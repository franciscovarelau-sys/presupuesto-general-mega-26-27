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00" windowWidth="25600" windowHeight="14300" tabRatio="600" firstSheet="4" activeTab="9" autoFilterDateGrouping="1"/>
  </bookViews>
  <sheets>
    <sheet name="INICIO" sheetId="1" state="visible" r:id="rId1"/>
    <sheet name="MAESTRO_CAMPOS" sheetId="2" state="visible" r:id="rId2"/>
    <sheet name="MAESTRO_CDC" sheetId="3" state="visible" r:id="rId3"/>
    <sheet name="MAESTRO_ESPECIES" sheetId="4" state="visible" r:id="rId4"/>
    <sheet name="MAESTRO_TC" sheetId="5" state="visible" r:id="rId5"/>
    <sheet name="MAESTRO_EXPORTADORES" sheetId="6" state="visible" r:id="rId6"/>
    <sheet name="MAESTRO_SEMANAS" sheetId="7" state="visible" r:id="rId7"/>
    <sheet name="BD_PRESUPUESTO" sheetId="8" state="visible" r:id="rId8"/>
    <sheet name="BD_COSTOS_REALES" sheetId="9" state="visible" r:id="rId9"/>
    <sheet name="CONTROL_PPTO_REAL" sheetId="10" state="visible" r:id="rId10"/>
    <sheet name="BD_REMESAS" sheetId="11" state="visible" r:id="rId11"/>
    <sheet name="PROG_REMESAS_3SEM" sheetId="12" state="visible" r:id="rId12"/>
    <sheet name="PROG_LABORES" sheetId="13" state="visible" r:id="rId13"/>
    <sheet name="DASHBOARD" sheetId="14" state="visible" r:id="rId14"/>
    <sheet name="ALERTAS" sheetId="15" state="visible" r:id="rId15"/>
    <sheet name="FLUJO_DE_CAJA" sheetId="16" state="visible" r:id="rId16"/>
  </sheets>
  <definedNames/>
  <calcPr calcId="191029" fullCalcOnLoad="1"/>
</workbook>
</file>

<file path=xl/styles.xml><?xml version="1.0" encoding="utf-8"?>
<styleSheet xmlns="http://schemas.openxmlformats.org/spreadsheetml/2006/main">
  <numFmts count="12">
    <numFmt numFmtId="164" formatCode="\$#,##0.000"/>
    <numFmt numFmtId="165" formatCode="\$#,##0"/>
    <numFmt numFmtId="166" formatCode="dd\-mmm\-yy"/>
    <numFmt numFmtId="167" formatCode="\$#,##0;\(\$#,##0\);\-"/>
    <numFmt numFmtId="168" formatCode="0.0%;\(0.0%\);\-"/>
    <numFmt numFmtId="169" formatCode="0.0%"/>
    <numFmt numFmtId="170" formatCode="#,##0.0"/>
    <numFmt numFmtId="171" formatCode="\$#,##0;\(\$#,##0\)"/>
    <numFmt numFmtId="172" formatCode="dd\-mm\-yyyy"/>
    <numFmt numFmtId="173" formatCode="mmm\-yy"/>
    <numFmt numFmtId="174" formatCode="yyyy-mm-dd"/>
    <numFmt numFmtId="175" formatCode="DD-MM-YYYY"/>
  </numFmts>
  <fonts count="47">
    <font>
      <name val="Calibri"/>
      <family val="2"/>
      <color theme="1"/>
      <sz val="11"/>
      <scheme val="minor"/>
    </font>
    <font>
      <name val="Arial"/>
      <family val="2"/>
      <b val="1"/>
      <color rgb="FFFFFFFF"/>
      <sz val="13"/>
    </font>
    <font>
      <name val="Arial"/>
      <family val="2"/>
      <b val="1"/>
      <color rgb="FFFFFFFF"/>
      <sz val="10"/>
    </font>
    <font>
      <name val="Arial"/>
      <family val="2"/>
      <sz val="9"/>
    </font>
    <font>
      <name val="Arial"/>
      <family val="2"/>
      <color rgb="FF0000FF"/>
      <sz val="9"/>
    </font>
    <font>
      <name val="Arial"/>
      <family val="2"/>
      <color rgb="FF008000"/>
      <sz val="9"/>
    </font>
    <font>
      <name val="Arial"/>
      <family val="2"/>
      <i val="1"/>
      <color rgb="FFB71C1C"/>
      <sz val="9"/>
    </font>
    <font>
      <name val="Arial"/>
      <family val="2"/>
      <i val="1"/>
      <color rgb="FF1565C0"/>
      <sz val="9"/>
    </font>
    <font>
      <name val="Arial"/>
      <family val="2"/>
      <b val="1"/>
      <color rgb="FFFFFFFF"/>
      <sz val="8"/>
    </font>
    <font>
      <name val="Arial"/>
      <family val="2"/>
      <color rgb="FF000000"/>
      <sz val="8"/>
    </font>
    <font>
      <name val="Arial"/>
      <family val="2"/>
      <color rgb="FF006400"/>
      <sz val="8"/>
    </font>
    <font>
      <name val="Arial"/>
      <family val="2"/>
      <b val="1"/>
      <color rgb="FFFFFFFF"/>
      <sz val="9"/>
    </font>
    <font>
      <name val="Arial"/>
      <family val="2"/>
      <sz val="8"/>
    </font>
    <font>
      <name val="Arial"/>
      <family val="2"/>
      <i val="1"/>
      <color rgb="FF1565C0"/>
      <sz val="8"/>
    </font>
    <font>
      <name val="Arial"/>
      <family val="2"/>
      <b val="1"/>
      <color rgb="FFFFFFFF"/>
      <sz val="7"/>
    </font>
    <font>
      <name val="Arial"/>
      <family val="2"/>
      <b val="1"/>
      <sz val="8"/>
    </font>
    <font>
      <name val="Arial"/>
      <family val="2"/>
      <color rgb="FF1B5E20"/>
      <sz val="8"/>
    </font>
    <font>
      <name val="Arial"/>
      <family val="2"/>
      <color rgb="FF0D47A1"/>
      <sz val="8"/>
    </font>
    <font>
      <name val="Arial"/>
      <family val="2"/>
      <b val="1"/>
      <color rgb="FF1B5E20"/>
      <sz val="8"/>
    </font>
    <font>
      <name val="Arial"/>
      <family val="2"/>
      <b val="1"/>
      <color rgb="FF0D47A1"/>
      <sz val="8"/>
    </font>
    <font>
      <name val="Arial"/>
      <family val="2"/>
      <b val="1"/>
      <color rgb="FF37474F"/>
      <sz val="7"/>
    </font>
    <font>
      <name val="Arial"/>
      <family val="2"/>
      <b val="1"/>
      <sz val="10"/>
    </font>
    <font>
      <name val="Arial"/>
      <family val="2"/>
      <b val="1"/>
      <color rgb="FF0000FF"/>
      <sz val="14"/>
    </font>
    <font>
      <name val="Arial"/>
      <family val="2"/>
      <i val="1"/>
      <color rgb="FF616161"/>
      <sz val="9"/>
    </font>
    <font>
      <name val="Arial"/>
      <family val="2"/>
      <color rgb="FF0000FF"/>
      <sz val="8"/>
    </font>
    <font>
      <name val="Arial"/>
      <family val="2"/>
      <i val="1"/>
      <color rgb="FFE65100"/>
      <sz val="8"/>
    </font>
    <font>
      <name val="Arial"/>
      <family val="2"/>
      <sz val="7"/>
    </font>
    <font>
      <name val="Arial"/>
      <family val="2"/>
      <color rgb="FF1B5E20"/>
      <sz val="7"/>
    </font>
    <font>
      <name val="Arial"/>
      <family val="2"/>
      <color rgb="FF0000FF"/>
      <sz val="7"/>
    </font>
    <font>
      <name val="Arial"/>
      <family val="2"/>
      <sz val="10"/>
    </font>
    <font>
      <name val="Arial"/>
      <family val="2"/>
      <b val="1"/>
      <color rgb="FFFFFFFF"/>
      <sz val="14"/>
    </font>
    <font>
      <name val="Arial"/>
      <family val="2"/>
      <i val="1"/>
      <color rgb="FFFFFFFF"/>
      <sz val="9"/>
    </font>
    <font>
      <name val="Arial"/>
      <family val="2"/>
      <b val="1"/>
      <color rgb="FF1F5C2E"/>
      <sz val="18"/>
    </font>
    <font>
      <name val="Arial"/>
      <family val="2"/>
      <i val="1"/>
      <color rgb="FF757575"/>
      <sz val="8"/>
    </font>
    <font>
      <name val="Arial"/>
      <family val="2"/>
      <b val="1"/>
      <color rgb="FF1565C0"/>
      <sz val="18"/>
    </font>
    <font>
      <name val="Arial"/>
      <family val="2"/>
      <b val="1"/>
      <color rgb="FFB71C1C"/>
      <sz val="18"/>
    </font>
    <font>
      <name val="Arial"/>
      <family val="2"/>
      <b val="1"/>
      <color rgb="FF2E7D32"/>
      <sz val="18"/>
    </font>
    <font>
      <name val="Arial"/>
      <family val="2"/>
      <b val="1"/>
      <color rgb="FFE65100"/>
      <sz val="18"/>
    </font>
    <font>
      <name val="Arial"/>
      <family val="2"/>
      <b val="1"/>
      <color rgb="FF1A237E"/>
      <sz val="18"/>
    </font>
    <font>
      <name val="Arial"/>
      <family val="2"/>
      <b val="1"/>
      <sz val="9"/>
    </font>
    <font>
      <name val="Arial"/>
      <family val="2"/>
      <b val="1"/>
      <color rgb="FFFFFFFF"/>
      <sz val="32"/>
    </font>
    <font>
      <name val="Arial"/>
      <family val="2"/>
      <b val="1"/>
      <color rgb="FFA5D6A7"/>
      <sz val="16"/>
    </font>
    <font>
      <name val="Arial"/>
      <family val="2"/>
      <b val="1"/>
      <color rgb="FFFFFFFF"/>
      <sz val="11"/>
    </font>
    <font>
      <name val="Arial"/>
      <family val="2"/>
      <i val="1"/>
      <color rgb="FFCCCCCC"/>
      <sz val="8"/>
    </font>
    <font>
      <name val="Arial"/>
      <family val="2"/>
      <i val="1"/>
      <color rgb="FF81C784"/>
      <sz val="9"/>
    </font>
    <font>
      <name val="Arial"/>
      <family val="2"/>
      <sz val="9"/>
    </font>
    <font>
      <name val="Arial"/>
      <sz val="9"/>
    </font>
  </fonts>
  <fills count="20">
    <fill>
      <patternFill/>
    </fill>
    <fill>
      <patternFill patternType="gray125"/>
    </fill>
    <fill>
      <patternFill patternType="solid">
        <fgColor rgb="FF1F5C2E"/>
      </patternFill>
    </fill>
    <fill>
      <patternFill patternType="solid">
        <fgColor rgb="FFF1F8F1"/>
      </patternFill>
    </fill>
    <fill>
      <patternFill patternType="solid">
        <fgColor rgb="FFFFFFFF"/>
      </patternFill>
    </fill>
    <fill>
      <patternFill patternType="solid">
        <fgColor rgb="FFFFEBEE"/>
      </patternFill>
    </fill>
    <fill>
      <patternFill patternType="solid">
        <fgColor rgb="FFE3F2FD"/>
      </patternFill>
    </fill>
    <fill>
      <patternFill patternType="solid">
        <fgColor rgb="FFFFF9C4"/>
      </patternFill>
    </fill>
    <fill>
      <patternFill patternType="solid">
        <fgColor rgb="FF1565C0"/>
      </patternFill>
    </fill>
    <fill>
      <patternFill patternType="solid">
        <fgColor rgb="FFE8F5E9"/>
      </patternFill>
    </fill>
    <fill>
      <patternFill patternType="solid">
        <fgColor rgb="FF2E7D32"/>
      </patternFill>
    </fill>
    <fill>
      <patternFill patternType="solid">
        <fgColor rgb="FFB71C1C"/>
      </patternFill>
    </fill>
    <fill>
      <patternFill patternType="solid">
        <fgColor rgb="FFC8E6C9"/>
      </patternFill>
    </fill>
    <fill>
      <patternFill patternType="solid">
        <fgColor rgb="FFE65100"/>
      </patternFill>
    </fill>
    <fill>
      <patternFill patternType="solid">
        <fgColor rgb="FFECEFF1"/>
      </patternFill>
    </fill>
    <fill>
      <patternFill patternType="solid">
        <fgColor rgb="FF4A148C"/>
      </patternFill>
    </fill>
    <fill>
      <patternFill patternType="solid">
        <fgColor rgb="FFFFF3E0"/>
      </patternFill>
    </fill>
    <fill>
      <patternFill patternType="solid">
        <fgColor rgb="FF37474F"/>
      </patternFill>
    </fill>
    <fill>
      <patternFill patternType="solid">
        <fgColor rgb="FF1A237E"/>
      </patternFill>
    </fill>
    <fill>
      <patternFill patternType="solid">
        <fgColor rgb="FF2D5A30"/>
      </patternFill>
    </fill>
  </fills>
  <borders count="11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/>
      <right/>
      <top style="thin">
        <color rgb="FFBDBDBD"/>
      </top>
      <bottom style="thin">
        <color rgb="FFBDBDBD"/>
      </bottom>
      <diagonal/>
    </border>
    <border>
      <left/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BDBDBD"/>
      </left>
      <right style="thin">
        <color rgb="FFBDBDBD"/>
      </right>
      <top/>
      <bottom style="thin">
        <color rgb="FFBDBDB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 style="thin">
        <color rgb="FFBDBDBD"/>
      </top>
      <bottom/>
      <diagonal/>
    </border>
    <border>
      <left/>
      <right style="thin">
        <color rgb="FFBDBDBD"/>
      </right>
      <top style="thin">
        <color rgb="FFBDBDBD"/>
      </top>
      <bottom/>
      <diagonal/>
    </border>
    <border>
      <left style="thin">
        <color rgb="FFBDBDBD"/>
      </left>
      <right/>
      <top/>
      <bottom/>
      <diagonal/>
    </border>
    <border>
      <left style="thin">
        <color rgb="FFBDBDBD"/>
      </left>
      <right style="thin">
        <color rgb="FFBDBDBD"/>
      </right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5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4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4" fontId="3" fillId="4" borderId="1" applyAlignment="1" pivotButton="0" quotePrefix="0" xfId="0">
      <alignment horizontal="center" vertical="center"/>
    </xf>
    <xf numFmtId="3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4" fontId="3" fillId="5" borderId="1" applyAlignment="1" pivotButton="0" quotePrefix="0" xfId="0">
      <alignment horizontal="center" vertical="center"/>
    </xf>
    <xf numFmtId="3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5" fontId="3" fillId="5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166" fontId="3" fillId="0" borderId="0" pivotButton="0" quotePrefix="0" xfId="0"/>
    <xf numFmtId="3" fontId="4" fillId="6" borderId="1" applyAlignment="1" pivotButton="0" quotePrefix="0" xfId="0">
      <alignment horizontal="center" vertical="center"/>
    </xf>
    <xf numFmtId="3" fontId="5" fillId="7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  <xf numFmtId="9" fontId="4" fillId="6" borderId="1" applyAlignment="1" pivotButton="0" quotePrefix="0" xfId="0">
      <alignment horizontal="center" vertical="center"/>
    </xf>
    <xf numFmtId="166" fontId="3" fillId="3" borderId="1" applyAlignment="1" pivotButton="0" quotePrefix="0" xfId="0">
      <alignment horizontal="center" vertical="center"/>
    </xf>
    <xf numFmtId="9" fontId="3" fillId="3" borderId="1" applyAlignment="1" pivotButton="0" quotePrefix="0" xfId="0">
      <alignment horizontal="center" vertical="center"/>
    </xf>
    <xf numFmtId="166" fontId="3" fillId="4" borderId="1" applyAlignment="1" pivotButton="0" quotePrefix="0" xfId="0">
      <alignment horizontal="center" vertical="center"/>
    </xf>
    <xf numFmtId="9" fontId="3" fillId="4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left" vertical="center"/>
    </xf>
    <xf numFmtId="4" fontId="9" fillId="3" borderId="1" applyAlignment="1" pivotButton="0" quotePrefix="0" xfId="0">
      <alignment horizontal="center" vertical="center"/>
    </xf>
    <xf numFmtId="165" fontId="9" fillId="3" borderId="1" applyAlignment="1" pivotButton="0" quotePrefix="0" xfId="0">
      <alignment horizontal="center" vertical="center"/>
    </xf>
    <xf numFmtId="3" fontId="9" fillId="3" borderId="1" applyAlignment="1" pivotButton="0" quotePrefix="0" xfId="0">
      <alignment horizontal="center" vertical="center"/>
    </xf>
    <xf numFmtId="164" fontId="9" fillId="3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left" vertical="center"/>
    </xf>
    <xf numFmtId="4" fontId="9" fillId="4" borderId="1" applyAlignment="1" pivotButton="0" quotePrefix="0" xfId="0">
      <alignment horizontal="center" vertical="center"/>
    </xf>
    <xf numFmtId="165" fontId="9" fillId="4" borderId="1" applyAlignment="1" pivotButton="0" quotePrefix="0" xfId="0">
      <alignment horizontal="center" vertical="center"/>
    </xf>
    <xf numFmtId="3" fontId="9" fillId="4" borderId="1" applyAlignment="1" pivotButton="0" quotePrefix="0" xfId="0">
      <alignment horizontal="center" vertical="center"/>
    </xf>
    <xf numFmtId="164" fontId="9" fillId="4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left" vertical="center"/>
    </xf>
    <xf numFmtId="4" fontId="10" fillId="9" borderId="1" applyAlignment="1" pivotButton="0" quotePrefix="0" xfId="0">
      <alignment horizontal="center" vertical="center"/>
    </xf>
    <xf numFmtId="165" fontId="10" fillId="9" borderId="1" applyAlignment="1" pivotButton="0" quotePrefix="0" xfId="0">
      <alignment horizontal="center" vertical="center"/>
    </xf>
    <xf numFmtId="3" fontId="10" fillId="9" borderId="1" applyAlignment="1" pivotButton="0" quotePrefix="0" xfId="0">
      <alignment horizontal="center" vertical="center"/>
    </xf>
    <xf numFmtId="164" fontId="10" fillId="9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4" fontId="9" fillId="7" borderId="1" applyAlignment="1" pivotButton="0" quotePrefix="0" xfId="0">
      <alignment horizontal="center" vertical="center"/>
    </xf>
    <xf numFmtId="165" fontId="9" fillId="7" borderId="1" applyAlignment="1" pivotButton="0" quotePrefix="0" xfId="0">
      <alignment horizontal="center" vertical="center"/>
    </xf>
    <xf numFmtId="3" fontId="9" fillId="7" borderId="1" applyAlignment="1" pivotButton="0" quotePrefix="0" xfId="0">
      <alignment horizontal="center" vertical="center"/>
    </xf>
    <xf numFmtId="164" fontId="9" fillId="7" borderId="1" applyAlignment="1" pivotButton="0" quotePrefix="0" xfId="0">
      <alignment horizontal="center" vertical="center"/>
    </xf>
    <xf numFmtId="165" fontId="11" fillId="2" borderId="1" pivotButton="0" quotePrefix="0" xfId="0"/>
    <xf numFmtId="0" fontId="0" fillId="2" borderId="0" pivotButton="0" quotePrefix="0" xfId="0"/>
    <xf numFmtId="0" fontId="12" fillId="3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165" fontId="12" fillId="3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  <xf numFmtId="165" fontId="12" fillId="4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center" vertical="center" wrapText="1"/>
    </xf>
    <xf numFmtId="0" fontId="14" fillId="10" borderId="1" applyAlignment="1" pivotButton="0" quotePrefix="0" xfId="0">
      <alignment horizontal="center" vertical="center" wrapText="1"/>
    </xf>
    <xf numFmtId="0" fontId="14" fillId="8" borderId="1" applyAlignment="1" pivotButton="0" quotePrefix="0" xfId="0">
      <alignment horizontal="center" vertical="center" wrapText="1"/>
    </xf>
    <xf numFmtId="0" fontId="14" fillId="11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left" vertical="center"/>
    </xf>
    <xf numFmtId="0" fontId="12" fillId="4" borderId="1" applyAlignment="1" pivotButton="0" quotePrefix="0" xfId="0">
      <alignment horizontal="left" vertical="center"/>
    </xf>
    <xf numFmtId="167" fontId="16" fillId="9" borderId="1" applyAlignment="1" pivotButton="0" quotePrefix="0" xfId="0">
      <alignment horizontal="right" vertical="center"/>
    </xf>
    <xf numFmtId="167" fontId="17" fillId="6" borderId="1" applyAlignment="1" pivotButton="0" quotePrefix="0" xfId="0">
      <alignment horizontal="right" vertical="center"/>
    </xf>
    <xf numFmtId="167" fontId="12" fillId="7" borderId="1" applyAlignment="1" pivotButton="0" quotePrefix="0" xfId="0">
      <alignment horizontal="right" vertical="center"/>
    </xf>
    <xf numFmtId="167" fontId="18" fillId="12" borderId="1" applyAlignment="1" pivotButton="0" quotePrefix="0" xfId="0">
      <alignment horizontal="right" vertical="center"/>
    </xf>
    <xf numFmtId="167" fontId="19" fillId="6" borderId="1" applyAlignment="1" pivotButton="0" quotePrefix="0" xfId="0">
      <alignment horizontal="right" vertical="center"/>
    </xf>
    <xf numFmtId="168" fontId="15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left" vertical="center"/>
    </xf>
    <xf numFmtId="0" fontId="12" fillId="3" borderId="1" applyAlignment="1" pivotButton="0" quotePrefix="0" xfId="0">
      <alignment horizontal="left" vertical="center"/>
    </xf>
    <xf numFmtId="0" fontId="12" fillId="5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left" vertical="center"/>
    </xf>
    <xf numFmtId="0" fontId="12" fillId="5" borderId="1" applyAlignment="1" pivotButton="0" quotePrefix="0" xfId="0">
      <alignment horizontal="left" vertical="center"/>
    </xf>
    <xf numFmtId="167" fontId="8" fillId="2" borderId="1" applyAlignment="1" pivotButton="0" quotePrefix="0" xfId="0">
      <alignment horizontal="right" vertical="center"/>
    </xf>
    <xf numFmtId="169" fontId="8" fillId="2" borderId="1" applyAlignment="1" pivotButton="0" quotePrefix="0" xfId="0">
      <alignment horizontal="right" vertical="center"/>
    </xf>
    <xf numFmtId="0" fontId="14" fillId="13" borderId="1" applyAlignment="1" pivotButton="0" quotePrefix="0" xfId="0">
      <alignment horizontal="center" vertical="center" wrapText="1"/>
    </xf>
    <xf numFmtId="0" fontId="20" fillId="14" borderId="1" applyAlignment="1" pivotButton="0" quotePrefix="0" xfId="0">
      <alignment horizontal="center" vertical="center" wrapText="1"/>
    </xf>
    <xf numFmtId="0" fontId="14" fillId="15" borderId="1" applyAlignment="1" pivotButton="0" quotePrefix="0" xfId="0">
      <alignment horizontal="center" vertical="center" wrapText="1"/>
    </xf>
    <xf numFmtId="0" fontId="12" fillId="14" borderId="1" applyAlignment="1" pivotButton="0" quotePrefix="0" xfId="0">
      <alignment horizontal="center" vertical="center"/>
    </xf>
    <xf numFmtId="3" fontId="12" fillId="16" borderId="1" applyAlignment="1" pivotButton="0" quotePrefix="0" xfId="0">
      <alignment horizontal="center" vertical="center"/>
    </xf>
    <xf numFmtId="164" fontId="12" fillId="6" borderId="1" applyAlignment="1" pivotButton="0" quotePrefix="0" xfId="0">
      <alignment horizontal="center" vertical="center"/>
    </xf>
    <xf numFmtId="3" fontId="12" fillId="6" borderId="1" applyAlignment="1" pivotButton="0" quotePrefix="0" xfId="0">
      <alignment horizontal="center" vertical="center"/>
    </xf>
    <xf numFmtId="165" fontId="12" fillId="7" borderId="1" applyAlignment="1" pivotButton="0" quotePrefix="0" xfId="0">
      <alignment horizontal="center" vertical="center"/>
    </xf>
    <xf numFmtId="164" fontId="12" fillId="7" borderId="1" applyAlignment="1" pivotButton="0" quotePrefix="0" xfId="0">
      <alignment horizontal="center" vertical="center"/>
    </xf>
    <xf numFmtId="165" fontId="12" fillId="9" borderId="1" applyAlignment="1" pivotButton="0" quotePrefix="0" xfId="0">
      <alignment horizontal="center" vertical="center"/>
    </xf>
    <xf numFmtId="0" fontId="22" fillId="6" borderId="1" applyAlignment="1" pivotButton="0" quotePrefix="0" xfId="0">
      <alignment horizontal="center" vertical="center"/>
    </xf>
    <xf numFmtId="0" fontId="23" fillId="0" borderId="0" pivotButton="0" quotePrefix="0" xfId="0"/>
    <xf numFmtId="3" fontId="9" fillId="16" borderId="1" applyAlignment="1" pivotButton="0" quotePrefix="0" xfId="0">
      <alignment horizontal="center" vertical="center"/>
    </xf>
    <xf numFmtId="3" fontId="24" fillId="6" borderId="1" applyAlignment="1" pivotButton="0" quotePrefix="0" xfId="0">
      <alignment horizontal="center" vertical="center"/>
    </xf>
    <xf numFmtId="164" fontId="24" fillId="6" borderId="1" applyAlignment="1" pivotButton="0" quotePrefix="0" xfId="0">
      <alignment horizontal="center" vertical="center"/>
    </xf>
    <xf numFmtId="165" fontId="9" fillId="16" borderId="1" applyAlignment="1" pivotButton="0" quotePrefix="0" xfId="0">
      <alignment horizontal="center" vertical="center"/>
    </xf>
    <xf numFmtId="165" fontId="9" fillId="9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3" fontId="8" fillId="13" borderId="1" applyAlignment="1" pivotButton="0" quotePrefix="0" xfId="0">
      <alignment horizontal="right" vertical="center"/>
    </xf>
    <xf numFmtId="0" fontId="0" fillId="13" borderId="0" pivotButton="0" quotePrefix="0" xfId="0"/>
    <xf numFmtId="165" fontId="8" fillId="13" borderId="1" applyAlignment="1" pivotButton="0" quotePrefix="0" xfId="0">
      <alignment horizontal="right" vertical="center"/>
    </xf>
    <xf numFmtId="0" fontId="14" fillId="17" borderId="1" applyAlignment="1" pivotButton="0" quotePrefix="0" xfId="0">
      <alignment horizontal="center" vertical="center" wrapText="1"/>
    </xf>
    <xf numFmtId="0" fontId="26" fillId="4" borderId="1" applyAlignment="1" pivotButton="0" quotePrefix="0" xfId="0">
      <alignment horizontal="center" vertical="center"/>
    </xf>
    <xf numFmtId="0" fontId="26" fillId="4" borderId="1" applyAlignment="1" pivotButton="0" quotePrefix="0" xfId="0">
      <alignment horizontal="left" vertical="center"/>
    </xf>
    <xf numFmtId="165" fontId="27" fillId="9" borderId="1" applyAlignment="1" pivotButton="0" quotePrefix="0" xfId="0">
      <alignment horizontal="right" vertical="center"/>
    </xf>
    <xf numFmtId="165" fontId="28" fillId="6" borderId="1" applyAlignment="1" pivotButton="0" quotePrefix="0" xfId="0">
      <alignment horizontal="right" vertical="center"/>
    </xf>
    <xf numFmtId="3" fontId="28" fillId="6" borderId="1" applyAlignment="1" pivotButton="0" quotePrefix="0" xfId="0">
      <alignment horizontal="center" vertical="center"/>
    </xf>
    <xf numFmtId="165" fontId="26" fillId="7" borderId="1" applyAlignment="1" pivotButton="0" quotePrefix="0" xfId="0">
      <alignment horizontal="right" vertical="center"/>
    </xf>
    <xf numFmtId="167" fontId="26" fillId="7" borderId="1" applyAlignment="1" pivotButton="0" quotePrefix="0" xfId="0">
      <alignment horizontal="right" vertical="center"/>
    </xf>
    <xf numFmtId="9" fontId="26" fillId="14" borderId="1" applyAlignment="1" pivotButton="0" quotePrefix="0" xfId="0">
      <alignment horizontal="center" vertical="center"/>
    </xf>
    <xf numFmtId="0" fontId="29" fillId="14" borderId="1" applyAlignment="1" pivotButton="0" quotePrefix="0" xfId="0">
      <alignment horizontal="center" vertical="center"/>
    </xf>
    <xf numFmtId="0" fontId="26" fillId="3" borderId="1" applyAlignment="1" pivotButton="0" quotePrefix="0" xfId="0">
      <alignment horizontal="center" vertical="center"/>
    </xf>
    <xf numFmtId="0" fontId="26" fillId="3" borderId="1" applyAlignment="1" pivotButton="0" quotePrefix="0" xfId="0">
      <alignment horizontal="left" vertical="center"/>
    </xf>
    <xf numFmtId="0" fontId="39" fillId="3" borderId="1" applyAlignment="1" pivotButton="0" quotePrefix="0" xfId="0">
      <alignment horizontal="left" vertical="center"/>
    </xf>
    <xf numFmtId="169" fontId="3" fillId="3" borderId="1" applyAlignment="1" pivotButton="0" quotePrefix="0" xfId="0">
      <alignment horizontal="center" vertical="center"/>
    </xf>
    <xf numFmtId="0" fontId="39" fillId="5" borderId="1" applyAlignment="1" pivotButton="0" quotePrefix="0" xfId="0">
      <alignment horizontal="left" vertical="center"/>
    </xf>
    <xf numFmtId="169" fontId="3" fillId="5" borderId="1" applyAlignment="1" pivotButton="0" quotePrefix="0" xfId="0">
      <alignment horizontal="center" vertical="center"/>
    </xf>
    <xf numFmtId="0" fontId="39" fillId="4" borderId="1" applyAlignment="1" pivotButton="0" quotePrefix="0" xfId="0">
      <alignment horizontal="left" vertical="center"/>
    </xf>
    <xf numFmtId="169" fontId="3" fillId="4" borderId="1" applyAlignment="1" pivotButton="0" quotePrefix="0" xfId="0">
      <alignment horizontal="center" vertical="center"/>
    </xf>
    <xf numFmtId="170" fontId="12" fillId="4" borderId="1" applyAlignment="1" pivotButton="0" quotePrefix="0" xfId="0">
      <alignment horizontal="center" vertical="center"/>
    </xf>
    <xf numFmtId="3" fontId="12" fillId="4" borderId="1" applyAlignment="1" pivotButton="0" quotePrefix="0" xfId="0">
      <alignment horizontal="center" vertical="center"/>
    </xf>
    <xf numFmtId="164" fontId="12" fillId="4" borderId="1" applyAlignment="1" pivotButton="0" quotePrefix="0" xfId="0">
      <alignment horizontal="center" vertical="center"/>
    </xf>
    <xf numFmtId="171" fontId="12" fillId="4" borderId="1" applyAlignment="1" pivotButton="0" quotePrefix="0" xfId="0">
      <alignment horizontal="center" vertical="center"/>
    </xf>
    <xf numFmtId="170" fontId="12" fillId="3" borderId="1" applyAlignment="1" pivotButton="0" quotePrefix="0" xfId="0">
      <alignment horizontal="center" vertical="center"/>
    </xf>
    <xf numFmtId="3" fontId="12" fillId="3" borderId="1" applyAlignment="1" pivotButton="0" quotePrefix="0" xfId="0">
      <alignment horizontal="center" vertical="center"/>
    </xf>
    <xf numFmtId="164" fontId="12" fillId="3" borderId="1" applyAlignment="1" pivotButton="0" quotePrefix="0" xfId="0">
      <alignment horizontal="center" vertical="center"/>
    </xf>
    <xf numFmtId="171" fontId="12" fillId="3" borderId="1" applyAlignment="1" pivotButton="0" quotePrefix="0" xfId="0">
      <alignment horizontal="center" vertical="center"/>
    </xf>
    <xf numFmtId="170" fontId="12" fillId="5" borderId="1" applyAlignment="1" pivotButton="0" quotePrefix="0" xfId="0">
      <alignment horizontal="center" vertical="center"/>
    </xf>
    <xf numFmtId="3" fontId="12" fillId="5" borderId="1" applyAlignment="1" pivotButton="0" quotePrefix="0" xfId="0">
      <alignment horizontal="center" vertical="center"/>
    </xf>
    <xf numFmtId="164" fontId="12" fillId="5" borderId="1" applyAlignment="1" pivotButton="0" quotePrefix="0" xfId="0">
      <alignment horizontal="center" vertical="center"/>
    </xf>
    <xf numFmtId="165" fontId="12" fillId="5" borderId="1" applyAlignment="1" pivotButton="0" quotePrefix="0" xfId="0">
      <alignment horizontal="center" vertical="center"/>
    </xf>
    <xf numFmtId="171" fontId="12" fillId="5" borderId="1" applyAlignment="1" pivotButton="0" quotePrefix="0" xfId="0">
      <alignment horizontal="center" vertical="center"/>
    </xf>
    <xf numFmtId="0" fontId="15" fillId="7" borderId="1" applyAlignment="1" pivotButton="0" quotePrefix="0" xfId="0">
      <alignment horizontal="left" vertical="center"/>
    </xf>
    <xf numFmtId="0" fontId="12" fillId="7" borderId="1" applyAlignment="1" pivotButton="0" quotePrefix="0" xfId="0">
      <alignment horizontal="left" vertical="center"/>
    </xf>
    <xf numFmtId="170" fontId="12" fillId="7" borderId="1" applyAlignment="1" pivotButton="0" quotePrefix="0" xfId="0">
      <alignment horizontal="center" vertical="center"/>
    </xf>
    <xf numFmtId="3" fontId="12" fillId="7" borderId="1" applyAlignment="1" pivotButton="0" quotePrefix="0" xfId="0">
      <alignment horizontal="center" vertical="center"/>
    </xf>
    <xf numFmtId="171" fontId="12" fillId="7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left" vertical="center" wrapText="1"/>
    </xf>
    <xf numFmtId="0" fontId="15" fillId="7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left" vertical="center" wrapText="1"/>
    </xf>
    <xf numFmtId="0" fontId="15" fillId="6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left" vertical="center"/>
    </xf>
    <xf numFmtId="0" fontId="12" fillId="6" borderId="1" applyAlignment="1" pivotButton="0" quotePrefix="0" xfId="0">
      <alignment horizontal="left" vertical="center" wrapText="1"/>
    </xf>
    <xf numFmtId="0" fontId="8" fillId="17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center" vertical="center" wrapText="1"/>
    </xf>
    <xf numFmtId="165" fontId="12" fillId="3" borderId="1" applyAlignment="1" pivotButton="0" quotePrefix="0" xfId="0">
      <alignment horizontal="right" vertical="center"/>
    </xf>
    <xf numFmtId="165" fontId="12" fillId="5" borderId="1" applyAlignment="1" pivotButton="0" quotePrefix="0" xfId="0">
      <alignment horizontal="right" vertical="center"/>
    </xf>
    <xf numFmtId="165" fontId="12" fillId="4" borderId="1" applyAlignment="1" pivotButton="0" quotePrefix="0" xfId="0">
      <alignment horizontal="right" vertical="center"/>
    </xf>
    <xf numFmtId="0" fontId="15" fillId="12" borderId="1" applyAlignment="1" pivotButton="0" quotePrefix="0" xfId="0">
      <alignment horizontal="left" vertical="center"/>
    </xf>
    <xf numFmtId="165" fontId="15" fillId="12" borderId="1" applyAlignment="1" pivotButton="0" quotePrefix="0" xfId="0">
      <alignment horizontal="right" vertical="center"/>
    </xf>
    <xf numFmtId="165" fontId="15" fillId="5" borderId="1" applyAlignment="1" pivotButton="0" quotePrefix="0" xfId="0">
      <alignment horizontal="right" vertical="center"/>
    </xf>
    <xf numFmtId="165" fontId="15" fillId="7" borderId="1" applyAlignment="1" pivotButton="0" quotePrefix="0" xfId="0">
      <alignment horizontal="right" vertical="center"/>
    </xf>
    <xf numFmtId="0" fontId="15" fillId="6" borderId="1" applyAlignment="1" pivotButton="0" quotePrefix="0" xfId="0">
      <alignment horizontal="left" vertical="center"/>
    </xf>
    <xf numFmtId="165" fontId="15" fillId="6" borderId="1" applyAlignment="1" pivotButton="0" quotePrefix="0" xfId="0">
      <alignment horizontal="right" vertical="center"/>
    </xf>
    <xf numFmtId="0" fontId="45" fillId="3" borderId="5" applyAlignment="1" pivotButton="0" quotePrefix="0" xfId="0">
      <alignment vertical="center"/>
    </xf>
    <xf numFmtId="172" fontId="45" fillId="3" borderId="5" applyAlignment="1" pivotButton="0" quotePrefix="0" xfId="0">
      <alignment vertical="center"/>
    </xf>
    <xf numFmtId="0" fontId="45" fillId="6" borderId="5" applyAlignment="1" pivotButton="0" quotePrefix="0" xfId="0">
      <alignment vertical="center"/>
    </xf>
    <xf numFmtId="173" fontId="45" fillId="6" borderId="5" applyAlignment="1" pivotButton="0" quotePrefix="0" xfId="0">
      <alignment vertical="center"/>
    </xf>
    <xf numFmtId="3" fontId="45" fillId="6" borderId="5" applyAlignment="1" pivotButton="0" quotePrefix="0" xfId="0">
      <alignment vertical="center"/>
    </xf>
    <xf numFmtId="165" fontId="45" fillId="3" borderId="5" applyAlignment="1" pivotButton="0" quotePrefix="0" xfId="0">
      <alignment vertical="center"/>
    </xf>
    <xf numFmtId="3" fontId="45" fillId="3" borderId="5" applyAlignment="1" pivotButton="0" quotePrefix="0" xfId="0">
      <alignment vertical="center"/>
    </xf>
    <xf numFmtId="0" fontId="45" fillId="4" borderId="5" applyAlignment="1" pivotButton="0" quotePrefix="0" xfId="0">
      <alignment vertical="center"/>
    </xf>
    <xf numFmtId="172" fontId="45" fillId="4" borderId="5" applyAlignment="1" pivotButton="0" quotePrefix="0" xfId="0">
      <alignment vertical="center"/>
    </xf>
    <xf numFmtId="165" fontId="45" fillId="4" borderId="5" applyAlignment="1" pivotButton="0" quotePrefix="0" xfId="0">
      <alignment vertical="center"/>
    </xf>
    <xf numFmtId="3" fontId="45" fillId="4" borderId="5" applyAlignment="1" pivotButton="0" quotePrefix="0" xfId="0">
      <alignment vertical="center"/>
    </xf>
    <xf numFmtId="0" fontId="45" fillId="0" borderId="5" applyAlignment="1" pivotButton="0" quotePrefix="0" xfId="0">
      <alignment vertical="center"/>
    </xf>
    <xf numFmtId="172" fontId="45" fillId="0" borderId="5" applyAlignment="1" pivotButton="0" quotePrefix="0" xfId="0">
      <alignment vertical="center"/>
    </xf>
    <xf numFmtId="3" fontId="45" fillId="0" borderId="5" applyAlignment="1" pivotButton="0" quotePrefix="0" xfId="0">
      <alignment vertical="center"/>
    </xf>
    <xf numFmtId="0" fontId="8" fillId="8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11" fillId="2" borderId="1" applyAlignment="1" pivotButton="0" quotePrefix="0" xfId="0">
      <alignment horizontal="center" vertical="center" wrapText="1"/>
    </xf>
    <xf numFmtId="0" fontId="13" fillId="0" borderId="0" applyAlignment="1" pivotButton="0" quotePrefix="0" xfId="0">
      <alignment wrapText="1"/>
    </xf>
    <xf numFmtId="0" fontId="0" fillId="0" borderId="0" pivotButton="0" quotePrefix="0" xfId="0"/>
    <xf numFmtId="0" fontId="11" fillId="11" borderId="0" applyAlignment="1" pivotButton="0" quotePrefix="0" xfId="0">
      <alignment horizontal="left" vertical="center"/>
    </xf>
    <xf numFmtId="0" fontId="11" fillId="10" borderId="0" applyAlignment="1" pivotButton="0" quotePrefix="0" xfId="0">
      <alignment horizontal="left" vertical="center"/>
    </xf>
    <xf numFmtId="0" fontId="11" fillId="8" borderId="0" applyAlignment="1" pivotButton="0" quotePrefix="0" xfId="0">
      <alignment horizontal="left" vertical="center"/>
    </xf>
    <xf numFmtId="0" fontId="1" fillId="8" borderId="0" applyAlignment="1" pivotButton="0" quotePrefix="0" xfId="0">
      <alignment horizontal="left" vertical="center"/>
    </xf>
    <xf numFmtId="0" fontId="11" fillId="2" borderId="0" applyAlignment="1" pivotButton="0" quotePrefix="0" xfId="0">
      <alignment horizontal="left" vertical="center"/>
    </xf>
    <xf numFmtId="0" fontId="43" fillId="19" borderId="0" applyAlignment="1" pivotButton="0" quotePrefix="0" xfId="0">
      <alignment horizontal="left" vertical="center"/>
    </xf>
    <xf numFmtId="0" fontId="42" fillId="10" borderId="1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3" pivotButton="0" quotePrefix="0" xfId="0"/>
    <xf numFmtId="0" fontId="42" fillId="13" borderId="1" applyAlignment="1" pivotButton="0" quotePrefix="0" xfId="0">
      <alignment horizontal="left" vertical="center"/>
    </xf>
    <xf numFmtId="0" fontId="44" fillId="2" borderId="0" applyAlignment="1" pivotButton="0" quotePrefix="0" xfId="0">
      <alignment horizontal="center" vertical="center"/>
    </xf>
    <xf numFmtId="0" fontId="42" fillId="2" borderId="1" applyAlignment="1" pivotButton="0" quotePrefix="0" xfId="0">
      <alignment horizontal="left" vertical="center"/>
    </xf>
    <xf numFmtId="0" fontId="42" fillId="8" borderId="1" applyAlignment="1" pivotButton="0" quotePrefix="0" xfId="0">
      <alignment horizontal="left" vertical="center"/>
    </xf>
    <xf numFmtId="0" fontId="40" fillId="2" borderId="0" applyAlignment="1" pivotButton="0" quotePrefix="0" xfId="0">
      <alignment horizontal="left" vertical="center"/>
    </xf>
    <xf numFmtId="0" fontId="41" fillId="2" borderId="0" applyAlignment="1" pivotButton="0" quotePrefix="0" xfId="0">
      <alignment horizontal="left" vertical="center"/>
    </xf>
    <xf numFmtId="0" fontId="42" fillId="15" borderId="1" applyAlignment="1" pivotButton="0" quotePrefix="0" xfId="0">
      <alignment horizontal="left" vertical="center"/>
    </xf>
    <xf numFmtId="0" fontId="42" fillId="11" borderId="1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/>
    </xf>
    <xf numFmtId="0" fontId="6" fillId="0" borderId="0" applyAlignment="1" pivotButton="0" quotePrefix="0" xfId="0">
      <alignment wrapText="1"/>
    </xf>
    <xf numFmtId="0" fontId="7" fillId="0" borderId="0" applyAlignment="1" pivotButton="0" quotePrefix="0" xfId="0">
      <alignment wrapText="1"/>
    </xf>
    <xf numFmtId="0" fontId="11" fillId="2" borderId="0" applyAlignment="1" pivotButton="0" quotePrefix="0" xfId="0">
      <alignment horizontal="right" vertical="center"/>
    </xf>
    <xf numFmtId="0" fontId="8" fillId="10" borderId="1" applyAlignment="1" pivotButton="0" quotePrefix="0" xfId="0">
      <alignment horizontal="center" vertical="center" wrapText="1"/>
    </xf>
    <xf numFmtId="0" fontId="1" fillId="13" borderId="0" applyAlignment="1" pivotButton="0" quotePrefix="0" xfId="0">
      <alignment horizontal="left" vertical="center"/>
    </xf>
    <xf numFmtId="0" fontId="11" fillId="8" borderId="1" applyAlignment="1" pivotButton="0" quotePrefix="0" xfId="0">
      <alignment horizontal="center" vertical="center" wrapText="1"/>
    </xf>
    <xf numFmtId="0" fontId="25" fillId="0" borderId="0" applyAlignment="1" pivotButton="0" quotePrefix="0" xfId="0">
      <alignment wrapText="1"/>
    </xf>
    <xf numFmtId="0" fontId="11" fillId="13" borderId="0" applyAlignment="1" pivotButton="0" quotePrefix="0" xfId="0">
      <alignment horizontal="right" vertical="center"/>
    </xf>
    <xf numFmtId="0" fontId="11" fillId="13" borderId="1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right" vertical="center"/>
    </xf>
    <xf numFmtId="0" fontId="1" fillId="15" borderId="0" applyAlignment="1" pivotButton="0" quotePrefix="0" xfId="0">
      <alignment horizontal="left" vertical="center"/>
    </xf>
    <xf numFmtId="0" fontId="11" fillId="10" borderId="1" applyAlignment="1" pivotButton="0" quotePrefix="0" xfId="0">
      <alignment horizontal="center" vertical="center" wrapText="1"/>
    </xf>
    <xf numFmtId="0" fontId="11" fillId="17" borderId="1" applyAlignment="1" pivotButton="0" quotePrefix="0" xfId="0">
      <alignment horizontal="center" vertical="center" wrapText="1"/>
    </xf>
    <xf numFmtId="0" fontId="33" fillId="0" borderId="1" applyAlignment="1" pivotButton="0" quotePrefix="0" xfId="0">
      <alignment horizontal="center" vertical="center"/>
    </xf>
    <xf numFmtId="0" fontId="34" fillId="0" borderId="1" applyAlignment="1" pivotButton="0" quotePrefix="0" xfId="0">
      <alignment horizontal="center" vertical="center"/>
    </xf>
    <xf numFmtId="0" fontId="2" fillId="10" borderId="0" applyAlignment="1" pivotButton="0" quotePrefix="0" xfId="0">
      <alignment horizontal="left" vertical="center"/>
    </xf>
    <xf numFmtId="0" fontId="35" fillId="0" borderId="1" applyAlignment="1" pivotButton="0" quotePrefix="0" xfId="0">
      <alignment horizontal="center" vertical="center"/>
    </xf>
    <xf numFmtId="0" fontId="38" fillId="0" borderId="1" applyAlignment="1" pivotButton="0" quotePrefix="0" xfId="0">
      <alignment horizontal="center" vertical="center"/>
    </xf>
    <xf numFmtId="0" fontId="11" fillId="18" borderId="1" applyAlignment="1" pivotButton="0" quotePrefix="0" xfId="0">
      <alignment horizontal="center" vertical="center"/>
    </xf>
    <xf numFmtId="0" fontId="30" fillId="2" borderId="0" applyAlignment="1" pivotButton="0" quotePrefix="0" xfId="0">
      <alignment horizontal="left" vertical="center"/>
    </xf>
    <xf numFmtId="0" fontId="11" fillId="8" borderId="1" applyAlignment="1" pivotButton="0" quotePrefix="0" xfId="0">
      <alignment horizontal="center" vertical="center"/>
    </xf>
    <xf numFmtId="0" fontId="11" fillId="11" borderId="1" applyAlignment="1" pivotButton="0" quotePrefix="0" xfId="0">
      <alignment horizontal="center" vertical="center"/>
    </xf>
    <xf numFmtId="0" fontId="31" fillId="10" borderId="0" applyAlignment="1" pivotButton="0" quotePrefix="0" xfId="0">
      <alignment horizontal="left" vertical="center"/>
    </xf>
    <xf numFmtId="0" fontId="32" fillId="0" borderId="1" applyAlignment="1" pivotButton="0" quotePrefix="0" xfId="0">
      <alignment horizontal="center" vertical="center"/>
    </xf>
    <xf numFmtId="0" fontId="36" fillId="0" borderId="1" applyAlignment="1" pivotButton="0" quotePrefix="0" xfId="0">
      <alignment horizontal="center" vertical="center"/>
    </xf>
    <xf numFmtId="0" fontId="37" fillId="0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11" fillId="13" borderId="1" applyAlignment="1" pivotButton="0" quotePrefix="0" xfId="0">
      <alignment horizontal="center" vertical="center"/>
    </xf>
    <xf numFmtId="0" fontId="1" fillId="11" borderId="0" applyAlignment="1" pivotButton="0" quotePrefix="0" xfId="0">
      <alignment horizontal="left" vertical="center"/>
    </xf>
    <xf numFmtId="0" fontId="11" fillId="17" borderId="0" applyAlignment="1" pivotButton="0" quotePrefix="0" xfId="0">
      <alignment horizontal="left" vertical="center"/>
    </xf>
    <xf numFmtId="0" fontId="11" fillId="17" borderId="0" applyAlignment="1" pivotButton="0" quotePrefix="0" xfId="0">
      <alignment horizontal="left" vertical="center" wrapText="1"/>
    </xf>
    <xf numFmtId="172" fontId="45" fillId="3" borderId="5" applyAlignment="1" pivotButton="0" quotePrefix="0" xfId="0">
      <alignment vertical="center"/>
    </xf>
    <xf numFmtId="173" fontId="45" fillId="6" borderId="5" applyAlignment="1" pivotButton="0" quotePrefix="0" xfId="0">
      <alignment vertical="center"/>
    </xf>
    <xf numFmtId="172" fontId="45" fillId="4" borderId="5" applyAlignment="1" pivotButton="0" quotePrefix="0" xfId="0">
      <alignment vertical="center"/>
    </xf>
    <xf numFmtId="172" fontId="45" fillId="0" borderId="5" applyAlignment="1" pivotButton="0" quotePrefix="0" xfId="0">
      <alignment vertical="center"/>
    </xf>
    <xf numFmtId="0" fontId="46" fillId="0" borderId="10" applyAlignment="1" pivotButton="0" quotePrefix="0" xfId="0">
      <alignment vertical="center"/>
    </xf>
    <xf numFmtId="175" fontId="46" fillId="0" borderId="10" applyAlignment="1" pivotButton="0" quotePrefix="0" xfId="0">
      <alignment vertical="center"/>
    </xf>
    <xf numFmtId="3" fontId="46" fillId="0" borderId="10" applyAlignment="1" pivotButton="0" quotePrefix="0" xfId="0">
      <alignment vertical="center"/>
    </xf>
    <xf numFmtId="167" fontId="16" fillId="9" borderId="1" applyAlignment="1" pivotButton="0" quotePrefix="0" xfId="0">
      <alignment horizontal="right" vertical="center"/>
    </xf>
    <xf numFmtId="167" fontId="17" fillId="6" borderId="1" applyAlignment="1" pivotButton="0" quotePrefix="0" xfId="0">
      <alignment horizontal="right" vertical="center"/>
    </xf>
    <xf numFmtId="167" fontId="12" fillId="7" borderId="1" applyAlignment="1" pivotButton="0" quotePrefix="0" xfId="0">
      <alignment horizontal="right" vertical="center"/>
    </xf>
    <xf numFmtId="167" fontId="18" fillId="12" borderId="1" applyAlignment="1" pivotButton="0" quotePrefix="0" xfId="0">
      <alignment horizontal="right" vertical="center"/>
    </xf>
    <xf numFmtId="167" fontId="19" fillId="6" borderId="1" applyAlignment="1" pivotButton="0" quotePrefix="0" xfId="0">
      <alignment horizontal="right" vertical="center"/>
    </xf>
    <xf numFmtId="168" fontId="15" fillId="7" borderId="1" applyAlignment="1" pivotButton="0" quotePrefix="0" xfId="0">
      <alignment horizontal="center" vertical="center"/>
    </xf>
    <xf numFmtId="167" fontId="8" fillId="2" borderId="1" applyAlignment="1" pivotButton="0" quotePrefix="0" xfId="0">
      <alignment horizontal="right" vertical="center"/>
    </xf>
    <xf numFmtId="169" fontId="8" fillId="2" borderId="1" applyAlignment="1" pivotButton="0" quotePrefix="0" xfId="0">
      <alignment horizontal="right" vertical="center"/>
    </xf>
    <xf numFmtId="167" fontId="26" fillId="7" borderId="1" applyAlignment="1" pivotButton="0" quotePrefix="0" xfId="0">
      <alignment horizontal="right" vertical="center"/>
    </xf>
    <xf numFmtId="169" fontId="3" fillId="3" borderId="1" applyAlignment="1" pivotButton="0" quotePrefix="0" xfId="0">
      <alignment horizontal="center" vertical="center"/>
    </xf>
    <xf numFmtId="169" fontId="3" fillId="5" borderId="1" applyAlignment="1" pivotButton="0" quotePrefix="0" xfId="0">
      <alignment horizontal="center" vertical="center"/>
    </xf>
    <xf numFmtId="169" fontId="3" fillId="4" borderId="1" applyAlignment="1" pivotButton="0" quotePrefix="0" xfId="0">
      <alignment horizontal="center" vertical="center"/>
    </xf>
    <xf numFmtId="170" fontId="12" fillId="4" borderId="1" applyAlignment="1" pivotButton="0" quotePrefix="0" xfId="0">
      <alignment horizontal="center" vertical="center"/>
    </xf>
    <xf numFmtId="171" fontId="12" fillId="4" borderId="1" applyAlignment="1" pivotButton="0" quotePrefix="0" xfId="0">
      <alignment horizontal="center" vertical="center"/>
    </xf>
    <xf numFmtId="170" fontId="12" fillId="3" borderId="1" applyAlignment="1" pivotButton="0" quotePrefix="0" xfId="0">
      <alignment horizontal="center" vertical="center"/>
    </xf>
    <xf numFmtId="171" fontId="12" fillId="3" borderId="1" applyAlignment="1" pivotButton="0" quotePrefix="0" xfId="0">
      <alignment horizontal="center" vertical="center"/>
    </xf>
    <xf numFmtId="170" fontId="12" fillId="5" borderId="1" applyAlignment="1" pivotButton="0" quotePrefix="0" xfId="0">
      <alignment horizontal="center" vertical="center"/>
    </xf>
    <xf numFmtId="171" fontId="12" fillId="5" borderId="1" applyAlignment="1" pivotButton="0" quotePrefix="0" xfId="0">
      <alignment horizontal="center" vertical="center"/>
    </xf>
    <xf numFmtId="170" fontId="12" fillId="7" borderId="1" applyAlignment="1" pivotButton="0" quotePrefix="0" xfId="0">
      <alignment horizontal="center" vertical="center"/>
    </xf>
    <xf numFmtId="171" fontId="12" fillId="7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4"/>
  <sheetViews>
    <sheetView showGridLines="0" workbookViewId="0">
      <selection activeCell="B3" sqref="B3:N5"/>
    </sheetView>
  </sheetViews>
  <sheetFormatPr baseColWidth="10" defaultColWidth="8.83203125" defaultRowHeight="15"/>
  <cols>
    <col width="12" customWidth="1" style="176" min="1" max="15"/>
  </cols>
  <sheetData>
    <row r="1" ht="20" customHeight="1" s="176">
      <c r="A1" s="55" t="n"/>
      <c r="B1" s="55" t="n"/>
      <c r="C1" s="55" t="n"/>
      <c r="D1" s="55" t="n"/>
      <c r="E1" s="55" t="n"/>
      <c r="F1" s="55" t="n"/>
      <c r="G1" s="55" t="n"/>
      <c r="H1" s="55" t="n"/>
      <c r="I1" s="55" t="n"/>
      <c r="J1" s="55" t="n"/>
      <c r="K1" s="55" t="n"/>
      <c r="L1" s="55" t="n"/>
      <c r="M1" s="55" t="n"/>
      <c r="N1" s="55" t="n"/>
      <c r="O1" s="55" t="n"/>
    </row>
    <row r="2" ht="20" customHeight="1" s="176">
      <c r="A2" s="55" t="n"/>
      <c r="B2" s="55" t="n"/>
      <c r="C2" s="55" t="n"/>
      <c r="D2" s="55" t="n"/>
      <c r="E2" s="55" t="n"/>
      <c r="F2" s="55" t="n"/>
      <c r="G2" s="55" t="n"/>
      <c r="H2" s="55" t="n"/>
      <c r="I2" s="55" t="n"/>
      <c r="J2" s="55" t="n"/>
      <c r="K2" s="55" t="n"/>
      <c r="L2" s="55" t="n"/>
      <c r="M2" s="55" t="n"/>
      <c r="N2" s="55" t="n"/>
      <c r="O2" s="55" t="n"/>
    </row>
    <row r="3" ht="40" customHeight="1" s="176">
      <c r="A3" s="55" t="n"/>
      <c r="B3" s="190" t="inlineStr">
        <is>
          <t>🌿  AGRÍCOLA MEGA</t>
        </is>
      </c>
      <c r="O3" s="55" t="n"/>
    </row>
    <row r="4" ht="40" customHeight="1" s="176">
      <c r="A4" s="55" t="n"/>
      <c r="O4" s="55" t="n"/>
    </row>
    <row r="5" ht="40" customHeight="1" s="176">
      <c r="A5" s="55" t="n"/>
      <c r="O5" s="55" t="n"/>
    </row>
    <row r="6" ht="30" customHeight="1" s="176">
      <c r="A6" s="55" t="n"/>
      <c r="B6" s="191" t="inlineStr">
        <is>
          <t>SISTEMA ERP DE GESTIÓN AGRÍCOLA  •  TEMPORADA 2026/27</t>
        </is>
      </c>
      <c r="O6" s="55" t="n"/>
    </row>
    <row r="7" ht="30" customHeight="1" s="176">
      <c r="A7" s="55" t="n"/>
      <c r="O7" s="55" t="n"/>
    </row>
    <row r="8" ht="15" customHeight="1" s="176">
      <c r="A8" s="55" t="n"/>
      <c r="B8" s="55" t="n"/>
      <c r="C8" s="55" t="n"/>
      <c r="D8" s="55" t="n"/>
      <c r="E8" s="55" t="n"/>
      <c r="F8" s="55" t="n"/>
      <c r="G8" s="55" t="n"/>
      <c r="H8" s="55" t="n"/>
      <c r="I8" s="55" t="n"/>
      <c r="J8" s="55" t="n"/>
      <c r="K8" s="55" t="n"/>
      <c r="L8" s="55" t="n"/>
      <c r="M8" s="55" t="n"/>
      <c r="N8" s="55" t="n"/>
      <c r="O8" s="55" t="n"/>
    </row>
    <row r="9" ht="25" customHeight="1" s="176">
      <c r="A9" s="55" t="n"/>
      <c r="B9" s="183" t="inlineStr">
        <is>
          <t>📊 DASHBOARD</t>
        </is>
      </c>
      <c r="C9" s="184" t="n"/>
      <c r="D9" s="184" t="n"/>
      <c r="E9" s="184" t="n"/>
      <c r="F9" s="184" t="n"/>
      <c r="G9" s="184" t="n"/>
      <c r="H9" s="185" t="n"/>
      <c r="I9" s="189" t="inlineStr">
        <is>
          <t>📋 BD PRESUPUESTO</t>
        </is>
      </c>
      <c r="J9" s="184" t="n"/>
      <c r="K9" s="184" t="n"/>
      <c r="L9" s="184" t="n"/>
      <c r="M9" s="184" t="n"/>
      <c r="N9" s="184" t="n"/>
      <c r="O9" s="185" t="n"/>
    </row>
    <row r="10" ht="16" customHeight="1" s="176">
      <c r="A10" s="55" t="n"/>
      <c r="B10" s="182" t="inlineStr">
        <is>
          <t>Panel de control gerencial con KPIs y márgenes</t>
        </is>
      </c>
      <c r="I10" s="182" t="inlineStr">
        <is>
          <t>Base de datos completa del presupuesto 678 filas</t>
        </is>
      </c>
    </row>
    <row r="11" ht="20" customHeight="1" s="176">
      <c r="A11" s="55" t="n"/>
      <c r="B11" s="55" t="n"/>
      <c r="C11" s="55" t="n"/>
      <c r="D11" s="55" t="n"/>
      <c r="E11" s="55" t="n"/>
      <c r="F11" s="55" t="n"/>
      <c r="G11" s="55" t="n"/>
      <c r="H11" s="55" t="n"/>
      <c r="I11" s="55" t="n"/>
      <c r="J11" s="55" t="n"/>
      <c r="K11" s="55" t="n"/>
      <c r="L11" s="55" t="n"/>
      <c r="M11" s="55" t="n"/>
      <c r="N11" s="55" t="n"/>
      <c r="O11" s="55" t="n"/>
    </row>
    <row r="12" ht="20" customHeight="1" s="176">
      <c r="A12" s="55" t="n"/>
      <c r="B12" s="55" t="n"/>
      <c r="C12" s="55" t="n"/>
      <c r="D12" s="55" t="n"/>
      <c r="E12" s="55" t="n"/>
      <c r="F12" s="55" t="n"/>
      <c r="G12" s="55" t="n"/>
      <c r="H12" s="55" t="n"/>
      <c r="I12" s="55" t="n"/>
      <c r="J12" s="55" t="n"/>
      <c r="K12" s="55" t="n"/>
      <c r="L12" s="55" t="n"/>
      <c r="M12" s="55" t="n"/>
      <c r="N12" s="55" t="n"/>
      <c r="O12" s="55" t="n"/>
    </row>
    <row r="13" ht="25" customHeight="1" s="176">
      <c r="A13" s="55" t="n"/>
      <c r="B13" s="193" t="inlineStr">
        <is>
          <t>📒 COSTOS REALES</t>
        </is>
      </c>
      <c r="C13" s="184" t="n"/>
      <c r="D13" s="184" t="n"/>
      <c r="E13" s="184" t="n"/>
      <c r="F13" s="184" t="n"/>
      <c r="G13" s="184" t="n"/>
      <c r="H13" s="185" t="n"/>
      <c r="I13" s="188" t="inlineStr">
        <is>
          <t>🔄 CONTROL PPTO/REAL</t>
        </is>
      </c>
      <c r="J13" s="184" t="n"/>
      <c r="K13" s="184" t="n"/>
      <c r="L13" s="184" t="n"/>
      <c r="M13" s="184" t="n"/>
      <c r="N13" s="184" t="n"/>
      <c r="O13" s="185" t="n"/>
    </row>
    <row r="14" ht="16" customHeight="1" s="176">
      <c r="A14" s="55" t="n"/>
      <c r="B14" s="182" t="inlineStr">
        <is>
          <t>Ingreso de datos reales desde LH</t>
        </is>
      </c>
      <c r="I14" s="182" t="inlineStr">
        <is>
          <t>Presupuesto vs Real por CDC y mes</t>
        </is>
      </c>
    </row>
    <row r="15" ht="20" customHeight="1" s="176">
      <c r="A15" s="55" t="n"/>
      <c r="B15" s="55" t="n"/>
      <c r="C15" s="55" t="n"/>
      <c r="D15" s="55" t="n"/>
      <c r="E15" s="55" t="n"/>
      <c r="F15" s="55" t="n"/>
      <c r="G15" s="55" t="n"/>
      <c r="H15" s="55" t="n"/>
      <c r="I15" s="55" t="n"/>
      <c r="J15" s="55" t="n"/>
      <c r="K15" s="55" t="n"/>
      <c r="L15" s="55" t="n"/>
      <c r="M15" s="55" t="n"/>
      <c r="N15" s="55" t="n"/>
      <c r="O15" s="55" t="n"/>
    </row>
    <row r="16" ht="20" customHeight="1" s="176">
      <c r="A16" s="55" t="n"/>
      <c r="B16" s="55" t="n"/>
      <c r="C16" s="55" t="n"/>
      <c r="D16" s="55" t="n"/>
      <c r="E16" s="55" t="n"/>
      <c r="F16" s="55" t="n"/>
      <c r="G16" s="55" t="n"/>
      <c r="H16" s="55" t="n"/>
      <c r="I16" s="55" t="n"/>
      <c r="J16" s="55" t="n"/>
      <c r="K16" s="55" t="n"/>
      <c r="L16" s="55" t="n"/>
      <c r="M16" s="55" t="n"/>
      <c r="N16" s="55" t="n"/>
      <c r="O16" s="55" t="n"/>
    </row>
    <row r="17" ht="25" customHeight="1" s="176">
      <c r="A17" s="55" t="n"/>
      <c r="B17" s="186" t="inlineStr">
        <is>
          <t>📦 REMESAS</t>
        </is>
      </c>
      <c r="C17" s="184" t="n"/>
      <c r="D17" s="184" t="n"/>
      <c r="E17" s="184" t="n"/>
      <c r="F17" s="184" t="n"/>
      <c r="G17" s="184" t="n"/>
      <c r="H17" s="185" t="n"/>
      <c r="I17" s="186" t="inlineStr">
        <is>
          <t>📅 PROG. REMESAS</t>
        </is>
      </c>
      <c r="J17" s="184" t="n"/>
      <c r="K17" s="184" t="n"/>
      <c r="L17" s="184" t="n"/>
      <c r="M17" s="184" t="n"/>
      <c r="N17" s="184" t="n"/>
      <c r="O17" s="185" t="n"/>
    </row>
    <row r="18" ht="16" customHeight="1" s="176">
      <c r="A18" s="55" t="n"/>
      <c r="B18" s="182" t="inlineStr">
        <is>
          <t>Base de datos de remesas por canal</t>
        </is>
      </c>
      <c r="I18" s="182" t="inlineStr">
        <is>
          <t>Proyección de remesas 4 semanas</t>
        </is>
      </c>
    </row>
    <row r="19" ht="20" customHeight="1" s="176">
      <c r="A19" s="55" t="n"/>
      <c r="B19" s="55" t="n"/>
      <c r="C19" s="55" t="n"/>
      <c r="D19" s="55" t="n"/>
      <c r="E19" s="55" t="n"/>
      <c r="F19" s="55" t="n"/>
      <c r="G19" s="55" t="n"/>
      <c r="H19" s="55" t="n"/>
      <c r="I19" s="55" t="n"/>
      <c r="J19" s="55" t="n"/>
      <c r="K19" s="55" t="n"/>
      <c r="L19" s="55" t="n"/>
      <c r="M19" s="55" t="n"/>
      <c r="N19" s="55" t="n"/>
      <c r="O19" s="55" t="n"/>
    </row>
    <row r="20" ht="20" customHeight="1" s="176">
      <c r="A20" s="55" t="n"/>
      <c r="B20" s="55" t="n"/>
      <c r="C20" s="55" t="n"/>
      <c r="D20" s="55" t="n"/>
      <c r="E20" s="55" t="n"/>
      <c r="F20" s="55" t="n"/>
      <c r="G20" s="55" t="n"/>
      <c r="H20" s="55" t="n"/>
      <c r="I20" s="55" t="n"/>
      <c r="J20" s="55" t="n"/>
      <c r="K20" s="55" t="n"/>
      <c r="L20" s="55" t="n"/>
      <c r="M20" s="55" t="n"/>
      <c r="N20" s="55" t="n"/>
      <c r="O20" s="55" t="n"/>
    </row>
    <row r="21" ht="25" customHeight="1" s="176">
      <c r="A21" s="55" t="n"/>
      <c r="B21" s="192" t="inlineStr">
        <is>
          <t>📋 PROG. LABORES</t>
        </is>
      </c>
      <c r="C21" s="184" t="n"/>
      <c r="D21" s="184" t="n"/>
      <c r="E21" s="184" t="n"/>
      <c r="F21" s="184" t="n"/>
      <c r="G21" s="184" t="n"/>
      <c r="H21" s="185" t="n"/>
      <c r="I21" s="193" t="inlineStr">
        <is>
          <t>⚠️ ALERTAS</t>
        </is>
      </c>
      <c r="J21" s="184" t="n"/>
      <c r="K21" s="184" t="n"/>
      <c r="L21" s="184" t="n"/>
      <c r="M21" s="184" t="n"/>
      <c r="N21" s="184" t="n"/>
      <c r="O21" s="185" t="n"/>
    </row>
    <row r="22" ht="16" customHeight="1" s="176">
      <c r="A22" s="55" t="n"/>
      <c r="B22" s="182" t="inlineStr">
        <is>
          <t>Programación y control de labores semanales</t>
        </is>
      </c>
      <c r="I22" s="182" t="inlineStr">
        <is>
          <t>Sistema de alertas y semáforos</t>
        </is>
      </c>
    </row>
    <row r="23" ht="20" customHeight="1" s="176">
      <c r="A23" s="55" t="n"/>
      <c r="B23" s="55" t="n"/>
      <c r="C23" s="55" t="n"/>
      <c r="D23" s="55" t="n"/>
      <c r="E23" s="55" t="n"/>
      <c r="F23" s="55" t="n"/>
      <c r="G23" s="55" t="n"/>
      <c r="H23" s="55" t="n"/>
      <c r="I23" s="55" t="n"/>
      <c r="J23" s="55" t="n"/>
      <c r="K23" s="55" t="n"/>
      <c r="L23" s="55" t="n"/>
      <c r="M23" s="55" t="n"/>
      <c r="N23" s="55" t="n"/>
      <c r="O23" s="55" t="n"/>
    </row>
    <row r="24" ht="20" customHeight="1" s="176">
      <c r="A24" s="55" t="n"/>
      <c r="B24" s="55" t="n"/>
      <c r="C24" s="55" t="n"/>
      <c r="D24" s="55" t="n"/>
      <c r="E24" s="55" t="n"/>
      <c r="F24" s="55" t="n"/>
      <c r="G24" s="55" t="n"/>
      <c r="H24" s="55" t="n"/>
      <c r="I24" s="55" t="n"/>
      <c r="J24" s="55" t="n"/>
      <c r="K24" s="55" t="n"/>
      <c r="L24" s="55" t="n"/>
      <c r="M24" s="55" t="n"/>
      <c r="N24" s="55" t="n"/>
      <c r="O24" s="55" t="n"/>
    </row>
    <row r="25" ht="25" customHeight="1" s="176">
      <c r="A25" s="55" t="n"/>
      <c r="B25" s="189" t="inlineStr">
        <is>
          <t>💵 FLUJO DE CAJA</t>
        </is>
      </c>
      <c r="C25" s="184" t="n"/>
      <c r="D25" s="184" t="n"/>
      <c r="E25" s="184" t="n"/>
      <c r="F25" s="184" t="n"/>
      <c r="G25" s="184" t="n"/>
      <c r="H25" s="185" t="n"/>
      <c r="I25" s="183" t="inlineStr">
        <is>
          <t>🏷️ MAESTRO CDC</t>
        </is>
      </c>
      <c r="J25" s="184" t="n"/>
      <c r="K25" s="184" t="n"/>
      <c r="L25" s="184" t="n"/>
      <c r="M25" s="184" t="n"/>
      <c r="N25" s="184" t="n"/>
      <c r="O25" s="185" t="n"/>
    </row>
    <row r="26" ht="16" customHeight="1" s="176">
      <c r="A26" s="55" t="n"/>
      <c r="B26" s="182" t="inlineStr">
        <is>
          <t>Proyección de flujo mensual y acumulado</t>
        </is>
      </c>
      <c r="I26" s="182" t="inlineStr">
        <is>
          <t>Centros de costo con superficies y precios</t>
        </is>
      </c>
    </row>
    <row r="27" ht="20" customHeight="1" s="176">
      <c r="A27" s="55" t="n"/>
      <c r="B27" s="55" t="n"/>
      <c r="C27" s="55" t="n"/>
      <c r="D27" s="55" t="n"/>
      <c r="E27" s="55" t="n"/>
      <c r="F27" s="55" t="n"/>
      <c r="G27" s="55" t="n"/>
      <c r="H27" s="55" t="n"/>
      <c r="I27" s="55" t="n"/>
      <c r="J27" s="55" t="n"/>
      <c r="K27" s="55" t="n"/>
      <c r="L27" s="55" t="n"/>
      <c r="M27" s="55" t="n"/>
      <c r="N27" s="55" t="n"/>
      <c r="O27" s="55" t="n"/>
    </row>
    <row r="28" ht="20" customHeight="1" s="176">
      <c r="A28" s="55" t="n"/>
      <c r="B28" s="55" t="n"/>
      <c r="C28" s="55" t="n"/>
      <c r="D28" s="55" t="n"/>
      <c r="E28" s="55" t="n"/>
      <c r="F28" s="55" t="n"/>
      <c r="G28" s="55" t="n"/>
      <c r="H28" s="55" t="n"/>
      <c r="I28" s="55" t="n"/>
      <c r="J28" s="55" t="n"/>
      <c r="K28" s="55" t="n"/>
      <c r="L28" s="55" t="n"/>
      <c r="M28" s="55" t="n"/>
      <c r="N28" s="55" t="n"/>
      <c r="O28" s="55" t="n"/>
    </row>
    <row r="29" ht="25" customHeight="1" s="176">
      <c r="A29" s="55" t="n"/>
      <c r="B29" s="183" t="inlineStr">
        <is>
          <t>🌿 MAESTRO ESPECIES</t>
        </is>
      </c>
      <c r="C29" s="184" t="n"/>
      <c r="D29" s="184" t="n"/>
      <c r="E29" s="184" t="n"/>
      <c r="F29" s="184" t="n"/>
      <c r="G29" s="184" t="n"/>
      <c r="H29" s="185" t="n"/>
      <c r="I29" s="183" t="inlineStr">
        <is>
          <t>💱 TIPO DE CAMBIO</t>
        </is>
      </c>
      <c r="J29" s="184" t="n"/>
      <c r="K29" s="184" t="n"/>
      <c r="L29" s="184" t="n"/>
      <c r="M29" s="184" t="n"/>
      <c r="N29" s="184" t="n"/>
      <c r="O29" s="185" t="n"/>
    </row>
    <row r="30" ht="16" customHeight="1" s="176">
      <c r="A30" s="55" t="n"/>
      <c r="B30" s="182" t="inlineStr">
        <is>
          <t>Especies, variedades y precios de referencia</t>
        </is>
      </c>
      <c r="I30" s="182" t="inlineStr">
        <is>
          <t>TC de referencia por semana (editable)</t>
        </is>
      </c>
    </row>
    <row r="31" ht="20" customHeight="1" s="176">
      <c r="A31" s="55" t="n"/>
      <c r="B31" s="55" t="n"/>
      <c r="C31" s="55" t="n"/>
      <c r="D31" s="55" t="n"/>
      <c r="E31" s="55" t="n"/>
      <c r="F31" s="55" t="n"/>
      <c r="G31" s="55" t="n"/>
      <c r="H31" s="55" t="n"/>
      <c r="I31" s="55" t="n"/>
      <c r="J31" s="55" t="n"/>
      <c r="K31" s="55" t="n"/>
      <c r="L31" s="55" t="n"/>
      <c r="M31" s="55" t="n"/>
      <c r="N31" s="55" t="n"/>
      <c r="O31" s="55" t="n"/>
    </row>
    <row r="32" ht="20" customHeight="1" s="176">
      <c r="A32" s="55" t="n"/>
      <c r="B32" s="55" t="n"/>
      <c r="C32" s="55" t="n"/>
      <c r="D32" s="55" t="n"/>
      <c r="E32" s="55" t="n"/>
      <c r="F32" s="55" t="n"/>
      <c r="G32" s="55" t="n"/>
      <c r="H32" s="55" t="n"/>
      <c r="I32" s="55" t="n"/>
      <c r="J32" s="55" t="n"/>
      <c r="K32" s="55" t="n"/>
      <c r="L32" s="55" t="n"/>
      <c r="M32" s="55" t="n"/>
      <c r="N32" s="55" t="n"/>
      <c r="O32" s="55" t="n"/>
    </row>
    <row r="33" ht="25" customHeight="1" s="176">
      <c r="A33" s="55" t="n"/>
      <c r="B33" s="186" t="inlineStr">
        <is>
          <t>📦 EXPORTADORES</t>
        </is>
      </c>
      <c r="C33" s="184" t="n"/>
      <c r="D33" s="184" t="n"/>
      <c r="E33" s="184" t="n"/>
      <c r="F33" s="184" t="n"/>
      <c r="G33" s="184" t="n"/>
      <c r="H33" s="185" t="n"/>
      <c r="I33" s="183" t="inlineStr">
        <is>
          <t>📅 CALENDARIO</t>
        </is>
      </c>
      <c r="J33" s="184" t="n"/>
      <c r="K33" s="184" t="n"/>
      <c r="L33" s="184" t="n"/>
      <c r="M33" s="184" t="n"/>
      <c r="N33" s="184" t="n"/>
      <c r="O33" s="185" t="n"/>
    </row>
    <row r="34" ht="16" customHeight="1" s="176">
      <c r="A34" s="55" t="n"/>
      <c r="B34" s="182" t="inlineStr">
        <is>
          <t>Condiciones de pago por exportador</t>
        </is>
      </c>
      <c r="I34" s="182" t="inlineStr">
        <is>
          <t>Calendario de semanas temporada</t>
        </is>
      </c>
    </row>
    <row r="35" ht="20" customHeight="1" s="176">
      <c r="A35" s="55" t="n"/>
      <c r="B35" s="55" t="n"/>
      <c r="C35" s="55" t="n"/>
      <c r="D35" s="55" t="n"/>
      <c r="E35" s="55" t="n"/>
      <c r="F35" s="55" t="n"/>
      <c r="G35" s="55" t="n"/>
      <c r="H35" s="55" t="n"/>
      <c r="I35" s="55" t="n"/>
      <c r="J35" s="55" t="n"/>
      <c r="K35" s="55" t="n"/>
      <c r="L35" s="55" t="n"/>
      <c r="M35" s="55" t="n"/>
      <c r="N35" s="55" t="n"/>
      <c r="O35" s="55" t="n"/>
    </row>
    <row r="36" ht="20" customHeight="1" s="176">
      <c r="A36" s="55" t="n"/>
      <c r="B36" s="55" t="n"/>
      <c r="C36" s="55" t="n"/>
      <c r="D36" s="55" t="n"/>
      <c r="E36" s="55" t="n"/>
      <c r="F36" s="55" t="n"/>
      <c r="G36" s="55" t="n"/>
      <c r="H36" s="55" t="n"/>
      <c r="I36" s="55" t="n"/>
      <c r="J36" s="55" t="n"/>
      <c r="K36" s="55" t="n"/>
      <c r="L36" s="55" t="n"/>
      <c r="M36" s="55" t="n"/>
      <c r="N36" s="55" t="n"/>
      <c r="O36" s="55" t="n"/>
    </row>
    <row r="37" ht="20" customHeight="1" s="176">
      <c r="A37" s="55" t="n"/>
      <c r="B37" s="55" t="n"/>
      <c r="C37" s="55" t="n"/>
      <c r="D37" s="55" t="n"/>
      <c r="E37" s="55" t="n"/>
      <c r="F37" s="55" t="n"/>
      <c r="G37" s="55" t="n"/>
      <c r="H37" s="55" t="n"/>
      <c r="I37" s="55" t="n"/>
      <c r="J37" s="55" t="n"/>
      <c r="K37" s="55" t="n"/>
      <c r="L37" s="55" t="n"/>
      <c r="M37" s="55" t="n"/>
      <c r="N37" s="55" t="n"/>
      <c r="O37" s="55" t="n"/>
    </row>
    <row r="38" ht="20" customHeight="1" s="176">
      <c r="A38" s="55" t="n"/>
      <c r="B38" s="55" t="n"/>
      <c r="C38" s="55" t="n"/>
      <c r="D38" s="55" t="n"/>
      <c r="E38" s="55" t="n"/>
      <c r="F38" s="55" t="n"/>
      <c r="G38" s="55" t="n"/>
      <c r="H38" s="55" t="n"/>
      <c r="I38" s="55" t="n"/>
      <c r="J38" s="55" t="n"/>
      <c r="K38" s="55" t="n"/>
      <c r="L38" s="55" t="n"/>
      <c r="M38" s="55" t="n"/>
      <c r="N38" s="55" t="n"/>
      <c r="O38" s="55" t="n"/>
    </row>
    <row r="39" ht="20" customHeight="1" s="176">
      <c r="A39" s="55" t="n"/>
      <c r="B39" s="55" t="n"/>
      <c r="C39" s="55" t="n"/>
      <c r="D39" s="55" t="n"/>
      <c r="E39" s="55" t="n"/>
      <c r="F39" s="55" t="n"/>
      <c r="G39" s="55" t="n"/>
      <c r="H39" s="55" t="n"/>
      <c r="I39" s="55" t="n"/>
      <c r="J39" s="55" t="n"/>
      <c r="K39" s="55" t="n"/>
      <c r="L39" s="55" t="n"/>
      <c r="M39" s="55" t="n"/>
      <c r="N39" s="55" t="n"/>
      <c r="O39" s="55" t="n"/>
    </row>
    <row r="40" ht="20" customHeight="1" s="176">
      <c r="A40" s="55" t="n"/>
      <c r="B40" s="187" t="inlineStr">
        <is>
          <t>Versión 1.0  •  Desarrollado con Claude AI  •  Junio 2026  •  Datos: Presupuesto 26-27 MEGA</t>
        </is>
      </c>
      <c r="O40" s="55" t="n"/>
    </row>
    <row r="41" ht="20" customHeight="1" s="176">
      <c r="A41" s="55" t="n"/>
      <c r="O41" s="55" t="n"/>
    </row>
    <row r="42" ht="20" customHeight="1" s="176">
      <c r="A42" s="55" t="n"/>
      <c r="O42" s="55" t="n"/>
    </row>
    <row r="43" ht="20" customHeight="1" s="176">
      <c r="A43" s="55" t="n"/>
      <c r="B43" s="55" t="n"/>
      <c r="C43" s="55" t="n"/>
      <c r="D43" s="55" t="n"/>
      <c r="E43" s="55" t="n"/>
      <c r="F43" s="55" t="n"/>
      <c r="G43" s="55" t="n"/>
      <c r="H43" s="55" t="n"/>
      <c r="I43" s="55" t="n"/>
      <c r="J43" s="55" t="n"/>
      <c r="K43" s="55" t="n"/>
      <c r="L43" s="55" t="n"/>
      <c r="M43" s="55" t="n"/>
      <c r="N43" s="55" t="n"/>
      <c r="O43" s="55" t="n"/>
    </row>
    <row r="44" ht="20" customHeight="1" s="176">
      <c r="A44" s="55" t="n"/>
      <c r="B44" s="55" t="n"/>
      <c r="C44" s="55" t="n"/>
      <c r="D44" s="55" t="n"/>
      <c r="E44" s="55" t="n"/>
      <c r="F44" s="55" t="n"/>
      <c r="G44" s="55" t="n"/>
      <c r="H44" s="55" t="n"/>
      <c r="I44" s="55" t="n"/>
      <c r="J44" s="55" t="n"/>
      <c r="K44" s="55" t="n"/>
      <c r="L44" s="55" t="n"/>
      <c r="M44" s="55" t="n"/>
      <c r="N44" s="55" t="n"/>
      <c r="O44" s="55" t="n"/>
    </row>
  </sheetData>
  <mergeCells count="31">
    <mergeCell ref="I14:O14"/>
    <mergeCell ref="B9:H9"/>
    <mergeCell ref="I17:O17"/>
    <mergeCell ref="B40:N42"/>
    <mergeCell ref="B30:H30"/>
    <mergeCell ref="I29:O29"/>
    <mergeCell ref="B33:H33"/>
    <mergeCell ref="I10:O10"/>
    <mergeCell ref="I13:O13"/>
    <mergeCell ref="B26:H26"/>
    <mergeCell ref="I9:O9"/>
    <mergeCell ref="I30:O30"/>
    <mergeCell ref="I34:O34"/>
    <mergeCell ref="B25:H25"/>
    <mergeCell ref="B3:N5"/>
    <mergeCell ref="B22:H22"/>
    <mergeCell ref="B6:N7"/>
    <mergeCell ref="B18:H18"/>
    <mergeCell ref="I26:O26"/>
    <mergeCell ref="B21:H21"/>
    <mergeCell ref="I25:O25"/>
    <mergeCell ref="B14:H14"/>
    <mergeCell ref="I22:O22"/>
    <mergeCell ref="B17:H17"/>
    <mergeCell ref="B13:H13"/>
    <mergeCell ref="I18:O18"/>
    <mergeCell ref="I21:O21"/>
    <mergeCell ref="B29:H29"/>
    <mergeCell ref="B10:H10"/>
    <mergeCell ref="B34:H34"/>
    <mergeCell ref="I33:O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zoomScale="150" workbookViewId="0">
      <pane ySplit="3" topLeftCell="A4" activePane="bottomLeft" state="frozen"/>
      <selection pane="bottomLeft" activeCell="A1" sqref="A1:H1"/>
    </sheetView>
  </sheetViews>
  <sheetFormatPr baseColWidth="10" defaultColWidth="8.83203125" defaultRowHeight="15"/>
  <cols>
    <col width="6" customWidth="1" style="176" min="1" max="1"/>
    <col width="20" customWidth="1" style="176" min="2" max="2"/>
    <col width="12" customWidth="1" style="176" min="3" max="3"/>
    <col width="22" customWidth="1" style="176" min="4" max="4"/>
    <col width="18" customWidth="1" style="176" min="5" max="5"/>
    <col width="10" customWidth="1" style="176" min="6" max="7"/>
    <col width="20" customWidth="1" style="176" min="8" max="8"/>
  </cols>
  <sheetData>
    <row r="1" ht="30" customHeight="1" s="176">
      <c r="A1" s="194" t="inlineStr">
        <is>
          <t>🌿  MAESTRO DE CAMPOS — AGRÍCOLA MEGA  •  Temporada 2026/27</t>
        </is>
      </c>
    </row>
    <row r="2" ht="8" customHeight="1" s="176"/>
    <row r="3" ht="22" customHeight="1" s="176">
      <c r="A3" s="1" t="inlineStr">
        <is>
          <t>ID</t>
        </is>
      </c>
      <c r="B3" s="1" t="inlineStr">
        <is>
          <t>Campo</t>
        </is>
      </c>
      <c r="C3" s="1" t="inlineStr">
        <is>
          <t>Abreviatura</t>
        </is>
      </c>
      <c r="D3" s="1" t="inlineStr">
        <is>
          <t>Región</t>
        </is>
      </c>
      <c r="E3" s="1" t="inlineStr">
        <is>
          <t>Encargado</t>
        </is>
      </c>
      <c r="F3" s="1" t="inlineStr">
        <is>
          <t>Total Há</t>
        </is>
      </c>
      <c r="G3" s="1" t="inlineStr">
        <is>
          <t>Estado</t>
        </is>
      </c>
      <c r="H3" s="1" t="inlineStr">
        <is>
          <t>Observaciones</t>
        </is>
      </c>
    </row>
    <row r="4" ht="18" customHeight="1" s="176">
      <c r="A4" s="2" t="inlineStr">
        <is>
          <t>C01</t>
        </is>
      </c>
      <c r="B4" s="2" t="inlineStr">
        <is>
          <t>Mega Catalina</t>
        </is>
      </c>
      <c r="C4" s="2" t="inlineStr">
        <is>
          <t>CAT</t>
        </is>
      </c>
      <c r="D4" s="2" t="inlineStr">
        <is>
          <t>Región de Coquimbo</t>
        </is>
      </c>
      <c r="E4" s="2" t="n"/>
      <c r="F4" s="2" t="inlineStr">
        <is>
          <t>57,38</t>
        </is>
      </c>
      <c r="G4" s="2" t="inlineStr">
        <is>
          <t>Activo</t>
        </is>
      </c>
      <c r="H4" s="2" t="inlineStr">
        <is>
          <t>Santa Catalina</t>
        </is>
      </c>
    </row>
    <row r="5" ht="18" customHeight="1" s="176">
      <c r="A5" s="3" t="inlineStr">
        <is>
          <t>C02</t>
        </is>
      </c>
      <c r="B5" s="3" t="inlineStr">
        <is>
          <t>Mega Asmara</t>
        </is>
      </c>
      <c r="C5" s="3" t="inlineStr">
        <is>
          <t>ASM</t>
        </is>
      </c>
      <c r="D5" s="3" t="inlineStr">
        <is>
          <t>Región de Coquimbo</t>
        </is>
      </c>
      <c r="E5" s="3" t="n"/>
      <c r="F5" s="3" t="inlineStr">
        <is>
          <t>24,70</t>
        </is>
      </c>
      <c r="G5" s="3" t="inlineStr">
        <is>
          <t>Activo</t>
        </is>
      </c>
      <c r="H5" s="3" t="n"/>
    </row>
    <row r="6" ht="18" customHeight="1" s="176">
      <c r="A6" s="2" t="inlineStr">
        <is>
          <t>C03</t>
        </is>
      </c>
      <c r="B6" s="2" t="inlineStr">
        <is>
          <t>Mega El Molle</t>
        </is>
      </c>
      <c r="C6" s="2" t="inlineStr">
        <is>
          <t>MOL</t>
        </is>
      </c>
      <c r="D6" s="2" t="inlineStr">
        <is>
          <t>Región de Coquimbo</t>
        </is>
      </c>
      <c r="E6" s="2" t="n"/>
      <c r="F6" s="2" t="inlineStr">
        <is>
          <t>24,44</t>
        </is>
      </c>
      <c r="G6" s="2" t="inlineStr">
        <is>
          <t>Activo</t>
        </is>
      </c>
      <c r="H6" s="2" t="n"/>
    </row>
    <row r="7" ht="18" customHeight="1" s="176">
      <c r="A7" s="3" t="inlineStr">
        <is>
          <t>C04</t>
        </is>
      </c>
      <c r="B7" s="3" t="inlineStr">
        <is>
          <t>Mega Siberia</t>
        </is>
      </c>
      <c r="C7" s="3" t="inlineStr">
        <is>
          <t>SIB</t>
        </is>
      </c>
      <c r="D7" s="3" t="inlineStr">
        <is>
          <t>Región de Coquimbo</t>
        </is>
      </c>
      <c r="E7" s="3" t="n"/>
      <c r="F7" s="3" t="inlineStr">
        <is>
          <t>14,24</t>
        </is>
      </c>
      <c r="G7" s="3" t="inlineStr">
        <is>
          <t>Activo</t>
        </is>
      </c>
      <c r="H7" s="3" t="n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"/>
  <sheetViews>
    <sheetView showGridLines="0" workbookViewId="0">
      <pane ySplit="3" topLeftCell="A4" activePane="bottomLeft" state="frozen"/>
      <selection pane="bottomLeft" activeCell="A1" sqref="A1:N1"/>
    </sheetView>
  </sheetViews>
  <sheetFormatPr baseColWidth="10" defaultColWidth="8.83203125" defaultRowHeight="15"/>
  <cols>
    <col width="8" customWidth="1" style="176" min="1" max="1"/>
    <col width="16" customWidth="1" style="176" min="2" max="2"/>
    <col width="22" customWidth="1" style="176" min="3" max="3"/>
    <col width="12" customWidth="1" style="176" min="4" max="4"/>
    <col width="14" customWidth="1" style="176" min="5" max="5"/>
    <col width="11" customWidth="1" style="176" min="6" max="6"/>
    <col width="8" customWidth="1" style="176" min="7" max="8"/>
    <col width="9" customWidth="1" style="176" min="9" max="9"/>
    <col width="12" customWidth="1" style="176" min="10" max="10"/>
    <col width="8" customWidth="1" style="176" min="11" max="11"/>
    <col width="12" customWidth="1" style="176" min="12" max="12"/>
    <col width="14" customWidth="1" style="176" min="13" max="13"/>
    <col width="16" customWidth="1" style="176" min="14" max="14"/>
  </cols>
  <sheetData>
    <row r="1" ht="30" customHeight="1" s="176">
      <c r="A1" s="194" t="inlineStr">
        <is>
          <t>🌿  MAESTRO CENTROS DE COSTO — AGRÍCOLA MEGA  •  Temporada 2026/27</t>
        </is>
      </c>
    </row>
    <row r="2" ht="8" customHeight="1" s="176"/>
    <row r="3" ht="30" customHeight="1" s="176">
      <c r="A3" s="4" t="inlineStr">
        <is>
          <t>ID_CDC</t>
        </is>
      </c>
      <c r="B3" s="4" t="inlineStr">
        <is>
          <t>Campo</t>
        </is>
      </c>
      <c r="C3" s="4" t="inlineStr">
        <is>
          <t>Centro de Costo</t>
        </is>
      </c>
      <c r="D3" s="4" t="inlineStr">
        <is>
          <t>Especie</t>
        </is>
      </c>
      <c r="E3" s="4" t="inlineStr">
        <is>
          <t>Variedad</t>
        </is>
      </c>
      <c r="F3" s="4" t="inlineStr">
        <is>
          <t>Estado</t>
        </is>
      </c>
      <c r="G3" s="4" t="inlineStr">
        <is>
          <t>Há Total</t>
        </is>
      </c>
      <c r="H3" s="4" t="inlineStr">
        <is>
          <t>Há Produc.</t>
        </is>
      </c>
      <c r="I3" s="4" t="inlineStr">
        <is>
          <t>kg/há</t>
        </is>
      </c>
      <c r="J3" s="4" t="inlineStr">
        <is>
          <t>Precio USD/kg</t>
        </is>
      </c>
      <c r="K3" s="4" t="inlineStr">
        <is>
          <t>TC</t>
        </is>
      </c>
      <c r="L3" s="4" t="inlineStr">
        <is>
          <t>Precio CLP/kg</t>
        </is>
      </c>
      <c r="M3" s="4" t="inlineStr">
        <is>
          <t>Total kg est.</t>
        </is>
      </c>
      <c r="N3" s="4" t="inlineStr">
        <is>
          <t>Observaciones</t>
        </is>
      </c>
    </row>
    <row r="4" ht="18" customHeight="1" s="176">
      <c r="A4" s="2" t="inlineStr">
        <is>
          <t>CDC-01</t>
        </is>
      </c>
      <c r="B4" s="2" t="inlineStr">
        <is>
          <t>Asmara</t>
        </is>
      </c>
      <c r="C4" s="2" t="inlineStr">
        <is>
          <t>w. murcott 19,8 ha</t>
        </is>
      </c>
      <c r="D4" s="2" t="inlineStr">
        <is>
          <t>Mandarina</t>
        </is>
      </c>
      <c r="E4" s="2" t="inlineStr">
        <is>
          <t>W. murcott</t>
        </is>
      </c>
      <c r="F4" s="2" t="inlineStr">
        <is>
          <t>Producción</t>
        </is>
      </c>
      <c r="G4" s="5" t="n">
        <v>19.8</v>
      </c>
      <c r="H4" s="5" t="n">
        <v>19.8</v>
      </c>
      <c r="I4" s="6" t="n">
        <v>50000</v>
      </c>
      <c r="J4" s="7" t="n">
        <v>0.6</v>
      </c>
      <c r="K4" s="6" t="n">
        <v>900</v>
      </c>
      <c r="L4" s="8" t="n">
        <v>540</v>
      </c>
      <c r="M4" s="6" t="n">
        <v>990000</v>
      </c>
      <c r="N4" s="2" t="n"/>
    </row>
    <row r="5" ht="18" customHeight="1" s="176">
      <c r="A5" s="3" t="inlineStr">
        <is>
          <t>CDC-02</t>
        </is>
      </c>
      <c r="B5" s="3" t="inlineStr">
        <is>
          <t>Asmara</t>
        </is>
      </c>
      <c r="C5" s="3" t="inlineStr">
        <is>
          <t>w. murcott 4,9 ha</t>
        </is>
      </c>
      <c r="D5" s="3" t="inlineStr">
        <is>
          <t>Mandarina</t>
        </is>
      </c>
      <c r="E5" s="3" t="inlineStr">
        <is>
          <t>W. murcott</t>
        </is>
      </c>
      <c r="F5" s="3" t="inlineStr">
        <is>
          <t>Producción</t>
        </is>
      </c>
      <c r="G5" s="9" t="n">
        <v>4.9</v>
      </c>
      <c r="H5" s="9" t="n">
        <v>4.9</v>
      </c>
      <c r="I5" s="10" t="n">
        <v>50000</v>
      </c>
      <c r="J5" s="11" t="n">
        <v>0.6</v>
      </c>
      <c r="K5" s="10" t="n">
        <v>900</v>
      </c>
      <c r="L5" s="12" t="n">
        <v>540</v>
      </c>
      <c r="M5" s="10" t="n">
        <v>245000</v>
      </c>
      <c r="N5" s="3" t="n"/>
    </row>
    <row r="6" ht="18" customHeight="1" s="176">
      <c r="A6" s="13" t="inlineStr">
        <is>
          <t>CDC-03</t>
        </is>
      </c>
      <c r="B6" s="13" t="inlineStr">
        <is>
          <t>El Molle</t>
        </is>
      </c>
      <c r="C6" s="13" t="inlineStr">
        <is>
          <t>Wonderful 5,25 ha</t>
        </is>
      </c>
      <c r="D6" s="13" t="inlineStr">
        <is>
          <t>Granados</t>
        </is>
      </c>
      <c r="E6" s="13" t="inlineStr">
        <is>
          <t>Wonderfull</t>
        </is>
      </c>
      <c r="F6" s="13" t="inlineStr">
        <is>
          <t>Producción</t>
        </is>
      </c>
      <c r="G6" s="14" t="n">
        <v>5.24</v>
      </c>
      <c r="H6" s="14" t="n">
        <v>5.24</v>
      </c>
      <c r="I6" s="15" t="n">
        <v>22000</v>
      </c>
      <c r="J6" s="16" t="n">
        <v>0.77</v>
      </c>
      <c r="K6" s="15" t="n">
        <v>900</v>
      </c>
      <c r="L6" s="17" t="n">
        <v>693</v>
      </c>
      <c r="M6" s="15" t="n">
        <v>115280</v>
      </c>
      <c r="N6" s="13" t="n"/>
    </row>
    <row r="7" ht="18" customHeight="1" s="176">
      <c r="A7" s="13" t="inlineStr">
        <is>
          <t>CDC-04</t>
        </is>
      </c>
      <c r="B7" s="13" t="inlineStr">
        <is>
          <t>El Molle</t>
        </is>
      </c>
      <c r="C7" s="13" t="inlineStr">
        <is>
          <t>arrufatinas 5,74 ha</t>
        </is>
      </c>
      <c r="D7" s="13" t="inlineStr">
        <is>
          <t>Clementinas</t>
        </is>
      </c>
      <c r="E7" s="13" t="inlineStr">
        <is>
          <t>Arrufatinas</t>
        </is>
      </c>
      <c r="F7" s="13" t="inlineStr">
        <is>
          <t>Producción</t>
        </is>
      </c>
      <c r="G7" s="14" t="n">
        <v>5.74</v>
      </c>
      <c r="H7" s="14" t="n">
        <v>5.74</v>
      </c>
      <c r="I7" s="15" t="n">
        <v>32000</v>
      </c>
      <c r="J7" s="16" t="n">
        <v>0.77</v>
      </c>
      <c r="K7" s="15" t="n">
        <v>900</v>
      </c>
      <c r="L7" s="17" t="n">
        <v>693</v>
      </c>
      <c r="M7" s="15" t="n">
        <v>183680</v>
      </c>
      <c r="N7" s="13" t="n"/>
    </row>
    <row r="8" ht="18" customHeight="1" s="176">
      <c r="A8" s="13" t="inlineStr">
        <is>
          <t>CDC-05</t>
        </is>
      </c>
      <c r="B8" s="13" t="inlineStr">
        <is>
          <t>El Molle</t>
        </is>
      </c>
      <c r="C8" s="13" t="inlineStr">
        <is>
          <t>orogrande 8,11 ha</t>
        </is>
      </c>
      <c r="D8" s="13" t="inlineStr">
        <is>
          <t>Clementinas</t>
        </is>
      </c>
      <c r="E8" s="13" t="inlineStr">
        <is>
          <t>Orogrande</t>
        </is>
      </c>
      <c r="F8" s="13" t="inlineStr">
        <is>
          <t>Producción</t>
        </is>
      </c>
      <c r="G8" s="14" t="n">
        <v>8.109999999999999</v>
      </c>
      <c r="H8" s="14" t="n">
        <v>8.109999999999999</v>
      </c>
      <c r="I8" s="15" t="n">
        <v>35000</v>
      </c>
      <c r="J8" s="16" t="n">
        <v>0.77</v>
      </c>
      <c r="K8" s="15" t="n">
        <v>900</v>
      </c>
      <c r="L8" s="17" t="n">
        <v>693</v>
      </c>
      <c r="M8" s="15" t="n">
        <v>283850</v>
      </c>
      <c r="N8" s="13" t="n"/>
    </row>
    <row r="9" ht="18" customHeight="1" s="176">
      <c r="A9" s="13" t="inlineStr">
        <is>
          <t>CDC-06</t>
        </is>
      </c>
      <c r="B9" s="13" t="inlineStr">
        <is>
          <t>El Molle</t>
        </is>
      </c>
      <c r="C9" s="13" t="inlineStr">
        <is>
          <t>oronules 5,35 ha</t>
        </is>
      </c>
      <c r="D9" s="13" t="inlineStr">
        <is>
          <t>Clementinas</t>
        </is>
      </c>
      <c r="E9" s="13" t="inlineStr">
        <is>
          <t>Oronules</t>
        </is>
      </c>
      <c r="F9" s="13" t="inlineStr">
        <is>
          <t>Producción</t>
        </is>
      </c>
      <c r="G9" s="14" t="n">
        <v>5.35</v>
      </c>
      <c r="H9" s="14" t="n">
        <v>5.35</v>
      </c>
      <c r="I9" s="15" t="n">
        <v>30000</v>
      </c>
      <c r="J9" s="16" t="n">
        <v>0.77</v>
      </c>
      <c r="K9" s="15" t="n">
        <v>900</v>
      </c>
      <c r="L9" s="17" t="n">
        <v>693</v>
      </c>
      <c r="M9" s="15" t="n">
        <v>160500</v>
      </c>
      <c r="N9" s="13" t="n"/>
    </row>
    <row r="10" ht="18" customHeight="1" s="176">
      <c r="A10" s="2" t="inlineStr">
        <is>
          <t>CDC-07</t>
        </is>
      </c>
      <c r="B10" s="2" t="inlineStr">
        <is>
          <t>Santa Catalina</t>
        </is>
      </c>
      <c r="C10" s="2" t="inlineStr">
        <is>
          <t>Fino 49 7,7 ha</t>
        </is>
      </c>
      <c r="D10" s="2" t="inlineStr">
        <is>
          <t>Limon</t>
        </is>
      </c>
      <c r="E10" s="2" t="inlineStr">
        <is>
          <t>Fino 49</t>
        </is>
      </c>
      <c r="F10" s="2" t="inlineStr">
        <is>
          <t>Producción</t>
        </is>
      </c>
      <c r="G10" s="5" t="n">
        <v>7.7</v>
      </c>
      <c r="H10" s="5" t="n">
        <v>7.7</v>
      </c>
      <c r="I10" s="6" t="n">
        <v>70000</v>
      </c>
      <c r="J10" s="7" t="n">
        <v>0.35</v>
      </c>
      <c r="K10" s="6" t="n">
        <v>900</v>
      </c>
      <c r="L10" s="8" t="n">
        <v>315</v>
      </c>
      <c r="M10" s="6" t="n">
        <v>539000</v>
      </c>
      <c r="N10" s="2" t="n"/>
    </row>
    <row r="11" ht="18" customHeight="1" s="176">
      <c r="A11" s="3" t="inlineStr">
        <is>
          <t>CDC-08</t>
        </is>
      </c>
      <c r="B11" s="3" t="inlineStr">
        <is>
          <t>Santa Catalina</t>
        </is>
      </c>
      <c r="C11" s="3" t="inlineStr">
        <is>
          <t>W. murcott 21 ha</t>
        </is>
      </c>
      <c r="D11" s="3" t="inlineStr">
        <is>
          <t>Mandarina</t>
        </is>
      </c>
      <c r="E11" s="3" t="inlineStr">
        <is>
          <t>W. murcott</t>
        </is>
      </c>
      <c r="F11" s="3" t="inlineStr">
        <is>
          <t>Producción</t>
        </is>
      </c>
      <c r="G11" s="9" t="n">
        <v>21</v>
      </c>
      <c r="H11" s="9" t="n">
        <v>21</v>
      </c>
      <c r="I11" s="10" t="n">
        <v>50000</v>
      </c>
      <c r="J11" s="11" t="n">
        <v>0.6</v>
      </c>
      <c r="K11" s="10" t="n">
        <v>900</v>
      </c>
      <c r="L11" s="12" t="n">
        <v>540</v>
      </c>
      <c r="M11" s="10" t="n">
        <v>1050000</v>
      </c>
      <c r="N11" s="3" t="n"/>
    </row>
    <row r="12" ht="18" customHeight="1" s="176">
      <c r="A12" s="2" t="inlineStr">
        <is>
          <t>CDC-09</t>
        </is>
      </c>
      <c r="B12" s="2" t="inlineStr">
        <is>
          <t>Santa Catalina</t>
        </is>
      </c>
      <c r="C12" s="2" t="inlineStr">
        <is>
          <t>cambria 4,2 ha</t>
        </is>
      </c>
      <c r="D12" s="2" t="inlineStr">
        <is>
          <t>Naranjas</t>
        </is>
      </c>
      <c r="E12" s="2" t="inlineStr">
        <is>
          <t>Cambria</t>
        </is>
      </c>
      <c r="F12" s="2" t="inlineStr">
        <is>
          <t>Mantención</t>
        </is>
      </c>
      <c r="G12" s="5" t="n">
        <v>4.2</v>
      </c>
      <c r="H12" s="5" t="n">
        <v>0</v>
      </c>
      <c r="I12" s="6" t="n">
        <v>20000</v>
      </c>
      <c r="J12" s="7" t="n">
        <v>0</v>
      </c>
      <c r="K12" s="6" t="n">
        <v>900</v>
      </c>
      <c r="L12" s="8" t="n">
        <v>0</v>
      </c>
      <c r="M12" s="6" t="n">
        <v>0</v>
      </c>
      <c r="N12" s="2" t="n"/>
    </row>
    <row r="13" ht="18" customHeight="1" s="176">
      <c r="A13" s="3" t="inlineStr">
        <is>
          <t>CDC-10</t>
        </is>
      </c>
      <c r="B13" s="3" t="inlineStr">
        <is>
          <t>Santa Catalina</t>
        </is>
      </c>
      <c r="C13" s="3" t="inlineStr">
        <is>
          <t>eureka 10,6 ha</t>
        </is>
      </c>
      <c r="D13" s="3" t="inlineStr">
        <is>
          <t>Limon</t>
        </is>
      </c>
      <c r="E13" s="3" t="inlineStr">
        <is>
          <t>Eureka</t>
        </is>
      </c>
      <c r="F13" s="3" t="inlineStr">
        <is>
          <t>Producción</t>
        </is>
      </c>
      <c r="G13" s="9" t="n">
        <v>10.6</v>
      </c>
      <c r="H13" s="9" t="n">
        <v>10.6</v>
      </c>
      <c r="I13" s="10" t="n">
        <v>70000</v>
      </c>
      <c r="J13" s="11" t="n">
        <v>0.35</v>
      </c>
      <c r="K13" s="10" t="n">
        <v>900</v>
      </c>
      <c r="L13" s="12" t="n">
        <v>315</v>
      </c>
      <c r="M13" s="10" t="n">
        <v>742000</v>
      </c>
      <c r="N13" s="3" t="n"/>
    </row>
    <row r="14" ht="18" customHeight="1" s="176">
      <c r="A14" s="2" t="inlineStr">
        <is>
          <t>CDC-11</t>
        </is>
      </c>
      <c r="B14" s="2" t="inlineStr">
        <is>
          <t>Santa Catalina</t>
        </is>
      </c>
      <c r="C14" s="2" t="inlineStr">
        <is>
          <t>eureka 14,4 ha</t>
        </is>
      </c>
      <c r="D14" s="2" t="inlineStr">
        <is>
          <t>Limon</t>
        </is>
      </c>
      <c r="E14" s="2" t="inlineStr">
        <is>
          <t>Eureka</t>
        </is>
      </c>
      <c r="F14" s="2" t="inlineStr">
        <is>
          <t>Producción</t>
        </is>
      </c>
      <c r="G14" s="5" t="n">
        <v>14.4</v>
      </c>
      <c r="H14" s="5" t="n">
        <v>14.4</v>
      </c>
      <c r="I14" s="6" t="n">
        <v>70000</v>
      </c>
      <c r="J14" s="7" t="n">
        <v>0.35</v>
      </c>
      <c r="K14" s="6" t="n">
        <v>900</v>
      </c>
      <c r="L14" s="8" t="n">
        <v>315</v>
      </c>
      <c r="M14" s="6" t="n">
        <v>1008000</v>
      </c>
      <c r="N14" s="2" t="n"/>
    </row>
    <row r="15" ht="18" customHeight="1" s="176">
      <c r="A15" s="3" t="inlineStr">
        <is>
          <t>CDC-12</t>
        </is>
      </c>
      <c r="B15" s="3" t="inlineStr">
        <is>
          <t>Santa Catalina</t>
        </is>
      </c>
      <c r="C15" s="3" t="inlineStr">
        <is>
          <t>eureka 22,55</t>
        </is>
      </c>
      <c r="D15" s="3" t="inlineStr">
        <is>
          <t>Limon</t>
        </is>
      </c>
      <c r="E15" s="3" t="inlineStr">
        <is>
          <t>Eureka</t>
        </is>
      </c>
      <c r="F15" s="3" t="inlineStr">
        <is>
          <t>Producción</t>
        </is>
      </c>
      <c r="G15" s="9" t="n">
        <v>22.55</v>
      </c>
      <c r="H15" s="9" t="n">
        <v>22.55</v>
      </c>
      <c r="I15" s="10" t="n">
        <v>70000</v>
      </c>
      <c r="J15" s="11" t="n">
        <v>0.35</v>
      </c>
      <c r="K15" s="10" t="n">
        <v>900</v>
      </c>
      <c r="L15" s="12" t="n">
        <v>315</v>
      </c>
      <c r="M15" s="10" t="n">
        <v>1578500</v>
      </c>
      <c r="N15" s="3" t="n"/>
    </row>
    <row r="16" ht="18" customHeight="1" s="176">
      <c r="A16" s="2" t="inlineStr">
        <is>
          <t>CDC-13</t>
        </is>
      </c>
      <c r="B16" s="2" t="inlineStr">
        <is>
          <t>Santa Catalina</t>
        </is>
      </c>
      <c r="C16" s="2" t="inlineStr">
        <is>
          <t>form benjamin 1,93 ha</t>
        </is>
      </c>
      <c r="D16" s="2" t="inlineStr">
        <is>
          <t>Limon</t>
        </is>
      </c>
      <c r="E16" s="2" t="inlineStr">
        <is>
          <t>Benjamin andes</t>
        </is>
      </c>
      <c r="F16" s="2" t="inlineStr">
        <is>
          <t>Formación</t>
        </is>
      </c>
      <c r="G16" s="5" t="n">
        <v>1.93</v>
      </c>
      <c r="H16" s="5" t="n">
        <v>0</v>
      </c>
      <c r="I16" s="6" t="n">
        <v>0</v>
      </c>
      <c r="J16" s="7" t="n">
        <v>0.35</v>
      </c>
      <c r="K16" s="6" t="n">
        <v>900</v>
      </c>
      <c r="L16" s="8" t="n">
        <v>315</v>
      </c>
      <c r="M16" s="6" t="n">
        <v>0</v>
      </c>
      <c r="N16" s="2" t="n"/>
    </row>
    <row r="17" ht="18" customHeight="1" s="176">
      <c r="A17" s="3" t="inlineStr">
        <is>
          <t>CDC-14</t>
        </is>
      </c>
      <c r="B17" s="3" t="inlineStr">
        <is>
          <t>Santa Catalina</t>
        </is>
      </c>
      <c r="C17" s="3" t="inlineStr">
        <is>
          <t>mant eureka 2,5 ha</t>
        </is>
      </c>
      <c r="D17" s="3" t="inlineStr">
        <is>
          <t>Limon</t>
        </is>
      </c>
      <c r="E17" s="3" t="inlineStr">
        <is>
          <t>Eureka</t>
        </is>
      </c>
      <c r="F17" s="3" t="inlineStr">
        <is>
          <t>Mantención</t>
        </is>
      </c>
      <c r="G17" s="9" t="n">
        <v>2.5</v>
      </c>
      <c r="H17" s="9" t="n">
        <v>0</v>
      </c>
      <c r="I17" s="10" t="n">
        <v>0</v>
      </c>
      <c r="J17" s="11" t="n">
        <v>0.35</v>
      </c>
      <c r="K17" s="10" t="n">
        <v>900</v>
      </c>
      <c r="L17" s="12" t="n">
        <v>315</v>
      </c>
      <c r="M17" s="10" t="n">
        <v>0</v>
      </c>
      <c r="N17" s="3" t="n"/>
    </row>
    <row r="18" ht="18" customHeight="1" s="176">
      <c r="A18" s="2" t="inlineStr">
        <is>
          <t>CDC-15</t>
        </is>
      </c>
      <c r="B18" s="2" t="inlineStr">
        <is>
          <t>Siberia</t>
        </is>
      </c>
      <c r="C18" s="2" t="inlineStr">
        <is>
          <t>S. Celebration 7,14</t>
        </is>
      </c>
      <c r="D18" s="2" t="inlineStr">
        <is>
          <t>Uvas</t>
        </is>
      </c>
      <c r="E18" s="2" t="inlineStr">
        <is>
          <t>S. celebration</t>
        </is>
      </c>
      <c r="F18" s="2" t="inlineStr">
        <is>
          <t>Producción</t>
        </is>
      </c>
      <c r="G18" s="5" t="n">
        <v>7.14</v>
      </c>
      <c r="H18" s="5" t="n">
        <v>7.14</v>
      </c>
      <c r="I18" s="6" t="n">
        <v>30340</v>
      </c>
      <c r="J18" s="7" t="n">
        <v>1.2</v>
      </c>
      <c r="K18" s="6" t="n">
        <v>900</v>
      </c>
      <c r="L18" s="8" t="n">
        <v>1080</v>
      </c>
      <c r="M18" s="6" t="n">
        <v>216627.6</v>
      </c>
      <c r="N18" s="2" t="n"/>
    </row>
    <row r="19" ht="18" customHeight="1" s="176">
      <c r="A19" s="3" t="inlineStr">
        <is>
          <t>CDC-16</t>
        </is>
      </c>
      <c r="B19" s="3" t="inlineStr">
        <is>
          <t>Siberia</t>
        </is>
      </c>
      <c r="C19" s="3" t="inlineStr">
        <is>
          <t>Timpson 7,1</t>
        </is>
      </c>
      <c r="D19" s="3" t="inlineStr">
        <is>
          <t>Uvas</t>
        </is>
      </c>
      <c r="E19" s="3" t="inlineStr">
        <is>
          <t>Timpson</t>
        </is>
      </c>
      <c r="F19" s="3" t="inlineStr">
        <is>
          <t>Producción</t>
        </is>
      </c>
      <c r="G19" s="9" t="n">
        <v>7.1</v>
      </c>
      <c r="H19" s="9" t="n">
        <v>7.1</v>
      </c>
      <c r="I19" s="10" t="n">
        <v>24600</v>
      </c>
      <c r="J19" s="11" t="n">
        <v>1.3</v>
      </c>
      <c r="K19" s="10" t="n">
        <v>900</v>
      </c>
      <c r="L19" s="12" t="n">
        <v>1170</v>
      </c>
      <c r="M19" s="10" t="n">
        <v>174660</v>
      </c>
      <c r="N19" s="3" t="n"/>
    </row>
  </sheetData>
  <mergeCells count="1"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3" topLeftCell="A4" activePane="bottomLeft" state="frozen"/>
      <selection pane="bottomLeft" activeCell="A1" sqref="A1:J1"/>
    </sheetView>
  </sheetViews>
  <sheetFormatPr baseColWidth="10" defaultColWidth="8.83203125" defaultRowHeight="15"/>
  <cols>
    <col width="6" customWidth="1" style="176" min="1" max="1"/>
    <col width="12" customWidth="1" style="176" min="2" max="2"/>
    <col width="16" customWidth="1" style="176" min="3" max="3"/>
    <col width="10" customWidth="1" style="176" min="4" max="4"/>
    <col width="14" customWidth="1" style="176" min="5" max="5"/>
    <col width="8" customWidth="1" style="176" min="6" max="6"/>
    <col width="14" customWidth="1" style="176" min="7" max="7"/>
    <col width="12" customWidth="1" style="176" min="8" max="8"/>
    <col width="8" customWidth="1" style="176" min="9" max="9"/>
    <col width="14" customWidth="1" style="176" min="10" max="10"/>
  </cols>
  <sheetData>
    <row r="1" ht="30" customHeight="1" s="176">
      <c r="A1" s="194" t="inlineStr">
        <is>
          <t>🌿  MAESTRO DE ESPECIES Y VARIEDADES — AGRÍCOLA MEGA  •  2026/27</t>
        </is>
      </c>
    </row>
    <row r="2" ht="8" customHeight="1" s="176"/>
    <row r="3" ht="30" customHeight="1" s="176">
      <c r="A3" s="4" t="inlineStr">
        <is>
          <t>ID</t>
        </is>
      </c>
      <c r="B3" s="4" t="inlineStr">
        <is>
          <t>Especie</t>
        </is>
      </c>
      <c r="C3" s="4" t="inlineStr">
        <is>
          <t>Variedad</t>
        </is>
      </c>
      <c r="D3" s="4" t="inlineStr">
        <is>
          <t>Tipo Fruta</t>
        </is>
      </c>
      <c r="E3" s="4" t="inlineStr">
        <is>
          <t>Meses Cosecha</t>
        </is>
      </c>
      <c r="F3" s="4" t="inlineStr">
        <is>
          <t>Und. Prod.</t>
        </is>
      </c>
      <c r="G3" s="4" t="inlineStr">
        <is>
          <t>Precio EXP USD/kg</t>
        </is>
      </c>
      <c r="H3" s="4" t="inlineStr">
        <is>
          <t>Precio MI $/kg</t>
        </is>
      </c>
      <c r="I3" s="4" t="inlineStr">
        <is>
          <t>TC Ref.</t>
        </is>
      </c>
      <c r="J3" s="4" t="inlineStr">
        <is>
          <t>Precio EXP CLP/kg</t>
        </is>
      </c>
    </row>
    <row r="4" ht="18" customHeight="1" s="176">
      <c r="A4" s="2" t="inlineStr">
        <is>
          <t>E01</t>
        </is>
      </c>
      <c r="B4" s="2" t="inlineStr">
        <is>
          <t>Mandarina</t>
        </is>
      </c>
      <c r="C4" s="2" t="inlineStr">
        <is>
          <t>W. Murcott</t>
        </is>
      </c>
      <c r="D4" s="2" t="inlineStr">
        <is>
          <t>Cítrico</t>
        </is>
      </c>
      <c r="E4" s="2" t="inlineStr">
        <is>
          <t>Jul-Sep</t>
        </is>
      </c>
      <c r="F4" s="2" t="inlineStr">
        <is>
          <t>Kg</t>
        </is>
      </c>
      <c r="G4" s="7" t="n">
        <v>0.6</v>
      </c>
      <c r="H4" s="8" t="n">
        <v>500</v>
      </c>
      <c r="I4" s="6" t="n">
        <v>900</v>
      </c>
      <c r="J4" s="8" t="n">
        <v>540</v>
      </c>
    </row>
    <row r="5" ht="18" customHeight="1" s="176">
      <c r="A5" s="3" t="inlineStr">
        <is>
          <t>E02</t>
        </is>
      </c>
      <c r="B5" s="3" t="inlineStr">
        <is>
          <t>Clementina</t>
        </is>
      </c>
      <c r="C5" s="3" t="inlineStr">
        <is>
          <t>Arrufatinas</t>
        </is>
      </c>
      <c r="D5" s="3" t="inlineStr">
        <is>
          <t>Cítrico</t>
        </is>
      </c>
      <c r="E5" s="3" t="inlineStr">
        <is>
          <t>Jun-Jul</t>
        </is>
      </c>
      <c r="F5" s="3" t="inlineStr">
        <is>
          <t>Kg</t>
        </is>
      </c>
      <c r="G5" s="11" t="n">
        <v>0.77</v>
      </c>
      <c r="H5" s="12" t="n">
        <v>100</v>
      </c>
      <c r="I5" s="10" t="n">
        <v>900</v>
      </c>
      <c r="J5" s="12" t="n">
        <v>693</v>
      </c>
    </row>
    <row r="6" ht="18" customHeight="1" s="176">
      <c r="A6" s="2" t="inlineStr">
        <is>
          <t>E03</t>
        </is>
      </c>
      <c r="B6" s="2" t="inlineStr">
        <is>
          <t>Clementina</t>
        </is>
      </c>
      <c r="C6" s="2" t="inlineStr">
        <is>
          <t>Oronules</t>
        </is>
      </c>
      <c r="D6" s="2" t="inlineStr">
        <is>
          <t>Cítrico</t>
        </is>
      </c>
      <c r="E6" s="2" t="inlineStr">
        <is>
          <t>Jun-Jul</t>
        </is>
      </c>
      <c r="F6" s="2" t="inlineStr">
        <is>
          <t>Kg</t>
        </is>
      </c>
      <c r="G6" s="7" t="n">
        <v>0.77</v>
      </c>
      <c r="H6" s="8" t="n">
        <v>100</v>
      </c>
      <c r="I6" s="6" t="n">
        <v>900</v>
      </c>
      <c r="J6" s="8" t="n">
        <v>693</v>
      </c>
    </row>
    <row r="7" ht="18" customHeight="1" s="176">
      <c r="A7" s="3" t="inlineStr">
        <is>
          <t>E04</t>
        </is>
      </c>
      <c r="B7" s="3" t="inlineStr">
        <is>
          <t>Clementina</t>
        </is>
      </c>
      <c r="C7" s="3" t="inlineStr">
        <is>
          <t>Orogrande</t>
        </is>
      </c>
      <c r="D7" s="3" t="inlineStr">
        <is>
          <t>Cítrico</t>
        </is>
      </c>
      <c r="E7" s="3" t="inlineStr">
        <is>
          <t>Jul-Ago</t>
        </is>
      </c>
      <c r="F7" s="3" t="inlineStr">
        <is>
          <t>Kg</t>
        </is>
      </c>
      <c r="G7" s="11" t="n">
        <v>0.77</v>
      </c>
      <c r="H7" s="12" t="n">
        <v>80</v>
      </c>
      <c r="I7" s="10" t="n">
        <v>900</v>
      </c>
      <c r="J7" s="12" t="n">
        <v>693</v>
      </c>
    </row>
    <row r="8" ht="18" customHeight="1" s="176">
      <c r="A8" s="2" t="inlineStr">
        <is>
          <t>E05</t>
        </is>
      </c>
      <c r="B8" s="2" t="inlineStr">
        <is>
          <t>Limón</t>
        </is>
      </c>
      <c r="C8" s="2" t="inlineStr">
        <is>
          <t>Eureka</t>
        </is>
      </c>
      <c r="D8" s="2" t="inlineStr">
        <is>
          <t>Cítrico</t>
        </is>
      </c>
      <c r="E8" s="2" t="inlineStr">
        <is>
          <t>Todo año</t>
        </is>
      </c>
      <c r="F8" s="2" t="inlineStr">
        <is>
          <t>Kg</t>
        </is>
      </c>
      <c r="G8" s="7" t="n">
        <v>0.35</v>
      </c>
      <c r="H8" s="8" t="n">
        <v>100</v>
      </c>
      <c r="I8" s="6" t="n">
        <v>900</v>
      </c>
      <c r="J8" s="8" t="n">
        <v>315</v>
      </c>
    </row>
    <row r="9" ht="18" customHeight="1" s="176">
      <c r="A9" s="3" t="inlineStr">
        <is>
          <t>E06</t>
        </is>
      </c>
      <c r="B9" s="3" t="inlineStr">
        <is>
          <t>Limón</t>
        </is>
      </c>
      <c r="C9" s="3" t="inlineStr">
        <is>
          <t>Fino 49</t>
        </is>
      </c>
      <c r="D9" s="3" t="inlineStr">
        <is>
          <t>Cítrico</t>
        </is>
      </c>
      <c r="E9" s="3" t="inlineStr">
        <is>
          <t>Todo año</t>
        </is>
      </c>
      <c r="F9" s="3" t="inlineStr">
        <is>
          <t>Kg</t>
        </is>
      </c>
      <c r="G9" s="11" t="n">
        <v>0.35</v>
      </c>
      <c r="H9" s="12" t="n">
        <v>100</v>
      </c>
      <c r="I9" s="10" t="n">
        <v>900</v>
      </c>
      <c r="J9" s="12" t="n">
        <v>315</v>
      </c>
    </row>
    <row r="10" ht="18" customHeight="1" s="176">
      <c r="A10" s="2" t="inlineStr">
        <is>
          <t>E07</t>
        </is>
      </c>
      <c r="B10" s="2" t="inlineStr">
        <is>
          <t>Naranja</t>
        </is>
      </c>
      <c r="C10" s="2" t="inlineStr">
        <is>
          <t>Cambria</t>
        </is>
      </c>
      <c r="D10" s="2" t="inlineStr">
        <is>
          <t>Cítrico</t>
        </is>
      </c>
      <c r="E10" s="2" t="inlineStr">
        <is>
          <t>Sep-Nov</t>
        </is>
      </c>
      <c r="F10" s="2" t="inlineStr">
        <is>
          <t>Kg</t>
        </is>
      </c>
      <c r="G10" s="7" t="n">
        <v>0</v>
      </c>
      <c r="H10" s="8" t="n">
        <v>0</v>
      </c>
      <c r="I10" s="6" t="n">
        <v>900</v>
      </c>
      <c r="J10" s="8" t="n">
        <v>0</v>
      </c>
    </row>
    <row r="11" ht="18" customHeight="1" s="176">
      <c r="A11" s="3" t="inlineStr">
        <is>
          <t>E08</t>
        </is>
      </c>
      <c r="B11" s="3" t="inlineStr">
        <is>
          <t>Uva de Mesa</t>
        </is>
      </c>
      <c r="C11" s="3" t="inlineStr">
        <is>
          <t>S. Celebration</t>
        </is>
      </c>
      <c r="D11" s="3" t="inlineStr">
        <is>
          <t>Vid</t>
        </is>
      </c>
      <c r="E11" s="3" t="inlineStr">
        <is>
          <t>Ene-Mar</t>
        </is>
      </c>
      <c r="F11" s="3" t="inlineStr">
        <is>
          <t>Kg</t>
        </is>
      </c>
      <c r="G11" s="11" t="n">
        <v>1.2</v>
      </c>
      <c r="H11" s="12" t="n">
        <v>800</v>
      </c>
      <c r="I11" s="10" t="n">
        <v>900</v>
      </c>
      <c r="J11" s="12" t="n">
        <v>1080</v>
      </c>
    </row>
    <row r="12" ht="18" customHeight="1" s="176">
      <c r="A12" s="2" t="inlineStr">
        <is>
          <t>E09</t>
        </is>
      </c>
      <c r="B12" s="2" t="inlineStr">
        <is>
          <t>Uva de Mesa</t>
        </is>
      </c>
      <c r="C12" s="2" t="inlineStr">
        <is>
          <t>Timpson</t>
        </is>
      </c>
      <c r="D12" s="2" t="inlineStr">
        <is>
          <t>Vid</t>
        </is>
      </c>
      <c r="E12" s="2" t="inlineStr">
        <is>
          <t>Ene-Mar</t>
        </is>
      </c>
      <c r="F12" s="2" t="inlineStr">
        <is>
          <t>Kg</t>
        </is>
      </c>
      <c r="G12" s="7" t="n">
        <v>1.3</v>
      </c>
      <c r="H12" s="8" t="n">
        <v>900</v>
      </c>
      <c r="I12" s="6" t="n">
        <v>900</v>
      </c>
      <c r="J12" s="8" t="n">
        <v>1170</v>
      </c>
    </row>
    <row r="13" ht="18" customHeight="1" s="176">
      <c r="A13" s="3" t="inlineStr">
        <is>
          <t>E10</t>
        </is>
      </c>
      <c r="B13" s="3" t="inlineStr">
        <is>
          <t>Granado</t>
        </is>
      </c>
      <c r="C13" s="3" t="inlineStr">
        <is>
          <t>Wonderful</t>
        </is>
      </c>
      <c r="D13" s="3" t="inlineStr">
        <is>
          <t>Granado</t>
        </is>
      </c>
      <c r="E13" s="3" t="inlineStr">
        <is>
          <t>Oct-Dic</t>
        </is>
      </c>
      <c r="F13" s="3" t="inlineStr">
        <is>
          <t>Kg</t>
        </is>
      </c>
      <c r="G13" s="11" t="n">
        <v>0.77</v>
      </c>
      <c r="H13" s="12" t="n">
        <v>400</v>
      </c>
      <c r="I13" s="10" t="n">
        <v>900</v>
      </c>
      <c r="J13" s="12" t="n">
        <v>693</v>
      </c>
    </row>
    <row r="14" ht="18" customHeight="1" s="176">
      <c r="A14" s="2" t="inlineStr">
        <is>
          <t>E11</t>
        </is>
      </c>
      <c r="B14" s="2" t="inlineStr">
        <is>
          <t>Limón</t>
        </is>
      </c>
      <c r="C14" s="2" t="inlineStr">
        <is>
          <t>Benjamin Andes</t>
        </is>
      </c>
      <c r="D14" s="2" t="inlineStr">
        <is>
          <t>Cítrico</t>
        </is>
      </c>
      <c r="E14" s="2" t="inlineStr">
        <is>
          <t>En formación</t>
        </is>
      </c>
      <c r="F14" s="2" t="inlineStr">
        <is>
          <t>Kg</t>
        </is>
      </c>
      <c r="G14" s="7" t="n">
        <v>0.35</v>
      </c>
      <c r="H14" s="8" t="n">
        <v>0</v>
      </c>
      <c r="I14" s="6" t="n">
        <v>900</v>
      </c>
      <c r="J14" s="8" t="n">
        <v>315</v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0"/>
  <sheetViews>
    <sheetView showGridLines="0" workbookViewId="0">
      <pane ySplit="3" topLeftCell="A19" activePane="bottomLeft" state="frozen"/>
      <selection pane="bottomLeft" activeCell="J17" sqref="J17"/>
    </sheetView>
  </sheetViews>
  <sheetFormatPr baseColWidth="10" defaultColWidth="8.83203125" defaultRowHeight="15"/>
  <cols>
    <col width="9" customWidth="1" style="176" min="1" max="1"/>
    <col width="6" customWidth="1" style="176" min="2" max="2"/>
    <col width="14" customWidth="1" style="176" min="3" max="4"/>
    <col width="22" customWidth="1" style="176" min="5" max="6"/>
  </cols>
  <sheetData>
    <row r="1" ht="30" customHeight="1" s="176">
      <c r="A1" s="194" t="inlineStr">
        <is>
          <t>💱  MAESTRO TIPO DE CAMBIO POR SEMANA — Temporada 2026/27</t>
        </is>
      </c>
    </row>
    <row r="2" ht="8" customHeight="1" s="176"/>
    <row r="3" ht="30" customHeight="1" s="176">
      <c r="A3" s="4" t="inlineStr">
        <is>
          <t>Semana</t>
        </is>
      </c>
      <c r="B3" s="4" t="inlineStr">
        <is>
          <t>Año</t>
        </is>
      </c>
      <c r="C3" s="4" t="inlineStr">
        <is>
          <t>Fecha Inicio</t>
        </is>
      </c>
      <c r="D3" s="4" t="inlineStr">
        <is>
          <t>Fecha Fin</t>
        </is>
      </c>
      <c r="E3" s="4" t="inlineStr">
        <is>
          <t>TC Referencia (CLP/USD)</t>
        </is>
      </c>
      <c r="F3" s="4" t="inlineStr">
        <is>
          <t>TC Real (CLP/USD)</t>
        </is>
      </c>
    </row>
    <row r="4" ht="16" customHeight="1" s="176">
      <c r="A4" s="6" t="n">
        <v>18</v>
      </c>
      <c r="B4" s="18" t="n">
        <v>2026</v>
      </c>
      <c r="C4" s="19" t="n">
        <v>46139</v>
      </c>
      <c r="D4" s="19" t="n">
        <v>46145</v>
      </c>
      <c r="E4" s="20" t="n">
        <v>900</v>
      </c>
      <c r="F4" s="21" t="n"/>
    </row>
    <row r="5" ht="16" customHeight="1" s="176">
      <c r="A5" s="10" t="n">
        <v>19</v>
      </c>
      <c r="B5" s="22" t="n">
        <v>2026</v>
      </c>
      <c r="C5" s="19" t="n">
        <v>46146</v>
      </c>
      <c r="D5" s="19" t="n">
        <v>46152</v>
      </c>
      <c r="E5" s="20" t="n">
        <v>900</v>
      </c>
      <c r="F5" s="21" t="n"/>
    </row>
    <row r="6" ht="16" customHeight="1" s="176">
      <c r="A6" s="6" t="n">
        <v>20</v>
      </c>
      <c r="B6" s="18" t="n">
        <v>2026</v>
      </c>
      <c r="C6" s="19" t="n">
        <v>46153</v>
      </c>
      <c r="D6" s="19" t="n">
        <v>46159</v>
      </c>
      <c r="E6" s="20" t="n">
        <v>900</v>
      </c>
      <c r="F6" s="21" t="n"/>
    </row>
    <row r="7" ht="16" customHeight="1" s="176">
      <c r="A7" s="10" t="n">
        <v>21</v>
      </c>
      <c r="B7" s="22" t="n">
        <v>2026</v>
      </c>
      <c r="C7" s="19" t="n">
        <v>46160</v>
      </c>
      <c r="D7" s="19" t="n">
        <v>46166</v>
      </c>
      <c r="E7" s="20" t="n">
        <v>900</v>
      </c>
      <c r="F7" s="21" t="n"/>
    </row>
    <row r="8" ht="16" customHeight="1" s="176">
      <c r="A8" s="6" t="n">
        <v>22</v>
      </c>
      <c r="B8" s="18" t="n">
        <v>2026</v>
      </c>
      <c r="C8" s="19" t="n">
        <v>46167</v>
      </c>
      <c r="D8" s="19" t="n">
        <v>46173</v>
      </c>
      <c r="E8" s="20" t="n">
        <v>900</v>
      </c>
      <c r="F8" s="21" t="n"/>
    </row>
    <row r="9" ht="16" customHeight="1" s="176">
      <c r="A9" s="10" t="n">
        <v>23</v>
      </c>
      <c r="B9" s="22" t="n">
        <v>2026</v>
      </c>
      <c r="C9" s="19" t="n">
        <v>46174</v>
      </c>
      <c r="D9" s="19" t="n">
        <v>46180</v>
      </c>
      <c r="E9" s="20" t="n">
        <v>900</v>
      </c>
      <c r="F9" s="21" t="n"/>
    </row>
    <row r="10" ht="16" customHeight="1" s="176">
      <c r="A10" s="6" t="n">
        <v>24</v>
      </c>
      <c r="B10" s="18" t="n">
        <v>2026</v>
      </c>
      <c r="C10" s="19" t="n">
        <v>46181</v>
      </c>
      <c r="D10" s="19" t="n">
        <v>46187</v>
      </c>
      <c r="E10" s="20" t="n">
        <v>900</v>
      </c>
      <c r="F10" s="21" t="n"/>
    </row>
    <row r="11" ht="16" customHeight="1" s="176">
      <c r="A11" s="10" t="n">
        <v>25</v>
      </c>
      <c r="B11" s="22" t="n">
        <v>2026</v>
      </c>
      <c r="C11" s="19" t="n">
        <v>46188</v>
      </c>
      <c r="D11" s="19" t="n">
        <v>46194</v>
      </c>
      <c r="E11" s="20" t="n">
        <v>900</v>
      </c>
      <c r="F11" s="21" t="n"/>
    </row>
    <row r="12" ht="16" customHeight="1" s="176">
      <c r="A12" s="6" t="n">
        <v>26</v>
      </c>
      <c r="B12" s="18" t="n">
        <v>2026</v>
      </c>
      <c r="C12" s="19" t="n">
        <v>46195</v>
      </c>
      <c r="D12" s="19" t="n">
        <v>46201</v>
      </c>
      <c r="E12" s="20" t="n">
        <v>900</v>
      </c>
      <c r="F12" s="21" t="n"/>
    </row>
    <row r="13" ht="16" customHeight="1" s="176">
      <c r="A13" s="10" t="n">
        <v>27</v>
      </c>
      <c r="B13" s="22" t="n">
        <v>2026</v>
      </c>
      <c r="C13" s="19" t="n">
        <v>46202</v>
      </c>
      <c r="D13" s="19" t="n">
        <v>46208</v>
      </c>
      <c r="E13" s="20" t="n">
        <v>900</v>
      </c>
      <c r="F13" s="21" t="n"/>
    </row>
    <row r="14" ht="16" customHeight="1" s="176">
      <c r="A14" s="6" t="n">
        <v>28</v>
      </c>
      <c r="B14" s="18" t="n">
        <v>2026</v>
      </c>
      <c r="C14" s="19" t="n">
        <v>46209</v>
      </c>
      <c r="D14" s="19" t="n">
        <v>46215</v>
      </c>
      <c r="E14" s="20" t="n">
        <v>900</v>
      </c>
      <c r="F14" s="21" t="n"/>
    </row>
    <row r="15" ht="16" customHeight="1" s="176">
      <c r="A15" s="10" t="n">
        <v>29</v>
      </c>
      <c r="B15" s="22" t="n">
        <v>2026</v>
      </c>
      <c r="C15" s="19" t="n">
        <v>46216</v>
      </c>
      <c r="D15" s="19" t="n">
        <v>46222</v>
      </c>
      <c r="E15" s="20" t="n">
        <v>900</v>
      </c>
      <c r="F15" s="21" t="n"/>
    </row>
    <row r="16" ht="16" customHeight="1" s="176">
      <c r="A16" s="6" t="n">
        <v>30</v>
      </c>
      <c r="B16" s="18" t="n">
        <v>2026</v>
      </c>
      <c r="C16" s="19" t="n">
        <v>46223</v>
      </c>
      <c r="D16" s="19" t="n">
        <v>46229</v>
      </c>
      <c r="E16" s="20" t="n">
        <v>900</v>
      </c>
      <c r="F16" s="21" t="n"/>
    </row>
    <row r="17" ht="16" customHeight="1" s="176">
      <c r="A17" s="10" t="n">
        <v>31</v>
      </c>
      <c r="B17" s="22" t="n">
        <v>2026</v>
      </c>
      <c r="C17" s="19" t="n">
        <v>46230</v>
      </c>
      <c r="D17" s="19" t="n">
        <v>46236</v>
      </c>
      <c r="E17" s="20" t="n">
        <v>900</v>
      </c>
      <c r="F17" s="21" t="n"/>
    </row>
    <row r="18" ht="16" customHeight="1" s="176">
      <c r="A18" s="6" t="n">
        <v>32</v>
      </c>
      <c r="B18" s="18" t="n">
        <v>2026</v>
      </c>
      <c r="C18" s="19" t="n">
        <v>46237</v>
      </c>
      <c r="D18" s="19" t="n">
        <v>46243</v>
      </c>
      <c r="E18" s="20" t="n">
        <v>900</v>
      </c>
      <c r="F18" s="21" t="n"/>
    </row>
    <row r="19" ht="16" customHeight="1" s="176">
      <c r="A19" s="10" t="n">
        <v>33</v>
      </c>
      <c r="B19" s="22" t="n">
        <v>2026</v>
      </c>
      <c r="C19" s="19" t="n">
        <v>46244</v>
      </c>
      <c r="D19" s="19" t="n">
        <v>46250</v>
      </c>
      <c r="E19" s="20" t="n">
        <v>900</v>
      </c>
      <c r="F19" s="21" t="n"/>
    </row>
    <row r="20" ht="16" customHeight="1" s="176">
      <c r="A20" s="6" t="n">
        <v>34</v>
      </c>
      <c r="B20" s="18" t="n">
        <v>2026</v>
      </c>
      <c r="C20" s="19" t="n">
        <v>46251</v>
      </c>
      <c r="D20" s="19" t="n">
        <v>46257</v>
      </c>
      <c r="E20" s="20" t="n">
        <v>900</v>
      </c>
      <c r="F20" s="21" t="n"/>
    </row>
    <row r="21" ht="16" customHeight="1" s="176">
      <c r="A21" s="10" t="n">
        <v>35</v>
      </c>
      <c r="B21" s="22" t="n">
        <v>2026</v>
      </c>
      <c r="C21" s="19" t="n">
        <v>46258</v>
      </c>
      <c r="D21" s="19" t="n">
        <v>46264</v>
      </c>
      <c r="E21" s="20" t="n">
        <v>900</v>
      </c>
      <c r="F21" s="21" t="n"/>
    </row>
    <row r="22" ht="16" customHeight="1" s="176">
      <c r="A22" s="6" t="n">
        <v>36</v>
      </c>
      <c r="B22" s="18" t="n">
        <v>2026</v>
      </c>
      <c r="C22" s="19" t="n">
        <v>46265</v>
      </c>
      <c r="D22" s="19" t="n">
        <v>46271</v>
      </c>
      <c r="E22" s="20" t="n">
        <v>900</v>
      </c>
      <c r="F22" s="21" t="n"/>
    </row>
    <row r="23" ht="16" customHeight="1" s="176">
      <c r="A23" s="10" t="n">
        <v>37</v>
      </c>
      <c r="B23" s="22" t="n">
        <v>2026</v>
      </c>
      <c r="C23" s="19" t="n">
        <v>46272</v>
      </c>
      <c r="D23" s="19" t="n">
        <v>46278</v>
      </c>
      <c r="E23" s="20" t="n">
        <v>900</v>
      </c>
      <c r="F23" s="21" t="n"/>
    </row>
    <row r="24" ht="16" customHeight="1" s="176">
      <c r="A24" s="6" t="n">
        <v>38</v>
      </c>
      <c r="B24" s="18" t="n">
        <v>2026</v>
      </c>
      <c r="C24" s="19" t="n">
        <v>46279</v>
      </c>
      <c r="D24" s="19" t="n">
        <v>46285</v>
      </c>
      <c r="E24" s="20" t="n">
        <v>900</v>
      </c>
      <c r="F24" s="21" t="n"/>
    </row>
    <row r="25" ht="16" customHeight="1" s="176">
      <c r="A25" s="10" t="n">
        <v>39</v>
      </c>
      <c r="B25" s="22" t="n">
        <v>2026</v>
      </c>
      <c r="C25" s="19" t="n">
        <v>46286</v>
      </c>
      <c r="D25" s="19" t="n">
        <v>46292</v>
      </c>
      <c r="E25" s="20" t="n">
        <v>900</v>
      </c>
      <c r="F25" s="21" t="n"/>
    </row>
    <row r="26" ht="16" customHeight="1" s="176">
      <c r="A26" s="6" t="n">
        <v>40</v>
      </c>
      <c r="B26" s="18" t="n">
        <v>2026</v>
      </c>
      <c r="C26" s="19" t="n">
        <v>46293</v>
      </c>
      <c r="D26" s="19" t="n">
        <v>46299</v>
      </c>
      <c r="E26" s="20" t="n">
        <v>900</v>
      </c>
      <c r="F26" s="21" t="n"/>
    </row>
    <row r="27" ht="16" customHeight="1" s="176">
      <c r="A27" s="10" t="n">
        <v>41</v>
      </c>
      <c r="B27" s="22" t="n">
        <v>2026</v>
      </c>
      <c r="C27" s="19" t="n">
        <v>46300</v>
      </c>
      <c r="D27" s="19" t="n">
        <v>46306</v>
      </c>
      <c r="E27" s="20" t="n">
        <v>900</v>
      </c>
      <c r="F27" s="21" t="n"/>
    </row>
    <row r="28" ht="16" customHeight="1" s="176">
      <c r="A28" s="6" t="n">
        <v>42</v>
      </c>
      <c r="B28" s="18" t="n">
        <v>2026</v>
      </c>
      <c r="C28" s="19" t="n">
        <v>46307</v>
      </c>
      <c r="D28" s="19" t="n">
        <v>46313</v>
      </c>
      <c r="E28" s="20" t="n">
        <v>900</v>
      </c>
      <c r="F28" s="21" t="n"/>
    </row>
    <row r="29" ht="16" customHeight="1" s="176">
      <c r="A29" s="10" t="n">
        <v>43</v>
      </c>
      <c r="B29" s="22" t="n">
        <v>2026</v>
      </c>
      <c r="C29" s="19" t="n">
        <v>46314</v>
      </c>
      <c r="D29" s="19" t="n">
        <v>46320</v>
      </c>
      <c r="E29" s="20" t="n">
        <v>900</v>
      </c>
      <c r="F29" s="21" t="n"/>
    </row>
    <row r="30" ht="16" customHeight="1" s="176">
      <c r="A30" s="6" t="n">
        <v>44</v>
      </c>
      <c r="B30" s="18" t="n">
        <v>2026</v>
      </c>
      <c r="C30" s="19" t="n">
        <v>46321</v>
      </c>
      <c r="D30" s="19" t="n">
        <v>46327</v>
      </c>
      <c r="E30" s="20" t="n">
        <v>900</v>
      </c>
      <c r="F30" s="21" t="n"/>
    </row>
    <row r="31" ht="16" customHeight="1" s="176">
      <c r="A31" s="10" t="n">
        <v>45</v>
      </c>
      <c r="B31" s="22" t="n">
        <v>2026</v>
      </c>
      <c r="C31" s="19" t="n">
        <v>46328</v>
      </c>
      <c r="D31" s="19" t="n">
        <v>46334</v>
      </c>
      <c r="E31" s="20" t="n">
        <v>900</v>
      </c>
      <c r="F31" s="21" t="n"/>
    </row>
    <row r="32" ht="16" customHeight="1" s="176">
      <c r="A32" s="6" t="n">
        <v>46</v>
      </c>
      <c r="B32" s="18" t="n">
        <v>2026</v>
      </c>
      <c r="C32" s="19" t="n">
        <v>46335</v>
      </c>
      <c r="D32" s="19" t="n">
        <v>46341</v>
      </c>
      <c r="E32" s="20" t="n">
        <v>900</v>
      </c>
      <c r="F32" s="21" t="n"/>
    </row>
    <row r="33" ht="16" customHeight="1" s="176">
      <c r="A33" s="10" t="n">
        <v>47</v>
      </c>
      <c r="B33" s="22" t="n">
        <v>2026</v>
      </c>
      <c r="C33" s="19" t="n">
        <v>46342</v>
      </c>
      <c r="D33" s="19" t="n">
        <v>46348</v>
      </c>
      <c r="E33" s="20" t="n">
        <v>900</v>
      </c>
      <c r="F33" s="21" t="n"/>
    </row>
    <row r="34" ht="16" customHeight="1" s="176">
      <c r="A34" s="6" t="n">
        <v>48</v>
      </c>
      <c r="B34" s="18" t="n">
        <v>2026</v>
      </c>
      <c r="C34" s="19" t="n">
        <v>46349</v>
      </c>
      <c r="D34" s="19" t="n">
        <v>46355</v>
      </c>
      <c r="E34" s="20" t="n">
        <v>900</v>
      </c>
      <c r="F34" s="21" t="n"/>
    </row>
    <row r="35" ht="16" customHeight="1" s="176">
      <c r="A35" s="10" t="n">
        <v>49</v>
      </c>
      <c r="B35" s="22" t="n">
        <v>2026</v>
      </c>
      <c r="C35" s="19" t="n">
        <v>46356</v>
      </c>
      <c r="D35" s="19" t="n">
        <v>46362</v>
      </c>
      <c r="E35" s="20" t="n">
        <v>900</v>
      </c>
      <c r="F35" s="21" t="n"/>
    </row>
    <row r="36" ht="16" customHeight="1" s="176">
      <c r="A36" s="6" t="n">
        <v>50</v>
      </c>
      <c r="B36" s="18" t="n">
        <v>2026</v>
      </c>
      <c r="C36" s="19" t="n">
        <v>46363</v>
      </c>
      <c r="D36" s="19" t="n">
        <v>46369</v>
      </c>
      <c r="E36" s="20" t="n">
        <v>900</v>
      </c>
      <c r="F36" s="21" t="n"/>
    </row>
    <row r="37" ht="16" customHeight="1" s="176">
      <c r="A37" s="10" t="n">
        <v>51</v>
      </c>
      <c r="B37" s="22" t="n">
        <v>2026</v>
      </c>
      <c r="C37" s="19" t="n">
        <v>46370</v>
      </c>
      <c r="D37" s="19" t="n">
        <v>46376</v>
      </c>
      <c r="E37" s="20" t="n">
        <v>900</v>
      </c>
      <c r="F37" s="21" t="n"/>
    </row>
    <row r="38" ht="16" customHeight="1" s="176">
      <c r="A38" s="6" t="n">
        <v>52</v>
      </c>
      <c r="B38" s="18" t="n">
        <v>2026</v>
      </c>
      <c r="C38" s="19" t="n">
        <v>46377</v>
      </c>
      <c r="D38" s="19" t="n">
        <v>46383</v>
      </c>
      <c r="E38" s="20" t="n">
        <v>900</v>
      </c>
      <c r="F38" s="21" t="n"/>
    </row>
    <row r="39" ht="16" customHeight="1" s="176">
      <c r="A39" s="10" t="n">
        <v>1</v>
      </c>
      <c r="B39" s="22" t="n">
        <v>2026</v>
      </c>
      <c r="C39" s="19" t="n">
        <v>46384</v>
      </c>
      <c r="D39" s="19" t="n">
        <v>46390</v>
      </c>
      <c r="E39" s="20" t="n">
        <v>900</v>
      </c>
      <c r="F39" s="21" t="n"/>
    </row>
    <row r="40" ht="16" customHeight="1" s="176">
      <c r="A40" s="6" t="n">
        <v>2</v>
      </c>
      <c r="B40" s="18" t="n">
        <v>2026</v>
      </c>
      <c r="C40" s="19" t="n">
        <v>46391</v>
      </c>
      <c r="D40" s="19" t="n">
        <v>46397</v>
      </c>
      <c r="E40" s="20" t="n">
        <v>900</v>
      </c>
      <c r="F40" s="21" t="n"/>
    </row>
    <row r="41" ht="16" customHeight="1" s="176">
      <c r="A41" s="10" t="n">
        <v>3</v>
      </c>
      <c r="B41" s="22" t="n">
        <v>2026</v>
      </c>
      <c r="C41" s="19" t="n">
        <v>46398</v>
      </c>
      <c r="D41" s="19" t="n">
        <v>46404</v>
      </c>
      <c r="E41" s="20" t="n">
        <v>900</v>
      </c>
      <c r="F41" s="21" t="n"/>
    </row>
    <row r="42" ht="16" customHeight="1" s="176">
      <c r="A42" s="6" t="n">
        <v>4</v>
      </c>
      <c r="B42" s="18" t="n">
        <v>2026</v>
      </c>
      <c r="C42" s="19" t="n">
        <v>46405</v>
      </c>
      <c r="D42" s="19" t="n">
        <v>46411</v>
      </c>
      <c r="E42" s="20" t="n">
        <v>900</v>
      </c>
      <c r="F42" s="21" t="n"/>
    </row>
    <row r="43" ht="16" customHeight="1" s="176">
      <c r="A43" s="10" t="n">
        <v>5</v>
      </c>
      <c r="B43" s="22" t="n">
        <v>2026</v>
      </c>
      <c r="C43" s="19" t="n">
        <v>46412</v>
      </c>
      <c r="D43" s="19" t="n">
        <v>46418</v>
      </c>
      <c r="E43" s="20" t="n">
        <v>900</v>
      </c>
      <c r="F43" s="21" t="n"/>
    </row>
    <row r="44" ht="16" customHeight="1" s="176">
      <c r="A44" s="6" t="n">
        <v>6</v>
      </c>
      <c r="B44" s="18" t="n">
        <v>2026</v>
      </c>
      <c r="C44" s="19" t="n">
        <v>46419</v>
      </c>
      <c r="D44" s="19" t="n">
        <v>46425</v>
      </c>
      <c r="E44" s="20" t="n">
        <v>900</v>
      </c>
      <c r="F44" s="21" t="n"/>
    </row>
    <row r="45" ht="16" customHeight="1" s="176">
      <c r="A45" s="10" t="n">
        <v>7</v>
      </c>
      <c r="B45" s="22" t="n">
        <v>2026</v>
      </c>
      <c r="C45" s="19" t="n">
        <v>46426</v>
      </c>
      <c r="D45" s="19" t="n">
        <v>46432</v>
      </c>
      <c r="E45" s="20" t="n">
        <v>900</v>
      </c>
      <c r="F45" s="21" t="n"/>
    </row>
    <row r="46" ht="16" customHeight="1" s="176">
      <c r="A46" s="6" t="n">
        <v>8</v>
      </c>
      <c r="B46" s="18" t="n">
        <v>2026</v>
      </c>
      <c r="C46" s="19" t="n">
        <v>46433</v>
      </c>
      <c r="D46" s="19" t="n">
        <v>46439</v>
      </c>
      <c r="E46" s="20" t="n">
        <v>900</v>
      </c>
      <c r="F46" s="21" t="n"/>
    </row>
    <row r="47" ht="16" customHeight="1" s="176">
      <c r="A47" s="10" t="n">
        <v>9</v>
      </c>
      <c r="B47" s="22" t="n">
        <v>2026</v>
      </c>
      <c r="C47" s="19" t="n">
        <v>46440</v>
      </c>
      <c r="D47" s="19" t="n">
        <v>46446</v>
      </c>
      <c r="E47" s="20" t="n">
        <v>900</v>
      </c>
      <c r="F47" s="21" t="n"/>
    </row>
    <row r="48" ht="16" customHeight="1" s="176">
      <c r="A48" s="6" t="n">
        <v>10</v>
      </c>
      <c r="B48" s="18" t="n">
        <v>2026</v>
      </c>
      <c r="C48" s="19" t="n">
        <v>46447</v>
      </c>
      <c r="D48" s="19" t="n">
        <v>46453</v>
      </c>
      <c r="E48" s="20" t="n">
        <v>900</v>
      </c>
      <c r="F48" s="21" t="n"/>
    </row>
    <row r="49" ht="16" customHeight="1" s="176">
      <c r="A49" s="10" t="n">
        <v>11</v>
      </c>
      <c r="B49" s="22" t="n">
        <v>2026</v>
      </c>
      <c r="C49" s="19" t="n">
        <v>46454</v>
      </c>
      <c r="D49" s="19" t="n">
        <v>46460</v>
      </c>
      <c r="E49" s="20" t="n">
        <v>900</v>
      </c>
      <c r="F49" s="21" t="n"/>
    </row>
    <row r="50" ht="16" customHeight="1" s="176">
      <c r="A50" s="6" t="n">
        <v>12</v>
      </c>
      <c r="B50" s="18" t="n">
        <v>2026</v>
      </c>
      <c r="C50" s="19" t="n">
        <v>46461</v>
      </c>
      <c r="D50" s="19" t="n">
        <v>46467</v>
      </c>
      <c r="E50" s="20" t="n">
        <v>900</v>
      </c>
      <c r="F50" s="21" t="n"/>
    </row>
    <row r="51" ht="16" customHeight="1" s="176">
      <c r="A51" s="10" t="n">
        <v>13</v>
      </c>
      <c r="B51" s="22" t="n">
        <v>2026</v>
      </c>
      <c r="C51" s="19" t="n">
        <v>46468</v>
      </c>
      <c r="D51" s="19" t="n">
        <v>46474</v>
      </c>
      <c r="E51" s="20" t="n">
        <v>900</v>
      </c>
      <c r="F51" s="21" t="n"/>
    </row>
    <row r="52" ht="16" customHeight="1" s="176">
      <c r="A52" s="6" t="n">
        <v>14</v>
      </c>
      <c r="B52" s="18" t="n">
        <v>2026</v>
      </c>
      <c r="C52" s="19" t="n">
        <v>46475</v>
      </c>
      <c r="D52" s="19" t="n">
        <v>46481</v>
      </c>
      <c r="E52" s="20" t="n">
        <v>900</v>
      </c>
      <c r="F52" s="21" t="n"/>
    </row>
    <row r="53" ht="16" customHeight="1" s="176">
      <c r="A53" s="10" t="n">
        <v>15</v>
      </c>
      <c r="B53" s="22" t="n">
        <v>2026</v>
      </c>
      <c r="C53" s="19" t="n">
        <v>46482</v>
      </c>
      <c r="D53" s="19" t="n">
        <v>46488</v>
      </c>
      <c r="E53" s="20" t="n">
        <v>900</v>
      </c>
      <c r="F53" s="21" t="n"/>
    </row>
    <row r="54" ht="16" customHeight="1" s="176">
      <c r="A54" s="6" t="n">
        <v>16</v>
      </c>
      <c r="B54" s="18" t="n">
        <v>2026</v>
      </c>
      <c r="C54" s="19" t="n">
        <v>46489</v>
      </c>
      <c r="D54" s="19" t="n">
        <v>46495</v>
      </c>
      <c r="E54" s="20" t="n">
        <v>900</v>
      </c>
      <c r="F54" s="21" t="n"/>
    </row>
    <row r="55" ht="16" customHeight="1" s="176">
      <c r="A55" s="10" t="n">
        <v>17</v>
      </c>
      <c r="B55" s="22" t="n">
        <v>2026</v>
      </c>
      <c r="C55" s="19" t="n">
        <v>46496</v>
      </c>
      <c r="D55" s="19" t="n">
        <v>46502</v>
      </c>
      <c r="E55" s="20" t="n">
        <v>900</v>
      </c>
      <c r="F55" s="21" t="n"/>
    </row>
    <row r="56" ht="16" customHeight="1" s="176">
      <c r="A56" s="6" t="n">
        <v>18</v>
      </c>
      <c r="B56" s="18" t="n">
        <v>2026</v>
      </c>
      <c r="C56" s="19" t="n">
        <v>46503</v>
      </c>
      <c r="D56" s="19" t="n">
        <v>46509</v>
      </c>
      <c r="E56" s="20" t="n">
        <v>900</v>
      </c>
      <c r="F56" s="21" t="n"/>
    </row>
    <row r="57" ht="16" customHeight="1" s="176">
      <c r="A57" s="10" t="n">
        <v>19</v>
      </c>
      <c r="B57" s="22" t="n">
        <v>2026</v>
      </c>
      <c r="C57" s="19" t="n">
        <v>46510</v>
      </c>
      <c r="D57" s="19" t="n">
        <v>46516</v>
      </c>
      <c r="E57" s="20" t="n">
        <v>900</v>
      </c>
      <c r="F57" s="21" t="n"/>
    </row>
    <row r="60">
      <c r="A60" s="195" t="inlineStr">
        <is>
          <t>⚠️  TC Referencia = valor presupuestado ($900). Completar TC Real cada semana con valor oficial (dólar observado Banco Central).</t>
        </is>
      </c>
    </row>
  </sheetData>
  <mergeCells count="2">
    <mergeCell ref="A1:F1"/>
    <mergeCell ref="A60:F6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5"/>
  <sheetViews>
    <sheetView showGridLines="0" zoomScale="136" workbookViewId="0">
      <pane ySplit="3" topLeftCell="A4" activePane="bottomLeft" state="frozen"/>
      <selection pane="bottomLeft" activeCell="A1" sqref="A1:K1"/>
    </sheetView>
  </sheetViews>
  <sheetFormatPr baseColWidth="10" defaultColWidth="8.83203125" defaultRowHeight="15"/>
  <cols>
    <col width="6" customWidth="1" style="176" min="1" max="1"/>
    <col width="22" customWidth="1" style="176" min="2" max="2"/>
    <col width="14" customWidth="1" style="176" min="3" max="4"/>
    <col width="11" customWidth="1" style="176" min="5" max="5"/>
    <col width="8" customWidth="1" style="176" min="6" max="6"/>
    <col width="13" customWidth="1" style="176" min="7" max="7"/>
    <col width="8" customWidth="1" style="176" min="8" max="8"/>
    <col width="14" customWidth="1" style="176" min="9" max="9"/>
    <col width="18" customWidth="1" style="176" min="10" max="10"/>
    <col width="8" customWidth="1" style="176" min="11" max="11"/>
  </cols>
  <sheetData>
    <row r="1" ht="30" customHeight="1" s="176">
      <c r="A1" s="194" t="inlineStr">
        <is>
          <t>📦  MAESTRO DE EXPORTADORES — Condiciones de Pago</t>
        </is>
      </c>
    </row>
    <row r="2" ht="8" customHeight="1" s="176"/>
    <row r="3" ht="35" customHeight="1" s="176">
      <c r="A3" s="4" t="inlineStr">
        <is>
          <t>ID</t>
        </is>
      </c>
      <c r="B3" s="4" t="inlineStr">
        <is>
          <t>Exportador</t>
        </is>
      </c>
      <c r="C3" s="4" t="inlineStr">
        <is>
          <t>RUT</t>
        </is>
      </c>
      <c r="D3" s="4" t="inlineStr">
        <is>
          <t>Mercado</t>
        </is>
      </c>
      <c r="E3" s="4" t="inlineStr">
        <is>
          <t>% Anticipo C1</t>
        </is>
      </c>
      <c r="F3" s="4" t="inlineStr">
        <is>
          <t>Días C1</t>
        </is>
      </c>
      <c r="G3" s="4" t="inlineStr">
        <is>
          <t>% 2do Pago C2</t>
        </is>
      </c>
      <c r="H3" s="4" t="inlineStr">
        <is>
          <t>Días C2</t>
        </is>
      </c>
      <c r="I3" s="4" t="inlineStr">
        <is>
          <t>% Liquidación C3</t>
        </is>
      </c>
      <c r="J3" s="4" t="inlineStr">
        <is>
          <t>Días C3 post embarque</t>
        </is>
      </c>
      <c r="K3" s="4" t="inlineStr">
        <is>
          <t>Estado</t>
        </is>
      </c>
    </row>
    <row r="4" ht="18" customHeight="1" s="176">
      <c r="A4" s="2" t="n"/>
      <c r="B4" s="2" t="n"/>
      <c r="C4" s="2" t="n"/>
      <c r="D4" s="2" t="n"/>
      <c r="E4" s="23" t="n"/>
      <c r="F4" s="20" t="n"/>
      <c r="G4" s="23" t="n"/>
      <c r="H4" s="20" t="n"/>
      <c r="I4" s="23" t="n"/>
      <c r="J4" s="20" t="n"/>
      <c r="K4" s="2" t="n"/>
    </row>
    <row r="5" ht="18" customHeight="1" s="176">
      <c r="A5" s="3" t="n"/>
      <c r="B5" s="3" t="n"/>
      <c r="C5" s="3" t="n"/>
      <c r="D5" s="3" t="n"/>
      <c r="E5" s="23" t="n"/>
      <c r="F5" s="20" t="n"/>
      <c r="G5" s="23" t="n"/>
      <c r="H5" s="20" t="n"/>
      <c r="I5" s="23" t="n"/>
      <c r="J5" s="20" t="n"/>
      <c r="K5" s="3" t="n"/>
    </row>
    <row r="6" ht="18" customHeight="1" s="176">
      <c r="A6" s="2" t="n"/>
      <c r="B6" s="2" t="n"/>
      <c r="C6" s="2" t="n"/>
      <c r="D6" s="2" t="n"/>
      <c r="E6" s="23" t="n"/>
      <c r="F6" s="20" t="n"/>
      <c r="G6" s="23" t="n"/>
      <c r="H6" s="20" t="n"/>
      <c r="I6" s="23" t="n"/>
      <c r="J6" s="20" t="n"/>
      <c r="K6" s="2" t="n"/>
    </row>
    <row r="7" ht="18" customHeight="1" s="176">
      <c r="A7" s="3" t="n"/>
      <c r="B7" s="3" t="n"/>
      <c r="C7" s="3" t="n"/>
      <c r="D7" s="3" t="n"/>
      <c r="E7" s="23" t="n"/>
      <c r="F7" s="20" t="n"/>
      <c r="G7" s="23" t="n"/>
      <c r="H7" s="20" t="n"/>
      <c r="I7" s="23" t="n"/>
      <c r="J7" s="20" t="n"/>
      <c r="K7" s="3" t="n"/>
    </row>
    <row r="8" ht="18" customHeight="1" s="176">
      <c r="A8" s="2" t="n"/>
      <c r="B8" s="2" t="n"/>
      <c r="C8" s="2" t="n"/>
      <c r="D8" s="2" t="n"/>
      <c r="E8" s="23" t="n"/>
      <c r="F8" s="20" t="n"/>
      <c r="G8" s="23" t="n"/>
      <c r="H8" s="20" t="n"/>
      <c r="I8" s="23" t="n"/>
      <c r="J8" s="20" t="n"/>
      <c r="K8" s="2" t="n"/>
    </row>
    <row r="9" ht="18" customHeight="1" s="176">
      <c r="A9" s="3" t="n"/>
      <c r="B9" s="3" t="n"/>
      <c r="C9" s="3" t="n"/>
      <c r="D9" s="3" t="n"/>
      <c r="E9" s="23" t="n"/>
      <c r="F9" s="20" t="n"/>
      <c r="G9" s="23" t="n"/>
      <c r="H9" s="20" t="n"/>
      <c r="I9" s="23" t="n"/>
      <c r="J9" s="20" t="n"/>
      <c r="K9" s="3" t="n"/>
    </row>
    <row r="10" ht="18" customHeight="1" s="176">
      <c r="A10" s="2" t="n"/>
      <c r="B10" s="2" t="n"/>
      <c r="C10" s="2" t="n"/>
      <c r="D10" s="2" t="n"/>
      <c r="E10" s="23" t="n"/>
      <c r="F10" s="20" t="n"/>
      <c r="G10" s="23" t="n"/>
      <c r="H10" s="20" t="n"/>
      <c r="I10" s="23" t="n"/>
      <c r="J10" s="20" t="n"/>
      <c r="K10" s="2" t="n"/>
    </row>
    <row r="11" ht="18" customHeight="1" s="176">
      <c r="A11" s="3" t="n"/>
      <c r="B11" s="3" t="n"/>
      <c r="C11" s="3" t="n"/>
      <c r="D11" s="3" t="n"/>
      <c r="E11" s="23" t="n"/>
      <c r="F11" s="20" t="n"/>
      <c r="G11" s="23" t="n"/>
      <c r="H11" s="20" t="n"/>
      <c r="I11" s="23" t="n"/>
      <c r="J11" s="20" t="n"/>
      <c r="K11" s="3" t="n"/>
    </row>
    <row r="12" ht="18" customHeight="1" s="176">
      <c r="A12" s="2" t="n"/>
      <c r="B12" s="2" t="n"/>
      <c r="C12" s="2" t="n"/>
      <c r="D12" s="2" t="n"/>
      <c r="E12" s="23" t="n"/>
      <c r="F12" s="20" t="n"/>
      <c r="G12" s="23" t="n"/>
      <c r="H12" s="20" t="n"/>
      <c r="I12" s="23" t="n"/>
      <c r="J12" s="20" t="n"/>
      <c r="K12" s="2" t="n"/>
    </row>
    <row r="13" ht="18" customHeight="1" s="176">
      <c r="A13" s="3" t="n"/>
      <c r="B13" s="3" t="n"/>
      <c r="C13" s="3" t="n"/>
      <c r="D13" s="3" t="n"/>
      <c r="E13" s="23" t="n"/>
      <c r="F13" s="20" t="n"/>
      <c r="G13" s="23" t="n"/>
      <c r="H13" s="20" t="n"/>
      <c r="I13" s="23" t="n"/>
      <c r="J13" s="20" t="n"/>
      <c r="K13" s="3" t="n"/>
    </row>
    <row r="15" ht="35" customHeight="1" s="176">
      <c r="A15" s="196" t="inlineStr">
        <is>
          <t>📝  Complete un exportador por fila. Los % deben sumar 100% (C1+C2+C3). Los días C1 son desde recepción en planta; días C2 desde cosecha; días C3 desde fecha de embarque.</t>
        </is>
      </c>
    </row>
  </sheetData>
  <mergeCells count="2">
    <mergeCell ref="A15:K15"/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7"/>
  <sheetViews>
    <sheetView showGridLines="0" workbookViewId="0">
      <pane ySplit="3" topLeftCell="A41" activePane="bottomLeft" state="frozen"/>
      <selection pane="bottomLeft" activeCell="A1" sqref="A1:H1"/>
    </sheetView>
  </sheetViews>
  <sheetFormatPr baseColWidth="10" defaultColWidth="8.83203125" defaultRowHeight="15"/>
  <cols>
    <col width="10" customWidth="1" style="176" min="1" max="1"/>
    <col width="6" customWidth="1" style="176" min="2" max="2"/>
    <col width="14" customWidth="1" style="176" min="3" max="4"/>
    <col width="16" customWidth="1" style="176" min="5" max="6"/>
    <col width="9" customWidth="1" style="176" min="7" max="8"/>
  </cols>
  <sheetData>
    <row r="1" ht="30" customHeight="1" s="176">
      <c r="A1" s="194" t="inlineStr">
        <is>
          <t>📅  MAESTRO CALENDARIO DE SEMANAS — Temporada 2026/27</t>
        </is>
      </c>
    </row>
    <row r="2" ht="8" customHeight="1" s="176"/>
    <row r="3" ht="30" customHeight="1" s="176">
      <c r="A3" s="4" t="inlineStr">
        <is>
          <t>N° Semana</t>
        </is>
      </c>
      <c r="B3" s="4" t="inlineStr">
        <is>
          <t>Año</t>
        </is>
      </c>
      <c r="C3" s="4" t="inlineStr">
        <is>
          <t>Fecha Inicio</t>
        </is>
      </c>
      <c r="D3" s="4" t="inlineStr">
        <is>
          <t>Fecha Fin</t>
        </is>
      </c>
      <c r="E3" s="4" t="inlineStr">
        <is>
          <t>Mes Principal</t>
        </is>
      </c>
      <c r="F3" s="4" t="inlineStr">
        <is>
          <t>Mes Secundario</t>
        </is>
      </c>
      <c r="G3" s="4" t="inlineStr">
        <is>
          <t>% Mes 1</t>
        </is>
      </c>
      <c r="H3" s="4" t="inlineStr">
        <is>
          <t>% Mes 2</t>
        </is>
      </c>
    </row>
    <row r="4" ht="16" customHeight="1" s="176">
      <c r="A4" s="6" t="n">
        <v>18</v>
      </c>
      <c r="B4" s="18" t="n">
        <v>2026</v>
      </c>
      <c r="C4" s="24" t="n">
        <v>46139</v>
      </c>
      <c r="D4" s="24" t="n">
        <v>46145</v>
      </c>
      <c r="E4" s="2" t="inlineStr">
        <is>
          <t>Abril</t>
        </is>
      </c>
      <c r="F4" s="2" t="inlineStr">
        <is>
          <t>Mayo</t>
        </is>
      </c>
      <c r="G4" s="25" t="n">
        <v>0.57</v>
      </c>
      <c r="H4" s="25" t="n">
        <v>0.43</v>
      </c>
    </row>
    <row r="5" ht="16" customHeight="1" s="176">
      <c r="A5" s="10" t="n">
        <v>19</v>
      </c>
      <c r="B5" s="22" t="n">
        <v>2026</v>
      </c>
      <c r="C5" s="26" t="n">
        <v>46146</v>
      </c>
      <c r="D5" s="26" t="n">
        <v>46152</v>
      </c>
      <c r="E5" s="3" t="inlineStr">
        <is>
          <t>Mayo</t>
        </is>
      </c>
      <c r="F5" s="3" t="n"/>
      <c r="G5" s="27" t="n">
        <v>1</v>
      </c>
      <c r="H5" s="27" t="n">
        <v>0</v>
      </c>
    </row>
    <row r="6" ht="16" customHeight="1" s="176">
      <c r="A6" s="6" t="n">
        <v>20</v>
      </c>
      <c r="B6" s="18" t="n">
        <v>2026</v>
      </c>
      <c r="C6" s="24" t="n">
        <v>46153</v>
      </c>
      <c r="D6" s="24" t="n">
        <v>46159</v>
      </c>
      <c r="E6" s="2" t="inlineStr">
        <is>
          <t>Mayo</t>
        </is>
      </c>
      <c r="F6" s="2" t="n"/>
      <c r="G6" s="25" t="n">
        <v>1</v>
      </c>
      <c r="H6" s="25" t="n">
        <v>0</v>
      </c>
    </row>
    <row r="7" ht="16" customHeight="1" s="176">
      <c r="A7" s="10" t="n">
        <v>21</v>
      </c>
      <c r="B7" s="22" t="n">
        <v>2026</v>
      </c>
      <c r="C7" s="26" t="n">
        <v>46160</v>
      </c>
      <c r="D7" s="26" t="n">
        <v>46166</v>
      </c>
      <c r="E7" s="3" t="inlineStr">
        <is>
          <t>Mayo</t>
        </is>
      </c>
      <c r="F7" s="3" t="n"/>
      <c r="G7" s="27" t="n">
        <v>1</v>
      </c>
      <c r="H7" s="27" t="n">
        <v>0</v>
      </c>
    </row>
    <row r="8" ht="16" customHeight="1" s="176">
      <c r="A8" s="6" t="n">
        <v>22</v>
      </c>
      <c r="B8" s="18" t="n">
        <v>2026</v>
      </c>
      <c r="C8" s="24" t="n">
        <v>46167</v>
      </c>
      <c r="D8" s="24" t="n">
        <v>46173</v>
      </c>
      <c r="E8" s="2" t="inlineStr">
        <is>
          <t>Mayo</t>
        </is>
      </c>
      <c r="F8" s="2" t="n"/>
      <c r="G8" s="25" t="n">
        <v>1</v>
      </c>
      <c r="H8" s="25" t="n">
        <v>0</v>
      </c>
    </row>
    <row r="9" ht="16" customHeight="1" s="176">
      <c r="A9" s="10" t="n">
        <v>23</v>
      </c>
      <c r="B9" s="22" t="n">
        <v>2026</v>
      </c>
      <c r="C9" s="26" t="n">
        <v>46174</v>
      </c>
      <c r="D9" s="26" t="n">
        <v>46180</v>
      </c>
      <c r="E9" s="3" t="inlineStr">
        <is>
          <t>Junio</t>
        </is>
      </c>
      <c r="F9" s="3" t="n"/>
      <c r="G9" s="27" t="n">
        <v>1</v>
      </c>
      <c r="H9" s="27" t="n">
        <v>0</v>
      </c>
    </row>
    <row r="10" ht="16" customHeight="1" s="176">
      <c r="A10" s="6" t="n">
        <v>24</v>
      </c>
      <c r="B10" s="18" t="n">
        <v>2026</v>
      </c>
      <c r="C10" s="24" t="n">
        <v>46181</v>
      </c>
      <c r="D10" s="24" t="n">
        <v>46187</v>
      </c>
      <c r="E10" s="2" t="inlineStr">
        <is>
          <t>Junio</t>
        </is>
      </c>
      <c r="F10" s="2" t="n"/>
      <c r="G10" s="25" t="n">
        <v>1</v>
      </c>
      <c r="H10" s="25" t="n">
        <v>0</v>
      </c>
    </row>
    <row r="11" ht="16" customHeight="1" s="176">
      <c r="A11" s="10" t="n">
        <v>25</v>
      </c>
      <c r="B11" s="22" t="n">
        <v>2026</v>
      </c>
      <c r="C11" s="26" t="n">
        <v>46188</v>
      </c>
      <c r="D11" s="26" t="n">
        <v>46194</v>
      </c>
      <c r="E11" s="3" t="inlineStr">
        <is>
          <t>Junio</t>
        </is>
      </c>
      <c r="F11" s="3" t="n"/>
      <c r="G11" s="27" t="n">
        <v>1</v>
      </c>
      <c r="H11" s="27" t="n">
        <v>0</v>
      </c>
    </row>
    <row r="12" ht="16" customHeight="1" s="176">
      <c r="A12" s="6" t="n">
        <v>26</v>
      </c>
      <c r="B12" s="18" t="n">
        <v>2026</v>
      </c>
      <c r="C12" s="24" t="n">
        <v>46195</v>
      </c>
      <c r="D12" s="24" t="n">
        <v>46201</v>
      </c>
      <c r="E12" s="2" t="inlineStr">
        <is>
          <t>Junio</t>
        </is>
      </c>
      <c r="F12" s="2" t="n"/>
      <c r="G12" s="25" t="n">
        <v>1</v>
      </c>
      <c r="H12" s="25" t="n">
        <v>0</v>
      </c>
    </row>
    <row r="13" ht="16" customHeight="1" s="176">
      <c r="A13" s="10" t="n">
        <v>27</v>
      </c>
      <c r="B13" s="22" t="n">
        <v>2026</v>
      </c>
      <c r="C13" s="26" t="n">
        <v>46202</v>
      </c>
      <c r="D13" s="26" t="n">
        <v>46208</v>
      </c>
      <c r="E13" s="3" t="inlineStr">
        <is>
          <t>Junio</t>
        </is>
      </c>
      <c r="F13" s="3" t="inlineStr">
        <is>
          <t>Julio</t>
        </is>
      </c>
      <c r="G13" s="27" t="n">
        <v>0.29</v>
      </c>
      <c r="H13" s="27" t="n">
        <v>0.71</v>
      </c>
    </row>
    <row r="14" ht="16" customHeight="1" s="176">
      <c r="A14" s="6" t="n">
        <v>28</v>
      </c>
      <c r="B14" s="18" t="n">
        <v>2026</v>
      </c>
      <c r="C14" s="24" t="n">
        <v>46209</v>
      </c>
      <c r="D14" s="24" t="n">
        <v>46215</v>
      </c>
      <c r="E14" s="2" t="inlineStr">
        <is>
          <t>Julio</t>
        </is>
      </c>
      <c r="F14" s="2" t="n"/>
      <c r="G14" s="25" t="n">
        <v>1</v>
      </c>
      <c r="H14" s="25" t="n">
        <v>0</v>
      </c>
    </row>
    <row r="15" ht="16" customHeight="1" s="176">
      <c r="A15" s="10" t="n">
        <v>29</v>
      </c>
      <c r="B15" s="22" t="n">
        <v>2026</v>
      </c>
      <c r="C15" s="26" t="n">
        <v>46216</v>
      </c>
      <c r="D15" s="26" t="n">
        <v>46222</v>
      </c>
      <c r="E15" s="3" t="inlineStr">
        <is>
          <t>Julio</t>
        </is>
      </c>
      <c r="F15" s="3" t="n"/>
      <c r="G15" s="27" t="n">
        <v>1</v>
      </c>
      <c r="H15" s="27" t="n">
        <v>0</v>
      </c>
    </row>
    <row r="16" ht="16" customHeight="1" s="176">
      <c r="A16" s="6" t="n">
        <v>30</v>
      </c>
      <c r="B16" s="18" t="n">
        <v>2026</v>
      </c>
      <c r="C16" s="24" t="n">
        <v>46223</v>
      </c>
      <c r="D16" s="24" t="n">
        <v>46229</v>
      </c>
      <c r="E16" s="2" t="inlineStr">
        <is>
          <t>Julio</t>
        </is>
      </c>
      <c r="F16" s="2" t="n"/>
      <c r="G16" s="25" t="n">
        <v>1</v>
      </c>
      <c r="H16" s="25" t="n">
        <v>0</v>
      </c>
    </row>
    <row r="17" ht="16" customHeight="1" s="176">
      <c r="A17" s="10" t="n">
        <v>31</v>
      </c>
      <c r="B17" s="22" t="n">
        <v>2026</v>
      </c>
      <c r="C17" s="26" t="n">
        <v>46230</v>
      </c>
      <c r="D17" s="26" t="n">
        <v>46236</v>
      </c>
      <c r="E17" s="3" t="inlineStr">
        <is>
          <t>Julio</t>
        </is>
      </c>
      <c r="F17" s="3" t="inlineStr">
        <is>
          <t>Agosto</t>
        </is>
      </c>
      <c r="G17" s="27" t="n">
        <v>0.71</v>
      </c>
      <c r="H17" s="27" t="n">
        <v>0.29</v>
      </c>
    </row>
    <row r="18" ht="16" customHeight="1" s="176">
      <c r="A18" s="6" t="n">
        <v>32</v>
      </c>
      <c r="B18" s="18" t="n">
        <v>2026</v>
      </c>
      <c r="C18" s="24" t="n">
        <v>46237</v>
      </c>
      <c r="D18" s="24" t="n">
        <v>46243</v>
      </c>
      <c r="E18" s="2" t="inlineStr">
        <is>
          <t>Agosto</t>
        </is>
      </c>
      <c r="F18" s="2" t="n"/>
      <c r="G18" s="25" t="n">
        <v>1</v>
      </c>
      <c r="H18" s="25" t="n">
        <v>0</v>
      </c>
    </row>
    <row r="19" ht="16" customHeight="1" s="176">
      <c r="A19" s="10" t="n">
        <v>33</v>
      </c>
      <c r="B19" s="22" t="n">
        <v>2026</v>
      </c>
      <c r="C19" s="26" t="n">
        <v>46244</v>
      </c>
      <c r="D19" s="26" t="n">
        <v>46250</v>
      </c>
      <c r="E19" s="3" t="inlineStr">
        <is>
          <t>Agosto</t>
        </is>
      </c>
      <c r="F19" s="3" t="n"/>
      <c r="G19" s="27" t="n">
        <v>1</v>
      </c>
      <c r="H19" s="27" t="n">
        <v>0</v>
      </c>
    </row>
    <row r="20" ht="16" customHeight="1" s="176">
      <c r="A20" s="6" t="n">
        <v>34</v>
      </c>
      <c r="B20" s="18" t="n">
        <v>2026</v>
      </c>
      <c r="C20" s="24" t="n">
        <v>46251</v>
      </c>
      <c r="D20" s="24" t="n">
        <v>46257</v>
      </c>
      <c r="E20" s="2" t="inlineStr">
        <is>
          <t>Agosto</t>
        </is>
      </c>
      <c r="F20" s="2" t="n"/>
      <c r="G20" s="25" t="n">
        <v>1</v>
      </c>
      <c r="H20" s="25" t="n">
        <v>0</v>
      </c>
    </row>
    <row r="21" ht="16" customHeight="1" s="176">
      <c r="A21" s="10" t="n">
        <v>35</v>
      </c>
      <c r="B21" s="22" t="n">
        <v>2026</v>
      </c>
      <c r="C21" s="26" t="n">
        <v>46258</v>
      </c>
      <c r="D21" s="26" t="n">
        <v>46264</v>
      </c>
      <c r="E21" s="3" t="inlineStr">
        <is>
          <t>Agosto</t>
        </is>
      </c>
      <c r="F21" s="3" t="n"/>
      <c r="G21" s="27" t="n">
        <v>1</v>
      </c>
      <c r="H21" s="27" t="n">
        <v>0</v>
      </c>
    </row>
    <row r="22" ht="16" customHeight="1" s="176">
      <c r="A22" s="6" t="n">
        <v>36</v>
      </c>
      <c r="B22" s="18" t="n">
        <v>2026</v>
      </c>
      <c r="C22" s="24" t="n">
        <v>46265</v>
      </c>
      <c r="D22" s="24" t="n">
        <v>46271</v>
      </c>
      <c r="E22" s="2" t="inlineStr">
        <is>
          <t>Agosto</t>
        </is>
      </c>
      <c r="F22" s="2" t="inlineStr">
        <is>
          <t>Septiembre</t>
        </is>
      </c>
      <c r="G22" s="25" t="n">
        <v>0.14</v>
      </c>
      <c r="H22" s="25" t="n">
        <v>0.86</v>
      </c>
    </row>
    <row r="23" ht="16" customHeight="1" s="176">
      <c r="A23" s="10" t="n">
        <v>37</v>
      </c>
      <c r="B23" s="22" t="n">
        <v>2026</v>
      </c>
      <c r="C23" s="26" t="n">
        <v>46272</v>
      </c>
      <c r="D23" s="26" t="n">
        <v>46278</v>
      </c>
      <c r="E23" s="3" t="inlineStr">
        <is>
          <t>Septiembre</t>
        </is>
      </c>
      <c r="F23" s="3" t="n"/>
      <c r="G23" s="27" t="n">
        <v>1</v>
      </c>
      <c r="H23" s="27" t="n">
        <v>0</v>
      </c>
    </row>
    <row r="24" ht="16" customHeight="1" s="176">
      <c r="A24" s="6" t="n">
        <v>38</v>
      </c>
      <c r="B24" s="18" t="n">
        <v>2026</v>
      </c>
      <c r="C24" s="24" t="n">
        <v>46279</v>
      </c>
      <c r="D24" s="24" t="n">
        <v>46285</v>
      </c>
      <c r="E24" s="2" t="inlineStr">
        <is>
          <t>Septiembre</t>
        </is>
      </c>
      <c r="F24" s="2" t="n"/>
      <c r="G24" s="25" t="n">
        <v>1</v>
      </c>
      <c r="H24" s="25" t="n">
        <v>0</v>
      </c>
    </row>
    <row r="25" ht="16" customHeight="1" s="176">
      <c r="A25" s="10" t="n">
        <v>39</v>
      </c>
      <c r="B25" s="22" t="n">
        <v>2026</v>
      </c>
      <c r="C25" s="26" t="n">
        <v>46286</v>
      </c>
      <c r="D25" s="26" t="n">
        <v>46292</v>
      </c>
      <c r="E25" s="3" t="inlineStr">
        <is>
          <t>Septiembre</t>
        </is>
      </c>
      <c r="F25" s="3" t="n"/>
      <c r="G25" s="27" t="n">
        <v>1</v>
      </c>
      <c r="H25" s="27" t="n">
        <v>0</v>
      </c>
    </row>
    <row r="26" ht="16" customHeight="1" s="176">
      <c r="A26" s="6" t="n">
        <v>40</v>
      </c>
      <c r="B26" s="18" t="n">
        <v>2026</v>
      </c>
      <c r="C26" s="24" t="n">
        <v>46293</v>
      </c>
      <c r="D26" s="24" t="n">
        <v>46299</v>
      </c>
      <c r="E26" s="2" t="inlineStr">
        <is>
          <t>Septiembre</t>
        </is>
      </c>
      <c r="F26" s="2" t="inlineStr">
        <is>
          <t>Octubre</t>
        </is>
      </c>
      <c r="G26" s="25" t="n">
        <v>0.43</v>
      </c>
      <c r="H26" s="25" t="n">
        <v>0.57</v>
      </c>
    </row>
    <row r="27" ht="16" customHeight="1" s="176">
      <c r="A27" s="10" t="n">
        <v>41</v>
      </c>
      <c r="B27" s="22" t="n">
        <v>2026</v>
      </c>
      <c r="C27" s="26" t="n">
        <v>46300</v>
      </c>
      <c r="D27" s="26" t="n">
        <v>46306</v>
      </c>
      <c r="E27" s="3" t="inlineStr">
        <is>
          <t>Octubre</t>
        </is>
      </c>
      <c r="F27" s="3" t="n"/>
      <c r="G27" s="27" t="n">
        <v>1</v>
      </c>
      <c r="H27" s="27" t="n">
        <v>0</v>
      </c>
    </row>
    <row r="28" ht="16" customHeight="1" s="176">
      <c r="A28" s="6" t="n">
        <v>42</v>
      </c>
      <c r="B28" s="18" t="n">
        <v>2026</v>
      </c>
      <c r="C28" s="24" t="n">
        <v>46307</v>
      </c>
      <c r="D28" s="24" t="n">
        <v>46313</v>
      </c>
      <c r="E28" s="2" t="inlineStr">
        <is>
          <t>Octubre</t>
        </is>
      </c>
      <c r="F28" s="2" t="n"/>
      <c r="G28" s="25" t="n">
        <v>1</v>
      </c>
      <c r="H28" s="25" t="n">
        <v>0</v>
      </c>
    </row>
    <row r="29" ht="16" customHeight="1" s="176">
      <c r="A29" s="10" t="n">
        <v>43</v>
      </c>
      <c r="B29" s="22" t="n">
        <v>2026</v>
      </c>
      <c r="C29" s="26" t="n">
        <v>46314</v>
      </c>
      <c r="D29" s="26" t="n">
        <v>46320</v>
      </c>
      <c r="E29" s="3" t="inlineStr">
        <is>
          <t>Octubre</t>
        </is>
      </c>
      <c r="F29" s="3" t="n"/>
      <c r="G29" s="27" t="n">
        <v>1</v>
      </c>
      <c r="H29" s="27" t="n">
        <v>0</v>
      </c>
    </row>
    <row r="30" ht="16" customHeight="1" s="176">
      <c r="A30" s="6" t="n">
        <v>44</v>
      </c>
      <c r="B30" s="18" t="n">
        <v>2026</v>
      </c>
      <c r="C30" s="24" t="n">
        <v>46321</v>
      </c>
      <c r="D30" s="24" t="n">
        <v>46327</v>
      </c>
      <c r="E30" s="2" t="inlineStr">
        <is>
          <t>Octubre</t>
        </is>
      </c>
      <c r="F30" s="2" t="inlineStr">
        <is>
          <t>Noviembre</t>
        </is>
      </c>
      <c r="G30" s="25" t="n">
        <v>0.86</v>
      </c>
      <c r="H30" s="25" t="n">
        <v>0.14</v>
      </c>
    </row>
    <row r="31" ht="16" customHeight="1" s="176">
      <c r="A31" s="10" t="n">
        <v>45</v>
      </c>
      <c r="B31" s="22" t="n">
        <v>2026</v>
      </c>
      <c r="C31" s="26" t="n">
        <v>46328</v>
      </c>
      <c r="D31" s="26" t="n">
        <v>46334</v>
      </c>
      <c r="E31" s="3" t="inlineStr">
        <is>
          <t>Noviembre</t>
        </is>
      </c>
      <c r="F31" s="3" t="n"/>
      <c r="G31" s="27" t="n">
        <v>1</v>
      </c>
      <c r="H31" s="27" t="n">
        <v>0</v>
      </c>
    </row>
    <row r="32" ht="16" customHeight="1" s="176">
      <c r="A32" s="6" t="n">
        <v>46</v>
      </c>
      <c r="B32" s="18" t="n">
        <v>2026</v>
      </c>
      <c r="C32" s="24" t="n">
        <v>46335</v>
      </c>
      <c r="D32" s="24" t="n">
        <v>46341</v>
      </c>
      <c r="E32" s="2" t="inlineStr">
        <is>
          <t>Noviembre</t>
        </is>
      </c>
      <c r="F32" s="2" t="n"/>
      <c r="G32" s="25" t="n">
        <v>1</v>
      </c>
      <c r="H32" s="25" t="n">
        <v>0</v>
      </c>
    </row>
    <row r="33" ht="16" customHeight="1" s="176">
      <c r="A33" s="10" t="n">
        <v>47</v>
      </c>
      <c r="B33" s="22" t="n">
        <v>2026</v>
      </c>
      <c r="C33" s="26" t="n">
        <v>46342</v>
      </c>
      <c r="D33" s="26" t="n">
        <v>46348</v>
      </c>
      <c r="E33" s="3" t="inlineStr">
        <is>
          <t>Noviembre</t>
        </is>
      </c>
      <c r="F33" s="3" t="n"/>
      <c r="G33" s="27" t="n">
        <v>1</v>
      </c>
      <c r="H33" s="27" t="n">
        <v>0</v>
      </c>
    </row>
    <row r="34" ht="16" customHeight="1" s="176">
      <c r="A34" s="6" t="n">
        <v>48</v>
      </c>
      <c r="B34" s="18" t="n">
        <v>2026</v>
      </c>
      <c r="C34" s="24" t="n">
        <v>46349</v>
      </c>
      <c r="D34" s="24" t="n">
        <v>46355</v>
      </c>
      <c r="E34" s="2" t="inlineStr">
        <is>
          <t>Noviembre</t>
        </is>
      </c>
      <c r="F34" s="2" t="n"/>
      <c r="G34" s="25" t="n">
        <v>1</v>
      </c>
      <c r="H34" s="25" t="n">
        <v>0</v>
      </c>
    </row>
    <row r="35" ht="16" customHeight="1" s="176">
      <c r="A35" s="10" t="n">
        <v>49</v>
      </c>
      <c r="B35" s="22" t="n">
        <v>2026</v>
      </c>
      <c r="C35" s="26" t="n">
        <v>46356</v>
      </c>
      <c r="D35" s="26" t="n">
        <v>46362</v>
      </c>
      <c r="E35" s="3" t="inlineStr">
        <is>
          <t>Noviembre</t>
        </is>
      </c>
      <c r="F35" s="3" t="inlineStr">
        <is>
          <t>Diciembre</t>
        </is>
      </c>
      <c r="G35" s="27" t="n">
        <v>0.14</v>
      </c>
      <c r="H35" s="27" t="n">
        <v>0.86</v>
      </c>
    </row>
    <row r="36" ht="16" customHeight="1" s="176">
      <c r="A36" s="6" t="n">
        <v>50</v>
      </c>
      <c r="B36" s="18" t="n">
        <v>2026</v>
      </c>
      <c r="C36" s="24" t="n">
        <v>46363</v>
      </c>
      <c r="D36" s="24" t="n">
        <v>46369</v>
      </c>
      <c r="E36" s="2" t="inlineStr">
        <is>
          <t>Diciembre</t>
        </is>
      </c>
      <c r="F36" s="2" t="n"/>
      <c r="G36" s="25" t="n">
        <v>1</v>
      </c>
      <c r="H36" s="25" t="n">
        <v>0</v>
      </c>
    </row>
    <row r="37" ht="16" customHeight="1" s="176">
      <c r="A37" s="10" t="n">
        <v>51</v>
      </c>
      <c r="B37" s="22" t="n">
        <v>2026</v>
      </c>
      <c r="C37" s="26" t="n">
        <v>46370</v>
      </c>
      <c r="D37" s="26" t="n">
        <v>46376</v>
      </c>
      <c r="E37" s="3" t="inlineStr">
        <is>
          <t>Diciembre</t>
        </is>
      </c>
      <c r="F37" s="3" t="n"/>
      <c r="G37" s="27" t="n">
        <v>1</v>
      </c>
      <c r="H37" s="27" t="n">
        <v>0</v>
      </c>
    </row>
    <row r="38" ht="16" customHeight="1" s="176">
      <c r="A38" s="6" t="n">
        <v>52</v>
      </c>
      <c r="B38" s="18" t="n">
        <v>2026</v>
      </c>
      <c r="C38" s="24" t="n">
        <v>46377</v>
      </c>
      <c r="D38" s="24" t="n">
        <v>46383</v>
      </c>
      <c r="E38" s="2" t="inlineStr">
        <is>
          <t>Diciembre</t>
        </is>
      </c>
      <c r="F38" s="2" t="n"/>
      <c r="G38" s="25" t="n">
        <v>1</v>
      </c>
      <c r="H38" s="25" t="n">
        <v>0</v>
      </c>
    </row>
    <row r="39" ht="16" customHeight="1" s="176">
      <c r="A39" s="10" t="n">
        <v>1</v>
      </c>
      <c r="B39" s="22" t="n">
        <v>2026</v>
      </c>
      <c r="C39" s="26" t="n">
        <v>46384</v>
      </c>
      <c r="D39" s="26" t="n">
        <v>46390</v>
      </c>
      <c r="E39" s="3" t="inlineStr">
        <is>
          <t>Diciembre</t>
        </is>
      </c>
      <c r="F39" s="3" t="inlineStr">
        <is>
          <t>Enero</t>
        </is>
      </c>
      <c r="G39" s="27" t="n">
        <v>-51.57</v>
      </c>
      <c r="H39" s="27" t="n">
        <v>52.57</v>
      </c>
    </row>
    <row r="40" ht="16" customHeight="1" s="176">
      <c r="A40" s="6" t="n">
        <v>2</v>
      </c>
      <c r="B40" s="18" t="n">
        <v>2026</v>
      </c>
      <c r="C40" s="24" t="n">
        <v>46391</v>
      </c>
      <c r="D40" s="24" t="n">
        <v>46397</v>
      </c>
      <c r="E40" s="2" t="inlineStr">
        <is>
          <t>Enero</t>
        </is>
      </c>
      <c r="F40" s="2" t="n"/>
      <c r="G40" s="25" t="n">
        <v>1</v>
      </c>
      <c r="H40" s="25" t="n">
        <v>0</v>
      </c>
    </row>
    <row r="41" ht="16" customHeight="1" s="176">
      <c r="A41" s="10" t="n">
        <v>3</v>
      </c>
      <c r="B41" s="22" t="n">
        <v>2026</v>
      </c>
      <c r="C41" s="26" t="n">
        <v>46398</v>
      </c>
      <c r="D41" s="26" t="n">
        <v>46404</v>
      </c>
      <c r="E41" s="3" t="inlineStr">
        <is>
          <t>Enero</t>
        </is>
      </c>
      <c r="F41" s="3" t="n"/>
      <c r="G41" s="27" t="n">
        <v>1</v>
      </c>
      <c r="H41" s="27" t="n">
        <v>0</v>
      </c>
    </row>
    <row r="42" ht="16" customHeight="1" s="176">
      <c r="A42" s="6" t="n">
        <v>4</v>
      </c>
      <c r="B42" s="18" t="n">
        <v>2026</v>
      </c>
      <c r="C42" s="24" t="n">
        <v>46405</v>
      </c>
      <c r="D42" s="24" t="n">
        <v>46411</v>
      </c>
      <c r="E42" s="2" t="inlineStr">
        <is>
          <t>Enero</t>
        </is>
      </c>
      <c r="F42" s="2" t="n"/>
      <c r="G42" s="25" t="n">
        <v>1</v>
      </c>
      <c r="H42" s="25" t="n">
        <v>0</v>
      </c>
    </row>
    <row r="43" ht="16" customHeight="1" s="176">
      <c r="A43" s="10" t="n">
        <v>5</v>
      </c>
      <c r="B43" s="22" t="n">
        <v>2026</v>
      </c>
      <c r="C43" s="26" t="n">
        <v>46412</v>
      </c>
      <c r="D43" s="26" t="n">
        <v>46418</v>
      </c>
      <c r="E43" s="3" t="inlineStr">
        <is>
          <t>Enero</t>
        </is>
      </c>
      <c r="F43" s="3" t="n"/>
      <c r="G43" s="27" t="n">
        <v>1</v>
      </c>
      <c r="H43" s="27" t="n">
        <v>0</v>
      </c>
    </row>
    <row r="44" ht="16" customHeight="1" s="176">
      <c r="A44" s="6" t="n">
        <v>6</v>
      </c>
      <c r="B44" s="18" t="n">
        <v>2026</v>
      </c>
      <c r="C44" s="24" t="n">
        <v>46419</v>
      </c>
      <c r="D44" s="24" t="n">
        <v>46425</v>
      </c>
      <c r="E44" s="2" t="inlineStr">
        <is>
          <t>Febrero</t>
        </is>
      </c>
      <c r="F44" s="2" t="n"/>
      <c r="G44" s="25" t="n">
        <v>1</v>
      </c>
      <c r="H44" s="25" t="n">
        <v>0</v>
      </c>
    </row>
    <row r="45" ht="16" customHeight="1" s="176">
      <c r="A45" s="10" t="n">
        <v>7</v>
      </c>
      <c r="B45" s="22" t="n">
        <v>2026</v>
      </c>
      <c r="C45" s="26" t="n">
        <v>46426</v>
      </c>
      <c r="D45" s="26" t="n">
        <v>46432</v>
      </c>
      <c r="E45" s="3" t="inlineStr">
        <is>
          <t>Febrero</t>
        </is>
      </c>
      <c r="F45" s="3" t="n"/>
      <c r="G45" s="27" t="n">
        <v>1</v>
      </c>
      <c r="H45" s="27" t="n">
        <v>0</v>
      </c>
    </row>
    <row r="46" ht="16" customHeight="1" s="176">
      <c r="A46" s="6" t="n">
        <v>8</v>
      </c>
      <c r="B46" s="18" t="n">
        <v>2026</v>
      </c>
      <c r="C46" s="24" t="n">
        <v>46433</v>
      </c>
      <c r="D46" s="24" t="n">
        <v>46439</v>
      </c>
      <c r="E46" s="2" t="inlineStr">
        <is>
          <t>Febrero</t>
        </is>
      </c>
      <c r="F46" s="2" t="n"/>
      <c r="G46" s="25" t="n">
        <v>1</v>
      </c>
      <c r="H46" s="25" t="n">
        <v>0</v>
      </c>
    </row>
    <row r="47" ht="16" customHeight="1" s="176">
      <c r="A47" s="10" t="n">
        <v>9</v>
      </c>
      <c r="B47" s="22" t="n">
        <v>2026</v>
      </c>
      <c r="C47" s="26" t="n">
        <v>46440</v>
      </c>
      <c r="D47" s="26" t="n">
        <v>46446</v>
      </c>
      <c r="E47" s="3" t="inlineStr">
        <is>
          <t>Febrero</t>
        </is>
      </c>
      <c r="F47" s="3" t="n"/>
      <c r="G47" s="27" t="n">
        <v>1</v>
      </c>
      <c r="H47" s="27" t="n">
        <v>0</v>
      </c>
    </row>
    <row r="48" ht="16" customHeight="1" s="176">
      <c r="A48" s="6" t="n">
        <v>10</v>
      </c>
      <c r="B48" s="18" t="n">
        <v>2026</v>
      </c>
      <c r="C48" s="24" t="n">
        <v>46447</v>
      </c>
      <c r="D48" s="24" t="n">
        <v>46453</v>
      </c>
      <c r="E48" s="2" t="inlineStr">
        <is>
          <t>Marzo</t>
        </is>
      </c>
      <c r="F48" s="2" t="n"/>
      <c r="G48" s="25" t="n">
        <v>1</v>
      </c>
      <c r="H48" s="25" t="n">
        <v>0</v>
      </c>
    </row>
    <row r="49" ht="16" customHeight="1" s="176">
      <c r="A49" s="10" t="n">
        <v>11</v>
      </c>
      <c r="B49" s="22" t="n">
        <v>2026</v>
      </c>
      <c r="C49" s="26" t="n">
        <v>46454</v>
      </c>
      <c r="D49" s="26" t="n">
        <v>46460</v>
      </c>
      <c r="E49" s="3" t="inlineStr">
        <is>
          <t>Marzo</t>
        </is>
      </c>
      <c r="F49" s="3" t="n"/>
      <c r="G49" s="27" t="n">
        <v>1</v>
      </c>
      <c r="H49" s="27" t="n">
        <v>0</v>
      </c>
    </row>
    <row r="50" ht="16" customHeight="1" s="176">
      <c r="A50" s="6" t="n">
        <v>12</v>
      </c>
      <c r="B50" s="18" t="n">
        <v>2026</v>
      </c>
      <c r="C50" s="24" t="n">
        <v>46461</v>
      </c>
      <c r="D50" s="24" t="n">
        <v>46467</v>
      </c>
      <c r="E50" s="2" t="inlineStr">
        <is>
          <t>Marzo</t>
        </is>
      </c>
      <c r="F50" s="2" t="n"/>
      <c r="G50" s="25" t="n">
        <v>1</v>
      </c>
      <c r="H50" s="25" t="n">
        <v>0</v>
      </c>
    </row>
    <row r="51" ht="16" customHeight="1" s="176">
      <c r="A51" s="10" t="n">
        <v>13</v>
      </c>
      <c r="B51" s="22" t="n">
        <v>2026</v>
      </c>
      <c r="C51" s="26" t="n">
        <v>46468</v>
      </c>
      <c r="D51" s="26" t="n">
        <v>46474</v>
      </c>
      <c r="E51" s="3" t="inlineStr">
        <is>
          <t>Marzo</t>
        </is>
      </c>
      <c r="F51" s="3" t="n"/>
      <c r="G51" s="27" t="n">
        <v>1</v>
      </c>
      <c r="H51" s="27" t="n">
        <v>0</v>
      </c>
    </row>
    <row r="52" ht="16" customHeight="1" s="176">
      <c r="A52" s="6" t="n">
        <v>14</v>
      </c>
      <c r="B52" s="18" t="n">
        <v>2026</v>
      </c>
      <c r="C52" s="24" t="n">
        <v>46475</v>
      </c>
      <c r="D52" s="24" t="n">
        <v>46481</v>
      </c>
      <c r="E52" s="2" t="inlineStr">
        <is>
          <t>Marzo</t>
        </is>
      </c>
      <c r="F52" s="2" t="inlineStr">
        <is>
          <t>Abril</t>
        </is>
      </c>
      <c r="G52" s="25" t="n">
        <v>0.43</v>
      </c>
      <c r="H52" s="25" t="n">
        <v>0.57</v>
      </c>
    </row>
    <row r="53" ht="16" customHeight="1" s="176">
      <c r="A53" s="10" t="n">
        <v>15</v>
      </c>
      <c r="B53" s="22" t="n">
        <v>2026</v>
      </c>
      <c r="C53" s="26" t="n">
        <v>46482</v>
      </c>
      <c r="D53" s="26" t="n">
        <v>46488</v>
      </c>
      <c r="E53" s="3" t="inlineStr">
        <is>
          <t>Abril</t>
        </is>
      </c>
      <c r="F53" s="3" t="n"/>
      <c r="G53" s="27" t="n">
        <v>1</v>
      </c>
      <c r="H53" s="27" t="n">
        <v>0</v>
      </c>
    </row>
    <row r="54" ht="16" customHeight="1" s="176">
      <c r="A54" s="6" t="n">
        <v>16</v>
      </c>
      <c r="B54" s="18" t="n">
        <v>2026</v>
      </c>
      <c r="C54" s="24" t="n">
        <v>46489</v>
      </c>
      <c r="D54" s="24" t="n">
        <v>46495</v>
      </c>
      <c r="E54" s="2" t="inlineStr">
        <is>
          <t>Abril</t>
        </is>
      </c>
      <c r="F54" s="2" t="n"/>
      <c r="G54" s="25" t="n">
        <v>1</v>
      </c>
      <c r="H54" s="25" t="n">
        <v>0</v>
      </c>
    </row>
    <row r="55" ht="16" customHeight="1" s="176">
      <c r="A55" s="10" t="n">
        <v>17</v>
      </c>
      <c r="B55" s="22" t="n">
        <v>2026</v>
      </c>
      <c r="C55" s="26" t="n">
        <v>46496</v>
      </c>
      <c r="D55" s="26" t="n">
        <v>46502</v>
      </c>
      <c r="E55" s="3" t="inlineStr">
        <is>
          <t>Abril</t>
        </is>
      </c>
      <c r="F55" s="3" t="n"/>
      <c r="G55" s="27" t="n">
        <v>1</v>
      </c>
      <c r="H55" s="27" t="n">
        <v>0</v>
      </c>
    </row>
    <row r="56" ht="16" customHeight="1" s="176">
      <c r="A56" s="6" t="n">
        <v>18</v>
      </c>
      <c r="B56" s="18" t="n">
        <v>2026</v>
      </c>
      <c r="C56" s="24" t="n">
        <v>46503</v>
      </c>
      <c r="D56" s="24" t="n">
        <v>46509</v>
      </c>
      <c r="E56" s="2" t="inlineStr">
        <is>
          <t>Abril</t>
        </is>
      </c>
      <c r="F56" s="2" t="inlineStr">
        <is>
          <t>Mayo</t>
        </is>
      </c>
      <c r="G56" s="25" t="n">
        <v>0.71</v>
      </c>
      <c r="H56" s="25" t="n">
        <v>0.29</v>
      </c>
    </row>
    <row r="57" ht="16" customHeight="1" s="176">
      <c r="A57" s="10" t="n">
        <v>19</v>
      </c>
      <c r="B57" s="22" t="n">
        <v>2026</v>
      </c>
      <c r="C57" s="26" t="n">
        <v>46510</v>
      </c>
      <c r="D57" s="26" t="n">
        <v>46516</v>
      </c>
      <c r="E57" s="3" t="inlineStr">
        <is>
          <t>Mayo</t>
        </is>
      </c>
      <c r="F57" s="3" t="n"/>
      <c r="G57" s="27" t="n">
        <v>1</v>
      </c>
      <c r="H57" s="27" t="n">
        <v>0</v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682"/>
  <sheetViews>
    <sheetView showGridLines="0" topLeftCell="P1" workbookViewId="0">
      <pane ySplit="3" topLeftCell="A129" activePane="bottomLeft" state="frozen"/>
      <selection pane="bottomLeft" activeCell="A1" sqref="A1:AF1"/>
    </sheetView>
  </sheetViews>
  <sheetFormatPr baseColWidth="10" defaultColWidth="8.83203125" defaultRowHeight="15"/>
  <cols>
    <col width="7" customWidth="1" style="176" min="1" max="1"/>
    <col width="9" customWidth="1" style="176" min="2" max="2"/>
    <col width="16" customWidth="1" style="176" min="3" max="3"/>
    <col width="24" customWidth="1" style="176" min="4" max="4"/>
    <col width="12" customWidth="1" style="176" min="5" max="5"/>
    <col width="14" customWidth="1" style="176" min="6" max="6"/>
    <col width="11" customWidth="1" style="176" min="7" max="7"/>
    <col width="7" customWidth="1" style="176" min="8" max="9"/>
    <col width="8" customWidth="1" style="176" min="10" max="10"/>
    <col width="16" customWidth="1" style="176" min="11" max="11"/>
    <col width="22" customWidth="1" style="176" min="12" max="12"/>
    <col width="28" customWidth="1" style="176" min="13" max="13"/>
    <col width="12" customWidth="1" style="176" min="14" max="14"/>
    <col width="8" customWidth="1" style="176" min="15" max="15"/>
    <col width="12" customWidth="1" style="176" min="16" max="16"/>
    <col width="9" customWidth="1" style="176" min="17" max="17"/>
    <col width="13" customWidth="1" style="176" min="18" max="18"/>
    <col width="11" customWidth="1" style="176" min="19" max="19"/>
    <col width="10" customWidth="1" style="176" min="20" max="20"/>
    <col width="11" customWidth="1" style="176" min="21" max="32"/>
  </cols>
  <sheetData>
    <row r="1" ht="30" customHeight="1" s="176">
      <c r="A1" s="194" t="inlineStr">
        <is>
          <t>📊  BASE DE DATOS PRESUPUESTO — AGRÍCOLA MEGA  •  Temporada 2026/27</t>
        </is>
      </c>
    </row>
    <row r="2" ht="8" customHeight="1" s="176"/>
    <row r="3" ht="22" customHeight="1" s="176">
      <c r="A3" s="28" t="inlineStr">
        <is>
          <t>ID</t>
        </is>
      </c>
      <c r="B3" s="28" t="inlineStr">
        <is>
          <t>Temporada</t>
        </is>
      </c>
      <c r="C3" s="28" t="inlineStr">
        <is>
          <t>Campo</t>
        </is>
      </c>
      <c r="D3" s="28" t="inlineStr">
        <is>
          <t>Centro de Costo</t>
        </is>
      </c>
      <c r="E3" s="28" t="inlineStr">
        <is>
          <t>Especie</t>
        </is>
      </c>
      <c r="F3" s="28" t="inlineStr">
        <is>
          <t>Variedad</t>
        </is>
      </c>
      <c r="G3" s="28" t="inlineStr">
        <is>
          <t>Estado</t>
        </is>
      </c>
      <c r="H3" s="28" t="inlineStr">
        <is>
          <t>Há Total</t>
        </is>
      </c>
      <c r="I3" s="28" t="inlineStr">
        <is>
          <t>Há Produc.</t>
        </is>
      </c>
      <c r="J3" s="28" t="inlineStr">
        <is>
          <t>Tipo</t>
        </is>
      </c>
      <c r="K3" s="28" t="inlineStr">
        <is>
          <t>Tipo Gasto</t>
        </is>
      </c>
      <c r="L3" s="28" t="inlineStr">
        <is>
          <t>Labor</t>
        </is>
      </c>
      <c r="M3" s="28" t="inlineStr">
        <is>
          <t>Descripción Labor</t>
        </is>
      </c>
      <c r="N3" s="28" t="inlineStr">
        <is>
          <t>Condición</t>
        </is>
      </c>
      <c r="O3" s="28" t="inlineStr">
        <is>
          <t>Unid. Med.</t>
        </is>
      </c>
      <c r="P3" s="28" t="inlineStr">
        <is>
          <t>Tarifa/Trato $</t>
        </is>
      </c>
      <c r="Q3" s="28" t="inlineStr">
        <is>
          <t>Cantidad</t>
        </is>
      </c>
      <c r="R3" s="28" t="inlineStr">
        <is>
          <t>$ Total Año</t>
        </is>
      </c>
      <c r="S3" s="28" t="inlineStr">
        <is>
          <t>Costo US$/kg</t>
        </is>
      </c>
      <c r="T3" s="28" t="inlineStr">
        <is>
          <t>Costo $/kg</t>
        </is>
      </c>
      <c r="U3" s="172" t="inlineStr">
        <is>
          <t>May-26</t>
        </is>
      </c>
      <c r="V3" s="172" t="inlineStr">
        <is>
          <t>Jun-26</t>
        </is>
      </c>
      <c r="W3" s="172" t="inlineStr">
        <is>
          <t>Jul-26</t>
        </is>
      </c>
      <c r="X3" s="172" t="inlineStr">
        <is>
          <t>Ago-26</t>
        </is>
      </c>
      <c r="Y3" s="172" t="inlineStr">
        <is>
          <t>Sep-26</t>
        </is>
      </c>
      <c r="Z3" s="172" t="inlineStr">
        <is>
          <t>Oct-26</t>
        </is>
      </c>
      <c r="AA3" s="172" t="inlineStr">
        <is>
          <t>Nov-26</t>
        </is>
      </c>
      <c r="AB3" s="172" t="inlineStr">
        <is>
          <t>Dic-26</t>
        </is>
      </c>
      <c r="AC3" s="172" t="inlineStr">
        <is>
          <t>Ene-27</t>
        </is>
      </c>
      <c r="AD3" s="172" t="inlineStr">
        <is>
          <t>Feb-27</t>
        </is>
      </c>
      <c r="AE3" s="172" t="inlineStr">
        <is>
          <t>Mar-27</t>
        </is>
      </c>
      <c r="AF3" s="172" t="inlineStr">
        <is>
          <t>Abr-27</t>
        </is>
      </c>
    </row>
    <row r="4" ht="15" customHeight="1" s="176">
      <c r="A4" s="30" t="inlineStr">
        <is>
          <t>P-0001</t>
        </is>
      </c>
      <c r="B4" s="30" t="inlineStr">
        <is>
          <t>2026/27</t>
        </is>
      </c>
      <c r="C4" s="30" t="inlineStr">
        <is>
          <t>Asmara</t>
        </is>
      </c>
      <c r="D4" s="31" t="inlineStr">
        <is>
          <t>w. murcott 4,9 ha</t>
        </is>
      </c>
      <c r="E4" s="30" t="inlineStr">
        <is>
          <t>Mandarina</t>
        </is>
      </c>
      <c r="F4" s="30" t="inlineStr">
        <is>
          <t>W. murcott</t>
        </is>
      </c>
      <c r="G4" s="30" t="inlineStr">
        <is>
          <t>Producción</t>
        </is>
      </c>
      <c r="H4" s="32" t="n">
        <v>4.9</v>
      </c>
      <c r="I4" s="32" t="n">
        <v>4.9</v>
      </c>
      <c r="J4" s="30" t="inlineStr">
        <is>
          <t>Costo</t>
        </is>
      </c>
      <c r="K4" s="31" t="inlineStr">
        <is>
          <t>1- M.O. directa</t>
        </is>
      </c>
      <c r="L4" s="31" t="inlineStr">
        <is>
          <t xml:space="preserve">1,4- Mantención caminos </t>
        </is>
      </c>
      <c r="M4" s="31" t="inlineStr">
        <is>
          <t>(pala, rastra, rana)</t>
        </is>
      </c>
      <c r="N4" s="30" t="inlineStr">
        <is>
          <t>día</t>
        </is>
      </c>
      <c r="O4" s="30" t="inlineStr">
        <is>
          <t>JH</t>
        </is>
      </c>
      <c r="P4" s="33" t="n">
        <v>43500</v>
      </c>
      <c r="Q4" s="34" t="n">
        <v>1</v>
      </c>
      <c r="R4" s="33" t="n">
        <v>130500</v>
      </c>
      <c r="S4" s="35" t="n">
        <v>0.000591836734693877</v>
      </c>
      <c r="T4" s="33" t="n">
        <v>0.53265306122449</v>
      </c>
      <c r="U4" s="33" t="n">
        <v>0</v>
      </c>
      <c r="V4" s="33" t="n">
        <v>0</v>
      </c>
      <c r="W4" s="33" t="n">
        <v>0</v>
      </c>
      <c r="X4" s="33" t="n">
        <v>0</v>
      </c>
      <c r="Y4" s="33" t="n">
        <v>0</v>
      </c>
      <c r="Z4" s="33" t="n">
        <v>48.3333333333333</v>
      </c>
      <c r="AA4" s="33" t="n">
        <v>0</v>
      </c>
      <c r="AB4" s="33" t="n">
        <v>48.3333333333333</v>
      </c>
      <c r="AC4" s="33" t="n">
        <v>0</v>
      </c>
      <c r="AD4" s="33" t="n">
        <v>0</v>
      </c>
      <c r="AE4" s="33" t="n">
        <v>0</v>
      </c>
      <c r="AF4" s="33" t="n">
        <v>48.3333333333333</v>
      </c>
    </row>
    <row r="5" ht="15" customHeight="1" s="176">
      <c r="A5" s="36" t="inlineStr">
        <is>
          <t>P-0002</t>
        </is>
      </c>
      <c r="B5" s="36" t="inlineStr">
        <is>
          <t>2026/27</t>
        </is>
      </c>
      <c r="C5" s="36" t="inlineStr">
        <is>
          <t>Asmara</t>
        </is>
      </c>
      <c r="D5" s="37" t="inlineStr">
        <is>
          <t>w. murcott 19,8 ha</t>
        </is>
      </c>
      <c r="E5" s="36" t="inlineStr">
        <is>
          <t>Mandarina</t>
        </is>
      </c>
      <c r="F5" s="36" t="inlineStr">
        <is>
          <t>W. murcott</t>
        </is>
      </c>
      <c r="G5" s="36" t="inlineStr">
        <is>
          <t>Producción</t>
        </is>
      </c>
      <c r="H5" s="38" t="n">
        <v>19.8</v>
      </c>
      <c r="I5" s="38" t="n">
        <v>19.8</v>
      </c>
      <c r="J5" s="36" t="inlineStr">
        <is>
          <t>Costo</t>
        </is>
      </c>
      <c r="K5" s="37" t="inlineStr">
        <is>
          <t>1- M.O. directa</t>
        </is>
      </c>
      <c r="L5" s="37" t="inlineStr">
        <is>
          <t xml:space="preserve">1,4- Mantención caminos </t>
        </is>
      </c>
      <c r="M5" s="37" t="inlineStr">
        <is>
          <t>(pala, rastra, rana)</t>
        </is>
      </c>
      <c r="N5" s="36" t="inlineStr">
        <is>
          <t>día</t>
        </is>
      </c>
      <c r="O5" s="36" t="inlineStr">
        <is>
          <t>JH</t>
        </is>
      </c>
      <c r="P5" s="39" t="n">
        <v>43500</v>
      </c>
      <c r="Q5" s="40" t="n">
        <v>1</v>
      </c>
      <c r="R5" s="39" t="n">
        <v>130500</v>
      </c>
      <c r="S5" s="41" t="n">
        <v>0.000146464646464647</v>
      </c>
      <c r="T5" s="39" t="n">
        <v>0.131818181818182</v>
      </c>
      <c r="U5" s="39" t="n">
        <v>0</v>
      </c>
      <c r="V5" s="39" t="n">
        <v>0</v>
      </c>
      <c r="W5" s="39" t="n">
        <v>0</v>
      </c>
      <c r="X5" s="39" t="n">
        <v>0</v>
      </c>
      <c r="Y5" s="39" t="n">
        <v>0</v>
      </c>
      <c r="Z5" s="39" t="n">
        <v>48.3333333333333</v>
      </c>
      <c r="AA5" s="39" t="n">
        <v>0</v>
      </c>
      <c r="AB5" s="39" t="n">
        <v>48.3333333333333</v>
      </c>
      <c r="AC5" s="39" t="n">
        <v>0</v>
      </c>
      <c r="AD5" s="39" t="n">
        <v>0</v>
      </c>
      <c r="AE5" s="39" t="n">
        <v>0</v>
      </c>
      <c r="AF5" s="39" t="n">
        <v>48.3333333333333</v>
      </c>
    </row>
    <row r="6" ht="15" customHeight="1" s="176">
      <c r="A6" s="30" t="inlineStr">
        <is>
          <t>P-0003</t>
        </is>
      </c>
      <c r="B6" s="30" t="inlineStr">
        <is>
          <t>2026/27</t>
        </is>
      </c>
      <c r="C6" s="30" t="inlineStr">
        <is>
          <t>Asmara</t>
        </is>
      </c>
      <c r="D6" s="31" t="inlineStr">
        <is>
          <t>w. murcott 4,9 ha</t>
        </is>
      </c>
      <c r="E6" s="30" t="inlineStr">
        <is>
          <t>Mandarina</t>
        </is>
      </c>
      <c r="F6" s="30" t="inlineStr">
        <is>
          <t>W. murcott</t>
        </is>
      </c>
      <c r="G6" s="30" t="inlineStr">
        <is>
          <t>Producción</t>
        </is>
      </c>
      <c r="H6" s="32" t="n">
        <v>4.9</v>
      </c>
      <c r="I6" s="32" t="n">
        <v>4.9</v>
      </c>
      <c r="J6" s="30" t="inlineStr">
        <is>
          <t>Costo</t>
        </is>
      </c>
      <c r="K6" s="31" t="inlineStr">
        <is>
          <t>1- M.O. directa</t>
        </is>
      </c>
      <c r="L6" s="31" t="inlineStr">
        <is>
          <t xml:space="preserve">11- mantención de cercos </t>
        </is>
      </c>
      <c r="M6" s="31" t="n"/>
      <c r="N6" s="30" t="inlineStr">
        <is>
          <t>día</t>
        </is>
      </c>
      <c r="O6" s="30" t="inlineStr">
        <is>
          <t>ha</t>
        </is>
      </c>
      <c r="P6" s="33" t="n">
        <v>38500</v>
      </c>
      <c r="Q6" s="34" t="n">
        <v>4.9</v>
      </c>
      <c r="R6" s="33" t="n">
        <v>660275</v>
      </c>
      <c r="S6" s="35" t="n">
        <v>0.00299444444444444</v>
      </c>
      <c r="T6" s="33" t="n">
        <v>2.695</v>
      </c>
      <c r="U6" s="33" t="n">
        <v>0</v>
      </c>
      <c r="V6" s="33" t="n">
        <v>0</v>
      </c>
      <c r="W6" s="33" t="n">
        <v>0</v>
      </c>
      <c r="X6" s="33" t="n">
        <v>0</v>
      </c>
      <c r="Y6" s="33" t="n">
        <v>0</v>
      </c>
      <c r="Z6" s="33" t="n">
        <v>104.805555555556</v>
      </c>
      <c r="AA6" s="33" t="n">
        <v>104.805555555556</v>
      </c>
      <c r="AB6" s="33" t="n">
        <v>104.805555555556</v>
      </c>
      <c r="AC6" s="33" t="n">
        <v>104.805555555556</v>
      </c>
      <c r="AD6" s="33" t="n">
        <v>104.805555555556</v>
      </c>
      <c r="AE6" s="33" t="n">
        <v>104.805555555556</v>
      </c>
      <c r="AF6" s="33" t="n">
        <v>104.805555555556</v>
      </c>
    </row>
    <row r="7" ht="15" customHeight="1" s="176">
      <c r="A7" s="36" t="inlineStr">
        <is>
          <t>P-0004</t>
        </is>
      </c>
      <c r="B7" s="36" t="inlineStr">
        <is>
          <t>2026/27</t>
        </is>
      </c>
      <c r="C7" s="36" t="inlineStr">
        <is>
          <t>Asmara</t>
        </is>
      </c>
      <c r="D7" s="37" t="inlineStr">
        <is>
          <t>w. murcott 19,8 ha</t>
        </is>
      </c>
      <c r="E7" s="36" t="inlineStr">
        <is>
          <t>Mandarina</t>
        </is>
      </c>
      <c r="F7" s="36" t="inlineStr">
        <is>
          <t>W. murcott</t>
        </is>
      </c>
      <c r="G7" s="36" t="inlineStr">
        <is>
          <t>Producción</t>
        </is>
      </c>
      <c r="H7" s="38" t="n">
        <v>19.8</v>
      </c>
      <c r="I7" s="38" t="n">
        <v>19.8</v>
      </c>
      <c r="J7" s="36" t="inlineStr">
        <is>
          <t>Costo</t>
        </is>
      </c>
      <c r="K7" s="37" t="inlineStr">
        <is>
          <t>1- M.O. directa</t>
        </is>
      </c>
      <c r="L7" s="37" t="inlineStr">
        <is>
          <t xml:space="preserve">11- mantención de cercos </t>
        </is>
      </c>
      <c r="M7" s="37" t="n"/>
      <c r="N7" s="36" t="inlineStr">
        <is>
          <t>día</t>
        </is>
      </c>
      <c r="O7" s="36" t="inlineStr">
        <is>
          <t>ha</t>
        </is>
      </c>
      <c r="P7" s="39" t="n">
        <v>38500</v>
      </c>
      <c r="Q7" s="40" t="n">
        <v>19.8</v>
      </c>
      <c r="R7" s="39" t="n">
        <v>2668050</v>
      </c>
      <c r="S7" s="41" t="n">
        <v>0.00299444444444445</v>
      </c>
      <c r="T7" s="39" t="n">
        <v>2.695</v>
      </c>
      <c r="U7" s="39" t="n">
        <v>0</v>
      </c>
      <c r="V7" s="39" t="n">
        <v>0</v>
      </c>
      <c r="W7" s="39" t="n">
        <v>0</v>
      </c>
      <c r="X7" s="39" t="n">
        <v>0</v>
      </c>
      <c r="Y7" s="39" t="n">
        <v>0</v>
      </c>
      <c r="Z7" s="39" t="n">
        <v>423.5</v>
      </c>
      <c r="AA7" s="39" t="n">
        <v>423.5</v>
      </c>
      <c r="AB7" s="39" t="n">
        <v>423.5</v>
      </c>
      <c r="AC7" s="39" t="n">
        <v>423.5</v>
      </c>
      <c r="AD7" s="39" t="n">
        <v>423.5</v>
      </c>
      <c r="AE7" s="39" t="n">
        <v>423.5</v>
      </c>
      <c r="AF7" s="39" t="n">
        <v>423.5</v>
      </c>
    </row>
    <row r="8" ht="15" customHeight="1" s="176">
      <c r="A8" s="30" t="inlineStr">
        <is>
          <t>P-0005</t>
        </is>
      </c>
      <c r="B8" s="30" t="inlineStr">
        <is>
          <t>2026/27</t>
        </is>
      </c>
      <c r="C8" s="30" t="inlineStr">
        <is>
          <t>Asmara</t>
        </is>
      </c>
      <c r="D8" s="31" t="inlineStr">
        <is>
          <t>w. murcott 4,9 ha</t>
        </is>
      </c>
      <c r="E8" s="30" t="inlineStr">
        <is>
          <t>Mandarina</t>
        </is>
      </c>
      <c r="F8" s="30" t="inlineStr">
        <is>
          <t>W. murcott</t>
        </is>
      </c>
      <c r="G8" s="30" t="inlineStr">
        <is>
          <t>Producción</t>
        </is>
      </c>
      <c r="H8" s="32" t="n">
        <v>4.9</v>
      </c>
      <c r="I8" s="32" t="n">
        <v>4.9</v>
      </c>
      <c r="J8" s="30" t="inlineStr">
        <is>
          <t>Costo</t>
        </is>
      </c>
      <c r="K8" s="31" t="inlineStr">
        <is>
          <t>1- M.O. directa</t>
        </is>
      </c>
      <c r="L8" s="31" t="inlineStr">
        <is>
          <t>12- Picar sarmiento</t>
        </is>
      </c>
      <c r="M8" s="31" t="n"/>
      <c r="N8" s="30" t="inlineStr">
        <is>
          <t>trato</t>
        </is>
      </c>
      <c r="O8" s="30" t="inlineStr">
        <is>
          <t>plt</t>
        </is>
      </c>
      <c r="P8" s="33" t="n">
        <v>60</v>
      </c>
      <c r="Q8" s="34" t="n">
        <v>3268.3</v>
      </c>
      <c r="R8" s="33" t="n">
        <v>196098</v>
      </c>
      <c r="S8" s="35" t="n">
        <v>0.000889333333333333</v>
      </c>
      <c r="T8" s="33" t="n">
        <v>0.8004</v>
      </c>
      <c r="U8" s="33" t="n">
        <v>0</v>
      </c>
      <c r="V8" s="33" t="n">
        <v>0</v>
      </c>
      <c r="W8" s="33" t="n">
        <v>0</v>
      </c>
      <c r="X8" s="33" t="n">
        <v>0</v>
      </c>
      <c r="Y8" s="33" t="n">
        <v>0</v>
      </c>
      <c r="Z8" s="33" t="n">
        <v>0</v>
      </c>
      <c r="AA8" s="33" t="n">
        <v>0</v>
      </c>
      <c r="AB8" s="33" t="n">
        <v>0</v>
      </c>
      <c r="AC8" s="33" t="n">
        <v>0</v>
      </c>
      <c r="AD8" s="33" t="n">
        <v>0</v>
      </c>
      <c r="AE8" s="33" t="n">
        <v>217.886666666667</v>
      </c>
      <c r="AF8" s="33" t="n">
        <v>0</v>
      </c>
    </row>
    <row r="9" ht="15" customHeight="1" s="176">
      <c r="A9" s="36" t="inlineStr">
        <is>
          <t>P-0006</t>
        </is>
      </c>
      <c r="B9" s="36" t="inlineStr">
        <is>
          <t>2026/27</t>
        </is>
      </c>
      <c r="C9" s="36" t="inlineStr">
        <is>
          <t>Asmara</t>
        </is>
      </c>
      <c r="D9" s="37" t="inlineStr">
        <is>
          <t>w. murcott 19,8 ha</t>
        </is>
      </c>
      <c r="E9" s="36" t="inlineStr">
        <is>
          <t>Mandarina</t>
        </is>
      </c>
      <c r="F9" s="36" t="inlineStr">
        <is>
          <t>W. murcott</t>
        </is>
      </c>
      <c r="G9" s="36" t="inlineStr">
        <is>
          <t>Producción</t>
        </is>
      </c>
      <c r="H9" s="38" t="n">
        <v>19.8</v>
      </c>
      <c r="I9" s="38" t="n">
        <v>19.8</v>
      </c>
      <c r="J9" s="36" t="inlineStr">
        <is>
          <t>Costo</t>
        </is>
      </c>
      <c r="K9" s="37" t="inlineStr">
        <is>
          <t>1- M.O. directa</t>
        </is>
      </c>
      <c r="L9" s="37" t="inlineStr">
        <is>
          <t>12- Picar sarmiento</t>
        </is>
      </c>
      <c r="M9" s="37" t="n"/>
      <c r="N9" s="36" t="inlineStr">
        <is>
          <t>trato</t>
        </is>
      </c>
      <c r="O9" s="36" t="inlineStr">
        <is>
          <t>plt</t>
        </is>
      </c>
      <c r="P9" s="39" t="n">
        <v>60</v>
      </c>
      <c r="Q9" s="40" t="n">
        <v>13206.6</v>
      </c>
      <c r="R9" s="39" t="n">
        <v>792396</v>
      </c>
      <c r="S9" s="41" t="n">
        <v>0.000889333333333333</v>
      </c>
      <c r="T9" s="39" t="n">
        <v>0.8004</v>
      </c>
      <c r="U9" s="39" t="n">
        <v>0</v>
      </c>
      <c r="V9" s="39" t="n">
        <v>0</v>
      </c>
      <c r="W9" s="39" t="n">
        <v>0</v>
      </c>
      <c r="X9" s="39" t="n">
        <v>0</v>
      </c>
      <c r="Y9" s="39" t="n">
        <v>0</v>
      </c>
      <c r="Z9" s="39" t="n">
        <v>0</v>
      </c>
      <c r="AA9" s="39" t="n">
        <v>0</v>
      </c>
      <c r="AB9" s="39" t="n">
        <v>0</v>
      </c>
      <c r="AC9" s="39" t="n">
        <v>0</v>
      </c>
      <c r="AD9" s="39" t="n">
        <v>0</v>
      </c>
      <c r="AE9" s="39" t="n">
        <v>880.4400000000001</v>
      </c>
      <c r="AF9" s="39" t="n">
        <v>0</v>
      </c>
    </row>
    <row r="10" ht="15" customHeight="1" s="176">
      <c r="A10" s="30" t="inlineStr">
        <is>
          <t>P-0007</t>
        </is>
      </c>
      <c r="B10" s="30" t="inlineStr">
        <is>
          <t>2026/27</t>
        </is>
      </c>
      <c r="C10" s="30" t="inlineStr">
        <is>
          <t>Asmara</t>
        </is>
      </c>
      <c r="D10" s="31" t="inlineStr">
        <is>
          <t>w. murcott 4,9 ha</t>
        </is>
      </c>
      <c r="E10" s="30" t="inlineStr">
        <is>
          <t>Mandarina</t>
        </is>
      </c>
      <c r="F10" s="30" t="inlineStr">
        <is>
          <t>W. murcott</t>
        </is>
      </c>
      <c r="G10" s="30" t="inlineStr">
        <is>
          <t>Producción</t>
        </is>
      </c>
      <c r="H10" s="32" t="n">
        <v>4.9</v>
      </c>
      <c r="I10" s="32" t="n">
        <v>4.9</v>
      </c>
      <c r="J10" s="30" t="inlineStr">
        <is>
          <t>Costo</t>
        </is>
      </c>
      <c r="K10" s="31" t="inlineStr">
        <is>
          <t>1- M.O. directa</t>
        </is>
      </c>
      <c r="L10" s="31" t="inlineStr">
        <is>
          <t>13- Poda antenas</t>
        </is>
      </c>
      <c r="M10" s="31" t="n"/>
      <c r="N10" s="30" t="inlineStr">
        <is>
          <t>trato</t>
        </is>
      </c>
      <c r="O10" s="30" t="inlineStr">
        <is>
          <t>plt</t>
        </is>
      </c>
      <c r="P10" s="33" t="n">
        <v>350</v>
      </c>
      <c r="Q10" s="34" t="n">
        <v>3268.3</v>
      </c>
      <c r="R10" s="33" t="n">
        <v>1143905</v>
      </c>
      <c r="S10" s="35" t="n">
        <v>0.00518777777777778</v>
      </c>
      <c r="T10" s="33" t="n">
        <v>4.669</v>
      </c>
      <c r="U10" s="33" t="n">
        <v>0</v>
      </c>
      <c r="V10" s="33" t="n">
        <v>0</v>
      </c>
      <c r="W10" s="33" t="n">
        <v>0</v>
      </c>
      <c r="X10" s="33" t="n">
        <v>0</v>
      </c>
      <c r="Y10" s="33" t="n">
        <v>0</v>
      </c>
      <c r="Z10" s="33" t="n">
        <v>0</v>
      </c>
      <c r="AA10" s="33" t="n">
        <v>0</v>
      </c>
      <c r="AB10" s="33" t="n">
        <v>0</v>
      </c>
      <c r="AC10" s="33" t="n">
        <v>0</v>
      </c>
      <c r="AD10" s="33" t="n">
        <v>0</v>
      </c>
      <c r="AE10" s="33" t="n">
        <v>1271.00555555556</v>
      </c>
      <c r="AF10" s="33" t="n">
        <v>0</v>
      </c>
    </row>
    <row r="11" ht="15" customHeight="1" s="176">
      <c r="A11" s="36" t="inlineStr">
        <is>
          <t>P-0008</t>
        </is>
      </c>
      <c r="B11" s="36" t="inlineStr">
        <is>
          <t>2026/27</t>
        </is>
      </c>
      <c r="C11" s="36" t="inlineStr">
        <is>
          <t>Asmara</t>
        </is>
      </c>
      <c r="D11" s="37" t="inlineStr">
        <is>
          <t>w. murcott 19,8 ha</t>
        </is>
      </c>
      <c r="E11" s="36" t="inlineStr">
        <is>
          <t>Mandarina</t>
        </is>
      </c>
      <c r="F11" s="36" t="inlineStr">
        <is>
          <t>W. murcott</t>
        </is>
      </c>
      <c r="G11" s="36" t="inlineStr">
        <is>
          <t>Producción</t>
        </is>
      </c>
      <c r="H11" s="38" t="n">
        <v>19.8</v>
      </c>
      <c r="I11" s="38" t="n">
        <v>19.8</v>
      </c>
      <c r="J11" s="36" t="inlineStr">
        <is>
          <t>Costo</t>
        </is>
      </c>
      <c r="K11" s="37" t="inlineStr">
        <is>
          <t>1- M.O. directa</t>
        </is>
      </c>
      <c r="L11" s="37" t="inlineStr">
        <is>
          <t>13- Poda antenas</t>
        </is>
      </c>
      <c r="M11" s="37" t="n"/>
      <c r="N11" s="36" t="inlineStr">
        <is>
          <t>trato</t>
        </is>
      </c>
      <c r="O11" s="36" t="inlineStr">
        <is>
          <t>plt</t>
        </is>
      </c>
      <c r="P11" s="39" t="n">
        <v>350</v>
      </c>
      <c r="Q11" s="40" t="n">
        <v>13206.6</v>
      </c>
      <c r="R11" s="39" t="n">
        <v>4622310</v>
      </c>
      <c r="S11" s="41" t="n">
        <v>0.00518777777777778</v>
      </c>
      <c r="T11" s="39" t="n">
        <v>4.669</v>
      </c>
      <c r="U11" s="39" t="n">
        <v>0</v>
      </c>
      <c r="V11" s="39" t="n">
        <v>0</v>
      </c>
      <c r="W11" s="39" t="n">
        <v>0</v>
      </c>
      <c r="X11" s="39" t="n">
        <v>0</v>
      </c>
      <c r="Y11" s="39" t="n">
        <v>0</v>
      </c>
      <c r="Z11" s="39" t="n">
        <v>0</v>
      </c>
      <c r="AA11" s="39" t="n">
        <v>0</v>
      </c>
      <c r="AB11" s="39" t="n">
        <v>0</v>
      </c>
      <c r="AC11" s="39" t="n">
        <v>0</v>
      </c>
      <c r="AD11" s="39" t="n">
        <v>0</v>
      </c>
      <c r="AE11" s="39" t="n">
        <v>5135.9</v>
      </c>
      <c r="AF11" s="39" t="n">
        <v>0</v>
      </c>
    </row>
    <row r="12" ht="15" customHeight="1" s="176">
      <c r="A12" s="30" t="inlineStr">
        <is>
          <t>P-0009</t>
        </is>
      </c>
      <c r="B12" s="30" t="inlineStr">
        <is>
          <t>2026/27</t>
        </is>
      </c>
      <c r="C12" s="30" t="inlineStr">
        <is>
          <t>Asmara</t>
        </is>
      </c>
      <c r="D12" s="31" t="inlineStr">
        <is>
          <t>w. murcott 4,9 ha</t>
        </is>
      </c>
      <c r="E12" s="30" t="inlineStr">
        <is>
          <t>Mandarina</t>
        </is>
      </c>
      <c r="F12" s="30" t="inlineStr">
        <is>
          <t>W. murcott</t>
        </is>
      </c>
      <c r="G12" s="30" t="inlineStr">
        <is>
          <t>Producción</t>
        </is>
      </c>
      <c r="H12" s="32" t="n">
        <v>4.9</v>
      </c>
      <c r="I12" s="32" t="n">
        <v>4.9</v>
      </c>
      <c r="J12" s="30" t="inlineStr">
        <is>
          <t>Costo</t>
        </is>
      </c>
      <c r="K12" s="31" t="inlineStr">
        <is>
          <t>1- M.O. directa</t>
        </is>
      </c>
      <c r="L12" s="31" t="inlineStr">
        <is>
          <t>14- Poda de sierrpes</t>
        </is>
      </c>
      <c r="M12" s="31" t="n"/>
      <c r="N12" s="30" t="inlineStr">
        <is>
          <t>trato</t>
        </is>
      </c>
      <c r="O12" s="30" t="inlineStr">
        <is>
          <t>plt</t>
        </is>
      </c>
      <c r="P12" s="33" t="n">
        <v>30</v>
      </c>
      <c r="Q12" s="34" t="n">
        <v>3268.3</v>
      </c>
      <c r="R12" s="33" t="n">
        <v>147073.5</v>
      </c>
      <c r="S12" s="35" t="n">
        <v>0.0006669999999999999</v>
      </c>
      <c r="T12" s="33" t="n">
        <v>0.6002999999999999</v>
      </c>
      <c r="U12" s="33" t="n">
        <v>0</v>
      </c>
      <c r="V12" s="33" t="n">
        <v>0</v>
      </c>
      <c r="W12" s="33" t="n">
        <v>0</v>
      </c>
      <c r="X12" s="33" t="n">
        <v>0</v>
      </c>
      <c r="Y12" s="33" t="n">
        <v>0</v>
      </c>
      <c r="Z12" s="33" t="n">
        <v>0</v>
      </c>
      <c r="AA12" s="33" t="n">
        <v>0</v>
      </c>
      <c r="AB12" s="33" t="n">
        <v>0</v>
      </c>
      <c r="AC12" s="33" t="n">
        <v>54.4716666666667</v>
      </c>
      <c r="AD12" s="33" t="n">
        <v>54.4716666666667</v>
      </c>
      <c r="AE12" s="33" t="n">
        <v>54.4716666666667</v>
      </c>
      <c r="AF12" s="33" t="n">
        <v>0</v>
      </c>
    </row>
    <row r="13" ht="15" customHeight="1" s="176">
      <c r="A13" s="36" t="inlineStr">
        <is>
          <t>P-0010</t>
        </is>
      </c>
      <c r="B13" s="36" t="inlineStr">
        <is>
          <t>2026/27</t>
        </is>
      </c>
      <c r="C13" s="36" t="inlineStr">
        <is>
          <t>Asmara</t>
        </is>
      </c>
      <c r="D13" s="37" t="inlineStr">
        <is>
          <t>w. murcott 19,8 ha</t>
        </is>
      </c>
      <c r="E13" s="36" t="inlineStr">
        <is>
          <t>Mandarina</t>
        </is>
      </c>
      <c r="F13" s="36" t="inlineStr">
        <is>
          <t>W. murcott</t>
        </is>
      </c>
      <c r="G13" s="36" t="inlineStr">
        <is>
          <t>Producción</t>
        </is>
      </c>
      <c r="H13" s="38" t="n">
        <v>19.8</v>
      </c>
      <c r="I13" s="38" t="n">
        <v>19.8</v>
      </c>
      <c r="J13" s="36" t="inlineStr">
        <is>
          <t>Costo</t>
        </is>
      </c>
      <c r="K13" s="37" t="inlineStr">
        <is>
          <t>1- M.O. directa</t>
        </is>
      </c>
      <c r="L13" s="37" t="inlineStr">
        <is>
          <t>14- Poda de sierrpes</t>
        </is>
      </c>
      <c r="M13" s="37" t="n"/>
      <c r="N13" s="36" t="inlineStr">
        <is>
          <t>trato</t>
        </is>
      </c>
      <c r="O13" s="36" t="inlineStr">
        <is>
          <t>plt</t>
        </is>
      </c>
      <c r="P13" s="39" t="n">
        <v>30</v>
      </c>
      <c r="Q13" s="40" t="n">
        <v>13206.6</v>
      </c>
      <c r="R13" s="39" t="n">
        <v>594297</v>
      </c>
      <c r="S13" s="41" t="n">
        <v>0.0006669999999999999</v>
      </c>
      <c r="T13" s="39" t="n">
        <v>0.6002999999999999</v>
      </c>
      <c r="U13" s="39" t="n">
        <v>0</v>
      </c>
      <c r="V13" s="39" t="n">
        <v>0</v>
      </c>
      <c r="W13" s="39" t="n">
        <v>0</v>
      </c>
      <c r="X13" s="39" t="n">
        <v>0</v>
      </c>
      <c r="Y13" s="39" t="n">
        <v>0</v>
      </c>
      <c r="Z13" s="39" t="n">
        <v>0</v>
      </c>
      <c r="AA13" s="39" t="n">
        <v>0</v>
      </c>
      <c r="AB13" s="39" t="n">
        <v>0</v>
      </c>
      <c r="AC13" s="39" t="n">
        <v>220.11</v>
      </c>
      <c r="AD13" s="39" t="n">
        <v>220.11</v>
      </c>
      <c r="AE13" s="39" t="n">
        <v>220.11</v>
      </c>
      <c r="AF13" s="39" t="n">
        <v>0</v>
      </c>
    </row>
    <row r="14" ht="15" customHeight="1" s="176">
      <c r="A14" s="30" t="inlineStr">
        <is>
          <t>P-0011</t>
        </is>
      </c>
      <c r="B14" s="30" t="inlineStr">
        <is>
          <t>2026/27</t>
        </is>
      </c>
      <c r="C14" s="30" t="inlineStr">
        <is>
          <t>Asmara</t>
        </is>
      </c>
      <c r="D14" s="31" t="inlineStr">
        <is>
          <t>w. murcott 4,9 ha</t>
        </is>
      </c>
      <c r="E14" s="30" t="inlineStr">
        <is>
          <t>Mandarina</t>
        </is>
      </c>
      <c r="F14" s="30" t="inlineStr">
        <is>
          <t>W. murcott</t>
        </is>
      </c>
      <c r="G14" s="30" t="inlineStr">
        <is>
          <t>Producción</t>
        </is>
      </c>
      <c r="H14" s="32" t="n">
        <v>4.9</v>
      </c>
      <c r="I14" s="32" t="n">
        <v>4.9</v>
      </c>
      <c r="J14" s="30" t="inlineStr">
        <is>
          <t>Costo</t>
        </is>
      </c>
      <c r="K14" s="31" t="inlineStr">
        <is>
          <t>1- M.O. directa</t>
        </is>
      </c>
      <c r="L14" s="31" t="inlineStr">
        <is>
          <t>15- Poda primavera</t>
        </is>
      </c>
      <c r="M14" s="31" t="n"/>
      <c r="N14" s="30" t="inlineStr">
        <is>
          <t>trato</t>
        </is>
      </c>
      <c r="O14" s="30" t="inlineStr">
        <is>
          <t>plt</t>
        </is>
      </c>
      <c r="P14" s="33" t="n">
        <v>900</v>
      </c>
      <c r="Q14" s="34" t="n">
        <v>3268.3</v>
      </c>
      <c r="R14" s="33" t="n">
        <v>2941470</v>
      </c>
      <c r="S14" s="35" t="n">
        <v>0.01334</v>
      </c>
      <c r="T14" s="33" t="n">
        <v>12.006</v>
      </c>
      <c r="U14" s="33" t="n">
        <v>0</v>
      </c>
      <c r="V14" s="33" t="n">
        <v>0</v>
      </c>
      <c r="W14" s="33" t="n">
        <v>0</v>
      </c>
      <c r="X14" s="33" t="n">
        <v>0</v>
      </c>
      <c r="Y14" s="33" t="n">
        <v>1634.15</v>
      </c>
      <c r="Z14" s="33" t="n">
        <v>1634.15</v>
      </c>
      <c r="AA14" s="33" t="n">
        <v>0</v>
      </c>
      <c r="AB14" s="33" t="n">
        <v>0</v>
      </c>
      <c r="AC14" s="33" t="n">
        <v>0</v>
      </c>
      <c r="AD14" s="33" t="n">
        <v>0</v>
      </c>
      <c r="AE14" s="33" t="n">
        <v>0</v>
      </c>
      <c r="AF14" s="33" t="n">
        <v>0</v>
      </c>
    </row>
    <row r="15" ht="15" customHeight="1" s="176">
      <c r="A15" s="36" t="inlineStr">
        <is>
          <t>P-0012</t>
        </is>
      </c>
      <c r="B15" s="36" t="inlineStr">
        <is>
          <t>2026/27</t>
        </is>
      </c>
      <c r="C15" s="36" t="inlineStr">
        <is>
          <t>Asmara</t>
        </is>
      </c>
      <c r="D15" s="37" t="inlineStr">
        <is>
          <t>w. murcott 19,8 ha</t>
        </is>
      </c>
      <c r="E15" s="36" t="inlineStr">
        <is>
          <t>Mandarina</t>
        </is>
      </c>
      <c r="F15" s="36" t="inlineStr">
        <is>
          <t>W. murcott</t>
        </is>
      </c>
      <c r="G15" s="36" t="inlineStr">
        <is>
          <t>Producción</t>
        </is>
      </c>
      <c r="H15" s="38" t="n">
        <v>19.8</v>
      </c>
      <c r="I15" s="38" t="n">
        <v>19.8</v>
      </c>
      <c r="J15" s="36" t="inlineStr">
        <is>
          <t>Costo</t>
        </is>
      </c>
      <c r="K15" s="37" t="inlineStr">
        <is>
          <t>1- M.O. directa</t>
        </is>
      </c>
      <c r="L15" s="37" t="inlineStr">
        <is>
          <t>15- Poda primavera</t>
        </is>
      </c>
      <c r="M15" s="37" t="n"/>
      <c r="N15" s="36" t="inlineStr">
        <is>
          <t>trato</t>
        </is>
      </c>
      <c r="O15" s="36" t="inlineStr">
        <is>
          <t>plt</t>
        </is>
      </c>
      <c r="P15" s="39" t="n">
        <v>900</v>
      </c>
      <c r="Q15" s="40" t="n">
        <v>13206.6</v>
      </c>
      <c r="R15" s="39" t="n">
        <v>11885940</v>
      </c>
      <c r="S15" s="41" t="n">
        <v>0.01334</v>
      </c>
      <c r="T15" s="39" t="n">
        <v>12.006</v>
      </c>
      <c r="U15" s="39" t="n">
        <v>0</v>
      </c>
      <c r="V15" s="39" t="n">
        <v>0</v>
      </c>
      <c r="W15" s="39" t="n">
        <v>0</v>
      </c>
      <c r="X15" s="39" t="n">
        <v>0</v>
      </c>
      <c r="Y15" s="39" t="n">
        <v>6603.3</v>
      </c>
      <c r="Z15" s="39" t="n">
        <v>6603.3</v>
      </c>
      <c r="AA15" s="39" t="n">
        <v>0</v>
      </c>
      <c r="AB15" s="39" t="n">
        <v>0</v>
      </c>
      <c r="AC15" s="39" t="n">
        <v>0</v>
      </c>
      <c r="AD15" s="39" t="n">
        <v>0</v>
      </c>
      <c r="AE15" s="39" t="n">
        <v>0</v>
      </c>
      <c r="AF15" s="39" t="n">
        <v>0</v>
      </c>
    </row>
    <row r="16" ht="15" customHeight="1" s="176">
      <c r="A16" s="30" t="inlineStr">
        <is>
          <t>P-0013</t>
        </is>
      </c>
      <c r="B16" s="30" t="inlineStr">
        <is>
          <t>2026/27</t>
        </is>
      </c>
      <c r="C16" s="30" t="inlineStr">
        <is>
          <t>Asmara</t>
        </is>
      </c>
      <c r="D16" s="31" t="inlineStr">
        <is>
          <t>w. murcott 4,9 ha</t>
        </is>
      </c>
      <c r="E16" s="30" t="inlineStr">
        <is>
          <t>Mandarina</t>
        </is>
      </c>
      <c r="F16" s="30" t="inlineStr">
        <is>
          <t>W. murcott</t>
        </is>
      </c>
      <c r="G16" s="30" t="inlineStr">
        <is>
          <t>Producción</t>
        </is>
      </c>
      <c r="H16" s="32" t="n">
        <v>4.9</v>
      </c>
      <c r="I16" s="32" t="n">
        <v>4.9</v>
      </c>
      <c r="J16" s="30" t="inlineStr">
        <is>
          <t>Costo</t>
        </is>
      </c>
      <c r="K16" s="31" t="inlineStr">
        <is>
          <t>1- M.O. directa</t>
        </is>
      </c>
      <c r="L16" s="31" t="inlineStr">
        <is>
          <t>16- Supervisor poda</t>
        </is>
      </c>
      <c r="M16" s="31" t="n"/>
      <c r="N16" s="30" t="inlineStr">
        <is>
          <t>día</t>
        </is>
      </c>
      <c r="O16" s="30" t="inlineStr">
        <is>
          <t>plt</t>
        </is>
      </c>
      <c r="P16" s="33" t="n">
        <v>75</v>
      </c>
      <c r="Q16" s="34" t="n">
        <v>3268.3</v>
      </c>
      <c r="R16" s="33" t="n">
        <v>245122.5</v>
      </c>
      <c r="S16" s="35" t="n">
        <v>0.00111166666666667</v>
      </c>
      <c r="T16" s="33" t="n">
        <v>1.0005</v>
      </c>
      <c r="U16" s="33" t="n">
        <v>0</v>
      </c>
      <c r="V16" s="33" t="n">
        <v>0</v>
      </c>
      <c r="W16" s="33" t="n">
        <v>0</v>
      </c>
      <c r="X16" s="33" t="n">
        <v>0</v>
      </c>
      <c r="Y16" s="33" t="n">
        <v>272.358333333333</v>
      </c>
      <c r="Z16" s="33" t="n">
        <v>0</v>
      </c>
      <c r="AA16" s="33" t="n">
        <v>0</v>
      </c>
      <c r="AB16" s="33" t="n">
        <v>0</v>
      </c>
      <c r="AC16" s="33" t="n">
        <v>0</v>
      </c>
      <c r="AD16" s="33" t="n">
        <v>0</v>
      </c>
      <c r="AE16" s="33" t="n">
        <v>0</v>
      </c>
      <c r="AF16" s="33" t="n">
        <v>0</v>
      </c>
    </row>
    <row r="17" ht="15" customHeight="1" s="176">
      <c r="A17" s="36" t="inlineStr">
        <is>
          <t>P-0014</t>
        </is>
      </c>
      <c r="B17" s="36" t="inlineStr">
        <is>
          <t>2026/27</t>
        </is>
      </c>
      <c r="C17" s="36" t="inlineStr">
        <is>
          <t>Asmara</t>
        </is>
      </c>
      <c r="D17" s="37" t="inlineStr">
        <is>
          <t>w. murcott 19,8 ha</t>
        </is>
      </c>
      <c r="E17" s="36" t="inlineStr">
        <is>
          <t>Mandarina</t>
        </is>
      </c>
      <c r="F17" s="36" t="inlineStr">
        <is>
          <t>W. murcott</t>
        </is>
      </c>
      <c r="G17" s="36" t="inlineStr">
        <is>
          <t>Producción</t>
        </is>
      </c>
      <c r="H17" s="38" t="n">
        <v>19.8</v>
      </c>
      <c r="I17" s="38" t="n">
        <v>19.8</v>
      </c>
      <c r="J17" s="36" t="inlineStr">
        <is>
          <t>Costo</t>
        </is>
      </c>
      <c r="K17" s="37" t="inlineStr">
        <is>
          <t>1- M.O. directa</t>
        </is>
      </c>
      <c r="L17" s="37" t="inlineStr">
        <is>
          <t>16- Supervisor poda</t>
        </is>
      </c>
      <c r="M17" s="37" t="n"/>
      <c r="N17" s="36" t="inlineStr">
        <is>
          <t>día</t>
        </is>
      </c>
      <c r="O17" s="36" t="inlineStr">
        <is>
          <t>plt</t>
        </is>
      </c>
      <c r="P17" s="39" t="n">
        <v>75</v>
      </c>
      <c r="Q17" s="40" t="n">
        <v>13206.6</v>
      </c>
      <c r="R17" s="39" t="n">
        <v>990495</v>
      </c>
      <c r="S17" s="41" t="n">
        <v>0.00111166666666667</v>
      </c>
      <c r="T17" s="39" t="n">
        <v>1.0005</v>
      </c>
      <c r="U17" s="39" t="n">
        <v>0</v>
      </c>
      <c r="V17" s="39" t="n">
        <v>0</v>
      </c>
      <c r="W17" s="39" t="n">
        <v>0</v>
      </c>
      <c r="X17" s="39" t="n">
        <v>0</v>
      </c>
      <c r="Y17" s="39" t="n">
        <v>1100.55</v>
      </c>
      <c r="Z17" s="39" t="n">
        <v>0</v>
      </c>
      <c r="AA17" s="39" t="n">
        <v>0</v>
      </c>
      <c r="AB17" s="39" t="n">
        <v>0</v>
      </c>
      <c r="AC17" s="39" t="n">
        <v>0</v>
      </c>
      <c r="AD17" s="39" t="n">
        <v>0</v>
      </c>
      <c r="AE17" s="39" t="n">
        <v>0</v>
      </c>
      <c r="AF17" s="39" t="n">
        <v>0</v>
      </c>
    </row>
    <row r="18" ht="15" customHeight="1" s="176">
      <c r="A18" s="30" t="inlineStr">
        <is>
          <t>P-0015</t>
        </is>
      </c>
      <c r="B18" s="30" t="inlineStr">
        <is>
          <t>2026/27</t>
        </is>
      </c>
      <c r="C18" s="30" t="inlineStr">
        <is>
          <t>Asmara</t>
        </is>
      </c>
      <c r="D18" s="31" t="inlineStr">
        <is>
          <t>w. murcott 4,9 ha</t>
        </is>
      </c>
      <c r="E18" s="30" t="inlineStr">
        <is>
          <t>Mandarina</t>
        </is>
      </c>
      <c r="F18" s="30" t="inlineStr">
        <is>
          <t>W. murcott</t>
        </is>
      </c>
      <c r="G18" s="30" t="inlineStr">
        <is>
          <t>Producción</t>
        </is>
      </c>
      <c r="H18" s="32" t="n">
        <v>4.9</v>
      </c>
      <c r="I18" s="32" t="n">
        <v>4.9</v>
      </c>
      <c r="J18" s="30" t="inlineStr">
        <is>
          <t>Costo</t>
        </is>
      </c>
      <c r="K18" s="31" t="inlineStr">
        <is>
          <t>1- M.O. directa</t>
        </is>
      </c>
      <c r="L18" s="31" t="inlineStr">
        <is>
          <t>17- Recepción, pesaje y despacho</t>
        </is>
      </c>
      <c r="M18" s="31" t="inlineStr">
        <is>
          <t>un jh   para 100  jh</t>
        </is>
      </c>
      <c r="N18" s="30" t="inlineStr">
        <is>
          <t>día</t>
        </is>
      </c>
      <c r="O18" s="30" t="inlineStr">
        <is>
          <t>kg</t>
        </is>
      </c>
      <c r="P18" s="33" t="n">
        <v>1.2</v>
      </c>
      <c r="Q18" s="34" t="n">
        <v>245000</v>
      </c>
      <c r="R18" s="33" t="n">
        <v>294000</v>
      </c>
      <c r="S18" s="35" t="n">
        <v>0.00133333333333333</v>
      </c>
      <c r="T18" s="33" t="n">
        <v>1.2</v>
      </c>
      <c r="U18" s="33" t="n">
        <v>0</v>
      </c>
      <c r="V18" s="33" t="n">
        <v>0</v>
      </c>
      <c r="W18" s="33" t="n">
        <v>163.333333333333</v>
      </c>
      <c r="X18" s="33" t="n">
        <v>163.333333333333</v>
      </c>
      <c r="Y18" s="33" t="n">
        <v>0</v>
      </c>
      <c r="Z18" s="33" t="n">
        <v>0</v>
      </c>
      <c r="AA18" s="33" t="n">
        <v>0</v>
      </c>
      <c r="AB18" s="33" t="n">
        <v>0</v>
      </c>
      <c r="AC18" s="33" t="n">
        <v>0</v>
      </c>
      <c r="AD18" s="33" t="n">
        <v>0</v>
      </c>
      <c r="AE18" s="33" t="n">
        <v>0</v>
      </c>
      <c r="AF18" s="33" t="n">
        <v>0</v>
      </c>
    </row>
    <row r="19" ht="15" customHeight="1" s="176">
      <c r="A19" s="36" t="inlineStr">
        <is>
          <t>P-0016</t>
        </is>
      </c>
      <c r="B19" s="36" t="inlineStr">
        <is>
          <t>2026/27</t>
        </is>
      </c>
      <c r="C19" s="36" t="inlineStr">
        <is>
          <t>Asmara</t>
        </is>
      </c>
      <c r="D19" s="37" t="inlineStr">
        <is>
          <t>w. murcott 19,8 ha</t>
        </is>
      </c>
      <c r="E19" s="36" t="inlineStr">
        <is>
          <t>Mandarina</t>
        </is>
      </c>
      <c r="F19" s="36" t="inlineStr">
        <is>
          <t>W. murcott</t>
        </is>
      </c>
      <c r="G19" s="36" t="inlineStr">
        <is>
          <t>Producción</t>
        </is>
      </c>
      <c r="H19" s="38" t="n">
        <v>19.8</v>
      </c>
      <c r="I19" s="38" t="n">
        <v>19.8</v>
      </c>
      <c r="J19" s="36" t="inlineStr">
        <is>
          <t>Costo</t>
        </is>
      </c>
      <c r="K19" s="37" t="inlineStr">
        <is>
          <t>1- M.O. directa</t>
        </is>
      </c>
      <c r="L19" s="37" t="inlineStr">
        <is>
          <t>17- Recepción, pesaje y despacho</t>
        </is>
      </c>
      <c r="M19" s="37" t="inlineStr">
        <is>
          <t>un jh   para 100  jh</t>
        </is>
      </c>
      <c r="N19" s="36" t="inlineStr">
        <is>
          <t>día</t>
        </is>
      </c>
      <c r="O19" s="36" t="inlineStr">
        <is>
          <t>kg</t>
        </is>
      </c>
      <c r="P19" s="39" t="n">
        <v>1.2</v>
      </c>
      <c r="Q19" s="40" t="n">
        <v>990000</v>
      </c>
      <c r="R19" s="39" t="n">
        <v>1188000</v>
      </c>
      <c r="S19" s="41" t="n">
        <v>0.00133333333333333</v>
      </c>
      <c r="T19" s="39" t="n">
        <v>1.2</v>
      </c>
      <c r="U19" s="39" t="n">
        <v>0</v>
      </c>
      <c r="V19" s="39" t="n">
        <v>0</v>
      </c>
      <c r="W19" s="39" t="n">
        <v>660</v>
      </c>
      <c r="X19" s="39" t="n">
        <v>660</v>
      </c>
      <c r="Y19" s="39" t="n">
        <v>0</v>
      </c>
      <c r="Z19" s="39" t="n">
        <v>0</v>
      </c>
      <c r="AA19" s="39" t="n">
        <v>0</v>
      </c>
      <c r="AB19" s="39" t="n">
        <v>0</v>
      </c>
      <c r="AC19" s="39" t="n">
        <v>0</v>
      </c>
      <c r="AD19" s="39" t="n">
        <v>0</v>
      </c>
      <c r="AE19" s="39" t="n">
        <v>0</v>
      </c>
      <c r="AF19" s="39" t="n">
        <v>0</v>
      </c>
    </row>
    <row r="20" ht="15" customHeight="1" s="176">
      <c r="A20" s="30" t="inlineStr">
        <is>
          <t>P-0017</t>
        </is>
      </c>
      <c r="B20" s="30" t="inlineStr">
        <is>
          <t>2026/27</t>
        </is>
      </c>
      <c r="C20" s="30" t="inlineStr">
        <is>
          <t>Asmara</t>
        </is>
      </c>
      <c r="D20" s="31" t="inlineStr">
        <is>
          <t>w. murcott 19,8 ha</t>
        </is>
      </c>
      <c r="E20" s="30" t="inlineStr">
        <is>
          <t>Mandarina</t>
        </is>
      </c>
      <c r="F20" s="30" t="inlineStr">
        <is>
          <t>W. murcott</t>
        </is>
      </c>
      <c r="G20" s="30" t="inlineStr">
        <is>
          <t>Producción</t>
        </is>
      </c>
      <c r="H20" s="32" t="n">
        <v>19.8</v>
      </c>
      <c r="I20" s="32" t="n">
        <v>19.8</v>
      </c>
      <c r="J20" s="30" t="inlineStr">
        <is>
          <t>Costo</t>
        </is>
      </c>
      <c r="K20" s="31" t="inlineStr">
        <is>
          <t>1- M.O. directa</t>
        </is>
      </c>
      <c r="L20" s="31" t="inlineStr">
        <is>
          <t>2- Supervisor cosecha</t>
        </is>
      </c>
      <c r="M20" s="31" t="inlineStr">
        <is>
          <t>15 jh/supervisor ($7/kg)</t>
        </is>
      </c>
      <c r="N20" s="30" t="inlineStr">
        <is>
          <t>día</t>
        </is>
      </c>
      <c r="O20" s="30" t="inlineStr">
        <is>
          <t>kg</t>
        </is>
      </c>
      <c r="P20" s="33" t="n">
        <v>7</v>
      </c>
      <c r="Q20" s="34" t="n">
        <v>990000</v>
      </c>
      <c r="R20" s="33" t="n">
        <v>6930000</v>
      </c>
      <c r="S20" s="35" t="n">
        <v>0.00777777777777778</v>
      </c>
      <c r="T20" s="33" t="n">
        <v>7</v>
      </c>
      <c r="U20" s="33" t="n">
        <v>0</v>
      </c>
      <c r="V20" s="33" t="n">
        <v>0</v>
      </c>
      <c r="W20" s="33" t="n">
        <v>3850</v>
      </c>
      <c r="X20" s="33" t="n">
        <v>3850</v>
      </c>
      <c r="Y20" s="33" t="n">
        <v>0</v>
      </c>
      <c r="Z20" s="33" t="n">
        <v>0</v>
      </c>
      <c r="AA20" s="33" t="n">
        <v>0</v>
      </c>
      <c r="AB20" s="33" t="n">
        <v>0</v>
      </c>
      <c r="AC20" s="33" t="n">
        <v>0</v>
      </c>
      <c r="AD20" s="33" t="n">
        <v>0</v>
      </c>
      <c r="AE20" s="33" t="n">
        <v>0</v>
      </c>
      <c r="AF20" s="33" t="n">
        <v>0</v>
      </c>
    </row>
    <row r="21" ht="15" customHeight="1" s="176">
      <c r="A21" s="36" t="inlineStr">
        <is>
          <t>P-0018</t>
        </is>
      </c>
      <c r="B21" s="36" t="inlineStr">
        <is>
          <t>2026/27</t>
        </is>
      </c>
      <c r="C21" s="36" t="inlineStr">
        <is>
          <t>Asmara</t>
        </is>
      </c>
      <c r="D21" s="37" t="inlineStr">
        <is>
          <t>w. murcott 19,8 ha</t>
        </is>
      </c>
      <c r="E21" s="36" t="inlineStr">
        <is>
          <t>Mandarina</t>
        </is>
      </c>
      <c r="F21" s="36" t="inlineStr">
        <is>
          <t>W. murcott</t>
        </is>
      </c>
      <c r="G21" s="36" t="inlineStr">
        <is>
          <t>Producción</t>
        </is>
      </c>
      <c r="H21" s="38" t="n">
        <v>19.8</v>
      </c>
      <c r="I21" s="38" t="n">
        <v>19.8</v>
      </c>
      <c r="J21" s="36" t="inlineStr">
        <is>
          <t>Costo</t>
        </is>
      </c>
      <c r="K21" s="37" t="inlineStr">
        <is>
          <t>1- M.O. directa</t>
        </is>
      </c>
      <c r="L21" s="37" t="inlineStr">
        <is>
          <t>3- Selección</t>
        </is>
      </c>
      <c r="M21" s="37" t="inlineStr">
        <is>
          <t>5 jh/seleccion</t>
        </is>
      </c>
      <c r="N21" s="36" t="inlineStr">
        <is>
          <t>trato</t>
        </is>
      </c>
      <c r="O21" s="36" t="inlineStr">
        <is>
          <t>kg</t>
        </is>
      </c>
      <c r="P21" s="39" t="n">
        <v>18</v>
      </c>
      <c r="Q21" s="40" t="n">
        <v>990000</v>
      </c>
      <c r="R21" s="39" t="n">
        <v>17820000</v>
      </c>
      <c r="S21" s="41" t="n">
        <v>0.02</v>
      </c>
      <c r="T21" s="39" t="n">
        <v>18</v>
      </c>
      <c r="U21" s="39" t="n">
        <v>0</v>
      </c>
      <c r="V21" s="39" t="n">
        <v>0</v>
      </c>
      <c r="W21" s="39" t="n">
        <v>9900</v>
      </c>
      <c r="X21" s="39" t="n">
        <v>9900</v>
      </c>
      <c r="Y21" s="39" t="n">
        <v>0</v>
      </c>
      <c r="Z21" s="39" t="n">
        <v>0</v>
      </c>
      <c r="AA21" s="39" t="n">
        <v>0</v>
      </c>
      <c r="AB21" s="39" t="n">
        <v>0</v>
      </c>
      <c r="AC21" s="39" t="n">
        <v>0</v>
      </c>
      <c r="AD21" s="39" t="n">
        <v>0</v>
      </c>
      <c r="AE21" s="39" t="n">
        <v>0</v>
      </c>
      <c r="AF21" s="39" t="n">
        <v>0</v>
      </c>
    </row>
    <row r="22" ht="15" customHeight="1" s="176">
      <c r="A22" s="30" t="inlineStr">
        <is>
          <t>P-0019</t>
        </is>
      </c>
      <c r="B22" s="30" t="inlineStr">
        <is>
          <t>2026/27</t>
        </is>
      </c>
      <c r="C22" s="30" t="inlineStr">
        <is>
          <t>Asmara</t>
        </is>
      </c>
      <c r="D22" s="31" t="inlineStr">
        <is>
          <t>w. murcott 19,8 ha</t>
        </is>
      </c>
      <c r="E22" s="30" t="inlineStr">
        <is>
          <t>Mandarina</t>
        </is>
      </c>
      <c r="F22" s="30" t="inlineStr">
        <is>
          <t>W. murcott</t>
        </is>
      </c>
      <c r="G22" s="30" t="inlineStr">
        <is>
          <t>Producción</t>
        </is>
      </c>
      <c r="H22" s="32" t="n">
        <v>19.8</v>
      </c>
      <c r="I22" s="32" t="n">
        <v>19.8</v>
      </c>
      <c r="J22" s="30" t="inlineStr">
        <is>
          <t>Costo</t>
        </is>
      </c>
      <c r="K22" s="31" t="inlineStr">
        <is>
          <t>1- M.O. directa</t>
        </is>
      </c>
      <c r="L22" s="31" t="inlineStr">
        <is>
          <t>1- Cosecha EXP</t>
        </is>
      </c>
      <c r="M22" s="31" t="inlineStr">
        <is>
          <t xml:space="preserve">450 kg/jh, 15 jh/cuadrilla </t>
        </is>
      </c>
      <c r="N22" s="30" t="inlineStr">
        <is>
          <t>trato</t>
        </is>
      </c>
      <c r="O22" s="30" t="inlineStr">
        <is>
          <t>kg</t>
        </is>
      </c>
      <c r="P22" s="33" t="n">
        <v>85</v>
      </c>
      <c r="Q22" s="34" t="n">
        <v>990000</v>
      </c>
      <c r="R22" s="33" t="n">
        <v>84150000</v>
      </c>
      <c r="S22" s="35" t="n">
        <v>0.0944444444444444</v>
      </c>
      <c r="T22" s="33" t="n">
        <v>85</v>
      </c>
      <c r="U22" s="33" t="n">
        <v>0</v>
      </c>
      <c r="V22" s="33" t="n">
        <v>0</v>
      </c>
      <c r="W22" s="33" t="n">
        <v>46750</v>
      </c>
      <c r="X22" s="33" t="n">
        <v>46750</v>
      </c>
      <c r="Y22" s="33" t="n">
        <v>0</v>
      </c>
      <c r="Z22" s="33" t="n">
        <v>0</v>
      </c>
      <c r="AA22" s="33" t="n">
        <v>0</v>
      </c>
      <c r="AB22" s="33" t="n">
        <v>0</v>
      </c>
      <c r="AC22" s="33" t="n">
        <v>0</v>
      </c>
      <c r="AD22" s="33" t="n">
        <v>0</v>
      </c>
      <c r="AE22" s="33" t="n">
        <v>0</v>
      </c>
      <c r="AF22" s="33" t="n">
        <v>0</v>
      </c>
    </row>
    <row r="23" ht="15" customHeight="1" s="176">
      <c r="A23" s="42" t="inlineStr">
        <is>
          <t>P-0020</t>
        </is>
      </c>
      <c r="B23" s="42" t="inlineStr">
        <is>
          <t>2026/27</t>
        </is>
      </c>
      <c r="C23" s="42" t="inlineStr">
        <is>
          <t>Asmara</t>
        </is>
      </c>
      <c r="D23" s="43" t="inlineStr">
        <is>
          <t>w. murcott 19,8 ha</t>
        </is>
      </c>
      <c r="E23" s="42" t="inlineStr">
        <is>
          <t>Mandarina</t>
        </is>
      </c>
      <c r="F23" s="42" t="inlineStr">
        <is>
          <t>W. murcott</t>
        </is>
      </c>
      <c r="G23" s="42" t="inlineStr">
        <is>
          <t>Producción</t>
        </is>
      </c>
      <c r="H23" s="44" t="n">
        <v>19.8</v>
      </c>
      <c r="I23" s="44" t="n">
        <v>19.8</v>
      </c>
      <c r="J23" s="42" t="inlineStr">
        <is>
          <t>Ingreso</t>
        </is>
      </c>
      <c r="K23" s="43" t="inlineStr">
        <is>
          <t>5- Ingresos</t>
        </is>
      </c>
      <c r="L23" s="43" t="inlineStr">
        <is>
          <t>Venta EXP</t>
        </is>
      </c>
      <c r="M23" s="43" t="n"/>
      <c r="N23" s="42" t="inlineStr">
        <is>
          <t>venta</t>
        </is>
      </c>
      <c r="O23" s="42" t="inlineStr">
        <is>
          <t>kg</t>
        </is>
      </c>
      <c r="P23" s="45" t="n">
        <v>-540</v>
      </c>
      <c r="Q23" s="46" t="n">
        <v>801900</v>
      </c>
      <c r="R23" s="45" t="n">
        <v>433026000</v>
      </c>
      <c r="S23" s="47" t="n">
        <v>-0.54</v>
      </c>
      <c r="T23" s="45" t="n">
        <v>-486</v>
      </c>
      <c r="U23" s="45" t="n">
        <v>0</v>
      </c>
      <c r="V23" s="45" t="n">
        <v>0</v>
      </c>
      <c r="W23" s="45" t="n">
        <v>192456</v>
      </c>
      <c r="X23" s="45" t="n">
        <v>192456</v>
      </c>
      <c r="Y23" s="45" t="n">
        <v>96228</v>
      </c>
      <c r="Z23" s="45" t="n">
        <v>0</v>
      </c>
      <c r="AA23" s="45" t="n">
        <v>0</v>
      </c>
      <c r="AB23" s="45" t="n">
        <v>0</v>
      </c>
      <c r="AC23" s="45" t="n">
        <v>0</v>
      </c>
      <c r="AD23" s="45" t="n">
        <v>0</v>
      </c>
      <c r="AE23" s="45" t="n">
        <v>0</v>
      </c>
      <c r="AF23" s="45" t="n">
        <v>0</v>
      </c>
    </row>
    <row r="24" ht="15" customHeight="1" s="176">
      <c r="A24" s="30" t="inlineStr">
        <is>
          <t>P-0021</t>
        </is>
      </c>
      <c r="B24" s="30" t="inlineStr">
        <is>
          <t>2026/27</t>
        </is>
      </c>
      <c r="C24" s="30" t="inlineStr">
        <is>
          <t>Asmara</t>
        </is>
      </c>
      <c r="D24" s="31" t="inlineStr">
        <is>
          <t>w. murcott 4,9 ha</t>
        </is>
      </c>
      <c r="E24" s="30" t="inlineStr">
        <is>
          <t>Mandarina</t>
        </is>
      </c>
      <c r="F24" s="30" t="inlineStr">
        <is>
          <t>W. murcott</t>
        </is>
      </c>
      <c r="G24" s="30" t="inlineStr">
        <is>
          <t>Producción</t>
        </is>
      </c>
      <c r="H24" s="32" t="n">
        <v>4.9</v>
      </c>
      <c r="I24" s="32" t="n">
        <v>4.9</v>
      </c>
      <c r="J24" s="30" t="inlineStr">
        <is>
          <t>Costo</t>
        </is>
      </c>
      <c r="K24" s="31" t="inlineStr">
        <is>
          <t>1- M.O. directa</t>
        </is>
      </c>
      <c r="L24" s="31" t="inlineStr">
        <is>
          <t>3,1- Tractorista cosecha</t>
        </is>
      </c>
      <c r="M24" s="31" t="inlineStr">
        <is>
          <t>un tract.   para 30-40  jh</t>
        </is>
      </c>
      <c r="N24" s="30" t="inlineStr">
        <is>
          <t>día</t>
        </is>
      </c>
      <c r="O24" s="30" t="inlineStr">
        <is>
          <t>kg</t>
        </is>
      </c>
      <c r="P24" s="33" t="n">
        <v>4</v>
      </c>
      <c r="Q24" s="34" t="n">
        <v>245000</v>
      </c>
      <c r="R24" s="33" t="n">
        <v>980000</v>
      </c>
      <c r="S24" s="35" t="n">
        <v>0.00444444444444444</v>
      </c>
      <c r="T24" s="33" t="n">
        <v>4</v>
      </c>
      <c r="U24" s="33" t="n">
        <v>0</v>
      </c>
      <c r="V24" s="33" t="n">
        <v>0</v>
      </c>
      <c r="W24" s="33" t="n">
        <v>544.444444444445</v>
      </c>
      <c r="X24" s="33" t="n">
        <v>544.444444444445</v>
      </c>
      <c r="Y24" s="33" t="n">
        <v>0</v>
      </c>
      <c r="Z24" s="33" t="n">
        <v>0</v>
      </c>
      <c r="AA24" s="33" t="n">
        <v>0</v>
      </c>
      <c r="AB24" s="33" t="n">
        <v>0</v>
      </c>
      <c r="AC24" s="33" t="n">
        <v>0</v>
      </c>
      <c r="AD24" s="33" t="n">
        <v>0</v>
      </c>
      <c r="AE24" s="33" t="n">
        <v>0</v>
      </c>
      <c r="AF24" s="33" t="n">
        <v>0</v>
      </c>
    </row>
    <row r="25" ht="15" customHeight="1" s="176">
      <c r="A25" s="36" t="inlineStr">
        <is>
          <t>P-0022</t>
        </is>
      </c>
      <c r="B25" s="36" t="inlineStr">
        <is>
          <t>2026/27</t>
        </is>
      </c>
      <c r="C25" s="36" t="inlineStr">
        <is>
          <t>Asmara</t>
        </is>
      </c>
      <c r="D25" s="37" t="inlineStr">
        <is>
          <t>w. murcott 19,8 ha</t>
        </is>
      </c>
      <c r="E25" s="36" t="inlineStr">
        <is>
          <t>Mandarina</t>
        </is>
      </c>
      <c r="F25" s="36" t="inlineStr">
        <is>
          <t>W. murcott</t>
        </is>
      </c>
      <c r="G25" s="36" t="inlineStr">
        <is>
          <t>Producción</t>
        </is>
      </c>
      <c r="H25" s="38" t="n">
        <v>19.8</v>
      </c>
      <c r="I25" s="38" t="n">
        <v>19.8</v>
      </c>
      <c r="J25" s="36" t="inlineStr">
        <is>
          <t>Costo</t>
        </is>
      </c>
      <c r="K25" s="37" t="inlineStr">
        <is>
          <t>1- M.O. directa</t>
        </is>
      </c>
      <c r="L25" s="37" t="inlineStr">
        <is>
          <t>3,1- Tractorista cosecha</t>
        </is>
      </c>
      <c r="M25" s="37" t="inlineStr">
        <is>
          <t>un tract.   para 30-40  jh</t>
        </is>
      </c>
      <c r="N25" s="36" t="inlineStr">
        <is>
          <t>día</t>
        </is>
      </c>
      <c r="O25" s="36" t="inlineStr">
        <is>
          <t>kg</t>
        </is>
      </c>
      <c r="P25" s="39" t="n">
        <v>4</v>
      </c>
      <c r="Q25" s="40" t="n">
        <v>990000</v>
      </c>
      <c r="R25" s="39" t="n">
        <v>3960000</v>
      </c>
      <c r="S25" s="41" t="n">
        <v>0.00444444444444444</v>
      </c>
      <c r="T25" s="39" t="n">
        <v>4</v>
      </c>
      <c r="U25" s="39" t="n">
        <v>0</v>
      </c>
      <c r="V25" s="39" t="n">
        <v>0</v>
      </c>
      <c r="W25" s="39" t="n">
        <v>2200</v>
      </c>
      <c r="X25" s="39" t="n">
        <v>2200</v>
      </c>
      <c r="Y25" s="39" t="n">
        <v>0</v>
      </c>
      <c r="Z25" s="39" t="n">
        <v>0</v>
      </c>
      <c r="AA25" s="39" t="n">
        <v>0</v>
      </c>
      <c r="AB25" s="39" t="n">
        <v>0</v>
      </c>
      <c r="AC25" s="39" t="n">
        <v>0</v>
      </c>
      <c r="AD25" s="39" t="n">
        <v>0</v>
      </c>
      <c r="AE25" s="39" t="n">
        <v>0</v>
      </c>
      <c r="AF25" s="39" t="n">
        <v>0</v>
      </c>
    </row>
    <row r="26" ht="15" customHeight="1" s="176">
      <c r="A26" s="30" t="inlineStr">
        <is>
          <t>P-0023</t>
        </is>
      </c>
      <c r="B26" s="30" t="inlineStr">
        <is>
          <t>2026/27</t>
        </is>
      </c>
      <c r="C26" s="30" t="inlineStr">
        <is>
          <t>Asmara</t>
        </is>
      </c>
      <c r="D26" s="31" t="inlineStr">
        <is>
          <t>w. murcott 4,9 ha</t>
        </is>
      </c>
      <c r="E26" s="30" t="inlineStr">
        <is>
          <t>Mandarina</t>
        </is>
      </c>
      <c r="F26" s="30" t="inlineStr">
        <is>
          <t>W. murcott</t>
        </is>
      </c>
      <c r="G26" s="30" t="inlineStr">
        <is>
          <t>Producción</t>
        </is>
      </c>
      <c r="H26" s="32" t="n">
        <v>4.9</v>
      </c>
      <c r="I26" s="32" t="n">
        <v>4.9</v>
      </c>
      <c r="J26" s="30" t="inlineStr">
        <is>
          <t>Costo</t>
        </is>
      </c>
      <c r="K26" s="31" t="inlineStr">
        <is>
          <t>1- M.O. directa</t>
        </is>
      </c>
      <c r="L26" s="31" t="inlineStr">
        <is>
          <t>4- Grua</t>
        </is>
      </c>
      <c r="M26" s="31" t="inlineStr">
        <is>
          <t>una grua  para 100-120 jh</t>
        </is>
      </c>
      <c r="N26" s="30" t="inlineStr">
        <is>
          <t>día</t>
        </is>
      </c>
      <c r="O26" s="30" t="inlineStr">
        <is>
          <t>kg</t>
        </is>
      </c>
      <c r="P26" s="33" t="n">
        <v>1.5</v>
      </c>
      <c r="Q26" s="34" t="n">
        <v>245000</v>
      </c>
      <c r="R26" s="33" t="n">
        <v>367500</v>
      </c>
      <c r="S26" s="35" t="n">
        <v>0.00166666666666667</v>
      </c>
      <c r="T26" s="33" t="n">
        <v>1.5</v>
      </c>
      <c r="U26" s="33" t="n">
        <v>0</v>
      </c>
      <c r="V26" s="33" t="n">
        <v>0</v>
      </c>
      <c r="W26" s="33" t="n">
        <v>204.166666666667</v>
      </c>
      <c r="X26" s="33" t="n">
        <v>204.166666666667</v>
      </c>
      <c r="Y26" s="33" t="n">
        <v>0</v>
      </c>
      <c r="Z26" s="33" t="n">
        <v>0</v>
      </c>
      <c r="AA26" s="33" t="n">
        <v>0</v>
      </c>
      <c r="AB26" s="33" t="n">
        <v>0</v>
      </c>
      <c r="AC26" s="33" t="n">
        <v>0</v>
      </c>
      <c r="AD26" s="33" t="n">
        <v>0</v>
      </c>
      <c r="AE26" s="33" t="n">
        <v>0</v>
      </c>
      <c r="AF26" s="33" t="n">
        <v>0</v>
      </c>
    </row>
    <row r="27" ht="15" customHeight="1" s="176">
      <c r="A27" s="36" t="inlineStr">
        <is>
          <t>P-0024</t>
        </is>
      </c>
      <c r="B27" s="36" t="inlineStr">
        <is>
          <t>2026/27</t>
        </is>
      </c>
      <c r="C27" s="36" t="inlineStr">
        <is>
          <t>Asmara</t>
        </is>
      </c>
      <c r="D27" s="37" t="inlineStr">
        <is>
          <t>w. murcott 4,9 ha</t>
        </is>
      </c>
      <c r="E27" s="36" t="inlineStr">
        <is>
          <t>Mandarina</t>
        </is>
      </c>
      <c r="F27" s="36" t="inlineStr">
        <is>
          <t>W. murcott</t>
        </is>
      </c>
      <c r="G27" s="36" t="inlineStr">
        <is>
          <t>Producción</t>
        </is>
      </c>
      <c r="H27" s="38" t="n">
        <v>4.9</v>
      </c>
      <c r="I27" s="38" t="n">
        <v>4.9</v>
      </c>
      <c r="J27" s="36" t="inlineStr">
        <is>
          <t>Costo</t>
        </is>
      </c>
      <c r="K27" s="37" t="inlineStr">
        <is>
          <t>1- M.O. directa</t>
        </is>
      </c>
      <c r="L27" s="37" t="inlineStr">
        <is>
          <t>5- Control de malezas mecánico</t>
        </is>
      </c>
      <c r="M27" s="37" t="n"/>
      <c r="N27" s="36" t="inlineStr">
        <is>
          <t>trato</t>
        </is>
      </c>
      <c r="O27" s="36" t="inlineStr">
        <is>
          <t>plt</t>
        </is>
      </c>
      <c r="P27" s="39" t="n">
        <v>100</v>
      </c>
      <c r="Q27" s="40" t="n">
        <v>3268.3</v>
      </c>
      <c r="R27" s="39" t="n">
        <v>653660</v>
      </c>
      <c r="S27" s="41" t="n">
        <v>0.00296444444444444</v>
      </c>
      <c r="T27" s="39" t="n">
        <v>2.668</v>
      </c>
      <c r="U27" s="39" t="n">
        <v>0</v>
      </c>
      <c r="V27" s="39" t="n">
        <v>0</v>
      </c>
      <c r="W27" s="39" t="n">
        <v>0</v>
      </c>
      <c r="X27" s="39" t="n">
        <v>0</v>
      </c>
      <c r="Y27" s="39" t="n">
        <v>0</v>
      </c>
      <c r="Z27" s="39" t="n">
        <v>181.572222222222</v>
      </c>
      <c r="AA27" s="39" t="n">
        <v>181.572222222222</v>
      </c>
      <c r="AB27" s="39" t="n">
        <v>0</v>
      </c>
      <c r="AC27" s="39" t="n">
        <v>0</v>
      </c>
      <c r="AD27" s="39" t="n">
        <v>0</v>
      </c>
      <c r="AE27" s="39" t="n">
        <v>363.144444444444</v>
      </c>
      <c r="AF27" s="39" t="n">
        <v>0</v>
      </c>
    </row>
    <row r="28" ht="15" customHeight="1" s="176">
      <c r="A28" s="30" t="inlineStr">
        <is>
          <t>P-0025</t>
        </is>
      </c>
      <c r="B28" s="30" t="inlineStr">
        <is>
          <t>2026/27</t>
        </is>
      </c>
      <c r="C28" s="30" t="inlineStr">
        <is>
          <t>Asmara</t>
        </is>
      </c>
      <c r="D28" s="31" t="inlineStr">
        <is>
          <t>w. murcott 19,8 ha</t>
        </is>
      </c>
      <c r="E28" s="30" t="inlineStr">
        <is>
          <t>Mandarina</t>
        </is>
      </c>
      <c r="F28" s="30" t="inlineStr">
        <is>
          <t>W. murcott</t>
        </is>
      </c>
      <c r="G28" s="30" t="inlineStr">
        <is>
          <t>Producción</t>
        </is>
      </c>
      <c r="H28" s="32" t="n">
        <v>19.8</v>
      </c>
      <c r="I28" s="32" t="n">
        <v>19.8</v>
      </c>
      <c r="J28" s="30" t="inlineStr">
        <is>
          <t>Costo</t>
        </is>
      </c>
      <c r="K28" s="31" t="inlineStr">
        <is>
          <t>1- M.O. directa</t>
        </is>
      </c>
      <c r="L28" s="31" t="inlineStr">
        <is>
          <t>5- Control de malezas mecánico</t>
        </is>
      </c>
      <c r="M28" s="31" t="n"/>
      <c r="N28" s="30" t="inlineStr">
        <is>
          <t>trato</t>
        </is>
      </c>
      <c r="O28" s="30" t="inlineStr">
        <is>
          <t>plt</t>
        </is>
      </c>
      <c r="P28" s="33" t="n">
        <v>100</v>
      </c>
      <c r="Q28" s="34" t="n">
        <v>13206.6</v>
      </c>
      <c r="R28" s="33" t="n">
        <v>2641320</v>
      </c>
      <c r="S28" s="35" t="n">
        <v>0.00296444444444444</v>
      </c>
      <c r="T28" s="33" t="n">
        <v>2.668</v>
      </c>
      <c r="U28" s="33" t="n">
        <v>0</v>
      </c>
      <c r="V28" s="33" t="n">
        <v>0</v>
      </c>
      <c r="W28" s="33" t="n">
        <v>0</v>
      </c>
      <c r="X28" s="33" t="n">
        <v>0</v>
      </c>
      <c r="Y28" s="33" t="n">
        <v>0</v>
      </c>
      <c r="Z28" s="33" t="n">
        <v>733.7</v>
      </c>
      <c r="AA28" s="33" t="n">
        <v>733.7</v>
      </c>
      <c r="AB28" s="33" t="n">
        <v>0</v>
      </c>
      <c r="AC28" s="33" t="n">
        <v>0</v>
      </c>
      <c r="AD28" s="33" t="n">
        <v>0</v>
      </c>
      <c r="AE28" s="33" t="n">
        <v>1467.4</v>
      </c>
      <c r="AF28" s="33" t="n">
        <v>0</v>
      </c>
    </row>
    <row r="29" ht="15" customHeight="1" s="176">
      <c r="A29" s="36" t="inlineStr">
        <is>
          <t>P-0026</t>
        </is>
      </c>
      <c r="B29" s="36" t="inlineStr">
        <is>
          <t>2026/27</t>
        </is>
      </c>
      <c r="C29" s="36" t="inlineStr">
        <is>
          <t>Asmara</t>
        </is>
      </c>
      <c r="D29" s="37" t="inlineStr">
        <is>
          <t>w. murcott 4,9 ha</t>
        </is>
      </c>
      <c r="E29" s="36" t="inlineStr">
        <is>
          <t>Mandarina</t>
        </is>
      </c>
      <c r="F29" s="36" t="inlineStr">
        <is>
          <t>W. murcott</t>
        </is>
      </c>
      <c r="G29" s="36" t="inlineStr">
        <is>
          <t>Producción</t>
        </is>
      </c>
      <c r="H29" s="38" t="n">
        <v>4.9</v>
      </c>
      <c r="I29" s="38" t="n">
        <v>4.9</v>
      </c>
      <c r="J29" s="36" t="inlineStr">
        <is>
          <t>Costo</t>
        </is>
      </c>
      <c r="K29" s="37" t="inlineStr">
        <is>
          <t>1- M.O. directa</t>
        </is>
      </c>
      <c r="L29" s="37" t="inlineStr">
        <is>
          <t>6- Control de malezas químico</t>
        </is>
      </c>
      <c r="M29" s="37" t="inlineStr">
        <is>
          <t>Operacion predio</t>
        </is>
      </c>
      <c r="N29" s="36" t="inlineStr">
        <is>
          <t>día</t>
        </is>
      </c>
      <c r="O29" s="36" t="inlineStr">
        <is>
          <t>ha</t>
        </is>
      </c>
      <c r="P29" s="39" t="n">
        <v>43500</v>
      </c>
      <c r="Q29" s="40" t="n">
        <v>4.9</v>
      </c>
      <c r="R29" s="39" t="n">
        <v>1065750</v>
      </c>
      <c r="S29" s="41" t="n">
        <v>0.00483333333333333</v>
      </c>
      <c r="T29" s="39" t="n">
        <v>4.35</v>
      </c>
      <c r="U29" s="39" t="n">
        <v>0</v>
      </c>
      <c r="V29" s="39" t="n">
        <v>0</v>
      </c>
      <c r="W29" s="39" t="n">
        <v>0</v>
      </c>
      <c r="X29" s="39" t="n">
        <v>236.833333333333</v>
      </c>
      <c r="Y29" s="39" t="n">
        <v>0</v>
      </c>
      <c r="Z29" s="39" t="n">
        <v>236.833333333333</v>
      </c>
      <c r="AA29" s="39" t="n">
        <v>0</v>
      </c>
      <c r="AB29" s="39" t="n">
        <v>236.833333333333</v>
      </c>
      <c r="AC29" s="39" t="n">
        <v>0</v>
      </c>
      <c r="AD29" s="39" t="n">
        <v>236.833333333333</v>
      </c>
      <c r="AE29" s="39" t="n">
        <v>0</v>
      </c>
      <c r="AF29" s="39" t="n">
        <v>236.833333333333</v>
      </c>
    </row>
    <row r="30" ht="15" customHeight="1" s="176">
      <c r="A30" s="30" t="inlineStr">
        <is>
          <t>P-0027</t>
        </is>
      </c>
      <c r="B30" s="30" t="inlineStr">
        <is>
          <t>2026/27</t>
        </is>
      </c>
      <c r="C30" s="30" t="inlineStr">
        <is>
          <t>Asmara</t>
        </is>
      </c>
      <c r="D30" s="31" t="inlineStr">
        <is>
          <t>w. murcott 19,8 ha</t>
        </is>
      </c>
      <c r="E30" s="30" t="inlineStr">
        <is>
          <t>Mandarina</t>
        </is>
      </c>
      <c r="F30" s="30" t="inlineStr">
        <is>
          <t>W. murcott</t>
        </is>
      </c>
      <c r="G30" s="30" t="inlineStr">
        <is>
          <t>Producción</t>
        </is>
      </c>
      <c r="H30" s="32" t="n">
        <v>19.8</v>
      </c>
      <c r="I30" s="32" t="n">
        <v>19.8</v>
      </c>
      <c r="J30" s="30" t="inlineStr">
        <is>
          <t>Costo</t>
        </is>
      </c>
      <c r="K30" s="31" t="inlineStr">
        <is>
          <t>1- M.O. directa</t>
        </is>
      </c>
      <c r="L30" s="31" t="inlineStr">
        <is>
          <t>6- Control de malezas químico</t>
        </is>
      </c>
      <c r="M30" s="31" t="inlineStr">
        <is>
          <t>Operacion predio</t>
        </is>
      </c>
      <c r="N30" s="30" t="inlineStr">
        <is>
          <t>día</t>
        </is>
      </c>
      <c r="O30" s="30" t="inlineStr">
        <is>
          <t>ha</t>
        </is>
      </c>
      <c r="P30" s="33" t="n">
        <v>43500</v>
      </c>
      <c r="Q30" s="34" t="n">
        <v>19.8</v>
      </c>
      <c r="R30" s="33" t="n">
        <v>4306500</v>
      </c>
      <c r="S30" s="35" t="n">
        <v>0.00483333333333333</v>
      </c>
      <c r="T30" s="33" t="n">
        <v>4.35</v>
      </c>
      <c r="U30" s="33" t="n">
        <v>0</v>
      </c>
      <c r="V30" s="33" t="n">
        <v>0</v>
      </c>
      <c r="W30" s="33" t="n">
        <v>0</v>
      </c>
      <c r="X30" s="33" t="n">
        <v>957</v>
      </c>
      <c r="Y30" s="33" t="n">
        <v>0</v>
      </c>
      <c r="Z30" s="33" t="n">
        <v>957</v>
      </c>
      <c r="AA30" s="33" t="n">
        <v>0</v>
      </c>
      <c r="AB30" s="33" t="n">
        <v>957</v>
      </c>
      <c r="AC30" s="33" t="n">
        <v>0</v>
      </c>
      <c r="AD30" s="33" t="n">
        <v>957</v>
      </c>
      <c r="AE30" s="33" t="n">
        <v>0</v>
      </c>
      <c r="AF30" s="33" t="n">
        <v>957</v>
      </c>
    </row>
    <row r="31" ht="15" customHeight="1" s="176">
      <c r="A31" s="36" t="inlineStr">
        <is>
          <t>P-0028</t>
        </is>
      </c>
      <c r="B31" s="36" t="inlineStr">
        <is>
          <t>2026/27</t>
        </is>
      </c>
      <c r="C31" s="36" t="inlineStr">
        <is>
          <t>Asmara</t>
        </is>
      </c>
      <c r="D31" s="37" t="inlineStr">
        <is>
          <t>w. murcott 4,9 ha</t>
        </is>
      </c>
      <c r="E31" s="36" t="inlineStr">
        <is>
          <t>Mandarina</t>
        </is>
      </c>
      <c r="F31" s="36" t="inlineStr">
        <is>
          <t>W. murcott</t>
        </is>
      </c>
      <c r="G31" s="36" t="inlineStr">
        <is>
          <t>Producción</t>
        </is>
      </c>
      <c r="H31" s="38" t="n">
        <v>4.9</v>
      </c>
      <c r="I31" s="38" t="n">
        <v>4.9</v>
      </c>
      <c r="J31" s="36" t="inlineStr">
        <is>
          <t>Costo</t>
        </is>
      </c>
      <c r="K31" s="37" t="inlineStr">
        <is>
          <t>1- M.O. directa</t>
        </is>
      </c>
      <c r="L31" s="37" t="inlineStr">
        <is>
          <t>7- Acordonar sarmiento</t>
        </is>
      </c>
      <c r="M31" s="37" t="n"/>
      <c r="N31" s="36" t="inlineStr">
        <is>
          <t>trato</t>
        </is>
      </c>
      <c r="O31" s="36" t="inlineStr">
        <is>
          <t>plt</t>
        </is>
      </c>
      <c r="P31" s="39" t="n">
        <v>70</v>
      </c>
      <c r="Q31" s="40" t="n">
        <v>3268</v>
      </c>
      <c r="R31" s="39" t="n">
        <v>228760</v>
      </c>
      <c r="S31" s="41" t="n">
        <v>0.00103746031746032</v>
      </c>
      <c r="T31" s="39" t="n">
        <v>0.9337142857142861</v>
      </c>
      <c r="U31" s="39" t="n">
        <v>0</v>
      </c>
      <c r="V31" s="39" t="n">
        <v>0</v>
      </c>
      <c r="W31" s="39" t="n">
        <v>127.088888888889</v>
      </c>
      <c r="X31" s="39" t="n">
        <v>127.088888888889</v>
      </c>
      <c r="Y31" s="39" t="n">
        <v>0</v>
      </c>
      <c r="Z31" s="39" t="n">
        <v>0</v>
      </c>
      <c r="AA31" s="39" t="n">
        <v>0</v>
      </c>
      <c r="AB31" s="39" t="n">
        <v>0</v>
      </c>
      <c r="AC31" s="39" t="n">
        <v>0</v>
      </c>
      <c r="AD31" s="39" t="n">
        <v>0</v>
      </c>
      <c r="AE31" s="39" t="n">
        <v>0</v>
      </c>
      <c r="AF31" s="39" t="n">
        <v>0</v>
      </c>
    </row>
    <row r="32" ht="15" customHeight="1" s="176">
      <c r="A32" s="30" t="inlineStr">
        <is>
          <t>P-0029</t>
        </is>
      </c>
      <c r="B32" s="30" t="inlineStr">
        <is>
          <t>2026/27</t>
        </is>
      </c>
      <c r="C32" s="30" t="inlineStr">
        <is>
          <t>Asmara</t>
        </is>
      </c>
      <c r="D32" s="31" t="inlineStr">
        <is>
          <t>w. murcott 19,8 ha</t>
        </is>
      </c>
      <c r="E32" s="30" t="inlineStr">
        <is>
          <t>Mandarina</t>
        </is>
      </c>
      <c r="F32" s="30" t="inlineStr">
        <is>
          <t>W. murcott</t>
        </is>
      </c>
      <c r="G32" s="30" t="inlineStr">
        <is>
          <t>Producción</t>
        </is>
      </c>
      <c r="H32" s="32" t="n">
        <v>19.8</v>
      </c>
      <c r="I32" s="32" t="n">
        <v>19.8</v>
      </c>
      <c r="J32" s="30" t="inlineStr">
        <is>
          <t>Costo</t>
        </is>
      </c>
      <c r="K32" s="31" t="inlineStr">
        <is>
          <t>1- M.O. directa</t>
        </is>
      </c>
      <c r="L32" s="31" t="inlineStr">
        <is>
          <t>7- Acordonar sarmiento</t>
        </is>
      </c>
      <c r="M32" s="31" t="n"/>
      <c r="N32" s="30" t="inlineStr">
        <is>
          <t>trato</t>
        </is>
      </c>
      <c r="O32" s="30" t="inlineStr">
        <is>
          <t>plt</t>
        </is>
      </c>
      <c r="P32" s="33" t="n">
        <v>70</v>
      </c>
      <c r="Q32" s="34" t="n">
        <v>13207</v>
      </c>
      <c r="R32" s="33" t="n">
        <v>924490</v>
      </c>
      <c r="S32" s="35" t="n">
        <v>0.00103758698092031</v>
      </c>
      <c r="T32" s="33" t="n">
        <v>0.933828282828283</v>
      </c>
      <c r="U32" s="33" t="n">
        <v>0</v>
      </c>
      <c r="V32" s="33" t="n">
        <v>0</v>
      </c>
      <c r="W32" s="33" t="n">
        <v>513.605555555556</v>
      </c>
      <c r="X32" s="33" t="n">
        <v>513.605555555556</v>
      </c>
      <c r="Y32" s="33" t="n">
        <v>0</v>
      </c>
      <c r="Z32" s="33" t="n">
        <v>0</v>
      </c>
      <c r="AA32" s="33" t="n">
        <v>0</v>
      </c>
      <c r="AB32" s="33" t="n">
        <v>0</v>
      </c>
      <c r="AC32" s="33" t="n">
        <v>0</v>
      </c>
      <c r="AD32" s="33" t="n">
        <v>0</v>
      </c>
      <c r="AE32" s="33" t="n">
        <v>0</v>
      </c>
      <c r="AF32" s="33" t="n">
        <v>0</v>
      </c>
    </row>
    <row r="33" ht="15" customHeight="1" s="176">
      <c r="A33" s="36" t="inlineStr">
        <is>
          <t>P-0030</t>
        </is>
      </c>
      <c r="B33" s="36" t="inlineStr">
        <is>
          <t>2026/27</t>
        </is>
      </c>
      <c r="C33" s="36" t="inlineStr">
        <is>
          <t>Asmara</t>
        </is>
      </c>
      <c r="D33" s="37" t="inlineStr">
        <is>
          <t>w. murcott 4,9 ha</t>
        </is>
      </c>
      <c r="E33" s="36" t="inlineStr">
        <is>
          <t>Mandarina</t>
        </is>
      </c>
      <c r="F33" s="36" t="inlineStr">
        <is>
          <t>W. murcott</t>
        </is>
      </c>
      <c r="G33" s="36" t="inlineStr">
        <is>
          <t>Producción</t>
        </is>
      </c>
      <c r="H33" s="38" t="n">
        <v>4.9</v>
      </c>
      <c r="I33" s="38" t="n">
        <v>4.9</v>
      </c>
      <c r="J33" s="36" t="inlineStr">
        <is>
          <t>Costo</t>
        </is>
      </c>
      <c r="K33" s="37" t="inlineStr">
        <is>
          <t>1- M.O. directa</t>
        </is>
      </c>
      <c r="L33" s="37" t="inlineStr">
        <is>
          <t>7,1- TRACTORISTA</t>
        </is>
      </c>
      <c r="M33" s="37" t="inlineStr">
        <is>
          <t>Operacion predio</t>
        </is>
      </c>
      <c r="N33" s="36" t="inlineStr">
        <is>
          <t>día</t>
        </is>
      </c>
      <c r="O33" s="36" t="inlineStr">
        <is>
          <t>ha</t>
        </is>
      </c>
      <c r="P33" s="39" t="n">
        <v>38000</v>
      </c>
      <c r="Q33" s="40" t="n">
        <v>4.9</v>
      </c>
      <c r="R33" s="39" t="n">
        <v>1861255.2</v>
      </c>
      <c r="S33" s="41" t="n">
        <v>0.00844106666666667</v>
      </c>
      <c r="T33" s="39" t="n">
        <v>7.59696</v>
      </c>
      <c r="U33" s="39" t="n">
        <v>172.338444444445</v>
      </c>
      <c r="V33" s="39" t="n">
        <v>172.338444444445</v>
      </c>
      <c r="W33" s="39" t="n">
        <v>172.338444444445</v>
      </c>
      <c r="X33" s="39" t="n">
        <v>172.338444444445</v>
      </c>
      <c r="Y33" s="39" t="n">
        <v>172.338444444445</v>
      </c>
      <c r="Z33" s="39" t="n">
        <v>172.338444444445</v>
      </c>
      <c r="AA33" s="39" t="n">
        <v>172.338444444445</v>
      </c>
      <c r="AB33" s="39" t="n">
        <v>172.338444444445</v>
      </c>
      <c r="AC33" s="39" t="n">
        <v>172.338444444445</v>
      </c>
      <c r="AD33" s="39" t="n">
        <v>172.338444444445</v>
      </c>
      <c r="AE33" s="39" t="n">
        <v>172.338444444445</v>
      </c>
      <c r="AF33" s="39" t="n">
        <v>172.338444444445</v>
      </c>
    </row>
    <row r="34" ht="15" customHeight="1" s="176">
      <c r="A34" s="30" t="inlineStr">
        <is>
          <t>P-0031</t>
        </is>
      </c>
      <c r="B34" s="30" t="inlineStr">
        <is>
          <t>2026/27</t>
        </is>
      </c>
      <c r="C34" s="30" t="inlineStr">
        <is>
          <t>Asmara</t>
        </is>
      </c>
      <c r="D34" s="31" t="inlineStr">
        <is>
          <t>w. murcott 19,8 ha</t>
        </is>
      </c>
      <c r="E34" s="30" t="inlineStr">
        <is>
          <t>Mandarina</t>
        </is>
      </c>
      <c r="F34" s="30" t="inlineStr">
        <is>
          <t>W. murcott</t>
        </is>
      </c>
      <c r="G34" s="30" t="inlineStr">
        <is>
          <t>Producción</t>
        </is>
      </c>
      <c r="H34" s="32" t="n">
        <v>19.8</v>
      </c>
      <c r="I34" s="32" t="n">
        <v>19.8</v>
      </c>
      <c r="J34" s="30" t="inlineStr">
        <is>
          <t>Costo</t>
        </is>
      </c>
      <c r="K34" s="31" t="inlineStr">
        <is>
          <t>1- M.O. directa</t>
        </is>
      </c>
      <c r="L34" s="31" t="inlineStr">
        <is>
          <t>7,1- TRACTORISTA</t>
        </is>
      </c>
      <c r="M34" s="31" t="inlineStr">
        <is>
          <t>Operacion predio</t>
        </is>
      </c>
      <c r="N34" s="30" t="inlineStr">
        <is>
          <t>día</t>
        </is>
      </c>
      <c r="O34" s="30" t="inlineStr">
        <is>
          <t>ha</t>
        </is>
      </c>
      <c r="P34" s="33" t="n">
        <v>38000</v>
      </c>
      <c r="Q34" s="34" t="n">
        <v>19.8</v>
      </c>
      <c r="R34" s="33" t="n">
        <v>7520990.4</v>
      </c>
      <c r="S34" s="35" t="n">
        <v>0.00844106666666667</v>
      </c>
      <c r="T34" s="33" t="n">
        <v>7.59696</v>
      </c>
      <c r="U34" s="33" t="n">
        <v>696.388</v>
      </c>
      <c r="V34" s="33" t="n">
        <v>696.388</v>
      </c>
      <c r="W34" s="33" t="n">
        <v>696.388</v>
      </c>
      <c r="X34" s="33" t="n">
        <v>696.388</v>
      </c>
      <c r="Y34" s="33" t="n">
        <v>696.388</v>
      </c>
      <c r="Z34" s="33" t="n">
        <v>696.388</v>
      </c>
      <c r="AA34" s="33" t="n">
        <v>696.388</v>
      </c>
      <c r="AB34" s="33" t="n">
        <v>696.388</v>
      </c>
      <c r="AC34" s="33" t="n">
        <v>696.388</v>
      </c>
      <c r="AD34" s="33" t="n">
        <v>696.388</v>
      </c>
      <c r="AE34" s="33" t="n">
        <v>696.388</v>
      </c>
      <c r="AF34" s="33" t="n">
        <v>696.388</v>
      </c>
    </row>
    <row r="35" ht="15" customHeight="1" s="176">
      <c r="A35" s="36" t="inlineStr">
        <is>
          <t>P-0032</t>
        </is>
      </c>
      <c r="B35" s="36" t="inlineStr">
        <is>
          <t>2026/27</t>
        </is>
      </c>
      <c r="C35" s="36" t="inlineStr">
        <is>
          <t>Asmara</t>
        </is>
      </c>
      <c r="D35" s="37" t="inlineStr">
        <is>
          <t>w. murcott 4,9 ha</t>
        </is>
      </c>
      <c r="E35" s="36" t="inlineStr">
        <is>
          <t>Mandarina</t>
        </is>
      </c>
      <c r="F35" s="36" t="inlineStr">
        <is>
          <t>W. murcott</t>
        </is>
      </c>
      <c r="G35" s="36" t="inlineStr">
        <is>
          <t>Producción</t>
        </is>
      </c>
      <c r="H35" s="38" t="n">
        <v>4.9</v>
      </c>
      <c r="I35" s="38" t="n">
        <v>4.9</v>
      </c>
      <c r="J35" s="36" t="inlineStr">
        <is>
          <t>Costo</t>
        </is>
      </c>
      <c r="K35" s="37" t="inlineStr">
        <is>
          <t>1- M.O. directa</t>
        </is>
      </c>
      <c r="L35" s="37" t="inlineStr">
        <is>
          <t>8- Mantención techo</t>
        </is>
      </c>
      <c r="M35" s="37" t="n"/>
      <c r="N35" s="36" t="inlineStr">
        <is>
          <t>día</t>
        </is>
      </c>
      <c r="O35" s="36" t="inlineStr">
        <is>
          <t>JH</t>
        </is>
      </c>
      <c r="P35" s="39" t="n">
        <v>43500</v>
      </c>
      <c r="Q35" s="40" t="n">
        <v>4</v>
      </c>
      <c r="R35" s="39" t="n">
        <v>1739304</v>
      </c>
      <c r="S35" s="41" t="n">
        <v>0.007887999999999999</v>
      </c>
      <c r="T35" s="39" t="n">
        <v>7.0992</v>
      </c>
      <c r="U35" s="39" t="n">
        <v>161.046666666667</v>
      </c>
      <c r="V35" s="39" t="n">
        <v>161.046666666667</v>
      </c>
      <c r="W35" s="39" t="n">
        <v>161.046666666667</v>
      </c>
      <c r="X35" s="39" t="n">
        <v>161.046666666667</v>
      </c>
      <c r="Y35" s="39" t="n">
        <v>161.046666666667</v>
      </c>
      <c r="Z35" s="39" t="n">
        <v>161.046666666667</v>
      </c>
      <c r="AA35" s="39" t="n">
        <v>161.046666666667</v>
      </c>
      <c r="AB35" s="39" t="n">
        <v>161.046666666667</v>
      </c>
      <c r="AC35" s="39" t="n">
        <v>161.046666666667</v>
      </c>
      <c r="AD35" s="39" t="n">
        <v>161.046666666667</v>
      </c>
      <c r="AE35" s="39" t="n">
        <v>161.046666666667</v>
      </c>
      <c r="AF35" s="39" t="n">
        <v>161.046666666667</v>
      </c>
    </row>
    <row r="36" ht="15" customHeight="1" s="176">
      <c r="A36" s="30" t="inlineStr">
        <is>
          <t>P-0033</t>
        </is>
      </c>
      <c r="B36" s="30" t="inlineStr">
        <is>
          <t>2026/27</t>
        </is>
      </c>
      <c r="C36" s="30" t="inlineStr">
        <is>
          <t>Asmara</t>
        </is>
      </c>
      <c r="D36" s="31" t="inlineStr">
        <is>
          <t>w. murcott 19,8 ha</t>
        </is>
      </c>
      <c r="E36" s="30" t="inlineStr">
        <is>
          <t>Mandarina</t>
        </is>
      </c>
      <c r="F36" s="30" t="inlineStr">
        <is>
          <t>W. murcott</t>
        </is>
      </c>
      <c r="G36" s="30" t="inlineStr">
        <is>
          <t>Producción</t>
        </is>
      </c>
      <c r="H36" s="32" t="n">
        <v>19.8</v>
      </c>
      <c r="I36" s="32" t="n">
        <v>19.8</v>
      </c>
      <c r="J36" s="30" t="inlineStr">
        <is>
          <t>Costo</t>
        </is>
      </c>
      <c r="K36" s="31" t="inlineStr">
        <is>
          <t>1- M.O. directa</t>
        </is>
      </c>
      <c r="L36" s="31" t="inlineStr">
        <is>
          <t>9- Mantención malla</t>
        </is>
      </c>
      <c r="M36" s="31" t="n"/>
      <c r="N36" s="30" t="inlineStr">
        <is>
          <t>día</t>
        </is>
      </c>
      <c r="O36" s="30" t="inlineStr">
        <is>
          <t>JH</t>
        </is>
      </c>
      <c r="P36" s="33" t="n">
        <v>43500</v>
      </c>
      <c r="Q36" s="34" t="n">
        <v>3</v>
      </c>
      <c r="R36" s="33" t="n">
        <v>1304478</v>
      </c>
      <c r="S36" s="35" t="n">
        <v>0.00146406060606061</v>
      </c>
      <c r="T36" s="33" t="n">
        <v>1.31765454545455</v>
      </c>
      <c r="U36" s="33" t="n">
        <v>120.785</v>
      </c>
      <c r="V36" s="33" t="n">
        <v>120.785</v>
      </c>
      <c r="W36" s="33" t="n">
        <v>120.785</v>
      </c>
      <c r="X36" s="33" t="n">
        <v>120.785</v>
      </c>
      <c r="Y36" s="33" t="n">
        <v>120.785</v>
      </c>
      <c r="Z36" s="33" t="n">
        <v>120.785</v>
      </c>
      <c r="AA36" s="33" t="n">
        <v>120.785</v>
      </c>
      <c r="AB36" s="33" t="n">
        <v>120.785</v>
      </c>
      <c r="AC36" s="33" t="n">
        <v>120.785</v>
      </c>
      <c r="AD36" s="33" t="n">
        <v>120.785</v>
      </c>
      <c r="AE36" s="33" t="n">
        <v>120.785</v>
      </c>
      <c r="AF36" s="33" t="n">
        <v>120.785</v>
      </c>
    </row>
    <row r="37" ht="15" customHeight="1" s="176">
      <c r="A37" s="42" t="inlineStr">
        <is>
          <t>P-0034</t>
        </is>
      </c>
      <c r="B37" s="42" t="inlineStr">
        <is>
          <t>2026/27</t>
        </is>
      </c>
      <c r="C37" s="42" t="inlineStr">
        <is>
          <t>Asmara</t>
        </is>
      </c>
      <c r="D37" s="43" t="inlineStr">
        <is>
          <t>w. murcott 19,8 ha</t>
        </is>
      </c>
      <c r="E37" s="42" t="inlineStr">
        <is>
          <t>Mandarina</t>
        </is>
      </c>
      <c r="F37" s="42" t="inlineStr">
        <is>
          <t>W. murcott</t>
        </is>
      </c>
      <c r="G37" s="42" t="inlineStr">
        <is>
          <t>Producción</t>
        </is>
      </c>
      <c r="H37" s="44" t="n">
        <v>19.8</v>
      </c>
      <c r="I37" s="44" t="n">
        <v>19.8</v>
      </c>
      <c r="J37" s="42" t="inlineStr">
        <is>
          <t>Ingreso</t>
        </is>
      </c>
      <c r="K37" s="43" t="inlineStr">
        <is>
          <t>5- Ingresos</t>
        </is>
      </c>
      <c r="L37" s="43" t="inlineStr">
        <is>
          <t>Venta M.I.</t>
        </is>
      </c>
      <c r="M37" s="43" t="n"/>
      <c r="N37" s="42" t="inlineStr">
        <is>
          <t>venta</t>
        </is>
      </c>
      <c r="O37" s="42" t="inlineStr">
        <is>
          <t>kg</t>
        </is>
      </c>
      <c r="P37" s="45" t="n">
        <v>-50</v>
      </c>
      <c r="Q37" s="46" t="n">
        <v>99000</v>
      </c>
      <c r="R37" s="45" t="n">
        <v>4950000</v>
      </c>
      <c r="S37" s="47" t="n">
        <v>-0.0555555555555556</v>
      </c>
      <c r="T37" s="45" t="n">
        <v>-50</v>
      </c>
      <c r="U37" s="45" t="n">
        <v>0</v>
      </c>
      <c r="V37" s="45" t="n">
        <v>0</v>
      </c>
      <c r="W37" s="45" t="n">
        <v>2200</v>
      </c>
      <c r="X37" s="45" t="n">
        <v>2200</v>
      </c>
      <c r="Y37" s="45" t="n">
        <v>1100</v>
      </c>
      <c r="Z37" s="45" t="n">
        <v>0</v>
      </c>
      <c r="AA37" s="45" t="n">
        <v>0</v>
      </c>
      <c r="AB37" s="45" t="n">
        <v>0</v>
      </c>
      <c r="AC37" s="45" t="n">
        <v>0</v>
      </c>
      <c r="AD37" s="45" t="n">
        <v>0</v>
      </c>
      <c r="AE37" s="45" t="n">
        <v>0</v>
      </c>
      <c r="AF37" s="45" t="n">
        <v>0</v>
      </c>
    </row>
    <row r="38" ht="15" customHeight="1" s="176">
      <c r="A38" s="30" t="inlineStr">
        <is>
          <t>P-0035</t>
        </is>
      </c>
      <c r="B38" s="30" t="inlineStr">
        <is>
          <t>2026/27</t>
        </is>
      </c>
      <c r="C38" s="30" t="inlineStr">
        <is>
          <t>Asmara</t>
        </is>
      </c>
      <c r="D38" s="31" t="inlineStr">
        <is>
          <t>w. murcott 4,9 ha</t>
        </is>
      </c>
      <c r="E38" s="30" t="inlineStr">
        <is>
          <t>Mandarina</t>
        </is>
      </c>
      <c r="F38" s="30" t="inlineStr">
        <is>
          <t>W. murcott</t>
        </is>
      </c>
      <c r="G38" s="30" t="inlineStr">
        <is>
          <t>Producción</t>
        </is>
      </c>
      <c r="H38" s="32" t="n">
        <v>4.9</v>
      </c>
      <c r="I38" s="32" t="n">
        <v>4.9</v>
      </c>
      <c r="J38" s="30" t="inlineStr">
        <is>
          <t>Costo</t>
        </is>
      </c>
      <c r="K38" s="31" t="inlineStr">
        <is>
          <t>1- M.O. directa</t>
        </is>
      </c>
      <c r="L38" s="31" t="inlineStr">
        <is>
          <t>23- Guanteo de corona</t>
        </is>
      </c>
      <c r="M38" s="31" t="inlineStr">
        <is>
          <t>4 guanteos en la temporada</t>
        </is>
      </c>
      <c r="N38" s="30" t="inlineStr">
        <is>
          <t>trato</t>
        </is>
      </c>
      <c r="O38" s="30" t="inlineStr">
        <is>
          <t>plt</t>
        </is>
      </c>
      <c r="P38" s="33" t="n">
        <v>180</v>
      </c>
      <c r="Q38" s="34" t="n">
        <v>3268.3</v>
      </c>
      <c r="R38" s="33" t="n">
        <v>2353176</v>
      </c>
      <c r="S38" s="35" t="n">
        <v>0.010672</v>
      </c>
      <c r="T38" s="33" t="n">
        <v>9.604799999999999</v>
      </c>
      <c r="U38" s="33" t="n">
        <v>0</v>
      </c>
      <c r="V38" s="33" t="n">
        <v>0</v>
      </c>
      <c r="W38" s="33" t="n">
        <v>0</v>
      </c>
      <c r="X38" s="33" t="n">
        <v>0</v>
      </c>
      <c r="Y38" s="33" t="n">
        <v>0</v>
      </c>
      <c r="Z38" s="33" t="n">
        <v>653.66</v>
      </c>
      <c r="AA38" s="33" t="n">
        <v>0</v>
      </c>
      <c r="AB38" s="33" t="n">
        <v>653.66</v>
      </c>
      <c r="AC38" s="33" t="n">
        <v>0</v>
      </c>
      <c r="AD38" s="33" t="n">
        <v>653.66</v>
      </c>
      <c r="AE38" s="33" t="n">
        <v>653.66</v>
      </c>
      <c r="AF38" s="33" t="n">
        <v>0</v>
      </c>
    </row>
    <row r="39" ht="15" customHeight="1" s="176">
      <c r="A39" s="36" t="inlineStr">
        <is>
          <t>P-0036</t>
        </is>
      </c>
      <c r="B39" s="36" t="inlineStr">
        <is>
          <t>2026/27</t>
        </is>
      </c>
      <c r="C39" s="36" t="inlineStr">
        <is>
          <t>Asmara</t>
        </is>
      </c>
      <c r="D39" s="37" t="inlineStr">
        <is>
          <t>w. murcott 19,8 ha</t>
        </is>
      </c>
      <c r="E39" s="36" t="inlineStr">
        <is>
          <t>Mandarina</t>
        </is>
      </c>
      <c r="F39" s="36" t="inlineStr">
        <is>
          <t>W. murcott</t>
        </is>
      </c>
      <c r="G39" s="36" t="inlineStr">
        <is>
          <t>Producción</t>
        </is>
      </c>
      <c r="H39" s="38" t="n">
        <v>19.8</v>
      </c>
      <c r="I39" s="38" t="n">
        <v>19.8</v>
      </c>
      <c r="J39" s="36" t="inlineStr">
        <is>
          <t>Costo</t>
        </is>
      </c>
      <c r="K39" s="37" t="inlineStr">
        <is>
          <t>1- M.O. directa</t>
        </is>
      </c>
      <c r="L39" s="37" t="inlineStr">
        <is>
          <t>4- Grua</t>
        </is>
      </c>
      <c r="M39" s="37" t="inlineStr">
        <is>
          <t>una grua  para 100-120 jh</t>
        </is>
      </c>
      <c r="N39" s="36" t="inlineStr">
        <is>
          <t>día</t>
        </is>
      </c>
      <c r="O39" s="36" t="inlineStr">
        <is>
          <t>kg</t>
        </is>
      </c>
      <c r="P39" s="39" t="n">
        <v>1.5</v>
      </c>
      <c r="Q39" s="40" t="n">
        <v>990000</v>
      </c>
      <c r="R39" s="39" t="n">
        <v>1485000</v>
      </c>
      <c r="S39" s="41" t="n">
        <v>0.00166666666666667</v>
      </c>
      <c r="T39" s="39" t="n">
        <v>1.5</v>
      </c>
      <c r="U39" s="39" t="n">
        <v>0</v>
      </c>
      <c r="V39" s="39" t="n">
        <v>0</v>
      </c>
      <c r="W39" s="39" t="n">
        <v>825</v>
      </c>
      <c r="X39" s="39" t="n">
        <v>825</v>
      </c>
      <c r="Y39" s="39" t="n">
        <v>0</v>
      </c>
      <c r="Z39" s="39" t="n">
        <v>0</v>
      </c>
      <c r="AA39" s="39" t="n">
        <v>0</v>
      </c>
      <c r="AB39" s="39" t="n">
        <v>0</v>
      </c>
      <c r="AC39" s="39" t="n">
        <v>0</v>
      </c>
      <c r="AD39" s="39" t="n">
        <v>0</v>
      </c>
      <c r="AE39" s="39" t="n">
        <v>0</v>
      </c>
      <c r="AF39" s="39" t="n">
        <v>0</v>
      </c>
    </row>
    <row r="40" ht="15" customHeight="1" s="176">
      <c r="A40" s="30" t="inlineStr">
        <is>
          <t>P-0037</t>
        </is>
      </c>
      <c r="B40" s="30" t="inlineStr">
        <is>
          <t>2026/27</t>
        </is>
      </c>
      <c r="C40" s="30" t="inlineStr">
        <is>
          <t>Asmara</t>
        </is>
      </c>
      <c r="D40" s="31" t="inlineStr">
        <is>
          <t>w. murcott 4,9 ha</t>
        </is>
      </c>
      <c r="E40" s="30" t="inlineStr">
        <is>
          <t>Mandarina</t>
        </is>
      </c>
      <c r="F40" s="30" t="inlineStr">
        <is>
          <t>W. murcott</t>
        </is>
      </c>
      <c r="G40" s="30" t="inlineStr">
        <is>
          <t>Producción</t>
        </is>
      </c>
      <c r="H40" s="32" t="n">
        <v>4.9</v>
      </c>
      <c r="I40" s="32" t="n">
        <v>4.9</v>
      </c>
      <c r="J40" s="30" t="inlineStr">
        <is>
          <t>Costo</t>
        </is>
      </c>
      <c r="K40" s="31" t="inlineStr">
        <is>
          <t>2- M.O. indirecta</t>
        </is>
      </c>
      <c r="L40" s="31" t="inlineStr">
        <is>
          <t xml:space="preserve">1- ADM. GENERAL </t>
        </is>
      </c>
      <c r="M40" s="31" t="inlineStr">
        <is>
          <t>Administración general</t>
        </is>
      </c>
      <c r="N40" s="30" t="inlineStr">
        <is>
          <t>día</t>
        </is>
      </c>
      <c r="O40" s="30" t="inlineStr">
        <is>
          <t>ha</t>
        </is>
      </c>
      <c r="P40" s="33" t="n">
        <v>66600</v>
      </c>
      <c r="Q40" s="34" t="n">
        <v>4.9</v>
      </c>
      <c r="R40" s="33" t="n">
        <v>3262094.64</v>
      </c>
      <c r="S40" s="35" t="n">
        <v>0.01479408</v>
      </c>
      <c r="T40" s="33" t="n">
        <v>13.314672</v>
      </c>
      <c r="U40" s="33" t="n">
        <v>302.0458</v>
      </c>
      <c r="V40" s="33" t="n">
        <v>302.0458</v>
      </c>
      <c r="W40" s="33" t="n">
        <v>302.0458</v>
      </c>
      <c r="X40" s="33" t="n">
        <v>302.0458</v>
      </c>
      <c r="Y40" s="33" t="n">
        <v>302.0458</v>
      </c>
      <c r="Z40" s="33" t="n">
        <v>302.0458</v>
      </c>
      <c r="AA40" s="33" t="n">
        <v>302.0458</v>
      </c>
      <c r="AB40" s="33" t="n">
        <v>302.0458</v>
      </c>
      <c r="AC40" s="33" t="n">
        <v>302.0458</v>
      </c>
      <c r="AD40" s="33" t="n">
        <v>302.0458</v>
      </c>
      <c r="AE40" s="33" t="n">
        <v>302.0458</v>
      </c>
      <c r="AF40" s="33" t="n">
        <v>302.0458</v>
      </c>
    </row>
    <row r="41" ht="15" customHeight="1" s="176">
      <c r="A41" s="36" t="inlineStr">
        <is>
          <t>P-0038</t>
        </is>
      </c>
      <c r="B41" s="36" t="inlineStr">
        <is>
          <t>2026/27</t>
        </is>
      </c>
      <c r="C41" s="36" t="inlineStr">
        <is>
          <t>Asmara</t>
        </is>
      </c>
      <c r="D41" s="37" t="inlineStr">
        <is>
          <t>w. murcott 4,9 ha</t>
        </is>
      </c>
      <c r="E41" s="36" t="inlineStr">
        <is>
          <t>Mandarina</t>
        </is>
      </c>
      <c r="F41" s="36" t="inlineStr">
        <is>
          <t>W. murcott</t>
        </is>
      </c>
      <c r="G41" s="36" t="inlineStr">
        <is>
          <t>Producción</t>
        </is>
      </c>
      <c r="H41" s="38" t="n">
        <v>4.9</v>
      </c>
      <c r="I41" s="38" t="n">
        <v>4.9</v>
      </c>
      <c r="J41" s="36" t="inlineStr">
        <is>
          <t>Costo</t>
        </is>
      </c>
      <c r="K41" s="37" t="inlineStr">
        <is>
          <t>2- M.O. indirecta</t>
        </is>
      </c>
      <c r="L41" s="37" t="inlineStr">
        <is>
          <t xml:space="preserve">1- ADM. GENERAL </t>
        </is>
      </c>
      <c r="M41" s="37" t="inlineStr">
        <is>
          <t>Administración general</t>
        </is>
      </c>
      <c r="N41" s="36" t="inlineStr">
        <is>
          <t>día</t>
        </is>
      </c>
      <c r="O41" s="36" t="inlineStr">
        <is>
          <t>ha</t>
        </is>
      </c>
      <c r="P41" s="39" t="n">
        <v>66600</v>
      </c>
      <c r="Q41" s="40" t="n">
        <v>4.9</v>
      </c>
      <c r="R41" s="39" t="n">
        <v>3262094.64</v>
      </c>
      <c r="S41" s="41" t="n">
        <v>0.01479408</v>
      </c>
      <c r="T41" s="39" t="n">
        <v>13.314672</v>
      </c>
      <c r="U41" s="39" t="n">
        <v>302.0458</v>
      </c>
      <c r="V41" s="39" t="n">
        <v>302.0458</v>
      </c>
      <c r="W41" s="39" t="n">
        <v>302.0458</v>
      </c>
      <c r="X41" s="39" t="n">
        <v>302.0458</v>
      </c>
      <c r="Y41" s="39" t="n">
        <v>302.0458</v>
      </c>
      <c r="Z41" s="39" t="n">
        <v>302.0458</v>
      </c>
      <c r="AA41" s="39" t="n">
        <v>302.0458</v>
      </c>
      <c r="AB41" s="39" t="n">
        <v>302.0458</v>
      </c>
      <c r="AC41" s="39" t="n">
        <v>302.0458</v>
      </c>
      <c r="AD41" s="39" t="n">
        <v>302.0458</v>
      </c>
      <c r="AE41" s="39" t="n">
        <v>302.0458</v>
      </c>
      <c r="AF41" s="39" t="n">
        <v>302.0458</v>
      </c>
    </row>
    <row r="42" ht="15" customHeight="1" s="176">
      <c r="A42" s="30" t="inlineStr">
        <is>
          <t>P-0039</t>
        </is>
      </c>
      <c r="B42" s="30" t="inlineStr">
        <is>
          <t>2026/27</t>
        </is>
      </c>
      <c r="C42" s="30" t="inlineStr">
        <is>
          <t>Asmara</t>
        </is>
      </c>
      <c r="D42" s="31" t="inlineStr">
        <is>
          <t>w. murcott 4,9 ha</t>
        </is>
      </c>
      <c r="E42" s="30" t="inlineStr">
        <is>
          <t>Mandarina</t>
        </is>
      </c>
      <c r="F42" s="30" t="inlineStr">
        <is>
          <t>W. murcott</t>
        </is>
      </c>
      <c r="G42" s="30" t="inlineStr">
        <is>
          <t>Producción</t>
        </is>
      </c>
      <c r="H42" s="32" t="n">
        <v>4.9</v>
      </c>
      <c r="I42" s="32" t="n">
        <v>4.9</v>
      </c>
      <c r="J42" s="30" t="inlineStr">
        <is>
          <t>Costo</t>
        </is>
      </c>
      <c r="K42" s="31" t="inlineStr">
        <is>
          <t>2- M.O. indirecta</t>
        </is>
      </c>
      <c r="L42" s="31" t="inlineStr">
        <is>
          <t>2- ADMINISTRACION</t>
        </is>
      </c>
      <c r="M42" s="31" t="inlineStr">
        <is>
          <t>Operacion predio</t>
        </is>
      </c>
      <c r="N42" s="30" t="inlineStr">
        <is>
          <t>día</t>
        </is>
      </c>
      <c r="O42" s="30" t="inlineStr">
        <is>
          <t>ha</t>
        </is>
      </c>
      <c r="P42" s="33" t="n">
        <v>8100</v>
      </c>
      <c r="Q42" s="34" t="n">
        <v>4.9</v>
      </c>
      <c r="R42" s="33" t="n">
        <v>396741.24</v>
      </c>
      <c r="S42" s="35" t="n">
        <v>0.00179928</v>
      </c>
      <c r="T42" s="33" t="n">
        <v>1.619352</v>
      </c>
      <c r="U42" s="33" t="n">
        <v>36.7353</v>
      </c>
      <c r="V42" s="33" t="n">
        <v>36.7353</v>
      </c>
      <c r="W42" s="33" t="n">
        <v>36.7353</v>
      </c>
      <c r="X42" s="33" t="n">
        <v>36.7353</v>
      </c>
      <c r="Y42" s="33" t="n">
        <v>36.7353</v>
      </c>
      <c r="Z42" s="33" t="n">
        <v>36.7353</v>
      </c>
      <c r="AA42" s="33" t="n">
        <v>36.7353</v>
      </c>
      <c r="AB42" s="33" t="n">
        <v>36.7353</v>
      </c>
      <c r="AC42" s="33" t="n">
        <v>36.7353</v>
      </c>
      <c r="AD42" s="33" t="n">
        <v>36.7353</v>
      </c>
      <c r="AE42" s="33" t="n">
        <v>36.7353</v>
      </c>
      <c r="AF42" s="33" t="n">
        <v>36.7353</v>
      </c>
    </row>
    <row r="43" ht="15" customHeight="1" s="176">
      <c r="A43" s="36" t="inlineStr">
        <is>
          <t>P-0040</t>
        </is>
      </c>
      <c r="B43" s="36" t="inlineStr">
        <is>
          <t>2026/27</t>
        </is>
      </c>
      <c r="C43" s="36" t="inlineStr">
        <is>
          <t>Asmara</t>
        </is>
      </c>
      <c r="D43" s="37" t="inlineStr">
        <is>
          <t>w. murcott 19,8 ha</t>
        </is>
      </c>
      <c r="E43" s="36" t="inlineStr">
        <is>
          <t>Mandarina</t>
        </is>
      </c>
      <c r="F43" s="36" t="inlineStr">
        <is>
          <t>W. murcott</t>
        </is>
      </c>
      <c r="G43" s="36" t="inlineStr">
        <is>
          <t>Producción</t>
        </is>
      </c>
      <c r="H43" s="38" t="n">
        <v>19.8</v>
      </c>
      <c r="I43" s="38" t="n">
        <v>19.8</v>
      </c>
      <c r="J43" s="36" t="inlineStr">
        <is>
          <t>Costo</t>
        </is>
      </c>
      <c r="K43" s="37" t="inlineStr">
        <is>
          <t>2- M.O. indirecta</t>
        </is>
      </c>
      <c r="L43" s="37" t="inlineStr">
        <is>
          <t>2- ADMINISTRACION</t>
        </is>
      </c>
      <c r="M43" s="37" t="inlineStr">
        <is>
          <t>Operacion predio</t>
        </is>
      </c>
      <c r="N43" s="36" t="inlineStr">
        <is>
          <t>día</t>
        </is>
      </c>
      <c r="O43" s="36" t="inlineStr">
        <is>
          <t>ha</t>
        </is>
      </c>
      <c r="P43" s="39" t="n">
        <v>8100</v>
      </c>
      <c r="Q43" s="40" t="n">
        <v>19.8</v>
      </c>
      <c r="R43" s="39" t="n">
        <v>1603158.48</v>
      </c>
      <c r="S43" s="41" t="n">
        <v>0.00179928</v>
      </c>
      <c r="T43" s="39" t="n">
        <v>1.619352</v>
      </c>
      <c r="U43" s="39" t="n">
        <v>148.4406</v>
      </c>
      <c r="V43" s="39" t="n">
        <v>148.4406</v>
      </c>
      <c r="W43" s="39" t="n">
        <v>148.4406</v>
      </c>
      <c r="X43" s="39" t="n">
        <v>148.4406</v>
      </c>
      <c r="Y43" s="39" t="n">
        <v>148.4406</v>
      </c>
      <c r="Z43" s="39" t="n">
        <v>148.4406</v>
      </c>
      <c r="AA43" s="39" t="n">
        <v>148.4406</v>
      </c>
      <c r="AB43" s="39" t="n">
        <v>148.4406</v>
      </c>
      <c r="AC43" s="39" t="n">
        <v>148.4406</v>
      </c>
      <c r="AD43" s="39" t="n">
        <v>148.4406</v>
      </c>
      <c r="AE43" s="39" t="n">
        <v>148.4406</v>
      </c>
      <c r="AF43" s="39" t="n">
        <v>148.4406</v>
      </c>
    </row>
    <row r="44" ht="15" customHeight="1" s="176">
      <c r="A44" s="30" t="inlineStr">
        <is>
          <t>P-0041</t>
        </is>
      </c>
      <c r="B44" s="30" t="inlineStr">
        <is>
          <t>2026/27</t>
        </is>
      </c>
      <c r="C44" s="30" t="inlineStr">
        <is>
          <t>Asmara</t>
        </is>
      </c>
      <c r="D44" s="31" t="inlineStr">
        <is>
          <t>w. murcott 4,9 ha</t>
        </is>
      </c>
      <c r="E44" s="30" t="inlineStr">
        <is>
          <t>Mandarina</t>
        </is>
      </c>
      <c r="F44" s="30" t="inlineStr">
        <is>
          <t>W. murcott</t>
        </is>
      </c>
      <c r="G44" s="30" t="inlineStr">
        <is>
          <t>Producción</t>
        </is>
      </c>
      <c r="H44" s="32" t="n">
        <v>4.9</v>
      </c>
      <c r="I44" s="32" t="n">
        <v>4.9</v>
      </c>
      <c r="J44" s="30" t="inlineStr">
        <is>
          <t>Costo</t>
        </is>
      </c>
      <c r="K44" s="31" t="inlineStr">
        <is>
          <t>2- M.O. indirecta</t>
        </is>
      </c>
      <c r="L44" s="31" t="inlineStr">
        <is>
          <t>2,1- JEFE DE CAMPO</t>
        </is>
      </c>
      <c r="M44" s="31" t="inlineStr">
        <is>
          <t>Operacion predio</t>
        </is>
      </c>
      <c r="N44" s="30" t="inlineStr">
        <is>
          <t>día</t>
        </is>
      </c>
      <c r="O44" s="30" t="inlineStr">
        <is>
          <t>ha</t>
        </is>
      </c>
      <c r="P44" s="33" t="n">
        <v>42975</v>
      </c>
      <c r="Q44" s="34" t="n">
        <v>4.9</v>
      </c>
      <c r="R44" s="33" t="n">
        <v>2104932.69</v>
      </c>
      <c r="S44" s="35" t="n">
        <v>0.00954618</v>
      </c>
      <c r="T44" s="33" t="n">
        <v>8.591562</v>
      </c>
      <c r="U44" s="33" t="n">
        <v>194.901175</v>
      </c>
      <c r="V44" s="33" t="n">
        <v>194.901175</v>
      </c>
      <c r="W44" s="33" t="n">
        <v>194.901175</v>
      </c>
      <c r="X44" s="33" t="n">
        <v>194.901175</v>
      </c>
      <c r="Y44" s="33" t="n">
        <v>194.901175</v>
      </c>
      <c r="Z44" s="33" t="n">
        <v>194.901175</v>
      </c>
      <c r="AA44" s="33" t="n">
        <v>194.901175</v>
      </c>
      <c r="AB44" s="33" t="n">
        <v>194.901175</v>
      </c>
      <c r="AC44" s="33" t="n">
        <v>194.901175</v>
      </c>
      <c r="AD44" s="33" t="n">
        <v>194.901175</v>
      </c>
      <c r="AE44" s="33" t="n">
        <v>194.901175</v>
      </c>
      <c r="AF44" s="33" t="n">
        <v>194.901175</v>
      </c>
    </row>
    <row r="45" ht="15" customHeight="1" s="176">
      <c r="A45" s="36" t="inlineStr">
        <is>
          <t>P-0042</t>
        </is>
      </c>
      <c r="B45" s="36" t="inlineStr">
        <is>
          <t>2026/27</t>
        </is>
      </c>
      <c r="C45" s="36" t="inlineStr">
        <is>
          <t>Asmara</t>
        </is>
      </c>
      <c r="D45" s="37" t="inlineStr">
        <is>
          <t>w. murcott 19,8 ha</t>
        </is>
      </c>
      <c r="E45" s="36" t="inlineStr">
        <is>
          <t>Mandarina</t>
        </is>
      </c>
      <c r="F45" s="36" t="inlineStr">
        <is>
          <t>W. murcott</t>
        </is>
      </c>
      <c r="G45" s="36" t="inlineStr">
        <is>
          <t>Producción</t>
        </is>
      </c>
      <c r="H45" s="38" t="n">
        <v>19.8</v>
      </c>
      <c r="I45" s="38" t="n">
        <v>19.8</v>
      </c>
      <c r="J45" s="36" t="inlineStr">
        <is>
          <t>Costo</t>
        </is>
      </c>
      <c r="K45" s="37" t="inlineStr">
        <is>
          <t>2- M.O. indirecta</t>
        </is>
      </c>
      <c r="L45" s="37" t="inlineStr">
        <is>
          <t>2,1- JEFE DE CAMPO</t>
        </is>
      </c>
      <c r="M45" s="37" t="inlineStr">
        <is>
          <t>Operacion predio</t>
        </is>
      </c>
      <c r="N45" s="36" t="inlineStr">
        <is>
          <t>día</t>
        </is>
      </c>
      <c r="O45" s="36" t="inlineStr">
        <is>
          <t>ha</t>
        </is>
      </c>
      <c r="P45" s="39" t="n">
        <v>42975</v>
      </c>
      <c r="Q45" s="40" t="n">
        <v>19.8</v>
      </c>
      <c r="R45" s="39" t="n">
        <v>8505646.380000001</v>
      </c>
      <c r="S45" s="41" t="n">
        <v>0.00954618</v>
      </c>
      <c r="T45" s="39" t="n">
        <v>8.591562</v>
      </c>
      <c r="U45" s="39" t="n">
        <v>787.55985</v>
      </c>
      <c r="V45" s="39" t="n">
        <v>787.55985</v>
      </c>
      <c r="W45" s="39" t="n">
        <v>787.55985</v>
      </c>
      <c r="X45" s="39" t="n">
        <v>787.55985</v>
      </c>
      <c r="Y45" s="39" t="n">
        <v>787.55985</v>
      </c>
      <c r="Z45" s="39" t="n">
        <v>787.55985</v>
      </c>
      <c r="AA45" s="39" t="n">
        <v>787.55985</v>
      </c>
      <c r="AB45" s="39" t="n">
        <v>787.55985</v>
      </c>
      <c r="AC45" s="39" t="n">
        <v>787.55985</v>
      </c>
      <c r="AD45" s="39" t="n">
        <v>787.55985</v>
      </c>
      <c r="AE45" s="39" t="n">
        <v>787.55985</v>
      </c>
      <c r="AF45" s="39" t="n">
        <v>787.55985</v>
      </c>
    </row>
    <row r="46" ht="15" customHeight="1" s="176">
      <c r="A46" s="30" t="inlineStr">
        <is>
          <t>P-0043</t>
        </is>
      </c>
      <c r="B46" s="30" t="inlineStr">
        <is>
          <t>2026/27</t>
        </is>
      </c>
      <c r="C46" s="30" t="inlineStr">
        <is>
          <t>Asmara</t>
        </is>
      </c>
      <c r="D46" s="31" t="inlineStr">
        <is>
          <t>w. murcott 4,9 ha</t>
        </is>
      </c>
      <c r="E46" s="30" t="inlineStr">
        <is>
          <t>Mandarina</t>
        </is>
      </c>
      <c r="F46" s="30" t="inlineStr">
        <is>
          <t>W. murcott</t>
        </is>
      </c>
      <c r="G46" s="30" t="inlineStr">
        <is>
          <t>Producción</t>
        </is>
      </c>
      <c r="H46" s="32" t="n">
        <v>4.9</v>
      </c>
      <c r="I46" s="32" t="n">
        <v>4.9</v>
      </c>
      <c r="J46" s="30" t="inlineStr">
        <is>
          <t>Costo</t>
        </is>
      </c>
      <c r="K46" s="31" t="inlineStr">
        <is>
          <t>2- M.O. indirecta</t>
        </is>
      </c>
      <c r="L46" s="31" t="inlineStr">
        <is>
          <t>3- ADQUIS. Y BODEGA</t>
        </is>
      </c>
      <c r="M46" s="31" t="inlineStr">
        <is>
          <t>Operacion predio</t>
        </is>
      </c>
      <c r="N46" s="30" t="inlineStr">
        <is>
          <t>día</t>
        </is>
      </c>
      <c r="O46" s="30" t="inlineStr">
        <is>
          <t>ha</t>
        </is>
      </c>
      <c r="P46" s="33" t="n">
        <v>8100</v>
      </c>
      <c r="Q46" s="34" t="n">
        <v>4.9</v>
      </c>
      <c r="R46" s="33" t="n">
        <v>396741.24</v>
      </c>
      <c r="S46" s="35" t="n">
        <v>0.00179928</v>
      </c>
      <c r="T46" s="33" t="n">
        <v>1.619352</v>
      </c>
      <c r="U46" s="33" t="n">
        <v>36.7353</v>
      </c>
      <c r="V46" s="33" t="n">
        <v>36.7353</v>
      </c>
      <c r="W46" s="33" t="n">
        <v>36.7353</v>
      </c>
      <c r="X46" s="33" t="n">
        <v>36.7353</v>
      </c>
      <c r="Y46" s="33" t="n">
        <v>36.7353</v>
      </c>
      <c r="Z46" s="33" t="n">
        <v>36.7353</v>
      </c>
      <c r="AA46" s="33" t="n">
        <v>36.7353</v>
      </c>
      <c r="AB46" s="33" t="n">
        <v>36.7353</v>
      </c>
      <c r="AC46" s="33" t="n">
        <v>36.7353</v>
      </c>
      <c r="AD46" s="33" t="n">
        <v>36.7353</v>
      </c>
      <c r="AE46" s="33" t="n">
        <v>36.7353</v>
      </c>
      <c r="AF46" s="33" t="n">
        <v>36.7353</v>
      </c>
    </row>
    <row r="47" ht="15" customHeight="1" s="176">
      <c r="A47" s="36" t="inlineStr">
        <is>
          <t>P-0044</t>
        </is>
      </c>
      <c r="B47" s="36" t="inlineStr">
        <is>
          <t>2026/27</t>
        </is>
      </c>
      <c r="C47" s="36" t="inlineStr">
        <is>
          <t>Asmara</t>
        </is>
      </c>
      <c r="D47" s="37" t="inlineStr">
        <is>
          <t>w. murcott 19,8 ha</t>
        </is>
      </c>
      <c r="E47" s="36" t="inlineStr">
        <is>
          <t>Mandarina</t>
        </is>
      </c>
      <c r="F47" s="36" t="inlineStr">
        <is>
          <t>W. murcott</t>
        </is>
      </c>
      <c r="G47" s="36" t="inlineStr">
        <is>
          <t>Producción</t>
        </is>
      </c>
      <c r="H47" s="38" t="n">
        <v>19.8</v>
      </c>
      <c r="I47" s="38" t="n">
        <v>19.8</v>
      </c>
      <c r="J47" s="36" t="inlineStr">
        <is>
          <t>Costo</t>
        </is>
      </c>
      <c r="K47" s="37" t="inlineStr">
        <is>
          <t>2- M.O. indirecta</t>
        </is>
      </c>
      <c r="L47" s="37" t="inlineStr">
        <is>
          <t>3- ADQUIS. Y BODEGA</t>
        </is>
      </c>
      <c r="M47" s="37" t="inlineStr">
        <is>
          <t>Operacion predio</t>
        </is>
      </c>
      <c r="N47" s="36" t="inlineStr">
        <is>
          <t>día</t>
        </is>
      </c>
      <c r="O47" s="36" t="inlineStr">
        <is>
          <t>ha</t>
        </is>
      </c>
      <c r="P47" s="39" t="n">
        <v>8100</v>
      </c>
      <c r="Q47" s="40" t="n">
        <v>19.8</v>
      </c>
      <c r="R47" s="39" t="n">
        <v>1603158.48</v>
      </c>
      <c r="S47" s="41" t="n">
        <v>0.00179928</v>
      </c>
      <c r="T47" s="39" t="n">
        <v>1.619352</v>
      </c>
      <c r="U47" s="39" t="n">
        <v>148.4406</v>
      </c>
      <c r="V47" s="39" t="n">
        <v>148.4406</v>
      </c>
      <c r="W47" s="39" t="n">
        <v>148.4406</v>
      </c>
      <c r="X47" s="39" t="n">
        <v>148.4406</v>
      </c>
      <c r="Y47" s="39" t="n">
        <v>148.4406</v>
      </c>
      <c r="Z47" s="39" t="n">
        <v>148.4406</v>
      </c>
      <c r="AA47" s="39" t="n">
        <v>148.4406</v>
      </c>
      <c r="AB47" s="39" t="n">
        <v>148.4406</v>
      </c>
      <c r="AC47" s="39" t="n">
        <v>148.4406</v>
      </c>
      <c r="AD47" s="39" t="n">
        <v>148.4406</v>
      </c>
      <c r="AE47" s="39" t="n">
        <v>148.4406</v>
      </c>
      <c r="AF47" s="39" t="n">
        <v>148.4406</v>
      </c>
    </row>
    <row r="48" ht="15" customHeight="1" s="176">
      <c r="A48" s="30" t="inlineStr">
        <is>
          <t>P-0045</t>
        </is>
      </c>
      <c r="B48" s="30" t="inlineStr">
        <is>
          <t>2026/27</t>
        </is>
      </c>
      <c r="C48" s="30" t="inlineStr">
        <is>
          <t>Asmara</t>
        </is>
      </c>
      <c r="D48" s="31" t="inlineStr">
        <is>
          <t>w. murcott 4,9 ha</t>
        </is>
      </c>
      <c r="E48" s="30" t="inlineStr">
        <is>
          <t>Mandarina</t>
        </is>
      </c>
      <c r="F48" s="30" t="inlineStr">
        <is>
          <t>W. murcott</t>
        </is>
      </c>
      <c r="G48" s="30" t="inlineStr">
        <is>
          <t>Producción</t>
        </is>
      </c>
      <c r="H48" s="32" t="n">
        <v>4.9</v>
      </c>
      <c r="I48" s="32" t="n">
        <v>4.9</v>
      </c>
      <c r="J48" s="30" t="inlineStr">
        <is>
          <t>Costo</t>
        </is>
      </c>
      <c r="K48" s="31" t="inlineStr">
        <is>
          <t>2- M.O. indirecta</t>
        </is>
      </c>
      <c r="L48" s="31" t="inlineStr">
        <is>
          <t>4- CERTIFICACIONES</t>
        </is>
      </c>
      <c r="M48" s="31" t="inlineStr">
        <is>
          <t>Operacion predio</t>
        </is>
      </c>
      <c r="N48" s="30" t="inlineStr">
        <is>
          <t>día</t>
        </is>
      </c>
      <c r="O48" s="30" t="inlineStr">
        <is>
          <t>ha</t>
        </is>
      </c>
      <c r="P48" s="33" t="n">
        <v>6464.58333333333</v>
      </c>
      <c r="Q48" s="34" t="n">
        <v>4.9</v>
      </c>
      <c r="R48" s="33" t="n">
        <v>316637.8775</v>
      </c>
      <c r="S48" s="35" t="n">
        <v>0.00143599944444444</v>
      </c>
      <c r="T48" s="33" t="n">
        <v>1.2923995</v>
      </c>
      <c r="U48" s="33" t="n">
        <v>29.3183219907407</v>
      </c>
      <c r="V48" s="33" t="n">
        <v>29.3183219907407</v>
      </c>
      <c r="W48" s="33" t="n">
        <v>29.3183219907407</v>
      </c>
      <c r="X48" s="33" t="n">
        <v>29.3183219907407</v>
      </c>
      <c r="Y48" s="33" t="n">
        <v>29.3183219907407</v>
      </c>
      <c r="Z48" s="33" t="n">
        <v>29.3183219907407</v>
      </c>
      <c r="AA48" s="33" t="n">
        <v>29.3183219907407</v>
      </c>
      <c r="AB48" s="33" t="n">
        <v>29.3183219907407</v>
      </c>
      <c r="AC48" s="33" t="n">
        <v>29.3183219907407</v>
      </c>
      <c r="AD48" s="33" t="n">
        <v>29.3183219907407</v>
      </c>
      <c r="AE48" s="33" t="n">
        <v>29.3183219907407</v>
      </c>
      <c r="AF48" s="33" t="n">
        <v>29.3183219907407</v>
      </c>
    </row>
    <row r="49" ht="15" customHeight="1" s="176">
      <c r="A49" s="36" t="inlineStr">
        <is>
          <t>P-0046</t>
        </is>
      </c>
      <c r="B49" s="36" t="inlineStr">
        <is>
          <t>2026/27</t>
        </is>
      </c>
      <c r="C49" s="36" t="inlineStr">
        <is>
          <t>Asmara</t>
        </is>
      </c>
      <c r="D49" s="37" t="inlineStr">
        <is>
          <t>w. murcott 19,8 ha</t>
        </is>
      </c>
      <c r="E49" s="36" t="inlineStr">
        <is>
          <t>Mandarina</t>
        </is>
      </c>
      <c r="F49" s="36" t="inlineStr">
        <is>
          <t>W. murcott</t>
        </is>
      </c>
      <c r="G49" s="36" t="inlineStr">
        <is>
          <t>Producción</t>
        </is>
      </c>
      <c r="H49" s="38" t="n">
        <v>19.8</v>
      </c>
      <c r="I49" s="38" t="n">
        <v>19.8</v>
      </c>
      <c r="J49" s="36" t="inlineStr">
        <is>
          <t>Costo</t>
        </is>
      </c>
      <c r="K49" s="37" t="inlineStr">
        <is>
          <t>2- M.O. indirecta</t>
        </is>
      </c>
      <c r="L49" s="37" t="inlineStr">
        <is>
          <t>4- CERTIFICACIONES</t>
        </is>
      </c>
      <c r="M49" s="37" t="inlineStr">
        <is>
          <t>Operacion predio</t>
        </is>
      </c>
      <c r="N49" s="36" t="inlineStr">
        <is>
          <t>día</t>
        </is>
      </c>
      <c r="O49" s="36" t="inlineStr">
        <is>
          <t>ha</t>
        </is>
      </c>
      <c r="P49" s="39" t="n">
        <v>6464.58333333333</v>
      </c>
      <c r="Q49" s="40" t="n">
        <v>19.8</v>
      </c>
      <c r="R49" s="39" t="n">
        <v>1279475.505</v>
      </c>
      <c r="S49" s="41" t="n">
        <v>0.00143599944444444</v>
      </c>
      <c r="T49" s="39" t="n">
        <v>1.2923995</v>
      </c>
      <c r="U49" s="39" t="n">
        <v>118.469954166667</v>
      </c>
      <c r="V49" s="39" t="n">
        <v>118.469954166667</v>
      </c>
      <c r="W49" s="39" t="n">
        <v>118.469954166667</v>
      </c>
      <c r="X49" s="39" t="n">
        <v>118.469954166667</v>
      </c>
      <c r="Y49" s="39" t="n">
        <v>118.469954166667</v>
      </c>
      <c r="Z49" s="39" t="n">
        <v>118.469954166667</v>
      </c>
      <c r="AA49" s="39" t="n">
        <v>118.469954166667</v>
      </c>
      <c r="AB49" s="39" t="n">
        <v>118.469954166667</v>
      </c>
      <c r="AC49" s="39" t="n">
        <v>118.469954166667</v>
      </c>
      <c r="AD49" s="39" t="n">
        <v>118.469954166667</v>
      </c>
      <c r="AE49" s="39" t="n">
        <v>118.469954166667</v>
      </c>
      <c r="AF49" s="39" t="n">
        <v>118.469954166667</v>
      </c>
    </row>
    <row r="50" ht="15" customHeight="1" s="176">
      <c r="A50" s="30" t="inlineStr">
        <is>
          <t>P-0047</t>
        </is>
      </c>
      <c r="B50" s="30" t="inlineStr">
        <is>
          <t>2026/27</t>
        </is>
      </c>
      <c r="C50" s="30" t="inlineStr">
        <is>
          <t>Asmara</t>
        </is>
      </c>
      <c r="D50" s="31" t="inlineStr">
        <is>
          <t>w. murcott 4,9 ha</t>
        </is>
      </c>
      <c r="E50" s="30" t="inlineStr">
        <is>
          <t>Mandarina</t>
        </is>
      </c>
      <c r="F50" s="30" t="inlineStr">
        <is>
          <t>W. murcott</t>
        </is>
      </c>
      <c r="G50" s="30" t="inlineStr">
        <is>
          <t>Producción</t>
        </is>
      </c>
      <c r="H50" s="32" t="n">
        <v>4.9</v>
      </c>
      <c r="I50" s="32" t="n">
        <v>4.9</v>
      </c>
      <c r="J50" s="30" t="inlineStr">
        <is>
          <t>Costo</t>
        </is>
      </c>
      <c r="K50" s="31" t="inlineStr">
        <is>
          <t>2- M.O. indirecta</t>
        </is>
      </c>
      <c r="L50" s="31" t="inlineStr">
        <is>
          <t>4,1- ENCARGADO MANTENCIONES</t>
        </is>
      </c>
      <c r="M50" s="31" t="inlineStr">
        <is>
          <t>Operacion predio</t>
        </is>
      </c>
      <c r="N50" s="30" t="inlineStr">
        <is>
          <t>día</t>
        </is>
      </c>
      <c r="O50" s="30" t="inlineStr">
        <is>
          <t>ha</t>
        </is>
      </c>
      <c r="P50" s="33" t="n">
        <v>11000</v>
      </c>
      <c r="Q50" s="34" t="n">
        <v>4.9</v>
      </c>
      <c r="R50" s="33" t="n">
        <v>538784.4</v>
      </c>
      <c r="S50" s="35" t="n">
        <v>0.00244346666666667</v>
      </c>
      <c r="T50" s="33" t="n">
        <v>2.19912</v>
      </c>
      <c r="U50" s="33" t="n">
        <v>49.8874444444445</v>
      </c>
      <c r="V50" s="33" t="n">
        <v>49.8874444444445</v>
      </c>
      <c r="W50" s="33" t="n">
        <v>49.8874444444445</v>
      </c>
      <c r="X50" s="33" t="n">
        <v>49.8874444444445</v>
      </c>
      <c r="Y50" s="33" t="n">
        <v>49.8874444444445</v>
      </c>
      <c r="Z50" s="33" t="n">
        <v>49.8874444444445</v>
      </c>
      <c r="AA50" s="33" t="n">
        <v>49.8874444444445</v>
      </c>
      <c r="AB50" s="33" t="n">
        <v>49.8874444444445</v>
      </c>
      <c r="AC50" s="33" t="n">
        <v>49.8874444444445</v>
      </c>
      <c r="AD50" s="33" t="n">
        <v>49.8874444444445</v>
      </c>
      <c r="AE50" s="33" t="n">
        <v>49.8874444444445</v>
      </c>
      <c r="AF50" s="33" t="n">
        <v>49.8874444444445</v>
      </c>
    </row>
    <row r="51" ht="15" customHeight="1" s="176">
      <c r="A51" s="36" t="inlineStr">
        <is>
          <t>P-0048</t>
        </is>
      </c>
      <c r="B51" s="36" t="inlineStr">
        <is>
          <t>2026/27</t>
        </is>
      </c>
      <c r="C51" s="36" t="inlineStr">
        <is>
          <t>Asmara</t>
        </is>
      </c>
      <c r="D51" s="37" t="inlineStr">
        <is>
          <t>w. murcott 19,8 ha</t>
        </is>
      </c>
      <c r="E51" s="36" t="inlineStr">
        <is>
          <t>Mandarina</t>
        </is>
      </c>
      <c r="F51" s="36" t="inlineStr">
        <is>
          <t>W. murcott</t>
        </is>
      </c>
      <c r="G51" s="36" t="inlineStr">
        <is>
          <t>Producción</t>
        </is>
      </c>
      <c r="H51" s="38" t="n">
        <v>19.8</v>
      </c>
      <c r="I51" s="38" t="n">
        <v>19.8</v>
      </c>
      <c r="J51" s="36" t="inlineStr">
        <is>
          <t>Costo</t>
        </is>
      </c>
      <c r="K51" s="37" t="inlineStr">
        <is>
          <t>2- M.O. indirecta</t>
        </is>
      </c>
      <c r="L51" s="37" t="inlineStr">
        <is>
          <t>4,1- ENCARGADO MANTENCIONES</t>
        </is>
      </c>
      <c r="M51" s="37" t="inlineStr">
        <is>
          <t>Operacion predio</t>
        </is>
      </c>
      <c r="N51" s="36" t="inlineStr">
        <is>
          <t>día</t>
        </is>
      </c>
      <c r="O51" s="36" t="inlineStr">
        <is>
          <t>ha</t>
        </is>
      </c>
      <c r="P51" s="39" t="n">
        <v>11000</v>
      </c>
      <c r="Q51" s="40" t="n">
        <v>19.8</v>
      </c>
      <c r="R51" s="39" t="n">
        <v>2177128.8</v>
      </c>
      <c r="S51" s="41" t="n">
        <v>0.00244346666666667</v>
      </c>
      <c r="T51" s="39" t="n">
        <v>2.19912</v>
      </c>
      <c r="U51" s="39" t="n">
        <v>201.586</v>
      </c>
      <c r="V51" s="39" t="n">
        <v>201.586</v>
      </c>
      <c r="W51" s="39" t="n">
        <v>201.586</v>
      </c>
      <c r="X51" s="39" t="n">
        <v>201.586</v>
      </c>
      <c r="Y51" s="39" t="n">
        <v>201.586</v>
      </c>
      <c r="Z51" s="39" t="n">
        <v>201.586</v>
      </c>
      <c r="AA51" s="39" t="n">
        <v>201.586</v>
      </c>
      <c r="AB51" s="39" t="n">
        <v>201.586</v>
      </c>
      <c r="AC51" s="39" t="n">
        <v>201.586</v>
      </c>
      <c r="AD51" s="39" t="n">
        <v>201.586</v>
      </c>
      <c r="AE51" s="39" t="n">
        <v>201.586</v>
      </c>
      <c r="AF51" s="39" t="n">
        <v>201.586</v>
      </c>
    </row>
    <row r="52" ht="15" customHeight="1" s="176">
      <c r="A52" s="30" t="inlineStr">
        <is>
          <t>P-0049</t>
        </is>
      </c>
      <c r="B52" s="30" t="inlineStr">
        <is>
          <t>2026/27</t>
        </is>
      </c>
      <c r="C52" s="30" t="inlineStr">
        <is>
          <t>Asmara</t>
        </is>
      </c>
      <c r="D52" s="31" t="inlineStr">
        <is>
          <t>w. murcott 4,9 ha</t>
        </is>
      </c>
      <c r="E52" s="30" t="inlineStr">
        <is>
          <t>Mandarina</t>
        </is>
      </c>
      <c r="F52" s="30" t="inlineStr">
        <is>
          <t>W. murcott</t>
        </is>
      </c>
      <c r="G52" s="30" t="inlineStr">
        <is>
          <t>Producción</t>
        </is>
      </c>
      <c r="H52" s="32" t="n">
        <v>4.9</v>
      </c>
      <c r="I52" s="32" t="n">
        <v>4.9</v>
      </c>
      <c r="J52" s="30" t="inlineStr">
        <is>
          <t>Costo</t>
        </is>
      </c>
      <c r="K52" s="31" t="inlineStr">
        <is>
          <t>2- M.O. indirecta</t>
        </is>
      </c>
      <c r="L52" s="31" t="inlineStr">
        <is>
          <t>5- PREVEN. DE RIESGO</t>
        </is>
      </c>
      <c r="M52" s="31" t="inlineStr">
        <is>
          <t>Operacion predio</t>
        </is>
      </c>
      <c r="N52" s="30" t="inlineStr">
        <is>
          <t>día</t>
        </is>
      </c>
      <c r="O52" s="30" t="inlineStr">
        <is>
          <t>ha</t>
        </is>
      </c>
      <c r="P52" s="33" t="n">
        <v>1575</v>
      </c>
      <c r="Q52" s="34" t="n">
        <v>4.9</v>
      </c>
      <c r="R52" s="33" t="n">
        <v>77144.13</v>
      </c>
      <c r="S52" s="35" t="n">
        <v>0.00034986</v>
      </c>
      <c r="T52" s="33" t="n">
        <v>0.314874</v>
      </c>
      <c r="U52" s="33" t="n">
        <v>7.142975</v>
      </c>
      <c r="V52" s="33" t="n">
        <v>7.142975</v>
      </c>
      <c r="W52" s="33" t="n">
        <v>7.142975</v>
      </c>
      <c r="X52" s="33" t="n">
        <v>7.142975</v>
      </c>
      <c r="Y52" s="33" t="n">
        <v>7.142975</v>
      </c>
      <c r="Z52" s="33" t="n">
        <v>7.142975</v>
      </c>
      <c r="AA52" s="33" t="n">
        <v>7.142975</v>
      </c>
      <c r="AB52" s="33" t="n">
        <v>7.142975</v>
      </c>
      <c r="AC52" s="33" t="n">
        <v>7.142975</v>
      </c>
      <c r="AD52" s="33" t="n">
        <v>7.142975</v>
      </c>
      <c r="AE52" s="33" t="n">
        <v>7.142975</v>
      </c>
      <c r="AF52" s="33" t="n">
        <v>7.142975</v>
      </c>
    </row>
    <row r="53" ht="15" customHeight="1" s="176">
      <c r="A53" s="36" t="inlineStr">
        <is>
          <t>P-0050</t>
        </is>
      </c>
      <c r="B53" s="36" t="inlineStr">
        <is>
          <t>2026/27</t>
        </is>
      </c>
      <c r="C53" s="36" t="inlineStr">
        <is>
          <t>Asmara</t>
        </is>
      </c>
      <c r="D53" s="37" t="inlineStr">
        <is>
          <t>w. murcott 19,8 ha</t>
        </is>
      </c>
      <c r="E53" s="36" t="inlineStr">
        <is>
          <t>Mandarina</t>
        </is>
      </c>
      <c r="F53" s="36" t="inlineStr">
        <is>
          <t>W. murcott</t>
        </is>
      </c>
      <c r="G53" s="36" t="inlineStr">
        <is>
          <t>Producción</t>
        </is>
      </c>
      <c r="H53" s="38" t="n">
        <v>19.8</v>
      </c>
      <c r="I53" s="38" t="n">
        <v>19.8</v>
      </c>
      <c r="J53" s="36" t="inlineStr">
        <is>
          <t>Costo</t>
        </is>
      </c>
      <c r="K53" s="37" t="inlineStr">
        <is>
          <t>2- M.O. indirecta</t>
        </is>
      </c>
      <c r="L53" s="37" t="inlineStr">
        <is>
          <t>5- PREVEN. DE RIESGO</t>
        </is>
      </c>
      <c r="M53" s="37" t="inlineStr">
        <is>
          <t>Operacion predio</t>
        </is>
      </c>
      <c r="N53" s="36" t="inlineStr">
        <is>
          <t>día</t>
        </is>
      </c>
      <c r="O53" s="36" t="inlineStr">
        <is>
          <t>ha</t>
        </is>
      </c>
      <c r="P53" s="39" t="n">
        <v>1575</v>
      </c>
      <c r="Q53" s="40" t="n">
        <v>19.8</v>
      </c>
      <c r="R53" s="39" t="n">
        <v>311725.26</v>
      </c>
      <c r="S53" s="41" t="n">
        <v>0.00034986</v>
      </c>
      <c r="T53" s="39" t="n">
        <v>0.314874</v>
      </c>
      <c r="U53" s="39" t="n">
        <v>28.86345</v>
      </c>
      <c r="V53" s="39" t="n">
        <v>28.86345</v>
      </c>
      <c r="W53" s="39" t="n">
        <v>28.86345</v>
      </c>
      <c r="X53" s="39" t="n">
        <v>28.86345</v>
      </c>
      <c r="Y53" s="39" t="n">
        <v>28.86345</v>
      </c>
      <c r="Z53" s="39" t="n">
        <v>28.86345</v>
      </c>
      <c r="AA53" s="39" t="n">
        <v>28.86345</v>
      </c>
      <c r="AB53" s="39" t="n">
        <v>28.86345</v>
      </c>
      <c r="AC53" s="39" t="n">
        <v>28.86345</v>
      </c>
      <c r="AD53" s="39" t="n">
        <v>28.86345</v>
      </c>
      <c r="AE53" s="39" t="n">
        <v>28.86345</v>
      </c>
      <c r="AF53" s="39" t="n">
        <v>28.86345</v>
      </c>
    </row>
    <row r="54" ht="15" customHeight="1" s="176">
      <c r="A54" s="30" t="inlineStr">
        <is>
          <t>P-0051</t>
        </is>
      </c>
      <c r="B54" s="30" t="inlineStr">
        <is>
          <t>2026/27</t>
        </is>
      </c>
      <c r="C54" s="30" t="inlineStr">
        <is>
          <t>Asmara</t>
        </is>
      </c>
      <c r="D54" s="31" t="inlineStr">
        <is>
          <t>w. murcott 4,9 ha</t>
        </is>
      </c>
      <c r="E54" s="30" t="inlineStr">
        <is>
          <t>Mandarina</t>
        </is>
      </c>
      <c r="F54" s="30" t="inlineStr">
        <is>
          <t>W. murcott</t>
        </is>
      </c>
      <c r="G54" s="30" t="inlineStr">
        <is>
          <t>Producción</t>
        </is>
      </c>
      <c r="H54" s="32" t="n">
        <v>4.9</v>
      </c>
      <c r="I54" s="32" t="n">
        <v>4.9</v>
      </c>
      <c r="J54" s="30" t="inlineStr">
        <is>
          <t>Costo</t>
        </is>
      </c>
      <c r="K54" s="31" t="inlineStr">
        <is>
          <t>2- M.O. indirecta</t>
        </is>
      </c>
      <c r="L54" s="31" t="inlineStr">
        <is>
          <t>9,1- RONDIN FUNDO</t>
        </is>
      </c>
      <c r="M54" s="31" t="inlineStr">
        <is>
          <t>Operacion predio</t>
        </is>
      </c>
      <c r="N54" s="30" t="inlineStr">
        <is>
          <t>día</t>
        </is>
      </c>
      <c r="O54" s="30" t="inlineStr">
        <is>
          <t>ha</t>
        </is>
      </c>
      <c r="P54" s="33" t="n">
        <v>26475</v>
      </c>
      <c r="Q54" s="34" t="n">
        <v>4.9</v>
      </c>
      <c r="R54" s="33" t="n">
        <v>389182.5</v>
      </c>
      <c r="S54" s="35" t="n">
        <v>0.001765</v>
      </c>
      <c r="T54" s="33" t="n">
        <v>1.5885</v>
      </c>
      <c r="U54" s="33" t="n">
        <v>0</v>
      </c>
      <c r="V54" s="33" t="n">
        <v>144.141666666667</v>
      </c>
      <c r="W54" s="33" t="n">
        <v>144.141666666667</v>
      </c>
      <c r="X54" s="33" t="n">
        <v>144.141666666667</v>
      </c>
      <c r="Y54" s="33" t="n">
        <v>0</v>
      </c>
      <c r="Z54" s="33" t="n">
        <v>0</v>
      </c>
      <c r="AA54" s="33" t="n">
        <v>0</v>
      </c>
      <c r="AB54" s="33" t="n">
        <v>0</v>
      </c>
      <c r="AC54" s="33" t="n">
        <v>0</v>
      </c>
      <c r="AD54" s="33" t="n">
        <v>0</v>
      </c>
      <c r="AE54" s="33" t="n">
        <v>0</v>
      </c>
      <c r="AF54" s="33" t="n">
        <v>0</v>
      </c>
    </row>
    <row r="55" ht="15" customHeight="1" s="176">
      <c r="A55" s="36" t="inlineStr">
        <is>
          <t>P-0052</t>
        </is>
      </c>
      <c r="B55" s="36" t="inlineStr">
        <is>
          <t>2026/27</t>
        </is>
      </c>
      <c r="C55" s="36" t="inlineStr">
        <is>
          <t>Asmara</t>
        </is>
      </c>
      <c r="D55" s="37" t="inlineStr">
        <is>
          <t>w. murcott 19,8 ha</t>
        </is>
      </c>
      <c r="E55" s="36" t="inlineStr">
        <is>
          <t>Mandarina</t>
        </is>
      </c>
      <c r="F55" s="36" t="inlineStr">
        <is>
          <t>W. murcott</t>
        </is>
      </c>
      <c r="G55" s="36" t="inlineStr">
        <is>
          <t>Producción</t>
        </is>
      </c>
      <c r="H55" s="38" t="n">
        <v>19.8</v>
      </c>
      <c r="I55" s="38" t="n">
        <v>19.8</v>
      </c>
      <c r="J55" s="36" t="inlineStr">
        <is>
          <t>Costo</t>
        </is>
      </c>
      <c r="K55" s="37" t="inlineStr">
        <is>
          <t>2- M.O. indirecta</t>
        </is>
      </c>
      <c r="L55" s="37" t="inlineStr">
        <is>
          <t>9,1- RONDIN FUNDO</t>
        </is>
      </c>
      <c r="M55" s="37" t="inlineStr">
        <is>
          <t>Operacion predio</t>
        </is>
      </c>
      <c r="N55" s="36" t="inlineStr">
        <is>
          <t>día</t>
        </is>
      </c>
      <c r="O55" s="36" t="inlineStr">
        <is>
          <t>ha</t>
        </is>
      </c>
      <c r="P55" s="39" t="n">
        <v>26475</v>
      </c>
      <c r="Q55" s="40" t="n">
        <v>19.8</v>
      </c>
      <c r="R55" s="39" t="n">
        <v>1572615</v>
      </c>
      <c r="S55" s="41" t="n">
        <v>0.001765</v>
      </c>
      <c r="T55" s="39" t="n">
        <v>1.5885</v>
      </c>
      <c r="U55" s="39" t="n">
        <v>0</v>
      </c>
      <c r="V55" s="39" t="n">
        <v>582.45</v>
      </c>
      <c r="W55" s="39" t="n">
        <v>582.45</v>
      </c>
      <c r="X55" s="39" t="n">
        <v>582.45</v>
      </c>
      <c r="Y55" s="39" t="n">
        <v>0</v>
      </c>
      <c r="Z55" s="39" t="n">
        <v>0</v>
      </c>
      <c r="AA55" s="39" t="n">
        <v>0</v>
      </c>
      <c r="AB55" s="39" t="n">
        <v>0</v>
      </c>
      <c r="AC55" s="39" t="n">
        <v>0</v>
      </c>
      <c r="AD55" s="39" t="n">
        <v>0</v>
      </c>
      <c r="AE55" s="39" t="n">
        <v>0</v>
      </c>
      <c r="AF55" s="39" t="n">
        <v>0</v>
      </c>
    </row>
    <row r="56" ht="15" customHeight="1" s="176">
      <c r="A56" s="30" t="inlineStr">
        <is>
          <t>P-0053</t>
        </is>
      </c>
      <c r="B56" s="30" t="inlineStr">
        <is>
          <t>2026/27</t>
        </is>
      </c>
      <c r="C56" s="30" t="inlineStr">
        <is>
          <t>Asmara</t>
        </is>
      </c>
      <c r="D56" s="31" t="inlineStr">
        <is>
          <t>w. murcott 4,9 ha</t>
        </is>
      </c>
      <c r="E56" s="30" t="inlineStr">
        <is>
          <t>Mandarina</t>
        </is>
      </c>
      <c r="F56" s="30" t="inlineStr">
        <is>
          <t>W. murcott</t>
        </is>
      </c>
      <c r="G56" s="30" t="inlineStr">
        <is>
          <t>Producción</t>
        </is>
      </c>
      <c r="H56" s="32" t="n">
        <v>4.9</v>
      </c>
      <c r="I56" s="32" t="n">
        <v>4.9</v>
      </c>
      <c r="J56" s="30" t="inlineStr">
        <is>
          <t>Costo</t>
        </is>
      </c>
      <c r="K56" s="31" t="inlineStr">
        <is>
          <t>2- M.O. indirecta</t>
        </is>
      </c>
      <c r="L56" s="31" t="inlineStr">
        <is>
          <t>3,1-  ENCARGADO DE RIEGO</t>
        </is>
      </c>
      <c r="M56" s="31" t="inlineStr">
        <is>
          <t>Operacion predio</t>
        </is>
      </c>
      <c r="N56" s="30" t="inlineStr">
        <is>
          <t>día</t>
        </is>
      </c>
      <c r="O56" s="30" t="inlineStr">
        <is>
          <t>ha</t>
        </is>
      </c>
      <c r="P56" s="33" t="n">
        <v>43996.75</v>
      </c>
      <c r="Q56" s="34" t="n">
        <v>4.9</v>
      </c>
      <c r="R56" s="33" t="n">
        <v>2154978.4137</v>
      </c>
      <c r="S56" s="35" t="n">
        <v>0.009773144733333331</v>
      </c>
      <c r="T56" s="33" t="n">
        <v>8.795830260000001</v>
      </c>
      <c r="U56" s="33" t="n">
        <v>199.535038305556</v>
      </c>
      <c r="V56" s="33" t="n">
        <v>199.535038305556</v>
      </c>
      <c r="W56" s="33" t="n">
        <v>199.535038305556</v>
      </c>
      <c r="X56" s="33" t="n">
        <v>199.535038305556</v>
      </c>
      <c r="Y56" s="33" t="n">
        <v>199.535038305556</v>
      </c>
      <c r="Z56" s="33" t="n">
        <v>199.535038305556</v>
      </c>
      <c r="AA56" s="33" t="n">
        <v>199.535038305556</v>
      </c>
      <c r="AB56" s="33" t="n">
        <v>199.535038305556</v>
      </c>
      <c r="AC56" s="33" t="n">
        <v>199.535038305556</v>
      </c>
      <c r="AD56" s="33" t="n">
        <v>199.535038305556</v>
      </c>
      <c r="AE56" s="33" t="n">
        <v>199.535038305556</v>
      </c>
      <c r="AF56" s="33" t="n">
        <v>199.535038305556</v>
      </c>
    </row>
    <row r="57" ht="15" customHeight="1" s="176">
      <c r="A57" s="36" t="inlineStr">
        <is>
          <t>P-0054</t>
        </is>
      </c>
      <c r="B57" s="36" t="inlineStr">
        <is>
          <t>2026/27</t>
        </is>
      </c>
      <c r="C57" s="36" t="inlineStr">
        <is>
          <t>Asmara</t>
        </is>
      </c>
      <c r="D57" s="37" t="inlineStr">
        <is>
          <t>w. murcott 19,8 ha</t>
        </is>
      </c>
      <c r="E57" s="36" t="inlineStr">
        <is>
          <t>Mandarina</t>
        </is>
      </c>
      <c r="F57" s="36" t="inlineStr">
        <is>
          <t>W. murcott</t>
        </is>
      </c>
      <c r="G57" s="36" t="inlineStr">
        <is>
          <t>Producción</t>
        </is>
      </c>
      <c r="H57" s="38" t="n">
        <v>19.8</v>
      </c>
      <c r="I57" s="38" t="n">
        <v>19.8</v>
      </c>
      <c r="J57" s="36" t="inlineStr">
        <is>
          <t>Costo</t>
        </is>
      </c>
      <c r="K57" s="37" t="inlineStr">
        <is>
          <t>2- M.O. indirecta</t>
        </is>
      </c>
      <c r="L57" s="37" t="inlineStr">
        <is>
          <t>3,1-  ENCARGADO DE RIEGO</t>
        </is>
      </c>
      <c r="M57" s="37" t="inlineStr">
        <is>
          <t>Operacion predio</t>
        </is>
      </c>
      <c r="N57" s="36" t="inlineStr">
        <is>
          <t>día</t>
        </is>
      </c>
      <c r="O57" s="36" t="inlineStr">
        <is>
          <t>ha</t>
        </is>
      </c>
      <c r="P57" s="39" t="n">
        <v>43996.75</v>
      </c>
      <c r="Q57" s="40" t="n">
        <v>19.8</v>
      </c>
      <c r="R57" s="39" t="n">
        <v>8707871.9574</v>
      </c>
      <c r="S57" s="41" t="n">
        <v>0.009773144733333331</v>
      </c>
      <c r="T57" s="39" t="n">
        <v>8.795830260000001</v>
      </c>
      <c r="U57" s="39" t="n">
        <v>806.2844405</v>
      </c>
      <c r="V57" s="39" t="n">
        <v>806.2844405</v>
      </c>
      <c r="W57" s="39" t="n">
        <v>806.2844405</v>
      </c>
      <c r="X57" s="39" t="n">
        <v>806.2844405</v>
      </c>
      <c r="Y57" s="39" t="n">
        <v>806.2844405</v>
      </c>
      <c r="Z57" s="39" t="n">
        <v>806.2844405</v>
      </c>
      <c r="AA57" s="39" t="n">
        <v>806.2844405</v>
      </c>
      <c r="AB57" s="39" t="n">
        <v>806.2844405</v>
      </c>
      <c r="AC57" s="39" t="n">
        <v>806.2844405</v>
      </c>
      <c r="AD57" s="39" t="n">
        <v>806.2844405</v>
      </c>
      <c r="AE57" s="39" t="n">
        <v>806.2844405</v>
      </c>
      <c r="AF57" s="39" t="n">
        <v>806.2844405</v>
      </c>
    </row>
    <row r="58" ht="15" customHeight="1" s="176">
      <c r="A58" s="30" t="inlineStr">
        <is>
          <t>P-0055</t>
        </is>
      </c>
      <c r="B58" s="30" t="inlineStr">
        <is>
          <t>2026/27</t>
        </is>
      </c>
      <c r="C58" s="30" t="inlineStr">
        <is>
          <t>Asmara</t>
        </is>
      </c>
      <c r="D58" s="31" t="inlineStr">
        <is>
          <t>w. murcott 19,8 ha</t>
        </is>
      </c>
      <c r="E58" s="30" t="inlineStr">
        <is>
          <t>Mandarina</t>
        </is>
      </c>
      <c r="F58" s="30" t="inlineStr">
        <is>
          <t>W. murcott</t>
        </is>
      </c>
      <c r="G58" s="30" t="inlineStr">
        <is>
          <t>Producción</t>
        </is>
      </c>
      <c r="H58" s="32" t="n">
        <v>19.8</v>
      </c>
      <c r="I58" s="32" t="n">
        <v>19.8</v>
      </c>
      <c r="J58" s="30" t="inlineStr">
        <is>
          <t>Costo</t>
        </is>
      </c>
      <c r="K58" s="31" t="inlineStr">
        <is>
          <t>3- Gasto general</t>
        </is>
      </c>
      <c r="L58" s="31" t="inlineStr">
        <is>
          <t>1- GASTOS DEL PERSONAL</t>
        </is>
      </c>
      <c r="M58" s="31" t="inlineStr">
        <is>
          <t>locomocion</t>
        </is>
      </c>
      <c r="N58" s="30" t="n"/>
      <c r="O58" s="30" t="inlineStr">
        <is>
          <t>ha</t>
        </is>
      </c>
      <c r="P58" s="33" t="n">
        <v>75708</v>
      </c>
      <c r="Q58" s="34" t="n">
        <v>19.8</v>
      </c>
      <c r="R58" s="33" t="n">
        <v>5996073.6</v>
      </c>
      <c r="S58" s="35" t="n">
        <v>0.0067296</v>
      </c>
      <c r="T58" s="33" t="n">
        <v>6.05664</v>
      </c>
      <c r="U58" s="33" t="n">
        <v>333.1152</v>
      </c>
      <c r="V58" s="33" t="n">
        <v>333.1152</v>
      </c>
      <c r="W58" s="33" t="n">
        <v>1665.576</v>
      </c>
      <c r="X58" s="33" t="n">
        <v>1665.576</v>
      </c>
      <c r="Y58" s="33" t="n">
        <v>333.1152</v>
      </c>
      <c r="Z58" s="33" t="n">
        <v>333.1152</v>
      </c>
      <c r="AA58" s="33" t="n">
        <v>333.1152</v>
      </c>
      <c r="AB58" s="33" t="n">
        <v>333.1152</v>
      </c>
      <c r="AC58" s="33" t="n">
        <v>333.1152</v>
      </c>
      <c r="AD58" s="33" t="n">
        <v>333.1152</v>
      </c>
      <c r="AE58" s="33" t="n">
        <v>333.1152</v>
      </c>
      <c r="AF58" s="33" t="n">
        <v>333.1152</v>
      </c>
    </row>
    <row r="59" ht="15" customHeight="1" s="176">
      <c r="A59" s="36" t="inlineStr">
        <is>
          <t>P-0056</t>
        </is>
      </c>
      <c r="B59" s="36" t="inlineStr">
        <is>
          <t>2026/27</t>
        </is>
      </c>
      <c r="C59" s="36" t="inlineStr">
        <is>
          <t>Asmara</t>
        </is>
      </c>
      <c r="D59" s="37" t="inlineStr">
        <is>
          <t>w. murcott 19,8 ha</t>
        </is>
      </c>
      <c r="E59" s="36" t="inlineStr">
        <is>
          <t>Mandarina</t>
        </is>
      </c>
      <c r="F59" s="36" t="inlineStr">
        <is>
          <t>W. murcott</t>
        </is>
      </c>
      <c r="G59" s="36" t="inlineStr">
        <is>
          <t>Producción</t>
        </is>
      </c>
      <c r="H59" s="38" t="n">
        <v>19.8</v>
      </c>
      <c r="I59" s="38" t="n">
        <v>19.8</v>
      </c>
      <c r="J59" s="36" t="inlineStr">
        <is>
          <t>Costo</t>
        </is>
      </c>
      <c r="K59" s="37" t="inlineStr">
        <is>
          <t>3- Gasto general</t>
        </is>
      </c>
      <c r="L59" s="37" t="inlineStr">
        <is>
          <t>3- COMBUSTIBLE Y ENERGIA</t>
        </is>
      </c>
      <c r="M59" s="37" t="inlineStr">
        <is>
          <t>cuota canal torre baja</t>
        </is>
      </c>
      <c r="N59" s="36" t="n"/>
      <c r="O59" s="36" t="inlineStr">
        <is>
          <t>ha</t>
        </is>
      </c>
      <c r="P59" s="39" t="n">
        <v>28203.4412955466</v>
      </c>
      <c r="Q59" s="40" t="n">
        <v>19.8</v>
      </c>
      <c r="R59" s="39" t="n">
        <v>5582047.66396761</v>
      </c>
      <c r="S59" s="41" t="n">
        <v>0.00626492442645075</v>
      </c>
      <c r="T59" s="39" t="n">
        <v>5.63843198380567</v>
      </c>
      <c r="U59" s="39" t="n">
        <v>516.856265182186</v>
      </c>
      <c r="V59" s="39" t="n">
        <v>516.856265182186</v>
      </c>
      <c r="W59" s="39" t="n">
        <v>516.856265182186</v>
      </c>
      <c r="X59" s="39" t="n">
        <v>516.856265182186</v>
      </c>
      <c r="Y59" s="39" t="n">
        <v>516.856265182186</v>
      </c>
      <c r="Z59" s="39" t="n">
        <v>516.856265182186</v>
      </c>
      <c r="AA59" s="39" t="n">
        <v>516.856265182186</v>
      </c>
      <c r="AB59" s="39" t="n">
        <v>516.856265182186</v>
      </c>
      <c r="AC59" s="39" t="n">
        <v>516.856265182186</v>
      </c>
      <c r="AD59" s="39" t="n">
        <v>516.856265182186</v>
      </c>
      <c r="AE59" s="39" t="n">
        <v>516.856265182186</v>
      </c>
      <c r="AF59" s="39" t="n">
        <v>516.856265182186</v>
      </c>
    </row>
    <row r="60" ht="15" customHeight="1" s="176">
      <c r="A60" s="30" t="inlineStr">
        <is>
          <t>P-0057</t>
        </is>
      </c>
      <c r="B60" s="30" t="inlineStr">
        <is>
          <t>2026/27</t>
        </is>
      </c>
      <c r="C60" s="30" t="inlineStr">
        <is>
          <t>Asmara</t>
        </is>
      </c>
      <c r="D60" s="31" t="inlineStr">
        <is>
          <t>w. murcott 4,9 ha</t>
        </is>
      </c>
      <c r="E60" s="30" t="inlineStr">
        <is>
          <t>Mandarina</t>
        </is>
      </c>
      <c r="F60" s="30" t="inlineStr">
        <is>
          <t>W. murcott</t>
        </is>
      </c>
      <c r="G60" s="30" t="inlineStr">
        <is>
          <t>Producción</t>
        </is>
      </c>
      <c r="H60" s="32" t="n">
        <v>4.9</v>
      </c>
      <c r="I60" s="32" t="n">
        <v>4.9</v>
      </c>
      <c r="J60" s="30" t="inlineStr">
        <is>
          <t>Costo</t>
        </is>
      </c>
      <c r="K60" s="31" t="inlineStr">
        <is>
          <t>3- Gasto general</t>
        </is>
      </c>
      <c r="L60" s="31" t="inlineStr">
        <is>
          <t>3- COMBUSTIBLE Y ENERGIA</t>
        </is>
      </c>
      <c r="M60" s="31" t="inlineStr">
        <is>
          <t>cuota canal torre baja</t>
        </is>
      </c>
      <c r="N60" s="30" t="n"/>
      <c r="O60" s="30" t="inlineStr">
        <is>
          <t>ha</t>
        </is>
      </c>
      <c r="P60" s="33" t="n">
        <v>28203.4412955466</v>
      </c>
      <c r="Q60" s="34" t="n">
        <v>4.9</v>
      </c>
      <c r="R60" s="33" t="n">
        <v>1381415.83603239</v>
      </c>
      <c r="S60" s="35" t="n">
        <v>0.00626492442645074</v>
      </c>
      <c r="T60" s="33" t="n">
        <v>5.63843198380567</v>
      </c>
      <c r="U60" s="33" t="n">
        <v>127.908873706703</v>
      </c>
      <c r="V60" s="33" t="n">
        <v>127.908873706703</v>
      </c>
      <c r="W60" s="33" t="n">
        <v>127.908873706703</v>
      </c>
      <c r="X60" s="33" t="n">
        <v>127.908873706703</v>
      </c>
      <c r="Y60" s="33" t="n">
        <v>127.908873706703</v>
      </c>
      <c r="Z60" s="33" t="n">
        <v>127.908873706703</v>
      </c>
      <c r="AA60" s="33" t="n">
        <v>127.908873706703</v>
      </c>
      <c r="AB60" s="33" t="n">
        <v>127.908873706703</v>
      </c>
      <c r="AC60" s="33" t="n">
        <v>127.908873706703</v>
      </c>
      <c r="AD60" s="33" t="n">
        <v>127.908873706703</v>
      </c>
      <c r="AE60" s="33" t="n">
        <v>127.908873706703</v>
      </c>
      <c r="AF60" s="33" t="n">
        <v>127.908873706703</v>
      </c>
    </row>
    <row r="61" ht="15" customHeight="1" s="176">
      <c r="A61" s="36" t="inlineStr">
        <is>
          <t>P-0058</t>
        </is>
      </c>
      <c r="B61" s="36" t="inlineStr">
        <is>
          <t>2026/27</t>
        </is>
      </c>
      <c r="C61" s="36" t="inlineStr">
        <is>
          <t>Asmara</t>
        </is>
      </c>
      <c r="D61" s="37" t="inlineStr">
        <is>
          <t>w. murcott 4,9 ha</t>
        </is>
      </c>
      <c r="E61" s="36" t="inlineStr">
        <is>
          <t>Mandarina</t>
        </is>
      </c>
      <c r="F61" s="36" t="inlineStr">
        <is>
          <t>W. murcott</t>
        </is>
      </c>
      <c r="G61" s="36" t="inlineStr">
        <is>
          <t>Producción</t>
        </is>
      </c>
      <c r="H61" s="38" t="n">
        <v>4.9</v>
      </c>
      <c r="I61" s="38" t="n">
        <v>4.9</v>
      </c>
      <c r="J61" s="36" t="inlineStr">
        <is>
          <t>Costo</t>
        </is>
      </c>
      <c r="K61" s="37" t="inlineStr">
        <is>
          <t>3- Gasto general</t>
        </is>
      </c>
      <c r="L61" s="37" t="inlineStr">
        <is>
          <t>1- GASTOS DEL PERSONAL</t>
        </is>
      </c>
      <c r="M61" s="37" t="inlineStr">
        <is>
          <t>locomocion</t>
        </is>
      </c>
      <c r="N61" s="36" t="n"/>
      <c r="O61" s="36" t="inlineStr">
        <is>
          <t>ha</t>
        </is>
      </c>
      <c r="P61" s="39" t="n">
        <v>75708</v>
      </c>
      <c r="Q61" s="40" t="n">
        <v>4.9</v>
      </c>
      <c r="R61" s="39" t="n">
        <v>1483876.8</v>
      </c>
      <c r="S61" s="41" t="n">
        <v>0.0067296</v>
      </c>
      <c r="T61" s="39" t="n">
        <v>6.05664</v>
      </c>
      <c r="U61" s="39" t="n">
        <v>82.4376</v>
      </c>
      <c r="V61" s="39" t="n">
        <v>82.4376</v>
      </c>
      <c r="W61" s="39" t="n">
        <v>412.188</v>
      </c>
      <c r="X61" s="39" t="n">
        <v>412.188</v>
      </c>
      <c r="Y61" s="39" t="n">
        <v>82.4376</v>
      </c>
      <c r="Z61" s="39" t="n">
        <v>82.4376</v>
      </c>
      <c r="AA61" s="39" t="n">
        <v>82.4376</v>
      </c>
      <c r="AB61" s="39" t="n">
        <v>82.4376</v>
      </c>
      <c r="AC61" s="39" t="n">
        <v>82.4376</v>
      </c>
      <c r="AD61" s="39" t="n">
        <v>82.4376</v>
      </c>
      <c r="AE61" s="39" t="n">
        <v>82.4376</v>
      </c>
      <c r="AF61" s="39" t="n">
        <v>82.4376</v>
      </c>
    </row>
    <row r="62" ht="15" customHeight="1" s="176">
      <c r="A62" s="30" t="inlineStr">
        <is>
          <t>P-0059</t>
        </is>
      </c>
      <c r="B62" s="30" t="inlineStr">
        <is>
          <t>2026/27</t>
        </is>
      </c>
      <c r="C62" s="30" t="inlineStr">
        <is>
          <t>Asmara</t>
        </is>
      </c>
      <c r="D62" s="31" t="inlineStr">
        <is>
          <t>w. murcott 19,8 ha</t>
        </is>
      </c>
      <c r="E62" s="30" t="inlineStr">
        <is>
          <t>Mandarina</t>
        </is>
      </c>
      <c r="F62" s="30" t="inlineStr">
        <is>
          <t>W. murcott</t>
        </is>
      </c>
      <c r="G62" s="30" t="inlineStr">
        <is>
          <t>Producción</t>
        </is>
      </c>
      <c r="H62" s="32" t="n">
        <v>19.8</v>
      </c>
      <c r="I62" s="32" t="n">
        <v>19.8</v>
      </c>
      <c r="J62" s="30" t="inlineStr">
        <is>
          <t>Costo</t>
        </is>
      </c>
      <c r="K62" s="31" t="inlineStr">
        <is>
          <t>3- Gasto general</t>
        </is>
      </c>
      <c r="L62" s="31" t="inlineStr">
        <is>
          <t>1- GASTOS DEL PERSONAL</t>
        </is>
      </c>
      <c r="M62" s="31" t="inlineStr">
        <is>
          <t xml:space="preserve">movilizacion </t>
        </is>
      </c>
      <c r="N62" s="30" t="n"/>
      <c r="O62" s="30" t="inlineStr">
        <is>
          <t>ha</t>
        </is>
      </c>
      <c r="P62" s="33" t="n">
        <v>75708</v>
      </c>
      <c r="Q62" s="34" t="n">
        <v>19.8</v>
      </c>
      <c r="R62" s="33" t="n">
        <v>5996073.6</v>
      </c>
      <c r="S62" s="35" t="n">
        <v>0.0067296</v>
      </c>
      <c r="T62" s="33" t="n">
        <v>6.05664</v>
      </c>
      <c r="U62" s="33" t="n">
        <v>333.1152</v>
      </c>
      <c r="V62" s="33" t="n">
        <v>333.1152</v>
      </c>
      <c r="W62" s="33" t="n">
        <v>1665.576</v>
      </c>
      <c r="X62" s="33" t="n">
        <v>1665.576</v>
      </c>
      <c r="Y62" s="33" t="n">
        <v>333.1152</v>
      </c>
      <c r="Z62" s="33" t="n">
        <v>333.1152</v>
      </c>
      <c r="AA62" s="33" t="n">
        <v>333.1152</v>
      </c>
      <c r="AB62" s="33" t="n">
        <v>333.1152</v>
      </c>
      <c r="AC62" s="33" t="n">
        <v>333.1152</v>
      </c>
      <c r="AD62" s="33" t="n">
        <v>333.1152</v>
      </c>
      <c r="AE62" s="33" t="n">
        <v>333.1152</v>
      </c>
      <c r="AF62" s="33" t="n">
        <v>333.1152</v>
      </c>
    </row>
    <row r="63" ht="15" customHeight="1" s="176">
      <c r="A63" s="36" t="inlineStr">
        <is>
          <t>P-0060</t>
        </is>
      </c>
      <c r="B63" s="36" t="inlineStr">
        <is>
          <t>2026/27</t>
        </is>
      </c>
      <c r="C63" s="36" t="inlineStr">
        <is>
          <t>Asmara</t>
        </is>
      </c>
      <c r="D63" s="37" t="inlineStr">
        <is>
          <t>w. murcott 19,8 ha</t>
        </is>
      </c>
      <c r="E63" s="36" t="inlineStr">
        <is>
          <t>Mandarina</t>
        </is>
      </c>
      <c r="F63" s="36" t="inlineStr">
        <is>
          <t>W. murcott</t>
        </is>
      </c>
      <c r="G63" s="36" t="inlineStr">
        <is>
          <t>Producción</t>
        </is>
      </c>
      <c r="H63" s="38" t="n">
        <v>19.8</v>
      </c>
      <c r="I63" s="38" t="n">
        <v>19.8</v>
      </c>
      <c r="J63" s="36" t="inlineStr">
        <is>
          <t>Costo</t>
        </is>
      </c>
      <c r="K63" s="37" t="inlineStr">
        <is>
          <t>3- Gasto general</t>
        </is>
      </c>
      <c r="L63" s="37" t="inlineStr">
        <is>
          <t>2- PRODUCTOS QUIMICOS</t>
        </is>
      </c>
      <c r="M63" s="37" t="n"/>
      <c r="N63" s="36" t="n"/>
      <c r="O63" s="36" t="inlineStr">
        <is>
          <t>ha</t>
        </is>
      </c>
      <c r="P63" s="39" t="n">
        <v>270225</v>
      </c>
      <c r="Q63" s="40" t="n">
        <v>19.8</v>
      </c>
      <c r="R63" s="39" t="n">
        <v>53483148.18</v>
      </c>
      <c r="S63" s="41" t="n">
        <v>0.06002598</v>
      </c>
      <c r="T63" s="39" t="n">
        <v>54.023382</v>
      </c>
      <c r="U63" s="39" t="n">
        <v>4952.14335</v>
      </c>
      <c r="V63" s="39" t="n">
        <v>4952.14335</v>
      </c>
      <c r="W63" s="39" t="n">
        <v>4952.14335</v>
      </c>
      <c r="X63" s="39" t="n">
        <v>4952.14335</v>
      </c>
      <c r="Y63" s="39" t="n">
        <v>4952.14335</v>
      </c>
      <c r="Z63" s="39" t="n">
        <v>4952.14335</v>
      </c>
      <c r="AA63" s="39" t="n">
        <v>4952.14335</v>
      </c>
      <c r="AB63" s="39" t="n">
        <v>4952.14335</v>
      </c>
      <c r="AC63" s="39" t="n">
        <v>4952.14335</v>
      </c>
      <c r="AD63" s="39" t="n">
        <v>4952.14335</v>
      </c>
      <c r="AE63" s="39" t="n">
        <v>4952.14335</v>
      </c>
      <c r="AF63" s="39" t="n">
        <v>4952.14335</v>
      </c>
    </row>
    <row r="64" ht="15" customHeight="1" s="176">
      <c r="A64" s="30" t="inlineStr">
        <is>
          <t>P-0061</t>
        </is>
      </c>
      <c r="B64" s="30" t="inlineStr">
        <is>
          <t>2026/27</t>
        </is>
      </c>
      <c r="C64" s="30" t="inlineStr">
        <is>
          <t>Asmara</t>
        </is>
      </c>
      <c r="D64" s="31" t="inlineStr">
        <is>
          <t>w. murcott 4,9 ha</t>
        </is>
      </c>
      <c r="E64" s="30" t="inlineStr">
        <is>
          <t>Mandarina</t>
        </is>
      </c>
      <c r="F64" s="30" t="inlineStr">
        <is>
          <t>W. murcott</t>
        </is>
      </c>
      <c r="G64" s="30" t="inlineStr">
        <is>
          <t>Producción</t>
        </is>
      </c>
      <c r="H64" s="32" t="n">
        <v>4.9</v>
      </c>
      <c r="I64" s="32" t="n">
        <v>4.9</v>
      </c>
      <c r="J64" s="30" t="inlineStr">
        <is>
          <t>Costo</t>
        </is>
      </c>
      <c r="K64" s="31" t="inlineStr">
        <is>
          <t>3- Gasto general</t>
        </is>
      </c>
      <c r="L64" s="31" t="inlineStr">
        <is>
          <t>2- PRODUCTOS QUIMICOS</t>
        </is>
      </c>
      <c r="M64" s="31" t="n"/>
      <c r="N64" s="30" t="n"/>
      <c r="O64" s="30" t="inlineStr">
        <is>
          <t>ha</t>
        </is>
      </c>
      <c r="P64" s="33" t="n">
        <v>270225</v>
      </c>
      <c r="Q64" s="34" t="n">
        <v>4.9</v>
      </c>
      <c r="R64" s="33" t="n">
        <v>13235728.59</v>
      </c>
      <c r="S64" s="35" t="n">
        <v>0.06002598</v>
      </c>
      <c r="T64" s="33" t="n">
        <v>54.023382</v>
      </c>
      <c r="U64" s="33" t="n">
        <v>1225.530425</v>
      </c>
      <c r="V64" s="33" t="n">
        <v>1225.530425</v>
      </c>
      <c r="W64" s="33" t="n">
        <v>1225.530425</v>
      </c>
      <c r="X64" s="33" t="n">
        <v>1225.530425</v>
      </c>
      <c r="Y64" s="33" t="n">
        <v>1225.530425</v>
      </c>
      <c r="Z64" s="33" t="n">
        <v>1225.530425</v>
      </c>
      <c r="AA64" s="33" t="n">
        <v>1225.530425</v>
      </c>
      <c r="AB64" s="33" t="n">
        <v>1225.530425</v>
      </c>
      <c r="AC64" s="33" t="n">
        <v>1225.530425</v>
      </c>
      <c r="AD64" s="33" t="n">
        <v>1225.530425</v>
      </c>
      <c r="AE64" s="33" t="n">
        <v>1225.530425</v>
      </c>
      <c r="AF64" s="33" t="n">
        <v>1225.530425</v>
      </c>
    </row>
    <row r="65" ht="15" customHeight="1" s="176">
      <c r="A65" s="36" t="inlineStr">
        <is>
          <t>P-0062</t>
        </is>
      </c>
      <c r="B65" s="36" t="inlineStr">
        <is>
          <t>2026/27</t>
        </is>
      </c>
      <c r="C65" s="36" t="inlineStr">
        <is>
          <t>Asmara</t>
        </is>
      </c>
      <c r="D65" s="37" t="inlineStr">
        <is>
          <t>w. murcott 19,8 ha</t>
        </is>
      </c>
      <c r="E65" s="36" t="inlineStr">
        <is>
          <t>Mandarina</t>
        </is>
      </c>
      <c r="F65" s="36" t="inlineStr">
        <is>
          <t>W. murcott</t>
        </is>
      </c>
      <c r="G65" s="36" t="inlineStr">
        <is>
          <t>Producción</t>
        </is>
      </c>
      <c r="H65" s="38" t="n">
        <v>19.8</v>
      </c>
      <c r="I65" s="38" t="n">
        <v>19.8</v>
      </c>
      <c r="J65" s="36" t="inlineStr">
        <is>
          <t>Costo</t>
        </is>
      </c>
      <c r="K65" s="37" t="inlineStr">
        <is>
          <t>3- Gasto general</t>
        </is>
      </c>
      <c r="L65" s="37" t="inlineStr">
        <is>
          <t>3- COMBUSTIBLE Y ENERGIA</t>
        </is>
      </c>
      <c r="M65" s="37" t="n"/>
      <c r="N65" s="36" t="n"/>
      <c r="O65" s="36" t="inlineStr">
        <is>
          <t>ha</t>
        </is>
      </c>
      <c r="P65" s="39" t="n">
        <v>121950</v>
      </c>
      <c r="Q65" s="40" t="n">
        <v>19.8</v>
      </c>
      <c r="R65" s="39" t="n">
        <v>24136441.56</v>
      </c>
      <c r="S65" s="41" t="n">
        <v>0.02708916</v>
      </c>
      <c r="T65" s="39" t="n">
        <v>24.380244</v>
      </c>
      <c r="U65" s="39" t="n">
        <v>2234.8557</v>
      </c>
      <c r="V65" s="39" t="n">
        <v>2234.8557</v>
      </c>
      <c r="W65" s="39" t="n">
        <v>2234.8557</v>
      </c>
      <c r="X65" s="39" t="n">
        <v>2234.8557</v>
      </c>
      <c r="Y65" s="39" t="n">
        <v>2234.8557</v>
      </c>
      <c r="Z65" s="39" t="n">
        <v>2234.8557</v>
      </c>
      <c r="AA65" s="39" t="n">
        <v>2234.8557</v>
      </c>
      <c r="AB65" s="39" t="n">
        <v>2234.8557</v>
      </c>
      <c r="AC65" s="39" t="n">
        <v>2234.8557</v>
      </c>
      <c r="AD65" s="39" t="n">
        <v>2234.8557</v>
      </c>
      <c r="AE65" s="39" t="n">
        <v>2234.8557</v>
      </c>
      <c r="AF65" s="39" t="n">
        <v>2234.8557</v>
      </c>
    </row>
    <row r="66" ht="15" customHeight="1" s="176">
      <c r="A66" s="30" t="inlineStr">
        <is>
          <t>P-0063</t>
        </is>
      </c>
      <c r="B66" s="30" t="inlineStr">
        <is>
          <t>2026/27</t>
        </is>
      </c>
      <c r="C66" s="30" t="inlineStr">
        <is>
          <t>Asmara</t>
        </is>
      </c>
      <c r="D66" s="31" t="inlineStr">
        <is>
          <t>w. murcott 4,9 ha</t>
        </is>
      </c>
      <c r="E66" s="30" t="inlineStr">
        <is>
          <t>Mandarina</t>
        </is>
      </c>
      <c r="F66" s="30" t="inlineStr">
        <is>
          <t>W. murcott</t>
        </is>
      </c>
      <c r="G66" s="30" t="inlineStr">
        <is>
          <t>Producción</t>
        </is>
      </c>
      <c r="H66" s="32" t="n">
        <v>4.9</v>
      </c>
      <c r="I66" s="32" t="n">
        <v>4.9</v>
      </c>
      <c r="J66" s="30" t="inlineStr">
        <is>
          <t>Costo</t>
        </is>
      </c>
      <c r="K66" s="31" t="inlineStr">
        <is>
          <t>3- Gasto general</t>
        </is>
      </c>
      <c r="L66" s="31" t="inlineStr">
        <is>
          <t>3- COMBUSTIBLE Y ENERGIA</t>
        </is>
      </c>
      <c r="M66" s="31" t="n"/>
      <c r="N66" s="30" t="n"/>
      <c r="O66" s="30" t="inlineStr">
        <is>
          <t>ha</t>
        </is>
      </c>
      <c r="P66" s="33" t="n">
        <v>121950</v>
      </c>
      <c r="Q66" s="34" t="n">
        <v>4.9</v>
      </c>
      <c r="R66" s="33" t="n">
        <v>5973159.78</v>
      </c>
      <c r="S66" s="35" t="n">
        <v>0.02708916</v>
      </c>
      <c r="T66" s="33" t="n">
        <v>24.380244</v>
      </c>
      <c r="U66" s="33" t="n">
        <v>553.07035</v>
      </c>
      <c r="V66" s="33" t="n">
        <v>553.07035</v>
      </c>
      <c r="W66" s="33" t="n">
        <v>553.07035</v>
      </c>
      <c r="X66" s="33" t="n">
        <v>553.07035</v>
      </c>
      <c r="Y66" s="33" t="n">
        <v>553.07035</v>
      </c>
      <c r="Z66" s="33" t="n">
        <v>553.07035</v>
      </c>
      <c r="AA66" s="33" t="n">
        <v>553.07035</v>
      </c>
      <c r="AB66" s="33" t="n">
        <v>553.07035</v>
      </c>
      <c r="AC66" s="33" t="n">
        <v>553.07035</v>
      </c>
      <c r="AD66" s="33" t="n">
        <v>553.07035</v>
      </c>
      <c r="AE66" s="33" t="n">
        <v>553.07035</v>
      </c>
      <c r="AF66" s="33" t="n">
        <v>553.07035</v>
      </c>
    </row>
    <row r="67" ht="15" customHeight="1" s="176">
      <c r="A67" s="36" t="inlineStr">
        <is>
          <t>P-0064</t>
        </is>
      </c>
      <c r="B67" s="36" t="inlineStr">
        <is>
          <t>2026/27</t>
        </is>
      </c>
      <c r="C67" s="36" t="inlineStr">
        <is>
          <t>Asmara</t>
        </is>
      </c>
      <c r="D67" s="37" t="inlineStr">
        <is>
          <t>w. murcott 19,8 ha</t>
        </is>
      </c>
      <c r="E67" s="36" t="inlineStr">
        <is>
          <t>Mandarina</t>
        </is>
      </c>
      <c r="F67" s="36" t="inlineStr">
        <is>
          <t>W. murcott</t>
        </is>
      </c>
      <c r="G67" s="36" t="inlineStr">
        <is>
          <t>Producción</t>
        </is>
      </c>
      <c r="H67" s="38" t="n">
        <v>19.8</v>
      </c>
      <c r="I67" s="38" t="n">
        <v>19.8</v>
      </c>
      <c r="J67" s="36" t="inlineStr">
        <is>
          <t>Costo</t>
        </is>
      </c>
      <c r="K67" s="37" t="inlineStr">
        <is>
          <t>3- Gasto general</t>
        </is>
      </c>
      <c r="L67" s="37" t="inlineStr">
        <is>
          <t>5- OTROS COSTOS  (fletes, alambres, mallas)</t>
        </is>
      </c>
      <c r="M67" s="37" t="n"/>
      <c r="N67" s="36" t="n"/>
      <c r="O67" s="36" t="inlineStr">
        <is>
          <t>ha</t>
        </is>
      </c>
      <c r="P67" s="39" t="n">
        <v>80000</v>
      </c>
      <c r="Q67" s="40" t="n">
        <v>19.8</v>
      </c>
      <c r="R67" s="39" t="n">
        <v>15833664</v>
      </c>
      <c r="S67" s="41" t="n">
        <v>0.0177706666666667</v>
      </c>
      <c r="T67" s="39" t="n">
        <v>15.9936</v>
      </c>
      <c r="U67" s="39" t="n">
        <v>1466.08</v>
      </c>
      <c r="V67" s="39" t="n">
        <v>1466.08</v>
      </c>
      <c r="W67" s="39" t="n">
        <v>1466.08</v>
      </c>
      <c r="X67" s="39" t="n">
        <v>1466.08</v>
      </c>
      <c r="Y67" s="39" t="n">
        <v>1466.08</v>
      </c>
      <c r="Z67" s="39" t="n">
        <v>1466.08</v>
      </c>
      <c r="AA67" s="39" t="n">
        <v>1466.08</v>
      </c>
      <c r="AB67" s="39" t="n">
        <v>1466.08</v>
      </c>
      <c r="AC67" s="39" t="n">
        <v>1466.08</v>
      </c>
      <c r="AD67" s="39" t="n">
        <v>1466.08</v>
      </c>
      <c r="AE67" s="39" t="n">
        <v>1466.08</v>
      </c>
      <c r="AF67" s="39" t="n">
        <v>1466.08</v>
      </c>
    </row>
    <row r="68" ht="15" customHeight="1" s="176">
      <c r="A68" s="30" t="inlineStr">
        <is>
          <t>P-0065</t>
        </is>
      </c>
      <c r="B68" s="30" t="inlineStr">
        <is>
          <t>2026/27</t>
        </is>
      </c>
      <c r="C68" s="30" t="inlineStr">
        <is>
          <t>Asmara</t>
        </is>
      </c>
      <c r="D68" s="31" t="inlineStr">
        <is>
          <t>w. murcott 4,9 ha</t>
        </is>
      </c>
      <c r="E68" s="30" t="inlineStr">
        <is>
          <t>Mandarina</t>
        </is>
      </c>
      <c r="F68" s="30" t="inlineStr">
        <is>
          <t>W. murcott</t>
        </is>
      </c>
      <c r="G68" s="30" t="inlineStr">
        <is>
          <t>Producción</t>
        </is>
      </c>
      <c r="H68" s="32" t="n">
        <v>4.9</v>
      </c>
      <c r="I68" s="32" t="n">
        <v>4.9</v>
      </c>
      <c r="J68" s="30" t="inlineStr">
        <is>
          <t>Costo</t>
        </is>
      </c>
      <c r="K68" s="31" t="inlineStr">
        <is>
          <t>3- Gasto general</t>
        </is>
      </c>
      <c r="L68" s="31" t="inlineStr">
        <is>
          <t>5- OTROS COSTOS  (fletes, alambres, mallas)</t>
        </is>
      </c>
      <c r="M68" s="31" t="n"/>
      <c r="N68" s="30" t="n"/>
      <c r="O68" s="30" t="inlineStr">
        <is>
          <t>ha</t>
        </is>
      </c>
      <c r="P68" s="33" t="n">
        <v>80000</v>
      </c>
      <c r="Q68" s="34" t="n">
        <v>4.9</v>
      </c>
      <c r="R68" s="33" t="n">
        <v>3918432</v>
      </c>
      <c r="S68" s="35" t="n">
        <v>0.0177706666666667</v>
      </c>
      <c r="T68" s="33" t="n">
        <v>15.9936</v>
      </c>
      <c r="U68" s="33" t="n">
        <v>362.817777777778</v>
      </c>
      <c r="V68" s="33" t="n">
        <v>362.817777777778</v>
      </c>
      <c r="W68" s="33" t="n">
        <v>362.817777777778</v>
      </c>
      <c r="X68" s="33" t="n">
        <v>362.817777777778</v>
      </c>
      <c r="Y68" s="33" t="n">
        <v>362.817777777778</v>
      </c>
      <c r="Z68" s="33" t="n">
        <v>362.817777777778</v>
      </c>
      <c r="AA68" s="33" t="n">
        <v>362.817777777778</v>
      </c>
      <c r="AB68" s="33" t="n">
        <v>362.817777777778</v>
      </c>
      <c r="AC68" s="33" t="n">
        <v>362.817777777778</v>
      </c>
      <c r="AD68" s="33" t="n">
        <v>362.817777777778</v>
      </c>
      <c r="AE68" s="33" t="n">
        <v>362.817777777778</v>
      </c>
      <c r="AF68" s="33" t="n">
        <v>362.817777777778</v>
      </c>
    </row>
    <row r="69" ht="15" customHeight="1" s="176">
      <c r="A69" s="36" t="inlineStr">
        <is>
          <t>P-0066</t>
        </is>
      </c>
      <c r="B69" s="36" t="inlineStr">
        <is>
          <t>2026/27</t>
        </is>
      </c>
      <c r="C69" s="36" t="inlineStr">
        <is>
          <t>Asmara</t>
        </is>
      </c>
      <c r="D69" s="37" t="inlineStr">
        <is>
          <t>w. murcott 4,9 ha</t>
        </is>
      </c>
      <c r="E69" s="36" t="inlineStr">
        <is>
          <t>Mandarina</t>
        </is>
      </c>
      <c r="F69" s="36" t="inlineStr">
        <is>
          <t>W. murcott</t>
        </is>
      </c>
      <c r="G69" s="36" t="inlineStr">
        <is>
          <t>Producción</t>
        </is>
      </c>
      <c r="H69" s="38" t="n">
        <v>4.9</v>
      </c>
      <c r="I69" s="38" t="n">
        <v>4.9</v>
      </c>
      <c r="J69" s="36" t="inlineStr">
        <is>
          <t>Costo</t>
        </is>
      </c>
      <c r="K69" s="37" t="inlineStr">
        <is>
          <t>3- Gasto general</t>
        </is>
      </c>
      <c r="L69" s="37" t="inlineStr">
        <is>
          <t>1- GASTOS DEL PERSONAL</t>
        </is>
      </c>
      <c r="M69" s="37" t="inlineStr">
        <is>
          <t xml:space="preserve">movilizacion </t>
        </is>
      </c>
      <c r="N69" s="36" t="n"/>
      <c r="O69" s="36" t="inlineStr">
        <is>
          <t>ha</t>
        </is>
      </c>
      <c r="P69" s="39" t="n">
        <v>75708</v>
      </c>
      <c r="Q69" s="40" t="n">
        <v>4.9</v>
      </c>
      <c r="R69" s="39" t="n">
        <v>1483876.8</v>
      </c>
      <c r="S69" s="41" t="n">
        <v>0.0067296</v>
      </c>
      <c r="T69" s="39" t="n">
        <v>6.05664</v>
      </c>
      <c r="U69" s="39" t="n">
        <v>82.4376</v>
      </c>
      <c r="V69" s="39" t="n">
        <v>82.4376</v>
      </c>
      <c r="W69" s="39" t="n">
        <v>412.188</v>
      </c>
      <c r="X69" s="39" t="n">
        <v>412.188</v>
      </c>
      <c r="Y69" s="39" t="n">
        <v>82.4376</v>
      </c>
      <c r="Z69" s="39" t="n">
        <v>82.4376</v>
      </c>
      <c r="AA69" s="39" t="n">
        <v>82.4376</v>
      </c>
      <c r="AB69" s="39" t="n">
        <v>82.4376</v>
      </c>
      <c r="AC69" s="39" t="n">
        <v>82.4376</v>
      </c>
      <c r="AD69" s="39" t="n">
        <v>82.4376</v>
      </c>
      <c r="AE69" s="39" t="n">
        <v>82.4376</v>
      </c>
      <c r="AF69" s="39" t="n">
        <v>82.4376</v>
      </c>
    </row>
    <row r="70" ht="15" customHeight="1" s="176">
      <c r="A70" s="30" t="inlineStr">
        <is>
          <t>P-0067</t>
        </is>
      </c>
      <c r="B70" s="30" t="inlineStr">
        <is>
          <t>2026/27</t>
        </is>
      </c>
      <c r="C70" s="30" t="inlineStr">
        <is>
          <t>Asmara</t>
        </is>
      </c>
      <c r="D70" s="31" t="inlineStr">
        <is>
          <t>w. murcott 19,8 ha</t>
        </is>
      </c>
      <c r="E70" s="30" t="inlineStr">
        <is>
          <t>Mandarina</t>
        </is>
      </c>
      <c r="F70" s="30" t="inlineStr">
        <is>
          <t>W. murcott</t>
        </is>
      </c>
      <c r="G70" s="30" t="inlineStr">
        <is>
          <t>Producción</t>
        </is>
      </c>
      <c r="H70" s="32" t="n">
        <v>19.8</v>
      </c>
      <c r="I70" s="32" t="n">
        <v>19.8</v>
      </c>
      <c r="J70" s="30" t="inlineStr">
        <is>
          <t>Costo</t>
        </is>
      </c>
      <c r="K70" s="31" t="inlineStr">
        <is>
          <t>3- Gasto general</t>
        </is>
      </c>
      <c r="L70" s="31" t="inlineStr">
        <is>
          <t>4- MANTENCION MAQUINARIA Y EQUIPOS</t>
        </is>
      </c>
      <c r="M70" s="31" t="n"/>
      <c r="N70" s="30" t="n"/>
      <c r="O70" s="30" t="inlineStr">
        <is>
          <t>ha</t>
        </is>
      </c>
      <c r="P70" s="33" t="n">
        <v>25000</v>
      </c>
      <c r="Q70" s="34" t="n">
        <v>19.8</v>
      </c>
      <c r="R70" s="33" t="n">
        <v>4930200</v>
      </c>
      <c r="S70" s="35" t="n">
        <v>0.00553333333333333</v>
      </c>
      <c r="T70" s="33" t="n">
        <v>4.98</v>
      </c>
      <c r="U70" s="33" t="n">
        <v>456.5</v>
      </c>
      <c r="V70" s="33" t="n">
        <v>456.5</v>
      </c>
      <c r="W70" s="33" t="n">
        <v>456.5</v>
      </c>
      <c r="X70" s="33" t="n">
        <v>456.5</v>
      </c>
      <c r="Y70" s="33" t="n">
        <v>456.5</v>
      </c>
      <c r="Z70" s="33" t="n">
        <v>456.5</v>
      </c>
      <c r="AA70" s="33" t="n">
        <v>456.5</v>
      </c>
      <c r="AB70" s="33" t="n">
        <v>456.5</v>
      </c>
      <c r="AC70" s="33" t="n">
        <v>456.5</v>
      </c>
      <c r="AD70" s="33" t="n">
        <v>456.5</v>
      </c>
      <c r="AE70" s="33" t="n">
        <v>456.5</v>
      </c>
      <c r="AF70" s="33" t="n">
        <v>456.5</v>
      </c>
    </row>
    <row r="71" ht="15" customHeight="1" s="176">
      <c r="A71" s="36" t="inlineStr">
        <is>
          <t>P-0068</t>
        </is>
      </c>
      <c r="B71" s="36" t="inlineStr">
        <is>
          <t>2026/27</t>
        </is>
      </c>
      <c r="C71" s="36" t="inlineStr">
        <is>
          <t>Asmara</t>
        </is>
      </c>
      <c r="D71" s="37" t="inlineStr">
        <is>
          <t>w. murcott 4,9 ha</t>
        </is>
      </c>
      <c r="E71" s="36" t="inlineStr">
        <is>
          <t>Mandarina</t>
        </is>
      </c>
      <c r="F71" s="36" t="inlineStr">
        <is>
          <t>W. murcott</t>
        </is>
      </c>
      <c r="G71" s="36" t="inlineStr">
        <is>
          <t>Producción</t>
        </is>
      </c>
      <c r="H71" s="38" t="n">
        <v>4.9</v>
      </c>
      <c r="I71" s="38" t="n">
        <v>4.9</v>
      </c>
      <c r="J71" s="36" t="inlineStr">
        <is>
          <t>Costo</t>
        </is>
      </c>
      <c r="K71" s="37" t="inlineStr">
        <is>
          <t>3- Gasto general</t>
        </is>
      </c>
      <c r="L71" s="37" t="inlineStr">
        <is>
          <t>4- MANTENCION MAQUINARIA Y EQUIPOS</t>
        </is>
      </c>
      <c r="M71" s="37" t="n"/>
      <c r="N71" s="36" t="n"/>
      <c r="O71" s="36" t="inlineStr">
        <is>
          <t>ha</t>
        </is>
      </c>
      <c r="P71" s="39" t="n">
        <v>25000</v>
      </c>
      <c r="Q71" s="40" t="n">
        <v>4.9</v>
      </c>
      <c r="R71" s="39" t="n">
        <v>1220100</v>
      </c>
      <c r="S71" s="41" t="n">
        <v>0.00553333333333333</v>
      </c>
      <c r="T71" s="39" t="n">
        <v>4.98</v>
      </c>
      <c r="U71" s="39" t="n">
        <v>112.972222222222</v>
      </c>
      <c r="V71" s="39" t="n">
        <v>112.972222222222</v>
      </c>
      <c r="W71" s="39" t="n">
        <v>112.972222222222</v>
      </c>
      <c r="X71" s="39" t="n">
        <v>112.972222222222</v>
      </c>
      <c r="Y71" s="39" t="n">
        <v>112.972222222222</v>
      </c>
      <c r="Z71" s="39" t="n">
        <v>112.972222222222</v>
      </c>
      <c r="AA71" s="39" t="n">
        <v>112.972222222222</v>
      </c>
      <c r="AB71" s="39" t="n">
        <v>112.972222222222</v>
      </c>
      <c r="AC71" s="39" t="n">
        <v>112.972222222222</v>
      </c>
      <c r="AD71" s="39" t="n">
        <v>112.972222222222</v>
      </c>
      <c r="AE71" s="39" t="n">
        <v>112.972222222222</v>
      </c>
      <c r="AF71" s="39" t="n">
        <v>112.972222222222</v>
      </c>
    </row>
    <row r="72" ht="15" customHeight="1" s="176">
      <c r="A72" s="30" t="inlineStr">
        <is>
          <t>P-0069</t>
        </is>
      </c>
      <c r="B72" s="30" t="inlineStr">
        <is>
          <t>2026/27</t>
        </is>
      </c>
      <c r="C72" s="30" t="inlineStr">
        <is>
          <t>Asmara</t>
        </is>
      </c>
      <c r="D72" s="31" t="inlineStr">
        <is>
          <t>w. murcott 4,9 ha</t>
        </is>
      </c>
      <c r="E72" s="30" t="inlineStr">
        <is>
          <t>Mandarina</t>
        </is>
      </c>
      <c r="F72" s="30" t="inlineStr">
        <is>
          <t>W. murcott</t>
        </is>
      </c>
      <c r="G72" s="30" t="inlineStr">
        <is>
          <t>Producción</t>
        </is>
      </c>
      <c r="H72" s="32" t="n">
        <v>4.9</v>
      </c>
      <c r="I72" s="32" t="n">
        <v>4.9</v>
      </c>
      <c r="J72" s="30" t="inlineStr">
        <is>
          <t>Costo</t>
        </is>
      </c>
      <c r="K72" s="31" t="inlineStr">
        <is>
          <t>4- Otros gastos</t>
        </is>
      </c>
      <c r="L72" s="31" t="inlineStr">
        <is>
          <t>6- GASTOS INDIRECTOS</t>
        </is>
      </c>
      <c r="M72" s="31" t="n"/>
      <c r="N72" s="30" t="n"/>
      <c r="O72" s="30" t="inlineStr">
        <is>
          <t>ha</t>
        </is>
      </c>
      <c r="P72" s="33" t="n">
        <v>62000</v>
      </c>
      <c r="Q72" s="34" t="n">
        <v>4.9</v>
      </c>
      <c r="R72" s="33" t="n">
        <v>3036784.8</v>
      </c>
      <c r="S72" s="35" t="n">
        <v>0.0137722666666667</v>
      </c>
      <c r="T72" s="33" t="n">
        <v>12.39504</v>
      </c>
      <c r="U72" s="33" t="n">
        <v>281.183777777778</v>
      </c>
      <c r="V72" s="33" t="n">
        <v>281.183777777778</v>
      </c>
      <c r="W72" s="33" t="n">
        <v>281.183777777778</v>
      </c>
      <c r="X72" s="33" t="n">
        <v>281.183777777778</v>
      </c>
      <c r="Y72" s="33" t="n">
        <v>281.183777777778</v>
      </c>
      <c r="Z72" s="33" t="n">
        <v>281.183777777778</v>
      </c>
      <c r="AA72" s="33" t="n">
        <v>281.183777777778</v>
      </c>
      <c r="AB72" s="33" t="n">
        <v>281.183777777778</v>
      </c>
      <c r="AC72" s="33" t="n">
        <v>281.183777777778</v>
      </c>
      <c r="AD72" s="33" t="n">
        <v>281.183777777778</v>
      </c>
      <c r="AE72" s="33" t="n">
        <v>281.183777777778</v>
      </c>
      <c r="AF72" s="33" t="n">
        <v>281.183777777778</v>
      </c>
    </row>
    <row r="73" ht="15" customHeight="1" s="176">
      <c r="A73" s="36" t="inlineStr">
        <is>
          <t>P-0070</t>
        </is>
      </c>
      <c r="B73" s="36" t="inlineStr">
        <is>
          <t>2026/27</t>
        </is>
      </c>
      <c r="C73" s="36" t="inlineStr">
        <is>
          <t>Asmara</t>
        </is>
      </c>
      <c r="D73" s="37" t="inlineStr">
        <is>
          <t>w. murcott 19,8 ha</t>
        </is>
      </c>
      <c r="E73" s="36" t="inlineStr">
        <is>
          <t>Mandarina</t>
        </is>
      </c>
      <c r="F73" s="36" t="inlineStr">
        <is>
          <t>W. murcott</t>
        </is>
      </c>
      <c r="G73" s="36" t="inlineStr">
        <is>
          <t>Producción</t>
        </is>
      </c>
      <c r="H73" s="38" t="n">
        <v>19.8</v>
      </c>
      <c r="I73" s="38" t="n">
        <v>19.8</v>
      </c>
      <c r="J73" s="36" t="inlineStr">
        <is>
          <t>Costo</t>
        </is>
      </c>
      <c r="K73" s="37" t="inlineStr">
        <is>
          <t>4- Otros gastos</t>
        </is>
      </c>
      <c r="L73" s="37" t="inlineStr">
        <is>
          <t>6- GASTOS INDIRECTOS</t>
        </is>
      </c>
      <c r="M73" s="37" t="n"/>
      <c r="N73" s="36" t="n"/>
      <c r="O73" s="36" t="inlineStr">
        <is>
          <t>ha</t>
        </is>
      </c>
      <c r="P73" s="39" t="n">
        <v>62000</v>
      </c>
      <c r="Q73" s="40" t="n">
        <v>19.8</v>
      </c>
      <c r="R73" s="39" t="n">
        <v>12271089.6</v>
      </c>
      <c r="S73" s="41" t="n">
        <v>0.0137722666666667</v>
      </c>
      <c r="T73" s="39" t="n">
        <v>12.39504</v>
      </c>
      <c r="U73" s="39" t="n">
        <v>1136.212</v>
      </c>
      <c r="V73" s="39" t="n">
        <v>1136.212</v>
      </c>
      <c r="W73" s="39" t="n">
        <v>1136.212</v>
      </c>
      <c r="X73" s="39" t="n">
        <v>1136.212</v>
      </c>
      <c r="Y73" s="39" t="n">
        <v>1136.212</v>
      </c>
      <c r="Z73" s="39" t="n">
        <v>1136.212</v>
      </c>
      <c r="AA73" s="39" t="n">
        <v>1136.212</v>
      </c>
      <c r="AB73" s="39" t="n">
        <v>1136.212</v>
      </c>
      <c r="AC73" s="39" t="n">
        <v>1136.212</v>
      </c>
      <c r="AD73" s="39" t="n">
        <v>1136.212</v>
      </c>
      <c r="AE73" s="39" t="n">
        <v>1136.212</v>
      </c>
      <c r="AF73" s="39" t="n">
        <v>1136.212</v>
      </c>
    </row>
    <row r="74" ht="15" customHeight="1" s="176">
      <c r="A74" s="30" t="inlineStr">
        <is>
          <t>P-0071</t>
        </is>
      </c>
      <c r="B74" s="30" t="inlineStr">
        <is>
          <t>2026/27</t>
        </is>
      </c>
      <c r="C74" s="30" t="inlineStr">
        <is>
          <t>Asmara</t>
        </is>
      </c>
      <c r="D74" s="31" t="inlineStr">
        <is>
          <t>w. murcott 4,9 ha</t>
        </is>
      </c>
      <c r="E74" s="30" t="inlineStr">
        <is>
          <t>Mandarina</t>
        </is>
      </c>
      <c r="F74" s="30" t="inlineStr">
        <is>
          <t>W. murcott</t>
        </is>
      </c>
      <c r="G74" s="30" t="inlineStr">
        <is>
          <t>Producción</t>
        </is>
      </c>
      <c r="H74" s="32" t="n">
        <v>4.9</v>
      </c>
      <c r="I74" s="32" t="n">
        <v>4.9</v>
      </c>
      <c r="J74" s="30" t="inlineStr">
        <is>
          <t>Costo</t>
        </is>
      </c>
      <c r="K74" s="31" t="inlineStr">
        <is>
          <t>4- Otros gastos</t>
        </is>
      </c>
      <c r="L74" s="31" t="inlineStr">
        <is>
          <t>7- GASTOS DE ADMINISTRACION</t>
        </is>
      </c>
      <c r="M74" s="31" t="n"/>
      <c r="N74" s="30" t="n"/>
      <c r="O74" s="30" t="inlineStr">
        <is>
          <t>ha</t>
        </is>
      </c>
      <c r="P74" s="33" t="n">
        <v>27673</v>
      </c>
      <c r="Q74" s="34" t="n">
        <v>4.9</v>
      </c>
      <c r="R74" s="33" t="n">
        <v>1355434.6092</v>
      </c>
      <c r="S74" s="35" t="n">
        <v>0.00614709573333333</v>
      </c>
      <c r="T74" s="33" t="n">
        <v>5.53238616</v>
      </c>
      <c r="U74" s="33" t="n">
        <v>125.503204555556</v>
      </c>
      <c r="V74" s="33" t="n">
        <v>125.503204555556</v>
      </c>
      <c r="W74" s="33" t="n">
        <v>125.503204555556</v>
      </c>
      <c r="X74" s="33" t="n">
        <v>125.503204555556</v>
      </c>
      <c r="Y74" s="33" t="n">
        <v>125.503204555556</v>
      </c>
      <c r="Z74" s="33" t="n">
        <v>125.503204555556</v>
      </c>
      <c r="AA74" s="33" t="n">
        <v>125.503204555556</v>
      </c>
      <c r="AB74" s="33" t="n">
        <v>125.503204555556</v>
      </c>
      <c r="AC74" s="33" t="n">
        <v>125.503204555556</v>
      </c>
      <c r="AD74" s="33" t="n">
        <v>125.503204555556</v>
      </c>
      <c r="AE74" s="33" t="n">
        <v>125.503204555556</v>
      </c>
      <c r="AF74" s="33" t="n">
        <v>125.503204555556</v>
      </c>
    </row>
    <row r="75" ht="15" customHeight="1" s="176">
      <c r="A75" s="36" t="inlineStr">
        <is>
          <t>P-0072</t>
        </is>
      </c>
      <c r="B75" s="36" t="inlineStr">
        <is>
          <t>2026/27</t>
        </is>
      </c>
      <c r="C75" s="36" t="inlineStr">
        <is>
          <t>Asmara</t>
        </is>
      </c>
      <c r="D75" s="37" t="inlineStr">
        <is>
          <t>w. murcott 19,8 ha</t>
        </is>
      </c>
      <c r="E75" s="36" t="inlineStr">
        <is>
          <t>Mandarina</t>
        </is>
      </c>
      <c r="F75" s="36" t="inlineStr">
        <is>
          <t>W. murcott</t>
        </is>
      </c>
      <c r="G75" s="36" t="inlineStr">
        <is>
          <t>Producción</t>
        </is>
      </c>
      <c r="H75" s="38" t="n">
        <v>19.8</v>
      </c>
      <c r="I75" s="38" t="n">
        <v>19.8</v>
      </c>
      <c r="J75" s="36" t="inlineStr">
        <is>
          <t>Costo</t>
        </is>
      </c>
      <c r="K75" s="37" t="inlineStr">
        <is>
          <t>4- Otros gastos</t>
        </is>
      </c>
      <c r="L75" s="37" t="inlineStr">
        <is>
          <t>7- GASTOS DE ADMINISTRACION</t>
        </is>
      </c>
      <c r="M75" s="37" t="n"/>
      <c r="N75" s="36" t="n"/>
      <c r="O75" s="36" t="inlineStr">
        <is>
          <t>ha</t>
        </is>
      </c>
      <c r="P75" s="39" t="n">
        <v>27673</v>
      </c>
      <c r="Q75" s="40" t="n">
        <v>19.8</v>
      </c>
      <c r="R75" s="39" t="n">
        <v>5477062.2984</v>
      </c>
      <c r="S75" s="41" t="n">
        <v>0.00614709573333333</v>
      </c>
      <c r="T75" s="39" t="n">
        <v>5.53238616</v>
      </c>
      <c r="U75" s="39" t="n">
        <v>507.135398</v>
      </c>
      <c r="V75" s="39" t="n">
        <v>507.135398</v>
      </c>
      <c r="W75" s="39" t="n">
        <v>507.135398</v>
      </c>
      <c r="X75" s="39" t="n">
        <v>507.135398</v>
      </c>
      <c r="Y75" s="39" t="n">
        <v>507.135398</v>
      </c>
      <c r="Z75" s="39" t="n">
        <v>507.135398</v>
      </c>
      <c r="AA75" s="39" t="n">
        <v>507.135398</v>
      </c>
      <c r="AB75" s="39" t="n">
        <v>507.135398</v>
      </c>
      <c r="AC75" s="39" t="n">
        <v>507.135398</v>
      </c>
      <c r="AD75" s="39" t="n">
        <v>507.135398</v>
      </c>
      <c r="AE75" s="39" t="n">
        <v>507.135398</v>
      </c>
      <c r="AF75" s="39" t="n">
        <v>507.135398</v>
      </c>
    </row>
    <row r="76" ht="15" customHeight="1" s="176">
      <c r="A76" s="48" t="inlineStr">
        <is>
          <t>P-0073</t>
        </is>
      </c>
      <c r="B76" s="48" t="inlineStr">
        <is>
          <t>2026/27</t>
        </is>
      </c>
      <c r="C76" s="48" t="inlineStr">
        <is>
          <t>Asmara</t>
        </is>
      </c>
      <c r="D76" s="49" t="inlineStr">
        <is>
          <t>w. murcott 4,9 ha</t>
        </is>
      </c>
      <c r="E76" s="48" t="inlineStr">
        <is>
          <t>Mandarina</t>
        </is>
      </c>
      <c r="F76" s="48" t="inlineStr">
        <is>
          <t>W. murcott</t>
        </is>
      </c>
      <c r="G76" s="48" t="inlineStr">
        <is>
          <t>Producción</t>
        </is>
      </c>
      <c r="H76" s="50" t="n">
        <v>4.9</v>
      </c>
      <c r="I76" s="50" t="n">
        <v>4.9</v>
      </c>
      <c r="J76" s="48" t="n"/>
      <c r="K76" s="49" t="inlineStr">
        <is>
          <t>6- Inversión</t>
        </is>
      </c>
      <c r="L76" s="49" t="n"/>
      <c r="M76" s="49" t="n"/>
      <c r="N76" s="48" t="n"/>
      <c r="O76" s="48" t="n"/>
      <c r="P76" s="51" t="n">
        <v>0</v>
      </c>
      <c r="Q76" s="52" t="n"/>
      <c r="R76" s="51" t="n">
        <v>0</v>
      </c>
      <c r="S76" s="53" t="n">
        <v>0</v>
      </c>
      <c r="T76" s="51" t="n">
        <v>0</v>
      </c>
      <c r="U76" s="51" t="n">
        <v>0</v>
      </c>
      <c r="V76" s="51" t="n">
        <v>0</v>
      </c>
      <c r="W76" s="51" t="n">
        <v>0</v>
      </c>
      <c r="X76" s="51" t="n">
        <v>0</v>
      </c>
      <c r="Y76" s="51" t="n">
        <v>0</v>
      </c>
      <c r="Z76" s="51" t="n">
        <v>0</v>
      </c>
      <c r="AA76" s="51" t="n">
        <v>0</v>
      </c>
      <c r="AB76" s="51" t="n">
        <v>0</v>
      </c>
      <c r="AC76" s="51" t="n">
        <v>0</v>
      </c>
      <c r="AD76" s="51" t="n">
        <v>0</v>
      </c>
      <c r="AE76" s="51" t="n">
        <v>0</v>
      </c>
      <c r="AF76" s="51" t="n">
        <v>0</v>
      </c>
    </row>
    <row r="77" ht="15" customHeight="1" s="176">
      <c r="A77" s="48" t="inlineStr">
        <is>
          <t>P-0074</t>
        </is>
      </c>
      <c r="B77" s="48" t="inlineStr">
        <is>
          <t>2026/27</t>
        </is>
      </c>
      <c r="C77" s="48" t="inlineStr">
        <is>
          <t>Asmara</t>
        </is>
      </c>
      <c r="D77" s="49" t="inlineStr">
        <is>
          <t>w. murcott 19,8 ha</t>
        </is>
      </c>
      <c r="E77" s="48" t="inlineStr">
        <is>
          <t>Mandarina</t>
        </is>
      </c>
      <c r="F77" s="48" t="inlineStr">
        <is>
          <t>W. murcott</t>
        </is>
      </c>
      <c r="G77" s="48" t="inlineStr">
        <is>
          <t>Producción</t>
        </is>
      </c>
      <c r="H77" s="50" t="n">
        <v>19.8</v>
      </c>
      <c r="I77" s="50" t="n">
        <v>19.8</v>
      </c>
      <c r="J77" s="48" t="n"/>
      <c r="K77" s="49" t="inlineStr">
        <is>
          <t>6- Inversión</t>
        </is>
      </c>
      <c r="L77" s="49" t="n"/>
      <c r="M77" s="49" t="n"/>
      <c r="N77" s="48" t="n"/>
      <c r="O77" s="48" t="n"/>
      <c r="P77" s="51" t="n">
        <v>0</v>
      </c>
      <c r="Q77" s="52" t="n"/>
      <c r="R77" s="51" t="n">
        <v>0</v>
      </c>
      <c r="S77" s="53" t="n">
        <v>0</v>
      </c>
      <c r="T77" s="51" t="n">
        <v>0</v>
      </c>
      <c r="U77" s="51" t="n">
        <v>0</v>
      </c>
      <c r="V77" s="51" t="n">
        <v>0</v>
      </c>
      <c r="W77" s="51" t="n">
        <v>0</v>
      </c>
      <c r="X77" s="51" t="n">
        <v>0</v>
      </c>
      <c r="Y77" s="51" t="n">
        <v>0</v>
      </c>
      <c r="Z77" s="51" t="n">
        <v>0</v>
      </c>
      <c r="AA77" s="51" t="n">
        <v>0</v>
      </c>
      <c r="AB77" s="51" t="n">
        <v>0</v>
      </c>
      <c r="AC77" s="51" t="n">
        <v>0</v>
      </c>
      <c r="AD77" s="51" t="n">
        <v>0</v>
      </c>
      <c r="AE77" s="51" t="n">
        <v>0</v>
      </c>
      <c r="AF77" s="51" t="n">
        <v>0</v>
      </c>
    </row>
    <row r="78" ht="15" customHeight="1" s="176">
      <c r="A78" s="30" t="inlineStr">
        <is>
          <t>P-0075</t>
        </is>
      </c>
      <c r="B78" s="30" t="inlineStr">
        <is>
          <t>2026/27</t>
        </is>
      </c>
      <c r="C78" s="30" t="inlineStr">
        <is>
          <t>Asmara</t>
        </is>
      </c>
      <c r="D78" s="31" t="inlineStr">
        <is>
          <t>w. murcott 4,9 ha</t>
        </is>
      </c>
      <c r="E78" s="30" t="inlineStr">
        <is>
          <t>Mandarina</t>
        </is>
      </c>
      <c r="F78" s="30" t="inlineStr">
        <is>
          <t>W. murcott</t>
        </is>
      </c>
      <c r="G78" s="30" t="inlineStr">
        <is>
          <t>Producción</t>
        </is>
      </c>
      <c r="H78" s="32" t="n">
        <v>4.9</v>
      </c>
      <c r="I78" s="32" t="n">
        <v>4.9</v>
      </c>
      <c r="J78" s="30" t="inlineStr">
        <is>
          <t>Costo</t>
        </is>
      </c>
      <c r="K78" s="31" t="inlineStr">
        <is>
          <t>1- M.O. directa</t>
        </is>
      </c>
      <c r="L78" s="31" t="inlineStr">
        <is>
          <t>2- Supervisor cosecha</t>
        </is>
      </c>
      <c r="M78" s="31" t="inlineStr">
        <is>
          <t>15 jh/supervisor ($7/kg)</t>
        </is>
      </c>
      <c r="N78" s="30" t="inlineStr">
        <is>
          <t>día</t>
        </is>
      </c>
      <c r="O78" s="30" t="inlineStr">
        <is>
          <t>kg</t>
        </is>
      </c>
      <c r="P78" s="33" t="n">
        <v>7</v>
      </c>
      <c r="Q78" s="34" t="n">
        <v>245000</v>
      </c>
      <c r="R78" s="33" t="n">
        <v>1715000</v>
      </c>
      <c r="S78" s="35" t="n">
        <v>0.00777777777777778</v>
      </c>
      <c r="T78" s="33" t="n">
        <v>7</v>
      </c>
      <c r="U78" s="33" t="n">
        <v>0</v>
      </c>
      <c r="V78" s="33" t="n">
        <v>0</v>
      </c>
      <c r="W78" s="33" t="n">
        <v>952.7777777777781</v>
      </c>
      <c r="X78" s="33" t="n">
        <v>952.7777777777781</v>
      </c>
      <c r="Y78" s="33" t="n">
        <v>0</v>
      </c>
      <c r="Z78" s="33" t="n">
        <v>0</v>
      </c>
      <c r="AA78" s="33" t="n">
        <v>0</v>
      </c>
      <c r="AB78" s="33" t="n">
        <v>0</v>
      </c>
      <c r="AC78" s="33" t="n">
        <v>0</v>
      </c>
      <c r="AD78" s="33" t="n">
        <v>0</v>
      </c>
      <c r="AE78" s="33" t="n">
        <v>0</v>
      </c>
      <c r="AF78" s="33" t="n">
        <v>0</v>
      </c>
    </row>
    <row r="79" ht="15" customHeight="1" s="176">
      <c r="A79" s="36" t="inlineStr">
        <is>
          <t>P-0076</t>
        </is>
      </c>
      <c r="B79" s="36" t="inlineStr">
        <is>
          <t>2026/27</t>
        </is>
      </c>
      <c r="C79" s="36" t="inlineStr">
        <is>
          <t>Asmara</t>
        </is>
      </c>
      <c r="D79" s="37" t="inlineStr">
        <is>
          <t>w. murcott 4,9 ha</t>
        </is>
      </c>
      <c r="E79" s="36" t="inlineStr">
        <is>
          <t>Mandarina</t>
        </is>
      </c>
      <c r="F79" s="36" t="inlineStr">
        <is>
          <t>W. murcott</t>
        </is>
      </c>
      <c r="G79" s="36" t="inlineStr">
        <is>
          <t>Producción</t>
        </is>
      </c>
      <c r="H79" s="38" t="n">
        <v>4.9</v>
      </c>
      <c r="I79" s="38" t="n">
        <v>4.9</v>
      </c>
      <c r="J79" s="36" t="inlineStr">
        <is>
          <t>Costo</t>
        </is>
      </c>
      <c r="K79" s="37" t="inlineStr">
        <is>
          <t>1- M.O. directa</t>
        </is>
      </c>
      <c r="L79" s="37" t="inlineStr">
        <is>
          <t>3- Selección</t>
        </is>
      </c>
      <c r="M79" s="37" t="inlineStr">
        <is>
          <t>5 jh/seleccion</t>
        </is>
      </c>
      <c r="N79" s="36" t="inlineStr">
        <is>
          <t>trato</t>
        </is>
      </c>
      <c r="O79" s="36" t="inlineStr">
        <is>
          <t>kg</t>
        </is>
      </c>
      <c r="P79" s="39" t="n">
        <v>18</v>
      </c>
      <c r="Q79" s="40" t="n">
        <v>245000</v>
      </c>
      <c r="R79" s="39" t="n">
        <v>4410000</v>
      </c>
      <c r="S79" s="41" t="n">
        <v>0.02</v>
      </c>
      <c r="T79" s="39" t="n">
        <v>18</v>
      </c>
      <c r="U79" s="39" t="n">
        <v>0</v>
      </c>
      <c r="V79" s="39" t="n">
        <v>0</v>
      </c>
      <c r="W79" s="39" t="n">
        <v>2450</v>
      </c>
      <c r="X79" s="39" t="n">
        <v>2450</v>
      </c>
      <c r="Y79" s="39" t="n">
        <v>0</v>
      </c>
      <c r="Z79" s="39" t="n">
        <v>0</v>
      </c>
      <c r="AA79" s="39" t="n">
        <v>0</v>
      </c>
      <c r="AB79" s="39" t="n">
        <v>0</v>
      </c>
      <c r="AC79" s="39" t="n">
        <v>0</v>
      </c>
      <c r="AD79" s="39" t="n">
        <v>0</v>
      </c>
      <c r="AE79" s="39" t="n">
        <v>0</v>
      </c>
      <c r="AF79" s="39" t="n">
        <v>0</v>
      </c>
    </row>
    <row r="80" ht="15" customHeight="1" s="176">
      <c r="A80" s="30" t="inlineStr">
        <is>
          <t>P-0077</t>
        </is>
      </c>
      <c r="B80" s="30" t="inlineStr">
        <is>
          <t>2026/27</t>
        </is>
      </c>
      <c r="C80" s="30" t="inlineStr">
        <is>
          <t>Asmara</t>
        </is>
      </c>
      <c r="D80" s="31" t="inlineStr">
        <is>
          <t>w. murcott 4,9 ha</t>
        </is>
      </c>
      <c r="E80" s="30" t="inlineStr">
        <is>
          <t>Mandarina</t>
        </is>
      </c>
      <c r="F80" s="30" t="inlineStr">
        <is>
          <t>W. murcott</t>
        </is>
      </c>
      <c r="G80" s="30" t="inlineStr">
        <is>
          <t>Producción</t>
        </is>
      </c>
      <c r="H80" s="32" t="n">
        <v>4.9</v>
      </c>
      <c r="I80" s="32" t="n">
        <v>4.9</v>
      </c>
      <c r="J80" s="30" t="inlineStr">
        <is>
          <t>Costo</t>
        </is>
      </c>
      <c r="K80" s="31" t="inlineStr">
        <is>
          <t>1- M.O. directa</t>
        </is>
      </c>
      <c r="L80" s="31" t="inlineStr">
        <is>
          <t>1- Cosecha EXP</t>
        </is>
      </c>
      <c r="M80" s="31" t="inlineStr">
        <is>
          <t xml:space="preserve">450 kg/jh, 15 jh/cuadrilla </t>
        </is>
      </c>
      <c r="N80" s="30" t="inlineStr">
        <is>
          <t>trato</t>
        </is>
      </c>
      <c r="O80" s="30" t="inlineStr">
        <is>
          <t>kg</t>
        </is>
      </c>
      <c r="P80" s="33" t="n">
        <v>85</v>
      </c>
      <c r="Q80" s="34" t="n">
        <v>245000</v>
      </c>
      <c r="R80" s="33" t="n">
        <v>20825000</v>
      </c>
      <c r="S80" s="35" t="n">
        <v>0.0944444444444445</v>
      </c>
      <c r="T80" s="33" t="n">
        <v>85</v>
      </c>
      <c r="U80" s="33" t="n">
        <v>0</v>
      </c>
      <c r="V80" s="33" t="n">
        <v>0</v>
      </c>
      <c r="W80" s="33" t="n">
        <v>11569.4444444445</v>
      </c>
      <c r="X80" s="33" t="n">
        <v>11569.4444444445</v>
      </c>
      <c r="Y80" s="33" t="n">
        <v>0</v>
      </c>
      <c r="Z80" s="33" t="n">
        <v>0</v>
      </c>
      <c r="AA80" s="33" t="n">
        <v>0</v>
      </c>
      <c r="AB80" s="33" t="n">
        <v>0</v>
      </c>
      <c r="AC80" s="33" t="n">
        <v>0</v>
      </c>
      <c r="AD80" s="33" t="n">
        <v>0</v>
      </c>
      <c r="AE80" s="33" t="n">
        <v>0</v>
      </c>
      <c r="AF80" s="33" t="n">
        <v>0</v>
      </c>
    </row>
    <row r="81" ht="15" customHeight="1" s="176">
      <c r="A81" s="42" t="inlineStr">
        <is>
          <t>P-0078</t>
        </is>
      </c>
      <c r="B81" s="42" t="inlineStr">
        <is>
          <t>2026/27</t>
        </is>
      </c>
      <c r="C81" s="42" t="inlineStr">
        <is>
          <t>Asmara</t>
        </is>
      </c>
      <c r="D81" s="43" t="inlineStr">
        <is>
          <t>w. murcott 4,9 ha</t>
        </is>
      </c>
      <c r="E81" s="42" t="inlineStr">
        <is>
          <t>Mandarina</t>
        </is>
      </c>
      <c r="F81" s="42" t="inlineStr">
        <is>
          <t>W. murcott</t>
        </is>
      </c>
      <c r="G81" s="42" t="inlineStr">
        <is>
          <t>Producción</t>
        </is>
      </c>
      <c r="H81" s="44" t="n">
        <v>4.9</v>
      </c>
      <c r="I81" s="44" t="n">
        <v>4.9</v>
      </c>
      <c r="J81" s="42" t="inlineStr">
        <is>
          <t>Ingreso</t>
        </is>
      </c>
      <c r="K81" s="43" t="inlineStr">
        <is>
          <t>5- Ingresos</t>
        </is>
      </c>
      <c r="L81" s="43" t="inlineStr">
        <is>
          <t>Venta EXP</t>
        </is>
      </c>
      <c r="M81" s="43" t="n"/>
      <c r="N81" s="42" t="inlineStr">
        <is>
          <t>venta</t>
        </is>
      </c>
      <c r="O81" s="42" t="inlineStr">
        <is>
          <t>kg</t>
        </is>
      </c>
      <c r="P81" s="45" t="n">
        <v>-540</v>
      </c>
      <c r="Q81" s="46" t="n">
        <v>198450</v>
      </c>
      <c r="R81" s="45" t="n">
        <v>107163000</v>
      </c>
      <c r="S81" s="47" t="n">
        <v>-0.54</v>
      </c>
      <c r="T81" s="45" t="n">
        <v>-486</v>
      </c>
      <c r="U81" s="45" t="n">
        <v>0</v>
      </c>
      <c r="V81" s="45" t="n">
        <v>0</v>
      </c>
      <c r="W81" s="45" t="n">
        <v>47628</v>
      </c>
      <c r="X81" s="45" t="n">
        <v>47628</v>
      </c>
      <c r="Y81" s="45" t="n">
        <v>23814</v>
      </c>
      <c r="Z81" s="45" t="n">
        <v>0</v>
      </c>
      <c r="AA81" s="45" t="n">
        <v>0</v>
      </c>
      <c r="AB81" s="45" t="n">
        <v>0</v>
      </c>
      <c r="AC81" s="45" t="n">
        <v>0</v>
      </c>
      <c r="AD81" s="45" t="n">
        <v>0</v>
      </c>
      <c r="AE81" s="45" t="n">
        <v>0</v>
      </c>
      <c r="AF81" s="45" t="n">
        <v>0</v>
      </c>
    </row>
    <row r="82" ht="15" customHeight="1" s="176">
      <c r="A82" s="42" t="inlineStr">
        <is>
          <t>P-0079</t>
        </is>
      </c>
      <c r="B82" s="42" t="inlineStr">
        <is>
          <t>2026/27</t>
        </is>
      </c>
      <c r="C82" s="42" t="inlineStr">
        <is>
          <t>Asmara</t>
        </is>
      </c>
      <c r="D82" s="43" t="inlineStr">
        <is>
          <t>w. murcott 4,9 ha</t>
        </is>
      </c>
      <c r="E82" s="42" t="inlineStr">
        <is>
          <t>Mandarina</t>
        </is>
      </c>
      <c r="F82" s="42" t="inlineStr">
        <is>
          <t>W. murcott</t>
        </is>
      </c>
      <c r="G82" s="42" t="inlineStr">
        <is>
          <t>Producción</t>
        </is>
      </c>
      <c r="H82" s="44" t="n">
        <v>4.9</v>
      </c>
      <c r="I82" s="44" t="n">
        <v>4.9</v>
      </c>
      <c r="J82" s="42" t="inlineStr">
        <is>
          <t>Ingreso</t>
        </is>
      </c>
      <c r="K82" s="43" t="inlineStr">
        <is>
          <t>5- Ingresos</t>
        </is>
      </c>
      <c r="L82" s="43" t="inlineStr">
        <is>
          <t>Venta M.I.</t>
        </is>
      </c>
      <c r="M82" s="43" t="n"/>
      <c r="N82" s="42" t="inlineStr">
        <is>
          <t>venta</t>
        </is>
      </c>
      <c r="O82" s="42" t="inlineStr">
        <is>
          <t>kg</t>
        </is>
      </c>
      <c r="P82" s="45" t="n">
        <v>-50</v>
      </c>
      <c r="Q82" s="46" t="n">
        <v>24500</v>
      </c>
      <c r="R82" s="45" t="n">
        <v>1225000</v>
      </c>
      <c r="S82" s="47" t="n">
        <v>-0.0555555555555556</v>
      </c>
      <c r="T82" s="45" t="n">
        <v>-50</v>
      </c>
      <c r="U82" s="45" t="n">
        <v>0</v>
      </c>
      <c r="V82" s="45" t="n">
        <v>0</v>
      </c>
      <c r="W82" s="45" t="n">
        <v>544.444444444445</v>
      </c>
      <c r="X82" s="45" t="n">
        <v>544.444444444445</v>
      </c>
      <c r="Y82" s="45" t="n">
        <v>272.222222222222</v>
      </c>
      <c r="Z82" s="45" t="n">
        <v>0</v>
      </c>
      <c r="AA82" s="45" t="n">
        <v>0</v>
      </c>
      <c r="AB82" s="45" t="n">
        <v>0</v>
      </c>
      <c r="AC82" s="45" t="n">
        <v>0</v>
      </c>
      <c r="AD82" s="45" t="n">
        <v>0</v>
      </c>
      <c r="AE82" s="45" t="n">
        <v>0</v>
      </c>
      <c r="AF82" s="45" t="n">
        <v>0</v>
      </c>
    </row>
    <row r="83" ht="15" customHeight="1" s="176">
      <c r="A83" s="36" t="inlineStr">
        <is>
          <t>P-0080</t>
        </is>
      </c>
      <c r="B83" s="36" t="inlineStr">
        <is>
          <t>2026/27</t>
        </is>
      </c>
      <c r="C83" s="36" t="inlineStr">
        <is>
          <t>El Molle</t>
        </is>
      </c>
      <c r="D83" s="37" t="inlineStr">
        <is>
          <t>arrufatinas 5,74 ha</t>
        </is>
      </c>
      <c r="E83" s="36" t="inlineStr">
        <is>
          <t>Clementinas</t>
        </is>
      </c>
      <c r="F83" s="36" t="inlineStr">
        <is>
          <t>Arrufatinas</t>
        </is>
      </c>
      <c r="G83" s="36" t="inlineStr">
        <is>
          <t>Producción</t>
        </is>
      </c>
      <c r="H83" s="38" t="n">
        <v>5.74</v>
      </c>
      <c r="I83" s="38" t="n">
        <v>5.74</v>
      </c>
      <c r="J83" s="36" t="inlineStr">
        <is>
          <t>Costo</t>
        </is>
      </c>
      <c r="K83" s="37" t="inlineStr">
        <is>
          <t>1- M.O. directa</t>
        </is>
      </c>
      <c r="L83" s="37" t="inlineStr">
        <is>
          <t>1- Cosecha EXP</t>
        </is>
      </c>
      <c r="M83" s="37" t="inlineStr">
        <is>
          <t xml:space="preserve">450 kg/jh, 15 jh/cuadrilla </t>
        </is>
      </c>
      <c r="N83" s="36" t="inlineStr">
        <is>
          <t>trato</t>
        </is>
      </c>
      <c r="O83" s="36" t="inlineStr">
        <is>
          <t>kg</t>
        </is>
      </c>
      <c r="P83" s="39" t="n">
        <v>85</v>
      </c>
      <c r="Q83" s="40" t="n">
        <v>183680</v>
      </c>
      <c r="R83" s="39" t="n">
        <v>15612800</v>
      </c>
      <c r="S83" s="41" t="n">
        <v>0.0944444444444444</v>
      </c>
      <c r="T83" s="39" t="n">
        <v>85</v>
      </c>
      <c r="U83" s="39" t="n">
        <v>17347.5555555556</v>
      </c>
      <c r="V83" s="39" t="n">
        <v>0</v>
      </c>
      <c r="W83" s="39" t="n">
        <v>0</v>
      </c>
      <c r="X83" s="39" t="n">
        <v>0</v>
      </c>
      <c r="Y83" s="39" t="n">
        <v>0</v>
      </c>
      <c r="Z83" s="39" t="n">
        <v>0</v>
      </c>
      <c r="AA83" s="39" t="n">
        <v>0</v>
      </c>
      <c r="AB83" s="39" t="n">
        <v>0</v>
      </c>
      <c r="AC83" s="39" t="n">
        <v>0</v>
      </c>
      <c r="AD83" s="39" t="n">
        <v>0</v>
      </c>
      <c r="AE83" s="39" t="n">
        <v>0</v>
      </c>
      <c r="AF83" s="39" t="n">
        <v>0</v>
      </c>
    </row>
    <row r="84" ht="15" customHeight="1" s="176">
      <c r="A84" s="30" t="inlineStr">
        <is>
          <t>P-0081</t>
        </is>
      </c>
      <c r="B84" s="30" t="inlineStr">
        <is>
          <t>2026/27</t>
        </is>
      </c>
      <c r="C84" s="30" t="inlineStr">
        <is>
          <t>El Molle</t>
        </is>
      </c>
      <c r="D84" s="31" t="inlineStr">
        <is>
          <t>oronules 5,35 ha</t>
        </is>
      </c>
      <c r="E84" s="30" t="inlineStr">
        <is>
          <t>Clementinas</t>
        </is>
      </c>
      <c r="F84" s="30" t="inlineStr">
        <is>
          <t>Oronules</t>
        </is>
      </c>
      <c r="G84" s="30" t="inlineStr">
        <is>
          <t>Producción</t>
        </is>
      </c>
      <c r="H84" s="32" t="n">
        <v>5.35</v>
      </c>
      <c r="I84" s="32" t="n">
        <v>5.35</v>
      </c>
      <c r="J84" s="30" t="inlineStr">
        <is>
          <t>Costo</t>
        </is>
      </c>
      <c r="K84" s="31" t="inlineStr">
        <is>
          <t>2- M.O. indirecta</t>
        </is>
      </c>
      <c r="L84" s="31" t="inlineStr">
        <is>
          <t xml:space="preserve">1- ADM. GENERAL </t>
        </is>
      </c>
      <c r="M84" s="31" t="inlineStr">
        <is>
          <t>Administración general</t>
        </is>
      </c>
      <c r="N84" s="30" t="inlineStr">
        <is>
          <t>día</t>
        </is>
      </c>
      <c r="O84" s="30" t="inlineStr">
        <is>
          <t>ha</t>
        </is>
      </c>
      <c r="P84" s="33" t="n">
        <v>66600</v>
      </c>
      <c r="Q84" s="34" t="n">
        <v>5.35</v>
      </c>
      <c r="R84" s="33" t="n">
        <v>3561674.76</v>
      </c>
      <c r="S84" s="35" t="n">
        <v>0.0246568</v>
      </c>
      <c r="T84" s="33" t="n">
        <v>22.19112</v>
      </c>
      <c r="U84" s="33" t="n">
        <v>329.7847</v>
      </c>
      <c r="V84" s="33" t="n">
        <v>329.7847</v>
      </c>
      <c r="W84" s="33" t="n">
        <v>329.7847</v>
      </c>
      <c r="X84" s="33" t="n">
        <v>329.7847</v>
      </c>
      <c r="Y84" s="33" t="n">
        <v>329.7847</v>
      </c>
      <c r="Z84" s="33" t="n">
        <v>329.7847</v>
      </c>
      <c r="AA84" s="33" t="n">
        <v>329.7847</v>
      </c>
      <c r="AB84" s="33" t="n">
        <v>329.7847</v>
      </c>
      <c r="AC84" s="33" t="n">
        <v>329.7847</v>
      </c>
      <c r="AD84" s="33" t="n">
        <v>329.7847</v>
      </c>
      <c r="AE84" s="33" t="n">
        <v>329.7847</v>
      </c>
      <c r="AF84" s="33" t="n">
        <v>329.7847</v>
      </c>
    </row>
    <row r="85" ht="15" customHeight="1" s="176">
      <c r="A85" s="36" t="inlineStr">
        <is>
          <t>P-0082</t>
        </is>
      </c>
      <c r="B85" s="36" t="inlineStr">
        <is>
          <t>2026/27</t>
        </is>
      </c>
      <c r="C85" s="36" t="inlineStr">
        <is>
          <t>El Molle</t>
        </is>
      </c>
      <c r="D85" s="37" t="inlineStr">
        <is>
          <t>arrufatinas 5,74 ha</t>
        </is>
      </c>
      <c r="E85" s="36" t="inlineStr">
        <is>
          <t>Clementinas</t>
        </is>
      </c>
      <c r="F85" s="36" t="inlineStr">
        <is>
          <t>Arrufatinas</t>
        </is>
      </c>
      <c r="G85" s="36" t="inlineStr">
        <is>
          <t>Producción</t>
        </is>
      </c>
      <c r="H85" s="38" t="n">
        <v>5.74</v>
      </c>
      <c r="I85" s="38" t="n">
        <v>5.74</v>
      </c>
      <c r="J85" s="36" t="inlineStr">
        <is>
          <t>Costo</t>
        </is>
      </c>
      <c r="K85" s="37" t="inlineStr">
        <is>
          <t>2- M.O. indirecta</t>
        </is>
      </c>
      <c r="L85" s="37" t="inlineStr">
        <is>
          <t xml:space="preserve">1- ADM. GENERAL </t>
        </is>
      </c>
      <c r="M85" s="37" t="inlineStr">
        <is>
          <t>Administración general</t>
        </is>
      </c>
      <c r="N85" s="36" t="inlineStr">
        <is>
          <t>día</t>
        </is>
      </c>
      <c r="O85" s="36" t="inlineStr">
        <is>
          <t>ha</t>
        </is>
      </c>
      <c r="P85" s="39" t="n">
        <v>66600</v>
      </c>
      <c r="Q85" s="40" t="n">
        <v>5.74</v>
      </c>
      <c r="R85" s="39" t="n">
        <v>3821310.864</v>
      </c>
      <c r="S85" s="41" t="n">
        <v>0.02311575</v>
      </c>
      <c r="T85" s="39" t="n">
        <v>20.804175</v>
      </c>
      <c r="U85" s="39" t="n">
        <v>353.82508</v>
      </c>
      <c r="V85" s="39" t="n">
        <v>353.82508</v>
      </c>
      <c r="W85" s="39" t="n">
        <v>353.82508</v>
      </c>
      <c r="X85" s="39" t="n">
        <v>353.82508</v>
      </c>
      <c r="Y85" s="39" t="n">
        <v>353.82508</v>
      </c>
      <c r="Z85" s="39" t="n">
        <v>353.82508</v>
      </c>
      <c r="AA85" s="39" t="n">
        <v>353.82508</v>
      </c>
      <c r="AB85" s="39" t="n">
        <v>353.82508</v>
      </c>
      <c r="AC85" s="39" t="n">
        <v>353.82508</v>
      </c>
      <c r="AD85" s="39" t="n">
        <v>353.82508</v>
      </c>
      <c r="AE85" s="39" t="n">
        <v>353.82508</v>
      </c>
      <c r="AF85" s="39" t="n">
        <v>353.82508</v>
      </c>
    </row>
    <row r="86" ht="15" customHeight="1" s="176">
      <c r="A86" s="30" t="inlineStr">
        <is>
          <t>P-0083</t>
        </is>
      </c>
      <c r="B86" s="30" t="inlineStr">
        <is>
          <t>2026/27</t>
        </is>
      </c>
      <c r="C86" s="30" t="inlineStr">
        <is>
          <t>El Molle</t>
        </is>
      </c>
      <c r="D86" s="31" t="inlineStr">
        <is>
          <t>orogrande 8,11 ha</t>
        </is>
      </c>
      <c r="E86" s="30" t="inlineStr">
        <is>
          <t>Clementinas</t>
        </is>
      </c>
      <c r="F86" s="30" t="inlineStr">
        <is>
          <t>Orogrande</t>
        </is>
      </c>
      <c r="G86" s="30" t="inlineStr">
        <is>
          <t>Producción</t>
        </is>
      </c>
      <c r="H86" s="32" t="n">
        <v>8.109999999999999</v>
      </c>
      <c r="I86" s="32" t="n">
        <v>8.109999999999999</v>
      </c>
      <c r="J86" s="30" t="inlineStr">
        <is>
          <t>Costo</t>
        </is>
      </c>
      <c r="K86" s="31" t="inlineStr">
        <is>
          <t>2- M.O. indirecta</t>
        </is>
      </c>
      <c r="L86" s="31" t="inlineStr">
        <is>
          <t xml:space="preserve">1- ADM. GENERAL </t>
        </is>
      </c>
      <c r="M86" s="31" t="inlineStr">
        <is>
          <t>Administración general</t>
        </is>
      </c>
      <c r="N86" s="30" t="inlineStr">
        <is>
          <t>día</t>
        </is>
      </c>
      <c r="O86" s="30" t="inlineStr">
        <is>
          <t>ha</t>
        </is>
      </c>
      <c r="P86" s="33" t="n">
        <v>66600</v>
      </c>
      <c r="Q86" s="34" t="n">
        <v>8.109999999999999</v>
      </c>
      <c r="R86" s="33" t="n">
        <v>5399099.496</v>
      </c>
      <c r="S86" s="35" t="n">
        <v>0.0211344</v>
      </c>
      <c r="T86" s="33" t="n">
        <v>19.02096</v>
      </c>
      <c r="U86" s="33" t="n">
        <v>499.91662</v>
      </c>
      <c r="V86" s="33" t="n">
        <v>499.91662</v>
      </c>
      <c r="W86" s="33" t="n">
        <v>499.91662</v>
      </c>
      <c r="X86" s="33" t="n">
        <v>499.91662</v>
      </c>
      <c r="Y86" s="33" t="n">
        <v>499.91662</v>
      </c>
      <c r="Z86" s="33" t="n">
        <v>499.91662</v>
      </c>
      <c r="AA86" s="33" t="n">
        <v>499.91662</v>
      </c>
      <c r="AB86" s="33" t="n">
        <v>499.91662</v>
      </c>
      <c r="AC86" s="33" t="n">
        <v>499.91662</v>
      </c>
      <c r="AD86" s="33" t="n">
        <v>499.91662</v>
      </c>
      <c r="AE86" s="33" t="n">
        <v>499.91662</v>
      </c>
      <c r="AF86" s="33" t="n">
        <v>499.91662</v>
      </c>
    </row>
    <row r="87" ht="15" customHeight="1" s="176">
      <c r="A87" s="36" t="inlineStr">
        <is>
          <t>P-0084</t>
        </is>
      </c>
      <c r="B87" s="36" t="inlineStr">
        <is>
          <t>2026/27</t>
        </is>
      </c>
      <c r="C87" s="36" t="inlineStr">
        <is>
          <t>El Molle</t>
        </is>
      </c>
      <c r="D87" s="37" t="inlineStr">
        <is>
          <t>Wonderful 5,25 ha</t>
        </is>
      </c>
      <c r="E87" s="36" t="inlineStr">
        <is>
          <t>Granados</t>
        </is>
      </c>
      <c r="F87" s="36" t="inlineStr">
        <is>
          <t>Wonderfull</t>
        </is>
      </c>
      <c r="G87" s="36" t="inlineStr">
        <is>
          <t>Producción</t>
        </is>
      </c>
      <c r="H87" s="38" t="n">
        <v>5.24</v>
      </c>
      <c r="I87" s="38" t="n">
        <v>5.24</v>
      </c>
      <c r="J87" s="36" t="inlineStr">
        <is>
          <t>Costo</t>
        </is>
      </c>
      <c r="K87" s="37" t="inlineStr">
        <is>
          <t>2- M.O. indirecta</t>
        </is>
      </c>
      <c r="L87" s="37" t="inlineStr">
        <is>
          <t xml:space="preserve">1- ADM. GENERAL </t>
        </is>
      </c>
      <c r="M87" s="37" t="inlineStr">
        <is>
          <t>Administración general</t>
        </is>
      </c>
      <c r="N87" s="36" t="inlineStr">
        <is>
          <t>día</t>
        </is>
      </c>
      <c r="O87" s="36" t="inlineStr">
        <is>
          <t>ha</t>
        </is>
      </c>
      <c r="P87" s="39" t="n">
        <v>66600</v>
      </c>
      <c r="Q87" s="40" t="n">
        <v>5.24</v>
      </c>
      <c r="R87" s="39" t="n">
        <v>3488444.064</v>
      </c>
      <c r="S87" s="41" t="n">
        <v>0.0336229090909091</v>
      </c>
      <c r="T87" s="39" t="n">
        <v>30.2606181818182</v>
      </c>
      <c r="U87" s="39" t="n">
        <v>323.00408</v>
      </c>
      <c r="V87" s="39" t="n">
        <v>323.00408</v>
      </c>
      <c r="W87" s="39" t="n">
        <v>323.00408</v>
      </c>
      <c r="X87" s="39" t="n">
        <v>323.00408</v>
      </c>
      <c r="Y87" s="39" t="n">
        <v>323.00408</v>
      </c>
      <c r="Z87" s="39" t="n">
        <v>323.00408</v>
      </c>
      <c r="AA87" s="39" t="n">
        <v>323.00408</v>
      </c>
      <c r="AB87" s="39" t="n">
        <v>323.00408</v>
      </c>
      <c r="AC87" s="39" t="n">
        <v>323.00408</v>
      </c>
      <c r="AD87" s="39" t="n">
        <v>323.00408</v>
      </c>
      <c r="AE87" s="39" t="n">
        <v>323.00408</v>
      </c>
      <c r="AF87" s="39" t="n">
        <v>323.00408</v>
      </c>
    </row>
    <row r="88" ht="15" customHeight="1" s="176">
      <c r="A88" s="30" t="inlineStr">
        <is>
          <t>P-0085</t>
        </is>
      </c>
      <c r="B88" s="30" t="inlineStr">
        <is>
          <t>2026/27</t>
        </is>
      </c>
      <c r="C88" s="30" t="inlineStr">
        <is>
          <t>El Molle</t>
        </is>
      </c>
      <c r="D88" s="31" t="inlineStr">
        <is>
          <t>arrufatinas 5,74 ha</t>
        </is>
      </c>
      <c r="E88" s="30" t="inlineStr">
        <is>
          <t>Clementinas</t>
        </is>
      </c>
      <c r="F88" s="30" t="inlineStr">
        <is>
          <t>Arrufatinas</t>
        </is>
      </c>
      <c r="G88" s="30" t="inlineStr">
        <is>
          <t>Producción</t>
        </is>
      </c>
      <c r="H88" s="32" t="n">
        <v>5.74</v>
      </c>
      <c r="I88" s="32" t="n">
        <v>5.74</v>
      </c>
      <c r="J88" s="30" t="inlineStr">
        <is>
          <t>Costo</t>
        </is>
      </c>
      <c r="K88" s="31" t="inlineStr">
        <is>
          <t>3- Gasto general</t>
        </is>
      </c>
      <c r="L88" s="31" t="inlineStr">
        <is>
          <t>1- GASTOS DEL PERSONAL</t>
        </is>
      </c>
      <c r="M88" s="31" t="inlineStr">
        <is>
          <t>Alimentacion</t>
        </is>
      </c>
      <c r="N88" s="30" t="n"/>
      <c r="O88" s="30" t="inlineStr">
        <is>
          <t>ha</t>
        </is>
      </c>
      <c r="P88" s="33" t="n">
        <v>0</v>
      </c>
      <c r="Q88" s="34" t="n">
        <v>5.74</v>
      </c>
      <c r="R88" s="33" t="n">
        <v>0</v>
      </c>
      <c r="S88" s="35" t="n">
        <v>0</v>
      </c>
      <c r="T88" s="33" t="n">
        <v>0</v>
      </c>
      <c r="U88" s="33" t="n">
        <v>0</v>
      </c>
      <c r="V88" s="33" t="n">
        <v>0</v>
      </c>
      <c r="W88" s="33" t="n">
        <v>0</v>
      </c>
      <c r="X88" s="33" t="n">
        <v>0</v>
      </c>
      <c r="Y88" s="33" t="n">
        <v>0</v>
      </c>
      <c r="Z88" s="33" t="n">
        <v>0</v>
      </c>
      <c r="AA88" s="33" t="n">
        <v>0</v>
      </c>
      <c r="AB88" s="33" t="n">
        <v>0</v>
      </c>
      <c r="AC88" s="33" t="n">
        <v>0</v>
      </c>
      <c r="AD88" s="33" t="n">
        <v>0</v>
      </c>
      <c r="AE88" s="33" t="n">
        <v>0</v>
      </c>
      <c r="AF88" s="33" t="n">
        <v>0</v>
      </c>
    </row>
    <row r="89" ht="15" customHeight="1" s="176">
      <c r="A89" s="36" t="inlineStr">
        <is>
          <t>P-0086</t>
        </is>
      </c>
      <c r="B89" s="36" t="inlineStr">
        <is>
          <t>2026/27</t>
        </is>
      </c>
      <c r="C89" s="36" t="inlineStr">
        <is>
          <t>El Molle</t>
        </is>
      </c>
      <c r="D89" s="37" t="inlineStr">
        <is>
          <t>orogrande 8,11 ha</t>
        </is>
      </c>
      <c r="E89" s="36" t="inlineStr">
        <is>
          <t>Clementinas</t>
        </is>
      </c>
      <c r="F89" s="36" t="inlineStr">
        <is>
          <t>Orogrande</t>
        </is>
      </c>
      <c r="G89" s="36" t="inlineStr">
        <is>
          <t>Producción</t>
        </is>
      </c>
      <c r="H89" s="38" t="n">
        <v>8.109999999999999</v>
      </c>
      <c r="I89" s="38" t="n">
        <v>8.109999999999999</v>
      </c>
      <c r="J89" s="36" t="inlineStr">
        <is>
          <t>Costo</t>
        </is>
      </c>
      <c r="K89" s="37" t="inlineStr">
        <is>
          <t>3- Gasto general</t>
        </is>
      </c>
      <c r="L89" s="37" t="inlineStr">
        <is>
          <t>2- PRODUCTOS QUIMICOS</t>
        </is>
      </c>
      <c r="M89" s="37" t="n"/>
      <c r="N89" s="36" t="n"/>
      <c r="O89" s="36" t="inlineStr">
        <is>
          <t>ha</t>
        </is>
      </c>
      <c r="P89" s="39" t="n">
        <v>270225</v>
      </c>
      <c r="Q89" s="40" t="n">
        <v>8.109999999999999</v>
      </c>
      <c r="R89" s="39" t="n">
        <v>21906481.401</v>
      </c>
      <c r="S89" s="41" t="n">
        <v>0.08575140000000001</v>
      </c>
      <c r="T89" s="39" t="n">
        <v>77.17626</v>
      </c>
      <c r="U89" s="39" t="n">
        <v>2028.3779075</v>
      </c>
      <c r="V89" s="39" t="n">
        <v>2028.3779075</v>
      </c>
      <c r="W89" s="39" t="n">
        <v>2028.3779075</v>
      </c>
      <c r="X89" s="39" t="n">
        <v>2028.3779075</v>
      </c>
      <c r="Y89" s="39" t="n">
        <v>2028.3779075</v>
      </c>
      <c r="Z89" s="39" t="n">
        <v>2028.3779075</v>
      </c>
      <c r="AA89" s="39" t="n">
        <v>2028.3779075</v>
      </c>
      <c r="AB89" s="39" t="n">
        <v>2028.3779075</v>
      </c>
      <c r="AC89" s="39" t="n">
        <v>2028.3779075</v>
      </c>
      <c r="AD89" s="39" t="n">
        <v>2028.3779075</v>
      </c>
      <c r="AE89" s="39" t="n">
        <v>2028.3779075</v>
      </c>
      <c r="AF89" s="39" t="n">
        <v>2028.3779075</v>
      </c>
    </row>
    <row r="90" ht="15" customHeight="1" s="176">
      <c r="A90" s="30" t="inlineStr">
        <is>
          <t>P-0087</t>
        </is>
      </c>
      <c r="B90" s="30" t="inlineStr">
        <is>
          <t>2026/27</t>
        </is>
      </c>
      <c r="C90" s="30" t="inlineStr">
        <is>
          <t>El Molle</t>
        </is>
      </c>
      <c r="D90" s="31" t="inlineStr">
        <is>
          <t>orogrande 8,11 ha</t>
        </is>
      </c>
      <c r="E90" s="30" t="inlineStr">
        <is>
          <t>Clementinas</t>
        </is>
      </c>
      <c r="F90" s="30" t="inlineStr">
        <is>
          <t>Orogrande</t>
        </is>
      </c>
      <c r="G90" s="30" t="inlineStr">
        <is>
          <t>Producción</t>
        </is>
      </c>
      <c r="H90" s="32" t="n">
        <v>8.109999999999999</v>
      </c>
      <c r="I90" s="32" t="n">
        <v>8.109999999999999</v>
      </c>
      <c r="J90" s="30" t="inlineStr">
        <is>
          <t>Costo</t>
        </is>
      </c>
      <c r="K90" s="31" t="inlineStr">
        <is>
          <t>3- Gasto general</t>
        </is>
      </c>
      <c r="L90" s="31" t="inlineStr">
        <is>
          <t>3- COMBUSTIBLE Y ENERGIA</t>
        </is>
      </c>
      <c r="M90" s="31" t="n"/>
      <c r="N90" s="30" t="n"/>
      <c r="O90" s="30" t="inlineStr">
        <is>
          <t>ha</t>
        </is>
      </c>
      <c r="P90" s="33" t="n">
        <v>136200</v>
      </c>
      <c r="Q90" s="34" t="n">
        <v>8.109999999999999</v>
      </c>
      <c r="R90" s="33" t="n">
        <v>11041401.672</v>
      </c>
      <c r="S90" s="35" t="n">
        <v>0.0432208</v>
      </c>
      <c r="T90" s="33" t="n">
        <v>38.89872</v>
      </c>
      <c r="U90" s="33" t="n">
        <v>1022.35200666667</v>
      </c>
      <c r="V90" s="33" t="n">
        <v>1022.35200666667</v>
      </c>
      <c r="W90" s="33" t="n">
        <v>1022.35200666667</v>
      </c>
      <c r="X90" s="33" t="n">
        <v>1022.35200666667</v>
      </c>
      <c r="Y90" s="33" t="n">
        <v>1022.35200666667</v>
      </c>
      <c r="Z90" s="33" t="n">
        <v>1022.35200666667</v>
      </c>
      <c r="AA90" s="33" t="n">
        <v>1022.35200666667</v>
      </c>
      <c r="AB90" s="33" t="n">
        <v>1022.35200666667</v>
      </c>
      <c r="AC90" s="33" t="n">
        <v>1022.35200666667</v>
      </c>
      <c r="AD90" s="33" t="n">
        <v>1022.35200666667</v>
      </c>
      <c r="AE90" s="33" t="n">
        <v>1022.35200666667</v>
      </c>
      <c r="AF90" s="33" t="n">
        <v>1022.35200666667</v>
      </c>
    </row>
    <row r="91" ht="15" customHeight="1" s="176">
      <c r="A91" s="36" t="inlineStr">
        <is>
          <t>P-0088</t>
        </is>
      </c>
      <c r="B91" s="36" t="inlineStr">
        <is>
          <t>2026/27</t>
        </is>
      </c>
      <c r="C91" s="36" t="inlineStr">
        <is>
          <t>El Molle</t>
        </is>
      </c>
      <c r="D91" s="37" t="inlineStr">
        <is>
          <t>arrufatinas 5,74 ha</t>
        </is>
      </c>
      <c r="E91" s="36" t="inlineStr">
        <is>
          <t>Clementinas</t>
        </is>
      </c>
      <c r="F91" s="36" t="inlineStr">
        <is>
          <t>Arrufatinas</t>
        </is>
      </c>
      <c r="G91" s="36" t="inlineStr">
        <is>
          <t>Producción</t>
        </is>
      </c>
      <c r="H91" s="38" t="n">
        <v>5.74</v>
      </c>
      <c r="I91" s="38" t="n">
        <v>5.74</v>
      </c>
      <c r="J91" s="36" t="inlineStr">
        <is>
          <t>Costo</t>
        </is>
      </c>
      <c r="K91" s="37" t="inlineStr">
        <is>
          <t>3- Gasto general</t>
        </is>
      </c>
      <c r="L91" s="37" t="inlineStr">
        <is>
          <t>2- PRODUCTOS QUIMICOS</t>
        </is>
      </c>
      <c r="M91" s="37" t="n"/>
      <c r="N91" s="36" t="n"/>
      <c r="O91" s="36" t="inlineStr">
        <is>
          <t>ha</t>
        </is>
      </c>
      <c r="P91" s="39" t="n">
        <v>271212.634392077</v>
      </c>
      <c r="Q91" s="40" t="n">
        <v>5.74</v>
      </c>
      <c r="R91" s="39" t="n">
        <v>15561378.1720196</v>
      </c>
      <c r="S91" s="41" t="n">
        <v>0.09413338518691659</v>
      </c>
      <c r="T91" s="39" t="n">
        <v>84.720046668225</v>
      </c>
      <c r="U91" s="39" t="n">
        <v>1440.86834926107</v>
      </c>
      <c r="V91" s="39" t="n">
        <v>1440.86834926107</v>
      </c>
      <c r="W91" s="39" t="n">
        <v>1440.86834926107</v>
      </c>
      <c r="X91" s="39" t="n">
        <v>1440.86834926107</v>
      </c>
      <c r="Y91" s="39" t="n">
        <v>1440.86834926107</v>
      </c>
      <c r="Z91" s="39" t="n">
        <v>1440.86834926107</v>
      </c>
      <c r="AA91" s="39" t="n">
        <v>1440.86834926107</v>
      </c>
      <c r="AB91" s="39" t="n">
        <v>1440.86834926107</v>
      </c>
      <c r="AC91" s="39" t="n">
        <v>1440.86834926107</v>
      </c>
      <c r="AD91" s="39" t="n">
        <v>1440.86834926107</v>
      </c>
      <c r="AE91" s="39" t="n">
        <v>1440.86834926107</v>
      </c>
      <c r="AF91" s="39" t="n">
        <v>1440.86834926107</v>
      </c>
    </row>
    <row r="92" ht="15" customHeight="1" s="176">
      <c r="A92" s="30" t="inlineStr">
        <is>
          <t>P-0089</t>
        </is>
      </c>
      <c r="B92" s="30" t="inlineStr">
        <is>
          <t>2026/27</t>
        </is>
      </c>
      <c r="C92" s="30" t="inlineStr">
        <is>
          <t>El Molle</t>
        </is>
      </c>
      <c r="D92" s="31" t="inlineStr">
        <is>
          <t>arrufatinas 5,74 ha</t>
        </is>
      </c>
      <c r="E92" s="30" t="inlineStr">
        <is>
          <t>Clementinas</t>
        </is>
      </c>
      <c r="F92" s="30" t="inlineStr">
        <is>
          <t>Arrufatinas</t>
        </is>
      </c>
      <c r="G92" s="30" t="inlineStr">
        <is>
          <t>Producción</t>
        </is>
      </c>
      <c r="H92" s="32" t="n">
        <v>5.74</v>
      </c>
      <c r="I92" s="32" t="n">
        <v>5.74</v>
      </c>
      <c r="J92" s="30" t="inlineStr">
        <is>
          <t>Costo</t>
        </is>
      </c>
      <c r="K92" s="31" t="inlineStr">
        <is>
          <t>3- Gasto general</t>
        </is>
      </c>
      <c r="L92" s="31" t="inlineStr">
        <is>
          <t>3- COMBUSTIBLE Y ENERGIA</t>
        </is>
      </c>
      <c r="M92" s="31" t="n"/>
      <c r="N92" s="30" t="n"/>
      <c r="O92" s="30" t="inlineStr">
        <is>
          <t>ha</t>
        </is>
      </c>
      <c r="P92" s="33" t="n">
        <v>136200</v>
      </c>
      <c r="Q92" s="34" t="n">
        <v>5.74</v>
      </c>
      <c r="R92" s="33" t="n">
        <v>7814752.848</v>
      </c>
      <c r="S92" s="35" t="n">
        <v>0.04727275</v>
      </c>
      <c r="T92" s="33" t="n">
        <v>42.545475</v>
      </c>
      <c r="U92" s="33" t="n">
        <v>723.588226666667</v>
      </c>
      <c r="V92" s="33" t="n">
        <v>723.588226666667</v>
      </c>
      <c r="W92" s="33" t="n">
        <v>723.588226666667</v>
      </c>
      <c r="X92" s="33" t="n">
        <v>723.588226666667</v>
      </c>
      <c r="Y92" s="33" t="n">
        <v>723.588226666667</v>
      </c>
      <c r="Z92" s="33" t="n">
        <v>723.588226666667</v>
      </c>
      <c r="AA92" s="33" t="n">
        <v>723.588226666667</v>
      </c>
      <c r="AB92" s="33" t="n">
        <v>723.588226666667</v>
      </c>
      <c r="AC92" s="33" t="n">
        <v>723.588226666667</v>
      </c>
      <c r="AD92" s="33" t="n">
        <v>723.588226666667</v>
      </c>
      <c r="AE92" s="33" t="n">
        <v>723.588226666667</v>
      </c>
      <c r="AF92" s="33" t="n">
        <v>723.588226666667</v>
      </c>
    </row>
    <row r="93" ht="15" customHeight="1" s="176">
      <c r="A93" s="36" t="inlineStr">
        <is>
          <t>P-0090</t>
        </is>
      </c>
      <c r="B93" s="36" t="inlineStr">
        <is>
          <t>2026/27</t>
        </is>
      </c>
      <c r="C93" s="36" t="inlineStr">
        <is>
          <t>El Molle</t>
        </is>
      </c>
      <c r="D93" s="37" t="inlineStr">
        <is>
          <t>orogrande 8,11 ha</t>
        </is>
      </c>
      <c r="E93" s="36" t="inlineStr">
        <is>
          <t>Clementinas</t>
        </is>
      </c>
      <c r="F93" s="36" t="inlineStr">
        <is>
          <t>Orogrande</t>
        </is>
      </c>
      <c r="G93" s="36" t="inlineStr">
        <is>
          <t>Producción</t>
        </is>
      </c>
      <c r="H93" s="38" t="n">
        <v>8.109999999999999</v>
      </c>
      <c r="I93" s="38" t="n">
        <v>8.109999999999999</v>
      </c>
      <c r="J93" s="36" t="inlineStr">
        <is>
          <t>Costo</t>
        </is>
      </c>
      <c r="K93" s="37" t="inlineStr">
        <is>
          <t>3- Gasto general</t>
        </is>
      </c>
      <c r="L93" s="37" t="inlineStr">
        <is>
          <t>1- GASTOS DEL PERSONAL</t>
        </is>
      </c>
      <c r="M93" s="37" t="inlineStr">
        <is>
          <t>Alimentacion</t>
        </is>
      </c>
      <c r="N93" s="36" t="n"/>
      <c r="O93" s="36" t="inlineStr">
        <is>
          <t>ha</t>
        </is>
      </c>
      <c r="P93" s="39" t="n">
        <v>0</v>
      </c>
      <c r="Q93" s="40" t="n">
        <v>8.109999999999999</v>
      </c>
      <c r="R93" s="39" t="n">
        <v>0</v>
      </c>
      <c r="S93" s="41" t="n">
        <v>0</v>
      </c>
      <c r="T93" s="39" t="n">
        <v>0</v>
      </c>
      <c r="U93" s="39" t="n">
        <v>0</v>
      </c>
      <c r="V93" s="39" t="n">
        <v>0</v>
      </c>
      <c r="W93" s="39" t="n">
        <v>0</v>
      </c>
      <c r="X93" s="39" t="n">
        <v>0</v>
      </c>
      <c r="Y93" s="39" t="n">
        <v>0</v>
      </c>
      <c r="Z93" s="39" t="n">
        <v>0</v>
      </c>
      <c r="AA93" s="39" t="n">
        <v>0</v>
      </c>
      <c r="AB93" s="39" t="n">
        <v>0</v>
      </c>
      <c r="AC93" s="39" t="n">
        <v>0</v>
      </c>
      <c r="AD93" s="39" t="n">
        <v>0</v>
      </c>
      <c r="AE93" s="39" t="n">
        <v>0</v>
      </c>
      <c r="AF93" s="39" t="n">
        <v>0</v>
      </c>
    </row>
    <row r="94" ht="15" customHeight="1" s="176">
      <c r="A94" s="30" t="inlineStr">
        <is>
          <t>P-0091</t>
        </is>
      </c>
      <c r="B94" s="30" t="inlineStr">
        <is>
          <t>2026/27</t>
        </is>
      </c>
      <c r="C94" s="30" t="inlineStr">
        <is>
          <t>El Molle</t>
        </is>
      </c>
      <c r="D94" s="31" t="inlineStr">
        <is>
          <t>oronules 5,35 ha</t>
        </is>
      </c>
      <c r="E94" s="30" t="inlineStr">
        <is>
          <t>Clementinas</t>
        </is>
      </c>
      <c r="F94" s="30" t="inlineStr">
        <is>
          <t>Oronules</t>
        </is>
      </c>
      <c r="G94" s="30" t="inlineStr">
        <is>
          <t>Producción</t>
        </is>
      </c>
      <c r="H94" s="32" t="n">
        <v>5.35</v>
      </c>
      <c r="I94" s="32" t="n">
        <v>5.35</v>
      </c>
      <c r="J94" s="30" t="inlineStr">
        <is>
          <t>Costo</t>
        </is>
      </c>
      <c r="K94" s="31" t="inlineStr">
        <is>
          <t>3- Gasto general</t>
        </is>
      </c>
      <c r="L94" s="31" t="inlineStr">
        <is>
          <t>1- GASTOS DEL PERSONAL</t>
        </is>
      </c>
      <c r="M94" s="31" t="inlineStr">
        <is>
          <t>Alimentacion</t>
        </is>
      </c>
      <c r="N94" s="30" t="n"/>
      <c r="O94" s="30" t="inlineStr">
        <is>
          <t>ha</t>
        </is>
      </c>
      <c r="P94" s="33" t="n">
        <v>0</v>
      </c>
      <c r="Q94" s="34" t="n">
        <v>5.35</v>
      </c>
      <c r="R94" s="33" t="n">
        <v>0</v>
      </c>
      <c r="S94" s="35" t="n">
        <v>0</v>
      </c>
      <c r="T94" s="33" t="n">
        <v>0</v>
      </c>
      <c r="U94" s="33" t="n">
        <v>0</v>
      </c>
      <c r="V94" s="33" t="n">
        <v>0</v>
      </c>
      <c r="W94" s="33" t="n">
        <v>0</v>
      </c>
      <c r="X94" s="33" t="n">
        <v>0</v>
      </c>
      <c r="Y94" s="33" t="n">
        <v>0</v>
      </c>
      <c r="Z94" s="33" t="n">
        <v>0</v>
      </c>
      <c r="AA94" s="33" t="n">
        <v>0</v>
      </c>
      <c r="AB94" s="33" t="n">
        <v>0</v>
      </c>
      <c r="AC94" s="33" t="n">
        <v>0</v>
      </c>
      <c r="AD94" s="33" t="n">
        <v>0</v>
      </c>
      <c r="AE94" s="33" t="n">
        <v>0</v>
      </c>
      <c r="AF94" s="33" t="n">
        <v>0</v>
      </c>
    </row>
    <row r="95" ht="15" customHeight="1" s="176">
      <c r="A95" s="36" t="inlineStr">
        <is>
          <t>P-0092</t>
        </is>
      </c>
      <c r="B95" s="36" t="inlineStr">
        <is>
          <t>2026/27</t>
        </is>
      </c>
      <c r="C95" s="36" t="inlineStr">
        <is>
          <t>El Molle</t>
        </is>
      </c>
      <c r="D95" s="37" t="inlineStr">
        <is>
          <t>Wonderful 5,25 ha</t>
        </is>
      </c>
      <c r="E95" s="36" t="inlineStr">
        <is>
          <t>Granados</t>
        </is>
      </c>
      <c r="F95" s="36" t="inlineStr">
        <is>
          <t>Wonderfull</t>
        </is>
      </c>
      <c r="G95" s="36" t="inlineStr">
        <is>
          <t>Producción</t>
        </is>
      </c>
      <c r="H95" s="38" t="n">
        <v>5.24</v>
      </c>
      <c r="I95" s="38" t="n">
        <v>5.24</v>
      </c>
      <c r="J95" s="36" t="inlineStr">
        <is>
          <t>Costo</t>
        </is>
      </c>
      <c r="K95" s="37" t="inlineStr">
        <is>
          <t>1- M.O. directa</t>
        </is>
      </c>
      <c r="L95" s="37" t="inlineStr">
        <is>
          <t xml:space="preserve">11- mantención de cercos </t>
        </is>
      </c>
      <c r="M95" s="37" t="inlineStr">
        <is>
          <t>Operacion predio</t>
        </is>
      </c>
      <c r="N95" s="36" t="inlineStr">
        <is>
          <t>día</t>
        </is>
      </c>
      <c r="O95" s="36" t="inlineStr">
        <is>
          <t>ha</t>
        </is>
      </c>
      <c r="P95" s="39" t="n">
        <v>38500</v>
      </c>
      <c r="Q95" s="40" t="n">
        <v>5.24</v>
      </c>
      <c r="R95" s="39" t="n">
        <v>706090</v>
      </c>
      <c r="S95" s="41" t="n">
        <v>0.00680555555555556</v>
      </c>
      <c r="T95" s="39" t="n">
        <v>6.125</v>
      </c>
      <c r="U95" s="39" t="n">
        <v>0</v>
      </c>
      <c r="V95" s="39" t="n">
        <v>0</v>
      </c>
      <c r="W95" s="39" t="n">
        <v>0</v>
      </c>
      <c r="X95" s="39" t="n">
        <v>0</v>
      </c>
      <c r="Y95" s="39" t="n">
        <v>0</v>
      </c>
      <c r="Z95" s="39" t="n">
        <v>112.077777777778</v>
      </c>
      <c r="AA95" s="39" t="n">
        <v>112.077777777778</v>
      </c>
      <c r="AB95" s="39" t="n">
        <v>112.077777777778</v>
      </c>
      <c r="AC95" s="39" t="n">
        <v>112.077777777778</v>
      </c>
      <c r="AD95" s="39" t="n">
        <v>112.077777777778</v>
      </c>
      <c r="AE95" s="39" t="n">
        <v>112.077777777778</v>
      </c>
      <c r="AF95" s="39" t="n">
        <v>112.077777777778</v>
      </c>
    </row>
    <row r="96" ht="15" customHeight="1" s="176">
      <c r="A96" s="30" t="inlineStr">
        <is>
          <t>P-0093</t>
        </is>
      </c>
      <c r="B96" s="30" t="inlineStr">
        <is>
          <t>2026/27</t>
        </is>
      </c>
      <c r="C96" s="30" t="inlineStr">
        <is>
          <t>El Molle</t>
        </is>
      </c>
      <c r="D96" s="31" t="inlineStr">
        <is>
          <t>oronules 5,35 ha</t>
        </is>
      </c>
      <c r="E96" s="30" t="inlineStr">
        <is>
          <t>Clementinas</t>
        </is>
      </c>
      <c r="F96" s="30" t="inlineStr">
        <is>
          <t>Oronules</t>
        </is>
      </c>
      <c r="G96" s="30" t="inlineStr">
        <is>
          <t>Producción</t>
        </is>
      </c>
      <c r="H96" s="32" t="n">
        <v>5.35</v>
      </c>
      <c r="I96" s="32" t="n">
        <v>5.35</v>
      </c>
      <c r="J96" s="30" t="inlineStr">
        <is>
          <t>Costo</t>
        </is>
      </c>
      <c r="K96" s="31" t="inlineStr">
        <is>
          <t>3- Gasto general</t>
        </is>
      </c>
      <c r="L96" s="31" t="inlineStr">
        <is>
          <t>5- OTROS COSTOS  (fletes, alambres, mallas)</t>
        </is>
      </c>
      <c r="M96" s="31" t="n"/>
      <c r="N96" s="30" t="n"/>
      <c r="O96" s="30" t="inlineStr">
        <is>
          <t>ha</t>
        </is>
      </c>
      <c r="P96" s="33" t="n">
        <v>100000</v>
      </c>
      <c r="Q96" s="34" t="n">
        <v>5.35</v>
      </c>
      <c r="R96" s="33" t="n">
        <v>5347860</v>
      </c>
      <c r="S96" s="35" t="n">
        <v>0.0370222222222222</v>
      </c>
      <c r="T96" s="33" t="n">
        <v>33.32</v>
      </c>
      <c r="U96" s="33" t="n">
        <v>495.172222222222</v>
      </c>
      <c r="V96" s="33" t="n">
        <v>495.172222222222</v>
      </c>
      <c r="W96" s="33" t="n">
        <v>495.172222222222</v>
      </c>
      <c r="X96" s="33" t="n">
        <v>495.172222222222</v>
      </c>
      <c r="Y96" s="33" t="n">
        <v>495.172222222222</v>
      </c>
      <c r="Z96" s="33" t="n">
        <v>495.172222222222</v>
      </c>
      <c r="AA96" s="33" t="n">
        <v>495.172222222222</v>
      </c>
      <c r="AB96" s="33" t="n">
        <v>495.172222222222</v>
      </c>
      <c r="AC96" s="33" t="n">
        <v>495.172222222222</v>
      </c>
      <c r="AD96" s="33" t="n">
        <v>495.172222222222</v>
      </c>
      <c r="AE96" s="33" t="n">
        <v>495.172222222222</v>
      </c>
      <c r="AF96" s="33" t="n">
        <v>495.172222222222</v>
      </c>
    </row>
    <row r="97" ht="15" customHeight="1" s="176">
      <c r="A97" s="36" t="inlineStr">
        <is>
          <t>P-0094</t>
        </is>
      </c>
      <c r="B97" s="36" t="inlineStr">
        <is>
          <t>2026/27</t>
        </is>
      </c>
      <c r="C97" s="36" t="inlineStr">
        <is>
          <t>El Molle</t>
        </is>
      </c>
      <c r="D97" s="37" t="inlineStr">
        <is>
          <t>Wonderful 5,25 ha</t>
        </is>
      </c>
      <c r="E97" s="36" t="inlineStr">
        <is>
          <t>Granados</t>
        </is>
      </c>
      <c r="F97" s="36" t="inlineStr">
        <is>
          <t>Wonderfull</t>
        </is>
      </c>
      <c r="G97" s="36" t="inlineStr">
        <is>
          <t>Producción</t>
        </is>
      </c>
      <c r="H97" s="38" t="n">
        <v>5.24</v>
      </c>
      <c r="I97" s="38" t="n">
        <v>5.24</v>
      </c>
      <c r="J97" s="36" t="inlineStr">
        <is>
          <t>Costo</t>
        </is>
      </c>
      <c r="K97" s="37" t="inlineStr">
        <is>
          <t>3- Gasto general</t>
        </is>
      </c>
      <c r="L97" s="37" t="inlineStr">
        <is>
          <t>1- GASTOS DEL PERSONAL</t>
        </is>
      </c>
      <c r="M97" s="37" t="inlineStr">
        <is>
          <t>Alimentacion</t>
        </is>
      </c>
      <c r="N97" s="36" t="n"/>
      <c r="O97" s="36" t="inlineStr">
        <is>
          <t>ha</t>
        </is>
      </c>
      <c r="P97" s="39" t="n">
        <v>0</v>
      </c>
      <c r="Q97" s="40" t="n">
        <v>5.24</v>
      </c>
      <c r="R97" s="39" t="n">
        <v>0</v>
      </c>
      <c r="S97" s="41" t="n">
        <v>0</v>
      </c>
      <c r="T97" s="39" t="n">
        <v>0</v>
      </c>
      <c r="U97" s="39" t="n">
        <v>0</v>
      </c>
      <c r="V97" s="39" t="n">
        <v>0</v>
      </c>
      <c r="W97" s="39" t="n">
        <v>0</v>
      </c>
      <c r="X97" s="39" t="n">
        <v>0</v>
      </c>
      <c r="Y97" s="39" t="n">
        <v>0</v>
      </c>
      <c r="Z97" s="39" t="n">
        <v>0</v>
      </c>
      <c r="AA97" s="39" t="n">
        <v>0</v>
      </c>
      <c r="AB97" s="39" t="n">
        <v>0</v>
      </c>
      <c r="AC97" s="39" t="n">
        <v>0</v>
      </c>
      <c r="AD97" s="39" t="n">
        <v>0</v>
      </c>
      <c r="AE97" s="39" t="n">
        <v>0</v>
      </c>
      <c r="AF97" s="39" t="n">
        <v>0</v>
      </c>
    </row>
    <row r="98" ht="15" customHeight="1" s="176">
      <c r="A98" s="30" t="inlineStr">
        <is>
          <t>P-0095</t>
        </is>
      </c>
      <c r="B98" s="30" t="inlineStr">
        <is>
          <t>2026/27</t>
        </is>
      </c>
      <c r="C98" s="30" t="inlineStr">
        <is>
          <t>El Molle</t>
        </is>
      </c>
      <c r="D98" s="31" t="inlineStr">
        <is>
          <t>Wonderful 5,25 ha</t>
        </is>
      </c>
      <c r="E98" s="30" t="inlineStr">
        <is>
          <t>Granados</t>
        </is>
      </c>
      <c r="F98" s="30" t="inlineStr">
        <is>
          <t>Wonderfull</t>
        </is>
      </c>
      <c r="G98" s="30" t="inlineStr">
        <is>
          <t>Producción</t>
        </is>
      </c>
      <c r="H98" s="32" t="n">
        <v>5.24</v>
      </c>
      <c r="I98" s="32" t="n">
        <v>5.24</v>
      </c>
      <c r="J98" s="30" t="inlineStr">
        <is>
          <t>Costo</t>
        </is>
      </c>
      <c r="K98" s="31" t="inlineStr">
        <is>
          <t>1- M.O. directa</t>
        </is>
      </c>
      <c r="L98" s="31" t="inlineStr">
        <is>
          <t xml:space="preserve">1,4- Mantención caminos </t>
        </is>
      </c>
      <c r="M98" s="31" t="inlineStr">
        <is>
          <t>(pala, rastra, rana)</t>
        </is>
      </c>
      <c r="N98" s="30" t="inlineStr">
        <is>
          <t>día</t>
        </is>
      </c>
      <c r="O98" s="30" t="inlineStr">
        <is>
          <t>JH</t>
        </is>
      </c>
      <c r="P98" s="33" t="n">
        <v>43500</v>
      </c>
      <c r="Q98" s="34" t="n">
        <v>1</v>
      </c>
      <c r="R98" s="33" t="n">
        <v>130500</v>
      </c>
      <c r="S98" s="35" t="n">
        <v>0.00125780707841777</v>
      </c>
      <c r="T98" s="33" t="n">
        <v>1.13202637057599</v>
      </c>
      <c r="U98" s="33" t="n">
        <v>0</v>
      </c>
      <c r="V98" s="33" t="n">
        <v>0</v>
      </c>
      <c r="W98" s="33" t="n">
        <v>0</v>
      </c>
      <c r="X98" s="33" t="n">
        <v>0</v>
      </c>
      <c r="Y98" s="33" t="n">
        <v>0</v>
      </c>
      <c r="Z98" s="33" t="n">
        <v>48.3333333333333</v>
      </c>
      <c r="AA98" s="33" t="n">
        <v>0</v>
      </c>
      <c r="AB98" s="33" t="n">
        <v>48.3333333333333</v>
      </c>
      <c r="AC98" s="33" t="n">
        <v>0</v>
      </c>
      <c r="AD98" s="33" t="n">
        <v>0</v>
      </c>
      <c r="AE98" s="33" t="n">
        <v>0</v>
      </c>
      <c r="AF98" s="33" t="n">
        <v>48.3333333333333</v>
      </c>
    </row>
    <row r="99" ht="15" customHeight="1" s="176">
      <c r="A99" s="36" t="inlineStr">
        <is>
          <t>P-0096</t>
        </is>
      </c>
      <c r="B99" s="36" t="inlineStr">
        <is>
          <t>2026/27</t>
        </is>
      </c>
      <c r="C99" s="36" t="inlineStr">
        <is>
          <t>El Molle</t>
        </is>
      </c>
      <c r="D99" s="37" t="inlineStr">
        <is>
          <t>oronules 5,35 ha</t>
        </is>
      </c>
      <c r="E99" s="36" t="inlineStr">
        <is>
          <t>Clementinas</t>
        </is>
      </c>
      <c r="F99" s="36" t="inlineStr">
        <is>
          <t>Oronules</t>
        </is>
      </c>
      <c r="G99" s="36" t="inlineStr">
        <is>
          <t>Producción</t>
        </is>
      </c>
      <c r="H99" s="38" t="n">
        <v>5.35</v>
      </c>
      <c r="I99" s="38" t="n">
        <v>5.35</v>
      </c>
      <c r="J99" s="36" t="inlineStr">
        <is>
          <t>Costo</t>
        </is>
      </c>
      <c r="K99" s="37" t="inlineStr">
        <is>
          <t>1- M.O. directa</t>
        </is>
      </c>
      <c r="L99" s="37" t="inlineStr">
        <is>
          <t xml:space="preserve">1,4- Mantención caminos </t>
        </is>
      </c>
      <c r="M99" s="37" t="inlineStr">
        <is>
          <t>(pala, rastra, rana)</t>
        </is>
      </c>
      <c r="N99" s="36" t="inlineStr">
        <is>
          <t>día</t>
        </is>
      </c>
      <c r="O99" s="36" t="inlineStr">
        <is>
          <t>JH</t>
        </is>
      </c>
      <c r="P99" s="39" t="n">
        <v>43500</v>
      </c>
      <c r="Q99" s="40" t="n">
        <v>1</v>
      </c>
      <c r="R99" s="39" t="n">
        <v>130500</v>
      </c>
      <c r="S99" s="41" t="n">
        <v>0.000903426791277259</v>
      </c>
      <c r="T99" s="39" t="n">
        <v>0.813084112149533</v>
      </c>
      <c r="U99" s="39" t="n">
        <v>0</v>
      </c>
      <c r="V99" s="39" t="n">
        <v>0</v>
      </c>
      <c r="W99" s="39" t="n">
        <v>0</v>
      </c>
      <c r="X99" s="39" t="n">
        <v>0</v>
      </c>
      <c r="Y99" s="39" t="n">
        <v>0</v>
      </c>
      <c r="Z99" s="39" t="n">
        <v>48.3333333333333</v>
      </c>
      <c r="AA99" s="39" t="n">
        <v>0</v>
      </c>
      <c r="AB99" s="39" t="n">
        <v>48.3333333333333</v>
      </c>
      <c r="AC99" s="39" t="n">
        <v>0</v>
      </c>
      <c r="AD99" s="39" t="n">
        <v>0</v>
      </c>
      <c r="AE99" s="39" t="n">
        <v>0</v>
      </c>
      <c r="AF99" s="39" t="n">
        <v>48.3333333333333</v>
      </c>
    </row>
    <row r="100" ht="15" customHeight="1" s="176">
      <c r="A100" s="30" t="inlineStr">
        <is>
          <t>P-0097</t>
        </is>
      </c>
      <c r="B100" s="30" t="inlineStr">
        <is>
          <t>2026/27</t>
        </is>
      </c>
      <c r="C100" s="30" t="inlineStr">
        <is>
          <t>El Molle</t>
        </is>
      </c>
      <c r="D100" s="31" t="inlineStr">
        <is>
          <t>arrufatinas 5,74 ha</t>
        </is>
      </c>
      <c r="E100" s="30" t="inlineStr">
        <is>
          <t>Clementinas</t>
        </is>
      </c>
      <c r="F100" s="30" t="inlineStr">
        <is>
          <t>Arrufatinas</t>
        </is>
      </c>
      <c r="G100" s="30" t="inlineStr">
        <is>
          <t>Producción</t>
        </is>
      </c>
      <c r="H100" s="32" t="n">
        <v>5.74</v>
      </c>
      <c r="I100" s="32" t="n">
        <v>5.74</v>
      </c>
      <c r="J100" s="30" t="inlineStr">
        <is>
          <t>Costo</t>
        </is>
      </c>
      <c r="K100" s="31" t="inlineStr">
        <is>
          <t>1- M.O. directa</t>
        </is>
      </c>
      <c r="L100" s="31" t="inlineStr">
        <is>
          <t xml:space="preserve">1,4- Mantención caminos </t>
        </is>
      </c>
      <c r="M100" s="31" t="inlineStr">
        <is>
          <t>(pala, rastra, rana)</t>
        </is>
      </c>
      <c r="N100" s="30" t="inlineStr">
        <is>
          <t>día</t>
        </is>
      </c>
      <c r="O100" s="30" t="inlineStr">
        <is>
          <t>JH</t>
        </is>
      </c>
      <c r="P100" s="33" t="n">
        <v>43500</v>
      </c>
      <c r="Q100" s="34" t="n">
        <v>1</v>
      </c>
      <c r="R100" s="33" t="n">
        <v>130500</v>
      </c>
      <c r="S100" s="35" t="n">
        <v>0.00078941637630662</v>
      </c>
      <c r="T100" s="33" t="n">
        <v>0.710474738675958</v>
      </c>
      <c r="U100" s="33" t="n">
        <v>0</v>
      </c>
      <c r="V100" s="33" t="n">
        <v>0</v>
      </c>
      <c r="W100" s="33" t="n">
        <v>0</v>
      </c>
      <c r="X100" s="33" t="n">
        <v>0</v>
      </c>
      <c r="Y100" s="33" t="n">
        <v>0</v>
      </c>
      <c r="Z100" s="33" t="n">
        <v>48.3333333333333</v>
      </c>
      <c r="AA100" s="33" t="n">
        <v>0</v>
      </c>
      <c r="AB100" s="33" t="n">
        <v>48.3333333333333</v>
      </c>
      <c r="AC100" s="33" t="n">
        <v>0</v>
      </c>
      <c r="AD100" s="33" t="n">
        <v>0</v>
      </c>
      <c r="AE100" s="33" t="n">
        <v>0</v>
      </c>
      <c r="AF100" s="33" t="n">
        <v>48.3333333333333</v>
      </c>
    </row>
    <row r="101" ht="15" customHeight="1" s="176">
      <c r="A101" s="36" t="inlineStr">
        <is>
          <t>P-0098</t>
        </is>
      </c>
      <c r="B101" s="36" t="inlineStr">
        <is>
          <t>2026/27</t>
        </is>
      </c>
      <c r="C101" s="36" t="inlineStr">
        <is>
          <t>El Molle</t>
        </is>
      </c>
      <c r="D101" s="37" t="inlineStr">
        <is>
          <t>orogrande 8,11 ha</t>
        </is>
      </c>
      <c r="E101" s="36" t="inlineStr">
        <is>
          <t>Clementinas</t>
        </is>
      </c>
      <c r="F101" s="36" t="inlineStr">
        <is>
          <t>Orogrande</t>
        </is>
      </c>
      <c r="G101" s="36" t="inlineStr">
        <is>
          <t>Producción</t>
        </is>
      </c>
      <c r="H101" s="38" t="n">
        <v>8.109999999999999</v>
      </c>
      <c r="I101" s="38" t="n">
        <v>8.109999999999999</v>
      </c>
      <c r="J101" s="36" t="inlineStr">
        <is>
          <t>Costo</t>
        </is>
      </c>
      <c r="K101" s="37" t="inlineStr">
        <is>
          <t>1- M.O. directa</t>
        </is>
      </c>
      <c r="L101" s="37" t="inlineStr">
        <is>
          <t xml:space="preserve">1,4- Mantención caminos </t>
        </is>
      </c>
      <c r="M101" s="37" t="inlineStr">
        <is>
          <t>(pala, rastra, rana)</t>
        </is>
      </c>
      <c r="N101" s="36" t="inlineStr">
        <is>
          <t>día</t>
        </is>
      </c>
      <c r="O101" s="36" t="inlineStr">
        <is>
          <t>JH</t>
        </is>
      </c>
      <c r="P101" s="39" t="n">
        <v>43500</v>
      </c>
      <c r="Q101" s="40" t="n">
        <v>1</v>
      </c>
      <c r="R101" s="39" t="n">
        <v>130500</v>
      </c>
      <c r="S101" s="41" t="n">
        <v>0.000510833186542188</v>
      </c>
      <c r="T101" s="39" t="n">
        <v>0.459749867887969</v>
      </c>
      <c r="U101" s="39" t="n">
        <v>0</v>
      </c>
      <c r="V101" s="39" t="n">
        <v>0</v>
      </c>
      <c r="W101" s="39" t="n">
        <v>0</v>
      </c>
      <c r="X101" s="39" t="n">
        <v>0</v>
      </c>
      <c r="Y101" s="39" t="n">
        <v>0</v>
      </c>
      <c r="Z101" s="39" t="n">
        <v>48.3333333333333</v>
      </c>
      <c r="AA101" s="39" t="n">
        <v>0</v>
      </c>
      <c r="AB101" s="39" t="n">
        <v>48.3333333333333</v>
      </c>
      <c r="AC101" s="39" t="n">
        <v>0</v>
      </c>
      <c r="AD101" s="39" t="n">
        <v>0</v>
      </c>
      <c r="AE101" s="39" t="n">
        <v>0</v>
      </c>
      <c r="AF101" s="39" t="n">
        <v>48.3333333333333</v>
      </c>
    </row>
    <row r="102" ht="15" customHeight="1" s="176">
      <c r="A102" s="30" t="inlineStr">
        <is>
          <t>P-0099</t>
        </is>
      </c>
      <c r="B102" s="30" t="inlineStr">
        <is>
          <t>2026/27</t>
        </is>
      </c>
      <c r="C102" s="30" t="inlineStr">
        <is>
          <t>El Molle</t>
        </is>
      </c>
      <c r="D102" s="31" t="inlineStr">
        <is>
          <t>oronules 5,35 ha</t>
        </is>
      </c>
      <c r="E102" s="30" t="inlineStr">
        <is>
          <t>Clementinas</t>
        </is>
      </c>
      <c r="F102" s="30" t="inlineStr">
        <is>
          <t>Oronules</t>
        </is>
      </c>
      <c r="G102" s="30" t="inlineStr">
        <is>
          <t>Producción</t>
        </is>
      </c>
      <c r="H102" s="32" t="n">
        <v>5.35</v>
      </c>
      <c r="I102" s="32" t="n">
        <v>5.35</v>
      </c>
      <c r="J102" s="30" t="inlineStr">
        <is>
          <t>Costo</t>
        </is>
      </c>
      <c r="K102" s="31" t="inlineStr">
        <is>
          <t>1- M.O. directa</t>
        </is>
      </c>
      <c r="L102" s="31" t="inlineStr">
        <is>
          <t xml:space="preserve">11- mantención de cercos </t>
        </is>
      </c>
      <c r="M102" s="31" t="inlineStr">
        <is>
          <t>Operacion predio</t>
        </is>
      </c>
      <c r="N102" s="30" t="inlineStr">
        <is>
          <t>día</t>
        </is>
      </c>
      <c r="O102" s="30" t="inlineStr">
        <is>
          <t>ha</t>
        </is>
      </c>
      <c r="P102" s="33" t="n">
        <v>38500</v>
      </c>
      <c r="Q102" s="34" t="n">
        <v>5.35</v>
      </c>
      <c r="R102" s="33" t="n">
        <v>720912.5</v>
      </c>
      <c r="S102" s="35" t="n">
        <v>0.00499074074074074</v>
      </c>
      <c r="T102" s="33" t="n">
        <v>4.49166666666667</v>
      </c>
      <c r="U102" s="33" t="n">
        <v>0</v>
      </c>
      <c r="V102" s="33" t="n">
        <v>0</v>
      </c>
      <c r="W102" s="33" t="n">
        <v>0</v>
      </c>
      <c r="X102" s="33" t="n">
        <v>0</v>
      </c>
      <c r="Y102" s="33" t="n">
        <v>0</v>
      </c>
      <c r="Z102" s="33" t="n">
        <v>114.430555555556</v>
      </c>
      <c r="AA102" s="33" t="n">
        <v>114.430555555556</v>
      </c>
      <c r="AB102" s="33" t="n">
        <v>114.430555555556</v>
      </c>
      <c r="AC102" s="33" t="n">
        <v>114.430555555556</v>
      </c>
      <c r="AD102" s="33" t="n">
        <v>114.430555555556</v>
      </c>
      <c r="AE102" s="33" t="n">
        <v>114.430555555556</v>
      </c>
      <c r="AF102" s="33" t="n">
        <v>114.430555555556</v>
      </c>
    </row>
    <row r="103" ht="15" customHeight="1" s="176">
      <c r="A103" s="36" t="inlineStr">
        <is>
          <t>P-0100</t>
        </is>
      </c>
      <c r="B103" s="36" t="inlineStr">
        <is>
          <t>2026/27</t>
        </is>
      </c>
      <c r="C103" s="36" t="inlineStr">
        <is>
          <t>El Molle</t>
        </is>
      </c>
      <c r="D103" s="37" t="inlineStr">
        <is>
          <t>oronules 5,35 ha</t>
        </is>
      </c>
      <c r="E103" s="36" t="inlineStr">
        <is>
          <t>Clementinas</t>
        </is>
      </c>
      <c r="F103" s="36" t="inlineStr">
        <is>
          <t>Oronules</t>
        </is>
      </c>
      <c r="G103" s="36" t="inlineStr">
        <is>
          <t>Producción</t>
        </is>
      </c>
      <c r="H103" s="38" t="n">
        <v>5.35</v>
      </c>
      <c r="I103" s="38" t="n">
        <v>5.35</v>
      </c>
      <c r="J103" s="36" t="inlineStr">
        <is>
          <t>Costo</t>
        </is>
      </c>
      <c r="K103" s="37" t="inlineStr">
        <is>
          <t>1- M.O. directa</t>
        </is>
      </c>
      <c r="L103" s="37" t="inlineStr">
        <is>
          <t>10- Ortopedia y puntales</t>
        </is>
      </c>
      <c r="M103" s="37" t="n"/>
      <c r="N103" s="36" t="inlineStr">
        <is>
          <t>día</t>
        </is>
      </c>
      <c r="O103" s="36" t="inlineStr">
        <is>
          <t>plt</t>
        </is>
      </c>
      <c r="P103" s="39" t="n">
        <v>500</v>
      </c>
      <c r="Q103" s="40" t="n">
        <v>3568.45</v>
      </c>
      <c r="R103" s="39" t="n">
        <v>1784225</v>
      </c>
      <c r="S103" s="41" t="n">
        <v>0.0123518518518519</v>
      </c>
      <c r="T103" s="39" t="n">
        <v>11.1166666666667</v>
      </c>
      <c r="U103" s="39" t="n">
        <v>0</v>
      </c>
      <c r="V103" s="39" t="n">
        <v>0</v>
      </c>
      <c r="W103" s="39" t="n">
        <v>0</v>
      </c>
      <c r="X103" s="39" t="n">
        <v>0</v>
      </c>
      <c r="Y103" s="39" t="n">
        <v>0</v>
      </c>
      <c r="Z103" s="39" t="n">
        <v>0</v>
      </c>
      <c r="AA103" s="39" t="n">
        <v>0</v>
      </c>
      <c r="AB103" s="39" t="n">
        <v>0</v>
      </c>
      <c r="AC103" s="39" t="n">
        <v>0</v>
      </c>
      <c r="AD103" s="39" t="n">
        <v>0</v>
      </c>
      <c r="AE103" s="39" t="n">
        <v>991.236111111111</v>
      </c>
      <c r="AF103" s="39" t="n">
        <v>991.236111111111</v>
      </c>
    </row>
    <row r="104" ht="15" customHeight="1" s="176">
      <c r="A104" s="30" t="inlineStr">
        <is>
          <t>P-0101</t>
        </is>
      </c>
      <c r="B104" s="30" t="inlineStr">
        <is>
          <t>2026/27</t>
        </is>
      </c>
      <c r="C104" s="30" t="inlineStr">
        <is>
          <t>El Molle</t>
        </is>
      </c>
      <c r="D104" s="31" t="inlineStr">
        <is>
          <t>arrufatinas 5,74 ha</t>
        </is>
      </c>
      <c r="E104" s="30" t="inlineStr">
        <is>
          <t>Clementinas</t>
        </is>
      </c>
      <c r="F104" s="30" t="inlineStr">
        <is>
          <t>Arrufatinas</t>
        </is>
      </c>
      <c r="G104" s="30" t="inlineStr">
        <is>
          <t>Producción</t>
        </is>
      </c>
      <c r="H104" s="32" t="n">
        <v>5.74</v>
      </c>
      <c r="I104" s="32" t="n">
        <v>5.74</v>
      </c>
      <c r="J104" s="30" t="inlineStr">
        <is>
          <t>Costo</t>
        </is>
      </c>
      <c r="K104" s="31" t="inlineStr">
        <is>
          <t>1- M.O. directa</t>
        </is>
      </c>
      <c r="L104" s="31" t="inlineStr">
        <is>
          <t>10- Ortopedia y puntales</t>
        </is>
      </c>
      <c r="M104" s="31" t="n"/>
      <c r="N104" s="30" t="inlineStr">
        <is>
          <t>día</t>
        </is>
      </c>
      <c r="O104" s="30" t="inlineStr">
        <is>
          <t>plt</t>
        </is>
      </c>
      <c r="P104" s="33" t="n">
        <v>500</v>
      </c>
      <c r="Q104" s="34" t="n">
        <v>3828.58</v>
      </c>
      <c r="R104" s="33" t="n">
        <v>2871435</v>
      </c>
      <c r="S104" s="35" t="n">
        <v>0.0173697916666667</v>
      </c>
      <c r="T104" s="33" t="n">
        <v>15.6328125</v>
      </c>
      <c r="U104" s="33" t="n">
        <v>0</v>
      </c>
      <c r="V104" s="33" t="n">
        <v>0</v>
      </c>
      <c r="W104" s="33" t="n">
        <v>0</v>
      </c>
      <c r="X104" s="33" t="n">
        <v>0</v>
      </c>
      <c r="Y104" s="33" t="n">
        <v>0</v>
      </c>
      <c r="Z104" s="33" t="n">
        <v>0</v>
      </c>
      <c r="AA104" s="33" t="n">
        <v>0</v>
      </c>
      <c r="AB104" s="33" t="n">
        <v>0</v>
      </c>
      <c r="AC104" s="33" t="n">
        <v>0</v>
      </c>
      <c r="AD104" s="33" t="n">
        <v>1063.49444444445</v>
      </c>
      <c r="AE104" s="33" t="n">
        <v>1063.49444444445</v>
      </c>
      <c r="AF104" s="33" t="n">
        <v>1063.49444444445</v>
      </c>
    </row>
    <row r="105" ht="15" customHeight="1" s="176">
      <c r="A105" s="36" t="inlineStr">
        <is>
          <t>P-0102</t>
        </is>
      </c>
      <c r="B105" s="36" t="inlineStr">
        <is>
          <t>2026/27</t>
        </is>
      </c>
      <c r="C105" s="36" t="inlineStr">
        <is>
          <t>El Molle</t>
        </is>
      </c>
      <c r="D105" s="37" t="inlineStr">
        <is>
          <t>orogrande 8,11 ha</t>
        </is>
      </c>
      <c r="E105" s="36" t="inlineStr">
        <is>
          <t>Clementinas</t>
        </is>
      </c>
      <c r="F105" s="36" t="inlineStr">
        <is>
          <t>Orogrande</t>
        </is>
      </c>
      <c r="G105" s="36" t="inlineStr">
        <is>
          <t>Producción</t>
        </is>
      </c>
      <c r="H105" s="38" t="n">
        <v>8.109999999999999</v>
      </c>
      <c r="I105" s="38" t="n">
        <v>8.109999999999999</v>
      </c>
      <c r="J105" s="36" t="inlineStr">
        <is>
          <t>Costo</t>
        </is>
      </c>
      <c r="K105" s="37" t="inlineStr">
        <is>
          <t>1- M.O. directa</t>
        </is>
      </c>
      <c r="L105" s="37" t="inlineStr">
        <is>
          <t>10- Ortopedia y puntales</t>
        </is>
      </c>
      <c r="M105" s="37" t="n"/>
      <c r="N105" s="36" t="inlineStr">
        <is>
          <t>día</t>
        </is>
      </c>
      <c r="O105" s="36" t="inlineStr">
        <is>
          <t>plt</t>
        </is>
      </c>
      <c r="P105" s="39" t="n">
        <v>500</v>
      </c>
      <c r="Q105" s="40" t="n">
        <v>5409.37</v>
      </c>
      <c r="R105" s="39" t="n">
        <v>2704685</v>
      </c>
      <c r="S105" s="41" t="n">
        <v>0.0105873015873016</v>
      </c>
      <c r="T105" s="39" t="n">
        <v>9.52857142857143</v>
      </c>
      <c r="U105" s="39" t="n">
        <v>0</v>
      </c>
      <c r="V105" s="39" t="n">
        <v>0</v>
      </c>
      <c r="W105" s="39" t="n">
        <v>0</v>
      </c>
      <c r="X105" s="39" t="n">
        <v>0</v>
      </c>
      <c r="Y105" s="39" t="n">
        <v>0</v>
      </c>
      <c r="Z105" s="39" t="n">
        <v>0</v>
      </c>
      <c r="AA105" s="39" t="n">
        <v>0</v>
      </c>
      <c r="AB105" s="39" t="n">
        <v>0</v>
      </c>
      <c r="AC105" s="39" t="n">
        <v>0</v>
      </c>
      <c r="AD105" s="39" t="n">
        <v>0</v>
      </c>
      <c r="AE105" s="39" t="n">
        <v>1502.60277777778</v>
      </c>
      <c r="AF105" s="39" t="n">
        <v>1502.60277777778</v>
      </c>
    </row>
    <row r="106" ht="15" customHeight="1" s="176">
      <c r="A106" s="30" t="inlineStr">
        <is>
          <t>P-0103</t>
        </is>
      </c>
      <c r="B106" s="30" t="inlineStr">
        <is>
          <t>2026/27</t>
        </is>
      </c>
      <c r="C106" s="30" t="inlineStr">
        <is>
          <t>El Molle</t>
        </is>
      </c>
      <c r="D106" s="31" t="inlineStr">
        <is>
          <t>Wonderful 5,25 ha</t>
        </is>
      </c>
      <c r="E106" s="30" t="inlineStr">
        <is>
          <t>Granados</t>
        </is>
      </c>
      <c r="F106" s="30" t="inlineStr">
        <is>
          <t>Wonderfull</t>
        </is>
      </c>
      <c r="G106" s="30" t="inlineStr">
        <is>
          <t>Producción</t>
        </is>
      </c>
      <c r="H106" s="32" t="n">
        <v>5.24</v>
      </c>
      <c r="I106" s="32" t="n">
        <v>5.24</v>
      </c>
      <c r="J106" s="30" t="inlineStr">
        <is>
          <t>Costo</t>
        </is>
      </c>
      <c r="K106" s="31" t="inlineStr">
        <is>
          <t>1- M.O. directa</t>
        </is>
      </c>
      <c r="L106" s="31" t="inlineStr">
        <is>
          <t>12- Picar sarmiento</t>
        </is>
      </c>
      <c r="M106" s="31" t="n"/>
      <c r="N106" s="30" t="inlineStr">
        <is>
          <t>trato</t>
        </is>
      </c>
      <c r="O106" s="30" t="inlineStr">
        <is>
          <t>plt</t>
        </is>
      </c>
      <c r="P106" s="33" t="n">
        <v>60</v>
      </c>
      <c r="Q106" s="34" t="n">
        <v>3495.08</v>
      </c>
      <c r="R106" s="33" t="n">
        <v>209704.8</v>
      </c>
      <c r="S106" s="35" t="n">
        <v>0.00202121212121212</v>
      </c>
      <c r="T106" s="33" t="n">
        <v>1.81909090909091</v>
      </c>
      <c r="U106" s="33" t="n">
        <v>0</v>
      </c>
      <c r="V106" s="33" t="n">
        <v>0</v>
      </c>
      <c r="W106" s="33" t="n">
        <v>0</v>
      </c>
      <c r="X106" s="33" t="n">
        <v>233.005333333333</v>
      </c>
      <c r="Y106" s="33" t="n">
        <v>0</v>
      </c>
      <c r="Z106" s="33" t="n">
        <v>0</v>
      </c>
      <c r="AA106" s="33" t="n">
        <v>0</v>
      </c>
      <c r="AB106" s="33" t="n">
        <v>0</v>
      </c>
      <c r="AC106" s="33" t="n">
        <v>0</v>
      </c>
      <c r="AD106" s="33" t="n">
        <v>0</v>
      </c>
      <c r="AE106" s="33" t="n">
        <v>0</v>
      </c>
      <c r="AF106" s="33" t="n">
        <v>0</v>
      </c>
    </row>
    <row r="107" ht="15" customHeight="1" s="176">
      <c r="A107" s="36" t="inlineStr">
        <is>
          <t>P-0104</t>
        </is>
      </c>
      <c r="B107" s="36" t="inlineStr">
        <is>
          <t>2026/27</t>
        </is>
      </c>
      <c r="C107" s="36" t="inlineStr">
        <is>
          <t>El Molle</t>
        </is>
      </c>
      <c r="D107" s="37" t="inlineStr">
        <is>
          <t>arrufatinas 5,74 ha</t>
        </is>
      </c>
      <c r="E107" s="36" t="inlineStr">
        <is>
          <t>Clementinas</t>
        </is>
      </c>
      <c r="F107" s="36" t="inlineStr">
        <is>
          <t>Arrufatinas</t>
        </is>
      </c>
      <c r="G107" s="36" t="inlineStr">
        <is>
          <t>Producción</t>
        </is>
      </c>
      <c r="H107" s="38" t="n">
        <v>5.74</v>
      </c>
      <c r="I107" s="38" t="n">
        <v>5.74</v>
      </c>
      <c r="J107" s="36" t="inlineStr">
        <is>
          <t>Costo</t>
        </is>
      </c>
      <c r="K107" s="37" t="inlineStr">
        <is>
          <t>1- M.O. directa</t>
        </is>
      </c>
      <c r="L107" s="37" t="inlineStr">
        <is>
          <t xml:space="preserve">11- mantención de cercos </t>
        </is>
      </c>
      <c r="M107" s="37" t="inlineStr">
        <is>
          <t>Operacion predio</t>
        </is>
      </c>
      <c r="N107" s="36" t="inlineStr">
        <is>
          <t>día</t>
        </is>
      </c>
      <c r="O107" s="36" t="inlineStr">
        <is>
          <t>ha</t>
        </is>
      </c>
      <c r="P107" s="39" t="n">
        <v>38500</v>
      </c>
      <c r="Q107" s="40" t="n">
        <v>5.74</v>
      </c>
      <c r="R107" s="39" t="n">
        <v>773465</v>
      </c>
      <c r="S107" s="41" t="n">
        <v>0.00467881944444445</v>
      </c>
      <c r="T107" s="39" t="n">
        <v>4.2109375</v>
      </c>
      <c r="U107" s="39" t="n">
        <v>0</v>
      </c>
      <c r="V107" s="39" t="n">
        <v>0</v>
      </c>
      <c r="W107" s="39" t="n">
        <v>0</v>
      </c>
      <c r="X107" s="39" t="n">
        <v>0</v>
      </c>
      <c r="Y107" s="39" t="n">
        <v>0</v>
      </c>
      <c r="Z107" s="39" t="n">
        <v>122.772222222222</v>
      </c>
      <c r="AA107" s="39" t="n">
        <v>122.772222222222</v>
      </c>
      <c r="AB107" s="39" t="n">
        <v>122.772222222222</v>
      </c>
      <c r="AC107" s="39" t="n">
        <v>122.772222222222</v>
      </c>
      <c r="AD107" s="39" t="n">
        <v>122.772222222222</v>
      </c>
      <c r="AE107" s="39" t="n">
        <v>122.772222222222</v>
      </c>
      <c r="AF107" s="39" t="n">
        <v>122.772222222222</v>
      </c>
    </row>
    <row r="108" ht="15" customHeight="1" s="176">
      <c r="A108" s="30" t="inlineStr">
        <is>
          <t>P-0105</t>
        </is>
      </c>
      <c r="B108" s="30" t="inlineStr">
        <is>
          <t>2026/27</t>
        </is>
      </c>
      <c r="C108" s="30" t="inlineStr">
        <is>
          <t>El Molle</t>
        </is>
      </c>
      <c r="D108" s="31" t="inlineStr">
        <is>
          <t>orogrande 8,11 ha</t>
        </is>
      </c>
      <c r="E108" s="30" t="inlineStr">
        <is>
          <t>Clementinas</t>
        </is>
      </c>
      <c r="F108" s="30" t="inlineStr">
        <is>
          <t>Orogrande</t>
        </is>
      </c>
      <c r="G108" s="30" t="inlineStr">
        <is>
          <t>Producción</t>
        </is>
      </c>
      <c r="H108" s="32" t="n">
        <v>8.109999999999999</v>
      </c>
      <c r="I108" s="32" t="n">
        <v>8.109999999999999</v>
      </c>
      <c r="J108" s="30" t="inlineStr">
        <is>
          <t>Costo</t>
        </is>
      </c>
      <c r="K108" s="31" t="inlineStr">
        <is>
          <t>1- M.O. directa</t>
        </is>
      </c>
      <c r="L108" s="31" t="inlineStr">
        <is>
          <t xml:space="preserve">11- mantención de cercos </t>
        </is>
      </c>
      <c r="M108" s="31" t="inlineStr">
        <is>
          <t>Operacion predio</t>
        </is>
      </c>
      <c r="N108" s="30" t="inlineStr">
        <is>
          <t>día</t>
        </is>
      </c>
      <c r="O108" s="30" t="inlineStr">
        <is>
          <t>ha</t>
        </is>
      </c>
      <c r="P108" s="33" t="n">
        <v>38500</v>
      </c>
      <c r="Q108" s="34" t="n">
        <v>8.109999999999999</v>
      </c>
      <c r="R108" s="33" t="n">
        <v>624470</v>
      </c>
      <c r="S108" s="35" t="n">
        <v>0.00244444444444445</v>
      </c>
      <c r="T108" s="33" t="n">
        <v>2.2</v>
      </c>
      <c r="U108" s="33" t="n">
        <v>0</v>
      </c>
      <c r="V108" s="33" t="n">
        <v>0</v>
      </c>
      <c r="W108" s="33" t="n">
        <v>0</v>
      </c>
      <c r="X108" s="33" t="n">
        <v>0</v>
      </c>
      <c r="Y108" s="33" t="n">
        <v>0</v>
      </c>
      <c r="Z108" s="33" t="n">
        <v>173.463888888889</v>
      </c>
      <c r="AA108" s="33" t="n">
        <v>0</v>
      </c>
      <c r="AB108" s="33" t="n">
        <v>173.463888888889</v>
      </c>
      <c r="AC108" s="33" t="n">
        <v>0</v>
      </c>
      <c r="AD108" s="33" t="n">
        <v>173.463888888889</v>
      </c>
      <c r="AE108" s="33" t="n">
        <v>0</v>
      </c>
      <c r="AF108" s="33" t="n">
        <v>173.463888888889</v>
      </c>
    </row>
    <row r="109" ht="15" customHeight="1" s="176">
      <c r="A109" s="36" t="inlineStr">
        <is>
          <t>P-0106</t>
        </is>
      </c>
      <c r="B109" s="36" t="inlineStr">
        <is>
          <t>2026/27</t>
        </is>
      </c>
      <c r="C109" s="36" t="inlineStr">
        <is>
          <t>El Molle</t>
        </is>
      </c>
      <c r="D109" s="37" t="inlineStr">
        <is>
          <t>oronules 5,35 ha</t>
        </is>
      </c>
      <c r="E109" s="36" t="inlineStr">
        <is>
          <t>Clementinas</t>
        </is>
      </c>
      <c r="F109" s="36" t="inlineStr">
        <is>
          <t>Oronules</t>
        </is>
      </c>
      <c r="G109" s="36" t="inlineStr">
        <is>
          <t>Producción</t>
        </is>
      </c>
      <c r="H109" s="38" t="n">
        <v>5.35</v>
      </c>
      <c r="I109" s="38" t="n">
        <v>5.35</v>
      </c>
      <c r="J109" s="36" t="inlineStr">
        <is>
          <t>Costo</t>
        </is>
      </c>
      <c r="K109" s="37" t="inlineStr">
        <is>
          <t>1- M.O. directa</t>
        </is>
      </c>
      <c r="L109" s="37" t="inlineStr">
        <is>
          <t>12- Picar sarmiento</t>
        </is>
      </c>
      <c r="M109" s="37" t="n"/>
      <c r="N109" s="36" t="inlineStr">
        <is>
          <t>trato</t>
        </is>
      </c>
      <c r="O109" s="36" t="inlineStr">
        <is>
          <t>plt</t>
        </is>
      </c>
      <c r="P109" s="39" t="n">
        <v>60</v>
      </c>
      <c r="Q109" s="40" t="n">
        <v>3568.45</v>
      </c>
      <c r="R109" s="39" t="n">
        <v>214107</v>
      </c>
      <c r="S109" s="41" t="n">
        <v>0.00148222222222222</v>
      </c>
      <c r="T109" s="39" t="n">
        <v>1.334</v>
      </c>
      <c r="U109" s="39" t="n">
        <v>0</v>
      </c>
      <c r="V109" s="39" t="n">
        <v>0</v>
      </c>
      <c r="W109" s="39" t="n">
        <v>0</v>
      </c>
      <c r="X109" s="39" t="n">
        <v>0</v>
      </c>
      <c r="Y109" s="39" t="n">
        <v>118.948333333333</v>
      </c>
      <c r="Z109" s="39" t="n">
        <v>118.948333333333</v>
      </c>
      <c r="AA109" s="39" t="n">
        <v>0</v>
      </c>
      <c r="AB109" s="39" t="n">
        <v>0</v>
      </c>
      <c r="AC109" s="39" t="n">
        <v>0</v>
      </c>
      <c r="AD109" s="39" t="n">
        <v>0</v>
      </c>
      <c r="AE109" s="39" t="n">
        <v>0</v>
      </c>
      <c r="AF109" s="39" t="n">
        <v>0</v>
      </c>
    </row>
    <row r="110" ht="15" customHeight="1" s="176">
      <c r="A110" s="30" t="inlineStr">
        <is>
          <t>P-0107</t>
        </is>
      </c>
      <c r="B110" s="30" t="inlineStr">
        <is>
          <t>2026/27</t>
        </is>
      </c>
      <c r="C110" s="30" t="inlineStr">
        <is>
          <t>El Molle</t>
        </is>
      </c>
      <c r="D110" s="31" t="inlineStr">
        <is>
          <t>Wonderful 5,25 ha</t>
        </is>
      </c>
      <c r="E110" s="30" t="inlineStr">
        <is>
          <t>Granados</t>
        </is>
      </c>
      <c r="F110" s="30" t="inlineStr">
        <is>
          <t>Wonderfull</t>
        </is>
      </c>
      <c r="G110" s="30" t="inlineStr">
        <is>
          <t>Producción</t>
        </is>
      </c>
      <c r="H110" s="32" t="n">
        <v>5.24</v>
      </c>
      <c r="I110" s="32" t="n">
        <v>5.24</v>
      </c>
      <c r="J110" s="30" t="inlineStr">
        <is>
          <t>Costo</t>
        </is>
      </c>
      <c r="K110" s="31" t="inlineStr">
        <is>
          <t>1- M.O. directa</t>
        </is>
      </c>
      <c r="L110" s="31" t="inlineStr">
        <is>
          <t>13- Desbrote de corona</t>
        </is>
      </c>
      <c r="M110" s="31" t="inlineStr">
        <is>
          <t>no se hace</t>
        </is>
      </c>
      <c r="N110" s="30" t="inlineStr">
        <is>
          <t>trato</t>
        </is>
      </c>
      <c r="O110" s="30" t="inlineStr">
        <is>
          <t>plt</t>
        </is>
      </c>
      <c r="P110" s="33" t="n">
        <v>120</v>
      </c>
      <c r="Q110" s="34" t="n">
        <v>3495.08</v>
      </c>
      <c r="R110" s="33" t="n">
        <v>419409.6</v>
      </c>
      <c r="S110" s="35" t="n">
        <v>0.00404242424242424</v>
      </c>
      <c r="T110" s="33" t="n">
        <v>3.63818181818182</v>
      </c>
      <c r="U110" s="33" t="n">
        <v>0</v>
      </c>
      <c r="V110" s="33" t="n">
        <v>0</v>
      </c>
      <c r="W110" s="33" t="n">
        <v>0</v>
      </c>
      <c r="X110" s="33" t="n">
        <v>0</v>
      </c>
      <c r="Y110" s="33" t="n">
        <v>0</v>
      </c>
      <c r="Z110" s="33" t="n">
        <v>466.010666666667</v>
      </c>
      <c r="AA110" s="33" t="n">
        <v>0</v>
      </c>
      <c r="AB110" s="33" t="n">
        <v>0</v>
      </c>
      <c r="AC110" s="33" t="n">
        <v>0</v>
      </c>
      <c r="AD110" s="33" t="n">
        <v>0</v>
      </c>
      <c r="AE110" s="33" t="n">
        <v>0</v>
      </c>
      <c r="AF110" s="33" t="n">
        <v>0</v>
      </c>
    </row>
    <row r="111" ht="15" customHeight="1" s="176">
      <c r="A111" s="36" t="inlineStr">
        <is>
          <t>P-0108</t>
        </is>
      </c>
      <c r="B111" s="36" t="inlineStr">
        <is>
          <t>2026/27</t>
        </is>
      </c>
      <c r="C111" s="36" t="inlineStr">
        <is>
          <t>El Molle</t>
        </is>
      </c>
      <c r="D111" s="37" t="inlineStr">
        <is>
          <t>arrufatinas 5,74 ha</t>
        </is>
      </c>
      <c r="E111" s="36" t="inlineStr">
        <is>
          <t>Clementinas</t>
        </is>
      </c>
      <c r="F111" s="36" t="inlineStr">
        <is>
          <t>Arrufatinas</t>
        </is>
      </c>
      <c r="G111" s="36" t="inlineStr">
        <is>
          <t>Producción</t>
        </is>
      </c>
      <c r="H111" s="38" t="n">
        <v>5.74</v>
      </c>
      <c r="I111" s="38" t="n">
        <v>5.74</v>
      </c>
      <c r="J111" s="36" t="inlineStr">
        <is>
          <t>Costo</t>
        </is>
      </c>
      <c r="K111" s="37" t="inlineStr">
        <is>
          <t>1- M.O. directa</t>
        </is>
      </c>
      <c r="L111" s="37" t="inlineStr">
        <is>
          <t>12- Picar sarmiento</t>
        </is>
      </c>
      <c r="M111" s="37" t="n"/>
      <c r="N111" s="36" t="inlineStr">
        <is>
          <t>trato</t>
        </is>
      </c>
      <c r="O111" s="36" t="inlineStr">
        <is>
          <t>plt</t>
        </is>
      </c>
      <c r="P111" s="39" t="n">
        <v>60</v>
      </c>
      <c r="Q111" s="40" t="n">
        <v>3828.58</v>
      </c>
      <c r="R111" s="39" t="n">
        <v>229714.8</v>
      </c>
      <c r="S111" s="41" t="n">
        <v>0.00138958333333333</v>
      </c>
      <c r="T111" s="39" t="n">
        <v>1.250625</v>
      </c>
      <c r="U111" s="39" t="n">
        <v>0</v>
      </c>
      <c r="V111" s="39" t="n">
        <v>0</v>
      </c>
      <c r="W111" s="39" t="n">
        <v>0</v>
      </c>
      <c r="X111" s="39" t="n">
        <v>0</v>
      </c>
      <c r="Y111" s="39" t="n">
        <v>127.619333333333</v>
      </c>
      <c r="Z111" s="39" t="n">
        <v>127.619333333333</v>
      </c>
      <c r="AA111" s="39" t="n">
        <v>0</v>
      </c>
      <c r="AB111" s="39" t="n">
        <v>0</v>
      </c>
      <c r="AC111" s="39" t="n">
        <v>0</v>
      </c>
      <c r="AD111" s="39" t="n">
        <v>0</v>
      </c>
      <c r="AE111" s="39" t="n">
        <v>0</v>
      </c>
      <c r="AF111" s="39" t="n">
        <v>0</v>
      </c>
    </row>
    <row r="112" ht="15" customHeight="1" s="176">
      <c r="A112" s="30" t="inlineStr">
        <is>
          <t>P-0109</t>
        </is>
      </c>
      <c r="B112" s="30" t="inlineStr">
        <is>
          <t>2026/27</t>
        </is>
      </c>
      <c r="C112" s="30" t="inlineStr">
        <is>
          <t>El Molle</t>
        </is>
      </c>
      <c r="D112" s="31" t="inlineStr">
        <is>
          <t>orogrande 8,11 ha</t>
        </is>
      </c>
      <c r="E112" s="30" t="inlineStr">
        <is>
          <t>Clementinas</t>
        </is>
      </c>
      <c r="F112" s="30" t="inlineStr">
        <is>
          <t>Orogrande</t>
        </is>
      </c>
      <c r="G112" s="30" t="inlineStr">
        <is>
          <t>Producción</t>
        </is>
      </c>
      <c r="H112" s="32" t="n">
        <v>8.109999999999999</v>
      </c>
      <c r="I112" s="32" t="n">
        <v>8.109999999999999</v>
      </c>
      <c r="J112" s="30" t="inlineStr">
        <is>
          <t>Costo</t>
        </is>
      </c>
      <c r="K112" s="31" t="inlineStr">
        <is>
          <t>1- M.O. directa</t>
        </is>
      </c>
      <c r="L112" s="31" t="inlineStr">
        <is>
          <t>12- Picar sarmiento</t>
        </is>
      </c>
      <c r="M112" s="31" t="n"/>
      <c r="N112" s="30" t="inlineStr">
        <is>
          <t>trato</t>
        </is>
      </c>
      <c r="O112" s="30" t="inlineStr">
        <is>
          <t>plt</t>
        </is>
      </c>
      <c r="P112" s="33" t="n">
        <v>60</v>
      </c>
      <c r="Q112" s="34" t="n">
        <v>5409.37</v>
      </c>
      <c r="R112" s="33" t="n">
        <v>324562.2</v>
      </c>
      <c r="S112" s="35" t="n">
        <v>0.00127047619047619</v>
      </c>
      <c r="T112" s="33" t="n">
        <v>1.14342857142857</v>
      </c>
      <c r="U112" s="33" t="n">
        <v>0</v>
      </c>
      <c r="V112" s="33" t="n">
        <v>0</v>
      </c>
      <c r="W112" s="33" t="n">
        <v>0</v>
      </c>
      <c r="X112" s="33" t="n">
        <v>0</v>
      </c>
      <c r="Y112" s="33" t="n">
        <v>180.312333333333</v>
      </c>
      <c r="Z112" s="33" t="n">
        <v>180.312333333333</v>
      </c>
      <c r="AA112" s="33" t="n">
        <v>0</v>
      </c>
      <c r="AB112" s="33" t="n">
        <v>0</v>
      </c>
      <c r="AC112" s="33" t="n">
        <v>0</v>
      </c>
      <c r="AD112" s="33" t="n">
        <v>0</v>
      </c>
      <c r="AE112" s="33" t="n">
        <v>0</v>
      </c>
      <c r="AF112" s="33" t="n">
        <v>0</v>
      </c>
    </row>
    <row r="113" ht="15" customHeight="1" s="176">
      <c r="A113" s="36" t="inlineStr">
        <is>
          <t>P-0110</t>
        </is>
      </c>
      <c r="B113" s="36" t="inlineStr">
        <is>
          <t>2026/27</t>
        </is>
      </c>
      <c r="C113" s="36" t="inlineStr">
        <is>
          <t>El Molle</t>
        </is>
      </c>
      <c r="D113" s="37" t="inlineStr">
        <is>
          <t>Wonderful 5,25 ha</t>
        </is>
      </c>
      <c r="E113" s="36" t="inlineStr">
        <is>
          <t>Granados</t>
        </is>
      </c>
      <c r="F113" s="36" t="inlineStr">
        <is>
          <t>Wonderfull</t>
        </is>
      </c>
      <c r="G113" s="36" t="inlineStr">
        <is>
          <t>Producción</t>
        </is>
      </c>
      <c r="H113" s="38" t="n">
        <v>5.24</v>
      </c>
      <c r="I113" s="38" t="n">
        <v>5.24</v>
      </c>
      <c r="J113" s="36" t="inlineStr">
        <is>
          <t>Costo</t>
        </is>
      </c>
      <c r="K113" s="37" t="inlineStr">
        <is>
          <t>1- M.O. directa</t>
        </is>
      </c>
      <c r="L113" s="37" t="inlineStr">
        <is>
          <t>14- Poda de sierrpes</t>
        </is>
      </c>
      <c r="M113" s="37" t="inlineStr">
        <is>
          <t>aplicacion de herbicida a la base de la planta, 3 hs/jh</t>
        </is>
      </c>
      <c r="N113" s="36" t="inlineStr">
        <is>
          <t>trato</t>
        </is>
      </c>
      <c r="O113" s="36" t="inlineStr">
        <is>
          <t>plt</t>
        </is>
      </c>
      <c r="P113" s="39" t="n">
        <v>60</v>
      </c>
      <c r="Q113" s="40" t="n">
        <v>3495.08</v>
      </c>
      <c r="R113" s="39" t="n">
        <v>1048524</v>
      </c>
      <c r="S113" s="41" t="n">
        <v>0.0101060606060606</v>
      </c>
      <c r="T113" s="39" t="n">
        <v>9.095454545454549</v>
      </c>
      <c r="U113" s="39" t="n">
        <v>0</v>
      </c>
      <c r="V113" s="39" t="n">
        <v>0</v>
      </c>
      <c r="W113" s="39" t="n">
        <v>0</v>
      </c>
      <c r="X113" s="39" t="n">
        <v>0</v>
      </c>
      <c r="Y113" s="39" t="n">
        <v>233.005333333333</v>
      </c>
      <c r="Z113" s="39" t="n">
        <v>233.005333333333</v>
      </c>
      <c r="AA113" s="39" t="n">
        <v>233.005333333333</v>
      </c>
      <c r="AB113" s="39" t="n">
        <v>233.005333333333</v>
      </c>
      <c r="AC113" s="39" t="n">
        <v>233.005333333333</v>
      </c>
      <c r="AD113" s="39" t="n">
        <v>0</v>
      </c>
      <c r="AE113" s="39" t="n">
        <v>0</v>
      </c>
      <c r="AF113" s="39" t="n">
        <v>0</v>
      </c>
    </row>
    <row r="114" ht="15" customHeight="1" s="176">
      <c r="A114" s="30" t="inlineStr">
        <is>
          <t>P-0111</t>
        </is>
      </c>
      <c r="B114" s="30" t="inlineStr">
        <is>
          <t>2026/27</t>
        </is>
      </c>
      <c r="C114" s="30" t="inlineStr">
        <is>
          <t>El Molle</t>
        </is>
      </c>
      <c r="D114" s="31" t="inlineStr">
        <is>
          <t>arrufatinas 5,74 ha</t>
        </is>
      </c>
      <c r="E114" s="30" t="inlineStr">
        <is>
          <t>Clementinas</t>
        </is>
      </c>
      <c r="F114" s="30" t="inlineStr">
        <is>
          <t>Arrufatinas</t>
        </is>
      </c>
      <c r="G114" s="30" t="inlineStr">
        <is>
          <t>Producción</t>
        </is>
      </c>
      <c r="H114" s="32" t="n">
        <v>5.74</v>
      </c>
      <c r="I114" s="32" t="n">
        <v>5.74</v>
      </c>
      <c r="J114" s="30" t="inlineStr">
        <is>
          <t>Costo</t>
        </is>
      </c>
      <c r="K114" s="31" t="inlineStr">
        <is>
          <t>1- M.O. directa</t>
        </is>
      </c>
      <c r="L114" s="31" t="inlineStr">
        <is>
          <t>23- Guanteo de corona</t>
        </is>
      </c>
      <c r="M114" s="31" t="inlineStr">
        <is>
          <t>2 guanteos en la temporada</t>
        </is>
      </c>
      <c r="N114" s="30" t="inlineStr">
        <is>
          <t>día</t>
        </is>
      </c>
      <c r="O114" s="30" t="inlineStr">
        <is>
          <t>JH</t>
        </is>
      </c>
      <c r="P114" s="33" t="n">
        <v>38500</v>
      </c>
      <c r="Q114" s="34" t="n">
        <v>48</v>
      </c>
      <c r="R114" s="33" t="n">
        <v>3696000</v>
      </c>
      <c r="S114" s="35" t="n">
        <v>0.0223577235772358</v>
      </c>
      <c r="T114" s="33" t="n">
        <v>20.1219512195122</v>
      </c>
      <c r="U114" s="33" t="n">
        <v>0</v>
      </c>
      <c r="V114" s="33" t="n">
        <v>0</v>
      </c>
      <c r="W114" s="33" t="n">
        <v>0</v>
      </c>
      <c r="X114" s="33" t="n">
        <v>0</v>
      </c>
      <c r="Y114" s="33" t="n">
        <v>0</v>
      </c>
      <c r="Z114" s="33" t="n">
        <v>2053.33333333333</v>
      </c>
      <c r="AA114" s="33" t="n">
        <v>0</v>
      </c>
      <c r="AB114" s="33" t="n">
        <v>0</v>
      </c>
      <c r="AC114" s="33" t="n">
        <v>2053.33333333333</v>
      </c>
      <c r="AD114" s="33" t="n">
        <v>0</v>
      </c>
      <c r="AE114" s="33" t="n">
        <v>0</v>
      </c>
      <c r="AF114" s="33" t="n">
        <v>0</v>
      </c>
    </row>
    <row r="115" ht="15" customHeight="1" s="176">
      <c r="A115" s="36" t="inlineStr">
        <is>
          <t>P-0112</t>
        </is>
      </c>
      <c r="B115" s="36" t="inlineStr">
        <is>
          <t>2026/27</t>
        </is>
      </c>
      <c r="C115" s="36" t="inlineStr">
        <is>
          <t>El Molle</t>
        </is>
      </c>
      <c r="D115" s="37" t="inlineStr">
        <is>
          <t>orogrande 8,11 ha</t>
        </is>
      </c>
      <c r="E115" s="36" t="inlineStr">
        <is>
          <t>Clementinas</t>
        </is>
      </c>
      <c r="F115" s="36" t="inlineStr">
        <is>
          <t>Orogrande</t>
        </is>
      </c>
      <c r="G115" s="36" t="inlineStr">
        <is>
          <t>Producción</t>
        </is>
      </c>
      <c r="H115" s="38" t="n">
        <v>8.109999999999999</v>
      </c>
      <c r="I115" s="38" t="n">
        <v>8.109999999999999</v>
      </c>
      <c r="J115" s="36" t="inlineStr">
        <is>
          <t>Costo</t>
        </is>
      </c>
      <c r="K115" s="37" t="inlineStr">
        <is>
          <t>1- M.O. directa</t>
        </is>
      </c>
      <c r="L115" s="37" t="inlineStr">
        <is>
          <t>23- Guanteo de corona</t>
        </is>
      </c>
      <c r="M115" s="37" t="inlineStr">
        <is>
          <t>2guanteos en la temporada</t>
        </is>
      </c>
      <c r="N115" s="36" t="inlineStr">
        <is>
          <t>trato</t>
        </is>
      </c>
      <c r="O115" s="36" t="inlineStr">
        <is>
          <t>plt</t>
        </is>
      </c>
      <c r="P115" s="39" t="n">
        <v>115</v>
      </c>
      <c r="Q115" s="40" t="n">
        <v>5409.37</v>
      </c>
      <c r="R115" s="39" t="n">
        <v>1244155.1</v>
      </c>
      <c r="S115" s="41" t="n">
        <v>0.00487015873015873</v>
      </c>
      <c r="T115" s="39" t="n">
        <v>4.38314285714286</v>
      </c>
      <c r="U115" s="39" t="n">
        <v>0</v>
      </c>
      <c r="V115" s="39" t="n">
        <v>0</v>
      </c>
      <c r="W115" s="39" t="n">
        <v>0</v>
      </c>
      <c r="X115" s="39" t="n">
        <v>0</v>
      </c>
      <c r="Y115" s="39" t="n">
        <v>0</v>
      </c>
      <c r="Z115" s="39" t="n">
        <v>691.197277777778</v>
      </c>
      <c r="AA115" s="39" t="n">
        <v>0</v>
      </c>
      <c r="AB115" s="39" t="n">
        <v>0</v>
      </c>
      <c r="AC115" s="39" t="n">
        <v>691.197277777778</v>
      </c>
      <c r="AD115" s="39" t="n">
        <v>0</v>
      </c>
      <c r="AE115" s="39" t="n">
        <v>0</v>
      </c>
      <c r="AF115" s="39" t="n">
        <v>0</v>
      </c>
    </row>
    <row r="116" ht="15" customHeight="1" s="176">
      <c r="A116" s="30" t="inlineStr">
        <is>
          <t>P-0113</t>
        </is>
      </c>
      <c r="B116" s="30" t="inlineStr">
        <is>
          <t>2026/27</t>
        </is>
      </c>
      <c r="C116" s="30" t="inlineStr">
        <is>
          <t>El Molle</t>
        </is>
      </c>
      <c r="D116" s="31" t="inlineStr">
        <is>
          <t>Wonderful 5,25 ha</t>
        </is>
      </c>
      <c r="E116" s="30" t="inlineStr">
        <is>
          <t>Granados</t>
        </is>
      </c>
      <c r="F116" s="30" t="inlineStr">
        <is>
          <t>Wonderfull</t>
        </is>
      </c>
      <c r="G116" s="30" t="inlineStr">
        <is>
          <t>Producción</t>
        </is>
      </c>
      <c r="H116" s="32" t="n">
        <v>5.24</v>
      </c>
      <c r="I116" s="32" t="n">
        <v>5.24</v>
      </c>
      <c r="J116" s="30" t="inlineStr">
        <is>
          <t>Costo</t>
        </is>
      </c>
      <c r="K116" s="31" t="inlineStr">
        <is>
          <t>1- M.O. directa</t>
        </is>
      </c>
      <c r="L116" s="31" t="inlineStr">
        <is>
          <t>15- Poda</t>
        </is>
      </c>
      <c r="M116" s="31" t="n"/>
      <c r="N116" s="30" t="inlineStr">
        <is>
          <t>trato</t>
        </is>
      </c>
      <c r="O116" s="30" t="inlineStr">
        <is>
          <t>plt</t>
        </is>
      </c>
      <c r="P116" s="33" t="n">
        <v>600</v>
      </c>
      <c r="Q116" s="34" t="n">
        <v>3495.08</v>
      </c>
      <c r="R116" s="33" t="n">
        <v>2097048</v>
      </c>
      <c r="S116" s="35" t="n">
        <v>0.0202121212121212</v>
      </c>
      <c r="T116" s="33" t="n">
        <v>18.1909090909091</v>
      </c>
      <c r="U116" s="33" t="n">
        <v>0</v>
      </c>
      <c r="V116" s="33" t="n">
        <v>0</v>
      </c>
      <c r="W116" s="33" t="n">
        <v>2330.05333333333</v>
      </c>
      <c r="X116" s="33" t="n">
        <v>0</v>
      </c>
      <c r="Y116" s="33" t="n">
        <v>0</v>
      </c>
      <c r="Z116" s="33" t="n">
        <v>0</v>
      </c>
      <c r="AA116" s="33" t="n">
        <v>0</v>
      </c>
      <c r="AB116" s="33" t="n">
        <v>0</v>
      </c>
      <c r="AC116" s="33" t="n">
        <v>0</v>
      </c>
      <c r="AD116" s="33" t="n">
        <v>0</v>
      </c>
      <c r="AE116" s="33" t="n">
        <v>0</v>
      </c>
      <c r="AF116" s="33" t="n">
        <v>0</v>
      </c>
    </row>
    <row r="117" ht="15" customHeight="1" s="176">
      <c r="A117" s="36" t="inlineStr">
        <is>
          <t>P-0114</t>
        </is>
      </c>
      <c r="B117" s="36" t="inlineStr">
        <is>
          <t>2026/27</t>
        </is>
      </c>
      <c r="C117" s="36" t="inlineStr">
        <is>
          <t>El Molle</t>
        </is>
      </c>
      <c r="D117" s="37" t="inlineStr">
        <is>
          <t>oronules 5,35 ha</t>
        </is>
      </c>
      <c r="E117" s="36" t="inlineStr">
        <is>
          <t>Clementinas</t>
        </is>
      </c>
      <c r="F117" s="36" t="inlineStr">
        <is>
          <t>Oronules</t>
        </is>
      </c>
      <c r="G117" s="36" t="inlineStr">
        <is>
          <t>Producción</t>
        </is>
      </c>
      <c r="H117" s="38" t="n">
        <v>5.35</v>
      </c>
      <c r="I117" s="38" t="n">
        <v>5.35</v>
      </c>
      <c r="J117" s="36" t="inlineStr">
        <is>
          <t>Costo</t>
        </is>
      </c>
      <c r="K117" s="37" t="inlineStr">
        <is>
          <t>1- M.O. directa</t>
        </is>
      </c>
      <c r="L117" s="37" t="inlineStr">
        <is>
          <t>14- Poda de sierrpes</t>
        </is>
      </c>
      <c r="M117" s="37" t="inlineStr">
        <is>
          <t>no se hace</t>
        </is>
      </c>
      <c r="N117" s="36" t="inlineStr">
        <is>
          <t>trato</t>
        </is>
      </c>
      <c r="O117" s="36" t="inlineStr">
        <is>
          <t>plt</t>
        </is>
      </c>
      <c r="P117" s="39" t="n">
        <v>60</v>
      </c>
      <c r="Q117" s="40" t="n">
        <v>3568.45</v>
      </c>
      <c r="R117" s="39" t="n">
        <v>321160.5</v>
      </c>
      <c r="S117" s="41" t="n">
        <v>0.00222333333333333</v>
      </c>
      <c r="T117" s="39" t="n">
        <v>2.001</v>
      </c>
      <c r="U117" s="39" t="n">
        <v>0</v>
      </c>
      <c r="V117" s="39" t="n">
        <v>0</v>
      </c>
      <c r="W117" s="39" t="n">
        <v>0</v>
      </c>
      <c r="X117" s="39" t="n">
        <v>0</v>
      </c>
      <c r="Y117" s="39" t="n">
        <v>0</v>
      </c>
      <c r="Z117" s="39" t="n">
        <v>0</v>
      </c>
      <c r="AA117" s="39" t="n">
        <v>0</v>
      </c>
      <c r="AB117" s="39" t="n">
        <v>0</v>
      </c>
      <c r="AC117" s="39" t="n">
        <v>118.948333333333</v>
      </c>
      <c r="AD117" s="39" t="n">
        <v>118.948333333333</v>
      </c>
      <c r="AE117" s="39" t="n">
        <v>118.948333333333</v>
      </c>
      <c r="AF117" s="39" t="n">
        <v>0</v>
      </c>
    </row>
    <row r="118" ht="15" customHeight="1" s="176">
      <c r="A118" s="30" t="inlineStr">
        <is>
          <t>P-0115</t>
        </is>
      </c>
      <c r="B118" s="30" t="inlineStr">
        <is>
          <t>2026/27</t>
        </is>
      </c>
      <c r="C118" s="30" t="inlineStr">
        <is>
          <t>El Molle</t>
        </is>
      </c>
      <c r="D118" s="31" t="inlineStr">
        <is>
          <t>arrufatinas 5,74 ha</t>
        </is>
      </c>
      <c r="E118" s="30" t="inlineStr">
        <is>
          <t>Clementinas</t>
        </is>
      </c>
      <c r="F118" s="30" t="inlineStr">
        <is>
          <t>Arrufatinas</t>
        </is>
      </c>
      <c r="G118" s="30" t="inlineStr">
        <is>
          <t>Producción</t>
        </is>
      </c>
      <c r="H118" s="32" t="n">
        <v>5.74</v>
      </c>
      <c r="I118" s="32" t="n">
        <v>5.74</v>
      </c>
      <c r="J118" s="30" t="inlineStr">
        <is>
          <t>Costo</t>
        </is>
      </c>
      <c r="K118" s="31" t="inlineStr">
        <is>
          <t>1- M.O. directa</t>
        </is>
      </c>
      <c r="L118" s="31" t="inlineStr">
        <is>
          <t>14- Poda de sierrpes</t>
        </is>
      </c>
      <c r="M118" s="31" t="inlineStr">
        <is>
          <t>no se hace</t>
        </is>
      </c>
      <c r="N118" s="30" t="inlineStr">
        <is>
          <t>trato</t>
        </is>
      </c>
      <c r="O118" s="30" t="inlineStr">
        <is>
          <t>plt</t>
        </is>
      </c>
      <c r="P118" s="33" t="n">
        <v>60</v>
      </c>
      <c r="Q118" s="34" t="n">
        <v>3828.58</v>
      </c>
      <c r="R118" s="33" t="n">
        <v>344572.2</v>
      </c>
      <c r="S118" s="35" t="n">
        <v>0.002084375</v>
      </c>
      <c r="T118" s="33" t="n">
        <v>1.8759375</v>
      </c>
      <c r="U118" s="33" t="n">
        <v>0</v>
      </c>
      <c r="V118" s="33" t="n">
        <v>0</v>
      </c>
      <c r="W118" s="33" t="n">
        <v>0</v>
      </c>
      <c r="X118" s="33" t="n">
        <v>0</v>
      </c>
      <c r="Y118" s="33" t="n">
        <v>0</v>
      </c>
      <c r="Z118" s="33" t="n">
        <v>0</v>
      </c>
      <c r="AA118" s="33" t="n">
        <v>0</v>
      </c>
      <c r="AB118" s="33" t="n">
        <v>0</v>
      </c>
      <c r="AC118" s="33" t="n">
        <v>127.619333333333</v>
      </c>
      <c r="AD118" s="33" t="n">
        <v>127.619333333333</v>
      </c>
      <c r="AE118" s="33" t="n">
        <v>127.619333333333</v>
      </c>
      <c r="AF118" s="33" t="n">
        <v>0</v>
      </c>
    </row>
    <row r="119" ht="15" customHeight="1" s="176">
      <c r="A119" s="36" t="inlineStr">
        <is>
          <t>P-0116</t>
        </is>
      </c>
      <c r="B119" s="36" t="inlineStr">
        <is>
          <t>2026/27</t>
        </is>
      </c>
      <c r="C119" s="36" t="inlineStr">
        <is>
          <t>El Molle</t>
        </is>
      </c>
      <c r="D119" s="37" t="inlineStr">
        <is>
          <t>orogrande 8,11 ha</t>
        </is>
      </c>
      <c r="E119" s="36" t="inlineStr">
        <is>
          <t>Clementinas</t>
        </is>
      </c>
      <c r="F119" s="36" t="inlineStr">
        <is>
          <t>Orogrande</t>
        </is>
      </c>
      <c r="G119" s="36" t="inlineStr">
        <is>
          <t>Producción</t>
        </is>
      </c>
      <c r="H119" s="38" t="n">
        <v>8.109999999999999</v>
      </c>
      <c r="I119" s="38" t="n">
        <v>8.109999999999999</v>
      </c>
      <c r="J119" s="36" t="inlineStr">
        <is>
          <t>Costo</t>
        </is>
      </c>
      <c r="K119" s="37" t="inlineStr">
        <is>
          <t>1- M.O. directa</t>
        </is>
      </c>
      <c r="L119" s="37" t="inlineStr">
        <is>
          <t>14- Poda de sierrpes</t>
        </is>
      </c>
      <c r="M119" s="37" t="inlineStr">
        <is>
          <t>no se hace</t>
        </is>
      </c>
      <c r="N119" s="36" t="inlineStr">
        <is>
          <t>trato</t>
        </is>
      </c>
      <c r="O119" s="36" t="inlineStr">
        <is>
          <t>plt</t>
        </is>
      </c>
      <c r="P119" s="39" t="n">
        <v>60</v>
      </c>
      <c r="Q119" s="40" t="n">
        <v>5409.37</v>
      </c>
      <c r="R119" s="39" t="n">
        <v>486843.3</v>
      </c>
      <c r="S119" s="41" t="n">
        <v>0.00190571428571429</v>
      </c>
      <c r="T119" s="39" t="n">
        <v>1.71514285714286</v>
      </c>
      <c r="U119" s="39" t="n">
        <v>0</v>
      </c>
      <c r="V119" s="39" t="n">
        <v>0</v>
      </c>
      <c r="W119" s="39" t="n">
        <v>0</v>
      </c>
      <c r="X119" s="39" t="n">
        <v>0</v>
      </c>
      <c r="Y119" s="39" t="n">
        <v>0</v>
      </c>
      <c r="Z119" s="39" t="n">
        <v>0</v>
      </c>
      <c r="AA119" s="39" t="n">
        <v>0</v>
      </c>
      <c r="AB119" s="39" t="n">
        <v>0</v>
      </c>
      <c r="AC119" s="39" t="n">
        <v>180.312333333333</v>
      </c>
      <c r="AD119" s="39" t="n">
        <v>180.312333333333</v>
      </c>
      <c r="AE119" s="39" t="n">
        <v>180.312333333333</v>
      </c>
      <c r="AF119" s="39" t="n">
        <v>0</v>
      </c>
    </row>
    <row r="120" ht="15" customHeight="1" s="176">
      <c r="A120" s="30" t="inlineStr">
        <is>
          <t>P-0117</t>
        </is>
      </c>
      <c r="B120" s="30" t="inlineStr">
        <is>
          <t>2026/27</t>
        </is>
      </c>
      <c r="C120" s="30" t="inlineStr">
        <is>
          <t>El Molle</t>
        </is>
      </c>
      <c r="D120" s="31" t="inlineStr">
        <is>
          <t>oronules 5,35 ha</t>
        </is>
      </c>
      <c r="E120" s="30" t="inlineStr">
        <is>
          <t>Clementinas</t>
        </is>
      </c>
      <c r="F120" s="30" t="inlineStr">
        <is>
          <t>Oronules</t>
        </is>
      </c>
      <c r="G120" s="30" t="inlineStr">
        <is>
          <t>Producción</t>
        </is>
      </c>
      <c r="H120" s="32" t="n">
        <v>5.35</v>
      </c>
      <c r="I120" s="32" t="n">
        <v>5.35</v>
      </c>
      <c r="J120" s="30" t="inlineStr">
        <is>
          <t>Costo</t>
        </is>
      </c>
      <c r="K120" s="31" t="inlineStr">
        <is>
          <t>1- M.O. directa</t>
        </is>
      </c>
      <c r="L120" s="31" t="inlineStr">
        <is>
          <t>15- Poda</t>
        </is>
      </c>
      <c r="M120" s="31" t="n"/>
      <c r="N120" s="30" t="inlineStr">
        <is>
          <t>trato</t>
        </is>
      </c>
      <c r="O120" s="30" t="inlineStr">
        <is>
          <t>plt</t>
        </is>
      </c>
      <c r="P120" s="33" t="n">
        <v>450</v>
      </c>
      <c r="Q120" s="34" t="n">
        <v>3568.45</v>
      </c>
      <c r="R120" s="33" t="n">
        <v>1605802.5</v>
      </c>
      <c r="S120" s="35" t="n">
        <v>0.0111166666666667</v>
      </c>
      <c r="T120" s="33" t="n">
        <v>10.005</v>
      </c>
      <c r="U120" s="33" t="n">
        <v>0</v>
      </c>
      <c r="V120" s="33" t="n">
        <v>0</v>
      </c>
      <c r="W120" s="33" t="n">
        <v>1784.225</v>
      </c>
      <c r="X120" s="33" t="n">
        <v>0</v>
      </c>
      <c r="Y120" s="33" t="n">
        <v>0</v>
      </c>
      <c r="Z120" s="33" t="n">
        <v>0</v>
      </c>
      <c r="AA120" s="33" t="n">
        <v>0</v>
      </c>
      <c r="AB120" s="33" t="n">
        <v>0</v>
      </c>
      <c r="AC120" s="33" t="n">
        <v>0</v>
      </c>
      <c r="AD120" s="33" t="n">
        <v>0</v>
      </c>
      <c r="AE120" s="33" t="n">
        <v>0</v>
      </c>
      <c r="AF120" s="33" t="n">
        <v>0</v>
      </c>
    </row>
    <row r="121" ht="15" customHeight="1" s="176">
      <c r="A121" s="36" t="inlineStr">
        <is>
          <t>P-0118</t>
        </is>
      </c>
      <c r="B121" s="36" t="inlineStr">
        <is>
          <t>2026/27</t>
        </is>
      </c>
      <c r="C121" s="36" t="inlineStr">
        <is>
          <t>El Molle</t>
        </is>
      </c>
      <c r="D121" s="37" t="inlineStr">
        <is>
          <t>arrufatinas 5,74 ha</t>
        </is>
      </c>
      <c r="E121" s="36" t="inlineStr">
        <is>
          <t>Clementinas</t>
        </is>
      </c>
      <c r="F121" s="36" t="inlineStr">
        <is>
          <t>Arrufatinas</t>
        </is>
      </c>
      <c r="G121" s="36" t="inlineStr">
        <is>
          <t>Producción</t>
        </is>
      </c>
      <c r="H121" s="38" t="n">
        <v>5.74</v>
      </c>
      <c r="I121" s="38" t="n">
        <v>5.74</v>
      </c>
      <c r="J121" s="36" t="inlineStr">
        <is>
          <t>Costo</t>
        </is>
      </c>
      <c r="K121" s="37" t="inlineStr">
        <is>
          <t>1- M.O. directa</t>
        </is>
      </c>
      <c r="L121" s="37" t="inlineStr">
        <is>
          <t>15- Poda</t>
        </is>
      </c>
      <c r="M121" s="37" t="n"/>
      <c r="N121" s="36" t="inlineStr">
        <is>
          <t>trato</t>
        </is>
      </c>
      <c r="O121" s="36" t="inlineStr">
        <is>
          <t>plt</t>
        </is>
      </c>
      <c r="P121" s="39" t="n">
        <v>450</v>
      </c>
      <c r="Q121" s="40" t="n">
        <v>3828.58</v>
      </c>
      <c r="R121" s="39" t="n">
        <v>1722861</v>
      </c>
      <c r="S121" s="41" t="n">
        <v>0.010421875</v>
      </c>
      <c r="T121" s="39" t="n">
        <v>9.379687499999999</v>
      </c>
      <c r="U121" s="39" t="n">
        <v>0</v>
      </c>
      <c r="V121" s="39" t="n">
        <v>0</v>
      </c>
      <c r="W121" s="39" t="n">
        <v>1914.29</v>
      </c>
      <c r="X121" s="39" t="n">
        <v>0</v>
      </c>
      <c r="Y121" s="39" t="n">
        <v>0</v>
      </c>
      <c r="Z121" s="39" t="n">
        <v>0</v>
      </c>
      <c r="AA121" s="39" t="n">
        <v>0</v>
      </c>
      <c r="AB121" s="39" t="n">
        <v>0</v>
      </c>
      <c r="AC121" s="39" t="n">
        <v>0</v>
      </c>
      <c r="AD121" s="39" t="n">
        <v>0</v>
      </c>
      <c r="AE121" s="39" t="n">
        <v>0</v>
      </c>
      <c r="AF121" s="39" t="n">
        <v>0</v>
      </c>
    </row>
    <row r="122" ht="15" customHeight="1" s="176">
      <c r="A122" s="30" t="inlineStr">
        <is>
          <t>P-0119</t>
        </is>
      </c>
      <c r="B122" s="30" t="inlineStr">
        <is>
          <t>2026/27</t>
        </is>
      </c>
      <c r="C122" s="30" t="inlineStr">
        <is>
          <t>El Molle</t>
        </is>
      </c>
      <c r="D122" s="31" t="inlineStr">
        <is>
          <t>orogrande 8,11 ha</t>
        </is>
      </c>
      <c r="E122" s="30" t="inlineStr">
        <is>
          <t>Clementinas</t>
        </is>
      </c>
      <c r="F122" s="30" t="inlineStr">
        <is>
          <t>Orogrande</t>
        </is>
      </c>
      <c r="G122" s="30" t="inlineStr">
        <is>
          <t>Producción</t>
        </is>
      </c>
      <c r="H122" s="32" t="n">
        <v>8.109999999999999</v>
      </c>
      <c r="I122" s="32" t="n">
        <v>8.109999999999999</v>
      </c>
      <c r="J122" s="30" t="inlineStr">
        <is>
          <t>Costo</t>
        </is>
      </c>
      <c r="K122" s="31" t="inlineStr">
        <is>
          <t>1- M.O. directa</t>
        </is>
      </c>
      <c r="L122" s="31" t="inlineStr">
        <is>
          <t>15- Poda</t>
        </is>
      </c>
      <c r="M122" s="31" t="n"/>
      <c r="N122" s="30" t="inlineStr">
        <is>
          <t>trato</t>
        </is>
      </c>
      <c r="O122" s="30" t="inlineStr">
        <is>
          <t>plt</t>
        </is>
      </c>
      <c r="P122" s="33" t="n">
        <v>900</v>
      </c>
      <c r="Q122" s="34" t="n">
        <v>5409.37</v>
      </c>
      <c r="R122" s="33" t="n">
        <v>4868433</v>
      </c>
      <c r="S122" s="35" t="n">
        <v>0.0190571428571429</v>
      </c>
      <c r="T122" s="33" t="n">
        <v>17.1514285714286</v>
      </c>
      <c r="U122" s="33" t="n">
        <v>0</v>
      </c>
      <c r="V122" s="33" t="n">
        <v>0</v>
      </c>
      <c r="W122" s="33" t="n">
        <v>5409.37</v>
      </c>
      <c r="X122" s="33" t="n">
        <v>0</v>
      </c>
      <c r="Y122" s="33" t="n">
        <v>0</v>
      </c>
      <c r="Z122" s="33" t="n">
        <v>0</v>
      </c>
      <c r="AA122" s="33" t="n">
        <v>0</v>
      </c>
      <c r="AB122" s="33" t="n">
        <v>0</v>
      </c>
      <c r="AC122" s="33" t="n">
        <v>0</v>
      </c>
      <c r="AD122" s="33" t="n">
        <v>0</v>
      </c>
      <c r="AE122" s="33" t="n">
        <v>0</v>
      </c>
      <c r="AF122" s="33" t="n">
        <v>0</v>
      </c>
    </row>
    <row r="123" ht="15" customHeight="1" s="176">
      <c r="A123" s="36" t="inlineStr">
        <is>
          <t>P-0120</t>
        </is>
      </c>
      <c r="B123" s="36" t="inlineStr">
        <is>
          <t>2026/27</t>
        </is>
      </c>
      <c r="C123" s="36" t="inlineStr">
        <is>
          <t>El Molle</t>
        </is>
      </c>
      <c r="D123" s="37" t="inlineStr">
        <is>
          <t>Wonderful 5,25 ha</t>
        </is>
      </c>
      <c r="E123" s="36" t="inlineStr">
        <is>
          <t>Granados</t>
        </is>
      </c>
      <c r="F123" s="36" t="inlineStr">
        <is>
          <t>Wonderfull</t>
        </is>
      </c>
      <c r="G123" s="36" t="inlineStr">
        <is>
          <t>Producción</t>
        </is>
      </c>
      <c r="H123" s="38" t="n">
        <v>5.24</v>
      </c>
      <c r="I123" s="38" t="n">
        <v>5.24</v>
      </c>
      <c r="J123" s="36" t="inlineStr">
        <is>
          <t>Costo</t>
        </is>
      </c>
      <c r="K123" s="37" t="inlineStr">
        <is>
          <t>1- M.O. directa</t>
        </is>
      </c>
      <c r="L123" s="37" t="inlineStr">
        <is>
          <t>16- Supervisor poda</t>
        </is>
      </c>
      <c r="M123" s="37" t="n"/>
      <c r="N123" s="36" t="inlineStr">
        <is>
          <t>día</t>
        </is>
      </c>
      <c r="O123" s="36" t="inlineStr">
        <is>
          <t>plt</t>
        </is>
      </c>
      <c r="P123" s="39" t="n">
        <v>75</v>
      </c>
      <c r="Q123" s="40" t="n">
        <v>3495.08</v>
      </c>
      <c r="R123" s="39" t="n">
        <v>262131</v>
      </c>
      <c r="S123" s="41" t="n">
        <v>0.00252651515151515</v>
      </c>
      <c r="T123" s="39" t="n">
        <v>2.27386363636364</v>
      </c>
      <c r="U123" s="39" t="n">
        <v>0</v>
      </c>
      <c r="V123" s="39" t="n">
        <v>0</v>
      </c>
      <c r="W123" s="39" t="n">
        <v>291.256666666667</v>
      </c>
      <c r="X123" s="39" t="n">
        <v>0</v>
      </c>
      <c r="Y123" s="39" t="n">
        <v>0</v>
      </c>
      <c r="Z123" s="39" t="n">
        <v>0</v>
      </c>
      <c r="AA123" s="39" t="n">
        <v>0</v>
      </c>
      <c r="AB123" s="39" t="n">
        <v>0</v>
      </c>
      <c r="AC123" s="39" t="n">
        <v>0</v>
      </c>
      <c r="AD123" s="39" t="n">
        <v>0</v>
      </c>
      <c r="AE123" s="39" t="n">
        <v>0</v>
      </c>
      <c r="AF123" s="39" t="n">
        <v>0</v>
      </c>
    </row>
    <row r="124" ht="15" customHeight="1" s="176">
      <c r="A124" s="30" t="inlineStr">
        <is>
          <t>P-0121</t>
        </is>
      </c>
      <c r="B124" s="30" t="inlineStr">
        <is>
          <t>2026/27</t>
        </is>
      </c>
      <c r="C124" s="30" t="inlineStr">
        <is>
          <t>El Molle</t>
        </is>
      </c>
      <c r="D124" s="31" t="inlineStr">
        <is>
          <t>Wonderful 5,25 ha</t>
        </is>
      </c>
      <c r="E124" s="30" t="inlineStr">
        <is>
          <t>Granados</t>
        </is>
      </c>
      <c r="F124" s="30" t="inlineStr">
        <is>
          <t>Wonderfull</t>
        </is>
      </c>
      <c r="G124" s="30" t="inlineStr">
        <is>
          <t>Producción</t>
        </is>
      </c>
      <c r="H124" s="32" t="n">
        <v>5.24</v>
      </c>
      <c r="I124" s="32" t="n">
        <v>5.24</v>
      </c>
      <c r="J124" s="30" t="inlineStr">
        <is>
          <t>Costo</t>
        </is>
      </c>
      <c r="K124" s="31" t="inlineStr">
        <is>
          <t>1- M.O. directa</t>
        </is>
      </c>
      <c r="L124" s="31" t="inlineStr">
        <is>
          <t>17- Recepción, pesaje y despacho</t>
        </is>
      </c>
      <c r="M124" s="31" t="inlineStr">
        <is>
          <t>un jh   para 100  jh</t>
        </is>
      </c>
      <c r="N124" s="30" t="inlineStr">
        <is>
          <t>día</t>
        </is>
      </c>
      <c r="O124" s="30" t="inlineStr">
        <is>
          <t>kg</t>
        </is>
      </c>
      <c r="P124" s="33" t="n">
        <v>1.2</v>
      </c>
      <c r="Q124" s="34" t="n">
        <v>115280</v>
      </c>
      <c r="R124" s="33" t="n">
        <v>166003.2</v>
      </c>
      <c r="S124" s="35" t="n">
        <v>0.0016</v>
      </c>
      <c r="T124" s="33" t="n">
        <v>1.44</v>
      </c>
      <c r="U124" s="33" t="n">
        <v>30.7413333333333</v>
      </c>
      <c r="V124" s="33" t="n">
        <v>0</v>
      </c>
      <c r="W124" s="33" t="n">
        <v>0</v>
      </c>
      <c r="X124" s="33" t="n">
        <v>0</v>
      </c>
      <c r="Y124" s="33" t="n">
        <v>0</v>
      </c>
      <c r="Z124" s="33" t="n">
        <v>0</v>
      </c>
      <c r="AA124" s="33" t="n">
        <v>0</v>
      </c>
      <c r="AB124" s="33" t="n">
        <v>0</v>
      </c>
      <c r="AC124" s="33" t="n">
        <v>0</v>
      </c>
      <c r="AD124" s="33" t="n">
        <v>0</v>
      </c>
      <c r="AE124" s="33" t="n">
        <v>0</v>
      </c>
      <c r="AF124" s="33" t="n">
        <v>153.706666666667</v>
      </c>
    </row>
    <row r="125" ht="15" customHeight="1" s="176">
      <c r="A125" s="36" t="inlineStr">
        <is>
          <t>P-0122</t>
        </is>
      </c>
      <c r="B125" s="36" t="inlineStr">
        <is>
          <t>2026/27</t>
        </is>
      </c>
      <c r="C125" s="36" t="inlineStr">
        <is>
          <t>El Molle</t>
        </is>
      </c>
      <c r="D125" s="37" t="inlineStr">
        <is>
          <t>oronules 5,35 ha</t>
        </is>
      </c>
      <c r="E125" s="36" t="inlineStr">
        <is>
          <t>Clementinas</t>
        </is>
      </c>
      <c r="F125" s="36" t="inlineStr">
        <is>
          <t>Oronules</t>
        </is>
      </c>
      <c r="G125" s="36" t="inlineStr">
        <is>
          <t>Producción</t>
        </is>
      </c>
      <c r="H125" s="38" t="n">
        <v>5.35</v>
      </c>
      <c r="I125" s="38" t="n">
        <v>5.35</v>
      </c>
      <c r="J125" s="36" t="inlineStr">
        <is>
          <t>Costo</t>
        </is>
      </c>
      <c r="K125" s="37" t="inlineStr">
        <is>
          <t>1- M.O. directa</t>
        </is>
      </c>
      <c r="L125" s="37" t="inlineStr">
        <is>
          <t>16- Supervisor poda</t>
        </is>
      </c>
      <c r="M125" s="37" t="n"/>
      <c r="N125" s="36" t="inlineStr">
        <is>
          <t>día</t>
        </is>
      </c>
      <c r="O125" s="36" t="inlineStr">
        <is>
          <t>plt</t>
        </is>
      </c>
      <c r="P125" s="39" t="n">
        <v>75</v>
      </c>
      <c r="Q125" s="40" t="n">
        <v>3568.45</v>
      </c>
      <c r="R125" s="39" t="n">
        <v>267633.75</v>
      </c>
      <c r="S125" s="41" t="n">
        <v>0.00185277777777778</v>
      </c>
      <c r="T125" s="39" t="n">
        <v>1.6675</v>
      </c>
      <c r="U125" s="39" t="n">
        <v>0</v>
      </c>
      <c r="V125" s="39" t="n">
        <v>0</v>
      </c>
      <c r="W125" s="39" t="n">
        <v>297.370833333333</v>
      </c>
      <c r="X125" s="39" t="n">
        <v>0</v>
      </c>
      <c r="Y125" s="39" t="n">
        <v>0</v>
      </c>
      <c r="Z125" s="39" t="n">
        <v>0</v>
      </c>
      <c r="AA125" s="39" t="n">
        <v>0</v>
      </c>
      <c r="AB125" s="39" t="n">
        <v>0</v>
      </c>
      <c r="AC125" s="39" t="n">
        <v>0</v>
      </c>
      <c r="AD125" s="39" t="n">
        <v>0</v>
      </c>
      <c r="AE125" s="39" t="n">
        <v>0</v>
      </c>
      <c r="AF125" s="39" t="n">
        <v>0</v>
      </c>
    </row>
    <row r="126" ht="15" customHeight="1" s="176">
      <c r="A126" s="30" t="inlineStr">
        <is>
          <t>P-0123</t>
        </is>
      </c>
      <c r="B126" s="30" t="inlineStr">
        <is>
          <t>2026/27</t>
        </is>
      </c>
      <c r="C126" s="30" t="inlineStr">
        <is>
          <t>El Molle</t>
        </is>
      </c>
      <c r="D126" s="31" t="inlineStr">
        <is>
          <t>arrufatinas 5,74 ha</t>
        </is>
      </c>
      <c r="E126" s="30" t="inlineStr">
        <is>
          <t>Clementinas</t>
        </is>
      </c>
      <c r="F126" s="30" t="inlineStr">
        <is>
          <t>Arrufatinas</t>
        </is>
      </c>
      <c r="G126" s="30" t="inlineStr">
        <is>
          <t>Producción</t>
        </is>
      </c>
      <c r="H126" s="32" t="n">
        <v>5.74</v>
      </c>
      <c r="I126" s="32" t="n">
        <v>5.74</v>
      </c>
      <c r="J126" s="30" t="inlineStr">
        <is>
          <t>Costo</t>
        </is>
      </c>
      <c r="K126" s="31" t="inlineStr">
        <is>
          <t>1- M.O. directa</t>
        </is>
      </c>
      <c r="L126" s="31" t="inlineStr">
        <is>
          <t>16- Supervisor poda</t>
        </is>
      </c>
      <c r="M126" s="31" t="n"/>
      <c r="N126" s="30" t="inlineStr">
        <is>
          <t>día</t>
        </is>
      </c>
      <c r="O126" s="30" t="inlineStr">
        <is>
          <t>plt</t>
        </is>
      </c>
      <c r="P126" s="33" t="n">
        <v>75</v>
      </c>
      <c r="Q126" s="34" t="n">
        <v>3828.58</v>
      </c>
      <c r="R126" s="33" t="n">
        <v>287143.5</v>
      </c>
      <c r="S126" s="35" t="n">
        <v>0.00173697916666667</v>
      </c>
      <c r="T126" s="33" t="n">
        <v>1.56328125</v>
      </c>
      <c r="U126" s="33" t="n">
        <v>0</v>
      </c>
      <c r="V126" s="33" t="n">
        <v>0</v>
      </c>
      <c r="W126" s="33" t="n">
        <v>319.048333333333</v>
      </c>
      <c r="X126" s="33" t="n">
        <v>0</v>
      </c>
      <c r="Y126" s="33" t="n">
        <v>0</v>
      </c>
      <c r="Z126" s="33" t="n">
        <v>0</v>
      </c>
      <c r="AA126" s="33" t="n">
        <v>0</v>
      </c>
      <c r="AB126" s="33" t="n">
        <v>0</v>
      </c>
      <c r="AC126" s="33" t="n">
        <v>0</v>
      </c>
      <c r="AD126" s="33" t="n">
        <v>0</v>
      </c>
      <c r="AE126" s="33" t="n">
        <v>0</v>
      </c>
      <c r="AF126" s="33" t="n">
        <v>0</v>
      </c>
    </row>
    <row r="127" ht="15" customHeight="1" s="176">
      <c r="A127" s="36" t="inlineStr">
        <is>
          <t>P-0124</t>
        </is>
      </c>
      <c r="B127" s="36" t="inlineStr">
        <is>
          <t>2026/27</t>
        </is>
      </c>
      <c r="C127" s="36" t="inlineStr">
        <is>
          <t>El Molle</t>
        </is>
      </c>
      <c r="D127" s="37" t="inlineStr">
        <is>
          <t>orogrande 8,11 ha</t>
        </is>
      </c>
      <c r="E127" s="36" t="inlineStr">
        <is>
          <t>Clementinas</t>
        </is>
      </c>
      <c r="F127" s="36" t="inlineStr">
        <is>
          <t>Orogrande</t>
        </is>
      </c>
      <c r="G127" s="36" t="inlineStr">
        <is>
          <t>Producción</t>
        </is>
      </c>
      <c r="H127" s="38" t="n">
        <v>8.109999999999999</v>
      </c>
      <c r="I127" s="38" t="n">
        <v>8.109999999999999</v>
      </c>
      <c r="J127" s="36" t="inlineStr">
        <is>
          <t>Costo</t>
        </is>
      </c>
      <c r="K127" s="37" t="inlineStr">
        <is>
          <t>1- M.O. directa</t>
        </is>
      </c>
      <c r="L127" s="37" t="inlineStr">
        <is>
          <t>16- Supervisor poda</t>
        </is>
      </c>
      <c r="M127" s="37" t="n"/>
      <c r="N127" s="36" t="inlineStr">
        <is>
          <t>día</t>
        </is>
      </c>
      <c r="O127" s="36" t="inlineStr">
        <is>
          <t>plt</t>
        </is>
      </c>
      <c r="P127" s="39" t="n">
        <v>75</v>
      </c>
      <c r="Q127" s="40" t="n">
        <v>5409.37</v>
      </c>
      <c r="R127" s="39" t="n">
        <v>405702.75</v>
      </c>
      <c r="S127" s="41" t="n">
        <v>0.00158809523809524</v>
      </c>
      <c r="T127" s="39" t="n">
        <v>1.42928571428571</v>
      </c>
      <c r="U127" s="39" t="n">
        <v>0</v>
      </c>
      <c r="V127" s="39" t="n">
        <v>0</v>
      </c>
      <c r="W127" s="39" t="n">
        <v>450.780833333333</v>
      </c>
      <c r="X127" s="39" t="n">
        <v>0</v>
      </c>
      <c r="Y127" s="39" t="n">
        <v>0</v>
      </c>
      <c r="Z127" s="39" t="n">
        <v>0</v>
      </c>
      <c r="AA127" s="39" t="n">
        <v>0</v>
      </c>
      <c r="AB127" s="39" t="n">
        <v>0</v>
      </c>
      <c r="AC127" s="39" t="n">
        <v>0</v>
      </c>
      <c r="AD127" s="39" t="n">
        <v>0</v>
      </c>
      <c r="AE127" s="39" t="n">
        <v>0</v>
      </c>
      <c r="AF127" s="39" t="n">
        <v>0</v>
      </c>
    </row>
    <row r="128" ht="15" customHeight="1" s="176">
      <c r="A128" s="30" t="inlineStr">
        <is>
          <t>P-0125</t>
        </is>
      </c>
      <c r="B128" s="30" t="inlineStr">
        <is>
          <t>2026/27</t>
        </is>
      </c>
      <c r="C128" s="30" t="inlineStr">
        <is>
          <t>El Molle</t>
        </is>
      </c>
      <c r="D128" s="31" t="inlineStr">
        <is>
          <t>Wonderful 5,25 ha</t>
        </is>
      </c>
      <c r="E128" s="30" t="inlineStr">
        <is>
          <t>Granados</t>
        </is>
      </c>
      <c r="F128" s="30" t="inlineStr">
        <is>
          <t>Wonderfull</t>
        </is>
      </c>
      <c r="G128" s="30" t="inlineStr">
        <is>
          <t>Producción</t>
        </is>
      </c>
      <c r="H128" s="32" t="n">
        <v>5.24</v>
      </c>
      <c r="I128" s="32" t="n">
        <v>5.24</v>
      </c>
      <c r="J128" s="30" t="inlineStr">
        <is>
          <t>Costo</t>
        </is>
      </c>
      <c r="K128" s="31" t="inlineStr">
        <is>
          <t>2- M.O. indirecta</t>
        </is>
      </c>
      <c r="L128" s="31" t="inlineStr">
        <is>
          <t>9,1- RONDIN FUNDO</t>
        </is>
      </c>
      <c r="M128" s="31" t="n"/>
      <c r="N128" s="30" t="inlineStr">
        <is>
          <t>día</t>
        </is>
      </c>
      <c r="O128" s="30" t="inlineStr">
        <is>
          <t>JH</t>
        </is>
      </c>
      <c r="P128" s="33" t="n">
        <v>38500</v>
      </c>
      <c r="Q128" s="34" t="n">
        <v>1</v>
      </c>
      <c r="R128" s="33" t="n">
        <v>384846</v>
      </c>
      <c r="S128" s="35" t="n">
        <v>0.00370928753180662</v>
      </c>
      <c r="T128" s="33" t="n">
        <v>3.33835877862596</v>
      </c>
      <c r="U128" s="33" t="n">
        <v>35.6338888888889</v>
      </c>
      <c r="V128" s="33" t="n">
        <v>35.6338888888889</v>
      </c>
      <c r="W128" s="33" t="n">
        <v>35.6338888888889</v>
      </c>
      <c r="X128" s="33" t="n">
        <v>35.6338888888889</v>
      </c>
      <c r="Y128" s="33" t="n">
        <v>35.6338888888889</v>
      </c>
      <c r="Z128" s="33" t="n">
        <v>35.6338888888889</v>
      </c>
      <c r="AA128" s="33" t="n">
        <v>35.6338888888889</v>
      </c>
      <c r="AB128" s="33" t="n">
        <v>35.6338888888889</v>
      </c>
      <c r="AC128" s="33" t="n">
        <v>35.6338888888889</v>
      </c>
      <c r="AD128" s="33" t="n">
        <v>35.6338888888889</v>
      </c>
      <c r="AE128" s="33" t="n">
        <v>35.6338888888889</v>
      </c>
      <c r="AF128" s="33" t="n">
        <v>35.6338888888889</v>
      </c>
    </row>
    <row r="129" ht="15" customHeight="1" s="176">
      <c r="A129" s="36" t="inlineStr">
        <is>
          <t>P-0126</t>
        </is>
      </c>
      <c r="B129" s="36" t="inlineStr">
        <is>
          <t>2026/27</t>
        </is>
      </c>
      <c r="C129" s="36" t="inlineStr">
        <is>
          <t>El Molle</t>
        </is>
      </c>
      <c r="D129" s="37" t="inlineStr">
        <is>
          <t>oronules 5,35 ha</t>
        </is>
      </c>
      <c r="E129" s="36" t="inlineStr">
        <is>
          <t>Clementinas</t>
        </is>
      </c>
      <c r="F129" s="36" t="inlineStr">
        <is>
          <t>Oronules</t>
        </is>
      </c>
      <c r="G129" s="36" t="inlineStr">
        <is>
          <t>Producción</t>
        </is>
      </c>
      <c r="H129" s="38" t="n">
        <v>5.35</v>
      </c>
      <c r="I129" s="38" t="n">
        <v>5.35</v>
      </c>
      <c r="J129" s="36" t="inlineStr">
        <is>
          <t>Costo</t>
        </is>
      </c>
      <c r="K129" s="37" t="inlineStr">
        <is>
          <t>1- M.O. directa</t>
        </is>
      </c>
      <c r="L129" s="37" t="inlineStr">
        <is>
          <t>17- Recepción, pesaje y despacho</t>
        </is>
      </c>
      <c r="M129" s="37" t="inlineStr">
        <is>
          <t>un jh   para 100  jh</t>
        </is>
      </c>
      <c r="N129" s="36" t="inlineStr">
        <is>
          <t>día</t>
        </is>
      </c>
      <c r="O129" s="36" t="inlineStr">
        <is>
          <t>kg</t>
        </is>
      </c>
      <c r="P129" s="39" t="n">
        <v>1.2</v>
      </c>
      <c r="Q129" s="40" t="n">
        <v>160500</v>
      </c>
      <c r="R129" s="39" t="n">
        <v>231120</v>
      </c>
      <c r="S129" s="41" t="n">
        <v>0.0016</v>
      </c>
      <c r="T129" s="39" t="n">
        <v>1.44</v>
      </c>
      <c r="U129" s="39" t="n">
        <v>214</v>
      </c>
      <c r="V129" s="39" t="n">
        <v>42.8</v>
      </c>
      <c r="W129" s="39" t="n">
        <v>0</v>
      </c>
      <c r="X129" s="39" t="n">
        <v>0</v>
      </c>
      <c r="Y129" s="39" t="n">
        <v>0</v>
      </c>
      <c r="Z129" s="39" t="n">
        <v>0</v>
      </c>
      <c r="AA129" s="39" t="n">
        <v>0</v>
      </c>
      <c r="AB129" s="39" t="n">
        <v>0</v>
      </c>
      <c r="AC129" s="39" t="n">
        <v>0</v>
      </c>
      <c r="AD129" s="39" t="n">
        <v>0</v>
      </c>
      <c r="AE129" s="39" t="n">
        <v>0</v>
      </c>
      <c r="AF129" s="39" t="n">
        <v>0</v>
      </c>
    </row>
    <row r="130" ht="15" customHeight="1" s="176">
      <c r="A130" s="30" t="inlineStr">
        <is>
          <t>P-0127</t>
        </is>
      </c>
      <c r="B130" s="30" t="inlineStr">
        <is>
          <t>2026/27</t>
        </is>
      </c>
      <c r="C130" s="30" t="inlineStr">
        <is>
          <t>El Molle</t>
        </is>
      </c>
      <c r="D130" s="31" t="inlineStr">
        <is>
          <t>arrufatinas 5,74 ha</t>
        </is>
      </c>
      <c r="E130" s="30" t="inlineStr">
        <is>
          <t>Clementinas</t>
        </is>
      </c>
      <c r="F130" s="30" t="inlineStr">
        <is>
          <t>Arrufatinas</t>
        </is>
      </c>
      <c r="G130" s="30" t="inlineStr">
        <is>
          <t>Producción</t>
        </is>
      </c>
      <c r="H130" s="32" t="n">
        <v>5.74</v>
      </c>
      <c r="I130" s="32" t="n">
        <v>5.74</v>
      </c>
      <c r="J130" s="30" t="inlineStr">
        <is>
          <t>Costo</t>
        </is>
      </c>
      <c r="K130" s="31" t="inlineStr">
        <is>
          <t>1- M.O. directa</t>
        </is>
      </c>
      <c r="L130" s="31" t="inlineStr">
        <is>
          <t>17- Recepción, pesaje y despacho</t>
        </is>
      </c>
      <c r="M130" s="31" t="inlineStr">
        <is>
          <t>un jh   para 100  jh</t>
        </is>
      </c>
      <c r="N130" s="30" t="inlineStr">
        <is>
          <t>día</t>
        </is>
      </c>
      <c r="O130" s="30" t="inlineStr">
        <is>
          <t>kg</t>
        </is>
      </c>
      <c r="P130" s="33" t="n">
        <v>1.2</v>
      </c>
      <c r="Q130" s="34" t="n">
        <v>183680</v>
      </c>
      <c r="R130" s="33" t="n">
        <v>264499.2</v>
      </c>
      <c r="S130" s="35" t="n">
        <v>0.0016</v>
      </c>
      <c r="T130" s="33" t="n">
        <v>1.44</v>
      </c>
      <c r="U130" s="33" t="n">
        <v>244.906666666667</v>
      </c>
      <c r="V130" s="33" t="n">
        <v>48.9813333333333</v>
      </c>
      <c r="W130" s="33" t="n">
        <v>0</v>
      </c>
      <c r="X130" s="33" t="n">
        <v>0</v>
      </c>
      <c r="Y130" s="33" t="n">
        <v>0</v>
      </c>
      <c r="Z130" s="33" t="n">
        <v>0</v>
      </c>
      <c r="AA130" s="33" t="n">
        <v>0</v>
      </c>
      <c r="AB130" s="33" t="n">
        <v>0</v>
      </c>
      <c r="AC130" s="33" t="n">
        <v>0</v>
      </c>
      <c r="AD130" s="33" t="n">
        <v>0</v>
      </c>
      <c r="AE130" s="33" t="n">
        <v>0</v>
      </c>
      <c r="AF130" s="33" t="n">
        <v>0</v>
      </c>
    </row>
    <row r="131" ht="15" customHeight="1" s="176">
      <c r="A131" s="36" t="inlineStr">
        <is>
          <t>P-0128</t>
        </is>
      </c>
      <c r="B131" s="36" t="inlineStr">
        <is>
          <t>2026/27</t>
        </is>
      </c>
      <c r="C131" s="36" t="inlineStr">
        <is>
          <t>El Molle</t>
        </is>
      </c>
      <c r="D131" s="37" t="inlineStr">
        <is>
          <t>orogrande 8,11 ha</t>
        </is>
      </c>
      <c r="E131" s="36" t="inlineStr">
        <is>
          <t>Clementinas</t>
        </is>
      </c>
      <c r="F131" s="36" t="inlineStr">
        <is>
          <t>Orogrande</t>
        </is>
      </c>
      <c r="G131" s="36" t="inlineStr">
        <is>
          <t>Producción</t>
        </is>
      </c>
      <c r="H131" s="38" t="n">
        <v>8.109999999999999</v>
      </c>
      <c r="I131" s="38" t="n">
        <v>8.109999999999999</v>
      </c>
      <c r="J131" s="36" t="inlineStr">
        <is>
          <t>Costo</t>
        </is>
      </c>
      <c r="K131" s="37" t="inlineStr">
        <is>
          <t>1- M.O. directa</t>
        </is>
      </c>
      <c r="L131" s="37" t="inlineStr">
        <is>
          <t>17- Recepción, pesaje y despacho</t>
        </is>
      </c>
      <c r="M131" s="37" t="inlineStr">
        <is>
          <t>un jh   para 100  jh</t>
        </is>
      </c>
      <c r="N131" s="36" t="inlineStr">
        <is>
          <t>día</t>
        </is>
      </c>
      <c r="O131" s="36" t="inlineStr">
        <is>
          <t>kg</t>
        </is>
      </c>
      <c r="P131" s="39" t="n">
        <v>1.2</v>
      </c>
      <c r="Q131" s="40" t="n">
        <v>283850</v>
      </c>
      <c r="R131" s="39" t="n">
        <v>408744</v>
      </c>
      <c r="S131" s="41" t="n">
        <v>0.0016</v>
      </c>
      <c r="T131" s="39" t="n">
        <v>1.44</v>
      </c>
      <c r="U131" s="39" t="n">
        <v>0</v>
      </c>
      <c r="V131" s="39" t="n">
        <v>378.466666666667</v>
      </c>
      <c r="W131" s="39" t="n">
        <v>75.6933333333333</v>
      </c>
      <c r="X131" s="39" t="n">
        <v>0</v>
      </c>
      <c r="Y131" s="39" t="n">
        <v>0</v>
      </c>
      <c r="Z131" s="39" t="n">
        <v>0</v>
      </c>
      <c r="AA131" s="39" t="n">
        <v>0</v>
      </c>
      <c r="AB131" s="39" t="n">
        <v>0</v>
      </c>
      <c r="AC131" s="39" t="n">
        <v>0</v>
      </c>
      <c r="AD131" s="39" t="n">
        <v>0</v>
      </c>
      <c r="AE131" s="39" t="n">
        <v>0</v>
      </c>
      <c r="AF131" s="39" t="n">
        <v>0</v>
      </c>
    </row>
    <row r="132" ht="15" customHeight="1" s="176">
      <c r="A132" s="30" t="inlineStr">
        <is>
          <t>P-0129</t>
        </is>
      </c>
      <c r="B132" s="30" t="inlineStr">
        <is>
          <t>2026/27</t>
        </is>
      </c>
      <c r="C132" s="30" t="inlineStr">
        <is>
          <t>El Molle</t>
        </is>
      </c>
      <c r="D132" s="31" t="inlineStr">
        <is>
          <t>oronules 5,35 ha</t>
        </is>
      </c>
      <c r="E132" s="30" t="inlineStr">
        <is>
          <t>Clementinas</t>
        </is>
      </c>
      <c r="F132" s="30" t="inlineStr">
        <is>
          <t>Oronules</t>
        </is>
      </c>
      <c r="G132" s="30" t="inlineStr">
        <is>
          <t>Producción</t>
        </is>
      </c>
      <c r="H132" s="32" t="n">
        <v>5.35</v>
      </c>
      <c r="I132" s="32" t="n">
        <v>5.35</v>
      </c>
      <c r="J132" s="30" t="inlineStr">
        <is>
          <t>Costo</t>
        </is>
      </c>
      <c r="K132" s="31" t="inlineStr">
        <is>
          <t>2- M.O. indirecta</t>
        </is>
      </c>
      <c r="L132" s="31" t="inlineStr">
        <is>
          <t>2- ADMINISTRACION</t>
        </is>
      </c>
      <c r="M132" s="31" t="inlineStr">
        <is>
          <t>Operacion predio</t>
        </is>
      </c>
      <c r="N132" s="30" t="inlineStr">
        <is>
          <t>día</t>
        </is>
      </c>
      <c r="O132" s="30" t="inlineStr">
        <is>
          <t>ha</t>
        </is>
      </c>
      <c r="P132" s="33" t="n">
        <v>8100</v>
      </c>
      <c r="Q132" s="34" t="n">
        <v>5.35</v>
      </c>
      <c r="R132" s="33" t="n">
        <v>433176.66</v>
      </c>
      <c r="S132" s="35" t="n">
        <v>0.0029988</v>
      </c>
      <c r="T132" s="33" t="n">
        <v>2.69892</v>
      </c>
      <c r="U132" s="33" t="n">
        <v>40.10895</v>
      </c>
      <c r="V132" s="33" t="n">
        <v>40.10895</v>
      </c>
      <c r="W132" s="33" t="n">
        <v>40.10895</v>
      </c>
      <c r="X132" s="33" t="n">
        <v>40.10895</v>
      </c>
      <c r="Y132" s="33" t="n">
        <v>40.10895</v>
      </c>
      <c r="Z132" s="33" t="n">
        <v>40.10895</v>
      </c>
      <c r="AA132" s="33" t="n">
        <v>40.10895</v>
      </c>
      <c r="AB132" s="33" t="n">
        <v>40.10895</v>
      </c>
      <c r="AC132" s="33" t="n">
        <v>40.10895</v>
      </c>
      <c r="AD132" s="33" t="n">
        <v>40.10895</v>
      </c>
      <c r="AE132" s="33" t="n">
        <v>40.10895</v>
      </c>
      <c r="AF132" s="33" t="n">
        <v>40.10895</v>
      </c>
    </row>
    <row r="133" ht="15" customHeight="1" s="176">
      <c r="A133" s="36" t="inlineStr">
        <is>
          <t>P-0130</t>
        </is>
      </c>
      <c r="B133" s="36" t="inlineStr">
        <is>
          <t>2026/27</t>
        </is>
      </c>
      <c r="C133" s="36" t="inlineStr">
        <is>
          <t>El Molle</t>
        </is>
      </c>
      <c r="D133" s="37" t="inlineStr">
        <is>
          <t>arrufatinas 5,74 ha</t>
        </is>
      </c>
      <c r="E133" s="36" t="inlineStr">
        <is>
          <t>Clementinas</t>
        </is>
      </c>
      <c r="F133" s="36" t="inlineStr">
        <is>
          <t>Arrufatinas</t>
        </is>
      </c>
      <c r="G133" s="36" t="inlineStr">
        <is>
          <t>Producción</t>
        </is>
      </c>
      <c r="H133" s="38" t="n">
        <v>5.74</v>
      </c>
      <c r="I133" s="38" t="n">
        <v>5.74</v>
      </c>
      <c r="J133" s="36" t="inlineStr">
        <is>
          <t>Costo</t>
        </is>
      </c>
      <c r="K133" s="37" t="inlineStr">
        <is>
          <t>2- M.O. indirecta</t>
        </is>
      </c>
      <c r="L133" s="37" t="inlineStr">
        <is>
          <t>2- ADMINISTRACION</t>
        </is>
      </c>
      <c r="M133" s="37" t="inlineStr">
        <is>
          <t>Operacion predio</t>
        </is>
      </c>
      <c r="N133" s="36" t="inlineStr">
        <is>
          <t>día</t>
        </is>
      </c>
      <c r="O133" s="36" t="inlineStr">
        <is>
          <t>ha</t>
        </is>
      </c>
      <c r="P133" s="39" t="n">
        <v>8100</v>
      </c>
      <c r="Q133" s="40" t="n">
        <v>5.74</v>
      </c>
      <c r="R133" s="39" t="n">
        <v>464754.024</v>
      </c>
      <c r="S133" s="41" t="n">
        <v>0.002811375</v>
      </c>
      <c r="T133" s="39" t="n">
        <v>2.5302375</v>
      </c>
      <c r="U133" s="39" t="n">
        <v>43.03278</v>
      </c>
      <c r="V133" s="39" t="n">
        <v>43.03278</v>
      </c>
      <c r="W133" s="39" t="n">
        <v>43.03278</v>
      </c>
      <c r="X133" s="39" t="n">
        <v>43.03278</v>
      </c>
      <c r="Y133" s="39" t="n">
        <v>43.03278</v>
      </c>
      <c r="Z133" s="39" t="n">
        <v>43.03278</v>
      </c>
      <c r="AA133" s="39" t="n">
        <v>43.03278</v>
      </c>
      <c r="AB133" s="39" t="n">
        <v>43.03278</v>
      </c>
      <c r="AC133" s="39" t="n">
        <v>43.03278</v>
      </c>
      <c r="AD133" s="39" t="n">
        <v>43.03278</v>
      </c>
      <c r="AE133" s="39" t="n">
        <v>43.03278</v>
      </c>
      <c r="AF133" s="39" t="n">
        <v>43.03278</v>
      </c>
    </row>
    <row r="134" ht="15" customHeight="1" s="176">
      <c r="A134" s="30" t="inlineStr">
        <is>
          <t>P-0131</t>
        </is>
      </c>
      <c r="B134" s="30" t="inlineStr">
        <is>
          <t>2026/27</t>
        </is>
      </c>
      <c r="C134" s="30" t="inlineStr">
        <is>
          <t>El Molle</t>
        </is>
      </c>
      <c r="D134" s="31" t="inlineStr">
        <is>
          <t>orogrande 8,11 ha</t>
        </is>
      </c>
      <c r="E134" s="30" t="inlineStr">
        <is>
          <t>Clementinas</t>
        </is>
      </c>
      <c r="F134" s="30" t="inlineStr">
        <is>
          <t>Orogrande</t>
        </is>
      </c>
      <c r="G134" s="30" t="inlineStr">
        <is>
          <t>Producción</t>
        </is>
      </c>
      <c r="H134" s="32" t="n">
        <v>8.109999999999999</v>
      </c>
      <c r="I134" s="32" t="n">
        <v>8.109999999999999</v>
      </c>
      <c r="J134" s="30" t="inlineStr">
        <is>
          <t>Costo</t>
        </is>
      </c>
      <c r="K134" s="31" t="inlineStr">
        <is>
          <t>2- M.O. indirecta</t>
        </is>
      </c>
      <c r="L134" s="31" t="inlineStr">
        <is>
          <t>2- ADMINISTRACION</t>
        </is>
      </c>
      <c r="M134" s="31" t="inlineStr">
        <is>
          <t>Operacion predio</t>
        </is>
      </c>
      <c r="N134" s="30" t="inlineStr">
        <is>
          <t>día</t>
        </is>
      </c>
      <c r="O134" s="30" t="inlineStr">
        <is>
          <t>ha</t>
        </is>
      </c>
      <c r="P134" s="33" t="n">
        <v>8100</v>
      </c>
      <c r="Q134" s="34" t="n">
        <v>8.109999999999999</v>
      </c>
      <c r="R134" s="33" t="n">
        <v>656647.236</v>
      </c>
      <c r="S134" s="35" t="n">
        <v>0.0025704</v>
      </c>
      <c r="T134" s="33" t="n">
        <v>2.31336</v>
      </c>
      <c r="U134" s="33" t="n">
        <v>60.80067</v>
      </c>
      <c r="V134" s="33" t="n">
        <v>60.80067</v>
      </c>
      <c r="W134" s="33" t="n">
        <v>60.80067</v>
      </c>
      <c r="X134" s="33" t="n">
        <v>60.80067</v>
      </c>
      <c r="Y134" s="33" t="n">
        <v>60.80067</v>
      </c>
      <c r="Z134" s="33" t="n">
        <v>60.80067</v>
      </c>
      <c r="AA134" s="33" t="n">
        <v>60.80067</v>
      </c>
      <c r="AB134" s="33" t="n">
        <v>60.80067</v>
      </c>
      <c r="AC134" s="33" t="n">
        <v>60.80067</v>
      </c>
      <c r="AD134" s="33" t="n">
        <v>60.80067</v>
      </c>
      <c r="AE134" s="33" t="n">
        <v>60.80067</v>
      </c>
      <c r="AF134" s="33" t="n">
        <v>60.80067</v>
      </c>
    </row>
    <row r="135" ht="15" customHeight="1" s="176">
      <c r="A135" s="36" t="inlineStr">
        <is>
          <t>P-0132</t>
        </is>
      </c>
      <c r="B135" s="36" t="inlineStr">
        <is>
          <t>2026/27</t>
        </is>
      </c>
      <c r="C135" s="36" t="inlineStr">
        <is>
          <t>El Molle</t>
        </is>
      </c>
      <c r="D135" s="37" t="inlineStr">
        <is>
          <t>Wonderful 5,25 ha</t>
        </is>
      </c>
      <c r="E135" s="36" t="inlineStr">
        <is>
          <t>Granados</t>
        </is>
      </c>
      <c r="F135" s="36" t="inlineStr">
        <is>
          <t>Wonderfull</t>
        </is>
      </c>
      <c r="G135" s="36" t="inlineStr">
        <is>
          <t>Producción</t>
        </is>
      </c>
      <c r="H135" s="38" t="n">
        <v>5.24</v>
      </c>
      <c r="I135" s="38" t="n">
        <v>5.24</v>
      </c>
      <c r="J135" s="36" t="inlineStr">
        <is>
          <t>Costo</t>
        </is>
      </c>
      <c r="K135" s="37" t="inlineStr">
        <is>
          <t>2- M.O. indirecta</t>
        </is>
      </c>
      <c r="L135" s="37" t="inlineStr">
        <is>
          <t>2- ADMINISTRACION</t>
        </is>
      </c>
      <c r="M135" s="37" t="inlineStr">
        <is>
          <t>Operacion predio</t>
        </is>
      </c>
      <c r="N135" s="36" t="inlineStr">
        <is>
          <t>día</t>
        </is>
      </c>
      <c r="O135" s="36" t="inlineStr">
        <is>
          <t>ha</t>
        </is>
      </c>
      <c r="P135" s="39" t="n">
        <v>8100</v>
      </c>
      <c r="Q135" s="40" t="n">
        <v>5.24</v>
      </c>
      <c r="R135" s="39" t="n">
        <v>424270.224</v>
      </c>
      <c r="S135" s="41" t="n">
        <v>0.00408927272727273</v>
      </c>
      <c r="T135" s="39" t="n">
        <v>3.68034545454545</v>
      </c>
      <c r="U135" s="39" t="n">
        <v>39.28428</v>
      </c>
      <c r="V135" s="39" t="n">
        <v>39.28428</v>
      </c>
      <c r="W135" s="39" t="n">
        <v>39.28428</v>
      </c>
      <c r="X135" s="39" t="n">
        <v>39.28428</v>
      </c>
      <c r="Y135" s="39" t="n">
        <v>39.28428</v>
      </c>
      <c r="Z135" s="39" t="n">
        <v>39.28428</v>
      </c>
      <c r="AA135" s="39" t="n">
        <v>39.28428</v>
      </c>
      <c r="AB135" s="39" t="n">
        <v>39.28428</v>
      </c>
      <c r="AC135" s="39" t="n">
        <v>39.28428</v>
      </c>
      <c r="AD135" s="39" t="n">
        <v>39.28428</v>
      </c>
      <c r="AE135" s="39" t="n">
        <v>39.28428</v>
      </c>
      <c r="AF135" s="39" t="n">
        <v>39.28428</v>
      </c>
    </row>
    <row r="136" ht="15" customHeight="1" s="176">
      <c r="A136" s="30" t="inlineStr">
        <is>
          <t>P-0133</t>
        </is>
      </c>
      <c r="B136" s="30" t="inlineStr">
        <is>
          <t>2026/27</t>
        </is>
      </c>
      <c r="C136" s="30" t="inlineStr">
        <is>
          <t>El Molle</t>
        </is>
      </c>
      <c r="D136" s="31" t="inlineStr">
        <is>
          <t>Wonderful 5,25 ha</t>
        </is>
      </c>
      <c r="E136" s="30" t="inlineStr">
        <is>
          <t>Granados</t>
        </is>
      </c>
      <c r="F136" s="30" t="inlineStr">
        <is>
          <t>Wonderfull</t>
        </is>
      </c>
      <c r="G136" s="30" t="inlineStr">
        <is>
          <t>Producción</t>
        </is>
      </c>
      <c r="H136" s="32" t="n">
        <v>5.24</v>
      </c>
      <c r="I136" s="32" t="n">
        <v>5.24</v>
      </c>
      <c r="J136" s="30" t="inlineStr">
        <is>
          <t>Costo</t>
        </is>
      </c>
      <c r="K136" s="31" t="inlineStr">
        <is>
          <t>3- Gasto general</t>
        </is>
      </c>
      <c r="L136" s="31" t="inlineStr">
        <is>
          <t>2- PRODUCTOS QUIMICOS</t>
        </is>
      </c>
      <c r="M136" s="31" t="n"/>
      <c r="N136" s="30" t="n"/>
      <c r="O136" s="30" t="inlineStr">
        <is>
          <t>ha</t>
        </is>
      </c>
      <c r="P136" s="33" t="n">
        <v>270225</v>
      </c>
      <c r="Q136" s="34" t="n">
        <v>5.24</v>
      </c>
      <c r="R136" s="33" t="n">
        <v>5947111.8</v>
      </c>
      <c r="S136" s="35" t="n">
        <v>0.0573204545454545</v>
      </c>
      <c r="T136" s="33" t="n">
        <v>51.5884090909091</v>
      </c>
      <c r="U136" s="33" t="n">
        <v>550.6585</v>
      </c>
      <c r="V136" s="33" t="n">
        <v>550.6585</v>
      </c>
      <c r="W136" s="33" t="n">
        <v>550.6585</v>
      </c>
      <c r="X136" s="33" t="n">
        <v>550.6585</v>
      </c>
      <c r="Y136" s="33" t="n">
        <v>550.6585</v>
      </c>
      <c r="Z136" s="33" t="n">
        <v>550.6585</v>
      </c>
      <c r="AA136" s="33" t="n">
        <v>550.6585</v>
      </c>
      <c r="AB136" s="33" t="n">
        <v>550.6585</v>
      </c>
      <c r="AC136" s="33" t="n">
        <v>550.6585</v>
      </c>
      <c r="AD136" s="33" t="n">
        <v>550.6585</v>
      </c>
      <c r="AE136" s="33" t="n">
        <v>550.6585</v>
      </c>
      <c r="AF136" s="33" t="n">
        <v>550.6585</v>
      </c>
    </row>
    <row r="137" ht="15" customHeight="1" s="176">
      <c r="A137" s="36" t="inlineStr">
        <is>
          <t>P-0134</t>
        </is>
      </c>
      <c r="B137" s="36" t="inlineStr">
        <is>
          <t>2026/27</t>
        </is>
      </c>
      <c r="C137" s="36" t="inlineStr">
        <is>
          <t>El Molle</t>
        </is>
      </c>
      <c r="D137" s="37" t="inlineStr">
        <is>
          <t>oronules 5,35 ha</t>
        </is>
      </c>
      <c r="E137" s="36" t="inlineStr">
        <is>
          <t>Clementinas</t>
        </is>
      </c>
      <c r="F137" s="36" t="inlineStr">
        <is>
          <t>Oronules</t>
        </is>
      </c>
      <c r="G137" s="36" t="inlineStr">
        <is>
          <t>Producción</t>
        </is>
      </c>
      <c r="H137" s="38" t="n">
        <v>5.35</v>
      </c>
      <c r="I137" s="38" t="n">
        <v>5.35</v>
      </c>
      <c r="J137" s="36" t="inlineStr">
        <is>
          <t>Costo</t>
        </is>
      </c>
      <c r="K137" s="37" t="inlineStr">
        <is>
          <t>3- Gasto general</t>
        </is>
      </c>
      <c r="L137" s="37" t="inlineStr">
        <is>
          <t>2- PRODUCTOS QUIMICOS</t>
        </is>
      </c>
      <c r="M137" s="37" t="n"/>
      <c r="N137" s="36" t="n"/>
      <c r="O137" s="36" t="inlineStr">
        <is>
          <t>ha</t>
        </is>
      </c>
      <c r="P137" s="39" t="n">
        <v>270225</v>
      </c>
      <c r="Q137" s="40" t="n">
        <v>5.35</v>
      </c>
      <c r="R137" s="39" t="n">
        <v>14451254.685</v>
      </c>
      <c r="S137" s="41" t="n">
        <v>0.1000433</v>
      </c>
      <c r="T137" s="39" t="n">
        <v>90.03897000000001</v>
      </c>
      <c r="U137" s="39" t="n">
        <v>1338.0791375</v>
      </c>
      <c r="V137" s="39" t="n">
        <v>1338.0791375</v>
      </c>
      <c r="W137" s="39" t="n">
        <v>1338.0791375</v>
      </c>
      <c r="X137" s="39" t="n">
        <v>1338.0791375</v>
      </c>
      <c r="Y137" s="39" t="n">
        <v>1338.0791375</v>
      </c>
      <c r="Z137" s="39" t="n">
        <v>1338.0791375</v>
      </c>
      <c r="AA137" s="39" t="n">
        <v>1338.0791375</v>
      </c>
      <c r="AB137" s="39" t="n">
        <v>1338.0791375</v>
      </c>
      <c r="AC137" s="39" t="n">
        <v>1338.0791375</v>
      </c>
      <c r="AD137" s="39" t="n">
        <v>1338.0791375</v>
      </c>
      <c r="AE137" s="39" t="n">
        <v>1338.0791375</v>
      </c>
      <c r="AF137" s="39" t="n">
        <v>1338.0791375</v>
      </c>
    </row>
    <row r="138" ht="15" customHeight="1" s="176">
      <c r="A138" s="30" t="inlineStr">
        <is>
          <t>P-0135</t>
        </is>
      </c>
      <c r="B138" s="30" t="inlineStr">
        <is>
          <t>2026/27</t>
        </is>
      </c>
      <c r="C138" s="30" t="inlineStr">
        <is>
          <t>El Molle</t>
        </is>
      </c>
      <c r="D138" s="31" t="inlineStr">
        <is>
          <t>Wonderful 5,25 ha</t>
        </is>
      </c>
      <c r="E138" s="30" t="inlineStr">
        <is>
          <t>Granados</t>
        </is>
      </c>
      <c r="F138" s="30" t="inlineStr">
        <is>
          <t>Wonderfull</t>
        </is>
      </c>
      <c r="G138" s="30" t="inlineStr">
        <is>
          <t>Producción</t>
        </is>
      </c>
      <c r="H138" s="32" t="n">
        <v>5.24</v>
      </c>
      <c r="I138" s="32" t="n">
        <v>5.24</v>
      </c>
      <c r="J138" s="30" t="inlineStr">
        <is>
          <t>Costo</t>
        </is>
      </c>
      <c r="K138" s="31" t="inlineStr">
        <is>
          <t>1- M.O. directa</t>
        </is>
      </c>
      <c r="L138" s="31" t="inlineStr">
        <is>
          <t>2- Supervisor cosecha</t>
        </is>
      </c>
      <c r="M138" s="31" t="inlineStr">
        <is>
          <t>15 jh/supervisor ($7/kg)</t>
        </is>
      </c>
      <c r="N138" s="30" t="inlineStr">
        <is>
          <t>día</t>
        </is>
      </c>
      <c r="O138" s="30" t="inlineStr">
        <is>
          <t>kg</t>
        </is>
      </c>
      <c r="P138" s="33" t="n">
        <v>7</v>
      </c>
      <c r="Q138" s="34" t="n">
        <v>115280</v>
      </c>
      <c r="R138" s="33" t="n">
        <v>806960</v>
      </c>
      <c r="S138" s="35" t="n">
        <v>0.00777777777777778</v>
      </c>
      <c r="T138" s="33" t="n">
        <v>7</v>
      </c>
      <c r="U138" s="33" t="n">
        <v>0</v>
      </c>
      <c r="V138" s="33" t="n">
        <v>0</v>
      </c>
      <c r="W138" s="33" t="n">
        <v>0</v>
      </c>
      <c r="X138" s="33" t="n">
        <v>0</v>
      </c>
      <c r="Y138" s="33" t="n">
        <v>0</v>
      </c>
      <c r="Z138" s="33" t="n">
        <v>0</v>
      </c>
      <c r="AA138" s="33" t="n">
        <v>0</v>
      </c>
      <c r="AB138" s="33" t="n">
        <v>0</v>
      </c>
      <c r="AC138" s="33" t="n">
        <v>0</v>
      </c>
      <c r="AD138" s="33" t="n">
        <v>0</v>
      </c>
      <c r="AE138" s="33" t="n">
        <v>0</v>
      </c>
      <c r="AF138" s="33" t="n">
        <v>896.622222222222</v>
      </c>
    </row>
    <row r="139" ht="15" customHeight="1" s="176">
      <c r="A139" s="36" t="inlineStr">
        <is>
          <t>P-0136</t>
        </is>
      </c>
      <c r="B139" s="36" t="inlineStr">
        <is>
          <t>2026/27</t>
        </is>
      </c>
      <c r="C139" s="36" t="inlineStr">
        <is>
          <t>El Molle</t>
        </is>
      </c>
      <c r="D139" s="37" t="inlineStr">
        <is>
          <t>oronules 5,35 ha</t>
        </is>
      </c>
      <c r="E139" s="36" t="inlineStr">
        <is>
          <t>Clementinas</t>
        </is>
      </c>
      <c r="F139" s="36" t="inlineStr">
        <is>
          <t>Oronules</t>
        </is>
      </c>
      <c r="G139" s="36" t="inlineStr">
        <is>
          <t>Producción</t>
        </is>
      </c>
      <c r="H139" s="38" t="n">
        <v>5.35</v>
      </c>
      <c r="I139" s="38" t="n">
        <v>5.35</v>
      </c>
      <c r="J139" s="36" t="inlineStr">
        <is>
          <t>Costo</t>
        </is>
      </c>
      <c r="K139" s="37" t="inlineStr">
        <is>
          <t>2- M.O. indirecta</t>
        </is>
      </c>
      <c r="L139" s="37" t="inlineStr">
        <is>
          <t>9,1- RONDIN FUNDO</t>
        </is>
      </c>
      <c r="M139" s="37" t="n"/>
      <c r="N139" s="36" t="inlineStr">
        <is>
          <t>día</t>
        </is>
      </c>
      <c r="O139" s="36" t="inlineStr">
        <is>
          <t>JH</t>
        </is>
      </c>
      <c r="P139" s="39" t="n">
        <v>38500</v>
      </c>
      <c r="Q139" s="40" t="n">
        <v>1</v>
      </c>
      <c r="R139" s="39" t="n">
        <v>384846</v>
      </c>
      <c r="S139" s="41" t="n">
        <v>0.00266421599169263</v>
      </c>
      <c r="T139" s="39" t="n">
        <v>2.39779439252337</v>
      </c>
      <c r="U139" s="39" t="n">
        <v>35.6338888888889</v>
      </c>
      <c r="V139" s="39" t="n">
        <v>35.6338888888889</v>
      </c>
      <c r="W139" s="39" t="n">
        <v>35.6338888888889</v>
      </c>
      <c r="X139" s="39" t="n">
        <v>35.6338888888889</v>
      </c>
      <c r="Y139" s="39" t="n">
        <v>35.6338888888889</v>
      </c>
      <c r="Z139" s="39" t="n">
        <v>35.6338888888889</v>
      </c>
      <c r="AA139" s="39" t="n">
        <v>35.6338888888889</v>
      </c>
      <c r="AB139" s="39" t="n">
        <v>35.6338888888889</v>
      </c>
      <c r="AC139" s="39" t="n">
        <v>35.6338888888889</v>
      </c>
      <c r="AD139" s="39" t="n">
        <v>35.6338888888889</v>
      </c>
      <c r="AE139" s="39" t="n">
        <v>35.6338888888889</v>
      </c>
      <c r="AF139" s="39" t="n">
        <v>35.6338888888889</v>
      </c>
    </row>
    <row r="140" ht="15" customHeight="1" s="176">
      <c r="A140" s="30" t="inlineStr">
        <is>
          <t>P-0137</t>
        </is>
      </c>
      <c r="B140" s="30" t="inlineStr">
        <is>
          <t>2026/27</t>
        </is>
      </c>
      <c r="C140" s="30" t="inlineStr">
        <is>
          <t>El Molle</t>
        </is>
      </c>
      <c r="D140" s="31" t="inlineStr">
        <is>
          <t>arrufatinas 5,74 ha</t>
        </is>
      </c>
      <c r="E140" s="30" t="inlineStr">
        <is>
          <t>Clementinas</t>
        </is>
      </c>
      <c r="F140" s="30" t="inlineStr">
        <is>
          <t>Arrufatinas</t>
        </is>
      </c>
      <c r="G140" s="30" t="inlineStr">
        <is>
          <t>Producción</t>
        </is>
      </c>
      <c r="H140" s="32" t="n">
        <v>5.74</v>
      </c>
      <c r="I140" s="32" t="n">
        <v>5.74</v>
      </c>
      <c r="J140" s="30" t="inlineStr">
        <is>
          <t>Costo</t>
        </is>
      </c>
      <c r="K140" s="31" t="inlineStr">
        <is>
          <t>2- M.O. indirecta</t>
        </is>
      </c>
      <c r="L140" s="31" t="inlineStr">
        <is>
          <t>9,1- RONDIN FUNDO</t>
        </is>
      </c>
      <c r="M140" s="31" t="n"/>
      <c r="N140" s="30" t="inlineStr">
        <is>
          <t>día</t>
        </is>
      </c>
      <c r="O140" s="30" t="inlineStr">
        <is>
          <t>JH</t>
        </is>
      </c>
      <c r="P140" s="33" t="n">
        <v>38500</v>
      </c>
      <c r="Q140" s="34" t="n">
        <v>1</v>
      </c>
      <c r="R140" s="33" t="n">
        <v>384846</v>
      </c>
      <c r="S140" s="35" t="n">
        <v>0.00232799796747968</v>
      </c>
      <c r="T140" s="33" t="n">
        <v>2.09519817073171</v>
      </c>
      <c r="U140" s="33" t="n">
        <v>35.6338888888889</v>
      </c>
      <c r="V140" s="33" t="n">
        <v>35.6338888888889</v>
      </c>
      <c r="W140" s="33" t="n">
        <v>35.6338888888889</v>
      </c>
      <c r="X140" s="33" t="n">
        <v>35.6338888888889</v>
      </c>
      <c r="Y140" s="33" t="n">
        <v>35.6338888888889</v>
      </c>
      <c r="Z140" s="33" t="n">
        <v>35.6338888888889</v>
      </c>
      <c r="AA140" s="33" t="n">
        <v>35.6338888888889</v>
      </c>
      <c r="AB140" s="33" t="n">
        <v>35.6338888888889</v>
      </c>
      <c r="AC140" s="33" t="n">
        <v>35.6338888888889</v>
      </c>
      <c r="AD140" s="33" t="n">
        <v>35.6338888888889</v>
      </c>
      <c r="AE140" s="33" t="n">
        <v>35.6338888888889</v>
      </c>
      <c r="AF140" s="33" t="n">
        <v>35.6338888888889</v>
      </c>
    </row>
    <row r="141" ht="15" customHeight="1" s="176">
      <c r="A141" s="36" t="inlineStr">
        <is>
          <t>P-0138</t>
        </is>
      </c>
      <c r="B141" s="36" t="inlineStr">
        <is>
          <t>2026/27</t>
        </is>
      </c>
      <c r="C141" s="36" t="inlineStr">
        <is>
          <t>El Molle</t>
        </is>
      </c>
      <c r="D141" s="37" t="inlineStr">
        <is>
          <t>orogrande 8,11 ha</t>
        </is>
      </c>
      <c r="E141" s="36" t="inlineStr">
        <is>
          <t>Clementinas</t>
        </is>
      </c>
      <c r="F141" s="36" t="inlineStr">
        <is>
          <t>Orogrande</t>
        </is>
      </c>
      <c r="G141" s="36" t="inlineStr">
        <is>
          <t>Producción</t>
        </is>
      </c>
      <c r="H141" s="38" t="n">
        <v>8.109999999999999</v>
      </c>
      <c r="I141" s="38" t="n">
        <v>8.109999999999999</v>
      </c>
      <c r="J141" s="36" t="inlineStr">
        <is>
          <t>Costo</t>
        </is>
      </c>
      <c r="K141" s="37" t="inlineStr">
        <is>
          <t>2- M.O. indirecta</t>
        </is>
      </c>
      <c r="L141" s="37" t="inlineStr">
        <is>
          <t>9,1- RONDIN FUNDO</t>
        </is>
      </c>
      <c r="M141" s="37" t="n"/>
      <c r="N141" s="36" t="inlineStr">
        <is>
          <t>día</t>
        </is>
      </c>
      <c r="O141" s="36" t="inlineStr">
        <is>
          <t>JH</t>
        </is>
      </c>
      <c r="P141" s="39" t="n">
        <v>38500</v>
      </c>
      <c r="Q141" s="40" t="n">
        <v>1</v>
      </c>
      <c r="R141" s="39" t="n">
        <v>384846</v>
      </c>
      <c r="S141" s="41" t="n">
        <v>0.00150645293875874</v>
      </c>
      <c r="T141" s="39" t="n">
        <v>1.35580764488286</v>
      </c>
      <c r="U141" s="39" t="n">
        <v>35.6338888888889</v>
      </c>
      <c r="V141" s="39" t="n">
        <v>35.6338888888889</v>
      </c>
      <c r="W141" s="39" t="n">
        <v>35.6338888888889</v>
      </c>
      <c r="X141" s="39" t="n">
        <v>35.6338888888889</v>
      </c>
      <c r="Y141" s="39" t="n">
        <v>35.6338888888889</v>
      </c>
      <c r="Z141" s="39" t="n">
        <v>35.6338888888889</v>
      </c>
      <c r="AA141" s="39" t="n">
        <v>35.6338888888889</v>
      </c>
      <c r="AB141" s="39" t="n">
        <v>35.6338888888889</v>
      </c>
      <c r="AC141" s="39" t="n">
        <v>35.6338888888889</v>
      </c>
      <c r="AD141" s="39" t="n">
        <v>35.6338888888889</v>
      </c>
      <c r="AE141" s="39" t="n">
        <v>35.6338888888889</v>
      </c>
      <c r="AF141" s="39" t="n">
        <v>35.6338888888889</v>
      </c>
    </row>
    <row r="142" ht="15" customHeight="1" s="176">
      <c r="A142" s="30" t="inlineStr">
        <is>
          <t>P-0139</t>
        </is>
      </c>
      <c r="B142" s="30" t="inlineStr">
        <is>
          <t>2026/27</t>
        </is>
      </c>
      <c r="C142" s="30" t="inlineStr">
        <is>
          <t>El Molle</t>
        </is>
      </c>
      <c r="D142" s="31" t="inlineStr">
        <is>
          <t>oronules 5,35 ha</t>
        </is>
      </c>
      <c r="E142" s="30" t="inlineStr">
        <is>
          <t>Clementinas</t>
        </is>
      </c>
      <c r="F142" s="30" t="inlineStr">
        <is>
          <t>Oronules</t>
        </is>
      </c>
      <c r="G142" s="30" t="inlineStr">
        <is>
          <t>Producción</t>
        </is>
      </c>
      <c r="H142" s="32" t="n">
        <v>5.35</v>
      </c>
      <c r="I142" s="32" t="n">
        <v>5.35</v>
      </c>
      <c r="J142" s="30" t="inlineStr">
        <is>
          <t>Costo</t>
        </is>
      </c>
      <c r="K142" s="31" t="inlineStr">
        <is>
          <t>2- M.O. indirecta</t>
        </is>
      </c>
      <c r="L142" s="31" t="inlineStr">
        <is>
          <t>2,1- JEFE DE CAMPO</t>
        </is>
      </c>
      <c r="M142" s="31" t="inlineStr">
        <is>
          <t>Operacion predio</t>
        </is>
      </c>
      <c r="N142" s="30" t="inlineStr">
        <is>
          <t>día</t>
        </is>
      </c>
      <c r="O142" s="30" t="inlineStr">
        <is>
          <t>ha</t>
        </is>
      </c>
      <c r="P142" s="33" t="n">
        <v>51975</v>
      </c>
      <c r="Q142" s="34" t="n">
        <v>5.35</v>
      </c>
      <c r="R142" s="33" t="n">
        <v>2779550.235</v>
      </c>
      <c r="S142" s="35" t="n">
        <v>0.0192423</v>
      </c>
      <c r="T142" s="33" t="n">
        <v>17.31807</v>
      </c>
      <c r="U142" s="33" t="n">
        <v>257.3657625</v>
      </c>
      <c r="V142" s="33" t="n">
        <v>257.3657625</v>
      </c>
      <c r="W142" s="33" t="n">
        <v>257.3657625</v>
      </c>
      <c r="X142" s="33" t="n">
        <v>257.3657625</v>
      </c>
      <c r="Y142" s="33" t="n">
        <v>257.3657625</v>
      </c>
      <c r="Z142" s="33" t="n">
        <v>257.3657625</v>
      </c>
      <c r="AA142" s="33" t="n">
        <v>257.3657625</v>
      </c>
      <c r="AB142" s="33" t="n">
        <v>257.3657625</v>
      </c>
      <c r="AC142" s="33" t="n">
        <v>257.3657625</v>
      </c>
      <c r="AD142" s="33" t="n">
        <v>257.3657625</v>
      </c>
      <c r="AE142" s="33" t="n">
        <v>257.3657625</v>
      </c>
      <c r="AF142" s="33" t="n">
        <v>257.3657625</v>
      </c>
    </row>
    <row r="143" ht="15" customHeight="1" s="176">
      <c r="A143" s="36" t="inlineStr">
        <is>
          <t>P-0140</t>
        </is>
      </c>
      <c r="B143" s="36" t="inlineStr">
        <is>
          <t>2026/27</t>
        </is>
      </c>
      <c r="C143" s="36" t="inlineStr">
        <is>
          <t>El Molle</t>
        </is>
      </c>
      <c r="D143" s="37" t="inlineStr">
        <is>
          <t>arrufatinas 5,74 ha</t>
        </is>
      </c>
      <c r="E143" s="36" t="inlineStr">
        <is>
          <t>Clementinas</t>
        </is>
      </c>
      <c r="F143" s="36" t="inlineStr">
        <is>
          <t>Arrufatinas</t>
        </is>
      </c>
      <c r="G143" s="36" t="inlineStr">
        <is>
          <t>Producción</t>
        </is>
      </c>
      <c r="H143" s="38" t="n">
        <v>5.74</v>
      </c>
      <c r="I143" s="38" t="n">
        <v>5.74</v>
      </c>
      <c r="J143" s="36" t="inlineStr">
        <is>
          <t>Costo</t>
        </is>
      </c>
      <c r="K143" s="37" t="inlineStr">
        <is>
          <t>2- M.O. indirecta</t>
        </is>
      </c>
      <c r="L143" s="37" t="inlineStr">
        <is>
          <t>2,1- JEFE DE CAMPO</t>
        </is>
      </c>
      <c r="M143" s="37" t="inlineStr">
        <is>
          <t>Operacion predio</t>
        </is>
      </c>
      <c r="N143" s="36" t="inlineStr">
        <is>
          <t>día</t>
        </is>
      </c>
      <c r="O143" s="36" t="inlineStr">
        <is>
          <t>ha</t>
        </is>
      </c>
      <c r="P143" s="39" t="n">
        <v>51975</v>
      </c>
      <c r="Q143" s="40" t="n">
        <v>5.74</v>
      </c>
      <c r="R143" s="39" t="n">
        <v>2982171.654</v>
      </c>
      <c r="S143" s="41" t="n">
        <v>0.01803965625</v>
      </c>
      <c r="T143" s="39" t="n">
        <v>16.235690625</v>
      </c>
      <c r="U143" s="39" t="n">
        <v>276.127005</v>
      </c>
      <c r="V143" s="39" t="n">
        <v>276.127005</v>
      </c>
      <c r="W143" s="39" t="n">
        <v>276.127005</v>
      </c>
      <c r="X143" s="39" t="n">
        <v>276.127005</v>
      </c>
      <c r="Y143" s="39" t="n">
        <v>276.127005</v>
      </c>
      <c r="Z143" s="39" t="n">
        <v>276.127005</v>
      </c>
      <c r="AA143" s="39" t="n">
        <v>276.127005</v>
      </c>
      <c r="AB143" s="39" t="n">
        <v>276.127005</v>
      </c>
      <c r="AC143" s="39" t="n">
        <v>276.127005</v>
      </c>
      <c r="AD143" s="39" t="n">
        <v>276.127005</v>
      </c>
      <c r="AE143" s="39" t="n">
        <v>276.127005</v>
      </c>
      <c r="AF143" s="39" t="n">
        <v>276.127005</v>
      </c>
    </row>
    <row r="144" ht="15" customHeight="1" s="176">
      <c r="A144" s="30" t="inlineStr">
        <is>
          <t>P-0141</t>
        </is>
      </c>
      <c r="B144" s="30" t="inlineStr">
        <is>
          <t>2026/27</t>
        </is>
      </c>
      <c r="C144" s="30" t="inlineStr">
        <is>
          <t>El Molle</t>
        </is>
      </c>
      <c r="D144" s="31" t="inlineStr">
        <is>
          <t>orogrande 8,11 ha</t>
        </is>
      </c>
      <c r="E144" s="30" t="inlineStr">
        <is>
          <t>Clementinas</t>
        </is>
      </c>
      <c r="F144" s="30" t="inlineStr">
        <is>
          <t>Orogrande</t>
        </is>
      </c>
      <c r="G144" s="30" t="inlineStr">
        <is>
          <t>Producción</t>
        </is>
      </c>
      <c r="H144" s="32" t="n">
        <v>8.109999999999999</v>
      </c>
      <c r="I144" s="32" t="n">
        <v>8.109999999999999</v>
      </c>
      <c r="J144" s="30" t="inlineStr">
        <is>
          <t>Costo</t>
        </is>
      </c>
      <c r="K144" s="31" t="inlineStr">
        <is>
          <t>2- M.O. indirecta</t>
        </is>
      </c>
      <c r="L144" s="31" t="inlineStr">
        <is>
          <t>2,1- JEFE DE CAMPO</t>
        </is>
      </c>
      <c r="M144" s="31" t="inlineStr">
        <is>
          <t>Operacion predio</t>
        </is>
      </c>
      <c r="N144" s="30" t="inlineStr">
        <is>
          <t>día</t>
        </is>
      </c>
      <c r="O144" s="30" t="inlineStr">
        <is>
          <t>ha</t>
        </is>
      </c>
      <c r="P144" s="33" t="n">
        <v>51975</v>
      </c>
      <c r="Q144" s="34" t="n">
        <v>8.109999999999999</v>
      </c>
      <c r="R144" s="33" t="n">
        <v>4213486.431</v>
      </c>
      <c r="S144" s="35" t="n">
        <v>0.0164934</v>
      </c>
      <c r="T144" s="33" t="n">
        <v>14.84406</v>
      </c>
      <c r="U144" s="33" t="n">
        <v>390.1376325</v>
      </c>
      <c r="V144" s="33" t="n">
        <v>390.1376325</v>
      </c>
      <c r="W144" s="33" t="n">
        <v>390.1376325</v>
      </c>
      <c r="X144" s="33" t="n">
        <v>390.1376325</v>
      </c>
      <c r="Y144" s="33" t="n">
        <v>390.1376325</v>
      </c>
      <c r="Z144" s="33" t="n">
        <v>390.1376325</v>
      </c>
      <c r="AA144" s="33" t="n">
        <v>390.1376325</v>
      </c>
      <c r="AB144" s="33" t="n">
        <v>390.1376325</v>
      </c>
      <c r="AC144" s="33" t="n">
        <v>390.1376325</v>
      </c>
      <c r="AD144" s="33" t="n">
        <v>390.1376325</v>
      </c>
      <c r="AE144" s="33" t="n">
        <v>390.1376325</v>
      </c>
      <c r="AF144" s="33" t="n">
        <v>390.1376325</v>
      </c>
    </row>
    <row r="145" ht="15" customHeight="1" s="176">
      <c r="A145" s="36" t="inlineStr">
        <is>
          <t>P-0142</t>
        </is>
      </c>
      <c r="B145" s="36" t="inlineStr">
        <is>
          <t>2026/27</t>
        </is>
      </c>
      <c r="C145" s="36" t="inlineStr">
        <is>
          <t>El Molle</t>
        </is>
      </c>
      <c r="D145" s="37" t="inlineStr">
        <is>
          <t>Wonderful 5,25 ha</t>
        </is>
      </c>
      <c r="E145" s="36" t="inlineStr">
        <is>
          <t>Granados</t>
        </is>
      </c>
      <c r="F145" s="36" t="inlineStr">
        <is>
          <t>Wonderfull</t>
        </is>
      </c>
      <c r="G145" s="36" t="inlineStr">
        <is>
          <t>Producción</t>
        </is>
      </c>
      <c r="H145" s="38" t="n">
        <v>5.24</v>
      </c>
      <c r="I145" s="38" t="n">
        <v>5.24</v>
      </c>
      <c r="J145" s="36" t="inlineStr">
        <is>
          <t>Costo</t>
        </is>
      </c>
      <c r="K145" s="37" t="inlineStr">
        <is>
          <t>2- M.O. indirecta</t>
        </is>
      </c>
      <c r="L145" s="37" t="inlineStr">
        <is>
          <t>2,1- JEFE DE CAMPO</t>
        </is>
      </c>
      <c r="M145" s="37" t="inlineStr">
        <is>
          <t>Operacion predio</t>
        </is>
      </c>
      <c r="N145" s="36" t="inlineStr">
        <is>
          <t>día</t>
        </is>
      </c>
      <c r="O145" s="36" t="inlineStr">
        <is>
          <t>ha</t>
        </is>
      </c>
      <c r="P145" s="39" t="n">
        <v>51975</v>
      </c>
      <c r="Q145" s="40" t="n">
        <v>5.24</v>
      </c>
      <c r="R145" s="39" t="n">
        <v>2722400.604</v>
      </c>
      <c r="S145" s="41" t="n">
        <v>0.0262395</v>
      </c>
      <c r="T145" s="39" t="n">
        <v>23.61555</v>
      </c>
      <c r="U145" s="39" t="n">
        <v>252.07413</v>
      </c>
      <c r="V145" s="39" t="n">
        <v>252.07413</v>
      </c>
      <c r="W145" s="39" t="n">
        <v>252.07413</v>
      </c>
      <c r="X145" s="39" t="n">
        <v>252.07413</v>
      </c>
      <c r="Y145" s="39" t="n">
        <v>252.07413</v>
      </c>
      <c r="Z145" s="39" t="n">
        <v>252.07413</v>
      </c>
      <c r="AA145" s="39" t="n">
        <v>252.07413</v>
      </c>
      <c r="AB145" s="39" t="n">
        <v>252.07413</v>
      </c>
      <c r="AC145" s="39" t="n">
        <v>252.07413</v>
      </c>
      <c r="AD145" s="39" t="n">
        <v>252.07413</v>
      </c>
      <c r="AE145" s="39" t="n">
        <v>252.07413</v>
      </c>
      <c r="AF145" s="39" t="n">
        <v>252.07413</v>
      </c>
    </row>
    <row r="146" ht="15" customHeight="1" s="176">
      <c r="A146" s="30" t="inlineStr">
        <is>
          <t>P-0143</t>
        </is>
      </c>
      <c r="B146" s="30" t="inlineStr">
        <is>
          <t>2026/27</t>
        </is>
      </c>
      <c r="C146" s="30" t="inlineStr">
        <is>
          <t>El Molle</t>
        </is>
      </c>
      <c r="D146" s="31" t="inlineStr">
        <is>
          <t>oronules 5,35 ha</t>
        </is>
      </c>
      <c r="E146" s="30" t="inlineStr">
        <is>
          <t>Clementinas</t>
        </is>
      </c>
      <c r="F146" s="30" t="inlineStr">
        <is>
          <t>Oronules</t>
        </is>
      </c>
      <c r="G146" s="30" t="inlineStr">
        <is>
          <t>Producción</t>
        </is>
      </c>
      <c r="H146" s="32" t="n">
        <v>5.35</v>
      </c>
      <c r="I146" s="32" t="n">
        <v>5.35</v>
      </c>
      <c r="J146" s="30" t="inlineStr">
        <is>
          <t>Costo</t>
        </is>
      </c>
      <c r="K146" s="31" t="inlineStr">
        <is>
          <t>2- M.O. indirecta</t>
        </is>
      </c>
      <c r="L146" s="31" t="inlineStr">
        <is>
          <t>3- ADQUIS. Y BODEGA</t>
        </is>
      </c>
      <c r="M146" s="31" t="inlineStr">
        <is>
          <t>Operacion predio</t>
        </is>
      </c>
      <c r="N146" s="30" t="inlineStr">
        <is>
          <t>día</t>
        </is>
      </c>
      <c r="O146" s="30" t="inlineStr">
        <is>
          <t>ha</t>
        </is>
      </c>
      <c r="P146" s="33" t="n">
        <v>8100</v>
      </c>
      <c r="Q146" s="34" t="n">
        <v>5.35</v>
      </c>
      <c r="R146" s="33" t="n">
        <v>433176.66</v>
      </c>
      <c r="S146" s="35" t="n">
        <v>0.0029988</v>
      </c>
      <c r="T146" s="33" t="n">
        <v>2.69892</v>
      </c>
      <c r="U146" s="33" t="n">
        <v>40.10895</v>
      </c>
      <c r="V146" s="33" t="n">
        <v>40.10895</v>
      </c>
      <c r="W146" s="33" t="n">
        <v>40.10895</v>
      </c>
      <c r="X146" s="33" t="n">
        <v>40.10895</v>
      </c>
      <c r="Y146" s="33" t="n">
        <v>40.10895</v>
      </c>
      <c r="Z146" s="33" t="n">
        <v>40.10895</v>
      </c>
      <c r="AA146" s="33" t="n">
        <v>40.10895</v>
      </c>
      <c r="AB146" s="33" t="n">
        <v>40.10895</v>
      </c>
      <c r="AC146" s="33" t="n">
        <v>40.10895</v>
      </c>
      <c r="AD146" s="33" t="n">
        <v>40.10895</v>
      </c>
      <c r="AE146" s="33" t="n">
        <v>40.10895</v>
      </c>
      <c r="AF146" s="33" t="n">
        <v>40.10895</v>
      </c>
    </row>
    <row r="147" ht="15" customHeight="1" s="176">
      <c r="A147" s="36" t="inlineStr">
        <is>
          <t>P-0144</t>
        </is>
      </c>
      <c r="B147" s="36" t="inlineStr">
        <is>
          <t>2026/27</t>
        </is>
      </c>
      <c r="C147" s="36" t="inlineStr">
        <is>
          <t>El Molle</t>
        </is>
      </c>
      <c r="D147" s="37" t="inlineStr">
        <is>
          <t>arrufatinas 5,74 ha</t>
        </is>
      </c>
      <c r="E147" s="36" t="inlineStr">
        <is>
          <t>Clementinas</t>
        </is>
      </c>
      <c r="F147" s="36" t="inlineStr">
        <is>
          <t>Arrufatinas</t>
        </is>
      </c>
      <c r="G147" s="36" t="inlineStr">
        <is>
          <t>Producción</t>
        </is>
      </c>
      <c r="H147" s="38" t="n">
        <v>5.74</v>
      </c>
      <c r="I147" s="38" t="n">
        <v>5.74</v>
      </c>
      <c r="J147" s="36" t="inlineStr">
        <is>
          <t>Costo</t>
        </is>
      </c>
      <c r="K147" s="37" t="inlineStr">
        <is>
          <t>2- M.O. indirecta</t>
        </is>
      </c>
      <c r="L147" s="37" t="inlineStr">
        <is>
          <t>3- ADQUIS. Y BODEGA</t>
        </is>
      </c>
      <c r="M147" s="37" t="inlineStr">
        <is>
          <t>Operacion predio</t>
        </is>
      </c>
      <c r="N147" s="36" t="inlineStr">
        <is>
          <t>día</t>
        </is>
      </c>
      <c r="O147" s="36" t="inlineStr">
        <is>
          <t>ha</t>
        </is>
      </c>
      <c r="P147" s="39" t="n">
        <v>8100</v>
      </c>
      <c r="Q147" s="40" t="n">
        <v>5.74</v>
      </c>
      <c r="R147" s="39" t="n">
        <v>464754.024</v>
      </c>
      <c r="S147" s="41" t="n">
        <v>0.002811375</v>
      </c>
      <c r="T147" s="39" t="n">
        <v>2.5302375</v>
      </c>
      <c r="U147" s="39" t="n">
        <v>43.03278</v>
      </c>
      <c r="V147" s="39" t="n">
        <v>43.03278</v>
      </c>
      <c r="W147" s="39" t="n">
        <v>43.03278</v>
      </c>
      <c r="X147" s="39" t="n">
        <v>43.03278</v>
      </c>
      <c r="Y147" s="39" t="n">
        <v>43.03278</v>
      </c>
      <c r="Z147" s="39" t="n">
        <v>43.03278</v>
      </c>
      <c r="AA147" s="39" t="n">
        <v>43.03278</v>
      </c>
      <c r="AB147" s="39" t="n">
        <v>43.03278</v>
      </c>
      <c r="AC147" s="39" t="n">
        <v>43.03278</v>
      </c>
      <c r="AD147" s="39" t="n">
        <v>43.03278</v>
      </c>
      <c r="AE147" s="39" t="n">
        <v>43.03278</v>
      </c>
      <c r="AF147" s="39" t="n">
        <v>43.03278</v>
      </c>
    </row>
    <row r="148" ht="15" customHeight="1" s="176">
      <c r="A148" s="30" t="inlineStr">
        <is>
          <t>P-0145</t>
        </is>
      </c>
      <c r="B148" s="30" t="inlineStr">
        <is>
          <t>2026/27</t>
        </is>
      </c>
      <c r="C148" s="30" t="inlineStr">
        <is>
          <t>El Molle</t>
        </is>
      </c>
      <c r="D148" s="31" t="inlineStr">
        <is>
          <t>orogrande 8,11 ha</t>
        </is>
      </c>
      <c r="E148" s="30" t="inlineStr">
        <is>
          <t>Clementinas</t>
        </is>
      </c>
      <c r="F148" s="30" t="inlineStr">
        <is>
          <t>Orogrande</t>
        </is>
      </c>
      <c r="G148" s="30" t="inlineStr">
        <is>
          <t>Producción</t>
        </is>
      </c>
      <c r="H148" s="32" t="n">
        <v>8.109999999999999</v>
      </c>
      <c r="I148" s="32" t="n">
        <v>8.109999999999999</v>
      </c>
      <c r="J148" s="30" t="inlineStr">
        <is>
          <t>Costo</t>
        </is>
      </c>
      <c r="K148" s="31" t="inlineStr">
        <is>
          <t>2- M.O. indirecta</t>
        </is>
      </c>
      <c r="L148" s="31" t="inlineStr">
        <is>
          <t>3- ADQUIS. Y BODEGA</t>
        </is>
      </c>
      <c r="M148" s="31" t="inlineStr">
        <is>
          <t>Operacion predio</t>
        </is>
      </c>
      <c r="N148" s="30" t="inlineStr">
        <is>
          <t>día</t>
        </is>
      </c>
      <c r="O148" s="30" t="inlineStr">
        <is>
          <t>ha</t>
        </is>
      </c>
      <c r="P148" s="33" t="n">
        <v>8100</v>
      </c>
      <c r="Q148" s="34" t="n">
        <v>8.109999999999999</v>
      </c>
      <c r="R148" s="33" t="n">
        <v>656647.236</v>
      </c>
      <c r="S148" s="35" t="n">
        <v>0.0025704</v>
      </c>
      <c r="T148" s="33" t="n">
        <v>2.31336</v>
      </c>
      <c r="U148" s="33" t="n">
        <v>60.80067</v>
      </c>
      <c r="V148" s="33" t="n">
        <v>60.80067</v>
      </c>
      <c r="W148" s="33" t="n">
        <v>60.80067</v>
      </c>
      <c r="X148" s="33" t="n">
        <v>60.80067</v>
      </c>
      <c r="Y148" s="33" t="n">
        <v>60.80067</v>
      </c>
      <c r="Z148" s="33" t="n">
        <v>60.80067</v>
      </c>
      <c r="AA148" s="33" t="n">
        <v>60.80067</v>
      </c>
      <c r="AB148" s="33" t="n">
        <v>60.80067</v>
      </c>
      <c r="AC148" s="33" t="n">
        <v>60.80067</v>
      </c>
      <c r="AD148" s="33" t="n">
        <v>60.80067</v>
      </c>
      <c r="AE148" s="33" t="n">
        <v>60.80067</v>
      </c>
      <c r="AF148" s="33" t="n">
        <v>60.80067</v>
      </c>
    </row>
    <row r="149" ht="15" customHeight="1" s="176">
      <c r="A149" s="36" t="inlineStr">
        <is>
          <t>P-0146</t>
        </is>
      </c>
      <c r="B149" s="36" t="inlineStr">
        <is>
          <t>2026/27</t>
        </is>
      </c>
      <c r="C149" s="36" t="inlineStr">
        <is>
          <t>El Molle</t>
        </is>
      </c>
      <c r="D149" s="37" t="inlineStr">
        <is>
          <t>Wonderful 5,25 ha</t>
        </is>
      </c>
      <c r="E149" s="36" t="inlineStr">
        <is>
          <t>Granados</t>
        </is>
      </c>
      <c r="F149" s="36" t="inlineStr">
        <is>
          <t>Wonderfull</t>
        </is>
      </c>
      <c r="G149" s="36" t="inlineStr">
        <is>
          <t>Producción</t>
        </is>
      </c>
      <c r="H149" s="38" t="n">
        <v>5.24</v>
      </c>
      <c r="I149" s="38" t="n">
        <v>5.24</v>
      </c>
      <c r="J149" s="36" t="inlineStr">
        <is>
          <t>Costo</t>
        </is>
      </c>
      <c r="K149" s="37" t="inlineStr">
        <is>
          <t>2- M.O. indirecta</t>
        </is>
      </c>
      <c r="L149" s="37" t="inlineStr">
        <is>
          <t>3- ADQUIS. Y BODEGA</t>
        </is>
      </c>
      <c r="M149" s="37" t="inlineStr">
        <is>
          <t>Operacion predio</t>
        </is>
      </c>
      <c r="N149" s="36" t="inlineStr">
        <is>
          <t>día</t>
        </is>
      </c>
      <c r="O149" s="36" t="inlineStr">
        <is>
          <t>ha</t>
        </is>
      </c>
      <c r="P149" s="39" t="n">
        <v>8100</v>
      </c>
      <c r="Q149" s="40" t="n">
        <v>5.24</v>
      </c>
      <c r="R149" s="39" t="n">
        <v>424270.224</v>
      </c>
      <c r="S149" s="41" t="n">
        <v>0.00408927272727273</v>
      </c>
      <c r="T149" s="39" t="n">
        <v>3.68034545454545</v>
      </c>
      <c r="U149" s="39" t="n">
        <v>39.28428</v>
      </c>
      <c r="V149" s="39" t="n">
        <v>39.28428</v>
      </c>
      <c r="W149" s="39" t="n">
        <v>39.28428</v>
      </c>
      <c r="X149" s="39" t="n">
        <v>39.28428</v>
      </c>
      <c r="Y149" s="39" t="n">
        <v>39.28428</v>
      </c>
      <c r="Z149" s="39" t="n">
        <v>39.28428</v>
      </c>
      <c r="AA149" s="39" t="n">
        <v>39.28428</v>
      </c>
      <c r="AB149" s="39" t="n">
        <v>39.28428</v>
      </c>
      <c r="AC149" s="39" t="n">
        <v>39.28428</v>
      </c>
      <c r="AD149" s="39" t="n">
        <v>39.28428</v>
      </c>
      <c r="AE149" s="39" t="n">
        <v>39.28428</v>
      </c>
      <c r="AF149" s="39" t="n">
        <v>39.28428</v>
      </c>
    </row>
    <row r="150" ht="15" customHeight="1" s="176">
      <c r="A150" s="30" t="inlineStr">
        <is>
          <t>P-0147</t>
        </is>
      </c>
      <c r="B150" s="30" t="inlineStr">
        <is>
          <t>2026/27</t>
        </is>
      </c>
      <c r="C150" s="30" t="inlineStr">
        <is>
          <t>El Molle</t>
        </is>
      </c>
      <c r="D150" s="31" t="inlineStr">
        <is>
          <t>Wonderful 5,25 ha</t>
        </is>
      </c>
      <c r="E150" s="30" t="inlineStr">
        <is>
          <t>Granados</t>
        </is>
      </c>
      <c r="F150" s="30" t="inlineStr">
        <is>
          <t>Wonderfull</t>
        </is>
      </c>
      <c r="G150" s="30" t="inlineStr">
        <is>
          <t>Producción</t>
        </is>
      </c>
      <c r="H150" s="32" t="n">
        <v>5.24</v>
      </c>
      <c r="I150" s="32" t="n">
        <v>5.24</v>
      </c>
      <c r="J150" s="30" t="inlineStr">
        <is>
          <t>Costo</t>
        </is>
      </c>
      <c r="K150" s="31" t="inlineStr">
        <is>
          <t>3- Gasto general</t>
        </is>
      </c>
      <c r="L150" s="31" t="inlineStr">
        <is>
          <t>3- COMBUSTIBLE Y ENERGIA</t>
        </is>
      </c>
      <c r="M150" s="31" t="n"/>
      <c r="N150" s="30" t="n"/>
      <c r="O150" s="30" t="inlineStr">
        <is>
          <t>ha</t>
        </is>
      </c>
      <c r="P150" s="33" t="n">
        <v>136200</v>
      </c>
      <c r="Q150" s="34" t="n">
        <v>5.24</v>
      </c>
      <c r="R150" s="33" t="n">
        <v>5138553.6</v>
      </c>
      <c r="S150" s="35" t="n">
        <v>0.0495272727272727</v>
      </c>
      <c r="T150" s="33" t="n">
        <v>44.5745454545455</v>
      </c>
      <c r="U150" s="33" t="n">
        <v>475.792</v>
      </c>
      <c r="V150" s="33" t="n">
        <v>475.792</v>
      </c>
      <c r="W150" s="33" t="n">
        <v>475.792</v>
      </c>
      <c r="X150" s="33" t="n">
        <v>475.792</v>
      </c>
      <c r="Y150" s="33" t="n">
        <v>475.792</v>
      </c>
      <c r="Z150" s="33" t="n">
        <v>475.792</v>
      </c>
      <c r="AA150" s="33" t="n">
        <v>475.792</v>
      </c>
      <c r="AB150" s="33" t="n">
        <v>475.792</v>
      </c>
      <c r="AC150" s="33" t="n">
        <v>475.792</v>
      </c>
      <c r="AD150" s="33" t="n">
        <v>475.792</v>
      </c>
      <c r="AE150" s="33" t="n">
        <v>475.792</v>
      </c>
      <c r="AF150" s="33" t="n">
        <v>475.792</v>
      </c>
    </row>
    <row r="151" ht="15" customHeight="1" s="176">
      <c r="A151" s="36" t="inlineStr">
        <is>
          <t>P-0148</t>
        </is>
      </c>
      <c r="B151" s="36" t="inlineStr">
        <is>
          <t>2026/27</t>
        </is>
      </c>
      <c r="C151" s="36" t="inlineStr">
        <is>
          <t>El Molle</t>
        </is>
      </c>
      <c r="D151" s="37" t="inlineStr">
        <is>
          <t>orogrande 8,11 ha</t>
        </is>
      </c>
      <c r="E151" s="36" t="inlineStr">
        <is>
          <t>Clementinas</t>
        </is>
      </c>
      <c r="F151" s="36" t="inlineStr">
        <is>
          <t>Orogrande</t>
        </is>
      </c>
      <c r="G151" s="36" t="inlineStr">
        <is>
          <t>Producción</t>
        </is>
      </c>
      <c r="H151" s="38" t="n">
        <v>8.109999999999999</v>
      </c>
      <c r="I151" s="38" t="n">
        <v>8.109999999999999</v>
      </c>
      <c r="J151" s="36" t="inlineStr">
        <is>
          <t>Costo</t>
        </is>
      </c>
      <c r="K151" s="37" t="inlineStr">
        <is>
          <t>3- Gasto general</t>
        </is>
      </c>
      <c r="L151" s="37" t="inlineStr">
        <is>
          <t>5- OTROS COSTOS  (fletes, alambres, mallas)</t>
        </is>
      </c>
      <c r="M151" s="37" t="n"/>
      <c r="N151" s="36" t="n"/>
      <c r="O151" s="36" t="inlineStr">
        <is>
          <t>ha</t>
        </is>
      </c>
      <c r="P151" s="39" t="n">
        <v>100000</v>
      </c>
      <c r="Q151" s="40" t="n">
        <v>8.109999999999999</v>
      </c>
      <c r="R151" s="39" t="n">
        <v>8106756</v>
      </c>
      <c r="S151" s="41" t="n">
        <v>0.0317333333333333</v>
      </c>
      <c r="T151" s="39" t="n">
        <v>28.56</v>
      </c>
      <c r="U151" s="39" t="n">
        <v>750.625555555556</v>
      </c>
      <c r="V151" s="39" t="n">
        <v>750.625555555556</v>
      </c>
      <c r="W151" s="39" t="n">
        <v>750.625555555556</v>
      </c>
      <c r="X151" s="39" t="n">
        <v>750.625555555556</v>
      </c>
      <c r="Y151" s="39" t="n">
        <v>750.625555555556</v>
      </c>
      <c r="Z151" s="39" t="n">
        <v>750.625555555556</v>
      </c>
      <c r="AA151" s="39" t="n">
        <v>750.625555555556</v>
      </c>
      <c r="AB151" s="39" t="n">
        <v>750.625555555556</v>
      </c>
      <c r="AC151" s="39" t="n">
        <v>750.625555555556</v>
      </c>
      <c r="AD151" s="39" t="n">
        <v>750.625555555556</v>
      </c>
      <c r="AE151" s="39" t="n">
        <v>750.625555555556</v>
      </c>
      <c r="AF151" s="39" t="n">
        <v>750.625555555556</v>
      </c>
    </row>
    <row r="152" ht="15" customHeight="1" s="176">
      <c r="A152" s="30" t="inlineStr">
        <is>
          <t>P-0149</t>
        </is>
      </c>
      <c r="B152" s="30" t="inlineStr">
        <is>
          <t>2026/27</t>
        </is>
      </c>
      <c r="C152" s="30" t="inlineStr">
        <is>
          <t>El Molle</t>
        </is>
      </c>
      <c r="D152" s="31" t="inlineStr">
        <is>
          <t>oronules 5,35 ha</t>
        </is>
      </c>
      <c r="E152" s="30" t="inlineStr">
        <is>
          <t>Clementinas</t>
        </is>
      </c>
      <c r="F152" s="30" t="inlineStr">
        <is>
          <t>Oronules</t>
        </is>
      </c>
      <c r="G152" s="30" t="inlineStr">
        <is>
          <t>Producción</t>
        </is>
      </c>
      <c r="H152" s="32" t="n">
        <v>5.35</v>
      </c>
      <c r="I152" s="32" t="n">
        <v>5.35</v>
      </c>
      <c r="J152" s="30" t="inlineStr">
        <is>
          <t>Costo</t>
        </is>
      </c>
      <c r="K152" s="31" t="inlineStr">
        <is>
          <t>3- Gasto general</t>
        </is>
      </c>
      <c r="L152" s="31" t="inlineStr">
        <is>
          <t>3- COMBUSTIBLE Y ENERGIA</t>
        </is>
      </c>
      <c r="M152" s="31" t="n"/>
      <c r="N152" s="30" t="n"/>
      <c r="O152" s="30" t="inlineStr">
        <is>
          <t>ha</t>
        </is>
      </c>
      <c r="P152" s="33" t="n">
        <v>136200</v>
      </c>
      <c r="Q152" s="34" t="n">
        <v>5.35</v>
      </c>
      <c r="R152" s="33" t="n">
        <v>7283785.32</v>
      </c>
      <c r="S152" s="35" t="n">
        <v>0.0504242666666667</v>
      </c>
      <c r="T152" s="33" t="n">
        <v>45.38184</v>
      </c>
      <c r="U152" s="33" t="n">
        <v>674.424566666667</v>
      </c>
      <c r="V152" s="33" t="n">
        <v>674.424566666667</v>
      </c>
      <c r="W152" s="33" t="n">
        <v>674.424566666667</v>
      </c>
      <c r="X152" s="33" t="n">
        <v>674.424566666667</v>
      </c>
      <c r="Y152" s="33" t="n">
        <v>674.424566666667</v>
      </c>
      <c r="Z152" s="33" t="n">
        <v>674.424566666667</v>
      </c>
      <c r="AA152" s="33" t="n">
        <v>674.424566666667</v>
      </c>
      <c r="AB152" s="33" t="n">
        <v>674.424566666667</v>
      </c>
      <c r="AC152" s="33" t="n">
        <v>674.424566666667</v>
      </c>
      <c r="AD152" s="33" t="n">
        <v>674.424566666667</v>
      </c>
      <c r="AE152" s="33" t="n">
        <v>674.424566666667</v>
      </c>
      <c r="AF152" s="33" t="n">
        <v>674.424566666667</v>
      </c>
    </row>
    <row r="153" ht="15" customHeight="1" s="176">
      <c r="A153" s="36" t="inlineStr">
        <is>
          <t>P-0150</t>
        </is>
      </c>
      <c r="B153" s="36" t="inlineStr">
        <is>
          <t>2026/27</t>
        </is>
      </c>
      <c r="C153" s="36" t="inlineStr">
        <is>
          <t>El Molle</t>
        </is>
      </c>
      <c r="D153" s="37" t="inlineStr">
        <is>
          <t>arrufatinas 5,74 ha</t>
        </is>
      </c>
      <c r="E153" s="36" t="inlineStr">
        <is>
          <t>Clementinas</t>
        </is>
      </c>
      <c r="F153" s="36" t="inlineStr">
        <is>
          <t>Arrufatinas</t>
        </is>
      </c>
      <c r="G153" s="36" t="inlineStr">
        <is>
          <t>Producción</t>
        </is>
      </c>
      <c r="H153" s="38" t="n">
        <v>5.74</v>
      </c>
      <c r="I153" s="38" t="n">
        <v>5.74</v>
      </c>
      <c r="J153" s="36" t="inlineStr">
        <is>
          <t>Costo</t>
        </is>
      </c>
      <c r="K153" s="37" t="inlineStr">
        <is>
          <t>3- Gasto general</t>
        </is>
      </c>
      <c r="L153" s="37" t="inlineStr">
        <is>
          <t>5- OTROS COSTOS  (fletes, alambres, mallas)</t>
        </is>
      </c>
      <c r="M153" s="37" t="n"/>
      <c r="N153" s="36" t="n"/>
      <c r="O153" s="36" t="inlineStr">
        <is>
          <t>ha</t>
        </is>
      </c>
      <c r="P153" s="39" t="n">
        <v>100000</v>
      </c>
      <c r="Q153" s="40" t="n">
        <v>5.74</v>
      </c>
      <c r="R153" s="39" t="n">
        <v>5737704</v>
      </c>
      <c r="S153" s="41" t="n">
        <v>0.0347083333333333</v>
      </c>
      <c r="T153" s="39" t="n">
        <v>31.2375</v>
      </c>
      <c r="U153" s="39" t="n">
        <v>531.268888888889</v>
      </c>
      <c r="V153" s="39" t="n">
        <v>531.268888888889</v>
      </c>
      <c r="W153" s="39" t="n">
        <v>531.268888888889</v>
      </c>
      <c r="X153" s="39" t="n">
        <v>531.268888888889</v>
      </c>
      <c r="Y153" s="39" t="n">
        <v>531.268888888889</v>
      </c>
      <c r="Z153" s="39" t="n">
        <v>531.268888888889</v>
      </c>
      <c r="AA153" s="39" t="n">
        <v>531.268888888889</v>
      </c>
      <c r="AB153" s="39" t="n">
        <v>531.268888888889</v>
      </c>
      <c r="AC153" s="39" t="n">
        <v>531.268888888889</v>
      </c>
      <c r="AD153" s="39" t="n">
        <v>531.268888888889</v>
      </c>
      <c r="AE153" s="39" t="n">
        <v>531.268888888889</v>
      </c>
      <c r="AF153" s="39" t="n">
        <v>531.268888888889</v>
      </c>
    </row>
    <row r="154" ht="15" customHeight="1" s="176">
      <c r="A154" s="30" t="inlineStr">
        <is>
          <t>P-0151</t>
        </is>
      </c>
      <c r="B154" s="30" t="inlineStr">
        <is>
          <t>2026/27</t>
        </is>
      </c>
      <c r="C154" s="30" t="inlineStr">
        <is>
          <t>El Molle</t>
        </is>
      </c>
      <c r="D154" s="31" t="inlineStr">
        <is>
          <t>Wonderful 5,25 ha</t>
        </is>
      </c>
      <c r="E154" s="30" t="inlineStr">
        <is>
          <t>Granados</t>
        </is>
      </c>
      <c r="F154" s="30" t="inlineStr">
        <is>
          <t>Wonderfull</t>
        </is>
      </c>
      <c r="G154" s="30" t="inlineStr">
        <is>
          <t>Producción</t>
        </is>
      </c>
      <c r="H154" s="32" t="n">
        <v>5.24</v>
      </c>
      <c r="I154" s="32" t="n">
        <v>5.24</v>
      </c>
      <c r="J154" s="30" t="inlineStr">
        <is>
          <t>Costo</t>
        </is>
      </c>
      <c r="K154" s="31" t="inlineStr">
        <is>
          <t>1- M.O. directa</t>
        </is>
      </c>
      <c r="L154" s="31" t="inlineStr">
        <is>
          <t>3- Selección</t>
        </is>
      </c>
      <c r="M154" s="31" t="inlineStr">
        <is>
          <t>5 jh/seleccion</t>
        </is>
      </c>
      <c r="N154" s="30" t="inlineStr">
        <is>
          <t>trato</t>
        </is>
      </c>
      <c r="O154" s="30" t="inlineStr">
        <is>
          <t>kg</t>
        </is>
      </c>
      <c r="P154" s="33" t="n">
        <v>5</v>
      </c>
      <c r="Q154" s="34" t="n">
        <v>115280</v>
      </c>
      <c r="R154" s="33" t="n">
        <v>576400</v>
      </c>
      <c r="S154" s="35" t="n">
        <v>0.00555555555555556</v>
      </c>
      <c r="T154" s="33" t="n">
        <v>5</v>
      </c>
      <c r="U154" s="33" t="n">
        <v>0</v>
      </c>
      <c r="V154" s="33" t="n">
        <v>0</v>
      </c>
      <c r="W154" s="33" t="n">
        <v>0</v>
      </c>
      <c r="X154" s="33" t="n">
        <v>0</v>
      </c>
      <c r="Y154" s="33" t="n">
        <v>0</v>
      </c>
      <c r="Z154" s="33" t="n">
        <v>0</v>
      </c>
      <c r="AA154" s="33" t="n">
        <v>0</v>
      </c>
      <c r="AB154" s="33" t="n">
        <v>0</v>
      </c>
      <c r="AC154" s="33" t="n">
        <v>0</v>
      </c>
      <c r="AD154" s="33" t="n">
        <v>0</v>
      </c>
      <c r="AE154" s="33" t="n">
        <v>0</v>
      </c>
      <c r="AF154" s="33" t="n">
        <v>640.444444444445</v>
      </c>
    </row>
    <row r="155" ht="15" customHeight="1" s="176">
      <c r="A155" s="36" t="inlineStr">
        <is>
          <t>P-0152</t>
        </is>
      </c>
      <c r="B155" s="36" t="inlineStr">
        <is>
          <t>2026/27</t>
        </is>
      </c>
      <c r="C155" s="36" t="inlineStr">
        <is>
          <t>El Molle</t>
        </is>
      </c>
      <c r="D155" s="37" t="inlineStr">
        <is>
          <t>oronules 5,35 ha</t>
        </is>
      </c>
      <c r="E155" s="36" t="inlineStr">
        <is>
          <t>Clementinas</t>
        </is>
      </c>
      <c r="F155" s="36" t="inlineStr">
        <is>
          <t>Oronules</t>
        </is>
      </c>
      <c r="G155" s="36" t="inlineStr">
        <is>
          <t>Producción</t>
        </is>
      </c>
      <c r="H155" s="38" t="n">
        <v>5.35</v>
      </c>
      <c r="I155" s="38" t="n">
        <v>5.35</v>
      </c>
      <c r="J155" s="36" t="inlineStr">
        <is>
          <t>Costo</t>
        </is>
      </c>
      <c r="K155" s="37" t="inlineStr">
        <is>
          <t>1- M.O. directa</t>
        </is>
      </c>
      <c r="L155" s="37" t="inlineStr">
        <is>
          <t>2- Supervisor cosecha</t>
        </is>
      </c>
      <c r="M155" s="37" t="inlineStr">
        <is>
          <t>15 jh/supervisor ($7/kg)</t>
        </is>
      </c>
      <c r="N155" s="36" t="inlineStr">
        <is>
          <t>día</t>
        </is>
      </c>
      <c r="O155" s="36" t="inlineStr">
        <is>
          <t>kg</t>
        </is>
      </c>
      <c r="P155" s="39" t="n">
        <v>7</v>
      </c>
      <c r="Q155" s="40" t="n">
        <v>160500</v>
      </c>
      <c r="R155" s="39" t="n">
        <v>1123500</v>
      </c>
      <c r="S155" s="41" t="n">
        <v>0.00777777777777778</v>
      </c>
      <c r="T155" s="39" t="n">
        <v>7</v>
      </c>
      <c r="U155" s="39" t="n">
        <v>1248.33333333333</v>
      </c>
      <c r="V155" s="39" t="n">
        <v>0</v>
      </c>
      <c r="W155" s="39" t="n">
        <v>0</v>
      </c>
      <c r="X155" s="39" t="n">
        <v>0</v>
      </c>
      <c r="Y155" s="39" t="n">
        <v>0</v>
      </c>
      <c r="Z155" s="39" t="n">
        <v>0</v>
      </c>
      <c r="AA155" s="39" t="n">
        <v>0</v>
      </c>
      <c r="AB155" s="39" t="n">
        <v>0</v>
      </c>
      <c r="AC155" s="39" t="n">
        <v>0</v>
      </c>
      <c r="AD155" s="39" t="n">
        <v>0</v>
      </c>
      <c r="AE155" s="39" t="n">
        <v>0</v>
      </c>
      <c r="AF155" s="39" t="n">
        <v>0</v>
      </c>
    </row>
    <row r="156" ht="15" customHeight="1" s="176">
      <c r="A156" s="30" t="inlineStr">
        <is>
          <t>P-0153</t>
        </is>
      </c>
      <c r="B156" s="30" t="inlineStr">
        <is>
          <t>2026/27</t>
        </is>
      </c>
      <c r="C156" s="30" t="inlineStr">
        <is>
          <t>El Molle</t>
        </is>
      </c>
      <c r="D156" s="31" t="inlineStr">
        <is>
          <t>arrufatinas 5,74 ha</t>
        </is>
      </c>
      <c r="E156" s="30" t="inlineStr">
        <is>
          <t>Clementinas</t>
        </is>
      </c>
      <c r="F156" s="30" t="inlineStr">
        <is>
          <t>Arrufatinas</t>
        </is>
      </c>
      <c r="G156" s="30" t="inlineStr">
        <is>
          <t>Producción</t>
        </is>
      </c>
      <c r="H156" s="32" t="n">
        <v>5.74</v>
      </c>
      <c r="I156" s="32" t="n">
        <v>5.74</v>
      </c>
      <c r="J156" s="30" t="inlineStr">
        <is>
          <t>Costo</t>
        </is>
      </c>
      <c r="K156" s="31" t="inlineStr">
        <is>
          <t>1- M.O. directa</t>
        </is>
      </c>
      <c r="L156" s="31" t="inlineStr">
        <is>
          <t>2- Supervisor cosecha</t>
        </is>
      </c>
      <c r="M156" s="31" t="inlineStr">
        <is>
          <t>15 jh/supervisor ($7/kg)</t>
        </is>
      </c>
      <c r="N156" s="30" t="inlineStr">
        <is>
          <t>día</t>
        </is>
      </c>
      <c r="O156" s="30" t="inlineStr">
        <is>
          <t>kg</t>
        </is>
      </c>
      <c r="P156" s="33" t="n">
        <v>7</v>
      </c>
      <c r="Q156" s="34" t="n">
        <v>183680</v>
      </c>
      <c r="R156" s="33" t="n">
        <v>1285760</v>
      </c>
      <c r="S156" s="35" t="n">
        <v>0.00777777777777778</v>
      </c>
      <c r="T156" s="33" t="n">
        <v>7</v>
      </c>
      <c r="U156" s="33" t="n">
        <v>1428.62222222222</v>
      </c>
      <c r="V156" s="33" t="n">
        <v>0</v>
      </c>
      <c r="W156" s="33" t="n">
        <v>0</v>
      </c>
      <c r="X156" s="33" t="n">
        <v>0</v>
      </c>
      <c r="Y156" s="33" t="n">
        <v>0</v>
      </c>
      <c r="Z156" s="33" t="n">
        <v>0</v>
      </c>
      <c r="AA156" s="33" t="n">
        <v>0</v>
      </c>
      <c r="AB156" s="33" t="n">
        <v>0</v>
      </c>
      <c r="AC156" s="33" t="n">
        <v>0</v>
      </c>
      <c r="AD156" s="33" t="n">
        <v>0</v>
      </c>
      <c r="AE156" s="33" t="n">
        <v>0</v>
      </c>
      <c r="AF156" s="33" t="n">
        <v>0</v>
      </c>
    </row>
    <row r="157" ht="15" customHeight="1" s="176">
      <c r="A157" s="36" t="inlineStr">
        <is>
          <t>P-0154</t>
        </is>
      </c>
      <c r="B157" s="36" t="inlineStr">
        <is>
          <t>2026/27</t>
        </is>
      </c>
      <c r="C157" s="36" t="inlineStr">
        <is>
          <t>El Molle</t>
        </is>
      </c>
      <c r="D157" s="37" t="inlineStr">
        <is>
          <t>orogrande 8,11 ha</t>
        </is>
      </c>
      <c r="E157" s="36" t="inlineStr">
        <is>
          <t>Clementinas</t>
        </is>
      </c>
      <c r="F157" s="36" t="inlineStr">
        <is>
          <t>Orogrande</t>
        </is>
      </c>
      <c r="G157" s="36" t="inlineStr">
        <is>
          <t>Producción</t>
        </is>
      </c>
      <c r="H157" s="38" t="n">
        <v>8.109999999999999</v>
      </c>
      <c r="I157" s="38" t="n">
        <v>8.109999999999999</v>
      </c>
      <c r="J157" s="36" t="inlineStr">
        <is>
          <t>Costo</t>
        </is>
      </c>
      <c r="K157" s="37" t="inlineStr">
        <is>
          <t>1- M.O. directa</t>
        </is>
      </c>
      <c r="L157" s="37" t="inlineStr">
        <is>
          <t>2- Supervisor cosecha</t>
        </is>
      </c>
      <c r="M157" s="37" t="inlineStr">
        <is>
          <t>15 jh/supervisor ($7/kg)</t>
        </is>
      </c>
      <c r="N157" s="36" t="inlineStr">
        <is>
          <t>día</t>
        </is>
      </c>
      <c r="O157" s="36" t="inlineStr">
        <is>
          <t>kg</t>
        </is>
      </c>
      <c r="P157" s="39" t="n">
        <v>7</v>
      </c>
      <c r="Q157" s="40" t="n">
        <v>283850</v>
      </c>
      <c r="R157" s="39" t="n">
        <v>1986950</v>
      </c>
      <c r="S157" s="41" t="n">
        <v>0.00777777777777778</v>
      </c>
      <c r="T157" s="39" t="n">
        <v>7</v>
      </c>
      <c r="U157" s="39" t="n">
        <v>0</v>
      </c>
      <c r="V157" s="39" t="n">
        <v>2207.72222222222</v>
      </c>
      <c r="W157" s="39" t="n">
        <v>0</v>
      </c>
      <c r="X157" s="39" t="n">
        <v>0</v>
      </c>
      <c r="Y157" s="39" t="n">
        <v>0</v>
      </c>
      <c r="Z157" s="39" t="n">
        <v>0</v>
      </c>
      <c r="AA157" s="39" t="n">
        <v>0</v>
      </c>
      <c r="AB157" s="39" t="n">
        <v>0</v>
      </c>
      <c r="AC157" s="39" t="n">
        <v>0</v>
      </c>
      <c r="AD157" s="39" t="n">
        <v>0</v>
      </c>
      <c r="AE157" s="39" t="n">
        <v>0</v>
      </c>
      <c r="AF157" s="39" t="n">
        <v>0</v>
      </c>
    </row>
    <row r="158" ht="15" customHeight="1" s="176">
      <c r="A158" s="30" t="inlineStr">
        <is>
          <t>P-0155</t>
        </is>
      </c>
      <c r="B158" s="30" t="inlineStr">
        <is>
          <t>2026/27</t>
        </is>
      </c>
      <c r="C158" s="30" t="inlineStr">
        <is>
          <t>El Molle</t>
        </is>
      </c>
      <c r="D158" s="31" t="inlineStr">
        <is>
          <t>oronules 5,35 ha</t>
        </is>
      </c>
      <c r="E158" s="30" t="inlineStr">
        <is>
          <t>Clementinas</t>
        </is>
      </c>
      <c r="F158" s="30" t="inlineStr">
        <is>
          <t>Oronules</t>
        </is>
      </c>
      <c r="G158" s="30" t="inlineStr">
        <is>
          <t>Producción</t>
        </is>
      </c>
      <c r="H158" s="32" t="n">
        <v>5.35</v>
      </c>
      <c r="I158" s="32" t="n">
        <v>5.35</v>
      </c>
      <c r="J158" s="30" t="inlineStr">
        <is>
          <t>Costo</t>
        </is>
      </c>
      <c r="K158" s="31" t="inlineStr">
        <is>
          <t>1- M.O. directa</t>
        </is>
      </c>
      <c r="L158" s="31" t="inlineStr">
        <is>
          <t>3- Selección</t>
        </is>
      </c>
      <c r="M158" s="31" t="inlineStr">
        <is>
          <t>5 jh/seleccion</t>
        </is>
      </c>
      <c r="N158" s="30" t="inlineStr">
        <is>
          <t>trato</t>
        </is>
      </c>
      <c r="O158" s="30" t="inlineStr">
        <is>
          <t>kg</t>
        </is>
      </c>
      <c r="P158" s="33" t="n">
        <v>20</v>
      </c>
      <c r="Q158" s="34" t="n">
        <v>160500</v>
      </c>
      <c r="R158" s="33" t="n">
        <v>3210000</v>
      </c>
      <c r="S158" s="35" t="n">
        <v>0.0222222222222222</v>
      </c>
      <c r="T158" s="33" t="n">
        <v>20</v>
      </c>
      <c r="U158" s="33" t="n">
        <v>3566.66666666667</v>
      </c>
      <c r="V158" s="33" t="n">
        <v>0</v>
      </c>
      <c r="W158" s="33" t="n">
        <v>0</v>
      </c>
      <c r="X158" s="33" t="n">
        <v>0</v>
      </c>
      <c r="Y158" s="33" t="n">
        <v>0</v>
      </c>
      <c r="Z158" s="33" t="n">
        <v>0</v>
      </c>
      <c r="AA158" s="33" t="n">
        <v>0</v>
      </c>
      <c r="AB158" s="33" t="n">
        <v>0</v>
      </c>
      <c r="AC158" s="33" t="n">
        <v>0</v>
      </c>
      <c r="AD158" s="33" t="n">
        <v>0</v>
      </c>
      <c r="AE158" s="33" t="n">
        <v>0</v>
      </c>
      <c r="AF158" s="33" t="n">
        <v>0</v>
      </c>
    </row>
    <row r="159" ht="15" customHeight="1" s="176">
      <c r="A159" s="36" t="inlineStr">
        <is>
          <t>P-0156</t>
        </is>
      </c>
      <c r="B159" s="36" t="inlineStr">
        <is>
          <t>2026/27</t>
        </is>
      </c>
      <c r="C159" s="36" t="inlineStr">
        <is>
          <t>El Molle</t>
        </is>
      </c>
      <c r="D159" s="37" t="inlineStr">
        <is>
          <t>arrufatinas 5,74 ha</t>
        </is>
      </c>
      <c r="E159" s="36" t="inlineStr">
        <is>
          <t>Clementinas</t>
        </is>
      </c>
      <c r="F159" s="36" t="inlineStr">
        <is>
          <t>Arrufatinas</t>
        </is>
      </c>
      <c r="G159" s="36" t="inlineStr">
        <is>
          <t>Producción</t>
        </is>
      </c>
      <c r="H159" s="38" t="n">
        <v>5.74</v>
      </c>
      <c r="I159" s="38" t="n">
        <v>5.74</v>
      </c>
      <c r="J159" s="36" t="inlineStr">
        <is>
          <t>Costo</t>
        </is>
      </c>
      <c r="K159" s="37" t="inlineStr">
        <is>
          <t>1- M.O. directa</t>
        </is>
      </c>
      <c r="L159" s="37" t="inlineStr">
        <is>
          <t>3- Selección</t>
        </is>
      </c>
      <c r="M159" s="37" t="inlineStr">
        <is>
          <t>5 jh/seleccion</t>
        </is>
      </c>
      <c r="N159" s="36" t="inlineStr">
        <is>
          <t>trato</t>
        </is>
      </c>
      <c r="O159" s="36" t="inlineStr">
        <is>
          <t>kg</t>
        </is>
      </c>
      <c r="P159" s="39" t="n">
        <v>20</v>
      </c>
      <c r="Q159" s="40" t="n">
        <v>183680</v>
      </c>
      <c r="R159" s="39" t="n">
        <v>3673600</v>
      </c>
      <c r="S159" s="41" t="n">
        <v>0.0222222222222222</v>
      </c>
      <c r="T159" s="39" t="n">
        <v>20</v>
      </c>
      <c r="U159" s="39" t="n">
        <v>4081.77777777778</v>
      </c>
      <c r="V159" s="39" t="n">
        <v>0</v>
      </c>
      <c r="W159" s="39" t="n">
        <v>0</v>
      </c>
      <c r="X159" s="39" t="n">
        <v>0</v>
      </c>
      <c r="Y159" s="39" t="n">
        <v>0</v>
      </c>
      <c r="Z159" s="39" t="n">
        <v>0</v>
      </c>
      <c r="AA159" s="39" t="n">
        <v>0</v>
      </c>
      <c r="AB159" s="39" t="n">
        <v>0</v>
      </c>
      <c r="AC159" s="39" t="n">
        <v>0</v>
      </c>
      <c r="AD159" s="39" t="n">
        <v>0</v>
      </c>
      <c r="AE159" s="39" t="n">
        <v>0</v>
      </c>
      <c r="AF159" s="39" t="n">
        <v>0</v>
      </c>
    </row>
    <row r="160" ht="15" customHeight="1" s="176">
      <c r="A160" s="30" t="inlineStr">
        <is>
          <t>P-0157</t>
        </is>
      </c>
      <c r="B160" s="30" t="inlineStr">
        <is>
          <t>2026/27</t>
        </is>
      </c>
      <c r="C160" s="30" t="inlineStr">
        <is>
          <t>El Molle</t>
        </is>
      </c>
      <c r="D160" s="31" t="inlineStr">
        <is>
          <t>orogrande 8,11 ha</t>
        </is>
      </c>
      <c r="E160" s="30" t="inlineStr">
        <is>
          <t>Clementinas</t>
        </is>
      </c>
      <c r="F160" s="30" t="inlineStr">
        <is>
          <t>Orogrande</t>
        </is>
      </c>
      <c r="G160" s="30" t="inlineStr">
        <is>
          <t>Producción</t>
        </is>
      </c>
      <c r="H160" s="32" t="n">
        <v>8.109999999999999</v>
      </c>
      <c r="I160" s="32" t="n">
        <v>8.109999999999999</v>
      </c>
      <c r="J160" s="30" t="inlineStr">
        <is>
          <t>Costo</t>
        </is>
      </c>
      <c r="K160" s="31" t="inlineStr">
        <is>
          <t>1- M.O. directa</t>
        </is>
      </c>
      <c r="L160" s="31" t="inlineStr">
        <is>
          <t>3- Selección</t>
        </is>
      </c>
      <c r="M160" s="31" t="inlineStr">
        <is>
          <t>5 jh/seleccion</t>
        </is>
      </c>
      <c r="N160" s="30" t="inlineStr">
        <is>
          <t>trato</t>
        </is>
      </c>
      <c r="O160" s="30" t="inlineStr">
        <is>
          <t>kg</t>
        </is>
      </c>
      <c r="P160" s="33" t="n">
        <v>20</v>
      </c>
      <c r="Q160" s="34" t="n">
        <v>283850</v>
      </c>
      <c r="R160" s="33" t="n">
        <v>5677000</v>
      </c>
      <c r="S160" s="35" t="n">
        <v>0.0222222222222222</v>
      </c>
      <c r="T160" s="33" t="n">
        <v>20</v>
      </c>
      <c r="U160" s="33" t="n">
        <v>0</v>
      </c>
      <c r="V160" s="33" t="n">
        <v>6307.77777777778</v>
      </c>
      <c r="W160" s="33" t="n">
        <v>0</v>
      </c>
      <c r="X160" s="33" t="n">
        <v>0</v>
      </c>
      <c r="Y160" s="33" t="n">
        <v>0</v>
      </c>
      <c r="Z160" s="33" t="n">
        <v>0</v>
      </c>
      <c r="AA160" s="33" t="n">
        <v>0</v>
      </c>
      <c r="AB160" s="33" t="n">
        <v>0</v>
      </c>
      <c r="AC160" s="33" t="n">
        <v>0</v>
      </c>
      <c r="AD160" s="33" t="n">
        <v>0</v>
      </c>
      <c r="AE160" s="33" t="n">
        <v>0</v>
      </c>
      <c r="AF160" s="33" t="n">
        <v>0</v>
      </c>
    </row>
    <row r="161" ht="15" customHeight="1" s="176">
      <c r="A161" s="36" t="inlineStr">
        <is>
          <t>P-0158</t>
        </is>
      </c>
      <c r="B161" s="36" t="inlineStr">
        <is>
          <t>2026/27</t>
        </is>
      </c>
      <c r="C161" s="36" t="inlineStr">
        <is>
          <t>El Molle</t>
        </is>
      </c>
      <c r="D161" s="37" t="inlineStr">
        <is>
          <t>Wonderful 5,25 ha</t>
        </is>
      </c>
      <c r="E161" s="36" t="inlineStr">
        <is>
          <t>Granados</t>
        </is>
      </c>
      <c r="F161" s="36" t="inlineStr">
        <is>
          <t>Wonderfull</t>
        </is>
      </c>
      <c r="G161" s="36" t="inlineStr">
        <is>
          <t>Producción</t>
        </is>
      </c>
      <c r="H161" s="38" t="n">
        <v>5.24</v>
      </c>
      <c r="I161" s="38" t="n">
        <v>5.24</v>
      </c>
      <c r="J161" s="36" t="inlineStr">
        <is>
          <t>Costo</t>
        </is>
      </c>
      <c r="K161" s="37" t="inlineStr">
        <is>
          <t>1- M.O. directa</t>
        </is>
      </c>
      <c r="L161" s="37" t="inlineStr">
        <is>
          <t>3- Tractorista cosecha</t>
        </is>
      </c>
      <c r="M161" s="37" t="inlineStr">
        <is>
          <t>un tract.   para 30-40  jh</t>
        </is>
      </c>
      <c r="N161" s="36" t="inlineStr">
        <is>
          <t>día</t>
        </is>
      </c>
      <c r="O161" s="36" t="inlineStr">
        <is>
          <t>kg</t>
        </is>
      </c>
      <c r="P161" s="39" t="n">
        <v>3</v>
      </c>
      <c r="Q161" s="40" t="n">
        <v>115280</v>
      </c>
      <c r="R161" s="39" t="n">
        <v>345840</v>
      </c>
      <c r="S161" s="41" t="n">
        <v>0.00333333333333333</v>
      </c>
      <c r="T161" s="39" t="n">
        <v>3</v>
      </c>
      <c r="U161" s="39" t="n">
        <v>0</v>
      </c>
      <c r="V161" s="39" t="n">
        <v>0</v>
      </c>
      <c r="W161" s="39" t="n">
        <v>0</v>
      </c>
      <c r="X161" s="39" t="n">
        <v>0</v>
      </c>
      <c r="Y161" s="39" t="n">
        <v>0</v>
      </c>
      <c r="Z161" s="39" t="n">
        <v>0</v>
      </c>
      <c r="AA161" s="39" t="n">
        <v>0</v>
      </c>
      <c r="AB161" s="39" t="n">
        <v>0</v>
      </c>
      <c r="AC161" s="39" t="n">
        <v>0</v>
      </c>
      <c r="AD161" s="39" t="n">
        <v>0</v>
      </c>
      <c r="AE161" s="39" t="n">
        <v>0</v>
      </c>
      <c r="AF161" s="39" t="n">
        <v>384.266666666667</v>
      </c>
    </row>
    <row r="162" ht="15" customHeight="1" s="176">
      <c r="A162" s="30" t="inlineStr">
        <is>
          <t>P-0159</t>
        </is>
      </c>
      <c r="B162" s="30" t="inlineStr">
        <is>
          <t>2026/27</t>
        </is>
      </c>
      <c r="C162" s="30" t="inlineStr">
        <is>
          <t>El Molle</t>
        </is>
      </c>
      <c r="D162" s="31" t="inlineStr">
        <is>
          <t>oronules 5,35 ha</t>
        </is>
      </c>
      <c r="E162" s="30" t="inlineStr">
        <is>
          <t>Clementinas</t>
        </is>
      </c>
      <c r="F162" s="30" t="inlineStr">
        <is>
          <t>Oronules</t>
        </is>
      </c>
      <c r="G162" s="30" t="inlineStr">
        <is>
          <t>Producción</t>
        </is>
      </c>
      <c r="H162" s="32" t="n">
        <v>5.35</v>
      </c>
      <c r="I162" s="32" t="n">
        <v>5.35</v>
      </c>
      <c r="J162" s="30" t="inlineStr">
        <is>
          <t>Costo</t>
        </is>
      </c>
      <c r="K162" s="31" t="inlineStr">
        <is>
          <t>2- M.O. indirecta</t>
        </is>
      </c>
      <c r="L162" s="31" t="inlineStr">
        <is>
          <t>4- CERTIFICACIONES</t>
        </is>
      </c>
      <c r="M162" s="31" t="inlineStr">
        <is>
          <t>Operacion predio</t>
        </is>
      </c>
      <c r="N162" s="30" t="inlineStr">
        <is>
          <t>día</t>
        </is>
      </c>
      <c r="O162" s="30" t="inlineStr">
        <is>
          <t>ha</t>
        </is>
      </c>
      <c r="P162" s="33" t="n">
        <v>6464.58333333333</v>
      </c>
      <c r="Q162" s="34" t="n">
        <v>5.35</v>
      </c>
      <c r="R162" s="33" t="n">
        <v>345716.86625</v>
      </c>
      <c r="S162" s="35" t="n">
        <v>0.00239333240740741</v>
      </c>
      <c r="T162" s="33" t="n">
        <v>2.15399916666667</v>
      </c>
      <c r="U162" s="33" t="n">
        <v>32.0108209490741</v>
      </c>
      <c r="V162" s="33" t="n">
        <v>32.0108209490741</v>
      </c>
      <c r="W162" s="33" t="n">
        <v>32.0108209490741</v>
      </c>
      <c r="X162" s="33" t="n">
        <v>32.0108209490741</v>
      </c>
      <c r="Y162" s="33" t="n">
        <v>32.0108209490741</v>
      </c>
      <c r="Z162" s="33" t="n">
        <v>32.0108209490741</v>
      </c>
      <c r="AA162" s="33" t="n">
        <v>32.0108209490741</v>
      </c>
      <c r="AB162" s="33" t="n">
        <v>32.0108209490741</v>
      </c>
      <c r="AC162" s="33" t="n">
        <v>32.0108209490741</v>
      </c>
      <c r="AD162" s="33" t="n">
        <v>32.0108209490741</v>
      </c>
      <c r="AE162" s="33" t="n">
        <v>32.0108209490741</v>
      </c>
      <c r="AF162" s="33" t="n">
        <v>32.0108209490741</v>
      </c>
    </row>
    <row r="163" ht="15" customHeight="1" s="176">
      <c r="A163" s="36" t="inlineStr">
        <is>
          <t>P-0160</t>
        </is>
      </c>
      <c r="B163" s="36" t="inlineStr">
        <is>
          <t>2026/27</t>
        </is>
      </c>
      <c r="C163" s="36" t="inlineStr">
        <is>
          <t>El Molle</t>
        </is>
      </c>
      <c r="D163" s="37" t="inlineStr">
        <is>
          <t>arrufatinas 5,74 ha</t>
        </is>
      </c>
      <c r="E163" s="36" t="inlineStr">
        <is>
          <t>Clementinas</t>
        </is>
      </c>
      <c r="F163" s="36" t="inlineStr">
        <is>
          <t>Arrufatinas</t>
        </is>
      </c>
      <c r="G163" s="36" t="inlineStr">
        <is>
          <t>Producción</t>
        </is>
      </c>
      <c r="H163" s="38" t="n">
        <v>5.74</v>
      </c>
      <c r="I163" s="38" t="n">
        <v>5.74</v>
      </c>
      <c r="J163" s="36" t="inlineStr">
        <is>
          <t>Costo</t>
        </is>
      </c>
      <c r="K163" s="37" t="inlineStr">
        <is>
          <t>2- M.O. indirecta</t>
        </is>
      </c>
      <c r="L163" s="37" t="inlineStr">
        <is>
          <t>4- CERTIFICACIONES</t>
        </is>
      </c>
      <c r="M163" s="37" t="inlineStr">
        <is>
          <t>Operacion predio</t>
        </is>
      </c>
      <c r="N163" s="36" t="inlineStr">
        <is>
          <t>día</t>
        </is>
      </c>
      <c r="O163" s="36" t="inlineStr">
        <is>
          <t>ha</t>
        </is>
      </c>
      <c r="P163" s="39" t="n">
        <v>6464.58333333333</v>
      </c>
      <c r="Q163" s="40" t="n">
        <v>5.74</v>
      </c>
      <c r="R163" s="39" t="n">
        <v>370918.6565</v>
      </c>
      <c r="S163" s="41" t="n">
        <v>0.00224374913194444</v>
      </c>
      <c r="T163" s="39" t="n">
        <v>2.01937421875</v>
      </c>
      <c r="U163" s="39" t="n">
        <v>34.3443200462963</v>
      </c>
      <c r="V163" s="39" t="n">
        <v>34.3443200462963</v>
      </c>
      <c r="W163" s="39" t="n">
        <v>34.3443200462963</v>
      </c>
      <c r="X163" s="39" t="n">
        <v>34.3443200462963</v>
      </c>
      <c r="Y163" s="39" t="n">
        <v>34.3443200462963</v>
      </c>
      <c r="Z163" s="39" t="n">
        <v>34.3443200462963</v>
      </c>
      <c r="AA163" s="39" t="n">
        <v>34.3443200462963</v>
      </c>
      <c r="AB163" s="39" t="n">
        <v>34.3443200462963</v>
      </c>
      <c r="AC163" s="39" t="n">
        <v>34.3443200462963</v>
      </c>
      <c r="AD163" s="39" t="n">
        <v>34.3443200462963</v>
      </c>
      <c r="AE163" s="39" t="n">
        <v>34.3443200462963</v>
      </c>
      <c r="AF163" s="39" t="n">
        <v>34.3443200462963</v>
      </c>
    </row>
    <row r="164" ht="15" customHeight="1" s="176">
      <c r="A164" s="30" t="inlineStr">
        <is>
          <t>P-0161</t>
        </is>
      </c>
      <c r="B164" s="30" t="inlineStr">
        <is>
          <t>2026/27</t>
        </is>
      </c>
      <c r="C164" s="30" t="inlineStr">
        <is>
          <t>El Molle</t>
        </is>
      </c>
      <c r="D164" s="31" t="inlineStr">
        <is>
          <t>orogrande 8,11 ha</t>
        </is>
      </c>
      <c r="E164" s="30" t="inlineStr">
        <is>
          <t>Clementinas</t>
        </is>
      </c>
      <c r="F164" s="30" t="inlineStr">
        <is>
          <t>Orogrande</t>
        </is>
      </c>
      <c r="G164" s="30" t="inlineStr">
        <is>
          <t>Producción</t>
        </is>
      </c>
      <c r="H164" s="32" t="n">
        <v>8.109999999999999</v>
      </c>
      <c r="I164" s="32" t="n">
        <v>8.109999999999999</v>
      </c>
      <c r="J164" s="30" t="inlineStr">
        <is>
          <t>Costo</t>
        </is>
      </c>
      <c r="K164" s="31" t="inlineStr">
        <is>
          <t>2- M.O. indirecta</t>
        </is>
      </c>
      <c r="L164" s="31" t="inlineStr">
        <is>
          <t>4- CERTIFICACIONES</t>
        </is>
      </c>
      <c r="M164" s="31" t="inlineStr">
        <is>
          <t>Operacion predio</t>
        </is>
      </c>
      <c r="N164" s="30" t="inlineStr">
        <is>
          <t>día</t>
        </is>
      </c>
      <c r="O164" s="30" t="inlineStr">
        <is>
          <t>ha</t>
        </is>
      </c>
      <c r="P164" s="33" t="n">
        <v>6464.58333333333</v>
      </c>
      <c r="Q164" s="34" t="n">
        <v>8.109999999999999</v>
      </c>
      <c r="R164" s="33" t="n">
        <v>524067.99725</v>
      </c>
      <c r="S164" s="35" t="n">
        <v>0.00205142777777778</v>
      </c>
      <c r="T164" s="33" t="n">
        <v>1.846285</v>
      </c>
      <c r="U164" s="33" t="n">
        <v>48.5248145601852</v>
      </c>
      <c r="V164" s="33" t="n">
        <v>48.5248145601852</v>
      </c>
      <c r="W164" s="33" t="n">
        <v>48.5248145601852</v>
      </c>
      <c r="X164" s="33" t="n">
        <v>48.5248145601852</v>
      </c>
      <c r="Y164" s="33" t="n">
        <v>48.5248145601852</v>
      </c>
      <c r="Z164" s="33" t="n">
        <v>48.5248145601852</v>
      </c>
      <c r="AA164" s="33" t="n">
        <v>48.5248145601852</v>
      </c>
      <c r="AB164" s="33" t="n">
        <v>48.5248145601852</v>
      </c>
      <c r="AC164" s="33" t="n">
        <v>48.5248145601852</v>
      </c>
      <c r="AD164" s="33" t="n">
        <v>48.5248145601852</v>
      </c>
      <c r="AE164" s="33" t="n">
        <v>48.5248145601852</v>
      </c>
      <c r="AF164" s="33" t="n">
        <v>48.5248145601852</v>
      </c>
    </row>
    <row r="165" ht="15" customHeight="1" s="176">
      <c r="A165" s="36" t="inlineStr">
        <is>
          <t>P-0162</t>
        </is>
      </c>
      <c r="B165" s="36" t="inlineStr">
        <is>
          <t>2026/27</t>
        </is>
      </c>
      <c r="C165" s="36" t="inlineStr">
        <is>
          <t>El Molle</t>
        </is>
      </c>
      <c r="D165" s="37" t="inlineStr">
        <is>
          <t>Wonderful 5,25 ha</t>
        </is>
      </c>
      <c r="E165" s="36" t="inlineStr">
        <is>
          <t>Granados</t>
        </is>
      </c>
      <c r="F165" s="36" t="inlineStr">
        <is>
          <t>Wonderfull</t>
        </is>
      </c>
      <c r="G165" s="36" t="inlineStr">
        <is>
          <t>Producción</t>
        </is>
      </c>
      <c r="H165" s="38" t="n">
        <v>5.24</v>
      </c>
      <c r="I165" s="38" t="n">
        <v>5.24</v>
      </c>
      <c r="J165" s="36" t="inlineStr">
        <is>
          <t>Costo</t>
        </is>
      </c>
      <c r="K165" s="37" t="inlineStr">
        <is>
          <t>2- M.O. indirecta</t>
        </is>
      </c>
      <c r="L165" s="37" t="inlineStr">
        <is>
          <t>4- CERTIFICACIONES</t>
        </is>
      </c>
      <c r="M165" s="37" t="inlineStr">
        <is>
          <t>Operacion predio</t>
        </is>
      </c>
      <c r="N165" s="36" t="inlineStr">
        <is>
          <t>día</t>
        </is>
      </c>
      <c r="O165" s="36" t="inlineStr">
        <is>
          <t>ha</t>
        </is>
      </c>
      <c r="P165" s="39" t="n">
        <v>6464.58333333333</v>
      </c>
      <c r="Q165" s="40" t="n">
        <v>5.24</v>
      </c>
      <c r="R165" s="39" t="n">
        <v>338608.669</v>
      </c>
      <c r="S165" s="41" t="n">
        <v>0.0032636351010101</v>
      </c>
      <c r="T165" s="39" t="n">
        <v>2.93727159090909</v>
      </c>
      <c r="U165" s="39" t="n">
        <v>31.352654537037</v>
      </c>
      <c r="V165" s="39" t="n">
        <v>31.352654537037</v>
      </c>
      <c r="W165" s="39" t="n">
        <v>31.352654537037</v>
      </c>
      <c r="X165" s="39" t="n">
        <v>31.352654537037</v>
      </c>
      <c r="Y165" s="39" t="n">
        <v>31.352654537037</v>
      </c>
      <c r="Z165" s="39" t="n">
        <v>31.352654537037</v>
      </c>
      <c r="AA165" s="39" t="n">
        <v>31.352654537037</v>
      </c>
      <c r="AB165" s="39" t="n">
        <v>31.352654537037</v>
      </c>
      <c r="AC165" s="39" t="n">
        <v>31.352654537037</v>
      </c>
      <c r="AD165" s="39" t="n">
        <v>31.352654537037</v>
      </c>
      <c r="AE165" s="39" t="n">
        <v>31.352654537037</v>
      </c>
      <c r="AF165" s="39" t="n">
        <v>31.352654537037</v>
      </c>
    </row>
    <row r="166" ht="15" customHeight="1" s="176">
      <c r="A166" s="30" t="inlineStr">
        <is>
          <t>P-0163</t>
        </is>
      </c>
      <c r="B166" s="30" t="inlineStr">
        <is>
          <t>2026/27</t>
        </is>
      </c>
      <c r="C166" s="30" t="inlineStr">
        <is>
          <t>El Molle</t>
        </is>
      </c>
      <c r="D166" s="31" t="inlineStr">
        <is>
          <t>Wonderful 5,25 ha</t>
        </is>
      </c>
      <c r="E166" s="30" t="inlineStr">
        <is>
          <t>Granados</t>
        </is>
      </c>
      <c r="F166" s="30" t="inlineStr">
        <is>
          <t>Wonderfull</t>
        </is>
      </c>
      <c r="G166" s="30" t="inlineStr">
        <is>
          <t>Producción</t>
        </is>
      </c>
      <c r="H166" s="32" t="n">
        <v>5.24</v>
      </c>
      <c r="I166" s="32" t="n">
        <v>5.24</v>
      </c>
      <c r="J166" s="30" t="inlineStr">
        <is>
          <t>Costo</t>
        </is>
      </c>
      <c r="K166" s="31" t="inlineStr">
        <is>
          <t>1- M.O. directa</t>
        </is>
      </c>
      <c r="L166" s="31" t="inlineStr">
        <is>
          <t>4- Grua</t>
        </is>
      </c>
      <c r="M166" s="31" t="inlineStr">
        <is>
          <t>una grua  para 100-120 jh</t>
        </is>
      </c>
      <c r="N166" s="30" t="inlineStr">
        <is>
          <t>día</t>
        </is>
      </c>
      <c r="O166" s="30" t="inlineStr">
        <is>
          <t>JH</t>
        </is>
      </c>
      <c r="P166" s="33" t="n">
        <v>1.5</v>
      </c>
      <c r="Q166" s="34" t="n">
        <v>115280</v>
      </c>
      <c r="R166" s="33" t="n">
        <v>172920</v>
      </c>
      <c r="S166" s="35" t="n">
        <v>0.00166666666666667</v>
      </c>
      <c r="T166" s="33" t="n">
        <v>1.5</v>
      </c>
      <c r="U166" s="33" t="n">
        <v>0</v>
      </c>
      <c r="V166" s="33" t="n">
        <v>0</v>
      </c>
      <c r="W166" s="33" t="n">
        <v>0</v>
      </c>
      <c r="X166" s="33" t="n">
        <v>0</v>
      </c>
      <c r="Y166" s="33" t="n">
        <v>0</v>
      </c>
      <c r="Z166" s="33" t="n">
        <v>0</v>
      </c>
      <c r="AA166" s="33" t="n">
        <v>0</v>
      </c>
      <c r="AB166" s="33" t="n">
        <v>0</v>
      </c>
      <c r="AC166" s="33" t="n">
        <v>0</v>
      </c>
      <c r="AD166" s="33" t="n">
        <v>0</v>
      </c>
      <c r="AE166" s="33" t="n">
        <v>0</v>
      </c>
      <c r="AF166" s="33" t="n">
        <v>192.133333333333</v>
      </c>
    </row>
    <row r="167" ht="15" customHeight="1" s="176">
      <c r="A167" s="36" t="inlineStr">
        <is>
          <t>P-0164</t>
        </is>
      </c>
      <c r="B167" s="36" t="inlineStr">
        <is>
          <t>2026/27</t>
        </is>
      </c>
      <c r="C167" s="36" t="inlineStr">
        <is>
          <t>El Molle</t>
        </is>
      </c>
      <c r="D167" s="37" t="inlineStr">
        <is>
          <t>oronules 5,35 ha</t>
        </is>
      </c>
      <c r="E167" s="36" t="inlineStr">
        <is>
          <t>Clementinas</t>
        </is>
      </c>
      <c r="F167" s="36" t="inlineStr">
        <is>
          <t>Oronules</t>
        </is>
      </c>
      <c r="G167" s="36" t="inlineStr">
        <is>
          <t>Producción</t>
        </is>
      </c>
      <c r="H167" s="38" t="n">
        <v>5.35</v>
      </c>
      <c r="I167" s="38" t="n">
        <v>5.35</v>
      </c>
      <c r="J167" s="36" t="inlineStr">
        <is>
          <t>Costo</t>
        </is>
      </c>
      <c r="K167" s="37" t="inlineStr">
        <is>
          <t>1- M.O. directa</t>
        </is>
      </c>
      <c r="L167" s="37" t="inlineStr">
        <is>
          <t>3- Tractorista cosecha</t>
        </is>
      </c>
      <c r="M167" s="37" t="inlineStr">
        <is>
          <t>un tract.   para 30-40  jh</t>
        </is>
      </c>
      <c r="N167" s="36" t="inlineStr">
        <is>
          <t>día</t>
        </is>
      </c>
      <c r="O167" s="36" t="inlineStr">
        <is>
          <t>kg</t>
        </is>
      </c>
      <c r="P167" s="39" t="n">
        <v>3</v>
      </c>
      <c r="Q167" s="40" t="n">
        <v>160500</v>
      </c>
      <c r="R167" s="39" t="n">
        <v>481500</v>
      </c>
      <c r="S167" s="41" t="n">
        <v>0.00333333333333333</v>
      </c>
      <c r="T167" s="39" t="n">
        <v>3</v>
      </c>
      <c r="U167" s="39" t="n">
        <v>535</v>
      </c>
      <c r="V167" s="39" t="n">
        <v>0</v>
      </c>
      <c r="W167" s="39" t="n">
        <v>0</v>
      </c>
      <c r="X167" s="39" t="n">
        <v>0</v>
      </c>
      <c r="Y167" s="39" t="n">
        <v>0</v>
      </c>
      <c r="Z167" s="39" t="n">
        <v>0</v>
      </c>
      <c r="AA167" s="39" t="n">
        <v>0</v>
      </c>
      <c r="AB167" s="39" t="n">
        <v>0</v>
      </c>
      <c r="AC167" s="39" t="n">
        <v>0</v>
      </c>
      <c r="AD167" s="39" t="n">
        <v>0</v>
      </c>
      <c r="AE167" s="39" t="n">
        <v>0</v>
      </c>
      <c r="AF167" s="39" t="n">
        <v>0</v>
      </c>
    </row>
    <row r="168" ht="15" customHeight="1" s="176">
      <c r="A168" s="30" t="inlineStr">
        <is>
          <t>P-0165</t>
        </is>
      </c>
      <c r="B168" s="30" t="inlineStr">
        <is>
          <t>2026/27</t>
        </is>
      </c>
      <c r="C168" s="30" t="inlineStr">
        <is>
          <t>El Molle</t>
        </is>
      </c>
      <c r="D168" s="31" t="inlineStr">
        <is>
          <t>arrufatinas 5,74 ha</t>
        </is>
      </c>
      <c r="E168" s="30" t="inlineStr">
        <is>
          <t>Clementinas</t>
        </is>
      </c>
      <c r="F168" s="30" t="inlineStr">
        <is>
          <t>Arrufatinas</t>
        </is>
      </c>
      <c r="G168" s="30" t="inlineStr">
        <is>
          <t>Producción</t>
        </is>
      </c>
      <c r="H168" s="32" t="n">
        <v>5.74</v>
      </c>
      <c r="I168" s="32" t="n">
        <v>5.74</v>
      </c>
      <c r="J168" s="30" t="inlineStr">
        <is>
          <t>Costo</t>
        </is>
      </c>
      <c r="K168" s="31" t="inlineStr">
        <is>
          <t>1- M.O. directa</t>
        </is>
      </c>
      <c r="L168" s="31" t="inlineStr">
        <is>
          <t>3- Tractorista cosecha</t>
        </is>
      </c>
      <c r="M168" s="31" t="inlineStr">
        <is>
          <t>un tract.   para 30-40  jh</t>
        </is>
      </c>
      <c r="N168" s="30" t="inlineStr">
        <is>
          <t>día</t>
        </is>
      </c>
      <c r="O168" s="30" t="inlineStr">
        <is>
          <t>kg</t>
        </is>
      </c>
      <c r="P168" s="33" t="n">
        <v>3</v>
      </c>
      <c r="Q168" s="34" t="n">
        <v>183680</v>
      </c>
      <c r="R168" s="33" t="n">
        <v>551040</v>
      </c>
      <c r="S168" s="35" t="n">
        <v>0.00333333333333333</v>
      </c>
      <c r="T168" s="33" t="n">
        <v>3</v>
      </c>
      <c r="U168" s="33" t="n">
        <v>612.266666666667</v>
      </c>
      <c r="V168" s="33" t="n">
        <v>0</v>
      </c>
      <c r="W168" s="33" t="n">
        <v>0</v>
      </c>
      <c r="X168" s="33" t="n">
        <v>0</v>
      </c>
      <c r="Y168" s="33" t="n">
        <v>0</v>
      </c>
      <c r="Z168" s="33" t="n">
        <v>0</v>
      </c>
      <c r="AA168" s="33" t="n">
        <v>0</v>
      </c>
      <c r="AB168" s="33" t="n">
        <v>0</v>
      </c>
      <c r="AC168" s="33" t="n">
        <v>0</v>
      </c>
      <c r="AD168" s="33" t="n">
        <v>0</v>
      </c>
      <c r="AE168" s="33" t="n">
        <v>0</v>
      </c>
      <c r="AF168" s="33" t="n">
        <v>0</v>
      </c>
    </row>
    <row r="169" ht="15" customHeight="1" s="176">
      <c r="A169" s="36" t="inlineStr">
        <is>
          <t>P-0166</t>
        </is>
      </c>
      <c r="B169" s="36" t="inlineStr">
        <is>
          <t>2026/27</t>
        </is>
      </c>
      <c r="C169" s="36" t="inlineStr">
        <is>
          <t>El Molle</t>
        </is>
      </c>
      <c r="D169" s="37" t="inlineStr">
        <is>
          <t>orogrande 8,11 ha</t>
        </is>
      </c>
      <c r="E169" s="36" t="inlineStr">
        <is>
          <t>Clementinas</t>
        </is>
      </c>
      <c r="F169" s="36" t="inlineStr">
        <is>
          <t>Orogrande</t>
        </is>
      </c>
      <c r="G169" s="36" t="inlineStr">
        <is>
          <t>Producción</t>
        </is>
      </c>
      <c r="H169" s="38" t="n">
        <v>8.109999999999999</v>
      </c>
      <c r="I169" s="38" t="n">
        <v>8.109999999999999</v>
      </c>
      <c r="J169" s="36" t="inlineStr">
        <is>
          <t>Costo</t>
        </is>
      </c>
      <c r="K169" s="37" t="inlineStr">
        <is>
          <t>1- M.O. directa</t>
        </is>
      </c>
      <c r="L169" s="37" t="inlineStr">
        <is>
          <t>3- Tractorista cosecha</t>
        </is>
      </c>
      <c r="M169" s="37" t="inlineStr">
        <is>
          <t>un tract.   para 30-40  jh</t>
        </is>
      </c>
      <c r="N169" s="36" t="inlineStr">
        <is>
          <t>día</t>
        </is>
      </c>
      <c r="O169" s="36" t="inlineStr">
        <is>
          <t>kg</t>
        </is>
      </c>
      <c r="P169" s="39" t="n">
        <v>3</v>
      </c>
      <c r="Q169" s="40" t="n">
        <v>283850</v>
      </c>
      <c r="R169" s="39" t="n">
        <v>851550</v>
      </c>
      <c r="S169" s="41" t="n">
        <v>0.00333333333333333</v>
      </c>
      <c r="T169" s="39" t="n">
        <v>3</v>
      </c>
      <c r="U169" s="39" t="n">
        <v>0</v>
      </c>
      <c r="V169" s="39" t="n">
        <v>946.166666666667</v>
      </c>
      <c r="W169" s="39" t="n">
        <v>0</v>
      </c>
      <c r="X169" s="39" t="n">
        <v>0</v>
      </c>
      <c r="Y169" s="39" t="n">
        <v>0</v>
      </c>
      <c r="Z169" s="39" t="n">
        <v>0</v>
      </c>
      <c r="AA169" s="39" t="n">
        <v>0</v>
      </c>
      <c r="AB169" s="39" t="n">
        <v>0</v>
      </c>
      <c r="AC169" s="39" t="n">
        <v>0</v>
      </c>
      <c r="AD169" s="39" t="n">
        <v>0</v>
      </c>
      <c r="AE169" s="39" t="n">
        <v>0</v>
      </c>
      <c r="AF169" s="39" t="n">
        <v>0</v>
      </c>
    </row>
    <row r="170" ht="15" customHeight="1" s="176">
      <c r="A170" s="30" t="inlineStr">
        <is>
          <t>P-0167</t>
        </is>
      </c>
      <c r="B170" s="30" t="inlineStr">
        <is>
          <t>2026/27</t>
        </is>
      </c>
      <c r="C170" s="30" t="inlineStr">
        <is>
          <t>El Molle</t>
        </is>
      </c>
      <c r="D170" s="31" t="inlineStr">
        <is>
          <t>oronules 5,35 ha</t>
        </is>
      </c>
      <c r="E170" s="30" t="inlineStr">
        <is>
          <t>Clementinas</t>
        </is>
      </c>
      <c r="F170" s="30" t="inlineStr">
        <is>
          <t>Oronules</t>
        </is>
      </c>
      <c r="G170" s="30" t="inlineStr">
        <is>
          <t>Producción</t>
        </is>
      </c>
      <c r="H170" s="32" t="n">
        <v>5.35</v>
      </c>
      <c r="I170" s="32" t="n">
        <v>5.35</v>
      </c>
      <c r="J170" s="30" t="inlineStr">
        <is>
          <t>Costo</t>
        </is>
      </c>
      <c r="K170" s="31" t="inlineStr">
        <is>
          <t>2- M.O. indirecta</t>
        </is>
      </c>
      <c r="L170" s="31" t="inlineStr">
        <is>
          <t>4,1- ENCARGADO MANTENCIONES</t>
        </is>
      </c>
      <c r="M170" s="31" t="inlineStr">
        <is>
          <t>Operacion predio</t>
        </is>
      </c>
      <c r="N170" s="30" t="inlineStr">
        <is>
          <t>día</t>
        </is>
      </c>
      <c r="O170" s="30" t="inlineStr">
        <is>
          <t>ha</t>
        </is>
      </c>
      <c r="P170" s="33" t="n">
        <v>11000</v>
      </c>
      <c r="Q170" s="34" t="n">
        <v>5.35</v>
      </c>
      <c r="R170" s="33" t="n">
        <v>588264.6</v>
      </c>
      <c r="S170" s="35" t="n">
        <v>0.00407244444444444</v>
      </c>
      <c r="T170" s="33" t="n">
        <v>3.6652</v>
      </c>
      <c r="U170" s="33" t="n">
        <v>54.4689444444444</v>
      </c>
      <c r="V170" s="33" t="n">
        <v>54.4689444444444</v>
      </c>
      <c r="W170" s="33" t="n">
        <v>54.4689444444444</v>
      </c>
      <c r="X170" s="33" t="n">
        <v>54.4689444444444</v>
      </c>
      <c r="Y170" s="33" t="n">
        <v>54.4689444444444</v>
      </c>
      <c r="Z170" s="33" t="n">
        <v>54.4689444444444</v>
      </c>
      <c r="AA170" s="33" t="n">
        <v>54.4689444444444</v>
      </c>
      <c r="AB170" s="33" t="n">
        <v>54.4689444444444</v>
      </c>
      <c r="AC170" s="33" t="n">
        <v>54.4689444444444</v>
      </c>
      <c r="AD170" s="33" t="n">
        <v>54.4689444444444</v>
      </c>
      <c r="AE170" s="33" t="n">
        <v>54.4689444444444</v>
      </c>
      <c r="AF170" s="33" t="n">
        <v>54.4689444444444</v>
      </c>
    </row>
    <row r="171" ht="15" customHeight="1" s="176">
      <c r="A171" s="36" t="inlineStr">
        <is>
          <t>P-0168</t>
        </is>
      </c>
      <c r="B171" s="36" t="inlineStr">
        <is>
          <t>2026/27</t>
        </is>
      </c>
      <c r="C171" s="36" t="inlineStr">
        <is>
          <t>El Molle</t>
        </is>
      </c>
      <c r="D171" s="37" t="inlineStr">
        <is>
          <t>arrufatinas 5,74 ha</t>
        </is>
      </c>
      <c r="E171" s="36" t="inlineStr">
        <is>
          <t>Clementinas</t>
        </is>
      </c>
      <c r="F171" s="36" t="inlineStr">
        <is>
          <t>Arrufatinas</t>
        </is>
      </c>
      <c r="G171" s="36" t="inlineStr">
        <is>
          <t>Producción</t>
        </is>
      </c>
      <c r="H171" s="38" t="n">
        <v>5.74</v>
      </c>
      <c r="I171" s="38" t="n">
        <v>5.74</v>
      </c>
      <c r="J171" s="36" t="inlineStr">
        <is>
          <t>Costo</t>
        </is>
      </c>
      <c r="K171" s="37" t="inlineStr">
        <is>
          <t>2- M.O. indirecta</t>
        </is>
      </c>
      <c r="L171" s="37" t="inlineStr">
        <is>
          <t>4,1- ENCARGADO MANTENCIONES</t>
        </is>
      </c>
      <c r="M171" s="37" t="inlineStr">
        <is>
          <t>Operacion predio</t>
        </is>
      </c>
      <c r="N171" s="36" t="inlineStr">
        <is>
          <t>día</t>
        </is>
      </c>
      <c r="O171" s="36" t="inlineStr">
        <is>
          <t>ha</t>
        </is>
      </c>
      <c r="P171" s="39" t="n">
        <v>11000</v>
      </c>
      <c r="Q171" s="40" t="n">
        <v>5.74</v>
      </c>
      <c r="R171" s="39" t="n">
        <v>631147.4399999999</v>
      </c>
      <c r="S171" s="41" t="n">
        <v>0.00381791666666667</v>
      </c>
      <c r="T171" s="39" t="n">
        <v>3.436125</v>
      </c>
      <c r="U171" s="39" t="n">
        <v>58.4395777777778</v>
      </c>
      <c r="V171" s="39" t="n">
        <v>58.4395777777778</v>
      </c>
      <c r="W171" s="39" t="n">
        <v>58.4395777777778</v>
      </c>
      <c r="X171" s="39" t="n">
        <v>58.4395777777778</v>
      </c>
      <c r="Y171" s="39" t="n">
        <v>58.4395777777778</v>
      </c>
      <c r="Z171" s="39" t="n">
        <v>58.4395777777778</v>
      </c>
      <c r="AA171" s="39" t="n">
        <v>58.4395777777778</v>
      </c>
      <c r="AB171" s="39" t="n">
        <v>58.4395777777778</v>
      </c>
      <c r="AC171" s="39" t="n">
        <v>58.4395777777778</v>
      </c>
      <c r="AD171" s="39" t="n">
        <v>58.4395777777778</v>
      </c>
      <c r="AE171" s="39" t="n">
        <v>58.4395777777778</v>
      </c>
      <c r="AF171" s="39" t="n">
        <v>58.4395777777778</v>
      </c>
    </row>
    <row r="172" ht="15" customHeight="1" s="176">
      <c r="A172" s="30" t="inlineStr">
        <is>
          <t>P-0169</t>
        </is>
      </c>
      <c r="B172" s="30" t="inlineStr">
        <is>
          <t>2026/27</t>
        </is>
      </c>
      <c r="C172" s="30" t="inlineStr">
        <is>
          <t>El Molle</t>
        </is>
      </c>
      <c r="D172" s="31" t="inlineStr">
        <is>
          <t>orogrande 8,11 ha</t>
        </is>
      </c>
      <c r="E172" s="30" t="inlineStr">
        <is>
          <t>Clementinas</t>
        </is>
      </c>
      <c r="F172" s="30" t="inlineStr">
        <is>
          <t>Orogrande</t>
        </is>
      </c>
      <c r="G172" s="30" t="inlineStr">
        <is>
          <t>Producción</t>
        </is>
      </c>
      <c r="H172" s="32" t="n">
        <v>8.109999999999999</v>
      </c>
      <c r="I172" s="32" t="n">
        <v>8.109999999999999</v>
      </c>
      <c r="J172" s="30" t="inlineStr">
        <is>
          <t>Costo</t>
        </is>
      </c>
      <c r="K172" s="31" t="inlineStr">
        <is>
          <t>2- M.O. indirecta</t>
        </is>
      </c>
      <c r="L172" s="31" t="inlineStr">
        <is>
          <t>4,1- ENCARGADO MANTENCIONES</t>
        </is>
      </c>
      <c r="M172" s="31" t="inlineStr">
        <is>
          <t>Operacion predio</t>
        </is>
      </c>
      <c r="N172" s="30" t="inlineStr">
        <is>
          <t>día</t>
        </is>
      </c>
      <c r="O172" s="30" t="inlineStr">
        <is>
          <t>ha</t>
        </is>
      </c>
      <c r="P172" s="33" t="n">
        <v>11000</v>
      </c>
      <c r="Q172" s="34" t="n">
        <v>8.109999999999999</v>
      </c>
      <c r="R172" s="33" t="n">
        <v>891743.16</v>
      </c>
      <c r="S172" s="35" t="n">
        <v>0.00349066666666667</v>
      </c>
      <c r="T172" s="33" t="n">
        <v>3.1416</v>
      </c>
      <c r="U172" s="33" t="n">
        <v>82.5688111111111</v>
      </c>
      <c r="V172" s="33" t="n">
        <v>82.5688111111111</v>
      </c>
      <c r="W172" s="33" t="n">
        <v>82.5688111111111</v>
      </c>
      <c r="X172" s="33" t="n">
        <v>82.5688111111111</v>
      </c>
      <c r="Y172" s="33" t="n">
        <v>82.5688111111111</v>
      </c>
      <c r="Z172" s="33" t="n">
        <v>82.5688111111111</v>
      </c>
      <c r="AA172" s="33" t="n">
        <v>82.5688111111111</v>
      </c>
      <c r="AB172" s="33" t="n">
        <v>82.5688111111111</v>
      </c>
      <c r="AC172" s="33" t="n">
        <v>82.5688111111111</v>
      </c>
      <c r="AD172" s="33" t="n">
        <v>82.5688111111111</v>
      </c>
      <c r="AE172" s="33" t="n">
        <v>82.5688111111111</v>
      </c>
      <c r="AF172" s="33" t="n">
        <v>82.5688111111111</v>
      </c>
    </row>
    <row r="173" ht="15" customHeight="1" s="176">
      <c r="A173" s="36" t="inlineStr">
        <is>
          <t>P-0170</t>
        </is>
      </c>
      <c r="B173" s="36" t="inlineStr">
        <is>
          <t>2026/27</t>
        </is>
      </c>
      <c r="C173" s="36" t="inlineStr">
        <is>
          <t>El Molle</t>
        </is>
      </c>
      <c r="D173" s="37" t="inlineStr">
        <is>
          <t>Wonderful 5,25 ha</t>
        </is>
      </c>
      <c r="E173" s="36" t="inlineStr">
        <is>
          <t>Granados</t>
        </is>
      </c>
      <c r="F173" s="36" t="inlineStr">
        <is>
          <t>Wonderfull</t>
        </is>
      </c>
      <c r="G173" s="36" t="inlineStr">
        <is>
          <t>Producción</t>
        </is>
      </c>
      <c r="H173" s="38" t="n">
        <v>5.24</v>
      </c>
      <c r="I173" s="38" t="n">
        <v>5.24</v>
      </c>
      <c r="J173" s="36" t="inlineStr">
        <is>
          <t>Costo</t>
        </is>
      </c>
      <c r="K173" s="37" t="inlineStr">
        <is>
          <t>2- M.O. indirecta</t>
        </is>
      </c>
      <c r="L173" s="37" t="inlineStr">
        <is>
          <t>4,1- ENCARGADO MANTENCIONES</t>
        </is>
      </c>
      <c r="M173" s="37" t="inlineStr">
        <is>
          <t>Operacion predio</t>
        </is>
      </c>
      <c r="N173" s="36" t="inlineStr">
        <is>
          <t>día</t>
        </is>
      </c>
      <c r="O173" s="36" t="inlineStr">
        <is>
          <t>ha</t>
        </is>
      </c>
      <c r="P173" s="39" t="n">
        <v>11000</v>
      </c>
      <c r="Q173" s="40" t="n">
        <v>5.24</v>
      </c>
      <c r="R173" s="39" t="n">
        <v>576169.4399999999</v>
      </c>
      <c r="S173" s="41" t="n">
        <v>0.00555333333333333</v>
      </c>
      <c r="T173" s="39" t="n">
        <v>4.998</v>
      </c>
      <c r="U173" s="39" t="n">
        <v>53.3490222222222</v>
      </c>
      <c r="V173" s="39" t="n">
        <v>53.3490222222222</v>
      </c>
      <c r="W173" s="39" t="n">
        <v>53.3490222222222</v>
      </c>
      <c r="X173" s="39" t="n">
        <v>53.3490222222222</v>
      </c>
      <c r="Y173" s="39" t="n">
        <v>53.3490222222222</v>
      </c>
      <c r="Z173" s="39" t="n">
        <v>53.3490222222222</v>
      </c>
      <c r="AA173" s="39" t="n">
        <v>53.3490222222222</v>
      </c>
      <c r="AB173" s="39" t="n">
        <v>53.3490222222222</v>
      </c>
      <c r="AC173" s="39" t="n">
        <v>53.3490222222222</v>
      </c>
      <c r="AD173" s="39" t="n">
        <v>53.3490222222222</v>
      </c>
      <c r="AE173" s="39" t="n">
        <v>53.3490222222222</v>
      </c>
      <c r="AF173" s="39" t="n">
        <v>53.3490222222222</v>
      </c>
    </row>
    <row r="174" ht="15" customHeight="1" s="176">
      <c r="A174" s="30" t="inlineStr">
        <is>
          <t>P-0171</t>
        </is>
      </c>
      <c r="B174" s="30" t="inlineStr">
        <is>
          <t>2026/27</t>
        </is>
      </c>
      <c r="C174" s="30" t="inlineStr">
        <is>
          <t>El Molle</t>
        </is>
      </c>
      <c r="D174" s="31" t="inlineStr">
        <is>
          <t>Wonderful 5,25 ha</t>
        </is>
      </c>
      <c r="E174" s="30" t="inlineStr">
        <is>
          <t>Granados</t>
        </is>
      </c>
      <c r="F174" s="30" t="inlineStr">
        <is>
          <t>Wonderfull</t>
        </is>
      </c>
      <c r="G174" s="30" t="inlineStr">
        <is>
          <t>Producción</t>
        </is>
      </c>
      <c r="H174" s="32" t="n">
        <v>5.24</v>
      </c>
      <c r="I174" s="32" t="n">
        <v>5.24</v>
      </c>
      <c r="J174" s="30" t="inlineStr">
        <is>
          <t>Costo</t>
        </is>
      </c>
      <c r="K174" s="31" t="inlineStr">
        <is>
          <t>1- M.O. directa</t>
        </is>
      </c>
      <c r="L174" s="31" t="inlineStr">
        <is>
          <t>5- Control de malezas mecánico</t>
        </is>
      </c>
      <c r="M174" s="31" t="n"/>
      <c r="N174" s="30" t="inlineStr">
        <is>
          <t>trato</t>
        </is>
      </c>
      <c r="O174" s="30" t="inlineStr">
        <is>
          <t>plt</t>
        </is>
      </c>
      <c r="P174" s="33" t="n">
        <v>100</v>
      </c>
      <c r="Q174" s="34" t="n">
        <v>3495.08</v>
      </c>
      <c r="R174" s="33" t="n">
        <v>699016</v>
      </c>
      <c r="S174" s="35" t="n">
        <v>0.00673737373737374</v>
      </c>
      <c r="T174" s="33" t="n">
        <v>6.06363636363636</v>
      </c>
      <c r="U174" s="33" t="n">
        <v>0</v>
      </c>
      <c r="V174" s="33" t="n">
        <v>0</v>
      </c>
      <c r="W174" s="33" t="n">
        <v>0</v>
      </c>
      <c r="X174" s="33" t="n">
        <v>0</v>
      </c>
      <c r="Y174" s="33" t="n">
        <v>0</v>
      </c>
      <c r="Z174" s="33" t="n">
        <v>194.171111111111</v>
      </c>
      <c r="AA174" s="33" t="n">
        <v>194.171111111111</v>
      </c>
      <c r="AB174" s="33" t="n">
        <v>0</v>
      </c>
      <c r="AC174" s="33" t="n">
        <v>0</v>
      </c>
      <c r="AD174" s="33" t="n">
        <v>0</v>
      </c>
      <c r="AE174" s="33" t="n">
        <v>388.342222222222</v>
      </c>
      <c r="AF174" s="33" t="n">
        <v>0</v>
      </c>
    </row>
    <row r="175" ht="15" customHeight="1" s="176">
      <c r="A175" s="36" t="inlineStr">
        <is>
          <t>P-0172</t>
        </is>
      </c>
      <c r="B175" s="36" t="inlineStr">
        <is>
          <t>2026/27</t>
        </is>
      </c>
      <c r="C175" s="36" t="inlineStr">
        <is>
          <t>El Molle</t>
        </is>
      </c>
      <c r="D175" s="37" t="inlineStr">
        <is>
          <t>oronules 5,35 ha</t>
        </is>
      </c>
      <c r="E175" s="36" t="inlineStr">
        <is>
          <t>Clementinas</t>
        </is>
      </c>
      <c r="F175" s="36" t="inlineStr">
        <is>
          <t>Oronules</t>
        </is>
      </c>
      <c r="G175" s="36" t="inlineStr">
        <is>
          <t>Producción</t>
        </is>
      </c>
      <c r="H175" s="38" t="n">
        <v>5.35</v>
      </c>
      <c r="I175" s="38" t="n">
        <v>5.35</v>
      </c>
      <c r="J175" s="36" t="inlineStr">
        <is>
          <t>Costo</t>
        </is>
      </c>
      <c r="K175" s="37" t="inlineStr">
        <is>
          <t>1- M.O. directa</t>
        </is>
      </c>
      <c r="L175" s="37" t="inlineStr">
        <is>
          <t>4- Grua</t>
        </is>
      </c>
      <c r="M175" s="37" t="inlineStr">
        <is>
          <t>una grua  para 100-120 jh</t>
        </is>
      </c>
      <c r="N175" s="36" t="inlineStr">
        <is>
          <t>día</t>
        </is>
      </c>
      <c r="O175" s="36" t="inlineStr">
        <is>
          <t>kg</t>
        </is>
      </c>
      <c r="P175" s="39" t="n">
        <v>1.5</v>
      </c>
      <c r="Q175" s="40" t="n">
        <v>160500</v>
      </c>
      <c r="R175" s="39" t="n">
        <v>240750</v>
      </c>
      <c r="S175" s="41" t="n">
        <v>0.00166666666666667</v>
      </c>
      <c r="T175" s="39" t="n">
        <v>1.5</v>
      </c>
      <c r="U175" s="39" t="n">
        <v>267.5</v>
      </c>
      <c r="V175" s="39" t="n">
        <v>0</v>
      </c>
      <c r="W175" s="39" t="n">
        <v>0</v>
      </c>
      <c r="X175" s="39" t="n">
        <v>0</v>
      </c>
      <c r="Y175" s="39" t="n">
        <v>0</v>
      </c>
      <c r="Z175" s="39" t="n">
        <v>0</v>
      </c>
      <c r="AA175" s="39" t="n">
        <v>0</v>
      </c>
      <c r="AB175" s="39" t="n">
        <v>0</v>
      </c>
      <c r="AC175" s="39" t="n">
        <v>0</v>
      </c>
      <c r="AD175" s="39" t="n">
        <v>0</v>
      </c>
      <c r="AE175" s="39" t="n">
        <v>0</v>
      </c>
      <c r="AF175" s="39" t="n">
        <v>0</v>
      </c>
    </row>
    <row r="176" ht="15" customHeight="1" s="176">
      <c r="A176" s="30" t="inlineStr">
        <is>
          <t>P-0173</t>
        </is>
      </c>
      <c r="B176" s="30" t="inlineStr">
        <is>
          <t>2026/27</t>
        </is>
      </c>
      <c r="C176" s="30" t="inlineStr">
        <is>
          <t>El Molle</t>
        </is>
      </c>
      <c r="D176" s="31" t="inlineStr">
        <is>
          <t>arrufatinas 5,74 ha</t>
        </is>
      </c>
      <c r="E176" s="30" t="inlineStr">
        <is>
          <t>Clementinas</t>
        </is>
      </c>
      <c r="F176" s="30" t="inlineStr">
        <is>
          <t>Arrufatinas</t>
        </is>
      </c>
      <c r="G176" s="30" t="inlineStr">
        <is>
          <t>Producción</t>
        </is>
      </c>
      <c r="H176" s="32" t="n">
        <v>5.74</v>
      </c>
      <c r="I176" s="32" t="n">
        <v>5.74</v>
      </c>
      <c r="J176" s="30" t="inlineStr">
        <is>
          <t>Costo</t>
        </is>
      </c>
      <c r="K176" s="31" t="inlineStr">
        <is>
          <t>1- M.O. directa</t>
        </is>
      </c>
      <c r="L176" s="31" t="inlineStr">
        <is>
          <t>4- Grua</t>
        </is>
      </c>
      <c r="M176" s="31" t="inlineStr">
        <is>
          <t>una grua  para 100-120 jh</t>
        </is>
      </c>
      <c r="N176" s="30" t="inlineStr">
        <is>
          <t>día</t>
        </is>
      </c>
      <c r="O176" s="30" t="inlineStr">
        <is>
          <t>kg</t>
        </is>
      </c>
      <c r="P176" s="33" t="n">
        <v>1.5</v>
      </c>
      <c r="Q176" s="34" t="n">
        <v>183680</v>
      </c>
      <c r="R176" s="33" t="n">
        <v>275520</v>
      </c>
      <c r="S176" s="35" t="n">
        <v>0.00166666666666667</v>
      </c>
      <c r="T176" s="33" t="n">
        <v>1.5</v>
      </c>
      <c r="U176" s="33" t="n">
        <v>306.133333333333</v>
      </c>
      <c r="V176" s="33" t="n">
        <v>0</v>
      </c>
      <c r="W176" s="33" t="n">
        <v>0</v>
      </c>
      <c r="X176" s="33" t="n">
        <v>0</v>
      </c>
      <c r="Y176" s="33" t="n">
        <v>0</v>
      </c>
      <c r="Z176" s="33" t="n">
        <v>0</v>
      </c>
      <c r="AA176" s="33" t="n">
        <v>0</v>
      </c>
      <c r="AB176" s="33" t="n">
        <v>0</v>
      </c>
      <c r="AC176" s="33" t="n">
        <v>0</v>
      </c>
      <c r="AD176" s="33" t="n">
        <v>0</v>
      </c>
      <c r="AE176" s="33" t="n">
        <v>0</v>
      </c>
      <c r="AF176" s="33" t="n">
        <v>0</v>
      </c>
    </row>
    <row r="177" ht="15" customHeight="1" s="176">
      <c r="A177" s="36" t="inlineStr">
        <is>
          <t>P-0174</t>
        </is>
      </c>
      <c r="B177" s="36" t="inlineStr">
        <is>
          <t>2026/27</t>
        </is>
      </c>
      <c r="C177" s="36" t="inlineStr">
        <is>
          <t>El Molle</t>
        </is>
      </c>
      <c r="D177" s="37" t="inlineStr">
        <is>
          <t>orogrande 8,11 ha</t>
        </is>
      </c>
      <c r="E177" s="36" t="inlineStr">
        <is>
          <t>Clementinas</t>
        </is>
      </c>
      <c r="F177" s="36" t="inlineStr">
        <is>
          <t>Orogrande</t>
        </is>
      </c>
      <c r="G177" s="36" t="inlineStr">
        <is>
          <t>Producción</t>
        </is>
      </c>
      <c r="H177" s="38" t="n">
        <v>8.109999999999999</v>
      </c>
      <c r="I177" s="38" t="n">
        <v>8.109999999999999</v>
      </c>
      <c r="J177" s="36" t="inlineStr">
        <is>
          <t>Costo</t>
        </is>
      </c>
      <c r="K177" s="37" t="inlineStr">
        <is>
          <t>1- M.O. directa</t>
        </is>
      </c>
      <c r="L177" s="37" t="inlineStr">
        <is>
          <t>4- Grua</t>
        </is>
      </c>
      <c r="M177" s="37" t="inlineStr">
        <is>
          <t>una grua  para 100-120 jh</t>
        </is>
      </c>
      <c r="N177" s="36" t="inlineStr">
        <is>
          <t>día</t>
        </is>
      </c>
      <c r="O177" s="36" t="inlineStr">
        <is>
          <t>kg</t>
        </is>
      </c>
      <c r="P177" s="39" t="n">
        <v>1.5</v>
      </c>
      <c r="Q177" s="40" t="n">
        <v>283850</v>
      </c>
      <c r="R177" s="39" t="n">
        <v>425775</v>
      </c>
      <c r="S177" s="41" t="n">
        <v>0.00166666666666667</v>
      </c>
      <c r="T177" s="39" t="n">
        <v>1.5</v>
      </c>
      <c r="U177" s="39" t="n">
        <v>0</v>
      </c>
      <c r="V177" s="39" t="n">
        <v>473.083333333333</v>
      </c>
      <c r="W177" s="39" t="n">
        <v>0</v>
      </c>
      <c r="X177" s="39" t="n">
        <v>0</v>
      </c>
      <c r="Y177" s="39" t="n">
        <v>0</v>
      </c>
      <c r="Z177" s="39" t="n">
        <v>0</v>
      </c>
      <c r="AA177" s="39" t="n">
        <v>0</v>
      </c>
      <c r="AB177" s="39" t="n">
        <v>0</v>
      </c>
      <c r="AC177" s="39" t="n">
        <v>0</v>
      </c>
      <c r="AD177" s="39" t="n">
        <v>0</v>
      </c>
      <c r="AE177" s="39" t="n">
        <v>0</v>
      </c>
      <c r="AF177" s="39" t="n">
        <v>0</v>
      </c>
    </row>
    <row r="178" ht="15" customHeight="1" s="176">
      <c r="A178" s="30" t="inlineStr">
        <is>
          <t>P-0175</t>
        </is>
      </c>
      <c r="B178" s="30" t="inlineStr">
        <is>
          <t>2026/27</t>
        </is>
      </c>
      <c r="C178" s="30" t="inlineStr">
        <is>
          <t>El Molle</t>
        </is>
      </c>
      <c r="D178" s="31" t="inlineStr">
        <is>
          <t>Wonderful 5,25 ha</t>
        </is>
      </c>
      <c r="E178" s="30" t="inlineStr">
        <is>
          <t>Granados</t>
        </is>
      </c>
      <c r="F178" s="30" t="inlineStr">
        <is>
          <t>Wonderfull</t>
        </is>
      </c>
      <c r="G178" s="30" t="inlineStr">
        <is>
          <t>Producción</t>
        </is>
      </c>
      <c r="H178" s="32" t="n">
        <v>5.24</v>
      </c>
      <c r="I178" s="32" t="n">
        <v>5.24</v>
      </c>
      <c r="J178" s="30" t="inlineStr">
        <is>
          <t>Costo</t>
        </is>
      </c>
      <c r="K178" s="31" t="inlineStr">
        <is>
          <t>3- Gasto general</t>
        </is>
      </c>
      <c r="L178" s="31" t="inlineStr">
        <is>
          <t>5- OTROS COSTOS  (fletes, alambres, mallas)</t>
        </is>
      </c>
      <c r="M178" s="31" t="n"/>
      <c r="N178" s="30" t="n"/>
      <c r="O178" s="30" t="inlineStr">
        <is>
          <t>ha</t>
        </is>
      </c>
      <c r="P178" s="33" t="n">
        <v>100000</v>
      </c>
      <c r="Q178" s="34" t="n">
        <v>5.24</v>
      </c>
      <c r="R178" s="33" t="n">
        <v>3144000</v>
      </c>
      <c r="S178" s="35" t="n">
        <v>0.0303030303030303</v>
      </c>
      <c r="T178" s="33" t="n">
        <v>27.2727272727273</v>
      </c>
      <c r="U178" s="33" t="n">
        <v>291.111111111111</v>
      </c>
      <c r="V178" s="33" t="n">
        <v>291.111111111111</v>
      </c>
      <c r="W178" s="33" t="n">
        <v>291.111111111111</v>
      </c>
      <c r="X178" s="33" t="n">
        <v>291.111111111111</v>
      </c>
      <c r="Y178" s="33" t="n">
        <v>291.111111111111</v>
      </c>
      <c r="Z178" s="33" t="n">
        <v>291.111111111111</v>
      </c>
      <c r="AA178" s="33" t="n">
        <v>291.111111111111</v>
      </c>
      <c r="AB178" s="33" t="n">
        <v>291.111111111111</v>
      </c>
      <c r="AC178" s="33" t="n">
        <v>291.111111111111</v>
      </c>
      <c r="AD178" s="33" t="n">
        <v>291.111111111111</v>
      </c>
      <c r="AE178" s="33" t="n">
        <v>291.111111111111</v>
      </c>
      <c r="AF178" s="33" t="n">
        <v>291.111111111111</v>
      </c>
    </row>
    <row r="179" ht="15" customHeight="1" s="176">
      <c r="A179" s="36" t="inlineStr">
        <is>
          <t>P-0176</t>
        </is>
      </c>
      <c r="B179" s="36" t="inlineStr">
        <is>
          <t>2026/27</t>
        </is>
      </c>
      <c r="C179" s="36" t="inlineStr">
        <is>
          <t>El Molle</t>
        </is>
      </c>
      <c r="D179" s="37" t="inlineStr">
        <is>
          <t>oronules 5,35 ha</t>
        </is>
      </c>
      <c r="E179" s="36" t="inlineStr">
        <is>
          <t>Clementinas</t>
        </is>
      </c>
      <c r="F179" s="36" t="inlineStr">
        <is>
          <t>Oronules</t>
        </is>
      </c>
      <c r="G179" s="36" t="inlineStr">
        <is>
          <t>Producción</t>
        </is>
      </c>
      <c r="H179" s="38" t="n">
        <v>5.35</v>
      </c>
      <c r="I179" s="38" t="n">
        <v>5.35</v>
      </c>
      <c r="J179" s="36" t="inlineStr">
        <is>
          <t>Costo</t>
        </is>
      </c>
      <c r="K179" s="37" t="inlineStr">
        <is>
          <t>2- M.O. indirecta</t>
        </is>
      </c>
      <c r="L179" s="37" t="inlineStr">
        <is>
          <t>5- PREVEN. DE RIESGO</t>
        </is>
      </c>
      <c r="M179" s="37" t="inlineStr">
        <is>
          <t>Operacion predio</t>
        </is>
      </c>
      <c r="N179" s="36" t="inlineStr">
        <is>
          <t>día</t>
        </is>
      </c>
      <c r="O179" s="36" t="inlineStr">
        <is>
          <t>ha</t>
        </is>
      </c>
      <c r="P179" s="39" t="n">
        <v>1575</v>
      </c>
      <c r="Q179" s="40" t="n">
        <v>5.35</v>
      </c>
      <c r="R179" s="39" t="n">
        <v>84228.795</v>
      </c>
      <c r="S179" s="41" t="n">
        <v>0.0005831</v>
      </c>
      <c r="T179" s="39" t="n">
        <v>0.52479</v>
      </c>
      <c r="U179" s="39" t="n">
        <v>7.7989625</v>
      </c>
      <c r="V179" s="39" t="n">
        <v>7.7989625</v>
      </c>
      <c r="W179" s="39" t="n">
        <v>7.7989625</v>
      </c>
      <c r="X179" s="39" t="n">
        <v>7.7989625</v>
      </c>
      <c r="Y179" s="39" t="n">
        <v>7.7989625</v>
      </c>
      <c r="Z179" s="39" t="n">
        <v>7.7989625</v>
      </c>
      <c r="AA179" s="39" t="n">
        <v>7.7989625</v>
      </c>
      <c r="AB179" s="39" t="n">
        <v>7.7989625</v>
      </c>
      <c r="AC179" s="39" t="n">
        <v>7.7989625</v>
      </c>
      <c r="AD179" s="39" t="n">
        <v>7.7989625</v>
      </c>
      <c r="AE179" s="39" t="n">
        <v>7.7989625</v>
      </c>
      <c r="AF179" s="39" t="n">
        <v>7.7989625</v>
      </c>
    </row>
    <row r="180" ht="15" customHeight="1" s="176">
      <c r="A180" s="30" t="inlineStr">
        <is>
          <t>P-0177</t>
        </is>
      </c>
      <c r="B180" s="30" t="inlineStr">
        <is>
          <t>2026/27</t>
        </is>
      </c>
      <c r="C180" s="30" t="inlineStr">
        <is>
          <t>El Molle</t>
        </is>
      </c>
      <c r="D180" s="31" t="inlineStr">
        <is>
          <t>arrufatinas 5,74 ha</t>
        </is>
      </c>
      <c r="E180" s="30" t="inlineStr">
        <is>
          <t>Clementinas</t>
        </is>
      </c>
      <c r="F180" s="30" t="inlineStr">
        <is>
          <t>Arrufatinas</t>
        </is>
      </c>
      <c r="G180" s="30" t="inlineStr">
        <is>
          <t>Producción</t>
        </is>
      </c>
      <c r="H180" s="32" t="n">
        <v>5.74</v>
      </c>
      <c r="I180" s="32" t="n">
        <v>5.74</v>
      </c>
      <c r="J180" s="30" t="inlineStr">
        <is>
          <t>Costo</t>
        </is>
      </c>
      <c r="K180" s="31" t="inlineStr">
        <is>
          <t>2- M.O. indirecta</t>
        </is>
      </c>
      <c r="L180" s="31" t="inlineStr">
        <is>
          <t>5- PREVEN. DE RIESGO</t>
        </is>
      </c>
      <c r="M180" s="31" t="inlineStr">
        <is>
          <t>Operacion predio</t>
        </is>
      </c>
      <c r="N180" s="30" t="inlineStr">
        <is>
          <t>día</t>
        </is>
      </c>
      <c r="O180" s="30" t="inlineStr">
        <is>
          <t>ha</t>
        </is>
      </c>
      <c r="P180" s="33" t="n">
        <v>1575</v>
      </c>
      <c r="Q180" s="34" t="n">
        <v>5.74</v>
      </c>
      <c r="R180" s="33" t="n">
        <v>90368.838</v>
      </c>
      <c r="S180" s="35" t="n">
        <v>0.0005466562500000001</v>
      </c>
      <c r="T180" s="33" t="n">
        <v>0.491990625</v>
      </c>
      <c r="U180" s="33" t="n">
        <v>8.367485</v>
      </c>
      <c r="V180" s="33" t="n">
        <v>8.367485</v>
      </c>
      <c r="W180" s="33" t="n">
        <v>8.367485</v>
      </c>
      <c r="X180" s="33" t="n">
        <v>8.367485</v>
      </c>
      <c r="Y180" s="33" t="n">
        <v>8.367485</v>
      </c>
      <c r="Z180" s="33" t="n">
        <v>8.367485</v>
      </c>
      <c r="AA180" s="33" t="n">
        <v>8.367485</v>
      </c>
      <c r="AB180" s="33" t="n">
        <v>8.367485</v>
      </c>
      <c r="AC180" s="33" t="n">
        <v>8.367485</v>
      </c>
      <c r="AD180" s="33" t="n">
        <v>8.367485</v>
      </c>
      <c r="AE180" s="33" t="n">
        <v>8.367485</v>
      </c>
      <c r="AF180" s="33" t="n">
        <v>8.367485</v>
      </c>
    </row>
    <row r="181" ht="15" customHeight="1" s="176">
      <c r="A181" s="36" t="inlineStr">
        <is>
          <t>P-0178</t>
        </is>
      </c>
      <c r="B181" s="36" t="inlineStr">
        <is>
          <t>2026/27</t>
        </is>
      </c>
      <c r="C181" s="36" t="inlineStr">
        <is>
          <t>El Molle</t>
        </is>
      </c>
      <c r="D181" s="37" t="inlineStr">
        <is>
          <t>orogrande 8,11 ha</t>
        </is>
      </c>
      <c r="E181" s="36" t="inlineStr">
        <is>
          <t>Clementinas</t>
        </is>
      </c>
      <c r="F181" s="36" t="inlineStr">
        <is>
          <t>Orogrande</t>
        </is>
      </c>
      <c r="G181" s="36" t="inlineStr">
        <is>
          <t>Producción</t>
        </is>
      </c>
      <c r="H181" s="38" t="n">
        <v>8.109999999999999</v>
      </c>
      <c r="I181" s="38" t="n">
        <v>8.109999999999999</v>
      </c>
      <c r="J181" s="36" t="inlineStr">
        <is>
          <t>Costo</t>
        </is>
      </c>
      <c r="K181" s="37" t="inlineStr">
        <is>
          <t>2- M.O. indirecta</t>
        </is>
      </c>
      <c r="L181" s="37" t="inlineStr">
        <is>
          <t>5- PREVEN. DE RIESGO</t>
        </is>
      </c>
      <c r="M181" s="37" t="inlineStr">
        <is>
          <t>Operacion predio</t>
        </is>
      </c>
      <c r="N181" s="36" t="inlineStr">
        <is>
          <t>día</t>
        </is>
      </c>
      <c r="O181" s="36" t="inlineStr">
        <is>
          <t>ha</t>
        </is>
      </c>
      <c r="P181" s="39" t="n">
        <v>1575</v>
      </c>
      <c r="Q181" s="40" t="n">
        <v>8.109999999999999</v>
      </c>
      <c r="R181" s="39" t="n">
        <v>127681.407</v>
      </c>
      <c r="S181" s="41" t="n">
        <v>0.0004998</v>
      </c>
      <c r="T181" s="39" t="n">
        <v>0.44982</v>
      </c>
      <c r="U181" s="39" t="n">
        <v>11.8223525</v>
      </c>
      <c r="V181" s="39" t="n">
        <v>11.8223525</v>
      </c>
      <c r="W181" s="39" t="n">
        <v>11.8223525</v>
      </c>
      <c r="X181" s="39" t="n">
        <v>11.8223525</v>
      </c>
      <c r="Y181" s="39" t="n">
        <v>11.8223525</v>
      </c>
      <c r="Z181" s="39" t="n">
        <v>11.8223525</v>
      </c>
      <c r="AA181" s="39" t="n">
        <v>11.8223525</v>
      </c>
      <c r="AB181" s="39" t="n">
        <v>11.8223525</v>
      </c>
      <c r="AC181" s="39" t="n">
        <v>11.8223525</v>
      </c>
      <c r="AD181" s="39" t="n">
        <v>11.8223525</v>
      </c>
      <c r="AE181" s="39" t="n">
        <v>11.8223525</v>
      </c>
      <c r="AF181" s="39" t="n">
        <v>11.8223525</v>
      </c>
    </row>
    <row r="182" ht="15" customHeight="1" s="176">
      <c r="A182" s="30" t="inlineStr">
        <is>
          <t>P-0179</t>
        </is>
      </c>
      <c r="B182" s="30" t="inlineStr">
        <is>
          <t>2026/27</t>
        </is>
      </c>
      <c r="C182" s="30" t="inlineStr">
        <is>
          <t>El Molle</t>
        </is>
      </c>
      <c r="D182" s="31" t="inlineStr">
        <is>
          <t>Wonderful 5,25 ha</t>
        </is>
      </c>
      <c r="E182" s="30" t="inlineStr">
        <is>
          <t>Granados</t>
        </is>
      </c>
      <c r="F182" s="30" t="inlineStr">
        <is>
          <t>Wonderfull</t>
        </is>
      </c>
      <c r="G182" s="30" t="inlineStr">
        <is>
          <t>Producción</t>
        </is>
      </c>
      <c r="H182" s="32" t="n">
        <v>5.24</v>
      </c>
      <c r="I182" s="32" t="n">
        <v>5.24</v>
      </c>
      <c r="J182" s="30" t="inlineStr">
        <is>
          <t>Costo</t>
        </is>
      </c>
      <c r="K182" s="31" t="inlineStr">
        <is>
          <t>2- M.O. indirecta</t>
        </is>
      </c>
      <c r="L182" s="31" t="inlineStr">
        <is>
          <t>5- PREVEN. DE RIESGO</t>
        </is>
      </c>
      <c r="M182" s="31" t="inlineStr">
        <is>
          <t>Operacion predio</t>
        </is>
      </c>
      <c r="N182" s="30" t="inlineStr">
        <is>
          <t>día</t>
        </is>
      </c>
      <c r="O182" s="30" t="inlineStr">
        <is>
          <t>ha</t>
        </is>
      </c>
      <c r="P182" s="33" t="n">
        <v>1575</v>
      </c>
      <c r="Q182" s="34" t="n">
        <v>5.24</v>
      </c>
      <c r="R182" s="33" t="n">
        <v>82496.988</v>
      </c>
      <c r="S182" s="35" t="n">
        <v>0.000795136363636364</v>
      </c>
      <c r="T182" s="33" t="n">
        <v>0.715622727272727</v>
      </c>
      <c r="U182" s="33" t="n">
        <v>7.63861</v>
      </c>
      <c r="V182" s="33" t="n">
        <v>7.63861</v>
      </c>
      <c r="W182" s="33" t="n">
        <v>7.63861</v>
      </c>
      <c r="X182" s="33" t="n">
        <v>7.63861</v>
      </c>
      <c r="Y182" s="33" t="n">
        <v>7.63861</v>
      </c>
      <c r="Z182" s="33" t="n">
        <v>7.63861</v>
      </c>
      <c r="AA182" s="33" t="n">
        <v>7.63861</v>
      </c>
      <c r="AB182" s="33" t="n">
        <v>7.63861</v>
      </c>
      <c r="AC182" s="33" t="n">
        <v>7.63861</v>
      </c>
      <c r="AD182" s="33" t="n">
        <v>7.63861</v>
      </c>
      <c r="AE182" s="33" t="n">
        <v>7.63861</v>
      </c>
      <c r="AF182" s="33" t="n">
        <v>7.63861</v>
      </c>
    </row>
    <row r="183" ht="15" customHeight="1" s="176">
      <c r="A183" s="36" t="inlineStr">
        <is>
          <t>P-0180</t>
        </is>
      </c>
      <c r="B183" s="36" t="inlineStr">
        <is>
          <t>2026/27</t>
        </is>
      </c>
      <c r="C183" s="36" t="inlineStr">
        <is>
          <t>El Molle</t>
        </is>
      </c>
      <c r="D183" s="37" t="inlineStr">
        <is>
          <t>orogrande 8,11 ha</t>
        </is>
      </c>
      <c r="E183" s="36" t="inlineStr">
        <is>
          <t>Clementinas</t>
        </is>
      </c>
      <c r="F183" s="36" t="inlineStr">
        <is>
          <t>Orogrande</t>
        </is>
      </c>
      <c r="G183" s="36" t="inlineStr">
        <is>
          <t>Producción</t>
        </is>
      </c>
      <c r="H183" s="38" t="n">
        <v>8.109999999999999</v>
      </c>
      <c r="I183" s="38" t="n">
        <v>8.109999999999999</v>
      </c>
      <c r="J183" s="36" t="inlineStr">
        <is>
          <t>Costo</t>
        </is>
      </c>
      <c r="K183" s="37" t="inlineStr">
        <is>
          <t>3- Gasto general</t>
        </is>
      </c>
      <c r="L183" s="37" t="inlineStr">
        <is>
          <t>3- COMBUSTIBLE Y ENERGIA</t>
        </is>
      </c>
      <c r="M183" s="37" t="inlineStr">
        <is>
          <t>cuota rio elqui</t>
        </is>
      </c>
      <c r="N183" s="36" t="n"/>
      <c r="O183" s="36" t="inlineStr">
        <is>
          <t>ha</t>
        </is>
      </c>
      <c r="P183" s="39" t="n">
        <v>1418.03278688525</v>
      </c>
      <c r="Q183" s="40" t="n">
        <v>8.109999999999999</v>
      </c>
      <c r="R183" s="39" t="n">
        <v>114956.458032787</v>
      </c>
      <c r="S183" s="41" t="n">
        <v>0.000449989071038251</v>
      </c>
      <c r="T183" s="39" t="n">
        <v>0.404990163934426</v>
      </c>
      <c r="U183" s="39" t="n">
        <v>10.6441164845173</v>
      </c>
      <c r="V183" s="39" t="n">
        <v>10.6441164845173</v>
      </c>
      <c r="W183" s="39" t="n">
        <v>10.6441164845173</v>
      </c>
      <c r="X183" s="39" t="n">
        <v>10.6441164845173</v>
      </c>
      <c r="Y183" s="39" t="n">
        <v>10.6441164845173</v>
      </c>
      <c r="Z183" s="39" t="n">
        <v>10.6441164845173</v>
      </c>
      <c r="AA183" s="39" t="n">
        <v>10.6441164845173</v>
      </c>
      <c r="AB183" s="39" t="n">
        <v>10.6441164845173</v>
      </c>
      <c r="AC183" s="39" t="n">
        <v>10.6441164845173</v>
      </c>
      <c r="AD183" s="39" t="n">
        <v>10.6441164845173</v>
      </c>
      <c r="AE183" s="39" t="n">
        <v>10.6441164845173</v>
      </c>
      <c r="AF183" s="39" t="n">
        <v>10.6441164845173</v>
      </c>
    </row>
    <row r="184" ht="15" customHeight="1" s="176">
      <c r="A184" s="30" t="inlineStr">
        <is>
          <t>P-0181</t>
        </is>
      </c>
      <c r="B184" s="30" t="inlineStr">
        <is>
          <t>2026/27</t>
        </is>
      </c>
      <c r="C184" s="30" t="inlineStr">
        <is>
          <t>El Molle</t>
        </is>
      </c>
      <c r="D184" s="31" t="inlineStr">
        <is>
          <t>arrufatinas 5,74 ha</t>
        </is>
      </c>
      <c r="E184" s="30" t="inlineStr">
        <is>
          <t>Clementinas</t>
        </is>
      </c>
      <c r="F184" s="30" t="inlineStr">
        <is>
          <t>Arrufatinas</t>
        </is>
      </c>
      <c r="G184" s="30" t="inlineStr">
        <is>
          <t>Producción</t>
        </is>
      </c>
      <c r="H184" s="32" t="n">
        <v>5.74</v>
      </c>
      <c r="I184" s="32" t="n">
        <v>5.74</v>
      </c>
      <c r="J184" s="30" t="inlineStr">
        <is>
          <t>Costo</t>
        </is>
      </c>
      <c r="K184" s="31" t="inlineStr">
        <is>
          <t>3- Gasto general</t>
        </is>
      </c>
      <c r="L184" s="31" t="inlineStr">
        <is>
          <t>3- COMBUSTIBLE Y ENERGIA</t>
        </is>
      </c>
      <c r="M184" s="31" t="inlineStr">
        <is>
          <t>cuota rio elqui</t>
        </is>
      </c>
      <c r="N184" s="30" t="n"/>
      <c r="O184" s="30" t="inlineStr">
        <is>
          <t>ha</t>
        </is>
      </c>
      <c r="P184" s="33" t="n">
        <v>1418.03278688525</v>
      </c>
      <c r="Q184" s="34" t="n">
        <v>5.74</v>
      </c>
      <c r="R184" s="33" t="n">
        <v>81362.52393442619</v>
      </c>
      <c r="S184" s="35" t="n">
        <v>0.0004921755464480871</v>
      </c>
      <c r="T184" s="33" t="n">
        <v>0.442957991803279</v>
      </c>
      <c r="U184" s="33" t="n">
        <v>7.53356703096539</v>
      </c>
      <c r="V184" s="33" t="n">
        <v>7.53356703096539</v>
      </c>
      <c r="W184" s="33" t="n">
        <v>7.53356703096539</v>
      </c>
      <c r="X184" s="33" t="n">
        <v>7.53356703096539</v>
      </c>
      <c r="Y184" s="33" t="n">
        <v>7.53356703096539</v>
      </c>
      <c r="Z184" s="33" t="n">
        <v>7.53356703096539</v>
      </c>
      <c r="AA184" s="33" t="n">
        <v>7.53356703096539</v>
      </c>
      <c r="AB184" s="33" t="n">
        <v>7.53356703096539</v>
      </c>
      <c r="AC184" s="33" t="n">
        <v>7.53356703096539</v>
      </c>
      <c r="AD184" s="33" t="n">
        <v>7.53356703096539</v>
      </c>
      <c r="AE184" s="33" t="n">
        <v>7.53356703096539</v>
      </c>
      <c r="AF184" s="33" t="n">
        <v>7.53356703096539</v>
      </c>
    </row>
    <row r="185" ht="15" customHeight="1" s="176">
      <c r="A185" s="36" t="inlineStr">
        <is>
          <t>P-0182</t>
        </is>
      </c>
      <c r="B185" s="36" t="inlineStr">
        <is>
          <t>2026/27</t>
        </is>
      </c>
      <c r="C185" s="36" t="inlineStr">
        <is>
          <t>El Molle</t>
        </is>
      </c>
      <c r="D185" s="37" t="inlineStr">
        <is>
          <t>Wonderful 5,25 ha</t>
        </is>
      </c>
      <c r="E185" s="36" t="inlineStr">
        <is>
          <t>Granados</t>
        </is>
      </c>
      <c r="F185" s="36" t="inlineStr">
        <is>
          <t>Wonderfull</t>
        </is>
      </c>
      <c r="G185" s="36" t="inlineStr">
        <is>
          <t>Producción</t>
        </is>
      </c>
      <c r="H185" s="38" t="n">
        <v>5.24</v>
      </c>
      <c r="I185" s="38" t="n">
        <v>5.24</v>
      </c>
      <c r="J185" s="36" t="inlineStr">
        <is>
          <t>Costo</t>
        </is>
      </c>
      <c r="K185" s="37" t="inlineStr">
        <is>
          <t>3- Gasto general</t>
        </is>
      </c>
      <c r="L185" s="37" t="inlineStr">
        <is>
          <t>3- COMBUSTIBLE Y ENERGIA</t>
        </is>
      </c>
      <c r="M185" s="37" t="inlineStr">
        <is>
          <t>cuota rio elqui</t>
        </is>
      </c>
      <c r="N185" s="36" t="n"/>
      <c r="O185" s="36" t="inlineStr">
        <is>
          <t>ha</t>
        </is>
      </c>
      <c r="P185" s="39" t="n">
        <v>1418.03278688525</v>
      </c>
      <c r="Q185" s="40" t="n">
        <v>5.24</v>
      </c>
      <c r="R185" s="39" t="n">
        <v>74275.19606557379</v>
      </c>
      <c r="S185" s="41" t="n">
        <v>0.000715891703924491</v>
      </c>
      <c r="T185" s="39" t="n">
        <v>0.644302533532042</v>
      </c>
      <c r="U185" s="39" t="n">
        <v>6.87733296903461</v>
      </c>
      <c r="V185" s="39" t="n">
        <v>6.87733296903461</v>
      </c>
      <c r="W185" s="39" t="n">
        <v>6.87733296903461</v>
      </c>
      <c r="X185" s="39" t="n">
        <v>6.87733296903461</v>
      </c>
      <c r="Y185" s="39" t="n">
        <v>6.87733296903461</v>
      </c>
      <c r="Z185" s="39" t="n">
        <v>6.87733296903461</v>
      </c>
      <c r="AA185" s="39" t="n">
        <v>6.87733296903461</v>
      </c>
      <c r="AB185" s="39" t="n">
        <v>6.87733296903461</v>
      </c>
      <c r="AC185" s="39" t="n">
        <v>6.87733296903461</v>
      </c>
      <c r="AD185" s="39" t="n">
        <v>6.87733296903461</v>
      </c>
      <c r="AE185" s="39" t="n">
        <v>6.87733296903461</v>
      </c>
      <c r="AF185" s="39" t="n">
        <v>6.87733296903461</v>
      </c>
    </row>
    <row r="186" ht="15" customHeight="1" s="176">
      <c r="A186" s="30" t="inlineStr">
        <is>
          <t>P-0183</t>
        </is>
      </c>
      <c r="B186" s="30" t="inlineStr">
        <is>
          <t>2026/27</t>
        </is>
      </c>
      <c r="C186" s="30" t="inlineStr">
        <is>
          <t>El Molle</t>
        </is>
      </c>
      <c r="D186" s="31" t="inlineStr">
        <is>
          <t>oronules 5,35 ha</t>
        </is>
      </c>
      <c r="E186" s="30" t="inlineStr">
        <is>
          <t>Clementinas</t>
        </is>
      </c>
      <c r="F186" s="30" t="inlineStr">
        <is>
          <t>Oronules</t>
        </is>
      </c>
      <c r="G186" s="30" t="inlineStr">
        <is>
          <t>Producción</t>
        </is>
      </c>
      <c r="H186" s="32" t="n">
        <v>5.35</v>
      </c>
      <c r="I186" s="32" t="n">
        <v>5.35</v>
      </c>
      <c r="J186" s="30" t="inlineStr">
        <is>
          <t>Costo</t>
        </is>
      </c>
      <c r="K186" s="31" t="inlineStr">
        <is>
          <t>3- Gasto general</t>
        </is>
      </c>
      <c r="L186" s="31" t="inlineStr">
        <is>
          <t>3- COMBUSTIBLE Y ENERGIA</t>
        </is>
      </c>
      <c r="M186" s="31" t="inlineStr">
        <is>
          <t>cuota rio elqui</t>
        </is>
      </c>
      <c r="N186" s="30" t="n"/>
      <c r="O186" s="30" t="inlineStr">
        <is>
          <t>ha</t>
        </is>
      </c>
      <c r="P186" s="33" t="n">
        <v>1418.03278688525</v>
      </c>
      <c r="Q186" s="34" t="n">
        <v>5.35</v>
      </c>
      <c r="R186" s="33" t="n">
        <v>75834.4081967213</v>
      </c>
      <c r="S186" s="35" t="n">
        <v>0.000524987249544627</v>
      </c>
      <c r="T186" s="33" t="n">
        <v>0.472488524590164</v>
      </c>
      <c r="U186" s="33" t="n">
        <v>7.02170446265938</v>
      </c>
      <c r="V186" s="33" t="n">
        <v>7.02170446265938</v>
      </c>
      <c r="W186" s="33" t="n">
        <v>7.02170446265938</v>
      </c>
      <c r="X186" s="33" t="n">
        <v>7.02170446265938</v>
      </c>
      <c r="Y186" s="33" t="n">
        <v>7.02170446265938</v>
      </c>
      <c r="Z186" s="33" t="n">
        <v>7.02170446265938</v>
      </c>
      <c r="AA186" s="33" t="n">
        <v>7.02170446265938</v>
      </c>
      <c r="AB186" s="33" t="n">
        <v>7.02170446265938</v>
      </c>
      <c r="AC186" s="33" t="n">
        <v>7.02170446265938</v>
      </c>
      <c r="AD186" s="33" t="n">
        <v>7.02170446265938</v>
      </c>
      <c r="AE186" s="33" t="n">
        <v>7.02170446265938</v>
      </c>
      <c r="AF186" s="33" t="n">
        <v>7.02170446265938</v>
      </c>
    </row>
    <row r="187" ht="15" customHeight="1" s="176">
      <c r="A187" s="36" t="inlineStr">
        <is>
          <t>P-0184</t>
        </is>
      </c>
      <c r="B187" s="36" t="inlineStr">
        <is>
          <t>2026/27</t>
        </is>
      </c>
      <c r="C187" s="36" t="inlineStr">
        <is>
          <t>El Molle</t>
        </is>
      </c>
      <c r="D187" s="37" t="inlineStr">
        <is>
          <t>Wonderful 5,25 ha</t>
        </is>
      </c>
      <c r="E187" s="36" t="inlineStr">
        <is>
          <t>Granados</t>
        </is>
      </c>
      <c r="F187" s="36" t="inlineStr">
        <is>
          <t>Wonderfull</t>
        </is>
      </c>
      <c r="G187" s="36" t="inlineStr">
        <is>
          <t>Producción</t>
        </is>
      </c>
      <c r="H187" s="38" t="n">
        <v>5.24</v>
      </c>
      <c r="I187" s="38" t="n">
        <v>5.24</v>
      </c>
      <c r="J187" s="36" t="inlineStr">
        <is>
          <t>Costo</t>
        </is>
      </c>
      <c r="K187" s="37" t="inlineStr">
        <is>
          <t>1- M.O. directa</t>
        </is>
      </c>
      <c r="L187" s="37" t="inlineStr">
        <is>
          <t>6- Control de malezas químico</t>
        </is>
      </c>
      <c r="M187" s="37" t="inlineStr">
        <is>
          <t>Operacion predio</t>
        </is>
      </c>
      <c r="N187" s="36" t="inlineStr">
        <is>
          <t>día</t>
        </is>
      </c>
      <c r="O187" s="36" t="inlineStr">
        <is>
          <t>ha</t>
        </is>
      </c>
      <c r="P187" s="39" t="n">
        <v>43500</v>
      </c>
      <c r="Q187" s="40" t="n">
        <v>5.24</v>
      </c>
      <c r="R187" s="39" t="n">
        <v>1139700</v>
      </c>
      <c r="S187" s="41" t="n">
        <v>0.0109848484848485</v>
      </c>
      <c r="T187" s="39" t="n">
        <v>9.88636363636364</v>
      </c>
      <c r="U187" s="39" t="n">
        <v>0</v>
      </c>
      <c r="V187" s="39" t="n">
        <v>0</v>
      </c>
      <c r="W187" s="39" t="n">
        <v>0</v>
      </c>
      <c r="X187" s="39" t="n">
        <v>253.266666666667</v>
      </c>
      <c r="Y187" s="39" t="n">
        <v>0</v>
      </c>
      <c r="Z187" s="39" t="n">
        <v>253.266666666667</v>
      </c>
      <c r="AA187" s="39" t="n">
        <v>0</v>
      </c>
      <c r="AB187" s="39" t="n">
        <v>253.266666666667</v>
      </c>
      <c r="AC187" s="39" t="n">
        <v>0</v>
      </c>
      <c r="AD187" s="39" t="n">
        <v>253.266666666667</v>
      </c>
      <c r="AE187" s="39" t="n">
        <v>0</v>
      </c>
      <c r="AF187" s="39" t="n">
        <v>253.266666666667</v>
      </c>
    </row>
    <row r="188" ht="15" customHeight="1" s="176">
      <c r="A188" s="30" t="inlineStr">
        <is>
          <t>P-0185</t>
        </is>
      </c>
      <c r="B188" s="30" t="inlineStr">
        <is>
          <t>2026/27</t>
        </is>
      </c>
      <c r="C188" s="30" t="inlineStr">
        <is>
          <t>El Molle</t>
        </is>
      </c>
      <c r="D188" s="31" t="inlineStr">
        <is>
          <t>oronules 5,35 ha</t>
        </is>
      </c>
      <c r="E188" s="30" t="inlineStr">
        <is>
          <t>Clementinas</t>
        </is>
      </c>
      <c r="F188" s="30" t="inlineStr">
        <is>
          <t>Oronules</t>
        </is>
      </c>
      <c r="G188" s="30" t="inlineStr">
        <is>
          <t>Producción</t>
        </is>
      </c>
      <c r="H188" s="32" t="n">
        <v>5.35</v>
      </c>
      <c r="I188" s="32" t="n">
        <v>5.35</v>
      </c>
      <c r="J188" s="30" t="inlineStr">
        <is>
          <t>Costo</t>
        </is>
      </c>
      <c r="K188" s="31" t="inlineStr">
        <is>
          <t>1- M.O. directa</t>
        </is>
      </c>
      <c r="L188" s="31" t="inlineStr">
        <is>
          <t>5- Control de malezas mecánico</t>
        </is>
      </c>
      <c r="M188" s="31" t="n"/>
      <c r="N188" s="30" t="inlineStr">
        <is>
          <t>trato</t>
        </is>
      </c>
      <c r="O188" s="30" t="inlineStr">
        <is>
          <t>plt</t>
        </is>
      </c>
      <c r="P188" s="33" t="n">
        <v>100</v>
      </c>
      <c r="Q188" s="34" t="n">
        <v>3568.45</v>
      </c>
      <c r="R188" s="33" t="n">
        <v>713690</v>
      </c>
      <c r="S188" s="35" t="n">
        <v>0.00494074074074074</v>
      </c>
      <c r="T188" s="33" t="n">
        <v>4.44666666666667</v>
      </c>
      <c r="U188" s="33" t="n">
        <v>0</v>
      </c>
      <c r="V188" s="33" t="n">
        <v>0</v>
      </c>
      <c r="W188" s="33" t="n">
        <v>0</v>
      </c>
      <c r="X188" s="33" t="n">
        <v>0</v>
      </c>
      <c r="Y188" s="33" t="n">
        <v>0</v>
      </c>
      <c r="Z188" s="33" t="n">
        <v>198.247222222222</v>
      </c>
      <c r="AA188" s="33" t="n">
        <v>198.247222222222</v>
      </c>
      <c r="AB188" s="33" t="n">
        <v>0</v>
      </c>
      <c r="AC188" s="33" t="n">
        <v>0</v>
      </c>
      <c r="AD188" s="33" t="n">
        <v>0</v>
      </c>
      <c r="AE188" s="33" t="n">
        <v>396.494444444445</v>
      </c>
      <c r="AF188" s="33" t="n">
        <v>0</v>
      </c>
    </row>
    <row r="189" ht="15" customHeight="1" s="176">
      <c r="A189" s="36" t="inlineStr">
        <is>
          <t>P-0186</t>
        </is>
      </c>
      <c r="B189" s="36" t="inlineStr">
        <is>
          <t>2026/27</t>
        </is>
      </c>
      <c r="C189" s="36" t="inlineStr">
        <is>
          <t>El Molle</t>
        </is>
      </c>
      <c r="D189" s="37" t="inlineStr">
        <is>
          <t>arrufatinas 5,74 ha</t>
        </is>
      </c>
      <c r="E189" s="36" t="inlineStr">
        <is>
          <t>Clementinas</t>
        </is>
      </c>
      <c r="F189" s="36" t="inlineStr">
        <is>
          <t>Arrufatinas</t>
        </is>
      </c>
      <c r="G189" s="36" t="inlineStr">
        <is>
          <t>Producción</t>
        </is>
      </c>
      <c r="H189" s="38" t="n">
        <v>5.74</v>
      </c>
      <c r="I189" s="38" t="n">
        <v>5.74</v>
      </c>
      <c r="J189" s="36" t="inlineStr">
        <is>
          <t>Costo</t>
        </is>
      </c>
      <c r="K189" s="37" t="inlineStr">
        <is>
          <t>1- M.O. directa</t>
        </is>
      </c>
      <c r="L189" s="37" t="inlineStr">
        <is>
          <t>5- Control de malezas mecánico</t>
        </is>
      </c>
      <c r="M189" s="37" t="n"/>
      <c r="N189" s="36" t="inlineStr">
        <is>
          <t>trato</t>
        </is>
      </c>
      <c r="O189" s="36" t="inlineStr">
        <is>
          <t>plt</t>
        </is>
      </c>
      <c r="P189" s="39" t="n">
        <v>100</v>
      </c>
      <c r="Q189" s="40" t="n">
        <v>3828.58</v>
      </c>
      <c r="R189" s="39" t="n">
        <v>765716</v>
      </c>
      <c r="S189" s="41" t="n">
        <v>0.00463194444444445</v>
      </c>
      <c r="T189" s="39" t="n">
        <v>4.16875</v>
      </c>
      <c r="U189" s="39" t="n">
        <v>0</v>
      </c>
      <c r="V189" s="39" t="n">
        <v>0</v>
      </c>
      <c r="W189" s="39" t="n">
        <v>0</v>
      </c>
      <c r="X189" s="39" t="n">
        <v>0</v>
      </c>
      <c r="Y189" s="39" t="n">
        <v>0</v>
      </c>
      <c r="Z189" s="39" t="n">
        <v>212.698888888889</v>
      </c>
      <c r="AA189" s="39" t="n">
        <v>212.698888888889</v>
      </c>
      <c r="AB189" s="39" t="n">
        <v>0</v>
      </c>
      <c r="AC189" s="39" t="n">
        <v>0</v>
      </c>
      <c r="AD189" s="39" t="n">
        <v>0</v>
      </c>
      <c r="AE189" s="39" t="n">
        <v>425.397777777778</v>
      </c>
      <c r="AF189" s="39" t="n">
        <v>0</v>
      </c>
    </row>
    <row r="190" ht="15" customHeight="1" s="176">
      <c r="A190" s="30" t="inlineStr">
        <is>
          <t>P-0187</t>
        </is>
      </c>
      <c r="B190" s="30" t="inlineStr">
        <is>
          <t>2026/27</t>
        </is>
      </c>
      <c r="C190" s="30" t="inlineStr">
        <is>
          <t>El Molle</t>
        </is>
      </c>
      <c r="D190" s="31" t="inlineStr">
        <is>
          <t>orogrande 8,11 ha</t>
        </is>
      </c>
      <c r="E190" s="30" t="inlineStr">
        <is>
          <t>Clementinas</t>
        </is>
      </c>
      <c r="F190" s="30" t="inlineStr">
        <is>
          <t>Orogrande</t>
        </is>
      </c>
      <c r="G190" s="30" t="inlineStr">
        <is>
          <t>Producción</t>
        </is>
      </c>
      <c r="H190" s="32" t="n">
        <v>8.109999999999999</v>
      </c>
      <c r="I190" s="32" t="n">
        <v>8.109999999999999</v>
      </c>
      <c r="J190" s="30" t="inlineStr">
        <is>
          <t>Costo</t>
        </is>
      </c>
      <c r="K190" s="31" t="inlineStr">
        <is>
          <t>1- M.O. directa</t>
        </is>
      </c>
      <c r="L190" s="31" t="inlineStr">
        <is>
          <t>5- Control de malezas mecánico</t>
        </is>
      </c>
      <c r="M190" s="31" t="n"/>
      <c r="N190" s="30" t="inlineStr">
        <is>
          <t>trato</t>
        </is>
      </c>
      <c r="O190" s="30" t="inlineStr">
        <is>
          <t>plt</t>
        </is>
      </c>
      <c r="P190" s="33" t="n">
        <v>100</v>
      </c>
      <c r="Q190" s="34" t="n">
        <v>5409.37</v>
      </c>
      <c r="R190" s="33" t="n">
        <v>1081874</v>
      </c>
      <c r="S190" s="35" t="n">
        <v>0.00423492063492064</v>
      </c>
      <c r="T190" s="33" t="n">
        <v>3.81142857142857</v>
      </c>
      <c r="U190" s="33" t="n">
        <v>0</v>
      </c>
      <c r="V190" s="33" t="n">
        <v>0</v>
      </c>
      <c r="W190" s="33" t="n">
        <v>0</v>
      </c>
      <c r="X190" s="33" t="n">
        <v>0</v>
      </c>
      <c r="Y190" s="33" t="n">
        <v>0</v>
      </c>
      <c r="Z190" s="33" t="n">
        <v>300.520555555556</v>
      </c>
      <c r="AA190" s="33" t="n">
        <v>300.520555555556</v>
      </c>
      <c r="AB190" s="33" t="n">
        <v>0</v>
      </c>
      <c r="AC190" s="33" t="n">
        <v>0</v>
      </c>
      <c r="AD190" s="33" t="n">
        <v>0</v>
      </c>
      <c r="AE190" s="33" t="n">
        <v>601.041111111111</v>
      </c>
      <c r="AF190" s="33" t="n">
        <v>0</v>
      </c>
    </row>
    <row r="191" ht="15" customHeight="1" s="176">
      <c r="A191" s="36" t="inlineStr">
        <is>
          <t>P-0188</t>
        </is>
      </c>
      <c r="B191" s="36" t="inlineStr">
        <is>
          <t>2026/27</t>
        </is>
      </c>
      <c r="C191" s="36" t="inlineStr">
        <is>
          <t>El Molle</t>
        </is>
      </c>
      <c r="D191" s="37" t="inlineStr">
        <is>
          <t>oronules 5,35 ha</t>
        </is>
      </c>
      <c r="E191" s="36" t="inlineStr">
        <is>
          <t>Clementinas</t>
        </is>
      </c>
      <c r="F191" s="36" t="inlineStr">
        <is>
          <t>Oronules</t>
        </is>
      </c>
      <c r="G191" s="36" t="inlineStr">
        <is>
          <t>Producción</t>
        </is>
      </c>
      <c r="H191" s="38" t="n">
        <v>5.35</v>
      </c>
      <c r="I191" s="38" t="n">
        <v>5.35</v>
      </c>
      <c r="J191" s="36" t="inlineStr">
        <is>
          <t>Costo</t>
        </is>
      </c>
      <c r="K191" s="37" t="inlineStr">
        <is>
          <t>4- Otros gastos</t>
        </is>
      </c>
      <c r="L191" s="37" t="inlineStr">
        <is>
          <t>6- GASTOS INDIRECTOS</t>
        </is>
      </c>
      <c r="M191" s="37" t="n"/>
      <c r="N191" s="36" t="n"/>
      <c r="O191" s="36" t="inlineStr">
        <is>
          <t>ha</t>
        </is>
      </c>
      <c r="P191" s="39" t="n">
        <v>62000</v>
      </c>
      <c r="Q191" s="40" t="n">
        <v>5.35</v>
      </c>
      <c r="R191" s="39" t="n">
        <v>3315673.2</v>
      </c>
      <c r="S191" s="41" t="n">
        <v>0.0229537777777778</v>
      </c>
      <c r="T191" s="39" t="n">
        <v>20.6584</v>
      </c>
      <c r="U191" s="39" t="n">
        <v>307.006777777778</v>
      </c>
      <c r="V191" s="39" t="n">
        <v>307.006777777778</v>
      </c>
      <c r="W191" s="39" t="n">
        <v>307.006777777778</v>
      </c>
      <c r="X191" s="39" t="n">
        <v>307.006777777778</v>
      </c>
      <c r="Y191" s="39" t="n">
        <v>307.006777777778</v>
      </c>
      <c r="Z191" s="39" t="n">
        <v>307.006777777778</v>
      </c>
      <c r="AA191" s="39" t="n">
        <v>307.006777777778</v>
      </c>
      <c r="AB191" s="39" t="n">
        <v>307.006777777778</v>
      </c>
      <c r="AC191" s="39" t="n">
        <v>307.006777777778</v>
      </c>
      <c r="AD191" s="39" t="n">
        <v>307.006777777778</v>
      </c>
      <c r="AE191" s="39" t="n">
        <v>307.006777777778</v>
      </c>
      <c r="AF191" s="39" t="n">
        <v>307.006777777778</v>
      </c>
    </row>
    <row r="192" ht="15" customHeight="1" s="176">
      <c r="A192" s="30" t="inlineStr">
        <is>
          <t>P-0189</t>
        </is>
      </c>
      <c r="B192" s="30" t="inlineStr">
        <is>
          <t>2026/27</t>
        </is>
      </c>
      <c r="C192" s="30" t="inlineStr">
        <is>
          <t>El Molle</t>
        </is>
      </c>
      <c r="D192" s="31" t="inlineStr">
        <is>
          <t>arrufatinas 5,74 ha</t>
        </is>
      </c>
      <c r="E192" s="30" t="inlineStr">
        <is>
          <t>Clementinas</t>
        </is>
      </c>
      <c r="F192" s="30" t="inlineStr">
        <is>
          <t>Arrufatinas</t>
        </is>
      </c>
      <c r="G192" s="30" t="inlineStr">
        <is>
          <t>Producción</t>
        </is>
      </c>
      <c r="H192" s="32" t="n">
        <v>5.74</v>
      </c>
      <c r="I192" s="32" t="n">
        <v>5.74</v>
      </c>
      <c r="J192" s="30" t="inlineStr">
        <is>
          <t>Costo</t>
        </is>
      </c>
      <c r="K192" s="31" t="inlineStr">
        <is>
          <t>4- Otros gastos</t>
        </is>
      </c>
      <c r="L192" s="31" t="inlineStr">
        <is>
          <t>6- GASTOS INDIRECTOS</t>
        </is>
      </c>
      <c r="M192" s="31" t="n"/>
      <c r="N192" s="30" t="n"/>
      <c r="O192" s="30" t="inlineStr">
        <is>
          <t>ha</t>
        </is>
      </c>
      <c r="P192" s="33" t="n">
        <v>62000</v>
      </c>
      <c r="Q192" s="34" t="n">
        <v>5.74</v>
      </c>
      <c r="R192" s="33" t="n">
        <v>3557376.48</v>
      </c>
      <c r="S192" s="35" t="n">
        <v>0.0215191666666667</v>
      </c>
      <c r="T192" s="33" t="n">
        <v>19.36725</v>
      </c>
      <c r="U192" s="33" t="n">
        <v>329.386711111111</v>
      </c>
      <c r="V192" s="33" t="n">
        <v>329.386711111111</v>
      </c>
      <c r="W192" s="33" t="n">
        <v>329.386711111111</v>
      </c>
      <c r="X192" s="33" t="n">
        <v>329.386711111111</v>
      </c>
      <c r="Y192" s="33" t="n">
        <v>329.386711111111</v>
      </c>
      <c r="Z192" s="33" t="n">
        <v>329.386711111111</v>
      </c>
      <c r="AA192" s="33" t="n">
        <v>329.386711111111</v>
      </c>
      <c r="AB192" s="33" t="n">
        <v>329.386711111111</v>
      </c>
      <c r="AC192" s="33" t="n">
        <v>329.386711111111</v>
      </c>
      <c r="AD192" s="33" t="n">
        <v>329.386711111111</v>
      </c>
      <c r="AE192" s="33" t="n">
        <v>329.386711111111</v>
      </c>
      <c r="AF192" s="33" t="n">
        <v>329.386711111111</v>
      </c>
    </row>
    <row r="193" ht="15" customHeight="1" s="176">
      <c r="A193" s="36" t="inlineStr">
        <is>
          <t>P-0190</t>
        </is>
      </c>
      <c r="B193" s="36" t="inlineStr">
        <is>
          <t>2026/27</t>
        </is>
      </c>
      <c r="C193" s="36" t="inlineStr">
        <is>
          <t>El Molle</t>
        </is>
      </c>
      <c r="D193" s="37" t="inlineStr">
        <is>
          <t>orogrande 8,11 ha</t>
        </is>
      </c>
      <c r="E193" s="36" t="inlineStr">
        <is>
          <t>Clementinas</t>
        </is>
      </c>
      <c r="F193" s="36" t="inlineStr">
        <is>
          <t>Orogrande</t>
        </is>
      </c>
      <c r="G193" s="36" t="inlineStr">
        <is>
          <t>Producción</t>
        </is>
      </c>
      <c r="H193" s="38" t="n">
        <v>8.109999999999999</v>
      </c>
      <c r="I193" s="38" t="n">
        <v>8.109999999999999</v>
      </c>
      <c r="J193" s="36" t="inlineStr">
        <is>
          <t>Costo</t>
        </is>
      </c>
      <c r="K193" s="37" t="inlineStr">
        <is>
          <t>4- Otros gastos</t>
        </is>
      </c>
      <c r="L193" s="37" t="inlineStr">
        <is>
          <t>6- GASTOS INDIRECTOS</t>
        </is>
      </c>
      <c r="M193" s="37" t="n"/>
      <c r="N193" s="36" t="n"/>
      <c r="O193" s="36" t="inlineStr">
        <is>
          <t>ha</t>
        </is>
      </c>
      <c r="P193" s="39" t="n">
        <v>62000</v>
      </c>
      <c r="Q193" s="40" t="n">
        <v>8.109999999999999</v>
      </c>
      <c r="R193" s="39" t="n">
        <v>5026188.72</v>
      </c>
      <c r="S193" s="41" t="n">
        <v>0.0196746666666667</v>
      </c>
      <c r="T193" s="39" t="n">
        <v>17.7072</v>
      </c>
      <c r="U193" s="39" t="n">
        <v>465.387844444444</v>
      </c>
      <c r="V193" s="39" t="n">
        <v>465.387844444444</v>
      </c>
      <c r="W193" s="39" t="n">
        <v>465.387844444444</v>
      </c>
      <c r="X193" s="39" t="n">
        <v>465.387844444444</v>
      </c>
      <c r="Y193" s="39" t="n">
        <v>465.387844444444</v>
      </c>
      <c r="Z193" s="39" t="n">
        <v>465.387844444444</v>
      </c>
      <c r="AA193" s="39" t="n">
        <v>465.387844444444</v>
      </c>
      <c r="AB193" s="39" t="n">
        <v>465.387844444444</v>
      </c>
      <c r="AC193" s="39" t="n">
        <v>465.387844444444</v>
      </c>
      <c r="AD193" s="39" t="n">
        <v>465.387844444444</v>
      </c>
      <c r="AE193" s="39" t="n">
        <v>465.387844444444</v>
      </c>
      <c r="AF193" s="39" t="n">
        <v>465.387844444444</v>
      </c>
    </row>
    <row r="194" ht="15" customHeight="1" s="176">
      <c r="A194" s="30" t="inlineStr">
        <is>
          <t>P-0191</t>
        </is>
      </c>
      <c r="B194" s="30" t="inlineStr">
        <is>
          <t>2026/27</t>
        </is>
      </c>
      <c r="C194" s="30" t="inlineStr">
        <is>
          <t>El Molle</t>
        </is>
      </c>
      <c r="D194" s="31" t="inlineStr">
        <is>
          <t>Wonderful 5,25 ha</t>
        </is>
      </c>
      <c r="E194" s="30" t="inlineStr">
        <is>
          <t>Granados</t>
        </is>
      </c>
      <c r="F194" s="30" t="inlineStr">
        <is>
          <t>Wonderfull</t>
        </is>
      </c>
      <c r="G194" s="30" t="inlineStr">
        <is>
          <t>Producción</t>
        </is>
      </c>
      <c r="H194" s="32" t="n">
        <v>5.24</v>
      </c>
      <c r="I194" s="32" t="n">
        <v>5.24</v>
      </c>
      <c r="J194" s="30" t="inlineStr">
        <is>
          <t>Costo</t>
        </is>
      </c>
      <c r="K194" s="31" t="inlineStr">
        <is>
          <t>4- Otros gastos</t>
        </is>
      </c>
      <c r="L194" s="31" t="inlineStr">
        <is>
          <t>6- GASTOS INDIRECTOS</t>
        </is>
      </c>
      <c r="M194" s="31" t="n"/>
      <c r="N194" s="30" t="n"/>
      <c r="O194" s="30" t="inlineStr">
        <is>
          <t>ha</t>
        </is>
      </c>
      <c r="P194" s="33" t="n">
        <v>62000</v>
      </c>
      <c r="Q194" s="34" t="n">
        <v>5.24</v>
      </c>
      <c r="R194" s="33" t="n">
        <v>1949280</v>
      </c>
      <c r="S194" s="35" t="n">
        <v>0.0187878787878788</v>
      </c>
      <c r="T194" s="33" t="n">
        <v>16.9090909090909</v>
      </c>
      <c r="U194" s="33" t="n">
        <v>180.488888888889</v>
      </c>
      <c r="V194" s="33" t="n">
        <v>180.488888888889</v>
      </c>
      <c r="W194" s="33" t="n">
        <v>180.488888888889</v>
      </c>
      <c r="X194" s="33" t="n">
        <v>180.488888888889</v>
      </c>
      <c r="Y194" s="33" t="n">
        <v>180.488888888889</v>
      </c>
      <c r="Z194" s="33" t="n">
        <v>180.488888888889</v>
      </c>
      <c r="AA194" s="33" t="n">
        <v>180.488888888889</v>
      </c>
      <c r="AB194" s="33" t="n">
        <v>180.488888888889</v>
      </c>
      <c r="AC194" s="33" t="n">
        <v>180.488888888889</v>
      </c>
      <c r="AD194" s="33" t="n">
        <v>180.488888888889</v>
      </c>
      <c r="AE194" s="33" t="n">
        <v>180.488888888889</v>
      </c>
      <c r="AF194" s="33" t="n">
        <v>180.488888888889</v>
      </c>
    </row>
    <row r="195" ht="15" customHeight="1" s="176">
      <c r="A195" s="36" t="inlineStr">
        <is>
          <t>P-0192</t>
        </is>
      </c>
      <c r="B195" s="36" t="inlineStr">
        <is>
          <t>2026/27</t>
        </is>
      </c>
      <c r="C195" s="36" t="inlineStr">
        <is>
          <t>El Molle</t>
        </is>
      </c>
      <c r="D195" s="37" t="inlineStr">
        <is>
          <t>Wonderful 5,25 ha</t>
        </is>
      </c>
      <c r="E195" s="36" t="inlineStr">
        <is>
          <t>Granados</t>
        </is>
      </c>
      <c r="F195" s="36" t="inlineStr">
        <is>
          <t>Wonderfull</t>
        </is>
      </c>
      <c r="G195" s="36" t="inlineStr">
        <is>
          <t>Producción</t>
        </is>
      </c>
      <c r="H195" s="38" t="n">
        <v>5.24</v>
      </c>
      <c r="I195" s="38" t="n">
        <v>5.24</v>
      </c>
      <c r="J195" s="36" t="inlineStr">
        <is>
          <t>Costo</t>
        </is>
      </c>
      <c r="K195" s="37" t="inlineStr">
        <is>
          <t>1- M.O. directa</t>
        </is>
      </c>
      <c r="L195" s="37" t="inlineStr">
        <is>
          <t>7- Acordonar sarmiento</t>
        </is>
      </c>
      <c r="M195" s="37" t="n"/>
      <c r="N195" s="36" t="inlineStr">
        <is>
          <t>trato</t>
        </is>
      </c>
      <c r="O195" s="36" t="inlineStr">
        <is>
          <t>plt</t>
        </is>
      </c>
      <c r="P195" s="39" t="n">
        <v>70</v>
      </c>
      <c r="Q195" s="40" t="n">
        <v>3495.08</v>
      </c>
      <c r="R195" s="39" t="n">
        <v>244655.6</v>
      </c>
      <c r="S195" s="41" t="n">
        <v>0.00235808080808081</v>
      </c>
      <c r="T195" s="39" t="n">
        <v>2.12227272727273</v>
      </c>
      <c r="U195" s="39" t="n">
        <v>0</v>
      </c>
      <c r="V195" s="39" t="n">
        <v>0</v>
      </c>
      <c r="W195" s="39" t="n">
        <v>135.919777777778</v>
      </c>
      <c r="X195" s="39" t="n">
        <v>135.919777777778</v>
      </c>
      <c r="Y195" s="39" t="n">
        <v>0</v>
      </c>
      <c r="Z195" s="39" t="n">
        <v>0</v>
      </c>
      <c r="AA195" s="39" t="n">
        <v>0</v>
      </c>
      <c r="AB195" s="39" t="n">
        <v>0</v>
      </c>
      <c r="AC195" s="39" t="n">
        <v>0</v>
      </c>
      <c r="AD195" s="39" t="n">
        <v>0</v>
      </c>
      <c r="AE195" s="39" t="n">
        <v>0</v>
      </c>
      <c r="AF195" s="39" t="n">
        <v>0</v>
      </c>
    </row>
    <row r="196" ht="15" customHeight="1" s="176">
      <c r="A196" s="30" t="inlineStr">
        <is>
          <t>P-0193</t>
        </is>
      </c>
      <c r="B196" s="30" t="inlineStr">
        <is>
          <t>2026/27</t>
        </is>
      </c>
      <c r="C196" s="30" t="inlineStr">
        <is>
          <t>El Molle</t>
        </is>
      </c>
      <c r="D196" s="31" t="inlineStr">
        <is>
          <t>oronules 5,35 ha</t>
        </is>
      </c>
      <c r="E196" s="30" t="inlineStr">
        <is>
          <t>Clementinas</t>
        </is>
      </c>
      <c r="F196" s="30" t="inlineStr">
        <is>
          <t>Oronules</t>
        </is>
      </c>
      <c r="G196" s="30" t="inlineStr">
        <is>
          <t>Producción</t>
        </is>
      </c>
      <c r="H196" s="32" t="n">
        <v>5.35</v>
      </c>
      <c r="I196" s="32" t="n">
        <v>5.35</v>
      </c>
      <c r="J196" s="30" t="inlineStr">
        <is>
          <t>Costo</t>
        </is>
      </c>
      <c r="K196" s="31" t="inlineStr">
        <is>
          <t>1- M.O. directa</t>
        </is>
      </c>
      <c r="L196" s="31" t="inlineStr">
        <is>
          <t>6- Control de malezas químico</t>
        </is>
      </c>
      <c r="M196" s="31" t="inlineStr">
        <is>
          <t>Operacion predio</t>
        </is>
      </c>
      <c r="N196" s="30" t="inlineStr">
        <is>
          <t>día</t>
        </is>
      </c>
      <c r="O196" s="30" t="inlineStr">
        <is>
          <t>ha</t>
        </is>
      </c>
      <c r="P196" s="33" t="n">
        <v>43500</v>
      </c>
      <c r="Q196" s="34" t="n">
        <v>5.35</v>
      </c>
      <c r="R196" s="33" t="n">
        <v>1163625</v>
      </c>
      <c r="S196" s="35" t="n">
        <v>0.008055555555555561</v>
      </c>
      <c r="T196" s="33" t="n">
        <v>7.25</v>
      </c>
      <c r="U196" s="33" t="n">
        <v>0</v>
      </c>
      <c r="V196" s="33" t="n">
        <v>0</v>
      </c>
      <c r="W196" s="33" t="n">
        <v>0</v>
      </c>
      <c r="X196" s="33" t="n">
        <v>258.583333333333</v>
      </c>
      <c r="Y196" s="33" t="n">
        <v>0</v>
      </c>
      <c r="Z196" s="33" t="n">
        <v>258.583333333333</v>
      </c>
      <c r="AA196" s="33" t="n">
        <v>0</v>
      </c>
      <c r="AB196" s="33" t="n">
        <v>258.583333333333</v>
      </c>
      <c r="AC196" s="33" t="n">
        <v>0</v>
      </c>
      <c r="AD196" s="33" t="n">
        <v>258.583333333333</v>
      </c>
      <c r="AE196" s="33" t="n">
        <v>0</v>
      </c>
      <c r="AF196" s="33" t="n">
        <v>258.583333333333</v>
      </c>
    </row>
    <row r="197" ht="15" customHeight="1" s="176">
      <c r="A197" s="36" t="inlineStr">
        <is>
          <t>P-0194</t>
        </is>
      </c>
      <c r="B197" s="36" t="inlineStr">
        <is>
          <t>2026/27</t>
        </is>
      </c>
      <c r="C197" s="36" t="inlineStr">
        <is>
          <t>El Molle</t>
        </is>
      </c>
      <c r="D197" s="37" t="inlineStr">
        <is>
          <t>arrufatinas 5,74 ha</t>
        </is>
      </c>
      <c r="E197" s="36" t="inlineStr">
        <is>
          <t>Clementinas</t>
        </is>
      </c>
      <c r="F197" s="36" t="inlineStr">
        <is>
          <t>Arrufatinas</t>
        </is>
      </c>
      <c r="G197" s="36" t="inlineStr">
        <is>
          <t>Producción</t>
        </is>
      </c>
      <c r="H197" s="38" t="n">
        <v>5.74</v>
      </c>
      <c r="I197" s="38" t="n">
        <v>5.74</v>
      </c>
      <c r="J197" s="36" t="inlineStr">
        <is>
          <t>Costo</t>
        </is>
      </c>
      <c r="K197" s="37" t="inlineStr">
        <is>
          <t>1- M.O. directa</t>
        </is>
      </c>
      <c r="L197" s="37" t="inlineStr">
        <is>
          <t>6- Control de malezas químico</t>
        </is>
      </c>
      <c r="M197" s="37" t="inlineStr">
        <is>
          <t>Operacion predio</t>
        </is>
      </c>
      <c r="N197" s="36" t="inlineStr">
        <is>
          <t>día</t>
        </is>
      </c>
      <c r="O197" s="36" t="inlineStr">
        <is>
          <t>ha</t>
        </is>
      </c>
      <c r="P197" s="39" t="n">
        <v>43500</v>
      </c>
      <c r="Q197" s="40" t="n">
        <v>5.74</v>
      </c>
      <c r="R197" s="39" t="n">
        <v>1248450</v>
      </c>
      <c r="S197" s="41" t="n">
        <v>0.00755208333333333</v>
      </c>
      <c r="T197" s="39" t="n">
        <v>6.796875</v>
      </c>
      <c r="U197" s="39" t="n">
        <v>0</v>
      </c>
      <c r="V197" s="39" t="n">
        <v>0</v>
      </c>
      <c r="W197" s="39" t="n">
        <v>0</v>
      </c>
      <c r="X197" s="39" t="n">
        <v>277.433333333333</v>
      </c>
      <c r="Y197" s="39" t="n">
        <v>0</v>
      </c>
      <c r="Z197" s="39" t="n">
        <v>277.433333333333</v>
      </c>
      <c r="AA197" s="39" t="n">
        <v>0</v>
      </c>
      <c r="AB197" s="39" t="n">
        <v>277.433333333333</v>
      </c>
      <c r="AC197" s="39" t="n">
        <v>0</v>
      </c>
      <c r="AD197" s="39" t="n">
        <v>277.433333333333</v>
      </c>
      <c r="AE197" s="39" t="n">
        <v>0</v>
      </c>
      <c r="AF197" s="39" t="n">
        <v>277.433333333333</v>
      </c>
    </row>
    <row r="198" ht="15" customHeight="1" s="176">
      <c r="A198" s="30" t="inlineStr">
        <is>
          <t>P-0195</t>
        </is>
      </c>
      <c r="B198" s="30" t="inlineStr">
        <is>
          <t>2026/27</t>
        </is>
      </c>
      <c r="C198" s="30" t="inlineStr">
        <is>
          <t>El Molle</t>
        </is>
      </c>
      <c r="D198" s="31" t="inlineStr">
        <is>
          <t>orogrande 8,11 ha</t>
        </is>
      </c>
      <c r="E198" s="30" t="inlineStr">
        <is>
          <t>Clementinas</t>
        </is>
      </c>
      <c r="F198" s="30" t="inlineStr">
        <is>
          <t>Orogrande</t>
        </is>
      </c>
      <c r="G198" s="30" t="inlineStr">
        <is>
          <t>Producción</t>
        </is>
      </c>
      <c r="H198" s="32" t="n">
        <v>8.109999999999999</v>
      </c>
      <c r="I198" s="32" t="n">
        <v>8.109999999999999</v>
      </c>
      <c r="J198" s="30" t="inlineStr">
        <is>
          <t>Costo</t>
        </is>
      </c>
      <c r="K198" s="31" t="inlineStr">
        <is>
          <t>1- M.O. directa</t>
        </is>
      </c>
      <c r="L198" s="31" t="inlineStr">
        <is>
          <t>6- Control de malezas químico</t>
        </is>
      </c>
      <c r="M198" s="31" t="inlineStr">
        <is>
          <t>Operacion predio</t>
        </is>
      </c>
      <c r="N198" s="30" t="inlineStr">
        <is>
          <t>día</t>
        </is>
      </c>
      <c r="O198" s="30" t="inlineStr">
        <is>
          <t>ha</t>
        </is>
      </c>
      <c r="P198" s="33" t="n">
        <v>43500</v>
      </c>
      <c r="Q198" s="34" t="n">
        <v>8.109999999999999</v>
      </c>
      <c r="R198" s="33" t="n">
        <v>1763925</v>
      </c>
      <c r="S198" s="35" t="n">
        <v>0.00690476190476191</v>
      </c>
      <c r="T198" s="33" t="n">
        <v>6.21428571428571</v>
      </c>
      <c r="U198" s="33" t="n">
        <v>0</v>
      </c>
      <c r="V198" s="33" t="n">
        <v>0</v>
      </c>
      <c r="W198" s="33" t="n">
        <v>0</v>
      </c>
      <c r="X198" s="33" t="n">
        <v>391.983333333333</v>
      </c>
      <c r="Y198" s="33" t="n">
        <v>0</v>
      </c>
      <c r="Z198" s="33" t="n">
        <v>391.983333333333</v>
      </c>
      <c r="AA198" s="33" t="n">
        <v>0</v>
      </c>
      <c r="AB198" s="33" t="n">
        <v>391.983333333333</v>
      </c>
      <c r="AC198" s="33" t="n">
        <v>0</v>
      </c>
      <c r="AD198" s="33" t="n">
        <v>391.983333333333</v>
      </c>
      <c r="AE198" s="33" t="n">
        <v>0</v>
      </c>
      <c r="AF198" s="33" t="n">
        <v>391.983333333333</v>
      </c>
    </row>
    <row r="199" ht="15" customHeight="1" s="176">
      <c r="A199" s="36" t="inlineStr">
        <is>
          <t>P-0196</t>
        </is>
      </c>
      <c r="B199" s="36" t="inlineStr">
        <is>
          <t>2026/27</t>
        </is>
      </c>
      <c r="C199" s="36" t="inlineStr">
        <is>
          <t>El Molle</t>
        </is>
      </c>
      <c r="D199" s="37" t="inlineStr">
        <is>
          <t>oronules 5,35 ha</t>
        </is>
      </c>
      <c r="E199" s="36" t="inlineStr">
        <is>
          <t>Clementinas</t>
        </is>
      </c>
      <c r="F199" s="36" t="inlineStr">
        <is>
          <t>Oronules</t>
        </is>
      </c>
      <c r="G199" s="36" t="inlineStr">
        <is>
          <t>Producción</t>
        </is>
      </c>
      <c r="H199" s="38" t="n">
        <v>5.35</v>
      </c>
      <c r="I199" s="38" t="n">
        <v>5.35</v>
      </c>
      <c r="J199" s="36" t="inlineStr">
        <is>
          <t>Costo</t>
        </is>
      </c>
      <c r="K199" s="37" t="inlineStr">
        <is>
          <t>4- Otros gastos</t>
        </is>
      </c>
      <c r="L199" s="37" t="inlineStr">
        <is>
          <t>7- GASTOS DE ADMINISTRACION</t>
        </is>
      </c>
      <c r="M199" s="37" t="n"/>
      <c r="N199" s="36" t="n"/>
      <c r="O199" s="36" t="inlineStr">
        <is>
          <t>ha</t>
        </is>
      </c>
      <c r="P199" s="39" t="n">
        <v>12751</v>
      </c>
      <c r="Q199" s="40" t="n">
        <v>5.35</v>
      </c>
      <c r="R199" s="39" t="n">
        <v>681905.6286000001</v>
      </c>
      <c r="S199" s="41" t="n">
        <v>0.00472070355555556</v>
      </c>
      <c r="T199" s="39" t="n">
        <v>4.2486332</v>
      </c>
      <c r="U199" s="39" t="n">
        <v>63.1394100555555</v>
      </c>
      <c r="V199" s="39" t="n">
        <v>63.1394100555555</v>
      </c>
      <c r="W199" s="39" t="n">
        <v>63.1394100555555</v>
      </c>
      <c r="X199" s="39" t="n">
        <v>63.1394100555555</v>
      </c>
      <c r="Y199" s="39" t="n">
        <v>63.1394100555555</v>
      </c>
      <c r="Z199" s="39" t="n">
        <v>63.1394100555555</v>
      </c>
      <c r="AA199" s="39" t="n">
        <v>63.1394100555555</v>
      </c>
      <c r="AB199" s="39" t="n">
        <v>63.1394100555555</v>
      </c>
      <c r="AC199" s="39" t="n">
        <v>63.1394100555555</v>
      </c>
      <c r="AD199" s="39" t="n">
        <v>63.1394100555555</v>
      </c>
      <c r="AE199" s="39" t="n">
        <v>63.1394100555555</v>
      </c>
      <c r="AF199" s="39" t="n">
        <v>63.1394100555555</v>
      </c>
    </row>
    <row r="200" ht="15" customHeight="1" s="176">
      <c r="A200" s="30" t="inlineStr">
        <is>
          <t>P-0197</t>
        </is>
      </c>
      <c r="B200" s="30" t="inlineStr">
        <is>
          <t>2026/27</t>
        </is>
      </c>
      <c r="C200" s="30" t="inlineStr">
        <is>
          <t>El Molle</t>
        </is>
      </c>
      <c r="D200" s="31" t="inlineStr">
        <is>
          <t>arrufatinas 5,74 ha</t>
        </is>
      </c>
      <c r="E200" s="30" t="inlineStr">
        <is>
          <t>Clementinas</t>
        </is>
      </c>
      <c r="F200" s="30" t="inlineStr">
        <is>
          <t>Arrufatinas</t>
        </is>
      </c>
      <c r="G200" s="30" t="inlineStr">
        <is>
          <t>Producción</t>
        </is>
      </c>
      <c r="H200" s="32" t="n">
        <v>5.74</v>
      </c>
      <c r="I200" s="32" t="n">
        <v>5.74</v>
      </c>
      <c r="J200" s="30" t="inlineStr">
        <is>
          <t>Costo</t>
        </is>
      </c>
      <c r="K200" s="31" t="inlineStr">
        <is>
          <t>4- Otros gastos</t>
        </is>
      </c>
      <c r="L200" s="31" t="inlineStr">
        <is>
          <t>7- GASTOS DE ADMINISTRACION</t>
        </is>
      </c>
      <c r="M200" s="31" t="n"/>
      <c r="N200" s="30" t="n"/>
      <c r="O200" s="30" t="inlineStr">
        <is>
          <t>ha</t>
        </is>
      </c>
      <c r="P200" s="33" t="n">
        <v>12751</v>
      </c>
      <c r="Q200" s="34" t="n">
        <v>5.74</v>
      </c>
      <c r="R200" s="33" t="n">
        <v>731614.6370399999</v>
      </c>
      <c r="S200" s="35" t="n">
        <v>0.00442565958333333</v>
      </c>
      <c r="T200" s="33" t="n">
        <v>3.983093625</v>
      </c>
      <c r="U200" s="33" t="n">
        <v>67.7420960222222</v>
      </c>
      <c r="V200" s="33" t="n">
        <v>67.7420960222222</v>
      </c>
      <c r="W200" s="33" t="n">
        <v>67.7420960222222</v>
      </c>
      <c r="X200" s="33" t="n">
        <v>67.7420960222222</v>
      </c>
      <c r="Y200" s="33" t="n">
        <v>67.7420960222222</v>
      </c>
      <c r="Z200" s="33" t="n">
        <v>67.7420960222222</v>
      </c>
      <c r="AA200" s="33" t="n">
        <v>67.7420960222222</v>
      </c>
      <c r="AB200" s="33" t="n">
        <v>67.7420960222222</v>
      </c>
      <c r="AC200" s="33" t="n">
        <v>67.7420960222222</v>
      </c>
      <c r="AD200" s="33" t="n">
        <v>67.7420960222222</v>
      </c>
      <c r="AE200" s="33" t="n">
        <v>67.7420960222222</v>
      </c>
      <c r="AF200" s="33" t="n">
        <v>67.7420960222222</v>
      </c>
    </row>
    <row r="201" ht="15" customHeight="1" s="176">
      <c r="A201" s="36" t="inlineStr">
        <is>
          <t>P-0198</t>
        </is>
      </c>
      <c r="B201" s="36" t="inlineStr">
        <is>
          <t>2026/27</t>
        </is>
      </c>
      <c r="C201" s="36" t="inlineStr">
        <is>
          <t>El Molle</t>
        </is>
      </c>
      <c r="D201" s="37" t="inlineStr">
        <is>
          <t>orogrande 8,11 ha</t>
        </is>
      </c>
      <c r="E201" s="36" t="inlineStr">
        <is>
          <t>Clementinas</t>
        </is>
      </c>
      <c r="F201" s="36" t="inlineStr">
        <is>
          <t>Orogrande</t>
        </is>
      </c>
      <c r="G201" s="36" t="inlineStr">
        <is>
          <t>Producción</t>
        </is>
      </c>
      <c r="H201" s="38" t="n">
        <v>8.109999999999999</v>
      </c>
      <c r="I201" s="38" t="n">
        <v>8.109999999999999</v>
      </c>
      <c r="J201" s="36" t="inlineStr">
        <is>
          <t>Costo</t>
        </is>
      </c>
      <c r="K201" s="37" t="inlineStr">
        <is>
          <t>4- Otros gastos</t>
        </is>
      </c>
      <c r="L201" s="37" t="inlineStr">
        <is>
          <t>7- GASTOS DE ADMINISTRACION</t>
        </is>
      </c>
      <c r="M201" s="37" t="n"/>
      <c r="N201" s="36" t="n"/>
      <c r="O201" s="36" t="inlineStr">
        <is>
          <t>ha</t>
        </is>
      </c>
      <c r="P201" s="39" t="n">
        <v>12751</v>
      </c>
      <c r="Q201" s="40" t="n">
        <v>8.109999999999999</v>
      </c>
      <c r="R201" s="39" t="n">
        <v>1033692.45756</v>
      </c>
      <c r="S201" s="41" t="n">
        <v>0.00404631733333333</v>
      </c>
      <c r="T201" s="39" t="n">
        <v>3.6416856</v>
      </c>
      <c r="U201" s="39" t="n">
        <v>95.7122645888889</v>
      </c>
      <c r="V201" s="39" t="n">
        <v>95.7122645888889</v>
      </c>
      <c r="W201" s="39" t="n">
        <v>95.7122645888889</v>
      </c>
      <c r="X201" s="39" t="n">
        <v>95.7122645888889</v>
      </c>
      <c r="Y201" s="39" t="n">
        <v>95.7122645888889</v>
      </c>
      <c r="Z201" s="39" t="n">
        <v>95.7122645888889</v>
      </c>
      <c r="AA201" s="39" t="n">
        <v>95.7122645888889</v>
      </c>
      <c r="AB201" s="39" t="n">
        <v>95.7122645888889</v>
      </c>
      <c r="AC201" s="39" t="n">
        <v>95.7122645888889</v>
      </c>
      <c r="AD201" s="39" t="n">
        <v>95.7122645888889</v>
      </c>
      <c r="AE201" s="39" t="n">
        <v>95.7122645888889</v>
      </c>
      <c r="AF201" s="39" t="n">
        <v>95.7122645888889</v>
      </c>
    </row>
    <row r="202" ht="15" customHeight="1" s="176">
      <c r="A202" s="30" t="inlineStr">
        <is>
          <t>P-0199</t>
        </is>
      </c>
      <c r="B202" s="30" t="inlineStr">
        <is>
          <t>2026/27</t>
        </is>
      </c>
      <c r="C202" s="30" t="inlineStr">
        <is>
          <t>El Molle</t>
        </is>
      </c>
      <c r="D202" s="31" t="inlineStr">
        <is>
          <t>Wonderful 5,25 ha</t>
        </is>
      </c>
      <c r="E202" s="30" t="inlineStr">
        <is>
          <t>Granados</t>
        </is>
      </c>
      <c r="F202" s="30" t="inlineStr">
        <is>
          <t>Wonderfull</t>
        </is>
      </c>
      <c r="G202" s="30" t="inlineStr">
        <is>
          <t>Producción</t>
        </is>
      </c>
      <c r="H202" s="32" t="n">
        <v>5.24</v>
      </c>
      <c r="I202" s="32" t="n">
        <v>5.24</v>
      </c>
      <c r="J202" s="30" t="inlineStr">
        <is>
          <t>Costo</t>
        </is>
      </c>
      <c r="K202" s="31" t="inlineStr">
        <is>
          <t>1- M.O. directa</t>
        </is>
      </c>
      <c r="L202" s="31" t="inlineStr">
        <is>
          <t>19- Postura gorros</t>
        </is>
      </c>
      <c r="M202" s="31" t="inlineStr">
        <is>
          <t>Operacion predio</t>
        </is>
      </c>
      <c r="N202" s="30" t="inlineStr">
        <is>
          <t>día</t>
        </is>
      </c>
      <c r="O202" s="30" t="inlineStr">
        <is>
          <t>JH</t>
        </is>
      </c>
      <c r="P202" s="33" t="n">
        <v>462</v>
      </c>
      <c r="Q202" s="34" t="n">
        <v>3495.08</v>
      </c>
      <c r="R202" s="33" t="n">
        <v>1614726.96</v>
      </c>
      <c r="S202" s="35" t="n">
        <v>0.0155633333333333</v>
      </c>
      <c r="T202" s="33" t="n">
        <v>14.007</v>
      </c>
      <c r="U202" s="33" t="n">
        <v>0</v>
      </c>
      <c r="V202" s="33" t="n">
        <v>0</v>
      </c>
      <c r="W202" s="33" t="n">
        <v>0</v>
      </c>
      <c r="X202" s="33" t="n">
        <v>0</v>
      </c>
      <c r="Y202" s="33" t="n">
        <v>0</v>
      </c>
      <c r="Z202" s="33" t="n">
        <v>0</v>
      </c>
      <c r="AA202" s="33" t="n">
        <v>0</v>
      </c>
      <c r="AB202" s="33" t="n">
        <v>1794.14106666667</v>
      </c>
      <c r="AC202" s="33" t="n">
        <v>0</v>
      </c>
      <c r="AD202" s="33" t="n">
        <v>0</v>
      </c>
      <c r="AE202" s="33" t="n">
        <v>0</v>
      </c>
      <c r="AF202" s="33" t="n">
        <v>0</v>
      </c>
    </row>
    <row r="203" ht="15" customHeight="1" s="176">
      <c r="A203" s="36" t="inlineStr">
        <is>
          <t>P-0200</t>
        </is>
      </c>
      <c r="B203" s="36" t="inlineStr">
        <is>
          <t>2026/27</t>
        </is>
      </c>
      <c r="C203" s="36" t="inlineStr">
        <is>
          <t>El Molle</t>
        </is>
      </c>
      <c r="D203" s="37" t="inlineStr">
        <is>
          <t>Wonderful 5,25 ha</t>
        </is>
      </c>
      <c r="E203" s="36" t="inlineStr">
        <is>
          <t>Granados</t>
        </is>
      </c>
      <c r="F203" s="36" t="inlineStr">
        <is>
          <t>Wonderfull</t>
        </is>
      </c>
      <c r="G203" s="36" t="inlineStr">
        <is>
          <t>Producción</t>
        </is>
      </c>
      <c r="H203" s="38" t="n">
        <v>5.24</v>
      </c>
      <c r="I203" s="38" t="n">
        <v>5.24</v>
      </c>
      <c r="J203" s="36" t="inlineStr">
        <is>
          <t>Costo</t>
        </is>
      </c>
      <c r="K203" s="37" t="inlineStr">
        <is>
          <t>1- M.O. directa</t>
        </is>
      </c>
      <c r="L203" s="37" t="inlineStr">
        <is>
          <t>20- sacado gorros</t>
        </is>
      </c>
      <c r="M203" s="37" t="inlineStr">
        <is>
          <t>Operacion predio</t>
        </is>
      </c>
      <c r="N203" s="36" t="inlineStr">
        <is>
          <t>día</t>
        </is>
      </c>
      <c r="O203" s="36" t="inlineStr">
        <is>
          <t>JH</t>
        </is>
      </c>
      <c r="P203" s="39" t="n">
        <v>220</v>
      </c>
      <c r="Q203" s="40" t="n">
        <v>3495.08</v>
      </c>
      <c r="R203" s="39" t="n">
        <v>768917.6</v>
      </c>
      <c r="S203" s="41" t="n">
        <v>0.00741111111111111</v>
      </c>
      <c r="T203" s="39" t="n">
        <v>6.67</v>
      </c>
      <c r="U203" s="39" t="n">
        <v>0</v>
      </c>
      <c r="V203" s="39" t="n">
        <v>0</v>
      </c>
      <c r="W203" s="39" t="n">
        <v>0</v>
      </c>
      <c r="X203" s="39" t="n">
        <v>0</v>
      </c>
      <c r="Y203" s="39" t="n">
        <v>0</v>
      </c>
      <c r="Z203" s="39" t="n">
        <v>0</v>
      </c>
      <c r="AA203" s="39" t="n">
        <v>0</v>
      </c>
      <c r="AB203" s="39" t="n">
        <v>0</v>
      </c>
      <c r="AC203" s="39" t="n">
        <v>0</v>
      </c>
      <c r="AD203" s="39" t="n">
        <v>0</v>
      </c>
      <c r="AE203" s="39" t="n">
        <v>854.352888888889</v>
      </c>
      <c r="AF203" s="39" t="n">
        <v>0</v>
      </c>
    </row>
    <row r="204" ht="15" customHeight="1" s="176">
      <c r="A204" s="30" t="inlineStr">
        <is>
          <t>P-0201</t>
        </is>
      </c>
      <c r="B204" s="30" t="inlineStr">
        <is>
          <t>2026/27</t>
        </is>
      </c>
      <c r="C204" s="30" t="inlineStr">
        <is>
          <t>El Molle</t>
        </is>
      </c>
      <c r="D204" s="31" t="inlineStr">
        <is>
          <t>Wonderful 5,25 ha</t>
        </is>
      </c>
      <c r="E204" s="30" t="inlineStr">
        <is>
          <t>Granados</t>
        </is>
      </c>
      <c r="F204" s="30" t="inlineStr">
        <is>
          <t>Wonderfull</t>
        </is>
      </c>
      <c r="G204" s="30" t="inlineStr">
        <is>
          <t>Producción</t>
        </is>
      </c>
      <c r="H204" s="32" t="n">
        <v>5.24</v>
      </c>
      <c r="I204" s="32" t="n">
        <v>5.24</v>
      </c>
      <c r="J204" s="30" t="inlineStr">
        <is>
          <t>Costo</t>
        </is>
      </c>
      <c r="K204" s="31" t="inlineStr">
        <is>
          <t>1- M.O. directa</t>
        </is>
      </c>
      <c r="L204" s="31" t="inlineStr">
        <is>
          <t>1,1 - Corte de coroma,  sopleteo y schollar</t>
        </is>
      </c>
      <c r="M204" s="31" t="inlineStr">
        <is>
          <t>Operacion predio</t>
        </is>
      </c>
      <c r="N204" s="30" t="inlineStr">
        <is>
          <t>día</t>
        </is>
      </c>
      <c r="O204" s="30" t="inlineStr">
        <is>
          <t>kg</t>
        </is>
      </c>
      <c r="P204" s="33" t="n">
        <v>46</v>
      </c>
      <c r="Q204" s="34" t="n">
        <v>115280</v>
      </c>
      <c r="R204" s="33" t="n">
        <v>3712016</v>
      </c>
      <c r="S204" s="35" t="n">
        <v>0.0357777777777778</v>
      </c>
      <c r="T204" s="33" t="n">
        <v>32.2</v>
      </c>
      <c r="U204" s="33" t="n">
        <v>0</v>
      </c>
      <c r="V204" s="33" t="n">
        <v>0</v>
      </c>
      <c r="W204" s="33" t="n">
        <v>0</v>
      </c>
      <c r="X204" s="33" t="n">
        <v>0</v>
      </c>
      <c r="Y204" s="33" t="n">
        <v>0</v>
      </c>
      <c r="Z204" s="33" t="n">
        <v>0</v>
      </c>
      <c r="AA204" s="33" t="n">
        <v>0</v>
      </c>
      <c r="AB204" s="33" t="n">
        <v>0</v>
      </c>
      <c r="AC204" s="33" t="n">
        <v>0</v>
      </c>
      <c r="AD204" s="33" t="n">
        <v>0</v>
      </c>
      <c r="AE204" s="33" t="n">
        <v>0</v>
      </c>
      <c r="AF204" s="33" t="n">
        <v>4124.46222222222</v>
      </c>
    </row>
    <row r="205" ht="15" customHeight="1" s="176">
      <c r="A205" s="36" t="inlineStr">
        <is>
          <t>P-0202</t>
        </is>
      </c>
      <c r="B205" s="36" t="inlineStr">
        <is>
          <t>2026/27</t>
        </is>
      </c>
      <c r="C205" s="36" t="inlineStr">
        <is>
          <t>El Molle</t>
        </is>
      </c>
      <c r="D205" s="37" t="inlineStr">
        <is>
          <t>Wonderful 5,25 ha</t>
        </is>
      </c>
      <c r="E205" s="36" t="inlineStr">
        <is>
          <t>Granados</t>
        </is>
      </c>
      <c r="F205" s="36" t="inlineStr">
        <is>
          <t>Wonderfull</t>
        </is>
      </c>
      <c r="G205" s="36" t="inlineStr">
        <is>
          <t>Producción</t>
        </is>
      </c>
      <c r="H205" s="38" t="n">
        <v>5.24</v>
      </c>
      <c r="I205" s="38" t="n">
        <v>5.24</v>
      </c>
      <c r="J205" s="36" t="inlineStr">
        <is>
          <t>Costo</t>
        </is>
      </c>
      <c r="K205" s="37" t="inlineStr">
        <is>
          <t>1- M.O. directa</t>
        </is>
      </c>
      <c r="L205" s="37" t="inlineStr">
        <is>
          <t>1,2 - Packing</t>
        </is>
      </c>
      <c r="M205" s="37" t="inlineStr">
        <is>
          <t>Operacion predio</t>
        </is>
      </c>
      <c r="N205" s="36" t="inlineStr">
        <is>
          <t>Trato</t>
        </is>
      </c>
      <c r="O205" s="36" t="inlineStr">
        <is>
          <t>cjs</t>
        </is>
      </c>
      <c r="P205" s="39" t="n">
        <v>170</v>
      </c>
      <c r="Q205" s="40" t="n">
        <v>14410</v>
      </c>
      <c r="R205" s="39" t="n">
        <v>2449700</v>
      </c>
      <c r="S205" s="41" t="n">
        <v>0.0236111111111111</v>
      </c>
      <c r="T205" s="39" t="n">
        <v>21.25</v>
      </c>
      <c r="U205" s="39" t="n">
        <v>0</v>
      </c>
      <c r="V205" s="39" t="n">
        <v>0</v>
      </c>
      <c r="W205" s="39" t="n">
        <v>0</v>
      </c>
      <c r="X205" s="39" t="n">
        <v>0</v>
      </c>
      <c r="Y205" s="39" t="n">
        <v>0</v>
      </c>
      <c r="Z205" s="39" t="n">
        <v>0</v>
      </c>
      <c r="AA205" s="39" t="n">
        <v>0</v>
      </c>
      <c r="AB205" s="39" t="n">
        <v>0</v>
      </c>
      <c r="AC205" s="39" t="n">
        <v>0</v>
      </c>
      <c r="AD205" s="39" t="n">
        <v>0</v>
      </c>
      <c r="AE205" s="39" t="n">
        <v>0</v>
      </c>
      <c r="AF205" s="39" t="n">
        <v>2721.88888888889</v>
      </c>
    </row>
    <row r="206" ht="15" customHeight="1" s="176">
      <c r="A206" s="30" t="inlineStr">
        <is>
          <t>P-0203</t>
        </is>
      </c>
      <c r="B206" s="30" t="inlineStr">
        <is>
          <t>2026/27</t>
        </is>
      </c>
      <c r="C206" s="30" t="inlineStr">
        <is>
          <t>El Molle</t>
        </is>
      </c>
      <c r="D206" s="31" t="inlineStr">
        <is>
          <t>Wonderful 5,25 ha</t>
        </is>
      </c>
      <c r="E206" s="30" t="inlineStr">
        <is>
          <t>Granados</t>
        </is>
      </c>
      <c r="F206" s="30" t="inlineStr">
        <is>
          <t>Wonderfull</t>
        </is>
      </c>
      <c r="G206" s="30" t="inlineStr">
        <is>
          <t>Producción</t>
        </is>
      </c>
      <c r="H206" s="32" t="n">
        <v>5.24</v>
      </c>
      <c r="I206" s="32" t="n">
        <v>5.24</v>
      </c>
      <c r="J206" s="30" t="inlineStr">
        <is>
          <t>Costo</t>
        </is>
      </c>
      <c r="K206" s="31" t="inlineStr">
        <is>
          <t>4- Otros gastos</t>
        </is>
      </c>
      <c r="L206" s="31" t="inlineStr">
        <is>
          <t>7- GASTOS DE ADMINISTRACION</t>
        </is>
      </c>
      <c r="M206" s="31" t="n"/>
      <c r="N206" s="30" t="n"/>
      <c r="O206" s="30" t="inlineStr">
        <is>
          <t>ha</t>
        </is>
      </c>
      <c r="P206" s="33" t="n">
        <v>12751</v>
      </c>
      <c r="Q206" s="34" t="n">
        <v>5.24</v>
      </c>
      <c r="R206" s="33" t="n">
        <v>667885.13904</v>
      </c>
      <c r="S206" s="35" t="n">
        <v>0.00643732303030303</v>
      </c>
      <c r="T206" s="33" t="n">
        <v>5.79359072727273</v>
      </c>
      <c r="U206" s="33" t="n">
        <v>61.8412165777778</v>
      </c>
      <c r="V206" s="33" t="n">
        <v>61.8412165777778</v>
      </c>
      <c r="W206" s="33" t="n">
        <v>61.8412165777778</v>
      </c>
      <c r="X206" s="33" t="n">
        <v>61.8412165777778</v>
      </c>
      <c r="Y206" s="33" t="n">
        <v>61.8412165777778</v>
      </c>
      <c r="Z206" s="33" t="n">
        <v>61.8412165777778</v>
      </c>
      <c r="AA206" s="33" t="n">
        <v>61.8412165777778</v>
      </c>
      <c r="AB206" s="33" t="n">
        <v>61.8412165777778</v>
      </c>
      <c r="AC206" s="33" t="n">
        <v>61.8412165777778</v>
      </c>
      <c r="AD206" s="33" t="n">
        <v>61.8412165777778</v>
      </c>
      <c r="AE206" s="33" t="n">
        <v>61.8412165777778</v>
      </c>
      <c r="AF206" s="33" t="n">
        <v>61.8412165777778</v>
      </c>
    </row>
    <row r="207" ht="15" customHeight="1" s="176">
      <c r="A207" s="36" t="inlineStr">
        <is>
          <t>P-0204</t>
        </is>
      </c>
      <c r="B207" s="36" t="inlineStr">
        <is>
          <t>2026/27</t>
        </is>
      </c>
      <c r="C207" s="36" t="inlineStr">
        <is>
          <t>El Molle</t>
        </is>
      </c>
      <c r="D207" s="37" t="inlineStr">
        <is>
          <t>oronules 5,35 ha</t>
        </is>
      </c>
      <c r="E207" s="36" t="inlineStr">
        <is>
          <t>Clementinas</t>
        </is>
      </c>
      <c r="F207" s="36" t="inlineStr">
        <is>
          <t>Oronules</t>
        </is>
      </c>
      <c r="G207" s="36" t="inlineStr">
        <is>
          <t>Producción</t>
        </is>
      </c>
      <c r="H207" s="38" t="n">
        <v>5.35</v>
      </c>
      <c r="I207" s="38" t="n">
        <v>5.35</v>
      </c>
      <c r="J207" s="36" t="inlineStr">
        <is>
          <t>Costo</t>
        </is>
      </c>
      <c r="K207" s="37" t="inlineStr">
        <is>
          <t>1- M.O. directa</t>
        </is>
      </c>
      <c r="L207" s="37" t="inlineStr">
        <is>
          <t>7,1- TRACTORISTA</t>
        </is>
      </c>
      <c r="M207" s="37" t="inlineStr">
        <is>
          <t>Operacion predio</t>
        </is>
      </c>
      <c r="N207" s="36" t="inlineStr">
        <is>
          <t>día</t>
        </is>
      </c>
      <c r="O207" s="36" t="inlineStr">
        <is>
          <t>ha</t>
        </is>
      </c>
      <c r="P207" s="39" t="n">
        <v>38500</v>
      </c>
      <c r="Q207" s="40" t="n">
        <v>5.35</v>
      </c>
      <c r="R207" s="39" t="n">
        <v>2058926.1</v>
      </c>
      <c r="S207" s="41" t="n">
        <v>0.0142535555555556</v>
      </c>
      <c r="T207" s="39" t="n">
        <v>12.8282</v>
      </c>
      <c r="U207" s="39" t="n">
        <v>190.641305555556</v>
      </c>
      <c r="V207" s="39" t="n">
        <v>190.641305555556</v>
      </c>
      <c r="W207" s="39" t="n">
        <v>190.641305555556</v>
      </c>
      <c r="X207" s="39" t="n">
        <v>190.641305555556</v>
      </c>
      <c r="Y207" s="39" t="n">
        <v>190.641305555556</v>
      </c>
      <c r="Z207" s="39" t="n">
        <v>190.641305555556</v>
      </c>
      <c r="AA207" s="39" t="n">
        <v>190.641305555556</v>
      </c>
      <c r="AB207" s="39" t="n">
        <v>190.641305555556</v>
      </c>
      <c r="AC207" s="39" t="n">
        <v>190.641305555556</v>
      </c>
      <c r="AD207" s="39" t="n">
        <v>190.641305555556</v>
      </c>
      <c r="AE207" s="39" t="n">
        <v>190.641305555556</v>
      </c>
      <c r="AF207" s="39" t="n">
        <v>190.641305555556</v>
      </c>
    </row>
    <row r="208" ht="15" customHeight="1" s="176">
      <c r="A208" s="30" t="inlineStr">
        <is>
          <t>P-0205</t>
        </is>
      </c>
      <c r="B208" s="30" t="inlineStr">
        <is>
          <t>2026/27</t>
        </is>
      </c>
      <c r="C208" s="30" t="inlineStr">
        <is>
          <t>El Molle</t>
        </is>
      </c>
      <c r="D208" s="31" t="inlineStr">
        <is>
          <t>arrufatinas 5,74 ha</t>
        </is>
      </c>
      <c r="E208" s="30" t="inlineStr">
        <is>
          <t>Clementinas</t>
        </is>
      </c>
      <c r="F208" s="30" t="inlineStr">
        <is>
          <t>Arrufatinas</t>
        </is>
      </c>
      <c r="G208" s="30" t="inlineStr">
        <is>
          <t>Producción</t>
        </is>
      </c>
      <c r="H208" s="32" t="n">
        <v>5.74</v>
      </c>
      <c r="I208" s="32" t="n">
        <v>5.74</v>
      </c>
      <c r="J208" s="30" t="inlineStr">
        <is>
          <t>Costo</t>
        </is>
      </c>
      <c r="K208" s="31" t="inlineStr">
        <is>
          <t>1- M.O. directa</t>
        </is>
      </c>
      <c r="L208" s="31" t="inlineStr">
        <is>
          <t>7,1- TRACTORISTA</t>
        </is>
      </c>
      <c r="M208" s="31" t="inlineStr">
        <is>
          <t>Operacion predio</t>
        </is>
      </c>
      <c r="N208" s="30" t="inlineStr">
        <is>
          <t>día</t>
        </is>
      </c>
      <c r="O208" s="30" t="inlineStr">
        <is>
          <t>ha</t>
        </is>
      </c>
      <c r="P208" s="33" t="n">
        <v>38500</v>
      </c>
      <c r="Q208" s="34" t="n">
        <v>5.74</v>
      </c>
      <c r="R208" s="33" t="n">
        <v>2209016.04</v>
      </c>
      <c r="S208" s="35" t="n">
        <v>0.0133627083333333</v>
      </c>
      <c r="T208" s="33" t="n">
        <v>12.0264375</v>
      </c>
      <c r="U208" s="33" t="n">
        <v>204.538522222222</v>
      </c>
      <c r="V208" s="33" t="n">
        <v>204.538522222222</v>
      </c>
      <c r="W208" s="33" t="n">
        <v>204.538522222222</v>
      </c>
      <c r="X208" s="33" t="n">
        <v>204.538522222222</v>
      </c>
      <c r="Y208" s="33" t="n">
        <v>204.538522222222</v>
      </c>
      <c r="Z208" s="33" t="n">
        <v>204.538522222222</v>
      </c>
      <c r="AA208" s="33" t="n">
        <v>204.538522222222</v>
      </c>
      <c r="AB208" s="33" t="n">
        <v>204.538522222222</v>
      </c>
      <c r="AC208" s="33" t="n">
        <v>204.538522222222</v>
      </c>
      <c r="AD208" s="33" t="n">
        <v>204.538522222222</v>
      </c>
      <c r="AE208" s="33" t="n">
        <v>204.538522222222</v>
      </c>
      <c r="AF208" s="33" t="n">
        <v>204.538522222222</v>
      </c>
    </row>
    <row r="209" ht="15" customHeight="1" s="176">
      <c r="A209" s="36" t="inlineStr">
        <is>
          <t>P-0206</t>
        </is>
      </c>
      <c r="B209" s="36" t="inlineStr">
        <is>
          <t>2026/27</t>
        </is>
      </c>
      <c r="C209" s="36" t="inlineStr">
        <is>
          <t>El Molle</t>
        </is>
      </c>
      <c r="D209" s="37" t="inlineStr">
        <is>
          <t>orogrande 8,11 ha</t>
        </is>
      </c>
      <c r="E209" s="36" t="inlineStr">
        <is>
          <t>Clementinas</t>
        </is>
      </c>
      <c r="F209" s="36" t="inlineStr">
        <is>
          <t>Orogrande</t>
        </is>
      </c>
      <c r="G209" s="36" t="inlineStr">
        <is>
          <t>Producción</t>
        </is>
      </c>
      <c r="H209" s="38" t="n">
        <v>8.109999999999999</v>
      </c>
      <c r="I209" s="38" t="n">
        <v>8.109999999999999</v>
      </c>
      <c r="J209" s="36" t="inlineStr">
        <is>
          <t>Costo</t>
        </is>
      </c>
      <c r="K209" s="37" t="inlineStr">
        <is>
          <t>1- M.O. directa</t>
        </is>
      </c>
      <c r="L209" s="37" t="inlineStr">
        <is>
          <t>7,1- TRACTORISTA</t>
        </is>
      </c>
      <c r="M209" s="37" t="inlineStr">
        <is>
          <t>Operacion predio</t>
        </is>
      </c>
      <c r="N209" s="36" t="inlineStr">
        <is>
          <t>día</t>
        </is>
      </c>
      <c r="O209" s="36" t="inlineStr">
        <is>
          <t>ha</t>
        </is>
      </c>
      <c r="P209" s="39" t="n">
        <v>38500</v>
      </c>
      <c r="Q209" s="40" t="n">
        <v>8.109999999999999</v>
      </c>
      <c r="R209" s="39" t="n">
        <v>3121101.06</v>
      </c>
      <c r="S209" s="41" t="n">
        <v>0.0122173333333333</v>
      </c>
      <c r="T209" s="39" t="n">
        <v>10.9956</v>
      </c>
      <c r="U209" s="39" t="n">
        <v>288.990838888889</v>
      </c>
      <c r="V209" s="39" t="n">
        <v>288.990838888889</v>
      </c>
      <c r="W209" s="39" t="n">
        <v>288.990838888889</v>
      </c>
      <c r="X209" s="39" t="n">
        <v>288.990838888889</v>
      </c>
      <c r="Y209" s="39" t="n">
        <v>288.990838888889</v>
      </c>
      <c r="Z209" s="39" t="n">
        <v>288.990838888889</v>
      </c>
      <c r="AA209" s="39" t="n">
        <v>288.990838888889</v>
      </c>
      <c r="AB209" s="39" t="n">
        <v>288.990838888889</v>
      </c>
      <c r="AC209" s="39" t="n">
        <v>288.990838888889</v>
      </c>
      <c r="AD209" s="39" t="n">
        <v>288.990838888889</v>
      </c>
      <c r="AE209" s="39" t="n">
        <v>288.990838888889</v>
      </c>
      <c r="AF209" s="39" t="n">
        <v>288.990838888889</v>
      </c>
    </row>
    <row r="210" ht="15" customHeight="1" s="176">
      <c r="A210" s="30" t="inlineStr">
        <is>
          <t>P-0207</t>
        </is>
      </c>
      <c r="B210" s="30" t="inlineStr">
        <is>
          <t>2026/27</t>
        </is>
      </c>
      <c r="C210" s="30" t="inlineStr">
        <is>
          <t>El Molle</t>
        </is>
      </c>
      <c r="D210" s="31" t="inlineStr">
        <is>
          <t>Wonderful 5,25 ha</t>
        </is>
      </c>
      <c r="E210" s="30" t="inlineStr">
        <is>
          <t>Granados</t>
        </is>
      </c>
      <c r="F210" s="30" t="inlineStr">
        <is>
          <t>Wonderfull</t>
        </is>
      </c>
      <c r="G210" s="30" t="inlineStr">
        <is>
          <t>Producción</t>
        </is>
      </c>
      <c r="H210" s="32" t="n">
        <v>5.24</v>
      </c>
      <c r="I210" s="32" t="n">
        <v>5.24</v>
      </c>
      <c r="J210" s="30" t="inlineStr">
        <is>
          <t>Costo</t>
        </is>
      </c>
      <c r="K210" s="31" t="inlineStr">
        <is>
          <t>1- M.O. directa</t>
        </is>
      </c>
      <c r="L210" s="31" t="inlineStr">
        <is>
          <t>7,1- TRACTORISTA</t>
        </is>
      </c>
      <c r="M210" s="31" t="inlineStr">
        <is>
          <t>Operacion predio</t>
        </is>
      </c>
      <c r="N210" s="30" t="inlineStr">
        <is>
          <t>día</t>
        </is>
      </c>
      <c r="O210" s="30" t="inlineStr">
        <is>
          <t>ha</t>
        </is>
      </c>
      <c r="P210" s="33" t="n">
        <v>38500</v>
      </c>
      <c r="Q210" s="34" t="n">
        <v>5.24</v>
      </c>
      <c r="R210" s="33" t="n">
        <v>2016593.04</v>
      </c>
      <c r="S210" s="35" t="n">
        <v>0.0194366666666667</v>
      </c>
      <c r="T210" s="33" t="n">
        <v>17.493</v>
      </c>
      <c r="U210" s="33" t="n">
        <v>186.721577777778</v>
      </c>
      <c r="V210" s="33" t="n">
        <v>186.721577777778</v>
      </c>
      <c r="W210" s="33" t="n">
        <v>186.721577777778</v>
      </c>
      <c r="X210" s="33" t="n">
        <v>186.721577777778</v>
      </c>
      <c r="Y210" s="33" t="n">
        <v>186.721577777778</v>
      </c>
      <c r="Z210" s="33" t="n">
        <v>186.721577777778</v>
      </c>
      <c r="AA210" s="33" t="n">
        <v>186.721577777778</v>
      </c>
      <c r="AB210" s="33" t="n">
        <v>186.721577777778</v>
      </c>
      <c r="AC210" s="33" t="n">
        <v>186.721577777778</v>
      </c>
      <c r="AD210" s="33" t="n">
        <v>186.721577777778</v>
      </c>
      <c r="AE210" s="33" t="n">
        <v>186.721577777778</v>
      </c>
      <c r="AF210" s="33" t="n">
        <v>186.721577777778</v>
      </c>
    </row>
    <row r="211" ht="15" customHeight="1" s="176">
      <c r="A211" s="36" t="inlineStr">
        <is>
          <t>P-0208</t>
        </is>
      </c>
      <c r="B211" s="36" t="inlineStr">
        <is>
          <t>2026/27</t>
        </is>
      </c>
      <c r="C211" s="36" t="inlineStr">
        <is>
          <t>El Molle</t>
        </is>
      </c>
      <c r="D211" s="37" t="inlineStr">
        <is>
          <t>oronules 5,35 ha</t>
        </is>
      </c>
      <c r="E211" s="36" t="inlineStr">
        <is>
          <t>Clementinas</t>
        </is>
      </c>
      <c r="F211" s="36" t="inlineStr">
        <is>
          <t>Oronules</t>
        </is>
      </c>
      <c r="G211" s="36" t="inlineStr">
        <is>
          <t>Producción</t>
        </is>
      </c>
      <c r="H211" s="38" t="n">
        <v>5.35</v>
      </c>
      <c r="I211" s="38" t="n">
        <v>5.35</v>
      </c>
      <c r="J211" s="36" t="inlineStr">
        <is>
          <t>Costo</t>
        </is>
      </c>
      <c r="K211" s="37" t="inlineStr">
        <is>
          <t>1- M.O. directa</t>
        </is>
      </c>
      <c r="L211" s="37" t="inlineStr">
        <is>
          <t>7- Acordonar sarmiento</t>
        </is>
      </c>
      <c r="M211" s="37" t="n"/>
      <c r="N211" s="36" t="inlineStr">
        <is>
          <t>trato</t>
        </is>
      </c>
      <c r="O211" s="36" t="inlineStr">
        <is>
          <t>plt</t>
        </is>
      </c>
      <c r="P211" s="39" t="n">
        <v>70</v>
      </c>
      <c r="Q211" s="40" t="n">
        <v>3568.45</v>
      </c>
      <c r="R211" s="39" t="n">
        <v>249791.5</v>
      </c>
      <c r="S211" s="41" t="n">
        <v>0.00172925925925926</v>
      </c>
      <c r="T211" s="39" t="n">
        <v>1.55633333333333</v>
      </c>
      <c r="U211" s="39" t="n">
        <v>0</v>
      </c>
      <c r="V211" s="39" t="n">
        <v>0</v>
      </c>
      <c r="W211" s="39" t="n">
        <v>138.773055555556</v>
      </c>
      <c r="X211" s="39" t="n">
        <v>138.773055555556</v>
      </c>
      <c r="Y211" s="39" t="n">
        <v>0</v>
      </c>
      <c r="Z211" s="39" t="n">
        <v>0</v>
      </c>
      <c r="AA211" s="39" t="n">
        <v>0</v>
      </c>
      <c r="AB211" s="39" t="n">
        <v>0</v>
      </c>
      <c r="AC211" s="39" t="n">
        <v>0</v>
      </c>
      <c r="AD211" s="39" t="n">
        <v>0</v>
      </c>
      <c r="AE211" s="39" t="n">
        <v>0</v>
      </c>
      <c r="AF211" s="39" t="n">
        <v>0</v>
      </c>
    </row>
    <row r="212" ht="15" customHeight="1" s="176">
      <c r="A212" s="30" t="inlineStr">
        <is>
          <t>P-0209</t>
        </is>
      </c>
      <c r="B212" s="30" t="inlineStr">
        <is>
          <t>2026/27</t>
        </is>
      </c>
      <c r="C212" s="30" t="inlineStr">
        <is>
          <t>El Molle</t>
        </is>
      </c>
      <c r="D212" s="31" t="inlineStr">
        <is>
          <t>arrufatinas 5,74 ha</t>
        </is>
      </c>
      <c r="E212" s="30" t="inlineStr">
        <is>
          <t>Clementinas</t>
        </is>
      </c>
      <c r="F212" s="30" t="inlineStr">
        <is>
          <t>Arrufatinas</t>
        </is>
      </c>
      <c r="G212" s="30" t="inlineStr">
        <is>
          <t>Producción</t>
        </is>
      </c>
      <c r="H212" s="32" t="n">
        <v>5.74</v>
      </c>
      <c r="I212" s="32" t="n">
        <v>5.74</v>
      </c>
      <c r="J212" s="30" t="inlineStr">
        <is>
          <t>Costo</t>
        </is>
      </c>
      <c r="K212" s="31" t="inlineStr">
        <is>
          <t>1- M.O. directa</t>
        </is>
      </c>
      <c r="L212" s="31" t="inlineStr">
        <is>
          <t>7- Acordonar sarmiento</t>
        </is>
      </c>
      <c r="M212" s="31" t="n"/>
      <c r="N212" s="30" t="inlineStr">
        <is>
          <t>trato</t>
        </is>
      </c>
      <c r="O212" s="30" t="inlineStr">
        <is>
          <t>plt</t>
        </is>
      </c>
      <c r="P212" s="33" t="n">
        <v>70</v>
      </c>
      <c r="Q212" s="34" t="n">
        <v>3828.58</v>
      </c>
      <c r="R212" s="33" t="n">
        <v>268000.6</v>
      </c>
      <c r="S212" s="35" t="n">
        <v>0.00162118055555556</v>
      </c>
      <c r="T212" s="33" t="n">
        <v>1.4590625</v>
      </c>
      <c r="U212" s="33" t="n">
        <v>0</v>
      </c>
      <c r="V212" s="33" t="n">
        <v>0</v>
      </c>
      <c r="W212" s="33" t="n">
        <v>148.889222222222</v>
      </c>
      <c r="X212" s="33" t="n">
        <v>148.889222222222</v>
      </c>
      <c r="Y212" s="33" t="n">
        <v>0</v>
      </c>
      <c r="Z212" s="33" t="n">
        <v>0</v>
      </c>
      <c r="AA212" s="33" t="n">
        <v>0</v>
      </c>
      <c r="AB212" s="33" t="n">
        <v>0</v>
      </c>
      <c r="AC212" s="33" t="n">
        <v>0</v>
      </c>
      <c r="AD212" s="33" t="n">
        <v>0</v>
      </c>
      <c r="AE212" s="33" t="n">
        <v>0</v>
      </c>
      <c r="AF212" s="33" t="n">
        <v>0</v>
      </c>
    </row>
    <row r="213" ht="15" customHeight="1" s="176">
      <c r="A213" s="36" t="inlineStr">
        <is>
          <t>P-0210</t>
        </is>
      </c>
      <c r="B213" s="36" t="inlineStr">
        <is>
          <t>2026/27</t>
        </is>
      </c>
      <c r="C213" s="36" t="inlineStr">
        <is>
          <t>El Molle</t>
        </is>
      </c>
      <c r="D213" s="37" t="inlineStr">
        <is>
          <t>orogrande 8,11 ha</t>
        </is>
      </c>
      <c r="E213" s="36" t="inlineStr">
        <is>
          <t>Clementinas</t>
        </is>
      </c>
      <c r="F213" s="36" t="inlineStr">
        <is>
          <t>Orogrande</t>
        </is>
      </c>
      <c r="G213" s="36" t="inlineStr">
        <is>
          <t>Producción</t>
        </is>
      </c>
      <c r="H213" s="38" t="n">
        <v>8.109999999999999</v>
      </c>
      <c r="I213" s="38" t="n">
        <v>8.109999999999999</v>
      </c>
      <c r="J213" s="36" t="inlineStr">
        <is>
          <t>Costo</t>
        </is>
      </c>
      <c r="K213" s="37" t="inlineStr">
        <is>
          <t>1- M.O. directa</t>
        </is>
      </c>
      <c r="L213" s="37" t="inlineStr">
        <is>
          <t>7- Acordonar sarmiento</t>
        </is>
      </c>
      <c r="M213" s="37" t="n"/>
      <c r="N213" s="36" t="inlineStr">
        <is>
          <t>trato</t>
        </is>
      </c>
      <c r="O213" s="36" t="inlineStr">
        <is>
          <t>plt</t>
        </is>
      </c>
      <c r="P213" s="39" t="n">
        <v>70</v>
      </c>
      <c r="Q213" s="40" t="n">
        <v>5409.37</v>
      </c>
      <c r="R213" s="39" t="n">
        <v>378655.9</v>
      </c>
      <c r="S213" s="41" t="n">
        <v>0.00148222222222222</v>
      </c>
      <c r="T213" s="39" t="n">
        <v>1.334</v>
      </c>
      <c r="U213" s="39" t="n">
        <v>0</v>
      </c>
      <c r="V213" s="39" t="n">
        <v>0</v>
      </c>
      <c r="W213" s="39" t="n">
        <v>210.364388888889</v>
      </c>
      <c r="X213" s="39" t="n">
        <v>210.364388888889</v>
      </c>
      <c r="Y213" s="39" t="n">
        <v>0</v>
      </c>
      <c r="Z213" s="39" t="n">
        <v>0</v>
      </c>
      <c r="AA213" s="39" t="n">
        <v>0</v>
      </c>
      <c r="AB213" s="39" t="n">
        <v>0</v>
      </c>
      <c r="AC213" s="39" t="n">
        <v>0</v>
      </c>
      <c r="AD213" s="39" t="n">
        <v>0</v>
      </c>
      <c r="AE213" s="39" t="n">
        <v>0</v>
      </c>
      <c r="AF213" s="39" t="n">
        <v>0</v>
      </c>
    </row>
    <row r="214" ht="15" customHeight="1" s="176">
      <c r="A214" s="30" t="inlineStr">
        <is>
          <t>P-0211</t>
        </is>
      </c>
      <c r="B214" s="30" t="inlineStr">
        <is>
          <t>2026/27</t>
        </is>
      </c>
      <c r="C214" s="30" t="inlineStr">
        <is>
          <t>El Molle</t>
        </is>
      </c>
      <c r="D214" s="31" t="inlineStr">
        <is>
          <t>Wonderful 5,25 ha</t>
        </is>
      </c>
      <c r="E214" s="30" t="inlineStr">
        <is>
          <t>Granados</t>
        </is>
      </c>
      <c r="F214" s="30" t="inlineStr">
        <is>
          <t>Wonderfull</t>
        </is>
      </c>
      <c r="G214" s="30" t="inlineStr">
        <is>
          <t>Producción</t>
        </is>
      </c>
      <c r="H214" s="32" t="n">
        <v>5.24</v>
      </c>
      <c r="I214" s="32" t="n">
        <v>5.24</v>
      </c>
      <c r="J214" s="30" t="inlineStr">
        <is>
          <t>Costo</t>
        </is>
      </c>
      <c r="K214" s="31" t="inlineStr">
        <is>
          <t>1- M.O. directa</t>
        </is>
      </c>
      <c r="L214" s="31" t="inlineStr">
        <is>
          <t>8- Raleo frutos, gorros y desbrote fruto</t>
        </is>
      </c>
      <c r="M214" s="31" t="inlineStr">
        <is>
          <t>gorros a 15-20 plts, raleo max 100 frutos por plt y pelado de canilla</t>
        </is>
      </c>
      <c r="N214" s="30" t="inlineStr">
        <is>
          <t>día</t>
        </is>
      </c>
      <c r="O214" s="30" t="inlineStr">
        <is>
          <t>jh</t>
        </is>
      </c>
      <c r="P214" s="33" t="n">
        <v>1100</v>
      </c>
      <c r="Q214" s="34" t="n">
        <v>3495.08</v>
      </c>
      <c r="R214" s="33" t="n">
        <v>3844588</v>
      </c>
      <c r="S214" s="35" t="n">
        <v>0.0370555555555556</v>
      </c>
      <c r="T214" s="33" t="n">
        <v>33.35</v>
      </c>
      <c r="U214" s="33" t="n">
        <v>0</v>
      </c>
      <c r="V214" s="33" t="n">
        <v>0</v>
      </c>
      <c r="W214" s="33" t="n">
        <v>0</v>
      </c>
      <c r="X214" s="33" t="n">
        <v>0</v>
      </c>
      <c r="Y214" s="33" t="n">
        <v>0</v>
      </c>
      <c r="Z214" s="33" t="n">
        <v>0</v>
      </c>
      <c r="AA214" s="33" t="n">
        <v>0</v>
      </c>
      <c r="AB214" s="33" t="n">
        <v>4271.76444444444</v>
      </c>
      <c r="AC214" s="33" t="n">
        <v>0</v>
      </c>
      <c r="AD214" s="33" t="n">
        <v>0</v>
      </c>
      <c r="AE214" s="33" t="n">
        <v>0</v>
      </c>
      <c r="AF214" s="33" t="n">
        <v>0</v>
      </c>
    </row>
    <row r="215" ht="15" customHeight="1" s="176">
      <c r="A215" s="42" t="inlineStr">
        <is>
          <t>P-0212</t>
        </is>
      </c>
      <c r="B215" s="42" t="inlineStr">
        <is>
          <t>2026/27</t>
        </is>
      </c>
      <c r="C215" s="42" t="inlineStr">
        <is>
          <t>El Molle</t>
        </is>
      </c>
      <c r="D215" s="43" t="inlineStr">
        <is>
          <t>arrufatinas 5,74 ha</t>
        </is>
      </c>
      <c r="E215" s="42" t="inlineStr">
        <is>
          <t>Clementinas</t>
        </is>
      </c>
      <c r="F215" s="42" t="inlineStr">
        <is>
          <t>Arrufatinas</t>
        </is>
      </c>
      <c r="G215" s="42" t="inlineStr">
        <is>
          <t>Producción</t>
        </is>
      </c>
      <c r="H215" s="44" t="n">
        <v>5.74</v>
      </c>
      <c r="I215" s="44" t="n">
        <v>5.74</v>
      </c>
      <c r="J215" s="42" t="inlineStr">
        <is>
          <t>Ingreso</t>
        </is>
      </c>
      <c r="K215" s="43" t="inlineStr">
        <is>
          <t>5- Ingresos</t>
        </is>
      </c>
      <c r="L215" s="43" t="inlineStr">
        <is>
          <t>Venta M.I.</t>
        </is>
      </c>
      <c r="M215" s="43" t="n"/>
      <c r="N215" s="42" t="inlineStr">
        <is>
          <t>venta</t>
        </is>
      </c>
      <c r="O215" s="42" t="inlineStr">
        <is>
          <t>kg</t>
        </is>
      </c>
      <c r="P215" s="45" t="n">
        <v>-25</v>
      </c>
      <c r="Q215" s="46" t="n">
        <v>18368</v>
      </c>
      <c r="R215" s="45" t="n">
        <v>459200</v>
      </c>
      <c r="S215" s="47" t="n">
        <v>-0.0277777777777778</v>
      </c>
      <c r="T215" s="45" t="n">
        <v>-25</v>
      </c>
      <c r="U215" s="45" t="n">
        <v>510.222222222222</v>
      </c>
      <c r="V215" s="45" t="n">
        <v>0</v>
      </c>
      <c r="W215" s="45" t="n">
        <v>0</v>
      </c>
      <c r="X215" s="45" t="n">
        <v>0</v>
      </c>
      <c r="Y215" s="45" t="n">
        <v>0</v>
      </c>
      <c r="Z215" s="45" t="n">
        <v>0</v>
      </c>
      <c r="AA215" s="45" t="n">
        <v>0</v>
      </c>
      <c r="AB215" s="45" t="n">
        <v>0</v>
      </c>
      <c r="AC215" s="45" t="n">
        <v>0</v>
      </c>
      <c r="AD215" s="45" t="n">
        <v>0</v>
      </c>
      <c r="AE215" s="45" t="n">
        <v>0</v>
      </c>
      <c r="AF215" s="45" t="n">
        <v>0</v>
      </c>
    </row>
    <row r="216" ht="15" customHeight="1" s="176">
      <c r="A216" s="42" t="inlineStr">
        <is>
          <t>P-0213</t>
        </is>
      </c>
      <c r="B216" s="42" t="inlineStr">
        <is>
          <t>2026/27</t>
        </is>
      </c>
      <c r="C216" s="42" t="inlineStr">
        <is>
          <t>El Molle</t>
        </is>
      </c>
      <c r="D216" s="43" t="inlineStr">
        <is>
          <t>arrufatinas 5,74 ha</t>
        </is>
      </c>
      <c r="E216" s="42" t="inlineStr">
        <is>
          <t>Clementinas</t>
        </is>
      </c>
      <c r="F216" s="42" t="inlineStr">
        <is>
          <t>Arrufatinas</t>
        </is>
      </c>
      <c r="G216" s="42" t="inlineStr">
        <is>
          <t>Producción</t>
        </is>
      </c>
      <c r="H216" s="44" t="n">
        <v>5.74</v>
      </c>
      <c r="I216" s="44" t="n">
        <v>5.74</v>
      </c>
      <c r="J216" s="42" t="inlineStr">
        <is>
          <t>Ingreso</t>
        </is>
      </c>
      <c r="K216" s="43" t="inlineStr">
        <is>
          <t>5- Ingresos</t>
        </is>
      </c>
      <c r="L216" s="43" t="inlineStr">
        <is>
          <t>Venta EXP</t>
        </is>
      </c>
      <c r="M216" s="43" t="n"/>
      <c r="N216" s="42" t="inlineStr">
        <is>
          <t>venta</t>
        </is>
      </c>
      <c r="O216" s="42" t="inlineStr">
        <is>
          <t>kg</t>
        </is>
      </c>
      <c r="P216" s="45" t="n">
        <v>-513</v>
      </c>
      <c r="Q216" s="46" t="n">
        <v>132249.6</v>
      </c>
      <c r="R216" s="45" t="n">
        <v>67844044.8</v>
      </c>
      <c r="S216" s="47" t="n">
        <v>-0.456</v>
      </c>
      <c r="T216" s="45" t="n">
        <v>-410.4</v>
      </c>
      <c r="U216" s="45" t="n">
        <v>75382.272</v>
      </c>
      <c r="V216" s="45" t="n">
        <v>0</v>
      </c>
      <c r="W216" s="45" t="n">
        <v>0</v>
      </c>
      <c r="X216" s="45" t="n">
        <v>0</v>
      </c>
      <c r="Y216" s="45" t="n">
        <v>0</v>
      </c>
      <c r="Z216" s="45" t="n">
        <v>0</v>
      </c>
      <c r="AA216" s="45" t="n">
        <v>0</v>
      </c>
      <c r="AB216" s="45" t="n">
        <v>0</v>
      </c>
      <c r="AC216" s="45" t="n">
        <v>0</v>
      </c>
      <c r="AD216" s="45" t="n">
        <v>0</v>
      </c>
      <c r="AE216" s="45" t="n">
        <v>0</v>
      </c>
      <c r="AF216" s="45" t="n">
        <v>0</v>
      </c>
    </row>
    <row r="217" ht="15" customHeight="1" s="176">
      <c r="A217" s="36" t="inlineStr">
        <is>
          <t>P-0214</t>
        </is>
      </c>
      <c r="B217" s="36" t="inlineStr">
        <is>
          <t>2026/27</t>
        </is>
      </c>
      <c r="C217" s="36" t="inlineStr">
        <is>
          <t>El Molle</t>
        </is>
      </c>
      <c r="D217" s="37" t="inlineStr">
        <is>
          <t>orogrande 8,11 ha</t>
        </is>
      </c>
      <c r="E217" s="36" t="inlineStr">
        <is>
          <t>Clementinas</t>
        </is>
      </c>
      <c r="F217" s="36" t="inlineStr">
        <is>
          <t>Orogrande</t>
        </is>
      </c>
      <c r="G217" s="36" t="inlineStr">
        <is>
          <t>Producción</t>
        </is>
      </c>
      <c r="H217" s="38" t="n">
        <v>8.109999999999999</v>
      </c>
      <c r="I217" s="38" t="n">
        <v>8.109999999999999</v>
      </c>
      <c r="J217" s="36" t="inlineStr">
        <is>
          <t>Costo</t>
        </is>
      </c>
      <c r="K217" s="37" t="inlineStr">
        <is>
          <t>1- M.O. directa</t>
        </is>
      </c>
      <c r="L217" s="37" t="inlineStr">
        <is>
          <t>1- Cosecha EXP</t>
        </is>
      </c>
      <c r="M217" s="37" t="inlineStr">
        <is>
          <t xml:space="preserve">450 kg/jh, 15 jh/cuadrilla </t>
        </is>
      </c>
      <c r="N217" s="36" t="inlineStr">
        <is>
          <t>trato</t>
        </is>
      </c>
      <c r="O217" s="36" t="inlineStr">
        <is>
          <t>kg</t>
        </is>
      </c>
      <c r="P217" s="39" t="n">
        <v>85</v>
      </c>
      <c r="Q217" s="40" t="n">
        <v>283850</v>
      </c>
      <c r="R217" s="39" t="n">
        <v>24127250</v>
      </c>
      <c r="S217" s="41" t="n">
        <v>0.0944444444444444</v>
      </c>
      <c r="T217" s="39" t="n">
        <v>85</v>
      </c>
      <c r="U217" s="39" t="n">
        <v>0</v>
      </c>
      <c r="V217" s="39" t="n">
        <v>26808.0555555556</v>
      </c>
      <c r="W217" s="39" t="n">
        <v>0</v>
      </c>
      <c r="X217" s="39" t="n">
        <v>0</v>
      </c>
      <c r="Y217" s="39" t="n">
        <v>0</v>
      </c>
      <c r="Z217" s="39" t="n">
        <v>0</v>
      </c>
      <c r="AA217" s="39" t="n">
        <v>0</v>
      </c>
      <c r="AB217" s="39" t="n">
        <v>0</v>
      </c>
      <c r="AC217" s="39" t="n">
        <v>0</v>
      </c>
      <c r="AD217" s="39" t="n">
        <v>0</v>
      </c>
      <c r="AE217" s="39" t="n">
        <v>0</v>
      </c>
      <c r="AF217" s="39" t="n">
        <v>0</v>
      </c>
    </row>
    <row r="218" ht="15" customHeight="1" s="176">
      <c r="A218" s="42" t="inlineStr">
        <is>
          <t>P-0215</t>
        </is>
      </c>
      <c r="B218" s="42" t="inlineStr">
        <is>
          <t>2026/27</t>
        </is>
      </c>
      <c r="C218" s="42" t="inlineStr">
        <is>
          <t>El Molle</t>
        </is>
      </c>
      <c r="D218" s="43" t="inlineStr">
        <is>
          <t>orogrande 8,11 ha</t>
        </is>
      </c>
      <c r="E218" s="42" t="inlineStr">
        <is>
          <t>Clementinas</t>
        </is>
      </c>
      <c r="F218" s="42" t="inlineStr">
        <is>
          <t>Orogrande</t>
        </is>
      </c>
      <c r="G218" s="42" t="inlineStr">
        <is>
          <t>Producción</t>
        </is>
      </c>
      <c r="H218" s="44" t="n">
        <v>8.109999999999999</v>
      </c>
      <c r="I218" s="44" t="n">
        <v>8.109999999999999</v>
      </c>
      <c r="J218" s="42" t="inlineStr">
        <is>
          <t>Ingreso</t>
        </is>
      </c>
      <c r="K218" s="43" t="inlineStr">
        <is>
          <t>5- Ingresos</t>
        </is>
      </c>
      <c r="L218" s="43" t="inlineStr">
        <is>
          <t>Venta M.I.</t>
        </is>
      </c>
      <c r="M218" s="43" t="n"/>
      <c r="N218" s="42" t="inlineStr">
        <is>
          <t>venta</t>
        </is>
      </c>
      <c r="O218" s="42" t="inlineStr">
        <is>
          <t>kg</t>
        </is>
      </c>
      <c r="P218" s="45" t="n">
        <v>-25</v>
      </c>
      <c r="Q218" s="46" t="n">
        <v>28385</v>
      </c>
      <c r="R218" s="45" t="n">
        <v>709625</v>
      </c>
      <c r="S218" s="47" t="n">
        <v>-0.0277777777777778</v>
      </c>
      <c r="T218" s="45" t="n">
        <v>-25</v>
      </c>
      <c r="U218" s="45" t="n">
        <v>0</v>
      </c>
      <c r="V218" s="45" t="n">
        <v>788.4722222222219</v>
      </c>
      <c r="W218" s="45" t="n">
        <v>0</v>
      </c>
      <c r="X218" s="45" t="n">
        <v>0</v>
      </c>
      <c r="Y218" s="45" t="n">
        <v>0</v>
      </c>
      <c r="Z218" s="45" t="n">
        <v>0</v>
      </c>
      <c r="AA218" s="45" t="n">
        <v>0</v>
      </c>
      <c r="AB218" s="45" t="n">
        <v>0</v>
      </c>
      <c r="AC218" s="45" t="n">
        <v>0</v>
      </c>
      <c r="AD218" s="45" t="n">
        <v>0</v>
      </c>
      <c r="AE218" s="45" t="n">
        <v>0</v>
      </c>
      <c r="AF218" s="45" t="n">
        <v>0</v>
      </c>
    </row>
    <row r="219" ht="15" customHeight="1" s="176">
      <c r="A219" s="48" t="inlineStr">
        <is>
          <t>P-0216</t>
        </is>
      </c>
      <c r="B219" s="48" t="inlineStr">
        <is>
          <t>2026/27</t>
        </is>
      </c>
      <c r="C219" s="48" t="inlineStr">
        <is>
          <t>El Molle</t>
        </is>
      </c>
      <c r="D219" s="49" t="inlineStr">
        <is>
          <t>oronules 5,35 ha</t>
        </is>
      </c>
      <c r="E219" s="48" t="inlineStr">
        <is>
          <t>Clementinas</t>
        </is>
      </c>
      <c r="F219" s="48" t="inlineStr">
        <is>
          <t>Oronules</t>
        </is>
      </c>
      <c r="G219" s="48" t="inlineStr">
        <is>
          <t>Producción</t>
        </is>
      </c>
      <c r="H219" s="50" t="n">
        <v>5.35</v>
      </c>
      <c r="I219" s="50" t="n">
        <v>5.35</v>
      </c>
      <c r="J219" s="48" t="n"/>
      <c r="K219" s="49" t="inlineStr">
        <is>
          <t>6- Inversión</t>
        </is>
      </c>
      <c r="L219" s="49" t="n"/>
      <c r="M219" s="49" t="inlineStr">
        <is>
          <t>plantas faltantes patron carrizo</t>
        </is>
      </c>
      <c r="N219" s="48" t="n"/>
      <c r="O219" s="48" t="inlineStr">
        <is>
          <t>plt</t>
        </is>
      </c>
      <c r="P219" s="51" t="n">
        <v>4000</v>
      </c>
      <c r="Q219" s="52" t="n">
        <v>50</v>
      </c>
      <c r="R219" s="51" t="n">
        <v>200000</v>
      </c>
      <c r="S219" s="53" t="n">
        <v>0.00138456213222568</v>
      </c>
      <c r="T219" s="51" t="n">
        <v>1.24610591900312</v>
      </c>
      <c r="U219" s="51" t="n">
        <v>0</v>
      </c>
      <c r="V219" s="51" t="n">
        <v>0</v>
      </c>
      <c r="W219" s="51" t="n">
        <v>111.111111111111</v>
      </c>
      <c r="X219" s="51" t="n">
        <v>0</v>
      </c>
      <c r="Y219" s="51" t="n">
        <v>0</v>
      </c>
      <c r="Z219" s="51" t="n">
        <v>0</v>
      </c>
      <c r="AA219" s="51" t="n">
        <v>0</v>
      </c>
      <c r="AB219" s="51" t="n">
        <v>0</v>
      </c>
      <c r="AC219" s="51" t="n">
        <v>111.111111111111</v>
      </c>
      <c r="AD219" s="51" t="n">
        <v>0</v>
      </c>
      <c r="AE219" s="51" t="n">
        <v>0</v>
      </c>
      <c r="AF219" s="51" t="n">
        <v>0</v>
      </c>
    </row>
    <row r="220" ht="15" customHeight="1" s="176">
      <c r="A220" s="48" t="inlineStr">
        <is>
          <t>P-0217</t>
        </is>
      </c>
      <c r="B220" s="48" t="inlineStr">
        <is>
          <t>2026/27</t>
        </is>
      </c>
      <c r="C220" s="48" t="inlineStr">
        <is>
          <t>El Molle</t>
        </is>
      </c>
      <c r="D220" s="49" t="inlineStr">
        <is>
          <t>arrufatinas 5,74 ha</t>
        </is>
      </c>
      <c r="E220" s="48" t="inlineStr">
        <is>
          <t>Clementinas</t>
        </is>
      </c>
      <c r="F220" s="48" t="inlineStr">
        <is>
          <t>Arrufatinas</t>
        </is>
      </c>
      <c r="G220" s="48" t="inlineStr">
        <is>
          <t>Producción</t>
        </is>
      </c>
      <c r="H220" s="50" t="n">
        <v>5.74</v>
      </c>
      <c r="I220" s="50" t="n">
        <v>5.74</v>
      </c>
      <c r="J220" s="48" t="n"/>
      <c r="K220" s="49" t="inlineStr">
        <is>
          <t>6- Inversión</t>
        </is>
      </c>
      <c r="L220" s="49" t="n"/>
      <c r="M220" s="49" t="inlineStr">
        <is>
          <t>plantas faltantes patron carrizo</t>
        </is>
      </c>
      <c r="N220" s="48" t="n"/>
      <c r="O220" s="48" t="inlineStr">
        <is>
          <t>plt</t>
        </is>
      </c>
      <c r="P220" s="51" t="n">
        <v>4000</v>
      </c>
      <c r="Q220" s="52" t="n">
        <v>800</v>
      </c>
      <c r="R220" s="51" t="n">
        <v>3200000</v>
      </c>
      <c r="S220" s="53" t="n">
        <v>0.0193573364305072</v>
      </c>
      <c r="T220" s="51" t="n">
        <v>17.4216027874565</v>
      </c>
      <c r="U220" s="51" t="n">
        <v>0</v>
      </c>
      <c r="V220" s="51" t="n">
        <v>0</v>
      </c>
      <c r="W220" s="51" t="n">
        <v>1777.77777777778</v>
      </c>
      <c r="X220" s="51" t="n">
        <v>0</v>
      </c>
      <c r="Y220" s="51" t="n">
        <v>0</v>
      </c>
      <c r="Z220" s="51" t="n">
        <v>0</v>
      </c>
      <c r="AA220" s="51" t="n">
        <v>0</v>
      </c>
      <c r="AB220" s="51" t="n">
        <v>0</v>
      </c>
      <c r="AC220" s="51" t="n">
        <v>1777.77777777778</v>
      </c>
      <c r="AD220" s="51" t="n">
        <v>0</v>
      </c>
      <c r="AE220" s="51" t="n">
        <v>0</v>
      </c>
      <c r="AF220" s="51" t="n">
        <v>0</v>
      </c>
    </row>
    <row r="221" ht="15" customHeight="1" s="176">
      <c r="A221" s="48" t="inlineStr">
        <is>
          <t>P-0218</t>
        </is>
      </c>
      <c r="B221" s="48" t="inlineStr">
        <is>
          <t>2026/27</t>
        </is>
      </c>
      <c r="C221" s="48" t="inlineStr">
        <is>
          <t>El Molle</t>
        </is>
      </c>
      <c r="D221" s="49" t="inlineStr">
        <is>
          <t>orogrande 8,11 ha</t>
        </is>
      </c>
      <c r="E221" s="48" t="inlineStr">
        <is>
          <t>Clementinas</t>
        </is>
      </c>
      <c r="F221" s="48" t="inlineStr">
        <is>
          <t>Orogrande</t>
        </is>
      </c>
      <c r="G221" s="48" t="inlineStr">
        <is>
          <t>Producción</t>
        </is>
      </c>
      <c r="H221" s="50" t="n">
        <v>8.109999999999999</v>
      </c>
      <c r="I221" s="50" t="n">
        <v>8.109999999999999</v>
      </c>
      <c r="J221" s="48" t="n"/>
      <c r="K221" s="49" t="inlineStr">
        <is>
          <t>6- Inversión</t>
        </is>
      </c>
      <c r="L221" s="49" t="n"/>
      <c r="M221" s="49" t="n"/>
      <c r="N221" s="48" t="n"/>
      <c r="O221" s="48" t="n"/>
      <c r="P221" s="51" t="n">
        <v>0</v>
      </c>
      <c r="Q221" s="52" t="n"/>
      <c r="R221" s="51" t="n">
        <v>0</v>
      </c>
      <c r="S221" s="53" t="n">
        <v>0</v>
      </c>
      <c r="T221" s="51" t="n">
        <v>0</v>
      </c>
      <c r="U221" s="51" t="n">
        <v>0</v>
      </c>
      <c r="V221" s="51" t="n">
        <v>0</v>
      </c>
      <c r="W221" s="51" t="n">
        <v>0</v>
      </c>
      <c r="X221" s="51" t="n">
        <v>0</v>
      </c>
      <c r="Y221" s="51" t="n">
        <v>0</v>
      </c>
      <c r="Z221" s="51" t="n">
        <v>0</v>
      </c>
      <c r="AA221" s="51" t="n">
        <v>0</v>
      </c>
      <c r="AB221" s="51" t="n">
        <v>0</v>
      </c>
      <c r="AC221" s="51" t="n">
        <v>0</v>
      </c>
      <c r="AD221" s="51" t="n">
        <v>0</v>
      </c>
      <c r="AE221" s="51" t="n">
        <v>0</v>
      </c>
      <c r="AF221" s="51" t="n">
        <v>0</v>
      </c>
    </row>
    <row r="222" ht="15" customHeight="1" s="176">
      <c r="A222" s="48" t="inlineStr">
        <is>
          <t>P-0219</t>
        </is>
      </c>
      <c r="B222" s="48" t="inlineStr">
        <is>
          <t>2026/27</t>
        </is>
      </c>
      <c r="C222" s="48" t="inlineStr">
        <is>
          <t>El Molle</t>
        </is>
      </c>
      <c r="D222" s="49" t="inlineStr">
        <is>
          <t>Wonderful 5,25 ha</t>
        </is>
      </c>
      <c r="E222" s="48" t="inlineStr">
        <is>
          <t>Granados</t>
        </is>
      </c>
      <c r="F222" s="48" t="inlineStr">
        <is>
          <t>Wonderfull</t>
        </is>
      </c>
      <c r="G222" s="48" t="inlineStr">
        <is>
          <t>Producción</t>
        </is>
      </c>
      <c r="H222" s="50" t="n">
        <v>5.24</v>
      </c>
      <c r="I222" s="50" t="n">
        <v>5.24</v>
      </c>
      <c r="J222" s="48" t="n"/>
      <c r="K222" s="49" t="inlineStr">
        <is>
          <t>6- Inversión</t>
        </is>
      </c>
      <c r="L222" s="49" t="n"/>
      <c r="M222" s="49" t="n"/>
      <c r="N222" s="48" t="n"/>
      <c r="O222" s="48" t="n"/>
      <c r="P222" s="51" t="n">
        <v>0</v>
      </c>
      <c r="Q222" s="52" t="n"/>
      <c r="R222" s="51" t="n">
        <v>0</v>
      </c>
      <c r="S222" s="53" t="n">
        <v>0</v>
      </c>
      <c r="T222" s="51" t="n">
        <v>0</v>
      </c>
      <c r="U222" s="51" t="n">
        <v>0</v>
      </c>
      <c r="V222" s="51" t="n">
        <v>0</v>
      </c>
      <c r="W222" s="51" t="n">
        <v>0</v>
      </c>
      <c r="X222" s="51" t="n">
        <v>0</v>
      </c>
      <c r="Y222" s="51" t="n">
        <v>0</v>
      </c>
      <c r="Z222" s="51" t="n">
        <v>0</v>
      </c>
      <c r="AA222" s="51" t="n">
        <v>0</v>
      </c>
      <c r="AB222" s="51" t="n">
        <v>0</v>
      </c>
      <c r="AC222" s="51" t="n">
        <v>0</v>
      </c>
      <c r="AD222" s="51" t="n">
        <v>0</v>
      </c>
      <c r="AE222" s="51" t="n">
        <v>0</v>
      </c>
      <c r="AF222" s="51" t="n">
        <v>0</v>
      </c>
    </row>
    <row r="223" ht="15" customHeight="1" s="176">
      <c r="A223" s="42" t="inlineStr">
        <is>
          <t>P-0220</t>
        </is>
      </c>
      <c r="B223" s="42" t="inlineStr">
        <is>
          <t>2026/27</t>
        </is>
      </c>
      <c r="C223" s="42" t="inlineStr">
        <is>
          <t>El Molle</t>
        </is>
      </c>
      <c r="D223" s="43" t="inlineStr">
        <is>
          <t>orogrande 8,11 ha</t>
        </is>
      </c>
      <c r="E223" s="42" t="inlineStr">
        <is>
          <t>Clementinas</t>
        </is>
      </c>
      <c r="F223" s="42" t="inlineStr">
        <is>
          <t>Orogrande</t>
        </is>
      </c>
      <c r="G223" s="42" t="inlineStr">
        <is>
          <t>Producción</t>
        </is>
      </c>
      <c r="H223" s="44" t="n">
        <v>8.109999999999999</v>
      </c>
      <c r="I223" s="44" t="n">
        <v>8.109999999999999</v>
      </c>
      <c r="J223" s="42" t="inlineStr">
        <is>
          <t>Ingreso</t>
        </is>
      </c>
      <c r="K223" s="43" t="inlineStr">
        <is>
          <t>5- Ingresos</t>
        </is>
      </c>
      <c r="L223" s="43" t="inlineStr">
        <is>
          <t>Venta EXP</t>
        </is>
      </c>
      <c r="M223" s="43" t="n"/>
      <c r="N223" s="42" t="inlineStr">
        <is>
          <t>venta</t>
        </is>
      </c>
      <c r="O223" s="42" t="inlineStr">
        <is>
          <t>kg</t>
        </is>
      </c>
      <c r="P223" s="45" t="n">
        <v>-513</v>
      </c>
      <c r="Q223" s="46" t="n">
        <v>217145.25</v>
      </c>
      <c r="R223" s="45" t="n">
        <v>111395513.25</v>
      </c>
      <c r="S223" s="47" t="n">
        <v>-0.4845</v>
      </c>
      <c r="T223" s="45" t="n">
        <v>-436.05</v>
      </c>
      <c r="U223" s="45" t="n">
        <v>0</v>
      </c>
      <c r="V223" s="45" t="n">
        <v>123772.7925</v>
      </c>
      <c r="W223" s="45" t="n">
        <v>0</v>
      </c>
      <c r="X223" s="45" t="n">
        <v>0</v>
      </c>
      <c r="Y223" s="45" t="n">
        <v>0</v>
      </c>
      <c r="Z223" s="45" t="n">
        <v>0</v>
      </c>
      <c r="AA223" s="45" t="n">
        <v>0</v>
      </c>
      <c r="AB223" s="45" t="n">
        <v>0</v>
      </c>
      <c r="AC223" s="45" t="n">
        <v>0</v>
      </c>
      <c r="AD223" s="45" t="n">
        <v>0</v>
      </c>
      <c r="AE223" s="45" t="n">
        <v>0</v>
      </c>
      <c r="AF223" s="45" t="n">
        <v>0</v>
      </c>
    </row>
    <row r="224" ht="15" customHeight="1" s="176">
      <c r="A224" s="30" t="inlineStr">
        <is>
          <t>P-0221</t>
        </is>
      </c>
      <c r="B224" s="30" t="inlineStr">
        <is>
          <t>2026/27</t>
        </is>
      </c>
      <c r="C224" s="30" t="inlineStr">
        <is>
          <t>El Molle</t>
        </is>
      </c>
      <c r="D224" s="31" t="inlineStr">
        <is>
          <t>oronules 5,35 ha</t>
        </is>
      </c>
      <c r="E224" s="30" t="inlineStr">
        <is>
          <t>Clementinas</t>
        </is>
      </c>
      <c r="F224" s="30" t="inlineStr">
        <is>
          <t>Oronules</t>
        </is>
      </c>
      <c r="G224" s="30" t="inlineStr">
        <is>
          <t>Producción</t>
        </is>
      </c>
      <c r="H224" s="32" t="n">
        <v>5.35</v>
      </c>
      <c r="I224" s="32" t="n">
        <v>5.35</v>
      </c>
      <c r="J224" s="30" t="inlineStr">
        <is>
          <t>Costo</t>
        </is>
      </c>
      <c r="K224" s="31" t="inlineStr">
        <is>
          <t>1- M.O. directa</t>
        </is>
      </c>
      <c r="L224" s="31" t="inlineStr">
        <is>
          <t>1- Cosecha EXP</t>
        </is>
      </c>
      <c r="M224" s="31" t="inlineStr">
        <is>
          <t xml:space="preserve">450 kg/jh, 15 jh/cuadrilla </t>
        </is>
      </c>
      <c r="N224" s="30" t="inlineStr">
        <is>
          <t>trato</t>
        </is>
      </c>
      <c r="O224" s="30" t="inlineStr">
        <is>
          <t>kg</t>
        </is>
      </c>
      <c r="P224" s="33" t="n">
        <v>85</v>
      </c>
      <c r="Q224" s="34" t="n">
        <v>160500</v>
      </c>
      <c r="R224" s="33" t="n">
        <v>13642500</v>
      </c>
      <c r="S224" s="35" t="n">
        <v>0.0944444444444444</v>
      </c>
      <c r="T224" s="33" t="n">
        <v>85</v>
      </c>
      <c r="U224" s="33" t="n">
        <v>15158.3333333333</v>
      </c>
      <c r="V224" s="33" t="n">
        <v>0</v>
      </c>
      <c r="W224" s="33" t="n">
        <v>0</v>
      </c>
      <c r="X224" s="33" t="n">
        <v>0</v>
      </c>
      <c r="Y224" s="33" t="n">
        <v>0</v>
      </c>
      <c r="Z224" s="33" t="n">
        <v>0</v>
      </c>
      <c r="AA224" s="33" t="n">
        <v>0</v>
      </c>
      <c r="AB224" s="33" t="n">
        <v>0</v>
      </c>
      <c r="AC224" s="33" t="n">
        <v>0</v>
      </c>
      <c r="AD224" s="33" t="n">
        <v>0</v>
      </c>
      <c r="AE224" s="33" t="n">
        <v>0</v>
      </c>
      <c r="AF224" s="33" t="n">
        <v>0</v>
      </c>
    </row>
    <row r="225" ht="15" customHeight="1" s="176">
      <c r="A225" s="36" t="inlineStr">
        <is>
          <t>P-0222</t>
        </is>
      </c>
      <c r="B225" s="36" t="inlineStr">
        <is>
          <t>2026/27</t>
        </is>
      </c>
      <c r="C225" s="36" t="inlineStr">
        <is>
          <t>El Molle</t>
        </is>
      </c>
      <c r="D225" s="37" t="inlineStr">
        <is>
          <t>Wonderful 5,25 ha</t>
        </is>
      </c>
      <c r="E225" s="36" t="inlineStr">
        <is>
          <t>Granados</t>
        </is>
      </c>
      <c r="F225" s="36" t="inlineStr">
        <is>
          <t>Wonderfull</t>
        </is>
      </c>
      <c r="G225" s="36" t="inlineStr">
        <is>
          <t>Producción</t>
        </is>
      </c>
      <c r="H225" s="38" t="n">
        <v>5.24</v>
      </c>
      <c r="I225" s="38" t="n">
        <v>5.24</v>
      </c>
      <c r="J225" s="36" t="inlineStr">
        <is>
          <t>Costo</t>
        </is>
      </c>
      <c r="K225" s="37" t="inlineStr">
        <is>
          <t>1- M.O. directa</t>
        </is>
      </c>
      <c r="L225" s="37" t="inlineStr">
        <is>
          <t>1- Cosecha EXP</t>
        </is>
      </c>
      <c r="M225" s="37" t="n"/>
      <c r="N225" s="36" t="inlineStr">
        <is>
          <t>día</t>
        </is>
      </c>
      <c r="O225" s="36" t="inlineStr">
        <is>
          <t>kg</t>
        </is>
      </c>
      <c r="P225" s="39" t="n">
        <v>150</v>
      </c>
      <c r="Q225" s="40" t="n">
        <v>115280</v>
      </c>
      <c r="R225" s="39" t="n">
        <v>17292000</v>
      </c>
      <c r="S225" s="41" t="n">
        <v>0.166666666666667</v>
      </c>
      <c r="T225" s="39" t="n">
        <v>150</v>
      </c>
      <c r="U225" s="39" t="n">
        <v>0</v>
      </c>
      <c r="V225" s="39" t="n">
        <v>0</v>
      </c>
      <c r="W225" s="39" t="n">
        <v>0</v>
      </c>
      <c r="X225" s="39" t="n">
        <v>0</v>
      </c>
      <c r="Y225" s="39" t="n">
        <v>0</v>
      </c>
      <c r="Z225" s="39" t="n">
        <v>0</v>
      </c>
      <c r="AA225" s="39" t="n">
        <v>0</v>
      </c>
      <c r="AB225" s="39" t="n">
        <v>0</v>
      </c>
      <c r="AC225" s="39" t="n">
        <v>0</v>
      </c>
      <c r="AD225" s="39" t="n">
        <v>0</v>
      </c>
      <c r="AE225" s="39" t="n">
        <v>0</v>
      </c>
      <c r="AF225" s="39" t="n">
        <v>19213.3333333333</v>
      </c>
    </row>
    <row r="226" ht="15" customHeight="1" s="176">
      <c r="A226" s="30" t="inlineStr">
        <is>
          <t>P-0223</t>
        </is>
      </c>
      <c r="B226" s="30" t="inlineStr">
        <is>
          <t>2026/27</t>
        </is>
      </c>
      <c r="C226" s="30" t="inlineStr">
        <is>
          <t>El Molle</t>
        </is>
      </c>
      <c r="D226" s="31" t="inlineStr">
        <is>
          <t>arrufatinas 5,74 ha</t>
        </is>
      </c>
      <c r="E226" s="30" t="inlineStr">
        <is>
          <t>Clementinas</t>
        </is>
      </c>
      <c r="F226" s="30" t="inlineStr">
        <is>
          <t>Arrufatinas</t>
        </is>
      </c>
      <c r="G226" s="30" t="inlineStr">
        <is>
          <t>Producción</t>
        </is>
      </c>
      <c r="H226" s="32" t="n">
        <v>5.74</v>
      </c>
      <c r="I226" s="32" t="n">
        <v>5.74</v>
      </c>
      <c r="J226" s="30" t="inlineStr">
        <is>
          <t>Costo</t>
        </is>
      </c>
      <c r="K226" s="31" t="inlineStr">
        <is>
          <t>2- M.O. indirecta</t>
        </is>
      </c>
      <c r="L226" s="31" t="inlineStr">
        <is>
          <t>3,1-  ENCARGADO DE RIEGO</t>
        </is>
      </c>
      <c r="M226" s="31" t="inlineStr">
        <is>
          <t>Operacion predio</t>
        </is>
      </c>
      <c r="N226" s="30" t="inlineStr">
        <is>
          <t>día</t>
        </is>
      </c>
      <c r="O226" s="30" t="inlineStr">
        <is>
          <t>ha</t>
        </is>
      </c>
      <c r="P226" s="33" t="n">
        <v>51427.25</v>
      </c>
      <c r="Q226" s="34" t="n">
        <v>5.74</v>
      </c>
      <c r="R226" s="33" t="n">
        <v>2950743.38034</v>
      </c>
      <c r="S226" s="35" t="n">
        <v>0.0178495413541667</v>
      </c>
      <c r="T226" s="33" t="n">
        <v>16.06458721875</v>
      </c>
      <c r="U226" s="33" t="n">
        <v>273.216979661111</v>
      </c>
      <c r="V226" s="33" t="n">
        <v>273.216979661111</v>
      </c>
      <c r="W226" s="33" t="n">
        <v>273.216979661111</v>
      </c>
      <c r="X226" s="33" t="n">
        <v>273.216979661111</v>
      </c>
      <c r="Y226" s="33" t="n">
        <v>273.216979661111</v>
      </c>
      <c r="Z226" s="33" t="n">
        <v>273.216979661111</v>
      </c>
      <c r="AA226" s="33" t="n">
        <v>273.216979661111</v>
      </c>
      <c r="AB226" s="33" t="n">
        <v>273.216979661111</v>
      </c>
      <c r="AC226" s="33" t="n">
        <v>273.216979661111</v>
      </c>
      <c r="AD226" s="33" t="n">
        <v>273.216979661111</v>
      </c>
      <c r="AE226" s="33" t="n">
        <v>273.216979661111</v>
      </c>
      <c r="AF226" s="33" t="n">
        <v>273.216979661111</v>
      </c>
    </row>
    <row r="227" ht="15" customHeight="1" s="176">
      <c r="A227" s="36" t="inlineStr">
        <is>
          <t>P-0224</t>
        </is>
      </c>
      <c r="B227" s="36" t="inlineStr">
        <is>
          <t>2026/27</t>
        </is>
      </c>
      <c r="C227" s="36" t="inlineStr">
        <is>
          <t>El Molle</t>
        </is>
      </c>
      <c r="D227" s="37" t="inlineStr">
        <is>
          <t>oronules 5,35 ha</t>
        </is>
      </c>
      <c r="E227" s="36" t="inlineStr">
        <is>
          <t>Clementinas</t>
        </is>
      </c>
      <c r="F227" s="36" t="inlineStr">
        <is>
          <t>Oronules</t>
        </is>
      </c>
      <c r="G227" s="36" t="inlineStr">
        <is>
          <t>Producción</t>
        </is>
      </c>
      <c r="H227" s="38" t="n">
        <v>5.35</v>
      </c>
      <c r="I227" s="38" t="n">
        <v>5.35</v>
      </c>
      <c r="J227" s="36" t="inlineStr">
        <is>
          <t>Costo</t>
        </is>
      </c>
      <c r="K227" s="37" t="inlineStr">
        <is>
          <t>2- M.O. indirecta</t>
        </is>
      </c>
      <c r="L227" s="37" t="inlineStr">
        <is>
          <t>3,1-  ENCARGADO DE RIEGO</t>
        </is>
      </c>
      <c r="M227" s="37" t="inlineStr">
        <is>
          <t>Operacion predio</t>
        </is>
      </c>
      <c r="N227" s="36" t="inlineStr">
        <is>
          <t>día</t>
        </is>
      </c>
      <c r="O227" s="36" t="inlineStr">
        <is>
          <t>ha</t>
        </is>
      </c>
      <c r="P227" s="39" t="n">
        <v>51427.25</v>
      </c>
      <c r="Q227" s="40" t="n">
        <v>5.35</v>
      </c>
      <c r="R227" s="39" t="n">
        <v>2750257.33185</v>
      </c>
      <c r="S227" s="41" t="n">
        <v>0.0190395107777778</v>
      </c>
      <c r="T227" s="39" t="n">
        <v>17.1355597</v>
      </c>
      <c r="U227" s="39" t="n">
        <v>254.653456652778</v>
      </c>
      <c r="V227" s="39" t="n">
        <v>254.653456652778</v>
      </c>
      <c r="W227" s="39" t="n">
        <v>254.653456652778</v>
      </c>
      <c r="X227" s="39" t="n">
        <v>254.653456652778</v>
      </c>
      <c r="Y227" s="39" t="n">
        <v>254.653456652778</v>
      </c>
      <c r="Z227" s="39" t="n">
        <v>254.653456652778</v>
      </c>
      <c r="AA227" s="39" t="n">
        <v>254.653456652778</v>
      </c>
      <c r="AB227" s="39" t="n">
        <v>254.653456652778</v>
      </c>
      <c r="AC227" s="39" t="n">
        <v>254.653456652778</v>
      </c>
      <c r="AD227" s="39" t="n">
        <v>254.653456652778</v>
      </c>
      <c r="AE227" s="39" t="n">
        <v>254.653456652778</v>
      </c>
      <c r="AF227" s="39" t="n">
        <v>254.653456652778</v>
      </c>
    </row>
    <row r="228" ht="15" customHeight="1" s="176">
      <c r="A228" s="30" t="inlineStr">
        <is>
          <t>P-0225</t>
        </is>
      </c>
      <c r="B228" s="30" t="inlineStr">
        <is>
          <t>2026/27</t>
        </is>
      </c>
      <c r="C228" s="30" t="inlineStr">
        <is>
          <t>El Molle</t>
        </is>
      </c>
      <c r="D228" s="31" t="inlineStr">
        <is>
          <t>orogrande 8,11 ha</t>
        </is>
      </c>
      <c r="E228" s="30" t="inlineStr">
        <is>
          <t>Clementinas</t>
        </is>
      </c>
      <c r="F228" s="30" t="inlineStr">
        <is>
          <t>Orogrande</t>
        </is>
      </c>
      <c r="G228" s="30" t="inlineStr">
        <is>
          <t>Producción</t>
        </is>
      </c>
      <c r="H228" s="32" t="n">
        <v>8.109999999999999</v>
      </c>
      <c r="I228" s="32" t="n">
        <v>8.109999999999999</v>
      </c>
      <c r="J228" s="30" t="inlineStr">
        <is>
          <t>Costo</t>
        </is>
      </c>
      <c r="K228" s="31" t="inlineStr">
        <is>
          <t>2- M.O. indirecta</t>
        </is>
      </c>
      <c r="L228" s="31" t="inlineStr">
        <is>
          <t>3,1-  ENCARGADO DE RIEGO</t>
        </is>
      </c>
      <c r="M228" s="31" t="inlineStr">
        <is>
          <t>Operacion predio</t>
        </is>
      </c>
      <c r="N228" s="30" t="inlineStr">
        <is>
          <t>día</t>
        </is>
      </c>
      <c r="O228" s="30" t="inlineStr">
        <is>
          <t>ha</t>
        </is>
      </c>
      <c r="P228" s="33" t="n">
        <v>51427.25</v>
      </c>
      <c r="Q228" s="34" t="n">
        <v>8.109999999999999</v>
      </c>
      <c r="R228" s="33" t="n">
        <v>4169081.67501</v>
      </c>
      <c r="S228" s="35" t="n">
        <v>0.0163195806666667</v>
      </c>
      <c r="T228" s="33" t="n">
        <v>14.6876226</v>
      </c>
      <c r="U228" s="33" t="n">
        <v>386.026081019445</v>
      </c>
      <c r="V228" s="33" t="n">
        <v>386.026081019445</v>
      </c>
      <c r="W228" s="33" t="n">
        <v>386.026081019445</v>
      </c>
      <c r="X228" s="33" t="n">
        <v>386.026081019445</v>
      </c>
      <c r="Y228" s="33" t="n">
        <v>386.026081019445</v>
      </c>
      <c r="Z228" s="33" t="n">
        <v>386.026081019445</v>
      </c>
      <c r="AA228" s="33" t="n">
        <v>386.026081019445</v>
      </c>
      <c r="AB228" s="33" t="n">
        <v>386.026081019445</v>
      </c>
      <c r="AC228" s="33" t="n">
        <v>386.026081019445</v>
      </c>
      <c r="AD228" s="33" t="n">
        <v>386.026081019445</v>
      </c>
      <c r="AE228" s="33" t="n">
        <v>386.026081019445</v>
      </c>
      <c r="AF228" s="33" t="n">
        <v>386.026081019445</v>
      </c>
    </row>
    <row r="229" ht="15" customHeight="1" s="176">
      <c r="A229" s="36" t="inlineStr">
        <is>
          <t>P-0226</t>
        </is>
      </c>
      <c r="B229" s="36" t="inlineStr">
        <is>
          <t>2026/27</t>
        </is>
      </c>
      <c r="C229" s="36" t="inlineStr">
        <is>
          <t>El Molle</t>
        </is>
      </c>
      <c r="D229" s="37" t="inlineStr">
        <is>
          <t>Wonderful 5,25 ha</t>
        </is>
      </c>
      <c r="E229" s="36" t="inlineStr">
        <is>
          <t>Granados</t>
        </is>
      </c>
      <c r="F229" s="36" t="inlineStr">
        <is>
          <t>Wonderfull</t>
        </is>
      </c>
      <c r="G229" s="36" t="inlineStr">
        <is>
          <t>Producción</t>
        </is>
      </c>
      <c r="H229" s="38" t="n">
        <v>5.24</v>
      </c>
      <c r="I229" s="38" t="n">
        <v>5.24</v>
      </c>
      <c r="J229" s="36" t="inlineStr">
        <is>
          <t>Costo</t>
        </is>
      </c>
      <c r="K229" s="37" t="inlineStr">
        <is>
          <t>2- M.O. indirecta</t>
        </is>
      </c>
      <c r="L229" s="37" t="inlineStr">
        <is>
          <t>3,1-  ENCARGADO DE RIEGO</t>
        </is>
      </c>
      <c r="M229" s="37" t="inlineStr">
        <is>
          <t>Operacion predio</t>
        </is>
      </c>
      <c r="N229" s="36" t="inlineStr">
        <is>
          <t>día</t>
        </is>
      </c>
      <c r="O229" s="36" t="inlineStr">
        <is>
          <t>ha</t>
        </is>
      </c>
      <c r="P229" s="39" t="n">
        <v>51427.25</v>
      </c>
      <c r="Q229" s="40" t="n">
        <v>5.24</v>
      </c>
      <c r="R229" s="39" t="n">
        <v>2693709.98484</v>
      </c>
      <c r="S229" s="41" t="n">
        <v>0.0259629692424243</v>
      </c>
      <c r="T229" s="39" t="n">
        <v>23.3666723181818</v>
      </c>
      <c r="U229" s="39" t="n">
        <v>249.417591188889</v>
      </c>
      <c r="V229" s="39" t="n">
        <v>249.417591188889</v>
      </c>
      <c r="W229" s="39" t="n">
        <v>249.417591188889</v>
      </c>
      <c r="X229" s="39" t="n">
        <v>249.417591188889</v>
      </c>
      <c r="Y229" s="39" t="n">
        <v>249.417591188889</v>
      </c>
      <c r="Z229" s="39" t="n">
        <v>249.417591188889</v>
      </c>
      <c r="AA229" s="39" t="n">
        <v>249.417591188889</v>
      </c>
      <c r="AB229" s="39" t="n">
        <v>249.417591188889</v>
      </c>
      <c r="AC229" s="39" t="n">
        <v>249.417591188889</v>
      </c>
      <c r="AD229" s="39" t="n">
        <v>249.417591188889</v>
      </c>
      <c r="AE229" s="39" t="n">
        <v>249.417591188889</v>
      </c>
      <c r="AF229" s="39" t="n">
        <v>249.417591188889</v>
      </c>
    </row>
    <row r="230" ht="15" customHeight="1" s="176">
      <c r="A230" s="30" t="inlineStr">
        <is>
          <t>P-0227</t>
        </is>
      </c>
      <c r="B230" s="30" t="inlineStr">
        <is>
          <t>2026/27</t>
        </is>
      </c>
      <c r="C230" s="30" t="inlineStr">
        <is>
          <t>El Molle</t>
        </is>
      </c>
      <c r="D230" s="31" t="inlineStr">
        <is>
          <t>arrufatinas 5,74 ha</t>
        </is>
      </c>
      <c r="E230" s="30" t="inlineStr">
        <is>
          <t>Clementinas</t>
        </is>
      </c>
      <c r="F230" s="30" t="inlineStr">
        <is>
          <t>Arrufatinas</t>
        </is>
      </c>
      <c r="G230" s="30" t="inlineStr">
        <is>
          <t>Producción</t>
        </is>
      </c>
      <c r="H230" s="32" t="n">
        <v>5.74</v>
      </c>
      <c r="I230" s="32" t="n">
        <v>5.74</v>
      </c>
      <c r="J230" s="30" t="inlineStr">
        <is>
          <t>Costo</t>
        </is>
      </c>
      <c r="K230" s="31" t="inlineStr">
        <is>
          <t>3- Gasto general</t>
        </is>
      </c>
      <c r="L230" s="31" t="inlineStr">
        <is>
          <t>1- GASTOS DEL PERSONAL</t>
        </is>
      </c>
      <c r="M230" s="31" t="inlineStr">
        <is>
          <t xml:space="preserve">movilizacion </t>
        </is>
      </c>
      <c r="N230" s="30" t="n"/>
      <c r="O230" s="30" t="inlineStr">
        <is>
          <t>ha</t>
        </is>
      </c>
      <c r="P230" s="33" t="n">
        <v>77800</v>
      </c>
      <c r="Q230" s="34" t="n">
        <v>5.74</v>
      </c>
      <c r="R230" s="33" t="n">
        <v>4463933.712</v>
      </c>
      <c r="S230" s="35" t="n">
        <v>0.0270030833333333</v>
      </c>
      <c r="T230" s="33" t="n">
        <v>24.302775</v>
      </c>
      <c r="U230" s="33" t="n">
        <v>413.327195555556</v>
      </c>
      <c r="V230" s="33" t="n">
        <v>413.327195555556</v>
      </c>
      <c r="W230" s="33" t="n">
        <v>413.327195555556</v>
      </c>
      <c r="X230" s="33" t="n">
        <v>413.327195555556</v>
      </c>
      <c r="Y230" s="33" t="n">
        <v>413.327195555556</v>
      </c>
      <c r="Z230" s="33" t="n">
        <v>413.327195555556</v>
      </c>
      <c r="AA230" s="33" t="n">
        <v>413.327195555556</v>
      </c>
      <c r="AB230" s="33" t="n">
        <v>413.327195555556</v>
      </c>
      <c r="AC230" s="33" t="n">
        <v>413.327195555556</v>
      </c>
      <c r="AD230" s="33" t="n">
        <v>413.327195555556</v>
      </c>
      <c r="AE230" s="33" t="n">
        <v>413.327195555556</v>
      </c>
      <c r="AF230" s="33" t="n">
        <v>413.327195555556</v>
      </c>
    </row>
    <row r="231" ht="15" customHeight="1" s="176">
      <c r="A231" s="36" t="inlineStr">
        <is>
          <t>P-0228</t>
        </is>
      </c>
      <c r="B231" s="36" t="inlineStr">
        <is>
          <t>2026/27</t>
        </is>
      </c>
      <c r="C231" s="36" t="inlineStr">
        <is>
          <t>El Molle</t>
        </is>
      </c>
      <c r="D231" s="37" t="inlineStr">
        <is>
          <t>orogrande 8,11 ha</t>
        </is>
      </c>
      <c r="E231" s="36" t="inlineStr">
        <is>
          <t>Clementinas</t>
        </is>
      </c>
      <c r="F231" s="36" t="inlineStr">
        <is>
          <t>Orogrande</t>
        </is>
      </c>
      <c r="G231" s="36" t="inlineStr">
        <is>
          <t>Producción</t>
        </is>
      </c>
      <c r="H231" s="38" t="n">
        <v>8.109999999999999</v>
      </c>
      <c r="I231" s="38" t="n">
        <v>8.109999999999999</v>
      </c>
      <c r="J231" s="36" t="inlineStr">
        <is>
          <t>Costo</t>
        </is>
      </c>
      <c r="K231" s="37" t="inlineStr">
        <is>
          <t>3- Gasto general</t>
        </is>
      </c>
      <c r="L231" s="37" t="inlineStr">
        <is>
          <t>1- GASTOS DEL PERSONAL</t>
        </is>
      </c>
      <c r="M231" s="37" t="inlineStr">
        <is>
          <t xml:space="preserve">movilizacion </t>
        </is>
      </c>
      <c r="N231" s="36" t="n"/>
      <c r="O231" s="36" t="inlineStr">
        <is>
          <t>ha</t>
        </is>
      </c>
      <c r="P231" s="39" t="n">
        <v>77800</v>
      </c>
      <c r="Q231" s="40" t="n">
        <v>8.109999999999999</v>
      </c>
      <c r="R231" s="39" t="n">
        <v>6307056.168</v>
      </c>
      <c r="S231" s="41" t="n">
        <v>0.0246885333333333</v>
      </c>
      <c r="T231" s="39" t="n">
        <v>0.0246885333333333</v>
      </c>
      <c r="U231" s="39" t="n">
        <v>583.986682222222</v>
      </c>
      <c r="V231" s="39" t="n">
        <v>583.986682222222</v>
      </c>
      <c r="W231" s="39" t="n">
        <v>583.986682222222</v>
      </c>
      <c r="X231" s="39" t="n">
        <v>583.986682222222</v>
      </c>
      <c r="Y231" s="39" t="n">
        <v>583.986682222222</v>
      </c>
      <c r="Z231" s="39" t="n">
        <v>583.986682222222</v>
      </c>
      <c r="AA231" s="39" t="n">
        <v>583.986682222222</v>
      </c>
      <c r="AB231" s="39" t="n">
        <v>583.986682222222</v>
      </c>
      <c r="AC231" s="39" t="n">
        <v>583.986682222222</v>
      </c>
      <c r="AD231" s="39" t="n">
        <v>583.986682222222</v>
      </c>
      <c r="AE231" s="39" t="n">
        <v>583.986682222222</v>
      </c>
      <c r="AF231" s="39" t="n">
        <v>583.986682222222</v>
      </c>
    </row>
    <row r="232" ht="15" customHeight="1" s="176">
      <c r="A232" s="30" t="inlineStr">
        <is>
          <t>P-0229</t>
        </is>
      </c>
      <c r="B232" s="30" t="inlineStr">
        <is>
          <t>2026/27</t>
        </is>
      </c>
      <c r="C232" s="30" t="inlineStr">
        <is>
          <t>El Molle</t>
        </is>
      </c>
      <c r="D232" s="31" t="inlineStr">
        <is>
          <t>oronules 5,35 ha</t>
        </is>
      </c>
      <c r="E232" s="30" t="inlineStr">
        <is>
          <t>Clementinas</t>
        </is>
      </c>
      <c r="F232" s="30" t="inlineStr">
        <is>
          <t>Oronules</t>
        </is>
      </c>
      <c r="G232" s="30" t="inlineStr">
        <is>
          <t>Producción</t>
        </is>
      </c>
      <c r="H232" s="32" t="n">
        <v>5.35</v>
      </c>
      <c r="I232" s="32" t="n">
        <v>5.35</v>
      </c>
      <c r="J232" s="30" t="inlineStr">
        <is>
          <t>Costo</t>
        </is>
      </c>
      <c r="K232" s="31" t="inlineStr">
        <is>
          <t>3- Gasto general</t>
        </is>
      </c>
      <c r="L232" s="31" t="inlineStr">
        <is>
          <t>1- GASTOS DEL PERSONAL</t>
        </is>
      </c>
      <c r="M232" s="31" t="inlineStr">
        <is>
          <t xml:space="preserve">movilizacion </t>
        </is>
      </c>
      <c r="N232" s="30" t="n"/>
      <c r="O232" s="30" t="inlineStr">
        <is>
          <t>ha</t>
        </is>
      </c>
      <c r="P232" s="33" t="n">
        <v>77800</v>
      </c>
      <c r="Q232" s="34" t="n">
        <v>5.35</v>
      </c>
      <c r="R232" s="33" t="n">
        <v>4160635.08</v>
      </c>
      <c r="S232" s="35" t="n">
        <v>0.0288032888888889</v>
      </c>
      <c r="T232" s="33" t="n">
        <v>0.0288032888888889</v>
      </c>
      <c r="U232" s="33" t="n">
        <v>385.243988888889</v>
      </c>
      <c r="V232" s="33" t="n">
        <v>385.243988888889</v>
      </c>
      <c r="W232" s="33" t="n">
        <v>385.243988888889</v>
      </c>
      <c r="X232" s="33" t="n">
        <v>385.243988888889</v>
      </c>
      <c r="Y232" s="33" t="n">
        <v>385.243988888889</v>
      </c>
      <c r="Z232" s="33" t="n">
        <v>385.243988888889</v>
      </c>
      <c r="AA232" s="33" t="n">
        <v>385.243988888889</v>
      </c>
      <c r="AB232" s="33" t="n">
        <v>385.243988888889</v>
      </c>
      <c r="AC232" s="33" t="n">
        <v>385.243988888889</v>
      </c>
      <c r="AD232" s="33" t="n">
        <v>385.243988888889</v>
      </c>
      <c r="AE232" s="33" t="n">
        <v>385.243988888889</v>
      </c>
      <c r="AF232" s="33" t="n">
        <v>385.243988888889</v>
      </c>
    </row>
    <row r="233" ht="15" customHeight="1" s="176">
      <c r="A233" s="36" t="inlineStr">
        <is>
          <t>P-0230</t>
        </is>
      </c>
      <c r="B233" s="36" t="inlineStr">
        <is>
          <t>2026/27</t>
        </is>
      </c>
      <c r="C233" s="36" t="inlineStr">
        <is>
          <t>El Molle</t>
        </is>
      </c>
      <c r="D233" s="37" t="inlineStr">
        <is>
          <t>Wonderful 5,25 ha</t>
        </is>
      </c>
      <c r="E233" s="36" t="inlineStr">
        <is>
          <t>Granados</t>
        </is>
      </c>
      <c r="F233" s="36" t="inlineStr">
        <is>
          <t>Wonderfull</t>
        </is>
      </c>
      <c r="G233" s="36" t="inlineStr">
        <is>
          <t>Producción</t>
        </is>
      </c>
      <c r="H233" s="38" t="n">
        <v>5.24</v>
      </c>
      <c r="I233" s="38" t="n">
        <v>5.24</v>
      </c>
      <c r="J233" s="36" t="inlineStr">
        <is>
          <t>Costo</t>
        </is>
      </c>
      <c r="K233" s="37" t="inlineStr">
        <is>
          <t>3- Gasto general</t>
        </is>
      </c>
      <c r="L233" s="37" t="inlineStr">
        <is>
          <t>1- GASTOS DEL PERSONAL</t>
        </is>
      </c>
      <c r="M233" s="37" t="inlineStr">
        <is>
          <t xml:space="preserve">movilizacion </t>
        </is>
      </c>
      <c r="N233" s="36" t="n"/>
      <c r="O233" s="36" t="inlineStr">
        <is>
          <t>ha</t>
        </is>
      </c>
      <c r="P233" s="39" t="n">
        <v>77800</v>
      </c>
      <c r="Q233" s="40" t="n">
        <v>5.24</v>
      </c>
      <c r="R233" s="39" t="n">
        <v>4075089.312</v>
      </c>
      <c r="S233" s="41" t="n">
        <v>0.0392772121212121</v>
      </c>
      <c r="T233" s="39" t="n">
        <v>35.3494909090909</v>
      </c>
      <c r="U233" s="39" t="n">
        <v>377.323084444445</v>
      </c>
      <c r="V233" s="39" t="n">
        <v>377.323084444445</v>
      </c>
      <c r="W233" s="39" t="n">
        <v>377.323084444445</v>
      </c>
      <c r="X233" s="39" t="n">
        <v>377.323084444445</v>
      </c>
      <c r="Y233" s="39" t="n">
        <v>377.323084444445</v>
      </c>
      <c r="Z233" s="39" t="n">
        <v>377.323084444445</v>
      </c>
      <c r="AA233" s="39" t="n">
        <v>377.323084444445</v>
      </c>
      <c r="AB233" s="39" t="n">
        <v>377.323084444445</v>
      </c>
      <c r="AC233" s="39" t="n">
        <v>377.323084444445</v>
      </c>
      <c r="AD233" s="39" t="n">
        <v>377.323084444445</v>
      </c>
      <c r="AE233" s="39" t="n">
        <v>377.323084444445</v>
      </c>
      <c r="AF233" s="39" t="n">
        <v>377.323084444445</v>
      </c>
    </row>
    <row r="234" ht="15" customHeight="1" s="176">
      <c r="A234" s="30" t="inlineStr">
        <is>
          <t>P-0231</t>
        </is>
      </c>
      <c r="B234" s="30" t="inlineStr">
        <is>
          <t>2026/27</t>
        </is>
      </c>
      <c r="C234" s="30" t="inlineStr">
        <is>
          <t>El Molle</t>
        </is>
      </c>
      <c r="D234" s="31" t="inlineStr">
        <is>
          <t>oronules 5,35 ha</t>
        </is>
      </c>
      <c r="E234" s="30" t="inlineStr">
        <is>
          <t>Clementinas</t>
        </is>
      </c>
      <c r="F234" s="30" t="inlineStr">
        <is>
          <t>Oronules</t>
        </is>
      </c>
      <c r="G234" s="30" t="inlineStr">
        <is>
          <t>Producción</t>
        </is>
      </c>
      <c r="H234" s="32" t="n">
        <v>5.35</v>
      </c>
      <c r="I234" s="32" t="n">
        <v>5.35</v>
      </c>
      <c r="J234" s="30" t="inlineStr">
        <is>
          <t>Costo</t>
        </is>
      </c>
      <c r="K234" s="31" t="inlineStr">
        <is>
          <t>3- Gasto general</t>
        </is>
      </c>
      <c r="L234" s="31" t="inlineStr">
        <is>
          <t>4- MANTENCION MAQUINARIA Y EQUIPOS</t>
        </is>
      </c>
      <c r="M234" s="31" t="n"/>
      <c r="N234" s="30" t="n"/>
      <c r="O234" s="30" t="inlineStr">
        <is>
          <t>ha</t>
        </is>
      </c>
      <c r="P234" s="33" t="n">
        <v>25000</v>
      </c>
      <c r="Q234" s="34" t="n">
        <v>5.35</v>
      </c>
      <c r="R234" s="33" t="n">
        <v>1332150</v>
      </c>
      <c r="S234" s="35" t="n">
        <v>0.00922222222222222</v>
      </c>
      <c r="T234" s="33" t="n">
        <v>8.300000000000001</v>
      </c>
      <c r="U234" s="33" t="n">
        <v>123.347222222222</v>
      </c>
      <c r="V234" s="33" t="n">
        <v>123.347222222222</v>
      </c>
      <c r="W234" s="33" t="n">
        <v>123.347222222222</v>
      </c>
      <c r="X234" s="33" t="n">
        <v>123.347222222222</v>
      </c>
      <c r="Y234" s="33" t="n">
        <v>123.347222222222</v>
      </c>
      <c r="Z234" s="33" t="n">
        <v>123.347222222222</v>
      </c>
      <c r="AA234" s="33" t="n">
        <v>123.347222222222</v>
      </c>
      <c r="AB234" s="33" t="n">
        <v>123.347222222222</v>
      </c>
      <c r="AC234" s="33" t="n">
        <v>123.347222222222</v>
      </c>
      <c r="AD234" s="33" t="n">
        <v>123.347222222222</v>
      </c>
      <c r="AE234" s="33" t="n">
        <v>123.347222222222</v>
      </c>
      <c r="AF234" s="33" t="n">
        <v>123.347222222222</v>
      </c>
    </row>
    <row r="235" ht="15" customHeight="1" s="176">
      <c r="A235" s="36" t="inlineStr">
        <is>
          <t>P-0232</t>
        </is>
      </c>
      <c r="B235" s="36" t="inlineStr">
        <is>
          <t>2026/27</t>
        </is>
      </c>
      <c r="C235" s="36" t="inlineStr">
        <is>
          <t>El Molle</t>
        </is>
      </c>
      <c r="D235" s="37" t="inlineStr">
        <is>
          <t>orogrande 8,11 ha</t>
        </is>
      </c>
      <c r="E235" s="36" t="inlineStr">
        <is>
          <t>Clementinas</t>
        </is>
      </c>
      <c r="F235" s="36" t="inlineStr">
        <is>
          <t>Orogrande</t>
        </is>
      </c>
      <c r="G235" s="36" t="inlineStr">
        <is>
          <t>Producción</t>
        </is>
      </c>
      <c r="H235" s="38" t="n">
        <v>8.109999999999999</v>
      </c>
      <c r="I235" s="38" t="n">
        <v>8.109999999999999</v>
      </c>
      <c r="J235" s="36" t="inlineStr">
        <is>
          <t>Costo</t>
        </is>
      </c>
      <c r="K235" s="37" t="inlineStr">
        <is>
          <t>3- Gasto general</t>
        </is>
      </c>
      <c r="L235" s="37" t="inlineStr">
        <is>
          <t>4- MANTENCION MAQUINARIA Y EQUIPOS</t>
        </is>
      </c>
      <c r="M235" s="37" t="n"/>
      <c r="N235" s="36" t="n"/>
      <c r="O235" s="36" t="inlineStr">
        <is>
          <t>ha</t>
        </is>
      </c>
      <c r="P235" s="39" t="n">
        <v>25000</v>
      </c>
      <c r="Q235" s="40" t="n">
        <v>8.109999999999999</v>
      </c>
      <c r="R235" s="39" t="n">
        <v>2019390</v>
      </c>
      <c r="S235" s="41" t="n">
        <v>0.007904761904761909</v>
      </c>
      <c r="T235" s="39" t="n">
        <v>7.11428571428572</v>
      </c>
      <c r="U235" s="39" t="n">
        <v>186.980555555556</v>
      </c>
      <c r="V235" s="39" t="n">
        <v>186.980555555556</v>
      </c>
      <c r="W235" s="39" t="n">
        <v>186.980555555556</v>
      </c>
      <c r="X235" s="39" t="n">
        <v>186.980555555556</v>
      </c>
      <c r="Y235" s="39" t="n">
        <v>186.980555555556</v>
      </c>
      <c r="Z235" s="39" t="n">
        <v>186.980555555556</v>
      </c>
      <c r="AA235" s="39" t="n">
        <v>186.980555555556</v>
      </c>
      <c r="AB235" s="39" t="n">
        <v>186.980555555556</v>
      </c>
      <c r="AC235" s="39" t="n">
        <v>186.980555555556</v>
      </c>
      <c r="AD235" s="39" t="n">
        <v>186.980555555556</v>
      </c>
      <c r="AE235" s="39" t="n">
        <v>186.980555555556</v>
      </c>
      <c r="AF235" s="39" t="n">
        <v>186.980555555556</v>
      </c>
    </row>
    <row r="236" ht="15" customHeight="1" s="176">
      <c r="A236" s="30" t="inlineStr">
        <is>
          <t>P-0233</t>
        </is>
      </c>
      <c r="B236" s="30" t="inlineStr">
        <is>
          <t>2026/27</t>
        </is>
      </c>
      <c r="C236" s="30" t="inlineStr">
        <is>
          <t>El Molle</t>
        </is>
      </c>
      <c r="D236" s="31" t="inlineStr">
        <is>
          <t>arrufatinas 5,74 ha</t>
        </is>
      </c>
      <c r="E236" s="30" t="inlineStr">
        <is>
          <t>Clementinas</t>
        </is>
      </c>
      <c r="F236" s="30" t="inlineStr">
        <is>
          <t>Arrufatinas</t>
        </is>
      </c>
      <c r="G236" s="30" t="inlineStr">
        <is>
          <t>Producción</t>
        </is>
      </c>
      <c r="H236" s="32" t="n">
        <v>5.74</v>
      </c>
      <c r="I236" s="32" t="n">
        <v>5.74</v>
      </c>
      <c r="J236" s="30" t="inlineStr">
        <is>
          <t>Costo</t>
        </is>
      </c>
      <c r="K236" s="31" t="inlineStr">
        <is>
          <t>3- Gasto general</t>
        </is>
      </c>
      <c r="L236" s="31" t="inlineStr">
        <is>
          <t>4- MANTENCION MAQUINARIA Y EQUIPOS</t>
        </is>
      </c>
      <c r="M236" s="31" t="n"/>
      <c r="N236" s="30" t="n"/>
      <c r="O236" s="30" t="inlineStr">
        <is>
          <t>ha</t>
        </is>
      </c>
      <c r="P236" s="33" t="n">
        <v>25000</v>
      </c>
      <c r="Q236" s="34" t="n">
        <v>5.74</v>
      </c>
      <c r="R236" s="33" t="n">
        <v>1429260</v>
      </c>
      <c r="S236" s="35" t="n">
        <v>0.00864583333333334</v>
      </c>
      <c r="T236" s="33" t="n">
        <v>7.78125</v>
      </c>
      <c r="U236" s="33" t="n">
        <v>132.338888888889</v>
      </c>
      <c r="V236" s="33" t="n">
        <v>132.338888888889</v>
      </c>
      <c r="W236" s="33" t="n">
        <v>132.338888888889</v>
      </c>
      <c r="X236" s="33" t="n">
        <v>132.338888888889</v>
      </c>
      <c r="Y236" s="33" t="n">
        <v>132.338888888889</v>
      </c>
      <c r="Z236" s="33" t="n">
        <v>132.338888888889</v>
      </c>
      <c r="AA236" s="33" t="n">
        <v>132.338888888889</v>
      </c>
      <c r="AB236" s="33" t="n">
        <v>132.338888888889</v>
      </c>
      <c r="AC236" s="33" t="n">
        <v>132.338888888889</v>
      </c>
      <c r="AD236" s="33" t="n">
        <v>132.338888888889</v>
      </c>
      <c r="AE236" s="33" t="n">
        <v>132.338888888889</v>
      </c>
      <c r="AF236" s="33" t="n">
        <v>132.338888888889</v>
      </c>
    </row>
    <row r="237" ht="15" customHeight="1" s="176">
      <c r="A237" s="36" t="inlineStr">
        <is>
          <t>P-0234</t>
        </is>
      </c>
      <c r="B237" s="36" t="inlineStr">
        <is>
          <t>2026/27</t>
        </is>
      </c>
      <c r="C237" s="36" t="inlineStr">
        <is>
          <t>El Molle</t>
        </is>
      </c>
      <c r="D237" s="37" t="inlineStr">
        <is>
          <t>Wonderful 5,25 ha</t>
        </is>
      </c>
      <c r="E237" s="36" t="inlineStr">
        <is>
          <t>Granados</t>
        </is>
      </c>
      <c r="F237" s="36" t="inlineStr">
        <is>
          <t>Wonderfull</t>
        </is>
      </c>
      <c r="G237" s="36" t="inlineStr">
        <is>
          <t>Producción</t>
        </is>
      </c>
      <c r="H237" s="38" t="n">
        <v>5.24</v>
      </c>
      <c r="I237" s="38" t="n">
        <v>5.24</v>
      </c>
      <c r="J237" s="36" t="inlineStr">
        <is>
          <t>Costo</t>
        </is>
      </c>
      <c r="K237" s="37" t="inlineStr">
        <is>
          <t>3- Gasto general</t>
        </is>
      </c>
      <c r="L237" s="37" t="inlineStr">
        <is>
          <t>4- MANTENCION MAQUINARIA Y EQUIPOS</t>
        </is>
      </c>
      <c r="M237" s="37" t="n"/>
      <c r="N237" s="36" t="n"/>
      <c r="O237" s="36" t="inlineStr">
        <is>
          <t>ha</t>
        </is>
      </c>
      <c r="P237" s="39" t="n">
        <v>25000</v>
      </c>
      <c r="Q237" s="40" t="n">
        <v>5.24</v>
      </c>
      <c r="R237" s="39" t="n">
        <v>1304760</v>
      </c>
      <c r="S237" s="41" t="n">
        <v>0.0125757575757576</v>
      </c>
      <c r="T237" s="39" t="n">
        <v>11.3181818181818</v>
      </c>
      <c r="U237" s="39" t="n">
        <v>120.811111111111</v>
      </c>
      <c r="V237" s="39" t="n">
        <v>120.811111111111</v>
      </c>
      <c r="W237" s="39" t="n">
        <v>120.811111111111</v>
      </c>
      <c r="X237" s="39" t="n">
        <v>120.811111111111</v>
      </c>
      <c r="Y237" s="39" t="n">
        <v>120.811111111111</v>
      </c>
      <c r="Z237" s="39" t="n">
        <v>120.811111111111</v>
      </c>
      <c r="AA237" s="39" t="n">
        <v>120.811111111111</v>
      </c>
      <c r="AB237" s="39" t="n">
        <v>120.811111111111</v>
      </c>
      <c r="AC237" s="39" t="n">
        <v>120.811111111111</v>
      </c>
      <c r="AD237" s="39" t="n">
        <v>120.811111111111</v>
      </c>
      <c r="AE237" s="39" t="n">
        <v>120.811111111111</v>
      </c>
      <c r="AF237" s="39" t="n">
        <v>120.811111111111</v>
      </c>
    </row>
    <row r="238" ht="15" customHeight="1" s="176">
      <c r="A238" s="30" t="inlineStr">
        <is>
          <t>P-0235</t>
        </is>
      </c>
      <c r="B238" s="30" t="inlineStr">
        <is>
          <t>2026/27</t>
        </is>
      </c>
      <c r="C238" s="30" t="inlineStr">
        <is>
          <t>El Molle</t>
        </is>
      </c>
      <c r="D238" s="31" t="inlineStr">
        <is>
          <t>oronules 5,35 ha</t>
        </is>
      </c>
      <c r="E238" s="30" t="inlineStr">
        <is>
          <t>Clementinas</t>
        </is>
      </c>
      <c r="F238" s="30" t="inlineStr">
        <is>
          <t>Oronules</t>
        </is>
      </c>
      <c r="G238" s="30" t="inlineStr">
        <is>
          <t>Producción</t>
        </is>
      </c>
      <c r="H238" s="32" t="n">
        <v>5.35</v>
      </c>
      <c r="I238" s="32" t="n">
        <v>5.35</v>
      </c>
      <c r="J238" s="30" t="inlineStr">
        <is>
          <t>Costo</t>
        </is>
      </c>
      <c r="K238" s="31" t="inlineStr">
        <is>
          <t>2- M.O. indirecta</t>
        </is>
      </c>
      <c r="L238" s="31" t="inlineStr">
        <is>
          <t>5,1- SUPERVISOR</t>
        </is>
      </c>
      <c r="M238" s="31" t="inlineStr">
        <is>
          <t>Operacion predio</t>
        </is>
      </c>
      <c r="N238" s="30" t="inlineStr">
        <is>
          <t>día</t>
        </is>
      </c>
      <c r="O238" s="30" t="inlineStr">
        <is>
          <t>ha</t>
        </is>
      </c>
      <c r="P238" s="33" t="n">
        <v>39525</v>
      </c>
      <c r="Q238" s="34" t="n">
        <v>5.35</v>
      </c>
      <c r="R238" s="33" t="n">
        <v>2113741.665</v>
      </c>
      <c r="S238" s="35" t="n">
        <v>0.0146330333333333</v>
      </c>
      <c r="T238" s="33" t="n">
        <v>13.16973</v>
      </c>
      <c r="U238" s="33" t="n">
        <v>195.716820833333</v>
      </c>
      <c r="V238" s="33" t="n">
        <v>195.716820833333</v>
      </c>
      <c r="W238" s="33" t="n">
        <v>195.716820833333</v>
      </c>
      <c r="X238" s="33" t="n">
        <v>195.716820833333</v>
      </c>
      <c r="Y238" s="33" t="n">
        <v>195.716820833333</v>
      </c>
      <c r="Z238" s="33" t="n">
        <v>195.716820833333</v>
      </c>
      <c r="AA238" s="33" t="n">
        <v>195.716820833333</v>
      </c>
      <c r="AB238" s="33" t="n">
        <v>195.716820833333</v>
      </c>
      <c r="AC238" s="33" t="n">
        <v>195.716820833333</v>
      </c>
      <c r="AD238" s="33" t="n">
        <v>195.716820833333</v>
      </c>
      <c r="AE238" s="33" t="n">
        <v>195.716820833333</v>
      </c>
      <c r="AF238" s="33" t="n">
        <v>195.716820833333</v>
      </c>
    </row>
    <row r="239" ht="15" customHeight="1" s="176">
      <c r="A239" s="36" t="inlineStr">
        <is>
          <t>P-0236</t>
        </is>
      </c>
      <c r="B239" s="36" t="inlineStr">
        <is>
          <t>2026/27</t>
        </is>
      </c>
      <c r="C239" s="36" t="inlineStr">
        <is>
          <t>El Molle</t>
        </is>
      </c>
      <c r="D239" s="37" t="inlineStr">
        <is>
          <t>arrufatinas 5,74 ha</t>
        </is>
      </c>
      <c r="E239" s="36" t="inlineStr">
        <is>
          <t>Clementinas</t>
        </is>
      </c>
      <c r="F239" s="36" t="inlineStr">
        <is>
          <t>Arrufatinas</t>
        </is>
      </c>
      <c r="G239" s="36" t="inlineStr">
        <is>
          <t>Producción</t>
        </is>
      </c>
      <c r="H239" s="38" t="n">
        <v>5.74</v>
      </c>
      <c r="I239" s="38" t="n">
        <v>5.74</v>
      </c>
      <c r="J239" s="36" t="inlineStr">
        <is>
          <t>Costo</t>
        </is>
      </c>
      <c r="K239" s="37" t="inlineStr">
        <is>
          <t>2- M.O. indirecta</t>
        </is>
      </c>
      <c r="L239" s="37" t="inlineStr">
        <is>
          <t>5,1- SUPERVISOR</t>
        </is>
      </c>
      <c r="M239" s="37" t="inlineStr">
        <is>
          <t>Operacion predio</t>
        </is>
      </c>
      <c r="N239" s="36" t="inlineStr">
        <is>
          <t>día</t>
        </is>
      </c>
      <c r="O239" s="36" t="inlineStr">
        <is>
          <t>ha</t>
        </is>
      </c>
      <c r="P239" s="39" t="n">
        <v>39525</v>
      </c>
      <c r="Q239" s="40" t="n">
        <v>5.74</v>
      </c>
      <c r="R239" s="39" t="n">
        <v>2267827.506</v>
      </c>
      <c r="S239" s="41" t="n">
        <v>0.01371846875</v>
      </c>
      <c r="T239" s="39" t="n">
        <v>12.346621875</v>
      </c>
      <c r="U239" s="39" t="n">
        <v>209.984028333333</v>
      </c>
      <c r="V239" s="39" t="n">
        <v>209.984028333333</v>
      </c>
      <c r="W239" s="39" t="n">
        <v>209.984028333333</v>
      </c>
      <c r="X239" s="39" t="n">
        <v>209.984028333333</v>
      </c>
      <c r="Y239" s="39" t="n">
        <v>209.984028333333</v>
      </c>
      <c r="Z239" s="39" t="n">
        <v>209.984028333333</v>
      </c>
      <c r="AA239" s="39" t="n">
        <v>209.984028333333</v>
      </c>
      <c r="AB239" s="39" t="n">
        <v>209.984028333333</v>
      </c>
      <c r="AC239" s="39" t="n">
        <v>209.984028333333</v>
      </c>
      <c r="AD239" s="39" t="n">
        <v>209.984028333333</v>
      </c>
      <c r="AE239" s="39" t="n">
        <v>209.984028333333</v>
      </c>
      <c r="AF239" s="39" t="n">
        <v>209.984028333333</v>
      </c>
    </row>
    <row r="240" ht="15" customHeight="1" s="176">
      <c r="A240" s="30" t="inlineStr">
        <is>
          <t>P-0237</t>
        </is>
      </c>
      <c r="B240" s="30" t="inlineStr">
        <is>
          <t>2026/27</t>
        </is>
      </c>
      <c r="C240" s="30" t="inlineStr">
        <is>
          <t>El Molle</t>
        </is>
      </c>
      <c r="D240" s="31" t="inlineStr">
        <is>
          <t>orogrande 8,11 ha</t>
        </is>
      </c>
      <c r="E240" s="30" t="inlineStr">
        <is>
          <t>Clementinas</t>
        </is>
      </c>
      <c r="F240" s="30" t="inlineStr">
        <is>
          <t>Orogrande</t>
        </is>
      </c>
      <c r="G240" s="30" t="inlineStr">
        <is>
          <t>Producción</t>
        </is>
      </c>
      <c r="H240" s="32" t="n">
        <v>8.109999999999999</v>
      </c>
      <c r="I240" s="32" t="n">
        <v>8.109999999999999</v>
      </c>
      <c r="J240" s="30" t="inlineStr">
        <is>
          <t>Costo</t>
        </is>
      </c>
      <c r="K240" s="31" t="inlineStr">
        <is>
          <t>2- M.O. indirecta</t>
        </is>
      </c>
      <c r="L240" s="31" t="inlineStr">
        <is>
          <t>5,1- SUPERVISOR</t>
        </is>
      </c>
      <c r="M240" s="31" t="inlineStr">
        <is>
          <t>Operacion predio</t>
        </is>
      </c>
      <c r="N240" s="30" t="inlineStr">
        <is>
          <t>día</t>
        </is>
      </c>
      <c r="O240" s="30" t="inlineStr">
        <is>
          <t>ha</t>
        </is>
      </c>
      <c r="P240" s="33" t="n">
        <v>39525</v>
      </c>
      <c r="Q240" s="34" t="n">
        <v>8.109999999999999</v>
      </c>
      <c r="R240" s="33" t="n">
        <v>3204195.309</v>
      </c>
      <c r="S240" s="35" t="n">
        <v>0.0125426</v>
      </c>
      <c r="T240" s="33" t="n">
        <v>11.28834</v>
      </c>
      <c r="U240" s="33" t="n">
        <v>296.684750833333</v>
      </c>
      <c r="V240" s="33" t="n">
        <v>296.684750833333</v>
      </c>
      <c r="W240" s="33" t="n">
        <v>296.684750833333</v>
      </c>
      <c r="X240" s="33" t="n">
        <v>296.684750833333</v>
      </c>
      <c r="Y240" s="33" t="n">
        <v>296.684750833333</v>
      </c>
      <c r="Z240" s="33" t="n">
        <v>296.684750833333</v>
      </c>
      <c r="AA240" s="33" t="n">
        <v>296.684750833333</v>
      </c>
      <c r="AB240" s="33" t="n">
        <v>296.684750833333</v>
      </c>
      <c r="AC240" s="33" t="n">
        <v>296.684750833333</v>
      </c>
      <c r="AD240" s="33" t="n">
        <v>296.684750833333</v>
      </c>
      <c r="AE240" s="33" t="n">
        <v>296.684750833333</v>
      </c>
      <c r="AF240" s="33" t="n">
        <v>296.684750833333</v>
      </c>
    </row>
    <row r="241" ht="15" customHeight="1" s="176">
      <c r="A241" s="36" t="inlineStr">
        <is>
          <t>P-0238</t>
        </is>
      </c>
      <c r="B241" s="36" t="inlineStr">
        <is>
          <t>2026/27</t>
        </is>
      </c>
      <c r="C241" s="36" t="inlineStr">
        <is>
          <t>El Molle</t>
        </is>
      </c>
      <c r="D241" s="37" t="inlineStr">
        <is>
          <t>Wonderful 5,25 ha</t>
        </is>
      </c>
      <c r="E241" s="36" t="inlineStr">
        <is>
          <t>Granados</t>
        </is>
      </c>
      <c r="F241" s="36" t="inlineStr">
        <is>
          <t>Wonderfull</t>
        </is>
      </c>
      <c r="G241" s="36" t="inlineStr">
        <is>
          <t>Producción</t>
        </is>
      </c>
      <c r="H241" s="38" t="n">
        <v>5.24</v>
      </c>
      <c r="I241" s="38" t="n">
        <v>5.24</v>
      </c>
      <c r="J241" s="36" t="inlineStr">
        <is>
          <t>Costo</t>
        </is>
      </c>
      <c r="K241" s="37" t="inlineStr">
        <is>
          <t>2- M.O. indirecta</t>
        </is>
      </c>
      <c r="L241" s="37" t="inlineStr">
        <is>
          <t>5,1- SUPERVISOR</t>
        </is>
      </c>
      <c r="M241" s="37" t="inlineStr">
        <is>
          <t>Operacion predio</t>
        </is>
      </c>
      <c r="N241" s="36" t="inlineStr">
        <is>
          <t>día</t>
        </is>
      </c>
      <c r="O241" s="36" t="inlineStr">
        <is>
          <t>ha</t>
        </is>
      </c>
      <c r="P241" s="39" t="n">
        <v>39525</v>
      </c>
      <c r="Q241" s="40" t="n">
        <v>5.24</v>
      </c>
      <c r="R241" s="39" t="n">
        <v>1242666</v>
      </c>
      <c r="S241" s="41" t="n">
        <v>0.0119772727272727</v>
      </c>
      <c r="T241" s="39" t="n">
        <v>10.7795454545455</v>
      </c>
      <c r="U241" s="39" t="n">
        <v>115.061666666667</v>
      </c>
      <c r="V241" s="39" t="n">
        <v>115.061666666667</v>
      </c>
      <c r="W241" s="39" t="n">
        <v>115.061666666667</v>
      </c>
      <c r="X241" s="39" t="n">
        <v>115.061666666667</v>
      </c>
      <c r="Y241" s="39" t="n">
        <v>115.061666666667</v>
      </c>
      <c r="Z241" s="39" t="n">
        <v>115.061666666667</v>
      </c>
      <c r="AA241" s="39" t="n">
        <v>115.061666666667</v>
      </c>
      <c r="AB241" s="39" t="n">
        <v>115.061666666667</v>
      </c>
      <c r="AC241" s="39" t="n">
        <v>115.061666666667</v>
      </c>
      <c r="AD241" s="39" t="n">
        <v>115.061666666667</v>
      </c>
      <c r="AE241" s="39" t="n">
        <v>115.061666666667</v>
      </c>
      <c r="AF241" s="39" t="n">
        <v>115.061666666667</v>
      </c>
    </row>
    <row r="242" ht="15" customHeight="1" s="176">
      <c r="A242" s="42" t="inlineStr">
        <is>
          <t>P-0239</t>
        </is>
      </c>
      <c r="B242" s="42" t="inlineStr">
        <is>
          <t>2026/27</t>
        </is>
      </c>
      <c r="C242" s="42" t="inlineStr">
        <is>
          <t>El Molle</t>
        </is>
      </c>
      <c r="D242" s="43" t="inlineStr">
        <is>
          <t>oronules 5,35 ha</t>
        </is>
      </c>
      <c r="E242" s="42" t="inlineStr">
        <is>
          <t>Clementinas</t>
        </is>
      </c>
      <c r="F242" s="42" t="inlineStr">
        <is>
          <t>Oronules</t>
        </is>
      </c>
      <c r="G242" s="42" t="inlineStr">
        <is>
          <t>Producción</t>
        </is>
      </c>
      <c r="H242" s="44" t="n">
        <v>5.35</v>
      </c>
      <c r="I242" s="44" t="n">
        <v>5.35</v>
      </c>
      <c r="J242" s="42" t="inlineStr">
        <is>
          <t>Ingreso</t>
        </is>
      </c>
      <c r="K242" s="43" t="inlineStr">
        <is>
          <t>5- Ingresos</t>
        </is>
      </c>
      <c r="L242" s="43" t="inlineStr">
        <is>
          <t>Venta M.I.</t>
        </is>
      </c>
      <c r="M242" s="43" t="n"/>
      <c r="N242" s="42" t="inlineStr">
        <is>
          <t>venta</t>
        </is>
      </c>
      <c r="O242" s="42" t="inlineStr">
        <is>
          <t>kg</t>
        </is>
      </c>
      <c r="P242" s="45" t="n">
        <v>-25</v>
      </c>
      <c r="Q242" s="46" t="n">
        <v>16050</v>
      </c>
      <c r="R242" s="45" t="n">
        <v>401250</v>
      </c>
      <c r="S242" s="47" t="n">
        <v>-0.0277777777777778</v>
      </c>
      <c r="T242" s="45" t="n">
        <v>-25</v>
      </c>
      <c r="U242" s="45" t="n">
        <v>445.833333333333</v>
      </c>
      <c r="V242" s="45" t="n">
        <v>0</v>
      </c>
      <c r="W242" s="45" t="n">
        <v>0</v>
      </c>
      <c r="X242" s="45" t="n">
        <v>0</v>
      </c>
      <c r="Y242" s="45" t="n">
        <v>0</v>
      </c>
      <c r="Z242" s="45" t="n">
        <v>0</v>
      </c>
      <c r="AA242" s="45" t="n">
        <v>0</v>
      </c>
      <c r="AB242" s="45" t="n">
        <v>0</v>
      </c>
      <c r="AC242" s="45" t="n">
        <v>0</v>
      </c>
      <c r="AD242" s="45" t="n">
        <v>0</v>
      </c>
      <c r="AE242" s="45" t="n">
        <v>0</v>
      </c>
      <c r="AF242" s="45" t="n">
        <v>0</v>
      </c>
    </row>
    <row r="243" ht="15" customHeight="1" s="176">
      <c r="A243" s="42" t="inlineStr">
        <is>
          <t>P-0240</t>
        </is>
      </c>
      <c r="B243" s="42" t="inlineStr">
        <is>
          <t>2026/27</t>
        </is>
      </c>
      <c r="C243" s="42" t="inlineStr">
        <is>
          <t>El Molle</t>
        </is>
      </c>
      <c r="D243" s="43" t="inlineStr">
        <is>
          <t>oronules 5,35 ha</t>
        </is>
      </c>
      <c r="E243" s="42" t="inlineStr">
        <is>
          <t>Clementinas</t>
        </is>
      </c>
      <c r="F243" s="42" t="inlineStr">
        <is>
          <t>Oronules</t>
        </is>
      </c>
      <c r="G243" s="42" t="inlineStr">
        <is>
          <t>Producción</t>
        </is>
      </c>
      <c r="H243" s="44" t="n">
        <v>5.35</v>
      </c>
      <c r="I243" s="44" t="n">
        <v>5.35</v>
      </c>
      <c r="J243" s="42" t="inlineStr">
        <is>
          <t>Ingreso</t>
        </is>
      </c>
      <c r="K243" s="43" t="inlineStr">
        <is>
          <t>5- Ingresos</t>
        </is>
      </c>
      <c r="L243" s="43" t="inlineStr">
        <is>
          <t>Venta EXP</t>
        </is>
      </c>
      <c r="M243" s="43" t="n"/>
      <c r="N243" s="42" t="inlineStr">
        <is>
          <t>venta</t>
        </is>
      </c>
      <c r="O243" s="42" t="inlineStr">
        <is>
          <t>kg</t>
        </is>
      </c>
      <c r="P243" s="45" t="n">
        <v>-513</v>
      </c>
      <c r="Q243" s="46" t="n">
        <v>115560</v>
      </c>
      <c r="R243" s="45" t="n">
        <v>59282280</v>
      </c>
      <c r="S243" s="47" t="n">
        <v>-0.456</v>
      </c>
      <c r="T243" s="45" t="n">
        <v>-410.4</v>
      </c>
      <c r="U243" s="45" t="n">
        <v>65869.2</v>
      </c>
      <c r="V243" s="45" t="n">
        <v>0</v>
      </c>
      <c r="W243" s="45" t="n">
        <v>0</v>
      </c>
      <c r="X243" s="45" t="n">
        <v>0</v>
      </c>
      <c r="Y243" s="45" t="n">
        <v>0</v>
      </c>
      <c r="Z243" s="45" t="n">
        <v>0</v>
      </c>
      <c r="AA243" s="45" t="n">
        <v>0</v>
      </c>
      <c r="AB243" s="45" t="n">
        <v>0</v>
      </c>
      <c r="AC243" s="45" t="n">
        <v>0</v>
      </c>
      <c r="AD243" s="45" t="n">
        <v>0</v>
      </c>
      <c r="AE243" s="45" t="n">
        <v>0</v>
      </c>
      <c r="AF243" s="45" t="n">
        <v>0</v>
      </c>
    </row>
    <row r="244" ht="15" customHeight="1" s="176">
      <c r="A244" s="42" t="inlineStr">
        <is>
          <t>P-0241</t>
        </is>
      </c>
      <c r="B244" s="42" t="inlineStr">
        <is>
          <t>2026/27</t>
        </is>
      </c>
      <c r="C244" s="42" t="inlineStr">
        <is>
          <t>El Molle</t>
        </is>
      </c>
      <c r="D244" s="43" t="inlineStr">
        <is>
          <t>Wonderful 5,25 ha</t>
        </is>
      </c>
      <c r="E244" s="42" t="inlineStr">
        <is>
          <t>Granados</t>
        </is>
      </c>
      <c r="F244" s="42" t="inlineStr">
        <is>
          <t>Wonderfull</t>
        </is>
      </c>
      <c r="G244" s="42" t="inlineStr">
        <is>
          <t>Producción</t>
        </is>
      </c>
      <c r="H244" s="44" t="n">
        <v>5.24</v>
      </c>
      <c r="I244" s="44" t="n">
        <v>5.24</v>
      </c>
      <c r="J244" s="42" t="inlineStr">
        <is>
          <t>Ingreso</t>
        </is>
      </c>
      <c r="K244" s="43" t="inlineStr">
        <is>
          <t>5- Ingresos</t>
        </is>
      </c>
      <c r="L244" s="43" t="inlineStr">
        <is>
          <t>Venta M.I.</t>
        </is>
      </c>
      <c r="M244" s="43" t="n"/>
      <c r="N244" s="42" t="inlineStr">
        <is>
          <t>venta</t>
        </is>
      </c>
      <c r="O244" s="42" t="inlineStr">
        <is>
          <t>kg</t>
        </is>
      </c>
      <c r="P244" s="45" t="n">
        <v>-400</v>
      </c>
      <c r="Q244" s="46" t="n">
        <v>56487.2</v>
      </c>
      <c r="R244" s="45" t="n">
        <v>22594880</v>
      </c>
      <c r="S244" s="47" t="n">
        <v>-0.444444444444445</v>
      </c>
      <c r="T244" s="45" t="n">
        <v>-400</v>
      </c>
      <c r="U244" s="45" t="n">
        <v>12552.7111111111</v>
      </c>
      <c r="V244" s="45" t="n">
        <v>0</v>
      </c>
      <c r="W244" s="45" t="n">
        <v>0</v>
      </c>
      <c r="X244" s="45" t="n">
        <v>0</v>
      </c>
      <c r="Y244" s="45" t="n">
        <v>0</v>
      </c>
      <c r="Z244" s="45" t="n">
        <v>0</v>
      </c>
      <c r="AA244" s="45" t="n">
        <v>0</v>
      </c>
      <c r="AB244" s="45" t="n">
        <v>0</v>
      </c>
      <c r="AC244" s="45" t="n">
        <v>0</v>
      </c>
      <c r="AD244" s="45" t="n">
        <v>0</v>
      </c>
      <c r="AE244" s="45" t="n">
        <v>0</v>
      </c>
      <c r="AF244" s="45" t="n">
        <v>12552.7111111111</v>
      </c>
    </row>
    <row r="245" ht="15" customHeight="1" s="176">
      <c r="A245" s="42" t="inlineStr">
        <is>
          <t>P-0242</t>
        </is>
      </c>
      <c r="B245" s="42" t="inlineStr">
        <is>
          <t>2026/27</t>
        </is>
      </c>
      <c r="C245" s="42" t="inlineStr">
        <is>
          <t>El Molle</t>
        </is>
      </c>
      <c r="D245" s="43" t="inlineStr">
        <is>
          <t>Wonderful 5,25 ha</t>
        </is>
      </c>
      <c r="E245" s="42" t="inlineStr">
        <is>
          <t>Granados</t>
        </is>
      </c>
      <c r="F245" s="42" t="inlineStr">
        <is>
          <t>Wonderfull</t>
        </is>
      </c>
      <c r="G245" s="42" t="inlineStr">
        <is>
          <t>Producción</t>
        </is>
      </c>
      <c r="H245" s="44" t="n">
        <v>5.24</v>
      </c>
      <c r="I245" s="44" t="n">
        <v>5.24</v>
      </c>
      <c r="J245" s="42" t="inlineStr">
        <is>
          <t>Ingreso</t>
        </is>
      </c>
      <c r="K245" s="43" t="inlineStr">
        <is>
          <t>5- Ingresos</t>
        </is>
      </c>
      <c r="L245" s="43" t="inlineStr">
        <is>
          <t>Venta EXP</t>
        </is>
      </c>
      <c r="M245" s="43" t="n"/>
      <c r="N245" s="42" t="inlineStr">
        <is>
          <t>venta</t>
        </is>
      </c>
      <c r="O245" s="42" t="inlineStr">
        <is>
          <t>kg</t>
        </is>
      </c>
      <c r="P245" s="45" t="n">
        <v>-693</v>
      </c>
      <c r="Q245" s="46" t="n">
        <v>58792.8</v>
      </c>
      <c r="R245" s="45" t="n">
        <v>40743410.4</v>
      </c>
      <c r="S245" s="47" t="n">
        <v>-0.77</v>
      </c>
      <c r="T245" s="45" t="n">
        <v>-693</v>
      </c>
      <c r="U245" s="45" t="n">
        <v>22635.228</v>
      </c>
      <c r="V245" s="45" t="n">
        <v>0</v>
      </c>
      <c r="W245" s="45" t="n">
        <v>0</v>
      </c>
      <c r="X245" s="45" t="n">
        <v>0</v>
      </c>
      <c r="Y245" s="45" t="n">
        <v>0</v>
      </c>
      <c r="Z245" s="45" t="n">
        <v>0</v>
      </c>
      <c r="AA245" s="45" t="n">
        <v>0</v>
      </c>
      <c r="AB245" s="45" t="n">
        <v>0</v>
      </c>
      <c r="AC245" s="45" t="n">
        <v>0</v>
      </c>
      <c r="AD245" s="45" t="n">
        <v>0</v>
      </c>
      <c r="AE245" s="45" t="n">
        <v>0</v>
      </c>
      <c r="AF245" s="45" t="n">
        <v>22635.228</v>
      </c>
    </row>
    <row r="246" ht="15" customHeight="1" s="176">
      <c r="A246" s="42" t="inlineStr">
        <is>
          <t>P-0243</t>
        </is>
      </c>
      <c r="B246" s="42" t="inlineStr">
        <is>
          <t>2026/27</t>
        </is>
      </c>
      <c r="C246" s="42" t="inlineStr">
        <is>
          <t>Santa Catalina</t>
        </is>
      </c>
      <c r="D246" s="43" t="inlineStr">
        <is>
          <t>W. murcott 21 ha</t>
        </is>
      </c>
      <c r="E246" s="42" t="inlineStr">
        <is>
          <t>Mandarina</t>
        </is>
      </c>
      <c r="F246" s="42" t="inlineStr">
        <is>
          <t>W. murcott</t>
        </is>
      </c>
      <c r="G246" s="42" t="inlineStr">
        <is>
          <t>Producción</t>
        </is>
      </c>
      <c r="H246" s="44" t="n">
        <v>21</v>
      </c>
      <c r="I246" s="44" t="n">
        <v>21</v>
      </c>
      <c r="J246" s="42" t="inlineStr">
        <is>
          <t>Ingreso</t>
        </is>
      </c>
      <c r="K246" s="43" t="inlineStr">
        <is>
          <t>5- Ingresos</t>
        </is>
      </c>
      <c r="L246" s="43" t="inlineStr">
        <is>
          <t>Venta EXP</t>
        </is>
      </c>
      <c r="M246" s="43" t="n"/>
      <c r="N246" s="42" t="inlineStr">
        <is>
          <t>venta</t>
        </is>
      </c>
      <c r="O246" s="42" t="inlineStr">
        <is>
          <t>kg</t>
        </is>
      </c>
      <c r="P246" s="45" t="n">
        <v>-540</v>
      </c>
      <c r="Q246" s="46" t="n">
        <v>850500</v>
      </c>
      <c r="R246" s="45" t="n">
        <v>459270000</v>
      </c>
      <c r="S246" s="47" t="n">
        <v>-0.54</v>
      </c>
      <c r="T246" s="45" t="n">
        <v>-486</v>
      </c>
      <c r="U246" s="45" t="n">
        <v>0</v>
      </c>
      <c r="V246" s="45" t="n">
        <v>0</v>
      </c>
      <c r="W246" s="45" t="n">
        <v>204120</v>
      </c>
      <c r="X246" s="45" t="n">
        <v>204120</v>
      </c>
      <c r="Y246" s="45" t="n">
        <v>102060</v>
      </c>
      <c r="Z246" s="45" t="n">
        <v>0</v>
      </c>
      <c r="AA246" s="45" t="n">
        <v>0</v>
      </c>
      <c r="AB246" s="45" t="n">
        <v>0</v>
      </c>
      <c r="AC246" s="45" t="n">
        <v>0</v>
      </c>
      <c r="AD246" s="45" t="n">
        <v>0</v>
      </c>
      <c r="AE246" s="45" t="n">
        <v>0</v>
      </c>
      <c r="AF246" s="45" t="n">
        <v>0</v>
      </c>
    </row>
    <row r="247" ht="15" customHeight="1" s="176">
      <c r="A247" s="42" t="inlineStr">
        <is>
          <t>P-0244</t>
        </is>
      </c>
      <c r="B247" s="42" t="inlineStr">
        <is>
          <t>2026/27</t>
        </is>
      </c>
      <c r="C247" s="42" t="inlineStr">
        <is>
          <t>Santa Catalina</t>
        </is>
      </c>
      <c r="D247" s="43" t="inlineStr">
        <is>
          <t>W. murcott 21 ha</t>
        </is>
      </c>
      <c r="E247" s="42" t="inlineStr">
        <is>
          <t>Mandarina</t>
        </is>
      </c>
      <c r="F247" s="42" t="inlineStr">
        <is>
          <t>W. murcott</t>
        </is>
      </c>
      <c r="G247" s="42" t="inlineStr">
        <is>
          <t>Producción</t>
        </is>
      </c>
      <c r="H247" s="44" t="n">
        <v>21</v>
      </c>
      <c r="I247" s="44" t="n">
        <v>21</v>
      </c>
      <c r="J247" s="42" t="inlineStr">
        <is>
          <t>Ingreso</t>
        </is>
      </c>
      <c r="K247" s="43" t="inlineStr">
        <is>
          <t>5- Ingresos</t>
        </is>
      </c>
      <c r="L247" s="43" t="inlineStr">
        <is>
          <t>Venta M.I.</t>
        </is>
      </c>
      <c r="M247" s="43" t="n"/>
      <c r="N247" s="42" t="inlineStr">
        <is>
          <t>venta</t>
        </is>
      </c>
      <c r="O247" s="42" t="inlineStr">
        <is>
          <t>kg</t>
        </is>
      </c>
      <c r="P247" s="45" t="n">
        <v>-50</v>
      </c>
      <c r="Q247" s="46" t="n">
        <v>105000</v>
      </c>
      <c r="R247" s="45" t="n">
        <v>5250000</v>
      </c>
      <c r="S247" s="47" t="n">
        <v>-0.0555555555555556</v>
      </c>
      <c r="T247" s="45" t="n">
        <v>-50</v>
      </c>
      <c r="U247" s="45" t="n">
        <v>0</v>
      </c>
      <c r="V247" s="45" t="n">
        <v>0</v>
      </c>
      <c r="W247" s="45" t="n">
        <v>2333.33333333333</v>
      </c>
      <c r="X247" s="45" t="n">
        <v>2333.33333333333</v>
      </c>
      <c r="Y247" s="45" t="n">
        <v>1166.66666666667</v>
      </c>
      <c r="Z247" s="45" t="n">
        <v>0</v>
      </c>
      <c r="AA247" s="45" t="n">
        <v>0</v>
      </c>
      <c r="AB247" s="45" t="n">
        <v>0</v>
      </c>
      <c r="AC247" s="45" t="n">
        <v>0</v>
      </c>
      <c r="AD247" s="45" t="n">
        <v>0</v>
      </c>
      <c r="AE247" s="45" t="n">
        <v>0</v>
      </c>
      <c r="AF247" s="45" t="n">
        <v>0</v>
      </c>
    </row>
    <row r="248" ht="15" customHeight="1" s="176">
      <c r="A248" s="30" t="inlineStr">
        <is>
          <t>P-0245</t>
        </is>
      </c>
      <c r="B248" s="30" t="inlineStr">
        <is>
          <t>2026/27</t>
        </is>
      </c>
      <c r="C248" s="30" t="inlineStr">
        <is>
          <t>Santa Catalina</t>
        </is>
      </c>
      <c r="D248" s="31" t="inlineStr">
        <is>
          <t>W. murcott 21 ha</t>
        </is>
      </c>
      <c r="E248" s="30" t="inlineStr">
        <is>
          <t>Mandarina</t>
        </is>
      </c>
      <c r="F248" s="30" t="inlineStr">
        <is>
          <t>W. murcott</t>
        </is>
      </c>
      <c r="G248" s="30" t="inlineStr">
        <is>
          <t>Producción</t>
        </is>
      </c>
      <c r="H248" s="32" t="n">
        <v>21</v>
      </c>
      <c r="I248" s="32" t="n">
        <v>21</v>
      </c>
      <c r="J248" s="30" t="inlineStr">
        <is>
          <t>Costo</t>
        </is>
      </c>
      <c r="K248" s="31" t="inlineStr">
        <is>
          <t>1- M.O. directa</t>
        </is>
      </c>
      <c r="L248" s="31" t="inlineStr">
        <is>
          <t>1- Cosecha EXP</t>
        </is>
      </c>
      <c r="M248" s="31" t="inlineStr">
        <is>
          <t xml:space="preserve">450 kg/jh, 15 jh/cuadrilla </t>
        </is>
      </c>
      <c r="N248" s="30" t="inlineStr">
        <is>
          <t>trato</t>
        </is>
      </c>
      <c r="O248" s="30" t="inlineStr">
        <is>
          <t>kg</t>
        </is>
      </c>
      <c r="P248" s="33" t="n">
        <v>90</v>
      </c>
      <c r="Q248" s="34" t="n">
        <v>1050000</v>
      </c>
      <c r="R248" s="33" t="n">
        <v>94500000</v>
      </c>
      <c r="S248" s="35" t="n">
        <v>0.1</v>
      </c>
      <c r="T248" s="33" t="n">
        <v>90</v>
      </c>
      <c r="U248" s="33" t="n">
        <v>0</v>
      </c>
      <c r="V248" s="33" t="n">
        <v>0</v>
      </c>
      <c r="W248" s="33" t="n">
        <v>42000</v>
      </c>
      <c r="X248" s="33" t="n">
        <v>42000</v>
      </c>
      <c r="Y248" s="33" t="n">
        <v>21000</v>
      </c>
      <c r="Z248" s="33" t="n">
        <v>0</v>
      </c>
      <c r="AA248" s="33" t="n">
        <v>0</v>
      </c>
      <c r="AB248" s="33" t="n">
        <v>0</v>
      </c>
      <c r="AC248" s="33" t="n">
        <v>0</v>
      </c>
      <c r="AD248" s="33" t="n">
        <v>0</v>
      </c>
      <c r="AE248" s="33" t="n">
        <v>0</v>
      </c>
      <c r="AF248" s="33" t="n">
        <v>0</v>
      </c>
    </row>
    <row r="249" ht="15" customHeight="1" s="176">
      <c r="A249" s="36" t="inlineStr">
        <is>
          <t>P-0246</t>
        </is>
      </c>
      <c r="B249" s="36" t="inlineStr">
        <is>
          <t>2026/27</t>
        </is>
      </c>
      <c r="C249" s="36" t="inlineStr">
        <is>
          <t>Santa Catalina</t>
        </is>
      </c>
      <c r="D249" s="37" t="inlineStr">
        <is>
          <t>W. murcott 21 ha</t>
        </is>
      </c>
      <c r="E249" s="36" t="inlineStr">
        <is>
          <t>Mandarina</t>
        </is>
      </c>
      <c r="F249" s="36" t="inlineStr">
        <is>
          <t>W. murcott</t>
        </is>
      </c>
      <c r="G249" s="36" t="inlineStr">
        <is>
          <t>Producción</t>
        </is>
      </c>
      <c r="H249" s="38" t="n">
        <v>21</v>
      </c>
      <c r="I249" s="38" t="n">
        <v>21</v>
      </c>
      <c r="J249" s="36" t="inlineStr">
        <is>
          <t>Costo</t>
        </is>
      </c>
      <c r="K249" s="37" t="inlineStr">
        <is>
          <t>1- M.O. directa</t>
        </is>
      </c>
      <c r="L249" s="37" t="inlineStr">
        <is>
          <t>2- Supervisor cosecha</t>
        </is>
      </c>
      <c r="M249" s="37" t="inlineStr">
        <is>
          <t>15 jh/supervisor ($7/kg)</t>
        </is>
      </c>
      <c r="N249" s="36" t="inlineStr">
        <is>
          <t>día</t>
        </is>
      </c>
      <c r="O249" s="36" t="inlineStr">
        <is>
          <t>kg</t>
        </is>
      </c>
      <c r="P249" s="39" t="n">
        <v>7</v>
      </c>
      <c r="Q249" s="40" t="n">
        <v>1050000</v>
      </c>
      <c r="R249" s="39" t="n">
        <v>7350000</v>
      </c>
      <c r="S249" s="41" t="n">
        <v>0.00777777777777778</v>
      </c>
      <c r="T249" s="39" t="n">
        <v>7</v>
      </c>
      <c r="U249" s="39" t="n">
        <v>0</v>
      </c>
      <c r="V249" s="39" t="n">
        <v>0</v>
      </c>
      <c r="W249" s="39" t="n">
        <v>4083.33333333333</v>
      </c>
      <c r="X249" s="39" t="n">
        <v>4083.33333333333</v>
      </c>
      <c r="Y249" s="39" t="n">
        <v>0</v>
      </c>
      <c r="Z249" s="39" t="n">
        <v>0</v>
      </c>
      <c r="AA249" s="39" t="n">
        <v>0</v>
      </c>
      <c r="AB249" s="39" t="n">
        <v>0</v>
      </c>
      <c r="AC249" s="39" t="n">
        <v>0</v>
      </c>
      <c r="AD249" s="39" t="n">
        <v>0</v>
      </c>
      <c r="AE249" s="39" t="n">
        <v>0</v>
      </c>
      <c r="AF249" s="39" t="n">
        <v>0</v>
      </c>
    </row>
    <row r="250" ht="15" customHeight="1" s="176">
      <c r="A250" s="30" t="inlineStr">
        <is>
          <t>P-0247</t>
        </is>
      </c>
      <c r="B250" s="30" t="inlineStr">
        <is>
          <t>2026/27</t>
        </is>
      </c>
      <c r="C250" s="30" t="inlineStr">
        <is>
          <t>Santa Catalina</t>
        </is>
      </c>
      <c r="D250" s="31" t="inlineStr">
        <is>
          <t>W. murcott 21 ha</t>
        </is>
      </c>
      <c r="E250" s="30" t="inlineStr">
        <is>
          <t>Mandarina</t>
        </is>
      </c>
      <c r="F250" s="30" t="inlineStr">
        <is>
          <t>W. murcott</t>
        </is>
      </c>
      <c r="G250" s="30" t="inlineStr">
        <is>
          <t>Producción</t>
        </is>
      </c>
      <c r="H250" s="32" t="n">
        <v>21</v>
      </c>
      <c r="I250" s="32" t="n">
        <v>21</v>
      </c>
      <c r="J250" s="30" t="inlineStr">
        <is>
          <t>Costo</t>
        </is>
      </c>
      <c r="K250" s="31" t="inlineStr">
        <is>
          <t>1- M.O. directa</t>
        </is>
      </c>
      <c r="L250" s="31" t="inlineStr">
        <is>
          <t>3- Selección</t>
        </is>
      </c>
      <c r="M250" s="31" t="inlineStr">
        <is>
          <t>6 jh/seleccion</t>
        </is>
      </c>
      <c r="N250" s="30" t="inlineStr">
        <is>
          <t>trato</t>
        </is>
      </c>
      <c r="O250" s="30" t="inlineStr">
        <is>
          <t>kg</t>
        </is>
      </c>
      <c r="P250" s="33" t="n">
        <v>18</v>
      </c>
      <c r="Q250" s="34" t="n">
        <v>1050000</v>
      </c>
      <c r="R250" s="33" t="n">
        <v>18900000</v>
      </c>
      <c r="S250" s="35" t="n">
        <v>0.02</v>
      </c>
      <c r="T250" s="33" t="n">
        <v>18</v>
      </c>
      <c r="U250" s="33" t="n">
        <v>0</v>
      </c>
      <c r="V250" s="33" t="n">
        <v>0</v>
      </c>
      <c r="W250" s="33" t="n">
        <v>10500</v>
      </c>
      <c r="X250" s="33" t="n">
        <v>10500</v>
      </c>
      <c r="Y250" s="33" t="n">
        <v>0</v>
      </c>
      <c r="Z250" s="33" t="n">
        <v>0</v>
      </c>
      <c r="AA250" s="33" t="n">
        <v>0</v>
      </c>
      <c r="AB250" s="33" t="n">
        <v>0</v>
      </c>
      <c r="AC250" s="33" t="n">
        <v>0</v>
      </c>
      <c r="AD250" s="33" t="n">
        <v>0</v>
      </c>
      <c r="AE250" s="33" t="n">
        <v>0</v>
      </c>
      <c r="AF250" s="33" t="n">
        <v>0</v>
      </c>
    </row>
    <row r="251" ht="15" customHeight="1" s="176">
      <c r="A251" s="36" t="inlineStr">
        <is>
          <t>P-0248</t>
        </is>
      </c>
      <c r="B251" s="36" t="inlineStr">
        <is>
          <t>2026/27</t>
        </is>
      </c>
      <c r="C251" s="36" t="inlineStr">
        <is>
          <t>Santa Catalina</t>
        </is>
      </c>
      <c r="D251" s="37" t="inlineStr">
        <is>
          <t>form benjamin 1,93 ha</t>
        </is>
      </c>
      <c r="E251" s="36" t="inlineStr">
        <is>
          <t>Limon</t>
        </is>
      </c>
      <c r="F251" s="36" t="inlineStr">
        <is>
          <t>Benjamin andes</t>
        </is>
      </c>
      <c r="G251" s="36" t="inlineStr">
        <is>
          <t>Formación</t>
        </is>
      </c>
      <c r="H251" s="38" t="n">
        <v>1.93</v>
      </c>
      <c r="I251" s="38" t="n">
        <v>0</v>
      </c>
      <c r="J251" s="36" t="inlineStr">
        <is>
          <t>Costo</t>
        </is>
      </c>
      <c r="K251" s="37" t="inlineStr">
        <is>
          <t>2- M.O. indirecta</t>
        </is>
      </c>
      <c r="L251" s="37" t="inlineStr">
        <is>
          <t xml:space="preserve">1- ADM. GENERAL </t>
        </is>
      </c>
      <c r="M251" s="37" t="inlineStr">
        <is>
          <t>Administración general</t>
        </is>
      </c>
      <c r="N251" s="36" t="inlineStr">
        <is>
          <t>día</t>
        </is>
      </c>
      <c r="O251" s="36" t="inlineStr">
        <is>
          <t>ha</t>
        </is>
      </c>
      <c r="P251" s="39" t="n">
        <v>66600</v>
      </c>
      <c r="Q251" s="40" t="n">
        <v>1.93</v>
      </c>
      <c r="R251" s="39" t="n">
        <v>1284865.848</v>
      </c>
      <c r="S251" s="41" t="n">
        <v>0</v>
      </c>
      <c r="T251" s="39" t="n">
        <v>0</v>
      </c>
      <c r="U251" s="39" t="n">
        <v>118.96906</v>
      </c>
      <c r="V251" s="39" t="n">
        <v>118.96906</v>
      </c>
      <c r="W251" s="39" t="n">
        <v>118.96906</v>
      </c>
      <c r="X251" s="39" t="n">
        <v>118.96906</v>
      </c>
      <c r="Y251" s="39" t="n">
        <v>118.96906</v>
      </c>
      <c r="Z251" s="39" t="n">
        <v>118.96906</v>
      </c>
      <c r="AA251" s="39" t="n">
        <v>118.96906</v>
      </c>
      <c r="AB251" s="39" t="n">
        <v>118.96906</v>
      </c>
      <c r="AC251" s="39" t="n">
        <v>118.96906</v>
      </c>
      <c r="AD251" s="39" t="n">
        <v>118.96906</v>
      </c>
      <c r="AE251" s="39" t="n">
        <v>118.96906</v>
      </c>
      <c r="AF251" s="39" t="n">
        <v>118.96906</v>
      </c>
    </row>
    <row r="252" ht="15" customHeight="1" s="176">
      <c r="A252" s="30" t="inlineStr">
        <is>
          <t>P-0249</t>
        </is>
      </c>
      <c r="B252" s="30" t="inlineStr">
        <is>
          <t>2026/27</t>
        </is>
      </c>
      <c r="C252" s="30" t="inlineStr">
        <is>
          <t>Santa Catalina</t>
        </is>
      </c>
      <c r="D252" s="31" t="inlineStr">
        <is>
          <t>eureka 22,55</t>
        </is>
      </c>
      <c r="E252" s="30" t="inlineStr">
        <is>
          <t>Limon</t>
        </is>
      </c>
      <c r="F252" s="30" t="inlineStr">
        <is>
          <t>Eureka</t>
        </is>
      </c>
      <c r="G252" s="30" t="inlineStr">
        <is>
          <t>Producción</t>
        </is>
      </c>
      <c r="H252" s="32" t="n">
        <v>22.55</v>
      </c>
      <c r="I252" s="32" t="n">
        <v>22.55</v>
      </c>
      <c r="J252" s="30" t="inlineStr">
        <is>
          <t>Costo</t>
        </is>
      </c>
      <c r="K252" s="31" t="inlineStr">
        <is>
          <t>2- M.O. indirecta</t>
        </is>
      </c>
      <c r="L252" s="31" t="inlineStr">
        <is>
          <t xml:space="preserve">1- ADM. GENERAL </t>
        </is>
      </c>
      <c r="M252" s="31" t="inlineStr">
        <is>
          <t>Administración general</t>
        </is>
      </c>
      <c r="N252" s="30" t="inlineStr">
        <is>
          <t>día</t>
        </is>
      </c>
      <c r="O252" s="30" t="inlineStr">
        <is>
          <t>ha</t>
        </is>
      </c>
      <c r="P252" s="33" t="n">
        <v>66600</v>
      </c>
      <c r="Q252" s="34" t="n">
        <v>22.55</v>
      </c>
      <c r="R252" s="33" t="n">
        <v>15012292.68</v>
      </c>
      <c r="S252" s="35" t="n">
        <v>0.0105672</v>
      </c>
      <c r="T252" s="33" t="n">
        <v>9.510479999999999</v>
      </c>
      <c r="U252" s="33" t="n">
        <v>1390.0271</v>
      </c>
      <c r="V252" s="33" t="n">
        <v>1390.0271</v>
      </c>
      <c r="W252" s="33" t="n">
        <v>1390.0271</v>
      </c>
      <c r="X252" s="33" t="n">
        <v>1390.0271</v>
      </c>
      <c r="Y252" s="33" t="n">
        <v>1390.0271</v>
      </c>
      <c r="Z252" s="33" t="n">
        <v>1390.0271</v>
      </c>
      <c r="AA252" s="33" t="n">
        <v>1390.0271</v>
      </c>
      <c r="AB252" s="33" t="n">
        <v>1390.0271</v>
      </c>
      <c r="AC252" s="33" t="n">
        <v>1390.0271</v>
      </c>
      <c r="AD252" s="33" t="n">
        <v>1390.0271</v>
      </c>
      <c r="AE252" s="33" t="n">
        <v>1390.0271</v>
      </c>
      <c r="AF252" s="33" t="n">
        <v>1390.0271</v>
      </c>
    </row>
    <row r="253" ht="15" customHeight="1" s="176">
      <c r="A253" s="36" t="inlineStr">
        <is>
          <t>P-0250</t>
        </is>
      </c>
      <c r="B253" s="36" t="inlineStr">
        <is>
          <t>2026/27</t>
        </is>
      </c>
      <c r="C253" s="36" t="inlineStr">
        <is>
          <t>Santa Catalina</t>
        </is>
      </c>
      <c r="D253" s="37" t="inlineStr">
        <is>
          <t>mant eureka 2,5 ha</t>
        </is>
      </c>
      <c r="E253" s="36" t="inlineStr">
        <is>
          <t>Limon</t>
        </is>
      </c>
      <c r="F253" s="36" t="inlineStr">
        <is>
          <t>Eureka</t>
        </is>
      </c>
      <c r="G253" s="36" t="inlineStr">
        <is>
          <t>Mantención</t>
        </is>
      </c>
      <c r="H253" s="38" t="n">
        <v>2.5</v>
      </c>
      <c r="I253" s="38" t="n">
        <v>0</v>
      </c>
      <c r="J253" s="36" t="inlineStr">
        <is>
          <t>Costo</t>
        </is>
      </c>
      <c r="K253" s="37" t="inlineStr">
        <is>
          <t>2- M.O. indirecta</t>
        </is>
      </c>
      <c r="L253" s="37" t="inlineStr">
        <is>
          <t xml:space="preserve">1- ADM. GENERAL </t>
        </is>
      </c>
      <c r="M253" s="37" t="inlineStr">
        <is>
          <t>Administración general</t>
        </is>
      </c>
      <c r="N253" s="36" t="inlineStr">
        <is>
          <t>día</t>
        </is>
      </c>
      <c r="O253" s="36" t="inlineStr">
        <is>
          <t>ha</t>
        </is>
      </c>
      <c r="P253" s="39" t="n">
        <v>66600</v>
      </c>
      <c r="Q253" s="40" t="n">
        <v>2.5</v>
      </c>
      <c r="R253" s="39" t="n">
        <v>1664334</v>
      </c>
      <c r="S253" s="41" t="n">
        <v>0</v>
      </c>
      <c r="T253" s="39" t="n">
        <v>0</v>
      </c>
      <c r="U253" s="39" t="n">
        <v>154.105</v>
      </c>
      <c r="V253" s="39" t="n">
        <v>154.105</v>
      </c>
      <c r="W253" s="39" t="n">
        <v>154.105</v>
      </c>
      <c r="X253" s="39" t="n">
        <v>154.105</v>
      </c>
      <c r="Y253" s="39" t="n">
        <v>154.105</v>
      </c>
      <c r="Z253" s="39" t="n">
        <v>154.105</v>
      </c>
      <c r="AA253" s="39" t="n">
        <v>154.105</v>
      </c>
      <c r="AB253" s="39" t="n">
        <v>154.105</v>
      </c>
      <c r="AC253" s="39" t="n">
        <v>154.105</v>
      </c>
      <c r="AD253" s="39" t="n">
        <v>154.105</v>
      </c>
      <c r="AE253" s="39" t="n">
        <v>154.105</v>
      </c>
      <c r="AF253" s="39" t="n">
        <v>154.105</v>
      </c>
    </row>
    <row r="254" ht="15" customHeight="1" s="176">
      <c r="A254" s="30" t="inlineStr">
        <is>
          <t>P-0251</t>
        </is>
      </c>
      <c r="B254" s="30" t="inlineStr">
        <is>
          <t>2026/27</t>
        </is>
      </c>
      <c r="C254" s="30" t="inlineStr">
        <is>
          <t>Santa Catalina</t>
        </is>
      </c>
      <c r="D254" s="31" t="inlineStr">
        <is>
          <t>Fino 49 7,7 ha</t>
        </is>
      </c>
      <c r="E254" s="30" t="inlineStr">
        <is>
          <t>Limon</t>
        </is>
      </c>
      <c r="F254" s="30" t="inlineStr">
        <is>
          <t>Fino 49</t>
        </is>
      </c>
      <c r="G254" s="30" t="inlineStr">
        <is>
          <t>Producción</t>
        </is>
      </c>
      <c r="H254" s="32" t="n">
        <v>7.7</v>
      </c>
      <c r="I254" s="32" t="n">
        <v>7.7</v>
      </c>
      <c r="J254" s="30" t="inlineStr">
        <is>
          <t>Costo</t>
        </is>
      </c>
      <c r="K254" s="31" t="inlineStr">
        <is>
          <t>2- M.O. indirecta</t>
        </is>
      </c>
      <c r="L254" s="31" t="inlineStr">
        <is>
          <t xml:space="preserve">1- ADM. GENERAL </t>
        </is>
      </c>
      <c r="M254" s="31" t="inlineStr">
        <is>
          <t>Administración general</t>
        </is>
      </c>
      <c r="N254" s="30" t="inlineStr">
        <is>
          <t>día</t>
        </is>
      </c>
      <c r="O254" s="30" t="inlineStr">
        <is>
          <t>ha</t>
        </is>
      </c>
      <c r="P254" s="33" t="n">
        <v>66600</v>
      </c>
      <c r="Q254" s="34" t="n">
        <v>7.7</v>
      </c>
      <c r="R254" s="33" t="n">
        <v>5126148.72</v>
      </c>
      <c r="S254" s="35" t="n">
        <v>0.0105672</v>
      </c>
      <c r="T254" s="33" t="n">
        <v>9.510479999999999</v>
      </c>
      <c r="U254" s="33" t="n">
        <v>474.6434</v>
      </c>
      <c r="V254" s="33" t="n">
        <v>474.6434</v>
      </c>
      <c r="W254" s="33" t="n">
        <v>474.6434</v>
      </c>
      <c r="X254" s="33" t="n">
        <v>474.6434</v>
      </c>
      <c r="Y254" s="33" t="n">
        <v>474.6434</v>
      </c>
      <c r="Z254" s="33" t="n">
        <v>474.6434</v>
      </c>
      <c r="AA254" s="33" t="n">
        <v>474.6434</v>
      </c>
      <c r="AB254" s="33" t="n">
        <v>474.6434</v>
      </c>
      <c r="AC254" s="33" t="n">
        <v>474.6434</v>
      </c>
      <c r="AD254" s="33" t="n">
        <v>474.6434</v>
      </c>
      <c r="AE254" s="33" t="n">
        <v>474.6434</v>
      </c>
      <c r="AF254" s="33" t="n">
        <v>474.6434</v>
      </c>
    </row>
    <row r="255" ht="15" customHeight="1" s="176">
      <c r="A255" s="36" t="inlineStr">
        <is>
          <t>P-0252</t>
        </is>
      </c>
      <c r="B255" s="36" t="inlineStr">
        <is>
          <t>2026/27</t>
        </is>
      </c>
      <c r="C255" s="36" t="inlineStr">
        <is>
          <t>Santa Catalina</t>
        </is>
      </c>
      <c r="D255" s="37" t="inlineStr">
        <is>
          <t>eureka 14,4 ha</t>
        </is>
      </c>
      <c r="E255" s="36" t="inlineStr">
        <is>
          <t>Limon</t>
        </is>
      </c>
      <c r="F255" s="36" t="inlineStr">
        <is>
          <t>Eureka</t>
        </is>
      </c>
      <c r="G255" s="36" t="inlineStr">
        <is>
          <t>Producción</t>
        </is>
      </c>
      <c r="H255" s="38" t="n">
        <v>14.4</v>
      </c>
      <c r="I255" s="38" t="n">
        <v>14.4</v>
      </c>
      <c r="J255" s="36" t="inlineStr">
        <is>
          <t>Costo</t>
        </is>
      </c>
      <c r="K255" s="37" t="inlineStr">
        <is>
          <t>2- M.O. indirecta</t>
        </is>
      </c>
      <c r="L255" s="37" t="inlineStr">
        <is>
          <t xml:space="preserve">1- ADM. GENERAL </t>
        </is>
      </c>
      <c r="M255" s="37" t="inlineStr">
        <is>
          <t>Administración general</t>
        </is>
      </c>
      <c r="N255" s="36" t="inlineStr">
        <is>
          <t>día</t>
        </is>
      </c>
      <c r="O255" s="36" t="inlineStr">
        <is>
          <t>ha</t>
        </is>
      </c>
      <c r="P255" s="39" t="n">
        <v>66600</v>
      </c>
      <c r="Q255" s="40" t="n">
        <v>14.4</v>
      </c>
      <c r="R255" s="39" t="n">
        <v>9586563.84</v>
      </c>
      <c r="S255" s="41" t="n">
        <v>0.0105672</v>
      </c>
      <c r="T255" s="39" t="n">
        <v>9.510479999999999</v>
      </c>
      <c r="U255" s="39" t="n">
        <v>887.6448</v>
      </c>
      <c r="V255" s="39" t="n">
        <v>887.6448</v>
      </c>
      <c r="W255" s="39" t="n">
        <v>887.6448</v>
      </c>
      <c r="X255" s="39" t="n">
        <v>887.6448</v>
      </c>
      <c r="Y255" s="39" t="n">
        <v>887.6448</v>
      </c>
      <c r="Z255" s="39" t="n">
        <v>887.6448</v>
      </c>
      <c r="AA255" s="39" t="n">
        <v>887.6448</v>
      </c>
      <c r="AB255" s="39" t="n">
        <v>887.6448</v>
      </c>
      <c r="AC255" s="39" t="n">
        <v>887.6448</v>
      </c>
      <c r="AD255" s="39" t="n">
        <v>887.6448</v>
      </c>
      <c r="AE255" s="39" t="n">
        <v>887.6448</v>
      </c>
      <c r="AF255" s="39" t="n">
        <v>887.6448</v>
      </c>
    </row>
    <row r="256" ht="15" customHeight="1" s="176">
      <c r="A256" s="30" t="inlineStr">
        <is>
          <t>P-0253</t>
        </is>
      </c>
      <c r="B256" s="30" t="inlineStr">
        <is>
          <t>2026/27</t>
        </is>
      </c>
      <c r="C256" s="30" t="inlineStr">
        <is>
          <t>Santa Catalina</t>
        </is>
      </c>
      <c r="D256" s="31" t="inlineStr">
        <is>
          <t>eureka 10,6 ha</t>
        </is>
      </c>
      <c r="E256" s="30" t="inlineStr">
        <is>
          <t>Limon</t>
        </is>
      </c>
      <c r="F256" s="30" t="inlineStr">
        <is>
          <t>Eureka</t>
        </is>
      </c>
      <c r="G256" s="30" t="inlineStr">
        <is>
          <t>Producción</t>
        </is>
      </c>
      <c r="H256" s="32" t="n">
        <v>10.6</v>
      </c>
      <c r="I256" s="32" t="n">
        <v>10.6</v>
      </c>
      <c r="J256" s="30" t="inlineStr">
        <is>
          <t>Costo</t>
        </is>
      </c>
      <c r="K256" s="31" t="inlineStr">
        <is>
          <t>2- M.O. indirecta</t>
        </is>
      </c>
      <c r="L256" s="31" t="inlineStr">
        <is>
          <t xml:space="preserve">1- ADM. GENERAL </t>
        </is>
      </c>
      <c r="M256" s="31" t="inlineStr">
        <is>
          <t>Administración general</t>
        </is>
      </c>
      <c r="N256" s="30" t="inlineStr">
        <is>
          <t>día</t>
        </is>
      </c>
      <c r="O256" s="30" t="inlineStr">
        <is>
          <t>ha</t>
        </is>
      </c>
      <c r="P256" s="33" t="n">
        <v>66600</v>
      </c>
      <c r="Q256" s="34" t="n">
        <v>10.6</v>
      </c>
      <c r="R256" s="33" t="n">
        <v>7056776.16</v>
      </c>
      <c r="S256" s="35" t="n">
        <v>0.0105672</v>
      </c>
      <c r="T256" s="33" t="n">
        <v>9.510479999999999</v>
      </c>
      <c r="U256" s="33" t="n">
        <v>653.4052</v>
      </c>
      <c r="V256" s="33" t="n">
        <v>653.4052</v>
      </c>
      <c r="W256" s="33" t="n">
        <v>653.4052</v>
      </c>
      <c r="X256" s="33" t="n">
        <v>653.4052</v>
      </c>
      <c r="Y256" s="33" t="n">
        <v>653.4052</v>
      </c>
      <c r="Z256" s="33" t="n">
        <v>653.4052</v>
      </c>
      <c r="AA256" s="33" t="n">
        <v>653.4052</v>
      </c>
      <c r="AB256" s="33" t="n">
        <v>653.4052</v>
      </c>
      <c r="AC256" s="33" t="n">
        <v>653.4052</v>
      </c>
      <c r="AD256" s="33" t="n">
        <v>653.4052</v>
      </c>
      <c r="AE256" s="33" t="n">
        <v>653.4052</v>
      </c>
      <c r="AF256" s="33" t="n">
        <v>653.4052</v>
      </c>
    </row>
    <row r="257" ht="15" customHeight="1" s="176">
      <c r="A257" s="36" t="inlineStr">
        <is>
          <t>P-0254</t>
        </is>
      </c>
      <c r="B257" s="36" t="inlineStr">
        <is>
          <t>2026/27</t>
        </is>
      </c>
      <c r="C257" s="36" t="inlineStr">
        <is>
          <t>Santa Catalina</t>
        </is>
      </c>
      <c r="D257" s="37" t="inlineStr">
        <is>
          <t>form benjamin 1,93 ha</t>
        </is>
      </c>
      <c r="E257" s="36" t="inlineStr">
        <is>
          <t>Limon</t>
        </is>
      </c>
      <c r="F257" s="36" t="inlineStr">
        <is>
          <t>Benjamin andes</t>
        </is>
      </c>
      <c r="G257" s="36" t="inlineStr">
        <is>
          <t>Formación</t>
        </is>
      </c>
      <c r="H257" s="38" t="n">
        <v>1.93</v>
      </c>
      <c r="I257" s="38" t="n">
        <v>0</v>
      </c>
      <c r="J257" s="36" t="inlineStr">
        <is>
          <t>Costo</t>
        </is>
      </c>
      <c r="K257" s="37" t="inlineStr">
        <is>
          <t>1- M.O. directa</t>
        </is>
      </c>
      <c r="L257" s="37" t="inlineStr">
        <is>
          <t>1- Cosecha EXP</t>
        </is>
      </c>
      <c r="M257" s="37" t="inlineStr">
        <is>
          <t>450 kg/jh, 15 jh/cuadrilla $85/kg prom año</t>
        </is>
      </c>
      <c r="N257" s="36" t="inlineStr">
        <is>
          <t>trato</t>
        </is>
      </c>
      <c r="O257" s="36" t="inlineStr">
        <is>
          <t>kg</t>
        </is>
      </c>
      <c r="P257" s="39" t="n">
        <v>83</v>
      </c>
      <c r="Q257" s="40" t="n">
        <v>0</v>
      </c>
      <c r="R257" s="39" t="n">
        <v>0</v>
      </c>
      <c r="S257" s="41" t="n">
        <v>0</v>
      </c>
      <c r="T257" s="39" t="n">
        <v>0</v>
      </c>
      <c r="U257" s="39" t="n">
        <v>0</v>
      </c>
      <c r="V257" s="39" t="n">
        <v>0</v>
      </c>
      <c r="W257" s="39" t="n">
        <v>0</v>
      </c>
      <c r="X257" s="39" t="n">
        <v>0</v>
      </c>
      <c r="Y257" s="39" t="n">
        <v>0</v>
      </c>
      <c r="Z257" s="39" t="n">
        <v>0</v>
      </c>
      <c r="AA257" s="39" t="n">
        <v>0</v>
      </c>
      <c r="AB257" s="39" t="n">
        <v>0</v>
      </c>
      <c r="AC257" s="39" t="n">
        <v>0</v>
      </c>
      <c r="AD257" s="39" t="n">
        <v>0</v>
      </c>
      <c r="AE257" s="39" t="n">
        <v>0</v>
      </c>
      <c r="AF257" s="39" t="n">
        <v>0</v>
      </c>
    </row>
    <row r="258" ht="15" customHeight="1" s="176">
      <c r="A258" s="30" t="inlineStr">
        <is>
          <t>P-0255</t>
        </is>
      </c>
      <c r="B258" s="30" t="inlineStr">
        <is>
          <t>2026/27</t>
        </is>
      </c>
      <c r="C258" s="30" t="inlineStr">
        <is>
          <t>Santa Catalina</t>
        </is>
      </c>
      <c r="D258" s="31" t="inlineStr">
        <is>
          <t>eureka 10,6 ha</t>
        </is>
      </c>
      <c r="E258" s="30" t="inlineStr">
        <is>
          <t>Limon</t>
        </is>
      </c>
      <c r="F258" s="30" t="inlineStr">
        <is>
          <t>Eureka</t>
        </is>
      </c>
      <c r="G258" s="30" t="inlineStr">
        <is>
          <t>Producción</t>
        </is>
      </c>
      <c r="H258" s="32" t="n">
        <v>10.6</v>
      </c>
      <c r="I258" s="32" t="n">
        <v>10.6</v>
      </c>
      <c r="J258" s="30" t="inlineStr">
        <is>
          <t>Costo</t>
        </is>
      </c>
      <c r="K258" s="31" t="inlineStr">
        <is>
          <t>1- M.O. directa</t>
        </is>
      </c>
      <c r="L258" s="31" t="inlineStr">
        <is>
          <t>1- Cosecha EXP</t>
        </is>
      </c>
      <c r="M258" s="31" t="inlineStr">
        <is>
          <t>450 kg/jh, 15 jh/cuadrilla $85/kg prom año</t>
        </is>
      </c>
      <c r="N258" s="30" t="inlineStr">
        <is>
          <t>trato</t>
        </is>
      </c>
      <c r="O258" s="30" t="inlineStr">
        <is>
          <t>kg</t>
        </is>
      </c>
      <c r="P258" s="33" t="n">
        <v>83</v>
      </c>
      <c r="Q258" s="34" t="n">
        <v>274540</v>
      </c>
      <c r="R258" s="33" t="n">
        <v>21963200</v>
      </c>
      <c r="S258" s="35" t="n">
        <v>0.08888888888888891</v>
      </c>
      <c r="T258" s="33" t="n">
        <v>80</v>
      </c>
      <c r="U258" s="33" t="n">
        <v>3660.53333333333</v>
      </c>
      <c r="V258" s="33" t="n">
        <v>9517.386666666671</v>
      </c>
      <c r="W258" s="33" t="n">
        <v>7077.03111111111</v>
      </c>
      <c r="X258" s="33" t="n">
        <v>4148.60444444445</v>
      </c>
      <c r="Y258" s="33" t="n">
        <v>0</v>
      </c>
      <c r="Z258" s="33" t="n">
        <v>0</v>
      </c>
      <c r="AA258" s="33" t="n">
        <v>0</v>
      </c>
      <c r="AB258" s="33" t="n">
        <v>0</v>
      </c>
      <c r="AC258" s="33" t="n">
        <v>0</v>
      </c>
      <c r="AD258" s="33" t="n">
        <v>0</v>
      </c>
      <c r="AE258" s="33" t="n">
        <v>0</v>
      </c>
      <c r="AF258" s="33" t="n">
        <v>0</v>
      </c>
    </row>
    <row r="259" ht="15" customHeight="1" s="176">
      <c r="A259" s="36" t="inlineStr">
        <is>
          <t>P-0256</t>
        </is>
      </c>
      <c r="B259" s="36" t="inlineStr">
        <is>
          <t>2026/27</t>
        </is>
      </c>
      <c r="C259" s="36" t="inlineStr">
        <is>
          <t>Santa Catalina</t>
        </is>
      </c>
      <c r="D259" s="37" t="inlineStr">
        <is>
          <t>mant eureka 2,5 ha</t>
        </is>
      </c>
      <c r="E259" s="36" t="inlineStr">
        <is>
          <t>Limon</t>
        </is>
      </c>
      <c r="F259" s="36" t="inlineStr">
        <is>
          <t>Eureka</t>
        </is>
      </c>
      <c r="G259" s="36" t="inlineStr">
        <is>
          <t>Mantención</t>
        </is>
      </c>
      <c r="H259" s="38" t="n">
        <v>2.5</v>
      </c>
      <c r="I259" s="38" t="n">
        <v>0</v>
      </c>
      <c r="J259" s="36" t="inlineStr">
        <is>
          <t>Costo</t>
        </is>
      </c>
      <c r="K259" s="37" t="inlineStr">
        <is>
          <t>1- M.O. directa</t>
        </is>
      </c>
      <c r="L259" s="37" t="inlineStr">
        <is>
          <t>1- Cosecha EXP</t>
        </is>
      </c>
      <c r="M259" s="37" t="inlineStr">
        <is>
          <t>450 kg/jh, 15 jh/cuadrilla $85/kg prom año</t>
        </is>
      </c>
      <c r="N259" s="36" t="inlineStr">
        <is>
          <t>trato</t>
        </is>
      </c>
      <c r="O259" s="36" t="inlineStr">
        <is>
          <t>kg</t>
        </is>
      </c>
      <c r="P259" s="39" t="n">
        <v>83</v>
      </c>
      <c r="Q259" s="40" t="n">
        <v>0</v>
      </c>
      <c r="R259" s="39" t="n">
        <v>0</v>
      </c>
      <c r="S259" s="41" t="n">
        <v>0</v>
      </c>
      <c r="T259" s="39" t="n">
        <v>0</v>
      </c>
      <c r="U259" s="39" t="n">
        <v>0</v>
      </c>
      <c r="V259" s="39" t="n">
        <v>0</v>
      </c>
      <c r="W259" s="39" t="n">
        <v>0</v>
      </c>
      <c r="X259" s="39" t="n">
        <v>0</v>
      </c>
      <c r="Y259" s="39" t="n">
        <v>0</v>
      </c>
      <c r="Z259" s="39" t="n">
        <v>0</v>
      </c>
      <c r="AA259" s="39" t="n">
        <v>0</v>
      </c>
      <c r="AB259" s="39" t="n">
        <v>0</v>
      </c>
      <c r="AC259" s="39" t="n">
        <v>0</v>
      </c>
      <c r="AD259" s="39" t="n">
        <v>0</v>
      </c>
      <c r="AE259" s="39" t="n">
        <v>0</v>
      </c>
      <c r="AF259" s="39" t="n">
        <v>0</v>
      </c>
    </row>
    <row r="260" ht="15" customHeight="1" s="176">
      <c r="A260" s="30" t="inlineStr">
        <is>
          <t>P-0257</t>
        </is>
      </c>
      <c r="B260" s="30" t="inlineStr">
        <is>
          <t>2026/27</t>
        </is>
      </c>
      <c r="C260" s="30" t="inlineStr">
        <is>
          <t>Santa Catalina</t>
        </is>
      </c>
      <c r="D260" s="31" t="inlineStr">
        <is>
          <t>eureka 10,6 ha</t>
        </is>
      </c>
      <c r="E260" s="30" t="inlineStr">
        <is>
          <t>Limon</t>
        </is>
      </c>
      <c r="F260" s="30" t="inlineStr">
        <is>
          <t>Eureka</t>
        </is>
      </c>
      <c r="G260" s="30" t="inlineStr">
        <is>
          <t>Producción</t>
        </is>
      </c>
      <c r="H260" s="32" t="n">
        <v>10.6</v>
      </c>
      <c r="I260" s="32" t="n">
        <v>10.6</v>
      </c>
      <c r="J260" s="30" t="inlineStr">
        <is>
          <t>Costo</t>
        </is>
      </c>
      <c r="K260" s="31" t="inlineStr">
        <is>
          <t>1- M.O. directa</t>
        </is>
      </c>
      <c r="L260" s="31" t="inlineStr">
        <is>
          <t>1- Cosecha M.I</t>
        </is>
      </c>
      <c r="M260" s="31" t="inlineStr">
        <is>
          <t>450 kg/jh, 15 jh/cuadrilla $85/kg prom año</t>
        </is>
      </c>
      <c r="N260" s="30" t="inlineStr">
        <is>
          <t>trato</t>
        </is>
      </c>
      <c r="O260" s="30" t="inlineStr">
        <is>
          <t>kg</t>
        </is>
      </c>
      <c r="P260" s="33" t="n"/>
      <c r="Q260" s="34" t="n">
        <v>467460</v>
      </c>
      <c r="R260" s="33" t="n">
        <v>30174543</v>
      </c>
      <c r="S260" s="35" t="n">
        <v>0.0717222222222222</v>
      </c>
      <c r="T260" s="33" t="n">
        <v>64.55</v>
      </c>
      <c r="U260" s="33" t="n">
        <v>2077.6</v>
      </c>
      <c r="V260" s="33" t="n">
        <v>4155.2</v>
      </c>
      <c r="W260" s="33" t="n">
        <v>3090.43</v>
      </c>
      <c r="X260" s="33" t="n">
        <v>1765.96</v>
      </c>
      <c r="Y260" s="33" t="n">
        <v>3116.4</v>
      </c>
      <c r="Z260" s="33" t="n">
        <v>3635.8</v>
      </c>
      <c r="AA260" s="33" t="n">
        <v>3635.8</v>
      </c>
      <c r="AB260" s="33" t="n">
        <v>3116.4</v>
      </c>
      <c r="AC260" s="33" t="n">
        <v>3999.38</v>
      </c>
      <c r="AD260" s="33" t="n">
        <v>2493.12</v>
      </c>
      <c r="AE260" s="33" t="n">
        <v>1402.38</v>
      </c>
      <c r="AF260" s="33" t="n">
        <v>1038.8</v>
      </c>
    </row>
    <row r="261" ht="15" customHeight="1" s="176">
      <c r="A261" s="42" t="inlineStr">
        <is>
          <t>P-0258</t>
        </is>
      </c>
      <c r="B261" s="42" t="inlineStr">
        <is>
          <t>2026/27</t>
        </is>
      </c>
      <c r="C261" s="42" t="inlineStr">
        <is>
          <t>Santa Catalina</t>
        </is>
      </c>
      <c r="D261" s="43" t="inlineStr">
        <is>
          <t>cambria 4,2 ha</t>
        </is>
      </c>
      <c r="E261" s="42" t="inlineStr">
        <is>
          <t>Naranjas</t>
        </is>
      </c>
      <c r="F261" s="42" t="inlineStr">
        <is>
          <t>Cambria</t>
        </is>
      </c>
      <c r="G261" s="42" t="inlineStr">
        <is>
          <t>Mantención</t>
        </is>
      </c>
      <c r="H261" s="44" t="n">
        <v>4.2</v>
      </c>
      <c r="I261" s="44" t="n">
        <v>0</v>
      </c>
      <c r="J261" s="42" t="inlineStr">
        <is>
          <t>Ingreso</t>
        </is>
      </c>
      <c r="K261" s="43" t="inlineStr">
        <is>
          <t>5- Ingresos</t>
        </is>
      </c>
      <c r="L261" s="43" t="inlineStr">
        <is>
          <t>Venta M.I.</t>
        </is>
      </c>
      <c r="M261" s="43" t="n"/>
      <c r="N261" s="42" t="inlineStr">
        <is>
          <t>venta</t>
        </is>
      </c>
      <c r="O261" s="42" t="inlineStr">
        <is>
          <t>kg</t>
        </is>
      </c>
      <c r="P261" s="45" t="n">
        <v>-450</v>
      </c>
      <c r="Q261" s="46" t="n">
        <v>84000</v>
      </c>
      <c r="R261" s="45" t="n">
        <v>37800000</v>
      </c>
      <c r="S261" s="47" t="n">
        <v>-0.5</v>
      </c>
      <c r="T261" s="45" t="n">
        <v>-450</v>
      </c>
      <c r="U261" s="45" t="n">
        <v>0</v>
      </c>
      <c r="V261" s="45" t="n">
        <v>0</v>
      </c>
      <c r="W261" s="45" t="n">
        <v>0</v>
      </c>
      <c r="X261" s="45" t="n">
        <v>0</v>
      </c>
      <c r="Y261" s="45" t="n">
        <v>0</v>
      </c>
      <c r="Z261" s="45" t="n">
        <v>12600</v>
      </c>
      <c r="AA261" s="45" t="n">
        <v>12600</v>
      </c>
      <c r="AB261" s="45" t="n">
        <v>16800</v>
      </c>
      <c r="AC261" s="45" t="n">
        <v>0</v>
      </c>
      <c r="AD261" s="45" t="n">
        <v>0</v>
      </c>
      <c r="AE261" s="45" t="n">
        <v>0</v>
      </c>
      <c r="AF261" s="45" t="n">
        <v>0</v>
      </c>
    </row>
    <row r="262" ht="15" customHeight="1" s="176">
      <c r="A262" s="42" t="inlineStr">
        <is>
          <t>P-0259</t>
        </is>
      </c>
      <c r="B262" s="42" t="inlineStr">
        <is>
          <t>2026/27</t>
        </is>
      </c>
      <c r="C262" s="42" t="inlineStr">
        <is>
          <t>Santa Catalina</t>
        </is>
      </c>
      <c r="D262" s="43" t="inlineStr">
        <is>
          <t>eureka 10,6 ha</t>
        </is>
      </c>
      <c r="E262" s="42" t="inlineStr">
        <is>
          <t>Limon</t>
        </is>
      </c>
      <c r="F262" s="42" t="inlineStr">
        <is>
          <t>Eureka</t>
        </is>
      </c>
      <c r="G262" s="42" t="inlineStr">
        <is>
          <t>Producción</t>
        </is>
      </c>
      <c r="H262" s="44" t="n">
        <v>10.6</v>
      </c>
      <c r="I262" s="44" t="n">
        <v>10.6</v>
      </c>
      <c r="J262" s="42" t="inlineStr">
        <is>
          <t>Ingreso</t>
        </is>
      </c>
      <c r="K262" s="43" t="inlineStr">
        <is>
          <t>5- Ingresos</t>
        </is>
      </c>
      <c r="L262" s="43" t="inlineStr">
        <is>
          <t>Venta Desc.</t>
        </is>
      </c>
      <c r="M262" s="43" t="n"/>
      <c r="N262" s="42" t="inlineStr">
        <is>
          <t>venta</t>
        </is>
      </c>
      <c r="O262" s="42" t="inlineStr">
        <is>
          <t>kg</t>
        </is>
      </c>
      <c r="P262" s="45" t="n">
        <v>-222.222222222222</v>
      </c>
      <c r="Q262" s="46" t="n">
        <v>75639.48</v>
      </c>
      <c r="R262" s="45" t="n">
        <v>14467664.4</v>
      </c>
      <c r="S262" s="47" t="n">
        <v>-0.212523706755608</v>
      </c>
      <c r="T262" s="45" t="n">
        <v>-191.271336080047</v>
      </c>
      <c r="U262" s="45" t="n">
        <v>1147.62666666667</v>
      </c>
      <c r="V262" s="45" t="n">
        <v>0</v>
      </c>
      <c r="W262" s="45" t="n">
        <v>0</v>
      </c>
      <c r="X262" s="45" t="n">
        <v>0</v>
      </c>
      <c r="Y262" s="45" t="n">
        <v>872.592</v>
      </c>
      <c r="Z262" s="45" t="n">
        <v>1454.32</v>
      </c>
      <c r="AA262" s="45" t="n">
        <v>2472.344</v>
      </c>
      <c r="AB262" s="45" t="n">
        <v>2804.76</v>
      </c>
      <c r="AC262" s="45" t="n">
        <v>3428.04</v>
      </c>
      <c r="AD262" s="45" t="n">
        <v>2181.48</v>
      </c>
      <c r="AE262" s="45" t="n">
        <v>1246.56</v>
      </c>
      <c r="AF262" s="45" t="n">
        <v>467.46</v>
      </c>
    </row>
    <row r="263" ht="15" customHeight="1" s="176">
      <c r="A263" s="42" t="inlineStr">
        <is>
          <t>P-0260</t>
        </is>
      </c>
      <c r="B263" s="42" t="inlineStr">
        <is>
          <t>2026/27</t>
        </is>
      </c>
      <c r="C263" s="42" t="inlineStr">
        <is>
          <t>Santa Catalina</t>
        </is>
      </c>
      <c r="D263" s="43" t="inlineStr">
        <is>
          <t>eureka 10,6 ha</t>
        </is>
      </c>
      <c r="E263" s="42" t="inlineStr">
        <is>
          <t>Limon</t>
        </is>
      </c>
      <c r="F263" s="42" t="inlineStr">
        <is>
          <t>Eureka</t>
        </is>
      </c>
      <c r="G263" s="42" t="inlineStr">
        <is>
          <t>Producción</t>
        </is>
      </c>
      <c r="H263" s="44" t="n">
        <v>10.6</v>
      </c>
      <c r="I263" s="44" t="n">
        <v>10.6</v>
      </c>
      <c r="J263" s="42" t="inlineStr">
        <is>
          <t>Ingreso</t>
        </is>
      </c>
      <c r="K263" s="43" t="inlineStr">
        <is>
          <t>5- Ingresos</t>
        </is>
      </c>
      <c r="L263" s="43" t="inlineStr">
        <is>
          <t>Venta EXP</t>
        </is>
      </c>
      <c r="M263" s="43" t="n"/>
      <c r="N263" s="42" t="inlineStr">
        <is>
          <t>venta</t>
        </is>
      </c>
      <c r="O263" s="42" t="inlineStr">
        <is>
          <t>kg</t>
        </is>
      </c>
      <c r="P263" s="45" t="n">
        <v>-416.25</v>
      </c>
      <c r="Q263" s="46" t="n">
        <v>218189.552</v>
      </c>
      <c r="R263" s="45" t="n">
        <v>92059702.56</v>
      </c>
      <c r="S263" s="47" t="n">
        <v>-0.375044753380309</v>
      </c>
      <c r="T263" s="45" t="n">
        <v>-337.540278042278</v>
      </c>
      <c r="U263" s="45" t="n">
        <v>16267.608</v>
      </c>
      <c r="V263" s="45" t="n">
        <v>43068.648</v>
      </c>
      <c r="W263" s="45" t="n">
        <v>28309.3776</v>
      </c>
      <c r="X263" s="45" t="n">
        <v>14642.9248</v>
      </c>
      <c r="Y263" s="45" t="n">
        <v>0</v>
      </c>
      <c r="Z263" s="45" t="n">
        <v>0</v>
      </c>
      <c r="AA263" s="45" t="n">
        <v>0</v>
      </c>
      <c r="AB263" s="45" t="n">
        <v>0</v>
      </c>
      <c r="AC263" s="45" t="n">
        <v>0</v>
      </c>
      <c r="AD263" s="45" t="n">
        <v>0</v>
      </c>
      <c r="AE263" s="45" t="n">
        <v>0</v>
      </c>
      <c r="AF263" s="45" t="n">
        <v>0</v>
      </c>
    </row>
    <row r="264" ht="15" customHeight="1" s="176">
      <c r="A264" s="30" t="inlineStr">
        <is>
          <t>P-0261</t>
        </is>
      </c>
      <c r="B264" s="30" t="inlineStr">
        <is>
          <t>2026/27</t>
        </is>
      </c>
      <c r="C264" s="30" t="inlineStr">
        <is>
          <t>Santa Catalina</t>
        </is>
      </c>
      <c r="D264" s="31" t="inlineStr">
        <is>
          <t>W. murcott 21 ha</t>
        </is>
      </c>
      <c r="E264" s="30" t="inlineStr">
        <is>
          <t>Mandarina</t>
        </is>
      </c>
      <c r="F264" s="30" t="inlineStr">
        <is>
          <t>W. murcott</t>
        </is>
      </c>
      <c r="G264" s="30" t="inlineStr">
        <is>
          <t>Producción</t>
        </is>
      </c>
      <c r="H264" s="32" t="n">
        <v>21</v>
      </c>
      <c r="I264" s="32" t="n">
        <v>21</v>
      </c>
      <c r="J264" s="30" t="inlineStr">
        <is>
          <t>Costo</t>
        </is>
      </c>
      <c r="K264" s="31" t="inlineStr">
        <is>
          <t>2- M.O. indirecta</t>
        </is>
      </c>
      <c r="L264" s="31" t="inlineStr">
        <is>
          <t xml:space="preserve">1- ADM. GENERAL </t>
        </is>
      </c>
      <c r="M264" s="31" t="inlineStr">
        <is>
          <t>Administración general</t>
        </is>
      </c>
      <c r="N264" s="30" t="inlineStr">
        <is>
          <t>día</t>
        </is>
      </c>
      <c r="O264" s="30" t="inlineStr">
        <is>
          <t>ha</t>
        </is>
      </c>
      <c r="P264" s="33" t="n">
        <v>66600</v>
      </c>
      <c r="Q264" s="34" t="n">
        <v>21</v>
      </c>
      <c r="R264" s="33" t="n">
        <v>13980405.6</v>
      </c>
      <c r="S264" s="35" t="n">
        <v>0.01479408</v>
      </c>
      <c r="T264" s="33" t="n">
        <v>13.314672</v>
      </c>
      <c r="U264" s="33" t="n">
        <v>1294.482</v>
      </c>
      <c r="V264" s="33" t="n">
        <v>1294.482</v>
      </c>
      <c r="W264" s="33" t="n">
        <v>1294.482</v>
      </c>
      <c r="X264" s="33" t="n">
        <v>1294.482</v>
      </c>
      <c r="Y264" s="33" t="n">
        <v>1294.482</v>
      </c>
      <c r="Z264" s="33" t="n">
        <v>1294.482</v>
      </c>
      <c r="AA264" s="33" t="n">
        <v>1294.482</v>
      </c>
      <c r="AB264" s="33" t="n">
        <v>1294.482</v>
      </c>
      <c r="AC264" s="33" t="n">
        <v>1294.482</v>
      </c>
      <c r="AD264" s="33" t="n">
        <v>1294.482</v>
      </c>
      <c r="AE264" s="33" t="n">
        <v>1294.482</v>
      </c>
      <c r="AF264" s="33" t="n">
        <v>1294.482</v>
      </c>
    </row>
    <row r="265" ht="15" customHeight="1" s="176">
      <c r="A265" s="36" t="inlineStr">
        <is>
          <t>P-0262</t>
        </is>
      </c>
      <c r="B265" s="36" t="inlineStr">
        <is>
          <t>2026/27</t>
        </is>
      </c>
      <c r="C265" s="36" t="inlineStr">
        <is>
          <t>Santa Catalina</t>
        </is>
      </c>
      <c r="D265" s="37" t="inlineStr">
        <is>
          <t>form benjamin 1,93 ha</t>
        </is>
      </c>
      <c r="E265" s="36" t="inlineStr">
        <is>
          <t>Limon</t>
        </is>
      </c>
      <c r="F265" s="36" t="inlineStr">
        <is>
          <t>Benjamin andes</t>
        </is>
      </c>
      <c r="G265" s="36" t="inlineStr">
        <is>
          <t>Formación</t>
        </is>
      </c>
      <c r="H265" s="38" t="n">
        <v>1.93</v>
      </c>
      <c r="I265" s="38" t="n">
        <v>0</v>
      </c>
      <c r="J265" s="36" t="inlineStr">
        <is>
          <t>Costo</t>
        </is>
      </c>
      <c r="K265" s="37" t="inlineStr">
        <is>
          <t>1- M.O. directa</t>
        </is>
      </c>
      <c r="L265" s="37" t="inlineStr">
        <is>
          <t>1- Cosecha M.I</t>
        </is>
      </c>
      <c r="M265" s="37" t="inlineStr">
        <is>
          <t>450 kg/jh, 15 jh/cuadrilla $85/kg prom año</t>
        </is>
      </c>
      <c r="N265" s="36" t="inlineStr">
        <is>
          <t>trato</t>
        </is>
      </c>
      <c r="O265" s="36" t="inlineStr">
        <is>
          <t>kg</t>
        </is>
      </c>
      <c r="P265" s="39" t="n">
        <v>65</v>
      </c>
      <c r="Q265" s="40" t="n">
        <v>0</v>
      </c>
      <c r="R265" s="39" t="n">
        <v>0</v>
      </c>
      <c r="S265" s="41" t="n">
        <v>0</v>
      </c>
      <c r="T265" s="39" t="n">
        <v>0</v>
      </c>
      <c r="U265" s="39" t="n">
        <v>0</v>
      </c>
      <c r="V265" s="39" t="n">
        <v>0</v>
      </c>
      <c r="W265" s="39" t="n">
        <v>0</v>
      </c>
      <c r="X265" s="39" t="n">
        <v>0</v>
      </c>
      <c r="Y265" s="39" t="n">
        <v>0</v>
      </c>
      <c r="Z265" s="39" t="n">
        <v>0</v>
      </c>
      <c r="AA265" s="39" t="n">
        <v>0</v>
      </c>
      <c r="AB265" s="39" t="n">
        <v>0</v>
      </c>
      <c r="AC265" s="39" t="n">
        <v>0</v>
      </c>
      <c r="AD265" s="39" t="n">
        <v>0</v>
      </c>
      <c r="AE265" s="39" t="n">
        <v>0</v>
      </c>
      <c r="AF265" s="39" t="n">
        <v>0</v>
      </c>
    </row>
    <row r="266" ht="15" customHeight="1" s="176">
      <c r="A266" s="30" t="inlineStr">
        <is>
          <t>P-0263</t>
        </is>
      </c>
      <c r="B266" s="30" t="inlineStr">
        <is>
          <t>2026/27</t>
        </is>
      </c>
      <c r="C266" s="30" t="inlineStr">
        <is>
          <t>Santa Catalina</t>
        </is>
      </c>
      <c r="D266" s="31" t="inlineStr">
        <is>
          <t>mant eureka 2,5 ha</t>
        </is>
      </c>
      <c r="E266" s="30" t="inlineStr">
        <is>
          <t>Limon</t>
        </is>
      </c>
      <c r="F266" s="30" t="inlineStr">
        <is>
          <t>Eureka</t>
        </is>
      </c>
      <c r="G266" s="30" t="inlineStr">
        <is>
          <t>Mantención</t>
        </is>
      </c>
      <c r="H266" s="32" t="n">
        <v>2.5</v>
      </c>
      <c r="I266" s="32" t="n">
        <v>0</v>
      </c>
      <c r="J266" s="30" t="inlineStr">
        <is>
          <t>Costo</t>
        </is>
      </c>
      <c r="K266" s="31" t="inlineStr">
        <is>
          <t>1- M.O. directa</t>
        </is>
      </c>
      <c r="L266" s="31" t="inlineStr">
        <is>
          <t>1- Cosecha M.I</t>
        </is>
      </c>
      <c r="M266" s="31" t="inlineStr">
        <is>
          <t>450 kg/jh, 15 jh/cuadrilla $85/kg prom año</t>
        </is>
      </c>
      <c r="N266" s="30" t="inlineStr">
        <is>
          <t>trato</t>
        </is>
      </c>
      <c r="O266" s="30" t="inlineStr">
        <is>
          <t>kg</t>
        </is>
      </c>
      <c r="P266" s="33" t="n">
        <v>65</v>
      </c>
      <c r="Q266" s="34" t="n">
        <v>0</v>
      </c>
      <c r="R266" s="33" t="n">
        <v>0</v>
      </c>
      <c r="S266" s="35" t="n">
        <v>0</v>
      </c>
      <c r="T266" s="33" t="n">
        <v>0</v>
      </c>
      <c r="U266" s="33" t="n">
        <v>0</v>
      </c>
      <c r="V266" s="33" t="n">
        <v>0</v>
      </c>
      <c r="W266" s="33" t="n">
        <v>0</v>
      </c>
      <c r="X266" s="33" t="n">
        <v>0</v>
      </c>
      <c r="Y266" s="33" t="n">
        <v>0</v>
      </c>
      <c r="Z266" s="33" t="n">
        <v>0</v>
      </c>
      <c r="AA266" s="33" t="n">
        <v>0</v>
      </c>
      <c r="AB266" s="33" t="n">
        <v>0</v>
      </c>
      <c r="AC266" s="33" t="n">
        <v>0</v>
      </c>
      <c r="AD266" s="33" t="n">
        <v>0</v>
      </c>
      <c r="AE266" s="33" t="n">
        <v>0</v>
      </c>
      <c r="AF266" s="33" t="n">
        <v>0</v>
      </c>
    </row>
    <row r="267" ht="15" customHeight="1" s="176">
      <c r="A267" s="36" t="inlineStr">
        <is>
          <t>P-0264</t>
        </is>
      </c>
      <c r="B267" s="36" t="inlineStr">
        <is>
          <t>2026/27</t>
        </is>
      </c>
      <c r="C267" s="36" t="inlineStr">
        <is>
          <t>Santa Catalina</t>
        </is>
      </c>
      <c r="D267" s="37" t="inlineStr">
        <is>
          <t>eureka 22,55</t>
        </is>
      </c>
      <c r="E267" s="36" t="inlineStr">
        <is>
          <t>Limon</t>
        </is>
      </c>
      <c r="F267" s="36" t="inlineStr">
        <is>
          <t>Eureka</t>
        </is>
      </c>
      <c r="G267" s="36" t="inlineStr">
        <is>
          <t>Producción</t>
        </is>
      </c>
      <c r="H267" s="38" t="n">
        <v>22.55</v>
      </c>
      <c r="I267" s="38" t="n">
        <v>22.55</v>
      </c>
      <c r="J267" s="36" t="inlineStr">
        <is>
          <t>Costo</t>
        </is>
      </c>
      <c r="K267" s="37" t="inlineStr">
        <is>
          <t>1- M.O. directa</t>
        </is>
      </c>
      <c r="L267" s="37" t="inlineStr">
        <is>
          <t>1- Cosecha EXP</t>
        </is>
      </c>
      <c r="M267" s="37" t="inlineStr">
        <is>
          <t>450 kg/jh, 15 jh/cuadrilla $85/kg prom año</t>
        </is>
      </c>
      <c r="N267" s="36" t="inlineStr">
        <is>
          <t>trato</t>
        </is>
      </c>
      <c r="O267" s="36" t="inlineStr">
        <is>
          <t>kg</t>
        </is>
      </c>
      <c r="P267" s="39" t="n">
        <v>83</v>
      </c>
      <c r="Q267" s="40" t="n">
        <v>584045</v>
      </c>
      <c r="R267" s="39" t="n">
        <v>48066903.5</v>
      </c>
      <c r="S267" s="41" t="n">
        <v>0.0914444444444444</v>
      </c>
      <c r="T267" s="39" t="n">
        <v>82.3</v>
      </c>
      <c r="U267" s="39" t="n">
        <v>7787.26666666667</v>
      </c>
      <c r="V267" s="39" t="n">
        <v>20246.8933333333</v>
      </c>
      <c r="W267" s="39" t="n">
        <v>15996.3436111111</v>
      </c>
      <c r="X267" s="39" t="n">
        <v>9377.166944444451</v>
      </c>
      <c r="Y267" s="39" t="n">
        <v>0</v>
      </c>
      <c r="Z267" s="39" t="n">
        <v>0</v>
      </c>
      <c r="AA267" s="39" t="n">
        <v>0</v>
      </c>
      <c r="AB267" s="39" t="n">
        <v>0</v>
      </c>
      <c r="AC267" s="39" t="n">
        <v>0</v>
      </c>
      <c r="AD267" s="39" t="n">
        <v>0</v>
      </c>
      <c r="AE267" s="39" t="n">
        <v>0</v>
      </c>
      <c r="AF267" s="39" t="n">
        <v>0</v>
      </c>
    </row>
    <row r="268" ht="15" customHeight="1" s="176">
      <c r="A268" s="30" t="inlineStr">
        <is>
          <t>P-0265</t>
        </is>
      </c>
      <c r="B268" s="30" t="inlineStr">
        <is>
          <t>2026/27</t>
        </is>
      </c>
      <c r="C268" s="30" t="inlineStr">
        <is>
          <t>Santa Catalina</t>
        </is>
      </c>
      <c r="D268" s="31" t="inlineStr">
        <is>
          <t>eureka 22,55</t>
        </is>
      </c>
      <c r="E268" s="30" t="inlineStr">
        <is>
          <t>Limon</t>
        </is>
      </c>
      <c r="F268" s="30" t="inlineStr">
        <is>
          <t>Eureka</t>
        </is>
      </c>
      <c r="G268" s="30" t="inlineStr">
        <is>
          <t>Producción</t>
        </is>
      </c>
      <c r="H268" s="32" t="n">
        <v>22.55</v>
      </c>
      <c r="I268" s="32" t="n">
        <v>22.55</v>
      </c>
      <c r="J268" s="30" t="inlineStr">
        <is>
          <t>Costo</t>
        </is>
      </c>
      <c r="K268" s="31" t="inlineStr">
        <is>
          <t>1- M.O. directa</t>
        </is>
      </c>
      <c r="L268" s="31" t="inlineStr">
        <is>
          <t>1- Cosecha M.I</t>
        </is>
      </c>
      <c r="M268" s="31" t="inlineStr">
        <is>
          <t>450 kg/jh, 15 jh/cuadrilla $85/kg prom año</t>
        </is>
      </c>
      <c r="N268" s="30" t="inlineStr">
        <is>
          <t>trato</t>
        </is>
      </c>
      <c r="O268" s="30" t="inlineStr">
        <is>
          <t>kg</t>
        </is>
      </c>
      <c r="P268" s="33" t="n"/>
      <c r="Q268" s="34" t="n">
        <v>994455</v>
      </c>
      <c r="R268" s="33" t="n">
        <v>64192070.25</v>
      </c>
      <c r="S268" s="35" t="n">
        <v>0.0717222222222222</v>
      </c>
      <c r="T268" s="33" t="n">
        <v>64.55</v>
      </c>
      <c r="U268" s="33" t="n">
        <v>4419.8</v>
      </c>
      <c r="V268" s="33" t="n">
        <v>8839.6</v>
      </c>
      <c r="W268" s="33" t="n">
        <v>6574.4525</v>
      </c>
      <c r="X268" s="33" t="n">
        <v>3756.83</v>
      </c>
      <c r="Y268" s="33" t="n">
        <v>6629.7</v>
      </c>
      <c r="Z268" s="33" t="n">
        <v>7734.65</v>
      </c>
      <c r="AA268" s="33" t="n">
        <v>7734.65</v>
      </c>
      <c r="AB268" s="33" t="n">
        <v>6629.7</v>
      </c>
      <c r="AC268" s="33" t="n">
        <v>8508.115</v>
      </c>
      <c r="AD268" s="33" t="n">
        <v>5303.76</v>
      </c>
      <c r="AE268" s="33" t="n">
        <v>2983.365</v>
      </c>
      <c r="AF268" s="33" t="n">
        <v>2209.9</v>
      </c>
    </row>
    <row r="269" ht="15" customHeight="1" s="176">
      <c r="A269" s="42" t="inlineStr">
        <is>
          <t>P-0266</t>
        </is>
      </c>
      <c r="B269" s="42" t="inlineStr">
        <is>
          <t>2026/27</t>
        </is>
      </c>
      <c r="C269" s="42" t="inlineStr">
        <is>
          <t>Santa Catalina</t>
        </is>
      </c>
      <c r="D269" s="43" t="inlineStr">
        <is>
          <t>eureka 10,6 ha</t>
        </is>
      </c>
      <c r="E269" s="42" t="inlineStr">
        <is>
          <t>Limon</t>
        </is>
      </c>
      <c r="F269" s="42" t="inlineStr">
        <is>
          <t>Eureka</t>
        </is>
      </c>
      <c r="G269" s="42" t="inlineStr">
        <is>
          <t>Producción</t>
        </is>
      </c>
      <c r="H269" s="44" t="n">
        <v>10.6</v>
      </c>
      <c r="I269" s="44" t="n">
        <v>10.6</v>
      </c>
      <c r="J269" s="42" t="inlineStr">
        <is>
          <t>Ingreso</t>
        </is>
      </c>
      <c r="K269" s="43" t="inlineStr">
        <is>
          <t>5- Ingresos</t>
        </is>
      </c>
      <c r="L269" s="43" t="inlineStr">
        <is>
          <t>Venta M.I.</t>
        </is>
      </c>
      <c r="M269" s="43" t="n"/>
      <c r="N269" s="42" t="inlineStr">
        <is>
          <t>venta</t>
        </is>
      </c>
      <c r="O269" s="42" t="inlineStr">
        <is>
          <t>kg</t>
        </is>
      </c>
      <c r="P269" s="45" t="n">
        <v>-356.666666666667</v>
      </c>
      <c r="Q269" s="46" t="n">
        <v>393623.579999999</v>
      </c>
      <c r="R269" s="45" t="n">
        <v>131694460.632</v>
      </c>
      <c r="S269" s="47" t="n">
        <v>-0.371743934852683</v>
      </c>
      <c r="T269" s="45" t="n">
        <v>-334.569541367415</v>
      </c>
      <c r="U269" s="45" t="n">
        <v>6197.18399999999</v>
      </c>
      <c r="V269" s="45" t="n">
        <v>2405.47743333333</v>
      </c>
      <c r="W269" s="45" t="n">
        <v>1749.43813333333</v>
      </c>
      <c r="X269" s="45" t="n">
        <v>1836.91004</v>
      </c>
      <c r="Y269" s="45" t="n">
        <v>6560.39299999999</v>
      </c>
      <c r="Z269" s="45" t="n">
        <v>13120.786</v>
      </c>
      <c r="AA269" s="45" t="n">
        <v>19331.2913733333</v>
      </c>
      <c r="AB269" s="45" t="n">
        <v>26241.572</v>
      </c>
      <c r="AC269" s="45" t="n">
        <v>31489.8863999999</v>
      </c>
      <c r="AD269" s="45" t="n">
        <v>21430.6171333333</v>
      </c>
      <c r="AE269" s="45" t="n">
        <v>13995.5050666666</v>
      </c>
      <c r="AF269" s="45" t="n">
        <v>1968.1179</v>
      </c>
    </row>
    <row r="270" ht="15" customHeight="1" s="176">
      <c r="A270" s="30" t="inlineStr">
        <is>
          <t>P-0267</t>
        </is>
      </c>
      <c r="B270" s="30" t="inlineStr">
        <is>
          <t>2026/27</t>
        </is>
      </c>
      <c r="C270" s="30" t="inlineStr">
        <is>
          <t>Santa Catalina</t>
        </is>
      </c>
      <c r="D270" s="31" t="inlineStr">
        <is>
          <t>form benjamin 1,93 ha</t>
        </is>
      </c>
      <c r="E270" s="30" t="inlineStr">
        <is>
          <t>Limon</t>
        </is>
      </c>
      <c r="F270" s="30" t="inlineStr">
        <is>
          <t>Benjamin andes</t>
        </is>
      </c>
      <c r="G270" s="30" t="inlineStr">
        <is>
          <t>Formación</t>
        </is>
      </c>
      <c r="H270" s="32" t="n">
        <v>1.93</v>
      </c>
      <c r="I270" s="32" t="n">
        <v>0</v>
      </c>
      <c r="J270" s="30" t="inlineStr">
        <is>
          <t>Costo</t>
        </is>
      </c>
      <c r="K270" s="31" t="inlineStr">
        <is>
          <t>3- Gasto general</t>
        </is>
      </c>
      <c r="L270" s="31" t="inlineStr">
        <is>
          <t>1- GASTOS DEL PERSONAL</t>
        </is>
      </c>
      <c r="M270" s="31" t="inlineStr">
        <is>
          <t>Alimentacion</t>
        </is>
      </c>
      <c r="N270" s="30" t="n"/>
      <c r="O270" s="30" t="inlineStr">
        <is>
          <t>ha</t>
        </is>
      </c>
      <c r="P270" s="33" t="n">
        <v>29806.7860508954</v>
      </c>
      <c r="Q270" s="34" t="n">
        <v>1.93</v>
      </c>
      <c r="R270" s="33" t="n">
        <v>207097.549481621</v>
      </c>
      <c r="S270" s="35" t="n">
        <v>0</v>
      </c>
      <c r="T270" s="33" t="n">
        <v>0</v>
      </c>
      <c r="U270" s="33" t="n">
        <v>19.175699026076</v>
      </c>
      <c r="V270" s="33" t="n">
        <v>19.175699026076</v>
      </c>
      <c r="W270" s="33" t="n">
        <v>19.175699026076</v>
      </c>
      <c r="X270" s="33" t="n">
        <v>19.175699026076</v>
      </c>
      <c r="Y270" s="33" t="n">
        <v>19.175699026076</v>
      </c>
      <c r="Z270" s="33" t="n">
        <v>19.175699026076</v>
      </c>
      <c r="AA270" s="33" t="n">
        <v>19.175699026076</v>
      </c>
      <c r="AB270" s="33" t="n">
        <v>19.175699026076</v>
      </c>
      <c r="AC270" s="33" t="n">
        <v>19.175699026076</v>
      </c>
      <c r="AD270" s="33" t="n">
        <v>19.175699026076</v>
      </c>
      <c r="AE270" s="33" t="n">
        <v>19.175699026076</v>
      </c>
      <c r="AF270" s="33" t="n">
        <v>19.175699026076</v>
      </c>
    </row>
    <row r="271" ht="15" customHeight="1" s="176">
      <c r="A271" s="36" t="inlineStr">
        <is>
          <t>P-0268</t>
        </is>
      </c>
      <c r="B271" s="36" t="inlineStr">
        <is>
          <t>2026/27</t>
        </is>
      </c>
      <c r="C271" s="36" t="inlineStr">
        <is>
          <t>Santa Catalina</t>
        </is>
      </c>
      <c r="D271" s="37" t="inlineStr">
        <is>
          <t>form benjamin 1,93 ha</t>
        </is>
      </c>
      <c r="E271" s="36" t="inlineStr">
        <is>
          <t>Limon</t>
        </is>
      </c>
      <c r="F271" s="36" t="inlineStr">
        <is>
          <t>Benjamin andes</t>
        </is>
      </c>
      <c r="G271" s="36" t="inlineStr">
        <is>
          <t>Formación</t>
        </is>
      </c>
      <c r="H271" s="38" t="n">
        <v>1.93</v>
      </c>
      <c r="I271" s="38" t="n">
        <v>0</v>
      </c>
      <c r="J271" s="36" t="inlineStr">
        <is>
          <t>Costo</t>
        </is>
      </c>
      <c r="K271" s="37" t="inlineStr">
        <is>
          <t>3- Gasto general</t>
        </is>
      </c>
      <c r="L271" s="37" t="inlineStr">
        <is>
          <t>1- GASTOS DEL PERSONAL</t>
        </is>
      </c>
      <c r="M271" s="37" t="inlineStr">
        <is>
          <t xml:space="preserve">movilizacion </t>
        </is>
      </c>
      <c r="N271" s="36" t="n"/>
      <c r="O271" s="36" t="inlineStr">
        <is>
          <t>ha</t>
        </is>
      </c>
      <c r="P271" s="39" t="n">
        <v>18402.4505183789</v>
      </c>
      <c r="Q271" s="40" t="n">
        <v>1.93</v>
      </c>
      <c r="R271" s="39" t="n">
        <v>127860.226201697</v>
      </c>
      <c r="S271" s="41" t="n">
        <v>0</v>
      </c>
      <c r="T271" s="39" t="n">
        <v>0</v>
      </c>
      <c r="U271" s="39" t="n">
        <v>11.8389098334904</v>
      </c>
      <c r="V271" s="39" t="n">
        <v>11.8389098334904</v>
      </c>
      <c r="W271" s="39" t="n">
        <v>11.8389098334904</v>
      </c>
      <c r="X271" s="39" t="n">
        <v>11.8389098334904</v>
      </c>
      <c r="Y271" s="39" t="n">
        <v>11.8389098334904</v>
      </c>
      <c r="Z271" s="39" t="n">
        <v>11.8389098334904</v>
      </c>
      <c r="AA271" s="39" t="n">
        <v>11.8389098334904</v>
      </c>
      <c r="AB271" s="39" t="n">
        <v>11.8389098334904</v>
      </c>
      <c r="AC271" s="39" t="n">
        <v>11.8389098334904</v>
      </c>
      <c r="AD271" s="39" t="n">
        <v>11.8389098334904</v>
      </c>
      <c r="AE271" s="39" t="n">
        <v>11.8389098334904</v>
      </c>
      <c r="AF271" s="39" t="n">
        <v>11.8389098334904</v>
      </c>
    </row>
    <row r="272" ht="15" customHeight="1" s="176">
      <c r="A272" s="30" t="inlineStr">
        <is>
          <t>P-0269</t>
        </is>
      </c>
      <c r="B272" s="30" t="inlineStr">
        <is>
          <t>2026/27</t>
        </is>
      </c>
      <c r="C272" s="30" t="inlineStr">
        <is>
          <t>Santa Catalina</t>
        </is>
      </c>
      <c r="D272" s="31" t="inlineStr">
        <is>
          <t>eureka 22,55</t>
        </is>
      </c>
      <c r="E272" s="30" t="inlineStr">
        <is>
          <t>Limon</t>
        </is>
      </c>
      <c r="F272" s="30" t="inlineStr">
        <is>
          <t>Eureka</t>
        </is>
      </c>
      <c r="G272" s="30" t="inlineStr">
        <is>
          <t>Producción</t>
        </is>
      </c>
      <c r="H272" s="32" t="n">
        <v>22.55</v>
      </c>
      <c r="I272" s="32" t="n">
        <v>22.55</v>
      </c>
      <c r="J272" s="30" t="inlineStr">
        <is>
          <t>Costo</t>
        </is>
      </c>
      <c r="K272" s="31" t="inlineStr">
        <is>
          <t>3- Gasto general</t>
        </is>
      </c>
      <c r="L272" s="31" t="inlineStr">
        <is>
          <t>1- GASTOS DEL PERSONAL</t>
        </is>
      </c>
      <c r="M272" s="31" t="inlineStr">
        <is>
          <t>Alimentacion</t>
        </is>
      </c>
      <c r="N272" s="30" t="n"/>
      <c r="O272" s="30" t="inlineStr">
        <is>
          <t>ha</t>
        </is>
      </c>
      <c r="P272" s="33" t="n">
        <v>29806.7860508954</v>
      </c>
      <c r="Q272" s="34" t="n">
        <v>22.55</v>
      </c>
      <c r="R272" s="33" t="n">
        <v>6718741.68237512</v>
      </c>
      <c r="S272" s="35" t="n">
        <v>0.00472934338674207</v>
      </c>
      <c r="T272" s="33" t="n">
        <v>4.25640904806786</v>
      </c>
      <c r="U272" s="33" t="n">
        <v>622.1057113310291</v>
      </c>
      <c r="V272" s="33" t="n">
        <v>622.1057113310291</v>
      </c>
      <c r="W272" s="33" t="n">
        <v>622.1057113310291</v>
      </c>
      <c r="X272" s="33" t="n">
        <v>622.1057113310291</v>
      </c>
      <c r="Y272" s="33" t="n">
        <v>622.1057113310291</v>
      </c>
      <c r="Z272" s="33" t="n">
        <v>622.1057113310291</v>
      </c>
      <c r="AA272" s="33" t="n">
        <v>622.1057113310291</v>
      </c>
      <c r="AB272" s="33" t="n">
        <v>622.1057113310291</v>
      </c>
      <c r="AC272" s="33" t="n">
        <v>622.1057113310291</v>
      </c>
      <c r="AD272" s="33" t="n">
        <v>622.1057113310291</v>
      </c>
      <c r="AE272" s="33" t="n">
        <v>622.1057113310291</v>
      </c>
      <c r="AF272" s="33" t="n">
        <v>622.1057113310291</v>
      </c>
    </row>
    <row r="273" ht="15" customHeight="1" s="176">
      <c r="A273" s="36" t="inlineStr">
        <is>
          <t>P-0270</t>
        </is>
      </c>
      <c r="B273" s="36" t="inlineStr">
        <is>
          <t>2026/27</t>
        </is>
      </c>
      <c r="C273" s="36" t="inlineStr">
        <is>
          <t>Santa Catalina</t>
        </is>
      </c>
      <c r="D273" s="37" t="inlineStr">
        <is>
          <t>eureka 22,55</t>
        </is>
      </c>
      <c r="E273" s="36" t="inlineStr">
        <is>
          <t>Limon</t>
        </is>
      </c>
      <c r="F273" s="36" t="inlineStr">
        <is>
          <t>Eureka</t>
        </is>
      </c>
      <c r="G273" s="36" t="inlineStr">
        <is>
          <t>Producción</t>
        </is>
      </c>
      <c r="H273" s="38" t="n">
        <v>22.55</v>
      </c>
      <c r="I273" s="38" t="n">
        <v>22.55</v>
      </c>
      <c r="J273" s="36" t="inlineStr">
        <is>
          <t>Costo</t>
        </is>
      </c>
      <c r="K273" s="37" t="inlineStr">
        <is>
          <t>3- Gasto general</t>
        </is>
      </c>
      <c r="L273" s="37" t="inlineStr">
        <is>
          <t>1- GASTOS DEL PERSONAL</t>
        </is>
      </c>
      <c r="M273" s="37" t="inlineStr">
        <is>
          <t xml:space="preserve">movilizacion </t>
        </is>
      </c>
      <c r="N273" s="36" t="n"/>
      <c r="O273" s="36" t="inlineStr">
        <is>
          <t>ha</t>
        </is>
      </c>
      <c r="P273" s="39" t="n">
        <v>18402.4505183789</v>
      </c>
      <c r="Q273" s="40" t="n">
        <v>22.55</v>
      </c>
      <c r="R273" s="39" t="n">
        <v>4148092.69085768</v>
      </c>
      <c r="S273" s="41" t="n">
        <v>0.00291985548224945</v>
      </c>
      <c r="T273" s="39" t="n">
        <v>2.62786993402451</v>
      </c>
      <c r="U273" s="39" t="n">
        <v>384.082656560897</v>
      </c>
      <c r="V273" s="39" t="n">
        <v>384.082656560897</v>
      </c>
      <c r="W273" s="39" t="n">
        <v>384.082656560897</v>
      </c>
      <c r="X273" s="39" t="n">
        <v>384.082656560897</v>
      </c>
      <c r="Y273" s="39" t="n">
        <v>384.082656560897</v>
      </c>
      <c r="Z273" s="39" t="n">
        <v>384.082656560897</v>
      </c>
      <c r="AA273" s="39" t="n">
        <v>384.082656560897</v>
      </c>
      <c r="AB273" s="39" t="n">
        <v>384.082656560897</v>
      </c>
      <c r="AC273" s="39" t="n">
        <v>384.082656560897</v>
      </c>
      <c r="AD273" s="39" t="n">
        <v>384.082656560897</v>
      </c>
      <c r="AE273" s="39" t="n">
        <v>384.082656560897</v>
      </c>
      <c r="AF273" s="39" t="n">
        <v>384.082656560897</v>
      </c>
    </row>
    <row r="274" ht="15" customHeight="1" s="176">
      <c r="A274" s="30" t="inlineStr">
        <is>
          <t>P-0271</t>
        </is>
      </c>
      <c r="B274" s="30" t="inlineStr">
        <is>
          <t>2026/27</t>
        </is>
      </c>
      <c r="C274" s="30" t="inlineStr">
        <is>
          <t>Santa Catalina</t>
        </is>
      </c>
      <c r="D274" s="31" t="inlineStr">
        <is>
          <t>W. murcott 21 ha</t>
        </is>
      </c>
      <c r="E274" s="30" t="inlineStr">
        <is>
          <t>Mandarina</t>
        </is>
      </c>
      <c r="F274" s="30" t="inlineStr">
        <is>
          <t>W. murcott</t>
        </is>
      </c>
      <c r="G274" s="30" t="inlineStr">
        <is>
          <t>Producción</t>
        </is>
      </c>
      <c r="H274" s="32" t="n">
        <v>21</v>
      </c>
      <c r="I274" s="32" t="n">
        <v>21</v>
      </c>
      <c r="J274" s="30" t="inlineStr">
        <is>
          <t>Costo</t>
        </is>
      </c>
      <c r="K274" s="31" t="inlineStr">
        <is>
          <t>1- M.O. directa</t>
        </is>
      </c>
      <c r="L274" s="31" t="inlineStr">
        <is>
          <t>3- Tractorista cosecha</t>
        </is>
      </c>
      <c r="M274" s="31" t="inlineStr">
        <is>
          <t>un tract.   para 30-40  jh</t>
        </is>
      </c>
      <c r="N274" s="30" t="inlineStr">
        <is>
          <t>día</t>
        </is>
      </c>
      <c r="O274" s="30" t="inlineStr">
        <is>
          <t>kg</t>
        </is>
      </c>
      <c r="P274" s="33" t="n">
        <v>3</v>
      </c>
      <c r="Q274" s="34" t="n">
        <v>1050000</v>
      </c>
      <c r="R274" s="33" t="n">
        <v>3150000</v>
      </c>
      <c r="S274" s="35" t="n">
        <v>0.00333333333333333</v>
      </c>
      <c r="T274" s="33" t="n">
        <v>3</v>
      </c>
      <c r="U274" s="33" t="n">
        <v>0</v>
      </c>
      <c r="V274" s="33" t="n">
        <v>0</v>
      </c>
      <c r="W274" s="33" t="n">
        <v>1750</v>
      </c>
      <c r="X274" s="33" t="n">
        <v>1750</v>
      </c>
      <c r="Y274" s="33" t="n">
        <v>0</v>
      </c>
      <c r="Z274" s="33" t="n">
        <v>0</v>
      </c>
      <c r="AA274" s="33" t="n">
        <v>0</v>
      </c>
      <c r="AB274" s="33" t="n">
        <v>0</v>
      </c>
      <c r="AC274" s="33" t="n">
        <v>0</v>
      </c>
      <c r="AD274" s="33" t="n">
        <v>0</v>
      </c>
      <c r="AE274" s="33" t="n">
        <v>0</v>
      </c>
      <c r="AF274" s="33" t="n">
        <v>0</v>
      </c>
    </row>
    <row r="275" ht="15" customHeight="1" s="176">
      <c r="A275" s="36" t="inlineStr">
        <is>
          <t>P-0272</t>
        </is>
      </c>
      <c r="B275" s="36" t="inlineStr">
        <is>
          <t>2026/27</t>
        </is>
      </c>
      <c r="C275" s="36" t="inlineStr">
        <is>
          <t>Santa Catalina</t>
        </is>
      </c>
      <c r="D275" s="37" t="inlineStr">
        <is>
          <t>mant eureka 2,5 ha</t>
        </is>
      </c>
      <c r="E275" s="36" t="inlineStr">
        <is>
          <t>Limon</t>
        </is>
      </c>
      <c r="F275" s="36" t="inlineStr">
        <is>
          <t>Eureka</t>
        </is>
      </c>
      <c r="G275" s="36" t="inlineStr">
        <is>
          <t>Mantención</t>
        </is>
      </c>
      <c r="H275" s="38" t="n">
        <v>2.5</v>
      </c>
      <c r="I275" s="38" t="n">
        <v>0</v>
      </c>
      <c r="J275" s="36" t="inlineStr">
        <is>
          <t>Costo</t>
        </is>
      </c>
      <c r="K275" s="37" t="inlineStr">
        <is>
          <t>3- Gasto general</t>
        </is>
      </c>
      <c r="L275" s="37" t="inlineStr">
        <is>
          <t>1- GASTOS DEL PERSONAL</t>
        </is>
      </c>
      <c r="M275" s="37" t="inlineStr">
        <is>
          <t>Alimentacion</t>
        </is>
      </c>
      <c r="N275" s="36" t="n"/>
      <c r="O275" s="36" t="inlineStr">
        <is>
          <t>ha</t>
        </is>
      </c>
      <c r="P275" s="39" t="n">
        <v>29806.7860508954</v>
      </c>
      <c r="Q275" s="40" t="n">
        <v>2.5</v>
      </c>
      <c r="R275" s="39" t="n">
        <v>744871.583411876</v>
      </c>
      <c r="S275" s="41" t="n">
        <v>0</v>
      </c>
      <c r="T275" s="39" t="n">
        <v>0</v>
      </c>
      <c r="U275" s="39" t="n">
        <v>68.9695910566552</v>
      </c>
      <c r="V275" s="39" t="n">
        <v>68.9695910566552</v>
      </c>
      <c r="W275" s="39" t="n">
        <v>68.9695910566552</v>
      </c>
      <c r="X275" s="39" t="n">
        <v>68.9695910566552</v>
      </c>
      <c r="Y275" s="39" t="n">
        <v>68.9695910566552</v>
      </c>
      <c r="Z275" s="39" t="n">
        <v>68.9695910566552</v>
      </c>
      <c r="AA275" s="39" t="n">
        <v>68.9695910566552</v>
      </c>
      <c r="AB275" s="39" t="n">
        <v>68.9695910566552</v>
      </c>
      <c r="AC275" s="39" t="n">
        <v>68.9695910566552</v>
      </c>
      <c r="AD275" s="39" t="n">
        <v>68.9695910566552</v>
      </c>
      <c r="AE275" s="39" t="n">
        <v>68.9695910566552</v>
      </c>
      <c r="AF275" s="39" t="n">
        <v>68.9695910566552</v>
      </c>
    </row>
    <row r="276" ht="15" customHeight="1" s="176">
      <c r="A276" s="30" t="inlineStr">
        <is>
          <t>P-0273</t>
        </is>
      </c>
      <c r="B276" s="30" t="inlineStr">
        <is>
          <t>2026/27</t>
        </is>
      </c>
      <c r="C276" s="30" t="inlineStr">
        <is>
          <t>Santa Catalina</t>
        </is>
      </c>
      <c r="D276" s="31" t="inlineStr">
        <is>
          <t>mant eureka 2,5 ha</t>
        </is>
      </c>
      <c r="E276" s="30" t="inlineStr">
        <is>
          <t>Limon</t>
        </is>
      </c>
      <c r="F276" s="30" t="inlineStr">
        <is>
          <t>Eureka</t>
        </is>
      </c>
      <c r="G276" s="30" t="inlineStr">
        <is>
          <t>Mantención</t>
        </is>
      </c>
      <c r="H276" s="32" t="n">
        <v>2.5</v>
      </c>
      <c r="I276" s="32" t="n">
        <v>0</v>
      </c>
      <c r="J276" s="30" t="inlineStr">
        <is>
          <t>Costo</t>
        </is>
      </c>
      <c r="K276" s="31" t="inlineStr">
        <is>
          <t>3- Gasto general</t>
        </is>
      </c>
      <c r="L276" s="31" t="inlineStr">
        <is>
          <t>1- GASTOS DEL PERSONAL</t>
        </is>
      </c>
      <c r="M276" s="31" t="inlineStr">
        <is>
          <t xml:space="preserve">movilizacion </t>
        </is>
      </c>
      <c r="N276" s="30" t="n"/>
      <c r="O276" s="30" t="inlineStr">
        <is>
          <t>ha</t>
        </is>
      </c>
      <c r="P276" s="33" t="n">
        <v>18402.4505183789</v>
      </c>
      <c r="Q276" s="34" t="n">
        <v>2.5</v>
      </c>
      <c r="R276" s="33" t="n">
        <v>459877.238454289</v>
      </c>
      <c r="S276" s="35" t="n">
        <v>0</v>
      </c>
      <c r="T276" s="33" t="n">
        <v>0</v>
      </c>
      <c r="U276" s="33" t="n">
        <v>42.5812257828045</v>
      </c>
      <c r="V276" s="33" t="n">
        <v>42.5812257828045</v>
      </c>
      <c r="W276" s="33" t="n">
        <v>42.5812257828045</v>
      </c>
      <c r="X276" s="33" t="n">
        <v>42.5812257828045</v>
      </c>
      <c r="Y276" s="33" t="n">
        <v>42.5812257828045</v>
      </c>
      <c r="Z276" s="33" t="n">
        <v>42.5812257828045</v>
      </c>
      <c r="AA276" s="33" t="n">
        <v>42.5812257828045</v>
      </c>
      <c r="AB276" s="33" t="n">
        <v>42.5812257828045</v>
      </c>
      <c r="AC276" s="33" t="n">
        <v>42.5812257828045</v>
      </c>
      <c r="AD276" s="33" t="n">
        <v>42.5812257828045</v>
      </c>
      <c r="AE276" s="33" t="n">
        <v>42.5812257828045</v>
      </c>
      <c r="AF276" s="33" t="n">
        <v>42.5812257828045</v>
      </c>
    </row>
    <row r="277" ht="15" customHeight="1" s="176">
      <c r="A277" s="36" t="inlineStr">
        <is>
          <t>P-0274</t>
        </is>
      </c>
      <c r="B277" s="36" t="inlineStr">
        <is>
          <t>2026/27</t>
        </is>
      </c>
      <c r="C277" s="36" t="inlineStr">
        <is>
          <t>Santa Catalina</t>
        </is>
      </c>
      <c r="D277" s="37" t="inlineStr">
        <is>
          <t>Fino 49 7,7 ha</t>
        </is>
      </c>
      <c r="E277" s="36" t="inlineStr">
        <is>
          <t>Limon</t>
        </is>
      </c>
      <c r="F277" s="36" t="inlineStr">
        <is>
          <t>Fino 49</t>
        </is>
      </c>
      <c r="G277" s="36" t="inlineStr">
        <is>
          <t>Producción</t>
        </is>
      </c>
      <c r="H277" s="38" t="n">
        <v>7.7</v>
      </c>
      <c r="I277" s="38" t="n">
        <v>7.7</v>
      </c>
      <c r="J277" s="36" t="inlineStr">
        <is>
          <t>Costo</t>
        </is>
      </c>
      <c r="K277" s="37" t="inlineStr">
        <is>
          <t>3- Gasto general</t>
        </is>
      </c>
      <c r="L277" s="37" t="inlineStr">
        <is>
          <t>1- GASTOS DEL PERSONAL</t>
        </is>
      </c>
      <c r="M277" s="37" t="inlineStr">
        <is>
          <t>Alimentacion</t>
        </is>
      </c>
      <c r="N277" s="36" t="n"/>
      <c r="O277" s="36" t="inlineStr">
        <is>
          <t>ha</t>
        </is>
      </c>
      <c r="P277" s="39" t="n">
        <v>29806.7860508954</v>
      </c>
      <c r="Q277" s="40" t="n">
        <v>7.7</v>
      </c>
      <c r="R277" s="39" t="n">
        <v>2294204.47690858</v>
      </c>
      <c r="S277" s="41" t="n">
        <v>0.00472934338674207</v>
      </c>
      <c r="T277" s="39" t="n">
        <v>4.25640904806786</v>
      </c>
      <c r="U277" s="39" t="n">
        <v>212.426340454498</v>
      </c>
      <c r="V277" s="39" t="n">
        <v>212.426340454498</v>
      </c>
      <c r="W277" s="39" t="n">
        <v>212.426340454498</v>
      </c>
      <c r="X277" s="39" t="n">
        <v>212.426340454498</v>
      </c>
      <c r="Y277" s="39" t="n">
        <v>212.426340454498</v>
      </c>
      <c r="Z277" s="39" t="n">
        <v>212.426340454498</v>
      </c>
      <c r="AA277" s="39" t="n">
        <v>212.426340454498</v>
      </c>
      <c r="AB277" s="39" t="n">
        <v>212.426340454498</v>
      </c>
      <c r="AC277" s="39" t="n">
        <v>212.426340454498</v>
      </c>
      <c r="AD277" s="39" t="n">
        <v>212.426340454498</v>
      </c>
      <c r="AE277" s="39" t="n">
        <v>212.426340454498</v>
      </c>
      <c r="AF277" s="39" t="n">
        <v>212.426340454498</v>
      </c>
    </row>
    <row r="278" ht="15" customHeight="1" s="176">
      <c r="A278" s="30" t="inlineStr">
        <is>
          <t>P-0275</t>
        </is>
      </c>
      <c r="B278" s="30" t="inlineStr">
        <is>
          <t>2026/27</t>
        </is>
      </c>
      <c r="C278" s="30" t="inlineStr">
        <is>
          <t>Santa Catalina</t>
        </is>
      </c>
      <c r="D278" s="31" t="inlineStr">
        <is>
          <t>Fino 49 7,7 ha</t>
        </is>
      </c>
      <c r="E278" s="30" t="inlineStr">
        <is>
          <t>Limon</t>
        </is>
      </c>
      <c r="F278" s="30" t="inlineStr">
        <is>
          <t>Fino 49</t>
        </is>
      </c>
      <c r="G278" s="30" t="inlineStr">
        <is>
          <t>Producción</t>
        </is>
      </c>
      <c r="H278" s="32" t="n">
        <v>7.7</v>
      </c>
      <c r="I278" s="32" t="n">
        <v>7.7</v>
      </c>
      <c r="J278" s="30" t="inlineStr">
        <is>
          <t>Costo</t>
        </is>
      </c>
      <c r="K278" s="31" t="inlineStr">
        <is>
          <t>3- Gasto general</t>
        </is>
      </c>
      <c r="L278" s="31" t="inlineStr">
        <is>
          <t>1- GASTOS DEL PERSONAL</t>
        </is>
      </c>
      <c r="M278" s="31" t="inlineStr">
        <is>
          <t xml:space="preserve">movilizacion </t>
        </is>
      </c>
      <c r="N278" s="30" t="n"/>
      <c r="O278" s="30" t="inlineStr">
        <is>
          <t>ha</t>
        </is>
      </c>
      <c r="P278" s="33" t="n">
        <v>18402.4505183789</v>
      </c>
      <c r="Q278" s="34" t="n">
        <v>7.7</v>
      </c>
      <c r="R278" s="33" t="n">
        <v>1416421.89443921</v>
      </c>
      <c r="S278" s="35" t="n">
        <v>0.00291985548224945</v>
      </c>
      <c r="T278" s="33" t="n">
        <v>2.62786993402451</v>
      </c>
      <c r="U278" s="33" t="n">
        <v>131.150175411038</v>
      </c>
      <c r="V278" s="33" t="n">
        <v>131.150175411038</v>
      </c>
      <c r="W278" s="33" t="n">
        <v>131.150175411038</v>
      </c>
      <c r="X278" s="33" t="n">
        <v>131.150175411038</v>
      </c>
      <c r="Y278" s="33" t="n">
        <v>131.150175411038</v>
      </c>
      <c r="Z278" s="33" t="n">
        <v>131.150175411038</v>
      </c>
      <c r="AA278" s="33" t="n">
        <v>131.150175411038</v>
      </c>
      <c r="AB278" s="33" t="n">
        <v>131.150175411038</v>
      </c>
      <c r="AC278" s="33" t="n">
        <v>131.150175411038</v>
      </c>
      <c r="AD278" s="33" t="n">
        <v>131.150175411038</v>
      </c>
      <c r="AE278" s="33" t="n">
        <v>131.150175411038</v>
      </c>
      <c r="AF278" s="33" t="n">
        <v>131.150175411038</v>
      </c>
    </row>
    <row r="279" ht="15" customHeight="1" s="176">
      <c r="A279" s="36" t="inlineStr">
        <is>
          <t>P-0276</t>
        </is>
      </c>
      <c r="B279" s="36" t="inlineStr">
        <is>
          <t>2026/27</t>
        </is>
      </c>
      <c r="C279" s="36" t="inlineStr">
        <is>
          <t>Santa Catalina</t>
        </is>
      </c>
      <c r="D279" s="37" t="inlineStr">
        <is>
          <t>eureka 14,4 ha</t>
        </is>
      </c>
      <c r="E279" s="36" t="inlineStr">
        <is>
          <t>Limon</t>
        </is>
      </c>
      <c r="F279" s="36" t="inlineStr">
        <is>
          <t>Eureka</t>
        </is>
      </c>
      <c r="G279" s="36" t="inlineStr">
        <is>
          <t>Producción</t>
        </is>
      </c>
      <c r="H279" s="38" t="n">
        <v>14.4</v>
      </c>
      <c r="I279" s="38" t="n">
        <v>14.4</v>
      </c>
      <c r="J279" s="36" t="inlineStr">
        <is>
          <t>Costo</t>
        </is>
      </c>
      <c r="K279" s="37" t="inlineStr">
        <is>
          <t>3- Gasto general</t>
        </is>
      </c>
      <c r="L279" s="37" t="inlineStr">
        <is>
          <t>1- GASTOS DEL PERSONAL</t>
        </is>
      </c>
      <c r="M279" s="37" t="inlineStr">
        <is>
          <t>Alimentacion</t>
        </is>
      </c>
      <c r="N279" s="36" t="n"/>
      <c r="O279" s="36" t="inlineStr">
        <is>
          <t>ha</t>
        </is>
      </c>
      <c r="P279" s="39" t="n">
        <v>29806.7860508954</v>
      </c>
      <c r="Q279" s="40" t="n">
        <v>14.4</v>
      </c>
      <c r="R279" s="39" t="n">
        <v>4290460.3204524</v>
      </c>
      <c r="S279" s="41" t="n">
        <v>0.00472934338674207</v>
      </c>
      <c r="T279" s="39" t="n">
        <v>4.25640904806786</v>
      </c>
      <c r="U279" s="39" t="n">
        <v>397.264844486334</v>
      </c>
      <c r="V279" s="39" t="n">
        <v>397.264844486334</v>
      </c>
      <c r="W279" s="39" t="n">
        <v>397.264844486334</v>
      </c>
      <c r="X279" s="39" t="n">
        <v>397.264844486334</v>
      </c>
      <c r="Y279" s="39" t="n">
        <v>397.264844486334</v>
      </c>
      <c r="Z279" s="39" t="n">
        <v>397.264844486334</v>
      </c>
      <c r="AA279" s="39" t="n">
        <v>397.264844486334</v>
      </c>
      <c r="AB279" s="39" t="n">
        <v>397.264844486334</v>
      </c>
      <c r="AC279" s="39" t="n">
        <v>397.264844486334</v>
      </c>
      <c r="AD279" s="39" t="n">
        <v>397.264844486334</v>
      </c>
      <c r="AE279" s="39" t="n">
        <v>397.264844486334</v>
      </c>
      <c r="AF279" s="39" t="n">
        <v>397.264844486334</v>
      </c>
    </row>
    <row r="280" ht="15" customHeight="1" s="176">
      <c r="A280" s="30" t="inlineStr">
        <is>
          <t>P-0277</t>
        </is>
      </c>
      <c r="B280" s="30" t="inlineStr">
        <is>
          <t>2026/27</t>
        </is>
      </c>
      <c r="C280" s="30" t="inlineStr">
        <is>
          <t>Santa Catalina</t>
        </is>
      </c>
      <c r="D280" s="31" t="inlineStr">
        <is>
          <t>eureka 14,4 ha</t>
        </is>
      </c>
      <c r="E280" s="30" t="inlineStr">
        <is>
          <t>Limon</t>
        </is>
      </c>
      <c r="F280" s="30" t="inlineStr">
        <is>
          <t>Eureka</t>
        </is>
      </c>
      <c r="G280" s="30" t="inlineStr">
        <is>
          <t>Producción</t>
        </is>
      </c>
      <c r="H280" s="32" t="n">
        <v>14.4</v>
      </c>
      <c r="I280" s="32" t="n">
        <v>14.4</v>
      </c>
      <c r="J280" s="30" t="inlineStr">
        <is>
          <t>Costo</t>
        </is>
      </c>
      <c r="K280" s="31" t="inlineStr">
        <is>
          <t>3- Gasto general</t>
        </is>
      </c>
      <c r="L280" s="31" t="inlineStr">
        <is>
          <t>1- GASTOS DEL PERSONAL</t>
        </is>
      </c>
      <c r="M280" s="31" t="inlineStr">
        <is>
          <t xml:space="preserve">movilizacion </t>
        </is>
      </c>
      <c r="N280" s="30" t="n"/>
      <c r="O280" s="30" t="inlineStr">
        <is>
          <t>ha</t>
        </is>
      </c>
      <c r="P280" s="33" t="n">
        <v>18402.4505183789</v>
      </c>
      <c r="Q280" s="34" t="n">
        <v>14.4</v>
      </c>
      <c r="R280" s="33" t="n">
        <v>2648892.8934967</v>
      </c>
      <c r="S280" s="35" t="n">
        <v>0.00291985548224945</v>
      </c>
      <c r="T280" s="33" t="n">
        <v>2.6278699340245</v>
      </c>
      <c r="U280" s="33" t="n">
        <v>245.267860508954</v>
      </c>
      <c r="V280" s="33" t="n">
        <v>245.267860508954</v>
      </c>
      <c r="W280" s="33" t="n">
        <v>245.267860508954</v>
      </c>
      <c r="X280" s="33" t="n">
        <v>245.267860508954</v>
      </c>
      <c r="Y280" s="33" t="n">
        <v>245.267860508954</v>
      </c>
      <c r="Z280" s="33" t="n">
        <v>245.267860508954</v>
      </c>
      <c r="AA280" s="33" t="n">
        <v>245.267860508954</v>
      </c>
      <c r="AB280" s="33" t="n">
        <v>245.267860508954</v>
      </c>
      <c r="AC280" s="33" t="n">
        <v>245.267860508954</v>
      </c>
      <c r="AD280" s="33" t="n">
        <v>245.267860508954</v>
      </c>
      <c r="AE280" s="33" t="n">
        <v>245.267860508954</v>
      </c>
      <c r="AF280" s="33" t="n">
        <v>245.267860508954</v>
      </c>
    </row>
    <row r="281" ht="15" customHeight="1" s="176">
      <c r="A281" s="36" t="inlineStr">
        <is>
          <t>P-0278</t>
        </is>
      </c>
      <c r="B281" s="36" t="inlineStr">
        <is>
          <t>2026/27</t>
        </is>
      </c>
      <c r="C281" s="36" t="inlineStr">
        <is>
          <t>Santa Catalina</t>
        </is>
      </c>
      <c r="D281" s="37" t="inlineStr">
        <is>
          <t>eureka 10,6 ha</t>
        </is>
      </c>
      <c r="E281" s="36" t="inlineStr">
        <is>
          <t>Limon</t>
        </is>
      </c>
      <c r="F281" s="36" t="inlineStr">
        <is>
          <t>Eureka</t>
        </is>
      </c>
      <c r="G281" s="36" t="inlineStr">
        <is>
          <t>Producción</t>
        </is>
      </c>
      <c r="H281" s="38" t="n">
        <v>10.6</v>
      </c>
      <c r="I281" s="38" t="n">
        <v>10.6</v>
      </c>
      <c r="J281" s="36" t="inlineStr">
        <is>
          <t>Costo</t>
        </is>
      </c>
      <c r="K281" s="37" t="inlineStr">
        <is>
          <t>3- Gasto general</t>
        </is>
      </c>
      <c r="L281" s="37" t="inlineStr">
        <is>
          <t>1- GASTOS DEL PERSONAL</t>
        </is>
      </c>
      <c r="M281" s="37" t="inlineStr">
        <is>
          <t>Alimentacion</t>
        </is>
      </c>
      <c r="N281" s="36" t="n"/>
      <c r="O281" s="36" t="inlineStr">
        <is>
          <t>ha</t>
        </is>
      </c>
      <c r="P281" s="39" t="n">
        <v>29806.7860508954</v>
      </c>
      <c r="Q281" s="40" t="n">
        <v>10.6</v>
      </c>
      <c r="R281" s="39" t="n">
        <v>3158255.51366635</v>
      </c>
      <c r="S281" s="41" t="n">
        <v>0.00472934338674207</v>
      </c>
      <c r="T281" s="39" t="n">
        <v>4.25640904806786</v>
      </c>
      <c r="U281" s="39" t="n">
        <v>292.431066080218</v>
      </c>
      <c r="V281" s="39" t="n">
        <v>292.431066080218</v>
      </c>
      <c r="W281" s="39" t="n">
        <v>292.431066080218</v>
      </c>
      <c r="X281" s="39" t="n">
        <v>292.431066080218</v>
      </c>
      <c r="Y281" s="39" t="n">
        <v>292.431066080218</v>
      </c>
      <c r="Z281" s="39" t="n">
        <v>292.431066080218</v>
      </c>
      <c r="AA281" s="39" t="n">
        <v>292.431066080218</v>
      </c>
      <c r="AB281" s="39" t="n">
        <v>292.431066080218</v>
      </c>
      <c r="AC281" s="39" t="n">
        <v>292.431066080218</v>
      </c>
      <c r="AD281" s="39" t="n">
        <v>292.431066080218</v>
      </c>
      <c r="AE281" s="39" t="n">
        <v>292.431066080218</v>
      </c>
      <c r="AF281" s="39" t="n">
        <v>292.431066080218</v>
      </c>
    </row>
    <row r="282" ht="15" customHeight="1" s="176">
      <c r="A282" s="30" t="inlineStr">
        <is>
          <t>P-0279</t>
        </is>
      </c>
      <c r="B282" s="30" t="inlineStr">
        <is>
          <t>2026/27</t>
        </is>
      </c>
      <c r="C282" s="30" t="inlineStr">
        <is>
          <t>Santa Catalina</t>
        </is>
      </c>
      <c r="D282" s="31" t="inlineStr">
        <is>
          <t>eureka 10,6 ha</t>
        </is>
      </c>
      <c r="E282" s="30" t="inlineStr">
        <is>
          <t>Limon</t>
        </is>
      </c>
      <c r="F282" s="30" t="inlineStr">
        <is>
          <t>Eureka</t>
        </is>
      </c>
      <c r="G282" s="30" t="inlineStr">
        <is>
          <t>Producción</t>
        </is>
      </c>
      <c r="H282" s="32" t="n">
        <v>10.6</v>
      </c>
      <c r="I282" s="32" t="n">
        <v>10.6</v>
      </c>
      <c r="J282" s="30" t="inlineStr">
        <is>
          <t>Costo</t>
        </is>
      </c>
      <c r="K282" s="31" t="inlineStr">
        <is>
          <t>3- Gasto general</t>
        </is>
      </c>
      <c r="L282" s="31" t="inlineStr">
        <is>
          <t>1- GASTOS DEL PERSONAL</t>
        </is>
      </c>
      <c r="M282" s="31" t="inlineStr">
        <is>
          <t xml:space="preserve">movilizacion </t>
        </is>
      </c>
      <c r="N282" s="30" t="n"/>
      <c r="O282" s="30" t="inlineStr">
        <is>
          <t>ha</t>
        </is>
      </c>
      <c r="P282" s="33" t="n">
        <v>18402.4505183789</v>
      </c>
      <c r="Q282" s="34" t="n">
        <v>10.6</v>
      </c>
      <c r="R282" s="33" t="n">
        <v>1949879.49104618</v>
      </c>
      <c r="S282" s="35" t="n">
        <v>0.00291985548224945</v>
      </c>
      <c r="T282" s="33" t="n">
        <v>2.62786993402451</v>
      </c>
      <c r="U282" s="33" t="n">
        <v>180.544397319091</v>
      </c>
      <c r="V282" s="33" t="n">
        <v>180.544397319091</v>
      </c>
      <c r="W282" s="33" t="n">
        <v>180.544397319091</v>
      </c>
      <c r="X282" s="33" t="n">
        <v>180.544397319091</v>
      </c>
      <c r="Y282" s="33" t="n">
        <v>180.544397319091</v>
      </c>
      <c r="Z282" s="33" t="n">
        <v>180.544397319091</v>
      </c>
      <c r="AA282" s="33" t="n">
        <v>180.544397319091</v>
      </c>
      <c r="AB282" s="33" t="n">
        <v>180.544397319091</v>
      </c>
      <c r="AC282" s="33" t="n">
        <v>180.544397319091</v>
      </c>
      <c r="AD282" s="33" t="n">
        <v>180.544397319091</v>
      </c>
      <c r="AE282" s="33" t="n">
        <v>180.544397319091</v>
      </c>
      <c r="AF282" s="33" t="n">
        <v>180.544397319091</v>
      </c>
    </row>
    <row r="283" ht="15" customHeight="1" s="176">
      <c r="A283" s="36" t="inlineStr">
        <is>
          <t>P-0280</t>
        </is>
      </c>
      <c r="B283" s="36" t="inlineStr">
        <is>
          <t>2026/27</t>
        </is>
      </c>
      <c r="C283" s="36" t="inlineStr">
        <is>
          <t>Santa Catalina</t>
        </is>
      </c>
      <c r="D283" s="37" t="inlineStr">
        <is>
          <t>form benjamin 1,93 ha</t>
        </is>
      </c>
      <c r="E283" s="36" t="inlineStr">
        <is>
          <t>Limon</t>
        </is>
      </c>
      <c r="F283" s="36" t="inlineStr">
        <is>
          <t>Benjamin andes</t>
        </is>
      </c>
      <c r="G283" s="36" t="inlineStr">
        <is>
          <t>Formación</t>
        </is>
      </c>
      <c r="H283" s="38" t="n">
        <v>1.93</v>
      </c>
      <c r="I283" s="38" t="n">
        <v>0</v>
      </c>
      <c r="J283" s="36" t="inlineStr">
        <is>
          <t>Costo</t>
        </is>
      </c>
      <c r="K283" s="37" t="inlineStr">
        <is>
          <t>1- M.O. directa</t>
        </is>
      </c>
      <c r="L283" s="37" t="inlineStr">
        <is>
          <t xml:space="preserve">1,4- Mantención caminos </t>
        </is>
      </c>
      <c r="M283" s="37" t="inlineStr">
        <is>
          <t>(pala, rastra, rana)</t>
        </is>
      </c>
      <c r="N283" s="36" t="inlineStr">
        <is>
          <t>día</t>
        </is>
      </c>
      <c r="O283" s="36" t="inlineStr">
        <is>
          <t>ha</t>
        </is>
      </c>
      <c r="P283" s="39" t="n">
        <v>43500</v>
      </c>
      <c r="Q283" s="40" t="n">
        <v>1.93</v>
      </c>
      <c r="R283" s="39" t="n">
        <v>251865</v>
      </c>
      <c r="S283" s="41" t="n">
        <v>0</v>
      </c>
      <c r="T283" s="39" t="n">
        <v>0</v>
      </c>
      <c r="U283" s="39" t="n">
        <v>0</v>
      </c>
      <c r="V283" s="39" t="n">
        <v>0</v>
      </c>
      <c r="W283" s="39" t="n">
        <v>0</v>
      </c>
      <c r="X283" s="39" t="n">
        <v>0</v>
      </c>
      <c r="Y283" s="39" t="n">
        <v>0</v>
      </c>
      <c r="Z283" s="39" t="n">
        <v>93.2833333333333</v>
      </c>
      <c r="AA283" s="39" t="n">
        <v>0</v>
      </c>
      <c r="AB283" s="39" t="n">
        <v>93.2833333333333</v>
      </c>
      <c r="AC283" s="39" t="n">
        <v>0</v>
      </c>
      <c r="AD283" s="39" t="n">
        <v>0</v>
      </c>
      <c r="AE283" s="39" t="n">
        <v>0</v>
      </c>
      <c r="AF283" s="39" t="n">
        <v>93.2833333333333</v>
      </c>
    </row>
    <row r="284" ht="15" customHeight="1" s="176">
      <c r="A284" s="30" t="inlineStr">
        <is>
          <t>P-0281</t>
        </is>
      </c>
      <c r="B284" s="30" t="inlineStr">
        <is>
          <t>2026/27</t>
        </is>
      </c>
      <c r="C284" s="30" t="inlineStr">
        <is>
          <t>Santa Catalina</t>
        </is>
      </c>
      <c r="D284" s="31" t="inlineStr">
        <is>
          <t>eureka 22,55</t>
        </is>
      </c>
      <c r="E284" s="30" t="inlineStr">
        <is>
          <t>Limon</t>
        </is>
      </c>
      <c r="F284" s="30" t="inlineStr">
        <is>
          <t>Eureka</t>
        </is>
      </c>
      <c r="G284" s="30" t="inlineStr">
        <is>
          <t>Producción</t>
        </is>
      </c>
      <c r="H284" s="32" t="n">
        <v>22.55</v>
      </c>
      <c r="I284" s="32" t="n">
        <v>22.55</v>
      </c>
      <c r="J284" s="30" t="inlineStr">
        <is>
          <t>Costo</t>
        </is>
      </c>
      <c r="K284" s="31" t="inlineStr">
        <is>
          <t>1- M.O. directa</t>
        </is>
      </c>
      <c r="L284" s="31" t="inlineStr">
        <is>
          <t xml:space="preserve">1,4- Mantención caminos </t>
        </is>
      </c>
      <c r="M284" s="31" t="inlineStr">
        <is>
          <t>(pala, rastra, rana)</t>
        </is>
      </c>
      <c r="N284" s="30" t="inlineStr">
        <is>
          <t>día</t>
        </is>
      </c>
      <c r="O284" s="30" t="inlineStr">
        <is>
          <t>ha</t>
        </is>
      </c>
      <c r="P284" s="33" t="n">
        <v>43500</v>
      </c>
      <c r="Q284" s="34" t="n">
        <v>22.55</v>
      </c>
      <c r="R284" s="33" t="n">
        <v>2942775</v>
      </c>
      <c r="S284" s="35" t="n">
        <v>0.00207142857142857</v>
      </c>
      <c r="T284" s="33" t="n">
        <v>1.86428571428571</v>
      </c>
      <c r="U284" s="33" t="n">
        <v>0</v>
      </c>
      <c r="V284" s="33" t="n">
        <v>0</v>
      </c>
      <c r="W284" s="33" t="n">
        <v>0</v>
      </c>
      <c r="X284" s="33" t="n">
        <v>0</v>
      </c>
      <c r="Y284" s="33" t="n">
        <v>0</v>
      </c>
      <c r="Z284" s="33" t="n">
        <v>1089.91666666667</v>
      </c>
      <c r="AA284" s="33" t="n">
        <v>0</v>
      </c>
      <c r="AB284" s="33" t="n">
        <v>1089.91666666667</v>
      </c>
      <c r="AC284" s="33" t="n">
        <v>0</v>
      </c>
      <c r="AD284" s="33" t="n">
        <v>0</v>
      </c>
      <c r="AE284" s="33" t="n">
        <v>0</v>
      </c>
      <c r="AF284" s="33" t="n">
        <v>1089.91666666667</v>
      </c>
    </row>
    <row r="285" ht="15" customHeight="1" s="176">
      <c r="A285" s="36" t="inlineStr">
        <is>
          <t>P-0282</t>
        </is>
      </c>
      <c r="B285" s="36" t="inlineStr">
        <is>
          <t>2026/27</t>
        </is>
      </c>
      <c r="C285" s="36" t="inlineStr">
        <is>
          <t>Santa Catalina</t>
        </is>
      </c>
      <c r="D285" s="37" t="inlineStr">
        <is>
          <t>eureka 22,55</t>
        </is>
      </c>
      <c r="E285" s="36" t="inlineStr">
        <is>
          <t>Limon</t>
        </is>
      </c>
      <c r="F285" s="36" t="inlineStr">
        <is>
          <t>Eureka</t>
        </is>
      </c>
      <c r="G285" s="36" t="inlineStr">
        <is>
          <t>Producción</t>
        </is>
      </c>
      <c r="H285" s="38" t="n">
        <v>22.55</v>
      </c>
      <c r="I285" s="38" t="n">
        <v>22.55</v>
      </c>
      <c r="J285" s="36" t="inlineStr">
        <is>
          <t>Costo</t>
        </is>
      </c>
      <c r="K285" s="37" t="inlineStr">
        <is>
          <t>1- M.O. directa</t>
        </is>
      </c>
      <c r="L285" s="37" t="inlineStr">
        <is>
          <t xml:space="preserve">1,4- Mantención caminos </t>
        </is>
      </c>
      <c r="M285" s="37" t="inlineStr">
        <is>
          <t>(pala, rastra, rana)</t>
        </is>
      </c>
      <c r="N285" s="36" t="inlineStr">
        <is>
          <t>día</t>
        </is>
      </c>
      <c r="O285" s="36" t="inlineStr">
        <is>
          <t>ha</t>
        </is>
      </c>
      <c r="P285" s="39" t="n">
        <v>43500</v>
      </c>
      <c r="Q285" s="40" t="n">
        <v>22.55</v>
      </c>
      <c r="R285" s="39" t="n">
        <v>2942775</v>
      </c>
      <c r="S285" s="41" t="n">
        <v>0.00207142857142857</v>
      </c>
      <c r="T285" s="39" t="n">
        <v>1.86428571428571</v>
      </c>
      <c r="U285" s="39" t="n">
        <v>0</v>
      </c>
      <c r="V285" s="39" t="n">
        <v>0</v>
      </c>
      <c r="W285" s="39" t="n">
        <v>0</v>
      </c>
      <c r="X285" s="39" t="n">
        <v>0</v>
      </c>
      <c r="Y285" s="39" t="n">
        <v>0</v>
      </c>
      <c r="Z285" s="39" t="n">
        <v>1089.91666666667</v>
      </c>
      <c r="AA285" s="39" t="n">
        <v>0</v>
      </c>
      <c r="AB285" s="39" t="n">
        <v>1089.91666666667</v>
      </c>
      <c r="AC285" s="39" t="n">
        <v>0</v>
      </c>
      <c r="AD285" s="39" t="n">
        <v>0</v>
      </c>
      <c r="AE285" s="39" t="n">
        <v>0</v>
      </c>
      <c r="AF285" s="39" t="n">
        <v>1089.91666666667</v>
      </c>
    </row>
    <row r="286" ht="15" customHeight="1" s="176">
      <c r="A286" s="30" t="inlineStr">
        <is>
          <t>P-0283</t>
        </is>
      </c>
      <c r="B286" s="30" t="inlineStr">
        <is>
          <t>2026/27</t>
        </is>
      </c>
      <c r="C286" s="30" t="inlineStr">
        <is>
          <t>Santa Catalina</t>
        </is>
      </c>
      <c r="D286" s="31" t="inlineStr">
        <is>
          <t>Fino 49 7,7 ha</t>
        </is>
      </c>
      <c r="E286" s="30" t="inlineStr">
        <is>
          <t>Limon</t>
        </is>
      </c>
      <c r="F286" s="30" t="inlineStr">
        <is>
          <t>Fino 49</t>
        </is>
      </c>
      <c r="G286" s="30" t="inlineStr">
        <is>
          <t>Producción</t>
        </is>
      </c>
      <c r="H286" s="32" t="n">
        <v>7.7</v>
      </c>
      <c r="I286" s="32" t="n">
        <v>7.7</v>
      </c>
      <c r="J286" s="30" t="inlineStr">
        <is>
          <t>Costo</t>
        </is>
      </c>
      <c r="K286" s="31" t="inlineStr">
        <is>
          <t>1- M.O. directa</t>
        </is>
      </c>
      <c r="L286" s="31" t="inlineStr">
        <is>
          <t xml:space="preserve">1,4- Mantención caminos </t>
        </is>
      </c>
      <c r="M286" s="31" t="inlineStr">
        <is>
          <t>(pala, rastra, rana)</t>
        </is>
      </c>
      <c r="N286" s="30" t="inlineStr">
        <is>
          <t>día</t>
        </is>
      </c>
      <c r="O286" s="30" t="inlineStr">
        <is>
          <t>ha</t>
        </is>
      </c>
      <c r="P286" s="33" t="n">
        <v>43500</v>
      </c>
      <c r="Q286" s="34" t="n">
        <v>7.7</v>
      </c>
      <c r="R286" s="33" t="n">
        <v>1004850</v>
      </c>
      <c r="S286" s="35" t="n">
        <v>0.00207142857142857</v>
      </c>
      <c r="T286" s="33" t="n">
        <v>1.86428571428571</v>
      </c>
      <c r="U286" s="33" t="n">
        <v>0</v>
      </c>
      <c r="V286" s="33" t="n">
        <v>0</v>
      </c>
      <c r="W286" s="33" t="n">
        <v>0</v>
      </c>
      <c r="X286" s="33" t="n">
        <v>0</v>
      </c>
      <c r="Y286" s="33" t="n">
        <v>0</v>
      </c>
      <c r="Z286" s="33" t="n">
        <v>372.166666666667</v>
      </c>
      <c r="AA286" s="33" t="n">
        <v>0</v>
      </c>
      <c r="AB286" s="33" t="n">
        <v>372.166666666667</v>
      </c>
      <c r="AC286" s="33" t="n">
        <v>0</v>
      </c>
      <c r="AD286" s="33" t="n">
        <v>0</v>
      </c>
      <c r="AE286" s="33" t="n">
        <v>0</v>
      </c>
      <c r="AF286" s="33" t="n">
        <v>372.166666666667</v>
      </c>
    </row>
    <row r="287" ht="15" customHeight="1" s="176">
      <c r="A287" s="36" t="inlineStr">
        <is>
          <t>P-0284</t>
        </is>
      </c>
      <c r="B287" s="36" t="inlineStr">
        <is>
          <t>2026/27</t>
        </is>
      </c>
      <c r="C287" s="36" t="inlineStr">
        <is>
          <t>Santa Catalina</t>
        </is>
      </c>
      <c r="D287" s="37" t="inlineStr">
        <is>
          <t>eureka 14,4 ha</t>
        </is>
      </c>
      <c r="E287" s="36" t="inlineStr">
        <is>
          <t>Limon</t>
        </is>
      </c>
      <c r="F287" s="36" t="inlineStr">
        <is>
          <t>Eureka</t>
        </is>
      </c>
      <c r="G287" s="36" t="inlineStr">
        <is>
          <t>Producción</t>
        </is>
      </c>
      <c r="H287" s="38" t="n">
        <v>14.4</v>
      </c>
      <c r="I287" s="38" t="n">
        <v>14.4</v>
      </c>
      <c r="J287" s="36" t="inlineStr">
        <is>
          <t>Costo</t>
        </is>
      </c>
      <c r="K287" s="37" t="inlineStr">
        <is>
          <t>1- M.O. directa</t>
        </is>
      </c>
      <c r="L287" s="37" t="inlineStr">
        <is>
          <t xml:space="preserve">1,4- Mantención caminos </t>
        </is>
      </c>
      <c r="M287" s="37" t="inlineStr">
        <is>
          <t>(pala, rastra, rana)</t>
        </is>
      </c>
      <c r="N287" s="36" t="inlineStr">
        <is>
          <t>día</t>
        </is>
      </c>
      <c r="O287" s="36" t="inlineStr">
        <is>
          <t>ha</t>
        </is>
      </c>
      <c r="P287" s="39" t="n">
        <v>43500</v>
      </c>
      <c r="Q287" s="40" t="n">
        <v>14.4</v>
      </c>
      <c r="R287" s="39" t="n">
        <v>1879200</v>
      </c>
      <c r="S287" s="41" t="n">
        <v>0.00207142857142857</v>
      </c>
      <c r="T287" s="39" t="n">
        <v>1.86428571428571</v>
      </c>
      <c r="U287" s="39" t="n">
        <v>0</v>
      </c>
      <c r="V287" s="39" t="n">
        <v>0</v>
      </c>
      <c r="W287" s="39" t="n">
        <v>0</v>
      </c>
      <c r="X287" s="39" t="n">
        <v>0</v>
      </c>
      <c r="Y287" s="39" t="n">
        <v>0</v>
      </c>
      <c r="Z287" s="39" t="n">
        <v>696</v>
      </c>
      <c r="AA287" s="39" t="n">
        <v>0</v>
      </c>
      <c r="AB287" s="39" t="n">
        <v>696</v>
      </c>
      <c r="AC287" s="39" t="n">
        <v>0</v>
      </c>
      <c r="AD287" s="39" t="n">
        <v>0</v>
      </c>
      <c r="AE287" s="39" t="n">
        <v>0</v>
      </c>
      <c r="AF287" s="39" t="n">
        <v>696</v>
      </c>
    </row>
    <row r="288" ht="15" customHeight="1" s="176">
      <c r="A288" s="30" t="inlineStr">
        <is>
          <t>P-0285</t>
        </is>
      </c>
      <c r="B288" s="30" t="inlineStr">
        <is>
          <t>2026/27</t>
        </is>
      </c>
      <c r="C288" s="30" t="inlineStr">
        <is>
          <t>Santa Catalina</t>
        </is>
      </c>
      <c r="D288" s="31" t="inlineStr">
        <is>
          <t>eureka 14,4 ha</t>
        </is>
      </c>
      <c r="E288" s="30" t="inlineStr">
        <is>
          <t>Limon</t>
        </is>
      </c>
      <c r="F288" s="30" t="inlineStr">
        <is>
          <t>Eureka</t>
        </is>
      </c>
      <c r="G288" s="30" t="inlineStr">
        <is>
          <t>Producción</t>
        </is>
      </c>
      <c r="H288" s="32" t="n">
        <v>14.4</v>
      </c>
      <c r="I288" s="32" t="n">
        <v>14.4</v>
      </c>
      <c r="J288" s="30" t="inlineStr">
        <is>
          <t>Costo</t>
        </is>
      </c>
      <c r="K288" s="31" t="inlineStr">
        <is>
          <t>1- M.O. directa</t>
        </is>
      </c>
      <c r="L288" s="31" t="inlineStr">
        <is>
          <t xml:space="preserve">1,4- Mantención caminos </t>
        </is>
      </c>
      <c r="M288" s="31" t="inlineStr">
        <is>
          <t>(pala, rastra, rana)</t>
        </is>
      </c>
      <c r="N288" s="30" t="inlineStr">
        <is>
          <t>día</t>
        </is>
      </c>
      <c r="O288" s="30" t="inlineStr">
        <is>
          <t>ha</t>
        </is>
      </c>
      <c r="P288" s="33" t="n">
        <v>43500</v>
      </c>
      <c r="Q288" s="34" t="n">
        <v>14.4</v>
      </c>
      <c r="R288" s="33" t="n">
        <v>1879200</v>
      </c>
      <c r="S288" s="35" t="n">
        <v>0.00207142857142857</v>
      </c>
      <c r="T288" s="33" t="n">
        <v>1.86428571428571</v>
      </c>
      <c r="U288" s="33" t="n">
        <v>0</v>
      </c>
      <c r="V288" s="33" t="n">
        <v>0</v>
      </c>
      <c r="W288" s="33" t="n">
        <v>0</v>
      </c>
      <c r="X288" s="33" t="n">
        <v>0</v>
      </c>
      <c r="Y288" s="33" t="n">
        <v>0</v>
      </c>
      <c r="Z288" s="33" t="n">
        <v>696</v>
      </c>
      <c r="AA288" s="33" t="n">
        <v>0</v>
      </c>
      <c r="AB288" s="33" t="n">
        <v>696</v>
      </c>
      <c r="AC288" s="33" t="n">
        <v>0</v>
      </c>
      <c r="AD288" s="33" t="n">
        <v>0</v>
      </c>
      <c r="AE288" s="33" t="n">
        <v>0</v>
      </c>
      <c r="AF288" s="33" t="n">
        <v>696</v>
      </c>
    </row>
    <row r="289" ht="15" customHeight="1" s="176">
      <c r="A289" s="36" t="inlineStr">
        <is>
          <t>P-0286</t>
        </is>
      </c>
      <c r="B289" s="36" t="inlineStr">
        <is>
          <t>2026/27</t>
        </is>
      </c>
      <c r="C289" s="36" t="inlineStr">
        <is>
          <t>Santa Catalina</t>
        </is>
      </c>
      <c r="D289" s="37" t="inlineStr">
        <is>
          <t>eureka 10,6 ha</t>
        </is>
      </c>
      <c r="E289" s="36" t="inlineStr">
        <is>
          <t>Limon</t>
        </is>
      </c>
      <c r="F289" s="36" t="inlineStr">
        <is>
          <t>Eureka</t>
        </is>
      </c>
      <c r="G289" s="36" t="inlineStr">
        <is>
          <t>Producción</t>
        </is>
      </c>
      <c r="H289" s="38" t="n">
        <v>10.6</v>
      </c>
      <c r="I289" s="38" t="n">
        <v>10.6</v>
      </c>
      <c r="J289" s="36" t="inlineStr">
        <is>
          <t>Costo</t>
        </is>
      </c>
      <c r="K289" s="37" t="inlineStr">
        <is>
          <t>1- M.O. directa</t>
        </is>
      </c>
      <c r="L289" s="37" t="inlineStr">
        <is>
          <t xml:space="preserve">1,4- Mantención caminos </t>
        </is>
      </c>
      <c r="M289" s="37" t="inlineStr">
        <is>
          <t>(pala, rastra, rana)</t>
        </is>
      </c>
      <c r="N289" s="36" t="inlineStr">
        <is>
          <t>día</t>
        </is>
      </c>
      <c r="O289" s="36" t="inlineStr">
        <is>
          <t>ha</t>
        </is>
      </c>
      <c r="P289" s="39" t="n">
        <v>43500</v>
      </c>
      <c r="Q289" s="40" t="n">
        <v>10.6</v>
      </c>
      <c r="R289" s="39" t="n">
        <v>1383300</v>
      </c>
      <c r="S289" s="41" t="n">
        <v>0.00207142857142857</v>
      </c>
      <c r="T289" s="39" t="n">
        <v>1.86428571428571</v>
      </c>
      <c r="U289" s="39" t="n">
        <v>0</v>
      </c>
      <c r="V289" s="39" t="n">
        <v>0</v>
      </c>
      <c r="W289" s="39" t="n">
        <v>0</v>
      </c>
      <c r="X289" s="39" t="n">
        <v>0</v>
      </c>
      <c r="Y289" s="39" t="n">
        <v>0</v>
      </c>
      <c r="Z289" s="39" t="n">
        <v>512.333333333333</v>
      </c>
      <c r="AA289" s="39" t="n">
        <v>0</v>
      </c>
      <c r="AB289" s="39" t="n">
        <v>512.333333333333</v>
      </c>
      <c r="AC289" s="39" t="n">
        <v>0</v>
      </c>
      <c r="AD289" s="39" t="n">
        <v>0</v>
      </c>
      <c r="AE289" s="39" t="n">
        <v>0</v>
      </c>
      <c r="AF289" s="39" t="n">
        <v>512.333333333333</v>
      </c>
    </row>
    <row r="290" ht="15" customHeight="1" s="176">
      <c r="A290" s="30" t="inlineStr">
        <is>
          <t>P-0287</t>
        </is>
      </c>
      <c r="B290" s="30" t="inlineStr">
        <is>
          <t>2026/27</t>
        </is>
      </c>
      <c r="C290" s="30" t="inlineStr">
        <is>
          <t>Santa Catalina</t>
        </is>
      </c>
      <c r="D290" s="31" t="inlineStr">
        <is>
          <t>eureka 10,6 ha</t>
        </is>
      </c>
      <c r="E290" s="30" t="inlineStr">
        <is>
          <t>Limon</t>
        </is>
      </c>
      <c r="F290" s="30" t="inlineStr">
        <is>
          <t>Eureka</t>
        </is>
      </c>
      <c r="G290" s="30" t="inlineStr">
        <is>
          <t>Producción</t>
        </is>
      </c>
      <c r="H290" s="32" t="n">
        <v>10.6</v>
      </c>
      <c r="I290" s="32" t="n">
        <v>10.6</v>
      </c>
      <c r="J290" s="30" t="inlineStr">
        <is>
          <t>Costo</t>
        </is>
      </c>
      <c r="K290" s="31" t="inlineStr">
        <is>
          <t>1- M.O. directa</t>
        </is>
      </c>
      <c r="L290" s="31" t="inlineStr">
        <is>
          <t xml:space="preserve">1,4- Mantención caminos </t>
        </is>
      </c>
      <c r="M290" s="31" t="inlineStr">
        <is>
          <t>(pala, rastra, rana)</t>
        </is>
      </c>
      <c r="N290" s="30" t="inlineStr">
        <is>
          <t>día</t>
        </is>
      </c>
      <c r="O290" s="30" t="inlineStr">
        <is>
          <t>ha</t>
        </is>
      </c>
      <c r="P290" s="33" t="n">
        <v>43500</v>
      </c>
      <c r="Q290" s="34" t="n">
        <v>10.6</v>
      </c>
      <c r="R290" s="33" t="n">
        <v>1383300</v>
      </c>
      <c r="S290" s="35" t="n">
        <v>0.00207142857142857</v>
      </c>
      <c r="T290" s="33" t="n">
        <v>1.86428571428571</v>
      </c>
      <c r="U290" s="33" t="n">
        <v>0</v>
      </c>
      <c r="V290" s="33" t="n">
        <v>0</v>
      </c>
      <c r="W290" s="33" t="n">
        <v>0</v>
      </c>
      <c r="X290" s="33" t="n">
        <v>0</v>
      </c>
      <c r="Y290" s="33" t="n">
        <v>0</v>
      </c>
      <c r="Z290" s="33" t="n">
        <v>512.333333333333</v>
      </c>
      <c r="AA290" s="33" t="n">
        <v>0</v>
      </c>
      <c r="AB290" s="33" t="n">
        <v>512.333333333333</v>
      </c>
      <c r="AC290" s="33" t="n">
        <v>0</v>
      </c>
      <c r="AD290" s="33" t="n">
        <v>0</v>
      </c>
      <c r="AE290" s="33" t="n">
        <v>0</v>
      </c>
      <c r="AF290" s="33" t="n">
        <v>512.333333333333</v>
      </c>
    </row>
    <row r="291" ht="15" customHeight="1" s="176">
      <c r="A291" s="36" t="inlineStr">
        <is>
          <t>P-0288</t>
        </is>
      </c>
      <c r="B291" s="36" t="inlineStr">
        <is>
          <t>2026/27</t>
        </is>
      </c>
      <c r="C291" s="36" t="inlineStr">
        <is>
          <t>Santa Catalina</t>
        </is>
      </c>
      <c r="D291" s="37" t="inlineStr">
        <is>
          <t>form benjamin 1,93 ha</t>
        </is>
      </c>
      <c r="E291" s="36" t="inlineStr">
        <is>
          <t>Limon</t>
        </is>
      </c>
      <c r="F291" s="36" t="inlineStr">
        <is>
          <t>Benjamin andes</t>
        </is>
      </c>
      <c r="G291" s="36" t="inlineStr">
        <is>
          <t>Formación</t>
        </is>
      </c>
      <c r="H291" s="38" t="n">
        <v>1.93</v>
      </c>
      <c r="I291" s="38" t="n">
        <v>0</v>
      </c>
      <c r="J291" s="36" t="inlineStr">
        <is>
          <t>Costo</t>
        </is>
      </c>
      <c r="K291" s="37" t="inlineStr">
        <is>
          <t>1- M.O. directa</t>
        </is>
      </c>
      <c r="L291" s="37" t="inlineStr">
        <is>
          <t xml:space="preserve">11- mantención de cercos </t>
        </is>
      </c>
      <c r="M291" s="37" t="n"/>
      <c r="N291" s="36" t="n"/>
      <c r="O291" s="36" t="inlineStr">
        <is>
          <t>ha</t>
        </is>
      </c>
      <c r="P291" s="39" t="n">
        <v>38500</v>
      </c>
      <c r="Q291" s="40" t="n">
        <v>1.93</v>
      </c>
      <c r="R291" s="39" t="n">
        <v>260067.5</v>
      </c>
      <c r="S291" s="41" t="n">
        <v>0</v>
      </c>
      <c r="T291" s="39" t="n">
        <v>0</v>
      </c>
      <c r="U291" s="39" t="n">
        <v>0</v>
      </c>
      <c r="V291" s="39" t="n">
        <v>0</v>
      </c>
      <c r="W291" s="39" t="n">
        <v>0</v>
      </c>
      <c r="X291" s="39" t="n">
        <v>0</v>
      </c>
      <c r="Y291" s="39" t="n">
        <v>0</v>
      </c>
      <c r="Z291" s="39" t="n">
        <v>41.2805555555556</v>
      </c>
      <c r="AA291" s="39" t="n">
        <v>41.2805555555556</v>
      </c>
      <c r="AB291" s="39" t="n">
        <v>41.2805555555556</v>
      </c>
      <c r="AC291" s="39" t="n">
        <v>41.2805555555556</v>
      </c>
      <c r="AD291" s="39" t="n">
        <v>41.2805555555556</v>
      </c>
      <c r="AE291" s="39" t="n">
        <v>41.2805555555556</v>
      </c>
      <c r="AF291" s="39" t="n">
        <v>41.2805555555556</v>
      </c>
    </row>
    <row r="292" ht="15" customHeight="1" s="176">
      <c r="A292" s="30" t="inlineStr">
        <is>
          <t>P-0289</t>
        </is>
      </c>
      <c r="B292" s="30" t="inlineStr">
        <is>
          <t>2026/27</t>
        </is>
      </c>
      <c r="C292" s="30" t="inlineStr">
        <is>
          <t>Santa Catalina</t>
        </is>
      </c>
      <c r="D292" s="31" t="inlineStr">
        <is>
          <t>eureka 22,55</t>
        </is>
      </c>
      <c r="E292" s="30" t="inlineStr">
        <is>
          <t>Limon</t>
        </is>
      </c>
      <c r="F292" s="30" t="inlineStr">
        <is>
          <t>Eureka</t>
        </is>
      </c>
      <c r="G292" s="30" t="inlineStr">
        <is>
          <t>Producción</t>
        </is>
      </c>
      <c r="H292" s="32" t="n">
        <v>22.55</v>
      </c>
      <c r="I292" s="32" t="n">
        <v>22.55</v>
      </c>
      <c r="J292" s="30" t="inlineStr">
        <is>
          <t>Costo</t>
        </is>
      </c>
      <c r="K292" s="31" t="inlineStr">
        <is>
          <t>1- M.O. directa</t>
        </is>
      </c>
      <c r="L292" s="31" t="inlineStr">
        <is>
          <t xml:space="preserve">11- mantención de cercos </t>
        </is>
      </c>
      <c r="M292" s="31" t="n"/>
      <c r="N292" s="30" t="n"/>
      <c r="O292" s="30" t="inlineStr">
        <is>
          <t>ha</t>
        </is>
      </c>
      <c r="P292" s="33" t="n">
        <v>38500</v>
      </c>
      <c r="Q292" s="34" t="n">
        <v>22.55</v>
      </c>
      <c r="R292" s="33" t="n">
        <v>3038612.5</v>
      </c>
      <c r="S292" s="35" t="n">
        <v>0.00213888888888889</v>
      </c>
      <c r="T292" s="33" t="n">
        <v>1.925</v>
      </c>
      <c r="U292" s="33" t="n">
        <v>0</v>
      </c>
      <c r="V292" s="33" t="n">
        <v>0</v>
      </c>
      <c r="W292" s="33" t="n">
        <v>0</v>
      </c>
      <c r="X292" s="33" t="n">
        <v>0</v>
      </c>
      <c r="Y292" s="33" t="n">
        <v>0</v>
      </c>
      <c r="Z292" s="33" t="n">
        <v>482.319444444445</v>
      </c>
      <c r="AA292" s="33" t="n">
        <v>482.319444444445</v>
      </c>
      <c r="AB292" s="33" t="n">
        <v>482.319444444445</v>
      </c>
      <c r="AC292" s="33" t="n">
        <v>482.319444444445</v>
      </c>
      <c r="AD292" s="33" t="n">
        <v>482.319444444445</v>
      </c>
      <c r="AE292" s="33" t="n">
        <v>482.319444444445</v>
      </c>
      <c r="AF292" s="33" t="n">
        <v>482.319444444445</v>
      </c>
    </row>
    <row r="293" ht="15" customHeight="1" s="176">
      <c r="A293" s="36" t="inlineStr">
        <is>
          <t>P-0290</t>
        </is>
      </c>
      <c r="B293" s="36" t="inlineStr">
        <is>
          <t>2026/27</t>
        </is>
      </c>
      <c r="C293" s="36" t="inlineStr">
        <is>
          <t>Santa Catalina</t>
        </is>
      </c>
      <c r="D293" s="37" t="inlineStr">
        <is>
          <t>mant eureka 2,5 ha</t>
        </is>
      </c>
      <c r="E293" s="36" t="inlineStr">
        <is>
          <t>Limon</t>
        </is>
      </c>
      <c r="F293" s="36" t="inlineStr">
        <is>
          <t>Eureka</t>
        </is>
      </c>
      <c r="G293" s="36" t="inlineStr">
        <is>
          <t>Mantención</t>
        </is>
      </c>
      <c r="H293" s="38" t="n">
        <v>2.5</v>
      </c>
      <c r="I293" s="38" t="n">
        <v>0</v>
      </c>
      <c r="J293" s="36" t="inlineStr">
        <is>
          <t>Costo</t>
        </is>
      </c>
      <c r="K293" s="37" t="inlineStr">
        <is>
          <t>1- M.O. directa</t>
        </is>
      </c>
      <c r="L293" s="37" t="inlineStr">
        <is>
          <t xml:space="preserve">11- mantención de cercos </t>
        </is>
      </c>
      <c r="M293" s="37" t="n"/>
      <c r="N293" s="36" t="n"/>
      <c r="O293" s="36" t="inlineStr">
        <is>
          <t>ha</t>
        </is>
      </c>
      <c r="P293" s="39" t="n">
        <v>38500</v>
      </c>
      <c r="Q293" s="40" t="n">
        <v>2.5</v>
      </c>
      <c r="R293" s="39" t="n">
        <v>0</v>
      </c>
      <c r="S293" s="41" t="n">
        <v>0</v>
      </c>
      <c r="T293" s="39" t="n">
        <v>0</v>
      </c>
      <c r="U293" s="39" t="n">
        <v>0</v>
      </c>
      <c r="V293" s="39" t="n">
        <v>0</v>
      </c>
      <c r="W293" s="39" t="n">
        <v>0</v>
      </c>
      <c r="X293" s="39" t="n">
        <v>0</v>
      </c>
      <c r="Y293" s="39" t="n">
        <v>0</v>
      </c>
      <c r="Z293" s="39" t="n">
        <v>0</v>
      </c>
      <c r="AA293" s="39" t="n">
        <v>0</v>
      </c>
      <c r="AB293" s="39" t="n">
        <v>0</v>
      </c>
      <c r="AC293" s="39" t="n">
        <v>0</v>
      </c>
      <c r="AD293" s="39" t="n">
        <v>0</v>
      </c>
      <c r="AE293" s="39" t="n">
        <v>0</v>
      </c>
      <c r="AF293" s="39" t="n">
        <v>0</v>
      </c>
    </row>
    <row r="294" ht="15" customHeight="1" s="176">
      <c r="A294" s="30" t="inlineStr">
        <is>
          <t>P-0291</t>
        </is>
      </c>
      <c r="B294" s="30" t="inlineStr">
        <is>
          <t>2026/27</t>
        </is>
      </c>
      <c r="C294" s="30" t="inlineStr">
        <is>
          <t>Santa Catalina</t>
        </is>
      </c>
      <c r="D294" s="31" t="inlineStr">
        <is>
          <t>Fino 49 7,7 ha</t>
        </is>
      </c>
      <c r="E294" s="30" t="inlineStr">
        <is>
          <t>Limon</t>
        </is>
      </c>
      <c r="F294" s="30" t="inlineStr">
        <is>
          <t>Fino 49</t>
        </is>
      </c>
      <c r="G294" s="30" t="inlineStr">
        <is>
          <t>Producción</t>
        </is>
      </c>
      <c r="H294" s="32" t="n">
        <v>7.7</v>
      </c>
      <c r="I294" s="32" t="n">
        <v>7.7</v>
      </c>
      <c r="J294" s="30" t="inlineStr">
        <is>
          <t>Costo</t>
        </is>
      </c>
      <c r="K294" s="31" t="inlineStr">
        <is>
          <t>1- M.O. directa</t>
        </is>
      </c>
      <c r="L294" s="31" t="inlineStr">
        <is>
          <t xml:space="preserve">11- mantención de cercos </t>
        </is>
      </c>
      <c r="M294" s="31" t="n"/>
      <c r="N294" s="30" t="n"/>
      <c r="O294" s="30" t="inlineStr">
        <is>
          <t>ha</t>
        </is>
      </c>
      <c r="P294" s="33" t="n">
        <v>38500</v>
      </c>
      <c r="Q294" s="34" t="n">
        <v>7.7</v>
      </c>
      <c r="R294" s="33" t="n">
        <v>1037575</v>
      </c>
      <c r="S294" s="35" t="n">
        <v>0.00213888888888889</v>
      </c>
      <c r="T294" s="33" t="n">
        <v>1.925</v>
      </c>
      <c r="U294" s="33" t="n">
        <v>0</v>
      </c>
      <c r="V294" s="33" t="n">
        <v>0</v>
      </c>
      <c r="W294" s="33" t="n">
        <v>0</v>
      </c>
      <c r="X294" s="33" t="n">
        <v>0</v>
      </c>
      <c r="Y294" s="33" t="n">
        <v>0</v>
      </c>
      <c r="Z294" s="33" t="n">
        <v>164.694444444445</v>
      </c>
      <c r="AA294" s="33" t="n">
        <v>164.694444444445</v>
      </c>
      <c r="AB294" s="33" t="n">
        <v>164.694444444445</v>
      </c>
      <c r="AC294" s="33" t="n">
        <v>164.694444444445</v>
      </c>
      <c r="AD294" s="33" t="n">
        <v>164.694444444445</v>
      </c>
      <c r="AE294" s="33" t="n">
        <v>164.694444444445</v>
      </c>
      <c r="AF294" s="33" t="n">
        <v>164.694444444445</v>
      </c>
    </row>
    <row r="295" ht="15" customHeight="1" s="176">
      <c r="A295" s="36" t="inlineStr">
        <is>
          <t>P-0292</t>
        </is>
      </c>
      <c r="B295" s="36" t="inlineStr">
        <is>
          <t>2026/27</t>
        </is>
      </c>
      <c r="C295" s="36" t="inlineStr">
        <is>
          <t>Santa Catalina</t>
        </is>
      </c>
      <c r="D295" s="37" t="inlineStr">
        <is>
          <t>eureka 14,4 ha</t>
        </is>
      </c>
      <c r="E295" s="36" t="inlineStr">
        <is>
          <t>Limon</t>
        </is>
      </c>
      <c r="F295" s="36" t="inlineStr">
        <is>
          <t>Eureka</t>
        </is>
      </c>
      <c r="G295" s="36" t="inlineStr">
        <is>
          <t>Producción</t>
        </is>
      </c>
      <c r="H295" s="38" t="n">
        <v>14.4</v>
      </c>
      <c r="I295" s="38" t="n">
        <v>14.4</v>
      </c>
      <c r="J295" s="36" t="inlineStr">
        <is>
          <t>Costo</t>
        </is>
      </c>
      <c r="K295" s="37" t="inlineStr">
        <is>
          <t>1- M.O. directa</t>
        </is>
      </c>
      <c r="L295" s="37" t="inlineStr">
        <is>
          <t xml:space="preserve">11- mantención de cercos </t>
        </is>
      </c>
      <c r="M295" s="37" t="n"/>
      <c r="N295" s="36" t="n"/>
      <c r="O295" s="36" t="inlineStr">
        <is>
          <t>ha</t>
        </is>
      </c>
      <c r="P295" s="39" t="n">
        <v>38500</v>
      </c>
      <c r="Q295" s="40" t="n">
        <v>14.4</v>
      </c>
      <c r="R295" s="39" t="n">
        <v>1940400</v>
      </c>
      <c r="S295" s="41" t="n">
        <v>0.00213888888888889</v>
      </c>
      <c r="T295" s="39" t="n">
        <v>1.925</v>
      </c>
      <c r="U295" s="39" t="n">
        <v>0</v>
      </c>
      <c r="V295" s="39" t="n">
        <v>0</v>
      </c>
      <c r="W295" s="39" t="n">
        <v>0</v>
      </c>
      <c r="X295" s="39" t="n">
        <v>0</v>
      </c>
      <c r="Y295" s="39" t="n">
        <v>0</v>
      </c>
      <c r="Z295" s="39" t="n">
        <v>308</v>
      </c>
      <c r="AA295" s="39" t="n">
        <v>308</v>
      </c>
      <c r="AB295" s="39" t="n">
        <v>308</v>
      </c>
      <c r="AC295" s="39" t="n">
        <v>308</v>
      </c>
      <c r="AD295" s="39" t="n">
        <v>308</v>
      </c>
      <c r="AE295" s="39" t="n">
        <v>308</v>
      </c>
      <c r="AF295" s="39" t="n">
        <v>308</v>
      </c>
    </row>
    <row r="296" ht="15" customHeight="1" s="176">
      <c r="A296" s="30" t="inlineStr">
        <is>
          <t>P-0293</t>
        </is>
      </c>
      <c r="B296" s="30" t="inlineStr">
        <is>
          <t>2026/27</t>
        </is>
      </c>
      <c r="C296" s="30" t="inlineStr">
        <is>
          <t>Santa Catalina</t>
        </is>
      </c>
      <c r="D296" s="31" t="inlineStr">
        <is>
          <t>eureka 10,6 ha</t>
        </is>
      </c>
      <c r="E296" s="30" t="inlineStr">
        <is>
          <t>Limon</t>
        </is>
      </c>
      <c r="F296" s="30" t="inlineStr">
        <is>
          <t>Eureka</t>
        </is>
      </c>
      <c r="G296" s="30" t="inlineStr">
        <is>
          <t>Producción</t>
        </is>
      </c>
      <c r="H296" s="32" t="n">
        <v>10.6</v>
      </c>
      <c r="I296" s="32" t="n">
        <v>10.6</v>
      </c>
      <c r="J296" s="30" t="inlineStr">
        <is>
          <t>Costo</t>
        </is>
      </c>
      <c r="K296" s="31" t="inlineStr">
        <is>
          <t>1- M.O. directa</t>
        </is>
      </c>
      <c r="L296" s="31" t="inlineStr">
        <is>
          <t xml:space="preserve">11- mantención de cercos </t>
        </is>
      </c>
      <c r="M296" s="31" t="n"/>
      <c r="N296" s="30" t="n"/>
      <c r="O296" s="30" t="inlineStr">
        <is>
          <t>ha</t>
        </is>
      </c>
      <c r="P296" s="33" t="n">
        <v>38500</v>
      </c>
      <c r="Q296" s="34" t="n">
        <v>10.6</v>
      </c>
      <c r="R296" s="33" t="n">
        <v>1428350</v>
      </c>
      <c r="S296" s="35" t="n">
        <v>0.00213888888888889</v>
      </c>
      <c r="T296" s="33" t="n">
        <v>1.925</v>
      </c>
      <c r="U296" s="33" t="n">
        <v>0</v>
      </c>
      <c r="V296" s="33" t="n">
        <v>0</v>
      </c>
      <c r="W296" s="33" t="n">
        <v>0</v>
      </c>
      <c r="X296" s="33" t="n">
        <v>0</v>
      </c>
      <c r="Y296" s="33" t="n">
        <v>0</v>
      </c>
      <c r="Z296" s="33" t="n">
        <v>226.722222222222</v>
      </c>
      <c r="AA296" s="33" t="n">
        <v>226.722222222222</v>
      </c>
      <c r="AB296" s="33" t="n">
        <v>226.722222222222</v>
      </c>
      <c r="AC296" s="33" t="n">
        <v>226.722222222222</v>
      </c>
      <c r="AD296" s="33" t="n">
        <v>226.722222222222</v>
      </c>
      <c r="AE296" s="33" t="n">
        <v>226.722222222222</v>
      </c>
      <c r="AF296" s="33" t="n">
        <v>226.722222222222</v>
      </c>
    </row>
    <row r="297" ht="15" customHeight="1" s="176">
      <c r="A297" s="36" t="inlineStr">
        <is>
          <t>P-0294</t>
        </is>
      </c>
      <c r="B297" s="36" t="inlineStr">
        <is>
          <t>2026/27</t>
        </is>
      </c>
      <c r="C297" s="36" t="inlineStr">
        <is>
          <t>Santa Catalina</t>
        </is>
      </c>
      <c r="D297" s="37" t="inlineStr">
        <is>
          <t>form benjamin 1,93 ha</t>
        </is>
      </c>
      <c r="E297" s="36" t="inlineStr">
        <is>
          <t>Limon</t>
        </is>
      </c>
      <c r="F297" s="36" t="inlineStr">
        <is>
          <t>Benjamin andes</t>
        </is>
      </c>
      <c r="G297" s="36" t="inlineStr">
        <is>
          <t>Formación</t>
        </is>
      </c>
      <c r="H297" s="38" t="n">
        <v>1.93</v>
      </c>
      <c r="I297" s="38" t="n">
        <v>0</v>
      </c>
      <c r="J297" s="36" t="inlineStr">
        <is>
          <t>Costo</t>
        </is>
      </c>
      <c r="K297" s="37" t="inlineStr">
        <is>
          <t>1- M.O. directa</t>
        </is>
      </c>
      <c r="L297" s="37" t="inlineStr">
        <is>
          <t>12- Picar sarmiento</t>
        </is>
      </c>
      <c r="M297" s="37" t="n"/>
      <c r="N297" s="36" t="inlineStr">
        <is>
          <t>trato</t>
        </is>
      </c>
      <c r="O297" s="36" t="inlineStr">
        <is>
          <t>plt</t>
        </is>
      </c>
      <c r="P297" s="39" t="n">
        <v>60</v>
      </c>
      <c r="Q297" s="40" t="n">
        <v>804.8099999999999</v>
      </c>
      <c r="R297" s="39" t="n">
        <v>48288.6</v>
      </c>
      <c r="S297" s="41" t="n">
        <v>0</v>
      </c>
      <c r="T297" s="39" t="n">
        <v>0</v>
      </c>
      <c r="U297" s="39" t="n">
        <v>0</v>
      </c>
      <c r="V297" s="39" t="n">
        <v>0</v>
      </c>
      <c r="W297" s="39" t="n">
        <v>0</v>
      </c>
      <c r="X297" s="39" t="n">
        <v>0</v>
      </c>
      <c r="Y297" s="39" t="n">
        <v>26.827</v>
      </c>
      <c r="Z297" s="39" t="n">
        <v>26.827</v>
      </c>
      <c r="AA297" s="39" t="n">
        <v>0</v>
      </c>
      <c r="AB297" s="39" t="n">
        <v>0</v>
      </c>
      <c r="AC297" s="39" t="n">
        <v>0</v>
      </c>
      <c r="AD297" s="39" t="n">
        <v>0</v>
      </c>
      <c r="AE297" s="39" t="n">
        <v>0</v>
      </c>
      <c r="AF297" s="39" t="n">
        <v>0</v>
      </c>
    </row>
    <row r="298" ht="15" customHeight="1" s="176">
      <c r="A298" s="30" t="inlineStr">
        <is>
          <t>P-0295</t>
        </is>
      </c>
      <c r="B298" s="30" t="inlineStr">
        <is>
          <t>2026/27</t>
        </is>
      </c>
      <c r="C298" s="30" t="inlineStr">
        <is>
          <t>Santa Catalina</t>
        </is>
      </c>
      <c r="D298" s="31" t="inlineStr">
        <is>
          <t>eureka 22,55</t>
        </is>
      </c>
      <c r="E298" s="30" t="inlineStr">
        <is>
          <t>Limon</t>
        </is>
      </c>
      <c r="F298" s="30" t="inlineStr">
        <is>
          <t>Eureka</t>
        </is>
      </c>
      <c r="G298" s="30" t="inlineStr">
        <is>
          <t>Producción</t>
        </is>
      </c>
      <c r="H298" s="32" t="n">
        <v>22.55</v>
      </c>
      <c r="I298" s="32" t="n">
        <v>22.55</v>
      </c>
      <c r="J298" s="30" t="inlineStr">
        <is>
          <t>Costo</t>
        </is>
      </c>
      <c r="K298" s="31" t="inlineStr">
        <is>
          <t>1- M.O. directa</t>
        </is>
      </c>
      <c r="L298" s="31" t="inlineStr">
        <is>
          <t>12- Picar sarmiento</t>
        </is>
      </c>
      <c r="M298" s="31" t="n"/>
      <c r="N298" s="30" t="inlineStr">
        <is>
          <t>trato</t>
        </is>
      </c>
      <c r="O298" s="30" t="inlineStr">
        <is>
          <t>plt</t>
        </is>
      </c>
      <c r="P298" s="33" t="n">
        <v>60</v>
      </c>
      <c r="Q298" s="34" t="n">
        <v>9403.35</v>
      </c>
      <c r="R298" s="33" t="n">
        <v>564201</v>
      </c>
      <c r="S298" s="35" t="n">
        <v>0.000397142857142857</v>
      </c>
      <c r="T298" s="33" t="n">
        <v>0.357428571428571</v>
      </c>
      <c r="U298" s="33" t="n">
        <v>0</v>
      </c>
      <c r="V298" s="33" t="n">
        <v>0</v>
      </c>
      <c r="W298" s="33" t="n">
        <v>0</v>
      </c>
      <c r="X298" s="33" t="n">
        <v>0</v>
      </c>
      <c r="Y298" s="33" t="n">
        <v>313.445</v>
      </c>
      <c r="Z298" s="33" t="n">
        <v>313.445</v>
      </c>
      <c r="AA298" s="33" t="n">
        <v>0</v>
      </c>
      <c r="AB298" s="33" t="n">
        <v>0</v>
      </c>
      <c r="AC298" s="33" t="n">
        <v>0</v>
      </c>
      <c r="AD298" s="33" t="n">
        <v>0</v>
      </c>
      <c r="AE298" s="33" t="n">
        <v>0</v>
      </c>
      <c r="AF298" s="33" t="n">
        <v>0</v>
      </c>
    </row>
    <row r="299" ht="15" customHeight="1" s="176">
      <c r="A299" s="36" t="inlineStr">
        <is>
          <t>P-0296</t>
        </is>
      </c>
      <c r="B299" s="36" t="inlineStr">
        <is>
          <t>2026/27</t>
        </is>
      </c>
      <c r="C299" s="36" t="inlineStr">
        <is>
          <t>Santa Catalina</t>
        </is>
      </c>
      <c r="D299" s="37" t="inlineStr">
        <is>
          <t>mant eureka 2,5 ha</t>
        </is>
      </c>
      <c r="E299" s="36" t="inlineStr">
        <is>
          <t>Limon</t>
        </is>
      </c>
      <c r="F299" s="36" t="inlineStr">
        <is>
          <t>Eureka</t>
        </is>
      </c>
      <c r="G299" s="36" t="inlineStr">
        <is>
          <t>Mantención</t>
        </is>
      </c>
      <c r="H299" s="38" t="n">
        <v>2.5</v>
      </c>
      <c r="I299" s="38" t="n">
        <v>0</v>
      </c>
      <c r="J299" s="36" t="inlineStr">
        <is>
          <t>Costo</t>
        </is>
      </c>
      <c r="K299" s="37" t="inlineStr">
        <is>
          <t>1- M.O. directa</t>
        </is>
      </c>
      <c r="L299" s="37" t="inlineStr">
        <is>
          <t>12- Picar sarmiento</t>
        </is>
      </c>
      <c r="M299" s="37" t="n"/>
      <c r="N299" s="36" t="inlineStr">
        <is>
          <t>trato</t>
        </is>
      </c>
      <c r="O299" s="36" t="inlineStr">
        <is>
          <t>plt</t>
        </is>
      </c>
      <c r="P299" s="39" t="n">
        <v>60</v>
      </c>
      <c r="Q299" s="40" t="n">
        <v>1042.5</v>
      </c>
      <c r="R299" s="39" t="n">
        <v>0</v>
      </c>
      <c r="S299" s="41" t="n">
        <v>0</v>
      </c>
      <c r="T299" s="39" t="n">
        <v>0</v>
      </c>
      <c r="U299" s="39" t="n">
        <v>0</v>
      </c>
      <c r="V299" s="39" t="n">
        <v>0</v>
      </c>
      <c r="W299" s="39" t="n">
        <v>0</v>
      </c>
      <c r="X299" s="39" t="n">
        <v>0</v>
      </c>
      <c r="Y299" s="39" t="n">
        <v>0</v>
      </c>
      <c r="Z299" s="39" t="n">
        <v>0</v>
      </c>
      <c r="AA299" s="39" t="n">
        <v>0</v>
      </c>
      <c r="AB299" s="39" t="n">
        <v>0</v>
      </c>
      <c r="AC299" s="39" t="n">
        <v>0</v>
      </c>
      <c r="AD299" s="39" t="n">
        <v>0</v>
      </c>
      <c r="AE299" s="39" t="n">
        <v>0</v>
      </c>
      <c r="AF299" s="39" t="n">
        <v>0</v>
      </c>
    </row>
    <row r="300" ht="15" customHeight="1" s="176">
      <c r="A300" s="30" t="inlineStr">
        <is>
          <t>P-0297</t>
        </is>
      </c>
      <c r="B300" s="30" t="inlineStr">
        <is>
          <t>2026/27</t>
        </is>
      </c>
      <c r="C300" s="30" t="inlineStr">
        <is>
          <t>Santa Catalina</t>
        </is>
      </c>
      <c r="D300" s="31" t="inlineStr">
        <is>
          <t>Fino 49 7,7 ha</t>
        </is>
      </c>
      <c r="E300" s="30" t="inlineStr">
        <is>
          <t>Limon</t>
        </is>
      </c>
      <c r="F300" s="30" t="inlineStr">
        <is>
          <t>Fino 49</t>
        </is>
      </c>
      <c r="G300" s="30" t="inlineStr">
        <is>
          <t>Producción</t>
        </is>
      </c>
      <c r="H300" s="32" t="n">
        <v>7.7</v>
      </c>
      <c r="I300" s="32" t="n">
        <v>7.7</v>
      </c>
      <c r="J300" s="30" t="inlineStr">
        <is>
          <t>Costo</t>
        </is>
      </c>
      <c r="K300" s="31" t="inlineStr">
        <is>
          <t>1- M.O. directa</t>
        </is>
      </c>
      <c r="L300" s="31" t="inlineStr">
        <is>
          <t>12- Picar sarmiento</t>
        </is>
      </c>
      <c r="M300" s="31" t="n"/>
      <c r="N300" s="30" t="inlineStr">
        <is>
          <t>trato</t>
        </is>
      </c>
      <c r="O300" s="30" t="inlineStr">
        <is>
          <t>plt</t>
        </is>
      </c>
      <c r="P300" s="33" t="n">
        <v>60</v>
      </c>
      <c r="Q300" s="34" t="n">
        <v>3210.9</v>
      </c>
      <c r="R300" s="33" t="n">
        <v>192654</v>
      </c>
      <c r="S300" s="35" t="n">
        <v>0.000397142857142857</v>
      </c>
      <c r="T300" s="33" t="n">
        <v>0.357428571428571</v>
      </c>
      <c r="U300" s="33" t="n">
        <v>0</v>
      </c>
      <c r="V300" s="33" t="n">
        <v>0</v>
      </c>
      <c r="W300" s="33" t="n">
        <v>0</v>
      </c>
      <c r="X300" s="33" t="n">
        <v>0</v>
      </c>
      <c r="Y300" s="33" t="n">
        <v>107.03</v>
      </c>
      <c r="Z300" s="33" t="n">
        <v>107.03</v>
      </c>
      <c r="AA300" s="33" t="n">
        <v>0</v>
      </c>
      <c r="AB300" s="33" t="n">
        <v>0</v>
      </c>
      <c r="AC300" s="33" t="n">
        <v>0</v>
      </c>
      <c r="AD300" s="33" t="n">
        <v>0</v>
      </c>
      <c r="AE300" s="33" t="n">
        <v>0</v>
      </c>
      <c r="AF300" s="33" t="n">
        <v>0</v>
      </c>
    </row>
    <row r="301" ht="15" customHeight="1" s="176">
      <c r="A301" s="36" t="inlineStr">
        <is>
          <t>P-0298</t>
        </is>
      </c>
      <c r="B301" s="36" t="inlineStr">
        <is>
          <t>2026/27</t>
        </is>
      </c>
      <c r="C301" s="36" t="inlineStr">
        <is>
          <t>Santa Catalina</t>
        </is>
      </c>
      <c r="D301" s="37" t="inlineStr">
        <is>
          <t>eureka 14,4 ha</t>
        </is>
      </c>
      <c r="E301" s="36" t="inlineStr">
        <is>
          <t>Limon</t>
        </is>
      </c>
      <c r="F301" s="36" t="inlineStr">
        <is>
          <t>Eureka</t>
        </is>
      </c>
      <c r="G301" s="36" t="inlineStr">
        <is>
          <t>Producción</t>
        </is>
      </c>
      <c r="H301" s="38" t="n">
        <v>14.4</v>
      </c>
      <c r="I301" s="38" t="n">
        <v>14.4</v>
      </c>
      <c r="J301" s="36" t="inlineStr">
        <is>
          <t>Costo</t>
        </is>
      </c>
      <c r="K301" s="37" t="inlineStr">
        <is>
          <t>1- M.O. directa</t>
        </is>
      </c>
      <c r="L301" s="37" t="inlineStr">
        <is>
          <t>12- Picar sarmiento</t>
        </is>
      </c>
      <c r="M301" s="37" t="n"/>
      <c r="N301" s="36" t="inlineStr">
        <is>
          <t>trato</t>
        </is>
      </c>
      <c r="O301" s="36" t="inlineStr">
        <is>
          <t>plt</t>
        </is>
      </c>
      <c r="P301" s="39" t="n">
        <v>60</v>
      </c>
      <c r="Q301" s="40" t="n">
        <v>6004.8</v>
      </c>
      <c r="R301" s="39" t="n">
        <v>360288</v>
      </c>
      <c r="S301" s="41" t="n">
        <v>0.000397142857142857</v>
      </c>
      <c r="T301" s="39" t="n">
        <v>0.357428571428571</v>
      </c>
      <c r="U301" s="39" t="n">
        <v>0</v>
      </c>
      <c r="V301" s="39" t="n">
        <v>0</v>
      </c>
      <c r="W301" s="39" t="n">
        <v>0</v>
      </c>
      <c r="X301" s="39" t="n">
        <v>0</v>
      </c>
      <c r="Y301" s="39" t="n">
        <v>200.16</v>
      </c>
      <c r="Z301" s="39" t="n">
        <v>200.16</v>
      </c>
      <c r="AA301" s="39" t="n">
        <v>0</v>
      </c>
      <c r="AB301" s="39" t="n">
        <v>0</v>
      </c>
      <c r="AC301" s="39" t="n">
        <v>0</v>
      </c>
      <c r="AD301" s="39" t="n">
        <v>0</v>
      </c>
      <c r="AE301" s="39" t="n">
        <v>0</v>
      </c>
      <c r="AF301" s="39" t="n">
        <v>0</v>
      </c>
    </row>
    <row r="302" ht="15" customHeight="1" s="176">
      <c r="A302" s="30" t="inlineStr">
        <is>
          <t>P-0299</t>
        </is>
      </c>
      <c r="B302" s="30" t="inlineStr">
        <is>
          <t>2026/27</t>
        </is>
      </c>
      <c r="C302" s="30" t="inlineStr">
        <is>
          <t>Santa Catalina</t>
        </is>
      </c>
      <c r="D302" s="31" t="inlineStr">
        <is>
          <t>eureka 10,6 ha</t>
        </is>
      </c>
      <c r="E302" s="30" t="inlineStr">
        <is>
          <t>Limon</t>
        </is>
      </c>
      <c r="F302" s="30" t="inlineStr">
        <is>
          <t>Eureka</t>
        </is>
      </c>
      <c r="G302" s="30" t="inlineStr">
        <is>
          <t>Producción</t>
        </is>
      </c>
      <c r="H302" s="32" t="n">
        <v>10.6</v>
      </c>
      <c r="I302" s="32" t="n">
        <v>10.6</v>
      </c>
      <c r="J302" s="30" t="inlineStr">
        <is>
          <t>Costo</t>
        </is>
      </c>
      <c r="K302" s="31" t="inlineStr">
        <is>
          <t>1- M.O. directa</t>
        </is>
      </c>
      <c r="L302" s="31" t="inlineStr">
        <is>
          <t>12- Picar sarmiento</t>
        </is>
      </c>
      <c r="M302" s="31" t="n"/>
      <c r="N302" s="30" t="inlineStr">
        <is>
          <t>trato</t>
        </is>
      </c>
      <c r="O302" s="30" t="inlineStr">
        <is>
          <t>plt</t>
        </is>
      </c>
      <c r="P302" s="33" t="n">
        <v>60</v>
      </c>
      <c r="Q302" s="34" t="n">
        <v>4420.2</v>
      </c>
      <c r="R302" s="33" t="n">
        <v>265212</v>
      </c>
      <c r="S302" s="35" t="n">
        <v>0.000397142857142857</v>
      </c>
      <c r="T302" s="33" t="n">
        <v>0.357428571428571</v>
      </c>
      <c r="U302" s="33" t="n">
        <v>0</v>
      </c>
      <c r="V302" s="33" t="n">
        <v>0</v>
      </c>
      <c r="W302" s="33" t="n">
        <v>0</v>
      </c>
      <c r="X302" s="33" t="n">
        <v>0</v>
      </c>
      <c r="Y302" s="33" t="n">
        <v>147.34</v>
      </c>
      <c r="Z302" s="33" t="n">
        <v>147.34</v>
      </c>
      <c r="AA302" s="33" t="n">
        <v>0</v>
      </c>
      <c r="AB302" s="33" t="n">
        <v>0</v>
      </c>
      <c r="AC302" s="33" t="n">
        <v>0</v>
      </c>
      <c r="AD302" s="33" t="n">
        <v>0</v>
      </c>
      <c r="AE302" s="33" t="n">
        <v>0</v>
      </c>
      <c r="AF302" s="33" t="n">
        <v>0</v>
      </c>
    </row>
    <row r="303" ht="15" customHeight="1" s="176">
      <c r="A303" s="36" t="inlineStr">
        <is>
          <t>P-0300</t>
        </is>
      </c>
      <c r="B303" s="36" t="inlineStr">
        <is>
          <t>2026/27</t>
        </is>
      </c>
      <c r="C303" s="36" t="inlineStr">
        <is>
          <t>Santa Catalina</t>
        </is>
      </c>
      <c r="D303" s="37" t="inlineStr">
        <is>
          <t>form benjamin 1,93 ha</t>
        </is>
      </c>
      <c r="E303" s="36" t="inlineStr">
        <is>
          <t>Limon</t>
        </is>
      </c>
      <c r="F303" s="36" t="inlineStr">
        <is>
          <t>Benjamin andes</t>
        </is>
      </c>
      <c r="G303" s="36" t="inlineStr">
        <is>
          <t>Formación</t>
        </is>
      </c>
      <c r="H303" s="38" t="n">
        <v>1.93</v>
      </c>
      <c r="I303" s="38" t="n">
        <v>0</v>
      </c>
      <c r="J303" s="36" t="inlineStr">
        <is>
          <t>Costo</t>
        </is>
      </c>
      <c r="K303" s="37" t="inlineStr">
        <is>
          <t>1- M.O. directa</t>
        </is>
      </c>
      <c r="L303" s="37" t="inlineStr">
        <is>
          <t>13- Poda antenas</t>
        </is>
      </c>
      <c r="M303" s="37" t="n"/>
      <c r="N303" s="36" t="inlineStr">
        <is>
          <t>trato</t>
        </is>
      </c>
      <c r="O303" s="36" t="inlineStr">
        <is>
          <t>plt</t>
        </is>
      </c>
      <c r="P303" s="39" t="n">
        <v>600</v>
      </c>
      <c r="Q303" s="40" t="n">
        <v>804.8099999999999</v>
      </c>
      <c r="R303" s="39" t="n">
        <v>482886</v>
      </c>
      <c r="S303" s="41" t="n">
        <v>0</v>
      </c>
      <c r="T303" s="39" t="n">
        <v>0</v>
      </c>
      <c r="U303" s="39" t="n">
        <v>0</v>
      </c>
      <c r="V303" s="39" t="n">
        <v>0</v>
      </c>
      <c r="W303" s="39" t="n">
        <v>0</v>
      </c>
      <c r="X303" s="39" t="n">
        <v>0</v>
      </c>
      <c r="Y303" s="39" t="n">
        <v>0</v>
      </c>
      <c r="Z303" s="39" t="n">
        <v>0</v>
      </c>
      <c r="AA303" s="39" t="n">
        <v>0</v>
      </c>
      <c r="AB303" s="39" t="n">
        <v>0</v>
      </c>
      <c r="AC303" s="39" t="n">
        <v>0</v>
      </c>
      <c r="AD303" s="39" t="n">
        <v>0</v>
      </c>
      <c r="AE303" s="39" t="n">
        <v>536.54</v>
      </c>
      <c r="AF303" s="39" t="n">
        <v>0</v>
      </c>
    </row>
    <row r="304" ht="15" customHeight="1" s="176">
      <c r="A304" s="30" t="inlineStr">
        <is>
          <t>P-0301</t>
        </is>
      </c>
      <c r="B304" s="30" t="inlineStr">
        <is>
          <t>2026/27</t>
        </is>
      </c>
      <c r="C304" s="30" t="inlineStr">
        <is>
          <t>Santa Catalina</t>
        </is>
      </c>
      <c r="D304" s="31" t="inlineStr">
        <is>
          <t>eureka 22,55</t>
        </is>
      </c>
      <c r="E304" s="30" t="inlineStr">
        <is>
          <t>Limon</t>
        </is>
      </c>
      <c r="F304" s="30" t="inlineStr">
        <is>
          <t>Eureka</t>
        </is>
      </c>
      <c r="G304" s="30" t="inlineStr">
        <is>
          <t>Producción</t>
        </is>
      </c>
      <c r="H304" s="32" t="n">
        <v>22.55</v>
      </c>
      <c r="I304" s="32" t="n">
        <v>22.55</v>
      </c>
      <c r="J304" s="30" t="inlineStr">
        <is>
          <t>Costo</t>
        </is>
      </c>
      <c r="K304" s="31" t="inlineStr">
        <is>
          <t>1- M.O. directa</t>
        </is>
      </c>
      <c r="L304" s="31" t="inlineStr">
        <is>
          <t>13- Poda antenas</t>
        </is>
      </c>
      <c r="M304" s="31" t="n"/>
      <c r="N304" s="30" t="inlineStr">
        <is>
          <t>trato</t>
        </is>
      </c>
      <c r="O304" s="30" t="inlineStr">
        <is>
          <t>plt</t>
        </is>
      </c>
      <c r="P304" s="33" t="n">
        <v>600</v>
      </c>
      <c r="Q304" s="34" t="n">
        <v>9403.35</v>
      </c>
      <c r="R304" s="33" t="n">
        <v>5642010</v>
      </c>
      <c r="S304" s="35" t="n">
        <v>0.0132380952380952</v>
      </c>
      <c r="T304" s="33" t="n">
        <v>11.9142857142857</v>
      </c>
      <c r="U304" s="33" t="n">
        <v>0</v>
      </c>
      <c r="V304" s="33" t="n">
        <v>0</v>
      </c>
      <c r="W304" s="33" t="n">
        <v>0</v>
      </c>
      <c r="X304" s="33" t="n">
        <v>0</v>
      </c>
      <c r="Y304" s="33" t="n">
        <v>0</v>
      </c>
      <c r="Z304" s="33" t="n">
        <v>0</v>
      </c>
      <c r="AA304" s="33" t="n">
        <v>0</v>
      </c>
      <c r="AB304" s="33" t="n">
        <v>0</v>
      </c>
      <c r="AC304" s="33" t="n">
        <v>0</v>
      </c>
      <c r="AD304" s="33" t="n">
        <v>0</v>
      </c>
      <c r="AE304" s="33" t="n">
        <v>6268.9</v>
      </c>
      <c r="AF304" s="33" t="n">
        <v>0</v>
      </c>
    </row>
    <row r="305" ht="15" customHeight="1" s="176">
      <c r="A305" s="36" t="inlineStr">
        <is>
          <t>P-0302</t>
        </is>
      </c>
      <c r="B305" s="36" t="inlineStr">
        <is>
          <t>2026/27</t>
        </is>
      </c>
      <c r="C305" s="36" t="inlineStr">
        <is>
          <t>Santa Catalina</t>
        </is>
      </c>
      <c r="D305" s="37" t="inlineStr">
        <is>
          <t>W. murcott 21 ha</t>
        </is>
      </c>
      <c r="E305" s="36" t="inlineStr">
        <is>
          <t>Mandarina</t>
        </is>
      </c>
      <c r="F305" s="36" t="inlineStr">
        <is>
          <t>W. murcott</t>
        </is>
      </c>
      <c r="G305" s="36" t="inlineStr">
        <is>
          <t>Producción</t>
        </is>
      </c>
      <c r="H305" s="38" t="n">
        <v>21</v>
      </c>
      <c r="I305" s="38" t="n">
        <v>21</v>
      </c>
      <c r="J305" s="36" t="inlineStr">
        <is>
          <t>Costo</t>
        </is>
      </c>
      <c r="K305" s="37" t="inlineStr">
        <is>
          <t>3- Gasto general</t>
        </is>
      </c>
      <c r="L305" s="37" t="inlineStr">
        <is>
          <t>1- GASTOS DEL PERSONAL</t>
        </is>
      </c>
      <c r="M305" s="37" t="inlineStr">
        <is>
          <t>Alimentacion</t>
        </is>
      </c>
      <c r="N305" s="36" t="n"/>
      <c r="O305" s="36" t="inlineStr">
        <is>
          <t>ha</t>
        </is>
      </c>
      <c r="P305" s="39" t="n">
        <v>29806.7860508954</v>
      </c>
      <c r="Q305" s="40" t="n">
        <v>21</v>
      </c>
      <c r="R305" s="39" t="n">
        <v>6256921.30065976</v>
      </c>
      <c r="S305" s="41" t="n">
        <v>0.0066210807414389</v>
      </c>
      <c r="T305" s="39" t="n">
        <v>5.95897266729501</v>
      </c>
      <c r="U305" s="39" t="n">
        <v>579.344564875903</v>
      </c>
      <c r="V305" s="39" t="n">
        <v>579.344564875903</v>
      </c>
      <c r="W305" s="39" t="n">
        <v>579.344564875903</v>
      </c>
      <c r="X305" s="39" t="n">
        <v>579.344564875903</v>
      </c>
      <c r="Y305" s="39" t="n">
        <v>579.344564875903</v>
      </c>
      <c r="Z305" s="39" t="n">
        <v>579.344564875903</v>
      </c>
      <c r="AA305" s="39" t="n">
        <v>579.344564875903</v>
      </c>
      <c r="AB305" s="39" t="n">
        <v>579.344564875903</v>
      </c>
      <c r="AC305" s="39" t="n">
        <v>579.344564875903</v>
      </c>
      <c r="AD305" s="39" t="n">
        <v>579.344564875903</v>
      </c>
      <c r="AE305" s="39" t="n">
        <v>579.344564875903</v>
      </c>
      <c r="AF305" s="39" t="n">
        <v>579.344564875903</v>
      </c>
    </row>
    <row r="306" ht="15" customHeight="1" s="176">
      <c r="A306" s="30" t="inlineStr">
        <is>
          <t>P-0303</t>
        </is>
      </c>
      <c r="B306" s="30" t="inlineStr">
        <is>
          <t>2026/27</t>
        </is>
      </c>
      <c r="C306" s="30" t="inlineStr">
        <is>
          <t>Santa Catalina</t>
        </is>
      </c>
      <c r="D306" s="31" t="inlineStr">
        <is>
          <t>cambria 4,2 ha</t>
        </is>
      </c>
      <c r="E306" s="30" t="inlineStr">
        <is>
          <t>Naranjas</t>
        </is>
      </c>
      <c r="F306" s="30" t="inlineStr">
        <is>
          <t>Cambria</t>
        </is>
      </c>
      <c r="G306" s="30" t="inlineStr">
        <is>
          <t>Mantención</t>
        </is>
      </c>
      <c r="H306" s="32" t="n">
        <v>4.2</v>
      </c>
      <c r="I306" s="32" t="n">
        <v>0</v>
      </c>
      <c r="J306" s="30" t="inlineStr">
        <is>
          <t>Costo</t>
        </is>
      </c>
      <c r="K306" s="31" t="inlineStr">
        <is>
          <t>1- M.O. directa</t>
        </is>
      </c>
      <c r="L306" s="31" t="inlineStr">
        <is>
          <t xml:space="preserve">11- mantención de cercos </t>
        </is>
      </c>
      <c r="M306" s="31" t="n"/>
      <c r="N306" s="30" t="inlineStr">
        <is>
          <t>día</t>
        </is>
      </c>
      <c r="O306" s="30" t="inlineStr">
        <is>
          <t>ha</t>
        </is>
      </c>
      <c r="P306" s="33" t="n">
        <v>38500</v>
      </c>
      <c r="Q306" s="34" t="n">
        <v>4.2</v>
      </c>
      <c r="R306" s="33" t="n">
        <v>161700</v>
      </c>
      <c r="S306" s="35" t="n">
        <v>0.00213888888888889</v>
      </c>
      <c r="T306" s="33" t="n">
        <v>1.925</v>
      </c>
      <c r="U306" s="33" t="n">
        <v>0</v>
      </c>
      <c r="V306" s="33" t="n">
        <v>0</v>
      </c>
      <c r="W306" s="33" t="n">
        <v>0</v>
      </c>
      <c r="X306" s="33" t="n">
        <v>0</v>
      </c>
      <c r="Y306" s="33" t="n">
        <v>0</v>
      </c>
      <c r="Z306" s="33" t="n">
        <v>0</v>
      </c>
      <c r="AA306" s="33" t="n">
        <v>0</v>
      </c>
      <c r="AB306" s="33" t="n">
        <v>0</v>
      </c>
      <c r="AC306" s="33" t="n">
        <v>0</v>
      </c>
      <c r="AD306" s="33" t="n">
        <v>89.8333333333333</v>
      </c>
      <c r="AE306" s="33" t="n">
        <v>89.8333333333333</v>
      </c>
      <c r="AF306" s="33" t="n">
        <v>0</v>
      </c>
    </row>
    <row r="307" ht="15" customHeight="1" s="176">
      <c r="A307" s="36" t="inlineStr">
        <is>
          <t>P-0304</t>
        </is>
      </c>
      <c r="B307" s="36" t="inlineStr">
        <is>
          <t>2026/27</t>
        </is>
      </c>
      <c r="C307" s="36" t="inlineStr">
        <is>
          <t>Santa Catalina</t>
        </is>
      </c>
      <c r="D307" s="37" t="inlineStr">
        <is>
          <t>cambria 4,2 ha</t>
        </is>
      </c>
      <c r="E307" s="36" t="inlineStr">
        <is>
          <t>Naranjas</t>
        </is>
      </c>
      <c r="F307" s="36" t="inlineStr">
        <is>
          <t>Cambria</t>
        </is>
      </c>
      <c r="G307" s="36" t="inlineStr">
        <is>
          <t>Mantención</t>
        </is>
      </c>
      <c r="H307" s="38" t="n">
        <v>4.2</v>
      </c>
      <c r="I307" s="38" t="n">
        <v>0</v>
      </c>
      <c r="J307" s="36" t="inlineStr">
        <is>
          <t>Costo</t>
        </is>
      </c>
      <c r="K307" s="37" t="inlineStr">
        <is>
          <t>1- M.O. directa</t>
        </is>
      </c>
      <c r="L307" s="37" t="inlineStr">
        <is>
          <t>13- Poda antenas</t>
        </is>
      </c>
      <c r="M307" s="37" t="n"/>
      <c r="N307" s="36" t="inlineStr">
        <is>
          <t>trato</t>
        </is>
      </c>
      <c r="O307" s="36" t="inlineStr">
        <is>
          <t>plt</t>
        </is>
      </c>
      <c r="P307" s="39" t="n">
        <v>0</v>
      </c>
      <c r="Q307" s="40" t="n">
        <v>1751.4</v>
      </c>
      <c r="R307" s="39" t="n">
        <v>0</v>
      </c>
      <c r="S307" s="41" t="n">
        <v>0</v>
      </c>
      <c r="T307" s="39" t="n">
        <v>0</v>
      </c>
      <c r="U307" s="39" t="n">
        <v>0</v>
      </c>
      <c r="V307" s="39" t="n">
        <v>0</v>
      </c>
      <c r="W307" s="39" t="n">
        <v>0</v>
      </c>
      <c r="X307" s="39" t="n">
        <v>0</v>
      </c>
      <c r="Y307" s="39" t="n">
        <v>0</v>
      </c>
      <c r="Z307" s="39" t="n">
        <v>0</v>
      </c>
      <c r="AA307" s="39" t="n">
        <v>0</v>
      </c>
      <c r="AB307" s="39" t="n">
        <v>0</v>
      </c>
      <c r="AC307" s="39" t="n">
        <v>0</v>
      </c>
      <c r="AD307" s="39" t="n">
        <v>0</v>
      </c>
      <c r="AE307" s="39" t="n">
        <v>0</v>
      </c>
      <c r="AF307" s="39" t="n">
        <v>0</v>
      </c>
    </row>
    <row r="308" ht="15" customHeight="1" s="176">
      <c r="A308" s="30" t="inlineStr">
        <is>
          <t>P-0305</t>
        </is>
      </c>
      <c r="B308" s="30" t="inlineStr">
        <is>
          <t>2026/27</t>
        </is>
      </c>
      <c r="C308" s="30" t="inlineStr">
        <is>
          <t>Santa Catalina</t>
        </is>
      </c>
      <c r="D308" s="31" t="inlineStr">
        <is>
          <t>mant eureka 2,5 ha</t>
        </is>
      </c>
      <c r="E308" s="30" t="inlineStr">
        <is>
          <t>Limon</t>
        </is>
      </c>
      <c r="F308" s="30" t="inlineStr">
        <is>
          <t>Eureka</t>
        </is>
      </c>
      <c r="G308" s="30" t="inlineStr">
        <is>
          <t>Mantención</t>
        </is>
      </c>
      <c r="H308" s="32" t="n">
        <v>2.5</v>
      </c>
      <c r="I308" s="32" t="n">
        <v>0</v>
      </c>
      <c r="J308" s="30" t="inlineStr">
        <is>
          <t>Costo</t>
        </is>
      </c>
      <c r="K308" s="31" t="inlineStr">
        <is>
          <t>1- M.O. directa</t>
        </is>
      </c>
      <c r="L308" s="31" t="inlineStr">
        <is>
          <t>13- Poda antenas</t>
        </is>
      </c>
      <c r="M308" s="31" t="n"/>
      <c r="N308" s="30" t="inlineStr">
        <is>
          <t>trato</t>
        </is>
      </c>
      <c r="O308" s="30" t="inlineStr">
        <is>
          <t>plt</t>
        </is>
      </c>
      <c r="P308" s="33" t="n">
        <v>600</v>
      </c>
      <c r="Q308" s="34" t="n">
        <v>1042.5</v>
      </c>
      <c r="R308" s="33" t="n">
        <v>625500</v>
      </c>
      <c r="S308" s="35" t="n">
        <v>0</v>
      </c>
      <c r="T308" s="33" t="n">
        <v>0</v>
      </c>
      <c r="U308" s="33" t="n">
        <v>0</v>
      </c>
      <c r="V308" s="33" t="n">
        <v>0</v>
      </c>
      <c r="W308" s="33" t="n">
        <v>0</v>
      </c>
      <c r="X308" s="33" t="n">
        <v>0</v>
      </c>
      <c r="Y308" s="33" t="n">
        <v>0</v>
      </c>
      <c r="Z308" s="33" t="n">
        <v>0</v>
      </c>
      <c r="AA308" s="33" t="n">
        <v>0</v>
      </c>
      <c r="AB308" s="33" t="n">
        <v>0</v>
      </c>
      <c r="AC308" s="33" t="n">
        <v>0</v>
      </c>
      <c r="AD308" s="33" t="n">
        <v>0</v>
      </c>
      <c r="AE308" s="33" t="n">
        <v>695</v>
      </c>
      <c r="AF308" s="33" t="n">
        <v>0</v>
      </c>
    </row>
    <row r="309" ht="15" customHeight="1" s="176">
      <c r="A309" s="36" t="inlineStr">
        <is>
          <t>P-0306</t>
        </is>
      </c>
      <c r="B309" s="36" t="inlineStr">
        <is>
          <t>2026/27</t>
        </is>
      </c>
      <c r="C309" s="36" t="inlineStr">
        <is>
          <t>Santa Catalina</t>
        </is>
      </c>
      <c r="D309" s="37" t="inlineStr">
        <is>
          <t>Fino 49 7,7 ha</t>
        </is>
      </c>
      <c r="E309" s="36" t="inlineStr">
        <is>
          <t>Limon</t>
        </is>
      </c>
      <c r="F309" s="36" t="inlineStr">
        <is>
          <t>Fino 49</t>
        </is>
      </c>
      <c r="G309" s="36" t="inlineStr">
        <is>
          <t>Producción</t>
        </is>
      </c>
      <c r="H309" s="38" t="n">
        <v>7.7</v>
      </c>
      <c r="I309" s="38" t="n">
        <v>7.7</v>
      </c>
      <c r="J309" s="36" t="inlineStr">
        <is>
          <t>Costo</t>
        </is>
      </c>
      <c r="K309" s="37" t="inlineStr">
        <is>
          <t>1- M.O. directa</t>
        </is>
      </c>
      <c r="L309" s="37" t="inlineStr">
        <is>
          <t>13- Poda antenas</t>
        </is>
      </c>
      <c r="M309" s="37" t="n"/>
      <c r="N309" s="36" t="inlineStr">
        <is>
          <t>trato</t>
        </is>
      </c>
      <c r="O309" s="36" t="inlineStr">
        <is>
          <t>plt</t>
        </is>
      </c>
      <c r="P309" s="39" t="n">
        <v>600</v>
      </c>
      <c r="Q309" s="40" t="n">
        <v>3210.9</v>
      </c>
      <c r="R309" s="39" t="n">
        <v>1926540</v>
      </c>
      <c r="S309" s="41" t="n">
        <v>0.00397142857142857</v>
      </c>
      <c r="T309" s="39" t="n">
        <v>3.57428571428571</v>
      </c>
      <c r="U309" s="39" t="n">
        <v>0</v>
      </c>
      <c r="V309" s="39" t="n">
        <v>0</v>
      </c>
      <c r="W309" s="39" t="n">
        <v>0</v>
      </c>
      <c r="X309" s="39" t="n">
        <v>0</v>
      </c>
      <c r="Y309" s="39" t="n">
        <v>0</v>
      </c>
      <c r="Z309" s="39" t="n">
        <v>0</v>
      </c>
      <c r="AA309" s="39" t="n">
        <v>0</v>
      </c>
      <c r="AB309" s="39" t="n">
        <v>0</v>
      </c>
      <c r="AC309" s="39" t="n">
        <v>0</v>
      </c>
      <c r="AD309" s="39" t="n">
        <v>0</v>
      </c>
      <c r="AE309" s="39" t="n">
        <v>2140.6</v>
      </c>
      <c r="AF309" s="39" t="n">
        <v>0</v>
      </c>
    </row>
    <row r="310" ht="15" customHeight="1" s="176">
      <c r="A310" s="30" t="inlineStr">
        <is>
          <t>P-0307</t>
        </is>
      </c>
      <c r="B310" s="30" t="inlineStr">
        <is>
          <t>2026/27</t>
        </is>
      </c>
      <c r="C310" s="30" t="inlineStr">
        <is>
          <t>Santa Catalina</t>
        </is>
      </c>
      <c r="D310" s="31" t="inlineStr">
        <is>
          <t>eureka 14,4 ha</t>
        </is>
      </c>
      <c r="E310" s="30" t="inlineStr">
        <is>
          <t>Limon</t>
        </is>
      </c>
      <c r="F310" s="30" t="inlineStr">
        <is>
          <t>Eureka</t>
        </is>
      </c>
      <c r="G310" s="30" t="inlineStr">
        <is>
          <t>Producción</t>
        </is>
      </c>
      <c r="H310" s="32" t="n">
        <v>14.4</v>
      </c>
      <c r="I310" s="32" t="n">
        <v>14.4</v>
      </c>
      <c r="J310" s="30" t="inlineStr">
        <is>
          <t>Costo</t>
        </is>
      </c>
      <c r="K310" s="31" t="inlineStr">
        <is>
          <t>1- M.O. directa</t>
        </is>
      </c>
      <c r="L310" s="31" t="inlineStr">
        <is>
          <t>13- Poda antenas</t>
        </is>
      </c>
      <c r="M310" s="31" t="n"/>
      <c r="N310" s="30" t="inlineStr">
        <is>
          <t>trato</t>
        </is>
      </c>
      <c r="O310" s="30" t="inlineStr">
        <is>
          <t>plt</t>
        </is>
      </c>
      <c r="P310" s="33" t="n">
        <v>600</v>
      </c>
      <c r="Q310" s="34" t="n">
        <v>6004.8</v>
      </c>
      <c r="R310" s="33" t="n">
        <v>3602880</v>
      </c>
      <c r="S310" s="35" t="n">
        <v>0.0132380952380952</v>
      </c>
      <c r="T310" s="33" t="n">
        <v>11.9142857142857</v>
      </c>
      <c r="U310" s="33" t="n">
        <v>0</v>
      </c>
      <c r="V310" s="33" t="n">
        <v>0</v>
      </c>
      <c r="W310" s="33" t="n">
        <v>0</v>
      </c>
      <c r="X310" s="33" t="n">
        <v>0</v>
      </c>
      <c r="Y310" s="33" t="n">
        <v>0</v>
      </c>
      <c r="Z310" s="33" t="n">
        <v>0</v>
      </c>
      <c r="AA310" s="33" t="n">
        <v>0</v>
      </c>
      <c r="AB310" s="33" t="n">
        <v>0</v>
      </c>
      <c r="AC310" s="33" t="n">
        <v>0</v>
      </c>
      <c r="AD310" s="33" t="n">
        <v>0</v>
      </c>
      <c r="AE310" s="33" t="n">
        <v>4003.2</v>
      </c>
      <c r="AF310" s="33" t="n">
        <v>0</v>
      </c>
    </row>
    <row r="311" ht="15" customHeight="1" s="176">
      <c r="A311" s="36" t="inlineStr">
        <is>
          <t>P-0308</t>
        </is>
      </c>
      <c r="B311" s="36" t="inlineStr">
        <is>
          <t>2026/27</t>
        </is>
      </c>
      <c r="C311" s="36" t="inlineStr">
        <is>
          <t>Santa Catalina</t>
        </is>
      </c>
      <c r="D311" s="37" t="inlineStr">
        <is>
          <t>cambria 4,2 ha</t>
        </is>
      </c>
      <c r="E311" s="36" t="inlineStr">
        <is>
          <t>Naranjas</t>
        </is>
      </c>
      <c r="F311" s="36" t="inlineStr">
        <is>
          <t>Cambria</t>
        </is>
      </c>
      <c r="G311" s="36" t="inlineStr">
        <is>
          <t>Mantención</t>
        </is>
      </c>
      <c r="H311" s="38" t="n">
        <v>4.2</v>
      </c>
      <c r="I311" s="38" t="n">
        <v>0</v>
      </c>
      <c r="J311" s="36" t="inlineStr">
        <is>
          <t>Costo</t>
        </is>
      </c>
      <c r="K311" s="37" t="inlineStr">
        <is>
          <t>1- M.O. directa</t>
        </is>
      </c>
      <c r="L311" s="37" t="inlineStr">
        <is>
          <t>2- Supervisor cosecha</t>
        </is>
      </c>
      <c r="M311" s="37" t="inlineStr">
        <is>
          <t>15 jh/supervisor ($7/kg)</t>
        </is>
      </c>
      <c r="N311" s="36" t="inlineStr">
        <is>
          <t>día</t>
        </is>
      </c>
      <c r="O311" s="36" t="inlineStr">
        <is>
          <t>kg</t>
        </is>
      </c>
      <c r="P311" s="39" t="n">
        <v>7</v>
      </c>
      <c r="Q311" s="40" t="n">
        <v>84000</v>
      </c>
      <c r="R311" s="39" t="n">
        <v>588000</v>
      </c>
      <c r="S311" s="41" t="n">
        <v>0.00777777777777778</v>
      </c>
      <c r="T311" s="39" t="n">
        <v>7</v>
      </c>
      <c r="U311" s="39" t="n">
        <v>0</v>
      </c>
      <c r="V311" s="39" t="n">
        <v>0</v>
      </c>
      <c r="W311" s="39" t="n">
        <v>0</v>
      </c>
      <c r="X311" s="39" t="n">
        <v>0</v>
      </c>
      <c r="Y311" s="39" t="n">
        <v>0</v>
      </c>
      <c r="Z311" s="39" t="n">
        <v>326.666666666667</v>
      </c>
      <c r="AA311" s="39" t="n">
        <v>326.666666666667</v>
      </c>
      <c r="AB311" s="39" t="n">
        <v>0</v>
      </c>
      <c r="AC311" s="39" t="n">
        <v>0</v>
      </c>
      <c r="AD311" s="39" t="n">
        <v>0</v>
      </c>
      <c r="AE311" s="39" t="n">
        <v>0</v>
      </c>
      <c r="AF311" s="39" t="n">
        <v>0</v>
      </c>
    </row>
    <row r="312" ht="15" customHeight="1" s="176">
      <c r="A312" s="30" t="inlineStr">
        <is>
          <t>P-0309</t>
        </is>
      </c>
      <c r="B312" s="30" t="inlineStr">
        <is>
          <t>2026/27</t>
        </is>
      </c>
      <c r="C312" s="30" t="inlineStr">
        <is>
          <t>Santa Catalina</t>
        </is>
      </c>
      <c r="D312" s="31" t="inlineStr">
        <is>
          <t>eureka 10,6 ha</t>
        </is>
      </c>
      <c r="E312" s="30" t="inlineStr">
        <is>
          <t>Limon</t>
        </is>
      </c>
      <c r="F312" s="30" t="inlineStr">
        <is>
          <t>Eureka</t>
        </is>
      </c>
      <c r="G312" s="30" t="inlineStr">
        <is>
          <t>Producción</t>
        </is>
      </c>
      <c r="H312" s="32" t="n">
        <v>10.6</v>
      </c>
      <c r="I312" s="32" t="n">
        <v>10.6</v>
      </c>
      <c r="J312" s="30" t="inlineStr">
        <is>
          <t>Costo</t>
        </is>
      </c>
      <c r="K312" s="31" t="inlineStr">
        <is>
          <t>1- M.O. directa</t>
        </is>
      </c>
      <c r="L312" s="31" t="inlineStr">
        <is>
          <t>13- Poda antenas</t>
        </is>
      </c>
      <c r="M312" s="31" t="n"/>
      <c r="N312" s="30" t="inlineStr">
        <is>
          <t>trato</t>
        </is>
      </c>
      <c r="O312" s="30" t="inlineStr">
        <is>
          <t>plt</t>
        </is>
      </c>
      <c r="P312" s="33" t="n">
        <v>600</v>
      </c>
      <c r="Q312" s="34" t="n">
        <v>4420.2</v>
      </c>
      <c r="R312" s="33" t="n">
        <v>2652120</v>
      </c>
      <c r="S312" s="35" t="n">
        <v>0.0132380952380952</v>
      </c>
      <c r="T312" s="33" t="n">
        <v>11.9142857142857</v>
      </c>
      <c r="U312" s="33" t="n">
        <v>0</v>
      </c>
      <c r="V312" s="33" t="n">
        <v>0</v>
      </c>
      <c r="W312" s="33" t="n">
        <v>0</v>
      </c>
      <c r="X312" s="33" t="n">
        <v>0</v>
      </c>
      <c r="Y312" s="33" t="n">
        <v>0</v>
      </c>
      <c r="Z312" s="33" t="n">
        <v>0</v>
      </c>
      <c r="AA312" s="33" t="n">
        <v>0</v>
      </c>
      <c r="AB312" s="33" t="n">
        <v>0</v>
      </c>
      <c r="AC312" s="33" t="n">
        <v>0</v>
      </c>
      <c r="AD312" s="33" t="n">
        <v>0</v>
      </c>
      <c r="AE312" s="33" t="n">
        <v>2946.8</v>
      </c>
      <c r="AF312" s="33" t="n">
        <v>0</v>
      </c>
    </row>
    <row r="313" ht="15" customHeight="1" s="176">
      <c r="A313" s="36" t="inlineStr">
        <is>
          <t>P-0310</t>
        </is>
      </c>
      <c r="B313" s="36" t="inlineStr">
        <is>
          <t>2026/27</t>
        </is>
      </c>
      <c r="C313" s="36" t="inlineStr">
        <is>
          <t>Santa Catalina</t>
        </is>
      </c>
      <c r="D313" s="37" t="inlineStr">
        <is>
          <t>form benjamin 1,93 ha</t>
        </is>
      </c>
      <c r="E313" s="36" t="inlineStr">
        <is>
          <t>Limon</t>
        </is>
      </c>
      <c r="F313" s="36" t="inlineStr">
        <is>
          <t>Benjamin andes</t>
        </is>
      </c>
      <c r="G313" s="36" t="inlineStr">
        <is>
          <t>Formación</t>
        </is>
      </c>
      <c r="H313" s="38" t="n">
        <v>1.93</v>
      </c>
      <c r="I313" s="38" t="n">
        <v>0</v>
      </c>
      <c r="J313" s="36" t="inlineStr">
        <is>
          <t>Costo</t>
        </is>
      </c>
      <c r="K313" s="37" t="inlineStr">
        <is>
          <t>1- M.O. directa</t>
        </is>
      </c>
      <c r="L313" s="37" t="inlineStr">
        <is>
          <t>14- Poda de sierrpes</t>
        </is>
      </c>
      <c r="M313" s="37" t="n"/>
      <c r="N313" s="36" t="inlineStr">
        <is>
          <t>trato</t>
        </is>
      </c>
      <c r="O313" s="36" t="inlineStr">
        <is>
          <t>plt</t>
        </is>
      </c>
      <c r="P313" s="39" t="n">
        <v>30</v>
      </c>
      <c r="Q313" s="40" t="n">
        <v>804.8099999999999</v>
      </c>
      <c r="R313" s="39" t="n">
        <v>36216.45</v>
      </c>
      <c r="S313" s="41" t="n">
        <v>0</v>
      </c>
      <c r="T313" s="39" t="n">
        <v>0</v>
      </c>
      <c r="U313" s="39" t="n">
        <v>0</v>
      </c>
      <c r="V313" s="39" t="n">
        <v>0</v>
      </c>
      <c r="W313" s="39" t="n">
        <v>0</v>
      </c>
      <c r="X313" s="39" t="n">
        <v>0</v>
      </c>
      <c r="Y313" s="39" t="n">
        <v>0</v>
      </c>
      <c r="Z313" s="39" t="n">
        <v>0</v>
      </c>
      <c r="AA313" s="39" t="n">
        <v>0</v>
      </c>
      <c r="AB313" s="39" t="n">
        <v>0</v>
      </c>
      <c r="AC313" s="39" t="n">
        <v>13.4135</v>
      </c>
      <c r="AD313" s="39" t="n">
        <v>13.4135</v>
      </c>
      <c r="AE313" s="39" t="n">
        <v>13.4135</v>
      </c>
      <c r="AF313" s="39" t="n">
        <v>0</v>
      </c>
    </row>
    <row r="314" ht="15" customHeight="1" s="176">
      <c r="A314" s="30" t="inlineStr">
        <is>
          <t>P-0311</t>
        </is>
      </c>
      <c r="B314" s="30" t="inlineStr">
        <is>
          <t>2026/27</t>
        </is>
      </c>
      <c r="C314" s="30" t="inlineStr">
        <is>
          <t>Santa Catalina</t>
        </is>
      </c>
      <c r="D314" s="31" t="inlineStr">
        <is>
          <t>eureka 22,55</t>
        </is>
      </c>
      <c r="E314" s="30" t="inlineStr">
        <is>
          <t>Limon</t>
        </is>
      </c>
      <c r="F314" s="30" t="inlineStr">
        <is>
          <t>Eureka</t>
        </is>
      </c>
      <c r="G314" s="30" t="inlineStr">
        <is>
          <t>Producción</t>
        </is>
      </c>
      <c r="H314" s="32" t="n">
        <v>22.55</v>
      </c>
      <c r="I314" s="32" t="n">
        <v>22.55</v>
      </c>
      <c r="J314" s="30" t="inlineStr">
        <is>
          <t>Costo</t>
        </is>
      </c>
      <c r="K314" s="31" t="inlineStr">
        <is>
          <t>1- M.O. directa</t>
        </is>
      </c>
      <c r="L314" s="31" t="inlineStr">
        <is>
          <t>14- Poda de sierrpes</t>
        </is>
      </c>
      <c r="M314" s="31" t="n"/>
      <c r="N314" s="30" t="inlineStr">
        <is>
          <t>trato</t>
        </is>
      </c>
      <c r="O314" s="30" t="inlineStr">
        <is>
          <t>plt</t>
        </is>
      </c>
      <c r="P314" s="33" t="n">
        <v>30</v>
      </c>
      <c r="Q314" s="34" t="n">
        <v>9403.35</v>
      </c>
      <c r="R314" s="33" t="n">
        <v>423150.75</v>
      </c>
      <c r="S314" s="35" t="n">
        <v>0.000297857142857143</v>
      </c>
      <c r="T314" s="33" t="n">
        <v>0.268071428571429</v>
      </c>
      <c r="U314" s="33" t="n">
        <v>0</v>
      </c>
      <c r="V314" s="33" t="n">
        <v>0</v>
      </c>
      <c r="W314" s="33" t="n">
        <v>0</v>
      </c>
      <c r="X314" s="33" t="n">
        <v>0</v>
      </c>
      <c r="Y314" s="33" t="n">
        <v>0</v>
      </c>
      <c r="Z314" s="33" t="n">
        <v>0</v>
      </c>
      <c r="AA314" s="33" t="n">
        <v>0</v>
      </c>
      <c r="AB314" s="33" t="n">
        <v>0</v>
      </c>
      <c r="AC314" s="33" t="n">
        <v>156.7225</v>
      </c>
      <c r="AD314" s="33" t="n">
        <v>156.7225</v>
      </c>
      <c r="AE314" s="33" t="n">
        <v>156.7225</v>
      </c>
      <c r="AF314" s="33" t="n">
        <v>0</v>
      </c>
    </row>
    <row r="315" ht="15" customHeight="1" s="176">
      <c r="A315" s="36" t="inlineStr">
        <is>
          <t>P-0312</t>
        </is>
      </c>
      <c r="B315" s="36" t="inlineStr">
        <is>
          <t>2026/27</t>
        </is>
      </c>
      <c r="C315" s="36" t="inlineStr">
        <is>
          <t>Santa Catalina</t>
        </is>
      </c>
      <c r="D315" s="37" t="inlineStr">
        <is>
          <t>mant eureka 2,5 ha</t>
        </is>
      </c>
      <c r="E315" s="36" t="inlineStr">
        <is>
          <t>Limon</t>
        </is>
      </c>
      <c r="F315" s="36" t="inlineStr">
        <is>
          <t>Eureka</t>
        </is>
      </c>
      <c r="G315" s="36" t="inlineStr">
        <is>
          <t>Mantención</t>
        </is>
      </c>
      <c r="H315" s="38" t="n">
        <v>2.5</v>
      </c>
      <c r="I315" s="38" t="n">
        <v>0</v>
      </c>
      <c r="J315" s="36" t="inlineStr">
        <is>
          <t>Costo</t>
        </is>
      </c>
      <c r="K315" s="37" t="inlineStr">
        <is>
          <t>1- M.O. directa</t>
        </is>
      </c>
      <c r="L315" s="37" t="inlineStr">
        <is>
          <t>14- Poda de sierrpes</t>
        </is>
      </c>
      <c r="M315" s="37" t="n"/>
      <c r="N315" s="36" t="inlineStr">
        <is>
          <t>trato</t>
        </is>
      </c>
      <c r="O315" s="36" t="inlineStr">
        <is>
          <t>plt</t>
        </is>
      </c>
      <c r="P315" s="39" t="n">
        <v>30</v>
      </c>
      <c r="Q315" s="40" t="n">
        <v>1042.5</v>
      </c>
      <c r="R315" s="39" t="n">
        <v>28147.5</v>
      </c>
      <c r="S315" s="41" t="n">
        <v>0</v>
      </c>
      <c r="T315" s="39" t="n">
        <v>0</v>
      </c>
      <c r="U315" s="39" t="n">
        <v>0</v>
      </c>
      <c r="V315" s="39" t="n">
        <v>0</v>
      </c>
      <c r="W315" s="39" t="n">
        <v>0</v>
      </c>
      <c r="X315" s="39" t="n">
        <v>0</v>
      </c>
      <c r="Y315" s="39" t="n">
        <v>0</v>
      </c>
      <c r="Z315" s="39" t="n">
        <v>0</v>
      </c>
      <c r="AA315" s="39" t="n">
        <v>0</v>
      </c>
      <c r="AB315" s="39" t="n">
        <v>0</v>
      </c>
      <c r="AC315" s="39" t="n">
        <v>10.425</v>
      </c>
      <c r="AD315" s="39" t="n">
        <v>10.425</v>
      </c>
      <c r="AE315" s="39" t="n">
        <v>10.425</v>
      </c>
      <c r="AF315" s="39" t="n">
        <v>0</v>
      </c>
    </row>
    <row r="316" ht="15" customHeight="1" s="176">
      <c r="A316" s="30" t="inlineStr">
        <is>
          <t>P-0313</t>
        </is>
      </c>
      <c r="B316" s="30" t="inlineStr">
        <is>
          <t>2026/27</t>
        </is>
      </c>
      <c r="C316" s="30" t="inlineStr">
        <is>
          <t>Santa Catalina</t>
        </is>
      </c>
      <c r="D316" s="31" t="inlineStr">
        <is>
          <t>Fino 49 7,7 ha</t>
        </is>
      </c>
      <c r="E316" s="30" t="inlineStr">
        <is>
          <t>Limon</t>
        </is>
      </c>
      <c r="F316" s="30" t="inlineStr">
        <is>
          <t>Fino 49</t>
        </is>
      </c>
      <c r="G316" s="30" t="inlineStr">
        <is>
          <t>Producción</t>
        </is>
      </c>
      <c r="H316" s="32" t="n">
        <v>7.7</v>
      </c>
      <c r="I316" s="32" t="n">
        <v>7.7</v>
      </c>
      <c r="J316" s="30" t="inlineStr">
        <is>
          <t>Costo</t>
        </is>
      </c>
      <c r="K316" s="31" t="inlineStr">
        <is>
          <t>1- M.O. directa</t>
        </is>
      </c>
      <c r="L316" s="31" t="inlineStr">
        <is>
          <t>14- Poda de sierrpes</t>
        </is>
      </c>
      <c r="M316" s="31" t="n"/>
      <c r="N316" s="30" t="inlineStr">
        <is>
          <t>trato</t>
        </is>
      </c>
      <c r="O316" s="30" t="inlineStr">
        <is>
          <t>plt</t>
        </is>
      </c>
      <c r="P316" s="33" t="n">
        <v>30</v>
      </c>
      <c r="Q316" s="34" t="n">
        <v>3210.9</v>
      </c>
      <c r="R316" s="33" t="n">
        <v>144490.5</v>
      </c>
      <c r="S316" s="35" t="n">
        <v>0.000297857142857143</v>
      </c>
      <c r="T316" s="33" t="n">
        <v>0.268071428571429</v>
      </c>
      <c r="U316" s="33" t="n">
        <v>0</v>
      </c>
      <c r="V316" s="33" t="n">
        <v>0</v>
      </c>
      <c r="W316" s="33" t="n">
        <v>0</v>
      </c>
      <c r="X316" s="33" t="n">
        <v>0</v>
      </c>
      <c r="Y316" s="33" t="n">
        <v>0</v>
      </c>
      <c r="Z316" s="33" t="n">
        <v>0</v>
      </c>
      <c r="AA316" s="33" t="n">
        <v>0</v>
      </c>
      <c r="AB316" s="33" t="n">
        <v>0</v>
      </c>
      <c r="AC316" s="33" t="n">
        <v>53.515</v>
      </c>
      <c r="AD316" s="33" t="n">
        <v>53.515</v>
      </c>
      <c r="AE316" s="33" t="n">
        <v>53.515</v>
      </c>
      <c r="AF316" s="33" t="n">
        <v>0</v>
      </c>
    </row>
    <row r="317" ht="15" customHeight="1" s="176">
      <c r="A317" s="36" t="inlineStr">
        <is>
          <t>P-0314</t>
        </is>
      </c>
      <c r="B317" s="36" t="inlineStr">
        <is>
          <t>2026/27</t>
        </is>
      </c>
      <c r="C317" s="36" t="inlineStr">
        <is>
          <t>Santa Catalina</t>
        </is>
      </c>
      <c r="D317" s="37" t="inlineStr">
        <is>
          <t>eureka 14,4 ha</t>
        </is>
      </c>
      <c r="E317" s="36" t="inlineStr">
        <is>
          <t>Limon</t>
        </is>
      </c>
      <c r="F317" s="36" t="inlineStr">
        <is>
          <t>Eureka</t>
        </is>
      </c>
      <c r="G317" s="36" t="inlineStr">
        <is>
          <t>Producción</t>
        </is>
      </c>
      <c r="H317" s="38" t="n">
        <v>14.4</v>
      </c>
      <c r="I317" s="38" t="n">
        <v>14.4</v>
      </c>
      <c r="J317" s="36" t="inlineStr">
        <is>
          <t>Costo</t>
        </is>
      </c>
      <c r="K317" s="37" t="inlineStr">
        <is>
          <t>1- M.O. directa</t>
        </is>
      </c>
      <c r="L317" s="37" t="inlineStr">
        <is>
          <t>14- Poda de sierrpes</t>
        </is>
      </c>
      <c r="M317" s="37" t="n"/>
      <c r="N317" s="36" t="inlineStr">
        <is>
          <t>trato</t>
        </is>
      </c>
      <c r="O317" s="36" t="inlineStr">
        <is>
          <t>plt</t>
        </is>
      </c>
      <c r="P317" s="39" t="n">
        <v>30</v>
      </c>
      <c r="Q317" s="40" t="n">
        <v>6004.8</v>
      </c>
      <c r="R317" s="39" t="n">
        <v>270216</v>
      </c>
      <c r="S317" s="41" t="n">
        <v>0.000297857142857143</v>
      </c>
      <c r="T317" s="39" t="n">
        <v>0.268071428571429</v>
      </c>
      <c r="U317" s="39" t="n">
        <v>0</v>
      </c>
      <c r="V317" s="39" t="n">
        <v>0</v>
      </c>
      <c r="W317" s="39" t="n">
        <v>0</v>
      </c>
      <c r="X317" s="39" t="n">
        <v>0</v>
      </c>
      <c r="Y317" s="39" t="n">
        <v>0</v>
      </c>
      <c r="Z317" s="39" t="n">
        <v>0</v>
      </c>
      <c r="AA317" s="39" t="n">
        <v>0</v>
      </c>
      <c r="AB317" s="39" t="n">
        <v>0</v>
      </c>
      <c r="AC317" s="39" t="n">
        <v>100.08</v>
      </c>
      <c r="AD317" s="39" t="n">
        <v>100.08</v>
      </c>
      <c r="AE317" s="39" t="n">
        <v>100.08</v>
      </c>
      <c r="AF317" s="39" t="n">
        <v>0</v>
      </c>
    </row>
    <row r="318" ht="15" customHeight="1" s="176">
      <c r="A318" s="30" t="inlineStr">
        <is>
          <t>P-0315</t>
        </is>
      </c>
      <c r="B318" s="30" t="inlineStr">
        <is>
          <t>2026/27</t>
        </is>
      </c>
      <c r="C318" s="30" t="inlineStr">
        <is>
          <t>Santa Catalina</t>
        </is>
      </c>
      <c r="D318" s="31" t="inlineStr">
        <is>
          <t>eureka 10,6 ha</t>
        </is>
      </c>
      <c r="E318" s="30" t="inlineStr">
        <is>
          <t>Limon</t>
        </is>
      </c>
      <c r="F318" s="30" t="inlineStr">
        <is>
          <t>Eureka</t>
        </is>
      </c>
      <c r="G318" s="30" t="inlineStr">
        <is>
          <t>Producción</t>
        </is>
      </c>
      <c r="H318" s="32" t="n">
        <v>10.6</v>
      </c>
      <c r="I318" s="32" t="n">
        <v>10.6</v>
      </c>
      <c r="J318" s="30" t="inlineStr">
        <is>
          <t>Costo</t>
        </is>
      </c>
      <c r="K318" s="31" t="inlineStr">
        <is>
          <t>1- M.O. directa</t>
        </is>
      </c>
      <c r="L318" s="31" t="inlineStr">
        <is>
          <t>14- Poda de sierrpes</t>
        </is>
      </c>
      <c r="M318" s="31" t="n"/>
      <c r="N318" s="30" t="inlineStr">
        <is>
          <t>trato</t>
        </is>
      </c>
      <c r="O318" s="30" t="inlineStr">
        <is>
          <t>plt</t>
        </is>
      </c>
      <c r="P318" s="33" t="n">
        <v>30</v>
      </c>
      <c r="Q318" s="34" t="n">
        <v>4420.2</v>
      </c>
      <c r="R318" s="33" t="n">
        <v>198909</v>
      </c>
      <c r="S318" s="35" t="n">
        <v>0.000297857142857143</v>
      </c>
      <c r="T318" s="33" t="n">
        <v>0.268071428571429</v>
      </c>
      <c r="U318" s="33" t="n">
        <v>0</v>
      </c>
      <c r="V318" s="33" t="n">
        <v>0</v>
      </c>
      <c r="W318" s="33" t="n">
        <v>0</v>
      </c>
      <c r="X318" s="33" t="n">
        <v>0</v>
      </c>
      <c r="Y318" s="33" t="n">
        <v>0</v>
      </c>
      <c r="Z318" s="33" t="n">
        <v>0</v>
      </c>
      <c r="AA318" s="33" t="n">
        <v>0</v>
      </c>
      <c r="AB318" s="33" t="n">
        <v>0</v>
      </c>
      <c r="AC318" s="33" t="n">
        <v>73.67</v>
      </c>
      <c r="AD318" s="33" t="n">
        <v>73.67</v>
      </c>
      <c r="AE318" s="33" t="n">
        <v>73.67</v>
      </c>
      <c r="AF318" s="33" t="n">
        <v>0</v>
      </c>
    </row>
    <row r="319" ht="15" customHeight="1" s="176">
      <c r="A319" s="36" t="inlineStr">
        <is>
          <t>P-0316</t>
        </is>
      </c>
      <c r="B319" s="36" t="inlineStr">
        <is>
          <t>2026/27</t>
        </is>
      </c>
      <c r="C319" s="36" t="inlineStr">
        <is>
          <t>Santa Catalina</t>
        </is>
      </c>
      <c r="D319" s="37" t="inlineStr">
        <is>
          <t>form benjamin 1,93 ha</t>
        </is>
      </c>
      <c r="E319" s="36" t="inlineStr">
        <is>
          <t>Limon</t>
        </is>
      </c>
      <c r="F319" s="36" t="inlineStr">
        <is>
          <t>Benjamin andes</t>
        </is>
      </c>
      <c r="G319" s="36" t="inlineStr">
        <is>
          <t>Formación</t>
        </is>
      </c>
      <c r="H319" s="38" t="n">
        <v>1.93</v>
      </c>
      <c r="I319" s="38" t="n">
        <v>0</v>
      </c>
      <c r="J319" s="36" t="inlineStr">
        <is>
          <t>Costo</t>
        </is>
      </c>
      <c r="K319" s="37" t="inlineStr">
        <is>
          <t>1- M.O. directa</t>
        </is>
      </c>
      <c r="L319" s="37" t="inlineStr">
        <is>
          <t>15- Poda primavera</t>
        </is>
      </c>
      <c r="M319" s="37" t="n"/>
      <c r="N319" s="36" t="inlineStr">
        <is>
          <t>trato</t>
        </is>
      </c>
      <c r="O319" s="36" t="inlineStr">
        <is>
          <t>plt</t>
        </is>
      </c>
      <c r="P319" s="39" t="n">
        <v>300</v>
      </c>
      <c r="Q319" s="40" t="n">
        <v>804.8099999999999</v>
      </c>
      <c r="R319" s="39" t="n">
        <v>241443</v>
      </c>
      <c r="S319" s="41" t="n">
        <v>0</v>
      </c>
      <c r="T319" s="39" t="n">
        <v>0</v>
      </c>
      <c r="U319" s="39" t="n">
        <v>0</v>
      </c>
      <c r="V319" s="39" t="n">
        <v>0</v>
      </c>
      <c r="W319" s="39" t="n">
        <v>0</v>
      </c>
      <c r="X319" s="39" t="n">
        <v>0</v>
      </c>
      <c r="Y319" s="39" t="n">
        <v>134.135</v>
      </c>
      <c r="Z319" s="39" t="n">
        <v>0</v>
      </c>
      <c r="AA319" s="39" t="n">
        <v>0</v>
      </c>
      <c r="AB319" s="39" t="n">
        <v>0</v>
      </c>
      <c r="AC319" s="39" t="n">
        <v>0</v>
      </c>
      <c r="AD319" s="39" t="n">
        <v>134.135</v>
      </c>
      <c r="AE319" s="39" t="n">
        <v>0</v>
      </c>
      <c r="AF319" s="39" t="n">
        <v>0</v>
      </c>
    </row>
    <row r="320" ht="15" customHeight="1" s="176">
      <c r="A320" s="30" t="inlineStr">
        <is>
          <t>P-0317</t>
        </is>
      </c>
      <c r="B320" s="30" t="inlineStr">
        <is>
          <t>2026/27</t>
        </is>
      </c>
      <c r="C320" s="30" t="inlineStr">
        <is>
          <t>Santa Catalina</t>
        </is>
      </c>
      <c r="D320" s="31" t="inlineStr">
        <is>
          <t>eureka 22,55</t>
        </is>
      </c>
      <c r="E320" s="30" t="inlineStr">
        <is>
          <t>Limon</t>
        </is>
      </c>
      <c r="F320" s="30" t="inlineStr">
        <is>
          <t>Eureka</t>
        </is>
      </c>
      <c r="G320" s="30" t="inlineStr">
        <is>
          <t>Producción</t>
        </is>
      </c>
      <c r="H320" s="32" t="n">
        <v>22.55</v>
      </c>
      <c r="I320" s="32" t="n">
        <v>22.55</v>
      </c>
      <c r="J320" s="30" t="inlineStr">
        <is>
          <t>Costo</t>
        </is>
      </c>
      <c r="K320" s="31" t="inlineStr">
        <is>
          <t>1- M.O. directa</t>
        </is>
      </c>
      <c r="L320" s="31" t="inlineStr">
        <is>
          <t>15- Poda primavera</t>
        </is>
      </c>
      <c r="M320" s="31" t="n"/>
      <c r="N320" s="30" t="inlineStr">
        <is>
          <t>trato</t>
        </is>
      </c>
      <c r="O320" s="30" t="inlineStr">
        <is>
          <t>plt</t>
        </is>
      </c>
      <c r="P320" s="33" t="n">
        <v>900</v>
      </c>
      <c r="Q320" s="34" t="n">
        <v>9403.35</v>
      </c>
      <c r="R320" s="33" t="n">
        <v>8463015</v>
      </c>
      <c r="S320" s="35" t="n">
        <v>0.0198571428571429</v>
      </c>
      <c r="T320" s="33" t="n">
        <v>17.8714285714286</v>
      </c>
      <c r="U320" s="33" t="n">
        <v>0</v>
      </c>
      <c r="V320" s="33" t="n">
        <v>0</v>
      </c>
      <c r="W320" s="33" t="n">
        <v>0</v>
      </c>
      <c r="X320" s="33" t="n">
        <v>0</v>
      </c>
      <c r="Y320" s="33" t="n">
        <v>4701.675</v>
      </c>
      <c r="Z320" s="33" t="n">
        <v>0</v>
      </c>
      <c r="AA320" s="33" t="n">
        <v>0</v>
      </c>
      <c r="AB320" s="33" t="n">
        <v>0</v>
      </c>
      <c r="AC320" s="33" t="n">
        <v>0</v>
      </c>
      <c r="AD320" s="33" t="n">
        <v>4701.675</v>
      </c>
      <c r="AE320" s="33" t="n">
        <v>0</v>
      </c>
      <c r="AF320" s="33" t="n">
        <v>0</v>
      </c>
    </row>
    <row r="321" ht="15" customHeight="1" s="176">
      <c r="A321" s="36" t="inlineStr">
        <is>
          <t>P-0318</t>
        </is>
      </c>
      <c r="B321" s="36" t="inlineStr">
        <is>
          <t>2026/27</t>
        </is>
      </c>
      <c r="C321" s="36" t="inlineStr">
        <is>
          <t>Santa Catalina</t>
        </is>
      </c>
      <c r="D321" s="37" t="inlineStr">
        <is>
          <t>mant eureka 2,5 ha</t>
        </is>
      </c>
      <c r="E321" s="36" t="inlineStr">
        <is>
          <t>Limon</t>
        </is>
      </c>
      <c r="F321" s="36" t="inlineStr">
        <is>
          <t>Eureka</t>
        </is>
      </c>
      <c r="G321" s="36" t="inlineStr">
        <is>
          <t>Mantención</t>
        </is>
      </c>
      <c r="H321" s="38" t="n">
        <v>2.5</v>
      </c>
      <c r="I321" s="38" t="n">
        <v>0</v>
      </c>
      <c r="J321" s="36" t="inlineStr">
        <is>
          <t>Costo</t>
        </is>
      </c>
      <c r="K321" s="37" t="inlineStr">
        <is>
          <t>1- M.O. directa</t>
        </is>
      </c>
      <c r="L321" s="37" t="inlineStr">
        <is>
          <t>15- Poda primavera</t>
        </is>
      </c>
      <c r="M321" s="37" t="n"/>
      <c r="N321" s="36" t="inlineStr">
        <is>
          <t>trato</t>
        </is>
      </c>
      <c r="O321" s="36" t="inlineStr">
        <is>
          <t>plt</t>
        </is>
      </c>
      <c r="P321" s="39" t="n">
        <v>300</v>
      </c>
      <c r="Q321" s="40" t="n">
        <v>1042.5</v>
      </c>
      <c r="R321" s="39" t="n">
        <v>312750</v>
      </c>
      <c r="S321" s="41" t="n">
        <v>0</v>
      </c>
      <c r="T321" s="39" t="n">
        <v>0</v>
      </c>
      <c r="U321" s="39" t="n">
        <v>0</v>
      </c>
      <c r="V321" s="39" t="n">
        <v>0</v>
      </c>
      <c r="W321" s="39" t="n">
        <v>0</v>
      </c>
      <c r="X321" s="39" t="n">
        <v>0</v>
      </c>
      <c r="Y321" s="39" t="n">
        <v>173.75</v>
      </c>
      <c r="Z321" s="39" t="n">
        <v>0</v>
      </c>
      <c r="AA321" s="39" t="n">
        <v>0</v>
      </c>
      <c r="AB321" s="39" t="n">
        <v>0</v>
      </c>
      <c r="AC321" s="39" t="n">
        <v>0</v>
      </c>
      <c r="AD321" s="39" t="n">
        <v>173.75</v>
      </c>
      <c r="AE321" s="39" t="n">
        <v>0</v>
      </c>
      <c r="AF321" s="39" t="n">
        <v>0</v>
      </c>
    </row>
    <row r="322" ht="15" customHeight="1" s="176">
      <c r="A322" s="30" t="inlineStr">
        <is>
          <t>P-0319</t>
        </is>
      </c>
      <c r="B322" s="30" t="inlineStr">
        <is>
          <t>2026/27</t>
        </is>
      </c>
      <c r="C322" s="30" t="inlineStr">
        <is>
          <t>Santa Catalina</t>
        </is>
      </c>
      <c r="D322" s="31" t="inlineStr">
        <is>
          <t>Fino 49 7,7 ha</t>
        </is>
      </c>
      <c r="E322" s="30" t="inlineStr">
        <is>
          <t>Limon</t>
        </is>
      </c>
      <c r="F322" s="30" t="inlineStr">
        <is>
          <t>Fino 49</t>
        </is>
      </c>
      <c r="G322" s="30" t="inlineStr">
        <is>
          <t>Producción</t>
        </is>
      </c>
      <c r="H322" s="32" t="n">
        <v>7.7</v>
      </c>
      <c r="I322" s="32" t="n">
        <v>7.7</v>
      </c>
      <c r="J322" s="30" t="inlineStr">
        <is>
          <t>Costo</t>
        </is>
      </c>
      <c r="K322" s="31" t="inlineStr">
        <is>
          <t>1- M.O. directa</t>
        </is>
      </c>
      <c r="L322" s="31" t="inlineStr">
        <is>
          <t>15- Poda primavera</t>
        </is>
      </c>
      <c r="M322" s="31" t="n"/>
      <c r="N322" s="30" t="inlineStr">
        <is>
          <t>trato</t>
        </is>
      </c>
      <c r="O322" s="30" t="inlineStr">
        <is>
          <t>plt</t>
        </is>
      </c>
      <c r="P322" s="33" t="n">
        <v>900</v>
      </c>
      <c r="Q322" s="34" t="n">
        <v>3210.9</v>
      </c>
      <c r="R322" s="33" t="n">
        <v>2889810</v>
      </c>
      <c r="S322" s="35" t="n">
        <v>0.00595714285714286</v>
      </c>
      <c r="T322" s="33" t="n">
        <v>5.36142857142857</v>
      </c>
      <c r="U322" s="33" t="n">
        <v>0</v>
      </c>
      <c r="V322" s="33" t="n">
        <v>0</v>
      </c>
      <c r="W322" s="33" t="n">
        <v>0</v>
      </c>
      <c r="X322" s="33" t="n">
        <v>0</v>
      </c>
      <c r="Y322" s="33" t="n">
        <v>1605.45</v>
      </c>
      <c r="Z322" s="33" t="n">
        <v>0</v>
      </c>
      <c r="AA322" s="33" t="n">
        <v>0</v>
      </c>
      <c r="AB322" s="33" t="n">
        <v>0</v>
      </c>
      <c r="AC322" s="33" t="n">
        <v>0</v>
      </c>
      <c r="AD322" s="33" t="n">
        <v>1605.45</v>
      </c>
      <c r="AE322" s="33" t="n">
        <v>0</v>
      </c>
      <c r="AF322" s="33" t="n">
        <v>0</v>
      </c>
    </row>
    <row r="323" ht="15" customHeight="1" s="176">
      <c r="A323" s="36" t="inlineStr">
        <is>
          <t>P-0320</t>
        </is>
      </c>
      <c r="B323" s="36" t="inlineStr">
        <is>
          <t>2026/27</t>
        </is>
      </c>
      <c r="C323" s="36" t="inlineStr">
        <is>
          <t>Santa Catalina</t>
        </is>
      </c>
      <c r="D323" s="37" t="inlineStr">
        <is>
          <t>eureka 14,4 ha</t>
        </is>
      </c>
      <c r="E323" s="36" t="inlineStr">
        <is>
          <t>Limon</t>
        </is>
      </c>
      <c r="F323" s="36" t="inlineStr">
        <is>
          <t>Eureka</t>
        </is>
      </c>
      <c r="G323" s="36" t="inlineStr">
        <is>
          <t>Producción</t>
        </is>
      </c>
      <c r="H323" s="38" t="n">
        <v>14.4</v>
      </c>
      <c r="I323" s="38" t="n">
        <v>14.4</v>
      </c>
      <c r="J323" s="36" t="inlineStr">
        <is>
          <t>Costo</t>
        </is>
      </c>
      <c r="K323" s="37" t="inlineStr">
        <is>
          <t>1- M.O. directa</t>
        </is>
      </c>
      <c r="L323" s="37" t="inlineStr">
        <is>
          <t>15- Poda primavera</t>
        </is>
      </c>
      <c r="M323" s="37" t="n"/>
      <c r="N323" s="36" t="inlineStr">
        <is>
          <t>trato</t>
        </is>
      </c>
      <c r="O323" s="36" t="inlineStr">
        <is>
          <t>plt</t>
        </is>
      </c>
      <c r="P323" s="39" t="n">
        <v>900</v>
      </c>
      <c r="Q323" s="40" t="n">
        <v>6004.8</v>
      </c>
      <c r="R323" s="39" t="n">
        <v>5404320</v>
      </c>
      <c r="S323" s="41" t="n">
        <v>0.0198571428571429</v>
      </c>
      <c r="T323" s="39" t="n">
        <v>17.8714285714286</v>
      </c>
      <c r="U323" s="39" t="n">
        <v>0</v>
      </c>
      <c r="V323" s="39" t="n">
        <v>0</v>
      </c>
      <c r="W323" s="39" t="n">
        <v>0</v>
      </c>
      <c r="X323" s="39" t="n">
        <v>0</v>
      </c>
      <c r="Y323" s="39" t="n">
        <v>3002.4</v>
      </c>
      <c r="Z323" s="39" t="n">
        <v>0</v>
      </c>
      <c r="AA323" s="39" t="n">
        <v>0</v>
      </c>
      <c r="AB323" s="39" t="n">
        <v>0</v>
      </c>
      <c r="AC323" s="39" t="n">
        <v>0</v>
      </c>
      <c r="AD323" s="39" t="n">
        <v>3002.4</v>
      </c>
      <c r="AE323" s="39" t="n">
        <v>0</v>
      </c>
      <c r="AF323" s="39" t="n">
        <v>0</v>
      </c>
    </row>
    <row r="324" ht="15" customHeight="1" s="176">
      <c r="A324" s="30" t="inlineStr">
        <is>
          <t>P-0321</t>
        </is>
      </c>
      <c r="B324" s="30" t="inlineStr">
        <is>
          <t>2026/27</t>
        </is>
      </c>
      <c r="C324" s="30" t="inlineStr">
        <is>
          <t>Santa Catalina</t>
        </is>
      </c>
      <c r="D324" s="31" t="inlineStr">
        <is>
          <t>eureka 10,6 ha</t>
        </is>
      </c>
      <c r="E324" s="30" t="inlineStr">
        <is>
          <t>Limon</t>
        </is>
      </c>
      <c r="F324" s="30" t="inlineStr">
        <is>
          <t>Eureka</t>
        </is>
      </c>
      <c r="G324" s="30" t="inlineStr">
        <is>
          <t>Producción</t>
        </is>
      </c>
      <c r="H324" s="32" t="n">
        <v>10.6</v>
      </c>
      <c r="I324" s="32" t="n">
        <v>10.6</v>
      </c>
      <c r="J324" s="30" t="inlineStr">
        <is>
          <t>Costo</t>
        </is>
      </c>
      <c r="K324" s="31" t="inlineStr">
        <is>
          <t>1- M.O. directa</t>
        </is>
      </c>
      <c r="L324" s="31" t="inlineStr">
        <is>
          <t>15- Poda primavera</t>
        </is>
      </c>
      <c r="M324" s="31" t="n"/>
      <c r="N324" s="30" t="inlineStr">
        <is>
          <t>trato</t>
        </is>
      </c>
      <c r="O324" s="30" t="inlineStr">
        <is>
          <t>plt</t>
        </is>
      </c>
      <c r="P324" s="33" t="n">
        <v>900</v>
      </c>
      <c r="Q324" s="34" t="n">
        <v>4420.2</v>
      </c>
      <c r="R324" s="33" t="n">
        <v>3978180</v>
      </c>
      <c r="S324" s="35" t="n">
        <v>0.0198571428571429</v>
      </c>
      <c r="T324" s="33" t="n">
        <v>17.8714285714286</v>
      </c>
      <c r="U324" s="33" t="n">
        <v>0</v>
      </c>
      <c r="V324" s="33" t="n">
        <v>0</v>
      </c>
      <c r="W324" s="33" t="n">
        <v>0</v>
      </c>
      <c r="X324" s="33" t="n">
        <v>0</v>
      </c>
      <c r="Y324" s="33" t="n">
        <v>2210.1</v>
      </c>
      <c r="Z324" s="33" t="n">
        <v>0</v>
      </c>
      <c r="AA324" s="33" t="n">
        <v>0</v>
      </c>
      <c r="AB324" s="33" t="n">
        <v>0</v>
      </c>
      <c r="AC324" s="33" t="n">
        <v>0</v>
      </c>
      <c r="AD324" s="33" t="n">
        <v>2210.1</v>
      </c>
      <c r="AE324" s="33" t="n">
        <v>0</v>
      </c>
      <c r="AF324" s="33" t="n">
        <v>0</v>
      </c>
    </row>
    <row r="325" ht="15" customHeight="1" s="176">
      <c r="A325" s="36" t="inlineStr">
        <is>
          <t>P-0322</t>
        </is>
      </c>
      <c r="B325" s="36" t="inlineStr">
        <is>
          <t>2026/27</t>
        </is>
      </c>
      <c r="C325" s="36" t="inlineStr">
        <is>
          <t>Santa Catalina</t>
        </is>
      </c>
      <c r="D325" s="37" t="inlineStr">
        <is>
          <t>form benjamin 1,93 ha</t>
        </is>
      </c>
      <c r="E325" s="36" t="inlineStr">
        <is>
          <t>Limon</t>
        </is>
      </c>
      <c r="F325" s="36" t="inlineStr">
        <is>
          <t>Benjamin andes</t>
        </is>
      </c>
      <c r="G325" s="36" t="inlineStr">
        <is>
          <t>Formación</t>
        </is>
      </c>
      <c r="H325" s="38" t="n">
        <v>1.93</v>
      </c>
      <c r="I325" s="38" t="n">
        <v>0</v>
      </c>
      <c r="J325" s="36" t="inlineStr">
        <is>
          <t>Costo</t>
        </is>
      </c>
      <c r="K325" s="37" t="inlineStr">
        <is>
          <t>1- M.O. directa</t>
        </is>
      </c>
      <c r="L325" s="37" t="inlineStr">
        <is>
          <t>16- Supervisor poda</t>
        </is>
      </c>
      <c r="M325" s="37" t="n"/>
      <c r="N325" s="36" t="inlineStr">
        <is>
          <t>día</t>
        </is>
      </c>
      <c r="O325" s="36" t="inlineStr">
        <is>
          <t>plt</t>
        </is>
      </c>
      <c r="P325" s="39" t="n">
        <v>45</v>
      </c>
      <c r="Q325" s="40" t="n">
        <v>804.8099999999999</v>
      </c>
      <c r="R325" s="39" t="n">
        <v>36216.45</v>
      </c>
      <c r="S325" s="41" t="n">
        <v>0</v>
      </c>
      <c r="T325" s="39" t="n">
        <v>0</v>
      </c>
      <c r="U325" s="39" t="n">
        <v>0</v>
      </c>
      <c r="V325" s="39" t="n">
        <v>0</v>
      </c>
      <c r="W325" s="39" t="n">
        <v>0</v>
      </c>
      <c r="X325" s="39" t="n">
        <v>0</v>
      </c>
      <c r="Y325" s="39" t="n">
        <v>0</v>
      </c>
      <c r="Z325" s="39" t="n">
        <v>20.12025</v>
      </c>
      <c r="AA325" s="39" t="n">
        <v>0</v>
      </c>
      <c r="AB325" s="39" t="n">
        <v>0</v>
      </c>
      <c r="AC325" s="39" t="n">
        <v>0</v>
      </c>
      <c r="AD325" s="39" t="n">
        <v>0</v>
      </c>
      <c r="AE325" s="39" t="n">
        <v>20.12025</v>
      </c>
      <c r="AF325" s="39" t="n">
        <v>0</v>
      </c>
    </row>
    <row r="326" ht="15" customHeight="1" s="176">
      <c r="A326" s="30" t="inlineStr">
        <is>
          <t>P-0323</t>
        </is>
      </c>
      <c r="B326" s="30" t="inlineStr">
        <is>
          <t>2026/27</t>
        </is>
      </c>
      <c r="C326" s="30" t="inlineStr">
        <is>
          <t>Santa Catalina</t>
        </is>
      </c>
      <c r="D326" s="31" t="inlineStr">
        <is>
          <t>eureka 22,55</t>
        </is>
      </c>
      <c r="E326" s="30" t="inlineStr">
        <is>
          <t>Limon</t>
        </is>
      </c>
      <c r="F326" s="30" t="inlineStr">
        <is>
          <t>Eureka</t>
        </is>
      </c>
      <c r="G326" s="30" t="inlineStr">
        <is>
          <t>Producción</t>
        </is>
      </c>
      <c r="H326" s="32" t="n">
        <v>22.55</v>
      </c>
      <c r="I326" s="32" t="n">
        <v>22.55</v>
      </c>
      <c r="J326" s="30" t="inlineStr">
        <is>
          <t>Costo</t>
        </is>
      </c>
      <c r="K326" s="31" t="inlineStr">
        <is>
          <t>1- M.O. directa</t>
        </is>
      </c>
      <c r="L326" s="31" t="inlineStr">
        <is>
          <t>16- Supervisor poda</t>
        </is>
      </c>
      <c r="M326" s="31" t="n"/>
      <c r="N326" s="30" t="inlineStr">
        <is>
          <t>día</t>
        </is>
      </c>
      <c r="O326" s="30" t="inlineStr">
        <is>
          <t>plt</t>
        </is>
      </c>
      <c r="P326" s="33" t="n">
        <v>45</v>
      </c>
      <c r="Q326" s="34" t="n">
        <v>9403.35</v>
      </c>
      <c r="R326" s="33" t="n">
        <v>423150.75</v>
      </c>
      <c r="S326" s="35" t="n">
        <v>0.000297857142857143</v>
      </c>
      <c r="T326" s="33" t="n">
        <v>0.268071428571429</v>
      </c>
      <c r="U326" s="33" t="n">
        <v>0</v>
      </c>
      <c r="V326" s="33" t="n">
        <v>0</v>
      </c>
      <c r="W326" s="33" t="n">
        <v>0</v>
      </c>
      <c r="X326" s="33" t="n">
        <v>0</v>
      </c>
      <c r="Y326" s="33" t="n">
        <v>0</v>
      </c>
      <c r="Z326" s="33" t="n">
        <v>235.08375</v>
      </c>
      <c r="AA326" s="33" t="n">
        <v>0</v>
      </c>
      <c r="AB326" s="33" t="n">
        <v>0</v>
      </c>
      <c r="AC326" s="33" t="n">
        <v>0</v>
      </c>
      <c r="AD326" s="33" t="n">
        <v>0</v>
      </c>
      <c r="AE326" s="33" t="n">
        <v>235.08375</v>
      </c>
      <c r="AF326" s="33" t="n">
        <v>0</v>
      </c>
    </row>
    <row r="327" ht="15" customHeight="1" s="176">
      <c r="A327" s="36" t="inlineStr">
        <is>
          <t>P-0324</t>
        </is>
      </c>
      <c r="B327" s="36" t="inlineStr">
        <is>
          <t>2026/27</t>
        </is>
      </c>
      <c r="C327" s="36" t="inlineStr">
        <is>
          <t>Santa Catalina</t>
        </is>
      </c>
      <c r="D327" s="37" t="inlineStr">
        <is>
          <t>mant eureka 2,5 ha</t>
        </is>
      </c>
      <c r="E327" s="36" t="inlineStr">
        <is>
          <t>Limon</t>
        </is>
      </c>
      <c r="F327" s="36" t="inlineStr">
        <is>
          <t>Eureka</t>
        </is>
      </c>
      <c r="G327" s="36" t="inlineStr">
        <is>
          <t>Mantención</t>
        </is>
      </c>
      <c r="H327" s="38" t="n">
        <v>2.5</v>
      </c>
      <c r="I327" s="38" t="n">
        <v>0</v>
      </c>
      <c r="J327" s="36" t="inlineStr">
        <is>
          <t>Costo</t>
        </is>
      </c>
      <c r="K327" s="37" t="inlineStr">
        <is>
          <t>1- M.O. directa</t>
        </is>
      </c>
      <c r="L327" s="37" t="inlineStr">
        <is>
          <t>16- Supervisor poda</t>
        </is>
      </c>
      <c r="M327" s="37" t="n"/>
      <c r="N327" s="36" t="inlineStr">
        <is>
          <t>día</t>
        </is>
      </c>
      <c r="O327" s="36" t="inlineStr">
        <is>
          <t>plt</t>
        </is>
      </c>
      <c r="P327" s="39" t="n">
        <v>45</v>
      </c>
      <c r="Q327" s="40" t="n">
        <v>1042.5</v>
      </c>
      <c r="R327" s="39" t="n">
        <v>46912.5</v>
      </c>
      <c r="S327" s="41" t="n">
        <v>0</v>
      </c>
      <c r="T327" s="39" t="n">
        <v>0</v>
      </c>
      <c r="U327" s="39" t="n">
        <v>0</v>
      </c>
      <c r="V327" s="39" t="n">
        <v>0</v>
      </c>
      <c r="W327" s="39" t="n">
        <v>0</v>
      </c>
      <c r="X327" s="39" t="n">
        <v>0</v>
      </c>
      <c r="Y327" s="39" t="n">
        <v>0</v>
      </c>
      <c r="Z327" s="39" t="n">
        <v>26.0625</v>
      </c>
      <c r="AA327" s="39" t="n">
        <v>0</v>
      </c>
      <c r="AB327" s="39" t="n">
        <v>0</v>
      </c>
      <c r="AC327" s="39" t="n">
        <v>0</v>
      </c>
      <c r="AD327" s="39" t="n">
        <v>0</v>
      </c>
      <c r="AE327" s="39" t="n">
        <v>26.0625</v>
      </c>
      <c r="AF327" s="39" t="n">
        <v>0</v>
      </c>
    </row>
    <row r="328" ht="15" customHeight="1" s="176">
      <c r="A328" s="30" t="inlineStr">
        <is>
          <t>P-0325</t>
        </is>
      </c>
      <c r="B328" s="30" t="inlineStr">
        <is>
          <t>2026/27</t>
        </is>
      </c>
      <c r="C328" s="30" t="inlineStr">
        <is>
          <t>Santa Catalina</t>
        </is>
      </c>
      <c r="D328" s="31" t="inlineStr">
        <is>
          <t>Fino 49 7,7 ha</t>
        </is>
      </c>
      <c r="E328" s="30" t="inlineStr">
        <is>
          <t>Limon</t>
        </is>
      </c>
      <c r="F328" s="30" t="inlineStr">
        <is>
          <t>Fino 49</t>
        </is>
      </c>
      <c r="G328" s="30" t="inlineStr">
        <is>
          <t>Producción</t>
        </is>
      </c>
      <c r="H328" s="32" t="n">
        <v>7.7</v>
      </c>
      <c r="I328" s="32" t="n">
        <v>7.7</v>
      </c>
      <c r="J328" s="30" t="inlineStr">
        <is>
          <t>Costo</t>
        </is>
      </c>
      <c r="K328" s="31" t="inlineStr">
        <is>
          <t>1- M.O. directa</t>
        </is>
      </c>
      <c r="L328" s="31" t="inlineStr">
        <is>
          <t>16- Supervisor poda</t>
        </is>
      </c>
      <c r="M328" s="31" t="n"/>
      <c r="N328" s="30" t="inlineStr">
        <is>
          <t>día</t>
        </is>
      </c>
      <c r="O328" s="30" t="inlineStr">
        <is>
          <t>plt</t>
        </is>
      </c>
      <c r="P328" s="33" t="n">
        <v>45</v>
      </c>
      <c r="Q328" s="34" t="n">
        <v>3210.9</v>
      </c>
      <c r="R328" s="33" t="n">
        <v>144490.5</v>
      </c>
      <c r="S328" s="35" t="n">
        <v>0.000297857142857143</v>
      </c>
      <c r="T328" s="33" t="n">
        <v>0.268071428571429</v>
      </c>
      <c r="U328" s="33" t="n">
        <v>0</v>
      </c>
      <c r="V328" s="33" t="n">
        <v>0</v>
      </c>
      <c r="W328" s="33" t="n">
        <v>0</v>
      </c>
      <c r="X328" s="33" t="n">
        <v>0</v>
      </c>
      <c r="Y328" s="33" t="n">
        <v>0</v>
      </c>
      <c r="Z328" s="33" t="n">
        <v>80.27249999999999</v>
      </c>
      <c r="AA328" s="33" t="n">
        <v>0</v>
      </c>
      <c r="AB328" s="33" t="n">
        <v>0</v>
      </c>
      <c r="AC328" s="33" t="n">
        <v>0</v>
      </c>
      <c r="AD328" s="33" t="n">
        <v>0</v>
      </c>
      <c r="AE328" s="33" t="n">
        <v>80.27249999999999</v>
      </c>
      <c r="AF328" s="33" t="n">
        <v>0</v>
      </c>
    </row>
    <row r="329" ht="15" customHeight="1" s="176">
      <c r="A329" s="36" t="inlineStr">
        <is>
          <t>P-0326</t>
        </is>
      </c>
      <c r="B329" s="36" t="inlineStr">
        <is>
          <t>2026/27</t>
        </is>
      </c>
      <c r="C329" s="36" t="inlineStr">
        <is>
          <t>Santa Catalina</t>
        </is>
      </c>
      <c r="D329" s="37" t="inlineStr">
        <is>
          <t>eureka 14,4 ha</t>
        </is>
      </c>
      <c r="E329" s="36" t="inlineStr">
        <is>
          <t>Limon</t>
        </is>
      </c>
      <c r="F329" s="36" t="inlineStr">
        <is>
          <t>Eureka</t>
        </is>
      </c>
      <c r="G329" s="36" t="inlineStr">
        <is>
          <t>Producción</t>
        </is>
      </c>
      <c r="H329" s="38" t="n">
        <v>14.4</v>
      </c>
      <c r="I329" s="38" t="n">
        <v>14.4</v>
      </c>
      <c r="J329" s="36" t="inlineStr">
        <is>
          <t>Costo</t>
        </is>
      </c>
      <c r="K329" s="37" t="inlineStr">
        <is>
          <t>1- M.O. directa</t>
        </is>
      </c>
      <c r="L329" s="37" t="inlineStr">
        <is>
          <t>16- Supervisor poda</t>
        </is>
      </c>
      <c r="M329" s="37" t="n"/>
      <c r="N329" s="36" t="inlineStr">
        <is>
          <t>día</t>
        </is>
      </c>
      <c r="O329" s="36" t="inlineStr">
        <is>
          <t>plt</t>
        </is>
      </c>
      <c r="P329" s="39" t="n">
        <v>45</v>
      </c>
      <c r="Q329" s="40" t="n">
        <v>6004.8</v>
      </c>
      <c r="R329" s="39" t="n">
        <v>270216</v>
      </c>
      <c r="S329" s="41" t="n">
        <v>0.000297857142857143</v>
      </c>
      <c r="T329" s="39" t="n">
        <v>0.268071428571429</v>
      </c>
      <c r="U329" s="39" t="n">
        <v>0</v>
      </c>
      <c r="V329" s="39" t="n">
        <v>0</v>
      </c>
      <c r="W329" s="39" t="n">
        <v>0</v>
      </c>
      <c r="X329" s="39" t="n">
        <v>0</v>
      </c>
      <c r="Y329" s="39" t="n">
        <v>0</v>
      </c>
      <c r="Z329" s="39" t="n">
        <v>150.12</v>
      </c>
      <c r="AA329" s="39" t="n">
        <v>0</v>
      </c>
      <c r="AB329" s="39" t="n">
        <v>0</v>
      </c>
      <c r="AC329" s="39" t="n">
        <v>0</v>
      </c>
      <c r="AD329" s="39" t="n">
        <v>0</v>
      </c>
      <c r="AE329" s="39" t="n">
        <v>150.12</v>
      </c>
      <c r="AF329" s="39" t="n">
        <v>0</v>
      </c>
    </row>
    <row r="330" ht="15" customHeight="1" s="176">
      <c r="A330" s="30" t="inlineStr">
        <is>
          <t>P-0327</t>
        </is>
      </c>
      <c r="B330" s="30" t="inlineStr">
        <is>
          <t>2026/27</t>
        </is>
      </c>
      <c r="C330" s="30" t="inlineStr">
        <is>
          <t>Santa Catalina</t>
        </is>
      </c>
      <c r="D330" s="31" t="inlineStr">
        <is>
          <t>eureka 10,6 ha</t>
        </is>
      </c>
      <c r="E330" s="30" t="inlineStr">
        <is>
          <t>Limon</t>
        </is>
      </c>
      <c r="F330" s="30" t="inlineStr">
        <is>
          <t>Eureka</t>
        </is>
      </c>
      <c r="G330" s="30" t="inlineStr">
        <is>
          <t>Producción</t>
        </is>
      </c>
      <c r="H330" s="32" t="n">
        <v>10.6</v>
      </c>
      <c r="I330" s="32" t="n">
        <v>10.6</v>
      </c>
      <c r="J330" s="30" t="inlineStr">
        <is>
          <t>Costo</t>
        </is>
      </c>
      <c r="K330" s="31" t="inlineStr">
        <is>
          <t>1- M.O. directa</t>
        </is>
      </c>
      <c r="L330" s="31" t="inlineStr">
        <is>
          <t>16- Supervisor poda</t>
        </is>
      </c>
      <c r="M330" s="31" t="n"/>
      <c r="N330" s="30" t="inlineStr">
        <is>
          <t>día</t>
        </is>
      </c>
      <c r="O330" s="30" t="inlineStr">
        <is>
          <t>plt</t>
        </is>
      </c>
      <c r="P330" s="33" t="n">
        <v>45</v>
      </c>
      <c r="Q330" s="34" t="n">
        <v>4420.2</v>
      </c>
      <c r="R330" s="33" t="n">
        <v>198909</v>
      </c>
      <c r="S330" s="35" t="n">
        <v>0.000297857142857143</v>
      </c>
      <c r="T330" s="33" t="n">
        <v>0.268071428571429</v>
      </c>
      <c r="U330" s="33" t="n">
        <v>0</v>
      </c>
      <c r="V330" s="33" t="n">
        <v>0</v>
      </c>
      <c r="W330" s="33" t="n">
        <v>0</v>
      </c>
      <c r="X330" s="33" t="n">
        <v>0</v>
      </c>
      <c r="Y330" s="33" t="n">
        <v>0</v>
      </c>
      <c r="Z330" s="33" t="n">
        <v>110.505</v>
      </c>
      <c r="AA330" s="33" t="n">
        <v>0</v>
      </c>
      <c r="AB330" s="33" t="n">
        <v>0</v>
      </c>
      <c r="AC330" s="33" t="n">
        <v>0</v>
      </c>
      <c r="AD330" s="33" t="n">
        <v>0</v>
      </c>
      <c r="AE330" s="33" t="n">
        <v>110.505</v>
      </c>
      <c r="AF330" s="33" t="n">
        <v>0</v>
      </c>
    </row>
    <row r="331" ht="15" customHeight="1" s="176">
      <c r="A331" s="36" t="inlineStr">
        <is>
          <t>P-0328</t>
        </is>
      </c>
      <c r="B331" s="36" t="inlineStr">
        <is>
          <t>2026/27</t>
        </is>
      </c>
      <c r="C331" s="36" t="inlineStr">
        <is>
          <t>Santa Catalina</t>
        </is>
      </c>
      <c r="D331" s="37" t="inlineStr">
        <is>
          <t>form benjamin 1,93 ha</t>
        </is>
      </c>
      <c r="E331" s="36" t="inlineStr">
        <is>
          <t>Limon</t>
        </is>
      </c>
      <c r="F331" s="36" t="inlineStr">
        <is>
          <t>Benjamin andes</t>
        </is>
      </c>
      <c r="G331" s="36" t="inlineStr">
        <is>
          <t>Formación</t>
        </is>
      </c>
      <c r="H331" s="38" t="n">
        <v>1.93</v>
      </c>
      <c r="I331" s="38" t="n">
        <v>0</v>
      </c>
      <c r="J331" s="36" t="inlineStr">
        <is>
          <t>Costo</t>
        </is>
      </c>
      <c r="K331" s="37" t="inlineStr">
        <is>
          <t>1- M.O. directa</t>
        </is>
      </c>
      <c r="L331" s="37" t="inlineStr">
        <is>
          <t>17- Recepción, pesaje y despacho</t>
        </is>
      </c>
      <c r="M331" s="37" t="inlineStr">
        <is>
          <t>un jh   para 100  jh</t>
        </is>
      </c>
      <c r="N331" s="36" t="inlineStr">
        <is>
          <t>día</t>
        </is>
      </c>
      <c r="O331" s="36" t="inlineStr">
        <is>
          <t>kg</t>
        </is>
      </c>
      <c r="P331" s="39" t="n">
        <v>1.2</v>
      </c>
      <c r="Q331" s="40" t="n">
        <v>0</v>
      </c>
      <c r="R331" s="39" t="n">
        <v>0</v>
      </c>
      <c r="S331" s="41" t="n">
        <v>0</v>
      </c>
      <c r="T331" s="39" t="n">
        <v>0</v>
      </c>
      <c r="U331" s="39" t="n">
        <v>0</v>
      </c>
      <c r="V331" s="39" t="n">
        <v>0</v>
      </c>
      <c r="W331" s="39" t="n">
        <v>0</v>
      </c>
      <c r="X331" s="39" t="n">
        <v>0</v>
      </c>
      <c r="Y331" s="39" t="n">
        <v>0</v>
      </c>
      <c r="Z331" s="39" t="n">
        <v>0</v>
      </c>
      <c r="AA331" s="39" t="n">
        <v>0</v>
      </c>
      <c r="AB331" s="39" t="n">
        <v>0</v>
      </c>
      <c r="AC331" s="39" t="n">
        <v>0</v>
      </c>
      <c r="AD331" s="39" t="n">
        <v>0</v>
      </c>
      <c r="AE331" s="39" t="n">
        <v>0</v>
      </c>
      <c r="AF331" s="39" t="n">
        <v>0</v>
      </c>
    </row>
    <row r="332" ht="15" customHeight="1" s="176">
      <c r="A332" s="30" t="inlineStr">
        <is>
          <t>P-0329</t>
        </is>
      </c>
      <c r="B332" s="30" t="inlineStr">
        <is>
          <t>2026/27</t>
        </is>
      </c>
      <c r="C332" s="30" t="inlineStr">
        <is>
          <t>Santa Catalina</t>
        </is>
      </c>
      <c r="D332" s="31" t="inlineStr">
        <is>
          <t>eureka 22,55</t>
        </is>
      </c>
      <c r="E332" s="30" t="inlineStr">
        <is>
          <t>Limon</t>
        </is>
      </c>
      <c r="F332" s="30" t="inlineStr">
        <is>
          <t>Eureka</t>
        </is>
      </c>
      <c r="G332" s="30" t="inlineStr">
        <is>
          <t>Producción</t>
        </is>
      </c>
      <c r="H332" s="32" t="n">
        <v>22.55</v>
      </c>
      <c r="I332" s="32" t="n">
        <v>22.55</v>
      </c>
      <c r="J332" s="30" t="inlineStr">
        <is>
          <t>Costo</t>
        </is>
      </c>
      <c r="K332" s="31" t="inlineStr">
        <is>
          <t>1- M.O. directa</t>
        </is>
      </c>
      <c r="L332" s="31" t="inlineStr">
        <is>
          <t>17- Recepción, pesaje y despacho</t>
        </is>
      </c>
      <c r="M332" s="31" t="inlineStr">
        <is>
          <t>un jh   para 100  jh</t>
        </is>
      </c>
      <c r="N332" s="30" t="inlineStr">
        <is>
          <t>día</t>
        </is>
      </c>
      <c r="O332" s="30" t="inlineStr">
        <is>
          <t>kg</t>
        </is>
      </c>
      <c r="P332" s="33" t="n">
        <v>1.2</v>
      </c>
      <c r="Q332" s="34" t="n">
        <v>1578500</v>
      </c>
      <c r="R332" s="33" t="n">
        <v>1894200</v>
      </c>
      <c r="S332" s="35" t="n">
        <v>0.00133333333333333</v>
      </c>
      <c r="T332" s="33" t="n">
        <v>1.2</v>
      </c>
      <c r="U332" s="33" t="n">
        <v>210.466666666667</v>
      </c>
      <c r="V332" s="33" t="n">
        <v>420.933333333333</v>
      </c>
      <c r="W332" s="33" t="n">
        <v>420.933333333333</v>
      </c>
      <c r="X332" s="33" t="n">
        <v>210.466666666667</v>
      </c>
      <c r="Y332" s="33" t="n">
        <v>210.466666666667</v>
      </c>
      <c r="Z332" s="33" t="n">
        <v>126.28</v>
      </c>
      <c r="AA332" s="33" t="n">
        <v>126.28</v>
      </c>
      <c r="AB332" s="33" t="n">
        <v>105.233333333333</v>
      </c>
      <c r="AC332" s="33" t="n">
        <v>105.233333333333</v>
      </c>
      <c r="AD332" s="33" t="n">
        <v>63.14</v>
      </c>
      <c r="AE332" s="33" t="n">
        <v>63.14</v>
      </c>
      <c r="AF332" s="33" t="n">
        <v>42.0933333333333</v>
      </c>
    </row>
    <row r="333" ht="15" customHeight="1" s="176">
      <c r="A333" s="36" t="inlineStr">
        <is>
          <t>P-0330</t>
        </is>
      </c>
      <c r="B333" s="36" t="inlineStr">
        <is>
          <t>2026/27</t>
        </is>
      </c>
      <c r="C333" s="36" t="inlineStr">
        <is>
          <t>Santa Catalina</t>
        </is>
      </c>
      <c r="D333" s="37" t="inlineStr">
        <is>
          <t>mant eureka 2,5 ha</t>
        </is>
      </c>
      <c r="E333" s="36" t="inlineStr">
        <is>
          <t>Limon</t>
        </is>
      </c>
      <c r="F333" s="36" t="inlineStr">
        <is>
          <t>Eureka</t>
        </is>
      </c>
      <c r="G333" s="36" t="inlineStr">
        <is>
          <t>Mantención</t>
        </is>
      </c>
      <c r="H333" s="38" t="n">
        <v>2.5</v>
      </c>
      <c r="I333" s="38" t="n">
        <v>0</v>
      </c>
      <c r="J333" s="36" t="inlineStr">
        <is>
          <t>Costo</t>
        </is>
      </c>
      <c r="K333" s="37" t="inlineStr">
        <is>
          <t>1- M.O. directa</t>
        </is>
      </c>
      <c r="L333" s="37" t="inlineStr">
        <is>
          <t>17- Recepción, pesaje y despacho</t>
        </is>
      </c>
      <c r="M333" s="37" t="inlineStr">
        <is>
          <t>un jh   para 100  jh</t>
        </is>
      </c>
      <c r="N333" s="36" t="inlineStr">
        <is>
          <t>día</t>
        </is>
      </c>
      <c r="O333" s="36" t="inlineStr">
        <is>
          <t>kg</t>
        </is>
      </c>
      <c r="P333" s="39" t="n">
        <v>1.2</v>
      </c>
      <c r="Q333" s="40" t="n">
        <v>0</v>
      </c>
      <c r="R333" s="39" t="n">
        <v>0</v>
      </c>
      <c r="S333" s="41" t="n">
        <v>0</v>
      </c>
      <c r="T333" s="39" t="n">
        <v>0</v>
      </c>
      <c r="U333" s="39" t="n">
        <v>0</v>
      </c>
      <c r="V333" s="39" t="n">
        <v>0</v>
      </c>
      <c r="W333" s="39" t="n">
        <v>0</v>
      </c>
      <c r="X333" s="39" t="n">
        <v>0</v>
      </c>
      <c r="Y333" s="39" t="n">
        <v>0</v>
      </c>
      <c r="Z333" s="39" t="n">
        <v>0</v>
      </c>
      <c r="AA333" s="39" t="n">
        <v>0</v>
      </c>
      <c r="AB333" s="39" t="n">
        <v>0</v>
      </c>
      <c r="AC333" s="39" t="n">
        <v>0</v>
      </c>
      <c r="AD333" s="39" t="n">
        <v>0</v>
      </c>
      <c r="AE333" s="39" t="n">
        <v>0</v>
      </c>
      <c r="AF333" s="39" t="n">
        <v>0</v>
      </c>
    </row>
    <row r="334" ht="15" customHeight="1" s="176">
      <c r="A334" s="30" t="inlineStr">
        <is>
          <t>P-0331</t>
        </is>
      </c>
      <c r="B334" s="30" t="inlineStr">
        <is>
          <t>2026/27</t>
        </is>
      </c>
      <c r="C334" s="30" t="inlineStr">
        <is>
          <t>Santa Catalina</t>
        </is>
      </c>
      <c r="D334" s="31" t="inlineStr">
        <is>
          <t>Fino 49 7,7 ha</t>
        </is>
      </c>
      <c r="E334" s="30" t="inlineStr">
        <is>
          <t>Limon</t>
        </is>
      </c>
      <c r="F334" s="30" t="inlineStr">
        <is>
          <t>Fino 49</t>
        </is>
      </c>
      <c r="G334" s="30" t="inlineStr">
        <is>
          <t>Producción</t>
        </is>
      </c>
      <c r="H334" s="32" t="n">
        <v>7.7</v>
      </c>
      <c r="I334" s="32" t="n">
        <v>7.7</v>
      </c>
      <c r="J334" s="30" t="inlineStr">
        <is>
          <t>Costo</t>
        </is>
      </c>
      <c r="K334" s="31" t="inlineStr">
        <is>
          <t>1- M.O. directa</t>
        </is>
      </c>
      <c r="L334" s="31" t="inlineStr">
        <is>
          <t>17- Recepción, pesaje y despacho</t>
        </is>
      </c>
      <c r="M334" s="31" t="inlineStr">
        <is>
          <t>un jh   para 100  jh</t>
        </is>
      </c>
      <c r="N334" s="30" t="inlineStr">
        <is>
          <t>día</t>
        </is>
      </c>
      <c r="O334" s="30" t="inlineStr">
        <is>
          <t>kg</t>
        </is>
      </c>
      <c r="P334" s="33" t="n">
        <v>1.2</v>
      </c>
      <c r="Q334" s="34" t="n">
        <v>539000</v>
      </c>
      <c r="R334" s="33" t="n">
        <v>646800</v>
      </c>
      <c r="S334" s="35" t="n">
        <v>0.00133333333333333</v>
      </c>
      <c r="T334" s="33" t="n">
        <v>1.2</v>
      </c>
      <c r="U334" s="33" t="n">
        <v>71.8666666666667</v>
      </c>
      <c r="V334" s="33" t="n">
        <v>143.733333333333</v>
      </c>
      <c r="W334" s="33" t="n">
        <v>143.733333333333</v>
      </c>
      <c r="X334" s="33" t="n">
        <v>71.8666666666667</v>
      </c>
      <c r="Y334" s="33" t="n">
        <v>71.8666666666667</v>
      </c>
      <c r="Z334" s="33" t="n">
        <v>43.12</v>
      </c>
      <c r="AA334" s="33" t="n">
        <v>43.12</v>
      </c>
      <c r="AB334" s="33" t="n">
        <v>35.9333333333333</v>
      </c>
      <c r="AC334" s="33" t="n">
        <v>35.9333333333333</v>
      </c>
      <c r="AD334" s="33" t="n">
        <v>21.56</v>
      </c>
      <c r="AE334" s="33" t="n">
        <v>21.56</v>
      </c>
      <c r="AF334" s="33" t="n">
        <v>14.3733333333333</v>
      </c>
    </row>
    <row r="335" ht="15" customHeight="1" s="176">
      <c r="A335" s="36" t="inlineStr">
        <is>
          <t>P-0332</t>
        </is>
      </c>
      <c r="B335" s="36" t="inlineStr">
        <is>
          <t>2026/27</t>
        </is>
      </c>
      <c r="C335" s="36" t="inlineStr">
        <is>
          <t>Santa Catalina</t>
        </is>
      </c>
      <c r="D335" s="37" t="inlineStr">
        <is>
          <t>eureka 14,4 ha</t>
        </is>
      </c>
      <c r="E335" s="36" t="inlineStr">
        <is>
          <t>Limon</t>
        </is>
      </c>
      <c r="F335" s="36" t="inlineStr">
        <is>
          <t>Eureka</t>
        </is>
      </c>
      <c r="G335" s="36" t="inlineStr">
        <is>
          <t>Producción</t>
        </is>
      </c>
      <c r="H335" s="38" t="n">
        <v>14.4</v>
      </c>
      <c r="I335" s="38" t="n">
        <v>14.4</v>
      </c>
      <c r="J335" s="36" t="inlineStr">
        <is>
          <t>Costo</t>
        </is>
      </c>
      <c r="K335" s="37" t="inlineStr">
        <is>
          <t>1- M.O. directa</t>
        </is>
      </c>
      <c r="L335" s="37" t="inlineStr">
        <is>
          <t>17- Recepción, pesaje y despacho</t>
        </is>
      </c>
      <c r="M335" s="37" t="inlineStr">
        <is>
          <t>un jh   para 100  jh</t>
        </is>
      </c>
      <c r="N335" s="36" t="inlineStr">
        <is>
          <t>día</t>
        </is>
      </c>
      <c r="O335" s="36" t="inlineStr">
        <is>
          <t>kg</t>
        </is>
      </c>
      <c r="P335" s="39" t="n">
        <v>1.2</v>
      </c>
      <c r="Q335" s="40" t="n">
        <v>1008000</v>
      </c>
      <c r="R335" s="39" t="n">
        <v>1209600</v>
      </c>
      <c r="S335" s="41" t="n">
        <v>0.00133333333333333</v>
      </c>
      <c r="T335" s="39" t="n">
        <v>1.2</v>
      </c>
      <c r="U335" s="39" t="n">
        <v>134.4</v>
      </c>
      <c r="V335" s="39" t="n">
        <v>268.8</v>
      </c>
      <c r="W335" s="39" t="n">
        <v>268.8</v>
      </c>
      <c r="X335" s="39" t="n">
        <v>134.4</v>
      </c>
      <c r="Y335" s="39" t="n">
        <v>134.4</v>
      </c>
      <c r="Z335" s="39" t="n">
        <v>80.64</v>
      </c>
      <c r="AA335" s="39" t="n">
        <v>80.64</v>
      </c>
      <c r="AB335" s="39" t="n">
        <v>67.2</v>
      </c>
      <c r="AC335" s="39" t="n">
        <v>67.2</v>
      </c>
      <c r="AD335" s="39" t="n">
        <v>40.32</v>
      </c>
      <c r="AE335" s="39" t="n">
        <v>40.32</v>
      </c>
      <c r="AF335" s="39" t="n">
        <v>26.88</v>
      </c>
    </row>
    <row r="336" ht="15" customHeight="1" s="176">
      <c r="A336" s="30" t="inlineStr">
        <is>
          <t>P-0333</t>
        </is>
      </c>
      <c r="B336" s="30" t="inlineStr">
        <is>
          <t>2026/27</t>
        </is>
      </c>
      <c r="C336" s="30" t="inlineStr">
        <is>
          <t>Santa Catalina</t>
        </is>
      </c>
      <c r="D336" s="31" t="inlineStr">
        <is>
          <t>eureka 10,6 ha</t>
        </is>
      </c>
      <c r="E336" s="30" t="inlineStr">
        <is>
          <t>Limon</t>
        </is>
      </c>
      <c r="F336" s="30" t="inlineStr">
        <is>
          <t>Eureka</t>
        </is>
      </c>
      <c r="G336" s="30" t="inlineStr">
        <is>
          <t>Producción</t>
        </is>
      </c>
      <c r="H336" s="32" t="n">
        <v>10.6</v>
      </c>
      <c r="I336" s="32" t="n">
        <v>10.6</v>
      </c>
      <c r="J336" s="30" t="inlineStr">
        <is>
          <t>Costo</t>
        </is>
      </c>
      <c r="K336" s="31" t="inlineStr">
        <is>
          <t>1- M.O. directa</t>
        </is>
      </c>
      <c r="L336" s="31" t="inlineStr">
        <is>
          <t>17- Recepción, pesaje y despacho</t>
        </is>
      </c>
      <c r="M336" s="31" t="inlineStr">
        <is>
          <t>un jh   para 100  jh</t>
        </is>
      </c>
      <c r="N336" s="30" t="inlineStr">
        <is>
          <t>día</t>
        </is>
      </c>
      <c r="O336" s="30" t="inlineStr">
        <is>
          <t>kg</t>
        </is>
      </c>
      <c r="P336" s="33" t="n">
        <v>1.2</v>
      </c>
      <c r="Q336" s="34" t="n">
        <v>742000</v>
      </c>
      <c r="R336" s="33" t="n">
        <v>890400</v>
      </c>
      <c r="S336" s="35" t="n">
        <v>0.00133333333333333</v>
      </c>
      <c r="T336" s="33" t="n">
        <v>1.2</v>
      </c>
      <c r="U336" s="33" t="n">
        <v>98.93333333333329</v>
      </c>
      <c r="V336" s="33" t="n">
        <v>197.866666666667</v>
      </c>
      <c r="W336" s="33" t="n">
        <v>197.866666666667</v>
      </c>
      <c r="X336" s="33" t="n">
        <v>98.93333333333329</v>
      </c>
      <c r="Y336" s="33" t="n">
        <v>98.93333333333329</v>
      </c>
      <c r="Z336" s="33" t="n">
        <v>59.36</v>
      </c>
      <c r="AA336" s="33" t="n">
        <v>59.36</v>
      </c>
      <c r="AB336" s="33" t="n">
        <v>49.4666666666667</v>
      </c>
      <c r="AC336" s="33" t="n">
        <v>49.4666666666667</v>
      </c>
      <c r="AD336" s="33" t="n">
        <v>29.68</v>
      </c>
      <c r="AE336" s="33" t="n">
        <v>29.68</v>
      </c>
      <c r="AF336" s="33" t="n">
        <v>19.7866666666667</v>
      </c>
    </row>
    <row r="337" ht="15" customHeight="1" s="176">
      <c r="A337" s="36" t="inlineStr">
        <is>
          <t>P-0334</t>
        </is>
      </c>
      <c r="B337" s="36" t="inlineStr">
        <is>
          <t>2026/27</t>
        </is>
      </c>
      <c r="C337" s="36" t="inlineStr">
        <is>
          <t>Santa Catalina</t>
        </is>
      </c>
      <c r="D337" s="37" t="inlineStr">
        <is>
          <t>form benjamin 1,93 ha</t>
        </is>
      </c>
      <c r="E337" s="36" t="inlineStr">
        <is>
          <t>Limon</t>
        </is>
      </c>
      <c r="F337" s="36" t="inlineStr">
        <is>
          <t>Benjamin andes</t>
        </is>
      </c>
      <c r="G337" s="36" t="inlineStr">
        <is>
          <t>Formación</t>
        </is>
      </c>
      <c r="H337" s="38" t="n">
        <v>1.93</v>
      </c>
      <c r="I337" s="38" t="n">
        <v>0</v>
      </c>
      <c r="J337" s="36" t="inlineStr">
        <is>
          <t>Costo</t>
        </is>
      </c>
      <c r="K337" s="37" t="inlineStr">
        <is>
          <t>2- M.O. indirecta</t>
        </is>
      </c>
      <c r="L337" s="37" t="inlineStr">
        <is>
          <t>2- ADMINISTRACION</t>
        </is>
      </c>
      <c r="M337" s="37" t="inlineStr">
        <is>
          <t>Operacion predio</t>
        </is>
      </c>
      <c r="N337" s="36" t="inlineStr">
        <is>
          <t>día</t>
        </is>
      </c>
      <c r="O337" s="36" t="inlineStr">
        <is>
          <t>ha</t>
        </is>
      </c>
      <c r="P337" s="39" t="n">
        <v>8100</v>
      </c>
      <c r="Q337" s="40" t="n">
        <v>1.93</v>
      </c>
      <c r="R337" s="39" t="n">
        <v>156267.468</v>
      </c>
      <c r="S337" s="41" t="n">
        <v>0</v>
      </c>
      <c r="T337" s="39" t="n">
        <v>0</v>
      </c>
      <c r="U337" s="39" t="n">
        <v>14.46921</v>
      </c>
      <c r="V337" s="39" t="n">
        <v>14.46921</v>
      </c>
      <c r="W337" s="39" t="n">
        <v>14.46921</v>
      </c>
      <c r="X337" s="39" t="n">
        <v>14.46921</v>
      </c>
      <c r="Y337" s="39" t="n">
        <v>14.46921</v>
      </c>
      <c r="Z337" s="39" t="n">
        <v>14.46921</v>
      </c>
      <c r="AA337" s="39" t="n">
        <v>14.46921</v>
      </c>
      <c r="AB337" s="39" t="n">
        <v>14.46921</v>
      </c>
      <c r="AC337" s="39" t="n">
        <v>14.46921</v>
      </c>
      <c r="AD337" s="39" t="n">
        <v>14.46921</v>
      </c>
      <c r="AE337" s="39" t="n">
        <v>14.46921</v>
      </c>
      <c r="AF337" s="39" t="n">
        <v>14.46921</v>
      </c>
    </row>
    <row r="338" ht="15" customHeight="1" s="176">
      <c r="A338" s="30" t="inlineStr">
        <is>
          <t>P-0335</t>
        </is>
      </c>
      <c r="B338" s="30" t="inlineStr">
        <is>
          <t>2026/27</t>
        </is>
      </c>
      <c r="C338" s="30" t="inlineStr">
        <is>
          <t>Santa Catalina</t>
        </is>
      </c>
      <c r="D338" s="31" t="inlineStr">
        <is>
          <t>eureka 22,55</t>
        </is>
      </c>
      <c r="E338" s="30" t="inlineStr">
        <is>
          <t>Limon</t>
        </is>
      </c>
      <c r="F338" s="30" t="inlineStr">
        <is>
          <t>Eureka</t>
        </is>
      </c>
      <c r="G338" s="30" t="inlineStr">
        <is>
          <t>Producción</t>
        </is>
      </c>
      <c r="H338" s="32" t="n">
        <v>22.55</v>
      </c>
      <c r="I338" s="32" t="n">
        <v>22.55</v>
      </c>
      <c r="J338" s="30" t="inlineStr">
        <is>
          <t>Costo</t>
        </is>
      </c>
      <c r="K338" s="31" t="inlineStr">
        <is>
          <t>2- M.O. indirecta</t>
        </is>
      </c>
      <c r="L338" s="31" t="inlineStr">
        <is>
          <t>2- ADMINISTRACION</t>
        </is>
      </c>
      <c r="M338" s="31" t="inlineStr">
        <is>
          <t>Operacion predio</t>
        </is>
      </c>
      <c r="N338" s="30" t="inlineStr">
        <is>
          <t>día</t>
        </is>
      </c>
      <c r="O338" s="30" t="inlineStr">
        <is>
          <t>ha</t>
        </is>
      </c>
      <c r="P338" s="33" t="n">
        <v>8100</v>
      </c>
      <c r="Q338" s="34" t="n">
        <v>22.55</v>
      </c>
      <c r="R338" s="33" t="n">
        <v>1825819.38</v>
      </c>
      <c r="S338" s="35" t="n">
        <v>0.0012852</v>
      </c>
      <c r="T338" s="33" t="n">
        <v>1.15668</v>
      </c>
      <c r="U338" s="33" t="n">
        <v>169.05735</v>
      </c>
      <c r="V338" s="33" t="n">
        <v>169.05735</v>
      </c>
      <c r="W338" s="33" t="n">
        <v>169.05735</v>
      </c>
      <c r="X338" s="33" t="n">
        <v>169.05735</v>
      </c>
      <c r="Y338" s="33" t="n">
        <v>169.05735</v>
      </c>
      <c r="Z338" s="33" t="n">
        <v>169.05735</v>
      </c>
      <c r="AA338" s="33" t="n">
        <v>169.05735</v>
      </c>
      <c r="AB338" s="33" t="n">
        <v>169.05735</v>
      </c>
      <c r="AC338" s="33" t="n">
        <v>169.05735</v>
      </c>
      <c r="AD338" s="33" t="n">
        <v>169.05735</v>
      </c>
      <c r="AE338" s="33" t="n">
        <v>169.05735</v>
      </c>
      <c r="AF338" s="33" t="n">
        <v>169.05735</v>
      </c>
    </row>
    <row r="339" ht="15" customHeight="1" s="176">
      <c r="A339" s="36" t="inlineStr">
        <is>
          <t>P-0336</t>
        </is>
      </c>
      <c r="B339" s="36" t="inlineStr">
        <is>
          <t>2026/27</t>
        </is>
      </c>
      <c r="C339" s="36" t="inlineStr">
        <is>
          <t>Santa Catalina</t>
        </is>
      </c>
      <c r="D339" s="37" t="inlineStr">
        <is>
          <t>mant eureka 2,5 ha</t>
        </is>
      </c>
      <c r="E339" s="36" t="inlineStr">
        <is>
          <t>Limon</t>
        </is>
      </c>
      <c r="F339" s="36" t="inlineStr">
        <is>
          <t>Eureka</t>
        </is>
      </c>
      <c r="G339" s="36" t="inlineStr">
        <is>
          <t>Mantención</t>
        </is>
      </c>
      <c r="H339" s="38" t="n">
        <v>2.5</v>
      </c>
      <c r="I339" s="38" t="n">
        <v>0</v>
      </c>
      <c r="J339" s="36" t="inlineStr">
        <is>
          <t>Costo</t>
        </is>
      </c>
      <c r="K339" s="37" t="inlineStr">
        <is>
          <t>2- M.O. indirecta</t>
        </is>
      </c>
      <c r="L339" s="37" t="inlineStr">
        <is>
          <t>2- ADMINISTRACION</t>
        </is>
      </c>
      <c r="M339" s="37" t="inlineStr">
        <is>
          <t>Operacion predio</t>
        </is>
      </c>
      <c r="N339" s="36" t="inlineStr">
        <is>
          <t>día</t>
        </is>
      </c>
      <c r="O339" s="36" t="inlineStr">
        <is>
          <t>ha</t>
        </is>
      </c>
      <c r="P339" s="39" t="n">
        <v>8100</v>
      </c>
      <c r="Q339" s="40" t="n">
        <v>2.5</v>
      </c>
      <c r="R339" s="39" t="n">
        <v>202419</v>
      </c>
      <c r="S339" s="41" t="n">
        <v>0</v>
      </c>
      <c r="T339" s="39" t="n">
        <v>0</v>
      </c>
      <c r="U339" s="39" t="n">
        <v>18.7425</v>
      </c>
      <c r="V339" s="39" t="n">
        <v>18.7425</v>
      </c>
      <c r="W339" s="39" t="n">
        <v>18.7425</v>
      </c>
      <c r="X339" s="39" t="n">
        <v>18.7425</v>
      </c>
      <c r="Y339" s="39" t="n">
        <v>18.7425</v>
      </c>
      <c r="Z339" s="39" t="n">
        <v>18.7425</v>
      </c>
      <c r="AA339" s="39" t="n">
        <v>18.7425</v>
      </c>
      <c r="AB339" s="39" t="n">
        <v>18.7425</v>
      </c>
      <c r="AC339" s="39" t="n">
        <v>18.7425</v>
      </c>
      <c r="AD339" s="39" t="n">
        <v>18.7425</v>
      </c>
      <c r="AE339" s="39" t="n">
        <v>18.7425</v>
      </c>
      <c r="AF339" s="39" t="n">
        <v>18.7425</v>
      </c>
    </row>
    <row r="340" ht="15" customHeight="1" s="176">
      <c r="A340" s="30" t="inlineStr">
        <is>
          <t>P-0337</t>
        </is>
      </c>
      <c r="B340" s="30" t="inlineStr">
        <is>
          <t>2026/27</t>
        </is>
      </c>
      <c r="C340" s="30" t="inlineStr">
        <is>
          <t>Santa Catalina</t>
        </is>
      </c>
      <c r="D340" s="31" t="inlineStr">
        <is>
          <t>Fino 49 7,7 ha</t>
        </is>
      </c>
      <c r="E340" s="30" t="inlineStr">
        <is>
          <t>Limon</t>
        </is>
      </c>
      <c r="F340" s="30" t="inlineStr">
        <is>
          <t>Fino 49</t>
        </is>
      </c>
      <c r="G340" s="30" t="inlineStr">
        <is>
          <t>Producción</t>
        </is>
      </c>
      <c r="H340" s="32" t="n">
        <v>7.7</v>
      </c>
      <c r="I340" s="32" t="n">
        <v>7.7</v>
      </c>
      <c r="J340" s="30" t="inlineStr">
        <is>
          <t>Costo</t>
        </is>
      </c>
      <c r="K340" s="31" t="inlineStr">
        <is>
          <t>2- M.O. indirecta</t>
        </is>
      </c>
      <c r="L340" s="31" t="inlineStr">
        <is>
          <t>2- ADMINISTRACION</t>
        </is>
      </c>
      <c r="M340" s="31" t="inlineStr">
        <is>
          <t>Operacion predio</t>
        </is>
      </c>
      <c r="N340" s="30" t="inlineStr">
        <is>
          <t>día</t>
        </is>
      </c>
      <c r="O340" s="30" t="inlineStr">
        <is>
          <t>ha</t>
        </is>
      </c>
      <c r="P340" s="33" t="n">
        <v>8100</v>
      </c>
      <c r="Q340" s="34" t="n">
        <v>7.7</v>
      </c>
      <c r="R340" s="33" t="n">
        <v>623450.52</v>
      </c>
      <c r="S340" s="35" t="n">
        <v>0.0012852</v>
      </c>
      <c r="T340" s="33" t="n">
        <v>1.15668</v>
      </c>
      <c r="U340" s="33" t="n">
        <v>57.7269</v>
      </c>
      <c r="V340" s="33" t="n">
        <v>57.7269</v>
      </c>
      <c r="W340" s="33" t="n">
        <v>57.7269</v>
      </c>
      <c r="X340" s="33" t="n">
        <v>57.7269</v>
      </c>
      <c r="Y340" s="33" t="n">
        <v>57.7269</v>
      </c>
      <c r="Z340" s="33" t="n">
        <v>57.7269</v>
      </c>
      <c r="AA340" s="33" t="n">
        <v>57.7269</v>
      </c>
      <c r="AB340" s="33" t="n">
        <v>57.7269</v>
      </c>
      <c r="AC340" s="33" t="n">
        <v>57.7269</v>
      </c>
      <c r="AD340" s="33" t="n">
        <v>57.7269</v>
      </c>
      <c r="AE340" s="33" t="n">
        <v>57.7269</v>
      </c>
      <c r="AF340" s="33" t="n">
        <v>57.7269</v>
      </c>
    </row>
    <row r="341" ht="15" customHeight="1" s="176">
      <c r="A341" s="36" t="inlineStr">
        <is>
          <t>P-0338</t>
        </is>
      </c>
      <c r="B341" s="36" t="inlineStr">
        <is>
          <t>2026/27</t>
        </is>
      </c>
      <c r="C341" s="36" t="inlineStr">
        <is>
          <t>Santa Catalina</t>
        </is>
      </c>
      <c r="D341" s="37" t="inlineStr">
        <is>
          <t>eureka 14,4 ha</t>
        </is>
      </c>
      <c r="E341" s="36" t="inlineStr">
        <is>
          <t>Limon</t>
        </is>
      </c>
      <c r="F341" s="36" t="inlineStr">
        <is>
          <t>Eureka</t>
        </is>
      </c>
      <c r="G341" s="36" t="inlineStr">
        <is>
          <t>Producción</t>
        </is>
      </c>
      <c r="H341" s="38" t="n">
        <v>14.4</v>
      </c>
      <c r="I341" s="38" t="n">
        <v>14.4</v>
      </c>
      <c r="J341" s="36" t="inlineStr">
        <is>
          <t>Costo</t>
        </is>
      </c>
      <c r="K341" s="37" t="inlineStr">
        <is>
          <t>2- M.O. indirecta</t>
        </is>
      </c>
      <c r="L341" s="37" t="inlineStr">
        <is>
          <t>2- ADMINISTRACION</t>
        </is>
      </c>
      <c r="M341" s="37" t="inlineStr">
        <is>
          <t>Operacion predio</t>
        </is>
      </c>
      <c r="N341" s="36" t="inlineStr">
        <is>
          <t>día</t>
        </is>
      </c>
      <c r="O341" s="36" t="inlineStr">
        <is>
          <t>ha</t>
        </is>
      </c>
      <c r="P341" s="39" t="n">
        <v>8100</v>
      </c>
      <c r="Q341" s="40" t="n">
        <v>14.4</v>
      </c>
      <c r="R341" s="39" t="n">
        <v>1165933.44</v>
      </c>
      <c r="S341" s="41" t="n">
        <v>0.0012852</v>
      </c>
      <c r="T341" s="39" t="n">
        <v>1.15668</v>
      </c>
      <c r="U341" s="39" t="n">
        <v>107.9568</v>
      </c>
      <c r="V341" s="39" t="n">
        <v>107.9568</v>
      </c>
      <c r="W341" s="39" t="n">
        <v>107.9568</v>
      </c>
      <c r="X341" s="39" t="n">
        <v>107.9568</v>
      </c>
      <c r="Y341" s="39" t="n">
        <v>107.9568</v>
      </c>
      <c r="Z341" s="39" t="n">
        <v>107.9568</v>
      </c>
      <c r="AA341" s="39" t="n">
        <v>107.9568</v>
      </c>
      <c r="AB341" s="39" t="n">
        <v>107.9568</v>
      </c>
      <c r="AC341" s="39" t="n">
        <v>107.9568</v>
      </c>
      <c r="AD341" s="39" t="n">
        <v>107.9568</v>
      </c>
      <c r="AE341" s="39" t="n">
        <v>107.9568</v>
      </c>
      <c r="AF341" s="39" t="n">
        <v>107.9568</v>
      </c>
    </row>
    <row r="342" ht="15" customHeight="1" s="176">
      <c r="A342" s="30" t="inlineStr">
        <is>
          <t>P-0339</t>
        </is>
      </c>
      <c r="B342" s="30" t="inlineStr">
        <is>
          <t>2026/27</t>
        </is>
      </c>
      <c r="C342" s="30" t="inlineStr">
        <is>
          <t>Santa Catalina</t>
        </is>
      </c>
      <c r="D342" s="31" t="inlineStr">
        <is>
          <t>eureka 10,6 ha</t>
        </is>
      </c>
      <c r="E342" s="30" t="inlineStr">
        <is>
          <t>Limon</t>
        </is>
      </c>
      <c r="F342" s="30" t="inlineStr">
        <is>
          <t>Eureka</t>
        </is>
      </c>
      <c r="G342" s="30" t="inlineStr">
        <is>
          <t>Producción</t>
        </is>
      </c>
      <c r="H342" s="32" t="n">
        <v>10.6</v>
      </c>
      <c r="I342" s="32" t="n">
        <v>10.6</v>
      </c>
      <c r="J342" s="30" t="inlineStr">
        <is>
          <t>Costo</t>
        </is>
      </c>
      <c r="K342" s="31" t="inlineStr">
        <is>
          <t>2- M.O. indirecta</t>
        </is>
      </c>
      <c r="L342" s="31" t="inlineStr">
        <is>
          <t>2- ADMINISTRACION</t>
        </is>
      </c>
      <c r="M342" s="31" t="inlineStr">
        <is>
          <t>Operacion predio</t>
        </is>
      </c>
      <c r="N342" s="30" t="inlineStr">
        <is>
          <t>día</t>
        </is>
      </c>
      <c r="O342" s="30" t="inlineStr">
        <is>
          <t>ha</t>
        </is>
      </c>
      <c r="P342" s="33" t="n">
        <v>8100</v>
      </c>
      <c r="Q342" s="34" t="n">
        <v>10.6</v>
      </c>
      <c r="R342" s="33" t="n">
        <v>858256.5600000001</v>
      </c>
      <c r="S342" s="35" t="n">
        <v>0.0012852</v>
      </c>
      <c r="T342" s="33" t="n">
        <v>1.15668</v>
      </c>
      <c r="U342" s="33" t="n">
        <v>79.4682</v>
      </c>
      <c r="V342" s="33" t="n">
        <v>79.4682</v>
      </c>
      <c r="W342" s="33" t="n">
        <v>79.4682</v>
      </c>
      <c r="X342" s="33" t="n">
        <v>79.4682</v>
      </c>
      <c r="Y342" s="33" t="n">
        <v>79.4682</v>
      </c>
      <c r="Z342" s="33" t="n">
        <v>79.4682</v>
      </c>
      <c r="AA342" s="33" t="n">
        <v>79.4682</v>
      </c>
      <c r="AB342" s="33" t="n">
        <v>79.4682</v>
      </c>
      <c r="AC342" s="33" t="n">
        <v>79.4682</v>
      </c>
      <c r="AD342" s="33" t="n">
        <v>79.4682</v>
      </c>
      <c r="AE342" s="33" t="n">
        <v>79.4682</v>
      </c>
      <c r="AF342" s="33" t="n">
        <v>79.4682</v>
      </c>
    </row>
    <row r="343" ht="15" customHeight="1" s="176">
      <c r="A343" s="36" t="inlineStr">
        <is>
          <t>P-0340</t>
        </is>
      </c>
      <c r="B343" s="36" t="inlineStr">
        <is>
          <t>2026/27</t>
        </is>
      </c>
      <c r="C343" s="36" t="inlineStr">
        <is>
          <t>Santa Catalina</t>
        </is>
      </c>
      <c r="D343" s="37" t="inlineStr">
        <is>
          <t>form benjamin 1,93 ha</t>
        </is>
      </c>
      <c r="E343" s="36" t="inlineStr">
        <is>
          <t>Limon</t>
        </is>
      </c>
      <c r="F343" s="36" t="inlineStr">
        <is>
          <t>Benjamin andes</t>
        </is>
      </c>
      <c r="G343" s="36" t="inlineStr">
        <is>
          <t>Formación</t>
        </is>
      </c>
      <c r="H343" s="38" t="n">
        <v>1.93</v>
      </c>
      <c r="I343" s="38" t="n">
        <v>0</v>
      </c>
      <c r="J343" s="36" t="inlineStr">
        <is>
          <t>Costo</t>
        </is>
      </c>
      <c r="K343" s="37" t="inlineStr">
        <is>
          <t>3- Gasto general</t>
        </is>
      </c>
      <c r="L343" s="37" t="inlineStr">
        <is>
          <t>2- PRODUCTOS QUIMICOS</t>
        </is>
      </c>
      <c r="M343" s="37" t="n"/>
      <c r="N343" s="36" t="n"/>
      <c r="O343" s="36" t="inlineStr">
        <is>
          <t>ha</t>
        </is>
      </c>
      <c r="P343" s="39" t="n">
        <v>282900</v>
      </c>
      <c r="Q343" s="40" t="n">
        <v>1.93</v>
      </c>
      <c r="R343" s="39" t="n">
        <v>1965589.2</v>
      </c>
      <c r="S343" s="41" t="n">
        <v>0</v>
      </c>
      <c r="T343" s="39" t="n">
        <v>0</v>
      </c>
      <c r="U343" s="39" t="n">
        <v>181.999</v>
      </c>
      <c r="V343" s="39" t="n">
        <v>181.999</v>
      </c>
      <c r="W343" s="39" t="n">
        <v>181.999</v>
      </c>
      <c r="X343" s="39" t="n">
        <v>181.999</v>
      </c>
      <c r="Y343" s="39" t="n">
        <v>181.999</v>
      </c>
      <c r="Z343" s="39" t="n">
        <v>181.999</v>
      </c>
      <c r="AA343" s="39" t="n">
        <v>181.999</v>
      </c>
      <c r="AB343" s="39" t="n">
        <v>181.999</v>
      </c>
      <c r="AC343" s="39" t="n">
        <v>181.999</v>
      </c>
      <c r="AD343" s="39" t="n">
        <v>181.999</v>
      </c>
      <c r="AE343" s="39" t="n">
        <v>181.999</v>
      </c>
      <c r="AF343" s="39" t="n">
        <v>181.999</v>
      </c>
    </row>
    <row r="344" ht="15" customHeight="1" s="176">
      <c r="A344" s="30" t="inlineStr">
        <is>
          <t>P-0341</t>
        </is>
      </c>
      <c r="B344" s="30" t="inlineStr">
        <is>
          <t>2026/27</t>
        </is>
      </c>
      <c r="C344" s="30" t="inlineStr">
        <is>
          <t>Santa Catalina</t>
        </is>
      </c>
      <c r="D344" s="31" t="inlineStr">
        <is>
          <t>eureka 22,55</t>
        </is>
      </c>
      <c r="E344" s="30" t="inlineStr">
        <is>
          <t>Limon</t>
        </is>
      </c>
      <c r="F344" s="30" t="inlineStr">
        <is>
          <t>Eureka</t>
        </is>
      </c>
      <c r="G344" s="30" t="inlineStr">
        <is>
          <t>Producción</t>
        </is>
      </c>
      <c r="H344" s="32" t="n">
        <v>22.55</v>
      </c>
      <c r="I344" s="32" t="n">
        <v>22.55</v>
      </c>
      <c r="J344" s="30" t="inlineStr">
        <is>
          <t>Costo</t>
        </is>
      </c>
      <c r="K344" s="31" t="inlineStr">
        <is>
          <t>3- Gasto general</t>
        </is>
      </c>
      <c r="L344" s="31" t="inlineStr">
        <is>
          <t>2- PRODUCTOS QUIMICOS</t>
        </is>
      </c>
      <c r="M344" s="31" t="n"/>
      <c r="N344" s="30" t="n"/>
      <c r="O344" s="30" t="inlineStr">
        <is>
          <t>ha</t>
        </is>
      </c>
      <c r="P344" s="33" t="n">
        <v>282900</v>
      </c>
      <c r="Q344" s="34" t="n">
        <v>22.55</v>
      </c>
      <c r="R344" s="33" t="n">
        <v>63768432.42</v>
      </c>
      <c r="S344" s="35" t="n">
        <v>0.0448868</v>
      </c>
      <c r="T344" s="33" t="n">
        <v>40.39812</v>
      </c>
      <c r="U344" s="33" t="n">
        <v>5904.48448333333</v>
      </c>
      <c r="V344" s="33" t="n">
        <v>5904.48448333333</v>
      </c>
      <c r="W344" s="33" t="n">
        <v>5904.48448333333</v>
      </c>
      <c r="X344" s="33" t="n">
        <v>5904.48448333333</v>
      </c>
      <c r="Y344" s="33" t="n">
        <v>5904.48448333333</v>
      </c>
      <c r="Z344" s="33" t="n">
        <v>5904.48448333333</v>
      </c>
      <c r="AA344" s="33" t="n">
        <v>5904.48448333333</v>
      </c>
      <c r="AB344" s="33" t="n">
        <v>5904.48448333333</v>
      </c>
      <c r="AC344" s="33" t="n">
        <v>5904.48448333333</v>
      </c>
      <c r="AD344" s="33" t="n">
        <v>5904.48448333333</v>
      </c>
      <c r="AE344" s="33" t="n">
        <v>5904.48448333333</v>
      </c>
      <c r="AF344" s="33" t="n">
        <v>5904.48448333333</v>
      </c>
    </row>
    <row r="345" ht="15" customHeight="1" s="176">
      <c r="A345" s="36" t="inlineStr">
        <is>
          <t>P-0342</t>
        </is>
      </c>
      <c r="B345" s="36" t="inlineStr">
        <is>
          <t>2026/27</t>
        </is>
      </c>
      <c r="C345" s="36" t="inlineStr">
        <is>
          <t>Santa Catalina</t>
        </is>
      </c>
      <c r="D345" s="37" t="inlineStr">
        <is>
          <t>mant eureka 2,5 ha</t>
        </is>
      </c>
      <c r="E345" s="36" t="inlineStr">
        <is>
          <t>Limon</t>
        </is>
      </c>
      <c r="F345" s="36" t="inlineStr">
        <is>
          <t>Eureka</t>
        </is>
      </c>
      <c r="G345" s="36" t="inlineStr">
        <is>
          <t>Mantención</t>
        </is>
      </c>
      <c r="H345" s="38" t="n">
        <v>2.5</v>
      </c>
      <c r="I345" s="38" t="n">
        <v>0</v>
      </c>
      <c r="J345" s="36" t="inlineStr">
        <is>
          <t>Costo</t>
        </is>
      </c>
      <c r="K345" s="37" t="inlineStr">
        <is>
          <t>3- Gasto general</t>
        </is>
      </c>
      <c r="L345" s="37" t="inlineStr">
        <is>
          <t>2- PRODUCTOS QUIMICOS</t>
        </is>
      </c>
      <c r="M345" s="37" t="n"/>
      <c r="N345" s="36" t="n"/>
      <c r="O345" s="36" t="inlineStr">
        <is>
          <t>ha</t>
        </is>
      </c>
      <c r="P345" s="39" t="n">
        <v>282900</v>
      </c>
      <c r="Q345" s="40" t="n">
        <v>2.5</v>
      </c>
      <c r="R345" s="39" t="n">
        <v>1697400</v>
      </c>
      <c r="S345" s="41" t="n">
        <v>0</v>
      </c>
      <c r="T345" s="39" t="n">
        <v>0</v>
      </c>
      <c r="U345" s="39" t="n">
        <v>157.166666666667</v>
      </c>
      <c r="V345" s="39" t="n">
        <v>157.166666666667</v>
      </c>
      <c r="W345" s="39" t="n">
        <v>157.166666666667</v>
      </c>
      <c r="X345" s="39" t="n">
        <v>157.166666666667</v>
      </c>
      <c r="Y345" s="39" t="n">
        <v>157.166666666667</v>
      </c>
      <c r="Z345" s="39" t="n">
        <v>157.166666666667</v>
      </c>
      <c r="AA345" s="39" t="n">
        <v>157.166666666667</v>
      </c>
      <c r="AB345" s="39" t="n">
        <v>157.166666666667</v>
      </c>
      <c r="AC345" s="39" t="n">
        <v>157.166666666667</v>
      </c>
      <c r="AD345" s="39" t="n">
        <v>157.166666666667</v>
      </c>
      <c r="AE345" s="39" t="n">
        <v>157.166666666667</v>
      </c>
      <c r="AF345" s="39" t="n">
        <v>157.166666666667</v>
      </c>
    </row>
    <row r="346" ht="15" customHeight="1" s="176">
      <c r="A346" s="30" t="inlineStr">
        <is>
          <t>P-0343</t>
        </is>
      </c>
      <c r="B346" s="30" t="inlineStr">
        <is>
          <t>2026/27</t>
        </is>
      </c>
      <c r="C346" s="30" t="inlineStr">
        <is>
          <t>Santa Catalina</t>
        </is>
      </c>
      <c r="D346" s="31" t="inlineStr">
        <is>
          <t>Fino 49 7,7 ha</t>
        </is>
      </c>
      <c r="E346" s="30" t="inlineStr">
        <is>
          <t>Limon</t>
        </is>
      </c>
      <c r="F346" s="30" t="inlineStr">
        <is>
          <t>Fino 49</t>
        </is>
      </c>
      <c r="G346" s="30" t="inlineStr">
        <is>
          <t>Producción</t>
        </is>
      </c>
      <c r="H346" s="32" t="n">
        <v>7.7</v>
      </c>
      <c r="I346" s="32" t="n">
        <v>7.7</v>
      </c>
      <c r="J346" s="30" t="inlineStr">
        <is>
          <t>Costo</t>
        </is>
      </c>
      <c r="K346" s="31" t="inlineStr">
        <is>
          <t>3- Gasto general</t>
        </is>
      </c>
      <c r="L346" s="31" t="inlineStr">
        <is>
          <t>2- PRODUCTOS QUIMICOS</t>
        </is>
      </c>
      <c r="M346" s="31" t="n"/>
      <c r="N346" s="30" t="n"/>
      <c r="O346" s="30" t="inlineStr">
        <is>
          <t>ha</t>
        </is>
      </c>
      <c r="P346" s="33" t="n">
        <v>282900</v>
      </c>
      <c r="Q346" s="34" t="n">
        <v>7.7</v>
      </c>
      <c r="R346" s="33" t="n">
        <v>21774586.68</v>
      </c>
      <c r="S346" s="35" t="n">
        <v>0.0448868</v>
      </c>
      <c r="T346" s="33" t="n">
        <v>40.39812</v>
      </c>
      <c r="U346" s="33" t="n">
        <v>2016.16543333333</v>
      </c>
      <c r="V346" s="33" t="n">
        <v>2016.16543333333</v>
      </c>
      <c r="W346" s="33" t="n">
        <v>2016.16543333333</v>
      </c>
      <c r="X346" s="33" t="n">
        <v>2016.16543333333</v>
      </c>
      <c r="Y346" s="33" t="n">
        <v>2016.16543333333</v>
      </c>
      <c r="Z346" s="33" t="n">
        <v>2016.16543333333</v>
      </c>
      <c r="AA346" s="33" t="n">
        <v>2016.16543333333</v>
      </c>
      <c r="AB346" s="33" t="n">
        <v>2016.16543333333</v>
      </c>
      <c r="AC346" s="33" t="n">
        <v>2016.16543333333</v>
      </c>
      <c r="AD346" s="33" t="n">
        <v>2016.16543333333</v>
      </c>
      <c r="AE346" s="33" t="n">
        <v>2016.16543333333</v>
      </c>
      <c r="AF346" s="33" t="n">
        <v>2016.16543333333</v>
      </c>
    </row>
    <row r="347" ht="15" customHeight="1" s="176">
      <c r="A347" s="36" t="inlineStr">
        <is>
          <t>P-0344</t>
        </is>
      </c>
      <c r="B347" s="36" t="inlineStr">
        <is>
          <t>2026/27</t>
        </is>
      </c>
      <c r="C347" s="36" t="inlineStr">
        <is>
          <t>Santa Catalina</t>
        </is>
      </c>
      <c r="D347" s="37" t="inlineStr">
        <is>
          <t>eureka 14,4 ha</t>
        </is>
      </c>
      <c r="E347" s="36" t="inlineStr">
        <is>
          <t>Limon</t>
        </is>
      </c>
      <c r="F347" s="36" t="inlineStr">
        <is>
          <t>Eureka</t>
        </is>
      </c>
      <c r="G347" s="36" t="inlineStr">
        <is>
          <t>Producción</t>
        </is>
      </c>
      <c r="H347" s="38" t="n">
        <v>14.4</v>
      </c>
      <c r="I347" s="38" t="n">
        <v>14.4</v>
      </c>
      <c r="J347" s="36" t="inlineStr">
        <is>
          <t>Costo</t>
        </is>
      </c>
      <c r="K347" s="37" t="inlineStr">
        <is>
          <t>3- Gasto general</t>
        </is>
      </c>
      <c r="L347" s="37" t="inlineStr">
        <is>
          <t>2- PRODUCTOS QUIMICOS</t>
        </is>
      </c>
      <c r="M347" s="37" t="n"/>
      <c r="N347" s="36" t="n"/>
      <c r="O347" s="36" t="inlineStr">
        <is>
          <t>ha</t>
        </is>
      </c>
      <c r="P347" s="39" t="n">
        <v>282900</v>
      </c>
      <c r="Q347" s="40" t="n">
        <v>14.4</v>
      </c>
      <c r="R347" s="39" t="n">
        <v>40721304.96</v>
      </c>
      <c r="S347" s="41" t="n">
        <v>0.0448868</v>
      </c>
      <c r="T347" s="39" t="n">
        <v>40.39812</v>
      </c>
      <c r="U347" s="39" t="n">
        <v>3770.4912</v>
      </c>
      <c r="V347" s="39" t="n">
        <v>3770.4912</v>
      </c>
      <c r="W347" s="39" t="n">
        <v>3770.4912</v>
      </c>
      <c r="X347" s="39" t="n">
        <v>3770.4912</v>
      </c>
      <c r="Y347" s="39" t="n">
        <v>3770.4912</v>
      </c>
      <c r="Z347" s="39" t="n">
        <v>3770.4912</v>
      </c>
      <c r="AA347" s="39" t="n">
        <v>3770.4912</v>
      </c>
      <c r="AB347" s="39" t="n">
        <v>3770.4912</v>
      </c>
      <c r="AC347" s="39" t="n">
        <v>3770.4912</v>
      </c>
      <c r="AD347" s="39" t="n">
        <v>3770.4912</v>
      </c>
      <c r="AE347" s="39" t="n">
        <v>3770.4912</v>
      </c>
      <c r="AF347" s="39" t="n">
        <v>3770.4912</v>
      </c>
    </row>
    <row r="348" ht="15" customHeight="1" s="176">
      <c r="A348" s="30" t="inlineStr">
        <is>
          <t>P-0345</t>
        </is>
      </c>
      <c r="B348" s="30" t="inlineStr">
        <is>
          <t>2026/27</t>
        </is>
      </c>
      <c r="C348" s="30" t="inlineStr">
        <is>
          <t>Santa Catalina</t>
        </is>
      </c>
      <c r="D348" s="31" t="inlineStr">
        <is>
          <t>W. murcott 21 ha</t>
        </is>
      </c>
      <c r="E348" s="30" t="inlineStr">
        <is>
          <t>Mandarina</t>
        </is>
      </c>
      <c r="F348" s="30" t="inlineStr">
        <is>
          <t>W. murcott</t>
        </is>
      </c>
      <c r="G348" s="30" t="inlineStr">
        <is>
          <t>Producción</t>
        </is>
      </c>
      <c r="H348" s="32" t="n">
        <v>21</v>
      </c>
      <c r="I348" s="32" t="n">
        <v>21</v>
      </c>
      <c r="J348" s="30" t="inlineStr">
        <is>
          <t>Costo</t>
        </is>
      </c>
      <c r="K348" s="31" t="inlineStr">
        <is>
          <t>3- Gasto general</t>
        </is>
      </c>
      <c r="L348" s="31" t="inlineStr">
        <is>
          <t>1- GASTOS DEL PERSONAL</t>
        </is>
      </c>
      <c r="M348" s="31" t="inlineStr">
        <is>
          <t xml:space="preserve">movilizacion </t>
        </is>
      </c>
      <c r="N348" s="30" t="n"/>
      <c r="O348" s="30" t="inlineStr">
        <is>
          <t>ha</t>
        </is>
      </c>
      <c r="P348" s="33" t="n">
        <v>18402.4505183789</v>
      </c>
      <c r="Q348" s="34" t="n">
        <v>21</v>
      </c>
      <c r="R348" s="33" t="n">
        <v>3862968.80301602</v>
      </c>
      <c r="S348" s="35" t="n">
        <v>0.00408779767514923</v>
      </c>
      <c r="T348" s="33" t="n">
        <v>3.67901790763431</v>
      </c>
      <c r="U348" s="33" t="n">
        <v>357.682296575558</v>
      </c>
      <c r="V348" s="33" t="n">
        <v>357.682296575558</v>
      </c>
      <c r="W348" s="33" t="n">
        <v>357.682296575558</v>
      </c>
      <c r="X348" s="33" t="n">
        <v>357.682296575558</v>
      </c>
      <c r="Y348" s="33" t="n">
        <v>357.682296575558</v>
      </c>
      <c r="Z348" s="33" t="n">
        <v>357.682296575558</v>
      </c>
      <c r="AA348" s="33" t="n">
        <v>357.682296575558</v>
      </c>
      <c r="AB348" s="33" t="n">
        <v>357.682296575558</v>
      </c>
      <c r="AC348" s="33" t="n">
        <v>357.682296575558</v>
      </c>
      <c r="AD348" s="33" t="n">
        <v>357.682296575558</v>
      </c>
      <c r="AE348" s="33" t="n">
        <v>357.682296575558</v>
      </c>
      <c r="AF348" s="33" t="n">
        <v>357.682296575558</v>
      </c>
    </row>
    <row r="349" ht="15" customHeight="1" s="176">
      <c r="A349" s="36" t="inlineStr">
        <is>
          <t>P-0346</t>
        </is>
      </c>
      <c r="B349" s="36" t="inlineStr">
        <is>
          <t>2026/27</t>
        </is>
      </c>
      <c r="C349" s="36" t="inlineStr">
        <is>
          <t>Santa Catalina</t>
        </is>
      </c>
      <c r="D349" s="37" t="inlineStr">
        <is>
          <t>cambria 4,2 ha</t>
        </is>
      </c>
      <c r="E349" s="36" t="inlineStr">
        <is>
          <t>Naranjas</t>
        </is>
      </c>
      <c r="F349" s="36" t="inlineStr">
        <is>
          <t>Cambria</t>
        </is>
      </c>
      <c r="G349" s="36" t="inlineStr">
        <is>
          <t>Mantención</t>
        </is>
      </c>
      <c r="H349" s="38" t="n">
        <v>4.2</v>
      </c>
      <c r="I349" s="38" t="n">
        <v>0</v>
      </c>
      <c r="J349" s="36" t="inlineStr">
        <is>
          <t>Costo</t>
        </is>
      </c>
      <c r="K349" s="37" t="inlineStr">
        <is>
          <t>1- M.O. directa</t>
        </is>
      </c>
      <c r="L349" s="37" t="inlineStr">
        <is>
          <t>14- Poda de sierrpes</t>
        </is>
      </c>
      <c r="M349" s="37" t="n"/>
      <c r="N349" s="36" t="inlineStr">
        <is>
          <t>trato</t>
        </is>
      </c>
      <c r="O349" s="36" t="inlineStr">
        <is>
          <t>plt</t>
        </is>
      </c>
      <c r="P349" s="39" t="n">
        <v>30</v>
      </c>
      <c r="Q349" s="40" t="n">
        <v>1751.4</v>
      </c>
      <c r="R349" s="39" t="n">
        <v>0</v>
      </c>
      <c r="S349" s="41" t="n">
        <v>0</v>
      </c>
      <c r="T349" s="39" t="n">
        <v>0</v>
      </c>
      <c r="U349" s="39" t="n">
        <v>0</v>
      </c>
      <c r="V349" s="39" t="n">
        <v>0</v>
      </c>
      <c r="W349" s="39" t="n">
        <v>0</v>
      </c>
      <c r="X349" s="39" t="n">
        <v>0</v>
      </c>
      <c r="Y349" s="39" t="n">
        <v>0</v>
      </c>
      <c r="Z349" s="39" t="n">
        <v>0</v>
      </c>
      <c r="AA349" s="39" t="n">
        <v>0</v>
      </c>
      <c r="AB349" s="39" t="n">
        <v>0</v>
      </c>
      <c r="AC349" s="39" t="n">
        <v>0</v>
      </c>
      <c r="AD349" s="39" t="n">
        <v>0</v>
      </c>
      <c r="AE349" s="39" t="n">
        <v>0</v>
      </c>
      <c r="AF349" s="39" t="n">
        <v>0</v>
      </c>
    </row>
    <row r="350" ht="15" customHeight="1" s="176">
      <c r="A350" s="30" t="inlineStr">
        <is>
          <t>P-0347</t>
        </is>
      </c>
      <c r="B350" s="30" t="inlineStr">
        <is>
          <t>2026/27</t>
        </is>
      </c>
      <c r="C350" s="30" t="inlineStr">
        <is>
          <t>Santa Catalina</t>
        </is>
      </c>
      <c r="D350" s="31" t="inlineStr">
        <is>
          <t>eureka 10,6 ha</t>
        </is>
      </c>
      <c r="E350" s="30" t="inlineStr">
        <is>
          <t>Limon</t>
        </is>
      </c>
      <c r="F350" s="30" t="inlineStr">
        <is>
          <t>Eureka</t>
        </is>
      </c>
      <c r="G350" s="30" t="inlineStr">
        <is>
          <t>Producción</t>
        </is>
      </c>
      <c r="H350" s="32" t="n">
        <v>10.6</v>
      </c>
      <c r="I350" s="32" t="n">
        <v>10.6</v>
      </c>
      <c r="J350" s="30" t="inlineStr">
        <is>
          <t>Costo</t>
        </is>
      </c>
      <c r="K350" s="31" t="inlineStr">
        <is>
          <t>3- Gasto general</t>
        </is>
      </c>
      <c r="L350" s="31" t="inlineStr">
        <is>
          <t>2- PRODUCTOS QUIMICOS</t>
        </is>
      </c>
      <c r="M350" s="31" t="n"/>
      <c r="N350" s="30" t="n"/>
      <c r="O350" s="30" t="inlineStr">
        <is>
          <t>ha</t>
        </is>
      </c>
      <c r="P350" s="33" t="n">
        <v>282900</v>
      </c>
      <c r="Q350" s="34" t="n">
        <v>10.6</v>
      </c>
      <c r="R350" s="33" t="n">
        <v>29975405.04</v>
      </c>
      <c r="S350" s="35" t="n">
        <v>0.0448868</v>
      </c>
      <c r="T350" s="33" t="n">
        <v>40.39812</v>
      </c>
      <c r="U350" s="33" t="n">
        <v>2775.50046666667</v>
      </c>
      <c r="V350" s="33" t="n">
        <v>2775.50046666667</v>
      </c>
      <c r="W350" s="33" t="n">
        <v>2775.50046666667</v>
      </c>
      <c r="X350" s="33" t="n">
        <v>2775.50046666667</v>
      </c>
      <c r="Y350" s="33" t="n">
        <v>2775.50046666667</v>
      </c>
      <c r="Z350" s="33" t="n">
        <v>2775.50046666667</v>
      </c>
      <c r="AA350" s="33" t="n">
        <v>2775.50046666667</v>
      </c>
      <c r="AB350" s="33" t="n">
        <v>2775.50046666667</v>
      </c>
      <c r="AC350" s="33" t="n">
        <v>2775.50046666667</v>
      </c>
      <c r="AD350" s="33" t="n">
        <v>2775.50046666667</v>
      </c>
      <c r="AE350" s="33" t="n">
        <v>2775.50046666667</v>
      </c>
      <c r="AF350" s="33" t="n">
        <v>2775.50046666667</v>
      </c>
    </row>
    <row r="351" ht="15" customHeight="1" s="176">
      <c r="A351" s="36" t="inlineStr">
        <is>
          <t>P-0348</t>
        </is>
      </c>
      <c r="B351" s="36" t="inlineStr">
        <is>
          <t>2026/27</t>
        </is>
      </c>
      <c r="C351" s="36" t="inlineStr">
        <is>
          <t>Santa Catalina</t>
        </is>
      </c>
      <c r="D351" s="37" t="inlineStr">
        <is>
          <t>form benjamin 1,93 ha</t>
        </is>
      </c>
      <c r="E351" s="36" t="inlineStr">
        <is>
          <t>Limon</t>
        </is>
      </c>
      <c r="F351" s="36" t="inlineStr">
        <is>
          <t>Benjamin andes</t>
        </is>
      </c>
      <c r="G351" s="36" t="inlineStr">
        <is>
          <t>Formación</t>
        </is>
      </c>
      <c r="H351" s="38" t="n">
        <v>1.93</v>
      </c>
      <c r="I351" s="38" t="n">
        <v>0</v>
      </c>
      <c r="J351" s="36" t="inlineStr">
        <is>
          <t>Costo</t>
        </is>
      </c>
      <c r="K351" s="37" t="inlineStr">
        <is>
          <t>1- M.O. directa</t>
        </is>
      </c>
      <c r="L351" s="37" t="inlineStr">
        <is>
          <t>2- Supervisor cosecha</t>
        </is>
      </c>
      <c r="M351" s="37" t="inlineStr">
        <is>
          <t>15 jh/supervisor ($7/kg)</t>
        </is>
      </c>
      <c r="N351" s="36" t="inlineStr">
        <is>
          <t>día</t>
        </is>
      </c>
      <c r="O351" s="36" t="inlineStr">
        <is>
          <t>kg</t>
        </is>
      </c>
      <c r="P351" s="39" t="n">
        <v>7</v>
      </c>
      <c r="Q351" s="40" t="n">
        <v>0</v>
      </c>
      <c r="R351" s="39" t="n">
        <v>0</v>
      </c>
      <c r="S351" s="41" t="n">
        <v>0</v>
      </c>
      <c r="T351" s="39" t="n">
        <v>0</v>
      </c>
      <c r="U351" s="39" t="n">
        <v>0</v>
      </c>
      <c r="V351" s="39" t="n">
        <v>0</v>
      </c>
      <c r="W351" s="39" t="n">
        <v>0</v>
      </c>
      <c r="X351" s="39" t="n">
        <v>0</v>
      </c>
      <c r="Y351" s="39" t="n">
        <v>0</v>
      </c>
      <c r="Z351" s="39" t="n">
        <v>0</v>
      </c>
      <c r="AA351" s="39" t="n">
        <v>0</v>
      </c>
      <c r="AB351" s="39" t="n">
        <v>0</v>
      </c>
      <c r="AC351" s="39" t="n">
        <v>0</v>
      </c>
      <c r="AD351" s="39" t="n">
        <v>0</v>
      </c>
      <c r="AE351" s="39" t="n">
        <v>0</v>
      </c>
      <c r="AF351" s="39" t="n">
        <v>0</v>
      </c>
    </row>
    <row r="352" ht="15" customHeight="1" s="176">
      <c r="A352" s="30" t="inlineStr">
        <is>
          <t>P-0349</t>
        </is>
      </c>
      <c r="B352" s="30" t="inlineStr">
        <is>
          <t>2026/27</t>
        </is>
      </c>
      <c r="C352" s="30" t="inlineStr">
        <is>
          <t>Santa Catalina</t>
        </is>
      </c>
      <c r="D352" s="31" t="inlineStr">
        <is>
          <t>eureka 22,55</t>
        </is>
      </c>
      <c r="E352" s="30" t="inlineStr">
        <is>
          <t>Limon</t>
        </is>
      </c>
      <c r="F352" s="30" t="inlineStr">
        <is>
          <t>Eureka</t>
        </is>
      </c>
      <c r="G352" s="30" t="inlineStr">
        <is>
          <t>Producción</t>
        </is>
      </c>
      <c r="H352" s="32" t="n">
        <v>22.55</v>
      </c>
      <c r="I352" s="32" t="n">
        <v>22.55</v>
      </c>
      <c r="J352" s="30" t="inlineStr">
        <is>
          <t>Costo</t>
        </is>
      </c>
      <c r="K352" s="31" t="inlineStr">
        <is>
          <t>1- M.O. directa</t>
        </is>
      </c>
      <c r="L352" s="31" t="inlineStr">
        <is>
          <t>2- Supervisor cosecha</t>
        </is>
      </c>
      <c r="M352" s="31" t="inlineStr">
        <is>
          <t>15 jh/supervisor ($7/kg)</t>
        </is>
      </c>
      <c r="N352" s="30" t="inlineStr">
        <is>
          <t>día</t>
        </is>
      </c>
      <c r="O352" s="30" t="inlineStr">
        <is>
          <t>kg</t>
        </is>
      </c>
      <c r="P352" s="33" t="n">
        <v>7</v>
      </c>
      <c r="Q352" s="34" t="n">
        <v>1578500</v>
      </c>
      <c r="R352" s="33" t="n">
        <v>11049500</v>
      </c>
      <c r="S352" s="35" t="n">
        <v>0.00777777777777778</v>
      </c>
      <c r="T352" s="33" t="n">
        <v>7</v>
      </c>
      <c r="U352" s="33" t="n">
        <v>1473.26666666667</v>
      </c>
      <c r="V352" s="33" t="n">
        <v>1473.26666666667</v>
      </c>
      <c r="W352" s="33" t="n">
        <v>1841.58333333333</v>
      </c>
      <c r="X352" s="33" t="n">
        <v>1841.58333333333</v>
      </c>
      <c r="Y352" s="33" t="n">
        <v>982.177777777778</v>
      </c>
      <c r="Z352" s="33" t="n">
        <v>982.177777777778</v>
      </c>
      <c r="AA352" s="33" t="n">
        <v>859.405555555556</v>
      </c>
      <c r="AB352" s="33" t="n">
        <v>859.405555555556</v>
      </c>
      <c r="AC352" s="33" t="n">
        <v>859.405555555556</v>
      </c>
      <c r="AD352" s="33" t="n">
        <v>613.861111111111</v>
      </c>
      <c r="AE352" s="33" t="n">
        <v>245.544444444445</v>
      </c>
      <c r="AF352" s="33" t="n">
        <v>245.544444444445</v>
      </c>
    </row>
    <row r="353" ht="15" customHeight="1" s="176">
      <c r="A353" s="36" t="inlineStr">
        <is>
          <t>P-0350</t>
        </is>
      </c>
      <c r="B353" s="36" t="inlineStr">
        <is>
          <t>2026/27</t>
        </is>
      </c>
      <c r="C353" s="36" t="inlineStr">
        <is>
          <t>Santa Catalina</t>
        </is>
      </c>
      <c r="D353" s="37" t="inlineStr">
        <is>
          <t>mant eureka 2,5 ha</t>
        </is>
      </c>
      <c r="E353" s="36" t="inlineStr">
        <is>
          <t>Limon</t>
        </is>
      </c>
      <c r="F353" s="36" t="inlineStr">
        <is>
          <t>Eureka</t>
        </is>
      </c>
      <c r="G353" s="36" t="inlineStr">
        <is>
          <t>Mantención</t>
        </is>
      </c>
      <c r="H353" s="38" t="n">
        <v>2.5</v>
      </c>
      <c r="I353" s="38" t="n">
        <v>0</v>
      </c>
      <c r="J353" s="36" t="inlineStr">
        <is>
          <t>Costo</t>
        </is>
      </c>
      <c r="K353" s="37" t="inlineStr">
        <is>
          <t>1- M.O. directa</t>
        </is>
      </c>
      <c r="L353" s="37" t="inlineStr">
        <is>
          <t>2- Supervisor cosecha</t>
        </is>
      </c>
      <c r="M353" s="37" t="inlineStr">
        <is>
          <t>15 jh/supervisor ($7/kg)</t>
        </is>
      </c>
      <c r="N353" s="36" t="inlineStr">
        <is>
          <t>día</t>
        </is>
      </c>
      <c r="O353" s="36" t="inlineStr">
        <is>
          <t>kg</t>
        </is>
      </c>
      <c r="P353" s="39" t="n">
        <v>7</v>
      </c>
      <c r="Q353" s="40" t="n">
        <v>0</v>
      </c>
      <c r="R353" s="39" t="n">
        <v>0</v>
      </c>
      <c r="S353" s="41" t="n">
        <v>0</v>
      </c>
      <c r="T353" s="39" t="n">
        <v>0</v>
      </c>
      <c r="U353" s="39" t="n">
        <v>0</v>
      </c>
      <c r="V353" s="39" t="n">
        <v>0</v>
      </c>
      <c r="W353" s="39" t="n">
        <v>0</v>
      </c>
      <c r="X353" s="39" t="n">
        <v>0</v>
      </c>
      <c r="Y353" s="39" t="n">
        <v>0</v>
      </c>
      <c r="Z353" s="39" t="n">
        <v>0</v>
      </c>
      <c r="AA353" s="39" t="n">
        <v>0</v>
      </c>
      <c r="AB353" s="39" t="n">
        <v>0</v>
      </c>
      <c r="AC353" s="39" t="n">
        <v>0</v>
      </c>
      <c r="AD353" s="39" t="n">
        <v>0</v>
      </c>
      <c r="AE353" s="39" t="n">
        <v>0</v>
      </c>
      <c r="AF353" s="39" t="n">
        <v>0</v>
      </c>
    </row>
    <row r="354" ht="15" customHeight="1" s="176">
      <c r="A354" s="30" t="inlineStr">
        <is>
          <t>P-0351</t>
        </is>
      </c>
      <c r="B354" s="30" t="inlineStr">
        <is>
          <t>2026/27</t>
        </is>
      </c>
      <c r="C354" s="30" t="inlineStr">
        <is>
          <t>Santa Catalina</t>
        </is>
      </c>
      <c r="D354" s="31" t="inlineStr">
        <is>
          <t>Fino 49 7,7 ha</t>
        </is>
      </c>
      <c r="E354" s="30" t="inlineStr">
        <is>
          <t>Limon</t>
        </is>
      </c>
      <c r="F354" s="30" t="inlineStr">
        <is>
          <t>Fino 49</t>
        </is>
      </c>
      <c r="G354" s="30" t="inlineStr">
        <is>
          <t>Producción</t>
        </is>
      </c>
      <c r="H354" s="32" t="n">
        <v>7.7</v>
      </c>
      <c r="I354" s="32" t="n">
        <v>7.7</v>
      </c>
      <c r="J354" s="30" t="inlineStr">
        <is>
          <t>Costo</t>
        </is>
      </c>
      <c r="K354" s="31" t="inlineStr">
        <is>
          <t>1- M.O. directa</t>
        </is>
      </c>
      <c r="L354" s="31" t="inlineStr">
        <is>
          <t>2- Supervisor cosecha</t>
        </is>
      </c>
      <c r="M354" s="31" t="inlineStr">
        <is>
          <t>15 jh/supervisor ($7/kg)</t>
        </is>
      </c>
      <c r="N354" s="30" t="inlineStr">
        <is>
          <t>día</t>
        </is>
      </c>
      <c r="O354" s="30" t="inlineStr">
        <is>
          <t>kg</t>
        </is>
      </c>
      <c r="P354" s="33" t="n">
        <v>7</v>
      </c>
      <c r="Q354" s="34" t="n">
        <v>539000</v>
      </c>
      <c r="R354" s="33" t="n">
        <v>3773000</v>
      </c>
      <c r="S354" s="35" t="n">
        <v>0.00777777777777778</v>
      </c>
      <c r="T354" s="33" t="n">
        <v>7</v>
      </c>
      <c r="U354" s="33" t="n">
        <v>503.066666666667</v>
      </c>
      <c r="V354" s="33" t="n">
        <v>503.066666666667</v>
      </c>
      <c r="W354" s="33" t="n">
        <v>628.833333333333</v>
      </c>
      <c r="X354" s="33" t="n">
        <v>628.833333333333</v>
      </c>
      <c r="Y354" s="33" t="n">
        <v>335.377777777778</v>
      </c>
      <c r="Z354" s="33" t="n">
        <v>335.377777777778</v>
      </c>
      <c r="AA354" s="33" t="n">
        <v>293.455555555556</v>
      </c>
      <c r="AB354" s="33" t="n">
        <v>293.455555555556</v>
      </c>
      <c r="AC354" s="33" t="n">
        <v>293.455555555556</v>
      </c>
      <c r="AD354" s="33" t="n">
        <v>209.611111111111</v>
      </c>
      <c r="AE354" s="33" t="n">
        <v>83.84444444444451</v>
      </c>
      <c r="AF354" s="33" t="n">
        <v>83.84444444444451</v>
      </c>
    </row>
    <row r="355" ht="15" customHeight="1" s="176">
      <c r="A355" s="36" t="inlineStr">
        <is>
          <t>P-0352</t>
        </is>
      </c>
      <c r="B355" s="36" t="inlineStr">
        <is>
          <t>2026/27</t>
        </is>
      </c>
      <c r="C355" s="36" t="inlineStr">
        <is>
          <t>Santa Catalina</t>
        </is>
      </c>
      <c r="D355" s="37" t="inlineStr">
        <is>
          <t>eureka 14,4 ha</t>
        </is>
      </c>
      <c r="E355" s="36" t="inlineStr">
        <is>
          <t>Limon</t>
        </is>
      </c>
      <c r="F355" s="36" t="inlineStr">
        <is>
          <t>Eureka</t>
        </is>
      </c>
      <c r="G355" s="36" t="inlineStr">
        <is>
          <t>Producción</t>
        </is>
      </c>
      <c r="H355" s="38" t="n">
        <v>14.4</v>
      </c>
      <c r="I355" s="38" t="n">
        <v>14.4</v>
      </c>
      <c r="J355" s="36" t="inlineStr">
        <is>
          <t>Costo</t>
        </is>
      </c>
      <c r="K355" s="37" t="inlineStr">
        <is>
          <t>1- M.O. directa</t>
        </is>
      </c>
      <c r="L355" s="37" t="inlineStr">
        <is>
          <t>2- Supervisor cosecha</t>
        </is>
      </c>
      <c r="M355" s="37" t="inlineStr">
        <is>
          <t>15 jh/supervisor ($7/kg)</t>
        </is>
      </c>
      <c r="N355" s="36" t="inlineStr">
        <is>
          <t>día</t>
        </is>
      </c>
      <c r="O355" s="36" t="inlineStr">
        <is>
          <t>kg</t>
        </is>
      </c>
      <c r="P355" s="39" t="n">
        <v>7</v>
      </c>
      <c r="Q355" s="40" t="n">
        <v>1008000</v>
      </c>
      <c r="R355" s="39" t="n">
        <v>7056000</v>
      </c>
      <c r="S355" s="41" t="n">
        <v>0.00777777777777778</v>
      </c>
      <c r="T355" s="39" t="n">
        <v>7</v>
      </c>
      <c r="U355" s="39" t="n">
        <v>940.8</v>
      </c>
      <c r="V355" s="39" t="n">
        <v>940.8</v>
      </c>
      <c r="W355" s="39" t="n">
        <v>1176</v>
      </c>
      <c r="X355" s="39" t="n">
        <v>1176</v>
      </c>
      <c r="Y355" s="39" t="n">
        <v>627.2</v>
      </c>
      <c r="Z355" s="39" t="n">
        <v>627.2</v>
      </c>
      <c r="AA355" s="39" t="n">
        <v>548.8</v>
      </c>
      <c r="AB355" s="39" t="n">
        <v>548.8</v>
      </c>
      <c r="AC355" s="39" t="n">
        <v>548.8</v>
      </c>
      <c r="AD355" s="39" t="n">
        <v>392</v>
      </c>
      <c r="AE355" s="39" t="n">
        <v>156.8</v>
      </c>
      <c r="AF355" s="39" t="n">
        <v>156.8</v>
      </c>
    </row>
    <row r="356" ht="15" customHeight="1" s="176">
      <c r="A356" s="30" t="inlineStr">
        <is>
          <t>P-0353</t>
        </is>
      </c>
      <c r="B356" s="30" t="inlineStr">
        <is>
          <t>2026/27</t>
        </is>
      </c>
      <c r="C356" s="30" t="inlineStr">
        <is>
          <t>Santa Catalina</t>
        </is>
      </c>
      <c r="D356" s="31" t="inlineStr">
        <is>
          <t>eureka 10,6 ha</t>
        </is>
      </c>
      <c r="E356" s="30" t="inlineStr">
        <is>
          <t>Limon</t>
        </is>
      </c>
      <c r="F356" s="30" t="inlineStr">
        <is>
          <t>Eureka</t>
        </is>
      </c>
      <c r="G356" s="30" t="inlineStr">
        <is>
          <t>Producción</t>
        </is>
      </c>
      <c r="H356" s="32" t="n">
        <v>10.6</v>
      </c>
      <c r="I356" s="32" t="n">
        <v>10.6</v>
      </c>
      <c r="J356" s="30" t="inlineStr">
        <is>
          <t>Costo</t>
        </is>
      </c>
      <c r="K356" s="31" t="inlineStr">
        <is>
          <t>1- M.O. directa</t>
        </is>
      </c>
      <c r="L356" s="31" t="inlineStr">
        <is>
          <t>2- Supervisor cosecha</t>
        </is>
      </c>
      <c r="M356" s="31" t="inlineStr">
        <is>
          <t>15 jh/supervisor ($7/kg)</t>
        </is>
      </c>
      <c r="N356" s="30" t="inlineStr">
        <is>
          <t>día</t>
        </is>
      </c>
      <c r="O356" s="30" t="inlineStr">
        <is>
          <t>kg</t>
        </is>
      </c>
      <c r="P356" s="33" t="n">
        <v>7</v>
      </c>
      <c r="Q356" s="34" t="n">
        <v>742000</v>
      </c>
      <c r="R356" s="33" t="n">
        <v>5194000</v>
      </c>
      <c r="S356" s="35" t="n">
        <v>0.00777777777777778</v>
      </c>
      <c r="T356" s="33" t="n">
        <v>7</v>
      </c>
      <c r="U356" s="33" t="n">
        <v>692.533333333333</v>
      </c>
      <c r="V356" s="33" t="n">
        <v>692.533333333333</v>
      </c>
      <c r="W356" s="33" t="n">
        <v>865.666666666667</v>
      </c>
      <c r="X356" s="33" t="n">
        <v>865.666666666667</v>
      </c>
      <c r="Y356" s="33" t="n">
        <v>461.688888888889</v>
      </c>
      <c r="Z356" s="33" t="n">
        <v>461.688888888889</v>
      </c>
      <c r="AA356" s="33" t="n">
        <v>403.977777777778</v>
      </c>
      <c r="AB356" s="33" t="n">
        <v>403.977777777778</v>
      </c>
      <c r="AC356" s="33" t="n">
        <v>403.977777777778</v>
      </c>
      <c r="AD356" s="33" t="n">
        <v>288.555555555556</v>
      </c>
      <c r="AE356" s="33" t="n">
        <v>115.422222222222</v>
      </c>
      <c r="AF356" s="33" t="n">
        <v>115.422222222222</v>
      </c>
    </row>
    <row r="357" ht="15" customHeight="1" s="176">
      <c r="A357" s="36" t="inlineStr">
        <is>
          <t>P-0354</t>
        </is>
      </c>
      <c r="B357" s="36" t="inlineStr">
        <is>
          <t>2026/27</t>
        </is>
      </c>
      <c r="C357" s="36" t="inlineStr">
        <is>
          <t>Santa Catalina</t>
        </is>
      </c>
      <c r="D357" s="37" t="inlineStr">
        <is>
          <t>form benjamin 1,93 ha</t>
        </is>
      </c>
      <c r="E357" s="36" t="inlineStr">
        <is>
          <t>Limon</t>
        </is>
      </c>
      <c r="F357" s="36" t="inlineStr">
        <is>
          <t>Benjamin andes</t>
        </is>
      </c>
      <c r="G357" s="36" t="inlineStr">
        <is>
          <t>Formación</t>
        </is>
      </c>
      <c r="H357" s="38" t="n">
        <v>1.93</v>
      </c>
      <c r="I357" s="38" t="n">
        <v>0</v>
      </c>
      <c r="J357" s="36" t="inlineStr">
        <is>
          <t>Costo</t>
        </is>
      </c>
      <c r="K357" s="37" t="inlineStr">
        <is>
          <t>2- M.O. indirecta</t>
        </is>
      </c>
      <c r="L357" s="37" t="inlineStr">
        <is>
          <t>2,1- JEFE DE CAMPO</t>
        </is>
      </c>
      <c r="M357" s="37" t="inlineStr">
        <is>
          <t>Operacion predio</t>
        </is>
      </c>
      <c r="N357" s="36" t="inlineStr">
        <is>
          <t>día</t>
        </is>
      </c>
      <c r="O357" s="36" t="inlineStr">
        <is>
          <t>ha</t>
        </is>
      </c>
      <c r="P357" s="39" t="n">
        <v>29475</v>
      </c>
      <c r="Q357" s="40" t="n">
        <v>1.93</v>
      </c>
      <c r="R357" s="39" t="n">
        <v>204792.3</v>
      </c>
      <c r="S357" s="41" t="n">
        <v>0</v>
      </c>
      <c r="T357" s="39" t="n">
        <v>0</v>
      </c>
      <c r="U357" s="39" t="n">
        <v>18.96225</v>
      </c>
      <c r="V357" s="39" t="n">
        <v>18.96225</v>
      </c>
      <c r="W357" s="39" t="n">
        <v>18.96225</v>
      </c>
      <c r="X357" s="39" t="n">
        <v>18.96225</v>
      </c>
      <c r="Y357" s="39" t="n">
        <v>18.96225</v>
      </c>
      <c r="Z357" s="39" t="n">
        <v>18.96225</v>
      </c>
      <c r="AA357" s="39" t="n">
        <v>18.96225</v>
      </c>
      <c r="AB357" s="39" t="n">
        <v>18.96225</v>
      </c>
      <c r="AC357" s="39" t="n">
        <v>18.96225</v>
      </c>
      <c r="AD357" s="39" t="n">
        <v>18.96225</v>
      </c>
      <c r="AE357" s="39" t="n">
        <v>18.96225</v>
      </c>
      <c r="AF357" s="39" t="n">
        <v>18.96225</v>
      </c>
    </row>
    <row r="358" ht="15" customHeight="1" s="176">
      <c r="A358" s="30" t="inlineStr">
        <is>
          <t>P-0355</t>
        </is>
      </c>
      <c r="B358" s="30" t="inlineStr">
        <is>
          <t>2026/27</t>
        </is>
      </c>
      <c r="C358" s="30" t="inlineStr">
        <is>
          <t>Santa Catalina</t>
        </is>
      </c>
      <c r="D358" s="31" t="inlineStr">
        <is>
          <t>eureka 22,55</t>
        </is>
      </c>
      <c r="E358" s="30" t="inlineStr">
        <is>
          <t>Limon</t>
        </is>
      </c>
      <c r="F358" s="30" t="inlineStr">
        <is>
          <t>Eureka</t>
        </is>
      </c>
      <c r="G358" s="30" t="inlineStr">
        <is>
          <t>Producción</t>
        </is>
      </c>
      <c r="H358" s="32" t="n">
        <v>22.55</v>
      </c>
      <c r="I358" s="32" t="n">
        <v>22.55</v>
      </c>
      <c r="J358" s="30" t="inlineStr">
        <is>
          <t>Costo</t>
        </is>
      </c>
      <c r="K358" s="31" t="inlineStr">
        <is>
          <t>2- M.O. indirecta</t>
        </is>
      </c>
      <c r="L358" s="31" t="inlineStr">
        <is>
          <t>2,1- JEFE DE CAMPO</t>
        </is>
      </c>
      <c r="M358" s="31" t="inlineStr">
        <is>
          <t>Operacion predio</t>
        </is>
      </c>
      <c r="N358" s="30" t="inlineStr">
        <is>
          <t>día</t>
        </is>
      </c>
      <c r="O358" s="30" t="inlineStr">
        <is>
          <t>ha</t>
        </is>
      </c>
      <c r="P358" s="33" t="n">
        <v>29475</v>
      </c>
      <c r="Q358" s="34" t="n">
        <v>22.55</v>
      </c>
      <c r="R358" s="33" t="n">
        <v>6643953.855</v>
      </c>
      <c r="S358" s="35" t="n">
        <v>0.0046767</v>
      </c>
      <c r="T358" s="33" t="n">
        <v>4.20903</v>
      </c>
      <c r="U358" s="33" t="n">
        <v>615.1809125</v>
      </c>
      <c r="V358" s="33" t="n">
        <v>615.1809125</v>
      </c>
      <c r="W358" s="33" t="n">
        <v>615.1809125</v>
      </c>
      <c r="X358" s="33" t="n">
        <v>615.1809125</v>
      </c>
      <c r="Y358" s="33" t="n">
        <v>615.1809125</v>
      </c>
      <c r="Z358" s="33" t="n">
        <v>615.1809125</v>
      </c>
      <c r="AA358" s="33" t="n">
        <v>615.1809125</v>
      </c>
      <c r="AB358" s="33" t="n">
        <v>615.1809125</v>
      </c>
      <c r="AC358" s="33" t="n">
        <v>615.1809125</v>
      </c>
      <c r="AD358" s="33" t="n">
        <v>615.1809125</v>
      </c>
      <c r="AE358" s="33" t="n">
        <v>615.1809125</v>
      </c>
      <c r="AF358" s="33" t="n">
        <v>615.1809125</v>
      </c>
    </row>
    <row r="359" ht="15" customHeight="1" s="176">
      <c r="A359" s="36" t="inlineStr">
        <is>
          <t>P-0356</t>
        </is>
      </c>
      <c r="B359" s="36" t="inlineStr">
        <is>
          <t>2026/27</t>
        </is>
      </c>
      <c r="C359" s="36" t="inlineStr">
        <is>
          <t>Santa Catalina</t>
        </is>
      </c>
      <c r="D359" s="37" t="inlineStr">
        <is>
          <t>mant eureka 2,5 ha</t>
        </is>
      </c>
      <c r="E359" s="36" t="inlineStr">
        <is>
          <t>Limon</t>
        </is>
      </c>
      <c r="F359" s="36" t="inlineStr">
        <is>
          <t>Eureka</t>
        </is>
      </c>
      <c r="G359" s="36" t="inlineStr">
        <is>
          <t>Mantención</t>
        </is>
      </c>
      <c r="H359" s="38" t="n">
        <v>2.5</v>
      </c>
      <c r="I359" s="38" t="n">
        <v>0</v>
      </c>
      <c r="J359" s="36" t="inlineStr">
        <is>
          <t>Costo</t>
        </is>
      </c>
      <c r="K359" s="37" t="inlineStr">
        <is>
          <t>2- M.O. indirecta</t>
        </is>
      </c>
      <c r="L359" s="37" t="inlineStr">
        <is>
          <t>2,1- JEFE DE CAMPO</t>
        </is>
      </c>
      <c r="M359" s="37" t="inlineStr">
        <is>
          <t>Operacion predio</t>
        </is>
      </c>
      <c r="N359" s="36" t="inlineStr">
        <is>
          <t>día</t>
        </is>
      </c>
      <c r="O359" s="36" t="inlineStr">
        <is>
          <t>ha</t>
        </is>
      </c>
      <c r="P359" s="39" t="n">
        <v>29475</v>
      </c>
      <c r="Q359" s="40" t="n">
        <v>2.5</v>
      </c>
      <c r="R359" s="39" t="n">
        <v>736580.25</v>
      </c>
      <c r="S359" s="41" t="n">
        <v>0</v>
      </c>
      <c r="T359" s="39" t="n">
        <v>0</v>
      </c>
      <c r="U359" s="39" t="n">
        <v>68.201875</v>
      </c>
      <c r="V359" s="39" t="n">
        <v>68.201875</v>
      </c>
      <c r="W359" s="39" t="n">
        <v>68.201875</v>
      </c>
      <c r="X359" s="39" t="n">
        <v>68.201875</v>
      </c>
      <c r="Y359" s="39" t="n">
        <v>68.201875</v>
      </c>
      <c r="Z359" s="39" t="n">
        <v>68.201875</v>
      </c>
      <c r="AA359" s="39" t="n">
        <v>68.201875</v>
      </c>
      <c r="AB359" s="39" t="n">
        <v>68.201875</v>
      </c>
      <c r="AC359" s="39" t="n">
        <v>68.201875</v>
      </c>
      <c r="AD359" s="39" t="n">
        <v>68.201875</v>
      </c>
      <c r="AE359" s="39" t="n">
        <v>68.201875</v>
      </c>
      <c r="AF359" s="39" t="n">
        <v>68.201875</v>
      </c>
    </row>
    <row r="360" ht="15" customHeight="1" s="176">
      <c r="A360" s="30" t="inlineStr">
        <is>
          <t>P-0357</t>
        </is>
      </c>
      <c r="B360" s="30" t="inlineStr">
        <is>
          <t>2026/27</t>
        </is>
      </c>
      <c r="C360" s="30" t="inlineStr">
        <is>
          <t>Santa Catalina</t>
        </is>
      </c>
      <c r="D360" s="31" t="inlineStr">
        <is>
          <t>Fino 49 7,7 ha</t>
        </is>
      </c>
      <c r="E360" s="30" t="inlineStr">
        <is>
          <t>Limon</t>
        </is>
      </c>
      <c r="F360" s="30" t="inlineStr">
        <is>
          <t>Fino 49</t>
        </is>
      </c>
      <c r="G360" s="30" t="inlineStr">
        <is>
          <t>Producción</t>
        </is>
      </c>
      <c r="H360" s="32" t="n">
        <v>7.7</v>
      </c>
      <c r="I360" s="32" t="n">
        <v>7.7</v>
      </c>
      <c r="J360" s="30" t="inlineStr">
        <is>
          <t>Costo</t>
        </is>
      </c>
      <c r="K360" s="31" t="inlineStr">
        <is>
          <t>2- M.O. indirecta</t>
        </is>
      </c>
      <c r="L360" s="31" t="inlineStr">
        <is>
          <t>2,1- JEFE DE CAMPO</t>
        </is>
      </c>
      <c r="M360" s="31" t="inlineStr">
        <is>
          <t>Operacion predio</t>
        </is>
      </c>
      <c r="N360" s="30" t="inlineStr">
        <is>
          <t>día</t>
        </is>
      </c>
      <c r="O360" s="30" t="inlineStr">
        <is>
          <t>ha</t>
        </is>
      </c>
      <c r="P360" s="33" t="n">
        <v>29475</v>
      </c>
      <c r="Q360" s="34" t="n">
        <v>7.7</v>
      </c>
      <c r="R360" s="33" t="n">
        <v>2268667.17</v>
      </c>
      <c r="S360" s="35" t="n">
        <v>0.0046767</v>
      </c>
      <c r="T360" s="33" t="n">
        <v>4.20903</v>
      </c>
      <c r="U360" s="33" t="n">
        <v>210.061775</v>
      </c>
      <c r="V360" s="33" t="n">
        <v>210.061775</v>
      </c>
      <c r="W360" s="33" t="n">
        <v>210.061775</v>
      </c>
      <c r="X360" s="33" t="n">
        <v>210.061775</v>
      </c>
      <c r="Y360" s="33" t="n">
        <v>210.061775</v>
      </c>
      <c r="Z360" s="33" t="n">
        <v>210.061775</v>
      </c>
      <c r="AA360" s="33" t="n">
        <v>210.061775</v>
      </c>
      <c r="AB360" s="33" t="n">
        <v>210.061775</v>
      </c>
      <c r="AC360" s="33" t="n">
        <v>210.061775</v>
      </c>
      <c r="AD360" s="33" t="n">
        <v>210.061775</v>
      </c>
      <c r="AE360" s="33" t="n">
        <v>210.061775</v>
      </c>
      <c r="AF360" s="33" t="n">
        <v>210.061775</v>
      </c>
    </row>
    <row r="361" ht="15" customHeight="1" s="176">
      <c r="A361" s="36" t="inlineStr">
        <is>
          <t>P-0358</t>
        </is>
      </c>
      <c r="B361" s="36" t="inlineStr">
        <is>
          <t>2026/27</t>
        </is>
      </c>
      <c r="C361" s="36" t="inlineStr">
        <is>
          <t>Santa Catalina</t>
        </is>
      </c>
      <c r="D361" s="37" t="inlineStr">
        <is>
          <t>eureka 14,4 ha</t>
        </is>
      </c>
      <c r="E361" s="36" t="inlineStr">
        <is>
          <t>Limon</t>
        </is>
      </c>
      <c r="F361" s="36" t="inlineStr">
        <is>
          <t>Eureka</t>
        </is>
      </c>
      <c r="G361" s="36" t="inlineStr">
        <is>
          <t>Producción</t>
        </is>
      </c>
      <c r="H361" s="38" t="n">
        <v>14.4</v>
      </c>
      <c r="I361" s="38" t="n">
        <v>14.4</v>
      </c>
      <c r="J361" s="36" t="inlineStr">
        <is>
          <t>Costo</t>
        </is>
      </c>
      <c r="K361" s="37" t="inlineStr">
        <is>
          <t>2- M.O. indirecta</t>
        </is>
      </c>
      <c r="L361" s="37" t="inlineStr">
        <is>
          <t>2,1- JEFE DE CAMPO</t>
        </is>
      </c>
      <c r="M361" s="37" t="inlineStr">
        <is>
          <t>Operacion predio</t>
        </is>
      </c>
      <c r="N361" s="36" t="inlineStr">
        <is>
          <t>día</t>
        </is>
      </c>
      <c r="O361" s="36" t="inlineStr">
        <is>
          <t>ha</t>
        </is>
      </c>
      <c r="P361" s="39" t="n">
        <v>29475</v>
      </c>
      <c r="Q361" s="40" t="n">
        <v>14.4</v>
      </c>
      <c r="R361" s="39" t="n">
        <v>4242702.24</v>
      </c>
      <c r="S361" s="41" t="n">
        <v>0.0046767</v>
      </c>
      <c r="T361" s="39" t="n">
        <v>4.20903</v>
      </c>
      <c r="U361" s="39" t="n">
        <v>392.8428</v>
      </c>
      <c r="V361" s="39" t="n">
        <v>392.8428</v>
      </c>
      <c r="W361" s="39" t="n">
        <v>392.8428</v>
      </c>
      <c r="X361" s="39" t="n">
        <v>392.8428</v>
      </c>
      <c r="Y361" s="39" t="n">
        <v>392.8428</v>
      </c>
      <c r="Z361" s="39" t="n">
        <v>392.8428</v>
      </c>
      <c r="AA361" s="39" t="n">
        <v>392.8428</v>
      </c>
      <c r="AB361" s="39" t="n">
        <v>392.8428</v>
      </c>
      <c r="AC361" s="39" t="n">
        <v>392.8428</v>
      </c>
      <c r="AD361" s="39" t="n">
        <v>392.8428</v>
      </c>
      <c r="AE361" s="39" t="n">
        <v>392.8428</v>
      </c>
      <c r="AF361" s="39" t="n">
        <v>392.8428</v>
      </c>
    </row>
    <row r="362" ht="15" customHeight="1" s="176">
      <c r="A362" s="30" t="inlineStr">
        <is>
          <t>P-0359</t>
        </is>
      </c>
      <c r="B362" s="30" t="inlineStr">
        <is>
          <t>2026/27</t>
        </is>
      </c>
      <c r="C362" s="30" t="inlineStr">
        <is>
          <t>Santa Catalina</t>
        </is>
      </c>
      <c r="D362" s="31" t="inlineStr">
        <is>
          <t>eureka 10,6 ha</t>
        </is>
      </c>
      <c r="E362" s="30" t="inlineStr">
        <is>
          <t>Limon</t>
        </is>
      </c>
      <c r="F362" s="30" t="inlineStr">
        <is>
          <t>Eureka</t>
        </is>
      </c>
      <c r="G362" s="30" t="inlineStr">
        <is>
          <t>Producción</t>
        </is>
      </c>
      <c r="H362" s="32" t="n">
        <v>10.6</v>
      </c>
      <c r="I362" s="32" t="n">
        <v>10.6</v>
      </c>
      <c r="J362" s="30" t="inlineStr">
        <is>
          <t>Costo</t>
        </is>
      </c>
      <c r="K362" s="31" t="inlineStr">
        <is>
          <t>2- M.O. indirecta</t>
        </is>
      </c>
      <c r="L362" s="31" t="inlineStr">
        <is>
          <t>2,1- JEFE DE CAMPO</t>
        </is>
      </c>
      <c r="M362" s="31" t="inlineStr">
        <is>
          <t>Operacion predio</t>
        </is>
      </c>
      <c r="N362" s="30" t="inlineStr">
        <is>
          <t>día</t>
        </is>
      </c>
      <c r="O362" s="30" t="inlineStr">
        <is>
          <t>ha</t>
        </is>
      </c>
      <c r="P362" s="33" t="n">
        <v>29475</v>
      </c>
      <c r="Q362" s="34" t="n">
        <v>10.6</v>
      </c>
      <c r="R362" s="33" t="n">
        <v>3123100.26</v>
      </c>
      <c r="S362" s="35" t="n">
        <v>0.0046767</v>
      </c>
      <c r="T362" s="33" t="n">
        <v>4.20903</v>
      </c>
      <c r="U362" s="33" t="n">
        <v>289.17595</v>
      </c>
      <c r="V362" s="33" t="n">
        <v>289.17595</v>
      </c>
      <c r="W362" s="33" t="n">
        <v>289.17595</v>
      </c>
      <c r="X362" s="33" t="n">
        <v>289.17595</v>
      </c>
      <c r="Y362" s="33" t="n">
        <v>289.17595</v>
      </c>
      <c r="Z362" s="33" t="n">
        <v>289.17595</v>
      </c>
      <c r="AA362" s="33" t="n">
        <v>289.17595</v>
      </c>
      <c r="AB362" s="33" t="n">
        <v>289.17595</v>
      </c>
      <c r="AC362" s="33" t="n">
        <v>289.17595</v>
      </c>
      <c r="AD362" s="33" t="n">
        <v>289.17595</v>
      </c>
      <c r="AE362" s="33" t="n">
        <v>289.17595</v>
      </c>
      <c r="AF362" s="33" t="n">
        <v>289.17595</v>
      </c>
    </row>
    <row r="363" ht="15" customHeight="1" s="176">
      <c r="A363" s="36" t="inlineStr">
        <is>
          <t>P-0360</t>
        </is>
      </c>
      <c r="B363" s="36" t="inlineStr">
        <is>
          <t>2026/27</t>
        </is>
      </c>
      <c r="C363" s="36" t="inlineStr">
        <is>
          <t>Santa Catalina</t>
        </is>
      </c>
      <c r="D363" s="37" t="inlineStr">
        <is>
          <t>form benjamin 1,93 ha</t>
        </is>
      </c>
      <c r="E363" s="36" t="inlineStr">
        <is>
          <t>Limon</t>
        </is>
      </c>
      <c r="F363" s="36" t="inlineStr">
        <is>
          <t>Benjamin andes</t>
        </is>
      </c>
      <c r="G363" s="36" t="inlineStr">
        <is>
          <t>Formación</t>
        </is>
      </c>
      <c r="H363" s="38" t="n">
        <v>1.93</v>
      </c>
      <c r="I363" s="38" t="n">
        <v>0</v>
      </c>
      <c r="J363" s="36" t="inlineStr">
        <is>
          <t>Costo</t>
        </is>
      </c>
      <c r="K363" s="37" t="inlineStr">
        <is>
          <t>2- M.O. indirecta</t>
        </is>
      </c>
      <c r="L363" s="37" t="inlineStr">
        <is>
          <t>3- ADQUIS. Y BODEGA</t>
        </is>
      </c>
      <c r="M363" s="37" t="inlineStr">
        <is>
          <t>Operacion predio</t>
        </is>
      </c>
      <c r="N363" s="36" t="inlineStr">
        <is>
          <t>día</t>
        </is>
      </c>
      <c r="O363" s="36" t="inlineStr">
        <is>
          <t>ha</t>
        </is>
      </c>
      <c r="P363" s="39" t="n">
        <v>8100</v>
      </c>
      <c r="Q363" s="40" t="n">
        <v>1.93</v>
      </c>
      <c r="R363" s="39" t="n">
        <v>156267.468</v>
      </c>
      <c r="S363" s="41" t="n">
        <v>0</v>
      </c>
      <c r="T363" s="39" t="n">
        <v>0</v>
      </c>
      <c r="U363" s="39" t="n">
        <v>14.46921</v>
      </c>
      <c r="V363" s="39" t="n">
        <v>14.46921</v>
      </c>
      <c r="W363" s="39" t="n">
        <v>14.46921</v>
      </c>
      <c r="X363" s="39" t="n">
        <v>14.46921</v>
      </c>
      <c r="Y363" s="39" t="n">
        <v>14.46921</v>
      </c>
      <c r="Z363" s="39" t="n">
        <v>14.46921</v>
      </c>
      <c r="AA363" s="39" t="n">
        <v>14.46921</v>
      </c>
      <c r="AB363" s="39" t="n">
        <v>14.46921</v>
      </c>
      <c r="AC363" s="39" t="n">
        <v>14.46921</v>
      </c>
      <c r="AD363" s="39" t="n">
        <v>14.46921</v>
      </c>
      <c r="AE363" s="39" t="n">
        <v>14.46921</v>
      </c>
      <c r="AF363" s="39" t="n">
        <v>14.46921</v>
      </c>
    </row>
    <row r="364" ht="15" customHeight="1" s="176">
      <c r="A364" s="30" t="inlineStr">
        <is>
          <t>P-0361</t>
        </is>
      </c>
      <c r="B364" s="30" t="inlineStr">
        <is>
          <t>2026/27</t>
        </is>
      </c>
      <c r="C364" s="30" t="inlineStr">
        <is>
          <t>Santa Catalina</t>
        </is>
      </c>
      <c r="D364" s="31" t="inlineStr">
        <is>
          <t>eureka 22,55</t>
        </is>
      </c>
      <c r="E364" s="30" t="inlineStr">
        <is>
          <t>Limon</t>
        </is>
      </c>
      <c r="F364" s="30" t="inlineStr">
        <is>
          <t>Eureka</t>
        </is>
      </c>
      <c r="G364" s="30" t="inlineStr">
        <is>
          <t>Producción</t>
        </is>
      </c>
      <c r="H364" s="32" t="n">
        <v>22.55</v>
      </c>
      <c r="I364" s="32" t="n">
        <v>22.55</v>
      </c>
      <c r="J364" s="30" t="inlineStr">
        <is>
          <t>Costo</t>
        </is>
      </c>
      <c r="K364" s="31" t="inlineStr">
        <is>
          <t>2- M.O. indirecta</t>
        </is>
      </c>
      <c r="L364" s="31" t="inlineStr">
        <is>
          <t>3- ADQUIS. Y BODEGA</t>
        </is>
      </c>
      <c r="M364" s="31" t="inlineStr">
        <is>
          <t>Operacion predio</t>
        </is>
      </c>
      <c r="N364" s="30" t="inlineStr">
        <is>
          <t>día</t>
        </is>
      </c>
      <c r="O364" s="30" t="inlineStr">
        <is>
          <t>ha</t>
        </is>
      </c>
      <c r="P364" s="33" t="n">
        <v>8100</v>
      </c>
      <c r="Q364" s="34" t="n">
        <v>22.55</v>
      </c>
      <c r="R364" s="33" t="n">
        <v>1825819.38</v>
      </c>
      <c r="S364" s="35" t="n">
        <v>0.0012852</v>
      </c>
      <c r="T364" s="33" t="n">
        <v>1.15668</v>
      </c>
      <c r="U364" s="33" t="n">
        <v>169.05735</v>
      </c>
      <c r="V364" s="33" t="n">
        <v>169.05735</v>
      </c>
      <c r="W364" s="33" t="n">
        <v>169.05735</v>
      </c>
      <c r="X364" s="33" t="n">
        <v>169.05735</v>
      </c>
      <c r="Y364" s="33" t="n">
        <v>169.05735</v>
      </c>
      <c r="Z364" s="33" t="n">
        <v>169.05735</v>
      </c>
      <c r="AA364" s="33" t="n">
        <v>169.05735</v>
      </c>
      <c r="AB364" s="33" t="n">
        <v>169.05735</v>
      </c>
      <c r="AC364" s="33" t="n">
        <v>169.05735</v>
      </c>
      <c r="AD364" s="33" t="n">
        <v>169.05735</v>
      </c>
      <c r="AE364" s="33" t="n">
        <v>169.05735</v>
      </c>
      <c r="AF364" s="33" t="n">
        <v>169.05735</v>
      </c>
    </row>
    <row r="365" ht="15" customHeight="1" s="176">
      <c r="A365" s="36" t="inlineStr">
        <is>
          <t>P-0362</t>
        </is>
      </c>
      <c r="B365" s="36" t="inlineStr">
        <is>
          <t>2026/27</t>
        </is>
      </c>
      <c r="C365" s="36" t="inlineStr">
        <is>
          <t>Santa Catalina</t>
        </is>
      </c>
      <c r="D365" s="37" t="inlineStr">
        <is>
          <t>mant eureka 2,5 ha</t>
        </is>
      </c>
      <c r="E365" s="36" t="inlineStr">
        <is>
          <t>Limon</t>
        </is>
      </c>
      <c r="F365" s="36" t="inlineStr">
        <is>
          <t>Eureka</t>
        </is>
      </c>
      <c r="G365" s="36" t="inlineStr">
        <is>
          <t>Mantención</t>
        </is>
      </c>
      <c r="H365" s="38" t="n">
        <v>2.5</v>
      </c>
      <c r="I365" s="38" t="n">
        <v>0</v>
      </c>
      <c r="J365" s="36" t="inlineStr">
        <is>
          <t>Costo</t>
        </is>
      </c>
      <c r="K365" s="37" t="inlineStr">
        <is>
          <t>2- M.O. indirecta</t>
        </is>
      </c>
      <c r="L365" s="37" t="inlineStr">
        <is>
          <t>3- ADQUIS. Y BODEGA</t>
        </is>
      </c>
      <c r="M365" s="37" t="inlineStr">
        <is>
          <t>Operacion predio</t>
        </is>
      </c>
      <c r="N365" s="36" t="inlineStr">
        <is>
          <t>día</t>
        </is>
      </c>
      <c r="O365" s="36" t="inlineStr">
        <is>
          <t>ha</t>
        </is>
      </c>
      <c r="P365" s="39" t="n">
        <v>8100</v>
      </c>
      <c r="Q365" s="40" t="n">
        <v>2.5</v>
      </c>
      <c r="R365" s="39" t="n">
        <v>202419</v>
      </c>
      <c r="S365" s="41" t="n">
        <v>0</v>
      </c>
      <c r="T365" s="39" t="n">
        <v>0</v>
      </c>
      <c r="U365" s="39" t="n">
        <v>18.7425</v>
      </c>
      <c r="V365" s="39" t="n">
        <v>18.7425</v>
      </c>
      <c r="W365" s="39" t="n">
        <v>18.7425</v>
      </c>
      <c r="X365" s="39" t="n">
        <v>18.7425</v>
      </c>
      <c r="Y365" s="39" t="n">
        <v>18.7425</v>
      </c>
      <c r="Z365" s="39" t="n">
        <v>18.7425</v>
      </c>
      <c r="AA365" s="39" t="n">
        <v>18.7425</v>
      </c>
      <c r="AB365" s="39" t="n">
        <v>18.7425</v>
      </c>
      <c r="AC365" s="39" t="n">
        <v>18.7425</v>
      </c>
      <c r="AD365" s="39" t="n">
        <v>18.7425</v>
      </c>
      <c r="AE365" s="39" t="n">
        <v>18.7425</v>
      </c>
      <c r="AF365" s="39" t="n">
        <v>18.7425</v>
      </c>
    </row>
    <row r="366" ht="15" customHeight="1" s="176">
      <c r="A366" s="30" t="inlineStr">
        <is>
          <t>P-0363</t>
        </is>
      </c>
      <c r="B366" s="30" t="inlineStr">
        <is>
          <t>2026/27</t>
        </is>
      </c>
      <c r="C366" s="30" t="inlineStr">
        <is>
          <t>Santa Catalina</t>
        </is>
      </c>
      <c r="D366" s="31" t="inlineStr">
        <is>
          <t>Fino 49 7,7 ha</t>
        </is>
      </c>
      <c r="E366" s="30" t="inlineStr">
        <is>
          <t>Limon</t>
        </is>
      </c>
      <c r="F366" s="30" t="inlineStr">
        <is>
          <t>Fino 49</t>
        </is>
      </c>
      <c r="G366" s="30" t="inlineStr">
        <is>
          <t>Producción</t>
        </is>
      </c>
      <c r="H366" s="32" t="n">
        <v>7.7</v>
      </c>
      <c r="I366" s="32" t="n">
        <v>7.7</v>
      </c>
      <c r="J366" s="30" t="inlineStr">
        <is>
          <t>Costo</t>
        </is>
      </c>
      <c r="K366" s="31" t="inlineStr">
        <is>
          <t>2- M.O. indirecta</t>
        </is>
      </c>
      <c r="L366" s="31" t="inlineStr">
        <is>
          <t>3- ADQUIS. Y BODEGA</t>
        </is>
      </c>
      <c r="M366" s="31" t="inlineStr">
        <is>
          <t>Operacion predio</t>
        </is>
      </c>
      <c r="N366" s="30" t="inlineStr">
        <is>
          <t>día</t>
        </is>
      </c>
      <c r="O366" s="30" t="inlineStr">
        <is>
          <t>ha</t>
        </is>
      </c>
      <c r="P366" s="33" t="n">
        <v>8100</v>
      </c>
      <c r="Q366" s="34" t="n">
        <v>7.7</v>
      </c>
      <c r="R366" s="33" t="n">
        <v>623450.52</v>
      </c>
      <c r="S366" s="35" t="n">
        <v>0.0012852</v>
      </c>
      <c r="T366" s="33" t="n">
        <v>1.15668</v>
      </c>
      <c r="U366" s="33" t="n">
        <v>57.7269</v>
      </c>
      <c r="V366" s="33" t="n">
        <v>57.7269</v>
      </c>
      <c r="W366" s="33" t="n">
        <v>57.7269</v>
      </c>
      <c r="X366" s="33" t="n">
        <v>57.7269</v>
      </c>
      <c r="Y366" s="33" t="n">
        <v>57.7269</v>
      </c>
      <c r="Z366" s="33" t="n">
        <v>57.7269</v>
      </c>
      <c r="AA366" s="33" t="n">
        <v>57.7269</v>
      </c>
      <c r="AB366" s="33" t="n">
        <v>57.7269</v>
      </c>
      <c r="AC366" s="33" t="n">
        <v>57.7269</v>
      </c>
      <c r="AD366" s="33" t="n">
        <v>57.7269</v>
      </c>
      <c r="AE366" s="33" t="n">
        <v>57.7269</v>
      </c>
      <c r="AF366" s="33" t="n">
        <v>57.7269</v>
      </c>
    </row>
    <row r="367" ht="15" customHeight="1" s="176">
      <c r="A367" s="36" t="inlineStr">
        <is>
          <t>P-0364</t>
        </is>
      </c>
      <c r="B367" s="36" t="inlineStr">
        <is>
          <t>2026/27</t>
        </is>
      </c>
      <c r="C367" s="36" t="inlineStr">
        <is>
          <t>Santa Catalina</t>
        </is>
      </c>
      <c r="D367" s="37" t="inlineStr">
        <is>
          <t>eureka 14,4 ha</t>
        </is>
      </c>
      <c r="E367" s="36" t="inlineStr">
        <is>
          <t>Limon</t>
        </is>
      </c>
      <c r="F367" s="36" t="inlineStr">
        <is>
          <t>Eureka</t>
        </is>
      </c>
      <c r="G367" s="36" t="inlineStr">
        <is>
          <t>Producción</t>
        </is>
      </c>
      <c r="H367" s="38" t="n">
        <v>14.4</v>
      </c>
      <c r="I367" s="38" t="n">
        <v>14.4</v>
      </c>
      <c r="J367" s="36" t="inlineStr">
        <is>
          <t>Costo</t>
        </is>
      </c>
      <c r="K367" s="37" t="inlineStr">
        <is>
          <t>2- M.O. indirecta</t>
        </is>
      </c>
      <c r="L367" s="37" t="inlineStr">
        <is>
          <t>3- ADQUIS. Y BODEGA</t>
        </is>
      </c>
      <c r="M367" s="37" t="inlineStr">
        <is>
          <t>Operacion predio</t>
        </is>
      </c>
      <c r="N367" s="36" t="inlineStr">
        <is>
          <t>día</t>
        </is>
      </c>
      <c r="O367" s="36" t="inlineStr">
        <is>
          <t>ha</t>
        </is>
      </c>
      <c r="P367" s="39" t="n">
        <v>8100</v>
      </c>
      <c r="Q367" s="40" t="n">
        <v>14.4</v>
      </c>
      <c r="R367" s="39" t="n">
        <v>1165933.44</v>
      </c>
      <c r="S367" s="41" t="n">
        <v>0.0012852</v>
      </c>
      <c r="T367" s="39" t="n">
        <v>1.15668</v>
      </c>
      <c r="U367" s="39" t="n">
        <v>107.9568</v>
      </c>
      <c r="V367" s="39" t="n">
        <v>107.9568</v>
      </c>
      <c r="W367" s="39" t="n">
        <v>107.9568</v>
      </c>
      <c r="X367" s="39" t="n">
        <v>107.9568</v>
      </c>
      <c r="Y367" s="39" t="n">
        <v>107.9568</v>
      </c>
      <c r="Z367" s="39" t="n">
        <v>107.9568</v>
      </c>
      <c r="AA367" s="39" t="n">
        <v>107.9568</v>
      </c>
      <c r="AB367" s="39" t="n">
        <v>107.9568</v>
      </c>
      <c r="AC367" s="39" t="n">
        <v>107.9568</v>
      </c>
      <c r="AD367" s="39" t="n">
        <v>107.9568</v>
      </c>
      <c r="AE367" s="39" t="n">
        <v>107.9568</v>
      </c>
      <c r="AF367" s="39" t="n">
        <v>107.9568</v>
      </c>
    </row>
    <row r="368" ht="15" customHeight="1" s="176">
      <c r="A368" s="30" t="inlineStr">
        <is>
          <t>P-0365</t>
        </is>
      </c>
      <c r="B368" s="30" t="inlineStr">
        <is>
          <t>2026/27</t>
        </is>
      </c>
      <c r="C368" s="30" t="inlineStr">
        <is>
          <t>Santa Catalina</t>
        </is>
      </c>
      <c r="D368" s="31" t="inlineStr">
        <is>
          <t>eureka 10,6 ha</t>
        </is>
      </c>
      <c r="E368" s="30" t="inlineStr">
        <is>
          <t>Limon</t>
        </is>
      </c>
      <c r="F368" s="30" t="inlineStr">
        <is>
          <t>Eureka</t>
        </is>
      </c>
      <c r="G368" s="30" t="inlineStr">
        <is>
          <t>Producción</t>
        </is>
      </c>
      <c r="H368" s="32" t="n">
        <v>10.6</v>
      </c>
      <c r="I368" s="32" t="n">
        <v>10.6</v>
      </c>
      <c r="J368" s="30" t="inlineStr">
        <is>
          <t>Costo</t>
        </is>
      </c>
      <c r="K368" s="31" t="inlineStr">
        <is>
          <t>2- M.O. indirecta</t>
        </is>
      </c>
      <c r="L368" s="31" t="inlineStr">
        <is>
          <t>3- ADQUIS. Y BODEGA</t>
        </is>
      </c>
      <c r="M368" s="31" t="inlineStr">
        <is>
          <t>Operacion predio</t>
        </is>
      </c>
      <c r="N368" s="30" t="inlineStr">
        <is>
          <t>día</t>
        </is>
      </c>
      <c r="O368" s="30" t="inlineStr">
        <is>
          <t>ha</t>
        </is>
      </c>
      <c r="P368" s="33" t="n">
        <v>8100</v>
      </c>
      <c r="Q368" s="34" t="n">
        <v>10.6</v>
      </c>
      <c r="R368" s="33" t="n">
        <v>858256.5600000001</v>
      </c>
      <c r="S368" s="35" t="n">
        <v>0.0012852</v>
      </c>
      <c r="T368" s="33" t="n">
        <v>1.15668</v>
      </c>
      <c r="U368" s="33" t="n">
        <v>79.4682</v>
      </c>
      <c r="V368" s="33" t="n">
        <v>79.4682</v>
      </c>
      <c r="W368" s="33" t="n">
        <v>79.4682</v>
      </c>
      <c r="X368" s="33" t="n">
        <v>79.4682</v>
      </c>
      <c r="Y368" s="33" t="n">
        <v>79.4682</v>
      </c>
      <c r="Z368" s="33" t="n">
        <v>79.4682</v>
      </c>
      <c r="AA368" s="33" t="n">
        <v>79.4682</v>
      </c>
      <c r="AB368" s="33" t="n">
        <v>79.4682</v>
      </c>
      <c r="AC368" s="33" t="n">
        <v>79.4682</v>
      </c>
      <c r="AD368" s="33" t="n">
        <v>79.4682</v>
      </c>
      <c r="AE368" s="33" t="n">
        <v>79.4682</v>
      </c>
      <c r="AF368" s="33" t="n">
        <v>79.4682</v>
      </c>
    </row>
    <row r="369" ht="15" customHeight="1" s="176">
      <c r="A369" s="36" t="inlineStr">
        <is>
          <t>P-0366</t>
        </is>
      </c>
      <c r="B369" s="36" t="inlineStr">
        <is>
          <t>2026/27</t>
        </is>
      </c>
      <c r="C369" s="36" t="inlineStr">
        <is>
          <t>Santa Catalina</t>
        </is>
      </c>
      <c r="D369" s="37" t="inlineStr">
        <is>
          <t>form benjamin 1,93 ha</t>
        </is>
      </c>
      <c r="E369" s="36" t="inlineStr">
        <is>
          <t>Limon</t>
        </is>
      </c>
      <c r="F369" s="36" t="inlineStr">
        <is>
          <t>Benjamin andes</t>
        </is>
      </c>
      <c r="G369" s="36" t="inlineStr">
        <is>
          <t>Formación</t>
        </is>
      </c>
      <c r="H369" s="38" t="n">
        <v>1.93</v>
      </c>
      <c r="I369" s="38" t="n">
        <v>0</v>
      </c>
      <c r="J369" s="36" t="inlineStr">
        <is>
          <t>Costo</t>
        </is>
      </c>
      <c r="K369" s="37" t="inlineStr">
        <is>
          <t>3- Gasto general</t>
        </is>
      </c>
      <c r="L369" s="37" t="inlineStr">
        <is>
          <t>3- COMBUSTIBLE Y ENERGIA</t>
        </is>
      </c>
      <c r="M369" s="37" t="inlineStr">
        <is>
          <t>consumo electrico</t>
        </is>
      </c>
      <c r="N369" s="36" t="n"/>
      <c r="O369" s="36" t="inlineStr">
        <is>
          <t>ha</t>
        </is>
      </c>
      <c r="P369" s="39" t="n">
        <v>143471.416666667</v>
      </c>
      <c r="Q369" s="40" t="n">
        <v>1.93</v>
      </c>
      <c r="R369" s="39" t="n">
        <v>996839.403</v>
      </c>
      <c r="S369" s="41" t="n">
        <v>0</v>
      </c>
      <c r="T369" s="39" t="n">
        <v>0</v>
      </c>
      <c r="U369" s="39" t="n">
        <v>92.29994472222219</v>
      </c>
      <c r="V369" s="39" t="n">
        <v>92.29994472222219</v>
      </c>
      <c r="W369" s="39" t="n">
        <v>92.29994472222219</v>
      </c>
      <c r="X369" s="39" t="n">
        <v>92.29994472222219</v>
      </c>
      <c r="Y369" s="39" t="n">
        <v>92.29994472222219</v>
      </c>
      <c r="Z369" s="39" t="n">
        <v>92.29994472222219</v>
      </c>
      <c r="AA369" s="39" t="n">
        <v>92.29994472222219</v>
      </c>
      <c r="AB369" s="39" t="n">
        <v>92.29994472222219</v>
      </c>
      <c r="AC369" s="39" t="n">
        <v>92.29994472222219</v>
      </c>
      <c r="AD369" s="39" t="n">
        <v>92.29994472222219</v>
      </c>
      <c r="AE369" s="39" t="n">
        <v>92.29994472222219</v>
      </c>
      <c r="AF369" s="39" t="n">
        <v>92.29994472222219</v>
      </c>
    </row>
    <row r="370" ht="15" customHeight="1" s="176">
      <c r="A370" s="30" t="inlineStr">
        <is>
          <t>P-0367</t>
        </is>
      </c>
      <c r="B370" s="30" t="inlineStr">
        <is>
          <t>2026/27</t>
        </is>
      </c>
      <c r="C370" s="30" t="inlineStr">
        <is>
          <t>Santa Catalina</t>
        </is>
      </c>
      <c r="D370" s="31" t="inlineStr">
        <is>
          <t>form benjamin 1,93 ha</t>
        </is>
      </c>
      <c r="E370" s="30" t="inlineStr">
        <is>
          <t>Limon</t>
        </is>
      </c>
      <c r="F370" s="30" t="inlineStr">
        <is>
          <t>Benjamin andes</t>
        </is>
      </c>
      <c r="G370" s="30" t="inlineStr">
        <is>
          <t>Formación</t>
        </is>
      </c>
      <c r="H370" s="32" t="n">
        <v>1.93</v>
      </c>
      <c r="I370" s="32" t="n">
        <v>0</v>
      </c>
      <c r="J370" s="30" t="inlineStr">
        <is>
          <t>Costo</t>
        </is>
      </c>
      <c r="K370" s="31" t="inlineStr">
        <is>
          <t>3- Gasto general</t>
        </is>
      </c>
      <c r="L370" s="31" t="inlineStr">
        <is>
          <t>3- COMBUSTIBLE Y ENERGIA</t>
        </is>
      </c>
      <c r="M370" s="31" t="inlineStr">
        <is>
          <t>diesel campo</t>
        </is>
      </c>
      <c r="N370" s="30" t="n"/>
      <c r="O370" s="30" t="inlineStr">
        <is>
          <t>ha</t>
        </is>
      </c>
      <c r="P370" s="33" t="n">
        <v>40433.5833333333</v>
      </c>
      <c r="Q370" s="34" t="n">
        <v>1.93</v>
      </c>
      <c r="R370" s="33" t="n">
        <v>280932.537</v>
      </c>
      <c r="S370" s="35" t="n">
        <v>0</v>
      </c>
      <c r="T370" s="33" t="n">
        <v>0</v>
      </c>
      <c r="U370" s="33" t="n">
        <v>26.0122719444445</v>
      </c>
      <c r="V370" s="33" t="n">
        <v>26.0122719444445</v>
      </c>
      <c r="W370" s="33" t="n">
        <v>26.0122719444445</v>
      </c>
      <c r="X370" s="33" t="n">
        <v>26.0122719444445</v>
      </c>
      <c r="Y370" s="33" t="n">
        <v>26.0122719444445</v>
      </c>
      <c r="Z370" s="33" t="n">
        <v>26.0122719444445</v>
      </c>
      <c r="AA370" s="33" t="n">
        <v>26.0122719444445</v>
      </c>
      <c r="AB370" s="33" t="n">
        <v>26.0122719444445</v>
      </c>
      <c r="AC370" s="33" t="n">
        <v>26.0122719444445</v>
      </c>
      <c r="AD370" s="33" t="n">
        <v>26.0122719444445</v>
      </c>
      <c r="AE370" s="33" t="n">
        <v>26.0122719444445</v>
      </c>
      <c r="AF370" s="33" t="n">
        <v>26.0122719444445</v>
      </c>
    </row>
    <row r="371" ht="15" customHeight="1" s="176">
      <c r="A371" s="36" t="inlineStr">
        <is>
          <t>P-0368</t>
        </is>
      </c>
      <c r="B371" s="36" t="inlineStr">
        <is>
          <t>2026/27</t>
        </is>
      </c>
      <c r="C371" s="36" t="inlineStr">
        <is>
          <t>Santa Catalina</t>
        </is>
      </c>
      <c r="D371" s="37" t="inlineStr">
        <is>
          <t>form benjamin 1,93 ha</t>
        </is>
      </c>
      <c r="E371" s="36" t="inlineStr">
        <is>
          <t>Limon</t>
        </is>
      </c>
      <c r="F371" s="36" t="inlineStr">
        <is>
          <t>Benjamin andes</t>
        </is>
      </c>
      <c r="G371" s="36" t="inlineStr">
        <is>
          <t>Formación</t>
        </is>
      </c>
      <c r="H371" s="38" t="n">
        <v>1.93</v>
      </c>
      <c r="I371" s="38" t="n">
        <v>0</v>
      </c>
      <c r="J371" s="36" t="inlineStr">
        <is>
          <t>Costo</t>
        </is>
      </c>
      <c r="K371" s="37" t="inlineStr">
        <is>
          <t>3- Gasto general</t>
        </is>
      </c>
      <c r="L371" s="37" t="inlineStr">
        <is>
          <t>3- COMBUSTIBLE Y ENERGIA</t>
        </is>
      </c>
      <c r="M371" s="37" t="inlineStr">
        <is>
          <t>diesel  zanjon 14l/hr</t>
        </is>
      </c>
      <c r="N371" s="36" t="inlineStr">
        <is>
          <t>día</t>
        </is>
      </c>
      <c r="O371" s="36" t="inlineStr">
        <is>
          <t>ha</t>
        </is>
      </c>
      <c r="P371" s="39" t="n">
        <v>76262</v>
      </c>
      <c r="Q371" s="40" t="n">
        <v>1.93</v>
      </c>
      <c r="R371" s="39" t="n">
        <v>1471267.85736</v>
      </c>
      <c r="S371" s="41" t="n">
        <v>0</v>
      </c>
      <c r="T371" s="39" t="n">
        <v>0</v>
      </c>
      <c r="U371" s="39" t="n">
        <v>136.228505311111</v>
      </c>
      <c r="V371" s="39" t="n">
        <v>136.228505311111</v>
      </c>
      <c r="W371" s="39" t="n">
        <v>136.228505311111</v>
      </c>
      <c r="X371" s="39" t="n">
        <v>136.228505311111</v>
      </c>
      <c r="Y371" s="39" t="n">
        <v>136.228505311111</v>
      </c>
      <c r="Z371" s="39" t="n">
        <v>136.228505311111</v>
      </c>
      <c r="AA371" s="39" t="n">
        <v>136.228505311111</v>
      </c>
      <c r="AB371" s="39" t="n">
        <v>136.228505311111</v>
      </c>
      <c r="AC371" s="39" t="n">
        <v>136.228505311111</v>
      </c>
      <c r="AD371" s="39" t="n">
        <v>136.228505311111</v>
      </c>
      <c r="AE371" s="39" t="n">
        <v>136.228505311111</v>
      </c>
      <c r="AF371" s="39" t="n">
        <v>136.228505311111</v>
      </c>
    </row>
    <row r="372" ht="15" customHeight="1" s="176">
      <c r="A372" s="30" t="inlineStr">
        <is>
          <t>P-0369</t>
        </is>
      </c>
      <c r="B372" s="30" t="inlineStr">
        <is>
          <t>2026/27</t>
        </is>
      </c>
      <c r="C372" s="30" t="inlineStr">
        <is>
          <t>Santa Catalina</t>
        </is>
      </c>
      <c r="D372" s="31" t="inlineStr">
        <is>
          <t>form benjamin 1,93 ha</t>
        </is>
      </c>
      <c r="E372" s="30" t="inlineStr">
        <is>
          <t>Limon</t>
        </is>
      </c>
      <c r="F372" s="30" t="inlineStr">
        <is>
          <t>Benjamin andes</t>
        </is>
      </c>
      <c r="G372" s="30" t="inlineStr">
        <is>
          <t>Formación</t>
        </is>
      </c>
      <c r="H372" s="32" t="n">
        <v>1.93</v>
      </c>
      <c r="I372" s="32" t="n">
        <v>0</v>
      </c>
      <c r="J372" s="30" t="inlineStr">
        <is>
          <t>Costo</t>
        </is>
      </c>
      <c r="K372" s="31" t="inlineStr">
        <is>
          <t>3- Gasto general</t>
        </is>
      </c>
      <c r="L372" s="31" t="inlineStr">
        <is>
          <t>3,1 - COMBUSTIBLE  ZANJON</t>
        </is>
      </c>
      <c r="M372" s="31" t="inlineStr">
        <is>
          <t>Compra agua zanjon</t>
        </is>
      </c>
      <c r="N372" s="30" t="inlineStr">
        <is>
          <t>m3</t>
        </is>
      </c>
      <c r="O372" s="30" t="inlineStr">
        <is>
          <t>m3</t>
        </is>
      </c>
      <c r="P372" s="33" t="n">
        <v>230</v>
      </c>
      <c r="Q372" s="34" t="n">
        <v>1296.06503298775</v>
      </c>
      <c r="R372" s="33" t="n">
        <v>2979757.19604147</v>
      </c>
      <c r="S372" s="35" t="n">
        <v>0</v>
      </c>
      <c r="T372" s="33" t="n">
        <v>0</v>
      </c>
      <c r="U372" s="33" t="n">
        <v>275.903444077914</v>
      </c>
      <c r="V372" s="33" t="n">
        <v>275.903444077914</v>
      </c>
      <c r="W372" s="33" t="n">
        <v>275.903444077914</v>
      </c>
      <c r="X372" s="33" t="n">
        <v>275.903444077914</v>
      </c>
      <c r="Y372" s="33" t="n">
        <v>275.903444077914</v>
      </c>
      <c r="Z372" s="33" t="n">
        <v>275.903444077914</v>
      </c>
      <c r="AA372" s="33" t="n">
        <v>275.903444077914</v>
      </c>
      <c r="AB372" s="33" t="n">
        <v>275.903444077914</v>
      </c>
      <c r="AC372" s="33" t="n">
        <v>275.903444077914</v>
      </c>
      <c r="AD372" s="33" t="n">
        <v>275.903444077914</v>
      </c>
      <c r="AE372" s="33" t="n">
        <v>275.903444077914</v>
      </c>
      <c r="AF372" s="33" t="n">
        <v>275.903444077914</v>
      </c>
    </row>
    <row r="373" ht="15" customHeight="1" s="176">
      <c r="A373" s="36" t="inlineStr">
        <is>
          <t>P-0370</t>
        </is>
      </c>
      <c r="B373" s="36" t="inlineStr">
        <is>
          <t>2026/27</t>
        </is>
      </c>
      <c r="C373" s="36" t="inlineStr">
        <is>
          <t>Santa Catalina</t>
        </is>
      </c>
      <c r="D373" s="37" t="inlineStr">
        <is>
          <t>form benjamin 1,93 ha</t>
        </is>
      </c>
      <c r="E373" s="36" t="inlineStr">
        <is>
          <t>Limon</t>
        </is>
      </c>
      <c r="F373" s="36" t="inlineStr">
        <is>
          <t>Benjamin andes</t>
        </is>
      </c>
      <c r="G373" s="36" t="inlineStr">
        <is>
          <t>Formación</t>
        </is>
      </c>
      <c r="H373" s="38" t="n">
        <v>1.93</v>
      </c>
      <c r="I373" s="38" t="n">
        <v>0</v>
      </c>
      <c r="J373" s="36" t="inlineStr">
        <is>
          <t>Costo</t>
        </is>
      </c>
      <c r="K373" s="37" t="inlineStr">
        <is>
          <t>3- Gasto general</t>
        </is>
      </c>
      <c r="L373" s="37" t="inlineStr">
        <is>
          <t>3- COMBUSTIBLE Y ENERGIA</t>
        </is>
      </c>
      <c r="M373" s="37" t="inlineStr">
        <is>
          <t>cuota embalse cogoti</t>
        </is>
      </c>
      <c r="N373" s="36" t="n"/>
      <c r="O373" s="36" t="inlineStr">
        <is>
          <t>ha</t>
        </is>
      </c>
      <c r="P373" s="39" t="n">
        <v>32266.6666666667</v>
      </c>
      <c r="Q373" s="40" t="n">
        <v>1.93</v>
      </c>
      <c r="R373" s="39" t="n">
        <v>224188.8</v>
      </c>
      <c r="S373" s="41" t="n">
        <v>0</v>
      </c>
      <c r="T373" s="39" t="n">
        <v>0</v>
      </c>
      <c r="U373" s="39" t="n">
        <v>20.7582222222222</v>
      </c>
      <c r="V373" s="39" t="n">
        <v>20.7582222222222</v>
      </c>
      <c r="W373" s="39" t="n">
        <v>20.7582222222222</v>
      </c>
      <c r="X373" s="39" t="n">
        <v>20.7582222222222</v>
      </c>
      <c r="Y373" s="39" t="n">
        <v>20.7582222222222</v>
      </c>
      <c r="Z373" s="39" t="n">
        <v>20.7582222222222</v>
      </c>
      <c r="AA373" s="39" t="n">
        <v>20.7582222222222</v>
      </c>
      <c r="AB373" s="39" t="n">
        <v>20.7582222222222</v>
      </c>
      <c r="AC373" s="39" t="n">
        <v>20.7582222222222</v>
      </c>
      <c r="AD373" s="39" t="n">
        <v>20.7582222222222</v>
      </c>
      <c r="AE373" s="39" t="n">
        <v>20.7582222222222</v>
      </c>
      <c r="AF373" s="39" t="n">
        <v>20.7582222222222</v>
      </c>
    </row>
    <row r="374" ht="15" customHeight="1" s="176">
      <c r="A374" s="30" t="inlineStr">
        <is>
          <t>P-0371</t>
        </is>
      </c>
      <c r="B374" s="30" t="inlineStr">
        <is>
          <t>2026/27</t>
        </is>
      </c>
      <c r="C374" s="30" t="inlineStr">
        <is>
          <t>Santa Catalina</t>
        </is>
      </c>
      <c r="D374" s="31" t="inlineStr">
        <is>
          <t>eureka 22,55</t>
        </is>
      </c>
      <c r="E374" s="30" t="inlineStr">
        <is>
          <t>Limon</t>
        </is>
      </c>
      <c r="F374" s="30" t="inlineStr">
        <is>
          <t>Eureka</t>
        </is>
      </c>
      <c r="G374" s="30" t="inlineStr">
        <is>
          <t>Producción</t>
        </is>
      </c>
      <c r="H374" s="32" t="n">
        <v>22.55</v>
      </c>
      <c r="I374" s="32" t="n">
        <v>22.55</v>
      </c>
      <c r="J374" s="30" t="inlineStr">
        <is>
          <t>Costo</t>
        </is>
      </c>
      <c r="K374" s="31" t="inlineStr">
        <is>
          <t>3- Gasto general</t>
        </is>
      </c>
      <c r="L374" s="31" t="inlineStr">
        <is>
          <t>3- COMBUSTIBLE Y ENERGIA</t>
        </is>
      </c>
      <c r="M374" s="31" t="inlineStr">
        <is>
          <t>consumo electrico</t>
        </is>
      </c>
      <c r="N374" s="30" t="n"/>
      <c r="O374" s="30" t="inlineStr">
        <is>
          <t>ha</t>
        </is>
      </c>
      <c r="P374" s="33" t="n">
        <v>143471.416666667</v>
      </c>
      <c r="Q374" s="34" t="n">
        <v>22.55</v>
      </c>
      <c r="R374" s="33" t="n">
        <v>32351510.346155</v>
      </c>
      <c r="S374" s="35" t="n">
        <v>0.0227723298111111</v>
      </c>
      <c r="T374" s="33" t="n">
        <v>20.49509683</v>
      </c>
      <c r="U374" s="33" t="n">
        <v>2995.51021723657</v>
      </c>
      <c r="V374" s="33" t="n">
        <v>2995.51021723657</v>
      </c>
      <c r="W374" s="33" t="n">
        <v>2995.51021723657</v>
      </c>
      <c r="X374" s="33" t="n">
        <v>2995.51021723657</v>
      </c>
      <c r="Y374" s="33" t="n">
        <v>2995.51021723657</v>
      </c>
      <c r="Z374" s="33" t="n">
        <v>2995.51021723657</v>
      </c>
      <c r="AA374" s="33" t="n">
        <v>2995.51021723657</v>
      </c>
      <c r="AB374" s="33" t="n">
        <v>2995.51021723657</v>
      </c>
      <c r="AC374" s="33" t="n">
        <v>2995.51021723657</v>
      </c>
      <c r="AD374" s="33" t="n">
        <v>2995.51021723657</v>
      </c>
      <c r="AE374" s="33" t="n">
        <v>2995.51021723657</v>
      </c>
      <c r="AF374" s="33" t="n">
        <v>2995.51021723657</v>
      </c>
    </row>
    <row r="375" ht="15" customHeight="1" s="176">
      <c r="A375" s="36" t="inlineStr">
        <is>
          <t>P-0372</t>
        </is>
      </c>
      <c r="B375" s="36" t="inlineStr">
        <is>
          <t>2026/27</t>
        </is>
      </c>
      <c r="C375" s="36" t="inlineStr">
        <is>
          <t>Santa Catalina</t>
        </is>
      </c>
      <c r="D375" s="37" t="inlineStr">
        <is>
          <t>eureka 22,55</t>
        </is>
      </c>
      <c r="E375" s="36" t="inlineStr">
        <is>
          <t>Limon</t>
        </is>
      </c>
      <c r="F375" s="36" t="inlineStr">
        <is>
          <t>Eureka</t>
        </is>
      </c>
      <c r="G375" s="36" t="inlineStr">
        <is>
          <t>Producción</t>
        </is>
      </c>
      <c r="H375" s="38" t="n">
        <v>22.55</v>
      </c>
      <c r="I375" s="38" t="n">
        <v>22.55</v>
      </c>
      <c r="J375" s="36" t="inlineStr">
        <is>
          <t>Costo</t>
        </is>
      </c>
      <c r="K375" s="37" t="inlineStr">
        <is>
          <t>3- Gasto general</t>
        </is>
      </c>
      <c r="L375" s="37" t="inlineStr">
        <is>
          <t>3- COMBUSTIBLE Y ENERGIA</t>
        </is>
      </c>
      <c r="M375" s="37" t="inlineStr">
        <is>
          <t>diesel campo</t>
        </is>
      </c>
      <c r="N375" s="36" t="n"/>
      <c r="O375" s="36" t="inlineStr">
        <is>
          <t>ha</t>
        </is>
      </c>
      <c r="P375" s="39" t="n">
        <v>40433.5833333333</v>
      </c>
      <c r="Q375" s="40" t="n">
        <v>22.55</v>
      </c>
      <c r="R375" s="39" t="n">
        <v>9117408.330745</v>
      </c>
      <c r="S375" s="41" t="n">
        <v>0.00641777237936508</v>
      </c>
      <c r="T375" s="39" t="n">
        <v>5.77599514142857</v>
      </c>
      <c r="U375" s="39" t="n">
        <v>844.204475068982</v>
      </c>
      <c r="V375" s="39" t="n">
        <v>844.204475068982</v>
      </c>
      <c r="W375" s="39" t="n">
        <v>844.204475068982</v>
      </c>
      <c r="X375" s="39" t="n">
        <v>844.204475068982</v>
      </c>
      <c r="Y375" s="39" t="n">
        <v>844.204475068982</v>
      </c>
      <c r="Z375" s="39" t="n">
        <v>844.204475068982</v>
      </c>
      <c r="AA375" s="39" t="n">
        <v>844.204475068982</v>
      </c>
      <c r="AB375" s="39" t="n">
        <v>844.204475068982</v>
      </c>
      <c r="AC375" s="39" t="n">
        <v>844.204475068982</v>
      </c>
      <c r="AD375" s="39" t="n">
        <v>844.204475068982</v>
      </c>
      <c r="AE375" s="39" t="n">
        <v>844.204475068982</v>
      </c>
      <c r="AF375" s="39" t="n">
        <v>844.204475068982</v>
      </c>
    </row>
    <row r="376" ht="15" customHeight="1" s="176">
      <c r="A376" s="30" t="inlineStr">
        <is>
          <t>P-0373</t>
        </is>
      </c>
      <c r="B376" s="30" t="inlineStr">
        <is>
          <t>2026/27</t>
        </is>
      </c>
      <c r="C376" s="30" t="inlineStr">
        <is>
          <t>Santa Catalina</t>
        </is>
      </c>
      <c r="D376" s="31" t="inlineStr">
        <is>
          <t>eureka 22,55</t>
        </is>
      </c>
      <c r="E376" s="30" t="inlineStr">
        <is>
          <t>Limon</t>
        </is>
      </c>
      <c r="F376" s="30" t="inlineStr">
        <is>
          <t>Eureka</t>
        </is>
      </c>
      <c r="G376" s="30" t="inlineStr">
        <is>
          <t>Producción</t>
        </is>
      </c>
      <c r="H376" s="32" t="n">
        <v>22.55</v>
      </c>
      <c r="I376" s="32" t="n">
        <v>22.55</v>
      </c>
      <c r="J376" s="30" t="inlineStr">
        <is>
          <t>Costo</t>
        </is>
      </c>
      <c r="K376" s="31" t="inlineStr">
        <is>
          <t>3- Gasto general</t>
        </is>
      </c>
      <c r="L376" s="31" t="inlineStr">
        <is>
          <t>3- COMBUSTIBLE Y ENERGIA</t>
        </is>
      </c>
      <c r="M376" s="31" t="inlineStr">
        <is>
          <t>diesel  zanjon 14l/hr</t>
        </is>
      </c>
      <c r="N376" s="30" t="inlineStr">
        <is>
          <t>día</t>
        </is>
      </c>
      <c r="O376" s="30" t="inlineStr">
        <is>
          <t>ha</t>
        </is>
      </c>
      <c r="P376" s="33" t="n">
        <v>76262</v>
      </c>
      <c r="Q376" s="34" t="n">
        <v>22.55</v>
      </c>
      <c r="R376" s="33" t="n">
        <v>17190202.1676</v>
      </c>
      <c r="S376" s="35" t="n">
        <v>0.0121002373333333</v>
      </c>
      <c r="T376" s="33" t="n">
        <v>10.8902136</v>
      </c>
      <c r="U376" s="33" t="n">
        <v>1591.68538588889</v>
      </c>
      <c r="V376" s="33" t="n">
        <v>1591.68538588889</v>
      </c>
      <c r="W376" s="33" t="n">
        <v>1591.68538588889</v>
      </c>
      <c r="X376" s="33" t="n">
        <v>1591.68538588889</v>
      </c>
      <c r="Y376" s="33" t="n">
        <v>1591.68538588889</v>
      </c>
      <c r="Z376" s="33" t="n">
        <v>1591.68538588889</v>
      </c>
      <c r="AA376" s="33" t="n">
        <v>1591.68538588889</v>
      </c>
      <c r="AB376" s="33" t="n">
        <v>1591.68538588889</v>
      </c>
      <c r="AC376" s="33" t="n">
        <v>1591.68538588889</v>
      </c>
      <c r="AD376" s="33" t="n">
        <v>1591.68538588889</v>
      </c>
      <c r="AE376" s="33" t="n">
        <v>1591.68538588889</v>
      </c>
      <c r="AF376" s="33" t="n">
        <v>1591.68538588889</v>
      </c>
    </row>
    <row r="377" ht="15" customHeight="1" s="176">
      <c r="A377" s="36" t="inlineStr">
        <is>
          <t>P-0374</t>
        </is>
      </c>
      <c r="B377" s="36" t="inlineStr">
        <is>
          <t>2026/27</t>
        </is>
      </c>
      <c r="C377" s="36" t="inlineStr">
        <is>
          <t>Santa Catalina</t>
        </is>
      </c>
      <c r="D377" s="37" t="inlineStr">
        <is>
          <t>eureka 22,55</t>
        </is>
      </c>
      <c r="E377" s="36" t="inlineStr">
        <is>
          <t>Limon</t>
        </is>
      </c>
      <c r="F377" s="36" t="inlineStr">
        <is>
          <t>Eureka</t>
        </is>
      </c>
      <c r="G377" s="36" t="inlineStr">
        <is>
          <t>Producción</t>
        </is>
      </c>
      <c r="H377" s="38" t="n">
        <v>22.55</v>
      </c>
      <c r="I377" s="38" t="n">
        <v>22.55</v>
      </c>
      <c r="J377" s="36" t="inlineStr">
        <is>
          <t>Costo</t>
        </is>
      </c>
      <c r="K377" s="37" t="inlineStr">
        <is>
          <t>3- Gasto general</t>
        </is>
      </c>
      <c r="L377" s="37" t="inlineStr">
        <is>
          <t>3,1 - COMBUSTIBLE  ZANJON</t>
        </is>
      </c>
      <c r="M377" s="37" t="inlineStr">
        <is>
          <t>Compra agua zanjon</t>
        </is>
      </c>
      <c r="N377" s="36" t="inlineStr">
        <is>
          <t>m3</t>
        </is>
      </c>
      <c r="O377" s="36" t="inlineStr">
        <is>
          <t>m3</t>
        </is>
      </c>
      <c r="P377" s="39" t="n">
        <v>230</v>
      </c>
      <c r="Q377" s="40" t="n">
        <v>15143.1432610745</v>
      </c>
      <c r="R377" s="39" t="n">
        <v>34815297.8086711</v>
      </c>
      <c r="S377" s="41" t="n">
        <v>0.0245065975494816</v>
      </c>
      <c r="T377" s="39" t="n">
        <v>22.0559377945335</v>
      </c>
      <c r="U377" s="39" t="n">
        <v>3223.63868598806</v>
      </c>
      <c r="V377" s="39" t="n">
        <v>3223.63868598806</v>
      </c>
      <c r="W377" s="39" t="n">
        <v>3223.63868598806</v>
      </c>
      <c r="X377" s="39" t="n">
        <v>3223.63868598806</v>
      </c>
      <c r="Y377" s="39" t="n">
        <v>3223.63868598806</v>
      </c>
      <c r="Z377" s="39" t="n">
        <v>3223.63868598806</v>
      </c>
      <c r="AA377" s="39" t="n">
        <v>3223.63868598806</v>
      </c>
      <c r="AB377" s="39" t="n">
        <v>3223.63868598806</v>
      </c>
      <c r="AC377" s="39" t="n">
        <v>3223.63868598806</v>
      </c>
      <c r="AD377" s="39" t="n">
        <v>3223.63868598806</v>
      </c>
      <c r="AE377" s="39" t="n">
        <v>3223.63868598806</v>
      </c>
      <c r="AF377" s="39" t="n">
        <v>3223.63868598806</v>
      </c>
    </row>
    <row r="378" ht="15" customHeight="1" s="176">
      <c r="A378" s="30" t="inlineStr">
        <is>
          <t>P-0375</t>
        </is>
      </c>
      <c r="B378" s="30" t="inlineStr">
        <is>
          <t>2026/27</t>
        </is>
      </c>
      <c r="C378" s="30" t="inlineStr">
        <is>
          <t>Santa Catalina</t>
        </is>
      </c>
      <c r="D378" s="31" t="inlineStr">
        <is>
          <t>eureka 22,55</t>
        </is>
      </c>
      <c r="E378" s="30" t="inlineStr">
        <is>
          <t>Limon</t>
        </is>
      </c>
      <c r="F378" s="30" t="inlineStr">
        <is>
          <t>Eureka</t>
        </is>
      </c>
      <c r="G378" s="30" t="inlineStr">
        <is>
          <t>Producción</t>
        </is>
      </c>
      <c r="H378" s="32" t="n">
        <v>22.55</v>
      </c>
      <c r="I378" s="32" t="n">
        <v>22.55</v>
      </c>
      <c r="J378" s="30" t="inlineStr">
        <is>
          <t>Costo</t>
        </is>
      </c>
      <c r="K378" s="31" t="inlineStr">
        <is>
          <t>3- Gasto general</t>
        </is>
      </c>
      <c r="L378" s="31" t="inlineStr">
        <is>
          <t>3- COMBUSTIBLE Y ENERGIA</t>
        </is>
      </c>
      <c r="M378" s="31" t="inlineStr">
        <is>
          <t>cuota embalse cogoti</t>
        </is>
      </c>
      <c r="N378" s="30" t="n"/>
      <c r="O378" s="30" t="inlineStr">
        <is>
          <t>ha</t>
        </is>
      </c>
      <c r="P378" s="33" t="n">
        <v>32266.6666666667</v>
      </c>
      <c r="Q378" s="34" t="n">
        <v>22.55</v>
      </c>
      <c r="R378" s="33" t="n">
        <v>7275842.288</v>
      </c>
      <c r="S378" s="35" t="n">
        <v>0.00512148825396826</v>
      </c>
      <c r="T378" s="33" t="n">
        <v>4.60933942857143</v>
      </c>
      <c r="U378" s="33" t="n">
        <v>673.689100740741</v>
      </c>
      <c r="V378" s="33" t="n">
        <v>673.689100740741</v>
      </c>
      <c r="W378" s="33" t="n">
        <v>673.689100740741</v>
      </c>
      <c r="X378" s="33" t="n">
        <v>673.689100740741</v>
      </c>
      <c r="Y378" s="33" t="n">
        <v>673.689100740741</v>
      </c>
      <c r="Z378" s="33" t="n">
        <v>673.689100740741</v>
      </c>
      <c r="AA378" s="33" t="n">
        <v>673.689100740741</v>
      </c>
      <c r="AB378" s="33" t="n">
        <v>673.689100740741</v>
      </c>
      <c r="AC378" s="33" t="n">
        <v>673.689100740741</v>
      </c>
      <c r="AD378" s="33" t="n">
        <v>673.689100740741</v>
      </c>
      <c r="AE378" s="33" t="n">
        <v>673.689100740741</v>
      </c>
      <c r="AF378" s="33" t="n">
        <v>673.689100740741</v>
      </c>
    </row>
    <row r="379" ht="15" customHeight="1" s="176">
      <c r="A379" s="36" t="inlineStr">
        <is>
          <t>P-0376</t>
        </is>
      </c>
      <c r="B379" s="36" t="inlineStr">
        <is>
          <t>2026/27</t>
        </is>
      </c>
      <c r="C379" s="36" t="inlineStr">
        <is>
          <t>Santa Catalina</t>
        </is>
      </c>
      <c r="D379" s="37" t="inlineStr">
        <is>
          <t>mant eureka 2,5 ha</t>
        </is>
      </c>
      <c r="E379" s="36" t="inlineStr">
        <is>
          <t>Limon</t>
        </is>
      </c>
      <c r="F379" s="36" t="inlineStr">
        <is>
          <t>Eureka</t>
        </is>
      </c>
      <c r="G379" s="36" t="inlineStr">
        <is>
          <t>Mantención</t>
        </is>
      </c>
      <c r="H379" s="38" t="n">
        <v>2.5</v>
      </c>
      <c r="I379" s="38" t="n">
        <v>0</v>
      </c>
      <c r="J379" s="36" t="inlineStr">
        <is>
          <t>Costo</t>
        </is>
      </c>
      <c r="K379" s="37" t="inlineStr">
        <is>
          <t>3- Gasto general</t>
        </is>
      </c>
      <c r="L379" s="37" t="inlineStr">
        <is>
          <t>3- COMBUSTIBLE Y ENERGIA</t>
        </is>
      </c>
      <c r="M379" s="37" t="inlineStr">
        <is>
          <t>consumo electrico</t>
        </is>
      </c>
      <c r="N379" s="36" t="n"/>
      <c r="O379" s="36" t="inlineStr">
        <is>
          <t>ha</t>
        </is>
      </c>
      <c r="P379" s="39" t="n">
        <v>143471.416666667</v>
      </c>
      <c r="Q379" s="40" t="n">
        <v>2.5</v>
      </c>
      <c r="R379" s="39" t="n">
        <v>1291242.75</v>
      </c>
      <c r="S379" s="41" t="n">
        <v>0</v>
      </c>
      <c r="T379" s="39" t="n">
        <v>0</v>
      </c>
      <c r="U379" s="39" t="n">
        <v>119.559513888889</v>
      </c>
      <c r="V379" s="39" t="n">
        <v>119.559513888889</v>
      </c>
      <c r="W379" s="39" t="n">
        <v>119.559513888889</v>
      </c>
      <c r="X379" s="39" t="n">
        <v>119.559513888889</v>
      </c>
      <c r="Y379" s="39" t="n">
        <v>119.559513888889</v>
      </c>
      <c r="Z379" s="39" t="n">
        <v>119.559513888889</v>
      </c>
      <c r="AA379" s="39" t="n">
        <v>119.559513888889</v>
      </c>
      <c r="AB379" s="39" t="n">
        <v>119.559513888889</v>
      </c>
      <c r="AC379" s="39" t="n">
        <v>119.559513888889</v>
      </c>
      <c r="AD379" s="39" t="n">
        <v>119.559513888889</v>
      </c>
      <c r="AE379" s="39" t="n">
        <v>119.559513888889</v>
      </c>
      <c r="AF379" s="39" t="n">
        <v>119.559513888889</v>
      </c>
    </row>
    <row r="380" ht="15" customHeight="1" s="176">
      <c r="A380" s="30" t="inlineStr">
        <is>
          <t>P-0377</t>
        </is>
      </c>
      <c r="B380" s="30" t="inlineStr">
        <is>
          <t>2026/27</t>
        </is>
      </c>
      <c r="C380" s="30" t="inlineStr">
        <is>
          <t>Santa Catalina</t>
        </is>
      </c>
      <c r="D380" s="31" t="inlineStr">
        <is>
          <t>mant eureka 2,5 ha</t>
        </is>
      </c>
      <c r="E380" s="30" t="inlineStr">
        <is>
          <t>Limon</t>
        </is>
      </c>
      <c r="F380" s="30" t="inlineStr">
        <is>
          <t>Eureka</t>
        </is>
      </c>
      <c r="G380" s="30" t="inlineStr">
        <is>
          <t>Mantención</t>
        </is>
      </c>
      <c r="H380" s="32" t="n">
        <v>2.5</v>
      </c>
      <c r="I380" s="32" t="n">
        <v>0</v>
      </c>
      <c r="J380" s="30" t="inlineStr">
        <is>
          <t>Costo</t>
        </is>
      </c>
      <c r="K380" s="31" t="inlineStr">
        <is>
          <t>3- Gasto general</t>
        </is>
      </c>
      <c r="L380" s="31" t="inlineStr">
        <is>
          <t>3- COMBUSTIBLE Y ENERGIA</t>
        </is>
      </c>
      <c r="M380" s="31" t="inlineStr">
        <is>
          <t>diesel campo</t>
        </is>
      </c>
      <c r="N380" s="30" t="n"/>
      <c r="O380" s="30" t="inlineStr">
        <is>
          <t>ha</t>
        </is>
      </c>
      <c r="P380" s="33" t="n">
        <v>40433.5833333333</v>
      </c>
      <c r="Q380" s="34" t="n">
        <v>2.5</v>
      </c>
      <c r="R380" s="33" t="n">
        <v>363902.25</v>
      </c>
      <c r="S380" s="35" t="n">
        <v>0</v>
      </c>
      <c r="T380" s="33" t="n">
        <v>0</v>
      </c>
      <c r="U380" s="33" t="n">
        <v>33.6946527777778</v>
      </c>
      <c r="V380" s="33" t="n">
        <v>33.6946527777778</v>
      </c>
      <c r="W380" s="33" t="n">
        <v>33.6946527777778</v>
      </c>
      <c r="X380" s="33" t="n">
        <v>33.6946527777778</v>
      </c>
      <c r="Y380" s="33" t="n">
        <v>33.6946527777778</v>
      </c>
      <c r="Z380" s="33" t="n">
        <v>33.6946527777778</v>
      </c>
      <c r="AA380" s="33" t="n">
        <v>33.6946527777778</v>
      </c>
      <c r="AB380" s="33" t="n">
        <v>33.6946527777778</v>
      </c>
      <c r="AC380" s="33" t="n">
        <v>33.6946527777778</v>
      </c>
      <c r="AD380" s="33" t="n">
        <v>33.6946527777778</v>
      </c>
      <c r="AE380" s="33" t="n">
        <v>33.6946527777778</v>
      </c>
      <c r="AF380" s="33" t="n">
        <v>33.6946527777778</v>
      </c>
    </row>
    <row r="381" ht="15" customHeight="1" s="176">
      <c r="A381" s="36" t="inlineStr">
        <is>
          <t>P-0378</t>
        </is>
      </c>
      <c r="B381" s="36" t="inlineStr">
        <is>
          <t>2026/27</t>
        </is>
      </c>
      <c r="C381" s="36" t="inlineStr">
        <is>
          <t>Santa Catalina</t>
        </is>
      </c>
      <c r="D381" s="37" t="inlineStr">
        <is>
          <t>mant eureka 2,5 ha</t>
        </is>
      </c>
      <c r="E381" s="36" t="inlineStr">
        <is>
          <t>Limon</t>
        </is>
      </c>
      <c r="F381" s="36" t="inlineStr">
        <is>
          <t>Eureka</t>
        </is>
      </c>
      <c r="G381" s="36" t="inlineStr">
        <is>
          <t>Mantención</t>
        </is>
      </c>
      <c r="H381" s="38" t="n">
        <v>2.5</v>
      </c>
      <c r="I381" s="38" t="n">
        <v>0</v>
      </c>
      <c r="J381" s="36" t="inlineStr">
        <is>
          <t>Costo</t>
        </is>
      </c>
      <c r="K381" s="37" t="inlineStr">
        <is>
          <t>3- Gasto general</t>
        </is>
      </c>
      <c r="L381" s="37" t="inlineStr">
        <is>
          <t>3- COMBUSTIBLE Y ENERGIA</t>
        </is>
      </c>
      <c r="M381" s="37" t="inlineStr">
        <is>
          <t>diesel  zanjon 14l/hr</t>
        </is>
      </c>
      <c r="N381" s="36" t="inlineStr">
        <is>
          <t>día</t>
        </is>
      </c>
      <c r="O381" s="36" t="inlineStr">
        <is>
          <t>ha</t>
        </is>
      </c>
      <c r="P381" s="39" t="n">
        <v>76262</v>
      </c>
      <c r="Q381" s="40" t="n">
        <v>2.5</v>
      </c>
      <c r="R381" s="39" t="n">
        <v>1905787.38</v>
      </c>
      <c r="S381" s="41" t="n">
        <v>0</v>
      </c>
      <c r="T381" s="39" t="n">
        <v>0</v>
      </c>
      <c r="U381" s="39" t="n">
        <v>176.461794444444</v>
      </c>
      <c r="V381" s="39" t="n">
        <v>176.461794444444</v>
      </c>
      <c r="W381" s="39" t="n">
        <v>176.461794444444</v>
      </c>
      <c r="X381" s="39" t="n">
        <v>176.461794444444</v>
      </c>
      <c r="Y381" s="39" t="n">
        <v>176.461794444444</v>
      </c>
      <c r="Z381" s="39" t="n">
        <v>176.461794444444</v>
      </c>
      <c r="AA381" s="39" t="n">
        <v>176.461794444444</v>
      </c>
      <c r="AB381" s="39" t="n">
        <v>176.461794444444</v>
      </c>
      <c r="AC381" s="39" t="n">
        <v>176.461794444444</v>
      </c>
      <c r="AD381" s="39" t="n">
        <v>176.461794444444</v>
      </c>
      <c r="AE381" s="39" t="n">
        <v>176.461794444444</v>
      </c>
      <c r="AF381" s="39" t="n">
        <v>176.461794444444</v>
      </c>
    </row>
    <row r="382" ht="15" customHeight="1" s="176">
      <c r="A382" s="30" t="inlineStr">
        <is>
          <t>P-0379</t>
        </is>
      </c>
      <c r="B382" s="30" t="inlineStr">
        <is>
          <t>2026/27</t>
        </is>
      </c>
      <c r="C382" s="30" t="inlineStr">
        <is>
          <t>Santa Catalina</t>
        </is>
      </c>
      <c r="D382" s="31" t="inlineStr">
        <is>
          <t>mant eureka 2,5 ha</t>
        </is>
      </c>
      <c r="E382" s="30" t="inlineStr">
        <is>
          <t>Limon</t>
        </is>
      </c>
      <c r="F382" s="30" t="inlineStr">
        <is>
          <t>Eureka</t>
        </is>
      </c>
      <c r="G382" s="30" t="inlineStr">
        <is>
          <t>Mantención</t>
        </is>
      </c>
      <c r="H382" s="32" t="n">
        <v>2.5</v>
      </c>
      <c r="I382" s="32" t="n">
        <v>0</v>
      </c>
      <c r="J382" s="30" t="inlineStr">
        <is>
          <t>Costo</t>
        </is>
      </c>
      <c r="K382" s="31" t="inlineStr">
        <is>
          <t>3- Gasto general</t>
        </is>
      </c>
      <c r="L382" s="31" t="inlineStr">
        <is>
          <t>3,1 - COMBUSTIBLE  ZANJON</t>
        </is>
      </c>
      <c r="M382" s="31" t="inlineStr">
        <is>
          <t>Compra agua zanjon</t>
        </is>
      </c>
      <c r="N382" s="30" t="inlineStr">
        <is>
          <t>m3</t>
        </is>
      </c>
      <c r="O382" s="30" t="inlineStr">
        <is>
          <t>m3</t>
        </is>
      </c>
      <c r="P382" s="33" t="n">
        <v>230</v>
      </c>
      <c r="Q382" s="34" t="n">
        <v>1678.84071630537</v>
      </c>
      <c r="R382" s="33" t="n">
        <v>3859789.11404336</v>
      </c>
      <c r="S382" s="35" t="n">
        <v>0</v>
      </c>
      <c r="T382" s="33" t="n">
        <v>0</v>
      </c>
      <c r="U382" s="33" t="n">
        <v>357.38788092994</v>
      </c>
      <c r="V382" s="33" t="n">
        <v>357.38788092994</v>
      </c>
      <c r="W382" s="33" t="n">
        <v>357.38788092994</v>
      </c>
      <c r="X382" s="33" t="n">
        <v>357.38788092994</v>
      </c>
      <c r="Y382" s="33" t="n">
        <v>357.38788092994</v>
      </c>
      <c r="Z382" s="33" t="n">
        <v>357.38788092994</v>
      </c>
      <c r="AA382" s="33" t="n">
        <v>357.38788092994</v>
      </c>
      <c r="AB382" s="33" t="n">
        <v>357.38788092994</v>
      </c>
      <c r="AC382" s="33" t="n">
        <v>357.38788092994</v>
      </c>
      <c r="AD382" s="33" t="n">
        <v>357.38788092994</v>
      </c>
      <c r="AE382" s="33" t="n">
        <v>357.38788092994</v>
      </c>
      <c r="AF382" s="33" t="n">
        <v>357.38788092994</v>
      </c>
    </row>
    <row r="383" ht="15" customHeight="1" s="176">
      <c r="A383" s="36" t="inlineStr">
        <is>
          <t>P-0380</t>
        </is>
      </c>
      <c r="B383" s="36" t="inlineStr">
        <is>
          <t>2026/27</t>
        </is>
      </c>
      <c r="C383" s="36" t="inlineStr">
        <is>
          <t>Santa Catalina</t>
        </is>
      </c>
      <c r="D383" s="37" t="inlineStr">
        <is>
          <t>mant eureka 2,5 ha</t>
        </is>
      </c>
      <c r="E383" s="36" t="inlineStr">
        <is>
          <t>Limon</t>
        </is>
      </c>
      <c r="F383" s="36" t="inlineStr">
        <is>
          <t>Eureka</t>
        </is>
      </c>
      <c r="G383" s="36" t="inlineStr">
        <is>
          <t>Mantención</t>
        </is>
      </c>
      <c r="H383" s="38" t="n">
        <v>2.5</v>
      </c>
      <c r="I383" s="38" t="n">
        <v>0</v>
      </c>
      <c r="J383" s="36" t="inlineStr">
        <is>
          <t>Costo</t>
        </is>
      </c>
      <c r="K383" s="37" t="inlineStr">
        <is>
          <t>3- Gasto general</t>
        </is>
      </c>
      <c r="L383" s="37" t="inlineStr">
        <is>
          <t>3- COMBUSTIBLE Y ENERGIA</t>
        </is>
      </c>
      <c r="M383" s="37" t="inlineStr">
        <is>
          <t>cuota embalse cogoti</t>
        </is>
      </c>
      <c r="N383" s="36" t="inlineStr">
        <is>
          <t>día</t>
        </is>
      </c>
      <c r="O383" s="36" t="inlineStr">
        <is>
          <t>ha</t>
        </is>
      </c>
      <c r="P383" s="39" t="n">
        <v>32266.6666666667</v>
      </c>
      <c r="Q383" s="40" t="n">
        <v>2.5</v>
      </c>
      <c r="R383" s="39" t="n">
        <v>290400</v>
      </c>
      <c r="S383" s="41" t="n">
        <v>0</v>
      </c>
      <c r="T383" s="39" t="n">
        <v>0</v>
      </c>
      <c r="U383" s="39" t="n">
        <v>26.8888888888889</v>
      </c>
      <c r="V383" s="39" t="n">
        <v>26.8888888888889</v>
      </c>
      <c r="W383" s="39" t="n">
        <v>26.8888888888889</v>
      </c>
      <c r="X383" s="39" t="n">
        <v>26.8888888888889</v>
      </c>
      <c r="Y383" s="39" t="n">
        <v>26.8888888888889</v>
      </c>
      <c r="Z383" s="39" t="n">
        <v>26.8888888888889</v>
      </c>
      <c r="AA383" s="39" t="n">
        <v>26.8888888888889</v>
      </c>
      <c r="AB383" s="39" t="n">
        <v>26.8888888888889</v>
      </c>
      <c r="AC383" s="39" t="n">
        <v>26.8888888888889</v>
      </c>
      <c r="AD383" s="39" t="n">
        <v>26.8888888888889</v>
      </c>
      <c r="AE383" s="39" t="n">
        <v>26.8888888888889</v>
      </c>
      <c r="AF383" s="39" t="n">
        <v>26.8888888888889</v>
      </c>
    </row>
    <row r="384" ht="15" customHeight="1" s="176">
      <c r="A384" s="30" t="inlineStr">
        <is>
          <t>P-0381</t>
        </is>
      </c>
      <c r="B384" s="30" t="inlineStr">
        <is>
          <t>2026/27</t>
        </is>
      </c>
      <c r="C384" s="30" t="inlineStr">
        <is>
          <t>Santa Catalina</t>
        </is>
      </c>
      <c r="D384" s="31" t="inlineStr">
        <is>
          <t>Fino 49 7,7 ha</t>
        </is>
      </c>
      <c r="E384" s="30" t="inlineStr">
        <is>
          <t>Limon</t>
        </is>
      </c>
      <c r="F384" s="30" t="inlineStr">
        <is>
          <t>Fino 49</t>
        </is>
      </c>
      <c r="G384" s="30" t="inlineStr">
        <is>
          <t>Producción</t>
        </is>
      </c>
      <c r="H384" s="32" t="n">
        <v>7.7</v>
      </c>
      <c r="I384" s="32" t="n">
        <v>7.7</v>
      </c>
      <c r="J384" s="30" t="inlineStr">
        <is>
          <t>Costo</t>
        </is>
      </c>
      <c r="K384" s="31" t="inlineStr">
        <is>
          <t>3- Gasto general</t>
        </is>
      </c>
      <c r="L384" s="31" t="inlineStr">
        <is>
          <t>3- COMBUSTIBLE Y ENERGIA</t>
        </is>
      </c>
      <c r="M384" s="31" t="inlineStr">
        <is>
          <t>consumo electrico</t>
        </is>
      </c>
      <c r="N384" s="30" t="n"/>
      <c r="O384" s="30" t="inlineStr">
        <is>
          <t>ha</t>
        </is>
      </c>
      <c r="P384" s="33" t="n">
        <v>143471.416666667</v>
      </c>
      <c r="Q384" s="34" t="n">
        <v>7.7</v>
      </c>
      <c r="R384" s="33" t="n">
        <v>11046857.19137</v>
      </c>
      <c r="S384" s="35" t="n">
        <v>0.0227723298111111</v>
      </c>
      <c r="T384" s="33" t="n">
        <v>20.49509683</v>
      </c>
      <c r="U384" s="33" t="n">
        <v>1022.85714734907</v>
      </c>
      <c r="V384" s="33" t="n">
        <v>1022.85714734907</v>
      </c>
      <c r="W384" s="33" t="n">
        <v>1022.85714734907</v>
      </c>
      <c r="X384" s="33" t="n">
        <v>1022.85714734907</v>
      </c>
      <c r="Y384" s="33" t="n">
        <v>1022.85714734907</v>
      </c>
      <c r="Z384" s="33" t="n">
        <v>1022.85714734907</v>
      </c>
      <c r="AA384" s="33" t="n">
        <v>1022.85714734907</v>
      </c>
      <c r="AB384" s="33" t="n">
        <v>1022.85714734907</v>
      </c>
      <c r="AC384" s="33" t="n">
        <v>1022.85714734907</v>
      </c>
      <c r="AD384" s="33" t="n">
        <v>1022.85714734907</v>
      </c>
      <c r="AE384" s="33" t="n">
        <v>1022.85714734907</v>
      </c>
      <c r="AF384" s="33" t="n">
        <v>1022.85714734907</v>
      </c>
    </row>
    <row r="385" ht="15" customHeight="1" s="176">
      <c r="A385" s="36" t="inlineStr">
        <is>
          <t>P-0382</t>
        </is>
      </c>
      <c r="B385" s="36" t="inlineStr">
        <is>
          <t>2026/27</t>
        </is>
      </c>
      <c r="C385" s="36" t="inlineStr">
        <is>
          <t>Santa Catalina</t>
        </is>
      </c>
      <c r="D385" s="37" t="inlineStr">
        <is>
          <t>Fino 49 7,7 ha</t>
        </is>
      </c>
      <c r="E385" s="36" t="inlineStr">
        <is>
          <t>Limon</t>
        </is>
      </c>
      <c r="F385" s="36" t="inlineStr">
        <is>
          <t>Fino 49</t>
        </is>
      </c>
      <c r="G385" s="36" t="inlineStr">
        <is>
          <t>Producción</t>
        </is>
      </c>
      <c r="H385" s="38" t="n">
        <v>7.7</v>
      </c>
      <c r="I385" s="38" t="n">
        <v>7.7</v>
      </c>
      <c r="J385" s="36" t="inlineStr">
        <is>
          <t>Costo</t>
        </is>
      </c>
      <c r="K385" s="37" t="inlineStr">
        <is>
          <t>3- Gasto general</t>
        </is>
      </c>
      <c r="L385" s="37" t="inlineStr">
        <is>
          <t>3- COMBUSTIBLE Y ENERGIA</t>
        </is>
      </c>
      <c r="M385" s="37" t="inlineStr">
        <is>
          <t>diesel campo</t>
        </is>
      </c>
      <c r="N385" s="36" t="n"/>
      <c r="O385" s="36" t="inlineStr">
        <is>
          <t>ha</t>
        </is>
      </c>
      <c r="P385" s="39" t="n">
        <v>40433.5833333333</v>
      </c>
      <c r="Q385" s="40" t="n">
        <v>7.7</v>
      </c>
      <c r="R385" s="39" t="n">
        <v>3113261.38123</v>
      </c>
      <c r="S385" s="41" t="n">
        <v>0.00641777237936508</v>
      </c>
      <c r="T385" s="39" t="n">
        <v>5.77599514142857</v>
      </c>
      <c r="U385" s="39" t="n">
        <v>288.264942706482</v>
      </c>
      <c r="V385" s="39" t="n">
        <v>288.264942706482</v>
      </c>
      <c r="W385" s="39" t="n">
        <v>288.264942706482</v>
      </c>
      <c r="X385" s="39" t="n">
        <v>288.264942706482</v>
      </c>
      <c r="Y385" s="39" t="n">
        <v>288.264942706482</v>
      </c>
      <c r="Z385" s="39" t="n">
        <v>288.264942706482</v>
      </c>
      <c r="AA385" s="39" t="n">
        <v>288.264942706482</v>
      </c>
      <c r="AB385" s="39" t="n">
        <v>288.264942706482</v>
      </c>
      <c r="AC385" s="39" t="n">
        <v>288.264942706482</v>
      </c>
      <c r="AD385" s="39" t="n">
        <v>288.264942706482</v>
      </c>
      <c r="AE385" s="39" t="n">
        <v>288.264942706482</v>
      </c>
      <c r="AF385" s="39" t="n">
        <v>288.264942706482</v>
      </c>
    </row>
    <row r="386" ht="15" customHeight="1" s="176">
      <c r="A386" s="30" t="inlineStr">
        <is>
          <t>P-0383</t>
        </is>
      </c>
      <c r="B386" s="30" t="inlineStr">
        <is>
          <t>2026/27</t>
        </is>
      </c>
      <c r="C386" s="30" t="inlineStr">
        <is>
          <t>Santa Catalina</t>
        </is>
      </c>
      <c r="D386" s="31" t="inlineStr">
        <is>
          <t>Fino 49 7,7 ha</t>
        </is>
      </c>
      <c r="E386" s="30" t="inlineStr">
        <is>
          <t>Limon</t>
        </is>
      </c>
      <c r="F386" s="30" t="inlineStr">
        <is>
          <t>Fino 49</t>
        </is>
      </c>
      <c r="G386" s="30" t="inlineStr">
        <is>
          <t>Producción</t>
        </is>
      </c>
      <c r="H386" s="32" t="n">
        <v>7.7</v>
      </c>
      <c r="I386" s="32" t="n">
        <v>7.7</v>
      </c>
      <c r="J386" s="30" t="inlineStr">
        <is>
          <t>Costo</t>
        </is>
      </c>
      <c r="K386" s="31" t="inlineStr">
        <is>
          <t>3- Gasto general</t>
        </is>
      </c>
      <c r="L386" s="31" t="inlineStr">
        <is>
          <t>3- COMBUSTIBLE Y ENERGIA</t>
        </is>
      </c>
      <c r="M386" s="31" t="inlineStr">
        <is>
          <t>diesel  zanjon 14l/hr</t>
        </is>
      </c>
      <c r="N386" s="30" t="inlineStr">
        <is>
          <t>día</t>
        </is>
      </c>
      <c r="O386" s="30" t="inlineStr">
        <is>
          <t>ha</t>
        </is>
      </c>
      <c r="P386" s="33" t="n">
        <v>76262</v>
      </c>
      <c r="Q386" s="34" t="n">
        <v>7.7</v>
      </c>
      <c r="R386" s="33" t="n">
        <v>5869825.1304</v>
      </c>
      <c r="S386" s="35" t="n">
        <v>0.0121002373333333</v>
      </c>
      <c r="T386" s="33" t="n">
        <v>10.8902136</v>
      </c>
      <c r="U386" s="33" t="n">
        <v>543.502326888889</v>
      </c>
      <c r="V386" s="33" t="n">
        <v>543.502326888889</v>
      </c>
      <c r="W386" s="33" t="n">
        <v>543.502326888889</v>
      </c>
      <c r="X386" s="33" t="n">
        <v>543.502326888889</v>
      </c>
      <c r="Y386" s="33" t="n">
        <v>543.502326888889</v>
      </c>
      <c r="Z386" s="33" t="n">
        <v>543.502326888889</v>
      </c>
      <c r="AA386" s="33" t="n">
        <v>543.502326888889</v>
      </c>
      <c r="AB386" s="33" t="n">
        <v>543.502326888889</v>
      </c>
      <c r="AC386" s="33" t="n">
        <v>543.502326888889</v>
      </c>
      <c r="AD386" s="33" t="n">
        <v>543.502326888889</v>
      </c>
      <c r="AE386" s="33" t="n">
        <v>543.502326888889</v>
      </c>
      <c r="AF386" s="33" t="n">
        <v>543.502326888889</v>
      </c>
    </row>
    <row r="387" ht="15" customHeight="1" s="176">
      <c r="A387" s="36" t="inlineStr">
        <is>
          <t>P-0384</t>
        </is>
      </c>
      <c r="B387" s="36" t="inlineStr">
        <is>
          <t>2026/27</t>
        </is>
      </c>
      <c r="C387" s="36" t="inlineStr">
        <is>
          <t>Santa Catalina</t>
        </is>
      </c>
      <c r="D387" s="37" t="inlineStr">
        <is>
          <t>Fino 49 7,7 ha</t>
        </is>
      </c>
      <c r="E387" s="36" t="inlineStr">
        <is>
          <t>Limon</t>
        </is>
      </c>
      <c r="F387" s="36" t="inlineStr">
        <is>
          <t>Fino 49</t>
        </is>
      </c>
      <c r="G387" s="36" t="inlineStr">
        <is>
          <t>Producción</t>
        </is>
      </c>
      <c r="H387" s="38" t="n">
        <v>7.7</v>
      </c>
      <c r="I387" s="38" t="n">
        <v>7.7</v>
      </c>
      <c r="J387" s="36" t="inlineStr">
        <is>
          <t>Costo</t>
        </is>
      </c>
      <c r="K387" s="37" t="inlineStr">
        <is>
          <t>3- Gasto general</t>
        </is>
      </c>
      <c r="L387" s="37" t="inlineStr">
        <is>
          <t>3,1 - COMBUSTIBLE  ZANJON</t>
        </is>
      </c>
      <c r="M387" s="37" t="inlineStr">
        <is>
          <t>Compra agua zanjon</t>
        </is>
      </c>
      <c r="N387" s="36" t="inlineStr">
        <is>
          <t>m3</t>
        </is>
      </c>
      <c r="O387" s="36" t="inlineStr">
        <is>
          <t>m3</t>
        </is>
      </c>
      <c r="P387" s="39" t="n">
        <v>230</v>
      </c>
      <c r="Q387" s="40" t="n">
        <v>5170.82940622055</v>
      </c>
      <c r="R387" s="39" t="n">
        <v>11888150.4712535</v>
      </c>
      <c r="S387" s="41" t="n">
        <v>0.0245065975494816</v>
      </c>
      <c r="T387" s="39" t="n">
        <v>22.0559377945335</v>
      </c>
      <c r="U387" s="39" t="n">
        <v>1100.75467326422</v>
      </c>
      <c r="V387" s="39" t="n">
        <v>1100.75467326422</v>
      </c>
      <c r="W387" s="39" t="n">
        <v>1100.75467326422</v>
      </c>
      <c r="X387" s="39" t="n">
        <v>1100.75467326422</v>
      </c>
      <c r="Y387" s="39" t="n">
        <v>1100.75467326422</v>
      </c>
      <c r="Z387" s="39" t="n">
        <v>1100.75467326422</v>
      </c>
      <c r="AA387" s="39" t="n">
        <v>1100.75467326422</v>
      </c>
      <c r="AB387" s="39" t="n">
        <v>1100.75467326422</v>
      </c>
      <c r="AC387" s="39" t="n">
        <v>1100.75467326422</v>
      </c>
      <c r="AD387" s="39" t="n">
        <v>1100.75467326422</v>
      </c>
      <c r="AE387" s="39" t="n">
        <v>1100.75467326422</v>
      </c>
      <c r="AF387" s="39" t="n">
        <v>1100.75467326422</v>
      </c>
    </row>
    <row r="388" ht="15" customHeight="1" s="176">
      <c r="A388" s="30" t="inlineStr">
        <is>
          <t>P-0385</t>
        </is>
      </c>
      <c r="B388" s="30" t="inlineStr">
        <is>
          <t>2026/27</t>
        </is>
      </c>
      <c r="C388" s="30" t="inlineStr">
        <is>
          <t>Santa Catalina</t>
        </is>
      </c>
      <c r="D388" s="31" t="inlineStr">
        <is>
          <t>Fino 49 7,7 ha</t>
        </is>
      </c>
      <c r="E388" s="30" t="inlineStr">
        <is>
          <t>Limon</t>
        </is>
      </c>
      <c r="F388" s="30" t="inlineStr">
        <is>
          <t>Fino 49</t>
        </is>
      </c>
      <c r="G388" s="30" t="inlineStr">
        <is>
          <t>Producción</t>
        </is>
      </c>
      <c r="H388" s="32" t="n">
        <v>7.7</v>
      </c>
      <c r="I388" s="32" t="n">
        <v>7.7</v>
      </c>
      <c r="J388" s="30" t="inlineStr">
        <is>
          <t>Costo</t>
        </is>
      </c>
      <c r="K388" s="31" t="inlineStr">
        <is>
          <t>3- Gasto general</t>
        </is>
      </c>
      <c r="L388" s="31" t="inlineStr">
        <is>
          <t>3- COMBUSTIBLE Y ENERGIA</t>
        </is>
      </c>
      <c r="M388" s="31" t="inlineStr">
        <is>
          <t>cuota embalse cogoti</t>
        </is>
      </c>
      <c r="N388" s="30" t="n"/>
      <c r="O388" s="30" t="inlineStr">
        <is>
          <t>ha</t>
        </is>
      </c>
      <c r="P388" s="33" t="n">
        <v>32266.6666666667</v>
      </c>
      <c r="Q388" s="34" t="n">
        <v>7.7</v>
      </c>
      <c r="R388" s="33" t="n">
        <v>2484433.952</v>
      </c>
      <c r="S388" s="35" t="n">
        <v>0.00512148825396825</v>
      </c>
      <c r="T388" s="33" t="n">
        <v>4.60933942857143</v>
      </c>
      <c r="U388" s="33" t="n">
        <v>230.040180740741</v>
      </c>
      <c r="V388" s="33" t="n">
        <v>230.040180740741</v>
      </c>
      <c r="W388" s="33" t="n">
        <v>230.040180740741</v>
      </c>
      <c r="X388" s="33" t="n">
        <v>230.040180740741</v>
      </c>
      <c r="Y388" s="33" t="n">
        <v>230.040180740741</v>
      </c>
      <c r="Z388" s="33" t="n">
        <v>230.040180740741</v>
      </c>
      <c r="AA388" s="33" t="n">
        <v>230.040180740741</v>
      </c>
      <c r="AB388" s="33" t="n">
        <v>230.040180740741</v>
      </c>
      <c r="AC388" s="33" t="n">
        <v>230.040180740741</v>
      </c>
      <c r="AD388" s="33" t="n">
        <v>230.040180740741</v>
      </c>
      <c r="AE388" s="33" t="n">
        <v>230.040180740741</v>
      </c>
      <c r="AF388" s="33" t="n">
        <v>230.040180740741</v>
      </c>
    </row>
    <row r="389" ht="15" customHeight="1" s="176">
      <c r="A389" s="36" t="inlineStr">
        <is>
          <t>P-0386</t>
        </is>
      </c>
      <c r="B389" s="36" t="inlineStr">
        <is>
          <t>2026/27</t>
        </is>
      </c>
      <c r="C389" s="36" t="inlineStr">
        <is>
          <t>Santa Catalina</t>
        </is>
      </c>
      <c r="D389" s="37" t="inlineStr">
        <is>
          <t>eureka 14,4 ha</t>
        </is>
      </c>
      <c r="E389" s="36" t="inlineStr">
        <is>
          <t>Limon</t>
        </is>
      </c>
      <c r="F389" s="36" t="inlineStr">
        <is>
          <t>Eureka</t>
        </is>
      </c>
      <c r="G389" s="36" t="inlineStr">
        <is>
          <t>Producción</t>
        </is>
      </c>
      <c r="H389" s="38" t="n">
        <v>14.4</v>
      </c>
      <c r="I389" s="38" t="n">
        <v>14.4</v>
      </c>
      <c r="J389" s="36" t="inlineStr">
        <is>
          <t>Costo</t>
        </is>
      </c>
      <c r="K389" s="37" t="inlineStr">
        <is>
          <t>3- Gasto general</t>
        </is>
      </c>
      <c r="L389" s="37" t="inlineStr">
        <is>
          <t>3- COMBUSTIBLE Y ENERGIA</t>
        </is>
      </c>
      <c r="M389" s="37" t="inlineStr">
        <is>
          <t>consumo electrico</t>
        </is>
      </c>
      <c r="N389" s="36" t="n"/>
      <c r="O389" s="36" t="inlineStr">
        <is>
          <t>ha</t>
        </is>
      </c>
      <c r="P389" s="39" t="n">
        <v>143471.416666667</v>
      </c>
      <c r="Q389" s="40" t="n">
        <v>14.4</v>
      </c>
      <c r="R389" s="39" t="n">
        <v>20659057.60464</v>
      </c>
      <c r="S389" s="41" t="n">
        <v>0.0227723298111111</v>
      </c>
      <c r="T389" s="39" t="n">
        <v>20.49509683</v>
      </c>
      <c r="U389" s="39" t="n">
        <v>1912.87570413333</v>
      </c>
      <c r="V389" s="39" t="n">
        <v>1912.87570413333</v>
      </c>
      <c r="W389" s="39" t="n">
        <v>1912.87570413333</v>
      </c>
      <c r="X389" s="39" t="n">
        <v>1912.87570413333</v>
      </c>
      <c r="Y389" s="39" t="n">
        <v>1912.87570413333</v>
      </c>
      <c r="Z389" s="39" t="n">
        <v>1912.87570413333</v>
      </c>
      <c r="AA389" s="39" t="n">
        <v>1912.87570413333</v>
      </c>
      <c r="AB389" s="39" t="n">
        <v>1912.87570413333</v>
      </c>
      <c r="AC389" s="39" t="n">
        <v>1912.87570413333</v>
      </c>
      <c r="AD389" s="39" t="n">
        <v>1912.87570413333</v>
      </c>
      <c r="AE389" s="39" t="n">
        <v>1912.87570413333</v>
      </c>
      <c r="AF389" s="39" t="n">
        <v>1912.87570413333</v>
      </c>
    </row>
    <row r="390" ht="15" customHeight="1" s="176">
      <c r="A390" s="30" t="inlineStr">
        <is>
          <t>P-0387</t>
        </is>
      </c>
      <c r="B390" s="30" t="inlineStr">
        <is>
          <t>2026/27</t>
        </is>
      </c>
      <c r="C390" s="30" t="inlineStr">
        <is>
          <t>Santa Catalina</t>
        </is>
      </c>
      <c r="D390" s="31" t="inlineStr">
        <is>
          <t>eureka 14,4 ha</t>
        </is>
      </c>
      <c r="E390" s="30" t="inlineStr">
        <is>
          <t>Limon</t>
        </is>
      </c>
      <c r="F390" s="30" t="inlineStr">
        <is>
          <t>Eureka</t>
        </is>
      </c>
      <c r="G390" s="30" t="inlineStr">
        <is>
          <t>Producción</t>
        </is>
      </c>
      <c r="H390" s="32" t="n">
        <v>14.4</v>
      </c>
      <c r="I390" s="32" t="n">
        <v>14.4</v>
      </c>
      <c r="J390" s="30" t="inlineStr">
        <is>
          <t>Costo</t>
        </is>
      </c>
      <c r="K390" s="31" t="inlineStr">
        <is>
          <t>3- Gasto general</t>
        </is>
      </c>
      <c r="L390" s="31" t="inlineStr">
        <is>
          <t>3- COMBUSTIBLE Y ENERGIA</t>
        </is>
      </c>
      <c r="M390" s="31" t="inlineStr">
        <is>
          <t>diesel campo</t>
        </is>
      </c>
      <c r="N390" s="30" t="n"/>
      <c r="O390" s="30" t="inlineStr">
        <is>
          <t>ha</t>
        </is>
      </c>
      <c r="P390" s="33" t="n">
        <v>40433.5833333333</v>
      </c>
      <c r="Q390" s="34" t="n">
        <v>14.4</v>
      </c>
      <c r="R390" s="33" t="n">
        <v>5822203.10256</v>
      </c>
      <c r="S390" s="35" t="n">
        <v>0.00641777237936508</v>
      </c>
      <c r="T390" s="33" t="n">
        <v>5.77599514142857</v>
      </c>
      <c r="U390" s="33" t="n">
        <v>539.092879866667</v>
      </c>
      <c r="V390" s="33" t="n">
        <v>539.092879866667</v>
      </c>
      <c r="W390" s="33" t="n">
        <v>539.092879866667</v>
      </c>
      <c r="X390" s="33" t="n">
        <v>539.092879866667</v>
      </c>
      <c r="Y390" s="33" t="n">
        <v>539.092879866667</v>
      </c>
      <c r="Z390" s="33" t="n">
        <v>539.092879866667</v>
      </c>
      <c r="AA390" s="33" t="n">
        <v>539.092879866667</v>
      </c>
      <c r="AB390" s="33" t="n">
        <v>539.092879866667</v>
      </c>
      <c r="AC390" s="33" t="n">
        <v>539.092879866667</v>
      </c>
      <c r="AD390" s="33" t="n">
        <v>539.092879866667</v>
      </c>
      <c r="AE390" s="33" t="n">
        <v>539.092879866667</v>
      </c>
      <c r="AF390" s="33" t="n">
        <v>539.092879866667</v>
      </c>
    </row>
    <row r="391" ht="15" customHeight="1" s="176">
      <c r="A391" s="36" t="inlineStr">
        <is>
          <t>P-0388</t>
        </is>
      </c>
      <c r="B391" s="36" t="inlineStr">
        <is>
          <t>2026/27</t>
        </is>
      </c>
      <c r="C391" s="36" t="inlineStr">
        <is>
          <t>Santa Catalina</t>
        </is>
      </c>
      <c r="D391" s="37" t="inlineStr">
        <is>
          <t>eureka 14,4 ha</t>
        </is>
      </c>
      <c r="E391" s="36" t="inlineStr">
        <is>
          <t>Limon</t>
        </is>
      </c>
      <c r="F391" s="36" t="inlineStr">
        <is>
          <t>Eureka</t>
        </is>
      </c>
      <c r="G391" s="36" t="inlineStr">
        <is>
          <t>Producción</t>
        </is>
      </c>
      <c r="H391" s="38" t="n">
        <v>14.4</v>
      </c>
      <c r="I391" s="38" t="n">
        <v>14.4</v>
      </c>
      <c r="J391" s="36" t="inlineStr">
        <is>
          <t>Costo</t>
        </is>
      </c>
      <c r="K391" s="37" t="inlineStr">
        <is>
          <t>3- Gasto general</t>
        </is>
      </c>
      <c r="L391" s="37" t="inlineStr">
        <is>
          <t>3- COMBUSTIBLE Y ENERGIA</t>
        </is>
      </c>
      <c r="M391" s="37" t="inlineStr">
        <is>
          <t>diesel  zanjon 14l/hr</t>
        </is>
      </c>
      <c r="N391" s="36" t="inlineStr">
        <is>
          <t>día</t>
        </is>
      </c>
      <c r="O391" s="36" t="inlineStr">
        <is>
          <t>ha</t>
        </is>
      </c>
      <c r="P391" s="39" t="n">
        <v>76262</v>
      </c>
      <c r="Q391" s="40" t="n">
        <v>14.4</v>
      </c>
      <c r="R391" s="39" t="n">
        <v>10977335.3088</v>
      </c>
      <c r="S391" s="41" t="n">
        <v>0.0121002373333333</v>
      </c>
      <c r="T391" s="39" t="n">
        <v>10.8902136</v>
      </c>
      <c r="U391" s="39" t="n">
        <v>1016.419936</v>
      </c>
      <c r="V391" s="39" t="n">
        <v>1016.419936</v>
      </c>
      <c r="W391" s="39" t="n">
        <v>1016.419936</v>
      </c>
      <c r="X391" s="39" t="n">
        <v>1016.419936</v>
      </c>
      <c r="Y391" s="39" t="n">
        <v>1016.419936</v>
      </c>
      <c r="Z391" s="39" t="n">
        <v>1016.419936</v>
      </c>
      <c r="AA391" s="39" t="n">
        <v>1016.419936</v>
      </c>
      <c r="AB391" s="39" t="n">
        <v>1016.419936</v>
      </c>
      <c r="AC391" s="39" t="n">
        <v>1016.419936</v>
      </c>
      <c r="AD391" s="39" t="n">
        <v>1016.419936</v>
      </c>
      <c r="AE391" s="39" t="n">
        <v>1016.419936</v>
      </c>
      <c r="AF391" s="39" t="n">
        <v>1016.419936</v>
      </c>
    </row>
    <row r="392" ht="15" customHeight="1" s="176">
      <c r="A392" s="30" t="inlineStr">
        <is>
          <t>P-0389</t>
        </is>
      </c>
      <c r="B392" s="30" t="inlineStr">
        <is>
          <t>2026/27</t>
        </is>
      </c>
      <c r="C392" s="30" t="inlineStr">
        <is>
          <t>Santa Catalina</t>
        </is>
      </c>
      <c r="D392" s="31" t="inlineStr">
        <is>
          <t>eureka 14,4 ha</t>
        </is>
      </c>
      <c r="E392" s="30" t="inlineStr">
        <is>
          <t>Limon</t>
        </is>
      </c>
      <c r="F392" s="30" t="inlineStr">
        <is>
          <t>Eureka</t>
        </is>
      </c>
      <c r="G392" s="30" t="inlineStr">
        <is>
          <t>Producción</t>
        </is>
      </c>
      <c r="H392" s="32" t="n">
        <v>14.4</v>
      </c>
      <c r="I392" s="32" t="n">
        <v>14.4</v>
      </c>
      <c r="J392" s="30" t="inlineStr">
        <is>
          <t>Costo</t>
        </is>
      </c>
      <c r="K392" s="31" t="inlineStr">
        <is>
          <t>3- Gasto general</t>
        </is>
      </c>
      <c r="L392" s="31" t="inlineStr">
        <is>
          <t>3,1 - COMBUSTIBLE  ZANJON</t>
        </is>
      </c>
      <c r="M392" s="31" t="inlineStr">
        <is>
          <t>Compra agua zanjon</t>
        </is>
      </c>
      <c r="N392" s="30" t="inlineStr">
        <is>
          <t>m3</t>
        </is>
      </c>
      <c r="O392" s="30" t="inlineStr">
        <is>
          <t>m3</t>
        </is>
      </c>
      <c r="P392" s="33" t="n">
        <v>230</v>
      </c>
      <c r="Q392" s="34" t="n">
        <v>9670.12252591895</v>
      </c>
      <c r="R392" s="33" t="n">
        <v>22232385.2968897</v>
      </c>
      <c r="S392" s="35" t="n">
        <v>0.0245065975494816</v>
      </c>
      <c r="T392" s="33" t="n">
        <v>22.0559377945335</v>
      </c>
      <c r="U392" s="33" t="n">
        <v>2058.55419415646</v>
      </c>
      <c r="V392" s="33" t="n">
        <v>2058.55419415646</v>
      </c>
      <c r="W392" s="33" t="n">
        <v>2058.55419415646</v>
      </c>
      <c r="X392" s="33" t="n">
        <v>2058.55419415646</v>
      </c>
      <c r="Y392" s="33" t="n">
        <v>2058.55419415646</v>
      </c>
      <c r="Z392" s="33" t="n">
        <v>2058.55419415646</v>
      </c>
      <c r="AA392" s="33" t="n">
        <v>2058.55419415646</v>
      </c>
      <c r="AB392" s="33" t="n">
        <v>2058.55419415646</v>
      </c>
      <c r="AC392" s="33" t="n">
        <v>2058.55419415646</v>
      </c>
      <c r="AD392" s="33" t="n">
        <v>2058.55419415646</v>
      </c>
      <c r="AE392" s="33" t="n">
        <v>2058.55419415646</v>
      </c>
      <c r="AF392" s="33" t="n">
        <v>2058.55419415646</v>
      </c>
    </row>
    <row r="393" ht="15" customHeight="1" s="176">
      <c r="A393" s="36" t="inlineStr">
        <is>
          <t>P-0390</t>
        </is>
      </c>
      <c r="B393" s="36" t="inlineStr">
        <is>
          <t>2026/27</t>
        </is>
      </c>
      <c r="C393" s="36" t="inlineStr">
        <is>
          <t>Santa Catalina</t>
        </is>
      </c>
      <c r="D393" s="37" t="inlineStr">
        <is>
          <t>eureka 14,4 ha</t>
        </is>
      </c>
      <c r="E393" s="36" t="inlineStr">
        <is>
          <t>Limon</t>
        </is>
      </c>
      <c r="F393" s="36" t="inlineStr">
        <is>
          <t>Eureka</t>
        </is>
      </c>
      <c r="G393" s="36" t="inlineStr">
        <is>
          <t>Producción</t>
        </is>
      </c>
      <c r="H393" s="38" t="n">
        <v>14.4</v>
      </c>
      <c r="I393" s="38" t="n">
        <v>14.4</v>
      </c>
      <c r="J393" s="36" t="inlineStr">
        <is>
          <t>Costo</t>
        </is>
      </c>
      <c r="K393" s="37" t="inlineStr">
        <is>
          <t>3- Gasto general</t>
        </is>
      </c>
      <c r="L393" s="37" t="inlineStr">
        <is>
          <t>3- COMBUSTIBLE Y ENERGIA</t>
        </is>
      </c>
      <c r="M393" s="37" t="inlineStr">
        <is>
          <t>cuota embalse cogoti</t>
        </is>
      </c>
      <c r="N393" s="36" t="n"/>
      <c r="O393" s="36" t="inlineStr">
        <is>
          <t>ha</t>
        </is>
      </c>
      <c r="P393" s="39" t="n">
        <v>32266.6666666667</v>
      </c>
      <c r="Q393" s="40" t="n">
        <v>14.4</v>
      </c>
      <c r="R393" s="39" t="n">
        <v>4646214.144</v>
      </c>
      <c r="S393" s="41" t="n">
        <v>0.00512148825396825</v>
      </c>
      <c r="T393" s="39" t="n">
        <v>4.60933942857143</v>
      </c>
      <c r="U393" s="39" t="n">
        <v>430.205013333333</v>
      </c>
      <c r="V393" s="39" t="n">
        <v>430.205013333333</v>
      </c>
      <c r="W393" s="39" t="n">
        <v>430.205013333333</v>
      </c>
      <c r="X393" s="39" t="n">
        <v>430.205013333333</v>
      </c>
      <c r="Y393" s="39" t="n">
        <v>430.205013333333</v>
      </c>
      <c r="Z393" s="39" t="n">
        <v>430.205013333333</v>
      </c>
      <c r="AA393" s="39" t="n">
        <v>430.205013333333</v>
      </c>
      <c r="AB393" s="39" t="n">
        <v>430.205013333333</v>
      </c>
      <c r="AC393" s="39" t="n">
        <v>430.205013333333</v>
      </c>
      <c r="AD393" s="39" t="n">
        <v>430.205013333333</v>
      </c>
      <c r="AE393" s="39" t="n">
        <v>430.205013333333</v>
      </c>
      <c r="AF393" s="39" t="n">
        <v>430.205013333333</v>
      </c>
    </row>
    <row r="394" ht="15" customHeight="1" s="176">
      <c r="A394" s="30" t="inlineStr">
        <is>
          <t>P-0391</t>
        </is>
      </c>
      <c r="B394" s="30" t="inlineStr">
        <is>
          <t>2026/27</t>
        </is>
      </c>
      <c r="C394" s="30" t="inlineStr">
        <is>
          <t>Santa Catalina</t>
        </is>
      </c>
      <c r="D394" s="31" t="inlineStr">
        <is>
          <t>eureka 10,6 ha</t>
        </is>
      </c>
      <c r="E394" s="30" t="inlineStr">
        <is>
          <t>Limon</t>
        </is>
      </c>
      <c r="F394" s="30" t="inlineStr">
        <is>
          <t>Eureka</t>
        </is>
      </c>
      <c r="G394" s="30" t="inlineStr">
        <is>
          <t>Producción</t>
        </is>
      </c>
      <c r="H394" s="32" t="n">
        <v>10.6</v>
      </c>
      <c r="I394" s="32" t="n">
        <v>10.6</v>
      </c>
      <c r="J394" s="30" t="inlineStr">
        <is>
          <t>Costo</t>
        </is>
      </c>
      <c r="K394" s="31" t="inlineStr">
        <is>
          <t>3- Gasto general</t>
        </is>
      </c>
      <c r="L394" s="31" t="inlineStr">
        <is>
          <t>3- COMBUSTIBLE Y ENERGIA</t>
        </is>
      </c>
      <c r="M394" s="31" t="inlineStr">
        <is>
          <t>consumo electrico</t>
        </is>
      </c>
      <c r="N394" s="30" t="n"/>
      <c r="O394" s="30" t="inlineStr">
        <is>
          <t>ha</t>
        </is>
      </c>
      <c r="P394" s="33" t="n">
        <v>143471.416666667</v>
      </c>
      <c r="Q394" s="34" t="n">
        <v>10.6</v>
      </c>
      <c r="R394" s="33" t="n">
        <v>15207361.84786</v>
      </c>
      <c r="S394" s="35" t="n">
        <v>0.0227723298111111</v>
      </c>
      <c r="T394" s="33" t="n">
        <v>20.49509683</v>
      </c>
      <c r="U394" s="33" t="n">
        <v>1408.08905998704</v>
      </c>
      <c r="V394" s="33" t="n">
        <v>1408.08905998704</v>
      </c>
      <c r="W394" s="33" t="n">
        <v>1408.08905998704</v>
      </c>
      <c r="X394" s="33" t="n">
        <v>1408.08905998704</v>
      </c>
      <c r="Y394" s="33" t="n">
        <v>1408.08905998704</v>
      </c>
      <c r="Z394" s="33" t="n">
        <v>1408.08905998704</v>
      </c>
      <c r="AA394" s="33" t="n">
        <v>1408.08905998704</v>
      </c>
      <c r="AB394" s="33" t="n">
        <v>1408.08905998704</v>
      </c>
      <c r="AC394" s="33" t="n">
        <v>1408.08905998704</v>
      </c>
      <c r="AD394" s="33" t="n">
        <v>1408.08905998704</v>
      </c>
      <c r="AE394" s="33" t="n">
        <v>1408.08905998704</v>
      </c>
      <c r="AF394" s="33" t="n">
        <v>1408.08905998704</v>
      </c>
    </row>
    <row r="395" ht="15" customHeight="1" s="176">
      <c r="A395" s="36" t="inlineStr">
        <is>
          <t>P-0392</t>
        </is>
      </c>
      <c r="B395" s="36" t="inlineStr">
        <is>
          <t>2026/27</t>
        </is>
      </c>
      <c r="C395" s="36" t="inlineStr">
        <is>
          <t>Santa Catalina</t>
        </is>
      </c>
      <c r="D395" s="37" t="inlineStr">
        <is>
          <t>eureka 10,6 ha</t>
        </is>
      </c>
      <c r="E395" s="36" t="inlineStr">
        <is>
          <t>Limon</t>
        </is>
      </c>
      <c r="F395" s="36" t="inlineStr">
        <is>
          <t>Eureka</t>
        </is>
      </c>
      <c r="G395" s="36" t="inlineStr">
        <is>
          <t>Producción</t>
        </is>
      </c>
      <c r="H395" s="38" t="n">
        <v>10.6</v>
      </c>
      <c r="I395" s="38" t="n">
        <v>10.6</v>
      </c>
      <c r="J395" s="36" t="inlineStr">
        <is>
          <t>Costo</t>
        </is>
      </c>
      <c r="K395" s="37" t="inlineStr">
        <is>
          <t>3- Gasto general</t>
        </is>
      </c>
      <c r="L395" s="37" t="inlineStr">
        <is>
          <t>3- COMBUSTIBLE Y ENERGIA</t>
        </is>
      </c>
      <c r="M395" s="37" t="inlineStr">
        <is>
          <t>diesel campo</t>
        </is>
      </c>
      <c r="N395" s="36" t="n"/>
      <c r="O395" s="36" t="inlineStr">
        <is>
          <t>ha</t>
        </is>
      </c>
      <c r="P395" s="39" t="n">
        <v>40433.5833333333</v>
      </c>
      <c r="Q395" s="40" t="n">
        <v>10.6</v>
      </c>
      <c r="R395" s="39" t="n">
        <v>4285788.39494</v>
      </c>
      <c r="S395" s="41" t="n">
        <v>0.00641777237936508</v>
      </c>
      <c r="T395" s="39" t="n">
        <v>5.77599514142857</v>
      </c>
      <c r="U395" s="39" t="n">
        <v>396.832258790741</v>
      </c>
      <c r="V395" s="39" t="n">
        <v>396.832258790741</v>
      </c>
      <c r="W395" s="39" t="n">
        <v>396.832258790741</v>
      </c>
      <c r="X395" s="39" t="n">
        <v>396.832258790741</v>
      </c>
      <c r="Y395" s="39" t="n">
        <v>396.832258790741</v>
      </c>
      <c r="Z395" s="39" t="n">
        <v>396.832258790741</v>
      </c>
      <c r="AA395" s="39" t="n">
        <v>396.832258790741</v>
      </c>
      <c r="AB395" s="39" t="n">
        <v>396.832258790741</v>
      </c>
      <c r="AC395" s="39" t="n">
        <v>396.832258790741</v>
      </c>
      <c r="AD395" s="39" t="n">
        <v>396.832258790741</v>
      </c>
      <c r="AE395" s="39" t="n">
        <v>396.832258790741</v>
      </c>
      <c r="AF395" s="39" t="n">
        <v>396.832258790741</v>
      </c>
    </row>
    <row r="396" ht="15" customHeight="1" s="176">
      <c r="A396" s="30" t="inlineStr">
        <is>
          <t>P-0393</t>
        </is>
      </c>
      <c r="B396" s="30" t="inlineStr">
        <is>
          <t>2026/27</t>
        </is>
      </c>
      <c r="C396" s="30" t="inlineStr">
        <is>
          <t>Santa Catalina</t>
        </is>
      </c>
      <c r="D396" s="31" t="inlineStr">
        <is>
          <t>eureka 10,6 ha</t>
        </is>
      </c>
      <c r="E396" s="30" t="inlineStr">
        <is>
          <t>Limon</t>
        </is>
      </c>
      <c r="F396" s="30" t="inlineStr">
        <is>
          <t>Eureka</t>
        </is>
      </c>
      <c r="G396" s="30" t="inlineStr">
        <is>
          <t>Producción</t>
        </is>
      </c>
      <c r="H396" s="32" t="n">
        <v>10.6</v>
      </c>
      <c r="I396" s="32" t="n">
        <v>10.6</v>
      </c>
      <c r="J396" s="30" t="inlineStr">
        <is>
          <t>Costo</t>
        </is>
      </c>
      <c r="K396" s="31" t="inlineStr">
        <is>
          <t>3- Gasto general</t>
        </is>
      </c>
      <c r="L396" s="31" t="inlineStr">
        <is>
          <t>3- COMBUSTIBLE Y ENERGIA</t>
        </is>
      </c>
      <c r="M396" s="31" t="inlineStr">
        <is>
          <t>diesel  zanjon 14l/hr</t>
        </is>
      </c>
      <c r="N396" s="30" t="inlineStr">
        <is>
          <t>día</t>
        </is>
      </c>
      <c r="O396" s="30" t="inlineStr">
        <is>
          <t>ha</t>
        </is>
      </c>
      <c r="P396" s="33" t="n">
        <v>76262</v>
      </c>
      <c r="Q396" s="34" t="n">
        <v>10.6</v>
      </c>
      <c r="R396" s="33" t="n">
        <v>8080538.4912</v>
      </c>
      <c r="S396" s="35" t="n">
        <v>0.0121002373333333</v>
      </c>
      <c r="T396" s="33" t="n">
        <v>10.8902136</v>
      </c>
      <c r="U396" s="33" t="n">
        <v>748.198008444444</v>
      </c>
      <c r="V396" s="33" t="n">
        <v>748.198008444444</v>
      </c>
      <c r="W396" s="33" t="n">
        <v>748.198008444444</v>
      </c>
      <c r="X396" s="33" t="n">
        <v>748.198008444444</v>
      </c>
      <c r="Y396" s="33" t="n">
        <v>748.198008444444</v>
      </c>
      <c r="Z396" s="33" t="n">
        <v>748.198008444444</v>
      </c>
      <c r="AA396" s="33" t="n">
        <v>748.198008444444</v>
      </c>
      <c r="AB396" s="33" t="n">
        <v>748.198008444444</v>
      </c>
      <c r="AC396" s="33" t="n">
        <v>748.198008444444</v>
      </c>
      <c r="AD396" s="33" t="n">
        <v>748.198008444444</v>
      </c>
      <c r="AE396" s="33" t="n">
        <v>748.198008444444</v>
      </c>
      <c r="AF396" s="33" t="n">
        <v>748.198008444444</v>
      </c>
    </row>
    <row r="397" ht="15" customHeight="1" s="176">
      <c r="A397" s="36" t="inlineStr">
        <is>
          <t>P-0394</t>
        </is>
      </c>
      <c r="B397" s="36" t="inlineStr">
        <is>
          <t>2026/27</t>
        </is>
      </c>
      <c r="C397" s="36" t="inlineStr">
        <is>
          <t>Santa Catalina</t>
        </is>
      </c>
      <c r="D397" s="37" t="inlineStr">
        <is>
          <t>eureka 10,6 ha</t>
        </is>
      </c>
      <c r="E397" s="36" t="inlineStr">
        <is>
          <t>Limon</t>
        </is>
      </c>
      <c r="F397" s="36" t="inlineStr">
        <is>
          <t>Eureka</t>
        </is>
      </c>
      <c r="G397" s="36" t="inlineStr">
        <is>
          <t>Producción</t>
        </is>
      </c>
      <c r="H397" s="38" t="n">
        <v>10.6</v>
      </c>
      <c r="I397" s="38" t="n">
        <v>10.6</v>
      </c>
      <c r="J397" s="36" t="inlineStr">
        <is>
          <t>Costo</t>
        </is>
      </c>
      <c r="K397" s="37" t="inlineStr">
        <is>
          <t>3- Gasto general</t>
        </is>
      </c>
      <c r="L397" s="37" t="inlineStr">
        <is>
          <t>3,1 - COMBUSTIBLE  ZANJON</t>
        </is>
      </c>
      <c r="M397" s="37" t="inlineStr">
        <is>
          <t>Compra agua zanjon</t>
        </is>
      </c>
      <c r="N397" s="36" t="inlineStr">
        <is>
          <t>m3</t>
        </is>
      </c>
      <c r="O397" s="36" t="inlineStr">
        <is>
          <t>m3</t>
        </is>
      </c>
      <c r="P397" s="39" t="n">
        <v>230</v>
      </c>
      <c r="Q397" s="40" t="n">
        <v>7118.28463713478</v>
      </c>
      <c r="R397" s="39" t="n">
        <v>16365505.8435438</v>
      </c>
      <c r="S397" s="41" t="n">
        <v>0.0245065975494816</v>
      </c>
      <c r="T397" s="39" t="n">
        <v>22.0559377945335</v>
      </c>
      <c r="U397" s="39" t="n">
        <v>1515.32461514295</v>
      </c>
      <c r="V397" s="39" t="n">
        <v>1515.32461514295</v>
      </c>
      <c r="W397" s="39" t="n">
        <v>1515.32461514295</v>
      </c>
      <c r="X397" s="39" t="n">
        <v>1515.32461514295</v>
      </c>
      <c r="Y397" s="39" t="n">
        <v>1515.32461514295</v>
      </c>
      <c r="Z397" s="39" t="n">
        <v>1515.32461514295</v>
      </c>
      <c r="AA397" s="39" t="n">
        <v>1515.32461514295</v>
      </c>
      <c r="AB397" s="39" t="n">
        <v>1515.32461514295</v>
      </c>
      <c r="AC397" s="39" t="n">
        <v>1515.32461514295</v>
      </c>
      <c r="AD397" s="39" t="n">
        <v>1515.32461514295</v>
      </c>
      <c r="AE397" s="39" t="n">
        <v>1515.32461514295</v>
      </c>
      <c r="AF397" s="39" t="n">
        <v>1515.32461514295</v>
      </c>
    </row>
    <row r="398" ht="15" customHeight="1" s="176">
      <c r="A398" s="30" t="inlineStr">
        <is>
          <t>P-0395</t>
        </is>
      </c>
      <c r="B398" s="30" t="inlineStr">
        <is>
          <t>2026/27</t>
        </is>
      </c>
      <c r="C398" s="30" t="inlineStr">
        <is>
          <t>Santa Catalina</t>
        </is>
      </c>
      <c r="D398" s="31" t="inlineStr">
        <is>
          <t>eureka 10,6 ha</t>
        </is>
      </c>
      <c r="E398" s="30" t="inlineStr">
        <is>
          <t>Limon</t>
        </is>
      </c>
      <c r="F398" s="30" t="inlineStr">
        <is>
          <t>Eureka</t>
        </is>
      </c>
      <c r="G398" s="30" t="inlineStr">
        <is>
          <t>Producción</t>
        </is>
      </c>
      <c r="H398" s="32" t="n">
        <v>10.6</v>
      </c>
      <c r="I398" s="32" t="n">
        <v>10.6</v>
      </c>
      <c r="J398" s="30" t="inlineStr">
        <is>
          <t>Costo</t>
        </is>
      </c>
      <c r="K398" s="31" t="inlineStr">
        <is>
          <t>3- Gasto general</t>
        </is>
      </c>
      <c r="L398" s="31" t="inlineStr">
        <is>
          <t>3- COMBUSTIBLE Y ENERGIA</t>
        </is>
      </c>
      <c r="M398" s="31" t="inlineStr">
        <is>
          <t>cuota embalse cogoti</t>
        </is>
      </c>
      <c r="N398" s="30" t="n"/>
      <c r="O398" s="30" t="inlineStr">
        <is>
          <t>ha</t>
        </is>
      </c>
      <c r="P398" s="33" t="n">
        <v>32266.6666666667</v>
      </c>
      <c r="Q398" s="34" t="n">
        <v>10.6</v>
      </c>
      <c r="R398" s="33" t="n">
        <v>3420129.856</v>
      </c>
      <c r="S398" s="35" t="n">
        <v>0.00512148825396826</v>
      </c>
      <c r="T398" s="33" t="n">
        <v>4.60933942857143</v>
      </c>
      <c r="U398" s="33" t="n">
        <v>316.67869037037</v>
      </c>
      <c r="V398" s="33" t="n">
        <v>316.67869037037</v>
      </c>
      <c r="W398" s="33" t="n">
        <v>316.67869037037</v>
      </c>
      <c r="X398" s="33" t="n">
        <v>316.67869037037</v>
      </c>
      <c r="Y398" s="33" t="n">
        <v>316.67869037037</v>
      </c>
      <c r="Z398" s="33" t="n">
        <v>316.67869037037</v>
      </c>
      <c r="AA398" s="33" t="n">
        <v>316.67869037037</v>
      </c>
      <c r="AB398" s="33" t="n">
        <v>316.67869037037</v>
      </c>
      <c r="AC398" s="33" t="n">
        <v>316.67869037037</v>
      </c>
      <c r="AD398" s="33" t="n">
        <v>316.67869037037</v>
      </c>
      <c r="AE398" s="33" t="n">
        <v>316.67869037037</v>
      </c>
      <c r="AF398" s="33" t="n">
        <v>316.67869037037</v>
      </c>
    </row>
    <row r="399" ht="15" customHeight="1" s="176">
      <c r="A399" s="36" t="inlineStr">
        <is>
          <t>P-0396</t>
        </is>
      </c>
      <c r="B399" s="36" t="inlineStr">
        <is>
          <t>2026/27</t>
        </is>
      </c>
      <c r="C399" s="36" t="inlineStr">
        <is>
          <t>Santa Catalina</t>
        </is>
      </c>
      <c r="D399" s="37" t="inlineStr">
        <is>
          <t>form benjamin 1,93 ha</t>
        </is>
      </c>
      <c r="E399" s="36" t="inlineStr">
        <is>
          <t>Limon</t>
        </is>
      </c>
      <c r="F399" s="36" t="inlineStr">
        <is>
          <t>Benjamin andes</t>
        </is>
      </c>
      <c r="G399" s="36" t="inlineStr">
        <is>
          <t>Formación</t>
        </is>
      </c>
      <c r="H399" s="38" t="n">
        <v>1.93</v>
      </c>
      <c r="I399" s="38" t="n">
        <v>0</v>
      </c>
      <c r="J399" s="36" t="inlineStr">
        <is>
          <t>Costo</t>
        </is>
      </c>
      <c r="K399" s="37" t="inlineStr">
        <is>
          <t>1- M.O. directa</t>
        </is>
      </c>
      <c r="L399" s="37" t="inlineStr">
        <is>
          <t>3- Selección</t>
        </is>
      </c>
      <c r="M399" s="37" t="inlineStr">
        <is>
          <t>5 jh/seleccion (20/kg)</t>
        </is>
      </c>
      <c r="N399" s="36" t="inlineStr">
        <is>
          <t>trato</t>
        </is>
      </c>
      <c r="O399" s="36" t="inlineStr">
        <is>
          <t>kg</t>
        </is>
      </c>
      <c r="P399" s="39" t="n">
        <v>18</v>
      </c>
      <c r="Q399" s="40" t="n">
        <v>0</v>
      </c>
      <c r="R399" s="39" t="n">
        <v>0</v>
      </c>
      <c r="S399" s="41" t="n">
        <v>0</v>
      </c>
      <c r="T399" s="39" t="n">
        <v>0</v>
      </c>
      <c r="U399" s="39" t="n">
        <v>0</v>
      </c>
      <c r="V399" s="39" t="n">
        <v>0</v>
      </c>
      <c r="W399" s="39" t="n">
        <v>0</v>
      </c>
      <c r="X399" s="39" t="n">
        <v>0</v>
      </c>
      <c r="Y399" s="39" t="n">
        <v>0</v>
      </c>
      <c r="Z399" s="39" t="n">
        <v>0</v>
      </c>
      <c r="AA399" s="39" t="n">
        <v>0</v>
      </c>
      <c r="AB399" s="39" t="n">
        <v>0</v>
      </c>
      <c r="AC399" s="39" t="n">
        <v>0</v>
      </c>
      <c r="AD399" s="39" t="n">
        <v>0</v>
      </c>
      <c r="AE399" s="39" t="n">
        <v>0</v>
      </c>
      <c r="AF399" s="39" t="n">
        <v>0</v>
      </c>
    </row>
    <row r="400" ht="15" customHeight="1" s="176">
      <c r="A400" s="30" t="inlineStr">
        <is>
          <t>P-0397</t>
        </is>
      </c>
      <c r="B400" s="30" t="inlineStr">
        <is>
          <t>2026/27</t>
        </is>
      </c>
      <c r="C400" s="30" t="inlineStr">
        <is>
          <t>Santa Catalina</t>
        </is>
      </c>
      <c r="D400" s="31" t="inlineStr">
        <is>
          <t>eureka 22,55</t>
        </is>
      </c>
      <c r="E400" s="30" t="inlineStr">
        <is>
          <t>Limon</t>
        </is>
      </c>
      <c r="F400" s="30" t="inlineStr">
        <is>
          <t>Eureka</t>
        </is>
      </c>
      <c r="G400" s="30" t="inlineStr">
        <is>
          <t>Producción</t>
        </is>
      </c>
      <c r="H400" s="32" t="n">
        <v>22.55</v>
      </c>
      <c r="I400" s="32" t="n">
        <v>22.55</v>
      </c>
      <c r="J400" s="30" t="inlineStr">
        <is>
          <t>Costo</t>
        </is>
      </c>
      <c r="K400" s="31" t="inlineStr">
        <is>
          <t>1- M.O. directa</t>
        </is>
      </c>
      <c r="L400" s="31" t="inlineStr">
        <is>
          <t>3- Selección</t>
        </is>
      </c>
      <c r="M400" s="31" t="inlineStr">
        <is>
          <t>5 jh/seleccion (20/kg)</t>
        </is>
      </c>
      <c r="N400" s="30" t="inlineStr">
        <is>
          <t>trato</t>
        </is>
      </c>
      <c r="O400" s="30" t="inlineStr">
        <is>
          <t>kg</t>
        </is>
      </c>
      <c r="P400" s="33" t="n">
        <v>18</v>
      </c>
      <c r="Q400" s="34" t="n">
        <v>1578500</v>
      </c>
      <c r="R400" s="33" t="n">
        <v>28413000</v>
      </c>
      <c r="S400" s="35" t="n">
        <v>0.02</v>
      </c>
      <c r="T400" s="33" t="n">
        <v>18</v>
      </c>
      <c r="U400" s="33" t="n">
        <v>3788.4</v>
      </c>
      <c r="V400" s="33" t="n">
        <v>3788.4</v>
      </c>
      <c r="W400" s="33" t="n">
        <v>4735.5</v>
      </c>
      <c r="X400" s="33" t="n">
        <v>4735.5</v>
      </c>
      <c r="Y400" s="33" t="n">
        <v>2525.6</v>
      </c>
      <c r="Z400" s="33" t="n">
        <v>2525.6</v>
      </c>
      <c r="AA400" s="33" t="n">
        <v>2209.9</v>
      </c>
      <c r="AB400" s="33" t="n">
        <v>2209.9</v>
      </c>
      <c r="AC400" s="33" t="n">
        <v>2209.9</v>
      </c>
      <c r="AD400" s="33" t="n">
        <v>1578.5</v>
      </c>
      <c r="AE400" s="33" t="n">
        <v>631.4</v>
      </c>
      <c r="AF400" s="33" t="n">
        <v>631.4</v>
      </c>
    </row>
    <row r="401" ht="15" customHeight="1" s="176">
      <c r="A401" s="36" t="inlineStr">
        <is>
          <t>P-0398</t>
        </is>
      </c>
      <c r="B401" s="36" t="inlineStr">
        <is>
          <t>2026/27</t>
        </is>
      </c>
      <c r="C401" s="36" t="inlineStr">
        <is>
          <t>Santa Catalina</t>
        </is>
      </c>
      <c r="D401" s="37" t="inlineStr">
        <is>
          <t>mant eureka 2,5 ha</t>
        </is>
      </c>
      <c r="E401" s="36" t="inlineStr">
        <is>
          <t>Limon</t>
        </is>
      </c>
      <c r="F401" s="36" t="inlineStr">
        <is>
          <t>Eureka</t>
        </is>
      </c>
      <c r="G401" s="36" t="inlineStr">
        <is>
          <t>Mantención</t>
        </is>
      </c>
      <c r="H401" s="38" t="n">
        <v>2.5</v>
      </c>
      <c r="I401" s="38" t="n">
        <v>0</v>
      </c>
      <c r="J401" s="36" t="inlineStr">
        <is>
          <t>Costo</t>
        </is>
      </c>
      <c r="K401" s="37" t="inlineStr">
        <is>
          <t>1- M.O. directa</t>
        </is>
      </c>
      <c r="L401" s="37" t="inlineStr">
        <is>
          <t>3- Selección</t>
        </is>
      </c>
      <c r="M401" s="37" t="inlineStr">
        <is>
          <t>5 jh/seleccion (20/kg)</t>
        </is>
      </c>
      <c r="N401" s="36" t="inlineStr">
        <is>
          <t>trato</t>
        </is>
      </c>
      <c r="O401" s="36" t="inlineStr">
        <is>
          <t>kg</t>
        </is>
      </c>
      <c r="P401" s="39" t="n">
        <v>18</v>
      </c>
      <c r="Q401" s="40" t="n">
        <v>0</v>
      </c>
      <c r="R401" s="39" t="n">
        <v>0</v>
      </c>
      <c r="S401" s="41" t="n">
        <v>0</v>
      </c>
      <c r="T401" s="39" t="n">
        <v>0</v>
      </c>
      <c r="U401" s="39" t="n">
        <v>0</v>
      </c>
      <c r="V401" s="39" t="n">
        <v>0</v>
      </c>
      <c r="W401" s="39" t="n">
        <v>0</v>
      </c>
      <c r="X401" s="39" t="n">
        <v>0</v>
      </c>
      <c r="Y401" s="39" t="n">
        <v>0</v>
      </c>
      <c r="Z401" s="39" t="n">
        <v>0</v>
      </c>
      <c r="AA401" s="39" t="n">
        <v>0</v>
      </c>
      <c r="AB401" s="39" t="n">
        <v>0</v>
      </c>
      <c r="AC401" s="39" t="n">
        <v>0</v>
      </c>
      <c r="AD401" s="39" t="n">
        <v>0</v>
      </c>
      <c r="AE401" s="39" t="n">
        <v>0</v>
      </c>
      <c r="AF401" s="39" t="n">
        <v>0</v>
      </c>
    </row>
    <row r="402" ht="15" customHeight="1" s="176">
      <c r="A402" s="30" t="inlineStr">
        <is>
          <t>P-0399</t>
        </is>
      </c>
      <c r="B402" s="30" t="inlineStr">
        <is>
          <t>2026/27</t>
        </is>
      </c>
      <c r="C402" s="30" t="inlineStr">
        <is>
          <t>Santa Catalina</t>
        </is>
      </c>
      <c r="D402" s="31" t="inlineStr">
        <is>
          <t>Fino 49 7,7 ha</t>
        </is>
      </c>
      <c r="E402" s="30" t="inlineStr">
        <is>
          <t>Limon</t>
        </is>
      </c>
      <c r="F402" s="30" t="inlineStr">
        <is>
          <t>Fino 49</t>
        </is>
      </c>
      <c r="G402" s="30" t="inlineStr">
        <is>
          <t>Producción</t>
        </is>
      </c>
      <c r="H402" s="32" t="n">
        <v>7.7</v>
      </c>
      <c r="I402" s="32" t="n">
        <v>7.7</v>
      </c>
      <c r="J402" s="30" t="inlineStr">
        <is>
          <t>Costo</t>
        </is>
      </c>
      <c r="K402" s="31" t="inlineStr">
        <is>
          <t>1- M.O. directa</t>
        </is>
      </c>
      <c r="L402" s="31" t="inlineStr">
        <is>
          <t>3- Selección</t>
        </is>
      </c>
      <c r="M402" s="31" t="inlineStr">
        <is>
          <t>5 jh/seleccion (20/kg)</t>
        </is>
      </c>
      <c r="N402" s="30" t="inlineStr">
        <is>
          <t>trato</t>
        </is>
      </c>
      <c r="O402" s="30" t="inlineStr">
        <is>
          <t>kg</t>
        </is>
      </c>
      <c r="P402" s="33" t="n">
        <v>18</v>
      </c>
      <c r="Q402" s="34" t="n">
        <v>539000</v>
      </c>
      <c r="R402" s="33" t="n">
        <v>9702000</v>
      </c>
      <c r="S402" s="35" t="n">
        <v>0.02</v>
      </c>
      <c r="T402" s="33" t="n">
        <v>18</v>
      </c>
      <c r="U402" s="33" t="n">
        <v>1293.6</v>
      </c>
      <c r="V402" s="33" t="n">
        <v>1293.6</v>
      </c>
      <c r="W402" s="33" t="n">
        <v>1617</v>
      </c>
      <c r="X402" s="33" t="n">
        <v>1617</v>
      </c>
      <c r="Y402" s="33" t="n">
        <v>862.4</v>
      </c>
      <c r="Z402" s="33" t="n">
        <v>862.4</v>
      </c>
      <c r="AA402" s="33" t="n">
        <v>754.6</v>
      </c>
      <c r="AB402" s="33" t="n">
        <v>754.6</v>
      </c>
      <c r="AC402" s="33" t="n">
        <v>754.6</v>
      </c>
      <c r="AD402" s="33" t="n">
        <v>539</v>
      </c>
      <c r="AE402" s="33" t="n">
        <v>215.6</v>
      </c>
      <c r="AF402" s="33" t="n">
        <v>215.6</v>
      </c>
    </row>
    <row r="403" ht="15" customHeight="1" s="176">
      <c r="A403" s="36" t="inlineStr">
        <is>
          <t>P-0400</t>
        </is>
      </c>
      <c r="B403" s="36" t="inlineStr">
        <is>
          <t>2026/27</t>
        </is>
      </c>
      <c r="C403" s="36" t="inlineStr">
        <is>
          <t>Santa Catalina</t>
        </is>
      </c>
      <c r="D403" s="37" t="inlineStr">
        <is>
          <t>eureka 14,4 ha</t>
        </is>
      </c>
      <c r="E403" s="36" t="inlineStr">
        <is>
          <t>Limon</t>
        </is>
      </c>
      <c r="F403" s="36" t="inlineStr">
        <is>
          <t>Eureka</t>
        </is>
      </c>
      <c r="G403" s="36" t="inlineStr">
        <is>
          <t>Producción</t>
        </is>
      </c>
      <c r="H403" s="38" t="n">
        <v>14.4</v>
      </c>
      <c r="I403" s="38" t="n">
        <v>14.4</v>
      </c>
      <c r="J403" s="36" t="inlineStr">
        <is>
          <t>Costo</t>
        </is>
      </c>
      <c r="K403" s="37" t="inlineStr">
        <is>
          <t>1- M.O. directa</t>
        </is>
      </c>
      <c r="L403" s="37" t="inlineStr">
        <is>
          <t>3- Selección</t>
        </is>
      </c>
      <c r="M403" s="37" t="inlineStr">
        <is>
          <t>5 jh/seleccion (20/kg)</t>
        </is>
      </c>
      <c r="N403" s="36" t="inlineStr">
        <is>
          <t>trato</t>
        </is>
      </c>
      <c r="O403" s="36" t="inlineStr">
        <is>
          <t>kg</t>
        </is>
      </c>
      <c r="P403" s="39" t="n">
        <v>18</v>
      </c>
      <c r="Q403" s="40" t="n">
        <v>1008000</v>
      </c>
      <c r="R403" s="39" t="n">
        <v>18144000</v>
      </c>
      <c r="S403" s="41" t="n">
        <v>0.02</v>
      </c>
      <c r="T403" s="39" t="n">
        <v>18</v>
      </c>
      <c r="U403" s="39" t="n">
        <v>2419.2</v>
      </c>
      <c r="V403" s="39" t="n">
        <v>2419.2</v>
      </c>
      <c r="W403" s="39" t="n">
        <v>3024</v>
      </c>
      <c r="X403" s="39" t="n">
        <v>3024</v>
      </c>
      <c r="Y403" s="39" t="n">
        <v>1612.8</v>
      </c>
      <c r="Z403" s="39" t="n">
        <v>1612.8</v>
      </c>
      <c r="AA403" s="39" t="n">
        <v>1411.2</v>
      </c>
      <c r="AB403" s="39" t="n">
        <v>1411.2</v>
      </c>
      <c r="AC403" s="39" t="n">
        <v>1411.2</v>
      </c>
      <c r="AD403" s="39" t="n">
        <v>1008</v>
      </c>
      <c r="AE403" s="39" t="n">
        <v>403.2</v>
      </c>
      <c r="AF403" s="39" t="n">
        <v>403.2</v>
      </c>
    </row>
    <row r="404" ht="15" customHeight="1" s="176">
      <c r="A404" s="30" t="inlineStr">
        <is>
          <t>P-0401</t>
        </is>
      </c>
      <c r="B404" s="30" t="inlineStr">
        <is>
          <t>2026/27</t>
        </is>
      </c>
      <c r="C404" s="30" t="inlineStr">
        <is>
          <t>Santa Catalina</t>
        </is>
      </c>
      <c r="D404" s="31" t="inlineStr">
        <is>
          <t>eureka 10,6 ha</t>
        </is>
      </c>
      <c r="E404" s="30" t="inlineStr">
        <is>
          <t>Limon</t>
        </is>
      </c>
      <c r="F404" s="30" t="inlineStr">
        <is>
          <t>Eureka</t>
        </is>
      </c>
      <c r="G404" s="30" t="inlineStr">
        <is>
          <t>Producción</t>
        </is>
      </c>
      <c r="H404" s="32" t="n">
        <v>10.6</v>
      </c>
      <c r="I404" s="32" t="n">
        <v>10.6</v>
      </c>
      <c r="J404" s="30" t="inlineStr">
        <is>
          <t>Costo</t>
        </is>
      </c>
      <c r="K404" s="31" t="inlineStr">
        <is>
          <t>1- M.O. directa</t>
        </is>
      </c>
      <c r="L404" s="31" t="inlineStr">
        <is>
          <t>3- Selección</t>
        </is>
      </c>
      <c r="M404" s="31" t="inlineStr">
        <is>
          <t>5 jh/seleccion (20/kg)</t>
        </is>
      </c>
      <c r="N404" s="30" t="inlineStr">
        <is>
          <t>trato</t>
        </is>
      </c>
      <c r="O404" s="30" t="inlineStr">
        <is>
          <t>kg</t>
        </is>
      </c>
      <c r="P404" s="33" t="n">
        <v>18</v>
      </c>
      <c r="Q404" s="34" t="n">
        <v>742000</v>
      </c>
      <c r="R404" s="33" t="n">
        <v>13356000</v>
      </c>
      <c r="S404" s="35" t="n">
        <v>0.02</v>
      </c>
      <c r="T404" s="33" t="n">
        <v>18</v>
      </c>
      <c r="U404" s="33" t="n">
        <v>1780.8</v>
      </c>
      <c r="V404" s="33" t="n">
        <v>1780.8</v>
      </c>
      <c r="W404" s="33" t="n">
        <v>2226</v>
      </c>
      <c r="X404" s="33" t="n">
        <v>2226</v>
      </c>
      <c r="Y404" s="33" t="n">
        <v>1187.2</v>
      </c>
      <c r="Z404" s="33" t="n">
        <v>1187.2</v>
      </c>
      <c r="AA404" s="33" t="n">
        <v>1038.8</v>
      </c>
      <c r="AB404" s="33" t="n">
        <v>1038.8</v>
      </c>
      <c r="AC404" s="33" t="n">
        <v>1038.8</v>
      </c>
      <c r="AD404" s="33" t="n">
        <v>742</v>
      </c>
      <c r="AE404" s="33" t="n">
        <v>296.8</v>
      </c>
      <c r="AF404" s="33" t="n">
        <v>296.8</v>
      </c>
    </row>
    <row r="405" ht="15" customHeight="1" s="176">
      <c r="A405" s="36" t="inlineStr">
        <is>
          <t>P-0402</t>
        </is>
      </c>
      <c r="B405" s="36" t="inlineStr">
        <is>
          <t>2026/27</t>
        </is>
      </c>
      <c r="C405" s="36" t="inlineStr">
        <is>
          <t>Santa Catalina</t>
        </is>
      </c>
      <c r="D405" s="37" t="inlineStr">
        <is>
          <t>form benjamin 1,93 ha</t>
        </is>
      </c>
      <c r="E405" s="36" t="inlineStr">
        <is>
          <t>Limon</t>
        </is>
      </c>
      <c r="F405" s="36" t="inlineStr">
        <is>
          <t>Benjamin andes</t>
        </is>
      </c>
      <c r="G405" s="36" t="inlineStr">
        <is>
          <t>Formación</t>
        </is>
      </c>
      <c r="H405" s="38" t="n">
        <v>1.93</v>
      </c>
      <c r="I405" s="38" t="n">
        <v>0</v>
      </c>
      <c r="J405" s="36" t="inlineStr">
        <is>
          <t>Costo</t>
        </is>
      </c>
      <c r="K405" s="37" t="inlineStr">
        <is>
          <t>1- M.O. directa</t>
        </is>
      </c>
      <c r="L405" s="37" t="inlineStr">
        <is>
          <t>3- Tractorista cosecha</t>
        </is>
      </c>
      <c r="M405" s="37" t="inlineStr">
        <is>
          <t>un tract.   para 30-40  jh</t>
        </is>
      </c>
      <c r="N405" s="36" t="inlineStr">
        <is>
          <t>día</t>
        </is>
      </c>
      <c r="O405" s="36" t="inlineStr">
        <is>
          <t>kg</t>
        </is>
      </c>
      <c r="P405" s="39" t="n">
        <v>3</v>
      </c>
      <c r="Q405" s="40" t="n">
        <v>0</v>
      </c>
      <c r="R405" s="39" t="n">
        <v>0</v>
      </c>
      <c r="S405" s="41" t="n">
        <v>0</v>
      </c>
      <c r="T405" s="39" t="n">
        <v>0</v>
      </c>
      <c r="U405" s="39" t="n">
        <v>0</v>
      </c>
      <c r="V405" s="39" t="n">
        <v>0</v>
      </c>
      <c r="W405" s="39" t="n">
        <v>0</v>
      </c>
      <c r="X405" s="39" t="n">
        <v>0</v>
      </c>
      <c r="Y405" s="39" t="n">
        <v>0</v>
      </c>
      <c r="Z405" s="39" t="n">
        <v>0</v>
      </c>
      <c r="AA405" s="39" t="n">
        <v>0</v>
      </c>
      <c r="AB405" s="39" t="n">
        <v>0</v>
      </c>
      <c r="AC405" s="39" t="n">
        <v>0</v>
      </c>
      <c r="AD405" s="39" t="n">
        <v>0</v>
      </c>
      <c r="AE405" s="39" t="n">
        <v>0</v>
      </c>
      <c r="AF405" s="39" t="n">
        <v>0</v>
      </c>
    </row>
    <row r="406" ht="15" customHeight="1" s="176">
      <c r="A406" s="30" t="inlineStr">
        <is>
          <t>P-0403</t>
        </is>
      </c>
      <c r="B406" s="30" t="inlineStr">
        <is>
          <t>2026/27</t>
        </is>
      </c>
      <c r="C406" s="30" t="inlineStr">
        <is>
          <t>Santa Catalina</t>
        </is>
      </c>
      <c r="D406" s="31" t="inlineStr">
        <is>
          <t>eureka 22,55</t>
        </is>
      </c>
      <c r="E406" s="30" t="inlineStr">
        <is>
          <t>Limon</t>
        </is>
      </c>
      <c r="F406" s="30" t="inlineStr">
        <is>
          <t>Eureka</t>
        </is>
      </c>
      <c r="G406" s="30" t="inlineStr">
        <is>
          <t>Producción</t>
        </is>
      </c>
      <c r="H406" s="32" t="n">
        <v>22.55</v>
      </c>
      <c r="I406" s="32" t="n">
        <v>22.55</v>
      </c>
      <c r="J406" s="30" t="inlineStr">
        <is>
          <t>Costo</t>
        </is>
      </c>
      <c r="K406" s="31" t="inlineStr">
        <is>
          <t>1- M.O. directa</t>
        </is>
      </c>
      <c r="L406" s="31" t="inlineStr">
        <is>
          <t>3- Tractorista cosecha</t>
        </is>
      </c>
      <c r="M406" s="31" t="inlineStr">
        <is>
          <t>un tract.   para 30-40  jh</t>
        </is>
      </c>
      <c r="N406" s="30" t="inlineStr">
        <is>
          <t>día</t>
        </is>
      </c>
      <c r="O406" s="30" t="inlineStr">
        <is>
          <t>kg</t>
        </is>
      </c>
      <c r="P406" s="33" t="n">
        <v>3</v>
      </c>
      <c r="Q406" s="34" t="n">
        <v>1578500</v>
      </c>
      <c r="R406" s="33" t="n">
        <v>4716558</v>
      </c>
      <c r="S406" s="35" t="n">
        <v>0.00332</v>
      </c>
      <c r="T406" s="33" t="n">
        <v>2.988</v>
      </c>
      <c r="U406" s="33" t="n">
        <v>436.718333333333</v>
      </c>
      <c r="V406" s="33" t="n">
        <v>436.718333333333</v>
      </c>
      <c r="W406" s="33" t="n">
        <v>436.718333333333</v>
      </c>
      <c r="X406" s="33" t="n">
        <v>436.718333333333</v>
      </c>
      <c r="Y406" s="33" t="n">
        <v>436.718333333333</v>
      </c>
      <c r="Z406" s="33" t="n">
        <v>436.718333333333</v>
      </c>
      <c r="AA406" s="33" t="n">
        <v>436.718333333333</v>
      </c>
      <c r="AB406" s="33" t="n">
        <v>436.718333333333</v>
      </c>
      <c r="AC406" s="33" t="n">
        <v>436.718333333333</v>
      </c>
      <c r="AD406" s="33" t="n">
        <v>436.718333333333</v>
      </c>
      <c r="AE406" s="33" t="n">
        <v>436.718333333333</v>
      </c>
      <c r="AF406" s="33" t="n">
        <v>436.718333333333</v>
      </c>
    </row>
    <row r="407" ht="15" customHeight="1" s="176">
      <c r="A407" s="36" t="inlineStr">
        <is>
          <t>P-0404</t>
        </is>
      </c>
      <c r="B407" s="36" t="inlineStr">
        <is>
          <t>2026/27</t>
        </is>
      </c>
      <c r="C407" s="36" t="inlineStr">
        <is>
          <t>Santa Catalina</t>
        </is>
      </c>
      <c r="D407" s="37" t="inlineStr">
        <is>
          <t>mant eureka 2,5 ha</t>
        </is>
      </c>
      <c r="E407" s="36" t="inlineStr">
        <is>
          <t>Limon</t>
        </is>
      </c>
      <c r="F407" s="36" t="inlineStr">
        <is>
          <t>Eureka</t>
        </is>
      </c>
      <c r="G407" s="36" t="inlineStr">
        <is>
          <t>Mantención</t>
        </is>
      </c>
      <c r="H407" s="38" t="n">
        <v>2.5</v>
      </c>
      <c r="I407" s="38" t="n">
        <v>0</v>
      </c>
      <c r="J407" s="36" t="inlineStr">
        <is>
          <t>Costo</t>
        </is>
      </c>
      <c r="K407" s="37" t="inlineStr">
        <is>
          <t>1- M.O. directa</t>
        </is>
      </c>
      <c r="L407" s="37" t="inlineStr">
        <is>
          <t>3- Tractorista cosecha</t>
        </is>
      </c>
      <c r="M407" s="37" t="inlineStr">
        <is>
          <t>un tract.   para 30-40  jh</t>
        </is>
      </c>
      <c r="N407" s="36" t="inlineStr">
        <is>
          <t>día</t>
        </is>
      </c>
      <c r="O407" s="36" t="inlineStr">
        <is>
          <t>kg</t>
        </is>
      </c>
      <c r="P407" s="39" t="n">
        <v>3</v>
      </c>
      <c r="Q407" s="40" t="n">
        <v>0</v>
      </c>
      <c r="R407" s="39" t="n">
        <v>0</v>
      </c>
      <c r="S407" s="41" t="n">
        <v>0</v>
      </c>
      <c r="T407" s="39" t="n">
        <v>0</v>
      </c>
      <c r="U407" s="39" t="n">
        <v>0</v>
      </c>
      <c r="V407" s="39" t="n">
        <v>0</v>
      </c>
      <c r="W407" s="39" t="n">
        <v>0</v>
      </c>
      <c r="X407" s="39" t="n">
        <v>0</v>
      </c>
      <c r="Y407" s="39" t="n">
        <v>0</v>
      </c>
      <c r="Z407" s="39" t="n">
        <v>0</v>
      </c>
      <c r="AA407" s="39" t="n">
        <v>0</v>
      </c>
      <c r="AB407" s="39" t="n">
        <v>0</v>
      </c>
      <c r="AC407" s="39" t="n">
        <v>0</v>
      </c>
      <c r="AD407" s="39" t="n">
        <v>0</v>
      </c>
      <c r="AE407" s="39" t="n">
        <v>0</v>
      </c>
      <c r="AF407" s="39" t="n">
        <v>0</v>
      </c>
    </row>
    <row r="408" ht="15" customHeight="1" s="176">
      <c r="A408" s="30" t="inlineStr">
        <is>
          <t>P-0405</t>
        </is>
      </c>
      <c r="B408" s="30" t="inlineStr">
        <is>
          <t>2026/27</t>
        </is>
      </c>
      <c r="C408" s="30" t="inlineStr">
        <is>
          <t>Santa Catalina</t>
        </is>
      </c>
      <c r="D408" s="31" t="inlineStr">
        <is>
          <t>Fino 49 7,7 ha</t>
        </is>
      </c>
      <c r="E408" s="30" t="inlineStr">
        <is>
          <t>Limon</t>
        </is>
      </c>
      <c r="F408" s="30" t="inlineStr">
        <is>
          <t>Fino 49</t>
        </is>
      </c>
      <c r="G408" s="30" t="inlineStr">
        <is>
          <t>Producción</t>
        </is>
      </c>
      <c r="H408" s="32" t="n">
        <v>7.7</v>
      </c>
      <c r="I408" s="32" t="n">
        <v>7.7</v>
      </c>
      <c r="J408" s="30" t="inlineStr">
        <is>
          <t>Costo</t>
        </is>
      </c>
      <c r="K408" s="31" t="inlineStr">
        <is>
          <t>1- M.O. directa</t>
        </is>
      </c>
      <c r="L408" s="31" t="inlineStr">
        <is>
          <t>3- Tractorista cosecha</t>
        </is>
      </c>
      <c r="M408" s="31" t="inlineStr">
        <is>
          <t>un tract.   para 30-40  jh</t>
        </is>
      </c>
      <c r="N408" s="30" t="inlineStr">
        <is>
          <t>día</t>
        </is>
      </c>
      <c r="O408" s="30" t="inlineStr">
        <is>
          <t>kg</t>
        </is>
      </c>
      <c r="P408" s="33" t="n">
        <v>3</v>
      </c>
      <c r="Q408" s="34" t="n">
        <v>539000</v>
      </c>
      <c r="R408" s="33" t="n">
        <v>1610532</v>
      </c>
      <c r="S408" s="35" t="n">
        <v>0.00332</v>
      </c>
      <c r="T408" s="33" t="n">
        <v>2.988</v>
      </c>
      <c r="U408" s="33" t="n">
        <v>149.123333333333</v>
      </c>
      <c r="V408" s="33" t="n">
        <v>149.123333333333</v>
      </c>
      <c r="W408" s="33" t="n">
        <v>149.123333333333</v>
      </c>
      <c r="X408" s="33" t="n">
        <v>149.123333333333</v>
      </c>
      <c r="Y408" s="33" t="n">
        <v>149.123333333333</v>
      </c>
      <c r="Z408" s="33" t="n">
        <v>149.123333333333</v>
      </c>
      <c r="AA408" s="33" t="n">
        <v>149.123333333333</v>
      </c>
      <c r="AB408" s="33" t="n">
        <v>149.123333333333</v>
      </c>
      <c r="AC408" s="33" t="n">
        <v>149.123333333333</v>
      </c>
      <c r="AD408" s="33" t="n">
        <v>149.123333333333</v>
      </c>
      <c r="AE408" s="33" t="n">
        <v>149.123333333333</v>
      </c>
      <c r="AF408" s="33" t="n">
        <v>149.123333333333</v>
      </c>
    </row>
    <row r="409" ht="15" customHeight="1" s="176">
      <c r="A409" s="36" t="inlineStr">
        <is>
          <t>P-0406</t>
        </is>
      </c>
      <c r="B409" s="36" t="inlineStr">
        <is>
          <t>2026/27</t>
        </is>
      </c>
      <c r="C409" s="36" t="inlineStr">
        <is>
          <t>Santa Catalina</t>
        </is>
      </c>
      <c r="D409" s="37" t="inlineStr">
        <is>
          <t>eureka 14,4 ha</t>
        </is>
      </c>
      <c r="E409" s="36" t="inlineStr">
        <is>
          <t>Limon</t>
        </is>
      </c>
      <c r="F409" s="36" t="inlineStr">
        <is>
          <t>Eureka</t>
        </is>
      </c>
      <c r="G409" s="36" t="inlineStr">
        <is>
          <t>Producción</t>
        </is>
      </c>
      <c r="H409" s="38" t="n">
        <v>14.4</v>
      </c>
      <c r="I409" s="38" t="n">
        <v>14.4</v>
      </c>
      <c r="J409" s="36" t="inlineStr">
        <is>
          <t>Costo</t>
        </is>
      </c>
      <c r="K409" s="37" t="inlineStr">
        <is>
          <t>1- M.O. directa</t>
        </is>
      </c>
      <c r="L409" s="37" t="inlineStr">
        <is>
          <t>3- Tractorista cosecha</t>
        </is>
      </c>
      <c r="M409" s="37" t="inlineStr">
        <is>
          <t>un tract.   para 30-40  jh</t>
        </is>
      </c>
      <c r="N409" s="36" t="inlineStr">
        <is>
          <t>día</t>
        </is>
      </c>
      <c r="O409" s="36" t="inlineStr">
        <is>
          <t>kg</t>
        </is>
      </c>
      <c r="P409" s="39" t="n">
        <v>3</v>
      </c>
      <c r="Q409" s="40" t="n">
        <v>1008000</v>
      </c>
      <c r="R409" s="39" t="n">
        <v>3011904</v>
      </c>
      <c r="S409" s="41" t="n">
        <v>0.00332</v>
      </c>
      <c r="T409" s="39" t="n">
        <v>2.988</v>
      </c>
      <c r="U409" s="39" t="n">
        <v>278.88</v>
      </c>
      <c r="V409" s="39" t="n">
        <v>278.88</v>
      </c>
      <c r="W409" s="39" t="n">
        <v>278.88</v>
      </c>
      <c r="X409" s="39" t="n">
        <v>278.88</v>
      </c>
      <c r="Y409" s="39" t="n">
        <v>278.88</v>
      </c>
      <c r="Z409" s="39" t="n">
        <v>278.88</v>
      </c>
      <c r="AA409" s="39" t="n">
        <v>278.88</v>
      </c>
      <c r="AB409" s="39" t="n">
        <v>278.88</v>
      </c>
      <c r="AC409" s="39" t="n">
        <v>278.88</v>
      </c>
      <c r="AD409" s="39" t="n">
        <v>278.88</v>
      </c>
      <c r="AE409" s="39" t="n">
        <v>278.88</v>
      </c>
      <c r="AF409" s="39" t="n">
        <v>278.88</v>
      </c>
    </row>
    <row r="410" ht="15" customHeight="1" s="176">
      <c r="A410" s="30" t="inlineStr">
        <is>
          <t>P-0407</t>
        </is>
      </c>
      <c r="B410" s="30" t="inlineStr">
        <is>
          <t>2026/27</t>
        </is>
      </c>
      <c r="C410" s="30" t="inlineStr">
        <is>
          <t>Santa Catalina</t>
        </is>
      </c>
      <c r="D410" s="31" t="inlineStr">
        <is>
          <t>eureka 10,6 ha</t>
        </is>
      </c>
      <c r="E410" s="30" t="inlineStr">
        <is>
          <t>Limon</t>
        </is>
      </c>
      <c r="F410" s="30" t="inlineStr">
        <is>
          <t>Eureka</t>
        </is>
      </c>
      <c r="G410" s="30" t="inlineStr">
        <is>
          <t>Producción</t>
        </is>
      </c>
      <c r="H410" s="32" t="n">
        <v>10.6</v>
      </c>
      <c r="I410" s="32" t="n">
        <v>10.6</v>
      </c>
      <c r="J410" s="30" t="inlineStr">
        <is>
          <t>Costo</t>
        </is>
      </c>
      <c r="K410" s="31" t="inlineStr">
        <is>
          <t>1- M.O. directa</t>
        </is>
      </c>
      <c r="L410" s="31" t="inlineStr">
        <is>
          <t>3- Tractorista cosecha</t>
        </is>
      </c>
      <c r="M410" s="31" t="inlineStr">
        <is>
          <t>un tract.   para 30-40  jh</t>
        </is>
      </c>
      <c r="N410" s="30" t="inlineStr">
        <is>
          <t>día</t>
        </is>
      </c>
      <c r="O410" s="30" t="inlineStr">
        <is>
          <t>kg</t>
        </is>
      </c>
      <c r="P410" s="33" t="n">
        <v>3</v>
      </c>
      <c r="Q410" s="34" t="n">
        <v>742000</v>
      </c>
      <c r="R410" s="33" t="n">
        <v>2217096</v>
      </c>
      <c r="S410" s="35" t="n">
        <v>0.00332</v>
      </c>
      <c r="T410" s="33" t="n">
        <v>2.988</v>
      </c>
      <c r="U410" s="33" t="n">
        <v>205.286666666667</v>
      </c>
      <c r="V410" s="33" t="n">
        <v>205.286666666667</v>
      </c>
      <c r="W410" s="33" t="n">
        <v>205.286666666667</v>
      </c>
      <c r="X410" s="33" t="n">
        <v>205.286666666667</v>
      </c>
      <c r="Y410" s="33" t="n">
        <v>205.286666666667</v>
      </c>
      <c r="Z410" s="33" t="n">
        <v>205.286666666667</v>
      </c>
      <c r="AA410" s="33" t="n">
        <v>205.286666666667</v>
      </c>
      <c r="AB410" s="33" t="n">
        <v>205.286666666667</v>
      </c>
      <c r="AC410" s="33" t="n">
        <v>205.286666666667</v>
      </c>
      <c r="AD410" s="33" t="n">
        <v>205.286666666667</v>
      </c>
      <c r="AE410" s="33" t="n">
        <v>205.286666666667</v>
      </c>
      <c r="AF410" s="33" t="n">
        <v>205.286666666667</v>
      </c>
    </row>
    <row r="411" ht="15" customHeight="1" s="176">
      <c r="A411" s="36" t="inlineStr">
        <is>
          <t>P-0408</t>
        </is>
      </c>
      <c r="B411" s="36" t="inlineStr">
        <is>
          <t>2026/27</t>
        </is>
      </c>
      <c r="C411" s="36" t="inlineStr">
        <is>
          <t>Santa Catalina</t>
        </is>
      </c>
      <c r="D411" s="37" t="inlineStr">
        <is>
          <t>form benjamin 1,93 ha</t>
        </is>
      </c>
      <c r="E411" s="36" t="inlineStr">
        <is>
          <t>Limon</t>
        </is>
      </c>
      <c r="F411" s="36" t="inlineStr">
        <is>
          <t>Benjamin andes</t>
        </is>
      </c>
      <c r="G411" s="36" t="inlineStr">
        <is>
          <t>Formación</t>
        </is>
      </c>
      <c r="H411" s="38" t="n">
        <v>1.93</v>
      </c>
      <c r="I411" s="38" t="n">
        <v>0</v>
      </c>
      <c r="J411" s="36" t="inlineStr">
        <is>
          <t>Costo</t>
        </is>
      </c>
      <c r="K411" s="37" t="inlineStr">
        <is>
          <t>2- M.O. indirecta</t>
        </is>
      </c>
      <c r="L411" s="37" t="inlineStr">
        <is>
          <t>3,1-  ENCARGADO DE RIEGO</t>
        </is>
      </c>
      <c r="M411" s="37" t="inlineStr">
        <is>
          <t>Operacion predio</t>
        </is>
      </c>
      <c r="N411" s="36" t="inlineStr">
        <is>
          <t>día</t>
        </is>
      </c>
      <c r="O411" s="36" t="inlineStr">
        <is>
          <t>ha</t>
        </is>
      </c>
      <c r="P411" s="39" t="n">
        <v>44618.0833333333</v>
      </c>
      <c r="Q411" s="40" t="n">
        <v>1.93</v>
      </c>
      <c r="R411" s="39" t="n">
        <v>860784.55673</v>
      </c>
      <c r="S411" s="41" t="n">
        <v>0</v>
      </c>
      <c r="T411" s="39" t="n">
        <v>0</v>
      </c>
      <c r="U411" s="39" t="n">
        <v>79.7022737712963</v>
      </c>
      <c r="V411" s="39" t="n">
        <v>79.7022737712963</v>
      </c>
      <c r="W411" s="39" t="n">
        <v>79.7022737712963</v>
      </c>
      <c r="X411" s="39" t="n">
        <v>79.7022737712963</v>
      </c>
      <c r="Y411" s="39" t="n">
        <v>79.7022737712963</v>
      </c>
      <c r="Z411" s="39" t="n">
        <v>79.7022737712963</v>
      </c>
      <c r="AA411" s="39" t="n">
        <v>79.7022737712963</v>
      </c>
      <c r="AB411" s="39" t="n">
        <v>79.7022737712963</v>
      </c>
      <c r="AC411" s="39" t="n">
        <v>79.7022737712963</v>
      </c>
      <c r="AD411" s="39" t="n">
        <v>79.7022737712963</v>
      </c>
      <c r="AE411" s="39" t="n">
        <v>79.7022737712963</v>
      </c>
      <c r="AF411" s="39" t="n">
        <v>79.7022737712963</v>
      </c>
    </row>
    <row r="412" ht="15" customHeight="1" s="176">
      <c r="A412" s="30" t="inlineStr">
        <is>
          <t>P-0409</t>
        </is>
      </c>
      <c r="B412" s="30" t="inlineStr">
        <is>
          <t>2026/27</t>
        </is>
      </c>
      <c r="C412" s="30" t="inlineStr">
        <is>
          <t>Santa Catalina</t>
        </is>
      </c>
      <c r="D412" s="31" t="inlineStr">
        <is>
          <t>eureka 22,55</t>
        </is>
      </c>
      <c r="E412" s="30" t="inlineStr">
        <is>
          <t>Limon</t>
        </is>
      </c>
      <c r="F412" s="30" t="inlineStr">
        <is>
          <t>Eureka</t>
        </is>
      </c>
      <c r="G412" s="30" t="inlineStr">
        <is>
          <t>Producción</t>
        </is>
      </c>
      <c r="H412" s="32" t="n">
        <v>22.55</v>
      </c>
      <c r="I412" s="32" t="n">
        <v>22.55</v>
      </c>
      <c r="J412" s="30" t="inlineStr">
        <is>
          <t>Costo</t>
        </is>
      </c>
      <c r="K412" s="31" t="inlineStr">
        <is>
          <t>2- M.O. indirecta</t>
        </is>
      </c>
      <c r="L412" s="31" t="inlineStr">
        <is>
          <t>3,1-  ENCARGADO DE RIEGO</t>
        </is>
      </c>
      <c r="M412" s="31" t="inlineStr">
        <is>
          <t>Operacion predio</t>
        </is>
      </c>
      <c r="N412" s="30" t="inlineStr">
        <is>
          <t>día</t>
        </is>
      </c>
      <c r="O412" s="30" t="inlineStr">
        <is>
          <t>ha</t>
        </is>
      </c>
      <c r="P412" s="33" t="n">
        <v>44618.0833333333</v>
      </c>
      <c r="Q412" s="34" t="n">
        <v>22.55</v>
      </c>
      <c r="R412" s="33" t="n">
        <v>10057353.24055</v>
      </c>
      <c r="S412" s="35" t="n">
        <v>0.00707940255555556</v>
      </c>
      <c r="T412" s="33" t="n">
        <v>6.3714623</v>
      </c>
      <c r="U412" s="33" t="n">
        <v>931.236411162037</v>
      </c>
      <c r="V412" s="33" t="n">
        <v>931.236411162037</v>
      </c>
      <c r="W412" s="33" t="n">
        <v>931.236411162037</v>
      </c>
      <c r="X412" s="33" t="n">
        <v>931.236411162037</v>
      </c>
      <c r="Y412" s="33" t="n">
        <v>931.236411162037</v>
      </c>
      <c r="Z412" s="33" t="n">
        <v>931.236411162037</v>
      </c>
      <c r="AA412" s="33" t="n">
        <v>931.236411162037</v>
      </c>
      <c r="AB412" s="33" t="n">
        <v>931.236411162037</v>
      </c>
      <c r="AC412" s="33" t="n">
        <v>931.236411162037</v>
      </c>
      <c r="AD412" s="33" t="n">
        <v>931.236411162037</v>
      </c>
      <c r="AE412" s="33" t="n">
        <v>931.236411162037</v>
      </c>
      <c r="AF412" s="33" t="n">
        <v>931.236411162037</v>
      </c>
    </row>
    <row r="413" ht="15" customHeight="1" s="176">
      <c r="A413" s="36" t="inlineStr">
        <is>
          <t>P-0410</t>
        </is>
      </c>
      <c r="B413" s="36" t="inlineStr">
        <is>
          <t>2026/27</t>
        </is>
      </c>
      <c r="C413" s="36" t="inlineStr">
        <is>
          <t>Santa Catalina</t>
        </is>
      </c>
      <c r="D413" s="37" t="inlineStr">
        <is>
          <t>mant eureka 2,5 ha</t>
        </is>
      </c>
      <c r="E413" s="36" t="inlineStr">
        <is>
          <t>Limon</t>
        </is>
      </c>
      <c r="F413" s="36" t="inlineStr">
        <is>
          <t>Eureka</t>
        </is>
      </c>
      <c r="G413" s="36" t="inlineStr">
        <is>
          <t>Mantención</t>
        </is>
      </c>
      <c r="H413" s="38" t="n">
        <v>2.5</v>
      </c>
      <c r="I413" s="38" t="n">
        <v>0</v>
      </c>
      <c r="J413" s="36" t="inlineStr">
        <is>
          <t>Costo</t>
        </is>
      </c>
      <c r="K413" s="37" t="inlineStr">
        <is>
          <t>2- M.O. indirecta</t>
        </is>
      </c>
      <c r="L413" s="37" t="inlineStr">
        <is>
          <t>3,1-  ENCARGADO DE RIEGO</t>
        </is>
      </c>
      <c r="M413" s="37" t="inlineStr">
        <is>
          <t>Operacion predio</t>
        </is>
      </c>
      <c r="N413" s="36" t="inlineStr">
        <is>
          <t>día</t>
        </is>
      </c>
      <c r="O413" s="36" t="inlineStr">
        <is>
          <t>ha</t>
        </is>
      </c>
      <c r="P413" s="39" t="n">
        <v>44618.0833333333</v>
      </c>
      <c r="Q413" s="40" t="n">
        <v>2.5</v>
      </c>
      <c r="R413" s="39" t="n">
        <v>1115005.9025</v>
      </c>
      <c r="S413" s="41" t="n">
        <v>0</v>
      </c>
      <c r="T413" s="39" t="n">
        <v>0</v>
      </c>
      <c r="U413" s="39" t="n">
        <v>103.241287268519</v>
      </c>
      <c r="V413" s="39" t="n">
        <v>103.241287268519</v>
      </c>
      <c r="W413" s="39" t="n">
        <v>103.241287268519</v>
      </c>
      <c r="X413" s="39" t="n">
        <v>103.241287268519</v>
      </c>
      <c r="Y413" s="39" t="n">
        <v>103.241287268519</v>
      </c>
      <c r="Z413" s="39" t="n">
        <v>103.241287268519</v>
      </c>
      <c r="AA413" s="39" t="n">
        <v>103.241287268519</v>
      </c>
      <c r="AB413" s="39" t="n">
        <v>103.241287268519</v>
      </c>
      <c r="AC413" s="39" t="n">
        <v>103.241287268519</v>
      </c>
      <c r="AD413" s="39" t="n">
        <v>103.241287268519</v>
      </c>
      <c r="AE413" s="39" t="n">
        <v>103.241287268519</v>
      </c>
      <c r="AF413" s="39" t="n">
        <v>103.241287268519</v>
      </c>
    </row>
    <row r="414" ht="15" customHeight="1" s="176">
      <c r="A414" s="30" t="inlineStr">
        <is>
          <t>P-0411</t>
        </is>
      </c>
      <c r="B414" s="30" t="inlineStr">
        <is>
          <t>2026/27</t>
        </is>
      </c>
      <c r="C414" s="30" t="inlineStr">
        <is>
          <t>Santa Catalina</t>
        </is>
      </c>
      <c r="D414" s="31" t="inlineStr">
        <is>
          <t>Fino 49 7,7 ha</t>
        </is>
      </c>
      <c r="E414" s="30" t="inlineStr">
        <is>
          <t>Limon</t>
        </is>
      </c>
      <c r="F414" s="30" t="inlineStr">
        <is>
          <t>Fino 49</t>
        </is>
      </c>
      <c r="G414" s="30" t="inlineStr">
        <is>
          <t>Producción</t>
        </is>
      </c>
      <c r="H414" s="32" t="n">
        <v>7.7</v>
      </c>
      <c r="I414" s="32" t="n">
        <v>7.7</v>
      </c>
      <c r="J414" s="30" t="inlineStr">
        <is>
          <t>Costo</t>
        </is>
      </c>
      <c r="K414" s="31" t="inlineStr">
        <is>
          <t>2- M.O. indirecta</t>
        </is>
      </c>
      <c r="L414" s="31" t="inlineStr">
        <is>
          <t>3,1-  ENCARGADO DE RIEGO</t>
        </is>
      </c>
      <c r="M414" s="31" t="inlineStr">
        <is>
          <t>Operacion predio</t>
        </is>
      </c>
      <c r="N414" s="30" t="inlineStr">
        <is>
          <t>día</t>
        </is>
      </c>
      <c r="O414" s="30" t="inlineStr">
        <is>
          <t>ha</t>
        </is>
      </c>
      <c r="P414" s="33" t="n">
        <v>44618.0833333333</v>
      </c>
      <c r="Q414" s="34" t="n">
        <v>7.7</v>
      </c>
      <c r="R414" s="33" t="n">
        <v>3434218.1797</v>
      </c>
      <c r="S414" s="35" t="n">
        <v>0.00707940255555556</v>
      </c>
      <c r="T414" s="33" t="n">
        <v>6.3714623</v>
      </c>
      <c r="U414" s="33" t="n">
        <v>317.983164787037</v>
      </c>
      <c r="V414" s="33" t="n">
        <v>317.983164787037</v>
      </c>
      <c r="W414" s="33" t="n">
        <v>317.983164787037</v>
      </c>
      <c r="X414" s="33" t="n">
        <v>317.983164787037</v>
      </c>
      <c r="Y414" s="33" t="n">
        <v>317.983164787037</v>
      </c>
      <c r="Z414" s="33" t="n">
        <v>317.983164787037</v>
      </c>
      <c r="AA414" s="33" t="n">
        <v>317.983164787037</v>
      </c>
      <c r="AB414" s="33" t="n">
        <v>317.983164787037</v>
      </c>
      <c r="AC414" s="33" t="n">
        <v>317.983164787037</v>
      </c>
      <c r="AD414" s="33" t="n">
        <v>317.983164787037</v>
      </c>
      <c r="AE414" s="33" t="n">
        <v>317.983164787037</v>
      </c>
      <c r="AF414" s="33" t="n">
        <v>317.983164787037</v>
      </c>
    </row>
    <row r="415" ht="15" customHeight="1" s="176">
      <c r="A415" s="36" t="inlineStr">
        <is>
          <t>P-0412</t>
        </is>
      </c>
      <c r="B415" s="36" t="inlineStr">
        <is>
          <t>2026/27</t>
        </is>
      </c>
      <c r="C415" s="36" t="inlineStr">
        <is>
          <t>Santa Catalina</t>
        </is>
      </c>
      <c r="D415" s="37" t="inlineStr">
        <is>
          <t>eureka 14,4 ha</t>
        </is>
      </c>
      <c r="E415" s="36" t="inlineStr">
        <is>
          <t>Limon</t>
        </is>
      </c>
      <c r="F415" s="36" t="inlineStr">
        <is>
          <t>Eureka</t>
        </is>
      </c>
      <c r="G415" s="36" t="inlineStr">
        <is>
          <t>Producción</t>
        </is>
      </c>
      <c r="H415" s="38" t="n">
        <v>14.4</v>
      </c>
      <c r="I415" s="38" t="n">
        <v>14.4</v>
      </c>
      <c r="J415" s="36" t="inlineStr">
        <is>
          <t>Costo</t>
        </is>
      </c>
      <c r="K415" s="37" t="inlineStr">
        <is>
          <t>2- M.O. indirecta</t>
        </is>
      </c>
      <c r="L415" s="37" t="inlineStr">
        <is>
          <t>3,1-  ENCARGADO DE RIEGO</t>
        </is>
      </c>
      <c r="M415" s="37" t="inlineStr">
        <is>
          <t>Operacion predio</t>
        </is>
      </c>
      <c r="N415" s="36" t="inlineStr">
        <is>
          <t>día</t>
        </is>
      </c>
      <c r="O415" s="36" t="inlineStr">
        <is>
          <t>ha</t>
        </is>
      </c>
      <c r="P415" s="39" t="n">
        <v>44618.0833333333</v>
      </c>
      <c r="Q415" s="40" t="n">
        <v>14.4</v>
      </c>
      <c r="R415" s="39" t="n">
        <v>6422433.9984</v>
      </c>
      <c r="S415" s="41" t="n">
        <v>0.00707940255555556</v>
      </c>
      <c r="T415" s="39" t="n">
        <v>6.3714623</v>
      </c>
      <c r="U415" s="39" t="n">
        <v>594.669814666667</v>
      </c>
      <c r="V415" s="39" t="n">
        <v>594.669814666667</v>
      </c>
      <c r="W415" s="39" t="n">
        <v>594.669814666667</v>
      </c>
      <c r="X415" s="39" t="n">
        <v>594.669814666667</v>
      </c>
      <c r="Y415" s="39" t="n">
        <v>594.669814666667</v>
      </c>
      <c r="Z415" s="39" t="n">
        <v>594.669814666667</v>
      </c>
      <c r="AA415" s="39" t="n">
        <v>594.669814666667</v>
      </c>
      <c r="AB415" s="39" t="n">
        <v>594.669814666667</v>
      </c>
      <c r="AC415" s="39" t="n">
        <v>594.669814666667</v>
      </c>
      <c r="AD415" s="39" t="n">
        <v>594.669814666667</v>
      </c>
      <c r="AE415" s="39" t="n">
        <v>594.669814666667</v>
      </c>
      <c r="AF415" s="39" t="n">
        <v>594.669814666667</v>
      </c>
    </row>
    <row r="416" ht="15" customHeight="1" s="176">
      <c r="A416" s="30" t="inlineStr">
        <is>
          <t>P-0413</t>
        </is>
      </c>
      <c r="B416" s="30" t="inlineStr">
        <is>
          <t>2026/27</t>
        </is>
      </c>
      <c r="C416" s="30" t="inlineStr">
        <is>
          <t>Santa Catalina</t>
        </is>
      </c>
      <c r="D416" s="31" t="inlineStr">
        <is>
          <t>eureka 10,6 ha</t>
        </is>
      </c>
      <c r="E416" s="30" t="inlineStr">
        <is>
          <t>Limon</t>
        </is>
      </c>
      <c r="F416" s="30" t="inlineStr">
        <is>
          <t>Eureka</t>
        </is>
      </c>
      <c r="G416" s="30" t="inlineStr">
        <is>
          <t>Producción</t>
        </is>
      </c>
      <c r="H416" s="32" t="n">
        <v>10.6</v>
      </c>
      <c r="I416" s="32" t="n">
        <v>10.6</v>
      </c>
      <c r="J416" s="30" t="inlineStr">
        <is>
          <t>Costo</t>
        </is>
      </c>
      <c r="K416" s="31" t="inlineStr">
        <is>
          <t>2- M.O. indirecta</t>
        </is>
      </c>
      <c r="L416" s="31" t="inlineStr">
        <is>
          <t>3,1-  ENCARGADO DE RIEGO</t>
        </is>
      </c>
      <c r="M416" s="31" t="inlineStr">
        <is>
          <t>Operacion predio</t>
        </is>
      </c>
      <c r="N416" s="30" t="inlineStr">
        <is>
          <t>día</t>
        </is>
      </c>
      <c r="O416" s="30" t="inlineStr">
        <is>
          <t>ha</t>
        </is>
      </c>
      <c r="P416" s="33" t="n">
        <v>44618.0833333333</v>
      </c>
      <c r="Q416" s="34" t="n">
        <v>10.6</v>
      </c>
      <c r="R416" s="33" t="n">
        <v>4727625.0266</v>
      </c>
      <c r="S416" s="35" t="n">
        <v>0.00707940255555555</v>
      </c>
      <c r="T416" s="33" t="n">
        <v>6.3714623</v>
      </c>
      <c r="U416" s="33" t="n">
        <v>437.743058018519</v>
      </c>
      <c r="V416" s="33" t="n">
        <v>437.743058018519</v>
      </c>
      <c r="W416" s="33" t="n">
        <v>437.743058018519</v>
      </c>
      <c r="X416" s="33" t="n">
        <v>437.743058018519</v>
      </c>
      <c r="Y416" s="33" t="n">
        <v>437.743058018519</v>
      </c>
      <c r="Z416" s="33" t="n">
        <v>437.743058018519</v>
      </c>
      <c r="AA416" s="33" t="n">
        <v>437.743058018519</v>
      </c>
      <c r="AB416" s="33" t="n">
        <v>437.743058018519</v>
      </c>
      <c r="AC416" s="33" t="n">
        <v>437.743058018519</v>
      </c>
      <c r="AD416" s="33" t="n">
        <v>437.743058018519</v>
      </c>
      <c r="AE416" s="33" t="n">
        <v>437.743058018519</v>
      </c>
      <c r="AF416" s="33" t="n">
        <v>437.743058018519</v>
      </c>
    </row>
    <row r="417" ht="15" customHeight="1" s="176">
      <c r="A417" s="36" t="inlineStr">
        <is>
          <t>P-0414</t>
        </is>
      </c>
      <c r="B417" s="36" t="inlineStr">
        <is>
          <t>2026/27</t>
        </is>
      </c>
      <c r="C417" s="36" t="inlineStr">
        <is>
          <t>Santa Catalina</t>
        </is>
      </c>
      <c r="D417" s="37" t="inlineStr">
        <is>
          <t>form benjamin 1,93 ha</t>
        </is>
      </c>
      <c r="E417" s="36" t="inlineStr">
        <is>
          <t>Limon</t>
        </is>
      </c>
      <c r="F417" s="36" t="inlineStr">
        <is>
          <t>Benjamin andes</t>
        </is>
      </c>
      <c r="G417" s="36" t="inlineStr">
        <is>
          <t>Formación</t>
        </is>
      </c>
      <c r="H417" s="38" t="n">
        <v>1.93</v>
      </c>
      <c r="I417" s="38" t="n">
        <v>0</v>
      </c>
      <c r="J417" s="36" t="inlineStr">
        <is>
          <t>Costo</t>
        </is>
      </c>
      <c r="K417" s="37" t="inlineStr">
        <is>
          <t>2- M.O. indirecta</t>
        </is>
      </c>
      <c r="L417" s="37" t="inlineStr">
        <is>
          <t>4- CERTIFICACIONES</t>
        </is>
      </c>
      <c r="M417" s="37" t="inlineStr">
        <is>
          <t>Operacion predio</t>
        </is>
      </c>
      <c r="N417" s="36" t="inlineStr">
        <is>
          <t>día</t>
        </is>
      </c>
      <c r="O417" s="36" t="inlineStr">
        <is>
          <t>ha</t>
        </is>
      </c>
      <c r="P417" s="39" t="n">
        <v>6464.58333333333</v>
      </c>
      <c r="Q417" s="40" t="n">
        <v>1.93</v>
      </c>
      <c r="R417" s="39" t="n">
        <v>44915.925</v>
      </c>
      <c r="S417" s="41" t="n">
        <v>0</v>
      </c>
      <c r="T417" s="39" t="n">
        <v>0</v>
      </c>
      <c r="U417" s="39" t="n">
        <v>4.15888194444444</v>
      </c>
      <c r="V417" s="39" t="n">
        <v>4.15888194444444</v>
      </c>
      <c r="W417" s="39" t="n">
        <v>4.15888194444444</v>
      </c>
      <c r="X417" s="39" t="n">
        <v>4.15888194444444</v>
      </c>
      <c r="Y417" s="39" t="n">
        <v>4.15888194444444</v>
      </c>
      <c r="Z417" s="39" t="n">
        <v>4.15888194444444</v>
      </c>
      <c r="AA417" s="39" t="n">
        <v>4.15888194444444</v>
      </c>
      <c r="AB417" s="39" t="n">
        <v>4.15888194444444</v>
      </c>
      <c r="AC417" s="39" t="n">
        <v>4.15888194444444</v>
      </c>
      <c r="AD417" s="39" t="n">
        <v>4.15888194444444</v>
      </c>
      <c r="AE417" s="39" t="n">
        <v>4.15888194444444</v>
      </c>
      <c r="AF417" s="39" t="n">
        <v>4.15888194444444</v>
      </c>
    </row>
    <row r="418" ht="15" customHeight="1" s="176">
      <c r="A418" s="30" t="inlineStr">
        <is>
          <t>P-0415</t>
        </is>
      </c>
      <c r="B418" s="30" t="inlineStr">
        <is>
          <t>2026/27</t>
        </is>
      </c>
      <c r="C418" s="30" t="inlineStr">
        <is>
          <t>Santa Catalina</t>
        </is>
      </c>
      <c r="D418" s="31" t="inlineStr">
        <is>
          <t>eureka 22,55</t>
        </is>
      </c>
      <c r="E418" s="30" t="inlineStr">
        <is>
          <t>Limon</t>
        </is>
      </c>
      <c r="F418" s="30" t="inlineStr">
        <is>
          <t>Eureka</t>
        </is>
      </c>
      <c r="G418" s="30" t="inlineStr">
        <is>
          <t>Producción</t>
        </is>
      </c>
      <c r="H418" s="32" t="n">
        <v>22.55</v>
      </c>
      <c r="I418" s="32" t="n">
        <v>22.55</v>
      </c>
      <c r="J418" s="30" t="inlineStr">
        <is>
          <t>Costo</t>
        </is>
      </c>
      <c r="K418" s="31" t="inlineStr">
        <is>
          <t>2- M.O. indirecta</t>
        </is>
      </c>
      <c r="L418" s="31" t="inlineStr">
        <is>
          <t>4- CERTIFICACIONES</t>
        </is>
      </c>
      <c r="M418" s="31" t="inlineStr">
        <is>
          <t>Operacion predio</t>
        </is>
      </c>
      <c r="N418" s="30" t="inlineStr">
        <is>
          <t>día</t>
        </is>
      </c>
      <c r="O418" s="30" t="inlineStr">
        <is>
          <t>ha</t>
        </is>
      </c>
      <c r="P418" s="33" t="n">
        <v>6464.58333333333</v>
      </c>
      <c r="Q418" s="34" t="n">
        <v>22.55</v>
      </c>
      <c r="R418" s="33" t="n">
        <v>1457180.43625</v>
      </c>
      <c r="S418" s="35" t="n">
        <v>0.00102571388888889</v>
      </c>
      <c r="T418" s="33" t="n">
        <v>0.9231425</v>
      </c>
      <c r="U418" s="33" t="n">
        <v>134.924114467593</v>
      </c>
      <c r="V418" s="33" t="n">
        <v>134.924114467593</v>
      </c>
      <c r="W418" s="33" t="n">
        <v>134.924114467593</v>
      </c>
      <c r="X418" s="33" t="n">
        <v>134.924114467593</v>
      </c>
      <c r="Y418" s="33" t="n">
        <v>134.924114467593</v>
      </c>
      <c r="Z418" s="33" t="n">
        <v>134.924114467593</v>
      </c>
      <c r="AA418" s="33" t="n">
        <v>134.924114467593</v>
      </c>
      <c r="AB418" s="33" t="n">
        <v>134.924114467593</v>
      </c>
      <c r="AC418" s="33" t="n">
        <v>134.924114467593</v>
      </c>
      <c r="AD418" s="33" t="n">
        <v>134.924114467593</v>
      </c>
      <c r="AE418" s="33" t="n">
        <v>134.924114467593</v>
      </c>
      <c r="AF418" s="33" t="n">
        <v>134.924114467593</v>
      </c>
    </row>
    <row r="419" ht="15" customHeight="1" s="176">
      <c r="A419" s="36" t="inlineStr">
        <is>
          <t>P-0416</t>
        </is>
      </c>
      <c r="B419" s="36" t="inlineStr">
        <is>
          <t>2026/27</t>
        </is>
      </c>
      <c r="C419" s="36" t="inlineStr">
        <is>
          <t>Santa Catalina</t>
        </is>
      </c>
      <c r="D419" s="37" t="inlineStr">
        <is>
          <t>mant eureka 2,5 ha</t>
        </is>
      </c>
      <c r="E419" s="36" t="inlineStr">
        <is>
          <t>Limon</t>
        </is>
      </c>
      <c r="F419" s="36" t="inlineStr">
        <is>
          <t>Eureka</t>
        </is>
      </c>
      <c r="G419" s="36" t="inlineStr">
        <is>
          <t>Mantención</t>
        </is>
      </c>
      <c r="H419" s="38" t="n">
        <v>2.5</v>
      </c>
      <c r="I419" s="38" t="n">
        <v>0</v>
      </c>
      <c r="J419" s="36" t="inlineStr">
        <is>
          <t>Costo</t>
        </is>
      </c>
      <c r="K419" s="37" t="inlineStr">
        <is>
          <t>2- M.O. indirecta</t>
        </is>
      </c>
      <c r="L419" s="37" t="inlineStr">
        <is>
          <t>4- CERTIFICACIONES</t>
        </is>
      </c>
      <c r="M419" s="37" t="inlineStr">
        <is>
          <t>Operacion predio</t>
        </is>
      </c>
      <c r="N419" s="36" t="inlineStr">
        <is>
          <t>día</t>
        </is>
      </c>
      <c r="O419" s="36" t="inlineStr">
        <is>
          <t>ha</t>
        </is>
      </c>
      <c r="P419" s="39" t="n">
        <v>6464.58333333333</v>
      </c>
      <c r="Q419" s="40" t="n">
        <v>2.5</v>
      </c>
      <c r="R419" s="39" t="n">
        <v>161549.9375</v>
      </c>
      <c r="S419" s="41" t="n">
        <v>0</v>
      </c>
      <c r="T419" s="39" t="n">
        <v>0</v>
      </c>
      <c r="U419" s="39" t="n">
        <v>14.9583275462963</v>
      </c>
      <c r="V419" s="39" t="n">
        <v>14.9583275462963</v>
      </c>
      <c r="W419" s="39" t="n">
        <v>14.9583275462963</v>
      </c>
      <c r="X419" s="39" t="n">
        <v>14.9583275462963</v>
      </c>
      <c r="Y419" s="39" t="n">
        <v>14.9583275462963</v>
      </c>
      <c r="Z419" s="39" t="n">
        <v>14.9583275462963</v>
      </c>
      <c r="AA419" s="39" t="n">
        <v>14.9583275462963</v>
      </c>
      <c r="AB419" s="39" t="n">
        <v>14.9583275462963</v>
      </c>
      <c r="AC419" s="39" t="n">
        <v>14.9583275462963</v>
      </c>
      <c r="AD419" s="39" t="n">
        <v>14.9583275462963</v>
      </c>
      <c r="AE419" s="39" t="n">
        <v>14.9583275462963</v>
      </c>
      <c r="AF419" s="39" t="n">
        <v>14.9583275462963</v>
      </c>
    </row>
    <row r="420" ht="15" customHeight="1" s="176">
      <c r="A420" s="30" t="inlineStr">
        <is>
          <t>P-0417</t>
        </is>
      </c>
      <c r="B420" s="30" t="inlineStr">
        <is>
          <t>2026/27</t>
        </is>
      </c>
      <c r="C420" s="30" t="inlineStr">
        <is>
          <t>Santa Catalina</t>
        </is>
      </c>
      <c r="D420" s="31" t="inlineStr">
        <is>
          <t>W. murcott 21 ha</t>
        </is>
      </c>
      <c r="E420" s="30" t="inlineStr">
        <is>
          <t>Mandarina</t>
        </is>
      </c>
      <c r="F420" s="30" t="inlineStr">
        <is>
          <t>W. murcott</t>
        </is>
      </c>
      <c r="G420" s="30" t="inlineStr">
        <is>
          <t>Producción</t>
        </is>
      </c>
      <c r="H420" s="32" t="n">
        <v>21</v>
      </c>
      <c r="I420" s="32" t="n">
        <v>21</v>
      </c>
      <c r="J420" s="30" t="inlineStr">
        <is>
          <t>Costo</t>
        </is>
      </c>
      <c r="K420" s="31" t="inlineStr">
        <is>
          <t>1- M.O. directa</t>
        </is>
      </c>
      <c r="L420" s="31" t="inlineStr">
        <is>
          <t xml:space="preserve">1,4- Mantención caminos </t>
        </is>
      </c>
      <c r="M420" s="31" t="inlineStr">
        <is>
          <t>(pala, rastra, rana)</t>
        </is>
      </c>
      <c r="N420" s="30" t="inlineStr">
        <is>
          <t>día</t>
        </is>
      </c>
      <c r="O420" s="30" t="inlineStr">
        <is>
          <t>JH</t>
        </is>
      </c>
      <c r="P420" s="33" t="n">
        <v>43500</v>
      </c>
      <c r="Q420" s="34" t="n">
        <v>1</v>
      </c>
      <c r="R420" s="33" t="n">
        <v>130500</v>
      </c>
      <c r="S420" s="35" t="n">
        <v>0.000138095238095238</v>
      </c>
      <c r="T420" s="33" t="n">
        <v>0.124285714285714</v>
      </c>
      <c r="U420" s="33" t="n">
        <v>0</v>
      </c>
      <c r="V420" s="33" t="n">
        <v>0</v>
      </c>
      <c r="W420" s="33" t="n">
        <v>0</v>
      </c>
      <c r="X420" s="33" t="n">
        <v>0</v>
      </c>
      <c r="Y420" s="33" t="n">
        <v>0</v>
      </c>
      <c r="Z420" s="33" t="n">
        <v>48.3333333333333</v>
      </c>
      <c r="AA420" s="33" t="n">
        <v>0</v>
      </c>
      <c r="AB420" s="33" t="n">
        <v>48.3333333333333</v>
      </c>
      <c r="AC420" s="33" t="n">
        <v>0</v>
      </c>
      <c r="AD420" s="33" t="n">
        <v>0</v>
      </c>
      <c r="AE420" s="33" t="n">
        <v>0</v>
      </c>
      <c r="AF420" s="33" t="n">
        <v>48.3333333333333</v>
      </c>
    </row>
    <row r="421" ht="15" customHeight="1" s="176">
      <c r="A421" s="36" t="inlineStr">
        <is>
          <t>P-0418</t>
        </is>
      </c>
      <c r="B421" s="36" t="inlineStr">
        <is>
          <t>2026/27</t>
        </is>
      </c>
      <c r="C421" s="36" t="inlineStr">
        <is>
          <t>Santa Catalina</t>
        </is>
      </c>
      <c r="D421" s="37" t="inlineStr">
        <is>
          <t>W. murcott 21 ha</t>
        </is>
      </c>
      <c r="E421" s="36" t="inlineStr">
        <is>
          <t>Mandarina</t>
        </is>
      </c>
      <c r="F421" s="36" t="inlineStr">
        <is>
          <t>W. murcott</t>
        </is>
      </c>
      <c r="G421" s="36" t="inlineStr">
        <is>
          <t>Producción</t>
        </is>
      </c>
      <c r="H421" s="38" t="n">
        <v>21</v>
      </c>
      <c r="I421" s="38" t="n">
        <v>21</v>
      </c>
      <c r="J421" s="36" t="inlineStr">
        <is>
          <t>Costo</t>
        </is>
      </c>
      <c r="K421" s="37" t="inlineStr">
        <is>
          <t>1- M.O. directa</t>
        </is>
      </c>
      <c r="L421" s="37" t="inlineStr">
        <is>
          <t xml:space="preserve">11- mantención de cercos </t>
        </is>
      </c>
      <c r="M421" s="37" t="n"/>
      <c r="N421" s="36" t="n"/>
      <c r="O421" s="36" t="inlineStr">
        <is>
          <t>ha</t>
        </is>
      </c>
      <c r="P421" s="39" t="n">
        <v>38500</v>
      </c>
      <c r="Q421" s="40" t="n">
        <v>21</v>
      </c>
      <c r="R421" s="39" t="n">
        <v>2829750</v>
      </c>
      <c r="S421" s="41" t="n">
        <v>0.00299444444444444</v>
      </c>
      <c r="T421" s="39" t="n">
        <v>2.695</v>
      </c>
      <c r="U421" s="39" t="n">
        <v>0</v>
      </c>
      <c r="V421" s="39" t="n">
        <v>0</v>
      </c>
      <c r="W421" s="39" t="n">
        <v>0</v>
      </c>
      <c r="X421" s="39" t="n">
        <v>0</v>
      </c>
      <c r="Y421" s="39" t="n">
        <v>0</v>
      </c>
      <c r="Z421" s="39" t="n">
        <v>449.166666666667</v>
      </c>
      <c r="AA421" s="39" t="n">
        <v>449.166666666667</v>
      </c>
      <c r="AB421" s="39" t="n">
        <v>449.166666666667</v>
      </c>
      <c r="AC421" s="39" t="n">
        <v>449.166666666667</v>
      </c>
      <c r="AD421" s="39" t="n">
        <v>449.166666666667</v>
      </c>
      <c r="AE421" s="39" t="n">
        <v>449.166666666667</v>
      </c>
      <c r="AF421" s="39" t="n">
        <v>449.166666666667</v>
      </c>
    </row>
    <row r="422" ht="15" customHeight="1" s="176">
      <c r="A422" s="30" t="inlineStr">
        <is>
          <t>P-0419</t>
        </is>
      </c>
      <c r="B422" s="30" t="inlineStr">
        <is>
          <t>2026/27</t>
        </is>
      </c>
      <c r="C422" s="30" t="inlineStr">
        <is>
          <t>Santa Catalina</t>
        </is>
      </c>
      <c r="D422" s="31" t="inlineStr">
        <is>
          <t>W. murcott 21 ha</t>
        </is>
      </c>
      <c r="E422" s="30" t="inlineStr">
        <is>
          <t>Mandarina</t>
        </is>
      </c>
      <c r="F422" s="30" t="inlineStr">
        <is>
          <t>W. murcott</t>
        </is>
      </c>
      <c r="G422" s="30" t="inlineStr">
        <is>
          <t>Producción</t>
        </is>
      </c>
      <c r="H422" s="32" t="n">
        <v>21</v>
      </c>
      <c r="I422" s="32" t="n">
        <v>21</v>
      </c>
      <c r="J422" s="30" t="inlineStr">
        <is>
          <t>Costo</t>
        </is>
      </c>
      <c r="K422" s="31" t="inlineStr">
        <is>
          <t>1- M.O. directa</t>
        </is>
      </c>
      <c r="L422" s="31" t="inlineStr">
        <is>
          <t>12- Picar sarmiento</t>
        </is>
      </c>
      <c r="M422" s="31" t="n"/>
      <c r="N422" s="30" t="inlineStr">
        <is>
          <t>trato</t>
        </is>
      </c>
      <c r="O422" s="30" t="inlineStr">
        <is>
          <t>plt</t>
        </is>
      </c>
      <c r="P422" s="33" t="n">
        <v>60</v>
      </c>
      <c r="Q422" s="34" t="n">
        <v>14007</v>
      </c>
      <c r="R422" s="33" t="n">
        <v>1680840</v>
      </c>
      <c r="S422" s="35" t="n">
        <v>0.00177866666666667</v>
      </c>
      <c r="T422" s="33" t="n">
        <v>1.6008</v>
      </c>
      <c r="U422" s="33" t="n">
        <v>0</v>
      </c>
      <c r="V422" s="33" t="n">
        <v>0</v>
      </c>
      <c r="W422" s="33" t="n">
        <v>0</v>
      </c>
      <c r="X422" s="33" t="n">
        <v>0</v>
      </c>
      <c r="Y422" s="33" t="n">
        <v>466.9</v>
      </c>
      <c r="Z422" s="33" t="n">
        <v>466.9</v>
      </c>
      <c r="AA422" s="33" t="n">
        <v>0</v>
      </c>
      <c r="AB422" s="33" t="n">
        <v>0</v>
      </c>
      <c r="AC422" s="33" t="n">
        <v>0</v>
      </c>
      <c r="AD422" s="33" t="n">
        <v>0</v>
      </c>
      <c r="AE422" s="33" t="n">
        <v>0</v>
      </c>
      <c r="AF422" s="33" t="n">
        <v>933.8</v>
      </c>
    </row>
    <row r="423" ht="15" customHeight="1" s="176">
      <c r="A423" s="36" t="inlineStr">
        <is>
          <t>P-0420</t>
        </is>
      </c>
      <c r="B423" s="36" t="inlineStr">
        <is>
          <t>2026/27</t>
        </is>
      </c>
      <c r="C423" s="36" t="inlineStr">
        <is>
          <t>Santa Catalina</t>
        </is>
      </c>
      <c r="D423" s="37" t="inlineStr">
        <is>
          <t>W. murcott 21 ha</t>
        </is>
      </c>
      <c r="E423" s="36" t="inlineStr">
        <is>
          <t>Mandarina</t>
        </is>
      </c>
      <c r="F423" s="36" t="inlineStr">
        <is>
          <t>W. murcott</t>
        </is>
      </c>
      <c r="G423" s="36" t="inlineStr">
        <is>
          <t>Producción</t>
        </is>
      </c>
      <c r="H423" s="38" t="n">
        <v>21</v>
      </c>
      <c r="I423" s="38" t="n">
        <v>21</v>
      </c>
      <c r="J423" s="36" t="inlineStr">
        <is>
          <t>Costo</t>
        </is>
      </c>
      <c r="K423" s="37" t="inlineStr">
        <is>
          <t>1- M.O. directa</t>
        </is>
      </c>
      <c r="L423" s="37" t="inlineStr">
        <is>
          <t>13- Poda antenas</t>
        </is>
      </c>
      <c r="M423" s="37" t="n"/>
      <c r="N423" s="36" t="inlineStr">
        <is>
          <t>trato</t>
        </is>
      </c>
      <c r="O423" s="36" t="inlineStr">
        <is>
          <t>plt</t>
        </is>
      </c>
      <c r="P423" s="39" t="n">
        <v>900</v>
      </c>
      <c r="Q423" s="40" t="n">
        <v>14007</v>
      </c>
      <c r="R423" s="39" t="n">
        <v>12606300</v>
      </c>
      <c r="S423" s="41" t="n">
        <v>0.01334</v>
      </c>
      <c r="T423" s="39" t="n">
        <v>12.006</v>
      </c>
      <c r="U423" s="39" t="n">
        <v>0</v>
      </c>
      <c r="V423" s="39" t="n">
        <v>0</v>
      </c>
      <c r="W423" s="39" t="n">
        <v>0</v>
      </c>
      <c r="X423" s="39" t="n">
        <v>0</v>
      </c>
      <c r="Y423" s="39" t="n">
        <v>0</v>
      </c>
      <c r="Z423" s="39" t="n">
        <v>0</v>
      </c>
      <c r="AA423" s="39" t="n">
        <v>0</v>
      </c>
      <c r="AB423" s="39" t="n">
        <v>0</v>
      </c>
      <c r="AC423" s="39" t="n">
        <v>0</v>
      </c>
      <c r="AD423" s="39" t="n">
        <v>0</v>
      </c>
      <c r="AE423" s="39" t="n">
        <v>14007</v>
      </c>
      <c r="AF423" s="39" t="n">
        <v>0</v>
      </c>
    </row>
    <row r="424" ht="15" customHeight="1" s="176">
      <c r="A424" s="30" t="inlineStr">
        <is>
          <t>P-0421</t>
        </is>
      </c>
      <c r="B424" s="30" t="inlineStr">
        <is>
          <t>2026/27</t>
        </is>
      </c>
      <c r="C424" s="30" t="inlineStr">
        <is>
          <t>Santa Catalina</t>
        </is>
      </c>
      <c r="D424" s="31" t="inlineStr">
        <is>
          <t>W. murcott 21 ha</t>
        </is>
      </c>
      <c r="E424" s="30" t="inlineStr">
        <is>
          <t>Mandarina</t>
        </is>
      </c>
      <c r="F424" s="30" t="inlineStr">
        <is>
          <t>W. murcott</t>
        </is>
      </c>
      <c r="G424" s="30" t="inlineStr">
        <is>
          <t>Producción</t>
        </is>
      </c>
      <c r="H424" s="32" t="n">
        <v>21</v>
      </c>
      <c r="I424" s="32" t="n">
        <v>21</v>
      </c>
      <c r="J424" s="30" t="inlineStr">
        <is>
          <t>Costo</t>
        </is>
      </c>
      <c r="K424" s="31" t="inlineStr">
        <is>
          <t>1- M.O. directa</t>
        </is>
      </c>
      <c r="L424" s="31" t="inlineStr">
        <is>
          <t>14- Poda de sierrpes</t>
        </is>
      </c>
      <c r="M424" s="31" t="n"/>
      <c r="N424" s="30" t="inlineStr">
        <is>
          <t>trato</t>
        </is>
      </c>
      <c r="O424" s="30" t="inlineStr">
        <is>
          <t>plt</t>
        </is>
      </c>
      <c r="P424" s="33" t="n">
        <v>30</v>
      </c>
      <c r="Q424" s="34" t="n">
        <v>14007</v>
      </c>
      <c r="R424" s="33" t="n">
        <v>630315</v>
      </c>
      <c r="S424" s="35" t="n">
        <v>0.0006669999999999999</v>
      </c>
      <c r="T424" s="33" t="n">
        <v>0.6002999999999999</v>
      </c>
      <c r="U424" s="33" t="n">
        <v>0</v>
      </c>
      <c r="V424" s="33" t="n">
        <v>0</v>
      </c>
      <c r="W424" s="33" t="n">
        <v>0</v>
      </c>
      <c r="X424" s="33" t="n">
        <v>0</v>
      </c>
      <c r="Y424" s="33" t="n">
        <v>0</v>
      </c>
      <c r="Z424" s="33" t="n">
        <v>0</v>
      </c>
      <c r="AA424" s="33" t="n">
        <v>0</v>
      </c>
      <c r="AB424" s="33" t="n">
        <v>0</v>
      </c>
      <c r="AC424" s="33" t="n">
        <v>233.45</v>
      </c>
      <c r="AD424" s="33" t="n">
        <v>233.45</v>
      </c>
      <c r="AE424" s="33" t="n">
        <v>233.45</v>
      </c>
      <c r="AF424" s="33" t="n">
        <v>0</v>
      </c>
    </row>
    <row r="425" ht="15" customHeight="1" s="176">
      <c r="A425" s="36" t="inlineStr">
        <is>
          <t>P-0422</t>
        </is>
      </c>
      <c r="B425" s="36" t="inlineStr">
        <is>
          <t>2026/27</t>
        </is>
      </c>
      <c r="C425" s="36" t="inlineStr">
        <is>
          <t>Santa Catalina</t>
        </is>
      </c>
      <c r="D425" s="37" t="inlineStr">
        <is>
          <t>cambria 4,2 ha</t>
        </is>
      </c>
      <c r="E425" s="36" t="inlineStr">
        <is>
          <t>Naranjas</t>
        </is>
      </c>
      <c r="F425" s="36" t="inlineStr">
        <is>
          <t>Cambria</t>
        </is>
      </c>
      <c r="G425" s="36" t="inlineStr">
        <is>
          <t>Mantención</t>
        </is>
      </c>
      <c r="H425" s="38" t="n">
        <v>4.2</v>
      </c>
      <c r="I425" s="38" t="n">
        <v>0</v>
      </c>
      <c r="J425" s="36" t="inlineStr">
        <is>
          <t>Costo</t>
        </is>
      </c>
      <c r="K425" s="37" t="inlineStr">
        <is>
          <t>1- M.O. directa</t>
        </is>
      </c>
      <c r="L425" s="37" t="inlineStr">
        <is>
          <t>15- Poda primavera</t>
        </is>
      </c>
      <c r="M425" s="37" t="n"/>
      <c r="N425" s="36" t="inlineStr">
        <is>
          <t>trato</t>
        </is>
      </c>
      <c r="O425" s="36" t="inlineStr">
        <is>
          <t>plt</t>
        </is>
      </c>
      <c r="P425" s="39" t="n">
        <v>500</v>
      </c>
      <c r="Q425" s="40" t="n">
        <v>1751.4</v>
      </c>
      <c r="R425" s="39" t="n">
        <v>875700</v>
      </c>
      <c r="S425" s="41" t="n">
        <v>0.0115833333333333</v>
      </c>
      <c r="T425" s="39" t="n">
        <v>10.425</v>
      </c>
      <c r="U425" s="39" t="n">
        <v>0</v>
      </c>
      <c r="V425" s="39" t="n">
        <v>0</v>
      </c>
      <c r="W425" s="39" t="n">
        <v>0</v>
      </c>
      <c r="X425" s="39" t="n">
        <v>0</v>
      </c>
      <c r="Y425" s="39" t="n">
        <v>0</v>
      </c>
      <c r="Z425" s="39" t="n">
        <v>973</v>
      </c>
      <c r="AA425" s="39" t="n">
        <v>0</v>
      </c>
      <c r="AB425" s="39" t="n">
        <v>0</v>
      </c>
      <c r="AC425" s="39" t="n">
        <v>0</v>
      </c>
      <c r="AD425" s="39" t="n">
        <v>0</v>
      </c>
      <c r="AE425" s="39" t="n">
        <v>0</v>
      </c>
      <c r="AF425" s="39" t="n">
        <v>0</v>
      </c>
    </row>
    <row r="426" ht="15" customHeight="1" s="176">
      <c r="A426" s="30" t="inlineStr">
        <is>
          <t>P-0423</t>
        </is>
      </c>
      <c r="B426" s="30" t="inlineStr">
        <is>
          <t>2026/27</t>
        </is>
      </c>
      <c r="C426" s="30" t="inlineStr">
        <is>
          <t>Santa Catalina</t>
        </is>
      </c>
      <c r="D426" s="31" t="inlineStr">
        <is>
          <t>Fino 49 7,7 ha</t>
        </is>
      </c>
      <c r="E426" s="30" t="inlineStr">
        <is>
          <t>Limon</t>
        </is>
      </c>
      <c r="F426" s="30" t="inlineStr">
        <is>
          <t>Fino 49</t>
        </is>
      </c>
      <c r="G426" s="30" t="inlineStr">
        <is>
          <t>Producción</t>
        </is>
      </c>
      <c r="H426" s="32" t="n">
        <v>7.7</v>
      </c>
      <c r="I426" s="32" t="n">
        <v>7.7</v>
      </c>
      <c r="J426" s="30" t="inlineStr">
        <is>
          <t>Costo</t>
        </is>
      </c>
      <c r="K426" s="31" t="inlineStr">
        <is>
          <t>2- M.O. indirecta</t>
        </is>
      </c>
      <c r="L426" s="31" t="inlineStr">
        <is>
          <t>4- CERTIFICACIONES</t>
        </is>
      </c>
      <c r="M426" s="31" t="inlineStr">
        <is>
          <t>Operacion predio</t>
        </is>
      </c>
      <c r="N426" s="30" t="inlineStr">
        <is>
          <t>día</t>
        </is>
      </c>
      <c r="O426" s="30" t="inlineStr">
        <is>
          <t>ha</t>
        </is>
      </c>
      <c r="P426" s="33" t="n">
        <v>6464.58333333333</v>
      </c>
      <c r="Q426" s="34" t="n">
        <v>7.7</v>
      </c>
      <c r="R426" s="33" t="n">
        <v>497573.8075</v>
      </c>
      <c r="S426" s="35" t="n">
        <v>0.00102571388888889</v>
      </c>
      <c r="T426" s="33" t="n">
        <v>0.9231425</v>
      </c>
      <c r="U426" s="33" t="n">
        <v>46.0716488425926</v>
      </c>
      <c r="V426" s="33" t="n">
        <v>46.0716488425926</v>
      </c>
      <c r="W426" s="33" t="n">
        <v>46.0716488425926</v>
      </c>
      <c r="X426" s="33" t="n">
        <v>46.0716488425926</v>
      </c>
      <c r="Y426" s="33" t="n">
        <v>46.0716488425926</v>
      </c>
      <c r="Z426" s="33" t="n">
        <v>46.0716488425926</v>
      </c>
      <c r="AA426" s="33" t="n">
        <v>46.0716488425926</v>
      </c>
      <c r="AB426" s="33" t="n">
        <v>46.0716488425926</v>
      </c>
      <c r="AC426" s="33" t="n">
        <v>46.0716488425926</v>
      </c>
      <c r="AD426" s="33" t="n">
        <v>46.0716488425926</v>
      </c>
      <c r="AE426" s="33" t="n">
        <v>46.0716488425926</v>
      </c>
      <c r="AF426" s="33" t="n">
        <v>46.0716488425926</v>
      </c>
    </row>
    <row r="427" ht="15" customHeight="1" s="176">
      <c r="A427" s="36" t="inlineStr">
        <is>
          <t>P-0424</t>
        </is>
      </c>
      <c r="B427" s="36" t="inlineStr">
        <is>
          <t>2026/27</t>
        </is>
      </c>
      <c r="C427" s="36" t="inlineStr">
        <is>
          <t>Santa Catalina</t>
        </is>
      </c>
      <c r="D427" s="37" t="inlineStr">
        <is>
          <t>eureka 14,4 ha</t>
        </is>
      </c>
      <c r="E427" s="36" t="inlineStr">
        <is>
          <t>Limon</t>
        </is>
      </c>
      <c r="F427" s="36" t="inlineStr">
        <is>
          <t>Eureka</t>
        </is>
      </c>
      <c r="G427" s="36" t="inlineStr">
        <is>
          <t>Producción</t>
        </is>
      </c>
      <c r="H427" s="38" t="n">
        <v>14.4</v>
      </c>
      <c r="I427" s="38" t="n">
        <v>14.4</v>
      </c>
      <c r="J427" s="36" t="inlineStr">
        <is>
          <t>Costo</t>
        </is>
      </c>
      <c r="K427" s="37" t="inlineStr">
        <is>
          <t>2- M.O. indirecta</t>
        </is>
      </c>
      <c r="L427" s="37" t="inlineStr">
        <is>
          <t>4- CERTIFICACIONES</t>
        </is>
      </c>
      <c r="M427" s="37" t="inlineStr">
        <is>
          <t>Operacion predio</t>
        </is>
      </c>
      <c r="N427" s="36" t="inlineStr">
        <is>
          <t>día</t>
        </is>
      </c>
      <c r="O427" s="36" t="inlineStr">
        <is>
          <t>ha</t>
        </is>
      </c>
      <c r="P427" s="39" t="n">
        <v>6464.58333333333</v>
      </c>
      <c r="Q427" s="40" t="n">
        <v>14.4</v>
      </c>
      <c r="R427" s="39" t="n">
        <v>930527.64</v>
      </c>
      <c r="S427" s="41" t="n">
        <v>0.00102571388888889</v>
      </c>
      <c r="T427" s="39" t="n">
        <v>0.9231425</v>
      </c>
      <c r="U427" s="39" t="n">
        <v>86.1599666666667</v>
      </c>
      <c r="V427" s="39" t="n">
        <v>86.1599666666667</v>
      </c>
      <c r="W427" s="39" t="n">
        <v>86.1599666666667</v>
      </c>
      <c r="X427" s="39" t="n">
        <v>86.1599666666667</v>
      </c>
      <c r="Y427" s="39" t="n">
        <v>86.1599666666667</v>
      </c>
      <c r="Z427" s="39" t="n">
        <v>86.1599666666667</v>
      </c>
      <c r="AA427" s="39" t="n">
        <v>86.1599666666667</v>
      </c>
      <c r="AB427" s="39" t="n">
        <v>86.1599666666667</v>
      </c>
      <c r="AC427" s="39" t="n">
        <v>86.1599666666667</v>
      </c>
      <c r="AD427" s="39" t="n">
        <v>86.1599666666667</v>
      </c>
      <c r="AE427" s="39" t="n">
        <v>86.1599666666667</v>
      </c>
      <c r="AF427" s="39" t="n">
        <v>86.1599666666667</v>
      </c>
    </row>
    <row r="428" ht="15" customHeight="1" s="176">
      <c r="A428" s="30" t="inlineStr">
        <is>
          <t>P-0425</t>
        </is>
      </c>
      <c r="B428" s="30" t="inlineStr">
        <is>
          <t>2026/27</t>
        </is>
      </c>
      <c r="C428" s="30" t="inlineStr">
        <is>
          <t>Santa Catalina</t>
        </is>
      </c>
      <c r="D428" s="31" t="inlineStr">
        <is>
          <t>W. murcott 21 ha</t>
        </is>
      </c>
      <c r="E428" s="30" t="inlineStr">
        <is>
          <t>Mandarina</t>
        </is>
      </c>
      <c r="F428" s="30" t="inlineStr">
        <is>
          <t>W. murcott</t>
        </is>
      </c>
      <c r="G428" s="30" t="inlineStr">
        <is>
          <t>Producción</t>
        </is>
      </c>
      <c r="H428" s="32" t="n">
        <v>21</v>
      </c>
      <c r="I428" s="32" t="n">
        <v>21</v>
      </c>
      <c r="J428" s="30" t="inlineStr">
        <is>
          <t>Costo</t>
        </is>
      </c>
      <c r="K428" s="31" t="inlineStr">
        <is>
          <t>1- M.O. directa</t>
        </is>
      </c>
      <c r="L428" s="31" t="inlineStr">
        <is>
          <t>15- Poda primavera</t>
        </is>
      </c>
      <c r="M428" s="31" t="n"/>
      <c r="N428" s="30" t="inlineStr">
        <is>
          <t>trato</t>
        </is>
      </c>
      <c r="O428" s="30" t="inlineStr">
        <is>
          <t>plt</t>
        </is>
      </c>
      <c r="P428" s="33" t="n">
        <v>900</v>
      </c>
      <c r="Q428" s="34" t="n">
        <v>14007</v>
      </c>
      <c r="R428" s="33" t="n">
        <v>12606300</v>
      </c>
      <c r="S428" s="35" t="n">
        <v>0.01334</v>
      </c>
      <c r="T428" s="33" t="n">
        <v>12.006</v>
      </c>
      <c r="U428" s="33" t="n">
        <v>0</v>
      </c>
      <c r="V428" s="33" t="n">
        <v>0</v>
      </c>
      <c r="W428" s="33" t="n">
        <v>0</v>
      </c>
      <c r="X428" s="33" t="n">
        <v>0</v>
      </c>
      <c r="Y428" s="33" t="n">
        <v>7003.5</v>
      </c>
      <c r="Z428" s="33" t="n">
        <v>7003.5</v>
      </c>
      <c r="AA428" s="33" t="n">
        <v>0</v>
      </c>
      <c r="AB428" s="33" t="n">
        <v>0</v>
      </c>
      <c r="AC428" s="33" t="n">
        <v>0</v>
      </c>
      <c r="AD428" s="33" t="n">
        <v>0</v>
      </c>
      <c r="AE428" s="33" t="n">
        <v>0</v>
      </c>
      <c r="AF428" s="33" t="n">
        <v>0</v>
      </c>
    </row>
    <row r="429" ht="15" customHeight="1" s="176">
      <c r="A429" s="36" t="inlineStr">
        <is>
          <t>P-0426</t>
        </is>
      </c>
      <c r="B429" s="36" t="inlineStr">
        <is>
          <t>2026/27</t>
        </is>
      </c>
      <c r="C429" s="36" t="inlineStr">
        <is>
          <t>Santa Catalina</t>
        </is>
      </c>
      <c r="D429" s="37" t="inlineStr">
        <is>
          <t>W. murcott 21 ha</t>
        </is>
      </c>
      <c r="E429" s="36" t="inlineStr">
        <is>
          <t>Mandarina</t>
        </is>
      </c>
      <c r="F429" s="36" t="inlineStr">
        <is>
          <t>W. murcott</t>
        </is>
      </c>
      <c r="G429" s="36" t="inlineStr">
        <is>
          <t>Producción</t>
        </is>
      </c>
      <c r="H429" s="38" t="n">
        <v>21</v>
      </c>
      <c r="I429" s="38" t="n">
        <v>21</v>
      </c>
      <c r="J429" s="36" t="inlineStr">
        <is>
          <t>Costo</t>
        </is>
      </c>
      <c r="K429" s="37" t="inlineStr">
        <is>
          <t>1- M.O. directa</t>
        </is>
      </c>
      <c r="L429" s="37" t="inlineStr">
        <is>
          <t>16- Supervisor poda</t>
        </is>
      </c>
      <c r="M429" s="37" t="n"/>
      <c r="N429" s="36" t="inlineStr">
        <is>
          <t>día</t>
        </is>
      </c>
      <c r="O429" s="36" t="inlineStr">
        <is>
          <t>plt</t>
        </is>
      </c>
      <c r="P429" s="39" t="n">
        <v>45</v>
      </c>
      <c r="Q429" s="40" t="n">
        <v>14007</v>
      </c>
      <c r="R429" s="39" t="n">
        <v>630315</v>
      </c>
      <c r="S429" s="41" t="n">
        <v>0.0006669999999999999</v>
      </c>
      <c r="T429" s="39" t="n">
        <v>0.6002999999999999</v>
      </c>
      <c r="U429" s="39" t="n">
        <v>0</v>
      </c>
      <c r="V429" s="39" t="n">
        <v>0</v>
      </c>
      <c r="W429" s="39" t="n">
        <v>350.175</v>
      </c>
      <c r="X429" s="39" t="n">
        <v>350.175</v>
      </c>
      <c r="Y429" s="39" t="n">
        <v>0</v>
      </c>
      <c r="Z429" s="39" t="n">
        <v>0</v>
      </c>
      <c r="AA429" s="39" t="n">
        <v>0</v>
      </c>
      <c r="AB429" s="39" t="n">
        <v>0</v>
      </c>
      <c r="AC429" s="39" t="n">
        <v>0</v>
      </c>
      <c r="AD429" s="39" t="n">
        <v>0</v>
      </c>
      <c r="AE429" s="39" t="n">
        <v>0</v>
      </c>
      <c r="AF429" s="39" t="n">
        <v>0</v>
      </c>
    </row>
    <row r="430" ht="15" customHeight="1" s="176">
      <c r="A430" s="30" t="inlineStr">
        <is>
          <t>P-0427</t>
        </is>
      </c>
      <c r="B430" s="30" t="inlineStr">
        <is>
          <t>2026/27</t>
        </is>
      </c>
      <c r="C430" s="30" t="inlineStr">
        <is>
          <t>Santa Catalina</t>
        </is>
      </c>
      <c r="D430" s="31" t="inlineStr">
        <is>
          <t>W. murcott 21 ha</t>
        </is>
      </c>
      <c r="E430" s="30" t="inlineStr">
        <is>
          <t>Mandarina</t>
        </is>
      </c>
      <c r="F430" s="30" t="inlineStr">
        <is>
          <t>W. murcott</t>
        </is>
      </c>
      <c r="G430" s="30" t="inlineStr">
        <is>
          <t>Producción</t>
        </is>
      </c>
      <c r="H430" s="32" t="n">
        <v>21</v>
      </c>
      <c r="I430" s="32" t="n">
        <v>21</v>
      </c>
      <c r="J430" s="30" t="inlineStr">
        <is>
          <t>Costo</t>
        </is>
      </c>
      <c r="K430" s="31" t="inlineStr">
        <is>
          <t>1- M.O. directa</t>
        </is>
      </c>
      <c r="L430" s="31" t="inlineStr">
        <is>
          <t>17- Recepción, pesaje y despacho</t>
        </is>
      </c>
      <c r="M430" s="31" t="inlineStr">
        <is>
          <t>un jh   para 100  jh</t>
        </is>
      </c>
      <c r="N430" s="30" t="inlineStr">
        <is>
          <t>día</t>
        </is>
      </c>
      <c r="O430" s="30" t="inlineStr">
        <is>
          <t>kg</t>
        </is>
      </c>
      <c r="P430" s="33" t="n">
        <v>1.2</v>
      </c>
      <c r="Q430" s="34" t="n">
        <v>1050000</v>
      </c>
      <c r="R430" s="33" t="n">
        <v>1260000</v>
      </c>
      <c r="S430" s="35" t="n">
        <v>0.00133333333333333</v>
      </c>
      <c r="T430" s="33" t="n">
        <v>1.2</v>
      </c>
      <c r="U430" s="33" t="n">
        <v>0</v>
      </c>
      <c r="V430" s="33" t="n">
        <v>0</v>
      </c>
      <c r="W430" s="33" t="n">
        <v>700</v>
      </c>
      <c r="X430" s="33" t="n">
        <v>700</v>
      </c>
      <c r="Y430" s="33" t="n">
        <v>0</v>
      </c>
      <c r="Z430" s="33" t="n">
        <v>0</v>
      </c>
      <c r="AA430" s="33" t="n">
        <v>0</v>
      </c>
      <c r="AB430" s="33" t="n">
        <v>0</v>
      </c>
      <c r="AC430" s="33" t="n">
        <v>0</v>
      </c>
      <c r="AD430" s="33" t="n">
        <v>0</v>
      </c>
      <c r="AE430" s="33" t="n">
        <v>0</v>
      </c>
      <c r="AF430" s="33" t="n">
        <v>0</v>
      </c>
    </row>
    <row r="431" ht="15" customHeight="1" s="176">
      <c r="A431" s="36" t="inlineStr">
        <is>
          <t>P-0428</t>
        </is>
      </c>
      <c r="B431" s="36" t="inlineStr">
        <is>
          <t>2026/27</t>
        </is>
      </c>
      <c r="C431" s="36" t="inlineStr">
        <is>
          <t>Santa Catalina</t>
        </is>
      </c>
      <c r="D431" s="37" t="inlineStr">
        <is>
          <t>W. murcott 21 ha</t>
        </is>
      </c>
      <c r="E431" s="36" t="inlineStr">
        <is>
          <t>Mandarina</t>
        </is>
      </c>
      <c r="F431" s="36" t="inlineStr">
        <is>
          <t>W. murcott</t>
        </is>
      </c>
      <c r="G431" s="36" t="inlineStr">
        <is>
          <t>Producción</t>
        </is>
      </c>
      <c r="H431" s="38" t="n">
        <v>21</v>
      </c>
      <c r="I431" s="38" t="n">
        <v>21</v>
      </c>
      <c r="J431" s="36" t="inlineStr">
        <is>
          <t>Costo</t>
        </is>
      </c>
      <c r="K431" s="37" t="inlineStr">
        <is>
          <t>2- M.O. indirecta</t>
        </is>
      </c>
      <c r="L431" s="37" t="inlineStr">
        <is>
          <t>2- ADMINISTRACION</t>
        </is>
      </c>
      <c r="M431" s="37" t="inlineStr">
        <is>
          <t>Operacion predio</t>
        </is>
      </c>
      <c r="N431" s="36" t="inlineStr">
        <is>
          <t>día</t>
        </is>
      </c>
      <c r="O431" s="36" t="inlineStr">
        <is>
          <t>ha</t>
        </is>
      </c>
      <c r="P431" s="39" t="n">
        <v>8100</v>
      </c>
      <c r="Q431" s="40" t="n">
        <v>21</v>
      </c>
      <c r="R431" s="39" t="n">
        <v>1700319.6</v>
      </c>
      <c r="S431" s="41" t="n">
        <v>0.00179928</v>
      </c>
      <c r="T431" s="39" t="n">
        <v>1.619352</v>
      </c>
      <c r="U431" s="39" t="n">
        <v>157.437</v>
      </c>
      <c r="V431" s="39" t="n">
        <v>157.437</v>
      </c>
      <c r="W431" s="39" t="n">
        <v>157.437</v>
      </c>
      <c r="X431" s="39" t="n">
        <v>157.437</v>
      </c>
      <c r="Y431" s="39" t="n">
        <v>157.437</v>
      </c>
      <c r="Z431" s="39" t="n">
        <v>157.437</v>
      </c>
      <c r="AA431" s="39" t="n">
        <v>157.437</v>
      </c>
      <c r="AB431" s="39" t="n">
        <v>157.437</v>
      </c>
      <c r="AC431" s="39" t="n">
        <v>157.437</v>
      </c>
      <c r="AD431" s="39" t="n">
        <v>157.437</v>
      </c>
      <c r="AE431" s="39" t="n">
        <v>157.437</v>
      </c>
      <c r="AF431" s="39" t="n">
        <v>157.437</v>
      </c>
    </row>
    <row r="432" ht="15" customHeight="1" s="176">
      <c r="A432" s="30" t="inlineStr">
        <is>
          <t>P-0429</t>
        </is>
      </c>
      <c r="B432" s="30" t="inlineStr">
        <is>
          <t>2026/27</t>
        </is>
      </c>
      <c r="C432" s="30" t="inlineStr">
        <is>
          <t>Santa Catalina</t>
        </is>
      </c>
      <c r="D432" s="31" t="inlineStr">
        <is>
          <t>W. murcott 21 ha</t>
        </is>
      </c>
      <c r="E432" s="30" t="inlineStr">
        <is>
          <t>Mandarina</t>
        </is>
      </c>
      <c r="F432" s="30" t="inlineStr">
        <is>
          <t>W. murcott</t>
        </is>
      </c>
      <c r="G432" s="30" t="inlineStr">
        <is>
          <t>Producción</t>
        </is>
      </c>
      <c r="H432" s="32" t="n">
        <v>21</v>
      </c>
      <c r="I432" s="32" t="n">
        <v>21</v>
      </c>
      <c r="J432" s="30" t="inlineStr">
        <is>
          <t>Costo</t>
        </is>
      </c>
      <c r="K432" s="31" t="inlineStr">
        <is>
          <t>3- Gasto general</t>
        </is>
      </c>
      <c r="L432" s="31" t="inlineStr">
        <is>
          <t>2- PRODUCTOS QUIMICOS</t>
        </is>
      </c>
      <c r="M432" s="31" t="inlineStr">
        <is>
          <t>ferti/fito/herbi</t>
        </is>
      </c>
      <c r="N432" s="30" t="n"/>
      <c r="O432" s="30" t="inlineStr">
        <is>
          <t>ha</t>
        </is>
      </c>
      <c r="P432" s="33" t="n">
        <v>282900</v>
      </c>
      <c r="Q432" s="34" t="n">
        <v>21</v>
      </c>
      <c r="R432" s="33" t="n">
        <v>59385236.4</v>
      </c>
      <c r="S432" s="35" t="n">
        <v>0.06284152</v>
      </c>
      <c r="T432" s="33" t="n">
        <v>56.557368</v>
      </c>
      <c r="U432" s="33" t="n">
        <v>5498.633</v>
      </c>
      <c r="V432" s="33" t="n">
        <v>5498.633</v>
      </c>
      <c r="W432" s="33" t="n">
        <v>5498.633</v>
      </c>
      <c r="X432" s="33" t="n">
        <v>5498.633</v>
      </c>
      <c r="Y432" s="33" t="n">
        <v>5498.633</v>
      </c>
      <c r="Z432" s="33" t="n">
        <v>5498.633</v>
      </c>
      <c r="AA432" s="33" t="n">
        <v>5498.633</v>
      </c>
      <c r="AB432" s="33" t="n">
        <v>5498.633</v>
      </c>
      <c r="AC432" s="33" t="n">
        <v>5498.633</v>
      </c>
      <c r="AD432" s="33" t="n">
        <v>5498.633</v>
      </c>
      <c r="AE432" s="33" t="n">
        <v>5498.633</v>
      </c>
      <c r="AF432" s="33" t="n">
        <v>5498.633</v>
      </c>
    </row>
    <row r="433" ht="15" customHeight="1" s="176">
      <c r="A433" s="36" t="inlineStr">
        <is>
          <t>P-0430</t>
        </is>
      </c>
      <c r="B433" s="36" t="inlineStr">
        <is>
          <t>2026/27</t>
        </is>
      </c>
      <c r="C433" s="36" t="inlineStr">
        <is>
          <t>Santa Catalina</t>
        </is>
      </c>
      <c r="D433" s="37" t="inlineStr">
        <is>
          <t>W. murcott 21 ha</t>
        </is>
      </c>
      <c r="E433" s="36" t="inlineStr">
        <is>
          <t>Mandarina</t>
        </is>
      </c>
      <c r="F433" s="36" t="inlineStr">
        <is>
          <t>W. murcott</t>
        </is>
      </c>
      <c r="G433" s="36" t="inlineStr">
        <is>
          <t>Producción</t>
        </is>
      </c>
      <c r="H433" s="38" t="n">
        <v>21</v>
      </c>
      <c r="I433" s="38" t="n">
        <v>21</v>
      </c>
      <c r="J433" s="36" t="inlineStr">
        <is>
          <t>Costo</t>
        </is>
      </c>
      <c r="K433" s="37" t="inlineStr">
        <is>
          <t>2- M.O. indirecta</t>
        </is>
      </c>
      <c r="L433" s="37" t="inlineStr">
        <is>
          <t>2,1- JEFE DE CAMPO</t>
        </is>
      </c>
      <c r="M433" s="37" t="inlineStr">
        <is>
          <t>Operacion predio</t>
        </is>
      </c>
      <c r="N433" s="36" t="inlineStr">
        <is>
          <t>día</t>
        </is>
      </c>
      <c r="O433" s="36" t="inlineStr">
        <is>
          <t>ha</t>
        </is>
      </c>
      <c r="P433" s="39" t="n">
        <v>29475</v>
      </c>
      <c r="Q433" s="40" t="n">
        <v>21</v>
      </c>
      <c r="R433" s="39" t="n">
        <v>6187274.1</v>
      </c>
      <c r="S433" s="41" t="n">
        <v>0.00654738</v>
      </c>
      <c r="T433" s="39" t="n">
        <v>5.892642</v>
      </c>
      <c r="U433" s="39" t="n">
        <v>572.89575</v>
      </c>
      <c r="V433" s="39" t="n">
        <v>572.89575</v>
      </c>
      <c r="W433" s="39" t="n">
        <v>572.89575</v>
      </c>
      <c r="X433" s="39" t="n">
        <v>572.89575</v>
      </c>
      <c r="Y433" s="39" t="n">
        <v>572.89575</v>
      </c>
      <c r="Z433" s="39" t="n">
        <v>572.89575</v>
      </c>
      <c r="AA433" s="39" t="n">
        <v>572.89575</v>
      </c>
      <c r="AB433" s="39" t="n">
        <v>572.89575</v>
      </c>
      <c r="AC433" s="39" t="n">
        <v>572.89575</v>
      </c>
      <c r="AD433" s="39" t="n">
        <v>572.89575</v>
      </c>
      <c r="AE433" s="39" t="n">
        <v>572.89575</v>
      </c>
      <c r="AF433" s="39" t="n">
        <v>572.89575</v>
      </c>
    </row>
    <row r="434" ht="15" customHeight="1" s="176">
      <c r="A434" s="30" t="inlineStr">
        <is>
          <t>P-0431</t>
        </is>
      </c>
      <c r="B434" s="30" t="inlineStr">
        <is>
          <t>2026/27</t>
        </is>
      </c>
      <c r="C434" s="30" t="inlineStr">
        <is>
          <t>Santa Catalina</t>
        </is>
      </c>
      <c r="D434" s="31" t="inlineStr">
        <is>
          <t>W. murcott 21 ha</t>
        </is>
      </c>
      <c r="E434" s="30" t="inlineStr">
        <is>
          <t>Mandarina</t>
        </is>
      </c>
      <c r="F434" s="30" t="inlineStr">
        <is>
          <t>W. murcott</t>
        </is>
      </c>
      <c r="G434" s="30" t="inlineStr">
        <is>
          <t>Producción</t>
        </is>
      </c>
      <c r="H434" s="32" t="n">
        <v>21</v>
      </c>
      <c r="I434" s="32" t="n">
        <v>21</v>
      </c>
      <c r="J434" s="30" t="inlineStr">
        <is>
          <t>Costo</t>
        </is>
      </c>
      <c r="K434" s="31" t="inlineStr">
        <is>
          <t>1- M.O. directa</t>
        </is>
      </c>
      <c r="L434" s="31" t="inlineStr">
        <is>
          <t>23- Guanteo de corona</t>
        </is>
      </c>
      <c r="M434" s="31" t="inlineStr">
        <is>
          <t>4 guanteos en la temporada</t>
        </is>
      </c>
      <c r="N434" s="30" t="inlineStr">
        <is>
          <t>trato</t>
        </is>
      </c>
      <c r="O434" s="30" t="inlineStr">
        <is>
          <t>plt</t>
        </is>
      </c>
      <c r="P434" s="33" t="n">
        <v>150</v>
      </c>
      <c r="Q434" s="34" t="n">
        <v>14007</v>
      </c>
      <c r="R434" s="33" t="n">
        <v>8404200</v>
      </c>
      <c r="S434" s="35" t="n">
        <v>0.008893333333333329</v>
      </c>
      <c r="T434" s="33" t="n">
        <v>8.004</v>
      </c>
      <c r="U434" s="33" t="n">
        <v>0</v>
      </c>
      <c r="V434" s="33" t="n">
        <v>0</v>
      </c>
      <c r="W434" s="33" t="n">
        <v>0</v>
      </c>
      <c r="X434" s="33" t="n">
        <v>0</v>
      </c>
      <c r="Y434" s="33" t="n">
        <v>0</v>
      </c>
      <c r="Z434" s="33" t="n">
        <v>2334.5</v>
      </c>
      <c r="AA434" s="33" t="n">
        <v>0</v>
      </c>
      <c r="AB434" s="33" t="n">
        <v>2334.5</v>
      </c>
      <c r="AC434" s="33" t="n">
        <v>0</v>
      </c>
      <c r="AD434" s="33" t="n">
        <v>2334.5</v>
      </c>
      <c r="AE434" s="33" t="n">
        <v>2334.5</v>
      </c>
      <c r="AF434" s="33" t="n">
        <v>0</v>
      </c>
    </row>
    <row r="435" ht="15" customHeight="1" s="176">
      <c r="A435" s="36" t="inlineStr">
        <is>
          <t>P-0432</t>
        </is>
      </c>
      <c r="B435" s="36" t="inlineStr">
        <is>
          <t>2026/27</t>
        </is>
      </c>
      <c r="C435" s="36" t="inlineStr">
        <is>
          <t>Santa Catalina</t>
        </is>
      </c>
      <c r="D435" s="37" t="inlineStr">
        <is>
          <t>W. murcott 21 ha</t>
        </is>
      </c>
      <c r="E435" s="36" t="inlineStr">
        <is>
          <t>Mandarina</t>
        </is>
      </c>
      <c r="F435" s="36" t="inlineStr">
        <is>
          <t>W. murcott</t>
        </is>
      </c>
      <c r="G435" s="36" t="inlineStr">
        <is>
          <t>Producción</t>
        </is>
      </c>
      <c r="H435" s="38" t="n">
        <v>21</v>
      </c>
      <c r="I435" s="38" t="n">
        <v>21</v>
      </c>
      <c r="J435" s="36" t="inlineStr">
        <is>
          <t>Costo</t>
        </is>
      </c>
      <c r="K435" s="37" t="inlineStr">
        <is>
          <t>2- M.O. indirecta</t>
        </is>
      </c>
      <c r="L435" s="37" t="inlineStr">
        <is>
          <t>3- ADQUIS. Y BODEGA</t>
        </is>
      </c>
      <c r="M435" s="37" t="inlineStr">
        <is>
          <t>Operacion predio</t>
        </is>
      </c>
      <c r="N435" s="36" t="inlineStr">
        <is>
          <t>día</t>
        </is>
      </c>
      <c r="O435" s="36" t="inlineStr">
        <is>
          <t>ha</t>
        </is>
      </c>
      <c r="P435" s="39" t="n">
        <v>8100</v>
      </c>
      <c r="Q435" s="40" t="n">
        <v>21</v>
      </c>
      <c r="R435" s="39" t="n">
        <v>1700319.6</v>
      </c>
      <c r="S435" s="41" t="n">
        <v>0.00179928</v>
      </c>
      <c r="T435" s="39" t="n">
        <v>1.619352</v>
      </c>
      <c r="U435" s="39" t="n">
        <v>157.437</v>
      </c>
      <c r="V435" s="39" t="n">
        <v>157.437</v>
      </c>
      <c r="W435" s="39" t="n">
        <v>157.437</v>
      </c>
      <c r="X435" s="39" t="n">
        <v>157.437</v>
      </c>
      <c r="Y435" s="39" t="n">
        <v>157.437</v>
      </c>
      <c r="Z435" s="39" t="n">
        <v>157.437</v>
      </c>
      <c r="AA435" s="39" t="n">
        <v>157.437</v>
      </c>
      <c r="AB435" s="39" t="n">
        <v>157.437</v>
      </c>
      <c r="AC435" s="39" t="n">
        <v>157.437</v>
      </c>
      <c r="AD435" s="39" t="n">
        <v>157.437</v>
      </c>
      <c r="AE435" s="39" t="n">
        <v>157.437</v>
      </c>
      <c r="AF435" s="39" t="n">
        <v>157.437</v>
      </c>
    </row>
    <row r="436" ht="15" customHeight="1" s="176">
      <c r="A436" s="30" t="inlineStr">
        <is>
          <t>P-0433</t>
        </is>
      </c>
      <c r="B436" s="30" t="inlineStr">
        <is>
          <t>2026/27</t>
        </is>
      </c>
      <c r="C436" s="30" t="inlineStr">
        <is>
          <t>Santa Catalina</t>
        </is>
      </c>
      <c r="D436" s="31" t="inlineStr">
        <is>
          <t>W. murcott 21 ha</t>
        </is>
      </c>
      <c r="E436" s="30" t="inlineStr">
        <is>
          <t>Mandarina</t>
        </is>
      </c>
      <c r="F436" s="30" t="inlineStr">
        <is>
          <t>W. murcott</t>
        </is>
      </c>
      <c r="G436" s="30" t="inlineStr">
        <is>
          <t>Producción</t>
        </is>
      </c>
      <c r="H436" s="32" t="n">
        <v>21</v>
      </c>
      <c r="I436" s="32" t="n">
        <v>21</v>
      </c>
      <c r="J436" s="30" t="inlineStr">
        <is>
          <t>Costo</t>
        </is>
      </c>
      <c r="K436" s="31" t="inlineStr">
        <is>
          <t>3- Gasto general</t>
        </is>
      </c>
      <c r="L436" s="31" t="inlineStr">
        <is>
          <t>3- COMBUSTIBLE Y ENERGIA</t>
        </is>
      </c>
      <c r="M436" s="31" t="inlineStr">
        <is>
          <t>consumo electrico</t>
        </is>
      </c>
      <c r="N436" s="30" t="n"/>
      <c r="O436" s="30" t="inlineStr">
        <is>
          <t>ha</t>
        </is>
      </c>
      <c r="P436" s="33" t="n">
        <v>143471.416666667</v>
      </c>
      <c r="Q436" s="34" t="n">
        <v>21</v>
      </c>
      <c r="R436" s="33" t="n">
        <v>30127792.3401</v>
      </c>
      <c r="S436" s="35" t="n">
        <v>0.0318812617355556</v>
      </c>
      <c r="T436" s="33" t="n">
        <v>28.693135562</v>
      </c>
      <c r="U436" s="33" t="n">
        <v>2789.61040186111</v>
      </c>
      <c r="V436" s="33" t="n">
        <v>2789.61040186111</v>
      </c>
      <c r="W436" s="33" t="n">
        <v>2789.61040186111</v>
      </c>
      <c r="X436" s="33" t="n">
        <v>2789.61040186111</v>
      </c>
      <c r="Y436" s="33" t="n">
        <v>2789.61040186111</v>
      </c>
      <c r="Z436" s="33" t="n">
        <v>2789.61040186111</v>
      </c>
      <c r="AA436" s="33" t="n">
        <v>2789.61040186111</v>
      </c>
      <c r="AB436" s="33" t="n">
        <v>2789.61040186111</v>
      </c>
      <c r="AC436" s="33" t="n">
        <v>2789.61040186111</v>
      </c>
      <c r="AD436" s="33" t="n">
        <v>2789.61040186111</v>
      </c>
      <c r="AE436" s="33" t="n">
        <v>2789.61040186111</v>
      </c>
      <c r="AF436" s="33" t="n">
        <v>2789.61040186111</v>
      </c>
    </row>
    <row r="437" ht="15" customHeight="1" s="176">
      <c r="A437" s="36" t="inlineStr">
        <is>
          <t>P-0434</t>
        </is>
      </c>
      <c r="B437" s="36" t="inlineStr">
        <is>
          <t>2026/27</t>
        </is>
      </c>
      <c r="C437" s="36" t="inlineStr">
        <is>
          <t>Santa Catalina</t>
        </is>
      </c>
      <c r="D437" s="37" t="inlineStr">
        <is>
          <t>W. murcott 21 ha</t>
        </is>
      </c>
      <c r="E437" s="36" t="inlineStr">
        <is>
          <t>Mandarina</t>
        </is>
      </c>
      <c r="F437" s="36" t="inlineStr">
        <is>
          <t>W. murcott</t>
        </is>
      </c>
      <c r="G437" s="36" t="inlineStr">
        <is>
          <t>Producción</t>
        </is>
      </c>
      <c r="H437" s="38" t="n">
        <v>21</v>
      </c>
      <c r="I437" s="38" t="n">
        <v>21</v>
      </c>
      <c r="J437" s="36" t="inlineStr">
        <is>
          <t>Costo</t>
        </is>
      </c>
      <c r="K437" s="37" t="inlineStr">
        <is>
          <t>3- Gasto general</t>
        </is>
      </c>
      <c r="L437" s="37" t="inlineStr">
        <is>
          <t>3- COMBUSTIBLE Y ENERGIA</t>
        </is>
      </c>
      <c r="M437" s="37" t="inlineStr">
        <is>
          <t>diesel campo</t>
        </is>
      </c>
      <c r="N437" s="36" t="n"/>
      <c r="O437" s="36" t="inlineStr">
        <is>
          <t>ha</t>
        </is>
      </c>
      <c r="P437" s="39" t="n">
        <v>40433.5833333333</v>
      </c>
      <c r="Q437" s="40" t="n">
        <v>21</v>
      </c>
      <c r="R437" s="39" t="n">
        <v>8490712.857899999</v>
      </c>
      <c r="S437" s="41" t="n">
        <v>0.008984881331111109</v>
      </c>
      <c r="T437" s="39" t="n">
        <v>8.086393198</v>
      </c>
      <c r="U437" s="39" t="n">
        <v>786.177116472222</v>
      </c>
      <c r="V437" s="39" t="n">
        <v>786.177116472222</v>
      </c>
      <c r="W437" s="39" t="n">
        <v>786.177116472222</v>
      </c>
      <c r="X437" s="39" t="n">
        <v>786.177116472222</v>
      </c>
      <c r="Y437" s="39" t="n">
        <v>786.177116472222</v>
      </c>
      <c r="Z437" s="39" t="n">
        <v>786.177116472222</v>
      </c>
      <c r="AA437" s="39" t="n">
        <v>786.177116472222</v>
      </c>
      <c r="AB437" s="39" t="n">
        <v>786.177116472222</v>
      </c>
      <c r="AC437" s="39" t="n">
        <v>786.177116472222</v>
      </c>
      <c r="AD437" s="39" t="n">
        <v>786.177116472222</v>
      </c>
      <c r="AE437" s="39" t="n">
        <v>786.177116472222</v>
      </c>
      <c r="AF437" s="39" t="n">
        <v>786.177116472222</v>
      </c>
    </row>
    <row r="438" ht="15" customHeight="1" s="176">
      <c r="A438" s="30" t="inlineStr">
        <is>
          <t>P-0435</t>
        </is>
      </c>
      <c r="B438" s="30" t="inlineStr">
        <is>
          <t>2026/27</t>
        </is>
      </c>
      <c r="C438" s="30" t="inlineStr">
        <is>
          <t>Santa Catalina</t>
        </is>
      </c>
      <c r="D438" s="31" t="inlineStr">
        <is>
          <t>W. murcott 21 ha</t>
        </is>
      </c>
      <c r="E438" s="30" t="inlineStr">
        <is>
          <t>Mandarina</t>
        </is>
      </c>
      <c r="F438" s="30" t="inlineStr">
        <is>
          <t>W. murcott</t>
        </is>
      </c>
      <c r="G438" s="30" t="inlineStr">
        <is>
          <t>Producción</t>
        </is>
      </c>
      <c r="H438" s="32" t="n">
        <v>21</v>
      </c>
      <c r="I438" s="32" t="n">
        <v>21</v>
      </c>
      <c r="J438" s="30" t="inlineStr">
        <is>
          <t>Costo</t>
        </is>
      </c>
      <c r="K438" s="31" t="inlineStr">
        <is>
          <t>3- Gasto general</t>
        </is>
      </c>
      <c r="L438" s="31" t="inlineStr">
        <is>
          <t>3- COMBUSTIBLE Y ENERGIA</t>
        </is>
      </c>
      <c r="M438" s="31" t="inlineStr">
        <is>
          <t>diesel  zanjon 14l/hr</t>
        </is>
      </c>
      <c r="N438" s="30" t="inlineStr">
        <is>
          <t>día</t>
        </is>
      </c>
      <c r="O438" s="30" t="inlineStr">
        <is>
          <t>ha</t>
        </is>
      </c>
      <c r="P438" s="33" t="n">
        <v>76262</v>
      </c>
      <c r="Q438" s="34" t="n">
        <v>21</v>
      </c>
      <c r="R438" s="33" t="n">
        <v>16008613.992</v>
      </c>
      <c r="S438" s="35" t="n">
        <v>0.0169403322666667</v>
      </c>
      <c r="T438" s="33" t="n">
        <v>15.24629904</v>
      </c>
      <c r="U438" s="33" t="n">
        <v>1482.27907333333</v>
      </c>
      <c r="V438" s="33" t="n">
        <v>1482.27907333333</v>
      </c>
      <c r="W438" s="33" t="n">
        <v>1482.27907333333</v>
      </c>
      <c r="X438" s="33" t="n">
        <v>1482.27907333333</v>
      </c>
      <c r="Y438" s="33" t="n">
        <v>1482.27907333333</v>
      </c>
      <c r="Z438" s="33" t="n">
        <v>1482.27907333333</v>
      </c>
      <c r="AA438" s="33" t="n">
        <v>1482.27907333333</v>
      </c>
      <c r="AB438" s="33" t="n">
        <v>1482.27907333333</v>
      </c>
      <c r="AC438" s="33" t="n">
        <v>1482.27907333333</v>
      </c>
      <c r="AD438" s="33" t="n">
        <v>1482.27907333333</v>
      </c>
      <c r="AE438" s="33" t="n">
        <v>1482.27907333333</v>
      </c>
      <c r="AF438" s="33" t="n">
        <v>1482.27907333333</v>
      </c>
    </row>
    <row r="439" ht="15" customHeight="1" s="176">
      <c r="A439" s="36" t="inlineStr">
        <is>
          <t>P-0436</t>
        </is>
      </c>
      <c r="B439" s="36" t="inlineStr">
        <is>
          <t>2026/27</t>
        </is>
      </c>
      <c r="C439" s="36" t="inlineStr">
        <is>
          <t>Santa Catalina</t>
        </is>
      </c>
      <c r="D439" s="37" t="inlineStr">
        <is>
          <t>W. murcott 21 ha</t>
        </is>
      </c>
      <c r="E439" s="36" t="inlineStr">
        <is>
          <t>Mandarina</t>
        </is>
      </c>
      <c r="F439" s="36" t="inlineStr">
        <is>
          <t>W. murcott</t>
        </is>
      </c>
      <c r="G439" s="36" t="inlineStr">
        <is>
          <t>Producción</t>
        </is>
      </c>
      <c r="H439" s="38" t="n">
        <v>21</v>
      </c>
      <c r="I439" s="38" t="n">
        <v>21</v>
      </c>
      <c r="J439" s="36" t="inlineStr">
        <is>
          <t>Costo</t>
        </is>
      </c>
      <c r="K439" s="37" t="inlineStr">
        <is>
          <t>3- Gasto general</t>
        </is>
      </c>
      <c r="L439" s="37" t="inlineStr">
        <is>
          <t>3,1 - COMBUSTIBLE  ZANJON</t>
        </is>
      </c>
      <c r="M439" s="37" t="inlineStr">
        <is>
          <t>Compra agua zanjon</t>
        </is>
      </c>
      <c r="N439" s="36" t="inlineStr">
        <is>
          <t>m3</t>
        </is>
      </c>
      <c r="O439" s="36" t="inlineStr">
        <is>
          <t>m3</t>
        </is>
      </c>
      <c r="P439" s="39" t="n">
        <v>230</v>
      </c>
      <c r="Q439" s="40" t="n">
        <v>14102.2620169651</v>
      </c>
      <c r="R439" s="39" t="n">
        <v>32422228.5579642</v>
      </c>
      <c r="S439" s="41" t="n">
        <v>0.0343092365692743</v>
      </c>
      <c r="T439" s="39" t="n">
        <v>30.8783129123468</v>
      </c>
      <c r="U439" s="39" t="n">
        <v>3002.0581998115</v>
      </c>
      <c r="V439" s="39" t="n">
        <v>3002.0581998115</v>
      </c>
      <c r="W439" s="39" t="n">
        <v>3002.0581998115</v>
      </c>
      <c r="X439" s="39" t="n">
        <v>3002.0581998115</v>
      </c>
      <c r="Y439" s="39" t="n">
        <v>3002.0581998115</v>
      </c>
      <c r="Z439" s="39" t="n">
        <v>3002.0581998115</v>
      </c>
      <c r="AA439" s="39" t="n">
        <v>3002.0581998115</v>
      </c>
      <c r="AB439" s="39" t="n">
        <v>3002.0581998115</v>
      </c>
      <c r="AC439" s="39" t="n">
        <v>3002.0581998115</v>
      </c>
      <c r="AD439" s="39" t="n">
        <v>3002.0581998115</v>
      </c>
      <c r="AE439" s="39" t="n">
        <v>3002.0581998115</v>
      </c>
      <c r="AF439" s="39" t="n">
        <v>3002.0581998115</v>
      </c>
    </row>
    <row r="440" ht="15" customHeight="1" s="176">
      <c r="A440" s="30" t="inlineStr">
        <is>
          <t>P-0437</t>
        </is>
      </c>
      <c r="B440" s="30" t="inlineStr">
        <is>
          <t>2026/27</t>
        </is>
      </c>
      <c r="C440" s="30" t="inlineStr">
        <is>
          <t>Santa Catalina</t>
        </is>
      </c>
      <c r="D440" s="31" t="inlineStr">
        <is>
          <t>W. murcott 21 ha</t>
        </is>
      </c>
      <c r="E440" s="30" t="inlineStr">
        <is>
          <t>Mandarina</t>
        </is>
      </c>
      <c r="F440" s="30" t="inlineStr">
        <is>
          <t>W. murcott</t>
        </is>
      </c>
      <c r="G440" s="30" t="inlineStr">
        <is>
          <t>Producción</t>
        </is>
      </c>
      <c r="H440" s="32" t="n">
        <v>21</v>
      </c>
      <c r="I440" s="32" t="n">
        <v>21</v>
      </c>
      <c r="J440" s="30" t="inlineStr">
        <is>
          <t>Costo</t>
        </is>
      </c>
      <c r="K440" s="31" t="inlineStr">
        <is>
          <t>3- Gasto general</t>
        </is>
      </c>
      <c r="L440" s="31" t="inlineStr">
        <is>
          <t>3- COMBUSTIBLE Y ENERGIA</t>
        </is>
      </c>
      <c r="M440" s="31" t="inlineStr">
        <is>
          <t>cuota embalse cogoti</t>
        </is>
      </c>
      <c r="N440" s="30" t="n"/>
      <c r="O440" s="30" t="inlineStr">
        <is>
          <t>ha</t>
        </is>
      </c>
      <c r="P440" s="33" t="n">
        <v>32266.6666666667</v>
      </c>
      <c r="Q440" s="34" t="n">
        <v>21</v>
      </c>
      <c r="R440" s="33" t="n">
        <v>6775728.96</v>
      </c>
      <c r="S440" s="35" t="n">
        <v>0.00717008355555556</v>
      </c>
      <c r="T440" s="33" t="n">
        <v>6.4530752</v>
      </c>
      <c r="U440" s="33" t="n">
        <v>627.382311111111</v>
      </c>
      <c r="V440" s="33" t="n">
        <v>627.382311111111</v>
      </c>
      <c r="W440" s="33" t="n">
        <v>627.382311111111</v>
      </c>
      <c r="X440" s="33" t="n">
        <v>627.382311111111</v>
      </c>
      <c r="Y440" s="33" t="n">
        <v>627.382311111111</v>
      </c>
      <c r="Z440" s="33" t="n">
        <v>627.382311111111</v>
      </c>
      <c r="AA440" s="33" t="n">
        <v>627.382311111111</v>
      </c>
      <c r="AB440" s="33" t="n">
        <v>627.382311111111</v>
      </c>
      <c r="AC440" s="33" t="n">
        <v>627.382311111111</v>
      </c>
      <c r="AD440" s="33" t="n">
        <v>627.382311111111</v>
      </c>
      <c r="AE440" s="33" t="n">
        <v>627.382311111111</v>
      </c>
      <c r="AF440" s="33" t="n">
        <v>627.382311111111</v>
      </c>
    </row>
    <row r="441" ht="15" customHeight="1" s="176">
      <c r="A441" s="36" t="inlineStr">
        <is>
          <t>P-0438</t>
        </is>
      </c>
      <c r="B441" s="36" t="inlineStr">
        <is>
          <t>2026/27</t>
        </is>
      </c>
      <c r="C441" s="36" t="inlineStr">
        <is>
          <t>Santa Catalina</t>
        </is>
      </c>
      <c r="D441" s="37" t="inlineStr">
        <is>
          <t>W. murcott 21 ha</t>
        </is>
      </c>
      <c r="E441" s="36" t="inlineStr">
        <is>
          <t>Mandarina</t>
        </is>
      </c>
      <c r="F441" s="36" t="inlineStr">
        <is>
          <t>W. murcott</t>
        </is>
      </c>
      <c r="G441" s="36" t="inlineStr">
        <is>
          <t>Producción</t>
        </is>
      </c>
      <c r="H441" s="38" t="n">
        <v>21</v>
      </c>
      <c r="I441" s="38" t="n">
        <v>21</v>
      </c>
      <c r="J441" s="36" t="inlineStr">
        <is>
          <t>Costo</t>
        </is>
      </c>
      <c r="K441" s="37" t="inlineStr">
        <is>
          <t>2- M.O. indirecta</t>
        </is>
      </c>
      <c r="L441" s="37" t="inlineStr">
        <is>
          <t>3,1-  ENCARGADO DE RIEGO</t>
        </is>
      </c>
      <c r="M441" s="37" t="inlineStr">
        <is>
          <t>Operacion predio</t>
        </is>
      </c>
      <c r="N441" s="36" t="inlineStr">
        <is>
          <t>día</t>
        </is>
      </c>
      <c r="O441" s="36" t="inlineStr">
        <is>
          <t>ha</t>
        </is>
      </c>
      <c r="P441" s="39" t="n">
        <v>44618.0833333333</v>
      </c>
      <c r="Q441" s="40" t="n">
        <v>21</v>
      </c>
      <c r="R441" s="39" t="n">
        <v>9366049.581</v>
      </c>
      <c r="S441" s="41" t="n">
        <v>0.009911163577777779</v>
      </c>
      <c r="T441" s="39" t="n">
        <v>8.920047220000001</v>
      </c>
      <c r="U441" s="39" t="n">
        <v>867.226813055556</v>
      </c>
      <c r="V441" s="39" t="n">
        <v>867.226813055556</v>
      </c>
      <c r="W441" s="39" t="n">
        <v>867.226813055556</v>
      </c>
      <c r="X441" s="39" t="n">
        <v>867.226813055556</v>
      </c>
      <c r="Y441" s="39" t="n">
        <v>867.226813055556</v>
      </c>
      <c r="Z441" s="39" t="n">
        <v>867.226813055556</v>
      </c>
      <c r="AA441" s="39" t="n">
        <v>867.226813055556</v>
      </c>
      <c r="AB441" s="39" t="n">
        <v>867.226813055556</v>
      </c>
      <c r="AC441" s="39" t="n">
        <v>867.226813055556</v>
      </c>
      <c r="AD441" s="39" t="n">
        <v>867.226813055556</v>
      </c>
      <c r="AE441" s="39" t="n">
        <v>867.226813055556</v>
      </c>
      <c r="AF441" s="39" t="n">
        <v>867.226813055556</v>
      </c>
    </row>
    <row r="442" ht="15" customHeight="1" s="176">
      <c r="A442" s="30" t="inlineStr">
        <is>
          <t>P-0439</t>
        </is>
      </c>
      <c r="B442" s="30" t="inlineStr">
        <is>
          <t>2026/27</t>
        </is>
      </c>
      <c r="C442" s="30" t="inlineStr">
        <is>
          <t>Santa Catalina</t>
        </is>
      </c>
      <c r="D442" s="31" t="inlineStr">
        <is>
          <t>W. murcott 21 ha</t>
        </is>
      </c>
      <c r="E442" s="30" t="inlineStr">
        <is>
          <t>Mandarina</t>
        </is>
      </c>
      <c r="F442" s="30" t="inlineStr">
        <is>
          <t>W. murcott</t>
        </is>
      </c>
      <c r="G442" s="30" t="inlineStr">
        <is>
          <t>Producción</t>
        </is>
      </c>
      <c r="H442" s="32" t="n">
        <v>21</v>
      </c>
      <c r="I442" s="32" t="n">
        <v>21</v>
      </c>
      <c r="J442" s="30" t="inlineStr">
        <is>
          <t>Costo</t>
        </is>
      </c>
      <c r="K442" s="31" t="inlineStr">
        <is>
          <t>2- M.O. indirecta</t>
        </is>
      </c>
      <c r="L442" s="31" t="inlineStr">
        <is>
          <t>4- CERTIFICACIONES</t>
        </is>
      </c>
      <c r="M442" s="31" t="inlineStr">
        <is>
          <t>Operacion predio</t>
        </is>
      </c>
      <c r="N442" s="30" t="inlineStr">
        <is>
          <t>día</t>
        </is>
      </c>
      <c r="O442" s="30" t="inlineStr">
        <is>
          <t>ha</t>
        </is>
      </c>
      <c r="P442" s="33" t="n">
        <v>6464.58333333333</v>
      </c>
      <c r="Q442" s="34" t="n">
        <v>21</v>
      </c>
      <c r="R442" s="33" t="n">
        <v>1357019.475</v>
      </c>
      <c r="S442" s="35" t="n">
        <v>0.00143599944444444</v>
      </c>
      <c r="T442" s="33" t="n">
        <v>1.2923995</v>
      </c>
      <c r="U442" s="33" t="n">
        <v>125.649951388889</v>
      </c>
      <c r="V442" s="33" t="n">
        <v>125.649951388889</v>
      </c>
      <c r="W442" s="33" t="n">
        <v>125.649951388889</v>
      </c>
      <c r="X442" s="33" t="n">
        <v>125.649951388889</v>
      </c>
      <c r="Y442" s="33" t="n">
        <v>125.649951388889</v>
      </c>
      <c r="Z442" s="33" t="n">
        <v>125.649951388889</v>
      </c>
      <c r="AA442" s="33" t="n">
        <v>125.649951388889</v>
      </c>
      <c r="AB442" s="33" t="n">
        <v>125.649951388889</v>
      </c>
      <c r="AC442" s="33" t="n">
        <v>125.649951388889</v>
      </c>
      <c r="AD442" s="33" t="n">
        <v>125.649951388889</v>
      </c>
      <c r="AE442" s="33" t="n">
        <v>125.649951388889</v>
      </c>
      <c r="AF442" s="33" t="n">
        <v>125.649951388889</v>
      </c>
    </row>
    <row r="443" ht="15" customHeight="1" s="176">
      <c r="A443" s="36" t="inlineStr">
        <is>
          <t>P-0440</t>
        </is>
      </c>
      <c r="B443" s="36" t="inlineStr">
        <is>
          <t>2026/27</t>
        </is>
      </c>
      <c r="C443" s="36" t="inlineStr">
        <is>
          <t>Santa Catalina</t>
        </is>
      </c>
      <c r="D443" s="37" t="inlineStr">
        <is>
          <t>W. murcott 21 ha</t>
        </is>
      </c>
      <c r="E443" s="36" t="inlineStr">
        <is>
          <t>Mandarina</t>
        </is>
      </c>
      <c r="F443" s="36" t="inlineStr">
        <is>
          <t>W. murcott</t>
        </is>
      </c>
      <c r="G443" s="36" t="inlineStr">
        <is>
          <t>Producción</t>
        </is>
      </c>
      <c r="H443" s="38" t="n">
        <v>21</v>
      </c>
      <c r="I443" s="38" t="n">
        <v>21</v>
      </c>
      <c r="J443" s="36" t="inlineStr">
        <is>
          <t>Costo</t>
        </is>
      </c>
      <c r="K443" s="37" t="inlineStr">
        <is>
          <t>1- M.O. directa</t>
        </is>
      </c>
      <c r="L443" s="37" t="inlineStr">
        <is>
          <t>4- Grua</t>
        </is>
      </c>
      <c r="M443" s="37" t="inlineStr">
        <is>
          <t>una grua  para 100-120 jh</t>
        </is>
      </c>
      <c r="N443" s="36" t="inlineStr">
        <is>
          <t>día</t>
        </is>
      </c>
      <c r="O443" s="36" t="inlineStr">
        <is>
          <t>kg</t>
        </is>
      </c>
      <c r="P443" s="39" t="n">
        <v>1.5</v>
      </c>
      <c r="Q443" s="40" t="n">
        <v>1050000</v>
      </c>
      <c r="R443" s="39" t="n">
        <v>3150000</v>
      </c>
      <c r="S443" s="41" t="n">
        <v>0.00333333333333333</v>
      </c>
      <c r="T443" s="39" t="n">
        <v>3</v>
      </c>
      <c r="U443" s="39" t="n">
        <v>0</v>
      </c>
      <c r="V443" s="39" t="n">
        <v>0</v>
      </c>
      <c r="W443" s="39" t="n">
        <v>1750</v>
      </c>
      <c r="X443" s="39" t="n">
        <v>1750</v>
      </c>
      <c r="Y443" s="39" t="n">
        <v>0</v>
      </c>
      <c r="Z443" s="39" t="n">
        <v>0</v>
      </c>
      <c r="AA443" s="39" t="n">
        <v>0</v>
      </c>
      <c r="AB443" s="39" t="n">
        <v>0</v>
      </c>
      <c r="AC443" s="39" t="n">
        <v>0</v>
      </c>
      <c r="AD443" s="39" t="n">
        <v>0</v>
      </c>
      <c r="AE443" s="39" t="n">
        <v>0</v>
      </c>
      <c r="AF443" s="39" t="n">
        <v>0</v>
      </c>
    </row>
    <row r="444" ht="15" customHeight="1" s="176">
      <c r="A444" s="30" t="inlineStr">
        <is>
          <t>P-0441</t>
        </is>
      </c>
      <c r="B444" s="30" t="inlineStr">
        <is>
          <t>2026/27</t>
        </is>
      </c>
      <c r="C444" s="30" t="inlineStr">
        <is>
          <t>Santa Catalina</t>
        </is>
      </c>
      <c r="D444" s="31" t="inlineStr">
        <is>
          <t>W. murcott 21 ha</t>
        </is>
      </c>
      <c r="E444" s="30" t="inlineStr">
        <is>
          <t>Mandarina</t>
        </is>
      </c>
      <c r="F444" s="30" t="inlineStr">
        <is>
          <t>W. murcott</t>
        </is>
      </c>
      <c r="G444" s="30" t="inlineStr">
        <is>
          <t>Producción</t>
        </is>
      </c>
      <c r="H444" s="32" t="n">
        <v>21</v>
      </c>
      <c r="I444" s="32" t="n">
        <v>21</v>
      </c>
      <c r="J444" s="30" t="inlineStr">
        <is>
          <t>Costo</t>
        </is>
      </c>
      <c r="K444" s="31" t="inlineStr">
        <is>
          <t>3- Gasto general</t>
        </is>
      </c>
      <c r="L444" s="31" t="inlineStr">
        <is>
          <t>4- MANTENCION MAQUINARIA Y EQUIPOS</t>
        </is>
      </c>
      <c r="M444" s="31" t="n"/>
      <c r="N444" s="30" t="n"/>
      <c r="O444" s="30" t="inlineStr">
        <is>
          <t>ha</t>
        </is>
      </c>
      <c r="P444" s="33" t="n">
        <v>25000</v>
      </c>
      <c r="Q444" s="34" t="n">
        <v>21</v>
      </c>
      <c r="R444" s="33" t="n">
        <v>5229000</v>
      </c>
      <c r="S444" s="35" t="n">
        <v>0.00553333333333334</v>
      </c>
      <c r="T444" s="33" t="n">
        <v>4.98</v>
      </c>
      <c r="U444" s="33" t="n">
        <v>484.166666666667</v>
      </c>
      <c r="V444" s="33" t="n">
        <v>484.166666666667</v>
      </c>
      <c r="W444" s="33" t="n">
        <v>484.166666666667</v>
      </c>
      <c r="X444" s="33" t="n">
        <v>484.166666666667</v>
      </c>
      <c r="Y444" s="33" t="n">
        <v>484.166666666667</v>
      </c>
      <c r="Z444" s="33" t="n">
        <v>484.166666666667</v>
      </c>
      <c r="AA444" s="33" t="n">
        <v>484.166666666667</v>
      </c>
      <c r="AB444" s="33" t="n">
        <v>484.166666666667</v>
      </c>
      <c r="AC444" s="33" t="n">
        <v>484.166666666667</v>
      </c>
      <c r="AD444" s="33" t="n">
        <v>484.166666666667</v>
      </c>
      <c r="AE444" s="33" t="n">
        <v>484.166666666667</v>
      </c>
      <c r="AF444" s="33" t="n">
        <v>484.166666666667</v>
      </c>
    </row>
    <row r="445" ht="15" customHeight="1" s="176">
      <c r="A445" s="36" t="inlineStr">
        <is>
          <t>P-0442</t>
        </is>
      </c>
      <c r="B445" s="36" t="inlineStr">
        <is>
          <t>2026/27</t>
        </is>
      </c>
      <c r="C445" s="36" t="inlineStr">
        <is>
          <t>Santa Catalina</t>
        </is>
      </c>
      <c r="D445" s="37" t="inlineStr">
        <is>
          <t>W. murcott 21 ha</t>
        </is>
      </c>
      <c r="E445" s="36" t="inlineStr">
        <is>
          <t>Mandarina</t>
        </is>
      </c>
      <c r="F445" s="36" t="inlineStr">
        <is>
          <t>W. murcott</t>
        </is>
      </c>
      <c r="G445" s="36" t="inlineStr">
        <is>
          <t>Producción</t>
        </is>
      </c>
      <c r="H445" s="38" t="n">
        <v>21</v>
      </c>
      <c r="I445" s="38" t="n">
        <v>21</v>
      </c>
      <c r="J445" s="36" t="inlineStr">
        <is>
          <t>Costo</t>
        </is>
      </c>
      <c r="K445" s="37" t="inlineStr">
        <is>
          <t>2- M.O. indirecta</t>
        </is>
      </c>
      <c r="L445" s="37" t="inlineStr">
        <is>
          <t>4,1- ENCARGADO MANTENCIONES</t>
        </is>
      </c>
      <c r="M445" s="37" t="inlineStr">
        <is>
          <t>Operacion predio</t>
        </is>
      </c>
      <c r="N445" s="36" t="inlineStr">
        <is>
          <t>día</t>
        </is>
      </c>
      <c r="O445" s="36" t="inlineStr">
        <is>
          <t>ha</t>
        </is>
      </c>
      <c r="P445" s="39" t="n">
        <v>11000</v>
      </c>
      <c r="Q445" s="40" t="n">
        <v>21</v>
      </c>
      <c r="R445" s="39" t="n">
        <v>2309076</v>
      </c>
      <c r="S445" s="41" t="n">
        <v>0.00244346666666667</v>
      </c>
      <c r="T445" s="39" t="n">
        <v>2.19912</v>
      </c>
      <c r="U445" s="39" t="n">
        <v>213.803333333333</v>
      </c>
      <c r="V445" s="39" t="n">
        <v>213.803333333333</v>
      </c>
      <c r="W445" s="39" t="n">
        <v>213.803333333333</v>
      </c>
      <c r="X445" s="39" t="n">
        <v>213.803333333333</v>
      </c>
      <c r="Y445" s="39" t="n">
        <v>213.803333333333</v>
      </c>
      <c r="Z445" s="39" t="n">
        <v>213.803333333333</v>
      </c>
      <c r="AA445" s="39" t="n">
        <v>213.803333333333</v>
      </c>
      <c r="AB445" s="39" t="n">
        <v>213.803333333333</v>
      </c>
      <c r="AC445" s="39" t="n">
        <v>213.803333333333</v>
      </c>
      <c r="AD445" s="39" t="n">
        <v>213.803333333333</v>
      </c>
      <c r="AE445" s="39" t="n">
        <v>213.803333333333</v>
      </c>
      <c r="AF445" s="39" t="n">
        <v>213.803333333333</v>
      </c>
    </row>
    <row r="446" ht="15" customHeight="1" s="176">
      <c r="A446" s="30" t="inlineStr">
        <is>
          <t>P-0443</t>
        </is>
      </c>
      <c r="B446" s="30" t="inlineStr">
        <is>
          <t>2026/27</t>
        </is>
      </c>
      <c r="C446" s="30" t="inlineStr">
        <is>
          <t>Santa Catalina</t>
        </is>
      </c>
      <c r="D446" s="31" t="inlineStr">
        <is>
          <t>W. murcott 21 ha</t>
        </is>
      </c>
      <c r="E446" s="30" t="inlineStr">
        <is>
          <t>Mandarina</t>
        </is>
      </c>
      <c r="F446" s="30" t="inlineStr">
        <is>
          <t>W. murcott</t>
        </is>
      </c>
      <c r="G446" s="30" t="inlineStr">
        <is>
          <t>Producción</t>
        </is>
      </c>
      <c r="H446" s="32" t="n">
        <v>21</v>
      </c>
      <c r="I446" s="32" t="n">
        <v>21</v>
      </c>
      <c r="J446" s="30" t="inlineStr">
        <is>
          <t>Costo</t>
        </is>
      </c>
      <c r="K446" s="31" t="inlineStr">
        <is>
          <t>1- M.O. directa</t>
        </is>
      </c>
      <c r="L446" s="31" t="inlineStr">
        <is>
          <t>5- Control de malezas mecánico</t>
        </is>
      </c>
      <c r="M446" s="31" t="n"/>
      <c r="N446" s="30" t="inlineStr">
        <is>
          <t>trato</t>
        </is>
      </c>
      <c r="O446" s="30" t="inlineStr">
        <is>
          <t>plt</t>
        </is>
      </c>
      <c r="P446" s="33" t="n">
        <v>100</v>
      </c>
      <c r="Q446" s="34" t="n">
        <v>14007</v>
      </c>
      <c r="R446" s="33" t="n">
        <v>2801400</v>
      </c>
      <c r="S446" s="35" t="n">
        <v>0.00296444444444444</v>
      </c>
      <c r="T446" s="33" t="n">
        <v>2.668</v>
      </c>
      <c r="U446" s="33" t="n">
        <v>0</v>
      </c>
      <c r="V446" s="33" t="n">
        <v>0</v>
      </c>
      <c r="W446" s="33" t="n">
        <v>0</v>
      </c>
      <c r="X446" s="33" t="n">
        <v>0</v>
      </c>
      <c r="Y446" s="33" t="n">
        <v>0</v>
      </c>
      <c r="Z446" s="33" t="n">
        <v>778.166666666667</v>
      </c>
      <c r="AA446" s="33" t="n">
        <v>778.166666666667</v>
      </c>
      <c r="AB446" s="33" t="n">
        <v>0</v>
      </c>
      <c r="AC446" s="33" t="n">
        <v>0</v>
      </c>
      <c r="AD446" s="33" t="n">
        <v>0</v>
      </c>
      <c r="AE446" s="33" t="n">
        <v>1556.33333333333</v>
      </c>
      <c r="AF446" s="33" t="n">
        <v>0</v>
      </c>
    </row>
    <row r="447" ht="15" customHeight="1" s="176">
      <c r="A447" s="36" t="inlineStr">
        <is>
          <t>P-0444</t>
        </is>
      </c>
      <c r="B447" s="36" t="inlineStr">
        <is>
          <t>2026/27</t>
        </is>
      </c>
      <c r="C447" s="36" t="inlineStr">
        <is>
          <t>Santa Catalina</t>
        </is>
      </c>
      <c r="D447" s="37" t="inlineStr">
        <is>
          <t>W. murcott 21 ha</t>
        </is>
      </c>
      <c r="E447" s="36" t="inlineStr">
        <is>
          <t>Mandarina</t>
        </is>
      </c>
      <c r="F447" s="36" t="inlineStr">
        <is>
          <t>W. murcott</t>
        </is>
      </c>
      <c r="G447" s="36" t="inlineStr">
        <is>
          <t>Producción</t>
        </is>
      </c>
      <c r="H447" s="38" t="n">
        <v>21</v>
      </c>
      <c r="I447" s="38" t="n">
        <v>21</v>
      </c>
      <c r="J447" s="36" t="inlineStr">
        <is>
          <t>Costo</t>
        </is>
      </c>
      <c r="K447" s="37" t="inlineStr">
        <is>
          <t>3- Gasto general</t>
        </is>
      </c>
      <c r="L447" s="37" t="inlineStr">
        <is>
          <t>5- OTROS COSTOS  (fletes, alambres, mallas)</t>
        </is>
      </c>
      <c r="M447" s="37" t="n"/>
      <c r="N447" s="36" t="n"/>
      <c r="O447" s="36" t="inlineStr">
        <is>
          <t>ha</t>
        </is>
      </c>
      <c r="P447" s="39" t="n">
        <v>100000</v>
      </c>
      <c r="Q447" s="40" t="n">
        <v>21</v>
      </c>
      <c r="R447" s="39" t="n">
        <v>20991600</v>
      </c>
      <c r="S447" s="41" t="n">
        <v>0.0222133333333333</v>
      </c>
      <c r="T447" s="39" t="n">
        <v>19.992</v>
      </c>
      <c r="U447" s="39" t="n">
        <v>1943.66666666667</v>
      </c>
      <c r="V447" s="39" t="n">
        <v>1943.66666666667</v>
      </c>
      <c r="W447" s="39" t="n">
        <v>1943.66666666667</v>
      </c>
      <c r="X447" s="39" t="n">
        <v>1943.66666666667</v>
      </c>
      <c r="Y447" s="39" t="n">
        <v>1943.66666666667</v>
      </c>
      <c r="Z447" s="39" t="n">
        <v>1943.66666666667</v>
      </c>
      <c r="AA447" s="39" t="n">
        <v>1943.66666666667</v>
      </c>
      <c r="AB447" s="39" t="n">
        <v>1943.66666666667</v>
      </c>
      <c r="AC447" s="39" t="n">
        <v>1943.66666666667</v>
      </c>
      <c r="AD447" s="39" t="n">
        <v>1943.66666666667</v>
      </c>
      <c r="AE447" s="39" t="n">
        <v>1943.66666666667</v>
      </c>
      <c r="AF447" s="39" t="n">
        <v>1943.66666666667</v>
      </c>
    </row>
    <row r="448" ht="15" customHeight="1" s="176">
      <c r="A448" s="30" t="inlineStr">
        <is>
          <t>P-0445</t>
        </is>
      </c>
      <c r="B448" s="30" t="inlineStr">
        <is>
          <t>2026/27</t>
        </is>
      </c>
      <c r="C448" s="30" t="inlineStr">
        <is>
          <t>Santa Catalina</t>
        </is>
      </c>
      <c r="D448" s="31" t="inlineStr">
        <is>
          <t>W. murcott 21 ha</t>
        </is>
      </c>
      <c r="E448" s="30" t="inlineStr">
        <is>
          <t>Mandarina</t>
        </is>
      </c>
      <c r="F448" s="30" t="inlineStr">
        <is>
          <t>W. murcott</t>
        </is>
      </c>
      <c r="G448" s="30" t="inlineStr">
        <is>
          <t>Producción</t>
        </is>
      </c>
      <c r="H448" s="32" t="n">
        <v>21</v>
      </c>
      <c r="I448" s="32" t="n">
        <v>21</v>
      </c>
      <c r="J448" s="30" t="inlineStr">
        <is>
          <t>Costo</t>
        </is>
      </c>
      <c r="K448" s="31" t="inlineStr">
        <is>
          <t>2- M.O. indirecta</t>
        </is>
      </c>
      <c r="L448" s="31" t="inlineStr">
        <is>
          <t>5- PREVEN. DE RIESGO</t>
        </is>
      </c>
      <c r="M448" s="31" t="inlineStr">
        <is>
          <t>Operacion predio</t>
        </is>
      </c>
      <c r="N448" s="30" t="inlineStr">
        <is>
          <t>día</t>
        </is>
      </c>
      <c r="O448" s="30" t="inlineStr">
        <is>
          <t>ha</t>
        </is>
      </c>
      <c r="P448" s="33" t="n">
        <v>1575</v>
      </c>
      <c r="Q448" s="34" t="n">
        <v>21</v>
      </c>
      <c r="R448" s="33" t="n">
        <v>330617.7</v>
      </c>
      <c r="S448" s="35" t="n">
        <v>0.00034986</v>
      </c>
      <c r="T448" s="33" t="n">
        <v>0.314874</v>
      </c>
      <c r="U448" s="33" t="n">
        <v>30.61275</v>
      </c>
      <c r="V448" s="33" t="n">
        <v>30.61275</v>
      </c>
      <c r="W448" s="33" t="n">
        <v>30.61275</v>
      </c>
      <c r="X448" s="33" t="n">
        <v>30.61275</v>
      </c>
      <c r="Y448" s="33" t="n">
        <v>30.61275</v>
      </c>
      <c r="Z448" s="33" t="n">
        <v>30.61275</v>
      </c>
      <c r="AA448" s="33" t="n">
        <v>30.61275</v>
      </c>
      <c r="AB448" s="33" t="n">
        <v>30.61275</v>
      </c>
      <c r="AC448" s="33" t="n">
        <v>30.61275</v>
      </c>
      <c r="AD448" s="33" t="n">
        <v>30.61275</v>
      </c>
      <c r="AE448" s="33" t="n">
        <v>30.61275</v>
      </c>
      <c r="AF448" s="33" t="n">
        <v>30.61275</v>
      </c>
    </row>
    <row r="449" ht="15" customHeight="1" s="176">
      <c r="A449" s="36" t="inlineStr">
        <is>
          <t>P-0446</t>
        </is>
      </c>
      <c r="B449" s="36" t="inlineStr">
        <is>
          <t>2026/27</t>
        </is>
      </c>
      <c r="C449" s="36" t="inlineStr">
        <is>
          <t>Santa Catalina</t>
        </is>
      </c>
      <c r="D449" s="37" t="inlineStr">
        <is>
          <t>W. murcott 21 ha</t>
        </is>
      </c>
      <c r="E449" s="36" t="inlineStr">
        <is>
          <t>Mandarina</t>
        </is>
      </c>
      <c r="F449" s="36" t="inlineStr">
        <is>
          <t>W. murcott</t>
        </is>
      </c>
      <c r="G449" s="36" t="inlineStr">
        <is>
          <t>Producción</t>
        </is>
      </c>
      <c r="H449" s="38" t="n">
        <v>21</v>
      </c>
      <c r="I449" s="38" t="n">
        <v>21</v>
      </c>
      <c r="J449" s="36" t="inlineStr">
        <is>
          <t>Costo</t>
        </is>
      </c>
      <c r="K449" s="37" t="inlineStr">
        <is>
          <t>1- M.O. directa</t>
        </is>
      </c>
      <c r="L449" s="37" t="inlineStr">
        <is>
          <t>6- Control de malezas químico</t>
        </is>
      </c>
      <c r="M449" s="37" t="inlineStr">
        <is>
          <t>Operacion predio</t>
        </is>
      </c>
      <c r="N449" s="36" t="inlineStr">
        <is>
          <t>día</t>
        </is>
      </c>
      <c r="O449" s="36" t="inlineStr">
        <is>
          <t>ha</t>
        </is>
      </c>
      <c r="P449" s="39" t="n">
        <v>43500</v>
      </c>
      <c r="Q449" s="40" t="n">
        <v>21</v>
      </c>
      <c r="R449" s="39" t="n">
        <v>4567500</v>
      </c>
      <c r="S449" s="41" t="n">
        <v>0.00483333333333333</v>
      </c>
      <c r="T449" s="39" t="n">
        <v>4.35</v>
      </c>
      <c r="U449" s="39" t="n">
        <v>0</v>
      </c>
      <c r="V449" s="39" t="n">
        <v>0</v>
      </c>
      <c r="W449" s="39" t="n">
        <v>0</v>
      </c>
      <c r="X449" s="39" t="n">
        <v>1015</v>
      </c>
      <c r="Y449" s="39" t="n">
        <v>0</v>
      </c>
      <c r="Z449" s="39" t="n">
        <v>1015</v>
      </c>
      <c r="AA449" s="39" t="n">
        <v>0</v>
      </c>
      <c r="AB449" s="39" t="n">
        <v>1015</v>
      </c>
      <c r="AC449" s="39" t="n">
        <v>0</v>
      </c>
      <c r="AD449" s="39" t="n">
        <v>1015</v>
      </c>
      <c r="AE449" s="39" t="n">
        <v>0</v>
      </c>
      <c r="AF449" s="39" t="n">
        <v>1015</v>
      </c>
    </row>
    <row r="450" ht="15" customHeight="1" s="176">
      <c r="A450" s="30" t="inlineStr">
        <is>
          <t>P-0447</t>
        </is>
      </c>
      <c r="B450" s="30" t="inlineStr">
        <is>
          <t>2026/27</t>
        </is>
      </c>
      <c r="C450" s="30" t="inlineStr">
        <is>
          <t>Santa Catalina</t>
        </is>
      </c>
      <c r="D450" s="31" t="inlineStr">
        <is>
          <t>W. murcott 21 ha</t>
        </is>
      </c>
      <c r="E450" s="30" t="inlineStr">
        <is>
          <t>Mandarina</t>
        </is>
      </c>
      <c r="F450" s="30" t="inlineStr">
        <is>
          <t>W. murcott</t>
        </is>
      </c>
      <c r="G450" s="30" t="inlineStr">
        <is>
          <t>Producción</t>
        </is>
      </c>
      <c r="H450" s="32" t="n">
        <v>21</v>
      </c>
      <c r="I450" s="32" t="n">
        <v>21</v>
      </c>
      <c r="J450" s="30" t="inlineStr">
        <is>
          <t>Costo</t>
        </is>
      </c>
      <c r="K450" s="31" t="inlineStr">
        <is>
          <t>4- Otros gastos</t>
        </is>
      </c>
      <c r="L450" s="31" t="inlineStr">
        <is>
          <t>6- GASTOS INDIRECTOS</t>
        </is>
      </c>
      <c r="M450" s="31" t="n"/>
      <c r="N450" s="30" t="n"/>
      <c r="O450" s="30" t="inlineStr">
        <is>
          <t>ha</t>
        </is>
      </c>
      <c r="P450" s="33" t="n">
        <v>62000</v>
      </c>
      <c r="Q450" s="34" t="n">
        <v>21</v>
      </c>
      <c r="R450" s="33" t="n">
        <v>13014792</v>
      </c>
      <c r="S450" s="35" t="n">
        <v>0.0137722666666667</v>
      </c>
      <c r="T450" s="33" t="n">
        <v>12.39504</v>
      </c>
      <c r="U450" s="33" t="n">
        <v>1205.07333333333</v>
      </c>
      <c r="V450" s="33" t="n">
        <v>1205.07333333333</v>
      </c>
      <c r="W450" s="33" t="n">
        <v>1205.07333333333</v>
      </c>
      <c r="X450" s="33" t="n">
        <v>1205.07333333333</v>
      </c>
      <c r="Y450" s="33" t="n">
        <v>1205.07333333333</v>
      </c>
      <c r="Z450" s="33" t="n">
        <v>1205.07333333333</v>
      </c>
      <c r="AA450" s="33" t="n">
        <v>1205.07333333333</v>
      </c>
      <c r="AB450" s="33" t="n">
        <v>1205.07333333333</v>
      </c>
      <c r="AC450" s="33" t="n">
        <v>1205.07333333333</v>
      </c>
      <c r="AD450" s="33" t="n">
        <v>1205.07333333333</v>
      </c>
      <c r="AE450" s="33" t="n">
        <v>1205.07333333333</v>
      </c>
      <c r="AF450" s="33" t="n">
        <v>1205.07333333333</v>
      </c>
    </row>
    <row r="451" ht="15" customHeight="1" s="176">
      <c r="A451" s="36" t="inlineStr">
        <is>
          <t>P-0448</t>
        </is>
      </c>
      <c r="B451" s="36" t="inlineStr">
        <is>
          <t>2026/27</t>
        </is>
      </c>
      <c r="C451" s="36" t="inlineStr">
        <is>
          <t>Santa Catalina</t>
        </is>
      </c>
      <c r="D451" s="37" t="inlineStr">
        <is>
          <t>W. murcott 21 ha</t>
        </is>
      </c>
      <c r="E451" s="36" t="inlineStr">
        <is>
          <t>Mandarina</t>
        </is>
      </c>
      <c r="F451" s="36" t="inlineStr">
        <is>
          <t>W. murcott</t>
        </is>
      </c>
      <c r="G451" s="36" t="inlineStr">
        <is>
          <t>Producción</t>
        </is>
      </c>
      <c r="H451" s="38" t="n">
        <v>21</v>
      </c>
      <c r="I451" s="38" t="n">
        <v>21</v>
      </c>
      <c r="J451" s="36" t="inlineStr">
        <is>
          <t>Costo</t>
        </is>
      </c>
      <c r="K451" s="37" t="inlineStr">
        <is>
          <t>1- M.O. directa</t>
        </is>
      </c>
      <c r="L451" s="37" t="inlineStr">
        <is>
          <t>7- Acordonar sarmiento</t>
        </is>
      </c>
      <c r="M451" s="37" t="n"/>
      <c r="N451" s="36" t="inlineStr">
        <is>
          <t>trato</t>
        </is>
      </c>
      <c r="O451" s="36" t="inlineStr">
        <is>
          <t>plt</t>
        </is>
      </c>
      <c r="P451" s="39" t="n">
        <v>70</v>
      </c>
      <c r="Q451" s="40" t="n">
        <v>14007</v>
      </c>
      <c r="R451" s="39" t="n">
        <v>980490</v>
      </c>
      <c r="S451" s="41" t="n">
        <v>0.00103755555555556</v>
      </c>
      <c r="T451" s="39" t="n">
        <v>0.9338</v>
      </c>
      <c r="U451" s="39" t="n">
        <v>0</v>
      </c>
      <c r="V451" s="39" t="n">
        <v>0</v>
      </c>
      <c r="W451" s="39" t="n">
        <v>544.716666666667</v>
      </c>
      <c r="X451" s="39" t="n">
        <v>544.716666666667</v>
      </c>
      <c r="Y451" s="39" t="n">
        <v>0</v>
      </c>
      <c r="Z451" s="39" t="n">
        <v>0</v>
      </c>
      <c r="AA451" s="39" t="n">
        <v>0</v>
      </c>
      <c r="AB451" s="39" t="n">
        <v>0</v>
      </c>
      <c r="AC451" s="39" t="n">
        <v>0</v>
      </c>
      <c r="AD451" s="39" t="n">
        <v>0</v>
      </c>
      <c r="AE451" s="39" t="n">
        <v>0</v>
      </c>
      <c r="AF451" s="39" t="n">
        <v>0</v>
      </c>
    </row>
    <row r="452" ht="15" customHeight="1" s="176">
      <c r="A452" s="30" t="inlineStr">
        <is>
          <t>P-0449</t>
        </is>
      </c>
      <c r="B452" s="30" t="inlineStr">
        <is>
          <t>2026/27</t>
        </is>
      </c>
      <c r="C452" s="30" t="inlineStr">
        <is>
          <t>Santa Catalina</t>
        </is>
      </c>
      <c r="D452" s="31" t="inlineStr">
        <is>
          <t>W. murcott 21 ha</t>
        </is>
      </c>
      <c r="E452" s="30" t="inlineStr">
        <is>
          <t>Mandarina</t>
        </is>
      </c>
      <c r="F452" s="30" t="inlineStr">
        <is>
          <t>W. murcott</t>
        </is>
      </c>
      <c r="G452" s="30" t="inlineStr">
        <is>
          <t>Producción</t>
        </is>
      </c>
      <c r="H452" s="32" t="n">
        <v>21</v>
      </c>
      <c r="I452" s="32" t="n">
        <v>21</v>
      </c>
      <c r="J452" s="30" t="inlineStr">
        <is>
          <t>Costo</t>
        </is>
      </c>
      <c r="K452" s="31" t="inlineStr">
        <is>
          <t>4- Otros gastos</t>
        </is>
      </c>
      <c r="L452" s="31" t="inlineStr">
        <is>
          <t>7- GASTOS DE ADMINISTRACION</t>
        </is>
      </c>
      <c r="M452" s="31" t="n"/>
      <c r="N452" s="30" t="n"/>
      <c r="O452" s="30" t="inlineStr">
        <is>
          <t>ha</t>
        </is>
      </c>
      <c r="P452" s="33" t="n">
        <v>27673</v>
      </c>
      <c r="Q452" s="34" t="n">
        <v>21</v>
      </c>
      <c r="R452" s="33" t="n">
        <v>5809005.468</v>
      </c>
      <c r="S452" s="35" t="n">
        <v>0.00614709573333333</v>
      </c>
      <c r="T452" s="33" t="n">
        <v>5.53238616</v>
      </c>
      <c r="U452" s="33" t="n">
        <v>537.870876666667</v>
      </c>
      <c r="V452" s="33" t="n">
        <v>537.870876666667</v>
      </c>
      <c r="W452" s="33" t="n">
        <v>537.870876666667</v>
      </c>
      <c r="X452" s="33" t="n">
        <v>537.870876666667</v>
      </c>
      <c r="Y452" s="33" t="n">
        <v>537.870876666667</v>
      </c>
      <c r="Z452" s="33" t="n">
        <v>537.870876666667</v>
      </c>
      <c r="AA452" s="33" t="n">
        <v>537.870876666667</v>
      </c>
      <c r="AB452" s="33" t="n">
        <v>537.870876666667</v>
      </c>
      <c r="AC452" s="33" t="n">
        <v>537.870876666667</v>
      </c>
      <c r="AD452" s="33" t="n">
        <v>537.870876666667</v>
      </c>
      <c r="AE452" s="33" t="n">
        <v>537.870876666667</v>
      </c>
      <c r="AF452" s="33" t="n">
        <v>537.870876666667</v>
      </c>
    </row>
    <row r="453" ht="15" customHeight="1" s="176">
      <c r="A453" s="36" t="inlineStr">
        <is>
          <t>P-0450</t>
        </is>
      </c>
      <c r="B453" s="36" t="inlineStr">
        <is>
          <t>2026/27</t>
        </is>
      </c>
      <c r="C453" s="36" t="inlineStr">
        <is>
          <t>Santa Catalina</t>
        </is>
      </c>
      <c r="D453" s="37" t="inlineStr">
        <is>
          <t>W. murcott 21 ha</t>
        </is>
      </c>
      <c r="E453" s="36" t="inlineStr">
        <is>
          <t>Mandarina</t>
        </is>
      </c>
      <c r="F453" s="36" t="inlineStr">
        <is>
          <t>W. murcott</t>
        </is>
      </c>
      <c r="G453" s="36" t="inlineStr">
        <is>
          <t>Producción</t>
        </is>
      </c>
      <c r="H453" s="38" t="n">
        <v>21</v>
      </c>
      <c r="I453" s="38" t="n">
        <v>21</v>
      </c>
      <c r="J453" s="36" t="inlineStr">
        <is>
          <t>Costo</t>
        </is>
      </c>
      <c r="K453" s="37" t="inlineStr">
        <is>
          <t>1- M.O. directa</t>
        </is>
      </c>
      <c r="L453" s="37" t="inlineStr">
        <is>
          <t>7,1- TRACTORISTA</t>
        </is>
      </c>
      <c r="M453" s="37" t="inlineStr">
        <is>
          <t>Operacion predio</t>
        </is>
      </c>
      <c r="N453" s="36" t="inlineStr">
        <is>
          <t>día</t>
        </is>
      </c>
      <c r="O453" s="36" t="inlineStr">
        <is>
          <t>ha</t>
        </is>
      </c>
      <c r="P453" s="39" t="n">
        <v>38000</v>
      </c>
      <c r="Q453" s="40" t="n">
        <v>21</v>
      </c>
      <c r="R453" s="39" t="n">
        <v>7976808</v>
      </c>
      <c r="S453" s="41" t="n">
        <v>0.00844106666666667</v>
      </c>
      <c r="T453" s="39" t="n">
        <v>7.59696</v>
      </c>
      <c r="U453" s="39" t="n">
        <v>738.593333333333</v>
      </c>
      <c r="V453" s="39" t="n">
        <v>738.593333333333</v>
      </c>
      <c r="W453" s="39" t="n">
        <v>738.593333333333</v>
      </c>
      <c r="X453" s="39" t="n">
        <v>738.593333333333</v>
      </c>
      <c r="Y453" s="39" t="n">
        <v>738.593333333333</v>
      </c>
      <c r="Z453" s="39" t="n">
        <v>738.593333333333</v>
      </c>
      <c r="AA453" s="39" t="n">
        <v>738.593333333333</v>
      </c>
      <c r="AB453" s="39" t="n">
        <v>738.593333333333</v>
      </c>
      <c r="AC453" s="39" t="n">
        <v>738.593333333333</v>
      </c>
      <c r="AD453" s="39" t="n">
        <v>738.593333333333</v>
      </c>
      <c r="AE453" s="39" t="n">
        <v>738.593333333333</v>
      </c>
      <c r="AF453" s="39" t="n">
        <v>738.593333333333</v>
      </c>
    </row>
    <row r="454" ht="15" customHeight="1" s="176">
      <c r="A454" s="30" t="inlineStr">
        <is>
          <t>P-0451</t>
        </is>
      </c>
      <c r="B454" s="30" t="inlineStr">
        <is>
          <t>2026/27</t>
        </is>
      </c>
      <c r="C454" s="30" t="inlineStr">
        <is>
          <t>Santa Catalina</t>
        </is>
      </c>
      <c r="D454" s="31" t="inlineStr">
        <is>
          <t>W. murcott 21 ha</t>
        </is>
      </c>
      <c r="E454" s="30" t="inlineStr">
        <is>
          <t>Mandarina</t>
        </is>
      </c>
      <c r="F454" s="30" t="inlineStr">
        <is>
          <t>W. murcott</t>
        </is>
      </c>
      <c r="G454" s="30" t="inlineStr">
        <is>
          <t>Producción</t>
        </is>
      </c>
      <c r="H454" s="32" t="n">
        <v>21</v>
      </c>
      <c r="I454" s="32" t="n">
        <v>21</v>
      </c>
      <c r="J454" s="30" t="inlineStr">
        <is>
          <t>Costo</t>
        </is>
      </c>
      <c r="K454" s="31" t="inlineStr">
        <is>
          <t>2- M.O. indirecta</t>
        </is>
      </c>
      <c r="L454" s="31" t="inlineStr">
        <is>
          <t>9,1- RONDIN FUNDO</t>
        </is>
      </c>
      <c r="M454" s="31" t="n"/>
      <c r="N454" s="30" t="inlineStr">
        <is>
          <t>día</t>
        </is>
      </c>
      <c r="O454" s="30" t="inlineStr">
        <is>
          <t>ha</t>
        </is>
      </c>
      <c r="P454" s="33" t="n">
        <v>39762</v>
      </c>
      <c r="Q454" s="34" t="n">
        <v>21</v>
      </c>
      <c r="R454" s="33" t="n">
        <v>8346679.992</v>
      </c>
      <c r="S454" s="35" t="n">
        <v>0.0088324656</v>
      </c>
      <c r="T454" s="33" t="n">
        <v>7.94921904</v>
      </c>
      <c r="U454" s="33" t="n">
        <v>772.84074</v>
      </c>
      <c r="V454" s="33" t="n">
        <v>772.84074</v>
      </c>
      <c r="W454" s="33" t="n">
        <v>772.84074</v>
      </c>
      <c r="X454" s="33" t="n">
        <v>772.84074</v>
      </c>
      <c r="Y454" s="33" t="n">
        <v>772.84074</v>
      </c>
      <c r="Z454" s="33" t="n">
        <v>772.84074</v>
      </c>
      <c r="AA454" s="33" t="n">
        <v>772.84074</v>
      </c>
      <c r="AB454" s="33" t="n">
        <v>772.84074</v>
      </c>
      <c r="AC454" s="33" t="n">
        <v>772.84074</v>
      </c>
      <c r="AD454" s="33" t="n">
        <v>772.84074</v>
      </c>
      <c r="AE454" s="33" t="n">
        <v>772.84074</v>
      </c>
      <c r="AF454" s="33" t="n">
        <v>772.84074</v>
      </c>
    </row>
    <row r="455" ht="15" customHeight="1" s="176">
      <c r="A455" s="36" t="inlineStr">
        <is>
          <t>P-0452</t>
        </is>
      </c>
      <c r="B455" s="36" t="inlineStr">
        <is>
          <t>2026/27</t>
        </is>
      </c>
      <c r="C455" s="36" t="inlineStr">
        <is>
          <t>Santa Catalina</t>
        </is>
      </c>
      <c r="D455" s="37" t="inlineStr">
        <is>
          <t>W. murcott 21 ha</t>
        </is>
      </c>
      <c r="E455" s="36" t="inlineStr">
        <is>
          <t>Mandarina</t>
        </is>
      </c>
      <c r="F455" s="36" t="inlineStr">
        <is>
          <t>W. murcott</t>
        </is>
      </c>
      <c r="G455" s="36" t="inlineStr">
        <is>
          <t>Producción</t>
        </is>
      </c>
      <c r="H455" s="38" t="n">
        <v>21</v>
      </c>
      <c r="I455" s="38" t="n">
        <v>21</v>
      </c>
      <c r="J455" s="36" t="inlineStr">
        <is>
          <t>Costo</t>
        </is>
      </c>
      <c r="K455" s="37" t="inlineStr">
        <is>
          <t>2- M.O. indirecta</t>
        </is>
      </c>
      <c r="L455" s="37" t="inlineStr">
        <is>
          <t>9,1- RONDIN ZANJON</t>
        </is>
      </c>
      <c r="M455" s="37" t="n"/>
      <c r="N455" s="36" t="inlineStr">
        <is>
          <t>día</t>
        </is>
      </c>
      <c r="O455" s="36" t="inlineStr">
        <is>
          <t>ha</t>
        </is>
      </c>
      <c r="P455" s="39" t="n">
        <v>70688</v>
      </c>
      <c r="Q455" s="40" t="n">
        <v>21</v>
      </c>
      <c r="R455" s="39" t="n">
        <v>14838542.208</v>
      </c>
      <c r="S455" s="41" t="n">
        <v>0.0157021610666667</v>
      </c>
      <c r="T455" s="39" t="n">
        <v>14.13194496</v>
      </c>
      <c r="U455" s="39" t="n">
        <v>1373.93909333333</v>
      </c>
      <c r="V455" s="39" t="n">
        <v>1373.93909333333</v>
      </c>
      <c r="W455" s="39" t="n">
        <v>1373.93909333333</v>
      </c>
      <c r="X455" s="39" t="n">
        <v>1373.93909333333</v>
      </c>
      <c r="Y455" s="39" t="n">
        <v>1373.93909333333</v>
      </c>
      <c r="Z455" s="39" t="n">
        <v>1373.93909333333</v>
      </c>
      <c r="AA455" s="39" t="n">
        <v>1373.93909333333</v>
      </c>
      <c r="AB455" s="39" t="n">
        <v>1373.93909333333</v>
      </c>
      <c r="AC455" s="39" t="n">
        <v>1373.93909333333</v>
      </c>
      <c r="AD455" s="39" t="n">
        <v>1373.93909333333</v>
      </c>
      <c r="AE455" s="39" t="n">
        <v>1373.93909333333</v>
      </c>
      <c r="AF455" s="39" t="n">
        <v>1373.93909333333</v>
      </c>
    </row>
    <row r="456" ht="15" customHeight="1" s="176">
      <c r="A456" s="42" t="inlineStr">
        <is>
          <t>P-0453</t>
        </is>
      </c>
      <c r="B456" s="42" t="inlineStr">
        <is>
          <t>2026/27</t>
        </is>
      </c>
      <c r="C456" s="42" t="inlineStr">
        <is>
          <t>Santa Catalina</t>
        </is>
      </c>
      <c r="D456" s="43" t="inlineStr">
        <is>
          <t>eureka 22,55</t>
        </is>
      </c>
      <c r="E456" s="42" t="inlineStr">
        <is>
          <t>Limon</t>
        </is>
      </c>
      <c r="F456" s="42" t="inlineStr">
        <is>
          <t>Eureka</t>
        </is>
      </c>
      <c r="G456" s="42" t="inlineStr">
        <is>
          <t>Producción</t>
        </is>
      </c>
      <c r="H456" s="44" t="n">
        <v>22.55</v>
      </c>
      <c r="I456" s="44" t="n">
        <v>22.55</v>
      </c>
      <c r="J456" s="42" t="inlineStr">
        <is>
          <t>Ingreso</t>
        </is>
      </c>
      <c r="K456" s="43" t="inlineStr">
        <is>
          <t>5- Ingresos</t>
        </is>
      </c>
      <c r="L456" s="43" t="inlineStr">
        <is>
          <t>Venta Desc.</t>
        </is>
      </c>
      <c r="M456" s="43" t="n"/>
      <c r="N456" s="42" t="inlineStr">
        <is>
          <t>venta</t>
        </is>
      </c>
      <c r="O456" s="42" t="inlineStr">
        <is>
          <t>kg</t>
        </is>
      </c>
      <c r="P456" s="45" t="n">
        <v>-222.222222222222</v>
      </c>
      <c r="Q456" s="46" t="n">
        <v>160912.29</v>
      </c>
      <c r="R456" s="45" t="n">
        <v>30777908.7</v>
      </c>
      <c r="S456" s="47" t="n">
        <v>-0.212523706755608</v>
      </c>
      <c r="T456" s="45" t="n">
        <v>-191.271336080047</v>
      </c>
      <c r="U456" s="45" t="n">
        <v>2441.41333333333</v>
      </c>
      <c r="V456" s="45" t="n">
        <v>0</v>
      </c>
      <c r="W456" s="45" t="n">
        <v>0</v>
      </c>
      <c r="X456" s="45" t="n">
        <v>0</v>
      </c>
      <c r="Y456" s="45" t="n">
        <v>1856.316</v>
      </c>
      <c r="Z456" s="45" t="n">
        <v>3093.86</v>
      </c>
      <c r="AA456" s="45" t="n">
        <v>5259.562</v>
      </c>
      <c r="AB456" s="45" t="n">
        <v>5966.73</v>
      </c>
      <c r="AC456" s="45" t="n">
        <v>7292.67</v>
      </c>
      <c r="AD456" s="45" t="n">
        <v>4640.79</v>
      </c>
      <c r="AE456" s="45" t="n">
        <v>2651.88</v>
      </c>
      <c r="AF456" s="45" t="n">
        <v>994.455</v>
      </c>
    </row>
    <row r="457" ht="15" customHeight="1" s="176">
      <c r="A457" s="36" t="inlineStr">
        <is>
          <t>P-0454</t>
        </is>
      </c>
      <c r="B457" s="36" t="inlineStr">
        <is>
          <t>2026/27</t>
        </is>
      </c>
      <c r="C457" s="36" t="inlineStr">
        <is>
          <t>Santa Catalina</t>
        </is>
      </c>
      <c r="D457" s="37" t="inlineStr">
        <is>
          <t>cambria 4,2 ha</t>
        </is>
      </c>
      <c r="E457" s="36" t="inlineStr">
        <is>
          <t>Naranjas</t>
        </is>
      </c>
      <c r="F457" s="36" t="inlineStr">
        <is>
          <t>Cambria</t>
        </is>
      </c>
      <c r="G457" s="36" t="inlineStr">
        <is>
          <t>Mantención</t>
        </is>
      </c>
      <c r="H457" s="38" t="n">
        <v>4.2</v>
      </c>
      <c r="I457" s="38" t="n">
        <v>0</v>
      </c>
      <c r="J457" s="36" t="inlineStr">
        <is>
          <t>Costo</t>
        </is>
      </c>
      <c r="K457" s="37" t="inlineStr">
        <is>
          <t>1- M.O. directa</t>
        </is>
      </c>
      <c r="L457" s="37" t="inlineStr">
        <is>
          <t>4- Grua</t>
        </is>
      </c>
      <c r="M457" s="37" t="inlineStr">
        <is>
          <t>una grua  para 100-120 jh</t>
        </is>
      </c>
      <c r="N457" s="36" t="inlineStr">
        <is>
          <t>día</t>
        </is>
      </c>
      <c r="O457" s="36" t="inlineStr">
        <is>
          <t>kg</t>
        </is>
      </c>
      <c r="P457" s="39" t="n">
        <v>1.5</v>
      </c>
      <c r="Q457" s="40" t="n">
        <v>84000</v>
      </c>
      <c r="R457" s="39" t="n">
        <v>126000</v>
      </c>
      <c r="S457" s="41" t="n">
        <v>0.00166666666666667</v>
      </c>
      <c r="T457" s="39" t="n">
        <v>1.5</v>
      </c>
      <c r="U457" s="39" t="n">
        <v>0</v>
      </c>
      <c r="V457" s="39" t="n">
        <v>0</v>
      </c>
      <c r="W457" s="39" t="n">
        <v>0</v>
      </c>
      <c r="X457" s="39" t="n">
        <v>0</v>
      </c>
      <c r="Y457" s="39" t="n">
        <v>0</v>
      </c>
      <c r="Z457" s="39" t="n">
        <v>70</v>
      </c>
      <c r="AA457" s="39" t="n">
        <v>70</v>
      </c>
      <c r="AB457" s="39" t="n">
        <v>0</v>
      </c>
      <c r="AC457" s="39" t="n">
        <v>0</v>
      </c>
      <c r="AD457" s="39" t="n">
        <v>0</v>
      </c>
      <c r="AE457" s="39" t="n">
        <v>0</v>
      </c>
      <c r="AF457" s="39" t="n">
        <v>0</v>
      </c>
    </row>
    <row r="458" ht="15" customHeight="1" s="176">
      <c r="A458" s="30" t="inlineStr">
        <is>
          <t>P-0455</t>
        </is>
      </c>
      <c r="B458" s="30" t="inlineStr">
        <is>
          <t>2026/27</t>
        </is>
      </c>
      <c r="C458" s="30" t="inlineStr">
        <is>
          <t>Santa Catalina</t>
        </is>
      </c>
      <c r="D458" s="31" t="inlineStr">
        <is>
          <t>cambria 4,2 ha</t>
        </is>
      </c>
      <c r="E458" s="30" t="inlineStr">
        <is>
          <t>Naranjas</t>
        </is>
      </c>
      <c r="F458" s="30" t="inlineStr">
        <is>
          <t>Cambria</t>
        </is>
      </c>
      <c r="G458" s="30" t="inlineStr">
        <is>
          <t>Mantención</t>
        </is>
      </c>
      <c r="H458" s="32" t="n">
        <v>4.2</v>
      </c>
      <c r="I458" s="32" t="n">
        <v>0</v>
      </c>
      <c r="J458" s="30" t="inlineStr">
        <is>
          <t>Costo</t>
        </is>
      </c>
      <c r="K458" s="31" t="inlineStr">
        <is>
          <t>1- M.O. directa</t>
        </is>
      </c>
      <c r="L458" s="31" t="inlineStr">
        <is>
          <t>1- Cosecha M.I</t>
        </is>
      </c>
      <c r="M458" s="31" t="inlineStr">
        <is>
          <t xml:space="preserve">700 kg/jh, 15 jh/cuadrilla </t>
        </is>
      </c>
      <c r="N458" s="30" t="inlineStr">
        <is>
          <t>trato</t>
        </is>
      </c>
      <c r="O458" s="30" t="inlineStr">
        <is>
          <t>kg</t>
        </is>
      </c>
      <c r="P458" s="33" t="n">
        <v>50</v>
      </c>
      <c r="Q458" s="34" t="n">
        <v>84000</v>
      </c>
      <c r="R458" s="33" t="n">
        <v>4200000</v>
      </c>
      <c r="S458" s="35" t="n">
        <v>0.0555555555555556</v>
      </c>
      <c r="T458" s="33" t="n">
        <v>50</v>
      </c>
      <c r="U458" s="33" t="n">
        <v>0</v>
      </c>
      <c r="V458" s="33" t="n">
        <v>0</v>
      </c>
      <c r="W458" s="33" t="n">
        <v>0</v>
      </c>
      <c r="X458" s="33" t="n">
        <v>0</v>
      </c>
      <c r="Y458" s="33" t="n">
        <v>0</v>
      </c>
      <c r="Z458" s="33" t="n">
        <v>1400</v>
      </c>
      <c r="AA458" s="33" t="n">
        <v>1400</v>
      </c>
      <c r="AB458" s="33" t="n">
        <v>1866.66666666667</v>
      </c>
      <c r="AC458" s="33" t="n">
        <v>0</v>
      </c>
      <c r="AD458" s="33" t="n">
        <v>0</v>
      </c>
      <c r="AE458" s="33" t="n">
        <v>0</v>
      </c>
      <c r="AF458" s="33" t="n">
        <v>0</v>
      </c>
    </row>
    <row r="459" ht="15" customHeight="1" s="176">
      <c r="A459" s="36" t="inlineStr">
        <is>
          <t>P-0456</t>
        </is>
      </c>
      <c r="B459" s="36" t="inlineStr">
        <is>
          <t>2026/27</t>
        </is>
      </c>
      <c r="C459" s="36" t="inlineStr">
        <is>
          <t>Santa Catalina</t>
        </is>
      </c>
      <c r="D459" s="37" t="inlineStr">
        <is>
          <t>cambria 4,2 ha</t>
        </is>
      </c>
      <c r="E459" s="36" t="inlineStr">
        <is>
          <t>Naranjas</t>
        </is>
      </c>
      <c r="F459" s="36" t="inlineStr">
        <is>
          <t>Cambria</t>
        </is>
      </c>
      <c r="G459" s="36" t="inlineStr">
        <is>
          <t>Mantención</t>
        </is>
      </c>
      <c r="H459" s="38" t="n">
        <v>4.2</v>
      </c>
      <c r="I459" s="38" t="n">
        <v>0</v>
      </c>
      <c r="J459" s="36" t="inlineStr">
        <is>
          <t>Costo</t>
        </is>
      </c>
      <c r="K459" s="37" t="inlineStr">
        <is>
          <t>2- M.O. indirecta</t>
        </is>
      </c>
      <c r="L459" s="37" t="inlineStr">
        <is>
          <t xml:space="preserve">1- ADM. GENERAL </t>
        </is>
      </c>
      <c r="M459" s="37" t="inlineStr">
        <is>
          <t>Administración general</t>
        </is>
      </c>
      <c r="N459" s="36" t="inlineStr">
        <is>
          <t>día</t>
        </is>
      </c>
      <c r="O459" s="36" t="inlineStr">
        <is>
          <t>ha</t>
        </is>
      </c>
      <c r="P459" s="39" t="n">
        <v>66600</v>
      </c>
      <c r="Q459" s="40" t="n">
        <v>4.2</v>
      </c>
      <c r="R459" s="39" t="n">
        <v>2796081.12</v>
      </c>
      <c r="S459" s="41" t="n">
        <v>0.0369852</v>
      </c>
      <c r="T459" s="39" t="n">
        <v>33.28668</v>
      </c>
      <c r="U459" s="39" t="n">
        <v>258.8964</v>
      </c>
      <c r="V459" s="39" t="n">
        <v>258.8964</v>
      </c>
      <c r="W459" s="39" t="n">
        <v>258.8964</v>
      </c>
      <c r="X459" s="39" t="n">
        <v>258.8964</v>
      </c>
      <c r="Y459" s="39" t="n">
        <v>258.8964</v>
      </c>
      <c r="Z459" s="39" t="n">
        <v>258.8964</v>
      </c>
      <c r="AA459" s="39" t="n">
        <v>258.8964</v>
      </c>
      <c r="AB459" s="39" t="n">
        <v>258.8964</v>
      </c>
      <c r="AC459" s="39" t="n">
        <v>258.8964</v>
      </c>
      <c r="AD459" s="39" t="n">
        <v>258.8964</v>
      </c>
      <c r="AE459" s="39" t="n">
        <v>258.8964</v>
      </c>
      <c r="AF459" s="39" t="n">
        <v>258.8964</v>
      </c>
    </row>
    <row r="460" ht="15" customHeight="1" s="176">
      <c r="A460" s="30" t="inlineStr">
        <is>
          <t>P-0457</t>
        </is>
      </c>
      <c r="B460" s="30" t="inlineStr">
        <is>
          <t>2026/27</t>
        </is>
      </c>
      <c r="C460" s="30" t="inlineStr">
        <is>
          <t>Santa Catalina</t>
        </is>
      </c>
      <c r="D460" s="31" t="inlineStr">
        <is>
          <t>cambria 4,2 ha</t>
        </is>
      </c>
      <c r="E460" s="30" t="inlineStr">
        <is>
          <t>Naranjas</t>
        </is>
      </c>
      <c r="F460" s="30" t="inlineStr">
        <is>
          <t>Cambria</t>
        </is>
      </c>
      <c r="G460" s="30" t="inlineStr">
        <is>
          <t>Mantención</t>
        </is>
      </c>
      <c r="H460" s="32" t="n">
        <v>4.2</v>
      </c>
      <c r="I460" s="32" t="n">
        <v>0</v>
      </c>
      <c r="J460" s="30" t="inlineStr">
        <is>
          <t>Costo</t>
        </is>
      </c>
      <c r="K460" s="31" t="inlineStr">
        <is>
          <t>3- Gasto general</t>
        </is>
      </c>
      <c r="L460" s="31" t="inlineStr">
        <is>
          <t>1- GASTOS DEL PERSONAL</t>
        </is>
      </c>
      <c r="M460" s="31" t="inlineStr">
        <is>
          <t>Alimentacion</t>
        </is>
      </c>
      <c r="N460" s="30" t="n"/>
      <c r="O460" s="30" t="inlineStr">
        <is>
          <t>ha</t>
        </is>
      </c>
      <c r="P460" s="33" t="n">
        <v>29806.7860508954</v>
      </c>
      <c r="Q460" s="34" t="n">
        <v>4.2</v>
      </c>
      <c r="R460" s="33" t="n">
        <v>600904.806786051</v>
      </c>
      <c r="S460" s="35" t="n">
        <v>0.007948476280238769</v>
      </c>
      <c r="T460" s="33" t="n">
        <v>7.15362865221489</v>
      </c>
      <c r="U460" s="33" t="n">
        <v>55.6393339616714</v>
      </c>
      <c r="V460" s="33" t="n">
        <v>55.6393339616714</v>
      </c>
      <c r="W460" s="33" t="n">
        <v>55.6393339616714</v>
      </c>
      <c r="X460" s="33" t="n">
        <v>55.6393339616714</v>
      </c>
      <c r="Y460" s="33" t="n">
        <v>55.6393339616714</v>
      </c>
      <c r="Z460" s="33" t="n">
        <v>55.6393339616714</v>
      </c>
      <c r="AA460" s="33" t="n">
        <v>55.6393339616714</v>
      </c>
      <c r="AB460" s="33" t="n">
        <v>55.6393339616714</v>
      </c>
      <c r="AC460" s="33" t="n">
        <v>55.6393339616714</v>
      </c>
      <c r="AD460" s="33" t="n">
        <v>55.6393339616714</v>
      </c>
      <c r="AE460" s="33" t="n">
        <v>55.6393339616714</v>
      </c>
      <c r="AF460" s="33" t="n">
        <v>55.6393339616714</v>
      </c>
    </row>
    <row r="461" ht="15" customHeight="1" s="176">
      <c r="A461" s="36" t="inlineStr">
        <is>
          <t>P-0458</t>
        </is>
      </c>
      <c r="B461" s="36" t="inlineStr">
        <is>
          <t>2026/27</t>
        </is>
      </c>
      <c r="C461" s="36" t="inlineStr">
        <is>
          <t>Santa Catalina</t>
        </is>
      </c>
      <c r="D461" s="37" t="inlineStr">
        <is>
          <t>cambria 4,2 ha</t>
        </is>
      </c>
      <c r="E461" s="36" t="inlineStr">
        <is>
          <t>Naranjas</t>
        </is>
      </c>
      <c r="F461" s="36" t="inlineStr">
        <is>
          <t>Cambria</t>
        </is>
      </c>
      <c r="G461" s="36" t="inlineStr">
        <is>
          <t>Mantención</t>
        </is>
      </c>
      <c r="H461" s="38" t="n">
        <v>4.2</v>
      </c>
      <c r="I461" s="38" t="n">
        <v>0</v>
      </c>
      <c r="J461" s="36" t="inlineStr">
        <is>
          <t>Costo</t>
        </is>
      </c>
      <c r="K461" s="37" t="inlineStr">
        <is>
          <t>1- M.O. directa</t>
        </is>
      </c>
      <c r="L461" s="37" t="inlineStr">
        <is>
          <t xml:space="preserve">1,4- Mantención caminos </t>
        </is>
      </c>
      <c r="M461" s="37" t="inlineStr">
        <is>
          <t>(pala, rastra, rana)</t>
        </is>
      </c>
      <c r="N461" s="36" t="inlineStr">
        <is>
          <t>día</t>
        </is>
      </c>
      <c r="O461" s="36" t="inlineStr">
        <is>
          <t>JH</t>
        </is>
      </c>
      <c r="P461" s="39" t="n">
        <v>43500</v>
      </c>
      <c r="Q461" s="40" t="n">
        <v>1</v>
      </c>
      <c r="R461" s="39" t="n">
        <v>87000</v>
      </c>
      <c r="S461" s="41" t="n">
        <v>0.00115079365079365</v>
      </c>
      <c r="T461" s="39" t="n">
        <v>1.03571428571429</v>
      </c>
      <c r="U461" s="39" t="n">
        <v>0</v>
      </c>
      <c r="V461" s="39" t="n">
        <v>0</v>
      </c>
      <c r="W461" s="39" t="n">
        <v>0</v>
      </c>
      <c r="X461" s="39" t="n">
        <v>0</v>
      </c>
      <c r="Y461" s="39" t="n">
        <v>0</v>
      </c>
      <c r="Z461" s="39" t="n">
        <v>0</v>
      </c>
      <c r="AA461" s="39" t="n">
        <v>0</v>
      </c>
      <c r="AB461" s="39" t="n">
        <v>48.3333333333333</v>
      </c>
      <c r="AC461" s="39" t="n">
        <v>0</v>
      </c>
      <c r="AD461" s="39" t="n">
        <v>0</v>
      </c>
      <c r="AE461" s="39" t="n">
        <v>0</v>
      </c>
      <c r="AF461" s="39" t="n">
        <v>48.3333333333333</v>
      </c>
    </row>
    <row r="462" ht="15" customHeight="1" s="176">
      <c r="A462" s="30" t="inlineStr">
        <is>
          <t>P-0459</t>
        </is>
      </c>
      <c r="B462" s="30" t="inlineStr">
        <is>
          <t>2026/27</t>
        </is>
      </c>
      <c r="C462" s="30" t="inlineStr">
        <is>
          <t>Santa Catalina</t>
        </is>
      </c>
      <c r="D462" s="31" t="inlineStr">
        <is>
          <t>cambria 4,2 ha</t>
        </is>
      </c>
      <c r="E462" s="30" t="inlineStr">
        <is>
          <t>Naranjas</t>
        </is>
      </c>
      <c r="F462" s="30" t="inlineStr">
        <is>
          <t>Cambria</t>
        </is>
      </c>
      <c r="G462" s="30" t="inlineStr">
        <is>
          <t>Mantención</t>
        </is>
      </c>
      <c r="H462" s="32" t="n">
        <v>4.2</v>
      </c>
      <c r="I462" s="32" t="n">
        <v>0</v>
      </c>
      <c r="J462" s="30" t="inlineStr">
        <is>
          <t>Costo</t>
        </is>
      </c>
      <c r="K462" s="31" t="inlineStr">
        <is>
          <t>1- M.O. directa</t>
        </is>
      </c>
      <c r="L462" s="31" t="inlineStr">
        <is>
          <t>12- Picar sarmiento</t>
        </is>
      </c>
      <c r="M462" s="31" t="n"/>
      <c r="N462" s="30" t="inlineStr">
        <is>
          <t>trato</t>
        </is>
      </c>
      <c r="O462" s="30" t="inlineStr">
        <is>
          <t>plt</t>
        </is>
      </c>
      <c r="P462" s="33" t="n">
        <v>60</v>
      </c>
      <c r="Q462" s="34" t="n">
        <v>1751.4</v>
      </c>
      <c r="R462" s="33" t="n">
        <v>52542</v>
      </c>
      <c r="S462" s="35" t="n">
        <v>0.000695</v>
      </c>
      <c r="T462" s="33" t="n">
        <v>0.6254999999999999</v>
      </c>
      <c r="U462" s="33" t="n">
        <v>0</v>
      </c>
      <c r="V462" s="33" t="n">
        <v>0</v>
      </c>
      <c r="W462" s="33" t="n">
        <v>0</v>
      </c>
      <c r="X462" s="33" t="n">
        <v>0</v>
      </c>
      <c r="Y462" s="33" t="n">
        <v>0</v>
      </c>
      <c r="Z462" s="33" t="n">
        <v>58.38</v>
      </c>
      <c r="AA462" s="33" t="n">
        <v>0</v>
      </c>
      <c r="AB462" s="33" t="n">
        <v>0</v>
      </c>
      <c r="AC462" s="33" t="n">
        <v>0</v>
      </c>
      <c r="AD462" s="33" t="n">
        <v>0</v>
      </c>
      <c r="AE462" s="33" t="n">
        <v>0</v>
      </c>
      <c r="AF462" s="33" t="n">
        <v>0</v>
      </c>
    </row>
    <row r="463" ht="15" customHeight="1" s="176">
      <c r="A463" s="36" t="inlineStr">
        <is>
          <t>P-0460</t>
        </is>
      </c>
      <c r="B463" s="36" t="inlineStr">
        <is>
          <t>2026/27</t>
        </is>
      </c>
      <c r="C463" s="36" t="inlineStr">
        <is>
          <t>Santa Catalina</t>
        </is>
      </c>
      <c r="D463" s="37" t="inlineStr">
        <is>
          <t>eureka 10,6 ha</t>
        </is>
      </c>
      <c r="E463" s="36" t="inlineStr">
        <is>
          <t>Limon</t>
        </is>
      </c>
      <c r="F463" s="36" t="inlineStr">
        <is>
          <t>Eureka</t>
        </is>
      </c>
      <c r="G463" s="36" t="inlineStr">
        <is>
          <t>Producción</t>
        </is>
      </c>
      <c r="H463" s="38" t="n">
        <v>10.6</v>
      </c>
      <c r="I463" s="38" t="n">
        <v>10.6</v>
      </c>
      <c r="J463" s="36" t="inlineStr">
        <is>
          <t>Costo</t>
        </is>
      </c>
      <c r="K463" s="37" t="inlineStr">
        <is>
          <t>2- M.O. indirecta</t>
        </is>
      </c>
      <c r="L463" s="37" t="inlineStr">
        <is>
          <t>4- CERTIFICACIONES</t>
        </is>
      </c>
      <c r="M463" s="37" t="inlineStr">
        <is>
          <t>Operacion predio</t>
        </is>
      </c>
      <c r="N463" s="36" t="inlineStr">
        <is>
          <t>día</t>
        </is>
      </c>
      <c r="O463" s="36" t="inlineStr">
        <is>
          <t>ha</t>
        </is>
      </c>
      <c r="P463" s="39" t="n">
        <v>6464.58333333333</v>
      </c>
      <c r="Q463" s="40" t="n">
        <v>10.6</v>
      </c>
      <c r="R463" s="39" t="n">
        <v>684971.735</v>
      </c>
      <c r="S463" s="41" t="n">
        <v>0.00102571388888889</v>
      </c>
      <c r="T463" s="39" t="n">
        <v>0.9231425</v>
      </c>
      <c r="U463" s="39" t="n">
        <v>63.4233087962963</v>
      </c>
      <c r="V463" s="39" t="n">
        <v>63.4233087962963</v>
      </c>
      <c r="W463" s="39" t="n">
        <v>63.4233087962963</v>
      </c>
      <c r="X463" s="39" t="n">
        <v>63.4233087962963</v>
      </c>
      <c r="Y463" s="39" t="n">
        <v>63.4233087962963</v>
      </c>
      <c r="Z463" s="39" t="n">
        <v>63.4233087962963</v>
      </c>
      <c r="AA463" s="39" t="n">
        <v>63.4233087962963</v>
      </c>
      <c r="AB463" s="39" t="n">
        <v>63.4233087962963</v>
      </c>
      <c r="AC463" s="39" t="n">
        <v>63.4233087962963</v>
      </c>
      <c r="AD463" s="39" t="n">
        <v>63.4233087962963</v>
      </c>
      <c r="AE463" s="39" t="n">
        <v>63.4233087962963</v>
      </c>
      <c r="AF463" s="39" t="n">
        <v>63.4233087962963</v>
      </c>
    </row>
    <row r="464" ht="15" customHeight="1" s="176">
      <c r="A464" s="30" t="inlineStr">
        <is>
          <t>P-0461</t>
        </is>
      </c>
      <c r="B464" s="30" t="inlineStr">
        <is>
          <t>2026/27</t>
        </is>
      </c>
      <c r="C464" s="30" t="inlineStr">
        <is>
          <t>Santa Catalina</t>
        </is>
      </c>
      <c r="D464" s="31" t="inlineStr">
        <is>
          <t>form benjamin 1,93 ha</t>
        </is>
      </c>
      <c r="E464" s="30" t="inlineStr">
        <is>
          <t>Limon</t>
        </is>
      </c>
      <c r="F464" s="30" t="inlineStr">
        <is>
          <t>Benjamin andes</t>
        </is>
      </c>
      <c r="G464" s="30" t="inlineStr">
        <is>
          <t>Formación</t>
        </is>
      </c>
      <c r="H464" s="32" t="n">
        <v>1.93</v>
      </c>
      <c r="I464" s="32" t="n">
        <v>0</v>
      </c>
      <c r="J464" s="30" t="inlineStr">
        <is>
          <t>Costo</t>
        </is>
      </c>
      <c r="K464" s="31" t="inlineStr">
        <is>
          <t>1- M.O. directa</t>
        </is>
      </c>
      <c r="L464" s="31" t="inlineStr">
        <is>
          <t>4- Grua</t>
        </is>
      </c>
      <c r="M464" s="31" t="inlineStr">
        <is>
          <t>una grua  para 100-120 jh</t>
        </is>
      </c>
      <c r="N464" s="30" t="inlineStr">
        <is>
          <t>día</t>
        </is>
      </c>
      <c r="O464" s="30" t="inlineStr">
        <is>
          <t>kg</t>
        </is>
      </c>
      <c r="P464" s="33" t="n">
        <v>1.5</v>
      </c>
      <c r="Q464" s="34" t="n">
        <v>0</v>
      </c>
      <c r="R464" s="33" t="n">
        <v>0</v>
      </c>
      <c r="S464" s="35" t="n">
        <v>0</v>
      </c>
      <c r="T464" s="33" t="n">
        <v>0</v>
      </c>
      <c r="U464" s="33" t="n">
        <v>0</v>
      </c>
      <c r="V464" s="33" t="n">
        <v>0</v>
      </c>
      <c r="W464" s="33" t="n">
        <v>0</v>
      </c>
      <c r="X464" s="33" t="n">
        <v>0</v>
      </c>
      <c r="Y464" s="33" t="n">
        <v>0</v>
      </c>
      <c r="Z464" s="33" t="n">
        <v>0</v>
      </c>
      <c r="AA464" s="33" t="n">
        <v>0</v>
      </c>
      <c r="AB464" s="33" t="n">
        <v>0</v>
      </c>
      <c r="AC464" s="33" t="n">
        <v>0</v>
      </c>
      <c r="AD464" s="33" t="n">
        <v>0</v>
      </c>
      <c r="AE464" s="33" t="n">
        <v>0</v>
      </c>
      <c r="AF464" s="33" t="n">
        <v>0</v>
      </c>
    </row>
    <row r="465" ht="15" customHeight="1" s="176">
      <c r="A465" s="42" t="inlineStr">
        <is>
          <t>P-0462</t>
        </is>
      </c>
      <c r="B465" s="42" t="inlineStr">
        <is>
          <t>2026/27</t>
        </is>
      </c>
      <c r="C465" s="42" t="inlineStr">
        <is>
          <t>Santa Catalina</t>
        </is>
      </c>
      <c r="D465" s="43" t="inlineStr">
        <is>
          <t>eureka 22,55</t>
        </is>
      </c>
      <c r="E465" s="42" t="inlineStr">
        <is>
          <t>Limon</t>
        </is>
      </c>
      <c r="F465" s="42" t="inlineStr">
        <is>
          <t>Eureka</t>
        </is>
      </c>
      <c r="G465" s="42" t="inlineStr">
        <is>
          <t>Producción</t>
        </is>
      </c>
      <c r="H465" s="44" t="n">
        <v>22.55</v>
      </c>
      <c r="I465" s="44" t="n">
        <v>22.55</v>
      </c>
      <c r="J465" s="42" t="inlineStr">
        <is>
          <t>Ingreso</t>
        </is>
      </c>
      <c r="K465" s="43" t="inlineStr">
        <is>
          <t>5- Ingresos</t>
        </is>
      </c>
      <c r="L465" s="43" t="inlineStr">
        <is>
          <t>Venta EXP</t>
        </is>
      </c>
      <c r="M465" s="43" t="n"/>
      <c r="N465" s="42" t="inlineStr">
        <is>
          <t>venta</t>
        </is>
      </c>
      <c r="O465" s="42" t="inlineStr">
        <is>
          <t>kg</t>
        </is>
      </c>
      <c r="P465" s="45" t="n">
        <v>-416.25</v>
      </c>
      <c r="Q465" s="46" t="n">
        <v>464167.395999999</v>
      </c>
      <c r="R465" s="45" t="n">
        <v>195843989.88</v>
      </c>
      <c r="S465" s="47" t="n">
        <v>-0.375044753380309</v>
      </c>
      <c r="T465" s="45" t="n">
        <v>-337.540278042278</v>
      </c>
      <c r="U465" s="45" t="n">
        <v>34607.0339999999</v>
      </c>
      <c r="V465" s="45" t="n">
        <v>91622.45399999979</v>
      </c>
      <c r="W465" s="45" t="n">
        <v>60224.1947999999</v>
      </c>
      <c r="X465" s="45" t="n">
        <v>31150.7503999999</v>
      </c>
      <c r="Y465" s="45" t="n">
        <v>0</v>
      </c>
      <c r="Z465" s="45" t="n">
        <v>0</v>
      </c>
      <c r="AA465" s="45" t="n">
        <v>0</v>
      </c>
      <c r="AB465" s="45" t="n">
        <v>0</v>
      </c>
      <c r="AC465" s="45" t="n">
        <v>0</v>
      </c>
      <c r="AD465" s="45" t="n">
        <v>0</v>
      </c>
      <c r="AE465" s="45" t="n">
        <v>0</v>
      </c>
      <c r="AF465" s="45" t="n">
        <v>0</v>
      </c>
    </row>
    <row r="466" ht="15" customHeight="1" s="176">
      <c r="A466" s="30" t="inlineStr">
        <is>
          <t>P-0463</t>
        </is>
      </c>
      <c r="B466" s="30" t="inlineStr">
        <is>
          <t>2026/27</t>
        </is>
      </c>
      <c r="C466" s="30" t="inlineStr">
        <is>
          <t>Santa Catalina</t>
        </is>
      </c>
      <c r="D466" s="31" t="inlineStr">
        <is>
          <t>cambria 4,2 ha</t>
        </is>
      </c>
      <c r="E466" s="30" t="inlineStr">
        <is>
          <t>Naranjas</t>
        </is>
      </c>
      <c r="F466" s="30" t="inlineStr">
        <is>
          <t>Cambria</t>
        </is>
      </c>
      <c r="G466" s="30" t="inlineStr">
        <is>
          <t>Mantención</t>
        </is>
      </c>
      <c r="H466" s="32" t="n">
        <v>4.2</v>
      </c>
      <c r="I466" s="32" t="n">
        <v>0</v>
      </c>
      <c r="J466" s="30" t="inlineStr">
        <is>
          <t>Costo</t>
        </is>
      </c>
      <c r="K466" s="31" t="inlineStr">
        <is>
          <t>1- M.O. directa</t>
        </is>
      </c>
      <c r="L466" s="31" t="inlineStr">
        <is>
          <t>16- Supervisor poda</t>
        </is>
      </c>
      <c r="M466" s="31" t="n"/>
      <c r="N466" s="30" t="inlineStr">
        <is>
          <t>día</t>
        </is>
      </c>
      <c r="O466" s="30" t="inlineStr">
        <is>
          <t>plt</t>
        </is>
      </c>
      <c r="P466" s="33" t="n">
        <v>45</v>
      </c>
      <c r="Q466" s="34" t="n">
        <v>1751.4</v>
      </c>
      <c r="R466" s="33" t="n">
        <v>78813</v>
      </c>
      <c r="S466" s="35" t="n">
        <v>0.0010425</v>
      </c>
      <c r="T466" s="33" t="n">
        <v>0.93825</v>
      </c>
      <c r="U466" s="33" t="n">
        <v>0</v>
      </c>
      <c r="V466" s="33" t="n">
        <v>0</v>
      </c>
      <c r="W466" s="33" t="n">
        <v>0</v>
      </c>
      <c r="X466" s="33" t="n">
        <v>0</v>
      </c>
      <c r="Y466" s="33" t="n">
        <v>0</v>
      </c>
      <c r="Z466" s="33" t="n">
        <v>87.56999999999999</v>
      </c>
      <c r="AA466" s="33" t="n">
        <v>0</v>
      </c>
      <c r="AB466" s="33" t="n">
        <v>0</v>
      </c>
      <c r="AC466" s="33" t="n">
        <v>0</v>
      </c>
      <c r="AD466" s="33" t="n">
        <v>0</v>
      </c>
      <c r="AE466" s="33" t="n">
        <v>0</v>
      </c>
      <c r="AF466" s="33" t="n">
        <v>0</v>
      </c>
    </row>
    <row r="467" ht="15" customHeight="1" s="176">
      <c r="A467" s="36" t="inlineStr">
        <is>
          <t>P-0464</t>
        </is>
      </c>
      <c r="B467" s="36" t="inlineStr">
        <is>
          <t>2026/27</t>
        </is>
      </c>
      <c r="C467" s="36" t="inlineStr">
        <is>
          <t>Santa Catalina</t>
        </is>
      </c>
      <c r="D467" s="37" t="inlineStr">
        <is>
          <t>cambria 4,2 ha</t>
        </is>
      </c>
      <c r="E467" s="36" t="inlineStr">
        <is>
          <t>Naranjas</t>
        </is>
      </c>
      <c r="F467" s="36" t="inlineStr">
        <is>
          <t>Cambria</t>
        </is>
      </c>
      <c r="G467" s="36" t="inlineStr">
        <is>
          <t>Mantención</t>
        </is>
      </c>
      <c r="H467" s="38" t="n">
        <v>4.2</v>
      </c>
      <c r="I467" s="38" t="n">
        <v>0</v>
      </c>
      <c r="J467" s="36" t="inlineStr">
        <is>
          <t>Costo</t>
        </is>
      </c>
      <c r="K467" s="37" t="inlineStr">
        <is>
          <t>1- M.O. directa</t>
        </is>
      </c>
      <c r="L467" s="37" t="inlineStr">
        <is>
          <t>17- Recepción, pesaje y despacho</t>
        </is>
      </c>
      <c r="M467" s="37" t="inlineStr">
        <is>
          <t>un jh   para 100  jh</t>
        </is>
      </c>
      <c r="N467" s="36" t="inlineStr">
        <is>
          <t>día</t>
        </is>
      </c>
      <c r="O467" s="36" t="inlineStr">
        <is>
          <t>kg</t>
        </is>
      </c>
      <c r="P467" s="39" t="n">
        <v>1.2</v>
      </c>
      <c r="Q467" s="40" t="n">
        <v>84000</v>
      </c>
      <c r="R467" s="39" t="n">
        <v>100800</v>
      </c>
      <c r="S467" s="41" t="n">
        <v>0.00133333333333333</v>
      </c>
      <c r="T467" s="39" t="n">
        <v>1.2</v>
      </c>
      <c r="U467" s="39" t="n">
        <v>0</v>
      </c>
      <c r="V467" s="39" t="n">
        <v>0</v>
      </c>
      <c r="W467" s="39" t="n">
        <v>0</v>
      </c>
      <c r="X467" s="39" t="n">
        <v>0</v>
      </c>
      <c r="Y467" s="39" t="n">
        <v>0</v>
      </c>
      <c r="Z467" s="39" t="n">
        <v>56</v>
      </c>
      <c r="AA467" s="39" t="n">
        <v>56</v>
      </c>
      <c r="AB467" s="39" t="n">
        <v>0</v>
      </c>
      <c r="AC467" s="39" t="n">
        <v>0</v>
      </c>
      <c r="AD467" s="39" t="n">
        <v>0</v>
      </c>
      <c r="AE467" s="39" t="n">
        <v>0</v>
      </c>
      <c r="AF467" s="39" t="n">
        <v>0</v>
      </c>
    </row>
    <row r="468" ht="15" customHeight="1" s="176">
      <c r="A468" s="30" t="inlineStr">
        <is>
          <t>P-0465</t>
        </is>
      </c>
      <c r="B468" s="30" t="inlineStr">
        <is>
          <t>2026/27</t>
        </is>
      </c>
      <c r="C468" s="30" t="inlineStr">
        <is>
          <t>Santa Catalina</t>
        </is>
      </c>
      <c r="D468" s="31" t="inlineStr">
        <is>
          <t>cambria 4,2 ha</t>
        </is>
      </c>
      <c r="E468" s="30" t="inlineStr">
        <is>
          <t>Naranjas</t>
        </is>
      </c>
      <c r="F468" s="30" t="inlineStr">
        <is>
          <t>Cambria</t>
        </is>
      </c>
      <c r="G468" s="30" t="inlineStr">
        <is>
          <t>Mantención</t>
        </is>
      </c>
      <c r="H468" s="32" t="n">
        <v>4.2</v>
      </c>
      <c r="I468" s="32" t="n">
        <v>0</v>
      </c>
      <c r="J468" s="30" t="inlineStr">
        <is>
          <t>Costo</t>
        </is>
      </c>
      <c r="K468" s="31" t="inlineStr">
        <is>
          <t>2- M.O. indirecta</t>
        </is>
      </c>
      <c r="L468" s="31" t="inlineStr">
        <is>
          <t>9,1- RONDIN FUNDO</t>
        </is>
      </c>
      <c r="M468" s="31" t="n"/>
      <c r="N468" s="30" t="inlineStr">
        <is>
          <t>día</t>
        </is>
      </c>
      <c r="O468" s="30" t="inlineStr">
        <is>
          <t>JH</t>
        </is>
      </c>
      <c r="P468" s="33" t="n">
        <v>39762</v>
      </c>
      <c r="Q468" s="34" t="n">
        <v>4</v>
      </c>
      <c r="R468" s="33" t="n">
        <v>954288</v>
      </c>
      <c r="S468" s="35" t="n">
        <v>0.0126228571428571</v>
      </c>
      <c r="T468" s="33" t="n">
        <v>11.3605714285714</v>
      </c>
      <c r="U468" s="33" t="n">
        <v>88.36</v>
      </c>
      <c r="V468" s="33" t="n">
        <v>88.36</v>
      </c>
      <c r="W468" s="33" t="n">
        <v>88.36</v>
      </c>
      <c r="X468" s="33" t="n">
        <v>88.36</v>
      </c>
      <c r="Y468" s="33" t="n">
        <v>88.36</v>
      </c>
      <c r="Z468" s="33" t="n">
        <v>88.36</v>
      </c>
      <c r="AA468" s="33" t="n">
        <v>88.36</v>
      </c>
      <c r="AB468" s="33" t="n">
        <v>88.36</v>
      </c>
      <c r="AC468" s="33" t="n">
        <v>88.36</v>
      </c>
      <c r="AD468" s="33" t="n">
        <v>88.36</v>
      </c>
      <c r="AE468" s="33" t="n">
        <v>88.36</v>
      </c>
      <c r="AF468" s="33" t="n">
        <v>88.36</v>
      </c>
    </row>
    <row r="469" ht="15" customHeight="1" s="176">
      <c r="A469" s="36" t="inlineStr">
        <is>
          <t>P-0466</t>
        </is>
      </c>
      <c r="B469" s="36" t="inlineStr">
        <is>
          <t>2026/27</t>
        </is>
      </c>
      <c r="C469" s="36" t="inlineStr">
        <is>
          <t>Santa Catalina</t>
        </is>
      </c>
      <c r="D469" s="37" t="inlineStr">
        <is>
          <t>cambria 4,2 ha</t>
        </is>
      </c>
      <c r="E469" s="36" t="inlineStr">
        <is>
          <t>Naranjas</t>
        </is>
      </c>
      <c r="F469" s="36" t="inlineStr">
        <is>
          <t>Cambria</t>
        </is>
      </c>
      <c r="G469" s="36" t="inlineStr">
        <is>
          <t>Mantención</t>
        </is>
      </c>
      <c r="H469" s="38" t="n">
        <v>4.2</v>
      </c>
      <c r="I469" s="38" t="n">
        <v>0</v>
      </c>
      <c r="J469" s="36" t="inlineStr">
        <is>
          <t>Costo</t>
        </is>
      </c>
      <c r="K469" s="37" t="inlineStr">
        <is>
          <t>2- M.O. indirecta</t>
        </is>
      </c>
      <c r="L469" s="37" t="inlineStr">
        <is>
          <t>2- ADMINISTRACION</t>
        </is>
      </c>
      <c r="M469" s="37" t="inlineStr">
        <is>
          <t>Operacion predio</t>
        </is>
      </c>
      <c r="N469" s="36" t="inlineStr">
        <is>
          <t>día</t>
        </is>
      </c>
      <c r="O469" s="36" t="inlineStr">
        <is>
          <t>ha</t>
        </is>
      </c>
      <c r="P469" s="39" t="n">
        <v>8100</v>
      </c>
      <c r="Q469" s="40" t="n">
        <v>4.2</v>
      </c>
      <c r="R469" s="39" t="n">
        <v>340063.92</v>
      </c>
      <c r="S469" s="41" t="n">
        <v>0.0044982</v>
      </c>
      <c r="T469" s="39" t="n">
        <v>4.04838</v>
      </c>
      <c r="U469" s="39" t="n">
        <v>31.4874</v>
      </c>
      <c r="V469" s="39" t="n">
        <v>31.4874</v>
      </c>
      <c r="W469" s="39" t="n">
        <v>31.4874</v>
      </c>
      <c r="X469" s="39" t="n">
        <v>31.4874</v>
      </c>
      <c r="Y469" s="39" t="n">
        <v>31.4874</v>
      </c>
      <c r="Z469" s="39" t="n">
        <v>31.4874</v>
      </c>
      <c r="AA469" s="39" t="n">
        <v>31.4874</v>
      </c>
      <c r="AB469" s="39" t="n">
        <v>31.4874</v>
      </c>
      <c r="AC469" s="39" t="n">
        <v>31.4874</v>
      </c>
      <c r="AD469" s="39" t="n">
        <v>31.4874</v>
      </c>
      <c r="AE469" s="39" t="n">
        <v>31.4874</v>
      </c>
      <c r="AF469" s="39" t="n">
        <v>31.4874</v>
      </c>
    </row>
    <row r="470" ht="15" customHeight="1" s="176">
      <c r="A470" s="30" t="inlineStr">
        <is>
          <t>P-0467</t>
        </is>
      </c>
      <c r="B470" s="30" t="inlineStr">
        <is>
          <t>2026/27</t>
        </is>
      </c>
      <c r="C470" s="30" t="inlineStr">
        <is>
          <t>Santa Catalina</t>
        </is>
      </c>
      <c r="D470" s="31" t="inlineStr">
        <is>
          <t>cambria 4,2 ha</t>
        </is>
      </c>
      <c r="E470" s="30" t="inlineStr">
        <is>
          <t>Naranjas</t>
        </is>
      </c>
      <c r="F470" s="30" t="inlineStr">
        <is>
          <t>Cambria</t>
        </is>
      </c>
      <c r="G470" s="30" t="inlineStr">
        <is>
          <t>Mantención</t>
        </is>
      </c>
      <c r="H470" s="32" t="n">
        <v>4.2</v>
      </c>
      <c r="I470" s="32" t="n">
        <v>0</v>
      </c>
      <c r="J470" s="30" t="inlineStr">
        <is>
          <t>Costo</t>
        </is>
      </c>
      <c r="K470" s="31" t="inlineStr">
        <is>
          <t>3- Gasto general</t>
        </is>
      </c>
      <c r="L470" s="31" t="inlineStr">
        <is>
          <t>2- PRODUCTOS QUIMICOS</t>
        </is>
      </c>
      <c r="M470" s="31" t="inlineStr">
        <is>
          <t>ferti/fito/herbi</t>
        </is>
      </c>
      <c r="N470" s="30" t="n"/>
      <c r="O470" s="30" t="inlineStr">
        <is>
          <t>ha</t>
        </is>
      </c>
      <c r="P470" s="33" t="n">
        <v>282900</v>
      </c>
      <c r="Q470" s="34" t="n">
        <v>4.2</v>
      </c>
      <c r="R470" s="33" t="n">
        <v>4277448</v>
      </c>
      <c r="S470" s="35" t="n">
        <v>0.05658</v>
      </c>
      <c r="T470" s="33" t="n">
        <v>50.922</v>
      </c>
      <c r="U470" s="33" t="n">
        <v>396.06</v>
      </c>
      <c r="V470" s="33" t="n">
        <v>396.06</v>
      </c>
      <c r="W470" s="33" t="n">
        <v>396.06</v>
      </c>
      <c r="X470" s="33" t="n">
        <v>396.06</v>
      </c>
      <c r="Y470" s="33" t="n">
        <v>396.06</v>
      </c>
      <c r="Z470" s="33" t="n">
        <v>396.06</v>
      </c>
      <c r="AA470" s="33" t="n">
        <v>396.06</v>
      </c>
      <c r="AB470" s="33" t="n">
        <v>396.06</v>
      </c>
      <c r="AC470" s="33" t="n">
        <v>396.06</v>
      </c>
      <c r="AD470" s="33" t="n">
        <v>396.06</v>
      </c>
      <c r="AE470" s="33" t="n">
        <v>396.06</v>
      </c>
      <c r="AF470" s="33" t="n">
        <v>396.06</v>
      </c>
    </row>
    <row r="471" ht="15" customHeight="1" s="176">
      <c r="A471" s="36" t="inlineStr">
        <is>
          <t>P-0468</t>
        </is>
      </c>
      <c r="B471" s="36" t="inlineStr">
        <is>
          <t>2026/27</t>
        </is>
      </c>
      <c r="C471" s="36" t="inlineStr">
        <is>
          <t>Santa Catalina</t>
        </is>
      </c>
      <c r="D471" s="37" t="inlineStr">
        <is>
          <t>cambria 4,2 ha</t>
        </is>
      </c>
      <c r="E471" s="36" t="inlineStr">
        <is>
          <t>Naranjas</t>
        </is>
      </c>
      <c r="F471" s="36" t="inlineStr">
        <is>
          <t>Cambria</t>
        </is>
      </c>
      <c r="G471" s="36" t="inlineStr">
        <is>
          <t>Mantención</t>
        </is>
      </c>
      <c r="H471" s="38" t="n">
        <v>4.2</v>
      </c>
      <c r="I471" s="38" t="n">
        <v>0</v>
      </c>
      <c r="J471" s="36" t="inlineStr">
        <is>
          <t>Costo</t>
        </is>
      </c>
      <c r="K471" s="37" t="inlineStr">
        <is>
          <t>2- M.O. indirecta</t>
        </is>
      </c>
      <c r="L471" s="37" t="inlineStr">
        <is>
          <t>2,1- JEFE DE CAMPO</t>
        </is>
      </c>
      <c r="M471" s="37" t="inlineStr">
        <is>
          <t>Operacion predio</t>
        </is>
      </c>
      <c r="N471" s="36" t="inlineStr">
        <is>
          <t>día</t>
        </is>
      </c>
      <c r="O471" s="36" t="inlineStr">
        <is>
          <t>ha</t>
        </is>
      </c>
      <c r="P471" s="39" t="n">
        <v>29475</v>
      </c>
      <c r="Q471" s="40" t="n">
        <v>4.2</v>
      </c>
      <c r="R471" s="39" t="n">
        <v>742770</v>
      </c>
      <c r="S471" s="41" t="n">
        <v>0.009825</v>
      </c>
      <c r="T471" s="39" t="n">
        <v>8.842499999999999</v>
      </c>
      <c r="U471" s="39" t="n">
        <v>68.77500000000001</v>
      </c>
      <c r="V471" s="39" t="n">
        <v>68.77500000000001</v>
      </c>
      <c r="W471" s="39" t="n">
        <v>68.77500000000001</v>
      </c>
      <c r="X471" s="39" t="n">
        <v>68.77500000000001</v>
      </c>
      <c r="Y471" s="39" t="n">
        <v>68.77500000000001</v>
      </c>
      <c r="Z471" s="39" t="n">
        <v>68.77500000000001</v>
      </c>
      <c r="AA471" s="39" t="n">
        <v>68.77500000000001</v>
      </c>
      <c r="AB471" s="39" t="n">
        <v>68.77500000000001</v>
      </c>
      <c r="AC471" s="39" t="n">
        <v>68.77500000000001</v>
      </c>
      <c r="AD471" s="39" t="n">
        <v>68.77500000000001</v>
      </c>
      <c r="AE471" s="39" t="n">
        <v>68.77500000000001</v>
      </c>
      <c r="AF471" s="39" t="n">
        <v>68.77500000000001</v>
      </c>
    </row>
    <row r="472" ht="15" customHeight="1" s="176">
      <c r="A472" s="30" t="inlineStr">
        <is>
          <t>P-0469</t>
        </is>
      </c>
      <c r="B472" s="30" t="inlineStr">
        <is>
          <t>2026/27</t>
        </is>
      </c>
      <c r="C472" s="30" t="inlineStr">
        <is>
          <t>Santa Catalina</t>
        </is>
      </c>
      <c r="D472" s="31" t="inlineStr">
        <is>
          <t>cambria 4,2 ha</t>
        </is>
      </c>
      <c r="E472" s="30" t="inlineStr">
        <is>
          <t>Naranjas</t>
        </is>
      </c>
      <c r="F472" s="30" t="inlineStr">
        <is>
          <t>Cambria</t>
        </is>
      </c>
      <c r="G472" s="30" t="inlineStr">
        <is>
          <t>Mantención</t>
        </is>
      </c>
      <c r="H472" s="32" t="n">
        <v>4.2</v>
      </c>
      <c r="I472" s="32" t="n">
        <v>0</v>
      </c>
      <c r="J472" s="30" t="inlineStr">
        <is>
          <t>Costo</t>
        </is>
      </c>
      <c r="K472" s="31" t="inlineStr">
        <is>
          <t>2- M.O. indirecta</t>
        </is>
      </c>
      <c r="L472" s="31" t="inlineStr">
        <is>
          <t>3- ADQUIS. Y BODEGA</t>
        </is>
      </c>
      <c r="M472" s="31" t="inlineStr">
        <is>
          <t>Operacion predio</t>
        </is>
      </c>
      <c r="N472" s="30" t="inlineStr">
        <is>
          <t>día</t>
        </is>
      </c>
      <c r="O472" s="30" t="inlineStr">
        <is>
          <t>ha</t>
        </is>
      </c>
      <c r="P472" s="33" t="n">
        <v>8100</v>
      </c>
      <c r="Q472" s="34" t="n">
        <v>4.2</v>
      </c>
      <c r="R472" s="33" t="n">
        <v>340063.92</v>
      </c>
      <c r="S472" s="35" t="n">
        <v>0.0044982</v>
      </c>
      <c r="T472" s="33" t="n">
        <v>4.04838</v>
      </c>
      <c r="U472" s="33" t="n">
        <v>31.4874</v>
      </c>
      <c r="V472" s="33" t="n">
        <v>31.4874</v>
      </c>
      <c r="W472" s="33" t="n">
        <v>31.4874</v>
      </c>
      <c r="X472" s="33" t="n">
        <v>31.4874</v>
      </c>
      <c r="Y472" s="33" t="n">
        <v>31.4874</v>
      </c>
      <c r="Z472" s="33" t="n">
        <v>31.4874</v>
      </c>
      <c r="AA472" s="33" t="n">
        <v>31.4874</v>
      </c>
      <c r="AB472" s="33" t="n">
        <v>31.4874</v>
      </c>
      <c r="AC472" s="33" t="n">
        <v>31.4874</v>
      </c>
      <c r="AD472" s="33" t="n">
        <v>31.4874</v>
      </c>
      <c r="AE472" s="33" t="n">
        <v>31.4874</v>
      </c>
      <c r="AF472" s="33" t="n">
        <v>31.4874</v>
      </c>
    </row>
    <row r="473" ht="15" customHeight="1" s="176">
      <c r="A473" s="36" t="inlineStr">
        <is>
          <t>P-0470</t>
        </is>
      </c>
      <c r="B473" s="36" t="inlineStr">
        <is>
          <t>2026/27</t>
        </is>
      </c>
      <c r="C473" s="36" t="inlineStr">
        <is>
          <t>Santa Catalina</t>
        </is>
      </c>
      <c r="D473" s="37" t="inlineStr">
        <is>
          <t>cambria 4,2 ha</t>
        </is>
      </c>
      <c r="E473" s="36" t="inlineStr">
        <is>
          <t>Naranjas</t>
        </is>
      </c>
      <c r="F473" s="36" t="inlineStr">
        <is>
          <t>Cambria</t>
        </is>
      </c>
      <c r="G473" s="36" t="inlineStr">
        <is>
          <t>Mantención</t>
        </is>
      </c>
      <c r="H473" s="38" t="n">
        <v>4.2</v>
      </c>
      <c r="I473" s="38" t="n">
        <v>0</v>
      </c>
      <c r="J473" s="36" t="inlineStr">
        <is>
          <t>Costo</t>
        </is>
      </c>
      <c r="K473" s="37" t="inlineStr">
        <is>
          <t>3- Gasto general</t>
        </is>
      </c>
      <c r="L473" s="37" t="inlineStr">
        <is>
          <t>1- GASTOS DEL PERSONAL</t>
        </is>
      </c>
      <c r="M473" s="37" t="inlineStr">
        <is>
          <t xml:space="preserve">movilizacion </t>
        </is>
      </c>
      <c r="N473" s="36" t="n"/>
      <c r="O473" s="36" t="inlineStr">
        <is>
          <t>ha</t>
        </is>
      </c>
      <c r="P473" s="39" t="n">
        <v>18402.4505183789</v>
      </c>
      <c r="Q473" s="40" t="n">
        <v>4.2</v>
      </c>
      <c r="R473" s="39" t="n">
        <v>370993.402450518</v>
      </c>
      <c r="S473" s="41" t="n">
        <v>0.00490732013823437</v>
      </c>
      <c r="T473" s="39" t="n">
        <v>4.41658812441093</v>
      </c>
      <c r="U473" s="39" t="n">
        <v>34.3512409676406</v>
      </c>
      <c r="V473" s="39" t="n">
        <v>34.3512409676406</v>
      </c>
      <c r="W473" s="39" t="n">
        <v>34.3512409676406</v>
      </c>
      <c r="X473" s="39" t="n">
        <v>34.3512409676406</v>
      </c>
      <c r="Y473" s="39" t="n">
        <v>34.3512409676406</v>
      </c>
      <c r="Z473" s="39" t="n">
        <v>34.3512409676406</v>
      </c>
      <c r="AA473" s="39" t="n">
        <v>34.3512409676406</v>
      </c>
      <c r="AB473" s="39" t="n">
        <v>34.3512409676406</v>
      </c>
      <c r="AC473" s="39" t="n">
        <v>34.3512409676406</v>
      </c>
      <c r="AD473" s="39" t="n">
        <v>34.3512409676406</v>
      </c>
      <c r="AE473" s="39" t="n">
        <v>34.3512409676406</v>
      </c>
      <c r="AF473" s="39" t="n">
        <v>34.3512409676406</v>
      </c>
    </row>
    <row r="474" ht="15" customHeight="1" s="176">
      <c r="A474" s="30" t="inlineStr">
        <is>
          <t>P-0471</t>
        </is>
      </c>
      <c r="B474" s="30" t="inlineStr">
        <is>
          <t>2026/27</t>
        </is>
      </c>
      <c r="C474" s="30" t="inlineStr">
        <is>
          <t>Santa Catalina</t>
        </is>
      </c>
      <c r="D474" s="31" t="inlineStr">
        <is>
          <t>cambria 4,2 ha</t>
        </is>
      </c>
      <c r="E474" s="30" t="inlineStr">
        <is>
          <t>Naranjas</t>
        </is>
      </c>
      <c r="F474" s="30" t="inlineStr">
        <is>
          <t>Cambria</t>
        </is>
      </c>
      <c r="G474" s="30" t="inlineStr">
        <is>
          <t>Mantención</t>
        </is>
      </c>
      <c r="H474" s="32" t="n">
        <v>4.2</v>
      </c>
      <c r="I474" s="32" t="n">
        <v>0</v>
      </c>
      <c r="J474" s="30" t="inlineStr">
        <is>
          <t>Costo</t>
        </is>
      </c>
      <c r="K474" s="31" t="inlineStr">
        <is>
          <t>1- M.O. directa</t>
        </is>
      </c>
      <c r="L474" s="31" t="inlineStr">
        <is>
          <t>3- Selección</t>
        </is>
      </c>
      <c r="M474" s="31" t="inlineStr">
        <is>
          <t>6 jh/seleccion</t>
        </is>
      </c>
      <c r="N474" s="30" t="inlineStr">
        <is>
          <t>trato</t>
        </is>
      </c>
      <c r="O474" s="30" t="inlineStr">
        <is>
          <t>kg</t>
        </is>
      </c>
      <c r="P474" s="33" t="n">
        <v>15</v>
      </c>
      <c r="Q474" s="34" t="n">
        <v>84000</v>
      </c>
      <c r="R474" s="33" t="n">
        <v>1260000</v>
      </c>
      <c r="S474" s="35" t="n">
        <v>0.0166666666666667</v>
      </c>
      <c r="T474" s="33" t="n">
        <v>15</v>
      </c>
      <c r="U474" s="33" t="n">
        <v>0</v>
      </c>
      <c r="V474" s="33" t="n">
        <v>0</v>
      </c>
      <c r="W474" s="33" t="n">
        <v>0</v>
      </c>
      <c r="X474" s="33" t="n">
        <v>0</v>
      </c>
      <c r="Y474" s="33" t="n">
        <v>0</v>
      </c>
      <c r="Z474" s="33" t="n">
        <v>420</v>
      </c>
      <c r="AA474" s="33" t="n">
        <v>420</v>
      </c>
      <c r="AB474" s="33" t="n">
        <v>560</v>
      </c>
      <c r="AC474" s="33" t="n">
        <v>0</v>
      </c>
      <c r="AD474" s="33" t="n">
        <v>0</v>
      </c>
      <c r="AE474" s="33" t="n">
        <v>0</v>
      </c>
      <c r="AF474" s="33" t="n">
        <v>0</v>
      </c>
    </row>
    <row r="475" ht="15" customHeight="1" s="176">
      <c r="A475" s="36" t="inlineStr">
        <is>
          <t>P-0472</t>
        </is>
      </c>
      <c r="B475" s="36" t="inlineStr">
        <is>
          <t>2026/27</t>
        </is>
      </c>
      <c r="C475" s="36" t="inlineStr">
        <is>
          <t>Santa Catalina</t>
        </is>
      </c>
      <c r="D475" s="37" t="inlineStr">
        <is>
          <t>cambria 4,2 ha</t>
        </is>
      </c>
      <c r="E475" s="36" t="inlineStr">
        <is>
          <t>Naranjas</t>
        </is>
      </c>
      <c r="F475" s="36" t="inlineStr">
        <is>
          <t>Cambria</t>
        </is>
      </c>
      <c r="G475" s="36" t="inlineStr">
        <is>
          <t>Mantención</t>
        </is>
      </c>
      <c r="H475" s="38" t="n">
        <v>4.2</v>
      </c>
      <c r="I475" s="38" t="n">
        <v>0</v>
      </c>
      <c r="J475" s="36" t="inlineStr">
        <is>
          <t>Costo</t>
        </is>
      </c>
      <c r="K475" s="37" t="inlineStr">
        <is>
          <t>1- M.O. directa</t>
        </is>
      </c>
      <c r="L475" s="37" t="inlineStr">
        <is>
          <t>3- Tractorista cosecha</t>
        </is>
      </c>
      <c r="M475" s="37" t="inlineStr">
        <is>
          <t>un tract.   para 30-40  jh</t>
        </is>
      </c>
      <c r="N475" s="36" t="inlineStr">
        <is>
          <t>día</t>
        </is>
      </c>
      <c r="O475" s="36" t="inlineStr">
        <is>
          <t>kg</t>
        </is>
      </c>
      <c r="P475" s="39" t="n">
        <v>3</v>
      </c>
      <c r="Q475" s="40" t="n">
        <v>84000</v>
      </c>
      <c r="R475" s="39" t="n">
        <v>252000</v>
      </c>
      <c r="S475" s="41" t="n">
        <v>0.00333333333333333</v>
      </c>
      <c r="T475" s="39" t="n">
        <v>3</v>
      </c>
      <c r="U475" s="39" t="n">
        <v>0</v>
      </c>
      <c r="V475" s="39" t="n">
        <v>0</v>
      </c>
      <c r="W475" s="39" t="n">
        <v>0</v>
      </c>
      <c r="X475" s="39" t="n">
        <v>0</v>
      </c>
      <c r="Y475" s="39" t="n">
        <v>0</v>
      </c>
      <c r="Z475" s="39" t="n">
        <v>84</v>
      </c>
      <c r="AA475" s="39" t="n">
        <v>112</v>
      </c>
      <c r="AB475" s="39" t="n">
        <v>84</v>
      </c>
      <c r="AC475" s="39" t="n">
        <v>0</v>
      </c>
      <c r="AD475" s="39" t="n">
        <v>0</v>
      </c>
      <c r="AE475" s="39" t="n">
        <v>0</v>
      </c>
      <c r="AF475" s="39" t="n">
        <v>0</v>
      </c>
    </row>
    <row r="476" ht="15" customHeight="1" s="176">
      <c r="A476" s="30" t="inlineStr">
        <is>
          <t>P-0473</t>
        </is>
      </c>
      <c r="B476" s="30" t="inlineStr">
        <is>
          <t>2026/27</t>
        </is>
      </c>
      <c r="C476" s="30" t="inlineStr">
        <is>
          <t>Santa Catalina</t>
        </is>
      </c>
      <c r="D476" s="31" t="inlineStr">
        <is>
          <t>cambria 4,2 ha</t>
        </is>
      </c>
      <c r="E476" s="30" t="inlineStr">
        <is>
          <t>Naranjas</t>
        </is>
      </c>
      <c r="F476" s="30" t="inlineStr">
        <is>
          <t>Cambria</t>
        </is>
      </c>
      <c r="G476" s="30" t="inlineStr">
        <is>
          <t>Mantención</t>
        </is>
      </c>
      <c r="H476" s="32" t="n">
        <v>4.2</v>
      </c>
      <c r="I476" s="32" t="n">
        <v>0</v>
      </c>
      <c r="J476" s="30" t="inlineStr">
        <is>
          <t>Costo</t>
        </is>
      </c>
      <c r="K476" s="31" t="inlineStr">
        <is>
          <t>2- M.O. indirecta</t>
        </is>
      </c>
      <c r="L476" s="31" t="inlineStr">
        <is>
          <t>4- CERTIFICACIONES</t>
        </is>
      </c>
      <c r="M476" s="31" t="inlineStr">
        <is>
          <t>Operacion predio</t>
        </is>
      </c>
      <c r="N476" s="30" t="inlineStr">
        <is>
          <t>día</t>
        </is>
      </c>
      <c r="O476" s="30" t="inlineStr">
        <is>
          <t>ha</t>
        </is>
      </c>
      <c r="P476" s="33" t="n">
        <v>6464.58333333333</v>
      </c>
      <c r="Q476" s="34" t="n">
        <v>4.2</v>
      </c>
      <c r="R476" s="33" t="n">
        <v>162907.5</v>
      </c>
      <c r="S476" s="35" t="n">
        <v>0.00215486111111111</v>
      </c>
      <c r="T476" s="33" t="n">
        <v>1.939375</v>
      </c>
      <c r="U476" s="33" t="n">
        <v>15.0840277777778</v>
      </c>
      <c r="V476" s="33" t="n">
        <v>15.0840277777778</v>
      </c>
      <c r="W476" s="33" t="n">
        <v>15.0840277777778</v>
      </c>
      <c r="X476" s="33" t="n">
        <v>15.0840277777778</v>
      </c>
      <c r="Y476" s="33" t="n">
        <v>15.0840277777778</v>
      </c>
      <c r="Z476" s="33" t="n">
        <v>15.0840277777778</v>
      </c>
      <c r="AA476" s="33" t="n">
        <v>15.0840277777778</v>
      </c>
      <c r="AB476" s="33" t="n">
        <v>15.0840277777778</v>
      </c>
      <c r="AC476" s="33" t="n">
        <v>15.0840277777778</v>
      </c>
      <c r="AD476" s="33" t="n">
        <v>15.0840277777778</v>
      </c>
      <c r="AE476" s="33" t="n">
        <v>15.0840277777778</v>
      </c>
      <c r="AF476" s="33" t="n">
        <v>15.0840277777778</v>
      </c>
    </row>
    <row r="477" ht="15" customHeight="1" s="176">
      <c r="A477" s="36" t="inlineStr">
        <is>
          <t>P-0474</t>
        </is>
      </c>
      <c r="B477" s="36" t="inlineStr">
        <is>
          <t>2026/27</t>
        </is>
      </c>
      <c r="C477" s="36" t="inlineStr">
        <is>
          <t>Santa Catalina</t>
        </is>
      </c>
      <c r="D477" s="37" t="inlineStr">
        <is>
          <t>cambria 4,2 ha</t>
        </is>
      </c>
      <c r="E477" s="36" t="inlineStr">
        <is>
          <t>Naranjas</t>
        </is>
      </c>
      <c r="F477" s="36" t="inlineStr">
        <is>
          <t>Cambria</t>
        </is>
      </c>
      <c r="G477" s="36" t="inlineStr">
        <is>
          <t>Mantención</t>
        </is>
      </c>
      <c r="H477" s="38" t="n">
        <v>4.2</v>
      </c>
      <c r="I477" s="38" t="n">
        <v>0</v>
      </c>
      <c r="J477" s="36" t="inlineStr">
        <is>
          <t>Costo</t>
        </is>
      </c>
      <c r="K477" s="37" t="inlineStr">
        <is>
          <t>3- Gasto general</t>
        </is>
      </c>
      <c r="L477" s="37" t="inlineStr">
        <is>
          <t>3- COMBUSTIBLE Y ENERGIA</t>
        </is>
      </c>
      <c r="M477" s="37" t="inlineStr">
        <is>
          <t>consumo electrico</t>
        </is>
      </c>
      <c r="N477" s="36" t="n"/>
      <c r="O477" s="36" t="inlineStr">
        <is>
          <t>ha</t>
        </is>
      </c>
      <c r="P477" s="39" t="n">
        <v>143471.416666667</v>
      </c>
      <c r="Q477" s="40" t="n">
        <v>4.2</v>
      </c>
      <c r="R477" s="39" t="n">
        <v>2169287.82</v>
      </c>
      <c r="S477" s="41" t="n">
        <v>0.0286942833333333</v>
      </c>
      <c r="T477" s="39" t="n">
        <v>25.824855</v>
      </c>
      <c r="U477" s="39" t="n">
        <v>200.859983333333</v>
      </c>
      <c r="V477" s="39" t="n">
        <v>200.859983333333</v>
      </c>
      <c r="W477" s="39" t="n">
        <v>200.859983333333</v>
      </c>
      <c r="X477" s="39" t="n">
        <v>200.859983333333</v>
      </c>
      <c r="Y477" s="39" t="n">
        <v>200.859983333333</v>
      </c>
      <c r="Z477" s="39" t="n">
        <v>200.859983333333</v>
      </c>
      <c r="AA477" s="39" t="n">
        <v>200.859983333333</v>
      </c>
      <c r="AB477" s="39" t="n">
        <v>200.859983333333</v>
      </c>
      <c r="AC477" s="39" t="n">
        <v>200.859983333333</v>
      </c>
      <c r="AD477" s="39" t="n">
        <v>200.859983333333</v>
      </c>
      <c r="AE477" s="39" t="n">
        <v>200.859983333333</v>
      </c>
      <c r="AF477" s="39" t="n">
        <v>200.859983333333</v>
      </c>
    </row>
    <row r="478" ht="15" customHeight="1" s="176">
      <c r="A478" s="30" t="inlineStr">
        <is>
          <t>P-0475</t>
        </is>
      </c>
      <c r="B478" s="30" t="inlineStr">
        <is>
          <t>2026/27</t>
        </is>
      </c>
      <c r="C478" s="30" t="inlineStr">
        <is>
          <t>Santa Catalina</t>
        </is>
      </c>
      <c r="D478" s="31" t="inlineStr">
        <is>
          <t>cambria 4,2 ha</t>
        </is>
      </c>
      <c r="E478" s="30" t="inlineStr">
        <is>
          <t>Naranjas</t>
        </is>
      </c>
      <c r="F478" s="30" t="inlineStr">
        <is>
          <t>Cambria</t>
        </is>
      </c>
      <c r="G478" s="30" t="inlineStr">
        <is>
          <t>Mantención</t>
        </is>
      </c>
      <c r="H478" s="32" t="n">
        <v>4.2</v>
      </c>
      <c r="I478" s="32" t="n">
        <v>0</v>
      </c>
      <c r="J478" s="30" t="inlineStr">
        <is>
          <t>Costo</t>
        </is>
      </c>
      <c r="K478" s="31" t="inlineStr">
        <is>
          <t>2- M.O. indirecta</t>
        </is>
      </c>
      <c r="L478" s="31" t="inlineStr">
        <is>
          <t>4,1- ENCARGADO MANTENCIONES</t>
        </is>
      </c>
      <c r="M478" s="31" t="inlineStr">
        <is>
          <t>Operacion predio</t>
        </is>
      </c>
      <c r="N478" s="30" t="inlineStr">
        <is>
          <t>día</t>
        </is>
      </c>
      <c r="O478" s="30" t="inlineStr">
        <is>
          <t>ha</t>
        </is>
      </c>
      <c r="P478" s="33" t="n">
        <v>11000</v>
      </c>
      <c r="Q478" s="34" t="n">
        <v>4.2</v>
      </c>
      <c r="R478" s="33" t="n">
        <v>461815.2</v>
      </c>
      <c r="S478" s="35" t="n">
        <v>0.00610866666666667</v>
      </c>
      <c r="T478" s="33" t="n">
        <v>5.4978</v>
      </c>
      <c r="U478" s="33" t="n">
        <v>42.7606666666667</v>
      </c>
      <c r="V478" s="33" t="n">
        <v>42.7606666666667</v>
      </c>
      <c r="W478" s="33" t="n">
        <v>42.7606666666667</v>
      </c>
      <c r="X478" s="33" t="n">
        <v>42.7606666666667</v>
      </c>
      <c r="Y478" s="33" t="n">
        <v>42.7606666666667</v>
      </c>
      <c r="Z478" s="33" t="n">
        <v>42.7606666666667</v>
      </c>
      <c r="AA478" s="33" t="n">
        <v>42.7606666666667</v>
      </c>
      <c r="AB478" s="33" t="n">
        <v>42.7606666666667</v>
      </c>
      <c r="AC478" s="33" t="n">
        <v>42.7606666666667</v>
      </c>
      <c r="AD478" s="33" t="n">
        <v>42.7606666666667</v>
      </c>
      <c r="AE478" s="33" t="n">
        <v>42.7606666666667</v>
      </c>
      <c r="AF478" s="33" t="n">
        <v>42.7606666666667</v>
      </c>
    </row>
    <row r="479" ht="15" customHeight="1" s="176">
      <c r="A479" s="36" t="inlineStr">
        <is>
          <t>P-0476</t>
        </is>
      </c>
      <c r="B479" s="36" t="inlineStr">
        <is>
          <t>2026/27</t>
        </is>
      </c>
      <c r="C479" s="36" t="inlineStr">
        <is>
          <t>Santa Catalina</t>
        </is>
      </c>
      <c r="D479" s="37" t="inlineStr">
        <is>
          <t>cambria 4,2 ha</t>
        </is>
      </c>
      <c r="E479" s="36" t="inlineStr">
        <is>
          <t>Naranjas</t>
        </is>
      </c>
      <c r="F479" s="36" t="inlineStr">
        <is>
          <t>Cambria</t>
        </is>
      </c>
      <c r="G479" s="36" t="inlineStr">
        <is>
          <t>Mantención</t>
        </is>
      </c>
      <c r="H479" s="38" t="n">
        <v>4.2</v>
      </c>
      <c r="I479" s="38" t="n">
        <v>0</v>
      </c>
      <c r="J479" s="36" t="inlineStr">
        <is>
          <t>Costo</t>
        </is>
      </c>
      <c r="K479" s="37" t="inlineStr">
        <is>
          <t>1- M.O. directa</t>
        </is>
      </c>
      <c r="L479" s="37" t="inlineStr">
        <is>
          <t>5- Control de malezas mecánico</t>
        </is>
      </c>
      <c r="M479" s="37" t="inlineStr">
        <is>
          <t>Operacion predio</t>
        </is>
      </c>
      <c r="N479" s="36" t="inlineStr">
        <is>
          <t>trato</t>
        </is>
      </c>
      <c r="O479" s="36" t="inlineStr">
        <is>
          <t>plt</t>
        </is>
      </c>
      <c r="P479" s="39" t="n">
        <v>100</v>
      </c>
      <c r="Q479" s="40" t="n">
        <v>1751.4</v>
      </c>
      <c r="R479" s="39" t="n">
        <v>175140</v>
      </c>
      <c r="S479" s="41" t="n">
        <v>0.00231666666666667</v>
      </c>
      <c r="T479" s="39" t="n">
        <v>2.085</v>
      </c>
      <c r="U479" s="39" t="n">
        <v>0</v>
      </c>
      <c r="V479" s="39" t="n">
        <v>0</v>
      </c>
      <c r="W479" s="39" t="n">
        <v>0</v>
      </c>
      <c r="X479" s="39" t="n">
        <v>0</v>
      </c>
      <c r="Y479" s="39" t="n">
        <v>0</v>
      </c>
      <c r="Z479" s="39" t="n">
        <v>194.6</v>
      </c>
      <c r="AA479" s="39" t="n">
        <v>0</v>
      </c>
      <c r="AB479" s="39" t="n">
        <v>0</v>
      </c>
      <c r="AC479" s="39" t="n">
        <v>0</v>
      </c>
      <c r="AD479" s="39" t="n">
        <v>0</v>
      </c>
      <c r="AE479" s="39" t="n">
        <v>0</v>
      </c>
      <c r="AF479" s="39" t="n">
        <v>0</v>
      </c>
    </row>
    <row r="480" ht="15" customHeight="1" s="176">
      <c r="A480" s="30" t="inlineStr">
        <is>
          <t>P-0477</t>
        </is>
      </c>
      <c r="B480" s="30" t="inlineStr">
        <is>
          <t>2026/27</t>
        </is>
      </c>
      <c r="C480" s="30" t="inlineStr">
        <is>
          <t>Santa Catalina</t>
        </is>
      </c>
      <c r="D480" s="31" t="inlineStr">
        <is>
          <t>cambria 4,2 ha</t>
        </is>
      </c>
      <c r="E480" s="30" t="inlineStr">
        <is>
          <t>Naranjas</t>
        </is>
      </c>
      <c r="F480" s="30" t="inlineStr">
        <is>
          <t>Cambria</t>
        </is>
      </c>
      <c r="G480" s="30" t="inlineStr">
        <is>
          <t>Mantención</t>
        </is>
      </c>
      <c r="H480" s="32" t="n">
        <v>4.2</v>
      </c>
      <c r="I480" s="32" t="n">
        <v>0</v>
      </c>
      <c r="J480" s="30" t="inlineStr">
        <is>
          <t>Costo</t>
        </is>
      </c>
      <c r="K480" s="31" t="inlineStr">
        <is>
          <t>3- Gasto general</t>
        </is>
      </c>
      <c r="L480" s="31" t="inlineStr">
        <is>
          <t>3- COMBUSTIBLE Y ENERGIA</t>
        </is>
      </c>
      <c r="M480" s="31" t="inlineStr">
        <is>
          <t>diesel campo</t>
        </is>
      </c>
      <c r="N480" s="30" t="n"/>
      <c r="O480" s="30" t="inlineStr">
        <is>
          <t>ha</t>
        </is>
      </c>
      <c r="P480" s="33" t="n">
        <v>40433.5833333333</v>
      </c>
      <c r="Q480" s="34" t="n">
        <v>4.2</v>
      </c>
      <c r="R480" s="33" t="n">
        <v>611355.78</v>
      </c>
      <c r="S480" s="35" t="n">
        <v>0.008086716666666671</v>
      </c>
      <c r="T480" s="33" t="n">
        <v>7.278045</v>
      </c>
      <c r="U480" s="33" t="n">
        <v>56.6070166666667</v>
      </c>
      <c r="V480" s="33" t="n">
        <v>56.6070166666667</v>
      </c>
      <c r="W480" s="33" t="n">
        <v>56.6070166666667</v>
      </c>
      <c r="X480" s="33" t="n">
        <v>56.6070166666667</v>
      </c>
      <c r="Y480" s="33" t="n">
        <v>56.6070166666667</v>
      </c>
      <c r="Z480" s="33" t="n">
        <v>56.6070166666667</v>
      </c>
      <c r="AA480" s="33" t="n">
        <v>56.6070166666667</v>
      </c>
      <c r="AB480" s="33" t="n">
        <v>56.6070166666667</v>
      </c>
      <c r="AC480" s="33" t="n">
        <v>56.6070166666667</v>
      </c>
      <c r="AD480" s="33" t="n">
        <v>56.6070166666667</v>
      </c>
      <c r="AE480" s="33" t="n">
        <v>56.6070166666667</v>
      </c>
      <c r="AF480" s="33" t="n">
        <v>56.6070166666667</v>
      </c>
    </row>
    <row r="481" ht="15" customHeight="1" s="176">
      <c r="A481" s="36" t="inlineStr">
        <is>
          <t>P-0478</t>
        </is>
      </c>
      <c r="B481" s="36" t="inlineStr">
        <is>
          <t>2026/27</t>
        </is>
      </c>
      <c r="C481" s="36" t="inlineStr">
        <is>
          <t>Santa Catalina</t>
        </is>
      </c>
      <c r="D481" s="37" t="inlineStr">
        <is>
          <t>cambria 4,2 ha</t>
        </is>
      </c>
      <c r="E481" s="36" t="inlineStr">
        <is>
          <t>Naranjas</t>
        </is>
      </c>
      <c r="F481" s="36" t="inlineStr">
        <is>
          <t>Cambria</t>
        </is>
      </c>
      <c r="G481" s="36" t="inlineStr">
        <is>
          <t>Mantención</t>
        </is>
      </c>
      <c r="H481" s="38" t="n">
        <v>4.2</v>
      </c>
      <c r="I481" s="38" t="n">
        <v>0</v>
      </c>
      <c r="J481" s="36" t="inlineStr">
        <is>
          <t>Costo</t>
        </is>
      </c>
      <c r="K481" s="37" t="inlineStr">
        <is>
          <t>2- M.O. indirecta</t>
        </is>
      </c>
      <c r="L481" s="37" t="inlineStr">
        <is>
          <t>5- PREVEN. DE RIESGO</t>
        </is>
      </c>
      <c r="M481" s="37" t="inlineStr">
        <is>
          <t>Operacion predio</t>
        </is>
      </c>
      <c r="N481" s="36" t="inlineStr">
        <is>
          <t>día</t>
        </is>
      </c>
      <c r="O481" s="36" t="inlineStr">
        <is>
          <t>ha</t>
        </is>
      </c>
      <c r="P481" s="39" t="n">
        <v>1575</v>
      </c>
      <c r="Q481" s="40" t="n">
        <v>4.2</v>
      </c>
      <c r="R481" s="39" t="n">
        <v>66123.53999999999</v>
      </c>
      <c r="S481" s="41" t="n">
        <v>0.00087465</v>
      </c>
      <c r="T481" s="39" t="n">
        <v>0.787185</v>
      </c>
      <c r="U481" s="39" t="n">
        <v>6.12255</v>
      </c>
      <c r="V481" s="39" t="n">
        <v>6.12255</v>
      </c>
      <c r="W481" s="39" t="n">
        <v>6.12255</v>
      </c>
      <c r="X481" s="39" t="n">
        <v>6.12255</v>
      </c>
      <c r="Y481" s="39" t="n">
        <v>6.12255</v>
      </c>
      <c r="Z481" s="39" t="n">
        <v>6.12255</v>
      </c>
      <c r="AA481" s="39" t="n">
        <v>6.12255</v>
      </c>
      <c r="AB481" s="39" t="n">
        <v>6.12255</v>
      </c>
      <c r="AC481" s="39" t="n">
        <v>6.12255</v>
      </c>
      <c r="AD481" s="39" t="n">
        <v>6.12255</v>
      </c>
      <c r="AE481" s="39" t="n">
        <v>6.12255</v>
      </c>
      <c r="AF481" s="39" t="n">
        <v>6.12255</v>
      </c>
    </row>
    <row r="482" ht="15" customHeight="1" s="176">
      <c r="A482" s="30" t="inlineStr">
        <is>
          <t>P-0479</t>
        </is>
      </c>
      <c r="B482" s="30" t="inlineStr">
        <is>
          <t>2026/27</t>
        </is>
      </c>
      <c r="C482" s="30" t="inlineStr">
        <is>
          <t>Santa Catalina</t>
        </is>
      </c>
      <c r="D482" s="31" t="inlineStr">
        <is>
          <t>cambria 4,2 ha</t>
        </is>
      </c>
      <c r="E482" s="30" t="inlineStr">
        <is>
          <t>Naranjas</t>
        </is>
      </c>
      <c r="F482" s="30" t="inlineStr">
        <is>
          <t>Cambria</t>
        </is>
      </c>
      <c r="G482" s="30" t="inlineStr">
        <is>
          <t>Mantención</t>
        </is>
      </c>
      <c r="H482" s="32" t="n">
        <v>4.2</v>
      </c>
      <c r="I482" s="32" t="n">
        <v>0</v>
      </c>
      <c r="J482" s="30" t="inlineStr">
        <is>
          <t>Costo</t>
        </is>
      </c>
      <c r="K482" s="31" t="inlineStr">
        <is>
          <t>1- M.O. directa</t>
        </is>
      </c>
      <c r="L482" s="31" t="inlineStr">
        <is>
          <t>6- Control de malezas químico</t>
        </is>
      </c>
      <c r="M482" s="31" t="inlineStr">
        <is>
          <t>Operacion predio</t>
        </is>
      </c>
      <c r="N482" s="30" t="inlineStr">
        <is>
          <t>día</t>
        </is>
      </c>
      <c r="O482" s="30" t="inlineStr">
        <is>
          <t>ha</t>
        </is>
      </c>
      <c r="P482" s="33" t="n">
        <v>43500</v>
      </c>
      <c r="Q482" s="34" t="n">
        <v>4.2</v>
      </c>
      <c r="R482" s="33" t="n">
        <v>365400</v>
      </c>
      <c r="S482" s="35" t="n">
        <v>0.00483333333333333</v>
      </c>
      <c r="T482" s="33" t="n">
        <v>4.35</v>
      </c>
      <c r="U482" s="33" t="n">
        <v>0</v>
      </c>
      <c r="V482" s="33" t="n">
        <v>0</v>
      </c>
      <c r="W482" s="33" t="n">
        <v>0</v>
      </c>
      <c r="X482" s="33" t="n">
        <v>0</v>
      </c>
      <c r="Y482" s="33" t="n">
        <v>0</v>
      </c>
      <c r="Z482" s="33" t="n">
        <v>101.5</v>
      </c>
      <c r="AA482" s="33" t="n">
        <v>0</v>
      </c>
      <c r="AB482" s="33" t="n">
        <v>101.5</v>
      </c>
      <c r="AC482" s="33" t="n">
        <v>0</v>
      </c>
      <c r="AD482" s="33" t="n">
        <v>101.5</v>
      </c>
      <c r="AE482" s="33" t="n">
        <v>0</v>
      </c>
      <c r="AF482" s="33" t="n">
        <v>101.5</v>
      </c>
    </row>
    <row r="483" ht="15" customHeight="1" s="176">
      <c r="A483" s="36" t="inlineStr">
        <is>
          <t>P-0480</t>
        </is>
      </c>
      <c r="B483" s="36" t="inlineStr">
        <is>
          <t>2026/27</t>
        </is>
      </c>
      <c r="C483" s="36" t="inlineStr">
        <is>
          <t>Santa Catalina</t>
        </is>
      </c>
      <c r="D483" s="37" t="inlineStr">
        <is>
          <t>cambria 4,2 ha</t>
        </is>
      </c>
      <c r="E483" s="36" t="inlineStr">
        <is>
          <t>Naranjas</t>
        </is>
      </c>
      <c r="F483" s="36" t="inlineStr">
        <is>
          <t>Cambria</t>
        </is>
      </c>
      <c r="G483" s="36" t="inlineStr">
        <is>
          <t>Mantención</t>
        </is>
      </c>
      <c r="H483" s="38" t="n">
        <v>4.2</v>
      </c>
      <c r="I483" s="38" t="n">
        <v>0</v>
      </c>
      <c r="J483" s="36" t="inlineStr">
        <is>
          <t>Costo</t>
        </is>
      </c>
      <c r="K483" s="37" t="inlineStr">
        <is>
          <t>4- Otros gastos</t>
        </is>
      </c>
      <c r="L483" s="37" t="inlineStr">
        <is>
          <t>6- GASTOS INDIRECTOS</t>
        </is>
      </c>
      <c r="M483" s="37" t="n"/>
      <c r="N483" s="36" t="n"/>
      <c r="O483" s="36" t="inlineStr">
        <is>
          <t>ha</t>
        </is>
      </c>
      <c r="P483" s="39" t="n">
        <v>62000</v>
      </c>
      <c r="Q483" s="40" t="n">
        <v>4.2</v>
      </c>
      <c r="R483" s="39" t="n">
        <v>2602958.4</v>
      </c>
      <c r="S483" s="41" t="n">
        <v>0.0344306666666667</v>
      </c>
      <c r="T483" s="39" t="n">
        <v>30.9876</v>
      </c>
      <c r="U483" s="39" t="n">
        <v>241.014666666667</v>
      </c>
      <c r="V483" s="39" t="n">
        <v>241.014666666667</v>
      </c>
      <c r="W483" s="39" t="n">
        <v>241.014666666667</v>
      </c>
      <c r="X483" s="39" t="n">
        <v>241.014666666667</v>
      </c>
      <c r="Y483" s="39" t="n">
        <v>241.014666666667</v>
      </c>
      <c r="Z483" s="39" t="n">
        <v>241.014666666667</v>
      </c>
      <c r="AA483" s="39" t="n">
        <v>241.014666666667</v>
      </c>
      <c r="AB483" s="39" t="n">
        <v>241.014666666667</v>
      </c>
      <c r="AC483" s="39" t="n">
        <v>241.014666666667</v>
      </c>
      <c r="AD483" s="39" t="n">
        <v>241.014666666667</v>
      </c>
      <c r="AE483" s="39" t="n">
        <v>241.014666666667</v>
      </c>
      <c r="AF483" s="39" t="n">
        <v>241.014666666667</v>
      </c>
    </row>
    <row r="484" ht="15" customHeight="1" s="176">
      <c r="A484" s="30" t="inlineStr">
        <is>
          <t>P-0481</t>
        </is>
      </c>
      <c r="B484" s="30" t="inlineStr">
        <is>
          <t>2026/27</t>
        </is>
      </c>
      <c r="C484" s="30" t="inlineStr">
        <is>
          <t>Santa Catalina</t>
        </is>
      </c>
      <c r="D484" s="31" t="inlineStr">
        <is>
          <t>cambria 4,2 ha</t>
        </is>
      </c>
      <c r="E484" s="30" t="inlineStr">
        <is>
          <t>Naranjas</t>
        </is>
      </c>
      <c r="F484" s="30" t="inlineStr">
        <is>
          <t>Cambria</t>
        </is>
      </c>
      <c r="G484" s="30" t="inlineStr">
        <is>
          <t>Mantención</t>
        </is>
      </c>
      <c r="H484" s="32" t="n">
        <v>4.2</v>
      </c>
      <c r="I484" s="32" t="n">
        <v>0</v>
      </c>
      <c r="J484" s="30" t="inlineStr">
        <is>
          <t>Costo</t>
        </is>
      </c>
      <c r="K484" s="31" t="inlineStr">
        <is>
          <t>1- M.O. directa</t>
        </is>
      </c>
      <c r="L484" s="31" t="inlineStr">
        <is>
          <t>7- Acordonar sarmiento</t>
        </is>
      </c>
      <c r="M484" s="31" t="n"/>
      <c r="N484" s="30" t="inlineStr">
        <is>
          <t>trato</t>
        </is>
      </c>
      <c r="O484" s="30" t="inlineStr">
        <is>
          <t>plt</t>
        </is>
      </c>
      <c r="P484" s="33" t="n">
        <v>70</v>
      </c>
      <c r="Q484" s="34" t="n">
        <v>1751.4</v>
      </c>
      <c r="R484" s="33" t="n">
        <v>122598</v>
      </c>
      <c r="S484" s="35" t="n">
        <v>0.00162166666666667</v>
      </c>
      <c r="T484" s="33" t="n">
        <v>1.4595</v>
      </c>
      <c r="U484" s="33" t="n">
        <v>0</v>
      </c>
      <c r="V484" s="33" t="n">
        <v>0</v>
      </c>
      <c r="W484" s="33" t="n">
        <v>0</v>
      </c>
      <c r="X484" s="33" t="n">
        <v>0</v>
      </c>
      <c r="Y484" s="33" t="n">
        <v>0</v>
      </c>
      <c r="Z484" s="33" t="n">
        <v>0</v>
      </c>
      <c r="AA484" s="33" t="n">
        <v>136.22</v>
      </c>
      <c r="AB484" s="33" t="n">
        <v>0</v>
      </c>
      <c r="AC484" s="33" t="n">
        <v>0</v>
      </c>
      <c r="AD484" s="33" t="n">
        <v>0</v>
      </c>
      <c r="AE484" s="33" t="n">
        <v>0</v>
      </c>
      <c r="AF484" s="33" t="n">
        <v>0</v>
      </c>
    </row>
    <row r="485" ht="15" customHeight="1" s="176">
      <c r="A485" s="36" t="inlineStr">
        <is>
          <t>P-0482</t>
        </is>
      </c>
      <c r="B485" s="36" t="inlineStr">
        <is>
          <t>2026/27</t>
        </is>
      </c>
      <c r="C485" s="36" t="inlineStr">
        <is>
          <t>Santa Catalina</t>
        </is>
      </c>
      <c r="D485" s="37" t="inlineStr">
        <is>
          <t>cambria 4,2 ha</t>
        </is>
      </c>
      <c r="E485" s="36" t="inlineStr">
        <is>
          <t>Naranjas</t>
        </is>
      </c>
      <c r="F485" s="36" t="inlineStr">
        <is>
          <t>Cambria</t>
        </is>
      </c>
      <c r="G485" s="36" t="inlineStr">
        <is>
          <t>Mantención</t>
        </is>
      </c>
      <c r="H485" s="38" t="n">
        <v>4.2</v>
      </c>
      <c r="I485" s="38" t="n">
        <v>0</v>
      </c>
      <c r="J485" s="36" t="inlineStr">
        <is>
          <t>Costo</t>
        </is>
      </c>
      <c r="K485" s="37" t="inlineStr">
        <is>
          <t>4- Otros gastos</t>
        </is>
      </c>
      <c r="L485" s="37" t="inlineStr">
        <is>
          <t>7- GASTOS DE ADMINISTRACION</t>
        </is>
      </c>
      <c r="M485" s="37" t="n"/>
      <c r="N485" s="36" t="n"/>
      <c r="O485" s="36" t="inlineStr">
        <is>
          <t>ha</t>
        </is>
      </c>
      <c r="P485" s="39" t="n">
        <v>27673</v>
      </c>
      <c r="Q485" s="40" t="n">
        <v>4.2</v>
      </c>
      <c r="R485" s="39" t="n">
        <v>1161801.0936</v>
      </c>
      <c r="S485" s="41" t="n">
        <v>0.0153677393333333</v>
      </c>
      <c r="T485" s="39" t="n">
        <v>13.8309654</v>
      </c>
      <c r="U485" s="39" t="n">
        <v>107.574175333333</v>
      </c>
      <c r="V485" s="39" t="n">
        <v>107.574175333333</v>
      </c>
      <c r="W485" s="39" t="n">
        <v>107.574175333333</v>
      </c>
      <c r="X485" s="39" t="n">
        <v>107.574175333333</v>
      </c>
      <c r="Y485" s="39" t="n">
        <v>107.574175333333</v>
      </c>
      <c r="Z485" s="39" t="n">
        <v>107.574175333333</v>
      </c>
      <c r="AA485" s="39" t="n">
        <v>107.574175333333</v>
      </c>
      <c r="AB485" s="39" t="n">
        <v>107.574175333333</v>
      </c>
      <c r="AC485" s="39" t="n">
        <v>107.574175333333</v>
      </c>
      <c r="AD485" s="39" t="n">
        <v>107.574175333333</v>
      </c>
      <c r="AE485" s="39" t="n">
        <v>107.574175333333</v>
      </c>
      <c r="AF485" s="39" t="n">
        <v>107.574175333333</v>
      </c>
    </row>
    <row r="486" ht="15" customHeight="1" s="176">
      <c r="A486" s="30" t="inlineStr">
        <is>
          <t>P-0483</t>
        </is>
      </c>
      <c r="B486" s="30" t="inlineStr">
        <is>
          <t>2026/27</t>
        </is>
      </c>
      <c r="C486" s="30" t="inlineStr">
        <is>
          <t>Santa Catalina</t>
        </is>
      </c>
      <c r="D486" s="31" t="inlineStr">
        <is>
          <t>cambria 4,2 ha</t>
        </is>
      </c>
      <c r="E486" s="30" t="inlineStr">
        <is>
          <t>Naranjas</t>
        </is>
      </c>
      <c r="F486" s="30" t="inlineStr">
        <is>
          <t>Cambria</t>
        </is>
      </c>
      <c r="G486" s="30" t="inlineStr">
        <is>
          <t>Mantención</t>
        </is>
      </c>
      <c r="H486" s="32" t="n">
        <v>4.2</v>
      </c>
      <c r="I486" s="32" t="n">
        <v>0</v>
      </c>
      <c r="J486" s="30" t="inlineStr">
        <is>
          <t>Costo</t>
        </is>
      </c>
      <c r="K486" s="31" t="inlineStr">
        <is>
          <t>1- M.O. directa</t>
        </is>
      </c>
      <c r="L486" s="31" t="inlineStr">
        <is>
          <t>7,1- TRACTORISTA</t>
        </is>
      </c>
      <c r="M486" s="31" t="inlineStr">
        <is>
          <t>Operacion predio</t>
        </is>
      </c>
      <c r="N486" s="30" t="inlineStr">
        <is>
          <t>día</t>
        </is>
      </c>
      <c r="O486" s="30" t="inlineStr">
        <is>
          <t>ha</t>
        </is>
      </c>
      <c r="P486" s="33" t="n">
        <v>38000</v>
      </c>
      <c r="Q486" s="34" t="n">
        <v>4.2</v>
      </c>
      <c r="R486" s="33" t="n">
        <v>1595361.6</v>
      </c>
      <c r="S486" s="35" t="n">
        <v>0.0211026666666667</v>
      </c>
      <c r="T486" s="33" t="n">
        <v>18.9924</v>
      </c>
      <c r="U486" s="33" t="n">
        <v>147.718666666667</v>
      </c>
      <c r="V486" s="33" t="n">
        <v>147.718666666667</v>
      </c>
      <c r="W486" s="33" t="n">
        <v>147.718666666667</v>
      </c>
      <c r="X486" s="33" t="n">
        <v>147.718666666667</v>
      </c>
      <c r="Y486" s="33" t="n">
        <v>147.718666666667</v>
      </c>
      <c r="Z486" s="33" t="n">
        <v>147.718666666667</v>
      </c>
      <c r="AA486" s="33" t="n">
        <v>147.718666666667</v>
      </c>
      <c r="AB486" s="33" t="n">
        <v>147.718666666667</v>
      </c>
      <c r="AC486" s="33" t="n">
        <v>147.718666666667</v>
      </c>
      <c r="AD486" s="33" t="n">
        <v>147.718666666667</v>
      </c>
      <c r="AE486" s="33" t="n">
        <v>147.718666666667</v>
      </c>
      <c r="AF486" s="33" t="n">
        <v>147.718666666667</v>
      </c>
    </row>
    <row r="487" ht="15" customHeight="1" s="176">
      <c r="A487" s="42" t="inlineStr">
        <is>
          <t>P-0484</t>
        </is>
      </c>
      <c r="B487" s="42" t="inlineStr">
        <is>
          <t>2026/27</t>
        </is>
      </c>
      <c r="C487" s="42" t="inlineStr">
        <is>
          <t>Santa Catalina</t>
        </is>
      </c>
      <c r="D487" s="43" t="inlineStr">
        <is>
          <t>eureka 22,55</t>
        </is>
      </c>
      <c r="E487" s="42" t="inlineStr">
        <is>
          <t>Limon</t>
        </is>
      </c>
      <c r="F487" s="42" t="inlineStr">
        <is>
          <t>Eureka</t>
        </is>
      </c>
      <c r="G487" s="42" t="inlineStr">
        <is>
          <t>Producción</t>
        </is>
      </c>
      <c r="H487" s="44" t="n">
        <v>22.55</v>
      </c>
      <c r="I487" s="44" t="n">
        <v>22.55</v>
      </c>
      <c r="J487" s="42" t="inlineStr">
        <is>
          <t>Ingreso</t>
        </is>
      </c>
      <c r="K487" s="43" t="inlineStr">
        <is>
          <t>5- Ingresos</t>
        </is>
      </c>
      <c r="L487" s="43" t="inlineStr">
        <is>
          <t>Venta M.I.</t>
        </is>
      </c>
      <c r="M487" s="43" t="n"/>
      <c r="N487" s="42" t="inlineStr">
        <is>
          <t>venta</t>
        </is>
      </c>
      <c r="O487" s="42" t="inlineStr">
        <is>
          <t>kg</t>
        </is>
      </c>
      <c r="P487" s="45" t="n">
        <v>-356.666666666667</v>
      </c>
      <c r="Q487" s="46" t="n">
        <v>837378.465</v>
      </c>
      <c r="R487" s="45" t="n">
        <v>280161328.986</v>
      </c>
      <c r="S487" s="47" t="n">
        <v>-0.371743934852683</v>
      </c>
      <c r="T487" s="45" t="n">
        <v>-334.569541367415</v>
      </c>
      <c r="U487" s="45" t="n">
        <v>13183.632</v>
      </c>
      <c r="V487" s="45" t="n">
        <v>5117.31284166667</v>
      </c>
      <c r="W487" s="45" t="n">
        <v>3721.68206666667</v>
      </c>
      <c r="X487" s="45" t="n">
        <v>3907.76617</v>
      </c>
      <c r="Y487" s="45" t="n">
        <v>13956.30775</v>
      </c>
      <c r="Z487" s="45" t="n">
        <v>27912.6155</v>
      </c>
      <c r="AA487" s="45" t="n">
        <v>41124.5868366667</v>
      </c>
      <c r="AB487" s="45" t="n">
        <v>55825.231</v>
      </c>
      <c r="AC487" s="45" t="n">
        <v>66990.2772</v>
      </c>
      <c r="AD487" s="45" t="n">
        <v>45590.6053166667</v>
      </c>
      <c r="AE487" s="45" t="n">
        <v>29773.4565333333</v>
      </c>
      <c r="AF487" s="45" t="n">
        <v>4186.892325</v>
      </c>
    </row>
    <row r="488" ht="15" customHeight="1" s="176">
      <c r="A488" s="30" t="inlineStr">
        <is>
          <t>P-0485</t>
        </is>
      </c>
      <c r="B488" s="30" t="inlineStr">
        <is>
          <t>2026/27</t>
        </is>
      </c>
      <c r="C488" s="30" t="inlineStr">
        <is>
          <t>Santa Catalina</t>
        </is>
      </c>
      <c r="D488" s="31" t="inlineStr">
        <is>
          <t>cambria 4,2 ha</t>
        </is>
      </c>
      <c r="E488" s="30" t="inlineStr">
        <is>
          <t>Naranjas</t>
        </is>
      </c>
      <c r="F488" s="30" t="inlineStr">
        <is>
          <t>Cambria</t>
        </is>
      </c>
      <c r="G488" s="30" t="inlineStr">
        <is>
          <t>Mantención</t>
        </is>
      </c>
      <c r="H488" s="32" t="n">
        <v>4.2</v>
      </c>
      <c r="I488" s="32" t="n">
        <v>0</v>
      </c>
      <c r="J488" s="30" t="inlineStr">
        <is>
          <t>Costo</t>
        </is>
      </c>
      <c r="K488" s="31" t="inlineStr">
        <is>
          <t>3- Gasto general</t>
        </is>
      </c>
      <c r="L488" s="31" t="inlineStr">
        <is>
          <t>3- COMBUSTIBLE Y ENERGIA</t>
        </is>
      </c>
      <c r="M488" s="31" t="inlineStr">
        <is>
          <t>diesel  zanjon 14l/hr</t>
        </is>
      </c>
      <c r="N488" s="30" t="inlineStr">
        <is>
          <t>día</t>
        </is>
      </c>
      <c r="O488" s="30" t="inlineStr">
        <is>
          <t>ha</t>
        </is>
      </c>
      <c r="P488" s="33" t="n">
        <v>76262</v>
      </c>
      <c r="Q488" s="34" t="n">
        <v>4.2</v>
      </c>
      <c r="R488" s="33" t="n">
        <v>3201722.7984</v>
      </c>
      <c r="S488" s="35" t="n">
        <v>0.0423508306666667</v>
      </c>
      <c r="T488" s="33" t="n">
        <v>38.1157476</v>
      </c>
      <c r="U488" s="33" t="n">
        <v>296.455814666667</v>
      </c>
      <c r="V488" s="33" t="n">
        <v>296.455814666667</v>
      </c>
      <c r="W488" s="33" t="n">
        <v>296.455814666667</v>
      </c>
      <c r="X488" s="33" t="n">
        <v>296.455814666667</v>
      </c>
      <c r="Y488" s="33" t="n">
        <v>296.455814666667</v>
      </c>
      <c r="Z488" s="33" t="n">
        <v>296.455814666667</v>
      </c>
      <c r="AA488" s="33" t="n">
        <v>296.455814666667</v>
      </c>
      <c r="AB488" s="33" t="n">
        <v>296.455814666667</v>
      </c>
      <c r="AC488" s="33" t="n">
        <v>296.455814666667</v>
      </c>
      <c r="AD488" s="33" t="n">
        <v>296.455814666667</v>
      </c>
      <c r="AE488" s="33" t="n">
        <v>296.455814666667</v>
      </c>
      <c r="AF488" s="33" t="n">
        <v>296.455814666667</v>
      </c>
    </row>
    <row r="489" ht="15" customHeight="1" s="176">
      <c r="A489" s="48" t="inlineStr">
        <is>
          <t>P-0486</t>
        </is>
      </c>
      <c r="B489" s="48" t="inlineStr">
        <is>
          <t>2026/27</t>
        </is>
      </c>
      <c r="C489" s="48" t="inlineStr">
        <is>
          <t>Santa Catalina</t>
        </is>
      </c>
      <c r="D489" s="49" t="inlineStr">
        <is>
          <t>cambria 4,2 ha</t>
        </is>
      </c>
      <c r="E489" s="48" t="inlineStr">
        <is>
          <t>Naranjas</t>
        </is>
      </c>
      <c r="F489" s="48" t="inlineStr">
        <is>
          <t>Cambria</t>
        </is>
      </c>
      <c r="G489" s="48" t="inlineStr">
        <is>
          <t>Mantención</t>
        </is>
      </c>
      <c r="H489" s="50" t="n">
        <v>4.2</v>
      </c>
      <c r="I489" s="50" t="n">
        <v>0</v>
      </c>
      <c r="J489" s="48" t="n"/>
      <c r="K489" s="49" t="inlineStr">
        <is>
          <t>6- Inversión</t>
        </is>
      </c>
      <c r="L489" s="49" t="n"/>
      <c r="M489" s="49" t="n"/>
      <c r="N489" s="48" t="n"/>
      <c r="O489" s="48" t="n"/>
      <c r="P489" s="51" t="n">
        <v>0</v>
      </c>
      <c r="Q489" s="52" t="n"/>
      <c r="R489" s="51" t="n">
        <v>0</v>
      </c>
      <c r="S489" s="53" t="n">
        <v>0</v>
      </c>
      <c r="T489" s="51" t="n">
        <v>0</v>
      </c>
      <c r="U489" s="51" t="n">
        <v>0</v>
      </c>
      <c r="V489" s="51" t="n">
        <v>0</v>
      </c>
      <c r="W489" s="51" t="n">
        <v>0</v>
      </c>
      <c r="X489" s="51" t="n">
        <v>0</v>
      </c>
      <c r="Y489" s="51" t="n">
        <v>0</v>
      </c>
      <c r="Z489" s="51" t="n">
        <v>0</v>
      </c>
      <c r="AA489" s="51" t="n">
        <v>0</v>
      </c>
      <c r="AB489" s="51" t="n">
        <v>0</v>
      </c>
      <c r="AC489" s="51" t="n">
        <v>0</v>
      </c>
      <c r="AD489" s="51" t="n">
        <v>0</v>
      </c>
      <c r="AE489" s="51" t="n">
        <v>0</v>
      </c>
      <c r="AF489" s="51" t="n">
        <v>0</v>
      </c>
    </row>
    <row r="490" ht="15" customHeight="1" s="176">
      <c r="A490" s="48" t="inlineStr">
        <is>
          <t>P-0487</t>
        </is>
      </c>
      <c r="B490" s="48" t="inlineStr">
        <is>
          <t>2026/27</t>
        </is>
      </c>
      <c r="C490" s="48" t="inlineStr">
        <is>
          <t>Santa Catalina</t>
        </is>
      </c>
      <c r="D490" s="49" t="inlineStr">
        <is>
          <t>cambria 4,2 ha</t>
        </is>
      </c>
      <c r="E490" s="48" t="inlineStr">
        <is>
          <t>Naranjas</t>
        </is>
      </c>
      <c r="F490" s="48" t="inlineStr">
        <is>
          <t>Cambria</t>
        </is>
      </c>
      <c r="G490" s="48" t="inlineStr">
        <is>
          <t>Mantención</t>
        </is>
      </c>
      <c r="H490" s="50" t="n">
        <v>4.2</v>
      </c>
      <c r="I490" s="50" t="n">
        <v>0</v>
      </c>
      <c r="J490" s="48" t="n"/>
      <c r="K490" s="49" t="inlineStr">
        <is>
          <t>6- Inversión</t>
        </is>
      </c>
      <c r="L490" s="49" t="n"/>
      <c r="M490" s="49" t="n"/>
      <c r="N490" s="48" t="n"/>
      <c r="O490" s="48" t="n"/>
      <c r="P490" s="51" t="n">
        <v>0</v>
      </c>
      <c r="Q490" s="52" t="n"/>
      <c r="R490" s="51" t="n">
        <v>0</v>
      </c>
      <c r="S490" s="53" t="n">
        <v>0</v>
      </c>
      <c r="T490" s="51" t="n">
        <v>0</v>
      </c>
      <c r="U490" s="51" t="n">
        <v>0</v>
      </c>
      <c r="V490" s="51" t="n">
        <v>0</v>
      </c>
      <c r="W490" s="51" t="n">
        <v>0</v>
      </c>
      <c r="X490" s="51" t="n">
        <v>0</v>
      </c>
      <c r="Y490" s="51" t="n">
        <v>0</v>
      </c>
      <c r="Z490" s="51" t="n">
        <v>0</v>
      </c>
      <c r="AA490" s="51" t="n">
        <v>0</v>
      </c>
      <c r="AB490" s="51" t="n">
        <v>0</v>
      </c>
      <c r="AC490" s="51" t="n">
        <v>0</v>
      </c>
      <c r="AD490" s="51" t="n">
        <v>0</v>
      </c>
      <c r="AE490" s="51" t="n">
        <v>0</v>
      </c>
      <c r="AF490" s="51" t="n">
        <v>0</v>
      </c>
    </row>
    <row r="491" ht="15" customHeight="1" s="176">
      <c r="A491" s="36" t="inlineStr">
        <is>
          <t>P-0488</t>
        </is>
      </c>
      <c r="B491" s="36" t="inlineStr">
        <is>
          <t>2026/27</t>
        </is>
      </c>
      <c r="C491" s="36" t="inlineStr">
        <is>
          <t>Santa Catalina</t>
        </is>
      </c>
      <c r="D491" s="37" t="inlineStr">
        <is>
          <t>cambria 4,2 ha</t>
        </is>
      </c>
      <c r="E491" s="36" t="inlineStr">
        <is>
          <t>Naranjas</t>
        </is>
      </c>
      <c r="F491" s="36" t="inlineStr">
        <is>
          <t>Cambria</t>
        </is>
      </c>
      <c r="G491" s="36" t="inlineStr">
        <is>
          <t>Mantención</t>
        </is>
      </c>
      <c r="H491" s="38" t="n">
        <v>4.2</v>
      </c>
      <c r="I491" s="38" t="n">
        <v>0</v>
      </c>
      <c r="J491" s="36" t="inlineStr">
        <is>
          <t>Costo</t>
        </is>
      </c>
      <c r="K491" s="37" t="inlineStr">
        <is>
          <t>2- M.O. indirecta</t>
        </is>
      </c>
      <c r="L491" s="37" t="inlineStr">
        <is>
          <t>3,1-  ENCARGADO DE RIEGO</t>
        </is>
      </c>
      <c r="M491" s="37" t="inlineStr">
        <is>
          <t>Operacion predio</t>
        </is>
      </c>
      <c r="N491" s="36" t="inlineStr">
        <is>
          <t>día</t>
        </is>
      </c>
      <c r="O491" s="36" t="inlineStr">
        <is>
          <t>ha</t>
        </is>
      </c>
      <c r="P491" s="39" t="n">
        <v>44618.0833333333</v>
      </c>
      <c r="Q491" s="40" t="n">
        <v>4.2</v>
      </c>
      <c r="R491" s="39" t="n">
        <v>1873209.9162</v>
      </c>
      <c r="S491" s="41" t="n">
        <v>0.0247779089444444</v>
      </c>
      <c r="T491" s="39" t="n">
        <v>22.30011805</v>
      </c>
      <c r="U491" s="39" t="n">
        <v>173.445362611111</v>
      </c>
      <c r="V491" s="39" t="n">
        <v>173.445362611111</v>
      </c>
      <c r="W491" s="39" t="n">
        <v>173.445362611111</v>
      </c>
      <c r="X491" s="39" t="n">
        <v>173.445362611111</v>
      </c>
      <c r="Y491" s="39" t="n">
        <v>173.445362611111</v>
      </c>
      <c r="Z491" s="39" t="n">
        <v>173.445362611111</v>
      </c>
      <c r="AA491" s="39" t="n">
        <v>173.445362611111</v>
      </c>
      <c r="AB491" s="39" t="n">
        <v>173.445362611111</v>
      </c>
      <c r="AC491" s="39" t="n">
        <v>173.445362611111</v>
      </c>
      <c r="AD491" s="39" t="n">
        <v>173.445362611111</v>
      </c>
      <c r="AE491" s="39" t="n">
        <v>173.445362611111</v>
      </c>
      <c r="AF491" s="39" t="n">
        <v>173.445362611111</v>
      </c>
    </row>
    <row r="492" ht="15" customHeight="1" s="176">
      <c r="A492" s="30" t="inlineStr">
        <is>
          <t>P-0489</t>
        </is>
      </c>
      <c r="B492" s="30" t="inlineStr">
        <is>
          <t>2026/27</t>
        </is>
      </c>
      <c r="C492" s="30" t="inlineStr">
        <is>
          <t>Santa Catalina</t>
        </is>
      </c>
      <c r="D492" s="31" t="inlineStr">
        <is>
          <t>cambria 4,2 ha</t>
        </is>
      </c>
      <c r="E492" s="30" t="inlineStr">
        <is>
          <t>Naranjas</t>
        </is>
      </c>
      <c r="F492" s="30" t="inlineStr">
        <is>
          <t>Cambria</t>
        </is>
      </c>
      <c r="G492" s="30" t="inlineStr">
        <is>
          <t>Mantención</t>
        </is>
      </c>
      <c r="H492" s="32" t="n">
        <v>4.2</v>
      </c>
      <c r="I492" s="32" t="n">
        <v>0</v>
      </c>
      <c r="J492" s="30" t="inlineStr">
        <is>
          <t>Costo</t>
        </is>
      </c>
      <c r="K492" s="31" t="inlineStr">
        <is>
          <t>2- M.O. indirecta</t>
        </is>
      </c>
      <c r="L492" s="31" t="inlineStr">
        <is>
          <t>9,1- RONDIN ZANJON</t>
        </is>
      </c>
      <c r="M492" s="31" t="inlineStr">
        <is>
          <t>Operacion predio</t>
        </is>
      </c>
      <c r="N492" s="30" t="inlineStr">
        <is>
          <t>día</t>
        </is>
      </c>
      <c r="O492" s="30" t="inlineStr">
        <is>
          <t>ha</t>
        </is>
      </c>
      <c r="P492" s="33" t="n">
        <v>70688</v>
      </c>
      <c r="Q492" s="34" t="n">
        <v>4.2</v>
      </c>
      <c r="R492" s="33" t="n">
        <v>2967708.4416</v>
      </c>
      <c r="S492" s="35" t="n">
        <v>0.0392554026666667</v>
      </c>
      <c r="T492" s="33" t="n">
        <v>35.3298624</v>
      </c>
      <c r="U492" s="33" t="n">
        <v>274.787818666667</v>
      </c>
      <c r="V492" s="33" t="n">
        <v>274.787818666667</v>
      </c>
      <c r="W492" s="33" t="n">
        <v>274.787818666667</v>
      </c>
      <c r="X492" s="33" t="n">
        <v>274.787818666667</v>
      </c>
      <c r="Y492" s="33" t="n">
        <v>274.787818666667</v>
      </c>
      <c r="Z492" s="33" t="n">
        <v>274.787818666667</v>
      </c>
      <c r="AA492" s="33" t="n">
        <v>274.787818666667</v>
      </c>
      <c r="AB492" s="33" t="n">
        <v>274.787818666667</v>
      </c>
      <c r="AC492" s="33" t="n">
        <v>274.787818666667</v>
      </c>
      <c r="AD492" s="33" t="n">
        <v>274.787818666667</v>
      </c>
      <c r="AE492" s="33" t="n">
        <v>274.787818666667</v>
      </c>
      <c r="AF492" s="33" t="n">
        <v>274.787818666667</v>
      </c>
    </row>
    <row r="493" ht="15" customHeight="1" s="176">
      <c r="A493" s="36" t="inlineStr">
        <is>
          <t>P-0490</t>
        </is>
      </c>
      <c r="B493" s="36" t="inlineStr">
        <is>
          <t>2026/27</t>
        </is>
      </c>
      <c r="C493" s="36" t="inlineStr">
        <is>
          <t>Santa Catalina</t>
        </is>
      </c>
      <c r="D493" s="37" t="inlineStr">
        <is>
          <t>cambria 4,2 ha</t>
        </is>
      </c>
      <c r="E493" s="36" t="inlineStr">
        <is>
          <t>Naranjas</t>
        </is>
      </c>
      <c r="F493" s="36" t="inlineStr">
        <is>
          <t>Cambria</t>
        </is>
      </c>
      <c r="G493" s="36" t="inlineStr">
        <is>
          <t>Mantención</t>
        </is>
      </c>
      <c r="H493" s="38" t="n">
        <v>4.2</v>
      </c>
      <c r="I493" s="38" t="n">
        <v>0</v>
      </c>
      <c r="J493" s="36" t="inlineStr">
        <is>
          <t>Costo</t>
        </is>
      </c>
      <c r="K493" s="37" t="inlineStr">
        <is>
          <t>3- Gasto general</t>
        </is>
      </c>
      <c r="L493" s="37" t="inlineStr">
        <is>
          <t>3,1 - COMBUSTIBLE  ZANJON</t>
        </is>
      </c>
      <c r="M493" s="37" t="inlineStr">
        <is>
          <t>Compra agua zanjon</t>
        </is>
      </c>
      <c r="N493" s="36" t="inlineStr">
        <is>
          <t>m3</t>
        </is>
      </c>
      <c r="O493" s="36" t="inlineStr">
        <is>
          <t>m3</t>
        </is>
      </c>
      <c r="P493" s="39" t="n">
        <v>230</v>
      </c>
      <c r="Q493" s="40" t="n">
        <v>2820.45240339303</v>
      </c>
      <c r="R493" s="39" t="n">
        <v>6484445.71159284</v>
      </c>
      <c r="S493" s="41" t="n">
        <v>0.0857730914231857</v>
      </c>
      <c r="T493" s="39" t="n">
        <v>77.19578228086711</v>
      </c>
      <c r="U493" s="39" t="n">
        <v>600.4116399623</v>
      </c>
      <c r="V493" s="39" t="n">
        <v>600.4116399623</v>
      </c>
      <c r="W493" s="39" t="n">
        <v>600.4116399623</v>
      </c>
      <c r="X493" s="39" t="n">
        <v>600.4116399623</v>
      </c>
      <c r="Y493" s="39" t="n">
        <v>600.4116399623</v>
      </c>
      <c r="Z493" s="39" t="n">
        <v>600.4116399623</v>
      </c>
      <c r="AA493" s="39" t="n">
        <v>600.4116399623</v>
      </c>
      <c r="AB493" s="39" t="n">
        <v>600.4116399623</v>
      </c>
      <c r="AC493" s="39" t="n">
        <v>600.4116399623</v>
      </c>
      <c r="AD493" s="39" t="n">
        <v>600.4116399623</v>
      </c>
      <c r="AE493" s="39" t="n">
        <v>600.4116399623</v>
      </c>
      <c r="AF493" s="39" t="n">
        <v>600.4116399623</v>
      </c>
    </row>
    <row r="494" ht="15" customHeight="1" s="176">
      <c r="A494" s="30" t="inlineStr">
        <is>
          <t>P-0491</t>
        </is>
      </c>
      <c r="B494" s="30" t="inlineStr">
        <is>
          <t>2026/27</t>
        </is>
      </c>
      <c r="C494" s="30" t="inlineStr">
        <is>
          <t>Santa Catalina</t>
        </is>
      </c>
      <c r="D494" s="31" t="inlineStr">
        <is>
          <t>eureka 22,55</t>
        </is>
      </c>
      <c r="E494" s="30" t="inlineStr">
        <is>
          <t>Limon</t>
        </is>
      </c>
      <c r="F494" s="30" t="inlineStr">
        <is>
          <t>Eureka</t>
        </is>
      </c>
      <c r="G494" s="30" t="inlineStr">
        <is>
          <t>Producción</t>
        </is>
      </c>
      <c r="H494" s="32" t="n">
        <v>22.55</v>
      </c>
      <c r="I494" s="32" t="n">
        <v>22.55</v>
      </c>
      <c r="J494" s="30" t="inlineStr">
        <is>
          <t>Costo</t>
        </is>
      </c>
      <c r="K494" s="31" t="inlineStr">
        <is>
          <t>1- M.O. directa</t>
        </is>
      </c>
      <c r="L494" s="31" t="inlineStr">
        <is>
          <t>4- Grua</t>
        </is>
      </c>
      <c r="M494" s="31" t="inlineStr">
        <is>
          <t>una grua  para 100-120 jh</t>
        </is>
      </c>
      <c r="N494" s="30" t="inlineStr">
        <is>
          <t>día</t>
        </is>
      </c>
      <c r="O494" s="30" t="inlineStr">
        <is>
          <t>kg</t>
        </is>
      </c>
      <c r="P494" s="33" t="n">
        <v>1.5</v>
      </c>
      <c r="Q494" s="34" t="n">
        <v>1578500</v>
      </c>
      <c r="R494" s="33" t="n">
        <v>2358279</v>
      </c>
      <c r="S494" s="35" t="n">
        <v>0.00166</v>
      </c>
      <c r="T494" s="33" t="n">
        <v>1.494</v>
      </c>
      <c r="U494" s="33" t="n">
        <v>218.359166666667</v>
      </c>
      <c r="V494" s="33" t="n">
        <v>218.359166666667</v>
      </c>
      <c r="W494" s="33" t="n">
        <v>218.359166666667</v>
      </c>
      <c r="X494" s="33" t="n">
        <v>218.359166666667</v>
      </c>
      <c r="Y494" s="33" t="n">
        <v>218.359166666667</v>
      </c>
      <c r="Z494" s="33" t="n">
        <v>218.359166666667</v>
      </c>
      <c r="AA494" s="33" t="n">
        <v>218.359166666667</v>
      </c>
      <c r="AB494" s="33" t="n">
        <v>218.359166666667</v>
      </c>
      <c r="AC494" s="33" t="n">
        <v>218.359166666667</v>
      </c>
      <c r="AD494" s="33" t="n">
        <v>218.359166666667</v>
      </c>
      <c r="AE494" s="33" t="n">
        <v>218.359166666667</v>
      </c>
      <c r="AF494" s="33" t="n">
        <v>218.359166666667</v>
      </c>
    </row>
    <row r="495" ht="15" customHeight="1" s="176">
      <c r="A495" s="36" t="inlineStr">
        <is>
          <t>P-0492</t>
        </is>
      </c>
      <c r="B495" s="36" t="inlineStr">
        <is>
          <t>2026/27</t>
        </is>
      </c>
      <c r="C495" s="36" t="inlineStr">
        <is>
          <t>Santa Catalina</t>
        </is>
      </c>
      <c r="D495" s="37" t="inlineStr">
        <is>
          <t>cambria 4,2 ha</t>
        </is>
      </c>
      <c r="E495" s="36" t="inlineStr">
        <is>
          <t>Naranjas</t>
        </is>
      </c>
      <c r="F495" s="36" t="inlineStr">
        <is>
          <t>Cambria</t>
        </is>
      </c>
      <c r="G495" s="36" t="inlineStr">
        <is>
          <t>Mantención</t>
        </is>
      </c>
      <c r="H495" s="38" t="n">
        <v>4.2</v>
      </c>
      <c r="I495" s="38" t="n">
        <v>0</v>
      </c>
      <c r="J495" s="36" t="inlineStr">
        <is>
          <t>Costo</t>
        </is>
      </c>
      <c r="K495" s="37" t="inlineStr">
        <is>
          <t>3- Gasto general</t>
        </is>
      </c>
      <c r="L495" s="37" t="inlineStr">
        <is>
          <t>5- OTROS COSTOS  (fletes, alambres, mallas)</t>
        </is>
      </c>
      <c r="M495" s="37" t="n"/>
      <c r="N495" s="36" t="n"/>
      <c r="O495" s="36" t="inlineStr">
        <is>
          <t>ha</t>
        </is>
      </c>
      <c r="P495" s="39" t="n">
        <v>100000</v>
      </c>
      <c r="Q495" s="40" t="n">
        <v>4.2</v>
      </c>
      <c r="R495" s="39" t="n">
        <v>2016000</v>
      </c>
      <c r="S495" s="41" t="n">
        <v>0.0266666666666667</v>
      </c>
      <c r="T495" s="39" t="n">
        <v>24</v>
      </c>
      <c r="U495" s="39" t="n">
        <v>186.666666666667</v>
      </c>
      <c r="V495" s="39" t="n">
        <v>186.666666666667</v>
      </c>
      <c r="W495" s="39" t="n">
        <v>186.666666666667</v>
      </c>
      <c r="X495" s="39" t="n">
        <v>186.666666666667</v>
      </c>
      <c r="Y495" s="39" t="n">
        <v>186.666666666667</v>
      </c>
      <c r="Z495" s="39" t="n">
        <v>186.666666666667</v>
      </c>
      <c r="AA495" s="39" t="n">
        <v>186.666666666667</v>
      </c>
      <c r="AB495" s="39" t="n">
        <v>186.666666666667</v>
      </c>
      <c r="AC495" s="39" t="n">
        <v>186.666666666667</v>
      </c>
      <c r="AD495" s="39" t="n">
        <v>186.666666666667</v>
      </c>
      <c r="AE495" s="39" t="n">
        <v>186.666666666667</v>
      </c>
      <c r="AF495" s="39" t="n">
        <v>186.666666666667</v>
      </c>
    </row>
    <row r="496" ht="15" customHeight="1" s="176">
      <c r="A496" s="30" t="inlineStr">
        <is>
          <t>P-0493</t>
        </is>
      </c>
      <c r="B496" s="30" t="inlineStr">
        <is>
          <t>2026/27</t>
        </is>
      </c>
      <c r="C496" s="30" t="inlineStr">
        <is>
          <t>Santa Catalina</t>
        </is>
      </c>
      <c r="D496" s="31" t="inlineStr">
        <is>
          <t>cambria 4,2 ha</t>
        </is>
      </c>
      <c r="E496" s="30" t="inlineStr">
        <is>
          <t>Naranjas</t>
        </is>
      </c>
      <c r="F496" s="30" t="inlineStr">
        <is>
          <t>Cambria</t>
        </is>
      </c>
      <c r="G496" s="30" t="inlineStr">
        <is>
          <t>Mantención</t>
        </is>
      </c>
      <c r="H496" s="32" t="n">
        <v>4.2</v>
      </c>
      <c r="I496" s="32" t="n">
        <v>0</v>
      </c>
      <c r="J496" s="30" t="inlineStr">
        <is>
          <t>Costo</t>
        </is>
      </c>
      <c r="K496" s="31" t="inlineStr">
        <is>
          <t>3- Gasto general</t>
        </is>
      </c>
      <c r="L496" s="31" t="inlineStr">
        <is>
          <t>3- COMBUSTIBLE Y ENERGIA</t>
        </is>
      </c>
      <c r="M496" s="31" t="inlineStr">
        <is>
          <t>cuota embalse cogoti</t>
        </is>
      </c>
      <c r="N496" s="30" t="n"/>
      <c r="O496" s="30" t="inlineStr">
        <is>
          <t>ha</t>
        </is>
      </c>
      <c r="P496" s="33" t="n">
        <v>32266.6666666667</v>
      </c>
      <c r="Q496" s="34" t="n">
        <v>4.2</v>
      </c>
      <c r="R496" s="33" t="n">
        <v>487872</v>
      </c>
      <c r="S496" s="35" t="n">
        <v>0.00645333333333333</v>
      </c>
      <c r="T496" s="33" t="n">
        <v>5.808</v>
      </c>
      <c r="U496" s="33" t="n">
        <v>45.1733333333333</v>
      </c>
      <c r="V496" s="33" t="n">
        <v>45.1733333333333</v>
      </c>
      <c r="W496" s="33" t="n">
        <v>45.1733333333333</v>
      </c>
      <c r="X496" s="33" t="n">
        <v>45.1733333333333</v>
      </c>
      <c r="Y496" s="33" t="n">
        <v>45.1733333333333</v>
      </c>
      <c r="Z496" s="33" t="n">
        <v>45.1733333333333</v>
      </c>
      <c r="AA496" s="33" t="n">
        <v>45.1733333333333</v>
      </c>
      <c r="AB496" s="33" t="n">
        <v>45.1733333333333</v>
      </c>
      <c r="AC496" s="33" t="n">
        <v>45.1733333333333</v>
      </c>
      <c r="AD496" s="33" t="n">
        <v>45.1733333333333</v>
      </c>
      <c r="AE496" s="33" t="n">
        <v>45.1733333333333</v>
      </c>
      <c r="AF496" s="33" t="n">
        <v>45.1733333333333</v>
      </c>
    </row>
    <row r="497" ht="15" customHeight="1" s="176">
      <c r="A497" s="48" t="inlineStr">
        <is>
          <t>P-0494</t>
        </is>
      </c>
      <c r="B497" s="48" t="inlineStr">
        <is>
          <t>2026/27</t>
        </is>
      </c>
      <c r="C497" s="48" t="inlineStr">
        <is>
          <t>Santa Catalina</t>
        </is>
      </c>
      <c r="D497" s="49" t="inlineStr">
        <is>
          <t>W. murcott 21 ha</t>
        </is>
      </c>
      <c r="E497" s="48" t="inlineStr">
        <is>
          <t>Mandarina</t>
        </is>
      </c>
      <c r="F497" s="48" t="inlineStr">
        <is>
          <t>W. murcott</t>
        </is>
      </c>
      <c r="G497" s="48" t="inlineStr">
        <is>
          <t>Producción</t>
        </is>
      </c>
      <c r="H497" s="50" t="n">
        <v>21</v>
      </c>
      <c r="I497" s="50" t="n">
        <v>21</v>
      </c>
      <c r="J497" s="48" t="n"/>
      <c r="K497" s="49" t="inlineStr">
        <is>
          <t>6- Inversión</t>
        </is>
      </c>
      <c r="L497" s="49" t="n"/>
      <c r="M497" s="49" t="n"/>
      <c r="N497" s="48" t="n"/>
      <c r="O497" s="48" t="n"/>
      <c r="P497" s="51" t="n">
        <v>0</v>
      </c>
      <c r="Q497" s="52" t="n"/>
      <c r="R497" s="51" t="n">
        <v>0</v>
      </c>
      <c r="S497" s="53" t="n">
        <v>0</v>
      </c>
      <c r="T497" s="51" t="n">
        <v>0</v>
      </c>
      <c r="U497" s="51" t="n">
        <v>0</v>
      </c>
      <c r="V497" s="51" t="n">
        <v>0</v>
      </c>
      <c r="W497" s="51" t="n">
        <v>0</v>
      </c>
      <c r="X497" s="51" t="n">
        <v>0</v>
      </c>
      <c r="Y497" s="51" t="n">
        <v>0</v>
      </c>
      <c r="Z497" s="51" t="n">
        <v>0</v>
      </c>
      <c r="AA497" s="51" t="n">
        <v>0</v>
      </c>
      <c r="AB497" s="51" t="n">
        <v>0</v>
      </c>
      <c r="AC497" s="51" t="n">
        <v>0</v>
      </c>
      <c r="AD497" s="51" t="n">
        <v>0</v>
      </c>
      <c r="AE497" s="51" t="n">
        <v>0</v>
      </c>
      <c r="AF497" s="51" t="n">
        <v>0</v>
      </c>
    </row>
    <row r="498" ht="15" customHeight="1" s="176">
      <c r="A498" s="30" t="inlineStr">
        <is>
          <t>P-0495</t>
        </is>
      </c>
      <c r="B498" s="30" t="inlineStr">
        <is>
          <t>2026/27</t>
        </is>
      </c>
      <c r="C498" s="30" t="inlineStr">
        <is>
          <t>Santa Catalina</t>
        </is>
      </c>
      <c r="D498" s="31" t="inlineStr">
        <is>
          <t>cambria 4,2 ha</t>
        </is>
      </c>
      <c r="E498" s="30" t="inlineStr">
        <is>
          <t>Naranjas</t>
        </is>
      </c>
      <c r="F498" s="30" t="inlineStr">
        <is>
          <t>Cambria</t>
        </is>
      </c>
      <c r="G498" s="30" t="inlineStr">
        <is>
          <t>Mantención</t>
        </is>
      </c>
      <c r="H498" s="32" t="n">
        <v>4.2</v>
      </c>
      <c r="I498" s="32" t="n">
        <v>0</v>
      </c>
      <c r="J498" s="30" t="inlineStr">
        <is>
          <t>Costo</t>
        </is>
      </c>
      <c r="K498" s="31" t="inlineStr">
        <is>
          <t>3- Gasto general</t>
        </is>
      </c>
      <c r="L498" s="31" t="inlineStr">
        <is>
          <t>4- MANTENCION MAQUINARIA Y EQUIPOS</t>
        </is>
      </c>
      <c r="M498" s="31" t="n"/>
      <c r="N498" s="30" t="n"/>
      <c r="O498" s="30" t="inlineStr">
        <is>
          <t>ha</t>
        </is>
      </c>
      <c r="P498" s="33" t="n">
        <v>25000</v>
      </c>
      <c r="Q498" s="34" t="n">
        <v>4.2</v>
      </c>
      <c r="R498" s="33" t="n">
        <v>1045800</v>
      </c>
      <c r="S498" s="35" t="n">
        <v>0.0138333333333333</v>
      </c>
      <c r="T498" s="33" t="n">
        <v>12.45</v>
      </c>
      <c r="U498" s="33" t="n">
        <v>96.8333333333333</v>
      </c>
      <c r="V498" s="33" t="n">
        <v>96.8333333333333</v>
      </c>
      <c r="W498" s="33" t="n">
        <v>96.8333333333333</v>
      </c>
      <c r="X498" s="33" t="n">
        <v>96.8333333333333</v>
      </c>
      <c r="Y498" s="33" t="n">
        <v>96.8333333333333</v>
      </c>
      <c r="Z498" s="33" t="n">
        <v>96.8333333333333</v>
      </c>
      <c r="AA498" s="33" t="n">
        <v>96.8333333333333</v>
      </c>
      <c r="AB498" s="33" t="n">
        <v>96.8333333333333</v>
      </c>
      <c r="AC498" s="33" t="n">
        <v>96.8333333333333</v>
      </c>
      <c r="AD498" s="33" t="n">
        <v>96.8333333333333</v>
      </c>
      <c r="AE498" s="33" t="n">
        <v>96.8333333333333</v>
      </c>
      <c r="AF498" s="33" t="n">
        <v>96.8333333333333</v>
      </c>
    </row>
    <row r="499" ht="15" customHeight="1" s="176">
      <c r="A499" s="36" t="inlineStr">
        <is>
          <t>P-0496</t>
        </is>
      </c>
      <c r="B499" s="36" t="inlineStr">
        <is>
          <t>2026/27</t>
        </is>
      </c>
      <c r="C499" s="36" t="inlineStr">
        <is>
          <t>Santa Catalina</t>
        </is>
      </c>
      <c r="D499" s="37" t="inlineStr">
        <is>
          <t>mant eureka 2,5 ha</t>
        </is>
      </c>
      <c r="E499" s="36" t="inlineStr">
        <is>
          <t>Limon</t>
        </is>
      </c>
      <c r="F499" s="36" t="inlineStr">
        <is>
          <t>Eureka</t>
        </is>
      </c>
      <c r="G499" s="36" t="inlineStr">
        <is>
          <t>Mantención</t>
        </is>
      </c>
      <c r="H499" s="38" t="n">
        <v>2.5</v>
      </c>
      <c r="I499" s="38" t="n">
        <v>0</v>
      </c>
      <c r="J499" s="36" t="inlineStr">
        <is>
          <t>Costo</t>
        </is>
      </c>
      <c r="K499" s="37" t="inlineStr">
        <is>
          <t>1- M.O. directa</t>
        </is>
      </c>
      <c r="L499" s="37" t="inlineStr">
        <is>
          <t>4- Grua</t>
        </is>
      </c>
      <c r="M499" s="37" t="inlineStr">
        <is>
          <t>una grua  para 100-120 jh</t>
        </is>
      </c>
      <c r="N499" s="36" t="inlineStr">
        <is>
          <t>día</t>
        </is>
      </c>
      <c r="O499" s="36" t="inlineStr">
        <is>
          <t>kg</t>
        </is>
      </c>
      <c r="P499" s="39" t="n">
        <v>1.5</v>
      </c>
      <c r="Q499" s="40" t="n">
        <v>0</v>
      </c>
      <c r="R499" s="39" t="n">
        <v>0</v>
      </c>
      <c r="S499" s="41" t="n">
        <v>0</v>
      </c>
      <c r="T499" s="39" t="n">
        <v>0</v>
      </c>
      <c r="U499" s="39" t="n">
        <v>0</v>
      </c>
      <c r="V499" s="39" t="n">
        <v>0</v>
      </c>
      <c r="W499" s="39" t="n">
        <v>0</v>
      </c>
      <c r="X499" s="39" t="n">
        <v>0</v>
      </c>
      <c r="Y499" s="39" t="n">
        <v>0</v>
      </c>
      <c r="Z499" s="39" t="n">
        <v>0</v>
      </c>
      <c r="AA499" s="39" t="n">
        <v>0</v>
      </c>
      <c r="AB499" s="39" t="n">
        <v>0</v>
      </c>
      <c r="AC499" s="39" t="n">
        <v>0</v>
      </c>
      <c r="AD499" s="39" t="n">
        <v>0</v>
      </c>
      <c r="AE499" s="39" t="n">
        <v>0</v>
      </c>
      <c r="AF499" s="39" t="n">
        <v>0</v>
      </c>
    </row>
    <row r="500" ht="15" customHeight="1" s="176">
      <c r="A500" s="30" t="inlineStr">
        <is>
          <t>P-0497</t>
        </is>
      </c>
      <c r="B500" s="30" t="inlineStr">
        <is>
          <t>2026/27</t>
        </is>
      </c>
      <c r="C500" s="30" t="inlineStr">
        <is>
          <t>Santa Catalina</t>
        </is>
      </c>
      <c r="D500" s="31" t="inlineStr">
        <is>
          <t>Fino 49 7,7 ha</t>
        </is>
      </c>
      <c r="E500" s="30" t="inlineStr">
        <is>
          <t>Limon</t>
        </is>
      </c>
      <c r="F500" s="30" t="inlineStr">
        <is>
          <t>Fino 49</t>
        </is>
      </c>
      <c r="G500" s="30" t="inlineStr">
        <is>
          <t>Producción</t>
        </is>
      </c>
      <c r="H500" s="32" t="n">
        <v>7.7</v>
      </c>
      <c r="I500" s="32" t="n">
        <v>7.7</v>
      </c>
      <c r="J500" s="30" t="inlineStr">
        <is>
          <t>Costo</t>
        </is>
      </c>
      <c r="K500" s="31" t="inlineStr">
        <is>
          <t>1- M.O. directa</t>
        </is>
      </c>
      <c r="L500" s="31" t="inlineStr">
        <is>
          <t>4- Grua</t>
        </is>
      </c>
      <c r="M500" s="31" t="inlineStr">
        <is>
          <t>una grua  para 100-120 jh</t>
        </is>
      </c>
      <c r="N500" s="30" t="inlineStr">
        <is>
          <t>día</t>
        </is>
      </c>
      <c r="O500" s="30" t="inlineStr">
        <is>
          <t>kg</t>
        </is>
      </c>
      <c r="P500" s="33" t="n">
        <v>1.5</v>
      </c>
      <c r="Q500" s="34" t="n">
        <v>539000</v>
      </c>
      <c r="R500" s="33" t="n">
        <v>805266</v>
      </c>
      <c r="S500" s="35" t="n">
        <v>0.00166</v>
      </c>
      <c r="T500" s="33" t="n">
        <v>1.494</v>
      </c>
      <c r="U500" s="33" t="n">
        <v>74.5616666666667</v>
      </c>
      <c r="V500" s="33" t="n">
        <v>74.5616666666667</v>
      </c>
      <c r="W500" s="33" t="n">
        <v>74.5616666666667</v>
      </c>
      <c r="X500" s="33" t="n">
        <v>74.5616666666667</v>
      </c>
      <c r="Y500" s="33" t="n">
        <v>74.5616666666667</v>
      </c>
      <c r="Z500" s="33" t="n">
        <v>74.5616666666667</v>
      </c>
      <c r="AA500" s="33" t="n">
        <v>74.5616666666667</v>
      </c>
      <c r="AB500" s="33" t="n">
        <v>74.5616666666667</v>
      </c>
      <c r="AC500" s="33" t="n">
        <v>74.5616666666667</v>
      </c>
      <c r="AD500" s="33" t="n">
        <v>74.5616666666667</v>
      </c>
      <c r="AE500" s="33" t="n">
        <v>74.5616666666667</v>
      </c>
      <c r="AF500" s="33" t="n">
        <v>74.5616666666667</v>
      </c>
    </row>
    <row r="501" ht="15" customHeight="1" s="176">
      <c r="A501" s="42" t="inlineStr">
        <is>
          <t>P-0498</t>
        </is>
      </c>
      <c r="B501" s="42" t="inlineStr">
        <is>
          <t>2026/27</t>
        </is>
      </c>
      <c r="C501" s="42" t="inlineStr">
        <is>
          <t>Santa Catalina</t>
        </is>
      </c>
      <c r="D501" s="43" t="inlineStr">
        <is>
          <t>Fino 49 7,7 ha</t>
        </is>
      </c>
      <c r="E501" s="42" t="inlineStr">
        <is>
          <t>Limon</t>
        </is>
      </c>
      <c r="F501" s="42" t="inlineStr">
        <is>
          <t>Fino 49</t>
        </is>
      </c>
      <c r="G501" s="42" t="inlineStr">
        <is>
          <t>Producción</t>
        </is>
      </c>
      <c r="H501" s="44" t="n">
        <v>7.7</v>
      </c>
      <c r="I501" s="44" t="n">
        <v>7.7</v>
      </c>
      <c r="J501" s="42" t="inlineStr">
        <is>
          <t>Ingreso</t>
        </is>
      </c>
      <c r="K501" s="43" t="inlineStr">
        <is>
          <t>5- Ingresos</t>
        </is>
      </c>
      <c r="L501" s="43" t="inlineStr">
        <is>
          <t>Venta Desc.</t>
        </is>
      </c>
      <c r="M501" s="43" t="n"/>
      <c r="N501" s="42" t="inlineStr">
        <is>
          <t>venta</t>
        </is>
      </c>
      <c r="O501" s="42" t="inlineStr">
        <is>
          <t>kg</t>
        </is>
      </c>
      <c r="P501" s="45" t="n">
        <v>-222.222222222222</v>
      </c>
      <c r="Q501" s="46" t="n">
        <v>54945.6599999995</v>
      </c>
      <c r="R501" s="45" t="n">
        <v>10509529.7999999</v>
      </c>
      <c r="S501" s="47" t="n">
        <v>-0.212523706755608</v>
      </c>
      <c r="T501" s="45" t="n">
        <v>-191.271336080047</v>
      </c>
      <c r="U501" s="45" t="n">
        <v>833.653333333325</v>
      </c>
      <c r="V501" s="45" t="n">
        <v>0</v>
      </c>
      <c r="W501" s="45" t="n">
        <v>0</v>
      </c>
      <c r="X501" s="45" t="n">
        <v>0</v>
      </c>
      <c r="Y501" s="45" t="n">
        <v>633.863999999994</v>
      </c>
      <c r="Z501" s="45" t="n">
        <v>1056.43999999999</v>
      </c>
      <c r="AA501" s="45" t="n">
        <v>1795.94799999998</v>
      </c>
      <c r="AB501" s="45" t="n">
        <v>2037.41999999998</v>
      </c>
      <c r="AC501" s="45" t="n">
        <v>2490.17999999998</v>
      </c>
      <c r="AD501" s="45" t="n">
        <v>1584.65999999998</v>
      </c>
      <c r="AE501" s="45" t="n">
        <v>905.519999999991</v>
      </c>
      <c r="AF501" s="45" t="n">
        <v>339.569999999997</v>
      </c>
    </row>
    <row r="502" ht="15" customHeight="1" s="176">
      <c r="A502" s="48" t="inlineStr">
        <is>
          <t>P-0499</t>
        </is>
      </c>
      <c r="B502" s="48" t="inlineStr">
        <is>
          <t>2026/27</t>
        </is>
      </c>
      <c r="C502" s="48" t="inlineStr">
        <is>
          <t>Santa Catalina</t>
        </is>
      </c>
      <c r="D502" s="49" t="inlineStr">
        <is>
          <t>W. murcott 21 ha</t>
        </is>
      </c>
      <c r="E502" s="48" t="inlineStr">
        <is>
          <t>Mandarina</t>
        </is>
      </c>
      <c r="F502" s="48" t="inlineStr">
        <is>
          <t>W. murcott</t>
        </is>
      </c>
      <c r="G502" s="48" t="inlineStr">
        <is>
          <t>Producción</t>
        </is>
      </c>
      <c r="H502" s="50" t="n">
        <v>21</v>
      </c>
      <c r="I502" s="50" t="n">
        <v>21</v>
      </c>
      <c r="J502" s="48" t="n"/>
      <c r="K502" s="49" t="inlineStr">
        <is>
          <t>6- Inversión</t>
        </is>
      </c>
      <c r="L502" s="49" t="n"/>
      <c r="M502" s="49" t="n"/>
      <c r="N502" s="48" t="n"/>
      <c r="O502" s="48" t="n"/>
      <c r="P502" s="51" t="n">
        <v>0</v>
      </c>
      <c r="Q502" s="52" t="n"/>
      <c r="R502" s="51" t="n">
        <v>0</v>
      </c>
      <c r="S502" s="53" t="n">
        <v>0</v>
      </c>
      <c r="T502" s="51" t="n">
        <v>0</v>
      </c>
      <c r="U502" s="51" t="n">
        <v>0</v>
      </c>
      <c r="V502" s="51" t="n">
        <v>0</v>
      </c>
      <c r="W502" s="51" t="n">
        <v>0</v>
      </c>
      <c r="X502" s="51" t="n">
        <v>0</v>
      </c>
      <c r="Y502" s="51" t="n">
        <v>0</v>
      </c>
      <c r="Z502" s="51" t="n">
        <v>0</v>
      </c>
      <c r="AA502" s="51" t="n">
        <v>0</v>
      </c>
      <c r="AB502" s="51" t="n">
        <v>0</v>
      </c>
      <c r="AC502" s="51" t="n">
        <v>0</v>
      </c>
      <c r="AD502" s="51" t="n">
        <v>0</v>
      </c>
      <c r="AE502" s="51" t="n">
        <v>0</v>
      </c>
      <c r="AF502" s="51" t="n">
        <v>0</v>
      </c>
    </row>
    <row r="503" ht="15" customHeight="1" s="176">
      <c r="A503" s="36" t="inlineStr">
        <is>
          <t>P-0500</t>
        </is>
      </c>
      <c r="B503" s="36" t="inlineStr">
        <is>
          <t>2026/27</t>
        </is>
      </c>
      <c r="C503" s="36" t="inlineStr">
        <is>
          <t>Santa Catalina</t>
        </is>
      </c>
      <c r="D503" s="37" t="inlineStr">
        <is>
          <t>eureka 14,4 ha</t>
        </is>
      </c>
      <c r="E503" s="36" t="inlineStr">
        <is>
          <t>Limon</t>
        </is>
      </c>
      <c r="F503" s="36" t="inlineStr">
        <is>
          <t>Eureka</t>
        </is>
      </c>
      <c r="G503" s="36" t="inlineStr">
        <is>
          <t>Producción</t>
        </is>
      </c>
      <c r="H503" s="38" t="n">
        <v>14.4</v>
      </c>
      <c r="I503" s="38" t="n">
        <v>14.4</v>
      </c>
      <c r="J503" s="36" t="inlineStr">
        <is>
          <t>Costo</t>
        </is>
      </c>
      <c r="K503" s="37" t="inlineStr">
        <is>
          <t>1- M.O. directa</t>
        </is>
      </c>
      <c r="L503" s="37" t="inlineStr">
        <is>
          <t>4- Grua</t>
        </is>
      </c>
      <c r="M503" s="37" t="inlineStr">
        <is>
          <t>una grua  para 100-120 jh</t>
        </is>
      </c>
      <c r="N503" s="36" t="inlineStr">
        <is>
          <t>día</t>
        </is>
      </c>
      <c r="O503" s="36" t="inlineStr">
        <is>
          <t>kg</t>
        </is>
      </c>
      <c r="P503" s="39" t="n">
        <v>1.5</v>
      </c>
      <c r="Q503" s="40" t="n">
        <v>1008000</v>
      </c>
      <c r="R503" s="39" t="n">
        <v>1505952</v>
      </c>
      <c r="S503" s="41" t="n">
        <v>0.00166</v>
      </c>
      <c r="T503" s="39" t="n">
        <v>1.494</v>
      </c>
      <c r="U503" s="39" t="n">
        <v>139.44</v>
      </c>
      <c r="V503" s="39" t="n">
        <v>139.44</v>
      </c>
      <c r="W503" s="39" t="n">
        <v>139.44</v>
      </c>
      <c r="X503" s="39" t="n">
        <v>139.44</v>
      </c>
      <c r="Y503" s="39" t="n">
        <v>139.44</v>
      </c>
      <c r="Z503" s="39" t="n">
        <v>139.44</v>
      </c>
      <c r="AA503" s="39" t="n">
        <v>139.44</v>
      </c>
      <c r="AB503" s="39" t="n">
        <v>139.44</v>
      </c>
      <c r="AC503" s="39" t="n">
        <v>139.44</v>
      </c>
      <c r="AD503" s="39" t="n">
        <v>139.44</v>
      </c>
      <c r="AE503" s="39" t="n">
        <v>139.44</v>
      </c>
      <c r="AF503" s="39" t="n">
        <v>139.44</v>
      </c>
    </row>
    <row r="504" ht="15" customHeight="1" s="176">
      <c r="A504" s="30" t="inlineStr">
        <is>
          <t>P-0501</t>
        </is>
      </c>
      <c r="B504" s="30" t="inlineStr">
        <is>
          <t>2026/27</t>
        </is>
      </c>
      <c r="C504" s="30" t="inlineStr">
        <is>
          <t>Santa Catalina</t>
        </is>
      </c>
      <c r="D504" s="31" t="inlineStr">
        <is>
          <t>eureka 10,6 ha</t>
        </is>
      </c>
      <c r="E504" s="30" t="inlineStr">
        <is>
          <t>Limon</t>
        </is>
      </c>
      <c r="F504" s="30" t="inlineStr">
        <is>
          <t>Eureka</t>
        </is>
      </c>
      <c r="G504" s="30" t="inlineStr">
        <is>
          <t>Producción</t>
        </is>
      </c>
      <c r="H504" s="32" t="n">
        <v>10.6</v>
      </c>
      <c r="I504" s="32" t="n">
        <v>10.6</v>
      </c>
      <c r="J504" s="30" t="inlineStr">
        <is>
          <t>Costo</t>
        </is>
      </c>
      <c r="K504" s="31" t="inlineStr">
        <is>
          <t>1- M.O. directa</t>
        </is>
      </c>
      <c r="L504" s="31" t="inlineStr">
        <is>
          <t>4- Grua</t>
        </is>
      </c>
      <c r="M504" s="31" t="inlineStr">
        <is>
          <t>una grua  para 100-120 jh</t>
        </is>
      </c>
      <c r="N504" s="30" t="inlineStr">
        <is>
          <t>día</t>
        </is>
      </c>
      <c r="O504" s="30" t="inlineStr">
        <is>
          <t>kg</t>
        </is>
      </c>
      <c r="P504" s="33" t="n">
        <v>1.5</v>
      </c>
      <c r="Q504" s="34" t="n">
        <v>742000</v>
      </c>
      <c r="R504" s="33" t="n">
        <v>1108548</v>
      </c>
      <c r="S504" s="35" t="n">
        <v>0.00166</v>
      </c>
      <c r="T504" s="33" t="n">
        <v>1.494</v>
      </c>
      <c r="U504" s="33" t="n">
        <v>102.643333333333</v>
      </c>
      <c r="V504" s="33" t="n">
        <v>102.643333333333</v>
      </c>
      <c r="W504" s="33" t="n">
        <v>102.643333333333</v>
      </c>
      <c r="X504" s="33" t="n">
        <v>102.643333333333</v>
      </c>
      <c r="Y504" s="33" t="n">
        <v>102.643333333333</v>
      </c>
      <c r="Z504" s="33" t="n">
        <v>102.643333333333</v>
      </c>
      <c r="AA504" s="33" t="n">
        <v>102.643333333333</v>
      </c>
      <c r="AB504" s="33" t="n">
        <v>102.643333333333</v>
      </c>
      <c r="AC504" s="33" t="n">
        <v>102.643333333333</v>
      </c>
      <c r="AD504" s="33" t="n">
        <v>102.643333333333</v>
      </c>
      <c r="AE504" s="33" t="n">
        <v>102.643333333333</v>
      </c>
      <c r="AF504" s="33" t="n">
        <v>102.643333333333</v>
      </c>
    </row>
    <row r="505" ht="15" customHeight="1" s="176">
      <c r="A505" s="36" t="inlineStr">
        <is>
          <t>P-0502</t>
        </is>
      </c>
      <c r="B505" s="36" t="inlineStr">
        <is>
          <t>2026/27</t>
        </is>
      </c>
      <c r="C505" s="36" t="inlineStr">
        <is>
          <t>Santa Catalina</t>
        </is>
      </c>
      <c r="D505" s="37" t="inlineStr">
        <is>
          <t>eureka 22,55</t>
        </is>
      </c>
      <c r="E505" s="36" t="inlineStr">
        <is>
          <t>Limon</t>
        </is>
      </c>
      <c r="F505" s="36" t="inlineStr">
        <is>
          <t>Eureka</t>
        </is>
      </c>
      <c r="G505" s="36" t="inlineStr">
        <is>
          <t>Producción</t>
        </is>
      </c>
      <c r="H505" s="38" t="n">
        <v>22.55</v>
      </c>
      <c r="I505" s="38" t="n">
        <v>22.55</v>
      </c>
      <c r="J505" s="36" t="inlineStr">
        <is>
          <t>Costo</t>
        </is>
      </c>
      <c r="K505" s="37" t="inlineStr">
        <is>
          <t>3- Gasto general</t>
        </is>
      </c>
      <c r="L505" s="37" t="inlineStr">
        <is>
          <t>4- MANTENCION MAQUINARIA Y EQUIPOS</t>
        </is>
      </c>
      <c r="M505" s="37" t="n"/>
      <c r="N505" s="36" t="n"/>
      <c r="O505" s="36" t="inlineStr">
        <is>
          <t>ha</t>
        </is>
      </c>
      <c r="P505" s="39" t="n">
        <v>25000</v>
      </c>
      <c r="Q505" s="40" t="n">
        <v>22.55</v>
      </c>
      <c r="R505" s="39" t="n">
        <v>5614950</v>
      </c>
      <c r="S505" s="41" t="n">
        <v>0.00395238095238095</v>
      </c>
      <c r="T505" s="39" t="n">
        <v>3.55714285714286</v>
      </c>
      <c r="U505" s="39" t="n">
        <v>519.9027777777781</v>
      </c>
      <c r="V505" s="39" t="n">
        <v>519.9027777777781</v>
      </c>
      <c r="W505" s="39" t="n">
        <v>519.9027777777781</v>
      </c>
      <c r="X505" s="39" t="n">
        <v>519.9027777777781</v>
      </c>
      <c r="Y505" s="39" t="n">
        <v>519.9027777777781</v>
      </c>
      <c r="Z505" s="39" t="n">
        <v>519.9027777777781</v>
      </c>
      <c r="AA505" s="39" t="n">
        <v>519.9027777777781</v>
      </c>
      <c r="AB505" s="39" t="n">
        <v>519.9027777777781</v>
      </c>
      <c r="AC505" s="39" t="n">
        <v>519.9027777777781</v>
      </c>
      <c r="AD505" s="39" t="n">
        <v>519.9027777777781</v>
      </c>
      <c r="AE505" s="39" t="n">
        <v>519.9027777777781</v>
      </c>
      <c r="AF505" s="39" t="n">
        <v>519.9027777777781</v>
      </c>
    </row>
    <row r="506" ht="15" customHeight="1" s="176">
      <c r="A506" s="30" t="inlineStr">
        <is>
          <t>P-0503</t>
        </is>
      </c>
      <c r="B506" s="30" t="inlineStr">
        <is>
          <t>2026/27</t>
        </is>
      </c>
      <c r="C506" s="30" t="inlineStr">
        <is>
          <t>Santa Catalina</t>
        </is>
      </c>
      <c r="D506" s="31" t="inlineStr">
        <is>
          <t>Fino 49 7,7 ha</t>
        </is>
      </c>
      <c r="E506" s="30" t="inlineStr">
        <is>
          <t>Limon</t>
        </is>
      </c>
      <c r="F506" s="30" t="inlineStr">
        <is>
          <t>Fino 49</t>
        </is>
      </c>
      <c r="G506" s="30" t="inlineStr">
        <is>
          <t>Producción</t>
        </is>
      </c>
      <c r="H506" s="32" t="n">
        <v>7.7</v>
      </c>
      <c r="I506" s="32" t="n">
        <v>7.7</v>
      </c>
      <c r="J506" s="30" t="inlineStr">
        <is>
          <t>Costo</t>
        </is>
      </c>
      <c r="K506" s="31" t="inlineStr">
        <is>
          <t>3- Gasto general</t>
        </is>
      </c>
      <c r="L506" s="31" t="inlineStr">
        <is>
          <t>4- MANTENCION MAQUINARIA Y EQUIPOS</t>
        </is>
      </c>
      <c r="M506" s="31" t="n"/>
      <c r="N506" s="30" t="n"/>
      <c r="O506" s="30" t="inlineStr">
        <is>
          <t>ha</t>
        </is>
      </c>
      <c r="P506" s="33" t="n">
        <v>25000</v>
      </c>
      <c r="Q506" s="34" t="n">
        <v>7.7</v>
      </c>
      <c r="R506" s="33" t="n">
        <v>1917300</v>
      </c>
      <c r="S506" s="35" t="n">
        <v>0.00395238095238095</v>
      </c>
      <c r="T506" s="33" t="n">
        <v>3.55714285714286</v>
      </c>
      <c r="U506" s="33" t="n">
        <v>177.527777777778</v>
      </c>
      <c r="V506" s="33" t="n">
        <v>177.527777777778</v>
      </c>
      <c r="W506" s="33" t="n">
        <v>177.527777777778</v>
      </c>
      <c r="X506" s="33" t="n">
        <v>177.527777777778</v>
      </c>
      <c r="Y506" s="33" t="n">
        <v>177.527777777778</v>
      </c>
      <c r="Z506" s="33" t="n">
        <v>177.527777777778</v>
      </c>
      <c r="AA506" s="33" t="n">
        <v>177.527777777778</v>
      </c>
      <c r="AB506" s="33" t="n">
        <v>177.527777777778</v>
      </c>
      <c r="AC506" s="33" t="n">
        <v>177.527777777778</v>
      </c>
      <c r="AD506" s="33" t="n">
        <v>177.527777777778</v>
      </c>
      <c r="AE506" s="33" t="n">
        <v>177.527777777778</v>
      </c>
      <c r="AF506" s="33" t="n">
        <v>177.527777777778</v>
      </c>
    </row>
    <row r="507" ht="15" customHeight="1" s="176">
      <c r="A507" s="36" t="inlineStr">
        <is>
          <t>P-0504</t>
        </is>
      </c>
      <c r="B507" s="36" t="inlineStr">
        <is>
          <t>2026/27</t>
        </is>
      </c>
      <c r="C507" s="36" t="inlineStr">
        <is>
          <t>Santa Catalina</t>
        </is>
      </c>
      <c r="D507" s="37" t="inlineStr">
        <is>
          <t>form benjamin 1,93 ha</t>
        </is>
      </c>
      <c r="E507" s="36" t="inlineStr">
        <is>
          <t>Limon</t>
        </is>
      </c>
      <c r="F507" s="36" t="inlineStr">
        <is>
          <t>Benjamin andes</t>
        </is>
      </c>
      <c r="G507" s="36" t="inlineStr">
        <is>
          <t>Formación</t>
        </is>
      </c>
      <c r="H507" s="38" t="n">
        <v>1.93</v>
      </c>
      <c r="I507" s="38" t="n">
        <v>0</v>
      </c>
      <c r="J507" s="36" t="inlineStr">
        <is>
          <t>Costo</t>
        </is>
      </c>
      <c r="K507" s="37" t="inlineStr">
        <is>
          <t>3- Gasto general</t>
        </is>
      </c>
      <c r="L507" s="37" t="inlineStr">
        <is>
          <t>4- MANTENCION MAQUINARIA Y EQUIPOS</t>
        </is>
      </c>
      <c r="M507" s="37" t="n"/>
      <c r="N507" s="36" t="n"/>
      <c r="O507" s="36" t="inlineStr">
        <is>
          <t>ha</t>
        </is>
      </c>
      <c r="P507" s="39" t="n">
        <v>25000</v>
      </c>
      <c r="Q507" s="40" t="n">
        <v>1.93</v>
      </c>
      <c r="R507" s="39" t="n">
        <v>480570</v>
      </c>
      <c r="S507" s="41" t="n">
        <v>0</v>
      </c>
      <c r="T507" s="39" t="n">
        <v>0</v>
      </c>
      <c r="U507" s="39" t="n">
        <v>44.4972222222222</v>
      </c>
      <c r="V507" s="39" t="n">
        <v>44.4972222222222</v>
      </c>
      <c r="W507" s="39" t="n">
        <v>44.4972222222222</v>
      </c>
      <c r="X507" s="39" t="n">
        <v>44.4972222222222</v>
      </c>
      <c r="Y507" s="39" t="n">
        <v>44.4972222222222</v>
      </c>
      <c r="Z507" s="39" t="n">
        <v>44.4972222222222</v>
      </c>
      <c r="AA507" s="39" t="n">
        <v>44.4972222222222</v>
      </c>
      <c r="AB507" s="39" t="n">
        <v>44.4972222222222</v>
      </c>
      <c r="AC507" s="39" t="n">
        <v>44.4972222222222</v>
      </c>
      <c r="AD507" s="39" t="n">
        <v>44.4972222222222</v>
      </c>
      <c r="AE507" s="39" t="n">
        <v>44.4972222222222</v>
      </c>
      <c r="AF507" s="39" t="n">
        <v>44.4972222222222</v>
      </c>
    </row>
    <row r="508" ht="15" customHeight="1" s="176">
      <c r="A508" s="30" t="inlineStr">
        <is>
          <t>P-0505</t>
        </is>
      </c>
      <c r="B508" s="30" t="inlineStr">
        <is>
          <t>2026/27</t>
        </is>
      </c>
      <c r="C508" s="30" t="inlineStr">
        <is>
          <t>Santa Catalina</t>
        </is>
      </c>
      <c r="D508" s="31" t="inlineStr">
        <is>
          <t>eureka 14,4 ha</t>
        </is>
      </c>
      <c r="E508" s="30" t="inlineStr">
        <is>
          <t>Limon</t>
        </is>
      </c>
      <c r="F508" s="30" t="inlineStr">
        <is>
          <t>Eureka</t>
        </is>
      </c>
      <c r="G508" s="30" t="inlineStr">
        <is>
          <t>Producción</t>
        </is>
      </c>
      <c r="H508" s="32" t="n">
        <v>14.4</v>
      </c>
      <c r="I508" s="32" t="n">
        <v>14.4</v>
      </c>
      <c r="J508" s="30" t="inlineStr">
        <is>
          <t>Costo</t>
        </is>
      </c>
      <c r="K508" s="31" t="inlineStr">
        <is>
          <t>3- Gasto general</t>
        </is>
      </c>
      <c r="L508" s="31" t="inlineStr">
        <is>
          <t>4- MANTENCION MAQUINARIA Y EQUIPOS</t>
        </is>
      </c>
      <c r="M508" s="31" t="n"/>
      <c r="N508" s="30" t="n"/>
      <c r="O508" s="30" t="inlineStr">
        <is>
          <t>ha</t>
        </is>
      </c>
      <c r="P508" s="33" t="n">
        <v>25000</v>
      </c>
      <c r="Q508" s="34" t="n">
        <v>14.4</v>
      </c>
      <c r="R508" s="33" t="n">
        <v>3585600</v>
      </c>
      <c r="S508" s="35" t="n">
        <v>0.00395238095238095</v>
      </c>
      <c r="T508" s="33" t="n">
        <v>3.55714285714286</v>
      </c>
      <c r="U508" s="33" t="n">
        <v>332</v>
      </c>
      <c r="V508" s="33" t="n">
        <v>332</v>
      </c>
      <c r="W508" s="33" t="n">
        <v>332</v>
      </c>
      <c r="X508" s="33" t="n">
        <v>332</v>
      </c>
      <c r="Y508" s="33" t="n">
        <v>332</v>
      </c>
      <c r="Z508" s="33" t="n">
        <v>332</v>
      </c>
      <c r="AA508" s="33" t="n">
        <v>332</v>
      </c>
      <c r="AB508" s="33" t="n">
        <v>332</v>
      </c>
      <c r="AC508" s="33" t="n">
        <v>332</v>
      </c>
      <c r="AD508" s="33" t="n">
        <v>332</v>
      </c>
      <c r="AE508" s="33" t="n">
        <v>332</v>
      </c>
      <c r="AF508" s="33" t="n">
        <v>332</v>
      </c>
    </row>
    <row r="509" ht="15" customHeight="1" s="176">
      <c r="A509" s="36" t="inlineStr">
        <is>
          <t>P-0506</t>
        </is>
      </c>
      <c r="B509" s="36" t="inlineStr">
        <is>
          <t>2026/27</t>
        </is>
      </c>
      <c r="C509" s="36" t="inlineStr">
        <is>
          <t>Santa Catalina</t>
        </is>
      </c>
      <c r="D509" s="37" t="inlineStr">
        <is>
          <t>eureka 10,6 ha</t>
        </is>
      </c>
      <c r="E509" s="36" t="inlineStr">
        <is>
          <t>Limon</t>
        </is>
      </c>
      <c r="F509" s="36" t="inlineStr">
        <is>
          <t>Eureka</t>
        </is>
      </c>
      <c r="G509" s="36" t="inlineStr">
        <is>
          <t>Producción</t>
        </is>
      </c>
      <c r="H509" s="38" t="n">
        <v>10.6</v>
      </c>
      <c r="I509" s="38" t="n">
        <v>10.6</v>
      </c>
      <c r="J509" s="36" t="inlineStr">
        <is>
          <t>Costo</t>
        </is>
      </c>
      <c r="K509" s="37" t="inlineStr">
        <is>
          <t>3- Gasto general</t>
        </is>
      </c>
      <c r="L509" s="37" t="inlineStr">
        <is>
          <t>4- MANTENCION MAQUINARIA Y EQUIPOS</t>
        </is>
      </c>
      <c r="M509" s="37" t="n"/>
      <c r="N509" s="36" t="n"/>
      <c r="O509" s="36" t="inlineStr">
        <is>
          <t>ha</t>
        </is>
      </c>
      <c r="P509" s="39" t="n">
        <v>25000</v>
      </c>
      <c r="Q509" s="40" t="n">
        <v>10.6</v>
      </c>
      <c r="R509" s="39" t="n">
        <v>2639400</v>
      </c>
      <c r="S509" s="41" t="n">
        <v>0.00395238095238095</v>
      </c>
      <c r="T509" s="39" t="n">
        <v>3.55714285714286</v>
      </c>
      <c r="U509" s="39" t="n">
        <v>244.388888888889</v>
      </c>
      <c r="V509" s="39" t="n">
        <v>244.388888888889</v>
      </c>
      <c r="W509" s="39" t="n">
        <v>244.388888888889</v>
      </c>
      <c r="X509" s="39" t="n">
        <v>244.388888888889</v>
      </c>
      <c r="Y509" s="39" t="n">
        <v>244.388888888889</v>
      </c>
      <c r="Z509" s="39" t="n">
        <v>244.388888888889</v>
      </c>
      <c r="AA509" s="39" t="n">
        <v>244.388888888889</v>
      </c>
      <c r="AB509" s="39" t="n">
        <v>244.388888888889</v>
      </c>
      <c r="AC509" s="39" t="n">
        <v>244.388888888889</v>
      </c>
      <c r="AD509" s="39" t="n">
        <v>244.388888888889</v>
      </c>
      <c r="AE509" s="39" t="n">
        <v>244.388888888889</v>
      </c>
      <c r="AF509" s="39" t="n">
        <v>244.388888888889</v>
      </c>
    </row>
    <row r="510" ht="15" customHeight="1" s="176">
      <c r="A510" s="30" t="inlineStr">
        <is>
          <t>P-0507</t>
        </is>
      </c>
      <c r="B510" s="30" t="inlineStr">
        <is>
          <t>2026/27</t>
        </is>
      </c>
      <c r="C510" s="30" t="inlineStr">
        <is>
          <t>Santa Catalina</t>
        </is>
      </c>
      <c r="D510" s="31" t="inlineStr">
        <is>
          <t>form benjamin 1,93 ha</t>
        </is>
      </c>
      <c r="E510" s="30" t="inlineStr">
        <is>
          <t>Limon</t>
        </is>
      </c>
      <c r="F510" s="30" t="inlineStr">
        <is>
          <t>Benjamin andes</t>
        </is>
      </c>
      <c r="G510" s="30" t="inlineStr">
        <is>
          <t>Formación</t>
        </is>
      </c>
      <c r="H510" s="32" t="n">
        <v>1.93</v>
      </c>
      <c r="I510" s="32" t="n">
        <v>0</v>
      </c>
      <c r="J510" s="30" t="inlineStr">
        <is>
          <t>Costo</t>
        </is>
      </c>
      <c r="K510" s="31" t="inlineStr">
        <is>
          <t>2- M.O. indirecta</t>
        </is>
      </c>
      <c r="L510" s="31" t="inlineStr">
        <is>
          <t>4,1- ENCARGADO MANTENCIONES</t>
        </is>
      </c>
      <c r="M510" s="31" t="inlineStr">
        <is>
          <t>Operacion predio</t>
        </is>
      </c>
      <c r="N510" s="30" t="inlineStr">
        <is>
          <t>día</t>
        </is>
      </c>
      <c r="O510" s="30" t="inlineStr">
        <is>
          <t>ha</t>
        </is>
      </c>
      <c r="P510" s="33" t="n">
        <v>11000</v>
      </c>
      <c r="Q510" s="34" t="n">
        <v>1.93</v>
      </c>
      <c r="R510" s="33" t="n">
        <v>212215.08</v>
      </c>
      <c r="S510" s="35" t="n">
        <v>0</v>
      </c>
      <c r="T510" s="33" t="n">
        <v>0</v>
      </c>
      <c r="U510" s="33" t="n">
        <v>19.6495444444444</v>
      </c>
      <c r="V510" s="33" t="n">
        <v>19.6495444444444</v>
      </c>
      <c r="W510" s="33" t="n">
        <v>19.6495444444444</v>
      </c>
      <c r="X510" s="33" t="n">
        <v>19.6495444444444</v>
      </c>
      <c r="Y510" s="33" t="n">
        <v>19.6495444444444</v>
      </c>
      <c r="Z510" s="33" t="n">
        <v>19.6495444444444</v>
      </c>
      <c r="AA510" s="33" t="n">
        <v>19.6495444444444</v>
      </c>
      <c r="AB510" s="33" t="n">
        <v>19.6495444444444</v>
      </c>
      <c r="AC510" s="33" t="n">
        <v>19.6495444444444</v>
      </c>
      <c r="AD510" s="33" t="n">
        <v>19.6495444444444</v>
      </c>
      <c r="AE510" s="33" t="n">
        <v>19.6495444444444</v>
      </c>
      <c r="AF510" s="33" t="n">
        <v>19.6495444444444</v>
      </c>
    </row>
    <row r="511" ht="15" customHeight="1" s="176">
      <c r="A511" s="36" t="inlineStr">
        <is>
          <t>P-0508</t>
        </is>
      </c>
      <c r="B511" s="36" t="inlineStr">
        <is>
          <t>2026/27</t>
        </is>
      </c>
      <c r="C511" s="36" t="inlineStr">
        <is>
          <t>Santa Catalina</t>
        </is>
      </c>
      <c r="D511" s="37" t="inlineStr">
        <is>
          <t>eureka 22,55</t>
        </is>
      </c>
      <c r="E511" s="36" t="inlineStr">
        <is>
          <t>Limon</t>
        </is>
      </c>
      <c r="F511" s="36" t="inlineStr">
        <is>
          <t>Eureka</t>
        </is>
      </c>
      <c r="G511" s="36" t="inlineStr">
        <is>
          <t>Producción</t>
        </is>
      </c>
      <c r="H511" s="38" t="n">
        <v>22.55</v>
      </c>
      <c r="I511" s="38" t="n">
        <v>22.55</v>
      </c>
      <c r="J511" s="36" t="inlineStr">
        <is>
          <t>Costo</t>
        </is>
      </c>
      <c r="K511" s="37" t="inlineStr">
        <is>
          <t>2- M.O. indirecta</t>
        </is>
      </c>
      <c r="L511" s="37" t="inlineStr">
        <is>
          <t>4,1- ENCARGADO MANTENCIONES</t>
        </is>
      </c>
      <c r="M511" s="37" t="inlineStr">
        <is>
          <t>Operacion predio</t>
        </is>
      </c>
      <c r="N511" s="36" t="inlineStr">
        <is>
          <t>día</t>
        </is>
      </c>
      <c r="O511" s="36" t="inlineStr">
        <is>
          <t>ha</t>
        </is>
      </c>
      <c r="P511" s="39" t="n">
        <v>11000</v>
      </c>
      <c r="Q511" s="40" t="n">
        <v>22.55</v>
      </c>
      <c r="R511" s="39" t="n">
        <v>2479507.8</v>
      </c>
      <c r="S511" s="41" t="n">
        <v>0.00174533333333333</v>
      </c>
      <c r="T511" s="39" t="n">
        <v>1.5708</v>
      </c>
      <c r="U511" s="39" t="n">
        <v>229.584055555556</v>
      </c>
      <c r="V511" s="39" t="n">
        <v>229.584055555556</v>
      </c>
      <c r="W511" s="39" t="n">
        <v>229.584055555556</v>
      </c>
      <c r="X511" s="39" t="n">
        <v>229.584055555556</v>
      </c>
      <c r="Y511" s="39" t="n">
        <v>229.584055555556</v>
      </c>
      <c r="Z511" s="39" t="n">
        <v>229.584055555556</v>
      </c>
      <c r="AA511" s="39" t="n">
        <v>229.584055555556</v>
      </c>
      <c r="AB511" s="39" t="n">
        <v>229.584055555556</v>
      </c>
      <c r="AC511" s="39" t="n">
        <v>229.584055555556</v>
      </c>
      <c r="AD511" s="39" t="n">
        <v>229.584055555556</v>
      </c>
      <c r="AE511" s="39" t="n">
        <v>229.584055555556</v>
      </c>
      <c r="AF511" s="39" t="n">
        <v>229.584055555556</v>
      </c>
    </row>
    <row r="512" ht="15" customHeight="1" s="176">
      <c r="A512" s="30" t="inlineStr">
        <is>
          <t>P-0509</t>
        </is>
      </c>
      <c r="B512" s="30" t="inlineStr">
        <is>
          <t>2026/27</t>
        </is>
      </c>
      <c r="C512" s="30" t="inlineStr">
        <is>
          <t>Santa Catalina</t>
        </is>
      </c>
      <c r="D512" s="31" t="inlineStr">
        <is>
          <t>mant eureka 2,5 ha</t>
        </is>
      </c>
      <c r="E512" s="30" t="inlineStr">
        <is>
          <t>Limon</t>
        </is>
      </c>
      <c r="F512" s="30" t="inlineStr">
        <is>
          <t>Eureka</t>
        </is>
      </c>
      <c r="G512" s="30" t="inlineStr">
        <is>
          <t>Mantención</t>
        </is>
      </c>
      <c r="H512" s="32" t="n">
        <v>2.5</v>
      </c>
      <c r="I512" s="32" t="n">
        <v>0</v>
      </c>
      <c r="J512" s="30" t="inlineStr">
        <is>
          <t>Costo</t>
        </is>
      </c>
      <c r="K512" s="31" t="inlineStr">
        <is>
          <t>2- M.O. indirecta</t>
        </is>
      </c>
      <c r="L512" s="31" t="inlineStr">
        <is>
          <t>4,1- ENCARGADO MANTENCIONES</t>
        </is>
      </c>
      <c r="M512" s="31" t="inlineStr">
        <is>
          <t>Operacion predio</t>
        </is>
      </c>
      <c r="N512" s="30" t="inlineStr">
        <is>
          <t>día</t>
        </is>
      </c>
      <c r="O512" s="30" t="inlineStr">
        <is>
          <t>ha</t>
        </is>
      </c>
      <c r="P512" s="33" t="n">
        <v>11000</v>
      </c>
      <c r="Q512" s="34" t="n">
        <v>2.5</v>
      </c>
      <c r="R512" s="33" t="n">
        <v>274890</v>
      </c>
      <c r="S512" s="35" t="n">
        <v>0</v>
      </c>
      <c r="T512" s="33" t="n">
        <v>0</v>
      </c>
      <c r="U512" s="33" t="n">
        <v>25.4527777777778</v>
      </c>
      <c r="V512" s="33" t="n">
        <v>25.4527777777778</v>
      </c>
      <c r="W512" s="33" t="n">
        <v>25.4527777777778</v>
      </c>
      <c r="X512" s="33" t="n">
        <v>25.4527777777778</v>
      </c>
      <c r="Y512" s="33" t="n">
        <v>25.4527777777778</v>
      </c>
      <c r="Z512" s="33" t="n">
        <v>25.4527777777778</v>
      </c>
      <c r="AA512" s="33" t="n">
        <v>25.4527777777778</v>
      </c>
      <c r="AB512" s="33" t="n">
        <v>25.4527777777778</v>
      </c>
      <c r="AC512" s="33" t="n">
        <v>25.4527777777778</v>
      </c>
      <c r="AD512" s="33" t="n">
        <v>25.4527777777778</v>
      </c>
      <c r="AE512" s="33" t="n">
        <v>25.4527777777778</v>
      </c>
      <c r="AF512" s="33" t="n">
        <v>25.4527777777778</v>
      </c>
    </row>
    <row r="513" ht="15" customHeight="1" s="176">
      <c r="A513" s="36" t="inlineStr">
        <is>
          <t>P-0510</t>
        </is>
      </c>
      <c r="B513" s="36" t="inlineStr">
        <is>
          <t>2026/27</t>
        </is>
      </c>
      <c r="C513" s="36" t="inlineStr">
        <is>
          <t>Santa Catalina</t>
        </is>
      </c>
      <c r="D513" s="37" t="inlineStr">
        <is>
          <t>Fino 49 7,7 ha</t>
        </is>
      </c>
      <c r="E513" s="36" t="inlineStr">
        <is>
          <t>Limon</t>
        </is>
      </c>
      <c r="F513" s="36" t="inlineStr">
        <is>
          <t>Fino 49</t>
        </is>
      </c>
      <c r="G513" s="36" t="inlineStr">
        <is>
          <t>Producción</t>
        </is>
      </c>
      <c r="H513" s="38" t="n">
        <v>7.7</v>
      </c>
      <c r="I513" s="38" t="n">
        <v>7.7</v>
      </c>
      <c r="J513" s="36" t="inlineStr">
        <is>
          <t>Costo</t>
        </is>
      </c>
      <c r="K513" s="37" t="inlineStr">
        <is>
          <t>2- M.O. indirecta</t>
        </is>
      </c>
      <c r="L513" s="37" t="inlineStr">
        <is>
          <t>4,1- ENCARGADO MANTENCIONES</t>
        </is>
      </c>
      <c r="M513" s="37" t="inlineStr">
        <is>
          <t>Operacion predio</t>
        </is>
      </c>
      <c r="N513" s="36" t="inlineStr">
        <is>
          <t>día</t>
        </is>
      </c>
      <c r="O513" s="36" t="inlineStr">
        <is>
          <t>ha</t>
        </is>
      </c>
      <c r="P513" s="39" t="n">
        <v>11000</v>
      </c>
      <c r="Q513" s="40" t="n">
        <v>7.7</v>
      </c>
      <c r="R513" s="39" t="n">
        <v>846661.2</v>
      </c>
      <c r="S513" s="41" t="n">
        <v>0.00174533333333333</v>
      </c>
      <c r="T513" s="39" t="n">
        <v>1.5708</v>
      </c>
      <c r="U513" s="39" t="n">
        <v>78.3945555555555</v>
      </c>
      <c r="V513" s="39" t="n">
        <v>78.3945555555555</v>
      </c>
      <c r="W513" s="39" t="n">
        <v>78.3945555555555</v>
      </c>
      <c r="X513" s="39" t="n">
        <v>78.3945555555555</v>
      </c>
      <c r="Y513" s="39" t="n">
        <v>78.3945555555555</v>
      </c>
      <c r="Z513" s="39" t="n">
        <v>78.3945555555555</v>
      </c>
      <c r="AA513" s="39" t="n">
        <v>78.3945555555555</v>
      </c>
      <c r="AB513" s="39" t="n">
        <v>78.3945555555555</v>
      </c>
      <c r="AC513" s="39" t="n">
        <v>78.3945555555555</v>
      </c>
      <c r="AD513" s="39" t="n">
        <v>78.3945555555555</v>
      </c>
      <c r="AE513" s="39" t="n">
        <v>78.3945555555555</v>
      </c>
      <c r="AF513" s="39" t="n">
        <v>78.3945555555555</v>
      </c>
    </row>
    <row r="514" ht="15" customHeight="1" s="176">
      <c r="A514" s="30" t="inlineStr">
        <is>
          <t>P-0511</t>
        </is>
      </c>
      <c r="B514" s="30" t="inlineStr">
        <is>
          <t>2026/27</t>
        </is>
      </c>
      <c r="C514" s="30" t="inlineStr">
        <is>
          <t>Santa Catalina</t>
        </is>
      </c>
      <c r="D514" s="31" t="inlineStr">
        <is>
          <t>eureka 14,4 ha</t>
        </is>
      </c>
      <c r="E514" s="30" t="inlineStr">
        <is>
          <t>Limon</t>
        </is>
      </c>
      <c r="F514" s="30" t="inlineStr">
        <is>
          <t>Eureka</t>
        </is>
      </c>
      <c r="G514" s="30" t="inlineStr">
        <is>
          <t>Producción</t>
        </is>
      </c>
      <c r="H514" s="32" t="n">
        <v>14.4</v>
      </c>
      <c r="I514" s="32" t="n">
        <v>14.4</v>
      </c>
      <c r="J514" s="30" t="inlineStr">
        <is>
          <t>Costo</t>
        </is>
      </c>
      <c r="K514" s="31" t="inlineStr">
        <is>
          <t>2- M.O. indirecta</t>
        </is>
      </c>
      <c r="L514" s="31" t="inlineStr">
        <is>
          <t>4,1- ENCARGADO MANTENCIONES</t>
        </is>
      </c>
      <c r="M514" s="31" t="inlineStr">
        <is>
          <t>Operacion predio</t>
        </is>
      </c>
      <c r="N514" s="30" t="inlineStr">
        <is>
          <t>día</t>
        </is>
      </c>
      <c r="O514" s="30" t="inlineStr">
        <is>
          <t>ha</t>
        </is>
      </c>
      <c r="P514" s="33" t="n">
        <v>11000</v>
      </c>
      <c r="Q514" s="34" t="n">
        <v>14.4</v>
      </c>
      <c r="R514" s="33" t="n">
        <v>1583366.4</v>
      </c>
      <c r="S514" s="35" t="n">
        <v>0.00174533333333333</v>
      </c>
      <c r="T514" s="33" t="n">
        <v>1.5708</v>
      </c>
      <c r="U514" s="33" t="n">
        <v>146.608</v>
      </c>
      <c r="V514" s="33" t="n">
        <v>146.608</v>
      </c>
      <c r="W514" s="33" t="n">
        <v>146.608</v>
      </c>
      <c r="X514" s="33" t="n">
        <v>146.608</v>
      </c>
      <c r="Y514" s="33" t="n">
        <v>146.608</v>
      </c>
      <c r="Z514" s="33" t="n">
        <v>146.608</v>
      </c>
      <c r="AA514" s="33" t="n">
        <v>146.608</v>
      </c>
      <c r="AB514" s="33" t="n">
        <v>146.608</v>
      </c>
      <c r="AC514" s="33" t="n">
        <v>146.608</v>
      </c>
      <c r="AD514" s="33" t="n">
        <v>146.608</v>
      </c>
      <c r="AE514" s="33" t="n">
        <v>146.608</v>
      </c>
      <c r="AF514" s="33" t="n">
        <v>146.608</v>
      </c>
    </row>
    <row r="515" ht="15" customHeight="1" s="176">
      <c r="A515" s="36" t="inlineStr">
        <is>
          <t>P-0512</t>
        </is>
      </c>
      <c r="B515" s="36" t="inlineStr">
        <is>
          <t>2026/27</t>
        </is>
      </c>
      <c r="C515" s="36" t="inlineStr">
        <is>
          <t>Santa Catalina</t>
        </is>
      </c>
      <c r="D515" s="37" t="inlineStr">
        <is>
          <t>eureka 10,6 ha</t>
        </is>
      </c>
      <c r="E515" s="36" t="inlineStr">
        <is>
          <t>Limon</t>
        </is>
      </c>
      <c r="F515" s="36" t="inlineStr">
        <is>
          <t>Eureka</t>
        </is>
      </c>
      <c r="G515" s="36" t="inlineStr">
        <is>
          <t>Producción</t>
        </is>
      </c>
      <c r="H515" s="38" t="n">
        <v>10.6</v>
      </c>
      <c r="I515" s="38" t="n">
        <v>10.6</v>
      </c>
      <c r="J515" s="36" t="inlineStr">
        <is>
          <t>Costo</t>
        </is>
      </c>
      <c r="K515" s="37" t="inlineStr">
        <is>
          <t>2- M.O. indirecta</t>
        </is>
      </c>
      <c r="L515" s="37" t="inlineStr">
        <is>
          <t>4,1- ENCARGADO MANTENCIONES</t>
        </is>
      </c>
      <c r="M515" s="37" t="inlineStr">
        <is>
          <t>Operacion predio</t>
        </is>
      </c>
      <c r="N515" s="36" t="inlineStr">
        <is>
          <t>día</t>
        </is>
      </c>
      <c r="O515" s="36" t="inlineStr">
        <is>
          <t>ha</t>
        </is>
      </c>
      <c r="P515" s="39" t="n">
        <v>11000</v>
      </c>
      <c r="Q515" s="40" t="n">
        <v>10.6</v>
      </c>
      <c r="R515" s="39" t="n">
        <v>1165533.6</v>
      </c>
      <c r="S515" s="41" t="n">
        <v>0.00174533333333333</v>
      </c>
      <c r="T515" s="39" t="n">
        <v>1.5708</v>
      </c>
      <c r="U515" s="39" t="n">
        <v>107.919777777778</v>
      </c>
      <c r="V515" s="39" t="n">
        <v>107.919777777778</v>
      </c>
      <c r="W515" s="39" t="n">
        <v>107.919777777778</v>
      </c>
      <c r="X515" s="39" t="n">
        <v>107.919777777778</v>
      </c>
      <c r="Y515" s="39" t="n">
        <v>107.919777777778</v>
      </c>
      <c r="Z515" s="39" t="n">
        <v>107.919777777778</v>
      </c>
      <c r="AA515" s="39" t="n">
        <v>107.919777777778</v>
      </c>
      <c r="AB515" s="39" t="n">
        <v>107.919777777778</v>
      </c>
      <c r="AC515" s="39" t="n">
        <v>107.919777777778</v>
      </c>
      <c r="AD515" s="39" t="n">
        <v>107.919777777778</v>
      </c>
      <c r="AE515" s="39" t="n">
        <v>107.919777777778</v>
      </c>
      <c r="AF515" s="39" t="n">
        <v>107.919777777778</v>
      </c>
    </row>
    <row r="516" ht="15" customHeight="1" s="176">
      <c r="A516" s="30" t="inlineStr">
        <is>
          <t>P-0513</t>
        </is>
      </c>
      <c r="B516" s="30" t="inlineStr">
        <is>
          <t>2026/27</t>
        </is>
      </c>
      <c r="C516" s="30" t="inlineStr">
        <is>
          <t>Santa Catalina</t>
        </is>
      </c>
      <c r="D516" s="31" t="inlineStr">
        <is>
          <t>form benjamin 1,93 ha</t>
        </is>
      </c>
      <c r="E516" s="30" t="inlineStr">
        <is>
          <t>Limon</t>
        </is>
      </c>
      <c r="F516" s="30" t="inlineStr">
        <is>
          <t>Benjamin andes</t>
        </is>
      </c>
      <c r="G516" s="30" t="inlineStr">
        <is>
          <t>Formación</t>
        </is>
      </c>
      <c r="H516" s="32" t="n">
        <v>1.93</v>
      </c>
      <c r="I516" s="32" t="n">
        <v>0</v>
      </c>
      <c r="J516" s="30" t="inlineStr">
        <is>
          <t>Costo</t>
        </is>
      </c>
      <c r="K516" s="31" t="inlineStr">
        <is>
          <t>1- M.O. directa</t>
        </is>
      </c>
      <c r="L516" s="31" t="inlineStr">
        <is>
          <t>5- Control de malezas mecánico</t>
        </is>
      </c>
      <c r="M516" s="31" t="n"/>
      <c r="N516" s="30" t="inlineStr">
        <is>
          <t>trato</t>
        </is>
      </c>
      <c r="O516" s="30" t="inlineStr">
        <is>
          <t>plt</t>
        </is>
      </c>
      <c r="P516" s="33" t="n">
        <v>100</v>
      </c>
      <c r="Q516" s="34" t="n">
        <v>804.8099999999999</v>
      </c>
      <c r="R516" s="33" t="n">
        <v>160962</v>
      </c>
      <c r="S516" s="35" t="n">
        <v>0</v>
      </c>
      <c r="T516" s="33" t="n">
        <v>0</v>
      </c>
      <c r="U516" s="33" t="n">
        <v>0</v>
      </c>
      <c r="V516" s="33" t="n">
        <v>0</v>
      </c>
      <c r="W516" s="33" t="n">
        <v>0</v>
      </c>
      <c r="X516" s="33" t="n">
        <v>0</v>
      </c>
      <c r="Y516" s="33" t="n">
        <v>0</v>
      </c>
      <c r="Z516" s="33" t="n">
        <v>44.7116666666667</v>
      </c>
      <c r="AA516" s="33" t="n">
        <v>44.7116666666667</v>
      </c>
      <c r="AB516" s="33" t="n">
        <v>0</v>
      </c>
      <c r="AC516" s="33" t="n">
        <v>0</v>
      </c>
      <c r="AD516" s="33" t="n">
        <v>0</v>
      </c>
      <c r="AE516" s="33" t="n">
        <v>89.4233333333333</v>
      </c>
      <c r="AF516" s="33" t="n">
        <v>0</v>
      </c>
    </row>
    <row r="517" ht="15" customHeight="1" s="176">
      <c r="A517" s="36" t="inlineStr">
        <is>
          <t>P-0514</t>
        </is>
      </c>
      <c r="B517" s="36" t="inlineStr">
        <is>
          <t>2026/27</t>
        </is>
      </c>
      <c r="C517" s="36" t="inlineStr">
        <is>
          <t>Santa Catalina</t>
        </is>
      </c>
      <c r="D517" s="37" t="inlineStr">
        <is>
          <t>eureka 22,55</t>
        </is>
      </c>
      <c r="E517" s="36" t="inlineStr">
        <is>
          <t>Limon</t>
        </is>
      </c>
      <c r="F517" s="36" t="inlineStr">
        <is>
          <t>Eureka</t>
        </is>
      </c>
      <c r="G517" s="36" t="inlineStr">
        <is>
          <t>Producción</t>
        </is>
      </c>
      <c r="H517" s="38" t="n">
        <v>22.55</v>
      </c>
      <c r="I517" s="38" t="n">
        <v>22.55</v>
      </c>
      <c r="J517" s="36" t="inlineStr">
        <is>
          <t>Costo</t>
        </is>
      </c>
      <c r="K517" s="37" t="inlineStr">
        <is>
          <t>1- M.O. directa</t>
        </is>
      </c>
      <c r="L517" s="37" t="inlineStr">
        <is>
          <t>5- Control de malezas mecánico</t>
        </is>
      </c>
      <c r="M517" s="37" t="n"/>
      <c r="N517" s="36" t="inlineStr">
        <is>
          <t>trato</t>
        </is>
      </c>
      <c r="O517" s="36" t="inlineStr">
        <is>
          <t>plt</t>
        </is>
      </c>
      <c r="P517" s="39" t="n">
        <v>100</v>
      </c>
      <c r="Q517" s="40" t="n">
        <v>9403.35</v>
      </c>
      <c r="R517" s="39" t="n">
        <v>1880670</v>
      </c>
      <c r="S517" s="41" t="n">
        <v>0.00132380952380952</v>
      </c>
      <c r="T517" s="39" t="n">
        <v>1.19142857142857</v>
      </c>
      <c r="U517" s="39" t="n">
        <v>0</v>
      </c>
      <c r="V517" s="39" t="n">
        <v>0</v>
      </c>
      <c r="W517" s="39" t="n">
        <v>0</v>
      </c>
      <c r="X517" s="39" t="n">
        <v>0</v>
      </c>
      <c r="Y517" s="39" t="n">
        <v>0</v>
      </c>
      <c r="Z517" s="39" t="n">
        <v>522.408333333333</v>
      </c>
      <c r="AA517" s="39" t="n">
        <v>522.408333333333</v>
      </c>
      <c r="AB517" s="39" t="n">
        <v>0</v>
      </c>
      <c r="AC517" s="39" t="n">
        <v>0</v>
      </c>
      <c r="AD517" s="39" t="n">
        <v>0</v>
      </c>
      <c r="AE517" s="39" t="n">
        <v>1044.81666666667</v>
      </c>
      <c r="AF517" s="39" t="n">
        <v>0</v>
      </c>
    </row>
    <row r="518" ht="15" customHeight="1" s="176">
      <c r="A518" s="30" t="inlineStr">
        <is>
          <t>P-0515</t>
        </is>
      </c>
      <c r="B518" s="30" t="inlineStr">
        <is>
          <t>2026/27</t>
        </is>
      </c>
      <c r="C518" s="30" t="inlineStr">
        <is>
          <t>Santa Catalina</t>
        </is>
      </c>
      <c r="D518" s="31" t="inlineStr">
        <is>
          <t>mant eureka 2,5 ha</t>
        </is>
      </c>
      <c r="E518" s="30" t="inlineStr">
        <is>
          <t>Limon</t>
        </is>
      </c>
      <c r="F518" s="30" t="inlineStr">
        <is>
          <t>Eureka</t>
        </is>
      </c>
      <c r="G518" s="30" t="inlineStr">
        <is>
          <t>Mantención</t>
        </is>
      </c>
      <c r="H518" s="32" t="n">
        <v>2.5</v>
      </c>
      <c r="I518" s="32" t="n">
        <v>0</v>
      </c>
      <c r="J518" s="30" t="inlineStr">
        <is>
          <t>Costo</t>
        </is>
      </c>
      <c r="K518" s="31" t="inlineStr">
        <is>
          <t>1- M.O. directa</t>
        </is>
      </c>
      <c r="L518" s="31" t="inlineStr">
        <is>
          <t>5- Control de malezas mecánico</t>
        </is>
      </c>
      <c r="M518" s="31" t="n"/>
      <c r="N518" s="30" t="inlineStr">
        <is>
          <t>trato</t>
        </is>
      </c>
      <c r="O518" s="30" t="inlineStr">
        <is>
          <t>plt</t>
        </is>
      </c>
      <c r="P518" s="33" t="n">
        <v>100</v>
      </c>
      <c r="Q518" s="34" t="n">
        <v>1042.5</v>
      </c>
      <c r="R518" s="33" t="n">
        <v>208500</v>
      </c>
      <c r="S518" s="35" t="n">
        <v>0</v>
      </c>
      <c r="T518" s="33" t="n">
        <v>0</v>
      </c>
      <c r="U518" s="33" t="n">
        <v>0</v>
      </c>
      <c r="V518" s="33" t="n">
        <v>0</v>
      </c>
      <c r="W518" s="33" t="n">
        <v>0</v>
      </c>
      <c r="X518" s="33" t="n">
        <v>0</v>
      </c>
      <c r="Y518" s="33" t="n">
        <v>0</v>
      </c>
      <c r="Z518" s="33" t="n">
        <v>57.9166666666667</v>
      </c>
      <c r="AA518" s="33" t="n">
        <v>57.9166666666667</v>
      </c>
      <c r="AB518" s="33" t="n">
        <v>0</v>
      </c>
      <c r="AC518" s="33" t="n">
        <v>0</v>
      </c>
      <c r="AD518" s="33" t="n">
        <v>0</v>
      </c>
      <c r="AE518" s="33" t="n">
        <v>115.833333333333</v>
      </c>
      <c r="AF518" s="33" t="n">
        <v>0</v>
      </c>
    </row>
    <row r="519" ht="15" customHeight="1" s="176">
      <c r="A519" s="36" t="inlineStr">
        <is>
          <t>P-0516</t>
        </is>
      </c>
      <c r="B519" s="36" t="inlineStr">
        <is>
          <t>2026/27</t>
        </is>
      </c>
      <c r="C519" s="36" t="inlineStr">
        <is>
          <t>Santa Catalina</t>
        </is>
      </c>
      <c r="D519" s="37" t="inlineStr">
        <is>
          <t>Fino 49 7,7 ha</t>
        </is>
      </c>
      <c r="E519" s="36" t="inlineStr">
        <is>
          <t>Limon</t>
        </is>
      </c>
      <c r="F519" s="36" t="inlineStr">
        <is>
          <t>Fino 49</t>
        </is>
      </c>
      <c r="G519" s="36" t="inlineStr">
        <is>
          <t>Producción</t>
        </is>
      </c>
      <c r="H519" s="38" t="n">
        <v>7.7</v>
      </c>
      <c r="I519" s="38" t="n">
        <v>7.7</v>
      </c>
      <c r="J519" s="36" t="inlineStr">
        <is>
          <t>Costo</t>
        </is>
      </c>
      <c r="K519" s="37" t="inlineStr">
        <is>
          <t>1- M.O. directa</t>
        </is>
      </c>
      <c r="L519" s="37" t="inlineStr">
        <is>
          <t>5- Control de malezas mecánico</t>
        </is>
      </c>
      <c r="M519" s="37" t="n"/>
      <c r="N519" s="36" t="inlineStr">
        <is>
          <t>trato</t>
        </is>
      </c>
      <c r="O519" s="36" t="inlineStr">
        <is>
          <t>plt</t>
        </is>
      </c>
      <c r="P519" s="39" t="n">
        <v>100</v>
      </c>
      <c r="Q519" s="40" t="n">
        <v>3210.9</v>
      </c>
      <c r="R519" s="39" t="n">
        <v>642180</v>
      </c>
      <c r="S519" s="41" t="n">
        <v>0.00132380952380952</v>
      </c>
      <c r="T519" s="39" t="n">
        <v>1.19142857142857</v>
      </c>
      <c r="U519" s="39" t="n">
        <v>0</v>
      </c>
      <c r="V519" s="39" t="n">
        <v>0</v>
      </c>
      <c r="W519" s="39" t="n">
        <v>0</v>
      </c>
      <c r="X519" s="39" t="n">
        <v>0</v>
      </c>
      <c r="Y519" s="39" t="n">
        <v>0</v>
      </c>
      <c r="Z519" s="39" t="n">
        <v>178.383333333333</v>
      </c>
      <c r="AA519" s="39" t="n">
        <v>178.383333333333</v>
      </c>
      <c r="AB519" s="39" t="n">
        <v>0</v>
      </c>
      <c r="AC519" s="39" t="n">
        <v>0</v>
      </c>
      <c r="AD519" s="39" t="n">
        <v>0</v>
      </c>
      <c r="AE519" s="39" t="n">
        <v>356.766666666667</v>
      </c>
      <c r="AF519" s="39" t="n">
        <v>0</v>
      </c>
    </row>
    <row r="520" ht="15" customHeight="1" s="176">
      <c r="A520" s="30" t="inlineStr">
        <is>
          <t>P-0517</t>
        </is>
      </c>
      <c r="B520" s="30" t="inlineStr">
        <is>
          <t>2026/27</t>
        </is>
      </c>
      <c r="C520" s="30" t="inlineStr">
        <is>
          <t>Santa Catalina</t>
        </is>
      </c>
      <c r="D520" s="31" t="inlineStr">
        <is>
          <t>eureka 14,4 ha</t>
        </is>
      </c>
      <c r="E520" s="30" t="inlineStr">
        <is>
          <t>Limon</t>
        </is>
      </c>
      <c r="F520" s="30" t="inlineStr">
        <is>
          <t>Eureka</t>
        </is>
      </c>
      <c r="G520" s="30" t="inlineStr">
        <is>
          <t>Producción</t>
        </is>
      </c>
      <c r="H520" s="32" t="n">
        <v>14.4</v>
      </c>
      <c r="I520" s="32" t="n">
        <v>14.4</v>
      </c>
      <c r="J520" s="30" t="inlineStr">
        <is>
          <t>Costo</t>
        </is>
      </c>
      <c r="K520" s="31" t="inlineStr">
        <is>
          <t>1- M.O. directa</t>
        </is>
      </c>
      <c r="L520" s="31" t="inlineStr">
        <is>
          <t>5- Control de malezas mecánico</t>
        </is>
      </c>
      <c r="M520" s="31" t="n"/>
      <c r="N520" s="30" t="inlineStr">
        <is>
          <t>trato</t>
        </is>
      </c>
      <c r="O520" s="30" t="inlineStr">
        <is>
          <t>plt</t>
        </is>
      </c>
      <c r="P520" s="33" t="n">
        <v>100</v>
      </c>
      <c r="Q520" s="34" t="n">
        <v>6004.8</v>
      </c>
      <c r="R520" s="33" t="n">
        <v>1200960</v>
      </c>
      <c r="S520" s="35" t="n">
        <v>0.00132380952380952</v>
      </c>
      <c r="T520" s="33" t="n">
        <v>1.19142857142857</v>
      </c>
      <c r="U520" s="33" t="n">
        <v>0</v>
      </c>
      <c r="V520" s="33" t="n">
        <v>0</v>
      </c>
      <c r="W520" s="33" t="n">
        <v>0</v>
      </c>
      <c r="X520" s="33" t="n">
        <v>0</v>
      </c>
      <c r="Y520" s="33" t="n">
        <v>0</v>
      </c>
      <c r="Z520" s="33" t="n">
        <v>333.6</v>
      </c>
      <c r="AA520" s="33" t="n">
        <v>333.6</v>
      </c>
      <c r="AB520" s="33" t="n">
        <v>0</v>
      </c>
      <c r="AC520" s="33" t="n">
        <v>0</v>
      </c>
      <c r="AD520" s="33" t="n">
        <v>0</v>
      </c>
      <c r="AE520" s="33" t="n">
        <v>667.2</v>
      </c>
      <c r="AF520" s="33" t="n">
        <v>0</v>
      </c>
    </row>
    <row r="521" ht="15" customHeight="1" s="176">
      <c r="A521" s="36" t="inlineStr">
        <is>
          <t>P-0518</t>
        </is>
      </c>
      <c r="B521" s="36" t="inlineStr">
        <is>
          <t>2026/27</t>
        </is>
      </c>
      <c r="C521" s="36" t="inlineStr">
        <is>
          <t>Santa Catalina</t>
        </is>
      </c>
      <c r="D521" s="37" t="inlineStr">
        <is>
          <t>eureka 10,6 ha</t>
        </is>
      </c>
      <c r="E521" s="36" t="inlineStr">
        <is>
          <t>Limon</t>
        </is>
      </c>
      <c r="F521" s="36" t="inlineStr">
        <is>
          <t>Eureka</t>
        </is>
      </c>
      <c r="G521" s="36" t="inlineStr">
        <is>
          <t>Producción</t>
        </is>
      </c>
      <c r="H521" s="38" t="n">
        <v>10.6</v>
      </c>
      <c r="I521" s="38" t="n">
        <v>10.6</v>
      </c>
      <c r="J521" s="36" t="inlineStr">
        <is>
          <t>Costo</t>
        </is>
      </c>
      <c r="K521" s="37" t="inlineStr">
        <is>
          <t>1- M.O. directa</t>
        </is>
      </c>
      <c r="L521" s="37" t="inlineStr">
        <is>
          <t>5- Control de malezas mecánico</t>
        </is>
      </c>
      <c r="M521" s="37" t="n"/>
      <c r="N521" s="36" t="inlineStr">
        <is>
          <t>trato</t>
        </is>
      </c>
      <c r="O521" s="36" t="inlineStr">
        <is>
          <t>plt</t>
        </is>
      </c>
      <c r="P521" s="39" t="n">
        <v>100</v>
      </c>
      <c r="Q521" s="40" t="n">
        <v>4420.2</v>
      </c>
      <c r="R521" s="39" t="n">
        <v>884040</v>
      </c>
      <c r="S521" s="41" t="n">
        <v>0.00132380952380952</v>
      </c>
      <c r="T521" s="39" t="n">
        <v>1.19142857142857</v>
      </c>
      <c r="U521" s="39" t="n">
        <v>0</v>
      </c>
      <c r="V521" s="39" t="n">
        <v>0</v>
      </c>
      <c r="W521" s="39" t="n">
        <v>0</v>
      </c>
      <c r="X521" s="39" t="n">
        <v>0</v>
      </c>
      <c r="Y521" s="39" t="n">
        <v>0</v>
      </c>
      <c r="Z521" s="39" t="n">
        <v>245.566666666667</v>
      </c>
      <c r="AA521" s="39" t="n">
        <v>245.566666666667</v>
      </c>
      <c r="AB521" s="39" t="n">
        <v>0</v>
      </c>
      <c r="AC521" s="39" t="n">
        <v>0</v>
      </c>
      <c r="AD521" s="39" t="n">
        <v>0</v>
      </c>
      <c r="AE521" s="39" t="n">
        <v>491.133333333333</v>
      </c>
      <c r="AF521" s="39" t="n">
        <v>0</v>
      </c>
    </row>
    <row r="522" ht="15" customHeight="1" s="176">
      <c r="A522" s="30" t="inlineStr">
        <is>
          <t>P-0519</t>
        </is>
      </c>
      <c r="B522" s="30" t="inlineStr">
        <is>
          <t>2026/27</t>
        </is>
      </c>
      <c r="C522" s="30" t="inlineStr">
        <is>
          <t>Santa Catalina</t>
        </is>
      </c>
      <c r="D522" s="31" t="inlineStr">
        <is>
          <t>Fino 49 7,7 ha</t>
        </is>
      </c>
      <c r="E522" s="30" t="inlineStr">
        <is>
          <t>Limon</t>
        </is>
      </c>
      <c r="F522" s="30" t="inlineStr">
        <is>
          <t>Fino 49</t>
        </is>
      </c>
      <c r="G522" s="30" t="inlineStr">
        <is>
          <t>Producción</t>
        </is>
      </c>
      <c r="H522" s="32" t="n">
        <v>7.7</v>
      </c>
      <c r="I522" s="32" t="n">
        <v>7.7</v>
      </c>
      <c r="J522" s="30" t="inlineStr">
        <is>
          <t>Costo</t>
        </is>
      </c>
      <c r="K522" s="31" t="inlineStr">
        <is>
          <t>3- Gasto general</t>
        </is>
      </c>
      <c r="L522" s="31" t="inlineStr">
        <is>
          <t>5- OTROS COSTOS  (fletes, alambres, mallas)</t>
        </is>
      </c>
      <c r="M522" s="31" t="n"/>
      <c r="N522" s="30" t="n"/>
      <c r="O522" s="30" t="inlineStr">
        <is>
          <t>ha</t>
        </is>
      </c>
      <c r="P522" s="33" t="n">
        <v>100000</v>
      </c>
      <c r="Q522" s="34" t="n">
        <v>7.7</v>
      </c>
      <c r="R522" s="33" t="n">
        <v>7696920</v>
      </c>
      <c r="S522" s="35" t="n">
        <v>0.0158666666666667</v>
      </c>
      <c r="T522" s="33" t="n">
        <v>14.28</v>
      </c>
      <c r="U522" s="33" t="n">
        <v>712.677777777778</v>
      </c>
      <c r="V522" s="33" t="n">
        <v>712.677777777778</v>
      </c>
      <c r="W522" s="33" t="n">
        <v>712.677777777778</v>
      </c>
      <c r="X522" s="33" t="n">
        <v>712.677777777778</v>
      </c>
      <c r="Y522" s="33" t="n">
        <v>712.677777777778</v>
      </c>
      <c r="Z522" s="33" t="n">
        <v>712.677777777778</v>
      </c>
      <c r="AA522" s="33" t="n">
        <v>712.677777777778</v>
      </c>
      <c r="AB522" s="33" t="n">
        <v>712.677777777778</v>
      </c>
      <c r="AC522" s="33" t="n">
        <v>712.677777777778</v>
      </c>
      <c r="AD522" s="33" t="n">
        <v>712.677777777778</v>
      </c>
      <c r="AE522" s="33" t="n">
        <v>712.677777777778</v>
      </c>
      <c r="AF522" s="33" t="n">
        <v>712.677777777778</v>
      </c>
    </row>
    <row r="523" ht="15" customHeight="1" s="176">
      <c r="A523" s="36" t="inlineStr">
        <is>
          <t>P-0520</t>
        </is>
      </c>
      <c r="B523" s="36" t="inlineStr">
        <is>
          <t>2026/27</t>
        </is>
      </c>
      <c r="C523" s="36" t="inlineStr">
        <is>
          <t>Santa Catalina</t>
        </is>
      </c>
      <c r="D523" s="37" t="inlineStr">
        <is>
          <t>form benjamin 1,93 ha</t>
        </is>
      </c>
      <c r="E523" s="36" t="inlineStr">
        <is>
          <t>Limon</t>
        </is>
      </c>
      <c r="F523" s="36" t="inlineStr">
        <is>
          <t>Benjamin andes</t>
        </is>
      </c>
      <c r="G523" s="36" t="inlineStr">
        <is>
          <t>Formación</t>
        </is>
      </c>
      <c r="H523" s="38" t="n">
        <v>1.93</v>
      </c>
      <c r="I523" s="38" t="n">
        <v>0</v>
      </c>
      <c r="J523" s="36" t="inlineStr">
        <is>
          <t>Costo</t>
        </is>
      </c>
      <c r="K523" s="37" t="inlineStr">
        <is>
          <t>2- M.O. indirecta</t>
        </is>
      </c>
      <c r="L523" s="37" t="inlineStr">
        <is>
          <t>5- PREVEN. DE RIESGO</t>
        </is>
      </c>
      <c r="M523" s="37" t="inlineStr">
        <is>
          <t>Operacion predio</t>
        </is>
      </c>
      <c r="N523" s="36" t="inlineStr">
        <is>
          <t>día</t>
        </is>
      </c>
      <c r="O523" s="36" t="inlineStr">
        <is>
          <t>ha</t>
        </is>
      </c>
      <c r="P523" s="39" t="n">
        <v>1575</v>
      </c>
      <c r="Q523" s="40" t="n">
        <v>1.93</v>
      </c>
      <c r="R523" s="39" t="n">
        <v>30385.341</v>
      </c>
      <c r="S523" s="41" t="n">
        <v>0</v>
      </c>
      <c r="T523" s="39" t="n">
        <v>0</v>
      </c>
      <c r="U523" s="39" t="n">
        <v>2.8134575</v>
      </c>
      <c r="V523" s="39" t="n">
        <v>2.8134575</v>
      </c>
      <c r="W523" s="39" t="n">
        <v>2.8134575</v>
      </c>
      <c r="X523" s="39" t="n">
        <v>2.8134575</v>
      </c>
      <c r="Y523" s="39" t="n">
        <v>2.8134575</v>
      </c>
      <c r="Z523" s="39" t="n">
        <v>2.8134575</v>
      </c>
      <c r="AA523" s="39" t="n">
        <v>2.8134575</v>
      </c>
      <c r="AB523" s="39" t="n">
        <v>2.8134575</v>
      </c>
      <c r="AC523" s="39" t="n">
        <v>2.8134575</v>
      </c>
      <c r="AD523" s="39" t="n">
        <v>2.8134575</v>
      </c>
      <c r="AE523" s="39" t="n">
        <v>2.8134575</v>
      </c>
      <c r="AF523" s="39" t="n">
        <v>2.8134575</v>
      </c>
    </row>
    <row r="524" ht="15" customHeight="1" s="176">
      <c r="A524" s="30" t="inlineStr">
        <is>
          <t>P-0521</t>
        </is>
      </c>
      <c r="B524" s="30" t="inlineStr">
        <is>
          <t>2026/27</t>
        </is>
      </c>
      <c r="C524" s="30" t="inlineStr">
        <is>
          <t>Santa Catalina</t>
        </is>
      </c>
      <c r="D524" s="31" t="inlineStr">
        <is>
          <t>eureka 22,55</t>
        </is>
      </c>
      <c r="E524" s="30" t="inlineStr">
        <is>
          <t>Limon</t>
        </is>
      </c>
      <c r="F524" s="30" t="inlineStr">
        <is>
          <t>Eureka</t>
        </is>
      </c>
      <c r="G524" s="30" t="inlineStr">
        <is>
          <t>Producción</t>
        </is>
      </c>
      <c r="H524" s="32" t="n">
        <v>22.55</v>
      </c>
      <c r="I524" s="32" t="n">
        <v>22.55</v>
      </c>
      <c r="J524" s="30" t="inlineStr">
        <is>
          <t>Costo</t>
        </is>
      </c>
      <c r="K524" s="31" t="inlineStr">
        <is>
          <t>2- M.O. indirecta</t>
        </is>
      </c>
      <c r="L524" s="31" t="inlineStr">
        <is>
          <t>5- PREVEN. DE RIESGO</t>
        </is>
      </c>
      <c r="M524" s="31" t="inlineStr">
        <is>
          <t>Operacion predio</t>
        </is>
      </c>
      <c r="N524" s="30" t="inlineStr">
        <is>
          <t>día</t>
        </is>
      </c>
      <c r="O524" s="30" t="inlineStr">
        <is>
          <t>ha</t>
        </is>
      </c>
      <c r="P524" s="33" t="n">
        <v>1575</v>
      </c>
      <c r="Q524" s="34" t="n">
        <v>22.55</v>
      </c>
      <c r="R524" s="33" t="n">
        <v>355020.435</v>
      </c>
      <c r="S524" s="35" t="n">
        <v>0.0002499</v>
      </c>
      <c r="T524" s="33" t="n">
        <v>0.22491</v>
      </c>
      <c r="U524" s="33" t="n">
        <v>32.8722625</v>
      </c>
      <c r="V524" s="33" t="n">
        <v>32.8722625</v>
      </c>
      <c r="W524" s="33" t="n">
        <v>32.8722625</v>
      </c>
      <c r="X524" s="33" t="n">
        <v>32.8722625</v>
      </c>
      <c r="Y524" s="33" t="n">
        <v>32.8722625</v>
      </c>
      <c r="Z524" s="33" t="n">
        <v>32.8722625</v>
      </c>
      <c r="AA524" s="33" t="n">
        <v>32.8722625</v>
      </c>
      <c r="AB524" s="33" t="n">
        <v>32.8722625</v>
      </c>
      <c r="AC524" s="33" t="n">
        <v>32.8722625</v>
      </c>
      <c r="AD524" s="33" t="n">
        <v>32.8722625</v>
      </c>
      <c r="AE524" s="33" t="n">
        <v>32.8722625</v>
      </c>
      <c r="AF524" s="33" t="n">
        <v>32.8722625</v>
      </c>
    </row>
    <row r="525" ht="15" customHeight="1" s="176">
      <c r="A525" s="36" t="inlineStr">
        <is>
          <t>P-0522</t>
        </is>
      </c>
      <c r="B525" s="36" t="inlineStr">
        <is>
          <t>2026/27</t>
        </is>
      </c>
      <c r="C525" s="36" t="inlineStr">
        <is>
          <t>Santa Catalina</t>
        </is>
      </c>
      <c r="D525" s="37" t="inlineStr">
        <is>
          <t>mant eureka 2,5 ha</t>
        </is>
      </c>
      <c r="E525" s="36" t="inlineStr">
        <is>
          <t>Limon</t>
        </is>
      </c>
      <c r="F525" s="36" t="inlineStr">
        <is>
          <t>Eureka</t>
        </is>
      </c>
      <c r="G525" s="36" t="inlineStr">
        <is>
          <t>Mantención</t>
        </is>
      </c>
      <c r="H525" s="38" t="n">
        <v>2.5</v>
      </c>
      <c r="I525" s="38" t="n">
        <v>0</v>
      </c>
      <c r="J525" s="36" t="inlineStr">
        <is>
          <t>Costo</t>
        </is>
      </c>
      <c r="K525" s="37" t="inlineStr">
        <is>
          <t>2- M.O. indirecta</t>
        </is>
      </c>
      <c r="L525" s="37" t="inlineStr">
        <is>
          <t>5- PREVEN. DE RIESGO</t>
        </is>
      </c>
      <c r="M525" s="37" t="inlineStr">
        <is>
          <t>Operacion predio</t>
        </is>
      </c>
      <c r="N525" s="36" t="inlineStr">
        <is>
          <t>día</t>
        </is>
      </c>
      <c r="O525" s="36" t="inlineStr">
        <is>
          <t>ha</t>
        </is>
      </c>
      <c r="P525" s="39" t="n">
        <v>1575</v>
      </c>
      <c r="Q525" s="40" t="n">
        <v>2.5</v>
      </c>
      <c r="R525" s="39" t="n">
        <v>39359.25</v>
      </c>
      <c r="S525" s="41" t="n">
        <v>0</v>
      </c>
      <c r="T525" s="39" t="n">
        <v>0</v>
      </c>
      <c r="U525" s="39" t="n">
        <v>3.644375</v>
      </c>
      <c r="V525" s="39" t="n">
        <v>3.644375</v>
      </c>
      <c r="W525" s="39" t="n">
        <v>3.644375</v>
      </c>
      <c r="X525" s="39" t="n">
        <v>3.644375</v>
      </c>
      <c r="Y525" s="39" t="n">
        <v>3.644375</v>
      </c>
      <c r="Z525" s="39" t="n">
        <v>3.644375</v>
      </c>
      <c r="AA525" s="39" t="n">
        <v>3.644375</v>
      </c>
      <c r="AB525" s="39" t="n">
        <v>3.644375</v>
      </c>
      <c r="AC525" s="39" t="n">
        <v>3.644375</v>
      </c>
      <c r="AD525" s="39" t="n">
        <v>3.644375</v>
      </c>
      <c r="AE525" s="39" t="n">
        <v>3.644375</v>
      </c>
      <c r="AF525" s="39" t="n">
        <v>3.644375</v>
      </c>
    </row>
    <row r="526" ht="15" customHeight="1" s="176">
      <c r="A526" s="30" t="inlineStr">
        <is>
          <t>P-0523</t>
        </is>
      </c>
      <c r="B526" s="30" t="inlineStr">
        <is>
          <t>2026/27</t>
        </is>
      </c>
      <c r="C526" s="30" t="inlineStr">
        <is>
          <t>Santa Catalina</t>
        </is>
      </c>
      <c r="D526" s="31" t="inlineStr">
        <is>
          <t>Fino 49 7,7 ha</t>
        </is>
      </c>
      <c r="E526" s="30" t="inlineStr">
        <is>
          <t>Limon</t>
        </is>
      </c>
      <c r="F526" s="30" t="inlineStr">
        <is>
          <t>Fino 49</t>
        </is>
      </c>
      <c r="G526" s="30" t="inlineStr">
        <is>
          <t>Producción</t>
        </is>
      </c>
      <c r="H526" s="32" t="n">
        <v>7.7</v>
      </c>
      <c r="I526" s="32" t="n">
        <v>7.7</v>
      </c>
      <c r="J526" s="30" t="inlineStr">
        <is>
          <t>Costo</t>
        </is>
      </c>
      <c r="K526" s="31" t="inlineStr">
        <is>
          <t>2- M.O. indirecta</t>
        </is>
      </c>
      <c r="L526" s="31" t="inlineStr">
        <is>
          <t>5- PREVEN. DE RIESGO</t>
        </is>
      </c>
      <c r="M526" s="31" t="inlineStr">
        <is>
          <t>Operacion predio</t>
        </is>
      </c>
      <c r="N526" s="30" t="inlineStr">
        <is>
          <t>día</t>
        </is>
      </c>
      <c r="O526" s="30" t="inlineStr">
        <is>
          <t>ha</t>
        </is>
      </c>
      <c r="P526" s="33" t="n">
        <v>1575</v>
      </c>
      <c r="Q526" s="34" t="n">
        <v>7.7</v>
      </c>
      <c r="R526" s="33" t="n">
        <v>121226.49</v>
      </c>
      <c r="S526" s="35" t="n">
        <v>0.0002499</v>
      </c>
      <c r="T526" s="33" t="n">
        <v>0.22491</v>
      </c>
      <c r="U526" s="33" t="n">
        <v>11.224675</v>
      </c>
      <c r="V526" s="33" t="n">
        <v>11.224675</v>
      </c>
      <c r="W526" s="33" t="n">
        <v>11.224675</v>
      </c>
      <c r="X526" s="33" t="n">
        <v>11.224675</v>
      </c>
      <c r="Y526" s="33" t="n">
        <v>11.224675</v>
      </c>
      <c r="Z526" s="33" t="n">
        <v>11.224675</v>
      </c>
      <c r="AA526" s="33" t="n">
        <v>11.224675</v>
      </c>
      <c r="AB526" s="33" t="n">
        <v>11.224675</v>
      </c>
      <c r="AC526" s="33" t="n">
        <v>11.224675</v>
      </c>
      <c r="AD526" s="33" t="n">
        <v>11.224675</v>
      </c>
      <c r="AE526" s="33" t="n">
        <v>11.224675</v>
      </c>
      <c r="AF526" s="33" t="n">
        <v>11.224675</v>
      </c>
    </row>
    <row r="527" ht="15" customHeight="1" s="176">
      <c r="A527" s="36" t="inlineStr">
        <is>
          <t>P-0524</t>
        </is>
      </c>
      <c r="B527" s="36" t="inlineStr">
        <is>
          <t>2026/27</t>
        </is>
      </c>
      <c r="C527" s="36" t="inlineStr">
        <is>
          <t>Santa Catalina</t>
        </is>
      </c>
      <c r="D527" s="37" t="inlineStr">
        <is>
          <t>eureka 14,4 ha</t>
        </is>
      </c>
      <c r="E527" s="36" t="inlineStr">
        <is>
          <t>Limon</t>
        </is>
      </c>
      <c r="F527" s="36" t="inlineStr">
        <is>
          <t>Eureka</t>
        </is>
      </c>
      <c r="G527" s="36" t="inlineStr">
        <is>
          <t>Producción</t>
        </is>
      </c>
      <c r="H527" s="38" t="n">
        <v>14.4</v>
      </c>
      <c r="I527" s="38" t="n">
        <v>14.4</v>
      </c>
      <c r="J527" s="36" t="inlineStr">
        <is>
          <t>Costo</t>
        </is>
      </c>
      <c r="K527" s="37" t="inlineStr">
        <is>
          <t>2- M.O. indirecta</t>
        </is>
      </c>
      <c r="L527" s="37" t="inlineStr">
        <is>
          <t>5- PREVEN. DE RIESGO</t>
        </is>
      </c>
      <c r="M527" s="37" t="inlineStr">
        <is>
          <t>Operacion predio</t>
        </is>
      </c>
      <c r="N527" s="36" t="inlineStr">
        <is>
          <t>día</t>
        </is>
      </c>
      <c r="O527" s="36" t="inlineStr">
        <is>
          <t>ha</t>
        </is>
      </c>
      <c r="P527" s="39" t="n">
        <v>1575</v>
      </c>
      <c r="Q527" s="40" t="n">
        <v>14.4</v>
      </c>
      <c r="R527" s="39" t="n">
        <v>226709.28</v>
      </c>
      <c r="S527" s="41" t="n">
        <v>0.0002499</v>
      </c>
      <c r="T527" s="39" t="n">
        <v>0.22491</v>
      </c>
      <c r="U527" s="39" t="n">
        <v>20.9916</v>
      </c>
      <c r="V527" s="39" t="n">
        <v>20.9916</v>
      </c>
      <c r="W527" s="39" t="n">
        <v>20.9916</v>
      </c>
      <c r="X527" s="39" t="n">
        <v>20.9916</v>
      </c>
      <c r="Y527" s="39" t="n">
        <v>20.9916</v>
      </c>
      <c r="Z527" s="39" t="n">
        <v>20.9916</v>
      </c>
      <c r="AA527" s="39" t="n">
        <v>20.9916</v>
      </c>
      <c r="AB527" s="39" t="n">
        <v>20.9916</v>
      </c>
      <c r="AC527" s="39" t="n">
        <v>20.9916</v>
      </c>
      <c r="AD527" s="39" t="n">
        <v>20.9916</v>
      </c>
      <c r="AE527" s="39" t="n">
        <v>20.9916</v>
      </c>
      <c r="AF527" s="39" t="n">
        <v>20.9916</v>
      </c>
    </row>
    <row r="528" ht="15" customHeight="1" s="176">
      <c r="A528" s="30" t="inlineStr">
        <is>
          <t>P-0525</t>
        </is>
      </c>
      <c r="B528" s="30" t="inlineStr">
        <is>
          <t>2026/27</t>
        </is>
      </c>
      <c r="C528" s="30" t="inlineStr">
        <is>
          <t>Santa Catalina</t>
        </is>
      </c>
      <c r="D528" s="31" t="inlineStr">
        <is>
          <t>eureka 10,6 ha</t>
        </is>
      </c>
      <c r="E528" s="30" t="inlineStr">
        <is>
          <t>Limon</t>
        </is>
      </c>
      <c r="F528" s="30" t="inlineStr">
        <is>
          <t>Eureka</t>
        </is>
      </c>
      <c r="G528" s="30" t="inlineStr">
        <is>
          <t>Producción</t>
        </is>
      </c>
      <c r="H528" s="32" t="n">
        <v>10.6</v>
      </c>
      <c r="I528" s="32" t="n">
        <v>10.6</v>
      </c>
      <c r="J528" s="30" t="inlineStr">
        <is>
          <t>Costo</t>
        </is>
      </c>
      <c r="K528" s="31" t="inlineStr">
        <is>
          <t>2- M.O. indirecta</t>
        </is>
      </c>
      <c r="L528" s="31" t="inlineStr">
        <is>
          <t>5- PREVEN. DE RIESGO</t>
        </is>
      </c>
      <c r="M528" s="31" t="inlineStr">
        <is>
          <t>Operacion predio</t>
        </is>
      </c>
      <c r="N528" s="30" t="inlineStr">
        <is>
          <t>día</t>
        </is>
      </c>
      <c r="O528" s="30" t="inlineStr">
        <is>
          <t>ha</t>
        </is>
      </c>
      <c r="P528" s="33" t="n">
        <v>1575</v>
      </c>
      <c r="Q528" s="34" t="n">
        <v>10.6</v>
      </c>
      <c r="R528" s="33" t="n">
        <v>166883.22</v>
      </c>
      <c r="S528" s="35" t="n">
        <v>0.0002499</v>
      </c>
      <c r="T528" s="33" t="n">
        <v>0.22491</v>
      </c>
      <c r="U528" s="33" t="n">
        <v>15.45215</v>
      </c>
      <c r="V528" s="33" t="n">
        <v>15.45215</v>
      </c>
      <c r="W528" s="33" t="n">
        <v>15.45215</v>
      </c>
      <c r="X528" s="33" t="n">
        <v>15.45215</v>
      </c>
      <c r="Y528" s="33" t="n">
        <v>15.45215</v>
      </c>
      <c r="Z528" s="33" t="n">
        <v>15.45215</v>
      </c>
      <c r="AA528" s="33" t="n">
        <v>15.45215</v>
      </c>
      <c r="AB528" s="33" t="n">
        <v>15.45215</v>
      </c>
      <c r="AC528" s="33" t="n">
        <v>15.45215</v>
      </c>
      <c r="AD528" s="33" t="n">
        <v>15.45215</v>
      </c>
      <c r="AE528" s="33" t="n">
        <v>15.45215</v>
      </c>
      <c r="AF528" s="33" t="n">
        <v>15.45215</v>
      </c>
    </row>
    <row r="529" ht="15" customHeight="1" s="176">
      <c r="A529" s="36" t="inlineStr">
        <is>
          <t>P-0526</t>
        </is>
      </c>
      <c r="B529" s="36" t="inlineStr">
        <is>
          <t>2026/27</t>
        </is>
      </c>
      <c r="C529" s="36" t="inlineStr">
        <is>
          <t>Santa Catalina</t>
        </is>
      </c>
      <c r="D529" s="37" t="inlineStr">
        <is>
          <t>form benjamin 1,93 ha</t>
        </is>
      </c>
      <c r="E529" s="36" t="inlineStr">
        <is>
          <t>Limon</t>
        </is>
      </c>
      <c r="F529" s="36" t="inlineStr">
        <is>
          <t>Benjamin andes</t>
        </is>
      </c>
      <c r="G529" s="36" t="inlineStr">
        <is>
          <t>Formación</t>
        </is>
      </c>
      <c r="H529" s="38" t="n">
        <v>1.93</v>
      </c>
      <c r="I529" s="38" t="n">
        <v>0</v>
      </c>
      <c r="J529" s="36" t="inlineStr">
        <is>
          <t>Costo</t>
        </is>
      </c>
      <c r="K529" s="37" t="inlineStr">
        <is>
          <t>1- M.O. directa</t>
        </is>
      </c>
      <c r="L529" s="37" t="inlineStr">
        <is>
          <t>6- Control de malezas químico</t>
        </is>
      </c>
      <c r="M529" s="37" t="inlineStr">
        <is>
          <t>Operacion predio</t>
        </is>
      </c>
      <c r="N529" s="36" t="inlineStr">
        <is>
          <t>día</t>
        </is>
      </c>
      <c r="O529" s="36" t="inlineStr">
        <is>
          <t>ha</t>
        </is>
      </c>
      <c r="P529" s="39" t="n">
        <v>43500</v>
      </c>
      <c r="Q529" s="40" t="n">
        <v>1.93</v>
      </c>
      <c r="R529" s="39" t="n">
        <v>209887.5</v>
      </c>
      <c r="S529" s="41" t="n">
        <v>0</v>
      </c>
      <c r="T529" s="39" t="n">
        <v>0</v>
      </c>
      <c r="U529" s="39" t="n">
        <v>0</v>
      </c>
      <c r="V529" s="39" t="n">
        <v>0</v>
      </c>
      <c r="W529" s="39" t="n">
        <v>0</v>
      </c>
      <c r="X529" s="39" t="n">
        <v>46.6416666666667</v>
      </c>
      <c r="Y529" s="39" t="n">
        <v>0</v>
      </c>
      <c r="Z529" s="39" t="n">
        <v>46.6416666666667</v>
      </c>
      <c r="AA529" s="39" t="n">
        <v>0</v>
      </c>
      <c r="AB529" s="39" t="n">
        <v>46.6416666666667</v>
      </c>
      <c r="AC529" s="39" t="n">
        <v>0</v>
      </c>
      <c r="AD529" s="39" t="n">
        <v>46.6416666666667</v>
      </c>
      <c r="AE529" s="39" t="n">
        <v>0</v>
      </c>
      <c r="AF529" s="39" t="n">
        <v>46.6416666666667</v>
      </c>
    </row>
    <row r="530" ht="15" customHeight="1" s="176">
      <c r="A530" s="30" t="inlineStr">
        <is>
          <t>P-0527</t>
        </is>
      </c>
      <c r="B530" s="30" t="inlineStr">
        <is>
          <t>2026/27</t>
        </is>
      </c>
      <c r="C530" s="30" t="inlineStr">
        <is>
          <t>Santa Catalina</t>
        </is>
      </c>
      <c r="D530" s="31" t="inlineStr">
        <is>
          <t>eureka 22,55</t>
        </is>
      </c>
      <c r="E530" s="30" t="inlineStr">
        <is>
          <t>Limon</t>
        </is>
      </c>
      <c r="F530" s="30" t="inlineStr">
        <is>
          <t>Eureka</t>
        </is>
      </c>
      <c r="G530" s="30" t="inlineStr">
        <is>
          <t>Producción</t>
        </is>
      </c>
      <c r="H530" s="32" t="n">
        <v>22.55</v>
      </c>
      <c r="I530" s="32" t="n">
        <v>22.55</v>
      </c>
      <c r="J530" s="30" t="inlineStr">
        <is>
          <t>Costo</t>
        </is>
      </c>
      <c r="K530" s="31" t="inlineStr">
        <is>
          <t>1- M.O. directa</t>
        </is>
      </c>
      <c r="L530" s="31" t="inlineStr">
        <is>
          <t>6- Control de malezas químico</t>
        </is>
      </c>
      <c r="M530" s="31" t="inlineStr">
        <is>
          <t>Operacion predio</t>
        </is>
      </c>
      <c r="N530" s="30" t="inlineStr">
        <is>
          <t>día</t>
        </is>
      </c>
      <c r="O530" s="30" t="inlineStr">
        <is>
          <t>ha</t>
        </is>
      </c>
      <c r="P530" s="33" t="n">
        <v>43500</v>
      </c>
      <c r="Q530" s="34" t="n">
        <v>22.55</v>
      </c>
      <c r="R530" s="33" t="n">
        <v>4904625</v>
      </c>
      <c r="S530" s="35" t="n">
        <v>0.00345238095238095</v>
      </c>
      <c r="T530" s="33" t="n">
        <v>3.10714285714286</v>
      </c>
      <c r="U530" s="33" t="n">
        <v>0</v>
      </c>
      <c r="V530" s="33" t="n">
        <v>0</v>
      </c>
      <c r="W530" s="33" t="n">
        <v>0</v>
      </c>
      <c r="X530" s="33" t="n">
        <v>1089.91666666667</v>
      </c>
      <c r="Y530" s="33" t="n">
        <v>0</v>
      </c>
      <c r="Z530" s="33" t="n">
        <v>1089.91666666667</v>
      </c>
      <c r="AA530" s="33" t="n">
        <v>0</v>
      </c>
      <c r="AB530" s="33" t="n">
        <v>1089.91666666667</v>
      </c>
      <c r="AC530" s="33" t="n">
        <v>0</v>
      </c>
      <c r="AD530" s="33" t="n">
        <v>1089.91666666667</v>
      </c>
      <c r="AE530" s="33" t="n">
        <v>0</v>
      </c>
      <c r="AF530" s="33" t="n">
        <v>1089.91666666667</v>
      </c>
    </row>
    <row r="531" ht="15" customHeight="1" s="176">
      <c r="A531" s="36" t="inlineStr">
        <is>
          <t>P-0528</t>
        </is>
      </c>
      <c r="B531" s="36" t="inlineStr">
        <is>
          <t>2026/27</t>
        </is>
      </c>
      <c r="C531" s="36" t="inlineStr">
        <is>
          <t>Santa Catalina</t>
        </is>
      </c>
      <c r="D531" s="37" t="inlineStr">
        <is>
          <t>mant eureka 2,5 ha</t>
        </is>
      </c>
      <c r="E531" s="36" t="inlineStr">
        <is>
          <t>Limon</t>
        </is>
      </c>
      <c r="F531" s="36" t="inlineStr">
        <is>
          <t>Eureka</t>
        </is>
      </c>
      <c r="G531" s="36" t="inlineStr">
        <is>
          <t>Mantención</t>
        </is>
      </c>
      <c r="H531" s="38" t="n">
        <v>2.5</v>
      </c>
      <c r="I531" s="38" t="n">
        <v>0</v>
      </c>
      <c r="J531" s="36" t="inlineStr">
        <is>
          <t>Costo</t>
        </is>
      </c>
      <c r="K531" s="37" t="inlineStr">
        <is>
          <t>1- M.O. directa</t>
        </is>
      </c>
      <c r="L531" s="37" t="inlineStr">
        <is>
          <t>6- Control de malezas químico</t>
        </is>
      </c>
      <c r="M531" s="37" t="inlineStr">
        <is>
          <t>Operacion predio</t>
        </is>
      </c>
      <c r="N531" s="36" t="inlineStr">
        <is>
          <t>día</t>
        </is>
      </c>
      <c r="O531" s="36" t="inlineStr">
        <is>
          <t>ha</t>
        </is>
      </c>
      <c r="P531" s="39" t="n">
        <v>43500</v>
      </c>
      <c r="Q531" s="40" t="n">
        <v>2.5</v>
      </c>
      <c r="R531" s="39" t="n">
        <v>543750</v>
      </c>
      <c r="S531" s="41" t="n">
        <v>0</v>
      </c>
      <c r="T531" s="39" t="n">
        <v>0</v>
      </c>
      <c r="U531" s="39" t="n">
        <v>0</v>
      </c>
      <c r="V531" s="39" t="n">
        <v>0</v>
      </c>
      <c r="W531" s="39" t="n">
        <v>0</v>
      </c>
      <c r="X531" s="39" t="n">
        <v>120.833333333333</v>
      </c>
      <c r="Y531" s="39" t="n">
        <v>0</v>
      </c>
      <c r="Z531" s="39" t="n">
        <v>120.833333333333</v>
      </c>
      <c r="AA531" s="39" t="n">
        <v>0</v>
      </c>
      <c r="AB531" s="39" t="n">
        <v>120.833333333333</v>
      </c>
      <c r="AC531" s="39" t="n">
        <v>0</v>
      </c>
      <c r="AD531" s="39" t="n">
        <v>120.833333333333</v>
      </c>
      <c r="AE531" s="39" t="n">
        <v>0</v>
      </c>
      <c r="AF531" s="39" t="n">
        <v>120.833333333333</v>
      </c>
    </row>
    <row r="532" ht="15" customHeight="1" s="176">
      <c r="A532" s="30" t="inlineStr">
        <is>
          <t>P-0529</t>
        </is>
      </c>
      <c r="B532" s="30" t="inlineStr">
        <is>
          <t>2026/27</t>
        </is>
      </c>
      <c r="C532" s="30" t="inlineStr">
        <is>
          <t>Santa Catalina</t>
        </is>
      </c>
      <c r="D532" s="31" t="inlineStr">
        <is>
          <t>Fino 49 7,7 ha</t>
        </is>
      </c>
      <c r="E532" s="30" t="inlineStr">
        <is>
          <t>Limon</t>
        </is>
      </c>
      <c r="F532" s="30" t="inlineStr">
        <is>
          <t>Fino 49</t>
        </is>
      </c>
      <c r="G532" s="30" t="inlineStr">
        <is>
          <t>Producción</t>
        </is>
      </c>
      <c r="H532" s="32" t="n">
        <v>7.7</v>
      </c>
      <c r="I532" s="32" t="n">
        <v>7.7</v>
      </c>
      <c r="J532" s="30" t="inlineStr">
        <is>
          <t>Costo</t>
        </is>
      </c>
      <c r="K532" s="31" t="inlineStr">
        <is>
          <t>1- M.O. directa</t>
        </is>
      </c>
      <c r="L532" s="31" t="inlineStr">
        <is>
          <t>6- Control de malezas químico</t>
        </is>
      </c>
      <c r="M532" s="31" t="inlineStr">
        <is>
          <t>Operacion predio</t>
        </is>
      </c>
      <c r="N532" s="30" t="inlineStr">
        <is>
          <t>día</t>
        </is>
      </c>
      <c r="O532" s="30" t="inlineStr">
        <is>
          <t>ha</t>
        </is>
      </c>
      <c r="P532" s="33" t="n">
        <v>43500</v>
      </c>
      <c r="Q532" s="34" t="n">
        <v>7.7</v>
      </c>
      <c r="R532" s="33" t="n">
        <v>1674750</v>
      </c>
      <c r="S532" s="35" t="n">
        <v>0.00345238095238095</v>
      </c>
      <c r="T532" s="33" t="n">
        <v>3.10714285714286</v>
      </c>
      <c r="U532" s="33" t="n">
        <v>0</v>
      </c>
      <c r="V532" s="33" t="n">
        <v>0</v>
      </c>
      <c r="W532" s="33" t="n">
        <v>0</v>
      </c>
      <c r="X532" s="33" t="n">
        <v>372.166666666667</v>
      </c>
      <c r="Y532" s="33" t="n">
        <v>0</v>
      </c>
      <c r="Z532" s="33" t="n">
        <v>372.166666666667</v>
      </c>
      <c r="AA532" s="33" t="n">
        <v>0</v>
      </c>
      <c r="AB532" s="33" t="n">
        <v>372.166666666667</v>
      </c>
      <c r="AC532" s="33" t="n">
        <v>0</v>
      </c>
      <c r="AD532" s="33" t="n">
        <v>372.166666666667</v>
      </c>
      <c r="AE532" s="33" t="n">
        <v>0</v>
      </c>
      <c r="AF532" s="33" t="n">
        <v>372.166666666667</v>
      </c>
    </row>
    <row r="533" ht="15" customHeight="1" s="176">
      <c r="A533" s="36" t="inlineStr">
        <is>
          <t>P-0530</t>
        </is>
      </c>
      <c r="B533" s="36" t="inlineStr">
        <is>
          <t>2026/27</t>
        </is>
      </c>
      <c r="C533" s="36" t="inlineStr">
        <is>
          <t>Santa Catalina</t>
        </is>
      </c>
      <c r="D533" s="37" t="inlineStr">
        <is>
          <t>eureka 14,4 ha</t>
        </is>
      </c>
      <c r="E533" s="36" t="inlineStr">
        <is>
          <t>Limon</t>
        </is>
      </c>
      <c r="F533" s="36" t="inlineStr">
        <is>
          <t>Eureka</t>
        </is>
      </c>
      <c r="G533" s="36" t="inlineStr">
        <is>
          <t>Producción</t>
        </is>
      </c>
      <c r="H533" s="38" t="n">
        <v>14.4</v>
      </c>
      <c r="I533" s="38" t="n">
        <v>14.4</v>
      </c>
      <c r="J533" s="36" t="inlineStr">
        <is>
          <t>Costo</t>
        </is>
      </c>
      <c r="K533" s="37" t="inlineStr">
        <is>
          <t>1- M.O. directa</t>
        </is>
      </c>
      <c r="L533" s="37" t="inlineStr">
        <is>
          <t>6- Control de malezas químico</t>
        </is>
      </c>
      <c r="M533" s="37" t="inlineStr">
        <is>
          <t>Operacion predio</t>
        </is>
      </c>
      <c r="N533" s="36" t="inlineStr">
        <is>
          <t>día</t>
        </is>
      </c>
      <c r="O533" s="36" t="inlineStr">
        <is>
          <t>ha</t>
        </is>
      </c>
      <c r="P533" s="39" t="n">
        <v>43500</v>
      </c>
      <c r="Q533" s="40" t="n">
        <v>14.4</v>
      </c>
      <c r="R533" s="39" t="n">
        <v>3132000</v>
      </c>
      <c r="S533" s="41" t="n">
        <v>0.00345238095238095</v>
      </c>
      <c r="T533" s="39" t="n">
        <v>3.10714285714286</v>
      </c>
      <c r="U533" s="39" t="n">
        <v>0</v>
      </c>
      <c r="V533" s="39" t="n">
        <v>0</v>
      </c>
      <c r="W533" s="39" t="n">
        <v>0</v>
      </c>
      <c r="X533" s="39" t="n">
        <v>696</v>
      </c>
      <c r="Y533" s="39" t="n">
        <v>0</v>
      </c>
      <c r="Z533" s="39" t="n">
        <v>696</v>
      </c>
      <c r="AA533" s="39" t="n">
        <v>0</v>
      </c>
      <c r="AB533" s="39" t="n">
        <v>696</v>
      </c>
      <c r="AC533" s="39" t="n">
        <v>0</v>
      </c>
      <c r="AD533" s="39" t="n">
        <v>696</v>
      </c>
      <c r="AE533" s="39" t="n">
        <v>0</v>
      </c>
      <c r="AF533" s="39" t="n">
        <v>696</v>
      </c>
    </row>
    <row r="534" ht="15" customHeight="1" s="176">
      <c r="A534" s="30" t="inlineStr">
        <is>
          <t>P-0531</t>
        </is>
      </c>
      <c r="B534" s="30" t="inlineStr">
        <is>
          <t>2026/27</t>
        </is>
      </c>
      <c r="C534" s="30" t="inlineStr">
        <is>
          <t>Santa Catalina</t>
        </is>
      </c>
      <c r="D534" s="31" t="inlineStr">
        <is>
          <t>eureka 10,6 ha</t>
        </is>
      </c>
      <c r="E534" s="30" t="inlineStr">
        <is>
          <t>Limon</t>
        </is>
      </c>
      <c r="F534" s="30" t="inlineStr">
        <is>
          <t>Eureka</t>
        </is>
      </c>
      <c r="G534" s="30" t="inlineStr">
        <is>
          <t>Producción</t>
        </is>
      </c>
      <c r="H534" s="32" t="n">
        <v>10.6</v>
      </c>
      <c r="I534" s="32" t="n">
        <v>10.6</v>
      </c>
      <c r="J534" s="30" t="inlineStr">
        <is>
          <t>Costo</t>
        </is>
      </c>
      <c r="K534" s="31" t="inlineStr">
        <is>
          <t>1- M.O. directa</t>
        </is>
      </c>
      <c r="L534" s="31" t="inlineStr">
        <is>
          <t>6- Control de malezas químico</t>
        </is>
      </c>
      <c r="M534" s="31" t="inlineStr">
        <is>
          <t>Operacion predio</t>
        </is>
      </c>
      <c r="N534" s="30" t="inlineStr">
        <is>
          <t>día</t>
        </is>
      </c>
      <c r="O534" s="30" t="inlineStr">
        <is>
          <t>ha</t>
        </is>
      </c>
      <c r="P534" s="33" t="n">
        <v>43500</v>
      </c>
      <c r="Q534" s="34" t="n">
        <v>10.6</v>
      </c>
      <c r="R534" s="33" t="n">
        <v>2305500</v>
      </c>
      <c r="S534" s="35" t="n">
        <v>0.00345238095238095</v>
      </c>
      <c r="T534" s="33" t="n">
        <v>3.10714285714286</v>
      </c>
      <c r="U534" s="33" t="n">
        <v>0</v>
      </c>
      <c r="V534" s="33" t="n">
        <v>0</v>
      </c>
      <c r="W534" s="33" t="n">
        <v>0</v>
      </c>
      <c r="X534" s="33" t="n">
        <v>512.333333333333</v>
      </c>
      <c r="Y534" s="33" t="n">
        <v>0</v>
      </c>
      <c r="Z534" s="33" t="n">
        <v>512.333333333333</v>
      </c>
      <c r="AA534" s="33" t="n">
        <v>0</v>
      </c>
      <c r="AB534" s="33" t="n">
        <v>512.333333333333</v>
      </c>
      <c r="AC534" s="33" t="n">
        <v>0</v>
      </c>
      <c r="AD534" s="33" t="n">
        <v>512.333333333333</v>
      </c>
      <c r="AE534" s="33" t="n">
        <v>0</v>
      </c>
      <c r="AF534" s="33" t="n">
        <v>512.333333333333</v>
      </c>
    </row>
    <row r="535" ht="15" customHeight="1" s="176">
      <c r="A535" s="36" t="inlineStr">
        <is>
          <t>P-0532</t>
        </is>
      </c>
      <c r="B535" s="36" t="inlineStr">
        <is>
          <t>2026/27</t>
        </is>
      </c>
      <c r="C535" s="36" t="inlineStr">
        <is>
          <t>Santa Catalina</t>
        </is>
      </c>
      <c r="D535" s="37" t="inlineStr">
        <is>
          <t>form benjamin 1,93 ha</t>
        </is>
      </c>
      <c r="E535" s="36" t="inlineStr">
        <is>
          <t>Limon</t>
        </is>
      </c>
      <c r="F535" s="36" t="inlineStr">
        <is>
          <t>Benjamin andes</t>
        </is>
      </c>
      <c r="G535" s="36" t="inlineStr">
        <is>
          <t>Formación</t>
        </is>
      </c>
      <c r="H535" s="38" t="n">
        <v>1.93</v>
      </c>
      <c r="I535" s="38" t="n">
        <v>0</v>
      </c>
      <c r="J535" s="36" t="inlineStr">
        <is>
          <t>Costo</t>
        </is>
      </c>
      <c r="K535" s="37" t="inlineStr">
        <is>
          <t>4- Otros gastos</t>
        </is>
      </c>
      <c r="L535" s="37" t="inlineStr">
        <is>
          <t>6- GASTOS INDIRECTOS</t>
        </is>
      </c>
      <c r="M535" s="37" t="n"/>
      <c r="N535" s="36" t="n"/>
      <c r="O535" s="36" t="inlineStr">
        <is>
          <t>ha</t>
        </is>
      </c>
      <c r="P535" s="39" t="n">
        <v>62000</v>
      </c>
      <c r="Q535" s="40" t="n">
        <v>1.93</v>
      </c>
      <c r="R535" s="39" t="n">
        <v>1196121.36</v>
      </c>
      <c r="S535" s="41" t="n">
        <v>0</v>
      </c>
      <c r="T535" s="39" t="n">
        <v>0</v>
      </c>
      <c r="U535" s="39" t="n">
        <v>110.751977777778</v>
      </c>
      <c r="V535" s="39" t="n">
        <v>110.751977777778</v>
      </c>
      <c r="W535" s="39" t="n">
        <v>110.751977777778</v>
      </c>
      <c r="X535" s="39" t="n">
        <v>110.751977777778</v>
      </c>
      <c r="Y535" s="39" t="n">
        <v>110.751977777778</v>
      </c>
      <c r="Z535" s="39" t="n">
        <v>110.751977777778</v>
      </c>
      <c r="AA535" s="39" t="n">
        <v>110.751977777778</v>
      </c>
      <c r="AB535" s="39" t="n">
        <v>110.751977777778</v>
      </c>
      <c r="AC535" s="39" t="n">
        <v>110.751977777778</v>
      </c>
      <c r="AD535" s="39" t="n">
        <v>110.751977777778</v>
      </c>
      <c r="AE535" s="39" t="n">
        <v>110.751977777778</v>
      </c>
      <c r="AF535" s="39" t="n">
        <v>110.751977777778</v>
      </c>
    </row>
    <row r="536" ht="15" customHeight="1" s="176">
      <c r="A536" s="30" t="inlineStr">
        <is>
          <t>P-0533</t>
        </is>
      </c>
      <c r="B536" s="30" t="inlineStr">
        <is>
          <t>2026/27</t>
        </is>
      </c>
      <c r="C536" s="30" t="inlineStr">
        <is>
          <t>Santa Catalina</t>
        </is>
      </c>
      <c r="D536" s="31" t="inlineStr">
        <is>
          <t>eureka 22,55</t>
        </is>
      </c>
      <c r="E536" s="30" t="inlineStr">
        <is>
          <t>Limon</t>
        </is>
      </c>
      <c r="F536" s="30" t="inlineStr">
        <is>
          <t>Eureka</t>
        </is>
      </c>
      <c r="G536" s="30" t="inlineStr">
        <is>
          <t>Producción</t>
        </is>
      </c>
      <c r="H536" s="32" t="n">
        <v>22.55</v>
      </c>
      <c r="I536" s="32" t="n">
        <v>22.55</v>
      </c>
      <c r="J536" s="30" t="inlineStr">
        <is>
          <t>Costo</t>
        </is>
      </c>
      <c r="K536" s="31" t="inlineStr">
        <is>
          <t>4- Otros gastos</t>
        </is>
      </c>
      <c r="L536" s="31" t="inlineStr">
        <is>
          <t>6- GASTOS INDIRECTOS</t>
        </is>
      </c>
      <c r="M536" s="31" t="n"/>
      <c r="N536" s="30" t="n"/>
      <c r="O536" s="30" t="inlineStr">
        <is>
          <t>ha</t>
        </is>
      </c>
      <c r="P536" s="33" t="n">
        <v>62000</v>
      </c>
      <c r="Q536" s="34" t="n">
        <v>22.55</v>
      </c>
      <c r="R536" s="33" t="n">
        <v>13975407.6</v>
      </c>
      <c r="S536" s="35" t="n">
        <v>0.00983733333333333</v>
      </c>
      <c r="T536" s="33" t="n">
        <v>8.8536</v>
      </c>
      <c r="U536" s="33" t="n">
        <v>1294.01922222222</v>
      </c>
      <c r="V536" s="33" t="n">
        <v>1294.01922222222</v>
      </c>
      <c r="W536" s="33" t="n">
        <v>1294.01922222222</v>
      </c>
      <c r="X536" s="33" t="n">
        <v>1294.01922222222</v>
      </c>
      <c r="Y536" s="33" t="n">
        <v>1294.01922222222</v>
      </c>
      <c r="Z536" s="33" t="n">
        <v>1294.01922222222</v>
      </c>
      <c r="AA536" s="33" t="n">
        <v>1294.01922222222</v>
      </c>
      <c r="AB536" s="33" t="n">
        <v>1294.01922222222</v>
      </c>
      <c r="AC536" s="33" t="n">
        <v>1294.01922222222</v>
      </c>
      <c r="AD536" s="33" t="n">
        <v>1294.01922222222</v>
      </c>
      <c r="AE536" s="33" t="n">
        <v>1294.01922222222</v>
      </c>
      <c r="AF536" s="33" t="n">
        <v>1294.01922222222</v>
      </c>
    </row>
    <row r="537" ht="15" customHeight="1" s="176">
      <c r="A537" s="36" t="inlineStr">
        <is>
          <t>P-0534</t>
        </is>
      </c>
      <c r="B537" s="36" t="inlineStr">
        <is>
          <t>2026/27</t>
        </is>
      </c>
      <c r="C537" s="36" t="inlineStr">
        <is>
          <t>Santa Catalina</t>
        </is>
      </c>
      <c r="D537" s="37" t="inlineStr">
        <is>
          <t>mant eureka 2,5 ha</t>
        </is>
      </c>
      <c r="E537" s="36" t="inlineStr">
        <is>
          <t>Limon</t>
        </is>
      </c>
      <c r="F537" s="36" t="inlineStr">
        <is>
          <t>Eureka</t>
        </is>
      </c>
      <c r="G537" s="36" t="inlineStr">
        <is>
          <t>Mantención</t>
        </is>
      </c>
      <c r="H537" s="38" t="n">
        <v>2.5</v>
      </c>
      <c r="I537" s="38" t="n">
        <v>0</v>
      </c>
      <c r="J537" s="36" t="inlineStr">
        <is>
          <t>Costo</t>
        </is>
      </c>
      <c r="K537" s="37" t="inlineStr">
        <is>
          <t>4- Otros gastos</t>
        </is>
      </c>
      <c r="L537" s="37" t="inlineStr">
        <is>
          <t>6- GASTOS INDIRECTOS</t>
        </is>
      </c>
      <c r="M537" s="37" t="n"/>
      <c r="N537" s="36" t="n"/>
      <c r="O537" s="36" t="inlineStr">
        <is>
          <t>ha</t>
        </is>
      </c>
      <c r="P537" s="39" t="n">
        <v>62000</v>
      </c>
      <c r="Q537" s="40" t="n">
        <v>2.5</v>
      </c>
      <c r="R537" s="39" t="n">
        <v>1549380</v>
      </c>
      <c r="S537" s="41" t="n">
        <v>0</v>
      </c>
      <c r="T537" s="39" t="n">
        <v>0</v>
      </c>
      <c r="U537" s="39" t="n">
        <v>143.461111111111</v>
      </c>
      <c r="V537" s="39" t="n">
        <v>143.461111111111</v>
      </c>
      <c r="W537" s="39" t="n">
        <v>143.461111111111</v>
      </c>
      <c r="X537" s="39" t="n">
        <v>143.461111111111</v>
      </c>
      <c r="Y537" s="39" t="n">
        <v>143.461111111111</v>
      </c>
      <c r="Z537" s="39" t="n">
        <v>143.461111111111</v>
      </c>
      <c r="AA537" s="39" t="n">
        <v>143.461111111111</v>
      </c>
      <c r="AB537" s="39" t="n">
        <v>143.461111111111</v>
      </c>
      <c r="AC537" s="39" t="n">
        <v>143.461111111111</v>
      </c>
      <c r="AD537" s="39" t="n">
        <v>143.461111111111</v>
      </c>
      <c r="AE537" s="39" t="n">
        <v>143.461111111111</v>
      </c>
      <c r="AF537" s="39" t="n">
        <v>143.461111111111</v>
      </c>
    </row>
    <row r="538" ht="15" customHeight="1" s="176">
      <c r="A538" s="30" t="inlineStr">
        <is>
          <t>P-0535</t>
        </is>
      </c>
      <c r="B538" s="30" t="inlineStr">
        <is>
          <t>2026/27</t>
        </is>
      </c>
      <c r="C538" s="30" t="inlineStr">
        <is>
          <t>Santa Catalina</t>
        </is>
      </c>
      <c r="D538" s="31" t="inlineStr">
        <is>
          <t>Fino 49 7,7 ha</t>
        </is>
      </c>
      <c r="E538" s="30" t="inlineStr">
        <is>
          <t>Limon</t>
        </is>
      </c>
      <c r="F538" s="30" t="inlineStr">
        <is>
          <t>Fino 49</t>
        </is>
      </c>
      <c r="G538" s="30" t="inlineStr">
        <is>
          <t>Producción</t>
        </is>
      </c>
      <c r="H538" s="32" t="n">
        <v>7.7</v>
      </c>
      <c r="I538" s="32" t="n">
        <v>7.7</v>
      </c>
      <c r="J538" s="30" t="inlineStr">
        <is>
          <t>Costo</t>
        </is>
      </c>
      <c r="K538" s="31" t="inlineStr">
        <is>
          <t>4- Otros gastos</t>
        </is>
      </c>
      <c r="L538" s="31" t="inlineStr">
        <is>
          <t>6- GASTOS INDIRECTOS</t>
        </is>
      </c>
      <c r="M538" s="31" t="n"/>
      <c r="N538" s="30" t="n"/>
      <c r="O538" s="30" t="inlineStr">
        <is>
          <t>ha</t>
        </is>
      </c>
      <c r="P538" s="33" t="n">
        <v>62000</v>
      </c>
      <c r="Q538" s="34" t="n">
        <v>7.7</v>
      </c>
      <c r="R538" s="33" t="n">
        <v>4772090.4</v>
      </c>
      <c r="S538" s="35" t="n">
        <v>0.00983733333333333</v>
      </c>
      <c r="T538" s="33" t="n">
        <v>8.8536</v>
      </c>
      <c r="U538" s="33" t="n">
        <v>441.860222222222</v>
      </c>
      <c r="V538" s="33" t="n">
        <v>441.860222222222</v>
      </c>
      <c r="W538" s="33" t="n">
        <v>441.860222222222</v>
      </c>
      <c r="X538" s="33" t="n">
        <v>441.860222222222</v>
      </c>
      <c r="Y538" s="33" t="n">
        <v>441.860222222222</v>
      </c>
      <c r="Z538" s="33" t="n">
        <v>441.860222222222</v>
      </c>
      <c r="AA538" s="33" t="n">
        <v>441.860222222222</v>
      </c>
      <c r="AB538" s="33" t="n">
        <v>441.860222222222</v>
      </c>
      <c r="AC538" s="33" t="n">
        <v>441.860222222222</v>
      </c>
      <c r="AD538" s="33" t="n">
        <v>441.860222222222</v>
      </c>
      <c r="AE538" s="33" t="n">
        <v>441.860222222222</v>
      </c>
      <c r="AF538" s="33" t="n">
        <v>441.860222222222</v>
      </c>
    </row>
    <row r="539" ht="15" customHeight="1" s="176">
      <c r="A539" s="36" t="inlineStr">
        <is>
          <t>P-0536</t>
        </is>
      </c>
      <c r="B539" s="36" t="inlineStr">
        <is>
          <t>2026/27</t>
        </is>
      </c>
      <c r="C539" s="36" t="inlineStr">
        <is>
          <t>Santa Catalina</t>
        </is>
      </c>
      <c r="D539" s="37" t="inlineStr">
        <is>
          <t>eureka 14,4 ha</t>
        </is>
      </c>
      <c r="E539" s="36" t="inlineStr">
        <is>
          <t>Limon</t>
        </is>
      </c>
      <c r="F539" s="36" t="inlineStr">
        <is>
          <t>Eureka</t>
        </is>
      </c>
      <c r="G539" s="36" t="inlineStr">
        <is>
          <t>Producción</t>
        </is>
      </c>
      <c r="H539" s="38" t="n">
        <v>14.4</v>
      </c>
      <c r="I539" s="38" t="n">
        <v>14.4</v>
      </c>
      <c r="J539" s="36" t="inlineStr">
        <is>
          <t>Costo</t>
        </is>
      </c>
      <c r="K539" s="37" t="inlineStr">
        <is>
          <t>4- Otros gastos</t>
        </is>
      </c>
      <c r="L539" s="37" t="inlineStr">
        <is>
          <t>6- GASTOS INDIRECTOS</t>
        </is>
      </c>
      <c r="M539" s="37" t="n"/>
      <c r="N539" s="36" t="n"/>
      <c r="O539" s="36" t="inlineStr">
        <is>
          <t>ha</t>
        </is>
      </c>
      <c r="P539" s="39" t="n">
        <v>62000</v>
      </c>
      <c r="Q539" s="40" t="n">
        <v>14.4</v>
      </c>
      <c r="R539" s="39" t="n">
        <v>8924428.800000001</v>
      </c>
      <c r="S539" s="41" t="n">
        <v>0.00983733333333333</v>
      </c>
      <c r="T539" s="39" t="n">
        <v>8.8536</v>
      </c>
      <c r="U539" s="39" t="n">
        <v>826.336</v>
      </c>
      <c r="V539" s="39" t="n">
        <v>826.336</v>
      </c>
      <c r="W539" s="39" t="n">
        <v>826.336</v>
      </c>
      <c r="X539" s="39" t="n">
        <v>826.336</v>
      </c>
      <c r="Y539" s="39" t="n">
        <v>826.336</v>
      </c>
      <c r="Z539" s="39" t="n">
        <v>826.336</v>
      </c>
      <c r="AA539" s="39" t="n">
        <v>826.336</v>
      </c>
      <c r="AB539" s="39" t="n">
        <v>826.336</v>
      </c>
      <c r="AC539" s="39" t="n">
        <v>826.336</v>
      </c>
      <c r="AD539" s="39" t="n">
        <v>826.336</v>
      </c>
      <c r="AE539" s="39" t="n">
        <v>826.336</v>
      </c>
      <c r="AF539" s="39" t="n">
        <v>826.336</v>
      </c>
    </row>
    <row r="540" ht="15" customHeight="1" s="176">
      <c r="A540" s="30" t="inlineStr">
        <is>
          <t>P-0537</t>
        </is>
      </c>
      <c r="B540" s="30" t="inlineStr">
        <is>
          <t>2026/27</t>
        </is>
      </c>
      <c r="C540" s="30" t="inlineStr">
        <is>
          <t>Santa Catalina</t>
        </is>
      </c>
      <c r="D540" s="31" t="inlineStr">
        <is>
          <t>eureka 10,6 ha</t>
        </is>
      </c>
      <c r="E540" s="30" t="inlineStr">
        <is>
          <t>Limon</t>
        </is>
      </c>
      <c r="F540" s="30" t="inlineStr">
        <is>
          <t>Eureka</t>
        </is>
      </c>
      <c r="G540" s="30" t="inlineStr">
        <is>
          <t>Producción</t>
        </is>
      </c>
      <c r="H540" s="32" t="n">
        <v>10.6</v>
      </c>
      <c r="I540" s="32" t="n">
        <v>10.6</v>
      </c>
      <c r="J540" s="30" t="inlineStr">
        <is>
          <t>Costo</t>
        </is>
      </c>
      <c r="K540" s="31" t="inlineStr">
        <is>
          <t>4- Otros gastos</t>
        </is>
      </c>
      <c r="L540" s="31" t="inlineStr">
        <is>
          <t>6- GASTOS INDIRECTOS</t>
        </is>
      </c>
      <c r="M540" s="31" t="n"/>
      <c r="N540" s="30" t="n"/>
      <c r="O540" s="30" t="inlineStr">
        <is>
          <t>ha</t>
        </is>
      </c>
      <c r="P540" s="33" t="n">
        <v>62000</v>
      </c>
      <c r="Q540" s="34" t="n">
        <v>10.6</v>
      </c>
      <c r="R540" s="33" t="n">
        <v>6569371.2</v>
      </c>
      <c r="S540" s="35" t="n">
        <v>0.00983733333333333</v>
      </c>
      <c r="T540" s="33" t="n">
        <v>8.8536</v>
      </c>
      <c r="U540" s="33" t="n">
        <v>608.275111111111</v>
      </c>
      <c r="V540" s="33" t="n">
        <v>608.275111111111</v>
      </c>
      <c r="W540" s="33" t="n">
        <v>608.275111111111</v>
      </c>
      <c r="X540" s="33" t="n">
        <v>608.275111111111</v>
      </c>
      <c r="Y540" s="33" t="n">
        <v>608.275111111111</v>
      </c>
      <c r="Z540" s="33" t="n">
        <v>608.275111111111</v>
      </c>
      <c r="AA540" s="33" t="n">
        <v>608.275111111111</v>
      </c>
      <c r="AB540" s="33" t="n">
        <v>608.275111111111</v>
      </c>
      <c r="AC540" s="33" t="n">
        <v>608.275111111111</v>
      </c>
      <c r="AD540" s="33" t="n">
        <v>608.275111111111</v>
      </c>
      <c r="AE540" s="33" t="n">
        <v>608.275111111111</v>
      </c>
      <c r="AF540" s="33" t="n">
        <v>608.275111111111</v>
      </c>
    </row>
    <row r="541" ht="15" customHeight="1" s="176">
      <c r="A541" s="36" t="inlineStr">
        <is>
          <t>P-0538</t>
        </is>
      </c>
      <c r="B541" s="36" t="inlineStr">
        <is>
          <t>2026/27</t>
        </is>
      </c>
      <c r="C541" s="36" t="inlineStr">
        <is>
          <t>Santa Catalina</t>
        </is>
      </c>
      <c r="D541" s="37" t="inlineStr">
        <is>
          <t>form benjamin 1,93 ha</t>
        </is>
      </c>
      <c r="E541" s="36" t="inlineStr">
        <is>
          <t>Limon</t>
        </is>
      </c>
      <c r="F541" s="36" t="inlineStr">
        <is>
          <t>Benjamin andes</t>
        </is>
      </c>
      <c r="G541" s="36" t="inlineStr">
        <is>
          <t>Formación</t>
        </is>
      </c>
      <c r="H541" s="38" t="n">
        <v>1.93</v>
      </c>
      <c r="I541" s="38" t="n">
        <v>0</v>
      </c>
      <c r="J541" s="36" t="inlineStr">
        <is>
          <t>Costo</t>
        </is>
      </c>
      <c r="K541" s="37" t="inlineStr">
        <is>
          <t>1- M.O. directa</t>
        </is>
      </c>
      <c r="L541" s="37" t="inlineStr">
        <is>
          <t>7- Acordonar sarmiento</t>
        </is>
      </c>
      <c r="M541" s="37" t="n"/>
      <c r="N541" s="36" t="inlineStr">
        <is>
          <t>trato</t>
        </is>
      </c>
      <c r="O541" s="36" t="inlineStr">
        <is>
          <t>plt</t>
        </is>
      </c>
      <c r="P541" s="39" t="n">
        <v>70</v>
      </c>
      <c r="Q541" s="40" t="n">
        <v>804.8099999999999</v>
      </c>
      <c r="R541" s="39" t="n">
        <v>0</v>
      </c>
      <c r="S541" s="41" t="n">
        <v>0</v>
      </c>
      <c r="T541" s="39" t="n">
        <v>0</v>
      </c>
      <c r="U541" s="39" t="n">
        <v>0</v>
      </c>
      <c r="V541" s="39" t="n">
        <v>0</v>
      </c>
      <c r="W541" s="39" t="n">
        <v>0</v>
      </c>
      <c r="X541" s="39" t="n">
        <v>0</v>
      </c>
      <c r="Y541" s="39" t="n">
        <v>0</v>
      </c>
      <c r="Z541" s="39" t="n">
        <v>0</v>
      </c>
      <c r="AA541" s="39" t="n">
        <v>0</v>
      </c>
      <c r="AB541" s="39" t="n">
        <v>0</v>
      </c>
      <c r="AC541" s="39" t="n">
        <v>0</v>
      </c>
      <c r="AD541" s="39" t="n">
        <v>0</v>
      </c>
      <c r="AE541" s="39" t="n">
        <v>0</v>
      </c>
      <c r="AF541" s="39" t="n">
        <v>0</v>
      </c>
    </row>
    <row r="542" ht="15" customHeight="1" s="176">
      <c r="A542" s="30" t="inlineStr">
        <is>
          <t>P-0539</t>
        </is>
      </c>
      <c r="B542" s="30" t="inlineStr">
        <is>
          <t>2026/27</t>
        </is>
      </c>
      <c r="C542" s="30" t="inlineStr">
        <is>
          <t>Santa Catalina</t>
        </is>
      </c>
      <c r="D542" s="31" t="inlineStr">
        <is>
          <t>eureka 22,55</t>
        </is>
      </c>
      <c r="E542" s="30" t="inlineStr">
        <is>
          <t>Limon</t>
        </is>
      </c>
      <c r="F542" s="30" t="inlineStr">
        <is>
          <t>Eureka</t>
        </is>
      </c>
      <c r="G542" s="30" t="inlineStr">
        <is>
          <t>Producción</t>
        </is>
      </c>
      <c r="H542" s="32" t="n">
        <v>22.55</v>
      </c>
      <c r="I542" s="32" t="n">
        <v>22.55</v>
      </c>
      <c r="J542" s="30" t="inlineStr">
        <is>
          <t>Costo</t>
        </is>
      </c>
      <c r="K542" s="31" t="inlineStr">
        <is>
          <t>1- M.O. directa</t>
        </is>
      </c>
      <c r="L542" s="31" t="inlineStr">
        <is>
          <t>7- Acordonar sarmiento</t>
        </is>
      </c>
      <c r="M542" s="31" t="n"/>
      <c r="N542" s="30" t="inlineStr">
        <is>
          <t>trato</t>
        </is>
      </c>
      <c r="O542" s="30" t="inlineStr">
        <is>
          <t>plt</t>
        </is>
      </c>
      <c r="P542" s="33" t="n">
        <v>70</v>
      </c>
      <c r="Q542" s="34" t="n">
        <v>9403.35</v>
      </c>
      <c r="R542" s="33" t="n">
        <v>658234.5</v>
      </c>
      <c r="S542" s="35" t="n">
        <v>0.000463333333333333</v>
      </c>
      <c r="T542" s="33" t="n">
        <v>0.417</v>
      </c>
      <c r="U542" s="33" t="n">
        <v>0</v>
      </c>
      <c r="V542" s="33" t="n">
        <v>0</v>
      </c>
      <c r="W542" s="33" t="n">
        <v>365.685833333333</v>
      </c>
      <c r="X542" s="33" t="n">
        <v>365.685833333333</v>
      </c>
      <c r="Y542" s="33" t="n">
        <v>0</v>
      </c>
      <c r="Z542" s="33" t="n">
        <v>0</v>
      </c>
      <c r="AA542" s="33" t="n">
        <v>0</v>
      </c>
      <c r="AB542" s="33" t="n">
        <v>0</v>
      </c>
      <c r="AC542" s="33" t="n">
        <v>0</v>
      </c>
      <c r="AD542" s="33" t="n">
        <v>0</v>
      </c>
      <c r="AE542" s="33" t="n">
        <v>0</v>
      </c>
      <c r="AF542" s="33" t="n">
        <v>0</v>
      </c>
    </row>
    <row r="543" ht="15" customHeight="1" s="176">
      <c r="A543" s="36" t="inlineStr">
        <is>
          <t>P-0540</t>
        </is>
      </c>
      <c r="B543" s="36" t="inlineStr">
        <is>
          <t>2026/27</t>
        </is>
      </c>
      <c r="C543" s="36" t="inlineStr">
        <is>
          <t>Santa Catalina</t>
        </is>
      </c>
      <c r="D543" s="37" t="inlineStr">
        <is>
          <t>mant eureka 2,5 ha</t>
        </is>
      </c>
      <c r="E543" s="36" t="inlineStr">
        <is>
          <t>Limon</t>
        </is>
      </c>
      <c r="F543" s="36" t="inlineStr">
        <is>
          <t>Eureka</t>
        </is>
      </c>
      <c r="G543" s="36" t="inlineStr">
        <is>
          <t>Mantención</t>
        </is>
      </c>
      <c r="H543" s="38" t="n">
        <v>2.5</v>
      </c>
      <c r="I543" s="38" t="n">
        <v>0</v>
      </c>
      <c r="J543" s="36" t="inlineStr">
        <is>
          <t>Costo</t>
        </is>
      </c>
      <c r="K543" s="37" t="inlineStr">
        <is>
          <t>1- M.O. directa</t>
        </is>
      </c>
      <c r="L543" s="37" t="inlineStr">
        <is>
          <t>7- Acordonar sarmiento</t>
        </is>
      </c>
      <c r="M543" s="37" t="n"/>
      <c r="N543" s="36" t="inlineStr">
        <is>
          <t>trato</t>
        </is>
      </c>
      <c r="O543" s="36" t="inlineStr">
        <is>
          <t>plt</t>
        </is>
      </c>
      <c r="P543" s="39" t="n">
        <v>70</v>
      </c>
      <c r="Q543" s="40" t="n">
        <v>1042.5</v>
      </c>
      <c r="R543" s="39" t="n">
        <v>72975</v>
      </c>
      <c r="S543" s="41" t="n">
        <v>0</v>
      </c>
      <c r="T543" s="39" t="n">
        <v>0</v>
      </c>
      <c r="U543" s="39" t="n">
        <v>0</v>
      </c>
      <c r="V543" s="39" t="n">
        <v>0</v>
      </c>
      <c r="W543" s="39" t="n">
        <v>40.5416666666667</v>
      </c>
      <c r="X543" s="39" t="n">
        <v>40.5416666666667</v>
      </c>
      <c r="Y543" s="39" t="n">
        <v>0</v>
      </c>
      <c r="Z543" s="39" t="n">
        <v>0</v>
      </c>
      <c r="AA543" s="39" t="n">
        <v>0</v>
      </c>
      <c r="AB543" s="39" t="n">
        <v>0</v>
      </c>
      <c r="AC543" s="39" t="n">
        <v>0</v>
      </c>
      <c r="AD543" s="39" t="n">
        <v>0</v>
      </c>
      <c r="AE543" s="39" t="n">
        <v>0</v>
      </c>
      <c r="AF543" s="39" t="n">
        <v>0</v>
      </c>
    </row>
    <row r="544" ht="15" customHeight="1" s="176">
      <c r="A544" s="30" t="inlineStr">
        <is>
          <t>P-0541</t>
        </is>
      </c>
      <c r="B544" s="30" t="inlineStr">
        <is>
          <t>2026/27</t>
        </is>
      </c>
      <c r="C544" s="30" t="inlineStr">
        <is>
          <t>Santa Catalina</t>
        </is>
      </c>
      <c r="D544" s="31" t="inlineStr">
        <is>
          <t>Fino 49 7,7 ha</t>
        </is>
      </c>
      <c r="E544" s="30" t="inlineStr">
        <is>
          <t>Limon</t>
        </is>
      </c>
      <c r="F544" s="30" t="inlineStr">
        <is>
          <t>Fino 49</t>
        </is>
      </c>
      <c r="G544" s="30" t="inlineStr">
        <is>
          <t>Producción</t>
        </is>
      </c>
      <c r="H544" s="32" t="n">
        <v>7.7</v>
      </c>
      <c r="I544" s="32" t="n">
        <v>7.7</v>
      </c>
      <c r="J544" s="30" t="inlineStr">
        <is>
          <t>Costo</t>
        </is>
      </c>
      <c r="K544" s="31" t="inlineStr">
        <is>
          <t>1- M.O. directa</t>
        </is>
      </c>
      <c r="L544" s="31" t="inlineStr">
        <is>
          <t>7- Acordonar sarmiento</t>
        </is>
      </c>
      <c r="M544" s="31" t="n"/>
      <c r="N544" s="30" t="inlineStr">
        <is>
          <t>trato</t>
        </is>
      </c>
      <c r="O544" s="30" t="inlineStr">
        <is>
          <t>plt</t>
        </is>
      </c>
      <c r="P544" s="33" t="n">
        <v>70</v>
      </c>
      <c r="Q544" s="34" t="n">
        <v>3210.9</v>
      </c>
      <c r="R544" s="33" t="n">
        <v>224763</v>
      </c>
      <c r="S544" s="35" t="n">
        <v>0.000463333333333333</v>
      </c>
      <c r="T544" s="33" t="n">
        <v>0.417</v>
      </c>
      <c r="U544" s="33" t="n">
        <v>0</v>
      </c>
      <c r="V544" s="33" t="n">
        <v>0</v>
      </c>
      <c r="W544" s="33" t="n">
        <v>124.868333333333</v>
      </c>
      <c r="X544" s="33" t="n">
        <v>124.868333333333</v>
      </c>
      <c r="Y544" s="33" t="n">
        <v>0</v>
      </c>
      <c r="Z544" s="33" t="n">
        <v>0</v>
      </c>
      <c r="AA544" s="33" t="n">
        <v>0</v>
      </c>
      <c r="AB544" s="33" t="n">
        <v>0</v>
      </c>
      <c r="AC544" s="33" t="n">
        <v>0</v>
      </c>
      <c r="AD544" s="33" t="n">
        <v>0</v>
      </c>
      <c r="AE544" s="33" t="n">
        <v>0</v>
      </c>
      <c r="AF544" s="33" t="n">
        <v>0</v>
      </c>
    </row>
    <row r="545" ht="15" customHeight="1" s="176">
      <c r="A545" s="36" t="inlineStr">
        <is>
          <t>P-0542</t>
        </is>
      </c>
      <c r="B545" s="36" t="inlineStr">
        <is>
          <t>2026/27</t>
        </is>
      </c>
      <c r="C545" s="36" t="inlineStr">
        <is>
          <t>Santa Catalina</t>
        </is>
      </c>
      <c r="D545" s="37" t="inlineStr">
        <is>
          <t>eureka 14,4 ha</t>
        </is>
      </c>
      <c r="E545" s="36" t="inlineStr">
        <is>
          <t>Limon</t>
        </is>
      </c>
      <c r="F545" s="36" t="inlineStr">
        <is>
          <t>Eureka</t>
        </is>
      </c>
      <c r="G545" s="36" t="inlineStr">
        <is>
          <t>Producción</t>
        </is>
      </c>
      <c r="H545" s="38" t="n">
        <v>14.4</v>
      </c>
      <c r="I545" s="38" t="n">
        <v>14.4</v>
      </c>
      <c r="J545" s="36" t="inlineStr">
        <is>
          <t>Costo</t>
        </is>
      </c>
      <c r="K545" s="37" t="inlineStr">
        <is>
          <t>1- M.O. directa</t>
        </is>
      </c>
      <c r="L545" s="37" t="inlineStr">
        <is>
          <t>7- Acordonar sarmiento</t>
        </is>
      </c>
      <c r="M545" s="37" t="n"/>
      <c r="N545" s="36" t="inlineStr">
        <is>
          <t>trato</t>
        </is>
      </c>
      <c r="O545" s="36" t="inlineStr">
        <is>
          <t>plt</t>
        </is>
      </c>
      <c r="P545" s="39" t="n">
        <v>70</v>
      </c>
      <c r="Q545" s="40" t="n">
        <v>6004.8</v>
      </c>
      <c r="R545" s="39" t="n">
        <v>420336</v>
      </c>
      <c r="S545" s="41" t="n">
        <v>0.000463333333333333</v>
      </c>
      <c r="T545" s="39" t="n">
        <v>0.417</v>
      </c>
      <c r="U545" s="39" t="n">
        <v>0</v>
      </c>
      <c r="V545" s="39" t="n">
        <v>0</v>
      </c>
      <c r="W545" s="39" t="n">
        <v>233.52</v>
      </c>
      <c r="X545" s="39" t="n">
        <v>233.52</v>
      </c>
      <c r="Y545" s="39" t="n">
        <v>0</v>
      </c>
      <c r="Z545" s="39" t="n">
        <v>0</v>
      </c>
      <c r="AA545" s="39" t="n">
        <v>0</v>
      </c>
      <c r="AB545" s="39" t="n">
        <v>0</v>
      </c>
      <c r="AC545" s="39" t="n">
        <v>0</v>
      </c>
      <c r="AD545" s="39" t="n">
        <v>0</v>
      </c>
      <c r="AE545" s="39" t="n">
        <v>0</v>
      </c>
      <c r="AF545" s="39" t="n">
        <v>0</v>
      </c>
    </row>
    <row r="546" ht="15" customHeight="1" s="176">
      <c r="A546" s="30" t="inlineStr">
        <is>
          <t>P-0543</t>
        </is>
      </c>
      <c r="B546" s="30" t="inlineStr">
        <is>
          <t>2026/27</t>
        </is>
      </c>
      <c r="C546" s="30" t="inlineStr">
        <is>
          <t>Santa Catalina</t>
        </is>
      </c>
      <c r="D546" s="31" t="inlineStr">
        <is>
          <t>eureka 10,6 ha</t>
        </is>
      </c>
      <c r="E546" s="30" t="inlineStr">
        <is>
          <t>Limon</t>
        </is>
      </c>
      <c r="F546" s="30" t="inlineStr">
        <is>
          <t>Eureka</t>
        </is>
      </c>
      <c r="G546" s="30" t="inlineStr">
        <is>
          <t>Producción</t>
        </is>
      </c>
      <c r="H546" s="32" t="n">
        <v>10.6</v>
      </c>
      <c r="I546" s="32" t="n">
        <v>10.6</v>
      </c>
      <c r="J546" s="30" t="inlineStr">
        <is>
          <t>Costo</t>
        </is>
      </c>
      <c r="K546" s="31" t="inlineStr">
        <is>
          <t>1- M.O. directa</t>
        </is>
      </c>
      <c r="L546" s="31" t="inlineStr">
        <is>
          <t>7- Acordonar sarmiento</t>
        </is>
      </c>
      <c r="M546" s="31" t="n"/>
      <c r="N546" s="30" t="inlineStr">
        <is>
          <t>trato</t>
        </is>
      </c>
      <c r="O546" s="30" t="inlineStr">
        <is>
          <t>plt</t>
        </is>
      </c>
      <c r="P546" s="33" t="n">
        <v>70</v>
      </c>
      <c r="Q546" s="34" t="n">
        <v>4420.2</v>
      </c>
      <c r="R546" s="33" t="n">
        <v>309414</v>
      </c>
      <c r="S546" s="35" t="n">
        <v>0.000463333333333333</v>
      </c>
      <c r="T546" s="33" t="n">
        <v>0.417</v>
      </c>
      <c r="U546" s="33" t="n">
        <v>0</v>
      </c>
      <c r="V546" s="33" t="n">
        <v>0</v>
      </c>
      <c r="W546" s="33" t="n">
        <v>171.896666666667</v>
      </c>
      <c r="X546" s="33" t="n">
        <v>171.896666666667</v>
      </c>
      <c r="Y546" s="33" t="n">
        <v>0</v>
      </c>
      <c r="Z546" s="33" t="n">
        <v>0</v>
      </c>
      <c r="AA546" s="33" t="n">
        <v>0</v>
      </c>
      <c r="AB546" s="33" t="n">
        <v>0</v>
      </c>
      <c r="AC546" s="33" t="n">
        <v>0</v>
      </c>
      <c r="AD546" s="33" t="n">
        <v>0</v>
      </c>
      <c r="AE546" s="33" t="n">
        <v>0</v>
      </c>
      <c r="AF546" s="33" t="n">
        <v>0</v>
      </c>
    </row>
    <row r="547" ht="15" customHeight="1" s="176">
      <c r="A547" s="36" t="inlineStr">
        <is>
          <t>P-0544</t>
        </is>
      </c>
      <c r="B547" s="36" t="inlineStr">
        <is>
          <t>2026/27</t>
        </is>
      </c>
      <c r="C547" s="36" t="inlineStr">
        <is>
          <t>Santa Catalina</t>
        </is>
      </c>
      <c r="D547" s="37" t="inlineStr">
        <is>
          <t>form benjamin 1,93 ha</t>
        </is>
      </c>
      <c r="E547" s="36" t="inlineStr">
        <is>
          <t>Limon</t>
        </is>
      </c>
      <c r="F547" s="36" t="inlineStr">
        <is>
          <t>Benjamin andes</t>
        </is>
      </c>
      <c r="G547" s="36" t="inlineStr">
        <is>
          <t>Formación</t>
        </is>
      </c>
      <c r="H547" s="38" t="n">
        <v>1.93</v>
      </c>
      <c r="I547" s="38" t="n">
        <v>0</v>
      </c>
      <c r="J547" s="36" t="inlineStr">
        <is>
          <t>Costo</t>
        </is>
      </c>
      <c r="K547" s="37" t="inlineStr">
        <is>
          <t>4- Otros gastos</t>
        </is>
      </c>
      <c r="L547" s="37" t="inlineStr">
        <is>
          <t>7- GASTOS DE ADMINISTRACION</t>
        </is>
      </c>
      <c r="M547" s="37" t="n"/>
      <c r="N547" s="36" t="n"/>
      <c r="O547" s="36" t="inlineStr">
        <is>
          <t>ha</t>
        </is>
      </c>
      <c r="P547" s="39" t="n">
        <v>27673</v>
      </c>
      <c r="Q547" s="40" t="n">
        <v>1.93</v>
      </c>
      <c r="R547" s="39" t="n">
        <v>192272.004</v>
      </c>
      <c r="S547" s="41" t="n">
        <v>0</v>
      </c>
      <c r="T547" s="39" t="n">
        <v>0</v>
      </c>
      <c r="U547" s="39" t="n">
        <v>17.8029633333333</v>
      </c>
      <c r="V547" s="39" t="n">
        <v>17.8029633333333</v>
      </c>
      <c r="W547" s="39" t="n">
        <v>17.8029633333333</v>
      </c>
      <c r="X547" s="39" t="n">
        <v>17.8029633333333</v>
      </c>
      <c r="Y547" s="39" t="n">
        <v>17.8029633333333</v>
      </c>
      <c r="Z547" s="39" t="n">
        <v>17.8029633333333</v>
      </c>
      <c r="AA547" s="39" t="n">
        <v>17.8029633333333</v>
      </c>
      <c r="AB547" s="39" t="n">
        <v>17.8029633333333</v>
      </c>
      <c r="AC547" s="39" t="n">
        <v>17.8029633333333</v>
      </c>
      <c r="AD547" s="39" t="n">
        <v>17.8029633333333</v>
      </c>
      <c r="AE547" s="39" t="n">
        <v>17.8029633333333</v>
      </c>
      <c r="AF547" s="39" t="n">
        <v>17.8029633333333</v>
      </c>
    </row>
    <row r="548" ht="15" customHeight="1" s="176">
      <c r="A548" s="30" t="inlineStr">
        <is>
          <t>P-0545</t>
        </is>
      </c>
      <c r="B548" s="30" t="inlineStr">
        <is>
          <t>2026/27</t>
        </is>
      </c>
      <c r="C548" s="30" t="inlineStr">
        <is>
          <t>Santa Catalina</t>
        </is>
      </c>
      <c r="D548" s="31" t="inlineStr">
        <is>
          <t>eureka 22,55</t>
        </is>
      </c>
      <c r="E548" s="30" t="inlineStr">
        <is>
          <t>Limon</t>
        </is>
      </c>
      <c r="F548" s="30" t="inlineStr">
        <is>
          <t>Eureka</t>
        </is>
      </c>
      <c r="G548" s="30" t="inlineStr">
        <is>
          <t>Producción</t>
        </is>
      </c>
      <c r="H548" s="32" t="n">
        <v>22.55</v>
      </c>
      <c r="I548" s="32" t="n">
        <v>22.55</v>
      </c>
      <c r="J548" s="30" t="inlineStr">
        <is>
          <t>Costo</t>
        </is>
      </c>
      <c r="K548" s="31" t="inlineStr">
        <is>
          <t>4- Otros gastos</t>
        </is>
      </c>
      <c r="L548" s="31" t="inlineStr">
        <is>
          <t>7- GASTOS DE ADMINISTRACION</t>
        </is>
      </c>
      <c r="M548" s="31" t="n"/>
      <c r="N548" s="30" t="n"/>
      <c r="O548" s="30" t="inlineStr">
        <is>
          <t>ha</t>
        </is>
      </c>
      <c r="P548" s="33" t="n">
        <v>27673</v>
      </c>
      <c r="Q548" s="34" t="n">
        <v>22.55</v>
      </c>
      <c r="R548" s="33" t="n">
        <v>6237765.3954</v>
      </c>
      <c r="S548" s="35" t="n">
        <v>0.00439078266666667</v>
      </c>
      <c r="T548" s="33" t="n">
        <v>3.9517044</v>
      </c>
      <c r="U548" s="33" t="n">
        <v>577.570869944444</v>
      </c>
      <c r="V548" s="33" t="n">
        <v>577.570869944444</v>
      </c>
      <c r="W548" s="33" t="n">
        <v>577.570869944444</v>
      </c>
      <c r="X548" s="33" t="n">
        <v>577.570869944444</v>
      </c>
      <c r="Y548" s="33" t="n">
        <v>577.570869944444</v>
      </c>
      <c r="Z548" s="33" t="n">
        <v>577.570869944444</v>
      </c>
      <c r="AA548" s="33" t="n">
        <v>577.570869944444</v>
      </c>
      <c r="AB548" s="33" t="n">
        <v>577.570869944444</v>
      </c>
      <c r="AC548" s="33" t="n">
        <v>577.570869944444</v>
      </c>
      <c r="AD548" s="33" t="n">
        <v>577.570869944444</v>
      </c>
      <c r="AE548" s="33" t="n">
        <v>577.570869944444</v>
      </c>
      <c r="AF548" s="33" t="n">
        <v>577.570869944444</v>
      </c>
    </row>
    <row r="549" ht="15" customHeight="1" s="176">
      <c r="A549" s="36" t="inlineStr">
        <is>
          <t>P-0546</t>
        </is>
      </c>
      <c r="B549" s="36" t="inlineStr">
        <is>
          <t>2026/27</t>
        </is>
      </c>
      <c r="C549" s="36" t="inlineStr">
        <is>
          <t>Santa Catalina</t>
        </is>
      </c>
      <c r="D549" s="37" t="inlineStr">
        <is>
          <t>mant eureka 2,5 ha</t>
        </is>
      </c>
      <c r="E549" s="36" t="inlineStr">
        <is>
          <t>Limon</t>
        </is>
      </c>
      <c r="F549" s="36" t="inlineStr">
        <is>
          <t>Eureka</t>
        </is>
      </c>
      <c r="G549" s="36" t="inlineStr">
        <is>
          <t>Mantención</t>
        </is>
      </c>
      <c r="H549" s="38" t="n">
        <v>2.5</v>
      </c>
      <c r="I549" s="38" t="n">
        <v>0</v>
      </c>
      <c r="J549" s="36" t="inlineStr">
        <is>
          <t>Costo</t>
        </is>
      </c>
      <c r="K549" s="37" t="inlineStr">
        <is>
          <t>4- Otros gastos</t>
        </is>
      </c>
      <c r="L549" s="37" t="inlineStr">
        <is>
          <t>7- GASTOS DE ADMINISTRACION</t>
        </is>
      </c>
      <c r="M549" s="37" t="n"/>
      <c r="N549" s="36" t="n"/>
      <c r="O549" s="36" t="inlineStr">
        <is>
          <t>ha</t>
        </is>
      </c>
      <c r="P549" s="39" t="n">
        <v>27673</v>
      </c>
      <c r="Q549" s="40" t="n">
        <v>2.5</v>
      </c>
      <c r="R549" s="39" t="n">
        <v>691548.27</v>
      </c>
      <c r="S549" s="41" t="n">
        <v>0</v>
      </c>
      <c r="T549" s="39" t="n">
        <v>0</v>
      </c>
      <c r="U549" s="39" t="n">
        <v>64.0322472222222</v>
      </c>
      <c r="V549" s="39" t="n">
        <v>64.0322472222222</v>
      </c>
      <c r="W549" s="39" t="n">
        <v>64.0322472222222</v>
      </c>
      <c r="X549" s="39" t="n">
        <v>64.0322472222222</v>
      </c>
      <c r="Y549" s="39" t="n">
        <v>64.0322472222222</v>
      </c>
      <c r="Z549" s="39" t="n">
        <v>64.0322472222222</v>
      </c>
      <c r="AA549" s="39" t="n">
        <v>64.0322472222222</v>
      </c>
      <c r="AB549" s="39" t="n">
        <v>64.0322472222222</v>
      </c>
      <c r="AC549" s="39" t="n">
        <v>64.0322472222222</v>
      </c>
      <c r="AD549" s="39" t="n">
        <v>64.0322472222222</v>
      </c>
      <c r="AE549" s="39" t="n">
        <v>64.0322472222222</v>
      </c>
      <c r="AF549" s="39" t="n">
        <v>64.0322472222222</v>
      </c>
    </row>
    <row r="550" ht="15" customHeight="1" s="176">
      <c r="A550" s="30" t="inlineStr">
        <is>
          <t>P-0547</t>
        </is>
      </c>
      <c r="B550" s="30" t="inlineStr">
        <is>
          <t>2026/27</t>
        </is>
      </c>
      <c r="C550" s="30" t="inlineStr">
        <is>
          <t>Santa Catalina</t>
        </is>
      </c>
      <c r="D550" s="31" t="inlineStr">
        <is>
          <t>Fino 49 7,7 ha</t>
        </is>
      </c>
      <c r="E550" s="30" t="inlineStr">
        <is>
          <t>Limon</t>
        </is>
      </c>
      <c r="F550" s="30" t="inlineStr">
        <is>
          <t>Fino 49</t>
        </is>
      </c>
      <c r="G550" s="30" t="inlineStr">
        <is>
          <t>Producción</t>
        </is>
      </c>
      <c r="H550" s="32" t="n">
        <v>7.7</v>
      </c>
      <c r="I550" s="32" t="n">
        <v>7.7</v>
      </c>
      <c r="J550" s="30" t="inlineStr">
        <is>
          <t>Costo</t>
        </is>
      </c>
      <c r="K550" s="31" t="inlineStr">
        <is>
          <t>4- Otros gastos</t>
        </is>
      </c>
      <c r="L550" s="31" t="inlineStr">
        <is>
          <t>7- GASTOS DE ADMINISTRACION</t>
        </is>
      </c>
      <c r="M550" s="31" t="n"/>
      <c r="N550" s="30" t="n"/>
      <c r="O550" s="30" t="inlineStr">
        <is>
          <t>ha</t>
        </is>
      </c>
      <c r="P550" s="33" t="n">
        <v>27673</v>
      </c>
      <c r="Q550" s="34" t="n">
        <v>7.7</v>
      </c>
      <c r="R550" s="33" t="n">
        <v>2129968.6716</v>
      </c>
      <c r="S550" s="35" t="n">
        <v>0.00439078266666667</v>
      </c>
      <c r="T550" s="33" t="n">
        <v>3.9517044</v>
      </c>
      <c r="U550" s="33" t="n">
        <v>197.219321444445</v>
      </c>
      <c r="V550" s="33" t="n">
        <v>197.219321444445</v>
      </c>
      <c r="W550" s="33" t="n">
        <v>197.219321444445</v>
      </c>
      <c r="X550" s="33" t="n">
        <v>197.219321444445</v>
      </c>
      <c r="Y550" s="33" t="n">
        <v>197.219321444445</v>
      </c>
      <c r="Z550" s="33" t="n">
        <v>197.219321444445</v>
      </c>
      <c r="AA550" s="33" t="n">
        <v>197.219321444445</v>
      </c>
      <c r="AB550" s="33" t="n">
        <v>197.219321444445</v>
      </c>
      <c r="AC550" s="33" t="n">
        <v>197.219321444445</v>
      </c>
      <c r="AD550" s="33" t="n">
        <v>197.219321444445</v>
      </c>
      <c r="AE550" s="33" t="n">
        <v>197.219321444445</v>
      </c>
      <c r="AF550" s="33" t="n">
        <v>197.219321444445</v>
      </c>
    </row>
    <row r="551" ht="15" customHeight="1" s="176">
      <c r="A551" s="36" t="inlineStr">
        <is>
          <t>P-0548</t>
        </is>
      </c>
      <c r="B551" s="36" t="inlineStr">
        <is>
          <t>2026/27</t>
        </is>
      </c>
      <c r="C551" s="36" t="inlineStr">
        <is>
          <t>Santa Catalina</t>
        </is>
      </c>
      <c r="D551" s="37" t="inlineStr">
        <is>
          <t>eureka 14,4 ha</t>
        </is>
      </c>
      <c r="E551" s="36" t="inlineStr">
        <is>
          <t>Limon</t>
        </is>
      </c>
      <c r="F551" s="36" t="inlineStr">
        <is>
          <t>Eureka</t>
        </is>
      </c>
      <c r="G551" s="36" t="inlineStr">
        <is>
          <t>Producción</t>
        </is>
      </c>
      <c r="H551" s="38" t="n">
        <v>14.4</v>
      </c>
      <c r="I551" s="38" t="n">
        <v>14.4</v>
      </c>
      <c r="J551" s="36" t="inlineStr">
        <is>
          <t>Costo</t>
        </is>
      </c>
      <c r="K551" s="37" t="inlineStr">
        <is>
          <t>4- Otros gastos</t>
        </is>
      </c>
      <c r="L551" s="37" t="inlineStr">
        <is>
          <t>7- GASTOS DE ADMINISTRACION</t>
        </is>
      </c>
      <c r="M551" s="37" t="n"/>
      <c r="N551" s="36" t="n"/>
      <c r="O551" s="36" t="inlineStr">
        <is>
          <t>ha</t>
        </is>
      </c>
      <c r="P551" s="39" t="n">
        <v>27673</v>
      </c>
      <c r="Q551" s="40" t="n">
        <v>14.4</v>
      </c>
      <c r="R551" s="39" t="n">
        <v>3983318.0352</v>
      </c>
      <c r="S551" s="41" t="n">
        <v>0.00439078266666667</v>
      </c>
      <c r="T551" s="39" t="n">
        <v>3.9517044</v>
      </c>
      <c r="U551" s="39" t="n">
        <v>368.825744</v>
      </c>
      <c r="V551" s="39" t="n">
        <v>368.825744</v>
      </c>
      <c r="W551" s="39" t="n">
        <v>368.825744</v>
      </c>
      <c r="X551" s="39" t="n">
        <v>368.825744</v>
      </c>
      <c r="Y551" s="39" t="n">
        <v>368.825744</v>
      </c>
      <c r="Z551" s="39" t="n">
        <v>368.825744</v>
      </c>
      <c r="AA551" s="39" t="n">
        <v>368.825744</v>
      </c>
      <c r="AB551" s="39" t="n">
        <v>368.825744</v>
      </c>
      <c r="AC551" s="39" t="n">
        <v>368.825744</v>
      </c>
      <c r="AD551" s="39" t="n">
        <v>368.825744</v>
      </c>
      <c r="AE551" s="39" t="n">
        <v>368.825744</v>
      </c>
      <c r="AF551" s="39" t="n">
        <v>368.825744</v>
      </c>
    </row>
    <row r="552" ht="15" customHeight="1" s="176">
      <c r="A552" s="30" t="inlineStr">
        <is>
          <t>P-0549</t>
        </is>
      </c>
      <c r="B552" s="30" t="inlineStr">
        <is>
          <t>2026/27</t>
        </is>
      </c>
      <c r="C552" s="30" t="inlineStr">
        <is>
          <t>Santa Catalina</t>
        </is>
      </c>
      <c r="D552" s="31" t="inlineStr">
        <is>
          <t>eureka 10,6 ha</t>
        </is>
      </c>
      <c r="E552" s="30" t="inlineStr">
        <is>
          <t>Limon</t>
        </is>
      </c>
      <c r="F552" s="30" t="inlineStr">
        <is>
          <t>Eureka</t>
        </is>
      </c>
      <c r="G552" s="30" t="inlineStr">
        <is>
          <t>Producción</t>
        </is>
      </c>
      <c r="H552" s="32" t="n">
        <v>10.6</v>
      </c>
      <c r="I552" s="32" t="n">
        <v>10.6</v>
      </c>
      <c r="J552" s="30" t="inlineStr">
        <is>
          <t>Costo</t>
        </is>
      </c>
      <c r="K552" s="31" t="inlineStr">
        <is>
          <t>4- Otros gastos</t>
        </is>
      </c>
      <c r="L552" s="31" t="inlineStr">
        <is>
          <t>7- GASTOS DE ADMINISTRACION</t>
        </is>
      </c>
      <c r="M552" s="31" t="n"/>
      <c r="N552" s="30" t="n"/>
      <c r="O552" s="30" t="inlineStr">
        <is>
          <t>ha</t>
        </is>
      </c>
      <c r="P552" s="33" t="n">
        <v>27673</v>
      </c>
      <c r="Q552" s="34" t="n">
        <v>10.6</v>
      </c>
      <c r="R552" s="33" t="n">
        <v>2932164.6648</v>
      </c>
      <c r="S552" s="35" t="n">
        <v>0.00439078266666667</v>
      </c>
      <c r="T552" s="33" t="n">
        <v>3.9517044</v>
      </c>
      <c r="U552" s="33" t="n">
        <v>271.496728222222</v>
      </c>
      <c r="V552" s="33" t="n">
        <v>271.496728222222</v>
      </c>
      <c r="W552" s="33" t="n">
        <v>271.496728222222</v>
      </c>
      <c r="X552" s="33" t="n">
        <v>271.496728222222</v>
      </c>
      <c r="Y552" s="33" t="n">
        <v>271.496728222222</v>
      </c>
      <c r="Z552" s="33" t="n">
        <v>271.496728222222</v>
      </c>
      <c r="AA552" s="33" t="n">
        <v>271.496728222222</v>
      </c>
      <c r="AB552" s="33" t="n">
        <v>271.496728222222</v>
      </c>
      <c r="AC552" s="33" t="n">
        <v>271.496728222222</v>
      </c>
      <c r="AD552" s="33" t="n">
        <v>271.496728222222</v>
      </c>
      <c r="AE552" s="33" t="n">
        <v>271.496728222222</v>
      </c>
      <c r="AF552" s="33" t="n">
        <v>271.496728222222</v>
      </c>
    </row>
    <row r="553" ht="15" customHeight="1" s="176">
      <c r="A553" s="36" t="inlineStr">
        <is>
          <t>P-0550</t>
        </is>
      </c>
      <c r="B553" s="36" t="inlineStr">
        <is>
          <t>2026/27</t>
        </is>
      </c>
      <c r="C553" s="36" t="inlineStr">
        <is>
          <t>Santa Catalina</t>
        </is>
      </c>
      <c r="D553" s="37" t="inlineStr">
        <is>
          <t>form benjamin 1,93 ha</t>
        </is>
      </c>
      <c r="E553" s="36" t="inlineStr">
        <is>
          <t>Limon</t>
        </is>
      </c>
      <c r="F553" s="36" t="inlineStr">
        <is>
          <t>Benjamin andes</t>
        </is>
      </c>
      <c r="G553" s="36" t="inlineStr">
        <is>
          <t>Formación</t>
        </is>
      </c>
      <c r="H553" s="38" t="n">
        <v>1.93</v>
      </c>
      <c r="I553" s="38" t="n">
        <v>0</v>
      </c>
      <c r="J553" s="36" t="inlineStr">
        <is>
          <t>Costo</t>
        </is>
      </c>
      <c r="K553" s="37" t="inlineStr">
        <is>
          <t>1- M.O. directa</t>
        </is>
      </c>
      <c r="L553" s="37" t="inlineStr">
        <is>
          <t>7,1- TRACTORISTA</t>
        </is>
      </c>
      <c r="M553" s="37" t="inlineStr">
        <is>
          <t>Operacion predio</t>
        </is>
      </c>
      <c r="N553" s="36" t="inlineStr">
        <is>
          <t>día</t>
        </is>
      </c>
      <c r="O553" s="36" t="inlineStr">
        <is>
          <t>ha</t>
        </is>
      </c>
      <c r="P553" s="39" t="n">
        <v>38000</v>
      </c>
      <c r="Q553" s="40" t="n">
        <v>1.93</v>
      </c>
      <c r="R553" s="39" t="n">
        <v>733106.64</v>
      </c>
      <c r="S553" s="41" t="n">
        <v>0</v>
      </c>
      <c r="T553" s="39" t="n">
        <v>0</v>
      </c>
      <c r="U553" s="39" t="n">
        <v>67.8802444444444</v>
      </c>
      <c r="V553" s="39" t="n">
        <v>67.8802444444444</v>
      </c>
      <c r="W553" s="39" t="n">
        <v>67.8802444444444</v>
      </c>
      <c r="X553" s="39" t="n">
        <v>67.8802444444444</v>
      </c>
      <c r="Y553" s="39" t="n">
        <v>67.8802444444444</v>
      </c>
      <c r="Z553" s="39" t="n">
        <v>67.8802444444444</v>
      </c>
      <c r="AA553" s="39" t="n">
        <v>67.8802444444444</v>
      </c>
      <c r="AB553" s="39" t="n">
        <v>67.8802444444444</v>
      </c>
      <c r="AC553" s="39" t="n">
        <v>67.8802444444444</v>
      </c>
      <c r="AD553" s="39" t="n">
        <v>67.8802444444444</v>
      </c>
      <c r="AE553" s="39" t="n">
        <v>67.8802444444444</v>
      </c>
      <c r="AF553" s="39" t="n">
        <v>67.8802444444444</v>
      </c>
    </row>
    <row r="554" ht="15" customHeight="1" s="176">
      <c r="A554" s="30" t="inlineStr">
        <is>
          <t>P-0551</t>
        </is>
      </c>
      <c r="B554" s="30" t="inlineStr">
        <is>
          <t>2026/27</t>
        </is>
      </c>
      <c r="C554" s="30" t="inlineStr">
        <is>
          <t>Santa Catalina</t>
        </is>
      </c>
      <c r="D554" s="31" t="inlineStr">
        <is>
          <t>eureka 22,55</t>
        </is>
      </c>
      <c r="E554" s="30" t="inlineStr">
        <is>
          <t>Limon</t>
        </is>
      </c>
      <c r="F554" s="30" t="inlineStr">
        <is>
          <t>Eureka</t>
        </is>
      </c>
      <c r="G554" s="30" t="inlineStr">
        <is>
          <t>Producción</t>
        </is>
      </c>
      <c r="H554" s="32" t="n">
        <v>22.55</v>
      </c>
      <c r="I554" s="32" t="n">
        <v>22.55</v>
      </c>
      <c r="J554" s="30" t="inlineStr">
        <is>
          <t>Costo</t>
        </is>
      </c>
      <c r="K554" s="31" t="inlineStr">
        <is>
          <t>1- M.O. directa</t>
        </is>
      </c>
      <c r="L554" s="31" t="inlineStr">
        <is>
          <t>7,1- TRACTORISTA</t>
        </is>
      </c>
      <c r="M554" s="31" t="inlineStr">
        <is>
          <t>Operacion predio</t>
        </is>
      </c>
      <c r="N554" s="30" t="inlineStr">
        <is>
          <t>día</t>
        </is>
      </c>
      <c r="O554" s="30" t="inlineStr">
        <is>
          <t>ha</t>
        </is>
      </c>
      <c r="P554" s="33" t="n">
        <v>38000</v>
      </c>
      <c r="Q554" s="34" t="n">
        <v>22.55</v>
      </c>
      <c r="R554" s="33" t="n">
        <v>8565572.4</v>
      </c>
      <c r="S554" s="35" t="n">
        <v>0.00602933333333333</v>
      </c>
      <c r="T554" s="33" t="n">
        <v>5.4264</v>
      </c>
      <c r="U554" s="33" t="n">
        <v>793.108555555556</v>
      </c>
      <c r="V554" s="33" t="n">
        <v>793.108555555556</v>
      </c>
      <c r="W554" s="33" t="n">
        <v>793.108555555556</v>
      </c>
      <c r="X554" s="33" t="n">
        <v>793.108555555556</v>
      </c>
      <c r="Y554" s="33" t="n">
        <v>793.108555555556</v>
      </c>
      <c r="Z554" s="33" t="n">
        <v>793.108555555556</v>
      </c>
      <c r="AA554" s="33" t="n">
        <v>793.108555555556</v>
      </c>
      <c r="AB554" s="33" t="n">
        <v>793.108555555556</v>
      </c>
      <c r="AC554" s="33" t="n">
        <v>793.108555555556</v>
      </c>
      <c r="AD554" s="33" t="n">
        <v>793.108555555556</v>
      </c>
      <c r="AE554" s="33" t="n">
        <v>793.108555555556</v>
      </c>
      <c r="AF554" s="33" t="n">
        <v>793.108555555556</v>
      </c>
    </row>
    <row r="555" ht="15" customHeight="1" s="176">
      <c r="A555" s="36" t="inlineStr">
        <is>
          <t>P-0552</t>
        </is>
      </c>
      <c r="B555" s="36" t="inlineStr">
        <is>
          <t>2026/27</t>
        </is>
      </c>
      <c r="C555" s="36" t="inlineStr">
        <is>
          <t>Santa Catalina</t>
        </is>
      </c>
      <c r="D555" s="37" t="inlineStr">
        <is>
          <t>mant eureka 2,5 ha</t>
        </is>
      </c>
      <c r="E555" s="36" t="inlineStr">
        <is>
          <t>Limon</t>
        </is>
      </c>
      <c r="F555" s="36" t="inlineStr">
        <is>
          <t>Eureka</t>
        </is>
      </c>
      <c r="G555" s="36" t="inlineStr">
        <is>
          <t>Mantención</t>
        </is>
      </c>
      <c r="H555" s="38" t="n">
        <v>2.5</v>
      </c>
      <c r="I555" s="38" t="n">
        <v>0</v>
      </c>
      <c r="J555" s="36" t="inlineStr">
        <is>
          <t>Costo</t>
        </is>
      </c>
      <c r="K555" s="37" t="inlineStr">
        <is>
          <t>1- M.O. directa</t>
        </is>
      </c>
      <c r="L555" s="37" t="inlineStr">
        <is>
          <t>7,1- TRACTORISTA</t>
        </is>
      </c>
      <c r="M555" s="37" t="inlineStr">
        <is>
          <t>Operacion predio</t>
        </is>
      </c>
      <c r="N555" s="36" t="inlineStr">
        <is>
          <t>día</t>
        </is>
      </c>
      <c r="O555" s="36" t="inlineStr">
        <is>
          <t>ha</t>
        </is>
      </c>
      <c r="P555" s="39" t="n">
        <v>38000</v>
      </c>
      <c r="Q555" s="40" t="n">
        <v>2.5</v>
      </c>
      <c r="R555" s="39" t="n">
        <v>949620</v>
      </c>
      <c r="S555" s="41" t="n">
        <v>0</v>
      </c>
      <c r="T555" s="39" t="n">
        <v>0</v>
      </c>
      <c r="U555" s="39" t="n">
        <v>87.92777777777781</v>
      </c>
      <c r="V555" s="39" t="n">
        <v>87.92777777777781</v>
      </c>
      <c r="W555" s="39" t="n">
        <v>87.92777777777781</v>
      </c>
      <c r="X555" s="39" t="n">
        <v>87.92777777777781</v>
      </c>
      <c r="Y555" s="39" t="n">
        <v>87.92777777777781</v>
      </c>
      <c r="Z555" s="39" t="n">
        <v>87.92777777777781</v>
      </c>
      <c r="AA555" s="39" t="n">
        <v>87.92777777777781</v>
      </c>
      <c r="AB555" s="39" t="n">
        <v>87.92777777777781</v>
      </c>
      <c r="AC555" s="39" t="n">
        <v>87.92777777777781</v>
      </c>
      <c r="AD555" s="39" t="n">
        <v>87.92777777777781</v>
      </c>
      <c r="AE555" s="39" t="n">
        <v>87.92777777777781</v>
      </c>
      <c r="AF555" s="39" t="n">
        <v>87.92777777777781</v>
      </c>
    </row>
    <row r="556" ht="15" customHeight="1" s="176">
      <c r="A556" s="30" t="inlineStr">
        <is>
          <t>P-0553</t>
        </is>
      </c>
      <c r="B556" s="30" t="inlineStr">
        <is>
          <t>2026/27</t>
        </is>
      </c>
      <c r="C556" s="30" t="inlineStr">
        <is>
          <t>Santa Catalina</t>
        </is>
      </c>
      <c r="D556" s="31" t="inlineStr">
        <is>
          <t>Fino 49 7,7 ha</t>
        </is>
      </c>
      <c r="E556" s="30" t="inlineStr">
        <is>
          <t>Limon</t>
        </is>
      </c>
      <c r="F556" s="30" t="inlineStr">
        <is>
          <t>Fino 49</t>
        </is>
      </c>
      <c r="G556" s="30" t="inlineStr">
        <is>
          <t>Producción</t>
        </is>
      </c>
      <c r="H556" s="32" t="n">
        <v>7.7</v>
      </c>
      <c r="I556" s="32" t="n">
        <v>7.7</v>
      </c>
      <c r="J556" s="30" t="inlineStr">
        <is>
          <t>Costo</t>
        </is>
      </c>
      <c r="K556" s="31" t="inlineStr">
        <is>
          <t>1- M.O. directa</t>
        </is>
      </c>
      <c r="L556" s="31" t="inlineStr">
        <is>
          <t>7,1- TRACTORISTA</t>
        </is>
      </c>
      <c r="M556" s="31" t="inlineStr">
        <is>
          <t>Operacion predio</t>
        </is>
      </c>
      <c r="N556" s="30" t="inlineStr">
        <is>
          <t>día</t>
        </is>
      </c>
      <c r="O556" s="30" t="inlineStr">
        <is>
          <t>ha</t>
        </is>
      </c>
      <c r="P556" s="33" t="n">
        <v>38000</v>
      </c>
      <c r="Q556" s="34" t="n">
        <v>7.7</v>
      </c>
      <c r="R556" s="33" t="n">
        <v>2924829.6</v>
      </c>
      <c r="S556" s="35" t="n">
        <v>0.00602933333333333</v>
      </c>
      <c r="T556" s="33" t="n">
        <v>5.4264</v>
      </c>
      <c r="U556" s="33" t="n">
        <v>270.817555555556</v>
      </c>
      <c r="V556" s="33" t="n">
        <v>270.817555555556</v>
      </c>
      <c r="W556" s="33" t="n">
        <v>270.817555555556</v>
      </c>
      <c r="X556" s="33" t="n">
        <v>270.817555555556</v>
      </c>
      <c r="Y556" s="33" t="n">
        <v>270.817555555556</v>
      </c>
      <c r="Z556" s="33" t="n">
        <v>270.817555555556</v>
      </c>
      <c r="AA556" s="33" t="n">
        <v>270.817555555556</v>
      </c>
      <c r="AB556" s="33" t="n">
        <v>270.817555555556</v>
      </c>
      <c r="AC556" s="33" t="n">
        <v>270.817555555556</v>
      </c>
      <c r="AD556" s="33" t="n">
        <v>270.817555555556</v>
      </c>
      <c r="AE556" s="33" t="n">
        <v>270.817555555556</v>
      </c>
      <c r="AF556" s="33" t="n">
        <v>270.817555555556</v>
      </c>
    </row>
    <row r="557" ht="15" customHeight="1" s="176">
      <c r="A557" s="36" t="inlineStr">
        <is>
          <t>P-0554</t>
        </is>
      </c>
      <c r="B557" s="36" t="inlineStr">
        <is>
          <t>2026/27</t>
        </is>
      </c>
      <c r="C557" s="36" t="inlineStr">
        <is>
          <t>Santa Catalina</t>
        </is>
      </c>
      <c r="D557" s="37" t="inlineStr">
        <is>
          <t>eureka 14,4 ha</t>
        </is>
      </c>
      <c r="E557" s="36" t="inlineStr">
        <is>
          <t>Limon</t>
        </is>
      </c>
      <c r="F557" s="36" t="inlineStr">
        <is>
          <t>Eureka</t>
        </is>
      </c>
      <c r="G557" s="36" t="inlineStr">
        <is>
          <t>Producción</t>
        </is>
      </c>
      <c r="H557" s="38" t="n">
        <v>14.4</v>
      </c>
      <c r="I557" s="38" t="n">
        <v>14.4</v>
      </c>
      <c r="J557" s="36" t="inlineStr">
        <is>
          <t>Costo</t>
        </is>
      </c>
      <c r="K557" s="37" t="inlineStr">
        <is>
          <t>1- M.O. directa</t>
        </is>
      </c>
      <c r="L557" s="37" t="inlineStr">
        <is>
          <t>7,1- TRACTORISTA</t>
        </is>
      </c>
      <c r="M557" s="37" t="inlineStr">
        <is>
          <t>Operacion predio</t>
        </is>
      </c>
      <c r="N557" s="36" t="inlineStr">
        <is>
          <t>día</t>
        </is>
      </c>
      <c r="O557" s="36" t="inlineStr">
        <is>
          <t>ha</t>
        </is>
      </c>
      <c r="P557" s="39" t="n">
        <v>38000</v>
      </c>
      <c r="Q557" s="40" t="n">
        <v>14.4</v>
      </c>
      <c r="R557" s="39" t="n">
        <v>5469811.2</v>
      </c>
      <c r="S557" s="41" t="n">
        <v>0.00602933333333333</v>
      </c>
      <c r="T557" s="39" t="n">
        <v>5.4264</v>
      </c>
      <c r="U557" s="39" t="n">
        <v>506.464</v>
      </c>
      <c r="V557" s="39" t="n">
        <v>506.464</v>
      </c>
      <c r="W557" s="39" t="n">
        <v>506.464</v>
      </c>
      <c r="X557" s="39" t="n">
        <v>506.464</v>
      </c>
      <c r="Y557" s="39" t="n">
        <v>506.464</v>
      </c>
      <c r="Z557" s="39" t="n">
        <v>506.464</v>
      </c>
      <c r="AA557" s="39" t="n">
        <v>506.464</v>
      </c>
      <c r="AB557" s="39" t="n">
        <v>506.464</v>
      </c>
      <c r="AC557" s="39" t="n">
        <v>506.464</v>
      </c>
      <c r="AD557" s="39" t="n">
        <v>506.464</v>
      </c>
      <c r="AE557" s="39" t="n">
        <v>506.464</v>
      </c>
      <c r="AF557" s="39" t="n">
        <v>506.464</v>
      </c>
    </row>
    <row r="558" ht="15" customHeight="1" s="176">
      <c r="A558" s="30" t="inlineStr">
        <is>
          <t>P-0555</t>
        </is>
      </c>
      <c r="B558" s="30" t="inlineStr">
        <is>
          <t>2026/27</t>
        </is>
      </c>
      <c r="C558" s="30" t="inlineStr">
        <is>
          <t>Santa Catalina</t>
        </is>
      </c>
      <c r="D558" s="31" t="inlineStr">
        <is>
          <t>eureka 10,6 ha</t>
        </is>
      </c>
      <c r="E558" s="30" t="inlineStr">
        <is>
          <t>Limon</t>
        </is>
      </c>
      <c r="F558" s="30" t="inlineStr">
        <is>
          <t>Eureka</t>
        </is>
      </c>
      <c r="G558" s="30" t="inlineStr">
        <is>
          <t>Producción</t>
        </is>
      </c>
      <c r="H558" s="32" t="n">
        <v>10.6</v>
      </c>
      <c r="I558" s="32" t="n">
        <v>10.6</v>
      </c>
      <c r="J558" s="30" t="inlineStr">
        <is>
          <t>Costo</t>
        </is>
      </c>
      <c r="K558" s="31" t="inlineStr">
        <is>
          <t>1- M.O. directa</t>
        </is>
      </c>
      <c r="L558" s="31" t="inlineStr">
        <is>
          <t>7,1- TRACTORISTA</t>
        </is>
      </c>
      <c r="M558" s="31" t="inlineStr">
        <is>
          <t>Operacion predio</t>
        </is>
      </c>
      <c r="N558" s="30" t="inlineStr">
        <is>
          <t>día</t>
        </is>
      </c>
      <c r="O558" s="30" t="inlineStr">
        <is>
          <t>ha</t>
        </is>
      </c>
      <c r="P558" s="33" t="n">
        <v>38000</v>
      </c>
      <c r="Q558" s="34" t="n">
        <v>10.6</v>
      </c>
      <c r="R558" s="33" t="n">
        <v>4026388.8</v>
      </c>
      <c r="S558" s="35" t="n">
        <v>0.00602933333333333</v>
      </c>
      <c r="T558" s="33" t="n">
        <v>5.4264</v>
      </c>
      <c r="U558" s="33" t="n">
        <v>372.813777777778</v>
      </c>
      <c r="V558" s="33" t="n">
        <v>372.813777777778</v>
      </c>
      <c r="W558" s="33" t="n">
        <v>372.813777777778</v>
      </c>
      <c r="X558" s="33" t="n">
        <v>372.813777777778</v>
      </c>
      <c r="Y558" s="33" t="n">
        <v>372.813777777778</v>
      </c>
      <c r="Z558" s="33" t="n">
        <v>372.813777777778</v>
      </c>
      <c r="AA558" s="33" t="n">
        <v>372.813777777778</v>
      </c>
      <c r="AB558" s="33" t="n">
        <v>372.813777777778</v>
      </c>
      <c r="AC558" s="33" t="n">
        <v>372.813777777778</v>
      </c>
      <c r="AD558" s="33" t="n">
        <v>372.813777777778</v>
      </c>
      <c r="AE558" s="33" t="n">
        <v>372.813777777778</v>
      </c>
      <c r="AF558" s="33" t="n">
        <v>372.813777777778</v>
      </c>
    </row>
    <row r="559" ht="15" customHeight="1" s="176">
      <c r="A559" s="36" t="inlineStr">
        <is>
          <t>P-0556</t>
        </is>
      </c>
      <c r="B559" s="36" t="inlineStr">
        <is>
          <t>2026/27</t>
        </is>
      </c>
      <c r="C559" s="36" t="inlineStr">
        <is>
          <t>Santa Catalina</t>
        </is>
      </c>
      <c r="D559" s="37" t="inlineStr">
        <is>
          <t>form benjamin 1,93 ha</t>
        </is>
      </c>
      <c r="E559" s="36" t="inlineStr">
        <is>
          <t>Limon</t>
        </is>
      </c>
      <c r="F559" s="36" t="inlineStr">
        <is>
          <t>Benjamin andes</t>
        </is>
      </c>
      <c r="G559" s="36" t="inlineStr">
        <is>
          <t>Formación</t>
        </is>
      </c>
      <c r="H559" s="38" t="n">
        <v>1.93</v>
      </c>
      <c r="I559" s="38" t="n">
        <v>0</v>
      </c>
      <c r="J559" s="36" t="inlineStr">
        <is>
          <t>Costo</t>
        </is>
      </c>
      <c r="K559" s="37" t="inlineStr">
        <is>
          <t>2- M.O. indirecta</t>
        </is>
      </c>
      <c r="L559" s="37" t="inlineStr">
        <is>
          <t>9,1- RONDIN FUNDO</t>
        </is>
      </c>
      <c r="M559" s="37" t="n"/>
      <c r="N559" s="36" t="inlineStr">
        <is>
          <t>día</t>
        </is>
      </c>
      <c r="O559" s="36" t="inlineStr">
        <is>
          <t>JH</t>
        </is>
      </c>
      <c r="P559" s="39" t="n">
        <v>39762</v>
      </c>
      <c r="Q559" s="40" t="n">
        <v>1.93</v>
      </c>
      <c r="R559" s="39" t="n">
        <v>767099.6373600001</v>
      </c>
      <c r="S559" s="41" t="n">
        <v>0</v>
      </c>
      <c r="T559" s="39" t="n">
        <v>0</v>
      </c>
      <c r="U559" s="39" t="n">
        <v>71.0277442</v>
      </c>
      <c r="V559" s="39" t="n">
        <v>71.0277442</v>
      </c>
      <c r="W559" s="39" t="n">
        <v>71.0277442</v>
      </c>
      <c r="X559" s="39" t="n">
        <v>71.0277442</v>
      </c>
      <c r="Y559" s="39" t="n">
        <v>71.0277442</v>
      </c>
      <c r="Z559" s="39" t="n">
        <v>71.0277442</v>
      </c>
      <c r="AA559" s="39" t="n">
        <v>71.0277442</v>
      </c>
      <c r="AB559" s="39" t="n">
        <v>71.0277442</v>
      </c>
      <c r="AC559" s="39" t="n">
        <v>71.0277442</v>
      </c>
      <c r="AD559" s="39" t="n">
        <v>71.0277442</v>
      </c>
      <c r="AE559" s="39" t="n">
        <v>71.0277442</v>
      </c>
      <c r="AF559" s="39" t="n">
        <v>71.0277442</v>
      </c>
    </row>
    <row r="560" ht="15" customHeight="1" s="176">
      <c r="A560" s="30" t="inlineStr">
        <is>
          <t>P-0557</t>
        </is>
      </c>
      <c r="B560" s="30" t="inlineStr">
        <is>
          <t>2026/27</t>
        </is>
      </c>
      <c r="C560" s="30" t="inlineStr">
        <is>
          <t>Santa Catalina</t>
        </is>
      </c>
      <c r="D560" s="31" t="inlineStr">
        <is>
          <t>eureka 22,55</t>
        </is>
      </c>
      <c r="E560" s="30" t="inlineStr">
        <is>
          <t>Limon</t>
        </is>
      </c>
      <c r="F560" s="30" t="inlineStr">
        <is>
          <t>Eureka</t>
        </is>
      </c>
      <c r="G560" s="30" t="inlineStr">
        <is>
          <t>Producción</t>
        </is>
      </c>
      <c r="H560" s="32" t="n">
        <v>22.55</v>
      </c>
      <c r="I560" s="32" t="n">
        <v>22.55</v>
      </c>
      <c r="J560" s="30" t="inlineStr">
        <is>
          <t>Costo</t>
        </is>
      </c>
      <c r="K560" s="31" t="inlineStr">
        <is>
          <t>2- M.O. indirecta</t>
        </is>
      </c>
      <c r="L560" s="31" t="inlineStr">
        <is>
          <t>9,1- RONDIN FUNDO</t>
        </is>
      </c>
      <c r="M560" s="31" t="n"/>
      <c r="N560" s="30" t="inlineStr">
        <is>
          <t>día</t>
        </is>
      </c>
      <c r="O560" s="30" t="inlineStr">
        <is>
          <t>JH</t>
        </is>
      </c>
      <c r="P560" s="33" t="n">
        <v>39762</v>
      </c>
      <c r="Q560" s="34" t="n">
        <v>22.55</v>
      </c>
      <c r="R560" s="33" t="n">
        <v>8962744.467599999</v>
      </c>
      <c r="S560" s="35" t="n">
        <v>0.006308904</v>
      </c>
      <c r="T560" s="33" t="n">
        <v>5.6780136</v>
      </c>
      <c r="U560" s="33" t="n">
        <v>829.883747</v>
      </c>
      <c r="V560" s="33" t="n">
        <v>829.883747</v>
      </c>
      <c r="W560" s="33" t="n">
        <v>829.883747</v>
      </c>
      <c r="X560" s="33" t="n">
        <v>829.883747</v>
      </c>
      <c r="Y560" s="33" t="n">
        <v>829.883747</v>
      </c>
      <c r="Z560" s="33" t="n">
        <v>829.883747</v>
      </c>
      <c r="AA560" s="33" t="n">
        <v>829.883747</v>
      </c>
      <c r="AB560" s="33" t="n">
        <v>829.883747</v>
      </c>
      <c r="AC560" s="33" t="n">
        <v>829.883747</v>
      </c>
      <c r="AD560" s="33" t="n">
        <v>829.883747</v>
      </c>
      <c r="AE560" s="33" t="n">
        <v>829.883747</v>
      </c>
      <c r="AF560" s="33" t="n">
        <v>829.883747</v>
      </c>
    </row>
    <row r="561" ht="15" customHeight="1" s="176">
      <c r="A561" s="36" t="inlineStr">
        <is>
          <t>P-0558</t>
        </is>
      </c>
      <c r="B561" s="36" t="inlineStr">
        <is>
          <t>2026/27</t>
        </is>
      </c>
      <c r="C561" s="36" t="inlineStr">
        <is>
          <t>Santa Catalina</t>
        </is>
      </c>
      <c r="D561" s="37" t="inlineStr">
        <is>
          <t>mant eureka 2,5 ha</t>
        </is>
      </c>
      <c r="E561" s="36" t="inlineStr">
        <is>
          <t>Limon</t>
        </is>
      </c>
      <c r="F561" s="36" t="inlineStr">
        <is>
          <t>Eureka</t>
        </is>
      </c>
      <c r="G561" s="36" t="inlineStr">
        <is>
          <t>Mantención</t>
        </is>
      </c>
      <c r="H561" s="38" t="n">
        <v>2.5</v>
      </c>
      <c r="I561" s="38" t="n">
        <v>0</v>
      </c>
      <c r="J561" s="36" t="inlineStr">
        <is>
          <t>Costo</t>
        </is>
      </c>
      <c r="K561" s="37" t="inlineStr">
        <is>
          <t>2- M.O. indirecta</t>
        </is>
      </c>
      <c r="L561" s="37" t="inlineStr">
        <is>
          <t>9,1- RONDIN FUNDO</t>
        </is>
      </c>
      <c r="M561" s="37" t="n"/>
      <c r="N561" s="36" t="inlineStr">
        <is>
          <t>día</t>
        </is>
      </c>
      <c r="O561" s="36" t="inlineStr">
        <is>
          <t>JH</t>
        </is>
      </c>
      <c r="P561" s="39" t="n">
        <v>39762</v>
      </c>
      <c r="Q561" s="40" t="n">
        <v>2.5</v>
      </c>
      <c r="R561" s="39" t="n">
        <v>993652.38</v>
      </c>
      <c r="S561" s="41" t="n">
        <v>0</v>
      </c>
      <c r="T561" s="39" t="n">
        <v>0</v>
      </c>
      <c r="U561" s="39" t="n">
        <v>92.00485</v>
      </c>
      <c r="V561" s="39" t="n">
        <v>92.00485</v>
      </c>
      <c r="W561" s="39" t="n">
        <v>92.00485</v>
      </c>
      <c r="X561" s="39" t="n">
        <v>92.00485</v>
      </c>
      <c r="Y561" s="39" t="n">
        <v>92.00485</v>
      </c>
      <c r="Z561" s="39" t="n">
        <v>92.00485</v>
      </c>
      <c r="AA561" s="39" t="n">
        <v>92.00485</v>
      </c>
      <c r="AB561" s="39" t="n">
        <v>92.00485</v>
      </c>
      <c r="AC561" s="39" t="n">
        <v>92.00485</v>
      </c>
      <c r="AD561" s="39" t="n">
        <v>92.00485</v>
      </c>
      <c r="AE561" s="39" t="n">
        <v>92.00485</v>
      </c>
      <c r="AF561" s="39" t="n">
        <v>92.00485</v>
      </c>
    </row>
    <row r="562" ht="15" customHeight="1" s="176">
      <c r="A562" s="30" t="inlineStr">
        <is>
          <t>P-0559</t>
        </is>
      </c>
      <c r="B562" s="30" t="inlineStr">
        <is>
          <t>2026/27</t>
        </is>
      </c>
      <c r="C562" s="30" t="inlineStr">
        <is>
          <t>Santa Catalina</t>
        </is>
      </c>
      <c r="D562" s="31" t="inlineStr">
        <is>
          <t>Fino 49 7,7 ha</t>
        </is>
      </c>
      <c r="E562" s="30" t="inlineStr">
        <is>
          <t>Limon</t>
        </is>
      </c>
      <c r="F562" s="30" t="inlineStr">
        <is>
          <t>Fino 49</t>
        </is>
      </c>
      <c r="G562" s="30" t="inlineStr">
        <is>
          <t>Producción</t>
        </is>
      </c>
      <c r="H562" s="32" t="n">
        <v>7.7</v>
      </c>
      <c r="I562" s="32" t="n">
        <v>7.7</v>
      </c>
      <c r="J562" s="30" t="inlineStr">
        <is>
          <t>Costo</t>
        </is>
      </c>
      <c r="K562" s="31" t="inlineStr">
        <is>
          <t>2- M.O. indirecta</t>
        </is>
      </c>
      <c r="L562" s="31" t="inlineStr">
        <is>
          <t>9,1- RONDIN FUNDO</t>
        </is>
      </c>
      <c r="M562" s="31" t="n"/>
      <c r="N562" s="30" t="inlineStr">
        <is>
          <t>día</t>
        </is>
      </c>
      <c r="O562" s="30" t="inlineStr">
        <is>
          <t>JH</t>
        </is>
      </c>
      <c r="P562" s="33" t="n">
        <v>39762</v>
      </c>
      <c r="Q562" s="34" t="n">
        <v>7.7</v>
      </c>
      <c r="R562" s="33" t="n">
        <v>3060449.3304</v>
      </c>
      <c r="S562" s="35" t="n">
        <v>0.006308904</v>
      </c>
      <c r="T562" s="33" t="n">
        <v>5.6780136</v>
      </c>
      <c r="U562" s="33" t="n">
        <v>283.374938</v>
      </c>
      <c r="V562" s="33" t="n">
        <v>283.374938</v>
      </c>
      <c r="W562" s="33" t="n">
        <v>283.374938</v>
      </c>
      <c r="X562" s="33" t="n">
        <v>283.374938</v>
      </c>
      <c r="Y562" s="33" t="n">
        <v>283.374938</v>
      </c>
      <c r="Z562" s="33" t="n">
        <v>283.374938</v>
      </c>
      <c r="AA562" s="33" t="n">
        <v>283.374938</v>
      </c>
      <c r="AB562" s="33" t="n">
        <v>283.374938</v>
      </c>
      <c r="AC562" s="33" t="n">
        <v>283.374938</v>
      </c>
      <c r="AD562" s="33" t="n">
        <v>283.374938</v>
      </c>
      <c r="AE562" s="33" t="n">
        <v>283.374938</v>
      </c>
      <c r="AF562" s="33" t="n">
        <v>283.374938</v>
      </c>
    </row>
    <row r="563" ht="15" customHeight="1" s="176">
      <c r="A563" s="36" t="inlineStr">
        <is>
          <t>P-0560</t>
        </is>
      </c>
      <c r="B563" s="36" t="inlineStr">
        <is>
          <t>2026/27</t>
        </is>
      </c>
      <c r="C563" s="36" t="inlineStr">
        <is>
          <t>Santa Catalina</t>
        </is>
      </c>
      <c r="D563" s="37" t="inlineStr">
        <is>
          <t>eureka 14,4 ha</t>
        </is>
      </c>
      <c r="E563" s="36" t="inlineStr">
        <is>
          <t>Limon</t>
        </is>
      </c>
      <c r="F563" s="36" t="inlineStr">
        <is>
          <t>Eureka</t>
        </is>
      </c>
      <c r="G563" s="36" t="inlineStr">
        <is>
          <t>Producción</t>
        </is>
      </c>
      <c r="H563" s="38" t="n">
        <v>14.4</v>
      </c>
      <c r="I563" s="38" t="n">
        <v>14.4</v>
      </c>
      <c r="J563" s="36" t="inlineStr">
        <is>
          <t>Costo</t>
        </is>
      </c>
      <c r="K563" s="37" t="inlineStr">
        <is>
          <t>2- M.O. indirecta</t>
        </is>
      </c>
      <c r="L563" s="37" t="inlineStr">
        <is>
          <t>9,1- RONDIN FUNDO</t>
        </is>
      </c>
      <c r="M563" s="37" t="n"/>
      <c r="N563" s="36" t="inlineStr">
        <is>
          <t>día</t>
        </is>
      </c>
      <c r="O563" s="36" t="inlineStr">
        <is>
          <t>JH</t>
        </is>
      </c>
      <c r="P563" s="39" t="n">
        <v>39762</v>
      </c>
      <c r="Q563" s="40" t="n">
        <v>14.4</v>
      </c>
      <c r="R563" s="39" t="n">
        <v>5723437.7088</v>
      </c>
      <c r="S563" s="41" t="n">
        <v>0.006308904</v>
      </c>
      <c r="T563" s="39" t="n">
        <v>5.6780136</v>
      </c>
      <c r="U563" s="39" t="n">
        <v>529.947936</v>
      </c>
      <c r="V563" s="39" t="n">
        <v>529.947936</v>
      </c>
      <c r="W563" s="39" t="n">
        <v>529.947936</v>
      </c>
      <c r="X563" s="39" t="n">
        <v>529.947936</v>
      </c>
      <c r="Y563" s="39" t="n">
        <v>529.947936</v>
      </c>
      <c r="Z563" s="39" t="n">
        <v>529.947936</v>
      </c>
      <c r="AA563" s="39" t="n">
        <v>529.947936</v>
      </c>
      <c r="AB563" s="39" t="n">
        <v>529.947936</v>
      </c>
      <c r="AC563" s="39" t="n">
        <v>529.947936</v>
      </c>
      <c r="AD563" s="39" t="n">
        <v>529.947936</v>
      </c>
      <c r="AE563" s="39" t="n">
        <v>529.947936</v>
      </c>
      <c r="AF563" s="39" t="n">
        <v>529.947936</v>
      </c>
    </row>
    <row r="564" ht="15" customHeight="1" s="176">
      <c r="A564" s="30" t="inlineStr">
        <is>
          <t>P-0561</t>
        </is>
      </c>
      <c r="B564" s="30" t="inlineStr">
        <is>
          <t>2026/27</t>
        </is>
      </c>
      <c r="C564" s="30" t="inlineStr">
        <is>
          <t>Santa Catalina</t>
        </is>
      </c>
      <c r="D564" s="31" t="inlineStr">
        <is>
          <t>eureka 10,6 ha</t>
        </is>
      </c>
      <c r="E564" s="30" t="inlineStr">
        <is>
          <t>Limon</t>
        </is>
      </c>
      <c r="F564" s="30" t="inlineStr">
        <is>
          <t>Eureka</t>
        </is>
      </c>
      <c r="G564" s="30" t="inlineStr">
        <is>
          <t>Producción</t>
        </is>
      </c>
      <c r="H564" s="32" t="n">
        <v>10.6</v>
      </c>
      <c r="I564" s="32" t="n">
        <v>10.6</v>
      </c>
      <c r="J564" s="30" t="inlineStr">
        <is>
          <t>Costo</t>
        </is>
      </c>
      <c r="K564" s="31" t="inlineStr">
        <is>
          <t>2- M.O. indirecta</t>
        </is>
      </c>
      <c r="L564" s="31" t="inlineStr">
        <is>
          <t>9,1- RONDIN FUNDO</t>
        </is>
      </c>
      <c r="M564" s="31" t="n"/>
      <c r="N564" s="30" t="inlineStr">
        <is>
          <t>día</t>
        </is>
      </c>
      <c r="O564" s="30" t="inlineStr">
        <is>
          <t>JH</t>
        </is>
      </c>
      <c r="P564" s="33" t="n">
        <v>39762</v>
      </c>
      <c r="Q564" s="34" t="n">
        <v>10.6</v>
      </c>
      <c r="R564" s="33" t="n">
        <v>4213086.0912</v>
      </c>
      <c r="S564" s="35" t="n">
        <v>0.006308904</v>
      </c>
      <c r="T564" s="33" t="n">
        <v>5.6780136</v>
      </c>
      <c r="U564" s="33" t="n">
        <v>390.100564</v>
      </c>
      <c r="V564" s="33" t="n">
        <v>390.100564</v>
      </c>
      <c r="W564" s="33" t="n">
        <v>390.100564</v>
      </c>
      <c r="X564" s="33" t="n">
        <v>390.100564</v>
      </c>
      <c r="Y564" s="33" t="n">
        <v>390.100564</v>
      </c>
      <c r="Z564" s="33" t="n">
        <v>390.100564</v>
      </c>
      <c r="AA564" s="33" t="n">
        <v>390.100564</v>
      </c>
      <c r="AB564" s="33" t="n">
        <v>390.100564</v>
      </c>
      <c r="AC564" s="33" t="n">
        <v>390.100564</v>
      </c>
      <c r="AD564" s="33" t="n">
        <v>390.100564</v>
      </c>
      <c r="AE564" s="33" t="n">
        <v>390.100564</v>
      </c>
      <c r="AF564" s="33" t="n">
        <v>390.100564</v>
      </c>
    </row>
    <row r="565" ht="15" customHeight="1" s="176">
      <c r="A565" s="36" t="inlineStr">
        <is>
          <t>P-0562</t>
        </is>
      </c>
      <c r="B565" s="36" t="inlineStr">
        <is>
          <t>2026/27</t>
        </is>
      </c>
      <c r="C565" s="36" t="inlineStr">
        <is>
          <t>Santa Catalina</t>
        </is>
      </c>
      <c r="D565" s="37" t="inlineStr">
        <is>
          <t>form benjamin 1,93 ha</t>
        </is>
      </c>
      <c r="E565" s="36" t="inlineStr">
        <is>
          <t>Limon</t>
        </is>
      </c>
      <c r="F565" s="36" t="inlineStr">
        <is>
          <t>Benjamin andes</t>
        </is>
      </c>
      <c r="G565" s="36" t="inlineStr">
        <is>
          <t>Formación</t>
        </is>
      </c>
      <c r="H565" s="38" t="n">
        <v>1.93</v>
      </c>
      <c r="I565" s="38" t="n">
        <v>0</v>
      </c>
      <c r="J565" s="36" t="inlineStr">
        <is>
          <t>Costo</t>
        </is>
      </c>
      <c r="K565" s="37" t="inlineStr">
        <is>
          <t>2- M.O. indirecta</t>
        </is>
      </c>
      <c r="L565" s="37" t="inlineStr">
        <is>
          <t>9,1- RONDIN ZANJON</t>
        </is>
      </c>
      <c r="M565" s="37" t="n"/>
      <c r="N565" s="36" t="inlineStr">
        <is>
          <t>día</t>
        </is>
      </c>
      <c r="O565" s="36" t="inlineStr">
        <is>
          <t>ha</t>
        </is>
      </c>
      <c r="P565" s="39" t="n">
        <v>70688</v>
      </c>
      <c r="Q565" s="40" t="n">
        <v>1.93</v>
      </c>
      <c r="R565" s="39" t="n">
        <v>1363732.68864</v>
      </c>
      <c r="S565" s="41" t="n">
        <v>0</v>
      </c>
      <c r="T565" s="39" t="n">
        <v>0</v>
      </c>
      <c r="U565" s="39" t="n">
        <v>126.271545244444</v>
      </c>
      <c r="V565" s="39" t="n">
        <v>126.271545244444</v>
      </c>
      <c r="W565" s="39" t="n">
        <v>126.271545244444</v>
      </c>
      <c r="X565" s="39" t="n">
        <v>126.271545244444</v>
      </c>
      <c r="Y565" s="39" t="n">
        <v>126.271545244444</v>
      </c>
      <c r="Z565" s="39" t="n">
        <v>126.271545244444</v>
      </c>
      <c r="AA565" s="39" t="n">
        <v>126.271545244444</v>
      </c>
      <c r="AB565" s="39" t="n">
        <v>126.271545244444</v>
      </c>
      <c r="AC565" s="39" t="n">
        <v>126.271545244444</v>
      </c>
      <c r="AD565" s="39" t="n">
        <v>126.271545244444</v>
      </c>
      <c r="AE565" s="39" t="n">
        <v>126.271545244444</v>
      </c>
      <c r="AF565" s="39" t="n">
        <v>126.271545244444</v>
      </c>
    </row>
    <row r="566" ht="15" customHeight="1" s="176">
      <c r="A566" s="30" t="inlineStr">
        <is>
          <t>P-0563</t>
        </is>
      </c>
      <c r="B566" s="30" t="inlineStr">
        <is>
          <t>2026/27</t>
        </is>
      </c>
      <c r="C566" s="30" t="inlineStr">
        <is>
          <t>Santa Catalina</t>
        </is>
      </c>
      <c r="D566" s="31" t="inlineStr">
        <is>
          <t>eureka 22,55</t>
        </is>
      </c>
      <c r="E566" s="30" t="inlineStr">
        <is>
          <t>Limon</t>
        </is>
      </c>
      <c r="F566" s="30" t="inlineStr">
        <is>
          <t>Eureka</t>
        </is>
      </c>
      <c r="G566" s="30" t="inlineStr">
        <is>
          <t>Producción</t>
        </is>
      </c>
      <c r="H566" s="32" t="n">
        <v>22.55</v>
      </c>
      <c r="I566" s="32" t="n">
        <v>22.55</v>
      </c>
      <c r="J566" s="30" t="inlineStr">
        <is>
          <t>Costo</t>
        </is>
      </c>
      <c r="K566" s="31" t="inlineStr">
        <is>
          <t>2- M.O. indirecta</t>
        </is>
      </c>
      <c r="L566" s="31" t="inlineStr">
        <is>
          <t>9,1- RONDIN ZANJON</t>
        </is>
      </c>
      <c r="M566" s="31" t="n"/>
      <c r="N566" s="30" t="inlineStr">
        <is>
          <t>día</t>
        </is>
      </c>
      <c r="O566" s="30" t="inlineStr">
        <is>
          <t>ha</t>
        </is>
      </c>
      <c r="P566" s="33" t="n">
        <v>70688</v>
      </c>
      <c r="Q566" s="34" t="n">
        <v>22.55</v>
      </c>
      <c r="R566" s="33" t="n">
        <v>15933767.9424</v>
      </c>
      <c r="S566" s="35" t="n">
        <v>0.0112158293333333</v>
      </c>
      <c r="T566" s="33" t="n">
        <v>10.0942464</v>
      </c>
      <c r="U566" s="33" t="n">
        <v>1475.34888355556</v>
      </c>
      <c r="V566" s="33" t="n">
        <v>1475.34888355556</v>
      </c>
      <c r="W566" s="33" t="n">
        <v>1475.34888355556</v>
      </c>
      <c r="X566" s="33" t="n">
        <v>1475.34888355556</v>
      </c>
      <c r="Y566" s="33" t="n">
        <v>1475.34888355556</v>
      </c>
      <c r="Z566" s="33" t="n">
        <v>1475.34888355556</v>
      </c>
      <c r="AA566" s="33" t="n">
        <v>1475.34888355556</v>
      </c>
      <c r="AB566" s="33" t="n">
        <v>1475.34888355556</v>
      </c>
      <c r="AC566" s="33" t="n">
        <v>1475.34888355556</v>
      </c>
      <c r="AD566" s="33" t="n">
        <v>1475.34888355556</v>
      </c>
      <c r="AE566" s="33" t="n">
        <v>1475.34888355556</v>
      </c>
      <c r="AF566" s="33" t="n">
        <v>1475.34888355556</v>
      </c>
    </row>
    <row r="567" ht="15" customHeight="1" s="176">
      <c r="A567" s="36" t="inlineStr">
        <is>
          <t>P-0564</t>
        </is>
      </c>
      <c r="B567" s="36" t="inlineStr">
        <is>
          <t>2026/27</t>
        </is>
      </c>
      <c r="C567" s="36" t="inlineStr">
        <is>
          <t>Santa Catalina</t>
        </is>
      </c>
      <c r="D567" s="37" t="inlineStr">
        <is>
          <t>mant eureka 2,5 ha</t>
        </is>
      </c>
      <c r="E567" s="36" t="inlineStr">
        <is>
          <t>Limon</t>
        </is>
      </c>
      <c r="F567" s="36" t="inlineStr">
        <is>
          <t>Eureka</t>
        </is>
      </c>
      <c r="G567" s="36" t="inlineStr">
        <is>
          <t>Mantención</t>
        </is>
      </c>
      <c r="H567" s="38" t="n">
        <v>2.5</v>
      </c>
      <c r="I567" s="38" t="n">
        <v>0</v>
      </c>
      <c r="J567" s="36" t="inlineStr">
        <is>
          <t>Costo</t>
        </is>
      </c>
      <c r="K567" s="37" t="inlineStr">
        <is>
          <t>2- M.O. indirecta</t>
        </is>
      </c>
      <c r="L567" s="37" t="inlineStr">
        <is>
          <t>9,1- RONDIN ZANJON</t>
        </is>
      </c>
      <c r="M567" s="37" t="n"/>
      <c r="N567" s="36" t="inlineStr">
        <is>
          <t>día</t>
        </is>
      </c>
      <c r="O567" s="36" t="inlineStr">
        <is>
          <t>ha</t>
        </is>
      </c>
      <c r="P567" s="39" t="n">
        <v>70688</v>
      </c>
      <c r="Q567" s="40" t="n">
        <v>2.5</v>
      </c>
      <c r="R567" s="39" t="n">
        <v>1766493.12</v>
      </c>
      <c r="S567" s="41" t="n">
        <v>0</v>
      </c>
      <c r="T567" s="39" t="n">
        <v>0</v>
      </c>
      <c r="U567" s="39" t="n">
        <v>163.564177777778</v>
      </c>
      <c r="V567" s="39" t="n">
        <v>163.564177777778</v>
      </c>
      <c r="W567" s="39" t="n">
        <v>163.564177777778</v>
      </c>
      <c r="X567" s="39" t="n">
        <v>163.564177777778</v>
      </c>
      <c r="Y567" s="39" t="n">
        <v>163.564177777778</v>
      </c>
      <c r="Z567" s="39" t="n">
        <v>163.564177777778</v>
      </c>
      <c r="AA567" s="39" t="n">
        <v>163.564177777778</v>
      </c>
      <c r="AB567" s="39" t="n">
        <v>163.564177777778</v>
      </c>
      <c r="AC567" s="39" t="n">
        <v>163.564177777778</v>
      </c>
      <c r="AD567" s="39" t="n">
        <v>163.564177777778</v>
      </c>
      <c r="AE567" s="39" t="n">
        <v>163.564177777778</v>
      </c>
      <c r="AF567" s="39" t="n">
        <v>163.564177777778</v>
      </c>
    </row>
    <row r="568" ht="15" customHeight="1" s="176">
      <c r="A568" s="30" t="inlineStr">
        <is>
          <t>P-0565</t>
        </is>
      </c>
      <c r="B568" s="30" t="inlineStr">
        <is>
          <t>2026/27</t>
        </is>
      </c>
      <c r="C568" s="30" t="inlineStr">
        <is>
          <t>Santa Catalina</t>
        </is>
      </c>
      <c r="D568" s="31" t="inlineStr">
        <is>
          <t>Fino 49 7,7 ha</t>
        </is>
      </c>
      <c r="E568" s="30" t="inlineStr">
        <is>
          <t>Limon</t>
        </is>
      </c>
      <c r="F568" s="30" t="inlineStr">
        <is>
          <t>Fino 49</t>
        </is>
      </c>
      <c r="G568" s="30" t="inlineStr">
        <is>
          <t>Producción</t>
        </is>
      </c>
      <c r="H568" s="32" t="n">
        <v>7.7</v>
      </c>
      <c r="I568" s="32" t="n">
        <v>7.7</v>
      </c>
      <c r="J568" s="30" t="inlineStr">
        <is>
          <t>Costo</t>
        </is>
      </c>
      <c r="K568" s="31" t="inlineStr">
        <is>
          <t>2- M.O. indirecta</t>
        </is>
      </c>
      <c r="L568" s="31" t="inlineStr">
        <is>
          <t>9,1- RONDIN ZANJON</t>
        </is>
      </c>
      <c r="M568" s="31" t="n"/>
      <c r="N568" s="30" t="inlineStr">
        <is>
          <t>día</t>
        </is>
      </c>
      <c r="O568" s="30" t="inlineStr">
        <is>
          <t>ha</t>
        </is>
      </c>
      <c r="P568" s="33" t="n">
        <v>70688</v>
      </c>
      <c r="Q568" s="34" t="n">
        <v>7.7</v>
      </c>
      <c r="R568" s="33" t="n">
        <v>5440798.8096</v>
      </c>
      <c r="S568" s="35" t="n">
        <v>0.0112158293333333</v>
      </c>
      <c r="T568" s="33" t="n">
        <v>10.0942464</v>
      </c>
      <c r="U568" s="33" t="n">
        <v>503.777667555556</v>
      </c>
      <c r="V568" s="33" t="n">
        <v>503.777667555556</v>
      </c>
      <c r="W568" s="33" t="n">
        <v>503.777667555556</v>
      </c>
      <c r="X568" s="33" t="n">
        <v>503.777667555556</v>
      </c>
      <c r="Y568" s="33" t="n">
        <v>503.777667555556</v>
      </c>
      <c r="Z568" s="33" t="n">
        <v>503.777667555556</v>
      </c>
      <c r="AA568" s="33" t="n">
        <v>503.777667555556</v>
      </c>
      <c r="AB568" s="33" t="n">
        <v>503.777667555556</v>
      </c>
      <c r="AC568" s="33" t="n">
        <v>503.777667555556</v>
      </c>
      <c r="AD568" s="33" t="n">
        <v>503.777667555556</v>
      </c>
      <c r="AE568" s="33" t="n">
        <v>503.777667555556</v>
      </c>
      <c r="AF568" s="33" t="n">
        <v>503.777667555556</v>
      </c>
    </row>
    <row r="569" ht="15" customHeight="1" s="176">
      <c r="A569" s="36" t="inlineStr">
        <is>
          <t>P-0566</t>
        </is>
      </c>
      <c r="B569" s="36" t="inlineStr">
        <is>
          <t>2026/27</t>
        </is>
      </c>
      <c r="C569" s="36" t="inlineStr">
        <is>
          <t>Santa Catalina</t>
        </is>
      </c>
      <c r="D569" s="37" t="inlineStr">
        <is>
          <t>eureka 14,4 ha</t>
        </is>
      </c>
      <c r="E569" s="36" t="inlineStr">
        <is>
          <t>Limon</t>
        </is>
      </c>
      <c r="F569" s="36" t="inlineStr">
        <is>
          <t>Eureka</t>
        </is>
      </c>
      <c r="G569" s="36" t="inlineStr">
        <is>
          <t>Producción</t>
        </is>
      </c>
      <c r="H569" s="38" t="n">
        <v>14.4</v>
      </c>
      <c r="I569" s="38" t="n">
        <v>14.4</v>
      </c>
      <c r="J569" s="36" t="inlineStr">
        <is>
          <t>Costo</t>
        </is>
      </c>
      <c r="K569" s="37" t="inlineStr">
        <is>
          <t>2- M.O. indirecta</t>
        </is>
      </c>
      <c r="L569" s="37" t="inlineStr">
        <is>
          <t>9,1- RONDIN ZANJON</t>
        </is>
      </c>
      <c r="M569" s="37" t="n"/>
      <c r="N569" s="36" t="inlineStr">
        <is>
          <t>día</t>
        </is>
      </c>
      <c r="O569" s="36" t="inlineStr">
        <is>
          <t>ha</t>
        </is>
      </c>
      <c r="P569" s="39" t="n">
        <v>70688</v>
      </c>
      <c r="Q569" s="40" t="n">
        <v>14.4</v>
      </c>
      <c r="R569" s="39" t="n">
        <v>10175000.3712</v>
      </c>
      <c r="S569" s="41" t="n">
        <v>0.0112158293333333</v>
      </c>
      <c r="T569" s="39" t="n">
        <v>10.0942464</v>
      </c>
      <c r="U569" s="39" t="n">
        <v>942.129664</v>
      </c>
      <c r="V569" s="39" t="n">
        <v>942.129664</v>
      </c>
      <c r="W569" s="39" t="n">
        <v>942.129664</v>
      </c>
      <c r="X569" s="39" t="n">
        <v>942.129664</v>
      </c>
      <c r="Y569" s="39" t="n">
        <v>942.129664</v>
      </c>
      <c r="Z569" s="39" t="n">
        <v>942.129664</v>
      </c>
      <c r="AA569" s="39" t="n">
        <v>942.129664</v>
      </c>
      <c r="AB569" s="39" t="n">
        <v>942.129664</v>
      </c>
      <c r="AC569" s="39" t="n">
        <v>942.129664</v>
      </c>
      <c r="AD569" s="39" t="n">
        <v>942.129664</v>
      </c>
      <c r="AE569" s="39" t="n">
        <v>942.129664</v>
      </c>
      <c r="AF569" s="39" t="n">
        <v>942.129664</v>
      </c>
    </row>
    <row r="570" ht="15" customHeight="1" s="176">
      <c r="A570" s="30" t="inlineStr">
        <is>
          <t>P-0567</t>
        </is>
      </c>
      <c r="B570" s="30" t="inlineStr">
        <is>
          <t>2026/27</t>
        </is>
      </c>
      <c r="C570" s="30" t="inlineStr">
        <is>
          <t>Santa Catalina</t>
        </is>
      </c>
      <c r="D570" s="31" t="inlineStr">
        <is>
          <t>eureka 10,6 ha</t>
        </is>
      </c>
      <c r="E570" s="30" t="inlineStr">
        <is>
          <t>Limon</t>
        </is>
      </c>
      <c r="F570" s="30" t="inlineStr">
        <is>
          <t>Eureka</t>
        </is>
      </c>
      <c r="G570" s="30" t="inlineStr">
        <is>
          <t>Producción</t>
        </is>
      </c>
      <c r="H570" s="32" t="n">
        <v>10.6</v>
      </c>
      <c r="I570" s="32" t="n">
        <v>10.6</v>
      </c>
      <c r="J570" s="30" t="inlineStr">
        <is>
          <t>Costo</t>
        </is>
      </c>
      <c r="K570" s="31" t="inlineStr">
        <is>
          <t>2- M.O. indirecta</t>
        </is>
      </c>
      <c r="L570" s="31" t="inlineStr">
        <is>
          <t>9,1- RONDIN ZANJON</t>
        </is>
      </c>
      <c r="M570" s="31" t="n"/>
      <c r="N570" s="30" t="inlineStr">
        <is>
          <t>día</t>
        </is>
      </c>
      <c r="O570" s="30" t="inlineStr">
        <is>
          <t>ha</t>
        </is>
      </c>
      <c r="P570" s="33" t="n">
        <v>70688</v>
      </c>
      <c r="Q570" s="34" t="n">
        <v>10.6</v>
      </c>
      <c r="R570" s="33" t="n">
        <v>7489930.8288</v>
      </c>
      <c r="S570" s="35" t="n">
        <v>0.0112158293333333</v>
      </c>
      <c r="T570" s="33" t="n">
        <v>10.0942464</v>
      </c>
      <c r="U570" s="33" t="n">
        <v>693.512113777778</v>
      </c>
      <c r="V570" s="33" t="n">
        <v>693.512113777778</v>
      </c>
      <c r="W570" s="33" t="n">
        <v>693.512113777778</v>
      </c>
      <c r="X570" s="33" t="n">
        <v>693.512113777778</v>
      </c>
      <c r="Y570" s="33" t="n">
        <v>693.512113777778</v>
      </c>
      <c r="Z570" s="33" t="n">
        <v>693.512113777778</v>
      </c>
      <c r="AA570" s="33" t="n">
        <v>693.512113777778</v>
      </c>
      <c r="AB570" s="33" t="n">
        <v>693.512113777778</v>
      </c>
      <c r="AC570" s="33" t="n">
        <v>693.512113777778</v>
      </c>
      <c r="AD570" s="33" t="n">
        <v>693.512113777778</v>
      </c>
      <c r="AE570" s="33" t="n">
        <v>693.512113777778</v>
      </c>
      <c r="AF570" s="33" t="n">
        <v>693.512113777778</v>
      </c>
    </row>
    <row r="571" ht="15" customHeight="1" s="176">
      <c r="A571" s="42" t="inlineStr">
        <is>
          <t>P-0568</t>
        </is>
      </c>
      <c r="B571" s="42" t="inlineStr">
        <is>
          <t>2026/27</t>
        </is>
      </c>
      <c r="C571" s="42" t="inlineStr">
        <is>
          <t>Santa Catalina</t>
        </is>
      </c>
      <c r="D571" s="43" t="inlineStr">
        <is>
          <t>mant eureka 2,5 ha</t>
        </is>
      </c>
      <c r="E571" s="42" t="inlineStr">
        <is>
          <t>Limon</t>
        </is>
      </c>
      <c r="F571" s="42" t="inlineStr">
        <is>
          <t>Eureka</t>
        </is>
      </c>
      <c r="G571" s="42" t="inlineStr">
        <is>
          <t>Mantención</t>
        </is>
      </c>
      <c r="H571" s="44" t="n">
        <v>2.5</v>
      </c>
      <c r="I571" s="44" t="n">
        <v>0</v>
      </c>
      <c r="J571" s="42" t="inlineStr">
        <is>
          <t>Ingreso</t>
        </is>
      </c>
      <c r="K571" s="43" t="inlineStr">
        <is>
          <t>5- Ingresos</t>
        </is>
      </c>
      <c r="L571" s="43" t="inlineStr">
        <is>
          <t>Venta Desc.</t>
        </is>
      </c>
      <c r="M571" s="43" t="n"/>
      <c r="N571" s="42" t="inlineStr">
        <is>
          <t>venta</t>
        </is>
      </c>
      <c r="O571" s="42" t="inlineStr">
        <is>
          <t>kg</t>
        </is>
      </c>
      <c r="P571" s="45" t="n">
        <v>0</v>
      </c>
      <c r="Q571" s="46" t="n">
        <v>0</v>
      </c>
      <c r="R571" s="45" t="n">
        <v>0</v>
      </c>
      <c r="S571" s="47" t="n">
        <v>0</v>
      </c>
      <c r="T571" s="45" t="n">
        <v>0</v>
      </c>
      <c r="U571" s="45" t="n">
        <v>0</v>
      </c>
      <c r="V571" s="45" t="n">
        <v>0</v>
      </c>
      <c r="W571" s="45" t="n">
        <v>0</v>
      </c>
      <c r="X571" s="45" t="n">
        <v>0</v>
      </c>
      <c r="Y571" s="45" t="n">
        <v>0</v>
      </c>
      <c r="Z571" s="45" t="n">
        <v>0</v>
      </c>
      <c r="AA571" s="45" t="n">
        <v>0</v>
      </c>
      <c r="AB571" s="45" t="n">
        <v>0</v>
      </c>
      <c r="AC571" s="45" t="n">
        <v>0</v>
      </c>
      <c r="AD571" s="45" t="n">
        <v>0</v>
      </c>
      <c r="AE571" s="45" t="n">
        <v>0</v>
      </c>
      <c r="AF571" s="45" t="n">
        <v>0</v>
      </c>
    </row>
    <row r="572" ht="15" customHeight="1" s="176">
      <c r="A572" s="42" t="inlineStr">
        <is>
          <t>P-0569</t>
        </is>
      </c>
      <c r="B572" s="42" t="inlineStr">
        <is>
          <t>2026/27</t>
        </is>
      </c>
      <c r="C572" s="42" t="inlineStr">
        <is>
          <t>Santa Catalina</t>
        </is>
      </c>
      <c r="D572" s="43" t="inlineStr">
        <is>
          <t>Fino 49 7,7 ha</t>
        </is>
      </c>
      <c r="E572" s="42" t="inlineStr">
        <is>
          <t>Limon</t>
        </is>
      </c>
      <c r="F572" s="42" t="inlineStr">
        <is>
          <t>Fino 49</t>
        </is>
      </c>
      <c r="G572" s="42" t="inlineStr">
        <is>
          <t>Producción</t>
        </is>
      </c>
      <c r="H572" s="44" t="n">
        <v>7.7</v>
      </c>
      <c r="I572" s="44" t="n">
        <v>7.7</v>
      </c>
      <c r="J572" s="42" t="inlineStr">
        <is>
          <t>Ingreso</t>
        </is>
      </c>
      <c r="K572" s="43" t="inlineStr">
        <is>
          <t>5- Ingresos</t>
        </is>
      </c>
      <c r="L572" s="43" t="inlineStr">
        <is>
          <t>Venta EXP</t>
        </is>
      </c>
      <c r="M572" s="43" t="n"/>
      <c r="N572" s="42" t="inlineStr">
        <is>
          <t>venta</t>
        </is>
      </c>
      <c r="O572" s="42" t="inlineStr">
        <is>
          <t>kg</t>
        </is>
      </c>
      <c r="P572" s="45" t="n">
        <v>-416.25</v>
      </c>
      <c r="Q572" s="46" t="n">
        <v>158496.184</v>
      </c>
      <c r="R572" s="45" t="n">
        <v>66873557.5199998</v>
      </c>
      <c r="S572" s="47" t="n">
        <v>-0.375044753380309</v>
      </c>
      <c r="T572" s="45" t="n">
        <v>-337.540278042278</v>
      </c>
      <c r="U572" s="45" t="n">
        <v>11817.036</v>
      </c>
      <c r="V572" s="45" t="n">
        <v>31285.7159999999</v>
      </c>
      <c r="W572" s="45" t="n">
        <v>20564.3592</v>
      </c>
      <c r="X572" s="45" t="n">
        <v>10636.8416</v>
      </c>
      <c r="Y572" s="45" t="n">
        <v>0</v>
      </c>
      <c r="Z572" s="45" t="n">
        <v>0</v>
      </c>
      <c r="AA572" s="45" t="n">
        <v>0</v>
      </c>
      <c r="AB572" s="45" t="n">
        <v>0</v>
      </c>
      <c r="AC572" s="45" t="n">
        <v>0</v>
      </c>
      <c r="AD572" s="45" t="n">
        <v>0</v>
      </c>
      <c r="AE572" s="45" t="n">
        <v>0</v>
      </c>
      <c r="AF572" s="45" t="n">
        <v>0</v>
      </c>
    </row>
    <row r="573" ht="15" customHeight="1" s="176">
      <c r="A573" s="36" t="inlineStr">
        <is>
          <t>P-0570</t>
        </is>
      </c>
      <c r="B573" s="36" t="inlineStr">
        <is>
          <t>2026/27</t>
        </is>
      </c>
      <c r="C573" s="36" t="inlineStr">
        <is>
          <t>Santa Catalina</t>
        </is>
      </c>
      <c r="D573" s="37" t="inlineStr">
        <is>
          <t>Fino 49 7,7 ha</t>
        </is>
      </c>
      <c r="E573" s="36" t="inlineStr">
        <is>
          <t>Limon</t>
        </is>
      </c>
      <c r="F573" s="36" t="inlineStr">
        <is>
          <t>Fino 49</t>
        </is>
      </c>
      <c r="G573" s="36" t="inlineStr">
        <is>
          <t>Producción</t>
        </is>
      </c>
      <c r="H573" s="38" t="n">
        <v>7.7</v>
      </c>
      <c r="I573" s="38" t="n">
        <v>7.7</v>
      </c>
      <c r="J573" s="36" t="inlineStr">
        <is>
          <t>Costo</t>
        </is>
      </c>
      <c r="K573" s="37" t="inlineStr">
        <is>
          <t>1- M.O. directa</t>
        </is>
      </c>
      <c r="L573" s="37" t="inlineStr">
        <is>
          <t>1- Cosecha EXP</t>
        </is>
      </c>
      <c r="M573" s="37" t="inlineStr">
        <is>
          <t>450 kg/jh, 15 jh/cuadrilla $85/kg prom año</t>
        </is>
      </c>
      <c r="N573" s="36" t="inlineStr">
        <is>
          <t>trato</t>
        </is>
      </c>
      <c r="O573" s="36" t="inlineStr">
        <is>
          <t>kg</t>
        </is>
      </c>
      <c r="P573" s="39" t="n">
        <v>83</v>
      </c>
      <c r="Q573" s="40" t="n">
        <v>199430</v>
      </c>
      <c r="R573" s="39" t="n">
        <v>16413089</v>
      </c>
      <c r="S573" s="41" t="n">
        <v>0.0914444444444444</v>
      </c>
      <c r="T573" s="39" t="n">
        <v>82.3</v>
      </c>
      <c r="U573" s="39" t="n">
        <v>2659.06666666667</v>
      </c>
      <c r="V573" s="39" t="n">
        <v>6913.57333333333</v>
      </c>
      <c r="W573" s="39" t="n">
        <v>5462.16611111111</v>
      </c>
      <c r="X573" s="39" t="n">
        <v>3201.95944444445</v>
      </c>
      <c r="Y573" s="39" t="n">
        <v>0</v>
      </c>
      <c r="Z573" s="39" t="n">
        <v>0</v>
      </c>
      <c r="AA573" s="39" t="n">
        <v>0</v>
      </c>
      <c r="AB573" s="39" t="n">
        <v>0</v>
      </c>
      <c r="AC573" s="39" t="n">
        <v>0</v>
      </c>
      <c r="AD573" s="39" t="n">
        <v>0</v>
      </c>
      <c r="AE573" s="39" t="n">
        <v>0</v>
      </c>
      <c r="AF573" s="39" t="n">
        <v>0</v>
      </c>
    </row>
    <row r="574" ht="15" customHeight="1" s="176">
      <c r="A574" s="30" t="inlineStr">
        <is>
          <t>P-0571</t>
        </is>
      </c>
      <c r="B574" s="30" t="inlineStr">
        <is>
          <t>2026/27</t>
        </is>
      </c>
      <c r="C574" s="30" t="inlineStr">
        <is>
          <t>Santa Catalina</t>
        </is>
      </c>
      <c r="D574" s="31" t="inlineStr">
        <is>
          <t>Fino 49 7,7 ha</t>
        </is>
      </c>
      <c r="E574" s="30" t="inlineStr">
        <is>
          <t>Limon</t>
        </is>
      </c>
      <c r="F574" s="30" t="inlineStr">
        <is>
          <t>Fino 49</t>
        </is>
      </c>
      <c r="G574" s="30" t="inlineStr">
        <is>
          <t>Producción</t>
        </is>
      </c>
      <c r="H574" s="32" t="n">
        <v>7.7</v>
      </c>
      <c r="I574" s="32" t="n">
        <v>7.7</v>
      </c>
      <c r="J574" s="30" t="inlineStr">
        <is>
          <t>Costo</t>
        </is>
      </c>
      <c r="K574" s="31" t="inlineStr">
        <is>
          <t>1- M.O. directa</t>
        </is>
      </c>
      <c r="L574" s="31" t="inlineStr">
        <is>
          <t>1- Cosecha M.I</t>
        </is>
      </c>
      <c r="M574" s="31" t="inlineStr">
        <is>
          <t>450 kg/jh, 15 jh/cuadrilla $85/kg prom año</t>
        </is>
      </c>
      <c r="N574" s="30" t="inlineStr">
        <is>
          <t>trato</t>
        </is>
      </c>
      <c r="O574" s="30" t="inlineStr">
        <is>
          <t>kg</t>
        </is>
      </c>
      <c r="P574" s="33" t="n"/>
      <c r="Q574" s="34" t="n">
        <v>339570</v>
      </c>
      <c r="R574" s="33" t="n">
        <v>21919243.5</v>
      </c>
      <c r="S574" s="35" t="n">
        <v>0.0717222222222222</v>
      </c>
      <c r="T574" s="33" t="n">
        <v>64.55</v>
      </c>
      <c r="U574" s="33" t="n">
        <v>1509.2</v>
      </c>
      <c r="V574" s="33" t="n">
        <v>3018.4</v>
      </c>
      <c r="W574" s="33" t="n">
        <v>2244.935</v>
      </c>
      <c r="X574" s="33" t="n">
        <v>1282.82</v>
      </c>
      <c r="Y574" s="33" t="n">
        <v>2263.8</v>
      </c>
      <c r="Z574" s="33" t="n">
        <v>2641.1</v>
      </c>
      <c r="AA574" s="33" t="n">
        <v>2641.1</v>
      </c>
      <c r="AB574" s="33" t="n">
        <v>2263.8</v>
      </c>
      <c r="AC574" s="33" t="n">
        <v>2905.21</v>
      </c>
      <c r="AD574" s="33" t="n">
        <v>1811.04</v>
      </c>
      <c r="AE574" s="33" t="n">
        <v>1018.71</v>
      </c>
      <c r="AF574" s="33" t="n">
        <v>754.6</v>
      </c>
    </row>
    <row r="575" ht="15" customHeight="1" s="176">
      <c r="A575" s="42" t="inlineStr">
        <is>
          <t>P-0572</t>
        </is>
      </c>
      <c r="B575" s="42" t="inlineStr">
        <is>
          <t>2026/27</t>
        </is>
      </c>
      <c r="C575" s="42" t="inlineStr">
        <is>
          <t>Santa Catalina</t>
        </is>
      </c>
      <c r="D575" s="43" t="inlineStr">
        <is>
          <t>Fino 49 7,7 ha</t>
        </is>
      </c>
      <c r="E575" s="42" t="inlineStr">
        <is>
          <t>Limon</t>
        </is>
      </c>
      <c r="F575" s="42" t="inlineStr">
        <is>
          <t>Fino 49</t>
        </is>
      </c>
      <c r="G575" s="42" t="inlineStr">
        <is>
          <t>Producción</t>
        </is>
      </c>
      <c r="H575" s="44" t="n">
        <v>7.7</v>
      </c>
      <c r="I575" s="44" t="n">
        <v>7.7</v>
      </c>
      <c r="J575" s="42" t="inlineStr">
        <is>
          <t>Ingreso</t>
        </is>
      </c>
      <c r="K575" s="43" t="inlineStr">
        <is>
          <t>5- Ingresos</t>
        </is>
      </c>
      <c r="L575" s="43" t="inlineStr">
        <is>
          <t>Venta M.I.</t>
        </is>
      </c>
      <c r="M575" s="43" t="n"/>
      <c r="N575" s="42" t="inlineStr">
        <is>
          <t>venta</t>
        </is>
      </c>
      <c r="O575" s="42" t="inlineStr">
        <is>
          <t>kg</t>
        </is>
      </c>
      <c r="P575" s="45" t="n">
        <v>-356.666666666667</v>
      </c>
      <c r="Q575" s="46" t="n">
        <v>285934.11</v>
      </c>
      <c r="R575" s="45" t="n">
        <v>95664844.04399981</v>
      </c>
      <c r="S575" s="47" t="n">
        <v>-0.371743934852683</v>
      </c>
      <c r="T575" s="45" t="n">
        <v>-334.569541367415</v>
      </c>
      <c r="U575" s="45" t="n">
        <v>4501.72799999999</v>
      </c>
      <c r="V575" s="45" t="n">
        <v>1747.37511666666</v>
      </c>
      <c r="W575" s="45" t="n">
        <v>1270.81826666666</v>
      </c>
      <c r="X575" s="45" t="n">
        <v>1334.35918</v>
      </c>
      <c r="Y575" s="45" t="n">
        <v>4765.56849999999</v>
      </c>
      <c r="Z575" s="45" t="n">
        <v>9531.136999999981</v>
      </c>
      <c r="AA575" s="45" t="n">
        <v>14042.5418466666</v>
      </c>
      <c r="AB575" s="45" t="n">
        <v>19062.274</v>
      </c>
      <c r="AC575" s="45" t="n">
        <v>22874.7288</v>
      </c>
      <c r="AD575" s="45" t="n">
        <v>15567.5237666666</v>
      </c>
      <c r="AE575" s="45" t="n">
        <v>10166.5461333333</v>
      </c>
      <c r="AF575" s="45" t="n">
        <v>1429.67055</v>
      </c>
    </row>
    <row r="576" ht="15" customHeight="1" s="176">
      <c r="A576" s="42" t="inlineStr">
        <is>
          <t>P-0573</t>
        </is>
      </c>
      <c r="B576" s="42" t="inlineStr">
        <is>
          <t>2026/27</t>
        </is>
      </c>
      <c r="C576" s="42" t="inlineStr">
        <is>
          <t>Santa Catalina</t>
        </is>
      </c>
      <c r="D576" s="43" t="inlineStr">
        <is>
          <t>eureka 14,4 ha</t>
        </is>
      </c>
      <c r="E576" s="42" t="inlineStr">
        <is>
          <t>Limon</t>
        </is>
      </c>
      <c r="F576" s="42" t="inlineStr">
        <is>
          <t>Eureka</t>
        </is>
      </c>
      <c r="G576" s="42" t="inlineStr">
        <is>
          <t>Producción</t>
        </is>
      </c>
      <c r="H576" s="44" t="n">
        <v>14.4</v>
      </c>
      <c r="I576" s="44" t="n">
        <v>14.4</v>
      </c>
      <c r="J576" s="42" t="inlineStr">
        <is>
          <t>Ingreso</t>
        </is>
      </c>
      <c r="K576" s="43" t="inlineStr">
        <is>
          <t>5- Ingresos</t>
        </is>
      </c>
      <c r="L576" s="43" t="inlineStr">
        <is>
          <t>Venta Desc.</t>
        </is>
      </c>
      <c r="M576" s="43" t="n"/>
      <c r="N576" s="42" t="inlineStr">
        <is>
          <t>venta</t>
        </is>
      </c>
      <c r="O576" s="42" t="inlineStr">
        <is>
          <t>kg</t>
        </is>
      </c>
      <c r="P576" s="45" t="n">
        <v>-222.222222222222</v>
      </c>
      <c r="Q576" s="46" t="n">
        <v>102755.52</v>
      </c>
      <c r="R576" s="45" t="n">
        <v>19654185.6</v>
      </c>
      <c r="S576" s="47" t="n">
        <v>-0.212523706755608</v>
      </c>
      <c r="T576" s="45" t="n">
        <v>-191.271336080047</v>
      </c>
      <c r="U576" s="45" t="n">
        <v>1559.04</v>
      </c>
      <c r="V576" s="45" t="n">
        <v>0</v>
      </c>
      <c r="W576" s="45" t="n">
        <v>0</v>
      </c>
      <c r="X576" s="45" t="n">
        <v>0</v>
      </c>
      <c r="Y576" s="45" t="n">
        <v>1185.408</v>
      </c>
      <c r="Z576" s="45" t="n">
        <v>1975.68</v>
      </c>
      <c r="AA576" s="45" t="n">
        <v>3358.656</v>
      </c>
      <c r="AB576" s="45" t="n">
        <v>3810.24</v>
      </c>
      <c r="AC576" s="45" t="n">
        <v>4656.96</v>
      </c>
      <c r="AD576" s="45" t="n">
        <v>2963.52</v>
      </c>
      <c r="AE576" s="45" t="n">
        <v>1693.44</v>
      </c>
      <c r="AF576" s="45" t="n">
        <v>635.04</v>
      </c>
    </row>
    <row r="577" ht="15" customHeight="1" s="176">
      <c r="A577" s="42" t="inlineStr">
        <is>
          <t>P-0574</t>
        </is>
      </c>
      <c r="B577" s="42" t="inlineStr">
        <is>
          <t>2026/27</t>
        </is>
      </c>
      <c r="C577" s="42" t="inlineStr">
        <is>
          <t>Santa Catalina</t>
        </is>
      </c>
      <c r="D577" s="43" t="inlineStr">
        <is>
          <t>form benjamin 1,93 ha</t>
        </is>
      </c>
      <c r="E577" s="42" t="inlineStr">
        <is>
          <t>Limon</t>
        </is>
      </c>
      <c r="F577" s="42" t="inlineStr">
        <is>
          <t>Benjamin andes</t>
        </is>
      </c>
      <c r="G577" s="42" t="inlineStr">
        <is>
          <t>Formación</t>
        </is>
      </c>
      <c r="H577" s="44" t="n">
        <v>1.93</v>
      </c>
      <c r="I577" s="44" t="n">
        <v>0</v>
      </c>
      <c r="J577" s="42" t="inlineStr">
        <is>
          <t>Ingreso</t>
        </is>
      </c>
      <c r="K577" s="43" t="inlineStr">
        <is>
          <t>5- Ingresos</t>
        </is>
      </c>
      <c r="L577" s="43" t="inlineStr">
        <is>
          <t>Venta EXP</t>
        </is>
      </c>
      <c r="M577" s="43" t="n"/>
      <c r="N577" s="42" t="inlineStr">
        <is>
          <t>venta</t>
        </is>
      </c>
      <c r="O577" s="42" t="inlineStr">
        <is>
          <t>kg</t>
        </is>
      </c>
      <c r="P577" s="45" t="n">
        <v>-315</v>
      </c>
      <c r="Q577" s="46" t="n">
        <v>0</v>
      </c>
      <c r="R577" s="45" t="n">
        <v>0</v>
      </c>
      <c r="S577" s="47" t="n">
        <v>0</v>
      </c>
      <c r="T577" s="45" t="n">
        <v>0</v>
      </c>
      <c r="U577" s="45" t="n">
        <v>0</v>
      </c>
      <c r="V577" s="45" t="n">
        <v>0</v>
      </c>
      <c r="W577" s="45" t="n">
        <v>0</v>
      </c>
      <c r="X577" s="45" t="n">
        <v>0</v>
      </c>
      <c r="Y577" s="45" t="n">
        <v>0</v>
      </c>
      <c r="Z577" s="45" t="n">
        <v>0</v>
      </c>
      <c r="AA577" s="45" t="n">
        <v>0</v>
      </c>
      <c r="AB577" s="45" t="n">
        <v>0</v>
      </c>
      <c r="AC577" s="45" t="n">
        <v>0</v>
      </c>
      <c r="AD577" s="45" t="n">
        <v>0</v>
      </c>
      <c r="AE577" s="45" t="n">
        <v>0</v>
      </c>
      <c r="AF577" s="45" t="n">
        <v>0</v>
      </c>
    </row>
    <row r="578" ht="15" customHeight="1" s="176">
      <c r="A578" s="42" t="inlineStr">
        <is>
          <t>P-0575</t>
        </is>
      </c>
      <c r="B578" s="42" t="inlineStr">
        <is>
          <t>2026/27</t>
        </is>
      </c>
      <c r="C578" s="42" t="inlineStr">
        <is>
          <t>Santa Catalina</t>
        </is>
      </c>
      <c r="D578" s="43" t="inlineStr">
        <is>
          <t>mant eureka 2,5 ha</t>
        </is>
      </c>
      <c r="E578" s="42" t="inlineStr">
        <is>
          <t>Limon</t>
        </is>
      </c>
      <c r="F578" s="42" t="inlineStr">
        <is>
          <t>Eureka</t>
        </is>
      </c>
      <c r="G578" s="42" t="inlineStr">
        <is>
          <t>Mantención</t>
        </is>
      </c>
      <c r="H578" s="44" t="n">
        <v>2.5</v>
      </c>
      <c r="I578" s="44" t="n">
        <v>0</v>
      </c>
      <c r="J578" s="42" t="inlineStr">
        <is>
          <t>Ingreso</t>
        </is>
      </c>
      <c r="K578" s="43" t="inlineStr">
        <is>
          <t>5- Ingresos</t>
        </is>
      </c>
      <c r="L578" s="43" t="inlineStr">
        <is>
          <t>Venta EXP</t>
        </is>
      </c>
      <c r="M578" s="43" t="n"/>
      <c r="N578" s="42" t="inlineStr">
        <is>
          <t>venta</t>
        </is>
      </c>
      <c r="O578" s="42" t="inlineStr">
        <is>
          <t>kg</t>
        </is>
      </c>
      <c r="P578" s="45" t="n">
        <v>-315</v>
      </c>
      <c r="Q578" s="46" t="n">
        <v>0</v>
      </c>
      <c r="R578" s="45" t="n">
        <v>0</v>
      </c>
      <c r="S578" s="47" t="n">
        <v>0</v>
      </c>
      <c r="T578" s="45" t="n">
        <v>0</v>
      </c>
      <c r="U578" s="45" t="n">
        <v>0</v>
      </c>
      <c r="V578" s="45" t="n">
        <v>0</v>
      </c>
      <c r="W578" s="45" t="n">
        <v>0</v>
      </c>
      <c r="X578" s="45" t="n">
        <v>0</v>
      </c>
      <c r="Y578" s="45" t="n">
        <v>0</v>
      </c>
      <c r="Z578" s="45" t="n">
        <v>0</v>
      </c>
      <c r="AA578" s="45" t="n">
        <v>0</v>
      </c>
      <c r="AB578" s="45" t="n">
        <v>0</v>
      </c>
      <c r="AC578" s="45" t="n">
        <v>0</v>
      </c>
      <c r="AD578" s="45" t="n">
        <v>0</v>
      </c>
      <c r="AE578" s="45" t="n">
        <v>0</v>
      </c>
      <c r="AF578" s="45" t="n">
        <v>0</v>
      </c>
    </row>
    <row r="579" ht="15" customHeight="1" s="176">
      <c r="A579" s="42" t="inlineStr">
        <is>
          <t>P-0576</t>
        </is>
      </c>
      <c r="B579" s="42" t="inlineStr">
        <is>
          <t>2026/27</t>
        </is>
      </c>
      <c r="C579" s="42" t="inlineStr">
        <is>
          <t>Santa Catalina</t>
        </is>
      </c>
      <c r="D579" s="43" t="inlineStr">
        <is>
          <t>form benjamin 1,93 ha</t>
        </is>
      </c>
      <c r="E579" s="42" t="inlineStr">
        <is>
          <t>Limon</t>
        </is>
      </c>
      <c r="F579" s="42" t="inlineStr">
        <is>
          <t>Benjamin andes</t>
        </is>
      </c>
      <c r="G579" s="42" t="inlineStr">
        <is>
          <t>Formación</t>
        </is>
      </c>
      <c r="H579" s="44" t="n">
        <v>1.93</v>
      </c>
      <c r="I579" s="44" t="n">
        <v>0</v>
      </c>
      <c r="J579" s="42" t="inlineStr">
        <is>
          <t>Ingreso</t>
        </is>
      </c>
      <c r="K579" s="43" t="inlineStr">
        <is>
          <t>5- Ingresos</t>
        </is>
      </c>
      <c r="L579" s="43" t="inlineStr">
        <is>
          <t>Venta M.I.</t>
        </is>
      </c>
      <c r="M579" s="43" t="n"/>
      <c r="N579" s="42" t="inlineStr">
        <is>
          <t>venta</t>
        </is>
      </c>
      <c r="O579" s="42" t="inlineStr">
        <is>
          <t>kg</t>
        </is>
      </c>
      <c r="P579" s="45" t="n">
        <v>-300</v>
      </c>
      <c r="Q579" s="46" t="n">
        <v>0</v>
      </c>
      <c r="R579" s="45" t="n">
        <v>0</v>
      </c>
      <c r="S579" s="47" t="n">
        <v>0</v>
      </c>
      <c r="T579" s="45" t="n">
        <v>0</v>
      </c>
      <c r="U579" s="45" t="n">
        <v>0</v>
      </c>
      <c r="V579" s="45" t="n">
        <v>0</v>
      </c>
      <c r="W579" s="45" t="n">
        <v>0</v>
      </c>
      <c r="X579" s="45" t="n">
        <v>0</v>
      </c>
      <c r="Y579" s="45" t="n">
        <v>0</v>
      </c>
      <c r="Z579" s="45" t="n">
        <v>0</v>
      </c>
      <c r="AA579" s="45" t="n">
        <v>0</v>
      </c>
      <c r="AB579" s="45" t="n">
        <v>0</v>
      </c>
      <c r="AC579" s="45" t="n">
        <v>0</v>
      </c>
      <c r="AD579" s="45" t="n">
        <v>0</v>
      </c>
      <c r="AE579" s="45" t="n">
        <v>0</v>
      </c>
      <c r="AF579" s="45" t="n">
        <v>0</v>
      </c>
    </row>
    <row r="580" ht="15" customHeight="1" s="176">
      <c r="A580" s="30" t="inlineStr">
        <is>
          <t>P-0577</t>
        </is>
      </c>
      <c r="B580" s="30" t="inlineStr">
        <is>
          <t>2026/27</t>
        </is>
      </c>
      <c r="C580" s="30" t="inlineStr">
        <is>
          <t>Santa Catalina</t>
        </is>
      </c>
      <c r="D580" s="31" t="inlineStr">
        <is>
          <t>eureka 14,4 ha</t>
        </is>
      </c>
      <c r="E580" s="30" t="inlineStr">
        <is>
          <t>Limon</t>
        </is>
      </c>
      <c r="F580" s="30" t="inlineStr">
        <is>
          <t>Eureka</t>
        </is>
      </c>
      <c r="G580" s="30" t="inlineStr">
        <is>
          <t>Producción</t>
        </is>
      </c>
      <c r="H580" s="32" t="n">
        <v>14.4</v>
      </c>
      <c r="I580" s="32" t="n">
        <v>14.4</v>
      </c>
      <c r="J580" s="30" t="inlineStr">
        <is>
          <t>Costo</t>
        </is>
      </c>
      <c r="K580" s="31" t="inlineStr">
        <is>
          <t>1- M.O. directa</t>
        </is>
      </c>
      <c r="L580" s="31" t="inlineStr">
        <is>
          <t>1- Cosecha EXP</t>
        </is>
      </c>
      <c r="M580" s="31" t="inlineStr">
        <is>
          <t>450 kg/jh, 15 jh/cuadrilla $85/kg prom año</t>
        </is>
      </c>
      <c r="N580" s="30" t="inlineStr">
        <is>
          <t>trato</t>
        </is>
      </c>
      <c r="O580" s="30" t="inlineStr">
        <is>
          <t>kg</t>
        </is>
      </c>
      <c r="P580" s="33" t="n">
        <v>83</v>
      </c>
      <c r="Q580" s="34" t="n">
        <v>372960</v>
      </c>
      <c r="R580" s="33" t="n">
        <v>30694608</v>
      </c>
      <c r="S580" s="35" t="n">
        <v>0.09144444444444449</v>
      </c>
      <c r="T580" s="33" t="n">
        <v>82.3</v>
      </c>
      <c r="U580" s="33" t="n">
        <v>4972.8</v>
      </c>
      <c r="V580" s="33" t="n">
        <v>12929.28</v>
      </c>
      <c r="W580" s="33" t="n">
        <v>10214.96</v>
      </c>
      <c r="X580" s="33" t="n">
        <v>5988.08</v>
      </c>
      <c r="Y580" s="33" t="n">
        <v>0</v>
      </c>
      <c r="Z580" s="33" t="n">
        <v>0</v>
      </c>
      <c r="AA580" s="33" t="n">
        <v>0</v>
      </c>
      <c r="AB580" s="33" t="n">
        <v>0</v>
      </c>
      <c r="AC580" s="33" t="n">
        <v>0</v>
      </c>
      <c r="AD580" s="33" t="n">
        <v>0</v>
      </c>
      <c r="AE580" s="33" t="n">
        <v>0</v>
      </c>
      <c r="AF580" s="33" t="n">
        <v>0</v>
      </c>
    </row>
    <row r="581" ht="15" customHeight="1" s="176">
      <c r="A581" s="36" t="inlineStr">
        <is>
          <t>P-0578</t>
        </is>
      </c>
      <c r="B581" s="36" t="inlineStr">
        <is>
          <t>2026/27</t>
        </is>
      </c>
      <c r="C581" s="36" t="inlineStr">
        <is>
          <t>Santa Catalina</t>
        </is>
      </c>
      <c r="D581" s="37" t="inlineStr">
        <is>
          <t>eureka 14,4 ha</t>
        </is>
      </c>
      <c r="E581" s="36" t="inlineStr">
        <is>
          <t>Limon</t>
        </is>
      </c>
      <c r="F581" s="36" t="inlineStr">
        <is>
          <t>Eureka</t>
        </is>
      </c>
      <c r="G581" s="36" t="inlineStr">
        <is>
          <t>Producción</t>
        </is>
      </c>
      <c r="H581" s="38" t="n">
        <v>14.4</v>
      </c>
      <c r="I581" s="38" t="n">
        <v>14.4</v>
      </c>
      <c r="J581" s="36" t="inlineStr">
        <is>
          <t>Costo</t>
        </is>
      </c>
      <c r="K581" s="37" t="inlineStr">
        <is>
          <t>1- M.O. directa</t>
        </is>
      </c>
      <c r="L581" s="37" t="inlineStr">
        <is>
          <t>1- Cosecha M.I</t>
        </is>
      </c>
      <c r="M581" s="37" t="inlineStr">
        <is>
          <t>450 kg/jh, 15 jh/cuadrilla $85/kg prom año</t>
        </is>
      </c>
      <c r="N581" s="36" t="inlineStr">
        <is>
          <t>trato</t>
        </is>
      </c>
      <c r="O581" s="36" t="inlineStr">
        <is>
          <t>kg</t>
        </is>
      </c>
      <c r="P581" s="39" t="n"/>
      <c r="Q581" s="40" t="n">
        <v>635040</v>
      </c>
      <c r="R581" s="39" t="n">
        <v>40991832</v>
      </c>
      <c r="S581" s="41" t="n">
        <v>0.0717222222222222</v>
      </c>
      <c r="T581" s="39" t="n">
        <v>64.55</v>
      </c>
      <c r="U581" s="39" t="n">
        <v>2822.4</v>
      </c>
      <c r="V581" s="39" t="n">
        <v>5644.8</v>
      </c>
      <c r="W581" s="39" t="n">
        <v>4198.32</v>
      </c>
      <c r="X581" s="39" t="n">
        <v>2399.04</v>
      </c>
      <c r="Y581" s="39" t="n">
        <v>4233.6</v>
      </c>
      <c r="Z581" s="39" t="n">
        <v>4939.2</v>
      </c>
      <c r="AA581" s="39" t="n">
        <v>4939.2</v>
      </c>
      <c r="AB581" s="39" t="n">
        <v>4233.6</v>
      </c>
      <c r="AC581" s="39" t="n">
        <v>5433.12</v>
      </c>
      <c r="AD581" s="39" t="n">
        <v>3386.88</v>
      </c>
      <c r="AE581" s="39" t="n">
        <v>1905.12</v>
      </c>
      <c r="AF581" s="39" t="n">
        <v>1411.2</v>
      </c>
    </row>
    <row r="582" ht="15" customHeight="1" s="176">
      <c r="A582" s="42" t="inlineStr">
        <is>
          <t>P-0579</t>
        </is>
      </c>
      <c r="B582" s="42" t="inlineStr">
        <is>
          <t>2026/27</t>
        </is>
      </c>
      <c r="C582" s="42" t="inlineStr">
        <is>
          <t>Santa Catalina</t>
        </is>
      </c>
      <c r="D582" s="43" t="inlineStr">
        <is>
          <t>mant eureka 2,5 ha</t>
        </is>
      </c>
      <c r="E582" s="42" t="inlineStr">
        <is>
          <t>Limon</t>
        </is>
      </c>
      <c r="F582" s="42" t="inlineStr">
        <is>
          <t>Eureka</t>
        </is>
      </c>
      <c r="G582" s="42" t="inlineStr">
        <is>
          <t>Mantención</t>
        </is>
      </c>
      <c r="H582" s="44" t="n">
        <v>2.5</v>
      </c>
      <c r="I582" s="44" t="n">
        <v>0</v>
      </c>
      <c r="J582" s="42" t="inlineStr">
        <is>
          <t>Ingreso</t>
        </is>
      </c>
      <c r="K582" s="43" t="inlineStr">
        <is>
          <t>5- Ingresos</t>
        </is>
      </c>
      <c r="L582" s="43" t="inlineStr">
        <is>
          <t>Venta M.I.</t>
        </is>
      </c>
      <c r="M582" s="43" t="n"/>
      <c r="N582" s="42" t="inlineStr">
        <is>
          <t>venta</t>
        </is>
      </c>
      <c r="O582" s="42" t="inlineStr">
        <is>
          <t>kg</t>
        </is>
      </c>
      <c r="P582" s="45" t="n">
        <v>-300</v>
      </c>
      <c r="Q582" s="46" t="n">
        <v>0</v>
      </c>
      <c r="R582" s="45" t="n">
        <v>0</v>
      </c>
      <c r="S582" s="47" t="n">
        <v>0</v>
      </c>
      <c r="T582" s="45" t="n">
        <v>0</v>
      </c>
      <c r="U582" s="45" t="n">
        <v>0</v>
      </c>
      <c r="V582" s="45" t="n">
        <v>0</v>
      </c>
      <c r="W582" s="45" t="n">
        <v>0</v>
      </c>
      <c r="X582" s="45" t="n">
        <v>0</v>
      </c>
      <c r="Y582" s="45" t="n">
        <v>0</v>
      </c>
      <c r="Z582" s="45" t="n">
        <v>0</v>
      </c>
      <c r="AA582" s="45" t="n">
        <v>0</v>
      </c>
      <c r="AB582" s="45" t="n">
        <v>0</v>
      </c>
      <c r="AC582" s="45" t="n">
        <v>0</v>
      </c>
      <c r="AD582" s="45" t="n">
        <v>0</v>
      </c>
      <c r="AE582" s="45" t="n">
        <v>0</v>
      </c>
      <c r="AF582" s="45" t="n">
        <v>0</v>
      </c>
    </row>
    <row r="583" ht="15" customHeight="1" s="176">
      <c r="A583" s="42" t="inlineStr">
        <is>
          <t>P-0580</t>
        </is>
      </c>
      <c r="B583" s="42" t="inlineStr">
        <is>
          <t>2026/27</t>
        </is>
      </c>
      <c r="C583" s="42" t="inlineStr">
        <is>
          <t>Santa Catalina</t>
        </is>
      </c>
      <c r="D583" s="43" t="inlineStr">
        <is>
          <t>eureka 14,4 ha</t>
        </is>
      </c>
      <c r="E583" s="42" t="inlineStr">
        <is>
          <t>Limon</t>
        </is>
      </c>
      <c r="F583" s="42" t="inlineStr">
        <is>
          <t>Eureka</t>
        </is>
      </c>
      <c r="G583" s="42" t="inlineStr">
        <is>
          <t>Producción</t>
        </is>
      </c>
      <c r="H583" s="44" t="n">
        <v>14.4</v>
      </c>
      <c r="I583" s="44" t="n">
        <v>14.4</v>
      </c>
      <c r="J583" s="42" t="inlineStr">
        <is>
          <t>Ingreso</t>
        </is>
      </c>
      <c r="K583" s="43" t="inlineStr">
        <is>
          <t>5- Ingresos</t>
        </is>
      </c>
      <c r="L583" s="43" t="inlineStr">
        <is>
          <t>Venta EXP</t>
        </is>
      </c>
      <c r="M583" s="43" t="n"/>
      <c r="N583" s="42" t="inlineStr">
        <is>
          <t>venta</t>
        </is>
      </c>
      <c r="O583" s="42" t="inlineStr">
        <is>
          <t>kg</t>
        </is>
      </c>
      <c r="P583" s="45" t="n">
        <v>-416.25</v>
      </c>
      <c r="Q583" s="46" t="n">
        <v>296408.447999999</v>
      </c>
      <c r="R583" s="45" t="n">
        <v>125062237.44</v>
      </c>
      <c r="S583" s="47" t="n">
        <v>-0.375044753380309</v>
      </c>
      <c r="T583" s="45" t="n">
        <v>-337.540278042278</v>
      </c>
      <c r="U583" s="45" t="n">
        <v>22099.392</v>
      </c>
      <c r="V583" s="45" t="n">
        <v>58508.3519999999</v>
      </c>
      <c r="W583" s="45" t="n">
        <v>38458.0223999999</v>
      </c>
      <c r="X583" s="45" t="n">
        <v>19892.2752</v>
      </c>
      <c r="Y583" s="45" t="n">
        <v>0</v>
      </c>
      <c r="Z583" s="45" t="n">
        <v>0</v>
      </c>
      <c r="AA583" s="45" t="n">
        <v>0</v>
      </c>
      <c r="AB583" s="45" t="n">
        <v>0</v>
      </c>
      <c r="AC583" s="45" t="n">
        <v>0</v>
      </c>
      <c r="AD583" s="45" t="n">
        <v>0</v>
      </c>
      <c r="AE583" s="45" t="n">
        <v>0</v>
      </c>
      <c r="AF583" s="45" t="n">
        <v>0</v>
      </c>
    </row>
    <row r="584" ht="15" customHeight="1" s="176">
      <c r="A584" s="42" t="inlineStr">
        <is>
          <t>P-0581</t>
        </is>
      </c>
      <c r="B584" s="42" t="inlineStr">
        <is>
          <t>2026/27</t>
        </is>
      </c>
      <c r="C584" s="42" t="inlineStr">
        <is>
          <t>Santa Catalina</t>
        </is>
      </c>
      <c r="D584" s="43" t="inlineStr">
        <is>
          <t>eureka 14,4 ha</t>
        </is>
      </c>
      <c r="E584" s="42" t="inlineStr">
        <is>
          <t>Limon</t>
        </is>
      </c>
      <c r="F584" s="42" t="inlineStr">
        <is>
          <t>Eureka</t>
        </is>
      </c>
      <c r="G584" s="42" t="inlineStr">
        <is>
          <t>Producción</t>
        </is>
      </c>
      <c r="H584" s="44" t="n">
        <v>14.4</v>
      </c>
      <c r="I584" s="44" t="n">
        <v>14.4</v>
      </c>
      <c r="J584" s="42" t="inlineStr">
        <is>
          <t>Ingreso</t>
        </is>
      </c>
      <c r="K584" s="43" t="inlineStr">
        <is>
          <t>5- Ingresos</t>
        </is>
      </c>
      <c r="L584" s="43" t="inlineStr">
        <is>
          <t>Venta M.I.</t>
        </is>
      </c>
      <c r="M584" s="43" t="n"/>
      <c r="N584" s="42" t="inlineStr">
        <is>
          <t>venta</t>
        </is>
      </c>
      <c r="O584" s="42" t="inlineStr">
        <is>
          <t>kg</t>
        </is>
      </c>
      <c r="P584" s="45" t="n">
        <v>-356.666666666667</v>
      </c>
      <c r="Q584" s="46" t="n">
        <v>534733.92</v>
      </c>
      <c r="R584" s="45" t="n">
        <v>178905682.368</v>
      </c>
      <c r="S584" s="47" t="n">
        <v>-0.371743934852683</v>
      </c>
      <c r="T584" s="45" t="n">
        <v>-334.569541367415</v>
      </c>
      <c r="U584" s="45" t="n">
        <v>8418.816000000001</v>
      </c>
      <c r="V584" s="45" t="n">
        <v>3267.8184</v>
      </c>
      <c r="W584" s="45" t="n">
        <v>2376.5952</v>
      </c>
      <c r="X584" s="45" t="n">
        <v>2495.42496</v>
      </c>
      <c r="Y584" s="45" t="n">
        <v>8912.232</v>
      </c>
      <c r="Z584" s="45" t="n">
        <v>17824.464</v>
      </c>
      <c r="AA584" s="45" t="n">
        <v>26261.37696</v>
      </c>
      <c r="AB584" s="45" t="n">
        <v>35648.928</v>
      </c>
      <c r="AC584" s="45" t="n">
        <v>42778.7136</v>
      </c>
      <c r="AD584" s="45" t="n">
        <v>29113.2912</v>
      </c>
      <c r="AE584" s="45" t="n">
        <v>19012.7616</v>
      </c>
      <c r="AF584" s="45" t="n">
        <v>2673.6696</v>
      </c>
    </row>
    <row r="585" ht="15" customHeight="1" s="176">
      <c r="A585" s="48" t="inlineStr">
        <is>
          <t>P-0582</t>
        </is>
      </c>
      <c r="B585" s="48" t="inlineStr">
        <is>
          <t>2026/27</t>
        </is>
      </c>
      <c r="C585" s="48" t="inlineStr">
        <is>
          <t>Santa Catalina</t>
        </is>
      </c>
      <c r="D585" s="49" t="inlineStr">
        <is>
          <t>form benjamin 1,93 ha</t>
        </is>
      </c>
      <c r="E585" s="48" t="inlineStr">
        <is>
          <t>Limon</t>
        </is>
      </c>
      <c r="F585" s="48" t="inlineStr">
        <is>
          <t>Benjamin andes</t>
        </is>
      </c>
      <c r="G585" s="48" t="inlineStr">
        <is>
          <t>Formación</t>
        </is>
      </c>
      <c r="H585" s="50" t="n">
        <v>1.93</v>
      </c>
      <c r="I585" s="50" t="n">
        <v>0</v>
      </c>
      <c r="J585" s="48" t="n"/>
      <c r="K585" s="49" t="inlineStr">
        <is>
          <t>6- Inversión</t>
        </is>
      </c>
      <c r="L585" s="49" t="n"/>
      <c r="M585" s="49" t="n"/>
      <c r="N585" s="48" t="n"/>
      <c r="O585" s="48" t="n"/>
      <c r="P585" s="51" t="n"/>
      <c r="Q585" s="52" t="n"/>
      <c r="R585" s="51" t="n">
        <v>0</v>
      </c>
      <c r="S585" s="53" t="n">
        <v>0</v>
      </c>
      <c r="T585" s="51" t="n">
        <v>0</v>
      </c>
      <c r="U585" s="51" t="n">
        <v>0</v>
      </c>
      <c r="V585" s="51" t="n">
        <v>0</v>
      </c>
      <c r="W585" s="51" t="n">
        <v>0</v>
      </c>
      <c r="X585" s="51" t="n">
        <v>0</v>
      </c>
      <c r="Y585" s="51" t="n">
        <v>0</v>
      </c>
      <c r="Z585" s="51" t="n">
        <v>0</v>
      </c>
      <c r="AA585" s="51" t="n">
        <v>0</v>
      </c>
      <c r="AB585" s="51" t="n">
        <v>0</v>
      </c>
      <c r="AC585" s="51" t="n">
        <v>0</v>
      </c>
      <c r="AD585" s="51" t="n">
        <v>0</v>
      </c>
      <c r="AE585" s="51" t="n">
        <v>0</v>
      </c>
      <c r="AF585" s="51" t="n">
        <v>0</v>
      </c>
    </row>
    <row r="586" ht="15" customHeight="1" s="176">
      <c r="A586" s="48" t="inlineStr">
        <is>
          <t>P-0583</t>
        </is>
      </c>
      <c r="B586" s="48" t="inlineStr">
        <is>
          <t>2026/27</t>
        </is>
      </c>
      <c r="C586" s="48" t="inlineStr">
        <is>
          <t>Santa Catalina</t>
        </is>
      </c>
      <c r="D586" s="49" t="inlineStr">
        <is>
          <t>mant eureka 2,5 ha</t>
        </is>
      </c>
      <c r="E586" s="48" t="inlineStr">
        <is>
          <t>Limon</t>
        </is>
      </c>
      <c r="F586" s="48" t="inlineStr">
        <is>
          <t>Eureka</t>
        </is>
      </c>
      <c r="G586" s="48" t="inlineStr">
        <is>
          <t>Mantención</t>
        </is>
      </c>
      <c r="H586" s="50" t="n">
        <v>2.5</v>
      </c>
      <c r="I586" s="50" t="n">
        <v>0</v>
      </c>
      <c r="J586" s="48" t="n"/>
      <c r="K586" s="49" t="inlineStr">
        <is>
          <t>6- Inversión</t>
        </is>
      </c>
      <c r="L586" s="49" t="n"/>
      <c r="M586" s="49" t="n"/>
      <c r="N586" s="48" t="n"/>
      <c r="O586" s="48" t="n"/>
      <c r="P586" s="51" t="n"/>
      <c r="Q586" s="52" t="n"/>
      <c r="R586" s="51" t="n">
        <v>0</v>
      </c>
      <c r="S586" s="53" t="n">
        <v>0</v>
      </c>
      <c r="T586" s="51" t="n">
        <v>0</v>
      </c>
      <c r="U586" s="51" t="n">
        <v>0</v>
      </c>
      <c r="V586" s="51" t="n">
        <v>0</v>
      </c>
      <c r="W586" s="51" t="n">
        <v>0</v>
      </c>
      <c r="X586" s="51" t="n">
        <v>0</v>
      </c>
      <c r="Y586" s="51" t="n">
        <v>0</v>
      </c>
      <c r="Z586" s="51" t="n">
        <v>0</v>
      </c>
      <c r="AA586" s="51" t="n">
        <v>0</v>
      </c>
      <c r="AB586" s="51" t="n">
        <v>0</v>
      </c>
      <c r="AC586" s="51" t="n">
        <v>0</v>
      </c>
      <c r="AD586" s="51" t="n">
        <v>0</v>
      </c>
      <c r="AE586" s="51" t="n">
        <v>0</v>
      </c>
      <c r="AF586" s="51" t="n">
        <v>0</v>
      </c>
    </row>
    <row r="587" ht="15" customHeight="1" s="176">
      <c r="A587" s="48" t="inlineStr">
        <is>
          <t>P-0584</t>
        </is>
      </c>
      <c r="B587" s="48" t="inlineStr">
        <is>
          <t>2026/27</t>
        </is>
      </c>
      <c r="C587" s="48" t="inlineStr">
        <is>
          <t>Santa Catalina</t>
        </is>
      </c>
      <c r="D587" s="49" t="inlineStr">
        <is>
          <t>Fino 49 7,7 ha</t>
        </is>
      </c>
      <c r="E587" s="48" t="inlineStr">
        <is>
          <t>Limon</t>
        </is>
      </c>
      <c r="F587" s="48" t="inlineStr">
        <is>
          <t>Fino 49</t>
        </is>
      </c>
      <c r="G587" s="48" t="inlineStr">
        <is>
          <t>Producción</t>
        </is>
      </c>
      <c r="H587" s="50" t="n">
        <v>7.7</v>
      </c>
      <c r="I587" s="50" t="n">
        <v>7.7</v>
      </c>
      <c r="J587" s="48" t="n"/>
      <c r="K587" s="49" t="inlineStr">
        <is>
          <t>6- Inversión</t>
        </is>
      </c>
      <c r="L587" s="49" t="n"/>
      <c r="M587" s="49" t="n"/>
      <c r="N587" s="48" t="n"/>
      <c r="O587" s="48" t="n">
        <v>0.06</v>
      </c>
      <c r="P587" s="51" t="n">
        <v>0</v>
      </c>
      <c r="Q587" s="52" t="n"/>
      <c r="R587" s="51" t="n">
        <v>0</v>
      </c>
      <c r="S587" s="53" t="n">
        <v>0</v>
      </c>
      <c r="T587" s="51" t="n">
        <v>0</v>
      </c>
      <c r="U587" s="51" t="n">
        <v>0</v>
      </c>
      <c r="V587" s="51" t="n">
        <v>0</v>
      </c>
      <c r="W587" s="51" t="n">
        <v>0</v>
      </c>
      <c r="X587" s="51" t="n">
        <v>0</v>
      </c>
      <c r="Y587" s="51" t="n">
        <v>0</v>
      </c>
      <c r="Z587" s="51" t="n">
        <v>0</v>
      </c>
      <c r="AA587" s="51" t="n">
        <v>0</v>
      </c>
      <c r="AB587" s="51" t="n">
        <v>0</v>
      </c>
      <c r="AC587" s="51" t="n">
        <v>0</v>
      </c>
      <c r="AD587" s="51" t="n">
        <v>0</v>
      </c>
      <c r="AE587" s="51" t="n">
        <v>0</v>
      </c>
      <c r="AF587" s="51" t="n">
        <v>0</v>
      </c>
    </row>
    <row r="588" ht="15" customHeight="1" s="176">
      <c r="A588" s="48" t="inlineStr">
        <is>
          <t>P-0585</t>
        </is>
      </c>
      <c r="B588" s="48" t="inlineStr">
        <is>
          <t>2026/27</t>
        </is>
      </c>
      <c r="C588" s="48" t="inlineStr">
        <is>
          <t>Santa Catalina</t>
        </is>
      </c>
      <c r="D588" s="49" t="inlineStr">
        <is>
          <t>eureka 22,55</t>
        </is>
      </c>
      <c r="E588" s="48" t="inlineStr">
        <is>
          <t>Limon</t>
        </is>
      </c>
      <c r="F588" s="48" t="inlineStr">
        <is>
          <t>Eureka</t>
        </is>
      </c>
      <c r="G588" s="48" t="inlineStr">
        <is>
          <t>Producción</t>
        </is>
      </c>
      <c r="H588" s="50" t="n">
        <v>22.55</v>
      </c>
      <c r="I588" s="50" t="n">
        <v>22.55</v>
      </c>
      <c r="J588" s="48" t="n"/>
      <c r="K588" s="49" t="inlineStr">
        <is>
          <t>6- Inversión</t>
        </is>
      </c>
      <c r="L588" s="49" t="n"/>
      <c r="M588" s="49" t="n"/>
      <c r="N588" s="48" t="n"/>
      <c r="O588" s="48" t="n"/>
      <c r="P588" s="51" t="n"/>
      <c r="Q588" s="52" t="n"/>
      <c r="R588" s="51" t="n">
        <v>0</v>
      </c>
      <c r="S588" s="53" t="n">
        <v>0</v>
      </c>
      <c r="T588" s="51" t="n">
        <v>0</v>
      </c>
      <c r="U588" s="51" t="n">
        <v>0</v>
      </c>
      <c r="V588" s="51" t="n">
        <v>0</v>
      </c>
      <c r="W588" s="51" t="n">
        <v>0</v>
      </c>
      <c r="X588" s="51" t="n">
        <v>0</v>
      </c>
      <c r="Y588" s="51" t="n">
        <v>0</v>
      </c>
      <c r="Z588" s="51" t="n">
        <v>0</v>
      </c>
      <c r="AA588" s="51" t="n">
        <v>0</v>
      </c>
      <c r="AB588" s="51" t="n">
        <v>0</v>
      </c>
      <c r="AC588" s="51" t="n">
        <v>0</v>
      </c>
      <c r="AD588" s="51" t="n">
        <v>0</v>
      </c>
      <c r="AE588" s="51" t="n">
        <v>0</v>
      </c>
      <c r="AF588" s="51" t="n">
        <v>0</v>
      </c>
    </row>
    <row r="589" ht="15" customHeight="1" s="176">
      <c r="A589" s="48" t="inlineStr">
        <is>
          <t>P-0586</t>
        </is>
      </c>
      <c r="B589" s="48" t="inlineStr">
        <is>
          <t>2026/27</t>
        </is>
      </c>
      <c r="C589" s="48" t="inlineStr">
        <is>
          <t>Santa Catalina</t>
        </is>
      </c>
      <c r="D589" s="49" t="inlineStr">
        <is>
          <t>eureka 14,4 ha</t>
        </is>
      </c>
      <c r="E589" s="48" t="inlineStr">
        <is>
          <t>Limon</t>
        </is>
      </c>
      <c r="F589" s="48" t="inlineStr">
        <is>
          <t>Eureka</t>
        </is>
      </c>
      <c r="G589" s="48" t="inlineStr">
        <is>
          <t>Producción</t>
        </is>
      </c>
      <c r="H589" s="50" t="n">
        <v>14.4</v>
      </c>
      <c r="I589" s="50" t="n">
        <v>14.4</v>
      </c>
      <c r="J589" s="48" t="n"/>
      <c r="K589" s="49" t="inlineStr">
        <is>
          <t>6- Inversión</t>
        </is>
      </c>
      <c r="L589" s="49" t="n"/>
      <c r="M589" s="49" t="n"/>
      <c r="N589" s="48" t="n"/>
      <c r="O589" s="48" t="n"/>
      <c r="P589" s="51" t="n"/>
      <c r="Q589" s="52" t="n"/>
      <c r="R589" s="51" t="n">
        <v>0</v>
      </c>
      <c r="S589" s="53" t="n">
        <v>0</v>
      </c>
      <c r="T589" s="51" t="n">
        <v>0</v>
      </c>
      <c r="U589" s="51" t="n">
        <v>0</v>
      </c>
      <c r="V589" s="51" t="n">
        <v>0</v>
      </c>
      <c r="W589" s="51" t="n">
        <v>0</v>
      </c>
      <c r="X589" s="51" t="n">
        <v>0</v>
      </c>
      <c r="Y589" s="51" t="n">
        <v>0</v>
      </c>
      <c r="Z589" s="51" t="n">
        <v>0</v>
      </c>
      <c r="AA589" s="51" t="n">
        <v>0</v>
      </c>
      <c r="AB589" s="51" t="n">
        <v>0</v>
      </c>
      <c r="AC589" s="51" t="n">
        <v>0</v>
      </c>
      <c r="AD589" s="51" t="n">
        <v>0</v>
      </c>
      <c r="AE589" s="51" t="n">
        <v>0</v>
      </c>
      <c r="AF589" s="51" t="n">
        <v>0</v>
      </c>
    </row>
    <row r="590" ht="15" customHeight="1" s="176">
      <c r="A590" s="48" t="inlineStr">
        <is>
          <t>P-0587</t>
        </is>
      </c>
      <c r="B590" s="48" t="inlineStr">
        <is>
          <t>2026/27</t>
        </is>
      </c>
      <c r="C590" s="48" t="inlineStr">
        <is>
          <t>Santa Catalina</t>
        </is>
      </c>
      <c r="D590" s="49" t="inlineStr">
        <is>
          <t>eureka 10,6 ha</t>
        </is>
      </c>
      <c r="E590" s="48" t="inlineStr">
        <is>
          <t>Limon</t>
        </is>
      </c>
      <c r="F590" s="48" t="inlineStr">
        <is>
          <t>Eureka</t>
        </is>
      </c>
      <c r="G590" s="48" t="inlineStr">
        <is>
          <t>Producción</t>
        </is>
      </c>
      <c r="H590" s="50" t="n">
        <v>10.6</v>
      </c>
      <c r="I590" s="50" t="n">
        <v>10.6</v>
      </c>
      <c r="J590" s="48" t="n"/>
      <c r="K590" s="49" t="inlineStr">
        <is>
          <t>6- Inversión</t>
        </is>
      </c>
      <c r="L590" s="49" t="n"/>
      <c r="M590" s="49" t="n"/>
      <c r="N590" s="48" t="n"/>
      <c r="O590" s="48" t="n"/>
      <c r="P590" s="51" t="n"/>
      <c r="Q590" s="52" t="n"/>
      <c r="R590" s="51" t="n">
        <v>0</v>
      </c>
      <c r="S590" s="53" t="n">
        <v>0</v>
      </c>
      <c r="T590" s="51" t="n">
        <v>0</v>
      </c>
      <c r="U590" s="51" t="n">
        <v>0</v>
      </c>
      <c r="V590" s="51" t="n">
        <v>0</v>
      </c>
      <c r="W590" s="51" t="n">
        <v>0</v>
      </c>
      <c r="X590" s="51" t="n">
        <v>0</v>
      </c>
      <c r="Y590" s="51" t="n">
        <v>0</v>
      </c>
      <c r="Z590" s="51" t="n">
        <v>0</v>
      </c>
      <c r="AA590" s="51" t="n">
        <v>0</v>
      </c>
      <c r="AB590" s="51" t="n">
        <v>0</v>
      </c>
      <c r="AC590" s="51" t="n">
        <v>0</v>
      </c>
      <c r="AD590" s="51" t="n">
        <v>0</v>
      </c>
      <c r="AE590" s="51" t="n">
        <v>0</v>
      </c>
      <c r="AF590" s="51" t="n">
        <v>0</v>
      </c>
    </row>
    <row r="591" ht="15" customHeight="1" s="176">
      <c r="A591" s="48" t="inlineStr">
        <is>
          <t>P-0588</t>
        </is>
      </c>
      <c r="B591" s="48" t="inlineStr">
        <is>
          <t>2026/27</t>
        </is>
      </c>
      <c r="C591" s="48" t="inlineStr">
        <is>
          <t>Santa Catalina</t>
        </is>
      </c>
      <c r="D591" s="49" t="inlineStr">
        <is>
          <t>eureka 10,6 ha</t>
        </is>
      </c>
      <c r="E591" s="48" t="inlineStr">
        <is>
          <t>Limon</t>
        </is>
      </c>
      <c r="F591" s="48" t="inlineStr">
        <is>
          <t>Eureka</t>
        </is>
      </c>
      <c r="G591" s="48" t="inlineStr">
        <is>
          <t>Producción</t>
        </is>
      </c>
      <c r="H591" s="50" t="n">
        <v>10.6</v>
      </c>
      <c r="I591" s="50" t="n">
        <v>10.6</v>
      </c>
      <c r="J591" s="48" t="n"/>
      <c r="K591" s="49" t="inlineStr">
        <is>
          <t>6- Inversión</t>
        </is>
      </c>
      <c r="L591" s="49" t="n"/>
      <c r="M591" s="49" t="n"/>
      <c r="N591" s="48" t="n"/>
      <c r="O591" s="48" t="n"/>
      <c r="P591" s="51" t="n"/>
      <c r="Q591" s="52" t="n"/>
      <c r="R591" s="51" t="n">
        <v>0</v>
      </c>
      <c r="S591" s="53" t="n">
        <v>0</v>
      </c>
      <c r="T591" s="51" t="n">
        <v>0</v>
      </c>
      <c r="U591" s="51" t="n">
        <v>0</v>
      </c>
      <c r="V591" s="51" t="n">
        <v>0</v>
      </c>
      <c r="W591" s="51" t="n">
        <v>0</v>
      </c>
      <c r="X591" s="51" t="n">
        <v>0</v>
      </c>
      <c r="Y591" s="51" t="n">
        <v>0</v>
      </c>
      <c r="Z591" s="51" t="n">
        <v>0</v>
      </c>
      <c r="AA591" s="51" t="n">
        <v>0</v>
      </c>
      <c r="AB591" s="51" t="n">
        <v>0</v>
      </c>
      <c r="AC591" s="51" t="n">
        <v>0</v>
      </c>
      <c r="AD591" s="51" t="n">
        <v>0</v>
      </c>
      <c r="AE591" s="51" t="n">
        <v>0</v>
      </c>
      <c r="AF591" s="51" t="n">
        <v>0</v>
      </c>
    </row>
    <row r="592" ht="15" customHeight="1" s="176">
      <c r="A592" s="30" t="inlineStr">
        <is>
          <t>P-0589</t>
        </is>
      </c>
      <c r="B592" s="30" t="inlineStr">
        <is>
          <t>2026/27</t>
        </is>
      </c>
      <c r="C592" s="30" t="inlineStr">
        <is>
          <t>Siberia</t>
        </is>
      </c>
      <c r="D592" s="31" t="inlineStr">
        <is>
          <t>S. Celebration 7,14</t>
        </is>
      </c>
      <c r="E592" s="30" t="inlineStr">
        <is>
          <t>Uvas</t>
        </is>
      </c>
      <c r="F592" s="30" t="inlineStr">
        <is>
          <t>S. celebration</t>
        </is>
      </c>
      <c r="G592" s="30" t="inlineStr">
        <is>
          <t>Producción</t>
        </is>
      </c>
      <c r="H592" s="32" t="n">
        <v>7.14</v>
      </c>
      <c r="I592" s="32" t="n">
        <v>7.14</v>
      </c>
      <c r="J592" s="30" t="inlineStr">
        <is>
          <t>Costo</t>
        </is>
      </c>
      <c r="K592" s="31" t="inlineStr">
        <is>
          <t>2- M.O. indirecta</t>
        </is>
      </c>
      <c r="L592" s="31" t="inlineStr">
        <is>
          <t xml:space="preserve">1- ADM. GENERAL </t>
        </is>
      </c>
      <c r="M592" s="31" t="inlineStr">
        <is>
          <t>Administración general</t>
        </is>
      </c>
      <c r="N592" s="30" t="inlineStr">
        <is>
          <t>día</t>
        </is>
      </c>
      <c r="O592" s="30" t="inlineStr">
        <is>
          <t>ha</t>
        </is>
      </c>
      <c r="P592" s="33" t="n">
        <v>66600</v>
      </c>
      <c r="Q592" s="34" t="n">
        <v>7.14</v>
      </c>
      <c r="R592" s="33" t="n">
        <v>5706288</v>
      </c>
      <c r="S592" s="35" t="n">
        <v>0.0292682926829268</v>
      </c>
      <c r="T592" s="33" t="n">
        <v>26.3414634146341</v>
      </c>
      <c r="U592" s="33" t="n">
        <v>528.36</v>
      </c>
      <c r="V592" s="33" t="n">
        <v>528.36</v>
      </c>
      <c r="W592" s="33" t="n">
        <v>528.36</v>
      </c>
      <c r="X592" s="33" t="n">
        <v>528.36</v>
      </c>
      <c r="Y592" s="33" t="n">
        <v>528.36</v>
      </c>
      <c r="Z592" s="33" t="n">
        <v>528.36</v>
      </c>
      <c r="AA592" s="33" t="n">
        <v>528.36</v>
      </c>
      <c r="AB592" s="33" t="n">
        <v>528.36</v>
      </c>
      <c r="AC592" s="33" t="n">
        <v>528.36</v>
      </c>
      <c r="AD592" s="33" t="n">
        <v>528.36</v>
      </c>
      <c r="AE592" s="33" t="n">
        <v>528.36</v>
      </c>
      <c r="AF592" s="33" t="n">
        <v>528.36</v>
      </c>
    </row>
    <row r="593" ht="15" customHeight="1" s="176">
      <c r="A593" s="36" t="inlineStr">
        <is>
          <t>P-0590</t>
        </is>
      </c>
      <c r="B593" s="36" t="inlineStr">
        <is>
          <t>2026/27</t>
        </is>
      </c>
      <c r="C593" s="36" t="inlineStr">
        <is>
          <t>Siberia</t>
        </is>
      </c>
      <c r="D593" s="37" t="inlineStr">
        <is>
          <t>S. Celebration 7,14</t>
        </is>
      </c>
      <c r="E593" s="36" t="inlineStr">
        <is>
          <t>Uvas</t>
        </is>
      </c>
      <c r="F593" s="36" t="inlineStr">
        <is>
          <t>S. celebration</t>
        </is>
      </c>
      <c r="G593" s="36" t="inlineStr">
        <is>
          <t>Producción</t>
        </is>
      </c>
      <c r="H593" s="38" t="n">
        <v>7.14</v>
      </c>
      <c r="I593" s="38" t="n">
        <v>7.14</v>
      </c>
      <c r="J593" s="36" t="inlineStr">
        <is>
          <t>Costo</t>
        </is>
      </c>
      <c r="K593" s="37" t="inlineStr">
        <is>
          <t>3- Gasto general</t>
        </is>
      </c>
      <c r="L593" s="37" t="inlineStr">
        <is>
          <t>1- GASTOS DEL PERSONAL</t>
        </is>
      </c>
      <c r="M593" s="37" t="inlineStr">
        <is>
          <t xml:space="preserve">movilizacion </t>
        </is>
      </c>
      <c r="N593" s="36" t="n"/>
      <c r="O593" s="36" t="inlineStr">
        <is>
          <t>ha</t>
        </is>
      </c>
      <c r="P593" s="39" t="n">
        <v>146769.662921348</v>
      </c>
      <c r="Q593" s="40" t="n">
        <v>7.14</v>
      </c>
      <c r="R593" s="39" t="n">
        <v>9221831.460674159</v>
      </c>
      <c r="S593" s="41" t="n">
        <v>0.0472999719368588</v>
      </c>
      <c r="T593" s="39" t="n">
        <v>42.5699747431729</v>
      </c>
      <c r="U593" s="39" t="n">
        <v>582.186329588015</v>
      </c>
      <c r="V593" s="39" t="n">
        <v>582.186329588015</v>
      </c>
      <c r="W593" s="39" t="n">
        <v>582.186329588015</v>
      </c>
      <c r="X593" s="39" t="n">
        <v>582.186329588015</v>
      </c>
      <c r="Y593" s="39" t="n">
        <v>582.186329588015</v>
      </c>
      <c r="Z593" s="39" t="n">
        <v>582.186329588015</v>
      </c>
      <c r="AA593" s="39" t="n">
        <v>582.186329588015</v>
      </c>
      <c r="AB593" s="39" t="n">
        <v>1164.37265917603</v>
      </c>
      <c r="AC593" s="39" t="n">
        <v>232.874531835206</v>
      </c>
      <c r="AD593" s="39" t="n">
        <v>2328.74531835206</v>
      </c>
      <c r="AE593" s="39" t="n">
        <v>2328.74531835206</v>
      </c>
      <c r="AF593" s="39" t="n">
        <v>116.437265917603</v>
      </c>
    </row>
    <row r="594" ht="15" customHeight="1" s="176">
      <c r="A594" s="30" t="inlineStr">
        <is>
          <t>P-0591</t>
        </is>
      </c>
      <c r="B594" s="30" t="inlineStr">
        <is>
          <t>2026/27</t>
        </is>
      </c>
      <c r="C594" s="30" t="inlineStr">
        <is>
          <t>Siberia</t>
        </is>
      </c>
      <c r="D594" s="31" t="inlineStr">
        <is>
          <t>S. Celebration 7,14</t>
        </is>
      </c>
      <c r="E594" s="30" t="inlineStr">
        <is>
          <t>Uvas</t>
        </is>
      </c>
      <c r="F594" s="30" t="inlineStr">
        <is>
          <t>S. celebration</t>
        </is>
      </c>
      <c r="G594" s="30" t="inlineStr">
        <is>
          <t>Producción</t>
        </is>
      </c>
      <c r="H594" s="32" t="n">
        <v>7.14</v>
      </c>
      <c r="I594" s="32" t="n">
        <v>7.14</v>
      </c>
      <c r="J594" s="30" t="inlineStr">
        <is>
          <t>Costo</t>
        </is>
      </c>
      <c r="K594" s="31" t="inlineStr">
        <is>
          <t>2- M.O. indirecta</t>
        </is>
      </c>
      <c r="L594" s="31" t="inlineStr">
        <is>
          <t>2- ADMINISTRACION</t>
        </is>
      </c>
      <c r="M594" s="31" t="inlineStr">
        <is>
          <t>Operacion predio</t>
        </is>
      </c>
      <c r="N594" s="30" t="inlineStr">
        <is>
          <t>día</t>
        </is>
      </c>
      <c r="O594" s="30" t="inlineStr">
        <is>
          <t>ha</t>
        </is>
      </c>
      <c r="P594" s="33" t="n">
        <v>8100</v>
      </c>
      <c r="Q594" s="34" t="n">
        <v>7.14</v>
      </c>
      <c r="R594" s="33" t="n">
        <v>694008</v>
      </c>
      <c r="S594" s="35" t="n">
        <v>0.0035596572181938</v>
      </c>
      <c r="T594" s="33" t="n">
        <v>3.20369149637442</v>
      </c>
      <c r="U594" s="33" t="n">
        <v>64.26000000000001</v>
      </c>
      <c r="V594" s="33" t="n">
        <v>64.26000000000001</v>
      </c>
      <c r="W594" s="33" t="n">
        <v>64.26000000000001</v>
      </c>
      <c r="X594" s="33" t="n">
        <v>64.26000000000001</v>
      </c>
      <c r="Y594" s="33" t="n">
        <v>64.26000000000001</v>
      </c>
      <c r="Z594" s="33" t="n">
        <v>64.26000000000001</v>
      </c>
      <c r="AA594" s="33" t="n">
        <v>64.26000000000001</v>
      </c>
      <c r="AB594" s="33" t="n">
        <v>64.26000000000001</v>
      </c>
      <c r="AC594" s="33" t="n">
        <v>64.26000000000001</v>
      </c>
      <c r="AD594" s="33" t="n">
        <v>64.26000000000001</v>
      </c>
      <c r="AE594" s="33" t="n">
        <v>64.26000000000001</v>
      </c>
      <c r="AF594" s="33" t="n">
        <v>64.26000000000001</v>
      </c>
    </row>
    <row r="595" ht="15" customHeight="1" s="176">
      <c r="A595" s="36" t="inlineStr">
        <is>
          <t>P-0592</t>
        </is>
      </c>
      <c r="B595" s="36" t="inlineStr">
        <is>
          <t>2026/27</t>
        </is>
      </c>
      <c r="C595" s="36" t="inlineStr">
        <is>
          <t>Siberia</t>
        </is>
      </c>
      <c r="D595" s="37" t="inlineStr">
        <is>
          <t>S. Celebration 7,14</t>
        </is>
      </c>
      <c r="E595" s="36" t="inlineStr">
        <is>
          <t>Uvas</t>
        </is>
      </c>
      <c r="F595" s="36" t="inlineStr">
        <is>
          <t>S. celebration</t>
        </is>
      </c>
      <c r="G595" s="36" t="inlineStr">
        <is>
          <t>Producción</t>
        </is>
      </c>
      <c r="H595" s="38" t="n">
        <v>7.14</v>
      </c>
      <c r="I595" s="38" t="n">
        <v>7.14</v>
      </c>
      <c r="J595" s="36" t="inlineStr">
        <is>
          <t>Costo</t>
        </is>
      </c>
      <c r="K595" s="37" t="inlineStr">
        <is>
          <t>3- Gasto general</t>
        </is>
      </c>
      <c r="L595" s="37" t="inlineStr">
        <is>
          <t>1- GASTOS DEL PERSONAL</t>
        </is>
      </c>
      <c r="M595" s="37" t="inlineStr">
        <is>
          <t>Alimentacion</t>
        </is>
      </c>
      <c r="N595" s="36" t="n"/>
      <c r="O595" s="36" t="inlineStr">
        <is>
          <t>jh</t>
        </is>
      </c>
      <c r="P595" s="39" t="n">
        <v>2400</v>
      </c>
      <c r="Q595" s="40" t="n">
        <v>110</v>
      </c>
      <c r="R595" s="39" t="n">
        <v>5016000</v>
      </c>
      <c r="S595" s="41" t="n">
        <v>0.0257277158281462</v>
      </c>
      <c r="T595" s="39" t="n">
        <v>23.1549442453316</v>
      </c>
      <c r="U595" s="39" t="n">
        <v>293.333333333333</v>
      </c>
      <c r="V595" s="39" t="n">
        <v>293.333333333333</v>
      </c>
      <c r="W595" s="39" t="n">
        <v>293.333333333333</v>
      </c>
      <c r="X595" s="39" t="n">
        <v>293.333333333333</v>
      </c>
      <c r="Y595" s="39" t="n">
        <v>293.333333333333</v>
      </c>
      <c r="Z595" s="39" t="n">
        <v>293.333333333333</v>
      </c>
      <c r="AA595" s="39" t="n">
        <v>293.333333333333</v>
      </c>
      <c r="AB595" s="39" t="n">
        <v>880</v>
      </c>
      <c r="AC595" s="39" t="n">
        <v>293.333333333333</v>
      </c>
      <c r="AD595" s="39" t="n">
        <v>1026.66666666667</v>
      </c>
      <c r="AE595" s="39" t="n">
        <v>1026.66666666667</v>
      </c>
      <c r="AF595" s="39" t="n">
        <v>293.333333333333</v>
      </c>
    </row>
    <row r="596" ht="15" customHeight="1" s="176">
      <c r="A596" s="30" t="inlineStr">
        <is>
          <t>P-0593</t>
        </is>
      </c>
      <c r="B596" s="30" t="inlineStr">
        <is>
          <t>2026/27</t>
        </is>
      </c>
      <c r="C596" s="30" t="inlineStr">
        <is>
          <t>Siberia</t>
        </is>
      </c>
      <c r="D596" s="31" t="inlineStr">
        <is>
          <t>S. Celebration 7,14</t>
        </is>
      </c>
      <c r="E596" s="30" t="inlineStr">
        <is>
          <t>Uvas</t>
        </is>
      </c>
      <c r="F596" s="30" t="inlineStr">
        <is>
          <t>S. celebration</t>
        </is>
      </c>
      <c r="G596" s="30" t="inlineStr">
        <is>
          <t>Producción</t>
        </is>
      </c>
      <c r="H596" s="32" t="n">
        <v>7.14</v>
      </c>
      <c r="I596" s="32" t="n">
        <v>7.14</v>
      </c>
      <c r="J596" s="30" t="inlineStr">
        <is>
          <t>Costo</t>
        </is>
      </c>
      <c r="K596" s="31" t="inlineStr">
        <is>
          <t>2- M.O. indirecta</t>
        </is>
      </c>
      <c r="L596" s="31" t="inlineStr">
        <is>
          <t>2,1- JEFE DE CAMPO</t>
        </is>
      </c>
      <c r="M596" s="31" t="inlineStr">
        <is>
          <t>Operacion predio</t>
        </is>
      </c>
      <c r="N596" s="30" t="inlineStr">
        <is>
          <t>día</t>
        </is>
      </c>
      <c r="O596" s="30" t="inlineStr">
        <is>
          <t>ha</t>
        </is>
      </c>
      <c r="P596" s="33" t="n">
        <v>88050</v>
      </c>
      <c r="Q596" s="34" t="n">
        <v>7.14</v>
      </c>
      <c r="R596" s="33" t="n">
        <v>7921330.2</v>
      </c>
      <c r="S596" s="35" t="n">
        <v>0.0406295319709954</v>
      </c>
      <c r="T596" s="33" t="n">
        <v>36.5665787738959</v>
      </c>
      <c r="U596" s="33" t="n">
        <v>698.53</v>
      </c>
      <c r="V596" s="33" t="n">
        <v>698.53</v>
      </c>
      <c r="W596" s="33" t="n">
        <v>698.53</v>
      </c>
      <c r="X596" s="33" t="n">
        <v>698.53</v>
      </c>
      <c r="Y596" s="33" t="n">
        <v>698.53</v>
      </c>
      <c r="Z596" s="33" t="n">
        <v>698.53</v>
      </c>
      <c r="AA596" s="33" t="n">
        <v>698.53</v>
      </c>
      <c r="AB596" s="33" t="n">
        <v>838.236</v>
      </c>
      <c r="AC596" s="33" t="n">
        <v>698.53</v>
      </c>
      <c r="AD596" s="33" t="n">
        <v>838.236</v>
      </c>
      <c r="AE596" s="33" t="n">
        <v>838.236</v>
      </c>
      <c r="AF596" s="33" t="n">
        <v>698.53</v>
      </c>
    </row>
    <row r="597" ht="15" customHeight="1" s="176">
      <c r="A597" s="36" t="inlineStr">
        <is>
          <t>P-0594</t>
        </is>
      </c>
      <c r="B597" s="36" t="inlineStr">
        <is>
          <t>2026/27</t>
        </is>
      </c>
      <c r="C597" s="36" t="inlineStr">
        <is>
          <t>Siberia</t>
        </is>
      </c>
      <c r="D597" s="37" t="inlineStr">
        <is>
          <t>S. Celebration 7,14</t>
        </is>
      </c>
      <c r="E597" s="36" t="inlineStr">
        <is>
          <t>Uvas</t>
        </is>
      </c>
      <c r="F597" s="36" t="inlineStr">
        <is>
          <t>S. celebration</t>
        </is>
      </c>
      <c r="G597" s="36" t="inlineStr">
        <is>
          <t>Producción</t>
        </is>
      </c>
      <c r="H597" s="38" t="n">
        <v>7.14</v>
      </c>
      <c r="I597" s="38" t="n">
        <v>7.14</v>
      </c>
      <c r="J597" s="36" t="inlineStr">
        <is>
          <t>Costo</t>
        </is>
      </c>
      <c r="K597" s="37" t="inlineStr">
        <is>
          <t>2- M.O. indirecta</t>
        </is>
      </c>
      <c r="L597" s="37" t="inlineStr">
        <is>
          <t>3- ADQUIS. Y BODEGA</t>
        </is>
      </c>
      <c r="M597" s="37" t="inlineStr">
        <is>
          <t>Operacion predio</t>
        </is>
      </c>
      <c r="N597" s="36" t="inlineStr">
        <is>
          <t>día</t>
        </is>
      </c>
      <c r="O597" s="36" t="inlineStr">
        <is>
          <t>ha</t>
        </is>
      </c>
      <c r="P597" s="39" t="n">
        <v>8100</v>
      </c>
      <c r="Q597" s="40" t="n">
        <v>7.14</v>
      </c>
      <c r="R597" s="39" t="n">
        <v>578108.664</v>
      </c>
      <c r="S597" s="41" t="n">
        <v>0.00296519446275544</v>
      </c>
      <c r="T597" s="39" t="n">
        <v>2.6686750164799</v>
      </c>
      <c r="U597" s="39" t="n">
        <v>53.52858</v>
      </c>
      <c r="V597" s="39" t="n">
        <v>53.52858</v>
      </c>
      <c r="W597" s="39" t="n">
        <v>53.52858</v>
      </c>
      <c r="X597" s="39" t="n">
        <v>53.52858</v>
      </c>
      <c r="Y597" s="39" t="n">
        <v>53.52858</v>
      </c>
      <c r="Z597" s="39" t="n">
        <v>53.52858</v>
      </c>
      <c r="AA597" s="39" t="n">
        <v>53.52858</v>
      </c>
      <c r="AB597" s="39" t="n">
        <v>53.52858</v>
      </c>
      <c r="AC597" s="39" t="n">
        <v>53.52858</v>
      </c>
      <c r="AD597" s="39" t="n">
        <v>53.52858</v>
      </c>
      <c r="AE597" s="39" t="n">
        <v>53.52858</v>
      </c>
      <c r="AF597" s="39" t="n">
        <v>53.52858</v>
      </c>
    </row>
    <row r="598" ht="15" customHeight="1" s="176">
      <c r="A598" s="30" t="inlineStr">
        <is>
          <t>P-0595</t>
        </is>
      </c>
      <c r="B598" s="30" t="inlineStr">
        <is>
          <t>2026/27</t>
        </is>
      </c>
      <c r="C598" s="30" t="inlineStr">
        <is>
          <t>Siberia</t>
        </is>
      </c>
      <c r="D598" s="31" t="inlineStr">
        <is>
          <t>Timpson 7,1</t>
        </is>
      </c>
      <c r="E598" s="30" t="inlineStr">
        <is>
          <t>Uvas</t>
        </is>
      </c>
      <c r="F598" s="30" t="inlineStr">
        <is>
          <t>Timpson</t>
        </is>
      </c>
      <c r="G598" s="30" t="inlineStr">
        <is>
          <t>Producción</t>
        </is>
      </c>
      <c r="H598" s="32" t="n">
        <v>7.1</v>
      </c>
      <c r="I598" s="32" t="n">
        <v>7.1</v>
      </c>
      <c r="J598" s="30" t="inlineStr">
        <is>
          <t>Costo</t>
        </is>
      </c>
      <c r="K598" s="31" t="inlineStr">
        <is>
          <t>3- Gasto general</t>
        </is>
      </c>
      <c r="L598" s="31" t="inlineStr">
        <is>
          <t>1- GASTOS DEL PERSONAL</t>
        </is>
      </c>
      <c r="M598" s="31" t="inlineStr">
        <is>
          <t xml:space="preserve">movilizacion </t>
        </is>
      </c>
      <c r="N598" s="30" t="n"/>
      <c r="O598" s="30" t="inlineStr">
        <is>
          <t>ha</t>
        </is>
      </c>
      <c r="P598" s="33" t="n">
        <v>146769.662921348</v>
      </c>
      <c r="Q598" s="34" t="n">
        <v>7.1</v>
      </c>
      <c r="R598" s="33" t="n">
        <v>9170168.539325841</v>
      </c>
      <c r="S598" s="35" t="n">
        <v>0.0583366320554591</v>
      </c>
      <c r="T598" s="33" t="n">
        <v>52.5029688499132</v>
      </c>
      <c r="U598" s="33" t="n">
        <v>578.924781523096</v>
      </c>
      <c r="V598" s="33" t="n">
        <v>578.924781523096</v>
      </c>
      <c r="W598" s="33" t="n">
        <v>578.924781523096</v>
      </c>
      <c r="X598" s="33" t="n">
        <v>578.924781523096</v>
      </c>
      <c r="Y598" s="33" t="n">
        <v>578.924781523096</v>
      </c>
      <c r="Z598" s="33" t="n">
        <v>578.924781523096</v>
      </c>
      <c r="AA598" s="33" t="n">
        <v>578.924781523096</v>
      </c>
      <c r="AB598" s="33" t="n">
        <v>1157.84956304619</v>
      </c>
      <c r="AC598" s="33" t="n">
        <v>231.569912609238</v>
      </c>
      <c r="AD598" s="33" t="n">
        <v>2315.69912609238</v>
      </c>
      <c r="AE598" s="33" t="n">
        <v>2315.69912609238</v>
      </c>
      <c r="AF598" s="33" t="n">
        <v>115.784956304619</v>
      </c>
    </row>
    <row r="599" ht="15" customHeight="1" s="176">
      <c r="A599" s="36" t="inlineStr">
        <is>
          <t>P-0596</t>
        </is>
      </c>
      <c r="B599" s="36" t="inlineStr">
        <is>
          <t>2026/27</t>
        </is>
      </c>
      <c r="C599" s="36" t="inlineStr">
        <is>
          <t>Siberia</t>
        </is>
      </c>
      <c r="D599" s="37" t="inlineStr">
        <is>
          <t>S. Celebration 7,14</t>
        </is>
      </c>
      <c r="E599" s="36" t="inlineStr">
        <is>
          <t>Uvas</t>
        </is>
      </c>
      <c r="F599" s="36" t="inlineStr">
        <is>
          <t>S. celebration</t>
        </is>
      </c>
      <c r="G599" s="36" t="inlineStr">
        <is>
          <t>Producción</t>
        </is>
      </c>
      <c r="H599" s="38" t="n">
        <v>7.14</v>
      </c>
      <c r="I599" s="38" t="n">
        <v>7.14</v>
      </c>
      <c r="J599" s="36" t="inlineStr">
        <is>
          <t>Costo</t>
        </is>
      </c>
      <c r="K599" s="37" t="inlineStr">
        <is>
          <t>2- M.O. indirecta</t>
        </is>
      </c>
      <c r="L599" s="37" t="inlineStr">
        <is>
          <t>4- CERTIFICACIONES</t>
        </is>
      </c>
      <c r="M599" s="37" t="inlineStr">
        <is>
          <t>Operacion predio</t>
        </is>
      </c>
      <c r="N599" s="36" t="inlineStr">
        <is>
          <t>día</t>
        </is>
      </c>
      <c r="O599" s="36" t="inlineStr">
        <is>
          <t>ha</t>
        </is>
      </c>
      <c r="P599" s="39" t="n">
        <v>6464.58333333333</v>
      </c>
      <c r="Q599" s="40" t="n">
        <v>7.14</v>
      </c>
      <c r="R599" s="39" t="n">
        <v>461386.6215</v>
      </c>
      <c r="S599" s="41" t="n">
        <v>0.00236651193876804</v>
      </c>
      <c r="T599" s="39" t="n">
        <v>2.12986074489123</v>
      </c>
      <c r="U599" s="39" t="n">
        <v>42.7209834722222</v>
      </c>
      <c r="V599" s="39" t="n">
        <v>42.7209834722222</v>
      </c>
      <c r="W599" s="39" t="n">
        <v>42.7209834722222</v>
      </c>
      <c r="X599" s="39" t="n">
        <v>42.7209834722222</v>
      </c>
      <c r="Y599" s="39" t="n">
        <v>42.7209834722222</v>
      </c>
      <c r="Z599" s="39" t="n">
        <v>42.7209834722222</v>
      </c>
      <c r="AA599" s="39" t="n">
        <v>42.7209834722222</v>
      </c>
      <c r="AB599" s="39" t="n">
        <v>42.7209834722222</v>
      </c>
      <c r="AC599" s="39" t="n">
        <v>42.7209834722222</v>
      </c>
      <c r="AD599" s="39" t="n">
        <v>42.7209834722222</v>
      </c>
      <c r="AE599" s="39" t="n">
        <v>42.7209834722222</v>
      </c>
      <c r="AF599" s="39" t="n">
        <v>42.7209834722222</v>
      </c>
    </row>
    <row r="600" ht="15" customHeight="1" s="176">
      <c r="A600" s="30" t="inlineStr">
        <is>
          <t>P-0597</t>
        </is>
      </c>
      <c r="B600" s="30" t="inlineStr">
        <is>
          <t>2026/27</t>
        </is>
      </c>
      <c r="C600" s="30" t="inlineStr">
        <is>
          <t>Siberia</t>
        </is>
      </c>
      <c r="D600" s="31" t="inlineStr">
        <is>
          <t>S. Celebration 7,14</t>
        </is>
      </c>
      <c r="E600" s="30" t="inlineStr">
        <is>
          <t>Uvas</t>
        </is>
      </c>
      <c r="F600" s="30" t="inlineStr">
        <is>
          <t>S. celebration</t>
        </is>
      </c>
      <c r="G600" s="30" t="inlineStr">
        <is>
          <t>Producción</t>
        </is>
      </c>
      <c r="H600" s="32" t="n">
        <v>7.14</v>
      </c>
      <c r="I600" s="32" t="n">
        <v>7.14</v>
      </c>
      <c r="J600" s="30" t="inlineStr">
        <is>
          <t>Costo</t>
        </is>
      </c>
      <c r="K600" s="31" t="inlineStr">
        <is>
          <t>2- M.O. indirecta</t>
        </is>
      </c>
      <c r="L600" s="31" t="inlineStr">
        <is>
          <t>4,1- ENCARGADO MANTENCIONES</t>
        </is>
      </c>
      <c r="M600" s="31" t="inlineStr">
        <is>
          <t>Operacion predio</t>
        </is>
      </c>
      <c r="N600" s="30" t="inlineStr">
        <is>
          <t>día</t>
        </is>
      </c>
      <c r="O600" s="30" t="inlineStr">
        <is>
          <t>ha</t>
        </is>
      </c>
      <c r="P600" s="33" t="n">
        <v>11000</v>
      </c>
      <c r="Q600" s="34" t="n">
        <v>7.14</v>
      </c>
      <c r="R600" s="33" t="n">
        <v>785085.84</v>
      </c>
      <c r="S600" s="35" t="n">
        <v>0.00402680729509998</v>
      </c>
      <c r="T600" s="33" t="n">
        <v>3.62412656558998</v>
      </c>
      <c r="U600" s="33" t="n">
        <v>72.69313333333329</v>
      </c>
      <c r="V600" s="33" t="n">
        <v>72.69313333333329</v>
      </c>
      <c r="W600" s="33" t="n">
        <v>72.69313333333329</v>
      </c>
      <c r="X600" s="33" t="n">
        <v>72.69313333333329</v>
      </c>
      <c r="Y600" s="33" t="n">
        <v>72.69313333333329</v>
      </c>
      <c r="Z600" s="33" t="n">
        <v>72.69313333333329</v>
      </c>
      <c r="AA600" s="33" t="n">
        <v>72.69313333333329</v>
      </c>
      <c r="AB600" s="33" t="n">
        <v>72.69313333333329</v>
      </c>
      <c r="AC600" s="33" t="n">
        <v>72.69313333333329</v>
      </c>
      <c r="AD600" s="33" t="n">
        <v>72.69313333333329</v>
      </c>
      <c r="AE600" s="33" t="n">
        <v>72.69313333333329</v>
      </c>
      <c r="AF600" s="33" t="n">
        <v>72.69313333333329</v>
      </c>
    </row>
    <row r="601" ht="15" customHeight="1" s="176">
      <c r="A601" s="36" t="inlineStr">
        <is>
          <t>P-0598</t>
        </is>
      </c>
      <c r="B601" s="36" t="inlineStr">
        <is>
          <t>2026/27</t>
        </is>
      </c>
      <c r="C601" s="36" t="inlineStr">
        <is>
          <t>Siberia</t>
        </is>
      </c>
      <c r="D601" s="37" t="inlineStr">
        <is>
          <t>S. Celebration 7,14</t>
        </is>
      </c>
      <c r="E601" s="36" t="inlineStr">
        <is>
          <t>Uvas</t>
        </is>
      </c>
      <c r="F601" s="36" t="inlineStr">
        <is>
          <t>S. celebration</t>
        </is>
      </c>
      <c r="G601" s="36" t="inlineStr">
        <is>
          <t>Producción</t>
        </is>
      </c>
      <c r="H601" s="38" t="n">
        <v>7.14</v>
      </c>
      <c r="I601" s="38" t="n">
        <v>7.14</v>
      </c>
      <c r="J601" s="36" t="inlineStr">
        <is>
          <t>Costo</t>
        </is>
      </c>
      <c r="K601" s="37" t="inlineStr">
        <is>
          <t>2- M.O. indirecta</t>
        </is>
      </c>
      <c r="L601" s="37" t="inlineStr">
        <is>
          <t>5- PREVEN. DE RIESGO</t>
        </is>
      </c>
      <c r="M601" s="37" t="inlineStr">
        <is>
          <t>Operacion predio</t>
        </is>
      </c>
      <c r="N601" s="36" t="inlineStr">
        <is>
          <t>día</t>
        </is>
      </c>
      <c r="O601" s="36" t="inlineStr">
        <is>
          <t>ha</t>
        </is>
      </c>
      <c r="P601" s="39" t="n">
        <v>1575</v>
      </c>
      <c r="Q601" s="40" t="n">
        <v>7.14</v>
      </c>
      <c r="R601" s="39" t="n">
        <v>112410.018</v>
      </c>
      <c r="S601" s="41" t="n">
        <v>0.000576565589980224</v>
      </c>
      <c r="T601" s="39" t="n">
        <v>0.518909030982202</v>
      </c>
      <c r="U601" s="39" t="n">
        <v>10.408335</v>
      </c>
      <c r="V601" s="39" t="n">
        <v>10.408335</v>
      </c>
      <c r="W601" s="39" t="n">
        <v>10.408335</v>
      </c>
      <c r="X601" s="39" t="n">
        <v>10.408335</v>
      </c>
      <c r="Y601" s="39" t="n">
        <v>10.408335</v>
      </c>
      <c r="Z601" s="39" t="n">
        <v>10.408335</v>
      </c>
      <c r="AA601" s="39" t="n">
        <v>10.408335</v>
      </c>
      <c r="AB601" s="39" t="n">
        <v>10.408335</v>
      </c>
      <c r="AC601" s="39" t="n">
        <v>10.408335</v>
      </c>
      <c r="AD601" s="39" t="n">
        <v>10.408335</v>
      </c>
      <c r="AE601" s="39" t="n">
        <v>10.408335</v>
      </c>
      <c r="AF601" s="39" t="n">
        <v>10.408335</v>
      </c>
    </row>
    <row r="602" ht="15" customHeight="1" s="176">
      <c r="A602" s="30" t="inlineStr">
        <is>
          <t>P-0599</t>
        </is>
      </c>
      <c r="B602" s="30" t="inlineStr">
        <is>
          <t>2026/27</t>
        </is>
      </c>
      <c r="C602" s="30" t="inlineStr">
        <is>
          <t>Siberia</t>
        </is>
      </c>
      <c r="D602" s="31" t="inlineStr">
        <is>
          <t>S. Celebration 7,14</t>
        </is>
      </c>
      <c r="E602" s="30" t="inlineStr">
        <is>
          <t>Uvas</t>
        </is>
      </c>
      <c r="F602" s="30" t="inlineStr">
        <is>
          <t>S. celebration</t>
        </is>
      </c>
      <c r="G602" s="30" t="inlineStr">
        <is>
          <t>Producción</t>
        </is>
      </c>
      <c r="H602" s="32" t="n">
        <v>7.14</v>
      </c>
      <c r="I602" s="32" t="n">
        <v>7.14</v>
      </c>
      <c r="J602" s="30" t="inlineStr">
        <is>
          <t>Costo</t>
        </is>
      </c>
      <c r="K602" s="31" t="inlineStr">
        <is>
          <t>4- Otros gastos</t>
        </is>
      </c>
      <c r="L602" s="31" t="inlineStr">
        <is>
          <t>6- GASTOS INDIRECTOS</t>
        </is>
      </c>
      <c r="M602" s="31" t="n"/>
      <c r="N602" s="30" t="n"/>
      <c r="O602" s="30" t="inlineStr">
        <is>
          <t>ha</t>
        </is>
      </c>
      <c r="P602" s="33" t="n">
        <v>62000</v>
      </c>
      <c r="Q602" s="34" t="n">
        <v>7.14</v>
      </c>
      <c r="R602" s="33" t="n">
        <v>4425029.28</v>
      </c>
      <c r="S602" s="35" t="n">
        <v>0.0226965502087453</v>
      </c>
      <c r="T602" s="33" t="n">
        <v>20.4268951878708</v>
      </c>
      <c r="U602" s="33" t="n">
        <v>409.724933333333</v>
      </c>
      <c r="V602" s="33" t="n">
        <v>409.724933333333</v>
      </c>
      <c r="W602" s="33" t="n">
        <v>409.724933333333</v>
      </c>
      <c r="X602" s="33" t="n">
        <v>409.724933333333</v>
      </c>
      <c r="Y602" s="33" t="n">
        <v>409.724933333333</v>
      </c>
      <c r="Z602" s="33" t="n">
        <v>409.724933333333</v>
      </c>
      <c r="AA602" s="33" t="n">
        <v>409.724933333333</v>
      </c>
      <c r="AB602" s="33" t="n">
        <v>409.724933333333</v>
      </c>
      <c r="AC602" s="33" t="n">
        <v>409.724933333333</v>
      </c>
      <c r="AD602" s="33" t="n">
        <v>409.724933333333</v>
      </c>
      <c r="AE602" s="33" t="n">
        <v>409.724933333333</v>
      </c>
      <c r="AF602" s="33" t="n">
        <v>409.724933333333</v>
      </c>
    </row>
    <row r="603" ht="15" customHeight="1" s="176">
      <c r="A603" s="36" t="inlineStr">
        <is>
          <t>P-0600</t>
        </is>
      </c>
      <c r="B603" s="36" t="inlineStr">
        <is>
          <t>2026/27</t>
        </is>
      </c>
      <c r="C603" s="36" t="inlineStr">
        <is>
          <t>Siberia</t>
        </is>
      </c>
      <c r="D603" s="37" t="inlineStr">
        <is>
          <t>S. Celebration 7,14</t>
        </is>
      </c>
      <c r="E603" s="36" t="inlineStr">
        <is>
          <t>Uvas</t>
        </is>
      </c>
      <c r="F603" s="36" t="inlineStr">
        <is>
          <t>S. celebration</t>
        </is>
      </c>
      <c r="G603" s="36" t="inlineStr">
        <is>
          <t>Producción</t>
        </is>
      </c>
      <c r="H603" s="38" t="n">
        <v>7.14</v>
      </c>
      <c r="I603" s="38" t="n">
        <v>7.14</v>
      </c>
      <c r="J603" s="36" t="inlineStr">
        <is>
          <t>Costo</t>
        </is>
      </c>
      <c r="K603" s="37" t="inlineStr">
        <is>
          <t>4- Otros gastos</t>
        </is>
      </c>
      <c r="L603" s="37" t="inlineStr">
        <is>
          <t>7- GASTOS DE ADMINISTRACION</t>
        </is>
      </c>
      <c r="M603" s="37" t="n"/>
      <c r="N603" s="36" t="n"/>
      <c r="O603" s="36" t="inlineStr">
        <is>
          <t>ha</t>
        </is>
      </c>
      <c r="P603" s="39" t="n">
        <v>27673</v>
      </c>
      <c r="Q603" s="40" t="n">
        <v>7.14</v>
      </c>
      <c r="R603" s="39" t="n">
        <v>1975061.85912</v>
      </c>
      <c r="S603" s="41" t="n">
        <v>0.0101303489343002</v>
      </c>
      <c r="T603" s="39" t="n">
        <v>9.11731404087014</v>
      </c>
      <c r="U603" s="39" t="n">
        <v>182.876098066667</v>
      </c>
      <c r="V603" s="39" t="n">
        <v>182.876098066667</v>
      </c>
      <c r="W603" s="39" t="n">
        <v>182.876098066667</v>
      </c>
      <c r="X603" s="39" t="n">
        <v>182.876098066667</v>
      </c>
      <c r="Y603" s="39" t="n">
        <v>182.876098066667</v>
      </c>
      <c r="Z603" s="39" t="n">
        <v>182.876098066667</v>
      </c>
      <c r="AA603" s="39" t="n">
        <v>182.876098066667</v>
      </c>
      <c r="AB603" s="39" t="n">
        <v>182.876098066667</v>
      </c>
      <c r="AC603" s="39" t="n">
        <v>182.876098066667</v>
      </c>
      <c r="AD603" s="39" t="n">
        <v>182.876098066667</v>
      </c>
      <c r="AE603" s="39" t="n">
        <v>182.876098066667</v>
      </c>
      <c r="AF603" s="39" t="n">
        <v>182.876098066667</v>
      </c>
    </row>
    <row r="604" ht="15" customHeight="1" s="176">
      <c r="A604" s="42" t="inlineStr">
        <is>
          <t>P-0601</t>
        </is>
      </c>
      <c r="B604" s="42" t="inlineStr">
        <is>
          <t>2026/27</t>
        </is>
      </c>
      <c r="C604" s="42" t="inlineStr">
        <is>
          <t>Siberia</t>
        </is>
      </c>
      <c r="D604" s="43" t="inlineStr">
        <is>
          <t>S. Celebration 7,14</t>
        </is>
      </c>
      <c r="E604" s="42" t="inlineStr">
        <is>
          <t>Uvas</t>
        </is>
      </c>
      <c r="F604" s="42" t="inlineStr">
        <is>
          <t>S. celebration</t>
        </is>
      </c>
      <c r="G604" s="42" t="inlineStr">
        <is>
          <t>Producción</t>
        </is>
      </c>
      <c r="H604" s="44" t="n">
        <v>7.14</v>
      </c>
      <c r="I604" s="44" t="n">
        <v>7.14</v>
      </c>
      <c r="J604" s="42" t="inlineStr">
        <is>
          <t>Ingreso</t>
        </is>
      </c>
      <c r="K604" s="43" t="inlineStr">
        <is>
          <t>5- Ingresos</t>
        </is>
      </c>
      <c r="L604" s="43" t="inlineStr">
        <is>
          <t>Venta M.I.</t>
        </is>
      </c>
      <c r="M604" s="43" t="n"/>
      <c r="N604" s="42" t="inlineStr">
        <is>
          <t>venta</t>
        </is>
      </c>
      <c r="O604" s="42" t="inlineStr">
        <is>
          <t>kg</t>
        </is>
      </c>
      <c r="P604" s="45" t="n">
        <v>-100</v>
      </c>
      <c r="Q604" s="46" t="n">
        <v>32494.14</v>
      </c>
      <c r="R604" s="45" t="n">
        <v>3249414</v>
      </c>
      <c r="S604" s="47" t="n">
        <v>-0.111111111111111</v>
      </c>
      <c r="T604" s="45" t="n">
        <v>-100</v>
      </c>
      <c r="U604" s="45" t="n">
        <v>0</v>
      </c>
      <c r="V604" s="45" t="n">
        <v>0</v>
      </c>
      <c r="W604" s="45" t="n">
        <v>0</v>
      </c>
      <c r="X604" s="45" t="n">
        <v>0</v>
      </c>
      <c r="Y604" s="45" t="n">
        <v>0</v>
      </c>
      <c r="Z604" s="45" t="n">
        <v>0</v>
      </c>
      <c r="AA604" s="45" t="n">
        <v>0</v>
      </c>
      <c r="AB604" s="45" t="n">
        <v>0</v>
      </c>
      <c r="AC604" s="45" t="n">
        <v>0</v>
      </c>
      <c r="AD604" s="45" t="n">
        <v>722.092</v>
      </c>
      <c r="AE604" s="45" t="n">
        <v>2166.276</v>
      </c>
      <c r="AF604" s="45" t="n">
        <v>722.092</v>
      </c>
    </row>
    <row r="605" ht="15" customHeight="1" s="176">
      <c r="A605" s="36" t="inlineStr">
        <is>
          <t>P-0602</t>
        </is>
      </c>
      <c r="B605" s="36" t="inlineStr">
        <is>
          <t>2026/27</t>
        </is>
      </c>
      <c r="C605" s="36" t="inlineStr">
        <is>
          <t>Siberia</t>
        </is>
      </c>
      <c r="D605" s="37" t="inlineStr">
        <is>
          <t>Timpson 7,1</t>
        </is>
      </c>
      <c r="E605" s="36" t="inlineStr">
        <is>
          <t>Uvas</t>
        </is>
      </c>
      <c r="F605" s="36" t="inlineStr">
        <is>
          <t>Timpson</t>
        </is>
      </c>
      <c r="G605" s="36" t="inlineStr">
        <is>
          <t>Producción</t>
        </is>
      </c>
      <c r="H605" s="38" t="n">
        <v>7.1</v>
      </c>
      <c r="I605" s="38" t="n">
        <v>7.1</v>
      </c>
      <c r="J605" s="36" t="inlineStr">
        <is>
          <t>Costo</t>
        </is>
      </c>
      <c r="K605" s="37" t="inlineStr">
        <is>
          <t>4- Otros gastos</t>
        </is>
      </c>
      <c r="L605" s="37" t="inlineStr">
        <is>
          <t>6- GASTOS INDIRECTOS</t>
        </is>
      </c>
      <c r="M605" s="37" t="n"/>
      <c r="N605" s="36" t="n"/>
      <c r="O605" s="36" t="inlineStr">
        <is>
          <t>ha</t>
        </is>
      </c>
      <c r="P605" s="39" t="n">
        <v>62000</v>
      </c>
      <c r="Q605" s="40" t="n">
        <v>7.1</v>
      </c>
      <c r="R605" s="39" t="n">
        <v>4400239.2</v>
      </c>
      <c r="S605" s="41" t="n">
        <v>0.0279924119241192</v>
      </c>
      <c r="T605" s="39" t="n">
        <v>25.1931707317073</v>
      </c>
      <c r="U605" s="39" t="n">
        <v>407.429555555556</v>
      </c>
      <c r="V605" s="39" t="n">
        <v>407.429555555556</v>
      </c>
      <c r="W605" s="39" t="n">
        <v>407.429555555556</v>
      </c>
      <c r="X605" s="39" t="n">
        <v>407.429555555556</v>
      </c>
      <c r="Y605" s="39" t="n">
        <v>407.429555555556</v>
      </c>
      <c r="Z605" s="39" t="n">
        <v>407.429555555556</v>
      </c>
      <c r="AA605" s="39" t="n">
        <v>407.429555555556</v>
      </c>
      <c r="AB605" s="39" t="n">
        <v>407.429555555556</v>
      </c>
      <c r="AC605" s="39" t="n">
        <v>407.429555555556</v>
      </c>
      <c r="AD605" s="39" t="n">
        <v>407.429555555556</v>
      </c>
      <c r="AE605" s="39" t="n">
        <v>407.429555555556</v>
      </c>
      <c r="AF605" s="39" t="n">
        <v>407.429555555556</v>
      </c>
    </row>
    <row r="606" ht="15" customHeight="1" s="176">
      <c r="A606" s="30" t="inlineStr">
        <is>
          <t>P-0603</t>
        </is>
      </c>
      <c r="B606" s="30" t="inlineStr">
        <is>
          <t>2026/27</t>
        </is>
      </c>
      <c r="C606" s="30" t="inlineStr">
        <is>
          <t>Siberia</t>
        </is>
      </c>
      <c r="D606" s="31" t="inlineStr">
        <is>
          <t>S. Celebration 7,14</t>
        </is>
      </c>
      <c r="E606" s="30" t="inlineStr">
        <is>
          <t>Uvas</t>
        </is>
      </c>
      <c r="F606" s="30" t="inlineStr">
        <is>
          <t>S. celebration</t>
        </is>
      </c>
      <c r="G606" s="30" t="inlineStr">
        <is>
          <t>Producción</t>
        </is>
      </c>
      <c r="H606" s="32" t="n">
        <v>7.14</v>
      </c>
      <c r="I606" s="32" t="n">
        <v>7.14</v>
      </c>
      <c r="J606" s="30" t="inlineStr">
        <is>
          <t>Costo</t>
        </is>
      </c>
      <c r="K606" s="31" t="inlineStr">
        <is>
          <t>3- Gasto general</t>
        </is>
      </c>
      <c r="L606" s="31" t="inlineStr">
        <is>
          <t>2- PRODUCTOS QUIMICOS</t>
        </is>
      </c>
      <c r="M606" s="31" t="inlineStr">
        <is>
          <t>fito, ferti, herbi</t>
        </is>
      </c>
      <c r="N606" s="30" t="n"/>
      <c r="O606" s="30" t="inlineStr">
        <is>
          <t>ha</t>
        </is>
      </c>
      <c r="P606" s="33" t="n">
        <v>373500</v>
      </c>
      <c r="Q606" s="34" t="n">
        <v>7.14</v>
      </c>
      <c r="R606" s="33" t="n">
        <v>32001480</v>
      </c>
      <c r="S606" s="35" t="n">
        <v>0.164139749505603</v>
      </c>
      <c r="T606" s="33" t="n">
        <v>147.725774555043</v>
      </c>
      <c r="U606" s="33" t="n">
        <v>2963.1</v>
      </c>
      <c r="V606" s="33" t="n">
        <v>2963.1</v>
      </c>
      <c r="W606" s="33" t="n">
        <v>2963.1</v>
      </c>
      <c r="X606" s="33" t="n">
        <v>2963.1</v>
      </c>
      <c r="Y606" s="33" t="n">
        <v>2963.1</v>
      </c>
      <c r="Z606" s="33" t="n">
        <v>2963.1</v>
      </c>
      <c r="AA606" s="33" t="n">
        <v>2963.1</v>
      </c>
      <c r="AB606" s="33" t="n">
        <v>2963.1</v>
      </c>
      <c r="AC606" s="33" t="n">
        <v>2963.1</v>
      </c>
      <c r="AD606" s="33" t="n">
        <v>2963.1</v>
      </c>
      <c r="AE606" s="33" t="n">
        <v>2963.1</v>
      </c>
      <c r="AF606" s="33" t="n">
        <v>2963.1</v>
      </c>
    </row>
    <row r="607" ht="15" customHeight="1" s="176">
      <c r="A607" s="36" t="inlineStr">
        <is>
          <t>P-0604</t>
        </is>
      </c>
      <c r="B607" s="36" t="inlineStr">
        <is>
          <t>2026/27</t>
        </is>
      </c>
      <c r="C607" s="36" t="inlineStr">
        <is>
          <t>Siberia</t>
        </is>
      </c>
      <c r="D607" s="37" t="inlineStr">
        <is>
          <t>Timpson 7,1</t>
        </is>
      </c>
      <c r="E607" s="36" t="inlineStr">
        <is>
          <t>Uvas</t>
        </is>
      </c>
      <c r="F607" s="36" t="inlineStr">
        <is>
          <t>Timpson</t>
        </is>
      </c>
      <c r="G607" s="36" t="inlineStr">
        <is>
          <t>Producción</t>
        </is>
      </c>
      <c r="H607" s="38" t="n">
        <v>7.1</v>
      </c>
      <c r="I607" s="38" t="n">
        <v>7.1</v>
      </c>
      <c r="J607" s="36" t="inlineStr">
        <is>
          <t>Costo</t>
        </is>
      </c>
      <c r="K607" s="37" t="inlineStr">
        <is>
          <t>3- Gasto general</t>
        </is>
      </c>
      <c r="L607" s="37" t="inlineStr">
        <is>
          <t>2- PRODUCTOS QUIMICOS</t>
        </is>
      </c>
      <c r="M607" s="37" t="inlineStr">
        <is>
          <t>fito, ferti, herbi</t>
        </is>
      </c>
      <c r="N607" s="36" t="n"/>
      <c r="O607" s="36" t="inlineStr">
        <is>
          <t>ha</t>
        </is>
      </c>
      <c r="P607" s="39" t="n">
        <v>373500</v>
      </c>
      <c r="Q607" s="40" t="n">
        <v>7.1</v>
      </c>
      <c r="R607" s="39" t="n">
        <v>31822200</v>
      </c>
      <c r="S607" s="41" t="n">
        <v>0.202439024390244</v>
      </c>
      <c r="T607" s="39" t="n">
        <v>182.19512195122</v>
      </c>
      <c r="U607" s="39" t="n">
        <v>2946.5</v>
      </c>
      <c r="V607" s="39" t="n">
        <v>2946.5</v>
      </c>
      <c r="W607" s="39" t="n">
        <v>2946.5</v>
      </c>
      <c r="X607" s="39" t="n">
        <v>2946.5</v>
      </c>
      <c r="Y607" s="39" t="n">
        <v>2946.5</v>
      </c>
      <c r="Z607" s="39" t="n">
        <v>2946.5</v>
      </c>
      <c r="AA607" s="39" t="n">
        <v>2946.5</v>
      </c>
      <c r="AB607" s="39" t="n">
        <v>2946.5</v>
      </c>
      <c r="AC607" s="39" t="n">
        <v>2946.5</v>
      </c>
      <c r="AD607" s="39" t="n">
        <v>2946.5</v>
      </c>
      <c r="AE607" s="39" t="n">
        <v>2946.5</v>
      </c>
      <c r="AF607" s="39" t="n">
        <v>2946.5</v>
      </c>
    </row>
    <row r="608" ht="15" customHeight="1" s="176">
      <c r="A608" s="30" t="inlineStr">
        <is>
          <t>P-0605</t>
        </is>
      </c>
      <c r="B608" s="30" t="inlineStr">
        <is>
          <t>2026/27</t>
        </is>
      </c>
      <c r="C608" s="30" t="inlineStr">
        <is>
          <t>Siberia</t>
        </is>
      </c>
      <c r="D608" s="31" t="inlineStr">
        <is>
          <t>S. Celebration 7,14</t>
        </is>
      </c>
      <c r="E608" s="30" t="inlineStr">
        <is>
          <t>Uvas</t>
        </is>
      </c>
      <c r="F608" s="30" t="inlineStr">
        <is>
          <t>S. celebration</t>
        </is>
      </c>
      <c r="G608" s="30" t="inlineStr">
        <is>
          <t>Producción</t>
        </is>
      </c>
      <c r="H608" s="32" t="n">
        <v>7.14</v>
      </c>
      <c r="I608" s="32" t="n">
        <v>7.14</v>
      </c>
      <c r="J608" s="30" t="inlineStr">
        <is>
          <t>Costo</t>
        </is>
      </c>
      <c r="K608" s="31" t="inlineStr">
        <is>
          <t>3- Gasto general</t>
        </is>
      </c>
      <c r="L608" s="31" t="inlineStr">
        <is>
          <t>3- COMBUSTIBLE Y ENERGIA</t>
        </is>
      </c>
      <c r="M608" s="31" t="inlineStr">
        <is>
          <t>diesel y electricidad</t>
        </is>
      </c>
      <c r="N608" s="30" t="n"/>
      <c r="O608" s="30" t="inlineStr">
        <is>
          <t>ha</t>
        </is>
      </c>
      <c r="P608" s="33" t="n">
        <v>125325</v>
      </c>
      <c r="Q608" s="34" t="n">
        <v>7.14</v>
      </c>
      <c r="R608" s="33" t="n">
        <v>8944625.718</v>
      </c>
      <c r="S608" s="35" t="n">
        <v>0.045878147659855</v>
      </c>
      <c r="T608" s="33" t="n">
        <v>41.2903328938695</v>
      </c>
      <c r="U608" s="33" t="n">
        <v>828.206085</v>
      </c>
      <c r="V608" s="33" t="n">
        <v>828.206085</v>
      </c>
      <c r="W608" s="33" t="n">
        <v>828.206085</v>
      </c>
      <c r="X608" s="33" t="n">
        <v>828.206085</v>
      </c>
      <c r="Y608" s="33" t="n">
        <v>828.206085</v>
      </c>
      <c r="Z608" s="33" t="n">
        <v>828.206085</v>
      </c>
      <c r="AA608" s="33" t="n">
        <v>828.206085</v>
      </c>
      <c r="AB608" s="33" t="n">
        <v>828.206085</v>
      </c>
      <c r="AC608" s="33" t="n">
        <v>828.206085</v>
      </c>
      <c r="AD608" s="33" t="n">
        <v>828.206085</v>
      </c>
      <c r="AE608" s="33" t="n">
        <v>828.206085</v>
      </c>
      <c r="AF608" s="33" t="n">
        <v>828.206085</v>
      </c>
    </row>
    <row r="609" ht="15" customHeight="1" s="176">
      <c r="A609" s="36" t="inlineStr">
        <is>
          <t>P-0606</t>
        </is>
      </c>
      <c r="B609" s="36" t="inlineStr">
        <is>
          <t>2026/27</t>
        </is>
      </c>
      <c r="C609" s="36" t="inlineStr">
        <is>
          <t>Siberia</t>
        </is>
      </c>
      <c r="D609" s="37" t="inlineStr">
        <is>
          <t>S. Celebration 7,14</t>
        </is>
      </c>
      <c r="E609" s="36" t="inlineStr">
        <is>
          <t>Uvas</t>
        </is>
      </c>
      <c r="F609" s="36" t="inlineStr">
        <is>
          <t>S. celebration</t>
        </is>
      </c>
      <c r="G609" s="36" t="inlineStr">
        <is>
          <t>Producción</t>
        </is>
      </c>
      <c r="H609" s="38" t="n">
        <v>7.14</v>
      </c>
      <c r="I609" s="38" t="n">
        <v>7.14</v>
      </c>
      <c r="J609" s="36" t="inlineStr">
        <is>
          <t>Costo</t>
        </is>
      </c>
      <c r="K609" s="37" t="inlineStr">
        <is>
          <t>1- M.O. directa</t>
        </is>
      </c>
      <c r="L609" s="37" t="inlineStr">
        <is>
          <t>1- Poda</t>
        </is>
      </c>
      <c r="M609" s="37" t="n"/>
      <c r="N609" s="36" t="inlineStr">
        <is>
          <t>trato</t>
        </is>
      </c>
      <c r="O609" s="36" t="inlineStr">
        <is>
          <t>plt</t>
        </is>
      </c>
      <c r="P609" s="39" t="n">
        <v>600</v>
      </c>
      <c r="Q609" s="40" t="n">
        <v>8453.76</v>
      </c>
      <c r="R609" s="39" t="n">
        <v>5072256</v>
      </c>
      <c r="S609" s="41" t="n">
        <v>0.0260162601626016</v>
      </c>
      <c r="T609" s="39" t="n">
        <v>23.4146341463415</v>
      </c>
      <c r="U609" s="39" t="n">
        <v>0</v>
      </c>
      <c r="V609" s="39" t="n">
        <v>0</v>
      </c>
      <c r="W609" s="39" t="n">
        <v>5635.84</v>
      </c>
      <c r="X609" s="39" t="n">
        <v>0</v>
      </c>
      <c r="Y609" s="39" t="n">
        <v>0</v>
      </c>
      <c r="Z609" s="39" t="n">
        <v>0</v>
      </c>
      <c r="AA609" s="39" t="n">
        <v>0</v>
      </c>
      <c r="AB609" s="39" t="n">
        <v>0</v>
      </c>
      <c r="AC609" s="39" t="n">
        <v>0</v>
      </c>
      <c r="AD609" s="39" t="n">
        <v>0</v>
      </c>
      <c r="AE609" s="39" t="n">
        <v>0</v>
      </c>
      <c r="AF609" s="39" t="n">
        <v>0</v>
      </c>
    </row>
    <row r="610" ht="15" customHeight="1" s="176">
      <c r="A610" s="30" t="inlineStr">
        <is>
          <t>P-0607</t>
        </is>
      </c>
      <c r="B610" s="30" t="inlineStr">
        <is>
          <t>2026/27</t>
        </is>
      </c>
      <c r="C610" s="30" t="inlineStr">
        <is>
          <t>Siberia</t>
        </is>
      </c>
      <c r="D610" s="31" t="inlineStr">
        <is>
          <t>Timpson 7,1</t>
        </is>
      </c>
      <c r="E610" s="30" t="inlineStr">
        <is>
          <t>Uvas</t>
        </is>
      </c>
      <c r="F610" s="30" t="inlineStr">
        <is>
          <t>Timpson</t>
        </is>
      </c>
      <c r="G610" s="30" t="inlineStr">
        <is>
          <t>Producción</t>
        </is>
      </c>
      <c r="H610" s="32" t="n">
        <v>7.1</v>
      </c>
      <c r="I610" s="32" t="n">
        <v>7.1</v>
      </c>
      <c r="J610" s="30" t="inlineStr">
        <is>
          <t>Costo</t>
        </is>
      </c>
      <c r="K610" s="31" t="inlineStr">
        <is>
          <t>1- M.O. directa</t>
        </is>
      </c>
      <c r="L610" s="31" t="inlineStr">
        <is>
          <t>1- Poda</t>
        </is>
      </c>
      <c r="M610" s="31" t="n"/>
      <c r="N610" s="30" t="inlineStr">
        <is>
          <t>trato</t>
        </is>
      </c>
      <c r="O610" s="30" t="inlineStr">
        <is>
          <t>plt</t>
        </is>
      </c>
      <c r="P610" s="33" t="n">
        <v>600</v>
      </c>
      <c r="Q610" s="34" t="n">
        <v>7888.1</v>
      </c>
      <c r="R610" s="33" t="n">
        <v>4732860</v>
      </c>
      <c r="S610" s="35" t="n">
        <v>0.0301084010840109</v>
      </c>
      <c r="T610" s="33" t="n">
        <v>27.0975609756098</v>
      </c>
      <c r="U610" s="33" t="n">
        <v>0</v>
      </c>
      <c r="V610" s="33" t="n">
        <v>0</v>
      </c>
      <c r="W610" s="33" t="n">
        <v>5258.73333333333</v>
      </c>
      <c r="X610" s="33" t="n">
        <v>0</v>
      </c>
      <c r="Y610" s="33" t="n">
        <v>0</v>
      </c>
      <c r="Z610" s="33" t="n">
        <v>0</v>
      </c>
      <c r="AA610" s="33" t="n">
        <v>0</v>
      </c>
      <c r="AB610" s="33" t="n">
        <v>0</v>
      </c>
      <c r="AC610" s="33" t="n">
        <v>0</v>
      </c>
      <c r="AD610" s="33" t="n">
        <v>0</v>
      </c>
      <c r="AE610" s="33" t="n">
        <v>0</v>
      </c>
      <c r="AF610" s="33" t="n">
        <v>0</v>
      </c>
    </row>
    <row r="611" ht="15" customHeight="1" s="176">
      <c r="A611" s="36" t="inlineStr">
        <is>
          <t>P-0608</t>
        </is>
      </c>
      <c r="B611" s="36" t="inlineStr">
        <is>
          <t>2026/27</t>
        </is>
      </c>
      <c r="C611" s="36" t="inlineStr">
        <is>
          <t>Siberia</t>
        </is>
      </c>
      <c r="D611" s="37" t="inlineStr">
        <is>
          <t>S. Celebration 7,14</t>
        </is>
      </c>
      <c r="E611" s="36" t="inlineStr">
        <is>
          <t>Uvas</t>
        </is>
      </c>
      <c r="F611" s="36" t="inlineStr">
        <is>
          <t>S. celebration</t>
        </is>
      </c>
      <c r="G611" s="36" t="inlineStr">
        <is>
          <t>Producción</t>
        </is>
      </c>
      <c r="H611" s="38" t="n">
        <v>7.14</v>
      </c>
      <c r="I611" s="38" t="n">
        <v>7.14</v>
      </c>
      <c r="J611" s="36" t="inlineStr">
        <is>
          <t>Costo</t>
        </is>
      </c>
      <c r="K611" s="37" t="inlineStr">
        <is>
          <t>1- M.O. directa</t>
        </is>
      </c>
      <c r="L611" s="37" t="inlineStr">
        <is>
          <t>1,2 - Packing</t>
        </is>
      </c>
      <c r="M611" s="37" t="inlineStr">
        <is>
          <t>packing</t>
        </is>
      </c>
      <c r="N611" s="36" t="inlineStr">
        <is>
          <t>Trato</t>
        </is>
      </c>
      <c r="O611" s="36" t="inlineStr">
        <is>
          <t>cjs</t>
        </is>
      </c>
      <c r="P611" s="39" t="n">
        <v>1080</v>
      </c>
      <c r="Q611" s="40" t="n">
        <v>27078.45</v>
      </c>
      <c r="R611" s="39" t="n">
        <v>29244726</v>
      </c>
      <c r="S611" s="41" t="n">
        <v>0.15</v>
      </c>
      <c r="T611" s="39" t="n">
        <v>135</v>
      </c>
      <c r="U611" s="39" t="n">
        <v>0</v>
      </c>
      <c r="V611" s="39" t="n">
        <v>0</v>
      </c>
      <c r="W611" s="39" t="n">
        <v>0</v>
      </c>
      <c r="X611" s="39" t="n">
        <v>0</v>
      </c>
      <c r="Y611" s="39" t="n">
        <v>0</v>
      </c>
      <c r="Z611" s="39" t="n">
        <v>0</v>
      </c>
      <c r="AA611" s="39" t="n">
        <v>0</v>
      </c>
      <c r="AB611" s="39" t="n">
        <v>0</v>
      </c>
      <c r="AC611" s="39" t="n">
        <v>0</v>
      </c>
      <c r="AD611" s="39" t="n">
        <v>16247.07</v>
      </c>
      <c r="AE611" s="39" t="n">
        <v>16247.07</v>
      </c>
      <c r="AF611" s="39" t="n">
        <v>0</v>
      </c>
    </row>
    <row r="612" ht="15" customHeight="1" s="176">
      <c r="A612" s="30" t="inlineStr">
        <is>
          <t>P-0609</t>
        </is>
      </c>
      <c r="B612" s="30" t="inlineStr">
        <is>
          <t>2026/27</t>
        </is>
      </c>
      <c r="C612" s="30" t="inlineStr">
        <is>
          <t>Siberia</t>
        </is>
      </c>
      <c r="D612" s="31" t="inlineStr">
        <is>
          <t>S. Celebration 7,14</t>
        </is>
      </c>
      <c r="E612" s="30" t="inlineStr">
        <is>
          <t>Uvas</t>
        </is>
      </c>
      <c r="F612" s="30" t="inlineStr">
        <is>
          <t>S. celebration</t>
        </is>
      </c>
      <c r="G612" s="30" t="inlineStr">
        <is>
          <t>Producción</t>
        </is>
      </c>
      <c r="H612" s="32" t="n">
        <v>7.14</v>
      </c>
      <c r="I612" s="32" t="n">
        <v>7.14</v>
      </c>
      <c r="J612" s="30" t="inlineStr">
        <is>
          <t>Costo</t>
        </is>
      </c>
      <c r="K612" s="31" t="inlineStr">
        <is>
          <t>1- M.O. directa</t>
        </is>
      </c>
      <c r="L612" s="31" t="inlineStr">
        <is>
          <t>1,2- amarra</t>
        </is>
      </c>
      <c r="M612" s="31" t="n"/>
      <c r="N612" s="30" t="inlineStr">
        <is>
          <t>trato</t>
        </is>
      </c>
      <c r="O612" s="30" t="inlineStr">
        <is>
          <t>plt</t>
        </is>
      </c>
      <c r="P612" s="33" t="n">
        <v>180</v>
      </c>
      <c r="Q612" s="34" t="n">
        <v>8453.76</v>
      </c>
      <c r="R612" s="33" t="n">
        <v>1521676.8</v>
      </c>
      <c r="S612" s="35" t="n">
        <v>0.00780487804878049</v>
      </c>
      <c r="T612" s="33" t="n">
        <v>7.02439024390244</v>
      </c>
      <c r="U612" s="33" t="n">
        <v>0</v>
      </c>
      <c r="V612" s="33" t="n">
        <v>0</v>
      </c>
      <c r="W612" s="33" t="n">
        <v>1690.752</v>
      </c>
      <c r="X612" s="33" t="n">
        <v>0</v>
      </c>
      <c r="Y612" s="33" t="n">
        <v>0</v>
      </c>
      <c r="Z612" s="33" t="n">
        <v>0</v>
      </c>
      <c r="AA612" s="33" t="n">
        <v>0</v>
      </c>
      <c r="AB612" s="33" t="n">
        <v>0</v>
      </c>
      <c r="AC612" s="33" t="n">
        <v>0</v>
      </c>
      <c r="AD612" s="33" t="n">
        <v>0</v>
      </c>
      <c r="AE612" s="33" t="n">
        <v>0</v>
      </c>
      <c r="AF612" s="33" t="n">
        <v>0</v>
      </c>
    </row>
    <row r="613" ht="15" customHeight="1" s="176">
      <c r="A613" s="36" t="inlineStr">
        <is>
          <t>P-0610</t>
        </is>
      </c>
      <c r="B613" s="36" t="inlineStr">
        <is>
          <t>2026/27</t>
        </is>
      </c>
      <c r="C613" s="36" t="inlineStr">
        <is>
          <t>Siberia</t>
        </is>
      </c>
      <c r="D613" s="37" t="inlineStr">
        <is>
          <t>Timpson 7,1</t>
        </is>
      </c>
      <c r="E613" s="36" t="inlineStr">
        <is>
          <t>Uvas</t>
        </is>
      </c>
      <c r="F613" s="36" t="inlineStr">
        <is>
          <t>Timpson</t>
        </is>
      </c>
      <c r="G613" s="36" t="inlineStr">
        <is>
          <t>Producción</t>
        </is>
      </c>
      <c r="H613" s="38" t="n">
        <v>7.1</v>
      </c>
      <c r="I613" s="38" t="n">
        <v>7.1</v>
      </c>
      <c r="J613" s="36" t="inlineStr">
        <is>
          <t>Costo</t>
        </is>
      </c>
      <c r="K613" s="37" t="inlineStr">
        <is>
          <t>1- M.O. directa</t>
        </is>
      </c>
      <c r="L613" s="37" t="inlineStr">
        <is>
          <t>1,2- amarra</t>
        </is>
      </c>
      <c r="M613" s="37" t="n"/>
      <c r="N613" s="36" t="inlineStr">
        <is>
          <t>trato</t>
        </is>
      </c>
      <c r="O613" s="36" t="inlineStr">
        <is>
          <t>plt</t>
        </is>
      </c>
      <c r="P613" s="39" t="n">
        <v>180</v>
      </c>
      <c r="Q613" s="40" t="n">
        <v>7888.1</v>
      </c>
      <c r="R613" s="39" t="n">
        <v>1419858</v>
      </c>
      <c r="S613" s="41" t="n">
        <v>0.00903252032520325</v>
      </c>
      <c r="T613" s="39" t="n">
        <v>8.12926829268293</v>
      </c>
      <c r="U613" s="39" t="n">
        <v>0</v>
      </c>
      <c r="V613" s="39" t="n">
        <v>0</v>
      </c>
      <c r="W613" s="39" t="n">
        <v>1577.62</v>
      </c>
      <c r="X613" s="39" t="n">
        <v>0</v>
      </c>
      <c r="Y613" s="39" t="n">
        <v>0</v>
      </c>
      <c r="Z613" s="39" t="n">
        <v>0</v>
      </c>
      <c r="AA613" s="39" t="n">
        <v>0</v>
      </c>
      <c r="AB613" s="39" t="n">
        <v>0</v>
      </c>
      <c r="AC613" s="39" t="n">
        <v>0</v>
      </c>
      <c r="AD613" s="39" t="n">
        <v>0</v>
      </c>
      <c r="AE613" s="39" t="n">
        <v>0</v>
      </c>
      <c r="AF613" s="39" t="n">
        <v>0</v>
      </c>
    </row>
    <row r="614" ht="15" customHeight="1" s="176">
      <c r="A614" s="30" t="inlineStr">
        <is>
          <t>P-0611</t>
        </is>
      </c>
      <c r="B614" s="30" t="inlineStr">
        <is>
          <t>2026/27</t>
        </is>
      </c>
      <c r="C614" s="30" t="inlineStr">
        <is>
          <t>Siberia</t>
        </is>
      </c>
      <c r="D614" s="31" t="inlineStr">
        <is>
          <t>S. Celebration 7,14</t>
        </is>
      </c>
      <c r="E614" s="30" t="inlineStr">
        <is>
          <t>Uvas</t>
        </is>
      </c>
      <c r="F614" s="30" t="inlineStr">
        <is>
          <t>S. celebration</t>
        </is>
      </c>
      <c r="G614" s="30" t="inlineStr">
        <is>
          <t>Producción</t>
        </is>
      </c>
      <c r="H614" s="32" t="n">
        <v>7.14</v>
      </c>
      <c r="I614" s="32" t="n">
        <v>7.14</v>
      </c>
      <c r="J614" s="30" t="inlineStr">
        <is>
          <t>Costo</t>
        </is>
      </c>
      <c r="K614" s="31" t="inlineStr">
        <is>
          <t>1- M.O. directa</t>
        </is>
      </c>
      <c r="L614" s="31" t="inlineStr">
        <is>
          <t>1,3-  Acordonar sarmiento</t>
        </is>
      </c>
      <c r="M614" s="31" t="n"/>
      <c r="N614" s="30" t="inlineStr">
        <is>
          <t>trato</t>
        </is>
      </c>
      <c r="O614" s="30" t="inlineStr">
        <is>
          <t>plt</t>
        </is>
      </c>
      <c r="P614" s="33" t="n">
        <v>70</v>
      </c>
      <c r="Q614" s="34" t="n">
        <v>8453.76</v>
      </c>
      <c r="R614" s="33" t="n">
        <v>591763.2</v>
      </c>
      <c r="S614" s="35" t="n">
        <v>0.00303523035230352</v>
      </c>
      <c r="T614" s="33" t="n">
        <v>2.73170731707317</v>
      </c>
      <c r="U614" s="33" t="n">
        <v>0</v>
      </c>
      <c r="V614" s="33" t="n">
        <v>0</v>
      </c>
      <c r="W614" s="33" t="n">
        <v>657.514666666667</v>
      </c>
      <c r="X614" s="33" t="n">
        <v>0</v>
      </c>
      <c r="Y614" s="33" t="n">
        <v>0</v>
      </c>
      <c r="Z614" s="33" t="n">
        <v>0</v>
      </c>
      <c r="AA614" s="33" t="n">
        <v>0</v>
      </c>
      <c r="AB614" s="33" t="n">
        <v>0</v>
      </c>
      <c r="AC614" s="33" t="n">
        <v>0</v>
      </c>
      <c r="AD614" s="33" t="n">
        <v>0</v>
      </c>
      <c r="AE614" s="33" t="n">
        <v>0</v>
      </c>
      <c r="AF614" s="33" t="n">
        <v>0</v>
      </c>
    </row>
    <row r="615" ht="15" customHeight="1" s="176">
      <c r="A615" s="36" t="inlineStr">
        <is>
          <t>P-0612</t>
        </is>
      </c>
      <c r="B615" s="36" t="inlineStr">
        <is>
          <t>2026/27</t>
        </is>
      </c>
      <c r="C615" s="36" t="inlineStr">
        <is>
          <t>Siberia</t>
        </is>
      </c>
      <c r="D615" s="37" t="inlineStr">
        <is>
          <t>Timpson 7,1</t>
        </is>
      </c>
      <c r="E615" s="36" t="inlineStr">
        <is>
          <t>Uvas</t>
        </is>
      </c>
      <c r="F615" s="36" t="inlineStr">
        <is>
          <t>Timpson</t>
        </is>
      </c>
      <c r="G615" s="36" t="inlineStr">
        <is>
          <t>Producción</t>
        </is>
      </c>
      <c r="H615" s="38" t="n">
        <v>7.1</v>
      </c>
      <c r="I615" s="38" t="n">
        <v>7.1</v>
      </c>
      <c r="J615" s="36" t="inlineStr">
        <is>
          <t>Costo</t>
        </is>
      </c>
      <c r="K615" s="37" t="inlineStr">
        <is>
          <t>1- M.O. directa</t>
        </is>
      </c>
      <c r="L615" s="37" t="inlineStr">
        <is>
          <t>1,3-  Acordonar sarmiento</t>
        </is>
      </c>
      <c r="M615" s="37" t="n"/>
      <c r="N615" s="36" t="inlineStr">
        <is>
          <t>trato</t>
        </is>
      </c>
      <c r="O615" s="36" t="inlineStr">
        <is>
          <t>plt</t>
        </is>
      </c>
      <c r="P615" s="39" t="n">
        <v>70</v>
      </c>
      <c r="Q615" s="40" t="n">
        <v>7888.1</v>
      </c>
      <c r="R615" s="39" t="n">
        <v>552167</v>
      </c>
      <c r="S615" s="41" t="n">
        <v>0.0035126467931346</v>
      </c>
      <c r="T615" s="39" t="n">
        <v>3.16138211382114</v>
      </c>
      <c r="U615" s="39" t="n">
        <v>0</v>
      </c>
      <c r="V615" s="39" t="n">
        <v>0</v>
      </c>
      <c r="W615" s="39" t="n">
        <v>613.518888888889</v>
      </c>
      <c r="X615" s="39" t="n">
        <v>0</v>
      </c>
      <c r="Y615" s="39" t="n">
        <v>0</v>
      </c>
      <c r="Z615" s="39" t="n">
        <v>0</v>
      </c>
      <c r="AA615" s="39" t="n">
        <v>0</v>
      </c>
      <c r="AB615" s="39" t="n">
        <v>0</v>
      </c>
      <c r="AC615" s="39" t="n">
        <v>0</v>
      </c>
      <c r="AD615" s="39" t="n">
        <v>0</v>
      </c>
      <c r="AE615" s="39" t="n">
        <v>0</v>
      </c>
      <c r="AF615" s="39" t="n">
        <v>0</v>
      </c>
    </row>
    <row r="616" ht="15" customHeight="1" s="176">
      <c r="A616" s="30" t="inlineStr">
        <is>
          <t>P-0613</t>
        </is>
      </c>
      <c r="B616" s="30" t="inlineStr">
        <is>
          <t>2026/27</t>
        </is>
      </c>
      <c r="C616" s="30" t="inlineStr">
        <is>
          <t>Siberia</t>
        </is>
      </c>
      <c r="D616" s="31" t="inlineStr">
        <is>
          <t>S. Celebration 7,14</t>
        </is>
      </c>
      <c r="E616" s="30" t="inlineStr">
        <is>
          <t>Uvas</t>
        </is>
      </c>
      <c r="F616" s="30" t="inlineStr">
        <is>
          <t>S. celebration</t>
        </is>
      </c>
      <c r="G616" s="30" t="inlineStr">
        <is>
          <t>Producción</t>
        </is>
      </c>
      <c r="H616" s="32" t="n">
        <v>7.14</v>
      </c>
      <c r="I616" s="32" t="n">
        <v>7.14</v>
      </c>
      <c r="J616" s="30" t="inlineStr">
        <is>
          <t>Costo</t>
        </is>
      </c>
      <c r="K616" s="31" t="inlineStr">
        <is>
          <t>1- M.O. directa</t>
        </is>
      </c>
      <c r="L616" s="31" t="inlineStr">
        <is>
          <t xml:space="preserve">1,4- Mantención caminos </t>
        </is>
      </c>
      <c r="M616" s="31" t="n"/>
      <c r="N616" s="30" t="inlineStr">
        <is>
          <t>día</t>
        </is>
      </c>
      <c r="O616" s="30" t="inlineStr">
        <is>
          <t>JH</t>
        </is>
      </c>
      <c r="P616" s="33" t="n">
        <v>43500</v>
      </c>
      <c r="Q616" s="34" t="n">
        <v>2</v>
      </c>
      <c r="R616" s="33" t="n">
        <v>174000</v>
      </c>
      <c r="S616" s="35" t="n">
        <v>0.000892468611263446</v>
      </c>
      <c r="T616" s="33" t="n">
        <v>0.803221750137102</v>
      </c>
      <c r="U616" s="33" t="n">
        <v>0</v>
      </c>
      <c r="V616" s="33" t="n">
        <v>0</v>
      </c>
      <c r="W616" s="33" t="n">
        <v>0</v>
      </c>
      <c r="X616" s="33" t="n">
        <v>96.6666666666667</v>
      </c>
      <c r="Y616" s="33" t="n">
        <v>0</v>
      </c>
      <c r="Z616" s="33" t="n">
        <v>0</v>
      </c>
      <c r="AA616" s="33" t="n">
        <v>96.6666666666667</v>
      </c>
      <c r="AB616" s="33" t="n">
        <v>0</v>
      </c>
      <c r="AC616" s="33" t="n">
        <v>0</v>
      </c>
      <c r="AD616" s="33" t="n">
        <v>0</v>
      </c>
      <c r="AE616" s="33" t="n">
        <v>0</v>
      </c>
      <c r="AF616" s="33" t="n">
        <v>0</v>
      </c>
    </row>
    <row r="617" ht="15" customHeight="1" s="176">
      <c r="A617" s="36" t="inlineStr">
        <is>
          <t>P-0614</t>
        </is>
      </c>
      <c r="B617" s="36" t="inlineStr">
        <is>
          <t>2026/27</t>
        </is>
      </c>
      <c r="C617" s="36" t="inlineStr">
        <is>
          <t>Siberia</t>
        </is>
      </c>
      <c r="D617" s="37" t="inlineStr">
        <is>
          <t>Timpson 7,1</t>
        </is>
      </c>
      <c r="E617" s="36" t="inlineStr">
        <is>
          <t>Uvas</t>
        </is>
      </c>
      <c r="F617" s="36" t="inlineStr">
        <is>
          <t>Timpson</t>
        </is>
      </c>
      <c r="G617" s="36" t="inlineStr">
        <is>
          <t>Producción</t>
        </is>
      </c>
      <c r="H617" s="38" t="n">
        <v>7.1</v>
      </c>
      <c r="I617" s="38" t="n">
        <v>7.1</v>
      </c>
      <c r="J617" s="36" t="inlineStr">
        <is>
          <t>Costo</t>
        </is>
      </c>
      <c r="K617" s="37" t="inlineStr">
        <is>
          <t>1- M.O. directa</t>
        </is>
      </c>
      <c r="L617" s="37" t="inlineStr">
        <is>
          <t xml:space="preserve">1,4- Mantención caminos </t>
        </is>
      </c>
      <c r="M617" s="37" t="n"/>
      <c r="N617" s="36" t="inlineStr">
        <is>
          <t>día</t>
        </is>
      </c>
      <c r="O617" s="36" t="inlineStr">
        <is>
          <t>JH</t>
        </is>
      </c>
      <c r="P617" s="39" t="n">
        <v>43500</v>
      </c>
      <c r="Q617" s="40" t="n">
        <v>2</v>
      </c>
      <c r="R617" s="39" t="n">
        <v>174000</v>
      </c>
      <c r="S617" s="41" t="n">
        <v>0.00110691247757548</v>
      </c>
      <c r="T617" s="39" t="n">
        <v>0.996221229817932</v>
      </c>
      <c r="U617" s="39" t="n">
        <v>0</v>
      </c>
      <c r="V617" s="39" t="n">
        <v>0</v>
      </c>
      <c r="W617" s="39" t="n">
        <v>0</v>
      </c>
      <c r="X617" s="39" t="n">
        <v>96.6666666666667</v>
      </c>
      <c r="Y617" s="39" t="n">
        <v>0</v>
      </c>
      <c r="Z617" s="39" t="n">
        <v>0</v>
      </c>
      <c r="AA617" s="39" t="n">
        <v>96.6666666666667</v>
      </c>
      <c r="AB617" s="39" t="n">
        <v>0</v>
      </c>
      <c r="AC617" s="39" t="n">
        <v>0</v>
      </c>
      <c r="AD617" s="39" t="n">
        <v>0</v>
      </c>
      <c r="AE617" s="39" t="n">
        <v>0</v>
      </c>
      <c r="AF617" s="39" t="n">
        <v>0</v>
      </c>
    </row>
    <row r="618" ht="15" customHeight="1" s="176">
      <c r="A618" s="30" t="inlineStr">
        <is>
          <t>P-0615</t>
        </is>
      </c>
      <c r="B618" s="30" t="inlineStr">
        <is>
          <t>2026/27</t>
        </is>
      </c>
      <c r="C618" s="30" t="inlineStr">
        <is>
          <t>Siberia</t>
        </is>
      </c>
      <c r="D618" s="31" t="inlineStr">
        <is>
          <t>S. Celebration 7,14</t>
        </is>
      </c>
      <c r="E618" s="30" t="inlineStr">
        <is>
          <t>Uvas</t>
        </is>
      </c>
      <c r="F618" s="30" t="inlineStr">
        <is>
          <t>S. celebration</t>
        </is>
      </c>
      <c r="G618" s="30" t="inlineStr">
        <is>
          <t>Producción</t>
        </is>
      </c>
      <c r="H618" s="32" t="n">
        <v>7.14</v>
      </c>
      <c r="I618" s="32" t="n">
        <v>7.14</v>
      </c>
      <c r="J618" s="30" t="inlineStr">
        <is>
          <t>Costo</t>
        </is>
      </c>
      <c r="K618" s="31" t="inlineStr">
        <is>
          <t>1- M.O. directa</t>
        </is>
      </c>
      <c r="L618" s="31" t="inlineStr">
        <is>
          <t>2- Aseo y Mantenciòn Campo</t>
        </is>
      </c>
      <c r="M618" s="31" t="inlineStr">
        <is>
          <t>1 jh/2000 cjas</t>
        </is>
      </c>
      <c r="N618" s="30" t="inlineStr">
        <is>
          <t>trato</t>
        </is>
      </c>
      <c r="O618" s="30" t="inlineStr">
        <is>
          <t>JH</t>
        </is>
      </c>
      <c r="P618" s="33" t="n">
        <v>38500</v>
      </c>
      <c r="Q618" s="34" t="n">
        <v>9</v>
      </c>
      <c r="R618" s="33" t="n">
        <v>1212750</v>
      </c>
      <c r="S618" s="35" t="n">
        <v>0.00622035234660773</v>
      </c>
      <c r="T618" s="33" t="n">
        <v>5.59831711194696</v>
      </c>
      <c r="U618" s="33" t="n">
        <v>0</v>
      </c>
      <c r="V618" s="33" t="n">
        <v>0</v>
      </c>
      <c r="W618" s="33" t="n">
        <v>0</v>
      </c>
      <c r="X618" s="33" t="n">
        <v>0</v>
      </c>
      <c r="Y618" s="33" t="n">
        <v>0</v>
      </c>
      <c r="Z618" s="33" t="n">
        <v>192.5</v>
      </c>
      <c r="AA618" s="33" t="n">
        <v>192.5</v>
      </c>
      <c r="AB618" s="33" t="n">
        <v>192.5</v>
      </c>
      <c r="AC618" s="33" t="n">
        <v>192.5</v>
      </c>
      <c r="AD618" s="33" t="n">
        <v>192.5</v>
      </c>
      <c r="AE618" s="33" t="n">
        <v>192.5</v>
      </c>
      <c r="AF618" s="33" t="n">
        <v>192.5</v>
      </c>
    </row>
    <row r="619" ht="15" customHeight="1" s="176">
      <c r="A619" s="36" t="inlineStr">
        <is>
          <t>P-0616</t>
        </is>
      </c>
      <c r="B619" s="36" t="inlineStr">
        <is>
          <t>2026/27</t>
        </is>
      </c>
      <c r="C619" s="36" t="inlineStr">
        <is>
          <t>Siberia</t>
        </is>
      </c>
      <c r="D619" s="37" t="inlineStr">
        <is>
          <t>Timpson 7,1</t>
        </is>
      </c>
      <c r="E619" s="36" t="inlineStr">
        <is>
          <t>Uvas</t>
        </is>
      </c>
      <c r="F619" s="36" t="inlineStr">
        <is>
          <t>Timpson</t>
        </is>
      </c>
      <c r="G619" s="36" t="inlineStr">
        <is>
          <t>Producción</t>
        </is>
      </c>
      <c r="H619" s="38" t="n">
        <v>7.1</v>
      </c>
      <c r="I619" s="38" t="n">
        <v>7.1</v>
      </c>
      <c r="J619" s="36" t="inlineStr">
        <is>
          <t>Costo</t>
        </is>
      </c>
      <c r="K619" s="37" t="inlineStr">
        <is>
          <t>1- M.O. directa</t>
        </is>
      </c>
      <c r="L619" s="37" t="inlineStr">
        <is>
          <t>2- Aseo y Mantenciòn Campo</t>
        </is>
      </c>
      <c r="M619" s="37" t="inlineStr">
        <is>
          <t>1 jh/2000 cjas</t>
        </is>
      </c>
      <c r="N619" s="36" t="inlineStr">
        <is>
          <t>trato</t>
        </is>
      </c>
      <c r="O619" s="36" t="inlineStr">
        <is>
          <t>JH</t>
        </is>
      </c>
      <c r="P619" s="39" t="n">
        <v>38500</v>
      </c>
      <c r="Q619" s="40" t="n">
        <v>9</v>
      </c>
      <c r="R619" s="39" t="n">
        <v>1212750</v>
      </c>
      <c r="S619" s="41" t="n">
        <v>0.00771498912172221</v>
      </c>
      <c r="T619" s="39" t="n">
        <v>6.94349020954998</v>
      </c>
      <c r="U619" s="39" t="n">
        <v>0</v>
      </c>
      <c r="V619" s="39" t="n">
        <v>0</v>
      </c>
      <c r="W619" s="39" t="n">
        <v>0</v>
      </c>
      <c r="X619" s="39" t="n">
        <v>0</v>
      </c>
      <c r="Y619" s="39" t="n">
        <v>0</v>
      </c>
      <c r="Z619" s="39" t="n">
        <v>192.5</v>
      </c>
      <c r="AA619" s="39" t="n">
        <v>192.5</v>
      </c>
      <c r="AB619" s="39" t="n">
        <v>192.5</v>
      </c>
      <c r="AC619" s="39" t="n">
        <v>192.5</v>
      </c>
      <c r="AD619" s="39" t="n">
        <v>192.5</v>
      </c>
      <c r="AE619" s="39" t="n">
        <v>192.5</v>
      </c>
      <c r="AF619" s="39" t="n">
        <v>192.5</v>
      </c>
    </row>
    <row r="620" ht="15" customHeight="1" s="176">
      <c r="A620" s="30" t="inlineStr">
        <is>
          <t>P-0617</t>
        </is>
      </c>
      <c r="B620" s="30" t="inlineStr">
        <is>
          <t>2026/27</t>
        </is>
      </c>
      <c r="C620" s="30" t="inlineStr">
        <is>
          <t>Siberia</t>
        </is>
      </c>
      <c r="D620" s="31" t="inlineStr">
        <is>
          <t>S. Celebration 7,14</t>
        </is>
      </c>
      <c r="E620" s="30" t="inlineStr">
        <is>
          <t>Uvas</t>
        </is>
      </c>
      <c r="F620" s="30" t="inlineStr">
        <is>
          <t>S. celebration</t>
        </is>
      </c>
      <c r="G620" s="30" t="inlineStr">
        <is>
          <t>Producción</t>
        </is>
      </c>
      <c r="H620" s="32" t="n">
        <v>7.14</v>
      </c>
      <c r="I620" s="32" t="n">
        <v>7.14</v>
      </c>
      <c r="J620" s="30" t="inlineStr">
        <is>
          <t>Costo</t>
        </is>
      </c>
      <c r="K620" s="31" t="inlineStr">
        <is>
          <t>1- M.O. directa</t>
        </is>
      </c>
      <c r="L620" s="31" t="inlineStr">
        <is>
          <t>3-  Control de malezas químico</t>
        </is>
      </c>
      <c r="M620" s="31" t="inlineStr">
        <is>
          <t xml:space="preserve">junto  a arreglo de racimos </t>
        </is>
      </c>
      <c r="N620" s="30" t="inlineStr">
        <is>
          <t>trato</t>
        </is>
      </c>
      <c r="O620" s="30" t="inlineStr">
        <is>
          <t>ha</t>
        </is>
      </c>
      <c r="P620" s="33" t="n">
        <v>43500</v>
      </c>
      <c r="Q620" s="34" t="n">
        <v>7.14</v>
      </c>
      <c r="R620" s="33" t="n">
        <v>931770</v>
      </c>
      <c r="S620" s="35" t="n">
        <v>0.00477916941331576</v>
      </c>
      <c r="T620" s="33" t="n">
        <v>4.30125247198418</v>
      </c>
      <c r="U620" s="33" t="n">
        <v>0</v>
      </c>
      <c r="V620" s="33" t="n">
        <v>0</v>
      </c>
      <c r="W620" s="33" t="n">
        <v>0</v>
      </c>
      <c r="X620" s="33" t="n">
        <v>0</v>
      </c>
      <c r="Y620" s="33" t="n">
        <v>345.1</v>
      </c>
      <c r="Z620" s="33" t="n">
        <v>0</v>
      </c>
      <c r="AA620" s="33" t="n">
        <v>345.1</v>
      </c>
      <c r="AB620" s="33" t="n">
        <v>0</v>
      </c>
      <c r="AC620" s="33" t="n">
        <v>345.1</v>
      </c>
      <c r="AD620" s="33" t="n">
        <v>0</v>
      </c>
      <c r="AE620" s="33" t="n">
        <v>0</v>
      </c>
      <c r="AF620" s="33" t="n">
        <v>0</v>
      </c>
    </row>
    <row r="621" ht="15" customHeight="1" s="176">
      <c r="A621" s="36" t="inlineStr">
        <is>
          <t>P-0618</t>
        </is>
      </c>
      <c r="B621" s="36" t="inlineStr">
        <is>
          <t>2026/27</t>
        </is>
      </c>
      <c r="C621" s="36" t="inlineStr">
        <is>
          <t>Siberia</t>
        </is>
      </c>
      <c r="D621" s="37" t="inlineStr">
        <is>
          <t>Timpson 7,1</t>
        </is>
      </c>
      <c r="E621" s="36" t="inlineStr">
        <is>
          <t>Uvas</t>
        </is>
      </c>
      <c r="F621" s="36" t="inlineStr">
        <is>
          <t>Timpson</t>
        </is>
      </c>
      <c r="G621" s="36" t="inlineStr">
        <is>
          <t>Producción</t>
        </is>
      </c>
      <c r="H621" s="38" t="n">
        <v>7.1</v>
      </c>
      <c r="I621" s="38" t="n">
        <v>7.1</v>
      </c>
      <c r="J621" s="36" t="inlineStr">
        <is>
          <t>Costo</t>
        </is>
      </c>
      <c r="K621" s="37" t="inlineStr">
        <is>
          <t>1- M.O. directa</t>
        </is>
      </c>
      <c r="L621" s="37" t="inlineStr">
        <is>
          <t>3-  Control de malezas químico</t>
        </is>
      </c>
      <c r="M621" s="37" t="inlineStr">
        <is>
          <t xml:space="preserve">junto  a arreglo de racimos </t>
        </is>
      </c>
      <c r="N621" s="36" t="inlineStr">
        <is>
          <t>trato</t>
        </is>
      </c>
      <c r="O621" s="36" t="inlineStr">
        <is>
          <t>ha</t>
        </is>
      </c>
      <c r="P621" s="39" t="n">
        <v>43500</v>
      </c>
      <c r="Q621" s="40" t="n">
        <v>7.1</v>
      </c>
      <c r="R621" s="39" t="n">
        <v>926550</v>
      </c>
      <c r="S621" s="41" t="n">
        <v>0.00589430894308943</v>
      </c>
      <c r="T621" s="39" t="n">
        <v>5.30487804878049</v>
      </c>
      <c r="U621" s="39" t="n">
        <v>0</v>
      </c>
      <c r="V621" s="39" t="n">
        <v>0</v>
      </c>
      <c r="W621" s="39" t="n">
        <v>0</v>
      </c>
      <c r="X621" s="39" t="n">
        <v>0</v>
      </c>
      <c r="Y621" s="39" t="n">
        <v>343.166666666667</v>
      </c>
      <c r="Z621" s="39" t="n">
        <v>0</v>
      </c>
      <c r="AA621" s="39" t="n">
        <v>343.166666666667</v>
      </c>
      <c r="AB621" s="39" t="n">
        <v>0</v>
      </c>
      <c r="AC621" s="39" t="n">
        <v>343.166666666667</v>
      </c>
      <c r="AD621" s="39" t="n">
        <v>0</v>
      </c>
      <c r="AE621" s="39" t="n">
        <v>0</v>
      </c>
      <c r="AF621" s="39" t="n">
        <v>0</v>
      </c>
    </row>
    <row r="622" ht="15" customHeight="1" s="176">
      <c r="A622" s="30" t="inlineStr">
        <is>
          <t>P-0619</t>
        </is>
      </c>
      <c r="B622" s="30" t="inlineStr">
        <is>
          <t>2026/27</t>
        </is>
      </c>
      <c r="C622" s="30" t="inlineStr">
        <is>
          <t>Siberia</t>
        </is>
      </c>
      <c r="D622" s="31" t="inlineStr">
        <is>
          <t>S. Celebration 7,14</t>
        </is>
      </c>
      <c r="E622" s="30" t="inlineStr">
        <is>
          <t>Uvas</t>
        </is>
      </c>
      <c r="F622" s="30" t="inlineStr">
        <is>
          <t>S. celebration</t>
        </is>
      </c>
      <c r="G622" s="30" t="inlineStr">
        <is>
          <t>Producción</t>
        </is>
      </c>
      <c r="H622" s="32" t="n">
        <v>7.14</v>
      </c>
      <c r="I622" s="32" t="n">
        <v>7.14</v>
      </c>
      <c r="J622" s="30" t="inlineStr">
        <is>
          <t>Costo</t>
        </is>
      </c>
      <c r="K622" s="31" t="inlineStr">
        <is>
          <t>1- M.O. directa</t>
        </is>
      </c>
      <c r="L622" s="31" t="inlineStr">
        <is>
          <t>3- Reparaciòn estructura</t>
        </is>
      </c>
      <c r="M622" s="31" t="inlineStr">
        <is>
          <t>1 racimo por brote//deshoje/desbrote</t>
        </is>
      </c>
      <c r="N622" s="30" t="inlineStr">
        <is>
          <t>trato</t>
        </is>
      </c>
      <c r="O622" s="30" t="inlineStr">
        <is>
          <t>plt</t>
        </is>
      </c>
      <c r="P622" s="33" t="n">
        <v>300</v>
      </c>
      <c r="Q622" s="34" t="n">
        <v>8453.76</v>
      </c>
      <c r="R622" s="33" t="n">
        <v>2536128</v>
      </c>
      <c r="S622" s="35" t="n">
        <v>0.0130081300813008</v>
      </c>
      <c r="T622" s="33" t="n">
        <v>11.7073170731707</v>
      </c>
      <c r="U622" s="33" t="n">
        <v>0</v>
      </c>
      <c r="V622" s="33" t="n">
        <v>0</v>
      </c>
      <c r="W622" s="33" t="n">
        <v>0</v>
      </c>
      <c r="X622" s="33" t="n">
        <v>2817.92</v>
      </c>
      <c r="Y622" s="33" t="n">
        <v>0</v>
      </c>
      <c r="Z622" s="33" t="n">
        <v>0</v>
      </c>
      <c r="AA622" s="33" t="n">
        <v>0</v>
      </c>
      <c r="AB622" s="33" t="n">
        <v>0</v>
      </c>
      <c r="AC622" s="33" t="n">
        <v>0</v>
      </c>
      <c r="AD622" s="33" t="n">
        <v>0</v>
      </c>
      <c r="AE622" s="33" t="n">
        <v>0</v>
      </c>
      <c r="AF622" s="33" t="n">
        <v>0</v>
      </c>
    </row>
    <row r="623" ht="15" customHeight="1" s="176">
      <c r="A623" s="36" t="inlineStr">
        <is>
          <t>P-0620</t>
        </is>
      </c>
      <c r="B623" s="36" t="inlineStr">
        <is>
          <t>2026/27</t>
        </is>
      </c>
      <c r="C623" s="36" t="inlineStr">
        <is>
          <t>Siberia</t>
        </is>
      </c>
      <c r="D623" s="37" t="inlineStr">
        <is>
          <t>Timpson 7,1</t>
        </is>
      </c>
      <c r="E623" s="36" t="inlineStr">
        <is>
          <t>Uvas</t>
        </is>
      </c>
      <c r="F623" s="36" t="inlineStr">
        <is>
          <t>Timpson</t>
        </is>
      </c>
      <c r="G623" s="36" t="inlineStr">
        <is>
          <t>Producción</t>
        </is>
      </c>
      <c r="H623" s="38" t="n">
        <v>7.1</v>
      </c>
      <c r="I623" s="38" t="n">
        <v>7.1</v>
      </c>
      <c r="J623" s="36" t="inlineStr">
        <is>
          <t>Costo</t>
        </is>
      </c>
      <c r="K623" s="37" t="inlineStr">
        <is>
          <t>1- M.O. directa</t>
        </is>
      </c>
      <c r="L623" s="37" t="inlineStr">
        <is>
          <t>3- Reparaciòn estructura</t>
        </is>
      </c>
      <c r="M623" s="37" t="inlineStr">
        <is>
          <t>1 racimo por brote//deshoje/desbrote</t>
        </is>
      </c>
      <c r="N623" s="36" t="inlineStr">
        <is>
          <t>trato</t>
        </is>
      </c>
      <c r="O623" s="36" t="inlineStr">
        <is>
          <t>plt</t>
        </is>
      </c>
      <c r="P623" s="39" t="n">
        <v>300</v>
      </c>
      <c r="Q623" s="40" t="n">
        <v>7888.1</v>
      </c>
      <c r="R623" s="39" t="n">
        <v>2366430</v>
      </c>
      <c r="S623" s="41" t="n">
        <v>0.0150542005420054</v>
      </c>
      <c r="T623" s="39" t="n">
        <v>13.5487804878049</v>
      </c>
      <c r="U623" s="39" t="n">
        <v>0</v>
      </c>
      <c r="V623" s="39" t="n">
        <v>0</v>
      </c>
      <c r="W623" s="39" t="n">
        <v>0</v>
      </c>
      <c r="X623" s="39" t="n">
        <v>2629.36666666667</v>
      </c>
      <c r="Y623" s="39" t="n">
        <v>0</v>
      </c>
      <c r="Z623" s="39" t="n">
        <v>0</v>
      </c>
      <c r="AA623" s="39" t="n">
        <v>0</v>
      </c>
      <c r="AB623" s="39" t="n">
        <v>0</v>
      </c>
      <c r="AC623" s="39" t="n">
        <v>0</v>
      </c>
      <c r="AD623" s="39" t="n">
        <v>0</v>
      </c>
      <c r="AE623" s="39" t="n">
        <v>0</v>
      </c>
      <c r="AF623" s="39" t="n">
        <v>0</v>
      </c>
    </row>
    <row r="624" ht="15" customHeight="1" s="176">
      <c r="A624" s="30" t="inlineStr">
        <is>
          <t>P-0621</t>
        </is>
      </c>
      <c r="B624" s="30" t="inlineStr">
        <is>
          <t>2026/27</t>
        </is>
      </c>
      <c r="C624" s="30" t="inlineStr">
        <is>
          <t>Siberia</t>
        </is>
      </c>
      <c r="D624" s="31" t="inlineStr">
        <is>
          <t>S. Celebration 7,14</t>
        </is>
      </c>
      <c r="E624" s="30" t="inlineStr">
        <is>
          <t>Uvas</t>
        </is>
      </c>
      <c r="F624" s="30" t="inlineStr">
        <is>
          <t>S. celebration</t>
        </is>
      </c>
      <c r="G624" s="30" t="inlineStr">
        <is>
          <t>Producción</t>
        </is>
      </c>
      <c r="H624" s="32" t="n">
        <v>7.14</v>
      </c>
      <c r="I624" s="32" t="n">
        <v>7.14</v>
      </c>
      <c r="J624" s="30" t="inlineStr">
        <is>
          <t>Costo</t>
        </is>
      </c>
      <c r="K624" s="31" t="inlineStr">
        <is>
          <t>1- M.O. directa</t>
        </is>
      </c>
      <c r="L624" s="31" t="inlineStr">
        <is>
          <t>3- Tractorista cosecha</t>
        </is>
      </c>
      <c r="M624" s="31" t="n"/>
      <c r="N624" s="30" t="inlineStr">
        <is>
          <t>trato</t>
        </is>
      </c>
      <c r="O624" s="30" t="inlineStr">
        <is>
          <t>cjs</t>
        </is>
      </c>
      <c r="P624" s="33" t="n">
        <v>30</v>
      </c>
      <c r="Q624" s="34" t="n">
        <v>26418</v>
      </c>
      <c r="R624" s="33" t="n">
        <v>792540</v>
      </c>
      <c r="S624" s="35" t="n">
        <v>0.0040650406504065</v>
      </c>
      <c r="T624" s="33" t="n">
        <v>3.65853658536585</v>
      </c>
      <c r="U624" s="33" t="n">
        <v>0</v>
      </c>
      <c r="V624" s="33" t="n">
        <v>0</v>
      </c>
      <c r="W624" s="33" t="n">
        <v>0</v>
      </c>
      <c r="X624" s="33" t="n">
        <v>0</v>
      </c>
      <c r="Y624" s="33" t="n">
        <v>0</v>
      </c>
      <c r="Z624" s="33" t="n">
        <v>0</v>
      </c>
      <c r="AA624" s="33" t="n">
        <v>0</v>
      </c>
      <c r="AB624" s="33" t="n">
        <v>0</v>
      </c>
      <c r="AC624" s="33" t="n">
        <v>0</v>
      </c>
      <c r="AD624" s="33" t="n">
        <v>440.3</v>
      </c>
      <c r="AE624" s="33" t="n">
        <v>440.3</v>
      </c>
      <c r="AF624" s="33" t="n">
        <v>0</v>
      </c>
    </row>
    <row r="625" ht="15" customHeight="1" s="176">
      <c r="A625" s="36" t="inlineStr">
        <is>
          <t>P-0622</t>
        </is>
      </c>
      <c r="B625" s="36" t="inlineStr">
        <is>
          <t>2026/27</t>
        </is>
      </c>
      <c r="C625" s="36" t="inlineStr">
        <is>
          <t>Siberia</t>
        </is>
      </c>
      <c r="D625" s="37" t="inlineStr">
        <is>
          <t>Timpson 7,1</t>
        </is>
      </c>
      <c r="E625" s="36" t="inlineStr">
        <is>
          <t>Uvas</t>
        </is>
      </c>
      <c r="F625" s="36" t="inlineStr">
        <is>
          <t>Timpson</t>
        </is>
      </c>
      <c r="G625" s="36" t="inlineStr">
        <is>
          <t>Producción</t>
        </is>
      </c>
      <c r="H625" s="38" t="n">
        <v>7.1</v>
      </c>
      <c r="I625" s="38" t="n">
        <v>7.1</v>
      </c>
      <c r="J625" s="36" t="inlineStr">
        <is>
          <t>Costo</t>
        </is>
      </c>
      <c r="K625" s="37" t="inlineStr">
        <is>
          <t>1- M.O. directa</t>
        </is>
      </c>
      <c r="L625" s="37" t="inlineStr">
        <is>
          <t>3- Tractorista cosecha</t>
        </is>
      </c>
      <c r="M625" s="37" t="n"/>
      <c r="N625" s="36" t="inlineStr">
        <is>
          <t>trato</t>
        </is>
      </c>
      <c r="O625" s="36" t="inlineStr">
        <is>
          <t>cjs</t>
        </is>
      </c>
      <c r="P625" s="39" t="n">
        <v>30</v>
      </c>
      <c r="Q625" s="40" t="n">
        <v>21300</v>
      </c>
      <c r="R625" s="39" t="n">
        <v>639000</v>
      </c>
      <c r="S625" s="41" t="n">
        <v>0.0040650406504065</v>
      </c>
      <c r="T625" s="39" t="n">
        <v>3.65853658536585</v>
      </c>
      <c r="U625" s="39" t="n">
        <v>0</v>
      </c>
      <c r="V625" s="39" t="n">
        <v>0</v>
      </c>
      <c r="W625" s="39" t="n">
        <v>0</v>
      </c>
      <c r="X625" s="39" t="n">
        <v>0</v>
      </c>
      <c r="Y625" s="39" t="n">
        <v>0</v>
      </c>
      <c r="Z625" s="39" t="n">
        <v>0</v>
      </c>
      <c r="AA625" s="39" t="n">
        <v>0</v>
      </c>
      <c r="AB625" s="39" t="n">
        <v>0</v>
      </c>
      <c r="AC625" s="39" t="n">
        <v>0</v>
      </c>
      <c r="AD625" s="39" t="n">
        <v>426</v>
      </c>
      <c r="AE625" s="39" t="n">
        <v>284</v>
      </c>
      <c r="AF625" s="39" t="n">
        <v>0</v>
      </c>
    </row>
    <row r="626" ht="15" customHeight="1" s="176">
      <c r="A626" s="30" t="inlineStr">
        <is>
          <t>P-0623</t>
        </is>
      </c>
      <c r="B626" s="30" t="inlineStr">
        <is>
          <t>2026/27</t>
        </is>
      </c>
      <c r="C626" s="30" t="inlineStr">
        <is>
          <t>Siberia</t>
        </is>
      </c>
      <c r="D626" s="31" t="inlineStr">
        <is>
          <t>S. Celebration 7,14</t>
        </is>
      </c>
      <c r="E626" s="30" t="inlineStr">
        <is>
          <t>Uvas</t>
        </is>
      </c>
      <c r="F626" s="30" t="inlineStr">
        <is>
          <t>S. celebration</t>
        </is>
      </c>
      <c r="G626" s="30" t="inlineStr">
        <is>
          <t>Producción</t>
        </is>
      </c>
      <c r="H626" s="32" t="n">
        <v>7.14</v>
      </c>
      <c r="I626" s="32" t="n">
        <v>7.14</v>
      </c>
      <c r="J626" s="30" t="inlineStr">
        <is>
          <t>Costo</t>
        </is>
      </c>
      <c r="K626" s="31" t="inlineStr">
        <is>
          <t>1- M.O. directa</t>
        </is>
      </c>
      <c r="L626" s="31" t="inlineStr">
        <is>
          <t>4- Control de malezas mecánico</t>
        </is>
      </c>
      <c r="M626" s="31" t="inlineStr">
        <is>
          <t>(pala, rastra, rana)</t>
        </is>
      </c>
      <c r="N626" s="30" t="inlineStr">
        <is>
          <t>día</t>
        </is>
      </c>
      <c r="O626" s="30" t="inlineStr">
        <is>
          <t>JH</t>
        </is>
      </c>
      <c r="P626" s="33" t="n">
        <v>100</v>
      </c>
      <c r="Q626" s="34" t="n">
        <v>8453.76</v>
      </c>
      <c r="R626" s="33" t="n">
        <v>845376</v>
      </c>
      <c r="S626" s="35" t="n">
        <v>0.0043360433604336</v>
      </c>
      <c r="T626" s="33" t="n">
        <v>3.90243902439024</v>
      </c>
      <c r="U626" s="33" t="n">
        <v>0</v>
      </c>
      <c r="V626" s="33" t="n">
        <v>0</v>
      </c>
      <c r="W626" s="33" t="n">
        <v>0</v>
      </c>
      <c r="X626" s="33" t="n">
        <v>0</v>
      </c>
      <c r="Y626" s="33" t="n">
        <v>0</v>
      </c>
      <c r="Z626" s="33" t="n">
        <v>939.306666666667</v>
      </c>
      <c r="AA626" s="33" t="n">
        <v>0</v>
      </c>
      <c r="AB626" s="33" t="n">
        <v>0</v>
      </c>
      <c r="AC626" s="33" t="n">
        <v>0</v>
      </c>
      <c r="AD626" s="33" t="n">
        <v>0</v>
      </c>
      <c r="AE626" s="33" t="n">
        <v>0</v>
      </c>
      <c r="AF626" s="33" t="n">
        <v>0</v>
      </c>
    </row>
    <row r="627" ht="15" customHeight="1" s="176">
      <c r="A627" s="36" t="inlineStr">
        <is>
          <t>P-0624</t>
        </is>
      </c>
      <c r="B627" s="36" t="inlineStr">
        <is>
          <t>2026/27</t>
        </is>
      </c>
      <c r="C627" s="36" t="inlineStr">
        <is>
          <t>Siberia</t>
        </is>
      </c>
      <c r="D627" s="37" t="inlineStr">
        <is>
          <t>Timpson 7,1</t>
        </is>
      </c>
      <c r="E627" s="36" t="inlineStr">
        <is>
          <t>Uvas</t>
        </is>
      </c>
      <c r="F627" s="36" t="inlineStr">
        <is>
          <t>Timpson</t>
        </is>
      </c>
      <c r="G627" s="36" t="inlineStr">
        <is>
          <t>Producción</t>
        </is>
      </c>
      <c r="H627" s="38" t="n">
        <v>7.1</v>
      </c>
      <c r="I627" s="38" t="n">
        <v>7.1</v>
      </c>
      <c r="J627" s="36" t="inlineStr">
        <is>
          <t>Costo</t>
        </is>
      </c>
      <c r="K627" s="37" t="inlineStr">
        <is>
          <t>1- M.O. directa</t>
        </is>
      </c>
      <c r="L627" s="37" t="inlineStr">
        <is>
          <t>4- Control de malezas mecánico</t>
        </is>
      </c>
      <c r="M627" s="37" t="inlineStr">
        <is>
          <t>(pala, rastra, rana)</t>
        </is>
      </c>
      <c r="N627" s="36" t="inlineStr">
        <is>
          <t>día</t>
        </is>
      </c>
      <c r="O627" s="36" t="inlineStr">
        <is>
          <t>JH</t>
        </is>
      </c>
      <c r="P627" s="39" t="n">
        <v>100</v>
      </c>
      <c r="Q627" s="40" t="n">
        <v>7888.1</v>
      </c>
      <c r="R627" s="39" t="n">
        <v>788810</v>
      </c>
      <c r="S627" s="41" t="n">
        <v>0.00501806684733514</v>
      </c>
      <c r="T627" s="39" t="n">
        <v>4.51626016260163</v>
      </c>
      <c r="U627" s="39" t="n">
        <v>0</v>
      </c>
      <c r="V627" s="39" t="n">
        <v>0</v>
      </c>
      <c r="W627" s="39" t="n">
        <v>0</v>
      </c>
      <c r="X627" s="39" t="n">
        <v>0</v>
      </c>
      <c r="Y627" s="39" t="n">
        <v>0</v>
      </c>
      <c r="Z627" s="39" t="n">
        <v>876.455555555556</v>
      </c>
      <c r="AA627" s="39" t="n">
        <v>0</v>
      </c>
      <c r="AB627" s="39" t="n">
        <v>0</v>
      </c>
      <c r="AC627" s="39" t="n">
        <v>0</v>
      </c>
      <c r="AD627" s="39" t="n">
        <v>0</v>
      </c>
      <c r="AE627" s="39" t="n">
        <v>0</v>
      </c>
      <c r="AF627" s="39" t="n">
        <v>0</v>
      </c>
    </row>
    <row r="628" ht="15" customHeight="1" s="176">
      <c r="A628" s="30" t="inlineStr">
        <is>
          <t>P-0625</t>
        </is>
      </c>
      <c r="B628" s="30" t="inlineStr">
        <is>
          <t>2026/27</t>
        </is>
      </c>
      <c r="C628" s="30" t="inlineStr">
        <is>
          <t>Siberia</t>
        </is>
      </c>
      <c r="D628" s="31" t="inlineStr">
        <is>
          <t>S. Celebration 7,14</t>
        </is>
      </c>
      <c r="E628" s="30" t="inlineStr">
        <is>
          <t>Uvas</t>
        </is>
      </c>
      <c r="F628" s="30" t="inlineStr">
        <is>
          <t>S. celebration</t>
        </is>
      </c>
      <c r="G628" s="30" t="inlineStr">
        <is>
          <t>Producción</t>
        </is>
      </c>
      <c r="H628" s="32" t="n">
        <v>7.14</v>
      </c>
      <c r="I628" s="32" t="n">
        <v>7.14</v>
      </c>
      <c r="J628" s="30" t="inlineStr">
        <is>
          <t>Costo</t>
        </is>
      </c>
      <c r="K628" s="31" t="inlineStr">
        <is>
          <t>1- M.O. directa</t>
        </is>
      </c>
      <c r="L628" s="31" t="inlineStr">
        <is>
          <t>5- desbrote y preajuste de carga</t>
        </is>
      </c>
      <c r="M628" s="31" t="n"/>
      <c r="N628" s="30" t="inlineStr">
        <is>
          <t>trato</t>
        </is>
      </c>
      <c r="O628" s="30" t="inlineStr">
        <is>
          <t>plt</t>
        </is>
      </c>
      <c r="P628" s="33" t="n">
        <v>375</v>
      </c>
      <c r="Q628" s="34" t="n">
        <v>8453.76</v>
      </c>
      <c r="R628" s="33" t="n">
        <v>3170160</v>
      </c>
      <c r="S628" s="35" t="n">
        <v>0.016260162601626</v>
      </c>
      <c r="T628" s="33" t="n">
        <v>14.6341463414634</v>
      </c>
      <c r="U628" s="33" t="n">
        <v>0</v>
      </c>
      <c r="V628" s="33" t="n">
        <v>0</v>
      </c>
      <c r="W628" s="33" t="n">
        <v>0</v>
      </c>
      <c r="X628" s="33" t="n">
        <v>0</v>
      </c>
      <c r="Y628" s="33" t="n">
        <v>0</v>
      </c>
      <c r="Z628" s="33" t="n">
        <v>0</v>
      </c>
      <c r="AA628" s="33" t="n">
        <v>0</v>
      </c>
      <c r="AB628" s="33" t="n">
        <v>3522.4</v>
      </c>
      <c r="AC628" s="33" t="n">
        <v>0</v>
      </c>
      <c r="AD628" s="33" t="n">
        <v>0</v>
      </c>
      <c r="AE628" s="33" t="n">
        <v>0</v>
      </c>
      <c r="AF628" s="33" t="n">
        <v>0</v>
      </c>
    </row>
    <row r="629" ht="15" customHeight="1" s="176">
      <c r="A629" s="36" t="inlineStr">
        <is>
          <t>P-0626</t>
        </is>
      </c>
      <c r="B629" s="36" t="inlineStr">
        <is>
          <t>2026/27</t>
        </is>
      </c>
      <c r="C629" s="36" t="inlineStr">
        <is>
          <t>Siberia</t>
        </is>
      </c>
      <c r="D629" s="37" t="inlineStr">
        <is>
          <t>Timpson 7,1</t>
        </is>
      </c>
      <c r="E629" s="36" t="inlineStr">
        <is>
          <t>Uvas</t>
        </is>
      </c>
      <c r="F629" s="36" t="inlineStr">
        <is>
          <t>Timpson</t>
        </is>
      </c>
      <c r="G629" s="36" t="inlineStr">
        <is>
          <t>Producción</t>
        </is>
      </c>
      <c r="H629" s="38" t="n">
        <v>7.1</v>
      </c>
      <c r="I629" s="38" t="n">
        <v>7.1</v>
      </c>
      <c r="J629" s="36" t="inlineStr">
        <is>
          <t>Costo</t>
        </is>
      </c>
      <c r="K629" s="37" t="inlineStr">
        <is>
          <t>1- M.O. directa</t>
        </is>
      </c>
      <c r="L629" s="37" t="inlineStr">
        <is>
          <t>5- desbrote y preajuste de carga</t>
        </is>
      </c>
      <c r="M629" s="37" t="n"/>
      <c r="N629" s="36" t="inlineStr">
        <is>
          <t>trato</t>
        </is>
      </c>
      <c r="O629" s="36" t="inlineStr">
        <is>
          <t>plt</t>
        </is>
      </c>
      <c r="P629" s="39" t="n">
        <v>375</v>
      </c>
      <c r="Q629" s="40" t="n">
        <v>7888.1</v>
      </c>
      <c r="R629" s="39" t="n">
        <v>2958037.5</v>
      </c>
      <c r="S629" s="41" t="n">
        <v>0.0188177506775068</v>
      </c>
      <c r="T629" s="39" t="n">
        <v>16.9359756097561</v>
      </c>
      <c r="U629" s="39" t="n">
        <v>0</v>
      </c>
      <c r="V629" s="39" t="n">
        <v>0</v>
      </c>
      <c r="W629" s="39" t="n">
        <v>0</v>
      </c>
      <c r="X629" s="39" t="n">
        <v>0</v>
      </c>
      <c r="Y629" s="39" t="n">
        <v>0</v>
      </c>
      <c r="Z629" s="39" t="n">
        <v>0</v>
      </c>
      <c r="AA629" s="39" t="n">
        <v>0</v>
      </c>
      <c r="AB629" s="39" t="n">
        <v>3286.70833333333</v>
      </c>
      <c r="AC629" s="39" t="n">
        <v>0</v>
      </c>
      <c r="AD629" s="39" t="n">
        <v>0</v>
      </c>
      <c r="AE629" s="39" t="n">
        <v>0</v>
      </c>
      <c r="AF629" s="39" t="n">
        <v>0</v>
      </c>
    </row>
    <row r="630" ht="15" customHeight="1" s="176">
      <c r="A630" s="30" t="inlineStr">
        <is>
          <t>P-0627</t>
        </is>
      </c>
      <c r="B630" s="30" t="inlineStr">
        <is>
          <t>2026/27</t>
        </is>
      </c>
      <c r="C630" s="30" t="inlineStr">
        <is>
          <t>Siberia</t>
        </is>
      </c>
      <c r="D630" s="31" t="inlineStr">
        <is>
          <t>S. Celebration 7,14</t>
        </is>
      </c>
      <c r="E630" s="30" t="inlineStr">
        <is>
          <t>Uvas</t>
        </is>
      </c>
      <c r="F630" s="30" t="inlineStr">
        <is>
          <t>S. celebration</t>
        </is>
      </c>
      <c r="G630" s="30" t="inlineStr">
        <is>
          <t>Producción</t>
        </is>
      </c>
      <c r="H630" s="32" t="n">
        <v>7.14</v>
      </c>
      <c r="I630" s="32" t="n">
        <v>7.14</v>
      </c>
      <c r="J630" s="30" t="inlineStr">
        <is>
          <t>Costo</t>
        </is>
      </c>
      <c r="K630" s="31" t="inlineStr">
        <is>
          <t>1- M.O. directa</t>
        </is>
      </c>
      <c r="L630" s="31" t="inlineStr">
        <is>
          <t>5,1- Descuelgue de racimos pre raleo</t>
        </is>
      </c>
      <c r="M630" s="31" t="n"/>
      <c r="N630" s="30" t="inlineStr">
        <is>
          <t>trato</t>
        </is>
      </c>
      <c r="O630" s="30" t="inlineStr">
        <is>
          <t>plt</t>
        </is>
      </c>
      <c r="P630" s="33" t="n">
        <v>250</v>
      </c>
      <c r="Q630" s="34" t="n">
        <v>8453.76</v>
      </c>
      <c r="R630" s="33" t="n">
        <v>2113440</v>
      </c>
      <c r="S630" s="35" t="n">
        <v>0.010840108401084</v>
      </c>
      <c r="T630" s="33" t="n">
        <v>9.75609756097561</v>
      </c>
      <c r="U630" s="33" t="n">
        <v>0</v>
      </c>
      <c r="V630" s="33" t="n">
        <v>0</v>
      </c>
      <c r="W630" s="33" t="n">
        <v>0</v>
      </c>
      <c r="X630" s="33" t="n">
        <v>0</v>
      </c>
      <c r="Y630" s="33" t="n">
        <v>0</v>
      </c>
      <c r="Z630" s="33" t="n">
        <v>0</v>
      </c>
      <c r="AA630" s="33" t="n">
        <v>0</v>
      </c>
      <c r="AB630" s="33" t="n">
        <v>2348.26666666667</v>
      </c>
      <c r="AC630" s="33" t="n">
        <v>0</v>
      </c>
      <c r="AD630" s="33" t="n">
        <v>0</v>
      </c>
      <c r="AE630" s="33" t="n">
        <v>0</v>
      </c>
      <c r="AF630" s="33" t="n">
        <v>0</v>
      </c>
    </row>
    <row r="631" ht="15" customHeight="1" s="176">
      <c r="A631" s="36" t="inlineStr">
        <is>
          <t>P-0628</t>
        </is>
      </c>
      <c r="B631" s="36" t="inlineStr">
        <is>
          <t>2026/27</t>
        </is>
      </c>
      <c r="C631" s="36" t="inlineStr">
        <is>
          <t>Siberia</t>
        </is>
      </c>
      <c r="D631" s="37" t="inlineStr">
        <is>
          <t>Timpson 7,1</t>
        </is>
      </c>
      <c r="E631" s="36" t="inlineStr">
        <is>
          <t>Uvas</t>
        </is>
      </c>
      <c r="F631" s="36" t="inlineStr">
        <is>
          <t>Timpson</t>
        </is>
      </c>
      <c r="G631" s="36" t="inlineStr">
        <is>
          <t>Producción</t>
        </is>
      </c>
      <c r="H631" s="38" t="n">
        <v>7.1</v>
      </c>
      <c r="I631" s="38" t="n">
        <v>7.1</v>
      </c>
      <c r="J631" s="36" t="inlineStr">
        <is>
          <t>Costo</t>
        </is>
      </c>
      <c r="K631" s="37" t="inlineStr">
        <is>
          <t>1- M.O. directa</t>
        </is>
      </c>
      <c r="L631" s="37" t="inlineStr">
        <is>
          <t>5,1- Descuelgue de racimos pre raleo</t>
        </is>
      </c>
      <c r="M631" s="37" t="n"/>
      <c r="N631" s="36" t="inlineStr">
        <is>
          <t>trato</t>
        </is>
      </c>
      <c r="O631" s="36" t="inlineStr">
        <is>
          <t>plt</t>
        </is>
      </c>
      <c r="P631" s="39" t="n">
        <v>250</v>
      </c>
      <c r="Q631" s="40" t="n">
        <v>7888.1</v>
      </c>
      <c r="R631" s="39" t="n">
        <v>1972025</v>
      </c>
      <c r="S631" s="41" t="n">
        <v>0.0125451671183379</v>
      </c>
      <c r="T631" s="39" t="n">
        <v>11.2906504065041</v>
      </c>
      <c r="U631" s="39" t="n">
        <v>0</v>
      </c>
      <c r="V631" s="39" t="n">
        <v>0</v>
      </c>
      <c r="W631" s="39" t="n">
        <v>0</v>
      </c>
      <c r="X631" s="39" t="n">
        <v>0</v>
      </c>
      <c r="Y631" s="39" t="n">
        <v>0</v>
      </c>
      <c r="Z631" s="39" t="n">
        <v>0</v>
      </c>
      <c r="AA631" s="39" t="n">
        <v>0</v>
      </c>
      <c r="AB631" s="39" t="n">
        <v>2191.13888888889</v>
      </c>
      <c r="AC631" s="39" t="n">
        <v>0</v>
      </c>
      <c r="AD631" s="39" t="n">
        <v>0</v>
      </c>
      <c r="AE631" s="39" t="n">
        <v>0</v>
      </c>
      <c r="AF631" s="39" t="n">
        <v>0</v>
      </c>
    </row>
    <row r="632" ht="15" customHeight="1" s="176">
      <c r="A632" s="30" t="inlineStr">
        <is>
          <t>P-0629</t>
        </is>
      </c>
      <c r="B632" s="30" t="inlineStr">
        <is>
          <t>2026/27</t>
        </is>
      </c>
      <c r="C632" s="30" t="inlineStr">
        <is>
          <t>Siberia</t>
        </is>
      </c>
      <c r="D632" s="31" t="inlineStr">
        <is>
          <t>S. Celebration 7,14</t>
        </is>
      </c>
      <c r="E632" s="30" t="inlineStr">
        <is>
          <t>Uvas</t>
        </is>
      </c>
      <c r="F632" s="30" t="inlineStr">
        <is>
          <t>S. celebration</t>
        </is>
      </c>
      <c r="G632" s="30" t="inlineStr">
        <is>
          <t>Producción</t>
        </is>
      </c>
      <c r="H632" s="32" t="n">
        <v>7.14</v>
      </c>
      <c r="I632" s="32" t="n">
        <v>7.14</v>
      </c>
      <c r="J632" s="30" t="inlineStr">
        <is>
          <t>Costo</t>
        </is>
      </c>
      <c r="K632" s="31" t="inlineStr">
        <is>
          <t>2- M.O. indirecta</t>
        </is>
      </c>
      <c r="L632" s="31" t="inlineStr">
        <is>
          <t>3,1-  ENCARGADO DE RIEGO</t>
        </is>
      </c>
      <c r="M632" s="31" t="inlineStr">
        <is>
          <t>Operacion predio</t>
        </is>
      </c>
      <c r="N632" s="30" t="inlineStr">
        <is>
          <t>día</t>
        </is>
      </c>
      <c r="O632" s="30" t="inlineStr">
        <is>
          <t>ha</t>
        </is>
      </c>
      <c r="P632" s="33" t="n">
        <v>67626.4166666667</v>
      </c>
      <c r="Q632" s="34" t="n">
        <v>7.14</v>
      </c>
      <c r="R632" s="33" t="n">
        <v>4826594.73954</v>
      </c>
      <c r="S632" s="35" t="n">
        <v>0.0247562316340731</v>
      </c>
      <c r="T632" s="33" t="n">
        <v>22.2806084706658</v>
      </c>
      <c r="U632" s="33" t="n">
        <v>446.906920327778</v>
      </c>
      <c r="V632" s="33" t="n">
        <v>446.906920327778</v>
      </c>
      <c r="W632" s="33" t="n">
        <v>446.906920327778</v>
      </c>
      <c r="X632" s="33" t="n">
        <v>446.906920327778</v>
      </c>
      <c r="Y632" s="33" t="n">
        <v>446.906920327778</v>
      </c>
      <c r="Z632" s="33" t="n">
        <v>446.906920327778</v>
      </c>
      <c r="AA632" s="33" t="n">
        <v>446.906920327778</v>
      </c>
      <c r="AB632" s="33" t="n">
        <v>446.906920327778</v>
      </c>
      <c r="AC632" s="33" t="n">
        <v>446.906920327778</v>
      </c>
      <c r="AD632" s="33" t="n">
        <v>446.906920327778</v>
      </c>
      <c r="AE632" s="33" t="n">
        <v>446.906920327778</v>
      </c>
      <c r="AF632" s="33" t="n">
        <v>446.906920327778</v>
      </c>
    </row>
    <row r="633" ht="15" customHeight="1" s="176">
      <c r="A633" s="36" t="inlineStr">
        <is>
          <t>P-0630</t>
        </is>
      </c>
      <c r="B633" s="36" t="inlineStr">
        <is>
          <t>2026/27</t>
        </is>
      </c>
      <c r="C633" s="36" t="inlineStr">
        <is>
          <t>Siberia</t>
        </is>
      </c>
      <c r="D633" s="37" t="inlineStr">
        <is>
          <t>S. Celebration 7,14</t>
        </is>
      </c>
      <c r="E633" s="36" t="inlineStr">
        <is>
          <t>Uvas</t>
        </is>
      </c>
      <c r="F633" s="36" t="inlineStr">
        <is>
          <t>S. celebration</t>
        </is>
      </c>
      <c r="G633" s="36" t="inlineStr">
        <is>
          <t>Producción</t>
        </is>
      </c>
      <c r="H633" s="38" t="n">
        <v>7.14</v>
      </c>
      <c r="I633" s="38" t="n">
        <v>7.14</v>
      </c>
      <c r="J633" s="36" t="inlineStr">
        <is>
          <t>Costo</t>
        </is>
      </c>
      <c r="K633" s="37" t="inlineStr">
        <is>
          <t>3- Gasto general</t>
        </is>
      </c>
      <c r="L633" s="37" t="inlineStr">
        <is>
          <t>3- COMBUSTIBLE Y ENERGIA</t>
        </is>
      </c>
      <c r="M633" s="37" t="inlineStr">
        <is>
          <t>cuota canal torre baja</t>
        </is>
      </c>
      <c r="N633" s="36" t="n"/>
      <c r="O633" s="36" t="inlineStr">
        <is>
          <t>ha</t>
        </is>
      </c>
      <c r="P633" s="39" t="n">
        <v>8658.005617977529</v>
      </c>
      <c r="Q633" s="40" t="n">
        <v>7.14</v>
      </c>
      <c r="R633" s="39" t="n">
        <v>617934.328483146</v>
      </c>
      <c r="S633" s="41" t="n">
        <v>0.00316946547122623</v>
      </c>
      <c r="T633" s="39" t="n">
        <v>2.85251892410361</v>
      </c>
      <c r="U633" s="39" t="n">
        <v>57.2161415262172</v>
      </c>
      <c r="V633" s="39" t="n">
        <v>57.2161415262172</v>
      </c>
      <c r="W633" s="39" t="n">
        <v>57.2161415262172</v>
      </c>
      <c r="X633" s="39" t="n">
        <v>57.2161415262172</v>
      </c>
      <c r="Y633" s="39" t="n">
        <v>57.2161415262172</v>
      </c>
      <c r="Z633" s="39" t="n">
        <v>57.2161415262172</v>
      </c>
      <c r="AA633" s="39" t="n">
        <v>57.2161415262172</v>
      </c>
      <c r="AB633" s="39" t="n">
        <v>57.2161415262172</v>
      </c>
      <c r="AC633" s="39" t="n">
        <v>57.2161415262172</v>
      </c>
      <c r="AD633" s="39" t="n">
        <v>57.2161415262172</v>
      </c>
      <c r="AE633" s="39" t="n">
        <v>57.2161415262172</v>
      </c>
      <c r="AF633" s="39" t="n">
        <v>57.2161415262172</v>
      </c>
    </row>
    <row r="634" ht="15" customHeight="1" s="176">
      <c r="A634" s="30" t="inlineStr">
        <is>
          <t>P-0631</t>
        </is>
      </c>
      <c r="B634" s="30" t="inlineStr">
        <is>
          <t>2026/27</t>
        </is>
      </c>
      <c r="C634" s="30" t="inlineStr">
        <is>
          <t>Siberia</t>
        </is>
      </c>
      <c r="D634" s="31" t="inlineStr">
        <is>
          <t>S. Celebration 7,14</t>
        </is>
      </c>
      <c r="E634" s="30" t="inlineStr">
        <is>
          <t>Uvas</t>
        </is>
      </c>
      <c r="F634" s="30" t="inlineStr">
        <is>
          <t>S. celebration</t>
        </is>
      </c>
      <c r="G634" s="30" t="inlineStr">
        <is>
          <t>Producción</t>
        </is>
      </c>
      <c r="H634" s="32" t="n">
        <v>7.14</v>
      </c>
      <c r="I634" s="32" t="n">
        <v>7.14</v>
      </c>
      <c r="J634" s="30" t="inlineStr">
        <is>
          <t>Costo</t>
        </is>
      </c>
      <c r="K634" s="31" t="inlineStr">
        <is>
          <t>1- M.O. directa</t>
        </is>
      </c>
      <c r="L634" s="31" t="inlineStr">
        <is>
          <t>5,2- arreglo de racimos y descole</t>
        </is>
      </c>
      <c r="M634" s="31" t="n"/>
      <c r="N634" s="30" t="inlineStr">
        <is>
          <t>trato</t>
        </is>
      </c>
      <c r="O634" s="30" t="inlineStr">
        <is>
          <t>racimos</t>
        </is>
      </c>
      <c r="P634" s="33" t="n">
        <v>21</v>
      </c>
      <c r="Q634" s="34" t="n">
        <v>405780.48</v>
      </c>
      <c r="R634" s="33" t="n">
        <v>8521390.08</v>
      </c>
      <c r="S634" s="35" t="n">
        <v>0.0437073170731707</v>
      </c>
      <c r="T634" s="33" t="n">
        <v>39.3365853658537</v>
      </c>
      <c r="U634" s="33" t="n">
        <v>0</v>
      </c>
      <c r="V634" s="33" t="n">
        <v>0</v>
      </c>
      <c r="W634" s="33" t="n">
        <v>0</v>
      </c>
      <c r="X634" s="33" t="n">
        <v>0</v>
      </c>
      <c r="Y634" s="33" t="n">
        <v>0</v>
      </c>
      <c r="Z634" s="33" t="n">
        <v>0</v>
      </c>
      <c r="AA634" s="33" t="n">
        <v>0</v>
      </c>
      <c r="AB634" s="33" t="n">
        <v>9468.2112</v>
      </c>
      <c r="AC634" s="33" t="n">
        <v>0</v>
      </c>
      <c r="AD634" s="33" t="n">
        <v>0</v>
      </c>
      <c r="AE634" s="33" t="n">
        <v>0</v>
      </c>
      <c r="AF634" s="33" t="n">
        <v>0</v>
      </c>
    </row>
    <row r="635" ht="15" customHeight="1" s="176">
      <c r="A635" s="36" t="inlineStr">
        <is>
          <t>P-0632</t>
        </is>
      </c>
      <c r="B635" s="36" t="inlineStr">
        <is>
          <t>2026/27</t>
        </is>
      </c>
      <c r="C635" s="36" t="inlineStr">
        <is>
          <t>Siberia</t>
        </is>
      </c>
      <c r="D635" s="37" t="inlineStr">
        <is>
          <t>Timpson 7,1</t>
        </is>
      </c>
      <c r="E635" s="36" t="inlineStr">
        <is>
          <t>Uvas</t>
        </is>
      </c>
      <c r="F635" s="36" t="inlineStr">
        <is>
          <t>Timpson</t>
        </is>
      </c>
      <c r="G635" s="36" t="inlineStr">
        <is>
          <t>Producción</t>
        </is>
      </c>
      <c r="H635" s="38" t="n">
        <v>7.1</v>
      </c>
      <c r="I635" s="38" t="n">
        <v>7.1</v>
      </c>
      <c r="J635" s="36" t="inlineStr">
        <is>
          <t>Costo</t>
        </is>
      </c>
      <c r="K635" s="37" t="inlineStr">
        <is>
          <t>1- M.O. directa</t>
        </is>
      </c>
      <c r="L635" s="37" t="inlineStr">
        <is>
          <t>5,2- arreglo de racimos y descole</t>
        </is>
      </c>
      <c r="M635" s="37" t="n"/>
      <c r="N635" s="36" t="inlineStr">
        <is>
          <t>trato</t>
        </is>
      </c>
      <c r="O635" s="36" t="inlineStr">
        <is>
          <t>racimos</t>
        </is>
      </c>
      <c r="P635" s="39" t="n">
        <v>23</v>
      </c>
      <c r="Q635" s="40" t="n">
        <v>441733.6</v>
      </c>
      <c r="R635" s="39" t="n">
        <v>10159872.8</v>
      </c>
      <c r="S635" s="41" t="n">
        <v>0.0646327009936766</v>
      </c>
      <c r="T635" s="39" t="n">
        <v>58.1694308943089</v>
      </c>
      <c r="U635" s="39" t="n">
        <v>0</v>
      </c>
      <c r="V635" s="39" t="n">
        <v>0</v>
      </c>
      <c r="W635" s="39" t="n">
        <v>0</v>
      </c>
      <c r="X635" s="39" t="n">
        <v>0</v>
      </c>
      <c r="Y635" s="39" t="n">
        <v>0</v>
      </c>
      <c r="Z635" s="39" t="n">
        <v>0</v>
      </c>
      <c r="AA635" s="39" t="n">
        <v>0</v>
      </c>
      <c r="AB635" s="39" t="n">
        <v>11288.7475555556</v>
      </c>
      <c r="AC635" s="39" t="n">
        <v>0</v>
      </c>
      <c r="AD635" s="39" t="n">
        <v>0</v>
      </c>
      <c r="AE635" s="39" t="n">
        <v>0</v>
      </c>
      <c r="AF635" s="39" t="n">
        <v>0</v>
      </c>
    </row>
    <row r="636" ht="15" customHeight="1" s="176">
      <c r="A636" s="30" t="inlineStr">
        <is>
          <t>P-0633</t>
        </is>
      </c>
      <c r="B636" s="30" t="inlineStr">
        <is>
          <t>2026/27</t>
        </is>
      </c>
      <c r="C636" s="30" t="inlineStr">
        <is>
          <t>Siberia</t>
        </is>
      </c>
      <c r="D636" s="31" t="inlineStr">
        <is>
          <t>Timpson 7,1</t>
        </is>
      </c>
      <c r="E636" s="30" t="inlineStr">
        <is>
          <t>Uvas</t>
        </is>
      </c>
      <c r="F636" s="30" t="inlineStr">
        <is>
          <t>Timpson</t>
        </is>
      </c>
      <c r="G636" s="30" t="inlineStr">
        <is>
          <t>Producción</t>
        </is>
      </c>
      <c r="H636" s="32" t="n">
        <v>7.1</v>
      </c>
      <c r="I636" s="32" t="n">
        <v>7.1</v>
      </c>
      <c r="J636" s="30" t="inlineStr">
        <is>
          <t>Costo</t>
        </is>
      </c>
      <c r="K636" s="31" t="inlineStr">
        <is>
          <t>2- M.O. indirecta</t>
        </is>
      </c>
      <c r="L636" s="31" t="inlineStr">
        <is>
          <t xml:space="preserve">1- ADM. GENERAL </t>
        </is>
      </c>
      <c r="M636" s="31" t="inlineStr">
        <is>
          <t>Administración general</t>
        </is>
      </c>
      <c r="N636" s="30" t="inlineStr">
        <is>
          <t>día</t>
        </is>
      </c>
      <c r="O636" s="30" t="inlineStr">
        <is>
          <t>ha</t>
        </is>
      </c>
      <c r="P636" s="33" t="n">
        <v>66600</v>
      </c>
      <c r="Q636" s="34" t="n">
        <v>7.1</v>
      </c>
      <c r="R636" s="33" t="n">
        <v>5674320</v>
      </c>
      <c r="S636" s="35" t="n">
        <v>0.0360975609756098</v>
      </c>
      <c r="T636" s="33" t="n">
        <v>32.4878048780488</v>
      </c>
      <c r="U636" s="33" t="n">
        <v>525.4</v>
      </c>
      <c r="V636" s="33" t="n">
        <v>525.4</v>
      </c>
      <c r="W636" s="33" t="n">
        <v>525.4</v>
      </c>
      <c r="X636" s="33" t="n">
        <v>525.4</v>
      </c>
      <c r="Y636" s="33" t="n">
        <v>525.4</v>
      </c>
      <c r="Z636" s="33" t="n">
        <v>525.4</v>
      </c>
      <c r="AA636" s="33" t="n">
        <v>525.4</v>
      </c>
      <c r="AB636" s="33" t="n">
        <v>525.4</v>
      </c>
      <c r="AC636" s="33" t="n">
        <v>525.4</v>
      </c>
      <c r="AD636" s="33" t="n">
        <v>525.4</v>
      </c>
      <c r="AE636" s="33" t="n">
        <v>525.4</v>
      </c>
      <c r="AF636" s="33" t="n">
        <v>525.4</v>
      </c>
    </row>
    <row r="637" ht="15" customHeight="1" s="176">
      <c r="A637" s="36" t="inlineStr">
        <is>
          <t>P-0634</t>
        </is>
      </c>
      <c r="B637" s="36" t="inlineStr">
        <is>
          <t>2026/27</t>
        </is>
      </c>
      <c r="C637" s="36" t="inlineStr">
        <is>
          <t>Siberia</t>
        </is>
      </c>
      <c r="D637" s="37" t="inlineStr">
        <is>
          <t>S. Celebration 7,14</t>
        </is>
      </c>
      <c r="E637" s="36" t="inlineStr">
        <is>
          <t>Uvas</t>
        </is>
      </c>
      <c r="F637" s="36" t="inlineStr">
        <is>
          <t>S. celebration</t>
        </is>
      </c>
      <c r="G637" s="36" t="inlineStr">
        <is>
          <t>Producción</t>
        </is>
      </c>
      <c r="H637" s="38" t="n">
        <v>7.14</v>
      </c>
      <c r="I637" s="38" t="n">
        <v>7.14</v>
      </c>
      <c r="J637" s="36" t="inlineStr">
        <is>
          <t>Costo</t>
        </is>
      </c>
      <c r="K637" s="37" t="inlineStr">
        <is>
          <t>3- Gasto general</t>
        </is>
      </c>
      <c r="L637" s="37" t="inlineStr">
        <is>
          <t>3- COMBUSTIBLE Y ENERGIA</t>
        </is>
      </c>
      <c r="M637" s="37" t="inlineStr">
        <is>
          <t>cuota canal manzano</t>
        </is>
      </c>
      <c r="N637" s="36" t="n"/>
      <c r="O637" s="36" t="inlineStr">
        <is>
          <t>ha</t>
        </is>
      </c>
      <c r="P637" s="39" t="n">
        <v>12368.6797752809</v>
      </c>
      <c r="Q637" s="40" t="n">
        <v>7.14</v>
      </c>
      <c r="R637" s="39" t="n">
        <v>882770.486460674</v>
      </c>
      <c r="S637" s="41" t="n">
        <v>0.00452784454089606</v>
      </c>
      <c r="T637" s="39" t="n">
        <v>4.07506008680646</v>
      </c>
      <c r="U637" s="39" t="n">
        <v>81.738008005618</v>
      </c>
      <c r="V637" s="39" t="n">
        <v>81.738008005618</v>
      </c>
      <c r="W637" s="39" t="n">
        <v>81.738008005618</v>
      </c>
      <c r="X637" s="39" t="n">
        <v>81.738008005618</v>
      </c>
      <c r="Y637" s="39" t="n">
        <v>81.738008005618</v>
      </c>
      <c r="Z637" s="39" t="n">
        <v>81.738008005618</v>
      </c>
      <c r="AA637" s="39" t="n">
        <v>81.738008005618</v>
      </c>
      <c r="AB637" s="39" t="n">
        <v>81.738008005618</v>
      </c>
      <c r="AC637" s="39" t="n">
        <v>81.738008005618</v>
      </c>
      <c r="AD637" s="39" t="n">
        <v>81.738008005618</v>
      </c>
      <c r="AE637" s="39" t="n">
        <v>81.738008005618</v>
      </c>
      <c r="AF637" s="39" t="n">
        <v>81.738008005618</v>
      </c>
    </row>
    <row r="638" ht="15" customHeight="1" s="176">
      <c r="A638" s="30" t="inlineStr">
        <is>
          <t>P-0635</t>
        </is>
      </c>
      <c r="B638" s="30" t="inlineStr">
        <is>
          <t>2026/27</t>
        </is>
      </c>
      <c r="C638" s="30" t="inlineStr">
        <is>
          <t>Siberia</t>
        </is>
      </c>
      <c r="D638" s="31" t="inlineStr">
        <is>
          <t>Timpson 7,1</t>
        </is>
      </c>
      <c r="E638" s="30" t="inlineStr">
        <is>
          <t>Uvas</t>
        </is>
      </c>
      <c r="F638" s="30" t="inlineStr">
        <is>
          <t>Timpson</t>
        </is>
      </c>
      <c r="G638" s="30" t="inlineStr">
        <is>
          <t>Producción</t>
        </is>
      </c>
      <c r="H638" s="32" t="n">
        <v>7.1</v>
      </c>
      <c r="I638" s="32" t="n">
        <v>7.1</v>
      </c>
      <c r="J638" s="30" t="inlineStr">
        <is>
          <t>Costo</t>
        </is>
      </c>
      <c r="K638" s="31" t="inlineStr">
        <is>
          <t>3- Gasto general</t>
        </is>
      </c>
      <c r="L638" s="31" t="inlineStr">
        <is>
          <t>3- COMBUSTIBLE Y ENERGIA</t>
        </is>
      </c>
      <c r="M638" s="31" t="inlineStr">
        <is>
          <t>diesel y electricidad</t>
        </is>
      </c>
      <c r="N638" s="30" t="n"/>
      <c r="O638" s="30" t="inlineStr">
        <is>
          <t>ha</t>
        </is>
      </c>
      <c r="P638" s="33" t="n">
        <v>125325</v>
      </c>
      <c r="Q638" s="34" t="n">
        <v>7.1</v>
      </c>
      <c r="R638" s="33" t="n">
        <v>8894515.77</v>
      </c>
      <c r="S638" s="35" t="n">
        <v>0.0565830487804878</v>
      </c>
      <c r="T638" s="33" t="n">
        <v>50.924743902439</v>
      </c>
      <c r="U638" s="33" t="n">
        <v>823.566275</v>
      </c>
      <c r="V638" s="33" t="n">
        <v>823.566275</v>
      </c>
      <c r="W638" s="33" t="n">
        <v>823.566275</v>
      </c>
      <c r="X638" s="33" t="n">
        <v>823.566275</v>
      </c>
      <c r="Y638" s="33" t="n">
        <v>823.566275</v>
      </c>
      <c r="Z638" s="33" t="n">
        <v>823.566275</v>
      </c>
      <c r="AA638" s="33" t="n">
        <v>823.566275</v>
      </c>
      <c r="AB638" s="33" t="n">
        <v>823.566275</v>
      </c>
      <c r="AC638" s="33" t="n">
        <v>823.566275</v>
      </c>
      <c r="AD638" s="33" t="n">
        <v>823.566275</v>
      </c>
      <c r="AE638" s="33" t="n">
        <v>823.566275</v>
      </c>
      <c r="AF638" s="33" t="n">
        <v>823.566275</v>
      </c>
    </row>
    <row r="639" ht="15" customHeight="1" s="176">
      <c r="A639" s="36" t="inlineStr">
        <is>
          <t>P-0636</t>
        </is>
      </c>
      <c r="B639" s="36" t="inlineStr">
        <is>
          <t>2026/27</t>
        </is>
      </c>
      <c r="C639" s="36" t="inlineStr">
        <is>
          <t>Siberia</t>
        </is>
      </c>
      <c r="D639" s="37" t="inlineStr">
        <is>
          <t>Timpson 7,1</t>
        </is>
      </c>
      <c r="E639" s="36" t="inlineStr">
        <is>
          <t>Uvas</t>
        </is>
      </c>
      <c r="F639" s="36" t="inlineStr">
        <is>
          <t>Timpson</t>
        </is>
      </c>
      <c r="G639" s="36" t="inlineStr">
        <is>
          <t>Producción</t>
        </is>
      </c>
      <c r="H639" s="38" t="n">
        <v>7.1</v>
      </c>
      <c r="I639" s="38" t="n">
        <v>7.1</v>
      </c>
      <c r="J639" s="36" t="inlineStr">
        <is>
          <t>Costo</t>
        </is>
      </c>
      <c r="K639" s="37" t="inlineStr">
        <is>
          <t>2- M.O. indirecta</t>
        </is>
      </c>
      <c r="L639" s="37" t="inlineStr">
        <is>
          <t>2- ADMINISTRACION</t>
        </is>
      </c>
      <c r="M639" s="37" t="inlineStr">
        <is>
          <t>Operacion predio</t>
        </is>
      </c>
      <c r="N639" s="36" t="inlineStr">
        <is>
          <t>día</t>
        </is>
      </c>
      <c r="O639" s="36" t="inlineStr">
        <is>
          <t>ha</t>
        </is>
      </c>
      <c r="P639" s="39" t="n">
        <v>8100</v>
      </c>
      <c r="Q639" s="40" t="n">
        <v>7.1</v>
      </c>
      <c r="R639" s="39" t="n">
        <v>690120</v>
      </c>
      <c r="S639" s="41" t="n">
        <v>0.00439024390243902</v>
      </c>
      <c r="T639" s="39" t="n">
        <v>3.95121951219512</v>
      </c>
      <c r="U639" s="39" t="n">
        <v>63.9</v>
      </c>
      <c r="V639" s="39" t="n">
        <v>63.9</v>
      </c>
      <c r="W639" s="39" t="n">
        <v>63.9</v>
      </c>
      <c r="X639" s="39" t="n">
        <v>63.9</v>
      </c>
      <c r="Y639" s="39" t="n">
        <v>63.9</v>
      </c>
      <c r="Z639" s="39" t="n">
        <v>63.9</v>
      </c>
      <c r="AA639" s="39" t="n">
        <v>63.9</v>
      </c>
      <c r="AB639" s="39" t="n">
        <v>63.9</v>
      </c>
      <c r="AC639" s="39" t="n">
        <v>63.9</v>
      </c>
      <c r="AD639" s="39" t="n">
        <v>63.9</v>
      </c>
      <c r="AE639" s="39" t="n">
        <v>63.9</v>
      </c>
      <c r="AF639" s="39" t="n">
        <v>63.9</v>
      </c>
    </row>
    <row r="640" ht="15" customHeight="1" s="176">
      <c r="A640" s="30" t="inlineStr">
        <is>
          <t>P-0637</t>
        </is>
      </c>
      <c r="B640" s="30" t="inlineStr">
        <is>
          <t>2026/27</t>
        </is>
      </c>
      <c r="C640" s="30" t="inlineStr">
        <is>
          <t>Siberia</t>
        </is>
      </c>
      <c r="D640" s="31" t="inlineStr">
        <is>
          <t>S. Celebration 7,14</t>
        </is>
      </c>
      <c r="E640" s="30" t="inlineStr">
        <is>
          <t>Uvas</t>
        </is>
      </c>
      <c r="F640" s="30" t="inlineStr">
        <is>
          <t>S. celebration</t>
        </is>
      </c>
      <c r="G640" s="30" t="inlineStr">
        <is>
          <t>Producción</t>
        </is>
      </c>
      <c r="H640" s="32" t="n">
        <v>7.14</v>
      </c>
      <c r="I640" s="32" t="n">
        <v>7.14</v>
      </c>
      <c r="J640" s="30" t="inlineStr">
        <is>
          <t>Costo</t>
        </is>
      </c>
      <c r="K640" s="31" t="inlineStr">
        <is>
          <t>1- M.O. directa</t>
        </is>
      </c>
      <c r="L640" s="31" t="inlineStr">
        <is>
          <t>5,3- ajuste de carga</t>
        </is>
      </c>
      <c r="M640" s="31" t="n"/>
      <c r="N640" s="30" t="inlineStr">
        <is>
          <t>trato</t>
        </is>
      </c>
      <c r="O640" s="30" t="inlineStr">
        <is>
          <t>plt</t>
        </is>
      </c>
      <c r="P640" s="33" t="n">
        <v>150</v>
      </c>
      <c r="Q640" s="34" t="n">
        <v>8453.76</v>
      </c>
      <c r="R640" s="33" t="n">
        <v>1268064</v>
      </c>
      <c r="S640" s="35" t="n">
        <v>0.00650406504065041</v>
      </c>
      <c r="T640" s="33" t="n">
        <v>5.85365853658537</v>
      </c>
      <c r="U640" s="33" t="n">
        <v>0</v>
      </c>
      <c r="V640" s="33" t="n">
        <v>0</v>
      </c>
      <c r="W640" s="33" t="n">
        <v>0</v>
      </c>
      <c r="X640" s="33" t="n">
        <v>0</v>
      </c>
      <c r="Y640" s="33" t="n">
        <v>0</v>
      </c>
      <c r="Z640" s="33" t="n">
        <v>0</v>
      </c>
      <c r="AA640" s="33" t="n">
        <v>0</v>
      </c>
      <c r="AB640" s="33" t="n">
        <v>1408.96</v>
      </c>
      <c r="AC640" s="33" t="n">
        <v>0</v>
      </c>
      <c r="AD640" s="33" t="n">
        <v>0</v>
      </c>
      <c r="AE640" s="33" t="n">
        <v>0</v>
      </c>
      <c r="AF640" s="33" t="n">
        <v>0</v>
      </c>
    </row>
    <row r="641" ht="15" customHeight="1" s="176">
      <c r="A641" s="36" t="inlineStr">
        <is>
          <t>P-0638</t>
        </is>
      </c>
      <c r="B641" s="36" t="inlineStr">
        <is>
          <t>2026/27</t>
        </is>
      </c>
      <c r="C641" s="36" t="inlineStr">
        <is>
          <t>Siberia</t>
        </is>
      </c>
      <c r="D641" s="37" t="inlineStr">
        <is>
          <t>Timpson 7,1</t>
        </is>
      </c>
      <c r="E641" s="36" t="inlineStr">
        <is>
          <t>Uvas</t>
        </is>
      </c>
      <c r="F641" s="36" t="inlineStr">
        <is>
          <t>Timpson</t>
        </is>
      </c>
      <c r="G641" s="36" t="inlineStr">
        <is>
          <t>Producción</t>
        </is>
      </c>
      <c r="H641" s="38" t="n">
        <v>7.1</v>
      </c>
      <c r="I641" s="38" t="n">
        <v>7.1</v>
      </c>
      <c r="J641" s="36" t="inlineStr">
        <is>
          <t>Costo</t>
        </is>
      </c>
      <c r="K641" s="37" t="inlineStr">
        <is>
          <t>3- Gasto general</t>
        </is>
      </c>
      <c r="L641" s="37" t="inlineStr">
        <is>
          <t>3- COMBUSTIBLE Y ENERGIA</t>
        </is>
      </c>
      <c r="M641" s="37" t="inlineStr">
        <is>
          <t>cuota canal torre baja</t>
        </is>
      </c>
      <c r="N641" s="36" t="n"/>
      <c r="O641" s="36" t="inlineStr">
        <is>
          <t>ha</t>
        </is>
      </c>
      <c r="P641" s="39" t="n">
        <v>8658.005617977529</v>
      </c>
      <c r="Q641" s="40" t="n">
        <v>7.1</v>
      </c>
      <c r="R641" s="39" t="n">
        <v>614472.5115168541</v>
      </c>
      <c r="S641" s="41" t="n">
        <v>0.00390900741451235</v>
      </c>
      <c r="T641" s="39" t="n">
        <v>3.51810667306111</v>
      </c>
      <c r="U641" s="39" t="n">
        <v>56.8956029182272</v>
      </c>
      <c r="V641" s="39" t="n">
        <v>56.8956029182272</v>
      </c>
      <c r="W641" s="39" t="n">
        <v>56.8956029182272</v>
      </c>
      <c r="X641" s="39" t="n">
        <v>56.8956029182272</v>
      </c>
      <c r="Y641" s="39" t="n">
        <v>56.8956029182272</v>
      </c>
      <c r="Z641" s="39" t="n">
        <v>56.8956029182272</v>
      </c>
      <c r="AA641" s="39" t="n">
        <v>56.8956029182272</v>
      </c>
      <c r="AB641" s="39" t="n">
        <v>56.8956029182272</v>
      </c>
      <c r="AC641" s="39" t="n">
        <v>56.8956029182272</v>
      </c>
      <c r="AD641" s="39" t="n">
        <v>56.8956029182272</v>
      </c>
      <c r="AE641" s="39" t="n">
        <v>56.8956029182272</v>
      </c>
      <c r="AF641" s="39" t="n">
        <v>56.8956029182272</v>
      </c>
    </row>
    <row r="642" ht="15" customHeight="1" s="176">
      <c r="A642" s="30" t="inlineStr">
        <is>
          <t>P-0639</t>
        </is>
      </c>
      <c r="B642" s="30" t="inlineStr">
        <is>
          <t>2026/27</t>
        </is>
      </c>
      <c r="C642" s="30" t="inlineStr">
        <is>
          <t>Siberia</t>
        </is>
      </c>
      <c r="D642" s="31" t="inlineStr">
        <is>
          <t>Timpson 7,1</t>
        </is>
      </c>
      <c r="E642" s="30" t="inlineStr">
        <is>
          <t>Uvas</t>
        </is>
      </c>
      <c r="F642" s="30" t="inlineStr">
        <is>
          <t>Timpson</t>
        </is>
      </c>
      <c r="G642" s="30" t="inlineStr">
        <is>
          <t>Producción</t>
        </is>
      </c>
      <c r="H642" s="32" t="n">
        <v>7.1</v>
      </c>
      <c r="I642" s="32" t="n">
        <v>7.1</v>
      </c>
      <c r="J642" s="30" t="inlineStr">
        <is>
          <t>Costo</t>
        </is>
      </c>
      <c r="K642" s="31" t="inlineStr">
        <is>
          <t>2- M.O. indirecta</t>
        </is>
      </c>
      <c r="L642" s="31" t="inlineStr">
        <is>
          <t>2,1- JEFE DE CAMPO</t>
        </is>
      </c>
      <c r="M642" s="31" t="inlineStr">
        <is>
          <t>Operacion predio</t>
        </is>
      </c>
      <c r="N642" s="30" t="inlineStr">
        <is>
          <t>día</t>
        </is>
      </c>
      <c r="O642" s="30" t="inlineStr">
        <is>
          <t>ha</t>
        </is>
      </c>
      <c r="P642" s="33" t="n">
        <v>88050</v>
      </c>
      <c r="Q642" s="34" t="n">
        <v>7.1</v>
      </c>
      <c r="R642" s="33" t="n">
        <v>7876953</v>
      </c>
      <c r="S642" s="35" t="n">
        <v>0.050109756097561</v>
      </c>
      <c r="T642" s="33" t="n">
        <v>45.0987804878049</v>
      </c>
      <c r="U642" s="33" t="n">
        <v>694.616666666667</v>
      </c>
      <c r="V642" s="33" t="n">
        <v>694.616666666667</v>
      </c>
      <c r="W642" s="33" t="n">
        <v>694.616666666667</v>
      </c>
      <c r="X642" s="33" t="n">
        <v>694.616666666667</v>
      </c>
      <c r="Y642" s="33" t="n">
        <v>694.616666666667</v>
      </c>
      <c r="Z642" s="33" t="n">
        <v>694.616666666667</v>
      </c>
      <c r="AA642" s="33" t="n">
        <v>694.616666666667</v>
      </c>
      <c r="AB642" s="33" t="n">
        <v>833.54</v>
      </c>
      <c r="AC642" s="33" t="n">
        <v>694.616666666667</v>
      </c>
      <c r="AD642" s="33" t="n">
        <v>833.54</v>
      </c>
      <c r="AE642" s="33" t="n">
        <v>833.54</v>
      </c>
      <c r="AF642" s="33" t="n">
        <v>694.616666666667</v>
      </c>
    </row>
    <row r="643" ht="15" customHeight="1" s="176">
      <c r="A643" s="36" t="inlineStr">
        <is>
          <t>P-0640</t>
        </is>
      </c>
      <c r="B643" s="36" t="inlineStr">
        <is>
          <t>2026/27</t>
        </is>
      </c>
      <c r="C643" s="36" t="inlineStr">
        <is>
          <t>Siberia</t>
        </is>
      </c>
      <c r="D643" s="37" t="inlineStr">
        <is>
          <t>Timpson 7,1</t>
        </is>
      </c>
      <c r="E643" s="36" t="inlineStr">
        <is>
          <t>Uvas</t>
        </is>
      </c>
      <c r="F643" s="36" t="inlineStr">
        <is>
          <t>Timpson</t>
        </is>
      </c>
      <c r="G643" s="36" t="inlineStr">
        <is>
          <t>Producción</t>
        </is>
      </c>
      <c r="H643" s="38" t="n">
        <v>7.1</v>
      </c>
      <c r="I643" s="38" t="n">
        <v>7.1</v>
      </c>
      <c r="J643" s="36" t="inlineStr">
        <is>
          <t>Costo</t>
        </is>
      </c>
      <c r="K643" s="37" t="inlineStr">
        <is>
          <t>1- M.O. directa</t>
        </is>
      </c>
      <c r="L643" s="37" t="inlineStr">
        <is>
          <t>5,3- ajuste de carga</t>
        </is>
      </c>
      <c r="M643" s="37" t="n"/>
      <c r="N643" s="36" t="inlineStr">
        <is>
          <t>trato</t>
        </is>
      </c>
      <c r="O643" s="36" t="inlineStr">
        <is>
          <t>plt</t>
        </is>
      </c>
      <c r="P643" s="39" t="n">
        <v>150</v>
      </c>
      <c r="Q643" s="40" t="n">
        <v>7888.1</v>
      </c>
      <c r="R643" s="39" t="n">
        <v>1183215</v>
      </c>
      <c r="S643" s="41" t="n">
        <v>0.00752710027100271</v>
      </c>
      <c r="T643" s="39" t="n">
        <v>6.77439024390244</v>
      </c>
      <c r="U643" s="39" t="n">
        <v>0</v>
      </c>
      <c r="V643" s="39" t="n">
        <v>0</v>
      </c>
      <c r="W643" s="39" t="n">
        <v>0</v>
      </c>
      <c r="X643" s="39" t="n">
        <v>0</v>
      </c>
      <c r="Y643" s="39" t="n">
        <v>0</v>
      </c>
      <c r="Z643" s="39" t="n">
        <v>0</v>
      </c>
      <c r="AA643" s="39" t="n">
        <v>0</v>
      </c>
      <c r="AB643" s="39" t="n">
        <v>1314.68333333333</v>
      </c>
      <c r="AC643" s="39" t="n">
        <v>0</v>
      </c>
      <c r="AD643" s="39" t="n">
        <v>0</v>
      </c>
      <c r="AE643" s="39" t="n">
        <v>0</v>
      </c>
      <c r="AF643" s="39" t="n">
        <v>0</v>
      </c>
    </row>
    <row r="644" ht="15" customHeight="1" s="176">
      <c r="A644" s="30" t="inlineStr">
        <is>
          <t>P-0641</t>
        </is>
      </c>
      <c r="B644" s="30" t="inlineStr">
        <is>
          <t>2026/27</t>
        </is>
      </c>
      <c r="C644" s="30" t="inlineStr">
        <is>
          <t>Siberia</t>
        </is>
      </c>
      <c r="D644" s="31" t="inlineStr">
        <is>
          <t>S. Celebration 7,14</t>
        </is>
      </c>
      <c r="E644" s="30" t="inlineStr">
        <is>
          <t>Uvas</t>
        </is>
      </c>
      <c r="F644" s="30" t="inlineStr">
        <is>
          <t>S. celebration</t>
        </is>
      </c>
      <c r="G644" s="30" t="inlineStr">
        <is>
          <t>Producción</t>
        </is>
      </c>
      <c r="H644" s="32" t="n">
        <v>7.14</v>
      </c>
      <c r="I644" s="32" t="n">
        <v>7.14</v>
      </c>
      <c r="J644" s="30" t="inlineStr">
        <is>
          <t>Costo</t>
        </is>
      </c>
      <c r="K644" s="31" t="inlineStr">
        <is>
          <t>1- M.O. directa</t>
        </is>
      </c>
      <c r="L644" s="31" t="inlineStr">
        <is>
          <t>5,4- Subir y amarrar brotes</t>
        </is>
      </c>
      <c r="M644" s="31" t="n"/>
      <c r="N644" s="30" t="inlineStr">
        <is>
          <t>día</t>
        </is>
      </c>
      <c r="O644" s="30" t="inlineStr">
        <is>
          <t>JH</t>
        </is>
      </c>
      <c r="P644" s="33" t="n">
        <v>38500</v>
      </c>
      <c r="Q644" s="34" t="n">
        <v>6</v>
      </c>
      <c r="R644" s="33" t="n">
        <v>462000</v>
      </c>
      <c r="S644" s="35" t="n">
        <v>0.00236965803680294</v>
      </c>
      <c r="T644" s="33" t="n">
        <v>2.13269223312265</v>
      </c>
      <c r="U644" s="33" t="n">
        <v>0</v>
      </c>
      <c r="V644" s="33" t="n">
        <v>0</v>
      </c>
      <c r="W644" s="33" t="n">
        <v>0</v>
      </c>
      <c r="X644" s="33" t="n">
        <v>0</v>
      </c>
      <c r="Y644" s="33" t="n">
        <v>0</v>
      </c>
      <c r="Z644" s="33" t="n">
        <v>0</v>
      </c>
      <c r="AA644" s="33" t="n">
        <v>0</v>
      </c>
      <c r="AB644" s="33" t="n">
        <v>0</v>
      </c>
      <c r="AC644" s="33" t="n">
        <v>256.666666666667</v>
      </c>
      <c r="AD644" s="33" t="n">
        <v>256.666666666667</v>
      </c>
      <c r="AE644" s="33" t="n">
        <v>0</v>
      </c>
      <c r="AF644" s="33" t="n">
        <v>0</v>
      </c>
    </row>
    <row r="645" ht="15" customHeight="1" s="176">
      <c r="A645" s="36" t="inlineStr">
        <is>
          <t>P-0642</t>
        </is>
      </c>
      <c r="B645" s="36" t="inlineStr">
        <is>
          <t>2026/27</t>
        </is>
      </c>
      <c r="C645" s="36" t="inlineStr">
        <is>
          <t>Siberia</t>
        </is>
      </c>
      <c r="D645" s="37" t="inlineStr">
        <is>
          <t>Timpson 7,1</t>
        </is>
      </c>
      <c r="E645" s="36" t="inlineStr">
        <is>
          <t>Uvas</t>
        </is>
      </c>
      <c r="F645" s="36" t="inlineStr">
        <is>
          <t>Timpson</t>
        </is>
      </c>
      <c r="G645" s="36" t="inlineStr">
        <is>
          <t>Producción</t>
        </is>
      </c>
      <c r="H645" s="38" t="n">
        <v>7.1</v>
      </c>
      <c r="I645" s="38" t="n">
        <v>7.1</v>
      </c>
      <c r="J645" s="36" t="inlineStr">
        <is>
          <t>Costo</t>
        </is>
      </c>
      <c r="K645" s="37" t="inlineStr">
        <is>
          <t>2- M.O. indirecta</t>
        </is>
      </c>
      <c r="L645" s="37" t="inlineStr">
        <is>
          <t>3- ADQUIS. Y BODEGA</t>
        </is>
      </c>
      <c r="M645" s="37" t="inlineStr">
        <is>
          <t>Operacion predio</t>
        </is>
      </c>
      <c r="N645" s="36" t="inlineStr">
        <is>
          <t>día</t>
        </is>
      </c>
      <c r="O645" s="36" t="inlineStr">
        <is>
          <t>ha</t>
        </is>
      </c>
      <c r="P645" s="39" t="n">
        <v>8100</v>
      </c>
      <c r="Q645" s="40" t="n">
        <v>7.1</v>
      </c>
      <c r="R645" s="39" t="n">
        <v>574869.96</v>
      </c>
      <c r="S645" s="41" t="n">
        <v>0.00365707317073171</v>
      </c>
      <c r="T645" s="39" t="n">
        <v>3.29136585365854</v>
      </c>
      <c r="U645" s="39" t="n">
        <v>53.2287</v>
      </c>
      <c r="V645" s="39" t="n">
        <v>53.2287</v>
      </c>
      <c r="W645" s="39" t="n">
        <v>53.2287</v>
      </c>
      <c r="X645" s="39" t="n">
        <v>53.2287</v>
      </c>
      <c r="Y645" s="39" t="n">
        <v>53.2287</v>
      </c>
      <c r="Z645" s="39" t="n">
        <v>53.2287</v>
      </c>
      <c r="AA645" s="39" t="n">
        <v>53.2287</v>
      </c>
      <c r="AB645" s="39" t="n">
        <v>53.2287</v>
      </c>
      <c r="AC645" s="39" t="n">
        <v>53.2287</v>
      </c>
      <c r="AD645" s="39" t="n">
        <v>53.2287</v>
      </c>
      <c r="AE645" s="39" t="n">
        <v>53.2287</v>
      </c>
      <c r="AF645" s="39" t="n">
        <v>53.2287</v>
      </c>
    </row>
    <row r="646" ht="15" customHeight="1" s="176">
      <c r="A646" s="30" t="inlineStr">
        <is>
          <t>P-0643</t>
        </is>
      </c>
      <c r="B646" s="30" t="inlineStr">
        <is>
          <t>2026/27</t>
        </is>
      </c>
      <c r="C646" s="30" t="inlineStr">
        <is>
          <t>Siberia</t>
        </is>
      </c>
      <c r="D646" s="31" t="inlineStr">
        <is>
          <t>Timpson 7,1</t>
        </is>
      </c>
      <c r="E646" s="30" t="inlineStr">
        <is>
          <t>Uvas</t>
        </is>
      </c>
      <c r="F646" s="30" t="inlineStr">
        <is>
          <t>Timpson</t>
        </is>
      </c>
      <c r="G646" s="30" t="inlineStr">
        <is>
          <t>Producción</t>
        </is>
      </c>
      <c r="H646" s="32" t="n">
        <v>7.1</v>
      </c>
      <c r="I646" s="32" t="n">
        <v>7.1</v>
      </c>
      <c r="J646" s="30" t="inlineStr">
        <is>
          <t>Costo</t>
        </is>
      </c>
      <c r="K646" s="31" t="inlineStr">
        <is>
          <t>3- Gasto general</t>
        </is>
      </c>
      <c r="L646" s="31" t="inlineStr">
        <is>
          <t>3- COMBUSTIBLE Y ENERGIA</t>
        </is>
      </c>
      <c r="M646" s="31" t="inlineStr">
        <is>
          <t>cuota canal manzano</t>
        </is>
      </c>
      <c r="N646" s="30" t="n"/>
      <c r="O646" s="30" t="inlineStr">
        <is>
          <t>ha</t>
        </is>
      </c>
      <c r="P646" s="33" t="n">
        <v>12368.6797752809</v>
      </c>
      <c r="Q646" s="34" t="n">
        <v>7.1</v>
      </c>
      <c r="R646" s="33" t="n">
        <v>877824.993539326</v>
      </c>
      <c r="S646" s="35" t="n">
        <v>0.00558434160043848</v>
      </c>
      <c r="T646" s="33" t="n">
        <v>5.02590744039463</v>
      </c>
      <c r="U646" s="33" t="n">
        <v>81.280091994382</v>
      </c>
      <c r="V646" s="33" t="n">
        <v>81.280091994382</v>
      </c>
      <c r="W646" s="33" t="n">
        <v>81.280091994382</v>
      </c>
      <c r="X646" s="33" t="n">
        <v>81.280091994382</v>
      </c>
      <c r="Y646" s="33" t="n">
        <v>81.280091994382</v>
      </c>
      <c r="Z646" s="33" t="n">
        <v>81.280091994382</v>
      </c>
      <c r="AA646" s="33" t="n">
        <v>81.280091994382</v>
      </c>
      <c r="AB646" s="33" t="n">
        <v>81.280091994382</v>
      </c>
      <c r="AC646" s="33" t="n">
        <v>81.280091994382</v>
      </c>
      <c r="AD646" s="33" t="n">
        <v>81.280091994382</v>
      </c>
      <c r="AE646" s="33" t="n">
        <v>81.280091994382</v>
      </c>
      <c r="AF646" s="33" t="n">
        <v>81.280091994382</v>
      </c>
    </row>
    <row r="647" ht="15" customHeight="1" s="176">
      <c r="A647" s="36" t="inlineStr">
        <is>
          <t>P-0644</t>
        </is>
      </c>
      <c r="B647" s="36" t="inlineStr">
        <is>
          <t>2026/27</t>
        </is>
      </c>
      <c r="C647" s="36" t="inlineStr">
        <is>
          <t>Siberia</t>
        </is>
      </c>
      <c r="D647" s="37" t="inlineStr">
        <is>
          <t>Timpson 7,1</t>
        </is>
      </c>
      <c r="E647" s="36" t="inlineStr">
        <is>
          <t>Uvas</t>
        </is>
      </c>
      <c r="F647" s="36" t="inlineStr">
        <is>
          <t>Timpson</t>
        </is>
      </c>
      <c r="G647" s="36" t="inlineStr">
        <is>
          <t>Producción</t>
        </is>
      </c>
      <c r="H647" s="38" t="n">
        <v>7.1</v>
      </c>
      <c r="I647" s="38" t="n">
        <v>7.1</v>
      </c>
      <c r="J647" s="36" t="inlineStr">
        <is>
          <t>Costo</t>
        </is>
      </c>
      <c r="K647" s="37" t="inlineStr">
        <is>
          <t>1- M.O. directa</t>
        </is>
      </c>
      <c r="L647" s="37" t="inlineStr">
        <is>
          <t>5,4- Subir y amarrar brotes</t>
        </is>
      </c>
      <c r="M647" s="37" t="n"/>
      <c r="N647" s="36" t="inlineStr">
        <is>
          <t>día</t>
        </is>
      </c>
      <c r="O647" s="36" t="inlineStr">
        <is>
          <t>JH</t>
        </is>
      </c>
      <c r="P647" s="39" t="n">
        <v>38500</v>
      </c>
      <c r="Q647" s="40" t="n">
        <v>6</v>
      </c>
      <c r="R647" s="39" t="n">
        <v>462000</v>
      </c>
      <c r="S647" s="41" t="n">
        <v>0.00293904347494179</v>
      </c>
      <c r="T647" s="39" t="n">
        <v>2.64513912744761</v>
      </c>
      <c r="U647" s="39" t="n">
        <v>0</v>
      </c>
      <c r="V647" s="39" t="n">
        <v>0</v>
      </c>
      <c r="W647" s="39" t="n">
        <v>0</v>
      </c>
      <c r="X647" s="39" t="n">
        <v>0</v>
      </c>
      <c r="Y647" s="39" t="n">
        <v>0</v>
      </c>
      <c r="Z647" s="39" t="n">
        <v>0</v>
      </c>
      <c r="AA647" s="39" t="n">
        <v>0</v>
      </c>
      <c r="AB647" s="39" t="n">
        <v>0</v>
      </c>
      <c r="AC647" s="39" t="n">
        <v>256.666666666667</v>
      </c>
      <c r="AD647" s="39" t="n">
        <v>256.666666666667</v>
      </c>
      <c r="AE647" s="39" t="n">
        <v>0</v>
      </c>
      <c r="AF647" s="39" t="n">
        <v>0</v>
      </c>
    </row>
    <row r="648" ht="15" customHeight="1" s="176">
      <c r="A648" s="30" t="inlineStr">
        <is>
          <t>P-0645</t>
        </is>
      </c>
      <c r="B648" s="30" t="inlineStr">
        <is>
          <t>2026/27</t>
        </is>
      </c>
      <c r="C648" s="30" t="inlineStr">
        <is>
          <t>Siberia</t>
        </is>
      </c>
      <c r="D648" s="31" t="inlineStr">
        <is>
          <t>Timpson 7,1</t>
        </is>
      </c>
      <c r="E648" s="30" t="inlineStr">
        <is>
          <t>Uvas</t>
        </is>
      </c>
      <c r="F648" s="30" t="inlineStr">
        <is>
          <t>Timpson</t>
        </is>
      </c>
      <c r="G648" s="30" t="inlineStr">
        <is>
          <t>Producción</t>
        </is>
      </c>
      <c r="H648" s="32" t="n">
        <v>7.1</v>
      </c>
      <c r="I648" s="32" t="n">
        <v>7.1</v>
      </c>
      <c r="J648" s="30" t="inlineStr">
        <is>
          <t>Costo</t>
        </is>
      </c>
      <c r="K648" s="31" t="inlineStr">
        <is>
          <t>2- M.O. indirecta</t>
        </is>
      </c>
      <c r="L648" s="31" t="inlineStr">
        <is>
          <t>4- CERTIFICACIONES</t>
        </is>
      </c>
      <c r="M648" s="31" t="inlineStr">
        <is>
          <t>Operacion predio</t>
        </is>
      </c>
      <c r="N648" s="30" t="inlineStr">
        <is>
          <t>día</t>
        </is>
      </c>
      <c r="O648" s="30" t="inlineStr">
        <is>
          <t>ha</t>
        </is>
      </c>
      <c r="P648" s="33" t="n">
        <v>6464.58333333333</v>
      </c>
      <c r="Q648" s="34" t="n">
        <v>7.1</v>
      </c>
      <c r="R648" s="33" t="n">
        <v>458801.8225</v>
      </c>
      <c r="S648" s="35" t="n">
        <v>0.00291869805781391</v>
      </c>
      <c r="T648" s="33" t="n">
        <v>2.62682825203252</v>
      </c>
      <c r="U648" s="33" t="n">
        <v>42.4816502314815</v>
      </c>
      <c r="V648" s="33" t="n">
        <v>42.4816502314815</v>
      </c>
      <c r="W648" s="33" t="n">
        <v>42.4816502314815</v>
      </c>
      <c r="X648" s="33" t="n">
        <v>42.4816502314815</v>
      </c>
      <c r="Y648" s="33" t="n">
        <v>42.4816502314815</v>
      </c>
      <c r="Z648" s="33" t="n">
        <v>42.4816502314815</v>
      </c>
      <c r="AA648" s="33" t="n">
        <v>42.4816502314815</v>
      </c>
      <c r="AB648" s="33" t="n">
        <v>42.4816502314815</v>
      </c>
      <c r="AC648" s="33" t="n">
        <v>42.4816502314815</v>
      </c>
      <c r="AD648" s="33" t="n">
        <v>42.4816502314815</v>
      </c>
      <c r="AE648" s="33" t="n">
        <v>42.4816502314815</v>
      </c>
      <c r="AF648" s="33" t="n">
        <v>42.4816502314815</v>
      </c>
    </row>
    <row r="649" ht="15" customHeight="1" s="176">
      <c r="A649" s="36" t="inlineStr">
        <is>
          <t>P-0646</t>
        </is>
      </c>
      <c r="B649" s="36" t="inlineStr">
        <is>
          <t>2026/27</t>
        </is>
      </c>
      <c r="C649" s="36" t="inlineStr">
        <is>
          <t>Siberia</t>
        </is>
      </c>
      <c r="D649" s="37" t="inlineStr">
        <is>
          <t>S. Celebration 7,14</t>
        </is>
      </c>
      <c r="E649" s="36" t="inlineStr">
        <is>
          <t>Uvas</t>
        </is>
      </c>
      <c r="F649" s="36" t="inlineStr">
        <is>
          <t>S. celebration</t>
        </is>
      </c>
      <c r="G649" s="36" t="inlineStr">
        <is>
          <t>Producción</t>
        </is>
      </c>
      <c r="H649" s="38" t="n">
        <v>7.14</v>
      </c>
      <c r="I649" s="38" t="n">
        <v>7.14</v>
      </c>
      <c r="J649" s="36" t="inlineStr">
        <is>
          <t>Costo</t>
        </is>
      </c>
      <c r="K649" s="37" t="inlineStr">
        <is>
          <t>1- M.O. directa</t>
        </is>
      </c>
      <c r="L649" s="37" t="inlineStr">
        <is>
          <t>5,5- Deshoje de corona y pasillo</t>
        </is>
      </c>
      <c r="M649" s="37" t="n"/>
      <c r="N649" s="36" t="inlineStr">
        <is>
          <t>trato</t>
        </is>
      </c>
      <c r="O649" s="36" t="inlineStr">
        <is>
          <t>plt</t>
        </is>
      </c>
      <c r="P649" s="39" t="n">
        <v>220</v>
      </c>
      <c r="Q649" s="40" t="n">
        <v>8453.76</v>
      </c>
      <c r="R649" s="39" t="n">
        <v>1859827.2</v>
      </c>
      <c r="S649" s="41" t="n">
        <v>0.00953929539295393</v>
      </c>
      <c r="T649" s="39" t="n">
        <v>8.585365853658541</v>
      </c>
      <c r="U649" s="39" t="n">
        <v>0</v>
      </c>
      <c r="V649" s="39" t="n">
        <v>0</v>
      </c>
      <c r="W649" s="39" t="n">
        <v>0</v>
      </c>
      <c r="X649" s="39" t="n">
        <v>0</v>
      </c>
      <c r="Y649" s="39" t="n">
        <v>0</v>
      </c>
      <c r="Z649" s="39" t="n">
        <v>0</v>
      </c>
      <c r="AA649" s="39" t="n">
        <v>0</v>
      </c>
      <c r="AB649" s="39" t="n">
        <v>0</v>
      </c>
      <c r="AC649" s="39" t="n">
        <v>1033.23733333333</v>
      </c>
      <c r="AD649" s="39" t="n">
        <v>1033.23733333333</v>
      </c>
      <c r="AE649" s="39" t="n">
        <v>0</v>
      </c>
      <c r="AF649" s="39" t="n">
        <v>0</v>
      </c>
    </row>
    <row r="650" ht="15" customHeight="1" s="176">
      <c r="A650" s="30" t="inlineStr">
        <is>
          <t>P-0647</t>
        </is>
      </c>
      <c r="B650" s="30" t="inlineStr">
        <is>
          <t>2026/27</t>
        </is>
      </c>
      <c r="C650" s="30" t="inlineStr">
        <is>
          <t>Siberia</t>
        </is>
      </c>
      <c r="D650" s="31" t="inlineStr">
        <is>
          <t>Timpson 7,1</t>
        </is>
      </c>
      <c r="E650" s="30" t="inlineStr">
        <is>
          <t>Uvas</t>
        </is>
      </c>
      <c r="F650" s="30" t="inlineStr">
        <is>
          <t>Timpson</t>
        </is>
      </c>
      <c r="G650" s="30" t="inlineStr">
        <is>
          <t>Producción</t>
        </is>
      </c>
      <c r="H650" s="32" t="n">
        <v>7.1</v>
      </c>
      <c r="I650" s="32" t="n">
        <v>7.1</v>
      </c>
      <c r="J650" s="30" t="inlineStr">
        <is>
          <t>Costo</t>
        </is>
      </c>
      <c r="K650" s="31" t="inlineStr">
        <is>
          <t>2- M.O. indirecta</t>
        </is>
      </c>
      <c r="L650" s="31" t="inlineStr">
        <is>
          <t>4,1- ENCARGADO MANTENCIONES</t>
        </is>
      </c>
      <c r="M650" s="31" t="inlineStr">
        <is>
          <t>Operacion predio</t>
        </is>
      </c>
      <c r="N650" s="30" t="inlineStr">
        <is>
          <t>día</t>
        </is>
      </c>
      <c r="O650" s="30" t="inlineStr">
        <is>
          <t>ha</t>
        </is>
      </c>
      <c r="P650" s="33" t="n">
        <v>11000</v>
      </c>
      <c r="Q650" s="34" t="n">
        <v>7.1</v>
      </c>
      <c r="R650" s="33" t="n">
        <v>780687.6</v>
      </c>
      <c r="S650" s="35" t="n">
        <v>0.00496639566395664</v>
      </c>
      <c r="T650" s="33" t="n">
        <v>4.46975609756098</v>
      </c>
      <c r="U650" s="33" t="n">
        <v>72.28588888888891</v>
      </c>
      <c r="V650" s="33" t="n">
        <v>72.28588888888891</v>
      </c>
      <c r="W650" s="33" t="n">
        <v>72.28588888888891</v>
      </c>
      <c r="X650" s="33" t="n">
        <v>72.28588888888891</v>
      </c>
      <c r="Y650" s="33" t="n">
        <v>72.28588888888891</v>
      </c>
      <c r="Z650" s="33" t="n">
        <v>72.28588888888891</v>
      </c>
      <c r="AA650" s="33" t="n">
        <v>72.28588888888891</v>
      </c>
      <c r="AB650" s="33" t="n">
        <v>72.28588888888891</v>
      </c>
      <c r="AC650" s="33" t="n">
        <v>72.28588888888891</v>
      </c>
      <c r="AD650" s="33" t="n">
        <v>72.28588888888891</v>
      </c>
      <c r="AE650" s="33" t="n">
        <v>72.28588888888891</v>
      </c>
      <c r="AF650" s="33" t="n">
        <v>72.28588888888891</v>
      </c>
    </row>
    <row r="651" ht="15" customHeight="1" s="176">
      <c r="A651" s="36" t="inlineStr">
        <is>
          <t>P-0648</t>
        </is>
      </c>
      <c r="B651" s="36" t="inlineStr">
        <is>
          <t>2026/27</t>
        </is>
      </c>
      <c r="C651" s="36" t="inlineStr">
        <is>
          <t>Siberia</t>
        </is>
      </c>
      <c r="D651" s="37" t="inlineStr">
        <is>
          <t>Timpson 7,1</t>
        </is>
      </c>
      <c r="E651" s="36" t="inlineStr">
        <is>
          <t>Uvas</t>
        </is>
      </c>
      <c r="F651" s="36" t="inlineStr">
        <is>
          <t>Timpson</t>
        </is>
      </c>
      <c r="G651" s="36" t="inlineStr">
        <is>
          <t>Producción</t>
        </is>
      </c>
      <c r="H651" s="38" t="n">
        <v>7.1</v>
      </c>
      <c r="I651" s="38" t="n">
        <v>7.1</v>
      </c>
      <c r="J651" s="36" t="inlineStr">
        <is>
          <t>Costo</t>
        </is>
      </c>
      <c r="K651" s="37" t="inlineStr">
        <is>
          <t>1- M.O. directa</t>
        </is>
      </c>
      <c r="L651" s="37" t="inlineStr">
        <is>
          <t>5,5- Deshoje de corona y pasillo</t>
        </is>
      </c>
      <c r="M651" s="37" t="n"/>
      <c r="N651" s="36" t="inlineStr">
        <is>
          <t>trato</t>
        </is>
      </c>
      <c r="O651" s="36" t="inlineStr">
        <is>
          <t>plt</t>
        </is>
      </c>
      <c r="P651" s="39" t="n">
        <v>220</v>
      </c>
      <c r="Q651" s="40" t="n">
        <v>7888.1</v>
      </c>
      <c r="R651" s="39" t="n">
        <v>1735382</v>
      </c>
      <c r="S651" s="41" t="n">
        <v>0.0110397470641373</v>
      </c>
      <c r="T651" s="39" t="n">
        <v>9.935772357723581</v>
      </c>
      <c r="U651" s="39" t="n">
        <v>0</v>
      </c>
      <c r="V651" s="39" t="n">
        <v>0</v>
      </c>
      <c r="W651" s="39" t="n">
        <v>0</v>
      </c>
      <c r="X651" s="39" t="n">
        <v>0</v>
      </c>
      <c r="Y651" s="39" t="n">
        <v>0</v>
      </c>
      <c r="Z651" s="39" t="n">
        <v>0</v>
      </c>
      <c r="AA651" s="39" t="n">
        <v>0</v>
      </c>
      <c r="AB651" s="39" t="n">
        <v>0</v>
      </c>
      <c r="AC651" s="39" t="n">
        <v>964.101111111111</v>
      </c>
      <c r="AD651" s="39" t="n">
        <v>964.101111111111</v>
      </c>
      <c r="AE651" s="39" t="n">
        <v>0</v>
      </c>
      <c r="AF651" s="39" t="n">
        <v>0</v>
      </c>
    </row>
    <row r="652" ht="15" customHeight="1" s="176">
      <c r="A652" s="30" t="inlineStr">
        <is>
          <t>P-0649</t>
        </is>
      </c>
      <c r="B652" s="30" t="inlineStr">
        <is>
          <t>2026/27</t>
        </is>
      </c>
      <c r="C652" s="30" t="inlineStr">
        <is>
          <t>Siberia</t>
        </is>
      </c>
      <c r="D652" s="31" t="inlineStr">
        <is>
          <t>Timpson 7,1</t>
        </is>
      </c>
      <c r="E652" s="30" t="inlineStr">
        <is>
          <t>Uvas</t>
        </is>
      </c>
      <c r="F652" s="30" t="inlineStr">
        <is>
          <t>Timpson</t>
        </is>
      </c>
      <c r="G652" s="30" t="inlineStr">
        <is>
          <t>Producción</t>
        </is>
      </c>
      <c r="H652" s="32" t="n">
        <v>7.1</v>
      </c>
      <c r="I652" s="32" t="n">
        <v>7.1</v>
      </c>
      <c r="J652" s="30" t="inlineStr">
        <is>
          <t>Costo</t>
        </is>
      </c>
      <c r="K652" s="31" t="inlineStr">
        <is>
          <t>2- M.O. indirecta</t>
        </is>
      </c>
      <c r="L652" s="31" t="inlineStr">
        <is>
          <t>5- PREVEN. DE RIESGO</t>
        </is>
      </c>
      <c r="M652" s="31" t="inlineStr">
        <is>
          <t>Operacion predio</t>
        </is>
      </c>
      <c r="N652" s="30" t="inlineStr">
        <is>
          <t>día</t>
        </is>
      </c>
      <c r="O652" s="30" t="inlineStr">
        <is>
          <t>ha</t>
        </is>
      </c>
      <c r="P652" s="33" t="n">
        <v>1575</v>
      </c>
      <c r="Q652" s="34" t="n">
        <v>7.1</v>
      </c>
      <c r="R652" s="33" t="n">
        <v>111780.27</v>
      </c>
      <c r="S652" s="35" t="n">
        <v>0.00071109756097561</v>
      </c>
      <c r="T652" s="33" t="n">
        <v>0.639987804878049</v>
      </c>
      <c r="U652" s="33" t="n">
        <v>10.350025</v>
      </c>
      <c r="V652" s="33" t="n">
        <v>10.350025</v>
      </c>
      <c r="W652" s="33" t="n">
        <v>10.350025</v>
      </c>
      <c r="X652" s="33" t="n">
        <v>10.350025</v>
      </c>
      <c r="Y652" s="33" t="n">
        <v>10.350025</v>
      </c>
      <c r="Z652" s="33" t="n">
        <v>10.350025</v>
      </c>
      <c r="AA652" s="33" t="n">
        <v>10.350025</v>
      </c>
      <c r="AB652" s="33" t="n">
        <v>10.350025</v>
      </c>
      <c r="AC652" s="33" t="n">
        <v>10.350025</v>
      </c>
      <c r="AD652" s="33" t="n">
        <v>10.350025</v>
      </c>
      <c r="AE652" s="33" t="n">
        <v>10.350025</v>
      </c>
      <c r="AF652" s="33" t="n">
        <v>10.350025</v>
      </c>
    </row>
    <row r="653" ht="15" customHeight="1" s="176">
      <c r="A653" s="36" t="inlineStr">
        <is>
          <t>P-0650</t>
        </is>
      </c>
      <c r="B653" s="36" t="inlineStr">
        <is>
          <t>2026/27</t>
        </is>
      </c>
      <c r="C653" s="36" t="inlineStr">
        <is>
          <t>Siberia</t>
        </is>
      </c>
      <c r="D653" s="37" t="inlineStr">
        <is>
          <t>S. Celebration 7,14</t>
        </is>
      </c>
      <c r="E653" s="36" t="inlineStr">
        <is>
          <t>Uvas</t>
        </is>
      </c>
      <c r="F653" s="36" t="inlineStr">
        <is>
          <t>S. celebration</t>
        </is>
      </c>
      <c r="G653" s="36" t="inlineStr">
        <is>
          <t>Producción</t>
        </is>
      </c>
      <c r="H653" s="38" t="n">
        <v>7.14</v>
      </c>
      <c r="I653" s="38" t="n">
        <v>7.14</v>
      </c>
      <c r="J653" s="36" t="inlineStr">
        <is>
          <t>Costo</t>
        </is>
      </c>
      <c r="K653" s="37" t="inlineStr">
        <is>
          <t>1- M.O. directa</t>
        </is>
      </c>
      <c r="L653" s="37" t="inlineStr">
        <is>
          <t xml:space="preserve">6- cosecha </t>
        </is>
      </c>
      <c r="M653" s="37" t="inlineStr">
        <is>
          <t>Operacion predio</t>
        </is>
      </c>
      <c r="N653" s="36" t="inlineStr">
        <is>
          <t>trato</t>
        </is>
      </c>
      <c r="O653" s="36" t="inlineStr">
        <is>
          <t>cjs</t>
        </is>
      </c>
      <c r="P653" s="39" t="n">
        <v>250</v>
      </c>
      <c r="Q653" s="40" t="n">
        <v>26418</v>
      </c>
      <c r="R653" s="39" t="n">
        <v>6604500</v>
      </c>
      <c r="S653" s="41" t="n">
        <v>0.0338753387533875</v>
      </c>
      <c r="T653" s="39" t="n">
        <v>30.4878048780488</v>
      </c>
      <c r="U653" s="39" t="n">
        <v>0</v>
      </c>
      <c r="V653" s="39" t="n">
        <v>0</v>
      </c>
      <c r="W653" s="39" t="n">
        <v>0</v>
      </c>
      <c r="X653" s="39" t="n">
        <v>0</v>
      </c>
      <c r="Y653" s="39" t="n">
        <v>0</v>
      </c>
      <c r="Z653" s="39" t="n">
        <v>0</v>
      </c>
      <c r="AA653" s="39" t="n">
        <v>0</v>
      </c>
      <c r="AB653" s="39" t="n">
        <v>0</v>
      </c>
      <c r="AC653" s="39" t="n">
        <v>0</v>
      </c>
      <c r="AD653" s="39" t="n">
        <v>3669.16666666667</v>
      </c>
      <c r="AE653" s="39" t="n">
        <v>3669.16666666667</v>
      </c>
      <c r="AF653" s="39" t="n">
        <v>0</v>
      </c>
    </row>
    <row r="654" ht="15" customHeight="1" s="176">
      <c r="A654" s="48" t="inlineStr">
        <is>
          <t>P-0651</t>
        </is>
      </c>
      <c r="B654" s="48" t="inlineStr">
        <is>
          <t>2026/27</t>
        </is>
      </c>
      <c r="C654" s="48" t="inlineStr">
        <is>
          <t>Siberia</t>
        </is>
      </c>
      <c r="D654" s="49" t="inlineStr">
        <is>
          <t>S. Celebration 7,14</t>
        </is>
      </c>
      <c r="E654" s="48" t="inlineStr">
        <is>
          <t>Uvas</t>
        </is>
      </c>
      <c r="F654" s="48" t="inlineStr">
        <is>
          <t>S. celebration</t>
        </is>
      </c>
      <c r="G654" s="48" t="inlineStr">
        <is>
          <t>Producción</t>
        </is>
      </c>
      <c r="H654" s="50" t="n">
        <v>7.14</v>
      </c>
      <c r="I654" s="50" t="n">
        <v>7.14</v>
      </c>
      <c r="J654" s="48" t="n"/>
      <c r="K654" s="49" t="inlineStr">
        <is>
          <t>6- Inversión</t>
        </is>
      </c>
      <c r="L654" s="49" t="n"/>
      <c r="M654" s="49" t="n"/>
      <c r="N654" s="48" t="n"/>
      <c r="O654" s="48" t="n"/>
      <c r="P654" s="51" t="n">
        <v>0</v>
      </c>
      <c r="Q654" s="52" t="n"/>
      <c r="R654" s="51" t="n">
        <v>0</v>
      </c>
      <c r="S654" s="53" t="n">
        <v>0</v>
      </c>
      <c r="T654" s="51" t="n">
        <v>0</v>
      </c>
      <c r="U654" s="51" t="n">
        <v>0</v>
      </c>
      <c r="V654" s="51" t="n">
        <v>0</v>
      </c>
      <c r="W654" s="51" t="n">
        <v>0</v>
      </c>
      <c r="X654" s="51" t="n">
        <v>0</v>
      </c>
      <c r="Y654" s="51" t="n">
        <v>0</v>
      </c>
      <c r="Z654" s="51" t="n">
        <v>0</v>
      </c>
      <c r="AA654" s="51" t="n">
        <v>0</v>
      </c>
      <c r="AB654" s="51" t="n">
        <v>0</v>
      </c>
      <c r="AC654" s="51" t="n">
        <v>0</v>
      </c>
      <c r="AD654" s="51" t="n">
        <v>0</v>
      </c>
      <c r="AE654" s="51" t="n">
        <v>0</v>
      </c>
      <c r="AF654" s="51" t="n">
        <v>0</v>
      </c>
    </row>
    <row r="655" ht="15" customHeight="1" s="176">
      <c r="A655" s="36" t="inlineStr">
        <is>
          <t>P-0652</t>
        </is>
      </c>
      <c r="B655" s="36" t="inlineStr">
        <is>
          <t>2026/27</t>
        </is>
      </c>
      <c r="C655" s="36" t="inlineStr">
        <is>
          <t>Siberia</t>
        </is>
      </c>
      <c r="D655" s="37" t="inlineStr">
        <is>
          <t>Timpson 7,1</t>
        </is>
      </c>
      <c r="E655" s="36" t="inlineStr">
        <is>
          <t>Uvas</t>
        </is>
      </c>
      <c r="F655" s="36" t="inlineStr">
        <is>
          <t>Timpson</t>
        </is>
      </c>
      <c r="G655" s="36" t="inlineStr">
        <is>
          <t>Producción</t>
        </is>
      </c>
      <c r="H655" s="38" t="n">
        <v>7.1</v>
      </c>
      <c r="I655" s="38" t="n">
        <v>7.1</v>
      </c>
      <c r="J655" s="36" t="inlineStr">
        <is>
          <t>Costo</t>
        </is>
      </c>
      <c r="K655" s="37" t="inlineStr">
        <is>
          <t>1- M.O. directa</t>
        </is>
      </c>
      <c r="L655" s="37" t="inlineStr">
        <is>
          <t xml:space="preserve">6- cosecha </t>
        </is>
      </c>
      <c r="M655" s="37" t="inlineStr">
        <is>
          <t>Operacion predio</t>
        </is>
      </c>
      <c r="N655" s="36" t="inlineStr">
        <is>
          <t>día</t>
        </is>
      </c>
      <c r="O655" s="36" t="inlineStr">
        <is>
          <t>cjs</t>
        </is>
      </c>
      <c r="P655" s="39" t="n">
        <v>250</v>
      </c>
      <c r="Q655" s="40" t="n">
        <v>21300</v>
      </c>
      <c r="R655" s="39" t="n">
        <v>5325000</v>
      </c>
      <c r="S655" s="41" t="n">
        <v>0.0338753387533875</v>
      </c>
      <c r="T655" s="39" t="n">
        <v>30.4878048780488</v>
      </c>
      <c r="U655" s="39" t="n">
        <v>0</v>
      </c>
      <c r="V655" s="39" t="n">
        <v>0</v>
      </c>
      <c r="W655" s="39" t="n">
        <v>0</v>
      </c>
      <c r="X655" s="39" t="n">
        <v>0</v>
      </c>
      <c r="Y655" s="39" t="n">
        <v>0</v>
      </c>
      <c r="Z655" s="39" t="n">
        <v>0</v>
      </c>
      <c r="AA655" s="39" t="n">
        <v>0</v>
      </c>
      <c r="AB655" s="39" t="n">
        <v>0</v>
      </c>
      <c r="AC655" s="39" t="n">
        <v>0</v>
      </c>
      <c r="AD655" s="39" t="n">
        <v>3550</v>
      </c>
      <c r="AE655" s="39" t="n">
        <v>2366.66666666667</v>
      </c>
      <c r="AF655" s="39" t="n">
        <v>0</v>
      </c>
    </row>
    <row r="656" ht="15" customHeight="1" s="176">
      <c r="A656" s="30" t="inlineStr">
        <is>
          <t>P-0653</t>
        </is>
      </c>
      <c r="B656" s="30" t="inlineStr">
        <is>
          <t>2026/27</t>
        </is>
      </c>
      <c r="C656" s="30" t="inlineStr">
        <is>
          <t>Siberia</t>
        </is>
      </c>
      <c r="D656" s="31" t="inlineStr">
        <is>
          <t>Timpson 7,1</t>
        </is>
      </c>
      <c r="E656" s="30" t="inlineStr">
        <is>
          <t>Uvas</t>
        </is>
      </c>
      <c r="F656" s="30" t="inlineStr">
        <is>
          <t>Timpson</t>
        </is>
      </c>
      <c r="G656" s="30" t="inlineStr">
        <is>
          <t>Producción</t>
        </is>
      </c>
      <c r="H656" s="32" t="n">
        <v>7.1</v>
      </c>
      <c r="I656" s="32" t="n">
        <v>7.1</v>
      </c>
      <c r="J656" s="30" t="inlineStr">
        <is>
          <t>Costo</t>
        </is>
      </c>
      <c r="K656" s="31" t="inlineStr">
        <is>
          <t>4- Otros gastos</t>
        </is>
      </c>
      <c r="L656" s="31" t="inlineStr">
        <is>
          <t>7- GASTOS DE ADMINISTRACION</t>
        </is>
      </c>
      <c r="M656" s="31" t="n"/>
      <c r="N656" s="30" t="n"/>
      <c r="O656" s="30" t="inlineStr">
        <is>
          <t>ha</t>
        </is>
      </c>
      <c r="P656" s="33" t="n">
        <v>27673</v>
      </c>
      <c r="Q656" s="34" t="n">
        <v>7.1</v>
      </c>
      <c r="R656" s="33" t="n">
        <v>1963997.0868</v>
      </c>
      <c r="S656" s="35" t="n">
        <v>0.0124940970189702</v>
      </c>
      <c r="T656" s="33" t="n">
        <v>11.2446873170732</v>
      </c>
      <c r="U656" s="33" t="n">
        <v>181.851582111111</v>
      </c>
      <c r="V656" s="33" t="n">
        <v>181.851582111111</v>
      </c>
      <c r="W656" s="33" t="n">
        <v>181.851582111111</v>
      </c>
      <c r="X656" s="33" t="n">
        <v>181.851582111111</v>
      </c>
      <c r="Y656" s="33" t="n">
        <v>181.851582111111</v>
      </c>
      <c r="Z656" s="33" t="n">
        <v>181.851582111111</v>
      </c>
      <c r="AA656" s="33" t="n">
        <v>181.851582111111</v>
      </c>
      <c r="AB656" s="33" t="n">
        <v>181.851582111111</v>
      </c>
      <c r="AC656" s="33" t="n">
        <v>181.851582111111</v>
      </c>
      <c r="AD656" s="33" t="n">
        <v>181.851582111111</v>
      </c>
      <c r="AE656" s="33" t="n">
        <v>181.851582111111</v>
      </c>
      <c r="AF656" s="33" t="n">
        <v>181.851582111111</v>
      </c>
    </row>
    <row r="657" ht="15" customHeight="1" s="176">
      <c r="A657" s="36" t="inlineStr">
        <is>
          <t>P-0654</t>
        </is>
      </c>
      <c r="B657" s="36" t="inlineStr">
        <is>
          <t>2026/27</t>
        </is>
      </c>
      <c r="C657" s="36" t="inlineStr">
        <is>
          <t>Siberia</t>
        </is>
      </c>
      <c r="D657" s="37" t="inlineStr">
        <is>
          <t>S. Celebration 7,14</t>
        </is>
      </c>
      <c r="E657" s="36" t="inlineStr">
        <is>
          <t>Uvas</t>
        </is>
      </c>
      <c r="F657" s="36" t="inlineStr">
        <is>
          <t>S. celebration</t>
        </is>
      </c>
      <c r="G657" s="36" t="inlineStr">
        <is>
          <t>Producción</t>
        </is>
      </c>
      <c r="H657" s="38" t="n">
        <v>7.14</v>
      </c>
      <c r="I657" s="38" t="n">
        <v>7.14</v>
      </c>
      <c r="J657" s="36" t="inlineStr">
        <is>
          <t>Costo</t>
        </is>
      </c>
      <c r="K657" s="37" t="inlineStr">
        <is>
          <t>1- M.O. directa</t>
        </is>
      </c>
      <c r="L657" s="37" t="inlineStr">
        <is>
          <t>6,1- Supervisor cosecha</t>
        </is>
      </c>
      <c r="M657" s="37" t="inlineStr">
        <is>
          <t>150 cjs/jh</t>
        </is>
      </c>
      <c r="N657" s="36" t="inlineStr">
        <is>
          <t>trato</t>
        </is>
      </c>
      <c r="O657" s="36" t="inlineStr">
        <is>
          <t>cjs</t>
        </is>
      </c>
      <c r="P657" s="39" t="n">
        <v>50</v>
      </c>
      <c r="Q657" s="40" t="n">
        <v>26418</v>
      </c>
      <c r="R657" s="39" t="n">
        <v>1320900</v>
      </c>
      <c r="S657" s="41" t="n">
        <v>0.00677506775067751</v>
      </c>
      <c r="T657" s="39" t="n">
        <v>6.09756097560976</v>
      </c>
      <c r="U657" s="39" t="n">
        <v>0</v>
      </c>
      <c r="V657" s="39" t="n">
        <v>0</v>
      </c>
      <c r="W657" s="39" t="n">
        <v>0</v>
      </c>
      <c r="X657" s="39" t="n">
        <v>0</v>
      </c>
      <c r="Y657" s="39" t="n">
        <v>0</v>
      </c>
      <c r="Z657" s="39" t="n">
        <v>0</v>
      </c>
      <c r="AA657" s="39" t="n">
        <v>0</v>
      </c>
      <c r="AB657" s="39" t="n">
        <v>0</v>
      </c>
      <c r="AC657" s="39" t="n">
        <v>0</v>
      </c>
      <c r="AD657" s="39" t="n">
        <v>733.833333333333</v>
      </c>
      <c r="AE657" s="39" t="n">
        <v>733.833333333333</v>
      </c>
      <c r="AF657" s="39" t="n">
        <v>0</v>
      </c>
    </row>
    <row r="658" ht="15" customHeight="1" s="176">
      <c r="A658" s="30" t="inlineStr">
        <is>
          <t>P-0655</t>
        </is>
      </c>
      <c r="B658" s="30" t="inlineStr">
        <is>
          <t>2026/27</t>
        </is>
      </c>
      <c r="C658" s="30" t="inlineStr">
        <is>
          <t>Siberia</t>
        </is>
      </c>
      <c r="D658" s="31" t="inlineStr">
        <is>
          <t>Timpson 7,1</t>
        </is>
      </c>
      <c r="E658" s="30" t="inlineStr">
        <is>
          <t>Uvas</t>
        </is>
      </c>
      <c r="F658" s="30" t="inlineStr">
        <is>
          <t>Timpson</t>
        </is>
      </c>
      <c r="G658" s="30" t="inlineStr">
        <is>
          <t>Producción</t>
        </is>
      </c>
      <c r="H658" s="32" t="n">
        <v>7.1</v>
      </c>
      <c r="I658" s="32" t="n">
        <v>7.1</v>
      </c>
      <c r="J658" s="30" t="inlineStr">
        <is>
          <t>Costo</t>
        </is>
      </c>
      <c r="K658" s="31" t="inlineStr">
        <is>
          <t>1- M.O. directa</t>
        </is>
      </c>
      <c r="L658" s="31" t="inlineStr">
        <is>
          <t>6,1- Supervisor cosecha</t>
        </is>
      </c>
      <c r="M658" s="31" t="inlineStr">
        <is>
          <t>150 cjs/jh</t>
        </is>
      </c>
      <c r="N658" s="30" t="inlineStr">
        <is>
          <t>trato</t>
        </is>
      </c>
      <c r="O658" s="30" t="inlineStr">
        <is>
          <t>cjs</t>
        </is>
      </c>
      <c r="P658" s="33" t="n">
        <v>50</v>
      </c>
      <c r="Q658" s="34" t="n">
        <v>21300</v>
      </c>
      <c r="R658" s="33" t="n">
        <v>1065000</v>
      </c>
      <c r="S658" s="35" t="n">
        <v>0.00677506775067751</v>
      </c>
      <c r="T658" s="33" t="n">
        <v>6.09756097560976</v>
      </c>
      <c r="U658" s="33" t="n">
        <v>0</v>
      </c>
      <c r="V658" s="33" t="n">
        <v>0</v>
      </c>
      <c r="W658" s="33" t="n">
        <v>0</v>
      </c>
      <c r="X658" s="33" t="n">
        <v>0</v>
      </c>
      <c r="Y658" s="33" t="n">
        <v>0</v>
      </c>
      <c r="Z658" s="33" t="n">
        <v>0</v>
      </c>
      <c r="AA658" s="33" t="n">
        <v>0</v>
      </c>
      <c r="AB658" s="33" t="n">
        <v>0</v>
      </c>
      <c r="AC658" s="33" t="n">
        <v>0</v>
      </c>
      <c r="AD658" s="33" t="n">
        <v>710</v>
      </c>
      <c r="AE658" s="33" t="n">
        <v>473.333333333333</v>
      </c>
      <c r="AF658" s="33" t="n">
        <v>0</v>
      </c>
    </row>
    <row r="659" ht="15" customHeight="1" s="176">
      <c r="A659" s="48" t="inlineStr">
        <is>
          <t>P-0656</t>
        </is>
      </c>
      <c r="B659" s="48" t="inlineStr">
        <is>
          <t>2026/27</t>
        </is>
      </c>
      <c r="C659" s="48" t="inlineStr">
        <is>
          <t>Siberia</t>
        </is>
      </c>
      <c r="D659" s="49" t="inlineStr">
        <is>
          <t>Timpson 7,1</t>
        </is>
      </c>
      <c r="E659" s="48" t="inlineStr">
        <is>
          <t>Uvas</t>
        </is>
      </c>
      <c r="F659" s="48" t="inlineStr">
        <is>
          <t>Timpson</t>
        </is>
      </c>
      <c r="G659" s="48" t="inlineStr">
        <is>
          <t>Producción</t>
        </is>
      </c>
      <c r="H659" s="50" t="n">
        <v>7.1</v>
      </c>
      <c r="I659" s="50" t="n">
        <v>7.1</v>
      </c>
      <c r="J659" s="48" t="n"/>
      <c r="K659" s="49" t="inlineStr">
        <is>
          <t>6- Inversión</t>
        </is>
      </c>
      <c r="L659" s="49" t="n"/>
      <c r="M659" s="49" t="n"/>
      <c r="N659" s="48" t="n"/>
      <c r="O659" s="48" t="n"/>
      <c r="P659" s="51" t="n">
        <v>0</v>
      </c>
      <c r="Q659" s="52" t="n"/>
      <c r="R659" s="51" t="n">
        <v>0</v>
      </c>
      <c r="S659" s="53" t="n">
        <v>0</v>
      </c>
      <c r="T659" s="51" t="n">
        <v>0</v>
      </c>
      <c r="U659" s="51" t="n">
        <v>0</v>
      </c>
      <c r="V659" s="51" t="n">
        <v>0</v>
      </c>
      <c r="W659" s="51" t="n">
        <v>0</v>
      </c>
      <c r="X659" s="51" t="n">
        <v>0</v>
      </c>
      <c r="Y659" s="51" t="n">
        <v>0</v>
      </c>
      <c r="Z659" s="51" t="n">
        <v>0</v>
      </c>
      <c r="AA659" s="51" t="n">
        <v>0</v>
      </c>
      <c r="AB659" s="51" t="n">
        <v>0</v>
      </c>
      <c r="AC659" s="51" t="n">
        <v>0</v>
      </c>
      <c r="AD659" s="51" t="n">
        <v>0</v>
      </c>
      <c r="AE659" s="51" t="n">
        <v>0</v>
      </c>
      <c r="AF659" s="51" t="n">
        <v>0</v>
      </c>
    </row>
    <row r="660" ht="15" customHeight="1" s="176">
      <c r="A660" s="30" t="inlineStr">
        <is>
          <t>P-0657</t>
        </is>
      </c>
      <c r="B660" s="30" t="inlineStr">
        <is>
          <t>2026/27</t>
        </is>
      </c>
      <c r="C660" s="30" t="inlineStr">
        <is>
          <t>Siberia</t>
        </is>
      </c>
      <c r="D660" s="31" t="inlineStr">
        <is>
          <t>S. Celebration 7,14</t>
        </is>
      </c>
      <c r="E660" s="30" t="inlineStr">
        <is>
          <t>Uvas</t>
        </is>
      </c>
      <c r="F660" s="30" t="inlineStr">
        <is>
          <t>S. celebration</t>
        </is>
      </c>
      <c r="G660" s="30" t="inlineStr">
        <is>
          <t>Producción</t>
        </is>
      </c>
      <c r="H660" s="32" t="n">
        <v>7.14</v>
      </c>
      <c r="I660" s="32" t="n">
        <v>7.14</v>
      </c>
      <c r="J660" s="30" t="inlineStr">
        <is>
          <t>Costo</t>
        </is>
      </c>
      <c r="K660" s="31" t="inlineStr">
        <is>
          <t>3- Gasto general</t>
        </is>
      </c>
      <c r="L660" s="31" t="inlineStr">
        <is>
          <t>4- MANTENCION MAQUINARIA Y EQUIPOS</t>
        </is>
      </c>
      <c r="M660" s="31" t="n"/>
      <c r="N660" s="30" t="n"/>
      <c r="O660" s="30" t="inlineStr">
        <is>
          <t>ha</t>
        </is>
      </c>
      <c r="P660" s="33" t="n">
        <v>25000</v>
      </c>
      <c r="Q660" s="34" t="n">
        <v>7.14</v>
      </c>
      <c r="R660" s="33" t="n">
        <v>1777860</v>
      </c>
      <c r="S660" s="35" t="n">
        <v>0.009118874972533509</v>
      </c>
      <c r="T660" s="33" t="n">
        <v>8.20698747528016</v>
      </c>
      <c r="U660" s="33" t="n">
        <v>164.616666666667</v>
      </c>
      <c r="V660" s="33" t="n">
        <v>164.616666666667</v>
      </c>
      <c r="W660" s="33" t="n">
        <v>164.616666666667</v>
      </c>
      <c r="X660" s="33" t="n">
        <v>164.616666666667</v>
      </c>
      <c r="Y660" s="33" t="n">
        <v>164.616666666667</v>
      </c>
      <c r="Z660" s="33" t="n">
        <v>164.616666666667</v>
      </c>
      <c r="AA660" s="33" t="n">
        <v>164.616666666667</v>
      </c>
      <c r="AB660" s="33" t="n">
        <v>164.616666666667</v>
      </c>
      <c r="AC660" s="33" t="n">
        <v>164.616666666667</v>
      </c>
      <c r="AD660" s="33" t="n">
        <v>164.616666666667</v>
      </c>
      <c r="AE660" s="33" t="n">
        <v>164.616666666667</v>
      </c>
      <c r="AF660" s="33" t="n">
        <v>164.616666666667</v>
      </c>
    </row>
    <row r="661" ht="15" customHeight="1" s="176">
      <c r="A661" s="36" t="inlineStr">
        <is>
          <t>P-0658</t>
        </is>
      </c>
      <c r="B661" s="36" t="inlineStr">
        <is>
          <t>2026/27</t>
        </is>
      </c>
      <c r="C661" s="36" t="inlineStr">
        <is>
          <t>Siberia</t>
        </is>
      </c>
      <c r="D661" s="37" t="inlineStr">
        <is>
          <t>Timpson 7,1</t>
        </is>
      </c>
      <c r="E661" s="36" t="inlineStr">
        <is>
          <t>Uvas</t>
        </is>
      </c>
      <c r="F661" s="36" t="inlineStr">
        <is>
          <t>Timpson</t>
        </is>
      </c>
      <c r="G661" s="36" t="inlineStr">
        <is>
          <t>Producción</t>
        </is>
      </c>
      <c r="H661" s="38" t="n">
        <v>7.1</v>
      </c>
      <c r="I661" s="38" t="n">
        <v>7.1</v>
      </c>
      <c r="J661" s="36" t="inlineStr">
        <is>
          <t>Costo</t>
        </is>
      </c>
      <c r="K661" s="37" t="inlineStr">
        <is>
          <t>3- Gasto general</t>
        </is>
      </c>
      <c r="L661" s="37" t="inlineStr">
        <is>
          <t>4- MANTENCION MAQUINARIA Y EQUIPOS</t>
        </is>
      </c>
      <c r="M661" s="37" t="n"/>
      <c r="N661" s="36" t="n"/>
      <c r="O661" s="36" t="inlineStr">
        <is>
          <t>ha</t>
        </is>
      </c>
      <c r="P661" s="39" t="n">
        <v>25000</v>
      </c>
      <c r="Q661" s="40" t="n">
        <v>7.1</v>
      </c>
      <c r="R661" s="39" t="n">
        <v>1767900</v>
      </c>
      <c r="S661" s="41" t="n">
        <v>0.0112466124661247</v>
      </c>
      <c r="T661" s="39" t="n">
        <v>10.1219512195122</v>
      </c>
      <c r="U661" s="39" t="n">
        <v>163.694444444445</v>
      </c>
      <c r="V661" s="39" t="n">
        <v>163.694444444445</v>
      </c>
      <c r="W661" s="39" t="n">
        <v>163.694444444445</v>
      </c>
      <c r="X661" s="39" t="n">
        <v>163.694444444445</v>
      </c>
      <c r="Y661" s="39" t="n">
        <v>163.694444444445</v>
      </c>
      <c r="Z661" s="39" t="n">
        <v>163.694444444445</v>
      </c>
      <c r="AA661" s="39" t="n">
        <v>163.694444444445</v>
      </c>
      <c r="AB661" s="39" t="n">
        <v>163.694444444445</v>
      </c>
      <c r="AC661" s="39" t="n">
        <v>163.694444444445</v>
      </c>
      <c r="AD661" s="39" t="n">
        <v>163.694444444445</v>
      </c>
      <c r="AE661" s="39" t="n">
        <v>163.694444444445</v>
      </c>
      <c r="AF661" s="39" t="n">
        <v>163.694444444445</v>
      </c>
    </row>
    <row r="662" ht="15" customHeight="1" s="176">
      <c r="A662" s="30" t="inlineStr">
        <is>
          <t>P-0659</t>
        </is>
      </c>
      <c r="B662" s="30" t="inlineStr">
        <is>
          <t>2026/27</t>
        </is>
      </c>
      <c r="C662" s="30" t="inlineStr">
        <is>
          <t>Siberia</t>
        </is>
      </c>
      <c r="D662" s="31" t="inlineStr">
        <is>
          <t>S. Celebration 7,14</t>
        </is>
      </c>
      <c r="E662" s="30" t="inlineStr">
        <is>
          <t>Uvas</t>
        </is>
      </c>
      <c r="F662" s="30" t="inlineStr">
        <is>
          <t>S. celebration</t>
        </is>
      </c>
      <c r="G662" s="30" t="inlineStr">
        <is>
          <t>Producción</t>
        </is>
      </c>
      <c r="H662" s="32" t="n">
        <v>7.14</v>
      </c>
      <c r="I662" s="32" t="n">
        <v>7.14</v>
      </c>
      <c r="J662" s="30" t="inlineStr">
        <is>
          <t>Costo</t>
        </is>
      </c>
      <c r="K662" s="31" t="inlineStr">
        <is>
          <t>1- M.O. directa</t>
        </is>
      </c>
      <c r="L662" s="31" t="inlineStr">
        <is>
          <t>6,3- Colosero  cosecha</t>
        </is>
      </c>
      <c r="M662" s="31" t="n"/>
      <c r="N662" s="30" t="inlineStr">
        <is>
          <t>trato</t>
        </is>
      </c>
      <c r="O662" s="30" t="inlineStr">
        <is>
          <t>cjs</t>
        </is>
      </c>
      <c r="P662" s="33" t="n">
        <v>81</v>
      </c>
      <c r="Q662" s="34" t="n">
        <v>26418</v>
      </c>
      <c r="R662" s="33" t="n">
        <v>2139858</v>
      </c>
      <c r="S662" s="35" t="n">
        <v>0.0109756097560976</v>
      </c>
      <c r="T662" s="33" t="n">
        <v>9.878048780487809</v>
      </c>
      <c r="U662" s="33" t="n">
        <v>0</v>
      </c>
      <c r="V662" s="33" t="n">
        <v>0</v>
      </c>
      <c r="W662" s="33" t="n">
        <v>0</v>
      </c>
      <c r="X662" s="33" t="n">
        <v>0</v>
      </c>
      <c r="Y662" s="33" t="n">
        <v>0</v>
      </c>
      <c r="Z662" s="33" t="n">
        <v>0</v>
      </c>
      <c r="AA662" s="33" t="n">
        <v>0</v>
      </c>
      <c r="AB662" s="33" t="n">
        <v>0</v>
      </c>
      <c r="AC662" s="33" t="n">
        <v>0</v>
      </c>
      <c r="AD662" s="33" t="n">
        <v>1188.81</v>
      </c>
      <c r="AE662" s="33" t="n">
        <v>1188.81</v>
      </c>
      <c r="AF662" s="33" t="n">
        <v>0</v>
      </c>
    </row>
    <row r="663" ht="15" customHeight="1" s="176">
      <c r="A663" s="36" t="inlineStr">
        <is>
          <t>P-0660</t>
        </is>
      </c>
      <c r="B663" s="36" t="inlineStr">
        <is>
          <t>2026/27</t>
        </is>
      </c>
      <c r="C663" s="36" t="inlineStr">
        <is>
          <t>Siberia</t>
        </is>
      </c>
      <c r="D663" s="37" t="inlineStr">
        <is>
          <t>Timpson 7,1</t>
        </is>
      </c>
      <c r="E663" s="36" t="inlineStr">
        <is>
          <t>Uvas</t>
        </is>
      </c>
      <c r="F663" s="36" t="inlineStr">
        <is>
          <t>Timpson</t>
        </is>
      </c>
      <c r="G663" s="36" t="inlineStr">
        <is>
          <t>Producción</t>
        </is>
      </c>
      <c r="H663" s="38" t="n">
        <v>7.1</v>
      </c>
      <c r="I663" s="38" t="n">
        <v>7.1</v>
      </c>
      <c r="J663" s="36" t="inlineStr">
        <is>
          <t>Costo</t>
        </is>
      </c>
      <c r="K663" s="37" t="inlineStr">
        <is>
          <t>1- M.O. directa</t>
        </is>
      </c>
      <c r="L663" s="37" t="inlineStr">
        <is>
          <t>6,3- Colosero  cosecha</t>
        </is>
      </c>
      <c r="M663" s="37" t="n"/>
      <c r="N663" s="36" t="inlineStr">
        <is>
          <t>trato</t>
        </is>
      </c>
      <c r="O663" s="36" t="inlineStr">
        <is>
          <t>cjs</t>
        </is>
      </c>
      <c r="P663" s="39" t="n">
        <v>81</v>
      </c>
      <c r="Q663" s="40" t="n">
        <v>21300</v>
      </c>
      <c r="R663" s="39" t="n">
        <v>1725300</v>
      </c>
      <c r="S663" s="41" t="n">
        <v>0.0109756097560976</v>
      </c>
      <c r="T663" s="39" t="n">
        <v>9.878048780487809</v>
      </c>
      <c r="U663" s="39" t="n">
        <v>0</v>
      </c>
      <c r="V663" s="39" t="n">
        <v>0</v>
      </c>
      <c r="W663" s="39" t="n">
        <v>0</v>
      </c>
      <c r="X663" s="39" t="n">
        <v>0</v>
      </c>
      <c r="Y663" s="39" t="n">
        <v>0</v>
      </c>
      <c r="Z663" s="39" t="n">
        <v>0</v>
      </c>
      <c r="AA663" s="39" t="n">
        <v>0</v>
      </c>
      <c r="AB663" s="39" t="n">
        <v>0</v>
      </c>
      <c r="AC663" s="39" t="n">
        <v>0</v>
      </c>
      <c r="AD663" s="39" t="n">
        <v>1150.2</v>
      </c>
      <c r="AE663" s="39" t="n">
        <v>766.8</v>
      </c>
      <c r="AF663" s="39" t="n">
        <v>0</v>
      </c>
    </row>
    <row r="664" ht="15" customHeight="1" s="176">
      <c r="A664" s="30" t="inlineStr">
        <is>
          <t>P-0661</t>
        </is>
      </c>
      <c r="B664" s="30" t="inlineStr">
        <is>
          <t>2026/27</t>
        </is>
      </c>
      <c r="C664" s="30" t="inlineStr">
        <is>
          <t>Siberia</t>
        </is>
      </c>
      <c r="D664" s="31" t="inlineStr">
        <is>
          <t>S. Celebration 7,14</t>
        </is>
      </c>
      <c r="E664" s="30" t="inlineStr">
        <is>
          <t>Uvas</t>
        </is>
      </c>
      <c r="F664" s="30" t="inlineStr">
        <is>
          <t>S. celebration</t>
        </is>
      </c>
      <c r="G664" s="30" t="inlineStr">
        <is>
          <t>Producción</t>
        </is>
      </c>
      <c r="H664" s="32" t="n">
        <v>7.14</v>
      </c>
      <c r="I664" s="32" t="n">
        <v>7.14</v>
      </c>
      <c r="J664" s="30" t="inlineStr">
        <is>
          <t>Costo</t>
        </is>
      </c>
      <c r="K664" s="31" t="inlineStr">
        <is>
          <t>1- M.O. directa</t>
        </is>
      </c>
      <c r="L664" s="31" t="inlineStr">
        <is>
          <t xml:space="preserve">7- limpia racimos </t>
        </is>
      </c>
      <c r="M664" s="31" t="n"/>
      <c r="N664" s="30" t="inlineStr">
        <is>
          <t>día</t>
        </is>
      </c>
      <c r="O664" s="30" t="inlineStr">
        <is>
          <t>cjs</t>
        </is>
      </c>
      <c r="P664" s="33" t="n">
        <v>525</v>
      </c>
      <c r="Q664" s="34" t="n">
        <v>26418</v>
      </c>
      <c r="R664" s="33" t="n">
        <v>13869450</v>
      </c>
      <c r="S664" s="35" t="n">
        <v>0.07113821138211381</v>
      </c>
      <c r="T664" s="33" t="n">
        <v>64.0243902439025</v>
      </c>
      <c r="U664" s="33" t="n">
        <v>0</v>
      </c>
      <c r="V664" s="33" t="n">
        <v>0</v>
      </c>
      <c r="W664" s="33" t="n">
        <v>0</v>
      </c>
      <c r="X664" s="33" t="n">
        <v>0</v>
      </c>
      <c r="Y664" s="33" t="n">
        <v>0</v>
      </c>
      <c r="Z664" s="33" t="n">
        <v>0</v>
      </c>
      <c r="AA664" s="33" t="n">
        <v>0</v>
      </c>
      <c r="AB664" s="33" t="n">
        <v>0</v>
      </c>
      <c r="AC664" s="33" t="n">
        <v>0</v>
      </c>
      <c r="AD664" s="33" t="n">
        <v>6164.2</v>
      </c>
      <c r="AE664" s="33" t="n">
        <v>9246.299999999999</v>
      </c>
      <c r="AF664" s="33" t="n">
        <v>0</v>
      </c>
    </row>
    <row r="665" ht="15" customHeight="1" s="176">
      <c r="A665" s="36" t="inlineStr">
        <is>
          <t>P-0662</t>
        </is>
      </c>
      <c r="B665" s="36" t="inlineStr">
        <is>
          <t>2026/27</t>
        </is>
      </c>
      <c r="C665" s="36" t="inlineStr">
        <is>
          <t>Siberia</t>
        </is>
      </c>
      <c r="D665" s="37" t="inlineStr">
        <is>
          <t>Timpson 7,1</t>
        </is>
      </c>
      <c r="E665" s="36" t="inlineStr">
        <is>
          <t>Uvas</t>
        </is>
      </c>
      <c r="F665" s="36" t="inlineStr">
        <is>
          <t>Timpson</t>
        </is>
      </c>
      <c r="G665" s="36" t="inlineStr">
        <is>
          <t>Producción</t>
        </is>
      </c>
      <c r="H665" s="38" t="n">
        <v>7.1</v>
      </c>
      <c r="I665" s="38" t="n">
        <v>7.1</v>
      </c>
      <c r="J665" s="36" t="inlineStr">
        <is>
          <t>Costo</t>
        </is>
      </c>
      <c r="K665" s="37" t="inlineStr">
        <is>
          <t>1- M.O. directa</t>
        </is>
      </c>
      <c r="L665" s="37" t="inlineStr">
        <is>
          <t xml:space="preserve">7- limpia racimos </t>
        </is>
      </c>
      <c r="M665" s="37" t="n"/>
      <c r="N665" s="36" t="inlineStr">
        <is>
          <t>día</t>
        </is>
      </c>
      <c r="O665" s="36" t="inlineStr">
        <is>
          <t>cjs</t>
        </is>
      </c>
      <c r="P665" s="39" t="n">
        <v>600</v>
      </c>
      <c r="Q665" s="40" t="n">
        <v>21300</v>
      </c>
      <c r="R665" s="39" t="n">
        <v>12780000</v>
      </c>
      <c r="S665" s="41" t="n">
        <v>0.08130081300813009</v>
      </c>
      <c r="T665" s="39" t="n">
        <v>73.1707317073171</v>
      </c>
      <c r="U665" s="39" t="n">
        <v>0</v>
      </c>
      <c r="V665" s="39" t="n">
        <v>0</v>
      </c>
      <c r="W665" s="39" t="n">
        <v>0</v>
      </c>
      <c r="X665" s="39" t="n">
        <v>0</v>
      </c>
      <c r="Y665" s="39" t="n">
        <v>0</v>
      </c>
      <c r="Z665" s="39" t="n">
        <v>0</v>
      </c>
      <c r="AA665" s="39" t="n">
        <v>0</v>
      </c>
      <c r="AB665" s="39" t="n">
        <v>0</v>
      </c>
      <c r="AC665" s="39" t="n">
        <v>0</v>
      </c>
      <c r="AD665" s="39" t="n">
        <v>8520</v>
      </c>
      <c r="AE665" s="39" t="n">
        <v>5680</v>
      </c>
      <c r="AF665" s="39" t="n">
        <v>0</v>
      </c>
    </row>
    <row r="666" ht="15" customHeight="1" s="176">
      <c r="A666" s="30" t="inlineStr">
        <is>
          <t>P-0663</t>
        </is>
      </c>
      <c r="B666" s="30" t="inlineStr">
        <is>
          <t>2026/27</t>
        </is>
      </c>
      <c r="C666" s="30" t="inlineStr">
        <is>
          <t>Siberia</t>
        </is>
      </c>
      <c r="D666" s="31" t="inlineStr">
        <is>
          <t>S. Celebration 7,14</t>
        </is>
      </c>
      <c r="E666" s="30" t="inlineStr">
        <is>
          <t>Uvas</t>
        </is>
      </c>
      <c r="F666" s="30" t="inlineStr">
        <is>
          <t>S. celebration</t>
        </is>
      </c>
      <c r="G666" s="30" t="inlineStr">
        <is>
          <t>Producción</t>
        </is>
      </c>
      <c r="H666" s="32" t="n">
        <v>7.14</v>
      </c>
      <c r="I666" s="32" t="n">
        <v>7.14</v>
      </c>
      <c r="J666" s="30" t="inlineStr">
        <is>
          <t>Costo</t>
        </is>
      </c>
      <c r="K666" s="31" t="inlineStr">
        <is>
          <t>1- M.O. directa</t>
        </is>
      </c>
      <c r="L666" s="31" t="inlineStr">
        <is>
          <t>7,1- Supervisor limpia</t>
        </is>
      </c>
      <c r="M666" s="31" t="inlineStr">
        <is>
          <t>4+1 supervisor limpia</t>
        </is>
      </c>
      <c r="N666" s="30" t="inlineStr">
        <is>
          <t>día</t>
        </is>
      </c>
      <c r="O666" s="30" t="inlineStr">
        <is>
          <t>cjs</t>
        </is>
      </c>
      <c r="P666" s="33" t="n">
        <v>100</v>
      </c>
      <c r="Q666" s="34" t="n">
        <v>26418</v>
      </c>
      <c r="R666" s="33" t="n">
        <v>2641800</v>
      </c>
      <c r="S666" s="35" t="n">
        <v>0.013550135501355</v>
      </c>
      <c r="T666" s="33" t="n">
        <v>12.1951219512195</v>
      </c>
      <c r="U666" s="33" t="n">
        <v>0</v>
      </c>
      <c r="V666" s="33" t="n">
        <v>0</v>
      </c>
      <c r="W666" s="33" t="n">
        <v>0</v>
      </c>
      <c r="X666" s="33" t="n">
        <v>0</v>
      </c>
      <c r="Y666" s="33" t="n">
        <v>0</v>
      </c>
      <c r="Z666" s="33" t="n">
        <v>0</v>
      </c>
      <c r="AA666" s="33" t="n">
        <v>0</v>
      </c>
      <c r="AB666" s="33" t="n">
        <v>0</v>
      </c>
      <c r="AC666" s="33" t="n">
        <v>0</v>
      </c>
      <c r="AD666" s="33" t="n">
        <v>1174.13333333333</v>
      </c>
      <c r="AE666" s="33" t="n">
        <v>1761.2</v>
      </c>
      <c r="AF666" s="33" t="n">
        <v>0</v>
      </c>
    </row>
    <row r="667" ht="15" customHeight="1" s="176">
      <c r="A667" s="36" t="inlineStr">
        <is>
          <t>P-0664</t>
        </is>
      </c>
      <c r="B667" s="36" t="inlineStr">
        <is>
          <t>2026/27</t>
        </is>
      </c>
      <c r="C667" s="36" t="inlineStr">
        <is>
          <t>Siberia</t>
        </is>
      </c>
      <c r="D667" s="37" t="inlineStr">
        <is>
          <t>Timpson 7,1</t>
        </is>
      </c>
      <c r="E667" s="36" t="inlineStr">
        <is>
          <t>Uvas</t>
        </is>
      </c>
      <c r="F667" s="36" t="inlineStr">
        <is>
          <t>Timpson</t>
        </is>
      </c>
      <c r="G667" s="36" t="inlineStr">
        <is>
          <t>Producción</t>
        </is>
      </c>
      <c r="H667" s="38" t="n">
        <v>7.1</v>
      </c>
      <c r="I667" s="38" t="n">
        <v>7.1</v>
      </c>
      <c r="J667" s="36" t="inlineStr">
        <is>
          <t>Costo</t>
        </is>
      </c>
      <c r="K667" s="37" t="inlineStr">
        <is>
          <t>1- M.O. directa</t>
        </is>
      </c>
      <c r="L667" s="37" t="inlineStr">
        <is>
          <t>7,1- Supervisor limpia</t>
        </is>
      </c>
      <c r="M667" s="37" t="inlineStr">
        <is>
          <t>4+1 supervisor limpia</t>
        </is>
      </c>
      <c r="N667" s="36" t="inlineStr">
        <is>
          <t>día</t>
        </is>
      </c>
      <c r="O667" s="36" t="inlineStr">
        <is>
          <t>cjs</t>
        </is>
      </c>
      <c r="P667" s="39" t="n">
        <v>100</v>
      </c>
      <c r="Q667" s="40" t="n">
        <v>21300</v>
      </c>
      <c r="R667" s="39" t="n">
        <v>2130000</v>
      </c>
      <c r="S667" s="41" t="n">
        <v>0.013550135501355</v>
      </c>
      <c r="T667" s="39" t="n">
        <v>12.1951219512195</v>
      </c>
      <c r="U667" s="39" t="n">
        <v>0</v>
      </c>
      <c r="V667" s="39" t="n">
        <v>0</v>
      </c>
      <c r="W667" s="39" t="n">
        <v>0</v>
      </c>
      <c r="X667" s="39" t="n">
        <v>0</v>
      </c>
      <c r="Y667" s="39" t="n">
        <v>0</v>
      </c>
      <c r="Z667" s="39" t="n">
        <v>0</v>
      </c>
      <c r="AA667" s="39" t="n">
        <v>0</v>
      </c>
      <c r="AB667" s="39" t="n">
        <v>0</v>
      </c>
      <c r="AC667" s="39" t="n">
        <v>0</v>
      </c>
      <c r="AD667" s="39" t="n">
        <v>1420</v>
      </c>
      <c r="AE667" s="39" t="n">
        <v>946.666666666667</v>
      </c>
      <c r="AF667" s="39" t="n">
        <v>0</v>
      </c>
    </row>
    <row r="668" ht="15" customHeight="1" s="176">
      <c r="A668" s="30" t="inlineStr">
        <is>
          <t>P-0665</t>
        </is>
      </c>
      <c r="B668" s="30" t="inlineStr">
        <is>
          <t>2026/27</t>
        </is>
      </c>
      <c r="C668" s="30" t="inlineStr">
        <is>
          <t>Siberia</t>
        </is>
      </c>
      <c r="D668" s="31" t="inlineStr">
        <is>
          <t>S. Celebration 7,14</t>
        </is>
      </c>
      <c r="E668" s="30" t="inlineStr">
        <is>
          <t>Uvas</t>
        </is>
      </c>
      <c r="F668" s="30" t="inlineStr">
        <is>
          <t>S. celebration</t>
        </is>
      </c>
      <c r="G668" s="30" t="inlineStr">
        <is>
          <t>Producción</t>
        </is>
      </c>
      <c r="H668" s="32" t="n">
        <v>7.14</v>
      </c>
      <c r="I668" s="32" t="n">
        <v>7.14</v>
      </c>
      <c r="J668" s="30" t="inlineStr">
        <is>
          <t>Costo</t>
        </is>
      </c>
      <c r="K668" s="31" t="inlineStr">
        <is>
          <t>1- M.O. directa</t>
        </is>
      </c>
      <c r="L668" s="31" t="inlineStr">
        <is>
          <t>7,1- TRACTORISTA</t>
        </is>
      </c>
      <c r="M668" s="31" t="inlineStr">
        <is>
          <t>2000 rac/jh// 50  rac/planta</t>
        </is>
      </c>
      <c r="N668" s="30" t="inlineStr">
        <is>
          <t>día</t>
        </is>
      </c>
      <c r="O668" s="30" t="inlineStr">
        <is>
          <t>JH</t>
        </is>
      </c>
      <c r="P668" s="33" t="n">
        <v>38000</v>
      </c>
      <c r="Q668" s="34" t="n">
        <v>7.14</v>
      </c>
      <c r="R668" s="33" t="n">
        <v>2712114.72</v>
      </c>
      <c r="S668" s="35" t="n">
        <v>0.0139107888376181</v>
      </c>
      <c r="T668" s="33" t="n">
        <v>12.5197099538563</v>
      </c>
      <c r="U668" s="33" t="n">
        <v>251.121733333333</v>
      </c>
      <c r="V668" s="33" t="n">
        <v>251.121733333333</v>
      </c>
      <c r="W668" s="33" t="n">
        <v>251.121733333333</v>
      </c>
      <c r="X668" s="33" t="n">
        <v>251.121733333333</v>
      </c>
      <c r="Y668" s="33" t="n">
        <v>251.121733333333</v>
      </c>
      <c r="Z668" s="33" t="n">
        <v>251.121733333333</v>
      </c>
      <c r="AA668" s="33" t="n">
        <v>251.121733333333</v>
      </c>
      <c r="AB668" s="33" t="n">
        <v>251.121733333333</v>
      </c>
      <c r="AC668" s="33" t="n">
        <v>251.121733333333</v>
      </c>
      <c r="AD668" s="33" t="n">
        <v>251.121733333333</v>
      </c>
      <c r="AE668" s="33" t="n">
        <v>251.121733333333</v>
      </c>
      <c r="AF668" s="33" t="n">
        <v>251.121733333333</v>
      </c>
    </row>
    <row r="669" ht="15" customHeight="1" s="176">
      <c r="A669" s="36" t="inlineStr">
        <is>
          <t>P-0666</t>
        </is>
      </c>
      <c r="B669" s="36" t="inlineStr">
        <is>
          <t>2026/27</t>
        </is>
      </c>
      <c r="C669" s="36" t="inlineStr">
        <is>
          <t>Siberia</t>
        </is>
      </c>
      <c r="D669" s="37" t="inlineStr">
        <is>
          <t>Timpson 7,1</t>
        </is>
      </c>
      <c r="E669" s="36" t="inlineStr">
        <is>
          <t>Uvas</t>
        </is>
      </c>
      <c r="F669" s="36" t="inlineStr">
        <is>
          <t>Timpson</t>
        </is>
      </c>
      <c r="G669" s="36" t="inlineStr">
        <is>
          <t>Producción</t>
        </is>
      </c>
      <c r="H669" s="38" t="n">
        <v>7.1</v>
      </c>
      <c r="I669" s="38" t="n">
        <v>7.1</v>
      </c>
      <c r="J669" s="36" t="inlineStr">
        <is>
          <t>Costo</t>
        </is>
      </c>
      <c r="K669" s="37" t="inlineStr">
        <is>
          <t>1- M.O. directa</t>
        </is>
      </c>
      <c r="L669" s="37" t="inlineStr">
        <is>
          <t>7,1- TRACTORISTA</t>
        </is>
      </c>
      <c r="M669" s="37" t="inlineStr">
        <is>
          <t>1800 rac/jh// 54 rac/planta</t>
        </is>
      </c>
      <c r="N669" s="36" t="inlineStr">
        <is>
          <t>día</t>
        </is>
      </c>
      <c r="O669" s="36" t="inlineStr">
        <is>
          <t>JH</t>
        </is>
      </c>
      <c r="P669" s="39" t="n">
        <v>38000</v>
      </c>
      <c r="Q669" s="40" t="n">
        <v>7.1</v>
      </c>
      <c r="R669" s="39" t="n">
        <v>2696920.8</v>
      </c>
      <c r="S669" s="41" t="n">
        <v>0.0171566395663957</v>
      </c>
      <c r="T669" s="39" t="n">
        <v>15.4409756097561</v>
      </c>
      <c r="U669" s="39" t="n">
        <v>249.714888888889</v>
      </c>
      <c r="V669" s="39" t="n">
        <v>249.714888888889</v>
      </c>
      <c r="W669" s="39" t="n">
        <v>249.714888888889</v>
      </c>
      <c r="X669" s="39" t="n">
        <v>249.714888888889</v>
      </c>
      <c r="Y669" s="39" t="n">
        <v>249.714888888889</v>
      </c>
      <c r="Z669" s="39" t="n">
        <v>249.714888888889</v>
      </c>
      <c r="AA669" s="39" t="n">
        <v>249.714888888889</v>
      </c>
      <c r="AB669" s="39" t="n">
        <v>249.714888888889</v>
      </c>
      <c r="AC669" s="39" t="n">
        <v>249.714888888889</v>
      </c>
      <c r="AD669" s="39" t="n">
        <v>249.714888888889</v>
      </c>
      <c r="AE669" s="39" t="n">
        <v>249.714888888889</v>
      </c>
      <c r="AF669" s="39" t="n">
        <v>249.714888888889</v>
      </c>
    </row>
    <row r="670" ht="15" customHeight="1" s="176">
      <c r="A670" s="30" t="inlineStr">
        <is>
          <t>P-0667</t>
        </is>
      </c>
      <c r="B670" s="30" t="inlineStr">
        <is>
          <t>2026/27</t>
        </is>
      </c>
      <c r="C670" s="30" t="inlineStr">
        <is>
          <t>Siberia</t>
        </is>
      </c>
      <c r="D670" s="31" t="inlineStr">
        <is>
          <t>S. Celebration 7,14</t>
        </is>
      </c>
      <c r="E670" s="30" t="inlineStr">
        <is>
          <t>Uvas</t>
        </is>
      </c>
      <c r="F670" s="30" t="inlineStr">
        <is>
          <t>S. celebration</t>
        </is>
      </c>
      <c r="G670" s="30" t="inlineStr">
        <is>
          <t>Producción</t>
        </is>
      </c>
      <c r="H670" s="32" t="n">
        <v>7.14</v>
      </c>
      <c r="I670" s="32" t="n">
        <v>7.14</v>
      </c>
      <c r="J670" s="30" t="inlineStr">
        <is>
          <t>Costo</t>
        </is>
      </c>
      <c r="K670" s="31" t="inlineStr">
        <is>
          <t>1- M.O. directa</t>
        </is>
      </c>
      <c r="L670" s="31" t="inlineStr">
        <is>
          <t>7,2- Mozo  limpia</t>
        </is>
      </c>
      <c r="M670" s="31" t="inlineStr">
        <is>
          <t>3 mozos limpieza</t>
        </is>
      </c>
      <c r="N670" s="30" t="inlineStr">
        <is>
          <t>día</t>
        </is>
      </c>
      <c r="O670" s="30" t="inlineStr">
        <is>
          <t>cjs</t>
        </is>
      </c>
      <c r="P670" s="33" t="n">
        <v>62</v>
      </c>
      <c r="Q670" s="34" t="n">
        <v>26418</v>
      </c>
      <c r="R670" s="33" t="n">
        <v>1637916</v>
      </c>
      <c r="S670" s="35" t="n">
        <v>0.00840108401084011</v>
      </c>
      <c r="T670" s="33" t="n">
        <v>7.5609756097561</v>
      </c>
      <c r="U670" s="33" t="n">
        <v>0</v>
      </c>
      <c r="V670" s="33" t="n">
        <v>0</v>
      </c>
      <c r="W670" s="33" t="n">
        <v>0</v>
      </c>
      <c r="X670" s="33" t="n">
        <v>0</v>
      </c>
      <c r="Y670" s="33" t="n">
        <v>0</v>
      </c>
      <c r="Z670" s="33" t="n">
        <v>0</v>
      </c>
      <c r="AA670" s="33" t="n">
        <v>0</v>
      </c>
      <c r="AB670" s="33" t="n">
        <v>0</v>
      </c>
      <c r="AC670" s="33" t="n">
        <v>0</v>
      </c>
      <c r="AD670" s="33" t="n">
        <v>727.962666666667</v>
      </c>
      <c r="AE670" s="33" t="n">
        <v>1091.944</v>
      </c>
      <c r="AF670" s="33" t="n">
        <v>0</v>
      </c>
    </row>
    <row r="671" ht="15" customHeight="1" s="176">
      <c r="A671" s="36" t="inlineStr">
        <is>
          <t>P-0668</t>
        </is>
      </c>
      <c r="B671" s="36" t="inlineStr">
        <is>
          <t>2026/27</t>
        </is>
      </c>
      <c r="C671" s="36" t="inlineStr">
        <is>
          <t>Siberia</t>
        </is>
      </c>
      <c r="D671" s="37" t="inlineStr">
        <is>
          <t>Timpson 7,1</t>
        </is>
      </c>
      <c r="E671" s="36" t="inlineStr">
        <is>
          <t>Uvas</t>
        </is>
      </c>
      <c r="F671" s="36" t="inlineStr">
        <is>
          <t>Timpson</t>
        </is>
      </c>
      <c r="G671" s="36" t="inlineStr">
        <is>
          <t>Producción</t>
        </is>
      </c>
      <c r="H671" s="38" t="n">
        <v>7.1</v>
      </c>
      <c r="I671" s="38" t="n">
        <v>7.1</v>
      </c>
      <c r="J671" s="36" t="inlineStr">
        <is>
          <t>Costo</t>
        </is>
      </c>
      <c r="K671" s="37" t="inlineStr">
        <is>
          <t>1- M.O. directa</t>
        </is>
      </c>
      <c r="L671" s="37" t="inlineStr">
        <is>
          <t>7,2- Mozo  limpia</t>
        </is>
      </c>
      <c r="M671" s="37" t="inlineStr">
        <is>
          <t>3 mozos limpieza</t>
        </is>
      </c>
      <c r="N671" s="36" t="inlineStr">
        <is>
          <t>día</t>
        </is>
      </c>
      <c r="O671" s="36" t="inlineStr">
        <is>
          <t>cjs</t>
        </is>
      </c>
      <c r="P671" s="39" t="n">
        <v>62</v>
      </c>
      <c r="Q671" s="40" t="n">
        <v>21300</v>
      </c>
      <c r="R671" s="39" t="n">
        <v>1320600</v>
      </c>
      <c r="S671" s="41" t="n">
        <v>0.00840108401084011</v>
      </c>
      <c r="T671" s="39" t="n">
        <v>7.5609756097561</v>
      </c>
      <c r="U671" s="39" t="n">
        <v>0</v>
      </c>
      <c r="V671" s="39" t="n">
        <v>0</v>
      </c>
      <c r="W671" s="39" t="n">
        <v>0</v>
      </c>
      <c r="X671" s="39" t="n">
        <v>0</v>
      </c>
      <c r="Y671" s="39" t="n">
        <v>0</v>
      </c>
      <c r="Z671" s="39" t="n">
        <v>0</v>
      </c>
      <c r="AA671" s="39" t="n">
        <v>0</v>
      </c>
      <c r="AB671" s="39" t="n">
        <v>0</v>
      </c>
      <c r="AC671" s="39" t="n">
        <v>0</v>
      </c>
      <c r="AD671" s="39" t="n">
        <v>880.4</v>
      </c>
      <c r="AE671" s="39" t="n">
        <v>586.9333333333331</v>
      </c>
      <c r="AF671" s="39" t="n">
        <v>0</v>
      </c>
    </row>
    <row r="672" ht="15" customHeight="1" s="176">
      <c r="A672" s="30" t="inlineStr">
        <is>
          <t>P-0669</t>
        </is>
      </c>
      <c r="B672" s="30" t="inlineStr">
        <is>
          <t>2026/27</t>
        </is>
      </c>
      <c r="C672" s="30" t="inlineStr">
        <is>
          <t>Siberia</t>
        </is>
      </c>
      <c r="D672" s="31" t="inlineStr">
        <is>
          <t>S. Celebration 7,14</t>
        </is>
      </c>
      <c r="E672" s="30" t="inlineStr">
        <is>
          <t>Uvas</t>
        </is>
      </c>
      <c r="F672" s="30" t="inlineStr">
        <is>
          <t>S. celebration</t>
        </is>
      </c>
      <c r="G672" s="30" t="inlineStr">
        <is>
          <t>Producción</t>
        </is>
      </c>
      <c r="H672" s="32" t="n">
        <v>7.14</v>
      </c>
      <c r="I672" s="32" t="n">
        <v>7.14</v>
      </c>
      <c r="J672" s="30" t="inlineStr">
        <is>
          <t>Costo</t>
        </is>
      </c>
      <c r="K672" s="31" t="inlineStr">
        <is>
          <t>1- M.O. directa</t>
        </is>
      </c>
      <c r="L672" s="31" t="inlineStr">
        <is>
          <t xml:space="preserve">8- Control de faenas </t>
        </is>
      </c>
      <c r="M672" s="31" t="n"/>
      <c r="N672" s="30" t="inlineStr">
        <is>
          <t>día</t>
        </is>
      </c>
      <c r="O672" s="30" t="inlineStr">
        <is>
          <t>JH</t>
        </is>
      </c>
      <c r="P672" s="33" t="n">
        <v>43500</v>
      </c>
      <c r="Q672" s="34" t="n">
        <v>1</v>
      </c>
      <c r="R672" s="33" t="n">
        <v>522000</v>
      </c>
      <c r="S672" s="35" t="n">
        <v>0.00267740583379034</v>
      </c>
      <c r="T672" s="33" t="n">
        <v>2.40966525041131</v>
      </c>
      <c r="U672" s="33" t="n">
        <v>48.3333333333333</v>
      </c>
      <c r="V672" s="33" t="n">
        <v>48.3333333333333</v>
      </c>
      <c r="W672" s="33" t="n">
        <v>48.3333333333333</v>
      </c>
      <c r="X672" s="33" t="n">
        <v>48.3333333333333</v>
      </c>
      <c r="Y672" s="33" t="n">
        <v>48.3333333333333</v>
      </c>
      <c r="Z672" s="33" t="n">
        <v>48.3333333333333</v>
      </c>
      <c r="AA672" s="33" t="n">
        <v>48.3333333333333</v>
      </c>
      <c r="AB672" s="33" t="n">
        <v>48.3333333333333</v>
      </c>
      <c r="AC672" s="33" t="n">
        <v>48.3333333333333</v>
      </c>
      <c r="AD672" s="33" t="n">
        <v>48.3333333333333</v>
      </c>
      <c r="AE672" s="33" t="n">
        <v>48.3333333333333</v>
      </c>
      <c r="AF672" s="33" t="n">
        <v>48.3333333333333</v>
      </c>
    </row>
    <row r="673" ht="15" customHeight="1" s="176">
      <c r="A673" s="36" t="inlineStr">
        <is>
          <t>P-0670</t>
        </is>
      </c>
      <c r="B673" s="36" t="inlineStr">
        <is>
          <t>2026/27</t>
        </is>
      </c>
      <c r="C673" s="36" t="inlineStr">
        <is>
          <t>Siberia</t>
        </is>
      </c>
      <c r="D673" s="37" t="inlineStr">
        <is>
          <t>Timpson 7,1</t>
        </is>
      </c>
      <c r="E673" s="36" t="inlineStr">
        <is>
          <t>Uvas</t>
        </is>
      </c>
      <c r="F673" s="36" t="inlineStr">
        <is>
          <t>Timpson</t>
        </is>
      </c>
      <c r="G673" s="36" t="inlineStr">
        <is>
          <t>Producción</t>
        </is>
      </c>
      <c r="H673" s="38" t="n">
        <v>7.1</v>
      </c>
      <c r="I673" s="38" t="n">
        <v>7.1</v>
      </c>
      <c r="J673" s="36" t="inlineStr">
        <is>
          <t>Costo</t>
        </is>
      </c>
      <c r="K673" s="37" t="inlineStr">
        <is>
          <t>1- M.O. directa</t>
        </is>
      </c>
      <c r="L673" s="37" t="inlineStr">
        <is>
          <t xml:space="preserve">8- Control de faenas </t>
        </is>
      </c>
      <c r="M673" s="37" t="n"/>
      <c r="N673" s="36" t="inlineStr">
        <is>
          <t>día</t>
        </is>
      </c>
      <c r="O673" s="36" t="inlineStr">
        <is>
          <t>JH</t>
        </is>
      </c>
      <c r="P673" s="39" t="n">
        <v>43500</v>
      </c>
      <c r="Q673" s="40" t="n">
        <v>1</v>
      </c>
      <c r="R673" s="39" t="n">
        <v>522000</v>
      </c>
      <c r="S673" s="41" t="n">
        <v>0.00332073743272644</v>
      </c>
      <c r="T673" s="39" t="n">
        <v>2.9886636894538</v>
      </c>
      <c r="U673" s="39" t="n">
        <v>48.3333333333333</v>
      </c>
      <c r="V673" s="39" t="n">
        <v>48.3333333333333</v>
      </c>
      <c r="W673" s="39" t="n">
        <v>48.3333333333333</v>
      </c>
      <c r="X673" s="39" t="n">
        <v>48.3333333333333</v>
      </c>
      <c r="Y673" s="39" t="n">
        <v>48.3333333333333</v>
      </c>
      <c r="Z673" s="39" t="n">
        <v>48.3333333333333</v>
      </c>
      <c r="AA673" s="39" t="n">
        <v>48.3333333333333</v>
      </c>
      <c r="AB673" s="39" t="n">
        <v>48.3333333333333</v>
      </c>
      <c r="AC673" s="39" t="n">
        <v>48.3333333333333</v>
      </c>
      <c r="AD673" s="39" t="n">
        <v>48.3333333333333</v>
      </c>
      <c r="AE673" s="39" t="n">
        <v>48.3333333333333</v>
      </c>
      <c r="AF673" s="39" t="n">
        <v>48.3333333333333</v>
      </c>
    </row>
    <row r="674" ht="15" customHeight="1" s="176">
      <c r="A674" s="30" t="inlineStr">
        <is>
          <t>P-0671</t>
        </is>
      </c>
      <c r="B674" s="30" t="inlineStr">
        <is>
          <t>2026/27</t>
        </is>
      </c>
      <c r="C674" s="30" t="inlineStr">
        <is>
          <t>Siberia</t>
        </is>
      </c>
      <c r="D674" s="31" t="inlineStr">
        <is>
          <t>S. Celebration 7,14</t>
        </is>
      </c>
      <c r="E674" s="30" t="inlineStr">
        <is>
          <t>Uvas</t>
        </is>
      </c>
      <c r="F674" s="30" t="inlineStr">
        <is>
          <t>S. celebration</t>
        </is>
      </c>
      <c r="G674" s="30" t="inlineStr">
        <is>
          <t>Producción</t>
        </is>
      </c>
      <c r="H674" s="32" t="n">
        <v>7.14</v>
      </c>
      <c r="I674" s="32" t="n">
        <v>7.14</v>
      </c>
      <c r="J674" s="30" t="inlineStr">
        <is>
          <t>Costo</t>
        </is>
      </c>
      <c r="K674" s="31" t="inlineStr">
        <is>
          <t>1- M.O. directa</t>
        </is>
      </c>
      <c r="L674" s="31" t="inlineStr">
        <is>
          <t>9,1- Riegos</t>
        </is>
      </c>
      <c r="M674" s="31" t="n"/>
      <c r="N674" s="30" t="inlineStr">
        <is>
          <t>día</t>
        </is>
      </c>
      <c r="O674" s="30" t="inlineStr">
        <is>
          <t>JH</t>
        </is>
      </c>
      <c r="P674" s="33" t="n">
        <v>44500</v>
      </c>
      <c r="Q674" s="34" t="n">
        <v>22</v>
      </c>
      <c r="R674" s="33" t="n">
        <v>3426500</v>
      </c>
      <c r="S674" s="35" t="n">
        <v>0.0175749637729552</v>
      </c>
      <c r="T674" s="33" t="n">
        <v>15.8174673956597</v>
      </c>
      <c r="U674" s="33" t="n">
        <v>0</v>
      </c>
      <c r="V674" s="33" t="n">
        <v>0</v>
      </c>
      <c r="W674" s="33" t="n">
        <v>0</v>
      </c>
      <c r="X674" s="33" t="n">
        <v>0</v>
      </c>
      <c r="Y674" s="33" t="n">
        <v>0</v>
      </c>
      <c r="Z674" s="33" t="n">
        <v>543.888888888889</v>
      </c>
      <c r="AA674" s="33" t="n">
        <v>543.888888888889</v>
      </c>
      <c r="AB674" s="33" t="n">
        <v>543.888888888889</v>
      </c>
      <c r="AC674" s="33" t="n">
        <v>543.888888888889</v>
      </c>
      <c r="AD674" s="33" t="n">
        <v>543.888888888889</v>
      </c>
      <c r="AE674" s="33" t="n">
        <v>543.888888888889</v>
      </c>
      <c r="AF674" s="33" t="n">
        <v>543.888888888889</v>
      </c>
    </row>
    <row r="675" ht="15" customHeight="1" s="176">
      <c r="A675" s="36" t="inlineStr">
        <is>
          <t>P-0672</t>
        </is>
      </c>
      <c r="B675" s="36" t="inlineStr">
        <is>
          <t>2026/27</t>
        </is>
      </c>
      <c r="C675" s="36" t="inlineStr">
        <is>
          <t>Siberia</t>
        </is>
      </c>
      <c r="D675" s="37" t="inlineStr">
        <is>
          <t>Timpson 7,1</t>
        </is>
      </c>
      <c r="E675" s="36" t="inlineStr">
        <is>
          <t>Uvas</t>
        </is>
      </c>
      <c r="F675" s="36" t="inlineStr">
        <is>
          <t>Timpson</t>
        </is>
      </c>
      <c r="G675" s="36" t="inlineStr">
        <is>
          <t>Producción</t>
        </is>
      </c>
      <c r="H675" s="38" t="n">
        <v>7.1</v>
      </c>
      <c r="I675" s="38" t="n">
        <v>7.1</v>
      </c>
      <c r="J675" s="36" t="inlineStr">
        <is>
          <t>Costo</t>
        </is>
      </c>
      <c r="K675" s="37" t="inlineStr">
        <is>
          <t>2- M.O. indirecta</t>
        </is>
      </c>
      <c r="L675" s="37" t="inlineStr">
        <is>
          <t>3,1-  ENCARGADO DE RIEGO</t>
        </is>
      </c>
      <c r="M675" s="37" t="inlineStr">
        <is>
          <t>Operacion predio</t>
        </is>
      </c>
      <c r="N675" s="36" t="inlineStr">
        <is>
          <t>día</t>
        </is>
      </c>
      <c r="O675" s="36" t="inlineStr">
        <is>
          <t>ha</t>
        </is>
      </c>
      <c r="P675" s="39" t="n">
        <v>67626.4166666667</v>
      </c>
      <c r="Q675" s="40" t="n">
        <v>7.1</v>
      </c>
      <c r="R675" s="39" t="n">
        <v>4799554.9931</v>
      </c>
      <c r="S675" s="41" t="n">
        <v>0.0305326856820235</v>
      </c>
      <c r="T675" s="39" t="n">
        <v>27.4794171138211</v>
      </c>
      <c r="U675" s="39" t="n">
        <v>444.403240101852</v>
      </c>
      <c r="V675" s="39" t="n">
        <v>444.403240101852</v>
      </c>
      <c r="W675" s="39" t="n">
        <v>444.403240101852</v>
      </c>
      <c r="X675" s="39" t="n">
        <v>444.403240101852</v>
      </c>
      <c r="Y675" s="39" t="n">
        <v>444.403240101852</v>
      </c>
      <c r="Z675" s="39" t="n">
        <v>444.403240101852</v>
      </c>
      <c r="AA675" s="39" t="n">
        <v>444.403240101852</v>
      </c>
      <c r="AB675" s="39" t="n">
        <v>444.403240101852</v>
      </c>
      <c r="AC675" s="39" t="n">
        <v>444.403240101852</v>
      </c>
      <c r="AD675" s="39" t="n">
        <v>444.403240101852</v>
      </c>
      <c r="AE675" s="39" t="n">
        <v>444.403240101852</v>
      </c>
      <c r="AF675" s="39" t="n">
        <v>444.403240101852</v>
      </c>
    </row>
    <row r="676" ht="15" customHeight="1" s="176">
      <c r="A676" s="30" t="inlineStr">
        <is>
          <t>P-0673</t>
        </is>
      </c>
      <c r="B676" s="30" t="inlineStr">
        <is>
          <t>2026/27</t>
        </is>
      </c>
      <c r="C676" s="30" t="inlineStr">
        <is>
          <t>Siberia</t>
        </is>
      </c>
      <c r="D676" s="31" t="inlineStr">
        <is>
          <t>Timpson 7,1</t>
        </is>
      </c>
      <c r="E676" s="30" t="inlineStr">
        <is>
          <t>Uvas</t>
        </is>
      </c>
      <c r="F676" s="30" t="inlineStr">
        <is>
          <t>Timpson</t>
        </is>
      </c>
      <c r="G676" s="30" t="inlineStr">
        <is>
          <t>Producción</t>
        </is>
      </c>
      <c r="H676" s="32" t="n">
        <v>7.1</v>
      </c>
      <c r="I676" s="32" t="n">
        <v>7.1</v>
      </c>
      <c r="J676" s="30" t="inlineStr">
        <is>
          <t>Costo</t>
        </is>
      </c>
      <c r="K676" s="31" t="inlineStr">
        <is>
          <t>3- Gasto general</t>
        </is>
      </c>
      <c r="L676" s="31" t="inlineStr">
        <is>
          <t>1- GASTOS DEL PERSONAL</t>
        </is>
      </c>
      <c r="M676" s="31" t="inlineStr">
        <is>
          <t>Alimentacion</t>
        </is>
      </c>
      <c r="N676" s="30" t="n"/>
      <c r="O676" s="30" t="inlineStr">
        <is>
          <t>jh</t>
        </is>
      </c>
      <c r="P676" s="33" t="n">
        <v>2400</v>
      </c>
      <c r="Q676" s="34" t="n">
        <v>110</v>
      </c>
      <c r="R676" s="33" t="n">
        <v>3537600</v>
      </c>
      <c r="S676" s="35" t="n">
        <v>0.0225046757509829</v>
      </c>
      <c r="T676" s="33" t="n">
        <v>20.2542081758846</v>
      </c>
      <c r="U676" s="33" t="n">
        <v>58.6666666666667</v>
      </c>
      <c r="V676" s="33" t="n">
        <v>58.6666666666667</v>
      </c>
      <c r="W676" s="33" t="n">
        <v>58.6666666666667</v>
      </c>
      <c r="X676" s="33" t="n">
        <v>58.6666666666667</v>
      </c>
      <c r="Y676" s="33" t="n">
        <v>58.6666666666667</v>
      </c>
      <c r="Z676" s="33" t="n">
        <v>58.6666666666667</v>
      </c>
      <c r="AA676" s="33" t="n">
        <v>293.333333333333</v>
      </c>
      <c r="AB676" s="33" t="n">
        <v>880</v>
      </c>
      <c r="AC676" s="33" t="n">
        <v>293.333333333333</v>
      </c>
      <c r="AD676" s="33" t="n">
        <v>1026.66666666667</v>
      </c>
      <c r="AE676" s="33" t="n">
        <v>1026.66666666667</v>
      </c>
      <c r="AF676" s="33" t="n">
        <v>58.6666666666667</v>
      </c>
    </row>
    <row r="677" ht="15" customHeight="1" s="176">
      <c r="A677" s="42" t="inlineStr">
        <is>
          <t>P-0674</t>
        </is>
      </c>
      <c r="B677" s="42" t="inlineStr">
        <is>
          <t>2026/27</t>
        </is>
      </c>
      <c r="C677" s="42" t="inlineStr">
        <is>
          <t>Siberia</t>
        </is>
      </c>
      <c r="D677" s="43" t="inlineStr">
        <is>
          <t>S. Celebration 7,14</t>
        </is>
      </c>
      <c r="E677" s="42" t="inlineStr">
        <is>
          <t>Uvas</t>
        </is>
      </c>
      <c r="F677" s="42" t="inlineStr">
        <is>
          <t>S. celebration</t>
        </is>
      </c>
      <c r="G677" s="42" t="inlineStr">
        <is>
          <t>Producción</t>
        </is>
      </c>
      <c r="H677" s="44" t="n">
        <v>7.14</v>
      </c>
      <c r="I677" s="44" t="n">
        <v>7.14</v>
      </c>
      <c r="J677" s="42" t="inlineStr">
        <is>
          <t>Ingreso</t>
        </is>
      </c>
      <c r="K677" s="43" t="inlineStr">
        <is>
          <t>5- Ingresos</t>
        </is>
      </c>
      <c r="L677" s="43" t="inlineStr">
        <is>
          <t>Venta EXP</t>
        </is>
      </c>
      <c r="M677" s="43" t="n"/>
      <c r="N677" s="42" t="inlineStr">
        <is>
          <t>venta</t>
        </is>
      </c>
      <c r="O677" s="42" t="inlineStr">
        <is>
          <t>kg</t>
        </is>
      </c>
      <c r="P677" s="45" t="n">
        <v>-1080</v>
      </c>
      <c r="Q677" s="46" t="n">
        <v>216627.6</v>
      </c>
      <c r="R677" s="45" t="n">
        <v>233957808</v>
      </c>
      <c r="S677" s="47" t="n">
        <v>-1.2</v>
      </c>
      <c r="T677" s="45" t="n">
        <v>-1080</v>
      </c>
      <c r="U677" s="45" t="n">
        <v>0</v>
      </c>
      <c r="V677" s="45" t="n">
        <v>0</v>
      </c>
      <c r="W677" s="45" t="n">
        <v>0</v>
      </c>
      <c r="X677" s="45" t="n">
        <v>0</v>
      </c>
      <c r="Y677" s="45" t="n">
        <v>0</v>
      </c>
      <c r="Z677" s="45" t="n">
        <v>0</v>
      </c>
      <c r="AA677" s="45" t="n">
        <v>0</v>
      </c>
      <c r="AB677" s="45" t="n">
        <v>0</v>
      </c>
      <c r="AC677" s="45" t="n">
        <v>0</v>
      </c>
      <c r="AD677" s="45" t="n">
        <v>116978.904</v>
      </c>
      <c r="AE677" s="45" t="n">
        <v>142974.216</v>
      </c>
      <c r="AF677" s="45" t="n">
        <v>0</v>
      </c>
    </row>
    <row r="678" ht="15" customHeight="1" s="176">
      <c r="A678" s="42" t="inlineStr">
        <is>
          <t>P-0675</t>
        </is>
      </c>
      <c r="B678" s="42" t="inlineStr">
        <is>
          <t>2026/27</t>
        </is>
      </c>
      <c r="C678" s="42" t="inlineStr">
        <is>
          <t>Siberia</t>
        </is>
      </c>
      <c r="D678" s="43" t="inlineStr">
        <is>
          <t>Timpson 7,1</t>
        </is>
      </c>
      <c r="E678" s="42" t="inlineStr">
        <is>
          <t>Uvas</t>
        </is>
      </c>
      <c r="F678" s="42" t="inlineStr">
        <is>
          <t>Timpson</t>
        </is>
      </c>
      <c r="G678" s="42" t="inlineStr">
        <is>
          <t>Producción</t>
        </is>
      </c>
      <c r="H678" s="44" t="n">
        <v>7.1</v>
      </c>
      <c r="I678" s="44" t="n">
        <v>7.1</v>
      </c>
      <c r="J678" s="42" t="inlineStr">
        <is>
          <t>Ingreso</t>
        </is>
      </c>
      <c r="K678" s="43" t="inlineStr">
        <is>
          <t>5- Ingresos</t>
        </is>
      </c>
      <c r="L678" s="43" t="inlineStr">
        <is>
          <t>Venta M.I.</t>
        </is>
      </c>
      <c r="M678" s="43" t="n"/>
      <c r="N678" s="42" t="inlineStr">
        <is>
          <t>venta</t>
        </is>
      </c>
      <c r="O678" s="42" t="inlineStr">
        <is>
          <t>kg</t>
        </is>
      </c>
      <c r="P678" s="45" t="n">
        <v>-100</v>
      </c>
      <c r="Q678" s="46" t="n">
        <v>69864</v>
      </c>
      <c r="R678" s="45" t="n">
        <v>6986400</v>
      </c>
      <c r="S678" s="47" t="n">
        <v>-0.111111111111111</v>
      </c>
      <c r="T678" s="45" t="n">
        <v>-100</v>
      </c>
      <c r="U678" s="45" t="n">
        <v>0</v>
      </c>
      <c r="V678" s="45" t="n">
        <v>0</v>
      </c>
      <c r="W678" s="45" t="n">
        <v>0</v>
      </c>
      <c r="X678" s="45" t="n">
        <v>0</v>
      </c>
      <c r="Y678" s="45" t="n">
        <v>0</v>
      </c>
      <c r="Z678" s="45" t="n">
        <v>0</v>
      </c>
      <c r="AA678" s="45" t="n">
        <v>0</v>
      </c>
      <c r="AB678" s="45" t="n">
        <v>0</v>
      </c>
      <c r="AC678" s="45" t="n">
        <v>0</v>
      </c>
      <c r="AD678" s="45" t="n">
        <v>2328.8</v>
      </c>
      <c r="AE678" s="45" t="n">
        <v>3881.33333333333</v>
      </c>
      <c r="AF678" s="45" t="n">
        <v>1552.53333333333</v>
      </c>
    </row>
    <row r="679" ht="15" customHeight="1" s="176">
      <c r="A679" s="42" t="inlineStr">
        <is>
          <t>P-0676</t>
        </is>
      </c>
      <c r="B679" s="42" t="inlineStr">
        <is>
          <t>2026/27</t>
        </is>
      </c>
      <c r="C679" s="42" t="inlineStr">
        <is>
          <t>Siberia</t>
        </is>
      </c>
      <c r="D679" s="43" t="inlineStr">
        <is>
          <t>Timpson 7,1</t>
        </is>
      </c>
      <c r="E679" s="42" t="inlineStr">
        <is>
          <t>Uvas</t>
        </is>
      </c>
      <c r="F679" s="42" t="inlineStr">
        <is>
          <t>Timpson</t>
        </is>
      </c>
      <c r="G679" s="42" t="inlineStr">
        <is>
          <t>Producción</t>
        </is>
      </c>
      <c r="H679" s="44" t="n">
        <v>7.1</v>
      </c>
      <c r="I679" s="44" t="n">
        <v>7.1</v>
      </c>
      <c r="J679" s="42" t="inlineStr">
        <is>
          <t>Ingreso</t>
        </is>
      </c>
      <c r="K679" s="43" t="inlineStr">
        <is>
          <t>5- Ingresos</t>
        </is>
      </c>
      <c r="L679" s="43" t="inlineStr">
        <is>
          <t>Venta EXP</t>
        </is>
      </c>
      <c r="M679" s="43" t="n"/>
      <c r="N679" s="42" t="inlineStr">
        <is>
          <t>venta</t>
        </is>
      </c>
      <c r="O679" s="42" t="inlineStr">
        <is>
          <t>kg</t>
        </is>
      </c>
      <c r="P679" s="45" t="n">
        <v>-1170</v>
      </c>
      <c r="Q679" s="46" t="n">
        <v>174660</v>
      </c>
      <c r="R679" s="45" t="n">
        <v>204352200</v>
      </c>
      <c r="S679" s="47" t="n">
        <v>-1.3</v>
      </c>
      <c r="T679" s="45" t="n">
        <v>-1170</v>
      </c>
      <c r="U679" s="45" t="n">
        <v>0</v>
      </c>
      <c r="V679" s="45" t="n">
        <v>0</v>
      </c>
      <c r="W679" s="45" t="n">
        <v>0</v>
      </c>
      <c r="X679" s="45" t="n">
        <v>0</v>
      </c>
      <c r="Y679" s="45" t="n">
        <v>0</v>
      </c>
      <c r="Z679" s="45" t="n">
        <v>0</v>
      </c>
      <c r="AA679" s="45" t="n">
        <v>0</v>
      </c>
      <c r="AB679" s="45" t="n">
        <v>0</v>
      </c>
      <c r="AC679" s="45" t="n">
        <v>0</v>
      </c>
      <c r="AD679" s="45" t="n">
        <v>113529</v>
      </c>
      <c r="AE679" s="45" t="n">
        <v>113529</v>
      </c>
      <c r="AF679" s="45" t="n">
        <v>0</v>
      </c>
    </row>
    <row r="680" ht="15" customHeight="1" s="176">
      <c r="A680" s="30" t="inlineStr">
        <is>
          <t>P-0677</t>
        </is>
      </c>
      <c r="B680" s="30" t="inlineStr">
        <is>
          <t>2026/27</t>
        </is>
      </c>
      <c r="C680" s="30" t="inlineStr">
        <is>
          <t>Siberia</t>
        </is>
      </c>
      <c r="D680" s="31" t="inlineStr">
        <is>
          <t>Timpson 7,1</t>
        </is>
      </c>
      <c r="E680" s="30" t="inlineStr">
        <is>
          <t>Uvas</t>
        </is>
      </c>
      <c r="F680" s="30" t="inlineStr">
        <is>
          <t>Timpson</t>
        </is>
      </c>
      <c r="G680" s="30" t="inlineStr">
        <is>
          <t>Producción</t>
        </is>
      </c>
      <c r="H680" s="32" t="n">
        <v>7.1</v>
      </c>
      <c r="I680" s="32" t="n">
        <v>7.1</v>
      </c>
      <c r="J680" s="30" t="inlineStr">
        <is>
          <t>Costo</t>
        </is>
      </c>
      <c r="K680" s="31" t="inlineStr">
        <is>
          <t>1- M.O. directa</t>
        </is>
      </c>
      <c r="L680" s="31" t="inlineStr">
        <is>
          <t>9,1- Riegos</t>
        </is>
      </c>
      <c r="M680" s="31" t="n"/>
      <c r="N680" s="30" t="inlineStr">
        <is>
          <t>día</t>
        </is>
      </c>
      <c r="O680" s="30" t="inlineStr">
        <is>
          <t>JH</t>
        </is>
      </c>
      <c r="P680" s="33" t="n">
        <v>44500</v>
      </c>
      <c r="Q680" s="34" t="n">
        <v>22</v>
      </c>
      <c r="R680" s="33" t="n">
        <v>3426500</v>
      </c>
      <c r="S680" s="35" t="n">
        <v>0.021797905772485</v>
      </c>
      <c r="T680" s="33" t="n">
        <v>19.6181151952365</v>
      </c>
      <c r="U680" s="33" t="n">
        <v>0</v>
      </c>
      <c r="V680" s="33" t="n">
        <v>0</v>
      </c>
      <c r="W680" s="33" t="n">
        <v>0</v>
      </c>
      <c r="X680" s="33" t="n">
        <v>0</v>
      </c>
      <c r="Y680" s="33" t="n">
        <v>0</v>
      </c>
      <c r="Z680" s="33" t="n">
        <v>543.888888888889</v>
      </c>
      <c r="AA680" s="33" t="n">
        <v>543.888888888889</v>
      </c>
      <c r="AB680" s="33" t="n">
        <v>543.888888888889</v>
      </c>
      <c r="AC680" s="33" t="n">
        <v>543.888888888889</v>
      </c>
      <c r="AD680" s="33" t="n">
        <v>543.888888888889</v>
      </c>
      <c r="AE680" s="33" t="n">
        <v>543.888888888889</v>
      </c>
      <c r="AF680" s="33" t="n">
        <v>543.888888888889</v>
      </c>
    </row>
    <row r="681" ht="15" customHeight="1" s="176">
      <c r="A681" s="36" t="inlineStr">
        <is>
          <t>P-0678</t>
        </is>
      </c>
      <c r="B681" s="36" t="inlineStr">
        <is>
          <t>2026/27</t>
        </is>
      </c>
      <c r="C681" s="36" t="inlineStr">
        <is>
          <t>Siberia</t>
        </is>
      </c>
      <c r="D681" s="37" t="inlineStr">
        <is>
          <t>Timpson 7,1</t>
        </is>
      </c>
      <c r="E681" s="36" t="inlineStr">
        <is>
          <t>Uvas</t>
        </is>
      </c>
      <c r="F681" s="36" t="inlineStr">
        <is>
          <t>Timpson</t>
        </is>
      </c>
      <c r="G681" s="36" t="inlineStr">
        <is>
          <t>Producción</t>
        </is>
      </c>
      <c r="H681" s="38" t="n">
        <v>7.1</v>
      </c>
      <c r="I681" s="38" t="n">
        <v>7.1</v>
      </c>
      <c r="J681" s="36" t="inlineStr">
        <is>
          <t>Costo</t>
        </is>
      </c>
      <c r="K681" s="37" t="inlineStr">
        <is>
          <t>1- M.O. directa</t>
        </is>
      </c>
      <c r="L681" s="37" t="inlineStr">
        <is>
          <t>1,2 - Packing</t>
        </is>
      </c>
      <c r="M681" s="37" t="inlineStr">
        <is>
          <t>packing</t>
        </is>
      </c>
      <c r="N681" s="36" t="inlineStr">
        <is>
          <t>Trato</t>
        </is>
      </c>
      <c r="O681" s="36" t="inlineStr">
        <is>
          <t>cjs</t>
        </is>
      </c>
      <c r="P681" s="39" t="n">
        <v>1080</v>
      </c>
      <c r="Q681" s="40" t="n">
        <v>21832.5</v>
      </c>
      <c r="R681" s="39" t="n">
        <v>23579100</v>
      </c>
      <c r="S681" s="41" t="n">
        <v>0.15</v>
      </c>
      <c r="T681" s="39" t="n">
        <v>135</v>
      </c>
      <c r="U681" s="39" t="n">
        <v>0</v>
      </c>
      <c r="V681" s="39" t="n">
        <v>0</v>
      </c>
      <c r="W681" s="39" t="n">
        <v>0</v>
      </c>
      <c r="X681" s="39" t="n">
        <v>0</v>
      </c>
      <c r="Y681" s="39" t="n">
        <v>0</v>
      </c>
      <c r="Z681" s="39" t="n">
        <v>0</v>
      </c>
      <c r="AA681" s="39" t="n">
        <v>0</v>
      </c>
      <c r="AB681" s="39" t="n">
        <v>0</v>
      </c>
      <c r="AC681" s="39" t="n">
        <v>0</v>
      </c>
      <c r="AD681" s="39" t="n">
        <v>13099.5</v>
      </c>
      <c r="AE681" s="39" t="n">
        <v>13099.5</v>
      </c>
      <c r="AF681" s="39" t="n">
        <v>0</v>
      </c>
    </row>
    <row r="682" ht="20" customHeight="1" s="176">
      <c r="A682" s="197" t="inlineStr">
        <is>
          <t>TOTAL PRESUPUESTO</t>
        </is>
      </c>
      <c r="R682" s="54">
        <f>SUM(R4:R681)</f>
        <v/>
      </c>
      <c r="S682" s="55" t="n"/>
      <c r="T682" s="55" t="n"/>
      <c r="U682" s="54">
        <f>SUM(U4:U681)</f>
        <v/>
      </c>
      <c r="V682" s="54">
        <f>SUM(V4:V681)</f>
        <v/>
      </c>
      <c r="W682" s="54">
        <f>SUM(W4:W681)</f>
        <v/>
      </c>
      <c r="X682" s="54">
        <f>SUM(X4:X681)</f>
        <v/>
      </c>
      <c r="Y682" s="54">
        <f>SUM(Y4:Y681)</f>
        <v/>
      </c>
      <c r="Z682" s="54">
        <f>SUM(Z4:Z681)</f>
        <v/>
      </c>
      <c r="AA682" s="54">
        <f>SUM(AA4:AA681)</f>
        <v/>
      </c>
      <c r="AB682" s="54">
        <f>SUM(AB4:AB681)</f>
        <v/>
      </c>
      <c r="AC682" s="54">
        <f>SUM(AC4:AC681)</f>
        <v/>
      </c>
      <c r="AD682" s="54">
        <f>SUM(AD4:AD681)</f>
        <v/>
      </c>
      <c r="AE682" s="54">
        <f>SUM(AE4:AE681)</f>
        <v/>
      </c>
      <c r="AF682" s="54">
        <f>SUM(AF4:AF681)</f>
        <v/>
      </c>
    </row>
  </sheetData>
  <mergeCells count="2">
    <mergeCell ref="A1:AF1"/>
    <mergeCell ref="A682:Q68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3565"/>
  <sheetViews>
    <sheetView showGridLines="0" topLeftCell="N1" zoomScale="169" workbookViewId="0">
      <pane ySplit="3" topLeftCell="A1078" activePane="bottomLeft" state="frozen"/>
      <selection pane="bottomLeft" activeCell="A1" sqref="A1:V1"/>
    </sheetView>
  </sheetViews>
  <sheetFormatPr baseColWidth="10" defaultColWidth="8.83203125" defaultRowHeight="15"/>
  <cols>
    <col width="7" customWidth="1" style="176" min="1" max="1"/>
    <col width="9" customWidth="1" style="176" min="2" max="2"/>
    <col width="12" customWidth="1" style="176" min="3" max="4"/>
    <col width="10" customWidth="1" style="176" min="5" max="5"/>
    <col width="16" customWidth="1" style="176" min="6" max="6"/>
    <col width="24" customWidth="1" style="176" min="7" max="7"/>
    <col width="12" customWidth="1" style="176" min="8" max="8"/>
    <col width="14" customWidth="1" style="176" min="9" max="9"/>
    <col width="16" customWidth="1" style="176" min="10" max="10"/>
    <col width="20" customWidth="1" style="176" min="11" max="11"/>
    <col width="28" customWidth="1" style="176" min="12" max="12"/>
    <col width="20" customWidth="1" style="176" min="13" max="13"/>
    <col width="12" customWidth="1" style="176" min="14" max="14"/>
    <col width="9" customWidth="1" style="176" min="15" max="15"/>
    <col width="8" customWidth="1" style="176" min="16" max="16"/>
    <col width="13" customWidth="1" style="176" min="17" max="17"/>
    <col width="11" customWidth="1" style="176" min="18" max="18"/>
    <col width="13" customWidth="1" style="176" min="19" max="19"/>
    <col width="8" customWidth="1" style="176" min="20" max="20"/>
    <col width="14" customWidth="1" style="176" min="21" max="21"/>
    <col width="12" customWidth="1" style="176" min="22" max="22"/>
  </cols>
  <sheetData>
    <row r="1" ht="30" customHeight="1" s="176">
      <c r="A1" s="180" t="inlineStr">
        <is>
          <t>📒  BASE DE DATOS COSTOS REALES (LH) — AGRÍCOLA MEGA  •  Temporada 2026/27</t>
        </is>
      </c>
    </row>
    <row r="2" ht="8" customHeight="1" s="176"/>
    <row r="3" ht="25" customHeight="1" s="176">
      <c r="A3" s="172" t="inlineStr">
        <is>
          <t>ID</t>
        </is>
      </c>
      <c r="B3" s="172" t="inlineStr">
        <is>
          <t>Temporada</t>
        </is>
      </c>
      <c r="C3" s="172" t="inlineStr">
        <is>
          <t>Fecha</t>
        </is>
      </c>
      <c r="D3" s="172" t="inlineStr">
        <is>
          <t>N° Doc.</t>
        </is>
      </c>
      <c r="E3" s="172" t="inlineStr">
        <is>
          <t>Tipo Doc.</t>
        </is>
      </c>
      <c r="F3" s="172" t="inlineStr">
        <is>
          <t>Campo</t>
        </is>
      </c>
      <c r="G3" s="172" t="inlineStr">
        <is>
          <t>Centro de Costo</t>
        </is>
      </c>
      <c r="H3" s="172" t="inlineStr">
        <is>
          <t>Especie</t>
        </is>
      </c>
      <c r="I3" s="172" t="inlineStr">
        <is>
          <t>Variedad</t>
        </is>
      </c>
      <c r="J3" s="172" t="inlineStr">
        <is>
          <t>Tipo Gasto</t>
        </is>
      </c>
      <c r="K3" s="172" t="inlineStr">
        <is>
          <t>Labor</t>
        </is>
      </c>
      <c r="L3" s="172" t="inlineStr">
        <is>
          <t>Descripción</t>
        </is>
      </c>
      <c r="M3" s="172" t="inlineStr">
        <is>
          <t>Proveedor/Contratista</t>
        </is>
      </c>
      <c r="N3" s="172" t="inlineStr">
        <is>
          <t>RUT</t>
        </is>
      </c>
      <c r="O3" s="172" t="inlineStr">
        <is>
          <t>Mes</t>
        </is>
      </c>
      <c r="P3" s="172" t="inlineStr">
        <is>
          <t>Semana</t>
        </is>
      </c>
      <c r="Q3" s="172" t="inlineStr">
        <is>
          <t>Monto Neto $</t>
        </is>
      </c>
      <c r="R3" s="172" t="inlineStr">
        <is>
          <t>IVA $</t>
        </is>
      </c>
      <c r="S3" s="172" t="inlineStr">
        <is>
          <t>Monto Total $</t>
        </is>
      </c>
      <c r="T3" s="172" t="inlineStr">
        <is>
          <t>Moneda</t>
        </is>
      </c>
      <c r="U3" s="172" t="inlineStr">
        <is>
          <t>Cargado por</t>
        </is>
      </c>
      <c r="V3" s="172" t="inlineStr">
        <is>
          <t>Fecha Carga</t>
        </is>
      </c>
    </row>
    <row r="4" ht="14" customHeight="1" s="176">
      <c r="A4" s="158" t="inlineStr">
        <is>
          <t>CR-0001</t>
        </is>
      </c>
      <c r="B4" s="158" t="inlineStr">
        <is>
          <t>2026/27</t>
        </is>
      </c>
      <c r="C4" s="228" t="n">
        <v>46028</v>
      </c>
      <c r="D4" s="158" t="inlineStr">
        <is>
          <t>1000</t>
        </is>
      </c>
      <c r="E4" s="158" t="inlineStr">
        <is>
          <t>COMPRA</t>
        </is>
      </c>
      <c r="F4" s="160" t="inlineStr">
        <is>
          <t>Mega Catalina</t>
        </is>
      </c>
      <c r="G4" s="160" t="inlineStr">
        <is>
          <t>EUREKA - 1999 (22,5 Ha.)</t>
        </is>
      </c>
      <c r="H4" s="160" t="n"/>
      <c r="I4" s="160" t="n"/>
      <c r="J4" s="158" t="inlineStr">
        <is>
          <t>LABORES OPERACIONALES</t>
        </is>
      </c>
      <c r="K4" s="158" t="inlineStr">
        <is>
          <t>COSECHA</t>
        </is>
      </c>
      <c r="L4" s="158" t="inlineStr">
        <is>
          <t>SERV.CONTRATISTA</t>
        </is>
      </c>
      <c r="M4" s="158" t="n"/>
      <c r="N4" s="158" t="inlineStr">
        <is>
          <t>.   .   -</t>
        </is>
      </c>
      <c r="O4" s="229" t="inlineStr">
        <is>
          <t>ENERO</t>
        </is>
      </c>
      <c r="P4" s="158" t="n">
        <v>1</v>
      </c>
      <c r="Q4" s="162" t="n">
        <v>724000</v>
      </c>
      <c r="R4" s="163" t="n"/>
      <c r="S4" s="164" t="n">
        <v>724000</v>
      </c>
      <c r="T4" s="158" t="inlineStr">
        <is>
          <t>CLP</t>
        </is>
      </c>
      <c r="U4" s="158" t="inlineStr">
        <is>
          <t>Carga LH 18-06-26</t>
        </is>
      </c>
      <c r="V4" s="158" t="inlineStr">
        <is>
          <t>2026-06-18</t>
        </is>
      </c>
    </row>
    <row r="5" ht="14" customHeight="1" s="176">
      <c r="A5" s="165" t="inlineStr">
        <is>
          <t>CR-0002</t>
        </is>
      </c>
      <c r="B5" s="165" t="inlineStr">
        <is>
          <t>2026/27</t>
        </is>
      </c>
      <c r="C5" s="230" t="n">
        <v>46028</v>
      </c>
      <c r="D5" s="165" t="inlineStr">
        <is>
          <t>373</t>
        </is>
      </c>
      <c r="E5" s="165" t="inlineStr">
        <is>
          <t>COMPRA</t>
        </is>
      </c>
      <c r="F5" s="160" t="inlineStr">
        <is>
          <t>Mega Catalina</t>
        </is>
      </c>
      <c r="G5" s="160" t="inlineStr">
        <is>
          <t>EUREKA - 1999 (22,5 Ha.)</t>
        </is>
      </c>
      <c r="H5" s="160" t="n"/>
      <c r="I5" s="160" t="n"/>
      <c r="J5" s="165" t="inlineStr">
        <is>
          <t>LABORES OPERACIONALES</t>
        </is>
      </c>
      <c r="K5" s="165" t="inlineStr">
        <is>
          <t>COSECHA</t>
        </is>
      </c>
      <c r="L5" s="165" t="inlineStr">
        <is>
          <t>SERV.CONTRATISTA</t>
        </is>
      </c>
      <c r="M5" s="165" t="n"/>
      <c r="N5" s="165" t="inlineStr">
        <is>
          <t>.   .   -</t>
        </is>
      </c>
      <c r="O5" s="229" t="inlineStr">
        <is>
          <t>ENERO</t>
        </is>
      </c>
      <c r="P5" s="165" t="n">
        <v>1</v>
      </c>
      <c r="Q5" s="162" t="n">
        <v>1029600</v>
      </c>
      <c r="R5" s="167" t="n"/>
      <c r="S5" s="168" t="n">
        <v>1029600</v>
      </c>
      <c r="T5" s="165" t="inlineStr">
        <is>
          <t>CLP</t>
        </is>
      </c>
      <c r="U5" s="165" t="inlineStr">
        <is>
          <t>Carga LH 18-06-26</t>
        </is>
      </c>
      <c r="V5" s="165" t="inlineStr">
        <is>
          <t>2026-06-18</t>
        </is>
      </c>
    </row>
    <row r="6" ht="14" customHeight="1" s="176">
      <c r="A6" s="158" t="inlineStr">
        <is>
          <t>CR-0003</t>
        </is>
      </c>
      <c r="B6" s="158" t="inlineStr">
        <is>
          <t>2026/27</t>
        </is>
      </c>
      <c r="C6" s="228" t="n">
        <v>46028</v>
      </c>
      <c r="D6" s="158" t="inlineStr">
        <is>
          <t>618</t>
        </is>
      </c>
      <c r="E6" s="158" t="inlineStr">
        <is>
          <t>COMPRA</t>
        </is>
      </c>
      <c r="F6" s="160" t="inlineStr">
        <is>
          <t>Mega Catalina</t>
        </is>
      </c>
      <c r="G6" s="160" t="inlineStr">
        <is>
          <t>EUREKA - 1999 (22,5 Ha.)</t>
        </is>
      </c>
      <c r="H6" s="160" t="n"/>
      <c r="I6" s="160" t="n"/>
      <c r="J6" s="158" t="inlineStr">
        <is>
          <t>LABORES OPERACIONALES</t>
        </is>
      </c>
      <c r="K6" s="158" t="inlineStr">
        <is>
          <t>COSECHA</t>
        </is>
      </c>
      <c r="L6" s="158" t="inlineStr">
        <is>
          <t>SERV.CONTRATISTA</t>
        </is>
      </c>
      <c r="M6" s="158" t="n"/>
      <c r="N6" s="158" t="inlineStr">
        <is>
          <t>.   .   -</t>
        </is>
      </c>
      <c r="O6" s="229" t="inlineStr">
        <is>
          <t>ENERO</t>
        </is>
      </c>
      <c r="P6" s="158" t="n">
        <v>1</v>
      </c>
      <c r="Q6" s="162" t="n">
        <v>1672400</v>
      </c>
      <c r="R6" s="163" t="n"/>
      <c r="S6" s="164" t="n">
        <v>1672400</v>
      </c>
      <c r="T6" s="158" t="inlineStr">
        <is>
          <t>CLP</t>
        </is>
      </c>
      <c r="U6" s="158" t="inlineStr">
        <is>
          <t>Carga LH 18-06-26</t>
        </is>
      </c>
      <c r="V6" s="158" t="inlineStr">
        <is>
          <t>2026-06-18</t>
        </is>
      </c>
    </row>
    <row r="7" ht="14" customHeight="1" s="176">
      <c r="A7" s="165" t="inlineStr">
        <is>
          <t>CR-0004</t>
        </is>
      </c>
      <c r="B7" s="165" t="inlineStr">
        <is>
          <t>2026/27</t>
        </is>
      </c>
      <c r="C7" s="230" t="n">
        <v>46028</v>
      </c>
      <c r="D7" s="165" t="inlineStr">
        <is>
          <t>96</t>
        </is>
      </c>
      <c r="E7" s="165" t="inlineStr">
        <is>
          <t>COMPRA</t>
        </is>
      </c>
      <c r="F7" s="160" t="inlineStr">
        <is>
          <t>Mega Catalina</t>
        </is>
      </c>
      <c r="G7" s="160" t="inlineStr">
        <is>
          <t>EUREKA - 1999 (22,5 Ha.)</t>
        </is>
      </c>
      <c r="H7" s="160" t="n"/>
      <c r="I7" s="160" t="n"/>
      <c r="J7" s="165" t="inlineStr">
        <is>
          <t>LABORES OPERACIONALES</t>
        </is>
      </c>
      <c r="K7" s="165" t="inlineStr">
        <is>
          <t>COSECHA</t>
        </is>
      </c>
      <c r="L7" s="165" t="inlineStr">
        <is>
          <t>SERV.CONTRATISTA</t>
        </is>
      </c>
      <c r="M7" s="165" t="n"/>
      <c r="N7" s="165" t="inlineStr">
        <is>
          <t>.   .   -</t>
        </is>
      </c>
      <c r="O7" s="229" t="inlineStr">
        <is>
          <t>ENERO</t>
        </is>
      </c>
      <c r="P7" s="165" t="n">
        <v>1</v>
      </c>
      <c r="Q7" s="162" t="n">
        <v>2415920</v>
      </c>
      <c r="R7" s="167" t="n"/>
      <c r="S7" s="168" t="n">
        <v>2415920</v>
      </c>
      <c r="T7" s="165" t="inlineStr">
        <is>
          <t>CLP</t>
        </is>
      </c>
      <c r="U7" s="165" t="inlineStr">
        <is>
          <t>Carga LH 18-06-26</t>
        </is>
      </c>
      <c r="V7" s="165" t="inlineStr">
        <is>
          <t>2026-06-18</t>
        </is>
      </c>
    </row>
    <row r="8" ht="14" customHeight="1" s="176">
      <c r="A8" s="158" t="inlineStr">
        <is>
          <t>CR-0005</t>
        </is>
      </c>
      <c r="B8" s="158" t="inlineStr">
        <is>
          <t>2026/27</t>
        </is>
      </c>
      <c r="C8" s="228" t="n">
        <v>46028</v>
      </c>
      <c r="D8" s="158" t="inlineStr">
        <is>
          <t>352</t>
        </is>
      </c>
      <c r="E8" s="158" t="inlineStr">
        <is>
          <t>COMPRA</t>
        </is>
      </c>
      <c r="F8" s="160" t="inlineStr">
        <is>
          <t>El Molle</t>
        </is>
      </c>
      <c r="G8" s="160" t="inlineStr">
        <is>
          <t>ARRUFATINA - 2017 (5,74 Ha.)</t>
        </is>
      </c>
      <c r="H8" s="160" t="n"/>
      <c r="I8" s="160" t="n"/>
      <c r="J8" s="158" t="inlineStr">
        <is>
          <t>LABORES OPERACIONALES</t>
        </is>
      </c>
      <c r="K8" s="158" t="inlineStr">
        <is>
          <t>APLICACIONES</t>
        </is>
      </c>
      <c r="L8" s="158" t="inlineStr">
        <is>
          <t>SERV.CONTRATISTA</t>
        </is>
      </c>
      <c r="M8" s="158" t="n"/>
      <c r="N8" s="158" t="inlineStr">
        <is>
          <t>.   .   -</t>
        </is>
      </c>
      <c r="O8" s="229" t="inlineStr">
        <is>
          <t>ENERO</t>
        </is>
      </c>
      <c r="P8" s="158" t="n">
        <v>1</v>
      </c>
      <c r="Q8" s="162" t="n">
        <v>300000</v>
      </c>
      <c r="R8" s="163" t="n"/>
      <c r="S8" s="164" t="n">
        <v>300000</v>
      </c>
      <c r="T8" s="158" t="inlineStr">
        <is>
          <t>CLP</t>
        </is>
      </c>
      <c r="U8" s="158" t="inlineStr">
        <is>
          <t>Carga LH 18-06-26</t>
        </is>
      </c>
      <c r="V8" s="158" t="inlineStr">
        <is>
          <t>2026-06-18</t>
        </is>
      </c>
    </row>
    <row r="9" ht="14" customHeight="1" s="176">
      <c r="A9" s="165" t="inlineStr">
        <is>
          <t>CR-0006</t>
        </is>
      </c>
      <c r="B9" s="165" t="inlineStr">
        <is>
          <t>2026/27</t>
        </is>
      </c>
      <c r="C9" s="230" t="n">
        <v>46028</v>
      </c>
      <c r="D9" s="165" t="inlineStr">
        <is>
          <t>352</t>
        </is>
      </c>
      <c r="E9" s="165" t="inlineStr">
        <is>
          <t>COMPRA</t>
        </is>
      </c>
      <c r="F9" s="160" t="inlineStr">
        <is>
          <t>El Molle</t>
        </is>
      </c>
      <c r="G9" s="160" t="inlineStr">
        <is>
          <t>ORONULES - 2017 (2,85 Ha.)</t>
        </is>
      </c>
      <c r="H9" s="160" t="n"/>
      <c r="I9" s="160" t="n"/>
      <c r="J9" s="165" t="inlineStr">
        <is>
          <t>LABORES OPERACIONALES</t>
        </is>
      </c>
      <c r="K9" s="165" t="inlineStr">
        <is>
          <t>APLICACIONES</t>
        </is>
      </c>
      <c r="L9" s="165" t="inlineStr">
        <is>
          <t>SERV.CONTRATISTA</t>
        </is>
      </c>
      <c r="M9" s="165" t="n"/>
      <c r="N9" s="165" t="inlineStr">
        <is>
          <t>.   .   -</t>
        </is>
      </c>
      <c r="O9" s="229" t="inlineStr">
        <is>
          <t>ENERO</t>
        </is>
      </c>
      <c r="P9" s="165" t="n">
        <v>1</v>
      </c>
      <c r="Q9" s="162" t="n">
        <v>300000</v>
      </c>
      <c r="R9" s="167" t="n"/>
      <c r="S9" s="168" t="n">
        <v>300000</v>
      </c>
      <c r="T9" s="165" t="inlineStr">
        <is>
          <t>CLP</t>
        </is>
      </c>
      <c r="U9" s="165" t="inlineStr">
        <is>
          <t>Carga LH 18-06-26</t>
        </is>
      </c>
      <c r="V9" s="165" t="inlineStr">
        <is>
          <t>2026-06-18</t>
        </is>
      </c>
    </row>
    <row r="10" ht="14" customHeight="1" s="176">
      <c r="A10" s="158" t="inlineStr">
        <is>
          <t>CR-0007</t>
        </is>
      </c>
      <c r="B10" s="158" t="inlineStr">
        <is>
          <t>2026/27</t>
        </is>
      </c>
      <c r="C10" s="228" t="n">
        <v>46028</v>
      </c>
      <c r="D10" s="158" t="inlineStr">
        <is>
          <t>352</t>
        </is>
      </c>
      <c r="E10" s="158" t="inlineStr">
        <is>
          <t>COMPRA</t>
        </is>
      </c>
      <c r="F10" s="160" t="inlineStr">
        <is>
          <t>El Molle</t>
        </is>
      </c>
      <c r="G10" s="160" t="inlineStr">
        <is>
          <t>OROGRANDE - 2007 (8,11 Ha.)</t>
        </is>
      </c>
      <c r="H10" s="160" t="n"/>
      <c r="I10" s="160" t="n"/>
      <c r="J10" s="158" t="inlineStr">
        <is>
          <t>LABORES OPERACIONALES</t>
        </is>
      </c>
      <c r="K10" s="158" t="inlineStr">
        <is>
          <t>APLICACIONES</t>
        </is>
      </c>
      <c r="L10" s="158" t="inlineStr">
        <is>
          <t>SERV.CONTRATISTA</t>
        </is>
      </c>
      <c r="M10" s="158" t="n"/>
      <c r="N10" s="158" t="inlineStr">
        <is>
          <t>.   .   -</t>
        </is>
      </c>
      <c r="O10" s="229" t="inlineStr">
        <is>
          <t>ENERO</t>
        </is>
      </c>
      <c r="P10" s="158" t="n">
        <v>1</v>
      </c>
      <c r="Q10" s="162" t="n">
        <v>37500</v>
      </c>
      <c r="R10" s="163" t="n"/>
      <c r="S10" s="164" t="n">
        <v>37500</v>
      </c>
      <c r="T10" s="158" t="inlineStr">
        <is>
          <t>CLP</t>
        </is>
      </c>
      <c r="U10" s="158" t="inlineStr">
        <is>
          <t>Carga LH 18-06-26</t>
        </is>
      </c>
      <c r="V10" s="158" t="inlineStr">
        <is>
          <t>2026-06-18</t>
        </is>
      </c>
    </row>
    <row r="11" ht="14" customHeight="1" s="176">
      <c r="A11" s="165" t="inlineStr">
        <is>
          <t>CR-0008</t>
        </is>
      </c>
      <c r="B11" s="165" t="inlineStr">
        <is>
          <t>2026/27</t>
        </is>
      </c>
      <c r="C11" s="230" t="n">
        <v>46028</v>
      </c>
      <c r="D11" s="165" t="inlineStr">
        <is>
          <t>352</t>
        </is>
      </c>
      <c r="E11" s="165" t="inlineStr">
        <is>
          <t>COMPRA</t>
        </is>
      </c>
      <c r="F11" s="160" t="inlineStr">
        <is>
          <t>El Molle</t>
        </is>
      </c>
      <c r="G11" s="160" t="inlineStr">
        <is>
          <t>OROGRANDE - 2007 (8,11 Ha.)</t>
        </is>
      </c>
      <c r="H11" s="160" t="n"/>
      <c r="I11" s="160" t="n"/>
      <c r="J11" s="165" t="inlineStr">
        <is>
          <t>LABORES OPERACIONALES</t>
        </is>
      </c>
      <c r="K11" s="165" t="inlineStr">
        <is>
          <t>LABORES VARIAS</t>
        </is>
      </c>
      <c r="L11" s="165" t="inlineStr">
        <is>
          <t>SERV.CONTRATISTA</t>
        </is>
      </c>
      <c r="M11" s="165" t="n"/>
      <c r="N11" s="165" t="inlineStr">
        <is>
          <t>.   .   -</t>
        </is>
      </c>
      <c r="O11" s="229" t="inlineStr">
        <is>
          <t>ENERO</t>
        </is>
      </c>
      <c r="P11" s="165" t="n">
        <v>1</v>
      </c>
      <c r="Q11" s="162" t="n">
        <v>37500</v>
      </c>
      <c r="R11" s="167" t="n"/>
      <c r="S11" s="168" t="n">
        <v>37500</v>
      </c>
      <c r="T11" s="165" t="inlineStr">
        <is>
          <t>CLP</t>
        </is>
      </c>
      <c r="U11" s="165" t="inlineStr">
        <is>
          <t>Carga LH 18-06-26</t>
        </is>
      </c>
      <c r="V11" s="165" t="inlineStr">
        <is>
          <t>2026-06-18</t>
        </is>
      </c>
    </row>
    <row r="12" ht="14" customHeight="1" s="176">
      <c r="A12" s="158" t="inlineStr">
        <is>
          <t>CR-0009</t>
        </is>
      </c>
      <c r="B12" s="158" t="inlineStr">
        <is>
          <t>2026/27</t>
        </is>
      </c>
      <c r="C12" s="228" t="n">
        <v>46028</v>
      </c>
      <c r="D12" s="158" t="inlineStr">
        <is>
          <t>352</t>
        </is>
      </c>
      <c r="E12" s="158" t="inlineStr">
        <is>
          <t>COMPRA</t>
        </is>
      </c>
      <c r="F12" s="160" t="inlineStr">
        <is>
          <t>El Molle</t>
        </is>
      </c>
      <c r="G12" s="160" t="inlineStr">
        <is>
          <t>WONDERFUL - 2002 (2,80 Ha.)</t>
        </is>
      </c>
      <c r="H12" s="160" t="n"/>
      <c r="I12" s="160" t="n"/>
      <c r="J12" s="158" t="inlineStr">
        <is>
          <t>LABORES OPERACIONALES</t>
        </is>
      </c>
      <c r="K12" s="158" t="inlineStr">
        <is>
          <t>LABORES EN VERDE</t>
        </is>
      </c>
      <c r="L12" s="158" t="inlineStr">
        <is>
          <t>SERV.CONTRATISTA</t>
        </is>
      </c>
      <c r="M12" s="158" t="n"/>
      <c r="N12" s="158" t="inlineStr">
        <is>
          <t>.   .   -</t>
        </is>
      </c>
      <c r="O12" s="229" t="inlineStr">
        <is>
          <t>ENERO</t>
        </is>
      </c>
      <c r="P12" s="158" t="n">
        <v>1</v>
      </c>
      <c r="Q12" s="162" t="n">
        <v>2812500</v>
      </c>
      <c r="R12" s="163" t="n"/>
      <c r="S12" s="164" t="n">
        <v>2812500</v>
      </c>
      <c r="T12" s="158" t="inlineStr">
        <is>
          <t>CLP</t>
        </is>
      </c>
      <c r="U12" s="158" t="inlineStr">
        <is>
          <t>Carga LH 18-06-26</t>
        </is>
      </c>
      <c r="V12" s="158" t="inlineStr">
        <is>
          <t>2026-06-18</t>
        </is>
      </c>
    </row>
    <row r="13" ht="14" customHeight="1" s="176">
      <c r="A13" s="165" t="inlineStr">
        <is>
          <t>CR-0010</t>
        </is>
      </c>
      <c r="B13" s="165" t="inlineStr">
        <is>
          <t>2026/27</t>
        </is>
      </c>
      <c r="C13" s="230" t="n">
        <v>46028</v>
      </c>
      <c r="D13" s="165" t="inlineStr">
        <is>
          <t>352</t>
        </is>
      </c>
      <c r="E13" s="165" t="inlineStr">
        <is>
          <t>COMPRA</t>
        </is>
      </c>
      <c r="F13" s="160" t="inlineStr">
        <is>
          <t>El Molle</t>
        </is>
      </c>
      <c r="G13" s="160" t="inlineStr">
        <is>
          <t>WONDERFUL - 2002 (2,80 Ha.)</t>
        </is>
      </c>
      <c r="H13" s="160" t="n"/>
      <c r="I13" s="160" t="n"/>
      <c r="J13" s="165" t="inlineStr">
        <is>
          <t>LABORES OPERACIONALES</t>
        </is>
      </c>
      <c r="K13" s="165" t="inlineStr">
        <is>
          <t>APLICACIONES</t>
        </is>
      </c>
      <c r="L13" s="165" t="inlineStr">
        <is>
          <t>SERV.CONTRATISTA</t>
        </is>
      </c>
      <c r="M13" s="165" t="n"/>
      <c r="N13" s="165" t="inlineStr">
        <is>
          <t>.   .   -</t>
        </is>
      </c>
      <c r="O13" s="229" t="inlineStr">
        <is>
          <t>ENERO</t>
        </is>
      </c>
      <c r="P13" s="165" t="n">
        <v>1</v>
      </c>
      <c r="Q13" s="162" t="n">
        <v>150000</v>
      </c>
      <c r="R13" s="167" t="n"/>
      <c r="S13" s="168" t="n">
        <v>150000</v>
      </c>
      <c r="T13" s="165" t="inlineStr">
        <is>
          <t>CLP</t>
        </is>
      </c>
      <c r="U13" s="165" t="inlineStr">
        <is>
          <t>Carga LH 18-06-26</t>
        </is>
      </c>
      <c r="V13" s="165" t="inlineStr">
        <is>
          <t>2026-06-18</t>
        </is>
      </c>
    </row>
    <row r="14" ht="14" customHeight="1" s="176">
      <c r="A14" s="158" t="inlineStr">
        <is>
          <t>CR-0011</t>
        </is>
      </c>
      <c r="B14" s="158" t="inlineStr">
        <is>
          <t>2026/27</t>
        </is>
      </c>
      <c r="C14" s="228" t="n">
        <v>46028</v>
      </c>
      <c r="D14" s="158" t="inlineStr">
        <is>
          <t>352</t>
        </is>
      </c>
      <c r="E14" s="158" t="inlineStr">
        <is>
          <t>COMPRA</t>
        </is>
      </c>
      <c r="F14" s="160" t="inlineStr">
        <is>
          <t>El Molle</t>
        </is>
      </c>
      <c r="G14" s="160" t="inlineStr">
        <is>
          <t>WONDERFUL - 2007 (2,44 Ha.)</t>
        </is>
      </c>
      <c r="H14" s="160" t="n"/>
      <c r="I14" s="160" t="n"/>
      <c r="J14" s="158" t="inlineStr">
        <is>
          <t>LABORES OPERACIONALES</t>
        </is>
      </c>
      <c r="K14" s="158" t="inlineStr">
        <is>
          <t>LABORES EN VERDE</t>
        </is>
      </c>
      <c r="L14" s="158" t="inlineStr">
        <is>
          <t>SERV.CONTRATISTA</t>
        </is>
      </c>
      <c r="M14" s="158" t="n"/>
      <c r="N14" s="158" t="inlineStr">
        <is>
          <t>.   .   -</t>
        </is>
      </c>
      <c r="O14" s="229" t="inlineStr">
        <is>
          <t>ENERO</t>
        </is>
      </c>
      <c r="P14" s="158" t="n">
        <v>1</v>
      </c>
      <c r="Q14" s="162" t="n">
        <v>862500</v>
      </c>
      <c r="R14" s="163" t="n"/>
      <c r="S14" s="164" t="n">
        <v>862500</v>
      </c>
      <c r="T14" s="158" t="inlineStr">
        <is>
          <t>CLP</t>
        </is>
      </c>
      <c r="U14" s="158" t="inlineStr">
        <is>
          <t>Carga LH 18-06-26</t>
        </is>
      </c>
      <c r="V14" s="158" t="inlineStr">
        <is>
          <t>2026-06-18</t>
        </is>
      </c>
    </row>
    <row r="15" ht="14" customHeight="1" s="176">
      <c r="A15" s="165" t="inlineStr">
        <is>
          <t>CR-0012</t>
        </is>
      </c>
      <c r="B15" s="165" t="inlineStr">
        <is>
          <t>2026/27</t>
        </is>
      </c>
      <c r="C15" s="230" t="n">
        <v>46028</v>
      </c>
      <c r="D15" s="165" t="inlineStr">
        <is>
          <t>352</t>
        </is>
      </c>
      <c r="E15" s="165" t="inlineStr">
        <is>
          <t>COMPRA</t>
        </is>
      </c>
      <c r="F15" s="160" t="inlineStr">
        <is>
          <t>El Molle</t>
        </is>
      </c>
      <c r="G15" s="160" t="inlineStr">
        <is>
          <t>WONDERFUL - 2007 (2,44 Ha.)</t>
        </is>
      </c>
      <c r="H15" s="160" t="n"/>
      <c r="I15" s="160" t="n"/>
      <c r="J15" s="165" t="inlineStr">
        <is>
          <t>LABORES OPERACIONALES</t>
        </is>
      </c>
      <c r="K15" s="165" t="inlineStr">
        <is>
          <t>APLICACIONES</t>
        </is>
      </c>
      <c r="L15" s="165" t="inlineStr">
        <is>
          <t>SERV.CONTRATISTA</t>
        </is>
      </c>
      <c r="M15" s="165" t="n"/>
      <c r="N15" s="165" t="inlineStr">
        <is>
          <t>.   .   -</t>
        </is>
      </c>
      <c r="O15" s="229" t="inlineStr">
        <is>
          <t>ENERO</t>
        </is>
      </c>
      <c r="P15" s="165" t="n">
        <v>1</v>
      </c>
      <c r="Q15" s="162" t="n">
        <v>112500</v>
      </c>
      <c r="R15" s="167" t="n"/>
      <c r="S15" s="168" t="n">
        <v>112500</v>
      </c>
      <c r="T15" s="165" t="inlineStr">
        <is>
          <t>CLP</t>
        </is>
      </c>
      <c r="U15" s="165" t="inlineStr">
        <is>
          <t>Carga LH 18-06-26</t>
        </is>
      </c>
      <c r="V15" s="165" t="inlineStr">
        <is>
          <t>2026-06-18</t>
        </is>
      </c>
    </row>
    <row r="16" ht="14" customHeight="1" s="176">
      <c r="A16" s="158" t="inlineStr">
        <is>
          <t>CR-0013</t>
        </is>
      </c>
      <c r="B16" s="158" t="inlineStr">
        <is>
          <t>2026/27</t>
        </is>
      </c>
      <c r="C16" s="228" t="n">
        <v>46028</v>
      </c>
      <c r="D16" s="158" t="inlineStr">
        <is>
          <t>153</t>
        </is>
      </c>
      <c r="E16" s="158" t="inlineStr">
        <is>
          <t>COMPRA</t>
        </is>
      </c>
      <c r="F16" s="160" t="inlineStr">
        <is>
          <t>Mega Catalina</t>
        </is>
      </c>
      <c r="G16" s="160" t="inlineStr">
        <is>
          <t>MURCOTT - 2007 (21 Ha.)</t>
        </is>
      </c>
      <c r="H16" s="160" t="n"/>
      <c r="I16" s="160" t="n"/>
      <c r="J16" s="158" t="inlineStr">
        <is>
          <t>LABORES OPERACIONALES</t>
        </is>
      </c>
      <c r="K16" s="158" t="inlineStr">
        <is>
          <t>GUANTEO</t>
        </is>
      </c>
      <c r="L16" s="158" t="inlineStr">
        <is>
          <t>SERV.CONTRATISTA</t>
        </is>
      </c>
      <c r="M16" s="158" t="n"/>
      <c r="N16" s="158" t="inlineStr">
        <is>
          <t>.   .   -</t>
        </is>
      </c>
      <c r="O16" s="229" t="inlineStr">
        <is>
          <t>ENERO</t>
        </is>
      </c>
      <c r="P16" s="158" t="n">
        <v>1</v>
      </c>
      <c r="Q16" s="162" t="n">
        <v>770200</v>
      </c>
      <c r="R16" s="163" t="n"/>
      <c r="S16" s="164" t="n">
        <v>770200</v>
      </c>
      <c r="T16" s="158" t="inlineStr">
        <is>
          <t>CLP</t>
        </is>
      </c>
      <c r="U16" s="158" t="inlineStr">
        <is>
          <t>Carga LH 18-06-26</t>
        </is>
      </c>
      <c r="V16" s="158" t="inlineStr">
        <is>
          <t>2026-06-18</t>
        </is>
      </c>
    </row>
    <row r="17" ht="14" customHeight="1" s="176">
      <c r="A17" s="165" t="inlineStr">
        <is>
          <t>CR-0014</t>
        </is>
      </c>
      <c r="B17" s="165" t="inlineStr">
        <is>
          <t>2026/27</t>
        </is>
      </c>
      <c r="C17" s="230" t="n">
        <v>46034</v>
      </c>
      <c r="D17" s="165" t="inlineStr"/>
      <c r="E17" s="165" t="inlineStr">
        <is>
          <t>COMPRA</t>
        </is>
      </c>
      <c r="F17" s="160" t="inlineStr">
        <is>
          <t>El Molle</t>
        </is>
      </c>
      <c r="G17" s="160" t="inlineStr">
        <is>
          <t>ARRUFATINA - 2017 (5,74 Ha.)</t>
        </is>
      </c>
      <c r="H17" s="160" t="n"/>
      <c r="I17" s="160" t="n"/>
      <c r="J17" s="165" t="inlineStr">
        <is>
          <t>ENERGIA Y AGUA</t>
        </is>
      </c>
      <c r="K17" s="165" t="inlineStr">
        <is>
          <t>SUMIN. ELECTRICO</t>
        </is>
      </c>
      <c r="L17" s="165" t="inlineStr">
        <is>
          <t>CONSUMO ELECTRICIDA</t>
        </is>
      </c>
      <c r="M17" s="165" t="n"/>
      <c r="N17" s="165" t="inlineStr">
        <is>
          <t>.   .   -</t>
        </is>
      </c>
      <c r="O17" s="229" t="inlineStr">
        <is>
          <t>ENERO</t>
        </is>
      </c>
      <c r="P17" s="165" t="n">
        <v>2</v>
      </c>
      <c r="Q17" s="162" t="n">
        <v>1285483</v>
      </c>
      <c r="R17" s="167" t="n"/>
      <c r="S17" s="168" t="n">
        <v>1285483</v>
      </c>
      <c r="T17" s="165" t="inlineStr">
        <is>
          <t>CLP</t>
        </is>
      </c>
      <c r="U17" s="165" t="inlineStr">
        <is>
          <t>Carga LH 18-06-26</t>
        </is>
      </c>
      <c r="V17" s="165" t="inlineStr">
        <is>
          <t>2026-06-18</t>
        </is>
      </c>
    </row>
    <row r="18" ht="14" customHeight="1" s="176">
      <c r="A18" s="158" t="inlineStr">
        <is>
          <t>CR-0015</t>
        </is>
      </c>
      <c r="B18" s="158" t="inlineStr">
        <is>
          <t>2026/27</t>
        </is>
      </c>
      <c r="C18" s="228" t="n">
        <v>46034</v>
      </c>
      <c r="D18" s="158" t="inlineStr"/>
      <c r="E18" s="158" t="inlineStr">
        <is>
          <t>COMPRA</t>
        </is>
      </c>
      <c r="F18" s="160" t="inlineStr">
        <is>
          <t>El Molle</t>
        </is>
      </c>
      <c r="G18" s="160" t="inlineStr">
        <is>
          <t>ORONULES - 2017 (2,85 Ha.)</t>
        </is>
      </c>
      <c r="H18" s="160" t="n"/>
      <c r="I18" s="160" t="n"/>
      <c r="J18" s="158" t="inlineStr">
        <is>
          <t>ENERGIA Y AGUA</t>
        </is>
      </c>
      <c r="K18" s="158" t="inlineStr">
        <is>
          <t>SUMIN. ELECTRICO</t>
        </is>
      </c>
      <c r="L18" s="158" t="inlineStr">
        <is>
          <t>CONSUMO ELECTRICIDA</t>
        </is>
      </c>
      <c r="M18" s="158" t="n"/>
      <c r="N18" s="158" t="inlineStr">
        <is>
          <t>.   .   -</t>
        </is>
      </c>
      <c r="O18" s="229" t="inlineStr">
        <is>
          <t>ENERO</t>
        </is>
      </c>
      <c r="P18" s="158" t="n">
        <v>2</v>
      </c>
      <c r="Q18" s="162" t="n">
        <v>638262</v>
      </c>
      <c r="R18" s="163" t="n"/>
      <c r="S18" s="164" t="n">
        <v>638262</v>
      </c>
      <c r="T18" s="158" t="inlineStr">
        <is>
          <t>CLP</t>
        </is>
      </c>
      <c r="U18" s="158" t="inlineStr">
        <is>
          <t>Carga LH 18-06-26</t>
        </is>
      </c>
      <c r="V18" s="158" t="inlineStr">
        <is>
          <t>2026-06-18</t>
        </is>
      </c>
    </row>
    <row r="19" ht="14" customHeight="1" s="176">
      <c r="A19" s="165" t="inlineStr">
        <is>
          <t>CR-0016</t>
        </is>
      </c>
      <c r="B19" s="165" t="inlineStr">
        <is>
          <t>2026/27</t>
        </is>
      </c>
      <c r="C19" s="230" t="n">
        <v>46034</v>
      </c>
      <c r="D19" s="165" t="inlineStr"/>
      <c r="E19" s="165" t="inlineStr">
        <is>
          <t>COMPRA</t>
        </is>
      </c>
      <c r="F19" s="160" t="inlineStr">
        <is>
          <t>Mega Catalina</t>
        </is>
      </c>
      <c r="G19" s="160" t="inlineStr">
        <is>
          <t>ORONULES - 2019 (2,5 Ha.)</t>
        </is>
      </c>
      <c r="H19" s="160" t="n"/>
      <c r="I19" s="160" t="n"/>
      <c r="J19" s="165" t="inlineStr">
        <is>
          <t>ENERGIA Y AGUA</t>
        </is>
      </c>
      <c r="K19" s="165" t="inlineStr">
        <is>
          <t>SUMIN. ELECTRICO</t>
        </is>
      </c>
      <c r="L19" s="165" t="inlineStr">
        <is>
          <t>CONSUMO ELECTRICIDA</t>
        </is>
      </c>
      <c r="M19" s="165" t="n"/>
      <c r="N19" s="165" t="inlineStr">
        <is>
          <t>.   .   -</t>
        </is>
      </c>
      <c r="O19" s="229" t="inlineStr">
        <is>
          <t>ENERO</t>
        </is>
      </c>
      <c r="P19" s="165" t="n">
        <v>2</v>
      </c>
      <c r="Q19" s="162" t="n">
        <v>559879</v>
      </c>
      <c r="R19" s="167" t="n"/>
      <c r="S19" s="168" t="n">
        <v>559879</v>
      </c>
      <c r="T19" s="165" t="inlineStr">
        <is>
          <t>CLP</t>
        </is>
      </c>
      <c r="U19" s="165" t="inlineStr">
        <is>
          <t>Carga LH 18-06-26</t>
        </is>
      </c>
      <c r="V19" s="165" t="inlineStr">
        <is>
          <t>2026-06-18</t>
        </is>
      </c>
    </row>
    <row r="20" ht="14" customHeight="1" s="176">
      <c r="A20" s="158" t="inlineStr">
        <is>
          <t>CR-0017</t>
        </is>
      </c>
      <c r="B20" s="158" t="inlineStr">
        <is>
          <t>2026/27</t>
        </is>
      </c>
      <c r="C20" s="228" t="n">
        <v>46034</v>
      </c>
      <c r="D20" s="158" t="inlineStr"/>
      <c r="E20" s="158" t="inlineStr">
        <is>
          <t>COMPRA</t>
        </is>
      </c>
      <c r="F20" s="160" t="inlineStr">
        <is>
          <t>El Molle</t>
        </is>
      </c>
      <c r="G20" s="160" t="inlineStr">
        <is>
          <t>OROGRANDE - 2007 (8,11 Ha.)</t>
        </is>
      </c>
      <c r="H20" s="160" t="n"/>
      <c r="I20" s="160" t="n"/>
      <c r="J20" s="158" t="inlineStr">
        <is>
          <t>ENERGIA Y AGUA</t>
        </is>
      </c>
      <c r="K20" s="158" t="inlineStr">
        <is>
          <t>SUMIN. ELECTRICO</t>
        </is>
      </c>
      <c r="L20" s="158" t="inlineStr">
        <is>
          <t>CONSUMO ELECTRICIDA</t>
        </is>
      </c>
      <c r="M20" s="158" t="n"/>
      <c r="N20" s="158" t="inlineStr">
        <is>
          <t>.   .   -</t>
        </is>
      </c>
      <c r="O20" s="229" t="inlineStr">
        <is>
          <t>ENERO</t>
        </is>
      </c>
      <c r="P20" s="158" t="n">
        <v>2</v>
      </c>
      <c r="Q20" s="162" t="n">
        <v>1816247</v>
      </c>
      <c r="R20" s="163" t="n"/>
      <c r="S20" s="164" t="n">
        <v>1816247</v>
      </c>
      <c r="T20" s="158" t="inlineStr">
        <is>
          <t>CLP</t>
        </is>
      </c>
      <c r="U20" s="158" t="inlineStr">
        <is>
          <t>Carga LH 18-06-26</t>
        </is>
      </c>
      <c r="V20" s="158" t="inlineStr">
        <is>
          <t>2026-06-18</t>
        </is>
      </c>
    </row>
    <row r="21" ht="14" customHeight="1" s="176">
      <c r="A21" s="165" t="inlineStr">
        <is>
          <t>CR-0018</t>
        </is>
      </c>
      <c r="B21" s="165" t="inlineStr">
        <is>
          <t>2026/27</t>
        </is>
      </c>
      <c r="C21" s="230" t="n">
        <v>46034</v>
      </c>
      <c r="D21" s="165" t="inlineStr"/>
      <c r="E21" s="165" t="inlineStr">
        <is>
          <t>COMPRA</t>
        </is>
      </c>
      <c r="F21" s="160" t="inlineStr">
        <is>
          <t>El Molle</t>
        </is>
      </c>
      <c r="G21" s="160" t="inlineStr">
        <is>
          <t>WONDERFUL - 2002 (2,80 Ha.)</t>
        </is>
      </c>
      <c r="H21" s="160" t="n"/>
      <c r="I21" s="160" t="n"/>
      <c r="J21" s="165" t="inlineStr">
        <is>
          <t>ENERGIA Y AGUA</t>
        </is>
      </c>
      <c r="K21" s="165" t="inlineStr">
        <is>
          <t>SUMIN. ELECTRICO</t>
        </is>
      </c>
      <c r="L21" s="165" t="inlineStr">
        <is>
          <t>CONSUMO ELECTRICIDA</t>
        </is>
      </c>
      <c r="M21" s="165" t="n"/>
      <c r="N21" s="165" t="inlineStr">
        <is>
          <t>.   .   -</t>
        </is>
      </c>
      <c r="O21" s="229" t="inlineStr">
        <is>
          <t>ENERO</t>
        </is>
      </c>
      <c r="P21" s="165" t="n">
        <v>2</v>
      </c>
      <c r="Q21" s="162" t="n">
        <v>627064</v>
      </c>
      <c r="R21" s="167" t="n"/>
      <c r="S21" s="168" t="n">
        <v>627064</v>
      </c>
      <c r="T21" s="165" t="inlineStr">
        <is>
          <t>CLP</t>
        </is>
      </c>
      <c r="U21" s="165" t="inlineStr">
        <is>
          <t>Carga LH 18-06-26</t>
        </is>
      </c>
      <c r="V21" s="165" t="inlineStr">
        <is>
          <t>2026-06-18</t>
        </is>
      </c>
    </row>
    <row r="22" ht="14" customHeight="1" s="176">
      <c r="A22" s="158" t="inlineStr">
        <is>
          <t>CR-0019</t>
        </is>
      </c>
      <c r="B22" s="158" t="inlineStr">
        <is>
          <t>2026/27</t>
        </is>
      </c>
      <c r="C22" s="228" t="n">
        <v>46034</v>
      </c>
      <c r="D22" s="158" t="inlineStr"/>
      <c r="E22" s="158" t="inlineStr">
        <is>
          <t>COMPRA</t>
        </is>
      </c>
      <c r="F22" s="160" t="inlineStr">
        <is>
          <t>El Molle</t>
        </is>
      </c>
      <c r="G22" s="160" t="inlineStr">
        <is>
          <t>WONDERFUL - 2007 (2,44 Ha.)</t>
        </is>
      </c>
      <c r="H22" s="160" t="n"/>
      <c r="I22" s="160" t="n"/>
      <c r="J22" s="158" t="inlineStr">
        <is>
          <t>ENERGIA Y AGUA</t>
        </is>
      </c>
      <c r="K22" s="158" t="inlineStr">
        <is>
          <t>SUMIN. ELECTRICO</t>
        </is>
      </c>
      <c r="L22" s="158" t="inlineStr">
        <is>
          <t>CONSUMO ELECTRICIDA</t>
        </is>
      </c>
      <c r="M22" s="158" t="n"/>
      <c r="N22" s="158" t="inlineStr">
        <is>
          <t>.   .   -</t>
        </is>
      </c>
      <c r="O22" s="229" t="inlineStr">
        <is>
          <t>ENERO</t>
        </is>
      </c>
      <c r="P22" s="158" t="n">
        <v>2</v>
      </c>
      <c r="Q22" s="162" t="n">
        <v>546442</v>
      </c>
      <c r="R22" s="163" t="n"/>
      <c r="S22" s="164" t="n">
        <v>546442</v>
      </c>
      <c r="T22" s="158" t="inlineStr">
        <is>
          <t>CLP</t>
        </is>
      </c>
      <c r="U22" s="158" t="inlineStr">
        <is>
          <t>Carga LH 18-06-26</t>
        </is>
      </c>
      <c r="V22" s="158" t="inlineStr">
        <is>
          <t>2026-06-18</t>
        </is>
      </c>
    </row>
    <row r="23" ht="14" customHeight="1" s="176">
      <c r="A23" s="165" t="inlineStr">
        <is>
          <t>CR-0020</t>
        </is>
      </c>
      <c r="B23" s="165" t="inlineStr">
        <is>
          <t>2026/27</t>
        </is>
      </c>
      <c r="C23" s="230" t="n">
        <v>46034</v>
      </c>
      <c r="D23" s="165" t="inlineStr">
        <is>
          <t>281</t>
        </is>
      </c>
      <c r="E23" s="165" t="inlineStr">
        <is>
          <t>COMPRA</t>
        </is>
      </c>
      <c r="F23" s="160" t="inlineStr">
        <is>
          <t>Mega Catalina</t>
        </is>
      </c>
      <c r="G23" s="160" t="inlineStr">
        <is>
          <t>EUREKA - 1999 (10,6 Ha.)</t>
        </is>
      </c>
      <c r="H23" s="160" t="n"/>
      <c r="I23" s="160" t="n"/>
      <c r="J23" s="165" t="inlineStr">
        <is>
          <t>MANT. Y REP. EQUI. RIEGO</t>
        </is>
      </c>
      <c r="K23" s="165" t="inlineStr">
        <is>
          <t>SALAS DE RIEGO</t>
        </is>
      </c>
      <c r="L23" s="165" t="inlineStr">
        <is>
          <t>O/001270 MANTENCION</t>
        </is>
      </c>
      <c r="M23" s="165" t="n"/>
      <c r="N23" s="165" t="inlineStr">
        <is>
          <t>.   .   -</t>
        </is>
      </c>
      <c r="O23" s="229" t="inlineStr">
        <is>
          <t>ENERO</t>
        </is>
      </c>
      <c r="P23" s="165" t="n">
        <v>2</v>
      </c>
      <c r="Q23" s="162" t="n">
        <v>1433013</v>
      </c>
      <c r="R23" s="167" t="n"/>
      <c r="S23" s="168" t="n">
        <v>1433013</v>
      </c>
      <c r="T23" s="165" t="inlineStr">
        <is>
          <t>CLP</t>
        </is>
      </c>
      <c r="U23" s="165" t="inlineStr">
        <is>
          <t>Carga LH 18-06-26</t>
        </is>
      </c>
      <c r="V23" s="165" t="inlineStr">
        <is>
          <t>2026-06-18</t>
        </is>
      </c>
    </row>
    <row r="24" ht="14" customHeight="1" s="176">
      <c r="A24" s="158" t="inlineStr">
        <is>
          <t>CR-0021</t>
        </is>
      </c>
      <c r="B24" s="158" t="inlineStr">
        <is>
          <t>2026/27</t>
        </is>
      </c>
      <c r="C24" s="228" t="n">
        <v>46034</v>
      </c>
      <c r="D24" s="158" t="inlineStr">
        <is>
          <t>281</t>
        </is>
      </c>
      <c r="E24" s="158" t="inlineStr">
        <is>
          <t>COMPRA</t>
        </is>
      </c>
      <c r="F24" s="160" t="inlineStr">
        <is>
          <t>Mega Catalina</t>
        </is>
      </c>
      <c r="G24" s="160" t="inlineStr">
        <is>
          <t>MURCOTT - 2007 (21 Ha.)</t>
        </is>
      </c>
      <c r="H24" s="160" t="n"/>
      <c r="I24" s="160" t="n"/>
      <c r="J24" s="158" t="inlineStr">
        <is>
          <t>MANT. Y REP. EQUI. RIEGO</t>
        </is>
      </c>
      <c r="K24" s="158" t="inlineStr">
        <is>
          <t>SALAS DE RIEGO</t>
        </is>
      </c>
      <c r="L24" s="158" t="inlineStr">
        <is>
          <t>O/001270 MANTENCION</t>
        </is>
      </c>
      <c r="M24" s="158" t="n"/>
      <c r="N24" s="158" t="inlineStr">
        <is>
          <t>.   .   -</t>
        </is>
      </c>
      <c r="O24" s="229" t="inlineStr">
        <is>
          <t>ENERO</t>
        </is>
      </c>
      <c r="P24" s="158" t="n">
        <v>2</v>
      </c>
      <c r="Q24" s="162" t="n">
        <v>2838987</v>
      </c>
      <c r="R24" s="163" t="n"/>
      <c r="S24" s="164" t="n">
        <v>2838987</v>
      </c>
      <c r="T24" s="158" t="inlineStr">
        <is>
          <t>CLP</t>
        </is>
      </c>
      <c r="U24" s="158" t="inlineStr">
        <is>
          <t>Carga LH 18-06-26</t>
        </is>
      </c>
      <c r="V24" s="158" t="inlineStr">
        <is>
          <t>2026-06-18</t>
        </is>
      </c>
    </row>
    <row r="25" ht="14" customHeight="1" s="176">
      <c r="A25" s="165" t="inlineStr">
        <is>
          <t>CR-0022</t>
        </is>
      </c>
      <c r="B25" s="165" t="inlineStr">
        <is>
          <t>2026/27</t>
        </is>
      </c>
      <c r="C25" s="230" t="n">
        <v>46034</v>
      </c>
      <c r="D25" s="165" t="inlineStr"/>
      <c r="E25" s="165" t="inlineStr">
        <is>
          <t>COMPRA</t>
        </is>
      </c>
      <c r="F25" s="160" t="inlineStr">
        <is>
          <t>Asmara</t>
        </is>
      </c>
      <c r="G25" s="160" t="inlineStr">
        <is>
          <t>MURCOTT - 2020 (19,8 Ha.)</t>
        </is>
      </c>
      <c r="H25" s="160" t="n"/>
      <c r="I25" s="160" t="n"/>
      <c r="J25" s="165" t="inlineStr">
        <is>
          <t>ENERGIA Y AGUA</t>
        </is>
      </c>
      <c r="K25" s="165" t="inlineStr">
        <is>
          <t>SUMIN. ELECTRICO</t>
        </is>
      </c>
      <c r="L25" s="165" t="inlineStr">
        <is>
          <t>CONSUMO ELECTRICO</t>
        </is>
      </c>
      <c r="M25" s="165" t="n"/>
      <c r="N25" s="165" t="inlineStr">
        <is>
          <t>.   .   -</t>
        </is>
      </c>
      <c r="O25" s="229" t="inlineStr">
        <is>
          <t>ENERO</t>
        </is>
      </c>
      <c r="P25" s="165" t="n">
        <v>2</v>
      </c>
      <c r="Q25" s="162" t="n">
        <v>1389406</v>
      </c>
      <c r="R25" s="167" t="n"/>
      <c r="S25" s="168" t="n">
        <v>1389406</v>
      </c>
      <c r="T25" s="165" t="inlineStr">
        <is>
          <t>CLP</t>
        </is>
      </c>
      <c r="U25" s="165" t="inlineStr">
        <is>
          <t>Carga LH 18-06-26</t>
        </is>
      </c>
      <c r="V25" s="165" t="inlineStr">
        <is>
          <t>2026-06-18</t>
        </is>
      </c>
    </row>
    <row r="26" ht="14" customHeight="1" s="176">
      <c r="A26" s="158" t="inlineStr">
        <is>
          <t>CR-0023</t>
        </is>
      </c>
      <c r="B26" s="158" t="inlineStr">
        <is>
          <t>2026/27</t>
        </is>
      </c>
      <c r="C26" s="228" t="n">
        <v>46034</v>
      </c>
      <c r="D26" s="158" t="inlineStr"/>
      <c r="E26" s="158" t="inlineStr">
        <is>
          <t>COMPRA</t>
        </is>
      </c>
      <c r="F26" s="160" t="inlineStr">
        <is>
          <t>Asmara</t>
        </is>
      </c>
      <c r="G26" s="160" t="inlineStr">
        <is>
          <t>MURCOTT - 2020 (4,9 Ha.)</t>
        </is>
      </c>
      <c r="H26" s="160" t="n"/>
      <c r="I26" s="160" t="n"/>
      <c r="J26" s="158" t="inlineStr">
        <is>
          <t>ENERGIA Y AGUA</t>
        </is>
      </c>
      <c r="K26" s="158" t="inlineStr">
        <is>
          <t>SUMIN. ELECTRICO</t>
        </is>
      </c>
      <c r="L26" s="158" t="inlineStr">
        <is>
          <t>CONSUMO ELECTRICO</t>
        </is>
      </c>
      <c r="M26" s="158" t="n"/>
      <c r="N26" s="158" t="inlineStr">
        <is>
          <t>.   .   -</t>
        </is>
      </c>
      <c r="O26" s="229" t="inlineStr">
        <is>
          <t>ENERO</t>
        </is>
      </c>
      <c r="P26" s="158" t="n">
        <v>2</v>
      </c>
      <c r="Q26" s="162" t="n">
        <v>343843</v>
      </c>
      <c r="R26" s="163" t="n"/>
      <c r="S26" s="164" t="n">
        <v>343843</v>
      </c>
      <c r="T26" s="158" t="inlineStr">
        <is>
          <t>CLP</t>
        </is>
      </c>
      <c r="U26" s="158" t="inlineStr">
        <is>
          <t>Carga LH 18-06-26</t>
        </is>
      </c>
      <c r="V26" s="158" t="inlineStr">
        <is>
          <t>2026-06-18</t>
        </is>
      </c>
    </row>
    <row r="27" ht="14" customHeight="1" s="176">
      <c r="A27" s="165" t="inlineStr">
        <is>
          <t>CR-0024</t>
        </is>
      </c>
      <c r="B27" s="165" t="inlineStr">
        <is>
          <t>2026/27</t>
        </is>
      </c>
      <c r="C27" s="230" t="n">
        <v>46034</v>
      </c>
      <c r="D27" s="165" t="inlineStr"/>
      <c r="E27" s="165" t="inlineStr">
        <is>
          <t>COMPRA</t>
        </is>
      </c>
      <c r="F27" s="160" t="inlineStr">
        <is>
          <t>Mega Catalina</t>
        </is>
      </c>
      <c r="G27" s="160" t="inlineStr">
        <is>
          <t>EUREKA - 1999 (10,6 Ha.)</t>
        </is>
      </c>
      <c r="H27" s="160" t="n"/>
      <c r="I27" s="160" t="n"/>
      <c r="J27" s="165" t="inlineStr">
        <is>
          <t>ENERGIA Y AGUA</t>
        </is>
      </c>
      <c r="K27" s="165" t="inlineStr">
        <is>
          <t>SUMIN. ELECTRICO</t>
        </is>
      </c>
      <c r="L27" s="165" t="inlineStr">
        <is>
          <t>CONSUMO ELECTRICIDA</t>
        </is>
      </c>
      <c r="M27" s="165" t="n"/>
      <c r="N27" s="165" t="inlineStr">
        <is>
          <t>.   .   -</t>
        </is>
      </c>
      <c r="O27" s="229" t="inlineStr">
        <is>
          <t>ENERO</t>
        </is>
      </c>
      <c r="P27" s="165" t="n">
        <v>2</v>
      </c>
      <c r="Q27" s="162" t="n">
        <v>362968</v>
      </c>
      <c r="R27" s="167" t="n"/>
      <c r="S27" s="168" t="n">
        <v>362968</v>
      </c>
      <c r="T27" s="165" t="inlineStr">
        <is>
          <t>CLP</t>
        </is>
      </c>
      <c r="U27" s="165" t="inlineStr">
        <is>
          <t>Carga LH 18-06-26</t>
        </is>
      </c>
      <c r="V27" s="165" t="inlineStr">
        <is>
          <t>2026-06-18</t>
        </is>
      </c>
    </row>
    <row r="28" ht="14" customHeight="1" s="176">
      <c r="A28" s="158" t="inlineStr">
        <is>
          <t>CR-0025</t>
        </is>
      </c>
      <c r="B28" s="158" t="inlineStr">
        <is>
          <t>2026/27</t>
        </is>
      </c>
      <c r="C28" s="228" t="n">
        <v>46034</v>
      </c>
      <c r="D28" s="158" t="inlineStr"/>
      <c r="E28" s="158" t="inlineStr">
        <is>
          <t>COMPRA</t>
        </is>
      </c>
      <c r="F28" s="160" t="inlineStr">
        <is>
          <t>Mega Catalina</t>
        </is>
      </c>
      <c r="G28" s="160" t="inlineStr">
        <is>
          <t>EUREKA - 1999 (22,5 Ha.)</t>
        </is>
      </c>
      <c r="H28" s="160" t="n"/>
      <c r="I28" s="160" t="n"/>
      <c r="J28" s="158" t="inlineStr">
        <is>
          <t>ENERGIA Y AGUA</t>
        </is>
      </c>
      <c r="K28" s="158" t="inlineStr">
        <is>
          <t>SUMIN. ELECTRICO</t>
        </is>
      </c>
      <c r="L28" s="158" t="inlineStr">
        <is>
          <t>CONSUMO ELECTRICIDA</t>
        </is>
      </c>
      <c r="M28" s="158" t="n"/>
      <c r="N28" s="158" t="inlineStr">
        <is>
          <t>.   .   -</t>
        </is>
      </c>
      <c r="O28" s="229" t="inlineStr">
        <is>
          <t>ENERO</t>
        </is>
      </c>
      <c r="P28" s="158" t="n">
        <v>2</v>
      </c>
      <c r="Q28" s="162" t="n">
        <v>316172</v>
      </c>
      <c r="R28" s="163" t="n"/>
      <c r="S28" s="164" t="n">
        <v>316172</v>
      </c>
      <c r="T28" s="158" t="inlineStr">
        <is>
          <t>CLP</t>
        </is>
      </c>
      <c r="U28" s="158" t="inlineStr">
        <is>
          <t>Carga LH 18-06-26</t>
        </is>
      </c>
      <c r="V28" s="158" t="inlineStr">
        <is>
          <t>2026-06-18</t>
        </is>
      </c>
    </row>
    <row r="29" ht="14" customHeight="1" s="176">
      <c r="A29" s="165" t="inlineStr">
        <is>
          <t>CR-0026</t>
        </is>
      </c>
      <c r="B29" s="165" t="inlineStr">
        <is>
          <t>2026/27</t>
        </is>
      </c>
      <c r="C29" s="230" t="n">
        <v>46034</v>
      </c>
      <c r="D29" s="165" t="inlineStr"/>
      <c r="E29" s="165" t="inlineStr">
        <is>
          <t>COMPRA</t>
        </is>
      </c>
      <c r="F29" s="160" t="inlineStr">
        <is>
          <t>Mega Catalina</t>
        </is>
      </c>
      <c r="G29" s="160" t="inlineStr">
        <is>
          <t>EUREKA - 1999 (10,6 Ha.)</t>
        </is>
      </c>
      <c r="H29" s="160" t="n"/>
      <c r="I29" s="160" t="n"/>
      <c r="J29" s="165" t="inlineStr">
        <is>
          <t>ENERGIA Y AGUA</t>
        </is>
      </c>
      <c r="K29" s="165" t="inlineStr">
        <is>
          <t>SUMIN. ELECTRICO</t>
        </is>
      </c>
      <c r="L29" s="165" t="inlineStr">
        <is>
          <t>CONSUMO ELECTRICIDA</t>
        </is>
      </c>
      <c r="M29" s="165" t="n"/>
      <c r="N29" s="165" t="inlineStr">
        <is>
          <t>.   .   -</t>
        </is>
      </c>
      <c r="O29" s="229" t="inlineStr">
        <is>
          <t>ENERO</t>
        </is>
      </c>
      <c r="P29" s="165" t="n">
        <v>2</v>
      </c>
      <c r="Q29" s="162" t="n">
        <v>143980</v>
      </c>
      <c r="R29" s="167" t="n"/>
      <c r="S29" s="168" t="n">
        <v>143980</v>
      </c>
      <c r="T29" s="165" t="inlineStr">
        <is>
          <t>CLP</t>
        </is>
      </c>
      <c r="U29" s="165" t="inlineStr">
        <is>
          <t>Carga LH 18-06-26</t>
        </is>
      </c>
      <c r="V29" s="165" t="inlineStr">
        <is>
          <t>2026-06-18</t>
        </is>
      </c>
    </row>
    <row r="30" ht="14" customHeight="1" s="176">
      <c r="A30" s="158" t="inlineStr">
        <is>
          <t>CR-0027</t>
        </is>
      </c>
      <c r="B30" s="158" t="inlineStr">
        <is>
          <t>2026/27</t>
        </is>
      </c>
      <c r="C30" s="228" t="n">
        <v>46034</v>
      </c>
      <c r="D30" s="158" t="inlineStr"/>
      <c r="E30" s="158" t="inlineStr">
        <is>
          <t>COMPRA</t>
        </is>
      </c>
      <c r="F30" s="160" t="inlineStr">
        <is>
          <t>Mega Catalina</t>
        </is>
      </c>
      <c r="G30" s="160" t="inlineStr">
        <is>
          <t>EUREKA - 2016 (14,4 Ha.)</t>
        </is>
      </c>
      <c r="H30" s="160" t="n"/>
      <c r="I30" s="160" t="n"/>
      <c r="J30" s="158" t="inlineStr">
        <is>
          <t>ENERGIA Y AGUA</t>
        </is>
      </c>
      <c r="K30" s="158" t="inlineStr">
        <is>
          <t>SUMIN. ELECTRICO</t>
        </is>
      </c>
      <c r="L30" s="158" t="inlineStr">
        <is>
          <t>CONSUMO ELECTRICIDA</t>
        </is>
      </c>
      <c r="M30" s="158" t="n"/>
      <c r="N30" s="158" t="inlineStr">
        <is>
          <t>.   .   -</t>
        </is>
      </c>
      <c r="O30" s="229" t="inlineStr">
        <is>
          <t>ENERO</t>
        </is>
      </c>
      <c r="P30" s="158" t="n">
        <v>2</v>
      </c>
      <c r="Q30" s="162" t="n">
        <v>140089</v>
      </c>
      <c r="R30" s="163" t="n"/>
      <c r="S30" s="164" t="n">
        <v>140089</v>
      </c>
      <c r="T30" s="158" t="inlineStr">
        <is>
          <t>CLP</t>
        </is>
      </c>
      <c r="U30" s="158" t="inlineStr">
        <is>
          <t>Carga LH 18-06-26</t>
        </is>
      </c>
      <c r="V30" s="158" t="inlineStr">
        <is>
          <t>2026-06-18</t>
        </is>
      </c>
    </row>
    <row r="31" ht="14" customHeight="1" s="176">
      <c r="A31" s="165" t="inlineStr">
        <is>
          <t>CR-0028</t>
        </is>
      </c>
      <c r="B31" s="165" t="inlineStr">
        <is>
          <t>2026/27</t>
        </is>
      </c>
      <c r="C31" s="230" t="n">
        <v>46034</v>
      </c>
      <c r="D31" s="165" t="inlineStr"/>
      <c r="E31" s="165" t="inlineStr">
        <is>
          <t>COMPRA</t>
        </is>
      </c>
      <c r="F31" s="160" t="inlineStr">
        <is>
          <t>Mega Catalina</t>
        </is>
      </c>
      <c r="G31" s="160" t="inlineStr">
        <is>
          <t>NARANJA CAMBRIA - 2009 (4,2 Ha.)</t>
        </is>
      </c>
      <c r="H31" s="160" t="n"/>
      <c r="I31" s="160" t="n"/>
      <c r="J31" s="165" t="inlineStr">
        <is>
          <t>ENERGIA Y AGUA</t>
        </is>
      </c>
      <c r="K31" s="165" t="inlineStr">
        <is>
          <t>SUMIN. ELECTRICO</t>
        </is>
      </c>
      <c r="L31" s="165" t="inlineStr">
        <is>
          <t>CONSUMO ELECTRICIDA</t>
        </is>
      </c>
      <c r="M31" s="165" t="n"/>
      <c r="N31" s="165" t="inlineStr">
        <is>
          <t>.   .   -</t>
        </is>
      </c>
      <c r="O31" s="229" t="inlineStr">
        <is>
          <t>ENERO</t>
        </is>
      </c>
      <c r="P31" s="165" t="n">
        <v>2</v>
      </c>
      <c r="Q31" s="162" t="n">
        <v>40859</v>
      </c>
      <c r="R31" s="167" t="n"/>
      <c r="S31" s="168" t="n">
        <v>40859</v>
      </c>
      <c r="T31" s="165" t="inlineStr">
        <is>
          <t>CLP</t>
        </is>
      </c>
      <c r="U31" s="165" t="inlineStr">
        <is>
          <t>Carga LH 18-06-26</t>
        </is>
      </c>
      <c r="V31" s="165" t="inlineStr">
        <is>
          <t>2026-06-18</t>
        </is>
      </c>
    </row>
    <row r="32" ht="14" customHeight="1" s="176">
      <c r="A32" s="158" t="inlineStr">
        <is>
          <t>CR-0029</t>
        </is>
      </c>
      <c r="B32" s="158" t="inlineStr">
        <is>
          <t>2026/27</t>
        </is>
      </c>
      <c r="C32" s="228" t="n">
        <v>46034</v>
      </c>
      <c r="D32" s="158" t="inlineStr"/>
      <c r="E32" s="158" t="inlineStr">
        <is>
          <t>COMPRA</t>
        </is>
      </c>
      <c r="F32" s="160" t="inlineStr">
        <is>
          <t>Mega Catalina</t>
        </is>
      </c>
      <c r="G32" s="160" t="inlineStr">
        <is>
          <t>MURCOTT - 2007 (21 Ha.)</t>
        </is>
      </c>
      <c r="H32" s="160" t="n"/>
      <c r="I32" s="160" t="n"/>
      <c r="J32" s="158" t="inlineStr">
        <is>
          <t>ENERGIA Y AGUA</t>
        </is>
      </c>
      <c r="K32" s="158" t="inlineStr">
        <is>
          <t>SUMIN. ELECTRICO</t>
        </is>
      </c>
      <c r="L32" s="158" t="inlineStr">
        <is>
          <t>CONSUMO ELECTRICIDA</t>
        </is>
      </c>
      <c r="M32" s="158" t="n"/>
      <c r="N32" s="158" t="inlineStr">
        <is>
          <t>.   .   -</t>
        </is>
      </c>
      <c r="O32" s="229" t="inlineStr">
        <is>
          <t>ENERO</t>
        </is>
      </c>
      <c r="P32" s="158" t="n">
        <v>2</v>
      </c>
      <c r="Q32" s="162" t="n">
        <v>204296</v>
      </c>
      <c r="R32" s="163" t="n"/>
      <c r="S32" s="164" t="n">
        <v>204296</v>
      </c>
      <c r="T32" s="158" t="inlineStr">
        <is>
          <t>CLP</t>
        </is>
      </c>
      <c r="U32" s="158" t="inlineStr">
        <is>
          <t>Carga LH 18-06-26</t>
        </is>
      </c>
      <c r="V32" s="158" t="inlineStr">
        <is>
          <t>2026-06-18</t>
        </is>
      </c>
    </row>
    <row r="33" ht="14" customHeight="1" s="176">
      <c r="A33" s="165" t="inlineStr">
        <is>
          <t>CR-0030</t>
        </is>
      </c>
      <c r="B33" s="165" t="inlineStr">
        <is>
          <t>2026/27</t>
        </is>
      </c>
      <c r="C33" s="230" t="n">
        <v>46034</v>
      </c>
      <c r="D33" s="165" t="inlineStr"/>
      <c r="E33" s="165" t="inlineStr">
        <is>
          <t>COMPRA</t>
        </is>
      </c>
      <c r="F33" s="160" t="inlineStr">
        <is>
          <t>Mega Catalina</t>
        </is>
      </c>
      <c r="G33" s="160" t="inlineStr">
        <is>
          <t>FINO 49 - 1999 (7,7 Ha.)</t>
        </is>
      </c>
      <c r="H33" s="160" t="n"/>
      <c r="I33" s="160" t="n"/>
      <c r="J33" s="165" t="inlineStr">
        <is>
          <t>ENERGIA Y AGUA</t>
        </is>
      </c>
      <c r="K33" s="165" t="inlineStr">
        <is>
          <t>SUMIN. ELECTRICO</t>
        </is>
      </c>
      <c r="L33" s="165" t="inlineStr">
        <is>
          <t>CONSUMO ELECTRICIDA</t>
        </is>
      </c>
      <c r="M33" s="165" t="n"/>
      <c r="N33" s="165" t="inlineStr">
        <is>
          <t>.   .   -</t>
        </is>
      </c>
      <c r="O33" s="229" t="inlineStr">
        <is>
          <t>ENERO</t>
        </is>
      </c>
      <c r="P33" s="165" t="n">
        <v>2</v>
      </c>
      <c r="Q33" s="162" t="n">
        <v>111876</v>
      </c>
      <c r="R33" s="167" t="n"/>
      <c r="S33" s="168" t="n">
        <v>111876</v>
      </c>
      <c r="T33" s="165" t="inlineStr">
        <is>
          <t>CLP</t>
        </is>
      </c>
      <c r="U33" s="165" t="inlineStr">
        <is>
          <t>Carga LH 18-06-26</t>
        </is>
      </c>
      <c r="V33" s="165" t="inlineStr">
        <is>
          <t>2026-06-18</t>
        </is>
      </c>
    </row>
    <row r="34" ht="14" customHeight="1" s="176">
      <c r="A34" s="158" t="inlineStr">
        <is>
          <t>CR-0031</t>
        </is>
      </c>
      <c r="B34" s="158" t="inlineStr">
        <is>
          <t>2026/27</t>
        </is>
      </c>
      <c r="C34" s="228" t="n">
        <v>46034</v>
      </c>
      <c r="D34" s="158" t="inlineStr"/>
      <c r="E34" s="158" t="inlineStr">
        <is>
          <t>COMPRA</t>
        </is>
      </c>
      <c r="F34" s="160" t="inlineStr">
        <is>
          <t>Mega Catalina</t>
        </is>
      </c>
      <c r="G34" s="160" t="inlineStr">
        <is>
          <t>EUREKA - 1999 (10,6 Ha.)</t>
        </is>
      </c>
      <c r="H34" s="160" t="n"/>
      <c r="I34" s="160" t="n"/>
      <c r="J34" s="158" t="inlineStr">
        <is>
          <t>ENERGIA Y AGUA</t>
        </is>
      </c>
      <c r="K34" s="158" t="inlineStr">
        <is>
          <t>SUMIN. ELECTRICO</t>
        </is>
      </c>
      <c r="L34" s="158" t="inlineStr">
        <is>
          <t>CONSUMO ELECTRICIDA</t>
        </is>
      </c>
      <c r="M34" s="158" t="n"/>
      <c r="N34" s="158" t="inlineStr">
        <is>
          <t>.   .   -</t>
        </is>
      </c>
      <c r="O34" s="229" t="inlineStr">
        <is>
          <t>ENERO</t>
        </is>
      </c>
      <c r="P34" s="158" t="n">
        <v>2</v>
      </c>
      <c r="Q34" s="162" t="n">
        <v>23025</v>
      </c>
      <c r="R34" s="163" t="n"/>
      <c r="S34" s="164" t="n">
        <v>23025</v>
      </c>
      <c r="T34" s="158" t="inlineStr">
        <is>
          <t>CLP</t>
        </is>
      </c>
      <c r="U34" s="158" t="inlineStr">
        <is>
          <t>Carga LH 18-06-26</t>
        </is>
      </c>
      <c r="V34" s="158" t="inlineStr">
        <is>
          <t>2026-06-18</t>
        </is>
      </c>
    </row>
    <row r="35" ht="14" customHeight="1" s="176">
      <c r="A35" s="165" t="inlineStr">
        <is>
          <t>CR-0032</t>
        </is>
      </c>
      <c r="B35" s="165" t="inlineStr">
        <is>
          <t>2026/27</t>
        </is>
      </c>
      <c r="C35" s="230" t="n">
        <v>46034</v>
      </c>
      <c r="D35" s="165" t="inlineStr"/>
      <c r="E35" s="165" t="inlineStr">
        <is>
          <t>COMPRA</t>
        </is>
      </c>
      <c r="F35" s="160" t="inlineStr">
        <is>
          <t>Mega Catalina</t>
        </is>
      </c>
      <c r="G35" s="160" t="inlineStr">
        <is>
          <t>EUREKA - 1999 (22,5 Ha.)</t>
        </is>
      </c>
      <c r="H35" s="160" t="n"/>
      <c r="I35" s="160" t="n"/>
      <c r="J35" s="165" t="inlineStr">
        <is>
          <t>ENERGIA Y AGUA</t>
        </is>
      </c>
      <c r="K35" s="165" t="inlineStr">
        <is>
          <t>SUMIN. ELECTRICO</t>
        </is>
      </c>
      <c r="L35" s="165" t="inlineStr">
        <is>
          <t>CONSUMO ELECTRICIDA</t>
        </is>
      </c>
      <c r="M35" s="165" t="n"/>
      <c r="N35" s="165" t="inlineStr">
        <is>
          <t>.   .   -</t>
        </is>
      </c>
      <c r="O35" s="229" t="inlineStr">
        <is>
          <t>ENERO</t>
        </is>
      </c>
      <c r="P35" s="165" t="n">
        <v>2</v>
      </c>
      <c r="Q35" s="162" t="n">
        <v>55572</v>
      </c>
      <c r="R35" s="167" t="n"/>
      <c r="S35" s="168" t="n">
        <v>55572</v>
      </c>
      <c r="T35" s="165" t="inlineStr">
        <is>
          <t>CLP</t>
        </is>
      </c>
      <c r="U35" s="165" t="inlineStr">
        <is>
          <t>Carga LH 18-06-26</t>
        </is>
      </c>
      <c r="V35" s="165" t="inlineStr">
        <is>
          <t>2026-06-18</t>
        </is>
      </c>
    </row>
    <row r="36" ht="14" customHeight="1" s="176">
      <c r="A36" s="158" t="inlineStr">
        <is>
          <t>CR-0033</t>
        </is>
      </c>
      <c r="B36" s="158" t="inlineStr">
        <is>
          <t>2026/27</t>
        </is>
      </c>
      <c r="C36" s="228" t="n">
        <v>46034</v>
      </c>
      <c r="D36" s="158" t="inlineStr"/>
      <c r="E36" s="158" t="inlineStr">
        <is>
          <t>COMPRA</t>
        </is>
      </c>
      <c r="F36" s="160" t="inlineStr">
        <is>
          <t>Mega Catalina</t>
        </is>
      </c>
      <c r="G36" s="160" t="inlineStr">
        <is>
          <t>EUREKA - 1999 (22,5 Ha.)</t>
        </is>
      </c>
      <c r="H36" s="160" t="n"/>
      <c r="I36" s="160" t="n"/>
      <c r="J36" s="158" t="inlineStr">
        <is>
          <t>ENERGIA Y AGUA</t>
        </is>
      </c>
      <c r="K36" s="158" t="inlineStr">
        <is>
          <t>SUMIN. ELECTRICO</t>
        </is>
      </c>
      <c r="L36" s="158" t="inlineStr">
        <is>
          <t>CONSUMO ELECTRICIDA</t>
        </is>
      </c>
      <c r="M36" s="158" t="n"/>
      <c r="N36" s="158" t="inlineStr">
        <is>
          <t>.   .   -</t>
        </is>
      </c>
      <c r="O36" s="229" t="inlineStr">
        <is>
          <t>ENERO</t>
        </is>
      </c>
      <c r="P36" s="158" t="n">
        <v>2</v>
      </c>
      <c r="Q36" s="162" t="n">
        <v>878</v>
      </c>
      <c r="R36" s="163" t="n"/>
      <c r="S36" s="164" t="n">
        <v>878</v>
      </c>
      <c r="T36" s="158" t="inlineStr">
        <is>
          <t>CLP</t>
        </is>
      </c>
      <c r="U36" s="158" t="inlineStr">
        <is>
          <t>Carga LH 18-06-26</t>
        </is>
      </c>
      <c r="V36" s="158" t="inlineStr">
        <is>
          <t>2026-06-18</t>
        </is>
      </c>
    </row>
    <row r="37" ht="14" customHeight="1" s="176">
      <c r="A37" s="165" t="inlineStr">
        <is>
          <t>CR-0034</t>
        </is>
      </c>
      <c r="B37" s="165" t="inlineStr">
        <is>
          <t>2026/27</t>
        </is>
      </c>
      <c r="C37" s="230" t="n">
        <v>46034</v>
      </c>
      <c r="D37" s="165" t="inlineStr"/>
      <c r="E37" s="165" t="inlineStr">
        <is>
          <t>COMPRA</t>
        </is>
      </c>
      <c r="F37" s="160" t="inlineStr">
        <is>
          <t>Mega Catalina</t>
        </is>
      </c>
      <c r="G37" s="160" t="inlineStr">
        <is>
          <t>EUREKA - 1999 (22,5 Ha.)</t>
        </is>
      </c>
      <c r="H37" s="160" t="n"/>
      <c r="I37" s="160" t="n"/>
      <c r="J37" s="165" t="inlineStr">
        <is>
          <t>ENERGIA Y AGUA</t>
        </is>
      </c>
      <c r="K37" s="165" t="inlineStr">
        <is>
          <t>SUMIN. ELECTRICO</t>
        </is>
      </c>
      <c r="L37" s="165" t="inlineStr">
        <is>
          <t>CONSUMO ELECTRICIDA</t>
        </is>
      </c>
      <c r="M37" s="165" t="n"/>
      <c r="N37" s="165" t="inlineStr">
        <is>
          <t>.   .   -</t>
        </is>
      </c>
      <c r="O37" s="229" t="inlineStr">
        <is>
          <t>ENERO</t>
        </is>
      </c>
      <c r="P37" s="165" t="n">
        <v>2</v>
      </c>
      <c r="Q37" s="162" t="n">
        <v>206438</v>
      </c>
      <c r="R37" s="167" t="n"/>
      <c r="S37" s="168" t="n">
        <v>206438</v>
      </c>
      <c r="T37" s="165" t="inlineStr">
        <is>
          <t>CLP</t>
        </is>
      </c>
      <c r="U37" s="165" t="inlineStr">
        <is>
          <t>Carga LH 18-06-26</t>
        </is>
      </c>
      <c r="V37" s="165" t="inlineStr">
        <is>
          <t>2026-06-18</t>
        </is>
      </c>
    </row>
    <row r="38" ht="14" customHeight="1" s="176">
      <c r="A38" s="158" t="inlineStr">
        <is>
          <t>CR-0035</t>
        </is>
      </c>
      <c r="B38" s="158" t="inlineStr">
        <is>
          <t>2026/27</t>
        </is>
      </c>
      <c r="C38" s="228" t="n">
        <v>46034</v>
      </c>
      <c r="D38" s="158" t="inlineStr"/>
      <c r="E38" s="158" t="inlineStr">
        <is>
          <t>COMPRA</t>
        </is>
      </c>
      <c r="F38" s="160" t="inlineStr">
        <is>
          <t>Mega Catalina</t>
        </is>
      </c>
      <c r="G38" s="160" t="inlineStr">
        <is>
          <t>EUREKA - 1999 (10,6 Ha.)</t>
        </is>
      </c>
      <c r="H38" s="160" t="n"/>
      <c r="I38" s="160" t="n"/>
      <c r="J38" s="158" t="inlineStr">
        <is>
          <t>ENERGIA Y AGUA</t>
        </is>
      </c>
      <c r="K38" s="158" t="inlineStr">
        <is>
          <t>SUMIN. ELECTRICO</t>
        </is>
      </c>
      <c r="L38" s="158" t="inlineStr">
        <is>
          <t>CONSUMO ELECTRICIDA</t>
        </is>
      </c>
      <c r="M38" s="158" t="n"/>
      <c r="N38" s="158" t="inlineStr">
        <is>
          <t>.   .   -</t>
        </is>
      </c>
      <c r="O38" s="229" t="inlineStr">
        <is>
          <t>ENERO</t>
        </is>
      </c>
      <c r="P38" s="158" t="n">
        <v>2</v>
      </c>
      <c r="Q38" s="162" t="n">
        <v>94008</v>
      </c>
      <c r="R38" s="163" t="n"/>
      <c r="S38" s="164" t="n">
        <v>94008</v>
      </c>
      <c r="T38" s="158" t="inlineStr">
        <is>
          <t>CLP</t>
        </is>
      </c>
      <c r="U38" s="158" t="inlineStr">
        <is>
          <t>Carga LH 18-06-26</t>
        </is>
      </c>
      <c r="V38" s="158" t="inlineStr">
        <is>
          <t>2026-06-18</t>
        </is>
      </c>
    </row>
    <row r="39" ht="14" customHeight="1" s="176">
      <c r="A39" s="165" t="inlineStr">
        <is>
          <t>CR-0036</t>
        </is>
      </c>
      <c r="B39" s="165" t="inlineStr">
        <is>
          <t>2026/27</t>
        </is>
      </c>
      <c r="C39" s="230" t="n">
        <v>46034</v>
      </c>
      <c r="D39" s="165" t="inlineStr"/>
      <c r="E39" s="165" t="inlineStr">
        <is>
          <t>COMPRA</t>
        </is>
      </c>
      <c r="F39" s="160" t="inlineStr">
        <is>
          <t>Mega Catalina</t>
        </is>
      </c>
      <c r="G39" s="160" t="inlineStr">
        <is>
          <t>EUREKA - 2016 (14,4 Ha.)</t>
        </is>
      </c>
      <c r="H39" s="160" t="n"/>
      <c r="I39" s="160" t="n"/>
      <c r="J39" s="165" t="inlineStr">
        <is>
          <t>ENERGIA Y AGUA</t>
        </is>
      </c>
      <c r="K39" s="165" t="inlineStr">
        <is>
          <t>SUMIN. ELECTRICO</t>
        </is>
      </c>
      <c r="L39" s="165" t="inlineStr">
        <is>
          <t>CONSUMO ELECTRICIDA</t>
        </is>
      </c>
      <c r="M39" s="165" t="n"/>
      <c r="N39" s="165" t="inlineStr">
        <is>
          <t>.   .   -</t>
        </is>
      </c>
      <c r="O39" s="229" t="inlineStr">
        <is>
          <t>ENERO</t>
        </is>
      </c>
      <c r="P39" s="165" t="n">
        <v>2</v>
      </c>
      <c r="Q39" s="162" t="n">
        <v>91468</v>
      </c>
      <c r="R39" s="167" t="n"/>
      <c r="S39" s="168" t="n">
        <v>91468</v>
      </c>
      <c r="T39" s="165" t="inlineStr">
        <is>
          <t>CLP</t>
        </is>
      </c>
      <c r="U39" s="165" t="inlineStr">
        <is>
          <t>Carga LH 18-06-26</t>
        </is>
      </c>
      <c r="V39" s="165" t="inlineStr">
        <is>
          <t>2026-06-18</t>
        </is>
      </c>
    </row>
    <row r="40" ht="14" customHeight="1" s="176">
      <c r="A40" s="158" t="inlineStr">
        <is>
          <t>CR-0037</t>
        </is>
      </c>
      <c r="B40" s="158" t="inlineStr">
        <is>
          <t>2026/27</t>
        </is>
      </c>
      <c r="C40" s="228" t="n">
        <v>46034</v>
      </c>
      <c r="D40" s="158" t="inlineStr"/>
      <c r="E40" s="158" t="inlineStr">
        <is>
          <t>COMPRA</t>
        </is>
      </c>
      <c r="F40" s="160" t="inlineStr">
        <is>
          <t>Mega Catalina</t>
        </is>
      </c>
      <c r="G40" s="160" t="inlineStr">
        <is>
          <t>FINO 49 - 1999 (7,7 Ha.)</t>
        </is>
      </c>
      <c r="H40" s="160" t="n"/>
      <c r="I40" s="160" t="n"/>
      <c r="J40" s="158" t="inlineStr">
        <is>
          <t>ENERGIA Y AGUA</t>
        </is>
      </c>
      <c r="K40" s="158" t="inlineStr">
        <is>
          <t>SUMIN. ELECTRICO</t>
        </is>
      </c>
      <c r="L40" s="158" t="inlineStr">
        <is>
          <t>CONSUMO ELECTRICIDA</t>
        </is>
      </c>
      <c r="M40" s="158" t="n"/>
      <c r="N40" s="158" t="inlineStr">
        <is>
          <t>.   .   -</t>
        </is>
      </c>
      <c r="O40" s="229" t="inlineStr">
        <is>
          <t>ENERO</t>
        </is>
      </c>
      <c r="P40" s="158" t="n">
        <v>2</v>
      </c>
      <c r="Q40" s="162" t="n">
        <v>73047</v>
      </c>
      <c r="R40" s="163" t="n"/>
      <c r="S40" s="164" t="n">
        <v>73047</v>
      </c>
      <c r="T40" s="158" t="inlineStr">
        <is>
          <t>CLP</t>
        </is>
      </c>
      <c r="U40" s="158" t="inlineStr">
        <is>
          <t>Carga LH 18-06-26</t>
        </is>
      </c>
      <c r="V40" s="158" t="inlineStr">
        <is>
          <t>2026-06-18</t>
        </is>
      </c>
    </row>
    <row r="41" ht="14" customHeight="1" s="176">
      <c r="A41" s="165" t="inlineStr">
        <is>
          <t>CR-0038</t>
        </is>
      </c>
      <c r="B41" s="165" t="inlineStr">
        <is>
          <t>2026/27</t>
        </is>
      </c>
      <c r="C41" s="230" t="n">
        <v>46034</v>
      </c>
      <c r="D41" s="165" t="inlineStr"/>
      <c r="E41" s="165" t="inlineStr">
        <is>
          <t>COMPRA</t>
        </is>
      </c>
      <c r="F41" s="160" t="inlineStr">
        <is>
          <t>Mega Catalina</t>
        </is>
      </c>
      <c r="G41" s="160" t="inlineStr">
        <is>
          <t>NARANJA CAMBRIA - 2009 (4,2 Ha.)</t>
        </is>
      </c>
      <c r="H41" s="160" t="n"/>
      <c r="I41" s="160" t="n"/>
      <c r="J41" s="165" t="inlineStr">
        <is>
          <t>ENERGIA Y AGUA</t>
        </is>
      </c>
      <c r="K41" s="165" t="inlineStr">
        <is>
          <t>SUMIN. ELECTRICO</t>
        </is>
      </c>
      <c r="L41" s="165" t="inlineStr">
        <is>
          <t>CONSUMO ELECTRICIDA</t>
        </is>
      </c>
      <c r="M41" s="165" t="n"/>
      <c r="N41" s="165" t="inlineStr">
        <is>
          <t>.   .   -</t>
        </is>
      </c>
      <c r="O41" s="229" t="inlineStr">
        <is>
          <t>ENERO</t>
        </is>
      </c>
      <c r="P41" s="165" t="n">
        <v>2</v>
      </c>
      <c r="Q41" s="162" t="n">
        <v>26678</v>
      </c>
      <c r="R41" s="167" t="n"/>
      <c r="S41" s="168" t="n">
        <v>26678</v>
      </c>
      <c r="T41" s="165" t="inlineStr">
        <is>
          <t>CLP</t>
        </is>
      </c>
      <c r="U41" s="165" t="inlineStr">
        <is>
          <t>Carga LH 18-06-26</t>
        </is>
      </c>
      <c r="V41" s="165" t="inlineStr">
        <is>
          <t>2026-06-18</t>
        </is>
      </c>
    </row>
    <row r="42" ht="14" customHeight="1" s="176">
      <c r="A42" s="158" t="inlineStr">
        <is>
          <t>CR-0039</t>
        </is>
      </c>
      <c r="B42" s="158" t="inlineStr">
        <is>
          <t>2026/27</t>
        </is>
      </c>
      <c r="C42" s="228" t="n">
        <v>46034</v>
      </c>
      <c r="D42" s="158" t="inlineStr"/>
      <c r="E42" s="158" t="inlineStr">
        <is>
          <t>COMPRA</t>
        </is>
      </c>
      <c r="F42" s="160" t="inlineStr">
        <is>
          <t>Mega Catalina</t>
        </is>
      </c>
      <c r="G42" s="160" t="inlineStr">
        <is>
          <t>MURCOTT - 2007 (21 Ha.)</t>
        </is>
      </c>
      <c r="H42" s="160" t="n"/>
      <c r="I42" s="160" t="n"/>
      <c r="J42" s="158" t="inlineStr">
        <is>
          <t>ENERGIA Y AGUA</t>
        </is>
      </c>
      <c r="K42" s="158" t="inlineStr">
        <is>
          <t>SUMIN. ELECTRICO</t>
        </is>
      </c>
      <c r="L42" s="158" t="inlineStr">
        <is>
          <t>CONSUMO ELECTRICIDA</t>
        </is>
      </c>
      <c r="M42" s="158" t="n"/>
      <c r="N42" s="158" t="inlineStr">
        <is>
          <t>.   .   -</t>
        </is>
      </c>
      <c r="O42" s="229" t="inlineStr">
        <is>
          <t>ENERO</t>
        </is>
      </c>
      <c r="P42" s="158" t="n">
        <v>2</v>
      </c>
      <c r="Q42" s="162" t="n">
        <v>133390</v>
      </c>
      <c r="R42" s="163" t="n"/>
      <c r="S42" s="164" t="n">
        <v>133390</v>
      </c>
      <c r="T42" s="158" t="inlineStr">
        <is>
          <t>CLP</t>
        </is>
      </c>
      <c r="U42" s="158" t="inlineStr">
        <is>
          <t>Carga LH 18-06-26</t>
        </is>
      </c>
      <c r="V42" s="158" t="inlineStr">
        <is>
          <t>2026-06-18</t>
        </is>
      </c>
    </row>
    <row r="43" ht="14" customHeight="1" s="176">
      <c r="A43" s="165" t="inlineStr">
        <is>
          <t>CR-0040</t>
        </is>
      </c>
      <c r="B43" s="165" t="inlineStr">
        <is>
          <t>2026/27</t>
        </is>
      </c>
      <c r="C43" s="230" t="n">
        <v>46034</v>
      </c>
      <c r="D43" s="165" t="inlineStr"/>
      <c r="E43" s="165" t="inlineStr">
        <is>
          <t>COMPRA</t>
        </is>
      </c>
      <c r="F43" s="160" t="inlineStr">
        <is>
          <t>Mega Catalina</t>
        </is>
      </c>
      <c r="G43" s="160" t="inlineStr">
        <is>
          <t>EUREKA - 1999 (22,5 Ha.)</t>
        </is>
      </c>
      <c r="H43" s="160" t="n"/>
      <c r="I43" s="160" t="n"/>
      <c r="J43" s="165" t="inlineStr">
        <is>
          <t>ENERGIA Y AGUA</t>
        </is>
      </c>
      <c r="K43" s="165" t="inlineStr">
        <is>
          <t>SUMIN. ELECTRICO</t>
        </is>
      </c>
      <c r="L43" s="165" t="inlineStr">
        <is>
          <t>CONSUMO ELECTRICIDA</t>
        </is>
      </c>
      <c r="M43" s="165" t="n"/>
      <c r="N43" s="165" t="inlineStr">
        <is>
          <t>.   .   -</t>
        </is>
      </c>
      <c r="O43" s="229" t="inlineStr">
        <is>
          <t>ENERO</t>
        </is>
      </c>
      <c r="P43" s="165" t="n">
        <v>2</v>
      </c>
      <c r="Q43" s="162" t="n">
        <v>2554550</v>
      </c>
      <c r="R43" s="167" t="n"/>
      <c r="S43" s="168" t="n">
        <v>2554550</v>
      </c>
      <c r="T43" s="165" t="inlineStr">
        <is>
          <t>CLP</t>
        </is>
      </c>
      <c r="U43" s="165" t="inlineStr">
        <is>
          <t>Carga LH 18-06-26</t>
        </is>
      </c>
      <c r="V43" s="165" t="inlineStr">
        <is>
          <t>2026-06-18</t>
        </is>
      </c>
    </row>
    <row r="44" ht="14" customHeight="1" s="176">
      <c r="A44" s="158" t="inlineStr">
        <is>
          <t>CR-0041</t>
        </is>
      </c>
      <c r="B44" s="158" t="inlineStr">
        <is>
          <t>2026/27</t>
        </is>
      </c>
      <c r="C44" s="228" t="n">
        <v>46034</v>
      </c>
      <c r="D44" s="158" t="inlineStr"/>
      <c r="E44" s="158" t="inlineStr">
        <is>
          <t>COMPRA</t>
        </is>
      </c>
      <c r="F44" s="160" t="inlineStr">
        <is>
          <t>Mega Catalina</t>
        </is>
      </c>
      <c r="G44" s="160" t="inlineStr">
        <is>
          <t>EUREKA - 1999 (10,6 Ha.)</t>
        </is>
      </c>
      <c r="H44" s="160" t="n"/>
      <c r="I44" s="160" t="n"/>
      <c r="J44" s="158" t="inlineStr">
        <is>
          <t>ENERGIA Y AGUA</t>
        </is>
      </c>
      <c r="K44" s="158" t="inlineStr">
        <is>
          <t>SUMIN. ELECTRICO</t>
        </is>
      </c>
      <c r="L44" s="158" t="inlineStr">
        <is>
          <t>CONSUMO ELECTRICIDA</t>
        </is>
      </c>
      <c r="M44" s="158" t="n"/>
      <c r="N44" s="158" t="inlineStr">
        <is>
          <t>.   .   -</t>
        </is>
      </c>
      <c r="O44" s="229" t="inlineStr">
        <is>
          <t>ENERO</t>
        </is>
      </c>
      <c r="P44" s="158" t="n">
        <v>2</v>
      </c>
      <c r="Q44" s="162" t="n">
        <v>1163303</v>
      </c>
      <c r="R44" s="163" t="n"/>
      <c r="S44" s="164" t="n">
        <v>1163303</v>
      </c>
      <c r="T44" s="158" t="inlineStr">
        <is>
          <t>CLP</t>
        </is>
      </c>
      <c r="U44" s="158" t="inlineStr">
        <is>
          <t>Carga LH 18-06-26</t>
        </is>
      </c>
      <c r="V44" s="158" t="inlineStr">
        <is>
          <t>2026-06-18</t>
        </is>
      </c>
    </row>
    <row r="45" ht="14" customHeight="1" s="176">
      <c r="A45" s="165" t="inlineStr">
        <is>
          <t>CR-0042</t>
        </is>
      </c>
      <c r="B45" s="165" t="inlineStr">
        <is>
          <t>2026/27</t>
        </is>
      </c>
      <c r="C45" s="230" t="n">
        <v>46034</v>
      </c>
      <c r="D45" s="165" t="inlineStr"/>
      <c r="E45" s="165" t="inlineStr">
        <is>
          <t>COMPRA</t>
        </is>
      </c>
      <c r="F45" s="160" t="inlineStr">
        <is>
          <t>Mega Catalina</t>
        </is>
      </c>
      <c r="G45" s="160" t="inlineStr">
        <is>
          <t>EUREKA - 2016 (14,4 Ha.)</t>
        </is>
      </c>
      <c r="H45" s="160" t="n"/>
      <c r="I45" s="160" t="n"/>
      <c r="J45" s="165" t="inlineStr">
        <is>
          <t>ENERGIA Y AGUA</t>
        </is>
      </c>
      <c r="K45" s="165" t="inlineStr">
        <is>
          <t>SUMIN. ELECTRICO</t>
        </is>
      </c>
      <c r="L45" s="165" t="inlineStr">
        <is>
          <t>CONSUMO ELECTRICIDA</t>
        </is>
      </c>
      <c r="M45" s="165" t="n"/>
      <c r="N45" s="165" t="inlineStr">
        <is>
          <t>.   .   -</t>
        </is>
      </c>
      <c r="O45" s="229" t="inlineStr">
        <is>
          <t>ENERO</t>
        </is>
      </c>
      <c r="P45" s="165" t="n">
        <v>2</v>
      </c>
      <c r="Q45" s="162" t="n">
        <v>1131862</v>
      </c>
      <c r="R45" s="167" t="n"/>
      <c r="S45" s="168" t="n">
        <v>1131862</v>
      </c>
      <c r="T45" s="165" t="inlineStr">
        <is>
          <t>CLP</t>
        </is>
      </c>
      <c r="U45" s="165" t="inlineStr">
        <is>
          <t>Carga LH 18-06-26</t>
        </is>
      </c>
      <c r="V45" s="165" t="inlineStr">
        <is>
          <t>2026-06-18</t>
        </is>
      </c>
    </row>
    <row r="46" ht="14" customHeight="1" s="176">
      <c r="A46" s="158" t="inlineStr">
        <is>
          <t>CR-0043</t>
        </is>
      </c>
      <c r="B46" s="158" t="inlineStr">
        <is>
          <t>2026/27</t>
        </is>
      </c>
      <c r="C46" s="228" t="n">
        <v>46034</v>
      </c>
      <c r="D46" s="158" t="inlineStr"/>
      <c r="E46" s="158" t="inlineStr">
        <is>
          <t>COMPRA</t>
        </is>
      </c>
      <c r="F46" s="160" t="inlineStr">
        <is>
          <t>Mega Catalina</t>
        </is>
      </c>
      <c r="G46" s="160" t="inlineStr">
        <is>
          <t>FINO 49 - 1999 (7,7 Ha.)</t>
        </is>
      </c>
      <c r="H46" s="160" t="n"/>
      <c r="I46" s="160" t="n"/>
      <c r="J46" s="158" t="inlineStr">
        <is>
          <t>ENERGIA Y AGUA</t>
        </is>
      </c>
      <c r="K46" s="158" t="inlineStr">
        <is>
          <t>SUMIN. ELECTRICO</t>
        </is>
      </c>
      <c r="L46" s="158" t="inlineStr">
        <is>
          <t>CONSUMO ELECTRICIDA</t>
        </is>
      </c>
      <c r="M46" s="158" t="n"/>
      <c r="N46" s="158" t="inlineStr">
        <is>
          <t>.   .   -</t>
        </is>
      </c>
      <c r="O46" s="229" t="inlineStr">
        <is>
          <t>ENERO</t>
        </is>
      </c>
      <c r="P46" s="158" t="n">
        <v>2</v>
      </c>
      <c r="Q46" s="162" t="n">
        <v>903918</v>
      </c>
      <c r="R46" s="163" t="n"/>
      <c r="S46" s="164" t="n">
        <v>903918</v>
      </c>
      <c r="T46" s="158" t="inlineStr">
        <is>
          <t>CLP</t>
        </is>
      </c>
      <c r="U46" s="158" t="inlineStr">
        <is>
          <t>Carga LH 18-06-26</t>
        </is>
      </c>
      <c r="V46" s="158" t="inlineStr">
        <is>
          <t>2026-06-18</t>
        </is>
      </c>
    </row>
    <row r="47" ht="14" customHeight="1" s="176">
      <c r="A47" s="165" t="inlineStr">
        <is>
          <t>CR-0044</t>
        </is>
      </c>
      <c r="B47" s="165" t="inlineStr">
        <is>
          <t>2026/27</t>
        </is>
      </c>
      <c r="C47" s="230" t="n">
        <v>46034</v>
      </c>
      <c r="D47" s="165" t="inlineStr"/>
      <c r="E47" s="165" t="inlineStr">
        <is>
          <t>COMPRA</t>
        </is>
      </c>
      <c r="F47" s="160" t="inlineStr">
        <is>
          <t>Mega Catalina</t>
        </is>
      </c>
      <c r="G47" s="160" t="inlineStr">
        <is>
          <t>NARANJA CAMBRIA - 2009 (4,2 Ha.)</t>
        </is>
      </c>
      <c r="H47" s="160" t="n"/>
      <c r="I47" s="160" t="n"/>
      <c r="J47" s="165" t="inlineStr">
        <is>
          <t>ENERGIA Y AGUA</t>
        </is>
      </c>
      <c r="K47" s="165" t="inlineStr">
        <is>
          <t>SUMIN. ELECTRICO</t>
        </is>
      </c>
      <c r="L47" s="165" t="inlineStr">
        <is>
          <t>CONSUMO ELECTRICIDA</t>
        </is>
      </c>
      <c r="M47" s="165" t="n"/>
      <c r="N47" s="165" t="inlineStr">
        <is>
          <t>.   .   -</t>
        </is>
      </c>
      <c r="O47" s="229" t="inlineStr">
        <is>
          <t>ENERO</t>
        </is>
      </c>
      <c r="P47" s="165" t="n">
        <v>2</v>
      </c>
      <c r="Q47" s="162" t="n">
        <v>330126</v>
      </c>
      <c r="R47" s="167" t="n"/>
      <c r="S47" s="168" t="n">
        <v>330126</v>
      </c>
      <c r="T47" s="165" t="inlineStr">
        <is>
          <t>CLP</t>
        </is>
      </c>
      <c r="U47" s="165" t="inlineStr">
        <is>
          <t>Carga LH 18-06-26</t>
        </is>
      </c>
      <c r="V47" s="165" t="inlineStr">
        <is>
          <t>2026-06-18</t>
        </is>
      </c>
    </row>
    <row r="48" ht="14" customHeight="1" s="176">
      <c r="A48" s="158" t="inlineStr">
        <is>
          <t>CR-0045</t>
        </is>
      </c>
      <c r="B48" s="158" t="inlineStr">
        <is>
          <t>2026/27</t>
        </is>
      </c>
      <c r="C48" s="228" t="n">
        <v>46034</v>
      </c>
      <c r="D48" s="158" t="inlineStr"/>
      <c r="E48" s="158" t="inlineStr">
        <is>
          <t>COMPRA</t>
        </is>
      </c>
      <c r="F48" s="160" t="inlineStr">
        <is>
          <t>Mega Catalina</t>
        </is>
      </c>
      <c r="G48" s="160" t="inlineStr">
        <is>
          <t>MURCOTT - 2007 (21 Ha.)</t>
        </is>
      </c>
      <c r="H48" s="160" t="n"/>
      <c r="I48" s="160" t="n"/>
      <c r="J48" s="158" t="inlineStr">
        <is>
          <t>ENERGIA Y AGUA</t>
        </is>
      </c>
      <c r="K48" s="158" t="inlineStr">
        <is>
          <t>SUMIN. ELECTRICO</t>
        </is>
      </c>
      <c r="L48" s="158" t="inlineStr">
        <is>
          <t>CONSUMO ELECTRICIDA</t>
        </is>
      </c>
      <c r="M48" s="158" t="n"/>
      <c r="N48" s="158" t="inlineStr">
        <is>
          <t>.   .   -</t>
        </is>
      </c>
      <c r="O48" s="229" t="inlineStr">
        <is>
          <t>ENERO</t>
        </is>
      </c>
      <c r="P48" s="158" t="n">
        <v>2</v>
      </c>
      <c r="Q48" s="162" t="n">
        <v>1650632</v>
      </c>
      <c r="R48" s="163" t="n"/>
      <c r="S48" s="164" t="n">
        <v>1650632</v>
      </c>
      <c r="T48" s="158" t="inlineStr">
        <is>
          <t>CLP</t>
        </is>
      </c>
      <c r="U48" s="158" t="inlineStr">
        <is>
          <t>Carga LH 18-06-26</t>
        </is>
      </c>
      <c r="V48" s="158" t="inlineStr">
        <is>
          <t>2026-06-18</t>
        </is>
      </c>
    </row>
    <row r="49" ht="14" customHeight="1" s="176">
      <c r="A49" s="165" t="inlineStr">
        <is>
          <t>CR-0046</t>
        </is>
      </c>
      <c r="B49" s="165" t="inlineStr">
        <is>
          <t>2026/27</t>
        </is>
      </c>
      <c r="C49" s="230" t="n">
        <v>46034</v>
      </c>
      <c r="D49" s="165" t="inlineStr"/>
      <c r="E49" s="165" t="inlineStr">
        <is>
          <t>COMPRA</t>
        </is>
      </c>
      <c r="F49" s="160" t="inlineStr">
        <is>
          <t>Mega Catalina</t>
        </is>
      </c>
      <c r="G49" s="160" t="inlineStr">
        <is>
          <t>EUREKA - 1999 (22,5 Ha.)</t>
        </is>
      </c>
      <c r="H49" s="160" t="n"/>
      <c r="I49" s="160" t="n"/>
      <c r="J49" s="165" t="inlineStr">
        <is>
          <t>ENERGIA Y AGUA</t>
        </is>
      </c>
      <c r="K49" s="165" t="inlineStr">
        <is>
          <t>SUMIN. ELECTRICO</t>
        </is>
      </c>
      <c r="L49" s="165" t="inlineStr">
        <is>
          <t>CONSUMO ELECTRICIDA</t>
        </is>
      </c>
      <c r="M49" s="165" t="n"/>
      <c r="N49" s="165" t="inlineStr">
        <is>
          <t>.   .   -</t>
        </is>
      </c>
      <c r="O49" s="229" t="inlineStr">
        <is>
          <t>ENERO</t>
        </is>
      </c>
      <c r="P49" s="165" t="n">
        <v>2</v>
      </c>
      <c r="Q49" s="162" t="n">
        <v>854579</v>
      </c>
      <c r="R49" s="167" t="n"/>
      <c r="S49" s="168" t="n">
        <v>854579</v>
      </c>
      <c r="T49" s="165" t="inlineStr">
        <is>
          <t>CLP</t>
        </is>
      </c>
      <c r="U49" s="165" t="inlineStr">
        <is>
          <t>Carga LH 18-06-26</t>
        </is>
      </c>
      <c r="V49" s="165" t="inlineStr">
        <is>
          <t>2026-06-18</t>
        </is>
      </c>
    </row>
    <row r="50" ht="14" customHeight="1" s="176">
      <c r="A50" s="158" t="inlineStr">
        <is>
          <t>CR-0047</t>
        </is>
      </c>
      <c r="B50" s="158" t="inlineStr">
        <is>
          <t>2026/27</t>
        </is>
      </c>
      <c r="C50" s="228" t="n">
        <v>46034</v>
      </c>
      <c r="D50" s="158" t="inlineStr"/>
      <c r="E50" s="158" t="inlineStr">
        <is>
          <t>COMPRA</t>
        </is>
      </c>
      <c r="F50" s="160" t="inlineStr">
        <is>
          <t>Mega Catalina</t>
        </is>
      </c>
      <c r="G50" s="160" t="inlineStr">
        <is>
          <t>EUREKA - 1999 (10,6 Ha.)</t>
        </is>
      </c>
      <c r="H50" s="160" t="n"/>
      <c r="I50" s="160" t="n"/>
      <c r="J50" s="158" t="inlineStr">
        <is>
          <t>ENERGIA Y AGUA</t>
        </is>
      </c>
      <c r="K50" s="158" t="inlineStr">
        <is>
          <t>SUMIN. ELECTRICO</t>
        </is>
      </c>
      <c r="L50" s="158" t="inlineStr">
        <is>
          <t>CONSUMO ELECTRICIDA</t>
        </is>
      </c>
      <c r="M50" s="158" t="n"/>
      <c r="N50" s="158" t="inlineStr">
        <is>
          <t>.   .   -</t>
        </is>
      </c>
      <c r="O50" s="229" t="inlineStr">
        <is>
          <t>ENERO</t>
        </is>
      </c>
      <c r="P50" s="158" t="n">
        <v>2</v>
      </c>
      <c r="Q50" s="162" t="n">
        <v>389162</v>
      </c>
      <c r="R50" s="163" t="n"/>
      <c r="S50" s="164" t="n">
        <v>389162</v>
      </c>
      <c r="T50" s="158" t="inlineStr">
        <is>
          <t>CLP</t>
        </is>
      </c>
      <c r="U50" s="158" t="inlineStr">
        <is>
          <t>Carga LH 18-06-26</t>
        </is>
      </c>
      <c r="V50" s="158" t="inlineStr">
        <is>
          <t>2026-06-18</t>
        </is>
      </c>
    </row>
    <row r="51" ht="14" customHeight="1" s="176">
      <c r="A51" s="165" t="inlineStr">
        <is>
          <t>CR-0048</t>
        </is>
      </c>
      <c r="B51" s="165" t="inlineStr">
        <is>
          <t>2026/27</t>
        </is>
      </c>
      <c r="C51" s="230" t="n">
        <v>46034</v>
      </c>
      <c r="D51" s="165" t="inlineStr"/>
      <c r="E51" s="165" t="inlineStr">
        <is>
          <t>COMPRA</t>
        </is>
      </c>
      <c r="F51" s="160" t="inlineStr">
        <is>
          <t>Mega Catalina</t>
        </is>
      </c>
      <c r="G51" s="160" t="inlineStr">
        <is>
          <t>EUREKA - 2016 (14,4 Ha.)</t>
        </is>
      </c>
      <c r="H51" s="160" t="n"/>
      <c r="I51" s="160" t="n"/>
      <c r="J51" s="165" t="inlineStr">
        <is>
          <t>ENERGIA Y AGUA</t>
        </is>
      </c>
      <c r="K51" s="165" t="inlineStr">
        <is>
          <t>SUMIN. ELECTRICO</t>
        </is>
      </c>
      <c r="L51" s="165" t="inlineStr">
        <is>
          <t>CONSUMO ELECTRICIDA</t>
        </is>
      </c>
      <c r="M51" s="165" t="n"/>
      <c r="N51" s="165" t="inlineStr">
        <is>
          <t>.   .   -</t>
        </is>
      </c>
      <c r="O51" s="229" t="inlineStr">
        <is>
          <t>ENERO</t>
        </is>
      </c>
      <c r="P51" s="165" t="n">
        <v>2</v>
      </c>
      <c r="Q51" s="162" t="n">
        <v>378644</v>
      </c>
      <c r="R51" s="167" t="n"/>
      <c r="S51" s="168" t="n">
        <v>378644</v>
      </c>
      <c r="T51" s="165" t="inlineStr">
        <is>
          <t>CLP</t>
        </is>
      </c>
      <c r="U51" s="165" t="inlineStr">
        <is>
          <t>Carga LH 18-06-26</t>
        </is>
      </c>
      <c r="V51" s="165" t="inlineStr">
        <is>
          <t>2026-06-18</t>
        </is>
      </c>
    </row>
    <row r="52" ht="14" customHeight="1" s="176">
      <c r="A52" s="158" t="inlineStr">
        <is>
          <t>CR-0049</t>
        </is>
      </c>
      <c r="B52" s="158" t="inlineStr">
        <is>
          <t>2026/27</t>
        </is>
      </c>
      <c r="C52" s="228" t="n">
        <v>46034</v>
      </c>
      <c r="D52" s="158" t="inlineStr"/>
      <c r="E52" s="158" t="inlineStr">
        <is>
          <t>COMPRA</t>
        </is>
      </c>
      <c r="F52" s="160" t="inlineStr">
        <is>
          <t>Mega Catalina</t>
        </is>
      </c>
      <c r="G52" s="160" t="inlineStr">
        <is>
          <t>FINO 49 - 1999 (7,7 Ha.)</t>
        </is>
      </c>
      <c r="H52" s="160" t="n"/>
      <c r="I52" s="160" t="n"/>
      <c r="J52" s="158" t="inlineStr">
        <is>
          <t>ENERGIA Y AGUA</t>
        </is>
      </c>
      <c r="K52" s="158" t="inlineStr">
        <is>
          <t>SUMIN. ELECTRICO</t>
        </is>
      </c>
      <c r="L52" s="158" t="inlineStr">
        <is>
          <t>CONSUMO ELECTRICIDA</t>
        </is>
      </c>
      <c r="M52" s="158" t="n"/>
      <c r="N52" s="158" t="inlineStr">
        <is>
          <t>.   .   -</t>
        </is>
      </c>
      <c r="O52" s="229" t="inlineStr">
        <is>
          <t>ENERO</t>
        </is>
      </c>
      <c r="P52" s="158" t="n">
        <v>2</v>
      </c>
      <c r="Q52" s="162" t="n">
        <v>302390</v>
      </c>
      <c r="R52" s="163" t="n"/>
      <c r="S52" s="164" t="n">
        <v>302390</v>
      </c>
      <c r="T52" s="158" t="inlineStr">
        <is>
          <t>CLP</t>
        </is>
      </c>
      <c r="U52" s="158" t="inlineStr">
        <is>
          <t>Carga LH 18-06-26</t>
        </is>
      </c>
      <c r="V52" s="158" t="inlineStr">
        <is>
          <t>2026-06-18</t>
        </is>
      </c>
    </row>
    <row r="53" ht="14" customHeight="1" s="176">
      <c r="A53" s="165" t="inlineStr">
        <is>
          <t>CR-0050</t>
        </is>
      </c>
      <c r="B53" s="165" t="inlineStr">
        <is>
          <t>2026/27</t>
        </is>
      </c>
      <c r="C53" s="230" t="n">
        <v>46034</v>
      </c>
      <c r="D53" s="165" t="inlineStr"/>
      <c r="E53" s="165" t="inlineStr">
        <is>
          <t>COMPRA</t>
        </is>
      </c>
      <c r="F53" s="160" t="inlineStr">
        <is>
          <t>Mega Catalina</t>
        </is>
      </c>
      <c r="G53" s="160" t="inlineStr">
        <is>
          <t>NARANJA CAMBRIA - 2009 (4,2 Ha.)</t>
        </is>
      </c>
      <c r="H53" s="160" t="n"/>
      <c r="I53" s="160" t="n"/>
      <c r="J53" s="165" t="inlineStr">
        <is>
          <t>ENERGIA Y AGUA</t>
        </is>
      </c>
      <c r="K53" s="165" t="inlineStr">
        <is>
          <t>SUMIN. ELECTRICO</t>
        </is>
      </c>
      <c r="L53" s="165" t="inlineStr">
        <is>
          <t>CONSUMO ELECTRICIDA</t>
        </is>
      </c>
      <c r="M53" s="165" t="n"/>
      <c r="N53" s="165" t="inlineStr">
        <is>
          <t>.   .   -</t>
        </is>
      </c>
      <c r="O53" s="229" t="inlineStr">
        <is>
          <t>ENERO</t>
        </is>
      </c>
      <c r="P53" s="165" t="n">
        <v>2</v>
      </c>
      <c r="Q53" s="162" t="n">
        <v>110438</v>
      </c>
      <c r="R53" s="167" t="n"/>
      <c r="S53" s="168" t="n">
        <v>110438</v>
      </c>
      <c r="T53" s="165" t="inlineStr">
        <is>
          <t>CLP</t>
        </is>
      </c>
      <c r="U53" s="165" t="inlineStr">
        <is>
          <t>Carga LH 18-06-26</t>
        </is>
      </c>
      <c r="V53" s="165" t="inlineStr">
        <is>
          <t>2026-06-18</t>
        </is>
      </c>
    </row>
    <row r="54" ht="14" customHeight="1" s="176">
      <c r="A54" s="158" t="inlineStr">
        <is>
          <t>CR-0051</t>
        </is>
      </c>
      <c r="B54" s="158" t="inlineStr">
        <is>
          <t>2026/27</t>
        </is>
      </c>
      <c r="C54" s="228" t="n">
        <v>46034</v>
      </c>
      <c r="D54" s="158" t="inlineStr"/>
      <c r="E54" s="158" t="inlineStr">
        <is>
          <t>COMPRA</t>
        </is>
      </c>
      <c r="F54" s="160" t="inlineStr">
        <is>
          <t>Mega Catalina</t>
        </is>
      </c>
      <c r="G54" s="160" t="inlineStr">
        <is>
          <t>MURCOTT - 2007 (21 Ha.)</t>
        </is>
      </c>
      <c r="H54" s="160" t="n"/>
      <c r="I54" s="160" t="n"/>
      <c r="J54" s="158" t="inlineStr">
        <is>
          <t>ENERGIA Y AGUA</t>
        </is>
      </c>
      <c r="K54" s="158" t="inlineStr">
        <is>
          <t>SUMIN. ELECTRICO</t>
        </is>
      </c>
      <c r="L54" s="158" t="inlineStr">
        <is>
          <t>CONSUMO ELECTRICIDA</t>
        </is>
      </c>
      <c r="M54" s="158" t="n"/>
      <c r="N54" s="158" t="inlineStr">
        <is>
          <t>.   .   -</t>
        </is>
      </c>
      <c r="O54" s="229" t="inlineStr">
        <is>
          <t>ENERO</t>
        </is>
      </c>
      <c r="P54" s="158" t="n">
        <v>2</v>
      </c>
      <c r="Q54" s="162" t="n">
        <v>552190</v>
      </c>
      <c r="R54" s="163" t="n"/>
      <c r="S54" s="164" t="n">
        <v>552190</v>
      </c>
      <c r="T54" s="158" t="inlineStr">
        <is>
          <t>CLP</t>
        </is>
      </c>
      <c r="U54" s="158" t="inlineStr">
        <is>
          <t>Carga LH 18-06-26</t>
        </is>
      </c>
      <c r="V54" s="158" t="inlineStr">
        <is>
          <t>2026-06-18</t>
        </is>
      </c>
    </row>
    <row r="55" ht="14" customHeight="1" s="176">
      <c r="A55" s="165" t="inlineStr">
        <is>
          <t>CR-0052</t>
        </is>
      </c>
      <c r="B55" s="165" t="inlineStr">
        <is>
          <t>2026/27</t>
        </is>
      </c>
      <c r="C55" s="230" t="n">
        <v>46034</v>
      </c>
      <c r="D55" s="165" t="inlineStr"/>
      <c r="E55" s="165" t="inlineStr">
        <is>
          <t>COMPRA</t>
        </is>
      </c>
      <c r="F55" s="160" t="inlineStr">
        <is>
          <t>Mega Catalina</t>
        </is>
      </c>
      <c r="G55" s="160" t="inlineStr">
        <is>
          <t>MURCOTT - 2007 (21 Ha.)</t>
        </is>
      </c>
      <c r="H55" s="160" t="n"/>
      <c r="I55" s="160" t="n"/>
      <c r="J55" s="165" t="inlineStr">
        <is>
          <t>ENERGIA Y AGUA</t>
        </is>
      </c>
      <c r="K55" s="165" t="inlineStr">
        <is>
          <t>SUMIN. ELECTRICO</t>
        </is>
      </c>
      <c r="L55" s="165" t="inlineStr">
        <is>
          <t>CONSUMO ELECTRICO</t>
        </is>
      </c>
      <c r="M55" s="165" t="n"/>
      <c r="N55" s="165" t="inlineStr">
        <is>
          <t>.   .   -</t>
        </is>
      </c>
      <c r="O55" s="229" t="inlineStr">
        <is>
          <t>ENERO</t>
        </is>
      </c>
      <c r="P55" s="165" t="n">
        <v>2</v>
      </c>
      <c r="Q55" s="162" t="n">
        <v>868</v>
      </c>
      <c r="R55" s="167" t="n"/>
      <c r="S55" s="168" t="n">
        <v>868</v>
      </c>
      <c r="T55" s="165" t="inlineStr">
        <is>
          <t>CLP</t>
        </is>
      </c>
      <c r="U55" s="165" t="inlineStr">
        <is>
          <t>Carga LH 18-06-26</t>
        </is>
      </c>
      <c r="V55" s="165" t="inlineStr">
        <is>
          <t>2026-06-18</t>
        </is>
      </c>
    </row>
    <row r="56" ht="14" customHeight="1" s="176">
      <c r="A56" s="158" t="inlineStr">
        <is>
          <t>CR-0053</t>
        </is>
      </c>
      <c r="B56" s="158" t="inlineStr">
        <is>
          <t>2026/27</t>
        </is>
      </c>
      <c r="C56" s="228" t="n">
        <v>46035</v>
      </c>
      <c r="D56" s="158" t="inlineStr">
        <is>
          <t>379</t>
        </is>
      </c>
      <c r="E56" s="158" t="inlineStr">
        <is>
          <t>COMPRA</t>
        </is>
      </c>
      <c r="F56" s="160" t="inlineStr">
        <is>
          <t>Mega Catalina</t>
        </is>
      </c>
      <c r="G56" s="160" t="inlineStr">
        <is>
          <t>EUREKA - 1999 (22,5 Ha.)</t>
        </is>
      </c>
      <c r="H56" s="160" t="n"/>
      <c r="I56" s="160" t="n"/>
      <c r="J56" s="158" t="inlineStr">
        <is>
          <t>LABORES OPERACIONALES</t>
        </is>
      </c>
      <c r="K56" s="158" t="inlineStr">
        <is>
          <t>COSECHA</t>
        </is>
      </c>
      <c r="L56" s="158" t="inlineStr">
        <is>
          <t>SERV.CONTRATISTA</t>
        </is>
      </c>
      <c r="M56" s="158" t="n"/>
      <c r="N56" s="158" t="inlineStr">
        <is>
          <t>.   .   -</t>
        </is>
      </c>
      <c r="O56" s="229" t="inlineStr">
        <is>
          <t>ENERO</t>
        </is>
      </c>
      <c r="P56" s="158" t="n">
        <v>2</v>
      </c>
      <c r="Q56" s="162" t="n">
        <v>843120</v>
      </c>
      <c r="R56" s="163" t="n"/>
      <c r="S56" s="164" t="n">
        <v>843120</v>
      </c>
      <c r="T56" s="158" t="inlineStr">
        <is>
          <t>CLP</t>
        </is>
      </c>
      <c r="U56" s="158" t="inlineStr">
        <is>
          <t>Carga LH 18-06-26</t>
        </is>
      </c>
      <c r="V56" s="158" t="inlineStr">
        <is>
          <t>2026-06-18</t>
        </is>
      </c>
    </row>
    <row r="57" ht="14" customHeight="1" s="176">
      <c r="A57" s="165" t="inlineStr">
        <is>
          <t>CR-0054</t>
        </is>
      </c>
      <c r="B57" s="165" t="inlineStr">
        <is>
          <t>2026/27</t>
        </is>
      </c>
      <c r="C57" s="230" t="n">
        <v>46035</v>
      </c>
      <c r="D57" s="165" t="inlineStr">
        <is>
          <t>379</t>
        </is>
      </c>
      <c r="E57" s="165" t="inlineStr">
        <is>
          <t>COMPRA</t>
        </is>
      </c>
      <c r="F57" s="160" t="inlineStr">
        <is>
          <t>Mega Catalina</t>
        </is>
      </c>
      <c r="G57" s="160" t="inlineStr">
        <is>
          <t>EUREKA - 1999 (10,6 Ha.)</t>
        </is>
      </c>
      <c r="H57" s="160" t="n"/>
      <c r="I57" s="160" t="n"/>
      <c r="J57" s="165" t="inlineStr">
        <is>
          <t>LABORES OPERACIONALES</t>
        </is>
      </c>
      <c r="K57" s="165" t="inlineStr">
        <is>
          <t>COSECHA</t>
        </is>
      </c>
      <c r="L57" s="165" t="inlineStr">
        <is>
          <t>SERV.CONTRATISTA</t>
        </is>
      </c>
      <c r="M57" s="165" t="n"/>
      <c r="N57" s="165" t="inlineStr">
        <is>
          <t>.   .   -</t>
        </is>
      </c>
      <c r="O57" s="229" t="inlineStr">
        <is>
          <t>ENERO</t>
        </is>
      </c>
      <c r="P57" s="165" t="n">
        <v>2</v>
      </c>
      <c r="Q57" s="162" t="n">
        <v>937890</v>
      </c>
      <c r="R57" s="167" t="n"/>
      <c r="S57" s="168" t="n">
        <v>937890</v>
      </c>
      <c r="T57" s="165" t="inlineStr">
        <is>
          <t>CLP</t>
        </is>
      </c>
      <c r="U57" s="165" t="inlineStr">
        <is>
          <t>Carga LH 18-06-26</t>
        </is>
      </c>
      <c r="V57" s="165" t="inlineStr">
        <is>
          <t>2026-06-18</t>
        </is>
      </c>
    </row>
    <row r="58" ht="14" customHeight="1" s="176">
      <c r="A58" s="158" t="inlineStr">
        <is>
          <t>CR-0055</t>
        </is>
      </c>
      <c r="B58" s="158" t="inlineStr">
        <is>
          <t>2026/27</t>
        </is>
      </c>
      <c r="C58" s="228" t="n">
        <v>46035</v>
      </c>
      <c r="D58" s="158" t="inlineStr">
        <is>
          <t>379</t>
        </is>
      </c>
      <c r="E58" s="158" t="inlineStr">
        <is>
          <t>COMPRA</t>
        </is>
      </c>
      <c r="F58" s="160" t="inlineStr">
        <is>
          <t>Mega Catalina</t>
        </is>
      </c>
      <c r="G58" s="160" t="inlineStr">
        <is>
          <t>FINO 49 - 1999 (7,7 Ha.)</t>
        </is>
      </c>
      <c r="H58" s="160" t="n"/>
      <c r="I58" s="160" t="n"/>
      <c r="J58" s="158" t="inlineStr">
        <is>
          <t>LABORES OPERACIONALES</t>
        </is>
      </c>
      <c r="K58" s="158" t="inlineStr">
        <is>
          <t>COSECHA</t>
        </is>
      </c>
      <c r="L58" s="158" t="inlineStr">
        <is>
          <t>SERV.CONTRATISTA</t>
        </is>
      </c>
      <c r="M58" s="158" t="n"/>
      <c r="N58" s="158" t="inlineStr">
        <is>
          <t>.   .   -</t>
        </is>
      </c>
      <c r="O58" s="229" t="inlineStr">
        <is>
          <t>ENERO</t>
        </is>
      </c>
      <c r="P58" s="158" t="n">
        <v>2</v>
      </c>
      <c r="Q58" s="162" t="n">
        <v>364230</v>
      </c>
      <c r="R58" s="163" t="n"/>
      <c r="S58" s="164" t="n">
        <v>364230</v>
      </c>
      <c r="T58" s="158" t="inlineStr">
        <is>
          <t>CLP</t>
        </is>
      </c>
      <c r="U58" s="158" t="inlineStr">
        <is>
          <t>Carga LH 18-06-26</t>
        </is>
      </c>
      <c r="V58" s="158" t="inlineStr">
        <is>
          <t>2026-06-18</t>
        </is>
      </c>
    </row>
    <row r="59" ht="14" customHeight="1" s="176">
      <c r="A59" s="165" t="inlineStr">
        <is>
          <t>CR-0056</t>
        </is>
      </c>
      <c r="B59" s="165" t="inlineStr">
        <is>
          <t>2026/27</t>
        </is>
      </c>
      <c r="C59" s="230" t="n">
        <v>46035</v>
      </c>
      <c r="D59" s="165" t="inlineStr">
        <is>
          <t>154</t>
        </is>
      </c>
      <c r="E59" s="165" t="inlineStr">
        <is>
          <t>COMPRA</t>
        </is>
      </c>
      <c r="F59" s="160" t="inlineStr">
        <is>
          <t>Mega Catalina</t>
        </is>
      </c>
      <c r="G59" s="160" t="inlineStr">
        <is>
          <t>EUREKA - 1999 (10,6 Ha.)</t>
        </is>
      </c>
      <c r="H59" s="160" t="n"/>
      <c r="I59" s="160" t="n"/>
      <c r="J59" s="165" t="inlineStr">
        <is>
          <t>LABORES OPERACIONALES</t>
        </is>
      </c>
      <c r="K59" s="165" t="inlineStr">
        <is>
          <t>GUANTEO</t>
        </is>
      </c>
      <c r="L59" s="165" t="inlineStr">
        <is>
          <t>SERV.CONTRATISTA</t>
        </is>
      </c>
      <c r="M59" s="165" t="n"/>
      <c r="N59" s="165" t="inlineStr">
        <is>
          <t>.   .   -</t>
        </is>
      </c>
      <c r="O59" s="229" t="inlineStr">
        <is>
          <t>ENERO</t>
        </is>
      </c>
      <c r="P59" s="165" t="n">
        <v>2</v>
      </c>
      <c r="Q59" s="162" t="n">
        <v>760800</v>
      </c>
      <c r="R59" s="167" t="n"/>
      <c r="S59" s="168" t="n">
        <v>760800</v>
      </c>
      <c r="T59" s="165" t="inlineStr">
        <is>
          <t>CLP</t>
        </is>
      </c>
      <c r="U59" s="165" t="inlineStr">
        <is>
          <t>Carga LH 18-06-26</t>
        </is>
      </c>
      <c r="V59" s="165" t="inlineStr">
        <is>
          <t>2026-06-18</t>
        </is>
      </c>
    </row>
    <row r="60" ht="14" customHeight="1" s="176">
      <c r="A60" s="158" t="inlineStr">
        <is>
          <t>CR-0057</t>
        </is>
      </c>
      <c r="B60" s="158" t="inlineStr">
        <is>
          <t>2026/27</t>
        </is>
      </c>
      <c r="C60" s="228" t="n">
        <v>46035</v>
      </c>
      <c r="D60" s="158" t="inlineStr">
        <is>
          <t>154</t>
        </is>
      </c>
      <c r="E60" s="158" t="inlineStr">
        <is>
          <t>COMPRA</t>
        </is>
      </c>
      <c r="F60" s="160" t="inlineStr">
        <is>
          <t>Mega Catalina</t>
        </is>
      </c>
      <c r="G60" s="160" t="inlineStr">
        <is>
          <t>FINO 49 - 1999 (7,7 Ha.)</t>
        </is>
      </c>
      <c r="H60" s="160" t="n"/>
      <c r="I60" s="160" t="n"/>
      <c r="J60" s="158" t="inlineStr">
        <is>
          <t>LABORES OPERACIONALES</t>
        </is>
      </c>
      <c r="K60" s="158" t="inlineStr">
        <is>
          <t>GUANTEO</t>
        </is>
      </c>
      <c r="L60" s="158" t="inlineStr">
        <is>
          <t>SERV.CONTRATISTA</t>
        </is>
      </c>
      <c r="M60" s="158" t="n"/>
      <c r="N60" s="158" t="inlineStr">
        <is>
          <t>.   .   -</t>
        </is>
      </c>
      <c r="O60" s="229" t="inlineStr">
        <is>
          <t>ENERO</t>
        </is>
      </c>
      <c r="P60" s="158" t="n">
        <v>2</v>
      </c>
      <c r="Q60" s="162" t="n">
        <v>578200</v>
      </c>
      <c r="R60" s="163" t="n"/>
      <c r="S60" s="164" t="n">
        <v>578200</v>
      </c>
      <c r="T60" s="158" t="inlineStr">
        <is>
          <t>CLP</t>
        </is>
      </c>
      <c r="U60" s="158" t="inlineStr">
        <is>
          <t>Carga LH 18-06-26</t>
        </is>
      </c>
      <c r="V60" s="158" t="inlineStr">
        <is>
          <t>2026-06-18</t>
        </is>
      </c>
    </row>
    <row r="61" ht="14" customHeight="1" s="176">
      <c r="A61" s="165" t="inlineStr">
        <is>
          <t>CR-0058</t>
        </is>
      </c>
      <c r="B61" s="165" t="inlineStr">
        <is>
          <t>2026/27</t>
        </is>
      </c>
      <c r="C61" s="230" t="n">
        <v>46035</v>
      </c>
      <c r="D61" s="165" t="inlineStr">
        <is>
          <t>154</t>
        </is>
      </c>
      <c r="E61" s="165" t="inlineStr">
        <is>
          <t>COMPRA</t>
        </is>
      </c>
      <c r="F61" s="160" t="inlineStr">
        <is>
          <t>Mega Catalina</t>
        </is>
      </c>
      <c r="G61" s="160" t="inlineStr">
        <is>
          <t>NO USAR NARANJAS CAMBRIA (4,2 Hta.)</t>
        </is>
      </c>
      <c r="H61" s="160" t="n"/>
      <c r="I61" s="160" t="n"/>
      <c r="J61" s="165" t="inlineStr">
        <is>
          <t>LABORES OPERACIONALES</t>
        </is>
      </c>
      <c r="K61" s="165" t="inlineStr">
        <is>
          <t>COSECHA</t>
        </is>
      </c>
      <c r="L61" s="165" t="inlineStr">
        <is>
          <t>SERV.CONTRATISTA</t>
        </is>
      </c>
      <c r="M61" s="165" t="n"/>
      <c r="N61" s="165" t="inlineStr">
        <is>
          <t>.   .   -</t>
        </is>
      </c>
      <c r="O61" s="229" t="inlineStr">
        <is>
          <t>ENERO</t>
        </is>
      </c>
      <c r="P61" s="165" t="n">
        <v>2</v>
      </c>
      <c r="Q61" s="162" t="n">
        <v>337500</v>
      </c>
      <c r="R61" s="167" t="n"/>
      <c r="S61" s="168" t="n">
        <v>337500</v>
      </c>
      <c r="T61" s="165" t="inlineStr">
        <is>
          <t>CLP</t>
        </is>
      </c>
      <c r="U61" s="165" t="inlineStr">
        <is>
          <t>Carga LH 18-06-26</t>
        </is>
      </c>
      <c r="V61" s="165" t="inlineStr">
        <is>
          <t>2026-06-18</t>
        </is>
      </c>
    </row>
    <row r="62" ht="14" customHeight="1" s="176">
      <c r="A62" s="158" t="inlineStr">
        <is>
          <t>CR-0059</t>
        </is>
      </c>
      <c r="B62" s="158" t="inlineStr">
        <is>
          <t>2026/27</t>
        </is>
      </c>
      <c r="C62" s="228" t="n">
        <v>46035</v>
      </c>
      <c r="D62" s="158" t="inlineStr">
        <is>
          <t>154</t>
        </is>
      </c>
      <c r="E62" s="158" t="inlineStr">
        <is>
          <t>COMPRA</t>
        </is>
      </c>
      <c r="F62" s="160" t="inlineStr">
        <is>
          <t>Mega Catalina</t>
        </is>
      </c>
      <c r="G62" s="160" t="inlineStr">
        <is>
          <t>MURCOTT - 2007 (21 Ha.)</t>
        </is>
      </c>
      <c r="H62" s="160" t="n"/>
      <c r="I62" s="160" t="n"/>
      <c r="J62" s="158" t="inlineStr">
        <is>
          <t>LABORES OPERACIONALES</t>
        </is>
      </c>
      <c r="K62" s="158" t="inlineStr">
        <is>
          <t>GUANTEO</t>
        </is>
      </c>
      <c r="L62" s="158" t="inlineStr">
        <is>
          <t>SERV.CONTRATISTA</t>
        </is>
      </c>
      <c r="M62" s="158" t="n"/>
      <c r="N62" s="158" t="inlineStr">
        <is>
          <t>.   .   -</t>
        </is>
      </c>
      <c r="O62" s="229" t="inlineStr">
        <is>
          <t>ENERO</t>
        </is>
      </c>
      <c r="P62" s="158" t="n">
        <v>2</v>
      </c>
      <c r="Q62" s="162" t="n">
        <v>383600</v>
      </c>
      <c r="R62" s="163" t="n"/>
      <c r="S62" s="164" t="n">
        <v>383600</v>
      </c>
      <c r="T62" s="158" t="inlineStr">
        <is>
          <t>CLP</t>
        </is>
      </c>
      <c r="U62" s="158" t="inlineStr">
        <is>
          <t>Carga LH 18-06-26</t>
        </is>
      </c>
      <c r="V62" s="158" t="inlineStr">
        <is>
          <t>2026-06-18</t>
        </is>
      </c>
    </row>
    <row r="63" ht="14" customHeight="1" s="176">
      <c r="A63" s="165" t="inlineStr">
        <is>
          <t>CR-0060</t>
        </is>
      </c>
      <c r="B63" s="165" t="inlineStr">
        <is>
          <t>2026/27</t>
        </is>
      </c>
      <c r="C63" s="230" t="n">
        <v>46035</v>
      </c>
      <c r="D63" s="165" t="inlineStr">
        <is>
          <t>621</t>
        </is>
      </c>
      <c r="E63" s="165" t="inlineStr">
        <is>
          <t>COMPRA</t>
        </is>
      </c>
      <c r="F63" s="160" t="inlineStr">
        <is>
          <t>Mega Catalina</t>
        </is>
      </c>
      <c r="G63" s="160" t="inlineStr">
        <is>
          <t>EUREKA - 1999 (22,5 Ha.)</t>
        </is>
      </c>
      <c r="H63" s="160" t="n"/>
      <c r="I63" s="160" t="n"/>
      <c r="J63" s="165" t="inlineStr">
        <is>
          <t>LABORES OPERACIONALES</t>
        </is>
      </c>
      <c r="K63" s="165" t="inlineStr">
        <is>
          <t>COSECHA</t>
        </is>
      </c>
      <c r="L63" s="165" t="inlineStr">
        <is>
          <t>SERV.CONTRATISTA</t>
        </is>
      </c>
      <c r="M63" s="165" t="n"/>
      <c r="N63" s="165" t="inlineStr">
        <is>
          <t>.   .   -</t>
        </is>
      </c>
      <c r="O63" s="229" t="inlineStr">
        <is>
          <t>ENERO</t>
        </is>
      </c>
      <c r="P63" s="165" t="n">
        <v>2</v>
      </c>
      <c r="Q63" s="162" t="n">
        <v>1433930</v>
      </c>
      <c r="R63" s="167" t="n"/>
      <c r="S63" s="168" t="n">
        <v>1433930</v>
      </c>
      <c r="T63" s="165" t="inlineStr">
        <is>
          <t>CLP</t>
        </is>
      </c>
      <c r="U63" s="165" t="inlineStr">
        <is>
          <t>Carga LH 18-06-26</t>
        </is>
      </c>
      <c r="V63" s="165" t="inlineStr">
        <is>
          <t>2026-06-18</t>
        </is>
      </c>
    </row>
    <row r="64" ht="14" customHeight="1" s="176">
      <c r="A64" s="158" t="inlineStr">
        <is>
          <t>CR-0061</t>
        </is>
      </c>
      <c r="B64" s="158" t="inlineStr">
        <is>
          <t>2026/27</t>
        </is>
      </c>
      <c r="C64" s="228" t="n">
        <v>46035</v>
      </c>
      <c r="D64" s="158" t="inlineStr">
        <is>
          <t>621</t>
        </is>
      </c>
      <c r="E64" s="158" t="inlineStr">
        <is>
          <t>COMPRA</t>
        </is>
      </c>
      <c r="F64" s="160" t="inlineStr">
        <is>
          <t>Mega Catalina</t>
        </is>
      </c>
      <c r="G64" s="160" t="inlineStr">
        <is>
          <t>EUREKA - 1999 (10,6 Ha.)</t>
        </is>
      </c>
      <c r="H64" s="160" t="n"/>
      <c r="I64" s="160" t="n"/>
      <c r="J64" s="158" t="inlineStr">
        <is>
          <t>LABORES OPERACIONALES</t>
        </is>
      </c>
      <c r="K64" s="158" t="inlineStr">
        <is>
          <t>COSECHA</t>
        </is>
      </c>
      <c r="L64" s="158" t="inlineStr">
        <is>
          <t>SERV.CONTRATISTA</t>
        </is>
      </c>
      <c r="M64" s="158" t="n"/>
      <c r="N64" s="158" t="inlineStr">
        <is>
          <t>.   .   -</t>
        </is>
      </c>
      <c r="O64" s="229" t="inlineStr">
        <is>
          <t>ENERO</t>
        </is>
      </c>
      <c r="P64" s="158" t="n">
        <v>2</v>
      </c>
      <c r="Q64" s="162" t="n">
        <v>1301040</v>
      </c>
      <c r="R64" s="163" t="n"/>
      <c r="S64" s="164" t="n">
        <v>1301040</v>
      </c>
      <c r="T64" s="158" t="inlineStr">
        <is>
          <t>CLP</t>
        </is>
      </c>
      <c r="U64" s="158" t="inlineStr">
        <is>
          <t>Carga LH 18-06-26</t>
        </is>
      </c>
      <c r="V64" s="158" t="inlineStr">
        <is>
          <t>2026-06-18</t>
        </is>
      </c>
    </row>
    <row r="65" ht="14" customHeight="1" s="176">
      <c r="A65" s="165" t="inlineStr">
        <is>
          <t>CR-0062</t>
        </is>
      </c>
      <c r="B65" s="165" t="inlineStr">
        <is>
          <t>2026/27</t>
        </is>
      </c>
      <c r="C65" s="230" t="n">
        <v>46035</v>
      </c>
      <c r="D65" s="165" t="inlineStr">
        <is>
          <t>621</t>
        </is>
      </c>
      <c r="E65" s="165" t="inlineStr">
        <is>
          <t>COMPRA</t>
        </is>
      </c>
      <c r="F65" s="160" t="inlineStr">
        <is>
          <t>Mega Catalina</t>
        </is>
      </c>
      <c r="G65" s="160" t="inlineStr">
        <is>
          <t>FINO 49 - 1999 (7,7 Ha.)</t>
        </is>
      </c>
      <c r="H65" s="160" t="n"/>
      <c r="I65" s="160" t="n"/>
      <c r="J65" s="165" t="inlineStr">
        <is>
          <t>LABORES OPERACIONALES</t>
        </is>
      </c>
      <c r="K65" s="165" t="inlineStr">
        <is>
          <t>COSECHA</t>
        </is>
      </c>
      <c r="L65" s="165" t="inlineStr">
        <is>
          <t>SERV.CONTRATISTA</t>
        </is>
      </c>
      <c r="M65" s="165" t="n"/>
      <c r="N65" s="165" t="inlineStr">
        <is>
          <t>.   .   -</t>
        </is>
      </c>
      <c r="O65" s="229" t="inlineStr">
        <is>
          <t>ENERO</t>
        </is>
      </c>
      <c r="P65" s="165" t="n">
        <v>2</v>
      </c>
      <c r="Q65" s="162" t="n">
        <v>784290</v>
      </c>
      <c r="R65" s="167" t="n"/>
      <c r="S65" s="168" t="n">
        <v>784290</v>
      </c>
      <c r="T65" s="165" t="inlineStr">
        <is>
          <t>CLP</t>
        </is>
      </c>
      <c r="U65" s="165" t="inlineStr">
        <is>
          <t>Carga LH 18-06-26</t>
        </is>
      </c>
      <c r="V65" s="165" t="inlineStr">
        <is>
          <t>2026-06-18</t>
        </is>
      </c>
    </row>
    <row r="66" ht="14" customHeight="1" s="176">
      <c r="A66" s="158" t="inlineStr">
        <is>
          <t>CR-0063</t>
        </is>
      </c>
      <c r="B66" s="158" t="inlineStr">
        <is>
          <t>2026/27</t>
        </is>
      </c>
      <c r="C66" s="228" t="n">
        <v>46035</v>
      </c>
      <c r="D66" s="158" t="inlineStr">
        <is>
          <t>1001</t>
        </is>
      </c>
      <c r="E66" s="158" t="inlineStr">
        <is>
          <t>COMPRA</t>
        </is>
      </c>
      <c r="F66" s="160" t="inlineStr">
        <is>
          <t>Mega Catalina</t>
        </is>
      </c>
      <c r="G66" s="160" t="inlineStr">
        <is>
          <t>EUREKA - 1999 (22,5 Ha.)</t>
        </is>
      </c>
      <c r="H66" s="160" t="n"/>
      <c r="I66" s="160" t="n"/>
      <c r="J66" s="158" t="inlineStr">
        <is>
          <t>LABORES OPERACIONALES</t>
        </is>
      </c>
      <c r="K66" s="158" t="inlineStr">
        <is>
          <t>COSECHA</t>
        </is>
      </c>
      <c r="L66" s="158" t="inlineStr">
        <is>
          <t>SERV.CONTRATISTA</t>
        </is>
      </c>
      <c r="M66" s="158" t="n"/>
      <c r="N66" s="158" t="inlineStr">
        <is>
          <t>.   .   -</t>
        </is>
      </c>
      <c r="O66" s="229" t="inlineStr">
        <is>
          <t>ENERO</t>
        </is>
      </c>
      <c r="P66" s="158" t="n">
        <v>2</v>
      </c>
      <c r="Q66" s="162" t="n">
        <v>630960</v>
      </c>
      <c r="R66" s="163" t="n"/>
      <c r="S66" s="164" t="n">
        <v>630960</v>
      </c>
      <c r="T66" s="158" t="inlineStr">
        <is>
          <t>CLP</t>
        </is>
      </c>
      <c r="U66" s="158" t="inlineStr">
        <is>
          <t>Carga LH 18-06-26</t>
        </is>
      </c>
      <c r="V66" s="158" t="inlineStr">
        <is>
          <t>2026-06-18</t>
        </is>
      </c>
    </row>
    <row r="67" ht="14" customHeight="1" s="176">
      <c r="A67" s="165" t="inlineStr">
        <is>
          <t>CR-0064</t>
        </is>
      </c>
      <c r="B67" s="165" t="inlineStr">
        <is>
          <t>2026/27</t>
        </is>
      </c>
      <c r="C67" s="230" t="n">
        <v>46035</v>
      </c>
      <c r="D67" s="165" t="inlineStr">
        <is>
          <t>1001</t>
        </is>
      </c>
      <c r="E67" s="165" t="inlineStr">
        <is>
          <t>COMPRA</t>
        </is>
      </c>
      <c r="F67" s="160" t="inlineStr">
        <is>
          <t>Mega Catalina</t>
        </is>
      </c>
      <c r="G67" s="160" t="inlineStr">
        <is>
          <t>EUREKA - 1999 (10,6 Ha.)</t>
        </is>
      </c>
      <c r="H67" s="160" t="n"/>
      <c r="I67" s="160" t="n"/>
      <c r="J67" s="165" t="inlineStr">
        <is>
          <t>LABORES OPERACIONALES</t>
        </is>
      </c>
      <c r="K67" s="165" t="inlineStr">
        <is>
          <t>COSECHA</t>
        </is>
      </c>
      <c r="L67" s="165" t="inlineStr">
        <is>
          <t>SERV.CONTRATISTA</t>
        </is>
      </c>
      <c r="M67" s="165" t="n"/>
      <c r="N67" s="165" t="inlineStr">
        <is>
          <t>.   .   -</t>
        </is>
      </c>
      <c r="O67" s="229" t="inlineStr">
        <is>
          <t>ENERO</t>
        </is>
      </c>
      <c r="P67" s="165" t="n">
        <v>2</v>
      </c>
      <c r="Q67" s="162" t="n">
        <v>469170</v>
      </c>
      <c r="R67" s="167" t="n"/>
      <c r="S67" s="168" t="n">
        <v>469170</v>
      </c>
      <c r="T67" s="165" t="inlineStr">
        <is>
          <t>CLP</t>
        </is>
      </c>
      <c r="U67" s="165" t="inlineStr">
        <is>
          <t>Carga LH 18-06-26</t>
        </is>
      </c>
      <c r="V67" s="165" t="inlineStr">
        <is>
          <t>2026-06-18</t>
        </is>
      </c>
    </row>
    <row r="68" ht="14" customHeight="1" s="176">
      <c r="A68" s="158" t="inlineStr">
        <is>
          <t>CR-0065</t>
        </is>
      </c>
      <c r="B68" s="158" t="inlineStr">
        <is>
          <t>2026/27</t>
        </is>
      </c>
      <c r="C68" s="228" t="n">
        <v>46035</v>
      </c>
      <c r="D68" s="158" t="inlineStr">
        <is>
          <t>1001</t>
        </is>
      </c>
      <c r="E68" s="158" t="inlineStr">
        <is>
          <t>COMPRA</t>
        </is>
      </c>
      <c r="F68" s="160" t="inlineStr">
        <is>
          <t>Mega Catalina</t>
        </is>
      </c>
      <c r="G68" s="160" t="inlineStr">
        <is>
          <t>FINO 49 - 1999 (7,7 Ha.)</t>
        </is>
      </c>
      <c r="H68" s="160" t="n"/>
      <c r="I68" s="160" t="n"/>
      <c r="J68" s="158" t="inlineStr">
        <is>
          <t>LABORES OPERACIONALES</t>
        </is>
      </c>
      <c r="K68" s="158" t="inlineStr">
        <is>
          <t>COSECHA</t>
        </is>
      </c>
      <c r="L68" s="158" t="inlineStr">
        <is>
          <t>SERV.CONTRATISTA</t>
        </is>
      </c>
      <c r="M68" s="158" t="n"/>
      <c r="N68" s="158" t="inlineStr">
        <is>
          <t>.   .   -</t>
        </is>
      </c>
      <c r="O68" s="229" t="inlineStr">
        <is>
          <t>ENERO</t>
        </is>
      </c>
      <c r="P68" s="158" t="n">
        <v>2</v>
      </c>
      <c r="Q68" s="162" t="n">
        <v>462510</v>
      </c>
      <c r="R68" s="163" t="n"/>
      <c r="S68" s="164" t="n">
        <v>462510</v>
      </c>
      <c r="T68" s="158" t="inlineStr">
        <is>
          <t>CLP</t>
        </is>
      </c>
      <c r="U68" s="158" t="inlineStr">
        <is>
          <t>Carga LH 18-06-26</t>
        </is>
      </c>
      <c r="V68" s="158" t="inlineStr">
        <is>
          <t>2026-06-18</t>
        </is>
      </c>
    </row>
    <row r="69" ht="14" customHeight="1" s="176">
      <c r="A69" s="165" t="inlineStr">
        <is>
          <t>CR-0066</t>
        </is>
      </c>
      <c r="B69" s="165" t="inlineStr">
        <is>
          <t>2026/27</t>
        </is>
      </c>
      <c r="C69" s="230" t="n">
        <v>46035</v>
      </c>
      <c r="D69" s="165" t="inlineStr">
        <is>
          <t>99</t>
        </is>
      </c>
      <c r="E69" s="165" t="inlineStr">
        <is>
          <t>COMPRA</t>
        </is>
      </c>
      <c r="F69" s="160" t="inlineStr">
        <is>
          <t>Mega Catalina</t>
        </is>
      </c>
      <c r="G69" s="160" t="inlineStr">
        <is>
          <t>EUREKA - 1999 (22,5 Ha.)</t>
        </is>
      </c>
      <c r="H69" s="160" t="n"/>
      <c r="I69" s="160" t="n"/>
      <c r="J69" s="165" t="inlineStr">
        <is>
          <t>LABORES OPERACIONALES</t>
        </is>
      </c>
      <c r="K69" s="165" t="inlineStr">
        <is>
          <t>COSECHA</t>
        </is>
      </c>
      <c r="L69" s="165" t="inlineStr">
        <is>
          <t>SERV.CONTRATISTA</t>
        </is>
      </c>
      <c r="M69" s="165" t="n"/>
      <c r="N69" s="165" t="inlineStr">
        <is>
          <t>.   .   -</t>
        </is>
      </c>
      <c r="O69" s="229" t="inlineStr">
        <is>
          <t>ENERO</t>
        </is>
      </c>
      <c r="P69" s="165" t="n">
        <v>2</v>
      </c>
      <c r="Q69" s="162" t="n">
        <v>1435740</v>
      </c>
      <c r="R69" s="167" t="n"/>
      <c r="S69" s="168" t="n">
        <v>1435740</v>
      </c>
      <c r="T69" s="165" t="inlineStr">
        <is>
          <t>CLP</t>
        </is>
      </c>
      <c r="U69" s="165" t="inlineStr">
        <is>
          <t>Carga LH 18-06-26</t>
        </is>
      </c>
      <c r="V69" s="165" t="inlineStr">
        <is>
          <t>2026-06-18</t>
        </is>
      </c>
    </row>
    <row r="70" ht="14" customHeight="1" s="176">
      <c r="A70" s="158" t="inlineStr">
        <is>
          <t>CR-0067</t>
        </is>
      </c>
      <c r="B70" s="158" t="inlineStr">
        <is>
          <t>2026/27</t>
        </is>
      </c>
      <c r="C70" s="228" t="n">
        <v>46035</v>
      </c>
      <c r="D70" s="158" t="inlineStr">
        <is>
          <t>99</t>
        </is>
      </c>
      <c r="E70" s="158" t="inlineStr">
        <is>
          <t>COMPRA</t>
        </is>
      </c>
      <c r="F70" s="160" t="inlineStr">
        <is>
          <t>Mega Catalina</t>
        </is>
      </c>
      <c r="G70" s="160" t="inlineStr">
        <is>
          <t>EUREKA - 1999 (10,6 Ha.)</t>
        </is>
      </c>
      <c r="H70" s="160" t="n"/>
      <c r="I70" s="160" t="n"/>
      <c r="J70" s="158" t="inlineStr">
        <is>
          <t>LABORES OPERACIONALES</t>
        </is>
      </c>
      <c r="K70" s="158" t="inlineStr">
        <is>
          <t>COSECHA</t>
        </is>
      </c>
      <c r="L70" s="158" t="inlineStr">
        <is>
          <t>SERV.CONTRATISTA</t>
        </is>
      </c>
      <c r="M70" s="158" t="n"/>
      <c r="N70" s="158" t="inlineStr">
        <is>
          <t>.   .   -</t>
        </is>
      </c>
      <c r="O70" s="229" t="inlineStr">
        <is>
          <t>ENERO</t>
        </is>
      </c>
      <c r="P70" s="158" t="n">
        <v>2</v>
      </c>
      <c r="Q70" s="162" t="n">
        <v>1614330</v>
      </c>
      <c r="R70" s="163" t="n"/>
      <c r="S70" s="164" t="n">
        <v>1614330</v>
      </c>
      <c r="T70" s="158" t="inlineStr">
        <is>
          <t>CLP</t>
        </is>
      </c>
      <c r="U70" s="158" t="inlineStr">
        <is>
          <t>Carga LH 18-06-26</t>
        </is>
      </c>
      <c r="V70" s="158" t="inlineStr">
        <is>
          <t>2026-06-18</t>
        </is>
      </c>
    </row>
    <row r="71" ht="14" customHeight="1" s="176">
      <c r="A71" s="165" t="inlineStr">
        <is>
          <t>CR-0068</t>
        </is>
      </c>
      <c r="B71" s="165" t="inlineStr">
        <is>
          <t>2026/27</t>
        </is>
      </c>
      <c r="C71" s="230" t="n">
        <v>46037</v>
      </c>
      <c r="D71" s="165" t="inlineStr">
        <is>
          <t>74205</t>
        </is>
      </c>
      <c r="E71" s="165" t="inlineStr">
        <is>
          <t>COMPRA</t>
        </is>
      </c>
      <c r="F71" s="160" t="inlineStr">
        <is>
          <t>Mega Catalina</t>
        </is>
      </c>
      <c r="G71" s="160" t="inlineStr">
        <is>
          <t>MURCOTT - 2007 (21 Ha.)</t>
        </is>
      </c>
      <c r="H71" s="160" t="n"/>
      <c r="I71" s="160" t="n"/>
      <c r="J71" s="165" t="inlineStr">
        <is>
          <t>MANT. Y REP. EQUI. RIEGO</t>
        </is>
      </c>
      <c r="K71" s="165" t="inlineStr">
        <is>
          <t>SALAS DE RIEGO</t>
        </is>
      </c>
      <c r="L71" s="165" t="inlineStr">
        <is>
          <t>O/001228 BOMBA PENT</t>
        </is>
      </c>
      <c r="M71" s="165" t="n"/>
      <c r="N71" s="165" t="inlineStr">
        <is>
          <t>.   .   -</t>
        </is>
      </c>
      <c r="O71" s="229" t="inlineStr">
        <is>
          <t>ENERO</t>
        </is>
      </c>
      <c r="P71" s="165" t="n">
        <v>3</v>
      </c>
      <c r="Q71" s="162" t="n">
        <v>797083</v>
      </c>
      <c r="R71" s="167" t="n"/>
      <c r="S71" s="168" t="n">
        <v>797083</v>
      </c>
      <c r="T71" s="165" t="inlineStr">
        <is>
          <t>CLP</t>
        </is>
      </c>
      <c r="U71" s="165" t="inlineStr">
        <is>
          <t>Carga LH 18-06-26</t>
        </is>
      </c>
      <c r="V71" s="165" t="inlineStr">
        <is>
          <t>2026-06-18</t>
        </is>
      </c>
    </row>
    <row r="72" ht="14" customHeight="1" s="176">
      <c r="A72" s="158" t="inlineStr">
        <is>
          <t>CR-0069</t>
        </is>
      </c>
      <c r="B72" s="158" t="inlineStr">
        <is>
          <t>2026/27</t>
        </is>
      </c>
      <c r="C72" s="228" t="n">
        <v>46037</v>
      </c>
      <c r="D72" s="158" t="inlineStr">
        <is>
          <t>74252</t>
        </is>
      </c>
      <c r="E72" s="158" t="inlineStr">
        <is>
          <t>COMPRA</t>
        </is>
      </c>
      <c r="F72" s="160" t="inlineStr">
        <is>
          <t>Mega Catalina</t>
        </is>
      </c>
      <c r="G72" s="160" t="inlineStr">
        <is>
          <t>EUREKA - 1999 (22,5 Ha.)</t>
        </is>
      </c>
      <c r="H72" s="160" t="n"/>
      <c r="I72" s="160" t="n"/>
      <c r="J72" s="158" t="inlineStr">
        <is>
          <t>MANT. Y REP. EQUI. RIEGO</t>
        </is>
      </c>
      <c r="K72" s="158" t="inlineStr">
        <is>
          <t>MAT.RIEGO HUERTO</t>
        </is>
      </c>
      <c r="L72" s="158" t="inlineStr">
        <is>
          <t>O/001236 LINEA MULT</t>
        </is>
      </c>
      <c r="M72" s="158" t="n"/>
      <c r="N72" s="158" t="inlineStr">
        <is>
          <t>.   .   -</t>
        </is>
      </c>
      <c r="O72" s="229" t="inlineStr">
        <is>
          <t>ENERO</t>
        </is>
      </c>
      <c r="P72" s="158" t="n">
        <v>3</v>
      </c>
      <c r="Q72" s="162" t="n">
        <v>181513</v>
      </c>
      <c r="R72" s="163" t="n"/>
      <c r="S72" s="164" t="n">
        <v>181513</v>
      </c>
      <c r="T72" s="158" t="inlineStr">
        <is>
          <t>CLP</t>
        </is>
      </c>
      <c r="U72" s="158" t="inlineStr">
        <is>
          <t>Carga LH 18-06-26</t>
        </is>
      </c>
      <c r="V72" s="158" t="inlineStr">
        <is>
          <t>2026-06-18</t>
        </is>
      </c>
    </row>
    <row r="73" ht="14" customHeight="1" s="176">
      <c r="A73" s="165" t="inlineStr">
        <is>
          <t>CR-0070</t>
        </is>
      </c>
      <c r="B73" s="165" t="inlineStr">
        <is>
          <t>2026/27</t>
        </is>
      </c>
      <c r="C73" s="230" t="n">
        <v>46037</v>
      </c>
      <c r="D73" s="165" t="inlineStr">
        <is>
          <t>74252</t>
        </is>
      </c>
      <c r="E73" s="165" t="inlineStr">
        <is>
          <t>COMPRA</t>
        </is>
      </c>
      <c r="F73" s="160" t="inlineStr">
        <is>
          <t>Mega Catalina</t>
        </is>
      </c>
      <c r="G73" s="160" t="inlineStr">
        <is>
          <t>MURCOTT - 2007 (21 Ha.)</t>
        </is>
      </c>
      <c r="H73" s="160" t="n"/>
      <c r="I73" s="160" t="n"/>
      <c r="J73" s="165" t="inlineStr">
        <is>
          <t>MANT. Y REP. EQUI. RIEGO</t>
        </is>
      </c>
      <c r="K73" s="165" t="inlineStr">
        <is>
          <t>MAT.RIEGO HUERTO</t>
        </is>
      </c>
      <c r="L73" s="165" t="inlineStr">
        <is>
          <t>O/001236 LINEA MULT</t>
        </is>
      </c>
      <c r="M73" s="165" t="n"/>
      <c r="N73" s="165" t="inlineStr">
        <is>
          <t>.   .   -</t>
        </is>
      </c>
      <c r="O73" s="229" t="inlineStr">
        <is>
          <t>ENERO</t>
        </is>
      </c>
      <c r="P73" s="165" t="n">
        <v>3</v>
      </c>
      <c r="Q73" s="162" t="n">
        <v>297227</v>
      </c>
      <c r="R73" s="167" t="n"/>
      <c r="S73" s="168" t="n">
        <v>297227</v>
      </c>
      <c r="T73" s="165" t="inlineStr">
        <is>
          <t>CLP</t>
        </is>
      </c>
      <c r="U73" s="165" t="inlineStr">
        <is>
          <t>Carga LH 18-06-26</t>
        </is>
      </c>
      <c r="V73" s="165" t="inlineStr">
        <is>
          <t>2026-06-18</t>
        </is>
      </c>
    </row>
    <row r="74" ht="14" customHeight="1" s="176">
      <c r="A74" s="158" t="inlineStr">
        <is>
          <t>CR-0071</t>
        </is>
      </c>
      <c r="B74" s="158" t="inlineStr">
        <is>
          <t>2026/27</t>
        </is>
      </c>
      <c r="C74" s="228" t="n">
        <v>46038</v>
      </c>
      <c r="D74" s="158" t="inlineStr">
        <is>
          <t>256</t>
        </is>
      </c>
      <c r="E74" s="158" t="inlineStr">
        <is>
          <t>COMPRA</t>
        </is>
      </c>
      <c r="F74" s="160" t="inlineStr">
        <is>
          <t>Mega Catalina</t>
        </is>
      </c>
      <c r="G74" s="160" t="inlineStr">
        <is>
          <t>EUREKA - 1999 (22,5 Ha.)</t>
        </is>
      </c>
      <c r="H74" s="160" t="n"/>
      <c r="I74" s="160" t="n"/>
      <c r="J74" s="158" t="inlineStr">
        <is>
          <t>LABORES OPERACIONALES</t>
        </is>
      </c>
      <c r="K74" s="158" t="inlineStr">
        <is>
          <t>OTROS SERVICIOS</t>
        </is>
      </c>
      <c r="L74" s="158" t="inlineStr">
        <is>
          <t>SERV.CONTRATISTA</t>
        </is>
      </c>
      <c r="M74" s="158" t="n"/>
      <c r="N74" s="158" t="inlineStr">
        <is>
          <t>.   .   -</t>
        </is>
      </c>
      <c r="O74" s="229" t="inlineStr">
        <is>
          <t>ENERO</t>
        </is>
      </c>
      <c r="P74" s="158" t="n">
        <v>3</v>
      </c>
      <c r="Q74" s="162" t="n">
        <v>628530</v>
      </c>
      <c r="R74" s="163" t="n"/>
      <c r="S74" s="164" t="n">
        <v>628530</v>
      </c>
      <c r="T74" s="158" t="inlineStr">
        <is>
          <t>CLP</t>
        </is>
      </c>
      <c r="U74" s="158" t="inlineStr">
        <is>
          <t>Carga LH 18-06-26</t>
        </is>
      </c>
      <c r="V74" s="158" t="inlineStr">
        <is>
          <t>2026-06-18</t>
        </is>
      </c>
    </row>
    <row r="75" ht="14" customHeight="1" s="176">
      <c r="A75" s="165" t="inlineStr">
        <is>
          <t>CR-0072</t>
        </is>
      </c>
      <c r="B75" s="165" t="inlineStr">
        <is>
          <t>2026/27</t>
        </is>
      </c>
      <c r="C75" s="230" t="n">
        <v>46038</v>
      </c>
      <c r="D75" s="165" t="inlineStr">
        <is>
          <t>256</t>
        </is>
      </c>
      <c r="E75" s="165" t="inlineStr">
        <is>
          <t>COMPRA</t>
        </is>
      </c>
      <c r="F75" s="160" t="inlineStr">
        <is>
          <t>Mega Catalina</t>
        </is>
      </c>
      <c r="G75" s="160" t="inlineStr">
        <is>
          <t>EUREKA - 1999 (10,6 Ha.)</t>
        </is>
      </c>
      <c r="H75" s="160" t="n"/>
      <c r="I75" s="160" t="n"/>
      <c r="J75" s="165" t="inlineStr">
        <is>
          <t>LABORES OPERACIONALES</t>
        </is>
      </c>
      <c r="K75" s="165" t="inlineStr">
        <is>
          <t>OTROS SERVICIOS</t>
        </is>
      </c>
      <c r="L75" s="165" t="inlineStr">
        <is>
          <t>SERV.CONTRATISTA</t>
        </is>
      </c>
      <c r="M75" s="165" t="n"/>
      <c r="N75" s="165" t="inlineStr">
        <is>
          <t>.   .   -</t>
        </is>
      </c>
      <c r="O75" s="229" t="inlineStr">
        <is>
          <t>ENERO</t>
        </is>
      </c>
      <c r="P75" s="165" t="n">
        <v>3</v>
      </c>
      <c r="Q75" s="162" t="n">
        <v>286890</v>
      </c>
      <c r="R75" s="167" t="n"/>
      <c r="S75" s="168" t="n">
        <v>286890</v>
      </c>
      <c r="T75" s="165" t="inlineStr">
        <is>
          <t>CLP</t>
        </is>
      </c>
      <c r="U75" s="165" t="inlineStr">
        <is>
          <t>Carga LH 18-06-26</t>
        </is>
      </c>
      <c r="V75" s="165" t="inlineStr">
        <is>
          <t>2026-06-18</t>
        </is>
      </c>
    </row>
    <row r="76" ht="14" customHeight="1" s="176">
      <c r="A76" s="158" t="inlineStr">
        <is>
          <t>CR-0073</t>
        </is>
      </c>
      <c r="B76" s="158" t="inlineStr">
        <is>
          <t>2026/27</t>
        </is>
      </c>
      <c r="C76" s="228" t="n">
        <v>46038</v>
      </c>
      <c r="D76" s="158" t="inlineStr">
        <is>
          <t>256</t>
        </is>
      </c>
      <c r="E76" s="158" t="inlineStr">
        <is>
          <t>COMPRA</t>
        </is>
      </c>
      <c r="F76" s="160" t="inlineStr">
        <is>
          <t>Mega Catalina</t>
        </is>
      </c>
      <c r="G76" s="160" t="inlineStr">
        <is>
          <t>EUREKA - 2016 (14,4 Ha.)</t>
        </is>
      </c>
      <c r="H76" s="160" t="n"/>
      <c r="I76" s="160" t="n"/>
      <c r="J76" s="158" t="inlineStr">
        <is>
          <t>LABORES OPERACIONALES</t>
        </is>
      </c>
      <c r="K76" s="158" t="inlineStr">
        <is>
          <t>OTROS SERVICIOS</t>
        </is>
      </c>
      <c r="L76" s="158" t="inlineStr">
        <is>
          <t>SERV.CONTRATISTA</t>
        </is>
      </c>
      <c r="M76" s="158" t="n"/>
      <c r="N76" s="158" t="inlineStr">
        <is>
          <t>.   .   -</t>
        </is>
      </c>
      <c r="O76" s="229" t="inlineStr">
        <is>
          <t>ENERO</t>
        </is>
      </c>
      <c r="P76" s="158" t="n">
        <v>3</v>
      </c>
      <c r="Q76" s="162" t="n">
        <v>278130</v>
      </c>
      <c r="R76" s="163" t="n"/>
      <c r="S76" s="164" t="n">
        <v>278130</v>
      </c>
      <c r="T76" s="158" t="inlineStr">
        <is>
          <t>CLP</t>
        </is>
      </c>
      <c r="U76" s="158" t="inlineStr">
        <is>
          <t>Carga LH 18-06-26</t>
        </is>
      </c>
      <c r="V76" s="158" t="inlineStr">
        <is>
          <t>2026-06-18</t>
        </is>
      </c>
    </row>
    <row r="77" ht="14" customHeight="1" s="176">
      <c r="A77" s="165" t="inlineStr">
        <is>
          <t>CR-0074</t>
        </is>
      </c>
      <c r="B77" s="165" t="inlineStr">
        <is>
          <t>2026/27</t>
        </is>
      </c>
      <c r="C77" s="230" t="n">
        <v>46038</v>
      </c>
      <c r="D77" s="165" t="inlineStr">
        <is>
          <t>256</t>
        </is>
      </c>
      <c r="E77" s="165" t="inlineStr">
        <is>
          <t>COMPRA</t>
        </is>
      </c>
      <c r="F77" s="160" t="inlineStr">
        <is>
          <t>Mega Catalina</t>
        </is>
      </c>
      <c r="G77" s="160" t="inlineStr">
        <is>
          <t>FINO 49 - 1999 (7,7 Ha.)</t>
        </is>
      </c>
      <c r="H77" s="160" t="n"/>
      <c r="I77" s="160" t="n"/>
      <c r="J77" s="165" t="inlineStr">
        <is>
          <t>LABORES OPERACIONALES</t>
        </is>
      </c>
      <c r="K77" s="165" t="inlineStr">
        <is>
          <t>OTROS SERVICIOS</t>
        </is>
      </c>
      <c r="L77" s="165" t="inlineStr">
        <is>
          <t>SERV.CONTRATISTA</t>
        </is>
      </c>
      <c r="M77" s="165" t="n"/>
      <c r="N77" s="165" t="inlineStr">
        <is>
          <t>.   .   -</t>
        </is>
      </c>
      <c r="O77" s="229" t="inlineStr">
        <is>
          <t>ENERO</t>
        </is>
      </c>
      <c r="P77" s="165" t="n">
        <v>3</v>
      </c>
      <c r="Q77" s="162" t="n">
        <v>223380</v>
      </c>
      <c r="R77" s="167" t="n"/>
      <c r="S77" s="168" t="n">
        <v>223380</v>
      </c>
      <c r="T77" s="165" t="inlineStr">
        <is>
          <t>CLP</t>
        </is>
      </c>
      <c r="U77" s="165" t="inlineStr">
        <is>
          <t>Carga LH 18-06-26</t>
        </is>
      </c>
      <c r="V77" s="165" t="inlineStr">
        <is>
          <t>2026-06-18</t>
        </is>
      </c>
    </row>
    <row r="78" ht="14" customHeight="1" s="176">
      <c r="A78" s="158" t="inlineStr">
        <is>
          <t>CR-0075</t>
        </is>
      </c>
      <c r="B78" s="158" t="inlineStr">
        <is>
          <t>2026/27</t>
        </is>
      </c>
      <c r="C78" s="228" t="n">
        <v>46038</v>
      </c>
      <c r="D78" s="158" t="inlineStr">
        <is>
          <t>256</t>
        </is>
      </c>
      <c r="E78" s="158" t="inlineStr">
        <is>
          <t>COMPRA</t>
        </is>
      </c>
      <c r="F78" s="160" t="inlineStr">
        <is>
          <t>Mega Catalina</t>
        </is>
      </c>
      <c r="G78" s="160" t="inlineStr">
        <is>
          <t>NO USAR NARANJAS CAMBRIA (4,2 Hta.)</t>
        </is>
      </c>
      <c r="H78" s="160" t="n"/>
      <c r="I78" s="160" t="n"/>
      <c r="J78" s="158" t="inlineStr">
        <is>
          <t>LABORES OPERACIONALES</t>
        </is>
      </c>
      <c r="K78" s="158" t="inlineStr">
        <is>
          <t>OTROS SERVICIOS</t>
        </is>
      </c>
      <c r="L78" s="158" t="inlineStr">
        <is>
          <t>SERV.CONTRATISTA</t>
        </is>
      </c>
      <c r="M78" s="158" t="n"/>
      <c r="N78" s="158" t="inlineStr">
        <is>
          <t>.   .   -</t>
        </is>
      </c>
      <c r="O78" s="229" t="inlineStr">
        <is>
          <t>ENERO</t>
        </is>
      </c>
      <c r="P78" s="158" t="n">
        <v>3</v>
      </c>
      <c r="Q78" s="162" t="n">
        <v>81030</v>
      </c>
      <c r="R78" s="163" t="n"/>
      <c r="S78" s="164" t="n">
        <v>81030</v>
      </c>
      <c r="T78" s="158" t="inlineStr">
        <is>
          <t>CLP</t>
        </is>
      </c>
      <c r="U78" s="158" t="inlineStr">
        <is>
          <t>Carga LH 18-06-26</t>
        </is>
      </c>
      <c r="V78" s="158" t="inlineStr">
        <is>
          <t>2026-06-18</t>
        </is>
      </c>
    </row>
    <row r="79" ht="14" customHeight="1" s="176">
      <c r="A79" s="165" t="inlineStr">
        <is>
          <t>CR-0076</t>
        </is>
      </c>
      <c r="B79" s="165" t="inlineStr">
        <is>
          <t>2026/27</t>
        </is>
      </c>
      <c r="C79" s="230" t="n">
        <v>46038</v>
      </c>
      <c r="D79" s="165" t="inlineStr">
        <is>
          <t>256</t>
        </is>
      </c>
      <c r="E79" s="165" t="inlineStr">
        <is>
          <t>COMPRA</t>
        </is>
      </c>
      <c r="F79" s="160" t="inlineStr">
        <is>
          <t>Mega Catalina</t>
        </is>
      </c>
      <c r="G79" s="160" t="inlineStr">
        <is>
          <t>MURCOTT - 2007 (21 Ha.)</t>
        </is>
      </c>
      <c r="H79" s="160" t="n"/>
      <c r="I79" s="160" t="n"/>
      <c r="J79" s="165" t="inlineStr">
        <is>
          <t>LABORES OPERACIONALES</t>
        </is>
      </c>
      <c r="K79" s="165" t="inlineStr">
        <is>
          <t>OTROS SERVICIOS</t>
        </is>
      </c>
      <c r="L79" s="165" t="inlineStr">
        <is>
          <t>SERV.CONTRATISTA</t>
        </is>
      </c>
      <c r="M79" s="165" t="n"/>
      <c r="N79" s="165" t="inlineStr">
        <is>
          <t>.   .   -</t>
        </is>
      </c>
      <c r="O79" s="229" t="inlineStr">
        <is>
          <t>ENERO</t>
        </is>
      </c>
      <c r="P79" s="165" t="n">
        <v>3</v>
      </c>
      <c r="Q79" s="162" t="n">
        <v>405150</v>
      </c>
      <c r="R79" s="167" t="n"/>
      <c r="S79" s="168" t="n">
        <v>405150</v>
      </c>
      <c r="T79" s="165" t="inlineStr">
        <is>
          <t>CLP</t>
        </is>
      </c>
      <c r="U79" s="165" t="inlineStr">
        <is>
          <t>Carga LH 18-06-26</t>
        </is>
      </c>
      <c r="V79" s="165" t="inlineStr">
        <is>
          <t>2026-06-18</t>
        </is>
      </c>
    </row>
    <row r="80" ht="14" customHeight="1" s="176">
      <c r="A80" s="158" t="inlineStr">
        <is>
          <t>CR-0077</t>
        </is>
      </c>
      <c r="B80" s="158" t="inlineStr">
        <is>
          <t>2026/27</t>
        </is>
      </c>
      <c r="C80" s="228" t="n">
        <v>46038</v>
      </c>
      <c r="D80" s="158" t="inlineStr">
        <is>
          <t>257</t>
        </is>
      </c>
      <c r="E80" s="158" t="inlineStr">
        <is>
          <t>COMPRA</t>
        </is>
      </c>
      <c r="F80" s="160" t="inlineStr">
        <is>
          <t>Mega Catalina</t>
        </is>
      </c>
      <c r="G80" s="160" t="inlineStr">
        <is>
          <t>INJERTO TIMPSON - 2018 (3,8 Ha.)</t>
        </is>
      </c>
      <c r="H80" s="160" t="n"/>
      <c r="I80" s="160" t="n"/>
      <c r="J80" s="158" t="inlineStr">
        <is>
          <t>LABORES OPERACIONALES</t>
        </is>
      </c>
      <c r="K80" s="158" t="inlineStr">
        <is>
          <t>OTROS SERVICIOS</t>
        </is>
      </c>
      <c r="L80" s="158" t="inlineStr">
        <is>
          <t>SERV.CONTRATISTA</t>
        </is>
      </c>
      <c r="M80" s="158" t="n"/>
      <c r="N80" s="158" t="inlineStr">
        <is>
          <t>.   .   -</t>
        </is>
      </c>
      <c r="O80" s="229" t="inlineStr">
        <is>
          <t>ENERO</t>
        </is>
      </c>
      <c r="P80" s="158" t="n">
        <v>3</v>
      </c>
      <c r="Q80" s="162" t="n">
        <v>125150</v>
      </c>
      <c r="R80" s="163" t="n"/>
      <c r="S80" s="164" t="n">
        <v>125150</v>
      </c>
      <c r="T80" s="158" t="inlineStr">
        <is>
          <t>CLP</t>
        </is>
      </c>
      <c r="U80" s="158" t="inlineStr">
        <is>
          <t>Carga LH 18-06-26</t>
        </is>
      </c>
      <c r="V80" s="158" t="inlineStr">
        <is>
          <t>2026-06-18</t>
        </is>
      </c>
    </row>
    <row r="81" ht="14" customHeight="1" s="176">
      <c r="A81" s="165" t="inlineStr">
        <is>
          <t>CR-0078</t>
        </is>
      </c>
      <c r="B81" s="165" t="inlineStr">
        <is>
          <t>2026/27</t>
        </is>
      </c>
      <c r="C81" s="230" t="n">
        <v>46038</v>
      </c>
      <c r="D81" s="165" t="inlineStr">
        <is>
          <t>257</t>
        </is>
      </c>
      <c r="E81" s="165" t="inlineStr">
        <is>
          <t>COMPRA</t>
        </is>
      </c>
      <c r="F81" s="160" t="inlineStr">
        <is>
          <t>Mega Catalina</t>
        </is>
      </c>
      <c r="G81" s="160" t="inlineStr">
        <is>
          <t>INJERTO TIMPSON - 2019 (4,2 Ha.)</t>
        </is>
      </c>
      <c r="H81" s="160" t="n"/>
      <c r="I81" s="160" t="n"/>
      <c r="J81" s="165" t="inlineStr">
        <is>
          <t>LABORES OPERACIONALES</t>
        </is>
      </c>
      <c r="K81" s="165" t="inlineStr">
        <is>
          <t>OTROS SERVICIOS</t>
        </is>
      </c>
      <c r="L81" s="165" t="inlineStr">
        <is>
          <t>SERV.CONTRATISTA</t>
        </is>
      </c>
      <c r="M81" s="165" t="n"/>
      <c r="N81" s="165" t="inlineStr">
        <is>
          <t>.   .   -</t>
        </is>
      </c>
      <c r="O81" s="229" t="inlineStr">
        <is>
          <t>ENERO</t>
        </is>
      </c>
      <c r="P81" s="165" t="n">
        <v>3</v>
      </c>
      <c r="Q81" s="162" t="n">
        <v>137665</v>
      </c>
      <c r="R81" s="167" t="n"/>
      <c r="S81" s="168" t="n">
        <v>137665</v>
      </c>
      <c r="T81" s="165" t="inlineStr">
        <is>
          <t>CLP</t>
        </is>
      </c>
      <c r="U81" s="165" t="inlineStr">
        <is>
          <t>Carga LH 18-06-26</t>
        </is>
      </c>
      <c r="V81" s="165" t="inlineStr">
        <is>
          <t>2026-06-18</t>
        </is>
      </c>
    </row>
    <row r="82" ht="14" customHeight="1" s="176">
      <c r="A82" s="158" t="inlineStr">
        <is>
          <t>CR-0079</t>
        </is>
      </c>
      <c r="B82" s="158" t="inlineStr">
        <is>
          <t>2026/27</t>
        </is>
      </c>
      <c r="C82" s="228" t="n">
        <v>46038</v>
      </c>
      <c r="D82" s="158" t="inlineStr">
        <is>
          <t>257</t>
        </is>
      </c>
      <c r="E82" s="158" t="inlineStr">
        <is>
          <t>COMPRA</t>
        </is>
      </c>
      <c r="F82" s="160" t="inlineStr">
        <is>
          <t>Mega Catalina</t>
        </is>
      </c>
      <c r="G82" s="160" t="inlineStr">
        <is>
          <t>SWEET CELEBRATION - 2015 (7,14 Ha.)</t>
        </is>
      </c>
      <c r="H82" s="160" t="n"/>
      <c r="I82" s="160" t="n"/>
      <c r="J82" s="158" t="inlineStr">
        <is>
          <t>LABORES OPERACIONALES</t>
        </is>
      </c>
      <c r="K82" s="158" t="inlineStr">
        <is>
          <t>OTROS SERVICIOS</t>
        </is>
      </c>
      <c r="L82" s="158" t="inlineStr">
        <is>
          <t>SERV.CONTRATISTA</t>
        </is>
      </c>
      <c r="M82" s="158" t="n"/>
      <c r="N82" s="158" t="inlineStr">
        <is>
          <t>.   .   -</t>
        </is>
      </c>
      <c r="O82" s="229" t="inlineStr">
        <is>
          <t>ENERO</t>
        </is>
      </c>
      <c r="P82" s="158" t="n">
        <v>3</v>
      </c>
      <c r="Q82" s="162" t="n">
        <v>235282</v>
      </c>
      <c r="R82" s="163" t="n"/>
      <c r="S82" s="164" t="n">
        <v>235282</v>
      </c>
      <c r="T82" s="158" t="inlineStr">
        <is>
          <t>CLP</t>
        </is>
      </c>
      <c r="U82" s="158" t="inlineStr">
        <is>
          <t>Carga LH 18-06-26</t>
        </is>
      </c>
      <c r="V82" s="158" t="inlineStr">
        <is>
          <t>2026-06-18</t>
        </is>
      </c>
    </row>
    <row r="83" ht="14" customHeight="1" s="176">
      <c r="A83" s="165" t="inlineStr">
        <is>
          <t>CR-0080</t>
        </is>
      </c>
      <c r="B83" s="165" t="inlineStr">
        <is>
          <t>2026/27</t>
        </is>
      </c>
      <c r="C83" s="230" t="n">
        <v>46042</v>
      </c>
      <c r="D83" s="165" t="inlineStr">
        <is>
          <t>597</t>
        </is>
      </c>
      <c r="E83" s="165" t="inlineStr">
        <is>
          <t>COMPRA</t>
        </is>
      </c>
      <c r="F83" s="160" t="inlineStr">
        <is>
          <t>El Molle</t>
        </is>
      </c>
      <c r="G83" s="160" t="inlineStr">
        <is>
          <t>ARRUFATINA - 2017 (5,74 Ha.)</t>
        </is>
      </c>
      <c r="H83" s="160" t="n"/>
      <c r="I83" s="160" t="n"/>
      <c r="J83" s="165" t="inlineStr">
        <is>
          <t>LABORES OPERACIONALES</t>
        </is>
      </c>
      <c r="K83" s="165" t="inlineStr">
        <is>
          <t>OTROS SERVICIOS</t>
        </is>
      </c>
      <c r="L83" s="165" t="inlineStr">
        <is>
          <t>SERV.CONTRATISTA</t>
        </is>
      </c>
      <c r="M83" s="165" t="n"/>
      <c r="N83" s="165" t="inlineStr">
        <is>
          <t>.   .   -</t>
        </is>
      </c>
      <c r="O83" s="229" t="inlineStr">
        <is>
          <t>ENERO</t>
        </is>
      </c>
      <c r="P83" s="165" t="n">
        <v>3</v>
      </c>
      <c r="Q83" s="162" t="n">
        <v>255000</v>
      </c>
      <c r="R83" s="167" t="n"/>
      <c r="S83" s="168" t="n">
        <v>255000</v>
      </c>
      <c r="T83" s="165" t="inlineStr">
        <is>
          <t>CLP</t>
        </is>
      </c>
      <c r="U83" s="165" t="inlineStr">
        <is>
          <t>Carga LH 18-06-26</t>
        </is>
      </c>
      <c r="V83" s="165" t="inlineStr">
        <is>
          <t>2026-06-18</t>
        </is>
      </c>
    </row>
    <row r="84" ht="14" customHeight="1" s="176">
      <c r="A84" s="158" t="inlineStr">
        <is>
          <t>CR-0081</t>
        </is>
      </c>
      <c r="B84" s="158" t="inlineStr">
        <is>
          <t>2026/27</t>
        </is>
      </c>
      <c r="C84" s="228" t="n">
        <v>46042</v>
      </c>
      <c r="D84" s="158" t="inlineStr">
        <is>
          <t>597</t>
        </is>
      </c>
      <c r="E84" s="158" t="inlineStr">
        <is>
          <t>COMPRA</t>
        </is>
      </c>
      <c r="F84" s="160" t="inlineStr">
        <is>
          <t>El Molle</t>
        </is>
      </c>
      <c r="G84" s="160" t="inlineStr">
        <is>
          <t>ORONULES - 2017 (2,85 Ha.)</t>
        </is>
      </c>
      <c r="H84" s="160" t="n"/>
      <c r="I84" s="160" t="n"/>
      <c r="J84" s="158" t="inlineStr">
        <is>
          <t>LABORES OPERACIONALES</t>
        </is>
      </c>
      <c r="K84" s="158" t="inlineStr">
        <is>
          <t>OTROS SERVICIOS</t>
        </is>
      </c>
      <c r="L84" s="158" t="inlineStr">
        <is>
          <t>SERV.CONTRATISTA</t>
        </is>
      </c>
      <c r="M84" s="158" t="n"/>
      <c r="N84" s="158" t="inlineStr">
        <is>
          <t>.   .   -</t>
        </is>
      </c>
      <c r="O84" s="229" t="inlineStr">
        <is>
          <t>ENERO</t>
        </is>
      </c>
      <c r="P84" s="158" t="n">
        <v>3</v>
      </c>
      <c r="Q84" s="162" t="n">
        <v>85000</v>
      </c>
      <c r="R84" s="163" t="n"/>
      <c r="S84" s="164" t="n">
        <v>85000</v>
      </c>
      <c r="T84" s="158" t="inlineStr">
        <is>
          <t>CLP</t>
        </is>
      </c>
      <c r="U84" s="158" t="inlineStr">
        <is>
          <t>Carga LH 18-06-26</t>
        </is>
      </c>
      <c r="V84" s="158" t="inlineStr">
        <is>
          <t>2026-06-18</t>
        </is>
      </c>
    </row>
    <row r="85" ht="14" customHeight="1" s="176">
      <c r="A85" s="165" t="inlineStr">
        <is>
          <t>CR-0082</t>
        </is>
      </c>
      <c r="B85" s="165" t="inlineStr">
        <is>
          <t>2026/27</t>
        </is>
      </c>
      <c r="C85" s="230" t="n">
        <v>46042</v>
      </c>
      <c r="D85" s="165" t="inlineStr">
        <is>
          <t>597</t>
        </is>
      </c>
      <c r="E85" s="165" t="inlineStr">
        <is>
          <t>COMPRA</t>
        </is>
      </c>
      <c r="F85" s="160" t="inlineStr">
        <is>
          <t>Mega Catalina</t>
        </is>
      </c>
      <c r="G85" s="160" t="inlineStr">
        <is>
          <t>ORONULES - 2019 (2,5 Ha.)</t>
        </is>
      </c>
      <c r="H85" s="160" t="n"/>
      <c r="I85" s="160" t="n"/>
      <c r="J85" s="165" t="inlineStr">
        <is>
          <t>LABORES OPERACIONALES</t>
        </is>
      </c>
      <c r="K85" s="165" t="inlineStr">
        <is>
          <t>OTROS SERVICIOS</t>
        </is>
      </c>
      <c r="L85" s="165" t="inlineStr">
        <is>
          <t>SERV.CONTRATISTA</t>
        </is>
      </c>
      <c r="M85" s="165" t="n"/>
      <c r="N85" s="165" t="inlineStr">
        <is>
          <t>.   .   -</t>
        </is>
      </c>
      <c r="O85" s="229" t="inlineStr">
        <is>
          <t>ENERO</t>
        </is>
      </c>
      <c r="P85" s="165" t="n">
        <v>3</v>
      </c>
      <c r="Q85" s="162" t="n">
        <v>85000</v>
      </c>
      <c r="R85" s="167" t="n"/>
      <c r="S85" s="168" t="n">
        <v>85000</v>
      </c>
      <c r="T85" s="165" t="inlineStr">
        <is>
          <t>CLP</t>
        </is>
      </c>
      <c r="U85" s="165" t="inlineStr">
        <is>
          <t>Carga LH 18-06-26</t>
        </is>
      </c>
      <c r="V85" s="165" t="inlineStr">
        <is>
          <t>2026-06-18</t>
        </is>
      </c>
    </row>
    <row r="86" ht="14" customHeight="1" s="176">
      <c r="A86" s="158" t="inlineStr">
        <is>
          <t>CR-0083</t>
        </is>
      </c>
      <c r="B86" s="158" t="inlineStr">
        <is>
          <t>2026/27</t>
        </is>
      </c>
      <c r="C86" s="228" t="n">
        <v>46042</v>
      </c>
      <c r="D86" s="158" t="inlineStr">
        <is>
          <t>597</t>
        </is>
      </c>
      <c r="E86" s="158" t="inlineStr">
        <is>
          <t>COMPRA</t>
        </is>
      </c>
      <c r="F86" s="160" t="inlineStr">
        <is>
          <t>El Molle</t>
        </is>
      </c>
      <c r="G86" s="160" t="inlineStr">
        <is>
          <t>OROGRANDE - 2007 (8,11 Ha.)</t>
        </is>
      </c>
      <c r="H86" s="160" t="n"/>
      <c r="I86" s="160" t="n"/>
      <c r="J86" s="158" t="inlineStr">
        <is>
          <t>LABORES OPERACIONALES</t>
        </is>
      </c>
      <c r="K86" s="158" t="inlineStr">
        <is>
          <t>OTROS SERVICIOS</t>
        </is>
      </c>
      <c r="L86" s="158" t="inlineStr">
        <is>
          <t>SERV.CONTRATISTA</t>
        </is>
      </c>
      <c r="M86" s="158" t="n"/>
      <c r="N86" s="158" t="inlineStr">
        <is>
          <t>.   .   -</t>
        </is>
      </c>
      <c r="O86" s="229" t="inlineStr">
        <is>
          <t>ENERO</t>
        </is>
      </c>
      <c r="P86" s="158" t="n">
        <v>3</v>
      </c>
      <c r="Q86" s="162" t="n">
        <v>255000</v>
      </c>
      <c r="R86" s="163" t="n"/>
      <c r="S86" s="164" t="n">
        <v>255000</v>
      </c>
      <c r="T86" s="158" t="inlineStr">
        <is>
          <t>CLP</t>
        </is>
      </c>
      <c r="U86" s="158" t="inlineStr">
        <is>
          <t>Carga LH 18-06-26</t>
        </is>
      </c>
      <c r="V86" s="158" t="inlineStr">
        <is>
          <t>2026-06-18</t>
        </is>
      </c>
    </row>
    <row r="87" ht="14" customHeight="1" s="176">
      <c r="A87" s="165" t="inlineStr">
        <is>
          <t>CR-0084</t>
        </is>
      </c>
      <c r="B87" s="165" t="inlineStr">
        <is>
          <t>2026/27</t>
        </is>
      </c>
      <c r="C87" s="230" t="n">
        <v>46042</v>
      </c>
      <c r="D87" s="165" t="inlineStr">
        <is>
          <t>597</t>
        </is>
      </c>
      <c r="E87" s="165" t="inlineStr">
        <is>
          <t>COMPRA</t>
        </is>
      </c>
      <c r="F87" s="160" t="inlineStr">
        <is>
          <t>El Molle</t>
        </is>
      </c>
      <c r="G87" s="160" t="inlineStr">
        <is>
          <t>WONDERFUL - 2002 (2,80 Ha.)</t>
        </is>
      </c>
      <c r="H87" s="160" t="n"/>
      <c r="I87" s="160" t="n"/>
      <c r="J87" s="165" t="inlineStr">
        <is>
          <t>LABORES OPERACIONALES</t>
        </is>
      </c>
      <c r="K87" s="165" t="inlineStr">
        <is>
          <t>OTROS SERVICIOS</t>
        </is>
      </c>
      <c r="L87" s="165" t="inlineStr">
        <is>
          <t>SERV.CONTRATISTA</t>
        </is>
      </c>
      <c r="M87" s="165" t="n"/>
      <c r="N87" s="165" t="inlineStr">
        <is>
          <t>.   .   -</t>
        </is>
      </c>
      <c r="O87" s="229" t="inlineStr">
        <is>
          <t>ENERO</t>
        </is>
      </c>
      <c r="P87" s="165" t="n">
        <v>3</v>
      </c>
      <c r="Q87" s="162" t="n">
        <v>85000</v>
      </c>
      <c r="R87" s="167" t="n"/>
      <c r="S87" s="168" t="n">
        <v>85000</v>
      </c>
      <c r="T87" s="165" t="inlineStr">
        <is>
          <t>CLP</t>
        </is>
      </c>
      <c r="U87" s="165" t="inlineStr">
        <is>
          <t>Carga LH 18-06-26</t>
        </is>
      </c>
      <c r="V87" s="165" t="inlineStr">
        <is>
          <t>2026-06-18</t>
        </is>
      </c>
    </row>
    <row r="88" ht="14" customHeight="1" s="176">
      <c r="A88" s="158" t="inlineStr">
        <is>
          <t>CR-0085</t>
        </is>
      </c>
      <c r="B88" s="158" t="inlineStr">
        <is>
          <t>2026/27</t>
        </is>
      </c>
      <c r="C88" s="228" t="n">
        <v>46042</v>
      </c>
      <c r="D88" s="158" t="inlineStr">
        <is>
          <t>597</t>
        </is>
      </c>
      <c r="E88" s="158" t="inlineStr">
        <is>
          <t>COMPRA</t>
        </is>
      </c>
      <c r="F88" s="160" t="inlineStr">
        <is>
          <t>El Molle</t>
        </is>
      </c>
      <c r="G88" s="160" t="inlineStr">
        <is>
          <t>WONDERFUL - 2007 (2,44 Ha.)</t>
        </is>
      </c>
      <c r="H88" s="160" t="n"/>
      <c r="I88" s="160" t="n"/>
      <c r="J88" s="158" t="inlineStr">
        <is>
          <t>LABORES OPERACIONALES</t>
        </is>
      </c>
      <c r="K88" s="158" t="inlineStr">
        <is>
          <t>OTROS SERVICIOS</t>
        </is>
      </c>
      <c r="L88" s="158" t="inlineStr">
        <is>
          <t>SERV.CONTRATISTA</t>
        </is>
      </c>
      <c r="M88" s="158" t="n"/>
      <c r="N88" s="158" t="inlineStr">
        <is>
          <t>.   .   -</t>
        </is>
      </c>
      <c r="O88" s="229" t="inlineStr">
        <is>
          <t>ENERO</t>
        </is>
      </c>
      <c r="P88" s="158" t="n">
        <v>3</v>
      </c>
      <c r="Q88" s="162" t="n">
        <v>85000</v>
      </c>
      <c r="R88" s="163" t="n"/>
      <c r="S88" s="164" t="n">
        <v>85000</v>
      </c>
      <c r="T88" s="158" t="inlineStr">
        <is>
          <t>CLP</t>
        </is>
      </c>
      <c r="U88" s="158" t="inlineStr">
        <is>
          <t>Carga LH 18-06-26</t>
        </is>
      </c>
      <c r="V88" s="158" t="inlineStr">
        <is>
          <t>2026-06-18</t>
        </is>
      </c>
    </row>
    <row r="89" ht="14" customHeight="1" s="176">
      <c r="A89" s="165" t="inlineStr">
        <is>
          <t>CR-0086</t>
        </is>
      </c>
      <c r="B89" s="165" t="inlineStr">
        <is>
          <t>2026/27</t>
        </is>
      </c>
      <c r="C89" s="230" t="n">
        <v>46042</v>
      </c>
      <c r="D89" s="165" t="inlineStr">
        <is>
          <t>156</t>
        </is>
      </c>
      <c r="E89" s="165" t="inlineStr">
        <is>
          <t>COMPRA</t>
        </is>
      </c>
      <c r="F89" s="160" t="inlineStr">
        <is>
          <t>Mega Catalina</t>
        </is>
      </c>
      <c r="G89" s="160" t="inlineStr">
        <is>
          <t>EUREKA - 1999 (22,5 Ha.)</t>
        </is>
      </c>
      <c r="H89" s="160" t="n"/>
      <c r="I89" s="160" t="n"/>
      <c r="J89" s="165" t="inlineStr">
        <is>
          <t>LABORES OPERACIONALES</t>
        </is>
      </c>
      <c r="K89" s="165" t="inlineStr">
        <is>
          <t>LABORES VARIAS</t>
        </is>
      </c>
      <c r="L89" s="165" t="inlineStr">
        <is>
          <t>SERV.CONTRATISTA</t>
        </is>
      </c>
      <c r="M89" s="165" t="n"/>
      <c r="N89" s="165" t="inlineStr">
        <is>
          <t>.   .   -</t>
        </is>
      </c>
      <c r="O89" s="229" t="inlineStr">
        <is>
          <t>ENERO</t>
        </is>
      </c>
      <c r="P89" s="165" t="n">
        <v>3</v>
      </c>
      <c r="Q89" s="162" t="n">
        <v>300000</v>
      </c>
      <c r="R89" s="167" t="n"/>
      <c r="S89" s="168" t="n">
        <v>300000</v>
      </c>
      <c r="T89" s="165" t="inlineStr">
        <is>
          <t>CLP</t>
        </is>
      </c>
      <c r="U89" s="165" t="inlineStr">
        <is>
          <t>Carga LH 18-06-26</t>
        </is>
      </c>
      <c r="V89" s="165" t="inlineStr">
        <is>
          <t>2026-06-18</t>
        </is>
      </c>
    </row>
    <row r="90" ht="14" customHeight="1" s="176">
      <c r="A90" s="158" t="inlineStr">
        <is>
          <t>CR-0087</t>
        </is>
      </c>
      <c r="B90" s="158" t="inlineStr">
        <is>
          <t>2026/27</t>
        </is>
      </c>
      <c r="C90" s="228" t="n">
        <v>46042</v>
      </c>
      <c r="D90" s="158" t="inlineStr">
        <is>
          <t>156</t>
        </is>
      </c>
      <c r="E90" s="158" t="inlineStr">
        <is>
          <t>COMPRA</t>
        </is>
      </c>
      <c r="F90" s="160" t="inlineStr">
        <is>
          <t>Mega Catalina</t>
        </is>
      </c>
      <c r="G90" s="160" t="inlineStr">
        <is>
          <t>EUREKA - 1999 (10,6 Ha.)</t>
        </is>
      </c>
      <c r="H90" s="160" t="n"/>
      <c r="I90" s="160" t="n"/>
      <c r="J90" s="158" t="inlineStr">
        <is>
          <t>LABORES OPERACIONALES</t>
        </is>
      </c>
      <c r="K90" s="158" t="inlineStr">
        <is>
          <t>PODA</t>
        </is>
      </c>
      <c r="L90" s="158" t="inlineStr">
        <is>
          <t>SERV.CONTRATISTA</t>
        </is>
      </c>
      <c r="M90" s="158" t="n"/>
      <c r="N90" s="158" t="inlineStr">
        <is>
          <t>.   .   -</t>
        </is>
      </c>
      <c r="O90" s="229" t="inlineStr">
        <is>
          <t>ENERO</t>
        </is>
      </c>
      <c r="P90" s="158" t="n">
        <v>3</v>
      </c>
      <c r="Q90" s="162" t="n">
        <v>228600</v>
      </c>
      <c r="R90" s="163" t="n"/>
      <c r="S90" s="164" t="n">
        <v>228600</v>
      </c>
      <c r="T90" s="158" t="inlineStr">
        <is>
          <t>CLP</t>
        </is>
      </c>
      <c r="U90" s="158" t="inlineStr">
        <is>
          <t>Carga LH 18-06-26</t>
        </is>
      </c>
      <c r="V90" s="158" t="inlineStr">
        <is>
          <t>2026-06-18</t>
        </is>
      </c>
    </row>
    <row r="91" ht="14" customHeight="1" s="176">
      <c r="A91" s="165" t="inlineStr">
        <is>
          <t>CR-0088</t>
        </is>
      </c>
      <c r="B91" s="165" t="inlineStr">
        <is>
          <t>2026/27</t>
        </is>
      </c>
      <c r="C91" s="230" t="n">
        <v>46042</v>
      </c>
      <c r="D91" s="165" t="inlineStr">
        <is>
          <t>156</t>
        </is>
      </c>
      <c r="E91" s="165" t="inlineStr">
        <is>
          <t>COMPRA</t>
        </is>
      </c>
      <c r="F91" s="160" t="inlineStr">
        <is>
          <t>Mega Catalina</t>
        </is>
      </c>
      <c r="G91" s="160" t="inlineStr">
        <is>
          <t>NO USAR NARANJAS CAMBRIA (4,2 Hta.)</t>
        </is>
      </c>
      <c r="H91" s="160" t="n"/>
      <c r="I91" s="160" t="n"/>
      <c r="J91" s="165" t="inlineStr">
        <is>
          <t>LABORES OPERACIONALES</t>
        </is>
      </c>
      <c r="K91" s="165" t="inlineStr">
        <is>
          <t>GUANTEO</t>
        </is>
      </c>
      <c r="L91" s="165" t="inlineStr">
        <is>
          <t>SERV.CONTRATISTA</t>
        </is>
      </c>
      <c r="M91" s="165" t="n"/>
      <c r="N91" s="165" t="inlineStr">
        <is>
          <t>.   .   -</t>
        </is>
      </c>
      <c r="O91" s="229" t="inlineStr">
        <is>
          <t>ENERO</t>
        </is>
      </c>
      <c r="P91" s="165" t="n">
        <v>3</v>
      </c>
      <c r="Q91" s="162" t="n">
        <v>306900</v>
      </c>
      <c r="R91" s="167" t="n"/>
      <c r="S91" s="168" t="n">
        <v>306900</v>
      </c>
      <c r="T91" s="165" t="inlineStr">
        <is>
          <t>CLP</t>
        </is>
      </c>
      <c r="U91" s="165" t="inlineStr">
        <is>
          <t>Carga LH 18-06-26</t>
        </is>
      </c>
      <c r="V91" s="165" t="inlineStr">
        <is>
          <t>2026-06-18</t>
        </is>
      </c>
    </row>
    <row r="92" ht="14" customHeight="1" s="176">
      <c r="A92" s="158" t="inlineStr">
        <is>
          <t>CR-0089</t>
        </is>
      </c>
      <c r="B92" s="158" t="inlineStr">
        <is>
          <t>2026/27</t>
        </is>
      </c>
      <c r="C92" s="228" t="n">
        <v>46042</v>
      </c>
      <c r="D92" s="158" t="inlineStr">
        <is>
          <t>156</t>
        </is>
      </c>
      <c r="E92" s="158" t="inlineStr">
        <is>
          <t>COMPRA</t>
        </is>
      </c>
      <c r="F92" s="160" t="inlineStr">
        <is>
          <t>Mega Catalina</t>
        </is>
      </c>
      <c r="G92" s="160" t="inlineStr">
        <is>
          <t>MURCOTT - 2007 (21 Ha.)</t>
        </is>
      </c>
      <c r="H92" s="160" t="n"/>
      <c r="I92" s="160" t="n"/>
      <c r="J92" s="158" t="inlineStr">
        <is>
          <t>LABORES OPERACIONALES</t>
        </is>
      </c>
      <c r="K92" s="158" t="inlineStr">
        <is>
          <t>PODA</t>
        </is>
      </c>
      <c r="L92" s="158" t="inlineStr">
        <is>
          <t>SERV.CONTRATISTA</t>
        </is>
      </c>
      <c r="M92" s="158" t="n"/>
      <c r="N92" s="158" t="inlineStr">
        <is>
          <t>.   .   -</t>
        </is>
      </c>
      <c r="O92" s="229" t="inlineStr">
        <is>
          <t>ENERO</t>
        </is>
      </c>
      <c r="P92" s="158" t="n">
        <v>3</v>
      </c>
      <c r="Q92" s="162" t="n">
        <v>562500</v>
      </c>
      <c r="R92" s="163" t="n"/>
      <c r="S92" s="164" t="n">
        <v>562500</v>
      </c>
      <c r="T92" s="158" t="inlineStr">
        <is>
          <t>CLP</t>
        </is>
      </c>
      <c r="U92" s="158" t="inlineStr">
        <is>
          <t>Carga LH 18-06-26</t>
        </is>
      </c>
      <c r="V92" s="158" t="inlineStr">
        <is>
          <t>2026-06-18</t>
        </is>
      </c>
    </row>
    <row r="93" ht="14" customHeight="1" s="176">
      <c r="A93" s="165" t="inlineStr">
        <is>
          <t>CR-0090</t>
        </is>
      </c>
      <c r="B93" s="165" t="inlineStr">
        <is>
          <t>2026/27</t>
        </is>
      </c>
      <c r="C93" s="230" t="n">
        <v>46042</v>
      </c>
      <c r="D93" s="165" t="inlineStr">
        <is>
          <t>622</t>
        </is>
      </c>
      <c r="E93" s="165" t="inlineStr">
        <is>
          <t>COMPRA</t>
        </is>
      </c>
      <c r="F93" s="160" t="inlineStr">
        <is>
          <t>Mega Catalina</t>
        </is>
      </c>
      <c r="G93" s="160" t="inlineStr">
        <is>
          <t>EUREKA - 2016 (14,4 Ha.)</t>
        </is>
      </c>
      <c r="H93" s="160" t="n"/>
      <c r="I93" s="160" t="n"/>
      <c r="J93" s="165" t="inlineStr">
        <is>
          <t>LABORES OPERACIONALES</t>
        </is>
      </c>
      <c r="K93" s="165" t="inlineStr">
        <is>
          <t>COSECHA</t>
        </is>
      </c>
      <c r="L93" s="165" t="inlineStr">
        <is>
          <t>SERV.CONTRATISTA</t>
        </is>
      </c>
      <c r="M93" s="165" t="n"/>
      <c r="N93" s="165" t="inlineStr">
        <is>
          <t>.   .   -</t>
        </is>
      </c>
      <c r="O93" s="229" t="inlineStr">
        <is>
          <t>ENERO</t>
        </is>
      </c>
      <c r="P93" s="165" t="n">
        <v>3</v>
      </c>
      <c r="Q93" s="162" t="n">
        <v>1244970</v>
      </c>
      <c r="R93" s="167" t="n"/>
      <c r="S93" s="168" t="n">
        <v>1244970</v>
      </c>
      <c r="T93" s="165" t="inlineStr">
        <is>
          <t>CLP</t>
        </is>
      </c>
      <c r="U93" s="165" t="inlineStr">
        <is>
          <t>Carga LH 18-06-26</t>
        </is>
      </c>
      <c r="V93" s="165" t="inlineStr">
        <is>
          <t>2026-06-18</t>
        </is>
      </c>
    </row>
    <row r="94" ht="14" customHeight="1" s="176">
      <c r="A94" s="158" t="inlineStr">
        <is>
          <t>CR-0091</t>
        </is>
      </c>
      <c r="B94" s="158" t="inlineStr">
        <is>
          <t>2026/27</t>
        </is>
      </c>
      <c r="C94" s="228" t="n">
        <v>46042</v>
      </c>
      <c r="D94" s="158" t="inlineStr">
        <is>
          <t>622</t>
        </is>
      </c>
      <c r="E94" s="158" t="inlineStr">
        <is>
          <t>COMPRA</t>
        </is>
      </c>
      <c r="F94" s="160" t="inlineStr">
        <is>
          <t>Mega Catalina</t>
        </is>
      </c>
      <c r="G94" s="160" t="inlineStr">
        <is>
          <t>FINO 49 - 1999 (7,7 Ha.)</t>
        </is>
      </c>
      <c r="H94" s="160" t="n"/>
      <c r="I94" s="160" t="n"/>
      <c r="J94" s="158" t="inlineStr">
        <is>
          <t>LABORES OPERACIONALES</t>
        </is>
      </c>
      <c r="K94" s="158" t="inlineStr">
        <is>
          <t>COSECHA</t>
        </is>
      </c>
      <c r="L94" s="158" t="inlineStr">
        <is>
          <t>SERV.CONTRATISTA</t>
        </is>
      </c>
      <c r="M94" s="158" t="n"/>
      <c r="N94" s="158" t="inlineStr">
        <is>
          <t>.   .   -</t>
        </is>
      </c>
      <c r="O94" s="229" t="inlineStr">
        <is>
          <t>ENERO</t>
        </is>
      </c>
      <c r="P94" s="158" t="n">
        <v>3</v>
      </c>
      <c r="Q94" s="162" t="n">
        <v>103590</v>
      </c>
      <c r="R94" s="163" t="n"/>
      <c r="S94" s="164" t="n">
        <v>103590</v>
      </c>
      <c r="T94" s="158" t="inlineStr">
        <is>
          <t>CLP</t>
        </is>
      </c>
      <c r="U94" s="158" t="inlineStr">
        <is>
          <t>Carga LH 18-06-26</t>
        </is>
      </c>
      <c r="V94" s="158" t="inlineStr">
        <is>
          <t>2026-06-18</t>
        </is>
      </c>
    </row>
    <row r="95" ht="14" customHeight="1" s="176">
      <c r="A95" s="165" t="inlineStr">
        <is>
          <t>CR-0092</t>
        </is>
      </c>
      <c r="B95" s="165" t="inlineStr">
        <is>
          <t>2026/27</t>
        </is>
      </c>
      <c r="C95" s="230" t="n">
        <v>46042</v>
      </c>
      <c r="D95" s="165" t="inlineStr">
        <is>
          <t>1002</t>
        </is>
      </c>
      <c r="E95" s="165" t="inlineStr">
        <is>
          <t>COMPRA</t>
        </is>
      </c>
      <c r="F95" s="160" t="inlineStr">
        <is>
          <t>Mega Catalina</t>
        </is>
      </c>
      <c r="G95" s="160" t="inlineStr">
        <is>
          <t>EUREKA - 2016 (14,4 Ha.)</t>
        </is>
      </c>
      <c r="H95" s="160" t="n"/>
      <c r="I95" s="160" t="n"/>
      <c r="J95" s="165" t="inlineStr">
        <is>
          <t>LABORES OPERACIONALES</t>
        </is>
      </c>
      <c r="K95" s="165" t="inlineStr">
        <is>
          <t>COSECHA</t>
        </is>
      </c>
      <c r="L95" s="165" t="inlineStr">
        <is>
          <t>SERV.CONTRATISTA</t>
        </is>
      </c>
      <c r="M95" s="165" t="n"/>
      <c r="N95" s="165" t="inlineStr">
        <is>
          <t>.   .   -</t>
        </is>
      </c>
      <c r="O95" s="229" t="inlineStr">
        <is>
          <t>ENERO</t>
        </is>
      </c>
      <c r="P95" s="165" t="n">
        <v>3</v>
      </c>
      <c r="Q95" s="162" t="n">
        <v>765270</v>
      </c>
      <c r="R95" s="167" t="n"/>
      <c r="S95" s="168" t="n">
        <v>765270</v>
      </c>
      <c r="T95" s="165" t="inlineStr">
        <is>
          <t>CLP</t>
        </is>
      </c>
      <c r="U95" s="165" t="inlineStr">
        <is>
          <t>Carga LH 18-06-26</t>
        </is>
      </c>
      <c r="V95" s="165" t="inlineStr">
        <is>
          <t>2026-06-18</t>
        </is>
      </c>
    </row>
    <row r="96" ht="14" customHeight="1" s="176">
      <c r="A96" s="158" t="inlineStr">
        <is>
          <t>CR-0093</t>
        </is>
      </c>
      <c r="B96" s="158" t="inlineStr">
        <is>
          <t>2026/27</t>
        </is>
      </c>
      <c r="C96" s="228" t="n">
        <v>46042</v>
      </c>
      <c r="D96" s="158" t="inlineStr">
        <is>
          <t>356</t>
        </is>
      </c>
      <c r="E96" s="158" t="inlineStr">
        <is>
          <t>COMPRA</t>
        </is>
      </c>
      <c r="F96" s="160" t="inlineStr">
        <is>
          <t>El Molle</t>
        </is>
      </c>
      <c r="G96" s="160" t="inlineStr">
        <is>
          <t>ARRUFATINA - 2017 (5,74 Ha.)</t>
        </is>
      </c>
      <c r="H96" s="160" t="n"/>
      <c r="I96" s="160" t="n"/>
      <c r="J96" s="158" t="inlineStr">
        <is>
          <t>LABORES OPERACIONALES</t>
        </is>
      </c>
      <c r="K96" s="158" t="inlineStr">
        <is>
          <t>APLICACIONES</t>
        </is>
      </c>
      <c r="L96" s="158" t="inlineStr">
        <is>
          <t>SERV.CONTRATISTA</t>
        </is>
      </c>
      <c r="M96" s="158" t="n"/>
      <c r="N96" s="158" t="inlineStr">
        <is>
          <t>.   .   -</t>
        </is>
      </c>
      <c r="O96" s="229" t="inlineStr">
        <is>
          <t>ENERO</t>
        </is>
      </c>
      <c r="P96" s="158" t="n">
        <v>3</v>
      </c>
      <c r="Q96" s="162" t="n">
        <v>187500</v>
      </c>
      <c r="R96" s="163" t="n"/>
      <c r="S96" s="164" t="n">
        <v>187500</v>
      </c>
      <c r="T96" s="158" t="inlineStr">
        <is>
          <t>CLP</t>
        </is>
      </c>
      <c r="U96" s="158" t="inlineStr">
        <is>
          <t>Carga LH 18-06-26</t>
        </is>
      </c>
      <c r="V96" s="158" t="inlineStr">
        <is>
          <t>2026-06-18</t>
        </is>
      </c>
    </row>
    <row r="97" ht="14" customHeight="1" s="176">
      <c r="A97" s="165" t="inlineStr">
        <is>
          <t>CR-0094</t>
        </is>
      </c>
      <c r="B97" s="165" t="inlineStr">
        <is>
          <t>2026/27</t>
        </is>
      </c>
      <c r="C97" s="230" t="n">
        <v>46042</v>
      </c>
      <c r="D97" s="165" t="inlineStr">
        <is>
          <t>356</t>
        </is>
      </c>
      <c r="E97" s="165" t="inlineStr">
        <is>
          <t>COMPRA</t>
        </is>
      </c>
      <c r="F97" s="160" t="inlineStr">
        <is>
          <t>El Molle</t>
        </is>
      </c>
      <c r="G97" s="160" t="inlineStr">
        <is>
          <t>ARRUFATINA - 2017 (5,74 Ha.)</t>
        </is>
      </c>
      <c r="H97" s="160" t="n"/>
      <c r="I97" s="160" t="n"/>
      <c r="J97" s="165" t="inlineStr">
        <is>
          <t>LABORES OPERACIONALES</t>
        </is>
      </c>
      <c r="K97" s="165" t="inlineStr">
        <is>
          <t>LABORES VARIAS</t>
        </is>
      </c>
      <c r="L97" s="165" t="inlineStr">
        <is>
          <t>SERV.CONTRATISTA</t>
        </is>
      </c>
      <c r="M97" s="165" t="n"/>
      <c r="N97" s="165" t="inlineStr">
        <is>
          <t>.   .   -</t>
        </is>
      </c>
      <c r="O97" s="229" t="inlineStr">
        <is>
          <t>ENERO</t>
        </is>
      </c>
      <c r="P97" s="165" t="n">
        <v>3</v>
      </c>
      <c r="Q97" s="162" t="n">
        <v>2362500</v>
      </c>
      <c r="R97" s="167" t="n"/>
      <c r="S97" s="168" t="n">
        <v>2362500</v>
      </c>
      <c r="T97" s="165" t="inlineStr">
        <is>
          <t>CLP</t>
        </is>
      </c>
      <c r="U97" s="165" t="inlineStr">
        <is>
          <t>Carga LH 18-06-26</t>
        </is>
      </c>
      <c r="V97" s="165" t="inlineStr">
        <is>
          <t>2026-06-18</t>
        </is>
      </c>
    </row>
    <row r="98" ht="14" customHeight="1" s="176">
      <c r="A98" s="158" t="inlineStr">
        <is>
          <t>CR-0095</t>
        </is>
      </c>
      <c r="B98" s="158" t="inlineStr">
        <is>
          <t>2026/27</t>
        </is>
      </c>
      <c r="C98" s="228" t="n">
        <v>46042</v>
      </c>
      <c r="D98" s="158" t="inlineStr">
        <is>
          <t>356</t>
        </is>
      </c>
      <c r="E98" s="158" t="inlineStr">
        <is>
          <t>COMPRA</t>
        </is>
      </c>
      <c r="F98" s="160" t="inlineStr">
        <is>
          <t>Mega Catalina</t>
        </is>
      </c>
      <c r="G98" s="160" t="inlineStr">
        <is>
          <t>ORONULES - 2019 (2,5 Ha.)</t>
        </is>
      </c>
      <c r="H98" s="160" t="n"/>
      <c r="I98" s="160" t="n"/>
      <c r="J98" s="158" t="inlineStr">
        <is>
          <t>LABORES OPERACIONALES</t>
        </is>
      </c>
      <c r="K98" s="158" t="inlineStr">
        <is>
          <t>APLICACIONES</t>
        </is>
      </c>
      <c r="L98" s="158" t="inlineStr">
        <is>
          <t>SERV.CONTRATISTA</t>
        </is>
      </c>
      <c r="M98" s="158" t="n"/>
      <c r="N98" s="158" t="inlineStr">
        <is>
          <t>.   .   -</t>
        </is>
      </c>
      <c r="O98" s="229" t="inlineStr">
        <is>
          <t>ENERO</t>
        </is>
      </c>
      <c r="P98" s="158" t="n">
        <v>3</v>
      </c>
      <c r="Q98" s="162" t="n">
        <v>75000</v>
      </c>
      <c r="R98" s="163" t="n"/>
      <c r="S98" s="164" t="n">
        <v>75000</v>
      </c>
      <c r="T98" s="158" t="inlineStr">
        <is>
          <t>CLP</t>
        </is>
      </c>
      <c r="U98" s="158" t="inlineStr">
        <is>
          <t>Carga LH 18-06-26</t>
        </is>
      </c>
      <c r="V98" s="158" t="inlineStr">
        <is>
          <t>2026-06-18</t>
        </is>
      </c>
    </row>
    <row r="99" ht="14" customHeight="1" s="176">
      <c r="A99" s="165" t="inlineStr">
        <is>
          <t>CR-0096</t>
        </is>
      </c>
      <c r="B99" s="165" t="inlineStr">
        <is>
          <t>2026/27</t>
        </is>
      </c>
      <c r="C99" s="230" t="n">
        <v>46042</v>
      </c>
      <c r="D99" s="165" t="inlineStr">
        <is>
          <t>356</t>
        </is>
      </c>
      <c r="E99" s="165" t="inlineStr">
        <is>
          <t>COMPRA</t>
        </is>
      </c>
      <c r="F99" s="160" t="inlineStr">
        <is>
          <t>Mega Catalina</t>
        </is>
      </c>
      <c r="G99" s="160" t="inlineStr">
        <is>
          <t>ORONULES - 2019 (2,5 Ha.)</t>
        </is>
      </c>
      <c r="H99" s="160" t="n"/>
      <c r="I99" s="160" t="n"/>
      <c r="J99" s="165" t="inlineStr">
        <is>
          <t>LABORES OPERACIONALES</t>
        </is>
      </c>
      <c r="K99" s="165" t="inlineStr">
        <is>
          <t>LABORES VARIAS</t>
        </is>
      </c>
      <c r="L99" s="165" t="inlineStr">
        <is>
          <t>SERV.CONTRATISTA</t>
        </is>
      </c>
      <c r="M99" s="165" t="n"/>
      <c r="N99" s="165" t="inlineStr">
        <is>
          <t>.   .   -</t>
        </is>
      </c>
      <c r="O99" s="229" t="inlineStr">
        <is>
          <t>ENERO</t>
        </is>
      </c>
      <c r="P99" s="165" t="n">
        <v>3</v>
      </c>
      <c r="Q99" s="162" t="n">
        <v>262500</v>
      </c>
      <c r="R99" s="167" t="n"/>
      <c r="S99" s="168" t="n">
        <v>262500</v>
      </c>
      <c r="T99" s="165" t="inlineStr">
        <is>
          <t>CLP</t>
        </is>
      </c>
      <c r="U99" s="165" t="inlineStr">
        <is>
          <t>Carga LH 18-06-26</t>
        </is>
      </c>
      <c r="V99" s="165" t="inlineStr">
        <is>
          <t>2026-06-18</t>
        </is>
      </c>
    </row>
    <row r="100" ht="14" customHeight="1" s="176">
      <c r="A100" s="158" t="inlineStr">
        <is>
          <t>CR-0097</t>
        </is>
      </c>
      <c r="B100" s="158" t="inlineStr">
        <is>
          <t>2026/27</t>
        </is>
      </c>
      <c r="C100" s="228" t="n">
        <v>46042</v>
      </c>
      <c r="D100" s="158" t="inlineStr">
        <is>
          <t>356</t>
        </is>
      </c>
      <c r="E100" s="158" t="inlineStr">
        <is>
          <t>COMPRA</t>
        </is>
      </c>
      <c r="F100" s="160" t="inlineStr">
        <is>
          <t>El Molle</t>
        </is>
      </c>
      <c r="G100" s="160" t="inlineStr">
        <is>
          <t>OROGRANDE - 2007 (8,11 Ha.)</t>
        </is>
      </c>
      <c r="H100" s="160" t="n"/>
      <c r="I100" s="160" t="n"/>
      <c r="J100" s="158" t="inlineStr">
        <is>
          <t>LABORES OPERACIONALES</t>
        </is>
      </c>
      <c r="K100" s="158" t="inlineStr">
        <is>
          <t>DESBROTE</t>
        </is>
      </c>
      <c r="L100" s="158" t="inlineStr">
        <is>
          <t>SERV.CONTRATISTA</t>
        </is>
      </c>
      <c r="M100" s="158" t="n"/>
      <c r="N100" s="158" t="inlineStr">
        <is>
          <t>.   .   -</t>
        </is>
      </c>
      <c r="O100" s="229" t="inlineStr">
        <is>
          <t>ENERO</t>
        </is>
      </c>
      <c r="P100" s="158" t="n">
        <v>3</v>
      </c>
      <c r="Q100" s="162" t="n">
        <v>546720</v>
      </c>
      <c r="R100" s="163" t="n"/>
      <c r="S100" s="164" t="n">
        <v>546720</v>
      </c>
      <c r="T100" s="158" t="inlineStr">
        <is>
          <t>CLP</t>
        </is>
      </c>
      <c r="U100" s="158" t="inlineStr">
        <is>
          <t>Carga LH 18-06-26</t>
        </is>
      </c>
      <c r="V100" s="158" t="inlineStr">
        <is>
          <t>2026-06-18</t>
        </is>
      </c>
    </row>
    <row r="101" ht="14" customHeight="1" s="176">
      <c r="A101" s="165" t="inlineStr">
        <is>
          <t>CR-0098</t>
        </is>
      </c>
      <c r="B101" s="165" t="inlineStr">
        <is>
          <t>2026/27</t>
        </is>
      </c>
      <c r="C101" s="230" t="n">
        <v>46042</v>
      </c>
      <c r="D101" s="165" t="inlineStr">
        <is>
          <t>356</t>
        </is>
      </c>
      <c r="E101" s="165" t="inlineStr">
        <is>
          <t>COMPRA</t>
        </is>
      </c>
      <c r="F101" s="160" t="inlineStr">
        <is>
          <t>El Molle</t>
        </is>
      </c>
      <c r="G101" s="160" t="inlineStr">
        <is>
          <t>OROGRANDE - 2007 (8,11 Ha.)</t>
        </is>
      </c>
      <c r="H101" s="160" t="n"/>
      <c r="I101" s="160" t="n"/>
      <c r="J101" s="165" t="inlineStr">
        <is>
          <t>LABORES OPERACIONALES</t>
        </is>
      </c>
      <c r="K101" s="165" t="inlineStr">
        <is>
          <t>APLICACIONES</t>
        </is>
      </c>
      <c r="L101" s="165" t="inlineStr">
        <is>
          <t>SERV.CONTRATISTA</t>
        </is>
      </c>
      <c r="M101" s="165" t="n"/>
      <c r="N101" s="165" t="inlineStr">
        <is>
          <t>.   .   -</t>
        </is>
      </c>
      <c r="O101" s="229" t="inlineStr">
        <is>
          <t>ENERO</t>
        </is>
      </c>
      <c r="P101" s="165" t="n">
        <v>3</v>
      </c>
      <c r="Q101" s="162" t="n">
        <v>112500</v>
      </c>
      <c r="R101" s="167" t="n"/>
      <c r="S101" s="168" t="n">
        <v>112500</v>
      </c>
      <c r="T101" s="165" t="inlineStr">
        <is>
          <t>CLP</t>
        </is>
      </c>
      <c r="U101" s="165" t="inlineStr">
        <is>
          <t>Carga LH 18-06-26</t>
        </is>
      </c>
      <c r="V101" s="165" t="inlineStr">
        <is>
          <t>2026-06-18</t>
        </is>
      </c>
    </row>
    <row r="102" ht="14" customHeight="1" s="176">
      <c r="A102" s="158" t="inlineStr">
        <is>
          <t>CR-0099</t>
        </is>
      </c>
      <c r="B102" s="158" t="inlineStr">
        <is>
          <t>2026/27</t>
        </is>
      </c>
      <c r="C102" s="228" t="n">
        <v>46042</v>
      </c>
      <c r="D102" s="158" t="inlineStr">
        <is>
          <t>356</t>
        </is>
      </c>
      <c r="E102" s="158" t="inlineStr">
        <is>
          <t>COMPRA</t>
        </is>
      </c>
      <c r="F102" s="160" t="inlineStr">
        <is>
          <t>El Molle</t>
        </is>
      </c>
      <c r="G102" s="160" t="inlineStr">
        <is>
          <t>WONDERFUL - 2002 (2,80 Ha.)</t>
        </is>
      </c>
      <c r="H102" s="160" t="n"/>
      <c r="I102" s="160" t="n"/>
      <c r="J102" s="158" t="inlineStr">
        <is>
          <t>LABORES OPERACIONALES</t>
        </is>
      </c>
      <c r="K102" s="158" t="inlineStr">
        <is>
          <t>LABORES VARIAS</t>
        </is>
      </c>
      <c r="L102" s="158" t="inlineStr">
        <is>
          <t>SERV.CONTRATISTA</t>
        </is>
      </c>
      <c r="M102" s="158" t="n"/>
      <c r="N102" s="158" t="inlineStr">
        <is>
          <t>.   .   -</t>
        </is>
      </c>
      <c r="O102" s="229" t="inlineStr">
        <is>
          <t>ENERO</t>
        </is>
      </c>
      <c r="P102" s="158" t="n">
        <v>3</v>
      </c>
      <c r="Q102" s="162" t="n">
        <v>112500</v>
      </c>
      <c r="R102" s="163" t="n"/>
      <c r="S102" s="164" t="n">
        <v>112500</v>
      </c>
      <c r="T102" s="158" t="inlineStr">
        <is>
          <t>CLP</t>
        </is>
      </c>
      <c r="U102" s="158" t="inlineStr">
        <is>
          <t>Carga LH 18-06-26</t>
        </is>
      </c>
      <c r="V102" s="158" t="inlineStr">
        <is>
          <t>2026-06-18</t>
        </is>
      </c>
    </row>
    <row r="103" ht="14" customHeight="1" s="176">
      <c r="A103" s="165" t="inlineStr">
        <is>
          <t>CR-0100</t>
        </is>
      </c>
      <c r="B103" s="165" t="inlineStr">
        <is>
          <t>2026/27</t>
        </is>
      </c>
      <c r="C103" s="230" t="n">
        <v>46042</v>
      </c>
      <c r="D103" s="165" t="inlineStr">
        <is>
          <t>356</t>
        </is>
      </c>
      <c r="E103" s="165" t="inlineStr">
        <is>
          <t>COMPRA</t>
        </is>
      </c>
      <c r="F103" s="160" t="inlineStr">
        <is>
          <t>El Molle</t>
        </is>
      </c>
      <c r="G103" s="160" t="inlineStr">
        <is>
          <t>WONDERFUL - 2007 (2,44 Ha.)</t>
        </is>
      </c>
      <c r="H103" s="160" t="n"/>
      <c r="I103" s="160" t="n"/>
      <c r="J103" s="165" t="inlineStr">
        <is>
          <t>LABORES OPERACIONALES</t>
        </is>
      </c>
      <c r="K103" s="165" t="inlineStr">
        <is>
          <t>LABORES EN VERDE</t>
        </is>
      </c>
      <c r="L103" s="165" t="inlineStr">
        <is>
          <t>SERV.CONTRATISTA</t>
        </is>
      </c>
      <c r="M103" s="165" t="n"/>
      <c r="N103" s="165" t="inlineStr">
        <is>
          <t>.   .   -</t>
        </is>
      </c>
      <c r="O103" s="229" t="inlineStr">
        <is>
          <t>ENERO</t>
        </is>
      </c>
      <c r="P103" s="165" t="n">
        <v>3</v>
      </c>
      <c r="Q103" s="162" t="n">
        <v>1200000</v>
      </c>
      <c r="R103" s="167" t="n"/>
      <c r="S103" s="168" t="n">
        <v>1200000</v>
      </c>
      <c r="T103" s="165" t="inlineStr">
        <is>
          <t>CLP</t>
        </is>
      </c>
      <c r="U103" s="165" t="inlineStr">
        <is>
          <t>Carga LH 18-06-26</t>
        </is>
      </c>
      <c r="V103" s="165" t="inlineStr">
        <is>
          <t>2026-06-18</t>
        </is>
      </c>
    </row>
    <row r="104" ht="14" customHeight="1" s="176">
      <c r="A104" s="158" t="inlineStr">
        <is>
          <t>CR-0101</t>
        </is>
      </c>
      <c r="B104" s="158" t="inlineStr">
        <is>
          <t>2026/27</t>
        </is>
      </c>
      <c r="C104" s="228" t="n">
        <v>46042</v>
      </c>
      <c r="D104" s="158" t="inlineStr">
        <is>
          <t>356</t>
        </is>
      </c>
      <c r="E104" s="158" t="inlineStr">
        <is>
          <t>COMPRA</t>
        </is>
      </c>
      <c r="F104" s="160" t="inlineStr">
        <is>
          <t>El Molle</t>
        </is>
      </c>
      <c r="G104" s="160" t="inlineStr">
        <is>
          <t>WONDERFUL - 2007 (2,44 Ha.)</t>
        </is>
      </c>
      <c r="H104" s="160" t="n"/>
      <c r="I104" s="160" t="n"/>
      <c r="J104" s="158" t="inlineStr">
        <is>
          <t>LABORES OPERACIONALES</t>
        </is>
      </c>
      <c r="K104" s="158" t="inlineStr">
        <is>
          <t>LABORES VARIAS</t>
        </is>
      </c>
      <c r="L104" s="158" t="inlineStr">
        <is>
          <t>SERV.CONTRATISTA</t>
        </is>
      </c>
      <c r="M104" s="158" t="n"/>
      <c r="N104" s="158" t="inlineStr">
        <is>
          <t>.   .   -</t>
        </is>
      </c>
      <c r="O104" s="229" t="inlineStr">
        <is>
          <t>ENERO</t>
        </is>
      </c>
      <c r="P104" s="158" t="n">
        <v>3</v>
      </c>
      <c r="Q104" s="162" t="n">
        <v>75000</v>
      </c>
      <c r="R104" s="163" t="n"/>
      <c r="S104" s="164" t="n">
        <v>75000</v>
      </c>
      <c r="T104" s="158" t="inlineStr">
        <is>
          <t>CLP</t>
        </is>
      </c>
      <c r="U104" s="158" t="inlineStr">
        <is>
          <t>Carga LH 18-06-26</t>
        </is>
      </c>
      <c r="V104" s="158" t="inlineStr">
        <is>
          <t>2026-06-18</t>
        </is>
      </c>
    </row>
    <row r="105" ht="14" customHeight="1" s="176">
      <c r="A105" s="165" t="inlineStr">
        <is>
          <t>CR-0102</t>
        </is>
      </c>
      <c r="B105" s="165" t="inlineStr">
        <is>
          <t>2026/27</t>
        </is>
      </c>
      <c r="C105" s="230" t="n">
        <v>46043</v>
      </c>
      <c r="D105" s="165" t="inlineStr">
        <is>
          <t>826092</t>
        </is>
      </c>
      <c r="E105" s="165" t="inlineStr">
        <is>
          <t>COMPRA</t>
        </is>
      </c>
      <c r="F105" s="160" t="inlineStr">
        <is>
          <t>Sin asignar</t>
        </is>
      </c>
      <c r="G105" s="160" t="inlineStr">
        <is>
          <t>PACKING</t>
        </is>
      </c>
      <c r="H105" s="160" t="n"/>
      <c r="I105" s="160" t="n"/>
      <c r="J105" s="165" t="inlineStr">
        <is>
          <t>MANT. Y REP. CONSTRUCCIONES</t>
        </is>
      </c>
      <c r="K105" s="165" t="inlineStr">
        <is>
          <t>MANTENCION INFRAESTRUCTURA</t>
        </is>
      </c>
      <c r="L105" s="165" t="inlineStr">
        <is>
          <t>O/001278 AGUA DESMI</t>
        </is>
      </c>
      <c r="M105" s="165" t="n"/>
      <c r="N105" s="165" t="inlineStr">
        <is>
          <t>.   .   -</t>
        </is>
      </c>
      <c r="O105" s="229" t="inlineStr">
        <is>
          <t>ENERO</t>
        </is>
      </c>
      <c r="P105" s="165" t="n">
        <v>3</v>
      </c>
      <c r="Q105" s="162" t="n">
        <v>2016</v>
      </c>
      <c r="R105" s="167" t="n"/>
      <c r="S105" s="168" t="n">
        <v>2016</v>
      </c>
      <c r="T105" s="165" t="inlineStr">
        <is>
          <t>CLP</t>
        </is>
      </c>
      <c r="U105" s="165" t="inlineStr">
        <is>
          <t>Carga LH 18-06-26</t>
        </is>
      </c>
      <c r="V105" s="165" t="inlineStr">
        <is>
          <t>2026-06-18</t>
        </is>
      </c>
    </row>
    <row r="106" ht="14" customHeight="1" s="176">
      <c r="A106" s="158" t="inlineStr">
        <is>
          <t>CR-0103</t>
        </is>
      </c>
      <c r="B106" s="158" t="inlineStr">
        <is>
          <t>2026/27</t>
        </is>
      </c>
      <c r="C106" s="228" t="n">
        <v>46043</v>
      </c>
      <c r="D106" s="158" t="inlineStr">
        <is>
          <t>826092</t>
        </is>
      </c>
      <c r="E106" s="158" t="inlineStr">
        <is>
          <t>COMPRA</t>
        </is>
      </c>
      <c r="F106" s="160" t="inlineStr">
        <is>
          <t>Sin asignar</t>
        </is>
      </c>
      <c r="G106" s="160" t="inlineStr">
        <is>
          <t>PACKING</t>
        </is>
      </c>
      <c r="H106" s="160" t="n"/>
      <c r="I106" s="160" t="n"/>
      <c r="J106" s="158" t="inlineStr">
        <is>
          <t>MANT. Y REP. CONSTRUCCIONES</t>
        </is>
      </c>
      <c r="K106" s="158" t="inlineStr">
        <is>
          <t>MANTENCION INFRAESTRUCTURA</t>
        </is>
      </c>
      <c r="L106" s="158" t="inlineStr">
        <is>
          <t>O/001278 AGUJA COSE</t>
        </is>
      </c>
      <c r="M106" s="158" t="n"/>
      <c r="N106" s="158" t="inlineStr">
        <is>
          <t>.   .   -</t>
        </is>
      </c>
      <c r="O106" s="229" t="inlineStr">
        <is>
          <t>ENERO</t>
        </is>
      </c>
      <c r="P106" s="158" t="n">
        <v>3</v>
      </c>
      <c r="Q106" s="162" t="n">
        <v>7269</v>
      </c>
      <c r="R106" s="163" t="n"/>
      <c r="S106" s="164" t="n">
        <v>7269</v>
      </c>
      <c r="T106" s="158" t="inlineStr">
        <is>
          <t>CLP</t>
        </is>
      </c>
      <c r="U106" s="158" t="inlineStr">
        <is>
          <t>Carga LH 18-06-26</t>
        </is>
      </c>
      <c r="V106" s="158" t="inlineStr">
        <is>
          <t>2026-06-18</t>
        </is>
      </c>
    </row>
    <row r="107" ht="14" customHeight="1" s="176">
      <c r="A107" s="165" t="inlineStr">
        <is>
          <t>CR-0104</t>
        </is>
      </c>
      <c r="B107" s="165" t="inlineStr">
        <is>
          <t>2026/27</t>
        </is>
      </c>
      <c r="C107" s="230" t="n">
        <v>46043</v>
      </c>
      <c r="D107" s="165" t="inlineStr">
        <is>
          <t>826092</t>
        </is>
      </c>
      <c r="E107" s="165" t="inlineStr">
        <is>
          <t>COMPRA</t>
        </is>
      </c>
      <c r="F107" s="160" t="inlineStr">
        <is>
          <t>Sin asignar</t>
        </is>
      </c>
      <c r="G107" s="160" t="inlineStr">
        <is>
          <t>PACKING</t>
        </is>
      </c>
      <c r="H107" s="160" t="n"/>
      <c r="I107" s="160" t="n"/>
      <c r="J107" s="165" t="inlineStr">
        <is>
          <t>MANT. Y REP. CONSTRUCCIONES</t>
        </is>
      </c>
      <c r="K107" s="165" t="inlineStr">
        <is>
          <t>MANTENCION INFRAESTRUCTURA</t>
        </is>
      </c>
      <c r="L107" s="165" t="inlineStr">
        <is>
          <t>O/001278 BROCHA CON</t>
        </is>
      </c>
      <c r="M107" s="165" t="n"/>
      <c r="N107" s="165" t="inlineStr">
        <is>
          <t>.   .   -</t>
        </is>
      </c>
      <c r="O107" s="229" t="inlineStr">
        <is>
          <t>ENERO</t>
        </is>
      </c>
      <c r="P107" s="165" t="n">
        <v>3</v>
      </c>
      <c r="Q107" s="162" t="n">
        <v>6570</v>
      </c>
      <c r="R107" s="167" t="n"/>
      <c r="S107" s="168" t="n">
        <v>6570</v>
      </c>
      <c r="T107" s="165" t="inlineStr">
        <is>
          <t>CLP</t>
        </is>
      </c>
      <c r="U107" s="165" t="inlineStr">
        <is>
          <t>Carga LH 18-06-26</t>
        </is>
      </c>
      <c r="V107" s="165" t="inlineStr">
        <is>
          <t>2026-06-18</t>
        </is>
      </c>
    </row>
    <row r="108" ht="14" customHeight="1" s="176">
      <c r="A108" s="158" t="inlineStr">
        <is>
          <t>CR-0105</t>
        </is>
      </c>
      <c r="B108" s="158" t="inlineStr">
        <is>
          <t>2026/27</t>
        </is>
      </c>
      <c r="C108" s="228" t="n">
        <v>46043</v>
      </c>
      <c r="D108" s="158" t="inlineStr">
        <is>
          <t>826092</t>
        </is>
      </c>
      <c r="E108" s="158" t="inlineStr">
        <is>
          <t>COMPRA</t>
        </is>
      </c>
      <c r="F108" s="160" t="inlineStr">
        <is>
          <t>Sin asignar</t>
        </is>
      </c>
      <c r="G108" s="160" t="inlineStr">
        <is>
          <t>PACKING</t>
        </is>
      </c>
      <c r="H108" s="160" t="n"/>
      <c r="I108" s="160" t="n"/>
      <c r="J108" s="158" t="inlineStr">
        <is>
          <t>MANT. Y REP. CONSTRUCCIONES</t>
        </is>
      </c>
      <c r="K108" s="158" t="inlineStr">
        <is>
          <t>MANTENCION INFRAESTRUCTURA</t>
        </is>
      </c>
      <c r="L108" s="158" t="inlineStr">
        <is>
          <t>O/001278 BROCHA CON</t>
        </is>
      </c>
      <c r="M108" s="158" t="n"/>
      <c r="N108" s="158" t="inlineStr">
        <is>
          <t>.   .   -</t>
        </is>
      </c>
      <c r="O108" s="229" t="inlineStr">
        <is>
          <t>ENERO</t>
        </is>
      </c>
      <c r="P108" s="158" t="n">
        <v>3</v>
      </c>
      <c r="Q108" s="162" t="n">
        <v>16650</v>
      </c>
      <c r="R108" s="163" t="n"/>
      <c r="S108" s="164" t="n">
        <v>16650</v>
      </c>
      <c r="T108" s="158" t="inlineStr">
        <is>
          <t>CLP</t>
        </is>
      </c>
      <c r="U108" s="158" t="inlineStr">
        <is>
          <t>Carga LH 18-06-26</t>
        </is>
      </c>
      <c r="V108" s="158" t="inlineStr">
        <is>
          <t>2026-06-18</t>
        </is>
      </c>
    </row>
    <row r="109" ht="14" customHeight="1" s="176">
      <c r="A109" s="165" t="inlineStr">
        <is>
          <t>CR-0106</t>
        </is>
      </c>
      <c r="B109" s="165" t="inlineStr">
        <is>
          <t>2026/27</t>
        </is>
      </c>
      <c r="C109" s="230" t="n">
        <v>46043</v>
      </c>
      <c r="D109" s="165" t="inlineStr">
        <is>
          <t>826092</t>
        </is>
      </c>
      <c r="E109" s="165" t="inlineStr">
        <is>
          <t>COMPRA</t>
        </is>
      </c>
      <c r="F109" s="160" t="inlineStr">
        <is>
          <t>Sin asignar</t>
        </is>
      </c>
      <c r="G109" s="160" t="inlineStr">
        <is>
          <t>PACKING</t>
        </is>
      </c>
      <c r="H109" s="160" t="n"/>
      <c r="I109" s="160" t="n"/>
      <c r="J109" s="165" t="inlineStr">
        <is>
          <t>MANT. Y REP. CONSTRUCCIONES</t>
        </is>
      </c>
      <c r="K109" s="165" t="inlineStr">
        <is>
          <t>MANTENCION INFRAESTRUCTURA</t>
        </is>
      </c>
      <c r="L109" s="165" t="inlineStr">
        <is>
          <t>O/001278 DILUYENTE</t>
        </is>
      </c>
      <c r="M109" s="165" t="n"/>
      <c r="N109" s="165" t="inlineStr">
        <is>
          <t>.   .   -</t>
        </is>
      </c>
      <c r="O109" s="229" t="inlineStr">
        <is>
          <t>ENERO</t>
        </is>
      </c>
      <c r="P109" s="165" t="n">
        <v>3</v>
      </c>
      <c r="Q109" s="162" t="n">
        <v>10316</v>
      </c>
      <c r="R109" s="167" t="n"/>
      <c r="S109" s="168" t="n">
        <v>10316</v>
      </c>
      <c r="T109" s="165" t="inlineStr">
        <is>
          <t>CLP</t>
        </is>
      </c>
      <c r="U109" s="165" t="inlineStr">
        <is>
          <t>Carga LH 18-06-26</t>
        </is>
      </c>
      <c r="V109" s="165" t="inlineStr">
        <is>
          <t>2026-06-18</t>
        </is>
      </c>
    </row>
    <row r="110" ht="14" customHeight="1" s="176">
      <c r="A110" s="158" t="inlineStr">
        <is>
          <t>CR-0107</t>
        </is>
      </c>
      <c r="B110" s="158" t="inlineStr">
        <is>
          <t>2026/27</t>
        </is>
      </c>
      <c r="C110" s="228" t="n">
        <v>46043</v>
      </c>
      <c r="D110" s="158" t="inlineStr">
        <is>
          <t>826092</t>
        </is>
      </c>
      <c r="E110" s="158" t="inlineStr">
        <is>
          <t>COMPRA</t>
        </is>
      </c>
      <c r="F110" s="160" t="inlineStr">
        <is>
          <t>Sin asignar</t>
        </is>
      </c>
      <c r="G110" s="160" t="inlineStr">
        <is>
          <t>PACKING</t>
        </is>
      </c>
      <c r="H110" s="160" t="n"/>
      <c r="I110" s="160" t="n"/>
      <c r="J110" s="158" t="inlineStr">
        <is>
          <t>MANT. Y REP. CONSTRUCCIONES</t>
        </is>
      </c>
      <c r="K110" s="158" t="inlineStr">
        <is>
          <t>MANTENCION INFRAESTRUCTURA</t>
        </is>
      </c>
      <c r="L110" s="158" t="inlineStr">
        <is>
          <t>O/001278 PERFIL CUA</t>
        </is>
      </c>
      <c r="M110" s="158" t="n"/>
      <c r="N110" s="158" t="inlineStr">
        <is>
          <t>.   .   -</t>
        </is>
      </c>
      <c r="O110" s="229" t="inlineStr">
        <is>
          <t>ENERO</t>
        </is>
      </c>
      <c r="P110" s="158" t="n">
        <v>3</v>
      </c>
      <c r="Q110" s="162" t="n">
        <v>41922</v>
      </c>
      <c r="R110" s="163" t="n"/>
      <c r="S110" s="164" t="n">
        <v>41922</v>
      </c>
      <c r="T110" s="158" t="inlineStr">
        <is>
          <t>CLP</t>
        </is>
      </c>
      <c r="U110" s="158" t="inlineStr">
        <is>
          <t>Carga LH 18-06-26</t>
        </is>
      </c>
      <c r="V110" s="158" t="inlineStr">
        <is>
          <t>2026-06-18</t>
        </is>
      </c>
    </row>
    <row r="111" ht="14" customHeight="1" s="176">
      <c r="A111" s="165" t="inlineStr">
        <is>
          <t>CR-0108</t>
        </is>
      </c>
      <c r="B111" s="165" t="inlineStr">
        <is>
          <t>2026/27</t>
        </is>
      </c>
      <c r="C111" s="230" t="n">
        <v>46043</v>
      </c>
      <c r="D111" s="165" t="inlineStr">
        <is>
          <t>826092</t>
        </is>
      </c>
      <c r="E111" s="165" t="inlineStr">
        <is>
          <t>COMPRA</t>
        </is>
      </c>
      <c r="F111" s="160" t="inlineStr">
        <is>
          <t>Sin asignar</t>
        </is>
      </c>
      <c r="G111" s="160" t="inlineStr">
        <is>
          <t>PACKING</t>
        </is>
      </c>
      <c r="H111" s="160" t="n"/>
      <c r="I111" s="160" t="n"/>
      <c r="J111" s="165" t="inlineStr">
        <is>
          <t>MANT. Y REP. CONSTRUCCIONES</t>
        </is>
      </c>
      <c r="K111" s="165" t="inlineStr">
        <is>
          <t>MANTENCION INFRAESTRUCTURA</t>
        </is>
      </c>
      <c r="L111" s="165" t="inlineStr">
        <is>
          <t>O/001278 PT ESMALTE</t>
        </is>
      </c>
      <c r="M111" s="165" t="n"/>
      <c r="N111" s="165" t="inlineStr">
        <is>
          <t>.   .   -</t>
        </is>
      </c>
      <c r="O111" s="229" t="inlineStr">
        <is>
          <t>ENERO</t>
        </is>
      </c>
      <c r="P111" s="165" t="n">
        <v>3</v>
      </c>
      <c r="Q111" s="162" t="n">
        <v>75000</v>
      </c>
      <c r="R111" s="167" t="n"/>
      <c r="S111" s="168" t="n">
        <v>75000</v>
      </c>
      <c r="T111" s="165" t="inlineStr">
        <is>
          <t>CLP</t>
        </is>
      </c>
      <c r="U111" s="165" t="inlineStr">
        <is>
          <t>Carga LH 18-06-26</t>
        </is>
      </c>
      <c r="V111" s="165" t="inlineStr">
        <is>
          <t>2026-06-18</t>
        </is>
      </c>
    </row>
    <row r="112" ht="14" customHeight="1" s="176">
      <c r="A112" s="158" t="inlineStr">
        <is>
          <t>CR-0109</t>
        </is>
      </c>
      <c r="B112" s="158" t="inlineStr">
        <is>
          <t>2026/27</t>
        </is>
      </c>
      <c r="C112" s="228" t="n">
        <v>46043</v>
      </c>
      <c r="D112" s="158" t="inlineStr">
        <is>
          <t>826092</t>
        </is>
      </c>
      <c r="E112" s="158" t="inlineStr">
        <is>
          <t>COMPRA</t>
        </is>
      </c>
      <c r="F112" s="160" t="inlineStr">
        <is>
          <t>Sin asignar</t>
        </is>
      </c>
      <c r="G112" s="160" t="inlineStr">
        <is>
          <t>PACKING</t>
        </is>
      </c>
      <c r="H112" s="160" t="n"/>
      <c r="I112" s="160" t="n"/>
      <c r="J112" s="158" t="inlineStr">
        <is>
          <t>MANT. Y REP. CONSTRUCCIONES</t>
        </is>
      </c>
      <c r="K112" s="158" t="inlineStr">
        <is>
          <t>MANTENCION INFRAESTRUCTURA</t>
        </is>
      </c>
      <c r="L112" s="158" t="inlineStr">
        <is>
          <t>O/001278 ROLLO 2KG</t>
        </is>
      </c>
      <c r="M112" s="158" t="n"/>
      <c r="N112" s="158" t="inlineStr">
        <is>
          <t>.   .   -</t>
        </is>
      </c>
      <c r="O112" s="229" t="inlineStr">
        <is>
          <t>ENERO</t>
        </is>
      </c>
      <c r="P112" s="158" t="n">
        <v>3</v>
      </c>
      <c r="Q112" s="162" t="n">
        <v>7901</v>
      </c>
      <c r="R112" s="163" t="n"/>
      <c r="S112" s="164" t="n">
        <v>7901</v>
      </c>
      <c r="T112" s="158" t="inlineStr">
        <is>
          <t>CLP</t>
        </is>
      </c>
      <c r="U112" s="158" t="inlineStr">
        <is>
          <t>Carga LH 18-06-26</t>
        </is>
      </c>
      <c r="V112" s="158" t="inlineStr">
        <is>
          <t>2026-06-18</t>
        </is>
      </c>
    </row>
    <row r="113" ht="14" customHeight="1" s="176">
      <c r="A113" s="165" t="inlineStr">
        <is>
          <t>CR-0110</t>
        </is>
      </c>
      <c r="B113" s="165" t="inlineStr">
        <is>
          <t>2026/27</t>
        </is>
      </c>
      <c r="C113" s="230" t="n">
        <v>46043</v>
      </c>
      <c r="D113" s="165" t="inlineStr">
        <is>
          <t>826092</t>
        </is>
      </c>
      <c r="E113" s="165" t="inlineStr">
        <is>
          <t>COMPRA</t>
        </is>
      </c>
      <c r="F113" s="160" t="inlineStr">
        <is>
          <t>Sin asignar</t>
        </is>
      </c>
      <c r="G113" s="160" t="inlineStr">
        <is>
          <t>PACKING</t>
        </is>
      </c>
      <c r="H113" s="160" t="n"/>
      <c r="I113" s="160" t="n"/>
      <c r="J113" s="165" t="inlineStr">
        <is>
          <t>MANT. Y REP. CONSTRUCCIONES</t>
        </is>
      </c>
      <c r="K113" s="165" t="inlineStr">
        <is>
          <t>MANTENCION INFRAESTRUCTURA</t>
        </is>
      </c>
      <c r="L113" s="165" t="inlineStr">
        <is>
          <t>O/001278 SOLDADURA</t>
        </is>
      </c>
      <c r="M113" s="165" t="n"/>
      <c r="N113" s="165" t="inlineStr">
        <is>
          <t>.   .   -</t>
        </is>
      </c>
      <c r="O113" s="229" t="inlineStr">
        <is>
          <t>ENERO</t>
        </is>
      </c>
      <c r="P113" s="165" t="n">
        <v>3</v>
      </c>
      <c r="Q113" s="162" t="n">
        <v>3509</v>
      </c>
      <c r="R113" s="167" t="n"/>
      <c r="S113" s="168" t="n">
        <v>3509</v>
      </c>
      <c r="T113" s="165" t="inlineStr">
        <is>
          <t>CLP</t>
        </is>
      </c>
      <c r="U113" s="165" t="inlineStr">
        <is>
          <t>Carga LH 18-06-26</t>
        </is>
      </c>
      <c r="V113" s="165" t="inlineStr">
        <is>
          <t>2026-06-18</t>
        </is>
      </c>
    </row>
    <row r="114" ht="14" customHeight="1" s="176">
      <c r="A114" s="158" t="inlineStr">
        <is>
          <t>CR-0111</t>
        </is>
      </c>
      <c r="B114" s="158" t="inlineStr">
        <is>
          <t>2026/27</t>
        </is>
      </c>
      <c r="C114" s="228" t="n">
        <v>46043</v>
      </c>
      <c r="D114" s="158" t="inlineStr">
        <is>
          <t>826092</t>
        </is>
      </c>
      <c r="E114" s="158" t="inlineStr">
        <is>
          <t>COMPRA</t>
        </is>
      </c>
      <c r="F114" s="160" t="inlineStr">
        <is>
          <t>Sin asignar</t>
        </is>
      </c>
      <c r="G114" s="160" t="inlineStr">
        <is>
          <t>PACKING</t>
        </is>
      </c>
      <c r="H114" s="160" t="n"/>
      <c r="I114" s="160" t="n"/>
      <c r="J114" s="158" t="inlineStr">
        <is>
          <t>MANT. Y REP. PLANTACIONES</t>
        </is>
      </c>
      <c r="K114" s="158" t="inlineStr">
        <is>
          <t>MANTENCION HUERTO</t>
        </is>
      </c>
      <c r="L114" s="158" t="inlineStr">
        <is>
          <t>O/001278 TIJERAS CO</t>
        </is>
      </c>
      <c r="M114" s="158" t="n"/>
      <c r="N114" s="158" t="inlineStr">
        <is>
          <t>.   .   -</t>
        </is>
      </c>
      <c r="O114" s="229" t="inlineStr">
        <is>
          <t>ENERO</t>
        </is>
      </c>
      <c r="P114" s="158" t="n">
        <v>3</v>
      </c>
      <c r="Q114" s="162" t="n">
        <v>53837</v>
      </c>
      <c r="R114" s="163" t="n"/>
      <c r="S114" s="164" t="n">
        <v>53837</v>
      </c>
      <c r="T114" s="158" t="inlineStr">
        <is>
          <t>CLP</t>
        </is>
      </c>
      <c r="U114" s="158" t="inlineStr">
        <is>
          <t>Carga LH 18-06-26</t>
        </is>
      </c>
      <c r="V114" s="158" t="inlineStr">
        <is>
          <t>2026-06-18</t>
        </is>
      </c>
    </row>
    <row r="115" ht="14" customHeight="1" s="176">
      <c r="A115" s="165" t="inlineStr">
        <is>
          <t>CR-0112</t>
        </is>
      </c>
      <c r="B115" s="165" t="inlineStr">
        <is>
          <t>2026/27</t>
        </is>
      </c>
      <c r="C115" s="230" t="n">
        <v>46043</v>
      </c>
      <c r="D115" s="165" t="inlineStr">
        <is>
          <t>826047</t>
        </is>
      </c>
      <c r="E115" s="165" t="inlineStr">
        <is>
          <t>COMPRA</t>
        </is>
      </c>
      <c r="F115" s="160" t="inlineStr">
        <is>
          <t>Sin asignar</t>
        </is>
      </c>
      <c r="G115" s="160" t="inlineStr">
        <is>
          <t>BODEGA</t>
        </is>
      </c>
      <c r="H115" s="160" t="n"/>
      <c r="I115" s="160" t="n"/>
      <c r="J115" s="165" t="inlineStr">
        <is>
          <t>HERRAMIENTAS MENORES</t>
        </is>
      </c>
      <c r="K115" s="165" t="inlineStr">
        <is>
          <t>BODEGA</t>
        </is>
      </c>
      <c r="L115" s="165" t="inlineStr">
        <is>
          <t>O/001274 COMPRESOR</t>
        </is>
      </c>
      <c r="M115" s="165" t="n"/>
      <c r="N115" s="165" t="inlineStr">
        <is>
          <t>.   .   -</t>
        </is>
      </c>
      <c r="O115" s="229" t="inlineStr">
        <is>
          <t>ENERO</t>
        </is>
      </c>
      <c r="P115" s="165" t="n">
        <v>3</v>
      </c>
      <c r="Q115" s="162" t="n">
        <v>177552</v>
      </c>
      <c r="R115" s="167" t="n"/>
      <c r="S115" s="168" t="n">
        <v>177552</v>
      </c>
      <c r="T115" s="165" t="inlineStr">
        <is>
          <t>CLP</t>
        </is>
      </c>
      <c r="U115" s="165" t="inlineStr">
        <is>
          <t>Carga LH 18-06-26</t>
        </is>
      </c>
      <c r="V115" s="165" t="inlineStr">
        <is>
          <t>2026-06-18</t>
        </is>
      </c>
    </row>
    <row r="116" ht="14" customHeight="1" s="176">
      <c r="A116" s="158" t="inlineStr">
        <is>
          <t>CR-0113</t>
        </is>
      </c>
      <c r="B116" s="158" t="inlineStr">
        <is>
          <t>2026/27</t>
        </is>
      </c>
      <c r="C116" s="228" t="n">
        <v>46043</v>
      </c>
      <c r="D116" s="158" t="inlineStr">
        <is>
          <t>213465</t>
        </is>
      </c>
      <c r="E116" s="158" t="inlineStr">
        <is>
          <t>COMPRA</t>
        </is>
      </c>
      <c r="F116" s="160" t="inlineStr">
        <is>
          <t>Sin asignar</t>
        </is>
      </c>
      <c r="G116" s="160" t="inlineStr">
        <is>
          <t>PACKING</t>
        </is>
      </c>
      <c r="H116" s="160" t="n"/>
      <c r="I116" s="160" t="n"/>
      <c r="J116" s="158" t="inlineStr">
        <is>
          <t>MATERIALES COSECHA</t>
        </is>
      </c>
      <c r="K116" s="158" t="inlineStr">
        <is>
          <t>INSUMOS PACKING</t>
        </is>
      </c>
      <c r="L116" s="158" t="inlineStr">
        <is>
          <t>O/001281 ADHESIVO B</t>
        </is>
      </c>
      <c r="M116" s="158" t="n"/>
      <c r="N116" s="158" t="inlineStr">
        <is>
          <t>.   .   -</t>
        </is>
      </c>
      <c r="O116" s="229" t="inlineStr">
        <is>
          <t>ENERO</t>
        </is>
      </c>
      <c r="P116" s="158" t="n">
        <v>3</v>
      </c>
      <c r="Q116" s="162" t="n">
        <v>5900</v>
      </c>
      <c r="R116" s="163" t="n"/>
      <c r="S116" s="164" t="n">
        <v>5900</v>
      </c>
      <c r="T116" s="158" t="inlineStr">
        <is>
          <t>CLP</t>
        </is>
      </c>
      <c r="U116" s="158" t="inlineStr">
        <is>
          <t>Carga LH 18-06-26</t>
        </is>
      </c>
      <c r="V116" s="158" t="inlineStr">
        <is>
          <t>2026-06-18</t>
        </is>
      </c>
    </row>
    <row r="117" ht="14" customHeight="1" s="176">
      <c r="A117" s="165" t="inlineStr">
        <is>
          <t>CR-0114</t>
        </is>
      </c>
      <c r="B117" s="165" t="inlineStr">
        <is>
          <t>2026/27</t>
        </is>
      </c>
      <c r="C117" s="230" t="n">
        <v>46043</v>
      </c>
      <c r="D117" s="165" t="inlineStr">
        <is>
          <t>213465</t>
        </is>
      </c>
      <c r="E117" s="165" t="inlineStr">
        <is>
          <t>COMPRA</t>
        </is>
      </c>
      <c r="F117" s="160" t="inlineStr">
        <is>
          <t>Sin asignar</t>
        </is>
      </c>
      <c r="G117" s="160" t="inlineStr">
        <is>
          <t>PACKING</t>
        </is>
      </c>
      <c r="H117" s="160" t="n"/>
      <c r="I117" s="160" t="n"/>
      <c r="J117" s="165" t="inlineStr">
        <is>
          <t>MATERIALES COSECHA</t>
        </is>
      </c>
      <c r="K117" s="165" t="inlineStr">
        <is>
          <t>INSUMOS PACKING</t>
        </is>
      </c>
      <c r="L117" s="165" t="inlineStr">
        <is>
          <t>O/001281 ATOMIZADOR</t>
        </is>
      </c>
      <c r="M117" s="165" t="n"/>
      <c r="N117" s="165" t="inlineStr">
        <is>
          <t>.   .   -</t>
        </is>
      </c>
      <c r="O117" s="229" t="inlineStr">
        <is>
          <t>ENERO</t>
        </is>
      </c>
      <c r="P117" s="165" t="n">
        <v>3</v>
      </c>
      <c r="Q117" s="162" t="n">
        <v>5260</v>
      </c>
      <c r="R117" s="167" t="n"/>
      <c r="S117" s="168" t="n">
        <v>5260</v>
      </c>
      <c r="T117" s="165" t="inlineStr">
        <is>
          <t>CLP</t>
        </is>
      </c>
      <c r="U117" s="165" t="inlineStr">
        <is>
          <t>Carga LH 18-06-26</t>
        </is>
      </c>
      <c r="V117" s="165" t="inlineStr">
        <is>
          <t>2026-06-18</t>
        </is>
      </c>
    </row>
    <row r="118" ht="14" customHeight="1" s="176">
      <c r="A118" s="158" t="inlineStr">
        <is>
          <t>CR-0115</t>
        </is>
      </c>
      <c r="B118" s="158" t="inlineStr">
        <is>
          <t>2026/27</t>
        </is>
      </c>
      <c r="C118" s="228" t="n">
        <v>46043</v>
      </c>
      <c r="D118" s="158" t="inlineStr">
        <is>
          <t>213465</t>
        </is>
      </c>
      <c r="E118" s="158" t="inlineStr">
        <is>
          <t>COMPRA</t>
        </is>
      </c>
      <c r="F118" s="160" t="inlineStr">
        <is>
          <t>Sin asignar</t>
        </is>
      </c>
      <c r="G118" s="160" t="inlineStr">
        <is>
          <t>PACKING</t>
        </is>
      </c>
      <c r="H118" s="160" t="n"/>
      <c r="I118" s="160" t="n"/>
      <c r="J118" s="158" t="inlineStr">
        <is>
          <t>MATERIALES COSECHA</t>
        </is>
      </c>
      <c r="K118" s="158" t="inlineStr">
        <is>
          <t>INSUMOS PACKING</t>
        </is>
      </c>
      <c r="L118" s="158" t="inlineStr">
        <is>
          <t>O/001281 BOLSA ASEO</t>
        </is>
      </c>
      <c r="M118" s="158" t="n"/>
      <c r="N118" s="158" t="inlineStr">
        <is>
          <t>.   .   -</t>
        </is>
      </c>
      <c r="O118" s="229" t="inlineStr">
        <is>
          <t>ENERO</t>
        </is>
      </c>
      <c r="P118" s="158" t="n">
        <v>3</v>
      </c>
      <c r="Q118" s="162" t="n">
        <v>3420</v>
      </c>
      <c r="R118" s="163" t="n"/>
      <c r="S118" s="164" t="n">
        <v>3420</v>
      </c>
      <c r="T118" s="158" t="inlineStr">
        <is>
          <t>CLP</t>
        </is>
      </c>
      <c r="U118" s="158" t="inlineStr">
        <is>
          <t>Carga LH 18-06-26</t>
        </is>
      </c>
      <c r="V118" s="158" t="inlineStr">
        <is>
          <t>2026-06-18</t>
        </is>
      </c>
    </row>
    <row r="119" ht="14" customHeight="1" s="176">
      <c r="A119" s="165" t="inlineStr">
        <is>
          <t>CR-0116</t>
        </is>
      </c>
      <c r="B119" s="165" t="inlineStr">
        <is>
          <t>2026/27</t>
        </is>
      </c>
      <c r="C119" s="230" t="n">
        <v>46043</v>
      </c>
      <c r="D119" s="165" t="inlineStr">
        <is>
          <t>213465</t>
        </is>
      </c>
      <c r="E119" s="165" t="inlineStr">
        <is>
          <t>COMPRA</t>
        </is>
      </c>
      <c r="F119" s="160" t="inlineStr">
        <is>
          <t>Sin asignar</t>
        </is>
      </c>
      <c r="G119" s="160" t="inlineStr">
        <is>
          <t>PACKING</t>
        </is>
      </c>
      <c r="H119" s="160" t="n"/>
      <c r="I119" s="160" t="n"/>
      <c r="J119" s="165" t="inlineStr">
        <is>
          <t>MATERIALES COSECHA</t>
        </is>
      </c>
      <c r="K119" s="165" t="inlineStr">
        <is>
          <t>INSUMOS PACKING</t>
        </is>
      </c>
      <c r="L119" s="165" t="inlineStr">
        <is>
          <t>O/001281 BOLSA ASEO</t>
        </is>
      </c>
      <c r="M119" s="165" t="n"/>
      <c r="N119" s="165" t="inlineStr">
        <is>
          <t>.   .   -</t>
        </is>
      </c>
      <c r="O119" s="229" t="inlineStr">
        <is>
          <t>ENERO</t>
        </is>
      </c>
      <c r="P119" s="165" t="n">
        <v>3</v>
      </c>
      <c r="Q119" s="162" t="n">
        <v>50520</v>
      </c>
      <c r="R119" s="167" t="n"/>
      <c r="S119" s="168" t="n">
        <v>50520</v>
      </c>
      <c r="T119" s="165" t="inlineStr">
        <is>
          <t>CLP</t>
        </is>
      </c>
      <c r="U119" s="165" t="inlineStr">
        <is>
          <t>Carga LH 18-06-26</t>
        </is>
      </c>
      <c r="V119" s="165" t="inlineStr">
        <is>
          <t>2026-06-18</t>
        </is>
      </c>
    </row>
    <row r="120" ht="14" customHeight="1" s="176">
      <c r="A120" s="158" t="inlineStr">
        <is>
          <t>CR-0117</t>
        </is>
      </c>
      <c r="B120" s="158" t="inlineStr">
        <is>
          <t>2026/27</t>
        </is>
      </c>
      <c r="C120" s="228" t="n">
        <v>46043</v>
      </c>
      <c r="D120" s="158" t="inlineStr">
        <is>
          <t>213465</t>
        </is>
      </c>
      <c r="E120" s="158" t="inlineStr">
        <is>
          <t>COMPRA</t>
        </is>
      </c>
      <c r="F120" s="160" t="inlineStr">
        <is>
          <t>Sin asignar</t>
        </is>
      </c>
      <c r="G120" s="160" t="inlineStr">
        <is>
          <t>PACKING</t>
        </is>
      </c>
      <c r="H120" s="160" t="n"/>
      <c r="I120" s="160" t="n"/>
      <c r="J120" s="158" t="inlineStr">
        <is>
          <t>MATERIALES COSECHA</t>
        </is>
      </c>
      <c r="K120" s="158" t="inlineStr">
        <is>
          <t>INSUMOS PACKING</t>
        </is>
      </c>
      <c r="L120" s="158" t="inlineStr">
        <is>
          <t>O/001281 CARPETA VI</t>
        </is>
      </c>
      <c r="M120" s="158" t="n"/>
      <c r="N120" s="158" t="inlineStr">
        <is>
          <t>.   .   -</t>
        </is>
      </c>
      <c r="O120" s="229" t="inlineStr">
        <is>
          <t>ENERO</t>
        </is>
      </c>
      <c r="P120" s="158" t="n">
        <v>3</v>
      </c>
      <c r="Q120" s="162" t="n">
        <v>4000</v>
      </c>
      <c r="R120" s="163" t="n"/>
      <c r="S120" s="164" t="n">
        <v>4000</v>
      </c>
      <c r="T120" s="158" t="inlineStr">
        <is>
          <t>CLP</t>
        </is>
      </c>
      <c r="U120" s="158" t="inlineStr">
        <is>
          <t>Carga LH 18-06-26</t>
        </is>
      </c>
      <c r="V120" s="158" t="inlineStr">
        <is>
          <t>2026-06-18</t>
        </is>
      </c>
    </row>
    <row r="121" ht="14" customHeight="1" s="176">
      <c r="A121" s="165" t="inlineStr">
        <is>
          <t>CR-0118</t>
        </is>
      </c>
      <c r="B121" s="165" t="inlineStr">
        <is>
          <t>2026/27</t>
        </is>
      </c>
      <c r="C121" s="230" t="n">
        <v>46043</v>
      </c>
      <c r="D121" s="165" t="inlineStr">
        <is>
          <t>213465</t>
        </is>
      </c>
      <c r="E121" s="165" t="inlineStr">
        <is>
          <t>COMPRA</t>
        </is>
      </c>
      <c r="F121" s="160" t="inlineStr">
        <is>
          <t>Sin asignar</t>
        </is>
      </c>
      <c r="G121" s="160" t="inlineStr">
        <is>
          <t>PACKING</t>
        </is>
      </c>
      <c r="H121" s="160" t="n"/>
      <c r="I121" s="160" t="n"/>
      <c r="J121" s="165" t="inlineStr">
        <is>
          <t>MATERIALES COSECHA</t>
        </is>
      </c>
      <c r="K121" s="165" t="inlineStr">
        <is>
          <t>INSUMOS PACKING</t>
        </is>
      </c>
      <c r="L121" s="165" t="inlineStr">
        <is>
          <t>O/001281 DETERGENTE</t>
        </is>
      </c>
      <c r="M121" s="165" t="n"/>
      <c r="N121" s="165" t="inlineStr">
        <is>
          <t>.   .   -</t>
        </is>
      </c>
      <c r="O121" s="229" t="inlineStr">
        <is>
          <t>ENERO</t>
        </is>
      </c>
      <c r="P121" s="165" t="n">
        <v>3</v>
      </c>
      <c r="Q121" s="162" t="n">
        <v>16510</v>
      </c>
      <c r="R121" s="167" t="n"/>
      <c r="S121" s="168" t="n">
        <v>16510</v>
      </c>
      <c r="T121" s="165" t="inlineStr">
        <is>
          <t>CLP</t>
        </is>
      </c>
      <c r="U121" s="165" t="inlineStr">
        <is>
          <t>Carga LH 18-06-26</t>
        </is>
      </c>
      <c r="V121" s="165" t="inlineStr">
        <is>
          <t>2026-06-18</t>
        </is>
      </c>
    </row>
    <row r="122" ht="14" customHeight="1" s="176">
      <c r="A122" s="158" t="inlineStr">
        <is>
          <t>CR-0119</t>
        </is>
      </c>
      <c r="B122" s="158" t="inlineStr">
        <is>
          <t>2026/27</t>
        </is>
      </c>
      <c r="C122" s="228" t="n">
        <v>46043</v>
      </c>
      <c r="D122" s="158" t="inlineStr">
        <is>
          <t>213465</t>
        </is>
      </c>
      <c r="E122" s="158" t="inlineStr">
        <is>
          <t>COMPRA</t>
        </is>
      </c>
      <c r="F122" s="160" t="inlineStr">
        <is>
          <t>Sin asignar</t>
        </is>
      </c>
      <c r="G122" s="160" t="inlineStr">
        <is>
          <t>PACKING</t>
        </is>
      </c>
      <c r="H122" s="160" t="n"/>
      <c r="I122" s="160" t="n"/>
      <c r="J122" s="158" t="inlineStr">
        <is>
          <t>MATERIALES COSECHA</t>
        </is>
      </c>
      <c r="K122" s="158" t="inlineStr">
        <is>
          <t>INSUMOS PACKING</t>
        </is>
      </c>
      <c r="L122" s="158" t="inlineStr">
        <is>
          <t>O/001281 ESCOBILLON</t>
        </is>
      </c>
      <c r="M122" s="158" t="n"/>
      <c r="N122" s="158" t="inlineStr">
        <is>
          <t>.   .   -</t>
        </is>
      </c>
      <c r="O122" s="229" t="inlineStr">
        <is>
          <t>ENERO</t>
        </is>
      </c>
      <c r="P122" s="158" t="n">
        <v>3</v>
      </c>
      <c r="Q122" s="162" t="n">
        <v>18096</v>
      </c>
      <c r="R122" s="163" t="n"/>
      <c r="S122" s="164" t="n">
        <v>18096</v>
      </c>
      <c r="T122" s="158" t="inlineStr">
        <is>
          <t>CLP</t>
        </is>
      </c>
      <c r="U122" s="158" t="inlineStr">
        <is>
          <t>Carga LH 18-06-26</t>
        </is>
      </c>
      <c r="V122" s="158" t="inlineStr">
        <is>
          <t>2026-06-18</t>
        </is>
      </c>
    </row>
    <row r="123" ht="14" customHeight="1" s="176">
      <c r="A123" s="165" t="inlineStr">
        <is>
          <t>CR-0120</t>
        </is>
      </c>
      <c r="B123" s="165" t="inlineStr">
        <is>
          <t>2026/27</t>
        </is>
      </c>
      <c r="C123" s="230" t="n">
        <v>46043</v>
      </c>
      <c r="D123" s="165" t="inlineStr">
        <is>
          <t>213465</t>
        </is>
      </c>
      <c r="E123" s="165" t="inlineStr">
        <is>
          <t>COMPRA</t>
        </is>
      </c>
      <c r="F123" s="160" t="inlineStr">
        <is>
          <t>Sin asignar</t>
        </is>
      </c>
      <c r="G123" s="160" t="inlineStr">
        <is>
          <t>PACKING</t>
        </is>
      </c>
      <c r="H123" s="160" t="n"/>
      <c r="I123" s="160" t="n"/>
      <c r="J123" s="165" t="inlineStr">
        <is>
          <t>MATERIALES COSECHA</t>
        </is>
      </c>
      <c r="K123" s="165" t="inlineStr">
        <is>
          <t>INSUMOS PACKING</t>
        </is>
      </c>
      <c r="L123" s="165" t="inlineStr">
        <is>
          <t>O/001281 JABON LIQU</t>
        </is>
      </c>
      <c r="M123" s="165" t="n"/>
      <c r="N123" s="165" t="inlineStr">
        <is>
          <t>.   .   -</t>
        </is>
      </c>
      <c r="O123" s="229" t="inlineStr">
        <is>
          <t>ENERO</t>
        </is>
      </c>
      <c r="P123" s="165" t="n">
        <v>3</v>
      </c>
      <c r="Q123" s="162" t="n">
        <v>30240</v>
      </c>
      <c r="R123" s="167" t="n"/>
      <c r="S123" s="168" t="n">
        <v>30240</v>
      </c>
      <c r="T123" s="165" t="inlineStr">
        <is>
          <t>CLP</t>
        </is>
      </c>
      <c r="U123" s="165" t="inlineStr">
        <is>
          <t>Carga LH 18-06-26</t>
        </is>
      </c>
      <c r="V123" s="165" t="inlineStr">
        <is>
          <t>2026-06-18</t>
        </is>
      </c>
    </row>
    <row r="124" ht="14" customHeight="1" s="176">
      <c r="A124" s="158" t="inlineStr">
        <is>
          <t>CR-0121</t>
        </is>
      </c>
      <c r="B124" s="158" t="inlineStr">
        <is>
          <t>2026/27</t>
        </is>
      </c>
      <c r="C124" s="228" t="n">
        <v>46043</v>
      </c>
      <c r="D124" s="158" t="inlineStr">
        <is>
          <t>213465</t>
        </is>
      </c>
      <c r="E124" s="158" t="inlineStr">
        <is>
          <t>COMPRA</t>
        </is>
      </c>
      <c r="F124" s="160" t="inlineStr">
        <is>
          <t>Sin asignar</t>
        </is>
      </c>
      <c r="G124" s="160" t="inlineStr">
        <is>
          <t>PACKING</t>
        </is>
      </c>
      <c r="H124" s="160" t="n"/>
      <c r="I124" s="160" t="n"/>
      <c r="J124" s="158" t="inlineStr">
        <is>
          <t>MATERIALES COSECHA</t>
        </is>
      </c>
      <c r="K124" s="158" t="inlineStr">
        <is>
          <t>INSUMOS PACKING</t>
        </is>
      </c>
      <c r="L124" s="158" t="inlineStr">
        <is>
          <t>O/001281 LIMPIADOR</t>
        </is>
      </c>
      <c r="M124" s="158" t="n"/>
      <c r="N124" s="158" t="inlineStr">
        <is>
          <t>.   .   -</t>
        </is>
      </c>
      <c r="O124" s="229" t="inlineStr">
        <is>
          <t>ENERO</t>
        </is>
      </c>
      <c r="P124" s="158" t="n">
        <v>3</v>
      </c>
      <c r="Q124" s="162" t="n">
        <v>10154</v>
      </c>
      <c r="R124" s="163" t="n"/>
      <c r="S124" s="164" t="n">
        <v>10154</v>
      </c>
      <c r="T124" s="158" t="inlineStr">
        <is>
          <t>CLP</t>
        </is>
      </c>
      <c r="U124" s="158" t="inlineStr">
        <is>
          <t>Carga LH 18-06-26</t>
        </is>
      </c>
      <c r="V124" s="158" t="inlineStr">
        <is>
          <t>2026-06-18</t>
        </is>
      </c>
    </row>
    <row r="125" ht="14" customHeight="1" s="176">
      <c r="A125" s="165" t="inlineStr">
        <is>
          <t>CR-0122</t>
        </is>
      </c>
      <c r="B125" s="165" t="inlineStr">
        <is>
          <t>2026/27</t>
        </is>
      </c>
      <c r="C125" s="230" t="n">
        <v>46043</v>
      </c>
      <c r="D125" s="165" t="inlineStr">
        <is>
          <t>213465</t>
        </is>
      </c>
      <c r="E125" s="165" t="inlineStr">
        <is>
          <t>COMPRA</t>
        </is>
      </c>
      <c r="F125" s="160" t="inlineStr">
        <is>
          <t>Sin asignar</t>
        </is>
      </c>
      <c r="G125" s="160" t="inlineStr">
        <is>
          <t>PACKING</t>
        </is>
      </c>
      <c r="H125" s="160" t="n"/>
      <c r="I125" s="160" t="n"/>
      <c r="J125" s="165" t="inlineStr">
        <is>
          <t>MATERIALES COSECHA</t>
        </is>
      </c>
      <c r="K125" s="165" t="inlineStr">
        <is>
          <t>INSUMOS PACKING</t>
        </is>
      </c>
      <c r="L125" s="165" t="inlineStr">
        <is>
          <t>O/001281 PALA ASEO</t>
        </is>
      </c>
      <c r="M125" s="165" t="n"/>
      <c r="N125" s="165" t="inlineStr">
        <is>
          <t>.   .   -</t>
        </is>
      </c>
      <c r="O125" s="229" t="inlineStr">
        <is>
          <t>ENERO</t>
        </is>
      </c>
      <c r="P125" s="165" t="n">
        <v>3</v>
      </c>
      <c r="Q125" s="162" t="n">
        <v>16170</v>
      </c>
      <c r="R125" s="167" t="n"/>
      <c r="S125" s="168" t="n">
        <v>16170</v>
      </c>
      <c r="T125" s="165" t="inlineStr">
        <is>
          <t>CLP</t>
        </is>
      </c>
      <c r="U125" s="165" t="inlineStr">
        <is>
          <t>Carga LH 18-06-26</t>
        </is>
      </c>
      <c r="V125" s="165" t="inlineStr">
        <is>
          <t>2026-06-18</t>
        </is>
      </c>
    </row>
    <row r="126" ht="14" customHeight="1" s="176">
      <c r="A126" s="158" t="inlineStr">
        <is>
          <t>CR-0123</t>
        </is>
      </c>
      <c r="B126" s="158" t="inlineStr">
        <is>
          <t>2026/27</t>
        </is>
      </c>
      <c r="C126" s="228" t="n">
        <v>46043</v>
      </c>
      <c r="D126" s="158" t="inlineStr">
        <is>
          <t>213465</t>
        </is>
      </c>
      <c r="E126" s="158" t="inlineStr">
        <is>
          <t>COMPRA</t>
        </is>
      </c>
      <c r="F126" s="160" t="inlineStr">
        <is>
          <t>Sin asignar</t>
        </is>
      </c>
      <c r="G126" s="160" t="inlineStr">
        <is>
          <t>PACKING</t>
        </is>
      </c>
      <c r="H126" s="160" t="n"/>
      <c r="I126" s="160" t="n"/>
      <c r="J126" s="158" t="inlineStr">
        <is>
          <t>MATERIALES COSECHA</t>
        </is>
      </c>
      <c r="K126" s="158" t="inlineStr">
        <is>
          <t>INSUMOS PACKING</t>
        </is>
      </c>
      <c r="L126" s="158" t="inlineStr">
        <is>
          <t>O/001281 TRAPERO DO</t>
        </is>
      </c>
      <c r="M126" s="158" t="n"/>
      <c r="N126" s="158" t="inlineStr">
        <is>
          <t>.   .   -</t>
        </is>
      </c>
      <c r="O126" s="229" t="inlineStr">
        <is>
          <t>ENERO</t>
        </is>
      </c>
      <c r="P126" s="158" t="n">
        <v>3</v>
      </c>
      <c r="Q126" s="162" t="n">
        <v>2916</v>
      </c>
      <c r="R126" s="163" t="n"/>
      <c r="S126" s="164" t="n">
        <v>2916</v>
      </c>
      <c r="T126" s="158" t="inlineStr">
        <is>
          <t>CLP</t>
        </is>
      </c>
      <c r="U126" s="158" t="inlineStr">
        <is>
          <t>Carga LH 18-06-26</t>
        </is>
      </c>
      <c r="V126" s="158" t="inlineStr">
        <is>
          <t>2026-06-18</t>
        </is>
      </c>
    </row>
    <row r="127" ht="14" customHeight="1" s="176">
      <c r="A127" s="165" t="inlineStr">
        <is>
          <t>CR-0124</t>
        </is>
      </c>
      <c r="B127" s="165" t="inlineStr">
        <is>
          <t>2026/27</t>
        </is>
      </c>
      <c r="C127" s="230" t="n">
        <v>46043</v>
      </c>
      <c r="D127" s="165" t="inlineStr">
        <is>
          <t>213465</t>
        </is>
      </c>
      <c r="E127" s="165" t="inlineStr">
        <is>
          <t>COMPRA</t>
        </is>
      </c>
      <c r="F127" s="160" t="inlineStr">
        <is>
          <t>Sin asignar</t>
        </is>
      </c>
      <c r="G127" s="160" t="inlineStr">
        <is>
          <t>PACKING</t>
        </is>
      </c>
      <c r="H127" s="160" t="n"/>
      <c r="I127" s="160" t="n"/>
      <c r="J127" s="165" t="inlineStr">
        <is>
          <t>MATERIALES COSECHA</t>
        </is>
      </c>
      <c r="K127" s="165" t="inlineStr">
        <is>
          <t>INSUMOS PACKING</t>
        </is>
      </c>
      <c r="L127" s="165" t="inlineStr">
        <is>
          <t>O/001281 VASO DESEC</t>
        </is>
      </c>
      <c r="M127" s="165" t="n"/>
      <c r="N127" s="165" t="inlineStr">
        <is>
          <t>.   .   -</t>
        </is>
      </c>
      <c r="O127" s="229" t="inlineStr">
        <is>
          <t>ENERO</t>
        </is>
      </c>
      <c r="P127" s="165" t="n">
        <v>3</v>
      </c>
      <c r="Q127" s="162" t="n">
        <v>3816</v>
      </c>
      <c r="R127" s="167" t="n"/>
      <c r="S127" s="168" t="n">
        <v>3816</v>
      </c>
      <c r="T127" s="165" t="inlineStr">
        <is>
          <t>CLP</t>
        </is>
      </c>
      <c r="U127" s="165" t="inlineStr">
        <is>
          <t>Carga LH 18-06-26</t>
        </is>
      </c>
      <c r="V127" s="165" t="inlineStr">
        <is>
          <t>2026-06-18</t>
        </is>
      </c>
    </row>
    <row r="128" ht="14" customHeight="1" s="176">
      <c r="A128" s="158" t="inlineStr">
        <is>
          <t>CR-0125</t>
        </is>
      </c>
      <c r="B128" s="158" t="inlineStr">
        <is>
          <t>2026/27</t>
        </is>
      </c>
      <c r="C128" s="228" t="n">
        <v>46049</v>
      </c>
      <c r="D128" s="158" t="inlineStr">
        <is>
          <t>158</t>
        </is>
      </c>
      <c r="E128" s="158" t="inlineStr">
        <is>
          <t>COMPRA</t>
        </is>
      </c>
      <c r="F128" s="160" t="inlineStr">
        <is>
          <t>Mega Catalina</t>
        </is>
      </c>
      <c r="G128" s="160" t="inlineStr">
        <is>
          <t>EUREKA - 1999 (10,6 Ha.)</t>
        </is>
      </c>
      <c r="H128" s="160" t="n"/>
      <c r="I128" s="160" t="n"/>
      <c r="J128" s="158" t="inlineStr">
        <is>
          <t>LABORES OPERACIONALES</t>
        </is>
      </c>
      <c r="K128" s="158" t="inlineStr">
        <is>
          <t>PODA</t>
        </is>
      </c>
      <c r="L128" s="158" t="inlineStr">
        <is>
          <t>SERV.CONTRATISTA</t>
        </is>
      </c>
      <c r="M128" s="158" t="n"/>
      <c r="N128" s="158" t="inlineStr">
        <is>
          <t>.   .   -</t>
        </is>
      </c>
      <c r="O128" s="229" t="inlineStr">
        <is>
          <t>ENERO</t>
        </is>
      </c>
      <c r="P128" s="158" t="n">
        <v>4</v>
      </c>
      <c r="Q128" s="162" t="n">
        <v>150000</v>
      </c>
      <c r="R128" s="163" t="n"/>
      <c r="S128" s="164" t="n">
        <v>150000</v>
      </c>
      <c r="T128" s="158" t="inlineStr">
        <is>
          <t>CLP</t>
        </is>
      </c>
      <c r="U128" s="158" t="inlineStr">
        <is>
          <t>Carga LH 18-06-26</t>
        </is>
      </c>
      <c r="V128" s="158" t="inlineStr">
        <is>
          <t>2026-06-18</t>
        </is>
      </c>
    </row>
    <row r="129" ht="14" customHeight="1" s="176">
      <c r="A129" s="165" t="inlineStr">
        <is>
          <t>CR-0126</t>
        </is>
      </c>
      <c r="B129" s="165" t="inlineStr">
        <is>
          <t>2026/27</t>
        </is>
      </c>
      <c r="C129" s="230" t="n">
        <v>46049</v>
      </c>
      <c r="D129" s="165" t="inlineStr">
        <is>
          <t>158</t>
        </is>
      </c>
      <c r="E129" s="165" t="inlineStr">
        <is>
          <t>COMPRA</t>
        </is>
      </c>
      <c r="F129" s="160" t="inlineStr">
        <is>
          <t>Mega Catalina</t>
        </is>
      </c>
      <c r="G129" s="160" t="inlineStr">
        <is>
          <t>MURCOTT - 2007 (21 Ha.)</t>
        </is>
      </c>
      <c r="H129" s="160" t="n"/>
      <c r="I129" s="160" t="n"/>
      <c r="J129" s="165" t="inlineStr">
        <is>
          <t>LABORES OPERACIONALES</t>
        </is>
      </c>
      <c r="K129" s="165" t="inlineStr">
        <is>
          <t>PODA</t>
        </is>
      </c>
      <c r="L129" s="165" t="inlineStr">
        <is>
          <t>SERV.CONTRATISTA</t>
        </is>
      </c>
      <c r="M129" s="165" t="n"/>
      <c r="N129" s="165" t="inlineStr">
        <is>
          <t>.   .   -</t>
        </is>
      </c>
      <c r="O129" s="229" t="inlineStr">
        <is>
          <t>ENERO</t>
        </is>
      </c>
      <c r="P129" s="165" t="n">
        <v>4</v>
      </c>
      <c r="Q129" s="162" t="n">
        <v>1275000</v>
      </c>
      <c r="R129" s="167" t="n"/>
      <c r="S129" s="168" t="n">
        <v>1275000</v>
      </c>
      <c r="T129" s="165" t="inlineStr">
        <is>
          <t>CLP</t>
        </is>
      </c>
      <c r="U129" s="165" t="inlineStr">
        <is>
          <t>Carga LH 18-06-26</t>
        </is>
      </c>
      <c r="V129" s="165" t="inlineStr">
        <is>
          <t>2026-06-18</t>
        </is>
      </c>
    </row>
    <row r="130" ht="14" customHeight="1" s="176">
      <c r="A130" s="158" t="inlineStr">
        <is>
          <t>CR-0127</t>
        </is>
      </c>
      <c r="B130" s="158" t="inlineStr">
        <is>
          <t>2026/27</t>
        </is>
      </c>
      <c r="C130" s="228" t="n">
        <v>46044</v>
      </c>
      <c r="D130" s="158" t="inlineStr">
        <is>
          <t>888488</t>
        </is>
      </c>
      <c r="E130" s="158" t="inlineStr">
        <is>
          <t>COMPRA</t>
        </is>
      </c>
      <c r="F130" s="160" t="inlineStr">
        <is>
          <t>Sin asignar</t>
        </is>
      </c>
      <c r="G130" s="160" t="inlineStr">
        <is>
          <t>PACKING</t>
        </is>
      </c>
      <c r="H130" s="160" t="n"/>
      <c r="I130" s="160" t="n"/>
      <c r="J130" s="158" t="inlineStr">
        <is>
          <t>UNIFORME Y EPP</t>
        </is>
      </c>
      <c r="K130" s="158" t="inlineStr">
        <is>
          <t>EPP</t>
        </is>
      </c>
      <c r="L130" s="158" t="inlineStr">
        <is>
          <t>O/001282 LENTE DE P</t>
        </is>
      </c>
      <c r="M130" s="158" t="n"/>
      <c r="N130" s="158" t="inlineStr">
        <is>
          <t>.   .   -</t>
        </is>
      </c>
      <c r="O130" s="229" t="inlineStr">
        <is>
          <t>ENERO</t>
        </is>
      </c>
      <c r="P130" s="158" t="n">
        <v>4</v>
      </c>
      <c r="Q130" s="162" t="n">
        <v>15600</v>
      </c>
      <c r="R130" s="163" t="n"/>
      <c r="S130" s="164" t="n">
        <v>15600</v>
      </c>
      <c r="T130" s="158" t="inlineStr">
        <is>
          <t>CLP</t>
        </is>
      </c>
      <c r="U130" s="158" t="inlineStr">
        <is>
          <t>Carga LH 18-06-26</t>
        </is>
      </c>
      <c r="V130" s="158" t="inlineStr">
        <is>
          <t>2026-06-18</t>
        </is>
      </c>
    </row>
    <row r="131" ht="14" customHeight="1" s="176">
      <c r="A131" s="165" t="inlineStr">
        <is>
          <t>CR-0128</t>
        </is>
      </c>
      <c r="B131" s="165" t="inlineStr">
        <is>
          <t>2026/27</t>
        </is>
      </c>
      <c r="C131" s="230" t="n">
        <v>46044</v>
      </c>
      <c r="D131" s="165" t="inlineStr">
        <is>
          <t>888488</t>
        </is>
      </c>
      <c r="E131" s="165" t="inlineStr">
        <is>
          <t>COMPRA</t>
        </is>
      </c>
      <c r="F131" s="160" t="inlineStr">
        <is>
          <t>Sin asignar</t>
        </is>
      </c>
      <c r="G131" s="160" t="inlineStr">
        <is>
          <t>PACKING</t>
        </is>
      </c>
      <c r="H131" s="160" t="n"/>
      <c r="I131" s="160" t="n"/>
      <c r="J131" s="165" t="inlineStr">
        <is>
          <t>UNIFORME Y EPP</t>
        </is>
      </c>
      <c r="K131" s="165" t="inlineStr">
        <is>
          <t>EPP</t>
        </is>
      </c>
      <c r="L131" s="165" t="inlineStr">
        <is>
          <t>O/001282 GUANTE CAB</t>
        </is>
      </c>
      <c r="M131" s="165" t="n"/>
      <c r="N131" s="165" t="inlineStr">
        <is>
          <t>.   .   -</t>
        </is>
      </c>
      <c r="O131" s="229" t="inlineStr">
        <is>
          <t>ENERO</t>
        </is>
      </c>
      <c r="P131" s="165" t="n">
        <v>4</v>
      </c>
      <c r="Q131" s="162" t="n">
        <v>23200</v>
      </c>
      <c r="R131" s="167" t="n"/>
      <c r="S131" s="168" t="n">
        <v>23200</v>
      </c>
      <c r="T131" s="165" t="inlineStr">
        <is>
          <t>CLP</t>
        </is>
      </c>
      <c r="U131" s="165" t="inlineStr">
        <is>
          <t>Carga LH 18-06-26</t>
        </is>
      </c>
      <c r="V131" s="165" t="inlineStr">
        <is>
          <t>2026-06-18</t>
        </is>
      </c>
    </row>
    <row r="132" ht="14" customHeight="1" s="176">
      <c r="A132" s="158" t="inlineStr">
        <is>
          <t>CR-0129</t>
        </is>
      </c>
      <c r="B132" s="158" t="inlineStr">
        <is>
          <t>2026/27</t>
        </is>
      </c>
      <c r="C132" s="228" t="n">
        <v>46044</v>
      </c>
      <c r="D132" s="158" t="inlineStr">
        <is>
          <t>888488</t>
        </is>
      </c>
      <c r="E132" s="158" t="inlineStr">
        <is>
          <t>COMPRA</t>
        </is>
      </c>
      <c r="F132" s="160" t="inlineStr">
        <is>
          <t>Sin asignar</t>
        </is>
      </c>
      <c r="G132" s="160" t="inlineStr">
        <is>
          <t>PACKING</t>
        </is>
      </c>
      <c r="H132" s="160" t="n"/>
      <c r="I132" s="160" t="n"/>
      <c r="J132" s="158" t="inlineStr">
        <is>
          <t>UNIFORME Y EPP</t>
        </is>
      </c>
      <c r="K132" s="158" t="inlineStr">
        <is>
          <t>EPP</t>
        </is>
      </c>
      <c r="L132" s="158" t="inlineStr">
        <is>
          <t>O/001282 GUANTE CAB</t>
        </is>
      </c>
      <c r="M132" s="158" t="n"/>
      <c r="N132" s="158" t="inlineStr">
        <is>
          <t>.   .   -</t>
        </is>
      </c>
      <c r="O132" s="229" t="inlineStr">
        <is>
          <t>ENERO</t>
        </is>
      </c>
      <c r="P132" s="158" t="n">
        <v>4</v>
      </c>
      <c r="Q132" s="162" t="n">
        <v>11600</v>
      </c>
      <c r="R132" s="163" t="n"/>
      <c r="S132" s="164" t="n">
        <v>11600</v>
      </c>
      <c r="T132" s="158" t="inlineStr">
        <is>
          <t>CLP</t>
        </is>
      </c>
      <c r="U132" s="158" t="inlineStr">
        <is>
          <t>Carga LH 18-06-26</t>
        </is>
      </c>
      <c r="V132" s="158" t="inlineStr">
        <is>
          <t>2026-06-18</t>
        </is>
      </c>
    </row>
    <row r="133" ht="14" customHeight="1" s="176">
      <c r="A133" s="165" t="inlineStr">
        <is>
          <t>CR-0130</t>
        </is>
      </c>
      <c r="B133" s="165" t="inlineStr">
        <is>
          <t>2026/27</t>
        </is>
      </c>
      <c r="C133" s="230" t="n">
        <v>46044</v>
      </c>
      <c r="D133" s="165" t="inlineStr">
        <is>
          <t>888488</t>
        </is>
      </c>
      <c r="E133" s="165" t="inlineStr">
        <is>
          <t>COMPRA</t>
        </is>
      </c>
      <c r="F133" s="160" t="inlineStr">
        <is>
          <t>Sin asignar</t>
        </is>
      </c>
      <c r="G133" s="160" t="inlineStr">
        <is>
          <t>PACKING</t>
        </is>
      </c>
      <c r="H133" s="160" t="n"/>
      <c r="I133" s="160" t="n"/>
      <c r="J133" s="165" t="inlineStr">
        <is>
          <t>UNIFORME Y EPP</t>
        </is>
      </c>
      <c r="K133" s="165" t="inlineStr">
        <is>
          <t>EPP</t>
        </is>
      </c>
      <c r="L133" s="165" t="inlineStr">
        <is>
          <t>O/001282 OVEROL POP</t>
        </is>
      </c>
      <c r="M133" s="165" t="n"/>
      <c r="N133" s="165" t="inlineStr">
        <is>
          <t>.   .   -</t>
        </is>
      </c>
      <c r="O133" s="229" t="inlineStr">
        <is>
          <t>ENERO</t>
        </is>
      </c>
      <c r="P133" s="165" t="n">
        <v>4</v>
      </c>
      <c r="Q133" s="162" t="n">
        <v>21600</v>
      </c>
      <c r="R133" s="167" t="n"/>
      <c r="S133" s="168" t="n">
        <v>21600</v>
      </c>
      <c r="T133" s="165" t="inlineStr">
        <is>
          <t>CLP</t>
        </is>
      </c>
      <c r="U133" s="165" t="inlineStr">
        <is>
          <t>Carga LH 18-06-26</t>
        </is>
      </c>
      <c r="V133" s="165" t="inlineStr">
        <is>
          <t>2026-06-18</t>
        </is>
      </c>
    </row>
    <row r="134" ht="14" customHeight="1" s="176">
      <c r="A134" s="158" t="inlineStr">
        <is>
          <t>CR-0131</t>
        </is>
      </c>
      <c r="B134" s="158" t="inlineStr">
        <is>
          <t>2026/27</t>
        </is>
      </c>
      <c r="C134" s="228" t="n">
        <v>46044</v>
      </c>
      <c r="D134" s="158" t="inlineStr">
        <is>
          <t>888488</t>
        </is>
      </c>
      <c r="E134" s="158" t="inlineStr">
        <is>
          <t>COMPRA</t>
        </is>
      </c>
      <c r="F134" s="160" t="inlineStr">
        <is>
          <t>Sin asignar</t>
        </is>
      </c>
      <c r="G134" s="160" t="inlineStr">
        <is>
          <t>PACKING</t>
        </is>
      </c>
      <c r="H134" s="160" t="n"/>
      <c r="I134" s="160" t="n"/>
      <c r="J134" s="158" t="inlineStr">
        <is>
          <t>UNIFORME Y EPP</t>
        </is>
      </c>
      <c r="K134" s="158" t="inlineStr">
        <is>
          <t>EPP</t>
        </is>
      </c>
      <c r="L134" s="158" t="inlineStr">
        <is>
          <t>O/001282 OVEROL POP</t>
        </is>
      </c>
      <c r="M134" s="158" t="n"/>
      <c r="N134" s="158" t="inlineStr">
        <is>
          <t>.   .   -</t>
        </is>
      </c>
      <c r="O134" s="229" t="inlineStr">
        <is>
          <t>ENERO</t>
        </is>
      </c>
      <c r="P134" s="158" t="n">
        <v>4</v>
      </c>
      <c r="Q134" s="162" t="n">
        <v>16200</v>
      </c>
      <c r="R134" s="163" t="n"/>
      <c r="S134" s="164" t="n">
        <v>16200</v>
      </c>
      <c r="T134" s="158" t="inlineStr">
        <is>
          <t>CLP</t>
        </is>
      </c>
      <c r="U134" s="158" t="inlineStr">
        <is>
          <t>Carga LH 18-06-26</t>
        </is>
      </c>
      <c r="V134" s="158" t="inlineStr">
        <is>
          <t>2026-06-18</t>
        </is>
      </c>
    </row>
    <row r="135" ht="14" customHeight="1" s="176">
      <c r="A135" s="165" t="inlineStr">
        <is>
          <t>CR-0132</t>
        </is>
      </c>
      <c r="B135" s="165" t="inlineStr">
        <is>
          <t>2026/27</t>
        </is>
      </c>
      <c r="C135" s="230" t="n">
        <v>46044</v>
      </c>
      <c r="D135" s="165" t="inlineStr">
        <is>
          <t>888488</t>
        </is>
      </c>
      <c r="E135" s="165" t="inlineStr">
        <is>
          <t>COMPRA</t>
        </is>
      </c>
      <c r="F135" s="160" t="inlineStr">
        <is>
          <t>Sin asignar</t>
        </is>
      </c>
      <c r="G135" s="160" t="inlineStr">
        <is>
          <t>PACKING</t>
        </is>
      </c>
      <c r="H135" s="160" t="n"/>
      <c r="I135" s="160" t="n"/>
      <c r="J135" s="165" t="inlineStr">
        <is>
          <t>UNIFORME Y EPP</t>
        </is>
      </c>
      <c r="K135" s="165" t="inlineStr">
        <is>
          <t>EPP</t>
        </is>
      </c>
      <c r="L135" s="165" t="inlineStr">
        <is>
          <t>O/001282 PROTECTOR</t>
        </is>
      </c>
      <c r="M135" s="165" t="n"/>
      <c r="N135" s="165" t="inlineStr">
        <is>
          <t>.   .   -</t>
        </is>
      </c>
      <c r="O135" s="229" t="inlineStr">
        <is>
          <t>ENERO</t>
        </is>
      </c>
      <c r="P135" s="165" t="n">
        <v>4</v>
      </c>
      <c r="Q135" s="162" t="n">
        <v>26000</v>
      </c>
      <c r="R135" s="167" t="n"/>
      <c r="S135" s="168" t="n">
        <v>26000</v>
      </c>
      <c r="T135" s="165" t="inlineStr">
        <is>
          <t>CLP</t>
        </is>
      </c>
      <c r="U135" s="165" t="inlineStr">
        <is>
          <t>Carga LH 18-06-26</t>
        </is>
      </c>
      <c r="V135" s="165" t="inlineStr">
        <is>
          <t>2026-06-18</t>
        </is>
      </c>
    </row>
    <row r="136" ht="14" customHeight="1" s="176">
      <c r="A136" s="158" t="inlineStr">
        <is>
          <t>CR-0133</t>
        </is>
      </c>
      <c r="B136" s="158" t="inlineStr">
        <is>
          <t>2026/27</t>
        </is>
      </c>
      <c r="C136" s="228" t="n">
        <v>46045</v>
      </c>
      <c r="D136" s="158" t="inlineStr">
        <is>
          <t>674819</t>
        </is>
      </c>
      <c r="E136" s="158" t="inlineStr">
        <is>
          <t>COMPRA</t>
        </is>
      </c>
      <c r="F136" s="160" t="inlineStr">
        <is>
          <t>Sin asignar</t>
        </is>
      </c>
      <c r="G136" s="160" t="inlineStr">
        <is>
          <t>PACKING</t>
        </is>
      </c>
      <c r="H136" s="160" t="n"/>
      <c r="I136" s="160" t="n"/>
      <c r="J136" s="158" t="inlineStr">
        <is>
          <t>MATERIALES COSECHA</t>
        </is>
      </c>
      <c r="K136" s="158" t="inlineStr">
        <is>
          <t>INSUMO ASEO</t>
        </is>
      </c>
      <c r="L136" s="158" t="inlineStr">
        <is>
          <t>O/001316 PAPEL HIGU</t>
        </is>
      </c>
      <c r="M136" s="158" t="n"/>
      <c r="N136" s="158" t="inlineStr">
        <is>
          <t>.   .   -</t>
        </is>
      </c>
      <c r="O136" s="229" t="inlineStr">
        <is>
          <t>ENERO</t>
        </is>
      </c>
      <c r="P136" s="158" t="n">
        <v>4</v>
      </c>
      <c r="Q136" s="162" t="n">
        <v>49380</v>
      </c>
      <c r="R136" s="163" t="n"/>
      <c r="S136" s="164" t="n">
        <v>49380</v>
      </c>
      <c r="T136" s="158" t="inlineStr">
        <is>
          <t>CLP</t>
        </is>
      </c>
      <c r="U136" s="158" t="inlineStr">
        <is>
          <t>Carga LH 18-06-26</t>
        </is>
      </c>
      <c r="V136" s="158" t="inlineStr">
        <is>
          <t>2026-06-18</t>
        </is>
      </c>
    </row>
    <row r="137" ht="14" customHeight="1" s="176">
      <c r="A137" s="165" t="inlineStr">
        <is>
          <t>CR-0134</t>
        </is>
      </c>
      <c r="B137" s="165" t="inlineStr">
        <is>
          <t>2026/27</t>
        </is>
      </c>
      <c r="C137" s="230" t="n">
        <v>46045</v>
      </c>
      <c r="D137" s="165" t="inlineStr">
        <is>
          <t>674819</t>
        </is>
      </c>
      <c r="E137" s="165" t="inlineStr">
        <is>
          <t>COMPRA</t>
        </is>
      </c>
      <c r="F137" s="160" t="inlineStr">
        <is>
          <t>Sin asignar</t>
        </is>
      </c>
      <c r="G137" s="160" t="inlineStr">
        <is>
          <t>PACKING</t>
        </is>
      </c>
      <c r="H137" s="160" t="n"/>
      <c r="I137" s="160" t="n"/>
      <c r="J137" s="165" t="inlineStr">
        <is>
          <t>MATERIALES COSECHA</t>
        </is>
      </c>
      <c r="K137" s="165" t="inlineStr">
        <is>
          <t>INSUMO ASEO</t>
        </is>
      </c>
      <c r="L137" s="165" t="inlineStr">
        <is>
          <t>O/001316 TOALLA OVE</t>
        </is>
      </c>
      <c r="M137" s="165" t="n"/>
      <c r="N137" s="165" t="inlineStr">
        <is>
          <t>.   .   -</t>
        </is>
      </c>
      <c r="O137" s="229" t="inlineStr">
        <is>
          <t>ENERO</t>
        </is>
      </c>
      <c r="P137" s="165" t="n">
        <v>4</v>
      </c>
      <c r="Q137" s="162" t="n">
        <v>151100</v>
      </c>
      <c r="R137" s="167" t="n"/>
      <c r="S137" s="168" t="n">
        <v>151100</v>
      </c>
      <c r="T137" s="165" t="inlineStr">
        <is>
          <t>CLP</t>
        </is>
      </c>
      <c r="U137" s="165" t="inlineStr">
        <is>
          <t>Carga LH 18-06-26</t>
        </is>
      </c>
      <c r="V137" s="165" t="inlineStr">
        <is>
          <t>2026-06-18</t>
        </is>
      </c>
    </row>
    <row r="138" ht="14" customHeight="1" s="176">
      <c r="A138" s="158" t="inlineStr">
        <is>
          <t>CR-0135</t>
        </is>
      </c>
      <c r="B138" s="158" t="inlineStr">
        <is>
          <t>2026/27</t>
        </is>
      </c>
      <c r="C138" s="228" t="n">
        <v>46048</v>
      </c>
      <c r="D138" s="158" t="inlineStr">
        <is>
          <t>233074</t>
        </is>
      </c>
      <c r="E138" s="158" t="inlineStr">
        <is>
          <t>COMPRA</t>
        </is>
      </c>
      <c r="F138" s="160" t="inlineStr">
        <is>
          <t>Sin asignar</t>
        </is>
      </c>
      <c r="G138" s="160" t="inlineStr">
        <is>
          <t>PACKING</t>
        </is>
      </c>
      <c r="H138" s="160" t="n"/>
      <c r="I138" s="160" t="n"/>
      <c r="J138" s="158" t="inlineStr">
        <is>
          <t>GASTOS GENERALES</t>
        </is>
      </c>
      <c r="K138" s="158" t="inlineStr">
        <is>
          <t>INSUMOS DE ASEO</t>
        </is>
      </c>
      <c r="L138" s="158" t="inlineStr">
        <is>
          <t>O/001306 JABON GLIC</t>
        </is>
      </c>
      <c r="M138" s="158" t="n"/>
      <c r="N138" s="158" t="inlineStr">
        <is>
          <t>.   .   -</t>
        </is>
      </c>
      <c r="O138" s="229" t="inlineStr">
        <is>
          <t>ENERO</t>
        </is>
      </c>
      <c r="P138" s="158" t="n">
        <v>4</v>
      </c>
      <c r="Q138" s="162" t="n">
        <v>75702</v>
      </c>
      <c r="R138" s="163" t="n"/>
      <c r="S138" s="164" t="n">
        <v>75702</v>
      </c>
      <c r="T138" s="158" t="inlineStr">
        <is>
          <t>CLP</t>
        </is>
      </c>
      <c r="U138" s="158" t="inlineStr">
        <is>
          <t>Carga LH 18-06-26</t>
        </is>
      </c>
      <c r="V138" s="158" t="inlineStr">
        <is>
          <t>2026-06-18</t>
        </is>
      </c>
    </row>
    <row r="139" ht="14" customHeight="1" s="176">
      <c r="A139" s="165" t="inlineStr">
        <is>
          <t>CR-0136</t>
        </is>
      </c>
      <c r="B139" s="165" t="inlineStr">
        <is>
          <t>2026/27</t>
        </is>
      </c>
      <c r="C139" s="230" t="n">
        <v>46048</v>
      </c>
      <c r="D139" s="165" t="inlineStr">
        <is>
          <t>6587</t>
        </is>
      </c>
      <c r="E139" s="165" t="inlineStr">
        <is>
          <t>COMPRA</t>
        </is>
      </c>
      <c r="F139" s="160" t="inlineStr">
        <is>
          <t>Sin asignar</t>
        </is>
      </c>
      <c r="G139" s="160" t="inlineStr">
        <is>
          <t>PACKING</t>
        </is>
      </c>
      <c r="H139" s="160" t="n"/>
      <c r="I139" s="160" t="n"/>
      <c r="J139" s="165" t="inlineStr">
        <is>
          <t>GASTOS GENERALES</t>
        </is>
      </c>
      <c r="K139" s="165" t="inlineStr">
        <is>
          <t>INSUMOS BOTIQUIN</t>
        </is>
      </c>
      <c r="L139" s="165" t="inlineStr">
        <is>
          <t>O/001280 APOSITO GA</t>
        </is>
      </c>
      <c r="M139" s="165" t="n"/>
      <c r="N139" s="165" t="inlineStr">
        <is>
          <t>.   .   -</t>
        </is>
      </c>
      <c r="O139" s="229" t="inlineStr">
        <is>
          <t>ENERO</t>
        </is>
      </c>
      <c r="P139" s="165" t="n">
        <v>4</v>
      </c>
      <c r="Q139" s="162" t="n">
        <v>3024</v>
      </c>
      <c r="R139" s="167" t="n"/>
      <c r="S139" s="168" t="n">
        <v>3024</v>
      </c>
      <c r="T139" s="165" t="inlineStr">
        <is>
          <t>CLP</t>
        </is>
      </c>
      <c r="U139" s="165" t="inlineStr">
        <is>
          <t>Carga LH 18-06-26</t>
        </is>
      </c>
      <c r="V139" s="165" t="inlineStr">
        <is>
          <t>2026-06-18</t>
        </is>
      </c>
    </row>
    <row r="140" ht="14" customHeight="1" s="176">
      <c r="A140" s="158" t="inlineStr">
        <is>
          <t>CR-0137</t>
        </is>
      </c>
      <c r="B140" s="158" t="inlineStr">
        <is>
          <t>2026/27</t>
        </is>
      </c>
      <c r="C140" s="228" t="n">
        <v>46048</v>
      </c>
      <c r="D140" s="158" t="inlineStr">
        <is>
          <t>6587</t>
        </is>
      </c>
      <c r="E140" s="158" t="inlineStr">
        <is>
          <t>COMPRA</t>
        </is>
      </c>
      <c r="F140" s="160" t="inlineStr">
        <is>
          <t>Sin asignar</t>
        </is>
      </c>
      <c r="G140" s="160" t="inlineStr">
        <is>
          <t>PACKING</t>
        </is>
      </c>
      <c r="H140" s="160" t="n"/>
      <c r="I140" s="160" t="n"/>
      <c r="J140" s="158" t="inlineStr">
        <is>
          <t>GASTOS GENERALES</t>
        </is>
      </c>
      <c r="K140" s="158" t="inlineStr">
        <is>
          <t>INSUMOS BOTIQUIN</t>
        </is>
      </c>
      <c r="L140" s="158" t="inlineStr">
        <is>
          <t>O/001280 CINTA MICR</t>
        </is>
      </c>
      <c r="M140" s="158" t="n"/>
      <c r="N140" s="158" t="inlineStr">
        <is>
          <t>.   .   -</t>
        </is>
      </c>
      <c r="O140" s="229" t="inlineStr">
        <is>
          <t>ENERO</t>
        </is>
      </c>
      <c r="P140" s="158" t="n">
        <v>4</v>
      </c>
      <c r="Q140" s="162" t="n">
        <v>22639</v>
      </c>
      <c r="R140" s="163" t="n"/>
      <c r="S140" s="164" t="n">
        <v>22639</v>
      </c>
      <c r="T140" s="158" t="inlineStr">
        <is>
          <t>CLP</t>
        </is>
      </c>
      <c r="U140" s="158" t="inlineStr">
        <is>
          <t>Carga LH 18-06-26</t>
        </is>
      </c>
      <c r="V140" s="158" t="inlineStr">
        <is>
          <t>2026-06-18</t>
        </is>
      </c>
    </row>
    <row r="141" ht="14" customHeight="1" s="176">
      <c r="A141" s="165" t="inlineStr">
        <is>
          <t>CR-0138</t>
        </is>
      </c>
      <c r="B141" s="165" t="inlineStr">
        <is>
          <t>2026/27</t>
        </is>
      </c>
      <c r="C141" s="230" t="n">
        <v>46048</v>
      </c>
      <c r="D141" s="165" t="inlineStr">
        <is>
          <t>6587</t>
        </is>
      </c>
      <c r="E141" s="165" t="inlineStr">
        <is>
          <t>COMPRA</t>
        </is>
      </c>
      <c r="F141" s="160" t="inlineStr">
        <is>
          <t>Sin asignar</t>
        </is>
      </c>
      <c r="G141" s="160" t="inlineStr">
        <is>
          <t>PACKING</t>
        </is>
      </c>
      <c r="H141" s="160" t="n"/>
      <c r="I141" s="160" t="n"/>
      <c r="J141" s="165" t="inlineStr">
        <is>
          <t>GASTOS GENERALES</t>
        </is>
      </c>
      <c r="K141" s="165" t="inlineStr">
        <is>
          <t>INSUMOS BOTIQUIN</t>
        </is>
      </c>
      <c r="L141" s="165" t="inlineStr">
        <is>
          <t>O/001280 GUANTE EX</t>
        </is>
      </c>
      <c r="M141" s="165" t="n"/>
      <c r="N141" s="165" t="inlineStr">
        <is>
          <t>.   .   -</t>
        </is>
      </c>
      <c r="O141" s="229" t="inlineStr">
        <is>
          <t>ENERO</t>
        </is>
      </c>
      <c r="P141" s="165" t="n">
        <v>4</v>
      </c>
      <c r="Q141" s="162" t="n">
        <v>11748</v>
      </c>
      <c r="R141" s="167" t="n"/>
      <c r="S141" s="168" t="n">
        <v>11748</v>
      </c>
      <c r="T141" s="165" t="inlineStr">
        <is>
          <t>CLP</t>
        </is>
      </c>
      <c r="U141" s="165" t="inlineStr">
        <is>
          <t>Carga LH 18-06-26</t>
        </is>
      </c>
      <c r="V141" s="165" t="inlineStr">
        <is>
          <t>2026-06-18</t>
        </is>
      </c>
    </row>
    <row r="142" ht="14" customHeight="1" s="176">
      <c r="A142" s="158" t="inlineStr">
        <is>
          <t>CR-0139</t>
        </is>
      </c>
      <c r="B142" s="158" t="inlineStr">
        <is>
          <t>2026/27</t>
        </is>
      </c>
      <c r="C142" s="228" t="n">
        <v>46048</v>
      </c>
      <c r="D142" s="158" t="inlineStr">
        <is>
          <t>6587</t>
        </is>
      </c>
      <c r="E142" s="158" t="inlineStr">
        <is>
          <t>COMPRA</t>
        </is>
      </c>
      <c r="F142" s="160" t="inlineStr">
        <is>
          <t>Sin asignar</t>
        </is>
      </c>
      <c r="G142" s="160" t="inlineStr">
        <is>
          <t>PACKING</t>
        </is>
      </c>
      <c r="H142" s="160" t="n"/>
      <c r="I142" s="160" t="n"/>
      <c r="J142" s="158" t="inlineStr">
        <is>
          <t>GASTOS GENERALES</t>
        </is>
      </c>
      <c r="K142" s="158" t="inlineStr">
        <is>
          <t>INSUMOS BOTIQUIN</t>
        </is>
      </c>
      <c r="L142" s="158" t="inlineStr">
        <is>
          <t>O/001280 CLORURO SO</t>
        </is>
      </c>
      <c r="M142" s="158" t="n"/>
      <c r="N142" s="158" t="inlineStr">
        <is>
          <t>.   .   -</t>
        </is>
      </c>
      <c r="O142" s="229" t="inlineStr">
        <is>
          <t>ENERO</t>
        </is>
      </c>
      <c r="P142" s="158" t="n">
        <v>4</v>
      </c>
      <c r="Q142" s="162" t="n">
        <v>10084</v>
      </c>
      <c r="R142" s="163" t="n"/>
      <c r="S142" s="164" t="n">
        <v>10084</v>
      </c>
      <c r="T142" s="158" t="inlineStr">
        <is>
          <t>CLP</t>
        </is>
      </c>
      <c r="U142" s="158" t="inlineStr">
        <is>
          <t>Carga LH 18-06-26</t>
        </is>
      </c>
      <c r="V142" s="158" t="inlineStr">
        <is>
          <t>2026-06-18</t>
        </is>
      </c>
    </row>
    <row r="143" ht="14" customHeight="1" s="176">
      <c r="A143" s="165" t="inlineStr">
        <is>
          <t>CR-0140</t>
        </is>
      </c>
      <c r="B143" s="165" t="inlineStr">
        <is>
          <t>2026/27</t>
        </is>
      </c>
      <c r="C143" s="230" t="n">
        <v>46048</v>
      </c>
      <c r="D143" s="165" t="inlineStr">
        <is>
          <t>6587</t>
        </is>
      </c>
      <c r="E143" s="165" t="inlineStr">
        <is>
          <t>COMPRA</t>
        </is>
      </c>
      <c r="F143" s="160" t="inlineStr">
        <is>
          <t>Sin asignar</t>
        </is>
      </c>
      <c r="G143" s="160" t="inlineStr">
        <is>
          <t>PACKING</t>
        </is>
      </c>
      <c r="H143" s="160" t="n"/>
      <c r="I143" s="160" t="n"/>
      <c r="J143" s="165" t="inlineStr">
        <is>
          <t>GASTOS GENERALES</t>
        </is>
      </c>
      <c r="K143" s="165" t="inlineStr">
        <is>
          <t>INSUMOS BOTIQUIN</t>
        </is>
      </c>
      <c r="L143" s="165" t="inlineStr">
        <is>
          <t>O/001280 NEXC. GASA</t>
        </is>
      </c>
      <c r="M143" s="165" t="n"/>
      <c r="N143" s="165" t="inlineStr">
        <is>
          <t>.   .   -</t>
        </is>
      </c>
      <c r="O143" s="229" t="inlineStr">
        <is>
          <t>ENERO</t>
        </is>
      </c>
      <c r="P143" s="165" t="n">
        <v>4</v>
      </c>
      <c r="Q143" s="162" t="n">
        <v>11849</v>
      </c>
      <c r="R143" s="167" t="n"/>
      <c r="S143" s="168" t="n">
        <v>11849</v>
      </c>
      <c r="T143" s="165" t="inlineStr">
        <is>
          <t>CLP</t>
        </is>
      </c>
      <c r="U143" s="165" t="inlineStr">
        <is>
          <t>Carga LH 18-06-26</t>
        </is>
      </c>
      <c r="V143" s="165" t="inlineStr">
        <is>
          <t>2026-06-18</t>
        </is>
      </c>
    </row>
    <row r="144" ht="14" customHeight="1" s="176">
      <c r="A144" s="158" t="inlineStr">
        <is>
          <t>CR-0141</t>
        </is>
      </c>
      <c r="B144" s="158" t="inlineStr">
        <is>
          <t>2026/27</t>
        </is>
      </c>
      <c r="C144" s="228" t="n">
        <v>46048</v>
      </c>
      <c r="D144" s="158" t="inlineStr">
        <is>
          <t>6587</t>
        </is>
      </c>
      <c r="E144" s="158" t="inlineStr">
        <is>
          <t>COMPRA</t>
        </is>
      </c>
      <c r="F144" s="160" t="inlineStr">
        <is>
          <t>Sin asignar</t>
        </is>
      </c>
      <c r="G144" s="160" t="inlineStr">
        <is>
          <t>PACKING</t>
        </is>
      </c>
      <c r="H144" s="160" t="n"/>
      <c r="I144" s="160" t="n"/>
      <c r="J144" s="158" t="inlineStr">
        <is>
          <t>GASTOS GENERALES</t>
        </is>
      </c>
      <c r="K144" s="158" t="inlineStr">
        <is>
          <t>INSUMOS BOTIQUIN</t>
        </is>
      </c>
      <c r="L144" s="158" t="inlineStr">
        <is>
          <t>O/001280 SET CURITA</t>
        </is>
      </c>
      <c r="M144" s="158" t="n"/>
      <c r="N144" s="158" t="inlineStr">
        <is>
          <t>.   .   -</t>
        </is>
      </c>
      <c r="O144" s="229" t="inlineStr">
        <is>
          <t>ENERO</t>
        </is>
      </c>
      <c r="P144" s="158" t="n">
        <v>4</v>
      </c>
      <c r="Q144" s="162" t="n">
        <v>3346</v>
      </c>
      <c r="R144" s="163" t="n"/>
      <c r="S144" s="164" t="n">
        <v>3346</v>
      </c>
      <c r="T144" s="158" t="inlineStr">
        <is>
          <t>CLP</t>
        </is>
      </c>
      <c r="U144" s="158" t="inlineStr">
        <is>
          <t>Carga LH 18-06-26</t>
        </is>
      </c>
      <c r="V144" s="158" t="inlineStr">
        <is>
          <t>2026-06-18</t>
        </is>
      </c>
    </row>
    <row r="145" ht="14" customHeight="1" s="176">
      <c r="A145" s="165" t="inlineStr">
        <is>
          <t>CR-0142</t>
        </is>
      </c>
      <c r="B145" s="165" t="inlineStr">
        <is>
          <t>2026/27</t>
        </is>
      </c>
      <c r="C145" s="230" t="n">
        <v>46049</v>
      </c>
      <c r="D145" s="165" t="inlineStr">
        <is>
          <t>1003</t>
        </is>
      </c>
      <c r="E145" s="165" t="inlineStr">
        <is>
          <t>COMPRA</t>
        </is>
      </c>
      <c r="F145" s="160" t="inlineStr">
        <is>
          <t>Mega Catalina</t>
        </is>
      </c>
      <c r="G145" s="160" t="inlineStr">
        <is>
          <t>EUREKA - 1999 (22,5 Ha.)</t>
        </is>
      </c>
      <c r="H145" s="160" t="n"/>
      <c r="I145" s="160" t="n"/>
      <c r="J145" s="165" t="inlineStr">
        <is>
          <t>LABORES OPERACIONALES</t>
        </is>
      </c>
      <c r="K145" s="165" t="inlineStr">
        <is>
          <t>COSECHA</t>
        </is>
      </c>
      <c r="L145" s="165" t="inlineStr">
        <is>
          <t>SERV.CONTRATISTA</t>
        </is>
      </c>
      <c r="M145" s="165" t="n"/>
      <c r="N145" s="165" t="inlineStr">
        <is>
          <t>.   .   -</t>
        </is>
      </c>
      <c r="O145" s="229" t="inlineStr">
        <is>
          <t>ENERO</t>
        </is>
      </c>
      <c r="P145" s="165" t="n">
        <v>4</v>
      </c>
      <c r="Q145" s="162" t="n">
        <v>1401480</v>
      </c>
      <c r="R145" s="167" t="n"/>
      <c r="S145" s="168" t="n">
        <v>1401480</v>
      </c>
      <c r="T145" s="165" t="inlineStr">
        <is>
          <t>CLP</t>
        </is>
      </c>
      <c r="U145" s="165" t="inlineStr">
        <is>
          <t>Carga LH 18-06-26</t>
        </is>
      </c>
      <c r="V145" s="165" t="inlineStr">
        <is>
          <t>2026-06-18</t>
        </is>
      </c>
    </row>
    <row r="146" ht="14" customHeight="1" s="176">
      <c r="A146" s="158" t="inlineStr">
        <is>
          <t>CR-0143</t>
        </is>
      </c>
      <c r="B146" s="158" t="inlineStr">
        <is>
          <t>2026/27</t>
        </is>
      </c>
      <c r="C146" s="228" t="n">
        <v>46049</v>
      </c>
      <c r="D146" s="158" t="inlineStr">
        <is>
          <t>623</t>
        </is>
      </c>
      <c r="E146" s="158" t="inlineStr">
        <is>
          <t>COMPRA</t>
        </is>
      </c>
      <c r="F146" s="160" t="inlineStr">
        <is>
          <t>Mega Catalina</t>
        </is>
      </c>
      <c r="G146" s="160" t="inlineStr">
        <is>
          <t>EUREKA - 1999 (22,5 Ha.)</t>
        </is>
      </c>
      <c r="H146" s="160" t="n"/>
      <c r="I146" s="160" t="n"/>
      <c r="J146" s="158" t="inlineStr">
        <is>
          <t>LABORES OPERACIONALES</t>
        </is>
      </c>
      <c r="K146" s="158" t="inlineStr">
        <is>
          <t>COSECHA</t>
        </is>
      </c>
      <c r="L146" s="158" t="inlineStr">
        <is>
          <t>SERV.CONTRATISTA</t>
        </is>
      </c>
      <c r="M146" s="158" t="n"/>
      <c r="N146" s="158" t="inlineStr">
        <is>
          <t>.   .   -</t>
        </is>
      </c>
      <c r="O146" s="229" t="inlineStr">
        <is>
          <t>ENERO</t>
        </is>
      </c>
      <c r="P146" s="158" t="n">
        <v>4</v>
      </c>
      <c r="Q146" s="162" t="n">
        <v>2531880</v>
      </c>
      <c r="R146" s="163" t="n"/>
      <c r="S146" s="164" t="n">
        <v>2531880</v>
      </c>
      <c r="T146" s="158" t="inlineStr">
        <is>
          <t>CLP</t>
        </is>
      </c>
      <c r="U146" s="158" t="inlineStr">
        <is>
          <t>Carga LH 18-06-26</t>
        </is>
      </c>
      <c r="V146" s="158" t="inlineStr">
        <is>
          <t>2026-06-18</t>
        </is>
      </c>
    </row>
    <row r="147" ht="14" customHeight="1" s="176">
      <c r="A147" s="165" t="inlineStr">
        <is>
          <t>CR-0144</t>
        </is>
      </c>
      <c r="B147" s="165" t="inlineStr">
        <is>
          <t>2026/27</t>
        </is>
      </c>
      <c r="C147" s="230" t="n">
        <v>46052</v>
      </c>
      <c r="D147" s="165" t="inlineStr">
        <is>
          <t>904</t>
        </is>
      </c>
      <c r="E147" s="165" t="inlineStr">
        <is>
          <t>COMPRA</t>
        </is>
      </c>
      <c r="F147" s="160" t="inlineStr">
        <is>
          <t>Mega Catalina</t>
        </is>
      </c>
      <c r="G147" s="160" t="inlineStr">
        <is>
          <t>MURCOTT - 2007 (21 Ha.)</t>
        </is>
      </c>
      <c r="H147" s="160" t="n"/>
      <c r="I147" s="160" t="n"/>
      <c r="J147" s="165" t="inlineStr">
        <is>
          <t>MANT. Y REP. EQUI. RIEGO</t>
        </is>
      </c>
      <c r="K147" s="165" t="inlineStr">
        <is>
          <t>SALAS DE RIEGO</t>
        </is>
      </c>
      <c r="L147" s="165" t="inlineStr">
        <is>
          <t>O/001353 MANTENCION</t>
        </is>
      </c>
      <c r="M147" s="165" t="n"/>
      <c r="N147" s="165" t="inlineStr">
        <is>
          <t>.   .   -</t>
        </is>
      </c>
      <c r="O147" s="229" t="inlineStr">
        <is>
          <t>ENERO</t>
        </is>
      </c>
      <c r="P147" s="165" t="n">
        <v>5</v>
      </c>
      <c r="Q147" s="162" t="n">
        <v>80000</v>
      </c>
      <c r="R147" s="167" t="n"/>
      <c r="S147" s="168" t="n">
        <v>80000</v>
      </c>
      <c r="T147" s="165" t="inlineStr">
        <is>
          <t>CLP</t>
        </is>
      </c>
      <c r="U147" s="165" t="inlineStr">
        <is>
          <t>Carga LH 18-06-26</t>
        </is>
      </c>
      <c r="V147" s="165" t="inlineStr">
        <is>
          <t>2026-06-18</t>
        </is>
      </c>
    </row>
    <row r="148" ht="14" customHeight="1" s="176">
      <c r="A148" s="158" t="inlineStr">
        <is>
          <t>CR-0145</t>
        </is>
      </c>
      <c r="B148" s="158" t="inlineStr">
        <is>
          <t>2026/27</t>
        </is>
      </c>
      <c r="C148" s="228" t="n">
        <v>46052</v>
      </c>
      <c r="D148" s="158" t="inlineStr">
        <is>
          <t>904</t>
        </is>
      </c>
      <c r="E148" s="158" t="inlineStr">
        <is>
          <t>COMPRA</t>
        </is>
      </c>
      <c r="F148" s="160" t="inlineStr">
        <is>
          <t>Mega Catalina</t>
        </is>
      </c>
      <c r="G148" s="160" t="inlineStr">
        <is>
          <t>MURCOTT - 2007 (21 Ha.)</t>
        </is>
      </c>
      <c r="H148" s="160" t="n"/>
      <c r="I148" s="160" t="n"/>
      <c r="J148" s="158" t="inlineStr">
        <is>
          <t>MANT. Y REP. EQUI. RIEGO</t>
        </is>
      </c>
      <c r="K148" s="158" t="inlineStr">
        <is>
          <t>SALAS DE RIEGO</t>
        </is>
      </c>
      <c r="L148" s="158" t="inlineStr">
        <is>
          <t>O/001353 MANTENCION</t>
        </is>
      </c>
      <c r="M148" s="158" t="n"/>
      <c r="N148" s="158" t="inlineStr">
        <is>
          <t>.   .   -</t>
        </is>
      </c>
      <c r="O148" s="229" t="inlineStr">
        <is>
          <t>ENERO</t>
        </is>
      </c>
      <c r="P148" s="158" t="n">
        <v>5</v>
      </c>
      <c r="Q148" s="162" t="n">
        <v>80000</v>
      </c>
      <c r="R148" s="163" t="n"/>
      <c r="S148" s="164" t="n">
        <v>80000</v>
      </c>
      <c r="T148" s="158" t="inlineStr">
        <is>
          <t>CLP</t>
        </is>
      </c>
      <c r="U148" s="158" t="inlineStr">
        <is>
          <t>Carga LH 18-06-26</t>
        </is>
      </c>
      <c r="V148" s="158" t="inlineStr">
        <is>
          <t>2026-06-18</t>
        </is>
      </c>
    </row>
    <row r="149" ht="14" customHeight="1" s="176">
      <c r="A149" s="165" t="inlineStr">
        <is>
          <t>CR-0146</t>
        </is>
      </c>
      <c r="B149" s="165" t="inlineStr">
        <is>
          <t>2026/27</t>
        </is>
      </c>
      <c r="C149" s="230" t="n">
        <v>46053</v>
      </c>
      <c r="D149" s="165" t="inlineStr">
        <is>
          <t>878197</t>
        </is>
      </c>
      <c r="E149" s="165" t="inlineStr">
        <is>
          <t>COMPRA</t>
        </is>
      </c>
      <c r="F149" s="160" t="inlineStr">
        <is>
          <t>Sin asignar</t>
        </is>
      </c>
      <c r="G149" s="160" t="inlineStr">
        <is>
          <t>BODEGA</t>
        </is>
      </c>
      <c r="H149" s="160" t="n"/>
      <c r="I149" s="160" t="n"/>
      <c r="J149" s="165" t="inlineStr">
        <is>
          <t>MANT. Y REP. CONSTRUCCIONES</t>
        </is>
      </c>
      <c r="K149" s="165" t="inlineStr">
        <is>
          <t>MANTENCION INFRAESTRUCTURA</t>
        </is>
      </c>
      <c r="L149" s="165" t="inlineStr">
        <is>
          <t>O/001339 AGUJA COSE</t>
        </is>
      </c>
      <c r="M149" s="165" t="n"/>
      <c r="N149" s="165" t="inlineStr">
        <is>
          <t>.   .   -</t>
        </is>
      </c>
      <c r="O149" s="229" t="inlineStr">
        <is>
          <t>ENERO</t>
        </is>
      </c>
      <c r="P149" s="165" t="n">
        <v>5</v>
      </c>
      <c r="Q149" s="162" t="n">
        <v>4846</v>
      </c>
      <c r="R149" s="167" t="n"/>
      <c r="S149" s="168" t="n">
        <v>4846</v>
      </c>
      <c r="T149" s="165" t="inlineStr">
        <is>
          <t>CLP</t>
        </is>
      </c>
      <c r="U149" s="165" t="inlineStr">
        <is>
          <t>Carga LH 18-06-26</t>
        </is>
      </c>
      <c r="V149" s="165" t="inlineStr">
        <is>
          <t>2026-06-18</t>
        </is>
      </c>
    </row>
    <row r="150" ht="14" customHeight="1" s="176">
      <c r="A150" s="158" t="inlineStr">
        <is>
          <t>CR-0147</t>
        </is>
      </c>
      <c r="B150" s="158" t="inlineStr">
        <is>
          <t>2026/27</t>
        </is>
      </c>
      <c r="C150" s="228" t="n">
        <v>46053</v>
      </c>
      <c r="D150" s="158" t="inlineStr">
        <is>
          <t>878197</t>
        </is>
      </c>
      <c r="E150" s="158" t="inlineStr">
        <is>
          <t>COMPRA</t>
        </is>
      </c>
      <c r="F150" s="160" t="inlineStr">
        <is>
          <t>Sin asignar</t>
        </is>
      </c>
      <c r="G150" s="160" t="inlineStr">
        <is>
          <t>BODEGA</t>
        </is>
      </c>
      <c r="H150" s="160" t="n"/>
      <c r="I150" s="160" t="n"/>
      <c r="J150" s="158" t="inlineStr">
        <is>
          <t>MANT. Y REP. CONSTRUCCIONES</t>
        </is>
      </c>
      <c r="K150" s="158" t="inlineStr">
        <is>
          <t>MANTENCION INFRAESTRUCTURA</t>
        </is>
      </c>
      <c r="L150" s="158" t="inlineStr">
        <is>
          <t>O/001339 ANTIC TRIC</t>
        </is>
      </c>
      <c r="M150" s="158" t="n"/>
      <c r="N150" s="158" t="inlineStr">
        <is>
          <t>.   .   -</t>
        </is>
      </c>
      <c r="O150" s="229" t="inlineStr">
        <is>
          <t>ENERO</t>
        </is>
      </c>
      <c r="P150" s="158" t="n">
        <v>5</v>
      </c>
      <c r="Q150" s="162" t="n">
        <v>47124</v>
      </c>
      <c r="R150" s="163" t="n"/>
      <c r="S150" s="164" t="n">
        <v>47124</v>
      </c>
      <c r="T150" s="158" t="inlineStr">
        <is>
          <t>CLP</t>
        </is>
      </c>
      <c r="U150" s="158" t="inlineStr">
        <is>
          <t>Carga LH 18-06-26</t>
        </is>
      </c>
      <c r="V150" s="158" t="inlineStr">
        <is>
          <t>2026-06-18</t>
        </is>
      </c>
    </row>
    <row r="151" ht="14" customHeight="1" s="176">
      <c r="A151" s="165" t="inlineStr">
        <is>
          <t>CR-0148</t>
        </is>
      </c>
      <c r="B151" s="165" t="inlineStr">
        <is>
          <t>2026/27</t>
        </is>
      </c>
      <c r="C151" s="230" t="n">
        <v>46053</v>
      </c>
      <c r="D151" s="165" t="inlineStr">
        <is>
          <t>878197</t>
        </is>
      </c>
      <c r="E151" s="165" t="inlineStr">
        <is>
          <t>COMPRA</t>
        </is>
      </c>
      <c r="F151" s="160" t="inlineStr">
        <is>
          <t>Sin asignar</t>
        </is>
      </c>
      <c r="G151" s="160" t="inlineStr">
        <is>
          <t>BODEGA</t>
        </is>
      </c>
      <c r="H151" s="160" t="n"/>
      <c r="I151" s="160" t="n"/>
      <c r="J151" s="165" t="inlineStr">
        <is>
          <t>MANT. Y REP. CONSTRUCCIONES</t>
        </is>
      </c>
      <c r="K151" s="165" t="inlineStr">
        <is>
          <t>MANTENCION INFRAESTRUCTURA</t>
        </is>
      </c>
      <c r="L151" s="165" t="inlineStr">
        <is>
          <t>O/001339 BROCHA CON</t>
        </is>
      </c>
      <c r="M151" s="165" t="n"/>
      <c r="N151" s="165" t="inlineStr">
        <is>
          <t>.   .   -</t>
        </is>
      </c>
      <c r="O151" s="229" t="inlineStr">
        <is>
          <t>ENERO</t>
        </is>
      </c>
      <c r="P151" s="165" t="n">
        <v>5</v>
      </c>
      <c r="Q151" s="162" t="n">
        <v>3540</v>
      </c>
      <c r="R151" s="167" t="n"/>
      <c r="S151" s="168" t="n">
        <v>3540</v>
      </c>
      <c r="T151" s="165" t="inlineStr">
        <is>
          <t>CLP</t>
        </is>
      </c>
      <c r="U151" s="165" t="inlineStr">
        <is>
          <t>Carga LH 18-06-26</t>
        </is>
      </c>
      <c r="V151" s="165" t="inlineStr">
        <is>
          <t>2026-06-18</t>
        </is>
      </c>
    </row>
    <row r="152" ht="14" customHeight="1" s="176">
      <c r="A152" s="158" t="inlineStr">
        <is>
          <t>CR-0149</t>
        </is>
      </c>
      <c r="B152" s="158" t="inlineStr">
        <is>
          <t>2026/27</t>
        </is>
      </c>
      <c r="C152" s="228" t="n">
        <v>46053</v>
      </c>
      <c r="D152" s="158" t="inlineStr">
        <is>
          <t>878197</t>
        </is>
      </c>
      <c r="E152" s="158" t="inlineStr">
        <is>
          <t>COMPRA</t>
        </is>
      </c>
      <c r="F152" s="160" t="inlineStr">
        <is>
          <t>Sin asignar</t>
        </is>
      </c>
      <c r="G152" s="160" t="inlineStr">
        <is>
          <t>BODEGA</t>
        </is>
      </c>
      <c r="H152" s="160" t="n"/>
      <c r="I152" s="160" t="n"/>
      <c r="J152" s="158" t="inlineStr">
        <is>
          <t>MANT. Y REP. CONSTRUCCIONES</t>
        </is>
      </c>
      <c r="K152" s="158" t="inlineStr">
        <is>
          <t>MANTENCION INFRAESTRUCTURA</t>
        </is>
      </c>
      <c r="L152" s="158" t="inlineStr">
        <is>
          <t>O/001339 ANTIC TRIC</t>
        </is>
      </c>
      <c r="M152" s="158" t="n"/>
      <c r="N152" s="158" t="inlineStr">
        <is>
          <t>.   .   -</t>
        </is>
      </c>
      <c r="O152" s="229" t="inlineStr">
        <is>
          <t>ENERO</t>
        </is>
      </c>
      <c r="P152" s="158" t="n">
        <v>5</v>
      </c>
      <c r="Q152" s="162" t="n">
        <v>15778</v>
      </c>
      <c r="R152" s="163" t="n"/>
      <c r="S152" s="164" t="n">
        <v>15778</v>
      </c>
      <c r="T152" s="158" t="inlineStr">
        <is>
          <t>CLP</t>
        </is>
      </c>
      <c r="U152" s="158" t="inlineStr">
        <is>
          <t>Carga LH 18-06-26</t>
        </is>
      </c>
      <c r="V152" s="158" t="inlineStr">
        <is>
          <t>2026-06-18</t>
        </is>
      </c>
    </row>
    <row r="153" ht="14" customHeight="1" s="176">
      <c r="A153" s="165" t="inlineStr">
        <is>
          <t>CR-0150</t>
        </is>
      </c>
      <c r="B153" s="165" t="inlineStr">
        <is>
          <t>2026/27</t>
        </is>
      </c>
      <c r="C153" s="230" t="n">
        <v>46053</v>
      </c>
      <c r="D153" s="165" t="inlineStr">
        <is>
          <t>878197</t>
        </is>
      </c>
      <c r="E153" s="165" t="inlineStr">
        <is>
          <t>COMPRA</t>
        </is>
      </c>
      <c r="F153" s="160" t="inlineStr">
        <is>
          <t>Sin asignar</t>
        </is>
      </c>
      <c r="G153" s="160" t="inlineStr">
        <is>
          <t>BODEGA</t>
        </is>
      </c>
      <c r="H153" s="160" t="n"/>
      <c r="I153" s="160" t="n"/>
      <c r="J153" s="165" t="inlineStr">
        <is>
          <t>MANT. Y REP. CONSTRUCCIONES</t>
        </is>
      </c>
      <c r="K153" s="165" t="inlineStr">
        <is>
          <t>MANTENCION INFRAESTRUCTURA</t>
        </is>
      </c>
      <c r="L153" s="165" t="inlineStr">
        <is>
          <t>O/001339 BROCHA CON</t>
        </is>
      </c>
      <c r="M153" s="165" t="n"/>
      <c r="N153" s="165" t="inlineStr">
        <is>
          <t>.   .   -</t>
        </is>
      </c>
      <c r="O153" s="229" t="inlineStr">
        <is>
          <t>ENERO</t>
        </is>
      </c>
      <c r="P153" s="165" t="n">
        <v>5</v>
      </c>
      <c r="Q153" s="162" t="n">
        <v>2628</v>
      </c>
      <c r="R153" s="167" t="n"/>
      <c r="S153" s="168" t="n">
        <v>2628</v>
      </c>
      <c r="T153" s="165" t="inlineStr">
        <is>
          <t>CLP</t>
        </is>
      </c>
      <c r="U153" s="165" t="inlineStr">
        <is>
          <t>Carga LH 18-06-26</t>
        </is>
      </c>
      <c r="V153" s="165" t="inlineStr">
        <is>
          <t>2026-06-18</t>
        </is>
      </c>
    </row>
    <row r="154" ht="14" customHeight="1" s="176">
      <c r="A154" s="158" t="inlineStr">
        <is>
          <t>CR-0151</t>
        </is>
      </c>
      <c r="B154" s="158" t="inlineStr">
        <is>
          <t>2026/27</t>
        </is>
      </c>
      <c r="C154" s="228" t="n">
        <v>46053</v>
      </c>
      <c r="D154" s="158" t="inlineStr">
        <is>
          <t>878197</t>
        </is>
      </c>
      <c r="E154" s="158" t="inlineStr">
        <is>
          <t>COMPRA</t>
        </is>
      </c>
      <c r="F154" s="160" t="inlineStr">
        <is>
          <t>Sin asignar</t>
        </is>
      </c>
      <c r="G154" s="160" t="inlineStr">
        <is>
          <t>BODEGA</t>
        </is>
      </c>
      <c r="H154" s="160" t="n"/>
      <c r="I154" s="160" t="n"/>
      <c r="J154" s="158" t="inlineStr">
        <is>
          <t>MANT. Y REP. CONSTRUCCIONES</t>
        </is>
      </c>
      <c r="K154" s="158" t="inlineStr">
        <is>
          <t>MANTENCION INFRAESTRUCTURA</t>
        </is>
      </c>
      <c r="L154" s="158" t="inlineStr">
        <is>
          <t>O/001339 PT ESMALTE</t>
        </is>
      </c>
      <c r="M154" s="158" t="n"/>
      <c r="N154" s="158" t="inlineStr">
        <is>
          <t>.   .   -</t>
        </is>
      </c>
      <c r="O154" s="229" t="inlineStr">
        <is>
          <t>ENERO</t>
        </is>
      </c>
      <c r="P154" s="158" t="n">
        <v>5</v>
      </c>
      <c r="Q154" s="162" t="n">
        <v>24844</v>
      </c>
      <c r="R154" s="163" t="n"/>
      <c r="S154" s="164" t="n">
        <v>24844</v>
      </c>
      <c r="T154" s="158" t="inlineStr">
        <is>
          <t>CLP</t>
        </is>
      </c>
      <c r="U154" s="158" t="inlineStr">
        <is>
          <t>Carga LH 18-06-26</t>
        </is>
      </c>
      <c r="V154" s="158" t="inlineStr">
        <is>
          <t>2026-06-18</t>
        </is>
      </c>
    </row>
    <row r="155" ht="14" customHeight="1" s="176">
      <c r="A155" s="165" t="inlineStr">
        <is>
          <t>CR-0152</t>
        </is>
      </c>
      <c r="B155" s="165" t="inlineStr">
        <is>
          <t>2026/27</t>
        </is>
      </c>
      <c r="C155" s="230" t="n">
        <v>46053</v>
      </c>
      <c r="D155" s="165" t="inlineStr">
        <is>
          <t>878198</t>
        </is>
      </c>
      <c r="E155" s="165" t="inlineStr">
        <is>
          <t>COMPRA</t>
        </is>
      </c>
      <c r="F155" s="160" t="inlineStr">
        <is>
          <t>Sin asignar</t>
        </is>
      </c>
      <c r="G155" s="160" t="inlineStr">
        <is>
          <t>BODEGA</t>
        </is>
      </c>
      <c r="H155" s="160" t="n"/>
      <c r="I155" s="160" t="n"/>
      <c r="J155" s="165" t="inlineStr">
        <is>
          <t>MANT. Y REP. PLANTACIONES</t>
        </is>
      </c>
      <c r="K155" s="165" t="inlineStr">
        <is>
          <t>MANTENCION HUERTO</t>
        </is>
      </c>
      <c r="L155" s="165" t="inlineStr">
        <is>
          <t>O/001340 RUEDA CARR</t>
        </is>
      </c>
      <c r="M155" s="165" t="n"/>
      <c r="N155" s="165" t="inlineStr">
        <is>
          <t>.   .   -</t>
        </is>
      </c>
      <c r="O155" s="229" t="inlineStr">
        <is>
          <t>ENERO</t>
        </is>
      </c>
      <c r="P155" s="165" t="n">
        <v>5</v>
      </c>
      <c r="Q155" s="162" t="n">
        <v>29682</v>
      </c>
      <c r="R155" s="167" t="n"/>
      <c r="S155" s="168" t="n">
        <v>29682</v>
      </c>
      <c r="T155" s="165" t="inlineStr">
        <is>
          <t>CLP</t>
        </is>
      </c>
      <c r="U155" s="165" t="inlineStr">
        <is>
          <t>Carga LH 18-06-26</t>
        </is>
      </c>
      <c r="V155" s="165" t="inlineStr">
        <is>
          <t>2026-06-18</t>
        </is>
      </c>
    </row>
    <row r="156" ht="14" customHeight="1" s="176">
      <c r="A156" s="158" t="inlineStr">
        <is>
          <t>CR-0153</t>
        </is>
      </c>
      <c r="B156" s="158" t="inlineStr">
        <is>
          <t>2026/27</t>
        </is>
      </c>
      <c r="C156" s="228" t="n">
        <v>46053</v>
      </c>
      <c r="D156" s="158" t="inlineStr">
        <is>
          <t>898673</t>
        </is>
      </c>
      <c r="E156" s="158" t="inlineStr">
        <is>
          <t>COMPRA</t>
        </is>
      </c>
      <c r="F156" s="160" t="inlineStr">
        <is>
          <t>Sin asignar</t>
        </is>
      </c>
      <c r="G156" s="160" t="inlineStr">
        <is>
          <t>PACKING</t>
        </is>
      </c>
      <c r="H156" s="160" t="n"/>
      <c r="I156" s="160" t="n"/>
      <c r="J156" s="158" t="inlineStr">
        <is>
          <t>UNIFORME Y EPP</t>
        </is>
      </c>
      <c r="K156" s="158" t="inlineStr">
        <is>
          <t>EPP</t>
        </is>
      </c>
      <c r="L156" s="158" t="inlineStr">
        <is>
          <t>O/001282 COTONA POP</t>
        </is>
      </c>
      <c r="M156" s="158" t="n"/>
      <c r="N156" s="158" t="inlineStr">
        <is>
          <t>.   .   -</t>
        </is>
      </c>
      <c r="O156" s="229" t="inlineStr">
        <is>
          <t>ENERO</t>
        </is>
      </c>
      <c r="P156" s="158" t="n">
        <v>5</v>
      </c>
      <c r="Q156" s="162" t="n">
        <v>11800</v>
      </c>
      <c r="R156" s="163" t="n"/>
      <c r="S156" s="164" t="n">
        <v>11800</v>
      </c>
      <c r="T156" s="158" t="inlineStr">
        <is>
          <t>CLP</t>
        </is>
      </c>
      <c r="U156" s="158" t="inlineStr">
        <is>
          <t>Carga LH 18-06-26</t>
        </is>
      </c>
      <c r="V156" s="158" t="inlineStr">
        <is>
          <t>2026-06-18</t>
        </is>
      </c>
    </row>
    <row r="157" ht="14" customHeight="1" s="176">
      <c r="A157" s="165" t="inlineStr">
        <is>
          <t>CR-0154</t>
        </is>
      </c>
      <c r="B157" s="165" t="inlineStr">
        <is>
          <t>2026/27</t>
        </is>
      </c>
      <c r="C157" s="230" t="n">
        <v>46053</v>
      </c>
      <c r="D157" s="165" t="inlineStr">
        <is>
          <t>898673</t>
        </is>
      </c>
      <c r="E157" s="165" t="inlineStr">
        <is>
          <t>COMPRA</t>
        </is>
      </c>
      <c r="F157" s="160" t="inlineStr">
        <is>
          <t>Sin asignar</t>
        </is>
      </c>
      <c r="G157" s="160" t="inlineStr">
        <is>
          <t>PACKING</t>
        </is>
      </c>
      <c r="H157" s="160" t="n"/>
      <c r="I157" s="160" t="n"/>
      <c r="J157" s="165" t="inlineStr">
        <is>
          <t>UNIFORME Y EPP</t>
        </is>
      </c>
      <c r="K157" s="165" t="inlineStr">
        <is>
          <t>EPP</t>
        </is>
      </c>
      <c r="L157" s="165" t="inlineStr">
        <is>
          <t>O/001282 COTONA POP</t>
        </is>
      </c>
      <c r="M157" s="165" t="n"/>
      <c r="N157" s="165" t="inlineStr">
        <is>
          <t>.   .   -</t>
        </is>
      </c>
      <c r="O157" s="229" t="inlineStr">
        <is>
          <t>ENERO</t>
        </is>
      </c>
      <c r="P157" s="165" t="n">
        <v>5</v>
      </c>
      <c r="Q157" s="162" t="n">
        <v>11800</v>
      </c>
      <c r="R157" s="167" t="n"/>
      <c r="S157" s="168" t="n">
        <v>11800</v>
      </c>
      <c r="T157" s="165" t="inlineStr">
        <is>
          <t>CLP</t>
        </is>
      </c>
      <c r="U157" s="165" t="inlineStr">
        <is>
          <t>Carga LH 18-06-26</t>
        </is>
      </c>
      <c r="V157" s="165" t="inlineStr">
        <is>
          <t>2026-06-18</t>
        </is>
      </c>
    </row>
    <row r="158" ht="14" customHeight="1" s="176">
      <c r="A158" s="158" t="inlineStr">
        <is>
          <t>CR-0155</t>
        </is>
      </c>
      <c r="B158" s="158" t="inlineStr">
        <is>
          <t>2026/27</t>
        </is>
      </c>
      <c r="C158" s="228" t="n">
        <v>46053</v>
      </c>
      <c r="D158" s="158" t="inlineStr">
        <is>
          <t>898673</t>
        </is>
      </c>
      <c r="E158" s="158" t="inlineStr">
        <is>
          <t>COMPRA</t>
        </is>
      </c>
      <c r="F158" s="160" t="inlineStr">
        <is>
          <t>Sin asignar</t>
        </is>
      </c>
      <c r="G158" s="160" t="inlineStr">
        <is>
          <t>PACKING</t>
        </is>
      </c>
      <c r="H158" s="160" t="n"/>
      <c r="I158" s="160" t="n"/>
      <c r="J158" s="158" t="inlineStr">
        <is>
          <t>UNIFORME Y EPP</t>
        </is>
      </c>
      <c r="K158" s="158" t="inlineStr">
        <is>
          <t>EPP</t>
        </is>
      </c>
      <c r="L158" s="158" t="inlineStr">
        <is>
          <t>O/001282 COTONA POP</t>
        </is>
      </c>
      <c r="M158" s="158" t="n"/>
      <c r="N158" s="158" t="inlineStr">
        <is>
          <t>.   .   -</t>
        </is>
      </c>
      <c r="O158" s="229" t="inlineStr">
        <is>
          <t>ENERO</t>
        </is>
      </c>
      <c r="P158" s="158" t="n">
        <v>5</v>
      </c>
      <c r="Q158" s="162" t="n">
        <v>23600</v>
      </c>
      <c r="R158" s="163" t="n"/>
      <c r="S158" s="164" t="n">
        <v>23600</v>
      </c>
      <c r="T158" s="158" t="inlineStr">
        <is>
          <t>CLP</t>
        </is>
      </c>
      <c r="U158" s="158" t="inlineStr">
        <is>
          <t>Carga LH 18-06-26</t>
        </is>
      </c>
      <c r="V158" s="158" t="inlineStr">
        <is>
          <t>2026-06-18</t>
        </is>
      </c>
    </row>
    <row r="159" ht="14" customHeight="1" s="176">
      <c r="A159" s="165" t="inlineStr">
        <is>
          <t>CR-0156</t>
        </is>
      </c>
      <c r="B159" s="165" t="inlineStr">
        <is>
          <t>2026/27</t>
        </is>
      </c>
      <c r="C159" s="230" t="n">
        <v>46053</v>
      </c>
      <c r="D159" s="165" t="inlineStr">
        <is>
          <t>2076</t>
        </is>
      </c>
      <c r="E159" s="165" t="inlineStr">
        <is>
          <t>COMPRA</t>
        </is>
      </c>
      <c r="F159" s="160" t="inlineStr">
        <is>
          <t>Sin asignar</t>
        </is>
      </c>
      <c r="G159" s="160" t="inlineStr">
        <is>
          <t>PACKING</t>
        </is>
      </c>
      <c r="H159" s="160" t="n"/>
      <c r="I159" s="160" t="n"/>
      <c r="J159" s="165" t="inlineStr">
        <is>
          <t>MATERIALES EMBALAJE</t>
        </is>
      </c>
      <c r="K159" s="165" t="inlineStr">
        <is>
          <t>MATERIALES VARIOS</t>
        </is>
      </c>
      <c r="L159" s="165" t="inlineStr">
        <is>
          <t>O/001330 BALANZA DI</t>
        </is>
      </c>
      <c r="M159" s="165" t="n"/>
      <c r="N159" s="165" t="inlineStr">
        <is>
          <t>.   .   -</t>
        </is>
      </c>
      <c r="O159" s="229" t="inlineStr">
        <is>
          <t>ENERO</t>
        </is>
      </c>
      <c r="P159" s="165" t="n">
        <v>5</v>
      </c>
      <c r="Q159" s="162" t="n">
        <v>385000</v>
      </c>
      <c r="R159" s="167" t="n"/>
      <c r="S159" s="168" t="n">
        <v>385000</v>
      </c>
      <c r="T159" s="165" t="inlineStr">
        <is>
          <t>CLP</t>
        </is>
      </c>
      <c r="U159" s="165" t="inlineStr">
        <is>
          <t>Carga LH 18-06-26</t>
        </is>
      </c>
      <c r="V159" s="165" t="inlineStr">
        <is>
          <t>2026-06-18</t>
        </is>
      </c>
    </row>
    <row r="160" ht="14" customHeight="1" s="176">
      <c r="A160" s="158" t="inlineStr">
        <is>
          <t>CR-0157</t>
        </is>
      </c>
      <c r="B160" s="158" t="inlineStr">
        <is>
          <t>2026/27</t>
        </is>
      </c>
      <c r="C160" s="228" t="n">
        <v>46052</v>
      </c>
      <c r="D160" s="158" t="inlineStr">
        <is>
          <t>258</t>
        </is>
      </c>
      <c r="E160" s="158" t="inlineStr">
        <is>
          <t>COMPRA</t>
        </is>
      </c>
      <c r="F160" s="160" t="inlineStr">
        <is>
          <t>Mega Catalina</t>
        </is>
      </c>
      <c r="G160" s="160" t="inlineStr">
        <is>
          <t>EUREKA - 1999 (22,5 Ha.)</t>
        </is>
      </c>
      <c r="H160" s="160" t="n"/>
      <c r="I160" s="160" t="n"/>
      <c r="J160" s="158" t="inlineStr">
        <is>
          <t>LABORES OPERACIONALES</t>
        </is>
      </c>
      <c r="K160" s="158" t="inlineStr">
        <is>
          <t>OTROS SERVICIOS</t>
        </is>
      </c>
      <c r="L160" s="158" t="inlineStr">
        <is>
          <t>SERV.CONTRATISTA</t>
        </is>
      </c>
      <c r="M160" s="158" t="n"/>
      <c r="N160" s="158" t="inlineStr">
        <is>
          <t>.   .   -</t>
        </is>
      </c>
      <c r="O160" s="229" t="inlineStr">
        <is>
          <t>ENERO</t>
        </is>
      </c>
      <c r="P160" s="158" t="n">
        <v>5</v>
      </c>
      <c r="Q160" s="162" t="n">
        <v>523410</v>
      </c>
      <c r="R160" s="163" t="n"/>
      <c r="S160" s="164" t="n">
        <v>523410</v>
      </c>
      <c r="T160" s="158" t="inlineStr">
        <is>
          <t>CLP</t>
        </is>
      </c>
      <c r="U160" s="158" t="inlineStr">
        <is>
          <t>Carga LH 18-06-26</t>
        </is>
      </c>
      <c r="V160" s="158" t="inlineStr">
        <is>
          <t>2026-06-18</t>
        </is>
      </c>
    </row>
    <row r="161" ht="14" customHeight="1" s="176">
      <c r="A161" s="165" t="inlineStr">
        <is>
          <t>CR-0158</t>
        </is>
      </c>
      <c r="B161" s="165" t="inlineStr">
        <is>
          <t>2026/27</t>
        </is>
      </c>
      <c r="C161" s="230" t="n">
        <v>46052</v>
      </c>
      <c r="D161" s="165" t="inlineStr">
        <is>
          <t>258</t>
        </is>
      </c>
      <c r="E161" s="165" t="inlineStr">
        <is>
          <t>COMPRA</t>
        </is>
      </c>
      <c r="F161" s="160" t="inlineStr">
        <is>
          <t>Mega Catalina</t>
        </is>
      </c>
      <c r="G161" s="160" t="inlineStr">
        <is>
          <t>EUREKA - 1999 (10,6 Ha.)</t>
        </is>
      </c>
      <c r="H161" s="160" t="n"/>
      <c r="I161" s="160" t="n"/>
      <c r="J161" s="165" t="inlineStr">
        <is>
          <t>LABORES OPERACIONALES</t>
        </is>
      </c>
      <c r="K161" s="165" t="inlineStr">
        <is>
          <t>OTROS SERVICIOS</t>
        </is>
      </c>
      <c r="L161" s="165" t="inlineStr">
        <is>
          <t>SERV.CONTRATISTA</t>
        </is>
      </c>
      <c r="M161" s="165" t="n"/>
      <c r="N161" s="165" t="inlineStr">
        <is>
          <t>.   .   -</t>
        </is>
      </c>
      <c r="O161" s="229" t="inlineStr">
        <is>
          <t>ENERO</t>
        </is>
      </c>
      <c r="P161" s="165" t="n">
        <v>5</v>
      </c>
      <c r="Q161" s="162" t="n">
        <v>238710</v>
      </c>
      <c r="R161" s="167" t="n"/>
      <c r="S161" s="168" t="n">
        <v>238710</v>
      </c>
      <c r="T161" s="165" t="inlineStr">
        <is>
          <t>CLP</t>
        </is>
      </c>
      <c r="U161" s="165" t="inlineStr">
        <is>
          <t>Carga LH 18-06-26</t>
        </is>
      </c>
      <c r="V161" s="165" t="inlineStr">
        <is>
          <t>2026-06-18</t>
        </is>
      </c>
    </row>
    <row r="162" ht="14" customHeight="1" s="176">
      <c r="A162" s="158" t="inlineStr">
        <is>
          <t>CR-0159</t>
        </is>
      </c>
      <c r="B162" s="158" t="inlineStr">
        <is>
          <t>2026/27</t>
        </is>
      </c>
      <c r="C162" s="228" t="n">
        <v>46052</v>
      </c>
      <c r="D162" s="158" t="inlineStr">
        <is>
          <t>258</t>
        </is>
      </c>
      <c r="E162" s="158" t="inlineStr">
        <is>
          <t>COMPRA</t>
        </is>
      </c>
      <c r="F162" s="160" t="inlineStr">
        <is>
          <t>Mega Catalina</t>
        </is>
      </c>
      <c r="G162" s="160" t="inlineStr">
        <is>
          <t>EUREKA - 2016 (14,4 Ha.)</t>
        </is>
      </c>
      <c r="H162" s="160" t="n"/>
      <c r="I162" s="160" t="n"/>
      <c r="J162" s="158" t="inlineStr">
        <is>
          <t>LABORES OPERACIONALES</t>
        </is>
      </c>
      <c r="K162" s="158" t="inlineStr">
        <is>
          <t>OTROS SERVICIOS</t>
        </is>
      </c>
      <c r="L162" s="158" t="inlineStr">
        <is>
          <t>SERV.CONTRATISTA</t>
        </is>
      </c>
      <c r="M162" s="158" t="n"/>
      <c r="N162" s="158" t="inlineStr">
        <is>
          <t>.   .   -</t>
        </is>
      </c>
      <c r="O162" s="229" t="inlineStr">
        <is>
          <t>ENERO</t>
        </is>
      </c>
      <c r="P162" s="158" t="n">
        <v>5</v>
      </c>
      <c r="Q162" s="162" t="n">
        <v>232140</v>
      </c>
      <c r="R162" s="163" t="n"/>
      <c r="S162" s="164" t="n">
        <v>232140</v>
      </c>
      <c r="T162" s="158" t="inlineStr">
        <is>
          <t>CLP</t>
        </is>
      </c>
      <c r="U162" s="158" t="inlineStr">
        <is>
          <t>Carga LH 18-06-26</t>
        </is>
      </c>
      <c r="V162" s="158" t="inlineStr">
        <is>
          <t>2026-06-18</t>
        </is>
      </c>
    </row>
    <row r="163" ht="14" customHeight="1" s="176">
      <c r="A163" s="165" t="inlineStr">
        <is>
          <t>CR-0160</t>
        </is>
      </c>
      <c r="B163" s="165" t="inlineStr">
        <is>
          <t>2026/27</t>
        </is>
      </c>
      <c r="C163" s="230" t="n">
        <v>46052</v>
      </c>
      <c r="D163" s="165" t="inlineStr">
        <is>
          <t>258</t>
        </is>
      </c>
      <c r="E163" s="165" t="inlineStr">
        <is>
          <t>COMPRA</t>
        </is>
      </c>
      <c r="F163" s="160" t="inlineStr">
        <is>
          <t>Mega Catalina</t>
        </is>
      </c>
      <c r="G163" s="160" t="inlineStr">
        <is>
          <t>FINO 49 - 1999 (7,7 Ha.)</t>
        </is>
      </c>
      <c r="H163" s="160" t="n"/>
      <c r="I163" s="160" t="n"/>
      <c r="J163" s="165" t="inlineStr">
        <is>
          <t>LABORES OPERACIONALES</t>
        </is>
      </c>
      <c r="K163" s="165" t="inlineStr">
        <is>
          <t>OTROS SERVICIOS</t>
        </is>
      </c>
      <c r="L163" s="165" t="inlineStr">
        <is>
          <t>SERV.CONTRATISTA</t>
        </is>
      </c>
      <c r="M163" s="165" t="n"/>
      <c r="N163" s="165" t="inlineStr">
        <is>
          <t>.   .   -</t>
        </is>
      </c>
      <c r="O163" s="229" t="inlineStr">
        <is>
          <t>ENERO</t>
        </is>
      </c>
      <c r="P163" s="165" t="n">
        <v>5</v>
      </c>
      <c r="Q163" s="162" t="n">
        <v>183960</v>
      </c>
      <c r="R163" s="167" t="n"/>
      <c r="S163" s="168" t="n">
        <v>183960</v>
      </c>
      <c r="T163" s="165" t="inlineStr">
        <is>
          <t>CLP</t>
        </is>
      </c>
      <c r="U163" s="165" t="inlineStr">
        <is>
          <t>Carga LH 18-06-26</t>
        </is>
      </c>
      <c r="V163" s="165" t="inlineStr">
        <is>
          <t>2026-06-18</t>
        </is>
      </c>
    </row>
    <row r="164" ht="14" customHeight="1" s="176">
      <c r="A164" s="158" t="inlineStr">
        <is>
          <t>CR-0161</t>
        </is>
      </c>
      <c r="B164" s="158" t="inlineStr">
        <is>
          <t>2026/27</t>
        </is>
      </c>
      <c r="C164" s="228" t="n">
        <v>46052</v>
      </c>
      <c r="D164" s="158" t="inlineStr">
        <is>
          <t>258</t>
        </is>
      </c>
      <c r="E164" s="158" t="inlineStr">
        <is>
          <t>COMPRA</t>
        </is>
      </c>
      <c r="F164" s="160" t="inlineStr">
        <is>
          <t>Mega Catalina</t>
        </is>
      </c>
      <c r="G164" s="160" t="inlineStr">
        <is>
          <t>NO USAR NARANJAS CAMBRIA (4,2 Hta.)</t>
        </is>
      </c>
      <c r="H164" s="160" t="n"/>
      <c r="I164" s="160" t="n"/>
      <c r="J164" s="158" t="inlineStr">
        <is>
          <t>LABORES OPERACIONALES</t>
        </is>
      </c>
      <c r="K164" s="158" t="inlineStr">
        <is>
          <t>OTROS SERVICIOS</t>
        </is>
      </c>
      <c r="L164" s="158" t="inlineStr">
        <is>
          <t>SERV.CONTRATISTA</t>
        </is>
      </c>
      <c r="M164" s="158" t="n"/>
      <c r="N164" s="158" t="inlineStr">
        <is>
          <t>.   .   -</t>
        </is>
      </c>
      <c r="O164" s="229" t="inlineStr">
        <is>
          <t>ENERO</t>
        </is>
      </c>
      <c r="P164" s="158" t="n">
        <v>5</v>
      </c>
      <c r="Q164" s="162" t="n">
        <v>67890</v>
      </c>
      <c r="R164" s="163" t="n"/>
      <c r="S164" s="164" t="n">
        <v>67890</v>
      </c>
      <c r="T164" s="158" t="inlineStr">
        <is>
          <t>CLP</t>
        </is>
      </c>
      <c r="U164" s="158" t="inlineStr">
        <is>
          <t>Carga LH 18-06-26</t>
        </is>
      </c>
      <c r="V164" s="158" t="inlineStr">
        <is>
          <t>2026-06-18</t>
        </is>
      </c>
    </row>
    <row r="165" ht="14" customHeight="1" s="176">
      <c r="A165" s="165" t="inlineStr">
        <is>
          <t>CR-0162</t>
        </is>
      </c>
      <c r="B165" s="165" t="inlineStr">
        <is>
          <t>2026/27</t>
        </is>
      </c>
      <c r="C165" s="230" t="n">
        <v>46052</v>
      </c>
      <c r="D165" s="165" t="inlineStr">
        <is>
          <t>258</t>
        </is>
      </c>
      <c r="E165" s="165" t="inlineStr">
        <is>
          <t>COMPRA</t>
        </is>
      </c>
      <c r="F165" s="160" t="inlineStr">
        <is>
          <t>Mega Catalina</t>
        </is>
      </c>
      <c r="G165" s="160" t="inlineStr">
        <is>
          <t>MURCOTT - 2007 (21 Ha.)</t>
        </is>
      </c>
      <c r="H165" s="160" t="n"/>
      <c r="I165" s="160" t="n"/>
      <c r="J165" s="165" t="inlineStr">
        <is>
          <t>LABORES OPERACIONALES</t>
        </is>
      </c>
      <c r="K165" s="165" t="inlineStr">
        <is>
          <t>OTROS SERVICIOS</t>
        </is>
      </c>
      <c r="L165" s="165" t="inlineStr">
        <is>
          <t>SERV.CONTRATISTA</t>
        </is>
      </c>
      <c r="M165" s="165" t="n"/>
      <c r="N165" s="165" t="inlineStr">
        <is>
          <t>.   .   -</t>
        </is>
      </c>
      <c r="O165" s="229" t="inlineStr">
        <is>
          <t>ENERO</t>
        </is>
      </c>
      <c r="P165" s="165" t="n">
        <v>5</v>
      </c>
      <c r="Q165" s="162" t="n">
        <v>337260</v>
      </c>
      <c r="R165" s="167" t="n"/>
      <c r="S165" s="168" t="n">
        <v>337260</v>
      </c>
      <c r="T165" s="165" t="inlineStr">
        <is>
          <t>CLP</t>
        </is>
      </c>
      <c r="U165" s="165" t="inlineStr">
        <is>
          <t>Carga LH 18-06-26</t>
        </is>
      </c>
      <c r="V165" s="165" t="inlineStr">
        <is>
          <t>2026-06-18</t>
        </is>
      </c>
    </row>
    <row r="166" ht="14" customHeight="1" s="176">
      <c r="A166" s="158" t="inlineStr">
        <is>
          <t>CR-0163</t>
        </is>
      </c>
      <c r="B166" s="158" t="inlineStr">
        <is>
          <t>2026/27</t>
        </is>
      </c>
      <c r="C166" s="228" t="n">
        <v>46052</v>
      </c>
      <c r="D166" s="158" t="inlineStr">
        <is>
          <t>413</t>
        </is>
      </c>
      <c r="E166" s="158" t="inlineStr">
        <is>
          <t>COMPRA</t>
        </is>
      </c>
      <c r="F166" s="160" t="inlineStr">
        <is>
          <t>Mega Catalina</t>
        </is>
      </c>
      <c r="G166" s="160" t="inlineStr">
        <is>
          <t>EUREKA - 1999 (22,5 Ha.)</t>
        </is>
      </c>
      <c r="H166" s="160" t="n"/>
      <c r="I166" s="160" t="n"/>
      <c r="J166" s="158" t="inlineStr">
        <is>
          <t>LABORES OPERACIONALES</t>
        </is>
      </c>
      <c r="K166" s="158" t="inlineStr">
        <is>
          <t>OTROS SERVICIOS</t>
        </is>
      </c>
      <c r="L166" s="158" t="inlineStr">
        <is>
          <t>SERV.CONTRATISTA</t>
        </is>
      </c>
      <c r="M166" s="158" t="n"/>
      <c r="N166" s="158" t="inlineStr">
        <is>
          <t>.   .   -</t>
        </is>
      </c>
      <c r="O166" s="229" t="inlineStr">
        <is>
          <t>ENERO</t>
        </is>
      </c>
      <c r="P166" s="158" t="n">
        <v>5</v>
      </c>
      <c r="Q166" s="162" t="n">
        <v>552000</v>
      </c>
      <c r="R166" s="163" t="n"/>
      <c r="S166" s="164" t="n">
        <v>552000</v>
      </c>
      <c r="T166" s="158" t="inlineStr">
        <is>
          <t>CLP</t>
        </is>
      </c>
      <c r="U166" s="158" t="inlineStr">
        <is>
          <t>Carga LH 18-06-26</t>
        </is>
      </c>
      <c r="V166" s="158" t="inlineStr">
        <is>
          <t>2026-06-18</t>
        </is>
      </c>
    </row>
    <row r="167" ht="14" customHeight="1" s="176">
      <c r="A167" s="165" t="inlineStr">
        <is>
          <t>CR-0164</t>
        </is>
      </c>
      <c r="B167" s="165" t="inlineStr">
        <is>
          <t>2026/27</t>
        </is>
      </c>
      <c r="C167" s="230" t="n">
        <v>46052</v>
      </c>
      <c r="D167" s="165" t="inlineStr">
        <is>
          <t>413</t>
        </is>
      </c>
      <c r="E167" s="165" t="inlineStr">
        <is>
          <t>COMPRA</t>
        </is>
      </c>
      <c r="F167" s="160" t="inlineStr">
        <is>
          <t>Mega Catalina</t>
        </is>
      </c>
      <c r="G167" s="160" t="inlineStr">
        <is>
          <t>EUREKA - 1999 (10,6 Ha.)</t>
        </is>
      </c>
      <c r="H167" s="160" t="n"/>
      <c r="I167" s="160" t="n"/>
      <c r="J167" s="165" t="inlineStr">
        <is>
          <t>LABORES OPERACIONALES</t>
        </is>
      </c>
      <c r="K167" s="165" t="inlineStr">
        <is>
          <t>OTROS SERVICIOS</t>
        </is>
      </c>
      <c r="L167" s="165" t="inlineStr">
        <is>
          <t>SERV.CONTRATISTA</t>
        </is>
      </c>
      <c r="M167" s="165" t="n"/>
      <c r="N167" s="165" t="inlineStr">
        <is>
          <t>.   .   -</t>
        </is>
      </c>
      <c r="O167" s="229" t="inlineStr">
        <is>
          <t>ENERO</t>
        </is>
      </c>
      <c r="P167" s="165" t="n">
        <v>5</v>
      </c>
      <c r="Q167" s="162" t="n">
        <v>239200</v>
      </c>
      <c r="R167" s="167" t="n"/>
      <c r="S167" s="168" t="n">
        <v>239200</v>
      </c>
      <c r="T167" s="165" t="inlineStr">
        <is>
          <t>CLP</t>
        </is>
      </c>
      <c r="U167" s="165" t="inlineStr">
        <is>
          <t>Carga LH 18-06-26</t>
        </is>
      </c>
      <c r="V167" s="165" t="inlineStr">
        <is>
          <t>2026-06-18</t>
        </is>
      </c>
    </row>
    <row r="168" ht="14" customHeight="1" s="176">
      <c r="A168" s="158" t="inlineStr">
        <is>
          <t>CR-0165</t>
        </is>
      </c>
      <c r="B168" s="158" t="inlineStr">
        <is>
          <t>2026/27</t>
        </is>
      </c>
      <c r="C168" s="228" t="n">
        <v>46052</v>
      </c>
      <c r="D168" s="158" t="inlineStr">
        <is>
          <t>413</t>
        </is>
      </c>
      <c r="E168" s="158" t="inlineStr">
        <is>
          <t>COMPRA</t>
        </is>
      </c>
      <c r="F168" s="160" t="inlineStr">
        <is>
          <t>Mega Catalina</t>
        </is>
      </c>
      <c r="G168" s="160" t="inlineStr">
        <is>
          <t>EUREKA - 2016 (14,4 Ha.)</t>
        </is>
      </c>
      <c r="H168" s="160" t="n"/>
      <c r="I168" s="160" t="n"/>
      <c r="J168" s="158" t="inlineStr">
        <is>
          <t>LABORES OPERACIONALES</t>
        </is>
      </c>
      <c r="K168" s="158" t="inlineStr">
        <is>
          <t>OTROS SERVICIOS</t>
        </is>
      </c>
      <c r="L168" s="158" t="inlineStr">
        <is>
          <t>SERV.CONTRATISTA</t>
        </is>
      </c>
      <c r="M168" s="158" t="n"/>
      <c r="N168" s="158" t="inlineStr">
        <is>
          <t>.   .   -</t>
        </is>
      </c>
      <c r="O168" s="229" t="inlineStr">
        <is>
          <t>ENERO</t>
        </is>
      </c>
      <c r="P168" s="158" t="n">
        <v>5</v>
      </c>
      <c r="Q168" s="162" t="n">
        <v>239200</v>
      </c>
      <c r="R168" s="163" t="n"/>
      <c r="S168" s="164" t="n">
        <v>239200</v>
      </c>
      <c r="T168" s="158" t="inlineStr">
        <is>
          <t>CLP</t>
        </is>
      </c>
      <c r="U168" s="158" t="inlineStr">
        <is>
          <t>Carga LH 18-06-26</t>
        </is>
      </c>
      <c r="V168" s="158" t="inlineStr">
        <is>
          <t>2026-06-18</t>
        </is>
      </c>
    </row>
    <row r="169" ht="14" customHeight="1" s="176">
      <c r="A169" s="165" t="inlineStr">
        <is>
          <t>CR-0166</t>
        </is>
      </c>
      <c r="B169" s="165" t="inlineStr">
        <is>
          <t>2026/27</t>
        </is>
      </c>
      <c r="C169" s="230" t="n">
        <v>46052</v>
      </c>
      <c r="D169" s="165" t="inlineStr">
        <is>
          <t>413</t>
        </is>
      </c>
      <c r="E169" s="165" t="inlineStr">
        <is>
          <t>COMPRA</t>
        </is>
      </c>
      <c r="F169" s="160" t="inlineStr">
        <is>
          <t>Mega Catalina</t>
        </is>
      </c>
      <c r="G169" s="160" t="inlineStr">
        <is>
          <t>FINO 49 - 1999 (7,7 Ha.)</t>
        </is>
      </c>
      <c r="H169" s="160" t="n"/>
      <c r="I169" s="160" t="n"/>
      <c r="J169" s="165" t="inlineStr">
        <is>
          <t>LABORES OPERACIONALES</t>
        </is>
      </c>
      <c r="K169" s="165" t="inlineStr">
        <is>
          <t>OTROS SERVICIOS</t>
        </is>
      </c>
      <c r="L169" s="165" t="inlineStr">
        <is>
          <t>SERV.CONTRATISTA</t>
        </is>
      </c>
      <c r="M169" s="165" t="n"/>
      <c r="N169" s="165" t="inlineStr">
        <is>
          <t>.   .   -</t>
        </is>
      </c>
      <c r="O169" s="229" t="inlineStr">
        <is>
          <t>ENERO</t>
        </is>
      </c>
      <c r="P169" s="165" t="n">
        <v>5</v>
      </c>
      <c r="Q169" s="162" t="n">
        <v>165600</v>
      </c>
      <c r="R169" s="167" t="n"/>
      <c r="S169" s="168" t="n">
        <v>165600</v>
      </c>
      <c r="T169" s="165" t="inlineStr">
        <is>
          <t>CLP</t>
        </is>
      </c>
      <c r="U169" s="165" t="inlineStr">
        <is>
          <t>Carga LH 18-06-26</t>
        </is>
      </c>
      <c r="V169" s="165" t="inlineStr">
        <is>
          <t>2026-06-18</t>
        </is>
      </c>
    </row>
    <row r="170" ht="14" customHeight="1" s="176">
      <c r="A170" s="158" t="inlineStr">
        <is>
          <t>CR-0167</t>
        </is>
      </c>
      <c r="B170" s="158" t="inlineStr">
        <is>
          <t>2026/27</t>
        </is>
      </c>
      <c r="C170" s="228" t="n">
        <v>46052</v>
      </c>
      <c r="D170" s="158" t="inlineStr">
        <is>
          <t>413</t>
        </is>
      </c>
      <c r="E170" s="158" t="inlineStr">
        <is>
          <t>COMPRA</t>
        </is>
      </c>
      <c r="F170" s="160" t="inlineStr">
        <is>
          <t>Mega Catalina</t>
        </is>
      </c>
      <c r="G170" s="160" t="inlineStr">
        <is>
          <t>NO USAR NARANJAS CAMBRIA (4,2 Hta.)</t>
        </is>
      </c>
      <c r="H170" s="160" t="n"/>
      <c r="I170" s="160" t="n"/>
      <c r="J170" s="158" t="inlineStr">
        <is>
          <t>LABORES OPERACIONALES</t>
        </is>
      </c>
      <c r="K170" s="158" t="inlineStr">
        <is>
          <t>OTROS SERVICIOS</t>
        </is>
      </c>
      <c r="L170" s="158" t="inlineStr">
        <is>
          <t>SERV.CONTRATISTA</t>
        </is>
      </c>
      <c r="M170" s="158" t="n"/>
      <c r="N170" s="158" t="inlineStr">
        <is>
          <t>.   .   -</t>
        </is>
      </c>
      <c r="O170" s="229" t="inlineStr">
        <is>
          <t>ENERO</t>
        </is>
      </c>
      <c r="P170" s="158" t="n">
        <v>5</v>
      </c>
      <c r="Q170" s="162" t="n">
        <v>64400</v>
      </c>
      <c r="R170" s="163" t="n"/>
      <c r="S170" s="164" t="n">
        <v>64400</v>
      </c>
      <c r="T170" s="158" t="inlineStr">
        <is>
          <t>CLP</t>
        </is>
      </c>
      <c r="U170" s="158" t="inlineStr">
        <is>
          <t>Carga LH 18-06-26</t>
        </is>
      </c>
      <c r="V170" s="158" t="inlineStr">
        <is>
          <t>2026-06-18</t>
        </is>
      </c>
    </row>
    <row r="171" ht="14" customHeight="1" s="176">
      <c r="A171" s="165" t="inlineStr">
        <is>
          <t>CR-0168</t>
        </is>
      </c>
      <c r="B171" s="165" t="inlineStr">
        <is>
          <t>2026/27</t>
        </is>
      </c>
      <c r="C171" s="230" t="n">
        <v>46052</v>
      </c>
      <c r="D171" s="165" t="inlineStr">
        <is>
          <t>413</t>
        </is>
      </c>
      <c r="E171" s="165" t="inlineStr">
        <is>
          <t>COMPRA</t>
        </is>
      </c>
      <c r="F171" s="160" t="inlineStr">
        <is>
          <t>Mega Catalina</t>
        </is>
      </c>
      <c r="G171" s="160" t="inlineStr">
        <is>
          <t>MURCOTT - 2007 (21 Ha.)</t>
        </is>
      </c>
      <c r="H171" s="160" t="n"/>
      <c r="I171" s="160" t="n"/>
      <c r="J171" s="165" t="inlineStr">
        <is>
          <t>LABORES OPERACIONALES</t>
        </is>
      </c>
      <c r="K171" s="165" t="inlineStr">
        <is>
          <t>OTROS SERVICIOS</t>
        </is>
      </c>
      <c r="L171" s="165" t="inlineStr">
        <is>
          <t>SERV.CONTRATISTA</t>
        </is>
      </c>
      <c r="M171" s="165" t="n"/>
      <c r="N171" s="165" t="inlineStr">
        <is>
          <t>.   .   -</t>
        </is>
      </c>
      <c r="O171" s="229" t="inlineStr">
        <is>
          <t>ENERO</t>
        </is>
      </c>
      <c r="P171" s="165" t="n">
        <v>5</v>
      </c>
      <c r="Q171" s="162" t="n">
        <v>386400</v>
      </c>
      <c r="R171" s="167" t="n"/>
      <c r="S171" s="168" t="n">
        <v>386400</v>
      </c>
      <c r="T171" s="165" t="inlineStr">
        <is>
          <t>CLP</t>
        </is>
      </c>
      <c r="U171" s="165" t="inlineStr">
        <is>
          <t>Carga LH 18-06-26</t>
        </is>
      </c>
      <c r="V171" s="165" t="inlineStr">
        <is>
          <t>2026-06-18</t>
        </is>
      </c>
    </row>
    <row r="172" ht="14" customHeight="1" s="176">
      <c r="A172" s="158" t="inlineStr">
        <is>
          <t>CR-0169</t>
        </is>
      </c>
      <c r="B172" s="158" t="inlineStr">
        <is>
          <t>2026/27</t>
        </is>
      </c>
      <c r="C172" s="228" t="n">
        <v>46053</v>
      </c>
      <c r="D172" s="158" t="inlineStr"/>
      <c r="E172" s="158" t="inlineStr">
        <is>
          <t>COMPRA</t>
        </is>
      </c>
      <c r="F172" s="160" t="inlineStr">
        <is>
          <t>Mega Catalina</t>
        </is>
      </c>
      <c r="G172" s="160" t="inlineStr">
        <is>
          <t>INJERTO TIMPSON - 2018 (3,8 Ha.)</t>
        </is>
      </c>
      <c r="H172" s="160" t="n"/>
      <c r="I172" s="160" t="n"/>
      <c r="J172" s="158" t="inlineStr">
        <is>
          <t>ENERGIA Y AGUA</t>
        </is>
      </c>
      <c r="K172" s="158" t="inlineStr">
        <is>
          <t>SUMIN. ELECTRICO</t>
        </is>
      </c>
      <c r="L172" s="158" t="inlineStr">
        <is>
          <t>CONSUMO ELECTRICO</t>
        </is>
      </c>
      <c r="M172" s="158" t="n"/>
      <c r="N172" s="158" t="inlineStr">
        <is>
          <t>.   .   -</t>
        </is>
      </c>
      <c r="O172" s="229" t="inlineStr">
        <is>
          <t>ENERO</t>
        </is>
      </c>
      <c r="P172" s="158" t="n">
        <v>5</v>
      </c>
      <c r="Q172" s="162" t="n">
        <v>211602</v>
      </c>
      <c r="R172" s="163" t="n"/>
      <c r="S172" s="164" t="n">
        <v>211602</v>
      </c>
      <c r="T172" s="158" t="inlineStr">
        <is>
          <t>CLP</t>
        </is>
      </c>
      <c r="U172" s="158" t="inlineStr">
        <is>
          <t>Carga LH 18-06-26</t>
        </is>
      </c>
      <c r="V172" s="158" t="inlineStr">
        <is>
          <t>2026-06-18</t>
        </is>
      </c>
    </row>
    <row r="173" ht="14" customHeight="1" s="176">
      <c r="A173" s="165" t="inlineStr">
        <is>
          <t>CR-0170</t>
        </is>
      </c>
      <c r="B173" s="165" t="inlineStr">
        <is>
          <t>2026/27</t>
        </is>
      </c>
      <c r="C173" s="230" t="n">
        <v>46053</v>
      </c>
      <c r="D173" s="165" t="inlineStr"/>
      <c r="E173" s="165" t="inlineStr">
        <is>
          <t>COMPRA</t>
        </is>
      </c>
      <c r="F173" s="160" t="inlineStr">
        <is>
          <t>Mega Catalina</t>
        </is>
      </c>
      <c r="G173" s="160" t="inlineStr">
        <is>
          <t>INJERTO TIMPSON - 2019 (4,2 Ha.)</t>
        </is>
      </c>
      <c r="H173" s="160" t="n"/>
      <c r="I173" s="160" t="n"/>
      <c r="J173" s="165" t="inlineStr">
        <is>
          <t>ENERGIA Y AGUA</t>
        </is>
      </c>
      <c r="K173" s="165" t="inlineStr">
        <is>
          <t>SUMIN. ELECTRICO</t>
        </is>
      </c>
      <c r="L173" s="165" t="inlineStr">
        <is>
          <t>CONSUMO ELECTRICO</t>
        </is>
      </c>
      <c r="M173" s="165" t="n"/>
      <c r="N173" s="165" t="inlineStr">
        <is>
          <t>.   .   -</t>
        </is>
      </c>
      <c r="O173" s="229" t="inlineStr">
        <is>
          <t>ENERO</t>
        </is>
      </c>
      <c r="P173" s="165" t="n">
        <v>5</v>
      </c>
      <c r="Q173" s="162" t="n">
        <v>233876</v>
      </c>
      <c r="R173" s="167" t="n"/>
      <c r="S173" s="168" t="n">
        <v>233876</v>
      </c>
      <c r="T173" s="165" t="inlineStr">
        <is>
          <t>CLP</t>
        </is>
      </c>
      <c r="U173" s="165" t="inlineStr">
        <is>
          <t>Carga LH 18-06-26</t>
        </is>
      </c>
      <c r="V173" s="165" t="inlineStr">
        <is>
          <t>2026-06-18</t>
        </is>
      </c>
    </row>
    <row r="174" ht="14" customHeight="1" s="176">
      <c r="A174" s="158" t="inlineStr">
        <is>
          <t>CR-0171</t>
        </is>
      </c>
      <c r="B174" s="158" t="inlineStr">
        <is>
          <t>2026/27</t>
        </is>
      </c>
      <c r="C174" s="228" t="n">
        <v>46053</v>
      </c>
      <c r="D174" s="158" t="inlineStr"/>
      <c r="E174" s="158" t="inlineStr">
        <is>
          <t>COMPRA</t>
        </is>
      </c>
      <c r="F174" s="160" t="inlineStr">
        <is>
          <t>Mega Catalina</t>
        </is>
      </c>
      <c r="G174" s="160" t="inlineStr">
        <is>
          <t>SWEET CELEBRATION - 2015 (7,14 Ha.)</t>
        </is>
      </c>
      <c r="H174" s="160" t="n"/>
      <c r="I174" s="160" t="n"/>
      <c r="J174" s="158" t="inlineStr">
        <is>
          <t>ENERGIA Y AGUA</t>
        </is>
      </c>
      <c r="K174" s="158" t="inlineStr">
        <is>
          <t>SUMIN. ELECTRICO</t>
        </is>
      </c>
      <c r="L174" s="158" t="inlineStr">
        <is>
          <t>CONSUMO ELECTRICO</t>
        </is>
      </c>
      <c r="M174" s="158" t="n"/>
      <c r="N174" s="158" t="inlineStr">
        <is>
          <t>.   .   -</t>
        </is>
      </c>
      <c r="O174" s="229" t="inlineStr">
        <is>
          <t>ENERO</t>
        </is>
      </c>
      <c r="P174" s="158" t="n">
        <v>5</v>
      </c>
      <c r="Q174" s="162" t="n">
        <v>397589</v>
      </c>
      <c r="R174" s="163" t="n"/>
      <c r="S174" s="164" t="n">
        <v>397589</v>
      </c>
      <c r="T174" s="158" t="inlineStr">
        <is>
          <t>CLP</t>
        </is>
      </c>
      <c r="U174" s="158" t="inlineStr">
        <is>
          <t>Carga LH 18-06-26</t>
        </is>
      </c>
      <c r="V174" s="158" t="inlineStr">
        <is>
          <t>2026-06-18</t>
        </is>
      </c>
    </row>
    <row r="175" ht="14" customHeight="1" s="176">
      <c r="A175" s="165" t="inlineStr">
        <is>
          <t>CR-0172</t>
        </is>
      </c>
      <c r="B175" s="165" t="inlineStr">
        <is>
          <t>2026/27</t>
        </is>
      </c>
      <c r="C175" s="230" t="n">
        <v>46055</v>
      </c>
      <c r="D175" s="165" t="inlineStr">
        <is>
          <t>109590</t>
        </is>
      </c>
      <c r="E175" s="165" t="inlineStr">
        <is>
          <t>COMPRA</t>
        </is>
      </c>
      <c r="F175" s="160" t="inlineStr">
        <is>
          <t>Sin asignar</t>
        </is>
      </c>
      <c r="G175" s="160" t="inlineStr">
        <is>
          <t>BODEGA</t>
        </is>
      </c>
      <c r="H175" s="160" t="n"/>
      <c r="I175" s="160" t="n"/>
      <c r="J175" s="165" t="inlineStr">
        <is>
          <t>HERRAMIENTAS MENORES</t>
        </is>
      </c>
      <c r="K175" s="165" t="inlineStr">
        <is>
          <t>BODEGA</t>
        </is>
      </c>
      <c r="L175" s="165" t="inlineStr">
        <is>
          <t>O/001357 MANGUERA P</t>
        </is>
      </c>
      <c r="M175" s="165" t="n"/>
      <c r="N175" s="165" t="inlineStr">
        <is>
          <t>.   .   -</t>
        </is>
      </c>
      <c r="O175" s="229" t="inlineStr">
        <is>
          <t>FEBRERO</t>
        </is>
      </c>
      <c r="P175" s="165" t="n">
        <v>5</v>
      </c>
      <c r="Q175" s="162" t="n">
        <v>26050</v>
      </c>
      <c r="R175" s="167" t="n"/>
      <c r="S175" s="168" t="n">
        <v>26050</v>
      </c>
      <c r="T175" s="165" t="inlineStr">
        <is>
          <t>CLP</t>
        </is>
      </c>
      <c r="U175" s="165" t="inlineStr">
        <is>
          <t>Carga LH 18-06-26</t>
        </is>
      </c>
      <c r="V175" s="165" t="inlineStr">
        <is>
          <t>2026-06-18</t>
        </is>
      </c>
    </row>
    <row r="176" ht="14" customHeight="1" s="176">
      <c r="A176" s="158" t="inlineStr">
        <is>
          <t>CR-0173</t>
        </is>
      </c>
      <c r="B176" s="158" t="inlineStr">
        <is>
          <t>2026/27</t>
        </is>
      </c>
      <c r="C176" s="228" t="n">
        <v>46056</v>
      </c>
      <c r="D176" s="158" t="inlineStr">
        <is>
          <t>1006</t>
        </is>
      </c>
      <c r="E176" s="158" t="inlineStr">
        <is>
          <t>COMPRA</t>
        </is>
      </c>
      <c r="F176" s="160" t="inlineStr">
        <is>
          <t>Mega Catalina</t>
        </is>
      </c>
      <c r="G176" s="160" t="inlineStr">
        <is>
          <t>EUREKA - 1999 (22,5 Ha.)</t>
        </is>
      </c>
      <c r="H176" s="160" t="n"/>
      <c r="I176" s="160" t="n"/>
      <c r="J176" s="158" t="inlineStr">
        <is>
          <t>LABORES OPERACIONALES</t>
        </is>
      </c>
      <c r="K176" s="158" t="inlineStr">
        <is>
          <t>COSECHA</t>
        </is>
      </c>
      <c r="L176" s="158" t="inlineStr">
        <is>
          <t>SERV.CONTRATISTA</t>
        </is>
      </c>
      <c r="M176" s="158" t="n"/>
      <c r="N176" s="158" t="inlineStr">
        <is>
          <t>.   .   -</t>
        </is>
      </c>
      <c r="O176" s="229" t="inlineStr">
        <is>
          <t>FEBRERO</t>
        </is>
      </c>
      <c r="P176" s="158" t="n">
        <v>5</v>
      </c>
      <c r="Q176" s="162" t="n">
        <v>456030</v>
      </c>
      <c r="R176" s="163" t="n"/>
      <c r="S176" s="164" t="n">
        <v>456030</v>
      </c>
      <c r="T176" s="158" t="inlineStr">
        <is>
          <t>CLP</t>
        </is>
      </c>
      <c r="U176" s="158" t="inlineStr">
        <is>
          <t>Carga LH 18-06-26</t>
        </is>
      </c>
      <c r="V176" s="158" t="inlineStr">
        <is>
          <t>2026-06-18</t>
        </is>
      </c>
    </row>
    <row r="177" ht="14" customHeight="1" s="176">
      <c r="A177" s="165" t="inlineStr">
        <is>
          <t>CR-0174</t>
        </is>
      </c>
      <c r="B177" s="165" t="inlineStr">
        <is>
          <t>2026/27</t>
        </is>
      </c>
      <c r="C177" s="230" t="n">
        <v>46056</v>
      </c>
      <c r="D177" s="165" t="inlineStr">
        <is>
          <t>160</t>
        </is>
      </c>
      <c r="E177" s="165" t="inlineStr">
        <is>
          <t>COMPRA</t>
        </is>
      </c>
      <c r="F177" s="160" t="inlineStr">
        <is>
          <t>Mega Catalina</t>
        </is>
      </c>
      <c r="G177" s="160" t="inlineStr">
        <is>
          <t>EUREKA - 1999 (10,6 Ha.)</t>
        </is>
      </c>
      <c r="H177" s="160" t="n"/>
      <c r="I177" s="160" t="n"/>
      <c r="J177" s="165" t="inlineStr">
        <is>
          <t>LABORES OPERACIONALES</t>
        </is>
      </c>
      <c r="K177" s="165" t="inlineStr">
        <is>
          <t>PODA</t>
        </is>
      </c>
      <c r="L177" s="165" t="inlineStr">
        <is>
          <t>SERV.CONTRATISTA</t>
        </is>
      </c>
      <c r="M177" s="165" t="n"/>
      <c r="N177" s="165" t="inlineStr">
        <is>
          <t>.   .   -</t>
        </is>
      </c>
      <c r="O177" s="229" t="inlineStr">
        <is>
          <t>FEBRERO</t>
        </is>
      </c>
      <c r="P177" s="165" t="n">
        <v>5</v>
      </c>
      <c r="Q177" s="162" t="n">
        <v>501000</v>
      </c>
      <c r="R177" s="167" t="n"/>
      <c r="S177" s="168" t="n">
        <v>501000</v>
      </c>
      <c r="T177" s="165" t="inlineStr">
        <is>
          <t>CLP</t>
        </is>
      </c>
      <c r="U177" s="165" t="inlineStr">
        <is>
          <t>Carga LH 18-06-26</t>
        </is>
      </c>
      <c r="V177" s="165" t="inlineStr">
        <is>
          <t>2026-06-18</t>
        </is>
      </c>
    </row>
    <row r="178" ht="14" customHeight="1" s="176">
      <c r="A178" s="158" t="inlineStr">
        <is>
          <t>CR-0175</t>
        </is>
      </c>
      <c r="B178" s="158" t="inlineStr">
        <is>
          <t>2026/27</t>
        </is>
      </c>
      <c r="C178" s="228" t="n">
        <v>46056</v>
      </c>
      <c r="D178" s="158" t="inlineStr">
        <is>
          <t>624</t>
        </is>
      </c>
      <c r="E178" s="158" t="inlineStr">
        <is>
          <t>COMPRA</t>
        </is>
      </c>
      <c r="F178" s="160" t="inlineStr">
        <is>
          <t>Mega Catalina</t>
        </is>
      </c>
      <c r="G178" s="160" t="inlineStr">
        <is>
          <t>EUREKA - 1999 (22,5 Ha.)</t>
        </is>
      </c>
      <c r="H178" s="160" t="n"/>
      <c r="I178" s="160" t="n"/>
      <c r="J178" s="158" t="inlineStr">
        <is>
          <t>LABORES OPERACIONALES</t>
        </is>
      </c>
      <c r="K178" s="158" t="inlineStr">
        <is>
          <t>COSECHA</t>
        </is>
      </c>
      <c r="L178" s="158" t="inlineStr">
        <is>
          <t>SERV.CONTRATISTA</t>
        </is>
      </c>
      <c r="M178" s="158" t="n"/>
      <c r="N178" s="158" t="inlineStr">
        <is>
          <t>.   .   -</t>
        </is>
      </c>
      <c r="O178" s="229" t="inlineStr">
        <is>
          <t>FEBRERO</t>
        </is>
      </c>
      <c r="P178" s="158" t="n">
        <v>5</v>
      </c>
      <c r="Q178" s="162" t="n">
        <v>1114200</v>
      </c>
      <c r="R178" s="163" t="n"/>
      <c r="S178" s="164" t="n">
        <v>1114200</v>
      </c>
      <c r="T178" s="158" t="inlineStr">
        <is>
          <t>CLP</t>
        </is>
      </c>
      <c r="U178" s="158" t="inlineStr">
        <is>
          <t>Carga LH 18-06-26</t>
        </is>
      </c>
      <c r="V178" s="158" t="inlineStr">
        <is>
          <t>2026-06-18</t>
        </is>
      </c>
    </row>
    <row r="179" ht="14" customHeight="1" s="176">
      <c r="A179" s="165" t="inlineStr">
        <is>
          <t>CR-0176</t>
        </is>
      </c>
      <c r="B179" s="165" t="inlineStr">
        <is>
          <t>2026/27</t>
        </is>
      </c>
      <c r="C179" s="230" t="n">
        <v>46056</v>
      </c>
      <c r="D179" s="165" t="inlineStr">
        <is>
          <t>359</t>
        </is>
      </c>
      <c r="E179" s="165" t="inlineStr">
        <is>
          <t>COMPRA</t>
        </is>
      </c>
      <c r="F179" s="160" t="inlineStr">
        <is>
          <t>El Molle</t>
        </is>
      </c>
      <c r="G179" s="160" t="inlineStr">
        <is>
          <t>ARRUFATINA - 2017 (5,74 Ha.)</t>
        </is>
      </c>
      <c r="H179" s="160" t="n"/>
      <c r="I179" s="160" t="n"/>
      <c r="J179" s="165" t="inlineStr">
        <is>
          <t>LABORES OPERACIONALES</t>
        </is>
      </c>
      <c r="K179" s="165" t="inlineStr">
        <is>
          <t>APLICACIONES</t>
        </is>
      </c>
      <c r="L179" s="165" t="inlineStr">
        <is>
          <t>SERV.CONTRATISTA</t>
        </is>
      </c>
      <c r="M179" s="165" t="n"/>
      <c r="N179" s="165" t="inlineStr">
        <is>
          <t>.   .   -</t>
        </is>
      </c>
      <c r="O179" s="229" t="inlineStr">
        <is>
          <t>FEBRERO</t>
        </is>
      </c>
      <c r="P179" s="165" t="n">
        <v>5</v>
      </c>
      <c r="Q179" s="162" t="n">
        <v>150000</v>
      </c>
      <c r="R179" s="167" t="n"/>
      <c r="S179" s="168" t="n">
        <v>150000</v>
      </c>
      <c r="T179" s="165" t="inlineStr">
        <is>
          <t>CLP</t>
        </is>
      </c>
      <c r="U179" s="165" t="inlineStr">
        <is>
          <t>Carga LH 18-06-26</t>
        </is>
      </c>
      <c r="V179" s="165" t="inlineStr">
        <is>
          <t>2026-06-18</t>
        </is>
      </c>
    </row>
    <row r="180" ht="14" customHeight="1" s="176">
      <c r="A180" s="158" t="inlineStr">
        <is>
          <t>CR-0177</t>
        </is>
      </c>
      <c r="B180" s="158" t="inlineStr">
        <is>
          <t>2026/27</t>
        </is>
      </c>
      <c r="C180" s="228" t="n">
        <v>46056</v>
      </c>
      <c r="D180" s="158" t="inlineStr">
        <is>
          <t>359</t>
        </is>
      </c>
      <c r="E180" s="158" t="inlineStr">
        <is>
          <t>COMPRA</t>
        </is>
      </c>
      <c r="F180" s="160" t="inlineStr">
        <is>
          <t>El Molle</t>
        </is>
      </c>
      <c r="G180" s="160" t="inlineStr">
        <is>
          <t>ARRUFATINA - 2017 (5,74 Ha.)</t>
        </is>
      </c>
      <c r="H180" s="160" t="n"/>
      <c r="I180" s="160" t="n"/>
      <c r="J180" s="158" t="inlineStr">
        <is>
          <t>LABORES OPERACIONALES</t>
        </is>
      </c>
      <c r="K180" s="158" t="inlineStr">
        <is>
          <t>LABORES VARIAS</t>
        </is>
      </c>
      <c r="L180" s="158" t="inlineStr">
        <is>
          <t>SERV.CONTRATISTA</t>
        </is>
      </c>
      <c r="M180" s="158" t="n"/>
      <c r="N180" s="158" t="inlineStr">
        <is>
          <t>.   .   -</t>
        </is>
      </c>
      <c r="O180" s="229" t="inlineStr">
        <is>
          <t>FEBRERO</t>
        </is>
      </c>
      <c r="P180" s="158" t="n">
        <v>5</v>
      </c>
      <c r="Q180" s="162" t="n">
        <v>600000</v>
      </c>
      <c r="R180" s="163" t="n"/>
      <c r="S180" s="164" t="n">
        <v>600000</v>
      </c>
      <c r="T180" s="158" t="inlineStr">
        <is>
          <t>CLP</t>
        </is>
      </c>
      <c r="U180" s="158" t="inlineStr">
        <is>
          <t>Carga LH 18-06-26</t>
        </is>
      </c>
      <c r="V180" s="158" t="inlineStr">
        <is>
          <t>2026-06-18</t>
        </is>
      </c>
    </row>
    <row r="181" ht="14" customHeight="1" s="176">
      <c r="A181" s="165" t="inlineStr">
        <is>
          <t>CR-0178</t>
        </is>
      </c>
      <c r="B181" s="165" t="inlineStr">
        <is>
          <t>2026/27</t>
        </is>
      </c>
      <c r="C181" s="230" t="n">
        <v>46056</v>
      </c>
      <c r="D181" s="165" t="inlineStr">
        <is>
          <t>359</t>
        </is>
      </c>
      <c r="E181" s="165" t="inlineStr">
        <is>
          <t>COMPRA</t>
        </is>
      </c>
      <c r="F181" s="160" t="inlineStr">
        <is>
          <t>El Molle</t>
        </is>
      </c>
      <c r="G181" s="160" t="inlineStr">
        <is>
          <t>ORONULES - 2017 (2,85 Ha.)</t>
        </is>
      </c>
      <c r="H181" s="160" t="n"/>
      <c r="I181" s="160" t="n"/>
      <c r="J181" s="165" t="inlineStr">
        <is>
          <t>LABORES OPERACIONALES</t>
        </is>
      </c>
      <c r="K181" s="165" t="inlineStr">
        <is>
          <t>LABORES VARIAS</t>
        </is>
      </c>
      <c r="L181" s="165" t="inlineStr">
        <is>
          <t>SERV.CONTRATISTA</t>
        </is>
      </c>
      <c r="M181" s="165" t="n"/>
      <c r="N181" s="165" t="inlineStr">
        <is>
          <t>.   .   -</t>
        </is>
      </c>
      <c r="O181" s="229" t="inlineStr">
        <is>
          <t>FEBRERO</t>
        </is>
      </c>
      <c r="P181" s="165" t="n">
        <v>5</v>
      </c>
      <c r="Q181" s="162" t="n">
        <v>337500</v>
      </c>
      <c r="R181" s="167" t="n"/>
      <c r="S181" s="168" t="n">
        <v>337500</v>
      </c>
      <c r="T181" s="165" t="inlineStr">
        <is>
          <t>CLP</t>
        </is>
      </c>
      <c r="U181" s="165" t="inlineStr">
        <is>
          <t>Carga LH 18-06-26</t>
        </is>
      </c>
      <c r="V181" s="165" t="inlineStr">
        <is>
          <t>2026-06-18</t>
        </is>
      </c>
    </row>
    <row r="182" ht="14" customHeight="1" s="176">
      <c r="A182" s="158" t="inlineStr">
        <is>
          <t>CR-0179</t>
        </is>
      </c>
      <c r="B182" s="158" t="inlineStr">
        <is>
          <t>2026/27</t>
        </is>
      </c>
      <c r="C182" s="228" t="n">
        <v>46056</v>
      </c>
      <c r="D182" s="158" t="inlineStr">
        <is>
          <t>359</t>
        </is>
      </c>
      <c r="E182" s="158" t="inlineStr">
        <is>
          <t>COMPRA</t>
        </is>
      </c>
      <c r="F182" s="160" t="inlineStr">
        <is>
          <t>Mega Catalina</t>
        </is>
      </c>
      <c r="G182" s="160" t="inlineStr">
        <is>
          <t>ORONULES - 2019 (2,5 Ha.)</t>
        </is>
      </c>
      <c r="H182" s="160" t="n"/>
      <c r="I182" s="160" t="n"/>
      <c r="J182" s="158" t="inlineStr">
        <is>
          <t>LABORES OPERACIONALES</t>
        </is>
      </c>
      <c r="K182" s="158" t="inlineStr">
        <is>
          <t>APLICACIONES</t>
        </is>
      </c>
      <c r="L182" s="158" t="inlineStr">
        <is>
          <t>SERV.CONTRATISTA</t>
        </is>
      </c>
      <c r="M182" s="158" t="n"/>
      <c r="N182" s="158" t="inlineStr">
        <is>
          <t>.   .   -</t>
        </is>
      </c>
      <c r="O182" s="229" t="inlineStr">
        <is>
          <t>FEBRERO</t>
        </is>
      </c>
      <c r="P182" s="158" t="n">
        <v>5</v>
      </c>
      <c r="Q182" s="162" t="n">
        <v>150000</v>
      </c>
      <c r="R182" s="163" t="n"/>
      <c r="S182" s="164" t="n">
        <v>150000</v>
      </c>
      <c r="T182" s="158" t="inlineStr">
        <is>
          <t>CLP</t>
        </is>
      </c>
      <c r="U182" s="158" t="inlineStr">
        <is>
          <t>Carga LH 18-06-26</t>
        </is>
      </c>
      <c r="V182" s="158" t="inlineStr">
        <is>
          <t>2026-06-18</t>
        </is>
      </c>
    </row>
    <row r="183" ht="14" customHeight="1" s="176">
      <c r="A183" s="165" t="inlineStr">
        <is>
          <t>CR-0180</t>
        </is>
      </c>
      <c r="B183" s="165" t="inlineStr">
        <is>
          <t>2026/27</t>
        </is>
      </c>
      <c r="C183" s="230" t="n">
        <v>46056</v>
      </c>
      <c r="D183" s="165" t="inlineStr">
        <is>
          <t>359</t>
        </is>
      </c>
      <c r="E183" s="165" t="inlineStr">
        <is>
          <t>COMPRA</t>
        </is>
      </c>
      <c r="F183" s="160" t="inlineStr">
        <is>
          <t>Mega Catalina</t>
        </is>
      </c>
      <c r="G183" s="160" t="inlineStr">
        <is>
          <t>ORONULES - 2019 (2,5 Ha.)</t>
        </is>
      </c>
      <c r="H183" s="160" t="n"/>
      <c r="I183" s="160" t="n"/>
      <c r="J183" s="165" t="inlineStr">
        <is>
          <t>LABORES OPERACIONALES</t>
        </is>
      </c>
      <c r="K183" s="165" t="inlineStr">
        <is>
          <t>LABORES VARIAS</t>
        </is>
      </c>
      <c r="L183" s="165" t="inlineStr">
        <is>
          <t>SERV.CONTRATISTA</t>
        </is>
      </c>
      <c r="M183" s="165" t="n"/>
      <c r="N183" s="165" t="inlineStr">
        <is>
          <t>.   .   -</t>
        </is>
      </c>
      <c r="O183" s="229" t="inlineStr">
        <is>
          <t>FEBRERO</t>
        </is>
      </c>
      <c r="P183" s="165" t="n">
        <v>5</v>
      </c>
      <c r="Q183" s="162" t="n">
        <v>450000</v>
      </c>
      <c r="R183" s="167" t="n"/>
      <c r="S183" s="168" t="n">
        <v>450000</v>
      </c>
      <c r="T183" s="165" t="inlineStr">
        <is>
          <t>CLP</t>
        </is>
      </c>
      <c r="U183" s="165" t="inlineStr">
        <is>
          <t>Carga LH 18-06-26</t>
        </is>
      </c>
      <c r="V183" s="165" t="inlineStr">
        <is>
          <t>2026-06-18</t>
        </is>
      </c>
    </row>
    <row r="184" ht="14" customHeight="1" s="176">
      <c r="A184" s="158" t="inlineStr">
        <is>
          <t>CR-0181</t>
        </is>
      </c>
      <c r="B184" s="158" t="inlineStr">
        <is>
          <t>2026/27</t>
        </is>
      </c>
      <c r="C184" s="228" t="n">
        <v>46056</v>
      </c>
      <c r="D184" s="158" t="inlineStr">
        <is>
          <t>359</t>
        </is>
      </c>
      <c r="E184" s="158" t="inlineStr">
        <is>
          <t>COMPRA</t>
        </is>
      </c>
      <c r="F184" s="160" t="inlineStr">
        <is>
          <t>El Molle</t>
        </is>
      </c>
      <c r="G184" s="160" t="inlineStr">
        <is>
          <t>OROGRANDE - 2007 (8,11 Ha.)</t>
        </is>
      </c>
      <c r="H184" s="160" t="n"/>
      <c r="I184" s="160" t="n"/>
      <c r="J184" s="158" t="inlineStr">
        <is>
          <t>LABORES OPERACIONALES</t>
        </is>
      </c>
      <c r="K184" s="158" t="inlineStr">
        <is>
          <t>APLICACIONES</t>
        </is>
      </c>
      <c r="L184" s="158" t="inlineStr">
        <is>
          <t>SERV.CONTRATISTA</t>
        </is>
      </c>
      <c r="M184" s="158" t="n"/>
      <c r="N184" s="158" t="inlineStr">
        <is>
          <t>.   .   -</t>
        </is>
      </c>
      <c r="O184" s="229" t="inlineStr">
        <is>
          <t>FEBRERO</t>
        </is>
      </c>
      <c r="P184" s="158" t="n">
        <v>5</v>
      </c>
      <c r="Q184" s="162" t="n">
        <v>150000</v>
      </c>
      <c r="R184" s="163" t="n"/>
      <c r="S184" s="164" t="n">
        <v>150000</v>
      </c>
      <c r="T184" s="158" t="inlineStr">
        <is>
          <t>CLP</t>
        </is>
      </c>
      <c r="U184" s="158" t="inlineStr">
        <is>
          <t>Carga LH 18-06-26</t>
        </is>
      </c>
      <c r="V184" s="158" t="inlineStr">
        <is>
          <t>2026-06-18</t>
        </is>
      </c>
    </row>
    <row r="185" ht="14" customHeight="1" s="176">
      <c r="A185" s="165" t="inlineStr">
        <is>
          <t>CR-0182</t>
        </is>
      </c>
      <c r="B185" s="165" t="inlineStr">
        <is>
          <t>2026/27</t>
        </is>
      </c>
      <c r="C185" s="230" t="n">
        <v>46056</v>
      </c>
      <c r="D185" s="165" t="inlineStr">
        <is>
          <t>359</t>
        </is>
      </c>
      <c r="E185" s="165" t="inlineStr">
        <is>
          <t>COMPRA</t>
        </is>
      </c>
      <c r="F185" s="160" t="inlineStr">
        <is>
          <t>El Molle</t>
        </is>
      </c>
      <c r="G185" s="160" t="inlineStr">
        <is>
          <t>WONDERFUL - 2002 (2,80 Ha.)</t>
        </is>
      </c>
      <c r="H185" s="160" t="n"/>
      <c r="I185" s="160" t="n"/>
      <c r="J185" s="165" t="inlineStr">
        <is>
          <t>LABORES OPERACIONALES</t>
        </is>
      </c>
      <c r="K185" s="165" t="inlineStr">
        <is>
          <t>PODA</t>
        </is>
      </c>
      <c r="L185" s="165" t="inlineStr">
        <is>
          <t>SERV.CONTRATISTA</t>
        </is>
      </c>
      <c r="M185" s="165" t="n"/>
      <c r="N185" s="165" t="inlineStr">
        <is>
          <t>.   .   -</t>
        </is>
      </c>
      <c r="O185" s="229" t="inlineStr">
        <is>
          <t>FEBRERO</t>
        </is>
      </c>
      <c r="P185" s="165" t="n">
        <v>5</v>
      </c>
      <c r="Q185" s="162" t="n">
        <v>225000</v>
      </c>
      <c r="R185" s="167" t="n"/>
      <c r="S185" s="168" t="n">
        <v>225000</v>
      </c>
      <c r="T185" s="165" t="inlineStr">
        <is>
          <t>CLP</t>
        </is>
      </c>
      <c r="U185" s="165" t="inlineStr">
        <is>
          <t>Carga LH 18-06-26</t>
        </is>
      </c>
      <c r="V185" s="165" t="inlineStr">
        <is>
          <t>2026-06-18</t>
        </is>
      </c>
    </row>
    <row r="186" ht="14" customHeight="1" s="176">
      <c r="A186" s="158" t="inlineStr">
        <is>
          <t>CR-0183</t>
        </is>
      </c>
      <c r="B186" s="158" t="inlineStr">
        <is>
          <t>2026/27</t>
        </is>
      </c>
      <c r="C186" s="228" t="n">
        <v>46056</v>
      </c>
      <c r="D186" s="158" t="inlineStr">
        <is>
          <t>359</t>
        </is>
      </c>
      <c r="E186" s="158" t="inlineStr">
        <is>
          <t>COMPRA</t>
        </is>
      </c>
      <c r="F186" s="160" t="inlineStr">
        <is>
          <t>El Molle</t>
        </is>
      </c>
      <c r="G186" s="160" t="inlineStr">
        <is>
          <t>WONDERFUL - 2002 (2,80 Ha.)</t>
        </is>
      </c>
      <c r="H186" s="160" t="n"/>
      <c r="I186" s="160" t="n"/>
      <c r="J186" s="158" t="inlineStr">
        <is>
          <t>LABORES OPERACIONALES</t>
        </is>
      </c>
      <c r="K186" s="158" t="inlineStr">
        <is>
          <t>LABORES VARIAS</t>
        </is>
      </c>
      <c r="L186" s="158" t="inlineStr">
        <is>
          <t>SERV.CONTRATISTA</t>
        </is>
      </c>
      <c r="M186" s="158" t="n"/>
      <c r="N186" s="158" t="inlineStr">
        <is>
          <t>.   .   -</t>
        </is>
      </c>
      <c r="O186" s="229" t="inlineStr">
        <is>
          <t>FEBRERO</t>
        </is>
      </c>
      <c r="P186" s="158" t="n">
        <v>5</v>
      </c>
      <c r="Q186" s="162" t="n">
        <v>337500</v>
      </c>
      <c r="R186" s="163" t="n"/>
      <c r="S186" s="164" t="n">
        <v>337500</v>
      </c>
      <c r="T186" s="158" t="inlineStr">
        <is>
          <t>CLP</t>
        </is>
      </c>
      <c r="U186" s="158" t="inlineStr">
        <is>
          <t>Carga LH 18-06-26</t>
        </is>
      </c>
      <c r="V186" s="158" t="inlineStr">
        <is>
          <t>2026-06-18</t>
        </is>
      </c>
    </row>
    <row r="187" ht="14" customHeight="1" s="176">
      <c r="A187" s="165" t="inlineStr">
        <is>
          <t>CR-0184</t>
        </is>
      </c>
      <c r="B187" s="165" t="inlineStr">
        <is>
          <t>2026/27</t>
        </is>
      </c>
      <c r="C187" s="230" t="n">
        <v>46056</v>
      </c>
      <c r="D187" s="165" t="inlineStr">
        <is>
          <t>359</t>
        </is>
      </c>
      <c r="E187" s="165" t="inlineStr">
        <is>
          <t>COMPRA</t>
        </is>
      </c>
      <c r="F187" s="160" t="inlineStr">
        <is>
          <t>El Molle</t>
        </is>
      </c>
      <c r="G187" s="160" t="inlineStr">
        <is>
          <t>WONDERFUL - 2007 (2,44 Ha.)</t>
        </is>
      </c>
      <c r="H187" s="160" t="n"/>
      <c r="I187" s="160" t="n"/>
      <c r="J187" s="165" t="inlineStr">
        <is>
          <t>LABORES OPERACIONALES</t>
        </is>
      </c>
      <c r="K187" s="165" t="inlineStr">
        <is>
          <t>LABORES VARIAS</t>
        </is>
      </c>
      <c r="L187" s="165" t="inlineStr">
        <is>
          <t>SERV.CONTRATISTA</t>
        </is>
      </c>
      <c r="M187" s="165" t="n"/>
      <c r="N187" s="165" t="inlineStr">
        <is>
          <t>.   .   -</t>
        </is>
      </c>
      <c r="O187" s="229" t="inlineStr">
        <is>
          <t>FEBRERO</t>
        </is>
      </c>
      <c r="P187" s="165" t="n">
        <v>5</v>
      </c>
      <c r="Q187" s="162" t="n">
        <v>150000</v>
      </c>
      <c r="R187" s="167" t="n"/>
      <c r="S187" s="168" t="n">
        <v>150000</v>
      </c>
      <c r="T187" s="165" t="inlineStr">
        <is>
          <t>CLP</t>
        </is>
      </c>
      <c r="U187" s="165" t="inlineStr">
        <is>
          <t>Carga LH 18-06-26</t>
        </is>
      </c>
      <c r="V187" s="165" t="inlineStr">
        <is>
          <t>2026-06-18</t>
        </is>
      </c>
    </row>
    <row r="188" ht="14" customHeight="1" s="176">
      <c r="A188" s="158" t="inlineStr">
        <is>
          <t>CR-0185</t>
        </is>
      </c>
      <c r="B188" s="158" t="inlineStr">
        <is>
          <t>2026/27</t>
        </is>
      </c>
      <c r="C188" s="228" t="n">
        <v>46056</v>
      </c>
      <c r="D188" s="158" t="inlineStr">
        <is>
          <t>237225</t>
        </is>
      </c>
      <c r="E188" s="158" t="inlineStr">
        <is>
          <t>COMPRA</t>
        </is>
      </c>
      <c r="F188" s="160" t="inlineStr">
        <is>
          <t>Sin asignar</t>
        </is>
      </c>
      <c r="G188" s="160" t="inlineStr">
        <is>
          <t>PACKING</t>
        </is>
      </c>
      <c r="H188" s="160" t="n"/>
      <c r="I188" s="160" t="n"/>
      <c r="J188" s="158" t="inlineStr">
        <is>
          <t>MATERIALES COSECHA</t>
        </is>
      </c>
      <c r="K188" s="158" t="inlineStr">
        <is>
          <t>INSUMOS PACKING</t>
        </is>
      </c>
      <c r="L188" s="158" t="inlineStr">
        <is>
          <t>O/001347 PILA ALCAL</t>
        </is>
      </c>
      <c r="M188" s="158" t="n"/>
      <c r="N188" s="158" t="inlineStr">
        <is>
          <t>.   .   -</t>
        </is>
      </c>
      <c r="O188" s="229" t="inlineStr">
        <is>
          <t>FEBRERO</t>
        </is>
      </c>
      <c r="P188" s="158" t="n">
        <v>5</v>
      </c>
      <c r="Q188" s="162" t="n">
        <v>8147</v>
      </c>
      <c r="R188" s="163" t="n"/>
      <c r="S188" s="164" t="n">
        <v>8147</v>
      </c>
      <c r="T188" s="158" t="inlineStr">
        <is>
          <t>CLP</t>
        </is>
      </c>
      <c r="U188" s="158" t="inlineStr">
        <is>
          <t>Carga LH 18-06-26</t>
        </is>
      </c>
      <c r="V188" s="158" t="inlineStr">
        <is>
          <t>2026-06-18</t>
        </is>
      </c>
    </row>
    <row r="189" ht="14" customHeight="1" s="176">
      <c r="A189" s="165" t="inlineStr">
        <is>
          <t>CR-0186</t>
        </is>
      </c>
      <c r="B189" s="165" t="inlineStr">
        <is>
          <t>2026/27</t>
        </is>
      </c>
      <c r="C189" s="230" t="n">
        <v>46056</v>
      </c>
      <c r="D189" s="165" t="inlineStr">
        <is>
          <t>237225</t>
        </is>
      </c>
      <c r="E189" s="165" t="inlineStr">
        <is>
          <t>COMPRA</t>
        </is>
      </c>
      <c r="F189" s="160" t="inlineStr">
        <is>
          <t>Sin asignar</t>
        </is>
      </c>
      <c r="G189" s="160" t="inlineStr">
        <is>
          <t>PACKING</t>
        </is>
      </c>
      <c r="H189" s="160" t="n"/>
      <c r="I189" s="160" t="n"/>
      <c r="J189" s="165" t="inlineStr">
        <is>
          <t>MATERIALES COSECHA</t>
        </is>
      </c>
      <c r="K189" s="165" t="inlineStr">
        <is>
          <t>INSUMOS PACKING</t>
        </is>
      </c>
      <c r="L189" s="165" t="inlineStr">
        <is>
          <t>O/001347 PLUMERO PV</t>
        </is>
      </c>
      <c r="M189" s="165" t="n"/>
      <c r="N189" s="165" t="inlineStr">
        <is>
          <t>.   .   -</t>
        </is>
      </c>
      <c r="O189" s="229" t="inlineStr">
        <is>
          <t>FEBRERO</t>
        </is>
      </c>
      <c r="P189" s="165" t="n">
        <v>5</v>
      </c>
      <c r="Q189" s="162" t="n">
        <v>2740</v>
      </c>
      <c r="R189" s="167" t="n"/>
      <c r="S189" s="168" t="n">
        <v>2740</v>
      </c>
      <c r="T189" s="165" t="inlineStr">
        <is>
          <t>CLP</t>
        </is>
      </c>
      <c r="U189" s="165" t="inlineStr">
        <is>
          <t>Carga LH 18-06-26</t>
        </is>
      </c>
      <c r="V189" s="165" t="inlineStr">
        <is>
          <t>2026-06-18</t>
        </is>
      </c>
    </row>
    <row r="190" ht="14" customHeight="1" s="176">
      <c r="A190" s="158" t="inlineStr">
        <is>
          <t>CR-0187</t>
        </is>
      </c>
      <c r="B190" s="158" t="inlineStr">
        <is>
          <t>2026/27</t>
        </is>
      </c>
      <c r="C190" s="228" t="n">
        <v>46056</v>
      </c>
      <c r="D190" s="158" t="inlineStr">
        <is>
          <t>237225</t>
        </is>
      </c>
      <c r="E190" s="158" t="inlineStr">
        <is>
          <t>COMPRA</t>
        </is>
      </c>
      <c r="F190" s="160" t="inlineStr">
        <is>
          <t>Sin asignar</t>
        </is>
      </c>
      <c r="G190" s="160" t="inlineStr">
        <is>
          <t>PACKING</t>
        </is>
      </c>
      <c r="H190" s="160" t="n"/>
      <c r="I190" s="160" t="n"/>
      <c r="J190" s="158" t="inlineStr">
        <is>
          <t>MATERIALES COSECHA</t>
        </is>
      </c>
      <c r="K190" s="158" t="inlineStr">
        <is>
          <t>INSUMOS PACKING</t>
        </is>
      </c>
      <c r="L190" s="158" t="inlineStr">
        <is>
          <t>O/001347 LAPIZ PAST</t>
        </is>
      </c>
      <c r="M190" s="158" t="n"/>
      <c r="N190" s="158" t="inlineStr">
        <is>
          <t>.   .   -</t>
        </is>
      </c>
      <c r="O190" s="229" t="inlineStr">
        <is>
          <t>FEBRERO</t>
        </is>
      </c>
      <c r="P190" s="158" t="n">
        <v>5</v>
      </c>
      <c r="Q190" s="162" t="n">
        <v>15800</v>
      </c>
      <c r="R190" s="163" t="n"/>
      <c r="S190" s="164" t="n">
        <v>15800</v>
      </c>
      <c r="T190" s="158" t="inlineStr">
        <is>
          <t>CLP</t>
        </is>
      </c>
      <c r="U190" s="158" t="inlineStr">
        <is>
          <t>Carga LH 18-06-26</t>
        </is>
      </c>
      <c r="V190" s="158" t="inlineStr">
        <is>
          <t>2026-06-18</t>
        </is>
      </c>
    </row>
    <row r="191" ht="14" customHeight="1" s="176">
      <c r="A191" s="165" t="inlineStr">
        <is>
          <t>CR-0188</t>
        </is>
      </c>
      <c r="B191" s="165" t="inlineStr">
        <is>
          <t>2026/27</t>
        </is>
      </c>
      <c r="C191" s="230" t="n">
        <v>46056</v>
      </c>
      <c r="D191" s="165" t="inlineStr">
        <is>
          <t>237225</t>
        </is>
      </c>
      <c r="E191" s="165" t="inlineStr">
        <is>
          <t>COMPRA</t>
        </is>
      </c>
      <c r="F191" s="160" t="inlineStr">
        <is>
          <t>Sin asignar</t>
        </is>
      </c>
      <c r="G191" s="160" t="inlineStr">
        <is>
          <t>PACKING</t>
        </is>
      </c>
      <c r="H191" s="160" t="n"/>
      <c r="I191" s="160" t="n"/>
      <c r="J191" s="165" t="inlineStr">
        <is>
          <t>MATERIALES COSECHA</t>
        </is>
      </c>
      <c r="K191" s="165" t="inlineStr">
        <is>
          <t>INSUMOS PACKING</t>
        </is>
      </c>
      <c r="L191" s="165" t="inlineStr">
        <is>
          <t>O/001347 PAÃ‘O MULT</t>
        </is>
      </c>
      <c r="M191" s="165" t="n"/>
      <c r="N191" s="165" t="inlineStr">
        <is>
          <t>.   .   -</t>
        </is>
      </c>
      <c r="O191" s="229" t="inlineStr">
        <is>
          <t>FEBRERO</t>
        </is>
      </c>
      <c r="P191" s="165" t="n">
        <v>5</v>
      </c>
      <c r="Q191" s="162" t="n">
        <v>33200</v>
      </c>
      <c r="R191" s="167" t="n"/>
      <c r="S191" s="168" t="n">
        <v>33200</v>
      </c>
      <c r="T191" s="165" t="inlineStr">
        <is>
          <t>CLP</t>
        </is>
      </c>
      <c r="U191" s="165" t="inlineStr">
        <is>
          <t>Carga LH 18-06-26</t>
        </is>
      </c>
      <c r="V191" s="165" t="inlineStr">
        <is>
          <t>2026-06-18</t>
        </is>
      </c>
    </row>
    <row r="192" ht="14" customHeight="1" s="176">
      <c r="A192" s="158" t="inlineStr">
        <is>
          <t>CR-0189</t>
        </is>
      </c>
      <c r="B192" s="158" t="inlineStr">
        <is>
          <t>2026/27</t>
        </is>
      </c>
      <c r="C192" s="228" t="n">
        <v>46056</v>
      </c>
      <c r="D192" s="158" t="inlineStr">
        <is>
          <t>237225</t>
        </is>
      </c>
      <c r="E192" s="158" t="inlineStr">
        <is>
          <t>COMPRA</t>
        </is>
      </c>
      <c r="F192" s="160" t="inlineStr">
        <is>
          <t>Sin asignar</t>
        </is>
      </c>
      <c r="G192" s="160" t="inlineStr">
        <is>
          <t>PACKING</t>
        </is>
      </c>
      <c r="H192" s="160" t="n"/>
      <c r="I192" s="160" t="n"/>
      <c r="J192" s="158" t="inlineStr">
        <is>
          <t>MATERIALES COSECHA</t>
        </is>
      </c>
      <c r="K192" s="158" t="inlineStr">
        <is>
          <t>INSUMOS PACKING</t>
        </is>
      </c>
      <c r="L192" s="158" t="inlineStr">
        <is>
          <t>O/001347 CUADERNO U</t>
        </is>
      </c>
      <c r="M192" s="158" t="n"/>
      <c r="N192" s="158" t="inlineStr">
        <is>
          <t>.   .   -</t>
        </is>
      </c>
      <c r="O192" s="229" t="inlineStr">
        <is>
          <t>FEBRERO</t>
        </is>
      </c>
      <c r="P192" s="158" t="n">
        <v>5</v>
      </c>
      <c r="Q192" s="162" t="n">
        <v>6522</v>
      </c>
      <c r="R192" s="163" t="n"/>
      <c r="S192" s="164" t="n">
        <v>6522</v>
      </c>
      <c r="T192" s="158" t="inlineStr">
        <is>
          <t>CLP</t>
        </is>
      </c>
      <c r="U192" s="158" t="inlineStr">
        <is>
          <t>Carga LH 18-06-26</t>
        </is>
      </c>
      <c r="V192" s="158" t="inlineStr">
        <is>
          <t>2026-06-18</t>
        </is>
      </c>
    </row>
    <row r="193" ht="14" customHeight="1" s="176">
      <c r="A193" s="165" t="inlineStr">
        <is>
          <t>CR-0190</t>
        </is>
      </c>
      <c r="B193" s="165" t="inlineStr">
        <is>
          <t>2026/27</t>
        </is>
      </c>
      <c r="C193" s="230" t="n">
        <v>46056</v>
      </c>
      <c r="D193" s="165" t="inlineStr">
        <is>
          <t>237225</t>
        </is>
      </c>
      <c r="E193" s="165" t="inlineStr">
        <is>
          <t>COMPRA</t>
        </is>
      </c>
      <c r="F193" s="160" t="inlineStr">
        <is>
          <t>Sin asignar</t>
        </is>
      </c>
      <c r="G193" s="160" t="inlineStr">
        <is>
          <t>PACKING</t>
        </is>
      </c>
      <c r="H193" s="160" t="n"/>
      <c r="I193" s="160" t="n"/>
      <c r="J193" s="165" t="inlineStr">
        <is>
          <t>GASTOS GENERALES</t>
        </is>
      </c>
      <c r="K193" s="165" t="inlineStr">
        <is>
          <t>INSUMOS DE ASEO</t>
        </is>
      </c>
      <c r="L193" s="165" t="inlineStr">
        <is>
          <t>O/001347 LIMPIADOR</t>
        </is>
      </c>
      <c r="M193" s="165" t="n"/>
      <c r="N193" s="165" t="inlineStr">
        <is>
          <t>.   .   -</t>
        </is>
      </c>
      <c r="O193" s="229" t="inlineStr">
        <is>
          <t>FEBRERO</t>
        </is>
      </c>
      <c r="P193" s="165" t="n">
        <v>5</v>
      </c>
      <c r="Q193" s="162" t="n">
        <v>45693</v>
      </c>
      <c r="R193" s="167" t="n"/>
      <c r="S193" s="168" t="n">
        <v>45693</v>
      </c>
      <c r="T193" s="165" t="inlineStr">
        <is>
          <t>CLP</t>
        </is>
      </c>
      <c r="U193" s="165" t="inlineStr">
        <is>
          <t>Carga LH 18-06-26</t>
        </is>
      </c>
      <c r="V193" s="165" t="inlineStr">
        <is>
          <t>2026-06-18</t>
        </is>
      </c>
    </row>
    <row r="194" ht="14" customHeight="1" s="176">
      <c r="A194" s="158" t="inlineStr">
        <is>
          <t>CR-0191</t>
        </is>
      </c>
      <c r="B194" s="158" t="inlineStr">
        <is>
          <t>2026/27</t>
        </is>
      </c>
      <c r="C194" s="228" t="n">
        <v>46057</v>
      </c>
      <c r="D194" s="158" t="inlineStr">
        <is>
          <t>262</t>
        </is>
      </c>
      <c r="E194" s="158" t="inlineStr">
        <is>
          <t>COMPRA</t>
        </is>
      </c>
      <c r="F194" s="160" t="inlineStr">
        <is>
          <t>Mega Catalina</t>
        </is>
      </c>
      <c r="G194" s="160" t="inlineStr">
        <is>
          <t>INJERTO TIMPSON - 2018 (3,8 Ha.)</t>
        </is>
      </c>
      <c r="H194" s="160" t="n"/>
      <c r="I194" s="160" t="n"/>
      <c r="J194" s="158" t="inlineStr">
        <is>
          <t>LABORES OPERACIONALES</t>
        </is>
      </c>
      <c r="K194" s="158" t="inlineStr">
        <is>
          <t>OTROS SERVICIOS</t>
        </is>
      </c>
      <c r="L194" s="158" t="inlineStr">
        <is>
          <t>SERV.CONTRATISTA</t>
        </is>
      </c>
      <c r="M194" s="158" t="n"/>
      <c r="N194" s="158" t="inlineStr">
        <is>
          <t>.   .   -</t>
        </is>
      </c>
      <c r="O194" s="229" t="inlineStr">
        <is>
          <t>FEBRERO</t>
        </is>
      </c>
      <c r="P194" s="158" t="n">
        <v>5</v>
      </c>
      <c r="Q194" s="162" t="n">
        <v>12515</v>
      </c>
      <c r="R194" s="163" t="n"/>
      <c r="S194" s="164" t="n">
        <v>12515</v>
      </c>
      <c r="T194" s="158" t="inlineStr">
        <is>
          <t>CLP</t>
        </is>
      </c>
      <c r="U194" s="158" t="inlineStr">
        <is>
          <t>Carga LH 18-06-26</t>
        </is>
      </c>
      <c r="V194" s="158" t="inlineStr">
        <is>
          <t>2026-06-18</t>
        </is>
      </c>
    </row>
    <row r="195" ht="14" customHeight="1" s="176">
      <c r="A195" s="165" t="inlineStr">
        <is>
          <t>CR-0192</t>
        </is>
      </c>
      <c r="B195" s="165" t="inlineStr">
        <is>
          <t>2026/27</t>
        </is>
      </c>
      <c r="C195" s="230" t="n">
        <v>46057</v>
      </c>
      <c r="D195" s="165" t="inlineStr">
        <is>
          <t>262</t>
        </is>
      </c>
      <c r="E195" s="165" t="inlineStr">
        <is>
          <t>COMPRA</t>
        </is>
      </c>
      <c r="F195" s="160" t="inlineStr">
        <is>
          <t>Mega Catalina</t>
        </is>
      </c>
      <c r="G195" s="160" t="inlineStr">
        <is>
          <t>INJERTO TIMPSON - 2019 (4,2 Ha.)</t>
        </is>
      </c>
      <c r="H195" s="160" t="n"/>
      <c r="I195" s="160" t="n"/>
      <c r="J195" s="165" t="inlineStr">
        <is>
          <t>LABORES OPERACIONALES</t>
        </is>
      </c>
      <c r="K195" s="165" t="inlineStr">
        <is>
          <t>OTROS SERVICIOS</t>
        </is>
      </c>
      <c r="L195" s="165" t="inlineStr">
        <is>
          <t>SERV.CONTRATISTA</t>
        </is>
      </c>
      <c r="M195" s="165" t="n"/>
      <c r="N195" s="165" t="inlineStr">
        <is>
          <t>.   .   -</t>
        </is>
      </c>
      <c r="O195" s="229" t="inlineStr">
        <is>
          <t>FEBRERO</t>
        </is>
      </c>
      <c r="P195" s="165" t="n">
        <v>5</v>
      </c>
      <c r="Q195" s="162" t="n">
        <v>15018</v>
      </c>
      <c r="R195" s="167" t="n"/>
      <c r="S195" s="168" t="n">
        <v>15018</v>
      </c>
      <c r="T195" s="165" t="inlineStr">
        <is>
          <t>CLP</t>
        </is>
      </c>
      <c r="U195" s="165" t="inlineStr">
        <is>
          <t>Carga LH 18-06-26</t>
        </is>
      </c>
      <c r="V195" s="165" t="inlineStr">
        <is>
          <t>2026-06-18</t>
        </is>
      </c>
    </row>
    <row r="196" ht="14" customHeight="1" s="176">
      <c r="A196" s="158" t="inlineStr">
        <is>
          <t>CR-0193</t>
        </is>
      </c>
      <c r="B196" s="158" t="inlineStr">
        <is>
          <t>2026/27</t>
        </is>
      </c>
      <c r="C196" s="228" t="n">
        <v>46057</v>
      </c>
      <c r="D196" s="158" t="inlineStr">
        <is>
          <t>262</t>
        </is>
      </c>
      <c r="E196" s="158" t="inlineStr">
        <is>
          <t>COMPRA</t>
        </is>
      </c>
      <c r="F196" s="160" t="inlineStr">
        <is>
          <t>Mega Catalina</t>
        </is>
      </c>
      <c r="G196" s="160" t="inlineStr">
        <is>
          <t>SWEET CELEBRATION - 2015 (7,14 Ha.)</t>
        </is>
      </c>
      <c r="H196" s="160" t="n"/>
      <c r="I196" s="160" t="n"/>
      <c r="J196" s="158" t="inlineStr">
        <is>
          <t>LABORES OPERACIONALES</t>
        </is>
      </c>
      <c r="K196" s="158" t="inlineStr">
        <is>
          <t>OTROS SERVICIOS</t>
        </is>
      </c>
      <c r="L196" s="158" t="inlineStr">
        <is>
          <t>SERV.CONTRATISTA</t>
        </is>
      </c>
      <c r="M196" s="158" t="n"/>
      <c r="N196" s="158" t="inlineStr">
        <is>
          <t>.   .   -</t>
        </is>
      </c>
      <c r="O196" s="229" t="inlineStr">
        <is>
          <t>FEBRERO</t>
        </is>
      </c>
      <c r="P196" s="158" t="n">
        <v>5</v>
      </c>
      <c r="Q196" s="162" t="n">
        <v>25030</v>
      </c>
      <c r="R196" s="163" t="n"/>
      <c r="S196" s="164" t="n">
        <v>25030</v>
      </c>
      <c r="T196" s="158" t="inlineStr">
        <is>
          <t>CLP</t>
        </is>
      </c>
      <c r="U196" s="158" t="inlineStr">
        <is>
          <t>Carga LH 18-06-26</t>
        </is>
      </c>
      <c r="V196" s="158" t="inlineStr">
        <is>
          <t>2026-06-18</t>
        </is>
      </c>
    </row>
    <row r="197" ht="14" customHeight="1" s="176">
      <c r="A197" s="165" t="inlineStr">
        <is>
          <t>CR-0194</t>
        </is>
      </c>
      <c r="B197" s="165" t="inlineStr">
        <is>
          <t>2026/27</t>
        </is>
      </c>
      <c r="C197" s="230" t="n">
        <v>46057</v>
      </c>
      <c r="D197" s="165" t="inlineStr">
        <is>
          <t>261</t>
        </is>
      </c>
      <c r="E197" s="165" t="inlineStr">
        <is>
          <t>COMPRA</t>
        </is>
      </c>
      <c r="F197" s="160" t="inlineStr">
        <is>
          <t>Asmara</t>
        </is>
      </c>
      <c r="G197" s="160" t="inlineStr">
        <is>
          <t>MURCOTT - 2020 (19,8 Ha.)</t>
        </is>
      </c>
      <c r="H197" s="160" t="n"/>
      <c r="I197" s="160" t="n"/>
      <c r="J197" s="165" t="inlineStr">
        <is>
          <t>LABORES OPERACIONALES</t>
        </is>
      </c>
      <c r="K197" s="165" t="inlineStr">
        <is>
          <t>OTROS SERVICIOS</t>
        </is>
      </c>
      <c r="L197" s="165" t="inlineStr">
        <is>
          <t>SERV.CONTRATISTA</t>
        </is>
      </c>
      <c r="M197" s="165" t="n"/>
      <c r="N197" s="165" t="inlineStr">
        <is>
          <t>.   .   -</t>
        </is>
      </c>
      <c r="O197" s="229" t="inlineStr">
        <is>
          <t>FEBRERO</t>
        </is>
      </c>
      <c r="P197" s="165" t="n">
        <v>5</v>
      </c>
      <c r="Q197" s="162" t="n">
        <v>167701</v>
      </c>
      <c r="R197" s="167" t="n"/>
      <c r="S197" s="168" t="n">
        <v>167701</v>
      </c>
      <c r="T197" s="165" t="inlineStr">
        <is>
          <t>CLP</t>
        </is>
      </c>
      <c r="U197" s="165" t="inlineStr">
        <is>
          <t>Carga LH 18-06-26</t>
        </is>
      </c>
      <c r="V197" s="165" t="inlineStr">
        <is>
          <t>2026-06-18</t>
        </is>
      </c>
    </row>
    <row r="198" ht="14" customHeight="1" s="176">
      <c r="A198" s="158" t="inlineStr">
        <is>
          <t>CR-0195</t>
        </is>
      </c>
      <c r="B198" s="158" t="inlineStr">
        <is>
          <t>2026/27</t>
        </is>
      </c>
      <c r="C198" s="228" t="n">
        <v>46057</v>
      </c>
      <c r="D198" s="158" t="inlineStr">
        <is>
          <t>261</t>
        </is>
      </c>
      <c r="E198" s="158" t="inlineStr">
        <is>
          <t>COMPRA</t>
        </is>
      </c>
      <c r="F198" s="160" t="inlineStr">
        <is>
          <t>Asmara</t>
        </is>
      </c>
      <c r="G198" s="160" t="inlineStr">
        <is>
          <t>MURCOTT - 2020 (4,9 Ha.)</t>
        </is>
      </c>
      <c r="H198" s="160" t="n"/>
      <c r="I198" s="160" t="n"/>
      <c r="J198" s="158" t="inlineStr">
        <is>
          <t>LABORES OPERACIONALES</t>
        </is>
      </c>
      <c r="K198" s="158" t="inlineStr">
        <is>
          <t>OTROS SERVICIOS</t>
        </is>
      </c>
      <c r="L198" s="158" t="inlineStr">
        <is>
          <t>SERV.CONTRATISTA</t>
        </is>
      </c>
      <c r="M198" s="158" t="n"/>
      <c r="N198" s="158" t="inlineStr">
        <is>
          <t>.   .   -</t>
        </is>
      </c>
      <c r="O198" s="229" t="inlineStr">
        <is>
          <t>FEBRERO</t>
        </is>
      </c>
      <c r="P198" s="158" t="n">
        <v>5</v>
      </c>
      <c r="Q198" s="162" t="n">
        <v>40048</v>
      </c>
      <c r="R198" s="163" t="n"/>
      <c r="S198" s="164" t="n">
        <v>40048</v>
      </c>
      <c r="T198" s="158" t="inlineStr">
        <is>
          <t>CLP</t>
        </is>
      </c>
      <c r="U198" s="158" t="inlineStr">
        <is>
          <t>Carga LH 18-06-26</t>
        </is>
      </c>
      <c r="V198" s="158" t="inlineStr">
        <is>
          <t>2026-06-18</t>
        </is>
      </c>
    </row>
    <row r="199" ht="14" customHeight="1" s="176">
      <c r="A199" s="165" t="inlineStr">
        <is>
          <t>CR-0196</t>
        </is>
      </c>
      <c r="B199" s="165" t="inlineStr">
        <is>
          <t>2026/27</t>
        </is>
      </c>
      <c r="C199" s="230" t="n">
        <v>46057</v>
      </c>
      <c r="D199" s="165" t="inlineStr"/>
      <c r="E199" s="165" t="inlineStr">
        <is>
          <t>COMPRA</t>
        </is>
      </c>
      <c r="F199" s="160" t="inlineStr">
        <is>
          <t>El Molle</t>
        </is>
      </c>
      <c r="G199" s="160" t="inlineStr">
        <is>
          <t>ARRUFATINA - 2017 (5,74 Ha.)</t>
        </is>
      </c>
      <c r="H199" s="160" t="n"/>
      <c r="I199" s="160" t="n"/>
      <c r="J199" s="165" t="inlineStr">
        <is>
          <t>ENERGIA Y AGUA</t>
        </is>
      </c>
      <c r="K199" s="165" t="inlineStr">
        <is>
          <t>SUMIN. ELECTRICO</t>
        </is>
      </c>
      <c r="L199" s="165" t="inlineStr">
        <is>
          <t>CONSUMO ELECTRICO</t>
        </is>
      </c>
      <c r="M199" s="165" t="n"/>
      <c r="N199" s="165" t="inlineStr">
        <is>
          <t>.   .   -</t>
        </is>
      </c>
      <c r="O199" s="229" t="inlineStr">
        <is>
          <t>FEBRERO</t>
        </is>
      </c>
      <c r="P199" s="165" t="n">
        <v>5</v>
      </c>
      <c r="Q199" s="162" t="n">
        <v>1408119</v>
      </c>
      <c r="R199" s="167" t="n"/>
      <c r="S199" s="168" t="n">
        <v>1408119</v>
      </c>
      <c r="T199" s="165" t="inlineStr">
        <is>
          <t>CLP</t>
        </is>
      </c>
      <c r="U199" s="165" t="inlineStr">
        <is>
          <t>Carga LH 18-06-26</t>
        </is>
      </c>
      <c r="V199" s="165" t="inlineStr">
        <is>
          <t>2026-06-18</t>
        </is>
      </c>
    </row>
    <row r="200" ht="14" customHeight="1" s="176">
      <c r="A200" s="158" t="inlineStr">
        <is>
          <t>CR-0197</t>
        </is>
      </c>
      <c r="B200" s="158" t="inlineStr">
        <is>
          <t>2026/27</t>
        </is>
      </c>
      <c r="C200" s="228" t="n">
        <v>46057</v>
      </c>
      <c r="D200" s="158" t="inlineStr"/>
      <c r="E200" s="158" t="inlineStr">
        <is>
          <t>COMPRA</t>
        </is>
      </c>
      <c r="F200" s="160" t="inlineStr">
        <is>
          <t>El Molle</t>
        </is>
      </c>
      <c r="G200" s="160" t="inlineStr">
        <is>
          <t>ORONULES - 2017 (2,85 Ha.)</t>
        </is>
      </c>
      <c r="H200" s="160" t="n"/>
      <c r="I200" s="160" t="n"/>
      <c r="J200" s="158" t="inlineStr">
        <is>
          <t>ENERGIA Y AGUA</t>
        </is>
      </c>
      <c r="K200" s="158" t="inlineStr">
        <is>
          <t>SUMIN. ELECTRICO</t>
        </is>
      </c>
      <c r="L200" s="158" t="inlineStr">
        <is>
          <t>CONSUMO ELECTRICO</t>
        </is>
      </c>
      <c r="M200" s="158" t="n"/>
      <c r="N200" s="158" t="inlineStr">
        <is>
          <t>.   .   -</t>
        </is>
      </c>
      <c r="O200" s="229" t="inlineStr">
        <is>
          <t>FEBRERO</t>
        </is>
      </c>
      <c r="P200" s="158" t="n">
        <v>5</v>
      </c>
      <c r="Q200" s="162" t="n">
        <v>699153</v>
      </c>
      <c r="R200" s="163" t="n"/>
      <c r="S200" s="164" t="n">
        <v>699153</v>
      </c>
      <c r="T200" s="158" t="inlineStr">
        <is>
          <t>CLP</t>
        </is>
      </c>
      <c r="U200" s="158" t="inlineStr">
        <is>
          <t>Carga LH 18-06-26</t>
        </is>
      </c>
      <c r="V200" s="158" t="inlineStr">
        <is>
          <t>2026-06-18</t>
        </is>
      </c>
    </row>
    <row r="201" ht="14" customHeight="1" s="176">
      <c r="A201" s="165" t="inlineStr">
        <is>
          <t>CR-0198</t>
        </is>
      </c>
      <c r="B201" s="165" t="inlineStr">
        <is>
          <t>2026/27</t>
        </is>
      </c>
      <c r="C201" s="230" t="n">
        <v>46057</v>
      </c>
      <c r="D201" s="165" t="inlineStr"/>
      <c r="E201" s="165" t="inlineStr">
        <is>
          <t>COMPRA</t>
        </is>
      </c>
      <c r="F201" s="160" t="inlineStr">
        <is>
          <t>Mega Catalina</t>
        </is>
      </c>
      <c r="G201" s="160" t="inlineStr">
        <is>
          <t>ORONULES - 2019 (2,5 Ha.)</t>
        </is>
      </c>
      <c r="H201" s="160" t="n"/>
      <c r="I201" s="160" t="n"/>
      <c r="J201" s="165" t="inlineStr">
        <is>
          <t>ENERGIA Y AGUA</t>
        </is>
      </c>
      <c r="K201" s="165" t="inlineStr">
        <is>
          <t>SUMIN. ELECTRICO</t>
        </is>
      </c>
      <c r="L201" s="165" t="inlineStr">
        <is>
          <t>CONSUMO ELECTRICO</t>
        </is>
      </c>
      <c r="M201" s="165" t="n"/>
      <c r="N201" s="165" t="inlineStr">
        <is>
          <t>.   .   -</t>
        </is>
      </c>
      <c r="O201" s="229" t="inlineStr">
        <is>
          <t>FEBRERO</t>
        </is>
      </c>
      <c r="P201" s="165" t="n">
        <v>5</v>
      </c>
      <c r="Q201" s="162" t="n">
        <v>613292</v>
      </c>
      <c r="R201" s="167" t="n"/>
      <c r="S201" s="168" t="n">
        <v>613292</v>
      </c>
      <c r="T201" s="165" t="inlineStr">
        <is>
          <t>CLP</t>
        </is>
      </c>
      <c r="U201" s="165" t="inlineStr">
        <is>
          <t>Carga LH 18-06-26</t>
        </is>
      </c>
      <c r="V201" s="165" t="inlineStr">
        <is>
          <t>2026-06-18</t>
        </is>
      </c>
    </row>
    <row r="202" ht="14" customHeight="1" s="176">
      <c r="A202" s="158" t="inlineStr">
        <is>
          <t>CR-0199</t>
        </is>
      </c>
      <c r="B202" s="158" t="inlineStr">
        <is>
          <t>2026/27</t>
        </is>
      </c>
      <c r="C202" s="228" t="n">
        <v>46057</v>
      </c>
      <c r="D202" s="158" t="inlineStr"/>
      <c r="E202" s="158" t="inlineStr">
        <is>
          <t>COMPRA</t>
        </is>
      </c>
      <c r="F202" s="160" t="inlineStr">
        <is>
          <t>El Molle</t>
        </is>
      </c>
      <c r="G202" s="160" t="inlineStr">
        <is>
          <t>OROGRANDE - 2007 (8,11 Ha.)</t>
        </is>
      </c>
      <c r="H202" s="160" t="n"/>
      <c r="I202" s="160" t="n"/>
      <c r="J202" s="158" t="inlineStr">
        <is>
          <t>ENERGIA Y AGUA</t>
        </is>
      </c>
      <c r="K202" s="158" t="inlineStr">
        <is>
          <t>SUMIN. ELECTRICO</t>
        </is>
      </c>
      <c r="L202" s="158" t="inlineStr">
        <is>
          <t>CONSUMO ELECTRICO</t>
        </is>
      </c>
      <c r="M202" s="158" t="n"/>
      <c r="N202" s="158" t="inlineStr">
        <is>
          <t>.   .   -</t>
        </is>
      </c>
      <c r="O202" s="229" t="inlineStr">
        <is>
          <t>FEBRERO</t>
        </is>
      </c>
      <c r="P202" s="158" t="n">
        <v>5</v>
      </c>
      <c r="Q202" s="162" t="n">
        <v>1989519</v>
      </c>
      <c r="R202" s="163" t="n"/>
      <c r="S202" s="164" t="n">
        <v>1989519</v>
      </c>
      <c r="T202" s="158" t="inlineStr">
        <is>
          <t>CLP</t>
        </is>
      </c>
      <c r="U202" s="158" t="inlineStr">
        <is>
          <t>Carga LH 18-06-26</t>
        </is>
      </c>
      <c r="V202" s="158" t="inlineStr">
        <is>
          <t>2026-06-18</t>
        </is>
      </c>
    </row>
    <row r="203" ht="14" customHeight="1" s="176">
      <c r="A203" s="165" t="inlineStr">
        <is>
          <t>CR-0200</t>
        </is>
      </c>
      <c r="B203" s="165" t="inlineStr">
        <is>
          <t>2026/27</t>
        </is>
      </c>
      <c r="C203" s="230" t="n">
        <v>46057</v>
      </c>
      <c r="D203" s="165" t="inlineStr"/>
      <c r="E203" s="165" t="inlineStr">
        <is>
          <t>COMPRA</t>
        </is>
      </c>
      <c r="F203" s="160" t="inlineStr">
        <is>
          <t>El Molle</t>
        </is>
      </c>
      <c r="G203" s="160" t="inlineStr">
        <is>
          <t>WONDERFUL - 2002 (2,80 Ha.)</t>
        </is>
      </c>
      <c r="H203" s="160" t="n"/>
      <c r="I203" s="160" t="n"/>
      <c r="J203" s="165" t="inlineStr">
        <is>
          <t>ENERGIA Y AGUA</t>
        </is>
      </c>
      <c r="K203" s="165" t="inlineStr">
        <is>
          <t>SUMIN. ELECTRICO</t>
        </is>
      </c>
      <c r="L203" s="165" t="inlineStr">
        <is>
          <t>CONSUMO ELECTRICO</t>
        </is>
      </c>
      <c r="M203" s="165" t="n"/>
      <c r="N203" s="165" t="inlineStr">
        <is>
          <t>.   .   -</t>
        </is>
      </c>
      <c r="O203" s="229" t="inlineStr">
        <is>
          <t>FEBRERO</t>
        </is>
      </c>
      <c r="P203" s="165" t="n">
        <v>5</v>
      </c>
      <c r="Q203" s="162" t="n">
        <v>686887</v>
      </c>
      <c r="R203" s="167" t="n"/>
      <c r="S203" s="168" t="n">
        <v>686887</v>
      </c>
      <c r="T203" s="165" t="inlineStr">
        <is>
          <t>CLP</t>
        </is>
      </c>
      <c r="U203" s="165" t="inlineStr">
        <is>
          <t>Carga LH 18-06-26</t>
        </is>
      </c>
      <c r="V203" s="165" t="inlineStr">
        <is>
          <t>2026-06-18</t>
        </is>
      </c>
    </row>
    <row r="204">
      <c r="A204" s="169" t="inlineStr">
        <is>
          <t>CR-0201</t>
        </is>
      </c>
      <c r="B204" s="169" t="inlineStr">
        <is>
          <t>2026/27</t>
        </is>
      </c>
      <c r="C204" s="231" t="n">
        <v>46057</v>
      </c>
      <c r="D204" s="169" t="inlineStr"/>
      <c r="E204" s="169" t="inlineStr">
        <is>
          <t>COMPRA</t>
        </is>
      </c>
      <c r="F204" s="169" t="inlineStr">
        <is>
          <t>El Molle</t>
        </is>
      </c>
      <c r="G204" s="169" t="inlineStr">
        <is>
          <t>WONDERFUL - 2007 (2,44 Ha.)</t>
        </is>
      </c>
      <c r="H204" s="169" t="n"/>
      <c r="I204" s="169" t="n"/>
      <c r="J204" s="169" t="inlineStr">
        <is>
          <t>ENERGIA Y AGUA</t>
        </is>
      </c>
      <c r="K204" s="169" t="inlineStr">
        <is>
          <t>SUMIN. ELECTRICO</t>
        </is>
      </c>
      <c r="L204" s="169" t="inlineStr">
        <is>
          <t>CONSUMO ELECTRICO</t>
        </is>
      </c>
      <c r="M204" s="169" t="n"/>
      <c r="N204" s="169" t="inlineStr">
        <is>
          <t>.   .   -</t>
        </is>
      </c>
      <c r="O204" s="169" t="inlineStr">
        <is>
          <t>FEBRERO</t>
        </is>
      </c>
      <c r="P204" s="169" t="n">
        <v>5</v>
      </c>
      <c r="Q204" s="171" t="n">
        <v>598573</v>
      </c>
      <c r="R204" s="169" t="n"/>
      <c r="S204" s="171" t="n">
        <v>598573</v>
      </c>
      <c r="T204" s="169" t="inlineStr">
        <is>
          <t>CLP</t>
        </is>
      </c>
      <c r="U204" s="169" t="inlineStr">
        <is>
          <t>Carga LH 18-06-26</t>
        </is>
      </c>
      <c r="V204" s="169" t="inlineStr">
        <is>
          <t>2026-06-18</t>
        </is>
      </c>
    </row>
    <row r="205" ht="30" customHeight="1" s="176">
      <c r="A205" s="169" t="inlineStr">
        <is>
          <t>CR-0202</t>
        </is>
      </c>
      <c r="B205" s="169" t="inlineStr">
        <is>
          <t>2026/27</t>
        </is>
      </c>
      <c r="C205" s="231" t="n">
        <v>46057</v>
      </c>
      <c r="D205" s="169" t="inlineStr"/>
      <c r="E205" s="169" t="inlineStr">
        <is>
          <t>COMPRA</t>
        </is>
      </c>
      <c r="F205" s="169" t="inlineStr">
        <is>
          <t>Asmara</t>
        </is>
      </c>
      <c r="G205" s="169" t="inlineStr">
        <is>
          <t>MURCOTT - 2020 (19,8 Ha.)</t>
        </is>
      </c>
      <c r="H205" s="169" t="n"/>
      <c r="I205" s="169" t="n"/>
      <c r="J205" s="169" t="inlineStr">
        <is>
          <t>ENERGIA Y AGUA</t>
        </is>
      </c>
      <c r="K205" s="169" t="inlineStr">
        <is>
          <t>SUMIN. ELECTRICO</t>
        </is>
      </c>
      <c r="L205" s="169" t="inlineStr">
        <is>
          <t>CONSUMO ELECTRICO</t>
        </is>
      </c>
      <c r="M205" s="169" t="n"/>
      <c r="N205" s="169" t="inlineStr">
        <is>
          <t>.   .   -</t>
        </is>
      </c>
      <c r="O205" s="169" t="inlineStr">
        <is>
          <t>FEBRERO</t>
        </is>
      </c>
      <c r="P205" s="169" t="n">
        <v>5</v>
      </c>
      <c r="Q205" s="171" t="n">
        <v>1407676</v>
      </c>
      <c r="R205" s="169" t="n"/>
      <c r="S205" s="171" t="n">
        <v>1407676</v>
      </c>
      <c r="T205" s="169" t="inlineStr">
        <is>
          <t>CLP</t>
        </is>
      </c>
      <c r="U205" s="169" t="inlineStr">
        <is>
          <t>Carga LH 18-06-26</t>
        </is>
      </c>
      <c r="V205" s="169" t="inlineStr">
        <is>
          <t>2026-06-18</t>
        </is>
      </c>
    </row>
    <row r="206">
      <c r="A206" s="169" t="inlineStr">
        <is>
          <t>CR-0203</t>
        </is>
      </c>
      <c r="B206" s="169" t="inlineStr">
        <is>
          <t>2026/27</t>
        </is>
      </c>
      <c r="C206" s="231" t="n">
        <v>46057</v>
      </c>
      <c r="D206" s="169" t="inlineStr"/>
      <c r="E206" s="169" t="inlineStr">
        <is>
          <t>COMPRA</t>
        </is>
      </c>
      <c r="F206" s="169" t="inlineStr">
        <is>
          <t>Asmara</t>
        </is>
      </c>
      <c r="G206" s="169" t="inlineStr">
        <is>
          <t>MURCOTT - 2020 (4,9 Ha.)</t>
        </is>
      </c>
      <c r="H206" s="169" t="n"/>
      <c r="I206" s="169" t="n"/>
      <c r="J206" s="169" t="inlineStr">
        <is>
          <t>ENERGIA Y AGUA</t>
        </is>
      </c>
      <c r="K206" s="169" t="inlineStr">
        <is>
          <t>SUMIN. ELECTRICO</t>
        </is>
      </c>
      <c r="L206" s="169" t="inlineStr">
        <is>
          <t>CONSUMO ELECTRICO</t>
        </is>
      </c>
      <c r="M206" s="169" t="n"/>
      <c r="N206" s="169" t="inlineStr">
        <is>
          <t>.   .   -</t>
        </is>
      </c>
      <c r="O206" s="169" t="inlineStr">
        <is>
          <t>FEBRERO</t>
        </is>
      </c>
      <c r="P206" s="169" t="n">
        <v>5</v>
      </c>
      <c r="Q206" s="171" t="n">
        <v>348364</v>
      </c>
      <c r="R206" s="169" t="n"/>
      <c r="S206" s="171" t="n">
        <v>348364</v>
      </c>
      <c r="T206" s="169" t="inlineStr">
        <is>
          <t>CLP</t>
        </is>
      </c>
      <c r="U206" s="169" t="inlineStr">
        <is>
          <t>Carga LH 18-06-26</t>
        </is>
      </c>
      <c r="V206" s="169" t="inlineStr">
        <is>
          <t>2026-06-18</t>
        </is>
      </c>
    </row>
    <row r="207">
      <c r="A207" s="169" t="inlineStr">
        <is>
          <t>CR-0204</t>
        </is>
      </c>
      <c r="B207" s="169" t="inlineStr">
        <is>
          <t>2026/27</t>
        </is>
      </c>
      <c r="C207" s="231" t="n">
        <v>46057</v>
      </c>
      <c r="D207" s="169" t="inlineStr"/>
      <c r="E207" s="169" t="inlineStr">
        <is>
          <t>COMPRA</t>
        </is>
      </c>
      <c r="F207" s="169" t="inlineStr">
        <is>
          <t>Mega Catalina</t>
        </is>
      </c>
      <c r="G207" s="169" t="inlineStr">
        <is>
          <t>EUREKA - 2016 (14,4 Ha.)</t>
        </is>
      </c>
      <c r="H207" s="169" t="n"/>
      <c r="I207" s="169" t="n"/>
      <c r="J207" s="169" t="inlineStr">
        <is>
          <t>ENERGIA Y AGUA</t>
        </is>
      </c>
      <c r="K207" s="169" t="inlineStr">
        <is>
          <t>SUMIN. ELECTRICO</t>
        </is>
      </c>
      <c r="L207" s="169" t="inlineStr">
        <is>
          <t>CONSUMO ELECTRICO</t>
        </is>
      </c>
      <c r="M207" s="169" t="n"/>
      <c r="N207" s="169" t="inlineStr">
        <is>
          <t>.   .   -</t>
        </is>
      </c>
      <c r="O207" s="169" t="inlineStr">
        <is>
          <t>FEBRERO</t>
        </is>
      </c>
      <c r="P207" s="169" t="n">
        <v>5</v>
      </c>
      <c r="Q207" s="171" t="n">
        <v>198991</v>
      </c>
      <c r="R207" s="169" t="n"/>
      <c r="S207" s="171" t="n">
        <v>198991</v>
      </c>
      <c r="T207" s="169" t="inlineStr">
        <is>
          <t>CLP</t>
        </is>
      </c>
      <c r="U207" s="169" t="inlineStr">
        <is>
          <t>Carga LH 18-06-26</t>
        </is>
      </c>
      <c r="V207" s="169" t="inlineStr">
        <is>
          <t>2026-06-18</t>
        </is>
      </c>
    </row>
    <row r="208">
      <c r="A208" s="169" t="inlineStr">
        <is>
          <t>CR-0205</t>
        </is>
      </c>
      <c r="B208" s="169" t="inlineStr">
        <is>
          <t>2026/27</t>
        </is>
      </c>
      <c r="C208" s="231" t="n">
        <v>46057</v>
      </c>
      <c r="D208" s="169" t="inlineStr"/>
      <c r="E208" s="169" t="inlineStr">
        <is>
          <t>COMPRA</t>
        </is>
      </c>
      <c r="F208" s="169" t="inlineStr">
        <is>
          <t>Mega Catalina</t>
        </is>
      </c>
      <c r="G208" s="169" t="inlineStr">
        <is>
          <t>FINO 49 - 1999 (7,7 Ha.)</t>
        </is>
      </c>
      <c r="H208" s="169" t="n"/>
      <c r="I208" s="169" t="n"/>
      <c r="J208" s="169" t="inlineStr">
        <is>
          <t>ENERGIA Y AGUA</t>
        </is>
      </c>
      <c r="K208" s="169" t="inlineStr">
        <is>
          <t>SUMIN. ELECTRICO</t>
        </is>
      </c>
      <c r="L208" s="169" t="inlineStr">
        <is>
          <t>CONSUMO ELECTRICO</t>
        </is>
      </c>
      <c r="M208" s="169" t="n"/>
      <c r="N208" s="169" t="inlineStr">
        <is>
          <t>.   .   -</t>
        </is>
      </c>
      <c r="O208" s="169" t="inlineStr">
        <is>
          <t>FEBRERO</t>
        </is>
      </c>
      <c r="P208" s="169" t="n">
        <v>5</v>
      </c>
      <c r="Q208" s="171" t="n">
        <v>139294</v>
      </c>
      <c r="R208" s="169" t="n"/>
      <c r="S208" s="171" t="n">
        <v>139294</v>
      </c>
      <c r="T208" s="169" t="inlineStr">
        <is>
          <t>CLP</t>
        </is>
      </c>
      <c r="U208" s="169" t="inlineStr">
        <is>
          <t>Carga LH 18-06-26</t>
        </is>
      </c>
      <c r="V208" s="169" t="inlineStr">
        <is>
          <t>2026-06-18</t>
        </is>
      </c>
    </row>
    <row r="209">
      <c r="A209" s="169" t="inlineStr">
        <is>
          <t>CR-0206</t>
        </is>
      </c>
      <c r="B209" s="169" t="inlineStr">
        <is>
          <t>2026/27</t>
        </is>
      </c>
      <c r="C209" s="231" t="n">
        <v>46057</v>
      </c>
      <c r="D209" s="169" t="inlineStr"/>
      <c r="E209" s="169" t="inlineStr">
        <is>
          <t>COMPRA</t>
        </is>
      </c>
      <c r="F209" s="169" t="inlineStr">
        <is>
          <t>Mega Catalina</t>
        </is>
      </c>
      <c r="G209" s="169" t="inlineStr">
        <is>
          <t>MURCOTT - 2007 (21 Ha.)</t>
        </is>
      </c>
      <c r="H209" s="169" t="n"/>
      <c r="I209" s="169" t="n"/>
      <c r="J209" s="169" t="inlineStr">
        <is>
          <t>ENERGIA Y AGUA</t>
        </is>
      </c>
      <c r="K209" s="169" t="inlineStr">
        <is>
          <t>SUMIN. ELECTRICO</t>
        </is>
      </c>
      <c r="L209" s="169" t="inlineStr">
        <is>
          <t>CONSUMO ELECTRICO</t>
        </is>
      </c>
      <c r="M209" s="169" t="n"/>
      <c r="N209" s="169" t="inlineStr">
        <is>
          <t>.   .   -</t>
        </is>
      </c>
      <c r="O209" s="169" t="inlineStr">
        <is>
          <t>FEBRERO</t>
        </is>
      </c>
      <c r="P209" s="169" t="n">
        <v>5</v>
      </c>
      <c r="Q209" s="171" t="n">
        <v>871</v>
      </c>
      <c r="R209" s="169" t="n"/>
      <c r="S209" s="171" t="n">
        <v>871</v>
      </c>
      <c r="T209" s="169" t="inlineStr">
        <is>
          <t>CLP</t>
        </is>
      </c>
      <c r="U209" s="169" t="inlineStr">
        <is>
          <t>Carga LH 18-06-26</t>
        </is>
      </c>
      <c r="V209" s="169" t="inlineStr">
        <is>
          <t>2026-06-18</t>
        </is>
      </c>
    </row>
    <row r="210">
      <c r="A210" s="169" t="inlineStr">
        <is>
          <t>CR-0207</t>
        </is>
      </c>
      <c r="B210" s="169" t="inlineStr">
        <is>
          <t>2026/27</t>
        </is>
      </c>
      <c r="C210" s="231" t="n">
        <v>46057</v>
      </c>
      <c r="D210" s="169" t="inlineStr"/>
      <c r="E210" s="169" t="inlineStr">
        <is>
          <t>COMPRA</t>
        </is>
      </c>
      <c r="F210" s="169" t="inlineStr">
        <is>
          <t>Mega Catalina</t>
        </is>
      </c>
      <c r="G210" s="169" t="inlineStr">
        <is>
          <t>EUREKA - 1999 (22,5 Ha.)</t>
        </is>
      </c>
      <c r="H210" s="169" t="n"/>
      <c r="I210" s="169" t="n"/>
      <c r="J210" s="169" t="inlineStr">
        <is>
          <t>ENERGIA Y AGUA</t>
        </is>
      </c>
      <c r="K210" s="169" t="inlineStr">
        <is>
          <t>SUMIN. ELECTRICO</t>
        </is>
      </c>
      <c r="L210" s="169" t="inlineStr">
        <is>
          <t>CONSUMO ELECTRICO</t>
        </is>
      </c>
      <c r="M210" s="169" t="n"/>
      <c r="N210" s="169" t="inlineStr">
        <is>
          <t>.   .   -</t>
        </is>
      </c>
      <c r="O210" s="169" t="inlineStr">
        <is>
          <t>FEBRERO</t>
        </is>
      </c>
      <c r="P210" s="169" t="n">
        <v>5</v>
      </c>
      <c r="Q210" s="171" t="n">
        <v>2053928</v>
      </c>
      <c r="R210" s="169" t="n"/>
      <c r="S210" s="171" t="n">
        <v>2053928</v>
      </c>
      <c r="T210" s="169" t="inlineStr">
        <is>
          <t>CLP</t>
        </is>
      </c>
      <c r="U210" s="169" t="inlineStr">
        <is>
          <t>Carga LH 18-06-26</t>
        </is>
      </c>
      <c r="V210" s="169" t="inlineStr">
        <is>
          <t>2026-06-18</t>
        </is>
      </c>
    </row>
    <row r="211">
      <c r="A211" s="169" t="inlineStr">
        <is>
          <t>CR-0208</t>
        </is>
      </c>
      <c r="B211" s="169" t="inlineStr">
        <is>
          <t>2026/27</t>
        </is>
      </c>
      <c r="C211" s="231" t="n">
        <v>46057</v>
      </c>
      <c r="D211" s="169" t="inlineStr"/>
      <c r="E211" s="169" t="inlineStr">
        <is>
          <t>COMPRA</t>
        </is>
      </c>
      <c r="F211" s="169" t="inlineStr">
        <is>
          <t>Mega Catalina</t>
        </is>
      </c>
      <c r="G211" s="169" t="inlineStr">
        <is>
          <t>EUREKA - 1999 (10,6 Ha.)</t>
        </is>
      </c>
      <c r="H211" s="169" t="n"/>
      <c r="I211" s="169" t="n"/>
      <c r="J211" s="169" t="inlineStr">
        <is>
          <t>ENERGIA Y AGUA</t>
        </is>
      </c>
      <c r="K211" s="169" t="inlineStr">
        <is>
          <t>SUMIN. ELECTRICO</t>
        </is>
      </c>
      <c r="L211" s="169" t="inlineStr">
        <is>
          <t>CONSUMO ELECTRICO</t>
        </is>
      </c>
      <c r="M211" s="169" t="n"/>
      <c r="N211" s="169" t="inlineStr">
        <is>
          <t>.   .   -</t>
        </is>
      </c>
      <c r="O211" s="169" t="inlineStr">
        <is>
          <t>FEBRERO</t>
        </is>
      </c>
      <c r="P211" s="169" t="n">
        <v>5</v>
      </c>
      <c r="Q211" s="171" t="n">
        <v>935327</v>
      </c>
      <c r="R211" s="169" t="n"/>
      <c r="S211" s="171" t="n">
        <v>935327</v>
      </c>
      <c r="T211" s="169" t="inlineStr">
        <is>
          <t>CLP</t>
        </is>
      </c>
      <c r="U211" s="169" t="inlineStr">
        <is>
          <t>Carga LH 18-06-26</t>
        </is>
      </c>
      <c r="V211" s="169" t="inlineStr">
        <is>
          <t>2026-06-18</t>
        </is>
      </c>
    </row>
    <row r="212">
      <c r="A212" s="169" t="inlineStr">
        <is>
          <t>CR-0209</t>
        </is>
      </c>
      <c r="B212" s="169" t="inlineStr">
        <is>
          <t>2026/27</t>
        </is>
      </c>
      <c r="C212" s="231" t="n">
        <v>46057</v>
      </c>
      <c r="D212" s="169" t="inlineStr"/>
      <c r="E212" s="169" t="inlineStr">
        <is>
          <t>COMPRA</t>
        </is>
      </c>
      <c r="F212" s="169" t="inlineStr">
        <is>
          <t>Mega Catalina</t>
        </is>
      </c>
      <c r="G212" s="169" t="inlineStr">
        <is>
          <t>EUREKA - 2016 (14,4 Ha.)</t>
        </is>
      </c>
      <c r="H212" s="169" t="n"/>
      <c r="I212" s="169" t="n"/>
      <c r="J212" s="169" t="inlineStr">
        <is>
          <t>ENERGIA Y AGUA</t>
        </is>
      </c>
      <c r="K212" s="169" t="inlineStr">
        <is>
          <t>SUMIN. ELECTRICO</t>
        </is>
      </c>
      <c r="L212" s="169" t="inlineStr">
        <is>
          <t>CONSUMO ELECTRICO</t>
        </is>
      </c>
      <c r="M212" s="169" t="n"/>
      <c r="N212" s="169" t="inlineStr">
        <is>
          <t>.   .   -</t>
        </is>
      </c>
      <c r="O212" s="169" t="inlineStr">
        <is>
          <t>FEBRERO</t>
        </is>
      </c>
      <c r="P212" s="169" t="n">
        <v>5</v>
      </c>
      <c r="Q212" s="171" t="n">
        <v>910048</v>
      </c>
      <c r="R212" s="169" t="n"/>
      <c r="S212" s="171" t="n">
        <v>910048</v>
      </c>
      <c r="T212" s="169" t="inlineStr">
        <is>
          <t>CLP</t>
        </is>
      </c>
      <c r="U212" s="169" t="inlineStr">
        <is>
          <t>Carga LH 18-06-26</t>
        </is>
      </c>
      <c r="V212" s="169" t="inlineStr">
        <is>
          <t>2026-06-18</t>
        </is>
      </c>
    </row>
    <row r="213">
      <c r="A213" s="169" t="inlineStr">
        <is>
          <t>CR-0210</t>
        </is>
      </c>
      <c r="B213" s="169" t="inlineStr">
        <is>
          <t>2026/27</t>
        </is>
      </c>
      <c r="C213" s="231" t="n">
        <v>46057</v>
      </c>
      <c r="D213" s="169" t="inlineStr"/>
      <c r="E213" s="169" t="inlineStr">
        <is>
          <t>COMPRA</t>
        </is>
      </c>
      <c r="F213" s="169" t="inlineStr">
        <is>
          <t>Mega Catalina</t>
        </is>
      </c>
      <c r="G213" s="169" t="inlineStr">
        <is>
          <t>FINO 49 - 1999 (7,7 Ha.)</t>
        </is>
      </c>
      <c r="H213" s="169" t="n"/>
      <c r="I213" s="169" t="n"/>
      <c r="J213" s="169" t="inlineStr">
        <is>
          <t>ENERGIA Y AGUA</t>
        </is>
      </c>
      <c r="K213" s="169" t="inlineStr">
        <is>
          <t>SUMIN. ELECTRICO</t>
        </is>
      </c>
      <c r="L213" s="169" t="inlineStr">
        <is>
          <t>CONSUMO ELECTRICO</t>
        </is>
      </c>
      <c r="M213" s="169" t="n"/>
      <c r="N213" s="169" t="inlineStr">
        <is>
          <t>.   .   -</t>
        </is>
      </c>
      <c r="O213" s="169" t="inlineStr">
        <is>
          <t>FEBRERO</t>
        </is>
      </c>
      <c r="P213" s="169" t="n">
        <v>5</v>
      </c>
      <c r="Q213" s="171" t="n">
        <v>726775</v>
      </c>
      <c r="R213" s="169" t="n"/>
      <c r="S213" s="171" t="n">
        <v>726775</v>
      </c>
      <c r="T213" s="169" t="inlineStr">
        <is>
          <t>CLP</t>
        </is>
      </c>
      <c r="U213" s="169" t="inlineStr">
        <is>
          <t>Carga LH 18-06-26</t>
        </is>
      </c>
      <c r="V213" s="169" t="inlineStr">
        <is>
          <t>2026-06-18</t>
        </is>
      </c>
    </row>
    <row r="214">
      <c r="A214" s="169" t="inlineStr">
        <is>
          <t>CR-0211</t>
        </is>
      </c>
      <c r="B214" s="169" t="inlineStr">
        <is>
          <t>2026/27</t>
        </is>
      </c>
      <c r="C214" s="231" t="n">
        <v>46057</v>
      </c>
      <c r="D214" s="169" t="inlineStr"/>
      <c r="E214" s="169" t="inlineStr">
        <is>
          <t>COMPRA</t>
        </is>
      </c>
      <c r="F214" s="169" t="inlineStr">
        <is>
          <t>Mega Catalina</t>
        </is>
      </c>
      <c r="G214" s="169" t="inlineStr">
        <is>
          <t>NARANJA CAMBRIA - 2009 (4,2 Ha.)</t>
        </is>
      </c>
      <c r="H214" s="169" t="n"/>
      <c r="I214" s="169" t="n"/>
      <c r="J214" s="169" t="inlineStr">
        <is>
          <t>ENERGIA Y AGUA</t>
        </is>
      </c>
      <c r="K214" s="169" t="inlineStr">
        <is>
          <t>SUMIN. ELECTRICO</t>
        </is>
      </c>
      <c r="L214" s="169" t="inlineStr">
        <is>
          <t>CONSUMO ELECTRICO</t>
        </is>
      </c>
      <c r="M214" s="169" t="n"/>
      <c r="N214" s="169" t="inlineStr">
        <is>
          <t>.   .   -</t>
        </is>
      </c>
      <c r="O214" s="169" t="inlineStr">
        <is>
          <t>FEBRERO</t>
        </is>
      </c>
      <c r="P214" s="169" t="n">
        <v>5</v>
      </c>
      <c r="Q214" s="171" t="n">
        <v>265431</v>
      </c>
      <c r="R214" s="169" t="n"/>
      <c r="S214" s="171" t="n">
        <v>265431</v>
      </c>
      <c r="T214" s="169" t="inlineStr">
        <is>
          <t>CLP</t>
        </is>
      </c>
      <c r="U214" s="169" t="inlineStr">
        <is>
          <t>Carga LH 18-06-26</t>
        </is>
      </c>
      <c r="V214" s="169" t="inlineStr">
        <is>
          <t>2026-06-18</t>
        </is>
      </c>
    </row>
    <row r="215">
      <c r="A215" s="169" t="inlineStr">
        <is>
          <t>CR-0212</t>
        </is>
      </c>
      <c r="B215" s="169" t="inlineStr">
        <is>
          <t>2026/27</t>
        </is>
      </c>
      <c r="C215" s="231" t="n">
        <v>46057</v>
      </c>
      <c r="D215" s="169" t="inlineStr"/>
      <c r="E215" s="169" t="inlineStr">
        <is>
          <t>COMPRA</t>
        </is>
      </c>
      <c r="F215" s="169" t="inlineStr">
        <is>
          <t>Mega Catalina</t>
        </is>
      </c>
      <c r="G215" s="169" t="inlineStr">
        <is>
          <t>MURCOTT - 2007 (21 Ha.)</t>
        </is>
      </c>
      <c r="H215" s="169" t="n"/>
      <c r="I215" s="169" t="n"/>
      <c r="J215" s="169" t="inlineStr">
        <is>
          <t>ENERGIA Y AGUA</t>
        </is>
      </c>
      <c r="K215" s="169" t="inlineStr">
        <is>
          <t>SUMIN. ELECTRICO</t>
        </is>
      </c>
      <c r="L215" s="169" t="inlineStr">
        <is>
          <t>CONSUMO ELECTRICO</t>
        </is>
      </c>
      <c r="M215" s="169" t="n"/>
      <c r="N215" s="169" t="inlineStr">
        <is>
          <t>.   .   -</t>
        </is>
      </c>
      <c r="O215" s="169" t="inlineStr">
        <is>
          <t>FEBRERO</t>
        </is>
      </c>
      <c r="P215" s="169" t="n">
        <v>5</v>
      </c>
      <c r="Q215" s="171" t="n">
        <v>1327154</v>
      </c>
      <c r="R215" s="169" t="n"/>
      <c r="S215" s="171" t="n">
        <v>1327154</v>
      </c>
      <c r="T215" s="169" t="inlineStr">
        <is>
          <t>CLP</t>
        </is>
      </c>
      <c r="U215" s="169" t="inlineStr">
        <is>
          <t>Carga LH 18-06-26</t>
        </is>
      </c>
      <c r="V215" s="169" t="inlineStr">
        <is>
          <t>2026-06-18</t>
        </is>
      </c>
    </row>
    <row r="216">
      <c r="A216" s="169" t="inlineStr">
        <is>
          <t>CR-0213</t>
        </is>
      </c>
      <c r="B216" s="169" t="inlineStr">
        <is>
          <t>2026/27</t>
        </is>
      </c>
      <c r="C216" s="231" t="n">
        <v>46057</v>
      </c>
      <c r="D216" s="169" t="inlineStr"/>
      <c r="E216" s="169" t="inlineStr">
        <is>
          <t>COMPRA</t>
        </is>
      </c>
      <c r="F216" s="169" t="inlineStr">
        <is>
          <t>Mega Catalina</t>
        </is>
      </c>
      <c r="G216" s="169" t="inlineStr">
        <is>
          <t>EUREKA - 1999 (22,5 Ha.)</t>
        </is>
      </c>
      <c r="H216" s="169" t="n"/>
      <c r="I216" s="169" t="n"/>
      <c r="J216" s="169" t="inlineStr">
        <is>
          <t>ENERGIA Y AGUA</t>
        </is>
      </c>
      <c r="K216" s="169" t="inlineStr">
        <is>
          <t>SUMIN. ELECTRICO</t>
        </is>
      </c>
      <c r="L216" s="169" t="inlineStr">
        <is>
          <t>CONSUMO ELECTRICO</t>
        </is>
      </c>
      <c r="M216" s="169" t="n"/>
      <c r="N216" s="169" t="inlineStr">
        <is>
          <t>.   .   -</t>
        </is>
      </c>
      <c r="O216" s="169" t="inlineStr">
        <is>
          <t>FEBRERO</t>
        </is>
      </c>
      <c r="P216" s="169" t="n">
        <v>5</v>
      </c>
      <c r="Q216" s="171" t="n">
        <v>805791</v>
      </c>
      <c r="R216" s="169" t="n"/>
      <c r="S216" s="171" t="n">
        <v>805791</v>
      </c>
      <c r="T216" s="169" t="inlineStr">
        <is>
          <t>CLP</t>
        </is>
      </c>
      <c r="U216" s="169" t="inlineStr">
        <is>
          <t>Carga LH 18-06-26</t>
        </is>
      </c>
      <c r="V216" s="169" t="inlineStr">
        <is>
          <t>2026-06-18</t>
        </is>
      </c>
    </row>
    <row r="217">
      <c r="A217" s="169" t="inlineStr">
        <is>
          <t>CR-0214</t>
        </is>
      </c>
      <c r="B217" s="169" t="inlineStr">
        <is>
          <t>2026/27</t>
        </is>
      </c>
      <c r="C217" s="231" t="n">
        <v>46057</v>
      </c>
      <c r="D217" s="169" t="inlineStr"/>
      <c r="E217" s="169" t="inlineStr">
        <is>
          <t>COMPRA</t>
        </is>
      </c>
      <c r="F217" s="169" t="inlineStr">
        <is>
          <t>Mega Catalina</t>
        </is>
      </c>
      <c r="G217" s="169" t="inlineStr">
        <is>
          <t>EUREKA - 1999 (10,6 Ha.)</t>
        </is>
      </c>
      <c r="H217" s="169" t="n"/>
      <c r="I217" s="169" t="n"/>
      <c r="J217" s="169" t="inlineStr">
        <is>
          <t>ENERGIA Y AGUA</t>
        </is>
      </c>
      <c r="K217" s="169" t="inlineStr">
        <is>
          <t>SUMIN. ELECTRICO</t>
        </is>
      </c>
      <c r="L217" s="169" t="inlineStr">
        <is>
          <t>CONSUMO ELECTRICO</t>
        </is>
      </c>
      <c r="M217" s="169" t="n"/>
      <c r="N217" s="169" t="inlineStr">
        <is>
          <t>.   .   -</t>
        </is>
      </c>
      <c r="O217" s="169" t="inlineStr">
        <is>
          <t>FEBRERO</t>
        </is>
      </c>
      <c r="P217" s="169" t="n">
        <v>5</v>
      </c>
      <c r="Q217" s="171" t="n">
        <v>366945</v>
      </c>
      <c r="R217" s="169" t="n"/>
      <c r="S217" s="171" t="n">
        <v>366945</v>
      </c>
      <c r="T217" s="169" t="inlineStr">
        <is>
          <t>CLP</t>
        </is>
      </c>
      <c r="U217" s="169" t="inlineStr">
        <is>
          <t>Carga LH 18-06-26</t>
        </is>
      </c>
      <c r="V217" s="169" t="inlineStr">
        <is>
          <t>2026-06-18</t>
        </is>
      </c>
    </row>
    <row r="218">
      <c r="A218" s="169" t="inlineStr">
        <is>
          <t>CR-0215</t>
        </is>
      </c>
      <c r="B218" s="169" t="inlineStr">
        <is>
          <t>2026/27</t>
        </is>
      </c>
      <c r="C218" s="231" t="n">
        <v>46057</v>
      </c>
      <c r="D218" s="169" t="inlineStr"/>
      <c r="E218" s="169" t="inlineStr">
        <is>
          <t>COMPRA</t>
        </is>
      </c>
      <c r="F218" s="169" t="inlineStr">
        <is>
          <t>Mega Catalina</t>
        </is>
      </c>
      <c r="G218" s="169" t="inlineStr">
        <is>
          <t>EUREKA - 2016 (14,4 Ha.)</t>
        </is>
      </c>
      <c r="H218" s="169" t="n"/>
      <c r="I218" s="169" t="n"/>
      <c r="J218" s="169" t="inlineStr">
        <is>
          <t>ENERGIA Y AGUA</t>
        </is>
      </c>
      <c r="K218" s="169" t="inlineStr">
        <is>
          <t>SUMIN. ELECTRICO</t>
        </is>
      </c>
      <c r="L218" s="169" t="inlineStr">
        <is>
          <t>CONSUMO ELECTRICO</t>
        </is>
      </c>
      <c r="M218" s="169" t="n"/>
      <c r="N218" s="169" t="inlineStr">
        <is>
          <t>.   .   -</t>
        </is>
      </c>
      <c r="O218" s="169" t="inlineStr">
        <is>
          <t>FEBRERO</t>
        </is>
      </c>
      <c r="P218" s="169" t="n">
        <v>5</v>
      </c>
      <c r="Q218" s="171" t="n">
        <v>357028</v>
      </c>
      <c r="R218" s="169" t="n"/>
      <c r="S218" s="171" t="n">
        <v>357028</v>
      </c>
      <c r="T218" s="169" t="inlineStr">
        <is>
          <t>CLP</t>
        </is>
      </c>
      <c r="U218" s="169" t="inlineStr">
        <is>
          <t>Carga LH 18-06-26</t>
        </is>
      </c>
      <c r="V218" s="169" t="inlineStr">
        <is>
          <t>2026-06-18</t>
        </is>
      </c>
    </row>
    <row r="219">
      <c r="A219" s="169" t="inlineStr">
        <is>
          <t>CR-0216</t>
        </is>
      </c>
      <c r="B219" s="169" t="inlineStr">
        <is>
          <t>2026/27</t>
        </is>
      </c>
      <c r="C219" s="231" t="n">
        <v>46057</v>
      </c>
      <c r="D219" s="169" t="inlineStr"/>
      <c r="E219" s="169" t="inlineStr">
        <is>
          <t>COMPRA</t>
        </is>
      </c>
      <c r="F219" s="169" t="inlineStr">
        <is>
          <t>Mega Catalina</t>
        </is>
      </c>
      <c r="G219" s="169" t="inlineStr">
        <is>
          <t>FINO 49 - 1999 (7,7 Ha.)</t>
        </is>
      </c>
      <c r="H219" s="169" t="n"/>
      <c r="I219" s="169" t="n"/>
      <c r="J219" s="169" t="inlineStr">
        <is>
          <t>ENERGIA Y AGUA</t>
        </is>
      </c>
      <c r="K219" s="169" t="inlineStr">
        <is>
          <t>SUMIN. ELECTRICO</t>
        </is>
      </c>
      <c r="L219" s="169" t="inlineStr">
        <is>
          <t>CONSUMO ELECTRICO</t>
        </is>
      </c>
      <c r="M219" s="169" t="n"/>
      <c r="N219" s="169" t="inlineStr">
        <is>
          <t>.   .   -</t>
        </is>
      </c>
      <c r="O219" s="169" t="inlineStr">
        <is>
          <t>FEBRERO</t>
        </is>
      </c>
      <c r="P219" s="169" t="n">
        <v>5</v>
      </c>
      <c r="Q219" s="171" t="n">
        <v>285126</v>
      </c>
      <c r="R219" s="169" t="n"/>
      <c r="S219" s="171" t="n">
        <v>285126</v>
      </c>
      <c r="T219" s="169" t="inlineStr">
        <is>
          <t>CLP</t>
        </is>
      </c>
      <c r="U219" s="169" t="inlineStr">
        <is>
          <t>Carga LH 18-06-26</t>
        </is>
      </c>
      <c r="V219" s="169" t="inlineStr">
        <is>
          <t>2026-06-18</t>
        </is>
      </c>
    </row>
    <row r="220">
      <c r="A220" s="169" t="inlineStr">
        <is>
          <t>CR-0217</t>
        </is>
      </c>
      <c r="B220" s="169" t="inlineStr">
        <is>
          <t>2026/27</t>
        </is>
      </c>
      <c r="C220" s="231" t="n">
        <v>46057</v>
      </c>
      <c r="D220" s="169" t="inlineStr"/>
      <c r="E220" s="169" t="inlineStr">
        <is>
          <t>COMPRA</t>
        </is>
      </c>
      <c r="F220" s="169" t="inlineStr">
        <is>
          <t>Mega Catalina</t>
        </is>
      </c>
      <c r="G220" s="169" t="inlineStr">
        <is>
          <t>NARANJA CAMBRIA - 2009 (4,2 Ha.)</t>
        </is>
      </c>
      <c r="H220" s="169" t="n"/>
      <c r="I220" s="169" t="n"/>
      <c r="J220" s="169" t="inlineStr">
        <is>
          <t>ENERGIA Y AGUA</t>
        </is>
      </c>
      <c r="K220" s="169" t="inlineStr">
        <is>
          <t>SUMIN. ELECTRICO</t>
        </is>
      </c>
      <c r="L220" s="169" t="inlineStr">
        <is>
          <t>CONSUMO ELECTRICO</t>
        </is>
      </c>
      <c r="M220" s="169" t="n"/>
      <c r="N220" s="169" t="inlineStr">
        <is>
          <t>.   .   -</t>
        </is>
      </c>
      <c r="O220" s="169" t="inlineStr">
        <is>
          <t>FEBRERO</t>
        </is>
      </c>
      <c r="P220" s="169" t="n">
        <v>5</v>
      </c>
      <c r="Q220" s="171" t="n">
        <v>104133</v>
      </c>
      <c r="R220" s="169" t="n"/>
      <c r="S220" s="171" t="n">
        <v>104133</v>
      </c>
      <c r="T220" s="169" t="inlineStr">
        <is>
          <t>CLP</t>
        </is>
      </c>
      <c r="U220" s="169" t="inlineStr">
        <is>
          <t>Carga LH 18-06-26</t>
        </is>
      </c>
      <c r="V220" s="169" t="inlineStr">
        <is>
          <t>2026-06-18</t>
        </is>
      </c>
    </row>
    <row r="221">
      <c r="A221" s="169" t="inlineStr">
        <is>
          <t>CR-0218</t>
        </is>
      </c>
      <c r="B221" s="169" t="inlineStr">
        <is>
          <t>2026/27</t>
        </is>
      </c>
      <c r="C221" s="231" t="n">
        <v>46057</v>
      </c>
      <c r="D221" s="169" t="inlineStr"/>
      <c r="E221" s="169" t="inlineStr">
        <is>
          <t>COMPRA</t>
        </is>
      </c>
      <c r="F221" s="169" t="inlineStr">
        <is>
          <t>Mega Catalina</t>
        </is>
      </c>
      <c r="G221" s="169" t="inlineStr">
        <is>
          <t>MURCOTT - 2007 (21 Ha.)</t>
        </is>
      </c>
      <c r="H221" s="169" t="n"/>
      <c r="I221" s="169" t="n"/>
      <c r="J221" s="169" t="inlineStr">
        <is>
          <t>ENERGIA Y AGUA</t>
        </is>
      </c>
      <c r="K221" s="169" t="inlineStr">
        <is>
          <t>SUMIN. ELECTRICO</t>
        </is>
      </c>
      <c r="L221" s="169" t="inlineStr">
        <is>
          <t>CONSUMO ELECTRICO</t>
        </is>
      </c>
      <c r="M221" s="169" t="n"/>
      <c r="N221" s="169" t="inlineStr">
        <is>
          <t>.   .   -</t>
        </is>
      </c>
      <c r="O221" s="169" t="inlineStr">
        <is>
          <t>FEBRERO</t>
        </is>
      </c>
      <c r="P221" s="169" t="n">
        <v>5</v>
      </c>
      <c r="Q221" s="171" t="n">
        <v>520665</v>
      </c>
      <c r="R221" s="169" t="n"/>
      <c r="S221" s="171" t="n">
        <v>520665</v>
      </c>
      <c r="T221" s="169" t="inlineStr">
        <is>
          <t>CLP</t>
        </is>
      </c>
      <c r="U221" s="169" t="inlineStr">
        <is>
          <t>Carga LH 18-06-26</t>
        </is>
      </c>
      <c r="V221" s="169" t="inlineStr">
        <is>
          <t>2026-06-18</t>
        </is>
      </c>
    </row>
    <row r="222">
      <c r="A222" s="169" t="inlineStr">
        <is>
          <t>CR-0219</t>
        </is>
      </c>
      <c r="B222" s="169" t="inlineStr">
        <is>
          <t>2026/27</t>
        </is>
      </c>
      <c r="C222" s="231" t="n">
        <v>46057</v>
      </c>
      <c r="D222" s="169" t="inlineStr"/>
      <c r="E222" s="169" t="inlineStr">
        <is>
          <t>COMPRA</t>
        </is>
      </c>
      <c r="F222" s="169" t="inlineStr">
        <is>
          <t>Mega Catalina</t>
        </is>
      </c>
      <c r="G222" s="169" t="inlineStr">
        <is>
          <t>EUREKA - 2016 (14,4 Ha.)</t>
        </is>
      </c>
      <c r="H222" s="169" t="n"/>
      <c r="I222" s="169" t="n"/>
      <c r="J222" s="169" t="inlineStr">
        <is>
          <t>ENERGIA Y AGUA</t>
        </is>
      </c>
      <c r="K222" s="169" t="inlineStr">
        <is>
          <t>SUMIN. ELECTRICO</t>
        </is>
      </c>
      <c r="L222" s="169" t="inlineStr">
        <is>
          <t>CONSUMO ELECTRICO</t>
        </is>
      </c>
      <c r="M222" s="169" t="n"/>
      <c r="N222" s="169" t="inlineStr">
        <is>
          <t>.   .   -</t>
        </is>
      </c>
      <c r="O222" s="169" t="inlineStr">
        <is>
          <t>FEBRERO</t>
        </is>
      </c>
      <c r="P222" s="169" t="n">
        <v>5</v>
      </c>
      <c r="Q222" s="171" t="n">
        <v>606362</v>
      </c>
      <c r="R222" s="169" t="n"/>
      <c r="S222" s="171" t="n">
        <v>606362</v>
      </c>
      <c r="T222" s="169" t="inlineStr">
        <is>
          <t>CLP</t>
        </is>
      </c>
      <c r="U222" s="169" t="inlineStr">
        <is>
          <t>Carga LH 18-06-26</t>
        </is>
      </c>
      <c r="V222" s="169" t="inlineStr">
        <is>
          <t>2026-06-18</t>
        </is>
      </c>
    </row>
    <row r="223">
      <c r="A223" s="169" t="inlineStr">
        <is>
          <t>CR-0220</t>
        </is>
      </c>
      <c r="B223" s="169" t="inlineStr">
        <is>
          <t>2026/27</t>
        </is>
      </c>
      <c r="C223" s="231" t="n">
        <v>46057</v>
      </c>
      <c r="D223" s="169" t="inlineStr"/>
      <c r="E223" s="169" t="inlineStr">
        <is>
          <t>COMPRA</t>
        </is>
      </c>
      <c r="F223" s="169" t="inlineStr">
        <is>
          <t>Mega Catalina</t>
        </is>
      </c>
      <c r="G223" s="169" t="inlineStr">
        <is>
          <t>EUREKA - 1999 (22,5 Ha.)</t>
        </is>
      </c>
      <c r="H223" s="169" t="n"/>
      <c r="I223" s="169" t="n"/>
      <c r="J223" s="169" t="inlineStr">
        <is>
          <t>ENERGIA Y AGUA</t>
        </is>
      </c>
      <c r="K223" s="169" t="inlineStr">
        <is>
          <t>SUMIN. ELECTRICO</t>
        </is>
      </c>
      <c r="L223" s="169" t="inlineStr">
        <is>
          <t>CONSUMO ELECTRICO</t>
        </is>
      </c>
      <c r="M223" s="169" t="n"/>
      <c r="N223" s="169" t="inlineStr">
        <is>
          <t>.   .   -</t>
        </is>
      </c>
      <c r="O223" s="169" t="inlineStr">
        <is>
          <t>FEBRERO</t>
        </is>
      </c>
      <c r="P223" s="169" t="n">
        <v>5</v>
      </c>
      <c r="Q223" s="171" t="n">
        <v>41608</v>
      </c>
      <c r="R223" s="169" t="n"/>
      <c r="S223" s="171" t="n">
        <v>41608</v>
      </c>
      <c r="T223" s="169" t="inlineStr">
        <is>
          <t>CLP</t>
        </is>
      </c>
      <c r="U223" s="169" t="inlineStr">
        <is>
          <t>Carga LH 18-06-26</t>
        </is>
      </c>
      <c r="V223" s="169" t="inlineStr">
        <is>
          <t>2026-06-18</t>
        </is>
      </c>
    </row>
    <row r="224">
      <c r="A224" s="169" t="inlineStr">
        <is>
          <t>CR-0221</t>
        </is>
      </c>
      <c r="B224" s="169" t="inlineStr">
        <is>
          <t>2026/27</t>
        </is>
      </c>
      <c r="C224" s="231" t="n">
        <v>46057</v>
      </c>
      <c r="D224" s="169" t="inlineStr"/>
      <c r="E224" s="169" t="inlineStr">
        <is>
          <t>COMPRA</t>
        </is>
      </c>
      <c r="F224" s="169" t="inlineStr">
        <is>
          <t>Mega Catalina</t>
        </is>
      </c>
      <c r="G224" s="169" t="inlineStr">
        <is>
          <t>EUREKA - 1999 (22,5 Ha.)</t>
        </is>
      </c>
      <c r="H224" s="169" t="n"/>
      <c r="I224" s="169" t="n"/>
      <c r="J224" s="169" t="inlineStr">
        <is>
          <t>ENERGIA Y AGUA</t>
        </is>
      </c>
      <c r="K224" s="169" t="inlineStr">
        <is>
          <t>SUMIN. ELECTRICO</t>
        </is>
      </c>
      <c r="L224" s="169" t="inlineStr">
        <is>
          <t>CONSUMO ELECTRICO</t>
        </is>
      </c>
      <c r="M224" s="169" t="n"/>
      <c r="N224" s="169" t="inlineStr">
        <is>
          <t>.   .   -</t>
        </is>
      </c>
      <c r="O224" s="169" t="inlineStr">
        <is>
          <t>FEBRERO</t>
        </is>
      </c>
      <c r="P224" s="169" t="n">
        <v>5</v>
      </c>
      <c r="Q224" s="171" t="n">
        <v>871</v>
      </c>
      <c r="R224" s="169" t="n"/>
      <c r="S224" s="171" t="n">
        <v>871</v>
      </c>
      <c r="T224" s="169" t="inlineStr">
        <is>
          <t>CLP</t>
        </is>
      </c>
      <c r="U224" s="169" t="inlineStr">
        <is>
          <t>Carga LH 18-06-26</t>
        </is>
      </c>
      <c r="V224" s="169" t="inlineStr">
        <is>
          <t>2026-06-18</t>
        </is>
      </c>
    </row>
    <row r="225">
      <c r="A225" s="169" t="inlineStr">
        <is>
          <t>CR-0222</t>
        </is>
      </c>
      <c r="B225" s="169" t="inlineStr">
        <is>
          <t>2026/27</t>
        </is>
      </c>
      <c r="C225" s="231" t="n">
        <v>46057</v>
      </c>
      <c r="D225" s="169" t="inlineStr"/>
      <c r="E225" s="169" t="inlineStr">
        <is>
          <t>COMPRA</t>
        </is>
      </c>
      <c r="F225" s="169" t="inlineStr">
        <is>
          <t>Mega Catalina</t>
        </is>
      </c>
      <c r="G225" s="169" t="inlineStr">
        <is>
          <t>EUREKA - 1999 (10,6 Ha.)</t>
        </is>
      </c>
      <c r="H225" s="169" t="n"/>
      <c r="I225" s="169" t="n"/>
      <c r="J225" s="169" t="inlineStr">
        <is>
          <t>ENERGIA Y AGUA</t>
        </is>
      </c>
      <c r="K225" s="169" t="inlineStr">
        <is>
          <t>SUMIN. ELECTRICO</t>
        </is>
      </c>
      <c r="L225" s="169" t="inlineStr">
        <is>
          <t>CONSUMO ELECTRICO</t>
        </is>
      </c>
      <c r="M225" s="169" t="n"/>
      <c r="N225" s="169" t="inlineStr">
        <is>
          <t>.   .   -</t>
        </is>
      </c>
      <c r="O225" s="169" t="inlineStr">
        <is>
          <t>FEBRERO</t>
        </is>
      </c>
      <c r="P225" s="169" t="n">
        <v>5</v>
      </c>
      <c r="Q225" s="171" t="n">
        <v>20067</v>
      </c>
      <c r="R225" s="169" t="n"/>
      <c r="S225" s="171" t="n">
        <v>20067</v>
      </c>
      <c r="T225" s="169" t="inlineStr">
        <is>
          <t>CLP</t>
        </is>
      </c>
      <c r="U225" s="169" t="inlineStr">
        <is>
          <t>Carga LH 18-06-26</t>
        </is>
      </c>
      <c r="V225" s="169" t="inlineStr">
        <is>
          <t>2026-06-18</t>
        </is>
      </c>
    </row>
    <row r="226">
      <c r="A226" s="169" t="inlineStr">
        <is>
          <t>CR-0223</t>
        </is>
      </c>
      <c r="B226" s="169" t="inlineStr">
        <is>
          <t>2026/27</t>
        </is>
      </c>
      <c r="C226" s="231" t="n">
        <v>46057</v>
      </c>
      <c r="D226" s="169" t="inlineStr"/>
      <c r="E226" s="169" t="inlineStr">
        <is>
          <t>COMPRA</t>
        </is>
      </c>
      <c r="F226" s="169" t="inlineStr">
        <is>
          <t>Mega Catalina</t>
        </is>
      </c>
      <c r="G226" s="169" t="inlineStr">
        <is>
          <t>EUREKA - 1999 (22,5 Ha.)</t>
        </is>
      </c>
      <c r="H226" s="169" t="n"/>
      <c r="I226" s="169" t="n"/>
      <c r="J226" s="169" t="inlineStr">
        <is>
          <t>ENERGIA Y AGUA</t>
        </is>
      </c>
      <c r="K226" s="169" t="inlineStr">
        <is>
          <t>SUMIN. ELECTRICO</t>
        </is>
      </c>
      <c r="L226" s="169" t="inlineStr">
        <is>
          <t>CONSUMO ELECTRICO</t>
        </is>
      </c>
      <c r="M226" s="169" t="n"/>
      <c r="N226" s="169" t="inlineStr">
        <is>
          <t>.   .   -</t>
        </is>
      </c>
      <c r="O226" s="169" t="inlineStr">
        <is>
          <t>FEBRERO</t>
        </is>
      </c>
      <c r="P226" s="169" t="n">
        <v>5</v>
      </c>
      <c r="Q226" s="171" t="n">
        <v>811276</v>
      </c>
      <c r="R226" s="169" t="n"/>
      <c r="S226" s="171" t="n">
        <v>811276</v>
      </c>
      <c r="T226" s="169" t="inlineStr">
        <is>
          <t>CLP</t>
        </is>
      </c>
      <c r="U226" s="169" t="inlineStr">
        <is>
          <t>Carga LH 18-06-26</t>
        </is>
      </c>
      <c r="V226" s="169" t="inlineStr">
        <is>
          <t>2026-06-18</t>
        </is>
      </c>
    </row>
    <row r="227">
      <c r="A227" s="169" t="inlineStr">
        <is>
          <t>CR-0224</t>
        </is>
      </c>
      <c r="B227" s="169" t="inlineStr">
        <is>
          <t>2026/27</t>
        </is>
      </c>
      <c r="C227" s="231" t="n">
        <v>46058</v>
      </c>
      <c r="D227" s="169" t="inlineStr">
        <is>
          <t>603</t>
        </is>
      </c>
      <c r="E227" s="169" t="inlineStr">
        <is>
          <t>COMPRA</t>
        </is>
      </c>
      <c r="F227" s="169" t="inlineStr">
        <is>
          <t>El Molle</t>
        </is>
      </c>
      <c r="G227" s="169" t="inlineStr">
        <is>
          <t>ARRUFATINA - 2017 (5,74 Ha.)</t>
        </is>
      </c>
      <c r="H227" s="169" t="n"/>
      <c r="I227" s="169" t="n"/>
      <c r="J227" s="169" t="inlineStr">
        <is>
          <t>LABORES OPERACIONALES</t>
        </is>
      </c>
      <c r="K227" s="169" t="inlineStr">
        <is>
          <t>OTROS SERVICIOS</t>
        </is>
      </c>
      <c r="L227" s="169" t="inlineStr">
        <is>
          <t>SERV.CONTRATISTA</t>
        </is>
      </c>
      <c r="M227" s="169" t="n"/>
      <c r="N227" s="169" t="inlineStr">
        <is>
          <t>.   .   -</t>
        </is>
      </c>
      <c r="O227" s="169" t="inlineStr">
        <is>
          <t>FEBRERO</t>
        </is>
      </c>
      <c r="P227" s="169" t="n">
        <v>5</v>
      </c>
      <c r="Q227" s="171" t="n">
        <v>255000</v>
      </c>
      <c r="R227" s="169" t="n"/>
      <c r="S227" s="171" t="n">
        <v>255000</v>
      </c>
      <c r="T227" s="169" t="inlineStr">
        <is>
          <t>CLP</t>
        </is>
      </c>
      <c r="U227" s="169" t="inlineStr">
        <is>
          <t>Carga LH 18-06-26</t>
        </is>
      </c>
      <c r="V227" s="169" t="inlineStr">
        <is>
          <t>2026-06-18</t>
        </is>
      </c>
    </row>
    <row r="228">
      <c r="A228" s="169" t="inlineStr">
        <is>
          <t>CR-0225</t>
        </is>
      </c>
      <c r="B228" s="169" t="inlineStr">
        <is>
          <t>2026/27</t>
        </is>
      </c>
      <c r="C228" s="231" t="n">
        <v>46058</v>
      </c>
      <c r="D228" s="169" t="inlineStr">
        <is>
          <t>603</t>
        </is>
      </c>
      <c r="E228" s="169" t="inlineStr">
        <is>
          <t>COMPRA</t>
        </is>
      </c>
      <c r="F228" s="169" t="inlineStr">
        <is>
          <t>El Molle</t>
        </is>
      </c>
      <c r="G228" s="169" t="inlineStr">
        <is>
          <t>ORONULES - 2017 (2,85 Ha.)</t>
        </is>
      </c>
      <c r="H228" s="169" t="n"/>
      <c r="I228" s="169" t="n"/>
      <c r="J228" s="169" t="inlineStr">
        <is>
          <t>LABORES OPERACIONALES</t>
        </is>
      </c>
      <c r="K228" s="169" t="inlineStr">
        <is>
          <t>OTROS SERVICIOS</t>
        </is>
      </c>
      <c r="L228" s="169" t="inlineStr">
        <is>
          <t>SERV.CONTRATISTA</t>
        </is>
      </c>
      <c r="M228" s="169" t="n"/>
      <c r="N228" s="169" t="inlineStr">
        <is>
          <t>.   .   -</t>
        </is>
      </c>
      <c r="O228" s="169" t="inlineStr">
        <is>
          <t>FEBRERO</t>
        </is>
      </c>
      <c r="P228" s="169" t="n">
        <v>5</v>
      </c>
      <c r="Q228" s="171" t="n">
        <v>85000</v>
      </c>
      <c r="R228" s="169" t="n"/>
      <c r="S228" s="171" t="n">
        <v>85000</v>
      </c>
      <c r="T228" s="169" t="inlineStr">
        <is>
          <t>CLP</t>
        </is>
      </c>
      <c r="U228" s="169" t="inlineStr">
        <is>
          <t>Carga LH 18-06-26</t>
        </is>
      </c>
      <c r="V228" s="169" t="inlineStr">
        <is>
          <t>2026-06-18</t>
        </is>
      </c>
    </row>
    <row r="229">
      <c r="A229" s="169" t="inlineStr">
        <is>
          <t>CR-0226</t>
        </is>
      </c>
      <c r="B229" s="169" t="inlineStr">
        <is>
          <t>2026/27</t>
        </is>
      </c>
      <c r="C229" s="231" t="n">
        <v>46058</v>
      </c>
      <c r="D229" s="169" t="inlineStr">
        <is>
          <t>603</t>
        </is>
      </c>
      <c r="E229" s="169" t="inlineStr">
        <is>
          <t>COMPRA</t>
        </is>
      </c>
      <c r="F229" s="169" t="inlineStr">
        <is>
          <t>Mega Catalina</t>
        </is>
      </c>
      <c r="G229" s="169" t="inlineStr">
        <is>
          <t>ORONULES - 2019 (2,5 Ha.)</t>
        </is>
      </c>
      <c r="H229" s="169" t="n"/>
      <c r="I229" s="169" t="n"/>
      <c r="J229" s="169" t="inlineStr">
        <is>
          <t>LABORES OPERACIONALES</t>
        </is>
      </c>
      <c r="K229" s="169" t="inlineStr">
        <is>
          <t>OTROS SERVICIOS</t>
        </is>
      </c>
      <c r="L229" s="169" t="inlineStr">
        <is>
          <t>SERV.CONTRATISTA</t>
        </is>
      </c>
      <c r="M229" s="169" t="n"/>
      <c r="N229" s="169" t="inlineStr">
        <is>
          <t>.   .   -</t>
        </is>
      </c>
      <c r="O229" s="169" t="inlineStr">
        <is>
          <t>FEBRERO</t>
        </is>
      </c>
      <c r="P229" s="169" t="n">
        <v>5</v>
      </c>
      <c r="Q229" s="171" t="n">
        <v>85000</v>
      </c>
      <c r="R229" s="169" t="n"/>
      <c r="S229" s="171" t="n">
        <v>85000</v>
      </c>
      <c r="T229" s="169" t="inlineStr">
        <is>
          <t>CLP</t>
        </is>
      </c>
      <c r="U229" s="169" t="inlineStr">
        <is>
          <t>Carga LH 18-06-26</t>
        </is>
      </c>
      <c r="V229" s="169" t="inlineStr">
        <is>
          <t>2026-06-18</t>
        </is>
      </c>
    </row>
    <row r="230">
      <c r="A230" s="169" t="inlineStr">
        <is>
          <t>CR-0227</t>
        </is>
      </c>
      <c r="B230" s="169" t="inlineStr">
        <is>
          <t>2026/27</t>
        </is>
      </c>
      <c r="C230" s="231" t="n">
        <v>46058</v>
      </c>
      <c r="D230" s="169" t="inlineStr">
        <is>
          <t>603</t>
        </is>
      </c>
      <c r="E230" s="169" t="inlineStr">
        <is>
          <t>COMPRA</t>
        </is>
      </c>
      <c r="F230" s="169" t="inlineStr">
        <is>
          <t>El Molle</t>
        </is>
      </c>
      <c r="G230" s="169" t="inlineStr">
        <is>
          <t>OROGRANDE - 2007 (8,11 Ha.)</t>
        </is>
      </c>
      <c r="H230" s="169" t="n"/>
      <c r="I230" s="169" t="n"/>
      <c r="J230" s="169" t="inlineStr">
        <is>
          <t>LABORES OPERACIONALES</t>
        </is>
      </c>
      <c r="K230" s="169" t="inlineStr">
        <is>
          <t>OTROS SERVICIOS</t>
        </is>
      </c>
      <c r="L230" s="169" t="inlineStr">
        <is>
          <t>SERV.CONTRATISTA</t>
        </is>
      </c>
      <c r="M230" s="169" t="n"/>
      <c r="N230" s="169" t="inlineStr">
        <is>
          <t>.   .   -</t>
        </is>
      </c>
      <c r="O230" s="169" t="inlineStr">
        <is>
          <t>FEBRERO</t>
        </is>
      </c>
      <c r="P230" s="169" t="n">
        <v>5</v>
      </c>
      <c r="Q230" s="171" t="n">
        <v>340000</v>
      </c>
      <c r="R230" s="169" t="n"/>
      <c r="S230" s="171" t="n">
        <v>340000</v>
      </c>
      <c r="T230" s="169" t="inlineStr">
        <is>
          <t>CLP</t>
        </is>
      </c>
      <c r="U230" s="169" t="inlineStr">
        <is>
          <t>Carga LH 18-06-26</t>
        </is>
      </c>
      <c r="V230" s="169" t="inlineStr">
        <is>
          <t>2026-06-18</t>
        </is>
      </c>
    </row>
    <row r="231">
      <c r="A231" s="169" t="inlineStr">
        <is>
          <t>CR-0228</t>
        </is>
      </c>
      <c r="B231" s="169" t="inlineStr">
        <is>
          <t>2026/27</t>
        </is>
      </c>
      <c r="C231" s="231" t="n">
        <v>46058</v>
      </c>
      <c r="D231" s="169" t="inlineStr">
        <is>
          <t>603</t>
        </is>
      </c>
      <c r="E231" s="169" t="inlineStr">
        <is>
          <t>COMPRA</t>
        </is>
      </c>
      <c r="F231" s="169" t="inlineStr">
        <is>
          <t>El Molle</t>
        </is>
      </c>
      <c r="G231" s="169" t="inlineStr">
        <is>
          <t>WONDERFUL - 2002 (2,80 Ha.)</t>
        </is>
      </c>
      <c r="H231" s="169" t="n"/>
      <c r="I231" s="169" t="n"/>
      <c r="J231" s="169" t="inlineStr">
        <is>
          <t>LABORES OPERACIONALES</t>
        </is>
      </c>
      <c r="K231" s="169" t="inlineStr">
        <is>
          <t>OTROS SERVICIOS</t>
        </is>
      </c>
      <c r="L231" s="169" t="inlineStr">
        <is>
          <t>SERV.CONTRATISTA</t>
        </is>
      </c>
      <c r="M231" s="169" t="n"/>
      <c r="N231" s="169" t="inlineStr">
        <is>
          <t>.   .   -</t>
        </is>
      </c>
      <c r="O231" s="169" t="inlineStr">
        <is>
          <t>FEBRERO</t>
        </is>
      </c>
      <c r="P231" s="169" t="n">
        <v>5</v>
      </c>
      <c r="Q231" s="171" t="n">
        <v>85000</v>
      </c>
      <c r="R231" s="169" t="n"/>
      <c r="S231" s="171" t="n">
        <v>85000</v>
      </c>
      <c r="T231" s="169" t="inlineStr">
        <is>
          <t>CLP</t>
        </is>
      </c>
      <c r="U231" s="169" t="inlineStr">
        <is>
          <t>Carga LH 18-06-26</t>
        </is>
      </c>
      <c r="V231" s="169" t="inlineStr">
        <is>
          <t>2026-06-18</t>
        </is>
      </c>
    </row>
    <row r="232">
      <c r="A232" s="169" t="inlineStr">
        <is>
          <t>CR-0229</t>
        </is>
      </c>
      <c r="B232" s="169" t="inlineStr">
        <is>
          <t>2026/27</t>
        </is>
      </c>
      <c r="C232" s="231" t="n">
        <v>46058</v>
      </c>
      <c r="D232" s="169" t="inlineStr">
        <is>
          <t>603</t>
        </is>
      </c>
      <c r="E232" s="169" t="inlineStr">
        <is>
          <t>COMPRA</t>
        </is>
      </c>
      <c r="F232" s="169" t="inlineStr">
        <is>
          <t>El Molle</t>
        </is>
      </c>
      <c r="G232" s="169" t="inlineStr">
        <is>
          <t>WONDERFUL - 2007 (2,44 Ha.)</t>
        </is>
      </c>
      <c r="H232" s="169" t="n"/>
      <c r="I232" s="169" t="n"/>
      <c r="J232" s="169" t="inlineStr">
        <is>
          <t>LABORES OPERACIONALES</t>
        </is>
      </c>
      <c r="K232" s="169" t="inlineStr">
        <is>
          <t>OTROS SERVICIOS</t>
        </is>
      </c>
      <c r="L232" s="169" t="inlineStr">
        <is>
          <t>SERV.CONTRATISTA</t>
        </is>
      </c>
      <c r="M232" s="169" t="n"/>
      <c r="N232" s="169" t="inlineStr">
        <is>
          <t>.   .   -</t>
        </is>
      </c>
      <c r="O232" s="169" t="inlineStr">
        <is>
          <t>FEBRERO</t>
        </is>
      </c>
      <c r="P232" s="169" t="n">
        <v>5</v>
      </c>
      <c r="Q232" s="171" t="n">
        <v>85000</v>
      </c>
      <c r="R232" s="169" t="n"/>
      <c r="S232" s="171" t="n">
        <v>85000</v>
      </c>
      <c r="T232" s="169" t="inlineStr">
        <is>
          <t>CLP</t>
        </is>
      </c>
      <c r="U232" s="169" t="inlineStr">
        <is>
          <t>Carga LH 18-06-26</t>
        </is>
      </c>
      <c r="V232" s="169" t="inlineStr">
        <is>
          <t>2026-06-18</t>
        </is>
      </c>
    </row>
    <row r="233">
      <c r="A233" s="169" t="inlineStr">
        <is>
          <t>CR-0230</t>
        </is>
      </c>
      <c r="B233" s="169" t="inlineStr">
        <is>
          <t>2026/27</t>
        </is>
      </c>
      <c r="C233" s="231" t="n">
        <v>46058</v>
      </c>
      <c r="D233" s="169" t="inlineStr">
        <is>
          <t>19</t>
        </is>
      </c>
      <c r="E233" s="169" t="inlineStr">
        <is>
          <t>COMPRA</t>
        </is>
      </c>
      <c r="F233" s="169" t="inlineStr">
        <is>
          <t>Mega Catalina</t>
        </is>
      </c>
      <c r="G233" s="169" t="inlineStr">
        <is>
          <t>INJERTO TIMPSON - 2018 (3,8 Ha.)</t>
        </is>
      </c>
      <c r="H233" s="169" t="n"/>
      <c r="I233" s="169" t="n"/>
      <c r="J233" s="169" t="inlineStr">
        <is>
          <t>LABORES OPERACIONALES</t>
        </is>
      </c>
      <c r="K233" s="169" t="inlineStr">
        <is>
          <t>OTROS SERVICIOS</t>
        </is>
      </c>
      <c r="L233" s="169" t="inlineStr">
        <is>
          <t>SERV.CONTRATISTA</t>
        </is>
      </c>
      <c r="M233" s="169" t="n"/>
      <c r="N233" s="169" t="inlineStr">
        <is>
          <t>.   .   -</t>
        </is>
      </c>
      <c r="O233" s="169" t="inlineStr">
        <is>
          <t>FEBRERO</t>
        </is>
      </c>
      <c r="P233" s="169" t="n">
        <v>5</v>
      </c>
      <c r="Q233" s="171" t="n">
        <v>287214</v>
      </c>
      <c r="R233" s="169" t="n"/>
      <c r="S233" s="171" t="n">
        <v>287214</v>
      </c>
      <c r="T233" s="169" t="inlineStr">
        <is>
          <t>CLP</t>
        </is>
      </c>
      <c r="U233" s="169" t="inlineStr">
        <is>
          <t>Carga LH 18-06-26</t>
        </is>
      </c>
      <c r="V233" s="169" t="inlineStr">
        <is>
          <t>2026-06-18</t>
        </is>
      </c>
    </row>
    <row r="234">
      <c r="A234" s="169" t="inlineStr">
        <is>
          <t>CR-0231</t>
        </is>
      </c>
      <c r="B234" s="169" t="inlineStr">
        <is>
          <t>2026/27</t>
        </is>
      </c>
      <c r="C234" s="231" t="n">
        <v>46058</v>
      </c>
      <c r="D234" s="169" t="inlineStr">
        <is>
          <t>19</t>
        </is>
      </c>
      <c r="E234" s="169" t="inlineStr">
        <is>
          <t>COMPRA</t>
        </is>
      </c>
      <c r="F234" s="169" t="inlineStr">
        <is>
          <t>Mega Catalina</t>
        </is>
      </c>
      <c r="G234" s="169" t="inlineStr">
        <is>
          <t>INJERTO TIMPSON - 2019 (4,2 Ha.)</t>
        </is>
      </c>
      <c r="H234" s="169" t="n"/>
      <c r="I234" s="169" t="n"/>
      <c r="J234" s="169" t="inlineStr">
        <is>
          <t>LABORES OPERACIONALES</t>
        </is>
      </c>
      <c r="K234" s="169" t="inlineStr">
        <is>
          <t>OTROS SERVICIOS</t>
        </is>
      </c>
      <c r="L234" s="169" t="inlineStr">
        <is>
          <t>SERV.CONTRATISTA</t>
        </is>
      </c>
      <c r="M234" s="169" t="n"/>
      <c r="N234" s="169" t="inlineStr">
        <is>
          <t>.   .   -</t>
        </is>
      </c>
      <c r="O234" s="169" t="inlineStr">
        <is>
          <t>FEBRERO</t>
        </is>
      </c>
      <c r="P234" s="169" t="n">
        <v>5</v>
      </c>
      <c r="Q234" s="171" t="n">
        <v>287214</v>
      </c>
      <c r="R234" s="169" t="n"/>
      <c r="S234" s="171" t="n">
        <v>287214</v>
      </c>
      <c r="T234" s="169" t="inlineStr">
        <is>
          <t>CLP</t>
        </is>
      </c>
      <c r="U234" s="169" t="inlineStr">
        <is>
          <t>Carga LH 18-06-26</t>
        </is>
      </c>
      <c r="V234" s="169" t="inlineStr">
        <is>
          <t>2026-06-18</t>
        </is>
      </c>
    </row>
    <row r="235">
      <c r="A235" s="169" t="inlineStr">
        <is>
          <t>CR-0232</t>
        </is>
      </c>
      <c r="B235" s="169" t="inlineStr">
        <is>
          <t>2026/27</t>
        </is>
      </c>
      <c r="C235" s="231" t="n">
        <v>46058</v>
      </c>
      <c r="D235" s="169" t="inlineStr">
        <is>
          <t>19</t>
        </is>
      </c>
      <c r="E235" s="169" t="inlineStr">
        <is>
          <t>COMPRA</t>
        </is>
      </c>
      <c r="F235" s="169" t="inlineStr">
        <is>
          <t>Mega Catalina</t>
        </is>
      </c>
      <c r="G235" s="169" t="inlineStr">
        <is>
          <t>SWEET CELEBRATION - 2015 (7,14 Ha.)</t>
        </is>
      </c>
      <c r="H235" s="169" t="n"/>
      <c r="I235" s="169" t="n"/>
      <c r="J235" s="169" t="inlineStr">
        <is>
          <t>LABORES OPERACIONALES</t>
        </is>
      </c>
      <c r="K235" s="169" t="inlineStr">
        <is>
          <t>OTROS SERVICIOS</t>
        </is>
      </c>
      <c r="L235" s="169" t="inlineStr">
        <is>
          <t>SERV.CONTRATISTA</t>
        </is>
      </c>
      <c r="M235" s="169" t="n"/>
      <c r="N235" s="169" t="inlineStr">
        <is>
          <t>.   .   -</t>
        </is>
      </c>
      <c r="O235" s="169" t="inlineStr">
        <is>
          <t>FEBRERO</t>
        </is>
      </c>
      <c r="P235" s="169" t="n">
        <v>5</v>
      </c>
      <c r="Q235" s="171" t="n">
        <v>382952</v>
      </c>
      <c r="R235" s="169" t="n"/>
      <c r="S235" s="171" t="n">
        <v>382952</v>
      </c>
      <c r="T235" s="169" t="inlineStr">
        <is>
          <t>CLP</t>
        </is>
      </c>
      <c r="U235" s="169" t="inlineStr">
        <is>
          <t>Carga LH 18-06-26</t>
        </is>
      </c>
      <c r="V235" s="169" t="inlineStr">
        <is>
          <t>2026-06-18</t>
        </is>
      </c>
    </row>
    <row r="236">
      <c r="A236" s="169" t="inlineStr">
        <is>
          <t>CR-0233</t>
        </is>
      </c>
      <c r="B236" s="169" t="inlineStr">
        <is>
          <t>2026/27</t>
        </is>
      </c>
      <c r="C236" s="231" t="n">
        <v>46058</v>
      </c>
      <c r="D236" s="169" t="inlineStr">
        <is>
          <t>21</t>
        </is>
      </c>
      <c r="E236" s="169" t="inlineStr">
        <is>
          <t>COMPRA</t>
        </is>
      </c>
      <c r="F236" s="169" t="inlineStr">
        <is>
          <t>Asmara</t>
        </is>
      </c>
      <c r="G236" s="169" t="inlineStr">
        <is>
          <t>MURCOTT - 2020 (19,8 Ha.)</t>
        </is>
      </c>
      <c r="H236" s="169" t="n"/>
      <c r="I236" s="169" t="n"/>
      <c r="J236" s="169" t="inlineStr">
        <is>
          <t>LABORES OPERACIONALES</t>
        </is>
      </c>
      <c r="K236" s="169" t="inlineStr">
        <is>
          <t>OTROS SERVICIOS</t>
        </is>
      </c>
      <c r="L236" s="169" t="inlineStr">
        <is>
          <t>SERV.CONTRATISTA</t>
        </is>
      </c>
      <c r="M236" s="169" t="n"/>
      <c r="N236" s="169" t="inlineStr">
        <is>
          <t>.   .   -</t>
        </is>
      </c>
      <c r="O236" s="169" t="inlineStr">
        <is>
          <t>FEBRERO</t>
        </is>
      </c>
      <c r="P236" s="169" t="n">
        <v>5</v>
      </c>
      <c r="Q236" s="171" t="n">
        <v>189750</v>
      </c>
      <c r="R236" s="169" t="n"/>
      <c r="S236" s="171" t="n">
        <v>189750</v>
      </c>
      <c r="T236" s="169" t="inlineStr">
        <is>
          <t>CLP</t>
        </is>
      </c>
      <c r="U236" s="169" t="inlineStr">
        <is>
          <t>Carga LH 18-06-26</t>
        </is>
      </c>
      <c r="V236" s="169" t="inlineStr">
        <is>
          <t>2026-06-18</t>
        </is>
      </c>
    </row>
    <row r="237">
      <c r="A237" s="169" t="inlineStr">
        <is>
          <t>CR-0234</t>
        </is>
      </c>
      <c r="B237" s="169" t="inlineStr">
        <is>
          <t>2026/27</t>
        </is>
      </c>
      <c r="C237" s="231" t="n">
        <v>46058</v>
      </c>
      <c r="D237" s="169" t="inlineStr">
        <is>
          <t>21</t>
        </is>
      </c>
      <c r="E237" s="169" t="inlineStr">
        <is>
          <t>COMPRA</t>
        </is>
      </c>
      <c r="F237" s="169" t="inlineStr">
        <is>
          <t>Asmara</t>
        </is>
      </c>
      <c r="G237" s="169" t="inlineStr">
        <is>
          <t>MURCOTT - 2020 (4,9 Ha.)</t>
        </is>
      </c>
      <c r="H237" s="169" t="n"/>
      <c r="I237" s="169" t="n"/>
      <c r="J237" s="169" t="inlineStr">
        <is>
          <t>LABORES OPERACIONALES</t>
        </is>
      </c>
      <c r="K237" s="169" t="inlineStr">
        <is>
          <t>OTROS SERVICIOS</t>
        </is>
      </c>
      <c r="L237" s="169" t="inlineStr">
        <is>
          <t>SERV.CONTRATISTA</t>
        </is>
      </c>
      <c r="M237" s="169" t="n"/>
      <c r="N237" s="169" t="inlineStr">
        <is>
          <t>.   .   -</t>
        </is>
      </c>
      <c r="O237" s="169" t="inlineStr">
        <is>
          <t>FEBRERO</t>
        </is>
      </c>
      <c r="P237" s="169" t="n">
        <v>5</v>
      </c>
      <c r="Q237" s="171" t="n">
        <v>63250</v>
      </c>
      <c r="R237" s="169" t="n"/>
      <c r="S237" s="171" t="n">
        <v>63250</v>
      </c>
      <c r="T237" s="169" t="inlineStr">
        <is>
          <t>CLP</t>
        </is>
      </c>
      <c r="U237" s="169" t="inlineStr">
        <is>
          <t>Carga LH 18-06-26</t>
        </is>
      </c>
      <c r="V237" s="169" t="inlineStr">
        <is>
          <t>2026-06-18</t>
        </is>
      </c>
    </row>
    <row r="238">
      <c r="A238" s="169" t="inlineStr">
        <is>
          <t>CR-0235</t>
        </is>
      </c>
      <c r="B238" s="169" t="inlineStr">
        <is>
          <t>2026/27</t>
        </is>
      </c>
      <c r="C238" s="231" t="n">
        <v>46058</v>
      </c>
      <c r="D238" s="169" t="inlineStr">
        <is>
          <t>18</t>
        </is>
      </c>
      <c r="E238" s="169" t="inlineStr">
        <is>
          <t>COMPRA</t>
        </is>
      </c>
      <c r="F238" s="169" t="inlineStr">
        <is>
          <t>Mega Catalina</t>
        </is>
      </c>
      <c r="G238" s="169" t="inlineStr">
        <is>
          <t>EUREKA - 1999 (22,5 Ha.)</t>
        </is>
      </c>
      <c r="H238" s="169" t="n"/>
      <c r="I238" s="169" t="n"/>
      <c r="J238" s="169" t="inlineStr">
        <is>
          <t>LABORES OPERACIONALES</t>
        </is>
      </c>
      <c r="K238" s="169" t="inlineStr">
        <is>
          <t>OTROS SERVICIOS</t>
        </is>
      </c>
      <c r="L238" s="169" t="inlineStr">
        <is>
          <t>SERV.CONTRATISTA</t>
        </is>
      </c>
      <c r="M238" s="169" t="n"/>
      <c r="N238" s="169" t="inlineStr">
        <is>
          <t>.   .   -</t>
        </is>
      </c>
      <c r="O238" s="169" t="inlineStr">
        <is>
          <t>FEBRERO</t>
        </is>
      </c>
      <c r="P238" s="169" t="n">
        <v>5</v>
      </c>
      <c r="Q238" s="171" t="n">
        <v>191476</v>
      </c>
      <c r="R238" s="169" t="n"/>
      <c r="S238" s="171" t="n">
        <v>191476</v>
      </c>
      <c r="T238" s="169" t="inlineStr">
        <is>
          <t>CLP</t>
        </is>
      </c>
      <c r="U238" s="169" t="inlineStr">
        <is>
          <t>Carga LH 18-06-26</t>
        </is>
      </c>
      <c r="V238" s="169" t="inlineStr">
        <is>
          <t>2026-06-18</t>
        </is>
      </c>
    </row>
    <row r="239">
      <c r="A239" s="169" t="inlineStr">
        <is>
          <t>CR-0236</t>
        </is>
      </c>
      <c r="B239" s="169" t="inlineStr">
        <is>
          <t>2026/27</t>
        </is>
      </c>
      <c r="C239" s="231" t="n">
        <v>46058</v>
      </c>
      <c r="D239" s="169" t="inlineStr">
        <is>
          <t>18</t>
        </is>
      </c>
      <c r="E239" s="169" t="inlineStr">
        <is>
          <t>COMPRA</t>
        </is>
      </c>
      <c r="F239" s="169" t="inlineStr">
        <is>
          <t>Mega Catalina</t>
        </is>
      </c>
      <c r="G239" s="169" t="inlineStr">
        <is>
          <t>EUREKA - 1999 (10,6 Ha.)</t>
        </is>
      </c>
      <c r="H239" s="169" t="n"/>
      <c r="I239" s="169" t="n"/>
      <c r="J239" s="169" t="inlineStr">
        <is>
          <t>LABORES OPERACIONALES</t>
        </is>
      </c>
      <c r="K239" s="169" t="inlineStr">
        <is>
          <t>OTROS SERVICIOS</t>
        </is>
      </c>
      <c r="L239" s="169" t="inlineStr">
        <is>
          <t>SERV.CONTRATISTA</t>
        </is>
      </c>
      <c r="M239" s="169" t="n"/>
      <c r="N239" s="169" t="inlineStr">
        <is>
          <t>.   .   -</t>
        </is>
      </c>
      <c r="O239" s="169" t="inlineStr">
        <is>
          <t>FEBRERO</t>
        </is>
      </c>
      <c r="P239" s="169" t="n">
        <v>5</v>
      </c>
      <c r="Q239" s="171" t="n">
        <v>95738</v>
      </c>
      <c r="R239" s="169" t="n"/>
      <c r="S239" s="171" t="n">
        <v>95738</v>
      </c>
      <c r="T239" s="169" t="inlineStr">
        <is>
          <t>CLP</t>
        </is>
      </c>
      <c r="U239" s="169" t="inlineStr">
        <is>
          <t>Carga LH 18-06-26</t>
        </is>
      </c>
      <c r="V239" s="169" t="inlineStr">
        <is>
          <t>2026-06-18</t>
        </is>
      </c>
    </row>
    <row r="240">
      <c r="A240" s="169" t="inlineStr">
        <is>
          <t>CR-0237</t>
        </is>
      </c>
      <c r="B240" s="169" t="inlineStr">
        <is>
          <t>2026/27</t>
        </is>
      </c>
      <c r="C240" s="231" t="n">
        <v>46058</v>
      </c>
      <c r="D240" s="169" t="inlineStr">
        <is>
          <t>18</t>
        </is>
      </c>
      <c r="E240" s="169" t="inlineStr">
        <is>
          <t>COMPRA</t>
        </is>
      </c>
      <c r="F240" s="169" t="inlineStr">
        <is>
          <t>Mega Catalina</t>
        </is>
      </c>
      <c r="G240" s="169" t="inlineStr">
        <is>
          <t>EUREKA - 2016 (14,4 Ha.)</t>
        </is>
      </c>
      <c r="H240" s="169" t="n"/>
      <c r="I240" s="169" t="n"/>
      <c r="J240" s="169" t="inlineStr">
        <is>
          <t>LABORES OPERACIONALES</t>
        </is>
      </c>
      <c r="K240" s="169" t="inlineStr">
        <is>
          <t>OTROS SERVICIOS</t>
        </is>
      </c>
      <c r="L240" s="169" t="inlineStr">
        <is>
          <t>SERV.CONTRATISTA</t>
        </is>
      </c>
      <c r="M240" s="169" t="n"/>
      <c r="N240" s="169" t="inlineStr">
        <is>
          <t>.   .   -</t>
        </is>
      </c>
      <c r="O240" s="169" t="inlineStr">
        <is>
          <t>FEBRERO</t>
        </is>
      </c>
      <c r="P240" s="169" t="n">
        <v>5</v>
      </c>
      <c r="Q240" s="171" t="n">
        <v>95738</v>
      </c>
      <c r="R240" s="169" t="n"/>
      <c r="S240" s="171" t="n">
        <v>95738</v>
      </c>
      <c r="T240" s="169" t="inlineStr">
        <is>
          <t>CLP</t>
        </is>
      </c>
      <c r="U240" s="169" t="inlineStr">
        <is>
          <t>Carga LH 18-06-26</t>
        </is>
      </c>
      <c r="V240" s="169" t="inlineStr">
        <is>
          <t>2026-06-18</t>
        </is>
      </c>
    </row>
    <row r="241">
      <c r="A241" s="169" t="inlineStr">
        <is>
          <t>CR-0238</t>
        </is>
      </c>
      <c r="B241" s="169" t="inlineStr">
        <is>
          <t>2026/27</t>
        </is>
      </c>
      <c r="C241" s="231" t="n">
        <v>46058</v>
      </c>
      <c r="D241" s="169" t="inlineStr">
        <is>
          <t>18</t>
        </is>
      </c>
      <c r="E241" s="169" t="inlineStr">
        <is>
          <t>COMPRA</t>
        </is>
      </c>
      <c r="F241" s="169" t="inlineStr">
        <is>
          <t>Mega Catalina</t>
        </is>
      </c>
      <c r="G241" s="169" t="inlineStr">
        <is>
          <t>FINO 49 - 1999 (7,7 Ha.)</t>
        </is>
      </c>
      <c r="H241" s="169" t="n"/>
      <c r="I241" s="169" t="n"/>
      <c r="J241" s="169" t="inlineStr">
        <is>
          <t>LABORES OPERACIONALES</t>
        </is>
      </c>
      <c r="K241" s="169" t="inlineStr">
        <is>
          <t>OTROS SERVICIOS</t>
        </is>
      </c>
      <c r="L241" s="169" t="inlineStr">
        <is>
          <t>SERV.CONTRATISTA</t>
        </is>
      </c>
      <c r="M241" s="169" t="n"/>
      <c r="N241" s="169" t="inlineStr">
        <is>
          <t>.   .   -</t>
        </is>
      </c>
      <c r="O241" s="169" t="inlineStr">
        <is>
          <t>FEBRERO</t>
        </is>
      </c>
      <c r="P241" s="169" t="n">
        <v>5</v>
      </c>
      <c r="Q241" s="171" t="n">
        <v>95738</v>
      </c>
      <c r="R241" s="169" t="n"/>
      <c r="S241" s="171" t="n">
        <v>95738</v>
      </c>
      <c r="T241" s="169" t="inlineStr">
        <is>
          <t>CLP</t>
        </is>
      </c>
      <c r="U241" s="169" t="inlineStr">
        <is>
          <t>Carga LH 18-06-26</t>
        </is>
      </c>
      <c r="V241" s="169" t="inlineStr">
        <is>
          <t>2026-06-18</t>
        </is>
      </c>
    </row>
    <row r="242">
      <c r="A242" s="169" t="inlineStr">
        <is>
          <t>CR-0239</t>
        </is>
      </c>
      <c r="B242" s="169" t="inlineStr">
        <is>
          <t>2026/27</t>
        </is>
      </c>
      <c r="C242" s="231" t="n">
        <v>46058</v>
      </c>
      <c r="D242" s="169" t="inlineStr">
        <is>
          <t>18</t>
        </is>
      </c>
      <c r="E242" s="169" t="inlineStr">
        <is>
          <t>COMPRA</t>
        </is>
      </c>
      <c r="F242" s="169" t="inlineStr">
        <is>
          <t>Mega Catalina</t>
        </is>
      </c>
      <c r="G242" s="169" t="inlineStr">
        <is>
          <t>NO USAR NARANJAS CAMBRIA (4,2 Hta.)</t>
        </is>
      </c>
      <c r="H242" s="169" t="n"/>
      <c r="I242" s="169" t="n"/>
      <c r="J242" s="169" t="inlineStr">
        <is>
          <t>LABORES OPERACIONALES</t>
        </is>
      </c>
      <c r="K242" s="169" t="inlineStr">
        <is>
          <t>OTROS SERVICIOS</t>
        </is>
      </c>
      <c r="L242" s="169" t="inlineStr">
        <is>
          <t>SERV.CONTRATISTA</t>
        </is>
      </c>
      <c r="M242" s="169" t="n"/>
      <c r="N242" s="169" t="inlineStr">
        <is>
          <t>.   .   -</t>
        </is>
      </c>
      <c r="O242" s="169" t="inlineStr">
        <is>
          <t>FEBRERO</t>
        </is>
      </c>
      <c r="P242" s="169" t="n">
        <v>5</v>
      </c>
      <c r="Q242" s="171" t="n">
        <v>12000</v>
      </c>
      <c r="R242" s="169" t="n"/>
      <c r="S242" s="171" t="n">
        <v>12000</v>
      </c>
      <c r="T242" s="169" t="inlineStr">
        <is>
          <t>CLP</t>
        </is>
      </c>
      <c r="U242" s="169" t="inlineStr">
        <is>
          <t>Carga LH 18-06-26</t>
        </is>
      </c>
      <c r="V242" s="169" t="inlineStr">
        <is>
          <t>2026-06-18</t>
        </is>
      </c>
    </row>
    <row r="243">
      <c r="A243" s="169" t="inlineStr">
        <is>
          <t>CR-0240</t>
        </is>
      </c>
      <c r="B243" s="169" t="inlineStr">
        <is>
          <t>2026/27</t>
        </is>
      </c>
      <c r="C243" s="231" t="n">
        <v>46058</v>
      </c>
      <c r="D243" s="169" t="inlineStr">
        <is>
          <t>18</t>
        </is>
      </c>
      <c r="E243" s="169" t="inlineStr">
        <is>
          <t>COMPRA</t>
        </is>
      </c>
      <c r="F243" s="169" t="inlineStr">
        <is>
          <t>Mega Catalina</t>
        </is>
      </c>
      <c r="G243" s="169" t="inlineStr">
        <is>
          <t>MURCOTT - 2007 (21 Ha.)</t>
        </is>
      </c>
      <c r="H243" s="169" t="n"/>
      <c r="I243" s="169" t="n"/>
      <c r="J243" s="169" t="inlineStr">
        <is>
          <t>LABORES OPERACIONALES</t>
        </is>
      </c>
      <c r="K243" s="169" t="inlineStr">
        <is>
          <t>OTROS SERVICIOS</t>
        </is>
      </c>
      <c r="L243" s="169" t="inlineStr">
        <is>
          <t>SERV.CONTRATISTA</t>
        </is>
      </c>
      <c r="M243" s="169" t="n"/>
      <c r="N243" s="169" t="inlineStr">
        <is>
          <t>.   .   -</t>
        </is>
      </c>
      <c r="O243" s="169" t="inlineStr">
        <is>
          <t>FEBRERO</t>
        </is>
      </c>
      <c r="P243" s="169" t="n">
        <v>5</v>
      </c>
      <c r="Q243" s="171" t="n">
        <v>191476</v>
      </c>
      <c r="R243" s="169" t="n"/>
      <c r="S243" s="171" t="n">
        <v>191476</v>
      </c>
      <c r="T243" s="169" t="inlineStr">
        <is>
          <t>CLP</t>
        </is>
      </c>
      <c r="U243" s="169" t="inlineStr">
        <is>
          <t>Carga LH 18-06-26</t>
        </is>
      </c>
      <c r="V243" s="169" t="inlineStr">
        <is>
          <t>2026-06-18</t>
        </is>
      </c>
    </row>
    <row r="244">
      <c r="A244" s="169" t="inlineStr">
        <is>
          <t>CR-0241</t>
        </is>
      </c>
      <c r="B244" s="169" t="inlineStr">
        <is>
          <t>2026/27</t>
        </is>
      </c>
      <c r="C244" s="231" t="n">
        <v>46062</v>
      </c>
      <c r="D244" s="169" t="inlineStr">
        <is>
          <t>102775</t>
        </is>
      </c>
      <c r="E244" s="169" t="inlineStr">
        <is>
          <t>COMPRA</t>
        </is>
      </c>
      <c r="F244" s="169" t="inlineStr">
        <is>
          <t>Sin asignar</t>
        </is>
      </c>
      <c r="G244" s="169" t="inlineStr">
        <is>
          <t>BODEGA</t>
        </is>
      </c>
      <c r="H244" s="169" t="n"/>
      <c r="I244" s="169" t="n"/>
      <c r="J244" s="169" t="inlineStr">
        <is>
          <t>MANTENCION MAQUINARIAS</t>
        </is>
      </c>
      <c r="K244" s="169" t="inlineStr">
        <is>
          <t>SIBE. COLOSO 1 (16.010)</t>
        </is>
      </c>
      <c r="L244" s="169" t="inlineStr">
        <is>
          <t>O/001354 CAMARA ARO</t>
        </is>
      </c>
      <c r="M244" s="169" t="n"/>
      <c r="N244" s="169" t="inlineStr">
        <is>
          <t>.   .   -</t>
        </is>
      </c>
      <c r="O244" s="169" t="inlineStr">
        <is>
          <t>FEBRERO</t>
        </is>
      </c>
      <c r="P244" s="169" t="n">
        <v>6</v>
      </c>
      <c r="Q244" s="171" t="n">
        <v>13782</v>
      </c>
      <c r="R244" s="169" t="n"/>
      <c r="S244" s="171" t="n">
        <v>13782</v>
      </c>
      <c r="T244" s="169" t="inlineStr">
        <is>
          <t>CLP</t>
        </is>
      </c>
      <c r="U244" s="169" t="inlineStr">
        <is>
          <t>Carga LH 18-06-26</t>
        </is>
      </c>
      <c r="V244" s="169" t="inlineStr">
        <is>
          <t>2026-06-18</t>
        </is>
      </c>
    </row>
    <row r="245">
      <c r="A245" s="169" t="inlineStr">
        <is>
          <t>CR-0242</t>
        </is>
      </c>
      <c r="B245" s="169" t="inlineStr">
        <is>
          <t>2026/27</t>
        </is>
      </c>
      <c r="C245" s="231" t="n">
        <v>46062</v>
      </c>
      <c r="D245" s="169" t="inlineStr">
        <is>
          <t>628</t>
        </is>
      </c>
      <c r="E245" s="169" t="inlineStr">
        <is>
          <t>COMPRA</t>
        </is>
      </c>
      <c r="F245" s="169" t="inlineStr">
        <is>
          <t>Mega Catalina</t>
        </is>
      </c>
      <c r="G245" s="169" t="inlineStr">
        <is>
          <t>EUREKA - 1999 (22,5 Ha.)</t>
        </is>
      </c>
      <c r="H245" s="169" t="n"/>
      <c r="I245" s="169" t="n"/>
      <c r="J245" s="169" t="inlineStr">
        <is>
          <t>LABORES OPERACIONALES</t>
        </is>
      </c>
      <c r="K245" s="169" t="inlineStr">
        <is>
          <t>COSECHA</t>
        </is>
      </c>
      <c r="L245" s="169" t="inlineStr">
        <is>
          <t>SERV.CONTRATISTA</t>
        </is>
      </c>
      <c r="M245" s="169" t="n"/>
      <c r="N245" s="169" t="inlineStr">
        <is>
          <t>.   .   -</t>
        </is>
      </c>
      <c r="O245" s="169" t="inlineStr">
        <is>
          <t>FEBRERO</t>
        </is>
      </c>
      <c r="P245" s="169" t="n">
        <v>6</v>
      </c>
      <c r="Q245" s="171" t="n">
        <v>383040</v>
      </c>
      <c r="R245" s="169" t="n"/>
      <c r="S245" s="171" t="n">
        <v>383040</v>
      </c>
      <c r="T245" s="169" t="inlineStr">
        <is>
          <t>CLP</t>
        </is>
      </c>
      <c r="U245" s="169" t="inlineStr">
        <is>
          <t>Carga LH 18-06-26</t>
        </is>
      </c>
      <c r="V245" s="169" t="inlineStr">
        <is>
          <t>2026-06-18</t>
        </is>
      </c>
    </row>
    <row r="246">
      <c r="A246" s="169" t="inlineStr">
        <is>
          <t>CR-0243</t>
        </is>
      </c>
      <c r="B246" s="169" t="inlineStr">
        <is>
          <t>2026/27</t>
        </is>
      </c>
      <c r="C246" s="231" t="n">
        <v>46062</v>
      </c>
      <c r="D246" s="169" t="inlineStr">
        <is>
          <t>628</t>
        </is>
      </c>
      <c r="E246" s="169" t="inlineStr">
        <is>
          <t>COMPRA</t>
        </is>
      </c>
      <c r="F246" s="169" t="inlineStr">
        <is>
          <t>Mega Catalina</t>
        </is>
      </c>
      <c r="G246" s="169" t="inlineStr">
        <is>
          <t>EUREKA - 1999 (10,6 Ha.)</t>
        </is>
      </c>
      <c r="H246" s="169" t="n"/>
      <c r="I246" s="169" t="n"/>
      <c r="J246" s="169" t="inlineStr">
        <is>
          <t>LABORES OPERACIONALES</t>
        </is>
      </c>
      <c r="K246" s="169" t="inlineStr">
        <is>
          <t>COSECHA</t>
        </is>
      </c>
      <c r="L246" s="169" t="inlineStr">
        <is>
          <t>SERV.CONTRATISTA</t>
        </is>
      </c>
      <c r="M246" s="169" t="n"/>
      <c r="N246" s="169" t="inlineStr">
        <is>
          <t>.   .   -</t>
        </is>
      </c>
      <c r="O246" s="169" t="inlineStr">
        <is>
          <t>FEBRERO</t>
        </is>
      </c>
      <c r="P246" s="169" t="n">
        <v>6</v>
      </c>
      <c r="Q246" s="171" t="n">
        <v>1090885</v>
      </c>
      <c r="R246" s="169" t="n"/>
      <c r="S246" s="171" t="n">
        <v>1090885</v>
      </c>
      <c r="T246" s="169" t="inlineStr">
        <is>
          <t>CLP</t>
        </is>
      </c>
      <c r="U246" s="169" t="inlineStr">
        <is>
          <t>Carga LH 18-06-26</t>
        </is>
      </c>
      <c r="V246" s="169" t="inlineStr">
        <is>
          <t>2026-06-18</t>
        </is>
      </c>
    </row>
    <row r="247">
      <c r="A247" s="169" t="inlineStr">
        <is>
          <t>CR-0244</t>
        </is>
      </c>
      <c r="B247" s="169" t="inlineStr">
        <is>
          <t>2026/27</t>
        </is>
      </c>
      <c r="C247" s="231" t="n">
        <v>46062</v>
      </c>
      <c r="D247" s="169" t="inlineStr">
        <is>
          <t>628</t>
        </is>
      </c>
      <c r="E247" s="169" t="inlineStr">
        <is>
          <t>COMPRA</t>
        </is>
      </c>
      <c r="F247" s="169" t="inlineStr">
        <is>
          <t>Mega Catalina</t>
        </is>
      </c>
      <c r="G247" s="169" t="inlineStr">
        <is>
          <t>EUREKA - 2016 (14,4 Ha.)</t>
        </is>
      </c>
      <c r="H247" s="169" t="n"/>
      <c r="I247" s="169" t="n"/>
      <c r="J247" s="169" t="inlineStr">
        <is>
          <t>LABORES OPERACIONALES</t>
        </is>
      </c>
      <c r="K247" s="169" t="inlineStr">
        <is>
          <t>COSECHA</t>
        </is>
      </c>
      <c r="L247" s="169" t="inlineStr">
        <is>
          <t>SERV.CONTRATISTA</t>
        </is>
      </c>
      <c r="M247" s="169" t="n"/>
      <c r="N247" s="169" t="inlineStr">
        <is>
          <t>.   .   -</t>
        </is>
      </c>
      <c r="O247" s="169" t="inlineStr">
        <is>
          <t>FEBRERO</t>
        </is>
      </c>
      <c r="P247" s="169" t="n">
        <v>6</v>
      </c>
      <c r="Q247" s="171" t="n">
        <v>1578355</v>
      </c>
      <c r="R247" s="169" t="n"/>
      <c r="S247" s="171" t="n">
        <v>1578355</v>
      </c>
      <c r="T247" s="169" t="inlineStr">
        <is>
          <t>CLP</t>
        </is>
      </c>
      <c r="U247" s="169" t="inlineStr">
        <is>
          <t>Carga LH 18-06-26</t>
        </is>
      </c>
      <c r="V247" s="169" t="inlineStr">
        <is>
          <t>2026-06-18</t>
        </is>
      </c>
    </row>
    <row r="248">
      <c r="A248" s="169" t="inlineStr">
        <is>
          <t>CR-0245</t>
        </is>
      </c>
      <c r="B248" s="169" t="inlineStr">
        <is>
          <t>2026/27</t>
        </is>
      </c>
      <c r="C248" s="231" t="n">
        <v>46062</v>
      </c>
      <c r="D248" s="169" t="inlineStr">
        <is>
          <t>1008</t>
        </is>
      </c>
      <c r="E248" s="169" t="inlineStr">
        <is>
          <t>COMPRA</t>
        </is>
      </c>
      <c r="F248" s="169" t="inlineStr">
        <is>
          <t>Mega Catalina</t>
        </is>
      </c>
      <c r="G248" s="169" t="inlineStr">
        <is>
          <t>EUREKA - 1999 (22,5 Ha.)</t>
        </is>
      </c>
      <c r="H248" s="169" t="n"/>
      <c r="I248" s="169" t="n"/>
      <c r="J248" s="169" t="inlineStr">
        <is>
          <t>LABORES OPERACIONALES</t>
        </is>
      </c>
      <c r="K248" s="169" t="inlineStr">
        <is>
          <t>COSECHA</t>
        </is>
      </c>
      <c r="L248" s="169" t="inlineStr">
        <is>
          <t>SERV.CONTRATISTA</t>
        </is>
      </c>
      <c r="M248" s="169" t="n"/>
      <c r="N248" s="169" t="inlineStr">
        <is>
          <t>.   .   -</t>
        </is>
      </c>
      <c r="O248" s="169" t="inlineStr">
        <is>
          <t>FEBRERO</t>
        </is>
      </c>
      <c r="P248" s="169" t="n">
        <v>6</v>
      </c>
      <c r="Q248" s="171" t="n">
        <v>309780</v>
      </c>
      <c r="R248" s="169" t="n"/>
      <c r="S248" s="171" t="n">
        <v>309780</v>
      </c>
      <c r="T248" s="169" t="inlineStr">
        <is>
          <t>CLP</t>
        </is>
      </c>
      <c r="U248" s="169" t="inlineStr">
        <is>
          <t>Carga LH 18-06-26</t>
        </is>
      </c>
      <c r="V248" s="169" t="inlineStr">
        <is>
          <t>2026-06-18</t>
        </is>
      </c>
    </row>
    <row r="249">
      <c r="A249" s="169" t="inlineStr">
        <is>
          <t>CR-0246</t>
        </is>
      </c>
      <c r="B249" s="169" t="inlineStr">
        <is>
          <t>2026/27</t>
        </is>
      </c>
      <c r="C249" s="231" t="n">
        <v>46062</v>
      </c>
      <c r="D249" s="169" t="inlineStr">
        <is>
          <t>1008</t>
        </is>
      </c>
      <c r="E249" s="169" t="inlineStr">
        <is>
          <t>COMPRA</t>
        </is>
      </c>
      <c r="F249" s="169" t="inlineStr">
        <is>
          <t>Mega Catalina</t>
        </is>
      </c>
      <c r="G249" s="169" t="inlineStr">
        <is>
          <t>EUREKA - 1999 (10,6 Ha.)</t>
        </is>
      </c>
      <c r="H249" s="169" t="n"/>
      <c r="I249" s="169" t="n"/>
      <c r="J249" s="169" t="inlineStr">
        <is>
          <t>LABORES OPERACIONALES</t>
        </is>
      </c>
      <c r="K249" s="169" t="inlineStr">
        <is>
          <t>COSECHA</t>
        </is>
      </c>
      <c r="L249" s="169" t="inlineStr">
        <is>
          <t>SERV.CONTRATISTA</t>
        </is>
      </c>
      <c r="M249" s="169" t="n"/>
      <c r="N249" s="169" t="inlineStr">
        <is>
          <t>.   .   -</t>
        </is>
      </c>
      <c r="O249" s="169" t="inlineStr">
        <is>
          <t>FEBRERO</t>
        </is>
      </c>
      <c r="P249" s="169" t="n">
        <v>6</v>
      </c>
      <c r="Q249" s="171" t="n">
        <v>551380</v>
      </c>
      <c r="R249" s="169" t="n"/>
      <c r="S249" s="171" t="n">
        <v>551380</v>
      </c>
      <c r="T249" s="169" t="inlineStr">
        <is>
          <t>CLP</t>
        </is>
      </c>
      <c r="U249" s="169" t="inlineStr">
        <is>
          <t>Carga LH 18-06-26</t>
        </is>
      </c>
      <c r="V249" s="169" t="inlineStr">
        <is>
          <t>2026-06-18</t>
        </is>
      </c>
    </row>
    <row r="250">
      <c r="A250" s="169" t="inlineStr">
        <is>
          <t>CR-0247</t>
        </is>
      </c>
      <c r="B250" s="169" t="inlineStr">
        <is>
          <t>2026/27</t>
        </is>
      </c>
      <c r="C250" s="231" t="n">
        <v>46062</v>
      </c>
      <c r="D250" s="169" t="inlineStr">
        <is>
          <t>1008</t>
        </is>
      </c>
      <c r="E250" s="169" t="inlineStr">
        <is>
          <t>COMPRA</t>
        </is>
      </c>
      <c r="F250" s="169" t="inlineStr">
        <is>
          <t>Mega Catalina</t>
        </is>
      </c>
      <c r="G250" s="169" t="inlineStr">
        <is>
          <t>EUREKA - 2016 (14,4 Ha.)</t>
        </is>
      </c>
      <c r="H250" s="169" t="n"/>
      <c r="I250" s="169" t="n"/>
      <c r="J250" s="169" t="inlineStr">
        <is>
          <t>LABORES OPERACIONALES</t>
        </is>
      </c>
      <c r="K250" s="169" t="inlineStr">
        <is>
          <t>COSECHA</t>
        </is>
      </c>
      <c r="L250" s="169" t="inlineStr">
        <is>
          <t>SERV.CONTRATISTA</t>
        </is>
      </c>
      <c r="M250" s="169" t="n"/>
      <c r="N250" s="169" t="inlineStr">
        <is>
          <t>.   .   -</t>
        </is>
      </c>
      <c r="O250" s="169" t="inlineStr">
        <is>
          <t>FEBRERO</t>
        </is>
      </c>
      <c r="P250" s="169" t="n">
        <v>6</v>
      </c>
      <c r="Q250" s="171" t="n">
        <v>773420</v>
      </c>
      <c r="R250" s="169" t="n"/>
      <c r="S250" s="171" t="n">
        <v>773420</v>
      </c>
      <c r="T250" s="169" t="inlineStr">
        <is>
          <t>CLP</t>
        </is>
      </c>
      <c r="U250" s="169" t="inlineStr">
        <is>
          <t>Carga LH 18-06-26</t>
        </is>
      </c>
      <c r="V250" s="169" t="inlineStr">
        <is>
          <t>2026-06-18</t>
        </is>
      </c>
    </row>
    <row r="251">
      <c r="A251" s="169" t="inlineStr">
        <is>
          <t>CR-0248</t>
        </is>
      </c>
      <c r="B251" s="169" t="inlineStr">
        <is>
          <t>2026/27</t>
        </is>
      </c>
      <c r="C251" s="231" t="n">
        <v>46063</v>
      </c>
      <c r="D251" s="169" t="inlineStr">
        <is>
          <t>287</t>
        </is>
      </c>
      <c r="E251" s="169" t="inlineStr">
        <is>
          <t>COMPRA</t>
        </is>
      </c>
      <c r="F251" s="169" t="inlineStr">
        <is>
          <t>Sin asignar</t>
        </is>
      </c>
      <c r="G251" s="169" t="inlineStr">
        <is>
          <t>PACKING</t>
        </is>
      </c>
      <c r="H251" s="169" t="n"/>
      <c r="I251" s="169" t="n"/>
      <c r="J251" s="169" t="inlineStr">
        <is>
          <t>MANT. Y REP. CONSTRUCCIONES</t>
        </is>
      </c>
      <c r="K251" s="169" t="inlineStr">
        <is>
          <t>MANTENCION ELECTRICA</t>
        </is>
      </c>
      <c r="L251" s="169" t="inlineStr">
        <is>
          <t>O/001379 MANTENCION</t>
        </is>
      </c>
      <c r="M251" s="169" t="n"/>
      <c r="N251" s="169" t="inlineStr">
        <is>
          <t>.   .   -</t>
        </is>
      </c>
      <c r="O251" s="169" t="inlineStr">
        <is>
          <t>FEBRERO</t>
        </is>
      </c>
      <c r="P251" s="169" t="n">
        <v>6</v>
      </c>
      <c r="Q251" s="171" t="n">
        <v>274622</v>
      </c>
      <c r="R251" s="169" t="n"/>
      <c r="S251" s="171" t="n">
        <v>274622</v>
      </c>
      <c r="T251" s="169" t="inlineStr">
        <is>
          <t>CLP</t>
        </is>
      </c>
      <c r="U251" s="169" t="inlineStr">
        <is>
          <t>Carga LH 18-06-26</t>
        </is>
      </c>
      <c r="V251" s="169" t="inlineStr">
        <is>
          <t>2026-06-18</t>
        </is>
      </c>
    </row>
    <row r="252">
      <c r="A252" s="169" t="inlineStr">
        <is>
          <t>CR-0249</t>
        </is>
      </c>
      <c r="B252" s="169" t="inlineStr">
        <is>
          <t>2026/27</t>
        </is>
      </c>
      <c r="C252" s="231" t="n">
        <v>46064</v>
      </c>
      <c r="D252" s="169" t="inlineStr">
        <is>
          <t>89651</t>
        </is>
      </c>
      <c r="E252" s="169" t="inlineStr">
        <is>
          <t>COMPRA</t>
        </is>
      </c>
      <c r="F252" s="169" t="inlineStr">
        <is>
          <t>Sin asignar</t>
        </is>
      </c>
      <c r="G252" s="169" t="inlineStr">
        <is>
          <t>PACKING</t>
        </is>
      </c>
      <c r="H252" s="169" t="n"/>
      <c r="I252" s="169" t="n"/>
      <c r="J252" s="169" t="inlineStr">
        <is>
          <t>COMBUSTIBLE</t>
        </is>
      </c>
      <c r="K252" s="169" t="inlineStr">
        <is>
          <t>SIB. GRUA HORQUILLA ARRIENDO</t>
        </is>
      </c>
      <c r="L252" s="169" t="inlineStr">
        <is>
          <t>O/001392 GAS ENV. 1</t>
        </is>
      </c>
      <c r="M252" s="169" t="n"/>
      <c r="N252" s="169" t="inlineStr">
        <is>
          <t>.   .   -</t>
        </is>
      </c>
      <c r="O252" s="169" t="inlineStr">
        <is>
          <t>FEBRERO</t>
        </is>
      </c>
      <c r="P252" s="169" t="n">
        <v>6</v>
      </c>
      <c r="Q252" s="171" t="n">
        <v>62904</v>
      </c>
      <c r="R252" s="169" t="n"/>
      <c r="S252" s="171" t="n">
        <v>62904</v>
      </c>
      <c r="T252" s="169" t="inlineStr">
        <is>
          <t>CLP</t>
        </is>
      </c>
      <c r="U252" s="169" t="inlineStr">
        <is>
          <t>Carga LH 18-06-26</t>
        </is>
      </c>
      <c r="V252" s="169" t="inlineStr">
        <is>
          <t>2026-06-18</t>
        </is>
      </c>
    </row>
    <row r="253">
      <c r="A253" s="169" t="inlineStr">
        <is>
          <t>CR-0250</t>
        </is>
      </c>
      <c r="B253" s="169" t="inlineStr">
        <is>
          <t>2026/27</t>
        </is>
      </c>
      <c r="C253" s="231" t="n">
        <v>46069</v>
      </c>
      <c r="D253" s="169" t="inlineStr">
        <is>
          <t>1719</t>
        </is>
      </c>
      <c r="E253" s="169" t="inlineStr">
        <is>
          <t>COMPRA</t>
        </is>
      </c>
      <c r="F253" s="169" t="inlineStr">
        <is>
          <t>Sin asignar</t>
        </is>
      </c>
      <c r="G253" s="169" t="inlineStr">
        <is>
          <t>PACKING</t>
        </is>
      </c>
      <c r="H253" s="169" t="n"/>
      <c r="I253" s="169" t="n"/>
      <c r="J253" s="169" t="inlineStr">
        <is>
          <t>MATERIALES EMBALAJE</t>
        </is>
      </c>
      <c r="K253" s="169" t="inlineStr">
        <is>
          <t>DOSIGAS-MINIGAS</t>
        </is>
      </c>
      <c r="L253" s="169" t="inlineStr">
        <is>
          <t>O/001314 DOSIGAS-MI</t>
        </is>
      </c>
      <c r="M253" s="169" t="n"/>
      <c r="N253" s="169" t="inlineStr">
        <is>
          <t>.   .   -</t>
        </is>
      </c>
      <c r="O253" s="169" t="inlineStr">
        <is>
          <t>FEBRERO</t>
        </is>
      </c>
      <c r="P253" s="169" t="n">
        <v>7</v>
      </c>
      <c r="Q253" s="171" t="n">
        <v>890000</v>
      </c>
      <c r="R253" s="169" t="n"/>
      <c r="S253" s="171" t="n">
        <v>890000</v>
      </c>
      <c r="T253" s="169" t="inlineStr">
        <is>
          <t>CLP</t>
        </is>
      </c>
      <c r="U253" s="169" t="inlineStr">
        <is>
          <t>Carga LH 18-06-26</t>
        </is>
      </c>
      <c r="V253" s="169" t="inlineStr">
        <is>
          <t>2026-06-18</t>
        </is>
      </c>
    </row>
    <row r="254">
      <c r="A254" s="169" t="inlineStr">
        <is>
          <t>CR-0251</t>
        </is>
      </c>
      <c r="B254" s="169" t="inlineStr">
        <is>
          <t>2026/27</t>
        </is>
      </c>
      <c r="C254" s="231" t="n">
        <v>46069</v>
      </c>
      <c r="D254" s="169" t="inlineStr">
        <is>
          <t>914663</t>
        </is>
      </c>
      <c r="E254" s="169" t="inlineStr">
        <is>
          <t>COMPRA</t>
        </is>
      </c>
      <c r="F254" s="169" t="inlineStr">
        <is>
          <t>Sin asignar</t>
        </is>
      </c>
      <c r="G254" s="169" t="inlineStr">
        <is>
          <t>BODEGA</t>
        </is>
      </c>
      <c r="H254" s="169" t="n"/>
      <c r="I254" s="169" t="n"/>
      <c r="J254" s="169" t="inlineStr">
        <is>
          <t>UNIFORME Y EPP</t>
        </is>
      </c>
      <c r="K254" s="169" t="inlineStr">
        <is>
          <t>EPP</t>
        </is>
      </c>
      <c r="L254" s="169" t="inlineStr">
        <is>
          <t>O/001372 PROTECTOR</t>
        </is>
      </c>
      <c r="M254" s="169" t="n"/>
      <c r="N254" s="169" t="inlineStr">
        <is>
          <t>.   .   -</t>
        </is>
      </c>
      <c r="O254" s="169" t="inlineStr">
        <is>
          <t>FEBRERO</t>
        </is>
      </c>
      <c r="P254" s="169" t="n">
        <v>7</v>
      </c>
      <c r="Q254" s="171" t="n">
        <v>62880</v>
      </c>
      <c r="R254" s="169" t="n"/>
      <c r="S254" s="171" t="n">
        <v>62880</v>
      </c>
      <c r="T254" s="169" t="inlineStr">
        <is>
          <t>CLP</t>
        </is>
      </c>
      <c r="U254" s="169" t="inlineStr">
        <is>
          <t>Carga LH 18-06-26</t>
        </is>
      </c>
      <c r="V254" s="169" t="inlineStr">
        <is>
          <t>2026-06-18</t>
        </is>
      </c>
    </row>
    <row r="255">
      <c r="A255" s="169" t="inlineStr">
        <is>
          <t>CR-0252</t>
        </is>
      </c>
      <c r="B255" s="169" t="inlineStr">
        <is>
          <t>2026/27</t>
        </is>
      </c>
      <c r="C255" s="231" t="n">
        <v>46069</v>
      </c>
      <c r="D255" s="169" t="inlineStr">
        <is>
          <t>914663</t>
        </is>
      </c>
      <c r="E255" s="169" t="inlineStr">
        <is>
          <t>COMPRA</t>
        </is>
      </c>
      <c r="F255" s="169" t="inlineStr">
        <is>
          <t>Sin asignar</t>
        </is>
      </c>
      <c r="G255" s="169" t="inlineStr">
        <is>
          <t>BODEGA</t>
        </is>
      </c>
      <c r="H255" s="169" t="n"/>
      <c r="I255" s="169" t="n"/>
      <c r="J255" s="169" t="inlineStr">
        <is>
          <t>UNIFORME Y EPP</t>
        </is>
      </c>
      <c r="K255" s="169" t="inlineStr">
        <is>
          <t>EPP</t>
        </is>
      </c>
      <c r="L255" s="169" t="inlineStr">
        <is>
          <t>O/001372 RESPIRADOR</t>
        </is>
      </c>
      <c r="M255" s="169" t="n"/>
      <c r="N255" s="169" t="inlineStr">
        <is>
          <t>.   .   -</t>
        </is>
      </c>
      <c r="O255" s="169" t="inlineStr">
        <is>
          <t>FEBRERO</t>
        </is>
      </c>
      <c r="P255" s="169" t="n">
        <v>7</v>
      </c>
      <c r="Q255" s="171" t="n">
        <v>28500</v>
      </c>
      <c r="R255" s="169" t="n"/>
      <c r="S255" s="171" t="n">
        <v>28500</v>
      </c>
      <c r="T255" s="169" t="inlineStr">
        <is>
          <t>CLP</t>
        </is>
      </c>
      <c r="U255" s="169" t="inlineStr">
        <is>
          <t>Carga LH 18-06-26</t>
        </is>
      </c>
      <c r="V255" s="169" t="inlineStr">
        <is>
          <t>2026-06-18</t>
        </is>
      </c>
    </row>
    <row r="256">
      <c r="A256" s="169" t="inlineStr">
        <is>
          <t>CR-0253</t>
        </is>
      </c>
      <c r="B256" s="169" t="inlineStr">
        <is>
          <t>2026/27</t>
        </is>
      </c>
      <c r="C256" s="231" t="n">
        <v>46070</v>
      </c>
      <c r="D256" s="169" t="inlineStr">
        <is>
          <t>879647</t>
        </is>
      </c>
      <c r="E256" s="169" t="inlineStr">
        <is>
          <t>COMPRA</t>
        </is>
      </c>
      <c r="F256" s="169" t="inlineStr">
        <is>
          <t>Sin asignar</t>
        </is>
      </c>
      <c r="G256" s="169" t="inlineStr">
        <is>
          <t>BODEGA</t>
        </is>
      </c>
      <c r="H256" s="169" t="n"/>
      <c r="I256" s="169" t="n"/>
      <c r="J256" s="169" t="inlineStr">
        <is>
          <t>MANT. Y REP. CONSTRUCCIONES</t>
        </is>
      </c>
      <c r="K256" s="169" t="inlineStr">
        <is>
          <t>MANTENCION INFRAESTRUCTURA</t>
        </is>
      </c>
      <c r="L256" s="169" t="inlineStr">
        <is>
          <t>O/001400 CALEFON JU</t>
        </is>
      </c>
      <c r="M256" s="169" t="n"/>
      <c r="N256" s="169" t="inlineStr">
        <is>
          <t>.   .   -</t>
        </is>
      </c>
      <c r="O256" s="169" t="inlineStr">
        <is>
          <t>FEBRERO</t>
        </is>
      </c>
      <c r="P256" s="169" t="n">
        <v>7</v>
      </c>
      <c r="Q256" s="171" t="n">
        <v>100807</v>
      </c>
      <c r="R256" s="169" t="n"/>
      <c r="S256" s="171" t="n">
        <v>100807</v>
      </c>
      <c r="T256" s="169" t="inlineStr">
        <is>
          <t>CLP</t>
        </is>
      </c>
      <c r="U256" s="169" t="inlineStr">
        <is>
          <t>Carga LH 18-06-26</t>
        </is>
      </c>
      <c r="V256" s="169" t="inlineStr">
        <is>
          <t>2026-06-18</t>
        </is>
      </c>
    </row>
    <row r="257">
      <c r="A257" s="169" t="inlineStr">
        <is>
          <t>CR-0254</t>
        </is>
      </c>
      <c r="B257" s="169" t="inlineStr">
        <is>
          <t>2026/27</t>
        </is>
      </c>
      <c r="C257" s="231" t="n">
        <v>46070</v>
      </c>
      <c r="D257" s="169" t="inlineStr">
        <is>
          <t>879647</t>
        </is>
      </c>
      <c r="E257" s="169" t="inlineStr">
        <is>
          <t>COMPRA</t>
        </is>
      </c>
      <c r="F257" s="169" t="inlineStr">
        <is>
          <t>Sin asignar</t>
        </is>
      </c>
      <c r="G257" s="169" t="inlineStr">
        <is>
          <t>BODEGA</t>
        </is>
      </c>
      <c r="H257" s="169" t="n"/>
      <c r="I257" s="169" t="n"/>
      <c r="J257" s="169" t="inlineStr">
        <is>
          <t>MANT. Y REP. CONSTRUCCIONES</t>
        </is>
      </c>
      <c r="K257" s="169" t="inlineStr">
        <is>
          <t>MANTENCION INFRAESTRUCTURA</t>
        </is>
      </c>
      <c r="L257" s="169" t="inlineStr">
        <is>
          <t>O/001400 PROYECTOR</t>
        </is>
      </c>
      <c r="M257" s="169" t="n"/>
      <c r="N257" s="169" t="inlineStr">
        <is>
          <t>.   .   -</t>
        </is>
      </c>
      <c r="O257" s="169" t="inlineStr">
        <is>
          <t>FEBRERO</t>
        </is>
      </c>
      <c r="P257" s="169" t="n">
        <v>7</v>
      </c>
      <c r="Q257" s="171" t="n">
        <v>23368</v>
      </c>
      <c r="R257" s="169" t="n"/>
      <c r="S257" s="171" t="n">
        <v>23368</v>
      </c>
      <c r="T257" s="169" t="inlineStr">
        <is>
          <t>CLP</t>
        </is>
      </c>
      <c r="U257" s="169" t="inlineStr">
        <is>
          <t>Carga LH 18-06-26</t>
        </is>
      </c>
      <c r="V257" s="169" t="inlineStr">
        <is>
          <t>2026-06-18</t>
        </is>
      </c>
    </row>
    <row r="258">
      <c r="A258" s="169" t="inlineStr">
        <is>
          <t>CR-0255</t>
        </is>
      </c>
      <c r="B258" s="169" t="inlineStr">
        <is>
          <t>2026/27</t>
        </is>
      </c>
      <c r="C258" s="231" t="n">
        <v>46070</v>
      </c>
      <c r="D258" s="169" t="inlineStr">
        <is>
          <t>879711</t>
        </is>
      </c>
      <c r="E258" s="169" t="inlineStr">
        <is>
          <t>COMPRA</t>
        </is>
      </c>
      <c r="F258" s="169" t="inlineStr">
        <is>
          <t>Sin asignar</t>
        </is>
      </c>
      <c r="G258" s="169" t="inlineStr">
        <is>
          <t>BODEGA</t>
        </is>
      </c>
      <c r="H258" s="169" t="n"/>
      <c r="I258" s="169" t="n"/>
      <c r="J258" s="169" t="inlineStr">
        <is>
          <t>MANT. Y REP. PLANTACIONES</t>
        </is>
      </c>
      <c r="K258" s="169" t="inlineStr">
        <is>
          <t>MANTENCION HUERTO</t>
        </is>
      </c>
      <c r="L258" s="169" t="inlineStr">
        <is>
          <t>O/001404 PROYECTOR</t>
        </is>
      </c>
      <c r="M258" s="169" t="n"/>
      <c r="N258" s="169" t="inlineStr">
        <is>
          <t>.   .   -</t>
        </is>
      </c>
      <c r="O258" s="169" t="inlineStr">
        <is>
          <t>FEBRERO</t>
        </is>
      </c>
      <c r="P258" s="169" t="n">
        <v>7</v>
      </c>
      <c r="Q258" s="171" t="n">
        <v>46734</v>
      </c>
      <c r="R258" s="169" t="n"/>
      <c r="S258" s="171" t="n">
        <v>46734</v>
      </c>
      <c r="T258" s="169" t="inlineStr">
        <is>
          <t>CLP</t>
        </is>
      </c>
      <c r="U258" s="169" t="inlineStr">
        <is>
          <t>Carga LH 18-06-26</t>
        </is>
      </c>
      <c r="V258" s="169" t="inlineStr">
        <is>
          <t>2026-06-18</t>
        </is>
      </c>
    </row>
    <row r="259">
      <c r="A259" s="169" t="inlineStr">
        <is>
          <t>CR-0256</t>
        </is>
      </c>
      <c r="B259" s="169" t="inlineStr">
        <is>
          <t>2026/27</t>
        </is>
      </c>
      <c r="C259" s="231" t="n">
        <v>46070</v>
      </c>
      <c r="D259" s="169" t="inlineStr">
        <is>
          <t>256767</t>
        </is>
      </c>
      <c r="E259" s="169" t="inlineStr">
        <is>
          <t>COMPRA</t>
        </is>
      </c>
      <c r="F259" s="169" t="inlineStr">
        <is>
          <t>Sin asignar</t>
        </is>
      </c>
      <c r="G259" s="169" t="inlineStr">
        <is>
          <t>PACKING</t>
        </is>
      </c>
      <c r="H259" s="169" t="n"/>
      <c r="I259" s="169" t="n"/>
      <c r="J259" s="169" t="inlineStr">
        <is>
          <t>MATERIALES COSECHA</t>
        </is>
      </c>
      <c r="K259" s="169" t="inlineStr">
        <is>
          <t>MATERIAL COSECHA EXPORTACION</t>
        </is>
      </c>
      <c r="L259" s="169" t="inlineStr">
        <is>
          <t>O/001347 SEPARADOR</t>
        </is>
      </c>
      <c r="M259" s="169" t="n"/>
      <c r="N259" s="169" t="inlineStr">
        <is>
          <t>.   .   -</t>
        </is>
      </c>
      <c r="O259" s="169" t="inlineStr">
        <is>
          <t>FEBRERO</t>
        </is>
      </c>
      <c r="P259" s="169" t="n">
        <v>7</v>
      </c>
      <c r="Q259" s="171" t="n">
        <v>3840</v>
      </c>
      <c r="R259" s="169" t="n"/>
      <c r="S259" s="171" t="n">
        <v>3840</v>
      </c>
      <c r="T259" s="169" t="inlineStr">
        <is>
          <t>CLP</t>
        </is>
      </c>
      <c r="U259" s="169" t="inlineStr">
        <is>
          <t>Carga LH 18-06-26</t>
        </is>
      </c>
      <c r="V259" s="169" t="inlineStr">
        <is>
          <t>2026-06-18</t>
        </is>
      </c>
    </row>
    <row r="260">
      <c r="A260" s="169" t="inlineStr">
        <is>
          <t>CR-0257</t>
        </is>
      </c>
      <c r="B260" s="169" t="inlineStr">
        <is>
          <t>2026/27</t>
        </is>
      </c>
      <c r="C260" s="231" t="n">
        <v>46071</v>
      </c>
      <c r="D260" s="169" t="inlineStr">
        <is>
          <t>630</t>
        </is>
      </c>
      <c r="E260" s="169" t="inlineStr">
        <is>
          <t>COMPRA</t>
        </is>
      </c>
      <c r="F260" s="169" t="inlineStr">
        <is>
          <t>Mega Catalina</t>
        </is>
      </c>
      <c r="G260" s="169" t="inlineStr">
        <is>
          <t>EUREKA - 1999 (22,5 Ha.)</t>
        </is>
      </c>
      <c r="H260" s="169" t="n"/>
      <c r="I260" s="169" t="n"/>
      <c r="J260" s="169" t="inlineStr">
        <is>
          <t>LABORES OPERACIONALES</t>
        </is>
      </c>
      <c r="K260" s="169" t="inlineStr">
        <is>
          <t>COSECHA</t>
        </is>
      </c>
      <c r="L260" s="169" t="inlineStr">
        <is>
          <t>SERV.CONTRATISTA</t>
        </is>
      </c>
      <c r="M260" s="169" t="n"/>
      <c r="N260" s="169" t="inlineStr">
        <is>
          <t>.   .   -</t>
        </is>
      </c>
      <c r="O260" s="169" t="inlineStr">
        <is>
          <t>FEBRERO</t>
        </is>
      </c>
      <c r="P260" s="169" t="n">
        <v>7</v>
      </c>
      <c r="Q260" s="171" t="n">
        <v>1171160</v>
      </c>
      <c r="R260" s="169" t="n"/>
      <c r="S260" s="171" t="n">
        <v>1171160</v>
      </c>
      <c r="T260" s="169" t="inlineStr">
        <is>
          <t>CLP</t>
        </is>
      </c>
      <c r="U260" s="169" t="inlineStr">
        <is>
          <t>Carga LH 18-06-26</t>
        </is>
      </c>
      <c r="V260" s="169" t="inlineStr">
        <is>
          <t>2026-06-18</t>
        </is>
      </c>
    </row>
    <row r="261">
      <c r="A261" s="169" t="inlineStr">
        <is>
          <t>CR-0258</t>
        </is>
      </c>
      <c r="B261" s="169" t="inlineStr">
        <is>
          <t>2026/27</t>
        </is>
      </c>
      <c r="C261" s="231" t="n">
        <v>46071</v>
      </c>
      <c r="D261" s="169" t="inlineStr">
        <is>
          <t>630</t>
        </is>
      </c>
      <c r="E261" s="169" t="inlineStr">
        <is>
          <t>COMPRA</t>
        </is>
      </c>
      <c r="F261" s="169" t="inlineStr">
        <is>
          <t>Mega Catalina</t>
        </is>
      </c>
      <c r="G261" s="169" t="inlineStr">
        <is>
          <t>EUREKA - 1999 (10,6 Ha.)</t>
        </is>
      </c>
      <c r="H261" s="169" t="n"/>
      <c r="I261" s="169" t="n"/>
      <c r="J261" s="169" t="inlineStr">
        <is>
          <t>LABORES OPERACIONALES</t>
        </is>
      </c>
      <c r="K261" s="169" t="inlineStr">
        <is>
          <t>COSECHA</t>
        </is>
      </c>
      <c r="L261" s="169" t="inlineStr">
        <is>
          <t>SERV.CONTRATISTA</t>
        </is>
      </c>
      <c r="M261" s="169" t="n"/>
      <c r="N261" s="169" t="inlineStr">
        <is>
          <t>.   .   -</t>
        </is>
      </c>
      <c r="O261" s="169" t="inlineStr">
        <is>
          <t>FEBRERO</t>
        </is>
      </c>
      <c r="P261" s="169" t="n">
        <v>7</v>
      </c>
      <c r="Q261" s="171" t="n">
        <v>361095</v>
      </c>
      <c r="R261" s="169" t="n"/>
      <c r="S261" s="171" t="n">
        <v>361095</v>
      </c>
      <c r="T261" s="169" t="inlineStr">
        <is>
          <t>CLP</t>
        </is>
      </c>
      <c r="U261" s="169" t="inlineStr">
        <is>
          <t>Carga LH 18-06-26</t>
        </is>
      </c>
      <c r="V261" s="169" t="inlineStr">
        <is>
          <t>2026-06-18</t>
        </is>
      </c>
    </row>
    <row r="262">
      <c r="A262" s="169" t="inlineStr">
        <is>
          <t>CR-0259</t>
        </is>
      </c>
      <c r="B262" s="169" t="inlineStr">
        <is>
          <t>2026/27</t>
        </is>
      </c>
      <c r="C262" s="231" t="n">
        <v>46071</v>
      </c>
      <c r="D262" s="169" t="inlineStr">
        <is>
          <t>630</t>
        </is>
      </c>
      <c r="E262" s="169" t="inlineStr">
        <is>
          <t>COMPRA</t>
        </is>
      </c>
      <c r="F262" s="169" t="inlineStr">
        <is>
          <t>Mega Catalina</t>
        </is>
      </c>
      <c r="G262" s="169" t="inlineStr">
        <is>
          <t>EUREKA - 2016 (14,4 Ha.)</t>
        </is>
      </c>
      <c r="H262" s="169" t="n"/>
      <c r="I262" s="169" t="n"/>
      <c r="J262" s="169" t="inlineStr">
        <is>
          <t>LABORES OPERACIONALES</t>
        </is>
      </c>
      <c r="K262" s="169" t="inlineStr">
        <is>
          <t>COSECHA</t>
        </is>
      </c>
      <c r="L262" s="169" t="inlineStr">
        <is>
          <t>SERV.CONTRATISTA</t>
        </is>
      </c>
      <c r="M262" s="169" t="n"/>
      <c r="N262" s="169" t="inlineStr">
        <is>
          <t>.   .   -</t>
        </is>
      </c>
      <c r="O262" s="169" t="inlineStr">
        <is>
          <t>FEBRERO</t>
        </is>
      </c>
      <c r="P262" s="169" t="n">
        <v>7</v>
      </c>
      <c r="Q262" s="171" t="n">
        <v>508915</v>
      </c>
      <c r="R262" s="169" t="n"/>
      <c r="S262" s="171" t="n">
        <v>508915</v>
      </c>
      <c r="T262" s="169" t="inlineStr">
        <is>
          <t>CLP</t>
        </is>
      </c>
      <c r="U262" s="169" t="inlineStr">
        <is>
          <t>Carga LH 18-06-26</t>
        </is>
      </c>
      <c r="V262" s="169" t="inlineStr">
        <is>
          <t>2026-06-18</t>
        </is>
      </c>
    </row>
    <row r="263">
      <c r="A263" s="169" t="inlineStr">
        <is>
          <t>CR-0260</t>
        </is>
      </c>
      <c r="B263" s="169" t="inlineStr">
        <is>
          <t>2026/27</t>
        </is>
      </c>
      <c r="C263" s="231" t="n">
        <v>46071</v>
      </c>
      <c r="D263" s="169" t="inlineStr">
        <is>
          <t>630</t>
        </is>
      </c>
      <c r="E263" s="169" t="inlineStr">
        <is>
          <t>COMPRA</t>
        </is>
      </c>
      <c r="F263" s="169" t="inlineStr">
        <is>
          <t>Mega Catalina</t>
        </is>
      </c>
      <c r="G263" s="169" t="inlineStr">
        <is>
          <t>FINO 49 - 1999 (7,7 Ha.)</t>
        </is>
      </c>
      <c r="H263" s="169" t="n"/>
      <c r="I263" s="169" t="n"/>
      <c r="J263" s="169" t="inlineStr">
        <is>
          <t>LABORES OPERACIONALES</t>
        </is>
      </c>
      <c r="K263" s="169" t="inlineStr">
        <is>
          <t>COSECHA</t>
        </is>
      </c>
      <c r="L263" s="169" t="inlineStr">
        <is>
          <t>SERV.CONTRATISTA</t>
        </is>
      </c>
      <c r="M263" s="169" t="n"/>
      <c r="N263" s="169" t="inlineStr">
        <is>
          <t>.   .   -</t>
        </is>
      </c>
      <c r="O263" s="169" t="inlineStr">
        <is>
          <t>FEBRERO</t>
        </is>
      </c>
      <c r="P263" s="169" t="n">
        <v>7</v>
      </c>
      <c r="Q263" s="171" t="n">
        <v>631845</v>
      </c>
      <c r="R263" s="169" t="n"/>
      <c r="S263" s="171" t="n">
        <v>631845</v>
      </c>
      <c r="T263" s="169" t="inlineStr">
        <is>
          <t>CLP</t>
        </is>
      </c>
      <c r="U263" s="169" t="inlineStr">
        <is>
          <t>Carga LH 18-06-26</t>
        </is>
      </c>
      <c r="V263" s="169" t="inlineStr">
        <is>
          <t>2026-06-18</t>
        </is>
      </c>
    </row>
    <row r="264">
      <c r="A264" s="169" t="inlineStr">
        <is>
          <t>CR-0261</t>
        </is>
      </c>
      <c r="B264" s="169" t="inlineStr">
        <is>
          <t>2026/27</t>
        </is>
      </c>
      <c r="C264" s="231" t="n">
        <v>46071</v>
      </c>
      <c r="D264" s="169" t="inlineStr">
        <is>
          <t>1009</t>
        </is>
      </c>
      <c r="E264" s="169" t="inlineStr">
        <is>
          <t>COMPRA</t>
        </is>
      </c>
      <c r="F264" s="169" t="inlineStr">
        <is>
          <t>Mega Catalina</t>
        </is>
      </c>
      <c r="G264" s="169" t="inlineStr">
        <is>
          <t>EUREKA - 1999 (22,5 Ha.)</t>
        </is>
      </c>
      <c r="H264" s="169" t="n"/>
      <c r="I264" s="169" t="n"/>
      <c r="J264" s="169" t="inlineStr">
        <is>
          <t>LABORES OPERACIONALES</t>
        </is>
      </c>
      <c r="K264" s="169" t="inlineStr">
        <is>
          <t>COSECHA</t>
        </is>
      </c>
      <c r="L264" s="169" t="inlineStr">
        <is>
          <t>SERV.CONTRATISTA</t>
        </is>
      </c>
      <c r="M264" s="169" t="n"/>
      <c r="N264" s="169" t="inlineStr">
        <is>
          <t>.   .   -</t>
        </is>
      </c>
      <c r="O264" s="169" t="inlineStr">
        <is>
          <t>FEBRERO</t>
        </is>
      </c>
      <c r="P264" s="169" t="n">
        <v>7</v>
      </c>
      <c r="Q264" s="171" t="n">
        <v>568100</v>
      </c>
      <c r="R264" s="169" t="n"/>
      <c r="S264" s="171" t="n">
        <v>568100</v>
      </c>
      <c r="T264" s="169" t="inlineStr">
        <is>
          <t>CLP</t>
        </is>
      </c>
      <c r="U264" s="169" t="inlineStr">
        <is>
          <t>Carga LH 18-06-26</t>
        </is>
      </c>
      <c r="V264" s="169" t="inlineStr">
        <is>
          <t>2026-06-18</t>
        </is>
      </c>
    </row>
    <row r="265">
      <c r="A265" s="169" t="inlineStr">
        <is>
          <t>CR-0262</t>
        </is>
      </c>
      <c r="B265" s="169" t="inlineStr">
        <is>
          <t>2026/27</t>
        </is>
      </c>
      <c r="C265" s="231" t="n">
        <v>46071</v>
      </c>
      <c r="D265" s="169" t="inlineStr">
        <is>
          <t>1009</t>
        </is>
      </c>
      <c r="E265" s="169" t="inlineStr">
        <is>
          <t>COMPRA</t>
        </is>
      </c>
      <c r="F265" s="169" t="inlineStr">
        <is>
          <t>Mega Catalina</t>
        </is>
      </c>
      <c r="G265" s="169" t="inlineStr">
        <is>
          <t>EUREKA - 1999 (10,6 Ha.)</t>
        </is>
      </c>
      <c r="H265" s="169" t="n"/>
      <c r="I265" s="169" t="n"/>
      <c r="J265" s="169" t="inlineStr">
        <is>
          <t>LABORES OPERACIONALES</t>
        </is>
      </c>
      <c r="K265" s="169" t="inlineStr">
        <is>
          <t>COSECHA</t>
        </is>
      </c>
      <c r="L265" s="169" t="inlineStr">
        <is>
          <t>SERV.CONTRATISTA</t>
        </is>
      </c>
      <c r="M265" s="169" t="n"/>
      <c r="N265" s="169" t="inlineStr">
        <is>
          <t>.   .   -</t>
        </is>
      </c>
      <c r="O265" s="169" t="inlineStr">
        <is>
          <t>FEBRERO</t>
        </is>
      </c>
      <c r="P265" s="169" t="n">
        <v>7</v>
      </c>
      <c r="Q265" s="171" t="n">
        <v>192565</v>
      </c>
      <c r="R265" s="169" t="n"/>
      <c r="S265" s="171" t="n">
        <v>192565</v>
      </c>
      <c r="T265" s="169" t="inlineStr">
        <is>
          <t>CLP</t>
        </is>
      </c>
      <c r="U265" s="169" t="inlineStr">
        <is>
          <t>Carga LH 18-06-26</t>
        </is>
      </c>
      <c r="V265" s="169" t="inlineStr">
        <is>
          <t>2026-06-18</t>
        </is>
      </c>
    </row>
    <row r="266">
      <c r="A266" s="169" t="inlineStr">
        <is>
          <t>CR-0263</t>
        </is>
      </c>
      <c r="B266" s="169" t="inlineStr">
        <is>
          <t>2026/27</t>
        </is>
      </c>
      <c r="C266" s="231" t="n">
        <v>46071</v>
      </c>
      <c r="D266" s="169" t="inlineStr">
        <is>
          <t>1009</t>
        </is>
      </c>
      <c r="E266" s="169" t="inlineStr">
        <is>
          <t>COMPRA</t>
        </is>
      </c>
      <c r="F266" s="169" t="inlineStr">
        <is>
          <t>Mega Catalina</t>
        </is>
      </c>
      <c r="G266" s="169" t="inlineStr">
        <is>
          <t>EUREKA - 2016 (14,4 Ha.)</t>
        </is>
      </c>
      <c r="H266" s="169" t="n"/>
      <c r="I266" s="169" t="n"/>
      <c r="J266" s="169" t="inlineStr">
        <is>
          <t>LABORES OPERACIONALES</t>
        </is>
      </c>
      <c r="K266" s="169" t="inlineStr">
        <is>
          <t>COSECHA</t>
        </is>
      </c>
      <c r="L266" s="169" t="inlineStr">
        <is>
          <t>SERV.CONTRATISTA</t>
        </is>
      </c>
      <c r="M266" s="169" t="n"/>
      <c r="N266" s="169" t="inlineStr">
        <is>
          <t>.   .   -</t>
        </is>
      </c>
      <c r="O266" s="169" t="inlineStr">
        <is>
          <t>FEBRERO</t>
        </is>
      </c>
      <c r="P266" s="169" t="n">
        <v>7</v>
      </c>
      <c r="Q266" s="171" t="n">
        <v>307895</v>
      </c>
      <c r="R266" s="169" t="n"/>
      <c r="S266" s="171" t="n">
        <v>307895</v>
      </c>
      <c r="T266" s="169" t="inlineStr">
        <is>
          <t>CLP</t>
        </is>
      </c>
      <c r="U266" s="169" t="inlineStr">
        <is>
          <t>Carga LH 18-06-26</t>
        </is>
      </c>
      <c r="V266" s="169" t="inlineStr">
        <is>
          <t>2026-06-18</t>
        </is>
      </c>
    </row>
    <row r="267">
      <c r="A267" s="169" t="inlineStr">
        <is>
          <t>CR-0264</t>
        </is>
      </c>
      <c r="B267" s="169" t="inlineStr">
        <is>
          <t>2026/27</t>
        </is>
      </c>
      <c r="C267" s="231" t="n">
        <v>46071</v>
      </c>
      <c r="D267" s="169" t="inlineStr">
        <is>
          <t>1009</t>
        </is>
      </c>
      <c r="E267" s="169" t="inlineStr">
        <is>
          <t>COMPRA</t>
        </is>
      </c>
      <c r="F267" s="169" t="inlineStr">
        <is>
          <t>Mega Catalina</t>
        </is>
      </c>
      <c r="G267" s="169" t="inlineStr">
        <is>
          <t>FINO 49 - 1999 (7,7 Ha.)</t>
        </is>
      </c>
      <c r="H267" s="169" t="n"/>
      <c r="I267" s="169" t="n"/>
      <c r="J267" s="169" t="inlineStr">
        <is>
          <t>LABORES OPERACIONALES</t>
        </is>
      </c>
      <c r="K267" s="169" t="inlineStr">
        <is>
          <t>COSECHA</t>
        </is>
      </c>
      <c r="L267" s="169" t="inlineStr">
        <is>
          <t>SERV.CONTRATISTA</t>
        </is>
      </c>
      <c r="M267" s="169" t="n"/>
      <c r="N267" s="169" t="inlineStr">
        <is>
          <t>.   .   -</t>
        </is>
      </c>
      <c r="O267" s="169" t="inlineStr">
        <is>
          <t>FEBRERO</t>
        </is>
      </c>
      <c r="P267" s="169" t="n">
        <v>7</v>
      </c>
      <c r="Q267" s="171" t="n">
        <v>322715</v>
      </c>
      <c r="R267" s="169" t="n"/>
      <c r="S267" s="171" t="n">
        <v>322715</v>
      </c>
      <c r="T267" s="169" t="inlineStr">
        <is>
          <t>CLP</t>
        </is>
      </c>
      <c r="U267" s="169" t="inlineStr">
        <is>
          <t>Carga LH 18-06-26</t>
        </is>
      </c>
      <c r="V267" s="169" t="inlineStr">
        <is>
          <t>2026-06-18</t>
        </is>
      </c>
    </row>
    <row r="268">
      <c r="A268" s="169" t="inlineStr">
        <is>
          <t>CR-0265</t>
        </is>
      </c>
      <c r="B268" s="169" t="inlineStr">
        <is>
          <t>2026/27</t>
        </is>
      </c>
      <c r="C268" s="231" t="n">
        <v>46071</v>
      </c>
      <c r="D268" s="169" t="inlineStr">
        <is>
          <t>362</t>
        </is>
      </c>
      <c r="E268" s="169" t="inlineStr">
        <is>
          <t>COMPRA</t>
        </is>
      </c>
      <c r="F268" s="169" t="inlineStr">
        <is>
          <t>El Molle</t>
        </is>
      </c>
      <c r="G268" s="169" t="inlineStr">
        <is>
          <t>ARRUFATINA - 2017 (5,74 Ha.)</t>
        </is>
      </c>
      <c r="H268" s="169" t="n"/>
      <c r="I268" s="169" t="n"/>
      <c r="J268" s="169" t="inlineStr">
        <is>
          <t>LABORES OPERACIONALES</t>
        </is>
      </c>
      <c r="K268" s="169" t="inlineStr">
        <is>
          <t>APLICACIONES</t>
        </is>
      </c>
      <c r="L268" s="169" t="inlineStr">
        <is>
          <t>SERV.CONTRATISTA</t>
        </is>
      </c>
      <c r="M268" s="169" t="n"/>
      <c r="N268" s="169" t="inlineStr">
        <is>
          <t>.   .   -</t>
        </is>
      </c>
      <c r="O268" s="169" t="inlineStr">
        <is>
          <t>FEBRERO</t>
        </is>
      </c>
      <c r="P268" s="169" t="n">
        <v>7</v>
      </c>
      <c r="Q268" s="171" t="n">
        <v>112500</v>
      </c>
      <c r="R268" s="169" t="n"/>
      <c r="S268" s="171" t="n">
        <v>112500</v>
      </c>
      <c r="T268" s="169" t="inlineStr">
        <is>
          <t>CLP</t>
        </is>
      </c>
      <c r="U268" s="169" t="inlineStr">
        <is>
          <t>Carga LH 18-06-26</t>
        </is>
      </c>
      <c r="V268" s="169" t="inlineStr">
        <is>
          <t>2026-06-18</t>
        </is>
      </c>
    </row>
    <row r="269">
      <c r="A269" s="169" t="inlineStr">
        <is>
          <t>CR-0266</t>
        </is>
      </c>
      <c r="B269" s="169" t="inlineStr">
        <is>
          <t>2026/27</t>
        </is>
      </c>
      <c r="C269" s="231" t="n">
        <v>46071</v>
      </c>
      <c r="D269" s="169" t="inlineStr">
        <is>
          <t>362</t>
        </is>
      </c>
      <c r="E269" s="169" t="inlineStr">
        <is>
          <t>COMPRA</t>
        </is>
      </c>
      <c r="F269" s="169" t="inlineStr">
        <is>
          <t>El Molle</t>
        </is>
      </c>
      <c r="G269" s="169" t="inlineStr">
        <is>
          <t>ARRUFATINA - 2017 (5,74 Ha.)</t>
        </is>
      </c>
      <c r="H269" s="169" t="n"/>
      <c r="I269" s="169" t="n"/>
      <c r="J269" s="169" t="inlineStr">
        <is>
          <t>LABORES OPERACIONALES</t>
        </is>
      </c>
      <c r="K269" s="169" t="inlineStr">
        <is>
          <t>MANTENCION DE CAMPOS</t>
        </is>
      </c>
      <c r="L269" s="169" t="inlineStr">
        <is>
          <t>SERV.CONTRATISTA</t>
        </is>
      </c>
      <c r="M269" s="169" t="n"/>
      <c r="N269" s="169" t="inlineStr">
        <is>
          <t>.   .   -</t>
        </is>
      </c>
      <c r="O269" s="169" t="inlineStr">
        <is>
          <t>FEBRERO</t>
        </is>
      </c>
      <c r="P269" s="169" t="n">
        <v>7</v>
      </c>
      <c r="Q269" s="171" t="n">
        <v>112500</v>
      </c>
      <c r="R269" s="169" t="n"/>
      <c r="S269" s="171" t="n">
        <v>112500</v>
      </c>
      <c r="T269" s="169" t="inlineStr">
        <is>
          <t>CLP</t>
        </is>
      </c>
      <c r="U269" s="169" t="inlineStr">
        <is>
          <t>Carga LH 18-06-26</t>
        </is>
      </c>
      <c r="V269" s="169" t="inlineStr">
        <is>
          <t>2026-06-18</t>
        </is>
      </c>
    </row>
    <row r="270">
      <c r="A270" s="169" t="inlineStr">
        <is>
          <t>CR-0267</t>
        </is>
      </c>
      <c r="B270" s="169" t="inlineStr">
        <is>
          <t>2026/27</t>
        </is>
      </c>
      <c r="C270" s="231" t="n">
        <v>46071</v>
      </c>
      <c r="D270" s="169" t="inlineStr">
        <is>
          <t>362</t>
        </is>
      </c>
      <c r="E270" s="169" t="inlineStr">
        <is>
          <t>COMPRA</t>
        </is>
      </c>
      <c r="F270" s="169" t="inlineStr">
        <is>
          <t>El Molle</t>
        </is>
      </c>
      <c r="G270" s="169" t="inlineStr">
        <is>
          <t>ARRUFATINA - 2017 (5,74 Ha.)</t>
        </is>
      </c>
      <c r="H270" s="169" t="n"/>
      <c r="I270" s="169" t="n"/>
      <c r="J270" s="169" t="inlineStr">
        <is>
          <t>LABORES OPERACIONALES</t>
        </is>
      </c>
      <c r="K270" s="169" t="inlineStr">
        <is>
          <t>LABORES VARIAS</t>
        </is>
      </c>
      <c r="L270" s="169" t="inlineStr">
        <is>
          <t>SERV.CONTRATISTA</t>
        </is>
      </c>
      <c r="M270" s="169" t="n"/>
      <c r="N270" s="169" t="inlineStr">
        <is>
          <t>.   .   -</t>
        </is>
      </c>
      <c r="O270" s="169" t="inlineStr">
        <is>
          <t>FEBRERO</t>
        </is>
      </c>
      <c r="P270" s="169" t="n">
        <v>7</v>
      </c>
      <c r="Q270" s="171" t="n">
        <v>112500</v>
      </c>
      <c r="R270" s="169" t="n"/>
      <c r="S270" s="171" t="n">
        <v>112500</v>
      </c>
      <c r="T270" s="169" t="inlineStr">
        <is>
          <t>CLP</t>
        </is>
      </c>
      <c r="U270" s="169" t="inlineStr">
        <is>
          <t>Carga LH 18-06-26</t>
        </is>
      </c>
      <c r="V270" s="169" t="inlineStr">
        <is>
          <t>2026-06-18</t>
        </is>
      </c>
    </row>
    <row r="271">
      <c r="A271" s="169" t="inlineStr">
        <is>
          <t>CR-0268</t>
        </is>
      </c>
      <c r="B271" s="169" t="inlineStr">
        <is>
          <t>2026/27</t>
        </is>
      </c>
      <c r="C271" s="231" t="n">
        <v>46071</v>
      </c>
      <c r="D271" s="169" t="inlineStr">
        <is>
          <t>362</t>
        </is>
      </c>
      <c r="E271" s="169" t="inlineStr">
        <is>
          <t>COMPRA</t>
        </is>
      </c>
      <c r="F271" s="169" t="inlineStr">
        <is>
          <t>El Molle</t>
        </is>
      </c>
      <c r="G271" s="169" t="inlineStr">
        <is>
          <t>OROGRANDE - 2007 (8,11 Ha.)</t>
        </is>
      </c>
      <c r="H271" s="169" t="n"/>
      <c r="I271" s="169" t="n"/>
      <c r="J271" s="169" t="inlineStr">
        <is>
          <t>LABORES OPERACIONALES</t>
        </is>
      </c>
      <c r="K271" s="169" t="inlineStr">
        <is>
          <t>APLICACIONES</t>
        </is>
      </c>
      <c r="L271" s="169" t="inlineStr">
        <is>
          <t>SERV.CONTRATISTA</t>
        </is>
      </c>
      <c r="M271" s="169" t="n"/>
      <c r="N271" s="169" t="inlineStr">
        <is>
          <t>.   .   -</t>
        </is>
      </c>
      <c r="O271" s="169" t="inlineStr">
        <is>
          <t>FEBRERO</t>
        </is>
      </c>
      <c r="P271" s="169" t="n">
        <v>7</v>
      </c>
      <c r="Q271" s="171" t="n">
        <v>75000</v>
      </c>
      <c r="R271" s="169" t="n"/>
      <c r="S271" s="171" t="n">
        <v>75000</v>
      </c>
      <c r="T271" s="169" t="inlineStr">
        <is>
          <t>CLP</t>
        </is>
      </c>
      <c r="U271" s="169" t="inlineStr">
        <is>
          <t>Carga LH 18-06-26</t>
        </is>
      </c>
      <c r="V271" s="169" t="inlineStr">
        <is>
          <t>2026-06-18</t>
        </is>
      </c>
    </row>
    <row r="272">
      <c r="A272" s="169" t="inlineStr">
        <is>
          <t>CR-0269</t>
        </is>
      </c>
      <c r="B272" s="169" t="inlineStr">
        <is>
          <t>2026/27</t>
        </is>
      </c>
      <c r="C272" s="231" t="n">
        <v>46071</v>
      </c>
      <c r="D272" s="169" t="inlineStr">
        <is>
          <t>362</t>
        </is>
      </c>
      <c r="E272" s="169" t="inlineStr">
        <is>
          <t>COMPRA</t>
        </is>
      </c>
      <c r="F272" s="169" t="inlineStr">
        <is>
          <t>El Molle</t>
        </is>
      </c>
      <c r="G272" s="169" t="inlineStr">
        <is>
          <t>OROGRANDE - 2007 (8,11 Ha.)</t>
        </is>
      </c>
      <c r="H272" s="169" t="n"/>
      <c r="I272" s="169" t="n"/>
      <c r="J272" s="169" t="inlineStr">
        <is>
          <t>LABORES OPERACIONALES</t>
        </is>
      </c>
      <c r="K272" s="169" t="inlineStr">
        <is>
          <t>MANTENCION DE CAMPOS</t>
        </is>
      </c>
      <c r="L272" s="169" t="inlineStr">
        <is>
          <t>SERV.CONTRATISTA</t>
        </is>
      </c>
      <c r="M272" s="169" t="n"/>
      <c r="N272" s="169" t="inlineStr">
        <is>
          <t>.   .   -</t>
        </is>
      </c>
      <c r="O272" s="169" t="inlineStr">
        <is>
          <t>FEBRERO</t>
        </is>
      </c>
      <c r="P272" s="169" t="n">
        <v>7</v>
      </c>
      <c r="Q272" s="171" t="n">
        <v>37500</v>
      </c>
      <c r="R272" s="169" t="n"/>
      <c r="S272" s="171" t="n">
        <v>37500</v>
      </c>
      <c r="T272" s="169" t="inlineStr">
        <is>
          <t>CLP</t>
        </is>
      </c>
      <c r="U272" s="169" t="inlineStr">
        <is>
          <t>Carga LH 18-06-26</t>
        </is>
      </c>
      <c r="V272" s="169" t="inlineStr">
        <is>
          <t>2026-06-18</t>
        </is>
      </c>
    </row>
    <row r="273">
      <c r="A273" s="169" t="inlineStr">
        <is>
          <t>CR-0270</t>
        </is>
      </c>
      <c r="B273" s="169" t="inlineStr">
        <is>
          <t>2026/27</t>
        </is>
      </c>
      <c r="C273" s="231" t="n">
        <v>46071</v>
      </c>
      <c r="D273" s="169" t="inlineStr">
        <is>
          <t>362</t>
        </is>
      </c>
      <c r="E273" s="169" t="inlineStr">
        <is>
          <t>COMPRA</t>
        </is>
      </c>
      <c r="F273" s="169" t="inlineStr">
        <is>
          <t>El Molle</t>
        </is>
      </c>
      <c r="G273" s="169" t="inlineStr">
        <is>
          <t>OROGRANDE - 2007 (8,11 Ha.)</t>
        </is>
      </c>
      <c r="H273" s="169" t="n"/>
      <c r="I273" s="169" t="n"/>
      <c r="J273" s="169" t="inlineStr">
        <is>
          <t>LABORES OPERACIONALES</t>
        </is>
      </c>
      <c r="K273" s="169" t="inlineStr">
        <is>
          <t>LABORES VARIAS</t>
        </is>
      </c>
      <c r="L273" s="169" t="inlineStr">
        <is>
          <t>SERV.CONTRATISTA</t>
        </is>
      </c>
      <c r="M273" s="169" t="n"/>
      <c r="N273" s="169" t="inlineStr">
        <is>
          <t>.   .   -</t>
        </is>
      </c>
      <c r="O273" s="169" t="inlineStr">
        <is>
          <t>FEBRERO</t>
        </is>
      </c>
      <c r="P273" s="169" t="n">
        <v>7</v>
      </c>
      <c r="Q273" s="171" t="n">
        <v>75000</v>
      </c>
      <c r="R273" s="169" t="n"/>
      <c r="S273" s="171" t="n">
        <v>75000</v>
      </c>
      <c r="T273" s="169" t="inlineStr">
        <is>
          <t>CLP</t>
        </is>
      </c>
      <c r="U273" s="169" t="inlineStr">
        <is>
          <t>Carga LH 18-06-26</t>
        </is>
      </c>
      <c r="V273" s="169" t="inlineStr">
        <is>
          <t>2026-06-18</t>
        </is>
      </c>
    </row>
    <row r="274">
      <c r="A274" s="169" t="inlineStr">
        <is>
          <t>CR-0271</t>
        </is>
      </c>
      <c r="B274" s="169" t="inlineStr">
        <is>
          <t>2026/27</t>
        </is>
      </c>
      <c r="C274" s="231" t="n">
        <v>46071</v>
      </c>
      <c r="D274" s="169" t="inlineStr">
        <is>
          <t>362</t>
        </is>
      </c>
      <c r="E274" s="169" t="inlineStr">
        <is>
          <t>COMPRA</t>
        </is>
      </c>
      <c r="F274" s="169" t="inlineStr">
        <is>
          <t>El Molle</t>
        </is>
      </c>
      <c r="G274" s="169" t="inlineStr">
        <is>
          <t>WONDERFUL - 2002 (2,80 Ha.)</t>
        </is>
      </c>
      <c r="H274" s="169" t="n"/>
      <c r="I274" s="169" t="n"/>
      <c r="J274" s="169" t="inlineStr">
        <is>
          <t>LABORES OPERACIONALES</t>
        </is>
      </c>
      <c r="K274" s="169" t="inlineStr">
        <is>
          <t>APLICACIONES</t>
        </is>
      </c>
      <c r="L274" s="169" t="inlineStr">
        <is>
          <t>SERV.CONTRATISTA</t>
        </is>
      </c>
      <c r="M274" s="169" t="n"/>
      <c r="N274" s="169" t="inlineStr">
        <is>
          <t>.   .   -</t>
        </is>
      </c>
      <c r="O274" s="169" t="inlineStr">
        <is>
          <t>FEBRERO</t>
        </is>
      </c>
      <c r="P274" s="169" t="n">
        <v>7</v>
      </c>
      <c r="Q274" s="171" t="n">
        <v>187500</v>
      </c>
      <c r="R274" s="169" t="n"/>
      <c r="S274" s="171" t="n">
        <v>187500</v>
      </c>
      <c r="T274" s="169" t="inlineStr">
        <is>
          <t>CLP</t>
        </is>
      </c>
      <c r="U274" s="169" t="inlineStr">
        <is>
          <t>Carga LH 18-06-26</t>
        </is>
      </c>
      <c r="V274" s="169" t="inlineStr">
        <is>
          <t>2026-06-18</t>
        </is>
      </c>
    </row>
    <row r="275">
      <c r="A275" s="169" t="inlineStr">
        <is>
          <t>CR-0272</t>
        </is>
      </c>
      <c r="B275" s="169" t="inlineStr">
        <is>
          <t>2026/27</t>
        </is>
      </c>
      <c r="C275" s="231" t="n">
        <v>46071</v>
      </c>
      <c r="D275" s="169" t="inlineStr">
        <is>
          <t>362</t>
        </is>
      </c>
      <c r="E275" s="169" t="inlineStr">
        <is>
          <t>COMPRA</t>
        </is>
      </c>
      <c r="F275" s="169" t="inlineStr">
        <is>
          <t>El Molle</t>
        </is>
      </c>
      <c r="G275" s="169" t="inlineStr">
        <is>
          <t>WONDERFUL - 2002 (2,80 Ha.)</t>
        </is>
      </c>
      <c r="H275" s="169" t="n"/>
      <c r="I275" s="169" t="n"/>
      <c r="J275" s="169" t="inlineStr">
        <is>
          <t>LABORES OPERACIONALES</t>
        </is>
      </c>
      <c r="K275" s="169" t="inlineStr">
        <is>
          <t>LABORES VARIAS</t>
        </is>
      </c>
      <c r="L275" s="169" t="inlineStr">
        <is>
          <t>SERV.CONTRATISTA</t>
        </is>
      </c>
      <c r="M275" s="169" t="n"/>
      <c r="N275" s="169" t="inlineStr">
        <is>
          <t>.   .   -</t>
        </is>
      </c>
      <c r="O275" s="169" t="inlineStr">
        <is>
          <t>FEBRERO</t>
        </is>
      </c>
      <c r="P275" s="169" t="n">
        <v>7</v>
      </c>
      <c r="Q275" s="171" t="n">
        <v>37500</v>
      </c>
      <c r="R275" s="169" t="n"/>
      <c r="S275" s="171" t="n">
        <v>37500</v>
      </c>
      <c r="T275" s="169" t="inlineStr">
        <is>
          <t>CLP</t>
        </is>
      </c>
      <c r="U275" s="169" t="inlineStr">
        <is>
          <t>Carga LH 18-06-26</t>
        </is>
      </c>
      <c r="V275" s="169" t="inlineStr">
        <is>
          <t>2026-06-18</t>
        </is>
      </c>
    </row>
    <row r="276">
      <c r="A276" s="169" t="inlineStr">
        <is>
          <t>CR-0273</t>
        </is>
      </c>
      <c r="B276" s="169" t="inlineStr">
        <is>
          <t>2026/27</t>
        </is>
      </c>
      <c r="C276" s="231" t="n">
        <v>46071</v>
      </c>
      <c r="D276" s="169" t="inlineStr">
        <is>
          <t>362</t>
        </is>
      </c>
      <c r="E276" s="169" t="inlineStr">
        <is>
          <t>COMPRA</t>
        </is>
      </c>
      <c r="F276" s="169" t="inlineStr">
        <is>
          <t>El Molle</t>
        </is>
      </c>
      <c r="G276" s="169" t="inlineStr">
        <is>
          <t>WONDERFUL - 2007 (2,44 Ha.)</t>
        </is>
      </c>
      <c r="H276" s="169" t="n"/>
      <c r="I276" s="169" t="n"/>
      <c r="J276" s="169" t="inlineStr">
        <is>
          <t>LABORES OPERACIONALES</t>
        </is>
      </c>
      <c r="K276" s="169" t="inlineStr">
        <is>
          <t>APLICACIONES</t>
        </is>
      </c>
      <c r="L276" s="169" t="inlineStr">
        <is>
          <t>SERV.CONTRATISTA</t>
        </is>
      </c>
      <c r="M276" s="169" t="n"/>
      <c r="N276" s="169" t="inlineStr">
        <is>
          <t>.   .   -</t>
        </is>
      </c>
      <c r="O276" s="169" t="inlineStr">
        <is>
          <t>FEBRERO</t>
        </is>
      </c>
      <c r="P276" s="169" t="n">
        <v>7</v>
      </c>
      <c r="Q276" s="171" t="n">
        <v>225000</v>
      </c>
      <c r="R276" s="169" t="n"/>
      <c r="S276" s="171" t="n">
        <v>225000</v>
      </c>
      <c r="T276" s="169" t="inlineStr">
        <is>
          <t>CLP</t>
        </is>
      </c>
      <c r="U276" s="169" t="inlineStr">
        <is>
          <t>Carga LH 18-06-26</t>
        </is>
      </c>
      <c r="V276" s="169" t="inlineStr">
        <is>
          <t>2026-06-18</t>
        </is>
      </c>
    </row>
    <row r="277">
      <c r="A277" s="169" t="inlineStr">
        <is>
          <t>CR-0274</t>
        </is>
      </c>
      <c r="B277" s="169" t="inlineStr">
        <is>
          <t>2026/27</t>
        </is>
      </c>
      <c r="C277" s="231" t="n">
        <v>46071</v>
      </c>
      <c r="D277" s="169" t="inlineStr">
        <is>
          <t>362</t>
        </is>
      </c>
      <c r="E277" s="169" t="inlineStr">
        <is>
          <t>COMPRA</t>
        </is>
      </c>
      <c r="F277" s="169" t="inlineStr">
        <is>
          <t>El Molle</t>
        </is>
      </c>
      <c r="G277" s="169" t="inlineStr">
        <is>
          <t>WONDERFUL - 2007 (2,44 Ha.)</t>
        </is>
      </c>
      <c r="H277" s="169" t="n"/>
      <c r="I277" s="169" t="n"/>
      <c r="J277" s="169" t="inlineStr">
        <is>
          <t>LABORES OPERACIONALES</t>
        </is>
      </c>
      <c r="K277" s="169" t="inlineStr">
        <is>
          <t>LABORES VARIAS</t>
        </is>
      </c>
      <c r="L277" s="169" t="inlineStr">
        <is>
          <t>SERV.CONTRATISTA</t>
        </is>
      </c>
      <c r="M277" s="169" t="n"/>
      <c r="N277" s="169" t="inlineStr">
        <is>
          <t>.   .   -</t>
        </is>
      </c>
      <c r="O277" s="169" t="inlineStr">
        <is>
          <t>FEBRERO</t>
        </is>
      </c>
      <c r="P277" s="169" t="n">
        <v>7</v>
      </c>
      <c r="Q277" s="171" t="n">
        <v>37500</v>
      </c>
      <c r="R277" s="169" t="n"/>
      <c r="S277" s="171" t="n">
        <v>37500</v>
      </c>
      <c r="T277" s="169" t="inlineStr">
        <is>
          <t>CLP</t>
        </is>
      </c>
      <c r="U277" s="169" t="inlineStr">
        <is>
          <t>Carga LH 18-06-26</t>
        </is>
      </c>
      <c r="V277" s="169" t="inlineStr">
        <is>
          <t>2026-06-18</t>
        </is>
      </c>
    </row>
    <row r="278">
      <c r="A278" s="169" t="inlineStr">
        <is>
          <t>CR-0275</t>
        </is>
      </c>
      <c r="B278" s="169" t="inlineStr">
        <is>
          <t>2026/27</t>
        </is>
      </c>
      <c r="C278" s="231" t="n">
        <v>46071</v>
      </c>
      <c r="D278" s="169" t="inlineStr">
        <is>
          <t>263</t>
        </is>
      </c>
      <c r="E278" s="169" t="inlineStr">
        <is>
          <t>COMPRA</t>
        </is>
      </c>
      <c r="F278" s="169" t="inlineStr">
        <is>
          <t>Mega Catalina</t>
        </is>
      </c>
      <c r="G278" s="169" t="inlineStr">
        <is>
          <t>EUREKA - 1999 (22,5 Ha.)</t>
        </is>
      </c>
      <c r="H278" s="169" t="n"/>
      <c r="I278" s="169" t="n"/>
      <c r="J278" s="169" t="inlineStr">
        <is>
          <t>LABORES OPERACIONALES</t>
        </is>
      </c>
      <c r="K278" s="169" t="inlineStr">
        <is>
          <t>OTROS SERVICIOS</t>
        </is>
      </c>
      <c r="L278" s="169" t="inlineStr">
        <is>
          <t>SERV.CONTRATISTA</t>
        </is>
      </c>
      <c r="M278" s="169" t="n"/>
      <c r="N278" s="169" t="inlineStr">
        <is>
          <t>.   .   -</t>
        </is>
      </c>
      <c r="O278" s="169" t="inlineStr">
        <is>
          <t>FEBRERO</t>
        </is>
      </c>
      <c r="P278" s="169" t="n">
        <v>7</v>
      </c>
      <c r="Q278" s="171" t="n">
        <v>413910</v>
      </c>
      <c r="R278" s="169" t="n"/>
      <c r="S278" s="171" t="n">
        <v>413910</v>
      </c>
      <c r="T278" s="169" t="inlineStr">
        <is>
          <t>CLP</t>
        </is>
      </c>
      <c r="U278" s="169" t="inlineStr">
        <is>
          <t>Carga LH 18-06-26</t>
        </is>
      </c>
      <c r="V278" s="169" t="inlineStr">
        <is>
          <t>2026-06-18</t>
        </is>
      </c>
    </row>
    <row r="279">
      <c r="A279" s="169" t="inlineStr">
        <is>
          <t>CR-0276</t>
        </is>
      </c>
      <c r="B279" s="169" t="inlineStr">
        <is>
          <t>2026/27</t>
        </is>
      </c>
      <c r="C279" s="231" t="n">
        <v>46071</v>
      </c>
      <c r="D279" s="169" t="inlineStr">
        <is>
          <t>263</t>
        </is>
      </c>
      <c r="E279" s="169" t="inlineStr">
        <is>
          <t>COMPRA</t>
        </is>
      </c>
      <c r="F279" s="169" t="inlineStr">
        <is>
          <t>Mega Catalina</t>
        </is>
      </c>
      <c r="G279" s="169" t="inlineStr">
        <is>
          <t>EUREKA - 1999 (10,6 Ha.)</t>
        </is>
      </c>
      <c r="H279" s="169" t="n"/>
      <c r="I279" s="169" t="n"/>
      <c r="J279" s="169" t="inlineStr">
        <is>
          <t>LABORES OPERACIONALES</t>
        </is>
      </c>
      <c r="K279" s="169" t="inlineStr">
        <is>
          <t>OTROS SERVICIOS</t>
        </is>
      </c>
      <c r="L279" s="169" t="inlineStr">
        <is>
          <t>SERV.CONTRATISTA</t>
        </is>
      </c>
      <c r="M279" s="169" t="n"/>
      <c r="N279" s="169" t="inlineStr">
        <is>
          <t>.   .   -</t>
        </is>
      </c>
      <c r="O279" s="169" t="inlineStr">
        <is>
          <t>FEBRERO</t>
        </is>
      </c>
      <c r="P279" s="169" t="n">
        <v>7</v>
      </c>
      <c r="Q279" s="171" t="n">
        <v>188340</v>
      </c>
      <c r="R279" s="169" t="n"/>
      <c r="S279" s="171" t="n">
        <v>188340</v>
      </c>
      <c r="T279" s="169" t="inlineStr">
        <is>
          <t>CLP</t>
        </is>
      </c>
      <c r="U279" s="169" t="inlineStr">
        <is>
          <t>Carga LH 18-06-26</t>
        </is>
      </c>
      <c r="V279" s="169" t="inlineStr">
        <is>
          <t>2026-06-18</t>
        </is>
      </c>
    </row>
    <row r="280">
      <c r="A280" s="169" t="inlineStr">
        <is>
          <t>CR-0277</t>
        </is>
      </c>
      <c r="B280" s="169" t="inlineStr">
        <is>
          <t>2026/27</t>
        </is>
      </c>
      <c r="C280" s="231" t="n">
        <v>46071</v>
      </c>
      <c r="D280" s="169" t="inlineStr">
        <is>
          <t>263</t>
        </is>
      </c>
      <c r="E280" s="169" t="inlineStr">
        <is>
          <t>COMPRA</t>
        </is>
      </c>
      <c r="F280" s="169" t="inlineStr">
        <is>
          <t>Mega Catalina</t>
        </is>
      </c>
      <c r="G280" s="169" t="inlineStr">
        <is>
          <t>EUREKA - 2016 (14,4 Ha.)</t>
        </is>
      </c>
      <c r="H280" s="169" t="n"/>
      <c r="I280" s="169" t="n"/>
      <c r="J280" s="169" t="inlineStr">
        <is>
          <t>LABORES OPERACIONALES</t>
        </is>
      </c>
      <c r="K280" s="169" t="inlineStr">
        <is>
          <t>OTROS SERVICIOS</t>
        </is>
      </c>
      <c r="L280" s="169" t="inlineStr">
        <is>
          <t>SERV.CONTRATISTA</t>
        </is>
      </c>
      <c r="M280" s="169" t="n"/>
      <c r="N280" s="169" t="inlineStr">
        <is>
          <t>.   .   -</t>
        </is>
      </c>
      <c r="O280" s="169" t="inlineStr">
        <is>
          <t>FEBRERO</t>
        </is>
      </c>
      <c r="P280" s="169" t="n">
        <v>7</v>
      </c>
      <c r="Q280" s="171" t="n">
        <v>183960</v>
      </c>
      <c r="R280" s="169" t="n"/>
      <c r="S280" s="171" t="n">
        <v>183960</v>
      </c>
      <c r="T280" s="169" t="inlineStr">
        <is>
          <t>CLP</t>
        </is>
      </c>
      <c r="U280" s="169" t="inlineStr">
        <is>
          <t>Carga LH 18-06-26</t>
        </is>
      </c>
      <c r="V280" s="169" t="inlineStr">
        <is>
          <t>2026-06-18</t>
        </is>
      </c>
    </row>
    <row r="281">
      <c r="A281" s="169" t="inlineStr">
        <is>
          <t>CR-0278</t>
        </is>
      </c>
      <c r="B281" s="169" t="inlineStr">
        <is>
          <t>2026/27</t>
        </is>
      </c>
      <c r="C281" s="231" t="n">
        <v>46071</v>
      </c>
      <c r="D281" s="169" t="inlineStr">
        <is>
          <t>263</t>
        </is>
      </c>
      <c r="E281" s="169" t="inlineStr">
        <is>
          <t>COMPRA</t>
        </is>
      </c>
      <c r="F281" s="169" t="inlineStr">
        <is>
          <t>Mega Catalina</t>
        </is>
      </c>
      <c r="G281" s="169" t="inlineStr">
        <is>
          <t>FINO 49 - 1999 (7,7 Ha.)</t>
        </is>
      </c>
      <c r="H281" s="169" t="n"/>
      <c r="I281" s="169" t="n"/>
      <c r="J281" s="169" t="inlineStr">
        <is>
          <t>LABORES OPERACIONALES</t>
        </is>
      </c>
      <c r="K281" s="169" t="inlineStr">
        <is>
          <t>OTROS SERVICIOS</t>
        </is>
      </c>
      <c r="L281" s="169" t="inlineStr">
        <is>
          <t>SERV.CONTRATISTA</t>
        </is>
      </c>
      <c r="M281" s="169" t="n"/>
      <c r="N281" s="169" t="inlineStr">
        <is>
          <t>.   .   -</t>
        </is>
      </c>
      <c r="O281" s="169" t="inlineStr">
        <is>
          <t>FEBRERO</t>
        </is>
      </c>
      <c r="P281" s="169" t="n">
        <v>7</v>
      </c>
      <c r="Q281" s="171" t="n">
        <v>146730</v>
      </c>
      <c r="R281" s="169" t="n"/>
      <c r="S281" s="171" t="n">
        <v>146730</v>
      </c>
      <c r="T281" s="169" t="inlineStr">
        <is>
          <t>CLP</t>
        </is>
      </c>
      <c r="U281" s="169" t="inlineStr">
        <is>
          <t>Carga LH 18-06-26</t>
        </is>
      </c>
      <c r="V281" s="169" t="inlineStr">
        <is>
          <t>2026-06-18</t>
        </is>
      </c>
    </row>
    <row r="282">
      <c r="A282" s="169" t="inlineStr">
        <is>
          <t>CR-0279</t>
        </is>
      </c>
      <c r="B282" s="169" t="inlineStr">
        <is>
          <t>2026/27</t>
        </is>
      </c>
      <c r="C282" s="231" t="n">
        <v>46071</v>
      </c>
      <c r="D282" s="169" t="inlineStr">
        <is>
          <t>263</t>
        </is>
      </c>
      <c r="E282" s="169" t="inlineStr">
        <is>
          <t>COMPRA</t>
        </is>
      </c>
      <c r="F282" s="169" t="inlineStr">
        <is>
          <t>Mega Catalina</t>
        </is>
      </c>
      <c r="G282" s="169" t="inlineStr">
        <is>
          <t>NO USAR NARANJAS CAMBRIA (4,2 Hta.)</t>
        </is>
      </c>
      <c r="H282" s="169" t="n"/>
      <c r="I282" s="169" t="n"/>
      <c r="J282" s="169" t="inlineStr">
        <is>
          <t>LABORES OPERACIONALES</t>
        </is>
      </c>
      <c r="K282" s="169" t="inlineStr">
        <is>
          <t>OTROS SERVICIOS</t>
        </is>
      </c>
      <c r="L282" s="169" t="inlineStr">
        <is>
          <t>SERV.CONTRATISTA</t>
        </is>
      </c>
      <c r="M282" s="169" t="n"/>
      <c r="N282" s="169" t="inlineStr">
        <is>
          <t>.   .   -</t>
        </is>
      </c>
      <c r="O282" s="169" t="inlineStr">
        <is>
          <t>FEBRERO</t>
        </is>
      </c>
      <c r="P282" s="169" t="n">
        <v>7</v>
      </c>
      <c r="Q282" s="171" t="n">
        <v>50370</v>
      </c>
      <c r="R282" s="169" t="n"/>
      <c r="S282" s="171" t="n">
        <v>50370</v>
      </c>
      <c r="T282" s="169" t="inlineStr">
        <is>
          <t>CLP</t>
        </is>
      </c>
      <c r="U282" s="169" t="inlineStr">
        <is>
          <t>Carga LH 18-06-26</t>
        </is>
      </c>
      <c r="V282" s="169" t="inlineStr">
        <is>
          <t>2026-06-18</t>
        </is>
      </c>
    </row>
    <row r="283">
      <c r="A283" s="169" t="inlineStr">
        <is>
          <t>CR-0280</t>
        </is>
      </c>
      <c r="B283" s="169" t="inlineStr">
        <is>
          <t>2026/27</t>
        </is>
      </c>
      <c r="C283" s="231" t="n">
        <v>46071</v>
      </c>
      <c r="D283" s="169" t="inlineStr">
        <is>
          <t>263</t>
        </is>
      </c>
      <c r="E283" s="169" t="inlineStr">
        <is>
          <t>COMPRA</t>
        </is>
      </c>
      <c r="F283" s="169" t="inlineStr">
        <is>
          <t>Mega Catalina</t>
        </is>
      </c>
      <c r="G283" s="169" t="inlineStr">
        <is>
          <t>MURCOTT - 2007 (21 Ha.)</t>
        </is>
      </c>
      <c r="H283" s="169" t="n"/>
      <c r="I283" s="169" t="n"/>
      <c r="J283" s="169" t="inlineStr">
        <is>
          <t>LABORES OPERACIONALES</t>
        </is>
      </c>
      <c r="K283" s="169" t="inlineStr">
        <is>
          <t>OTROS SERVICIOS</t>
        </is>
      </c>
      <c r="L283" s="169" t="inlineStr">
        <is>
          <t>SERV.CONTRATISTA</t>
        </is>
      </c>
      <c r="M283" s="169" t="n"/>
      <c r="N283" s="169" t="inlineStr">
        <is>
          <t>.   .   -</t>
        </is>
      </c>
      <c r="O283" s="169" t="inlineStr">
        <is>
          <t>FEBRERO</t>
        </is>
      </c>
      <c r="P283" s="169" t="n">
        <v>7</v>
      </c>
      <c r="Q283" s="171" t="n">
        <v>267180</v>
      </c>
      <c r="R283" s="169" t="n"/>
      <c r="S283" s="171" t="n">
        <v>267180</v>
      </c>
      <c r="T283" s="169" t="inlineStr">
        <is>
          <t>CLP</t>
        </is>
      </c>
      <c r="U283" s="169" t="inlineStr">
        <is>
          <t>Carga LH 18-06-26</t>
        </is>
      </c>
      <c r="V283" s="169" t="inlineStr">
        <is>
          <t>2026-06-18</t>
        </is>
      </c>
    </row>
    <row r="284">
      <c r="A284" s="169" t="inlineStr">
        <is>
          <t>CR-0281</t>
        </is>
      </c>
      <c r="B284" s="169" t="inlineStr">
        <is>
          <t>2026/27</t>
        </is>
      </c>
      <c r="C284" s="231" t="n">
        <v>46071</v>
      </c>
      <c r="D284" s="169" t="inlineStr">
        <is>
          <t>264</t>
        </is>
      </c>
      <c r="E284" s="169" t="inlineStr">
        <is>
          <t>COMPRA</t>
        </is>
      </c>
      <c r="F284" s="169" t="inlineStr">
        <is>
          <t>Mega Catalina</t>
        </is>
      </c>
      <c r="G284" s="169" t="inlineStr">
        <is>
          <t>INJERTO TIMPSON - 2018 (3,8 Ha.)</t>
        </is>
      </c>
      <c r="H284" s="169" t="n"/>
      <c r="I284" s="169" t="n"/>
      <c r="J284" s="169" t="inlineStr">
        <is>
          <t>LABORES OPERACIONALES</t>
        </is>
      </c>
      <c r="K284" s="169" t="inlineStr">
        <is>
          <t>OTROS SERVICIOS</t>
        </is>
      </c>
      <c r="L284" s="169" t="inlineStr">
        <is>
          <t>SERV.CONTRATISTA</t>
        </is>
      </c>
      <c r="M284" s="169" t="n"/>
      <c r="N284" s="169" t="inlineStr">
        <is>
          <t>.   .   -</t>
        </is>
      </c>
      <c r="O284" s="169" t="inlineStr">
        <is>
          <t>FEBRERO</t>
        </is>
      </c>
      <c r="P284" s="169" t="n">
        <v>7</v>
      </c>
      <c r="Q284" s="171" t="n">
        <v>122647</v>
      </c>
      <c r="R284" s="169" t="n"/>
      <c r="S284" s="171" t="n">
        <v>122647</v>
      </c>
      <c r="T284" s="169" t="inlineStr">
        <is>
          <t>CLP</t>
        </is>
      </c>
      <c r="U284" s="169" t="inlineStr">
        <is>
          <t>Carga LH 18-06-26</t>
        </is>
      </c>
      <c r="V284" s="169" t="inlineStr">
        <is>
          <t>2026-06-18</t>
        </is>
      </c>
    </row>
    <row r="285">
      <c r="A285" s="169" t="inlineStr">
        <is>
          <t>CR-0282</t>
        </is>
      </c>
      <c r="B285" s="169" t="inlineStr">
        <is>
          <t>2026/27</t>
        </is>
      </c>
      <c r="C285" s="231" t="n">
        <v>46071</v>
      </c>
      <c r="D285" s="169" t="inlineStr">
        <is>
          <t>264</t>
        </is>
      </c>
      <c r="E285" s="169" t="inlineStr">
        <is>
          <t>COMPRA</t>
        </is>
      </c>
      <c r="F285" s="169" t="inlineStr">
        <is>
          <t>Mega Catalina</t>
        </is>
      </c>
      <c r="G285" s="169" t="inlineStr">
        <is>
          <t>INJERTO TIMPSON - 2019 (4,2 Ha.)</t>
        </is>
      </c>
      <c r="H285" s="169" t="n"/>
      <c r="I285" s="169" t="n"/>
      <c r="J285" s="169" t="inlineStr">
        <is>
          <t>LABORES OPERACIONALES</t>
        </is>
      </c>
      <c r="K285" s="169" t="inlineStr">
        <is>
          <t>OTROS SERVICIOS</t>
        </is>
      </c>
      <c r="L285" s="169" t="inlineStr">
        <is>
          <t>SERV.CONTRATISTA</t>
        </is>
      </c>
      <c r="M285" s="169" t="n"/>
      <c r="N285" s="169" t="inlineStr">
        <is>
          <t>.   .   -</t>
        </is>
      </c>
      <c r="O285" s="169" t="inlineStr">
        <is>
          <t>FEBRERO</t>
        </is>
      </c>
      <c r="P285" s="169" t="n">
        <v>7</v>
      </c>
      <c r="Q285" s="171" t="n">
        <v>135162</v>
      </c>
      <c r="R285" s="169" t="n"/>
      <c r="S285" s="171" t="n">
        <v>135162</v>
      </c>
      <c r="T285" s="169" t="inlineStr">
        <is>
          <t>CLP</t>
        </is>
      </c>
      <c r="U285" s="169" t="inlineStr">
        <is>
          <t>Carga LH 18-06-26</t>
        </is>
      </c>
      <c r="V285" s="169" t="inlineStr">
        <is>
          <t>2026-06-18</t>
        </is>
      </c>
    </row>
    <row r="286">
      <c r="A286" s="169" t="inlineStr">
        <is>
          <t>CR-0283</t>
        </is>
      </c>
      <c r="B286" s="169" t="inlineStr">
        <is>
          <t>2026/27</t>
        </is>
      </c>
      <c r="C286" s="231" t="n">
        <v>46071</v>
      </c>
      <c r="D286" s="169" t="inlineStr">
        <is>
          <t>264</t>
        </is>
      </c>
      <c r="E286" s="169" t="inlineStr">
        <is>
          <t>COMPRA</t>
        </is>
      </c>
      <c r="F286" s="169" t="inlineStr">
        <is>
          <t>Mega Catalina</t>
        </is>
      </c>
      <c r="G286" s="169" t="inlineStr">
        <is>
          <t>SWEET CELEBRATION - 2015 (7,14 Ha.)</t>
        </is>
      </c>
      <c r="H286" s="169" t="n"/>
      <c r="I286" s="169" t="n"/>
      <c r="J286" s="169" t="inlineStr">
        <is>
          <t>LABORES OPERACIONALES</t>
        </is>
      </c>
      <c r="K286" s="169" t="inlineStr">
        <is>
          <t>OTROS SERVICIOS</t>
        </is>
      </c>
      <c r="L286" s="169" t="inlineStr">
        <is>
          <t>SERV.CONTRATISTA</t>
        </is>
      </c>
      <c r="M286" s="169" t="n"/>
      <c r="N286" s="169" t="inlineStr">
        <is>
          <t>.   .   -</t>
        </is>
      </c>
      <c r="O286" s="169" t="inlineStr">
        <is>
          <t>FEBRERO</t>
        </is>
      </c>
      <c r="P286" s="169" t="n">
        <v>7</v>
      </c>
      <c r="Q286" s="171" t="n">
        <v>227773</v>
      </c>
      <c r="R286" s="169" t="n"/>
      <c r="S286" s="171" t="n">
        <v>227773</v>
      </c>
      <c r="T286" s="169" t="inlineStr">
        <is>
          <t>CLP</t>
        </is>
      </c>
      <c r="U286" s="169" t="inlineStr">
        <is>
          <t>Carga LH 18-06-26</t>
        </is>
      </c>
      <c r="V286" s="169" t="inlineStr">
        <is>
          <t>2026-06-18</t>
        </is>
      </c>
    </row>
    <row r="287">
      <c r="A287" s="169" t="inlineStr">
        <is>
          <t>CR-0284</t>
        </is>
      </c>
      <c r="B287" s="169" t="inlineStr">
        <is>
          <t>2026/27</t>
        </is>
      </c>
      <c r="C287" s="231" t="n">
        <v>46071</v>
      </c>
      <c r="D287" s="169" t="inlineStr">
        <is>
          <t>68895</t>
        </is>
      </c>
      <c r="E287" s="169" t="inlineStr">
        <is>
          <t>COMPRA</t>
        </is>
      </c>
      <c r="F287" s="169" t="inlineStr">
        <is>
          <t>Sin asignar</t>
        </is>
      </c>
      <c r="G287" s="169" t="inlineStr">
        <is>
          <t>BODEGA</t>
        </is>
      </c>
      <c r="H287" s="169" t="n"/>
      <c r="I287" s="169" t="n"/>
      <c r="J287" s="169" t="inlineStr">
        <is>
          <t>MANT. Y REP. CONSTRUCCIONES</t>
        </is>
      </c>
      <c r="K287" s="169" t="inlineStr">
        <is>
          <t>MANTENCION INFRAESTRUCTURA</t>
        </is>
      </c>
      <c r="L287" s="169" t="inlineStr">
        <is>
          <t>O/001401 BISAGRA AN</t>
        </is>
      </c>
      <c r="M287" s="169" t="n"/>
      <c r="N287" s="169" t="inlineStr">
        <is>
          <t>.   .   -</t>
        </is>
      </c>
      <c r="O287" s="169" t="inlineStr">
        <is>
          <t>FEBRERO</t>
        </is>
      </c>
      <c r="P287" s="169" t="n">
        <v>7</v>
      </c>
      <c r="Q287" s="171" t="n">
        <v>984</v>
      </c>
      <c r="R287" s="169" t="n"/>
      <c r="S287" s="171" t="n">
        <v>984</v>
      </c>
      <c r="T287" s="169" t="inlineStr">
        <is>
          <t>CLP</t>
        </is>
      </c>
      <c r="U287" s="169" t="inlineStr">
        <is>
          <t>Carga LH 18-06-26</t>
        </is>
      </c>
      <c r="V287" s="169" t="inlineStr">
        <is>
          <t>2026-06-18</t>
        </is>
      </c>
    </row>
    <row r="288">
      <c r="A288" s="169" t="inlineStr">
        <is>
          <t>CR-0285</t>
        </is>
      </c>
      <c r="B288" s="169" t="inlineStr">
        <is>
          <t>2026/27</t>
        </is>
      </c>
      <c r="C288" s="231" t="n">
        <v>46071</v>
      </c>
      <c r="D288" s="169" t="inlineStr">
        <is>
          <t>68895</t>
        </is>
      </c>
      <c r="E288" s="169" t="inlineStr">
        <is>
          <t>COMPRA</t>
        </is>
      </c>
      <c r="F288" s="169" t="inlineStr">
        <is>
          <t>Sin asignar</t>
        </is>
      </c>
      <c r="G288" s="169" t="inlineStr">
        <is>
          <t>BODEGA</t>
        </is>
      </c>
      <c r="H288" s="169" t="n"/>
      <c r="I288" s="169" t="n"/>
      <c r="J288" s="169" t="inlineStr">
        <is>
          <t>MANT. Y REP. CONSTRUCCIONES</t>
        </is>
      </c>
      <c r="K288" s="169" t="inlineStr">
        <is>
          <t>MANTENCION INFRAESTRUCTURA</t>
        </is>
      </c>
      <c r="L288" s="169" t="inlineStr">
        <is>
          <t>O/001401 CODO HIDR.</t>
        </is>
      </c>
      <c r="M288" s="169" t="n"/>
      <c r="N288" s="169" t="inlineStr">
        <is>
          <t>.   .   -</t>
        </is>
      </c>
      <c r="O288" s="169" t="inlineStr">
        <is>
          <t>FEBRERO</t>
        </is>
      </c>
      <c r="P288" s="169" t="n">
        <v>7</v>
      </c>
      <c r="Q288" s="171" t="n">
        <v>368</v>
      </c>
      <c r="R288" s="169" t="n"/>
      <c r="S288" s="171" t="n">
        <v>368</v>
      </c>
      <c r="T288" s="169" t="inlineStr">
        <is>
          <t>CLP</t>
        </is>
      </c>
      <c r="U288" s="169" t="inlineStr">
        <is>
          <t>Carga LH 18-06-26</t>
        </is>
      </c>
      <c r="V288" s="169" t="inlineStr">
        <is>
          <t>2026-06-18</t>
        </is>
      </c>
    </row>
    <row r="289">
      <c r="A289" s="169" t="inlineStr">
        <is>
          <t>CR-0286</t>
        </is>
      </c>
      <c r="B289" s="169" t="inlineStr">
        <is>
          <t>2026/27</t>
        </is>
      </c>
      <c r="C289" s="231" t="n">
        <v>46071</v>
      </c>
      <c r="D289" s="169" t="inlineStr">
        <is>
          <t>68895</t>
        </is>
      </c>
      <c r="E289" s="169" t="inlineStr">
        <is>
          <t>COMPRA</t>
        </is>
      </c>
      <c r="F289" s="169" t="inlineStr">
        <is>
          <t>Sin asignar</t>
        </is>
      </c>
      <c r="G289" s="169" t="inlineStr">
        <is>
          <t>BODEGA</t>
        </is>
      </c>
      <c r="H289" s="169" t="n"/>
      <c r="I289" s="169" t="n"/>
      <c r="J289" s="169" t="inlineStr">
        <is>
          <t>MANT. Y REP. CONSTRUCCIONES</t>
        </is>
      </c>
      <c r="K289" s="169" t="inlineStr">
        <is>
          <t>MANTENCION INFRAESTRUCTURA</t>
        </is>
      </c>
      <c r="L289" s="169" t="inlineStr">
        <is>
          <t>O/001401 LLAVE JARD</t>
        </is>
      </c>
      <c r="M289" s="169" t="n"/>
      <c r="N289" s="169" t="inlineStr">
        <is>
          <t>.   .   -</t>
        </is>
      </c>
      <c r="O289" s="169" t="inlineStr">
        <is>
          <t>FEBRERO</t>
        </is>
      </c>
      <c r="P289" s="169" t="n">
        <v>7</v>
      </c>
      <c r="Q289" s="171" t="n">
        <v>2958</v>
      </c>
      <c r="R289" s="169" t="n"/>
      <c r="S289" s="171" t="n">
        <v>2958</v>
      </c>
      <c r="T289" s="169" t="inlineStr">
        <is>
          <t>CLP</t>
        </is>
      </c>
      <c r="U289" s="169" t="inlineStr">
        <is>
          <t>Carga LH 18-06-26</t>
        </is>
      </c>
      <c r="V289" s="169" t="inlineStr">
        <is>
          <t>2026-06-18</t>
        </is>
      </c>
    </row>
    <row r="290">
      <c r="A290" s="169" t="inlineStr">
        <is>
          <t>CR-0287</t>
        </is>
      </c>
      <c r="B290" s="169" t="inlineStr">
        <is>
          <t>2026/27</t>
        </is>
      </c>
      <c r="C290" s="231" t="n">
        <v>46071</v>
      </c>
      <c r="D290" s="169" t="inlineStr">
        <is>
          <t>68895</t>
        </is>
      </c>
      <c r="E290" s="169" t="inlineStr">
        <is>
          <t>COMPRA</t>
        </is>
      </c>
      <c r="F290" s="169" t="inlineStr">
        <is>
          <t>Sin asignar</t>
        </is>
      </c>
      <c r="G290" s="169" t="inlineStr">
        <is>
          <t>BODEGA</t>
        </is>
      </c>
      <c r="H290" s="169" t="n"/>
      <c r="I290" s="169" t="n"/>
      <c r="J290" s="169" t="inlineStr">
        <is>
          <t>MANT. Y REP. CONSTRUCCIONES</t>
        </is>
      </c>
      <c r="K290" s="169" t="inlineStr">
        <is>
          <t>MANTENCION INFRAESTRUCTURA</t>
        </is>
      </c>
      <c r="L290" s="169" t="inlineStr">
        <is>
          <t>O/001401 SIFON L. P</t>
        </is>
      </c>
      <c r="M290" s="169" t="n"/>
      <c r="N290" s="169" t="inlineStr">
        <is>
          <t>.   .   -</t>
        </is>
      </c>
      <c r="O290" s="169" t="inlineStr">
        <is>
          <t>FEBRERO</t>
        </is>
      </c>
      <c r="P290" s="169" t="n">
        <v>7</v>
      </c>
      <c r="Q290" s="171" t="n">
        <v>5916</v>
      </c>
      <c r="R290" s="169" t="n"/>
      <c r="S290" s="171" t="n">
        <v>5916</v>
      </c>
      <c r="T290" s="169" t="inlineStr">
        <is>
          <t>CLP</t>
        </is>
      </c>
      <c r="U290" s="169" t="inlineStr">
        <is>
          <t>Carga LH 18-06-26</t>
        </is>
      </c>
      <c r="V290" s="169" t="inlineStr">
        <is>
          <t>2026-06-18</t>
        </is>
      </c>
    </row>
    <row r="291">
      <c r="A291" s="169" t="inlineStr">
        <is>
          <t>CR-0288</t>
        </is>
      </c>
      <c r="B291" s="169" t="inlineStr">
        <is>
          <t>2026/27</t>
        </is>
      </c>
      <c r="C291" s="231" t="n">
        <v>46071</v>
      </c>
      <c r="D291" s="169" t="inlineStr">
        <is>
          <t>68895</t>
        </is>
      </c>
      <c r="E291" s="169" t="inlineStr">
        <is>
          <t>COMPRA</t>
        </is>
      </c>
      <c r="F291" s="169" t="inlineStr">
        <is>
          <t>Sin asignar</t>
        </is>
      </c>
      <c r="G291" s="169" t="inlineStr">
        <is>
          <t>BODEGA</t>
        </is>
      </c>
      <c r="H291" s="169" t="n"/>
      <c r="I291" s="169" t="n"/>
      <c r="J291" s="169" t="inlineStr">
        <is>
          <t>MANT. Y REP. CONSTRUCCIONES</t>
        </is>
      </c>
      <c r="K291" s="169" t="inlineStr">
        <is>
          <t>MANTENCION INFRAESTRUCTURA</t>
        </is>
      </c>
      <c r="L291" s="169" t="inlineStr">
        <is>
          <t>O/001401 TEE HIDR.</t>
        </is>
      </c>
      <c r="M291" s="169" t="n"/>
      <c r="N291" s="169" t="inlineStr">
        <is>
          <t>.   .   -</t>
        </is>
      </c>
      <c r="O291" s="169" t="inlineStr">
        <is>
          <t>FEBRERO</t>
        </is>
      </c>
      <c r="P291" s="169" t="n">
        <v>7</v>
      </c>
      <c r="Q291" s="171" t="n">
        <v>436</v>
      </c>
      <c r="R291" s="169" t="n"/>
      <c r="S291" s="171" t="n">
        <v>436</v>
      </c>
      <c r="T291" s="169" t="inlineStr">
        <is>
          <t>CLP</t>
        </is>
      </c>
      <c r="U291" s="169" t="inlineStr">
        <is>
          <t>Carga LH 18-06-26</t>
        </is>
      </c>
      <c r="V291" s="169" t="inlineStr">
        <is>
          <t>2026-06-18</t>
        </is>
      </c>
    </row>
    <row r="292">
      <c r="A292" s="169" t="inlineStr">
        <is>
          <t>CR-0289</t>
        </is>
      </c>
      <c r="B292" s="169" t="inlineStr">
        <is>
          <t>2026/27</t>
        </is>
      </c>
      <c r="C292" s="231" t="n">
        <v>46071</v>
      </c>
      <c r="D292" s="169" t="inlineStr">
        <is>
          <t>68895</t>
        </is>
      </c>
      <c r="E292" s="169" t="inlineStr">
        <is>
          <t>COMPRA</t>
        </is>
      </c>
      <c r="F292" s="169" t="inlineStr">
        <is>
          <t>Sin asignar</t>
        </is>
      </c>
      <c r="G292" s="169" t="inlineStr">
        <is>
          <t>BODEGA</t>
        </is>
      </c>
      <c r="H292" s="169" t="n"/>
      <c r="I292" s="169" t="n"/>
      <c r="J292" s="169" t="inlineStr">
        <is>
          <t>MANT. Y REP. CONSTRUCCIONES</t>
        </is>
      </c>
      <c r="K292" s="169" t="inlineStr">
        <is>
          <t>MANTENCION INFRAESTRUCTURA</t>
        </is>
      </c>
      <c r="L292" s="169" t="inlineStr">
        <is>
          <t>O/001401 TERMINAL H</t>
        </is>
      </c>
      <c r="M292" s="169" t="n"/>
      <c r="N292" s="169" t="inlineStr">
        <is>
          <t>.   .   -</t>
        </is>
      </c>
      <c r="O292" s="169" t="inlineStr">
        <is>
          <t>FEBRERO</t>
        </is>
      </c>
      <c r="P292" s="169" t="n">
        <v>7</v>
      </c>
      <c r="Q292" s="171" t="n">
        <v>302</v>
      </c>
      <c r="R292" s="169" t="n"/>
      <c r="S292" s="171" t="n">
        <v>302</v>
      </c>
      <c r="T292" s="169" t="inlineStr">
        <is>
          <t>CLP</t>
        </is>
      </c>
      <c r="U292" s="169" t="inlineStr">
        <is>
          <t>Carga LH 18-06-26</t>
        </is>
      </c>
      <c r="V292" s="169" t="inlineStr">
        <is>
          <t>2026-06-18</t>
        </is>
      </c>
    </row>
    <row r="293">
      <c r="A293" s="169" t="inlineStr">
        <is>
          <t>CR-0290</t>
        </is>
      </c>
      <c r="B293" s="169" t="inlineStr">
        <is>
          <t>2026/27</t>
        </is>
      </c>
      <c r="C293" s="231" t="n">
        <v>46071</v>
      </c>
      <c r="D293" s="169" t="inlineStr">
        <is>
          <t>68895</t>
        </is>
      </c>
      <c r="E293" s="169" t="inlineStr">
        <is>
          <t>COMPRA</t>
        </is>
      </c>
      <c r="F293" s="169" t="inlineStr">
        <is>
          <t>Sin asignar</t>
        </is>
      </c>
      <c r="G293" s="169" t="inlineStr">
        <is>
          <t>BODEGA</t>
        </is>
      </c>
      <c r="H293" s="169" t="n"/>
      <c r="I293" s="169" t="n"/>
      <c r="J293" s="169" t="inlineStr">
        <is>
          <t>MANT. Y REP. CONSTRUCCIONES</t>
        </is>
      </c>
      <c r="K293" s="169" t="inlineStr">
        <is>
          <t>MANTENCION INFRAESTRUCTURA</t>
        </is>
      </c>
      <c r="L293" s="169" t="inlineStr">
        <is>
          <t>O/001401 TERMINAL H</t>
        </is>
      </c>
      <c r="M293" s="169" t="n"/>
      <c r="N293" s="169" t="inlineStr">
        <is>
          <t>.   .   -</t>
        </is>
      </c>
      <c r="O293" s="169" t="inlineStr">
        <is>
          <t>FEBRERO</t>
        </is>
      </c>
      <c r="P293" s="169" t="n">
        <v>7</v>
      </c>
      <c r="Q293" s="171" t="n">
        <v>118</v>
      </c>
      <c r="R293" s="169" t="n"/>
      <c r="S293" s="171" t="n">
        <v>118</v>
      </c>
      <c r="T293" s="169" t="inlineStr">
        <is>
          <t>CLP</t>
        </is>
      </c>
      <c r="U293" s="169" t="inlineStr">
        <is>
          <t>Carga LH 18-06-26</t>
        </is>
      </c>
      <c r="V293" s="169" t="inlineStr">
        <is>
          <t>2026-06-18</t>
        </is>
      </c>
    </row>
    <row r="294">
      <c r="A294" s="169" t="inlineStr">
        <is>
          <t>CR-0291</t>
        </is>
      </c>
      <c r="B294" s="169" t="inlineStr">
        <is>
          <t>2026/27</t>
        </is>
      </c>
      <c r="C294" s="231" t="n">
        <v>46071</v>
      </c>
      <c r="D294" s="169" t="inlineStr">
        <is>
          <t>68895</t>
        </is>
      </c>
      <c r="E294" s="169" t="inlineStr">
        <is>
          <t>COMPRA</t>
        </is>
      </c>
      <c r="F294" s="169" t="inlineStr">
        <is>
          <t>Sin asignar</t>
        </is>
      </c>
      <c r="G294" s="169" t="inlineStr">
        <is>
          <t>BODEGA</t>
        </is>
      </c>
      <c r="H294" s="169" t="n"/>
      <c r="I294" s="169" t="n"/>
      <c r="J294" s="169" t="inlineStr">
        <is>
          <t>MANT. Y REP. CONSTRUCCIONES</t>
        </is>
      </c>
      <c r="K294" s="169" t="inlineStr">
        <is>
          <t>MANTENCION INFRAESTRUCTURA</t>
        </is>
      </c>
      <c r="L294" s="169" t="inlineStr">
        <is>
          <t>O/001401 TOR.VOLC.H</t>
        </is>
      </c>
      <c r="M294" s="169" t="n"/>
      <c r="N294" s="169" t="inlineStr">
        <is>
          <t>.   .   -</t>
        </is>
      </c>
      <c r="O294" s="169" t="inlineStr">
        <is>
          <t>FEBRERO</t>
        </is>
      </c>
      <c r="P294" s="169" t="n">
        <v>7</v>
      </c>
      <c r="Q294" s="171" t="n">
        <v>5000</v>
      </c>
      <c r="R294" s="169" t="n"/>
      <c r="S294" s="171" t="n">
        <v>5000</v>
      </c>
      <c r="T294" s="169" t="inlineStr">
        <is>
          <t>CLP</t>
        </is>
      </c>
      <c r="U294" s="169" t="inlineStr">
        <is>
          <t>Carga LH 18-06-26</t>
        </is>
      </c>
      <c r="V294" s="169" t="inlineStr">
        <is>
          <t>2026-06-18</t>
        </is>
      </c>
    </row>
    <row r="295">
      <c r="A295" s="169" t="inlineStr">
        <is>
          <t>CR-0292</t>
        </is>
      </c>
      <c r="B295" s="169" t="inlineStr">
        <is>
          <t>2026/27</t>
        </is>
      </c>
      <c r="C295" s="231" t="n">
        <v>46071</v>
      </c>
      <c r="D295" s="169" t="inlineStr">
        <is>
          <t>68895</t>
        </is>
      </c>
      <c r="E295" s="169" t="inlineStr">
        <is>
          <t>COMPRA</t>
        </is>
      </c>
      <c r="F295" s="169" t="inlineStr">
        <is>
          <t>Sin asignar</t>
        </is>
      </c>
      <c r="G295" s="169" t="inlineStr">
        <is>
          <t>BODEGA</t>
        </is>
      </c>
      <c r="H295" s="169" t="n"/>
      <c r="I295" s="169" t="n"/>
      <c r="J295" s="169" t="inlineStr">
        <is>
          <t>MANT. Y REP. CONSTRUCCIONES</t>
        </is>
      </c>
      <c r="K295" s="169" t="inlineStr">
        <is>
          <t>MANTENCION INFRAESTRUCTURA</t>
        </is>
      </c>
      <c r="L295" s="169" t="inlineStr">
        <is>
          <t>O/001401 TUBO HID 2</t>
        </is>
      </c>
      <c r="M295" s="169" t="n"/>
      <c r="N295" s="169" t="inlineStr">
        <is>
          <t>.   .   -</t>
        </is>
      </c>
      <c r="O295" s="169" t="inlineStr">
        <is>
          <t>FEBRERO</t>
        </is>
      </c>
      <c r="P295" s="169" t="n">
        <v>7</v>
      </c>
      <c r="Q295" s="171" t="n">
        <v>1484</v>
      </c>
      <c r="R295" s="169" t="n"/>
      <c r="S295" s="171" t="n">
        <v>1484</v>
      </c>
      <c r="T295" s="169" t="inlineStr">
        <is>
          <t>CLP</t>
        </is>
      </c>
      <c r="U295" s="169" t="inlineStr">
        <is>
          <t>Carga LH 18-06-26</t>
        </is>
      </c>
      <c r="V295" s="169" t="inlineStr">
        <is>
          <t>2026-06-18</t>
        </is>
      </c>
    </row>
    <row r="296">
      <c r="A296" s="169" t="inlineStr">
        <is>
          <t>CR-0293</t>
        </is>
      </c>
      <c r="B296" s="169" t="inlineStr">
        <is>
          <t>2026/27</t>
        </is>
      </c>
      <c r="C296" s="231" t="n">
        <v>46071</v>
      </c>
      <c r="D296" s="169" t="inlineStr">
        <is>
          <t>121872</t>
        </is>
      </c>
      <c r="E296" s="169" t="inlineStr">
        <is>
          <t>COMPRA</t>
        </is>
      </c>
      <c r="F296" s="169" t="inlineStr">
        <is>
          <t>Sin asignar</t>
        </is>
      </c>
      <c r="G296" s="169" t="inlineStr">
        <is>
          <t>PACKING</t>
        </is>
      </c>
      <c r="H296" s="169" t="n"/>
      <c r="I296" s="169" t="n"/>
      <c r="J296" s="169" t="inlineStr">
        <is>
          <t>COMBUSTIBLE</t>
        </is>
      </c>
      <c r="K296" s="169" t="inlineStr">
        <is>
          <t>SIB. GRUA HORQUILLA ARRIENDO</t>
        </is>
      </c>
      <c r="L296" s="169" t="inlineStr">
        <is>
          <t>O/001411 GAS ENV. 1</t>
        </is>
      </c>
      <c r="M296" s="169" t="n"/>
      <c r="N296" s="169" t="inlineStr">
        <is>
          <t>.   .   -</t>
        </is>
      </c>
      <c r="O296" s="169" t="inlineStr">
        <is>
          <t>FEBRERO</t>
        </is>
      </c>
      <c r="P296" s="169" t="n">
        <v>7</v>
      </c>
      <c r="Q296" s="171" t="n">
        <v>83872</v>
      </c>
      <c r="R296" s="169" t="n"/>
      <c r="S296" s="171" t="n">
        <v>83872</v>
      </c>
      <c r="T296" s="169" t="inlineStr">
        <is>
          <t>CLP</t>
        </is>
      </c>
      <c r="U296" s="169" t="inlineStr">
        <is>
          <t>Carga LH 18-06-26</t>
        </is>
      </c>
      <c r="V296" s="169" t="inlineStr">
        <is>
          <t>2026-06-18</t>
        </is>
      </c>
    </row>
    <row r="297">
      <c r="A297" s="169" t="inlineStr">
        <is>
          <t>CR-0294</t>
        </is>
      </c>
      <c r="B297" s="169" t="inlineStr">
        <is>
          <t>2026/27</t>
        </is>
      </c>
      <c r="C297" s="231" t="n">
        <v>46076</v>
      </c>
      <c r="D297" s="169" t="inlineStr">
        <is>
          <t>606</t>
        </is>
      </c>
      <c r="E297" s="169" t="inlineStr">
        <is>
          <t>COMPRA</t>
        </is>
      </c>
      <c r="F297" s="169" t="inlineStr">
        <is>
          <t>El Molle</t>
        </is>
      </c>
      <c r="G297" s="169" t="inlineStr">
        <is>
          <t>ARRUFATINA - 2017 (5,74 Ha.)</t>
        </is>
      </c>
      <c r="H297" s="169" t="n"/>
      <c r="I297" s="169" t="n"/>
      <c r="J297" s="169" t="inlineStr">
        <is>
          <t>LABORES OPERACIONALES</t>
        </is>
      </c>
      <c r="K297" s="169" t="inlineStr">
        <is>
          <t>OTROS SERVICIOS</t>
        </is>
      </c>
      <c r="L297" s="169" t="inlineStr">
        <is>
          <t>SERV.CONTRATISTA</t>
        </is>
      </c>
      <c r="M297" s="169" t="n"/>
      <c r="N297" s="169" t="inlineStr">
        <is>
          <t>.   .   -</t>
        </is>
      </c>
      <c r="O297" s="169" t="inlineStr">
        <is>
          <t>FEBRERO</t>
        </is>
      </c>
      <c r="P297" s="169" t="n">
        <v>8</v>
      </c>
      <c r="Q297" s="171" t="n">
        <v>170000</v>
      </c>
      <c r="R297" s="169" t="n"/>
      <c r="S297" s="171" t="n">
        <v>170000</v>
      </c>
      <c r="T297" s="169" t="inlineStr">
        <is>
          <t>CLP</t>
        </is>
      </c>
      <c r="U297" s="169" t="inlineStr">
        <is>
          <t>Carga LH 18-06-26</t>
        </is>
      </c>
      <c r="V297" s="169" t="inlineStr">
        <is>
          <t>2026-06-18</t>
        </is>
      </c>
    </row>
    <row r="298">
      <c r="A298" s="169" t="inlineStr">
        <is>
          <t>CR-0295</t>
        </is>
      </c>
      <c r="B298" s="169" t="inlineStr">
        <is>
          <t>2026/27</t>
        </is>
      </c>
      <c r="C298" s="231" t="n">
        <v>46076</v>
      </c>
      <c r="D298" s="169" t="inlineStr">
        <is>
          <t>606</t>
        </is>
      </c>
      <c r="E298" s="169" t="inlineStr">
        <is>
          <t>COMPRA</t>
        </is>
      </c>
      <c r="F298" s="169" t="inlineStr">
        <is>
          <t>El Molle</t>
        </is>
      </c>
      <c r="G298" s="169" t="inlineStr">
        <is>
          <t>ORONULES - 2017 (2,85 Ha.)</t>
        </is>
      </c>
      <c r="H298" s="169" t="n"/>
      <c r="I298" s="169" t="n"/>
      <c r="J298" s="169" t="inlineStr">
        <is>
          <t>LABORES OPERACIONALES</t>
        </is>
      </c>
      <c r="K298" s="169" t="inlineStr">
        <is>
          <t>OTROS SERVICIOS</t>
        </is>
      </c>
      <c r="L298" s="169" t="inlineStr">
        <is>
          <t>SERV.CONTRATISTA</t>
        </is>
      </c>
      <c r="M298" s="169" t="n"/>
      <c r="N298" s="169" t="inlineStr">
        <is>
          <t>.   .   -</t>
        </is>
      </c>
      <c r="O298" s="169" t="inlineStr">
        <is>
          <t>FEBRERO</t>
        </is>
      </c>
      <c r="P298" s="169" t="n">
        <v>8</v>
      </c>
      <c r="Q298" s="171" t="n">
        <v>85000</v>
      </c>
      <c r="R298" s="169" t="n"/>
      <c r="S298" s="171" t="n">
        <v>85000</v>
      </c>
      <c r="T298" s="169" t="inlineStr">
        <is>
          <t>CLP</t>
        </is>
      </c>
      <c r="U298" s="169" t="inlineStr">
        <is>
          <t>Carga LH 18-06-26</t>
        </is>
      </c>
      <c r="V298" s="169" t="inlineStr">
        <is>
          <t>2026-06-18</t>
        </is>
      </c>
    </row>
    <row r="299">
      <c r="A299" s="169" t="inlineStr">
        <is>
          <t>CR-0296</t>
        </is>
      </c>
      <c r="B299" s="169" t="inlineStr">
        <is>
          <t>2026/27</t>
        </is>
      </c>
      <c r="C299" s="231" t="n">
        <v>46076</v>
      </c>
      <c r="D299" s="169" t="inlineStr">
        <is>
          <t>606</t>
        </is>
      </c>
      <c r="E299" s="169" t="inlineStr">
        <is>
          <t>COMPRA</t>
        </is>
      </c>
      <c r="F299" s="169" t="inlineStr">
        <is>
          <t>Mega Catalina</t>
        </is>
      </c>
      <c r="G299" s="169" t="inlineStr">
        <is>
          <t>ORONULES - 2019 (2,5 Ha.)</t>
        </is>
      </c>
      <c r="H299" s="169" t="n"/>
      <c r="I299" s="169" t="n"/>
      <c r="J299" s="169" t="inlineStr">
        <is>
          <t>LABORES OPERACIONALES</t>
        </is>
      </c>
      <c r="K299" s="169" t="inlineStr">
        <is>
          <t>OTROS SERVICIOS</t>
        </is>
      </c>
      <c r="L299" s="169" t="inlineStr">
        <is>
          <t>SERV.CONTRATISTA</t>
        </is>
      </c>
      <c r="M299" s="169" t="n"/>
      <c r="N299" s="169" t="inlineStr">
        <is>
          <t>.   .   -</t>
        </is>
      </c>
      <c r="O299" s="169" t="inlineStr">
        <is>
          <t>FEBRERO</t>
        </is>
      </c>
      <c r="P299" s="169" t="n">
        <v>8</v>
      </c>
      <c r="Q299" s="171" t="n">
        <v>170000</v>
      </c>
      <c r="R299" s="169" t="n"/>
      <c r="S299" s="171" t="n">
        <v>170000</v>
      </c>
      <c r="T299" s="169" t="inlineStr">
        <is>
          <t>CLP</t>
        </is>
      </c>
      <c r="U299" s="169" t="inlineStr">
        <is>
          <t>Carga LH 18-06-26</t>
        </is>
      </c>
      <c r="V299" s="169" t="inlineStr">
        <is>
          <t>2026-06-18</t>
        </is>
      </c>
    </row>
    <row r="300">
      <c r="A300" s="169" t="inlineStr">
        <is>
          <t>CR-0297</t>
        </is>
      </c>
      <c r="B300" s="169" t="inlineStr">
        <is>
          <t>2026/27</t>
        </is>
      </c>
      <c r="C300" s="231" t="n">
        <v>46076</v>
      </c>
      <c r="D300" s="169" t="inlineStr">
        <is>
          <t>606</t>
        </is>
      </c>
      <c r="E300" s="169" t="inlineStr">
        <is>
          <t>COMPRA</t>
        </is>
      </c>
      <c r="F300" s="169" t="inlineStr">
        <is>
          <t>El Molle</t>
        </is>
      </c>
      <c r="G300" s="169" t="inlineStr">
        <is>
          <t>OROGRANDE - 2007 (8,11 Ha.)</t>
        </is>
      </c>
      <c r="H300" s="169" t="n"/>
      <c r="I300" s="169" t="n"/>
      <c r="J300" s="169" t="inlineStr">
        <is>
          <t>LABORES OPERACIONALES</t>
        </is>
      </c>
      <c r="K300" s="169" t="inlineStr">
        <is>
          <t>OTROS SERVICIOS</t>
        </is>
      </c>
      <c r="L300" s="169" t="inlineStr">
        <is>
          <t>SERV.CONTRATISTA</t>
        </is>
      </c>
      <c r="M300" s="169" t="n"/>
      <c r="N300" s="169" t="inlineStr">
        <is>
          <t>.   .   -</t>
        </is>
      </c>
      <c r="O300" s="169" t="inlineStr">
        <is>
          <t>FEBRERO</t>
        </is>
      </c>
      <c r="P300" s="169" t="n">
        <v>8</v>
      </c>
      <c r="Q300" s="171" t="n">
        <v>255000</v>
      </c>
      <c r="R300" s="169" t="n"/>
      <c r="S300" s="171" t="n">
        <v>255000</v>
      </c>
      <c r="T300" s="169" t="inlineStr">
        <is>
          <t>CLP</t>
        </is>
      </c>
      <c r="U300" s="169" t="inlineStr">
        <is>
          <t>Carga LH 18-06-26</t>
        </is>
      </c>
      <c r="V300" s="169" t="inlineStr">
        <is>
          <t>2026-06-18</t>
        </is>
      </c>
    </row>
    <row r="301">
      <c r="A301" s="169" t="inlineStr">
        <is>
          <t>CR-0298</t>
        </is>
      </c>
      <c r="B301" s="169" t="inlineStr">
        <is>
          <t>2026/27</t>
        </is>
      </c>
      <c r="C301" s="231" t="n">
        <v>46076</v>
      </c>
      <c r="D301" s="169" t="inlineStr">
        <is>
          <t>606</t>
        </is>
      </c>
      <c r="E301" s="169" t="inlineStr">
        <is>
          <t>COMPRA</t>
        </is>
      </c>
      <c r="F301" s="169" t="inlineStr">
        <is>
          <t>El Molle</t>
        </is>
      </c>
      <c r="G301" s="169" t="inlineStr">
        <is>
          <t>WONDERFUL - 2002 (2,80 Ha.)</t>
        </is>
      </c>
      <c r="H301" s="169" t="n"/>
      <c r="I301" s="169" t="n"/>
      <c r="J301" s="169" t="inlineStr">
        <is>
          <t>LABORES OPERACIONALES</t>
        </is>
      </c>
      <c r="K301" s="169" t="inlineStr">
        <is>
          <t>OTROS SERVICIOS</t>
        </is>
      </c>
      <c r="L301" s="169" t="inlineStr">
        <is>
          <t>SERV.CONTRATISTA</t>
        </is>
      </c>
      <c r="M301" s="169" t="n"/>
      <c r="N301" s="169" t="inlineStr">
        <is>
          <t>.   .   -</t>
        </is>
      </c>
      <c r="O301" s="169" t="inlineStr">
        <is>
          <t>FEBRERO</t>
        </is>
      </c>
      <c r="P301" s="169" t="n">
        <v>8</v>
      </c>
      <c r="Q301" s="171" t="n">
        <v>85000</v>
      </c>
      <c r="R301" s="169" t="n"/>
      <c r="S301" s="171" t="n">
        <v>85000</v>
      </c>
      <c r="T301" s="169" t="inlineStr">
        <is>
          <t>CLP</t>
        </is>
      </c>
      <c r="U301" s="169" t="inlineStr">
        <is>
          <t>Carga LH 18-06-26</t>
        </is>
      </c>
      <c r="V301" s="169" t="inlineStr">
        <is>
          <t>2026-06-18</t>
        </is>
      </c>
    </row>
    <row r="302">
      <c r="A302" s="169" t="inlineStr">
        <is>
          <t>CR-0299</t>
        </is>
      </c>
      <c r="B302" s="169" t="inlineStr">
        <is>
          <t>2026/27</t>
        </is>
      </c>
      <c r="C302" s="231" t="n">
        <v>46076</v>
      </c>
      <c r="D302" s="169" t="inlineStr">
        <is>
          <t>606</t>
        </is>
      </c>
      <c r="E302" s="169" t="inlineStr">
        <is>
          <t>COMPRA</t>
        </is>
      </c>
      <c r="F302" s="169" t="inlineStr">
        <is>
          <t>El Molle</t>
        </is>
      </c>
      <c r="G302" s="169" t="inlineStr">
        <is>
          <t>WONDERFUL - 2007 (2,44 Ha.)</t>
        </is>
      </c>
      <c r="H302" s="169" t="n"/>
      <c r="I302" s="169" t="n"/>
      <c r="J302" s="169" t="inlineStr">
        <is>
          <t>LABORES OPERACIONALES</t>
        </is>
      </c>
      <c r="K302" s="169" t="inlineStr">
        <is>
          <t>OTROS SERVICIOS</t>
        </is>
      </c>
      <c r="L302" s="169" t="inlineStr">
        <is>
          <t>SERV.CONTRATISTA</t>
        </is>
      </c>
      <c r="M302" s="169" t="n"/>
      <c r="N302" s="169" t="inlineStr">
        <is>
          <t>.   .   -</t>
        </is>
      </c>
      <c r="O302" s="169" t="inlineStr">
        <is>
          <t>FEBRERO</t>
        </is>
      </c>
      <c r="P302" s="169" t="n">
        <v>8</v>
      </c>
      <c r="Q302" s="171" t="n">
        <v>85000</v>
      </c>
      <c r="R302" s="169" t="n"/>
      <c r="S302" s="171" t="n">
        <v>85000</v>
      </c>
      <c r="T302" s="169" t="inlineStr">
        <is>
          <t>CLP</t>
        </is>
      </c>
      <c r="U302" s="169" t="inlineStr">
        <is>
          <t>Carga LH 18-06-26</t>
        </is>
      </c>
      <c r="V302" s="169" t="inlineStr">
        <is>
          <t>2026-06-18</t>
        </is>
      </c>
    </row>
    <row r="303">
      <c r="A303" s="169" t="inlineStr">
        <is>
          <t>CR-0300</t>
        </is>
      </c>
      <c r="B303" s="169" t="inlineStr">
        <is>
          <t>2026/27</t>
        </is>
      </c>
      <c r="C303" s="231" t="n">
        <v>46076</v>
      </c>
      <c r="D303" s="169" t="inlineStr">
        <is>
          <t>110416</t>
        </is>
      </c>
      <c r="E303" s="169" t="inlineStr">
        <is>
          <t>COMPRA</t>
        </is>
      </c>
      <c r="F303" s="169" t="inlineStr">
        <is>
          <t>Sin asignar</t>
        </is>
      </c>
      <c r="G303" s="169" t="inlineStr">
        <is>
          <t>PACKING</t>
        </is>
      </c>
      <c r="H303" s="169" t="n"/>
      <c r="I303" s="169" t="n"/>
      <c r="J303" s="169" t="inlineStr">
        <is>
          <t>GASTOS GENERALES</t>
        </is>
      </c>
      <c r="K303" s="169" t="inlineStr">
        <is>
          <t>AGUA</t>
        </is>
      </c>
      <c r="L303" s="169" t="inlineStr">
        <is>
          <t>O/001417 RECARGA BO</t>
        </is>
      </c>
      <c r="M303" s="169" t="n"/>
      <c r="N303" s="169" t="inlineStr">
        <is>
          <t>.   .   -</t>
        </is>
      </c>
      <c r="O303" s="169" t="inlineStr">
        <is>
          <t>FEBRERO</t>
        </is>
      </c>
      <c r="P303" s="169" t="n">
        <v>8</v>
      </c>
      <c r="Q303" s="171" t="n">
        <v>8067</v>
      </c>
      <c r="R303" s="169" t="n"/>
      <c r="S303" s="171" t="n">
        <v>8067</v>
      </c>
      <c r="T303" s="169" t="inlineStr">
        <is>
          <t>CLP</t>
        </is>
      </c>
      <c r="U303" s="169" t="inlineStr">
        <is>
          <t>Carga LH 18-06-26</t>
        </is>
      </c>
      <c r="V303" s="169" t="inlineStr">
        <is>
          <t>2026-06-18</t>
        </is>
      </c>
    </row>
    <row r="304">
      <c r="A304" s="169" t="inlineStr">
        <is>
          <t>CR-0301</t>
        </is>
      </c>
      <c r="B304" s="169" t="inlineStr">
        <is>
          <t>2026/27</t>
        </is>
      </c>
      <c r="C304" s="231" t="n">
        <v>46076</v>
      </c>
      <c r="D304" s="169" t="inlineStr">
        <is>
          <t>134860</t>
        </is>
      </c>
      <c r="E304" s="169" t="inlineStr">
        <is>
          <t>COMPRA</t>
        </is>
      </c>
      <c r="F304" s="169" t="inlineStr">
        <is>
          <t>Sin asignar</t>
        </is>
      </c>
      <c r="G304" s="169" t="inlineStr">
        <is>
          <t>PACKING</t>
        </is>
      </c>
      <c r="H304" s="169" t="n"/>
      <c r="I304" s="169" t="n"/>
      <c r="J304" s="169" t="inlineStr">
        <is>
          <t>COMBUSTIBLE</t>
        </is>
      </c>
      <c r="K304" s="169" t="inlineStr">
        <is>
          <t>SIB. GRUA HORQUILLA ARRIENDO</t>
        </is>
      </c>
      <c r="L304" s="169" t="inlineStr">
        <is>
          <t>O/001421 GAS ENV. 1</t>
        </is>
      </c>
      <c r="M304" s="169" t="n"/>
      <c r="N304" s="169" t="inlineStr">
        <is>
          <t>.   .   -</t>
        </is>
      </c>
      <c r="O304" s="169" t="inlineStr">
        <is>
          <t>FEBRERO</t>
        </is>
      </c>
      <c r="P304" s="169" t="n">
        <v>8</v>
      </c>
      <c r="Q304" s="171" t="n">
        <v>62904</v>
      </c>
      <c r="R304" s="169" t="n"/>
      <c r="S304" s="171" t="n">
        <v>62904</v>
      </c>
      <c r="T304" s="169" t="inlineStr">
        <is>
          <t>CLP</t>
        </is>
      </c>
      <c r="U304" s="169" t="inlineStr">
        <is>
          <t>Carga LH 18-06-26</t>
        </is>
      </c>
      <c r="V304" s="169" t="inlineStr">
        <is>
          <t>2026-06-18</t>
        </is>
      </c>
    </row>
    <row r="305">
      <c r="A305" s="169" t="inlineStr">
        <is>
          <t>CR-0302</t>
        </is>
      </c>
      <c r="B305" s="169" t="inlineStr">
        <is>
          <t>2026/27</t>
        </is>
      </c>
      <c r="C305" s="231" t="n">
        <v>46077</v>
      </c>
      <c r="D305" s="169" t="inlineStr">
        <is>
          <t>631</t>
        </is>
      </c>
      <c r="E305" s="169" t="inlineStr">
        <is>
          <t>COMPRA</t>
        </is>
      </c>
      <c r="F305" s="169" t="inlineStr">
        <is>
          <t>Mega Catalina</t>
        </is>
      </c>
      <c r="G305" s="169" t="inlineStr">
        <is>
          <t>EUREKA - 1999 (22,5 Ha.)</t>
        </is>
      </c>
      <c r="H305" s="169" t="n"/>
      <c r="I305" s="169" t="n"/>
      <c r="J305" s="169" t="inlineStr">
        <is>
          <t>LABORES OPERACIONALES</t>
        </is>
      </c>
      <c r="K305" s="169" t="inlineStr">
        <is>
          <t>COSECHA</t>
        </is>
      </c>
      <c r="L305" s="169" t="inlineStr">
        <is>
          <t>SERV.CONTRATISTA</t>
        </is>
      </c>
      <c r="M305" s="169" t="n"/>
      <c r="N305" s="169" t="inlineStr">
        <is>
          <t>.   .   -</t>
        </is>
      </c>
      <c r="O305" s="169" t="inlineStr">
        <is>
          <t>FEBRERO</t>
        </is>
      </c>
      <c r="P305" s="169" t="n">
        <v>8</v>
      </c>
      <c r="Q305" s="171" t="n">
        <v>2722890</v>
      </c>
      <c r="R305" s="169" t="n"/>
      <c r="S305" s="171" t="n">
        <v>2722890</v>
      </c>
      <c r="T305" s="169" t="inlineStr">
        <is>
          <t>CLP</t>
        </is>
      </c>
      <c r="U305" s="169" t="inlineStr">
        <is>
          <t>Carga LH 18-06-26</t>
        </is>
      </c>
      <c r="V305" s="169" t="inlineStr">
        <is>
          <t>2026-06-18</t>
        </is>
      </c>
    </row>
    <row r="306">
      <c r="A306" s="169" t="inlineStr">
        <is>
          <t>CR-0303</t>
        </is>
      </c>
      <c r="B306" s="169" t="inlineStr">
        <is>
          <t>2026/27</t>
        </is>
      </c>
      <c r="C306" s="231" t="n">
        <v>46077</v>
      </c>
      <c r="D306" s="169" t="inlineStr">
        <is>
          <t>631</t>
        </is>
      </c>
      <c r="E306" s="169" t="inlineStr">
        <is>
          <t>COMPRA</t>
        </is>
      </c>
      <c r="F306" s="169" t="inlineStr">
        <is>
          <t>Mega Catalina</t>
        </is>
      </c>
      <c r="G306" s="169" t="inlineStr">
        <is>
          <t>EUREKA - 1999 (22,5 Ha.)</t>
        </is>
      </c>
      <c r="H306" s="169" t="n"/>
      <c r="I306" s="169" t="n"/>
      <c r="J306" s="169" t="inlineStr">
        <is>
          <t>LABORES OPERACIONALES</t>
        </is>
      </c>
      <c r="K306" s="169" t="inlineStr">
        <is>
          <t>SELECCION</t>
        </is>
      </c>
      <c r="L306" s="169" t="inlineStr">
        <is>
          <t>SERV.CONTRATISTA</t>
        </is>
      </c>
      <c r="M306" s="169" t="n"/>
      <c r="N306" s="169" t="inlineStr">
        <is>
          <t>.   .   -</t>
        </is>
      </c>
      <c r="O306" s="169" t="inlineStr">
        <is>
          <t>FEBRERO</t>
        </is>
      </c>
      <c r="P306" s="169" t="n">
        <v>8</v>
      </c>
      <c r="Q306" s="171" t="n">
        <v>37500</v>
      </c>
      <c r="R306" s="169" t="n"/>
      <c r="S306" s="171" t="n">
        <v>37500</v>
      </c>
      <c r="T306" s="169" t="inlineStr">
        <is>
          <t>CLP</t>
        </is>
      </c>
      <c r="U306" s="169" t="inlineStr">
        <is>
          <t>Carga LH 18-06-26</t>
        </is>
      </c>
      <c r="V306" s="169" t="inlineStr">
        <is>
          <t>2026-06-18</t>
        </is>
      </c>
    </row>
    <row r="307">
      <c r="A307" s="169" t="inlineStr">
        <is>
          <t>CR-0304</t>
        </is>
      </c>
      <c r="B307" s="169" t="inlineStr">
        <is>
          <t>2026/27</t>
        </is>
      </c>
      <c r="C307" s="231" t="n">
        <v>46077</v>
      </c>
      <c r="D307" s="169" t="inlineStr">
        <is>
          <t>1011</t>
        </is>
      </c>
      <c r="E307" s="169" t="inlineStr">
        <is>
          <t>COMPRA</t>
        </is>
      </c>
      <c r="F307" s="169" t="inlineStr">
        <is>
          <t>Mega Catalina</t>
        </is>
      </c>
      <c r="G307" s="169" t="inlineStr">
        <is>
          <t>EUREKA - 1999 (22,5 Ha.)</t>
        </is>
      </c>
      <c r="H307" s="169" t="n"/>
      <c r="I307" s="169" t="n"/>
      <c r="J307" s="169" t="inlineStr">
        <is>
          <t>LABORES OPERACIONALES</t>
        </is>
      </c>
      <c r="K307" s="169" t="inlineStr">
        <is>
          <t>COSECHA</t>
        </is>
      </c>
      <c r="L307" s="169" t="inlineStr">
        <is>
          <t>SERV.CONTRATISTA</t>
        </is>
      </c>
      <c r="M307" s="169" t="n"/>
      <c r="N307" s="169" t="inlineStr">
        <is>
          <t>.   .   -</t>
        </is>
      </c>
      <c r="O307" s="169" t="inlineStr">
        <is>
          <t>FEBRERO</t>
        </is>
      </c>
      <c r="P307" s="169" t="n">
        <v>8</v>
      </c>
      <c r="Q307" s="171" t="n">
        <v>1281360</v>
      </c>
      <c r="R307" s="169" t="n"/>
      <c r="S307" s="171" t="n">
        <v>1281360</v>
      </c>
      <c r="T307" s="169" t="inlineStr">
        <is>
          <t>CLP</t>
        </is>
      </c>
      <c r="U307" s="169" t="inlineStr">
        <is>
          <t>Carga LH 18-06-26</t>
        </is>
      </c>
      <c r="V307" s="169" t="inlineStr">
        <is>
          <t>2026-06-18</t>
        </is>
      </c>
    </row>
    <row r="308">
      <c r="A308" s="169" t="inlineStr">
        <is>
          <t>CR-0305</t>
        </is>
      </c>
      <c r="B308" s="169" t="inlineStr">
        <is>
          <t>2026/27</t>
        </is>
      </c>
      <c r="C308" s="231" t="n">
        <v>46077</v>
      </c>
      <c r="D308" s="169" t="inlineStr">
        <is>
          <t>167</t>
        </is>
      </c>
      <c r="E308" s="169" t="inlineStr">
        <is>
          <t>COMPRA</t>
        </is>
      </c>
      <c r="F308" s="169" t="inlineStr">
        <is>
          <t>Mega Catalina</t>
        </is>
      </c>
      <c r="G308" s="169" t="inlineStr">
        <is>
          <t>EUREKA - 2016 (14,4 Ha.)</t>
        </is>
      </c>
      <c r="H308" s="169" t="n"/>
      <c r="I308" s="169" t="n"/>
      <c r="J308" s="169" t="inlineStr">
        <is>
          <t>LABORES OPERACIONALES</t>
        </is>
      </c>
      <c r="K308" s="169" t="inlineStr">
        <is>
          <t>PODA</t>
        </is>
      </c>
      <c r="L308" s="169" t="inlineStr">
        <is>
          <t>SERV.CONTRATISTA</t>
        </is>
      </c>
      <c r="M308" s="169" t="n"/>
      <c r="N308" s="169" t="inlineStr">
        <is>
          <t>.   .   -</t>
        </is>
      </c>
      <c r="O308" s="169" t="inlineStr">
        <is>
          <t>FEBRERO</t>
        </is>
      </c>
      <c r="P308" s="169" t="n">
        <v>8</v>
      </c>
      <c r="Q308" s="171" t="n">
        <v>500850</v>
      </c>
      <c r="R308" s="169" t="n"/>
      <c r="S308" s="171" t="n">
        <v>500850</v>
      </c>
      <c r="T308" s="169" t="inlineStr">
        <is>
          <t>CLP</t>
        </is>
      </c>
      <c r="U308" s="169" t="inlineStr">
        <is>
          <t>Carga LH 18-06-26</t>
        </is>
      </c>
      <c r="V308" s="169" t="inlineStr">
        <is>
          <t>2026-06-18</t>
        </is>
      </c>
    </row>
    <row r="309">
      <c r="A309" s="169" t="inlineStr">
        <is>
          <t>CR-0306</t>
        </is>
      </c>
      <c r="B309" s="169" t="inlineStr">
        <is>
          <t>2026/27</t>
        </is>
      </c>
      <c r="C309" s="231" t="n">
        <v>46077</v>
      </c>
      <c r="D309" s="169" t="inlineStr">
        <is>
          <t>1127</t>
        </is>
      </c>
      <c r="E309" s="169" t="inlineStr">
        <is>
          <t>COMPRA</t>
        </is>
      </c>
      <c r="F309" s="169" t="inlineStr">
        <is>
          <t>Mega Catalina</t>
        </is>
      </c>
      <c r="G309" s="169" t="inlineStr">
        <is>
          <t>INJERTO TIMPSON - 2018 (3,8 Ha.)</t>
        </is>
      </c>
      <c r="H309" s="169" t="n"/>
      <c r="I309" s="169" t="n"/>
      <c r="J309" s="169" t="inlineStr">
        <is>
          <t>LABORES OPERACIONALES</t>
        </is>
      </c>
      <c r="K309" s="169" t="inlineStr">
        <is>
          <t>COSECHA</t>
        </is>
      </c>
      <c r="L309" s="169" t="inlineStr">
        <is>
          <t>SERV.CONTRATISTA</t>
        </is>
      </c>
      <c r="M309" s="169" t="n"/>
      <c r="N309" s="169" t="inlineStr">
        <is>
          <t>.   .   -</t>
        </is>
      </c>
      <c r="O309" s="169" t="inlineStr">
        <is>
          <t>FEBRERO</t>
        </is>
      </c>
      <c r="P309" s="169" t="n">
        <v>8</v>
      </c>
      <c r="Q309" s="171" t="n">
        <v>409800</v>
      </c>
      <c r="R309" s="169" t="n"/>
      <c r="S309" s="171" t="n">
        <v>409800</v>
      </c>
      <c r="T309" s="169" t="inlineStr">
        <is>
          <t>CLP</t>
        </is>
      </c>
      <c r="U309" s="169" t="inlineStr">
        <is>
          <t>Carga LH 18-06-26</t>
        </is>
      </c>
      <c r="V309" s="169" t="inlineStr">
        <is>
          <t>2026-06-18</t>
        </is>
      </c>
    </row>
    <row r="310">
      <c r="A310" s="169" t="inlineStr">
        <is>
          <t>CR-0307</t>
        </is>
      </c>
      <c r="B310" s="169" t="inlineStr">
        <is>
          <t>2026/27</t>
        </is>
      </c>
      <c r="C310" s="231" t="n">
        <v>46077</v>
      </c>
      <c r="D310" s="169" t="inlineStr">
        <is>
          <t>1127</t>
        </is>
      </c>
      <c r="E310" s="169" t="inlineStr">
        <is>
          <t>COMPRA</t>
        </is>
      </c>
      <c r="F310" s="169" t="inlineStr">
        <is>
          <t>Mega Catalina</t>
        </is>
      </c>
      <c r="G310" s="169" t="inlineStr">
        <is>
          <t>SWEET CELEBRATION - 2015 (7,14 Ha.)</t>
        </is>
      </c>
      <c r="H310" s="169" t="n"/>
      <c r="I310" s="169" t="n"/>
      <c r="J310" s="169" t="inlineStr">
        <is>
          <t>LABORES OPERACIONALES</t>
        </is>
      </c>
      <c r="K310" s="169" t="inlineStr">
        <is>
          <t>COSECHA</t>
        </is>
      </c>
      <c r="L310" s="169" t="inlineStr">
        <is>
          <t>SERV.CONTRATISTA</t>
        </is>
      </c>
      <c r="M310" s="169" t="n"/>
      <c r="N310" s="169" t="inlineStr">
        <is>
          <t>.   .   -</t>
        </is>
      </c>
      <c r="O310" s="169" t="inlineStr">
        <is>
          <t>FEBRERO</t>
        </is>
      </c>
      <c r="P310" s="169" t="n">
        <v>8</v>
      </c>
      <c r="Q310" s="171" t="n">
        <v>200550</v>
      </c>
      <c r="R310" s="169" t="n"/>
      <c r="S310" s="171" t="n">
        <v>200550</v>
      </c>
      <c r="T310" s="169" t="inlineStr">
        <is>
          <t>CLP</t>
        </is>
      </c>
      <c r="U310" s="169" t="inlineStr">
        <is>
          <t>Carga LH 18-06-26</t>
        </is>
      </c>
      <c r="V310" s="169" t="inlineStr">
        <is>
          <t>2026-06-18</t>
        </is>
      </c>
    </row>
    <row r="311">
      <c r="A311" s="169" t="inlineStr">
        <is>
          <t>CR-0308</t>
        </is>
      </c>
      <c r="B311" s="169" t="inlineStr">
        <is>
          <t>2026/27</t>
        </is>
      </c>
      <c r="C311" s="231" t="n">
        <v>46077</v>
      </c>
      <c r="D311" s="169" t="inlineStr">
        <is>
          <t>209</t>
        </is>
      </c>
      <c r="E311" s="169" t="inlineStr">
        <is>
          <t>COMPRA</t>
        </is>
      </c>
      <c r="F311" s="169" t="inlineStr">
        <is>
          <t>Mega Catalina</t>
        </is>
      </c>
      <c r="G311" s="169" t="inlineStr">
        <is>
          <t>INJERTO TIMPSON - 2018 (3,8 Ha.)</t>
        </is>
      </c>
      <c r="H311" s="169" t="n"/>
      <c r="I311" s="169" t="n"/>
      <c r="J311" s="169" t="inlineStr">
        <is>
          <t>LABORES OPERACIONALES</t>
        </is>
      </c>
      <c r="K311" s="169" t="inlineStr">
        <is>
          <t>COSECHA</t>
        </is>
      </c>
      <c r="L311" s="169" t="inlineStr">
        <is>
          <t>SERV.CONTRATISTA</t>
        </is>
      </c>
      <c r="M311" s="169" t="n"/>
      <c r="N311" s="169" t="inlineStr">
        <is>
          <t>.   .   -</t>
        </is>
      </c>
      <c r="O311" s="169" t="inlineStr">
        <is>
          <t>FEBRERO</t>
        </is>
      </c>
      <c r="P311" s="169" t="n">
        <v>8</v>
      </c>
      <c r="Q311" s="171" t="n">
        <v>594000</v>
      </c>
      <c r="R311" s="169" t="n"/>
      <c r="S311" s="171" t="n">
        <v>594000</v>
      </c>
      <c r="T311" s="169" t="inlineStr">
        <is>
          <t>CLP</t>
        </is>
      </c>
      <c r="U311" s="169" t="inlineStr">
        <is>
          <t>Carga LH 18-06-26</t>
        </is>
      </c>
      <c r="V311" s="169" t="inlineStr">
        <is>
          <t>2026-06-18</t>
        </is>
      </c>
    </row>
    <row r="312">
      <c r="A312" s="169" t="inlineStr">
        <is>
          <t>CR-0309</t>
        </is>
      </c>
      <c r="B312" s="169" t="inlineStr">
        <is>
          <t>2026/27</t>
        </is>
      </c>
      <c r="C312" s="231" t="n">
        <v>46077</v>
      </c>
      <c r="D312" s="169" t="inlineStr">
        <is>
          <t>209</t>
        </is>
      </c>
      <c r="E312" s="169" t="inlineStr">
        <is>
          <t>COMPRA</t>
        </is>
      </c>
      <c r="F312" s="169" t="inlineStr">
        <is>
          <t>Mega Catalina</t>
        </is>
      </c>
      <c r="G312" s="169" t="inlineStr">
        <is>
          <t>INJERTO TIMPSON - 2019 (4,2 Ha.)</t>
        </is>
      </c>
      <c r="H312" s="169" t="n"/>
      <c r="I312" s="169" t="n"/>
      <c r="J312" s="169" t="inlineStr">
        <is>
          <t>LABORES OPERACIONALES</t>
        </is>
      </c>
      <c r="K312" s="169" t="inlineStr">
        <is>
          <t>COSECHA</t>
        </is>
      </c>
      <c r="L312" s="169" t="inlineStr">
        <is>
          <t>SERV.CONTRATISTA</t>
        </is>
      </c>
      <c r="M312" s="169" t="n"/>
      <c r="N312" s="169" t="inlineStr">
        <is>
          <t>.   .   -</t>
        </is>
      </c>
      <c r="O312" s="169" t="inlineStr">
        <is>
          <t>FEBRERO</t>
        </is>
      </c>
      <c r="P312" s="169" t="n">
        <v>8</v>
      </c>
      <c r="Q312" s="171" t="n">
        <v>180000</v>
      </c>
      <c r="R312" s="169" t="n"/>
      <c r="S312" s="171" t="n">
        <v>180000</v>
      </c>
      <c r="T312" s="169" t="inlineStr">
        <is>
          <t>CLP</t>
        </is>
      </c>
      <c r="U312" s="169" t="inlineStr">
        <is>
          <t>Carga LH 18-06-26</t>
        </is>
      </c>
      <c r="V312" s="169" t="inlineStr">
        <is>
          <t>2026-06-18</t>
        </is>
      </c>
    </row>
    <row r="313">
      <c r="A313" s="169" t="inlineStr">
        <is>
          <t>CR-0310</t>
        </is>
      </c>
      <c r="B313" s="169" t="inlineStr">
        <is>
          <t>2026/27</t>
        </is>
      </c>
      <c r="C313" s="231" t="n">
        <v>46077</v>
      </c>
      <c r="D313" s="169" t="inlineStr">
        <is>
          <t>209</t>
        </is>
      </c>
      <c r="E313" s="169" t="inlineStr">
        <is>
          <t>COMPRA</t>
        </is>
      </c>
      <c r="F313" s="169" t="inlineStr">
        <is>
          <t>Mega Catalina</t>
        </is>
      </c>
      <c r="G313" s="169" t="inlineStr">
        <is>
          <t>SWEET CELEBRATION - 2015 (7,14 Ha.)</t>
        </is>
      </c>
      <c r="H313" s="169" t="n"/>
      <c r="I313" s="169" t="n"/>
      <c r="J313" s="169" t="inlineStr">
        <is>
          <t>LABORES OPERACIONALES</t>
        </is>
      </c>
      <c r="K313" s="169" t="inlineStr">
        <is>
          <t>COSECHA</t>
        </is>
      </c>
      <c r="L313" s="169" t="inlineStr">
        <is>
          <t>SERV.CONTRATISTA</t>
        </is>
      </c>
      <c r="M313" s="169" t="n"/>
      <c r="N313" s="169" t="inlineStr">
        <is>
          <t>.   .   -</t>
        </is>
      </c>
      <c r="O313" s="169" t="inlineStr">
        <is>
          <t>FEBRERO</t>
        </is>
      </c>
      <c r="P313" s="169" t="n">
        <v>8</v>
      </c>
      <c r="Q313" s="171" t="n">
        <v>466075</v>
      </c>
      <c r="R313" s="169" t="n"/>
      <c r="S313" s="171" t="n">
        <v>466075</v>
      </c>
      <c r="T313" s="169" t="inlineStr">
        <is>
          <t>CLP</t>
        </is>
      </c>
      <c r="U313" s="169" t="inlineStr">
        <is>
          <t>Carga LH 18-06-26</t>
        </is>
      </c>
      <c r="V313" s="169" t="inlineStr">
        <is>
          <t>2026-06-18</t>
        </is>
      </c>
    </row>
    <row r="314">
      <c r="A314" s="169" t="inlineStr">
        <is>
          <t>CR-0311</t>
        </is>
      </c>
      <c r="B314" s="169" t="inlineStr">
        <is>
          <t>2026/27</t>
        </is>
      </c>
      <c r="C314" s="231" t="n">
        <v>46077</v>
      </c>
      <c r="D314" s="169" t="inlineStr">
        <is>
          <t>165</t>
        </is>
      </c>
      <c r="E314" s="169" t="inlineStr">
        <is>
          <t>COMPRA</t>
        </is>
      </c>
      <c r="F314" s="169" t="inlineStr">
        <is>
          <t>Mega Catalina</t>
        </is>
      </c>
      <c r="G314" s="169" t="inlineStr">
        <is>
          <t>INJERTO TIMPSON - 2018 (3,8 Ha.)</t>
        </is>
      </c>
      <c r="H314" s="169" t="n"/>
      <c r="I314" s="169" t="n"/>
      <c r="J314" s="169" t="inlineStr">
        <is>
          <t>LABORES OPERACIONALES</t>
        </is>
      </c>
      <c r="K314" s="169" t="inlineStr">
        <is>
          <t>COSECHA</t>
        </is>
      </c>
      <c r="L314" s="169" t="inlineStr">
        <is>
          <t>SERV.CONTRATISTA</t>
        </is>
      </c>
      <c r="M314" s="169" t="n"/>
      <c r="N314" s="169" t="inlineStr">
        <is>
          <t>.   .   -</t>
        </is>
      </c>
      <c r="O314" s="169" t="inlineStr">
        <is>
          <t>FEBRERO</t>
        </is>
      </c>
      <c r="P314" s="169" t="n">
        <v>8</v>
      </c>
      <c r="Q314" s="171" t="n">
        <v>750000</v>
      </c>
      <c r="R314" s="169" t="n"/>
      <c r="S314" s="171" t="n">
        <v>750000</v>
      </c>
      <c r="T314" s="169" t="inlineStr">
        <is>
          <t>CLP</t>
        </is>
      </c>
      <c r="U314" s="169" t="inlineStr">
        <is>
          <t>Carga LH 18-06-26</t>
        </is>
      </c>
      <c r="V314" s="169" t="inlineStr">
        <is>
          <t>2026-06-18</t>
        </is>
      </c>
    </row>
    <row r="315">
      <c r="A315" s="169" t="inlineStr">
        <is>
          <t>CR-0312</t>
        </is>
      </c>
      <c r="B315" s="169" t="inlineStr">
        <is>
          <t>2026/27</t>
        </is>
      </c>
      <c r="C315" s="231" t="n">
        <v>46078</v>
      </c>
      <c r="D315" s="169" t="inlineStr">
        <is>
          <t>632</t>
        </is>
      </c>
      <c r="E315" s="169" t="inlineStr">
        <is>
          <t>COMPRA</t>
        </is>
      </c>
      <c r="F315" s="169" t="inlineStr">
        <is>
          <t>Sin asignar</t>
        </is>
      </c>
      <c r="G315" s="169" t="inlineStr">
        <is>
          <t>PACKING</t>
        </is>
      </c>
      <c r="H315" s="169" t="n"/>
      <c r="I315" s="169" t="n"/>
      <c r="J315" s="169" t="inlineStr">
        <is>
          <t>LABORES OPERACIONALES</t>
        </is>
      </c>
      <c r="K315" s="169" t="inlineStr">
        <is>
          <t>LAB. PACKING</t>
        </is>
      </c>
      <c r="L315" s="169" t="inlineStr">
        <is>
          <t>SERV.CONTRATISTA</t>
        </is>
      </c>
      <c r="M315" s="169" t="n"/>
      <c r="N315" s="169" t="inlineStr">
        <is>
          <t>.   .   -</t>
        </is>
      </c>
      <c r="O315" s="169" t="inlineStr">
        <is>
          <t>FEBRERO</t>
        </is>
      </c>
      <c r="P315" s="169" t="n">
        <v>8</v>
      </c>
      <c r="Q315" s="171" t="n">
        <v>5937330</v>
      </c>
      <c r="R315" s="169" t="n"/>
      <c r="S315" s="171" t="n">
        <v>5937330</v>
      </c>
      <c r="T315" s="169" t="inlineStr">
        <is>
          <t>CLP</t>
        </is>
      </c>
      <c r="U315" s="169" t="inlineStr">
        <is>
          <t>Carga LH 18-06-26</t>
        </is>
      </c>
      <c r="V315" s="169" t="inlineStr">
        <is>
          <t>2026-06-18</t>
        </is>
      </c>
    </row>
    <row r="316">
      <c r="A316" s="169" t="inlineStr">
        <is>
          <t>CR-0313</t>
        </is>
      </c>
      <c r="B316" s="169" t="inlineStr">
        <is>
          <t>2026/27</t>
        </is>
      </c>
      <c r="C316" s="231" t="n">
        <v>46078</v>
      </c>
      <c r="D316" s="169" t="inlineStr">
        <is>
          <t>632</t>
        </is>
      </c>
      <c r="E316" s="169" t="inlineStr">
        <is>
          <t>COMPRA</t>
        </is>
      </c>
      <c r="F316" s="169" t="inlineStr">
        <is>
          <t>Mega Catalina</t>
        </is>
      </c>
      <c r="G316" s="169" t="inlineStr">
        <is>
          <t>INJERTO TIMPSON - 2018 (3,8 Ha.)</t>
        </is>
      </c>
      <c r="H316" s="169" t="n"/>
      <c r="I316" s="169" t="n"/>
      <c r="J316" s="169" t="inlineStr">
        <is>
          <t>LABORES OPERACIONALES</t>
        </is>
      </c>
      <c r="K316" s="169" t="inlineStr">
        <is>
          <t>COSECHA</t>
        </is>
      </c>
      <c r="L316" s="169" t="inlineStr">
        <is>
          <t>SERV.CONTRATISTA</t>
        </is>
      </c>
      <c r="M316" s="169" t="n"/>
      <c r="N316" s="169" t="inlineStr">
        <is>
          <t>.   .   -</t>
        </is>
      </c>
      <c r="O316" s="169" t="inlineStr">
        <is>
          <t>FEBRERO</t>
        </is>
      </c>
      <c r="P316" s="169" t="n">
        <v>8</v>
      </c>
      <c r="Q316" s="171" t="n">
        <v>1191700</v>
      </c>
      <c r="R316" s="169" t="n"/>
      <c r="S316" s="171" t="n">
        <v>1191700</v>
      </c>
      <c r="T316" s="169" t="inlineStr">
        <is>
          <t>CLP</t>
        </is>
      </c>
      <c r="U316" s="169" t="inlineStr">
        <is>
          <t>Carga LH 18-06-26</t>
        </is>
      </c>
      <c r="V316" s="169" t="inlineStr">
        <is>
          <t>2026-06-18</t>
        </is>
      </c>
    </row>
    <row r="317">
      <c r="A317" s="169" t="inlineStr">
        <is>
          <t>CR-0314</t>
        </is>
      </c>
      <c r="B317" s="169" t="inlineStr">
        <is>
          <t>2026/27</t>
        </is>
      </c>
      <c r="C317" s="231" t="n">
        <v>46078</v>
      </c>
      <c r="D317" s="169" t="inlineStr">
        <is>
          <t>632</t>
        </is>
      </c>
      <c r="E317" s="169" t="inlineStr">
        <is>
          <t>COMPRA</t>
        </is>
      </c>
      <c r="F317" s="169" t="inlineStr">
        <is>
          <t>Mega Catalina</t>
        </is>
      </c>
      <c r="G317" s="169" t="inlineStr">
        <is>
          <t>INJERTO TIMPSON - 2019 (4,2 Ha.)</t>
        </is>
      </c>
      <c r="H317" s="169" t="n"/>
      <c r="I317" s="169" t="n"/>
      <c r="J317" s="169" t="inlineStr">
        <is>
          <t>LABORES OPERACIONALES</t>
        </is>
      </c>
      <c r="K317" s="169" t="inlineStr">
        <is>
          <t>COSECHA</t>
        </is>
      </c>
      <c r="L317" s="169" t="inlineStr">
        <is>
          <t>SERV.CONTRATISTA</t>
        </is>
      </c>
      <c r="M317" s="169" t="n"/>
      <c r="N317" s="169" t="inlineStr">
        <is>
          <t>.   .   -</t>
        </is>
      </c>
      <c r="O317" s="169" t="inlineStr">
        <is>
          <t>FEBRERO</t>
        </is>
      </c>
      <c r="P317" s="169" t="n">
        <v>8</v>
      </c>
      <c r="Q317" s="171" t="n">
        <v>732600</v>
      </c>
      <c r="R317" s="169" t="n"/>
      <c r="S317" s="171" t="n">
        <v>732600</v>
      </c>
      <c r="T317" s="169" t="inlineStr">
        <is>
          <t>CLP</t>
        </is>
      </c>
      <c r="U317" s="169" t="inlineStr">
        <is>
          <t>Carga LH 18-06-26</t>
        </is>
      </c>
      <c r="V317" s="169" t="inlineStr">
        <is>
          <t>2026-06-18</t>
        </is>
      </c>
    </row>
    <row r="318">
      <c r="A318" s="169" t="inlineStr">
        <is>
          <t>CR-0315</t>
        </is>
      </c>
      <c r="B318" s="169" t="inlineStr">
        <is>
          <t>2026/27</t>
        </is>
      </c>
      <c r="C318" s="231" t="n">
        <v>46078</v>
      </c>
      <c r="D318" s="169" t="inlineStr">
        <is>
          <t>632</t>
        </is>
      </c>
      <c r="E318" s="169" t="inlineStr">
        <is>
          <t>COMPRA</t>
        </is>
      </c>
      <c r="F318" s="169" t="inlineStr">
        <is>
          <t>Mega Catalina</t>
        </is>
      </c>
      <c r="G318" s="169" t="inlineStr">
        <is>
          <t>SWEET CELEBRATION - 2015 (7,14 Ha.)</t>
        </is>
      </c>
      <c r="H318" s="169" t="n"/>
      <c r="I318" s="169" t="n"/>
      <c r="J318" s="169" t="inlineStr">
        <is>
          <t>LABORES OPERACIONALES</t>
        </is>
      </c>
      <c r="K318" s="169" t="inlineStr">
        <is>
          <t>COSECHA</t>
        </is>
      </c>
      <c r="L318" s="169" t="inlineStr">
        <is>
          <t>SERV.CONTRATISTA</t>
        </is>
      </c>
      <c r="M318" s="169" t="n"/>
      <c r="N318" s="169" t="inlineStr">
        <is>
          <t>.   .   -</t>
        </is>
      </c>
      <c r="O318" s="169" t="inlineStr">
        <is>
          <t>FEBRERO</t>
        </is>
      </c>
      <c r="P318" s="169" t="n">
        <v>8</v>
      </c>
      <c r="Q318" s="171" t="n">
        <v>923125</v>
      </c>
      <c r="R318" s="169" t="n"/>
      <c r="S318" s="171" t="n">
        <v>923125</v>
      </c>
      <c r="T318" s="169" t="inlineStr">
        <is>
          <t>CLP</t>
        </is>
      </c>
      <c r="U318" s="169" t="inlineStr">
        <is>
          <t>Carga LH 18-06-26</t>
        </is>
      </c>
      <c r="V318" s="169" t="inlineStr">
        <is>
          <t>2026-06-18</t>
        </is>
      </c>
    </row>
    <row r="319">
      <c r="A319" s="169" t="inlineStr">
        <is>
          <t>CR-0316</t>
        </is>
      </c>
      <c r="B319" s="169" t="inlineStr">
        <is>
          <t>2026/27</t>
        </is>
      </c>
      <c r="C319" s="231" t="n">
        <v>46080</v>
      </c>
      <c r="D319" s="169" t="inlineStr">
        <is>
          <t>4118</t>
        </is>
      </c>
      <c r="E319" s="169" t="inlineStr">
        <is>
          <t>COMPRA</t>
        </is>
      </c>
      <c r="F319" s="169" t="inlineStr">
        <is>
          <t>Sin asignar</t>
        </is>
      </c>
      <c r="G319" s="169" t="inlineStr">
        <is>
          <t>PACKING</t>
        </is>
      </c>
      <c r="H319" s="169" t="n"/>
      <c r="I319" s="169" t="n"/>
      <c r="J319" s="169" t="inlineStr">
        <is>
          <t>ARRIENDOS</t>
        </is>
      </c>
      <c r="K319" s="169" t="inlineStr">
        <is>
          <t>ARRIENDO GRUA HORQUILLA</t>
        </is>
      </c>
      <c r="L319" s="169" t="inlineStr">
        <is>
          <t>O/001430 ARRIENDO G</t>
        </is>
      </c>
      <c r="M319" s="169" t="n"/>
      <c r="N319" s="169" t="inlineStr">
        <is>
          <t>.   .   -</t>
        </is>
      </c>
      <c r="O319" s="169" t="inlineStr">
        <is>
          <t>FEBRERO</t>
        </is>
      </c>
      <c r="P319" s="169" t="n">
        <v>8</v>
      </c>
      <c r="Q319" s="171" t="n">
        <v>620001</v>
      </c>
      <c r="R319" s="169" t="n"/>
      <c r="S319" s="171" t="n">
        <v>620001</v>
      </c>
      <c r="T319" s="169" t="inlineStr">
        <is>
          <t>CLP</t>
        </is>
      </c>
      <c r="U319" s="169" t="inlineStr">
        <is>
          <t>Carga LH 18-06-26</t>
        </is>
      </c>
      <c r="V319" s="169" t="inlineStr">
        <is>
          <t>2026-06-18</t>
        </is>
      </c>
    </row>
    <row r="320">
      <c r="A320" s="169" t="inlineStr">
        <is>
          <t>CR-0317</t>
        </is>
      </c>
      <c r="B320" s="169" t="inlineStr">
        <is>
          <t>2026/27</t>
        </is>
      </c>
      <c r="C320" s="231" t="n">
        <v>46081</v>
      </c>
      <c r="D320" s="169" t="inlineStr">
        <is>
          <t>144569</t>
        </is>
      </c>
      <c r="E320" s="169" t="inlineStr">
        <is>
          <t>COMPRA</t>
        </is>
      </c>
      <c r="F320" s="169" t="inlineStr">
        <is>
          <t>Sin asignar</t>
        </is>
      </c>
      <c r="G320" s="169" t="inlineStr">
        <is>
          <t>PACKING</t>
        </is>
      </c>
      <c r="H320" s="169" t="n"/>
      <c r="I320" s="169" t="n"/>
      <c r="J320" s="169" t="inlineStr">
        <is>
          <t>COMBUSTIBLE</t>
        </is>
      </c>
      <c r="K320" s="169" t="inlineStr">
        <is>
          <t>SIB. GRUA HORQUILLA ARRIENDO</t>
        </is>
      </c>
      <c r="L320" s="169" t="inlineStr">
        <is>
          <t>O/001435 GAS ENV. 1</t>
        </is>
      </c>
      <c r="M320" s="169" t="n"/>
      <c r="N320" s="169" t="inlineStr">
        <is>
          <t>.   .   -</t>
        </is>
      </c>
      <c r="O320" s="169" t="inlineStr">
        <is>
          <t>FEBRERO</t>
        </is>
      </c>
      <c r="P320" s="169" t="n">
        <v>8</v>
      </c>
      <c r="Q320" s="171" t="n">
        <v>62904</v>
      </c>
      <c r="R320" s="169" t="n"/>
      <c r="S320" s="171" t="n">
        <v>62904</v>
      </c>
      <c r="T320" s="169" t="inlineStr">
        <is>
          <t>CLP</t>
        </is>
      </c>
      <c r="U320" s="169" t="inlineStr">
        <is>
          <t>Carga LH 18-06-26</t>
        </is>
      </c>
      <c r="V320" s="169" t="inlineStr">
        <is>
          <t>2026-06-18</t>
        </is>
      </c>
    </row>
    <row r="321">
      <c r="A321" s="169" t="inlineStr">
        <is>
          <t>CR-0318</t>
        </is>
      </c>
      <c r="B321" s="169" t="inlineStr">
        <is>
          <t>2026/27</t>
        </is>
      </c>
      <c r="C321" s="231" t="n">
        <v>46081</v>
      </c>
      <c r="D321" s="169" t="inlineStr">
        <is>
          <t>110755</t>
        </is>
      </c>
      <c r="E321" s="169" t="inlineStr">
        <is>
          <t>COMPRA</t>
        </is>
      </c>
      <c r="F321" s="169" t="inlineStr">
        <is>
          <t>Sin asignar</t>
        </is>
      </c>
      <c r="G321" s="169" t="inlineStr">
        <is>
          <t>PACKING</t>
        </is>
      </c>
      <c r="H321" s="169" t="n"/>
      <c r="I321" s="169" t="n"/>
      <c r="J321" s="169" t="inlineStr">
        <is>
          <t>GASTOS GENERALES</t>
        </is>
      </c>
      <c r="K321" s="169" t="inlineStr">
        <is>
          <t>AGUA</t>
        </is>
      </c>
      <c r="L321" s="169" t="inlineStr">
        <is>
          <t>O/001427 RECARGA BO</t>
        </is>
      </c>
      <c r="M321" s="169" t="n"/>
      <c r="N321" s="169" t="inlineStr">
        <is>
          <t>.   .   -</t>
        </is>
      </c>
      <c r="O321" s="169" t="inlineStr">
        <is>
          <t>FEBRERO</t>
        </is>
      </c>
      <c r="P321" s="169" t="n">
        <v>8</v>
      </c>
      <c r="Q321" s="171" t="n">
        <v>8067</v>
      </c>
      <c r="R321" s="169" t="n"/>
      <c r="S321" s="171" t="n">
        <v>8067</v>
      </c>
      <c r="T321" s="169" t="inlineStr">
        <is>
          <t>CLP</t>
        </is>
      </c>
      <c r="U321" s="169" t="inlineStr">
        <is>
          <t>Carga LH 18-06-26</t>
        </is>
      </c>
      <c r="V321" s="169" t="inlineStr">
        <is>
          <t>2026-06-18</t>
        </is>
      </c>
    </row>
    <row r="322">
      <c r="A322" s="169" t="inlineStr">
        <is>
          <t>CR-0319</t>
        </is>
      </c>
      <c r="B322" s="169" t="inlineStr">
        <is>
          <t>2026/27</t>
        </is>
      </c>
      <c r="C322" s="231" t="n">
        <v>46081</v>
      </c>
      <c r="D322" s="169" t="inlineStr"/>
      <c r="E322" s="169" t="inlineStr">
        <is>
          <t>COMPRA</t>
        </is>
      </c>
      <c r="F322" s="169" t="inlineStr">
        <is>
          <t>Mega Catalina</t>
        </is>
      </c>
      <c r="G322" s="169" t="inlineStr">
        <is>
          <t>INJERTO TIMPSON - 2018 (3,8 Ha.)</t>
        </is>
      </c>
      <c r="H322" s="169" t="n"/>
      <c r="I322" s="169" t="n"/>
      <c r="J322" s="169" t="inlineStr">
        <is>
          <t>ENERGIA Y AGUA</t>
        </is>
      </c>
      <c r="K322" s="169" t="inlineStr">
        <is>
          <t>SUMIN. ELECTRICO</t>
        </is>
      </c>
      <c r="L322" s="169" t="inlineStr">
        <is>
          <t>CONSUMO ELECTRICO</t>
        </is>
      </c>
      <c r="M322" s="169" t="n"/>
      <c r="N322" s="169" t="inlineStr">
        <is>
          <t>.   .   -</t>
        </is>
      </c>
      <c r="O322" s="169" t="inlineStr">
        <is>
          <t>FEBRERO</t>
        </is>
      </c>
      <c r="P322" s="169" t="n">
        <v>8</v>
      </c>
      <c r="Q322" s="171" t="n">
        <v>227966</v>
      </c>
      <c r="R322" s="169" t="n"/>
      <c r="S322" s="171" t="n">
        <v>227966</v>
      </c>
      <c r="T322" s="169" t="inlineStr">
        <is>
          <t>CLP</t>
        </is>
      </c>
      <c r="U322" s="169" t="inlineStr">
        <is>
          <t>Carga LH 18-06-26</t>
        </is>
      </c>
      <c r="V322" s="169" t="inlineStr">
        <is>
          <t>2026-06-18</t>
        </is>
      </c>
    </row>
    <row r="323">
      <c r="A323" s="169" t="inlineStr">
        <is>
          <t>CR-0320</t>
        </is>
      </c>
      <c r="B323" s="169" t="inlineStr">
        <is>
          <t>2026/27</t>
        </is>
      </c>
      <c r="C323" s="231" t="n">
        <v>46081</v>
      </c>
      <c r="D323" s="169" t="inlineStr"/>
      <c r="E323" s="169" t="inlineStr">
        <is>
          <t>COMPRA</t>
        </is>
      </c>
      <c r="F323" s="169" t="inlineStr">
        <is>
          <t>Mega Catalina</t>
        </is>
      </c>
      <c r="G323" s="169" t="inlineStr">
        <is>
          <t>INJERTO TIMPSON - 2019 (4,2 Ha.)</t>
        </is>
      </c>
      <c r="H323" s="169" t="n"/>
      <c r="I323" s="169" t="n"/>
      <c r="J323" s="169" t="inlineStr">
        <is>
          <t>ENERGIA Y AGUA</t>
        </is>
      </c>
      <c r="K323" s="169" t="inlineStr">
        <is>
          <t>SUMIN. ELECTRICO</t>
        </is>
      </c>
      <c r="L323" s="169" t="inlineStr">
        <is>
          <t>CONSUMO ELECTRICO</t>
        </is>
      </c>
      <c r="M323" s="169" t="n"/>
      <c r="N323" s="169" t="inlineStr">
        <is>
          <t>.   .   -</t>
        </is>
      </c>
      <c r="O323" s="169" t="inlineStr">
        <is>
          <t>FEBRERO</t>
        </is>
      </c>
      <c r="P323" s="169" t="n">
        <v>8</v>
      </c>
      <c r="Q323" s="171" t="n">
        <v>251963</v>
      </c>
      <c r="R323" s="169" t="n"/>
      <c r="S323" s="171" t="n">
        <v>251963</v>
      </c>
      <c r="T323" s="169" t="inlineStr">
        <is>
          <t>CLP</t>
        </is>
      </c>
      <c r="U323" s="169" t="inlineStr">
        <is>
          <t>Carga LH 18-06-26</t>
        </is>
      </c>
      <c r="V323" s="169" t="inlineStr">
        <is>
          <t>2026-06-18</t>
        </is>
      </c>
    </row>
    <row r="324">
      <c r="A324" s="169" t="inlineStr">
        <is>
          <t>CR-0321</t>
        </is>
      </c>
      <c r="B324" s="169" t="inlineStr">
        <is>
          <t>2026/27</t>
        </is>
      </c>
      <c r="C324" s="231" t="n">
        <v>46081</v>
      </c>
      <c r="D324" s="169" t="inlineStr"/>
      <c r="E324" s="169" t="inlineStr">
        <is>
          <t>COMPRA</t>
        </is>
      </c>
      <c r="F324" s="169" t="inlineStr">
        <is>
          <t>Mega Catalina</t>
        </is>
      </c>
      <c r="G324" s="169" t="inlineStr">
        <is>
          <t>SWEET CELEBRATION - 2015 (7,14 Ha.)</t>
        </is>
      </c>
      <c r="H324" s="169" t="n"/>
      <c r="I324" s="169" t="n"/>
      <c r="J324" s="169" t="inlineStr">
        <is>
          <t>ENERGIA Y AGUA</t>
        </is>
      </c>
      <c r="K324" s="169" t="inlineStr">
        <is>
          <t>SUMIN. ELECTRICO</t>
        </is>
      </c>
      <c r="L324" s="169" t="inlineStr">
        <is>
          <t>CONSUMO ELECTRICO</t>
        </is>
      </c>
      <c r="M324" s="169" t="n"/>
      <c r="N324" s="169" t="inlineStr">
        <is>
          <t>.   .   -</t>
        </is>
      </c>
      <c r="O324" s="169" t="inlineStr">
        <is>
          <t>FEBRERO</t>
        </is>
      </c>
      <c r="P324" s="169" t="n">
        <v>8</v>
      </c>
      <c r="Q324" s="171" t="n">
        <v>428336</v>
      </c>
      <c r="R324" s="169" t="n"/>
      <c r="S324" s="171" t="n">
        <v>428336</v>
      </c>
      <c r="T324" s="169" t="inlineStr">
        <is>
          <t>CLP</t>
        </is>
      </c>
      <c r="U324" s="169" t="inlineStr">
        <is>
          <t>Carga LH 18-06-26</t>
        </is>
      </c>
      <c r="V324" s="169" t="inlineStr">
        <is>
          <t>2026-06-18</t>
        </is>
      </c>
    </row>
    <row r="325">
      <c r="A325" s="169" t="inlineStr">
        <is>
          <t>CR-0322</t>
        </is>
      </c>
      <c r="B325" s="169" t="inlineStr">
        <is>
          <t>2026/27</t>
        </is>
      </c>
      <c r="C325" s="231" t="n">
        <v>46080</v>
      </c>
      <c r="D325" s="169" t="inlineStr">
        <is>
          <t>615</t>
        </is>
      </c>
      <c r="E325" s="169" t="inlineStr">
        <is>
          <t>COMPRA</t>
        </is>
      </c>
      <c r="F325" s="169" t="inlineStr">
        <is>
          <t>El Molle</t>
        </is>
      </c>
      <c r="G325" s="169" t="inlineStr">
        <is>
          <t>ARRUFATINA - 2017 (5,74 Ha.)</t>
        </is>
      </c>
      <c r="H325" s="169" t="n"/>
      <c r="I325" s="169" t="n"/>
      <c r="J325" s="169" t="inlineStr">
        <is>
          <t>LABORES OPERACIONALES</t>
        </is>
      </c>
      <c r="K325" s="169" t="inlineStr">
        <is>
          <t>OTROS SERVICIOS</t>
        </is>
      </c>
      <c r="L325" s="169" t="inlineStr">
        <is>
          <t>SERV.CONTRATISTA</t>
        </is>
      </c>
      <c r="M325" s="169" t="n"/>
      <c r="N325" s="169" t="inlineStr">
        <is>
          <t>.   .   -</t>
        </is>
      </c>
      <c r="O325" s="169" t="inlineStr">
        <is>
          <t>FEBRERO</t>
        </is>
      </c>
      <c r="P325" s="169" t="n">
        <v>8</v>
      </c>
      <c r="Q325" s="171" t="n">
        <v>255000</v>
      </c>
      <c r="R325" s="169" t="n"/>
      <c r="S325" s="171" t="n">
        <v>255000</v>
      </c>
      <c r="T325" s="169" t="inlineStr">
        <is>
          <t>CLP</t>
        </is>
      </c>
      <c r="U325" s="169" t="inlineStr">
        <is>
          <t>Carga LH 18-06-26</t>
        </is>
      </c>
      <c r="V325" s="169" t="inlineStr">
        <is>
          <t>2026-06-18</t>
        </is>
      </c>
    </row>
    <row r="326">
      <c r="A326" s="169" t="inlineStr">
        <is>
          <t>CR-0323</t>
        </is>
      </c>
      <c r="B326" s="169" t="inlineStr">
        <is>
          <t>2026/27</t>
        </is>
      </c>
      <c r="C326" s="231" t="n">
        <v>46080</v>
      </c>
      <c r="D326" s="169" t="inlineStr">
        <is>
          <t>615</t>
        </is>
      </c>
      <c r="E326" s="169" t="inlineStr">
        <is>
          <t>COMPRA</t>
        </is>
      </c>
      <c r="F326" s="169" t="inlineStr">
        <is>
          <t>El Molle</t>
        </is>
      </c>
      <c r="G326" s="169" t="inlineStr">
        <is>
          <t>ORONULES - 2017 (2,85 Ha.)</t>
        </is>
      </c>
      <c r="H326" s="169" t="n"/>
      <c r="I326" s="169" t="n"/>
      <c r="J326" s="169" t="inlineStr">
        <is>
          <t>LABORES OPERACIONALES</t>
        </is>
      </c>
      <c r="K326" s="169" t="inlineStr">
        <is>
          <t>OTROS SERVICIOS</t>
        </is>
      </c>
      <c r="L326" s="169" t="inlineStr">
        <is>
          <t>SERV.CONTRATISTA</t>
        </is>
      </c>
      <c r="M326" s="169" t="n"/>
      <c r="N326" s="169" t="inlineStr">
        <is>
          <t>.   .   -</t>
        </is>
      </c>
      <c r="O326" s="169" t="inlineStr">
        <is>
          <t>FEBRERO</t>
        </is>
      </c>
      <c r="P326" s="169" t="n">
        <v>8</v>
      </c>
      <c r="Q326" s="171" t="n">
        <v>85000</v>
      </c>
      <c r="R326" s="169" t="n"/>
      <c r="S326" s="171" t="n">
        <v>85000</v>
      </c>
      <c r="T326" s="169" t="inlineStr">
        <is>
          <t>CLP</t>
        </is>
      </c>
      <c r="U326" s="169" t="inlineStr">
        <is>
          <t>Carga LH 18-06-26</t>
        </is>
      </c>
      <c r="V326" s="169" t="inlineStr">
        <is>
          <t>2026-06-18</t>
        </is>
      </c>
    </row>
    <row r="327">
      <c r="A327" s="169" t="inlineStr">
        <is>
          <t>CR-0324</t>
        </is>
      </c>
      <c r="B327" s="169" t="inlineStr">
        <is>
          <t>2026/27</t>
        </is>
      </c>
      <c r="C327" s="231" t="n">
        <v>46080</v>
      </c>
      <c r="D327" s="169" t="inlineStr">
        <is>
          <t>615</t>
        </is>
      </c>
      <c r="E327" s="169" t="inlineStr">
        <is>
          <t>COMPRA</t>
        </is>
      </c>
      <c r="F327" s="169" t="inlineStr">
        <is>
          <t>Mega Catalina</t>
        </is>
      </c>
      <c r="G327" s="169" t="inlineStr">
        <is>
          <t>ORONULES - 2019 (2,5 Ha.)</t>
        </is>
      </c>
      <c r="H327" s="169" t="n"/>
      <c r="I327" s="169" t="n"/>
      <c r="J327" s="169" t="inlineStr">
        <is>
          <t>LABORES OPERACIONALES</t>
        </is>
      </c>
      <c r="K327" s="169" t="inlineStr">
        <is>
          <t>OTROS SERVICIOS</t>
        </is>
      </c>
      <c r="L327" s="169" t="inlineStr">
        <is>
          <t>SERV.CONTRATISTA</t>
        </is>
      </c>
      <c r="M327" s="169" t="n"/>
      <c r="N327" s="169" t="inlineStr">
        <is>
          <t>.   .   -</t>
        </is>
      </c>
      <c r="O327" s="169" t="inlineStr">
        <is>
          <t>FEBRERO</t>
        </is>
      </c>
      <c r="P327" s="169" t="n">
        <v>8</v>
      </c>
      <c r="Q327" s="171" t="n">
        <v>85000</v>
      </c>
      <c r="R327" s="169" t="n"/>
      <c r="S327" s="171" t="n">
        <v>85000</v>
      </c>
      <c r="T327" s="169" t="inlineStr">
        <is>
          <t>CLP</t>
        </is>
      </c>
      <c r="U327" s="169" t="inlineStr">
        <is>
          <t>Carga LH 18-06-26</t>
        </is>
      </c>
      <c r="V327" s="169" t="inlineStr">
        <is>
          <t>2026-06-18</t>
        </is>
      </c>
    </row>
    <row r="328">
      <c r="A328" s="169" t="inlineStr">
        <is>
          <t>CR-0325</t>
        </is>
      </c>
      <c r="B328" s="169" t="inlineStr">
        <is>
          <t>2026/27</t>
        </is>
      </c>
      <c r="C328" s="231" t="n">
        <v>46080</v>
      </c>
      <c r="D328" s="169" t="inlineStr">
        <is>
          <t>615</t>
        </is>
      </c>
      <c r="E328" s="169" t="inlineStr">
        <is>
          <t>COMPRA</t>
        </is>
      </c>
      <c r="F328" s="169" t="inlineStr">
        <is>
          <t>El Molle</t>
        </is>
      </c>
      <c r="G328" s="169" t="inlineStr">
        <is>
          <t>OROGRANDE - 2007 (8,11 Ha.)</t>
        </is>
      </c>
      <c r="H328" s="169" t="n"/>
      <c r="I328" s="169" t="n"/>
      <c r="J328" s="169" t="inlineStr">
        <is>
          <t>LABORES OPERACIONALES</t>
        </is>
      </c>
      <c r="K328" s="169" t="inlineStr">
        <is>
          <t>OTROS SERVICIOS</t>
        </is>
      </c>
      <c r="L328" s="169" t="inlineStr">
        <is>
          <t>SERV.CONTRATISTA</t>
        </is>
      </c>
      <c r="M328" s="169" t="n"/>
      <c r="N328" s="169" t="inlineStr">
        <is>
          <t>.   .   -</t>
        </is>
      </c>
      <c r="O328" s="169" t="inlineStr">
        <is>
          <t>FEBRERO</t>
        </is>
      </c>
      <c r="P328" s="169" t="n">
        <v>8</v>
      </c>
      <c r="Q328" s="171" t="n">
        <v>255000</v>
      </c>
      <c r="R328" s="169" t="n"/>
      <c r="S328" s="171" t="n">
        <v>255000</v>
      </c>
      <c r="T328" s="169" t="inlineStr">
        <is>
          <t>CLP</t>
        </is>
      </c>
      <c r="U328" s="169" t="inlineStr">
        <is>
          <t>Carga LH 18-06-26</t>
        </is>
      </c>
      <c r="V328" s="169" t="inlineStr">
        <is>
          <t>2026-06-18</t>
        </is>
      </c>
    </row>
    <row r="329">
      <c r="A329" s="169" t="inlineStr">
        <is>
          <t>CR-0326</t>
        </is>
      </c>
      <c r="B329" s="169" t="inlineStr">
        <is>
          <t>2026/27</t>
        </is>
      </c>
      <c r="C329" s="231" t="n">
        <v>46080</v>
      </c>
      <c r="D329" s="169" t="inlineStr">
        <is>
          <t>615</t>
        </is>
      </c>
      <c r="E329" s="169" t="inlineStr">
        <is>
          <t>COMPRA</t>
        </is>
      </c>
      <c r="F329" s="169" t="inlineStr">
        <is>
          <t>El Molle</t>
        </is>
      </c>
      <c r="G329" s="169" t="inlineStr">
        <is>
          <t>WONDERFUL - 2002 (2,80 Ha.)</t>
        </is>
      </c>
      <c r="H329" s="169" t="n"/>
      <c r="I329" s="169" t="n"/>
      <c r="J329" s="169" t="inlineStr">
        <is>
          <t>LABORES OPERACIONALES</t>
        </is>
      </c>
      <c r="K329" s="169" t="inlineStr">
        <is>
          <t>OTROS SERVICIOS</t>
        </is>
      </c>
      <c r="L329" s="169" t="inlineStr">
        <is>
          <t>SERV.CONTRATISTA</t>
        </is>
      </c>
      <c r="M329" s="169" t="n"/>
      <c r="N329" s="169" t="inlineStr">
        <is>
          <t>.   .   -</t>
        </is>
      </c>
      <c r="O329" s="169" t="inlineStr">
        <is>
          <t>FEBRERO</t>
        </is>
      </c>
      <c r="P329" s="169" t="n">
        <v>8</v>
      </c>
      <c r="Q329" s="171" t="n">
        <v>85000</v>
      </c>
      <c r="R329" s="169" t="n"/>
      <c r="S329" s="171" t="n">
        <v>85000</v>
      </c>
      <c r="T329" s="169" t="inlineStr">
        <is>
          <t>CLP</t>
        </is>
      </c>
      <c r="U329" s="169" t="inlineStr">
        <is>
          <t>Carga LH 18-06-26</t>
        </is>
      </c>
      <c r="V329" s="169" t="inlineStr">
        <is>
          <t>2026-06-18</t>
        </is>
      </c>
    </row>
    <row r="330">
      <c r="A330" s="169" t="inlineStr">
        <is>
          <t>CR-0327</t>
        </is>
      </c>
      <c r="B330" s="169" t="inlineStr">
        <is>
          <t>2026/27</t>
        </is>
      </c>
      <c r="C330" s="231" t="n">
        <v>46080</v>
      </c>
      <c r="D330" s="169" t="inlineStr">
        <is>
          <t>615</t>
        </is>
      </c>
      <c r="E330" s="169" t="inlineStr">
        <is>
          <t>COMPRA</t>
        </is>
      </c>
      <c r="F330" s="169" t="inlineStr">
        <is>
          <t>El Molle</t>
        </is>
      </c>
      <c r="G330" s="169" t="inlineStr">
        <is>
          <t>WONDERFUL - 2007 (2,44 Ha.)</t>
        </is>
      </c>
      <c r="H330" s="169" t="n"/>
      <c r="I330" s="169" t="n"/>
      <c r="J330" s="169" t="inlineStr">
        <is>
          <t>LABORES OPERACIONALES</t>
        </is>
      </c>
      <c r="K330" s="169" t="inlineStr">
        <is>
          <t>OTROS SERVICIOS</t>
        </is>
      </c>
      <c r="L330" s="169" t="inlineStr">
        <is>
          <t>SERV.CONTRATISTA</t>
        </is>
      </c>
      <c r="M330" s="169" t="n"/>
      <c r="N330" s="169" t="inlineStr">
        <is>
          <t>.   .   -</t>
        </is>
      </c>
      <c r="O330" s="169" t="inlineStr">
        <is>
          <t>FEBRERO</t>
        </is>
      </c>
      <c r="P330" s="169" t="n">
        <v>8</v>
      </c>
      <c r="Q330" s="171" t="n">
        <v>85000</v>
      </c>
      <c r="R330" s="169" t="n"/>
      <c r="S330" s="171" t="n">
        <v>85000</v>
      </c>
      <c r="T330" s="169" t="inlineStr">
        <is>
          <t>CLP</t>
        </is>
      </c>
      <c r="U330" s="169" t="inlineStr">
        <is>
          <t>Carga LH 18-06-26</t>
        </is>
      </c>
      <c r="V330" s="169" t="inlineStr">
        <is>
          <t>2026-06-18</t>
        </is>
      </c>
    </row>
    <row r="331">
      <c r="A331" s="169" t="inlineStr">
        <is>
          <t>CR-0328</t>
        </is>
      </c>
      <c r="B331" s="169" t="inlineStr">
        <is>
          <t>2026/27</t>
        </is>
      </c>
      <c r="C331" s="231" t="n">
        <v>46084</v>
      </c>
      <c r="D331" s="169" t="inlineStr"/>
      <c r="E331" s="169" t="inlineStr">
        <is>
          <t>COMPRA</t>
        </is>
      </c>
      <c r="F331" s="169" t="inlineStr">
        <is>
          <t>Asmara</t>
        </is>
      </c>
      <c r="G331" s="169" t="inlineStr">
        <is>
          <t>MURCOTT - 2020 (19,8 Ha.)</t>
        </is>
      </c>
      <c r="H331" s="169" t="n"/>
      <c r="I331" s="169" t="n"/>
      <c r="J331" s="169" t="inlineStr">
        <is>
          <t>ENERGIA Y AGUA</t>
        </is>
      </c>
      <c r="K331" s="169" t="inlineStr">
        <is>
          <t>SUMIN. ELECTRICO</t>
        </is>
      </c>
      <c r="L331" s="169" t="inlineStr">
        <is>
          <t>CONSUMO ELECTRICIDA</t>
        </is>
      </c>
      <c r="M331" s="169" t="n"/>
      <c r="N331" s="169" t="inlineStr">
        <is>
          <t>.   .   -</t>
        </is>
      </c>
      <c r="O331" s="169" t="inlineStr">
        <is>
          <t>MARZO</t>
        </is>
      </c>
      <c r="P331" s="169" t="n">
        <v>9</v>
      </c>
      <c r="Q331" s="171" t="n">
        <v>992947</v>
      </c>
      <c r="R331" s="169" t="n"/>
      <c r="S331" s="171" t="n">
        <v>992947</v>
      </c>
      <c r="T331" s="169" t="inlineStr">
        <is>
          <t>CLP</t>
        </is>
      </c>
      <c r="U331" s="169" t="inlineStr">
        <is>
          <t>Carga LH 18-06-26</t>
        </is>
      </c>
      <c r="V331" s="169" t="inlineStr">
        <is>
          <t>2026-06-18</t>
        </is>
      </c>
    </row>
    <row r="332">
      <c r="A332" s="169" t="inlineStr">
        <is>
          <t>CR-0329</t>
        </is>
      </c>
      <c r="B332" s="169" t="inlineStr">
        <is>
          <t>2026/27</t>
        </is>
      </c>
      <c r="C332" s="231" t="n">
        <v>46084</v>
      </c>
      <c r="D332" s="169" t="inlineStr"/>
      <c r="E332" s="169" t="inlineStr">
        <is>
          <t>COMPRA</t>
        </is>
      </c>
      <c r="F332" s="169" t="inlineStr">
        <is>
          <t>Asmara</t>
        </is>
      </c>
      <c r="G332" s="169" t="inlineStr">
        <is>
          <t>MURCOTT - 2020 (4,9 Ha.)</t>
        </is>
      </c>
      <c r="H332" s="169" t="n"/>
      <c r="I332" s="169" t="n"/>
      <c r="J332" s="169" t="inlineStr">
        <is>
          <t>ENERGIA Y AGUA</t>
        </is>
      </c>
      <c r="K332" s="169" t="inlineStr">
        <is>
          <t>SUMIN. ELECTRICO</t>
        </is>
      </c>
      <c r="L332" s="169" t="inlineStr">
        <is>
          <t>CONSUMO ELECTRICIDA</t>
        </is>
      </c>
      <c r="M332" s="169" t="n"/>
      <c r="N332" s="169" t="inlineStr">
        <is>
          <t>.   .   -</t>
        </is>
      </c>
      <c r="O332" s="169" t="inlineStr">
        <is>
          <t>MARZO</t>
        </is>
      </c>
      <c r="P332" s="169" t="n">
        <v>9</v>
      </c>
      <c r="Q332" s="171" t="n">
        <v>245729</v>
      </c>
      <c r="R332" s="169" t="n"/>
      <c r="S332" s="171" t="n">
        <v>245729</v>
      </c>
      <c r="T332" s="169" t="inlineStr">
        <is>
          <t>CLP</t>
        </is>
      </c>
      <c r="U332" s="169" t="inlineStr">
        <is>
          <t>Carga LH 18-06-26</t>
        </is>
      </c>
      <c r="V332" s="169" t="inlineStr">
        <is>
          <t>2026-06-18</t>
        </is>
      </c>
    </row>
    <row r="333">
      <c r="A333" s="169" t="inlineStr">
        <is>
          <t>CR-0330</t>
        </is>
      </c>
      <c r="B333" s="169" t="inlineStr">
        <is>
          <t>2026/27</t>
        </is>
      </c>
      <c r="C333" s="231" t="n">
        <v>46084</v>
      </c>
      <c r="D333" s="169" t="inlineStr"/>
      <c r="E333" s="169" t="inlineStr">
        <is>
          <t>COMPRA</t>
        </is>
      </c>
      <c r="F333" s="169" t="inlineStr">
        <is>
          <t>Mega Catalina</t>
        </is>
      </c>
      <c r="G333" s="169" t="inlineStr">
        <is>
          <t>EUREKA - 1999 (10,6 Ha.)</t>
        </is>
      </c>
      <c r="H333" s="169" t="n"/>
      <c r="I333" s="169" t="n"/>
      <c r="J333" s="169" t="inlineStr">
        <is>
          <t>ENERGIA Y AGUA</t>
        </is>
      </c>
      <c r="K333" s="169" t="inlineStr">
        <is>
          <t>SUMIN. ELECTRICO</t>
        </is>
      </c>
      <c r="L333" s="169" t="inlineStr">
        <is>
          <t>CONSUMO ELECTRICIDA</t>
        </is>
      </c>
      <c r="M333" s="169" t="n"/>
      <c r="N333" s="169" t="inlineStr">
        <is>
          <t>.   .   -</t>
        </is>
      </c>
      <c r="O333" s="169" t="inlineStr">
        <is>
          <t>MARZO</t>
        </is>
      </c>
      <c r="P333" s="169" t="n">
        <v>9</v>
      </c>
      <c r="Q333" s="171" t="n">
        <v>144512</v>
      </c>
      <c r="R333" s="169" t="n"/>
      <c r="S333" s="171" t="n">
        <v>144512</v>
      </c>
      <c r="T333" s="169" t="inlineStr">
        <is>
          <t>CLP</t>
        </is>
      </c>
      <c r="U333" s="169" t="inlineStr">
        <is>
          <t>Carga LH 18-06-26</t>
        </is>
      </c>
      <c r="V333" s="169" t="inlineStr">
        <is>
          <t>2026-06-18</t>
        </is>
      </c>
    </row>
    <row r="334">
      <c r="A334" s="169" t="inlineStr">
        <is>
          <t>CR-0331</t>
        </is>
      </c>
      <c r="B334" s="169" t="inlineStr">
        <is>
          <t>2026/27</t>
        </is>
      </c>
      <c r="C334" s="231" t="n">
        <v>46084</v>
      </c>
      <c r="D334" s="169" t="inlineStr"/>
      <c r="E334" s="169" t="inlineStr">
        <is>
          <t>COMPRA</t>
        </is>
      </c>
      <c r="F334" s="169" t="inlineStr">
        <is>
          <t>Mega Catalina</t>
        </is>
      </c>
      <c r="G334" s="169" t="inlineStr">
        <is>
          <t>FINO 49 - 1999 (7,7 Ha.)</t>
        </is>
      </c>
      <c r="H334" s="169" t="n"/>
      <c r="I334" s="169" t="n"/>
      <c r="J334" s="169" t="inlineStr">
        <is>
          <t>ENERGIA Y AGUA</t>
        </is>
      </c>
      <c r="K334" s="169" t="inlineStr">
        <is>
          <t>SUMIN. ELECTRICO</t>
        </is>
      </c>
      <c r="L334" s="169" t="inlineStr">
        <is>
          <t>CONSUMO ELECTRICIDA</t>
        </is>
      </c>
      <c r="M334" s="169" t="n"/>
      <c r="N334" s="169" t="inlineStr">
        <is>
          <t>.   .   -</t>
        </is>
      </c>
      <c r="O334" s="169" t="inlineStr">
        <is>
          <t>MARZO</t>
        </is>
      </c>
      <c r="P334" s="169" t="n">
        <v>9</v>
      </c>
      <c r="Q334" s="171" t="n">
        <v>112289</v>
      </c>
      <c r="R334" s="169" t="n"/>
      <c r="S334" s="171" t="n">
        <v>112289</v>
      </c>
      <c r="T334" s="169" t="inlineStr">
        <is>
          <t>CLP</t>
        </is>
      </c>
      <c r="U334" s="169" t="inlineStr">
        <is>
          <t>Carga LH 18-06-26</t>
        </is>
      </c>
      <c r="V334" s="169" t="inlineStr">
        <is>
          <t>2026-06-18</t>
        </is>
      </c>
    </row>
    <row r="335">
      <c r="A335" s="169" t="inlineStr">
        <is>
          <t>CR-0332</t>
        </is>
      </c>
      <c r="B335" s="169" t="inlineStr">
        <is>
          <t>2026/27</t>
        </is>
      </c>
      <c r="C335" s="231" t="n">
        <v>46084</v>
      </c>
      <c r="D335" s="169" t="inlineStr"/>
      <c r="E335" s="169" t="inlineStr">
        <is>
          <t>COMPRA</t>
        </is>
      </c>
      <c r="F335" s="169" t="inlineStr">
        <is>
          <t>Mega Catalina</t>
        </is>
      </c>
      <c r="G335" s="169" t="inlineStr">
        <is>
          <t>EUREKA - 1999 (22,5 Ha.)</t>
        </is>
      </c>
      <c r="H335" s="169" t="n"/>
      <c r="I335" s="169" t="n"/>
      <c r="J335" s="169" t="inlineStr">
        <is>
          <t>ENERGIA Y AGUA</t>
        </is>
      </c>
      <c r="K335" s="169" t="inlineStr">
        <is>
          <t>SUMIN. ELECTRICO</t>
        </is>
      </c>
      <c r="L335" s="169" t="inlineStr">
        <is>
          <t>CONSUMO ELECTRICIDA</t>
        </is>
      </c>
      <c r="M335" s="169" t="n"/>
      <c r="N335" s="169" t="inlineStr">
        <is>
          <t>.   .   -</t>
        </is>
      </c>
      <c r="O335" s="169" t="inlineStr">
        <is>
          <t>MARZO</t>
        </is>
      </c>
      <c r="P335" s="169" t="n">
        <v>9</v>
      </c>
      <c r="Q335" s="171" t="n">
        <v>790203</v>
      </c>
      <c r="R335" s="169" t="n"/>
      <c r="S335" s="171" t="n">
        <v>790203</v>
      </c>
      <c r="T335" s="169" t="inlineStr">
        <is>
          <t>CLP</t>
        </is>
      </c>
      <c r="U335" s="169" t="inlineStr">
        <is>
          <t>Carga LH 18-06-26</t>
        </is>
      </c>
      <c r="V335" s="169" t="inlineStr">
        <is>
          <t>2026-06-18</t>
        </is>
      </c>
    </row>
    <row r="336">
      <c r="A336" s="169" t="inlineStr">
        <is>
          <t>CR-0333</t>
        </is>
      </c>
      <c r="B336" s="169" t="inlineStr">
        <is>
          <t>2026/27</t>
        </is>
      </c>
      <c r="C336" s="231" t="n">
        <v>46084</v>
      </c>
      <c r="D336" s="169" t="inlineStr"/>
      <c r="E336" s="169" t="inlineStr">
        <is>
          <t>COMPRA</t>
        </is>
      </c>
      <c r="F336" s="169" t="inlineStr">
        <is>
          <t>Mega Catalina</t>
        </is>
      </c>
      <c r="G336" s="169" t="inlineStr">
        <is>
          <t>EUREKA - 1999 (10,6 Ha.)</t>
        </is>
      </c>
      <c r="H336" s="169" t="n"/>
      <c r="I336" s="169" t="n"/>
      <c r="J336" s="169" t="inlineStr">
        <is>
          <t>ENERGIA Y AGUA</t>
        </is>
      </c>
      <c r="K336" s="169" t="inlineStr">
        <is>
          <t>SUMIN. ELECTRICO</t>
        </is>
      </c>
      <c r="L336" s="169" t="inlineStr">
        <is>
          <t>CONSUMO ELECTRICIDA</t>
        </is>
      </c>
      <c r="M336" s="169" t="n"/>
      <c r="N336" s="169" t="inlineStr">
        <is>
          <t>.   .   -</t>
        </is>
      </c>
      <c r="O336" s="169" t="inlineStr">
        <is>
          <t>MARZO</t>
        </is>
      </c>
      <c r="P336" s="169" t="n">
        <v>9</v>
      </c>
      <c r="Q336" s="171" t="n">
        <v>18447</v>
      </c>
      <c r="R336" s="169" t="n"/>
      <c r="S336" s="171" t="n">
        <v>18447</v>
      </c>
      <c r="T336" s="169" t="inlineStr">
        <is>
          <t>CLP</t>
        </is>
      </c>
      <c r="U336" s="169" t="inlineStr">
        <is>
          <t>Carga LH 18-06-26</t>
        </is>
      </c>
      <c r="V336" s="169" t="inlineStr">
        <is>
          <t>2026-06-18</t>
        </is>
      </c>
    </row>
    <row r="337">
      <c r="A337" s="169" t="inlineStr">
        <is>
          <t>CR-0334</t>
        </is>
      </c>
      <c r="B337" s="169" t="inlineStr">
        <is>
          <t>2026/27</t>
        </is>
      </c>
      <c r="C337" s="231" t="n">
        <v>46084</v>
      </c>
      <c r="D337" s="169" t="inlineStr"/>
      <c r="E337" s="169" t="inlineStr">
        <is>
          <t>COMPRA</t>
        </is>
      </c>
      <c r="F337" s="169" t="inlineStr">
        <is>
          <t>Mega Catalina</t>
        </is>
      </c>
      <c r="G337" s="169" t="inlineStr">
        <is>
          <t>EUREKA - 1999 (22,5 Ha.)</t>
        </is>
      </c>
      <c r="H337" s="169" t="n"/>
      <c r="I337" s="169" t="n"/>
      <c r="J337" s="169" t="inlineStr">
        <is>
          <t>ENERGIA Y AGUA</t>
        </is>
      </c>
      <c r="K337" s="169" t="inlineStr">
        <is>
          <t>SUMIN. ELECTRICO</t>
        </is>
      </c>
      <c r="L337" s="169" t="inlineStr">
        <is>
          <t>CONSUMO ELECTRICIDA</t>
        </is>
      </c>
      <c r="M337" s="169" t="n"/>
      <c r="N337" s="169" t="inlineStr">
        <is>
          <t>.   .   -</t>
        </is>
      </c>
      <c r="O337" s="169" t="inlineStr">
        <is>
          <t>MARZO</t>
        </is>
      </c>
      <c r="P337" s="169" t="n">
        <v>9</v>
      </c>
      <c r="Q337" s="171" t="n">
        <v>30045</v>
      </c>
      <c r="R337" s="169" t="n"/>
      <c r="S337" s="171" t="n">
        <v>30045</v>
      </c>
      <c r="T337" s="169" t="inlineStr">
        <is>
          <t>CLP</t>
        </is>
      </c>
      <c r="U337" s="169" t="inlineStr">
        <is>
          <t>Carga LH 18-06-26</t>
        </is>
      </c>
      <c r="V337" s="169" t="inlineStr">
        <is>
          <t>2026-06-18</t>
        </is>
      </c>
    </row>
    <row r="338">
      <c r="A338" s="169" t="inlineStr">
        <is>
          <t>CR-0335</t>
        </is>
      </c>
      <c r="B338" s="169" t="inlineStr">
        <is>
          <t>2026/27</t>
        </is>
      </c>
      <c r="C338" s="231" t="n">
        <v>46084</v>
      </c>
      <c r="D338" s="169" t="inlineStr"/>
      <c r="E338" s="169" t="inlineStr">
        <is>
          <t>COMPRA</t>
        </is>
      </c>
      <c r="F338" s="169" t="inlineStr">
        <is>
          <t>Mega Catalina</t>
        </is>
      </c>
      <c r="G338" s="169" t="inlineStr">
        <is>
          <t>EUREKA - 1999 (22,5 Ha.)</t>
        </is>
      </c>
      <c r="H338" s="169" t="n"/>
      <c r="I338" s="169" t="n"/>
      <c r="J338" s="169" t="inlineStr">
        <is>
          <t>ENERGIA Y AGUA</t>
        </is>
      </c>
      <c r="K338" s="169" t="inlineStr">
        <is>
          <t>SUMIN. ELECTRICO</t>
        </is>
      </c>
      <c r="L338" s="169" t="inlineStr">
        <is>
          <t>CONSUMO ELECTRICIDA</t>
        </is>
      </c>
      <c r="M338" s="169" t="n"/>
      <c r="N338" s="169" t="inlineStr">
        <is>
          <t>.   .   -</t>
        </is>
      </c>
      <c r="O338" s="169" t="inlineStr">
        <is>
          <t>MARZO</t>
        </is>
      </c>
      <c r="P338" s="169" t="n">
        <v>9</v>
      </c>
      <c r="Q338" s="171" t="n">
        <v>869</v>
      </c>
      <c r="R338" s="169" t="n"/>
      <c r="S338" s="171" t="n">
        <v>869</v>
      </c>
      <c r="T338" s="169" t="inlineStr">
        <is>
          <t>CLP</t>
        </is>
      </c>
      <c r="U338" s="169" t="inlineStr">
        <is>
          <t>Carga LH 18-06-26</t>
        </is>
      </c>
      <c r="V338" s="169" t="inlineStr">
        <is>
          <t>2026-06-18</t>
        </is>
      </c>
    </row>
    <row r="339">
      <c r="A339" s="169" t="inlineStr">
        <is>
          <t>CR-0336</t>
        </is>
      </c>
      <c r="B339" s="169" t="inlineStr">
        <is>
          <t>2026/27</t>
        </is>
      </c>
      <c r="C339" s="231" t="n">
        <v>46084</v>
      </c>
      <c r="D339" s="169" t="inlineStr"/>
      <c r="E339" s="169" t="inlineStr">
        <is>
          <t>COMPRA</t>
        </is>
      </c>
      <c r="F339" s="169" t="inlineStr">
        <is>
          <t>Mega Catalina</t>
        </is>
      </c>
      <c r="G339" s="169" t="inlineStr">
        <is>
          <t>MURCOTT - 2007 (21 Ha.)</t>
        </is>
      </c>
      <c r="H339" s="169" t="n"/>
      <c r="I339" s="169" t="n"/>
      <c r="J339" s="169" t="inlineStr">
        <is>
          <t>ENERGIA Y AGUA</t>
        </is>
      </c>
      <c r="K339" s="169" t="inlineStr">
        <is>
          <t>SUMIN. ELECTRICO</t>
        </is>
      </c>
      <c r="L339" s="169" t="inlineStr">
        <is>
          <t>CONSUMO ELECTRICIDA</t>
        </is>
      </c>
      <c r="M339" s="169" t="n"/>
      <c r="N339" s="169" t="inlineStr">
        <is>
          <t>.   .   -</t>
        </is>
      </c>
      <c r="O339" s="169" t="inlineStr">
        <is>
          <t>MARZO</t>
        </is>
      </c>
      <c r="P339" s="169" t="n">
        <v>9</v>
      </c>
      <c r="Q339" s="171" t="n">
        <v>869</v>
      </c>
      <c r="R339" s="169" t="n"/>
      <c r="S339" s="171" t="n">
        <v>869</v>
      </c>
      <c r="T339" s="169" t="inlineStr">
        <is>
          <t>CLP</t>
        </is>
      </c>
      <c r="U339" s="169" t="inlineStr">
        <is>
          <t>Carga LH 18-06-26</t>
        </is>
      </c>
      <c r="V339" s="169" t="inlineStr">
        <is>
          <t>2026-06-18</t>
        </is>
      </c>
    </row>
    <row r="340">
      <c r="A340" s="169" t="inlineStr">
        <is>
          <t>CR-0337</t>
        </is>
      </c>
      <c r="B340" s="169" t="inlineStr">
        <is>
          <t>2026/27</t>
        </is>
      </c>
      <c r="C340" s="231" t="n">
        <v>46084</v>
      </c>
      <c r="D340" s="169" t="inlineStr"/>
      <c r="E340" s="169" t="inlineStr">
        <is>
          <t>COMPRA</t>
        </is>
      </c>
      <c r="F340" s="169" t="inlineStr">
        <is>
          <t>Mega Catalina</t>
        </is>
      </c>
      <c r="G340" s="169" t="inlineStr">
        <is>
          <t>EUREKA - 1999 (22,5 Ha.)</t>
        </is>
      </c>
      <c r="H340" s="169" t="n"/>
      <c r="I340" s="169" t="n"/>
      <c r="J340" s="169" t="inlineStr">
        <is>
          <t>ENERGIA Y AGUA</t>
        </is>
      </c>
      <c r="K340" s="169" t="inlineStr">
        <is>
          <t>SUMIN. ELECTRICO</t>
        </is>
      </c>
      <c r="L340" s="169" t="inlineStr">
        <is>
          <t>CONSUMO ELECTRICIDA</t>
        </is>
      </c>
      <c r="M340" s="169" t="n"/>
      <c r="N340" s="169" t="inlineStr">
        <is>
          <t>.   .   -</t>
        </is>
      </c>
      <c r="O340" s="169" t="inlineStr">
        <is>
          <t>MARZO</t>
        </is>
      </c>
      <c r="P340" s="169" t="n">
        <v>9</v>
      </c>
      <c r="Q340" s="171" t="n">
        <v>1507927</v>
      </c>
      <c r="R340" s="169" t="n"/>
      <c r="S340" s="171" t="n">
        <v>1507927</v>
      </c>
      <c r="T340" s="169" t="inlineStr">
        <is>
          <t>CLP</t>
        </is>
      </c>
      <c r="U340" s="169" t="inlineStr">
        <is>
          <t>Carga LH 18-06-26</t>
        </is>
      </c>
      <c r="V340" s="169" t="inlineStr">
        <is>
          <t>2026-06-18</t>
        </is>
      </c>
    </row>
    <row r="341">
      <c r="A341" s="169" t="inlineStr">
        <is>
          <t>CR-0338</t>
        </is>
      </c>
      <c r="B341" s="169" t="inlineStr">
        <is>
          <t>2026/27</t>
        </is>
      </c>
      <c r="C341" s="231" t="n">
        <v>46084</v>
      </c>
      <c r="D341" s="169" t="inlineStr"/>
      <c r="E341" s="169" t="inlineStr">
        <is>
          <t>COMPRA</t>
        </is>
      </c>
      <c r="F341" s="169" t="inlineStr">
        <is>
          <t>Mega Catalina</t>
        </is>
      </c>
      <c r="G341" s="169" t="inlineStr">
        <is>
          <t>EUREKA - 1999 (10,6 Ha.)</t>
        </is>
      </c>
      <c r="H341" s="169" t="n"/>
      <c r="I341" s="169" t="n"/>
      <c r="J341" s="169" t="inlineStr">
        <is>
          <t>ENERGIA Y AGUA</t>
        </is>
      </c>
      <c r="K341" s="169" t="inlineStr">
        <is>
          <t>SUMIN. ELECTRICO</t>
        </is>
      </c>
      <c r="L341" s="169" t="inlineStr">
        <is>
          <t>CONSUMO ELECTRICIDA</t>
        </is>
      </c>
      <c r="M341" s="169" t="n"/>
      <c r="N341" s="169" t="inlineStr">
        <is>
          <t>.   .   -</t>
        </is>
      </c>
      <c r="O341" s="169" t="inlineStr">
        <is>
          <t>MARZO</t>
        </is>
      </c>
      <c r="P341" s="169" t="n">
        <v>9</v>
      </c>
      <c r="Q341" s="171" t="n">
        <v>991881</v>
      </c>
      <c r="R341" s="169" t="n"/>
      <c r="S341" s="171" t="n">
        <v>991881</v>
      </c>
      <c r="T341" s="169" t="inlineStr">
        <is>
          <t>CLP</t>
        </is>
      </c>
      <c r="U341" s="169" t="inlineStr">
        <is>
          <t>Carga LH 18-06-26</t>
        </is>
      </c>
      <c r="V341" s="169" t="inlineStr">
        <is>
          <t>2026-06-18</t>
        </is>
      </c>
    </row>
    <row r="342">
      <c r="A342" s="169" t="inlineStr">
        <is>
          <t>CR-0339</t>
        </is>
      </c>
      <c r="B342" s="169" t="inlineStr">
        <is>
          <t>2026/27</t>
        </is>
      </c>
      <c r="C342" s="231" t="n">
        <v>46084</v>
      </c>
      <c r="D342" s="169" t="inlineStr"/>
      <c r="E342" s="169" t="inlineStr">
        <is>
          <t>COMPRA</t>
        </is>
      </c>
      <c r="F342" s="169" t="inlineStr">
        <is>
          <t>Mega Catalina</t>
        </is>
      </c>
      <c r="G342" s="169" t="inlineStr">
        <is>
          <t>EUREKA - 2016 (14,4 Ha.)</t>
        </is>
      </c>
      <c r="H342" s="169" t="n"/>
      <c r="I342" s="169" t="n"/>
      <c r="J342" s="169" t="inlineStr">
        <is>
          <t>ENERGIA Y AGUA</t>
        </is>
      </c>
      <c r="K342" s="169" t="inlineStr">
        <is>
          <t>SUMIN. ELECTRICO</t>
        </is>
      </c>
      <c r="L342" s="169" t="inlineStr">
        <is>
          <t>CONSUMO ELECTRICIDA</t>
        </is>
      </c>
      <c r="M342" s="169" t="n"/>
      <c r="N342" s="169" t="inlineStr">
        <is>
          <t>.   .   -</t>
        </is>
      </c>
      <c r="O342" s="169" t="inlineStr">
        <is>
          <t>MARZO</t>
        </is>
      </c>
      <c r="P342" s="169" t="n">
        <v>9</v>
      </c>
      <c r="Q342" s="171" t="n">
        <v>965073</v>
      </c>
      <c r="R342" s="169" t="n"/>
      <c r="S342" s="171" t="n">
        <v>965073</v>
      </c>
      <c r="T342" s="169" t="inlineStr">
        <is>
          <t>CLP</t>
        </is>
      </c>
      <c r="U342" s="169" t="inlineStr">
        <is>
          <t>Carga LH 18-06-26</t>
        </is>
      </c>
      <c r="V342" s="169" t="inlineStr">
        <is>
          <t>2026-06-18</t>
        </is>
      </c>
    </row>
    <row r="343">
      <c r="A343" s="169" t="inlineStr">
        <is>
          <t>CR-0340</t>
        </is>
      </c>
      <c r="B343" s="169" t="inlineStr">
        <is>
          <t>2026/27</t>
        </is>
      </c>
      <c r="C343" s="231" t="n">
        <v>46084</v>
      </c>
      <c r="D343" s="169" t="inlineStr"/>
      <c r="E343" s="169" t="inlineStr">
        <is>
          <t>COMPRA</t>
        </is>
      </c>
      <c r="F343" s="169" t="inlineStr">
        <is>
          <t>Mega Catalina</t>
        </is>
      </c>
      <c r="G343" s="169" t="inlineStr">
        <is>
          <t>FINO 49 - 1999 (7,7 Ha.)</t>
        </is>
      </c>
      <c r="H343" s="169" t="n"/>
      <c r="I343" s="169" t="n"/>
      <c r="J343" s="169" t="inlineStr">
        <is>
          <t>ENERGIA Y AGUA</t>
        </is>
      </c>
      <c r="K343" s="169" t="inlineStr">
        <is>
          <t>SUMIN. ELECTRICO</t>
        </is>
      </c>
      <c r="L343" s="169" t="inlineStr">
        <is>
          <t>CONSUMO ELECTRICIDA</t>
        </is>
      </c>
      <c r="M343" s="169" t="n"/>
      <c r="N343" s="169" t="inlineStr">
        <is>
          <t>.   .   -</t>
        </is>
      </c>
      <c r="O343" s="169" t="inlineStr">
        <is>
          <t>MARZO</t>
        </is>
      </c>
      <c r="P343" s="169" t="n">
        <v>9</v>
      </c>
      <c r="Q343" s="171" t="n">
        <v>770718</v>
      </c>
      <c r="R343" s="169" t="n"/>
      <c r="S343" s="171" t="n">
        <v>770718</v>
      </c>
      <c r="T343" s="169" t="inlineStr">
        <is>
          <t>CLP</t>
        </is>
      </c>
      <c r="U343" s="169" t="inlineStr">
        <is>
          <t>Carga LH 18-06-26</t>
        </is>
      </c>
      <c r="V343" s="169" t="inlineStr">
        <is>
          <t>2026-06-18</t>
        </is>
      </c>
    </row>
    <row r="344">
      <c r="A344" s="169" t="inlineStr">
        <is>
          <t>CR-0341</t>
        </is>
      </c>
      <c r="B344" s="169" t="inlineStr">
        <is>
          <t>2026/27</t>
        </is>
      </c>
      <c r="C344" s="231" t="n">
        <v>46084</v>
      </c>
      <c r="D344" s="169" t="inlineStr"/>
      <c r="E344" s="169" t="inlineStr">
        <is>
          <t>COMPRA</t>
        </is>
      </c>
      <c r="F344" s="169" t="inlineStr">
        <is>
          <t>Mega Catalina</t>
        </is>
      </c>
      <c r="G344" s="169" t="inlineStr">
        <is>
          <t>NARANJA CAMBRIA - 2009 (4,2 Ha.)</t>
        </is>
      </c>
      <c r="H344" s="169" t="n"/>
      <c r="I344" s="169" t="n"/>
      <c r="J344" s="169" t="inlineStr">
        <is>
          <t>ENERGIA Y AGUA</t>
        </is>
      </c>
      <c r="K344" s="169" t="inlineStr">
        <is>
          <t>SUMIN. ELECTRICO</t>
        </is>
      </c>
      <c r="L344" s="169" t="inlineStr">
        <is>
          <t>CONSUMO ELECTRICIDA</t>
        </is>
      </c>
      <c r="M344" s="169" t="n"/>
      <c r="N344" s="169" t="inlineStr">
        <is>
          <t>.   .   -</t>
        </is>
      </c>
      <c r="O344" s="169" t="inlineStr">
        <is>
          <t>MARZO</t>
        </is>
      </c>
      <c r="P344" s="169" t="n">
        <v>9</v>
      </c>
      <c r="Q344" s="171" t="n">
        <v>281480</v>
      </c>
      <c r="R344" s="169" t="n"/>
      <c r="S344" s="171" t="n">
        <v>281480</v>
      </c>
      <c r="T344" s="169" t="inlineStr">
        <is>
          <t>CLP</t>
        </is>
      </c>
      <c r="U344" s="169" t="inlineStr">
        <is>
          <t>Carga LH 18-06-26</t>
        </is>
      </c>
      <c r="V344" s="169" t="inlineStr">
        <is>
          <t>2026-06-18</t>
        </is>
      </c>
    </row>
    <row r="345">
      <c r="A345" s="169" t="inlineStr">
        <is>
          <t>CR-0342</t>
        </is>
      </c>
      <c r="B345" s="169" t="inlineStr">
        <is>
          <t>2026/27</t>
        </is>
      </c>
      <c r="C345" s="231" t="n">
        <v>46084</v>
      </c>
      <c r="D345" s="169" t="inlineStr"/>
      <c r="E345" s="169" t="inlineStr">
        <is>
          <t>COMPRA</t>
        </is>
      </c>
      <c r="F345" s="169" t="inlineStr">
        <is>
          <t>Mega Catalina</t>
        </is>
      </c>
      <c r="G345" s="169" t="inlineStr">
        <is>
          <t>MURCOTT - 2007 (21 Ha.)</t>
        </is>
      </c>
      <c r="H345" s="169" t="n"/>
      <c r="I345" s="169" t="n"/>
      <c r="J345" s="169" t="inlineStr">
        <is>
          <t>ENERGIA Y AGUA</t>
        </is>
      </c>
      <c r="K345" s="169" t="inlineStr">
        <is>
          <t>SUMIN. ELECTRICO</t>
        </is>
      </c>
      <c r="L345" s="169" t="inlineStr">
        <is>
          <t>CONSUMO ELECTRICIDA</t>
        </is>
      </c>
      <c r="M345" s="169" t="n"/>
      <c r="N345" s="169" t="inlineStr">
        <is>
          <t>.   .   -</t>
        </is>
      </c>
      <c r="O345" s="169" t="inlineStr">
        <is>
          <t>MARZO</t>
        </is>
      </c>
      <c r="P345" s="169" t="n">
        <v>9</v>
      </c>
      <c r="Q345" s="171" t="n">
        <v>1407399</v>
      </c>
      <c r="R345" s="169" t="n"/>
      <c r="S345" s="171" t="n">
        <v>1407399</v>
      </c>
      <c r="T345" s="169" t="inlineStr">
        <is>
          <t>CLP</t>
        </is>
      </c>
      <c r="U345" s="169" t="inlineStr">
        <is>
          <t>Carga LH 18-06-26</t>
        </is>
      </c>
      <c r="V345" s="169" t="inlineStr">
        <is>
          <t>2026-06-18</t>
        </is>
      </c>
    </row>
    <row r="346">
      <c r="A346" s="169" t="inlineStr">
        <is>
          <t>CR-0343</t>
        </is>
      </c>
      <c r="B346" s="169" t="inlineStr">
        <is>
          <t>2026/27</t>
        </is>
      </c>
      <c r="C346" s="231" t="n">
        <v>46084</v>
      </c>
      <c r="D346" s="169" t="inlineStr"/>
      <c r="E346" s="169" t="inlineStr">
        <is>
          <t>COMPRA</t>
        </is>
      </c>
      <c r="F346" s="169" t="inlineStr">
        <is>
          <t>Mega Catalina</t>
        </is>
      </c>
      <c r="G346" s="169" t="inlineStr">
        <is>
          <t>EUREKA - 1999 (22,5 Ha.)</t>
        </is>
      </c>
      <c r="H346" s="169" t="n"/>
      <c r="I346" s="169" t="n"/>
      <c r="J346" s="169" t="inlineStr">
        <is>
          <t>ENERGIA Y AGUA</t>
        </is>
      </c>
      <c r="K346" s="169" t="inlineStr">
        <is>
          <t>SUMIN. ELECTRICO</t>
        </is>
      </c>
      <c r="L346" s="169" t="inlineStr">
        <is>
          <t>CONSUMO ELECTRICIDA</t>
        </is>
      </c>
      <c r="M346" s="169" t="n"/>
      <c r="N346" s="169" t="inlineStr">
        <is>
          <t>.   .   -</t>
        </is>
      </c>
      <c r="O346" s="169" t="inlineStr">
        <is>
          <t>MARZO</t>
        </is>
      </c>
      <c r="P346" s="169" t="n">
        <v>9</v>
      </c>
      <c r="Q346" s="171" t="n">
        <v>556252</v>
      </c>
      <c r="R346" s="169" t="n"/>
      <c r="S346" s="171" t="n">
        <v>556252</v>
      </c>
      <c r="T346" s="169" t="inlineStr">
        <is>
          <t>CLP</t>
        </is>
      </c>
      <c r="U346" s="169" t="inlineStr">
        <is>
          <t>Carga LH 18-06-26</t>
        </is>
      </c>
      <c r="V346" s="169" t="inlineStr">
        <is>
          <t>2026-06-18</t>
        </is>
      </c>
    </row>
    <row r="347">
      <c r="A347" s="169" t="inlineStr">
        <is>
          <t>CR-0344</t>
        </is>
      </c>
      <c r="B347" s="169" t="inlineStr">
        <is>
          <t>2026/27</t>
        </is>
      </c>
      <c r="C347" s="231" t="n">
        <v>46084</v>
      </c>
      <c r="D347" s="169" t="inlineStr"/>
      <c r="E347" s="169" t="inlineStr">
        <is>
          <t>COMPRA</t>
        </is>
      </c>
      <c r="F347" s="169" t="inlineStr">
        <is>
          <t>Mega Catalina</t>
        </is>
      </c>
      <c r="G347" s="169" t="inlineStr">
        <is>
          <t>EUREKA - 1999 (10,6 Ha.)</t>
        </is>
      </c>
      <c r="H347" s="169" t="n"/>
      <c r="I347" s="169" t="n"/>
      <c r="J347" s="169" t="inlineStr">
        <is>
          <t>ENERGIA Y AGUA</t>
        </is>
      </c>
      <c r="K347" s="169" t="inlineStr">
        <is>
          <t>SUMIN. ELECTRICO</t>
        </is>
      </c>
      <c r="L347" s="169" t="inlineStr">
        <is>
          <t>CONSUMO ELECTRICIDA</t>
        </is>
      </c>
      <c r="M347" s="169" t="n"/>
      <c r="N347" s="169" t="inlineStr">
        <is>
          <t>.   .   -</t>
        </is>
      </c>
      <c r="O347" s="169" t="inlineStr">
        <is>
          <t>MARZO</t>
        </is>
      </c>
      <c r="P347" s="169" t="n">
        <v>9</v>
      </c>
      <c r="Q347" s="171" t="n">
        <v>365891</v>
      </c>
      <c r="R347" s="169" t="n"/>
      <c r="S347" s="171" t="n">
        <v>365891</v>
      </c>
      <c r="T347" s="169" t="inlineStr">
        <is>
          <t>CLP</t>
        </is>
      </c>
      <c r="U347" s="169" t="inlineStr">
        <is>
          <t>Carga LH 18-06-26</t>
        </is>
      </c>
      <c r="V347" s="169" t="inlineStr">
        <is>
          <t>2026-06-18</t>
        </is>
      </c>
    </row>
    <row r="348">
      <c r="A348" s="169" t="inlineStr">
        <is>
          <t>CR-0345</t>
        </is>
      </c>
      <c r="B348" s="169" t="inlineStr">
        <is>
          <t>2026/27</t>
        </is>
      </c>
      <c r="C348" s="231" t="n">
        <v>46084</v>
      </c>
      <c r="D348" s="169" t="inlineStr"/>
      <c r="E348" s="169" t="inlineStr">
        <is>
          <t>COMPRA</t>
        </is>
      </c>
      <c r="F348" s="169" t="inlineStr">
        <is>
          <t>Mega Catalina</t>
        </is>
      </c>
      <c r="G348" s="169" t="inlineStr">
        <is>
          <t>EUREKA - 2016 (14,4 Ha.)</t>
        </is>
      </c>
      <c r="H348" s="169" t="n"/>
      <c r="I348" s="169" t="n"/>
      <c r="J348" s="169" t="inlineStr">
        <is>
          <t>ENERGIA Y AGUA</t>
        </is>
      </c>
      <c r="K348" s="169" t="inlineStr">
        <is>
          <t>SUMIN. ELECTRICO</t>
        </is>
      </c>
      <c r="L348" s="169" t="inlineStr">
        <is>
          <t>CONSUMO ELECTRICIDA</t>
        </is>
      </c>
      <c r="M348" s="169" t="n"/>
      <c r="N348" s="169" t="inlineStr">
        <is>
          <t>.   .   -</t>
        </is>
      </c>
      <c r="O348" s="169" t="inlineStr">
        <is>
          <t>MARZO</t>
        </is>
      </c>
      <c r="P348" s="169" t="n">
        <v>9</v>
      </c>
      <c r="Q348" s="171" t="n">
        <v>356002</v>
      </c>
      <c r="R348" s="169" t="n"/>
      <c r="S348" s="171" t="n">
        <v>356002</v>
      </c>
      <c r="T348" s="169" t="inlineStr">
        <is>
          <t>CLP</t>
        </is>
      </c>
      <c r="U348" s="169" t="inlineStr">
        <is>
          <t>Carga LH 18-06-26</t>
        </is>
      </c>
      <c r="V348" s="169" t="inlineStr">
        <is>
          <t>2026-06-18</t>
        </is>
      </c>
    </row>
    <row r="349">
      <c r="A349" s="169" t="inlineStr">
        <is>
          <t>CR-0346</t>
        </is>
      </c>
      <c r="B349" s="169" t="inlineStr">
        <is>
          <t>2026/27</t>
        </is>
      </c>
      <c r="C349" s="231" t="n">
        <v>46084</v>
      </c>
      <c r="D349" s="169" t="inlineStr"/>
      <c r="E349" s="169" t="inlineStr">
        <is>
          <t>COMPRA</t>
        </is>
      </c>
      <c r="F349" s="169" t="inlineStr">
        <is>
          <t>Mega Catalina</t>
        </is>
      </c>
      <c r="G349" s="169" t="inlineStr">
        <is>
          <t>FINO 49 - 1999 (7,7 Ha.)</t>
        </is>
      </c>
      <c r="H349" s="169" t="n"/>
      <c r="I349" s="169" t="n"/>
      <c r="J349" s="169" t="inlineStr">
        <is>
          <t>ENERGIA Y AGUA</t>
        </is>
      </c>
      <c r="K349" s="169" t="inlineStr">
        <is>
          <t>SUMIN. ELECTRICO</t>
        </is>
      </c>
      <c r="L349" s="169" t="inlineStr">
        <is>
          <t>CONSUMO ELECTRICIDA</t>
        </is>
      </c>
      <c r="M349" s="169" t="n"/>
      <c r="N349" s="169" t="inlineStr">
        <is>
          <t>.   .   -</t>
        </is>
      </c>
      <c r="O349" s="169" t="inlineStr">
        <is>
          <t>MARZO</t>
        </is>
      </c>
      <c r="P349" s="169" t="n">
        <v>9</v>
      </c>
      <c r="Q349" s="171" t="n">
        <v>284307</v>
      </c>
      <c r="R349" s="169" t="n"/>
      <c r="S349" s="171" t="n">
        <v>284307</v>
      </c>
      <c r="T349" s="169" t="inlineStr">
        <is>
          <t>CLP</t>
        </is>
      </c>
      <c r="U349" s="169" t="inlineStr">
        <is>
          <t>Carga LH 18-06-26</t>
        </is>
      </c>
      <c r="V349" s="169" t="inlineStr">
        <is>
          <t>2026-06-18</t>
        </is>
      </c>
    </row>
    <row r="350">
      <c r="A350" s="169" t="inlineStr">
        <is>
          <t>CR-0347</t>
        </is>
      </c>
      <c r="B350" s="169" t="inlineStr">
        <is>
          <t>2026/27</t>
        </is>
      </c>
      <c r="C350" s="231" t="n">
        <v>46084</v>
      </c>
      <c r="D350" s="169" t="inlineStr"/>
      <c r="E350" s="169" t="inlineStr">
        <is>
          <t>COMPRA</t>
        </is>
      </c>
      <c r="F350" s="169" t="inlineStr">
        <is>
          <t>Mega Catalina</t>
        </is>
      </c>
      <c r="G350" s="169" t="inlineStr">
        <is>
          <t>NARANJA CAMBRIA - 2009 (4,2 Ha.)</t>
        </is>
      </c>
      <c r="H350" s="169" t="n"/>
      <c r="I350" s="169" t="n"/>
      <c r="J350" s="169" t="inlineStr">
        <is>
          <t>ENERGIA Y AGUA</t>
        </is>
      </c>
      <c r="K350" s="169" t="inlineStr">
        <is>
          <t>SUMIN. ELECTRICO</t>
        </is>
      </c>
      <c r="L350" s="169" t="inlineStr">
        <is>
          <t>CONSUMO ELECTRICIDA</t>
        </is>
      </c>
      <c r="M350" s="169" t="n"/>
      <c r="N350" s="169" t="inlineStr">
        <is>
          <t>.   .   -</t>
        </is>
      </c>
      <c r="O350" s="169" t="inlineStr">
        <is>
          <t>MARZO</t>
        </is>
      </c>
      <c r="P350" s="169" t="n">
        <v>9</v>
      </c>
      <c r="Q350" s="171" t="n">
        <v>103834</v>
      </c>
      <c r="R350" s="169" t="n"/>
      <c r="S350" s="171" t="n">
        <v>103834</v>
      </c>
      <c r="T350" s="169" t="inlineStr">
        <is>
          <t>CLP</t>
        </is>
      </c>
      <c r="U350" s="169" t="inlineStr">
        <is>
          <t>Carga LH 18-06-26</t>
        </is>
      </c>
      <c r="V350" s="169" t="inlineStr">
        <is>
          <t>2026-06-18</t>
        </is>
      </c>
    </row>
    <row r="351">
      <c r="A351" s="169" t="inlineStr">
        <is>
          <t>CR-0348</t>
        </is>
      </c>
      <c r="B351" s="169" t="inlineStr">
        <is>
          <t>2026/27</t>
        </is>
      </c>
      <c r="C351" s="231" t="n">
        <v>46084</v>
      </c>
      <c r="D351" s="169" t="inlineStr"/>
      <c r="E351" s="169" t="inlineStr">
        <is>
          <t>COMPRA</t>
        </is>
      </c>
      <c r="F351" s="169" t="inlineStr">
        <is>
          <t>Mega Catalina</t>
        </is>
      </c>
      <c r="G351" s="169" t="inlineStr">
        <is>
          <t>MURCOTT - 2007 (21 Ha.)</t>
        </is>
      </c>
      <c r="H351" s="169" t="n"/>
      <c r="I351" s="169" t="n"/>
      <c r="J351" s="169" t="inlineStr">
        <is>
          <t>ENERGIA Y AGUA</t>
        </is>
      </c>
      <c r="K351" s="169" t="inlineStr">
        <is>
          <t>SUMIN. ELECTRICO</t>
        </is>
      </c>
      <c r="L351" s="169" t="inlineStr">
        <is>
          <t>CONSUMO ELECTRICIDA</t>
        </is>
      </c>
      <c r="M351" s="169" t="n"/>
      <c r="N351" s="169" t="inlineStr">
        <is>
          <t>.   .   -</t>
        </is>
      </c>
      <c r="O351" s="169" t="inlineStr">
        <is>
          <t>MARZO</t>
        </is>
      </c>
      <c r="P351" s="169" t="n">
        <v>9</v>
      </c>
      <c r="Q351" s="171" t="n">
        <v>519169</v>
      </c>
      <c r="R351" s="169" t="n"/>
      <c r="S351" s="171" t="n">
        <v>519169</v>
      </c>
      <c r="T351" s="169" t="inlineStr">
        <is>
          <t>CLP</t>
        </is>
      </c>
      <c r="U351" s="169" t="inlineStr">
        <is>
          <t>Carga LH 18-06-26</t>
        </is>
      </c>
      <c r="V351" s="169" t="inlineStr">
        <is>
          <t>2026-06-18</t>
        </is>
      </c>
    </row>
    <row r="352">
      <c r="A352" s="169" t="inlineStr">
        <is>
          <t>CR-0349</t>
        </is>
      </c>
      <c r="B352" s="169" t="inlineStr">
        <is>
          <t>2026/27</t>
        </is>
      </c>
      <c r="C352" s="231" t="n">
        <v>46084</v>
      </c>
      <c r="D352" s="169" t="inlineStr">
        <is>
          <t>634</t>
        </is>
      </c>
      <c r="E352" s="169" t="inlineStr">
        <is>
          <t>COMPRA</t>
        </is>
      </c>
      <c r="F352" s="169" t="inlineStr">
        <is>
          <t>Sin asignar</t>
        </is>
      </c>
      <c r="G352" s="169" t="inlineStr">
        <is>
          <t>PACKING</t>
        </is>
      </c>
      <c r="H352" s="169" t="n"/>
      <c r="I352" s="169" t="n"/>
      <c r="J352" s="169" t="inlineStr">
        <is>
          <t>LABORES OPERACIONALES</t>
        </is>
      </c>
      <c r="K352" s="169" t="inlineStr">
        <is>
          <t>LAB. PACKING</t>
        </is>
      </c>
      <c r="L352" s="169" t="inlineStr">
        <is>
          <t>SERV.CONTRATISTA</t>
        </is>
      </c>
      <c r="M352" s="169" t="n"/>
      <c r="N352" s="169" t="inlineStr">
        <is>
          <t>.   .   -</t>
        </is>
      </c>
      <c r="O352" s="169" t="inlineStr">
        <is>
          <t>MARZO</t>
        </is>
      </c>
      <c r="P352" s="169" t="n">
        <v>9</v>
      </c>
      <c r="Q352" s="171" t="n">
        <v>6819150</v>
      </c>
      <c r="R352" s="169" t="n"/>
      <c r="S352" s="171" t="n">
        <v>6819150</v>
      </c>
      <c r="T352" s="169" t="inlineStr">
        <is>
          <t>CLP</t>
        </is>
      </c>
      <c r="U352" s="169" t="inlineStr">
        <is>
          <t>Carga LH 18-06-26</t>
        </is>
      </c>
      <c r="V352" s="169" t="inlineStr">
        <is>
          <t>2026-06-18</t>
        </is>
      </c>
    </row>
    <row r="353">
      <c r="A353" s="169" t="inlineStr">
        <is>
          <t>CR-0350</t>
        </is>
      </c>
      <c r="B353" s="169" t="inlineStr">
        <is>
          <t>2026/27</t>
        </is>
      </c>
      <c r="C353" s="231" t="n">
        <v>46084</v>
      </c>
      <c r="D353" s="169" t="inlineStr">
        <is>
          <t>634</t>
        </is>
      </c>
      <c r="E353" s="169" t="inlineStr">
        <is>
          <t>COMPRA</t>
        </is>
      </c>
      <c r="F353" s="169" t="inlineStr">
        <is>
          <t>Mega Catalina</t>
        </is>
      </c>
      <c r="G353" s="169" t="inlineStr">
        <is>
          <t>INJERTO TIMPSON - 2018 (3,8 Ha.)</t>
        </is>
      </c>
      <c r="H353" s="169" t="n"/>
      <c r="I353" s="169" t="n"/>
      <c r="J353" s="169" t="inlineStr">
        <is>
          <t>LABORES OPERACIONALES</t>
        </is>
      </c>
      <c r="K353" s="169" t="inlineStr">
        <is>
          <t>COSECHA</t>
        </is>
      </c>
      <c r="L353" s="169" t="inlineStr">
        <is>
          <t>SERV.CONTRATISTA</t>
        </is>
      </c>
      <c r="M353" s="169" t="n"/>
      <c r="N353" s="169" t="inlineStr">
        <is>
          <t>.   .   -</t>
        </is>
      </c>
      <c r="O353" s="169" t="inlineStr">
        <is>
          <t>MARZO</t>
        </is>
      </c>
      <c r="P353" s="169" t="n">
        <v>9</v>
      </c>
      <c r="Q353" s="171" t="n">
        <v>2314800</v>
      </c>
      <c r="R353" s="169" t="n"/>
      <c r="S353" s="171" t="n">
        <v>2314800</v>
      </c>
      <c r="T353" s="169" t="inlineStr">
        <is>
          <t>CLP</t>
        </is>
      </c>
      <c r="U353" s="169" t="inlineStr">
        <is>
          <t>Carga LH 18-06-26</t>
        </is>
      </c>
      <c r="V353" s="169" t="inlineStr">
        <is>
          <t>2026-06-18</t>
        </is>
      </c>
    </row>
    <row r="354">
      <c r="A354" s="169" t="inlineStr">
        <is>
          <t>CR-0351</t>
        </is>
      </c>
      <c r="B354" s="169" t="inlineStr">
        <is>
          <t>2026/27</t>
        </is>
      </c>
      <c r="C354" s="231" t="n">
        <v>46084</v>
      </c>
      <c r="D354" s="169" t="inlineStr">
        <is>
          <t>634</t>
        </is>
      </c>
      <c r="E354" s="169" t="inlineStr">
        <is>
          <t>COMPRA</t>
        </is>
      </c>
      <c r="F354" s="169" t="inlineStr">
        <is>
          <t>Mega Catalina</t>
        </is>
      </c>
      <c r="G354" s="169" t="inlineStr">
        <is>
          <t>INJERTO TIMPSON - 2019 (4,2 Ha.)</t>
        </is>
      </c>
      <c r="H354" s="169" t="n"/>
      <c r="I354" s="169" t="n"/>
      <c r="J354" s="169" t="inlineStr">
        <is>
          <t>LABORES OPERACIONALES</t>
        </is>
      </c>
      <c r="K354" s="169" t="inlineStr">
        <is>
          <t>COSECHA</t>
        </is>
      </c>
      <c r="L354" s="169" t="inlineStr">
        <is>
          <t>SERV.CONTRATISTA</t>
        </is>
      </c>
      <c r="M354" s="169" t="n"/>
      <c r="N354" s="169" t="inlineStr">
        <is>
          <t>.   .   -</t>
        </is>
      </c>
      <c r="O354" s="169" t="inlineStr">
        <is>
          <t>MARZO</t>
        </is>
      </c>
      <c r="P354" s="169" t="n">
        <v>9</v>
      </c>
      <c r="Q354" s="171" t="n">
        <v>782400</v>
      </c>
      <c r="R354" s="169" t="n"/>
      <c r="S354" s="171" t="n">
        <v>782400</v>
      </c>
      <c r="T354" s="169" t="inlineStr">
        <is>
          <t>CLP</t>
        </is>
      </c>
      <c r="U354" s="169" t="inlineStr">
        <is>
          <t>Carga LH 18-06-26</t>
        </is>
      </c>
      <c r="V354" s="169" t="inlineStr">
        <is>
          <t>2026-06-18</t>
        </is>
      </c>
    </row>
    <row r="355">
      <c r="A355" s="169" t="inlineStr">
        <is>
          <t>CR-0352</t>
        </is>
      </c>
      <c r="B355" s="169" t="inlineStr">
        <is>
          <t>2026/27</t>
        </is>
      </c>
      <c r="C355" s="231" t="n">
        <v>46084</v>
      </c>
      <c r="D355" s="169" t="inlineStr">
        <is>
          <t>634</t>
        </is>
      </c>
      <c r="E355" s="169" t="inlineStr">
        <is>
          <t>COMPRA</t>
        </is>
      </c>
      <c r="F355" s="169" t="inlineStr">
        <is>
          <t>Mega Catalina</t>
        </is>
      </c>
      <c r="G355" s="169" t="inlineStr">
        <is>
          <t>SWEET CELEBRATION - 2015 (7,14 Ha.)</t>
        </is>
      </c>
      <c r="H355" s="169" t="n"/>
      <c r="I355" s="169" t="n"/>
      <c r="J355" s="169" t="inlineStr">
        <is>
          <t>LABORES OPERACIONALES</t>
        </is>
      </c>
      <c r="K355" s="169" t="inlineStr">
        <is>
          <t>COSECHA</t>
        </is>
      </c>
      <c r="L355" s="169" t="inlineStr">
        <is>
          <t>SERV.CONTRATISTA</t>
        </is>
      </c>
      <c r="M355" s="169" t="n"/>
      <c r="N355" s="169" t="inlineStr">
        <is>
          <t>.   .   -</t>
        </is>
      </c>
      <c r="O355" s="169" t="inlineStr">
        <is>
          <t>MARZO</t>
        </is>
      </c>
      <c r="P355" s="169" t="n">
        <v>9</v>
      </c>
      <c r="Q355" s="171" t="n">
        <v>1233025</v>
      </c>
      <c r="R355" s="169" t="n"/>
      <c r="S355" s="171" t="n">
        <v>1233025</v>
      </c>
      <c r="T355" s="169" t="inlineStr">
        <is>
          <t>CLP</t>
        </is>
      </c>
      <c r="U355" s="169" t="inlineStr">
        <is>
          <t>Carga LH 18-06-26</t>
        </is>
      </c>
      <c r="V355" s="169" t="inlineStr">
        <is>
          <t>2026-06-18</t>
        </is>
      </c>
    </row>
    <row r="356">
      <c r="A356" s="169" t="inlineStr">
        <is>
          <t>CR-0353</t>
        </is>
      </c>
      <c r="B356" s="169" t="inlineStr">
        <is>
          <t>2026/27</t>
        </is>
      </c>
      <c r="C356" s="231" t="n">
        <v>46084</v>
      </c>
      <c r="D356" s="169" t="inlineStr">
        <is>
          <t>210</t>
        </is>
      </c>
      <c r="E356" s="169" t="inlineStr">
        <is>
          <t>COMPRA</t>
        </is>
      </c>
      <c r="F356" s="169" t="inlineStr">
        <is>
          <t>Mega Catalina</t>
        </is>
      </c>
      <c r="G356" s="169" t="inlineStr">
        <is>
          <t>INJERTO TIMPSON - 2018 (3,8 Ha.)</t>
        </is>
      </c>
      <c r="H356" s="169" t="n"/>
      <c r="I356" s="169" t="n"/>
      <c r="J356" s="169" t="inlineStr">
        <is>
          <t>LABORES OPERACIONALES</t>
        </is>
      </c>
      <c r="K356" s="169" t="inlineStr">
        <is>
          <t>COSECHA</t>
        </is>
      </c>
      <c r="L356" s="169" t="inlineStr">
        <is>
          <t>SERV.CONTRATISTA</t>
        </is>
      </c>
      <c r="M356" s="169" t="n"/>
      <c r="N356" s="169" t="inlineStr">
        <is>
          <t>.   .   -</t>
        </is>
      </c>
      <c r="O356" s="169" t="inlineStr">
        <is>
          <t>MARZO</t>
        </is>
      </c>
      <c r="P356" s="169" t="n">
        <v>9</v>
      </c>
      <c r="Q356" s="171" t="n">
        <v>649800</v>
      </c>
      <c r="R356" s="169" t="n"/>
      <c r="S356" s="171" t="n">
        <v>649800</v>
      </c>
      <c r="T356" s="169" t="inlineStr">
        <is>
          <t>CLP</t>
        </is>
      </c>
      <c r="U356" s="169" t="inlineStr">
        <is>
          <t>Carga LH 18-06-26</t>
        </is>
      </c>
      <c r="V356" s="169" t="inlineStr">
        <is>
          <t>2026-06-18</t>
        </is>
      </c>
    </row>
    <row r="357">
      <c r="A357" s="169" t="inlineStr">
        <is>
          <t>CR-0354</t>
        </is>
      </c>
      <c r="B357" s="169" t="inlineStr">
        <is>
          <t>2026/27</t>
        </is>
      </c>
      <c r="C357" s="231" t="n">
        <v>46084</v>
      </c>
      <c r="D357" s="169" t="inlineStr">
        <is>
          <t>210</t>
        </is>
      </c>
      <c r="E357" s="169" t="inlineStr">
        <is>
          <t>COMPRA</t>
        </is>
      </c>
      <c r="F357" s="169" t="inlineStr">
        <is>
          <t>Mega Catalina</t>
        </is>
      </c>
      <c r="G357" s="169" t="inlineStr">
        <is>
          <t>INJERTO TIMPSON - 2019 (4,2 Ha.)</t>
        </is>
      </c>
      <c r="H357" s="169" t="n"/>
      <c r="I357" s="169" t="n"/>
      <c r="J357" s="169" t="inlineStr">
        <is>
          <t>LABORES OPERACIONALES</t>
        </is>
      </c>
      <c r="K357" s="169" t="inlineStr">
        <is>
          <t>COSECHA</t>
        </is>
      </c>
      <c r="L357" s="169" t="inlineStr">
        <is>
          <t>SERV.CONTRATISTA</t>
        </is>
      </c>
      <c r="M357" s="169" t="n"/>
      <c r="N357" s="169" t="inlineStr">
        <is>
          <t>.   .   -</t>
        </is>
      </c>
      <c r="O357" s="169" t="inlineStr">
        <is>
          <t>MARZO</t>
        </is>
      </c>
      <c r="P357" s="169" t="n">
        <v>9</v>
      </c>
      <c r="Q357" s="171" t="n">
        <v>144600</v>
      </c>
      <c r="R357" s="169" t="n"/>
      <c r="S357" s="171" t="n">
        <v>144600</v>
      </c>
      <c r="T357" s="169" t="inlineStr">
        <is>
          <t>CLP</t>
        </is>
      </c>
      <c r="U357" s="169" t="inlineStr">
        <is>
          <t>Carga LH 18-06-26</t>
        </is>
      </c>
      <c r="V357" s="169" t="inlineStr">
        <is>
          <t>2026-06-18</t>
        </is>
      </c>
    </row>
    <row r="358">
      <c r="A358" s="169" t="inlineStr">
        <is>
          <t>CR-0355</t>
        </is>
      </c>
      <c r="B358" s="169" t="inlineStr">
        <is>
          <t>2026/27</t>
        </is>
      </c>
      <c r="C358" s="231" t="n">
        <v>46084</v>
      </c>
      <c r="D358" s="169" t="inlineStr">
        <is>
          <t>210</t>
        </is>
      </c>
      <c r="E358" s="169" t="inlineStr">
        <is>
          <t>COMPRA</t>
        </is>
      </c>
      <c r="F358" s="169" t="inlineStr">
        <is>
          <t>Mega Catalina</t>
        </is>
      </c>
      <c r="G358" s="169" t="inlineStr">
        <is>
          <t>SWEET CELEBRATION - 2015 (7,14 Ha.)</t>
        </is>
      </c>
      <c r="H358" s="169" t="n"/>
      <c r="I358" s="169" t="n"/>
      <c r="J358" s="169" t="inlineStr">
        <is>
          <t>LABORES OPERACIONALES</t>
        </is>
      </c>
      <c r="K358" s="169" t="inlineStr">
        <is>
          <t>COSECHA</t>
        </is>
      </c>
      <c r="L358" s="169" t="inlineStr">
        <is>
          <t>SERV.CONTRATISTA</t>
        </is>
      </c>
      <c r="M358" s="169" t="n"/>
      <c r="N358" s="169" t="inlineStr">
        <is>
          <t>.   .   -</t>
        </is>
      </c>
      <c r="O358" s="169" t="inlineStr">
        <is>
          <t>MARZO</t>
        </is>
      </c>
      <c r="P358" s="169" t="n">
        <v>9</v>
      </c>
      <c r="Q358" s="171" t="n">
        <v>598750</v>
      </c>
      <c r="R358" s="169" t="n"/>
      <c r="S358" s="171" t="n">
        <v>598750</v>
      </c>
      <c r="T358" s="169" t="inlineStr">
        <is>
          <t>CLP</t>
        </is>
      </c>
      <c r="U358" s="169" t="inlineStr">
        <is>
          <t>Carga LH 18-06-26</t>
        </is>
      </c>
      <c r="V358" s="169" t="inlineStr">
        <is>
          <t>2026-06-18</t>
        </is>
      </c>
    </row>
    <row r="359">
      <c r="A359" s="169" t="inlineStr">
        <is>
          <t>CR-0356</t>
        </is>
      </c>
      <c r="B359" s="169" t="inlineStr">
        <is>
          <t>2026/27</t>
        </is>
      </c>
      <c r="C359" s="231" t="n">
        <v>46084</v>
      </c>
      <c r="D359" s="169" t="inlineStr">
        <is>
          <t>168</t>
        </is>
      </c>
      <c r="E359" s="169" t="inlineStr">
        <is>
          <t>COMPRA</t>
        </is>
      </c>
      <c r="F359" s="169" t="inlineStr">
        <is>
          <t>Mega Catalina</t>
        </is>
      </c>
      <c r="G359" s="169" t="inlineStr">
        <is>
          <t>EUREKA - 1999 (22,5 Ha.)</t>
        </is>
      </c>
      <c r="H359" s="169" t="n"/>
      <c r="I359" s="169" t="n"/>
      <c r="J359" s="169" t="inlineStr">
        <is>
          <t>LABORES OPERACIONALES</t>
        </is>
      </c>
      <c r="K359" s="169" t="inlineStr">
        <is>
          <t>LABORES VARIAS</t>
        </is>
      </c>
      <c r="L359" s="169" t="inlineStr">
        <is>
          <t>SERV.CONTRATISTA</t>
        </is>
      </c>
      <c r="M359" s="169" t="n"/>
      <c r="N359" s="169" t="inlineStr">
        <is>
          <t>.   .   -</t>
        </is>
      </c>
      <c r="O359" s="169" t="inlineStr">
        <is>
          <t>MARZO</t>
        </is>
      </c>
      <c r="P359" s="169" t="n">
        <v>9</v>
      </c>
      <c r="Q359" s="171" t="n">
        <v>168750</v>
      </c>
      <c r="R359" s="169" t="n"/>
      <c r="S359" s="171" t="n">
        <v>168750</v>
      </c>
      <c r="T359" s="169" t="inlineStr">
        <is>
          <t>CLP</t>
        </is>
      </c>
      <c r="U359" s="169" t="inlineStr">
        <is>
          <t>Carga LH 18-06-26</t>
        </is>
      </c>
      <c r="V359" s="169" t="inlineStr">
        <is>
          <t>2026-06-18</t>
        </is>
      </c>
    </row>
    <row r="360">
      <c r="A360" s="169" t="inlineStr">
        <is>
          <t>CR-0357</t>
        </is>
      </c>
      <c r="B360" s="169" t="inlineStr">
        <is>
          <t>2026/27</t>
        </is>
      </c>
      <c r="C360" s="231" t="n">
        <v>46084</v>
      </c>
      <c r="D360" s="169" t="inlineStr">
        <is>
          <t>168</t>
        </is>
      </c>
      <c r="E360" s="169" t="inlineStr">
        <is>
          <t>COMPRA</t>
        </is>
      </c>
      <c r="F360" s="169" t="inlineStr">
        <is>
          <t>Mega Catalina</t>
        </is>
      </c>
      <c r="G360" s="169" t="inlineStr">
        <is>
          <t>EUREKA - 2016 (14,4 Ha.)</t>
        </is>
      </c>
      <c r="H360" s="169" t="n"/>
      <c r="I360" s="169" t="n"/>
      <c r="J360" s="169" t="inlineStr">
        <is>
          <t>LABORES OPERACIONALES</t>
        </is>
      </c>
      <c r="K360" s="169" t="inlineStr">
        <is>
          <t>PODA</t>
        </is>
      </c>
      <c r="L360" s="169" t="inlineStr">
        <is>
          <t>SERV.CONTRATISTA</t>
        </is>
      </c>
      <c r="M360" s="169" t="n"/>
      <c r="N360" s="169" t="inlineStr">
        <is>
          <t>.   .   -</t>
        </is>
      </c>
      <c r="O360" s="169" t="inlineStr">
        <is>
          <t>MARZO</t>
        </is>
      </c>
      <c r="P360" s="169" t="n">
        <v>9</v>
      </c>
      <c r="Q360" s="171" t="n">
        <v>1335250</v>
      </c>
      <c r="R360" s="169" t="n"/>
      <c r="S360" s="171" t="n">
        <v>1335250</v>
      </c>
      <c r="T360" s="169" t="inlineStr">
        <is>
          <t>CLP</t>
        </is>
      </c>
      <c r="U360" s="169" t="inlineStr">
        <is>
          <t>Carga LH 18-06-26</t>
        </is>
      </c>
      <c r="V360" s="169" t="inlineStr">
        <is>
          <t>2026-06-18</t>
        </is>
      </c>
    </row>
    <row r="361">
      <c r="A361" s="169" t="inlineStr">
        <is>
          <t>CR-0358</t>
        </is>
      </c>
      <c r="B361" s="169" t="inlineStr">
        <is>
          <t>2026/27</t>
        </is>
      </c>
      <c r="C361" s="231" t="n">
        <v>46084</v>
      </c>
      <c r="D361" s="169" t="inlineStr">
        <is>
          <t>168</t>
        </is>
      </c>
      <c r="E361" s="169" t="inlineStr">
        <is>
          <t>COMPRA</t>
        </is>
      </c>
      <c r="F361" s="169" t="inlineStr">
        <is>
          <t>Mega Catalina</t>
        </is>
      </c>
      <c r="G361" s="169" t="inlineStr">
        <is>
          <t>MURCOTT - 2007 (21 Ha.)</t>
        </is>
      </c>
      <c r="H361" s="169" t="n"/>
      <c r="I361" s="169" t="n"/>
      <c r="J361" s="169" t="inlineStr">
        <is>
          <t>LABORES OPERACIONALES</t>
        </is>
      </c>
      <c r="K361" s="169" t="inlineStr">
        <is>
          <t>GUANTEO</t>
        </is>
      </c>
      <c r="L361" s="169" t="inlineStr">
        <is>
          <t>SERV.CONTRATISTA</t>
        </is>
      </c>
      <c r="M361" s="169" t="n"/>
      <c r="N361" s="169" t="inlineStr">
        <is>
          <t>.   .   -</t>
        </is>
      </c>
      <c r="O361" s="169" t="inlineStr">
        <is>
          <t>MARZO</t>
        </is>
      </c>
      <c r="P361" s="169" t="n">
        <v>9</v>
      </c>
      <c r="Q361" s="171" t="n">
        <v>239040</v>
      </c>
      <c r="R361" s="169" t="n"/>
      <c r="S361" s="171" t="n">
        <v>239040</v>
      </c>
      <c r="T361" s="169" t="inlineStr">
        <is>
          <t>CLP</t>
        </is>
      </c>
      <c r="U361" s="169" t="inlineStr">
        <is>
          <t>Carga LH 18-06-26</t>
        </is>
      </c>
      <c r="V361" s="169" t="inlineStr">
        <is>
          <t>2026-06-18</t>
        </is>
      </c>
    </row>
    <row r="362">
      <c r="A362" s="169" t="inlineStr">
        <is>
          <t>CR-0359</t>
        </is>
      </c>
      <c r="B362" s="169" t="inlineStr">
        <is>
          <t>2026/27</t>
        </is>
      </c>
      <c r="C362" s="231" t="n">
        <v>46084</v>
      </c>
      <c r="D362" s="169" t="inlineStr">
        <is>
          <t>1013</t>
        </is>
      </c>
      <c r="E362" s="169" t="inlineStr">
        <is>
          <t>COMPRA</t>
        </is>
      </c>
      <c r="F362" s="169" t="inlineStr">
        <is>
          <t>Mega Catalina</t>
        </is>
      </c>
      <c r="G362" s="169" t="inlineStr">
        <is>
          <t>EUREKA - 1999 (22,5 Ha.)</t>
        </is>
      </c>
      <c r="H362" s="169" t="n"/>
      <c r="I362" s="169" t="n"/>
      <c r="J362" s="169" t="inlineStr">
        <is>
          <t>LABORES OPERACIONALES</t>
        </is>
      </c>
      <c r="K362" s="169" t="inlineStr">
        <is>
          <t>COSECHA</t>
        </is>
      </c>
      <c r="L362" s="169" t="inlineStr">
        <is>
          <t>SERV.CONTRATISTA</t>
        </is>
      </c>
      <c r="M362" s="169" t="n"/>
      <c r="N362" s="169" t="inlineStr">
        <is>
          <t>.   .   -</t>
        </is>
      </c>
      <c r="O362" s="169" t="inlineStr">
        <is>
          <t>MARZO</t>
        </is>
      </c>
      <c r="P362" s="169" t="n">
        <v>9</v>
      </c>
      <c r="Q362" s="171" t="n">
        <v>385700</v>
      </c>
      <c r="R362" s="169" t="n"/>
      <c r="S362" s="171" t="n">
        <v>385700</v>
      </c>
      <c r="T362" s="169" t="inlineStr">
        <is>
          <t>CLP</t>
        </is>
      </c>
      <c r="U362" s="169" t="inlineStr">
        <is>
          <t>Carga LH 18-06-26</t>
        </is>
      </c>
      <c r="V362" s="169" t="inlineStr">
        <is>
          <t>2026-06-18</t>
        </is>
      </c>
    </row>
    <row r="363">
      <c r="A363" s="169" t="inlineStr">
        <is>
          <t>CR-0360</t>
        </is>
      </c>
      <c r="B363" s="169" t="inlineStr">
        <is>
          <t>2026/27</t>
        </is>
      </c>
      <c r="C363" s="231" t="n">
        <v>46084</v>
      </c>
      <c r="D363" s="169" t="inlineStr">
        <is>
          <t>1013</t>
        </is>
      </c>
      <c r="E363" s="169" t="inlineStr">
        <is>
          <t>COMPRA</t>
        </is>
      </c>
      <c r="F363" s="169" t="inlineStr">
        <is>
          <t>Mega Catalina</t>
        </is>
      </c>
      <c r="G363" s="169" t="inlineStr">
        <is>
          <t>EUREKA - 1999 (10,6 Ha.)</t>
        </is>
      </c>
      <c r="H363" s="169" t="n"/>
      <c r="I363" s="169" t="n"/>
      <c r="J363" s="169" t="inlineStr">
        <is>
          <t>LABORES OPERACIONALES</t>
        </is>
      </c>
      <c r="K363" s="169" t="inlineStr">
        <is>
          <t>COSECHA</t>
        </is>
      </c>
      <c r="L363" s="169" t="inlineStr">
        <is>
          <t>SERV.CONTRATISTA</t>
        </is>
      </c>
      <c r="M363" s="169" t="n"/>
      <c r="N363" s="169" t="inlineStr">
        <is>
          <t>.   .   -</t>
        </is>
      </c>
      <c r="O363" s="169" t="inlineStr">
        <is>
          <t>MARZO</t>
        </is>
      </c>
      <c r="P363" s="169" t="n">
        <v>9</v>
      </c>
      <c r="Q363" s="171" t="n">
        <v>215400</v>
      </c>
      <c r="R363" s="169" t="n"/>
      <c r="S363" s="171" t="n">
        <v>215400</v>
      </c>
      <c r="T363" s="169" t="inlineStr">
        <is>
          <t>CLP</t>
        </is>
      </c>
      <c r="U363" s="169" t="inlineStr">
        <is>
          <t>Carga LH 18-06-26</t>
        </is>
      </c>
      <c r="V363" s="169" t="inlineStr">
        <is>
          <t>2026-06-18</t>
        </is>
      </c>
    </row>
    <row r="364">
      <c r="A364" s="169" t="inlineStr">
        <is>
          <t>CR-0361</t>
        </is>
      </c>
      <c r="B364" s="169" t="inlineStr">
        <is>
          <t>2026/27</t>
        </is>
      </c>
      <c r="C364" s="231" t="n">
        <v>46084</v>
      </c>
      <c r="D364" s="169" t="inlineStr">
        <is>
          <t>1013</t>
        </is>
      </c>
      <c r="E364" s="169" t="inlineStr">
        <is>
          <t>COMPRA</t>
        </is>
      </c>
      <c r="F364" s="169" t="inlineStr">
        <is>
          <t>Mega Catalina</t>
        </is>
      </c>
      <c r="G364" s="169" t="inlineStr">
        <is>
          <t>EUREKA - 2016 (14,4 Ha.)</t>
        </is>
      </c>
      <c r="H364" s="169" t="n"/>
      <c r="I364" s="169" t="n"/>
      <c r="J364" s="169" t="inlineStr">
        <is>
          <t>LABORES OPERACIONALES</t>
        </is>
      </c>
      <c r="K364" s="169" t="inlineStr">
        <is>
          <t>COSECHA</t>
        </is>
      </c>
      <c r="L364" s="169" t="inlineStr">
        <is>
          <t>SERV.CONTRATISTA</t>
        </is>
      </c>
      <c r="M364" s="169" t="n"/>
      <c r="N364" s="169" t="inlineStr">
        <is>
          <t>.   .   -</t>
        </is>
      </c>
      <c r="O364" s="169" t="inlineStr">
        <is>
          <t>MARZO</t>
        </is>
      </c>
      <c r="P364" s="169" t="n">
        <v>9</v>
      </c>
      <c r="Q364" s="171" t="n">
        <v>1142200</v>
      </c>
      <c r="R364" s="169" t="n"/>
      <c r="S364" s="171" t="n">
        <v>1142200</v>
      </c>
      <c r="T364" s="169" t="inlineStr">
        <is>
          <t>CLP</t>
        </is>
      </c>
      <c r="U364" s="169" t="inlineStr">
        <is>
          <t>Carga LH 18-06-26</t>
        </is>
      </c>
      <c r="V364" s="169" t="inlineStr">
        <is>
          <t>2026-06-18</t>
        </is>
      </c>
    </row>
    <row r="365">
      <c r="A365" s="169" t="inlineStr">
        <is>
          <t>CR-0362</t>
        </is>
      </c>
      <c r="B365" s="169" t="inlineStr">
        <is>
          <t>2026/27</t>
        </is>
      </c>
      <c r="C365" s="231" t="n">
        <v>46084</v>
      </c>
      <c r="D365" s="169" t="inlineStr">
        <is>
          <t>633</t>
        </is>
      </c>
      <c r="E365" s="169" t="inlineStr">
        <is>
          <t>COMPRA</t>
        </is>
      </c>
      <c r="F365" s="169" t="inlineStr">
        <is>
          <t>Mega Catalina</t>
        </is>
      </c>
      <c r="G365" s="169" t="inlineStr">
        <is>
          <t>EUREKA - 1999 (22,5 Ha.)</t>
        </is>
      </c>
      <c r="H365" s="169" t="n"/>
      <c r="I365" s="169" t="n"/>
      <c r="J365" s="169" t="inlineStr">
        <is>
          <t>LABORES OPERACIONALES</t>
        </is>
      </c>
      <c r="K365" s="169" t="inlineStr">
        <is>
          <t>COSECHA</t>
        </is>
      </c>
      <c r="L365" s="169" t="inlineStr">
        <is>
          <t>SERV.CONTRATISTA</t>
        </is>
      </c>
      <c r="M365" s="169" t="n"/>
      <c r="N365" s="169" t="inlineStr">
        <is>
          <t>.   .   -</t>
        </is>
      </c>
      <c r="O365" s="169" t="inlineStr">
        <is>
          <t>MARZO</t>
        </is>
      </c>
      <c r="P365" s="169" t="n">
        <v>9</v>
      </c>
      <c r="Q365" s="171" t="n">
        <v>1154000</v>
      </c>
      <c r="R365" s="169" t="n"/>
      <c r="S365" s="171" t="n">
        <v>1154000</v>
      </c>
      <c r="T365" s="169" t="inlineStr">
        <is>
          <t>CLP</t>
        </is>
      </c>
      <c r="U365" s="169" t="inlineStr">
        <is>
          <t>Carga LH 18-06-26</t>
        </is>
      </c>
      <c r="V365" s="169" t="inlineStr">
        <is>
          <t>2026-06-18</t>
        </is>
      </c>
    </row>
    <row r="366">
      <c r="A366" s="169" t="inlineStr">
        <is>
          <t>CR-0363</t>
        </is>
      </c>
      <c r="B366" s="169" t="inlineStr">
        <is>
          <t>2026/27</t>
        </is>
      </c>
      <c r="C366" s="231" t="n">
        <v>46084</v>
      </c>
      <c r="D366" s="169" t="inlineStr">
        <is>
          <t>633</t>
        </is>
      </c>
      <c r="E366" s="169" t="inlineStr">
        <is>
          <t>COMPRA</t>
        </is>
      </c>
      <c r="F366" s="169" t="inlineStr">
        <is>
          <t>Mega Catalina</t>
        </is>
      </c>
      <c r="G366" s="169" t="inlineStr">
        <is>
          <t>EUREKA - 1999 (22,5 Ha.)</t>
        </is>
      </c>
      <c r="H366" s="169" t="n"/>
      <c r="I366" s="169" t="n"/>
      <c r="J366" s="169" t="inlineStr">
        <is>
          <t>LABORES OPERACIONALES</t>
        </is>
      </c>
      <c r="K366" s="169" t="inlineStr">
        <is>
          <t>SELECCION</t>
        </is>
      </c>
      <c r="L366" s="169" t="inlineStr">
        <is>
          <t>SERV.CONTRATISTA</t>
        </is>
      </c>
      <c r="M366" s="169" t="n"/>
      <c r="N366" s="169" t="inlineStr">
        <is>
          <t>.   .   -</t>
        </is>
      </c>
      <c r="O366" s="169" t="inlineStr">
        <is>
          <t>MARZO</t>
        </is>
      </c>
      <c r="P366" s="169" t="n">
        <v>9</v>
      </c>
      <c r="Q366" s="171" t="n">
        <v>112500</v>
      </c>
      <c r="R366" s="169" t="n"/>
      <c r="S366" s="171" t="n">
        <v>112500</v>
      </c>
      <c r="T366" s="169" t="inlineStr">
        <is>
          <t>CLP</t>
        </is>
      </c>
      <c r="U366" s="169" t="inlineStr">
        <is>
          <t>Carga LH 18-06-26</t>
        </is>
      </c>
      <c r="V366" s="169" t="inlineStr">
        <is>
          <t>2026-06-18</t>
        </is>
      </c>
    </row>
    <row r="367">
      <c r="A367" s="169" t="inlineStr">
        <is>
          <t>CR-0364</t>
        </is>
      </c>
      <c r="B367" s="169" t="inlineStr">
        <is>
          <t>2026/27</t>
        </is>
      </c>
      <c r="C367" s="231" t="n">
        <v>46084</v>
      </c>
      <c r="D367" s="169" t="inlineStr">
        <is>
          <t>633</t>
        </is>
      </c>
      <c r="E367" s="169" t="inlineStr">
        <is>
          <t>COMPRA</t>
        </is>
      </c>
      <c r="F367" s="169" t="inlineStr">
        <is>
          <t>Mega Catalina</t>
        </is>
      </c>
      <c r="G367" s="169" t="inlineStr">
        <is>
          <t>EUREKA - 1999 (10,6 Ha.)</t>
        </is>
      </c>
      <c r="H367" s="169" t="n"/>
      <c r="I367" s="169" t="n"/>
      <c r="J367" s="169" t="inlineStr">
        <is>
          <t>LABORES OPERACIONALES</t>
        </is>
      </c>
      <c r="K367" s="169" t="inlineStr">
        <is>
          <t>COSECHA</t>
        </is>
      </c>
      <c r="L367" s="169" t="inlineStr">
        <is>
          <t>SERV.CONTRATISTA</t>
        </is>
      </c>
      <c r="M367" s="169" t="n"/>
      <c r="N367" s="169" t="inlineStr">
        <is>
          <t>.   .   -</t>
        </is>
      </c>
      <c r="O367" s="169" t="inlineStr">
        <is>
          <t>MARZO</t>
        </is>
      </c>
      <c r="P367" s="169" t="n">
        <v>9</v>
      </c>
      <c r="Q367" s="171" t="n">
        <v>532100</v>
      </c>
      <c r="R367" s="169" t="n"/>
      <c r="S367" s="171" t="n">
        <v>532100</v>
      </c>
      <c r="T367" s="169" t="inlineStr">
        <is>
          <t>CLP</t>
        </is>
      </c>
      <c r="U367" s="169" t="inlineStr">
        <is>
          <t>Carga LH 18-06-26</t>
        </is>
      </c>
      <c r="V367" s="169" t="inlineStr">
        <is>
          <t>2026-06-18</t>
        </is>
      </c>
    </row>
    <row r="368">
      <c r="A368" s="169" t="inlineStr">
        <is>
          <t>CR-0365</t>
        </is>
      </c>
      <c r="B368" s="169" t="inlineStr">
        <is>
          <t>2026/27</t>
        </is>
      </c>
      <c r="C368" s="231" t="n">
        <v>46084</v>
      </c>
      <c r="D368" s="169" t="inlineStr">
        <is>
          <t>633</t>
        </is>
      </c>
      <c r="E368" s="169" t="inlineStr">
        <is>
          <t>COMPRA</t>
        </is>
      </c>
      <c r="F368" s="169" t="inlineStr">
        <is>
          <t>Mega Catalina</t>
        </is>
      </c>
      <c r="G368" s="169" t="inlineStr">
        <is>
          <t>EUREKA - 1999 (10,6 Ha.)</t>
        </is>
      </c>
      <c r="H368" s="169" t="n"/>
      <c r="I368" s="169" t="n"/>
      <c r="J368" s="169" t="inlineStr">
        <is>
          <t>LABORES OPERACIONALES</t>
        </is>
      </c>
      <c r="K368" s="169" t="inlineStr">
        <is>
          <t>SELECCION</t>
        </is>
      </c>
      <c r="L368" s="169" t="inlineStr">
        <is>
          <t>SERV.CONTRATISTA</t>
        </is>
      </c>
      <c r="M368" s="169" t="n"/>
      <c r="N368" s="169" t="inlineStr">
        <is>
          <t>.   .   -</t>
        </is>
      </c>
      <c r="O368" s="169" t="inlineStr">
        <is>
          <t>MARZO</t>
        </is>
      </c>
      <c r="P368" s="169" t="n">
        <v>9</v>
      </c>
      <c r="Q368" s="171" t="n">
        <v>37500</v>
      </c>
      <c r="R368" s="169" t="n"/>
      <c r="S368" s="171" t="n">
        <v>37500</v>
      </c>
      <c r="T368" s="169" t="inlineStr">
        <is>
          <t>CLP</t>
        </is>
      </c>
      <c r="U368" s="169" t="inlineStr">
        <is>
          <t>Carga LH 18-06-26</t>
        </is>
      </c>
      <c r="V368" s="169" t="inlineStr">
        <is>
          <t>2026-06-18</t>
        </is>
      </c>
    </row>
    <row r="369">
      <c r="A369" s="169" t="inlineStr">
        <is>
          <t>CR-0366</t>
        </is>
      </c>
      <c r="B369" s="169" t="inlineStr">
        <is>
          <t>2026/27</t>
        </is>
      </c>
      <c r="C369" s="231" t="n">
        <v>46084</v>
      </c>
      <c r="D369" s="169" t="inlineStr">
        <is>
          <t>633</t>
        </is>
      </c>
      <c r="E369" s="169" t="inlineStr">
        <is>
          <t>COMPRA</t>
        </is>
      </c>
      <c r="F369" s="169" t="inlineStr">
        <is>
          <t>Mega Catalina</t>
        </is>
      </c>
      <c r="G369" s="169" t="inlineStr">
        <is>
          <t>EUREKA - 2016 (14,4 Ha.)</t>
        </is>
      </c>
      <c r="H369" s="169" t="n"/>
      <c r="I369" s="169" t="n"/>
      <c r="J369" s="169" t="inlineStr">
        <is>
          <t>LABORES OPERACIONALES</t>
        </is>
      </c>
      <c r="K369" s="169" t="inlineStr">
        <is>
          <t>COSECHA</t>
        </is>
      </c>
      <c r="L369" s="169" t="inlineStr">
        <is>
          <t>SERV.CONTRATISTA</t>
        </is>
      </c>
      <c r="M369" s="169" t="n"/>
      <c r="N369" s="169" t="inlineStr">
        <is>
          <t>.   .   -</t>
        </is>
      </c>
      <c r="O369" s="169" t="inlineStr">
        <is>
          <t>MARZO</t>
        </is>
      </c>
      <c r="P369" s="169" t="n">
        <v>9</v>
      </c>
      <c r="Q369" s="171" t="n">
        <v>1212200</v>
      </c>
      <c r="R369" s="169" t="n"/>
      <c r="S369" s="171" t="n">
        <v>1212200</v>
      </c>
      <c r="T369" s="169" t="inlineStr">
        <is>
          <t>CLP</t>
        </is>
      </c>
      <c r="U369" s="169" t="inlineStr">
        <is>
          <t>Carga LH 18-06-26</t>
        </is>
      </c>
      <c r="V369" s="169" t="inlineStr">
        <is>
          <t>2026-06-18</t>
        </is>
      </c>
    </row>
    <row r="370">
      <c r="A370" s="169" t="inlineStr">
        <is>
          <t>CR-0367</t>
        </is>
      </c>
      <c r="B370" s="169" t="inlineStr">
        <is>
          <t>2026/27</t>
        </is>
      </c>
      <c r="C370" s="231" t="n">
        <v>46084</v>
      </c>
      <c r="D370" s="169" t="inlineStr">
        <is>
          <t>633</t>
        </is>
      </c>
      <c r="E370" s="169" t="inlineStr">
        <is>
          <t>COMPRA</t>
        </is>
      </c>
      <c r="F370" s="169" t="inlineStr">
        <is>
          <t>Mega Catalina</t>
        </is>
      </c>
      <c r="G370" s="169" t="inlineStr">
        <is>
          <t>EUREKA - 2016 (14,4 Ha.)</t>
        </is>
      </c>
      <c r="H370" s="169" t="n"/>
      <c r="I370" s="169" t="n"/>
      <c r="J370" s="169" t="inlineStr">
        <is>
          <t>LABORES OPERACIONALES</t>
        </is>
      </c>
      <c r="K370" s="169" t="inlineStr">
        <is>
          <t>SELECCION</t>
        </is>
      </c>
      <c r="L370" s="169" t="inlineStr">
        <is>
          <t>SERV.CONTRATISTA</t>
        </is>
      </c>
      <c r="M370" s="169" t="n"/>
      <c r="N370" s="169" t="inlineStr">
        <is>
          <t>.   .   -</t>
        </is>
      </c>
      <c r="O370" s="169" t="inlineStr">
        <is>
          <t>MARZO</t>
        </is>
      </c>
      <c r="P370" s="169" t="n">
        <v>9</v>
      </c>
      <c r="Q370" s="171" t="n">
        <v>187500</v>
      </c>
      <c r="R370" s="169" t="n"/>
      <c r="S370" s="171" t="n">
        <v>187500</v>
      </c>
      <c r="T370" s="169" t="inlineStr">
        <is>
          <t>CLP</t>
        </is>
      </c>
      <c r="U370" s="169" t="inlineStr">
        <is>
          <t>Carga LH 18-06-26</t>
        </is>
      </c>
      <c r="V370" s="169" t="inlineStr">
        <is>
          <t>2026-06-18</t>
        </is>
      </c>
    </row>
    <row r="371">
      <c r="A371" s="169" t="inlineStr">
        <is>
          <t>CR-0368</t>
        </is>
      </c>
      <c r="B371" s="169" t="inlineStr">
        <is>
          <t>2026/27</t>
        </is>
      </c>
      <c r="C371" s="231" t="n">
        <v>46084</v>
      </c>
      <c r="D371" s="169" t="inlineStr">
        <is>
          <t>364</t>
        </is>
      </c>
      <c r="E371" s="169" t="inlineStr">
        <is>
          <t>COMPRA</t>
        </is>
      </c>
      <c r="F371" s="169" t="inlineStr">
        <is>
          <t>El Molle</t>
        </is>
      </c>
      <c r="G371" s="169" t="inlineStr">
        <is>
          <t>ARRUFATINA - 2017 (5,74 Ha.)</t>
        </is>
      </c>
      <c r="H371" s="169" t="n"/>
      <c r="I371" s="169" t="n"/>
      <c r="J371" s="169" t="inlineStr">
        <is>
          <t>LABORES OPERACIONALES</t>
        </is>
      </c>
      <c r="K371" s="169" t="inlineStr">
        <is>
          <t>APLICACIONES</t>
        </is>
      </c>
      <c r="L371" s="169" t="inlineStr">
        <is>
          <t>SERV.CONTRATISTA</t>
        </is>
      </c>
      <c r="M371" s="169" t="n"/>
      <c r="N371" s="169" t="inlineStr">
        <is>
          <t>.   .   -</t>
        </is>
      </c>
      <c r="O371" s="169" t="inlineStr">
        <is>
          <t>MARZO</t>
        </is>
      </c>
      <c r="P371" s="169" t="n">
        <v>9</v>
      </c>
      <c r="Q371" s="171" t="n">
        <v>225000</v>
      </c>
      <c r="R371" s="169" t="n"/>
      <c r="S371" s="171" t="n">
        <v>225000</v>
      </c>
      <c r="T371" s="169" t="inlineStr">
        <is>
          <t>CLP</t>
        </is>
      </c>
      <c r="U371" s="169" t="inlineStr">
        <is>
          <t>Carga LH 18-06-26</t>
        </is>
      </c>
      <c r="V371" s="169" t="inlineStr">
        <is>
          <t>2026-06-18</t>
        </is>
      </c>
    </row>
    <row r="372">
      <c r="A372" s="169" t="inlineStr">
        <is>
          <t>CR-0369</t>
        </is>
      </c>
      <c r="B372" s="169" t="inlineStr">
        <is>
          <t>2026/27</t>
        </is>
      </c>
      <c r="C372" s="231" t="n">
        <v>46084</v>
      </c>
      <c r="D372" s="169" t="inlineStr">
        <is>
          <t>364</t>
        </is>
      </c>
      <c r="E372" s="169" t="inlineStr">
        <is>
          <t>COMPRA</t>
        </is>
      </c>
      <c r="F372" s="169" t="inlineStr">
        <is>
          <t>El Molle</t>
        </is>
      </c>
      <c r="G372" s="169" t="inlineStr">
        <is>
          <t>ARRUFATINA - 2017 (5,74 Ha.)</t>
        </is>
      </c>
      <c r="H372" s="169" t="n"/>
      <c r="I372" s="169" t="n"/>
      <c r="J372" s="169" t="inlineStr">
        <is>
          <t>LABORES OPERACIONALES</t>
        </is>
      </c>
      <c r="K372" s="169" t="inlineStr">
        <is>
          <t>MANTENCION DE CAMPOS</t>
        </is>
      </c>
      <c r="L372" s="169" t="inlineStr">
        <is>
          <t>SERV.CONTRATISTA</t>
        </is>
      </c>
      <c r="M372" s="169" t="n"/>
      <c r="N372" s="169" t="inlineStr">
        <is>
          <t>.   .   -</t>
        </is>
      </c>
      <c r="O372" s="169" t="inlineStr">
        <is>
          <t>MARZO</t>
        </is>
      </c>
      <c r="P372" s="169" t="n">
        <v>9</v>
      </c>
      <c r="Q372" s="171" t="n">
        <v>112500</v>
      </c>
      <c r="R372" s="169" t="n"/>
      <c r="S372" s="171" t="n">
        <v>112500</v>
      </c>
      <c r="T372" s="169" t="inlineStr">
        <is>
          <t>CLP</t>
        </is>
      </c>
      <c r="U372" s="169" t="inlineStr">
        <is>
          <t>Carga LH 18-06-26</t>
        </is>
      </c>
      <c r="V372" s="169" t="inlineStr">
        <is>
          <t>2026-06-18</t>
        </is>
      </c>
    </row>
    <row r="373">
      <c r="A373" s="169" t="inlineStr">
        <is>
          <t>CR-0370</t>
        </is>
      </c>
      <c r="B373" s="169" t="inlineStr">
        <is>
          <t>2026/27</t>
        </is>
      </c>
      <c r="C373" s="231" t="n">
        <v>46084</v>
      </c>
      <c r="D373" s="169" t="inlineStr">
        <is>
          <t>364</t>
        </is>
      </c>
      <c r="E373" s="169" t="inlineStr">
        <is>
          <t>COMPRA</t>
        </is>
      </c>
      <c r="F373" s="169" t="inlineStr">
        <is>
          <t>El Molle</t>
        </is>
      </c>
      <c r="G373" s="169" t="inlineStr">
        <is>
          <t>ARRUFATINA - 2017 (5,74 Ha.)</t>
        </is>
      </c>
      <c r="H373" s="169" t="n"/>
      <c r="I373" s="169" t="n"/>
      <c r="J373" s="169" t="inlineStr">
        <is>
          <t>LABORES OPERACIONALES</t>
        </is>
      </c>
      <c r="K373" s="169" t="inlineStr">
        <is>
          <t>LABORES VARIAS</t>
        </is>
      </c>
      <c r="L373" s="169" t="inlineStr">
        <is>
          <t>SERV.CONTRATISTA</t>
        </is>
      </c>
      <c r="M373" s="169" t="n"/>
      <c r="N373" s="169" t="inlineStr">
        <is>
          <t>.   .   -</t>
        </is>
      </c>
      <c r="O373" s="169" t="inlineStr">
        <is>
          <t>MARZO</t>
        </is>
      </c>
      <c r="P373" s="169" t="n">
        <v>9</v>
      </c>
      <c r="Q373" s="171" t="n">
        <v>562500</v>
      </c>
      <c r="R373" s="169" t="n"/>
      <c r="S373" s="171" t="n">
        <v>562500</v>
      </c>
      <c r="T373" s="169" t="inlineStr">
        <is>
          <t>CLP</t>
        </is>
      </c>
      <c r="U373" s="169" t="inlineStr">
        <is>
          <t>Carga LH 18-06-26</t>
        </is>
      </c>
      <c r="V373" s="169" t="inlineStr">
        <is>
          <t>2026-06-18</t>
        </is>
      </c>
    </row>
    <row r="374">
      <c r="A374" s="169" t="inlineStr">
        <is>
          <t>CR-0371</t>
        </is>
      </c>
      <c r="B374" s="169" t="inlineStr">
        <is>
          <t>2026/27</t>
        </is>
      </c>
      <c r="C374" s="231" t="n">
        <v>46084</v>
      </c>
      <c r="D374" s="169" t="inlineStr">
        <is>
          <t>364</t>
        </is>
      </c>
      <c r="E374" s="169" t="inlineStr">
        <is>
          <t>COMPRA</t>
        </is>
      </c>
      <c r="F374" s="169" t="inlineStr">
        <is>
          <t>El Molle</t>
        </is>
      </c>
      <c r="G374" s="169" t="inlineStr">
        <is>
          <t>ORONULES - 2017 (2,85 Ha.)</t>
        </is>
      </c>
      <c r="H374" s="169" t="n"/>
      <c r="I374" s="169" t="n"/>
      <c r="J374" s="169" t="inlineStr">
        <is>
          <t>LABORES OPERACIONALES</t>
        </is>
      </c>
      <c r="K374" s="169" t="inlineStr">
        <is>
          <t>APLICACIONES</t>
        </is>
      </c>
      <c r="L374" s="169" t="inlineStr">
        <is>
          <t>SERV.CONTRATISTA</t>
        </is>
      </c>
      <c r="M374" s="169" t="n"/>
      <c r="N374" s="169" t="inlineStr">
        <is>
          <t>.   .   -</t>
        </is>
      </c>
      <c r="O374" s="169" t="inlineStr">
        <is>
          <t>MARZO</t>
        </is>
      </c>
      <c r="P374" s="169" t="n">
        <v>9</v>
      </c>
      <c r="Q374" s="171" t="n">
        <v>37500</v>
      </c>
      <c r="R374" s="169" t="n"/>
      <c r="S374" s="171" t="n">
        <v>37500</v>
      </c>
      <c r="T374" s="169" t="inlineStr">
        <is>
          <t>CLP</t>
        </is>
      </c>
      <c r="U374" s="169" t="inlineStr">
        <is>
          <t>Carga LH 18-06-26</t>
        </is>
      </c>
      <c r="V374" s="169" t="inlineStr">
        <is>
          <t>2026-06-18</t>
        </is>
      </c>
    </row>
    <row r="375">
      <c r="A375" s="169" t="inlineStr">
        <is>
          <t>CR-0372</t>
        </is>
      </c>
      <c r="B375" s="169" t="inlineStr">
        <is>
          <t>2026/27</t>
        </is>
      </c>
      <c r="C375" s="231" t="n">
        <v>46084</v>
      </c>
      <c r="D375" s="169" t="inlineStr">
        <is>
          <t>364</t>
        </is>
      </c>
      <c r="E375" s="169" t="inlineStr">
        <is>
          <t>COMPRA</t>
        </is>
      </c>
      <c r="F375" s="169" t="inlineStr">
        <is>
          <t>El Molle</t>
        </is>
      </c>
      <c r="G375" s="169" t="inlineStr">
        <is>
          <t>ORONULES - 2017 (2,85 Ha.)</t>
        </is>
      </c>
      <c r="H375" s="169" t="n"/>
      <c r="I375" s="169" t="n"/>
      <c r="J375" s="169" t="inlineStr">
        <is>
          <t>LABORES OPERACIONALES</t>
        </is>
      </c>
      <c r="K375" s="169" t="inlineStr">
        <is>
          <t>MANTENCION DE CAMPOS</t>
        </is>
      </c>
      <c r="L375" s="169" t="inlineStr">
        <is>
          <t>SERV.CONTRATISTA</t>
        </is>
      </c>
      <c r="M375" s="169" t="n"/>
      <c r="N375" s="169" t="inlineStr">
        <is>
          <t>.   .   -</t>
        </is>
      </c>
      <c r="O375" s="169" t="inlineStr">
        <is>
          <t>MARZO</t>
        </is>
      </c>
      <c r="P375" s="169" t="n">
        <v>9</v>
      </c>
      <c r="Q375" s="171" t="n">
        <v>37500</v>
      </c>
      <c r="R375" s="169" t="n"/>
      <c r="S375" s="171" t="n">
        <v>37500</v>
      </c>
      <c r="T375" s="169" t="inlineStr">
        <is>
          <t>CLP</t>
        </is>
      </c>
      <c r="U375" s="169" t="inlineStr">
        <is>
          <t>Carga LH 18-06-26</t>
        </is>
      </c>
      <c r="V375" s="169" t="inlineStr">
        <is>
          <t>2026-06-18</t>
        </is>
      </c>
    </row>
    <row r="376">
      <c r="A376" s="169" t="inlineStr">
        <is>
          <t>CR-0373</t>
        </is>
      </c>
      <c r="B376" s="169" t="inlineStr">
        <is>
          <t>2026/27</t>
        </is>
      </c>
      <c r="C376" s="231" t="n">
        <v>46084</v>
      </c>
      <c r="D376" s="169" t="inlineStr">
        <is>
          <t>364</t>
        </is>
      </c>
      <c r="E376" s="169" t="inlineStr">
        <is>
          <t>COMPRA</t>
        </is>
      </c>
      <c r="F376" s="169" t="inlineStr">
        <is>
          <t>El Molle</t>
        </is>
      </c>
      <c r="G376" s="169" t="inlineStr">
        <is>
          <t>ORONULES - 2017 (2,85 Ha.)</t>
        </is>
      </c>
      <c r="H376" s="169" t="n"/>
      <c r="I376" s="169" t="n"/>
      <c r="J376" s="169" t="inlineStr">
        <is>
          <t>LABORES OPERACIONALES</t>
        </is>
      </c>
      <c r="K376" s="169" t="inlineStr">
        <is>
          <t>LABORES VARIAS</t>
        </is>
      </c>
      <c r="L376" s="169" t="inlineStr">
        <is>
          <t>SERV.CONTRATISTA</t>
        </is>
      </c>
      <c r="M376" s="169" t="n"/>
      <c r="N376" s="169" t="inlineStr">
        <is>
          <t>.   .   -</t>
        </is>
      </c>
      <c r="O376" s="169" t="inlineStr">
        <is>
          <t>MARZO</t>
        </is>
      </c>
      <c r="P376" s="169" t="n">
        <v>9</v>
      </c>
      <c r="Q376" s="171" t="n">
        <v>75000</v>
      </c>
      <c r="R376" s="169" t="n"/>
      <c r="S376" s="171" t="n">
        <v>75000</v>
      </c>
      <c r="T376" s="169" t="inlineStr">
        <is>
          <t>CLP</t>
        </is>
      </c>
      <c r="U376" s="169" t="inlineStr">
        <is>
          <t>Carga LH 18-06-26</t>
        </is>
      </c>
      <c r="V376" s="169" t="inlineStr">
        <is>
          <t>2026-06-18</t>
        </is>
      </c>
    </row>
    <row r="377">
      <c r="A377" s="169" t="inlineStr">
        <is>
          <t>CR-0374</t>
        </is>
      </c>
      <c r="B377" s="169" t="inlineStr">
        <is>
          <t>2026/27</t>
        </is>
      </c>
      <c r="C377" s="231" t="n">
        <v>46084</v>
      </c>
      <c r="D377" s="169" t="inlineStr">
        <is>
          <t>364</t>
        </is>
      </c>
      <c r="E377" s="169" t="inlineStr">
        <is>
          <t>COMPRA</t>
        </is>
      </c>
      <c r="F377" s="169" t="inlineStr">
        <is>
          <t>El Molle</t>
        </is>
      </c>
      <c r="G377" s="169" t="inlineStr">
        <is>
          <t>OROGRANDE - 2007 (8,11 Ha.)</t>
        </is>
      </c>
      <c r="H377" s="169" t="n"/>
      <c r="I377" s="169" t="n"/>
      <c r="J377" s="169" t="inlineStr">
        <is>
          <t>LABORES OPERACIONALES</t>
        </is>
      </c>
      <c r="K377" s="169" t="inlineStr">
        <is>
          <t>APLICACIONES</t>
        </is>
      </c>
      <c r="L377" s="169" t="inlineStr">
        <is>
          <t>SERV.CONTRATISTA</t>
        </is>
      </c>
      <c r="M377" s="169" t="n"/>
      <c r="N377" s="169" t="inlineStr">
        <is>
          <t>.   .   -</t>
        </is>
      </c>
      <c r="O377" s="169" t="inlineStr">
        <is>
          <t>MARZO</t>
        </is>
      </c>
      <c r="P377" s="169" t="n">
        <v>9</v>
      </c>
      <c r="Q377" s="171" t="n">
        <v>112500</v>
      </c>
      <c r="R377" s="169" t="n"/>
      <c r="S377" s="171" t="n">
        <v>112500</v>
      </c>
      <c r="T377" s="169" t="inlineStr">
        <is>
          <t>CLP</t>
        </is>
      </c>
      <c r="U377" s="169" t="inlineStr">
        <is>
          <t>Carga LH 18-06-26</t>
        </is>
      </c>
      <c r="V377" s="169" t="inlineStr">
        <is>
          <t>2026-06-18</t>
        </is>
      </c>
    </row>
    <row r="378">
      <c r="A378" s="169" t="inlineStr">
        <is>
          <t>CR-0375</t>
        </is>
      </c>
      <c r="B378" s="169" t="inlineStr">
        <is>
          <t>2026/27</t>
        </is>
      </c>
      <c r="C378" s="231" t="n">
        <v>46084</v>
      </c>
      <c r="D378" s="169" t="inlineStr">
        <is>
          <t>364</t>
        </is>
      </c>
      <c r="E378" s="169" t="inlineStr">
        <is>
          <t>COMPRA</t>
        </is>
      </c>
      <c r="F378" s="169" t="inlineStr">
        <is>
          <t>El Molle</t>
        </is>
      </c>
      <c r="G378" s="169" t="inlineStr">
        <is>
          <t>OROGRANDE - 2007 (8,11 Ha.)</t>
        </is>
      </c>
      <c r="H378" s="169" t="n"/>
      <c r="I378" s="169" t="n"/>
      <c r="J378" s="169" t="inlineStr">
        <is>
          <t>LABORES OPERACIONALES</t>
        </is>
      </c>
      <c r="K378" s="169" t="inlineStr">
        <is>
          <t>MANTENCION DE CAMPOS</t>
        </is>
      </c>
      <c r="L378" s="169" t="inlineStr">
        <is>
          <t>SERV.CONTRATISTA</t>
        </is>
      </c>
      <c r="M378" s="169" t="n"/>
      <c r="N378" s="169" t="inlineStr">
        <is>
          <t>.   .   -</t>
        </is>
      </c>
      <c r="O378" s="169" t="inlineStr">
        <is>
          <t>MARZO</t>
        </is>
      </c>
      <c r="P378" s="169" t="n">
        <v>9</v>
      </c>
      <c r="Q378" s="171" t="n">
        <v>187500</v>
      </c>
      <c r="R378" s="169" t="n"/>
      <c r="S378" s="171" t="n">
        <v>187500</v>
      </c>
      <c r="T378" s="169" t="inlineStr">
        <is>
          <t>CLP</t>
        </is>
      </c>
      <c r="U378" s="169" t="inlineStr">
        <is>
          <t>Carga LH 18-06-26</t>
        </is>
      </c>
      <c r="V378" s="169" t="inlineStr">
        <is>
          <t>2026-06-18</t>
        </is>
      </c>
    </row>
    <row r="379">
      <c r="A379" s="169" t="inlineStr">
        <is>
          <t>CR-0376</t>
        </is>
      </c>
      <c r="B379" s="169" t="inlineStr">
        <is>
          <t>2026/27</t>
        </is>
      </c>
      <c r="C379" s="231" t="n">
        <v>46084</v>
      </c>
      <c r="D379" s="169" t="inlineStr">
        <is>
          <t>364</t>
        </is>
      </c>
      <c r="E379" s="169" t="inlineStr">
        <is>
          <t>COMPRA</t>
        </is>
      </c>
      <c r="F379" s="169" t="inlineStr">
        <is>
          <t>El Molle</t>
        </is>
      </c>
      <c r="G379" s="169" t="inlineStr">
        <is>
          <t>WONDERFUL - 2002 (2,80 Ha.)</t>
        </is>
      </c>
      <c r="H379" s="169" t="n"/>
      <c r="I379" s="169" t="n"/>
      <c r="J379" s="169" t="inlineStr">
        <is>
          <t>LABORES OPERACIONALES</t>
        </is>
      </c>
      <c r="K379" s="169" t="inlineStr">
        <is>
          <t>APLICACIONES</t>
        </is>
      </c>
      <c r="L379" s="169" t="inlineStr">
        <is>
          <t>SERV.CONTRATISTA</t>
        </is>
      </c>
      <c r="M379" s="169" t="n"/>
      <c r="N379" s="169" t="inlineStr">
        <is>
          <t>.   .   -</t>
        </is>
      </c>
      <c r="O379" s="169" t="inlineStr">
        <is>
          <t>MARZO</t>
        </is>
      </c>
      <c r="P379" s="169" t="n">
        <v>9</v>
      </c>
      <c r="Q379" s="171" t="n">
        <v>75000</v>
      </c>
      <c r="R379" s="169" t="n"/>
      <c r="S379" s="171" t="n">
        <v>75000</v>
      </c>
      <c r="T379" s="169" t="inlineStr">
        <is>
          <t>CLP</t>
        </is>
      </c>
      <c r="U379" s="169" t="inlineStr">
        <is>
          <t>Carga LH 18-06-26</t>
        </is>
      </c>
      <c r="V379" s="169" t="inlineStr">
        <is>
          <t>2026-06-18</t>
        </is>
      </c>
    </row>
    <row r="380">
      <c r="A380" s="169" t="inlineStr">
        <is>
          <t>CR-0377</t>
        </is>
      </c>
      <c r="B380" s="169" t="inlineStr">
        <is>
          <t>2026/27</t>
        </is>
      </c>
      <c r="C380" s="231" t="n">
        <v>46084</v>
      </c>
      <c r="D380" s="169" t="inlineStr">
        <is>
          <t>364</t>
        </is>
      </c>
      <c r="E380" s="169" t="inlineStr">
        <is>
          <t>COMPRA</t>
        </is>
      </c>
      <c r="F380" s="169" t="inlineStr">
        <is>
          <t>El Molle</t>
        </is>
      </c>
      <c r="G380" s="169" t="inlineStr">
        <is>
          <t>WONDERFUL - 2002 (2,80 Ha.)</t>
        </is>
      </c>
      <c r="H380" s="169" t="n"/>
      <c r="I380" s="169" t="n"/>
      <c r="J380" s="169" t="inlineStr">
        <is>
          <t>LABORES OPERACIONALES</t>
        </is>
      </c>
      <c r="K380" s="169" t="inlineStr">
        <is>
          <t>MANTENCION DE CAMPOS</t>
        </is>
      </c>
      <c r="L380" s="169" t="inlineStr">
        <is>
          <t>SERV.CONTRATISTA</t>
        </is>
      </c>
      <c r="M380" s="169" t="n"/>
      <c r="N380" s="169" t="inlineStr">
        <is>
          <t>.   .   -</t>
        </is>
      </c>
      <c r="O380" s="169" t="inlineStr">
        <is>
          <t>MARZO</t>
        </is>
      </c>
      <c r="P380" s="169" t="n">
        <v>9</v>
      </c>
      <c r="Q380" s="171" t="n">
        <v>112500</v>
      </c>
      <c r="R380" s="169" t="n"/>
      <c r="S380" s="171" t="n">
        <v>112500</v>
      </c>
      <c r="T380" s="169" t="inlineStr">
        <is>
          <t>CLP</t>
        </is>
      </c>
      <c r="U380" s="169" t="inlineStr">
        <is>
          <t>Carga LH 18-06-26</t>
        </is>
      </c>
      <c r="V380" s="169" t="inlineStr">
        <is>
          <t>2026-06-18</t>
        </is>
      </c>
    </row>
    <row r="381">
      <c r="A381" s="169" t="inlineStr">
        <is>
          <t>CR-0378</t>
        </is>
      </c>
      <c r="B381" s="169" t="inlineStr">
        <is>
          <t>2026/27</t>
        </is>
      </c>
      <c r="C381" s="231" t="n">
        <v>46084</v>
      </c>
      <c r="D381" s="169" t="inlineStr">
        <is>
          <t>364</t>
        </is>
      </c>
      <c r="E381" s="169" t="inlineStr">
        <is>
          <t>COMPRA</t>
        </is>
      </c>
      <c r="F381" s="169" t="inlineStr">
        <is>
          <t>El Molle</t>
        </is>
      </c>
      <c r="G381" s="169" t="inlineStr">
        <is>
          <t>WONDERFUL - 2002 (2,80 Ha.)</t>
        </is>
      </c>
      <c r="H381" s="169" t="n"/>
      <c r="I381" s="169" t="n"/>
      <c r="J381" s="169" t="inlineStr">
        <is>
          <t>LABORES OPERACIONALES</t>
        </is>
      </c>
      <c r="K381" s="169" t="inlineStr">
        <is>
          <t>LABORES VARIAS</t>
        </is>
      </c>
      <c r="L381" s="169" t="inlineStr">
        <is>
          <t>SERV.CONTRATISTA</t>
        </is>
      </c>
      <c r="M381" s="169" t="n"/>
      <c r="N381" s="169" t="inlineStr">
        <is>
          <t>.   .   -</t>
        </is>
      </c>
      <c r="O381" s="169" t="inlineStr">
        <is>
          <t>MARZO</t>
        </is>
      </c>
      <c r="P381" s="169" t="n">
        <v>9</v>
      </c>
      <c r="Q381" s="171" t="n">
        <v>37500</v>
      </c>
      <c r="R381" s="169" t="n"/>
      <c r="S381" s="171" t="n">
        <v>37500</v>
      </c>
      <c r="T381" s="169" t="inlineStr">
        <is>
          <t>CLP</t>
        </is>
      </c>
      <c r="U381" s="169" t="inlineStr">
        <is>
          <t>Carga LH 18-06-26</t>
        </is>
      </c>
      <c r="V381" s="169" t="inlineStr">
        <is>
          <t>2026-06-18</t>
        </is>
      </c>
    </row>
    <row r="382">
      <c r="A382" s="169" t="inlineStr">
        <is>
          <t>CR-0379</t>
        </is>
      </c>
      <c r="B382" s="169" t="inlineStr">
        <is>
          <t>2026/27</t>
        </is>
      </c>
      <c r="C382" s="231" t="n">
        <v>46084</v>
      </c>
      <c r="D382" s="169" t="inlineStr">
        <is>
          <t>364</t>
        </is>
      </c>
      <c r="E382" s="169" t="inlineStr">
        <is>
          <t>COMPRA</t>
        </is>
      </c>
      <c r="F382" s="169" t="inlineStr">
        <is>
          <t>El Molle</t>
        </is>
      </c>
      <c r="G382" s="169" t="inlineStr">
        <is>
          <t>WONDERFUL - 2007 (2,44 Ha.)</t>
        </is>
      </c>
      <c r="H382" s="169" t="n"/>
      <c r="I382" s="169" t="n"/>
      <c r="J382" s="169" t="inlineStr">
        <is>
          <t>LABORES OPERACIONALES</t>
        </is>
      </c>
      <c r="K382" s="169" t="inlineStr">
        <is>
          <t>APLICACIONES</t>
        </is>
      </c>
      <c r="L382" s="169" t="inlineStr">
        <is>
          <t>SERV.CONTRATISTA</t>
        </is>
      </c>
      <c r="M382" s="169" t="n"/>
      <c r="N382" s="169" t="inlineStr">
        <is>
          <t>.   .   -</t>
        </is>
      </c>
      <c r="O382" s="169" t="inlineStr">
        <is>
          <t>MARZO</t>
        </is>
      </c>
      <c r="P382" s="169" t="n">
        <v>9</v>
      </c>
      <c r="Q382" s="171" t="n">
        <v>37500</v>
      </c>
      <c r="R382" s="169" t="n"/>
      <c r="S382" s="171" t="n">
        <v>37500</v>
      </c>
      <c r="T382" s="169" t="inlineStr">
        <is>
          <t>CLP</t>
        </is>
      </c>
      <c r="U382" s="169" t="inlineStr">
        <is>
          <t>Carga LH 18-06-26</t>
        </is>
      </c>
      <c r="V382" s="169" t="inlineStr">
        <is>
          <t>2026-06-18</t>
        </is>
      </c>
    </row>
    <row r="383">
      <c r="A383" s="169" t="inlineStr">
        <is>
          <t>CR-0380</t>
        </is>
      </c>
      <c r="B383" s="169" t="inlineStr">
        <is>
          <t>2026/27</t>
        </is>
      </c>
      <c r="C383" s="231" t="n">
        <v>46085</v>
      </c>
      <c r="D383" s="169" t="inlineStr">
        <is>
          <t>414</t>
        </is>
      </c>
      <c r="E383" s="169" t="inlineStr">
        <is>
          <t>COMPRA</t>
        </is>
      </c>
      <c r="F383" s="169" t="inlineStr">
        <is>
          <t>Mega Catalina</t>
        </is>
      </c>
      <c r="G383" s="169" t="inlineStr">
        <is>
          <t>EUREKA - 1999 (22,5 Ha.)</t>
        </is>
      </c>
      <c r="H383" s="169" t="n"/>
      <c r="I383" s="169" t="n"/>
      <c r="J383" s="169" t="inlineStr">
        <is>
          <t>LABORES OPERACIONALES</t>
        </is>
      </c>
      <c r="K383" s="169" t="inlineStr">
        <is>
          <t>OTROS SERVICIOS</t>
        </is>
      </c>
      <c r="L383" s="169" t="inlineStr">
        <is>
          <t>SERV.CONTRATISTA</t>
        </is>
      </c>
      <c r="M383" s="169" t="n"/>
      <c r="N383" s="169" t="inlineStr">
        <is>
          <t>.   .   -</t>
        </is>
      </c>
      <c r="O383" s="169" t="inlineStr">
        <is>
          <t>MARZO</t>
        </is>
      </c>
      <c r="P383" s="169" t="n">
        <v>9</v>
      </c>
      <c r="Q383" s="171" t="n">
        <v>358800</v>
      </c>
      <c r="R383" s="169" t="n"/>
      <c r="S383" s="171" t="n">
        <v>358800</v>
      </c>
      <c r="T383" s="169" t="inlineStr">
        <is>
          <t>CLP</t>
        </is>
      </c>
      <c r="U383" s="169" t="inlineStr">
        <is>
          <t>Carga LH 18-06-26</t>
        </is>
      </c>
      <c r="V383" s="169" t="inlineStr">
        <is>
          <t>2026-06-18</t>
        </is>
      </c>
    </row>
    <row r="384">
      <c r="A384" s="169" t="inlineStr">
        <is>
          <t>CR-0381</t>
        </is>
      </c>
      <c r="B384" s="169" t="inlineStr">
        <is>
          <t>2026/27</t>
        </is>
      </c>
      <c r="C384" s="231" t="n">
        <v>46085</v>
      </c>
      <c r="D384" s="169" t="inlineStr">
        <is>
          <t>414</t>
        </is>
      </c>
      <c r="E384" s="169" t="inlineStr">
        <is>
          <t>COMPRA</t>
        </is>
      </c>
      <c r="F384" s="169" t="inlineStr">
        <is>
          <t>Mega Catalina</t>
        </is>
      </c>
      <c r="G384" s="169" t="inlineStr">
        <is>
          <t>EUREKA - 1999 (10,6 Ha.)</t>
        </is>
      </c>
      <c r="H384" s="169" t="n"/>
      <c r="I384" s="169" t="n"/>
      <c r="J384" s="169" t="inlineStr">
        <is>
          <t>LABORES OPERACIONALES</t>
        </is>
      </c>
      <c r="K384" s="169" t="inlineStr">
        <is>
          <t>OTROS SERVICIOS</t>
        </is>
      </c>
      <c r="L384" s="169" t="inlineStr">
        <is>
          <t>SERV.CONTRATISTA</t>
        </is>
      </c>
      <c r="M384" s="169" t="n"/>
      <c r="N384" s="169" t="inlineStr">
        <is>
          <t>.   .   -</t>
        </is>
      </c>
      <c r="O384" s="169" t="inlineStr">
        <is>
          <t>MARZO</t>
        </is>
      </c>
      <c r="P384" s="169" t="n">
        <v>9</v>
      </c>
      <c r="Q384" s="171" t="n">
        <v>220800</v>
      </c>
      <c r="R384" s="169" t="n"/>
      <c r="S384" s="171" t="n">
        <v>220800</v>
      </c>
      <c r="T384" s="169" t="inlineStr">
        <is>
          <t>CLP</t>
        </is>
      </c>
      <c r="U384" s="169" t="inlineStr">
        <is>
          <t>Carga LH 18-06-26</t>
        </is>
      </c>
      <c r="V384" s="169" t="inlineStr">
        <is>
          <t>2026-06-18</t>
        </is>
      </c>
    </row>
    <row r="385">
      <c r="A385" s="169" t="inlineStr">
        <is>
          <t>CR-0382</t>
        </is>
      </c>
      <c r="B385" s="169" t="inlineStr">
        <is>
          <t>2026/27</t>
        </is>
      </c>
      <c r="C385" s="231" t="n">
        <v>46085</v>
      </c>
      <c r="D385" s="169" t="inlineStr">
        <is>
          <t>414</t>
        </is>
      </c>
      <c r="E385" s="169" t="inlineStr">
        <is>
          <t>COMPRA</t>
        </is>
      </c>
      <c r="F385" s="169" t="inlineStr">
        <is>
          <t>Mega Catalina</t>
        </is>
      </c>
      <c r="G385" s="169" t="inlineStr">
        <is>
          <t>EUREKA - 2016 (14,4 Ha.)</t>
        </is>
      </c>
      <c r="H385" s="169" t="n"/>
      <c r="I385" s="169" t="n"/>
      <c r="J385" s="169" t="inlineStr">
        <is>
          <t>LABORES OPERACIONALES</t>
        </is>
      </c>
      <c r="K385" s="169" t="inlineStr">
        <is>
          <t>OTROS SERVICIOS</t>
        </is>
      </c>
      <c r="L385" s="169" t="inlineStr">
        <is>
          <t>SERV.CONTRATISTA</t>
        </is>
      </c>
      <c r="M385" s="169" t="n"/>
      <c r="N385" s="169" t="inlineStr">
        <is>
          <t>.   .   -</t>
        </is>
      </c>
      <c r="O385" s="169" t="inlineStr">
        <is>
          <t>MARZO</t>
        </is>
      </c>
      <c r="P385" s="169" t="n">
        <v>9</v>
      </c>
      <c r="Q385" s="171" t="n">
        <v>220800</v>
      </c>
      <c r="R385" s="169" t="n"/>
      <c r="S385" s="171" t="n">
        <v>220800</v>
      </c>
      <c r="T385" s="169" t="inlineStr">
        <is>
          <t>CLP</t>
        </is>
      </c>
      <c r="U385" s="169" t="inlineStr">
        <is>
          <t>Carga LH 18-06-26</t>
        </is>
      </c>
      <c r="V385" s="169" t="inlineStr">
        <is>
          <t>2026-06-18</t>
        </is>
      </c>
    </row>
    <row r="386">
      <c r="A386" s="169" t="inlineStr">
        <is>
          <t>CR-0383</t>
        </is>
      </c>
      <c r="B386" s="169" t="inlineStr">
        <is>
          <t>2026/27</t>
        </is>
      </c>
      <c r="C386" s="231" t="n">
        <v>46085</v>
      </c>
      <c r="D386" s="169" t="inlineStr">
        <is>
          <t>414</t>
        </is>
      </c>
      <c r="E386" s="169" t="inlineStr">
        <is>
          <t>COMPRA</t>
        </is>
      </c>
      <c r="F386" s="169" t="inlineStr">
        <is>
          <t>Mega Catalina</t>
        </is>
      </c>
      <c r="G386" s="169" t="inlineStr">
        <is>
          <t>FINO 49 - 1999 (7,7 Ha.)</t>
        </is>
      </c>
      <c r="H386" s="169" t="n"/>
      <c r="I386" s="169" t="n"/>
      <c r="J386" s="169" t="inlineStr">
        <is>
          <t>LABORES OPERACIONALES</t>
        </is>
      </c>
      <c r="K386" s="169" t="inlineStr">
        <is>
          <t>OTROS SERVICIOS</t>
        </is>
      </c>
      <c r="L386" s="169" t="inlineStr">
        <is>
          <t>SERV.CONTRATISTA</t>
        </is>
      </c>
      <c r="M386" s="169" t="n"/>
      <c r="N386" s="169" t="inlineStr">
        <is>
          <t>.   .   -</t>
        </is>
      </c>
      <c r="O386" s="169" t="inlineStr">
        <is>
          <t>MARZO</t>
        </is>
      </c>
      <c r="P386" s="169" t="n">
        <v>9</v>
      </c>
      <c r="Q386" s="171" t="n">
        <v>211600</v>
      </c>
      <c r="R386" s="169" t="n"/>
      <c r="S386" s="171" t="n">
        <v>211600</v>
      </c>
      <c r="T386" s="169" t="inlineStr">
        <is>
          <t>CLP</t>
        </is>
      </c>
      <c r="U386" s="169" t="inlineStr">
        <is>
          <t>Carga LH 18-06-26</t>
        </is>
      </c>
      <c r="V386" s="169" t="inlineStr">
        <is>
          <t>2026-06-18</t>
        </is>
      </c>
    </row>
    <row r="387">
      <c r="A387" s="169" t="inlineStr">
        <is>
          <t>CR-0384</t>
        </is>
      </c>
      <c r="B387" s="169" t="inlineStr">
        <is>
          <t>2026/27</t>
        </is>
      </c>
      <c r="C387" s="231" t="n">
        <v>46085</v>
      </c>
      <c r="D387" s="169" t="inlineStr">
        <is>
          <t>414</t>
        </is>
      </c>
      <c r="E387" s="169" t="inlineStr">
        <is>
          <t>COMPRA</t>
        </is>
      </c>
      <c r="F387" s="169" t="inlineStr">
        <is>
          <t>Mega Catalina</t>
        </is>
      </c>
      <c r="G387" s="169" t="inlineStr">
        <is>
          <t>NO USAR NARANJAS CAMBRIA (4,2 Hta.)</t>
        </is>
      </c>
      <c r="H387" s="169" t="n"/>
      <c r="I387" s="169" t="n"/>
      <c r="J387" s="169" t="inlineStr">
        <is>
          <t>LABORES OPERACIONALES</t>
        </is>
      </c>
      <c r="K387" s="169" t="inlineStr">
        <is>
          <t>OTROS SERVICIOS</t>
        </is>
      </c>
      <c r="L387" s="169" t="inlineStr">
        <is>
          <t>SERV.CONTRATISTA</t>
        </is>
      </c>
      <c r="M387" s="169" t="n"/>
      <c r="N387" s="169" t="inlineStr">
        <is>
          <t>.   .   -</t>
        </is>
      </c>
      <c r="O387" s="169" t="inlineStr">
        <is>
          <t>MARZO</t>
        </is>
      </c>
      <c r="P387" s="169" t="n">
        <v>9</v>
      </c>
      <c r="Q387" s="171" t="n">
        <v>73600</v>
      </c>
      <c r="R387" s="169" t="n"/>
      <c r="S387" s="171" t="n">
        <v>73600</v>
      </c>
      <c r="T387" s="169" t="inlineStr">
        <is>
          <t>CLP</t>
        </is>
      </c>
      <c r="U387" s="169" t="inlineStr">
        <is>
          <t>Carga LH 18-06-26</t>
        </is>
      </c>
      <c r="V387" s="169" t="inlineStr">
        <is>
          <t>2026-06-18</t>
        </is>
      </c>
    </row>
    <row r="388">
      <c r="A388" s="169" t="inlineStr">
        <is>
          <t>CR-0385</t>
        </is>
      </c>
      <c r="B388" s="169" t="inlineStr">
        <is>
          <t>2026/27</t>
        </is>
      </c>
      <c r="C388" s="231" t="n">
        <v>46085</v>
      </c>
      <c r="D388" s="169" t="inlineStr">
        <is>
          <t>414</t>
        </is>
      </c>
      <c r="E388" s="169" t="inlineStr">
        <is>
          <t>COMPRA</t>
        </is>
      </c>
      <c r="F388" s="169" t="inlineStr">
        <is>
          <t>Mega Catalina</t>
        </is>
      </c>
      <c r="G388" s="169" t="inlineStr">
        <is>
          <t>MURCOTT - 2007 (21 Ha.)</t>
        </is>
      </c>
      <c r="H388" s="169" t="n"/>
      <c r="I388" s="169" t="n"/>
      <c r="J388" s="169" t="inlineStr">
        <is>
          <t>LABORES OPERACIONALES</t>
        </is>
      </c>
      <c r="K388" s="169" t="inlineStr">
        <is>
          <t>OTROS SERVICIOS</t>
        </is>
      </c>
      <c r="L388" s="169" t="inlineStr">
        <is>
          <t>SERV.CONTRATISTA</t>
        </is>
      </c>
      <c r="M388" s="169" t="n"/>
      <c r="N388" s="169" t="inlineStr">
        <is>
          <t>.   .   -</t>
        </is>
      </c>
      <c r="O388" s="169" t="inlineStr">
        <is>
          <t>MARZO</t>
        </is>
      </c>
      <c r="P388" s="169" t="n">
        <v>9</v>
      </c>
      <c r="Q388" s="171" t="n">
        <v>358800</v>
      </c>
      <c r="R388" s="169" t="n"/>
      <c r="S388" s="171" t="n">
        <v>358800</v>
      </c>
      <c r="T388" s="169" t="inlineStr">
        <is>
          <t>CLP</t>
        </is>
      </c>
      <c r="U388" s="169" t="inlineStr">
        <is>
          <t>Carga LH 18-06-26</t>
        </is>
      </c>
      <c r="V388" s="169" t="inlineStr">
        <is>
          <t>2026-06-18</t>
        </is>
      </c>
    </row>
    <row r="389">
      <c r="A389" s="169" t="inlineStr">
        <is>
          <t>CR-0386</t>
        </is>
      </c>
      <c r="B389" s="169" t="inlineStr">
        <is>
          <t>2026/27</t>
        </is>
      </c>
      <c r="C389" s="231" t="n">
        <v>46085</v>
      </c>
      <c r="D389" s="169" t="inlineStr">
        <is>
          <t>32</t>
        </is>
      </c>
      <c r="E389" s="169" t="inlineStr">
        <is>
          <t>COMPRA</t>
        </is>
      </c>
      <c r="F389" s="169" t="inlineStr">
        <is>
          <t>Sin asignar</t>
        </is>
      </c>
      <c r="G389" s="169" t="inlineStr">
        <is>
          <t>PACKING</t>
        </is>
      </c>
      <c r="H389" s="169" t="n"/>
      <c r="I389" s="169" t="n"/>
      <c r="J389" s="169" t="inlineStr">
        <is>
          <t>LABORES OPERACIONALES</t>
        </is>
      </c>
      <c r="K389" s="169" t="inlineStr">
        <is>
          <t>OTROS SERVICIOS</t>
        </is>
      </c>
      <c r="L389" s="169" t="inlineStr">
        <is>
          <t>SERV.CONTRATISTA</t>
        </is>
      </c>
      <c r="M389" s="169" t="n"/>
      <c r="N389" s="169" t="inlineStr">
        <is>
          <t>.   .   -</t>
        </is>
      </c>
      <c r="O389" s="169" t="inlineStr">
        <is>
          <t>MARZO</t>
        </is>
      </c>
      <c r="P389" s="169" t="n">
        <v>9</v>
      </c>
      <c r="Q389" s="171" t="n">
        <v>679000</v>
      </c>
      <c r="R389" s="169" t="n"/>
      <c r="S389" s="171" t="n">
        <v>679000</v>
      </c>
      <c r="T389" s="169" t="inlineStr">
        <is>
          <t>CLP</t>
        </is>
      </c>
      <c r="U389" s="169" t="inlineStr">
        <is>
          <t>Carga LH 18-06-26</t>
        </is>
      </c>
      <c r="V389" s="169" t="inlineStr">
        <is>
          <t>2026-06-18</t>
        </is>
      </c>
    </row>
    <row r="390">
      <c r="A390" s="169" t="inlineStr">
        <is>
          <t>CR-0387</t>
        </is>
      </c>
      <c r="B390" s="169" t="inlineStr">
        <is>
          <t>2026/27</t>
        </is>
      </c>
      <c r="C390" s="231" t="n">
        <v>46085</v>
      </c>
      <c r="D390" s="169" t="inlineStr">
        <is>
          <t>32</t>
        </is>
      </c>
      <c r="E390" s="169" t="inlineStr">
        <is>
          <t>COMPRA</t>
        </is>
      </c>
      <c r="F390" s="169" t="inlineStr">
        <is>
          <t>Mega Catalina</t>
        </is>
      </c>
      <c r="G390" s="169" t="inlineStr">
        <is>
          <t>INJERTO TIMPSON - 2018 (3,8 Ha.)</t>
        </is>
      </c>
      <c r="H390" s="169" t="n"/>
      <c r="I390" s="169" t="n"/>
      <c r="J390" s="169" t="inlineStr">
        <is>
          <t>LABORES OPERACIONALES</t>
        </is>
      </c>
      <c r="K390" s="169" t="inlineStr">
        <is>
          <t>OTROS SERVICIOS</t>
        </is>
      </c>
      <c r="L390" s="169" t="inlineStr">
        <is>
          <t>SERV.CONTRATISTA</t>
        </is>
      </c>
      <c r="M390" s="169" t="n"/>
      <c r="N390" s="169" t="inlineStr">
        <is>
          <t>.   .   -</t>
        </is>
      </c>
      <c r="O390" s="169" t="inlineStr">
        <is>
          <t>MARZO</t>
        </is>
      </c>
      <c r="P390" s="169" t="n">
        <v>9</v>
      </c>
      <c r="Q390" s="171" t="n">
        <v>442798</v>
      </c>
      <c r="R390" s="169" t="n"/>
      <c r="S390" s="171" t="n">
        <v>442798</v>
      </c>
      <c r="T390" s="169" t="inlineStr">
        <is>
          <t>CLP</t>
        </is>
      </c>
      <c r="U390" s="169" t="inlineStr">
        <is>
          <t>Carga LH 18-06-26</t>
        </is>
      </c>
      <c r="V390" s="169" t="inlineStr">
        <is>
          <t>2026-06-18</t>
        </is>
      </c>
    </row>
    <row r="391">
      <c r="A391" s="169" t="inlineStr">
        <is>
          <t>CR-0388</t>
        </is>
      </c>
      <c r="B391" s="169" t="inlineStr">
        <is>
          <t>2026/27</t>
        </is>
      </c>
      <c r="C391" s="231" t="n">
        <v>46085</v>
      </c>
      <c r="D391" s="169" t="inlineStr">
        <is>
          <t>32</t>
        </is>
      </c>
      <c r="E391" s="169" t="inlineStr">
        <is>
          <t>COMPRA</t>
        </is>
      </c>
      <c r="F391" s="169" t="inlineStr">
        <is>
          <t>Mega Catalina</t>
        </is>
      </c>
      <c r="G391" s="169" t="inlineStr">
        <is>
          <t>INJERTO TIMPSON - 2019 (4,2 Ha.)</t>
        </is>
      </c>
      <c r="H391" s="169" t="n"/>
      <c r="I391" s="169" t="n"/>
      <c r="J391" s="169" t="inlineStr">
        <is>
          <t>LABORES OPERACIONALES</t>
        </is>
      </c>
      <c r="K391" s="169" t="inlineStr">
        <is>
          <t>OTROS SERVICIOS</t>
        </is>
      </c>
      <c r="L391" s="169" t="inlineStr">
        <is>
          <t>SERV.CONTRATISTA</t>
        </is>
      </c>
      <c r="M391" s="169" t="n"/>
      <c r="N391" s="169" t="inlineStr">
        <is>
          <t>.   .   -</t>
        </is>
      </c>
      <c r="O391" s="169" t="inlineStr">
        <is>
          <t>MARZO</t>
        </is>
      </c>
      <c r="P391" s="169" t="n">
        <v>9</v>
      </c>
      <c r="Q391" s="171" t="n">
        <v>664197</v>
      </c>
      <c r="R391" s="169" t="n"/>
      <c r="S391" s="171" t="n">
        <v>664197</v>
      </c>
      <c r="T391" s="169" t="inlineStr">
        <is>
          <t>CLP</t>
        </is>
      </c>
      <c r="U391" s="169" t="inlineStr">
        <is>
          <t>Carga LH 18-06-26</t>
        </is>
      </c>
      <c r="V391" s="169" t="inlineStr">
        <is>
          <t>2026-06-18</t>
        </is>
      </c>
    </row>
    <row r="392">
      <c r="A392" s="169" t="inlineStr">
        <is>
          <t>CR-0389</t>
        </is>
      </c>
      <c r="B392" s="169" t="inlineStr">
        <is>
          <t>2026/27</t>
        </is>
      </c>
      <c r="C392" s="231" t="n">
        <v>46085</v>
      </c>
      <c r="D392" s="169" t="inlineStr">
        <is>
          <t>32</t>
        </is>
      </c>
      <c r="E392" s="169" t="inlineStr">
        <is>
          <t>COMPRA</t>
        </is>
      </c>
      <c r="F392" s="169" t="inlineStr">
        <is>
          <t>Mega Catalina</t>
        </is>
      </c>
      <c r="G392" s="169" t="inlineStr">
        <is>
          <t>SWEET CELEBRATION - 2015 (7,14 Ha.)</t>
        </is>
      </c>
      <c r="H392" s="169" t="n"/>
      <c r="I392" s="169" t="n"/>
      <c r="J392" s="169" t="inlineStr">
        <is>
          <t>LABORES OPERACIONALES</t>
        </is>
      </c>
      <c r="K392" s="169" t="inlineStr">
        <is>
          <t>OTROS SERVICIOS</t>
        </is>
      </c>
      <c r="L392" s="169" t="inlineStr">
        <is>
          <t>SERV.CONTRATISTA</t>
        </is>
      </c>
      <c r="M392" s="169" t="n"/>
      <c r="N392" s="169" t="inlineStr">
        <is>
          <t>.   .   -</t>
        </is>
      </c>
      <c r="O392" s="169" t="inlineStr">
        <is>
          <t>MARZO</t>
        </is>
      </c>
      <c r="P392" s="169" t="n">
        <v>9</v>
      </c>
      <c r="Q392" s="171" t="n">
        <v>1106995</v>
      </c>
      <c r="R392" s="169" t="n"/>
      <c r="S392" s="171" t="n">
        <v>1106995</v>
      </c>
      <c r="T392" s="169" t="inlineStr">
        <is>
          <t>CLP</t>
        </is>
      </c>
      <c r="U392" s="169" t="inlineStr">
        <is>
          <t>Carga LH 18-06-26</t>
        </is>
      </c>
      <c r="V392" s="169" t="inlineStr">
        <is>
          <t>2026-06-18</t>
        </is>
      </c>
    </row>
    <row r="393">
      <c r="A393" s="169" t="inlineStr">
        <is>
          <t>CR-0390</t>
        </is>
      </c>
      <c r="B393" s="169" t="inlineStr">
        <is>
          <t>2026/27</t>
        </is>
      </c>
      <c r="C393" s="231" t="n">
        <v>46085</v>
      </c>
      <c r="D393" s="169" t="inlineStr">
        <is>
          <t>266</t>
        </is>
      </c>
      <c r="E393" s="169" t="inlineStr">
        <is>
          <t>COMPRA</t>
        </is>
      </c>
      <c r="F393" s="169" t="inlineStr">
        <is>
          <t>Sin asignar</t>
        </is>
      </c>
      <c r="G393" s="169" t="inlineStr">
        <is>
          <t>PACKING</t>
        </is>
      </c>
      <c r="H393" s="169" t="n"/>
      <c r="I393" s="169" t="n"/>
      <c r="J393" s="169" t="inlineStr">
        <is>
          <t>LABORES OPERACIONALES</t>
        </is>
      </c>
      <c r="K393" s="169" t="inlineStr">
        <is>
          <t>OTROS SERVICIOS</t>
        </is>
      </c>
      <c r="L393" s="169" t="inlineStr">
        <is>
          <t>SERV.CONTRATISTA</t>
        </is>
      </c>
      <c r="M393" s="169" t="n"/>
      <c r="N393" s="169" t="inlineStr">
        <is>
          <t>.   .   -</t>
        </is>
      </c>
      <c r="O393" s="169" t="inlineStr">
        <is>
          <t>MARZO</t>
        </is>
      </c>
      <c r="P393" s="169" t="n">
        <v>9</v>
      </c>
      <c r="Q393" s="171" t="n">
        <v>1223967</v>
      </c>
      <c r="R393" s="169" t="n"/>
      <c r="S393" s="171" t="n">
        <v>1223967</v>
      </c>
      <c r="T393" s="169" t="inlineStr">
        <is>
          <t>CLP</t>
        </is>
      </c>
      <c r="U393" s="169" t="inlineStr">
        <is>
          <t>Carga LH 18-06-26</t>
        </is>
      </c>
      <c r="V393" s="169" t="inlineStr">
        <is>
          <t>2026-06-18</t>
        </is>
      </c>
    </row>
    <row r="394">
      <c r="A394" s="169" t="inlineStr">
        <is>
          <t>CR-0391</t>
        </is>
      </c>
      <c r="B394" s="169" t="inlineStr">
        <is>
          <t>2026/27</t>
        </is>
      </c>
      <c r="C394" s="231" t="n">
        <v>46085</v>
      </c>
      <c r="D394" s="169" t="inlineStr">
        <is>
          <t>266</t>
        </is>
      </c>
      <c r="E394" s="169" t="inlineStr">
        <is>
          <t>COMPRA</t>
        </is>
      </c>
      <c r="F394" s="169" t="inlineStr">
        <is>
          <t>Mega Catalina</t>
        </is>
      </c>
      <c r="G394" s="169" t="inlineStr">
        <is>
          <t>INJERTO TIMPSON - 2018 (3,8 Ha.)</t>
        </is>
      </c>
      <c r="H394" s="169" t="n"/>
      <c r="I394" s="169" t="n"/>
      <c r="J394" s="169" t="inlineStr">
        <is>
          <t>LABORES OPERACIONALES</t>
        </is>
      </c>
      <c r="K394" s="169" t="inlineStr">
        <is>
          <t>OTROS SERVICIOS</t>
        </is>
      </c>
      <c r="L394" s="169" t="inlineStr">
        <is>
          <t>SERV.CONTRATISTA</t>
        </is>
      </c>
      <c r="M394" s="169" t="n"/>
      <c r="N394" s="169" t="inlineStr">
        <is>
          <t>.   .   -</t>
        </is>
      </c>
      <c r="O394" s="169" t="inlineStr">
        <is>
          <t>MARZO</t>
        </is>
      </c>
      <c r="P394" s="169" t="n">
        <v>9</v>
      </c>
      <c r="Q394" s="171" t="n">
        <v>430516</v>
      </c>
      <c r="R394" s="169" t="n"/>
      <c r="S394" s="171" t="n">
        <v>430516</v>
      </c>
      <c r="T394" s="169" t="inlineStr">
        <is>
          <t>CLP</t>
        </is>
      </c>
      <c r="U394" s="169" t="inlineStr">
        <is>
          <t>Carga LH 18-06-26</t>
        </is>
      </c>
      <c r="V394" s="169" t="inlineStr">
        <is>
          <t>2026-06-18</t>
        </is>
      </c>
    </row>
    <row r="395">
      <c r="A395" s="169" t="inlineStr">
        <is>
          <t>CR-0392</t>
        </is>
      </c>
      <c r="B395" s="169" t="inlineStr">
        <is>
          <t>2026/27</t>
        </is>
      </c>
      <c r="C395" s="231" t="n">
        <v>46085</v>
      </c>
      <c r="D395" s="169" t="inlineStr">
        <is>
          <t>266</t>
        </is>
      </c>
      <c r="E395" s="169" t="inlineStr">
        <is>
          <t>COMPRA</t>
        </is>
      </c>
      <c r="F395" s="169" t="inlineStr">
        <is>
          <t>Mega Catalina</t>
        </is>
      </c>
      <c r="G395" s="169" t="inlineStr">
        <is>
          <t>INJERTO TIMPSON - 2019 (4,2 Ha.)</t>
        </is>
      </c>
      <c r="H395" s="169" t="n"/>
      <c r="I395" s="169" t="n"/>
      <c r="J395" s="169" t="inlineStr">
        <is>
          <t>LABORES OPERACIONALES</t>
        </is>
      </c>
      <c r="K395" s="169" t="inlineStr">
        <is>
          <t>OTROS SERVICIOS</t>
        </is>
      </c>
      <c r="L395" s="169" t="inlineStr">
        <is>
          <t>SERV.CONTRATISTA</t>
        </is>
      </c>
      <c r="M395" s="169" t="n"/>
      <c r="N395" s="169" t="inlineStr">
        <is>
          <t>.   .   -</t>
        </is>
      </c>
      <c r="O395" s="169" t="inlineStr">
        <is>
          <t>MARZO</t>
        </is>
      </c>
      <c r="P395" s="169" t="n">
        <v>9</v>
      </c>
      <c r="Q395" s="171" t="n">
        <v>475570</v>
      </c>
      <c r="R395" s="169" t="n"/>
      <c r="S395" s="171" t="n">
        <v>475570</v>
      </c>
      <c r="T395" s="169" t="inlineStr">
        <is>
          <t>CLP</t>
        </is>
      </c>
      <c r="U395" s="169" t="inlineStr">
        <is>
          <t>Carga LH 18-06-26</t>
        </is>
      </c>
      <c r="V395" s="169" t="inlineStr">
        <is>
          <t>2026-06-18</t>
        </is>
      </c>
    </row>
    <row r="396">
      <c r="A396" s="169" t="inlineStr">
        <is>
          <t>CR-0393</t>
        </is>
      </c>
      <c r="B396" s="169" t="inlineStr">
        <is>
          <t>2026/27</t>
        </is>
      </c>
      <c r="C396" s="231" t="n">
        <v>46085</v>
      </c>
      <c r="D396" s="169" t="inlineStr">
        <is>
          <t>266</t>
        </is>
      </c>
      <c r="E396" s="169" t="inlineStr">
        <is>
          <t>COMPRA</t>
        </is>
      </c>
      <c r="F396" s="169" t="inlineStr">
        <is>
          <t>Mega Catalina</t>
        </is>
      </c>
      <c r="G396" s="169" t="inlineStr">
        <is>
          <t>SWEET CELEBRATION - 2015 (7,14 Ha.)</t>
        </is>
      </c>
      <c r="H396" s="169" t="n"/>
      <c r="I396" s="169" t="n"/>
      <c r="J396" s="169" t="inlineStr">
        <is>
          <t>LABORES OPERACIONALES</t>
        </is>
      </c>
      <c r="K396" s="169" t="inlineStr">
        <is>
          <t>OTROS SERVICIOS</t>
        </is>
      </c>
      <c r="L396" s="169" t="inlineStr">
        <is>
          <t>SERV.CONTRATISTA</t>
        </is>
      </c>
      <c r="M396" s="169" t="n"/>
      <c r="N396" s="169" t="inlineStr">
        <is>
          <t>.   .   -</t>
        </is>
      </c>
      <c r="O396" s="169" t="inlineStr">
        <is>
          <t>MARZO</t>
        </is>
      </c>
      <c r="P396" s="169" t="n">
        <v>9</v>
      </c>
      <c r="Q396" s="171" t="n">
        <v>808469</v>
      </c>
      <c r="R396" s="169" t="n"/>
      <c r="S396" s="171" t="n">
        <v>808469</v>
      </c>
      <c r="T396" s="169" t="inlineStr">
        <is>
          <t>CLP</t>
        </is>
      </c>
      <c r="U396" s="169" t="inlineStr">
        <is>
          <t>Carga LH 18-06-26</t>
        </is>
      </c>
      <c r="V396" s="169" t="inlineStr">
        <is>
          <t>2026-06-18</t>
        </is>
      </c>
    </row>
    <row r="397">
      <c r="A397" s="169" t="inlineStr">
        <is>
          <t>CR-0394</t>
        </is>
      </c>
      <c r="B397" s="169" t="inlineStr">
        <is>
          <t>2026/27</t>
        </is>
      </c>
      <c r="C397" s="231" t="n">
        <v>46085</v>
      </c>
      <c r="D397" s="169" t="inlineStr">
        <is>
          <t>265</t>
        </is>
      </c>
      <c r="E397" s="169" t="inlineStr">
        <is>
          <t>COMPRA</t>
        </is>
      </c>
      <c r="F397" s="169" t="inlineStr">
        <is>
          <t>Mega Catalina</t>
        </is>
      </c>
      <c r="G397" s="169" t="inlineStr">
        <is>
          <t>EUREKA - 1999 (22,5 Ha.)</t>
        </is>
      </c>
      <c r="H397" s="169" t="n"/>
      <c r="I397" s="169" t="n"/>
      <c r="J397" s="169" t="inlineStr">
        <is>
          <t>LABORES OPERACIONALES</t>
        </is>
      </c>
      <c r="K397" s="169" t="inlineStr">
        <is>
          <t>OTROS SERVICIOS</t>
        </is>
      </c>
      <c r="L397" s="169" t="inlineStr">
        <is>
          <t>SERV.CONTRATISTA</t>
        </is>
      </c>
      <c r="M397" s="169" t="n"/>
      <c r="N397" s="169" t="inlineStr">
        <is>
          <t>.   .   -</t>
        </is>
      </c>
      <c r="O397" s="169" t="inlineStr">
        <is>
          <t>MARZO</t>
        </is>
      </c>
      <c r="P397" s="169" t="n">
        <v>9</v>
      </c>
      <c r="Q397" s="171" t="n">
        <v>321930</v>
      </c>
      <c r="R397" s="169" t="n"/>
      <c r="S397" s="171" t="n">
        <v>321930</v>
      </c>
      <c r="T397" s="169" t="inlineStr">
        <is>
          <t>CLP</t>
        </is>
      </c>
      <c r="U397" s="169" t="inlineStr">
        <is>
          <t>Carga LH 18-06-26</t>
        </is>
      </c>
      <c r="V397" s="169" t="inlineStr">
        <is>
          <t>2026-06-18</t>
        </is>
      </c>
    </row>
    <row r="398">
      <c r="A398" s="169" t="inlineStr">
        <is>
          <t>CR-0395</t>
        </is>
      </c>
      <c r="B398" s="169" t="inlineStr">
        <is>
          <t>2026/27</t>
        </is>
      </c>
      <c r="C398" s="231" t="n">
        <v>46085</v>
      </c>
      <c r="D398" s="169" t="inlineStr">
        <is>
          <t>265</t>
        </is>
      </c>
      <c r="E398" s="169" t="inlineStr">
        <is>
          <t>COMPRA</t>
        </is>
      </c>
      <c r="F398" s="169" t="inlineStr">
        <is>
          <t>Mega Catalina</t>
        </is>
      </c>
      <c r="G398" s="169" t="inlineStr">
        <is>
          <t>EUREKA - 1999 (10,6 Ha.)</t>
        </is>
      </c>
      <c r="H398" s="169" t="n"/>
      <c r="I398" s="169" t="n"/>
      <c r="J398" s="169" t="inlineStr">
        <is>
          <t>LABORES OPERACIONALES</t>
        </is>
      </c>
      <c r="K398" s="169" t="inlineStr">
        <is>
          <t>OTROS SERVICIOS</t>
        </is>
      </c>
      <c r="L398" s="169" t="inlineStr">
        <is>
          <t>SERV.CONTRATISTA</t>
        </is>
      </c>
      <c r="M398" s="169" t="n"/>
      <c r="N398" s="169" t="inlineStr">
        <is>
          <t>.   .   -</t>
        </is>
      </c>
      <c r="O398" s="169" t="inlineStr">
        <is>
          <t>MARZO</t>
        </is>
      </c>
      <c r="P398" s="169" t="n">
        <v>9</v>
      </c>
      <c r="Q398" s="171" t="n">
        <v>212430</v>
      </c>
      <c r="R398" s="169" t="n"/>
      <c r="S398" s="171" t="n">
        <v>212430</v>
      </c>
      <c r="T398" s="169" t="inlineStr">
        <is>
          <t>CLP</t>
        </is>
      </c>
      <c r="U398" s="169" t="inlineStr">
        <is>
          <t>Carga LH 18-06-26</t>
        </is>
      </c>
      <c r="V398" s="169" t="inlineStr">
        <is>
          <t>2026-06-18</t>
        </is>
      </c>
    </row>
    <row r="399">
      <c r="A399" s="169" t="inlineStr">
        <is>
          <t>CR-0396</t>
        </is>
      </c>
      <c r="B399" s="169" t="inlineStr">
        <is>
          <t>2026/27</t>
        </is>
      </c>
      <c r="C399" s="231" t="n">
        <v>46085</v>
      </c>
      <c r="D399" s="169" t="inlineStr">
        <is>
          <t>265</t>
        </is>
      </c>
      <c r="E399" s="169" t="inlineStr">
        <is>
          <t>COMPRA</t>
        </is>
      </c>
      <c r="F399" s="169" t="inlineStr">
        <is>
          <t>Mega Catalina</t>
        </is>
      </c>
      <c r="G399" s="169" t="inlineStr">
        <is>
          <t>EUREKA - 2016 (14,4 Ha.)</t>
        </is>
      </c>
      <c r="H399" s="169" t="n"/>
      <c r="I399" s="169" t="n"/>
      <c r="J399" s="169" t="inlineStr">
        <is>
          <t>LABORES OPERACIONALES</t>
        </is>
      </c>
      <c r="K399" s="169" t="inlineStr">
        <is>
          <t>OTROS SERVICIOS</t>
        </is>
      </c>
      <c r="L399" s="169" t="inlineStr">
        <is>
          <t>SERV.CONTRATISTA</t>
        </is>
      </c>
      <c r="M399" s="169" t="n"/>
      <c r="N399" s="169" t="inlineStr">
        <is>
          <t>.   .   -</t>
        </is>
      </c>
      <c r="O399" s="169" t="inlineStr">
        <is>
          <t>MARZO</t>
        </is>
      </c>
      <c r="P399" s="169" t="n">
        <v>9</v>
      </c>
      <c r="Q399" s="171" t="n">
        <v>205860</v>
      </c>
      <c r="R399" s="169" t="n"/>
      <c r="S399" s="171" t="n">
        <v>205860</v>
      </c>
      <c r="T399" s="169" t="inlineStr">
        <is>
          <t>CLP</t>
        </is>
      </c>
      <c r="U399" s="169" t="inlineStr">
        <is>
          <t>Carga LH 18-06-26</t>
        </is>
      </c>
      <c r="V399" s="169" t="inlineStr">
        <is>
          <t>2026-06-18</t>
        </is>
      </c>
    </row>
    <row r="400">
      <c r="A400" s="169" t="inlineStr">
        <is>
          <t>CR-0397</t>
        </is>
      </c>
      <c r="B400" s="169" t="inlineStr">
        <is>
          <t>2026/27</t>
        </is>
      </c>
      <c r="C400" s="231" t="n">
        <v>46085</v>
      </c>
      <c r="D400" s="169" t="inlineStr">
        <is>
          <t>265</t>
        </is>
      </c>
      <c r="E400" s="169" t="inlineStr">
        <is>
          <t>COMPRA</t>
        </is>
      </c>
      <c r="F400" s="169" t="inlineStr">
        <is>
          <t>Mega Catalina</t>
        </is>
      </c>
      <c r="G400" s="169" t="inlineStr">
        <is>
          <t>FINO 49 - 1999 (7,7 Ha.)</t>
        </is>
      </c>
      <c r="H400" s="169" t="n"/>
      <c r="I400" s="169" t="n"/>
      <c r="J400" s="169" t="inlineStr">
        <is>
          <t>LABORES OPERACIONALES</t>
        </is>
      </c>
      <c r="K400" s="169" t="inlineStr">
        <is>
          <t>OTROS SERVICIOS</t>
        </is>
      </c>
      <c r="L400" s="169" t="inlineStr">
        <is>
          <t>SERV.CONTRATISTA</t>
        </is>
      </c>
      <c r="M400" s="169" t="n"/>
      <c r="N400" s="169" t="inlineStr">
        <is>
          <t>.   .   -</t>
        </is>
      </c>
      <c r="O400" s="169" t="inlineStr">
        <is>
          <t>MARZO</t>
        </is>
      </c>
      <c r="P400" s="169" t="n">
        <v>9</v>
      </c>
      <c r="Q400" s="171" t="n">
        <v>164250</v>
      </c>
      <c r="R400" s="169" t="n"/>
      <c r="S400" s="171" t="n">
        <v>164250</v>
      </c>
      <c r="T400" s="169" t="inlineStr">
        <is>
          <t>CLP</t>
        </is>
      </c>
      <c r="U400" s="169" t="inlineStr">
        <is>
          <t>Carga LH 18-06-26</t>
        </is>
      </c>
      <c r="V400" s="169" t="inlineStr">
        <is>
          <t>2026-06-18</t>
        </is>
      </c>
    </row>
    <row r="401">
      <c r="A401" s="169" t="inlineStr">
        <is>
          <t>CR-0398</t>
        </is>
      </c>
      <c r="B401" s="169" t="inlineStr">
        <is>
          <t>2026/27</t>
        </is>
      </c>
      <c r="C401" s="231" t="n">
        <v>46085</v>
      </c>
      <c r="D401" s="169" t="inlineStr">
        <is>
          <t>265</t>
        </is>
      </c>
      <c r="E401" s="169" t="inlineStr">
        <is>
          <t>COMPRA</t>
        </is>
      </c>
      <c r="F401" s="169" t="inlineStr">
        <is>
          <t>Mega Catalina</t>
        </is>
      </c>
      <c r="G401" s="169" t="inlineStr">
        <is>
          <t>NO USAR NARANJAS CAMBRIA (4,2 Hta.)</t>
        </is>
      </c>
      <c r="H401" s="169" t="n"/>
      <c r="I401" s="169" t="n"/>
      <c r="J401" s="169" t="inlineStr">
        <is>
          <t>LABORES OPERACIONALES</t>
        </is>
      </c>
      <c r="K401" s="169" t="inlineStr">
        <is>
          <t>OTROS SERVICIOS</t>
        </is>
      </c>
      <c r="L401" s="169" t="inlineStr">
        <is>
          <t>SERV.CONTRATISTA</t>
        </is>
      </c>
      <c r="M401" s="169" t="n"/>
      <c r="N401" s="169" t="inlineStr">
        <is>
          <t>.   .   -</t>
        </is>
      </c>
      <c r="O401" s="169" t="inlineStr">
        <is>
          <t>MARZO</t>
        </is>
      </c>
      <c r="P401" s="169" t="n">
        <v>9</v>
      </c>
      <c r="Q401" s="171" t="n">
        <v>61320</v>
      </c>
      <c r="R401" s="169" t="n"/>
      <c r="S401" s="171" t="n">
        <v>61320</v>
      </c>
      <c r="T401" s="169" t="inlineStr">
        <is>
          <t>CLP</t>
        </is>
      </c>
      <c r="U401" s="169" t="inlineStr">
        <is>
          <t>Carga LH 18-06-26</t>
        </is>
      </c>
      <c r="V401" s="169" t="inlineStr">
        <is>
          <t>2026-06-18</t>
        </is>
      </c>
    </row>
    <row r="402">
      <c r="A402" s="169" t="inlineStr">
        <is>
          <t>CR-0399</t>
        </is>
      </c>
      <c r="B402" s="169" t="inlineStr">
        <is>
          <t>2026/27</t>
        </is>
      </c>
      <c r="C402" s="231" t="n">
        <v>46085</v>
      </c>
      <c r="D402" s="169" t="inlineStr">
        <is>
          <t>265</t>
        </is>
      </c>
      <c r="E402" s="169" t="inlineStr">
        <is>
          <t>COMPRA</t>
        </is>
      </c>
      <c r="F402" s="169" t="inlineStr">
        <is>
          <t>Mega Catalina</t>
        </is>
      </c>
      <c r="G402" s="169" t="inlineStr">
        <is>
          <t>MURCOTT - 2007 (21 Ha.)</t>
        </is>
      </c>
      <c r="H402" s="169" t="n"/>
      <c r="I402" s="169" t="n"/>
      <c r="J402" s="169" t="inlineStr">
        <is>
          <t>LABORES OPERACIONALES</t>
        </is>
      </c>
      <c r="K402" s="169" t="inlineStr">
        <is>
          <t>OTROS SERVICIOS</t>
        </is>
      </c>
      <c r="L402" s="169" t="inlineStr">
        <is>
          <t>SERV.CONTRATISTA</t>
        </is>
      </c>
      <c r="M402" s="169" t="n"/>
      <c r="N402" s="169" t="inlineStr">
        <is>
          <t>.   .   -</t>
        </is>
      </c>
      <c r="O402" s="169" t="inlineStr">
        <is>
          <t>MARZO</t>
        </is>
      </c>
      <c r="P402" s="169" t="n">
        <v>9</v>
      </c>
      <c r="Q402" s="171" t="n">
        <v>302220</v>
      </c>
      <c r="R402" s="169" t="n"/>
      <c r="S402" s="171" t="n">
        <v>302220</v>
      </c>
      <c r="T402" s="169" t="inlineStr">
        <is>
          <t>CLP</t>
        </is>
      </c>
      <c r="U402" s="169" t="inlineStr">
        <is>
          <t>Carga LH 18-06-26</t>
        </is>
      </c>
      <c r="V402" s="169" t="inlineStr">
        <is>
          <t>2026-06-18</t>
        </is>
      </c>
    </row>
    <row r="403">
      <c r="A403" s="169" t="inlineStr">
        <is>
          <t>CR-0400</t>
        </is>
      </c>
      <c r="B403" s="169" t="inlineStr">
        <is>
          <t>2026/27</t>
        </is>
      </c>
      <c r="C403" s="231" t="n">
        <v>46085</v>
      </c>
      <c r="D403" s="169" t="inlineStr">
        <is>
          <t>31</t>
        </is>
      </c>
      <c r="E403" s="169" t="inlineStr">
        <is>
          <t>COMPRA</t>
        </is>
      </c>
      <c r="F403" s="169" t="inlineStr">
        <is>
          <t>Mega Catalina</t>
        </is>
      </c>
      <c r="G403" s="169" t="inlineStr">
        <is>
          <t>EUREKA - 1999 (22,5 Ha.)</t>
        </is>
      </c>
      <c r="H403" s="169" t="n"/>
      <c r="I403" s="169" t="n"/>
      <c r="J403" s="169" t="inlineStr">
        <is>
          <t>LABORES OPERACIONALES</t>
        </is>
      </c>
      <c r="K403" s="169" t="inlineStr">
        <is>
          <t>OTROS SERVICIOS</t>
        </is>
      </c>
      <c r="L403" s="169" t="inlineStr">
        <is>
          <t>SERV.CONTRATISTA</t>
        </is>
      </c>
      <c r="M403" s="169" t="n"/>
      <c r="N403" s="169" t="inlineStr">
        <is>
          <t>.   .   -</t>
        </is>
      </c>
      <c r="O403" s="169" t="inlineStr">
        <is>
          <t>MARZO</t>
        </is>
      </c>
      <c r="P403" s="169" t="n">
        <v>9</v>
      </c>
      <c r="Q403" s="171" t="n">
        <v>36000</v>
      </c>
      <c r="R403" s="169" t="n"/>
      <c r="S403" s="171" t="n">
        <v>36000</v>
      </c>
      <c r="T403" s="169" t="inlineStr">
        <is>
          <t>CLP</t>
        </is>
      </c>
      <c r="U403" s="169" t="inlineStr">
        <is>
          <t>Carga LH 18-06-26</t>
        </is>
      </c>
      <c r="V403" s="169" t="inlineStr">
        <is>
          <t>2026-06-18</t>
        </is>
      </c>
    </row>
    <row r="404">
      <c r="A404" s="169" t="inlineStr">
        <is>
          <t>CR-0401</t>
        </is>
      </c>
      <c r="B404" s="169" t="inlineStr">
        <is>
          <t>2026/27</t>
        </is>
      </c>
      <c r="C404" s="231" t="n">
        <v>46085</v>
      </c>
      <c r="D404" s="169" t="inlineStr">
        <is>
          <t>31</t>
        </is>
      </c>
      <c r="E404" s="169" t="inlineStr">
        <is>
          <t>COMPRA</t>
        </is>
      </c>
      <c r="F404" s="169" t="inlineStr">
        <is>
          <t>Mega Catalina</t>
        </is>
      </c>
      <c r="G404" s="169" t="inlineStr">
        <is>
          <t>EUREKA - 1999 (10,6 Ha.)</t>
        </is>
      </c>
      <c r="H404" s="169" t="n"/>
      <c r="I404" s="169" t="n"/>
      <c r="J404" s="169" t="inlineStr">
        <is>
          <t>LABORES OPERACIONALES</t>
        </is>
      </c>
      <c r="K404" s="169" t="inlineStr">
        <is>
          <t>OTROS SERVICIOS</t>
        </is>
      </c>
      <c r="L404" s="169" t="inlineStr">
        <is>
          <t>SERV.CONTRATISTA</t>
        </is>
      </c>
      <c r="M404" s="169" t="n"/>
      <c r="N404" s="169" t="inlineStr">
        <is>
          <t>.   .   -</t>
        </is>
      </c>
      <c r="O404" s="169" t="inlineStr">
        <is>
          <t>MARZO</t>
        </is>
      </c>
      <c r="P404" s="169" t="n">
        <v>9</v>
      </c>
      <c r="Q404" s="171" t="n">
        <v>24000</v>
      </c>
      <c r="R404" s="169" t="n"/>
      <c r="S404" s="171" t="n">
        <v>24000</v>
      </c>
      <c r="T404" s="169" t="inlineStr">
        <is>
          <t>CLP</t>
        </is>
      </c>
      <c r="U404" s="169" t="inlineStr">
        <is>
          <t>Carga LH 18-06-26</t>
        </is>
      </c>
      <c r="V404" s="169" t="inlineStr">
        <is>
          <t>2026-06-18</t>
        </is>
      </c>
    </row>
    <row r="405">
      <c r="A405" s="169" t="inlineStr">
        <is>
          <t>CR-0402</t>
        </is>
      </c>
      <c r="B405" s="169" t="inlineStr">
        <is>
          <t>2026/27</t>
        </is>
      </c>
      <c r="C405" s="231" t="n">
        <v>46085</v>
      </c>
      <c r="D405" s="169" t="inlineStr">
        <is>
          <t>31</t>
        </is>
      </c>
      <c r="E405" s="169" t="inlineStr">
        <is>
          <t>COMPRA</t>
        </is>
      </c>
      <c r="F405" s="169" t="inlineStr">
        <is>
          <t>Mega Catalina</t>
        </is>
      </c>
      <c r="G405" s="169" t="inlineStr">
        <is>
          <t>EUREKA - 2016 (14,4 Ha.)</t>
        </is>
      </c>
      <c r="H405" s="169" t="n"/>
      <c r="I405" s="169" t="n"/>
      <c r="J405" s="169" t="inlineStr">
        <is>
          <t>LABORES OPERACIONALES</t>
        </is>
      </c>
      <c r="K405" s="169" t="inlineStr">
        <is>
          <t>OTROS SERVICIOS</t>
        </is>
      </c>
      <c r="L405" s="169" t="inlineStr">
        <is>
          <t>SERV.CONTRATISTA</t>
        </is>
      </c>
      <c r="M405" s="169" t="n"/>
      <c r="N405" s="169" t="inlineStr">
        <is>
          <t>.   .   -</t>
        </is>
      </c>
      <c r="O405" s="169" t="inlineStr">
        <is>
          <t>MARZO</t>
        </is>
      </c>
      <c r="P405" s="169" t="n">
        <v>9</v>
      </c>
      <c r="Q405" s="171" t="n">
        <v>24000</v>
      </c>
      <c r="R405" s="169" t="n"/>
      <c r="S405" s="171" t="n">
        <v>24000</v>
      </c>
      <c r="T405" s="169" t="inlineStr">
        <is>
          <t>CLP</t>
        </is>
      </c>
      <c r="U405" s="169" t="inlineStr">
        <is>
          <t>Carga LH 18-06-26</t>
        </is>
      </c>
      <c r="V405" s="169" t="inlineStr">
        <is>
          <t>2026-06-18</t>
        </is>
      </c>
    </row>
    <row r="406">
      <c r="A406" s="169" t="inlineStr">
        <is>
          <t>CR-0403</t>
        </is>
      </c>
      <c r="B406" s="169" t="inlineStr">
        <is>
          <t>2026/27</t>
        </is>
      </c>
      <c r="C406" s="231" t="n">
        <v>46085</v>
      </c>
      <c r="D406" s="169" t="inlineStr">
        <is>
          <t>31</t>
        </is>
      </c>
      <c r="E406" s="169" t="inlineStr">
        <is>
          <t>COMPRA</t>
        </is>
      </c>
      <c r="F406" s="169" t="inlineStr">
        <is>
          <t>Mega Catalina</t>
        </is>
      </c>
      <c r="G406" s="169" t="inlineStr">
        <is>
          <t>FINO 49 - 1999 (7,7 Ha.)</t>
        </is>
      </c>
      <c r="H406" s="169" t="n"/>
      <c r="I406" s="169" t="n"/>
      <c r="J406" s="169" t="inlineStr">
        <is>
          <t>LABORES OPERACIONALES</t>
        </is>
      </c>
      <c r="K406" s="169" t="inlineStr">
        <is>
          <t>OTROS SERVICIOS</t>
        </is>
      </c>
      <c r="L406" s="169" t="inlineStr">
        <is>
          <t>SERV.CONTRATISTA</t>
        </is>
      </c>
      <c r="M406" s="169" t="n"/>
      <c r="N406" s="169" t="inlineStr">
        <is>
          <t>.   .   -</t>
        </is>
      </c>
      <c r="O406" s="169" t="inlineStr">
        <is>
          <t>MARZO</t>
        </is>
      </c>
      <c r="P406" s="169" t="n">
        <v>9</v>
      </c>
      <c r="Q406" s="171" t="n">
        <v>24000</v>
      </c>
      <c r="R406" s="169" t="n"/>
      <c r="S406" s="171" t="n">
        <v>24000</v>
      </c>
      <c r="T406" s="169" t="inlineStr">
        <is>
          <t>CLP</t>
        </is>
      </c>
      <c r="U406" s="169" t="inlineStr">
        <is>
          <t>Carga LH 18-06-26</t>
        </is>
      </c>
      <c r="V406" s="169" t="inlineStr">
        <is>
          <t>2026-06-18</t>
        </is>
      </c>
    </row>
    <row r="407">
      <c r="A407" s="169" t="inlineStr">
        <is>
          <t>CR-0404</t>
        </is>
      </c>
      <c r="B407" s="169" t="inlineStr">
        <is>
          <t>2026/27</t>
        </is>
      </c>
      <c r="C407" s="231" t="n">
        <v>46085</v>
      </c>
      <c r="D407" s="169" t="inlineStr">
        <is>
          <t>31</t>
        </is>
      </c>
      <c r="E407" s="169" t="inlineStr">
        <is>
          <t>COMPRA</t>
        </is>
      </c>
      <c r="F407" s="169" t="inlineStr">
        <is>
          <t>Mega Catalina</t>
        </is>
      </c>
      <c r="G407" s="169" t="inlineStr">
        <is>
          <t>NO USAR NARANJAS CAMBRIA (4,2 Hta.)</t>
        </is>
      </c>
      <c r="H407" s="169" t="n"/>
      <c r="I407" s="169" t="n"/>
      <c r="J407" s="169" t="inlineStr">
        <is>
          <t>LABORES OPERACIONALES</t>
        </is>
      </c>
      <c r="K407" s="169" t="inlineStr">
        <is>
          <t>OTROS SERVICIOS</t>
        </is>
      </c>
      <c r="L407" s="169" t="inlineStr">
        <is>
          <t>SERV.CONTRATISTA</t>
        </is>
      </c>
      <c r="M407" s="169" t="n"/>
      <c r="N407" s="169" t="inlineStr">
        <is>
          <t>.   .   -</t>
        </is>
      </c>
      <c r="O407" s="169" t="inlineStr">
        <is>
          <t>MARZO</t>
        </is>
      </c>
      <c r="P407" s="169" t="n">
        <v>9</v>
      </c>
      <c r="Q407" s="171" t="n">
        <v>12000</v>
      </c>
      <c r="R407" s="169" t="n"/>
      <c r="S407" s="171" t="n">
        <v>12000</v>
      </c>
      <c r="T407" s="169" t="inlineStr">
        <is>
          <t>CLP</t>
        </is>
      </c>
      <c r="U407" s="169" t="inlineStr">
        <is>
          <t>Carga LH 18-06-26</t>
        </is>
      </c>
      <c r="V407" s="169" t="inlineStr">
        <is>
          <t>2026-06-18</t>
        </is>
      </c>
    </row>
    <row r="408">
      <c r="A408" s="169" t="inlineStr">
        <is>
          <t>CR-0405</t>
        </is>
      </c>
      <c r="B408" s="169" t="inlineStr">
        <is>
          <t>2026/27</t>
        </is>
      </c>
      <c r="C408" s="231" t="n">
        <v>46085</v>
      </c>
      <c r="D408" s="169" t="inlineStr">
        <is>
          <t>31</t>
        </is>
      </c>
      <c r="E408" s="169" t="inlineStr">
        <is>
          <t>COMPRA</t>
        </is>
      </c>
      <c r="F408" s="169" t="inlineStr">
        <is>
          <t>Mega Catalina</t>
        </is>
      </c>
      <c r="G408" s="169" t="inlineStr">
        <is>
          <t>MURCOTT - 2007 (21 Ha.)</t>
        </is>
      </c>
      <c r="H408" s="169" t="n"/>
      <c r="I408" s="169" t="n"/>
      <c r="J408" s="169" t="inlineStr">
        <is>
          <t>LABORES OPERACIONALES</t>
        </is>
      </c>
      <c r="K408" s="169" t="inlineStr">
        <is>
          <t>OTROS SERVICIOS</t>
        </is>
      </c>
      <c r="L408" s="169" t="inlineStr">
        <is>
          <t>SERV.CONTRATISTA</t>
        </is>
      </c>
      <c r="M408" s="169" t="n"/>
      <c r="N408" s="169" t="inlineStr">
        <is>
          <t>.   .   -</t>
        </is>
      </c>
      <c r="O408" s="169" t="inlineStr">
        <is>
          <t>MARZO</t>
        </is>
      </c>
      <c r="P408" s="169" t="n">
        <v>9</v>
      </c>
      <c r="Q408" s="171" t="n">
        <v>36000</v>
      </c>
      <c r="R408" s="169" t="n"/>
      <c r="S408" s="171" t="n">
        <v>36000</v>
      </c>
      <c r="T408" s="169" t="inlineStr">
        <is>
          <t>CLP</t>
        </is>
      </c>
      <c r="U408" s="169" t="inlineStr">
        <is>
          <t>Carga LH 18-06-26</t>
        </is>
      </c>
      <c r="V408" s="169" t="inlineStr">
        <is>
          <t>2026-06-18</t>
        </is>
      </c>
    </row>
    <row r="409">
      <c r="A409" s="169" t="inlineStr">
        <is>
          <t>CR-0406</t>
        </is>
      </c>
      <c r="B409" s="169" t="inlineStr">
        <is>
          <t>2026/27</t>
        </is>
      </c>
      <c r="C409" s="231" t="n">
        <v>46085</v>
      </c>
      <c r="D409" s="169" t="inlineStr"/>
      <c r="E409" s="169" t="inlineStr">
        <is>
          <t>COMPRA</t>
        </is>
      </c>
      <c r="F409" s="169" t="inlineStr">
        <is>
          <t>El Molle</t>
        </is>
      </c>
      <c r="G409" s="169" t="inlineStr">
        <is>
          <t>ARRUFATINA - 2017 (5,74 Ha.)</t>
        </is>
      </c>
      <c r="H409" s="169" t="n"/>
      <c r="I409" s="169" t="n"/>
      <c r="J409" s="169" t="inlineStr">
        <is>
          <t>ENERGIA Y AGUA</t>
        </is>
      </c>
      <c r="K409" s="169" t="inlineStr">
        <is>
          <t>SUMIN. ELECTRICO</t>
        </is>
      </c>
      <c r="L409" s="169" t="inlineStr">
        <is>
          <t>CONSUMO ELECTRICO</t>
        </is>
      </c>
      <c r="M409" s="169" t="n"/>
      <c r="N409" s="169" t="inlineStr">
        <is>
          <t>.   .   -</t>
        </is>
      </c>
      <c r="O409" s="169" t="inlineStr">
        <is>
          <t>MARZO</t>
        </is>
      </c>
      <c r="P409" s="169" t="n">
        <v>9</v>
      </c>
      <c r="Q409" s="171" t="n">
        <v>1293575</v>
      </c>
      <c r="R409" s="169" t="n"/>
      <c r="S409" s="171" t="n">
        <v>1293575</v>
      </c>
      <c r="T409" s="169" t="inlineStr">
        <is>
          <t>CLP</t>
        </is>
      </c>
      <c r="U409" s="169" t="inlineStr">
        <is>
          <t>Carga LH 18-06-26</t>
        </is>
      </c>
      <c r="V409" s="169" t="inlineStr">
        <is>
          <t>2026-06-18</t>
        </is>
      </c>
    </row>
    <row r="410">
      <c r="A410" s="169" t="inlineStr">
        <is>
          <t>CR-0407</t>
        </is>
      </c>
      <c r="B410" s="169" t="inlineStr">
        <is>
          <t>2026/27</t>
        </is>
      </c>
      <c r="C410" s="231" t="n">
        <v>46085</v>
      </c>
      <c r="D410" s="169" t="inlineStr"/>
      <c r="E410" s="169" t="inlineStr">
        <is>
          <t>COMPRA</t>
        </is>
      </c>
      <c r="F410" s="169" t="inlineStr">
        <is>
          <t>El Molle</t>
        </is>
      </c>
      <c r="G410" s="169" t="inlineStr">
        <is>
          <t>ORONULES - 2017 (2,85 Ha.)</t>
        </is>
      </c>
      <c r="H410" s="169" t="n"/>
      <c r="I410" s="169" t="n"/>
      <c r="J410" s="169" t="inlineStr">
        <is>
          <t>ENERGIA Y AGUA</t>
        </is>
      </c>
      <c r="K410" s="169" t="inlineStr">
        <is>
          <t>SUMIN. ELECTRICO</t>
        </is>
      </c>
      <c r="L410" s="169" t="inlineStr">
        <is>
          <t>CONSUMO ELECTRICO</t>
        </is>
      </c>
      <c r="M410" s="169" t="n"/>
      <c r="N410" s="169" t="inlineStr">
        <is>
          <t>.   .   -</t>
        </is>
      </c>
      <c r="O410" s="169" t="inlineStr">
        <is>
          <t>MARZO</t>
        </is>
      </c>
      <c r="P410" s="169" t="n">
        <v>9</v>
      </c>
      <c r="Q410" s="171" t="n">
        <v>642280</v>
      </c>
      <c r="R410" s="169" t="n"/>
      <c r="S410" s="171" t="n">
        <v>642280</v>
      </c>
      <c r="T410" s="169" t="inlineStr">
        <is>
          <t>CLP</t>
        </is>
      </c>
      <c r="U410" s="169" t="inlineStr">
        <is>
          <t>Carga LH 18-06-26</t>
        </is>
      </c>
      <c r="V410" s="169" t="inlineStr">
        <is>
          <t>2026-06-18</t>
        </is>
      </c>
    </row>
    <row r="411">
      <c r="A411" s="169" t="inlineStr">
        <is>
          <t>CR-0408</t>
        </is>
      </c>
      <c r="B411" s="169" t="inlineStr">
        <is>
          <t>2026/27</t>
        </is>
      </c>
      <c r="C411" s="231" t="n">
        <v>46085</v>
      </c>
      <c r="D411" s="169" t="inlineStr"/>
      <c r="E411" s="169" t="inlineStr">
        <is>
          <t>COMPRA</t>
        </is>
      </c>
      <c r="F411" s="169" t="inlineStr">
        <is>
          <t>Mega Catalina</t>
        </is>
      </c>
      <c r="G411" s="169" t="inlineStr">
        <is>
          <t>EUREKA - 2016 (14,4 Ha.)</t>
        </is>
      </c>
      <c r="H411" s="169" t="n"/>
      <c r="I411" s="169" t="n"/>
      <c r="J411" s="169" t="inlineStr">
        <is>
          <t>ENERGIA Y AGUA</t>
        </is>
      </c>
      <c r="K411" s="169" t="inlineStr">
        <is>
          <t>SUMIN. ELECTRICO</t>
        </is>
      </c>
      <c r="L411" s="169" t="inlineStr">
        <is>
          <t>CONSUMO ELECTRICO</t>
        </is>
      </c>
      <c r="M411" s="169" t="n"/>
      <c r="N411" s="169" t="inlineStr">
        <is>
          <t>.   .   -</t>
        </is>
      </c>
      <c r="O411" s="169" t="inlineStr">
        <is>
          <t>MARZO</t>
        </is>
      </c>
      <c r="P411" s="169" t="n">
        <v>9</v>
      </c>
      <c r="Q411" s="171" t="n">
        <v>563404</v>
      </c>
      <c r="R411" s="169" t="n"/>
      <c r="S411" s="171" t="n">
        <v>563404</v>
      </c>
      <c r="T411" s="169" t="inlineStr">
        <is>
          <t>CLP</t>
        </is>
      </c>
      <c r="U411" s="169" t="inlineStr">
        <is>
          <t>Carga LH 18-06-26</t>
        </is>
      </c>
      <c r="V411" s="169" t="inlineStr">
        <is>
          <t>2026-06-18</t>
        </is>
      </c>
    </row>
    <row r="412">
      <c r="A412" s="169" t="inlineStr">
        <is>
          <t>CR-0409</t>
        </is>
      </c>
      <c r="B412" s="169" t="inlineStr">
        <is>
          <t>2026/27</t>
        </is>
      </c>
      <c r="C412" s="231" t="n">
        <v>46085</v>
      </c>
      <c r="D412" s="169" t="inlineStr"/>
      <c r="E412" s="169" t="inlineStr">
        <is>
          <t>COMPRA</t>
        </is>
      </c>
      <c r="F412" s="169" t="inlineStr">
        <is>
          <t>El Molle</t>
        </is>
      </c>
      <c r="G412" s="169" t="inlineStr">
        <is>
          <t>OROGRANDE - 2007 (8,11 Ha.)</t>
        </is>
      </c>
      <c r="H412" s="169" t="n"/>
      <c r="I412" s="169" t="n"/>
      <c r="J412" s="169" t="inlineStr">
        <is>
          <t>ENERGIA Y AGUA</t>
        </is>
      </c>
      <c r="K412" s="169" t="inlineStr">
        <is>
          <t>SUMIN. ELECTRICO</t>
        </is>
      </c>
      <c r="L412" s="169" t="inlineStr">
        <is>
          <t>CONSUMO ELECTRICO</t>
        </is>
      </c>
      <c r="M412" s="169" t="n"/>
      <c r="N412" s="169" t="inlineStr">
        <is>
          <t>.   .   -</t>
        </is>
      </c>
      <c r="O412" s="169" t="inlineStr">
        <is>
          <t>MARZO</t>
        </is>
      </c>
      <c r="P412" s="169" t="n">
        <v>9</v>
      </c>
      <c r="Q412" s="171" t="n">
        <v>1827681</v>
      </c>
      <c r="R412" s="169" t="n"/>
      <c r="S412" s="171" t="n">
        <v>1827681</v>
      </c>
      <c r="T412" s="169" t="inlineStr">
        <is>
          <t>CLP</t>
        </is>
      </c>
      <c r="U412" s="169" t="inlineStr">
        <is>
          <t>Carga LH 18-06-26</t>
        </is>
      </c>
      <c r="V412" s="169" t="inlineStr">
        <is>
          <t>2026-06-18</t>
        </is>
      </c>
    </row>
    <row r="413">
      <c r="A413" s="169" t="inlineStr">
        <is>
          <t>CR-0410</t>
        </is>
      </c>
      <c r="B413" s="169" t="inlineStr">
        <is>
          <t>2026/27</t>
        </is>
      </c>
      <c r="C413" s="231" t="n">
        <v>46085</v>
      </c>
      <c r="D413" s="169" t="inlineStr"/>
      <c r="E413" s="169" t="inlineStr">
        <is>
          <t>COMPRA</t>
        </is>
      </c>
      <c r="F413" s="169" t="inlineStr">
        <is>
          <t>El Molle</t>
        </is>
      </c>
      <c r="G413" s="169" t="inlineStr">
        <is>
          <t>WONDERFUL - 2002 (2,80 Ha.)</t>
        </is>
      </c>
      <c r="H413" s="169" t="n"/>
      <c r="I413" s="169" t="n"/>
      <c r="J413" s="169" t="inlineStr">
        <is>
          <t>ENERGIA Y AGUA</t>
        </is>
      </c>
      <c r="K413" s="169" t="inlineStr">
        <is>
          <t>SUMIN. ELECTRICO</t>
        </is>
      </c>
      <c r="L413" s="169" t="inlineStr">
        <is>
          <t>CONSUMO ELECTRICO</t>
        </is>
      </c>
      <c r="M413" s="169" t="n"/>
      <c r="N413" s="169" t="inlineStr">
        <is>
          <t>.   .   -</t>
        </is>
      </c>
      <c r="O413" s="169" t="inlineStr">
        <is>
          <t>MARZO</t>
        </is>
      </c>
      <c r="P413" s="169" t="n">
        <v>9</v>
      </c>
      <c r="Q413" s="171" t="n">
        <v>631012</v>
      </c>
      <c r="R413" s="169" t="n"/>
      <c r="S413" s="171" t="n">
        <v>631012</v>
      </c>
      <c r="T413" s="169" t="inlineStr">
        <is>
          <t>CLP</t>
        </is>
      </c>
      <c r="U413" s="169" t="inlineStr">
        <is>
          <t>Carga LH 18-06-26</t>
        </is>
      </c>
      <c r="V413" s="169" t="inlineStr">
        <is>
          <t>2026-06-18</t>
        </is>
      </c>
    </row>
    <row r="414">
      <c r="A414" s="169" t="inlineStr">
        <is>
          <t>CR-0411</t>
        </is>
      </c>
      <c r="B414" s="169" t="inlineStr">
        <is>
          <t>2026/27</t>
        </is>
      </c>
      <c r="C414" s="231" t="n">
        <v>46085</v>
      </c>
      <c r="D414" s="169" t="inlineStr"/>
      <c r="E414" s="169" t="inlineStr">
        <is>
          <t>COMPRA</t>
        </is>
      </c>
      <c r="F414" s="169" t="inlineStr">
        <is>
          <t>El Molle</t>
        </is>
      </c>
      <c r="G414" s="169" t="inlineStr">
        <is>
          <t>WONDERFUL - 2007 (2,44 Ha.)</t>
        </is>
      </c>
      <c r="H414" s="169" t="n"/>
      <c r="I414" s="169" t="n"/>
      <c r="J414" s="169" t="inlineStr">
        <is>
          <t>ENERGIA Y AGUA</t>
        </is>
      </c>
      <c r="K414" s="169" t="inlineStr">
        <is>
          <t>SUMIN. ELECTRICO</t>
        </is>
      </c>
      <c r="L414" s="169" t="inlineStr">
        <is>
          <t>CONSUMO ELECTRICO</t>
        </is>
      </c>
      <c r="M414" s="169" t="n"/>
      <c r="N414" s="169" t="inlineStr">
        <is>
          <t>.   .   -</t>
        </is>
      </c>
      <c r="O414" s="169" t="inlineStr">
        <is>
          <t>MARZO</t>
        </is>
      </c>
      <c r="P414" s="169" t="n">
        <v>9</v>
      </c>
      <c r="Q414" s="171" t="n">
        <v>549882</v>
      </c>
      <c r="R414" s="169" t="n"/>
      <c r="S414" s="171" t="n">
        <v>549882</v>
      </c>
      <c r="T414" s="169" t="inlineStr">
        <is>
          <t>CLP</t>
        </is>
      </c>
      <c r="U414" s="169" t="inlineStr">
        <is>
          <t>Carga LH 18-06-26</t>
        </is>
      </c>
      <c r="V414" s="169" t="inlineStr">
        <is>
          <t>2026-06-18</t>
        </is>
      </c>
    </row>
    <row r="415">
      <c r="A415" s="169" t="inlineStr">
        <is>
          <t>CR-0412</t>
        </is>
      </c>
      <c r="B415" s="169" t="inlineStr">
        <is>
          <t>2026/27</t>
        </is>
      </c>
      <c r="C415" s="231" t="n">
        <v>46086</v>
      </c>
      <c r="D415" s="169" t="inlineStr">
        <is>
          <t>20478</t>
        </is>
      </c>
      <c r="E415" s="169" t="inlineStr">
        <is>
          <t>COMPRA</t>
        </is>
      </c>
      <c r="F415" s="169" t="inlineStr">
        <is>
          <t>Sin asignar</t>
        </is>
      </c>
      <c r="G415" s="169" t="inlineStr">
        <is>
          <t>PACKING</t>
        </is>
      </c>
      <c r="H415" s="169" t="n"/>
      <c r="I415" s="169" t="n"/>
      <c r="J415" s="169" t="inlineStr">
        <is>
          <t>MATERIALES COSECHA</t>
        </is>
      </c>
      <c r="K415" s="169" t="inlineStr">
        <is>
          <t>INSUMOS PACKING</t>
        </is>
      </c>
      <c r="L415" s="169" t="inlineStr">
        <is>
          <t>O/001440 TACOS</t>
        </is>
      </c>
      <c r="M415" s="169" t="n"/>
      <c r="N415" s="169" t="inlineStr">
        <is>
          <t>.   .   -</t>
        </is>
      </c>
      <c r="O415" s="169" t="inlineStr">
        <is>
          <t>MARZO</t>
        </is>
      </c>
      <c r="P415" s="169" t="n">
        <v>9</v>
      </c>
      <c r="Q415" s="171" t="n">
        <v>29412</v>
      </c>
      <c r="R415" s="169" t="n"/>
      <c r="S415" s="171" t="n">
        <v>29412</v>
      </c>
      <c r="T415" s="169" t="inlineStr">
        <is>
          <t>CLP</t>
        </is>
      </c>
      <c r="U415" s="169" t="inlineStr">
        <is>
          <t>Carga LH 18-06-26</t>
        </is>
      </c>
      <c r="V415" s="169" t="inlineStr">
        <is>
          <t>2026-06-18</t>
        </is>
      </c>
    </row>
    <row r="416">
      <c r="A416" s="169" t="inlineStr">
        <is>
          <t>CR-0413</t>
        </is>
      </c>
      <c r="B416" s="169" t="inlineStr">
        <is>
          <t>2026/27</t>
        </is>
      </c>
      <c r="C416" s="231" t="n">
        <v>46086</v>
      </c>
      <c r="D416" s="169" t="inlineStr">
        <is>
          <t>677181</t>
        </is>
      </c>
      <c r="E416" s="169" t="inlineStr">
        <is>
          <t>COMPRA</t>
        </is>
      </c>
      <c r="F416" s="169" t="inlineStr">
        <is>
          <t>Sin asignar</t>
        </is>
      </c>
      <c r="G416" s="169" t="inlineStr">
        <is>
          <t>PACKING</t>
        </is>
      </c>
      <c r="H416" s="169" t="n"/>
      <c r="I416" s="169" t="n"/>
      <c r="J416" s="169" t="inlineStr">
        <is>
          <t>MANT. Y REP. PLANTACIONES</t>
        </is>
      </c>
      <c r="K416" s="169" t="inlineStr">
        <is>
          <t>MANTENCION HUERTO</t>
        </is>
      </c>
      <c r="L416" s="169" t="inlineStr">
        <is>
          <t>O/001436 TOALLA OVE</t>
        </is>
      </c>
      <c r="M416" s="169" t="n"/>
      <c r="N416" s="169" t="inlineStr">
        <is>
          <t>.   .   -</t>
        </is>
      </c>
      <c r="O416" s="169" t="inlineStr">
        <is>
          <t>MARZO</t>
        </is>
      </c>
      <c r="P416" s="169" t="n">
        <v>9</v>
      </c>
      <c r="Q416" s="171" t="n">
        <v>151100</v>
      </c>
      <c r="R416" s="169" t="n"/>
      <c r="S416" s="171" t="n">
        <v>151100</v>
      </c>
      <c r="T416" s="169" t="inlineStr">
        <is>
          <t>CLP</t>
        </is>
      </c>
      <c r="U416" s="169" t="inlineStr">
        <is>
          <t>Carga LH 18-06-26</t>
        </is>
      </c>
      <c r="V416" s="169" t="inlineStr">
        <is>
          <t>2026-06-18</t>
        </is>
      </c>
    </row>
    <row r="417">
      <c r="A417" s="169" t="inlineStr">
        <is>
          <t>CR-0414</t>
        </is>
      </c>
      <c r="B417" s="169" t="inlineStr">
        <is>
          <t>2026/27</t>
        </is>
      </c>
      <c r="C417" s="231" t="n">
        <v>46091</v>
      </c>
      <c r="D417" s="169" t="inlineStr">
        <is>
          <t>291926</t>
        </is>
      </c>
      <c r="E417" s="169" t="inlineStr">
        <is>
          <t>COMPRA</t>
        </is>
      </c>
      <c r="F417" s="169" t="inlineStr">
        <is>
          <t>Sin asignar</t>
        </is>
      </c>
      <c r="G417" s="169" t="inlineStr">
        <is>
          <t>PACKING</t>
        </is>
      </c>
      <c r="H417" s="169" t="n"/>
      <c r="I417" s="169" t="n"/>
      <c r="J417" s="169" t="inlineStr">
        <is>
          <t>GASTOS GENERALES</t>
        </is>
      </c>
      <c r="K417" s="169" t="inlineStr">
        <is>
          <t>INSUMOS DE ASEO</t>
        </is>
      </c>
      <c r="L417" s="169" t="inlineStr">
        <is>
          <t>O/001450 CLORO GEL</t>
        </is>
      </c>
      <c r="M417" s="169" t="n"/>
      <c r="N417" s="169" t="inlineStr">
        <is>
          <t>.   .   -</t>
        </is>
      </c>
      <c r="O417" s="169" t="inlineStr">
        <is>
          <t>MARZO</t>
        </is>
      </c>
      <c r="P417" s="169" t="n">
        <v>10</v>
      </c>
      <c r="Q417" s="171" t="n">
        <v>9240</v>
      </c>
      <c r="R417" s="169" t="n"/>
      <c r="S417" s="171" t="n">
        <v>9240</v>
      </c>
      <c r="T417" s="169" t="inlineStr">
        <is>
          <t>CLP</t>
        </is>
      </c>
      <c r="U417" s="169" t="inlineStr">
        <is>
          <t>Carga LH 18-06-26</t>
        </is>
      </c>
      <c r="V417" s="169" t="inlineStr">
        <is>
          <t>2026-06-18</t>
        </is>
      </c>
    </row>
    <row r="418">
      <c r="A418" s="169" t="inlineStr">
        <is>
          <t>CR-0415</t>
        </is>
      </c>
      <c r="B418" s="169" t="inlineStr">
        <is>
          <t>2026/27</t>
        </is>
      </c>
      <c r="C418" s="231" t="n">
        <v>46091</v>
      </c>
      <c r="D418" s="169" t="inlineStr">
        <is>
          <t>291926</t>
        </is>
      </c>
      <c r="E418" s="169" t="inlineStr">
        <is>
          <t>COMPRA</t>
        </is>
      </c>
      <c r="F418" s="169" t="inlineStr">
        <is>
          <t>Sin asignar</t>
        </is>
      </c>
      <c r="G418" s="169" t="inlineStr">
        <is>
          <t>PACKING</t>
        </is>
      </c>
      <c r="H418" s="169" t="n"/>
      <c r="I418" s="169" t="n"/>
      <c r="J418" s="169" t="inlineStr">
        <is>
          <t>GASTOS GENERALES</t>
        </is>
      </c>
      <c r="K418" s="169" t="inlineStr">
        <is>
          <t>ARTICULOS DE OFICINA</t>
        </is>
      </c>
      <c r="L418" s="169" t="inlineStr">
        <is>
          <t>O/001450 CUADERNO U</t>
        </is>
      </c>
      <c r="M418" s="169" t="n"/>
      <c r="N418" s="169" t="inlineStr">
        <is>
          <t>.   .   -</t>
        </is>
      </c>
      <c r="O418" s="169" t="inlineStr">
        <is>
          <t>MARZO</t>
        </is>
      </c>
      <c r="P418" s="169" t="n">
        <v>10</v>
      </c>
      <c r="Q418" s="171" t="n">
        <v>6522</v>
      </c>
      <c r="R418" s="169" t="n"/>
      <c r="S418" s="171" t="n">
        <v>6522</v>
      </c>
      <c r="T418" s="169" t="inlineStr">
        <is>
          <t>CLP</t>
        </is>
      </c>
      <c r="U418" s="169" t="inlineStr">
        <is>
          <t>Carga LH 18-06-26</t>
        </is>
      </c>
      <c r="V418" s="169" t="inlineStr">
        <is>
          <t>2026-06-18</t>
        </is>
      </c>
    </row>
    <row r="419">
      <c r="A419" s="169" t="inlineStr">
        <is>
          <t>CR-0416</t>
        </is>
      </c>
      <c r="B419" s="169" t="inlineStr">
        <is>
          <t>2026/27</t>
        </is>
      </c>
      <c r="C419" s="231" t="n">
        <v>46091</v>
      </c>
      <c r="D419" s="169" t="inlineStr">
        <is>
          <t>291926</t>
        </is>
      </c>
      <c r="E419" s="169" t="inlineStr">
        <is>
          <t>COMPRA</t>
        </is>
      </c>
      <c r="F419" s="169" t="inlineStr">
        <is>
          <t>Sin asignar</t>
        </is>
      </c>
      <c r="G419" s="169" t="inlineStr">
        <is>
          <t>PACKING</t>
        </is>
      </c>
      <c r="H419" s="169" t="n"/>
      <c r="I419" s="169" t="n"/>
      <c r="J419" s="169" t="inlineStr">
        <is>
          <t>GASTOS GENERALES</t>
        </is>
      </c>
      <c r="K419" s="169" t="inlineStr">
        <is>
          <t>INSUMOS DE ASEO</t>
        </is>
      </c>
      <c r="L419" s="169" t="inlineStr">
        <is>
          <t>O/001450 LAVALOZA L</t>
        </is>
      </c>
      <c r="M419" s="169" t="n"/>
      <c r="N419" s="169" t="inlineStr">
        <is>
          <t>.   .   -</t>
        </is>
      </c>
      <c r="O419" s="169" t="inlineStr">
        <is>
          <t>MARZO</t>
        </is>
      </c>
      <c r="P419" s="169" t="n">
        <v>10</v>
      </c>
      <c r="Q419" s="171" t="n">
        <v>6852</v>
      </c>
      <c r="R419" s="169" t="n"/>
      <c r="S419" s="171" t="n">
        <v>6852</v>
      </c>
      <c r="T419" s="169" t="inlineStr">
        <is>
          <t>CLP</t>
        </is>
      </c>
      <c r="U419" s="169" t="inlineStr">
        <is>
          <t>Carga LH 18-06-26</t>
        </is>
      </c>
      <c r="V419" s="169" t="inlineStr">
        <is>
          <t>2026-06-18</t>
        </is>
      </c>
    </row>
    <row r="420">
      <c r="A420" s="169" t="inlineStr">
        <is>
          <t>CR-0417</t>
        </is>
      </c>
      <c r="B420" s="169" t="inlineStr">
        <is>
          <t>2026/27</t>
        </is>
      </c>
      <c r="C420" s="231" t="n">
        <v>46091</v>
      </c>
      <c r="D420" s="169" t="inlineStr">
        <is>
          <t>291926</t>
        </is>
      </c>
      <c r="E420" s="169" t="inlineStr">
        <is>
          <t>COMPRA</t>
        </is>
      </c>
      <c r="F420" s="169" t="inlineStr">
        <is>
          <t>Sin asignar</t>
        </is>
      </c>
      <c r="G420" s="169" t="inlineStr">
        <is>
          <t>PACKING</t>
        </is>
      </c>
      <c r="H420" s="169" t="n"/>
      <c r="I420" s="169" t="n"/>
      <c r="J420" s="169" t="inlineStr">
        <is>
          <t>GASTOS GENERALES</t>
        </is>
      </c>
      <c r="K420" s="169" t="inlineStr">
        <is>
          <t>ARTICULOS DE OFICINA</t>
        </is>
      </c>
      <c r="L420" s="169" t="inlineStr">
        <is>
          <t>O/001450 LIBRO ASIS</t>
        </is>
      </c>
      <c r="M420" s="169" t="n"/>
      <c r="N420" s="169" t="inlineStr">
        <is>
          <t>.   .   -</t>
        </is>
      </c>
      <c r="O420" s="169" t="inlineStr">
        <is>
          <t>MARZO</t>
        </is>
      </c>
      <c r="P420" s="169" t="n">
        <v>10</v>
      </c>
      <c r="Q420" s="171" t="n">
        <v>10028</v>
      </c>
      <c r="R420" s="169" t="n"/>
      <c r="S420" s="171" t="n">
        <v>10028</v>
      </c>
      <c r="T420" s="169" t="inlineStr">
        <is>
          <t>CLP</t>
        </is>
      </c>
      <c r="U420" s="169" t="inlineStr">
        <is>
          <t>Carga LH 18-06-26</t>
        </is>
      </c>
      <c r="V420" s="169" t="inlineStr">
        <is>
          <t>2026-06-18</t>
        </is>
      </c>
    </row>
    <row r="421">
      <c r="A421" s="169" t="inlineStr">
        <is>
          <t>CR-0418</t>
        </is>
      </c>
      <c r="B421" s="169" t="inlineStr">
        <is>
          <t>2026/27</t>
        </is>
      </c>
      <c r="C421" s="231" t="n">
        <v>46091</v>
      </c>
      <c r="D421" s="169" t="inlineStr">
        <is>
          <t>291926</t>
        </is>
      </c>
      <c r="E421" s="169" t="inlineStr">
        <is>
          <t>COMPRA</t>
        </is>
      </c>
      <c r="F421" s="169" t="inlineStr">
        <is>
          <t>Sin asignar</t>
        </is>
      </c>
      <c r="G421" s="169" t="inlineStr">
        <is>
          <t>PACKING</t>
        </is>
      </c>
      <c r="H421" s="169" t="n"/>
      <c r="I421" s="169" t="n"/>
      <c r="J421" s="169" t="inlineStr">
        <is>
          <t>GASTOS GENERALES</t>
        </is>
      </c>
      <c r="K421" s="169" t="inlineStr">
        <is>
          <t>ARTICULOS DE OFICINA</t>
        </is>
      </c>
      <c r="L421" s="169" t="inlineStr">
        <is>
          <t>O/001450 LIBRO ASIS</t>
        </is>
      </c>
      <c r="M421" s="169" t="n"/>
      <c r="N421" s="169" t="inlineStr">
        <is>
          <t>.   .   -</t>
        </is>
      </c>
      <c r="O421" s="169" t="inlineStr">
        <is>
          <t>MARZO</t>
        </is>
      </c>
      <c r="P421" s="169" t="n">
        <v>10</v>
      </c>
      <c r="Q421" s="171" t="n">
        <v>12936</v>
      </c>
      <c r="R421" s="169" t="n"/>
      <c r="S421" s="171" t="n">
        <v>12936</v>
      </c>
      <c r="T421" s="169" t="inlineStr">
        <is>
          <t>CLP</t>
        </is>
      </c>
      <c r="U421" s="169" t="inlineStr">
        <is>
          <t>Carga LH 18-06-26</t>
        </is>
      </c>
      <c r="V421" s="169" t="inlineStr">
        <is>
          <t>2026-06-18</t>
        </is>
      </c>
    </row>
    <row r="422">
      <c r="A422" s="169" t="inlineStr">
        <is>
          <t>CR-0419</t>
        </is>
      </c>
      <c r="B422" s="169" t="inlineStr">
        <is>
          <t>2026/27</t>
        </is>
      </c>
      <c r="C422" s="231" t="n">
        <v>46091</v>
      </c>
      <c r="D422" s="169" t="inlineStr">
        <is>
          <t>291926</t>
        </is>
      </c>
      <c r="E422" s="169" t="inlineStr">
        <is>
          <t>COMPRA</t>
        </is>
      </c>
      <c r="F422" s="169" t="inlineStr">
        <is>
          <t>Sin asignar</t>
        </is>
      </c>
      <c r="G422" s="169" t="inlineStr">
        <is>
          <t>PACKING</t>
        </is>
      </c>
      <c r="H422" s="169" t="n"/>
      <c r="I422" s="169" t="n"/>
      <c r="J422" s="169" t="inlineStr">
        <is>
          <t>GASTOS GENERALES</t>
        </is>
      </c>
      <c r="K422" s="169" t="inlineStr">
        <is>
          <t>INSUMOS DE ASEO</t>
        </is>
      </c>
      <c r="L422" s="169" t="inlineStr">
        <is>
          <t>O/001450 LIMPIADOR</t>
        </is>
      </c>
      <c r="M422" s="169" t="n"/>
      <c r="N422" s="169" t="inlineStr">
        <is>
          <t>.   .   -</t>
        </is>
      </c>
      <c r="O422" s="169" t="inlineStr">
        <is>
          <t>MARZO</t>
        </is>
      </c>
      <c r="P422" s="169" t="n">
        <v>10</v>
      </c>
      <c r="Q422" s="171" t="n">
        <v>45693</v>
      </c>
      <c r="R422" s="169" t="n"/>
      <c r="S422" s="171" t="n">
        <v>45693</v>
      </c>
      <c r="T422" s="169" t="inlineStr">
        <is>
          <t>CLP</t>
        </is>
      </c>
      <c r="U422" s="169" t="inlineStr">
        <is>
          <t>Carga LH 18-06-26</t>
        </is>
      </c>
      <c r="V422" s="169" t="inlineStr">
        <is>
          <t>2026-06-18</t>
        </is>
      </c>
    </row>
    <row r="423">
      <c r="A423" s="169" t="inlineStr">
        <is>
          <t>CR-0420</t>
        </is>
      </c>
      <c r="B423" s="169" t="inlineStr">
        <is>
          <t>2026/27</t>
        </is>
      </c>
      <c r="C423" s="231" t="n">
        <v>46091</v>
      </c>
      <c r="D423" s="169" t="inlineStr">
        <is>
          <t>291926</t>
        </is>
      </c>
      <c r="E423" s="169" t="inlineStr">
        <is>
          <t>COMPRA</t>
        </is>
      </c>
      <c r="F423" s="169" t="inlineStr">
        <is>
          <t>Sin asignar</t>
        </is>
      </c>
      <c r="G423" s="169" t="inlineStr">
        <is>
          <t>PACKING</t>
        </is>
      </c>
      <c r="H423" s="169" t="n"/>
      <c r="I423" s="169" t="n"/>
      <c r="J423" s="169" t="inlineStr">
        <is>
          <t>GASTOS GENERALES</t>
        </is>
      </c>
      <c r="K423" s="169" t="inlineStr">
        <is>
          <t>ARTICULOS DE OFICINA</t>
        </is>
      </c>
      <c r="L423" s="169" t="inlineStr">
        <is>
          <t>O/001450 PAPEL FOTO</t>
        </is>
      </c>
      <c r="M423" s="169" t="n"/>
      <c r="N423" s="169" t="inlineStr">
        <is>
          <t>.   .   -</t>
        </is>
      </c>
      <c r="O423" s="169" t="inlineStr">
        <is>
          <t>MARZO</t>
        </is>
      </c>
      <c r="P423" s="169" t="n">
        <v>10</v>
      </c>
      <c r="Q423" s="171" t="n">
        <v>56840</v>
      </c>
      <c r="R423" s="169" t="n"/>
      <c r="S423" s="171" t="n">
        <v>56840</v>
      </c>
      <c r="T423" s="169" t="inlineStr">
        <is>
          <t>CLP</t>
        </is>
      </c>
      <c r="U423" s="169" t="inlineStr">
        <is>
          <t>Carga LH 18-06-26</t>
        </is>
      </c>
      <c r="V423" s="169" t="inlineStr">
        <is>
          <t>2026-06-18</t>
        </is>
      </c>
    </row>
    <row r="424">
      <c r="A424" s="169" t="inlineStr">
        <is>
          <t>CR-0421</t>
        </is>
      </c>
      <c r="B424" s="169" t="inlineStr">
        <is>
          <t>2026/27</t>
        </is>
      </c>
      <c r="C424" s="231" t="n">
        <v>46091</v>
      </c>
      <c r="D424" s="169" t="inlineStr">
        <is>
          <t>291926</t>
        </is>
      </c>
      <c r="E424" s="169" t="inlineStr">
        <is>
          <t>COMPRA</t>
        </is>
      </c>
      <c r="F424" s="169" t="inlineStr">
        <is>
          <t>Sin asignar</t>
        </is>
      </c>
      <c r="G424" s="169" t="inlineStr">
        <is>
          <t>PACKING</t>
        </is>
      </c>
      <c r="H424" s="169" t="n"/>
      <c r="I424" s="169" t="n"/>
      <c r="J424" s="169" t="inlineStr">
        <is>
          <t>GASTOS GENERALES</t>
        </is>
      </c>
      <c r="K424" s="169" t="inlineStr">
        <is>
          <t>ARTICULOS DE OFICINA</t>
        </is>
      </c>
      <c r="L424" s="169" t="inlineStr">
        <is>
          <t>O/001450 PAPEL FOTO</t>
        </is>
      </c>
      <c r="M424" s="169" t="n"/>
      <c r="N424" s="169" t="inlineStr">
        <is>
          <t>.   .   -</t>
        </is>
      </c>
      <c r="O424" s="169" t="inlineStr">
        <is>
          <t>MARZO</t>
        </is>
      </c>
      <c r="P424" s="169" t="n">
        <v>10</v>
      </c>
      <c r="Q424" s="171" t="n">
        <v>3934</v>
      </c>
      <c r="R424" s="169" t="n"/>
      <c r="S424" s="171" t="n">
        <v>3934</v>
      </c>
      <c r="T424" s="169" t="inlineStr">
        <is>
          <t>CLP</t>
        </is>
      </c>
      <c r="U424" s="169" t="inlineStr">
        <is>
          <t>Carga LH 18-06-26</t>
        </is>
      </c>
      <c r="V424" s="169" t="inlineStr">
        <is>
          <t>2026-06-18</t>
        </is>
      </c>
    </row>
    <row r="425">
      <c r="A425" s="169" t="inlineStr">
        <is>
          <t>CR-0422</t>
        </is>
      </c>
      <c r="B425" s="169" t="inlineStr">
        <is>
          <t>2026/27</t>
        </is>
      </c>
      <c r="C425" s="231" t="n">
        <v>46091</v>
      </c>
      <c r="D425" s="169" t="inlineStr">
        <is>
          <t>291926</t>
        </is>
      </c>
      <c r="E425" s="169" t="inlineStr">
        <is>
          <t>COMPRA</t>
        </is>
      </c>
      <c r="F425" s="169" t="inlineStr">
        <is>
          <t>Sin asignar</t>
        </is>
      </c>
      <c r="G425" s="169" t="inlineStr">
        <is>
          <t>PACKING</t>
        </is>
      </c>
      <c r="H425" s="169" t="n"/>
      <c r="I425" s="169" t="n"/>
      <c r="J425" s="169" t="inlineStr">
        <is>
          <t>GASTOS GENERALES</t>
        </is>
      </c>
      <c r="K425" s="169" t="inlineStr">
        <is>
          <t>INSUMOS DE ASEO</t>
        </is>
      </c>
      <c r="L425" s="169" t="inlineStr">
        <is>
          <t>O/001450 PAÃ‘O MICR</t>
        </is>
      </c>
      <c r="M425" s="169" t="n"/>
      <c r="N425" s="169" t="inlineStr">
        <is>
          <t>.   .   -</t>
        </is>
      </c>
      <c r="O425" s="169" t="inlineStr">
        <is>
          <t>MARZO</t>
        </is>
      </c>
      <c r="P425" s="169" t="n">
        <v>10</v>
      </c>
      <c r="Q425" s="171" t="n">
        <v>4810</v>
      </c>
      <c r="R425" s="169" t="n"/>
      <c r="S425" s="171" t="n">
        <v>4810</v>
      </c>
      <c r="T425" s="169" t="inlineStr">
        <is>
          <t>CLP</t>
        </is>
      </c>
      <c r="U425" s="169" t="inlineStr">
        <is>
          <t>Carga LH 18-06-26</t>
        </is>
      </c>
      <c r="V425" s="169" t="inlineStr">
        <is>
          <t>2026-06-18</t>
        </is>
      </c>
    </row>
    <row r="426">
      <c r="A426" s="169" t="inlineStr">
        <is>
          <t>CR-0423</t>
        </is>
      </c>
      <c r="B426" s="169" t="inlineStr">
        <is>
          <t>2026/27</t>
        </is>
      </c>
      <c r="C426" s="231" t="n">
        <v>46091</v>
      </c>
      <c r="D426" s="169" t="inlineStr">
        <is>
          <t>291926</t>
        </is>
      </c>
      <c r="E426" s="169" t="inlineStr">
        <is>
          <t>COMPRA</t>
        </is>
      </c>
      <c r="F426" s="169" t="inlineStr">
        <is>
          <t>Sin asignar</t>
        </is>
      </c>
      <c r="G426" s="169" t="inlineStr">
        <is>
          <t>PACKING</t>
        </is>
      </c>
      <c r="H426" s="169" t="n"/>
      <c r="I426" s="169" t="n"/>
      <c r="J426" s="169" t="inlineStr">
        <is>
          <t>GASTOS GENERALES</t>
        </is>
      </c>
      <c r="K426" s="169" t="inlineStr">
        <is>
          <t>ARTICULOS DE OFICINA</t>
        </is>
      </c>
      <c r="L426" s="169" t="inlineStr">
        <is>
          <t>O/001450 PILA ALCAL</t>
        </is>
      </c>
      <c r="M426" s="169" t="n"/>
      <c r="N426" s="169" t="inlineStr">
        <is>
          <t>.   .   -</t>
        </is>
      </c>
      <c r="O426" s="169" t="inlineStr">
        <is>
          <t>MARZO</t>
        </is>
      </c>
      <c r="P426" s="169" t="n">
        <v>10</v>
      </c>
      <c r="Q426" s="171" t="n">
        <v>6676</v>
      </c>
      <c r="R426" s="169" t="n"/>
      <c r="S426" s="171" t="n">
        <v>6676</v>
      </c>
      <c r="T426" s="169" t="inlineStr">
        <is>
          <t>CLP</t>
        </is>
      </c>
      <c r="U426" s="169" t="inlineStr">
        <is>
          <t>Carga LH 18-06-26</t>
        </is>
      </c>
      <c r="V426" s="169" t="inlineStr">
        <is>
          <t>2026-06-18</t>
        </is>
      </c>
    </row>
    <row r="427">
      <c r="A427" s="169" t="inlineStr">
        <is>
          <t>CR-0424</t>
        </is>
      </c>
      <c r="B427" s="169" t="inlineStr">
        <is>
          <t>2026/27</t>
        </is>
      </c>
      <c r="C427" s="231" t="n">
        <v>46091</v>
      </c>
      <c r="D427" s="169" t="inlineStr">
        <is>
          <t>291926</t>
        </is>
      </c>
      <c r="E427" s="169" t="inlineStr">
        <is>
          <t>COMPRA</t>
        </is>
      </c>
      <c r="F427" s="169" t="inlineStr">
        <is>
          <t>Sin asignar</t>
        </is>
      </c>
      <c r="G427" s="169" t="inlineStr">
        <is>
          <t>PACKING</t>
        </is>
      </c>
      <c r="H427" s="169" t="n"/>
      <c r="I427" s="169" t="n"/>
      <c r="J427" s="169" t="inlineStr">
        <is>
          <t>GASTOS GENERALES</t>
        </is>
      </c>
      <c r="K427" s="169" t="inlineStr">
        <is>
          <t>ARTICULOS DE OFICINA</t>
        </is>
      </c>
      <c r="L427" s="169" t="inlineStr">
        <is>
          <t>O/001450 PILA ALCAL</t>
        </is>
      </c>
      <c r="M427" s="169" t="n"/>
      <c r="N427" s="169" t="inlineStr">
        <is>
          <t>.   .   -</t>
        </is>
      </c>
      <c r="O427" s="169" t="inlineStr">
        <is>
          <t>MARZO</t>
        </is>
      </c>
      <c r="P427" s="169" t="n">
        <v>10</v>
      </c>
      <c r="Q427" s="171" t="n">
        <v>8024</v>
      </c>
      <c r="R427" s="169" t="n"/>
      <c r="S427" s="171" t="n">
        <v>8024</v>
      </c>
      <c r="T427" s="169" t="inlineStr">
        <is>
          <t>CLP</t>
        </is>
      </c>
      <c r="U427" s="169" t="inlineStr">
        <is>
          <t>Carga LH 18-06-26</t>
        </is>
      </c>
      <c r="V427" s="169" t="inlineStr">
        <is>
          <t>2026-06-18</t>
        </is>
      </c>
    </row>
    <row r="428">
      <c r="A428" s="169" t="inlineStr">
        <is>
          <t>CR-0425</t>
        </is>
      </c>
      <c r="B428" s="169" t="inlineStr">
        <is>
          <t>2026/27</t>
        </is>
      </c>
      <c r="C428" s="231" t="n">
        <v>46091</v>
      </c>
      <c r="D428" s="169" t="inlineStr">
        <is>
          <t>291926</t>
        </is>
      </c>
      <c r="E428" s="169" t="inlineStr">
        <is>
          <t>COMPRA</t>
        </is>
      </c>
      <c r="F428" s="169" t="inlineStr">
        <is>
          <t>Sin asignar</t>
        </is>
      </c>
      <c r="G428" s="169" t="inlineStr">
        <is>
          <t>PACKING</t>
        </is>
      </c>
      <c r="H428" s="169" t="n"/>
      <c r="I428" s="169" t="n"/>
      <c r="J428" s="169" t="inlineStr">
        <is>
          <t>GASTOS GENERALES</t>
        </is>
      </c>
      <c r="K428" s="169" t="inlineStr">
        <is>
          <t>ARTICULOS DE OFICINA</t>
        </is>
      </c>
      <c r="L428" s="169" t="inlineStr">
        <is>
          <t>O/001450 TECLADO+MO</t>
        </is>
      </c>
      <c r="M428" s="169" t="n"/>
      <c r="N428" s="169" t="inlineStr">
        <is>
          <t>.   .   -</t>
        </is>
      </c>
      <c r="O428" s="169" t="inlineStr">
        <is>
          <t>MARZO</t>
        </is>
      </c>
      <c r="P428" s="169" t="n">
        <v>10</v>
      </c>
      <c r="Q428" s="171" t="n">
        <v>23877</v>
      </c>
      <c r="R428" s="169" t="n"/>
      <c r="S428" s="171" t="n">
        <v>23877</v>
      </c>
      <c r="T428" s="169" t="inlineStr">
        <is>
          <t>CLP</t>
        </is>
      </c>
      <c r="U428" s="169" t="inlineStr">
        <is>
          <t>Carga LH 18-06-26</t>
        </is>
      </c>
      <c r="V428" s="169" t="inlineStr">
        <is>
          <t>2026-06-18</t>
        </is>
      </c>
    </row>
    <row r="429">
      <c r="A429" s="169" t="inlineStr">
        <is>
          <t>CR-0426</t>
        </is>
      </c>
      <c r="B429" s="169" t="inlineStr">
        <is>
          <t>2026/27</t>
        </is>
      </c>
      <c r="C429" s="231" t="n">
        <v>46091</v>
      </c>
      <c r="D429" s="169" t="inlineStr">
        <is>
          <t>291926</t>
        </is>
      </c>
      <c r="E429" s="169" t="inlineStr">
        <is>
          <t>COMPRA</t>
        </is>
      </c>
      <c r="F429" s="169" t="inlineStr">
        <is>
          <t>Sin asignar</t>
        </is>
      </c>
      <c r="G429" s="169" t="inlineStr">
        <is>
          <t>PACKING</t>
        </is>
      </c>
      <c r="H429" s="169" t="n"/>
      <c r="I429" s="169" t="n"/>
      <c r="J429" s="169" t="inlineStr">
        <is>
          <t>GASTOS GENERALES</t>
        </is>
      </c>
      <c r="K429" s="169" t="inlineStr">
        <is>
          <t>INSUMOS DE ASEO</t>
        </is>
      </c>
      <c r="L429" s="169" t="inlineStr">
        <is>
          <t>O/001450 TRAPERO DO</t>
        </is>
      </c>
      <c r="M429" s="169" t="n"/>
      <c r="N429" s="169" t="inlineStr">
        <is>
          <t>.   .   -</t>
        </is>
      </c>
      <c r="O429" s="169" t="inlineStr">
        <is>
          <t>MARZO</t>
        </is>
      </c>
      <c r="P429" s="169" t="n">
        <v>10</v>
      </c>
      <c r="Q429" s="171" t="n">
        <v>4604</v>
      </c>
      <c r="R429" s="169" t="n"/>
      <c r="S429" s="171" t="n">
        <v>4604</v>
      </c>
      <c r="T429" s="169" t="inlineStr">
        <is>
          <t>CLP</t>
        </is>
      </c>
      <c r="U429" s="169" t="inlineStr">
        <is>
          <t>Carga LH 18-06-26</t>
        </is>
      </c>
      <c r="V429" s="169" t="inlineStr">
        <is>
          <t>2026-06-18</t>
        </is>
      </c>
    </row>
    <row r="430">
      <c r="A430" s="169" t="inlineStr">
        <is>
          <t>CR-0427</t>
        </is>
      </c>
      <c r="B430" s="169" t="inlineStr">
        <is>
          <t>2026/27</t>
        </is>
      </c>
      <c r="C430" s="231" t="n">
        <v>46091</v>
      </c>
      <c r="D430" s="169" t="inlineStr">
        <is>
          <t>639</t>
        </is>
      </c>
      <c r="E430" s="169" t="inlineStr">
        <is>
          <t>COMPRA</t>
        </is>
      </c>
      <c r="F430" s="169" t="inlineStr">
        <is>
          <t>Mega Catalina</t>
        </is>
      </c>
      <c r="G430" s="169" t="inlineStr">
        <is>
          <t>EUREKA - 1999 (22,5 Ha.)</t>
        </is>
      </c>
      <c r="H430" s="169" t="n"/>
      <c r="I430" s="169" t="n"/>
      <c r="J430" s="169" t="inlineStr">
        <is>
          <t>LABORES OPERACIONALES</t>
        </is>
      </c>
      <c r="K430" s="169" t="inlineStr">
        <is>
          <t>COSECHA</t>
        </is>
      </c>
      <c r="L430" s="169" t="inlineStr">
        <is>
          <t>SERV.CONTRATISTA</t>
        </is>
      </c>
      <c r="M430" s="169" t="n"/>
      <c r="N430" s="169" t="inlineStr">
        <is>
          <t>.   .   -</t>
        </is>
      </c>
      <c r="O430" s="169" t="inlineStr">
        <is>
          <t>MARZO</t>
        </is>
      </c>
      <c r="P430" s="169" t="n">
        <v>10</v>
      </c>
      <c r="Q430" s="171" t="n">
        <v>1555730</v>
      </c>
      <c r="R430" s="169" t="n"/>
      <c r="S430" s="171" t="n">
        <v>1555730</v>
      </c>
      <c r="T430" s="169" t="inlineStr">
        <is>
          <t>CLP</t>
        </is>
      </c>
      <c r="U430" s="169" t="inlineStr">
        <is>
          <t>Carga LH 18-06-26</t>
        </is>
      </c>
      <c r="V430" s="169" t="inlineStr">
        <is>
          <t>2026-06-18</t>
        </is>
      </c>
    </row>
    <row r="431">
      <c r="A431" s="169" t="inlineStr">
        <is>
          <t>CR-0428</t>
        </is>
      </c>
      <c r="B431" s="169" t="inlineStr">
        <is>
          <t>2026/27</t>
        </is>
      </c>
      <c r="C431" s="231" t="n">
        <v>46091</v>
      </c>
      <c r="D431" s="169" t="inlineStr">
        <is>
          <t>639</t>
        </is>
      </c>
      <c r="E431" s="169" t="inlineStr">
        <is>
          <t>COMPRA</t>
        </is>
      </c>
      <c r="F431" s="169" t="inlineStr">
        <is>
          <t>Mega Catalina</t>
        </is>
      </c>
      <c r="G431" s="169" t="inlineStr">
        <is>
          <t>EUREKA - 1999 (22,5 Ha.)</t>
        </is>
      </c>
      <c r="H431" s="169" t="n"/>
      <c r="I431" s="169" t="n"/>
      <c r="J431" s="169" t="inlineStr">
        <is>
          <t>LABORES OPERACIONALES</t>
        </is>
      </c>
      <c r="K431" s="169" t="inlineStr">
        <is>
          <t>SELECCION</t>
        </is>
      </c>
      <c r="L431" s="169" t="inlineStr">
        <is>
          <t>SERV.CONTRATISTA</t>
        </is>
      </c>
      <c r="M431" s="169" t="n"/>
      <c r="N431" s="169" t="inlineStr">
        <is>
          <t>.   .   -</t>
        </is>
      </c>
      <c r="O431" s="169" t="inlineStr">
        <is>
          <t>MARZO</t>
        </is>
      </c>
      <c r="P431" s="169" t="n">
        <v>10</v>
      </c>
      <c r="Q431" s="171" t="n">
        <v>225000</v>
      </c>
      <c r="R431" s="169" t="n"/>
      <c r="S431" s="171" t="n">
        <v>225000</v>
      </c>
      <c r="T431" s="169" t="inlineStr">
        <is>
          <t>CLP</t>
        </is>
      </c>
      <c r="U431" s="169" t="inlineStr">
        <is>
          <t>Carga LH 18-06-26</t>
        </is>
      </c>
      <c r="V431" s="169" t="inlineStr">
        <is>
          <t>2026-06-18</t>
        </is>
      </c>
    </row>
    <row r="432">
      <c r="A432" s="169" t="inlineStr">
        <is>
          <t>CR-0429</t>
        </is>
      </c>
      <c r="B432" s="169" t="inlineStr">
        <is>
          <t>2026/27</t>
        </is>
      </c>
      <c r="C432" s="231" t="n">
        <v>46091</v>
      </c>
      <c r="D432" s="169" t="inlineStr">
        <is>
          <t>639</t>
        </is>
      </c>
      <c r="E432" s="169" t="inlineStr">
        <is>
          <t>COMPRA</t>
        </is>
      </c>
      <c r="F432" s="169" t="inlineStr">
        <is>
          <t>Mega Catalina</t>
        </is>
      </c>
      <c r="G432" s="169" t="inlineStr">
        <is>
          <t>EUREKA - 1999 (10,6 Ha.)</t>
        </is>
      </c>
      <c r="H432" s="169" t="n"/>
      <c r="I432" s="169" t="n"/>
      <c r="J432" s="169" t="inlineStr">
        <is>
          <t>LABORES OPERACIONALES</t>
        </is>
      </c>
      <c r="K432" s="169" t="inlineStr">
        <is>
          <t>COSECHA</t>
        </is>
      </c>
      <c r="L432" s="169" t="inlineStr">
        <is>
          <t>SERV.CONTRATISTA</t>
        </is>
      </c>
      <c r="M432" s="169" t="n"/>
      <c r="N432" s="169" t="inlineStr">
        <is>
          <t>.   .   -</t>
        </is>
      </c>
      <c r="O432" s="169" t="inlineStr">
        <is>
          <t>MARZO</t>
        </is>
      </c>
      <c r="P432" s="169" t="n">
        <v>10</v>
      </c>
      <c r="Q432" s="171" t="n">
        <v>122980</v>
      </c>
      <c r="R432" s="169" t="n"/>
      <c r="S432" s="171" t="n">
        <v>122980</v>
      </c>
      <c r="T432" s="169" t="inlineStr">
        <is>
          <t>CLP</t>
        </is>
      </c>
      <c r="U432" s="169" t="inlineStr">
        <is>
          <t>Carga LH 18-06-26</t>
        </is>
      </c>
      <c r="V432" s="169" t="inlineStr">
        <is>
          <t>2026-06-18</t>
        </is>
      </c>
    </row>
    <row r="433">
      <c r="A433" s="169" t="inlineStr">
        <is>
          <t>CR-0430</t>
        </is>
      </c>
      <c r="B433" s="169" t="inlineStr">
        <is>
          <t>2026/27</t>
        </is>
      </c>
      <c r="C433" s="231" t="n">
        <v>46091</v>
      </c>
      <c r="D433" s="169" t="inlineStr">
        <is>
          <t>639</t>
        </is>
      </c>
      <c r="E433" s="169" t="inlineStr">
        <is>
          <t>COMPRA</t>
        </is>
      </c>
      <c r="F433" s="169" t="inlineStr">
        <is>
          <t>Mega Catalina</t>
        </is>
      </c>
      <c r="G433" s="169" t="inlineStr">
        <is>
          <t>EUREKA - 2016 (14,4 Ha.)</t>
        </is>
      </c>
      <c r="H433" s="169" t="n"/>
      <c r="I433" s="169" t="n"/>
      <c r="J433" s="169" t="inlineStr">
        <is>
          <t>LABORES OPERACIONALES</t>
        </is>
      </c>
      <c r="K433" s="169" t="inlineStr">
        <is>
          <t>COSECHA</t>
        </is>
      </c>
      <c r="L433" s="169" t="inlineStr">
        <is>
          <t>SERV.CONTRATISTA</t>
        </is>
      </c>
      <c r="M433" s="169" t="n"/>
      <c r="N433" s="169" t="inlineStr">
        <is>
          <t>.   .   -</t>
        </is>
      </c>
      <c r="O433" s="169" t="inlineStr">
        <is>
          <t>MARZO</t>
        </is>
      </c>
      <c r="P433" s="169" t="n">
        <v>10</v>
      </c>
      <c r="Q433" s="171" t="n">
        <v>741070</v>
      </c>
      <c r="R433" s="169" t="n"/>
      <c r="S433" s="171" t="n">
        <v>741070</v>
      </c>
      <c r="T433" s="169" t="inlineStr">
        <is>
          <t>CLP</t>
        </is>
      </c>
      <c r="U433" s="169" t="inlineStr">
        <is>
          <t>Carga LH 18-06-26</t>
        </is>
      </c>
      <c r="V433" s="169" t="inlineStr">
        <is>
          <t>2026-06-18</t>
        </is>
      </c>
    </row>
    <row r="434">
      <c r="A434" s="169" t="inlineStr">
        <is>
          <t>CR-0431</t>
        </is>
      </c>
      <c r="B434" s="169" t="inlineStr">
        <is>
          <t>2026/27</t>
        </is>
      </c>
      <c r="C434" s="231" t="n">
        <v>46091</v>
      </c>
      <c r="D434" s="169" t="inlineStr">
        <is>
          <t>639</t>
        </is>
      </c>
      <c r="E434" s="169" t="inlineStr">
        <is>
          <t>COMPRA</t>
        </is>
      </c>
      <c r="F434" s="169" t="inlineStr">
        <is>
          <t>Mega Catalina</t>
        </is>
      </c>
      <c r="G434" s="169" t="inlineStr">
        <is>
          <t>EUREKA - 2016 (14,4 Ha.)</t>
        </is>
      </c>
      <c r="H434" s="169" t="n"/>
      <c r="I434" s="169" t="n"/>
      <c r="J434" s="169" t="inlineStr">
        <is>
          <t>LABORES OPERACIONALES</t>
        </is>
      </c>
      <c r="K434" s="169" t="inlineStr">
        <is>
          <t>SELECCION</t>
        </is>
      </c>
      <c r="L434" s="169" t="inlineStr">
        <is>
          <t>SERV.CONTRATISTA</t>
        </is>
      </c>
      <c r="M434" s="169" t="n"/>
      <c r="N434" s="169" t="inlineStr">
        <is>
          <t>.   .   -</t>
        </is>
      </c>
      <c r="O434" s="169" t="inlineStr">
        <is>
          <t>MARZO</t>
        </is>
      </c>
      <c r="P434" s="169" t="n">
        <v>10</v>
      </c>
      <c r="Q434" s="171" t="n">
        <v>75000</v>
      </c>
      <c r="R434" s="169" t="n"/>
      <c r="S434" s="171" t="n">
        <v>75000</v>
      </c>
      <c r="T434" s="169" t="inlineStr">
        <is>
          <t>CLP</t>
        </is>
      </c>
      <c r="U434" s="169" t="inlineStr">
        <is>
          <t>Carga LH 18-06-26</t>
        </is>
      </c>
      <c r="V434" s="169" t="inlineStr">
        <is>
          <t>2026-06-18</t>
        </is>
      </c>
    </row>
    <row r="435">
      <c r="A435" s="169" t="inlineStr">
        <is>
          <t>CR-0432</t>
        </is>
      </c>
      <c r="B435" s="169" t="inlineStr">
        <is>
          <t>2026/27</t>
        </is>
      </c>
      <c r="C435" s="231" t="n">
        <v>46091</v>
      </c>
      <c r="D435" s="169" t="inlineStr">
        <is>
          <t>638</t>
        </is>
      </c>
      <c r="E435" s="169" t="inlineStr">
        <is>
          <t>COMPRA</t>
        </is>
      </c>
      <c r="F435" s="169" t="inlineStr">
        <is>
          <t>Sin asignar</t>
        </is>
      </c>
      <c r="G435" s="169" t="inlineStr">
        <is>
          <t>PACKING</t>
        </is>
      </c>
      <c r="H435" s="169" t="n"/>
      <c r="I435" s="169" t="n"/>
      <c r="J435" s="169" t="inlineStr">
        <is>
          <t>LABORES OPERACIONALES</t>
        </is>
      </c>
      <c r="K435" s="169" t="inlineStr">
        <is>
          <t>LAB. PACKING</t>
        </is>
      </c>
      <c r="L435" s="169" t="inlineStr">
        <is>
          <t>SERV.CONTRATISTA</t>
        </is>
      </c>
      <c r="M435" s="169" t="n"/>
      <c r="N435" s="169" t="inlineStr">
        <is>
          <t>.   .   -</t>
        </is>
      </c>
      <c r="O435" s="169" t="inlineStr">
        <is>
          <t>MARZO</t>
        </is>
      </c>
      <c r="P435" s="169" t="n">
        <v>10</v>
      </c>
      <c r="Q435" s="171" t="n">
        <v>6284680</v>
      </c>
      <c r="R435" s="169" t="n"/>
      <c r="S435" s="171" t="n">
        <v>6284680</v>
      </c>
      <c r="T435" s="169" t="inlineStr">
        <is>
          <t>CLP</t>
        </is>
      </c>
      <c r="U435" s="169" t="inlineStr">
        <is>
          <t>Carga LH 18-06-26</t>
        </is>
      </c>
      <c r="V435" s="169" t="inlineStr">
        <is>
          <t>2026-06-18</t>
        </is>
      </c>
    </row>
    <row r="436">
      <c r="A436" s="169" t="inlineStr">
        <is>
          <t>CR-0433</t>
        </is>
      </c>
      <c r="B436" s="169" t="inlineStr">
        <is>
          <t>2026/27</t>
        </is>
      </c>
      <c r="C436" s="231" t="n">
        <v>46091</v>
      </c>
      <c r="D436" s="169" t="inlineStr">
        <is>
          <t>638</t>
        </is>
      </c>
      <c r="E436" s="169" t="inlineStr">
        <is>
          <t>COMPRA</t>
        </is>
      </c>
      <c r="F436" s="169" t="inlineStr">
        <is>
          <t>Mega Catalina</t>
        </is>
      </c>
      <c r="G436" s="169" t="inlineStr">
        <is>
          <t>INJERTO TIMPSON - 2018 (3,8 Ha.)</t>
        </is>
      </c>
      <c r="H436" s="169" t="n"/>
      <c r="I436" s="169" t="n"/>
      <c r="J436" s="169" t="inlineStr">
        <is>
          <t>LABORES OPERACIONALES</t>
        </is>
      </c>
      <c r="K436" s="169" t="inlineStr">
        <is>
          <t>COSECHA</t>
        </is>
      </c>
      <c r="L436" s="169" t="inlineStr">
        <is>
          <t>SERV.CONTRATISTA</t>
        </is>
      </c>
      <c r="M436" s="169" t="n"/>
      <c r="N436" s="169" t="inlineStr">
        <is>
          <t>.   .   -</t>
        </is>
      </c>
      <c r="O436" s="169" t="inlineStr">
        <is>
          <t>MARZO</t>
        </is>
      </c>
      <c r="P436" s="169" t="n">
        <v>10</v>
      </c>
      <c r="Q436" s="171" t="n">
        <v>216600</v>
      </c>
      <c r="R436" s="169" t="n"/>
      <c r="S436" s="171" t="n">
        <v>216600</v>
      </c>
      <c r="T436" s="169" t="inlineStr">
        <is>
          <t>CLP</t>
        </is>
      </c>
      <c r="U436" s="169" t="inlineStr">
        <is>
          <t>Carga LH 18-06-26</t>
        </is>
      </c>
      <c r="V436" s="169" t="inlineStr">
        <is>
          <t>2026-06-18</t>
        </is>
      </c>
    </row>
    <row r="437">
      <c r="A437" s="169" t="inlineStr">
        <is>
          <t>CR-0434</t>
        </is>
      </c>
      <c r="B437" s="169" t="inlineStr">
        <is>
          <t>2026/27</t>
        </is>
      </c>
      <c r="C437" s="231" t="n">
        <v>46091</v>
      </c>
      <c r="D437" s="169" t="inlineStr">
        <is>
          <t>638</t>
        </is>
      </c>
      <c r="E437" s="169" t="inlineStr">
        <is>
          <t>COMPRA</t>
        </is>
      </c>
      <c r="F437" s="169" t="inlineStr">
        <is>
          <t>Mega Catalina</t>
        </is>
      </c>
      <c r="G437" s="169" t="inlineStr">
        <is>
          <t>INJERTO TIMPSON - 2019 (4,2 Ha.)</t>
        </is>
      </c>
      <c r="H437" s="169" t="n"/>
      <c r="I437" s="169" t="n"/>
      <c r="J437" s="169" t="inlineStr">
        <is>
          <t>LABORES OPERACIONALES</t>
        </is>
      </c>
      <c r="K437" s="169" t="inlineStr">
        <is>
          <t>COSECHA</t>
        </is>
      </c>
      <c r="L437" s="169" t="inlineStr">
        <is>
          <t>SERV.CONTRATISTA</t>
        </is>
      </c>
      <c r="M437" s="169" t="n"/>
      <c r="N437" s="169" t="inlineStr">
        <is>
          <t>.   .   -</t>
        </is>
      </c>
      <c r="O437" s="169" t="inlineStr">
        <is>
          <t>MARZO</t>
        </is>
      </c>
      <c r="P437" s="169" t="n">
        <v>10</v>
      </c>
      <c r="Q437" s="171" t="n">
        <v>2631000</v>
      </c>
      <c r="R437" s="169" t="n"/>
      <c r="S437" s="171" t="n">
        <v>2631000</v>
      </c>
      <c r="T437" s="169" t="inlineStr">
        <is>
          <t>CLP</t>
        </is>
      </c>
      <c r="U437" s="169" t="inlineStr">
        <is>
          <t>Carga LH 18-06-26</t>
        </is>
      </c>
      <c r="V437" s="169" t="inlineStr">
        <is>
          <t>2026-06-18</t>
        </is>
      </c>
    </row>
    <row r="438">
      <c r="A438" s="169" t="inlineStr">
        <is>
          <t>CR-0435</t>
        </is>
      </c>
      <c r="B438" s="169" t="inlineStr">
        <is>
          <t>2026/27</t>
        </is>
      </c>
      <c r="C438" s="231" t="n">
        <v>46091</v>
      </c>
      <c r="D438" s="169" t="inlineStr">
        <is>
          <t>638</t>
        </is>
      </c>
      <c r="E438" s="169" t="inlineStr">
        <is>
          <t>COMPRA</t>
        </is>
      </c>
      <c r="F438" s="169" t="inlineStr">
        <is>
          <t>Mega Catalina</t>
        </is>
      </c>
      <c r="G438" s="169" t="inlineStr">
        <is>
          <t>SWEET CELEBRATION - 2015 (7,14 Ha.)</t>
        </is>
      </c>
      <c r="H438" s="169" t="n"/>
      <c r="I438" s="169" t="n"/>
      <c r="J438" s="169" t="inlineStr">
        <is>
          <t>LABORES OPERACIONALES</t>
        </is>
      </c>
      <c r="K438" s="169" t="inlineStr">
        <is>
          <t>COSECHA</t>
        </is>
      </c>
      <c r="L438" s="169" t="inlineStr">
        <is>
          <t>SERV.CONTRATISTA</t>
        </is>
      </c>
      <c r="M438" s="169" t="n"/>
      <c r="N438" s="169" t="inlineStr">
        <is>
          <t>.   .   -</t>
        </is>
      </c>
      <c r="O438" s="169" t="inlineStr">
        <is>
          <t>MARZO</t>
        </is>
      </c>
      <c r="P438" s="169" t="n">
        <v>10</v>
      </c>
      <c r="Q438" s="171" t="n">
        <v>1096400</v>
      </c>
      <c r="R438" s="169" t="n"/>
      <c r="S438" s="171" t="n">
        <v>1096400</v>
      </c>
      <c r="T438" s="169" t="inlineStr">
        <is>
          <t>CLP</t>
        </is>
      </c>
      <c r="U438" s="169" t="inlineStr">
        <is>
          <t>Carga LH 18-06-26</t>
        </is>
      </c>
      <c r="V438" s="169" t="inlineStr">
        <is>
          <t>2026-06-18</t>
        </is>
      </c>
    </row>
    <row r="439">
      <c r="A439" s="169" t="inlineStr">
        <is>
          <t>CR-0436</t>
        </is>
      </c>
      <c r="B439" s="169" t="inlineStr">
        <is>
          <t>2026/27</t>
        </is>
      </c>
      <c r="C439" s="231" t="n">
        <v>46091</v>
      </c>
      <c r="D439" s="169" t="inlineStr">
        <is>
          <t>169</t>
        </is>
      </c>
      <c r="E439" s="169" t="inlineStr">
        <is>
          <t>COMPRA</t>
        </is>
      </c>
      <c r="F439" s="169" t="inlineStr">
        <is>
          <t>Mega Catalina</t>
        </is>
      </c>
      <c r="G439" s="169" t="inlineStr">
        <is>
          <t>MURCOTT - 2007 (21 Ha.)</t>
        </is>
      </c>
      <c r="H439" s="169" t="n"/>
      <c r="I439" s="169" t="n"/>
      <c r="J439" s="169" t="inlineStr">
        <is>
          <t>LABORES OPERACIONALES</t>
        </is>
      </c>
      <c r="K439" s="169" t="inlineStr">
        <is>
          <t>GUANTEO</t>
        </is>
      </c>
      <c r="L439" s="169" t="inlineStr">
        <is>
          <t>SERV.CONTRATISTA</t>
        </is>
      </c>
      <c r="M439" s="169" t="n"/>
      <c r="N439" s="169" t="inlineStr">
        <is>
          <t>.   .   -</t>
        </is>
      </c>
      <c r="O439" s="169" t="inlineStr">
        <is>
          <t>MARZO</t>
        </is>
      </c>
      <c r="P439" s="169" t="n">
        <v>10</v>
      </c>
      <c r="Q439" s="171" t="n">
        <v>1756260</v>
      </c>
      <c r="R439" s="169" t="n"/>
      <c r="S439" s="171" t="n">
        <v>1756260</v>
      </c>
      <c r="T439" s="169" t="inlineStr">
        <is>
          <t>CLP</t>
        </is>
      </c>
      <c r="U439" s="169" t="inlineStr">
        <is>
          <t>Carga LH 18-06-26</t>
        </is>
      </c>
      <c r="V439" s="169" t="inlineStr">
        <is>
          <t>2026-06-18</t>
        </is>
      </c>
    </row>
    <row r="440">
      <c r="A440" s="169" t="inlineStr">
        <is>
          <t>CR-0437</t>
        </is>
      </c>
      <c r="B440" s="169" t="inlineStr">
        <is>
          <t>2026/27</t>
        </is>
      </c>
      <c r="C440" s="231" t="n">
        <v>46091</v>
      </c>
      <c r="D440" s="169" t="inlineStr">
        <is>
          <t>1014</t>
        </is>
      </c>
      <c r="E440" s="169" t="inlineStr">
        <is>
          <t>COMPRA</t>
        </is>
      </c>
      <c r="F440" s="169" t="inlineStr">
        <is>
          <t>Mega Catalina</t>
        </is>
      </c>
      <c r="G440" s="169" t="inlineStr">
        <is>
          <t>EUREKA - 1999 (22,5 Ha.)</t>
        </is>
      </c>
      <c r="H440" s="169" t="n"/>
      <c r="I440" s="169" t="n"/>
      <c r="J440" s="169" t="inlineStr">
        <is>
          <t>LABORES OPERACIONALES</t>
        </is>
      </c>
      <c r="K440" s="169" t="inlineStr">
        <is>
          <t>COSECHA</t>
        </is>
      </c>
      <c r="L440" s="169" t="inlineStr">
        <is>
          <t>SERV.CONTRATISTA</t>
        </is>
      </c>
      <c r="M440" s="169" t="n"/>
      <c r="N440" s="169" t="inlineStr">
        <is>
          <t>.   .   -</t>
        </is>
      </c>
      <c r="O440" s="169" t="inlineStr">
        <is>
          <t>MARZO</t>
        </is>
      </c>
      <c r="P440" s="169" t="n">
        <v>10</v>
      </c>
      <c r="Q440" s="171" t="n">
        <v>789140</v>
      </c>
      <c r="R440" s="169" t="n"/>
      <c r="S440" s="171" t="n">
        <v>789140</v>
      </c>
      <c r="T440" s="169" t="inlineStr">
        <is>
          <t>CLP</t>
        </is>
      </c>
      <c r="U440" s="169" t="inlineStr">
        <is>
          <t>Carga LH 18-06-26</t>
        </is>
      </c>
      <c r="V440" s="169" t="inlineStr">
        <is>
          <t>2026-06-18</t>
        </is>
      </c>
    </row>
    <row r="441">
      <c r="A441" s="169" t="inlineStr">
        <is>
          <t>CR-0438</t>
        </is>
      </c>
      <c r="B441" s="169" t="inlineStr">
        <is>
          <t>2026/27</t>
        </is>
      </c>
      <c r="C441" s="231" t="n">
        <v>46091</v>
      </c>
      <c r="D441" s="169" t="inlineStr">
        <is>
          <t>1014</t>
        </is>
      </c>
      <c r="E441" s="169" t="inlineStr">
        <is>
          <t>COMPRA</t>
        </is>
      </c>
      <c r="F441" s="169" t="inlineStr">
        <is>
          <t>Mega Catalina</t>
        </is>
      </c>
      <c r="G441" s="169" t="inlineStr">
        <is>
          <t>EUREKA - 1999 (10,6 Ha.)</t>
        </is>
      </c>
      <c r="H441" s="169" t="n"/>
      <c r="I441" s="169" t="n"/>
      <c r="J441" s="169" t="inlineStr">
        <is>
          <t>LABORES OPERACIONALES</t>
        </is>
      </c>
      <c r="K441" s="169" t="inlineStr">
        <is>
          <t>COSECHA</t>
        </is>
      </c>
      <c r="L441" s="169" t="inlineStr">
        <is>
          <t>SERV.CONTRATISTA</t>
        </is>
      </c>
      <c r="M441" s="169" t="n"/>
      <c r="N441" s="169" t="inlineStr">
        <is>
          <t>.   .   -</t>
        </is>
      </c>
      <c r="O441" s="169" t="inlineStr">
        <is>
          <t>MARZO</t>
        </is>
      </c>
      <c r="P441" s="169" t="n">
        <v>10</v>
      </c>
      <c r="Q441" s="171" t="n">
        <v>169510</v>
      </c>
      <c r="R441" s="169" t="n"/>
      <c r="S441" s="171" t="n">
        <v>169510</v>
      </c>
      <c r="T441" s="169" t="inlineStr">
        <is>
          <t>CLP</t>
        </is>
      </c>
      <c r="U441" s="169" t="inlineStr">
        <is>
          <t>Carga LH 18-06-26</t>
        </is>
      </c>
      <c r="V441" s="169" t="inlineStr">
        <is>
          <t>2026-06-18</t>
        </is>
      </c>
    </row>
    <row r="442">
      <c r="A442" s="169" t="inlineStr">
        <is>
          <t>CR-0439</t>
        </is>
      </c>
      <c r="B442" s="169" t="inlineStr">
        <is>
          <t>2026/27</t>
        </is>
      </c>
      <c r="C442" s="231" t="n">
        <v>46091</v>
      </c>
      <c r="D442" s="169" t="inlineStr">
        <is>
          <t>1014</t>
        </is>
      </c>
      <c r="E442" s="169" t="inlineStr">
        <is>
          <t>COMPRA</t>
        </is>
      </c>
      <c r="F442" s="169" t="inlineStr">
        <is>
          <t>Mega Catalina</t>
        </is>
      </c>
      <c r="G442" s="169" t="inlineStr">
        <is>
          <t>EUREKA - 2016 (14,4 Ha.)</t>
        </is>
      </c>
      <c r="H442" s="169" t="n"/>
      <c r="I442" s="169" t="n"/>
      <c r="J442" s="169" t="inlineStr">
        <is>
          <t>LABORES OPERACIONALES</t>
        </is>
      </c>
      <c r="K442" s="169" t="inlineStr">
        <is>
          <t>COSECHA</t>
        </is>
      </c>
      <c r="L442" s="169" t="inlineStr">
        <is>
          <t>SERV.CONTRATISTA</t>
        </is>
      </c>
      <c r="M442" s="169" t="n"/>
      <c r="N442" s="169" t="inlineStr">
        <is>
          <t>.   .   -</t>
        </is>
      </c>
      <c r="O442" s="169" t="inlineStr">
        <is>
          <t>MARZO</t>
        </is>
      </c>
      <c r="P442" s="169" t="n">
        <v>10</v>
      </c>
      <c r="Q442" s="171" t="n">
        <v>237820</v>
      </c>
      <c r="R442" s="169" t="n"/>
      <c r="S442" s="171" t="n">
        <v>237820</v>
      </c>
      <c r="T442" s="169" t="inlineStr">
        <is>
          <t>CLP</t>
        </is>
      </c>
      <c r="U442" s="169" t="inlineStr">
        <is>
          <t>Carga LH 18-06-26</t>
        </is>
      </c>
      <c r="V442" s="169" t="inlineStr">
        <is>
          <t>2026-06-18</t>
        </is>
      </c>
    </row>
    <row r="443">
      <c r="A443" s="169" t="inlineStr">
        <is>
          <t>CR-0440</t>
        </is>
      </c>
      <c r="B443" s="169" t="inlineStr">
        <is>
          <t>2026/27</t>
        </is>
      </c>
      <c r="C443" s="231" t="n">
        <v>46091</v>
      </c>
      <c r="D443" s="169" t="inlineStr">
        <is>
          <t>211</t>
        </is>
      </c>
      <c r="E443" s="169" t="inlineStr">
        <is>
          <t>COMPRA</t>
        </is>
      </c>
      <c r="F443" s="169" t="inlineStr">
        <is>
          <t>Mega Catalina</t>
        </is>
      </c>
      <c r="G443" s="169" t="inlineStr">
        <is>
          <t>INJERTO TIMPSON - 2018 (3,8 Ha.)</t>
        </is>
      </c>
      <c r="H443" s="169" t="n"/>
      <c r="I443" s="169" t="n"/>
      <c r="J443" s="169" t="inlineStr">
        <is>
          <t>LABORES OPERACIONALES</t>
        </is>
      </c>
      <c r="K443" s="169" t="inlineStr">
        <is>
          <t>COSECHA</t>
        </is>
      </c>
      <c r="L443" s="169" t="inlineStr">
        <is>
          <t>SERV.CONTRATISTA</t>
        </is>
      </c>
      <c r="M443" s="169" t="n"/>
      <c r="N443" s="169" t="inlineStr">
        <is>
          <t>.   .   -</t>
        </is>
      </c>
      <c r="O443" s="169" t="inlineStr">
        <is>
          <t>MARZO</t>
        </is>
      </c>
      <c r="P443" s="169" t="n">
        <v>10</v>
      </c>
      <c r="Q443" s="171" t="n">
        <v>235200</v>
      </c>
      <c r="R443" s="169" t="n"/>
      <c r="S443" s="171" t="n">
        <v>235200</v>
      </c>
      <c r="T443" s="169" t="inlineStr">
        <is>
          <t>CLP</t>
        </is>
      </c>
      <c r="U443" s="169" t="inlineStr">
        <is>
          <t>Carga LH 18-06-26</t>
        </is>
      </c>
      <c r="V443" s="169" t="inlineStr">
        <is>
          <t>2026-06-18</t>
        </is>
      </c>
    </row>
    <row r="444">
      <c r="A444" s="169" t="inlineStr">
        <is>
          <t>CR-0441</t>
        </is>
      </c>
      <c r="B444" s="169" t="inlineStr">
        <is>
          <t>2026/27</t>
        </is>
      </c>
      <c r="C444" s="231" t="n">
        <v>46091</v>
      </c>
      <c r="D444" s="169" t="inlineStr">
        <is>
          <t>211</t>
        </is>
      </c>
      <c r="E444" s="169" t="inlineStr">
        <is>
          <t>COMPRA</t>
        </is>
      </c>
      <c r="F444" s="169" t="inlineStr">
        <is>
          <t>Mega Catalina</t>
        </is>
      </c>
      <c r="G444" s="169" t="inlineStr">
        <is>
          <t>INJERTO TIMPSON - 2019 (4,2 Ha.)</t>
        </is>
      </c>
      <c r="H444" s="169" t="n"/>
      <c r="I444" s="169" t="n"/>
      <c r="J444" s="169" t="inlineStr">
        <is>
          <t>LABORES OPERACIONALES</t>
        </is>
      </c>
      <c r="K444" s="169" t="inlineStr">
        <is>
          <t>COSECHA</t>
        </is>
      </c>
      <c r="L444" s="169" t="inlineStr">
        <is>
          <t>SERV.CONTRATISTA</t>
        </is>
      </c>
      <c r="M444" s="169" t="n"/>
      <c r="N444" s="169" t="inlineStr">
        <is>
          <t>.   .   -</t>
        </is>
      </c>
      <c r="O444" s="169" t="inlineStr">
        <is>
          <t>MARZO</t>
        </is>
      </c>
      <c r="P444" s="169" t="n">
        <v>10</v>
      </c>
      <c r="Q444" s="171" t="n">
        <v>807000</v>
      </c>
      <c r="R444" s="169" t="n"/>
      <c r="S444" s="171" t="n">
        <v>807000</v>
      </c>
      <c r="T444" s="169" t="inlineStr">
        <is>
          <t>CLP</t>
        </is>
      </c>
      <c r="U444" s="169" t="inlineStr">
        <is>
          <t>Carga LH 18-06-26</t>
        </is>
      </c>
      <c r="V444" s="169" t="inlineStr">
        <is>
          <t>2026-06-18</t>
        </is>
      </c>
    </row>
    <row r="445">
      <c r="A445" s="169" t="inlineStr">
        <is>
          <t>CR-0442</t>
        </is>
      </c>
      <c r="B445" s="169" t="inlineStr">
        <is>
          <t>2026/27</t>
        </is>
      </c>
      <c r="C445" s="231" t="n">
        <v>46091</v>
      </c>
      <c r="D445" s="169" t="inlineStr">
        <is>
          <t>211</t>
        </is>
      </c>
      <c r="E445" s="169" t="inlineStr">
        <is>
          <t>COMPRA</t>
        </is>
      </c>
      <c r="F445" s="169" t="inlineStr">
        <is>
          <t>Mega Catalina</t>
        </is>
      </c>
      <c r="G445" s="169" t="inlineStr">
        <is>
          <t>SWEET CELEBRATION - 2015 (7,14 Ha.)</t>
        </is>
      </c>
      <c r="H445" s="169" t="n"/>
      <c r="I445" s="169" t="n"/>
      <c r="J445" s="169" t="inlineStr">
        <is>
          <t>LABORES OPERACIONALES</t>
        </is>
      </c>
      <c r="K445" s="169" t="inlineStr">
        <is>
          <t>COSECHA</t>
        </is>
      </c>
      <c r="L445" s="169" t="inlineStr">
        <is>
          <t>SERV.CONTRATISTA</t>
        </is>
      </c>
      <c r="M445" s="169" t="n"/>
      <c r="N445" s="169" t="inlineStr">
        <is>
          <t>.   .   -</t>
        </is>
      </c>
      <c r="O445" s="169" t="inlineStr">
        <is>
          <t>MARZO</t>
        </is>
      </c>
      <c r="P445" s="169" t="n">
        <v>10</v>
      </c>
      <c r="Q445" s="171" t="n">
        <v>635375</v>
      </c>
      <c r="R445" s="169" t="n"/>
      <c r="S445" s="171" t="n">
        <v>635375</v>
      </c>
      <c r="T445" s="169" t="inlineStr">
        <is>
          <t>CLP</t>
        </is>
      </c>
      <c r="U445" s="169" t="inlineStr">
        <is>
          <t>Carga LH 18-06-26</t>
        </is>
      </c>
      <c r="V445" s="169" t="inlineStr">
        <is>
          <t>2026-06-18</t>
        </is>
      </c>
    </row>
    <row r="446">
      <c r="A446" s="169" t="inlineStr">
        <is>
          <t>CR-0443</t>
        </is>
      </c>
      <c r="B446" s="169" t="inlineStr">
        <is>
          <t>2026/27</t>
        </is>
      </c>
      <c r="C446" s="231" t="n">
        <v>46092</v>
      </c>
      <c r="D446" s="169" t="inlineStr">
        <is>
          <t>418</t>
        </is>
      </c>
      <c r="E446" s="169" t="inlineStr">
        <is>
          <t>COMPRA</t>
        </is>
      </c>
      <c r="F446" s="169" t="inlineStr">
        <is>
          <t>Mega Catalina</t>
        </is>
      </c>
      <c r="G446" s="169" t="inlineStr">
        <is>
          <t>EUREKA - 1999 (22,5 Ha.)</t>
        </is>
      </c>
      <c r="H446" s="169" t="n"/>
      <c r="I446" s="169" t="n"/>
      <c r="J446" s="169" t="inlineStr">
        <is>
          <t>MANO DE OBRA CONTRATISTA</t>
        </is>
      </c>
      <c r="K446" s="169" t="inlineStr">
        <is>
          <t>M.O. CONTRATISTA</t>
        </is>
      </c>
      <c r="L446" s="169" t="inlineStr">
        <is>
          <t>O/001437 M.O. CONTR</t>
        </is>
      </c>
      <c r="M446" s="169" t="n"/>
      <c r="N446" s="169" t="inlineStr">
        <is>
          <t>.   .   -</t>
        </is>
      </c>
      <c r="O446" s="169" t="inlineStr">
        <is>
          <t>MARZO</t>
        </is>
      </c>
      <c r="P446" s="169" t="n">
        <v>10</v>
      </c>
      <c r="Q446" s="171" t="n">
        <v>609600</v>
      </c>
      <c r="R446" s="169" t="n"/>
      <c r="S446" s="171" t="n">
        <v>609600</v>
      </c>
      <c r="T446" s="169" t="inlineStr">
        <is>
          <t>CLP</t>
        </is>
      </c>
      <c r="U446" s="169" t="inlineStr">
        <is>
          <t>Carga LH 18-06-26</t>
        </is>
      </c>
      <c r="V446" s="169" t="inlineStr">
        <is>
          <t>2026-06-18</t>
        </is>
      </c>
    </row>
    <row r="447">
      <c r="A447" s="169" t="inlineStr">
        <is>
          <t>CR-0444</t>
        </is>
      </c>
      <c r="B447" s="169" t="inlineStr">
        <is>
          <t>2026/27</t>
        </is>
      </c>
      <c r="C447" s="231" t="n">
        <v>46092</v>
      </c>
      <c r="D447" s="169" t="inlineStr">
        <is>
          <t>634</t>
        </is>
      </c>
      <c r="E447" s="169" t="inlineStr">
        <is>
          <t>COMPRA</t>
        </is>
      </c>
      <c r="F447" s="169" t="inlineStr">
        <is>
          <t>Mega Catalina</t>
        </is>
      </c>
      <c r="G447" s="169" t="inlineStr">
        <is>
          <t>EUREKA - 1999 (10,6 Ha.)</t>
        </is>
      </c>
      <c r="H447" s="169" t="n"/>
      <c r="I447" s="169" t="n"/>
      <c r="J447" s="169" t="inlineStr">
        <is>
          <t>MANO DE OBRA CONTRATISTA</t>
        </is>
      </c>
      <c r="K447" s="169" t="inlineStr">
        <is>
          <t>M.O. CONTRATISTA</t>
        </is>
      </c>
      <c r="L447" s="169" t="inlineStr">
        <is>
          <t>O/001438 M.O. CONTR</t>
        </is>
      </c>
      <c r="M447" s="169" t="n"/>
      <c r="N447" s="169" t="inlineStr">
        <is>
          <t>.   .   -</t>
        </is>
      </c>
      <c r="O447" s="169" t="inlineStr">
        <is>
          <t>MARZO</t>
        </is>
      </c>
      <c r="P447" s="169" t="n">
        <v>10</v>
      </c>
      <c r="Q447" s="171" t="n">
        <v>568300</v>
      </c>
      <c r="R447" s="169" t="n"/>
      <c r="S447" s="171" t="n">
        <v>568300</v>
      </c>
      <c r="T447" s="169" t="inlineStr">
        <is>
          <t>CLP</t>
        </is>
      </c>
      <c r="U447" s="169" t="inlineStr">
        <is>
          <t>Carga LH 18-06-26</t>
        </is>
      </c>
      <c r="V447" s="169" t="inlineStr">
        <is>
          <t>2026-06-18</t>
        </is>
      </c>
    </row>
    <row r="448">
      <c r="A448" s="169" t="inlineStr">
        <is>
          <t>CR-0445</t>
        </is>
      </c>
      <c r="B448" s="169" t="inlineStr">
        <is>
          <t>2026/27</t>
        </is>
      </c>
      <c r="C448" s="231" t="n">
        <v>46092</v>
      </c>
      <c r="D448" s="169" t="inlineStr">
        <is>
          <t>634</t>
        </is>
      </c>
      <c r="E448" s="169" t="inlineStr">
        <is>
          <t>COMPRA</t>
        </is>
      </c>
      <c r="F448" s="169" t="inlineStr">
        <is>
          <t>Mega Catalina</t>
        </is>
      </c>
      <c r="G448" s="169" t="inlineStr">
        <is>
          <t>EUREKA - 1999 (10,6 Ha.)</t>
        </is>
      </c>
      <c r="H448" s="169" t="n"/>
      <c r="I448" s="169" t="n"/>
      <c r="J448" s="169" t="inlineStr">
        <is>
          <t>MANO DE OBRA CONTRATISTA</t>
        </is>
      </c>
      <c r="K448" s="169" t="inlineStr">
        <is>
          <t>M.O. CONTRATISTA</t>
        </is>
      </c>
      <c r="L448" s="169" t="inlineStr">
        <is>
          <t>O/001438 M.O. CONTR</t>
        </is>
      </c>
      <c r="M448" s="169" t="n"/>
      <c r="N448" s="169" t="inlineStr">
        <is>
          <t>.   .   -</t>
        </is>
      </c>
      <c r="O448" s="169" t="inlineStr">
        <is>
          <t>MARZO</t>
        </is>
      </c>
      <c r="P448" s="169" t="n">
        <v>10</v>
      </c>
      <c r="Q448" s="171" t="n">
        <v>75000</v>
      </c>
      <c r="R448" s="169" t="n"/>
      <c r="S448" s="171" t="n">
        <v>75000</v>
      </c>
      <c r="T448" s="169" t="inlineStr">
        <is>
          <t>CLP</t>
        </is>
      </c>
      <c r="U448" s="169" t="inlineStr">
        <is>
          <t>Carga LH 18-06-26</t>
        </is>
      </c>
      <c r="V448" s="169" t="inlineStr">
        <is>
          <t>2026-06-18</t>
        </is>
      </c>
    </row>
    <row r="449">
      <c r="A449" s="169" t="inlineStr">
        <is>
          <t>CR-0446</t>
        </is>
      </c>
      <c r="B449" s="169" t="inlineStr">
        <is>
          <t>2026/27</t>
        </is>
      </c>
      <c r="C449" s="231" t="n">
        <v>46092</v>
      </c>
      <c r="D449" s="169" t="inlineStr">
        <is>
          <t>111284</t>
        </is>
      </c>
      <c r="E449" s="169" t="inlineStr">
        <is>
          <t>COMPRA</t>
        </is>
      </c>
      <c r="F449" s="169" t="inlineStr">
        <is>
          <t>Sin asignar</t>
        </is>
      </c>
      <c r="G449" s="169" t="inlineStr">
        <is>
          <t>PACKING</t>
        </is>
      </c>
      <c r="H449" s="169" t="n"/>
      <c r="I449" s="169" t="n"/>
      <c r="J449" s="169" t="inlineStr">
        <is>
          <t>GASTOS GENERALES</t>
        </is>
      </c>
      <c r="K449" s="169" t="inlineStr">
        <is>
          <t>AGUA</t>
        </is>
      </c>
      <c r="L449" s="169" t="inlineStr">
        <is>
          <t>O/001449 RECARGA BO</t>
        </is>
      </c>
      <c r="M449" s="169" t="n"/>
      <c r="N449" s="169" t="inlineStr">
        <is>
          <t>.   .   -</t>
        </is>
      </c>
      <c r="O449" s="169" t="inlineStr">
        <is>
          <t>MARZO</t>
        </is>
      </c>
      <c r="P449" s="169" t="n">
        <v>10</v>
      </c>
      <c r="Q449" s="171" t="n">
        <v>16135</v>
      </c>
      <c r="R449" s="169" t="n"/>
      <c r="S449" s="171" t="n">
        <v>16135</v>
      </c>
      <c r="T449" s="169" t="inlineStr">
        <is>
          <t>CLP</t>
        </is>
      </c>
      <c r="U449" s="169" t="inlineStr">
        <is>
          <t>Carga LH 18-06-26</t>
        </is>
      </c>
      <c r="V449" s="169" t="inlineStr">
        <is>
          <t>2026-06-18</t>
        </is>
      </c>
    </row>
    <row r="450">
      <c r="A450" s="169" t="inlineStr">
        <is>
          <t>CR-0447</t>
        </is>
      </c>
      <c r="B450" s="169" t="inlineStr">
        <is>
          <t>2026/27</t>
        </is>
      </c>
      <c r="C450" s="231" t="n">
        <v>46092</v>
      </c>
      <c r="D450" s="169" t="inlineStr"/>
      <c r="E450" s="169" t="inlineStr">
        <is>
          <t>COMPRA</t>
        </is>
      </c>
      <c r="F450" s="169" t="inlineStr">
        <is>
          <t>Sin asignar</t>
        </is>
      </c>
      <c r="G450" s="169" t="inlineStr">
        <is>
          <t>PACKING</t>
        </is>
      </c>
      <c r="H450" s="169" t="n"/>
      <c r="I450" s="169" t="n"/>
      <c r="J450" s="169" t="inlineStr">
        <is>
          <t>FLETES</t>
        </is>
      </c>
      <c r="K450" s="169" t="inlineStr">
        <is>
          <t>FLETE FRUTA</t>
        </is>
      </c>
      <c r="L450" s="169" t="inlineStr">
        <is>
          <t>TRASLADO DE FRUTA</t>
        </is>
      </c>
      <c r="M450" s="169" t="n"/>
      <c r="N450" s="169" t="inlineStr">
        <is>
          <t>.   .   -</t>
        </is>
      </c>
      <c r="O450" s="169" t="inlineStr">
        <is>
          <t>MARZO</t>
        </is>
      </c>
      <c r="P450" s="169" t="n">
        <v>10</v>
      </c>
      <c r="Q450" s="171" t="n">
        <v>2985000</v>
      </c>
      <c r="R450" s="169" t="n"/>
      <c r="S450" s="171" t="n">
        <v>2985000</v>
      </c>
      <c r="T450" s="169" t="inlineStr">
        <is>
          <t>CLP</t>
        </is>
      </c>
      <c r="U450" s="169" t="inlineStr">
        <is>
          <t>Carga LH 18-06-26</t>
        </is>
      </c>
      <c r="V450" s="169" t="inlineStr">
        <is>
          <t>2026-06-18</t>
        </is>
      </c>
    </row>
    <row r="451">
      <c r="A451" s="169" t="inlineStr">
        <is>
          <t>CR-0448</t>
        </is>
      </c>
      <c r="B451" s="169" t="inlineStr">
        <is>
          <t>2026/27</t>
        </is>
      </c>
      <c r="C451" s="231" t="n">
        <v>46092</v>
      </c>
      <c r="D451" s="169" t="inlineStr">
        <is>
          <t>8418</t>
        </is>
      </c>
      <c r="E451" s="169" t="inlineStr">
        <is>
          <t>COMPRA</t>
        </is>
      </c>
      <c r="F451" s="169" t="inlineStr">
        <is>
          <t>Sin asignar</t>
        </is>
      </c>
      <c r="G451" s="169" t="inlineStr">
        <is>
          <t>PACKING</t>
        </is>
      </c>
      <c r="H451" s="169" t="n"/>
      <c r="I451" s="169" t="n"/>
      <c r="J451" s="169" t="inlineStr">
        <is>
          <t>FLETES</t>
        </is>
      </c>
      <c r="K451" s="169" t="inlineStr">
        <is>
          <t>FLETE FRUTA</t>
        </is>
      </c>
      <c r="L451" s="169" t="inlineStr">
        <is>
          <t>O/001466 FLETE</t>
        </is>
      </c>
      <c r="M451" s="169" t="n"/>
      <c r="N451" s="169" t="inlineStr">
        <is>
          <t>.   .   -</t>
        </is>
      </c>
      <c r="O451" s="169" t="inlineStr">
        <is>
          <t>MARZO</t>
        </is>
      </c>
      <c r="P451" s="169" t="n">
        <v>10</v>
      </c>
      <c r="Q451" s="171" t="n">
        <v>2825000</v>
      </c>
      <c r="R451" s="169" t="n"/>
      <c r="S451" s="171" t="n">
        <v>2825000</v>
      </c>
      <c r="T451" s="169" t="inlineStr">
        <is>
          <t>CLP</t>
        </is>
      </c>
      <c r="U451" s="169" t="inlineStr">
        <is>
          <t>Carga LH 18-06-26</t>
        </is>
      </c>
      <c r="V451" s="169" t="inlineStr">
        <is>
          <t>2026-06-18</t>
        </is>
      </c>
    </row>
    <row r="452">
      <c r="A452" s="169" t="inlineStr">
        <is>
          <t>CR-0449</t>
        </is>
      </c>
      <c r="B452" s="169" t="inlineStr">
        <is>
          <t>2026/27</t>
        </is>
      </c>
      <c r="C452" s="231" t="n">
        <v>46092</v>
      </c>
      <c r="D452" s="169" t="inlineStr">
        <is>
          <t>8418</t>
        </is>
      </c>
      <c r="E452" s="169" t="inlineStr">
        <is>
          <t>COMPRA</t>
        </is>
      </c>
      <c r="F452" s="169" t="inlineStr">
        <is>
          <t>Sin asignar</t>
        </is>
      </c>
      <c r="G452" s="169" t="inlineStr">
        <is>
          <t>PACKING</t>
        </is>
      </c>
      <c r="H452" s="169" t="n"/>
      <c r="I452" s="169" t="n"/>
      <c r="J452" s="169" t="inlineStr">
        <is>
          <t>FLETES</t>
        </is>
      </c>
      <c r="K452" s="169" t="inlineStr">
        <is>
          <t>FLETE TRASLADO MATERIALES</t>
        </is>
      </c>
      <c r="L452" s="169" t="inlineStr">
        <is>
          <t>O/001466 FLETE</t>
        </is>
      </c>
      <c r="M452" s="169" t="n"/>
      <c r="N452" s="169" t="inlineStr">
        <is>
          <t>.   .   -</t>
        </is>
      </c>
      <c r="O452" s="169" t="inlineStr">
        <is>
          <t>MARZO</t>
        </is>
      </c>
      <c r="P452" s="169" t="n">
        <v>10</v>
      </c>
      <c r="Q452" s="171" t="n">
        <v>160000</v>
      </c>
      <c r="R452" s="169" t="n"/>
      <c r="S452" s="171" t="n">
        <v>160000</v>
      </c>
      <c r="T452" s="169" t="inlineStr">
        <is>
          <t>CLP</t>
        </is>
      </c>
      <c r="U452" s="169" t="inlineStr">
        <is>
          <t>Carga LH 18-06-26</t>
        </is>
      </c>
      <c r="V452" s="169" t="inlineStr">
        <is>
          <t>2026-06-18</t>
        </is>
      </c>
    </row>
    <row r="453">
      <c r="A453" s="169" t="inlineStr">
        <is>
          <t>CR-0450</t>
        </is>
      </c>
      <c r="B453" s="169" t="inlineStr">
        <is>
          <t>2026/27</t>
        </is>
      </c>
      <c r="C453" s="231" t="n">
        <v>46093</v>
      </c>
      <c r="D453" s="169" t="inlineStr">
        <is>
          <t>162410</t>
        </is>
      </c>
      <c r="E453" s="169" t="inlineStr">
        <is>
          <t>COMPRA</t>
        </is>
      </c>
      <c r="F453" s="169" t="inlineStr">
        <is>
          <t>Sin asignar</t>
        </is>
      </c>
      <c r="G453" s="169" t="inlineStr">
        <is>
          <t>PACKING</t>
        </is>
      </c>
      <c r="H453" s="169" t="n"/>
      <c r="I453" s="169" t="n"/>
      <c r="J453" s="169" t="inlineStr">
        <is>
          <t>COMBUSTIBLE</t>
        </is>
      </c>
      <c r="K453" s="169" t="inlineStr">
        <is>
          <t>SIB. GRUA HORQUILLA ARRIENDO</t>
        </is>
      </c>
      <c r="L453" s="169" t="inlineStr">
        <is>
          <t>O/001472 GAS ENV. 1</t>
        </is>
      </c>
      <c r="M453" s="169" t="n"/>
      <c r="N453" s="169" t="inlineStr">
        <is>
          <t>.   .   -</t>
        </is>
      </c>
      <c r="O453" s="169" t="inlineStr">
        <is>
          <t>MARZO</t>
        </is>
      </c>
      <c r="P453" s="169" t="n">
        <v>10</v>
      </c>
      <c r="Q453" s="171" t="n">
        <v>63207</v>
      </c>
      <c r="R453" s="169" t="n"/>
      <c r="S453" s="171" t="n">
        <v>63207</v>
      </c>
      <c r="T453" s="169" t="inlineStr">
        <is>
          <t>CLP</t>
        </is>
      </c>
      <c r="U453" s="169" t="inlineStr">
        <is>
          <t>Carga LH 18-06-26</t>
        </is>
      </c>
      <c r="V453" s="169" t="inlineStr">
        <is>
          <t>2026-06-18</t>
        </is>
      </c>
    </row>
    <row r="454">
      <c r="A454" s="169" t="inlineStr">
        <is>
          <t>CR-0451</t>
        </is>
      </c>
      <c r="B454" s="169" t="inlineStr">
        <is>
          <t>2026/27</t>
        </is>
      </c>
      <c r="C454" s="231" t="n">
        <v>46097</v>
      </c>
      <c r="D454" s="169" t="inlineStr">
        <is>
          <t>267</t>
        </is>
      </c>
      <c r="E454" s="169" t="inlineStr">
        <is>
          <t>COMPRA</t>
        </is>
      </c>
      <c r="F454" s="169" t="inlineStr">
        <is>
          <t>Mega Catalina</t>
        </is>
      </c>
      <c r="G454" s="169" t="inlineStr">
        <is>
          <t>EUREKA - 1999 (22,5 Ha.)</t>
        </is>
      </c>
      <c r="H454" s="169" t="n"/>
      <c r="I454" s="169" t="n"/>
      <c r="J454" s="169" t="inlineStr">
        <is>
          <t>LABORES OPERACIONALES</t>
        </is>
      </c>
      <c r="K454" s="169" t="inlineStr">
        <is>
          <t>OTROS SERVICIOS</t>
        </is>
      </c>
      <c r="L454" s="169" t="inlineStr">
        <is>
          <t>SERV.CONTRATISTA</t>
        </is>
      </c>
      <c r="M454" s="169" t="n"/>
      <c r="N454" s="169" t="inlineStr">
        <is>
          <t>.   .   -</t>
        </is>
      </c>
      <c r="O454" s="169" t="inlineStr">
        <is>
          <t>MARZO</t>
        </is>
      </c>
      <c r="P454" s="169" t="n">
        <v>11</v>
      </c>
      <c r="Q454" s="171" t="n">
        <v>337260</v>
      </c>
      <c r="R454" s="169" t="n"/>
      <c r="S454" s="171" t="n">
        <v>337260</v>
      </c>
      <c r="T454" s="169" t="inlineStr">
        <is>
          <t>CLP</t>
        </is>
      </c>
      <c r="U454" s="169" t="inlineStr">
        <is>
          <t>Carga LH 18-06-26</t>
        </is>
      </c>
      <c r="V454" s="169" t="inlineStr">
        <is>
          <t>2026-06-18</t>
        </is>
      </c>
    </row>
    <row r="455">
      <c r="A455" s="169" t="inlineStr">
        <is>
          <t>CR-0452</t>
        </is>
      </c>
      <c r="B455" s="169" t="inlineStr">
        <is>
          <t>2026/27</t>
        </is>
      </c>
      <c r="C455" s="231" t="n">
        <v>46097</v>
      </c>
      <c r="D455" s="169" t="inlineStr">
        <is>
          <t>267</t>
        </is>
      </c>
      <c r="E455" s="169" t="inlineStr">
        <is>
          <t>COMPRA</t>
        </is>
      </c>
      <c r="F455" s="169" t="inlineStr">
        <is>
          <t>Mega Catalina</t>
        </is>
      </c>
      <c r="G455" s="169" t="inlineStr">
        <is>
          <t>EUREKA - 1999 (10,6 Ha.)</t>
        </is>
      </c>
      <c r="H455" s="169" t="n"/>
      <c r="I455" s="169" t="n"/>
      <c r="J455" s="169" t="inlineStr">
        <is>
          <t>LABORES OPERACIONALES</t>
        </is>
      </c>
      <c r="K455" s="169" t="inlineStr">
        <is>
          <t>OTROS SERVICIOS</t>
        </is>
      </c>
      <c r="L455" s="169" t="inlineStr">
        <is>
          <t>SERV.CONTRATISTA</t>
        </is>
      </c>
      <c r="M455" s="169" t="n"/>
      <c r="N455" s="169" t="inlineStr">
        <is>
          <t>.   .   -</t>
        </is>
      </c>
      <c r="O455" s="169" t="inlineStr">
        <is>
          <t>MARZO</t>
        </is>
      </c>
      <c r="P455" s="169" t="n">
        <v>11</v>
      </c>
      <c r="Q455" s="171" t="n">
        <v>221190</v>
      </c>
      <c r="R455" s="169" t="n"/>
      <c r="S455" s="171" t="n">
        <v>221190</v>
      </c>
      <c r="T455" s="169" t="inlineStr">
        <is>
          <t>CLP</t>
        </is>
      </c>
      <c r="U455" s="169" t="inlineStr">
        <is>
          <t>Carga LH 18-06-26</t>
        </is>
      </c>
      <c r="V455" s="169" t="inlineStr">
        <is>
          <t>2026-06-18</t>
        </is>
      </c>
    </row>
    <row r="456">
      <c r="A456" s="169" t="inlineStr">
        <is>
          <t>CR-0453</t>
        </is>
      </c>
      <c r="B456" s="169" t="inlineStr">
        <is>
          <t>2026/27</t>
        </is>
      </c>
      <c r="C456" s="231" t="n">
        <v>46097</v>
      </c>
      <c r="D456" s="169" t="inlineStr">
        <is>
          <t>267</t>
        </is>
      </c>
      <c r="E456" s="169" t="inlineStr">
        <is>
          <t>COMPRA</t>
        </is>
      </c>
      <c r="F456" s="169" t="inlineStr">
        <is>
          <t>Mega Catalina</t>
        </is>
      </c>
      <c r="G456" s="169" t="inlineStr">
        <is>
          <t>EUREKA - 2016 (14,4 Ha.)</t>
        </is>
      </c>
      <c r="H456" s="169" t="n"/>
      <c r="I456" s="169" t="n"/>
      <c r="J456" s="169" t="inlineStr">
        <is>
          <t>LABORES OPERACIONALES</t>
        </is>
      </c>
      <c r="K456" s="169" t="inlineStr">
        <is>
          <t>OTROS SERVICIOS</t>
        </is>
      </c>
      <c r="L456" s="169" t="inlineStr">
        <is>
          <t>SERV.CONTRATISTA</t>
        </is>
      </c>
      <c r="M456" s="169" t="n"/>
      <c r="N456" s="169" t="inlineStr">
        <is>
          <t>.   .   -</t>
        </is>
      </c>
      <c r="O456" s="169" t="inlineStr">
        <is>
          <t>MARZO</t>
        </is>
      </c>
      <c r="P456" s="169" t="n">
        <v>11</v>
      </c>
      <c r="Q456" s="171" t="n">
        <v>216810</v>
      </c>
      <c r="R456" s="169" t="n"/>
      <c r="S456" s="171" t="n">
        <v>216810</v>
      </c>
      <c r="T456" s="169" t="inlineStr">
        <is>
          <t>CLP</t>
        </is>
      </c>
      <c r="U456" s="169" t="inlineStr">
        <is>
          <t>Carga LH 18-06-26</t>
        </is>
      </c>
      <c r="V456" s="169" t="inlineStr">
        <is>
          <t>2026-06-18</t>
        </is>
      </c>
    </row>
    <row r="457">
      <c r="A457" s="169" t="inlineStr">
        <is>
          <t>CR-0454</t>
        </is>
      </c>
      <c r="B457" s="169" t="inlineStr">
        <is>
          <t>2026/27</t>
        </is>
      </c>
      <c r="C457" s="231" t="n">
        <v>46097</v>
      </c>
      <c r="D457" s="169" t="inlineStr">
        <is>
          <t>267</t>
        </is>
      </c>
      <c r="E457" s="169" t="inlineStr">
        <is>
          <t>COMPRA</t>
        </is>
      </c>
      <c r="F457" s="169" t="inlineStr">
        <is>
          <t>Mega Catalina</t>
        </is>
      </c>
      <c r="G457" s="169" t="inlineStr">
        <is>
          <t>FINO 49 - 1999 (7,7 Ha.)</t>
        </is>
      </c>
      <c r="H457" s="169" t="n"/>
      <c r="I457" s="169" t="n"/>
      <c r="J457" s="169" t="inlineStr">
        <is>
          <t>LABORES OPERACIONALES</t>
        </is>
      </c>
      <c r="K457" s="169" t="inlineStr">
        <is>
          <t>OTROS SERVICIOS</t>
        </is>
      </c>
      <c r="L457" s="169" t="inlineStr">
        <is>
          <t>SERV.CONTRATISTA</t>
        </is>
      </c>
      <c r="M457" s="169" t="n"/>
      <c r="N457" s="169" t="inlineStr">
        <is>
          <t>.   .   -</t>
        </is>
      </c>
      <c r="O457" s="169" t="inlineStr">
        <is>
          <t>MARZO</t>
        </is>
      </c>
      <c r="P457" s="169" t="n">
        <v>11</v>
      </c>
      <c r="Q457" s="171" t="n">
        <v>173010</v>
      </c>
      <c r="R457" s="169" t="n"/>
      <c r="S457" s="171" t="n">
        <v>173010</v>
      </c>
      <c r="T457" s="169" t="inlineStr">
        <is>
          <t>CLP</t>
        </is>
      </c>
      <c r="U457" s="169" t="inlineStr">
        <is>
          <t>Carga LH 18-06-26</t>
        </is>
      </c>
      <c r="V457" s="169" t="inlineStr">
        <is>
          <t>2026-06-18</t>
        </is>
      </c>
    </row>
    <row r="458">
      <c r="A458" s="169" t="inlineStr">
        <is>
          <t>CR-0455</t>
        </is>
      </c>
      <c r="B458" s="169" t="inlineStr">
        <is>
          <t>2026/27</t>
        </is>
      </c>
      <c r="C458" s="231" t="n">
        <v>46097</v>
      </c>
      <c r="D458" s="169" t="inlineStr">
        <is>
          <t>267</t>
        </is>
      </c>
      <c r="E458" s="169" t="inlineStr">
        <is>
          <t>COMPRA</t>
        </is>
      </c>
      <c r="F458" s="169" t="inlineStr">
        <is>
          <t>Mega Catalina</t>
        </is>
      </c>
      <c r="G458" s="169" t="inlineStr">
        <is>
          <t>NO USAR NARANJAS CAMBRIA (4,2 Hta.)</t>
        </is>
      </c>
      <c r="H458" s="169" t="n"/>
      <c r="I458" s="169" t="n"/>
      <c r="J458" s="169" t="inlineStr">
        <is>
          <t>LABORES OPERACIONALES</t>
        </is>
      </c>
      <c r="K458" s="169" t="inlineStr">
        <is>
          <t>OTROS SERVICIOS</t>
        </is>
      </c>
      <c r="L458" s="169" t="inlineStr">
        <is>
          <t>SERV.CONTRATISTA</t>
        </is>
      </c>
      <c r="M458" s="169" t="n"/>
      <c r="N458" s="169" t="inlineStr">
        <is>
          <t>.   .   -</t>
        </is>
      </c>
      <c r="O458" s="169" t="inlineStr">
        <is>
          <t>MARZO</t>
        </is>
      </c>
      <c r="P458" s="169" t="n">
        <v>11</v>
      </c>
      <c r="Q458" s="171" t="n">
        <v>61320</v>
      </c>
      <c r="R458" s="169" t="n"/>
      <c r="S458" s="171" t="n">
        <v>61320</v>
      </c>
      <c r="T458" s="169" t="inlineStr">
        <is>
          <t>CLP</t>
        </is>
      </c>
      <c r="U458" s="169" t="inlineStr">
        <is>
          <t>Carga LH 18-06-26</t>
        </is>
      </c>
      <c r="V458" s="169" t="inlineStr">
        <is>
          <t>2026-06-18</t>
        </is>
      </c>
    </row>
    <row r="459">
      <c r="A459" s="169" t="inlineStr">
        <is>
          <t>CR-0456</t>
        </is>
      </c>
      <c r="B459" s="169" t="inlineStr">
        <is>
          <t>2026/27</t>
        </is>
      </c>
      <c r="C459" s="231" t="n">
        <v>46097</v>
      </c>
      <c r="D459" s="169" t="inlineStr">
        <is>
          <t>267</t>
        </is>
      </c>
      <c r="E459" s="169" t="inlineStr">
        <is>
          <t>COMPRA</t>
        </is>
      </c>
      <c r="F459" s="169" t="inlineStr">
        <is>
          <t>Mega Catalina</t>
        </is>
      </c>
      <c r="G459" s="169" t="inlineStr">
        <is>
          <t>MURCOTT - 2007 (21 Ha.)</t>
        </is>
      </c>
      <c r="H459" s="169" t="n"/>
      <c r="I459" s="169" t="n"/>
      <c r="J459" s="169" t="inlineStr">
        <is>
          <t>LABORES OPERACIONALES</t>
        </is>
      </c>
      <c r="K459" s="169" t="inlineStr">
        <is>
          <t>OTROS SERVICIOS</t>
        </is>
      </c>
      <c r="L459" s="169" t="inlineStr">
        <is>
          <t>SERV.CONTRATISTA</t>
        </is>
      </c>
      <c r="M459" s="169" t="n"/>
      <c r="N459" s="169" t="inlineStr">
        <is>
          <t>.   .   -</t>
        </is>
      </c>
      <c r="O459" s="169" t="inlineStr">
        <is>
          <t>MARZO</t>
        </is>
      </c>
      <c r="P459" s="169" t="n">
        <v>11</v>
      </c>
      <c r="Q459" s="171" t="n">
        <v>315360</v>
      </c>
      <c r="R459" s="169" t="n"/>
      <c r="S459" s="171" t="n">
        <v>315360</v>
      </c>
      <c r="T459" s="169" t="inlineStr">
        <is>
          <t>CLP</t>
        </is>
      </c>
      <c r="U459" s="169" t="inlineStr">
        <is>
          <t>Carga LH 18-06-26</t>
        </is>
      </c>
      <c r="V459" s="169" t="inlineStr">
        <is>
          <t>2026-06-18</t>
        </is>
      </c>
    </row>
    <row r="460">
      <c r="A460" s="169" t="inlineStr">
        <is>
          <t>CR-0457</t>
        </is>
      </c>
      <c r="B460" s="169" t="inlineStr">
        <is>
          <t>2026/27</t>
        </is>
      </c>
      <c r="C460" s="231" t="n">
        <v>46097</v>
      </c>
      <c r="D460" s="169" t="inlineStr">
        <is>
          <t>268</t>
        </is>
      </c>
      <c r="E460" s="169" t="inlineStr">
        <is>
          <t>COMPRA</t>
        </is>
      </c>
      <c r="F460" s="169" t="inlineStr">
        <is>
          <t>Sin asignar</t>
        </is>
      </c>
      <c r="G460" s="169" t="inlineStr">
        <is>
          <t>PACKING</t>
        </is>
      </c>
      <c r="H460" s="169" t="n"/>
      <c r="I460" s="169" t="n"/>
      <c r="J460" s="169" t="inlineStr">
        <is>
          <t>LABORES OPERACIONALES</t>
        </is>
      </c>
      <c r="K460" s="169" t="inlineStr">
        <is>
          <t>OTROS SERVICIOS</t>
        </is>
      </c>
      <c r="L460" s="169" t="inlineStr">
        <is>
          <t>SERV.CONTRATISTA</t>
        </is>
      </c>
      <c r="M460" s="169" t="n"/>
      <c r="N460" s="169" t="inlineStr">
        <is>
          <t>.   .   -</t>
        </is>
      </c>
      <c r="O460" s="169" t="inlineStr">
        <is>
          <t>MARZO</t>
        </is>
      </c>
      <c r="P460" s="169" t="n">
        <v>11</v>
      </c>
      <c r="Q460" s="171" t="n">
        <v>1276530</v>
      </c>
      <c r="R460" s="169" t="n"/>
      <c r="S460" s="171" t="n">
        <v>1276530</v>
      </c>
      <c r="T460" s="169" t="inlineStr">
        <is>
          <t>CLP</t>
        </is>
      </c>
      <c r="U460" s="169" t="inlineStr">
        <is>
          <t>Carga LH 18-06-26</t>
        </is>
      </c>
      <c r="V460" s="169" t="inlineStr">
        <is>
          <t>2026-06-18</t>
        </is>
      </c>
    </row>
    <row r="461">
      <c r="A461" s="169" t="inlineStr">
        <is>
          <t>CR-0458</t>
        </is>
      </c>
      <c r="B461" s="169" t="inlineStr">
        <is>
          <t>2026/27</t>
        </is>
      </c>
      <c r="C461" s="231" t="n">
        <v>46097</v>
      </c>
      <c r="D461" s="169" t="inlineStr">
        <is>
          <t>268</t>
        </is>
      </c>
      <c r="E461" s="169" t="inlineStr">
        <is>
          <t>COMPRA</t>
        </is>
      </c>
      <c r="F461" s="169" t="inlineStr">
        <is>
          <t>Mega Catalina</t>
        </is>
      </c>
      <c r="G461" s="169" t="inlineStr">
        <is>
          <t>INJERTO TIMPSON - 2018 (3,8 Ha.)</t>
        </is>
      </c>
      <c r="H461" s="169" t="n"/>
      <c r="I461" s="169" t="n"/>
      <c r="J461" s="169" t="inlineStr">
        <is>
          <t>LABORES OPERACIONALES</t>
        </is>
      </c>
      <c r="K461" s="169" t="inlineStr">
        <is>
          <t>OTROS SERVICIOS</t>
        </is>
      </c>
      <c r="L461" s="169" t="inlineStr">
        <is>
          <t>SERV.CONTRATISTA</t>
        </is>
      </c>
      <c r="M461" s="169" t="n"/>
      <c r="N461" s="169" t="inlineStr">
        <is>
          <t>.   .   -</t>
        </is>
      </c>
      <c r="O461" s="169" t="inlineStr">
        <is>
          <t>MARZO</t>
        </is>
      </c>
      <c r="P461" s="169" t="n">
        <v>11</v>
      </c>
      <c r="Q461" s="171" t="n">
        <v>443031</v>
      </c>
      <c r="R461" s="169" t="n"/>
      <c r="S461" s="171" t="n">
        <v>443031</v>
      </c>
      <c r="T461" s="169" t="inlineStr">
        <is>
          <t>CLP</t>
        </is>
      </c>
      <c r="U461" s="169" t="inlineStr">
        <is>
          <t>Carga LH 18-06-26</t>
        </is>
      </c>
      <c r="V461" s="169" t="inlineStr">
        <is>
          <t>2026-06-18</t>
        </is>
      </c>
    </row>
    <row r="462">
      <c r="A462" s="169" t="inlineStr">
        <is>
          <t>CR-0459</t>
        </is>
      </c>
      <c r="B462" s="169" t="inlineStr">
        <is>
          <t>2026/27</t>
        </is>
      </c>
      <c r="C462" s="231" t="n">
        <v>46097</v>
      </c>
      <c r="D462" s="169" t="inlineStr">
        <is>
          <t>268</t>
        </is>
      </c>
      <c r="E462" s="169" t="inlineStr">
        <is>
          <t>COMPRA</t>
        </is>
      </c>
      <c r="F462" s="169" t="inlineStr">
        <is>
          <t>Mega Catalina</t>
        </is>
      </c>
      <c r="G462" s="169" t="inlineStr">
        <is>
          <t>INJERTO TIMPSON - 2019 (4,2 Ha.)</t>
        </is>
      </c>
      <c r="H462" s="169" t="n"/>
      <c r="I462" s="169" t="n"/>
      <c r="J462" s="169" t="inlineStr">
        <is>
          <t>LABORES OPERACIONALES</t>
        </is>
      </c>
      <c r="K462" s="169" t="inlineStr">
        <is>
          <t>OTROS SERVICIOS</t>
        </is>
      </c>
      <c r="L462" s="169" t="inlineStr">
        <is>
          <t>SERV.CONTRATISTA</t>
        </is>
      </c>
      <c r="M462" s="169" t="n"/>
      <c r="N462" s="169" t="inlineStr">
        <is>
          <t>.   .   -</t>
        </is>
      </c>
      <c r="O462" s="169" t="inlineStr">
        <is>
          <t>MARZO</t>
        </is>
      </c>
      <c r="P462" s="169" t="n">
        <v>11</v>
      </c>
      <c r="Q462" s="171" t="n">
        <v>490588</v>
      </c>
      <c r="R462" s="169" t="n"/>
      <c r="S462" s="171" t="n">
        <v>490588</v>
      </c>
      <c r="T462" s="169" t="inlineStr">
        <is>
          <t>CLP</t>
        </is>
      </c>
      <c r="U462" s="169" t="inlineStr">
        <is>
          <t>Carga LH 18-06-26</t>
        </is>
      </c>
      <c r="V462" s="169" t="inlineStr">
        <is>
          <t>2026-06-18</t>
        </is>
      </c>
    </row>
    <row r="463">
      <c r="A463" s="169" t="inlineStr">
        <is>
          <t>CR-0460</t>
        </is>
      </c>
      <c r="B463" s="169" t="inlineStr">
        <is>
          <t>2026/27</t>
        </is>
      </c>
      <c r="C463" s="231" t="n">
        <v>46097</v>
      </c>
      <c r="D463" s="169" t="inlineStr">
        <is>
          <t>268</t>
        </is>
      </c>
      <c r="E463" s="169" t="inlineStr">
        <is>
          <t>COMPRA</t>
        </is>
      </c>
      <c r="F463" s="169" t="inlineStr">
        <is>
          <t>Mega Catalina</t>
        </is>
      </c>
      <c r="G463" s="169" t="inlineStr">
        <is>
          <t>SWEET CELEBRATION - 2015 (7,14 Ha.)</t>
        </is>
      </c>
      <c r="H463" s="169" t="n"/>
      <c r="I463" s="169" t="n"/>
      <c r="J463" s="169" t="inlineStr">
        <is>
          <t>LABORES OPERACIONALES</t>
        </is>
      </c>
      <c r="K463" s="169" t="inlineStr">
        <is>
          <t>OTROS SERVICIOS</t>
        </is>
      </c>
      <c r="L463" s="169" t="inlineStr">
        <is>
          <t>SERV.CONTRATISTA</t>
        </is>
      </c>
      <c r="M463" s="169" t="n"/>
      <c r="N463" s="169" t="inlineStr">
        <is>
          <t>.   .   -</t>
        </is>
      </c>
      <c r="O463" s="169" t="inlineStr">
        <is>
          <t>MARZO</t>
        </is>
      </c>
      <c r="P463" s="169" t="n">
        <v>11</v>
      </c>
      <c r="Q463" s="171" t="n">
        <v>836002</v>
      </c>
      <c r="R463" s="169" t="n"/>
      <c r="S463" s="171" t="n">
        <v>836002</v>
      </c>
      <c r="T463" s="169" t="inlineStr">
        <is>
          <t>CLP</t>
        </is>
      </c>
      <c r="U463" s="169" t="inlineStr">
        <is>
          <t>Carga LH 18-06-26</t>
        </is>
      </c>
      <c r="V463" s="169" t="inlineStr">
        <is>
          <t>2026-06-18</t>
        </is>
      </c>
    </row>
    <row r="464">
      <c r="A464" s="169" t="inlineStr">
        <is>
          <t>CR-0461</t>
        </is>
      </c>
      <c r="B464" s="169" t="inlineStr">
        <is>
          <t>2026/27</t>
        </is>
      </c>
      <c r="C464" s="231" t="n">
        <v>46097</v>
      </c>
      <c r="D464" s="169" t="inlineStr">
        <is>
          <t>621</t>
        </is>
      </c>
      <c r="E464" s="169" t="inlineStr">
        <is>
          <t>COMPRA</t>
        </is>
      </c>
      <c r="F464" s="169" t="inlineStr">
        <is>
          <t>El Molle</t>
        </is>
      </c>
      <c r="G464" s="169" t="inlineStr">
        <is>
          <t>ARRUFATINA - 2017 (5,74 Ha.)</t>
        </is>
      </c>
      <c r="H464" s="169" t="n"/>
      <c r="I464" s="169" t="n"/>
      <c r="J464" s="169" t="inlineStr">
        <is>
          <t>LABORES OPERACIONALES</t>
        </is>
      </c>
      <c r="K464" s="169" t="inlineStr">
        <is>
          <t>OTROS SERVICIOS</t>
        </is>
      </c>
      <c r="L464" s="169" t="inlineStr">
        <is>
          <t>SERV.CONTRATISTA</t>
        </is>
      </c>
      <c r="M464" s="169" t="n"/>
      <c r="N464" s="169" t="inlineStr">
        <is>
          <t>.   .   -</t>
        </is>
      </c>
      <c r="O464" s="169" t="inlineStr">
        <is>
          <t>MARZO</t>
        </is>
      </c>
      <c r="P464" s="169" t="n">
        <v>11</v>
      </c>
      <c r="Q464" s="171" t="n">
        <v>255000</v>
      </c>
      <c r="R464" s="169" t="n"/>
      <c r="S464" s="171" t="n">
        <v>255000</v>
      </c>
      <c r="T464" s="169" t="inlineStr">
        <is>
          <t>CLP</t>
        </is>
      </c>
      <c r="U464" s="169" t="inlineStr">
        <is>
          <t>Carga LH 18-06-26</t>
        </is>
      </c>
      <c r="V464" s="169" t="inlineStr">
        <is>
          <t>2026-06-18</t>
        </is>
      </c>
    </row>
    <row r="465">
      <c r="A465" s="169" t="inlineStr">
        <is>
          <t>CR-0462</t>
        </is>
      </c>
      <c r="B465" s="169" t="inlineStr">
        <is>
          <t>2026/27</t>
        </is>
      </c>
      <c r="C465" s="231" t="n">
        <v>46097</v>
      </c>
      <c r="D465" s="169" t="inlineStr">
        <is>
          <t>621</t>
        </is>
      </c>
      <c r="E465" s="169" t="inlineStr">
        <is>
          <t>COMPRA</t>
        </is>
      </c>
      <c r="F465" s="169" t="inlineStr">
        <is>
          <t>El Molle</t>
        </is>
      </c>
      <c r="G465" s="169" t="inlineStr">
        <is>
          <t>ORONULES - 2017 (2,85 Ha.)</t>
        </is>
      </c>
      <c r="H465" s="169" t="n"/>
      <c r="I465" s="169" t="n"/>
      <c r="J465" s="169" t="inlineStr">
        <is>
          <t>LABORES OPERACIONALES</t>
        </is>
      </c>
      <c r="K465" s="169" t="inlineStr">
        <is>
          <t>OTROS SERVICIOS</t>
        </is>
      </c>
      <c r="L465" s="169" t="inlineStr">
        <is>
          <t>SERV.CONTRATISTA</t>
        </is>
      </c>
      <c r="M465" s="169" t="n"/>
      <c r="N465" s="169" t="inlineStr">
        <is>
          <t>.   .   -</t>
        </is>
      </c>
      <c r="O465" s="169" t="inlineStr">
        <is>
          <t>MARZO</t>
        </is>
      </c>
      <c r="P465" s="169" t="n">
        <v>11</v>
      </c>
      <c r="Q465" s="171" t="n">
        <v>85000</v>
      </c>
      <c r="R465" s="169" t="n"/>
      <c r="S465" s="171" t="n">
        <v>85000</v>
      </c>
      <c r="T465" s="169" t="inlineStr">
        <is>
          <t>CLP</t>
        </is>
      </c>
      <c r="U465" s="169" t="inlineStr">
        <is>
          <t>Carga LH 18-06-26</t>
        </is>
      </c>
      <c r="V465" s="169" t="inlineStr">
        <is>
          <t>2026-06-18</t>
        </is>
      </c>
    </row>
    <row r="466">
      <c r="A466" s="169" t="inlineStr">
        <is>
          <t>CR-0463</t>
        </is>
      </c>
      <c r="B466" s="169" t="inlineStr">
        <is>
          <t>2026/27</t>
        </is>
      </c>
      <c r="C466" s="231" t="n">
        <v>46097</v>
      </c>
      <c r="D466" s="169" t="inlineStr">
        <is>
          <t>621</t>
        </is>
      </c>
      <c r="E466" s="169" t="inlineStr">
        <is>
          <t>COMPRA</t>
        </is>
      </c>
      <c r="F466" s="169" t="inlineStr">
        <is>
          <t>Mega Catalina</t>
        </is>
      </c>
      <c r="G466" s="169" t="inlineStr">
        <is>
          <t>ORONULES - 2019 (2,5 Ha.)</t>
        </is>
      </c>
      <c r="H466" s="169" t="n"/>
      <c r="I466" s="169" t="n"/>
      <c r="J466" s="169" t="inlineStr">
        <is>
          <t>LABORES OPERACIONALES</t>
        </is>
      </c>
      <c r="K466" s="169" t="inlineStr">
        <is>
          <t>OTROS SERVICIOS</t>
        </is>
      </c>
      <c r="L466" s="169" t="inlineStr">
        <is>
          <t>SERV.CONTRATISTA</t>
        </is>
      </c>
      <c r="M466" s="169" t="n"/>
      <c r="N466" s="169" t="inlineStr">
        <is>
          <t>.   .   -</t>
        </is>
      </c>
      <c r="O466" s="169" t="inlineStr">
        <is>
          <t>MARZO</t>
        </is>
      </c>
      <c r="P466" s="169" t="n">
        <v>11</v>
      </c>
      <c r="Q466" s="171" t="n">
        <v>85000</v>
      </c>
      <c r="R466" s="169" t="n"/>
      <c r="S466" s="171" t="n">
        <v>85000</v>
      </c>
      <c r="T466" s="169" t="inlineStr">
        <is>
          <t>CLP</t>
        </is>
      </c>
      <c r="U466" s="169" t="inlineStr">
        <is>
          <t>Carga LH 18-06-26</t>
        </is>
      </c>
      <c r="V466" s="169" t="inlineStr">
        <is>
          <t>2026-06-18</t>
        </is>
      </c>
    </row>
    <row r="467">
      <c r="A467" s="169" t="inlineStr">
        <is>
          <t>CR-0464</t>
        </is>
      </c>
      <c r="B467" s="169" t="inlineStr">
        <is>
          <t>2026/27</t>
        </is>
      </c>
      <c r="C467" s="231" t="n">
        <v>46097</v>
      </c>
      <c r="D467" s="169" t="inlineStr">
        <is>
          <t>621</t>
        </is>
      </c>
      <c r="E467" s="169" t="inlineStr">
        <is>
          <t>COMPRA</t>
        </is>
      </c>
      <c r="F467" s="169" t="inlineStr">
        <is>
          <t>El Molle</t>
        </is>
      </c>
      <c r="G467" s="169" t="inlineStr">
        <is>
          <t>OROGRANDE - 2007 (8,11 Ha.)</t>
        </is>
      </c>
      <c r="H467" s="169" t="n"/>
      <c r="I467" s="169" t="n"/>
      <c r="J467" s="169" t="inlineStr">
        <is>
          <t>LABORES OPERACIONALES</t>
        </is>
      </c>
      <c r="K467" s="169" t="inlineStr">
        <is>
          <t>OTROS SERVICIOS</t>
        </is>
      </c>
      <c r="L467" s="169" t="inlineStr">
        <is>
          <t>SERV.CONTRATISTA</t>
        </is>
      </c>
      <c r="M467" s="169" t="n"/>
      <c r="N467" s="169" t="inlineStr">
        <is>
          <t>.   .   -</t>
        </is>
      </c>
      <c r="O467" s="169" t="inlineStr">
        <is>
          <t>MARZO</t>
        </is>
      </c>
      <c r="P467" s="169" t="n">
        <v>11</v>
      </c>
      <c r="Q467" s="171" t="n">
        <v>255000</v>
      </c>
      <c r="R467" s="169" t="n"/>
      <c r="S467" s="171" t="n">
        <v>255000</v>
      </c>
      <c r="T467" s="169" t="inlineStr">
        <is>
          <t>CLP</t>
        </is>
      </c>
      <c r="U467" s="169" t="inlineStr">
        <is>
          <t>Carga LH 18-06-26</t>
        </is>
      </c>
      <c r="V467" s="169" t="inlineStr">
        <is>
          <t>2026-06-18</t>
        </is>
      </c>
    </row>
    <row r="468">
      <c r="A468" s="169" t="inlineStr">
        <is>
          <t>CR-0465</t>
        </is>
      </c>
      <c r="B468" s="169" t="inlineStr">
        <is>
          <t>2026/27</t>
        </is>
      </c>
      <c r="C468" s="231" t="n">
        <v>46097</v>
      </c>
      <c r="D468" s="169" t="inlineStr">
        <is>
          <t>621</t>
        </is>
      </c>
      <c r="E468" s="169" t="inlineStr">
        <is>
          <t>COMPRA</t>
        </is>
      </c>
      <c r="F468" s="169" t="inlineStr">
        <is>
          <t>El Molle</t>
        </is>
      </c>
      <c r="G468" s="169" t="inlineStr">
        <is>
          <t>WONDERFUL - 2002 (2,80 Ha.)</t>
        </is>
      </c>
      <c r="H468" s="169" t="n"/>
      <c r="I468" s="169" t="n"/>
      <c r="J468" s="169" t="inlineStr">
        <is>
          <t>LABORES OPERACIONALES</t>
        </is>
      </c>
      <c r="K468" s="169" t="inlineStr">
        <is>
          <t>OTROS SERVICIOS</t>
        </is>
      </c>
      <c r="L468" s="169" t="inlineStr">
        <is>
          <t>SERV.CONTRATISTA</t>
        </is>
      </c>
      <c r="M468" s="169" t="n"/>
      <c r="N468" s="169" t="inlineStr">
        <is>
          <t>.   .   -</t>
        </is>
      </c>
      <c r="O468" s="169" t="inlineStr">
        <is>
          <t>MARZO</t>
        </is>
      </c>
      <c r="P468" s="169" t="n">
        <v>11</v>
      </c>
      <c r="Q468" s="171" t="n">
        <v>85000</v>
      </c>
      <c r="R468" s="169" t="n"/>
      <c r="S468" s="171" t="n">
        <v>85000</v>
      </c>
      <c r="T468" s="169" t="inlineStr">
        <is>
          <t>CLP</t>
        </is>
      </c>
      <c r="U468" s="169" t="inlineStr">
        <is>
          <t>Carga LH 18-06-26</t>
        </is>
      </c>
      <c r="V468" s="169" t="inlineStr">
        <is>
          <t>2026-06-18</t>
        </is>
      </c>
    </row>
    <row r="469">
      <c r="A469" s="169" t="inlineStr">
        <is>
          <t>CR-0466</t>
        </is>
      </c>
      <c r="B469" s="169" t="inlineStr">
        <is>
          <t>2026/27</t>
        </is>
      </c>
      <c r="C469" s="231" t="n">
        <v>46097</v>
      </c>
      <c r="D469" s="169" t="inlineStr">
        <is>
          <t>621</t>
        </is>
      </c>
      <c r="E469" s="169" t="inlineStr">
        <is>
          <t>COMPRA</t>
        </is>
      </c>
      <c r="F469" s="169" t="inlineStr">
        <is>
          <t>El Molle</t>
        </is>
      </c>
      <c r="G469" s="169" t="inlineStr">
        <is>
          <t>WONDERFUL - 2007 (2,44 Ha.)</t>
        </is>
      </c>
      <c r="H469" s="169" t="n"/>
      <c r="I469" s="169" t="n"/>
      <c r="J469" s="169" t="inlineStr">
        <is>
          <t>LABORES OPERACIONALES</t>
        </is>
      </c>
      <c r="K469" s="169" t="inlineStr">
        <is>
          <t>OTROS SERVICIOS</t>
        </is>
      </c>
      <c r="L469" s="169" t="inlineStr">
        <is>
          <t>SERV.CONTRATISTA</t>
        </is>
      </c>
      <c r="M469" s="169" t="n"/>
      <c r="N469" s="169" t="inlineStr">
        <is>
          <t>.   .   -</t>
        </is>
      </c>
      <c r="O469" s="169" t="inlineStr">
        <is>
          <t>MARZO</t>
        </is>
      </c>
      <c r="P469" s="169" t="n">
        <v>11</v>
      </c>
      <c r="Q469" s="171" t="n">
        <v>85000</v>
      </c>
      <c r="R469" s="169" t="n"/>
      <c r="S469" s="171" t="n">
        <v>85000</v>
      </c>
      <c r="T469" s="169" t="inlineStr">
        <is>
          <t>CLP</t>
        </is>
      </c>
      <c r="U469" s="169" t="inlineStr">
        <is>
          <t>Carga LH 18-06-26</t>
        </is>
      </c>
      <c r="V469" s="169" t="inlineStr">
        <is>
          <t>2026-06-18</t>
        </is>
      </c>
    </row>
    <row r="470">
      <c r="A470" s="169" t="inlineStr">
        <is>
          <t>CR-0467</t>
        </is>
      </c>
      <c r="B470" s="169" t="inlineStr">
        <is>
          <t>2026/27</t>
        </is>
      </c>
      <c r="C470" s="231" t="n">
        <v>46098</v>
      </c>
      <c r="D470" s="169" t="inlineStr">
        <is>
          <t>368</t>
        </is>
      </c>
      <c r="E470" s="169" t="inlineStr">
        <is>
          <t>COMPRA</t>
        </is>
      </c>
      <c r="F470" s="169" t="inlineStr">
        <is>
          <t>El Molle</t>
        </is>
      </c>
      <c r="G470" s="169" t="inlineStr">
        <is>
          <t>ARRUFATINA - 2017 (5,74 Ha.)</t>
        </is>
      </c>
      <c r="H470" s="169" t="n"/>
      <c r="I470" s="169" t="n"/>
      <c r="J470" s="169" t="inlineStr">
        <is>
          <t>LABORES OPERACIONALES</t>
        </is>
      </c>
      <c r="K470" s="169" t="inlineStr">
        <is>
          <t>APLICACIONES</t>
        </is>
      </c>
      <c r="L470" s="169" t="inlineStr">
        <is>
          <t>SERV.CONTRATISTA</t>
        </is>
      </c>
      <c r="M470" s="169" t="n"/>
      <c r="N470" s="169" t="inlineStr">
        <is>
          <t>.   .   -</t>
        </is>
      </c>
      <c r="O470" s="169" t="inlineStr">
        <is>
          <t>MARZO</t>
        </is>
      </c>
      <c r="P470" s="169" t="n">
        <v>11</v>
      </c>
      <c r="Q470" s="171" t="n">
        <v>75000</v>
      </c>
      <c r="R470" s="169" t="n"/>
      <c r="S470" s="171" t="n">
        <v>75000</v>
      </c>
      <c r="T470" s="169" t="inlineStr">
        <is>
          <t>CLP</t>
        </is>
      </c>
      <c r="U470" s="169" t="inlineStr">
        <is>
          <t>Carga LH 18-06-26</t>
        </is>
      </c>
      <c r="V470" s="169" t="inlineStr">
        <is>
          <t>2026-06-18</t>
        </is>
      </c>
    </row>
    <row r="471">
      <c r="A471" s="169" t="inlineStr">
        <is>
          <t>CR-0468</t>
        </is>
      </c>
      <c r="B471" s="169" t="inlineStr">
        <is>
          <t>2026/27</t>
        </is>
      </c>
      <c r="C471" s="231" t="n">
        <v>46098</v>
      </c>
      <c r="D471" s="169" t="inlineStr">
        <is>
          <t>368</t>
        </is>
      </c>
      <c r="E471" s="169" t="inlineStr">
        <is>
          <t>COMPRA</t>
        </is>
      </c>
      <c r="F471" s="169" t="inlineStr">
        <is>
          <t>El Molle</t>
        </is>
      </c>
      <c r="G471" s="169" t="inlineStr">
        <is>
          <t>ARRUFATINA - 2017 (5,74 Ha.)</t>
        </is>
      </c>
      <c r="H471" s="169" t="n"/>
      <c r="I471" s="169" t="n"/>
      <c r="J471" s="169" t="inlineStr">
        <is>
          <t>LABORES OPERACIONALES</t>
        </is>
      </c>
      <c r="K471" s="169" t="inlineStr">
        <is>
          <t>MANTENCION DE CAMPOS</t>
        </is>
      </c>
      <c r="L471" s="169" t="inlineStr">
        <is>
          <t>SERV.CONTRATISTA</t>
        </is>
      </c>
      <c r="M471" s="169" t="n"/>
      <c r="N471" s="169" t="inlineStr">
        <is>
          <t>.   .   -</t>
        </is>
      </c>
      <c r="O471" s="169" t="inlineStr">
        <is>
          <t>MARZO</t>
        </is>
      </c>
      <c r="P471" s="169" t="n">
        <v>11</v>
      </c>
      <c r="Q471" s="171" t="n">
        <v>75000</v>
      </c>
      <c r="R471" s="169" t="n"/>
      <c r="S471" s="171" t="n">
        <v>75000</v>
      </c>
      <c r="T471" s="169" t="inlineStr">
        <is>
          <t>CLP</t>
        </is>
      </c>
      <c r="U471" s="169" t="inlineStr">
        <is>
          <t>Carga LH 18-06-26</t>
        </is>
      </c>
      <c r="V471" s="169" t="inlineStr">
        <is>
          <t>2026-06-18</t>
        </is>
      </c>
    </row>
    <row r="472">
      <c r="A472" s="169" t="inlineStr">
        <is>
          <t>CR-0469</t>
        </is>
      </c>
      <c r="B472" s="169" t="inlineStr">
        <is>
          <t>2026/27</t>
        </is>
      </c>
      <c r="C472" s="231" t="n">
        <v>46098</v>
      </c>
      <c r="D472" s="169" t="inlineStr">
        <is>
          <t>368</t>
        </is>
      </c>
      <c r="E472" s="169" t="inlineStr">
        <is>
          <t>COMPRA</t>
        </is>
      </c>
      <c r="F472" s="169" t="inlineStr">
        <is>
          <t>El Molle</t>
        </is>
      </c>
      <c r="G472" s="169" t="inlineStr">
        <is>
          <t>ARRUFATINA - 2017 (5,74 Ha.)</t>
        </is>
      </c>
      <c r="H472" s="169" t="n"/>
      <c r="I472" s="169" t="n"/>
      <c r="J472" s="169" t="inlineStr">
        <is>
          <t>LABORES OPERACIONALES</t>
        </is>
      </c>
      <c r="K472" s="169" t="inlineStr">
        <is>
          <t>LABORES VARIAS</t>
        </is>
      </c>
      <c r="L472" s="169" t="inlineStr">
        <is>
          <t>SERV.CONTRATISTA</t>
        </is>
      </c>
      <c r="M472" s="169" t="n"/>
      <c r="N472" s="169" t="inlineStr">
        <is>
          <t>.   .   -</t>
        </is>
      </c>
      <c r="O472" s="169" t="inlineStr">
        <is>
          <t>MARZO</t>
        </is>
      </c>
      <c r="P472" s="169" t="n">
        <v>11</v>
      </c>
      <c r="Q472" s="171" t="n">
        <v>2775000</v>
      </c>
      <c r="R472" s="169" t="n"/>
      <c r="S472" s="171" t="n">
        <v>2775000</v>
      </c>
      <c r="T472" s="169" t="inlineStr">
        <is>
          <t>CLP</t>
        </is>
      </c>
      <c r="U472" s="169" t="inlineStr">
        <is>
          <t>Carga LH 18-06-26</t>
        </is>
      </c>
      <c r="V472" s="169" t="inlineStr">
        <is>
          <t>2026-06-18</t>
        </is>
      </c>
    </row>
    <row r="473">
      <c r="A473" s="169" t="inlineStr">
        <is>
          <t>CR-0470</t>
        </is>
      </c>
      <c r="B473" s="169" t="inlineStr">
        <is>
          <t>2026/27</t>
        </is>
      </c>
      <c r="C473" s="231" t="n">
        <v>46098</v>
      </c>
      <c r="D473" s="169" t="inlineStr">
        <is>
          <t>368</t>
        </is>
      </c>
      <c r="E473" s="169" t="inlineStr">
        <is>
          <t>COMPRA</t>
        </is>
      </c>
      <c r="F473" s="169" t="inlineStr">
        <is>
          <t>El Molle</t>
        </is>
      </c>
      <c r="G473" s="169" t="inlineStr">
        <is>
          <t>ORONULES - 2017 (2,85 Ha.)</t>
        </is>
      </c>
      <c r="H473" s="169" t="n"/>
      <c r="I473" s="169" t="n"/>
      <c r="J473" s="169" t="inlineStr">
        <is>
          <t>LABORES OPERACIONALES</t>
        </is>
      </c>
      <c r="K473" s="169" t="inlineStr">
        <is>
          <t>MANTENCION DE CAMPOS</t>
        </is>
      </c>
      <c r="L473" s="169" t="inlineStr">
        <is>
          <t>SERV.CONTRATISTA</t>
        </is>
      </c>
      <c r="M473" s="169" t="n"/>
      <c r="N473" s="169" t="inlineStr">
        <is>
          <t>.   .   -</t>
        </is>
      </c>
      <c r="O473" s="169" t="inlineStr">
        <is>
          <t>MARZO</t>
        </is>
      </c>
      <c r="P473" s="169" t="n">
        <v>11</v>
      </c>
      <c r="Q473" s="171" t="n">
        <v>75000</v>
      </c>
      <c r="R473" s="169" t="n"/>
      <c r="S473" s="171" t="n">
        <v>75000</v>
      </c>
      <c r="T473" s="169" t="inlineStr">
        <is>
          <t>CLP</t>
        </is>
      </c>
      <c r="U473" s="169" t="inlineStr">
        <is>
          <t>Carga LH 18-06-26</t>
        </is>
      </c>
      <c r="V473" s="169" t="inlineStr">
        <is>
          <t>2026-06-18</t>
        </is>
      </c>
    </row>
    <row r="474">
      <c r="A474" s="169" t="inlineStr">
        <is>
          <t>CR-0471</t>
        </is>
      </c>
      <c r="B474" s="169" t="inlineStr">
        <is>
          <t>2026/27</t>
        </is>
      </c>
      <c r="C474" s="231" t="n">
        <v>46098</v>
      </c>
      <c r="D474" s="169" t="inlineStr">
        <is>
          <t>368</t>
        </is>
      </c>
      <c r="E474" s="169" t="inlineStr">
        <is>
          <t>COMPRA</t>
        </is>
      </c>
      <c r="F474" s="169" t="inlineStr">
        <is>
          <t>Mega Catalina</t>
        </is>
      </c>
      <c r="G474" s="169" t="inlineStr">
        <is>
          <t>ORONULES - 2019 (2,5 Ha.)</t>
        </is>
      </c>
      <c r="H474" s="169" t="n"/>
      <c r="I474" s="169" t="n"/>
      <c r="J474" s="169" t="inlineStr">
        <is>
          <t>LABORES OPERACIONALES</t>
        </is>
      </c>
      <c r="K474" s="169" t="inlineStr">
        <is>
          <t>APLICACIONES</t>
        </is>
      </c>
      <c r="L474" s="169" t="inlineStr">
        <is>
          <t>SERV.CONTRATISTA</t>
        </is>
      </c>
      <c r="M474" s="169" t="n"/>
      <c r="N474" s="169" t="inlineStr">
        <is>
          <t>.   .   -</t>
        </is>
      </c>
      <c r="O474" s="169" t="inlineStr">
        <is>
          <t>MARZO</t>
        </is>
      </c>
      <c r="P474" s="169" t="n">
        <v>11</v>
      </c>
      <c r="Q474" s="171" t="n">
        <v>150000</v>
      </c>
      <c r="R474" s="169" t="n"/>
      <c r="S474" s="171" t="n">
        <v>150000</v>
      </c>
      <c r="T474" s="169" t="inlineStr">
        <is>
          <t>CLP</t>
        </is>
      </c>
      <c r="U474" s="169" t="inlineStr">
        <is>
          <t>Carga LH 18-06-26</t>
        </is>
      </c>
      <c r="V474" s="169" t="inlineStr">
        <is>
          <t>2026-06-18</t>
        </is>
      </c>
    </row>
    <row r="475">
      <c r="A475" s="169" t="inlineStr">
        <is>
          <t>CR-0472</t>
        </is>
      </c>
      <c r="B475" s="169" t="inlineStr">
        <is>
          <t>2026/27</t>
        </is>
      </c>
      <c r="C475" s="231" t="n">
        <v>46098</v>
      </c>
      <c r="D475" s="169" t="inlineStr">
        <is>
          <t>368</t>
        </is>
      </c>
      <c r="E475" s="169" t="inlineStr">
        <is>
          <t>COMPRA</t>
        </is>
      </c>
      <c r="F475" s="169" t="inlineStr">
        <is>
          <t>El Molle</t>
        </is>
      </c>
      <c r="G475" s="169" t="inlineStr">
        <is>
          <t>OROGRANDE - 2007 (8,11 Ha.)</t>
        </is>
      </c>
      <c r="H475" s="169" t="n"/>
      <c r="I475" s="169" t="n"/>
      <c r="J475" s="169" t="inlineStr">
        <is>
          <t>LABORES OPERACIONALES</t>
        </is>
      </c>
      <c r="K475" s="169" t="inlineStr">
        <is>
          <t>LABORES VARIAS</t>
        </is>
      </c>
      <c r="L475" s="169" t="inlineStr">
        <is>
          <t>SERV.CONTRATISTA</t>
        </is>
      </c>
      <c r="M475" s="169" t="n"/>
      <c r="N475" s="169" t="inlineStr">
        <is>
          <t>.   .   -</t>
        </is>
      </c>
      <c r="O475" s="169" t="inlineStr">
        <is>
          <t>MARZO</t>
        </is>
      </c>
      <c r="P475" s="169" t="n">
        <v>11</v>
      </c>
      <c r="Q475" s="171" t="n">
        <v>262500</v>
      </c>
      <c r="R475" s="169" t="n"/>
      <c r="S475" s="171" t="n">
        <v>262500</v>
      </c>
      <c r="T475" s="169" t="inlineStr">
        <is>
          <t>CLP</t>
        </is>
      </c>
      <c r="U475" s="169" t="inlineStr">
        <is>
          <t>Carga LH 18-06-26</t>
        </is>
      </c>
      <c r="V475" s="169" t="inlineStr">
        <is>
          <t>2026-06-18</t>
        </is>
      </c>
    </row>
    <row r="476">
      <c r="A476" s="169" t="inlineStr">
        <is>
          <t>CR-0473</t>
        </is>
      </c>
      <c r="B476" s="169" t="inlineStr">
        <is>
          <t>2026/27</t>
        </is>
      </c>
      <c r="C476" s="231" t="n">
        <v>46098</v>
      </c>
      <c r="D476" s="169" t="inlineStr">
        <is>
          <t>368</t>
        </is>
      </c>
      <c r="E476" s="169" t="inlineStr">
        <is>
          <t>COMPRA</t>
        </is>
      </c>
      <c r="F476" s="169" t="inlineStr">
        <is>
          <t>El Molle</t>
        </is>
      </c>
      <c r="G476" s="169" t="inlineStr">
        <is>
          <t>WONDERFUL - 2002 (2,80 Ha.)</t>
        </is>
      </c>
      <c r="H476" s="169" t="n"/>
      <c r="I476" s="169" t="n"/>
      <c r="J476" s="169" t="inlineStr">
        <is>
          <t>LABORES OPERACIONALES</t>
        </is>
      </c>
      <c r="K476" s="169" t="inlineStr">
        <is>
          <t>LABORES VARIAS</t>
        </is>
      </c>
      <c r="L476" s="169" t="inlineStr">
        <is>
          <t>SERV.CONTRATISTA</t>
        </is>
      </c>
      <c r="M476" s="169" t="n"/>
      <c r="N476" s="169" t="inlineStr">
        <is>
          <t>.   .   -</t>
        </is>
      </c>
      <c r="O476" s="169" t="inlineStr">
        <is>
          <t>MARZO</t>
        </is>
      </c>
      <c r="P476" s="169" t="n">
        <v>11</v>
      </c>
      <c r="Q476" s="171" t="n">
        <v>637500</v>
      </c>
      <c r="R476" s="169" t="n"/>
      <c r="S476" s="171" t="n">
        <v>637500</v>
      </c>
      <c r="T476" s="169" t="inlineStr">
        <is>
          <t>CLP</t>
        </is>
      </c>
      <c r="U476" s="169" t="inlineStr">
        <is>
          <t>Carga LH 18-06-26</t>
        </is>
      </c>
      <c r="V476" s="169" t="inlineStr">
        <is>
          <t>2026-06-18</t>
        </is>
      </c>
    </row>
    <row r="477">
      <c r="A477" s="169" t="inlineStr">
        <is>
          <t>CR-0474</t>
        </is>
      </c>
      <c r="B477" s="169" t="inlineStr">
        <is>
          <t>2026/27</t>
        </is>
      </c>
      <c r="C477" s="231" t="n">
        <v>46098</v>
      </c>
      <c r="D477" s="169" t="inlineStr">
        <is>
          <t>478</t>
        </is>
      </c>
      <c r="E477" s="169" t="inlineStr">
        <is>
          <t>COMPRA</t>
        </is>
      </c>
      <c r="F477" s="169" t="inlineStr">
        <is>
          <t>El Molle</t>
        </is>
      </c>
      <c r="G477" s="169" t="inlineStr">
        <is>
          <t>ARRUFATINA - 2017 (5,74 Ha.)</t>
        </is>
      </c>
      <c r="H477" s="169" t="n"/>
      <c r="I477" s="169" t="n"/>
      <c r="J477" s="169" t="inlineStr">
        <is>
          <t>LABORES OPERACIONALES</t>
        </is>
      </c>
      <c r="K477" s="169" t="inlineStr">
        <is>
          <t>LABORES VARIAS</t>
        </is>
      </c>
      <c r="L477" s="169" t="inlineStr">
        <is>
          <t>SERV.CONTRATISTA</t>
        </is>
      </c>
      <c r="M477" s="169" t="n"/>
      <c r="N477" s="169" t="inlineStr">
        <is>
          <t>.   .   -</t>
        </is>
      </c>
      <c r="O477" s="169" t="inlineStr">
        <is>
          <t>MARZO</t>
        </is>
      </c>
      <c r="P477" s="169" t="n">
        <v>11</v>
      </c>
      <c r="Q477" s="171" t="n">
        <v>3637500</v>
      </c>
      <c r="R477" s="169" t="n"/>
      <c r="S477" s="171" t="n">
        <v>3637500</v>
      </c>
      <c r="T477" s="169" t="inlineStr">
        <is>
          <t>CLP</t>
        </is>
      </c>
      <c r="U477" s="169" t="inlineStr">
        <is>
          <t>Carga LH 18-06-26</t>
        </is>
      </c>
      <c r="V477" s="169" t="inlineStr">
        <is>
          <t>2026-06-18</t>
        </is>
      </c>
    </row>
    <row r="478">
      <c r="A478" s="169" t="inlineStr">
        <is>
          <t>CR-0475</t>
        </is>
      </c>
      <c r="B478" s="169" t="inlineStr">
        <is>
          <t>2026/27</t>
        </is>
      </c>
      <c r="C478" s="231" t="n">
        <v>46098</v>
      </c>
      <c r="D478" s="169" t="inlineStr">
        <is>
          <t>478</t>
        </is>
      </c>
      <c r="E478" s="169" t="inlineStr">
        <is>
          <t>COMPRA</t>
        </is>
      </c>
      <c r="F478" s="169" t="inlineStr">
        <is>
          <t>El Molle</t>
        </is>
      </c>
      <c r="G478" s="169" t="inlineStr">
        <is>
          <t>OROGRANDE - 2007 (8,11 Ha.)</t>
        </is>
      </c>
      <c r="H478" s="169" t="n"/>
      <c r="I478" s="169" t="n"/>
      <c r="J478" s="169" t="inlineStr">
        <is>
          <t>LABORES OPERACIONALES</t>
        </is>
      </c>
      <c r="K478" s="169" t="inlineStr">
        <is>
          <t>LABORES VARIAS</t>
        </is>
      </c>
      <c r="L478" s="169" t="inlineStr">
        <is>
          <t>SERV.CONTRATISTA</t>
        </is>
      </c>
      <c r="M478" s="169" t="n"/>
      <c r="N478" s="169" t="inlineStr">
        <is>
          <t>.   .   -</t>
        </is>
      </c>
      <c r="O478" s="169" t="inlineStr">
        <is>
          <t>MARZO</t>
        </is>
      </c>
      <c r="P478" s="169" t="n">
        <v>11</v>
      </c>
      <c r="Q478" s="171" t="n">
        <v>187500</v>
      </c>
      <c r="R478" s="169" t="n"/>
      <c r="S478" s="171" t="n">
        <v>187500</v>
      </c>
      <c r="T478" s="169" t="inlineStr">
        <is>
          <t>CLP</t>
        </is>
      </c>
      <c r="U478" s="169" t="inlineStr">
        <is>
          <t>Carga LH 18-06-26</t>
        </is>
      </c>
      <c r="V478" s="169" t="inlineStr">
        <is>
          <t>2026-06-18</t>
        </is>
      </c>
    </row>
    <row r="479">
      <c r="A479" s="169" t="inlineStr">
        <is>
          <t>CR-0476</t>
        </is>
      </c>
      <c r="B479" s="169" t="inlineStr">
        <is>
          <t>2026/27</t>
        </is>
      </c>
      <c r="C479" s="231" t="n">
        <v>46098</v>
      </c>
      <c r="D479" s="169" t="inlineStr">
        <is>
          <t>478</t>
        </is>
      </c>
      <c r="E479" s="169" t="inlineStr">
        <is>
          <t>COMPRA</t>
        </is>
      </c>
      <c r="F479" s="169" t="inlineStr">
        <is>
          <t>El Molle</t>
        </is>
      </c>
      <c r="G479" s="169" t="inlineStr">
        <is>
          <t>WONDERFUL - 2007 (2,44 Ha.)</t>
        </is>
      </c>
      <c r="H479" s="169" t="n"/>
      <c r="I479" s="169" t="n"/>
      <c r="J479" s="169" t="inlineStr">
        <is>
          <t>LABORES OPERACIONALES</t>
        </is>
      </c>
      <c r="K479" s="169" t="inlineStr">
        <is>
          <t>LABORES VARIAS</t>
        </is>
      </c>
      <c r="L479" s="169" t="inlineStr">
        <is>
          <t>SERV.CONTRATISTA</t>
        </is>
      </c>
      <c r="M479" s="169" t="n"/>
      <c r="N479" s="169" t="inlineStr">
        <is>
          <t>.   .   -</t>
        </is>
      </c>
      <c r="O479" s="169" t="inlineStr">
        <is>
          <t>MARZO</t>
        </is>
      </c>
      <c r="P479" s="169" t="n">
        <v>11</v>
      </c>
      <c r="Q479" s="171" t="n">
        <v>412500</v>
      </c>
      <c r="R479" s="169" t="n"/>
      <c r="S479" s="171" t="n">
        <v>412500</v>
      </c>
      <c r="T479" s="169" t="inlineStr">
        <is>
          <t>CLP</t>
        </is>
      </c>
      <c r="U479" s="169" t="inlineStr">
        <is>
          <t>Carga LH 18-06-26</t>
        </is>
      </c>
      <c r="V479" s="169" t="inlineStr">
        <is>
          <t>2026-06-18</t>
        </is>
      </c>
    </row>
    <row r="480">
      <c r="A480" s="169" t="inlineStr">
        <is>
          <t>CR-0477</t>
        </is>
      </c>
      <c r="B480" s="169" t="inlineStr">
        <is>
          <t>2026/27</t>
        </is>
      </c>
      <c r="C480" s="231" t="n">
        <v>46098</v>
      </c>
      <c r="D480" s="169" t="inlineStr">
        <is>
          <t>212</t>
        </is>
      </c>
      <c r="E480" s="169" t="inlineStr">
        <is>
          <t>COMPRA</t>
        </is>
      </c>
      <c r="F480" s="169" t="inlineStr">
        <is>
          <t>Mega Catalina</t>
        </is>
      </c>
      <c r="G480" s="169" t="inlineStr">
        <is>
          <t>INJERTO TIMPSON - 2019 (4,2 Ha.)</t>
        </is>
      </c>
      <c r="H480" s="169" t="n"/>
      <c r="I480" s="169" t="n"/>
      <c r="J480" s="169" t="inlineStr">
        <is>
          <t>LABORES OPERACIONALES</t>
        </is>
      </c>
      <c r="K480" s="169" t="inlineStr">
        <is>
          <t>COSECHA</t>
        </is>
      </c>
      <c r="L480" s="169" t="inlineStr">
        <is>
          <t>SERV.CONTRATISTA</t>
        </is>
      </c>
      <c r="M480" s="169" t="n"/>
      <c r="N480" s="169" t="inlineStr">
        <is>
          <t>.   .   -</t>
        </is>
      </c>
      <c r="O480" s="169" t="inlineStr">
        <is>
          <t>MARZO</t>
        </is>
      </c>
      <c r="P480" s="169" t="n">
        <v>11</v>
      </c>
      <c r="Q480" s="171" t="n">
        <v>202200</v>
      </c>
      <c r="R480" s="169" t="n"/>
      <c r="S480" s="171" t="n">
        <v>202200</v>
      </c>
      <c r="T480" s="169" t="inlineStr">
        <is>
          <t>CLP</t>
        </is>
      </c>
      <c r="U480" s="169" t="inlineStr">
        <is>
          <t>Carga LH 18-06-26</t>
        </is>
      </c>
      <c r="V480" s="169" t="inlineStr">
        <is>
          <t>2026-06-18</t>
        </is>
      </c>
    </row>
    <row r="481">
      <c r="A481" s="169" t="inlineStr">
        <is>
          <t>CR-0478</t>
        </is>
      </c>
      <c r="B481" s="169" t="inlineStr">
        <is>
          <t>2026/27</t>
        </is>
      </c>
      <c r="C481" s="231" t="n">
        <v>46098</v>
      </c>
      <c r="D481" s="169" t="inlineStr">
        <is>
          <t>212</t>
        </is>
      </c>
      <c r="E481" s="169" t="inlineStr">
        <is>
          <t>COMPRA</t>
        </is>
      </c>
      <c r="F481" s="169" t="inlineStr">
        <is>
          <t>Mega Catalina</t>
        </is>
      </c>
      <c r="G481" s="169" t="inlineStr">
        <is>
          <t>SWEET CELEBRATION - 2015 (7,14 Ha.)</t>
        </is>
      </c>
      <c r="H481" s="169" t="n"/>
      <c r="I481" s="169" t="n"/>
      <c r="J481" s="169" t="inlineStr">
        <is>
          <t>LABORES OPERACIONALES</t>
        </is>
      </c>
      <c r="K481" s="169" t="inlineStr">
        <is>
          <t>COSECHA</t>
        </is>
      </c>
      <c r="L481" s="169" t="inlineStr">
        <is>
          <t>SERV.CONTRATISTA</t>
        </is>
      </c>
      <c r="M481" s="169" t="n"/>
      <c r="N481" s="169" t="inlineStr">
        <is>
          <t>.   .   -</t>
        </is>
      </c>
      <c r="O481" s="169" t="inlineStr">
        <is>
          <t>MARZO</t>
        </is>
      </c>
      <c r="P481" s="169" t="n">
        <v>11</v>
      </c>
      <c r="Q481" s="171" t="n">
        <v>2442075</v>
      </c>
      <c r="R481" s="169" t="n"/>
      <c r="S481" s="171" t="n">
        <v>2442075</v>
      </c>
      <c r="T481" s="169" t="inlineStr">
        <is>
          <t>CLP</t>
        </is>
      </c>
      <c r="U481" s="169" t="inlineStr">
        <is>
          <t>Carga LH 18-06-26</t>
        </is>
      </c>
      <c r="V481" s="169" t="inlineStr">
        <is>
          <t>2026-06-18</t>
        </is>
      </c>
    </row>
    <row r="482">
      <c r="A482" s="169" t="inlineStr">
        <is>
          <t>CR-0479</t>
        </is>
      </c>
      <c r="B482" s="169" t="inlineStr">
        <is>
          <t>2026/27</t>
        </is>
      </c>
      <c r="C482" s="231" t="n">
        <v>46098</v>
      </c>
      <c r="D482" s="169" t="inlineStr">
        <is>
          <t>640</t>
        </is>
      </c>
      <c r="E482" s="169" t="inlineStr">
        <is>
          <t>COMPRA</t>
        </is>
      </c>
      <c r="F482" s="169" t="inlineStr">
        <is>
          <t>Sin asignar</t>
        </is>
      </c>
      <c r="G482" s="169" t="inlineStr">
        <is>
          <t>PACKING</t>
        </is>
      </c>
      <c r="H482" s="169" t="n"/>
      <c r="I482" s="169" t="n"/>
      <c r="J482" s="169" t="inlineStr">
        <is>
          <t>LABORES OPERACIONALES</t>
        </is>
      </c>
      <c r="K482" s="169" t="inlineStr">
        <is>
          <t>LAB. PACKING</t>
        </is>
      </c>
      <c r="L482" s="169" t="inlineStr">
        <is>
          <t>SERV.CONTRATISTA</t>
        </is>
      </c>
      <c r="M482" s="169" t="n"/>
      <c r="N482" s="169" t="inlineStr">
        <is>
          <t>.   .   -</t>
        </is>
      </c>
      <c r="O482" s="169" t="inlineStr">
        <is>
          <t>MARZO</t>
        </is>
      </c>
      <c r="P482" s="169" t="n">
        <v>11</v>
      </c>
      <c r="Q482" s="171" t="n">
        <v>7250555</v>
      </c>
      <c r="R482" s="169" t="n"/>
      <c r="S482" s="171" t="n">
        <v>7250555</v>
      </c>
      <c r="T482" s="169" t="inlineStr">
        <is>
          <t>CLP</t>
        </is>
      </c>
      <c r="U482" s="169" t="inlineStr">
        <is>
          <t>Carga LH 18-06-26</t>
        </is>
      </c>
      <c r="V482" s="169" t="inlineStr">
        <is>
          <t>2026-06-18</t>
        </is>
      </c>
    </row>
    <row r="483">
      <c r="A483" s="169" t="inlineStr">
        <is>
          <t>CR-0480</t>
        </is>
      </c>
      <c r="B483" s="169" t="inlineStr">
        <is>
          <t>2026/27</t>
        </is>
      </c>
      <c r="C483" s="231" t="n">
        <v>46098</v>
      </c>
      <c r="D483" s="169" t="inlineStr">
        <is>
          <t>640</t>
        </is>
      </c>
      <c r="E483" s="169" t="inlineStr">
        <is>
          <t>COMPRA</t>
        </is>
      </c>
      <c r="F483" s="169" t="inlineStr">
        <is>
          <t>Mega Catalina</t>
        </is>
      </c>
      <c r="G483" s="169" t="inlineStr">
        <is>
          <t>INJERTO TIMPSON - 2019 (4,2 Ha.)</t>
        </is>
      </c>
      <c r="H483" s="169" t="n"/>
      <c r="I483" s="169" t="n"/>
      <c r="J483" s="169" t="inlineStr">
        <is>
          <t>LABORES OPERACIONALES</t>
        </is>
      </c>
      <c r="K483" s="169" t="inlineStr">
        <is>
          <t>COSECHA</t>
        </is>
      </c>
      <c r="L483" s="169" t="inlineStr">
        <is>
          <t>SERV.CONTRATISTA</t>
        </is>
      </c>
      <c r="M483" s="169" t="n"/>
      <c r="N483" s="169" t="inlineStr">
        <is>
          <t>.   .   -</t>
        </is>
      </c>
      <c r="O483" s="169" t="inlineStr">
        <is>
          <t>MARZO</t>
        </is>
      </c>
      <c r="P483" s="169" t="n">
        <v>11</v>
      </c>
      <c r="Q483" s="171" t="n">
        <v>316800</v>
      </c>
      <c r="R483" s="169" t="n"/>
      <c r="S483" s="171" t="n">
        <v>316800</v>
      </c>
      <c r="T483" s="169" t="inlineStr">
        <is>
          <t>CLP</t>
        </is>
      </c>
      <c r="U483" s="169" t="inlineStr">
        <is>
          <t>Carga LH 18-06-26</t>
        </is>
      </c>
      <c r="V483" s="169" t="inlineStr">
        <is>
          <t>2026-06-18</t>
        </is>
      </c>
    </row>
    <row r="484">
      <c r="A484" s="169" t="inlineStr">
        <is>
          <t>CR-0481</t>
        </is>
      </c>
      <c r="B484" s="169" t="inlineStr">
        <is>
          <t>2026/27</t>
        </is>
      </c>
      <c r="C484" s="231" t="n">
        <v>46098</v>
      </c>
      <c r="D484" s="169" t="inlineStr">
        <is>
          <t>640</t>
        </is>
      </c>
      <c r="E484" s="169" t="inlineStr">
        <is>
          <t>COMPRA</t>
        </is>
      </c>
      <c r="F484" s="169" t="inlineStr">
        <is>
          <t>Mega Catalina</t>
        </is>
      </c>
      <c r="G484" s="169" t="inlineStr">
        <is>
          <t>SWEET CELEBRATION - 2015 (7,14 Ha.)</t>
        </is>
      </c>
      <c r="H484" s="169" t="n"/>
      <c r="I484" s="169" t="n"/>
      <c r="J484" s="169" t="inlineStr">
        <is>
          <t>LABORES OPERACIONALES</t>
        </is>
      </c>
      <c r="K484" s="169" t="inlineStr">
        <is>
          <t>COSECHA</t>
        </is>
      </c>
      <c r="L484" s="169" t="inlineStr">
        <is>
          <t>SERV.CONTRATISTA</t>
        </is>
      </c>
      <c r="M484" s="169" t="n"/>
      <c r="N484" s="169" t="inlineStr">
        <is>
          <t>.   .   -</t>
        </is>
      </c>
      <c r="O484" s="169" t="inlineStr">
        <is>
          <t>MARZO</t>
        </is>
      </c>
      <c r="P484" s="169" t="n">
        <v>11</v>
      </c>
      <c r="Q484" s="171" t="n">
        <v>3775675</v>
      </c>
      <c r="R484" s="169" t="n"/>
      <c r="S484" s="171" t="n">
        <v>3775675</v>
      </c>
      <c r="T484" s="169" t="inlineStr">
        <is>
          <t>CLP</t>
        </is>
      </c>
      <c r="U484" s="169" t="inlineStr">
        <is>
          <t>Carga LH 18-06-26</t>
        </is>
      </c>
      <c r="V484" s="169" t="inlineStr">
        <is>
          <t>2026-06-18</t>
        </is>
      </c>
    </row>
    <row r="485">
      <c r="A485" s="169" t="inlineStr">
        <is>
          <t>CR-0482</t>
        </is>
      </c>
      <c r="B485" s="169" t="inlineStr">
        <is>
          <t>2026/27</t>
        </is>
      </c>
      <c r="C485" s="231" t="n">
        <v>46098</v>
      </c>
      <c r="D485" s="169" t="inlineStr">
        <is>
          <t>641</t>
        </is>
      </c>
      <c r="E485" s="169" t="inlineStr">
        <is>
          <t>COMPRA</t>
        </is>
      </c>
      <c r="F485" s="169" t="inlineStr">
        <is>
          <t>Mega Catalina</t>
        </is>
      </c>
      <c r="G485" s="169" t="inlineStr">
        <is>
          <t>EUREKA - 1999 (22,5 Ha.)</t>
        </is>
      </c>
      <c r="H485" s="169" t="n"/>
      <c r="I485" s="169" t="n"/>
      <c r="J485" s="169" t="inlineStr">
        <is>
          <t>LABORES OPERACIONALES</t>
        </is>
      </c>
      <c r="K485" s="169" t="inlineStr">
        <is>
          <t>COSECHA</t>
        </is>
      </c>
      <c r="L485" s="169" t="inlineStr">
        <is>
          <t>SERV.CONTRATISTA</t>
        </is>
      </c>
      <c r="M485" s="169" t="n"/>
      <c r="N485" s="169" t="inlineStr">
        <is>
          <t>.   .   -</t>
        </is>
      </c>
      <c r="O485" s="169" t="inlineStr">
        <is>
          <t>MARZO</t>
        </is>
      </c>
      <c r="P485" s="169" t="n">
        <v>11</v>
      </c>
      <c r="Q485" s="171" t="n">
        <v>3016390</v>
      </c>
      <c r="R485" s="169" t="n"/>
      <c r="S485" s="171" t="n">
        <v>3016390</v>
      </c>
      <c r="T485" s="169" t="inlineStr">
        <is>
          <t>CLP</t>
        </is>
      </c>
      <c r="U485" s="169" t="inlineStr">
        <is>
          <t>Carga LH 18-06-26</t>
        </is>
      </c>
      <c r="V485" s="169" t="inlineStr">
        <is>
          <t>2026-06-18</t>
        </is>
      </c>
    </row>
    <row r="486">
      <c r="A486" s="169" t="inlineStr">
        <is>
          <t>CR-0483</t>
        </is>
      </c>
      <c r="B486" s="169" t="inlineStr">
        <is>
          <t>2026/27</t>
        </is>
      </c>
      <c r="C486" s="231" t="n">
        <v>46098</v>
      </c>
      <c r="D486" s="169" t="inlineStr">
        <is>
          <t>641</t>
        </is>
      </c>
      <c r="E486" s="169" t="inlineStr">
        <is>
          <t>COMPRA</t>
        </is>
      </c>
      <c r="F486" s="169" t="inlineStr">
        <is>
          <t>Mega Catalina</t>
        </is>
      </c>
      <c r="G486" s="169" t="inlineStr">
        <is>
          <t>EUREKA - 1999 (22,5 Ha.)</t>
        </is>
      </c>
      <c r="H486" s="169" t="n"/>
      <c r="I486" s="169" t="n"/>
      <c r="J486" s="169" t="inlineStr">
        <is>
          <t>LABORES OPERACIONALES</t>
        </is>
      </c>
      <c r="K486" s="169" t="inlineStr">
        <is>
          <t>SELECCION</t>
        </is>
      </c>
      <c r="L486" s="169" t="inlineStr">
        <is>
          <t>SERV.CONTRATISTA</t>
        </is>
      </c>
      <c r="M486" s="169" t="n"/>
      <c r="N486" s="169" t="inlineStr">
        <is>
          <t>.   .   -</t>
        </is>
      </c>
      <c r="O486" s="169" t="inlineStr">
        <is>
          <t>MARZO</t>
        </is>
      </c>
      <c r="P486" s="169" t="n">
        <v>11</v>
      </c>
      <c r="Q486" s="171" t="n">
        <v>375000</v>
      </c>
      <c r="R486" s="169" t="n"/>
      <c r="S486" s="171" t="n">
        <v>375000</v>
      </c>
      <c r="T486" s="169" t="inlineStr">
        <is>
          <t>CLP</t>
        </is>
      </c>
      <c r="U486" s="169" t="inlineStr">
        <is>
          <t>Carga LH 18-06-26</t>
        </is>
      </c>
      <c r="V486" s="169" t="inlineStr">
        <is>
          <t>2026-06-18</t>
        </is>
      </c>
    </row>
    <row r="487">
      <c r="A487" s="169" t="inlineStr">
        <is>
          <t>CR-0484</t>
        </is>
      </c>
      <c r="B487" s="169" t="inlineStr">
        <is>
          <t>2026/27</t>
        </is>
      </c>
      <c r="C487" s="231" t="n">
        <v>46098</v>
      </c>
      <c r="D487" s="169" t="inlineStr">
        <is>
          <t>1015</t>
        </is>
      </c>
      <c r="E487" s="169" t="inlineStr">
        <is>
          <t>COMPRA</t>
        </is>
      </c>
      <c r="F487" s="169" t="inlineStr">
        <is>
          <t>Mega Catalina</t>
        </is>
      </c>
      <c r="G487" s="169" t="inlineStr">
        <is>
          <t>EUREKA - 1999 (22,5 Ha.)</t>
        </is>
      </c>
      <c r="H487" s="169" t="n"/>
      <c r="I487" s="169" t="n"/>
      <c r="J487" s="169" t="inlineStr">
        <is>
          <t>LABORES OPERACIONALES</t>
        </is>
      </c>
      <c r="K487" s="169" t="inlineStr">
        <is>
          <t>COSECHA</t>
        </is>
      </c>
      <c r="L487" s="169" t="inlineStr">
        <is>
          <t>SERV.CONTRATISTA</t>
        </is>
      </c>
      <c r="M487" s="169" t="n"/>
      <c r="N487" s="169" t="inlineStr">
        <is>
          <t>.   .   -</t>
        </is>
      </c>
      <c r="O487" s="169" t="inlineStr">
        <is>
          <t>MARZO</t>
        </is>
      </c>
      <c r="P487" s="169" t="n">
        <v>11</v>
      </c>
      <c r="Q487" s="171" t="n">
        <v>1420470</v>
      </c>
      <c r="R487" s="169" t="n"/>
      <c r="S487" s="171" t="n">
        <v>1420470</v>
      </c>
      <c r="T487" s="169" t="inlineStr">
        <is>
          <t>CLP</t>
        </is>
      </c>
      <c r="U487" s="169" t="inlineStr">
        <is>
          <t>Carga LH 18-06-26</t>
        </is>
      </c>
      <c r="V487" s="169" t="inlineStr">
        <is>
          <t>2026-06-18</t>
        </is>
      </c>
    </row>
    <row r="488">
      <c r="A488" s="169" t="inlineStr">
        <is>
          <t>CR-0485</t>
        </is>
      </c>
      <c r="B488" s="169" t="inlineStr">
        <is>
          <t>2026/27</t>
        </is>
      </c>
      <c r="C488" s="231" t="n">
        <v>46098</v>
      </c>
      <c r="D488" s="169" t="inlineStr">
        <is>
          <t>170</t>
        </is>
      </c>
      <c r="E488" s="169" t="inlineStr">
        <is>
          <t>COMPRA</t>
        </is>
      </c>
      <c r="F488" s="169" t="inlineStr">
        <is>
          <t>Mega Catalina</t>
        </is>
      </c>
      <c r="G488" s="169" t="inlineStr">
        <is>
          <t>EUREKA - 2016 (14,4 Ha.)</t>
        </is>
      </c>
      <c r="H488" s="169" t="n"/>
      <c r="I488" s="169" t="n"/>
      <c r="J488" s="169" t="inlineStr">
        <is>
          <t>LABORES OPERACIONALES</t>
        </is>
      </c>
      <c r="K488" s="169" t="inlineStr">
        <is>
          <t>PODA</t>
        </is>
      </c>
      <c r="L488" s="169" t="inlineStr">
        <is>
          <t>SERV.CONTRATISTA</t>
        </is>
      </c>
      <c r="M488" s="169" t="n"/>
      <c r="N488" s="169" t="inlineStr">
        <is>
          <t>.   .   -</t>
        </is>
      </c>
      <c r="O488" s="169" t="inlineStr">
        <is>
          <t>MARZO</t>
        </is>
      </c>
      <c r="P488" s="169" t="n">
        <v>11</v>
      </c>
      <c r="Q488" s="171" t="n">
        <v>1179500</v>
      </c>
      <c r="R488" s="169" t="n"/>
      <c r="S488" s="171" t="n">
        <v>1179500</v>
      </c>
      <c r="T488" s="169" t="inlineStr">
        <is>
          <t>CLP</t>
        </is>
      </c>
      <c r="U488" s="169" t="inlineStr">
        <is>
          <t>Carga LH 18-06-26</t>
        </is>
      </c>
      <c r="V488" s="169" t="inlineStr">
        <is>
          <t>2026-06-18</t>
        </is>
      </c>
    </row>
    <row r="489">
      <c r="A489" s="169" t="inlineStr">
        <is>
          <t>CR-0486</t>
        </is>
      </c>
      <c r="B489" s="169" t="inlineStr">
        <is>
          <t>2026/27</t>
        </is>
      </c>
      <c r="C489" s="231" t="n">
        <v>46098</v>
      </c>
      <c r="D489" s="169" t="inlineStr">
        <is>
          <t>170</t>
        </is>
      </c>
      <c r="E489" s="169" t="inlineStr">
        <is>
          <t>COMPRA</t>
        </is>
      </c>
      <c r="F489" s="169" t="inlineStr">
        <is>
          <t>Mega Catalina</t>
        </is>
      </c>
      <c r="G489" s="169" t="inlineStr">
        <is>
          <t>MURCOTT - 2007 (21 Ha.)</t>
        </is>
      </c>
      <c r="H489" s="169" t="n"/>
      <c r="I489" s="169" t="n"/>
      <c r="J489" s="169" t="inlineStr">
        <is>
          <t>LABORES OPERACIONALES</t>
        </is>
      </c>
      <c r="K489" s="169" t="inlineStr">
        <is>
          <t>GUANTEO</t>
        </is>
      </c>
      <c r="L489" s="169" t="inlineStr">
        <is>
          <t>SERV.CONTRATISTA</t>
        </is>
      </c>
      <c r="M489" s="169" t="n"/>
      <c r="N489" s="169" t="inlineStr">
        <is>
          <t>.   .   -</t>
        </is>
      </c>
      <c r="O489" s="169" t="inlineStr">
        <is>
          <t>MARZO</t>
        </is>
      </c>
      <c r="P489" s="169" t="n">
        <v>11</v>
      </c>
      <c r="Q489" s="171" t="n">
        <v>366840</v>
      </c>
      <c r="R489" s="169" t="n"/>
      <c r="S489" s="171" t="n">
        <v>366840</v>
      </c>
      <c r="T489" s="169" t="inlineStr">
        <is>
          <t>CLP</t>
        </is>
      </c>
      <c r="U489" s="169" t="inlineStr">
        <is>
          <t>Carga LH 18-06-26</t>
        </is>
      </c>
      <c r="V489" s="169" t="inlineStr">
        <is>
          <t>2026-06-18</t>
        </is>
      </c>
    </row>
    <row r="490">
      <c r="A490" s="169" t="inlineStr">
        <is>
          <t>CR-0487</t>
        </is>
      </c>
      <c r="B490" s="169" t="inlineStr">
        <is>
          <t>2026/27</t>
        </is>
      </c>
      <c r="C490" s="231" t="n">
        <v>46099</v>
      </c>
      <c r="D490" s="169" t="inlineStr">
        <is>
          <t>780</t>
        </is>
      </c>
      <c r="E490" s="169" t="inlineStr">
        <is>
          <t>COMPRA</t>
        </is>
      </c>
      <c r="F490" s="169" t="inlineStr">
        <is>
          <t>Mega Catalina</t>
        </is>
      </c>
      <c r="G490" s="169" t="inlineStr">
        <is>
          <t>EUREKA - 1999 (10,6 Ha.)</t>
        </is>
      </c>
      <c r="H490" s="169" t="n"/>
      <c r="I490" s="169" t="n"/>
      <c r="J490" s="169" t="inlineStr">
        <is>
          <t>MANO DE OBRA CONTRATISTA</t>
        </is>
      </c>
      <c r="K490" s="169" t="inlineStr">
        <is>
          <t>M.O. CONTRATISTA</t>
        </is>
      </c>
      <c r="L490" s="169" t="inlineStr">
        <is>
          <t>O/001482 COSECHA ME</t>
        </is>
      </c>
      <c r="M490" s="169" t="n"/>
      <c r="N490" s="169" t="inlineStr">
        <is>
          <t>.   .   -</t>
        </is>
      </c>
      <c r="O490" s="169" t="inlineStr">
        <is>
          <t>MARZO</t>
        </is>
      </c>
      <c r="P490" s="169" t="n">
        <v>11</v>
      </c>
      <c r="Q490" s="171" t="n">
        <v>138270</v>
      </c>
      <c r="R490" s="169" t="n"/>
      <c r="S490" s="171" t="n">
        <v>138270</v>
      </c>
      <c r="T490" s="169" t="inlineStr">
        <is>
          <t>CLP</t>
        </is>
      </c>
      <c r="U490" s="169" t="inlineStr">
        <is>
          <t>Carga LH 18-06-26</t>
        </is>
      </c>
      <c r="V490" s="169" t="inlineStr">
        <is>
          <t>2026-06-18</t>
        </is>
      </c>
    </row>
    <row r="491">
      <c r="A491" s="169" t="inlineStr">
        <is>
          <t>CR-0488</t>
        </is>
      </c>
      <c r="B491" s="169" t="inlineStr">
        <is>
          <t>2026/27</t>
        </is>
      </c>
      <c r="C491" s="231" t="n">
        <v>46099</v>
      </c>
      <c r="D491" s="169" t="inlineStr">
        <is>
          <t>235</t>
        </is>
      </c>
      <c r="E491" s="169" t="inlineStr">
        <is>
          <t>COMPRA</t>
        </is>
      </c>
      <c r="F491" s="169" t="inlineStr">
        <is>
          <t>Mega Catalina</t>
        </is>
      </c>
      <c r="G491" s="169" t="inlineStr">
        <is>
          <t>SWEET CELEBRATION - 2015 (7,14 Ha.)</t>
        </is>
      </c>
      <c r="H491" s="169" t="n"/>
      <c r="I491" s="169" t="n"/>
      <c r="J491" s="169" t="inlineStr">
        <is>
          <t>LABORES OPERACIONALES</t>
        </is>
      </c>
      <c r="K491" s="169" t="inlineStr">
        <is>
          <t>COSECHA</t>
        </is>
      </c>
      <c r="L491" s="169" t="inlineStr">
        <is>
          <t>SERV.CONTRATISTA</t>
        </is>
      </c>
      <c r="M491" s="169" t="n"/>
      <c r="N491" s="169" t="inlineStr">
        <is>
          <t>.   .   -</t>
        </is>
      </c>
      <c r="O491" s="169" t="inlineStr">
        <is>
          <t>MARZO</t>
        </is>
      </c>
      <c r="P491" s="169" t="n">
        <v>11</v>
      </c>
      <c r="Q491" s="171" t="n">
        <v>887550</v>
      </c>
      <c r="R491" s="169" t="n"/>
      <c r="S491" s="171" t="n">
        <v>887550</v>
      </c>
      <c r="T491" s="169" t="inlineStr">
        <is>
          <t>CLP</t>
        </is>
      </c>
      <c r="U491" s="169" t="inlineStr">
        <is>
          <t>Carga LH 18-06-26</t>
        </is>
      </c>
      <c r="V491" s="169" t="inlineStr">
        <is>
          <t>2026-06-18</t>
        </is>
      </c>
    </row>
    <row r="492">
      <c r="A492" s="169" t="inlineStr">
        <is>
          <t>CR-0489</t>
        </is>
      </c>
      <c r="B492" s="169" t="inlineStr">
        <is>
          <t>2026/27</t>
        </is>
      </c>
      <c r="C492" s="231" t="n">
        <v>46100</v>
      </c>
      <c r="D492" s="169" t="inlineStr"/>
      <c r="E492" s="169" t="inlineStr">
        <is>
          <t>COMPRA</t>
        </is>
      </c>
      <c r="F492" s="169" t="inlineStr">
        <is>
          <t>Mega Catalina</t>
        </is>
      </c>
      <c r="G492" s="169" t="inlineStr">
        <is>
          <t>EUREKA - 2016 (14,4 Ha.)</t>
        </is>
      </c>
      <c r="H492" s="169" t="n"/>
      <c r="I492" s="169" t="n"/>
      <c r="J492" s="169" t="inlineStr">
        <is>
          <t>ENERGIA Y AGUA</t>
        </is>
      </c>
      <c r="K492" s="169" t="inlineStr">
        <is>
          <t>SUMIN. ELECTRICO</t>
        </is>
      </c>
      <c r="L492" s="169" t="inlineStr">
        <is>
          <t>CONSUMO ELECTRICO</t>
        </is>
      </c>
      <c r="M492" s="169" t="n"/>
      <c r="N492" s="169" t="inlineStr">
        <is>
          <t>.   .   -</t>
        </is>
      </c>
      <c r="O492" s="169" t="inlineStr">
        <is>
          <t>MARZO</t>
        </is>
      </c>
      <c r="P492" s="169" t="n">
        <v>11</v>
      </c>
      <c r="Q492" s="171" t="n">
        <v>623454</v>
      </c>
      <c r="R492" s="169" t="n"/>
      <c r="S492" s="171" t="n">
        <v>623454</v>
      </c>
      <c r="T492" s="169" t="inlineStr">
        <is>
          <t>CLP</t>
        </is>
      </c>
      <c r="U492" s="169" t="inlineStr">
        <is>
          <t>Carga LH 18-06-26</t>
        </is>
      </c>
      <c r="V492" s="169" t="inlineStr">
        <is>
          <t>2026-06-18</t>
        </is>
      </c>
    </row>
    <row r="493">
      <c r="A493" s="169" t="inlineStr">
        <is>
          <t>CR-0490</t>
        </is>
      </c>
      <c r="B493" s="169" t="inlineStr">
        <is>
          <t>2026/27</t>
        </is>
      </c>
      <c r="C493" s="231" t="n">
        <v>46105</v>
      </c>
      <c r="D493" s="169" t="inlineStr">
        <is>
          <t>172</t>
        </is>
      </c>
      <c r="E493" s="169" t="inlineStr">
        <is>
          <t>COMPRA</t>
        </is>
      </c>
      <c r="F493" s="169" t="inlineStr">
        <is>
          <t>Mega Catalina</t>
        </is>
      </c>
      <c r="G493" s="169" t="inlineStr">
        <is>
          <t>SWEET CELEBRATION - 2015 (7,14 Ha.)</t>
        </is>
      </c>
      <c r="H493" s="169" t="n"/>
      <c r="I493" s="169" t="n"/>
      <c r="J493" s="169" t="inlineStr">
        <is>
          <t>LABORES OPERACIONALES</t>
        </is>
      </c>
      <c r="K493" s="169" t="inlineStr">
        <is>
          <t>COSECHA</t>
        </is>
      </c>
      <c r="L493" s="169" t="inlineStr">
        <is>
          <t>SERV.CONTRATISTA</t>
        </is>
      </c>
      <c r="M493" s="169" t="n"/>
      <c r="N493" s="169" t="inlineStr">
        <is>
          <t>.   .   -</t>
        </is>
      </c>
      <c r="O493" s="169" t="inlineStr">
        <is>
          <t>MARZO</t>
        </is>
      </c>
      <c r="P493" s="169" t="n">
        <v>12</v>
      </c>
      <c r="Q493" s="171" t="n">
        <v>1125000</v>
      </c>
      <c r="R493" s="169" t="n"/>
      <c r="S493" s="171" t="n">
        <v>1125000</v>
      </c>
      <c r="T493" s="169" t="inlineStr">
        <is>
          <t>CLP</t>
        </is>
      </c>
      <c r="U493" s="169" t="inlineStr">
        <is>
          <t>Carga LH 18-06-26</t>
        </is>
      </c>
      <c r="V493" s="169" t="inlineStr">
        <is>
          <t>2026-06-18</t>
        </is>
      </c>
    </row>
    <row r="494">
      <c r="A494" s="169" t="inlineStr">
        <is>
          <t>CR-0491</t>
        </is>
      </c>
      <c r="B494" s="169" t="inlineStr">
        <is>
          <t>2026/27</t>
        </is>
      </c>
      <c r="C494" s="231" t="n">
        <v>46105</v>
      </c>
      <c r="D494" s="169" t="inlineStr">
        <is>
          <t>173</t>
        </is>
      </c>
      <c r="E494" s="169" t="inlineStr">
        <is>
          <t>COMPRA</t>
        </is>
      </c>
      <c r="F494" s="169" t="inlineStr">
        <is>
          <t>Asmara</t>
        </is>
      </c>
      <c r="G494" s="169" t="inlineStr">
        <is>
          <t>MURCOTT - 2020 (4,9 Ha.)</t>
        </is>
      </c>
      <c r="H494" s="169" t="n"/>
      <c r="I494" s="169" t="n"/>
      <c r="J494" s="169" t="inlineStr">
        <is>
          <t>LABORES OPERACIONALES</t>
        </is>
      </c>
      <c r="K494" s="169" t="inlineStr">
        <is>
          <t>PODA</t>
        </is>
      </c>
      <c r="L494" s="169" t="inlineStr">
        <is>
          <t>SERV.CONTRATISTA</t>
        </is>
      </c>
      <c r="M494" s="169" t="n"/>
      <c r="N494" s="169" t="inlineStr">
        <is>
          <t>.   .   -</t>
        </is>
      </c>
      <c r="O494" s="169" t="inlineStr">
        <is>
          <t>MARZO</t>
        </is>
      </c>
      <c r="P494" s="169" t="n">
        <v>12</v>
      </c>
      <c r="Q494" s="171" t="n">
        <v>325500</v>
      </c>
      <c r="R494" s="169" t="n"/>
      <c r="S494" s="171" t="n">
        <v>325500</v>
      </c>
      <c r="T494" s="169" t="inlineStr">
        <is>
          <t>CLP</t>
        </is>
      </c>
      <c r="U494" s="169" t="inlineStr">
        <is>
          <t>Carga LH 18-06-26</t>
        </is>
      </c>
      <c r="V494" s="169" t="inlineStr">
        <is>
          <t>2026-06-18</t>
        </is>
      </c>
    </row>
    <row r="495">
      <c r="A495" s="169" t="inlineStr">
        <is>
          <t>CR-0492</t>
        </is>
      </c>
      <c r="B495" s="169" t="inlineStr">
        <is>
          <t>2026/27</t>
        </is>
      </c>
      <c r="C495" s="231" t="n">
        <v>46105</v>
      </c>
      <c r="D495" s="169" t="inlineStr">
        <is>
          <t>171</t>
        </is>
      </c>
      <c r="E495" s="169" t="inlineStr">
        <is>
          <t>COMPRA</t>
        </is>
      </c>
      <c r="F495" s="169" t="inlineStr">
        <is>
          <t>Mega Catalina</t>
        </is>
      </c>
      <c r="G495" s="169" t="inlineStr">
        <is>
          <t>EUREKA - 1999 (22,5 Ha.)</t>
        </is>
      </c>
      <c r="H495" s="169" t="n"/>
      <c r="I495" s="169" t="n"/>
      <c r="J495" s="169" t="inlineStr">
        <is>
          <t>LABORES OPERACIONALES</t>
        </is>
      </c>
      <c r="K495" s="169" t="inlineStr">
        <is>
          <t>LABORES VARIAS</t>
        </is>
      </c>
      <c r="L495" s="169" t="inlineStr">
        <is>
          <t>SERV.CONTRATISTA</t>
        </is>
      </c>
      <c r="M495" s="169" t="n"/>
      <c r="N495" s="169" t="inlineStr">
        <is>
          <t>.   .   -</t>
        </is>
      </c>
      <c r="O495" s="169" t="inlineStr">
        <is>
          <t>MARZO</t>
        </is>
      </c>
      <c r="P495" s="169" t="n">
        <v>12</v>
      </c>
      <c r="Q495" s="171" t="n">
        <v>243750</v>
      </c>
      <c r="R495" s="169" t="n"/>
      <c r="S495" s="171" t="n">
        <v>243750</v>
      </c>
      <c r="T495" s="169" t="inlineStr">
        <is>
          <t>CLP</t>
        </is>
      </c>
      <c r="U495" s="169" t="inlineStr">
        <is>
          <t>Carga LH 18-06-26</t>
        </is>
      </c>
      <c r="V495" s="169" t="inlineStr">
        <is>
          <t>2026-06-18</t>
        </is>
      </c>
    </row>
    <row r="496">
      <c r="A496" s="169" t="inlineStr">
        <is>
          <t>CR-0493</t>
        </is>
      </c>
      <c r="B496" s="169" t="inlineStr">
        <is>
          <t>2026/27</t>
        </is>
      </c>
      <c r="C496" s="231" t="n">
        <v>46105</v>
      </c>
      <c r="D496" s="169" t="inlineStr">
        <is>
          <t>171</t>
        </is>
      </c>
      <c r="E496" s="169" t="inlineStr">
        <is>
          <t>COMPRA</t>
        </is>
      </c>
      <c r="F496" s="169" t="inlineStr">
        <is>
          <t>Mega Catalina</t>
        </is>
      </c>
      <c r="G496" s="169" t="inlineStr">
        <is>
          <t>EUREKA - 2016 (14,4 Ha.)</t>
        </is>
      </c>
      <c r="H496" s="169" t="n"/>
      <c r="I496" s="169" t="n"/>
      <c r="J496" s="169" t="inlineStr">
        <is>
          <t>LABORES OPERACIONALES</t>
        </is>
      </c>
      <c r="K496" s="169" t="inlineStr">
        <is>
          <t>PODA</t>
        </is>
      </c>
      <c r="L496" s="169" t="inlineStr">
        <is>
          <t>SERV.CONTRATISTA</t>
        </is>
      </c>
      <c r="M496" s="169" t="n"/>
      <c r="N496" s="169" t="inlineStr">
        <is>
          <t>.   .   -</t>
        </is>
      </c>
      <c r="O496" s="169" t="inlineStr">
        <is>
          <t>MARZO</t>
        </is>
      </c>
      <c r="P496" s="169" t="n">
        <v>12</v>
      </c>
      <c r="Q496" s="171" t="n">
        <v>83000</v>
      </c>
      <c r="R496" s="169" t="n"/>
      <c r="S496" s="171" t="n">
        <v>83000</v>
      </c>
      <c r="T496" s="169" t="inlineStr">
        <is>
          <t>CLP</t>
        </is>
      </c>
      <c r="U496" s="169" t="inlineStr">
        <is>
          <t>Carga LH 18-06-26</t>
        </is>
      </c>
      <c r="V496" s="169" t="inlineStr">
        <is>
          <t>2026-06-18</t>
        </is>
      </c>
    </row>
    <row r="497">
      <c r="A497" s="169" t="inlineStr">
        <is>
          <t>CR-0494</t>
        </is>
      </c>
      <c r="B497" s="169" t="inlineStr">
        <is>
          <t>2026/27</t>
        </is>
      </c>
      <c r="C497" s="231" t="n">
        <v>46105</v>
      </c>
      <c r="D497" s="169" t="inlineStr">
        <is>
          <t>213</t>
        </is>
      </c>
      <c r="E497" s="169" t="inlineStr">
        <is>
          <t>COMPRA</t>
        </is>
      </c>
      <c r="F497" s="169" t="inlineStr">
        <is>
          <t>Mega Catalina</t>
        </is>
      </c>
      <c r="G497" s="169" t="inlineStr">
        <is>
          <t>SWEET CELEBRATION - 2015 (7,14 Ha.)</t>
        </is>
      </c>
      <c r="H497" s="169" t="n"/>
      <c r="I497" s="169" t="n"/>
      <c r="J497" s="169" t="inlineStr">
        <is>
          <t>LABORES OPERACIONALES</t>
        </is>
      </c>
      <c r="K497" s="169" t="inlineStr">
        <is>
          <t>COSECHA</t>
        </is>
      </c>
      <c r="L497" s="169" t="inlineStr">
        <is>
          <t>SERV.CONTRATISTA</t>
        </is>
      </c>
      <c r="M497" s="169" t="n"/>
      <c r="N497" s="169" t="inlineStr">
        <is>
          <t>.   .   -</t>
        </is>
      </c>
      <c r="O497" s="169" t="inlineStr">
        <is>
          <t>MARZO</t>
        </is>
      </c>
      <c r="P497" s="169" t="n">
        <v>12</v>
      </c>
      <c r="Q497" s="171" t="n">
        <v>2193650</v>
      </c>
      <c r="R497" s="169" t="n"/>
      <c r="S497" s="171" t="n">
        <v>2193650</v>
      </c>
      <c r="T497" s="169" t="inlineStr">
        <is>
          <t>CLP</t>
        </is>
      </c>
      <c r="U497" s="169" t="inlineStr">
        <is>
          <t>Carga LH 18-06-26</t>
        </is>
      </c>
      <c r="V497" s="169" t="inlineStr">
        <is>
          <t>2026-06-18</t>
        </is>
      </c>
    </row>
    <row r="498">
      <c r="A498" s="169" t="inlineStr">
        <is>
          <t>CR-0495</t>
        </is>
      </c>
      <c r="B498" s="169" t="inlineStr">
        <is>
          <t>2026/27</t>
        </is>
      </c>
      <c r="C498" s="231" t="n">
        <v>46105</v>
      </c>
      <c r="D498" s="169" t="inlineStr">
        <is>
          <t>1017</t>
        </is>
      </c>
      <c r="E498" s="169" t="inlineStr">
        <is>
          <t>COMPRA</t>
        </is>
      </c>
      <c r="F498" s="169" t="inlineStr">
        <is>
          <t>Mega Catalina</t>
        </is>
      </c>
      <c r="G498" s="169" t="inlineStr">
        <is>
          <t>EUREKA - 1999 (22,5 Ha.)</t>
        </is>
      </c>
      <c r="H498" s="169" t="n"/>
      <c r="I498" s="169" t="n"/>
      <c r="J498" s="169" t="inlineStr">
        <is>
          <t>LABORES OPERACIONALES</t>
        </is>
      </c>
      <c r="K498" s="169" t="inlineStr">
        <is>
          <t>COSECHA</t>
        </is>
      </c>
      <c r="L498" s="169" t="inlineStr">
        <is>
          <t>SERV.CONTRATISTA</t>
        </is>
      </c>
      <c r="M498" s="169" t="n"/>
      <c r="N498" s="169" t="inlineStr">
        <is>
          <t>.   .   -</t>
        </is>
      </c>
      <c r="O498" s="169" t="inlineStr">
        <is>
          <t>MARZO</t>
        </is>
      </c>
      <c r="P498" s="169" t="n">
        <v>12</v>
      </c>
      <c r="Q498" s="171" t="n">
        <v>197040</v>
      </c>
      <c r="R498" s="169" t="n"/>
      <c r="S498" s="171" t="n">
        <v>197040</v>
      </c>
      <c r="T498" s="169" t="inlineStr">
        <is>
          <t>CLP</t>
        </is>
      </c>
      <c r="U498" s="169" t="inlineStr">
        <is>
          <t>Carga LH 18-06-26</t>
        </is>
      </c>
      <c r="V498" s="169" t="inlineStr">
        <is>
          <t>2026-06-18</t>
        </is>
      </c>
    </row>
    <row r="499">
      <c r="A499" s="169" t="inlineStr">
        <is>
          <t>CR-0496</t>
        </is>
      </c>
      <c r="B499" s="169" t="inlineStr">
        <is>
          <t>2026/27</t>
        </is>
      </c>
      <c r="C499" s="231" t="n">
        <v>46105</v>
      </c>
      <c r="D499" s="169" t="inlineStr">
        <is>
          <t>1017</t>
        </is>
      </c>
      <c r="E499" s="169" t="inlineStr">
        <is>
          <t>COMPRA</t>
        </is>
      </c>
      <c r="F499" s="169" t="inlineStr">
        <is>
          <t>Mega Catalina</t>
        </is>
      </c>
      <c r="G499" s="169" t="inlineStr">
        <is>
          <t>EUREKA - 1999 (10,6 Ha.)</t>
        </is>
      </c>
      <c r="H499" s="169" t="n"/>
      <c r="I499" s="169" t="n"/>
      <c r="J499" s="169" t="inlineStr">
        <is>
          <t>LABORES OPERACIONALES</t>
        </is>
      </c>
      <c r="K499" s="169" t="inlineStr">
        <is>
          <t>COSECHA</t>
        </is>
      </c>
      <c r="L499" s="169" t="inlineStr">
        <is>
          <t>SERV.CONTRATISTA</t>
        </is>
      </c>
      <c r="M499" s="169" t="n"/>
      <c r="N499" s="169" t="inlineStr">
        <is>
          <t>.   .   -</t>
        </is>
      </c>
      <c r="O499" s="169" t="inlineStr">
        <is>
          <t>MARZO</t>
        </is>
      </c>
      <c r="P499" s="169" t="n">
        <v>12</v>
      </c>
      <c r="Q499" s="171" t="n">
        <v>620640</v>
      </c>
      <c r="R499" s="169" t="n"/>
      <c r="S499" s="171" t="n">
        <v>620640</v>
      </c>
      <c r="T499" s="169" t="inlineStr">
        <is>
          <t>CLP</t>
        </is>
      </c>
      <c r="U499" s="169" t="inlineStr">
        <is>
          <t>Carga LH 18-06-26</t>
        </is>
      </c>
      <c r="V499" s="169" t="inlineStr">
        <is>
          <t>2026-06-18</t>
        </is>
      </c>
    </row>
    <row r="500">
      <c r="A500" s="169" t="inlineStr">
        <is>
          <t>CR-0497</t>
        </is>
      </c>
      <c r="B500" s="169" t="inlineStr">
        <is>
          <t>2026/27</t>
        </is>
      </c>
      <c r="C500" s="231" t="n">
        <v>46105</v>
      </c>
      <c r="D500" s="169" t="inlineStr">
        <is>
          <t>1017</t>
        </is>
      </c>
      <c r="E500" s="169" t="inlineStr">
        <is>
          <t>COMPRA</t>
        </is>
      </c>
      <c r="F500" s="169" t="inlineStr">
        <is>
          <t>Mega Catalina</t>
        </is>
      </c>
      <c r="G500" s="169" t="inlineStr">
        <is>
          <t>EUREKA - 2016 (14,4 Ha.)</t>
        </is>
      </c>
      <c r="H500" s="169" t="n"/>
      <c r="I500" s="169" t="n"/>
      <c r="J500" s="169" t="inlineStr">
        <is>
          <t>LABORES OPERACIONALES</t>
        </is>
      </c>
      <c r="K500" s="169" t="inlineStr">
        <is>
          <t>COSECHA</t>
        </is>
      </c>
      <c r="L500" s="169" t="inlineStr">
        <is>
          <t>SERV.CONTRATISTA</t>
        </is>
      </c>
      <c r="M500" s="169" t="n"/>
      <c r="N500" s="169" t="inlineStr">
        <is>
          <t>.   .   -</t>
        </is>
      </c>
      <c r="O500" s="169" t="inlineStr">
        <is>
          <t>MARZO</t>
        </is>
      </c>
      <c r="P500" s="169" t="n">
        <v>12</v>
      </c>
      <c r="Q500" s="171" t="n">
        <v>188160</v>
      </c>
      <c r="R500" s="169" t="n"/>
      <c r="S500" s="171" t="n">
        <v>188160</v>
      </c>
      <c r="T500" s="169" t="inlineStr">
        <is>
          <t>CLP</t>
        </is>
      </c>
      <c r="U500" s="169" t="inlineStr">
        <is>
          <t>Carga LH 18-06-26</t>
        </is>
      </c>
      <c r="V500" s="169" t="inlineStr">
        <is>
          <t>2026-06-18</t>
        </is>
      </c>
    </row>
    <row r="501">
      <c r="A501" s="169" t="inlineStr">
        <is>
          <t>CR-0498</t>
        </is>
      </c>
      <c r="B501" s="169" t="inlineStr">
        <is>
          <t>2026/27</t>
        </is>
      </c>
      <c r="C501" s="231" t="n">
        <v>46105</v>
      </c>
      <c r="D501" s="169" t="inlineStr">
        <is>
          <t>1017</t>
        </is>
      </c>
      <c r="E501" s="169" t="inlineStr">
        <is>
          <t>COMPRA</t>
        </is>
      </c>
      <c r="F501" s="169" t="inlineStr">
        <is>
          <t>Mega Catalina</t>
        </is>
      </c>
      <c r="G501" s="169" t="inlineStr">
        <is>
          <t>FINO 49 - 1999 (7,7 Ha.)</t>
        </is>
      </c>
      <c r="H501" s="169" t="n"/>
      <c r="I501" s="169" t="n"/>
      <c r="J501" s="169" t="inlineStr">
        <is>
          <t>LABORES OPERACIONALES</t>
        </is>
      </c>
      <c r="K501" s="169" t="inlineStr">
        <is>
          <t>COSECHA</t>
        </is>
      </c>
      <c r="L501" s="169" t="inlineStr">
        <is>
          <t>SERV.CONTRATISTA</t>
        </is>
      </c>
      <c r="M501" s="169" t="n"/>
      <c r="N501" s="169" t="inlineStr">
        <is>
          <t>.   .   -</t>
        </is>
      </c>
      <c r="O501" s="169" t="inlineStr">
        <is>
          <t>MARZO</t>
        </is>
      </c>
      <c r="P501" s="169" t="n">
        <v>12</v>
      </c>
      <c r="Q501" s="171" t="n">
        <v>320280</v>
      </c>
      <c r="R501" s="169" t="n"/>
      <c r="S501" s="171" t="n">
        <v>320280</v>
      </c>
      <c r="T501" s="169" t="inlineStr">
        <is>
          <t>CLP</t>
        </is>
      </c>
      <c r="U501" s="169" t="inlineStr">
        <is>
          <t>Carga LH 18-06-26</t>
        </is>
      </c>
      <c r="V501" s="169" t="inlineStr">
        <is>
          <t>2026-06-18</t>
        </is>
      </c>
    </row>
    <row r="502">
      <c r="A502" s="169" t="inlineStr">
        <is>
          <t>CR-0499</t>
        </is>
      </c>
      <c r="B502" s="169" t="inlineStr">
        <is>
          <t>2026/27</t>
        </is>
      </c>
      <c r="C502" s="231" t="n">
        <v>46105</v>
      </c>
      <c r="D502" s="169" t="inlineStr">
        <is>
          <t>643</t>
        </is>
      </c>
      <c r="E502" s="169" t="inlineStr">
        <is>
          <t>COMPRA</t>
        </is>
      </c>
      <c r="F502" s="169" t="inlineStr">
        <is>
          <t>Mega Catalina</t>
        </is>
      </c>
      <c r="G502" s="169" t="inlineStr">
        <is>
          <t>EUREKA - 1999 (22,5 Ha.)</t>
        </is>
      </c>
      <c r="H502" s="169" t="n"/>
      <c r="I502" s="169" t="n"/>
      <c r="J502" s="169" t="inlineStr">
        <is>
          <t>LABORES OPERACIONALES</t>
        </is>
      </c>
      <c r="K502" s="169" t="inlineStr">
        <is>
          <t>COSECHA</t>
        </is>
      </c>
      <c r="L502" s="169" t="inlineStr">
        <is>
          <t>SERV.CONTRATISTA</t>
        </is>
      </c>
      <c r="M502" s="169" t="n"/>
      <c r="N502" s="169" t="inlineStr">
        <is>
          <t>.   .   -</t>
        </is>
      </c>
      <c r="O502" s="169" t="inlineStr">
        <is>
          <t>MARZO</t>
        </is>
      </c>
      <c r="P502" s="169" t="n">
        <v>12</v>
      </c>
      <c r="Q502" s="171" t="n">
        <v>346320</v>
      </c>
      <c r="R502" s="169" t="n"/>
      <c r="S502" s="171" t="n">
        <v>346320</v>
      </c>
      <c r="T502" s="169" t="inlineStr">
        <is>
          <t>CLP</t>
        </is>
      </c>
      <c r="U502" s="169" t="inlineStr">
        <is>
          <t>Carga LH 18-06-26</t>
        </is>
      </c>
      <c r="V502" s="169" t="inlineStr">
        <is>
          <t>2026-06-18</t>
        </is>
      </c>
    </row>
    <row r="503">
      <c r="A503" s="169" t="inlineStr">
        <is>
          <t>CR-0500</t>
        </is>
      </c>
      <c r="B503" s="169" t="inlineStr">
        <is>
          <t>2026/27</t>
        </is>
      </c>
      <c r="C503" s="231" t="n">
        <v>46105</v>
      </c>
      <c r="D503" s="169" t="inlineStr">
        <is>
          <t>643</t>
        </is>
      </c>
      <c r="E503" s="169" t="inlineStr">
        <is>
          <t>COMPRA</t>
        </is>
      </c>
      <c r="F503" s="169" t="inlineStr">
        <is>
          <t>Mega Catalina</t>
        </is>
      </c>
      <c r="G503" s="169" t="inlineStr">
        <is>
          <t>EUREKA - 1999 (22,5 Ha.)</t>
        </is>
      </c>
      <c r="H503" s="169" t="n"/>
      <c r="I503" s="169" t="n"/>
      <c r="J503" s="169" t="inlineStr">
        <is>
          <t>LABORES OPERACIONALES</t>
        </is>
      </c>
      <c r="K503" s="169" t="inlineStr">
        <is>
          <t>SELECCION</t>
        </is>
      </c>
      <c r="L503" s="169" t="inlineStr">
        <is>
          <t>SERV.CONTRATISTA</t>
        </is>
      </c>
      <c r="M503" s="169" t="n"/>
      <c r="N503" s="169" t="inlineStr">
        <is>
          <t>.   .   -</t>
        </is>
      </c>
      <c r="O503" s="169" t="inlineStr">
        <is>
          <t>MARZO</t>
        </is>
      </c>
      <c r="P503" s="169" t="n">
        <v>12</v>
      </c>
      <c r="Q503" s="171" t="n">
        <v>75000</v>
      </c>
      <c r="R503" s="169" t="n"/>
      <c r="S503" s="171" t="n">
        <v>75000</v>
      </c>
      <c r="T503" s="169" t="inlineStr">
        <is>
          <t>CLP</t>
        </is>
      </c>
      <c r="U503" s="169" t="inlineStr">
        <is>
          <t>Carga LH 18-06-26</t>
        </is>
      </c>
      <c r="V503" s="169" t="inlineStr">
        <is>
          <t>2026-06-18</t>
        </is>
      </c>
    </row>
    <row r="504">
      <c r="A504" s="169" t="inlineStr">
        <is>
          <t>CR-0501</t>
        </is>
      </c>
      <c r="B504" s="169" t="inlineStr">
        <is>
          <t>2026/27</t>
        </is>
      </c>
      <c r="C504" s="231" t="n">
        <v>46105</v>
      </c>
      <c r="D504" s="169" t="inlineStr">
        <is>
          <t>643</t>
        </is>
      </c>
      <c r="E504" s="169" t="inlineStr">
        <is>
          <t>COMPRA</t>
        </is>
      </c>
      <c r="F504" s="169" t="inlineStr">
        <is>
          <t>Mega Catalina</t>
        </is>
      </c>
      <c r="G504" s="169" t="inlineStr">
        <is>
          <t>EUREKA - 1999 (10,6 Ha.)</t>
        </is>
      </c>
      <c r="H504" s="169" t="n"/>
      <c r="I504" s="169" t="n"/>
      <c r="J504" s="169" t="inlineStr">
        <is>
          <t>LABORES OPERACIONALES</t>
        </is>
      </c>
      <c r="K504" s="169" t="inlineStr">
        <is>
          <t>COSECHA</t>
        </is>
      </c>
      <c r="L504" s="169" t="inlineStr">
        <is>
          <t>SERV.CONTRATISTA</t>
        </is>
      </c>
      <c r="M504" s="169" t="n"/>
      <c r="N504" s="169" t="inlineStr">
        <is>
          <t>.   .   -</t>
        </is>
      </c>
      <c r="O504" s="169" t="inlineStr">
        <is>
          <t>MARZO</t>
        </is>
      </c>
      <c r="P504" s="169" t="n">
        <v>12</v>
      </c>
      <c r="Q504" s="171" t="n">
        <v>1316400</v>
      </c>
      <c r="R504" s="169" t="n"/>
      <c r="S504" s="171" t="n">
        <v>1316400</v>
      </c>
      <c r="T504" s="169" t="inlineStr">
        <is>
          <t>CLP</t>
        </is>
      </c>
      <c r="U504" s="169" t="inlineStr">
        <is>
          <t>Carga LH 18-06-26</t>
        </is>
      </c>
      <c r="V504" s="169" t="inlineStr">
        <is>
          <t>2026-06-18</t>
        </is>
      </c>
    </row>
    <row r="505">
      <c r="A505" s="169" t="inlineStr">
        <is>
          <t>CR-0502</t>
        </is>
      </c>
      <c r="B505" s="169" t="inlineStr">
        <is>
          <t>2026/27</t>
        </is>
      </c>
      <c r="C505" s="231" t="n">
        <v>46105</v>
      </c>
      <c r="D505" s="169" t="inlineStr">
        <is>
          <t>643</t>
        </is>
      </c>
      <c r="E505" s="169" t="inlineStr">
        <is>
          <t>COMPRA</t>
        </is>
      </c>
      <c r="F505" s="169" t="inlineStr">
        <is>
          <t>Mega Catalina</t>
        </is>
      </c>
      <c r="G505" s="169" t="inlineStr">
        <is>
          <t>EUREKA - 1999 (10,6 Ha.)</t>
        </is>
      </c>
      <c r="H505" s="169" t="n"/>
      <c r="I505" s="169" t="n"/>
      <c r="J505" s="169" t="inlineStr">
        <is>
          <t>LABORES OPERACIONALES</t>
        </is>
      </c>
      <c r="K505" s="169" t="inlineStr">
        <is>
          <t>SELECCION</t>
        </is>
      </c>
      <c r="L505" s="169" t="inlineStr">
        <is>
          <t>SERV.CONTRATISTA</t>
        </is>
      </c>
      <c r="M505" s="169" t="n"/>
      <c r="N505" s="169" t="inlineStr">
        <is>
          <t>.   .   -</t>
        </is>
      </c>
      <c r="O505" s="169" t="inlineStr">
        <is>
          <t>MARZO</t>
        </is>
      </c>
      <c r="P505" s="169" t="n">
        <v>12</v>
      </c>
      <c r="Q505" s="171" t="n">
        <v>225000</v>
      </c>
      <c r="R505" s="169" t="n"/>
      <c r="S505" s="171" t="n">
        <v>225000</v>
      </c>
      <c r="T505" s="169" t="inlineStr">
        <is>
          <t>CLP</t>
        </is>
      </c>
      <c r="U505" s="169" t="inlineStr">
        <is>
          <t>Carga LH 18-06-26</t>
        </is>
      </c>
      <c r="V505" s="169" t="inlineStr">
        <is>
          <t>2026-06-18</t>
        </is>
      </c>
    </row>
    <row r="506">
      <c r="A506" s="169" t="inlineStr">
        <is>
          <t>CR-0503</t>
        </is>
      </c>
      <c r="B506" s="169" t="inlineStr">
        <is>
          <t>2026/27</t>
        </is>
      </c>
      <c r="C506" s="231" t="n">
        <v>46105</v>
      </c>
      <c r="D506" s="169" t="inlineStr">
        <is>
          <t>643</t>
        </is>
      </c>
      <c r="E506" s="169" t="inlineStr">
        <is>
          <t>COMPRA</t>
        </is>
      </c>
      <c r="F506" s="169" t="inlineStr">
        <is>
          <t>Mega Catalina</t>
        </is>
      </c>
      <c r="G506" s="169" t="inlineStr">
        <is>
          <t>EUREKA - 2016 (14,4 Ha.)</t>
        </is>
      </c>
      <c r="H506" s="169" t="n"/>
      <c r="I506" s="169" t="n"/>
      <c r="J506" s="169" t="inlineStr">
        <is>
          <t>LABORES OPERACIONALES</t>
        </is>
      </c>
      <c r="K506" s="169" t="inlineStr">
        <is>
          <t>COSECHA</t>
        </is>
      </c>
      <c r="L506" s="169" t="inlineStr">
        <is>
          <t>SERV.CONTRATISTA</t>
        </is>
      </c>
      <c r="M506" s="169" t="n"/>
      <c r="N506" s="169" t="inlineStr">
        <is>
          <t>.   .   -</t>
        </is>
      </c>
      <c r="O506" s="169" t="inlineStr">
        <is>
          <t>MARZO</t>
        </is>
      </c>
      <c r="P506" s="169" t="n">
        <v>12</v>
      </c>
      <c r="Q506" s="171" t="n">
        <v>447600</v>
      </c>
      <c r="R506" s="169" t="n"/>
      <c r="S506" s="171" t="n">
        <v>447600</v>
      </c>
      <c r="T506" s="169" t="inlineStr">
        <is>
          <t>CLP</t>
        </is>
      </c>
      <c r="U506" s="169" t="inlineStr">
        <is>
          <t>Carga LH 18-06-26</t>
        </is>
      </c>
      <c r="V506" s="169" t="inlineStr">
        <is>
          <t>2026-06-18</t>
        </is>
      </c>
    </row>
    <row r="507">
      <c r="A507" s="169" t="inlineStr">
        <is>
          <t>CR-0504</t>
        </is>
      </c>
      <c r="B507" s="169" t="inlineStr">
        <is>
          <t>2026/27</t>
        </is>
      </c>
      <c r="C507" s="231" t="n">
        <v>46105</v>
      </c>
      <c r="D507" s="169" t="inlineStr">
        <is>
          <t>643</t>
        </is>
      </c>
      <c r="E507" s="169" t="inlineStr">
        <is>
          <t>COMPRA</t>
        </is>
      </c>
      <c r="F507" s="169" t="inlineStr">
        <is>
          <t>Mega Catalina</t>
        </is>
      </c>
      <c r="G507" s="169" t="inlineStr">
        <is>
          <t>FINO 49 - 1999 (7,7 Ha.)</t>
        </is>
      </c>
      <c r="H507" s="169" t="n"/>
      <c r="I507" s="169" t="n"/>
      <c r="J507" s="169" t="inlineStr">
        <is>
          <t>LABORES OPERACIONALES</t>
        </is>
      </c>
      <c r="K507" s="169" t="inlineStr">
        <is>
          <t>COSECHA</t>
        </is>
      </c>
      <c r="L507" s="169" t="inlineStr">
        <is>
          <t>SERV.CONTRATISTA</t>
        </is>
      </c>
      <c r="M507" s="169" t="n"/>
      <c r="N507" s="169" t="inlineStr">
        <is>
          <t>.   .   -</t>
        </is>
      </c>
      <c r="O507" s="169" t="inlineStr">
        <is>
          <t>MARZO</t>
        </is>
      </c>
      <c r="P507" s="169" t="n">
        <v>12</v>
      </c>
      <c r="Q507" s="171" t="n">
        <v>928440</v>
      </c>
      <c r="R507" s="169" t="n"/>
      <c r="S507" s="171" t="n">
        <v>928440</v>
      </c>
      <c r="T507" s="169" t="inlineStr">
        <is>
          <t>CLP</t>
        </is>
      </c>
      <c r="U507" s="169" t="inlineStr">
        <is>
          <t>Carga LH 18-06-26</t>
        </is>
      </c>
      <c r="V507" s="169" t="inlineStr">
        <is>
          <t>2026-06-18</t>
        </is>
      </c>
    </row>
    <row r="508">
      <c r="A508" s="169" t="inlineStr">
        <is>
          <t>CR-0505</t>
        </is>
      </c>
      <c r="B508" s="169" t="inlineStr">
        <is>
          <t>2026/27</t>
        </is>
      </c>
      <c r="C508" s="231" t="n">
        <v>46105</v>
      </c>
      <c r="D508" s="169" t="inlineStr">
        <is>
          <t>643</t>
        </is>
      </c>
      <c r="E508" s="169" t="inlineStr">
        <is>
          <t>COMPRA</t>
        </is>
      </c>
      <c r="F508" s="169" t="inlineStr">
        <is>
          <t>Mega Catalina</t>
        </is>
      </c>
      <c r="G508" s="169" t="inlineStr">
        <is>
          <t>FINO 49 - 1999 (7,7 Ha.)</t>
        </is>
      </c>
      <c r="H508" s="169" t="n"/>
      <c r="I508" s="169" t="n"/>
      <c r="J508" s="169" t="inlineStr">
        <is>
          <t>LABORES OPERACIONALES</t>
        </is>
      </c>
      <c r="K508" s="169" t="inlineStr">
        <is>
          <t>SELECCION</t>
        </is>
      </c>
      <c r="L508" s="169" t="inlineStr">
        <is>
          <t>SERV.CONTRATISTA</t>
        </is>
      </c>
      <c r="M508" s="169" t="n"/>
      <c r="N508" s="169" t="inlineStr">
        <is>
          <t>.   .   -</t>
        </is>
      </c>
      <c r="O508" s="169" t="inlineStr">
        <is>
          <t>MARZO</t>
        </is>
      </c>
      <c r="P508" s="169" t="n">
        <v>12</v>
      </c>
      <c r="Q508" s="171" t="n">
        <v>75000</v>
      </c>
      <c r="R508" s="169" t="n"/>
      <c r="S508" s="171" t="n">
        <v>75000</v>
      </c>
      <c r="T508" s="169" t="inlineStr">
        <is>
          <t>CLP</t>
        </is>
      </c>
      <c r="U508" s="169" t="inlineStr">
        <is>
          <t>Carga LH 18-06-26</t>
        </is>
      </c>
      <c r="V508" s="169" t="inlineStr">
        <is>
          <t>2026-06-18</t>
        </is>
      </c>
    </row>
    <row r="509">
      <c r="A509" s="169" t="inlineStr">
        <is>
          <t>CR-0506</t>
        </is>
      </c>
      <c r="B509" s="169" t="inlineStr">
        <is>
          <t>2026/27</t>
        </is>
      </c>
      <c r="C509" s="231" t="n">
        <v>46105</v>
      </c>
      <c r="D509" s="169" t="inlineStr">
        <is>
          <t>642</t>
        </is>
      </c>
      <c r="E509" s="169" t="inlineStr">
        <is>
          <t>COMPRA</t>
        </is>
      </c>
      <c r="F509" s="169" t="inlineStr">
        <is>
          <t>Sin asignar</t>
        </is>
      </c>
      <c r="G509" s="169" t="inlineStr">
        <is>
          <t>PACKING</t>
        </is>
      </c>
      <c r="H509" s="169" t="n"/>
      <c r="I509" s="169" t="n"/>
      <c r="J509" s="169" t="inlineStr">
        <is>
          <t>LABORES OPERACIONALES</t>
        </is>
      </c>
      <c r="K509" s="169" t="inlineStr">
        <is>
          <t>LAB. PACKING</t>
        </is>
      </c>
      <c r="L509" s="169" t="inlineStr">
        <is>
          <t>SERV.CONTRATISTA</t>
        </is>
      </c>
      <c r="M509" s="169" t="n"/>
      <c r="N509" s="169" t="inlineStr">
        <is>
          <t>.   .   -</t>
        </is>
      </c>
      <c r="O509" s="169" t="inlineStr">
        <is>
          <t>MARZO</t>
        </is>
      </c>
      <c r="P509" s="169" t="n">
        <v>12</v>
      </c>
      <c r="Q509" s="171" t="n">
        <v>5202000</v>
      </c>
      <c r="R509" s="169" t="n"/>
      <c r="S509" s="171" t="n">
        <v>5202000</v>
      </c>
      <c r="T509" s="169" t="inlineStr">
        <is>
          <t>CLP</t>
        </is>
      </c>
      <c r="U509" s="169" t="inlineStr">
        <is>
          <t>Carga LH 18-06-26</t>
        </is>
      </c>
      <c r="V509" s="169" t="inlineStr">
        <is>
          <t>2026-06-18</t>
        </is>
      </c>
    </row>
    <row r="510">
      <c r="A510" s="169" t="inlineStr">
        <is>
          <t>CR-0507</t>
        </is>
      </c>
      <c r="B510" s="169" t="inlineStr">
        <is>
          <t>2026/27</t>
        </is>
      </c>
      <c r="C510" s="231" t="n">
        <v>46105</v>
      </c>
      <c r="D510" s="169" t="inlineStr">
        <is>
          <t>642</t>
        </is>
      </c>
      <c r="E510" s="169" t="inlineStr">
        <is>
          <t>COMPRA</t>
        </is>
      </c>
      <c r="F510" s="169" t="inlineStr">
        <is>
          <t>Mega Catalina</t>
        </is>
      </c>
      <c r="G510" s="169" t="inlineStr">
        <is>
          <t>SWEET CELEBRATION - 2015 (7,14 Ha.)</t>
        </is>
      </c>
      <c r="H510" s="169" t="n"/>
      <c r="I510" s="169" t="n"/>
      <c r="J510" s="169" t="inlineStr">
        <is>
          <t>LABORES OPERACIONALES</t>
        </is>
      </c>
      <c r="K510" s="169" t="inlineStr">
        <is>
          <t>COSECHA</t>
        </is>
      </c>
      <c r="L510" s="169" t="inlineStr">
        <is>
          <t>SERV.CONTRATISTA</t>
        </is>
      </c>
      <c r="M510" s="169" t="n"/>
      <c r="N510" s="169" t="inlineStr">
        <is>
          <t>.   .   -</t>
        </is>
      </c>
      <c r="O510" s="169" t="inlineStr">
        <is>
          <t>MARZO</t>
        </is>
      </c>
      <c r="P510" s="169" t="n">
        <v>12</v>
      </c>
      <c r="Q510" s="171" t="n">
        <v>2399750</v>
      </c>
      <c r="R510" s="169" t="n"/>
      <c r="S510" s="171" t="n">
        <v>2399750</v>
      </c>
      <c r="T510" s="169" t="inlineStr">
        <is>
          <t>CLP</t>
        </is>
      </c>
      <c r="U510" s="169" t="inlineStr">
        <is>
          <t>Carga LH 18-06-26</t>
        </is>
      </c>
      <c r="V510" s="169" t="inlineStr">
        <is>
          <t>2026-06-18</t>
        </is>
      </c>
    </row>
    <row r="511">
      <c r="A511" s="169" t="inlineStr">
        <is>
          <t>CR-0508</t>
        </is>
      </c>
      <c r="B511" s="169" t="inlineStr">
        <is>
          <t>2026/27</t>
        </is>
      </c>
      <c r="C511" s="231" t="n">
        <v>46111</v>
      </c>
      <c r="D511" s="169" t="inlineStr">
        <is>
          <t>77076</t>
        </is>
      </c>
      <c r="E511" s="169" t="inlineStr">
        <is>
          <t>COMPRA</t>
        </is>
      </c>
      <c r="F511" s="169" t="inlineStr">
        <is>
          <t>Mega Catalina</t>
        </is>
      </c>
      <c r="G511" s="169" t="inlineStr">
        <is>
          <t>EUREKA - 1999 (10,6 Ha.)</t>
        </is>
      </c>
      <c r="H511" s="169" t="n"/>
      <c r="I511" s="169" t="n"/>
      <c r="J511" s="169" t="inlineStr">
        <is>
          <t>MANT. Y REP. EQUI. RIEGO</t>
        </is>
      </c>
      <c r="K511" s="169" t="inlineStr">
        <is>
          <t>SALAS DE RIEGO</t>
        </is>
      </c>
      <c r="L511" s="169" t="inlineStr">
        <is>
          <t>O/001512 PROGRAMADO</t>
        </is>
      </c>
      <c r="M511" s="169" t="n"/>
      <c r="N511" s="169" t="inlineStr">
        <is>
          <t>.   .   -</t>
        </is>
      </c>
      <c r="O511" s="169" t="inlineStr">
        <is>
          <t>MARZO</t>
        </is>
      </c>
      <c r="P511" s="169" t="n">
        <v>13</v>
      </c>
      <c r="Q511" s="171" t="n">
        <v>225908</v>
      </c>
      <c r="R511" s="169" t="n"/>
      <c r="S511" s="171" t="n">
        <v>225908</v>
      </c>
      <c r="T511" s="169" t="inlineStr">
        <is>
          <t>CLP</t>
        </is>
      </c>
      <c r="U511" s="169" t="inlineStr">
        <is>
          <t>Carga LH 18-06-26</t>
        </is>
      </c>
      <c r="V511" s="169" t="inlineStr">
        <is>
          <t>2026-06-18</t>
        </is>
      </c>
    </row>
    <row r="512">
      <c r="A512" s="169" t="inlineStr">
        <is>
          <t>CR-0509</t>
        </is>
      </c>
      <c r="B512" s="169" t="inlineStr">
        <is>
          <t>2026/27</t>
        </is>
      </c>
      <c r="C512" s="231" t="n">
        <v>46111</v>
      </c>
      <c r="D512" s="169" t="inlineStr">
        <is>
          <t>5953</t>
        </is>
      </c>
      <c r="E512" s="169" t="inlineStr">
        <is>
          <t>COMPRA</t>
        </is>
      </c>
      <c r="F512" s="169" t="inlineStr">
        <is>
          <t>Mega Catalina</t>
        </is>
      </c>
      <c r="G512" s="169" t="inlineStr">
        <is>
          <t>EUREKA - 1999 (10,6 Ha.)</t>
        </is>
      </c>
      <c r="H512" s="169" t="n"/>
      <c r="I512" s="169" t="n"/>
      <c r="J512" s="169" t="inlineStr">
        <is>
          <t>MANT. Y REP. EQUI. RIEGO</t>
        </is>
      </c>
      <c r="K512" s="169" t="inlineStr">
        <is>
          <t>SALAS DE RIEGO</t>
        </is>
      </c>
      <c r="L512" s="169" t="inlineStr">
        <is>
          <t>O/001512 PROGRAMADO</t>
        </is>
      </c>
      <c r="M512" s="169" t="n"/>
      <c r="N512" s="169" t="inlineStr">
        <is>
          <t>.   .   -</t>
        </is>
      </c>
      <c r="O512" s="169" t="inlineStr">
        <is>
          <t>MARZO</t>
        </is>
      </c>
      <c r="P512" s="169" t="n">
        <v>13</v>
      </c>
      <c r="Q512" s="171" t="n">
        <v>225908</v>
      </c>
      <c r="R512" s="169" t="n"/>
      <c r="S512" s="171" t="n">
        <v>225908</v>
      </c>
      <c r="T512" s="169" t="inlineStr">
        <is>
          <t>CLP</t>
        </is>
      </c>
      <c r="U512" s="169" t="inlineStr">
        <is>
          <t>Carga LH 18-06-26</t>
        </is>
      </c>
      <c r="V512" s="169" t="inlineStr">
        <is>
          <t>2026-06-18</t>
        </is>
      </c>
    </row>
    <row r="513">
      <c r="A513" s="169" t="inlineStr">
        <is>
          <t>CR-0510</t>
        </is>
      </c>
      <c r="B513" s="169" t="inlineStr">
        <is>
          <t>2026/27</t>
        </is>
      </c>
      <c r="C513" s="231" t="n">
        <v>46111</v>
      </c>
      <c r="D513" s="169" t="inlineStr">
        <is>
          <t>77119</t>
        </is>
      </c>
      <c r="E513" s="169" t="inlineStr">
        <is>
          <t>COMPRA</t>
        </is>
      </c>
      <c r="F513" s="169" t="inlineStr">
        <is>
          <t>Mega Catalina</t>
        </is>
      </c>
      <c r="G513" s="169" t="inlineStr">
        <is>
          <t>EUREKA - 1999 (10,6 Ha.)</t>
        </is>
      </c>
      <c r="H513" s="169" t="n"/>
      <c r="I513" s="169" t="n"/>
      <c r="J513" s="169" t="inlineStr">
        <is>
          <t>MANT. Y REP. EQUI. RIEGO</t>
        </is>
      </c>
      <c r="K513" s="169" t="inlineStr">
        <is>
          <t>SALAS DE RIEGO</t>
        </is>
      </c>
      <c r="L513" s="169" t="inlineStr">
        <is>
          <t>O/001512 PROGRAMADO</t>
        </is>
      </c>
      <c r="M513" s="169" t="n"/>
      <c r="N513" s="169" t="inlineStr">
        <is>
          <t>.   .   -</t>
        </is>
      </c>
      <c r="O513" s="169" t="inlineStr">
        <is>
          <t>MARZO</t>
        </is>
      </c>
      <c r="P513" s="169" t="n">
        <v>13</v>
      </c>
      <c r="Q513" s="171" t="n">
        <v>92437</v>
      </c>
      <c r="R513" s="169" t="n"/>
      <c r="S513" s="171" t="n">
        <v>92437</v>
      </c>
      <c r="T513" s="169" t="inlineStr">
        <is>
          <t>CLP</t>
        </is>
      </c>
      <c r="U513" s="169" t="inlineStr">
        <is>
          <t>Carga LH 18-06-26</t>
        </is>
      </c>
      <c r="V513" s="169" t="inlineStr">
        <is>
          <t>2026-06-18</t>
        </is>
      </c>
    </row>
    <row r="514">
      <c r="A514" s="169" t="inlineStr">
        <is>
          <t>CR-0511</t>
        </is>
      </c>
      <c r="B514" s="169" t="inlineStr">
        <is>
          <t>2026/27</t>
        </is>
      </c>
      <c r="C514" s="231" t="n">
        <v>46111</v>
      </c>
      <c r="D514" s="169" t="inlineStr">
        <is>
          <t>175947</t>
        </is>
      </c>
      <c r="E514" s="169" t="inlineStr">
        <is>
          <t>COMPRA</t>
        </is>
      </c>
      <c r="F514" s="169" t="inlineStr">
        <is>
          <t>Sin asignar</t>
        </is>
      </c>
      <c r="G514" s="169" t="inlineStr">
        <is>
          <t>BODEGA</t>
        </is>
      </c>
      <c r="H514" s="169" t="n"/>
      <c r="I514" s="169" t="n"/>
      <c r="J514" s="169" t="inlineStr">
        <is>
          <t>FLETES</t>
        </is>
      </c>
      <c r="K514" s="169" t="inlineStr">
        <is>
          <t>FLETE TRASLADO MATERIALES</t>
        </is>
      </c>
      <c r="L514" s="169" t="inlineStr">
        <is>
          <t>O/001545 FLETE</t>
        </is>
      </c>
      <c r="M514" s="169" t="n"/>
      <c r="N514" s="169" t="inlineStr">
        <is>
          <t>.   .   -</t>
        </is>
      </c>
      <c r="O514" s="169" t="inlineStr">
        <is>
          <t>MARZO</t>
        </is>
      </c>
      <c r="P514" s="169" t="n">
        <v>13</v>
      </c>
      <c r="Q514" s="171" t="n">
        <v>265741</v>
      </c>
      <c r="R514" s="169" t="n"/>
      <c r="S514" s="171" t="n">
        <v>265741</v>
      </c>
      <c r="T514" s="169" t="inlineStr">
        <is>
          <t>CLP</t>
        </is>
      </c>
      <c r="U514" s="169" t="inlineStr">
        <is>
          <t>Carga LH 18-06-26</t>
        </is>
      </c>
      <c r="V514" s="169" t="inlineStr">
        <is>
          <t>2026-06-18</t>
        </is>
      </c>
    </row>
    <row r="515">
      <c r="A515" s="169" t="inlineStr">
        <is>
          <t>CR-0512</t>
        </is>
      </c>
      <c r="B515" s="169" t="inlineStr">
        <is>
          <t>2026/27</t>
        </is>
      </c>
      <c r="C515" s="231" t="n">
        <v>46111</v>
      </c>
      <c r="D515" s="169" t="inlineStr">
        <is>
          <t>8438</t>
        </is>
      </c>
      <c r="E515" s="169" t="inlineStr">
        <is>
          <t>COMPRA</t>
        </is>
      </c>
      <c r="F515" s="169" t="inlineStr">
        <is>
          <t>Sin asignar</t>
        </is>
      </c>
      <c r="G515" s="169" t="inlineStr">
        <is>
          <t>PACKING</t>
        </is>
      </c>
      <c r="H515" s="169" t="n"/>
      <c r="I515" s="169" t="n"/>
      <c r="J515" s="169" t="inlineStr">
        <is>
          <t>FLETES</t>
        </is>
      </c>
      <c r="K515" s="169" t="inlineStr">
        <is>
          <t>FLETE FRUTA</t>
        </is>
      </c>
      <c r="L515" s="169" t="inlineStr">
        <is>
          <t>O/001546 FLETE</t>
        </is>
      </c>
      <c r="M515" s="169" t="n"/>
      <c r="N515" s="169" t="inlineStr">
        <is>
          <t>.   .   -</t>
        </is>
      </c>
      <c r="O515" s="169" t="inlineStr">
        <is>
          <t>MARZO</t>
        </is>
      </c>
      <c r="P515" s="169" t="n">
        <v>13</v>
      </c>
      <c r="Q515" s="171" t="n">
        <v>1977500</v>
      </c>
      <c r="R515" s="169" t="n"/>
      <c r="S515" s="171" t="n">
        <v>1977500</v>
      </c>
      <c r="T515" s="169" t="inlineStr">
        <is>
          <t>CLP</t>
        </is>
      </c>
      <c r="U515" s="169" t="inlineStr">
        <is>
          <t>Carga LH 18-06-26</t>
        </is>
      </c>
      <c r="V515" s="169" t="inlineStr">
        <is>
          <t>2026-06-18</t>
        </is>
      </c>
    </row>
    <row r="516">
      <c r="A516" s="169" t="inlineStr">
        <is>
          <t>CR-0513</t>
        </is>
      </c>
      <c r="B516" s="169" t="inlineStr">
        <is>
          <t>2026/27</t>
        </is>
      </c>
      <c r="C516" s="231" t="n">
        <v>46111</v>
      </c>
      <c r="D516" s="169" t="inlineStr">
        <is>
          <t>8438</t>
        </is>
      </c>
      <c r="E516" s="169" t="inlineStr">
        <is>
          <t>COMPRA</t>
        </is>
      </c>
      <c r="F516" s="169" t="inlineStr">
        <is>
          <t>Sin asignar</t>
        </is>
      </c>
      <c r="G516" s="169" t="inlineStr">
        <is>
          <t>PACKING</t>
        </is>
      </c>
      <c r="H516" s="169" t="n"/>
      <c r="I516" s="169" t="n"/>
      <c r="J516" s="169" t="inlineStr">
        <is>
          <t>FLETES</t>
        </is>
      </c>
      <c r="K516" s="169" t="inlineStr">
        <is>
          <t>FLETE FRUTA</t>
        </is>
      </c>
      <c r="L516" s="169" t="inlineStr">
        <is>
          <t>O/001546 FLETE</t>
        </is>
      </c>
      <c r="M516" s="169" t="n"/>
      <c r="N516" s="169" t="inlineStr">
        <is>
          <t>.   .   -</t>
        </is>
      </c>
      <c r="O516" s="169" t="inlineStr">
        <is>
          <t>MARZO</t>
        </is>
      </c>
      <c r="P516" s="169" t="n">
        <v>13</v>
      </c>
      <c r="Q516" s="171" t="n">
        <v>349375</v>
      </c>
      <c r="R516" s="169" t="n"/>
      <c r="S516" s="171" t="n">
        <v>349375</v>
      </c>
      <c r="T516" s="169" t="inlineStr">
        <is>
          <t>CLP</t>
        </is>
      </c>
      <c r="U516" s="169" t="inlineStr">
        <is>
          <t>Carga LH 18-06-26</t>
        </is>
      </c>
      <c r="V516" s="169" t="inlineStr">
        <is>
          <t>2026-06-18</t>
        </is>
      </c>
    </row>
    <row r="517">
      <c r="A517" s="169" t="inlineStr">
        <is>
          <t>CR-0514</t>
        </is>
      </c>
      <c r="B517" s="169" t="inlineStr">
        <is>
          <t>2026/27</t>
        </is>
      </c>
      <c r="C517" s="231" t="n">
        <v>46111</v>
      </c>
      <c r="D517" s="169" t="inlineStr">
        <is>
          <t>8438</t>
        </is>
      </c>
      <c r="E517" s="169" t="inlineStr">
        <is>
          <t>COMPRA</t>
        </is>
      </c>
      <c r="F517" s="169" t="inlineStr">
        <is>
          <t>Sin asignar</t>
        </is>
      </c>
      <c r="G517" s="169" t="inlineStr">
        <is>
          <t>PACKING</t>
        </is>
      </c>
      <c r="H517" s="169" t="n"/>
      <c r="I517" s="169" t="n"/>
      <c r="J517" s="169" t="inlineStr">
        <is>
          <t>FLETES</t>
        </is>
      </c>
      <c r="K517" s="169" t="inlineStr">
        <is>
          <t>FLETE FRUTA</t>
        </is>
      </c>
      <c r="L517" s="169" t="inlineStr">
        <is>
          <t>O/001546 FLETE</t>
        </is>
      </c>
      <c r="M517" s="169" t="n"/>
      <c r="N517" s="169" t="inlineStr">
        <is>
          <t>.   .   -</t>
        </is>
      </c>
      <c r="O517" s="169" t="inlineStr">
        <is>
          <t>MARZO</t>
        </is>
      </c>
      <c r="P517" s="169" t="n">
        <v>13</v>
      </c>
      <c r="Q517" s="171" t="n">
        <v>272750</v>
      </c>
      <c r="R517" s="169" t="n"/>
      <c r="S517" s="171" t="n">
        <v>272750</v>
      </c>
      <c r="T517" s="169" t="inlineStr">
        <is>
          <t>CLP</t>
        </is>
      </c>
      <c r="U517" s="169" t="inlineStr">
        <is>
          <t>Carga LH 18-06-26</t>
        </is>
      </c>
      <c r="V517" s="169" t="inlineStr">
        <is>
          <t>2026-06-18</t>
        </is>
      </c>
    </row>
    <row r="518">
      <c r="A518" s="169" t="inlineStr">
        <is>
          <t>CR-0515</t>
        </is>
      </c>
      <c r="B518" s="169" t="inlineStr">
        <is>
          <t>2026/27</t>
        </is>
      </c>
      <c r="C518" s="231" t="n">
        <v>46111</v>
      </c>
      <c r="D518" s="169" t="inlineStr">
        <is>
          <t>8438</t>
        </is>
      </c>
      <c r="E518" s="169" t="inlineStr">
        <is>
          <t>COMPRA</t>
        </is>
      </c>
      <c r="F518" s="169" t="inlineStr">
        <is>
          <t>Sin asignar</t>
        </is>
      </c>
      <c r="G518" s="169" t="inlineStr">
        <is>
          <t>PACKING</t>
        </is>
      </c>
      <c r="H518" s="169" t="n"/>
      <c r="I518" s="169" t="n"/>
      <c r="J518" s="169" t="inlineStr">
        <is>
          <t>FLETES</t>
        </is>
      </c>
      <c r="K518" s="169" t="inlineStr">
        <is>
          <t>FLETE FRUTA</t>
        </is>
      </c>
      <c r="L518" s="169" t="inlineStr">
        <is>
          <t>O/001546 FLETE</t>
        </is>
      </c>
      <c r="M518" s="169" t="n"/>
      <c r="N518" s="169" t="inlineStr">
        <is>
          <t>.   .   -</t>
        </is>
      </c>
      <c r="O518" s="169" t="inlineStr">
        <is>
          <t>MARZO</t>
        </is>
      </c>
      <c r="P518" s="169" t="n">
        <v>13</v>
      </c>
      <c r="Q518" s="171" t="n">
        <v>262625</v>
      </c>
      <c r="R518" s="169" t="n"/>
      <c r="S518" s="171" t="n">
        <v>262625</v>
      </c>
      <c r="T518" s="169" t="inlineStr">
        <is>
          <t>CLP</t>
        </is>
      </c>
      <c r="U518" s="169" t="inlineStr">
        <is>
          <t>Carga LH 18-06-26</t>
        </is>
      </c>
      <c r="V518" s="169" t="inlineStr">
        <is>
          <t>2026-06-18</t>
        </is>
      </c>
    </row>
    <row r="519">
      <c r="A519" s="169" t="inlineStr">
        <is>
          <t>CR-0516</t>
        </is>
      </c>
      <c r="B519" s="169" t="inlineStr">
        <is>
          <t>2026/27</t>
        </is>
      </c>
      <c r="C519" s="231" t="n">
        <v>46111</v>
      </c>
      <c r="D519" s="169" t="inlineStr">
        <is>
          <t>8438</t>
        </is>
      </c>
      <c r="E519" s="169" t="inlineStr">
        <is>
          <t>COMPRA</t>
        </is>
      </c>
      <c r="F519" s="169" t="inlineStr">
        <is>
          <t>Sin asignar</t>
        </is>
      </c>
      <c r="G519" s="169" t="inlineStr">
        <is>
          <t>PACKING</t>
        </is>
      </c>
      <c r="H519" s="169" t="n"/>
      <c r="I519" s="169" t="n"/>
      <c r="J519" s="169" t="inlineStr">
        <is>
          <t>FLETES</t>
        </is>
      </c>
      <c r="K519" s="169" t="inlineStr">
        <is>
          <t>FLETE FRUTA</t>
        </is>
      </c>
      <c r="L519" s="169" t="inlineStr">
        <is>
          <t>O/001546 FLETE</t>
        </is>
      </c>
      <c r="M519" s="169" t="n"/>
      <c r="N519" s="169" t="inlineStr">
        <is>
          <t>.   .   -</t>
        </is>
      </c>
      <c r="O519" s="169" t="inlineStr">
        <is>
          <t>MARZO</t>
        </is>
      </c>
      <c r="P519" s="169" t="n">
        <v>13</v>
      </c>
      <c r="Q519" s="171" t="n">
        <v>160000</v>
      </c>
      <c r="R519" s="169" t="n"/>
      <c r="S519" s="171" t="n">
        <v>160000</v>
      </c>
      <c r="T519" s="169" t="inlineStr">
        <is>
          <t>CLP</t>
        </is>
      </c>
      <c r="U519" s="169" t="inlineStr">
        <is>
          <t>Carga LH 18-06-26</t>
        </is>
      </c>
      <c r="V519" s="169" t="inlineStr">
        <is>
          <t>2026-06-18</t>
        </is>
      </c>
    </row>
    <row r="520">
      <c r="A520" s="169" t="inlineStr">
        <is>
          <t>CR-0517</t>
        </is>
      </c>
      <c r="B520" s="169" t="inlineStr">
        <is>
          <t>2026/27</t>
        </is>
      </c>
      <c r="C520" s="231" t="n">
        <v>46111</v>
      </c>
      <c r="D520" s="169" t="inlineStr">
        <is>
          <t>173384</t>
        </is>
      </c>
      <c r="E520" s="169" t="inlineStr">
        <is>
          <t>COMPRA</t>
        </is>
      </c>
      <c r="F520" s="169" t="inlineStr">
        <is>
          <t>Sin asignar</t>
        </is>
      </c>
      <c r="G520" s="169" t="inlineStr">
        <is>
          <t>PACKING</t>
        </is>
      </c>
      <c r="H520" s="169" t="n"/>
      <c r="I520" s="169" t="n"/>
      <c r="J520" s="169" t="inlineStr">
        <is>
          <t>COMBUSTIBLE</t>
        </is>
      </c>
      <c r="K520" s="169" t="inlineStr">
        <is>
          <t>SIB. GRUA HORQUILLA ARRIENDO</t>
        </is>
      </c>
      <c r="L520" s="169" t="inlineStr">
        <is>
          <t>O/001551 GAS ENV. 1</t>
        </is>
      </c>
      <c r="M520" s="169" t="n"/>
      <c r="N520" s="169" t="inlineStr">
        <is>
          <t>.   .   -</t>
        </is>
      </c>
      <c r="O520" s="169" t="inlineStr">
        <is>
          <t>MARZO</t>
        </is>
      </c>
      <c r="P520" s="169" t="n">
        <v>13</v>
      </c>
      <c r="Q520" s="171" t="n">
        <v>63207</v>
      </c>
      <c r="R520" s="169" t="n"/>
      <c r="S520" s="171" t="n">
        <v>63207</v>
      </c>
      <c r="T520" s="169" t="inlineStr">
        <is>
          <t>CLP</t>
        </is>
      </c>
      <c r="U520" s="169" t="inlineStr">
        <is>
          <t>Carga LH 18-06-26</t>
        </is>
      </c>
      <c r="V520" s="169" t="inlineStr">
        <is>
          <t>2026-06-18</t>
        </is>
      </c>
    </row>
    <row r="521">
      <c r="A521" s="169" t="inlineStr">
        <is>
          <t>CR-0518</t>
        </is>
      </c>
      <c r="B521" s="169" t="inlineStr">
        <is>
          <t>2026/27</t>
        </is>
      </c>
      <c r="C521" s="231" t="n">
        <v>46111</v>
      </c>
      <c r="D521" s="169" t="inlineStr">
        <is>
          <t>190145</t>
        </is>
      </c>
      <c r="E521" s="169" t="inlineStr">
        <is>
          <t>COMPRA</t>
        </is>
      </c>
      <c r="F521" s="169" t="inlineStr">
        <is>
          <t>Sin asignar</t>
        </is>
      </c>
      <c r="G521" s="169" t="inlineStr">
        <is>
          <t>PACKING</t>
        </is>
      </c>
      <c r="H521" s="169" t="n"/>
      <c r="I521" s="169" t="n"/>
      <c r="J521" s="169" t="inlineStr">
        <is>
          <t>COMBUSTIBLE</t>
        </is>
      </c>
      <c r="K521" s="169" t="inlineStr">
        <is>
          <t>SIB. GRUA HORQUILLA ARRIENDO</t>
        </is>
      </c>
      <c r="L521" s="169" t="inlineStr">
        <is>
          <t>O/001552 GAS ENV. 1</t>
        </is>
      </c>
      <c r="M521" s="169" t="n"/>
      <c r="N521" s="169" t="inlineStr">
        <is>
          <t>.   .   -</t>
        </is>
      </c>
      <c r="O521" s="169" t="inlineStr">
        <is>
          <t>MARZO</t>
        </is>
      </c>
      <c r="P521" s="169" t="n">
        <v>13</v>
      </c>
      <c r="Q521" s="171" t="n">
        <v>63207</v>
      </c>
      <c r="R521" s="169" t="n"/>
      <c r="S521" s="171" t="n">
        <v>63207</v>
      </c>
      <c r="T521" s="169" t="inlineStr">
        <is>
          <t>CLP</t>
        </is>
      </c>
      <c r="U521" s="169" t="inlineStr">
        <is>
          <t>Carga LH 18-06-26</t>
        </is>
      </c>
      <c r="V521" s="169" t="inlineStr">
        <is>
          <t>2026-06-18</t>
        </is>
      </c>
    </row>
    <row r="522">
      <c r="A522" s="169" t="inlineStr">
        <is>
          <t>CR-0519</t>
        </is>
      </c>
      <c r="B522" s="169" t="inlineStr">
        <is>
          <t>2026/27</t>
        </is>
      </c>
      <c r="C522" s="231" t="n">
        <v>46111</v>
      </c>
      <c r="D522" s="169" t="inlineStr">
        <is>
          <t>411447</t>
        </is>
      </c>
      <c r="E522" s="169" t="inlineStr">
        <is>
          <t>COMPRA</t>
        </is>
      </c>
      <c r="F522" s="169" t="inlineStr">
        <is>
          <t>Sin asignar</t>
        </is>
      </c>
      <c r="G522" s="169" t="inlineStr">
        <is>
          <t>PACKING</t>
        </is>
      </c>
      <c r="H522" s="169" t="n"/>
      <c r="I522" s="169" t="n"/>
      <c r="J522" s="169" t="inlineStr">
        <is>
          <t>COMBUSTIBLE</t>
        </is>
      </c>
      <c r="K522" s="169" t="inlineStr">
        <is>
          <t>SIB. GRUA HORQUILLA ARRIENDO</t>
        </is>
      </c>
      <c r="L522" s="169" t="inlineStr">
        <is>
          <t>O/001553 GAS ENV. 1</t>
        </is>
      </c>
      <c r="M522" s="169" t="n"/>
      <c r="N522" s="169" t="inlineStr">
        <is>
          <t>.   .   -</t>
        </is>
      </c>
      <c r="O522" s="169" t="inlineStr">
        <is>
          <t>MARZO</t>
        </is>
      </c>
      <c r="P522" s="169" t="n">
        <v>13</v>
      </c>
      <c r="Q522" s="171" t="n">
        <v>63207</v>
      </c>
      <c r="R522" s="169" t="n"/>
      <c r="S522" s="171" t="n">
        <v>63207</v>
      </c>
      <c r="T522" s="169" t="inlineStr">
        <is>
          <t>CLP</t>
        </is>
      </c>
      <c r="U522" s="169" t="inlineStr">
        <is>
          <t>Carga LH 18-06-26</t>
        </is>
      </c>
      <c r="V522" s="169" t="inlineStr">
        <is>
          <t>2026-06-18</t>
        </is>
      </c>
    </row>
    <row r="523">
      <c r="A523" s="169" t="inlineStr">
        <is>
          <t>CR-0520</t>
        </is>
      </c>
      <c r="B523" s="169" t="inlineStr">
        <is>
          <t>2026/27</t>
        </is>
      </c>
      <c r="C523" s="231" t="n">
        <v>46112</v>
      </c>
      <c r="D523" s="169" t="inlineStr">
        <is>
          <t>370</t>
        </is>
      </c>
      <c r="E523" s="169" t="inlineStr">
        <is>
          <t>COMPRA</t>
        </is>
      </c>
      <c r="F523" s="169" t="inlineStr">
        <is>
          <t>El Molle</t>
        </is>
      </c>
      <c r="G523" s="169" t="inlineStr">
        <is>
          <t>ORONULES - 2017 (2,85 Ha.)</t>
        </is>
      </c>
      <c r="H523" s="169" t="n"/>
      <c r="I523" s="169" t="n"/>
      <c r="J523" s="169" t="inlineStr">
        <is>
          <t>LABORES OPERACIONALES</t>
        </is>
      </c>
      <c r="K523" s="169" t="inlineStr">
        <is>
          <t>MANTENCION DE CAMPOS</t>
        </is>
      </c>
      <c r="L523" s="169" t="inlineStr">
        <is>
          <t>SERV.CONTRATISTA</t>
        </is>
      </c>
      <c r="M523" s="169" t="n"/>
      <c r="N523" s="169" t="inlineStr">
        <is>
          <t>.   .   -</t>
        </is>
      </c>
      <c r="O523" s="169" t="inlineStr">
        <is>
          <t>MARZO</t>
        </is>
      </c>
      <c r="P523" s="169" t="n">
        <v>13</v>
      </c>
      <c r="Q523" s="171" t="n">
        <v>75000</v>
      </c>
      <c r="R523" s="169" t="n"/>
      <c r="S523" s="171" t="n">
        <v>75000</v>
      </c>
      <c r="T523" s="169" t="inlineStr">
        <is>
          <t>CLP</t>
        </is>
      </c>
      <c r="U523" s="169" t="inlineStr">
        <is>
          <t>Carga LH 18-06-26</t>
        </is>
      </c>
      <c r="V523" s="169" t="inlineStr">
        <is>
          <t>2026-06-18</t>
        </is>
      </c>
    </row>
    <row r="524">
      <c r="A524" s="169" t="inlineStr">
        <is>
          <t>CR-0521</t>
        </is>
      </c>
      <c r="B524" s="169" t="inlineStr">
        <is>
          <t>2026/27</t>
        </is>
      </c>
      <c r="C524" s="231" t="n">
        <v>46112</v>
      </c>
      <c r="D524" s="169" t="inlineStr">
        <is>
          <t>370</t>
        </is>
      </c>
      <c r="E524" s="169" t="inlineStr">
        <is>
          <t>COMPRA</t>
        </is>
      </c>
      <c r="F524" s="169" t="inlineStr">
        <is>
          <t>El Molle</t>
        </is>
      </c>
      <c r="G524" s="169" t="inlineStr">
        <is>
          <t>ORONULES - 2017 (2,85 Ha.)</t>
        </is>
      </c>
      <c r="H524" s="169" t="n"/>
      <c r="I524" s="169" t="n"/>
      <c r="J524" s="169" t="inlineStr">
        <is>
          <t>LABORES OPERACIONALES</t>
        </is>
      </c>
      <c r="K524" s="169" t="inlineStr">
        <is>
          <t>LABORES VARIAS</t>
        </is>
      </c>
      <c r="L524" s="169" t="inlineStr">
        <is>
          <t>SERV.CONTRATISTA</t>
        </is>
      </c>
      <c r="M524" s="169" t="n"/>
      <c r="N524" s="169" t="inlineStr">
        <is>
          <t>.   .   -</t>
        </is>
      </c>
      <c r="O524" s="169" t="inlineStr">
        <is>
          <t>MARZO</t>
        </is>
      </c>
      <c r="P524" s="169" t="n">
        <v>13</v>
      </c>
      <c r="Q524" s="171" t="n">
        <v>1387500</v>
      </c>
      <c r="R524" s="169" t="n"/>
      <c r="S524" s="171" t="n">
        <v>1387500</v>
      </c>
      <c r="T524" s="169" t="inlineStr">
        <is>
          <t>CLP</t>
        </is>
      </c>
      <c r="U524" s="169" t="inlineStr">
        <is>
          <t>Carga LH 18-06-26</t>
        </is>
      </c>
      <c r="V524" s="169" t="inlineStr">
        <is>
          <t>2026-06-18</t>
        </is>
      </c>
    </row>
    <row r="525">
      <c r="A525" s="169" t="inlineStr">
        <is>
          <t>CR-0522</t>
        </is>
      </c>
      <c r="B525" s="169" t="inlineStr">
        <is>
          <t>2026/27</t>
        </is>
      </c>
      <c r="C525" s="231" t="n">
        <v>46112</v>
      </c>
      <c r="D525" s="169" t="inlineStr">
        <is>
          <t>370</t>
        </is>
      </c>
      <c r="E525" s="169" t="inlineStr">
        <is>
          <t>COMPRA</t>
        </is>
      </c>
      <c r="F525" s="169" t="inlineStr">
        <is>
          <t>Mega Catalina</t>
        </is>
      </c>
      <c r="G525" s="169" t="inlineStr">
        <is>
          <t>ORONULES - 2019 (2,5 Ha.)</t>
        </is>
      </c>
      <c r="H525" s="169" t="n"/>
      <c r="I525" s="169" t="n"/>
      <c r="J525" s="169" t="inlineStr">
        <is>
          <t>LABORES OPERACIONALES</t>
        </is>
      </c>
      <c r="K525" s="169" t="inlineStr">
        <is>
          <t>LABORES VARIAS</t>
        </is>
      </c>
      <c r="L525" s="169" t="inlineStr">
        <is>
          <t>SERV.CONTRATISTA</t>
        </is>
      </c>
      <c r="M525" s="169" t="n"/>
      <c r="N525" s="169" t="inlineStr">
        <is>
          <t>.   .   -</t>
        </is>
      </c>
      <c r="O525" s="169" t="inlineStr">
        <is>
          <t>MARZO</t>
        </is>
      </c>
      <c r="P525" s="169" t="n">
        <v>13</v>
      </c>
      <c r="Q525" s="171" t="n">
        <v>712500</v>
      </c>
      <c r="R525" s="169" t="n"/>
      <c r="S525" s="171" t="n">
        <v>712500</v>
      </c>
      <c r="T525" s="169" t="inlineStr">
        <is>
          <t>CLP</t>
        </is>
      </c>
      <c r="U525" s="169" t="inlineStr">
        <is>
          <t>Carga LH 18-06-26</t>
        </is>
      </c>
      <c r="V525" s="169" t="inlineStr">
        <is>
          <t>2026-06-18</t>
        </is>
      </c>
    </row>
    <row r="526">
      <c r="A526" s="169" t="inlineStr">
        <is>
          <t>CR-0523</t>
        </is>
      </c>
      <c r="B526" s="169" t="inlineStr">
        <is>
          <t>2026/27</t>
        </is>
      </c>
      <c r="C526" s="231" t="n">
        <v>46112</v>
      </c>
      <c r="D526" s="169" t="inlineStr">
        <is>
          <t>370</t>
        </is>
      </c>
      <c r="E526" s="169" t="inlineStr">
        <is>
          <t>COMPRA</t>
        </is>
      </c>
      <c r="F526" s="169" t="inlineStr">
        <is>
          <t>El Molle</t>
        </is>
      </c>
      <c r="G526" s="169" t="inlineStr">
        <is>
          <t>OROGRANDE - 2007 (8,11 Ha.)</t>
        </is>
      </c>
      <c r="H526" s="169" t="n"/>
      <c r="I526" s="169" t="n"/>
      <c r="J526" s="169" t="inlineStr">
        <is>
          <t>LABORES OPERACIONALES</t>
        </is>
      </c>
      <c r="K526" s="169" t="inlineStr">
        <is>
          <t>MANTENCION DE CAMPOS</t>
        </is>
      </c>
      <c r="L526" s="169" t="inlineStr">
        <is>
          <t>SERV.CONTRATISTA</t>
        </is>
      </c>
      <c r="M526" s="169" t="n"/>
      <c r="N526" s="169" t="inlineStr">
        <is>
          <t>.   .   -</t>
        </is>
      </c>
      <c r="O526" s="169" t="inlineStr">
        <is>
          <t>MARZO</t>
        </is>
      </c>
      <c r="P526" s="169" t="n">
        <v>13</v>
      </c>
      <c r="Q526" s="171" t="n">
        <v>450000</v>
      </c>
      <c r="R526" s="169" t="n"/>
      <c r="S526" s="171" t="n">
        <v>450000</v>
      </c>
      <c r="T526" s="169" t="inlineStr">
        <is>
          <t>CLP</t>
        </is>
      </c>
      <c r="U526" s="169" t="inlineStr">
        <is>
          <t>Carga LH 18-06-26</t>
        </is>
      </c>
      <c r="V526" s="169" t="inlineStr">
        <is>
          <t>2026-06-18</t>
        </is>
      </c>
    </row>
    <row r="527">
      <c r="A527" s="169" t="inlineStr">
        <is>
          <t>CR-0524</t>
        </is>
      </c>
      <c r="B527" s="169" t="inlineStr">
        <is>
          <t>2026/27</t>
        </is>
      </c>
      <c r="C527" s="231" t="n">
        <v>46112</v>
      </c>
      <c r="D527" s="169" t="inlineStr">
        <is>
          <t>370</t>
        </is>
      </c>
      <c r="E527" s="169" t="inlineStr">
        <is>
          <t>COMPRA</t>
        </is>
      </c>
      <c r="F527" s="169" t="inlineStr">
        <is>
          <t>El Molle</t>
        </is>
      </c>
      <c r="G527" s="169" t="inlineStr">
        <is>
          <t>OROGRANDE - 2007 (8,11 Ha.)</t>
        </is>
      </c>
      <c r="H527" s="169" t="n"/>
      <c r="I527" s="169" t="n"/>
      <c r="J527" s="169" t="inlineStr">
        <is>
          <t>LABORES OPERACIONALES</t>
        </is>
      </c>
      <c r="K527" s="169" t="inlineStr">
        <is>
          <t>LABORES VARIAS</t>
        </is>
      </c>
      <c r="L527" s="169" t="inlineStr">
        <is>
          <t>SERV.CONTRATISTA</t>
        </is>
      </c>
      <c r="M527" s="169" t="n"/>
      <c r="N527" s="169" t="inlineStr">
        <is>
          <t>.   .   -</t>
        </is>
      </c>
      <c r="O527" s="169" t="inlineStr">
        <is>
          <t>MARZO</t>
        </is>
      </c>
      <c r="P527" s="169" t="n">
        <v>13</v>
      </c>
      <c r="Q527" s="171" t="n">
        <v>3525000</v>
      </c>
      <c r="R527" s="169" t="n"/>
      <c r="S527" s="171" t="n">
        <v>3525000</v>
      </c>
      <c r="T527" s="169" t="inlineStr">
        <is>
          <t>CLP</t>
        </is>
      </c>
      <c r="U527" s="169" t="inlineStr">
        <is>
          <t>Carga LH 18-06-26</t>
        </is>
      </c>
      <c r="V527" s="169" t="inlineStr">
        <is>
          <t>2026-06-18</t>
        </is>
      </c>
    </row>
    <row r="528">
      <c r="A528" s="169" t="inlineStr">
        <is>
          <t>CR-0525</t>
        </is>
      </c>
      <c r="B528" s="169" t="inlineStr">
        <is>
          <t>2026/27</t>
        </is>
      </c>
      <c r="C528" s="231" t="n">
        <v>46112</v>
      </c>
      <c r="D528" s="169" t="inlineStr">
        <is>
          <t>370</t>
        </is>
      </c>
      <c r="E528" s="169" t="inlineStr">
        <is>
          <t>COMPRA</t>
        </is>
      </c>
      <c r="F528" s="169" t="inlineStr">
        <is>
          <t>El Molle</t>
        </is>
      </c>
      <c r="G528" s="169" t="inlineStr">
        <is>
          <t>WONDERFUL - 2007 (2,44 Ha.)</t>
        </is>
      </c>
      <c r="H528" s="169" t="n"/>
      <c r="I528" s="169" t="n"/>
      <c r="J528" s="169" t="inlineStr">
        <is>
          <t>LABORES OPERACIONALES</t>
        </is>
      </c>
      <c r="K528" s="169" t="inlineStr">
        <is>
          <t>LABORES VARIAS</t>
        </is>
      </c>
      <c r="L528" s="169" t="inlineStr">
        <is>
          <t>SERV.CONTRATISTA</t>
        </is>
      </c>
      <c r="M528" s="169" t="n"/>
      <c r="N528" s="169" t="inlineStr">
        <is>
          <t>.   .   -</t>
        </is>
      </c>
      <c r="O528" s="169" t="inlineStr">
        <is>
          <t>MARZO</t>
        </is>
      </c>
      <c r="P528" s="169" t="n">
        <v>13</v>
      </c>
      <c r="Q528" s="171" t="n">
        <v>37500</v>
      </c>
      <c r="R528" s="169" t="n"/>
      <c r="S528" s="171" t="n">
        <v>37500</v>
      </c>
      <c r="T528" s="169" t="inlineStr">
        <is>
          <t>CLP</t>
        </is>
      </c>
      <c r="U528" s="169" t="inlineStr">
        <is>
          <t>Carga LH 18-06-26</t>
        </is>
      </c>
      <c r="V528" s="169" t="inlineStr">
        <is>
          <t>2026-06-18</t>
        </is>
      </c>
    </row>
    <row r="529">
      <c r="A529" s="169" t="inlineStr">
        <is>
          <t>CR-0526</t>
        </is>
      </c>
      <c r="B529" s="169" t="inlineStr">
        <is>
          <t>2026/27</t>
        </is>
      </c>
      <c r="C529" s="231" t="n">
        <v>46112</v>
      </c>
      <c r="D529" s="169" t="inlineStr">
        <is>
          <t>483</t>
        </is>
      </c>
      <c r="E529" s="169" t="inlineStr">
        <is>
          <t>COMPRA</t>
        </is>
      </c>
      <c r="F529" s="169" t="inlineStr">
        <is>
          <t>El Molle</t>
        </is>
      </c>
      <c r="G529" s="169" t="inlineStr">
        <is>
          <t>ORONULES - 2017 (2,85 Ha.)</t>
        </is>
      </c>
      <c r="H529" s="169" t="n"/>
      <c r="I529" s="169" t="n"/>
      <c r="J529" s="169" t="inlineStr">
        <is>
          <t>LABORES OPERACIONALES</t>
        </is>
      </c>
      <c r="K529" s="169" t="inlineStr">
        <is>
          <t>LABORES VARIAS</t>
        </is>
      </c>
      <c r="L529" s="169" t="inlineStr">
        <is>
          <t>SERV.CONTRATISTA</t>
        </is>
      </c>
      <c r="M529" s="169" t="n"/>
      <c r="N529" s="169" t="inlineStr">
        <is>
          <t>.   .   -</t>
        </is>
      </c>
      <c r="O529" s="169" t="inlineStr">
        <is>
          <t>MARZO</t>
        </is>
      </c>
      <c r="P529" s="169" t="n">
        <v>13</v>
      </c>
      <c r="Q529" s="171" t="n">
        <v>975000</v>
      </c>
      <c r="R529" s="169" t="n"/>
      <c r="S529" s="171" t="n">
        <v>975000</v>
      </c>
      <c r="T529" s="169" t="inlineStr">
        <is>
          <t>CLP</t>
        </is>
      </c>
      <c r="U529" s="169" t="inlineStr">
        <is>
          <t>Carga LH 18-06-26</t>
        </is>
      </c>
      <c r="V529" s="169" t="inlineStr">
        <is>
          <t>2026-06-18</t>
        </is>
      </c>
    </row>
    <row r="530">
      <c r="A530" s="169" t="inlineStr">
        <is>
          <t>CR-0527</t>
        </is>
      </c>
      <c r="B530" s="169" t="inlineStr">
        <is>
          <t>2026/27</t>
        </is>
      </c>
      <c r="C530" s="231" t="n">
        <v>46112</v>
      </c>
      <c r="D530" s="169" t="inlineStr">
        <is>
          <t>483</t>
        </is>
      </c>
      <c r="E530" s="169" t="inlineStr">
        <is>
          <t>COMPRA</t>
        </is>
      </c>
      <c r="F530" s="169" t="inlineStr">
        <is>
          <t>Mega Catalina</t>
        </is>
      </c>
      <c r="G530" s="169" t="inlineStr">
        <is>
          <t>ORONULES - 2019 (2,5 Ha.)</t>
        </is>
      </c>
      <c r="H530" s="169" t="n"/>
      <c r="I530" s="169" t="n"/>
      <c r="J530" s="169" t="inlineStr">
        <is>
          <t>LABORES OPERACIONALES</t>
        </is>
      </c>
      <c r="K530" s="169" t="inlineStr">
        <is>
          <t>LABORES VARIAS</t>
        </is>
      </c>
      <c r="L530" s="169" t="inlineStr">
        <is>
          <t>SERV.CONTRATISTA</t>
        </is>
      </c>
      <c r="M530" s="169" t="n"/>
      <c r="N530" s="169" t="inlineStr">
        <is>
          <t>.   .   -</t>
        </is>
      </c>
      <c r="O530" s="169" t="inlineStr">
        <is>
          <t>MARZO</t>
        </is>
      </c>
      <c r="P530" s="169" t="n">
        <v>13</v>
      </c>
      <c r="Q530" s="171" t="n">
        <v>525000</v>
      </c>
      <c r="R530" s="169" t="n"/>
      <c r="S530" s="171" t="n">
        <v>525000</v>
      </c>
      <c r="T530" s="169" t="inlineStr">
        <is>
          <t>CLP</t>
        </is>
      </c>
      <c r="U530" s="169" t="inlineStr">
        <is>
          <t>Carga LH 18-06-26</t>
        </is>
      </c>
      <c r="V530" s="169" t="inlineStr">
        <is>
          <t>2026-06-18</t>
        </is>
      </c>
    </row>
    <row r="531">
      <c r="A531" s="169" t="inlineStr">
        <is>
          <t>CR-0528</t>
        </is>
      </c>
      <c r="B531" s="169" t="inlineStr">
        <is>
          <t>2026/27</t>
        </is>
      </c>
      <c r="C531" s="231" t="n">
        <v>46112</v>
      </c>
      <c r="D531" s="169" t="inlineStr">
        <is>
          <t>483</t>
        </is>
      </c>
      <c r="E531" s="169" t="inlineStr">
        <is>
          <t>COMPRA</t>
        </is>
      </c>
      <c r="F531" s="169" t="inlineStr">
        <is>
          <t>El Molle</t>
        </is>
      </c>
      <c r="G531" s="169" t="inlineStr">
        <is>
          <t>OROGRANDE - 2007 (8,11 Ha.)</t>
        </is>
      </c>
      <c r="H531" s="169" t="n"/>
      <c r="I531" s="169" t="n"/>
      <c r="J531" s="169" t="inlineStr">
        <is>
          <t>LABORES OPERACIONALES</t>
        </is>
      </c>
      <c r="K531" s="169" t="inlineStr">
        <is>
          <t>LABORES VARIAS</t>
        </is>
      </c>
      <c r="L531" s="169" t="inlineStr">
        <is>
          <t>SERV.CONTRATISTA</t>
        </is>
      </c>
      <c r="M531" s="169" t="n"/>
      <c r="N531" s="169" t="inlineStr">
        <is>
          <t>.   .   -</t>
        </is>
      </c>
      <c r="O531" s="169" t="inlineStr">
        <is>
          <t>MARZO</t>
        </is>
      </c>
      <c r="P531" s="169" t="n">
        <v>13</v>
      </c>
      <c r="Q531" s="171" t="n">
        <v>2493750</v>
      </c>
      <c r="R531" s="169" t="n"/>
      <c r="S531" s="171" t="n">
        <v>2493750</v>
      </c>
      <c r="T531" s="169" t="inlineStr">
        <is>
          <t>CLP</t>
        </is>
      </c>
      <c r="U531" s="169" t="inlineStr">
        <is>
          <t>Carga LH 18-06-26</t>
        </is>
      </c>
      <c r="V531" s="169" t="inlineStr">
        <is>
          <t>2026-06-18</t>
        </is>
      </c>
    </row>
    <row r="532">
      <c r="A532" s="169" t="inlineStr">
        <is>
          <t>CR-0529</t>
        </is>
      </c>
      <c r="B532" s="169" t="inlineStr">
        <is>
          <t>2026/27</t>
        </is>
      </c>
      <c r="C532" s="231" t="n">
        <v>46112</v>
      </c>
      <c r="D532" s="169" t="inlineStr">
        <is>
          <t>174</t>
        </is>
      </c>
      <c r="E532" s="169" t="inlineStr">
        <is>
          <t>COMPRA</t>
        </is>
      </c>
      <c r="F532" s="169" t="inlineStr">
        <is>
          <t>Asmara</t>
        </is>
      </c>
      <c r="G532" s="169" t="inlineStr">
        <is>
          <t>MURCOTT - 2020 (19,8 Ha.)</t>
        </is>
      </c>
      <c r="H532" s="169" t="n"/>
      <c r="I532" s="169" t="n"/>
      <c r="J532" s="169" t="inlineStr">
        <is>
          <t>LABORES OPERACIONALES</t>
        </is>
      </c>
      <c r="K532" s="169" t="inlineStr">
        <is>
          <t>PODA</t>
        </is>
      </c>
      <c r="L532" s="169" t="inlineStr">
        <is>
          <t>SERV.CONTRATISTA</t>
        </is>
      </c>
      <c r="M532" s="169" t="n"/>
      <c r="N532" s="169" t="inlineStr">
        <is>
          <t>.   .   -</t>
        </is>
      </c>
      <c r="O532" s="169" t="inlineStr">
        <is>
          <t>MARZO</t>
        </is>
      </c>
      <c r="P532" s="169" t="n">
        <v>13</v>
      </c>
      <c r="Q532" s="171" t="n">
        <v>748650</v>
      </c>
      <c r="R532" s="169" t="n"/>
      <c r="S532" s="171" t="n">
        <v>748650</v>
      </c>
      <c r="T532" s="169" t="inlineStr">
        <is>
          <t>CLP</t>
        </is>
      </c>
      <c r="U532" s="169" t="inlineStr">
        <is>
          <t>Carga LH 18-06-26</t>
        </is>
      </c>
      <c r="V532" s="169" t="inlineStr">
        <is>
          <t>2026-06-18</t>
        </is>
      </c>
    </row>
    <row r="533">
      <c r="A533" s="169" t="inlineStr">
        <is>
          <t>CR-0530</t>
        </is>
      </c>
      <c r="B533" s="169" t="inlineStr">
        <is>
          <t>2026/27</t>
        </is>
      </c>
      <c r="C533" s="231" t="n">
        <v>46112</v>
      </c>
      <c r="D533" s="169" t="inlineStr">
        <is>
          <t>174</t>
        </is>
      </c>
      <c r="E533" s="169" t="inlineStr">
        <is>
          <t>COMPRA</t>
        </is>
      </c>
      <c r="F533" s="169" t="inlineStr">
        <is>
          <t>Asmara</t>
        </is>
      </c>
      <c r="G533" s="169" t="inlineStr">
        <is>
          <t>MURCOTT - 2020 (4,9 Ha.)</t>
        </is>
      </c>
      <c r="H533" s="169" t="n"/>
      <c r="I533" s="169" t="n"/>
      <c r="J533" s="169" t="inlineStr">
        <is>
          <t>LABORES OPERACIONALES</t>
        </is>
      </c>
      <c r="K533" s="169" t="inlineStr">
        <is>
          <t>PODA</t>
        </is>
      </c>
      <c r="L533" s="169" t="inlineStr">
        <is>
          <t>SERV.CONTRATISTA</t>
        </is>
      </c>
      <c r="M533" s="169" t="n"/>
      <c r="N533" s="169" t="inlineStr">
        <is>
          <t>.   .   -</t>
        </is>
      </c>
      <c r="O533" s="169" t="inlineStr">
        <is>
          <t>MARZO</t>
        </is>
      </c>
      <c r="P533" s="169" t="n">
        <v>13</v>
      </c>
      <c r="Q533" s="171" t="n">
        <v>1203650</v>
      </c>
      <c r="R533" s="169" t="n"/>
      <c r="S533" s="171" t="n">
        <v>1203650</v>
      </c>
      <c r="T533" s="169" t="inlineStr">
        <is>
          <t>CLP</t>
        </is>
      </c>
      <c r="U533" s="169" t="inlineStr">
        <is>
          <t>Carga LH 18-06-26</t>
        </is>
      </c>
      <c r="V533" s="169" t="inlineStr">
        <is>
          <t>2026-06-18</t>
        </is>
      </c>
    </row>
    <row r="534">
      <c r="A534" s="169" t="inlineStr">
        <is>
          <t>CR-0531</t>
        </is>
      </c>
      <c r="B534" s="169" t="inlineStr">
        <is>
          <t>2026/27</t>
        </is>
      </c>
      <c r="C534" s="231" t="n">
        <v>46112</v>
      </c>
      <c r="D534" s="169" t="inlineStr">
        <is>
          <t>644</t>
        </is>
      </c>
      <c r="E534" s="169" t="inlineStr">
        <is>
          <t>COMPRA</t>
        </is>
      </c>
      <c r="F534" s="169" t="inlineStr">
        <is>
          <t>Mega Catalina</t>
        </is>
      </c>
      <c r="G534" s="169" t="inlineStr">
        <is>
          <t>EUREKA - 1999 (22,5 Ha.)</t>
        </is>
      </c>
      <c r="H534" s="169" t="n"/>
      <c r="I534" s="169" t="n"/>
      <c r="J534" s="169" t="inlineStr">
        <is>
          <t>LABORES OPERACIONALES</t>
        </is>
      </c>
      <c r="K534" s="169" t="inlineStr">
        <is>
          <t>COSECHA</t>
        </is>
      </c>
      <c r="L534" s="169" t="inlineStr">
        <is>
          <t>SERV.CONTRATISTA</t>
        </is>
      </c>
      <c r="M534" s="169" t="n"/>
      <c r="N534" s="169" t="inlineStr">
        <is>
          <t>.   .   -</t>
        </is>
      </c>
      <c r="O534" s="169" t="inlineStr">
        <is>
          <t>MARZO</t>
        </is>
      </c>
      <c r="P534" s="169" t="n">
        <v>13</v>
      </c>
      <c r="Q534" s="171" t="n">
        <v>1075490</v>
      </c>
      <c r="R534" s="169" t="n"/>
      <c r="S534" s="171" t="n">
        <v>1075490</v>
      </c>
      <c r="T534" s="169" t="inlineStr">
        <is>
          <t>CLP</t>
        </is>
      </c>
      <c r="U534" s="169" t="inlineStr">
        <is>
          <t>Carga LH 18-06-26</t>
        </is>
      </c>
      <c r="V534" s="169" t="inlineStr">
        <is>
          <t>2026-06-18</t>
        </is>
      </c>
    </row>
    <row r="535">
      <c r="A535" s="169" t="inlineStr">
        <is>
          <t>CR-0532</t>
        </is>
      </c>
      <c r="B535" s="169" t="inlineStr">
        <is>
          <t>2026/27</t>
        </is>
      </c>
      <c r="C535" s="231" t="n">
        <v>46112</v>
      </c>
      <c r="D535" s="169" t="inlineStr">
        <is>
          <t>644</t>
        </is>
      </c>
      <c r="E535" s="169" t="inlineStr">
        <is>
          <t>COMPRA</t>
        </is>
      </c>
      <c r="F535" s="169" t="inlineStr">
        <is>
          <t>Mega Catalina</t>
        </is>
      </c>
      <c r="G535" s="169" t="inlineStr">
        <is>
          <t>EUREKA - 1999 (22,5 Ha.)</t>
        </is>
      </c>
      <c r="H535" s="169" t="n"/>
      <c r="I535" s="169" t="n"/>
      <c r="J535" s="169" t="inlineStr">
        <is>
          <t>LABORES OPERACIONALES</t>
        </is>
      </c>
      <c r="K535" s="169" t="inlineStr">
        <is>
          <t>SELECCION</t>
        </is>
      </c>
      <c r="L535" s="169" t="inlineStr">
        <is>
          <t>SERV.CONTRATISTA</t>
        </is>
      </c>
      <c r="M535" s="169" t="n"/>
      <c r="N535" s="169" t="inlineStr">
        <is>
          <t>.   .   -</t>
        </is>
      </c>
      <c r="O535" s="169" t="inlineStr">
        <is>
          <t>MARZO</t>
        </is>
      </c>
      <c r="P535" s="169" t="n">
        <v>13</v>
      </c>
      <c r="Q535" s="171" t="n">
        <v>150000</v>
      </c>
      <c r="R535" s="169" t="n"/>
      <c r="S535" s="171" t="n">
        <v>150000</v>
      </c>
      <c r="T535" s="169" t="inlineStr">
        <is>
          <t>CLP</t>
        </is>
      </c>
      <c r="U535" s="169" t="inlineStr">
        <is>
          <t>Carga LH 18-06-26</t>
        </is>
      </c>
      <c r="V535" s="169" t="inlineStr">
        <is>
          <t>2026-06-18</t>
        </is>
      </c>
    </row>
    <row r="536">
      <c r="A536" s="169" t="inlineStr">
        <is>
          <t>CR-0533</t>
        </is>
      </c>
      <c r="B536" s="169" t="inlineStr">
        <is>
          <t>2026/27</t>
        </is>
      </c>
      <c r="C536" s="231" t="n">
        <v>46112</v>
      </c>
      <c r="D536" s="169" t="inlineStr">
        <is>
          <t>644</t>
        </is>
      </c>
      <c r="E536" s="169" t="inlineStr">
        <is>
          <t>COMPRA</t>
        </is>
      </c>
      <c r="F536" s="169" t="inlineStr">
        <is>
          <t>Mega Catalina</t>
        </is>
      </c>
      <c r="G536" s="169" t="inlineStr">
        <is>
          <t>EUREKA - 2016 (14,4 Ha.)</t>
        </is>
      </c>
      <c r="H536" s="169" t="n"/>
      <c r="I536" s="169" t="n"/>
      <c r="J536" s="169" t="inlineStr">
        <is>
          <t>LABORES OPERACIONALES</t>
        </is>
      </c>
      <c r="K536" s="169" t="inlineStr">
        <is>
          <t>COSECHA</t>
        </is>
      </c>
      <c r="L536" s="169" t="inlineStr">
        <is>
          <t>SERV.CONTRATISTA</t>
        </is>
      </c>
      <c r="M536" s="169" t="n"/>
      <c r="N536" s="169" t="inlineStr">
        <is>
          <t>.   .   -</t>
        </is>
      </c>
      <c r="O536" s="169" t="inlineStr">
        <is>
          <t>MARZO</t>
        </is>
      </c>
      <c r="P536" s="169" t="n">
        <v>13</v>
      </c>
      <c r="Q536" s="171" t="n">
        <v>1479370</v>
      </c>
      <c r="R536" s="169" t="n"/>
      <c r="S536" s="171" t="n">
        <v>1479370</v>
      </c>
      <c r="T536" s="169" t="inlineStr">
        <is>
          <t>CLP</t>
        </is>
      </c>
      <c r="U536" s="169" t="inlineStr">
        <is>
          <t>Carga LH 18-06-26</t>
        </is>
      </c>
      <c r="V536" s="169" t="inlineStr">
        <is>
          <t>2026-06-18</t>
        </is>
      </c>
    </row>
    <row r="537">
      <c r="A537" s="169" t="inlineStr">
        <is>
          <t>CR-0534</t>
        </is>
      </c>
      <c r="B537" s="169" t="inlineStr">
        <is>
          <t>2026/27</t>
        </is>
      </c>
      <c r="C537" s="231" t="n">
        <v>46112</v>
      </c>
      <c r="D537" s="169" t="inlineStr">
        <is>
          <t>644</t>
        </is>
      </c>
      <c r="E537" s="169" t="inlineStr">
        <is>
          <t>COMPRA</t>
        </is>
      </c>
      <c r="F537" s="169" t="inlineStr">
        <is>
          <t>Mega Catalina</t>
        </is>
      </c>
      <c r="G537" s="169" t="inlineStr">
        <is>
          <t>EUREKA - 2016 (14,4 Ha.)</t>
        </is>
      </c>
      <c r="H537" s="169" t="n"/>
      <c r="I537" s="169" t="n"/>
      <c r="J537" s="169" t="inlineStr">
        <is>
          <t>LABORES OPERACIONALES</t>
        </is>
      </c>
      <c r="K537" s="169" t="inlineStr">
        <is>
          <t>SELECCION</t>
        </is>
      </c>
      <c r="L537" s="169" t="inlineStr">
        <is>
          <t>SERV.CONTRATISTA</t>
        </is>
      </c>
      <c r="M537" s="169" t="n"/>
      <c r="N537" s="169" t="inlineStr">
        <is>
          <t>.   .   -</t>
        </is>
      </c>
      <c r="O537" s="169" t="inlineStr">
        <is>
          <t>MARZO</t>
        </is>
      </c>
      <c r="P537" s="169" t="n">
        <v>13</v>
      </c>
      <c r="Q537" s="171" t="n">
        <v>187500</v>
      </c>
      <c r="R537" s="169" t="n"/>
      <c r="S537" s="171" t="n">
        <v>187500</v>
      </c>
      <c r="T537" s="169" t="inlineStr">
        <is>
          <t>CLP</t>
        </is>
      </c>
      <c r="U537" s="169" t="inlineStr">
        <is>
          <t>Carga LH 18-06-26</t>
        </is>
      </c>
      <c r="V537" s="169" t="inlineStr">
        <is>
          <t>2026-06-18</t>
        </is>
      </c>
    </row>
    <row r="538">
      <c r="A538" s="169" t="inlineStr">
        <is>
          <t>CR-0535</t>
        </is>
      </c>
      <c r="B538" s="169" t="inlineStr">
        <is>
          <t>2026/27</t>
        </is>
      </c>
      <c r="C538" s="231" t="n">
        <v>46112</v>
      </c>
      <c r="D538" s="169" t="inlineStr">
        <is>
          <t>1018</t>
        </is>
      </c>
      <c r="E538" s="169" t="inlineStr">
        <is>
          <t>COMPRA</t>
        </is>
      </c>
      <c r="F538" s="169" t="inlineStr">
        <is>
          <t>Mega Catalina</t>
        </is>
      </c>
      <c r="G538" s="169" t="inlineStr">
        <is>
          <t>EUREKA - 1999 (22,5 Ha.)</t>
        </is>
      </c>
      <c r="H538" s="169" t="n"/>
      <c r="I538" s="169" t="n"/>
      <c r="J538" s="169" t="inlineStr">
        <is>
          <t>LABORES OPERACIONALES</t>
        </is>
      </c>
      <c r="K538" s="169" t="inlineStr">
        <is>
          <t>COSECHA</t>
        </is>
      </c>
      <c r="L538" s="169" t="inlineStr">
        <is>
          <t>SERV.CONTRATISTA</t>
        </is>
      </c>
      <c r="M538" s="169" t="n"/>
      <c r="N538" s="169" t="inlineStr">
        <is>
          <t>.   .   -</t>
        </is>
      </c>
      <c r="O538" s="169" t="inlineStr">
        <is>
          <t>MARZO</t>
        </is>
      </c>
      <c r="P538" s="169" t="n">
        <v>13</v>
      </c>
      <c r="Q538" s="171" t="n">
        <v>379470</v>
      </c>
      <c r="R538" s="169" t="n"/>
      <c r="S538" s="171" t="n">
        <v>379470</v>
      </c>
      <c r="T538" s="169" t="inlineStr">
        <is>
          <t>CLP</t>
        </is>
      </c>
      <c r="U538" s="169" t="inlineStr">
        <is>
          <t>Carga LH 18-06-26</t>
        </is>
      </c>
      <c r="V538" s="169" t="inlineStr">
        <is>
          <t>2026-06-18</t>
        </is>
      </c>
    </row>
    <row r="539">
      <c r="A539" s="169" t="inlineStr">
        <is>
          <t>CR-0536</t>
        </is>
      </c>
      <c r="B539" s="169" t="inlineStr">
        <is>
          <t>2026/27</t>
        </is>
      </c>
      <c r="C539" s="231" t="n">
        <v>46112</v>
      </c>
      <c r="D539" s="169" t="inlineStr">
        <is>
          <t>1018</t>
        </is>
      </c>
      <c r="E539" s="169" t="inlineStr">
        <is>
          <t>COMPRA</t>
        </is>
      </c>
      <c r="F539" s="169" t="inlineStr">
        <is>
          <t>Mega Catalina</t>
        </is>
      </c>
      <c r="G539" s="169" t="inlineStr">
        <is>
          <t>EUREKA - 2016 (14,4 Ha.)</t>
        </is>
      </c>
      <c r="H539" s="169" t="n"/>
      <c r="I539" s="169" t="n"/>
      <c r="J539" s="169" t="inlineStr">
        <is>
          <t>LABORES OPERACIONALES</t>
        </is>
      </c>
      <c r="K539" s="169" t="inlineStr">
        <is>
          <t>COSECHA</t>
        </is>
      </c>
      <c r="L539" s="169" t="inlineStr">
        <is>
          <t>SERV.CONTRATISTA</t>
        </is>
      </c>
      <c r="M539" s="169" t="n"/>
      <c r="N539" s="169" t="inlineStr">
        <is>
          <t>.   .   -</t>
        </is>
      </c>
      <c r="O539" s="169" t="inlineStr">
        <is>
          <t>MARZO</t>
        </is>
      </c>
      <c r="P539" s="169" t="n">
        <v>13</v>
      </c>
      <c r="Q539" s="171" t="n">
        <v>1000100</v>
      </c>
      <c r="R539" s="169" t="n"/>
      <c r="S539" s="171" t="n">
        <v>1000100</v>
      </c>
      <c r="T539" s="169" t="inlineStr">
        <is>
          <t>CLP</t>
        </is>
      </c>
      <c r="U539" s="169" t="inlineStr">
        <is>
          <t>Carga LH 18-06-26</t>
        </is>
      </c>
      <c r="V539" s="169" t="inlineStr">
        <is>
          <t>2026-06-18</t>
        </is>
      </c>
    </row>
    <row r="540">
      <c r="A540" s="169" t="inlineStr">
        <is>
          <t>CR-0537</t>
        </is>
      </c>
      <c r="B540" s="169" t="inlineStr">
        <is>
          <t>2026/27</t>
        </is>
      </c>
      <c r="C540" s="231" t="n">
        <v>46112</v>
      </c>
      <c r="D540" s="169" t="inlineStr">
        <is>
          <t>214</t>
        </is>
      </c>
      <c r="E540" s="169" t="inlineStr">
        <is>
          <t>COMPRA</t>
        </is>
      </c>
      <c r="F540" s="169" t="inlineStr">
        <is>
          <t>Mega Catalina</t>
        </is>
      </c>
      <c r="G540" s="169" t="inlineStr">
        <is>
          <t>EUREKA - 1999 (22,5 Ha.)</t>
        </is>
      </c>
      <c r="H540" s="169" t="n"/>
      <c r="I540" s="169" t="n"/>
      <c r="J540" s="169" t="inlineStr">
        <is>
          <t>LABORES OPERACIONALES</t>
        </is>
      </c>
      <c r="K540" s="169" t="inlineStr">
        <is>
          <t>COSECHA</t>
        </is>
      </c>
      <c r="L540" s="169" t="inlineStr">
        <is>
          <t>SERV.CONTRATISTA</t>
        </is>
      </c>
      <c r="M540" s="169" t="n"/>
      <c r="N540" s="169" t="inlineStr">
        <is>
          <t>.   .   -</t>
        </is>
      </c>
      <c r="O540" s="169" t="inlineStr">
        <is>
          <t>MARZO</t>
        </is>
      </c>
      <c r="P540" s="169" t="n">
        <v>13</v>
      </c>
      <c r="Q540" s="171" t="n">
        <v>1164910</v>
      </c>
      <c r="R540" s="169" t="n"/>
      <c r="S540" s="171" t="n">
        <v>1164910</v>
      </c>
      <c r="T540" s="169" t="inlineStr">
        <is>
          <t>CLP</t>
        </is>
      </c>
      <c r="U540" s="169" t="inlineStr">
        <is>
          <t>Carga LH 18-06-26</t>
        </is>
      </c>
      <c r="V540" s="169" t="inlineStr">
        <is>
          <t>2026-06-18</t>
        </is>
      </c>
    </row>
    <row r="541">
      <c r="A541" s="169" t="inlineStr">
        <is>
          <t>CR-0538</t>
        </is>
      </c>
      <c r="B541" s="169" t="inlineStr">
        <is>
          <t>2026/27</t>
        </is>
      </c>
      <c r="C541" s="231" t="n">
        <v>46112</v>
      </c>
      <c r="D541" s="169" t="inlineStr">
        <is>
          <t>214</t>
        </is>
      </c>
      <c r="E541" s="169" t="inlineStr">
        <is>
          <t>COMPRA</t>
        </is>
      </c>
      <c r="F541" s="169" t="inlineStr">
        <is>
          <t>Mega Catalina</t>
        </is>
      </c>
      <c r="G541" s="169" t="inlineStr">
        <is>
          <t>EUREKA - 2016 (14,4 Ha.)</t>
        </is>
      </c>
      <c r="H541" s="169" t="n"/>
      <c r="I541" s="169" t="n"/>
      <c r="J541" s="169" t="inlineStr">
        <is>
          <t>LABORES OPERACIONALES</t>
        </is>
      </c>
      <c r="K541" s="169" t="inlineStr">
        <is>
          <t>COSECHA</t>
        </is>
      </c>
      <c r="L541" s="169" t="inlineStr">
        <is>
          <t>SERV.CONTRATISTA</t>
        </is>
      </c>
      <c r="M541" s="169" t="n"/>
      <c r="N541" s="169" t="inlineStr">
        <is>
          <t>.   .   -</t>
        </is>
      </c>
      <c r="O541" s="169" t="inlineStr">
        <is>
          <t>MARZO</t>
        </is>
      </c>
      <c r="P541" s="169" t="n">
        <v>13</v>
      </c>
      <c r="Q541" s="171" t="n">
        <v>797970</v>
      </c>
      <c r="R541" s="169" t="n"/>
      <c r="S541" s="171" t="n">
        <v>797970</v>
      </c>
      <c r="T541" s="169" t="inlineStr">
        <is>
          <t>CLP</t>
        </is>
      </c>
      <c r="U541" s="169" t="inlineStr">
        <is>
          <t>Carga LH 18-06-26</t>
        </is>
      </c>
      <c r="V541" s="169" t="inlineStr">
        <is>
          <t>2026-06-18</t>
        </is>
      </c>
    </row>
    <row r="542">
      <c r="A542" s="169" t="inlineStr">
        <is>
          <t>CR-0539</t>
        </is>
      </c>
      <c r="B542" s="169" t="inlineStr">
        <is>
          <t>2026/27</t>
        </is>
      </c>
      <c r="C542" s="231" t="n">
        <v>46112</v>
      </c>
      <c r="D542" s="169" t="inlineStr">
        <is>
          <t>442852</t>
        </is>
      </c>
      <c r="E542" s="169" t="inlineStr">
        <is>
          <t>COMPRA</t>
        </is>
      </c>
      <c r="F542" s="169" t="inlineStr">
        <is>
          <t>Sin asignar</t>
        </is>
      </c>
      <c r="G542" s="169" t="inlineStr">
        <is>
          <t>PACKING</t>
        </is>
      </c>
      <c r="H542" s="169" t="n"/>
      <c r="I542" s="169" t="n"/>
      <c r="J542" s="169" t="inlineStr">
        <is>
          <t>MANT. Y REP. PLANTACIONES</t>
        </is>
      </c>
      <c r="K542" s="169" t="inlineStr">
        <is>
          <t>MANTENCION HUERTO</t>
        </is>
      </c>
      <c r="L542" s="169" t="inlineStr">
        <is>
          <t>O/001547 RASCHEL 90</t>
        </is>
      </c>
      <c r="M542" s="169" t="n"/>
      <c r="N542" s="169" t="inlineStr">
        <is>
          <t>.   .   -</t>
        </is>
      </c>
      <c r="O542" s="169" t="inlineStr">
        <is>
          <t>MARZO</t>
        </is>
      </c>
      <c r="P542" s="169" t="n">
        <v>13</v>
      </c>
      <c r="Q542" s="171" t="n">
        <v>174242</v>
      </c>
      <c r="R542" s="169" t="n"/>
      <c r="S542" s="171" t="n">
        <v>174242</v>
      </c>
      <c r="T542" s="169" t="inlineStr">
        <is>
          <t>CLP</t>
        </is>
      </c>
      <c r="U542" s="169" t="inlineStr">
        <is>
          <t>Carga LH 18-06-26</t>
        </is>
      </c>
      <c r="V542" s="169" t="inlineStr">
        <is>
          <t>2026-06-18</t>
        </is>
      </c>
    </row>
    <row r="543">
      <c r="A543" s="169" t="inlineStr">
        <is>
          <t>CR-0540</t>
        </is>
      </c>
      <c r="B543" s="169" t="inlineStr">
        <is>
          <t>2026/27</t>
        </is>
      </c>
      <c r="C543" s="231" t="n">
        <v>46112</v>
      </c>
      <c r="D543" s="169" t="inlineStr">
        <is>
          <t>442881</t>
        </is>
      </c>
      <c r="E543" s="169" t="inlineStr">
        <is>
          <t>COMPRA</t>
        </is>
      </c>
      <c r="F543" s="169" t="inlineStr">
        <is>
          <t>Sin asignar</t>
        </is>
      </c>
      <c r="G543" s="169" t="inlineStr">
        <is>
          <t>PACKING</t>
        </is>
      </c>
      <c r="H543" s="169" t="n"/>
      <c r="I543" s="169" t="n"/>
      <c r="J543" s="169" t="inlineStr">
        <is>
          <t>MANT. Y REP. PLANTACIONES</t>
        </is>
      </c>
      <c r="K543" s="169" t="inlineStr">
        <is>
          <t>MANTENCION HUERTO</t>
        </is>
      </c>
      <c r="L543" s="169" t="inlineStr">
        <is>
          <t>O/001549 CORDEL COS</t>
        </is>
      </c>
      <c r="M543" s="169" t="n"/>
      <c r="N543" s="169" t="inlineStr">
        <is>
          <t>.   .   -</t>
        </is>
      </c>
      <c r="O543" s="169" t="inlineStr">
        <is>
          <t>MARZO</t>
        </is>
      </c>
      <c r="P543" s="169" t="n">
        <v>13</v>
      </c>
      <c r="Q543" s="171" t="n">
        <v>41107</v>
      </c>
      <c r="R543" s="169" t="n"/>
      <c r="S543" s="171" t="n">
        <v>41107</v>
      </c>
      <c r="T543" s="169" t="inlineStr">
        <is>
          <t>CLP</t>
        </is>
      </c>
      <c r="U543" s="169" t="inlineStr">
        <is>
          <t>Carga LH 18-06-26</t>
        </is>
      </c>
      <c r="V543" s="169" t="inlineStr">
        <is>
          <t>2026-06-18</t>
        </is>
      </c>
    </row>
    <row r="544">
      <c r="A544" s="169" t="inlineStr">
        <is>
          <t>CR-0541</t>
        </is>
      </c>
      <c r="B544" s="169" t="inlineStr">
        <is>
          <t>2026/27</t>
        </is>
      </c>
      <c r="C544" s="231" t="n">
        <v>46112</v>
      </c>
      <c r="D544" s="169" t="inlineStr">
        <is>
          <t>4171</t>
        </is>
      </c>
      <c r="E544" s="169" t="inlineStr">
        <is>
          <t>COMPRA</t>
        </is>
      </c>
      <c r="F544" s="169" t="inlineStr">
        <is>
          <t>Sin asignar</t>
        </is>
      </c>
      <c r="G544" s="169" t="inlineStr">
        <is>
          <t>PACKING</t>
        </is>
      </c>
      <c r="H544" s="169" t="n"/>
      <c r="I544" s="169" t="n"/>
      <c r="J544" s="169" t="inlineStr">
        <is>
          <t>ARRIENDOS</t>
        </is>
      </c>
      <c r="K544" s="169" t="inlineStr">
        <is>
          <t>ARRIENDO GRUA HORQUILLA</t>
        </is>
      </c>
      <c r="L544" s="169" t="inlineStr">
        <is>
          <t>O/001565 ARRIENDO G</t>
        </is>
      </c>
      <c r="M544" s="169" t="n"/>
      <c r="N544" s="169" t="inlineStr">
        <is>
          <t>.   .   -</t>
        </is>
      </c>
      <c r="O544" s="169" t="inlineStr">
        <is>
          <t>MARZO</t>
        </is>
      </c>
      <c r="P544" s="169" t="n">
        <v>13</v>
      </c>
      <c r="Q544" s="171" t="n">
        <v>620001</v>
      </c>
      <c r="R544" s="169" t="n"/>
      <c r="S544" s="171" t="n">
        <v>620001</v>
      </c>
      <c r="T544" s="169" t="inlineStr">
        <is>
          <t>CLP</t>
        </is>
      </c>
      <c r="U544" s="169" t="inlineStr">
        <is>
          <t>Carga LH 18-06-26</t>
        </is>
      </c>
      <c r="V544" s="169" t="inlineStr">
        <is>
          <t>2026-06-18</t>
        </is>
      </c>
    </row>
    <row r="545">
      <c r="A545" s="169" t="inlineStr">
        <is>
          <t>CR-0542</t>
        </is>
      </c>
      <c r="B545" s="169" t="inlineStr">
        <is>
          <t>2026/27</t>
        </is>
      </c>
      <c r="C545" s="231" t="n">
        <v>46112</v>
      </c>
      <c r="D545" s="169" t="inlineStr">
        <is>
          <t>112168</t>
        </is>
      </c>
      <c r="E545" s="169" t="inlineStr">
        <is>
          <t>COMPRA</t>
        </is>
      </c>
      <c r="F545" s="169" t="inlineStr">
        <is>
          <t>Sin asignar</t>
        </is>
      </c>
      <c r="G545" s="169" t="inlineStr">
        <is>
          <t>PACKING</t>
        </is>
      </c>
      <c r="H545" s="169" t="n"/>
      <c r="I545" s="169" t="n"/>
      <c r="J545" s="169" t="inlineStr">
        <is>
          <t>MATERIALES COSECHA</t>
        </is>
      </c>
      <c r="K545" s="169" t="inlineStr">
        <is>
          <t>MATERIAL COSECHA EXPORTACION</t>
        </is>
      </c>
      <c r="L545" s="169" t="inlineStr">
        <is>
          <t>O/001523 ACOPLE HEM</t>
        </is>
      </c>
      <c r="M545" s="169" t="n"/>
      <c r="N545" s="169" t="inlineStr">
        <is>
          <t>.   .   -</t>
        </is>
      </c>
      <c r="O545" s="169" t="inlineStr">
        <is>
          <t>MARZO</t>
        </is>
      </c>
      <c r="P545" s="169" t="n">
        <v>13</v>
      </c>
      <c r="Q545" s="171" t="n">
        <v>6723</v>
      </c>
      <c r="R545" s="169" t="n"/>
      <c r="S545" s="171" t="n">
        <v>6723</v>
      </c>
      <c r="T545" s="169" t="inlineStr">
        <is>
          <t>CLP</t>
        </is>
      </c>
      <c r="U545" s="169" t="inlineStr">
        <is>
          <t>Carga LH 18-06-26</t>
        </is>
      </c>
      <c r="V545" s="169" t="inlineStr">
        <is>
          <t>2026-06-18</t>
        </is>
      </c>
    </row>
    <row r="546">
      <c r="A546" s="169" t="inlineStr">
        <is>
          <t>CR-0543</t>
        </is>
      </c>
      <c r="B546" s="169" t="inlineStr">
        <is>
          <t>2026/27</t>
        </is>
      </c>
      <c r="C546" s="231" t="n">
        <v>46112</v>
      </c>
      <c r="D546" s="169" t="inlineStr">
        <is>
          <t>112168</t>
        </is>
      </c>
      <c r="E546" s="169" t="inlineStr">
        <is>
          <t>COMPRA</t>
        </is>
      </c>
      <c r="F546" s="169" t="inlineStr">
        <is>
          <t>Sin asignar</t>
        </is>
      </c>
      <c r="G546" s="169" t="inlineStr">
        <is>
          <t>PACKING</t>
        </is>
      </c>
      <c r="H546" s="169" t="n"/>
      <c r="I546" s="169" t="n"/>
      <c r="J546" s="169" t="inlineStr">
        <is>
          <t>MATERIALES COSECHA</t>
        </is>
      </c>
      <c r="K546" s="169" t="inlineStr">
        <is>
          <t>MATERIAL COSECHA EXPORTACION</t>
        </is>
      </c>
      <c r="L546" s="169" t="inlineStr">
        <is>
          <t>O/001523 ACOPLE MAC</t>
        </is>
      </c>
      <c r="M546" s="169" t="n"/>
      <c r="N546" s="169" t="inlineStr">
        <is>
          <t>.   .   -</t>
        </is>
      </c>
      <c r="O546" s="169" t="inlineStr">
        <is>
          <t>MARZO</t>
        </is>
      </c>
      <c r="P546" s="169" t="n">
        <v>13</v>
      </c>
      <c r="Q546" s="171" t="n">
        <v>31092</v>
      </c>
      <c r="R546" s="169" t="n"/>
      <c r="S546" s="171" t="n">
        <v>31092</v>
      </c>
      <c r="T546" s="169" t="inlineStr">
        <is>
          <t>CLP</t>
        </is>
      </c>
      <c r="U546" s="169" t="inlineStr">
        <is>
          <t>Carga LH 18-06-26</t>
        </is>
      </c>
      <c r="V546" s="169" t="inlineStr">
        <is>
          <t>2026-06-18</t>
        </is>
      </c>
    </row>
    <row r="547">
      <c r="A547" s="169" t="inlineStr">
        <is>
          <t>CR-0544</t>
        </is>
      </c>
      <c r="B547" s="169" t="inlineStr">
        <is>
          <t>2026/27</t>
        </is>
      </c>
      <c r="C547" s="231" t="n">
        <v>46112</v>
      </c>
      <c r="D547" s="169" t="inlineStr">
        <is>
          <t>112168</t>
        </is>
      </c>
      <c r="E547" s="169" t="inlineStr">
        <is>
          <t>COMPRA</t>
        </is>
      </c>
      <c r="F547" s="169" t="inlineStr">
        <is>
          <t>Sin asignar</t>
        </is>
      </c>
      <c r="G547" s="169" t="inlineStr">
        <is>
          <t>PACKING</t>
        </is>
      </c>
      <c r="H547" s="169" t="n"/>
      <c r="I547" s="169" t="n"/>
      <c r="J547" s="169" t="inlineStr">
        <is>
          <t>MATERIALES COSECHA</t>
        </is>
      </c>
      <c r="K547" s="169" t="inlineStr">
        <is>
          <t>MATERIAL COSECHA EXPORTACION</t>
        </is>
      </c>
      <c r="L547" s="169" t="inlineStr">
        <is>
          <t>O/001523 MANGUERA E</t>
        </is>
      </c>
      <c r="M547" s="169" t="n"/>
      <c r="N547" s="169" t="inlineStr">
        <is>
          <t>.   .   -</t>
        </is>
      </c>
      <c r="O547" s="169" t="inlineStr">
        <is>
          <t>MARZO</t>
        </is>
      </c>
      <c r="P547" s="169" t="n">
        <v>13</v>
      </c>
      <c r="Q547" s="171" t="n">
        <v>57983</v>
      </c>
      <c r="R547" s="169" t="n"/>
      <c r="S547" s="171" t="n">
        <v>57983</v>
      </c>
      <c r="T547" s="169" t="inlineStr">
        <is>
          <t>CLP</t>
        </is>
      </c>
      <c r="U547" s="169" t="inlineStr">
        <is>
          <t>Carga LH 18-06-26</t>
        </is>
      </c>
      <c r="V547" s="169" t="inlineStr">
        <is>
          <t>2026-06-18</t>
        </is>
      </c>
    </row>
    <row r="548">
      <c r="A548" s="169" t="inlineStr">
        <is>
          <t>CR-0545</t>
        </is>
      </c>
      <c r="B548" s="169" t="inlineStr">
        <is>
          <t>2026/27</t>
        </is>
      </c>
      <c r="C548" s="231" t="n">
        <v>46112</v>
      </c>
      <c r="D548" s="169" t="inlineStr">
        <is>
          <t>112168</t>
        </is>
      </c>
      <c r="E548" s="169" t="inlineStr">
        <is>
          <t>COMPRA</t>
        </is>
      </c>
      <c r="F548" s="169" t="inlineStr">
        <is>
          <t>Sin asignar</t>
        </is>
      </c>
      <c r="G548" s="169" t="inlineStr">
        <is>
          <t>PACKING</t>
        </is>
      </c>
      <c r="H548" s="169" t="n"/>
      <c r="I548" s="169" t="n"/>
      <c r="J548" s="169" t="inlineStr">
        <is>
          <t>MATERIALES COSECHA</t>
        </is>
      </c>
      <c r="K548" s="169" t="inlineStr">
        <is>
          <t>MATERIAL COSECHA EXPORTACION</t>
        </is>
      </c>
      <c r="L548" s="169" t="inlineStr">
        <is>
          <t>O/001523 PISTOLA MU</t>
        </is>
      </c>
      <c r="M548" s="169" t="n"/>
      <c r="N548" s="169" t="inlineStr">
        <is>
          <t>.   .   -</t>
        </is>
      </c>
      <c r="O548" s="169" t="inlineStr">
        <is>
          <t>MARZO</t>
        </is>
      </c>
      <c r="P548" s="169" t="n">
        <v>13</v>
      </c>
      <c r="Q548" s="171" t="n">
        <v>53783</v>
      </c>
      <c r="R548" s="169" t="n"/>
      <c r="S548" s="171" t="n">
        <v>53783</v>
      </c>
      <c r="T548" s="169" t="inlineStr">
        <is>
          <t>CLP</t>
        </is>
      </c>
      <c r="U548" s="169" t="inlineStr">
        <is>
          <t>Carga LH 18-06-26</t>
        </is>
      </c>
      <c r="V548" s="169" t="inlineStr">
        <is>
          <t>2026-06-18</t>
        </is>
      </c>
    </row>
    <row r="549">
      <c r="A549" s="169" t="inlineStr">
        <is>
          <t>CR-0546</t>
        </is>
      </c>
      <c r="B549" s="169" t="inlineStr">
        <is>
          <t>2026/27</t>
        </is>
      </c>
      <c r="C549" s="231" t="n">
        <v>46112</v>
      </c>
      <c r="D549" s="169" t="inlineStr">
        <is>
          <t>112168</t>
        </is>
      </c>
      <c r="E549" s="169" t="inlineStr">
        <is>
          <t>COMPRA</t>
        </is>
      </c>
      <c r="F549" s="169" t="inlineStr">
        <is>
          <t>Sin asignar</t>
        </is>
      </c>
      <c r="G549" s="169" t="inlineStr">
        <is>
          <t>PACKING</t>
        </is>
      </c>
      <c r="H549" s="169" t="n"/>
      <c r="I549" s="169" t="n"/>
      <c r="J549" s="169" t="inlineStr">
        <is>
          <t>MATERIALES COSECHA</t>
        </is>
      </c>
      <c r="K549" s="169" t="inlineStr">
        <is>
          <t>MATERIAL COSECHA EXPORTACION</t>
        </is>
      </c>
      <c r="L549" s="169" t="inlineStr">
        <is>
          <t>O/001523 UNION HEMB</t>
        </is>
      </c>
      <c r="M549" s="169" t="n"/>
      <c r="N549" s="169" t="inlineStr">
        <is>
          <t>.   .   -</t>
        </is>
      </c>
      <c r="O549" s="169" t="inlineStr">
        <is>
          <t>MARZO</t>
        </is>
      </c>
      <c r="P549" s="169" t="n">
        <v>13</v>
      </c>
      <c r="Q549" s="171" t="n">
        <v>34453</v>
      </c>
      <c r="R549" s="169" t="n"/>
      <c r="S549" s="171" t="n">
        <v>34453</v>
      </c>
      <c r="T549" s="169" t="inlineStr">
        <is>
          <t>CLP</t>
        </is>
      </c>
      <c r="U549" s="169" t="inlineStr">
        <is>
          <t>Carga LH 18-06-26</t>
        </is>
      </c>
      <c r="V549" s="169" t="inlineStr">
        <is>
          <t>2026-06-18</t>
        </is>
      </c>
    </row>
    <row r="550">
      <c r="A550" s="169" t="inlineStr">
        <is>
          <t>CR-0547</t>
        </is>
      </c>
      <c r="B550" s="169" t="inlineStr">
        <is>
          <t>2026/27</t>
        </is>
      </c>
      <c r="C550" s="231" t="n">
        <v>46112</v>
      </c>
      <c r="D550" s="169" t="inlineStr">
        <is>
          <t>442913</t>
        </is>
      </c>
      <c r="E550" s="169" t="inlineStr">
        <is>
          <t>COMPRA</t>
        </is>
      </c>
      <c r="F550" s="169" t="inlineStr">
        <is>
          <t>Sin asignar</t>
        </is>
      </c>
      <c r="G550" s="169" t="inlineStr">
        <is>
          <t>PACKING</t>
        </is>
      </c>
      <c r="H550" s="169" t="n"/>
      <c r="I550" s="169" t="n"/>
      <c r="J550" s="169" t="inlineStr">
        <is>
          <t>MANT. Y REP. PLANTACIONES</t>
        </is>
      </c>
      <c r="K550" s="169" t="inlineStr">
        <is>
          <t>MANTENCION HUERTO</t>
        </is>
      </c>
      <c r="L550" s="169" t="inlineStr">
        <is>
          <t>O/001549 RASCHEL 90</t>
        </is>
      </c>
      <c r="M550" s="169" t="n"/>
      <c r="N550" s="169" t="inlineStr">
        <is>
          <t>.   .   -</t>
        </is>
      </c>
      <c r="O550" s="169" t="inlineStr">
        <is>
          <t>MARZO</t>
        </is>
      </c>
      <c r="P550" s="169" t="n">
        <v>13</v>
      </c>
      <c r="Q550" s="171" t="n">
        <v>174242</v>
      </c>
      <c r="R550" s="169" t="n"/>
      <c r="S550" s="171" t="n">
        <v>174242</v>
      </c>
      <c r="T550" s="169" t="inlineStr">
        <is>
          <t>CLP</t>
        </is>
      </c>
      <c r="U550" s="169" t="inlineStr">
        <is>
          <t>Carga LH 18-06-26</t>
        </is>
      </c>
      <c r="V550" s="169" t="inlineStr">
        <is>
          <t>2026-06-18</t>
        </is>
      </c>
    </row>
    <row r="551">
      <c r="A551" s="169" t="inlineStr">
        <is>
          <t>CR-0548</t>
        </is>
      </c>
      <c r="B551" s="169" t="inlineStr">
        <is>
          <t>2026/27</t>
        </is>
      </c>
      <c r="C551" s="231" t="n">
        <v>46112</v>
      </c>
      <c r="D551" s="169" t="inlineStr">
        <is>
          <t>270</t>
        </is>
      </c>
      <c r="E551" s="169" t="inlineStr">
        <is>
          <t>COMPRA</t>
        </is>
      </c>
      <c r="F551" s="169" t="inlineStr">
        <is>
          <t>Mega Catalina</t>
        </is>
      </c>
      <c r="G551" s="169" t="inlineStr">
        <is>
          <t>EUREKA - 1999 (22,5 Ha.)</t>
        </is>
      </c>
      <c r="H551" s="169" t="n"/>
      <c r="I551" s="169" t="n"/>
      <c r="J551" s="169" t="inlineStr">
        <is>
          <t>LABORES OPERACIONALES</t>
        </is>
      </c>
      <c r="K551" s="169" t="inlineStr">
        <is>
          <t>OTROS SERVICIOS</t>
        </is>
      </c>
      <c r="L551" s="169" t="inlineStr">
        <is>
          <t>SERV.CONTRATISTA</t>
        </is>
      </c>
      <c r="M551" s="169" t="n"/>
      <c r="N551" s="169" t="inlineStr">
        <is>
          <t>.   .   -</t>
        </is>
      </c>
      <c r="O551" s="169" t="inlineStr">
        <is>
          <t>MARZO</t>
        </is>
      </c>
      <c r="P551" s="169" t="n">
        <v>13</v>
      </c>
      <c r="Q551" s="171" t="n">
        <v>435810</v>
      </c>
      <c r="R551" s="169" t="n"/>
      <c r="S551" s="171" t="n">
        <v>435810</v>
      </c>
      <c r="T551" s="169" t="inlineStr">
        <is>
          <t>CLP</t>
        </is>
      </c>
      <c r="U551" s="169" t="inlineStr">
        <is>
          <t>Carga LH 18-06-26</t>
        </is>
      </c>
      <c r="V551" s="169" t="inlineStr">
        <is>
          <t>2026-06-18</t>
        </is>
      </c>
    </row>
    <row r="552">
      <c r="A552" s="169" t="inlineStr">
        <is>
          <t>CR-0549</t>
        </is>
      </c>
      <c r="B552" s="169" t="inlineStr">
        <is>
          <t>2026/27</t>
        </is>
      </c>
      <c r="C552" s="231" t="n">
        <v>46112</v>
      </c>
      <c r="D552" s="169" t="inlineStr">
        <is>
          <t>270</t>
        </is>
      </c>
      <c r="E552" s="169" t="inlineStr">
        <is>
          <t>COMPRA</t>
        </is>
      </c>
      <c r="F552" s="169" t="inlineStr">
        <is>
          <t>Mega Catalina</t>
        </is>
      </c>
      <c r="G552" s="169" t="inlineStr">
        <is>
          <t>EUREKA - 1999 (10,6 Ha.)</t>
        </is>
      </c>
      <c r="H552" s="169" t="n"/>
      <c r="I552" s="169" t="n"/>
      <c r="J552" s="169" t="inlineStr">
        <is>
          <t>LABORES OPERACIONALES</t>
        </is>
      </c>
      <c r="K552" s="169" t="inlineStr">
        <is>
          <t>OTROS SERVICIOS</t>
        </is>
      </c>
      <c r="L552" s="169" t="inlineStr">
        <is>
          <t>SERV.CONTRATISTA</t>
        </is>
      </c>
      <c r="M552" s="169" t="n"/>
      <c r="N552" s="169" t="inlineStr">
        <is>
          <t>.   .   -</t>
        </is>
      </c>
      <c r="O552" s="169" t="inlineStr">
        <is>
          <t>MARZO</t>
        </is>
      </c>
      <c r="P552" s="169" t="n">
        <v>13</v>
      </c>
      <c r="Q552" s="171" t="n">
        <v>286890</v>
      </c>
      <c r="R552" s="169" t="n"/>
      <c r="S552" s="171" t="n">
        <v>286890</v>
      </c>
      <c r="T552" s="169" t="inlineStr">
        <is>
          <t>CLP</t>
        </is>
      </c>
      <c r="U552" s="169" t="inlineStr">
        <is>
          <t>Carga LH 18-06-26</t>
        </is>
      </c>
      <c r="V552" s="169" t="inlineStr">
        <is>
          <t>2026-06-18</t>
        </is>
      </c>
    </row>
    <row r="553">
      <c r="A553" s="169" t="inlineStr">
        <is>
          <t>CR-0550</t>
        </is>
      </c>
      <c r="B553" s="169" t="inlineStr">
        <is>
          <t>2026/27</t>
        </is>
      </c>
      <c r="C553" s="231" t="n">
        <v>46112</v>
      </c>
      <c r="D553" s="169" t="inlineStr">
        <is>
          <t>270</t>
        </is>
      </c>
      <c r="E553" s="169" t="inlineStr">
        <is>
          <t>COMPRA</t>
        </is>
      </c>
      <c r="F553" s="169" t="inlineStr">
        <is>
          <t>Mega Catalina</t>
        </is>
      </c>
      <c r="G553" s="169" t="inlineStr">
        <is>
          <t>EUREKA - 2016 (14,4 Ha.)</t>
        </is>
      </c>
      <c r="H553" s="169" t="n"/>
      <c r="I553" s="169" t="n"/>
      <c r="J553" s="169" t="inlineStr">
        <is>
          <t>LABORES OPERACIONALES</t>
        </is>
      </c>
      <c r="K553" s="169" t="inlineStr">
        <is>
          <t>OTROS SERVICIOS</t>
        </is>
      </c>
      <c r="L553" s="169" t="inlineStr">
        <is>
          <t>SERV.CONTRATISTA</t>
        </is>
      </c>
      <c r="M553" s="169" t="n"/>
      <c r="N553" s="169" t="inlineStr">
        <is>
          <t>.   .   -</t>
        </is>
      </c>
      <c r="O553" s="169" t="inlineStr">
        <is>
          <t>MARZO</t>
        </is>
      </c>
      <c r="P553" s="169" t="n">
        <v>13</v>
      </c>
      <c r="Q553" s="171" t="n">
        <v>278130</v>
      </c>
      <c r="R553" s="169" t="n"/>
      <c r="S553" s="171" t="n">
        <v>278130</v>
      </c>
      <c r="T553" s="169" t="inlineStr">
        <is>
          <t>CLP</t>
        </is>
      </c>
      <c r="U553" s="169" t="inlineStr">
        <is>
          <t>Carga LH 18-06-26</t>
        </is>
      </c>
      <c r="V553" s="169" t="inlineStr">
        <is>
          <t>2026-06-18</t>
        </is>
      </c>
    </row>
    <row r="554">
      <c r="A554" s="169" t="inlineStr">
        <is>
          <t>CR-0551</t>
        </is>
      </c>
      <c r="B554" s="169" t="inlineStr">
        <is>
          <t>2026/27</t>
        </is>
      </c>
      <c r="C554" s="231" t="n">
        <v>46112</v>
      </c>
      <c r="D554" s="169" t="inlineStr">
        <is>
          <t>270</t>
        </is>
      </c>
      <c r="E554" s="169" t="inlineStr">
        <is>
          <t>COMPRA</t>
        </is>
      </c>
      <c r="F554" s="169" t="inlineStr">
        <is>
          <t>Mega Catalina</t>
        </is>
      </c>
      <c r="G554" s="169" t="inlineStr">
        <is>
          <t>FINO 49 - 1999 (7,7 Ha.)</t>
        </is>
      </c>
      <c r="H554" s="169" t="n"/>
      <c r="I554" s="169" t="n"/>
      <c r="J554" s="169" t="inlineStr">
        <is>
          <t>LABORES OPERACIONALES</t>
        </is>
      </c>
      <c r="K554" s="169" t="inlineStr">
        <is>
          <t>OTROS SERVICIOS</t>
        </is>
      </c>
      <c r="L554" s="169" t="inlineStr">
        <is>
          <t>SERV.CONTRATISTA</t>
        </is>
      </c>
      <c r="M554" s="169" t="n"/>
      <c r="N554" s="169" t="inlineStr">
        <is>
          <t>.   .   -</t>
        </is>
      </c>
      <c r="O554" s="169" t="inlineStr">
        <is>
          <t>MARZO</t>
        </is>
      </c>
      <c r="P554" s="169" t="n">
        <v>13</v>
      </c>
      <c r="Q554" s="171" t="n">
        <v>221190</v>
      </c>
      <c r="R554" s="169" t="n"/>
      <c r="S554" s="171" t="n">
        <v>221190</v>
      </c>
      <c r="T554" s="169" t="inlineStr">
        <is>
          <t>CLP</t>
        </is>
      </c>
      <c r="U554" s="169" t="inlineStr">
        <is>
          <t>Carga LH 18-06-26</t>
        </is>
      </c>
      <c r="V554" s="169" t="inlineStr">
        <is>
          <t>2026-06-18</t>
        </is>
      </c>
    </row>
    <row r="555">
      <c r="A555" s="169" t="inlineStr">
        <is>
          <t>CR-0552</t>
        </is>
      </c>
      <c r="B555" s="169" t="inlineStr">
        <is>
          <t>2026/27</t>
        </is>
      </c>
      <c r="C555" s="231" t="n">
        <v>46112</v>
      </c>
      <c r="D555" s="169" t="inlineStr">
        <is>
          <t>270</t>
        </is>
      </c>
      <c r="E555" s="169" t="inlineStr">
        <is>
          <t>COMPRA</t>
        </is>
      </c>
      <c r="F555" s="169" t="inlineStr">
        <is>
          <t>Mega Catalina</t>
        </is>
      </c>
      <c r="G555" s="169" t="inlineStr">
        <is>
          <t>NO USAR NARANJAS CAMBRIA (4,2 Hta.)</t>
        </is>
      </c>
      <c r="H555" s="169" t="n"/>
      <c r="I555" s="169" t="n"/>
      <c r="J555" s="169" t="inlineStr">
        <is>
          <t>LABORES OPERACIONALES</t>
        </is>
      </c>
      <c r="K555" s="169" t="inlineStr">
        <is>
          <t>OTROS SERVICIOS</t>
        </is>
      </c>
      <c r="L555" s="169" t="inlineStr">
        <is>
          <t>SERV.CONTRATISTA</t>
        </is>
      </c>
      <c r="M555" s="169" t="n"/>
      <c r="N555" s="169" t="inlineStr">
        <is>
          <t>.   .   -</t>
        </is>
      </c>
      <c r="O555" s="169" t="inlineStr">
        <is>
          <t>MARZO</t>
        </is>
      </c>
      <c r="P555" s="169" t="n">
        <v>13</v>
      </c>
      <c r="Q555" s="171" t="n">
        <v>81030</v>
      </c>
      <c r="R555" s="169" t="n"/>
      <c r="S555" s="171" t="n">
        <v>81030</v>
      </c>
      <c r="T555" s="169" t="inlineStr">
        <is>
          <t>CLP</t>
        </is>
      </c>
      <c r="U555" s="169" t="inlineStr">
        <is>
          <t>Carga LH 18-06-26</t>
        </is>
      </c>
      <c r="V555" s="169" t="inlineStr">
        <is>
          <t>2026-06-18</t>
        </is>
      </c>
    </row>
    <row r="556">
      <c r="A556" s="169" t="inlineStr">
        <is>
          <t>CR-0553</t>
        </is>
      </c>
      <c r="B556" s="169" t="inlineStr">
        <is>
          <t>2026/27</t>
        </is>
      </c>
      <c r="C556" s="231" t="n">
        <v>46112</v>
      </c>
      <c r="D556" s="169" t="inlineStr">
        <is>
          <t>270</t>
        </is>
      </c>
      <c r="E556" s="169" t="inlineStr">
        <is>
          <t>COMPRA</t>
        </is>
      </c>
      <c r="F556" s="169" t="inlineStr">
        <is>
          <t>Mega Catalina</t>
        </is>
      </c>
      <c r="G556" s="169" t="inlineStr">
        <is>
          <t>MURCOTT - 2007 (21 Ha.)</t>
        </is>
      </c>
      <c r="H556" s="169" t="n"/>
      <c r="I556" s="169" t="n"/>
      <c r="J556" s="169" t="inlineStr">
        <is>
          <t>LABORES OPERACIONALES</t>
        </is>
      </c>
      <c r="K556" s="169" t="inlineStr">
        <is>
          <t>OTROS SERVICIOS</t>
        </is>
      </c>
      <c r="L556" s="169" t="inlineStr">
        <is>
          <t>SERV.CONTRATISTA</t>
        </is>
      </c>
      <c r="M556" s="169" t="n"/>
      <c r="N556" s="169" t="inlineStr">
        <is>
          <t>.   .   -</t>
        </is>
      </c>
      <c r="O556" s="169" t="inlineStr">
        <is>
          <t>MARZO</t>
        </is>
      </c>
      <c r="P556" s="169" t="n">
        <v>13</v>
      </c>
      <c r="Q556" s="171" t="n">
        <v>405150</v>
      </c>
      <c r="R556" s="169" t="n"/>
      <c r="S556" s="171" t="n">
        <v>405150</v>
      </c>
      <c r="T556" s="169" t="inlineStr">
        <is>
          <t>CLP</t>
        </is>
      </c>
      <c r="U556" s="169" t="inlineStr">
        <is>
          <t>Carga LH 18-06-26</t>
        </is>
      </c>
      <c r="V556" s="169" t="inlineStr">
        <is>
          <t>2026-06-18</t>
        </is>
      </c>
    </row>
    <row r="557">
      <c r="A557" s="169" t="inlineStr">
        <is>
          <t>CR-0554</t>
        </is>
      </c>
      <c r="B557" s="169" t="inlineStr">
        <is>
          <t>2026/27</t>
        </is>
      </c>
      <c r="C557" s="231" t="n">
        <v>46112</v>
      </c>
      <c r="D557" s="169" t="inlineStr">
        <is>
          <t>269</t>
        </is>
      </c>
      <c r="E557" s="169" t="inlineStr">
        <is>
          <t>COMPRA</t>
        </is>
      </c>
      <c r="F557" s="169" t="inlineStr">
        <is>
          <t>Sin asignar</t>
        </is>
      </c>
      <c r="G557" s="169" t="inlineStr">
        <is>
          <t>PACKING</t>
        </is>
      </c>
      <c r="H557" s="169" t="n"/>
      <c r="I557" s="169" t="n"/>
      <c r="J557" s="169" t="inlineStr">
        <is>
          <t>LABORES OPERACIONALES</t>
        </is>
      </c>
      <c r="K557" s="169" t="inlineStr">
        <is>
          <t>OTROS SERVICIOS</t>
        </is>
      </c>
      <c r="L557" s="169" t="inlineStr">
        <is>
          <t>SERV.CONTRATISTA</t>
        </is>
      </c>
      <c r="M557" s="169" t="n"/>
      <c r="N557" s="169" t="inlineStr">
        <is>
          <t>.   .   -</t>
        </is>
      </c>
      <c r="O557" s="169" t="inlineStr">
        <is>
          <t>MARZO</t>
        </is>
      </c>
      <c r="P557" s="169" t="n">
        <v>13</v>
      </c>
      <c r="Q557" s="171" t="n">
        <v>488085</v>
      </c>
      <c r="R557" s="169" t="n"/>
      <c r="S557" s="171" t="n">
        <v>488085</v>
      </c>
      <c r="T557" s="169" t="inlineStr">
        <is>
          <t>CLP</t>
        </is>
      </c>
      <c r="U557" s="169" t="inlineStr">
        <is>
          <t>Carga LH 18-06-26</t>
        </is>
      </c>
      <c r="V557" s="169" t="inlineStr">
        <is>
          <t>2026-06-18</t>
        </is>
      </c>
    </row>
    <row r="558">
      <c r="A558" s="169" t="inlineStr">
        <is>
          <t>CR-0555</t>
        </is>
      </c>
      <c r="B558" s="169" t="inlineStr">
        <is>
          <t>2026/27</t>
        </is>
      </c>
      <c r="C558" s="231" t="n">
        <v>46112</v>
      </c>
      <c r="D558" s="169" t="inlineStr">
        <is>
          <t>269</t>
        </is>
      </c>
      <c r="E558" s="169" t="inlineStr">
        <is>
          <t>COMPRA</t>
        </is>
      </c>
      <c r="F558" s="169" t="inlineStr">
        <is>
          <t>Mega Catalina</t>
        </is>
      </c>
      <c r="G558" s="169" t="inlineStr">
        <is>
          <t>INJERTO TIMPSON - 2018 (3,8 Ha.)</t>
        </is>
      </c>
      <c r="H558" s="169" t="n"/>
      <c r="I558" s="169" t="n"/>
      <c r="J558" s="169" t="inlineStr">
        <is>
          <t>LABORES OPERACIONALES</t>
        </is>
      </c>
      <c r="K558" s="169" t="inlineStr">
        <is>
          <t>OTROS SERVICIOS</t>
        </is>
      </c>
      <c r="L558" s="169" t="inlineStr">
        <is>
          <t>SERV.CONTRATISTA</t>
        </is>
      </c>
      <c r="M558" s="169" t="n"/>
      <c r="N558" s="169" t="inlineStr">
        <is>
          <t>.   .   -</t>
        </is>
      </c>
      <c r="O558" s="169" t="inlineStr">
        <is>
          <t>MARZO</t>
        </is>
      </c>
      <c r="P558" s="169" t="n">
        <v>13</v>
      </c>
      <c r="Q558" s="171" t="n">
        <v>320384</v>
      </c>
      <c r="R558" s="169" t="n"/>
      <c r="S558" s="171" t="n">
        <v>320384</v>
      </c>
      <c r="T558" s="169" t="inlineStr">
        <is>
          <t>CLP</t>
        </is>
      </c>
      <c r="U558" s="169" t="inlineStr">
        <is>
          <t>Carga LH 18-06-26</t>
        </is>
      </c>
      <c r="V558" s="169" t="inlineStr">
        <is>
          <t>2026-06-18</t>
        </is>
      </c>
    </row>
    <row r="559">
      <c r="A559" s="169" t="inlineStr">
        <is>
          <t>CR-0556</t>
        </is>
      </c>
      <c r="B559" s="169" t="inlineStr">
        <is>
          <t>2026/27</t>
        </is>
      </c>
      <c r="C559" s="231" t="n">
        <v>46112</v>
      </c>
      <c r="D559" s="169" t="inlineStr">
        <is>
          <t>269</t>
        </is>
      </c>
      <c r="E559" s="169" t="inlineStr">
        <is>
          <t>COMPRA</t>
        </is>
      </c>
      <c r="F559" s="169" t="inlineStr">
        <is>
          <t>Mega Catalina</t>
        </is>
      </c>
      <c r="G559" s="169" t="inlineStr">
        <is>
          <t>INJERTO TIMPSON - 2019 (4,2 Ha.)</t>
        </is>
      </c>
      <c r="H559" s="169" t="n"/>
      <c r="I559" s="169" t="n"/>
      <c r="J559" s="169" t="inlineStr">
        <is>
          <t>LABORES OPERACIONALES</t>
        </is>
      </c>
      <c r="K559" s="169" t="inlineStr">
        <is>
          <t>OTROS SERVICIOS</t>
        </is>
      </c>
      <c r="L559" s="169" t="inlineStr">
        <is>
          <t>SERV.CONTRATISTA</t>
        </is>
      </c>
      <c r="M559" s="169" t="n"/>
      <c r="N559" s="169" t="inlineStr">
        <is>
          <t>.   .   -</t>
        </is>
      </c>
      <c r="O559" s="169" t="inlineStr">
        <is>
          <t>MARZO</t>
        </is>
      </c>
      <c r="P559" s="169" t="n">
        <v>13</v>
      </c>
      <c r="Q559" s="171" t="n">
        <v>352923</v>
      </c>
      <c r="R559" s="169" t="n"/>
      <c r="S559" s="171" t="n">
        <v>352923</v>
      </c>
      <c r="T559" s="169" t="inlineStr">
        <is>
          <t>CLP</t>
        </is>
      </c>
      <c r="U559" s="169" t="inlineStr">
        <is>
          <t>Carga LH 18-06-26</t>
        </is>
      </c>
      <c r="V559" s="169" t="inlineStr">
        <is>
          <t>2026-06-18</t>
        </is>
      </c>
    </row>
    <row r="560">
      <c r="A560" s="169" t="inlineStr">
        <is>
          <t>CR-0557</t>
        </is>
      </c>
      <c r="B560" s="169" t="inlineStr">
        <is>
          <t>2026/27</t>
        </is>
      </c>
      <c r="C560" s="231" t="n">
        <v>46112</v>
      </c>
      <c r="D560" s="169" t="inlineStr">
        <is>
          <t>269</t>
        </is>
      </c>
      <c r="E560" s="169" t="inlineStr">
        <is>
          <t>COMPRA</t>
        </is>
      </c>
      <c r="F560" s="169" t="inlineStr">
        <is>
          <t>Mega Catalina</t>
        </is>
      </c>
      <c r="G560" s="169" t="inlineStr">
        <is>
          <t>SWEET CELEBRATION - 2015 (7,14 Ha.)</t>
        </is>
      </c>
      <c r="H560" s="169" t="n"/>
      <c r="I560" s="169" t="n"/>
      <c r="J560" s="169" t="inlineStr">
        <is>
          <t>LABORES OPERACIONALES</t>
        </is>
      </c>
      <c r="K560" s="169" t="inlineStr">
        <is>
          <t>OTROS SERVICIOS</t>
        </is>
      </c>
      <c r="L560" s="169" t="inlineStr">
        <is>
          <t>SERV.CONTRATISTA</t>
        </is>
      </c>
      <c r="M560" s="169" t="n"/>
      <c r="N560" s="169" t="inlineStr">
        <is>
          <t>.   .   -</t>
        </is>
      </c>
      <c r="O560" s="169" t="inlineStr">
        <is>
          <t>MARZO</t>
        </is>
      </c>
      <c r="P560" s="169" t="n">
        <v>13</v>
      </c>
      <c r="Q560" s="171" t="n">
        <v>598217</v>
      </c>
      <c r="R560" s="169" t="n"/>
      <c r="S560" s="171" t="n">
        <v>598217</v>
      </c>
      <c r="T560" s="169" t="inlineStr">
        <is>
          <t>CLP</t>
        </is>
      </c>
      <c r="U560" s="169" t="inlineStr">
        <is>
          <t>Carga LH 18-06-26</t>
        </is>
      </c>
      <c r="V560" s="169" t="inlineStr">
        <is>
          <t>2026-06-18</t>
        </is>
      </c>
    </row>
    <row r="561">
      <c r="A561" s="169" t="inlineStr">
        <is>
          <t>CR-0558</t>
        </is>
      </c>
      <c r="B561" s="169" t="inlineStr">
        <is>
          <t>2026/27</t>
        </is>
      </c>
      <c r="C561" s="231" t="n">
        <v>46112</v>
      </c>
      <c r="D561" s="169" t="inlineStr">
        <is>
          <t>271</t>
        </is>
      </c>
      <c r="E561" s="169" t="inlineStr">
        <is>
          <t>COMPRA</t>
        </is>
      </c>
      <c r="F561" s="169" t="inlineStr">
        <is>
          <t>Asmara</t>
        </is>
      </c>
      <c r="G561" s="169" t="inlineStr">
        <is>
          <t>MURCOTT - 2020 (19,8 Ha.)</t>
        </is>
      </c>
      <c r="H561" s="169" t="n"/>
      <c r="I561" s="169" t="n"/>
      <c r="J561" s="169" t="inlineStr">
        <is>
          <t>LABORES OPERACIONALES</t>
        </is>
      </c>
      <c r="K561" s="169" t="inlineStr">
        <is>
          <t>OTROS SERVICIOS</t>
        </is>
      </c>
      <c r="L561" s="169" t="inlineStr">
        <is>
          <t>SERV.CONTRATISTA</t>
        </is>
      </c>
      <c r="M561" s="169" t="n"/>
      <c r="N561" s="169" t="inlineStr">
        <is>
          <t>.   .   -</t>
        </is>
      </c>
      <c r="O561" s="169" t="inlineStr">
        <is>
          <t>MARZO</t>
        </is>
      </c>
      <c r="P561" s="169" t="n">
        <v>13</v>
      </c>
      <c r="Q561" s="171" t="n">
        <v>265318</v>
      </c>
      <c r="R561" s="169" t="n"/>
      <c r="S561" s="171" t="n">
        <v>265318</v>
      </c>
      <c r="T561" s="169" t="inlineStr">
        <is>
          <t>CLP</t>
        </is>
      </c>
      <c r="U561" s="169" t="inlineStr">
        <is>
          <t>Carga LH 18-06-26</t>
        </is>
      </c>
      <c r="V561" s="169" t="inlineStr">
        <is>
          <t>2026-06-18</t>
        </is>
      </c>
    </row>
    <row r="562">
      <c r="A562" s="169" t="inlineStr">
        <is>
          <t>CR-0559</t>
        </is>
      </c>
      <c r="B562" s="169" t="inlineStr">
        <is>
          <t>2026/27</t>
        </is>
      </c>
      <c r="C562" s="231" t="n">
        <v>46112</v>
      </c>
      <c r="D562" s="169" t="inlineStr">
        <is>
          <t>271</t>
        </is>
      </c>
      <c r="E562" s="169" t="inlineStr">
        <is>
          <t>COMPRA</t>
        </is>
      </c>
      <c r="F562" s="169" t="inlineStr">
        <is>
          <t>Asmara</t>
        </is>
      </c>
      <c r="G562" s="169" t="inlineStr">
        <is>
          <t>MURCOTT - 2020 (4,9 Ha.)</t>
        </is>
      </c>
      <c r="H562" s="169" t="n"/>
      <c r="I562" s="169" t="n"/>
      <c r="J562" s="169" t="inlineStr">
        <is>
          <t>LABORES OPERACIONALES</t>
        </is>
      </c>
      <c r="K562" s="169" t="inlineStr">
        <is>
          <t>OTROS SERVICIOS</t>
        </is>
      </c>
      <c r="L562" s="169" t="inlineStr">
        <is>
          <t>SERV.CONTRATISTA</t>
        </is>
      </c>
      <c r="M562" s="169" t="n"/>
      <c r="N562" s="169" t="inlineStr">
        <is>
          <t>.   .   -</t>
        </is>
      </c>
      <c r="O562" s="169" t="inlineStr">
        <is>
          <t>MARZO</t>
        </is>
      </c>
      <c r="P562" s="169" t="n">
        <v>13</v>
      </c>
      <c r="Q562" s="171" t="n">
        <v>65078</v>
      </c>
      <c r="R562" s="169" t="n"/>
      <c r="S562" s="171" t="n">
        <v>65078</v>
      </c>
      <c r="T562" s="169" t="inlineStr">
        <is>
          <t>CLP</t>
        </is>
      </c>
      <c r="U562" s="169" t="inlineStr">
        <is>
          <t>Carga LH 18-06-26</t>
        </is>
      </c>
      <c r="V562" s="169" t="inlineStr">
        <is>
          <t>2026-06-18</t>
        </is>
      </c>
    </row>
    <row r="563">
      <c r="A563" s="169" t="inlineStr">
        <is>
          <t>CR-0560</t>
        </is>
      </c>
      <c r="B563" s="169" t="inlineStr">
        <is>
          <t>2026/27</t>
        </is>
      </c>
      <c r="C563" s="231" t="n">
        <v>46112</v>
      </c>
      <c r="D563" s="169" t="inlineStr">
        <is>
          <t>626</t>
        </is>
      </c>
      <c r="E563" s="169" t="inlineStr">
        <is>
          <t>COMPRA</t>
        </is>
      </c>
      <c r="F563" s="169" t="inlineStr">
        <is>
          <t>El Molle</t>
        </is>
      </c>
      <c r="G563" s="169" t="inlineStr">
        <is>
          <t>ARRUFATINA - 2017 (5,74 Ha.)</t>
        </is>
      </c>
      <c r="H563" s="169" t="n"/>
      <c r="I563" s="169" t="n"/>
      <c r="J563" s="169" t="inlineStr">
        <is>
          <t>LABORES OPERACIONALES</t>
        </is>
      </c>
      <c r="K563" s="169" t="inlineStr">
        <is>
          <t>OTROS SERVICIOS</t>
        </is>
      </c>
      <c r="L563" s="169" t="inlineStr">
        <is>
          <t>SERV.CONTRATISTA</t>
        </is>
      </c>
      <c r="M563" s="169" t="n"/>
      <c r="N563" s="169" t="inlineStr">
        <is>
          <t>.   .   -</t>
        </is>
      </c>
      <c r="O563" s="169" t="inlineStr">
        <is>
          <t>MARZO</t>
        </is>
      </c>
      <c r="P563" s="169" t="n">
        <v>13</v>
      </c>
      <c r="Q563" s="171" t="n">
        <v>340000</v>
      </c>
      <c r="R563" s="169" t="n"/>
      <c r="S563" s="171" t="n">
        <v>340000</v>
      </c>
      <c r="T563" s="169" t="inlineStr">
        <is>
          <t>CLP</t>
        </is>
      </c>
      <c r="U563" s="169" t="inlineStr">
        <is>
          <t>Carga LH 18-06-26</t>
        </is>
      </c>
      <c r="V563" s="169" t="inlineStr">
        <is>
          <t>2026-06-18</t>
        </is>
      </c>
    </row>
    <row r="564">
      <c r="A564" s="169" t="inlineStr">
        <is>
          <t>CR-0561</t>
        </is>
      </c>
      <c r="B564" s="169" t="inlineStr">
        <is>
          <t>2026/27</t>
        </is>
      </c>
      <c r="C564" s="231" t="n">
        <v>46112</v>
      </c>
      <c r="D564" s="169" t="inlineStr">
        <is>
          <t>626</t>
        </is>
      </c>
      <c r="E564" s="169" t="inlineStr">
        <is>
          <t>COMPRA</t>
        </is>
      </c>
      <c r="F564" s="169" t="inlineStr">
        <is>
          <t>Mega Catalina</t>
        </is>
      </c>
      <c r="G564" s="169" t="inlineStr">
        <is>
          <t>ORONULES - 2019 (2,5 Ha.)</t>
        </is>
      </c>
      <c r="H564" s="169" t="n"/>
      <c r="I564" s="169" t="n"/>
      <c r="J564" s="169" t="inlineStr">
        <is>
          <t>LABORES OPERACIONALES</t>
        </is>
      </c>
      <c r="K564" s="169" t="inlineStr">
        <is>
          <t>OTROS SERVICIOS</t>
        </is>
      </c>
      <c r="L564" s="169" t="inlineStr">
        <is>
          <t>SERV.CONTRATISTA</t>
        </is>
      </c>
      <c r="M564" s="169" t="n"/>
      <c r="N564" s="169" t="inlineStr">
        <is>
          <t>.   .   -</t>
        </is>
      </c>
      <c r="O564" s="169" t="inlineStr">
        <is>
          <t>MARZO</t>
        </is>
      </c>
      <c r="P564" s="169" t="n">
        <v>13</v>
      </c>
      <c r="Q564" s="171" t="n">
        <v>85000</v>
      </c>
      <c r="R564" s="169" t="n"/>
      <c r="S564" s="171" t="n">
        <v>85000</v>
      </c>
      <c r="T564" s="169" t="inlineStr">
        <is>
          <t>CLP</t>
        </is>
      </c>
      <c r="U564" s="169" t="inlineStr">
        <is>
          <t>Carga LH 18-06-26</t>
        </is>
      </c>
      <c r="V564" s="169" t="inlineStr">
        <is>
          <t>2026-06-18</t>
        </is>
      </c>
    </row>
    <row r="565">
      <c r="A565" s="169" t="inlineStr">
        <is>
          <t>CR-0562</t>
        </is>
      </c>
      <c r="B565" s="169" t="inlineStr">
        <is>
          <t>2026/27</t>
        </is>
      </c>
      <c r="C565" s="231" t="n">
        <v>46112</v>
      </c>
      <c r="D565" s="169" t="inlineStr">
        <is>
          <t>626</t>
        </is>
      </c>
      <c r="E565" s="169" t="inlineStr">
        <is>
          <t>COMPRA</t>
        </is>
      </c>
      <c r="F565" s="169" t="inlineStr">
        <is>
          <t>El Molle</t>
        </is>
      </c>
      <c r="G565" s="169" t="inlineStr">
        <is>
          <t>OROGRANDE - 2007 (8,11 Ha.)</t>
        </is>
      </c>
      <c r="H565" s="169" t="n"/>
      <c r="I565" s="169" t="n"/>
      <c r="J565" s="169" t="inlineStr">
        <is>
          <t>LABORES OPERACIONALES</t>
        </is>
      </c>
      <c r="K565" s="169" t="inlineStr">
        <is>
          <t>OTROS SERVICIOS</t>
        </is>
      </c>
      <c r="L565" s="169" t="inlineStr">
        <is>
          <t>SERV.CONTRATISTA</t>
        </is>
      </c>
      <c r="M565" s="169" t="n"/>
      <c r="N565" s="169" t="inlineStr">
        <is>
          <t>.   .   -</t>
        </is>
      </c>
      <c r="O565" s="169" t="inlineStr">
        <is>
          <t>MARZO</t>
        </is>
      </c>
      <c r="P565" s="169" t="n">
        <v>13</v>
      </c>
      <c r="Q565" s="171" t="n">
        <v>425000</v>
      </c>
      <c r="R565" s="169" t="n"/>
      <c r="S565" s="171" t="n">
        <v>425000</v>
      </c>
      <c r="T565" s="169" t="inlineStr">
        <is>
          <t>CLP</t>
        </is>
      </c>
      <c r="U565" s="169" t="inlineStr">
        <is>
          <t>Carga LH 18-06-26</t>
        </is>
      </c>
      <c r="V565" s="169" t="inlineStr">
        <is>
          <t>2026-06-18</t>
        </is>
      </c>
    </row>
    <row r="566">
      <c r="A566" s="169" t="inlineStr">
        <is>
          <t>CR-0563</t>
        </is>
      </c>
      <c r="B566" s="169" t="inlineStr">
        <is>
          <t>2026/27</t>
        </is>
      </c>
      <c r="C566" s="231" t="n">
        <v>46112</v>
      </c>
      <c r="D566" s="169" t="inlineStr">
        <is>
          <t>626</t>
        </is>
      </c>
      <c r="E566" s="169" t="inlineStr">
        <is>
          <t>COMPRA</t>
        </is>
      </c>
      <c r="F566" s="169" t="inlineStr">
        <is>
          <t>El Molle</t>
        </is>
      </c>
      <c r="G566" s="169" t="inlineStr">
        <is>
          <t>WONDERFUL - 2002 (2,80 Ha.)</t>
        </is>
      </c>
      <c r="H566" s="169" t="n"/>
      <c r="I566" s="169" t="n"/>
      <c r="J566" s="169" t="inlineStr">
        <is>
          <t>LABORES OPERACIONALES</t>
        </is>
      </c>
      <c r="K566" s="169" t="inlineStr">
        <is>
          <t>OTROS SERVICIOS</t>
        </is>
      </c>
      <c r="L566" s="169" t="inlineStr">
        <is>
          <t>SERV.CONTRATISTA</t>
        </is>
      </c>
      <c r="M566" s="169" t="n"/>
      <c r="N566" s="169" t="inlineStr">
        <is>
          <t>.   .   -</t>
        </is>
      </c>
      <c r="O566" s="169" t="inlineStr">
        <is>
          <t>MARZO</t>
        </is>
      </c>
      <c r="P566" s="169" t="n">
        <v>13</v>
      </c>
      <c r="Q566" s="171" t="n">
        <v>85000</v>
      </c>
      <c r="R566" s="169" t="n"/>
      <c r="S566" s="171" t="n">
        <v>85000</v>
      </c>
      <c r="T566" s="169" t="inlineStr">
        <is>
          <t>CLP</t>
        </is>
      </c>
      <c r="U566" s="169" t="inlineStr">
        <is>
          <t>Carga LH 18-06-26</t>
        </is>
      </c>
      <c r="V566" s="169" t="inlineStr">
        <is>
          <t>2026-06-18</t>
        </is>
      </c>
    </row>
    <row r="567">
      <c r="A567" s="169" t="inlineStr">
        <is>
          <t>CR-0564</t>
        </is>
      </c>
      <c r="B567" s="169" t="inlineStr">
        <is>
          <t>2026/27</t>
        </is>
      </c>
      <c r="C567" s="231" t="n">
        <v>46112</v>
      </c>
      <c r="D567" s="169" t="inlineStr">
        <is>
          <t>626</t>
        </is>
      </c>
      <c r="E567" s="169" t="inlineStr">
        <is>
          <t>COMPRA</t>
        </is>
      </c>
      <c r="F567" s="169" t="inlineStr">
        <is>
          <t>El Molle</t>
        </is>
      </c>
      <c r="G567" s="169" t="inlineStr">
        <is>
          <t>WONDERFUL - 2007 (2,44 Ha.)</t>
        </is>
      </c>
      <c r="H567" s="169" t="n"/>
      <c r="I567" s="169" t="n"/>
      <c r="J567" s="169" t="inlineStr">
        <is>
          <t>LABORES OPERACIONALES</t>
        </is>
      </c>
      <c r="K567" s="169" t="inlineStr">
        <is>
          <t>OTROS SERVICIOS</t>
        </is>
      </c>
      <c r="L567" s="169" t="inlineStr">
        <is>
          <t>SERV.CONTRATISTA</t>
        </is>
      </c>
      <c r="M567" s="169" t="n"/>
      <c r="N567" s="169" t="inlineStr">
        <is>
          <t>.   .   -</t>
        </is>
      </c>
      <c r="O567" s="169" t="inlineStr">
        <is>
          <t>MARZO</t>
        </is>
      </c>
      <c r="P567" s="169" t="n">
        <v>13</v>
      </c>
      <c r="Q567" s="171" t="n">
        <v>85000</v>
      </c>
      <c r="R567" s="169" t="n"/>
      <c r="S567" s="171" t="n">
        <v>85000</v>
      </c>
      <c r="T567" s="169" t="inlineStr">
        <is>
          <t>CLP</t>
        </is>
      </c>
      <c r="U567" s="169" t="inlineStr">
        <is>
          <t>Carga LH 18-06-26</t>
        </is>
      </c>
      <c r="V567" s="169" t="inlineStr">
        <is>
          <t>2026-06-18</t>
        </is>
      </c>
    </row>
    <row r="568">
      <c r="A568" s="169" t="inlineStr">
        <is>
          <t>CR-0565</t>
        </is>
      </c>
      <c r="B568" s="169" t="inlineStr">
        <is>
          <t>2026/27</t>
        </is>
      </c>
      <c r="C568" s="231" t="n">
        <v>46113</v>
      </c>
      <c r="D568" s="169" t="inlineStr">
        <is>
          <t>415</t>
        </is>
      </c>
      <c r="E568" s="169" t="inlineStr">
        <is>
          <t>COMPRA</t>
        </is>
      </c>
      <c r="F568" s="169" t="inlineStr">
        <is>
          <t>Mega Catalina</t>
        </is>
      </c>
      <c r="G568" s="169" t="inlineStr">
        <is>
          <t>EUREKA - 1999 (22,5 Ha.)</t>
        </is>
      </c>
      <c r="H568" s="169" t="n"/>
      <c r="I568" s="169" t="n"/>
      <c r="J568" s="169" t="inlineStr">
        <is>
          <t>LABORES OPERACIONALES</t>
        </is>
      </c>
      <c r="K568" s="169" t="inlineStr">
        <is>
          <t>OTROS SERVICIOS</t>
        </is>
      </c>
      <c r="L568" s="169" t="inlineStr">
        <is>
          <t>SERV.CONTRATISTA</t>
        </is>
      </c>
      <c r="M568" s="169" t="n"/>
      <c r="N568" s="169" t="inlineStr">
        <is>
          <t>.   .   -</t>
        </is>
      </c>
      <c r="O568" s="169" t="inlineStr">
        <is>
          <t>ABRIL</t>
        </is>
      </c>
      <c r="P568" s="169" t="n">
        <v>13</v>
      </c>
      <c r="Q568" s="171" t="n">
        <v>423200</v>
      </c>
      <c r="R568" s="169" t="n"/>
      <c r="S568" s="171" t="n">
        <v>423200</v>
      </c>
      <c r="T568" s="169" t="inlineStr">
        <is>
          <t>CLP</t>
        </is>
      </c>
      <c r="U568" s="169" t="inlineStr">
        <is>
          <t>Carga LH 18-06-26</t>
        </is>
      </c>
      <c r="V568" s="169" t="inlineStr">
        <is>
          <t>2026-06-18</t>
        </is>
      </c>
    </row>
    <row r="569">
      <c r="A569" s="169" t="inlineStr">
        <is>
          <t>CR-0566</t>
        </is>
      </c>
      <c r="B569" s="169" t="inlineStr">
        <is>
          <t>2026/27</t>
        </is>
      </c>
      <c r="C569" s="231" t="n">
        <v>46113</v>
      </c>
      <c r="D569" s="169" t="inlineStr">
        <is>
          <t>415</t>
        </is>
      </c>
      <c r="E569" s="169" t="inlineStr">
        <is>
          <t>COMPRA</t>
        </is>
      </c>
      <c r="F569" s="169" t="inlineStr">
        <is>
          <t>Mega Catalina</t>
        </is>
      </c>
      <c r="G569" s="169" t="inlineStr">
        <is>
          <t>EUREKA - 1999 (10,6 Ha.)</t>
        </is>
      </c>
      <c r="H569" s="169" t="n"/>
      <c r="I569" s="169" t="n"/>
      <c r="J569" s="169" t="inlineStr">
        <is>
          <t>LABORES OPERACIONALES</t>
        </is>
      </c>
      <c r="K569" s="169" t="inlineStr">
        <is>
          <t>OTROS SERVICIOS</t>
        </is>
      </c>
      <c r="L569" s="169" t="inlineStr">
        <is>
          <t>SERV.CONTRATISTA</t>
        </is>
      </c>
      <c r="M569" s="169" t="n"/>
      <c r="N569" s="169" t="inlineStr">
        <is>
          <t>.   .   -</t>
        </is>
      </c>
      <c r="O569" s="169" t="inlineStr">
        <is>
          <t>ABRIL</t>
        </is>
      </c>
      <c r="P569" s="169" t="n">
        <v>13</v>
      </c>
      <c r="Q569" s="171" t="n">
        <v>285200</v>
      </c>
      <c r="R569" s="169" t="n"/>
      <c r="S569" s="171" t="n">
        <v>285200</v>
      </c>
      <c r="T569" s="169" t="inlineStr">
        <is>
          <t>CLP</t>
        </is>
      </c>
      <c r="U569" s="169" t="inlineStr">
        <is>
          <t>Carga LH 18-06-26</t>
        </is>
      </c>
      <c r="V569" s="169" t="inlineStr">
        <is>
          <t>2026-06-18</t>
        </is>
      </c>
    </row>
    <row r="570">
      <c r="A570" s="169" t="inlineStr">
        <is>
          <t>CR-0567</t>
        </is>
      </c>
      <c r="B570" s="169" t="inlineStr">
        <is>
          <t>2026/27</t>
        </is>
      </c>
      <c r="C570" s="231" t="n">
        <v>46113</v>
      </c>
      <c r="D570" s="169" t="inlineStr">
        <is>
          <t>415</t>
        </is>
      </c>
      <c r="E570" s="169" t="inlineStr">
        <is>
          <t>COMPRA</t>
        </is>
      </c>
      <c r="F570" s="169" t="inlineStr">
        <is>
          <t>Mega Catalina</t>
        </is>
      </c>
      <c r="G570" s="169" t="inlineStr">
        <is>
          <t>EUREKA - 2016 (14,4 Ha.)</t>
        </is>
      </c>
      <c r="H570" s="169" t="n"/>
      <c r="I570" s="169" t="n"/>
      <c r="J570" s="169" t="inlineStr">
        <is>
          <t>LABORES OPERACIONALES</t>
        </is>
      </c>
      <c r="K570" s="169" t="inlineStr">
        <is>
          <t>OTROS SERVICIOS</t>
        </is>
      </c>
      <c r="L570" s="169" t="inlineStr">
        <is>
          <t>SERV.CONTRATISTA</t>
        </is>
      </c>
      <c r="M570" s="169" t="n"/>
      <c r="N570" s="169" t="inlineStr">
        <is>
          <t>.   .   -</t>
        </is>
      </c>
      <c r="O570" s="169" t="inlineStr">
        <is>
          <t>ABRIL</t>
        </is>
      </c>
      <c r="P570" s="169" t="n">
        <v>13</v>
      </c>
      <c r="Q570" s="171" t="n">
        <v>285200</v>
      </c>
      <c r="R570" s="169" t="n"/>
      <c r="S570" s="171" t="n">
        <v>285200</v>
      </c>
      <c r="T570" s="169" t="inlineStr">
        <is>
          <t>CLP</t>
        </is>
      </c>
      <c r="U570" s="169" t="inlineStr">
        <is>
          <t>Carga LH 18-06-26</t>
        </is>
      </c>
      <c r="V570" s="169" t="inlineStr">
        <is>
          <t>2026-06-18</t>
        </is>
      </c>
    </row>
    <row r="571">
      <c r="A571" s="169" t="inlineStr">
        <is>
          <t>CR-0568</t>
        </is>
      </c>
      <c r="B571" s="169" t="inlineStr">
        <is>
          <t>2026/27</t>
        </is>
      </c>
      <c r="C571" s="231" t="n">
        <v>46113</v>
      </c>
      <c r="D571" s="169" t="inlineStr">
        <is>
          <t>415</t>
        </is>
      </c>
      <c r="E571" s="169" t="inlineStr">
        <is>
          <t>COMPRA</t>
        </is>
      </c>
      <c r="F571" s="169" t="inlineStr">
        <is>
          <t>Mega Catalina</t>
        </is>
      </c>
      <c r="G571" s="169" t="inlineStr">
        <is>
          <t>FINO 49 - 1999 (7,7 Ha.)</t>
        </is>
      </c>
      <c r="H571" s="169" t="n"/>
      <c r="I571" s="169" t="n"/>
      <c r="J571" s="169" t="inlineStr">
        <is>
          <t>LABORES OPERACIONALES</t>
        </is>
      </c>
      <c r="K571" s="169" t="inlineStr">
        <is>
          <t>OTROS SERVICIOS</t>
        </is>
      </c>
      <c r="L571" s="169" t="inlineStr">
        <is>
          <t>SERV.CONTRATISTA</t>
        </is>
      </c>
      <c r="M571" s="169" t="n"/>
      <c r="N571" s="169" t="inlineStr">
        <is>
          <t>.   .   -</t>
        </is>
      </c>
      <c r="O571" s="169" t="inlineStr">
        <is>
          <t>ABRIL</t>
        </is>
      </c>
      <c r="P571" s="169" t="n">
        <v>13</v>
      </c>
      <c r="Q571" s="171" t="n">
        <v>211600</v>
      </c>
      <c r="R571" s="169" t="n"/>
      <c r="S571" s="171" t="n">
        <v>211600</v>
      </c>
      <c r="T571" s="169" t="inlineStr">
        <is>
          <t>CLP</t>
        </is>
      </c>
      <c r="U571" s="169" t="inlineStr">
        <is>
          <t>Carga LH 18-06-26</t>
        </is>
      </c>
      <c r="V571" s="169" t="inlineStr">
        <is>
          <t>2026-06-18</t>
        </is>
      </c>
    </row>
    <row r="572">
      <c r="A572" s="169" t="inlineStr">
        <is>
          <t>CR-0569</t>
        </is>
      </c>
      <c r="B572" s="169" t="inlineStr">
        <is>
          <t>2026/27</t>
        </is>
      </c>
      <c r="C572" s="231" t="n">
        <v>46113</v>
      </c>
      <c r="D572" s="169" t="inlineStr">
        <is>
          <t>415</t>
        </is>
      </c>
      <c r="E572" s="169" t="inlineStr">
        <is>
          <t>COMPRA</t>
        </is>
      </c>
      <c r="F572" s="169" t="inlineStr">
        <is>
          <t>Mega Catalina</t>
        </is>
      </c>
      <c r="G572" s="169" t="inlineStr">
        <is>
          <t>NO USAR NARANJAS CAMBRIA (4,2 Hta.)</t>
        </is>
      </c>
      <c r="H572" s="169" t="n"/>
      <c r="I572" s="169" t="n"/>
      <c r="J572" s="169" t="inlineStr">
        <is>
          <t>LABORES OPERACIONALES</t>
        </is>
      </c>
      <c r="K572" s="169" t="inlineStr">
        <is>
          <t>OTROS SERVICIOS</t>
        </is>
      </c>
      <c r="L572" s="169" t="inlineStr">
        <is>
          <t>SERV.CONTRATISTA</t>
        </is>
      </c>
      <c r="M572" s="169" t="n"/>
      <c r="N572" s="169" t="inlineStr">
        <is>
          <t>.   .   -</t>
        </is>
      </c>
      <c r="O572" s="169" t="inlineStr">
        <is>
          <t>ABRIL</t>
        </is>
      </c>
      <c r="P572" s="169" t="n">
        <v>13</v>
      </c>
      <c r="Q572" s="171" t="n">
        <v>73600</v>
      </c>
      <c r="R572" s="169" t="n"/>
      <c r="S572" s="171" t="n">
        <v>73600</v>
      </c>
      <c r="T572" s="169" t="inlineStr">
        <is>
          <t>CLP</t>
        </is>
      </c>
      <c r="U572" s="169" t="inlineStr">
        <is>
          <t>Carga LH 18-06-26</t>
        </is>
      </c>
      <c r="V572" s="169" t="inlineStr">
        <is>
          <t>2026-06-18</t>
        </is>
      </c>
    </row>
    <row r="573">
      <c r="A573" s="169" t="inlineStr">
        <is>
          <t>CR-0570</t>
        </is>
      </c>
      <c r="B573" s="169" t="inlineStr">
        <is>
          <t>2026/27</t>
        </is>
      </c>
      <c r="C573" s="231" t="n">
        <v>46113</v>
      </c>
      <c r="D573" s="169" t="inlineStr">
        <is>
          <t>415</t>
        </is>
      </c>
      <c r="E573" s="169" t="inlineStr">
        <is>
          <t>COMPRA</t>
        </is>
      </c>
      <c r="F573" s="169" t="inlineStr">
        <is>
          <t>Mega Catalina</t>
        </is>
      </c>
      <c r="G573" s="169" t="inlineStr">
        <is>
          <t>MURCOTT - 2007 (21 Ha.)</t>
        </is>
      </c>
      <c r="H573" s="169" t="n"/>
      <c r="I573" s="169" t="n"/>
      <c r="J573" s="169" t="inlineStr">
        <is>
          <t>LABORES OPERACIONALES</t>
        </is>
      </c>
      <c r="K573" s="169" t="inlineStr">
        <is>
          <t>OTROS SERVICIOS</t>
        </is>
      </c>
      <c r="L573" s="169" t="inlineStr">
        <is>
          <t>SERV.CONTRATISTA</t>
        </is>
      </c>
      <c r="M573" s="169" t="n"/>
      <c r="N573" s="169" t="inlineStr">
        <is>
          <t>.   .   -</t>
        </is>
      </c>
      <c r="O573" s="169" t="inlineStr">
        <is>
          <t>ABRIL</t>
        </is>
      </c>
      <c r="P573" s="169" t="n">
        <v>13</v>
      </c>
      <c r="Q573" s="171" t="n">
        <v>294400</v>
      </c>
      <c r="R573" s="169" t="n"/>
      <c r="S573" s="171" t="n">
        <v>294400</v>
      </c>
      <c r="T573" s="169" t="inlineStr">
        <is>
          <t>CLP</t>
        </is>
      </c>
      <c r="U573" s="169" t="inlineStr">
        <is>
          <t>Carga LH 18-06-26</t>
        </is>
      </c>
      <c r="V573" s="169" t="inlineStr">
        <is>
          <t>2026-06-18</t>
        </is>
      </c>
    </row>
    <row r="574">
      <c r="A574" s="169" t="inlineStr">
        <is>
          <t>CR-0571</t>
        </is>
      </c>
      <c r="B574" s="169" t="inlineStr">
        <is>
          <t>2026/27</t>
        </is>
      </c>
      <c r="C574" s="231" t="n">
        <v>46118</v>
      </c>
      <c r="D574" s="169" t="inlineStr">
        <is>
          <t>38</t>
        </is>
      </c>
      <c r="E574" s="169" t="inlineStr">
        <is>
          <t>COMPRA</t>
        </is>
      </c>
      <c r="F574" s="169" t="inlineStr">
        <is>
          <t>Sin asignar</t>
        </is>
      </c>
      <c r="G574" s="169" t="inlineStr">
        <is>
          <t>PACKING</t>
        </is>
      </c>
      <c r="H574" s="169" t="n"/>
      <c r="I574" s="169" t="n"/>
      <c r="J574" s="169" t="inlineStr">
        <is>
          <t>LABORES OPERACIONALES</t>
        </is>
      </c>
      <c r="K574" s="169" t="inlineStr">
        <is>
          <t>OTROS SERVICIOS</t>
        </is>
      </c>
      <c r="L574" s="169" t="inlineStr">
        <is>
          <t>SERV.CONTRATISTA</t>
        </is>
      </c>
      <c r="M574" s="169" t="n"/>
      <c r="N574" s="169" t="inlineStr">
        <is>
          <t>.   .   -</t>
        </is>
      </c>
      <c r="O574" s="169" t="inlineStr">
        <is>
          <t>ABRIL</t>
        </is>
      </c>
      <c r="P574" s="169" t="n">
        <v>13</v>
      </c>
      <c r="Q574" s="171" t="n">
        <v>950600</v>
      </c>
      <c r="R574" s="169" t="n"/>
      <c r="S574" s="171" t="n">
        <v>950600</v>
      </c>
      <c r="T574" s="169" t="inlineStr">
        <is>
          <t>CLP</t>
        </is>
      </c>
      <c r="U574" s="169" t="inlineStr">
        <is>
          <t>Carga LH 18-06-26</t>
        </is>
      </c>
      <c r="V574" s="169" t="inlineStr">
        <is>
          <t>2026-06-18</t>
        </is>
      </c>
    </row>
    <row r="575">
      <c r="A575" s="169" t="inlineStr">
        <is>
          <t>CR-0572</t>
        </is>
      </c>
      <c r="B575" s="169" t="inlineStr">
        <is>
          <t>2026/27</t>
        </is>
      </c>
      <c r="C575" s="231" t="n">
        <v>46118</v>
      </c>
      <c r="D575" s="169" t="inlineStr">
        <is>
          <t>38</t>
        </is>
      </c>
      <c r="E575" s="169" t="inlineStr">
        <is>
          <t>COMPRA</t>
        </is>
      </c>
      <c r="F575" s="169" t="inlineStr">
        <is>
          <t>Mega Catalina</t>
        </is>
      </c>
      <c r="G575" s="169" t="inlineStr">
        <is>
          <t>INJERTO TIMPSON - 2018 (3,8 Ha.)</t>
        </is>
      </c>
      <c r="H575" s="169" t="n"/>
      <c r="I575" s="169" t="n"/>
      <c r="J575" s="169" t="inlineStr">
        <is>
          <t>LABORES OPERACIONALES</t>
        </is>
      </c>
      <c r="K575" s="169" t="inlineStr">
        <is>
          <t>OTROS SERVICIOS</t>
        </is>
      </c>
      <c r="L575" s="169" t="inlineStr">
        <is>
          <t>SERV.CONTRATISTA</t>
        </is>
      </c>
      <c r="M575" s="169" t="n"/>
      <c r="N575" s="169" t="inlineStr">
        <is>
          <t>.   .   -</t>
        </is>
      </c>
      <c r="O575" s="169" t="inlineStr">
        <is>
          <t>ABRIL</t>
        </is>
      </c>
      <c r="P575" s="169" t="n">
        <v>13</v>
      </c>
      <c r="Q575" s="171" t="n">
        <v>489883</v>
      </c>
      <c r="R575" s="169" t="n"/>
      <c r="S575" s="171" t="n">
        <v>489883</v>
      </c>
      <c r="T575" s="169" t="inlineStr">
        <is>
          <t>CLP</t>
        </is>
      </c>
      <c r="U575" s="169" t="inlineStr">
        <is>
          <t>Carga LH 18-06-26</t>
        </is>
      </c>
      <c r="V575" s="169" t="inlineStr">
        <is>
          <t>2026-06-18</t>
        </is>
      </c>
    </row>
    <row r="576">
      <c r="A576" s="169" t="inlineStr">
        <is>
          <t>CR-0573</t>
        </is>
      </c>
      <c r="B576" s="169" t="inlineStr">
        <is>
          <t>2026/27</t>
        </is>
      </c>
      <c r="C576" s="231" t="n">
        <v>46118</v>
      </c>
      <c r="D576" s="169" t="inlineStr">
        <is>
          <t>38</t>
        </is>
      </c>
      <c r="E576" s="169" t="inlineStr">
        <is>
          <t>COMPRA</t>
        </is>
      </c>
      <c r="F576" s="169" t="inlineStr">
        <is>
          <t>Mega Catalina</t>
        </is>
      </c>
      <c r="G576" s="169" t="inlineStr">
        <is>
          <t>INJERTO TIMPSON - 2019 (4,2 Ha.)</t>
        </is>
      </c>
      <c r="H576" s="169" t="n"/>
      <c r="I576" s="169" t="n"/>
      <c r="J576" s="169" t="inlineStr">
        <is>
          <t>LABORES OPERACIONALES</t>
        </is>
      </c>
      <c r="K576" s="169" t="inlineStr">
        <is>
          <t>OTROS SERVICIOS</t>
        </is>
      </c>
      <c r="L576" s="169" t="inlineStr">
        <is>
          <t>SERV.CONTRATISTA</t>
        </is>
      </c>
      <c r="M576" s="169" t="n"/>
      <c r="N576" s="169" t="inlineStr">
        <is>
          <t>.   .   -</t>
        </is>
      </c>
      <c r="O576" s="169" t="inlineStr">
        <is>
          <t>ABRIL</t>
        </is>
      </c>
      <c r="P576" s="169" t="n">
        <v>13</v>
      </c>
      <c r="Q576" s="171" t="n">
        <v>754120</v>
      </c>
      <c r="R576" s="169" t="n"/>
      <c r="S576" s="171" t="n">
        <v>754120</v>
      </c>
      <c r="T576" s="169" t="inlineStr">
        <is>
          <t>CLP</t>
        </is>
      </c>
      <c r="U576" s="169" t="inlineStr">
        <is>
          <t>Carga LH 18-06-26</t>
        </is>
      </c>
      <c r="V576" s="169" t="inlineStr">
        <is>
          <t>2026-06-18</t>
        </is>
      </c>
    </row>
    <row r="577">
      <c r="A577" s="169" t="inlineStr">
        <is>
          <t>CR-0574</t>
        </is>
      </c>
      <c r="B577" s="169" t="inlineStr">
        <is>
          <t>2026/27</t>
        </is>
      </c>
      <c r="C577" s="231" t="n">
        <v>46118</v>
      </c>
      <c r="D577" s="169" t="inlineStr">
        <is>
          <t>38</t>
        </is>
      </c>
      <c r="E577" s="169" t="inlineStr">
        <is>
          <t>COMPRA</t>
        </is>
      </c>
      <c r="F577" s="169" t="inlineStr">
        <is>
          <t>Mega Catalina</t>
        </is>
      </c>
      <c r="G577" s="169" t="inlineStr">
        <is>
          <t>SWEET CELEBRATION - 2015 (7,14 Ha.)</t>
        </is>
      </c>
      <c r="H577" s="169" t="n"/>
      <c r="I577" s="169" t="n"/>
      <c r="J577" s="169" t="inlineStr">
        <is>
          <t>LABORES OPERACIONALES</t>
        </is>
      </c>
      <c r="K577" s="169" t="inlineStr">
        <is>
          <t>OTROS SERVICIOS</t>
        </is>
      </c>
      <c r="L577" s="169" t="inlineStr">
        <is>
          <t>SERV.CONTRATISTA</t>
        </is>
      </c>
      <c r="M577" s="169" t="n"/>
      <c r="N577" s="169" t="inlineStr">
        <is>
          <t>.   .   -</t>
        </is>
      </c>
      <c r="O577" s="169" t="inlineStr">
        <is>
          <t>ABRIL</t>
        </is>
      </c>
      <c r="P577" s="169" t="n">
        <v>13</v>
      </c>
      <c r="Q577" s="171" t="n">
        <v>1402703</v>
      </c>
      <c r="R577" s="169" t="n"/>
      <c r="S577" s="171" t="n">
        <v>1402703</v>
      </c>
      <c r="T577" s="169" t="inlineStr">
        <is>
          <t>CLP</t>
        </is>
      </c>
      <c r="U577" s="169" t="inlineStr">
        <is>
          <t>Carga LH 18-06-26</t>
        </is>
      </c>
      <c r="V577" s="169" t="inlineStr">
        <is>
          <t>2026-06-18</t>
        </is>
      </c>
    </row>
    <row r="578">
      <c r="A578" s="169" t="inlineStr">
        <is>
          <t>CR-0575</t>
        </is>
      </c>
      <c r="B578" s="169" t="inlineStr">
        <is>
          <t>2026/27</t>
        </is>
      </c>
      <c r="C578" s="231" t="n">
        <v>46118</v>
      </c>
      <c r="D578" s="169" t="inlineStr">
        <is>
          <t>39</t>
        </is>
      </c>
      <c r="E578" s="169" t="inlineStr">
        <is>
          <t>COMPRA</t>
        </is>
      </c>
      <c r="F578" s="169" t="inlineStr">
        <is>
          <t>Mega Catalina</t>
        </is>
      </c>
      <c r="G578" s="169" t="inlineStr">
        <is>
          <t>EUREKA - 1999 (22,5 Ha.)</t>
        </is>
      </c>
      <c r="H578" s="169" t="n"/>
      <c r="I578" s="169" t="n"/>
      <c r="J578" s="169" t="inlineStr">
        <is>
          <t>LABORES OPERACIONALES</t>
        </is>
      </c>
      <c r="K578" s="169" t="inlineStr">
        <is>
          <t>OTROS SERVICIOS</t>
        </is>
      </c>
      <c r="L578" s="169" t="inlineStr">
        <is>
          <t>SERV.CONTRATISTA</t>
        </is>
      </c>
      <c r="M578" s="169" t="n"/>
      <c r="N578" s="169" t="inlineStr">
        <is>
          <t>.   .   -</t>
        </is>
      </c>
      <c r="O578" s="169" t="inlineStr">
        <is>
          <t>ABRIL</t>
        </is>
      </c>
      <c r="P578" s="169" t="n">
        <v>13</v>
      </c>
      <c r="Q578" s="171" t="n">
        <v>24000</v>
      </c>
      <c r="R578" s="169" t="n"/>
      <c r="S578" s="171" t="n">
        <v>24000</v>
      </c>
      <c r="T578" s="169" t="inlineStr">
        <is>
          <t>CLP</t>
        </is>
      </c>
      <c r="U578" s="169" t="inlineStr">
        <is>
          <t>Carga LH 18-06-26</t>
        </is>
      </c>
      <c r="V578" s="169" t="inlineStr">
        <is>
          <t>2026-06-18</t>
        </is>
      </c>
    </row>
    <row r="579">
      <c r="A579" s="169" t="inlineStr">
        <is>
          <t>CR-0576</t>
        </is>
      </c>
      <c r="B579" s="169" t="inlineStr">
        <is>
          <t>2026/27</t>
        </is>
      </c>
      <c r="C579" s="231" t="n">
        <v>46118</v>
      </c>
      <c r="D579" s="169" t="inlineStr">
        <is>
          <t>39</t>
        </is>
      </c>
      <c r="E579" s="169" t="inlineStr">
        <is>
          <t>COMPRA</t>
        </is>
      </c>
      <c r="F579" s="169" t="inlineStr">
        <is>
          <t>Mega Catalina</t>
        </is>
      </c>
      <c r="G579" s="169" t="inlineStr">
        <is>
          <t>EUREKA - 1999 (10,6 Ha.)</t>
        </is>
      </c>
      <c r="H579" s="169" t="n"/>
      <c r="I579" s="169" t="n"/>
      <c r="J579" s="169" t="inlineStr">
        <is>
          <t>LABORES OPERACIONALES</t>
        </is>
      </c>
      <c r="K579" s="169" t="inlineStr">
        <is>
          <t>OTROS SERVICIOS</t>
        </is>
      </c>
      <c r="L579" s="169" t="inlineStr">
        <is>
          <t>SERV.CONTRATISTA</t>
        </is>
      </c>
      <c r="M579" s="169" t="n"/>
      <c r="N579" s="169" t="inlineStr">
        <is>
          <t>.   .   -</t>
        </is>
      </c>
      <c r="O579" s="169" t="inlineStr">
        <is>
          <t>ABRIL</t>
        </is>
      </c>
      <c r="P579" s="169" t="n">
        <v>13</v>
      </c>
      <c r="Q579" s="171" t="n">
        <v>12000</v>
      </c>
      <c r="R579" s="169" t="n"/>
      <c r="S579" s="171" t="n">
        <v>12000</v>
      </c>
      <c r="T579" s="169" t="inlineStr">
        <is>
          <t>CLP</t>
        </is>
      </c>
      <c r="U579" s="169" t="inlineStr">
        <is>
          <t>Carga LH 18-06-26</t>
        </is>
      </c>
      <c r="V579" s="169" t="inlineStr">
        <is>
          <t>2026-06-18</t>
        </is>
      </c>
    </row>
    <row r="580">
      <c r="A580" s="169" t="inlineStr">
        <is>
          <t>CR-0577</t>
        </is>
      </c>
      <c r="B580" s="169" t="inlineStr">
        <is>
          <t>2026/27</t>
        </is>
      </c>
      <c r="C580" s="231" t="n">
        <v>46118</v>
      </c>
      <c r="D580" s="169" t="inlineStr">
        <is>
          <t>39</t>
        </is>
      </c>
      <c r="E580" s="169" t="inlineStr">
        <is>
          <t>COMPRA</t>
        </is>
      </c>
      <c r="F580" s="169" t="inlineStr">
        <is>
          <t>Mega Catalina</t>
        </is>
      </c>
      <c r="G580" s="169" t="inlineStr">
        <is>
          <t>EUREKA - 2016 (14,4 Ha.)</t>
        </is>
      </c>
      <c r="H580" s="169" t="n"/>
      <c r="I580" s="169" t="n"/>
      <c r="J580" s="169" t="inlineStr">
        <is>
          <t>LABORES OPERACIONALES</t>
        </is>
      </c>
      <c r="K580" s="169" t="inlineStr">
        <is>
          <t>OTROS SERVICIOS</t>
        </is>
      </c>
      <c r="L580" s="169" t="inlineStr">
        <is>
          <t>SERV.CONTRATISTA</t>
        </is>
      </c>
      <c r="M580" s="169" t="n"/>
      <c r="N580" s="169" t="inlineStr">
        <is>
          <t>.   .   -</t>
        </is>
      </c>
      <c r="O580" s="169" t="inlineStr">
        <is>
          <t>ABRIL</t>
        </is>
      </c>
      <c r="P580" s="169" t="n">
        <v>13</v>
      </c>
      <c r="Q580" s="171" t="n">
        <v>12000</v>
      </c>
      <c r="R580" s="169" t="n"/>
      <c r="S580" s="171" t="n">
        <v>12000</v>
      </c>
      <c r="T580" s="169" t="inlineStr">
        <is>
          <t>CLP</t>
        </is>
      </c>
      <c r="U580" s="169" t="inlineStr">
        <is>
          <t>Carga LH 18-06-26</t>
        </is>
      </c>
      <c r="V580" s="169" t="inlineStr">
        <is>
          <t>2026-06-18</t>
        </is>
      </c>
    </row>
    <row r="581">
      <c r="A581" s="169" t="inlineStr">
        <is>
          <t>CR-0578</t>
        </is>
      </c>
      <c r="B581" s="169" t="inlineStr">
        <is>
          <t>2026/27</t>
        </is>
      </c>
      <c r="C581" s="231" t="n">
        <v>46118</v>
      </c>
      <c r="D581" s="169" t="inlineStr">
        <is>
          <t>39</t>
        </is>
      </c>
      <c r="E581" s="169" t="inlineStr">
        <is>
          <t>COMPRA</t>
        </is>
      </c>
      <c r="F581" s="169" t="inlineStr">
        <is>
          <t>Mega Catalina</t>
        </is>
      </c>
      <c r="G581" s="169" t="inlineStr">
        <is>
          <t>FINO 49 - 1999 (7,7 Ha.)</t>
        </is>
      </c>
      <c r="H581" s="169" t="n"/>
      <c r="I581" s="169" t="n"/>
      <c r="J581" s="169" t="inlineStr">
        <is>
          <t>LABORES OPERACIONALES</t>
        </is>
      </c>
      <c r="K581" s="169" t="inlineStr">
        <is>
          <t>OTROS SERVICIOS</t>
        </is>
      </c>
      <c r="L581" s="169" t="inlineStr">
        <is>
          <t>SERV.CONTRATISTA</t>
        </is>
      </c>
      <c r="M581" s="169" t="n"/>
      <c r="N581" s="169" t="inlineStr">
        <is>
          <t>.   .   -</t>
        </is>
      </c>
      <c r="O581" s="169" t="inlineStr">
        <is>
          <t>ABRIL</t>
        </is>
      </c>
      <c r="P581" s="169" t="n">
        <v>13</v>
      </c>
      <c r="Q581" s="171" t="n">
        <v>12000</v>
      </c>
      <c r="R581" s="169" t="n"/>
      <c r="S581" s="171" t="n">
        <v>12000</v>
      </c>
      <c r="T581" s="169" t="inlineStr">
        <is>
          <t>CLP</t>
        </is>
      </c>
      <c r="U581" s="169" t="inlineStr">
        <is>
          <t>Carga LH 18-06-26</t>
        </is>
      </c>
      <c r="V581" s="169" t="inlineStr">
        <is>
          <t>2026-06-18</t>
        </is>
      </c>
    </row>
    <row r="582">
      <c r="A582" s="169" t="inlineStr">
        <is>
          <t>CR-0579</t>
        </is>
      </c>
      <c r="B582" s="169" t="inlineStr">
        <is>
          <t>2026/27</t>
        </is>
      </c>
      <c r="C582" s="231" t="n">
        <v>46118</v>
      </c>
      <c r="D582" s="169" t="inlineStr">
        <is>
          <t>39</t>
        </is>
      </c>
      <c r="E582" s="169" t="inlineStr">
        <is>
          <t>COMPRA</t>
        </is>
      </c>
      <c r="F582" s="169" t="inlineStr">
        <is>
          <t>Mega Catalina</t>
        </is>
      </c>
      <c r="G582" s="169" t="inlineStr">
        <is>
          <t>NO USAR NARANJAS CAMBRIA (4,2 Hta.)</t>
        </is>
      </c>
      <c r="H582" s="169" t="n"/>
      <c r="I582" s="169" t="n"/>
      <c r="J582" s="169" t="inlineStr">
        <is>
          <t>LABORES OPERACIONALES</t>
        </is>
      </c>
      <c r="K582" s="169" t="inlineStr">
        <is>
          <t>OTROS SERVICIOS</t>
        </is>
      </c>
      <c r="L582" s="169" t="inlineStr">
        <is>
          <t>SERV.CONTRATISTA</t>
        </is>
      </c>
      <c r="M582" s="169" t="n"/>
      <c r="N582" s="169" t="inlineStr">
        <is>
          <t>.   .   -</t>
        </is>
      </c>
      <c r="O582" s="169" t="inlineStr">
        <is>
          <t>ABRIL</t>
        </is>
      </c>
      <c r="P582" s="169" t="n">
        <v>13</v>
      </c>
      <c r="Q582" s="171" t="n">
        <v>12000</v>
      </c>
      <c r="R582" s="169" t="n"/>
      <c r="S582" s="171" t="n">
        <v>12000</v>
      </c>
      <c r="T582" s="169" t="inlineStr">
        <is>
          <t>CLP</t>
        </is>
      </c>
      <c r="U582" s="169" t="inlineStr">
        <is>
          <t>Carga LH 18-06-26</t>
        </is>
      </c>
      <c r="V582" s="169" t="inlineStr">
        <is>
          <t>2026-06-18</t>
        </is>
      </c>
    </row>
    <row r="583">
      <c r="A583" s="169" t="inlineStr">
        <is>
          <t>CR-0580</t>
        </is>
      </c>
      <c r="B583" s="169" t="inlineStr">
        <is>
          <t>2026/27</t>
        </is>
      </c>
      <c r="C583" s="231" t="n">
        <v>46118</v>
      </c>
      <c r="D583" s="169" t="inlineStr">
        <is>
          <t>39</t>
        </is>
      </c>
      <c r="E583" s="169" t="inlineStr">
        <is>
          <t>COMPRA</t>
        </is>
      </c>
      <c r="F583" s="169" t="inlineStr">
        <is>
          <t>Mega Catalina</t>
        </is>
      </c>
      <c r="G583" s="169" t="inlineStr">
        <is>
          <t>MURCOTT - 2007 (21 Ha.)</t>
        </is>
      </c>
      <c r="H583" s="169" t="n"/>
      <c r="I583" s="169" t="n"/>
      <c r="J583" s="169" t="inlineStr">
        <is>
          <t>LABORES OPERACIONALES</t>
        </is>
      </c>
      <c r="K583" s="169" t="inlineStr">
        <is>
          <t>OTROS SERVICIOS</t>
        </is>
      </c>
      <c r="L583" s="169" t="inlineStr">
        <is>
          <t>SERV.CONTRATISTA</t>
        </is>
      </c>
      <c r="M583" s="169" t="n"/>
      <c r="N583" s="169" t="inlineStr">
        <is>
          <t>.   .   -</t>
        </is>
      </c>
      <c r="O583" s="169" t="inlineStr">
        <is>
          <t>ABRIL</t>
        </is>
      </c>
      <c r="P583" s="169" t="n">
        <v>13</v>
      </c>
      <c r="Q583" s="171" t="n">
        <v>24000</v>
      </c>
      <c r="R583" s="169" t="n"/>
      <c r="S583" s="171" t="n">
        <v>24000</v>
      </c>
      <c r="T583" s="169" t="inlineStr">
        <is>
          <t>CLP</t>
        </is>
      </c>
      <c r="U583" s="169" t="inlineStr">
        <is>
          <t>Carga LH 18-06-26</t>
        </is>
      </c>
      <c r="V583" s="169" t="inlineStr">
        <is>
          <t>2026-06-18</t>
        </is>
      </c>
    </row>
    <row r="584">
      <c r="A584" s="169" t="inlineStr">
        <is>
          <t>CR-0581</t>
        </is>
      </c>
      <c r="B584" s="169" t="inlineStr">
        <is>
          <t>2026/27</t>
        </is>
      </c>
      <c r="C584" s="231" t="n">
        <v>46119</v>
      </c>
      <c r="D584" s="169" t="inlineStr"/>
      <c r="E584" s="169" t="inlineStr">
        <is>
          <t>COMPRA</t>
        </is>
      </c>
      <c r="F584" s="169" t="inlineStr">
        <is>
          <t>Mega Catalina</t>
        </is>
      </c>
      <c r="G584" s="169" t="inlineStr">
        <is>
          <t>EUREKA - 2016 (14,4 Ha.)</t>
        </is>
      </c>
      <c r="H584" s="169" t="n"/>
      <c r="I584" s="169" t="n"/>
      <c r="J584" s="169" t="inlineStr">
        <is>
          <t>ENERGIA Y AGUA</t>
        </is>
      </c>
      <c r="K584" s="169" t="inlineStr">
        <is>
          <t>SUMIN. ELECTRICO</t>
        </is>
      </c>
      <c r="L584" s="169" t="inlineStr">
        <is>
          <t>CONSUMO ELECTRICO</t>
        </is>
      </c>
      <c r="M584" s="169" t="n"/>
      <c r="N584" s="169" t="inlineStr">
        <is>
          <t>.   .   -</t>
        </is>
      </c>
      <c r="O584" s="169" t="inlineStr">
        <is>
          <t>ABRIL</t>
        </is>
      </c>
      <c r="P584" s="169" t="n">
        <v>13</v>
      </c>
      <c r="Q584" s="171" t="n">
        <v>657928</v>
      </c>
      <c r="R584" s="169" t="n"/>
      <c r="S584" s="171" t="n">
        <v>657928</v>
      </c>
      <c r="T584" s="169" t="inlineStr">
        <is>
          <t>CLP</t>
        </is>
      </c>
      <c r="U584" s="169" t="inlineStr">
        <is>
          <t>Carga LH 18-06-26</t>
        </is>
      </c>
      <c r="V584" s="169" t="inlineStr">
        <is>
          <t>2026-06-18</t>
        </is>
      </c>
    </row>
    <row r="585">
      <c r="A585" s="169" t="inlineStr">
        <is>
          <t>CR-0582</t>
        </is>
      </c>
      <c r="B585" s="169" t="inlineStr">
        <is>
          <t>2026/27</t>
        </is>
      </c>
      <c r="C585" s="231" t="n">
        <v>46119</v>
      </c>
      <c r="D585" s="169" t="inlineStr"/>
      <c r="E585" s="169" t="inlineStr">
        <is>
          <t>COMPRA</t>
        </is>
      </c>
      <c r="F585" s="169" t="inlineStr">
        <is>
          <t>Mega Catalina</t>
        </is>
      </c>
      <c r="G585" s="169" t="inlineStr">
        <is>
          <t>EUREKA - 1999 (10,6 Ha.)</t>
        </is>
      </c>
      <c r="H585" s="169" t="n"/>
      <c r="I585" s="169" t="n"/>
      <c r="J585" s="169" t="inlineStr">
        <is>
          <t>ENERGIA Y AGUA</t>
        </is>
      </c>
      <c r="K585" s="169" t="inlineStr">
        <is>
          <t>SUMIN. ELECTRICO</t>
        </is>
      </c>
      <c r="L585" s="169" t="inlineStr">
        <is>
          <t>CONSUMO ELECTRICO</t>
        </is>
      </c>
      <c r="M585" s="169" t="n"/>
      <c r="N585" s="169" t="inlineStr">
        <is>
          <t>.   .   -</t>
        </is>
      </c>
      <c r="O585" s="169" t="inlineStr">
        <is>
          <t>ABRIL</t>
        </is>
      </c>
      <c r="P585" s="169" t="n">
        <v>13</v>
      </c>
      <c r="Q585" s="171" t="n">
        <v>19262</v>
      </c>
      <c r="R585" s="169" t="n"/>
      <c r="S585" s="171" t="n">
        <v>19262</v>
      </c>
      <c r="T585" s="169" t="inlineStr">
        <is>
          <t>CLP</t>
        </is>
      </c>
      <c r="U585" s="169" t="inlineStr">
        <is>
          <t>Carga LH 18-06-26</t>
        </is>
      </c>
      <c r="V585" s="169" t="inlineStr">
        <is>
          <t>2026-06-18</t>
        </is>
      </c>
    </row>
    <row r="586">
      <c r="A586" s="169" t="inlineStr">
        <is>
          <t>CR-0583</t>
        </is>
      </c>
      <c r="B586" s="169" t="inlineStr">
        <is>
          <t>2026/27</t>
        </is>
      </c>
      <c r="C586" s="231" t="n">
        <v>46119</v>
      </c>
      <c r="D586" s="169" t="inlineStr"/>
      <c r="E586" s="169" t="inlineStr">
        <is>
          <t>COMPRA</t>
        </is>
      </c>
      <c r="F586" s="169" t="inlineStr">
        <is>
          <t>Mega Catalina</t>
        </is>
      </c>
      <c r="G586" s="169" t="inlineStr">
        <is>
          <t>EUREKA - 1999 (22,5 Ha.)</t>
        </is>
      </c>
      <c r="H586" s="169" t="n"/>
      <c r="I586" s="169" t="n"/>
      <c r="J586" s="169" t="inlineStr">
        <is>
          <t>ENERGIA Y AGUA</t>
        </is>
      </c>
      <c r="K586" s="169" t="inlineStr">
        <is>
          <t>SUMIN. ELECTRICO</t>
        </is>
      </c>
      <c r="L586" s="169" t="inlineStr">
        <is>
          <t>CONSUMO ELECTRICO</t>
        </is>
      </c>
      <c r="M586" s="169" t="n"/>
      <c r="N586" s="169" t="inlineStr">
        <is>
          <t>.   .   -</t>
        </is>
      </c>
      <c r="O586" s="169" t="inlineStr">
        <is>
          <t>ABRIL</t>
        </is>
      </c>
      <c r="P586" s="169" t="n">
        <v>13</v>
      </c>
      <c r="Q586" s="171" t="n">
        <v>873</v>
      </c>
      <c r="R586" s="169" t="n"/>
      <c r="S586" s="171" t="n">
        <v>873</v>
      </c>
      <c r="T586" s="169" t="inlineStr">
        <is>
          <t>CLP</t>
        </is>
      </c>
      <c r="U586" s="169" t="inlineStr">
        <is>
          <t>Carga LH 18-06-26</t>
        </is>
      </c>
      <c r="V586" s="169" t="inlineStr">
        <is>
          <t>2026-06-18</t>
        </is>
      </c>
    </row>
    <row r="587">
      <c r="A587" s="169" t="inlineStr">
        <is>
          <t>CR-0584</t>
        </is>
      </c>
      <c r="B587" s="169" t="inlineStr">
        <is>
          <t>2026/27</t>
        </is>
      </c>
      <c r="C587" s="231" t="n">
        <v>46119</v>
      </c>
      <c r="D587" s="169" t="inlineStr"/>
      <c r="E587" s="169" t="inlineStr">
        <is>
          <t>COMPRA</t>
        </is>
      </c>
      <c r="F587" s="169" t="inlineStr">
        <is>
          <t>Mega Catalina</t>
        </is>
      </c>
      <c r="G587" s="169" t="inlineStr">
        <is>
          <t>EUREKA - 1999 (22,5 Ha.)</t>
        </is>
      </c>
      <c r="H587" s="169" t="n"/>
      <c r="I587" s="169" t="n"/>
      <c r="J587" s="169" t="inlineStr">
        <is>
          <t>ENERGIA Y AGUA</t>
        </is>
      </c>
      <c r="K587" s="169" t="inlineStr">
        <is>
          <t>SUMIN. ELECTRICO</t>
        </is>
      </c>
      <c r="L587" s="169" t="inlineStr">
        <is>
          <t>CONSUMO ELECTRICO</t>
        </is>
      </c>
      <c r="M587" s="169" t="n"/>
      <c r="N587" s="169" t="inlineStr">
        <is>
          <t>.   .   -</t>
        </is>
      </c>
      <c r="O587" s="169" t="inlineStr">
        <is>
          <t>ABRIL</t>
        </is>
      </c>
      <c r="P587" s="169" t="n">
        <v>13</v>
      </c>
      <c r="Q587" s="171" t="n">
        <v>35312</v>
      </c>
      <c r="R587" s="169" t="n"/>
      <c r="S587" s="171" t="n">
        <v>35312</v>
      </c>
      <c r="T587" s="169" t="inlineStr">
        <is>
          <t>CLP</t>
        </is>
      </c>
      <c r="U587" s="169" t="inlineStr">
        <is>
          <t>Carga LH 18-06-26</t>
        </is>
      </c>
      <c r="V587" s="169" t="inlineStr">
        <is>
          <t>2026-06-18</t>
        </is>
      </c>
    </row>
    <row r="588">
      <c r="A588" s="169" t="inlineStr">
        <is>
          <t>CR-0585</t>
        </is>
      </c>
      <c r="B588" s="169" t="inlineStr">
        <is>
          <t>2026/27</t>
        </is>
      </c>
      <c r="C588" s="231" t="n">
        <v>46119</v>
      </c>
      <c r="D588" s="169" t="inlineStr"/>
      <c r="E588" s="169" t="inlineStr">
        <is>
          <t>COMPRA</t>
        </is>
      </c>
      <c r="F588" s="169" t="inlineStr">
        <is>
          <t>Mega Catalina</t>
        </is>
      </c>
      <c r="G588" s="169" t="inlineStr">
        <is>
          <t>EUREKA - 1999 (22,5 Ha.)</t>
        </is>
      </c>
      <c r="H588" s="169" t="n"/>
      <c r="I588" s="169" t="n"/>
      <c r="J588" s="169" t="inlineStr">
        <is>
          <t>ENERGIA Y AGUA</t>
        </is>
      </c>
      <c r="K588" s="169" t="inlineStr">
        <is>
          <t>SUMIN. ELECTRICO</t>
        </is>
      </c>
      <c r="L588" s="169" t="inlineStr">
        <is>
          <t>CONSUMO ELECTRICO</t>
        </is>
      </c>
      <c r="M588" s="169" t="n"/>
      <c r="N588" s="169" t="inlineStr">
        <is>
          <t>.   .   -</t>
        </is>
      </c>
      <c r="O588" s="169" t="inlineStr">
        <is>
          <t>ABRIL</t>
        </is>
      </c>
      <c r="P588" s="169" t="n">
        <v>13</v>
      </c>
      <c r="Q588" s="171" t="n">
        <v>366650</v>
      </c>
      <c r="R588" s="169" t="n"/>
      <c r="S588" s="171" t="n">
        <v>366650</v>
      </c>
      <c r="T588" s="169" t="inlineStr">
        <is>
          <t>CLP</t>
        </is>
      </c>
      <c r="U588" s="169" t="inlineStr">
        <is>
          <t>Carga LH 18-06-26</t>
        </is>
      </c>
      <c r="V588" s="169" t="inlineStr">
        <is>
          <t>2026-06-18</t>
        </is>
      </c>
    </row>
    <row r="589">
      <c r="A589" s="169" t="inlineStr">
        <is>
          <t>CR-0586</t>
        </is>
      </c>
      <c r="B589" s="169" t="inlineStr">
        <is>
          <t>2026/27</t>
        </is>
      </c>
      <c r="C589" s="231" t="n">
        <v>46119</v>
      </c>
      <c r="D589" s="169" t="inlineStr"/>
      <c r="E589" s="169" t="inlineStr">
        <is>
          <t>COMPRA</t>
        </is>
      </c>
      <c r="F589" s="169" t="inlineStr">
        <is>
          <t>Mega Catalina</t>
        </is>
      </c>
      <c r="G589" s="169" t="inlineStr">
        <is>
          <t>EUREKA - 1999 (22,5 Ha.)</t>
        </is>
      </c>
      <c r="H589" s="169" t="n"/>
      <c r="I589" s="169" t="n"/>
      <c r="J589" s="169" t="inlineStr">
        <is>
          <t>ENERGIA Y AGUA</t>
        </is>
      </c>
      <c r="K589" s="169" t="inlineStr">
        <is>
          <t>SUMIN. ELECTRICO</t>
        </is>
      </c>
      <c r="L589" s="169" t="inlineStr">
        <is>
          <t>CONSUMO ELECTRICO</t>
        </is>
      </c>
      <c r="M589" s="169" t="n"/>
      <c r="N589" s="169" t="inlineStr">
        <is>
          <t>.   .   -</t>
        </is>
      </c>
      <c r="O589" s="169" t="inlineStr">
        <is>
          <t>ABRIL</t>
        </is>
      </c>
      <c r="P589" s="169" t="n">
        <v>13</v>
      </c>
      <c r="Q589" s="171" t="n">
        <v>519713</v>
      </c>
      <c r="R589" s="169" t="n"/>
      <c r="S589" s="171" t="n">
        <v>519713</v>
      </c>
      <c r="T589" s="169" t="inlineStr">
        <is>
          <t>CLP</t>
        </is>
      </c>
      <c r="U589" s="169" t="inlineStr">
        <is>
          <t>Carga LH 18-06-26</t>
        </is>
      </c>
      <c r="V589" s="169" t="inlineStr">
        <is>
          <t>2026-06-18</t>
        </is>
      </c>
    </row>
    <row r="590">
      <c r="A590" s="169" t="inlineStr">
        <is>
          <t>CR-0587</t>
        </is>
      </c>
      <c r="B590" s="169" t="inlineStr">
        <is>
          <t>2026/27</t>
        </is>
      </c>
      <c r="C590" s="231" t="n">
        <v>46119</v>
      </c>
      <c r="D590" s="169" t="inlineStr"/>
      <c r="E590" s="169" t="inlineStr">
        <is>
          <t>COMPRA</t>
        </is>
      </c>
      <c r="F590" s="169" t="inlineStr">
        <is>
          <t>Mega Catalina</t>
        </is>
      </c>
      <c r="G590" s="169" t="inlineStr">
        <is>
          <t>EUREKA - 1999 (10,6 Ha.)</t>
        </is>
      </c>
      <c r="H590" s="169" t="n"/>
      <c r="I590" s="169" t="n"/>
      <c r="J590" s="169" t="inlineStr">
        <is>
          <t>ENERGIA Y AGUA</t>
        </is>
      </c>
      <c r="K590" s="169" t="inlineStr">
        <is>
          <t>SUMIN. ELECTRICO</t>
        </is>
      </c>
      <c r="L590" s="169" t="inlineStr">
        <is>
          <t>CONSUMO ELECTRICO</t>
        </is>
      </c>
      <c r="M590" s="169" t="n"/>
      <c r="N590" s="169" t="inlineStr">
        <is>
          <t>.   .   -</t>
        </is>
      </c>
      <c r="O590" s="169" t="inlineStr">
        <is>
          <t>ABRIL</t>
        </is>
      </c>
      <c r="P590" s="169" t="n">
        <v>13</v>
      </c>
      <c r="Q590" s="171" t="n">
        <v>341856</v>
      </c>
      <c r="R590" s="169" t="n"/>
      <c r="S590" s="171" t="n">
        <v>341856</v>
      </c>
      <c r="T590" s="169" t="inlineStr">
        <is>
          <t>CLP</t>
        </is>
      </c>
      <c r="U590" s="169" t="inlineStr">
        <is>
          <t>Carga LH 18-06-26</t>
        </is>
      </c>
      <c r="V590" s="169" t="inlineStr">
        <is>
          <t>2026-06-18</t>
        </is>
      </c>
    </row>
    <row r="591">
      <c r="A591" s="169" t="inlineStr">
        <is>
          <t>CR-0588</t>
        </is>
      </c>
      <c r="B591" s="169" t="inlineStr">
        <is>
          <t>2026/27</t>
        </is>
      </c>
      <c r="C591" s="231" t="n">
        <v>46119</v>
      </c>
      <c r="D591" s="169" t="inlineStr"/>
      <c r="E591" s="169" t="inlineStr">
        <is>
          <t>COMPRA</t>
        </is>
      </c>
      <c r="F591" s="169" t="inlineStr">
        <is>
          <t>Mega Catalina</t>
        </is>
      </c>
      <c r="G591" s="169" t="inlineStr">
        <is>
          <t>EUREKA - 2016 (14,4 Ha.)</t>
        </is>
      </c>
      <c r="H591" s="169" t="n"/>
      <c r="I591" s="169" t="n"/>
      <c r="J591" s="169" t="inlineStr">
        <is>
          <t>ENERGIA Y AGUA</t>
        </is>
      </c>
      <c r="K591" s="169" t="inlineStr">
        <is>
          <t>SUMIN. ELECTRICO</t>
        </is>
      </c>
      <c r="L591" s="169" t="inlineStr">
        <is>
          <t>CONSUMO ELECTRICO</t>
        </is>
      </c>
      <c r="M591" s="169" t="n"/>
      <c r="N591" s="169" t="inlineStr">
        <is>
          <t>.   .   -</t>
        </is>
      </c>
      <c r="O591" s="169" t="inlineStr">
        <is>
          <t>ABRIL</t>
        </is>
      </c>
      <c r="P591" s="169" t="n">
        <v>13</v>
      </c>
      <c r="Q591" s="171" t="n">
        <v>332616</v>
      </c>
      <c r="R591" s="169" t="n"/>
      <c r="S591" s="171" t="n">
        <v>332616</v>
      </c>
      <c r="T591" s="169" t="inlineStr">
        <is>
          <t>CLP</t>
        </is>
      </c>
      <c r="U591" s="169" t="inlineStr">
        <is>
          <t>Carga LH 18-06-26</t>
        </is>
      </c>
      <c r="V591" s="169" t="inlineStr">
        <is>
          <t>2026-06-18</t>
        </is>
      </c>
    </row>
    <row r="592">
      <c r="A592" s="169" t="inlineStr">
        <is>
          <t>CR-0589</t>
        </is>
      </c>
      <c r="B592" s="169" t="inlineStr">
        <is>
          <t>2026/27</t>
        </is>
      </c>
      <c r="C592" s="231" t="n">
        <v>46119</v>
      </c>
      <c r="D592" s="169" t="inlineStr"/>
      <c r="E592" s="169" t="inlineStr">
        <is>
          <t>COMPRA</t>
        </is>
      </c>
      <c r="F592" s="169" t="inlineStr">
        <is>
          <t>Mega Catalina</t>
        </is>
      </c>
      <c r="G592" s="169" t="inlineStr">
        <is>
          <t>FINO 49 - 1999 (7,7 Ha.)</t>
        </is>
      </c>
      <c r="H592" s="169" t="n"/>
      <c r="I592" s="169" t="n"/>
      <c r="J592" s="169" t="inlineStr">
        <is>
          <t>ENERGIA Y AGUA</t>
        </is>
      </c>
      <c r="K592" s="169" t="inlineStr">
        <is>
          <t>SUMIN. ELECTRICO</t>
        </is>
      </c>
      <c r="L592" s="169" t="inlineStr">
        <is>
          <t>CONSUMO ELECTRICO</t>
        </is>
      </c>
      <c r="M592" s="169" t="n"/>
      <c r="N592" s="169" t="inlineStr">
        <is>
          <t>.   .   -</t>
        </is>
      </c>
      <c r="O592" s="169" t="inlineStr">
        <is>
          <t>ABRIL</t>
        </is>
      </c>
      <c r="P592" s="169" t="n">
        <v>13</v>
      </c>
      <c r="Q592" s="171" t="n">
        <v>265631</v>
      </c>
      <c r="R592" s="169" t="n"/>
      <c r="S592" s="171" t="n">
        <v>265631</v>
      </c>
      <c r="T592" s="169" t="inlineStr">
        <is>
          <t>CLP</t>
        </is>
      </c>
      <c r="U592" s="169" t="inlineStr">
        <is>
          <t>Carga LH 18-06-26</t>
        </is>
      </c>
      <c r="V592" s="169" t="inlineStr">
        <is>
          <t>2026-06-18</t>
        </is>
      </c>
    </row>
    <row r="593">
      <c r="A593" s="169" t="inlineStr">
        <is>
          <t>CR-0590</t>
        </is>
      </c>
      <c r="B593" s="169" t="inlineStr">
        <is>
          <t>2026/27</t>
        </is>
      </c>
      <c r="C593" s="231" t="n">
        <v>46119</v>
      </c>
      <c r="D593" s="169" t="inlineStr"/>
      <c r="E593" s="169" t="inlineStr">
        <is>
          <t>COMPRA</t>
        </is>
      </c>
      <c r="F593" s="169" t="inlineStr">
        <is>
          <t>Mega Catalina</t>
        </is>
      </c>
      <c r="G593" s="169" t="inlineStr">
        <is>
          <t>NARANJA CAMBRIA - 2009 (4,2 Ha.)</t>
        </is>
      </c>
      <c r="H593" s="169" t="n"/>
      <c r="I593" s="169" t="n"/>
      <c r="J593" s="169" t="inlineStr">
        <is>
          <t>ENERGIA Y AGUA</t>
        </is>
      </c>
      <c r="K593" s="169" t="inlineStr">
        <is>
          <t>SUMIN. ELECTRICO</t>
        </is>
      </c>
      <c r="L593" s="169" t="inlineStr">
        <is>
          <t>CONSUMO ELECTRICO</t>
        </is>
      </c>
      <c r="M593" s="169" t="n"/>
      <c r="N593" s="169" t="inlineStr">
        <is>
          <t>.   .   -</t>
        </is>
      </c>
      <c r="O593" s="169" t="inlineStr">
        <is>
          <t>ABRIL</t>
        </is>
      </c>
      <c r="P593" s="169" t="n">
        <v>13</v>
      </c>
      <c r="Q593" s="171" t="n">
        <v>97013</v>
      </c>
      <c r="R593" s="169" t="n"/>
      <c r="S593" s="171" t="n">
        <v>97013</v>
      </c>
      <c r="T593" s="169" t="inlineStr">
        <is>
          <t>CLP</t>
        </is>
      </c>
      <c r="U593" s="169" t="inlineStr">
        <is>
          <t>Carga LH 18-06-26</t>
        </is>
      </c>
      <c r="V593" s="169" t="inlineStr">
        <is>
          <t>2026-06-18</t>
        </is>
      </c>
    </row>
    <row r="594">
      <c r="A594" s="169" t="inlineStr">
        <is>
          <t>CR-0591</t>
        </is>
      </c>
      <c r="B594" s="169" t="inlineStr">
        <is>
          <t>2026/27</t>
        </is>
      </c>
      <c r="C594" s="231" t="n">
        <v>46119</v>
      </c>
      <c r="D594" s="169" t="inlineStr"/>
      <c r="E594" s="169" t="inlineStr">
        <is>
          <t>COMPRA</t>
        </is>
      </c>
      <c r="F594" s="169" t="inlineStr">
        <is>
          <t>Mega Catalina</t>
        </is>
      </c>
      <c r="G594" s="169" t="inlineStr">
        <is>
          <t>MURCOTT - 2007 (21 Ha.)</t>
        </is>
      </c>
      <c r="H594" s="169" t="n"/>
      <c r="I594" s="169" t="n"/>
      <c r="J594" s="169" t="inlineStr">
        <is>
          <t>ENERGIA Y AGUA</t>
        </is>
      </c>
      <c r="K594" s="169" t="inlineStr">
        <is>
          <t>SUMIN. ELECTRICO</t>
        </is>
      </c>
      <c r="L594" s="169" t="inlineStr">
        <is>
          <t>CONSUMO ELECTRICO</t>
        </is>
      </c>
      <c r="M594" s="169" t="n"/>
      <c r="N594" s="169" t="inlineStr">
        <is>
          <t>.   .   -</t>
        </is>
      </c>
      <c r="O594" s="169" t="inlineStr">
        <is>
          <t>ABRIL</t>
        </is>
      </c>
      <c r="P594" s="169" t="n">
        <v>13</v>
      </c>
      <c r="Q594" s="171" t="n">
        <v>485065</v>
      </c>
      <c r="R594" s="169" t="n"/>
      <c r="S594" s="171" t="n">
        <v>485065</v>
      </c>
      <c r="T594" s="169" t="inlineStr">
        <is>
          <t>CLP</t>
        </is>
      </c>
      <c r="U594" s="169" t="inlineStr">
        <is>
          <t>Carga LH 18-06-26</t>
        </is>
      </c>
      <c r="V594" s="169" t="inlineStr">
        <is>
          <t>2026-06-18</t>
        </is>
      </c>
    </row>
    <row r="595">
      <c r="A595" s="169" t="inlineStr">
        <is>
          <t>CR-0592</t>
        </is>
      </c>
      <c r="B595" s="169" t="inlineStr">
        <is>
          <t>2026/27</t>
        </is>
      </c>
      <c r="C595" s="231" t="n">
        <v>46119</v>
      </c>
      <c r="D595" s="169" t="inlineStr"/>
      <c r="E595" s="169" t="inlineStr">
        <is>
          <t>COMPRA</t>
        </is>
      </c>
      <c r="F595" s="169" t="inlineStr">
        <is>
          <t>Mega Catalina</t>
        </is>
      </c>
      <c r="G595" s="169" t="inlineStr">
        <is>
          <t>EUREKA - 1999 (22,5 Ha.)</t>
        </is>
      </c>
      <c r="H595" s="169" t="n"/>
      <c r="I595" s="169" t="n"/>
      <c r="J595" s="169" t="inlineStr">
        <is>
          <t>ENERGIA Y AGUA</t>
        </is>
      </c>
      <c r="K595" s="169" t="inlineStr">
        <is>
          <t>SUMIN. ELECTRICO</t>
        </is>
      </c>
      <c r="L595" s="169" t="inlineStr">
        <is>
          <t>CONSUMO ELECTRICO</t>
        </is>
      </c>
      <c r="M595" s="169" t="n"/>
      <c r="N595" s="169" t="inlineStr">
        <is>
          <t>.   .   -</t>
        </is>
      </c>
      <c r="O595" s="169" t="inlineStr">
        <is>
          <t>ABRIL</t>
        </is>
      </c>
      <c r="P595" s="169" t="n">
        <v>13</v>
      </c>
      <c r="Q595" s="171" t="n">
        <v>1540160</v>
      </c>
      <c r="R595" s="169" t="n"/>
      <c r="S595" s="171" t="n">
        <v>1540160</v>
      </c>
      <c r="T595" s="169" t="inlineStr">
        <is>
          <t>CLP</t>
        </is>
      </c>
      <c r="U595" s="169" t="inlineStr">
        <is>
          <t>Carga LH 18-06-26</t>
        </is>
      </c>
      <c r="V595" s="169" t="inlineStr">
        <is>
          <t>2026-06-18</t>
        </is>
      </c>
    </row>
    <row r="596">
      <c r="A596" s="169" t="inlineStr">
        <is>
          <t>CR-0593</t>
        </is>
      </c>
      <c r="B596" s="169" t="inlineStr">
        <is>
          <t>2026/27</t>
        </is>
      </c>
      <c r="C596" s="231" t="n">
        <v>46119</v>
      </c>
      <c r="D596" s="169" t="inlineStr"/>
      <c r="E596" s="169" t="inlineStr">
        <is>
          <t>COMPRA</t>
        </is>
      </c>
      <c r="F596" s="169" t="inlineStr">
        <is>
          <t>Mega Catalina</t>
        </is>
      </c>
      <c r="G596" s="169" t="inlineStr">
        <is>
          <t>EUREKA - 1999 (10,6 Ha.)</t>
        </is>
      </c>
      <c r="H596" s="169" t="n"/>
      <c r="I596" s="169" t="n"/>
      <c r="J596" s="169" t="inlineStr">
        <is>
          <t>ENERGIA Y AGUA</t>
        </is>
      </c>
      <c r="K596" s="169" t="inlineStr">
        <is>
          <t>SUMIN. ELECTRICO</t>
        </is>
      </c>
      <c r="L596" s="169" t="inlineStr">
        <is>
          <t>CONSUMO ELECTRICO</t>
        </is>
      </c>
      <c r="M596" s="169" t="n"/>
      <c r="N596" s="169" t="inlineStr">
        <is>
          <t>.   .   -</t>
        </is>
      </c>
      <c r="O596" s="169" t="inlineStr">
        <is>
          <t>ABRIL</t>
        </is>
      </c>
      <c r="P596" s="169" t="n">
        <v>13</v>
      </c>
      <c r="Q596" s="171" t="n">
        <v>1013082</v>
      </c>
      <c r="R596" s="169" t="n"/>
      <c r="S596" s="171" t="n">
        <v>1013082</v>
      </c>
      <c r="T596" s="169" t="inlineStr">
        <is>
          <t>CLP</t>
        </is>
      </c>
      <c r="U596" s="169" t="inlineStr">
        <is>
          <t>Carga LH 18-06-26</t>
        </is>
      </c>
      <c r="V596" s="169" t="inlineStr">
        <is>
          <t>2026-06-18</t>
        </is>
      </c>
    </row>
    <row r="597">
      <c r="A597" s="169" t="inlineStr">
        <is>
          <t>CR-0594</t>
        </is>
      </c>
      <c r="B597" s="169" t="inlineStr">
        <is>
          <t>2026/27</t>
        </is>
      </c>
      <c r="C597" s="231" t="n">
        <v>46119</v>
      </c>
      <c r="D597" s="169" t="inlineStr"/>
      <c r="E597" s="169" t="inlineStr">
        <is>
          <t>COMPRA</t>
        </is>
      </c>
      <c r="F597" s="169" t="inlineStr">
        <is>
          <t>Mega Catalina</t>
        </is>
      </c>
      <c r="G597" s="169" t="inlineStr">
        <is>
          <t>EUREKA - 2016 (14,4 Ha.)</t>
        </is>
      </c>
      <c r="H597" s="169" t="n"/>
      <c r="I597" s="169" t="n"/>
      <c r="J597" s="169" t="inlineStr">
        <is>
          <t>ENERGIA Y AGUA</t>
        </is>
      </c>
      <c r="K597" s="169" t="inlineStr">
        <is>
          <t>SUMIN. ELECTRICO</t>
        </is>
      </c>
      <c r="L597" s="169" t="inlineStr">
        <is>
          <t>CONSUMO ELECTRICO</t>
        </is>
      </c>
      <c r="M597" s="169" t="n"/>
      <c r="N597" s="169" t="inlineStr">
        <is>
          <t>.   .   -</t>
        </is>
      </c>
      <c r="O597" s="169" t="inlineStr">
        <is>
          <t>ABRIL</t>
        </is>
      </c>
      <c r="P597" s="169" t="n">
        <v>13</v>
      </c>
      <c r="Q597" s="171" t="n">
        <v>985702</v>
      </c>
      <c r="R597" s="169" t="n"/>
      <c r="S597" s="171" t="n">
        <v>985702</v>
      </c>
      <c r="T597" s="169" t="inlineStr">
        <is>
          <t>CLP</t>
        </is>
      </c>
      <c r="U597" s="169" t="inlineStr">
        <is>
          <t>Carga LH 18-06-26</t>
        </is>
      </c>
      <c r="V597" s="169" t="inlineStr">
        <is>
          <t>2026-06-18</t>
        </is>
      </c>
    </row>
    <row r="598">
      <c r="A598" s="169" t="inlineStr">
        <is>
          <t>CR-0595</t>
        </is>
      </c>
      <c r="B598" s="169" t="inlineStr">
        <is>
          <t>2026/27</t>
        </is>
      </c>
      <c r="C598" s="231" t="n">
        <v>46119</v>
      </c>
      <c r="D598" s="169" t="inlineStr"/>
      <c r="E598" s="169" t="inlineStr">
        <is>
          <t>COMPRA</t>
        </is>
      </c>
      <c r="F598" s="169" t="inlineStr">
        <is>
          <t>Mega Catalina</t>
        </is>
      </c>
      <c r="G598" s="169" t="inlineStr">
        <is>
          <t>FINO 49 - 1999 (7,7 Ha.)</t>
        </is>
      </c>
      <c r="H598" s="169" t="n"/>
      <c r="I598" s="169" t="n"/>
      <c r="J598" s="169" t="inlineStr">
        <is>
          <t>ENERGIA Y AGUA</t>
        </is>
      </c>
      <c r="K598" s="169" t="inlineStr">
        <is>
          <t>SUMIN. ELECTRICO</t>
        </is>
      </c>
      <c r="L598" s="169" t="inlineStr">
        <is>
          <t>CONSUMO ELECTRICO</t>
        </is>
      </c>
      <c r="M598" s="169" t="n"/>
      <c r="N598" s="169" t="inlineStr">
        <is>
          <t>.   .   -</t>
        </is>
      </c>
      <c r="O598" s="169" t="inlineStr">
        <is>
          <t>ABRIL</t>
        </is>
      </c>
      <c r="P598" s="169" t="n">
        <v>13</v>
      </c>
      <c r="Q598" s="171" t="n">
        <v>787192</v>
      </c>
      <c r="R598" s="169" t="n"/>
      <c r="S598" s="171" t="n">
        <v>787192</v>
      </c>
      <c r="T598" s="169" t="inlineStr">
        <is>
          <t>CLP</t>
        </is>
      </c>
      <c r="U598" s="169" t="inlineStr">
        <is>
          <t>Carga LH 18-06-26</t>
        </is>
      </c>
      <c r="V598" s="169" t="inlineStr">
        <is>
          <t>2026-06-18</t>
        </is>
      </c>
    </row>
    <row r="599">
      <c r="A599" s="169" t="inlineStr">
        <is>
          <t>CR-0596</t>
        </is>
      </c>
      <c r="B599" s="169" t="inlineStr">
        <is>
          <t>2026/27</t>
        </is>
      </c>
      <c r="C599" s="231" t="n">
        <v>46119</v>
      </c>
      <c r="D599" s="169" t="inlineStr"/>
      <c r="E599" s="169" t="inlineStr">
        <is>
          <t>COMPRA</t>
        </is>
      </c>
      <c r="F599" s="169" t="inlineStr">
        <is>
          <t>Mega Catalina</t>
        </is>
      </c>
      <c r="G599" s="169" t="inlineStr">
        <is>
          <t>NARANJA CAMBRIA - 2009 (4,2 Ha.)</t>
        </is>
      </c>
      <c r="H599" s="169" t="n"/>
      <c r="I599" s="169" t="n"/>
      <c r="J599" s="169" t="inlineStr">
        <is>
          <t>ENERGIA Y AGUA</t>
        </is>
      </c>
      <c r="K599" s="169" t="inlineStr">
        <is>
          <t>SUMIN. ELECTRICO</t>
        </is>
      </c>
      <c r="L599" s="169" t="inlineStr">
        <is>
          <t>CONSUMO ELECTRICO</t>
        </is>
      </c>
      <c r="M599" s="169" t="n"/>
      <c r="N599" s="169" t="inlineStr">
        <is>
          <t>.   .   -</t>
        </is>
      </c>
      <c r="O599" s="169" t="inlineStr">
        <is>
          <t>ABRIL</t>
        </is>
      </c>
      <c r="P599" s="169" t="n">
        <v>13</v>
      </c>
      <c r="Q599" s="171" t="n">
        <v>287496</v>
      </c>
      <c r="R599" s="169" t="n"/>
      <c r="S599" s="171" t="n">
        <v>287496</v>
      </c>
      <c r="T599" s="169" t="inlineStr">
        <is>
          <t>CLP</t>
        </is>
      </c>
      <c r="U599" s="169" t="inlineStr">
        <is>
          <t>Carga LH 18-06-26</t>
        </is>
      </c>
      <c r="V599" s="169" t="inlineStr">
        <is>
          <t>2026-06-18</t>
        </is>
      </c>
    </row>
    <row r="600">
      <c r="A600" s="169" t="inlineStr">
        <is>
          <t>CR-0597</t>
        </is>
      </c>
      <c r="B600" s="169" t="inlineStr">
        <is>
          <t>2026/27</t>
        </is>
      </c>
      <c r="C600" s="231" t="n">
        <v>46119</v>
      </c>
      <c r="D600" s="169" t="inlineStr"/>
      <c r="E600" s="169" t="inlineStr">
        <is>
          <t>COMPRA</t>
        </is>
      </c>
      <c r="F600" s="169" t="inlineStr">
        <is>
          <t>Mega Catalina</t>
        </is>
      </c>
      <c r="G600" s="169" t="inlineStr">
        <is>
          <t>MURCOTT - 2007 (21 Ha.)</t>
        </is>
      </c>
      <c r="H600" s="169" t="n"/>
      <c r="I600" s="169" t="n"/>
      <c r="J600" s="169" t="inlineStr">
        <is>
          <t>ENERGIA Y AGUA</t>
        </is>
      </c>
      <c r="K600" s="169" t="inlineStr">
        <is>
          <t>SUMIN. ELECTRICO</t>
        </is>
      </c>
      <c r="L600" s="169" t="inlineStr">
        <is>
          <t>CONSUMO ELECTRICO</t>
        </is>
      </c>
      <c r="M600" s="169" t="n"/>
      <c r="N600" s="169" t="inlineStr">
        <is>
          <t>.   .   -</t>
        </is>
      </c>
      <c r="O600" s="169" t="inlineStr">
        <is>
          <t>ABRIL</t>
        </is>
      </c>
      <c r="P600" s="169" t="n">
        <v>13</v>
      </c>
      <c r="Q600" s="171" t="n">
        <v>1437482</v>
      </c>
      <c r="R600" s="169" t="n"/>
      <c r="S600" s="171" t="n">
        <v>1437482</v>
      </c>
      <c r="T600" s="169" t="inlineStr">
        <is>
          <t>CLP</t>
        </is>
      </c>
      <c r="U600" s="169" t="inlineStr">
        <is>
          <t>Carga LH 18-06-26</t>
        </is>
      </c>
      <c r="V600" s="169" t="inlineStr">
        <is>
          <t>2026-06-18</t>
        </is>
      </c>
    </row>
    <row r="601">
      <c r="A601" s="169" t="inlineStr">
        <is>
          <t>CR-0598</t>
        </is>
      </c>
      <c r="B601" s="169" t="inlineStr">
        <is>
          <t>2026/27</t>
        </is>
      </c>
      <c r="C601" s="231" t="n">
        <v>46119</v>
      </c>
      <c r="D601" s="169" t="inlineStr"/>
      <c r="E601" s="169" t="inlineStr">
        <is>
          <t>COMPRA</t>
        </is>
      </c>
      <c r="F601" s="169" t="inlineStr">
        <is>
          <t>Mega Catalina</t>
        </is>
      </c>
      <c r="G601" s="169" t="inlineStr">
        <is>
          <t>MURCOTT - 2007 (21 Ha.)</t>
        </is>
      </c>
      <c r="H601" s="169" t="n"/>
      <c r="I601" s="169" t="n"/>
      <c r="J601" s="169" t="inlineStr">
        <is>
          <t>ENERGIA Y AGUA</t>
        </is>
      </c>
      <c r="K601" s="169" t="inlineStr">
        <is>
          <t>SUMIN. ELECTRICO</t>
        </is>
      </c>
      <c r="L601" s="169" t="inlineStr">
        <is>
          <t>CONSUMO ELECTRICO</t>
        </is>
      </c>
      <c r="M601" s="169" t="n"/>
      <c r="N601" s="169" t="inlineStr">
        <is>
          <t>.   .   -</t>
        </is>
      </c>
      <c r="O601" s="169" t="inlineStr">
        <is>
          <t>ABRIL</t>
        </is>
      </c>
      <c r="P601" s="169" t="n">
        <v>13</v>
      </c>
      <c r="Q601" s="171" t="n">
        <v>873</v>
      </c>
      <c r="R601" s="169" t="n"/>
      <c r="S601" s="171" t="n">
        <v>873</v>
      </c>
      <c r="T601" s="169" t="inlineStr">
        <is>
          <t>CLP</t>
        </is>
      </c>
      <c r="U601" s="169" t="inlineStr">
        <is>
          <t>Carga LH 18-06-26</t>
        </is>
      </c>
      <c r="V601" s="169" t="inlineStr">
        <is>
          <t>2026-06-18</t>
        </is>
      </c>
    </row>
    <row r="602">
      <c r="A602" s="169" t="inlineStr">
        <is>
          <t>CR-0599</t>
        </is>
      </c>
      <c r="B602" s="169" t="inlineStr">
        <is>
          <t>2026/27</t>
        </is>
      </c>
      <c r="C602" s="231" t="n">
        <v>46119</v>
      </c>
      <c r="D602" s="169" t="inlineStr"/>
      <c r="E602" s="169" t="inlineStr">
        <is>
          <t>COMPRA</t>
        </is>
      </c>
      <c r="F602" s="169" t="inlineStr">
        <is>
          <t>El Molle</t>
        </is>
      </c>
      <c r="G602" s="169" t="inlineStr">
        <is>
          <t>ARRUFATINA - 2017 (5,74 Ha.)</t>
        </is>
      </c>
      <c r="H602" s="169" t="n"/>
      <c r="I602" s="169" t="n"/>
      <c r="J602" s="169" t="inlineStr">
        <is>
          <t>ENERGIA Y AGUA</t>
        </is>
      </c>
      <c r="K602" s="169" t="inlineStr">
        <is>
          <t>SUMIN. ELECTRICO</t>
        </is>
      </c>
      <c r="L602" s="169" t="inlineStr">
        <is>
          <t>CONSUMO ELECTRICO</t>
        </is>
      </c>
      <c r="M602" s="169" t="n"/>
      <c r="N602" s="169" t="inlineStr">
        <is>
          <t>.   .   -</t>
        </is>
      </c>
      <c r="O602" s="169" t="inlineStr">
        <is>
          <t>ABRIL</t>
        </is>
      </c>
      <c r="P602" s="169" t="n">
        <v>13</v>
      </c>
      <c r="Q602" s="171" t="n">
        <v>1398635</v>
      </c>
      <c r="R602" s="169" t="n"/>
      <c r="S602" s="171" t="n">
        <v>1398635</v>
      </c>
      <c r="T602" s="169" t="inlineStr">
        <is>
          <t>CLP</t>
        </is>
      </c>
      <c r="U602" s="169" t="inlineStr">
        <is>
          <t>Carga LH 18-06-26</t>
        </is>
      </c>
      <c r="V602" s="169" t="inlineStr">
        <is>
          <t>2026-06-18</t>
        </is>
      </c>
    </row>
    <row r="603">
      <c r="A603" s="169" t="inlineStr">
        <is>
          <t>CR-0600</t>
        </is>
      </c>
      <c r="B603" s="169" t="inlineStr">
        <is>
          <t>2026/27</t>
        </is>
      </c>
      <c r="C603" s="231" t="n">
        <v>46119</v>
      </c>
      <c r="D603" s="169" t="inlineStr"/>
      <c r="E603" s="169" t="inlineStr">
        <is>
          <t>COMPRA</t>
        </is>
      </c>
      <c r="F603" s="169" t="inlineStr">
        <is>
          <t>El Molle</t>
        </is>
      </c>
      <c r="G603" s="169" t="inlineStr">
        <is>
          <t>ORONULES - 2017 (2,85 Ha.)</t>
        </is>
      </c>
      <c r="H603" s="169" t="n"/>
      <c r="I603" s="169" t="n"/>
      <c r="J603" s="169" t="inlineStr">
        <is>
          <t>ENERGIA Y AGUA</t>
        </is>
      </c>
      <c r="K603" s="169" t="inlineStr">
        <is>
          <t>SUMIN. ELECTRICO</t>
        </is>
      </c>
      <c r="L603" s="169" t="inlineStr">
        <is>
          <t>CONSUMO ELECTRICO</t>
        </is>
      </c>
      <c r="M603" s="169" t="n"/>
      <c r="N603" s="169" t="inlineStr">
        <is>
          <t>.   .   -</t>
        </is>
      </c>
      <c r="O603" s="169" t="inlineStr">
        <is>
          <t>ABRIL</t>
        </is>
      </c>
      <c r="P603" s="169" t="n">
        <v>13</v>
      </c>
      <c r="Q603" s="171" t="n">
        <v>694444</v>
      </c>
      <c r="R603" s="169" t="n"/>
      <c r="S603" s="171" t="n">
        <v>694444</v>
      </c>
      <c r="T603" s="169" t="inlineStr">
        <is>
          <t>CLP</t>
        </is>
      </c>
      <c r="U603" s="169" t="inlineStr">
        <is>
          <t>Carga LH 18-06-26</t>
        </is>
      </c>
      <c r="V603" s="169" t="inlineStr">
        <is>
          <t>2026-06-18</t>
        </is>
      </c>
    </row>
    <row r="604">
      <c r="A604" s="169" t="inlineStr">
        <is>
          <t>CR-0601</t>
        </is>
      </c>
      <c r="B604" s="169" t="inlineStr">
        <is>
          <t>2026/27</t>
        </is>
      </c>
      <c r="C604" s="231" t="n">
        <v>46119</v>
      </c>
      <c r="D604" s="169" t="inlineStr"/>
      <c r="E604" s="169" t="inlineStr">
        <is>
          <t>COMPRA</t>
        </is>
      </c>
      <c r="F604" s="169" t="inlineStr">
        <is>
          <t>Mega Catalina</t>
        </is>
      </c>
      <c r="G604" s="169" t="inlineStr">
        <is>
          <t>ORONULES - 2019 (2,5 Ha.)</t>
        </is>
      </c>
      <c r="H604" s="169" t="n"/>
      <c r="I604" s="169" t="n"/>
      <c r="J604" s="169" t="inlineStr">
        <is>
          <t>ENERGIA Y AGUA</t>
        </is>
      </c>
      <c r="K604" s="169" t="inlineStr">
        <is>
          <t>SUMIN. ELECTRICO</t>
        </is>
      </c>
      <c r="L604" s="169" t="inlineStr">
        <is>
          <t>CONSUMO ELECTRICO</t>
        </is>
      </c>
      <c r="M604" s="169" t="n"/>
      <c r="N604" s="169" t="inlineStr">
        <is>
          <t>.   .   -</t>
        </is>
      </c>
      <c r="O604" s="169" t="inlineStr">
        <is>
          <t>ABRIL</t>
        </is>
      </c>
      <c r="P604" s="169" t="n">
        <v>13</v>
      </c>
      <c r="Q604" s="171" t="n">
        <v>609162</v>
      </c>
      <c r="R604" s="169" t="n"/>
      <c r="S604" s="171" t="n">
        <v>609162</v>
      </c>
      <c r="T604" s="169" t="inlineStr">
        <is>
          <t>CLP</t>
        </is>
      </c>
      <c r="U604" s="169" t="inlineStr">
        <is>
          <t>Carga LH 18-06-26</t>
        </is>
      </c>
      <c r="V604" s="169" t="inlineStr">
        <is>
          <t>2026-06-18</t>
        </is>
      </c>
    </row>
    <row r="605">
      <c r="A605" s="169" t="inlineStr">
        <is>
          <t>CR-0602</t>
        </is>
      </c>
      <c r="B605" s="169" t="inlineStr">
        <is>
          <t>2026/27</t>
        </is>
      </c>
      <c r="C605" s="231" t="n">
        <v>46119</v>
      </c>
      <c r="D605" s="169" t="inlineStr"/>
      <c r="E605" s="169" t="inlineStr">
        <is>
          <t>COMPRA</t>
        </is>
      </c>
      <c r="F605" s="169" t="inlineStr">
        <is>
          <t>El Molle</t>
        </is>
      </c>
      <c r="G605" s="169" t="inlineStr">
        <is>
          <t>OROGRANDE - 2007 (8,11 Ha.)</t>
        </is>
      </c>
      <c r="H605" s="169" t="n"/>
      <c r="I605" s="169" t="n"/>
      <c r="J605" s="169" t="inlineStr">
        <is>
          <t>ENERGIA Y AGUA</t>
        </is>
      </c>
      <c r="K605" s="169" t="inlineStr">
        <is>
          <t>SUMIN. ELECTRICO</t>
        </is>
      </c>
      <c r="L605" s="169" t="inlineStr">
        <is>
          <t>CONSUMO ELECTRICO</t>
        </is>
      </c>
      <c r="M605" s="169" t="n"/>
      <c r="N605" s="169" t="inlineStr">
        <is>
          <t>.   .   -</t>
        </is>
      </c>
      <c r="O605" s="169" t="inlineStr">
        <is>
          <t>ABRIL</t>
        </is>
      </c>
      <c r="P605" s="169" t="n">
        <v>13</v>
      </c>
      <c r="Q605" s="171" t="n">
        <v>1976120</v>
      </c>
      <c r="R605" s="169" t="n"/>
      <c r="S605" s="171" t="n">
        <v>1976120</v>
      </c>
      <c r="T605" s="169" t="inlineStr">
        <is>
          <t>CLP</t>
        </is>
      </c>
      <c r="U605" s="169" t="inlineStr">
        <is>
          <t>Carga LH 18-06-26</t>
        </is>
      </c>
      <c r="V605" s="169" t="inlineStr">
        <is>
          <t>2026-06-18</t>
        </is>
      </c>
    </row>
    <row r="606">
      <c r="A606" s="169" t="inlineStr">
        <is>
          <t>CR-0603</t>
        </is>
      </c>
      <c r="B606" s="169" t="inlineStr">
        <is>
          <t>2026/27</t>
        </is>
      </c>
      <c r="C606" s="231" t="n">
        <v>46119</v>
      </c>
      <c r="D606" s="169" t="inlineStr"/>
      <c r="E606" s="169" t="inlineStr">
        <is>
          <t>COMPRA</t>
        </is>
      </c>
      <c r="F606" s="169" t="inlineStr">
        <is>
          <t>El Molle</t>
        </is>
      </c>
      <c r="G606" s="169" t="inlineStr">
        <is>
          <t>WONDERFUL - 2002 (2,80 Ha.)</t>
        </is>
      </c>
      <c r="H606" s="169" t="n"/>
      <c r="I606" s="169" t="n"/>
      <c r="J606" s="169" t="inlineStr">
        <is>
          <t>ENERGIA Y AGUA</t>
        </is>
      </c>
      <c r="K606" s="169" t="inlineStr">
        <is>
          <t>SUMIN. ELECTRICO</t>
        </is>
      </c>
      <c r="L606" s="169" t="inlineStr">
        <is>
          <t>CONSUMO ELECTRICO</t>
        </is>
      </c>
      <c r="M606" s="169" t="n"/>
      <c r="N606" s="169" t="inlineStr">
        <is>
          <t>.   .   -</t>
        </is>
      </c>
      <c r="O606" s="169" t="inlineStr">
        <is>
          <t>ABRIL</t>
        </is>
      </c>
      <c r="P606" s="169" t="n">
        <v>13</v>
      </c>
      <c r="Q606" s="171" t="n">
        <v>682261</v>
      </c>
      <c r="R606" s="169" t="n"/>
      <c r="S606" s="171" t="n">
        <v>682261</v>
      </c>
      <c r="T606" s="169" t="inlineStr">
        <is>
          <t>CLP</t>
        </is>
      </c>
      <c r="U606" s="169" t="inlineStr">
        <is>
          <t>Carga LH 18-06-26</t>
        </is>
      </c>
      <c r="V606" s="169" t="inlineStr">
        <is>
          <t>2026-06-18</t>
        </is>
      </c>
    </row>
    <row r="607">
      <c r="A607" s="169" t="inlineStr">
        <is>
          <t>CR-0604</t>
        </is>
      </c>
      <c r="B607" s="169" t="inlineStr">
        <is>
          <t>2026/27</t>
        </is>
      </c>
      <c r="C607" s="231" t="n">
        <v>46119</v>
      </c>
      <c r="D607" s="169" t="inlineStr"/>
      <c r="E607" s="169" t="inlineStr">
        <is>
          <t>COMPRA</t>
        </is>
      </c>
      <c r="F607" s="169" t="inlineStr">
        <is>
          <t>El Molle</t>
        </is>
      </c>
      <c r="G607" s="169" t="inlineStr">
        <is>
          <t>WONDERFUL - 2007 (2,44 Ha.)</t>
        </is>
      </c>
      <c r="H607" s="169" t="n"/>
      <c r="I607" s="169" t="n"/>
      <c r="J607" s="169" t="inlineStr">
        <is>
          <t>ENERGIA Y AGUA</t>
        </is>
      </c>
      <c r="K607" s="169" t="inlineStr">
        <is>
          <t>SUMIN. ELECTRICO</t>
        </is>
      </c>
      <c r="L607" s="169" t="inlineStr">
        <is>
          <t>CONSUMO ELECTRICO</t>
        </is>
      </c>
      <c r="M607" s="169" t="n"/>
      <c r="N607" s="169" t="inlineStr">
        <is>
          <t>.   .   -</t>
        </is>
      </c>
      <c r="O607" s="169" t="inlineStr">
        <is>
          <t>ABRIL</t>
        </is>
      </c>
      <c r="P607" s="169" t="n">
        <v>13</v>
      </c>
      <c r="Q607" s="171" t="n">
        <v>594542</v>
      </c>
      <c r="R607" s="169" t="n"/>
      <c r="S607" s="171" t="n">
        <v>594542</v>
      </c>
      <c r="T607" s="169" t="inlineStr">
        <is>
          <t>CLP</t>
        </is>
      </c>
      <c r="U607" s="169" t="inlineStr">
        <is>
          <t>Carga LH 18-06-26</t>
        </is>
      </c>
      <c r="V607" s="169" t="inlineStr">
        <is>
          <t>2026-06-18</t>
        </is>
      </c>
    </row>
    <row r="608">
      <c r="A608" s="169" t="inlineStr">
        <is>
          <t>CR-0605</t>
        </is>
      </c>
      <c r="B608" s="169" t="inlineStr">
        <is>
          <t>2026/27</t>
        </is>
      </c>
      <c r="C608" s="231" t="n">
        <v>46119</v>
      </c>
      <c r="D608" s="169" t="inlineStr"/>
      <c r="E608" s="169" t="inlineStr">
        <is>
          <t>COMPRA</t>
        </is>
      </c>
      <c r="F608" s="169" t="inlineStr">
        <is>
          <t>Mega Catalina</t>
        </is>
      </c>
      <c r="G608" s="169" t="inlineStr">
        <is>
          <t>INJERTO TIMPSON - 2018 (3,8 Ha.)</t>
        </is>
      </c>
      <c r="H608" s="169" t="n"/>
      <c r="I608" s="169" t="n"/>
      <c r="J608" s="169" t="inlineStr">
        <is>
          <t>ENERGIA Y AGUA</t>
        </is>
      </c>
      <c r="K608" s="169" t="inlineStr">
        <is>
          <t>SUMIN. ELECTRICO</t>
        </is>
      </c>
      <c r="L608" s="169" t="inlineStr">
        <is>
          <t>CONSUMO ELECTRICO</t>
        </is>
      </c>
      <c r="M608" s="169" t="n"/>
      <c r="N608" s="169" t="inlineStr">
        <is>
          <t>.   .   -</t>
        </is>
      </c>
      <c r="O608" s="169" t="inlineStr">
        <is>
          <t>ABRIL</t>
        </is>
      </c>
      <c r="P608" s="169" t="n">
        <v>13</v>
      </c>
      <c r="Q608" s="171" t="n">
        <v>205444</v>
      </c>
      <c r="R608" s="169" t="n"/>
      <c r="S608" s="171" t="n">
        <v>205444</v>
      </c>
      <c r="T608" s="169" t="inlineStr">
        <is>
          <t>CLP</t>
        </is>
      </c>
      <c r="U608" s="169" t="inlineStr">
        <is>
          <t>Carga LH 18-06-26</t>
        </is>
      </c>
      <c r="V608" s="169" t="inlineStr">
        <is>
          <t>2026-06-18</t>
        </is>
      </c>
    </row>
    <row r="609">
      <c r="A609" s="169" t="inlineStr">
        <is>
          <t>CR-0606</t>
        </is>
      </c>
      <c r="B609" s="169" t="inlineStr">
        <is>
          <t>2026/27</t>
        </is>
      </c>
      <c r="C609" s="231" t="n">
        <v>46119</v>
      </c>
      <c r="D609" s="169" t="inlineStr"/>
      <c r="E609" s="169" t="inlineStr">
        <is>
          <t>COMPRA</t>
        </is>
      </c>
      <c r="F609" s="169" t="inlineStr">
        <is>
          <t>Mega Catalina</t>
        </is>
      </c>
      <c r="G609" s="169" t="inlineStr">
        <is>
          <t>INJERTO TIMPSON - 2019 (4,2 Ha.)</t>
        </is>
      </c>
      <c r="H609" s="169" t="n"/>
      <c r="I609" s="169" t="n"/>
      <c r="J609" s="169" t="inlineStr">
        <is>
          <t>ENERGIA Y AGUA</t>
        </is>
      </c>
      <c r="K609" s="169" t="inlineStr">
        <is>
          <t>SUMIN. ELECTRICO</t>
        </is>
      </c>
      <c r="L609" s="169" t="inlineStr">
        <is>
          <t>CONSUMO ELECTRICO</t>
        </is>
      </c>
      <c r="M609" s="169" t="n"/>
      <c r="N609" s="169" t="inlineStr">
        <is>
          <t>.   .   -</t>
        </is>
      </c>
      <c r="O609" s="169" t="inlineStr">
        <is>
          <t>ABRIL</t>
        </is>
      </c>
      <c r="P609" s="169" t="n">
        <v>13</v>
      </c>
      <c r="Q609" s="171" t="n">
        <v>227070</v>
      </c>
      <c r="R609" s="169" t="n"/>
      <c r="S609" s="171" t="n">
        <v>227070</v>
      </c>
      <c r="T609" s="169" t="inlineStr">
        <is>
          <t>CLP</t>
        </is>
      </c>
      <c r="U609" s="169" t="inlineStr">
        <is>
          <t>Carga LH 18-06-26</t>
        </is>
      </c>
      <c r="V609" s="169" t="inlineStr">
        <is>
          <t>2026-06-18</t>
        </is>
      </c>
    </row>
    <row r="610">
      <c r="A610" s="169" t="inlineStr">
        <is>
          <t>CR-0607</t>
        </is>
      </c>
      <c r="B610" s="169" t="inlineStr">
        <is>
          <t>2026/27</t>
        </is>
      </c>
      <c r="C610" s="231" t="n">
        <v>46119</v>
      </c>
      <c r="D610" s="169" t="inlineStr"/>
      <c r="E610" s="169" t="inlineStr">
        <is>
          <t>COMPRA</t>
        </is>
      </c>
      <c r="F610" s="169" t="inlineStr">
        <is>
          <t>Mega Catalina</t>
        </is>
      </c>
      <c r="G610" s="169" t="inlineStr">
        <is>
          <t>SWEET CELEBRATION - 2015 (7,14 Ha.)</t>
        </is>
      </c>
      <c r="H610" s="169" t="n"/>
      <c r="I610" s="169" t="n"/>
      <c r="J610" s="169" t="inlineStr">
        <is>
          <t>ENERGIA Y AGUA</t>
        </is>
      </c>
      <c r="K610" s="169" t="inlineStr">
        <is>
          <t>SUMIN. ELECTRICO</t>
        </is>
      </c>
      <c r="L610" s="169" t="inlineStr">
        <is>
          <t>CONSUMO ELECTRICO</t>
        </is>
      </c>
      <c r="M610" s="169" t="n"/>
      <c r="N610" s="169" t="inlineStr">
        <is>
          <t>.   .   -</t>
        </is>
      </c>
      <c r="O610" s="169" t="inlineStr">
        <is>
          <t>ABRIL</t>
        </is>
      </c>
      <c r="P610" s="169" t="n">
        <v>13</v>
      </c>
      <c r="Q610" s="171" t="n">
        <v>386018</v>
      </c>
      <c r="R610" s="169" t="n"/>
      <c r="S610" s="171" t="n">
        <v>386018</v>
      </c>
      <c r="T610" s="169" t="inlineStr">
        <is>
          <t>CLP</t>
        </is>
      </c>
      <c r="U610" s="169" t="inlineStr">
        <is>
          <t>Carga LH 18-06-26</t>
        </is>
      </c>
      <c r="V610" s="169" t="inlineStr">
        <is>
          <t>2026-06-18</t>
        </is>
      </c>
    </row>
    <row r="611">
      <c r="A611" s="169" t="inlineStr">
        <is>
          <t>CR-0608</t>
        </is>
      </c>
      <c r="B611" s="169" t="inlineStr">
        <is>
          <t>2026/27</t>
        </is>
      </c>
      <c r="C611" s="231" t="n">
        <v>46119</v>
      </c>
      <c r="D611" s="169" t="inlineStr"/>
      <c r="E611" s="169" t="inlineStr">
        <is>
          <t>COMPRA</t>
        </is>
      </c>
      <c r="F611" s="169" t="inlineStr">
        <is>
          <t>Asmara</t>
        </is>
      </c>
      <c r="G611" s="169" t="inlineStr">
        <is>
          <t>MURCOTT - 2020 (19,8 Ha.)</t>
        </is>
      </c>
      <c r="H611" s="169" t="n"/>
      <c r="I611" s="169" t="n"/>
      <c r="J611" s="169" t="inlineStr">
        <is>
          <t>ENERGIA Y AGUA</t>
        </is>
      </c>
      <c r="K611" s="169" t="inlineStr">
        <is>
          <t>SUMIN. ELECTRICO</t>
        </is>
      </c>
      <c r="L611" s="169" t="inlineStr">
        <is>
          <t>CONSUMO ELECTRICO</t>
        </is>
      </c>
      <c r="M611" s="169" t="n"/>
      <c r="N611" s="169" t="inlineStr">
        <is>
          <t>.   .   -</t>
        </is>
      </c>
      <c r="O611" s="169" t="inlineStr">
        <is>
          <t>ABRIL</t>
        </is>
      </c>
      <c r="P611" s="169" t="n">
        <v>13</v>
      </c>
      <c r="Q611" s="171" t="n">
        <v>1263165</v>
      </c>
      <c r="R611" s="169" t="n"/>
      <c r="S611" s="171" t="n">
        <v>1263165</v>
      </c>
      <c r="T611" s="169" t="inlineStr">
        <is>
          <t>CLP</t>
        </is>
      </c>
      <c r="U611" s="169" t="inlineStr">
        <is>
          <t>Carga LH 18-06-26</t>
        </is>
      </c>
      <c r="V611" s="169" t="inlineStr">
        <is>
          <t>2026-06-18</t>
        </is>
      </c>
    </row>
    <row r="612">
      <c r="A612" s="169" t="inlineStr">
        <is>
          <t>CR-0609</t>
        </is>
      </c>
      <c r="B612" s="169" t="inlineStr">
        <is>
          <t>2026/27</t>
        </is>
      </c>
      <c r="C612" s="231" t="n">
        <v>46119</v>
      </c>
      <c r="D612" s="169" t="inlineStr"/>
      <c r="E612" s="169" t="inlineStr">
        <is>
          <t>COMPRA</t>
        </is>
      </c>
      <c r="F612" s="169" t="inlineStr">
        <is>
          <t>Asmara</t>
        </is>
      </c>
      <c r="G612" s="169" t="inlineStr">
        <is>
          <t>MURCOTT - 2020 (4,9 Ha.)</t>
        </is>
      </c>
      <c r="H612" s="169" t="n"/>
      <c r="I612" s="169" t="n"/>
      <c r="J612" s="169" t="inlineStr">
        <is>
          <t>ENERGIA Y AGUA</t>
        </is>
      </c>
      <c r="K612" s="169" t="inlineStr">
        <is>
          <t>SUMIN. ELECTRICO</t>
        </is>
      </c>
      <c r="L612" s="169" t="inlineStr">
        <is>
          <t>CONSUMO ELECTRICO</t>
        </is>
      </c>
      <c r="M612" s="169" t="n"/>
      <c r="N612" s="169" t="inlineStr">
        <is>
          <t>.   .   -</t>
        </is>
      </c>
      <c r="O612" s="169" t="inlineStr">
        <is>
          <t>ABRIL</t>
        </is>
      </c>
      <c r="P612" s="169" t="n">
        <v>13</v>
      </c>
      <c r="Q612" s="171" t="n">
        <v>312602</v>
      </c>
      <c r="R612" s="169" t="n"/>
      <c r="S612" s="171" t="n">
        <v>312602</v>
      </c>
      <c r="T612" s="169" t="inlineStr">
        <is>
          <t>CLP</t>
        </is>
      </c>
      <c r="U612" s="169" t="inlineStr">
        <is>
          <t>Carga LH 18-06-26</t>
        </is>
      </c>
      <c r="V612" s="169" t="inlineStr">
        <is>
          <t>2026-06-18</t>
        </is>
      </c>
    </row>
    <row r="613">
      <c r="A613" s="169" t="inlineStr">
        <is>
          <t>CR-0610</t>
        </is>
      </c>
      <c r="B613" s="169" t="inlineStr">
        <is>
          <t>2026/27</t>
        </is>
      </c>
      <c r="C613" s="231" t="n">
        <v>46119</v>
      </c>
      <c r="D613" s="169" t="inlineStr"/>
      <c r="E613" s="169" t="inlineStr">
        <is>
          <t>COMPRA</t>
        </is>
      </c>
      <c r="F613" s="169" t="inlineStr">
        <is>
          <t>Mega Catalina</t>
        </is>
      </c>
      <c r="G613" s="169" t="inlineStr">
        <is>
          <t>FINO 49 - 1999 (7,7 Ha.)</t>
        </is>
      </c>
      <c r="H613" s="169" t="n"/>
      <c r="I613" s="169" t="n"/>
      <c r="J613" s="169" t="inlineStr">
        <is>
          <t>ENERGIA Y AGUA</t>
        </is>
      </c>
      <c r="K613" s="169" t="inlineStr">
        <is>
          <t>SUMIN. ELECTRICO</t>
        </is>
      </c>
      <c r="L613" s="169" t="inlineStr">
        <is>
          <t>CONSUMO ELECTRICO</t>
        </is>
      </c>
      <c r="M613" s="169" t="n"/>
      <c r="N613" s="169" t="inlineStr">
        <is>
          <t>.   .   -</t>
        </is>
      </c>
      <c r="O613" s="169" t="inlineStr">
        <is>
          <t>ABRIL</t>
        </is>
      </c>
      <c r="P613" s="169" t="n">
        <v>13</v>
      </c>
      <c r="Q613" s="171" t="n">
        <v>310657</v>
      </c>
      <c r="R613" s="169" t="n"/>
      <c r="S613" s="171" t="n">
        <v>310657</v>
      </c>
      <c r="T613" s="169" t="inlineStr">
        <is>
          <t>CLP</t>
        </is>
      </c>
      <c r="U613" s="169" t="inlineStr">
        <is>
          <t>Carga LH 18-06-26</t>
        </is>
      </c>
      <c r="V613" s="169" t="inlineStr">
        <is>
          <t>2026-06-18</t>
        </is>
      </c>
    </row>
    <row r="614">
      <c r="A614" s="169" t="inlineStr">
        <is>
          <t>CR-0611</t>
        </is>
      </c>
      <c r="B614" s="169" t="inlineStr">
        <is>
          <t>2026/27</t>
        </is>
      </c>
      <c r="C614" s="231" t="n">
        <v>46119</v>
      </c>
      <c r="D614" s="169" t="inlineStr">
        <is>
          <t>175</t>
        </is>
      </c>
      <c r="E614" s="169" t="inlineStr">
        <is>
          <t>COMPRA</t>
        </is>
      </c>
      <c r="F614" s="169" t="inlineStr">
        <is>
          <t>Asmara</t>
        </is>
      </c>
      <c r="G614" s="169" t="inlineStr">
        <is>
          <t>MURCOTT - 2020 (19,8 Ha.)</t>
        </is>
      </c>
      <c r="H614" s="169" t="n"/>
      <c r="I614" s="169" t="n"/>
      <c r="J614" s="169" t="inlineStr">
        <is>
          <t>LABORES OPERACIONALES</t>
        </is>
      </c>
      <c r="K614" s="169" t="inlineStr">
        <is>
          <t>PODA</t>
        </is>
      </c>
      <c r="L614" s="169" t="inlineStr">
        <is>
          <t>SERV.CONTRATISTA</t>
        </is>
      </c>
      <c r="M614" s="169" t="n"/>
      <c r="N614" s="169" t="inlineStr">
        <is>
          <t>.   .   -</t>
        </is>
      </c>
      <c r="O614" s="169" t="inlineStr">
        <is>
          <t>ABRIL</t>
        </is>
      </c>
      <c r="P614" s="169" t="n">
        <v>13</v>
      </c>
      <c r="Q614" s="171" t="n">
        <v>1596700</v>
      </c>
      <c r="R614" s="169" t="n"/>
      <c r="S614" s="171" t="n">
        <v>1596700</v>
      </c>
      <c r="T614" s="169" t="inlineStr">
        <is>
          <t>CLP</t>
        </is>
      </c>
      <c r="U614" s="169" t="inlineStr">
        <is>
          <t>Carga LH 18-06-26</t>
        </is>
      </c>
      <c r="V614" s="169" t="inlineStr">
        <is>
          <t>2026-06-18</t>
        </is>
      </c>
    </row>
    <row r="615">
      <c r="A615" s="169" t="inlineStr">
        <is>
          <t>CR-0612</t>
        </is>
      </c>
      <c r="B615" s="169" t="inlineStr">
        <is>
          <t>2026/27</t>
        </is>
      </c>
      <c r="C615" s="231" t="n">
        <v>46119</v>
      </c>
      <c r="D615" s="169" t="inlineStr">
        <is>
          <t>649</t>
        </is>
      </c>
      <c r="E615" s="169" t="inlineStr">
        <is>
          <t>COMPRA</t>
        </is>
      </c>
      <c r="F615" s="169" t="inlineStr">
        <is>
          <t>Mega Catalina</t>
        </is>
      </c>
      <c r="G615" s="169" t="inlineStr">
        <is>
          <t>EUREKA - 1999 (22,5 Ha.)</t>
        </is>
      </c>
      <c r="H615" s="169" t="n"/>
      <c r="I615" s="169" t="n"/>
      <c r="J615" s="169" t="inlineStr">
        <is>
          <t>LABORES OPERACIONALES</t>
        </is>
      </c>
      <c r="K615" s="169" t="inlineStr">
        <is>
          <t>COSECHA</t>
        </is>
      </c>
      <c r="L615" s="169" t="inlineStr">
        <is>
          <t>SERV.CONTRATISTA</t>
        </is>
      </c>
      <c r="M615" s="169" t="n"/>
      <c r="N615" s="169" t="inlineStr">
        <is>
          <t>.   .   -</t>
        </is>
      </c>
      <c r="O615" s="169" t="inlineStr">
        <is>
          <t>ABRIL</t>
        </is>
      </c>
      <c r="P615" s="169" t="n">
        <v>13</v>
      </c>
      <c r="Q615" s="171" t="n">
        <v>1361550</v>
      </c>
      <c r="R615" s="169" t="n"/>
      <c r="S615" s="171" t="n">
        <v>1361550</v>
      </c>
      <c r="T615" s="169" t="inlineStr">
        <is>
          <t>CLP</t>
        </is>
      </c>
      <c r="U615" s="169" t="inlineStr">
        <is>
          <t>Carga LH 18-06-26</t>
        </is>
      </c>
      <c r="V615" s="169" t="inlineStr">
        <is>
          <t>2026-06-18</t>
        </is>
      </c>
    </row>
    <row r="616">
      <c r="A616" s="169" t="inlineStr">
        <is>
          <t>CR-0613</t>
        </is>
      </c>
      <c r="B616" s="169" t="inlineStr">
        <is>
          <t>2026/27</t>
        </is>
      </c>
      <c r="C616" s="231" t="n">
        <v>46119</v>
      </c>
      <c r="D616" s="169" t="inlineStr">
        <is>
          <t>649</t>
        </is>
      </c>
      <c r="E616" s="169" t="inlineStr">
        <is>
          <t>COMPRA</t>
        </is>
      </c>
      <c r="F616" s="169" t="inlineStr">
        <is>
          <t>Mega Catalina</t>
        </is>
      </c>
      <c r="G616" s="169" t="inlineStr">
        <is>
          <t>EUREKA - 1999 (22,5 Ha.)</t>
        </is>
      </c>
      <c r="H616" s="169" t="n"/>
      <c r="I616" s="169" t="n"/>
      <c r="J616" s="169" t="inlineStr">
        <is>
          <t>LABORES OPERACIONALES</t>
        </is>
      </c>
      <c r="K616" s="169" t="inlineStr">
        <is>
          <t>SELECCION</t>
        </is>
      </c>
      <c r="L616" s="169" t="inlineStr">
        <is>
          <t>SERV.CONTRATISTA</t>
        </is>
      </c>
      <c r="M616" s="169" t="n"/>
      <c r="N616" s="169" t="inlineStr">
        <is>
          <t>.   .   -</t>
        </is>
      </c>
      <c r="O616" s="169" t="inlineStr">
        <is>
          <t>ABRIL</t>
        </is>
      </c>
      <c r="P616" s="169" t="n">
        <v>13</v>
      </c>
      <c r="Q616" s="171" t="n">
        <v>150000</v>
      </c>
      <c r="R616" s="169" t="n"/>
      <c r="S616" s="171" t="n">
        <v>150000</v>
      </c>
      <c r="T616" s="169" t="inlineStr">
        <is>
          <t>CLP</t>
        </is>
      </c>
      <c r="U616" s="169" t="inlineStr">
        <is>
          <t>Carga LH 18-06-26</t>
        </is>
      </c>
      <c r="V616" s="169" t="inlineStr">
        <is>
          <t>2026-06-18</t>
        </is>
      </c>
    </row>
    <row r="617">
      <c r="A617" s="169" t="inlineStr">
        <is>
          <t>CR-0614</t>
        </is>
      </c>
      <c r="B617" s="169" t="inlineStr">
        <is>
          <t>2026/27</t>
        </is>
      </c>
      <c r="C617" s="231" t="n">
        <v>46119</v>
      </c>
      <c r="D617" s="169" t="inlineStr">
        <is>
          <t>649</t>
        </is>
      </c>
      <c r="E617" s="169" t="inlineStr">
        <is>
          <t>COMPRA</t>
        </is>
      </c>
      <c r="F617" s="169" t="inlineStr">
        <is>
          <t>Mega Catalina</t>
        </is>
      </c>
      <c r="G617" s="169" t="inlineStr">
        <is>
          <t>EUREKA - 2016 (14,4 Ha.)</t>
        </is>
      </c>
      <c r="H617" s="169" t="n"/>
      <c r="I617" s="169" t="n"/>
      <c r="J617" s="169" t="inlineStr">
        <is>
          <t>LABORES OPERACIONALES</t>
        </is>
      </c>
      <c r="K617" s="169" t="inlineStr">
        <is>
          <t>COSECHA</t>
        </is>
      </c>
      <c r="L617" s="169" t="inlineStr">
        <is>
          <t>SERV.CONTRATISTA</t>
        </is>
      </c>
      <c r="M617" s="169" t="n"/>
      <c r="N617" s="169" t="inlineStr">
        <is>
          <t>.   .   -</t>
        </is>
      </c>
      <c r="O617" s="169" t="inlineStr">
        <is>
          <t>ABRIL</t>
        </is>
      </c>
      <c r="P617" s="169" t="n">
        <v>13</v>
      </c>
      <c r="Q617" s="171" t="n">
        <v>746480</v>
      </c>
      <c r="R617" s="169" t="n"/>
      <c r="S617" s="171" t="n">
        <v>746480</v>
      </c>
      <c r="T617" s="169" t="inlineStr">
        <is>
          <t>CLP</t>
        </is>
      </c>
      <c r="U617" s="169" t="inlineStr">
        <is>
          <t>Carga LH 18-06-26</t>
        </is>
      </c>
      <c r="V617" s="169" t="inlineStr">
        <is>
          <t>2026-06-18</t>
        </is>
      </c>
    </row>
    <row r="618">
      <c r="A618" s="169" t="inlineStr">
        <is>
          <t>CR-0615</t>
        </is>
      </c>
      <c r="B618" s="169" t="inlineStr">
        <is>
          <t>2026/27</t>
        </is>
      </c>
      <c r="C618" s="231" t="n">
        <v>46119</v>
      </c>
      <c r="D618" s="169" t="inlineStr">
        <is>
          <t>649</t>
        </is>
      </c>
      <c r="E618" s="169" t="inlineStr">
        <is>
          <t>COMPRA</t>
        </is>
      </c>
      <c r="F618" s="169" t="inlineStr">
        <is>
          <t>Mega Catalina</t>
        </is>
      </c>
      <c r="G618" s="169" t="inlineStr">
        <is>
          <t>EUREKA - 2016 (14,4 Ha.)</t>
        </is>
      </c>
      <c r="H618" s="169" t="n"/>
      <c r="I618" s="169" t="n"/>
      <c r="J618" s="169" t="inlineStr">
        <is>
          <t>LABORES OPERACIONALES</t>
        </is>
      </c>
      <c r="K618" s="169" t="inlineStr">
        <is>
          <t>SELECCION</t>
        </is>
      </c>
      <c r="L618" s="169" t="inlineStr">
        <is>
          <t>SERV.CONTRATISTA</t>
        </is>
      </c>
      <c r="M618" s="169" t="n"/>
      <c r="N618" s="169" t="inlineStr">
        <is>
          <t>.   .   -</t>
        </is>
      </c>
      <c r="O618" s="169" t="inlineStr">
        <is>
          <t>ABRIL</t>
        </is>
      </c>
      <c r="P618" s="169" t="n">
        <v>13</v>
      </c>
      <c r="Q618" s="171" t="n">
        <v>75000</v>
      </c>
      <c r="R618" s="169" t="n"/>
      <c r="S618" s="171" t="n">
        <v>75000</v>
      </c>
      <c r="T618" s="169" t="inlineStr">
        <is>
          <t>CLP</t>
        </is>
      </c>
      <c r="U618" s="169" t="inlineStr">
        <is>
          <t>Carga LH 18-06-26</t>
        </is>
      </c>
      <c r="V618" s="169" t="inlineStr">
        <is>
          <t>2026-06-18</t>
        </is>
      </c>
    </row>
    <row r="619">
      <c r="A619" s="169" t="inlineStr">
        <is>
          <t>CR-0616</t>
        </is>
      </c>
      <c r="B619" s="169" t="inlineStr">
        <is>
          <t>2026/27</t>
        </is>
      </c>
      <c r="C619" s="231" t="n">
        <v>46119</v>
      </c>
      <c r="D619" s="169" t="inlineStr">
        <is>
          <t>1021</t>
        </is>
      </c>
      <c r="E619" s="169" t="inlineStr">
        <is>
          <t>COMPRA</t>
        </is>
      </c>
      <c r="F619" s="169" t="inlineStr">
        <is>
          <t>Mega Catalina</t>
        </is>
      </c>
      <c r="G619" s="169" t="inlineStr">
        <is>
          <t>EUREKA - 1999 (22,5 Ha.)</t>
        </is>
      </c>
      <c r="H619" s="169" t="n"/>
      <c r="I619" s="169" t="n"/>
      <c r="J619" s="169" t="inlineStr">
        <is>
          <t>LABORES OPERACIONALES</t>
        </is>
      </c>
      <c r="K619" s="169" t="inlineStr">
        <is>
          <t>COSECHA</t>
        </is>
      </c>
      <c r="L619" s="169" t="inlineStr">
        <is>
          <t>SERV.CONTRATISTA</t>
        </is>
      </c>
      <c r="M619" s="169" t="n"/>
      <c r="N619" s="169" t="inlineStr">
        <is>
          <t>.   .   -</t>
        </is>
      </c>
      <c r="O619" s="169" t="inlineStr">
        <is>
          <t>ABRIL</t>
        </is>
      </c>
      <c r="P619" s="169" t="n">
        <v>13</v>
      </c>
      <c r="Q619" s="171" t="n">
        <v>579990</v>
      </c>
      <c r="R619" s="169" t="n"/>
      <c r="S619" s="171" t="n">
        <v>579990</v>
      </c>
      <c r="T619" s="169" t="inlineStr">
        <is>
          <t>CLP</t>
        </is>
      </c>
      <c r="U619" s="169" t="inlineStr">
        <is>
          <t>Carga LH 18-06-26</t>
        </is>
      </c>
      <c r="V619" s="169" t="inlineStr">
        <is>
          <t>2026-06-18</t>
        </is>
      </c>
    </row>
    <row r="620">
      <c r="A620" s="169" t="inlineStr">
        <is>
          <t>CR-0617</t>
        </is>
      </c>
      <c r="B620" s="169" t="inlineStr">
        <is>
          <t>2026/27</t>
        </is>
      </c>
      <c r="C620" s="231" t="n">
        <v>46119</v>
      </c>
      <c r="D620" s="169" t="inlineStr">
        <is>
          <t>1021</t>
        </is>
      </c>
      <c r="E620" s="169" t="inlineStr">
        <is>
          <t>COMPRA</t>
        </is>
      </c>
      <c r="F620" s="169" t="inlineStr">
        <is>
          <t>Mega Catalina</t>
        </is>
      </c>
      <c r="G620" s="169" t="inlineStr">
        <is>
          <t>EUREKA - 2016 (14,4 Ha.)</t>
        </is>
      </c>
      <c r="H620" s="169" t="n"/>
      <c r="I620" s="169" t="n"/>
      <c r="J620" s="169" t="inlineStr">
        <is>
          <t>LABORES OPERACIONALES</t>
        </is>
      </c>
      <c r="K620" s="169" t="inlineStr">
        <is>
          <t>COSECHA</t>
        </is>
      </c>
      <c r="L620" s="169" t="inlineStr">
        <is>
          <t>SERV.CONTRATISTA</t>
        </is>
      </c>
      <c r="M620" s="169" t="n"/>
      <c r="N620" s="169" t="inlineStr">
        <is>
          <t>.   .   -</t>
        </is>
      </c>
      <c r="O620" s="169" t="inlineStr">
        <is>
          <t>ABRIL</t>
        </is>
      </c>
      <c r="P620" s="169" t="n">
        <v>13</v>
      </c>
      <c r="Q620" s="171" t="n">
        <v>333200</v>
      </c>
      <c r="R620" s="169" t="n"/>
      <c r="S620" s="171" t="n">
        <v>333200</v>
      </c>
      <c r="T620" s="169" t="inlineStr">
        <is>
          <t>CLP</t>
        </is>
      </c>
      <c r="U620" s="169" t="inlineStr">
        <is>
          <t>Carga LH 18-06-26</t>
        </is>
      </c>
      <c r="V620" s="169" t="inlineStr">
        <is>
          <t>2026-06-18</t>
        </is>
      </c>
    </row>
    <row r="621">
      <c r="A621" s="169" t="inlineStr">
        <is>
          <t>CR-0618</t>
        </is>
      </c>
      <c r="B621" s="169" t="inlineStr">
        <is>
          <t>2026/27</t>
        </is>
      </c>
      <c r="C621" s="231" t="n">
        <v>46119</v>
      </c>
      <c r="D621" s="169" t="inlineStr">
        <is>
          <t>215</t>
        </is>
      </c>
      <c r="E621" s="169" t="inlineStr">
        <is>
          <t>COMPRA</t>
        </is>
      </c>
      <c r="F621" s="169" t="inlineStr">
        <is>
          <t>Mega Catalina</t>
        </is>
      </c>
      <c r="G621" s="169" t="inlineStr">
        <is>
          <t>EUREKA - 1999 (22,5 Ha.)</t>
        </is>
      </c>
      <c r="H621" s="169" t="n"/>
      <c r="I621" s="169" t="n"/>
      <c r="J621" s="169" t="inlineStr">
        <is>
          <t>LABORES OPERACIONALES</t>
        </is>
      </c>
      <c r="K621" s="169" t="inlineStr">
        <is>
          <t>COSECHA</t>
        </is>
      </c>
      <c r="L621" s="169" t="inlineStr">
        <is>
          <t>SERV.CONTRATISTA</t>
        </is>
      </c>
      <c r="M621" s="169" t="n"/>
      <c r="N621" s="169" t="inlineStr">
        <is>
          <t>.   .   -</t>
        </is>
      </c>
      <c r="O621" s="169" t="inlineStr">
        <is>
          <t>ABRIL</t>
        </is>
      </c>
      <c r="P621" s="169" t="n">
        <v>13</v>
      </c>
      <c r="Q621" s="171" t="n">
        <v>1003650</v>
      </c>
      <c r="R621" s="169" t="n"/>
      <c r="S621" s="171" t="n">
        <v>1003650</v>
      </c>
      <c r="T621" s="169" t="inlineStr">
        <is>
          <t>CLP</t>
        </is>
      </c>
      <c r="U621" s="169" t="inlineStr">
        <is>
          <t>Carga LH 18-06-26</t>
        </is>
      </c>
      <c r="V621" s="169" t="inlineStr">
        <is>
          <t>2026-06-18</t>
        </is>
      </c>
    </row>
    <row r="622">
      <c r="A622" s="169" t="inlineStr">
        <is>
          <t>CR-0619</t>
        </is>
      </c>
      <c r="B622" s="169" t="inlineStr">
        <is>
          <t>2026/27</t>
        </is>
      </c>
      <c r="C622" s="231" t="n">
        <v>46119</v>
      </c>
      <c r="D622" s="169" t="inlineStr">
        <is>
          <t>215</t>
        </is>
      </c>
      <c r="E622" s="169" t="inlineStr">
        <is>
          <t>COMPRA</t>
        </is>
      </c>
      <c r="F622" s="169" t="inlineStr">
        <is>
          <t>Mega Catalina</t>
        </is>
      </c>
      <c r="G622" s="169" t="inlineStr">
        <is>
          <t>EUREKA - 2016 (14,4 Ha.)</t>
        </is>
      </c>
      <c r="H622" s="169" t="n"/>
      <c r="I622" s="169" t="n"/>
      <c r="J622" s="169" t="inlineStr">
        <is>
          <t>LABORES OPERACIONALES</t>
        </is>
      </c>
      <c r="K622" s="169" t="inlineStr">
        <is>
          <t>COSECHA</t>
        </is>
      </c>
      <c r="L622" s="169" t="inlineStr">
        <is>
          <t>SERV.CONTRATISTA</t>
        </is>
      </c>
      <c r="M622" s="169" t="n"/>
      <c r="N622" s="169" t="inlineStr">
        <is>
          <t>.   .   -</t>
        </is>
      </c>
      <c r="O622" s="169" t="inlineStr">
        <is>
          <t>ABRIL</t>
        </is>
      </c>
      <c r="P622" s="169" t="n">
        <v>13</v>
      </c>
      <c r="Q622" s="171" t="n">
        <v>661220</v>
      </c>
      <c r="R622" s="169" t="n"/>
      <c r="S622" s="171" t="n">
        <v>661220</v>
      </c>
      <c r="T622" s="169" t="inlineStr">
        <is>
          <t>CLP</t>
        </is>
      </c>
      <c r="U622" s="169" t="inlineStr">
        <is>
          <t>Carga LH 18-06-26</t>
        </is>
      </c>
      <c r="V622" s="169" t="inlineStr">
        <is>
          <t>2026-06-18</t>
        </is>
      </c>
    </row>
    <row r="623">
      <c r="A623" s="169" t="inlineStr">
        <is>
          <t>CR-0620</t>
        </is>
      </c>
      <c r="B623" s="169" t="inlineStr">
        <is>
          <t>2026/27</t>
        </is>
      </c>
      <c r="C623" s="231" t="n">
        <v>46120</v>
      </c>
      <c r="D623" s="169" t="inlineStr">
        <is>
          <t>16208</t>
        </is>
      </c>
      <c r="E623" s="169" t="inlineStr">
        <is>
          <t>COMPRA</t>
        </is>
      </c>
      <c r="F623" s="169" t="inlineStr">
        <is>
          <t>El Molle</t>
        </is>
      </c>
      <c r="G623" s="169" t="inlineStr">
        <is>
          <t>WONDERFUL - 2002 (2,80 Ha.)</t>
        </is>
      </c>
      <c r="H623" s="169" t="n"/>
      <c r="I623" s="169" t="n"/>
      <c r="J623" s="169" t="inlineStr">
        <is>
          <t>MATERIALES COSECHA</t>
        </is>
      </c>
      <c r="K623" s="169" t="inlineStr">
        <is>
          <t>TIJERAS</t>
        </is>
      </c>
      <c r="L623" s="169" t="inlineStr">
        <is>
          <t>O/001569 TIJERA COS</t>
        </is>
      </c>
      <c r="M623" s="169" t="n"/>
      <c r="N623" s="169" t="inlineStr">
        <is>
          <t>.   .   -</t>
        </is>
      </c>
      <c r="O623" s="169" t="inlineStr">
        <is>
          <t>ABRIL</t>
        </is>
      </c>
      <c r="P623" s="169" t="n">
        <v>14</v>
      </c>
      <c r="Q623" s="171" t="n">
        <v>105042</v>
      </c>
      <c r="R623" s="169" t="n"/>
      <c r="S623" s="171" t="n">
        <v>105042</v>
      </c>
      <c r="T623" s="169" t="inlineStr">
        <is>
          <t>CLP</t>
        </is>
      </c>
      <c r="U623" s="169" t="inlineStr">
        <is>
          <t>Carga LH 18-06-26</t>
        </is>
      </c>
      <c r="V623" s="169" t="inlineStr">
        <is>
          <t>2026-06-18</t>
        </is>
      </c>
    </row>
    <row r="624">
      <c r="A624" s="169" t="inlineStr">
        <is>
          <t>CR-0621</t>
        </is>
      </c>
      <c r="B624" s="169" t="inlineStr">
        <is>
          <t>2026/27</t>
        </is>
      </c>
      <c r="C624" s="231" t="n">
        <v>46120</v>
      </c>
      <c r="D624" s="169" t="inlineStr">
        <is>
          <t>443147</t>
        </is>
      </c>
      <c r="E624" s="169" t="inlineStr">
        <is>
          <t>COMPRA</t>
        </is>
      </c>
      <c r="F624" s="169" t="inlineStr">
        <is>
          <t>Sin asignar</t>
        </is>
      </c>
      <c r="G624" s="169" t="inlineStr">
        <is>
          <t>BODEGA</t>
        </is>
      </c>
      <c r="H624" s="169" t="n"/>
      <c r="I624" s="169" t="n"/>
      <c r="J624" s="169" t="inlineStr">
        <is>
          <t>MANT. Y REP. PLANTACIONES</t>
        </is>
      </c>
      <c r="K624" s="169" t="inlineStr">
        <is>
          <t>MANTENCION HUERTO</t>
        </is>
      </c>
      <c r="L624" s="169" t="inlineStr">
        <is>
          <t>O/001560 RASCHEL 80</t>
        </is>
      </c>
      <c r="M624" s="169" t="n"/>
      <c r="N624" s="169" t="inlineStr">
        <is>
          <t>.   .   -</t>
        </is>
      </c>
      <c r="O624" s="169" t="inlineStr">
        <is>
          <t>ABRIL</t>
        </is>
      </c>
      <c r="P624" s="169" t="n">
        <v>14</v>
      </c>
      <c r="Q624" s="171" t="n">
        <v>113445</v>
      </c>
      <c r="R624" s="169" t="n"/>
      <c r="S624" s="171" t="n">
        <v>113445</v>
      </c>
      <c r="T624" s="169" t="inlineStr">
        <is>
          <t>CLP</t>
        </is>
      </c>
      <c r="U624" s="169" t="inlineStr">
        <is>
          <t>Carga LH 18-06-26</t>
        </is>
      </c>
      <c r="V624" s="169" t="inlineStr">
        <is>
          <t>2026-06-18</t>
        </is>
      </c>
    </row>
    <row r="625">
      <c r="A625" s="169" t="inlineStr">
        <is>
          <t>CR-0622</t>
        </is>
      </c>
      <c r="B625" s="169" t="inlineStr">
        <is>
          <t>2026/27</t>
        </is>
      </c>
      <c r="C625" s="231" t="n">
        <v>46120</v>
      </c>
      <c r="D625" s="169" t="inlineStr">
        <is>
          <t>8463</t>
        </is>
      </c>
      <c r="E625" s="169" t="inlineStr">
        <is>
          <t>COMPRA</t>
        </is>
      </c>
      <c r="F625" s="169" t="inlineStr">
        <is>
          <t>Sin asignar</t>
        </is>
      </c>
      <c r="G625" s="169" t="inlineStr">
        <is>
          <t>PACKING</t>
        </is>
      </c>
      <c r="H625" s="169" t="n"/>
      <c r="I625" s="169" t="n"/>
      <c r="J625" s="169" t="inlineStr">
        <is>
          <t>FLETES</t>
        </is>
      </c>
      <c r="K625" s="169" t="inlineStr">
        <is>
          <t>FLETE FRUTA</t>
        </is>
      </c>
      <c r="L625" s="169" t="inlineStr">
        <is>
          <t>O/001577 FLETE</t>
        </is>
      </c>
      <c r="M625" s="169" t="n"/>
      <c r="N625" s="169" t="inlineStr">
        <is>
          <t>.   .   -</t>
        </is>
      </c>
      <c r="O625" s="169" t="inlineStr">
        <is>
          <t>ABRIL</t>
        </is>
      </c>
      <c r="P625" s="169" t="n">
        <v>14</v>
      </c>
      <c r="Q625" s="171" t="n">
        <v>565000</v>
      </c>
      <c r="R625" s="169" t="n"/>
      <c r="S625" s="171" t="n">
        <v>565000</v>
      </c>
      <c r="T625" s="169" t="inlineStr">
        <is>
          <t>CLP</t>
        </is>
      </c>
      <c r="U625" s="169" t="inlineStr">
        <is>
          <t>Carga LH 18-06-26</t>
        </is>
      </c>
      <c r="V625" s="169" t="inlineStr">
        <is>
          <t>2026-06-18</t>
        </is>
      </c>
    </row>
    <row r="626">
      <c r="A626" s="169" t="inlineStr">
        <is>
          <t>CR-0623</t>
        </is>
      </c>
      <c r="B626" s="169" t="inlineStr">
        <is>
          <t>2026/27</t>
        </is>
      </c>
      <c r="C626" s="231" t="n">
        <v>46120</v>
      </c>
      <c r="D626" s="169" t="inlineStr">
        <is>
          <t>8463</t>
        </is>
      </c>
      <c r="E626" s="169" t="inlineStr">
        <is>
          <t>COMPRA</t>
        </is>
      </c>
      <c r="F626" s="169" t="inlineStr">
        <is>
          <t>Sin asignar</t>
        </is>
      </c>
      <c r="G626" s="169" t="inlineStr">
        <is>
          <t>PACKING</t>
        </is>
      </c>
      <c r="H626" s="169" t="n"/>
      <c r="I626" s="169" t="n"/>
      <c r="J626" s="169" t="inlineStr">
        <is>
          <t>FLETES</t>
        </is>
      </c>
      <c r="K626" s="169" t="inlineStr">
        <is>
          <t>FLETE FRUTA</t>
        </is>
      </c>
      <c r="L626" s="169" t="inlineStr">
        <is>
          <t>O/001577 FLETE</t>
        </is>
      </c>
      <c r="M626" s="169" t="n"/>
      <c r="N626" s="169" t="inlineStr">
        <is>
          <t>.   .   -</t>
        </is>
      </c>
      <c r="O626" s="169" t="inlineStr">
        <is>
          <t>ABRIL</t>
        </is>
      </c>
      <c r="P626" s="169" t="n">
        <v>14</v>
      </c>
      <c r="Q626" s="171" t="n">
        <v>305500</v>
      </c>
      <c r="R626" s="169" t="n"/>
      <c r="S626" s="171" t="n">
        <v>305500</v>
      </c>
      <c r="T626" s="169" t="inlineStr">
        <is>
          <t>CLP</t>
        </is>
      </c>
      <c r="U626" s="169" t="inlineStr">
        <is>
          <t>Carga LH 18-06-26</t>
        </is>
      </c>
      <c r="V626" s="169" t="inlineStr">
        <is>
          <t>2026-06-18</t>
        </is>
      </c>
    </row>
    <row r="627">
      <c r="A627" s="169" t="inlineStr">
        <is>
          <t>CR-0624</t>
        </is>
      </c>
      <c r="B627" s="169" t="inlineStr">
        <is>
          <t>2026/27</t>
        </is>
      </c>
      <c r="C627" s="231" t="n">
        <v>46120</v>
      </c>
      <c r="D627" s="169" t="inlineStr">
        <is>
          <t>8463</t>
        </is>
      </c>
      <c r="E627" s="169" t="inlineStr">
        <is>
          <t>COMPRA</t>
        </is>
      </c>
      <c r="F627" s="169" t="inlineStr">
        <is>
          <t>Sin asignar</t>
        </is>
      </c>
      <c r="G627" s="169" t="inlineStr">
        <is>
          <t>PACKING</t>
        </is>
      </c>
      <c r="H627" s="169" t="n"/>
      <c r="I627" s="169" t="n"/>
      <c r="J627" s="169" t="inlineStr">
        <is>
          <t>FLETES</t>
        </is>
      </c>
      <c r="K627" s="169" t="inlineStr">
        <is>
          <t>FLETE FRUTA</t>
        </is>
      </c>
      <c r="L627" s="169" t="inlineStr">
        <is>
          <t>O/001577 FLETE</t>
        </is>
      </c>
      <c r="M627" s="169" t="n"/>
      <c r="N627" s="169" t="inlineStr">
        <is>
          <t>.   .   -</t>
        </is>
      </c>
      <c r="O627" s="169" t="inlineStr">
        <is>
          <t>ABRIL</t>
        </is>
      </c>
      <c r="P627" s="169" t="n">
        <v>14</v>
      </c>
      <c r="Q627" s="171" t="n">
        <v>331500</v>
      </c>
      <c r="R627" s="169" t="n"/>
      <c r="S627" s="171" t="n">
        <v>331500</v>
      </c>
      <c r="T627" s="169" t="inlineStr">
        <is>
          <t>CLP</t>
        </is>
      </c>
      <c r="U627" s="169" t="inlineStr">
        <is>
          <t>Carga LH 18-06-26</t>
        </is>
      </c>
      <c r="V627" s="169" t="inlineStr">
        <is>
          <t>2026-06-18</t>
        </is>
      </c>
    </row>
    <row r="628">
      <c r="A628" s="169" t="inlineStr">
        <is>
          <t>CR-0625</t>
        </is>
      </c>
      <c r="B628" s="169" t="inlineStr">
        <is>
          <t>2026/27</t>
        </is>
      </c>
      <c r="C628" s="231" t="n">
        <v>46120</v>
      </c>
      <c r="D628" s="169" t="inlineStr">
        <is>
          <t>8463</t>
        </is>
      </c>
      <c r="E628" s="169" t="inlineStr">
        <is>
          <t>COMPRA</t>
        </is>
      </c>
      <c r="F628" s="169" t="inlineStr">
        <is>
          <t>Sin asignar</t>
        </is>
      </c>
      <c r="G628" s="169" t="inlineStr">
        <is>
          <t>PACKING</t>
        </is>
      </c>
      <c r="H628" s="169" t="n"/>
      <c r="I628" s="169" t="n"/>
      <c r="J628" s="169" t="inlineStr">
        <is>
          <t>FLETES</t>
        </is>
      </c>
      <c r="K628" s="169" t="inlineStr">
        <is>
          <t>FLETE FRUTA</t>
        </is>
      </c>
      <c r="L628" s="169" t="inlineStr">
        <is>
          <t>O/001577 FLETE</t>
        </is>
      </c>
      <c r="M628" s="169" t="n"/>
      <c r="N628" s="169" t="inlineStr">
        <is>
          <t>.   .   -</t>
        </is>
      </c>
      <c r="O628" s="169" t="inlineStr">
        <is>
          <t>ABRIL</t>
        </is>
      </c>
      <c r="P628" s="169" t="n">
        <v>14</v>
      </c>
      <c r="Q628" s="171" t="n">
        <v>80000</v>
      </c>
      <c r="R628" s="169" t="n"/>
      <c r="S628" s="171" t="n">
        <v>80000</v>
      </c>
      <c r="T628" s="169" t="inlineStr">
        <is>
          <t>CLP</t>
        </is>
      </c>
      <c r="U628" s="169" t="inlineStr">
        <is>
          <t>Carga LH 18-06-26</t>
        </is>
      </c>
      <c r="V628" s="169" t="inlineStr">
        <is>
          <t>2026-06-18</t>
        </is>
      </c>
    </row>
    <row r="629">
      <c r="A629" s="169" t="inlineStr">
        <is>
          <t>CR-0626</t>
        </is>
      </c>
      <c r="B629" s="169" t="inlineStr">
        <is>
          <t>2026/27</t>
        </is>
      </c>
      <c r="C629" s="231" t="n">
        <v>46122</v>
      </c>
      <c r="D629" s="169" t="inlineStr">
        <is>
          <t>452617</t>
        </is>
      </c>
      <c r="E629" s="169" t="inlineStr">
        <is>
          <t>COMPRA</t>
        </is>
      </c>
      <c r="F629" s="169" t="inlineStr">
        <is>
          <t>Sin asignar</t>
        </is>
      </c>
      <c r="G629" s="169" t="inlineStr">
        <is>
          <t>PACKING</t>
        </is>
      </c>
      <c r="H629" s="169" t="n"/>
      <c r="I629" s="169" t="n"/>
      <c r="J629" s="169" t="inlineStr">
        <is>
          <t>COMBUSTIBLE</t>
        </is>
      </c>
      <c r="K629" s="169" t="inlineStr">
        <is>
          <t>MOLLE GRUA HORQUILLA</t>
        </is>
      </c>
      <c r="L629" s="169" t="inlineStr">
        <is>
          <t>O/001593 GAS ENV. 1</t>
        </is>
      </c>
      <c r="M629" s="169" t="n"/>
      <c r="N629" s="169" t="inlineStr">
        <is>
          <t>.   .   -</t>
        </is>
      </c>
      <c r="O629" s="169" t="inlineStr">
        <is>
          <t>ABRIL</t>
        </is>
      </c>
      <c r="P629" s="169" t="n">
        <v>14</v>
      </c>
      <c r="Q629" s="171" t="n">
        <v>44894</v>
      </c>
      <c r="R629" s="169" t="n"/>
      <c r="S629" s="171" t="n">
        <v>44894</v>
      </c>
      <c r="T629" s="169" t="inlineStr">
        <is>
          <t>CLP</t>
        </is>
      </c>
      <c r="U629" s="169" t="inlineStr">
        <is>
          <t>Carga LH 18-06-26</t>
        </is>
      </c>
      <c r="V629" s="169" t="inlineStr">
        <is>
          <t>2026-06-18</t>
        </is>
      </c>
    </row>
    <row r="630">
      <c r="A630" s="169" t="inlineStr">
        <is>
          <t>CR-0627</t>
        </is>
      </c>
      <c r="B630" s="169" t="inlineStr">
        <is>
          <t>2026/27</t>
        </is>
      </c>
      <c r="C630" s="231" t="n">
        <v>46125</v>
      </c>
      <c r="D630" s="169" t="inlineStr">
        <is>
          <t>309</t>
        </is>
      </c>
      <c r="E630" s="169" t="inlineStr">
        <is>
          <t>COMPRA</t>
        </is>
      </c>
      <c r="F630" s="169" t="inlineStr">
        <is>
          <t>Sin asignar</t>
        </is>
      </c>
      <c r="G630" s="169" t="inlineStr">
        <is>
          <t>PACKING</t>
        </is>
      </c>
      <c r="H630" s="169" t="n"/>
      <c r="I630" s="169" t="n"/>
      <c r="J630" s="169" t="inlineStr">
        <is>
          <t>MANT. Y REP. CONSTRUCCIONES</t>
        </is>
      </c>
      <c r="K630" s="169" t="inlineStr">
        <is>
          <t>MANTENCION ELECTRICA</t>
        </is>
      </c>
      <c r="L630" s="169" t="inlineStr">
        <is>
          <t>O/001583 MANTENCION</t>
        </is>
      </c>
      <c r="M630" s="169" t="n"/>
      <c r="N630" s="169" t="inlineStr">
        <is>
          <t>.   .   -</t>
        </is>
      </c>
      <c r="O630" s="169" t="inlineStr">
        <is>
          <t>ABRIL</t>
        </is>
      </c>
      <c r="P630" s="169" t="n">
        <v>14</v>
      </c>
      <c r="Q630" s="171" t="n">
        <v>836000</v>
      </c>
      <c r="R630" s="169" t="n"/>
      <c r="S630" s="171" t="n">
        <v>836000</v>
      </c>
      <c r="T630" s="169" t="inlineStr">
        <is>
          <t>CLP</t>
        </is>
      </c>
      <c r="U630" s="169" t="inlineStr">
        <is>
          <t>Carga LH 18-06-26</t>
        </is>
      </c>
      <c r="V630" s="169" t="inlineStr">
        <is>
          <t>2026-06-18</t>
        </is>
      </c>
    </row>
    <row r="631">
      <c r="A631" s="169" t="inlineStr">
        <is>
          <t>CR-0628</t>
        </is>
      </c>
      <c r="B631" s="169" t="inlineStr">
        <is>
          <t>2026/27</t>
        </is>
      </c>
      <c r="C631" s="231" t="n">
        <v>46113</v>
      </c>
      <c r="D631" s="169" t="inlineStr">
        <is>
          <t>238</t>
        </is>
      </c>
      <c r="E631" s="169" t="inlineStr">
        <is>
          <t>COMPRA</t>
        </is>
      </c>
      <c r="F631" s="169" t="inlineStr">
        <is>
          <t>Mega Catalina</t>
        </is>
      </c>
      <c r="G631" s="169" t="inlineStr">
        <is>
          <t>SWEET CELEBRATION - 2015 (7,14 Ha.)</t>
        </is>
      </c>
      <c r="H631" s="169" t="n"/>
      <c r="I631" s="169" t="n"/>
      <c r="J631" s="169" t="inlineStr">
        <is>
          <t>MANO DE OBRA CONTRATISTA</t>
        </is>
      </c>
      <c r="K631" s="169" t="inlineStr">
        <is>
          <t>M.O. CONTRATISTA</t>
        </is>
      </c>
      <c r="L631" s="169" t="inlineStr">
        <is>
          <t>SERV.CONTRATISTA</t>
        </is>
      </c>
      <c r="M631" s="169" t="n"/>
      <c r="N631" s="169" t="inlineStr">
        <is>
          <t>.   .   -</t>
        </is>
      </c>
      <c r="O631" s="169" t="inlineStr">
        <is>
          <t>ABRIL</t>
        </is>
      </c>
      <c r="P631" s="169" t="n">
        <v>13</v>
      </c>
      <c r="Q631" s="171" t="n">
        <v>577750</v>
      </c>
      <c r="R631" s="169" t="n"/>
      <c r="S631" s="171" t="n">
        <v>577750</v>
      </c>
      <c r="T631" s="169" t="inlineStr">
        <is>
          <t>CLP</t>
        </is>
      </c>
      <c r="U631" s="169" t="inlineStr">
        <is>
          <t>Carga LH 18-06-26</t>
        </is>
      </c>
      <c r="V631" s="169" t="inlineStr">
        <is>
          <t>2026-06-18</t>
        </is>
      </c>
    </row>
    <row r="632">
      <c r="A632" s="169" t="inlineStr">
        <is>
          <t>CR-0629</t>
        </is>
      </c>
      <c r="B632" s="169" t="inlineStr">
        <is>
          <t>2026/27</t>
        </is>
      </c>
      <c r="C632" s="231" t="n">
        <v>46126</v>
      </c>
      <c r="D632" s="169" t="inlineStr">
        <is>
          <t>176</t>
        </is>
      </c>
      <c r="E632" s="169" t="inlineStr">
        <is>
          <t>COMPRA</t>
        </is>
      </c>
      <c r="F632" s="169" t="inlineStr">
        <is>
          <t>Asmara</t>
        </is>
      </c>
      <c r="G632" s="169" t="inlineStr">
        <is>
          <t>MURCOTT - 2020 (19,8 Ha.)</t>
        </is>
      </c>
      <c r="H632" s="169" t="n"/>
      <c r="I632" s="169" t="n"/>
      <c r="J632" s="169" t="inlineStr">
        <is>
          <t>LABORES OPERACIONALES</t>
        </is>
      </c>
      <c r="K632" s="169" t="inlineStr">
        <is>
          <t>PODA</t>
        </is>
      </c>
      <c r="L632" s="169" t="inlineStr">
        <is>
          <t>SERV.CONTRATISTA</t>
        </is>
      </c>
      <c r="M632" s="169" t="n"/>
      <c r="N632" s="169" t="inlineStr">
        <is>
          <t>.   .   -</t>
        </is>
      </c>
      <c r="O632" s="169" t="inlineStr">
        <is>
          <t>ABRIL</t>
        </is>
      </c>
      <c r="P632" s="169" t="n">
        <v>14</v>
      </c>
      <c r="Q632" s="171" t="n">
        <v>1126150</v>
      </c>
      <c r="R632" s="169" t="n"/>
      <c r="S632" s="171" t="n">
        <v>1126150</v>
      </c>
      <c r="T632" s="169" t="inlineStr">
        <is>
          <t>CLP</t>
        </is>
      </c>
      <c r="U632" s="169" t="inlineStr">
        <is>
          <t>Carga LH 18-06-26</t>
        </is>
      </c>
      <c r="V632" s="169" t="inlineStr">
        <is>
          <t>2026-06-18</t>
        </is>
      </c>
    </row>
    <row r="633">
      <c r="A633" s="169" t="inlineStr">
        <is>
          <t>CR-0630</t>
        </is>
      </c>
      <c r="B633" s="169" t="inlineStr">
        <is>
          <t>2026/27</t>
        </is>
      </c>
      <c r="C633" s="231" t="n">
        <v>46126</v>
      </c>
      <c r="D633" s="169" t="inlineStr">
        <is>
          <t>176</t>
        </is>
      </c>
      <c r="E633" s="169" t="inlineStr">
        <is>
          <t>COMPRA</t>
        </is>
      </c>
      <c r="F633" s="169" t="inlineStr">
        <is>
          <t>Asmara</t>
        </is>
      </c>
      <c r="G633" s="169" t="inlineStr">
        <is>
          <t>MURCOTT - 2020 (4,9 Ha.)</t>
        </is>
      </c>
      <c r="H633" s="169" t="n"/>
      <c r="I633" s="169" t="n"/>
      <c r="J633" s="169" t="inlineStr">
        <is>
          <t>LABORES OPERACIONALES</t>
        </is>
      </c>
      <c r="K633" s="169" t="inlineStr">
        <is>
          <t>PODA</t>
        </is>
      </c>
      <c r="L633" s="169" t="inlineStr">
        <is>
          <t>SERV.CONTRATISTA</t>
        </is>
      </c>
      <c r="M633" s="169" t="n"/>
      <c r="N633" s="169" t="inlineStr">
        <is>
          <t>.   .   -</t>
        </is>
      </c>
      <c r="O633" s="169" t="inlineStr">
        <is>
          <t>ABRIL</t>
        </is>
      </c>
      <c r="P633" s="169" t="n">
        <v>14</v>
      </c>
      <c r="Q633" s="171" t="n">
        <v>927350</v>
      </c>
      <c r="R633" s="169" t="n"/>
      <c r="S633" s="171" t="n">
        <v>927350</v>
      </c>
      <c r="T633" s="169" t="inlineStr">
        <is>
          <t>CLP</t>
        </is>
      </c>
      <c r="U633" s="169" t="inlineStr">
        <is>
          <t>Carga LH 18-06-26</t>
        </is>
      </c>
      <c r="V633" s="169" t="inlineStr">
        <is>
          <t>2026-06-18</t>
        </is>
      </c>
    </row>
    <row r="634">
      <c r="A634" s="169" t="inlineStr">
        <is>
          <t>CR-0631</t>
        </is>
      </c>
      <c r="B634" s="169" t="inlineStr">
        <is>
          <t>2026/27</t>
        </is>
      </c>
      <c r="C634" s="231" t="n">
        <v>46126</v>
      </c>
      <c r="D634" s="169" t="inlineStr">
        <is>
          <t>1022</t>
        </is>
      </c>
      <c r="E634" s="169" t="inlineStr">
        <is>
          <t>COMPRA</t>
        </is>
      </c>
      <c r="F634" s="169" t="inlineStr">
        <is>
          <t>Mega Catalina</t>
        </is>
      </c>
      <c r="G634" s="169" t="inlineStr">
        <is>
          <t>EUREKA - 1999 (22,5 Ha.)</t>
        </is>
      </c>
      <c r="H634" s="169" t="n"/>
      <c r="I634" s="169" t="n"/>
      <c r="J634" s="169" t="inlineStr">
        <is>
          <t>LABORES OPERACIONALES</t>
        </is>
      </c>
      <c r="K634" s="169" t="inlineStr">
        <is>
          <t>COSECHA</t>
        </is>
      </c>
      <c r="L634" s="169" t="inlineStr">
        <is>
          <t>SERV.CONTRATISTA</t>
        </is>
      </c>
      <c r="M634" s="169" t="n"/>
      <c r="N634" s="169" t="inlineStr">
        <is>
          <t>.   .   -</t>
        </is>
      </c>
      <c r="O634" s="169" t="inlineStr">
        <is>
          <t>ABRIL</t>
        </is>
      </c>
      <c r="P634" s="169" t="n">
        <v>14</v>
      </c>
      <c r="Q634" s="171" t="n">
        <v>170660</v>
      </c>
      <c r="R634" s="169" t="n"/>
      <c r="S634" s="171" t="n">
        <v>170660</v>
      </c>
      <c r="T634" s="169" t="inlineStr">
        <is>
          <t>CLP</t>
        </is>
      </c>
      <c r="U634" s="169" t="inlineStr">
        <is>
          <t>Carga LH 18-06-26</t>
        </is>
      </c>
      <c r="V634" s="169" t="inlineStr">
        <is>
          <t>2026-06-18</t>
        </is>
      </c>
    </row>
    <row r="635">
      <c r="A635" s="169" t="inlineStr">
        <is>
          <t>CR-0632</t>
        </is>
      </c>
      <c r="B635" s="169" t="inlineStr">
        <is>
          <t>2026/27</t>
        </is>
      </c>
      <c r="C635" s="231" t="n">
        <v>46126</v>
      </c>
      <c r="D635" s="169" t="inlineStr">
        <is>
          <t>1022</t>
        </is>
      </c>
      <c r="E635" s="169" t="inlineStr">
        <is>
          <t>COMPRA</t>
        </is>
      </c>
      <c r="F635" s="169" t="inlineStr">
        <is>
          <t>Mega Catalina</t>
        </is>
      </c>
      <c r="G635" s="169" t="inlineStr">
        <is>
          <t>EUREKA - 1999 (10,6 Ha.)</t>
        </is>
      </c>
      <c r="H635" s="169" t="n"/>
      <c r="I635" s="169" t="n"/>
      <c r="J635" s="169" t="inlineStr">
        <is>
          <t>LABORES OPERACIONALES</t>
        </is>
      </c>
      <c r="K635" s="169" t="inlineStr">
        <is>
          <t>COSECHA</t>
        </is>
      </c>
      <c r="L635" s="169" t="inlineStr">
        <is>
          <t>SERV.CONTRATISTA</t>
        </is>
      </c>
      <c r="M635" s="169" t="n"/>
      <c r="N635" s="169" t="inlineStr">
        <is>
          <t>.   .   -</t>
        </is>
      </c>
      <c r="O635" s="169" t="inlineStr">
        <is>
          <t>ABRIL</t>
        </is>
      </c>
      <c r="P635" s="169" t="n">
        <v>14</v>
      </c>
      <c r="Q635" s="171" t="n">
        <v>440860</v>
      </c>
      <c r="R635" s="169" t="n"/>
      <c r="S635" s="171" t="n">
        <v>440860</v>
      </c>
      <c r="T635" s="169" t="inlineStr">
        <is>
          <t>CLP</t>
        </is>
      </c>
      <c r="U635" s="169" t="inlineStr">
        <is>
          <t>Carga LH 18-06-26</t>
        </is>
      </c>
      <c r="V635" s="169" t="inlineStr">
        <is>
          <t>2026-06-18</t>
        </is>
      </c>
    </row>
    <row r="636">
      <c r="A636" s="169" t="inlineStr">
        <is>
          <t>CR-0633</t>
        </is>
      </c>
      <c r="B636" s="169" t="inlineStr">
        <is>
          <t>2026/27</t>
        </is>
      </c>
      <c r="C636" s="231" t="n">
        <v>46126</v>
      </c>
      <c r="D636" s="169" t="inlineStr">
        <is>
          <t>1022</t>
        </is>
      </c>
      <c r="E636" s="169" t="inlineStr">
        <is>
          <t>COMPRA</t>
        </is>
      </c>
      <c r="F636" s="169" t="inlineStr">
        <is>
          <t>Mega Catalina</t>
        </is>
      </c>
      <c r="G636" s="169" t="inlineStr">
        <is>
          <t>EUREKA - 2016 (14,4 Ha.)</t>
        </is>
      </c>
      <c r="H636" s="169" t="n"/>
      <c r="I636" s="169" t="n"/>
      <c r="J636" s="169" t="inlineStr">
        <is>
          <t>LABORES OPERACIONALES</t>
        </is>
      </c>
      <c r="K636" s="169" t="inlineStr">
        <is>
          <t>COSECHA</t>
        </is>
      </c>
      <c r="L636" s="169" t="inlineStr">
        <is>
          <t>SERV.CONTRATISTA</t>
        </is>
      </c>
      <c r="M636" s="169" t="n"/>
      <c r="N636" s="169" t="inlineStr">
        <is>
          <t>.   .   -</t>
        </is>
      </c>
      <c r="O636" s="169" t="inlineStr">
        <is>
          <t>ABRIL</t>
        </is>
      </c>
      <c r="P636" s="169" t="n">
        <v>14</v>
      </c>
      <c r="Q636" s="171" t="n">
        <v>428680</v>
      </c>
      <c r="R636" s="169" t="n"/>
      <c r="S636" s="171" t="n">
        <v>428680</v>
      </c>
      <c r="T636" s="169" t="inlineStr">
        <is>
          <t>CLP</t>
        </is>
      </c>
      <c r="U636" s="169" t="inlineStr">
        <is>
          <t>Carga LH 18-06-26</t>
        </is>
      </c>
      <c r="V636" s="169" t="inlineStr">
        <is>
          <t>2026-06-18</t>
        </is>
      </c>
    </row>
    <row r="637">
      <c r="A637" s="169" t="inlineStr">
        <is>
          <t>CR-0634</t>
        </is>
      </c>
      <c r="B637" s="169" t="inlineStr">
        <is>
          <t>2026/27</t>
        </is>
      </c>
      <c r="C637" s="231" t="n">
        <v>46126</v>
      </c>
      <c r="D637" s="169" t="inlineStr">
        <is>
          <t>652</t>
        </is>
      </c>
      <c r="E637" s="169" t="inlineStr">
        <is>
          <t>COMPRA</t>
        </is>
      </c>
      <c r="F637" s="169" t="inlineStr">
        <is>
          <t>Mega Catalina</t>
        </is>
      </c>
      <c r="G637" s="169" t="inlineStr">
        <is>
          <t>EUREKA - 1999 (22,5 Ha.)</t>
        </is>
      </c>
      <c r="H637" s="169" t="n"/>
      <c r="I637" s="169" t="n"/>
      <c r="J637" s="169" t="inlineStr">
        <is>
          <t>LABORES OPERACIONALES</t>
        </is>
      </c>
      <c r="K637" s="169" t="inlineStr">
        <is>
          <t>COSECHA</t>
        </is>
      </c>
      <c r="L637" s="169" t="inlineStr">
        <is>
          <t>SERV.CONTRATISTA</t>
        </is>
      </c>
      <c r="M637" s="169" t="n"/>
      <c r="N637" s="169" t="inlineStr">
        <is>
          <t>.   .   -</t>
        </is>
      </c>
      <c r="O637" s="169" t="inlineStr">
        <is>
          <t>ABRIL</t>
        </is>
      </c>
      <c r="P637" s="169" t="n">
        <v>14</v>
      </c>
      <c r="Q637" s="171" t="n">
        <v>780920</v>
      </c>
      <c r="R637" s="169" t="n"/>
      <c r="S637" s="171" t="n">
        <v>780920</v>
      </c>
      <c r="T637" s="169" t="inlineStr">
        <is>
          <t>CLP</t>
        </is>
      </c>
      <c r="U637" s="169" t="inlineStr">
        <is>
          <t>Carga LH 18-06-26</t>
        </is>
      </c>
      <c r="V637" s="169" t="inlineStr">
        <is>
          <t>2026-06-18</t>
        </is>
      </c>
    </row>
    <row r="638">
      <c r="A638" s="169" t="inlineStr">
        <is>
          <t>CR-0635</t>
        </is>
      </c>
      <c r="B638" s="169" t="inlineStr">
        <is>
          <t>2026/27</t>
        </is>
      </c>
      <c r="C638" s="231" t="n">
        <v>46126</v>
      </c>
      <c r="D638" s="169" t="inlineStr">
        <is>
          <t>652</t>
        </is>
      </c>
      <c r="E638" s="169" t="inlineStr">
        <is>
          <t>COMPRA</t>
        </is>
      </c>
      <c r="F638" s="169" t="inlineStr">
        <is>
          <t>Mega Catalina</t>
        </is>
      </c>
      <c r="G638" s="169" t="inlineStr">
        <is>
          <t>EUREKA - 1999 (22,5 Ha.)</t>
        </is>
      </c>
      <c r="H638" s="169" t="n"/>
      <c r="I638" s="169" t="n"/>
      <c r="J638" s="169" t="inlineStr">
        <is>
          <t>LABORES OPERACIONALES</t>
        </is>
      </c>
      <c r="K638" s="169" t="inlineStr">
        <is>
          <t>SELECCION</t>
        </is>
      </c>
      <c r="L638" s="169" t="inlineStr">
        <is>
          <t>SERV.CONTRATISTA</t>
        </is>
      </c>
      <c r="M638" s="169" t="n"/>
      <c r="N638" s="169" t="inlineStr">
        <is>
          <t>.   .   -</t>
        </is>
      </c>
      <c r="O638" s="169" t="inlineStr">
        <is>
          <t>ABRIL</t>
        </is>
      </c>
      <c r="P638" s="169" t="n">
        <v>14</v>
      </c>
      <c r="Q638" s="171" t="n">
        <v>75000</v>
      </c>
      <c r="R638" s="169" t="n"/>
      <c r="S638" s="171" t="n">
        <v>75000</v>
      </c>
      <c r="T638" s="169" t="inlineStr">
        <is>
          <t>CLP</t>
        </is>
      </c>
      <c r="U638" s="169" t="inlineStr">
        <is>
          <t>Carga LH 18-06-26</t>
        </is>
      </c>
      <c r="V638" s="169" t="inlineStr">
        <is>
          <t>2026-06-18</t>
        </is>
      </c>
    </row>
    <row r="639">
      <c r="A639" s="169" t="inlineStr">
        <is>
          <t>CR-0636</t>
        </is>
      </c>
      <c r="B639" s="169" t="inlineStr">
        <is>
          <t>2026/27</t>
        </is>
      </c>
      <c r="C639" s="231" t="n">
        <v>46126</v>
      </c>
      <c r="D639" s="169" t="inlineStr">
        <is>
          <t>652</t>
        </is>
      </c>
      <c r="E639" s="169" t="inlineStr">
        <is>
          <t>COMPRA</t>
        </is>
      </c>
      <c r="F639" s="169" t="inlineStr">
        <is>
          <t>Mega Catalina</t>
        </is>
      </c>
      <c r="G639" s="169" t="inlineStr">
        <is>
          <t>EUREKA - 1999 (10,6 Ha.)</t>
        </is>
      </c>
      <c r="H639" s="169" t="n"/>
      <c r="I639" s="169" t="n"/>
      <c r="J639" s="169" t="inlineStr">
        <is>
          <t>LABORES OPERACIONALES</t>
        </is>
      </c>
      <c r="K639" s="169" t="inlineStr">
        <is>
          <t>COSECHA</t>
        </is>
      </c>
      <c r="L639" s="169" t="inlineStr">
        <is>
          <t>SERV.CONTRATISTA</t>
        </is>
      </c>
      <c r="M639" s="169" t="n"/>
      <c r="N639" s="169" t="inlineStr">
        <is>
          <t>.   .   -</t>
        </is>
      </c>
      <c r="O639" s="169" t="inlineStr">
        <is>
          <t>ABRIL</t>
        </is>
      </c>
      <c r="P639" s="169" t="n">
        <v>14</v>
      </c>
      <c r="Q639" s="171" t="n">
        <v>649320</v>
      </c>
      <c r="R639" s="169" t="n"/>
      <c r="S639" s="171" t="n">
        <v>649320</v>
      </c>
      <c r="T639" s="169" t="inlineStr">
        <is>
          <t>CLP</t>
        </is>
      </c>
      <c r="U639" s="169" t="inlineStr">
        <is>
          <t>Carga LH 18-06-26</t>
        </is>
      </c>
      <c r="V639" s="169" t="inlineStr">
        <is>
          <t>2026-06-18</t>
        </is>
      </c>
    </row>
    <row r="640">
      <c r="A640" s="169" t="inlineStr">
        <is>
          <t>CR-0637</t>
        </is>
      </c>
      <c r="B640" s="169" t="inlineStr">
        <is>
          <t>2026/27</t>
        </is>
      </c>
      <c r="C640" s="231" t="n">
        <v>46126</v>
      </c>
      <c r="D640" s="169" t="inlineStr">
        <is>
          <t>652</t>
        </is>
      </c>
      <c r="E640" s="169" t="inlineStr">
        <is>
          <t>COMPRA</t>
        </is>
      </c>
      <c r="F640" s="169" t="inlineStr">
        <is>
          <t>Mega Catalina</t>
        </is>
      </c>
      <c r="G640" s="169" t="inlineStr">
        <is>
          <t>EUREKA - 1999 (10,6 Ha.)</t>
        </is>
      </c>
      <c r="H640" s="169" t="n"/>
      <c r="I640" s="169" t="n"/>
      <c r="J640" s="169" t="inlineStr">
        <is>
          <t>LABORES OPERACIONALES</t>
        </is>
      </c>
      <c r="K640" s="169" t="inlineStr">
        <is>
          <t>SELECCION</t>
        </is>
      </c>
      <c r="L640" s="169" t="inlineStr">
        <is>
          <t>SERV.CONTRATISTA</t>
        </is>
      </c>
      <c r="M640" s="169" t="n"/>
      <c r="N640" s="169" t="inlineStr">
        <is>
          <t>.   .   -</t>
        </is>
      </c>
      <c r="O640" s="169" t="inlineStr">
        <is>
          <t>ABRIL</t>
        </is>
      </c>
      <c r="P640" s="169" t="n">
        <v>14</v>
      </c>
      <c r="Q640" s="171" t="n">
        <v>150000</v>
      </c>
      <c r="R640" s="169" t="n"/>
      <c r="S640" s="171" t="n">
        <v>150000</v>
      </c>
      <c r="T640" s="169" t="inlineStr">
        <is>
          <t>CLP</t>
        </is>
      </c>
      <c r="U640" s="169" t="inlineStr">
        <is>
          <t>Carga LH 18-06-26</t>
        </is>
      </c>
      <c r="V640" s="169" t="inlineStr">
        <is>
          <t>2026-06-18</t>
        </is>
      </c>
    </row>
    <row r="641">
      <c r="A641" s="169" t="inlineStr">
        <is>
          <t>CR-0638</t>
        </is>
      </c>
      <c r="B641" s="169" t="inlineStr">
        <is>
          <t>2026/27</t>
        </is>
      </c>
      <c r="C641" s="231" t="n">
        <v>46126</v>
      </c>
      <c r="D641" s="169" t="inlineStr">
        <is>
          <t>652</t>
        </is>
      </c>
      <c r="E641" s="169" t="inlineStr">
        <is>
          <t>COMPRA</t>
        </is>
      </c>
      <c r="F641" s="169" t="inlineStr">
        <is>
          <t>Mega Catalina</t>
        </is>
      </c>
      <c r="G641" s="169" t="inlineStr">
        <is>
          <t>EUREKA - 2016 (14,4 Ha.)</t>
        </is>
      </c>
      <c r="H641" s="169" t="n"/>
      <c r="I641" s="169" t="n"/>
      <c r="J641" s="169" t="inlineStr">
        <is>
          <t>LABORES OPERACIONALES</t>
        </is>
      </c>
      <c r="K641" s="169" t="inlineStr">
        <is>
          <t>COSECHA</t>
        </is>
      </c>
      <c r="L641" s="169" t="inlineStr">
        <is>
          <t>SERV.CONTRATISTA</t>
        </is>
      </c>
      <c r="M641" s="169" t="n"/>
      <c r="N641" s="169" t="inlineStr">
        <is>
          <t>.   .   -</t>
        </is>
      </c>
      <c r="O641" s="169" t="inlineStr">
        <is>
          <t>ABRIL</t>
        </is>
      </c>
      <c r="P641" s="169" t="n">
        <v>14</v>
      </c>
      <c r="Q641" s="171" t="n">
        <v>808780</v>
      </c>
      <c r="R641" s="169" t="n"/>
      <c r="S641" s="171" t="n">
        <v>808780</v>
      </c>
      <c r="T641" s="169" t="inlineStr">
        <is>
          <t>CLP</t>
        </is>
      </c>
      <c r="U641" s="169" t="inlineStr">
        <is>
          <t>Carga LH 18-06-26</t>
        </is>
      </c>
      <c r="V641" s="169" t="inlineStr">
        <is>
          <t>2026-06-18</t>
        </is>
      </c>
    </row>
    <row r="642">
      <c r="A642" s="169" t="inlineStr">
        <is>
          <t>CR-0639</t>
        </is>
      </c>
      <c r="B642" s="169" t="inlineStr">
        <is>
          <t>2026/27</t>
        </is>
      </c>
      <c r="C642" s="231" t="n">
        <v>46126</v>
      </c>
      <c r="D642" s="169" t="inlineStr">
        <is>
          <t>652</t>
        </is>
      </c>
      <c r="E642" s="169" t="inlineStr">
        <is>
          <t>COMPRA</t>
        </is>
      </c>
      <c r="F642" s="169" t="inlineStr">
        <is>
          <t>Mega Catalina</t>
        </is>
      </c>
      <c r="G642" s="169" t="inlineStr">
        <is>
          <t>EUREKA - 2016 (14,4 Ha.)</t>
        </is>
      </c>
      <c r="H642" s="169" t="n"/>
      <c r="I642" s="169" t="n"/>
      <c r="J642" s="169" t="inlineStr">
        <is>
          <t>LABORES OPERACIONALES</t>
        </is>
      </c>
      <c r="K642" s="169" t="inlineStr">
        <is>
          <t>SELECCION</t>
        </is>
      </c>
      <c r="L642" s="169" t="inlineStr">
        <is>
          <t>SERV.CONTRATISTA</t>
        </is>
      </c>
      <c r="M642" s="169" t="n"/>
      <c r="N642" s="169" t="inlineStr">
        <is>
          <t>.   .   -</t>
        </is>
      </c>
      <c r="O642" s="169" t="inlineStr">
        <is>
          <t>ABRIL</t>
        </is>
      </c>
      <c r="P642" s="169" t="n">
        <v>14</v>
      </c>
      <c r="Q642" s="171" t="n">
        <v>150000</v>
      </c>
      <c r="R642" s="169" t="n"/>
      <c r="S642" s="171" t="n">
        <v>150000</v>
      </c>
      <c r="T642" s="169" t="inlineStr">
        <is>
          <t>CLP</t>
        </is>
      </c>
      <c r="U642" s="169" t="inlineStr">
        <is>
          <t>Carga LH 18-06-26</t>
        </is>
      </c>
      <c r="V642" s="169" t="inlineStr">
        <is>
          <t>2026-06-18</t>
        </is>
      </c>
    </row>
    <row r="643">
      <c r="A643" s="169" t="inlineStr">
        <is>
          <t>CR-0640</t>
        </is>
      </c>
      <c r="B643" s="169" t="inlineStr">
        <is>
          <t>2026/27</t>
        </is>
      </c>
      <c r="C643" s="231" t="n">
        <v>46126</v>
      </c>
      <c r="D643" s="169" t="inlineStr">
        <is>
          <t>216</t>
        </is>
      </c>
      <c r="E643" s="169" t="inlineStr">
        <is>
          <t>COMPRA</t>
        </is>
      </c>
      <c r="F643" s="169" t="inlineStr">
        <is>
          <t>Mega Catalina</t>
        </is>
      </c>
      <c r="G643" s="169" t="inlineStr">
        <is>
          <t>EUREKA - 1999 (22,5 Ha.)</t>
        </is>
      </c>
      <c r="H643" s="169" t="n"/>
      <c r="I643" s="169" t="n"/>
      <c r="J643" s="169" t="inlineStr">
        <is>
          <t>LABORES OPERACIONALES</t>
        </is>
      </c>
      <c r="K643" s="169" t="inlineStr">
        <is>
          <t>COSECHA</t>
        </is>
      </c>
      <c r="L643" s="169" t="inlineStr">
        <is>
          <t>SERV.CONTRATISTA</t>
        </is>
      </c>
      <c r="M643" s="169" t="n"/>
      <c r="N643" s="169" t="inlineStr">
        <is>
          <t>.   .   -</t>
        </is>
      </c>
      <c r="O643" s="169" t="inlineStr">
        <is>
          <t>ABRIL</t>
        </is>
      </c>
      <c r="P643" s="169" t="n">
        <v>14</v>
      </c>
      <c r="Q643" s="171" t="n">
        <v>484680</v>
      </c>
      <c r="R643" s="169" t="n"/>
      <c r="S643" s="171" t="n">
        <v>484680</v>
      </c>
      <c r="T643" s="169" t="inlineStr">
        <is>
          <t>CLP</t>
        </is>
      </c>
      <c r="U643" s="169" t="inlineStr">
        <is>
          <t>Carga LH 18-06-26</t>
        </is>
      </c>
      <c r="V643" s="169" t="inlineStr">
        <is>
          <t>2026-06-18</t>
        </is>
      </c>
    </row>
    <row r="644">
      <c r="A644" s="169" t="inlineStr">
        <is>
          <t>CR-0641</t>
        </is>
      </c>
      <c r="B644" s="169" t="inlineStr">
        <is>
          <t>2026/27</t>
        </is>
      </c>
      <c r="C644" s="231" t="n">
        <v>46126</v>
      </c>
      <c r="D644" s="169" t="inlineStr">
        <is>
          <t>216</t>
        </is>
      </c>
      <c r="E644" s="169" t="inlineStr">
        <is>
          <t>COMPRA</t>
        </is>
      </c>
      <c r="F644" s="169" t="inlineStr">
        <is>
          <t>Mega Catalina</t>
        </is>
      </c>
      <c r="G644" s="169" t="inlineStr">
        <is>
          <t>EUREKA - 1999 (10,6 Ha.)</t>
        </is>
      </c>
      <c r="H644" s="169" t="n"/>
      <c r="I644" s="169" t="n"/>
      <c r="J644" s="169" t="inlineStr">
        <is>
          <t>LABORES OPERACIONALES</t>
        </is>
      </c>
      <c r="K644" s="169" t="inlineStr">
        <is>
          <t>COSECHA</t>
        </is>
      </c>
      <c r="L644" s="169" t="inlineStr">
        <is>
          <t>SERV.CONTRATISTA</t>
        </is>
      </c>
      <c r="M644" s="169" t="n"/>
      <c r="N644" s="169" t="inlineStr">
        <is>
          <t>.   .   -</t>
        </is>
      </c>
      <c r="O644" s="169" t="inlineStr">
        <is>
          <t>ABRIL</t>
        </is>
      </c>
      <c r="P644" s="169" t="n">
        <v>14</v>
      </c>
      <c r="Q644" s="171" t="n">
        <v>691460</v>
      </c>
      <c r="R644" s="169" t="n"/>
      <c r="S644" s="171" t="n">
        <v>691460</v>
      </c>
      <c r="T644" s="169" t="inlineStr">
        <is>
          <t>CLP</t>
        </is>
      </c>
      <c r="U644" s="169" t="inlineStr">
        <is>
          <t>Carga LH 18-06-26</t>
        </is>
      </c>
      <c r="V644" s="169" t="inlineStr">
        <is>
          <t>2026-06-18</t>
        </is>
      </c>
    </row>
    <row r="645">
      <c r="A645" s="169" t="inlineStr">
        <is>
          <t>CR-0642</t>
        </is>
      </c>
      <c r="B645" s="169" t="inlineStr">
        <is>
          <t>2026/27</t>
        </is>
      </c>
      <c r="C645" s="231" t="n">
        <v>46126</v>
      </c>
      <c r="D645" s="169" t="inlineStr">
        <is>
          <t>216</t>
        </is>
      </c>
      <c r="E645" s="169" t="inlineStr">
        <is>
          <t>COMPRA</t>
        </is>
      </c>
      <c r="F645" s="169" t="inlineStr">
        <is>
          <t>Mega Catalina</t>
        </is>
      </c>
      <c r="G645" s="169" t="inlineStr">
        <is>
          <t>EUREKA - 2016 (14,4 Ha.)</t>
        </is>
      </c>
      <c r="H645" s="169" t="n"/>
      <c r="I645" s="169" t="n"/>
      <c r="J645" s="169" t="inlineStr">
        <is>
          <t>LABORES OPERACIONALES</t>
        </is>
      </c>
      <c r="K645" s="169" t="inlineStr">
        <is>
          <t>COSECHA</t>
        </is>
      </c>
      <c r="L645" s="169" t="inlineStr">
        <is>
          <t>SERV.CONTRATISTA</t>
        </is>
      </c>
      <c r="M645" s="169" t="n"/>
      <c r="N645" s="169" t="inlineStr">
        <is>
          <t>.   .   -</t>
        </is>
      </c>
      <c r="O645" s="169" t="inlineStr">
        <is>
          <t>ABRIL</t>
        </is>
      </c>
      <c r="P645" s="169" t="n">
        <v>14</v>
      </c>
      <c r="Q645" s="171" t="n">
        <v>819000</v>
      </c>
      <c r="R645" s="169" t="n"/>
      <c r="S645" s="171" t="n">
        <v>819000</v>
      </c>
      <c r="T645" s="169" t="inlineStr">
        <is>
          <t>CLP</t>
        </is>
      </c>
      <c r="U645" s="169" t="inlineStr">
        <is>
          <t>Carga LH 18-06-26</t>
        </is>
      </c>
      <c r="V645" s="169" t="inlineStr">
        <is>
          <t>2026-06-18</t>
        </is>
      </c>
    </row>
    <row r="646">
      <c r="A646" s="169" t="inlineStr">
        <is>
          <t>CR-0643</t>
        </is>
      </c>
      <c r="B646" s="169" t="inlineStr">
        <is>
          <t>2026/27</t>
        </is>
      </c>
      <c r="C646" s="231" t="n">
        <v>46126</v>
      </c>
      <c r="D646" s="169" t="inlineStr">
        <is>
          <t>962666</t>
        </is>
      </c>
      <c r="E646" s="169" t="inlineStr">
        <is>
          <t>COMPRA</t>
        </is>
      </c>
      <c r="F646" s="169" t="inlineStr">
        <is>
          <t>Sin asignar</t>
        </is>
      </c>
      <c r="G646" s="169" t="inlineStr">
        <is>
          <t>BODEGA</t>
        </is>
      </c>
      <c r="H646" s="169" t="n"/>
      <c r="I646" s="169" t="n"/>
      <c r="J646" s="169" t="inlineStr">
        <is>
          <t>UNIFORME Y EPP</t>
        </is>
      </c>
      <c r="K646" s="169" t="inlineStr">
        <is>
          <t>EPP</t>
        </is>
      </c>
      <c r="L646" s="169" t="inlineStr">
        <is>
          <t>O/001572 BUZO ACTIV</t>
        </is>
      </c>
      <c r="M646" s="169" t="n"/>
      <c r="N646" s="169" t="inlineStr">
        <is>
          <t>.   .   -</t>
        </is>
      </c>
      <c r="O646" s="169" t="inlineStr">
        <is>
          <t>ABRIL</t>
        </is>
      </c>
      <c r="P646" s="169" t="n">
        <v>14</v>
      </c>
      <c r="Q646" s="171" t="n">
        <v>34800</v>
      </c>
      <c r="R646" s="169" t="n"/>
      <c r="S646" s="171" t="n">
        <v>34800</v>
      </c>
      <c r="T646" s="169" t="inlineStr">
        <is>
          <t>CLP</t>
        </is>
      </c>
      <c r="U646" s="169" t="inlineStr">
        <is>
          <t>Carga LH 18-06-26</t>
        </is>
      </c>
      <c r="V646" s="169" t="inlineStr">
        <is>
          <t>2026-06-18</t>
        </is>
      </c>
    </row>
    <row r="647">
      <c r="A647" s="169" t="inlineStr">
        <is>
          <t>CR-0644</t>
        </is>
      </c>
      <c r="B647" s="169" t="inlineStr">
        <is>
          <t>2026/27</t>
        </is>
      </c>
      <c r="C647" s="231" t="n">
        <v>46128</v>
      </c>
      <c r="D647" s="169" t="inlineStr">
        <is>
          <t>373</t>
        </is>
      </c>
      <c r="E647" s="169" t="inlineStr">
        <is>
          <t>COMPRA</t>
        </is>
      </c>
      <c r="F647" s="169" t="inlineStr">
        <is>
          <t>Sin asignar</t>
        </is>
      </c>
      <c r="G647" s="169" t="inlineStr">
        <is>
          <t>PACKING</t>
        </is>
      </c>
      <c r="H647" s="169" t="n"/>
      <c r="I647" s="169" t="n"/>
      <c r="J647" s="169" t="inlineStr">
        <is>
          <t>LABORES OPERACIONALES</t>
        </is>
      </c>
      <c r="K647" s="169" t="inlineStr">
        <is>
          <t>LAB. PACKING</t>
        </is>
      </c>
      <c r="L647" s="169" t="inlineStr">
        <is>
          <t>SERV.CONTRATISTA</t>
        </is>
      </c>
      <c r="M647" s="169" t="n"/>
      <c r="N647" s="169" t="inlineStr">
        <is>
          <t>.   .   -</t>
        </is>
      </c>
      <c r="O647" s="169" t="inlineStr">
        <is>
          <t>ABRIL</t>
        </is>
      </c>
      <c r="P647" s="169" t="n">
        <v>15</v>
      </c>
      <c r="Q647" s="171" t="n">
        <v>2630700</v>
      </c>
      <c r="R647" s="169" t="n"/>
      <c r="S647" s="171" t="n">
        <v>2630700</v>
      </c>
      <c r="T647" s="169" t="inlineStr">
        <is>
          <t>CLP</t>
        </is>
      </c>
      <c r="U647" s="169" t="inlineStr">
        <is>
          <t>Carga LH 18-06-26</t>
        </is>
      </c>
      <c r="V647" s="169" t="inlineStr">
        <is>
          <t>2026-06-18</t>
        </is>
      </c>
    </row>
    <row r="648">
      <c r="A648" s="169" t="inlineStr">
        <is>
          <t>CR-0645</t>
        </is>
      </c>
      <c r="B648" s="169" t="inlineStr">
        <is>
          <t>2026/27</t>
        </is>
      </c>
      <c r="C648" s="231" t="n">
        <v>46128</v>
      </c>
      <c r="D648" s="169" t="inlineStr">
        <is>
          <t>373</t>
        </is>
      </c>
      <c r="E648" s="169" t="inlineStr">
        <is>
          <t>COMPRA</t>
        </is>
      </c>
      <c r="F648" s="169" t="inlineStr">
        <is>
          <t>El Molle</t>
        </is>
      </c>
      <c r="G648" s="169" t="inlineStr">
        <is>
          <t>WONDERFUL - 2002 (2,80 Ha.)</t>
        </is>
      </c>
      <c r="H648" s="169" t="n"/>
      <c r="I648" s="169" t="n"/>
      <c r="J648" s="169" t="inlineStr">
        <is>
          <t>LABORES OPERACIONALES</t>
        </is>
      </c>
      <c r="K648" s="169" t="inlineStr">
        <is>
          <t>COSECHA</t>
        </is>
      </c>
      <c r="L648" s="169" t="inlineStr">
        <is>
          <t>SERV.CONTRATISTA</t>
        </is>
      </c>
      <c r="M648" s="169" t="n"/>
      <c r="N648" s="169" t="inlineStr">
        <is>
          <t>.   .   -</t>
        </is>
      </c>
      <c r="O648" s="169" t="inlineStr">
        <is>
          <t>ABRIL</t>
        </is>
      </c>
      <c r="P648" s="169" t="n">
        <v>15</v>
      </c>
      <c r="Q648" s="171" t="n">
        <v>4425300</v>
      </c>
      <c r="R648" s="169" t="n"/>
      <c r="S648" s="171" t="n">
        <v>4425300</v>
      </c>
      <c r="T648" s="169" t="inlineStr">
        <is>
          <t>CLP</t>
        </is>
      </c>
      <c r="U648" s="169" t="inlineStr">
        <is>
          <t>Carga LH 18-06-26</t>
        </is>
      </c>
      <c r="V648" s="169" t="inlineStr">
        <is>
          <t>2026-06-18</t>
        </is>
      </c>
    </row>
    <row r="649">
      <c r="A649" s="169" t="inlineStr">
        <is>
          <t>CR-0646</t>
        </is>
      </c>
      <c r="B649" s="169" t="inlineStr">
        <is>
          <t>2026/27</t>
        </is>
      </c>
      <c r="C649" s="231" t="n">
        <v>46128</v>
      </c>
      <c r="D649" s="169" t="inlineStr">
        <is>
          <t>373</t>
        </is>
      </c>
      <c r="E649" s="169" t="inlineStr">
        <is>
          <t>COMPRA</t>
        </is>
      </c>
      <c r="F649" s="169" t="inlineStr">
        <is>
          <t>El Molle</t>
        </is>
      </c>
      <c r="G649" s="169" t="inlineStr">
        <is>
          <t>WONDERFUL - 2002 (2,80 Ha.)</t>
        </is>
      </c>
      <c r="H649" s="169" t="n"/>
      <c r="I649" s="169" t="n"/>
      <c r="J649" s="169" t="inlineStr">
        <is>
          <t>LABORES OPERACIONALES</t>
        </is>
      </c>
      <c r="K649" s="169" t="inlineStr">
        <is>
          <t>APLICACIONES</t>
        </is>
      </c>
      <c r="L649" s="169" t="inlineStr">
        <is>
          <t>SERV.CONTRATISTA</t>
        </is>
      </c>
      <c r="M649" s="169" t="n"/>
      <c r="N649" s="169" t="inlineStr">
        <is>
          <t>.   .   -</t>
        </is>
      </c>
      <c r="O649" s="169" t="inlineStr">
        <is>
          <t>ABRIL</t>
        </is>
      </c>
      <c r="P649" s="169" t="n">
        <v>15</v>
      </c>
      <c r="Q649" s="171" t="n">
        <v>225000</v>
      </c>
      <c r="R649" s="169" t="n"/>
      <c r="S649" s="171" t="n">
        <v>225000</v>
      </c>
      <c r="T649" s="169" t="inlineStr">
        <is>
          <t>CLP</t>
        </is>
      </c>
      <c r="U649" s="169" t="inlineStr">
        <is>
          <t>Carga LH 18-06-26</t>
        </is>
      </c>
      <c r="V649" s="169" t="inlineStr">
        <is>
          <t>2026-06-18</t>
        </is>
      </c>
    </row>
    <row r="650">
      <c r="A650" s="169" t="inlineStr">
        <is>
          <t>CR-0647</t>
        </is>
      </c>
      <c r="B650" s="169" t="inlineStr">
        <is>
          <t>2026/27</t>
        </is>
      </c>
      <c r="C650" s="231" t="n">
        <v>46128</v>
      </c>
      <c r="D650" s="169" t="inlineStr">
        <is>
          <t>373</t>
        </is>
      </c>
      <c r="E650" s="169" t="inlineStr">
        <is>
          <t>COMPRA</t>
        </is>
      </c>
      <c r="F650" s="169" t="inlineStr">
        <is>
          <t>El Molle</t>
        </is>
      </c>
      <c r="G650" s="169" t="inlineStr">
        <is>
          <t>WONDERFUL - 2007 (2,44 Ha.)</t>
        </is>
      </c>
      <c r="H650" s="169" t="n"/>
      <c r="I650" s="169" t="n"/>
      <c r="J650" s="169" t="inlineStr">
        <is>
          <t>LABORES OPERACIONALES</t>
        </is>
      </c>
      <c r="K650" s="169" t="inlineStr">
        <is>
          <t>APLICACIONES</t>
        </is>
      </c>
      <c r="L650" s="169" t="inlineStr">
        <is>
          <t>SERV.CONTRATISTA</t>
        </is>
      </c>
      <c r="M650" s="169" t="n"/>
      <c r="N650" s="169" t="inlineStr">
        <is>
          <t>.   .   -</t>
        </is>
      </c>
      <c r="O650" s="169" t="inlineStr">
        <is>
          <t>ABRIL</t>
        </is>
      </c>
      <c r="P650" s="169" t="n">
        <v>15</v>
      </c>
      <c r="Q650" s="171" t="n">
        <v>225000</v>
      </c>
      <c r="R650" s="169" t="n"/>
      <c r="S650" s="171" t="n">
        <v>225000</v>
      </c>
      <c r="T650" s="169" t="inlineStr">
        <is>
          <t>CLP</t>
        </is>
      </c>
      <c r="U650" s="169" t="inlineStr">
        <is>
          <t>Carga LH 18-06-26</t>
        </is>
      </c>
      <c r="V650" s="169" t="inlineStr">
        <is>
          <t>2026-06-18</t>
        </is>
      </c>
    </row>
    <row r="651">
      <c r="A651" s="169" t="inlineStr">
        <is>
          <t>CR-0648</t>
        </is>
      </c>
      <c r="B651" s="169" t="inlineStr">
        <is>
          <t>2026/27</t>
        </is>
      </c>
      <c r="C651" s="231" t="n">
        <v>46126</v>
      </c>
      <c r="D651" s="169" t="inlineStr">
        <is>
          <t>461158</t>
        </is>
      </c>
      <c r="E651" s="169" t="inlineStr">
        <is>
          <t>COMPRA</t>
        </is>
      </c>
      <c r="F651" s="169" t="inlineStr">
        <is>
          <t>Sin asignar</t>
        </is>
      </c>
      <c r="G651" s="169" t="inlineStr">
        <is>
          <t>PACKING</t>
        </is>
      </c>
      <c r="H651" s="169" t="n"/>
      <c r="I651" s="169" t="n"/>
      <c r="J651" s="169" t="inlineStr">
        <is>
          <t>COMBUSTIBLE</t>
        </is>
      </c>
      <c r="K651" s="169" t="inlineStr">
        <is>
          <t>MOLLE GRUA HORQUILLA</t>
        </is>
      </c>
      <c r="L651" s="169" t="inlineStr">
        <is>
          <t>O/001601 GAS ENV. 1</t>
        </is>
      </c>
      <c r="M651" s="169" t="n"/>
      <c r="N651" s="169" t="inlineStr">
        <is>
          <t>.   .   -</t>
        </is>
      </c>
      <c r="O651" s="169" t="inlineStr">
        <is>
          <t>ABRIL</t>
        </is>
      </c>
      <c r="P651" s="169" t="n">
        <v>14</v>
      </c>
      <c r="Q651" s="171" t="n">
        <v>44894</v>
      </c>
      <c r="R651" s="169" t="n"/>
      <c r="S651" s="171" t="n">
        <v>44894</v>
      </c>
      <c r="T651" s="169" t="inlineStr">
        <is>
          <t>CLP</t>
        </is>
      </c>
      <c r="U651" s="169" t="inlineStr">
        <is>
          <t>Carga LH 18-06-26</t>
        </is>
      </c>
      <c r="V651" s="169" t="inlineStr">
        <is>
          <t>2026-06-18</t>
        </is>
      </c>
    </row>
    <row r="652">
      <c r="A652" s="169" t="inlineStr">
        <is>
          <t>CR-0649</t>
        </is>
      </c>
      <c r="B652" s="169" t="inlineStr">
        <is>
          <t>2026/27</t>
        </is>
      </c>
      <c r="C652" s="231" t="n">
        <v>46126</v>
      </c>
      <c r="D652" s="169" t="inlineStr">
        <is>
          <t>371</t>
        </is>
      </c>
      <c r="E652" s="169" t="inlineStr">
        <is>
          <t>COMPRA</t>
        </is>
      </c>
      <c r="F652" s="169" t="inlineStr">
        <is>
          <t>Sin asignar</t>
        </is>
      </c>
      <c r="G652" s="169" t="inlineStr">
        <is>
          <t>PACKING</t>
        </is>
      </c>
      <c r="H652" s="169" t="n"/>
      <c r="I652" s="169" t="n"/>
      <c r="J652" s="169" t="inlineStr">
        <is>
          <t>MANO DE OBRA CONTRATISTA</t>
        </is>
      </c>
      <c r="K652" s="169" t="inlineStr">
        <is>
          <t>M.O. CONTRATISTA</t>
        </is>
      </c>
      <c r="L652" s="169" t="inlineStr">
        <is>
          <t>O/001607 M.O. CONTR</t>
        </is>
      </c>
      <c r="M652" s="169" t="n"/>
      <c r="N652" s="169" t="inlineStr">
        <is>
          <t>.   .   -</t>
        </is>
      </c>
      <c r="O652" s="169" t="inlineStr">
        <is>
          <t>ABRIL</t>
        </is>
      </c>
      <c r="P652" s="169" t="n">
        <v>14</v>
      </c>
      <c r="Q652" s="171" t="n">
        <v>7506000</v>
      </c>
      <c r="R652" s="169" t="n"/>
      <c r="S652" s="171" t="n">
        <v>7506000</v>
      </c>
      <c r="T652" s="169" t="inlineStr">
        <is>
          <t>CLP</t>
        </is>
      </c>
      <c r="U652" s="169" t="inlineStr">
        <is>
          <t>Carga LH 18-06-26</t>
        </is>
      </c>
      <c r="V652" s="169" t="inlineStr">
        <is>
          <t>2026-06-18</t>
        </is>
      </c>
    </row>
    <row r="653">
      <c r="A653" s="169" t="inlineStr">
        <is>
          <t>CR-0650</t>
        </is>
      </c>
      <c r="B653" s="169" t="inlineStr">
        <is>
          <t>2026/27</t>
        </is>
      </c>
      <c r="C653" s="231" t="n">
        <v>46126</v>
      </c>
      <c r="D653" s="169" t="inlineStr">
        <is>
          <t>29</t>
        </is>
      </c>
      <c r="E653" s="169" t="inlineStr">
        <is>
          <t>COMPRA</t>
        </is>
      </c>
      <c r="F653" s="169" t="inlineStr">
        <is>
          <t>Sin asignar</t>
        </is>
      </c>
      <c r="G653" s="169" t="inlineStr">
        <is>
          <t>PACKING</t>
        </is>
      </c>
      <c r="H653" s="169" t="n"/>
      <c r="I653" s="169" t="n"/>
      <c r="J653" s="169" t="inlineStr">
        <is>
          <t>MANO DE OBRA CONTRATISTA</t>
        </is>
      </c>
      <c r="K653" s="169" t="inlineStr">
        <is>
          <t>M.O. CONTRATISTA</t>
        </is>
      </c>
      <c r="L653" s="169" t="inlineStr">
        <is>
          <t>O/001607 M.O. CONTR</t>
        </is>
      </c>
      <c r="M653" s="169" t="n"/>
      <c r="N653" s="169" t="inlineStr">
        <is>
          <t>.   .   -</t>
        </is>
      </c>
      <c r="O653" s="169" t="inlineStr">
        <is>
          <t>ABRIL</t>
        </is>
      </c>
      <c r="P653" s="169" t="n">
        <v>14</v>
      </c>
      <c r="Q653" s="171" t="n">
        <v>7506000</v>
      </c>
      <c r="R653" s="169" t="n"/>
      <c r="S653" s="171" t="n">
        <v>7506000</v>
      </c>
      <c r="T653" s="169" t="inlineStr">
        <is>
          <t>CLP</t>
        </is>
      </c>
      <c r="U653" s="169" t="inlineStr">
        <is>
          <t>Carga LH 18-06-26</t>
        </is>
      </c>
      <c r="V653" s="169" t="inlineStr">
        <is>
          <t>2026-06-18</t>
        </is>
      </c>
    </row>
    <row r="654">
      <c r="A654" s="169" t="inlineStr">
        <is>
          <t>CR-0651</t>
        </is>
      </c>
      <c r="B654" s="169" t="inlineStr">
        <is>
          <t>2026/27</t>
        </is>
      </c>
      <c r="C654" s="231" t="n">
        <v>46127</v>
      </c>
      <c r="D654" s="169" t="inlineStr">
        <is>
          <t>273</t>
        </is>
      </c>
      <c r="E654" s="169" t="inlineStr">
        <is>
          <t>COMPRA</t>
        </is>
      </c>
      <c r="F654" s="169" t="inlineStr">
        <is>
          <t>Asmara</t>
        </is>
      </c>
      <c r="G654" s="169" t="inlineStr">
        <is>
          <t>MURCOTT - 2020 (19,8 Ha.)</t>
        </is>
      </c>
      <c r="H654" s="169" t="n"/>
      <c r="I654" s="169" t="n"/>
      <c r="J654" s="169" t="inlineStr">
        <is>
          <t>LABORES OPERACIONALES</t>
        </is>
      </c>
      <c r="K654" s="169" t="inlineStr">
        <is>
          <t>OTROS SERVICIOS</t>
        </is>
      </c>
      <c r="L654" s="169" t="inlineStr">
        <is>
          <t>SERV.CONTRATISTA</t>
        </is>
      </c>
      <c r="M654" s="169" t="n"/>
      <c r="N654" s="169" t="inlineStr">
        <is>
          <t>.   .   -</t>
        </is>
      </c>
      <c r="O654" s="169" t="inlineStr">
        <is>
          <t>ABRIL</t>
        </is>
      </c>
      <c r="P654" s="169" t="n">
        <v>15</v>
      </c>
      <c r="Q654" s="171" t="n">
        <v>340408</v>
      </c>
      <c r="R654" s="169" t="n"/>
      <c r="S654" s="171" t="n">
        <v>340408</v>
      </c>
      <c r="T654" s="169" t="inlineStr">
        <is>
          <t>CLP</t>
        </is>
      </c>
      <c r="U654" s="169" t="inlineStr">
        <is>
          <t>Carga LH 18-06-26</t>
        </is>
      </c>
      <c r="V654" s="169" t="inlineStr">
        <is>
          <t>2026-06-18</t>
        </is>
      </c>
    </row>
    <row r="655">
      <c r="A655" s="169" t="inlineStr">
        <is>
          <t>CR-0652</t>
        </is>
      </c>
      <c r="B655" s="169" t="inlineStr">
        <is>
          <t>2026/27</t>
        </is>
      </c>
      <c r="C655" s="231" t="n">
        <v>46127</v>
      </c>
      <c r="D655" s="169" t="inlineStr">
        <is>
          <t>273</t>
        </is>
      </c>
      <c r="E655" s="169" t="inlineStr">
        <is>
          <t>COMPRA</t>
        </is>
      </c>
      <c r="F655" s="169" t="inlineStr">
        <is>
          <t>Asmara</t>
        </is>
      </c>
      <c r="G655" s="169" t="inlineStr">
        <is>
          <t>MURCOTT - 2020 (4,9 Ha.)</t>
        </is>
      </c>
      <c r="H655" s="169" t="n"/>
      <c r="I655" s="169" t="n"/>
      <c r="J655" s="169" t="inlineStr">
        <is>
          <t>LABORES OPERACIONALES</t>
        </is>
      </c>
      <c r="K655" s="169" t="inlineStr">
        <is>
          <t>OTROS SERVICIOS</t>
        </is>
      </c>
      <c r="L655" s="169" t="inlineStr">
        <is>
          <t>SERV.CONTRATISTA</t>
        </is>
      </c>
      <c r="M655" s="169" t="n"/>
      <c r="N655" s="169" t="inlineStr">
        <is>
          <t>.   .   -</t>
        </is>
      </c>
      <c r="O655" s="169" t="inlineStr">
        <is>
          <t>ABRIL</t>
        </is>
      </c>
      <c r="P655" s="169" t="n">
        <v>15</v>
      </c>
      <c r="Q655" s="171" t="n">
        <v>85102</v>
      </c>
      <c r="R655" s="169" t="n"/>
      <c r="S655" s="171" t="n">
        <v>85102</v>
      </c>
      <c r="T655" s="169" t="inlineStr">
        <is>
          <t>CLP</t>
        </is>
      </c>
      <c r="U655" s="169" t="inlineStr">
        <is>
          <t>Carga LH 18-06-26</t>
        </is>
      </c>
      <c r="V655" s="169" t="inlineStr">
        <is>
          <t>2026-06-18</t>
        </is>
      </c>
    </row>
    <row r="656">
      <c r="A656" s="169" t="inlineStr">
        <is>
          <t>CR-0653</t>
        </is>
      </c>
      <c r="B656" s="169" t="inlineStr">
        <is>
          <t>2026/27</t>
        </is>
      </c>
      <c r="C656" s="231" t="n">
        <v>46127</v>
      </c>
      <c r="D656" s="169" t="inlineStr">
        <is>
          <t>272</t>
        </is>
      </c>
      <c r="E656" s="169" t="inlineStr">
        <is>
          <t>COMPRA</t>
        </is>
      </c>
      <c r="F656" s="169" t="inlineStr">
        <is>
          <t>Mega Catalina</t>
        </is>
      </c>
      <c r="G656" s="169" t="inlineStr">
        <is>
          <t>EUREKA - 1999 (22,5 Ha.)</t>
        </is>
      </c>
      <c r="H656" s="169" t="n"/>
      <c r="I656" s="169" t="n"/>
      <c r="J656" s="169" t="inlineStr">
        <is>
          <t>LABORES OPERACIONALES</t>
        </is>
      </c>
      <c r="K656" s="169" t="inlineStr">
        <is>
          <t>OTROS SERVICIOS</t>
        </is>
      </c>
      <c r="L656" s="169" t="inlineStr">
        <is>
          <t>SERV.CONTRATISTA</t>
        </is>
      </c>
      <c r="M656" s="169" t="n"/>
      <c r="N656" s="169" t="inlineStr">
        <is>
          <t>.   .   -</t>
        </is>
      </c>
      <c r="O656" s="169" t="inlineStr">
        <is>
          <t>ABRIL</t>
        </is>
      </c>
      <c r="P656" s="169" t="n">
        <v>15</v>
      </c>
      <c r="Q656" s="171" t="n">
        <v>365730</v>
      </c>
      <c r="R656" s="169" t="n"/>
      <c r="S656" s="171" t="n">
        <v>365730</v>
      </c>
      <c r="T656" s="169" t="inlineStr">
        <is>
          <t>CLP</t>
        </is>
      </c>
      <c r="U656" s="169" t="inlineStr">
        <is>
          <t>Carga LH 18-06-26</t>
        </is>
      </c>
      <c r="V656" s="169" t="inlineStr">
        <is>
          <t>2026-06-18</t>
        </is>
      </c>
    </row>
    <row r="657">
      <c r="A657" s="169" t="inlineStr">
        <is>
          <t>CR-0654</t>
        </is>
      </c>
      <c r="B657" s="169" t="inlineStr">
        <is>
          <t>2026/27</t>
        </is>
      </c>
      <c r="C657" s="231" t="n">
        <v>46127</v>
      </c>
      <c r="D657" s="169" t="inlineStr">
        <is>
          <t>272</t>
        </is>
      </c>
      <c r="E657" s="169" t="inlineStr">
        <is>
          <t>COMPRA</t>
        </is>
      </c>
      <c r="F657" s="169" t="inlineStr">
        <is>
          <t>Mega Catalina</t>
        </is>
      </c>
      <c r="G657" s="169" t="inlineStr">
        <is>
          <t>EUREKA - 1999 (10,6 Ha.)</t>
        </is>
      </c>
      <c r="H657" s="169" t="n"/>
      <c r="I657" s="169" t="n"/>
      <c r="J657" s="169" t="inlineStr">
        <is>
          <t>LABORES OPERACIONALES</t>
        </is>
      </c>
      <c r="K657" s="169" t="inlineStr">
        <is>
          <t>OTROS SERVICIOS</t>
        </is>
      </c>
      <c r="L657" s="169" t="inlineStr">
        <is>
          <t>SERV.CONTRATISTA</t>
        </is>
      </c>
      <c r="M657" s="169" t="n"/>
      <c r="N657" s="169" t="inlineStr">
        <is>
          <t>.   .   -</t>
        </is>
      </c>
      <c r="O657" s="169" t="inlineStr">
        <is>
          <t>ABRIL</t>
        </is>
      </c>
      <c r="P657" s="169" t="n">
        <v>15</v>
      </c>
      <c r="Q657" s="171" t="n">
        <v>240900</v>
      </c>
      <c r="R657" s="169" t="n"/>
      <c r="S657" s="171" t="n">
        <v>240900</v>
      </c>
      <c r="T657" s="169" t="inlineStr">
        <is>
          <t>CLP</t>
        </is>
      </c>
      <c r="U657" s="169" t="inlineStr">
        <is>
          <t>Carga LH 18-06-26</t>
        </is>
      </c>
      <c r="V657" s="169" t="inlineStr">
        <is>
          <t>2026-06-18</t>
        </is>
      </c>
    </row>
    <row r="658">
      <c r="A658" s="169" t="inlineStr">
        <is>
          <t>CR-0655</t>
        </is>
      </c>
      <c r="B658" s="169" t="inlineStr">
        <is>
          <t>2026/27</t>
        </is>
      </c>
      <c r="C658" s="231" t="n">
        <v>46127</v>
      </c>
      <c r="D658" s="169" t="inlineStr">
        <is>
          <t>272</t>
        </is>
      </c>
      <c r="E658" s="169" t="inlineStr">
        <is>
          <t>COMPRA</t>
        </is>
      </c>
      <c r="F658" s="169" t="inlineStr">
        <is>
          <t>Mega Catalina</t>
        </is>
      </c>
      <c r="G658" s="169" t="inlineStr">
        <is>
          <t>EUREKA - 2016 (14,4 Ha.)</t>
        </is>
      </c>
      <c r="H658" s="169" t="n"/>
      <c r="I658" s="169" t="n"/>
      <c r="J658" s="169" t="inlineStr">
        <is>
          <t>LABORES OPERACIONALES</t>
        </is>
      </c>
      <c r="K658" s="169" t="inlineStr">
        <is>
          <t>OTROS SERVICIOS</t>
        </is>
      </c>
      <c r="L658" s="169" t="inlineStr">
        <is>
          <t>SERV.CONTRATISTA</t>
        </is>
      </c>
      <c r="M658" s="169" t="n"/>
      <c r="N658" s="169" t="inlineStr">
        <is>
          <t>.   .   -</t>
        </is>
      </c>
      <c r="O658" s="169" t="inlineStr">
        <is>
          <t>ABRIL</t>
        </is>
      </c>
      <c r="P658" s="169" t="n">
        <v>15</v>
      </c>
      <c r="Q658" s="171" t="n">
        <v>234330</v>
      </c>
      <c r="R658" s="169" t="n"/>
      <c r="S658" s="171" t="n">
        <v>234330</v>
      </c>
      <c r="T658" s="169" t="inlineStr">
        <is>
          <t>CLP</t>
        </is>
      </c>
      <c r="U658" s="169" t="inlineStr">
        <is>
          <t>Carga LH 18-06-26</t>
        </is>
      </c>
      <c r="V658" s="169" t="inlineStr">
        <is>
          <t>2026-06-18</t>
        </is>
      </c>
    </row>
    <row r="659">
      <c r="A659" s="169" t="inlineStr">
        <is>
          <t>CR-0656</t>
        </is>
      </c>
      <c r="B659" s="169" t="inlineStr">
        <is>
          <t>2026/27</t>
        </is>
      </c>
      <c r="C659" s="231" t="n">
        <v>46127</v>
      </c>
      <c r="D659" s="169" t="inlineStr">
        <is>
          <t>272</t>
        </is>
      </c>
      <c r="E659" s="169" t="inlineStr">
        <is>
          <t>COMPRA</t>
        </is>
      </c>
      <c r="F659" s="169" t="inlineStr">
        <is>
          <t>Mega Catalina</t>
        </is>
      </c>
      <c r="G659" s="169" t="inlineStr">
        <is>
          <t>FINO 49 - 1999 (7,7 Ha.)</t>
        </is>
      </c>
      <c r="H659" s="169" t="n"/>
      <c r="I659" s="169" t="n"/>
      <c r="J659" s="169" t="inlineStr">
        <is>
          <t>LABORES OPERACIONALES</t>
        </is>
      </c>
      <c r="K659" s="169" t="inlineStr">
        <is>
          <t>OTROS SERVICIOS</t>
        </is>
      </c>
      <c r="L659" s="169" t="inlineStr">
        <is>
          <t>SERV.CONTRATISTA</t>
        </is>
      </c>
      <c r="M659" s="169" t="n"/>
      <c r="N659" s="169" t="inlineStr">
        <is>
          <t>.   .   -</t>
        </is>
      </c>
      <c r="O659" s="169" t="inlineStr">
        <is>
          <t>ABRIL</t>
        </is>
      </c>
      <c r="P659" s="169" t="n">
        <v>15</v>
      </c>
      <c r="Q659" s="171" t="n">
        <v>186150</v>
      </c>
      <c r="R659" s="169" t="n"/>
      <c r="S659" s="171" t="n">
        <v>186150</v>
      </c>
      <c r="T659" s="169" t="inlineStr">
        <is>
          <t>CLP</t>
        </is>
      </c>
      <c r="U659" s="169" t="inlineStr">
        <is>
          <t>Carga LH 18-06-26</t>
        </is>
      </c>
      <c r="V659" s="169" t="inlineStr">
        <is>
          <t>2026-06-18</t>
        </is>
      </c>
    </row>
    <row r="660">
      <c r="A660" s="169" t="inlineStr">
        <is>
          <t>CR-0657</t>
        </is>
      </c>
      <c r="B660" s="169" t="inlineStr">
        <is>
          <t>2026/27</t>
        </is>
      </c>
      <c r="C660" s="231" t="n">
        <v>46127</v>
      </c>
      <c r="D660" s="169" t="inlineStr">
        <is>
          <t>272</t>
        </is>
      </c>
      <c r="E660" s="169" t="inlineStr">
        <is>
          <t>COMPRA</t>
        </is>
      </c>
      <c r="F660" s="169" t="inlineStr">
        <is>
          <t>Mega Catalina</t>
        </is>
      </c>
      <c r="G660" s="169" t="inlineStr">
        <is>
          <t>NO USAR NARANJAS CAMBRIA (4,2 Hta.)</t>
        </is>
      </c>
      <c r="H660" s="169" t="n"/>
      <c r="I660" s="169" t="n"/>
      <c r="J660" s="169" t="inlineStr">
        <is>
          <t>LABORES OPERACIONALES</t>
        </is>
      </c>
      <c r="K660" s="169" t="inlineStr">
        <is>
          <t>OTROS SERVICIOS</t>
        </is>
      </c>
      <c r="L660" s="169" t="inlineStr">
        <is>
          <t>SERV.CONTRATISTA</t>
        </is>
      </c>
      <c r="M660" s="169" t="n"/>
      <c r="N660" s="169" t="inlineStr">
        <is>
          <t>.   .   -</t>
        </is>
      </c>
      <c r="O660" s="169" t="inlineStr">
        <is>
          <t>ABRIL</t>
        </is>
      </c>
      <c r="P660" s="169" t="n">
        <v>15</v>
      </c>
      <c r="Q660" s="171" t="n">
        <v>70080</v>
      </c>
      <c r="R660" s="169" t="n"/>
      <c r="S660" s="171" t="n">
        <v>70080</v>
      </c>
      <c r="T660" s="169" t="inlineStr">
        <is>
          <t>CLP</t>
        </is>
      </c>
      <c r="U660" s="169" t="inlineStr">
        <is>
          <t>Carga LH 18-06-26</t>
        </is>
      </c>
      <c r="V660" s="169" t="inlineStr">
        <is>
          <t>2026-06-18</t>
        </is>
      </c>
    </row>
    <row r="661">
      <c r="A661" s="169" t="inlineStr">
        <is>
          <t>CR-0658</t>
        </is>
      </c>
      <c r="B661" s="169" t="inlineStr">
        <is>
          <t>2026/27</t>
        </is>
      </c>
      <c r="C661" s="231" t="n">
        <v>46127</v>
      </c>
      <c r="D661" s="169" t="inlineStr">
        <is>
          <t>272</t>
        </is>
      </c>
      <c r="E661" s="169" t="inlineStr">
        <is>
          <t>COMPRA</t>
        </is>
      </c>
      <c r="F661" s="169" t="inlineStr">
        <is>
          <t>Mega Catalina</t>
        </is>
      </c>
      <c r="G661" s="169" t="inlineStr">
        <is>
          <t>MURCOTT - 2007 (21 Ha.)</t>
        </is>
      </c>
      <c r="H661" s="169" t="n"/>
      <c r="I661" s="169" t="n"/>
      <c r="J661" s="169" t="inlineStr">
        <is>
          <t>LABORES OPERACIONALES</t>
        </is>
      </c>
      <c r="K661" s="169" t="inlineStr">
        <is>
          <t>OTROS SERVICIOS</t>
        </is>
      </c>
      <c r="L661" s="169" t="inlineStr">
        <is>
          <t>SERV.CONTRATISTA</t>
        </is>
      </c>
      <c r="M661" s="169" t="n"/>
      <c r="N661" s="169" t="inlineStr">
        <is>
          <t>.   .   -</t>
        </is>
      </c>
      <c r="O661" s="169" t="inlineStr">
        <is>
          <t>ABRIL</t>
        </is>
      </c>
      <c r="P661" s="169" t="n">
        <v>15</v>
      </c>
      <c r="Q661" s="171" t="n">
        <v>341640</v>
      </c>
      <c r="R661" s="169" t="n"/>
      <c r="S661" s="171" t="n">
        <v>341640</v>
      </c>
      <c r="T661" s="169" t="inlineStr">
        <is>
          <t>CLP</t>
        </is>
      </c>
      <c r="U661" s="169" t="inlineStr">
        <is>
          <t>Carga LH 18-06-26</t>
        </is>
      </c>
      <c r="V661" s="169" t="inlineStr">
        <is>
          <t>2026-06-18</t>
        </is>
      </c>
    </row>
    <row r="662">
      <c r="A662" s="169" t="inlineStr">
        <is>
          <t>CR-0659</t>
        </is>
      </c>
      <c r="B662" s="169" t="inlineStr">
        <is>
          <t>2026/27</t>
        </is>
      </c>
      <c r="C662" s="231" t="n">
        <v>46132</v>
      </c>
      <c r="D662" s="169" t="inlineStr">
        <is>
          <t>1023</t>
        </is>
      </c>
      <c r="E662" s="169" t="inlineStr">
        <is>
          <t>COMPRA</t>
        </is>
      </c>
      <c r="F662" s="169" t="inlineStr">
        <is>
          <t>Mega Catalina</t>
        </is>
      </c>
      <c r="G662" s="169" t="inlineStr">
        <is>
          <t>EUREKA - 1999 (22,5 Ha.)</t>
        </is>
      </c>
      <c r="H662" s="169" t="n"/>
      <c r="I662" s="169" t="n"/>
      <c r="J662" s="169" t="inlineStr">
        <is>
          <t>LABORES OPERACIONALES</t>
        </is>
      </c>
      <c r="K662" s="169" t="inlineStr">
        <is>
          <t>COSECHA</t>
        </is>
      </c>
      <c r="L662" s="169" t="inlineStr">
        <is>
          <t>SERV.CONTRATISTA</t>
        </is>
      </c>
      <c r="M662" s="169" t="n"/>
      <c r="N662" s="169" t="inlineStr">
        <is>
          <t>.   .   -</t>
        </is>
      </c>
      <c r="O662" s="169" t="inlineStr">
        <is>
          <t>ABRIL</t>
        </is>
      </c>
      <c r="P662" s="169" t="n">
        <v>15</v>
      </c>
      <c r="Q662" s="171" t="n">
        <v>527100</v>
      </c>
      <c r="R662" s="169" t="n"/>
      <c r="S662" s="171" t="n">
        <v>527100</v>
      </c>
      <c r="T662" s="169" t="inlineStr">
        <is>
          <t>CLP</t>
        </is>
      </c>
      <c r="U662" s="169" t="inlineStr">
        <is>
          <t>Carga LH 18-06-26</t>
        </is>
      </c>
      <c r="V662" s="169" t="inlineStr">
        <is>
          <t>2026-06-18</t>
        </is>
      </c>
    </row>
    <row r="663">
      <c r="A663" s="169" t="inlineStr">
        <is>
          <t>CR-0660</t>
        </is>
      </c>
      <c r="B663" s="169" t="inlineStr">
        <is>
          <t>2026/27</t>
        </is>
      </c>
      <c r="C663" s="231" t="n">
        <v>46132</v>
      </c>
      <c r="D663" s="169" t="inlineStr">
        <is>
          <t>1023</t>
        </is>
      </c>
      <c r="E663" s="169" t="inlineStr">
        <is>
          <t>COMPRA</t>
        </is>
      </c>
      <c r="F663" s="169" t="inlineStr">
        <is>
          <t>Mega Catalina</t>
        </is>
      </c>
      <c r="G663" s="169" t="inlineStr">
        <is>
          <t>EUREKA - 2016 (14,4 Ha.)</t>
        </is>
      </c>
      <c r="H663" s="169" t="n"/>
      <c r="I663" s="169" t="n"/>
      <c r="J663" s="169" t="inlineStr">
        <is>
          <t>LABORES OPERACIONALES</t>
        </is>
      </c>
      <c r="K663" s="169" t="inlineStr">
        <is>
          <t>COSECHA</t>
        </is>
      </c>
      <c r="L663" s="169" t="inlineStr">
        <is>
          <t>SERV.CONTRATISTA</t>
        </is>
      </c>
      <c r="M663" s="169" t="n"/>
      <c r="N663" s="169" t="inlineStr">
        <is>
          <t>.   .   -</t>
        </is>
      </c>
      <c r="O663" s="169" t="inlineStr">
        <is>
          <t>ABRIL</t>
        </is>
      </c>
      <c r="P663" s="169" t="n">
        <v>15</v>
      </c>
      <c r="Q663" s="171" t="n">
        <v>234080</v>
      </c>
      <c r="R663" s="169" t="n"/>
      <c r="S663" s="171" t="n">
        <v>234080</v>
      </c>
      <c r="T663" s="169" t="inlineStr">
        <is>
          <t>CLP</t>
        </is>
      </c>
      <c r="U663" s="169" t="inlineStr">
        <is>
          <t>Carga LH 18-06-26</t>
        </is>
      </c>
      <c r="V663" s="169" t="inlineStr">
        <is>
          <t>2026-06-18</t>
        </is>
      </c>
    </row>
    <row r="664">
      <c r="A664" s="169" t="inlineStr">
        <is>
          <t>CR-0661</t>
        </is>
      </c>
      <c r="B664" s="169" t="inlineStr">
        <is>
          <t>2026/27</t>
        </is>
      </c>
      <c r="C664" s="231" t="n">
        <v>46132</v>
      </c>
      <c r="D664" s="169" t="inlineStr">
        <is>
          <t>1023</t>
        </is>
      </c>
      <c r="E664" s="169" t="inlineStr">
        <is>
          <t>COMPRA</t>
        </is>
      </c>
      <c r="F664" s="169" t="inlineStr">
        <is>
          <t>Mega Catalina</t>
        </is>
      </c>
      <c r="G664" s="169" t="inlineStr">
        <is>
          <t>FINO 49 - 1999 (7,7 Ha.)</t>
        </is>
      </c>
      <c r="H664" s="169" t="n"/>
      <c r="I664" s="169" t="n"/>
      <c r="J664" s="169" t="inlineStr">
        <is>
          <t>LABORES OPERACIONALES</t>
        </is>
      </c>
      <c r="K664" s="169" t="inlineStr">
        <is>
          <t>COSECHA</t>
        </is>
      </c>
      <c r="L664" s="169" t="inlineStr">
        <is>
          <t>SERV.CONTRATISTA</t>
        </is>
      </c>
      <c r="M664" s="169" t="n"/>
      <c r="N664" s="169" t="inlineStr">
        <is>
          <t>.   .   -</t>
        </is>
      </c>
      <c r="O664" s="169" t="inlineStr">
        <is>
          <t>ABRIL</t>
        </is>
      </c>
      <c r="P664" s="169" t="n">
        <v>15</v>
      </c>
      <c r="Q664" s="171" t="n">
        <v>158620</v>
      </c>
      <c r="R664" s="169" t="n"/>
      <c r="S664" s="171" t="n">
        <v>158620</v>
      </c>
      <c r="T664" s="169" t="inlineStr">
        <is>
          <t>CLP</t>
        </is>
      </c>
      <c r="U664" s="169" t="inlineStr">
        <is>
          <t>Carga LH 18-06-26</t>
        </is>
      </c>
      <c r="V664" s="169" t="inlineStr">
        <is>
          <t>2026-06-18</t>
        </is>
      </c>
    </row>
    <row r="665">
      <c r="A665" s="169" t="inlineStr">
        <is>
          <t>CR-0662</t>
        </is>
      </c>
      <c r="B665" s="169" t="inlineStr">
        <is>
          <t>2026/27</t>
        </is>
      </c>
      <c r="C665" s="231" t="n">
        <v>46132</v>
      </c>
      <c r="D665" s="169" t="inlineStr">
        <is>
          <t>217</t>
        </is>
      </c>
      <c r="E665" s="169" t="inlineStr">
        <is>
          <t>COMPRA</t>
        </is>
      </c>
      <c r="F665" s="169" t="inlineStr">
        <is>
          <t>Mega Catalina</t>
        </is>
      </c>
      <c r="G665" s="169" t="inlineStr">
        <is>
          <t>EUREKA - 1999 (22,5 Ha.)</t>
        </is>
      </c>
      <c r="H665" s="169" t="n"/>
      <c r="I665" s="169" t="n"/>
      <c r="J665" s="169" t="inlineStr">
        <is>
          <t>LABORES OPERACIONALES</t>
        </is>
      </c>
      <c r="K665" s="169" t="inlineStr">
        <is>
          <t>COSECHA</t>
        </is>
      </c>
      <c r="L665" s="169" t="inlineStr">
        <is>
          <t>SERV.CONTRATISTA</t>
        </is>
      </c>
      <c r="M665" s="169" t="n"/>
      <c r="N665" s="169" t="inlineStr">
        <is>
          <t>.   .   -</t>
        </is>
      </c>
      <c r="O665" s="169" t="inlineStr">
        <is>
          <t>ABRIL</t>
        </is>
      </c>
      <c r="P665" s="169" t="n">
        <v>15</v>
      </c>
      <c r="Q665" s="171" t="n">
        <v>833280</v>
      </c>
      <c r="R665" s="169" t="n"/>
      <c r="S665" s="171" t="n">
        <v>833280</v>
      </c>
      <c r="T665" s="169" t="inlineStr">
        <is>
          <t>CLP</t>
        </is>
      </c>
      <c r="U665" s="169" t="inlineStr">
        <is>
          <t>Carga LH 18-06-26</t>
        </is>
      </c>
      <c r="V665" s="169" t="inlineStr">
        <is>
          <t>2026-06-18</t>
        </is>
      </c>
    </row>
    <row r="666">
      <c r="A666" s="169" t="inlineStr">
        <is>
          <t>CR-0663</t>
        </is>
      </c>
      <c r="B666" s="169" t="inlineStr">
        <is>
          <t>2026/27</t>
        </is>
      </c>
      <c r="C666" s="231" t="n">
        <v>46132</v>
      </c>
      <c r="D666" s="169" t="inlineStr">
        <is>
          <t>217</t>
        </is>
      </c>
      <c r="E666" s="169" t="inlineStr">
        <is>
          <t>COMPRA</t>
        </is>
      </c>
      <c r="F666" s="169" t="inlineStr">
        <is>
          <t>Mega Catalina</t>
        </is>
      </c>
      <c r="G666" s="169" t="inlineStr">
        <is>
          <t>EUREKA - 2016 (14,4 Ha.)</t>
        </is>
      </c>
      <c r="H666" s="169" t="n"/>
      <c r="I666" s="169" t="n"/>
      <c r="J666" s="169" t="inlineStr">
        <is>
          <t>LABORES OPERACIONALES</t>
        </is>
      </c>
      <c r="K666" s="169" t="inlineStr">
        <is>
          <t>COSECHA</t>
        </is>
      </c>
      <c r="L666" s="169" t="inlineStr">
        <is>
          <t>SERV.CONTRATISTA</t>
        </is>
      </c>
      <c r="M666" s="169" t="n"/>
      <c r="N666" s="169" t="inlineStr">
        <is>
          <t>.   .   -</t>
        </is>
      </c>
      <c r="O666" s="169" t="inlineStr">
        <is>
          <t>ABRIL</t>
        </is>
      </c>
      <c r="P666" s="169" t="n">
        <v>15</v>
      </c>
      <c r="Q666" s="171" t="n">
        <v>705600</v>
      </c>
      <c r="R666" s="169" t="n"/>
      <c r="S666" s="171" t="n">
        <v>705600</v>
      </c>
      <c r="T666" s="169" t="inlineStr">
        <is>
          <t>CLP</t>
        </is>
      </c>
      <c r="U666" s="169" t="inlineStr">
        <is>
          <t>Carga LH 18-06-26</t>
        </is>
      </c>
      <c r="V666" s="169" t="inlineStr">
        <is>
          <t>2026-06-18</t>
        </is>
      </c>
    </row>
    <row r="667">
      <c r="A667" s="169" t="inlineStr">
        <is>
          <t>CR-0664</t>
        </is>
      </c>
      <c r="B667" s="169" t="inlineStr">
        <is>
          <t>2026/27</t>
        </is>
      </c>
      <c r="C667" s="231" t="n">
        <v>46132</v>
      </c>
      <c r="D667" s="169" t="inlineStr">
        <is>
          <t>217</t>
        </is>
      </c>
      <c r="E667" s="169" t="inlineStr">
        <is>
          <t>COMPRA</t>
        </is>
      </c>
      <c r="F667" s="169" t="inlineStr">
        <is>
          <t>Mega Catalina</t>
        </is>
      </c>
      <c r="G667" s="169" t="inlineStr">
        <is>
          <t>FINO 49 - 1999 (7,7 Ha.)</t>
        </is>
      </c>
      <c r="H667" s="169" t="n"/>
      <c r="I667" s="169" t="n"/>
      <c r="J667" s="169" t="inlineStr">
        <is>
          <t>LABORES OPERACIONALES</t>
        </is>
      </c>
      <c r="K667" s="169" t="inlineStr">
        <is>
          <t>COSECHA</t>
        </is>
      </c>
      <c r="L667" s="169" t="inlineStr">
        <is>
          <t>SERV.CONTRATISTA</t>
        </is>
      </c>
      <c r="M667" s="169" t="n"/>
      <c r="N667" s="169" t="inlineStr">
        <is>
          <t>.   .   -</t>
        </is>
      </c>
      <c r="O667" s="169" t="inlineStr">
        <is>
          <t>ABRIL</t>
        </is>
      </c>
      <c r="P667" s="169" t="n">
        <v>15</v>
      </c>
      <c r="Q667" s="171" t="n">
        <v>385560</v>
      </c>
      <c r="R667" s="169" t="n"/>
      <c r="S667" s="171" t="n">
        <v>385560</v>
      </c>
      <c r="T667" s="169" t="inlineStr">
        <is>
          <t>CLP</t>
        </is>
      </c>
      <c r="U667" s="169" t="inlineStr">
        <is>
          <t>Carga LH 18-06-26</t>
        </is>
      </c>
      <c r="V667" s="169" t="inlineStr">
        <is>
          <t>2026-06-18</t>
        </is>
      </c>
    </row>
    <row r="668">
      <c r="A668" s="169" t="inlineStr">
        <is>
          <t>CR-0665</t>
        </is>
      </c>
      <c r="B668" s="169" t="inlineStr">
        <is>
          <t>2026/27</t>
        </is>
      </c>
      <c r="C668" s="231" t="n">
        <v>46132</v>
      </c>
      <c r="D668" s="169" t="inlineStr">
        <is>
          <t>177</t>
        </is>
      </c>
      <c r="E668" s="169" t="inlineStr">
        <is>
          <t>COMPRA</t>
        </is>
      </c>
      <c r="F668" s="169" t="inlineStr">
        <is>
          <t>Asmara</t>
        </is>
      </c>
      <c r="G668" s="169" t="inlineStr">
        <is>
          <t>MURCOTT - 2020 (19,8 Ha.)</t>
        </is>
      </c>
      <c r="H668" s="169" t="n"/>
      <c r="I668" s="169" t="n"/>
      <c r="J668" s="169" t="inlineStr">
        <is>
          <t>LABORES OPERACIONALES</t>
        </is>
      </c>
      <c r="K668" s="169" t="inlineStr">
        <is>
          <t>PODA</t>
        </is>
      </c>
      <c r="L668" s="169" t="inlineStr">
        <is>
          <t>SERV.CONTRATISTA</t>
        </is>
      </c>
      <c r="M668" s="169" t="n"/>
      <c r="N668" s="169" t="inlineStr">
        <is>
          <t>.   .   -</t>
        </is>
      </c>
      <c r="O668" s="169" t="inlineStr">
        <is>
          <t>ABRIL</t>
        </is>
      </c>
      <c r="P668" s="169" t="n">
        <v>15</v>
      </c>
      <c r="Q668" s="171" t="n">
        <v>1275000</v>
      </c>
      <c r="R668" s="169" t="n"/>
      <c r="S668" s="171" t="n">
        <v>1275000</v>
      </c>
      <c r="T668" s="169" t="inlineStr">
        <is>
          <t>CLP</t>
        </is>
      </c>
      <c r="U668" s="169" t="inlineStr">
        <is>
          <t>Carga LH 18-06-26</t>
        </is>
      </c>
      <c r="V668" s="169" t="inlineStr">
        <is>
          <t>2026-06-18</t>
        </is>
      </c>
    </row>
    <row r="669">
      <c r="A669" s="169" t="inlineStr">
        <is>
          <t>CR-0666</t>
        </is>
      </c>
      <c r="B669" s="169" t="inlineStr">
        <is>
          <t>2026/27</t>
        </is>
      </c>
      <c r="C669" s="231" t="n">
        <v>46132</v>
      </c>
      <c r="D669" s="169" t="inlineStr">
        <is>
          <t>177</t>
        </is>
      </c>
      <c r="E669" s="169" t="inlineStr">
        <is>
          <t>COMPRA</t>
        </is>
      </c>
      <c r="F669" s="169" t="inlineStr">
        <is>
          <t>Asmara</t>
        </is>
      </c>
      <c r="G669" s="169" t="inlineStr">
        <is>
          <t>MURCOTT - 2020 (19,8 Ha.)</t>
        </is>
      </c>
      <c r="H669" s="169" t="n"/>
      <c r="I669" s="169" t="n"/>
      <c r="J669" s="169" t="inlineStr">
        <is>
          <t>LABORES OPERACIONALES</t>
        </is>
      </c>
      <c r="K669" s="169" t="inlineStr">
        <is>
          <t>LABORES VARIAS</t>
        </is>
      </c>
      <c r="L669" s="169" t="inlineStr">
        <is>
          <t>SERV.CONTRATISTA</t>
        </is>
      </c>
      <c r="M669" s="169" t="n"/>
      <c r="N669" s="169" t="inlineStr">
        <is>
          <t>.   .   -</t>
        </is>
      </c>
      <c r="O669" s="169" t="inlineStr">
        <is>
          <t>ABRIL</t>
        </is>
      </c>
      <c r="P669" s="169" t="n">
        <v>15</v>
      </c>
      <c r="Q669" s="171" t="n">
        <v>862500</v>
      </c>
      <c r="R669" s="169" t="n"/>
      <c r="S669" s="171" t="n">
        <v>862500</v>
      </c>
      <c r="T669" s="169" t="inlineStr">
        <is>
          <t>CLP</t>
        </is>
      </c>
      <c r="U669" s="169" t="inlineStr">
        <is>
          <t>Carga LH 18-06-26</t>
        </is>
      </c>
      <c r="V669" s="169" t="inlineStr">
        <is>
          <t>2026-06-18</t>
        </is>
      </c>
    </row>
    <row r="670">
      <c r="A670" s="169" t="inlineStr">
        <is>
          <t>CR-0667</t>
        </is>
      </c>
      <c r="B670" s="169" t="inlineStr">
        <is>
          <t>2026/27</t>
        </is>
      </c>
      <c r="C670" s="231" t="n">
        <v>46133</v>
      </c>
      <c r="D670" s="169" t="inlineStr">
        <is>
          <t>653</t>
        </is>
      </c>
      <c r="E670" s="169" t="inlineStr">
        <is>
          <t>COMPRA</t>
        </is>
      </c>
      <c r="F670" s="169" t="inlineStr">
        <is>
          <t>Mega Catalina</t>
        </is>
      </c>
      <c r="G670" s="169" t="inlineStr">
        <is>
          <t>EUREKA - 1999 (22,5 Ha.)</t>
        </is>
      </c>
      <c r="H670" s="169" t="n"/>
      <c r="I670" s="169" t="n"/>
      <c r="J670" s="169" t="inlineStr">
        <is>
          <t>LABORES OPERACIONALES</t>
        </is>
      </c>
      <c r="K670" s="169" t="inlineStr">
        <is>
          <t>COSECHA</t>
        </is>
      </c>
      <c r="L670" s="169" t="inlineStr">
        <is>
          <t>SERV.CONTRATISTA</t>
        </is>
      </c>
      <c r="M670" s="169" t="n"/>
      <c r="N670" s="169" t="inlineStr">
        <is>
          <t>.   .   -</t>
        </is>
      </c>
      <c r="O670" s="169" t="inlineStr">
        <is>
          <t>ABRIL</t>
        </is>
      </c>
      <c r="P670" s="169" t="n">
        <v>15</v>
      </c>
      <c r="Q670" s="171" t="n">
        <v>1403360</v>
      </c>
      <c r="R670" s="169" t="n"/>
      <c r="S670" s="171" t="n">
        <v>1403360</v>
      </c>
      <c r="T670" s="169" t="inlineStr">
        <is>
          <t>CLP</t>
        </is>
      </c>
      <c r="U670" s="169" t="inlineStr">
        <is>
          <t>Carga LH 18-06-26</t>
        </is>
      </c>
      <c r="V670" s="169" t="inlineStr">
        <is>
          <t>2026-06-18</t>
        </is>
      </c>
    </row>
    <row r="671">
      <c r="A671" s="169" t="inlineStr">
        <is>
          <t>CR-0668</t>
        </is>
      </c>
      <c r="B671" s="169" t="inlineStr">
        <is>
          <t>2026/27</t>
        </is>
      </c>
      <c r="C671" s="231" t="n">
        <v>46133</v>
      </c>
      <c r="D671" s="169" t="inlineStr">
        <is>
          <t>653</t>
        </is>
      </c>
      <c r="E671" s="169" t="inlineStr">
        <is>
          <t>COMPRA</t>
        </is>
      </c>
      <c r="F671" s="169" t="inlineStr">
        <is>
          <t>Mega Catalina</t>
        </is>
      </c>
      <c r="G671" s="169" t="inlineStr">
        <is>
          <t>EUREKA - 1999 (22,5 Ha.)</t>
        </is>
      </c>
      <c r="H671" s="169" t="n"/>
      <c r="I671" s="169" t="n"/>
      <c r="J671" s="169" t="inlineStr">
        <is>
          <t>LABORES OPERACIONALES</t>
        </is>
      </c>
      <c r="K671" s="169" t="inlineStr">
        <is>
          <t>SELECCION</t>
        </is>
      </c>
      <c r="L671" s="169" t="inlineStr">
        <is>
          <t>SERV.CONTRATISTA</t>
        </is>
      </c>
      <c r="M671" s="169" t="n"/>
      <c r="N671" s="169" t="inlineStr">
        <is>
          <t>.   .   -</t>
        </is>
      </c>
      <c r="O671" s="169" t="inlineStr">
        <is>
          <t>ABRIL</t>
        </is>
      </c>
      <c r="P671" s="169" t="n">
        <v>15</v>
      </c>
      <c r="Q671" s="171" t="n">
        <v>225000</v>
      </c>
      <c r="R671" s="169" t="n"/>
      <c r="S671" s="171" t="n">
        <v>225000</v>
      </c>
      <c r="T671" s="169" t="inlineStr">
        <is>
          <t>CLP</t>
        </is>
      </c>
      <c r="U671" s="169" t="inlineStr">
        <is>
          <t>Carga LH 18-06-26</t>
        </is>
      </c>
      <c r="V671" s="169" t="inlineStr">
        <is>
          <t>2026-06-18</t>
        </is>
      </c>
    </row>
    <row r="672">
      <c r="A672" s="169" t="inlineStr">
        <is>
          <t>CR-0669</t>
        </is>
      </c>
      <c r="B672" s="169" t="inlineStr">
        <is>
          <t>2026/27</t>
        </is>
      </c>
      <c r="C672" s="231" t="n">
        <v>46133</v>
      </c>
      <c r="D672" s="169" t="inlineStr">
        <is>
          <t>653</t>
        </is>
      </c>
      <c r="E672" s="169" t="inlineStr">
        <is>
          <t>COMPRA</t>
        </is>
      </c>
      <c r="F672" s="169" t="inlineStr">
        <is>
          <t>Mega Catalina</t>
        </is>
      </c>
      <c r="G672" s="169" t="inlineStr">
        <is>
          <t>EUREKA - 2016 (14,4 Ha.)</t>
        </is>
      </c>
      <c r="H672" s="169" t="n"/>
      <c r="I672" s="169" t="n"/>
      <c r="J672" s="169" t="inlineStr">
        <is>
          <t>LABORES OPERACIONALES</t>
        </is>
      </c>
      <c r="K672" s="169" t="inlineStr">
        <is>
          <t>COSECHA</t>
        </is>
      </c>
      <c r="L672" s="169" t="inlineStr">
        <is>
          <t>SERV.CONTRATISTA</t>
        </is>
      </c>
      <c r="M672" s="169" t="n"/>
      <c r="N672" s="169" t="inlineStr">
        <is>
          <t>.   .   -</t>
        </is>
      </c>
      <c r="O672" s="169" t="inlineStr">
        <is>
          <t>ABRIL</t>
        </is>
      </c>
      <c r="P672" s="169" t="n">
        <v>15</v>
      </c>
      <c r="Q672" s="171" t="n">
        <v>456960</v>
      </c>
      <c r="R672" s="169" t="n"/>
      <c r="S672" s="171" t="n">
        <v>456960</v>
      </c>
      <c r="T672" s="169" t="inlineStr">
        <is>
          <t>CLP</t>
        </is>
      </c>
      <c r="U672" s="169" t="inlineStr">
        <is>
          <t>Carga LH 18-06-26</t>
        </is>
      </c>
      <c r="V672" s="169" t="inlineStr">
        <is>
          <t>2026-06-18</t>
        </is>
      </c>
    </row>
    <row r="673">
      <c r="A673" s="169" t="inlineStr">
        <is>
          <t>CR-0670</t>
        </is>
      </c>
      <c r="B673" s="169" t="inlineStr">
        <is>
          <t>2026/27</t>
        </is>
      </c>
      <c r="C673" s="231" t="n">
        <v>46133</v>
      </c>
      <c r="D673" s="169" t="inlineStr">
        <is>
          <t>653</t>
        </is>
      </c>
      <c r="E673" s="169" t="inlineStr">
        <is>
          <t>COMPRA</t>
        </is>
      </c>
      <c r="F673" s="169" t="inlineStr">
        <is>
          <t>Mega Catalina</t>
        </is>
      </c>
      <c r="G673" s="169" t="inlineStr">
        <is>
          <t>EUREKA - 2016 (14,4 Ha.)</t>
        </is>
      </c>
      <c r="H673" s="169" t="n"/>
      <c r="I673" s="169" t="n"/>
      <c r="J673" s="169" t="inlineStr">
        <is>
          <t>LABORES OPERACIONALES</t>
        </is>
      </c>
      <c r="K673" s="169" t="inlineStr">
        <is>
          <t>SELECCION</t>
        </is>
      </c>
      <c r="L673" s="169" t="inlineStr">
        <is>
          <t>SERV.CONTRATISTA</t>
        </is>
      </c>
      <c r="M673" s="169" t="n"/>
      <c r="N673" s="169" t="inlineStr">
        <is>
          <t>.   .   -</t>
        </is>
      </c>
      <c r="O673" s="169" t="inlineStr">
        <is>
          <t>ABRIL</t>
        </is>
      </c>
      <c r="P673" s="169" t="n">
        <v>15</v>
      </c>
      <c r="Q673" s="171" t="n">
        <v>75000</v>
      </c>
      <c r="R673" s="169" t="n"/>
      <c r="S673" s="171" t="n">
        <v>75000</v>
      </c>
      <c r="T673" s="169" t="inlineStr">
        <is>
          <t>CLP</t>
        </is>
      </c>
      <c r="U673" s="169" t="inlineStr">
        <is>
          <t>Carga LH 18-06-26</t>
        </is>
      </c>
      <c r="V673" s="169" t="inlineStr">
        <is>
          <t>2026-06-18</t>
        </is>
      </c>
    </row>
    <row r="674">
      <c r="A674" s="169" t="inlineStr">
        <is>
          <t>CR-0671</t>
        </is>
      </c>
      <c r="B674" s="169" t="inlineStr">
        <is>
          <t>2026/27</t>
        </is>
      </c>
      <c r="C674" s="231" t="n">
        <v>46133</v>
      </c>
      <c r="D674" s="169" t="inlineStr">
        <is>
          <t>653</t>
        </is>
      </c>
      <c r="E674" s="169" t="inlineStr">
        <is>
          <t>COMPRA</t>
        </is>
      </c>
      <c r="F674" s="169" t="inlineStr">
        <is>
          <t>Mega Catalina</t>
        </is>
      </c>
      <c r="G674" s="169" t="inlineStr">
        <is>
          <t>FINO 49 - 1999 (7,7 Ha.)</t>
        </is>
      </c>
      <c r="H674" s="169" t="n"/>
      <c r="I674" s="169" t="n"/>
      <c r="J674" s="169" t="inlineStr">
        <is>
          <t>LABORES OPERACIONALES</t>
        </is>
      </c>
      <c r="K674" s="169" t="inlineStr">
        <is>
          <t>COSECHA</t>
        </is>
      </c>
      <c r="L674" s="169" t="inlineStr">
        <is>
          <t>SERV.CONTRATISTA</t>
        </is>
      </c>
      <c r="M674" s="169" t="n"/>
      <c r="N674" s="169" t="inlineStr">
        <is>
          <t>.   .   -</t>
        </is>
      </c>
      <c r="O674" s="169" t="inlineStr">
        <is>
          <t>ABRIL</t>
        </is>
      </c>
      <c r="P674" s="169" t="n">
        <v>15</v>
      </c>
      <c r="Q674" s="171" t="n">
        <v>347620</v>
      </c>
      <c r="R674" s="169" t="n"/>
      <c r="S674" s="171" t="n">
        <v>347620</v>
      </c>
      <c r="T674" s="169" t="inlineStr">
        <is>
          <t>CLP</t>
        </is>
      </c>
      <c r="U674" s="169" t="inlineStr">
        <is>
          <t>Carga LH 18-06-26</t>
        </is>
      </c>
      <c r="V674" s="169" t="inlineStr">
        <is>
          <t>2026-06-18</t>
        </is>
      </c>
    </row>
    <row r="675">
      <c r="A675" s="169" t="inlineStr">
        <is>
          <t>CR-0672</t>
        </is>
      </c>
      <c r="B675" s="169" t="inlineStr">
        <is>
          <t>2026/27</t>
        </is>
      </c>
      <c r="C675" s="231" t="n">
        <v>46133</v>
      </c>
      <c r="D675" s="169" t="inlineStr">
        <is>
          <t>653</t>
        </is>
      </c>
      <c r="E675" s="169" t="inlineStr">
        <is>
          <t>COMPRA</t>
        </is>
      </c>
      <c r="F675" s="169" t="inlineStr">
        <is>
          <t>Mega Catalina</t>
        </is>
      </c>
      <c r="G675" s="169" t="inlineStr">
        <is>
          <t>FINO 49 - 1999 (7,7 Ha.)</t>
        </is>
      </c>
      <c r="H675" s="169" t="n"/>
      <c r="I675" s="169" t="n"/>
      <c r="J675" s="169" t="inlineStr">
        <is>
          <t>LABORES OPERACIONALES</t>
        </is>
      </c>
      <c r="K675" s="169" t="inlineStr">
        <is>
          <t>SELECCION</t>
        </is>
      </c>
      <c r="L675" s="169" t="inlineStr">
        <is>
          <t>SERV.CONTRATISTA</t>
        </is>
      </c>
      <c r="M675" s="169" t="n"/>
      <c r="N675" s="169" t="inlineStr">
        <is>
          <t>.   .   -</t>
        </is>
      </c>
      <c r="O675" s="169" t="inlineStr">
        <is>
          <t>ABRIL</t>
        </is>
      </c>
      <c r="P675" s="169" t="n">
        <v>15</v>
      </c>
      <c r="Q675" s="171" t="n">
        <v>75000</v>
      </c>
      <c r="R675" s="169" t="n"/>
      <c r="S675" s="171" t="n">
        <v>75000</v>
      </c>
      <c r="T675" s="169" t="inlineStr">
        <is>
          <t>CLP</t>
        </is>
      </c>
      <c r="U675" s="169" t="inlineStr">
        <is>
          <t>Carga LH 18-06-26</t>
        </is>
      </c>
      <c r="V675" s="169" t="inlineStr">
        <is>
          <t>2026-06-18</t>
        </is>
      </c>
    </row>
    <row r="676">
      <c r="A676" s="169" t="inlineStr">
        <is>
          <t>CR-0673</t>
        </is>
      </c>
      <c r="B676" s="169" t="inlineStr">
        <is>
          <t>2026/27</t>
        </is>
      </c>
      <c r="C676" s="231" t="n">
        <v>46133</v>
      </c>
      <c r="D676" s="169" t="inlineStr">
        <is>
          <t>285</t>
        </is>
      </c>
      <c r="E676" s="169" t="inlineStr">
        <is>
          <t>COMPRA</t>
        </is>
      </c>
      <c r="F676" s="169" t="inlineStr">
        <is>
          <t>Sin asignar</t>
        </is>
      </c>
      <c r="G676" s="169" t="inlineStr">
        <is>
          <t>PACKING</t>
        </is>
      </c>
      <c r="H676" s="169" t="n"/>
      <c r="I676" s="169" t="n"/>
      <c r="J676" s="169" t="inlineStr">
        <is>
          <t>FLETES</t>
        </is>
      </c>
      <c r="K676" s="169" t="inlineStr">
        <is>
          <t>FLETE FRUTA</t>
        </is>
      </c>
      <c r="L676" s="169" t="inlineStr">
        <is>
          <t>O/001594 FLETE</t>
        </is>
      </c>
      <c r="M676" s="169" t="n"/>
      <c r="N676" s="169" t="inlineStr">
        <is>
          <t>.   .   -</t>
        </is>
      </c>
      <c r="O676" s="169" t="inlineStr">
        <is>
          <t>ABRIL</t>
        </is>
      </c>
      <c r="P676" s="169" t="n">
        <v>15</v>
      </c>
      <c r="Q676" s="171" t="n">
        <v>300000</v>
      </c>
      <c r="R676" s="169" t="n"/>
      <c r="S676" s="171" t="n">
        <v>300000</v>
      </c>
      <c r="T676" s="169" t="inlineStr">
        <is>
          <t>CLP</t>
        </is>
      </c>
      <c r="U676" s="169" t="inlineStr">
        <is>
          <t>Carga LH 18-06-26</t>
        </is>
      </c>
      <c r="V676" s="169" t="inlineStr">
        <is>
          <t>2026-06-18</t>
        </is>
      </c>
    </row>
    <row r="677">
      <c r="A677" s="169" t="inlineStr">
        <is>
          <t>CR-0674</t>
        </is>
      </c>
      <c r="B677" s="169" t="inlineStr">
        <is>
          <t>2026/27</t>
        </is>
      </c>
      <c r="C677" s="231" t="n">
        <v>46135</v>
      </c>
      <c r="D677" s="169" t="inlineStr">
        <is>
          <t>629</t>
        </is>
      </c>
      <c r="E677" s="169" t="inlineStr">
        <is>
          <t>COMPRA</t>
        </is>
      </c>
      <c r="F677" s="169" t="inlineStr">
        <is>
          <t>El Molle</t>
        </is>
      </c>
      <c r="G677" s="169" t="inlineStr">
        <is>
          <t>ARRUFATINA - 2017 (5,74 Ha.)</t>
        </is>
      </c>
      <c r="H677" s="169" t="n"/>
      <c r="I677" s="169" t="n"/>
      <c r="J677" s="169" t="inlineStr">
        <is>
          <t>LABORES OPERACIONALES</t>
        </is>
      </c>
      <c r="K677" s="169" t="inlineStr">
        <is>
          <t>OTROS SERVICIOS</t>
        </is>
      </c>
      <c r="L677" s="169" t="inlineStr">
        <is>
          <t>SERV.CONTRATISTA</t>
        </is>
      </c>
      <c r="M677" s="169" t="n"/>
      <c r="N677" s="169" t="inlineStr">
        <is>
          <t>.   .   -</t>
        </is>
      </c>
      <c r="O677" s="169" t="inlineStr">
        <is>
          <t>ABRIL</t>
        </is>
      </c>
      <c r="P677" s="169" t="n">
        <v>16</v>
      </c>
      <c r="Q677" s="171" t="n">
        <v>270000</v>
      </c>
      <c r="R677" s="169" t="n"/>
      <c r="S677" s="171" t="n">
        <v>270000</v>
      </c>
      <c r="T677" s="169" t="inlineStr">
        <is>
          <t>CLP</t>
        </is>
      </c>
      <c r="U677" s="169" t="inlineStr">
        <is>
          <t>Carga LH 18-06-26</t>
        </is>
      </c>
      <c r="V677" s="169" t="inlineStr">
        <is>
          <t>2026-06-18</t>
        </is>
      </c>
    </row>
    <row r="678">
      <c r="A678" s="169" t="inlineStr">
        <is>
          <t>CR-0675</t>
        </is>
      </c>
      <c r="B678" s="169" t="inlineStr">
        <is>
          <t>2026/27</t>
        </is>
      </c>
      <c r="C678" s="231" t="n">
        <v>46135</v>
      </c>
      <c r="D678" s="169" t="inlineStr">
        <is>
          <t>629</t>
        </is>
      </c>
      <c r="E678" s="169" t="inlineStr">
        <is>
          <t>COMPRA</t>
        </is>
      </c>
      <c r="F678" s="169" t="inlineStr">
        <is>
          <t>El Molle</t>
        </is>
      </c>
      <c r="G678" s="169" t="inlineStr">
        <is>
          <t>ORONULES - 2017 (2,85 Ha.)</t>
        </is>
      </c>
      <c r="H678" s="169" t="n"/>
      <c r="I678" s="169" t="n"/>
      <c r="J678" s="169" t="inlineStr">
        <is>
          <t>LABORES OPERACIONALES</t>
        </is>
      </c>
      <c r="K678" s="169" t="inlineStr">
        <is>
          <t>OTROS SERVICIOS</t>
        </is>
      </c>
      <c r="L678" s="169" t="inlineStr">
        <is>
          <t>SERV.CONTRATISTA</t>
        </is>
      </c>
      <c r="M678" s="169" t="n"/>
      <c r="N678" s="169" t="inlineStr">
        <is>
          <t>.   .   -</t>
        </is>
      </c>
      <c r="O678" s="169" t="inlineStr">
        <is>
          <t>ABRIL</t>
        </is>
      </c>
      <c r="P678" s="169" t="n">
        <v>16</v>
      </c>
      <c r="Q678" s="171" t="n">
        <v>90000</v>
      </c>
      <c r="R678" s="169" t="n"/>
      <c r="S678" s="171" t="n">
        <v>90000</v>
      </c>
      <c r="T678" s="169" t="inlineStr">
        <is>
          <t>CLP</t>
        </is>
      </c>
      <c r="U678" s="169" t="inlineStr">
        <is>
          <t>Carga LH 18-06-26</t>
        </is>
      </c>
      <c r="V678" s="169" t="inlineStr">
        <is>
          <t>2026-06-18</t>
        </is>
      </c>
    </row>
    <row r="679">
      <c r="A679" s="169" t="inlineStr">
        <is>
          <t>CR-0676</t>
        </is>
      </c>
      <c r="B679" s="169" t="inlineStr">
        <is>
          <t>2026/27</t>
        </is>
      </c>
      <c r="C679" s="231" t="n">
        <v>46135</v>
      </c>
      <c r="D679" s="169" t="inlineStr">
        <is>
          <t>629</t>
        </is>
      </c>
      <c r="E679" s="169" t="inlineStr">
        <is>
          <t>COMPRA</t>
        </is>
      </c>
      <c r="F679" s="169" t="inlineStr">
        <is>
          <t>Mega Catalina</t>
        </is>
      </c>
      <c r="G679" s="169" t="inlineStr">
        <is>
          <t>ORONULES - 2019 (2,5 Ha.)</t>
        </is>
      </c>
      <c r="H679" s="169" t="n"/>
      <c r="I679" s="169" t="n"/>
      <c r="J679" s="169" t="inlineStr">
        <is>
          <t>LABORES OPERACIONALES</t>
        </is>
      </c>
      <c r="K679" s="169" t="inlineStr">
        <is>
          <t>OTROS SERVICIOS</t>
        </is>
      </c>
      <c r="L679" s="169" t="inlineStr">
        <is>
          <t>SERV.CONTRATISTA</t>
        </is>
      </c>
      <c r="M679" s="169" t="n"/>
      <c r="N679" s="169" t="inlineStr">
        <is>
          <t>.   .   -</t>
        </is>
      </c>
      <c r="O679" s="169" t="inlineStr">
        <is>
          <t>ABRIL</t>
        </is>
      </c>
      <c r="P679" s="169" t="n">
        <v>16</v>
      </c>
      <c r="Q679" s="171" t="n">
        <v>90000</v>
      </c>
      <c r="R679" s="169" t="n"/>
      <c r="S679" s="171" t="n">
        <v>90000</v>
      </c>
      <c r="T679" s="169" t="inlineStr">
        <is>
          <t>CLP</t>
        </is>
      </c>
      <c r="U679" s="169" t="inlineStr">
        <is>
          <t>Carga LH 18-06-26</t>
        </is>
      </c>
      <c r="V679" s="169" t="inlineStr">
        <is>
          <t>2026-06-18</t>
        </is>
      </c>
    </row>
    <row r="680">
      <c r="A680" s="169" t="inlineStr">
        <is>
          <t>CR-0677</t>
        </is>
      </c>
      <c r="B680" s="169" t="inlineStr">
        <is>
          <t>2026/27</t>
        </is>
      </c>
      <c r="C680" s="231" t="n">
        <v>46135</v>
      </c>
      <c r="D680" s="169" t="inlineStr">
        <is>
          <t>629</t>
        </is>
      </c>
      <c r="E680" s="169" t="inlineStr">
        <is>
          <t>COMPRA</t>
        </is>
      </c>
      <c r="F680" s="169" t="inlineStr">
        <is>
          <t>El Molle</t>
        </is>
      </c>
      <c r="G680" s="169" t="inlineStr">
        <is>
          <t>OROGRANDE - 2007 (8,11 Ha.)</t>
        </is>
      </c>
      <c r="H680" s="169" t="n"/>
      <c r="I680" s="169" t="n"/>
      <c r="J680" s="169" t="inlineStr">
        <is>
          <t>LABORES OPERACIONALES</t>
        </is>
      </c>
      <c r="K680" s="169" t="inlineStr">
        <is>
          <t>OTROS SERVICIOS</t>
        </is>
      </c>
      <c r="L680" s="169" t="inlineStr">
        <is>
          <t>SERV.CONTRATISTA</t>
        </is>
      </c>
      <c r="M680" s="169" t="n"/>
      <c r="N680" s="169" t="inlineStr">
        <is>
          <t>.   .   -</t>
        </is>
      </c>
      <c r="O680" s="169" t="inlineStr">
        <is>
          <t>ABRIL</t>
        </is>
      </c>
      <c r="P680" s="169" t="n">
        <v>16</v>
      </c>
      <c r="Q680" s="171" t="n">
        <v>360000</v>
      </c>
      <c r="R680" s="169" t="n"/>
      <c r="S680" s="171" t="n">
        <v>360000</v>
      </c>
      <c r="T680" s="169" t="inlineStr">
        <is>
          <t>CLP</t>
        </is>
      </c>
      <c r="U680" s="169" t="inlineStr">
        <is>
          <t>Carga LH 18-06-26</t>
        </is>
      </c>
      <c r="V680" s="169" t="inlineStr">
        <is>
          <t>2026-06-18</t>
        </is>
      </c>
    </row>
    <row r="681">
      <c r="A681" s="169" t="inlineStr">
        <is>
          <t>CR-0678</t>
        </is>
      </c>
      <c r="B681" s="169" t="inlineStr">
        <is>
          <t>2026/27</t>
        </is>
      </c>
      <c r="C681" s="231" t="n">
        <v>46135</v>
      </c>
      <c r="D681" s="169" t="inlineStr">
        <is>
          <t>629</t>
        </is>
      </c>
      <c r="E681" s="169" t="inlineStr">
        <is>
          <t>COMPRA</t>
        </is>
      </c>
      <c r="F681" s="169" t="inlineStr">
        <is>
          <t>El Molle</t>
        </is>
      </c>
      <c r="G681" s="169" t="inlineStr">
        <is>
          <t>WONDERFUL - 2002 (2,80 Ha.)</t>
        </is>
      </c>
      <c r="H681" s="169" t="n"/>
      <c r="I681" s="169" t="n"/>
      <c r="J681" s="169" t="inlineStr">
        <is>
          <t>LABORES OPERACIONALES</t>
        </is>
      </c>
      <c r="K681" s="169" t="inlineStr">
        <is>
          <t>OTROS SERVICIOS</t>
        </is>
      </c>
      <c r="L681" s="169" t="inlineStr">
        <is>
          <t>SERV.CONTRATISTA</t>
        </is>
      </c>
      <c r="M681" s="169" t="n"/>
      <c r="N681" s="169" t="inlineStr">
        <is>
          <t>.   .   -</t>
        </is>
      </c>
      <c r="O681" s="169" t="inlineStr">
        <is>
          <t>ABRIL</t>
        </is>
      </c>
      <c r="P681" s="169" t="n">
        <v>16</v>
      </c>
      <c r="Q681" s="171" t="n">
        <v>90000</v>
      </c>
      <c r="R681" s="169" t="n"/>
      <c r="S681" s="171" t="n">
        <v>90000</v>
      </c>
      <c r="T681" s="169" t="inlineStr">
        <is>
          <t>CLP</t>
        </is>
      </c>
      <c r="U681" s="169" t="inlineStr">
        <is>
          <t>Carga LH 18-06-26</t>
        </is>
      </c>
      <c r="V681" s="169" t="inlineStr">
        <is>
          <t>2026-06-18</t>
        </is>
      </c>
    </row>
    <row r="682">
      <c r="A682" s="169" t="inlineStr">
        <is>
          <t>CR-0679</t>
        </is>
      </c>
      <c r="B682" s="169" t="inlineStr">
        <is>
          <t>2026/27</t>
        </is>
      </c>
      <c r="C682" s="231" t="n">
        <v>46135</v>
      </c>
      <c r="D682" s="169" t="inlineStr">
        <is>
          <t>629</t>
        </is>
      </c>
      <c r="E682" s="169" t="inlineStr">
        <is>
          <t>COMPRA</t>
        </is>
      </c>
      <c r="F682" s="169" t="inlineStr">
        <is>
          <t>El Molle</t>
        </is>
      </c>
      <c r="G682" s="169" t="inlineStr">
        <is>
          <t>WONDERFUL - 2007 (2,44 Ha.)</t>
        </is>
      </c>
      <c r="H682" s="169" t="n"/>
      <c r="I682" s="169" t="n"/>
      <c r="J682" s="169" t="inlineStr">
        <is>
          <t>LABORES OPERACIONALES</t>
        </is>
      </c>
      <c r="K682" s="169" t="inlineStr">
        <is>
          <t>OTROS SERVICIOS</t>
        </is>
      </c>
      <c r="L682" s="169" t="inlineStr">
        <is>
          <t>SERV.CONTRATISTA</t>
        </is>
      </c>
      <c r="M682" s="169" t="n"/>
      <c r="N682" s="169" t="inlineStr">
        <is>
          <t>.   .   -</t>
        </is>
      </c>
      <c r="O682" s="169" t="inlineStr">
        <is>
          <t>ABRIL</t>
        </is>
      </c>
      <c r="P682" s="169" t="n">
        <v>16</v>
      </c>
      <c r="Q682" s="171" t="n">
        <v>90000</v>
      </c>
      <c r="R682" s="169" t="n"/>
      <c r="S682" s="171" t="n">
        <v>90000</v>
      </c>
      <c r="T682" s="169" t="inlineStr">
        <is>
          <t>CLP</t>
        </is>
      </c>
      <c r="U682" s="169" t="inlineStr">
        <is>
          <t>Carga LH 18-06-26</t>
        </is>
      </c>
      <c r="V682" s="169" t="inlineStr">
        <is>
          <t>2026-06-18</t>
        </is>
      </c>
    </row>
    <row r="683">
      <c r="A683" s="169" t="inlineStr">
        <is>
          <t>CR-0680</t>
        </is>
      </c>
      <c r="B683" s="169" t="inlineStr">
        <is>
          <t>2026/27</t>
        </is>
      </c>
      <c r="C683" s="231" t="n">
        <v>46136</v>
      </c>
      <c r="D683" s="169" t="inlineStr">
        <is>
          <t>485859</t>
        </is>
      </c>
      <c r="E683" s="169" t="inlineStr">
        <is>
          <t>COMPRA</t>
        </is>
      </c>
      <c r="F683" s="169" t="inlineStr">
        <is>
          <t>Sin asignar</t>
        </is>
      </c>
      <c r="G683" s="169" t="inlineStr">
        <is>
          <t>PACKING</t>
        </is>
      </c>
      <c r="H683" s="169" t="n"/>
      <c r="I683" s="169" t="n"/>
      <c r="J683" s="169" t="inlineStr">
        <is>
          <t>COMBUSTIBLE</t>
        </is>
      </c>
      <c r="K683" s="169" t="inlineStr">
        <is>
          <t>MOLLE GRUA HORQUILLA</t>
        </is>
      </c>
      <c r="L683" s="169" t="inlineStr">
        <is>
          <t>O/001630 GAS ENV. 1</t>
        </is>
      </c>
      <c r="M683" s="169" t="n"/>
      <c r="N683" s="169" t="inlineStr">
        <is>
          <t>.   .   -</t>
        </is>
      </c>
      <c r="O683" s="169" t="inlineStr">
        <is>
          <t>ABRIL</t>
        </is>
      </c>
      <c r="P683" s="169" t="n">
        <v>16</v>
      </c>
      <c r="Q683" s="171" t="n">
        <v>44894</v>
      </c>
      <c r="R683" s="169" t="n"/>
      <c r="S683" s="171" t="n">
        <v>44894</v>
      </c>
      <c r="T683" s="169" t="inlineStr">
        <is>
          <t>CLP</t>
        </is>
      </c>
      <c r="U683" s="169" t="inlineStr">
        <is>
          <t>Carga LH 18-06-26</t>
        </is>
      </c>
      <c r="V683" s="169" t="inlineStr">
        <is>
          <t>2026-06-18</t>
        </is>
      </c>
    </row>
    <row r="684">
      <c r="A684" s="169" t="inlineStr">
        <is>
          <t>CR-0681</t>
        </is>
      </c>
      <c r="B684" s="169" t="inlineStr">
        <is>
          <t>2026/27</t>
        </is>
      </c>
      <c r="C684" s="231" t="n">
        <v>46140</v>
      </c>
      <c r="D684" s="169" t="inlineStr">
        <is>
          <t>655</t>
        </is>
      </c>
      <c r="E684" s="169" t="inlineStr">
        <is>
          <t>COMPRA</t>
        </is>
      </c>
      <c r="F684" s="169" t="inlineStr">
        <is>
          <t>Mega Catalina</t>
        </is>
      </c>
      <c r="G684" s="169" t="inlineStr">
        <is>
          <t>EUREKA - 1999 (22,5 Ha.)</t>
        </is>
      </c>
      <c r="H684" s="169" t="n"/>
      <c r="I684" s="169" t="n"/>
      <c r="J684" s="169" t="inlineStr">
        <is>
          <t>LABORES OPERACIONALES</t>
        </is>
      </c>
      <c r="K684" s="169" t="inlineStr">
        <is>
          <t>COSECHA</t>
        </is>
      </c>
      <c r="L684" s="169" t="inlineStr">
        <is>
          <t>SERV.CONTRATISTA</t>
        </is>
      </c>
      <c r="M684" s="169" t="n"/>
      <c r="N684" s="169" t="inlineStr">
        <is>
          <t>.   .   -</t>
        </is>
      </c>
      <c r="O684" s="169" t="inlineStr">
        <is>
          <t>ABRIL</t>
        </is>
      </c>
      <c r="P684" s="169" t="n">
        <v>16</v>
      </c>
      <c r="Q684" s="171" t="n">
        <v>520050</v>
      </c>
      <c r="R684" s="169" t="n"/>
      <c r="S684" s="171" t="n">
        <v>520050</v>
      </c>
      <c r="T684" s="169" t="inlineStr">
        <is>
          <t>CLP</t>
        </is>
      </c>
      <c r="U684" s="169" t="inlineStr">
        <is>
          <t>Carga LH 18-06-26</t>
        </is>
      </c>
      <c r="V684" s="169" t="inlineStr">
        <is>
          <t>2026-06-18</t>
        </is>
      </c>
    </row>
    <row r="685">
      <c r="A685" s="169" t="inlineStr">
        <is>
          <t>CR-0682</t>
        </is>
      </c>
      <c r="B685" s="169" t="inlineStr">
        <is>
          <t>2026/27</t>
        </is>
      </c>
      <c r="C685" s="231" t="n">
        <v>46140</v>
      </c>
      <c r="D685" s="169" t="inlineStr">
        <is>
          <t>655</t>
        </is>
      </c>
      <c r="E685" s="169" t="inlineStr">
        <is>
          <t>COMPRA</t>
        </is>
      </c>
      <c r="F685" s="169" t="inlineStr">
        <is>
          <t>Mega Catalina</t>
        </is>
      </c>
      <c r="G685" s="169" t="inlineStr">
        <is>
          <t>EUREKA - 1999 (22,5 Ha.)</t>
        </is>
      </c>
      <c r="H685" s="169" t="n"/>
      <c r="I685" s="169" t="n"/>
      <c r="J685" s="169" t="inlineStr">
        <is>
          <t>LABORES OPERACIONALES</t>
        </is>
      </c>
      <c r="K685" s="169" t="inlineStr">
        <is>
          <t>SELECCION</t>
        </is>
      </c>
      <c r="L685" s="169" t="inlineStr">
        <is>
          <t>SERV.CONTRATISTA</t>
        </is>
      </c>
      <c r="M685" s="169" t="n"/>
      <c r="N685" s="169" t="inlineStr">
        <is>
          <t>.   .   -</t>
        </is>
      </c>
      <c r="O685" s="169" t="inlineStr">
        <is>
          <t>ABRIL</t>
        </is>
      </c>
      <c r="P685" s="169" t="n">
        <v>16</v>
      </c>
      <c r="Q685" s="171" t="n">
        <v>75000</v>
      </c>
      <c r="R685" s="169" t="n"/>
      <c r="S685" s="171" t="n">
        <v>75000</v>
      </c>
      <c r="T685" s="169" t="inlineStr">
        <is>
          <t>CLP</t>
        </is>
      </c>
      <c r="U685" s="169" t="inlineStr">
        <is>
          <t>Carga LH 18-06-26</t>
        </is>
      </c>
      <c r="V685" s="169" t="inlineStr">
        <is>
          <t>2026-06-18</t>
        </is>
      </c>
    </row>
    <row r="686">
      <c r="A686" s="169" t="inlineStr">
        <is>
          <t>CR-0683</t>
        </is>
      </c>
      <c r="B686" s="169" t="inlineStr">
        <is>
          <t>2026/27</t>
        </is>
      </c>
      <c r="C686" s="231" t="n">
        <v>46140</v>
      </c>
      <c r="D686" s="169" t="inlineStr">
        <is>
          <t>655</t>
        </is>
      </c>
      <c r="E686" s="169" t="inlineStr">
        <is>
          <t>COMPRA</t>
        </is>
      </c>
      <c r="F686" s="169" t="inlineStr">
        <is>
          <t>Mega Catalina</t>
        </is>
      </c>
      <c r="G686" s="169" t="inlineStr">
        <is>
          <t>EUREKA - 2016 (14,4 Ha.)</t>
        </is>
      </c>
      <c r="H686" s="169" t="n"/>
      <c r="I686" s="169" t="n"/>
      <c r="J686" s="169" t="inlineStr">
        <is>
          <t>LABORES OPERACIONALES</t>
        </is>
      </c>
      <c r="K686" s="169" t="inlineStr">
        <is>
          <t>COSECHA</t>
        </is>
      </c>
      <c r="L686" s="169" t="inlineStr">
        <is>
          <t>SERV.CONTRATISTA</t>
        </is>
      </c>
      <c r="M686" s="169" t="n"/>
      <c r="N686" s="169" t="inlineStr">
        <is>
          <t>.   .   -</t>
        </is>
      </c>
      <c r="O686" s="169" t="inlineStr">
        <is>
          <t>ABRIL</t>
        </is>
      </c>
      <c r="P686" s="169" t="n">
        <v>16</v>
      </c>
      <c r="Q686" s="171" t="n">
        <v>1114390</v>
      </c>
      <c r="R686" s="169" t="n"/>
      <c r="S686" s="171" t="n">
        <v>1114390</v>
      </c>
      <c r="T686" s="169" t="inlineStr">
        <is>
          <t>CLP</t>
        </is>
      </c>
      <c r="U686" s="169" t="inlineStr">
        <is>
          <t>Carga LH 18-06-26</t>
        </is>
      </c>
      <c r="V686" s="169" t="inlineStr">
        <is>
          <t>2026-06-18</t>
        </is>
      </c>
    </row>
    <row r="687">
      <c r="A687" s="169" t="inlineStr">
        <is>
          <t>CR-0684</t>
        </is>
      </c>
      <c r="B687" s="169" t="inlineStr">
        <is>
          <t>2026/27</t>
        </is>
      </c>
      <c r="C687" s="231" t="n">
        <v>46140</v>
      </c>
      <c r="D687" s="169" t="inlineStr">
        <is>
          <t>655</t>
        </is>
      </c>
      <c r="E687" s="169" t="inlineStr">
        <is>
          <t>COMPRA</t>
        </is>
      </c>
      <c r="F687" s="169" t="inlineStr">
        <is>
          <t>Mega Catalina</t>
        </is>
      </c>
      <c r="G687" s="169" t="inlineStr">
        <is>
          <t>EUREKA - 2016 (14,4 Ha.)</t>
        </is>
      </c>
      <c r="H687" s="169" t="n"/>
      <c r="I687" s="169" t="n"/>
      <c r="J687" s="169" t="inlineStr">
        <is>
          <t>LABORES OPERACIONALES</t>
        </is>
      </c>
      <c r="K687" s="169" t="inlineStr">
        <is>
          <t>SELECCION</t>
        </is>
      </c>
      <c r="L687" s="169" t="inlineStr">
        <is>
          <t>SERV.CONTRATISTA</t>
        </is>
      </c>
      <c r="M687" s="169" t="n"/>
      <c r="N687" s="169" t="inlineStr">
        <is>
          <t>.   .   -</t>
        </is>
      </c>
      <c r="O687" s="169" t="inlineStr">
        <is>
          <t>ABRIL</t>
        </is>
      </c>
      <c r="P687" s="169" t="n">
        <v>16</v>
      </c>
      <c r="Q687" s="171" t="n">
        <v>150000</v>
      </c>
      <c r="R687" s="169" t="n"/>
      <c r="S687" s="171" t="n">
        <v>150000</v>
      </c>
      <c r="T687" s="169" t="inlineStr">
        <is>
          <t>CLP</t>
        </is>
      </c>
      <c r="U687" s="169" t="inlineStr">
        <is>
          <t>Carga LH 18-06-26</t>
        </is>
      </c>
      <c r="V687" s="169" t="inlineStr">
        <is>
          <t>2026-06-18</t>
        </is>
      </c>
    </row>
    <row r="688">
      <c r="A688" s="169" t="inlineStr">
        <is>
          <t>CR-0685</t>
        </is>
      </c>
      <c r="B688" s="169" t="inlineStr">
        <is>
          <t>2026/27</t>
        </is>
      </c>
      <c r="C688" s="231" t="n">
        <v>46140</v>
      </c>
      <c r="D688" s="169" t="inlineStr">
        <is>
          <t>655</t>
        </is>
      </c>
      <c r="E688" s="169" t="inlineStr">
        <is>
          <t>COMPRA</t>
        </is>
      </c>
      <c r="F688" s="169" t="inlineStr">
        <is>
          <t>Mega Catalina</t>
        </is>
      </c>
      <c r="G688" s="169" t="inlineStr">
        <is>
          <t>MURCOTT - 2007 (21 Ha.)</t>
        </is>
      </c>
      <c r="H688" s="169" t="n"/>
      <c r="I688" s="169" t="n"/>
      <c r="J688" s="169" t="inlineStr">
        <is>
          <t>LABORES OPERACIONALES</t>
        </is>
      </c>
      <c r="K688" s="169" t="inlineStr">
        <is>
          <t>PODA</t>
        </is>
      </c>
      <c r="L688" s="169" t="inlineStr">
        <is>
          <t>SERV.CONTRATISTA</t>
        </is>
      </c>
      <c r="M688" s="169" t="n"/>
      <c r="N688" s="169" t="inlineStr">
        <is>
          <t>.   .   -</t>
        </is>
      </c>
      <c r="O688" s="169" t="inlineStr">
        <is>
          <t>ABRIL</t>
        </is>
      </c>
      <c r="P688" s="169" t="n">
        <v>16</v>
      </c>
      <c r="Q688" s="171" t="n">
        <v>854100</v>
      </c>
      <c r="R688" s="169" t="n"/>
      <c r="S688" s="171" t="n">
        <v>854100</v>
      </c>
      <c r="T688" s="169" t="inlineStr">
        <is>
          <t>CLP</t>
        </is>
      </c>
      <c r="U688" s="169" t="inlineStr">
        <is>
          <t>Carga LH 18-06-26</t>
        </is>
      </c>
      <c r="V688" s="169" t="inlineStr">
        <is>
          <t>2026-06-18</t>
        </is>
      </c>
    </row>
    <row r="689">
      <c r="A689" s="169" t="inlineStr">
        <is>
          <t>CR-0686</t>
        </is>
      </c>
      <c r="B689" s="169" t="inlineStr">
        <is>
          <t>2026/27</t>
        </is>
      </c>
      <c r="C689" s="231" t="n">
        <v>46140</v>
      </c>
      <c r="D689" s="169" t="inlineStr">
        <is>
          <t>178</t>
        </is>
      </c>
      <c r="E689" s="169" t="inlineStr">
        <is>
          <t>COMPRA</t>
        </is>
      </c>
      <c r="F689" s="169" t="inlineStr">
        <is>
          <t>Mega Catalina</t>
        </is>
      </c>
      <c r="G689" s="169" t="inlineStr">
        <is>
          <t>MURCOTT - 2007 (21 Ha.)</t>
        </is>
      </c>
      <c r="H689" s="169" t="n"/>
      <c r="I689" s="169" t="n"/>
      <c r="J689" s="169" t="inlineStr">
        <is>
          <t>LABORES OPERACIONALES</t>
        </is>
      </c>
      <c r="K689" s="169" t="inlineStr">
        <is>
          <t>PODA</t>
        </is>
      </c>
      <c r="L689" s="169" t="inlineStr">
        <is>
          <t>SERV.CONTRATISTA</t>
        </is>
      </c>
      <c r="M689" s="169" t="n"/>
      <c r="N689" s="169" t="inlineStr">
        <is>
          <t>.   .   -</t>
        </is>
      </c>
      <c r="O689" s="169" t="inlineStr">
        <is>
          <t>ABRIL</t>
        </is>
      </c>
      <c r="P689" s="169" t="n">
        <v>16</v>
      </c>
      <c r="Q689" s="171" t="n">
        <v>2063700</v>
      </c>
      <c r="R689" s="169" t="n"/>
      <c r="S689" s="171" t="n">
        <v>2063700</v>
      </c>
      <c r="T689" s="169" t="inlineStr">
        <is>
          <t>CLP</t>
        </is>
      </c>
      <c r="U689" s="169" t="inlineStr">
        <is>
          <t>Carga LH 18-06-26</t>
        </is>
      </c>
      <c r="V689" s="169" t="inlineStr">
        <is>
          <t>2026-06-18</t>
        </is>
      </c>
    </row>
    <row r="690">
      <c r="A690" s="169" t="inlineStr">
        <is>
          <t>CR-0687</t>
        </is>
      </c>
      <c r="B690" s="169" t="inlineStr">
        <is>
          <t>2026/27</t>
        </is>
      </c>
      <c r="C690" s="231" t="n">
        <v>46140</v>
      </c>
      <c r="D690" s="169" t="inlineStr">
        <is>
          <t>785</t>
        </is>
      </c>
      <c r="E690" s="169" t="inlineStr">
        <is>
          <t>COMPRA</t>
        </is>
      </c>
      <c r="F690" s="169" t="inlineStr">
        <is>
          <t>Mega Catalina</t>
        </is>
      </c>
      <c r="G690" s="169" t="inlineStr">
        <is>
          <t>MURCOTT - 2007 (21 Ha.)</t>
        </is>
      </c>
      <c r="H690" s="169" t="n"/>
      <c r="I690" s="169" t="n"/>
      <c r="J690" s="169" t="inlineStr">
        <is>
          <t>LABORES OPERACIONALES</t>
        </is>
      </c>
      <c r="K690" s="169" t="inlineStr">
        <is>
          <t>PODA</t>
        </is>
      </c>
      <c r="L690" s="169" t="inlineStr">
        <is>
          <t>SERV.CONTRATISTA</t>
        </is>
      </c>
      <c r="M690" s="169" t="n"/>
      <c r="N690" s="169" t="inlineStr">
        <is>
          <t>.   .   -</t>
        </is>
      </c>
      <c r="O690" s="169" t="inlineStr">
        <is>
          <t>ABRIL</t>
        </is>
      </c>
      <c r="P690" s="169" t="n">
        <v>16</v>
      </c>
      <c r="Q690" s="171" t="n">
        <v>750000</v>
      </c>
      <c r="R690" s="169" t="n"/>
      <c r="S690" s="171" t="n">
        <v>750000</v>
      </c>
      <c r="T690" s="169" t="inlineStr">
        <is>
          <t>CLP</t>
        </is>
      </c>
      <c r="U690" s="169" t="inlineStr">
        <is>
          <t>Carga LH 18-06-26</t>
        </is>
      </c>
      <c r="V690" s="169" t="inlineStr">
        <is>
          <t>2026-06-18</t>
        </is>
      </c>
    </row>
    <row r="691">
      <c r="A691" s="169" t="inlineStr">
        <is>
          <t>CR-0688</t>
        </is>
      </c>
      <c r="B691" s="169" t="inlineStr">
        <is>
          <t>2026/27</t>
        </is>
      </c>
      <c r="C691" s="231" t="n">
        <v>46140</v>
      </c>
      <c r="D691" s="169" t="inlineStr">
        <is>
          <t>179</t>
        </is>
      </c>
      <c r="E691" s="169" t="inlineStr">
        <is>
          <t>COMPRA</t>
        </is>
      </c>
      <c r="F691" s="169" t="inlineStr">
        <is>
          <t>Asmara</t>
        </is>
      </c>
      <c r="G691" s="169" t="inlineStr">
        <is>
          <t>MURCOTT - 2020 (19,8 Ha.)</t>
        </is>
      </c>
      <c r="H691" s="169" t="n"/>
      <c r="I691" s="169" t="n"/>
      <c r="J691" s="169" t="inlineStr">
        <is>
          <t>LABORES OPERACIONALES</t>
        </is>
      </c>
      <c r="K691" s="169" t="inlineStr">
        <is>
          <t>PODA</t>
        </is>
      </c>
      <c r="L691" s="169" t="inlineStr">
        <is>
          <t>SERV.CONTRATISTA</t>
        </is>
      </c>
      <c r="M691" s="169" t="n"/>
      <c r="N691" s="169" t="inlineStr">
        <is>
          <t>.   .   -</t>
        </is>
      </c>
      <c r="O691" s="169" t="inlineStr">
        <is>
          <t>ABRIL</t>
        </is>
      </c>
      <c r="P691" s="169" t="n">
        <v>16</v>
      </c>
      <c r="Q691" s="171" t="n">
        <v>412500</v>
      </c>
      <c r="R691" s="169" t="n"/>
      <c r="S691" s="171" t="n">
        <v>412500</v>
      </c>
      <c r="T691" s="169" t="inlineStr">
        <is>
          <t>CLP</t>
        </is>
      </c>
      <c r="U691" s="169" t="inlineStr">
        <is>
          <t>Carga LH 18-06-26</t>
        </is>
      </c>
      <c r="V691" s="169" t="inlineStr">
        <is>
          <t>2026-06-18</t>
        </is>
      </c>
    </row>
    <row r="692">
      <c r="A692" s="169" t="inlineStr">
        <is>
          <t>CR-0689</t>
        </is>
      </c>
      <c r="B692" s="169" t="inlineStr">
        <is>
          <t>2026/27</t>
        </is>
      </c>
      <c r="C692" s="231" t="n">
        <v>46140</v>
      </c>
      <c r="D692" s="169" t="inlineStr">
        <is>
          <t>375</t>
        </is>
      </c>
      <c r="E692" s="169" t="inlineStr">
        <is>
          <t>COMPRA</t>
        </is>
      </c>
      <c r="F692" s="169" t="inlineStr">
        <is>
          <t>Sin asignar</t>
        </is>
      </c>
      <c r="G692" s="169" t="inlineStr">
        <is>
          <t>PACKING</t>
        </is>
      </c>
      <c r="H692" s="169" t="n"/>
      <c r="I692" s="169" t="n"/>
      <c r="J692" s="169" t="inlineStr">
        <is>
          <t>LABORES OPERACIONALES</t>
        </is>
      </c>
      <c r="K692" s="169" t="inlineStr">
        <is>
          <t>LAB. PACKING</t>
        </is>
      </c>
      <c r="L692" s="169" t="inlineStr">
        <is>
          <t>SERV.CONTRATISTA</t>
        </is>
      </c>
      <c r="M692" s="169" t="n"/>
      <c r="N692" s="169" t="inlineStr">
        <is>
          <t>.   .   -</t>
        </is>
      </c>
      <c r="O692" s="169" t="inlineStr">
        <is>
          <t>ABRIL</t>
        </is>
      </c>
      <c r="P692" s="169" t="n">
        <v>16</v>
      </c>
      <c r="Q692" s="171" t="n">
        <v>115650</v>
      </c>
      <c r="R692" s="169" t="n"/>
      <c r="S692" s="171" t="n">
        <v>115650</v>
      </c>
      <c r="T692" s="169" t="inlineStr">
        <is>
          <t>CLP</t>
        </is>
      </c>
      <c r="U692" s="169" t="inlineStr">
        <is>
          <t>Carga LH 18-06-26</t>
        </is>
      </c>
      <c r="V692" s="169" t="inlineStr">
        <is>
          <t>2026-06-18</t>
        </is>
      </c>
    </row>
    <row r="693">
      <c r="A693" s="169" t="inlineStr">
        <is>
          <t>CR-0690</t>
        </is>
      </c>
      <c r="B693" s="169" t="inlineStr">
        <is>
          <t>2026/27</t>
        </is>
      </c>
      <c r="C693" s="231" t="n">
        <v>46140</v>
      </c>
      <c r="D693" s="169" t="inlineStr">
        <is>
          <t>375</t>
        </is>
      </c>
      <c r="E693" s="169" t="inlineStr">
        <is>
          <t>COMPRA</t>
        </is>
      </c>
      <c r="F693" s="169" t="inlineStr">
        <is>
          <t>El Molle</t>
        </is>
      </c>
      <c r="G693" s="169" t="inlineStr">
        <is>
          <t>ARRUFATINA - 2017 (5,74 Ha.)</t>
        </is>
      </c>
      <c r="H693" s="169" t="n"/>
      <c r="I693" s="169" t="n"/>
      <c r="J693" s="169" t="inlineStr">
        <is>
          <t>LABORES OPERACIONALES</t>
        </is>
      </c>
      <c r="K693" s="169" t="inlineStr">
        <is>
          <t>LABORES VARIAS</t>
        </is>
      </c>
      <c r="L693" s="169" t="inlineStr">
        <is>
          <t>SERV.CONTRATISTA</t>
        </is>
      </c>
      <c r="M693" s="169" t="n"/>
      <c r="N693" s="169" t="inlineStr">
        <is>
          <t>.   .   -</t>
        </is>
      </c>
      <c r="O693" s="169" t="inlineStr">
        <is>
          <t>ABRIL</t>
        </is>
      </c>
      <c r="P693" s="169" t="n">
        <v>16</v>
      </c>
      <c r="Q693" s="171" t="n">
        <v>192750</v>
      </c>
      <c r="R693" s="169" t="n"/>
      <c r="S693" s="171" t="n">
        <v>192750</v>
      </c>
      <c r="T693" s="169" t="inlineStr">
        <is>
          <t>CLP</t>
        </is>
      </c>
      <c r="U693" s="169" t="inlineStr">
        <is>
          <t>Carga LH 18-06-26</t>
        </is>
      </c>
      <c r="V693" s="169" t="inlineStr">
        <is>
          <t>2026-06-18</t>
        </is>
      </c>
    </row>
    <row r="694">
      <c r="A694" s="169" t="inlineStr">
        <is>
          <t>CR-0691</t>
        </is>
      </c>
      <c r="B694" s="169" t="inlineStr">
        <is>
          <t>2026/27</t>
        </is>
      </c>
      <c r="C694" s="231" t="n">
        <v>46140</v>
      </c>
      <c r="D694" s="169" t="inlineStr">
        <is>
          <t>375</t>
        </is>
      </c>
      <c r="E694" s="169" t="inlineStr">
        <is>
          <t>COMPRA</t>
        </is>
      </c>
      <c r="F694" s="169" t="inlineStr">
        <is>
          <t>El Molle</t>
        </is>
      </c>
      <c r="G694" s="169" t="inlineStr">
        <is>
          <t>ORONULES - 2017 (2,85 Ha.)</t>
        </is>
      </c>
      <c r="H694" s="169" t="n"/>
      <c r="I694" s="169" t="n"/>
      <c r="J694" s="169" t="inlineStr">
        <is>
          <t>LABORES OPERACIONALES</t>
        </is>
      </c>
      <c r="K694" s="169" t="inlineStr">
        <is>
          <t>LABORES VARIAS</t>
        </is>
      </c>
      <c r="L694" s="169" t="inlineStr">
        <is>
          <t>SERV.CONTRATISTA</t>
        </is>
      </c>
      <c r="M694" s="169" t="n"/>
      <c r="N694" s="169" t="inlineStr">
        <is>
          <t>.   .   -</t>
        </is>
      </c>
      <c r="O694" s="169" t="inlineStr">
        <is>
          <t>ABRIL</t>
        </is>
      </c>
      <c r="P694" s="169" t="n">
        <v>16</v>
      </c>
      <c r="Q694" s="171" t="n">
        <v>1349250</v>
      </c>
      <c r="R694" s="169" t="n"/>
      <c r="S694" s="171" t="n">
        <v>1349250</v>
      </c>
      <c r="T694" s="169" t="inlineStr">
        <is>
          <t>CLP</t>
        </is>
      </c>
      <c r="U694" s="169" t="inlineStr">
        <is>
          <t>Carga LH 18-06-26</t>
        </is>
      </c>
      <c r="V694" s="169" t="inlineStr">
        <is>
          <t>2026-06-18</t>
        </is>
      </c>
    </row>
    <row r="695">
      <c r="A695" s="169" t="inlineStr">
        <is>
          <t>CR-0692</t>
        </is>
      </c>
      <c r="B695" s="169" t="inlineStr">
        <is>
          <t>2026/27</t>
        </is>
      </c>
      <c r="C695" s="231" t="n">
        <v>46140</v>
      </c>
      <c r="D695" s="169" t="inlineStr">
        <is>
          <t>375</t>
        </is>
      </c>
      <c r="E695" s="169" t="inlineStr">
        <is>
          <t>COMPRA</t>
        </is>
      </c>
      <c r="F695" s="169" t="inlineStr">
        <is>
          <t>El Molle</t>
        </is>
      </c>
      <c r="G695" s="169" t="inlineStr">
        <is>
          <t>WONDERFUL - 2002 (2,80 Ha.)</t>
        </is>
      </c>
      <c r="H695" s="169" t="n"/>
      <c r="I695" s="169" t="n"/>
      <c r="J695" s="169" t="inlineStr">
        <is>
          <t>LABORES OPERACIONALES</t>
        </is>
      </c>
      <c r="K695" s="169" t="inlineStr">
        <is>
          <t>COSECHA</t>
        </is>
      </c>
      <c r="L695" s="169" t="inlineStr">
        <is>
          <t>SERV.CONTRATISTA</t>
        </is>
      </c>
      <c r="M695" s="169" t="n"/>
      <c r="N695" s="169" t="inlineStr">
        <is>
          <t>.   .   -</t>
        </is>
      </c>
      <c r="O695" s="169" t="inlineStr">
        <is>
          <t>ABRIL</t>
        </is>
      </c>
      <c r="P695" s="169" t="n">
        <v>16</v>
      </c>
      <c r="Q695" s="171" t="n">
        <v>3973800</v>
      </c>
      <c r="R695" s="169" t="n"/>
      <c r="S695" s="171" t="n">
        <v>3973800</v>
      </c>
      <c r="T695" s="169" t="inlineStr">
        <is>
          <t>CLP</t>
        </is>
      </c>
      <c r="U695" s="169" t="inlineStr">
        <is>
          <t>Carga LH 18-06-26</t>
        </is>
      </c>
      <c r="V695" s="169" t="inlineStr">
        <is>
          <t>2026-06-18</t>
        </is>
      </c>
    </row>
    <row r="696">
      <c r="A696" s="169" t="inlineStr">
        <is>
          <t>CR-0693</t>
        </is>
      </c>
      <c r="B696" s="169" t="inlineStr">
        <is>
          <t>2026/27</t>
        </is>
      </c>
      <c r="C696" s="231" t="n">
        <v>46140</v>
      </c>
      <c r="D696" s="169" t="inlineStr">
        <is>
          <t>375</t>
        </is>
      </c>
      <c r="E696" s="169" t="inlineStr">
        <is>
          <t>COMPRA</t>
        </is>
      </c>
      <c r="F696" s="169" t="inlineStr">
        <is>
          <t>El Molle</t>
        </is>
      </c>
      <c r="G696" s="169" t="inlineStr">
        <is>
          <t>WONDERFUL - 2002 (2,80 Ha.)</t>
        </is>
      </c>
      <c r="H696" s="169" t="n"/>
      <c r="I696" s="169" t="n"/>
      <c r="J696" s="169" t="inlineStr">
        <is>
          <t>LABORES OPERACIONALES</t>
        </is>
      </c>
      <c r="K696" s="169" t="inlineStr">
        <is>
          <t>SELECCION</t>
        </is>
      </c>
      <c r="L696" s="169" t="inlineStr">
        <is>
          <t>SERV.CONTRATISTA</t>
        </is>
      </c>
      <c r="M696" s="169" t="n"/>
      <c r="N696" s="169" t="inlineStr">
        <is>
          <t>.   .   -</t>
        </is>
      </c>
      <c r="O696" s="169" t="inlineStr">
        <is>
          <t>ABRIL</t>
        </is>
      </c>
      <c r="P696" s="169" t="n">
        <v>16</v>
      </c>
      <c r="Q696" s="171" t="n">
        <v>539700</v>
      </c>
      <c r="R696" s="169" t="n"/>
      <c r="S696" s="171" t="n">
        <v>539700</v>
      </c>
      <c r="T696" s="169" t="inlineStr">
        <is>
          <t>CLP</t>
        </is>
      </c>
      <c r="U696" s="169" t="inlineStr">
        <is>
          <t>Carga LH 18-06-26</t>
        </is>
      </c>
      <c r="V696" s="169" t="inlineStr">
        <is>
          <t>2026-06-18</t>
        </is>
      </c>
    </row>
    <row r="697">
      <c r="A697" s="169" t="inlineStr">
        <is>
          <t>CR-0694</t>
        </is>
      </c>
      <c r="B697" s="169" t="inlineStr">
        <is>
          <t>2026/27</t>
        </is>
      </c>
      <c r="C697" s="231" t="n">
        <v>46140</v>
      </c>
      <c r="D697" s="169" t="inlineStr">
        <is>
          <t>375</t>
        </is>
      </c>
      <c r="E697" s="169" t="inlineStr">
        <is>
          <t>COMPRA</t>
        </is>
      </c>
      <c r="F697" s="169" t="inlineStr">
        <is>
          <t>El Molle</t>
        </is>
      </c>
      <c r="G697" s="169" t="inlineStr">
        <is>
          <t>WONDERFUL - 2002 (2,80 Ha.)</t>
        </is>
      </c>
      <c r="H697" s="169" t="n"/>
      <c r="I697" s="169" t="n"/>
      <c r="J697" s="169" t="inlineStr">
        <is>
          <t>LABORES OPERACIONALES</t>
        </is>
      </c>
      <c r="K697" s="169" t="inlineStr">
        <is>
          <t>MANTENCION DE CAMPOS</t>
        </is>
      </c>
      <c r="L697" s="169" t="inlineStr">
        <is>
          <t>SERV.CONTRATISTA</t>
        </is>
      </c>
      <c r="M697" s="169" t="n"/>
      <c r="N697" s="169" t="inlineStr">
        <is>
          <t>.   .   -</t>
        </is>
      </c>
      <c r="O697" s="169" t="inlineStr">
        <is>
          <t>ABRIL</t>
        </is>
      </c>
      <c r="P697" s="169" t="n">
        <v>16</v>
      </c>
      <c r="Q697" s="171" t="n">
        <v>38550</v>
      </c>
      <c r="R697" s="169" t="n"/>
      <c r="S697" s="171" t="n">
        <v>38550</v>
      </c>
      <c r="T697" s="169" t="inlineStr">
        <is>
          <t>CLP</t>
        </is>
      </c>
      <c r="U697" s="169" t="inlineStr">
        <is>
          <t>Carga LH 18-06-26</t>
        </is>
      </c>
      <c r="V697" s="169" t="inlineStr">
        <is>
          <t>2026-06-18</t>
        </is>
      </c>
    </row>
    <row r="698">
      <c r="A698" s="169" t="inlineStr">
        <is>
          <t>CR-0695</t>
        </is>
      </c>
      <c r="B698" s="169" t="inlineStr">
        <is>
          <t>2026/27</t>
        </is>
      </c>
      <c r="C698" s="231" t="n">
        <v>46140</v>
      </c>
      <c r="D698" s="169" t="inlineStr">
        <is>
          <t>375</t>
        </is>
      </c>
      <c r="E698" s="169" t="inlineStr">
        <is>
          <t>COMPRA</t>
        </is>
      </c>
      <c r="F698" s="169" t="inlineStr">
        <is>
          <t>El Molle</t>
        </is>
      </c>
      <c r="G698" s="169" t="inlineStr">
        <is>
          <t>WONDERFUL - 2002 (2,80 Ha.)</t>
        </is>
      </c>
      <c r="H698" s="169" t="n"/>
      <c r="I698" s="169" t="n"/>
      <c r="J698" s="169" t="inlineStr">
        <is>
          <t>LABORES OPERACIONALES</t>
        </is>
      </c>
      <c r="K698" s="169" t="inlineStr">
        <is>
          <t>LABORES VARIAS</t>
        </is>
      </c>
      <c r="L698" s="169" t="inlineStr">
        <is>
          <t>SERV.CONTRATISTA</t>
        </is>
      </c>
      <c r="M698" s="169" t="n"/>
      <c r="N698" s="169" t="inlineStr">
        <is>
          <t>.   .   -</t>
        </is>
      </c>
      <c r="O698" s="169" t="inlineStr">
        <is>
          <t>ABRIL</t>
        </is>
      </c>
      <c r="P698" s="169" t="n">
        <v>16</v>
      </c>
      <c r="Q698" s="171" t="n">
        <v>192750</v>
      </c>
      <c r="R698" s="169" t="n"/>
      <c r="S698" s="171" t="n">
        <v>192750</v>
      </c>
      <c r="T698" s="169" t="inlineStr">
        <is>
          <t>CLP</t>
        </is>
      </c>
      <c r="U698" s="169" t="inlineStr">
        <is>
          <t>Carga LH 18-06-26</t>
        </is>
      </c>
      <c r="V698" s="169" t="inlineStr">
        <is>
          <t>2026-06-18</t>
        </is>
      </c>
    </row>
    <row r="699">
      <c r="A699" s="169" t="inlineStr">
        <is>
          <t>CR-0696</t>
        </is>
      </c>
      <c r="B699" s="169" t="inlineStr">
        <is>
          <t>2026/27</t>
        </is>
      </c>
      <c r="C699" s="231" t="n">
        <v>46140</v>
      </c>
      <c r="D699" s="169" t="inlineStr">
        <is>
          <t>375</t>
        </is>
      </c>
      <c r="E699" s="169" t="inlineStr">
        <is>
          <t>COMPRA</t>
        </is>
      </c>
      <c r="F699" s="169" t="inlineStr">
        <is>
          <t>El Molle</t>
        </is>
      </c>
      <c r="G699" s="169" t="inlineStr">
        <is>
          <t>WONDERFUL - 2007 (2,44 Ha.)</t>
        </is>
      </c>
      <c r="H699" s="169" t="n"/>
      <c r="I699" s="169" t="n"/>
      <c r="J699" s="169" t="inlineStr">
        <is>
          <t>LABORES OPERACIONALES</t>
        </is>
      </c>
      <c r="K699" s="169" t="inlineStr">
        <is>
          <t>COSECHA</t>
        </is>
      </c>
      <c r="L699" s="169" t="inlineStr">
        <is>
          <t>SERV.CONTRATISTA</t>
        </is>
      </c>
      <c r="M699" s="169" t="n"/>
      <c r="N699" s="169" t="inlineStr">
        <is>
          <t>.   .   -</t>
        </is>
      </c>
      <c r="O699" s="169" t="inlineStr">
        <is>
          <t>ABRIL</t>
        </is>
      </c>
      <c r="P699" s="169" t="n">
        <v>16</v>
      </c>
      <c r="Q699" s="171" t="n">
        <v>2114850</v>
      </c>
      <c r="R699" s="169" t="n"/>
      <c r="S699" s="171" t="n">
        <v>2114850</v>
      </c>
      <c r="T699" s="169" t="inlineStr">
        <is>
          <t>CLP</t>
        </is>
      </c>
      <c r="U699" s="169" t="inlineStr">
        <is>
          <t>Carga LH 18-06-26</t>
        </is>
      </c>
      <c r="V699" s="169" t="inlineStr">
        <is>
          <t>2026-06-18</t>
        </is>
      </c>
    </row>
    <row r="700">
      <c r="A700" s="169" t="inlineStr">
        <is>
          <t>CR-0697</t>
        </is>
      </c>
      <c r="B700" s="169" t="inlineStr">
        <is>
          <t>2026/27</t>
        </is>
      </c>
      <c r="C700" s="231" t="n">
        <v>46140</v>
      </c>
      <c r="D700" s="169" t="inlineStr">
        <is>
          <t>375</t>
        </is>
      </c>
      <c r="E700" s="169" t="inlineStr">
        <is>
          <t>COMPRA</t>
        </is>
      </c>
      <c r="F700" s="169" t="inlineStr">
        <is>
          <t>El Molle</t>
        </is>
      </c>
      <c r="G700" s="169" t="inlineStr">
        <is>
          <t>WONDERFUL - 2007 (2,44 Ha.)</t>
        </is>
      </c>
      <c r="H700" s="169" t="n"/>
      <c r="I700" s="169" t="n"/>
      <c r="J700" s="169" t="inlineStr">
        <is>
          <t>LABORES OPERACIONALES</t>
        </is>
      </c>
      <c r="K700" s="169" t="inlineStr">
        <is>
          <t>SELECCION</t>
        </is>
      </c>
      <c r="L700" s="169" t="inlineStr">
        <is>
          <t>SERV.CONTRATISTA</t>
        </is>
      </c>
      <c r="M700" s="169" t="n"/>
      <c r="N700" s="169" t="inlineStr">
        <is>
          <t>.   .   -</t>
        </is>
      </c>
      <c r="O700" s="169" t="inlineStr">
        <is>
          <t>ABRIL</t>
        </is>
      </c>
      <c r="P700" s="169" t="n">
        <v>16</v>
      </c>
      <c r="Q700" s="171" t="n">
        <v>77100</v>
      </c>
      <c r="R700" s="169" t="n"/>
      <c r="S700" s="171" t="n">
        <v>77100</v>
      </c>
      <c r="T700" s="169" t="inlineStr">
        <is>
          <t>CLP</t>
        </is>
      </c>
      <c r="U700" s="169" t="inlineStr">
        <is>
          <t>Carga LH 18-06-26</t>
        </is>
      </c>
      <c r="V700" s="169" t="inlineStr">
        <is>
          <t>2026-06-18</t>
        </is>
      </c>
    </row>
    <row r="701">
      <c r="A701" s="169" t="inlineStr">
        <is>
          <t>CR-0698</t>
        </is>
      </c>
      <c r="B701" s="169" t="inlineStr">
        <is>
          <t>2026/27</t>
        </is>
      </c>
      <c r="C701" s="231" t="n">
        <v>46140</v>
      </c>
      <c r="D701" s="169" t="inlineStr">
        <is>
          <t>375</t>
        </is>
      </c>
      <c r="E701" s="169" t="inlineStr">
        <is>
          <t>COMPRA</t>
        </is>
      </c>
      <c r="F701" s="169" t="inlineStr">
        <is>
          <t>El Molle</t>
        </is>
      </c>
      <c r="G701" s="169" t="inlineStr">
        <is>
          <t>WONDERFUL - 2007 (2,44 Ha.)</t>
        </is>
      </c>
      <c r="H701" s="169" t="n"/>
      <c r="I701" s="169" t="n"/>
      <c r="J701" s="169" t="inlineStr">
        <is>
          <t>LABORES OPERACIONALES</t>
        </is>
      </c>
      <c r="K701" s="169" t="inlineStr">
        <is>
          <t>MANTENCION DE CAMPOS</t>
        </is>
      </c>
      <c r="L701" s="169" t="inlineStr">
        <is>
          <t>SERV.CONTRATISTA</t>
        </is>
      </c>
      <c r="M701" s="169" t="n"/>
      <c r="N701" s="169" t="inlineStr">
        <is>
          <t>.   .   -</t>
        </is>
      </c>
      <c r="O701" s="169" t="inlineStr">
        <is>
          <t>ABRIL</t>
        </is>
      </c>
      <c r="P701" s="169" t="n">
        <v>16</v>
      </c>
      <c r="Q701" s="171" t="n">
        <v>38550</v>
      </c>
      <c r="R701" s="169" t="n"/>
      <c r="S701" s="171" t="n">
        <v>38550</v>
      </c>
      <c r="T701" s="169" t="inlineStr">
        <is>
          <t>CLP</t>
        </is>
      </c>
      <c r="U701" s="169" t="inlineStr">
        <is>
          <t>Carga LH 18-06-26</t>
        </is>
      </c>
      <c r="V701" s="169" t="inlineStr">
        <is>
          <t>2026-06-18</t>
        </is>
      </c>
    </row>
    <row r="702">
      <c r="A702" s="169" t="inlineStr">
        <is>
          <t>CR-0699</t>
        </is>
      </c>
      <c r="B702" s="169" t="inlineStr">
        <is>
          <t>2026/27</t>
        </is>
      </c>
      <c r="C702" s="231" t="n">
        <v>46140</v>
      </c>
      <c r="D702" s="169" t="inlineStr">
        <is>
          <t>375</t>
        </is>
      </c>
      <c r="E702" s="169" t="inlineStr">
        <is>
          <t>COMPRA</t>
        </is>
      </c>
      <c r="F702" s="169" t="inlineStr">
        <is>
          <t>El Molle</t>
        </is>
      </c>
      <c r="G702" s="169" t="inlineStr">
        <is>
          <t>WONDERFUL - 2007 (2,44 Ha.)</t>
        </is>
      </c>
      <c r="H702" s="169" t="n"/>
      <c r="I702" s="169" t="n"/>
      <c r="J702" s="169" t="inlineStr">
        <is>
          <t>LABORES OPERACIONALES</t>
        </is>
      </c>
      <c r="K702" s="169" t="inlineStr">
        <is>
          <t>LABORES VARIAS</t>
        </is>
      </c>
      <c r="L702" s="169" t="inlineStr">
        <is>
          <t>SERV.CONTRATISTA</t>
        </is>
      </c>
      <c r="M702" s="169" t="n"/>
      <c r="N702" s="169" t="inlineStr">
        <is>
          <t>.   .   -</t>
        </is>
      </c>
      <c r="O702" s="169" t="inlineStr">
        <is>
          <t>ABRIL</t>
        </is>
      </c>
      <c r="P702" s="169" t="n">
        <v>16</v>
      </c>
      <c r="Q702" s="171" t="n">
        <v>192750</v>
      </c>
      <c r="R702" s="169" t="n"/>
      <c r="S702" s="171" t="n">
        <v>192750</v>
      </c>
      <c r="T702" s="169" t="inlineStr">
        <is>
          <t>CLP</t>
        </is>
      </c>
      <c r="U702" s="169" t="inlineStr">
        <is>
          <t>Carga LH 18-06-26</t>
        </is>
      </c>
      <c r="V702" s="169" t="inlineStr">
        <is>
          <t>2026-06-18</t>
        </is>
      </c>
    </row>
    <row r="703">
      <c r="A703" s="169" t="inlineStr">
        <is>
          <t>CR-0700</t>
        </is>
      </c>
      <c r="B703" s="169" t="inlineStr">
        <is>
          <t>2026/27</t>
        </is>
      </c>
      <c r="C703" s="231" t="n">
        <v>46141</v>
      </c>
      <c r="D703" s="169" t="inlineStr">
        <is>
          <t>925</t>
        </is>
      </c>
      <c r="E703" s="169" t="inlineStr">
        <is>
          <t>COMPRA</t>
        </is>
      </c>
      <c r="F703" s="169" t="inlineStr">
        <is>
          <t>Mega Catalina</t>
        </is>
      </c>
      <c r="G703" s="169" t="inlineStr">
        <is>
          <t>FINO 49 - 1999 (7,7 Ha.)</t>
        </is>
      </c>
      <c r="H703" s="169" t="n"/>
      <c r="I703" s="169" t="n"/>
      <c r="J703" s="169" t="inlineStr">
        <is>
          <t>MANT. Y REP. EQUI. RIEGO</t>
        </is>
      </c>
      <c r="K703" s="169" t="inlineStr">
        <is>
          <t>SALAS DE RIEGO</t>
        </is>
      </c>
      <c r="L703" s="169" t="inlineStr">
        <is>
          <t>O/001629 MANTENCION</t>
        </is>
      </c>
      <c r="M703" s="169" t="n"/>
      <c r="N703" s="169" t="inlineStr">
        <is>
          <t>.   .   -</t>
        </is>
      </c>
      <c r="O703" s="169" t="inlineStr">
        <is>
          <t>ABRIL</t>
        </is>
      </c>
      <c r="P703" s="169" t="n">
        <v>17</v>
      </c>
      <c r="Q703" s="171" t="n">
        <v>150000</v>
      </c>
      <c r="R703" s="169" t="n"/>
      <c r="S703" s="171" t="n">
        <v>150000</v>
      </c>
      <c r="T703" s="169" t="inlineStr">
        <is>
          <t>CLP</t>
        </is>
      </c>
      <c r="U703" s="169" t="inlineStr">
        <is>
          <t>Carga LH 18-06-26</t>
        </is>
      </c>
      <c r="V703" s="169" t="inlineStr">
        <is>
          <t>2026-06-18</t>
        </is>
      </c>
    </row>
    <row r="704">
      <c r="A704" s="169" t="inlineStr">
        <is>
          <t>CR-0701</t>
        </is>
      </c>
      <c r="B704" s="169" t="inlineStr">
        <is>
          <t>2026/27</t>
        </is>
      </c>
      <c r="C704" s="231" t="n">
        <v>46141</v>
      </c>
      <c r="D704" s="169" t="inlineStr">
        <is>
          <t>8510</t>
        </is>
      </c>
      <c r="E704" s="169" t="inlineStr">
        <is>
          <t>COMPRA</t>
        </is>
      </c>
      <c r="F704" s="169" t="inlineStr">
        <is>
          <t>Sin asignar</t>
        </is>
      </c>
      <c r="G704" s="169" t="inlineStr">
        <is>
          <t>PACKING</t>
        </is>
      </c>
      <c r="H704" s="169" t="n"/>
      <c r="I704" s="169" t="n"/>
      <c r="J704" s="169" t="inlineStr">
        <is>
          <t>FLETES</t>
        </is>
      </c>
      <c r="K704" s="169" t="inlineStr">
        <is>
          <t>FLETE FRUTA</t>
        </is>
      </c>
      <c r="L704" s="169" t="inlineStr">
        <is>
          <t>O/001645 FLETE</t>
        </is>
      </c>
      <c r="M704" s="169" t="n"/>
      <c r="N704" s="169" t="inlineStr">
        <is>
          <t>.   .   -</t>
        </is>
      </c>
      <c r="O704" s="169" t="inlineStr">
        <is>
          <t>ABRIL</t>
        </is>
      </c>
      <c r="P704" s="169" t="n">
        <v>17</v>
      </c>
      <c r="Q704" s="171" t="n">
        <v>1440000</v>
      </c>
      <c r="R704" s="169" t="n"/>
      <c r="S704" s="171" t="n">
        <v>1440000</v>
      </c>
      <c r="T704" s="169" t="inlineStr">
        <is>
          <t>CLP</t>
        </is>
      </c>
      <c r="U704" s="169" t="inlineStr">
        <is>
          <t>Carga LH 18-06-26</t>
        </is>
      </c>
      <c r="V704" s="169" t="inlineStr">
        <is>
          <t>2026-06-18</t>
        </is>
      </c>
    </row>
    <row r="705">
      <c r="A705" s="169" t="inlineStr">
        <is>
          <t>CR-0702</t>
        </is>
      </c>
      <c r="B705" s="169" t="inlineStr">
        <is>
          <t>2026/27</t>
        </is>
      </c>
      <c r="C705" s="231" t="n">
        <v>46141</v>
      </c>
      <c r="D705" s="169" t="inlineStr">
        <is>
          <t>8510</t>
        </is>
      </c>
      <c r="E705" s="169" t="inlineStr">
        <is>
          <t>COMPRA</t>
        </is>
      </c>
      <c r="F705" s="169" t="inlineStr">
        <is>
          <t>Sin asignar</t>
        </is>
      </c>
      <c r="G705" s="169" t="inlineStr">
        <is>
          <t>PACKING</t>
        </is>
      </c>
      <c r="H705" s="169" t="n"/>
      <c r="I705" s="169" t="n"/>
      <c r="J705" s="169" t="inlineStr">
        <is>
          <t>FLETES</t>
        </is>
      </c>
      <c r="K705" s="169" t="inlineStr">
        <is>
          <t>FLETE FRUTA</t>
        </is>
      </c>
      <c r="L705" s="169" t="inlineStr">
        <is>
          <t>O/001645 FLETE</t>
        </is>
      </c>
      <c r="M705" s="169" t="n"/>
      <c r="N705" s="169" t="inlineStr">
        <is>
          <t>.   .   -</t>
        </is>
      </c>
      <c r="O705" s="169" t="inlineStr">
        <is>
          <t>ABRIL</t>
        </is>
      </c>
      <c r="P705" s="169" t="n">
        <v>17</v>
      </c>
      <c r="Q705" s="171" t="n">
        <v>940000</v>
      </c>
      <c r="R705" s="169" t="n"/>
      <c r="S705" s="171" t="n">
        <v>940000</v>
      </c>
      <c r="T705" s="169" t="inlineStr">
        <is>
          <t>CLP</t>
        </is>
      </c>
      <c r="U705" s="169" t="inlineStr">
        <is>
          <t>Carga LH 18-06-26</t>
        </is>
      </c>
      <c r="V705" s="169" t="inlineStr">
        <is>
          <t>2026-06-18</t>
        </is>
      </c>
    </row>
    <row r="706">
      <c r="A706" s="169" t="inlineStr">
        <is>
          <t>CR-0703</t>
        </is>
      </c>
      <c r="B706" s="169" t="inlineStr">
        <is>
          <t>2026/27</t>
        </is>
      </c>
      <c r="C706" s="231" t="n">
        <v>46141</v>
      </c>
      <c r="D706" s="169" t="inlineStr">
        <is>
          <t>8510</t>
        </is>
      </c>
      <c r="E706" s="169" t="inlineStr">
        <is>
          <t>COMPRA</t>
        </is>
      </c>
      <c r="F706" s="169" t="inlineStr">
        <is>
          <t>Sin asignar</t>
        </is>
      </c>
      <c r="G706" s="169" t="inlineStr">
        <is>
          <t>PACKING</t>
        </is>
      </c>
      <c r="H706" s="169" t="n"/>
      <c r="I706" s="169" t="n"/>
      <c r="J706" s="169" t="inlineStr">
        <is>
          <t>FLETES</t>
        </is>
      </c>
      <c r="K706" s="169" t="inlineStr">
        <is>
          <t>FLETE TRASLADO MATERIALES</t>
        </is>
      </c>
      <c r="L706" s="169" t="inlineStr">
        <is>
          <t>O/001645 FLETE</t>
        </is>
      </c>
      <c r="M706" s="169" t="n"/>
      <c r="N706" s="169" t="inlineStr">
        <is>
          <t>.   .   -</t>
        </is>
      </c>
      <c r="O706" s="169" t="inlineStr">
        <is>
          <t>ABRIL</t>
        </is>
      </c>
      <c r="P706" s="169" t="n">
        <v>17</v>
      </c>
      <c r="Q706" s="171" t="n">
        <v>480000</v>
      </c>
      <c r="R706" s="169" t="n"/>
      <c r="S706" s="171" t="n">
        <v>480000</v>
      </c>
      <c r="T706" s="169" t="inlineStr">
        <is>
          <t>CLP</t>
        </is>
      </c>
      <c r="U706" s="169" t="inlineStr">
        <is>
          <t>Carga LH 18-06-26</t>
        </is>
      </c>
      <c r="V706" s="169" t="inlineStr">
        <is>
          <t>2026-06-18</t>
        </is>
      </c>
    </row>
    <row r="707">
      <c r="A707" s="169" t="inlineStr">
        <is>
          <t>CR-0704</t>
        </is>
      </c>
      <c r="B707" s="169" t="inlineStr">
        <is>
          <t>2026/27</t>
        </is>
      </c>
      <c r="C707" s="231" t="n">
        <v>46142</v>
      </c>
      <c r="D707" s="169" t="inlineStr">
        <is>
          <t>4228</t>
        </is>
      </c>
      <c r="E707" s="169" t="inlineStr">
        <is>
          <t>COMPRA</t>
        </is>
      </c>
      <c r="F707" s="169" t="inlineStr">
        <is>
          <t>Sin asignar</t>
        </is>
      </c>
      <c r="G707" s="169" t="inlineStr">
        <is>
          <t>PACKING</t>
        </is>
      </c>
      <c r="H707" s="169" t="n"/>
      <c r="I707" s="169" t="n"/>
      <c r="J707" s="169" t="inlineStr">
        <is>
          <t>ARRIENDOS</t>
        </is>
      </c>
      <c r="K707" s="169" t="inlineStr">
        <is>
          <t>ARRIENDO GRUA HORQUILLA</t>
        </is>
      </c>
      <c r="L707" s="169" t="inlineStr">
        <is>
          <t>O/001649 ARRIENDO G</t>
        </is>
      </c>
      <c r="M707" s="169" t="n"/>
      <c r="N707" s="169" t="inlineStr">
        <is>
          <t>.   .   -</t>
        </is>
      </c>
      <c r="O707" s="169" t="inlineStr">
        <is>
          <t>ABRIL</t>
        </is>
      </c>
      <c r="P707" s="169" t="n">
        <v>17</v>
      </c>
      <c r="Q707" s="171" t="n">
        <v>620001</v>
      </c>
      <c r="R707" s="169" t="n"/>
      <c r="S707" s="171" t="n">
        <v>620001</v>
      </c>
      <c r="T707" s="169" t="inlineStr">
        <is>
          <t>CLP</t>
        </is>
      </c>
      <c r="U707" s="169" t="inlineStr">
        <is>
          <t>Carga LH 18-06-26</t>
        </is>
      </c>
      <c r="V707" s="169" t="inlineStr">
        <is>
          <t>2026-06-18</t>
        </is>
      </c>
    </row>
    <row r="708">
      <c r="A708" s="169" t="inlineStr">
        <is>
          <t>CR-0705</t>
        </is>
      </c>
      <c r="B708" s="169" t="inlineStr">
        <is>
          <t>2026/27</t>
        </is>
      </c>
      <c r="C708" s="231" t="n">
        <v>46142</v>
      </c>
      <c r="D708" s="169" t="inlineStr">
        <is>
          <t>4228</t>
        </is>
      </c>
      <c r="E708" s="169" t="inlineStr">
        <is>
          <t>COMPRA</t>
        </is>
      </c>
      <c r="F708" s="169" t="inlineStr">
        <is>
          <t>Sin asignar</t>
        </is>
      </c>
      <c r="G708" s="169" t="inlineStr">
        <is>
          <t>PACKING</t>
        </is>
      </c>
      <c r="H708" s="169" t="n"/>
      <c r="I708" s="169" t="n"/>
      <c r="J708" s="169" t="inlineStr">
        <is>
          <t>ARRIENDOS</t>
        </is>
      </c>
      <c r="K708" s="169" t="inlineStr">
        <is>
          <t>ARRIENDO GRUA HORQUILLA</t>
        </is>
      </c>
      <c r="L708" s="169" t="inlineStr">
        <is>
          <t>O/001649 GAS ENV. 1</t>
        </is>
      </c>
      <c r="M708" s="169" t="n"/>
      <c r="N708" s="169" t="inlineStr">
        <is>
          <t>.   .   -</t>
        </is>
      </c>
      <c r="O708" s="169" t="inlineStr">
        <is>
          <t>ABRIL</t>
        </is>
      </c>
      <c r="P708" s="169" t="n">
        <v>17</v>
      </c>
      <c r="Q708" s="171" t="n">
        <v>32600</v>
      </c>
      <c r="R708" s="169" t="n"/>
      <c r="S708" s="171" t="n">
        <v>32600</v>
      </c>
      <c r="T708" s="169" t="inlineStr">
        <is>
          <t>CLP</t>
        </is>
      </c>
      <c r="U708" s="169" t="inlineStr">
        <is>
          <t>Carga LH 18-06-26</t>
        </is>
      </c>
      <c r="V708" s="169" t="inlineStr">
        <is>
          <t>2026-06-18</t>
        </is>
      </c>
    </row>
    <row r="709">
      <c r="A709" s="169" t="inlineStr">
        <is>
          <t>CR-0706</t>
        </is>
      </c>
      <c r="B709" s="169" t="inlineStr">
        <is>
          <t>2026/27</t>
        </is>
      </c>
      <c r="C709" s="231" t="n">
        <v>46142</v>
      </c>
      <c r="D709" s="169" t="inlineStr">
        <is>
          <t>417</t>
        </is>
      </c>
      <c r="E709" s="169" t="inlineStr">
        <is>
          <t>COMPRA</t>
        </is>
      </c>
      <c r="F709" s="169" t="inlineStr">
        <is>
          <t>Mega Catalina</t>
        </is>
      </c>
      <c r="G709" s="169" t="inlineStr">
        <is>
          <t>EUREKA - 1999 (22,5 Ha.)</t>
        </is>
      </c>
      <c r="H709" s="169" t="n"/>
      <c r="I709" s="169" t="n"/>
      <c r="J709" s="169" t="inlineStr">
        <is>
          <t>LABORES OPERACIONALES</t>
        </is>
      </c>
      <c r="K709" s="169" t="inlineStr">
        <is>
          <t>OTROS SERVICIOS</t>
        </is>
      </c>
      <c r="L709" s="169" t="inlineStr">
        <is>
          <t>SERV.CONTRATISTA</t>
        </is>
      </c>
      <c r="M709" s="169" t="n"/>
      <c r="N709" s="169" t="inlineStr">
        <is>
          <t>.   .   -</t>
        </is>
      </c>
      <c r="O709" s="169" t="inlineStr">
        <is>
          <t>ABRIL</t>
        </is>
      </c>
      <c r="P709" s="169" t="n">
        <v>17</v>
      </c>
      <c r="Q709" s="171" t="n">
        <v>437926</v>
      </c>
      <c r="R709" s="169" t="n"/>
      <c r="S709" s="171" t="n">
        <v>437926</v>
      </c>
      <c r="T709" s="169" t="inlineStr">
        <is>
          <t>CLP</t>
        </is>
      </c>
      <c r="U709" s="169" t="inlineStr">
        <is>
          <t>Carga LH 18-06-26</t>
        </is>
      </c>
      <c r="V709" s="169" t="inlineStr">
        <is>
          <t>2026-06-18</t>
        </is>
      </c>
    </row>
    <row r="710">
      <c r="A710" s="169" t="inlineStr">
        <is>
          <t>CR-0707</t>
        </is>
      </c>
      <c r="B710" s="169" t="inlineStr">
        <is>
          <t>2026/27</t>
        </is>
      </c>
      <c r="C710" s="231" t="n">
        <v>46142</v>
      </c>
      <c r="D710" s="169" t="inlineStr">
        <is>
          <t>417</t>
        </is>
      </c>
      <c r="E710" s="169" t="inlineStr">
        <is>
          <t>COMPRA</t>
        </is>
      </c>
      <c r="F710" s="169" t="inlineStr">
        <is>
          <t>Mega Catalina</t>
        </is>
      </c>
      <c r="G710" s="169" t="inlineStr">
        <is>
          <t>EUREKA - 1999 (10,6 Ha.)</t>
        </is>
      </c>
      <c r="H710" s="169" t="n"/>
      <c r="I710" s="169" t="n"/>
      <c r="J710" s="169" t="inlineStr">
        <is>
          <t>LABORES OPERACIONALES</t>
        </is>
      </c>
      <c r="K710" s="169" t="inlineStr">
        <is>
          <t>OTROS SERVICIOS</t>
        </is>
      </c>
      <c r="L710" s="169" t="inlineStr">
        <is>
          <t>SERV.CONTRATISTA</t>
        </is>
      </c>
      <c r="M710" s="169" t="n"/>
      <c r="N710" s="169" t="inlineStr">
        <is>
          <t>.   .   -</t>
        </is>
      </c>
      <c r="O710" s="169" t="inlineStr">
        <is>
          <t>ABRIL</t>
        </is>
      </c>
      <c r="P710" s="169" t="n">
        <v>17</v>
      </c>
      <c r="Q710" s="171" t="n">
        <v>341796</v>
      </c>
      <c r="R710" s="169" t="n"/>
      <c r="S710" s="171" t="n">
        <v>341796</v>
      </c>
      <c r="T710" s="169" t="inlineStr">
        <is>
          <t>CLP</t>
        </is>
      </c>
      <c r="U710" s="169" t="inlineStr">
        <is>
          <t>Carga LH 18-06-26</t>
        </is>
      </c>
      <c r="V710" s="169" t="inlineStr">
        <is>
          <t>2026-06-18</t>
        </is>
      </c>
    </row>
    <row r="711">
      <c r="A711" s="169" t="inlineStr">
        <is>
          <t>CR-0708</t>
        </is>
      </c>
      <c r="B711" s="169" t="inlineStr">
        <is>
          <t>2026/27</t>
        </is>
      </c>
      <c r="C711" s="231" t="n">
        <v>46142</v>
      </c>
      <c r="D711" s="169" t="inlineStr">
        <is>
          <t>417</t>
        </is>
      </c>
      <c r="E711" s="169" t="inlineStr">
        <is>
          <t>COMPRA</t>
        </is>
      </c>
      <c r="F711" s="169" t="inlineStr">
        <is>
          <t>Mega Catalina</t>
        </is>
      </c>
      <c r="G711" s="169" t="inlineStr">
        <is>
          <t>EUREKA - 2016 (14,4 Ha.)</t>
        </is>
      </c>
      <c r="H711" s="169" t="n"/>
      <c r="I711" s="169" t="n"/>
      <c r="J711" s="169" t="inlineStr">
        <is>
          <t>LABORES OPERACIONALES</t>
        </is>
      </c>
      <c r="K711" s="169" t="inlineStr">
        <is>
          <t>OTROS SERVICIOS</t>
        </is>
      </c>
      <c r="L711" s="169" t="inlineStr">
        <is>
          <t>SERV.CONTRATISTA</t>
        </is>
      </c>
      <c r="M711" s="169" t="n"/>
      <c r="N711" s="169" t="inlineStr">
        <is>
          <t>.   .   -</t>
        </is>
      </c>
      <c r="O711" s="169" t="inlineStr">
        <is>
          <t>ABRIL</t>
        </is>
      </c>
      <c r="P711" s="169" t="n">
        <v>17</v>
      </c>
      <c r="Q711" s="171" t="n">
        <v>261104</v>
      </c>
      <c r="R711" s="169" t="n"/>
      <c r="S711" s="171" t="n">
        <v>261104</v>
      </c>
      <c r="T711" s="169" t="inlineStr">
        <is>
          <t>CLP</t>
        </is>
      </c>
      <c r="U711" s="169" t="inlineStr">
        <is>
          <t>Carga LH 18-06-26</t>
        </is>
      </c>
      <c r="V711" s="169" t="inlineStr">
        <is>
          <t>2026-06-18</t>
        </is>
      </c>
    </row>
    <row r="712">
      <c r="A712" s="169" t="inlineStr">
        <is>
          <t>CR-0709</t>
        </is>
      </c>
      <c r="B712" s="169" t="inlineStr">
        <is>
          <t>2026/27</t>
        </is>
      </c>
      <c r="C712" s="231" t="n">
        <v>46142</v>
      </c>
      <c r="D712" s="169" t="inlineStr">
        <is>
          <t>417</t>
        </is>
      </c>
      <c r="E712" s="169" t="inlineStr">
        <is>
          <t>COMPRA</t>
        </is>
      </c>
      <c r="F712" s="169" t="inlineStr">
        <is>
          <t>Mega Catalina</t>
        </is>
      </c>
      <c r="G712" s="169" t="inlineStr">
        <is>
          <t>FINO 49 - 1999 (7,7 Ha.)</t>
        </is>
      </c>
      <c r="H712" s="169" t="n"/>
      <c r="I712" s="169" t="n"/>
      <c r="J712" s="169" t="inlineStr">
        <is>
          <t>LABORES OPERACIONALES</t>
        </is>
      </c>
      <c r="K712" s="169" t="inlineStr">
        <is>
          <t>OTROS SERVICIOS</t>
        </is>
      </c>
      <c r="L712" s="169" t="inlineStr">
        <is>
          <t>SERV.CONTRATISTA</t>
        </is>
      </c>
      <c r="M712" s="169" t="n"/>
      <c r="N712" s="169" t="inlineStr">
        <is>
          <t>.   .   -</t>
        </is>
      </c>
      <c r="O712" s="169" t="inlineStr">
        <is>
          <t>ABRIL</t>
        </is>
      </c>
      <c r="P712" s="169" t="n">
        <v>17</v>
      </c>
      <c r="Q712" s="171" t="n">
        <v>262271</v>
      </c>
      <c r="R712" s="169" t="n"/>
      <c r="S712" s="171" t="n">
        <v>262271</v>
      </c>
      <c r="T712" s="169" t="inlineStr">
        <is>
          <t>CLP</t>
        </is>
      </c>
      <c r="U712" s="169" t="inlineStr">
        <is>
          <t>Carga LH 18-06-26</t>
        </is>
      </c>
      <c r="V712" s="169" t="inlineStr">
        <is>
          <t>2026-06-18</t>
        </is>
      </c>
    </row>
    <row r="713">
      <c r="A713" s="169" t="inlineStr">
        <is>
          <t>CR-0710</t>
        </is>
      </c>
      <c r="B713" s="169" t="inlineStr">
        <is>
          <t>2026/27</t>
        </is>
      </c>
      <c r="C713" s="231" t="n">
        <v>46142</v>
      </c>
      <c r="D713" s="169" t="inlineStr">
        <is>
          <t>417</t>
        </is>
      </c>
      <c r="E713" s="169" t="inlineStr">
        <is>
          <t>COMPRA</t>
        </is>
      </c>
      <c r="F713" s="169" t="inlineStr">
        <is>
          <t>Mega Catalina</t>
        </is>
      </c>
      <c r="G713" s="169" t="inlineStr">
        <is>
          <t>NARANJA CAMBRIA - 2009 (4,2 Ha.)</t>
        </is>
      </c>
      <c r="H713" s="169" t="n"/>
      <c r="I713" s="169" t="n"/>
      <c r="J713" s="169" t="inlineStr">
        <is>
          <t>LABORES OPERACIONALES</t>
        </is>
      </c>
      <c r="K713" s="169" t="inlineStr">
        <is>
          <t>OTROS SERVICIOS</t>
        </is>
      </c>
      <c r="L713" s="169" t="inlineStr">
        <is>
          <t>SERV.CONTRATISTA</t>
        </is>
      </c>
      <c r="M713" s="169" t="n"/>
      <c r="N713" s="169" t="inlineStr">
        <is>
          <t>.   .   -</t>
        </is>
      </c>
      <c r="O713" s="169" t="inlineStr">
        <is>
          <t>ABRIL</t>
        </is>
      </c>
      <c r="P713" s="169" t="n">
        <v>17</v>
      </c>
      <c r="Q713" s="171" t="n">
        <v>74768</v>
      </c>
      <c r="R713" s="169" t="n"/>
      <c r="S713" s="171" t="n">
        <v>74768</v>
      </c>
      <c r="T713" s="169" t="inlineStr">
        <is>
          <t>CLP</t>
        </is>
      </c>
      <c r="U713" s="169" t="inlineStr">
        <is>
          <t>Carga LH 18-06-26</t>
        </is>
      </c>
      <c r="V713" s="169" t="inlineStr">
        <is>
          <t>2026-06-18</t>
        </is>
      </c>
    </row>
    <row r="714">
      <c r="A714" s="169" t="inlineStr">
        <is>
          <t>CR-0711</t>
        </is>
      </c>
      <c r="B714" s="169" t="inlineStr">
        <is>
          <t>2026/27</t>
        </is>
      </c>
      <c r="C714" s="231" t="n">
        <v>46142</v>
      </c>
      <c r="D714" s="169" t="inlineStr">
        <is>
          <t>417</t>
        </is>
      </c>
      <c r="E714" s="169" t="inlineStr">
        <is>
          <t>COMPRA</t>
        </is>
      </c>
      <c r="F714" s="169" t="inlineStr">
        <is>
          <t>Mega Catalina</t>
        </is>
      </c>
      <c r="G714" s="169" t="inlineStr">
        <is>
          <t>MURCOTT - 2007 (21 Ha.)</t>
        </is>
      </c>
      <c r="H714" s="169" t="n"/>
      <c r="I714" s="169" t="n"/>
      <c r="J714" s="169" t="inlineStr">
        <is>
          <t>LABORES OPERACIONALES</t>
        </is>
      </c>
      <c r="K714" s="169" t="inlineStr">
        <is>
          <t>OTROS SERVICIOS</t>
        </is>
      </c>
      <c r="L714" s="169" t="inlineStr">
        <is>
          <t>SERV.CONTRATISTA</t>
        </is>
      </c>
      <c r="M714" s="169" t="n"/>
      <c r="N714" s="169" t="inlineStr">
        <is>
          <t>.   .   -</t>
        </is>
      </c>
      <c r="O714" s="169" t="inlineStr">
        <is>
          <t>ABRIL</t>
        </is>
      </c>
      <c r="P714" s="169" t="n">
        <v>17</v>
      </c>
      <c r="Q714" s="171" t="n">
        <v>427245</v>
      </c>
      <c r="R714" s="169" t="n"/>
      <c r="S714" s="171" t="n">
        <v>427245</v>
      </c>
      <c r="T714" s="169" t="inlineStr">
        <is>
          <t>CLP</t>
        </is>
      </c>
      <c r="U714" s="169" t="inlineStr">
        <is>
          <t>Carga LH 18-06-26</t>
        </is>
      </c>
      <c r="V714" s="169" t="inlineStr">
        <is>
          <t>2026-06-18</t>
        </is>
      </c>
    </row>
    <row r="715">
      <c r="A715" s="169" t="inlineStr">
        <is>
          <t>CR-0712</t>
        </is>
      </c>
      <c r="B715" s="169" t="inlineStr">
        <is>
          <t>2026/27</t>
        </is>
      </c>
      <c r="C715" s="231" t="n">
        <v>46142</v>
      </c>
      <c r="D715" s="169" t="inlineStr">
        <is>
          <t>634</t>
        </is>
      </c>
      <c r="E715" s="169" t="inlineStr">
        <is>
          <t>COMPRA</t>
        </is>
      </c>
      <c r="F715" s="169" t="inlineStr">
        <is>
          <t>El Molle</t>
        </is>
      </c>
      <c r="G715" s="169" t="inlineStr">
        <is>
          <t>ARRUFATINA - 2017 (5,74 Ha.)</t>
        </is>
      </c>
      <c r="H715" s="169" t="n"/>
      <c r="I715" s="169" t="n"/>
      <c r="J715" s="169" t="inlineStr">
        <is>
          <t>LABORES OPERACIONALES</t>
        </is>
      </c>
      <c r="K715" s="169" t="inlineStr">
        <is>
          <t>OTROS SERVICIOS</t>
        </is>
      </c>
      <c r="L715" s="169" t="inlineStr">
        <is>
          <t>SERV.CONTRATISTA</t>
        </is>
      </c>
      <c r="M715" s="169" t="n"/>
      <c r="N715" s="169" t="inlineStr">
        <is>
          <t>.   .   -</t>
        </is>
      </c>
      <c r="O715" s="169" t="inlineStr">
        <is>
          <t>ABRIL</t>
        </is>
      </c>
      <c r="P715" s="169" t="n">
        <v>17</v>
      </c>
      <c r="Q715" s="171" t="n">
        <v>270000</v>
      </c>
      <c r="R715" s="169" t="n"/>
      <c r="S715" s="171" t="n">
        <v>270000</v>
      </c>
      <c r="T715" s="169" t="inlineStr">
        <is>
          <t>CLP</t>
        </is>
      </c>
      <c r="U715" s="169" t="inlineStr">
        <is>
          <t>Carga LH 18-06-26</t>
        </is>
      </c>
      <c r="V715" s="169" t="inlineStr">
        <is>
          <t>2026-06-18</t>
        </is>
      </c>
    </row>
    <row r="716">
      <c r="A716" s="169" t="inlineStr">
        <is>
          <t>CR-0713</t>
        </is>
      </c>
      <c r="B716" s="169" t="inlineStr">
        <is>
          <t>2026/27</t>
        </is>
      </c>
      <c r="C716" s="231" t="n">
        <v>46142</v>
      </c>
      <c r="D716" s="169" t="inlineStr">
        <is>
          <t>634</t>
        </is>
      </c>
      <c r="E716" s="169" t="inlineStr">
        <is>
          <t>COMPRA</t>
        </is>
      </c>
      <c r="F716" s="169" t="inlineStr">
        <is>
          <t>El Molle</t>
        </is>
      </c>
      <c r="G716" s="169" t="inlineStr">
        <is>
          <t>ORONULES - 2017 (2,85 Ha.)</t>
        </is>
      </c>
      <c r="H716" s="169" t="n"/>
      <c r="I716" s="169" t="n"/>
      <c r="J716" s="169" t="inlineStr">
        <is>
          <t>LABORES OPERACIONALES</t>
        </is>
      </c>
      <c r="K716" s="169" t="inlineStr">
        <is>
          <t>OTROS SERVICIOS</t>
        </is>
      </c>
      <c r="L716" s="169" t="inlineStr">
        <is>
          <t>SERV.CONTRATISTA</t>
        </is>
      </c>
      <c r="M716" s="169" t="n"/>
      <c r="N716" s="169" t="inlineStr">
        <is>
          <t>.   .   -</t>
        </is>
      </c>
      <c r="O716" s="169" t="inlineStr">
        <is>
          <t>ABRIL</t>
        </is>
      </c>
      <c r="P716" s="169" t="n">
        <v>17</v>
      </c>
      <c r="Q716" s="171" t="n">
        <v>90000</v>
      </c>
      <c r="R716" s="169" t="n"/>
      <c r="S716" s="171" t="n">
        <v>90000</v>
      </c>
      <c r="T716" s="169" t="inlineStr">
        <is>
          <t>CLP</t>
        </is>
      </c>
      <c r="U716" s="169" t="inlineStr">
        <is>
          <t>Carga LH 18-06-26</t>
        </is>
      </c>
      <c r="V716" s="169" t="inlineStr">
        <is>
          <t>2026-06-18</t>
        </is>
      </c>
    </row>
    <row r="717">
      <c r="A717" s="169" t="inlineStr">
        <is>
          <t>CR-0714</t>
        </is>
      </c>
      <c r="B717" s="169" t="inlineStr">
        <is>
          <t>2026/27</t>
        </is>
      </c>
      <c r="C717" s="231" t="n">
        <v>46142</v>
      </c>
      <c r="D717" s="169" t="inlineStr">
        <is>
          <t>634</t>
        </is>
      </c>
      <c r="E717" s="169" t="inlineStr">
        <is>
          <t>COMPRA</t>
        </is>
      </c>
      <c r="F717" s="169" t="inlineStr">
        <is>
          <t>Mega Catalina</t>
        </is>
      </c>
      <c r="G717" s="169" t="inlineStr">
        <is>
          <t>ORONULES - 2019 (2,5 Ha.)</t>
        </is>
      </c>
      <c r="H717" s="169" t="n"/>
      <c r="I717" s="169" t="n"/>
      <c r="J717" s="169" t="inlineStr">
        <is>
          <t>LABORES OPERACIONALES</t>
        </is>
      </c>
      <c r="K717" s="169" t="inlineStr">
        <is>
          <t>OTROS SERVICIOS</t>
        </is>
      </c>
      <c r="L717" s="169" t="inlineStr">
        <is>
          <t>SERV.CONTRATISTA</t>
        </is>
      </c>
      <c r="M717" s="169" t="n"/>
      <c r="N717" s="169" t="inlineStr">
        <is>
          <t>.   .   -</t>
        </is>
      </c>
      <c r="O717" s="169" t="inlineStr">
        <is>
          <t>ABRIL</t>
        </is>
      </c>
      <c r="P717" s="169" t="n">
        <v>17</v>
      </c>
      <c r="Q717" s="171" t="n">
        <v>90000</v>
      </c>
      <c r="R717" s="169" t="n"/>
      <c r="S717" s="171" t="n">
        <v>90000</v>
      </c>
      <c r="T717" s="169" t="inlineStr">
        <is>
          <t>CLP</t>
        </is>
      </c>
      <c r="U717" s="169" t="inlineStr">
        <is>
          <t>Carga LH 18-06-26</t>
        </is>
      </c>
      <c r="V717" s="169" t="inlineStr">
        <is>
          <t>2026-06-18</t>
        </is>
      </c>
    </row>
    <row r="718">
      <c r="A718" s="169" t="inlineStr">
        <is>
          <t>CR-0715</t>
        </is>
      </c>
      <c r="B718" s="169" t="inlineStr">
        <is>
          <t>2026/27</t>
        </is>
      </c>
      <c r="C718" s="231" t="n">
        <v>46142</v>
      </c>
      <c r="D718" s="169" t="inlineStr">
        <is>
          <t>634</t>
        </is>
      </c>
      <c r="E718" s="169" t="inlineStr">
        <is>
          <t>COMPRA</t>
        </is>
      </c>
      <c r="F718" s="169" t="inlineStr">
        <is>
          <t>El Molle</t>
        </is>
      </c>
      <c r="G718" s="169" t="inlineStr">
        <is>
          <t>OROGRANDE - 2007 (8,11 Ha.)</t>
        </is>
      </c>
      <c r="H718" s="169" t="n"/>
      <c r="I718" s="169" t="n"/>
      <c r="J718" s="169" t="inlineStr">
        <is>
          <t>LABORES OPERACIONALES</t>
        </is>
      </c>
      <c r="K718" s="169" t="inlineStr">
        <is>
          <t>OTROS SERVICIOS</t>
        </is>
      </c>
      <c r="L718" s="169" t="inlineStr">
        <is>
          <t>SERV.CONTRATISTA</t>
        </is>
      </c>
      <c r="M718" s="169" t="n"/>
      <c r="N718" s="169" t="inlineStr">
        <is>
          <t>.   .   -</t>
        </is>
      </c>
      <c r="O718" s="169" t="inlineStr">
        <is>
          <t>ABRIL</t>
        </is>
      </c>
      <c r="P718" s="169" t="n">
        <v>17</v>
      </c>
      <c r="Q718" s="171" t="n">
        <v>360000</v>
      </c>
      <c r="R718" s="169" t="n"/>
      <c r="S718" s="171" t="n">
        <v>360000</v>
      </c>
      <c r="T718" s="169" t="inlineStr">
        <is>
          <t>CLP</t>
        </is>
      </c>
      <c r="U718" s="169" t="inlineStr">
        <is>
          <t>Carga LH 18-06-26</t>
        </is>
      </c>
      <c r="V718" s="169" t="inlineStr">
        <is>
          <t>2026-06-18</t>
        </is>
      </c>
    </row>
    <row r="719">
      <c r="A719" s="169" t="inlineStr">
        <is>
          <t>CR-0716</t>
        </is>
      </c>
      <c r="B719" s="169" t="inlineStr">
        <is>
          <t>2026/27</t>
        </is>
      </c>
      <c r="C719" s="231" t="n">
        <v>46142</v>
      </c>
      <c r="D719" s="169" t="inlineStr">
        <is>
          <t>634</t>
        </is>
      </c>
      <c r="E719" s="169" t="inlineStr">
        <is>
          <t>COMPRA</t>
        </is>
      </c>
      <c r="F719" s="169" t="inlineStr">
        <is>
          <t>El Molle</t>
        </is>
      </c>
      <c r="G719" s="169" t="inlineStr">
        <is>
          <t>WONDERFUL - 2002 (2,80 Ha.)</t>
        </is>
      </c>
      <c r="H719" s="169" t="n"/>
      <c r="I719" s="169" t="n"/>
      <c r="J719" s="169" t="inlineStr">
        <is>
          <t>LABORES OPERACIONALES</t>
        </is>
      </c>
      <c r="K719" s="169" t="inlineStr">
        <is>
          <t>OTROS SERVICIOS</t>
        </is>
      </c>
      <c r="L719" s="169" t="inlineStr">
        <is>
          <t>SERV.CONTRATISTA</t>
        </is>
      </c>
      <c r="M719" s="169" t="n"/>
      <c r="N719" s="169" t="inlineStr">
        <is>
          <t>.   .   -</t>
        </is>
      </c>
      <c r="O719" s="169" t="inlineStr">
        <is>
          <t>ABRIL</t>
        </is>
      </c>
      <c r="P719" s="169" t="n">
        <v>17</v>
      </c>
      <c r="Q719" s="171" t="n">
        <v>90000</v>
      </c>
      <c r="R719" s="169" t="n"/>
      <c r="S719" s="171" t="n">
        <v>90000</v>
      </c>
      <c r="T719" s="169" t="inlineStr">
        <is>
          <t>CLP</t>
        </is>
      </c>
      <c r="U719" s="169" t="inlineStr">
        <is>
          <t>Carga LH 18-06-26</t>
        </is>
      </c>
      <c r="V719" s="169" t="inlineStr">
        <is>
          <t>2026-06-18</t>
        </is>
      </c>
    </row>
    <row r="720">
      <c r="A720" s="169" t="inlineStr">
        <is>
          <t>CR-0717</t>
        </is>
      </c>
      <c r="B720" s="169" t="inlineStr">
        <is>
          <t>2026/27</t>
        </is>
      </c>
      <c r="C720" s="231" t="n">
        <v>46142</v>
      </c>
      <c r="D720" s="169" t="inlineStr">
        <is>
          <t>634</t>
        </is>
      </c>
      <c r="E720" s="169" t="inlineStr">
        <is>
          <t>COMPRA</t>
        </is>
      </c>
      <c r="F720" s="169" t="inlineStr">
        <is>
          <t>El Molle</t>
        </is>
      </c>
      <c r="G720" s="169" t="inlineStr">
        <is>
          <t>WONDERFUL - 2007 (2,44 Ha.)</t>
        </is>
      </c>
      <c r="H720" s="169" t="n"/>
      <c r="I720" s="169" t="n"/>
      <c r="J720" s="169" t="inlineStr">
        <is>
          <t>LABORES OPERACIONALES</t>
        </is>
      </c>
      <c r="K720" s="169" t="inlineStr">
        <is>
          <t>OTROS SERVICIOS</t>
        </is>
      </c>
      <c r="L720" s="169" t="inlineStr">
        <is>
          <t>SERV.CONTRATISTA</t>
        </is>
      </c>
      <c r="M720" s="169" t="n"/>
      <c r="N720" s="169" t="inlineStr">
        <is>
          <t>.   .   -</t>
        </is>
      </c>
      <c r="O720" s="169" t="inlineStr">
        <is>
          <t>ABRIL</t>
        </is>
      </c>
      <c r="P720" s="169" t="n">
        <v>17</v>
      </c>
      <c r="Q720" s="171" t="n">
        <v>90000</v>
      </c>
      <c r="R720" s="169" t="n"/>
      <c r="S720" s="171" t="n">
        <v>90000</v>
      </c>
      <c r="T720" s="169" t="inlineStr">
        <is>
          <t>CLP</t>
        </is>
      </c>
      <c r="U720" s="169" t="inlineStr">
        <is>
          <t>Carga LH 18-06-26</t>
        </is>
      </c>
      <c r="V720" s="169" t="inlineStr">
        <is>
          <t>2026-06-18</t>
        </is>
      </c>
    </row>
    <row r="721">
      <c r="A721" s="169" t="inlineStr">
        <is>
          <t>CR-0718</t>
        </is>
      </c>
      <c r="B721" s="169" t="inlineStr">
        <is>
          <t>2026/27</t>
        </is>
      </c>
      <c r="C721" s="231" t="n">
        <v>46142</v>
      </c>
      <c r="D721" s="169" t="inlineStr">
        <is>
          <t>275</t>
        </is>
      </c>
      <c r="E721" s="169" t="inlineStr">
        <is>
          <t>COMPRA</t>
        </is>
      </c>
      <c r="F721" s="169" t="inlineStr">
        <is>
          <t>Mega Catalina</t>
        </is>
      </c>
      <c r="G721" s="169" t="inlineStr">
        <is>
          <t>EUREKA - 1999 (22,5 Ha.)</t>
        </is>
      </c>
      <c r="H721" s="169" t="n"/>
      <c r="I721" s="169" t="n"/>
      <c r="J721" s="169" t="inlineStr">
        <is>
          <t>LABORES OPERACIONALES</t>
        </is>
      </c>
      <c r="K721" s="169" t="inlineStr">
        <is>
          <t>OTROS SERVICIOS</t>
        </is>
      </c>
      <c r="L721" s="169" t="inlineStr">
        <is>
          <t>SERV.CONTRATISTA</t>
        </is>
      </c>
      <c r="M721" s="169" t="n"/>
      <c r="N721" s="169" t="inlineStr">
        <is>
          <t>.   .   -</t>
        </is>
      </c>
      <c r="O721" s="169" t="inlineStr">
        <is>
          <t>ABRIL</t>
        </is>
      </c>
      <c r="P721" s="169" t="n">
        <v>17</v>
      </c>
      <c r="Q721" s="171" t="n">
        <v>363540</v>
      </c>
      <c r="R721" s="169" t="n"/>
      <c r="S721" s="171" t="n">
        <v>363540</v>
      </c>
      <c r="T721" s="169" t="inlineStr">
        <is>
          <t>CLP</t>
        </is>
      </c>
      <c r="U721" s="169" t="inlineStr">
        <is>
          <t>Carga LH 18-06-26</t>
        </is>
      </c>
      <c r="V721" s="169" t="inlineStr">
        <is>
          <t>2026-06-18</t>
        </is>
      </c>
    </row>
    <row r="722">
      <c r="A722" s="169" t="inlineStr">
        <is>
          <t>CR-0719</t>
        </is>
      </c>
      <c r="B722" s="169" t="inlineStr">
        <is>
          <t>2026/27</t>
        </is>
      </c>
      <c r="C722" s="231" t="n">
        <v>46142</v>
      </c>
      <c r="D722" s="169" t="inlineStr">
        <is>
          <t>275</t>
        </is>
      </c>
      <c r="E722" s="169" t="inlineStr">
        <is>
          <t>COMPRA</t>
        </is>
      </c>
      <c r="F722" s="169" t="inlineStr">
        <is>
          <t>Mega Catalina</t>
        </is>
      </c>
      <c r="G722" s="169" t="inlineStr">
        <is>
          <t>EUREKA - 1999 (10,6 Ha.)</t>
        </is>
      </c>
      <c r="H722" s="169" t="n"/>
      <c r="I722" s="169" t="n"/>
      <c r="J722" s="169" t="inlineStr">
        <is>
          <t>LABORES OPERACIONALES</t>
        </is>
      </c>
      <c r="K722" s="169" t="inlineStr">
        <is>
          <t>OTROS SERVICIOS</t>
        </is>
      </c>
      <c r="L722" s="169" t="inlineStr">
        <is>
          <t>SERV.CONTRATISTA</t>
        </is>
      </c>
      <c r="M722" s="169" t="n"/>
      <c r="N722" s="169" t="inlineStr">
        <is>
          <t>.   .   -</t>
        </is>
      </c>
      <c r="O722" s="169" t="inlineStr">
        <is>
          <t>ABRIL</t>
        </is>
      </c>
      <c r="P722" s="169" t="n">
        <v>17</v>
      </c>
      <c r="Q722" s="171" t="n">
        <v>238710</v>
      </c>
      <c r="R722" s="169" t="n"/>
      <c r="S722" s="171" t="n">
        <v>238710</v>
      </c>
      <c r="T722" s="169" t="inlineStr">
        <is>
          <t>CLP</t>
        </is>
      </c>
      <c r="U722" s="169" t="inlineStr">
        <is>
          <t>Carga LH 18-06-26</t>
        </is>
      </c>
      <c r="V722" s="169" t="inlineStr">
        <is>
          <t>2026-06-18</t>
        </is>
      </c>
    </row>
    <row r="723">
      <c r="A723" s="169" t="inlineStr">
        <is>
          <t>CR-0720</t>
        </is>
      </c>
      <c r="B723" s="169" t="inlineStr">
        <is>
          <t>2026/27</t>
        </is>
      </c>
      <c r="C723" s="231" t="n">
        <v>46142</v>
      </c>
      <c r="D723" s="169" t="inlineStr">
        <is>
          <t>275</t>
        </is>
      </c>
      <c r="E723" s="169" t="inlineStr">
        <is>
          <t>COMPRA</t>
        </is>
      </c>
      <c r="F723" s="169" t="inlineStr">
        <is>
          <t>Mega Catalina</t>
        </is>
      </c>
      <c r="G723" s="169" t="inlineStr">
        <is>
          <t>EUREKA - 2016 (14,4 Ha.)</t>
        </is>
      </c>
      <c r="H723" s="169" t="n"/>
      <c r="I723" s="169" t="n"/>
      <c r="J723" s="169" t="inlineStr">
        <is>
          <t>LABORES OPERACIONALES</t>
        </is>
      </c>
      <c r="K723" s="169" t="inlineStr">
        <is>
          <t>OTROS SERVICIOS</t>
        </is>
      </c>
      <c r="L723" s="169" t="inlineStr">
        <is>
          <t>SERV.CONTRATISTA</t>
        </is>
      </c>
      <c r="M723" s="169" t="n"/>
      <c r="N723" s="169" t="inlineStr">
        <is>
          <t>.   .   -</t>
        </is>
      </c>
      <c r="O723" s="169" t="inlineStr">
        <is>
          <t>ABRIL</t>
        </is>
      </c>
      <c r="P723" s="169" t="n">
        <v>17</v>
      </c>
      <c r="Q723" s="171" t="n">
        <v>232140</v>
      </c>
      <c r="R723" s="169" t="n"/>
      <c r="S723" s="171" t="n">
        <v>232140</v>
      </c>
      <c r="T723" s="169" t="inlineStr">
        <is>
          <t>CLP</t>
        </is>
      </c>
      <c r="U723" s="169" t="inlineStr">
        <is>
          <t>Carga LH 18-06-26</t>
        </is>
      </c>
      <c r="V723" s="169" t="inlineStr">
        <is>
          <t>2026-06-18</t>
        </is>
      </c>
    </row>
    <row r="724">
      <c r="A724" s="169" t="inlineStr">
        <is>
          <t>CR-0721</t>
        </is>
      </c>
      <c r="B724" s="169" t="inlineStr">
        <is>
          <t>2026/27</t>
        </is>
      </c>
      <c r="C724" s="231" t="n">
        <v>46142</v>
      </c>
      <c r="D724" s="169" t="inlineStr">
        <is>
          <t>275</t>
        </is>
      </c>
      <c r="E724" s="169" t="inlineStr">
        <is>
          <t>COMPRA</t>
        </is>
      </c>
      <c r="F724" s="169" t="inlineStr">
        <is>
          <t>Mega Catalina</t>
        </is>
      </c>
      <c r="G724" s="169" t="inlineStr">
        <is>
          <t>FINO 49 - 1999 (7,7 Ha.)</t>
        </is>
      </c>
      <c r="H724" s="169" t="n"/>
      <c r="I724" s="169" t="n"/>
      <c r="J724" s="169" t="inlineStr">
        <is>
          <t>LABORES OPERACIONALES</t>
        </is>
      </c>
      <c r="K724" s="169" t="inlineStr">
        <is>
          <t>OTROS SERVICIOS</t>
        </is>
      </c>
      <c r="L724" s="169" t="inlineStr">
        <is>
          <t>SERV.CONTRATISTA</t>
        </is>
      </c>
      <c r="M724" s="169" t="n"/>
      <c r="N724" s="169" t="inlineStr">
        <is>
          <t>.   .   -</t>
        </is>
      </c>
      <c r="O724" s="169" t="inlineStr">
        <is>
          <t>ABRIL</t>
        </is>
      </c>
      <c r="P724" s="169" t="n">
        <v>17</v>
      </c>
      <c r="Q724" s="171" t="n">
        <v>186150</v>
      </c>
      <c r="R724" s="169" t="n"/>
      <c r="S724" s="171" t="n">
        <v>186150</v>
      </c>
      <c r="T724" s="169" t="inlineStr">
        <is>
          <t>CLP</t>
        </is>
      </c>
      <c r="U724" s="169" t="inlineStr">
        <is>
          <t>Carga LH 18-06-26</t>
        </is>
      </c>
      <c r="V724" s="169" t="inlineStr">
        <is>
          <t>2026-06-18</t>
        </is>
      </c>
    </row>
    <row r="725">
      <c r="A725" s="169" t="inlineStr">
        <is>
          <t>CR-0722</t>
        </is>
      </c>
      <c r="B725" s="169" t="inlineStr">
        <is>
          <t>2026/27</t>
        </is>
      </c>
      <c r="C725" s="231" t="n">
        <v>46142</v>
      </c>
      <c r="D725" s="169" t="inlineStr">
        <is>
          <t>275</t>
        </is>
      </c>
      <c r="E725" s="169" t="inlineStr">
        <is>
          <t>COMPRA</t>
        </is>
      </c>
      <c r="F725" s="169" t="inlineStr">
        <is>
          <t>Mega Catalina</t>
        </is>
      </c>
      <c r="G725" s="169" t="inlineStr">
        <is>
          <t>NARANJA CAMBRIA - 2009 (4,2 Ha.)</t>
        </is>
      </c>
      <c r="H725" s="169" t="n"/>
      <c r="I725" s="169" t="n"/>
      <c r="J725" s="169" t="inlineStr">
        <is>
          <t>LABORES OPERACIONALES</t>
        </is>
      </c>
      <c r="K725" s="169" t="inlineStr">
        <is>
          <t>OTROS SERVICIOS</t>
        </is>
      </c>
      <c r="L725" s="169" t="inlineStr">
        <is>
          <t>SERV.CONTRATISTA</t>
        </is>
      </c>
      <c r="M725" s="169" t="n"/>
      <c r="N725" s="169" t="inlineStr">
        <is>
          <t>.   .   -</t>
        </is>
      </c>
      <c r="O725" s="169" t="inlineStr">
        <is>
          <t>ABRIL</t>
        </is>
      </c>
      <c r="P725" s="169" t="n">
        <v>17</v>
      </c>
      <c r="Q725" s="171" t="n">
        <v>65700</v>
      </c>
      <c r="R725" s="169" t="n"/>
      <c r="S725" s="171" t="n">
        <v>65700</v>
      </c>
      <c r="T725" s="169" t="inlineStr">
        <is>
          <t>CLP</t>
        </is>
      </c>
      <c r="U725" s="169" t="inlineStr">
        <is>
          <t>Carga LH 18-06-26</t>
        </is>
      </c>
      <c r="V725" s="169" t="inlineStr">
        <is>
          <t>2026-06-18</t>
        </is>
      </c>
    </row>
    <row r="726">
      <c r="A726" s="169" t="inlineStr">
        <is>
          <t>CR-0723</t>
        </is>
      </c>
      <c r="B726" s="169" t="inlineStr">
        <is>
          <t>2026/27</t>
        </is>
      </c>
      <c r="C726" s="231" t="n">
        <v>46142</v>
      </c>
      <c r="D726" s="169" t="inlineStr">
        <is>
          <t>275</t>
        </is>
      </c>
      <c r="E726" s="169" t="inlineStr">
        <is>
          <t>COMPRA</t>
        </is>
      </c>
      <c r="F726" s="169" t="inlineStr">
        <is>
          <t>Mega Catalina</t>
        </is>
      </c>
      <c r="G726" s="169" t="inlineStr">
        <is>
          <t>MURCOTT - 2007 (21 Ha.)</t>
        </is>
      </c>
      <c r="H726" s="169" t="n"/>
      <c r="I726" s="169" t="n"/>
      <c r="J726" s="169" t="inlineStr">
        <is>
          <t>LABORES OPERACIONALES</t>
        </is>
      </c>
      <c r="K726" s="169" t="inlineStr">
        <is>
          <t>OTROS SERVICIOS</t>
        </is>
      </c>
      <c r="L726" s="169" t="inlineStr">
        <is>
          <t>SERV.CONTRATISTA</t>
        </is>
      </c>
      <c r="M726" s="169" t="n"/>
      <c r="N726" s="169" t="inlineStr">
        <is>
          <t>.   .   -</t>
        </is>
      </c>
      <c r="O726" s="169" t="inlineStr">
        <is>
          <t>ABRIL</t>
        </is>
      </c>
      <c r="P726" s="169" t="n">
        <v>17</v>
      </c>
      <c r="Q726" s="171" t="n">
        <v>339450</v>
      </c>
      <c r="R726" s="169" t="n"/>
      <c r="S726" s="171" t="n">
        <v>339450</v>
      </c>
      <c r="T726" s="169" t="inlineStr">
        <is>
          <t>CLP</t>
        </is>
      </c>
      <c r="U726" s="169" t="inlineStr">
        <is>
          <t>Carga LH 18-06-26</t>
        </is>
      </c>
      <c r="V726" s="169" t="inlineStr">
        <is>
          <t>2026-06-18</t>
        </is>
      </c>
    </row>
    <row r="727">
      <c r="A727" s="169" t="inlineStr">
        <is>
          <t>CR-0724</t>
        </is>
      </c>
      <c r="B727" s="169" t="inlineStr">
        <is>
          <t>2026/27</t>
        </is>
      </c>
      <c r="C727" s="231" t="n">
        <v>46142</v>
      </c>
      <c r="D727" s="169" t="inlineStr">
        <is>
          <t>276</t>
        </is>
      </c>
      <c r="E727" s="169" t="inlineStr">
        <is>
          <t>COMPRA</t>
        </is>
      </c>
      <c r="F727" s="169" t="inlineStr">
        <is>
          <t>Asmara</t>
        </is>
      </c>
      <c r="G727" s="169" t="inlineStr">
        <is>
          <t>MURCOTT - 2020 (19,8 Ha.)</t>
        </is>
      </c>
      <c r="H727" s="169" t="n"/>
      <c r="I727" s="169" t="n"/>
      <c r="J727" s="169" t="inlineStr">
        <is>
          <t>LABORES OPERACIONALES</t>
        </is>
      </c>
      <c r="K727" s="169" t="inlineStr">
        <is>
          <t>OTROS SERVICIOS</t>
        </is>
      </c>
      <c r="L727" s="169" t="inlineStr">
        <is>
          <t>SERV.CONTRATISTA</t>
        </is>
      </c>
      <c r="M727" s="169" t="n"/>
      <c r="N727" s="169" t="inlineStr">
        <is>
          <t>.   .   -</t>
        </is>
      </c>
      <c r="O727" s="169" t="inlineStr">
        <is>
          <t>ABRIL</t>
        </is>
      </c>
      <c r="P727" s="169" t="n">
        <v>17</v>
      </c>
      <c r="Q727" s="171" t="n">
        <v>115138</v>
      </c>
      <c r="R727" s="169" t="n"/>
      <c r="S727" s="171" t="n">
        <v>115138</v>
      </c>
      <c r="T727" s="169" t="inlineStr">
        <is>
          <t>CLP</t>
        </is>
      </c>
      <c r="U727" s="169" t="inlineStr">
        <is>
          <t>Carga LH 18-06-26</t>
        </is>
      </c>
      <c r="V727" s="169" t="inlineStr">
        <is>
          <t>2026-06-18</t>
        </is>
      </c>
    </row>
    <row r="728">
      <c r="A728" s="169" t="inlineStr">
        <is>
          <t>CR-0725</t>
        </is>
      </c>
      <c r="B728" s="169" t="inlineStr">
        <is>
          <t>2026/27</t>
        </is>
      </c>
      <c r="C728" s="231" t="n">
        <v>46142</v>
      </c>
      <c r="D728" s="169" t="inlineStr">
        <is>
          <t>276</t>
        </is>
      </c>
      <c r="E728" s="169" t="inlineStr">
        <is>
          <t>COMPRA</t>
        </is>
      </c>
      <c r="F728" s="169" t="inlineStr">
        <is>
          <t>Asmara</t>
        </is>
      </c>
      <c r="G728" s="169" t="inlineStr">
        <is>
          <t>MURCOTT - 2020 (4,9 Ha.)</t>
        </is>
      </c>
      <c r="H728" s="169" t="n"/>
      <c r="I728" s="169" t="n"/>
      <c r="J728" s="169" t="inlineStr">
        <is>
          <t>LABORES OPERACIONALES</t>
        </is>
      </c>
      <c r="K728" s="169" t="inlineStr">
        <is>
          <t>OTROS SERVICIOS</t>
        </is>
      </c>
      <c r="L728" s="169" t="inlineStr">
        <is>
          <t>SERV.CONTRATISTA</t>
        </is>
      </c>
      <c r="M728" s="169" t="n"/>
      <c r="N728" s="169" t="inlineStr">
        <is>
          <t>.   .   -</t>
        </is>
      </c>
      <c r="O728" s="169" t="inlineStr">
        <is>
          <t>ABRIL</t>
        </is>
      </c>
      <c r="P728" s="169" t="n">
        <v>17</v>
      </c>
      <c r="Q728" s="171" t="n">
        <v>27533</v>
      </c>
      <c r="R728" s="169" t="n"/>
      <c r="S728" s="171" t="n">
        <v>27533</v>
      </c>
      <c r="T728" s="169" t="inlineStr">
        <is>
          <t>CLP</t>
        </is>
      </c>
      <c r="U728" s="169" t="inlineStr">
        <is>
          <t>Carga LH 18-06-26</t>
        </is>
      </c>
      <c r="V728" s="169" t="inlineStr">
        <is>
          <t>2026-06-18</t>
        </is>
      </c>
    </row>
    <row r="729">
      <c r="A729" s="169" t="inlineStr">
        <is>
          <t>CR-0726</t>
        </is>
      </c>
      <c r="B729" s="169" t="inlineStr">
        <is>
          <t>2026/27</t>
        </is>
      </c>
      <c r="C729" s="231" t="n">
        <v>46146</v>
      </c>
      <c r="D729" s="169" t="inlineStr"/>
      <c r="E729" s="169" t="inlineStr">
        <is>
          <t>COMPRA</t>
        </is>
      </c>
      <c r="F729" s="169" t="inlineStr">
        <is>
          <t>Mega Catalina</t>
        </is>
      </c>
      <c r="G729" s="169" t="inlineStr">
        <is>
          <t>INJERTO TIMPSON - 2018 (3,8 Ha.)</t>
        </is>
      </c>
      <c r="H729" s="169" t="n"/>
      <c r="I729" s="169" t="n"/>
      <c r="J729" s="169" t="inlineStr">
        <is>
          <t>ENERGIA Y AGUA</t>
        </is>
      </c>
      <c r="K729" s="169" t="inlineStr">
        <is>
          <t>SUMIN. ELECTRICO</t>
        </is>
      </c>
      <c r="L729" s="169" t="inlineStr">
        <is>
          <t>CONSUMO ELECTRICO</t>
        </is>
      </c>
      <c r="M729" s="169" t="n"/>
      <c r="N729" s="169" t="inlineStr">
        <is>
          <t>.   .   -</t>
        </is>
      </c>
      <c r="O729" s="169" t="inlineStr">
        <is>
          <t>MAYO</t>
        </is>
      </c>
      <c r="P729" s="169" t="n">
        <v>17</v>
      </c>
      <c r="Q729" s="171" t="n">
        <v>103795</v>
      </c>
      <c r="R729" s="169" t="n"/>
      <c r="S729" s="171" t="n">
        <v>103795</v>
      </c>
      <c r="T729" s="169" t="inlineStr">
        <is>
          <t>CLP</t>
        </is>
      </c>
      <c r="U729" s="169" t="inlineStr">
        <is>
          <t>Carga LH 18-06-26</t>
        </is>
      </c>
      <c r="V729" s="169" t="inlineStr">
        <is>
          <t>2026-06-18</t>
        </is>
      </c>
    </row>
    <row r="730">
      <c r="A730" s="169" t="inlineStr">
        <is>
          <t>CR-0727</t>
        </is>
      </c>
      <c r="B730" s="169" t="inlineStr">
        <is>
          <t>2026/27</t>
        </is>
      </c>
      <c r="C730" s="231" t="n">
        <v>46146</v>
      </c>
      <c r="D730" s="169" t="inlineStr"/>
      <c r="E730" s="169" t="inlineStr">
        <is>
          <t>COMPRA</t>
        </is>
      </c>
      <c r="F730" s="169" t="inlineStr">
        <is>
          <t>Mega Catalina</t>
        </is>
      </c>
      <c r="G730" s="169" t="inlineStr">
        <is>
          <t>INJERTO TIMPSON - 2019 (4,2 Ha.)</t>
        </is>
      </c>
      <c r="H730" s="169" t="n"/>
      <c r="I730" s="169" t="n"/>
      <c r="J730" s="169" t="inlineStr">
        <is>
          <t>ENERGIA Y AGUA</t>
        </is>
      </c>
      <c r="K730" s="169" t="inlineStr">
        <is>
          <t>SUMIN. ELECTRICO</t>
        </is>
      </c>
      <c r="L730" s="169" t="inlineStr">
        <is>
          <t>CONSUMO ELECTRICO</t>
        </is>
      </c>
      <c r="M730" s="169" t="n"/>
      <c r="N730" s="169" t="inlineStr">
        <is>
          <t>.   .   -</t>
        </is>
      </c>
      <c r="O730" s="169" t="inlineStr">
        <is>
          <t>MAYO</t>
        </is>
      </c>
      <c r="P730" s="169" t="n">
        <v>17</v>
      </c>
      <c r="Q730" s="171" t="n">
        <v>114721</v>
      </c>
      <c r="R730" s="169" t="n"/>
      <c r="S730" s="171" t="n">
        <v>114721</v>
      </c>
      <c r="T730" s="169" t="inlineStr">
        <is>
          <t>CLP</t>
        </is>
      </c>
      <c r="U730" s="169" t="inlineStr">
        <is>
          <t>Carga LH 18-06-26</t>
        </is>
      </c>
      <c r="V730" s="169" t="inlineStr">
        <is>
          <t>2026-06-18</t>
        </is>
      </c>
    </row>
    <row r="731">
      <c r="A731" s="169" t="inlineStr">
        <is>
          <t>CR-0728</t>
        </is>
      </c>
      <c r="B731" s="169" t="inlineStr">
        <is>
          <t>2026/27</t>
        </is>
      </c>
      <c r="C731" s="231" t="n">
        <v>46146</v>
      </c>
      <c r="D731" s="169" t="inlineStr"/>
      <c r="E731" s="169" t="inlineStr">
        <is>
          <t>COMPRA</t>
        </is>
      </c>
      <c r="F731" s="169" t="inlineStr">
        <is>
          <t>Mega Catalina</t>
        </is>
      </c>
      <c r="G731" s="169" t="inlineStr">
        <is>
          <t>SWEET CELEBRATION - 2015 (7,14 Ha.)</t>
        </is>
      </c>
      <c r="H731" s="169" t="n"/>
      <c r="I731" s="169" t="n"/>
      <c r="J731" s="169" t="inlineStr">
        <is>
          <t>ENERGIA Y AGUA</t>
        </is>
      </c>
      <c r="K731" s="169" t="inlineStr">
        <is>
          <t>SUMIN. ELECTRICO</t>
        </is>
      </c>
      <c r="L731" s="169" t="inlineStr">
        <is>
          <t>CONSUMO ELECTRICO</t>
        </is>
      </c>
      <c r="M731" s="169" t="n"/>
      <c r="N731" s="169" t="inlineStr">
        <is>
          <t>.   .   -</t>
        </is>
      </c>
      <c r="O731" s="169" t="inlineStr">
        <is>
          <t>MAYO</t>
        </is>
      </c>
      <c r="P731" s="169" t="n">
        <v>17</v>
      </c>
      <c r="Q731" s="171" t="n">
        <v>195026</v>
      </c>
      <c r="R731" s="169" t="n"/>
      <c r="S731" s="171" t="n">
        <v>195026</v>
      </c>
      <c r="T731" s="169" t="inlineStr">
        <is>
          <t>CLP</t>
        </is>
      </c>
      <c r="U731" s="169" t="inlineStr">
        <is>
          <t>Carga LH 18-06-26</t>
        </is>
      </c>
      <c r="V731" s="169" t="inlineStr">
        <is>
          <t>2026-06-18</t>
        </is>
      </c>
    </row>
    <row r="732">
      <c r="A732" s="169" t="inlineStr">
        <is>
          <t>CR-0729</t>
        </is>
      </c>
      <c r="B732" s="169" t="inlineStr">
        <is>
          <t>2026/27</t>
        </is>
      </c>
      <c r="C732" s="231" t="n">
        <v>46148</v>
      </c>
      <c r="D732" s="169" t="inlineStr">
        <is>
          <t>656</t>
        </is>
      </c>
      <c r="E732" s="169" t="inlineStr">
        <is>
          <t>COMPRA</t>
        </is>
      </c>
      <c r="F732" s="169" t="inlineStr">
        <is>
          <t>Mega Catalina</t>
        </is>
      </c>
      <c r="G732" s="169" t="inlineStr">
        <is>
          <t>MURCOTT - 2007 (21 Ha.)</t>
        </is>
      </c>
      <c r="H732" s="169" t="n"/>
      <c r="I732" s="169" t="n"/>
      <c r="J732" s="169" t="inlineStr">
        <is>
          <t>LABORES OPERACIONALES</t>
        </is>
      </c>
      <c r="K732" s="169" t="inlineStr">
        <is>
          <t>PODA</t>
        </is>
      </c>
      <c r="L732" s="169" t="inlineStr">
        <is>
          <t>SERV.CONTRATISTA</t>
        </is>
      </c>
      <c r="M732" s="169" t="n"/>
      <c r="N732" s="169" t="inlineStr">
        <is>
          <t>.   .   -</t>
        </is>
      </c>
      <c r="O732" s="169" t="inlineStr">
        <is>
          <t>MAYO</t>
        </is>
      </c>
      <c r="P732" s="169" t="n">
        <v>17</v>
      </c>
      <c r="Q732" s="171" t="n">
        <v>3222900</v>
      </c>
      <c r="R732" s="169" t="n"/>
      <c r="S732" s="171" t="n">
        <v>3222900</v>
      </c>
      <c r="T732" s="169" t="inlineStr">
        <is>
          <t>CLP</t>
        </is>
      </c>
      <c r="U732" s="169" t="inlineStr">
        <is>
          <t>Carga LH 18-06-26</t>
        </is>
      </c>
      <c r="V732" s="169" t="inlineStr">
        <is>
          <t>2026-06-18</t>
        </is>
      </c>
    </row>
    <row r="733">
      <c r="A733" s="169" t="inlineStr">
        <is>
          <t>CR-0730</t>
        </is>
      </c>
      <c r="B733" s="169" t="inlineStr">
        <is>
          <t>2026/27</t>
        </is>
      </c>
      <c r="C733" s="231" t="n">
        <v>46148</v>
      </c>
      <c r="D733" s="169" t="inlineStr">
        <is>
          <t>180</t>
        </is>
      </c>
      <c r="E733" s="169" t="inlineStr">
        <is>
          <t>COMPRA</t>
        </is>
      </c>
      <c r="F733" s="169" t="inlineStr">
        <is>
          <t>Mega Catalina</t>
        </is>
      </c>
      <c r="G733" s="169" t="inlineStr">
        <is>
          <t>MURCOTT - 2007 (21 Ha.)</t>
        </is>
      </c>
      <c r="H733" s="169" t="n"/>
      <c r="I733" s="169" t="n"/>
      <c r="J733" s="169" t="inlineStr">
        <is>
          <t>LABORES OPERACIONALES</t>
        </is>
      </c>
      <c r="K733" s="169" t="inlineStr">
        <is>
          <t>PODA</t>
        </is>
      </c>
      <c r="L733" s="169" t="inlineStr">
        <is>
          <t>SERV.CONTRATISTA</t>
        </is>
      </c>
      <c r="M733" s="169" t="n"/>
      <c r="N733" s="169" t="inlineStr">
        <is>
          <t>.   .   -</t>
        </is>
      </c>
      <c r="O733" s="169" t="inlineStr">
        <is>
          <t>MAYO</t>
        </is>
      </c>
      <c r="P733" s="169" t="n">
        <v>17</v>
      </c>
      <c r="Q733" s="171" t="n">
        <v>2933100</v>
      </c>
      <c r="R733" s="169" t="n"/>
      <c r="S733" s="171" t="n">
        <v>2933100</v>
      </c>
      <c r="T733" s="169" t="inlineStr">
        <is>
          <t>CLP</t>
        </is>
      </c>
      <c r="U733" s="169" t="inlineStr">
        <is>
          <t>Carga LH 18-06-26</t>
        </is>
      </c>
      <c r="V733" s="169" t="inlineStr">
        <is>
          <t>2026-06-18</t>
        </is>
      </c>
    </row>
    <row r="734">
      <c r="A734" s="169" t="inlineStr">
        <is>
          <t>CR-0731</t>
        </is>
      </c>
      <c r="B734" s="169" t="inlineStr">
        <is>
          <t>2026/27</t>
        </is>
      </c>
      <c r="C734" s="231" t="n">
        <v>46148</v>
      </c>
      <c r="D734" s="169" t="inlineStr">
        <is>
          <t>792</t>
        </is>
      </c>
      <c r="E734" s="169" t="inlineStr">
        <is>
          <t>COMPRA</t>
        </is>
      </c>
      <c r="F734" s="169" t="inlineStr">
        <is>
          <t>Mega Catalina</t>
        </is>
      </c>
      <c r="G734" s="169" t="inlineStr">
        <is>
          <t>MURCOTT - 2007 (21 Ha.)</t>
        </is>
      </c>
      <c r="H734" s="169" t="n"/>
      <c r="I734" s="169" t="n"/>
      <c r="J734" s="169" t="inlineStr">
        <is>
          <t>LABORES OPERACIONALES</t>
        </is>
      </c>
      <c r="K734" s="169" t="inlineStr">
        <is>
          <t>PODA</t>
        </is>
      </c>
      <c r="L734" s="169" t="inlineStr">
        <is>
          <t>SERV.CONTRATISTA</t>
        </is>
      </c>
      <c r="M734" s="169" t="n"/>
      <c r="N734" s="169" t="inlineStr">
        <is>
          <t>.   .   -</t>
        </is>
      </c>
      <c r="O734" s="169" t="inlineStr">
        <is>
          <t>MAYO</t>
        </is>
      </c>
      <c r="P734" s="169" t="n">
        <v>17</v>
      </c>
      <c r="Q734" s="171" t="n">
        <v>2518400</v>
      </c>
      <c r="R734" s="169" t="n"/>
      <c r="S734" s="171" t="n">
        <v>2518400</v>
      </c>
      <c r="T734" s="169" t="inlineStr">
        <is>
          <t>CLP</t>
        </is>
      </c>
      <c r="U734" s="169" t="inlineStr">
        <is>
          <t>Carga LH 18-06-26</t>
        </is>
      </c>
      <c r="V734" s="169" t="inlineStr">
        <is>
          <t>2026-06-18</t>
        </is>
      </c>
    </row>
    <row r="735">
      <c r="A735" s="169" t="inlineStr">
        <is>
          <t>CR-0732</t>
        </is>
      </c>
      <c r="B735" s="169" t="inlineStr">
        <is>
          <t>2026/27</t>
        </is>
      </c>
      <c r="C735" s="231" t="n">
        <v>46148</v>
      </c>
      <c r="D735" s="169" t="inlineStr">
        <is>
          <t>1</t>
        </is>
      </c>
      <c r="E735" s="169" t="inlineStr">
        <is>
          <t>COMPRA</t>
        </is>
      </c>
      <c r="F735" s="169" t="inlineStr">
        <is>
          <t>Sin asignar</t>
        </is>
      </c>
      <c r="G735" s="169" t="inlineStr">
        <is>
          <t>PACKING</t>
        </is>
      </c>
      <c r="H735" s="169" t="n"/>
      <c r="I735" s="169" t="n"/>
      <c r="J735" s="169" t="inlineStr">
        <is>
          <t>LABORES OPERACIONALES</t>
        </is>
      </c>
      <c r="K735" s="169" t="inlineStr">
        <is>
          <t>LAB. PACKING</t>
        </is>
      </c>
      <c r="L735" s="169" t="inlineStr">
        <is>
          <t>SERV.CONTRATISTA</t>
        </is>
      </c>
      <c r="M735" s="169" t="n"/>
      <c r="N735" s="169" t="inlineStr">
        <is>
          <t>.   .   -</t>
        </is>
      </c>
      <c r="O735" s="169" t="inlineStr">
        <is>
          <t>MAYO</t>
        </is>
      </c>
      <c r="P735" s="169" t="n">
        <v>17</v>
      </c>
      <c r="Q735" s="171" t="n">
        <v>3943100</v>
      </c>
      <c r="R735" s="169" t="n"/>
      <c r="S735" s="171" t="n">
        <v>3943100</v>
      </c>
      <c r="T735" s="169" t="inlineStr">
        <is>
          <t>CLP</t>
        </is>
      </c>
      <c r="U735" s="169" t="inlineStr">
        <is>
          <t>Carga LH 18-06-26</t>
        </is>
      </c>
      <c r="V735" s="169" t="inlineStr">
        <is>
          <t>2026-06-18</t>
        </is>
      </c>
    </row>
    <row r="736">
      <c r="A736" s="169" t="inlineStr">
        <is>
          <t>CR-0733</t>
        </is>
      </c>
      <c r="B736" s="169" t="inlineStr">
        <is>
          <t>2026/27</t>
        </is>
      </c>
      <c r="C736" s="231" t="n">
        <v>46148</v>
      </c>
      <c r="D736" s="169" t="inlineStr">
        <is>
          <t>1</t>
        </is>
      </c>
      <c r="E736" s="169" t="inlineStr">
        <is>
          <t>COMPRA</t>
        </is>
      </c>
      <c r="F736" s="169" t="inlineStr">
        <is>
          <t>El Molle</t>
        </is>
      </c>
      <c r="G736" s="169" t="inlineStr">
        <is>
          <t>WONDERFUL - 2002 (2,80 Ha.)</t>
        </is>
      </c>
      <c r="H736" s="169" t="n"/>
      <c r="I736" s="169" t="n"/>
      <c r="J736" s="169" t="inlineStr">
        <is>
          <t>LABORES OPERACIONALES</t>
        </is>
      </c>
      <c r="K736" s="169" t="inlineStr">
        <is>
          <t>COSECHA</t>
        </is>
      </c>
      <c r="L736" s="169" t="inlineStr">
        <is>
          <t>SERV.CONTRATISTA</t>
        </is>
      </c>
      <c r="M736" s="169" t="n"/>
      <c r="N736" s="169" t="inlineStr">
        <is>
          <t>.   .   -</t>
        </is>
      </c>
      <c r="O736" s="169" t="inlineStr">
        <is>
          <t>MAYO</t>
        </is>
      </c>
      <c r="P736" s="169" t="n">
        <v>17</v>
      </c>
      <c r="Q736" s="171" t="n">
        <v>3378150</v>
      </c>
      <c r="R736" s="169" t="n"/>
      <c r="S736" s="171" t="n">
        <v>3378150</v>
      </c>
      <c r="T736" s="169" t="inlineStr">
        <is>
          <t>CLP</t>
        </is>
      </c>
      <c r="U736" s="169" t="inlineStr">
        <is>
          <t>Carga LH 18-06-26</t>
        </is>
      </c>
      <c r="V736" s="169" t="inlineStr">
        <is>
          <t>2026-06-18</t>
        </is>
      </c>
    </row>
    <row r="737">
      <c r="A737" s="169" t="inlineStr">
        <is>
          <t>CR-0734</t>
        </is>
      </c>
      <c r="B737" s="169" t="inlineStr">
        <is>
          <t>2026/27</t>
        </is>
      </c>
      <c r="C737" s="231" t="n">
        <v>46148</v>
      </c>
      <c r="D737" s="169" t="inlineStr">
        <is>
          <t>1</t>
        </is>
      </c>
      <c r="E737" s="169" t="inlineStr">
        <is>
          <t>COMPRA</t>
        </is>
      </c>
      <c r="F737" s="169" t="inlineStr">
        <is>
          <t>El Molle</t>
        </is>
      </c>
      <c r="G737" s="169" t="inlineStr">
        <is>
          <t>WONDERFUL - 2007 (2,44 Ha.)</t>
        </is>
      </c>
      <c r="H737" s="169" t="n"/>
      <c r="I737" s="169" t="n"/>
      <c r="J737" s="169" t="inlineStr">
        <is>
          <t>LABORES OPERACIONALES</t>
        </is>
      </c>
      <c r="K737" s="169" t="inlineStr">
        <is>
          <t>COSECHA</t>
        </is>
      </c>
      <c r="L737" s="169" t="inlineStr">
        <is>
          <t>SERV.CONTRATISTA</t>
        </is>
      </c>
      <c r="M737" s="169" t="n"/>
      <c r="N737" s="169" t="inlineStr">
        <is>
          <t>.   .   -</t>
        </is>
      </c>
      <c r="O737" s="169" t="inlineStr">
        <is>
          <t>MAYO</t>
        </is>
      </c>
      <c r="P737" s="169" t="n">
        <v>17</v>
      </c>
      <c r="Q737" s="171" t="n">
        <v>1590900</v>
      </c>
      <c r="R737" s="169" t="n"/>
      <c r="S737" s="171" t="n">
        <v>1590900</v>
      </c>
      <c r="T737" s="169" t="inlineStr">
        <is>
          <t>CLP</t>
        </is>
      </c>
      <c r="U737" s="169" t="inlineStr">
        <is>
          <t>Carga LH 18-06-26</t>
        </is>
      </c>
      <c r="V737" s="169" t="inlineStr">
        <is>
          <t>2026-06-18</t>
        </is>
      </c>
    </row>
    <row r="738">
      <c r="A738" s="169" t="inlineStr">
        <is>
          <t>CR-0735</t>
        </is>
      </c>
      <c r="B738" s="169" t="inlineStr">
        <is>
          <t>2026/27</t>
        </is>
      </c>
      <c r="C738" s="231" t="n">
        <v>46148</v>
      </c>
      <c r="D738" s="169" t="inlineStr">
        <is>
          <t>2</t>
        </is>
      </c>
      <c r="E738" s="169" t="inlineStr">
        <is>
          <t>COMPRA</t>
        </is>
      </c>
      <c r="F738" s="169" t="inlineStr">
        <is>
          <t>Sin asignar</t>
        </is>
      </c>
      <c r="G738" s="169" t="inlineStr">
        <is>
          <t>PACKING</t>
        </is>
      </c>
      <c r="H738" s="169" t="n"/>
      <c r="I738" s="169" t="n"/>
      <c r="J738" s="169" t="inlineStr">
        <is>
          <t>LABORES OPERACIONALES</t>
        </is>
      </c>
      <c r="K738" s="169" t="inlineStr">
        <is>
          <t>LAB. PACKING</t>
        </is>
      </c>
      <c r="L738" s="169" t="inlineStr">
        <is>
          <t>SERV.CONTRATISTA</t>
        </is>
      </c>
      <c r="M738" s="169" t="n"/>
      <c r="N738" s="169" t="inlineStr">
        <is>
          <t>.   .   -</t>
        </is>
      </c>
      <c r="O738" s="169" t="inlineStr">
        <is>
          <t>MAYO</t>
        </is>
      </c>
      <c r="P738" s="169" t="n">
        <v>17</v>
      </c>
      <c r="Q738" s="171" t="n">
        <v>4158000</v>
      </c>
      <c r="R738" s="169" t="n"/>
      <c r="S738" s="171" t="n">
        <v>4158000</v>
      </c>
      <c r="T738" s="169" t="inlineStr">
        <is>
          <t>CLP</t>
        </is>
      </c>
      <c r="U738" s="169" t="inlineStr">
        <is>
          <t>Carga LH 18-06-26</t>
        </is>
      </c>
      <c r="V738" s="169" t="inlineStr">
        <is>
          <t>2026-06-18</t>
        </is>
      </c>
    </row>
    <row r="739">
      <c r="A739" s="169" t="inlineStr">
        <is>
          <t>CR-0736</t>
        </is>
      </c>
      <c r="B739" s="169" t="inlineStr">
        <is>
          <t>2026/27</t>
        </is>
      </c>
      <c r="C739" s="231" t="n">
        <v>46148</v>
      </c>
      <c r="D739" s="169" t="inlineStr">
        <is>
          <t>2</t>
        </is>
      </c>
      <c r="E739" s="169" t="inlineStr">
        <is>
          <t>COMPRA</t>
        </is>
      </c>
      <c r="F739" s="169" t="inlineStr">
        <is>
          <t>El Molle</t>
        </is>
      </c>
      <c r="G739" s="169" t="inlineStr">
        <is>
          <t>WONDERFUL - 2002 (2,80 Ha.)</t>
        </is>
      </c>
      <c r="H739" s="169" t="n"/>
      <c r="I739" s="169" t="n"/>
      <c r="J739" s="169" t="inlineStr">
        <is>
          <t>LABORES OPERACIONALES</t>
        </is>
      </c>
      <c r="K739" s="169" t="inlineStr">
        <is>
          <t>COSECHA</t>
        </is>
      </c>
      <c r="L739" s="169" t="inlineStr">
        <is>
          <t>SERV.CONTRATISTA</t>
        </is>
      </c>
      <c r="M739" s="169" t="n"/>
      <c r="N739" s="169" t="inlineStr">
        <is>
          <t>.   .   -</t>
        </is>
      </c>
      <c r="O739" s="169" t="inlineStr">
        <is>
          <t>MAYO</t>
        </is>
      </c>
      <c r="P739" s="169" t="n">
        <v>17</v>
      </c>
      <c r="Q739" s="171" t="n">
        <v>1707450</v>
      </c>
      <c r="R739" s="169" t="n"/>
      <c r="S739" s="171" t="n">
        <v>1707450</v>
      </c>
      <c r="T739" s="169" t="inlineStr">
        <is>
          <t>CLP</t>
        </is>
      </c>
      <c r="U739" s="169" t="inlineStr">
        <is>
          <t>Carga LH 18-06-26</t>
        </is>
      </c>
      <c r="V739" s="169" t="inlineStr">
        <is>
          <t>2026-06-18</t>
        </is>
      </c>
    </row>
    <row r="740">
      <c r="A740" s="169" t="inlineStr">
        <is>
          <t>CR-0737</t>
        </is>
      </c>
      <c r="B740" s="169" t="inlineStr">
        <is>
          <t>2026/27</t>
        </is>
      </c>
      <c r="C740" s="231" t="n">
        <v>46148</v>
      </c>
      <c r="D740" s="169" t="inlineStr">
        <is>
          <t>2</t>
        </is>
      </c>
      <c r="E740" s="169" t="inlineStr">
        <is>
          <t>COMPRA</t>
        </is>
      </c>
      <c r="F740" s="169" t="inlineStr">
        <is>
          <t>El Molle</t>
        </is>
      </c>
      <c r="G740" s="169" t="inlineStr">
        <is>
          <t>WONDERFUL - 2007 (2,44 Ha.)</t>
        </is>
      </c>
      <c r="H740" s="169" t="n"/>
      <c r="I740" s="169" t="n"/>
      <c r="J740" s="169" t="inlineStr">
        <is>
          <t>LABORES OPERACIONALES</t>
        </is>
      </c>
      <c r="K740" s="169" t="inlineStr">
        <is>
          <t>COSECHA</t>
        </is>
      </c>
      <c r="L740" s="169" t="inlineStr">
        <is>
          <t>SERV.CONTRATISTA</t>
        </is>
      </c>
      <c r="M740" s="169" t="n"/>
      <c r="N740" s="169" t="inlineStr">
        <is>
          <t>.   .   -</t>
        </is>
      </c>
      <c r="O740" s="169" t="inlineStr">
        <is>
          <t>MAYO</t>
        </is>
      </c>
      <c r="P740" s="169" t="n">
        <v>17</v>
      </c>
      <c r="Q740" s="171" t="n">
        <v>5695200</v>
      </c>
      <c r="R740" s="169" t="n"/>
      <c r="S740" s="171" t="n">
        <v>5695200</v>
      </c>
      <c r="T740" s="169" t="inlineStr">
        <is>
          <t>CLP</t>
        </is>
      </c>
      <c r="U740" s="169" t="inlineStr">
        <is>
          <t>Carga LH 18-06-26</t>
        </is>
      </c>
      <c r="V740" s="169" t="inlineStr">
        <is>
          <t>2026-06-18</t>
        </is>
      </c>
    </row>
    <row r="741">
      <c r="A741" s="169" t="inlineStr">
        <is>
          <t>CR-0738</t>
        </is>
      </c>
      <c r="B741" s="169" t="inlineStr">
        <is>
          <t>2026/27</t>
        </is>
      </c>
      <c r="C741" s="231" t="n">
        <v>46148</v>
      </c>
      <c r="D741" s="169" t="inlineStr"/>
      <c r="E741" s="169" t="inlineStr">
        <is>
          <t>COMPRA</t>
        </is>
      </c>
      <c r="F741" s="169" t="inlineStr">
        <is>
          <t>Asmara</t>
        </is>
      </c>
      <c r="G741" s="169" t="inlineStr">
        <is>
          <t>MURCOTT - 2020 (19,8 Ha.)</t>
        </is>
      </c>
      <c r="H741" s="169" t="n"/>
      <c r="I741" s="169" t="n"/>
      <c r="J741" s="169" t="inlineStr">
        <is>
          <t>ENERGIA Y AGUA</t>
        </is>
      </c>
      <c r="K741" s="169" t="inlineStr">
        <is>
          <t>SUMIN. ELECTRICO</t>
        </is>
      </c>
      <c r="L741" s="169" t="inlineStr">
        <is>
          <t>CONSUMO ELECTRICO</t>
        </is>
      </c>
      <c r="M741" s="169" t="n"/>
      <c r="N741" s="169" t="inlineStr">
        <is>
          <t>.   .   -</t>
        </is>
      </c>
      <c r="O741" s="169" t="inlineStr">
        <is>
          <t>MAYO</t>
        </is>
      </c>
      <c r="P741" s="169" t="n">
        <v>17</v>
      </c>
      <c r="Q741" s="171" t="n">
        <v>1028857</v>
      </c>
      <c r="R741" s="169" t="n"/>
      <c r="S741" s="171" t="n">
        <v>1028857</v>
      </c>
      <c r="T741" s="169" t="inlineStr">
        <is>
          <t>CLP</t>
        </is>
      </c>
      <c r="U741" s="169" t="inlineStr">
        <is>
          <t>Carga LH 18-06-26</t>
        </is>
      </c>
      <c r="V741" s="169" t="inlineStr">
        <is>
          <t>2026-06-18</t>
        </is>
      </c>
    </row>
    <row r="742">
      <c r="A742" s="169" t="inlineStr">
        <is>
          <t>CR-0739</t>
        </is>
      </c>
      <c r="B742" s="169" t="inlineStr">
        <is>
          <t>2026/27</t>
        </is>
      </c>
      <c r="C742" s="231" t="n">
        <v>46148</v>
      </c>
      <c r="D742" s="169" t="inlineStr"/>
      <c r="E742" s="169" t="inlineStr">
        <is>
          <t>COMPRA</t>
        </is>
      </c>
      <c r="F742" s="169" t="inlineStr">
        <is>
          <t>Asmara</t>
        </is>
      </c>
      <c r="G742" s="169" t="inlineStr">
        <is>
          <t>MURCOTT - 2020 (4,9 Ha.)</t>
        </is>
      </c>
      <c r="H742" s="169" t="n"/>
      <c r="I742" s="169" t="n"/>
      <c r="J742" s="169" t="inlineStr">
        <is>
          <t>ENERGIA Y AGUA</t>
        </is>
      </c>
      <c r="K742" s="169" t="inlineStr">
        <is>
          <t>SUMIN. ELECTRICO</t>
        </is>
      </c>
      <c r="L742" s="169" t="inlineStr">
        <is>
          <t>CONSUMO ELECTRICO</t>
        </is>
      </c>
      <c r="M742" s="169" t="n"/>
      <c r="N742" s="169" t="inlineStr">
        <is>
          <t>.   .   -</t>
        </is>
      </c>
      <c r="O742" s="169" t="inlineStr">
        <is>
          <t>MAYO</t>
        </is>
      </c>
      <c r="P742" s="169" t="n">
        <v>17</v>
      </c>
      <c r="Q742" s="171" t="n">
        <v>254616</v>
      </c>
      <c r="R742" s="169" t="n"/>
      <c r="S742" s="171" t="n">
        <v>254616</v>
      </c>
      <c r="T742" s="169" t="inlineStr">
        <is>
          <t>CLP</t>
        </is>
      </c>
      <c r="U742" s="169" t="inlineStr">
        <is>
          <t>Carga LH 18-06-26</t>
        </is>
      </c>
      <c r="V742" s="169" t="inlineStr">
        <is>
          <t>2026-06-18</t>
        </is>
      </c>
    </row>
    <row r="743">
      <c r="A743" s="169" t="inlineStr">
        <is>
          <t>CR-0740</t>
        </is>
      </c>
      <c r="B743" s="169" t="inlineStr">
        <is>
          <t>2026/27</t>
        </is>
      </c>
      <c r="C743" s="231" t="n">
        <v>46148</v>
      </c>
      <c r="D743" s="169" t="inlineStr"/>
      <c r="E743" s="169" t="inlineStr">
        <is>
          <t>COMPRA</t>
        </is>
      </c>
      <c r="F743" s="169" t="inlineStr">
        <is>
          <t>Mega Catalina</t>
        </is>
      </c>
      <c r="G743" s="169" t="inlineStr">
        <is>
          <t>EUREKA - 1999 (10,6 Ha.)</t>
        </is>
      </c>
      <c r="H743" s="169" t="n"/>
      <c r="I743" s="169" t="n"/>
      <c r="J743" s="169" t="inlineStr">
        <is>
          <t>ENERGIA Y AGUA</t>
        </is>
      </c>
      <c r="K743" s="169" t="inlineStr">
        <is>
          <t>SUMIN. ELECTRICO</t>
        </is>
      </c>
      <c r="L743" s="169" t="inlineStr">
        <is>
          <t>CONSUMO ELECTRICO</t>
        </is>
      </c>
      <c r="M743" s="169" t="n"/>
      <c r="N743" s="169" t="inlineStr">
        <is>
          <t>.   .   -</t>
        </is>
      </c>
      <c r="O743" s="169" t="inlineStr">
        <is>
          <t>MAYO</t>
        </is>
      </c>
      <c r="P743" s="169" t="n">
        <v>17</v>
      </c>
      <c r="Q743" s="171" t="n">
        <v>205319</v>
      </c>
      <c r="R743" s="169" t="n"/>
      <c r="S743" s="171" t="n">
        <v>205319</v>
      </c>
      <c r="T743" s="169" t="inlineStr">
        <is>
          <t>CLP</t>
        </is>
      </c>
      <c r="U743" s="169" t="inlineStr">
        <is>
          <t>Carga LH 18-06-26</t>
        </is>
      </c>
      <c r="V743" s="169" t="inlineStr">
        <is>
          <t>2026-06-18</t>
        </is>
      </c>
    </row>
    <row r="744">
      <c r="A744" s="169" t="inlineStr">
        <is>
          <t>CR-0741</t>
        </is>
      </c>
      <c r="B744" s="169" t="inlineStr">
        <is>
          <t>2026/27</t>
        </is>
      </c>
      <c r="C744" s="231" t="n">
        <v>46148</v>
      </c>
      <c r="D744" s="169" t="inlineStr"/>
      <c r="E744" s="169" t="inlineStr">
        <is>
          <t>COMPRA</t>
        </is>
      </c>
      <c r="F744" s="169" t="inlineStr">
        <is>
          <t>Mega Catalina</t>
        </is>
      </c>
      <c r="G744" s="169" t="inlineStr">
        <is>
          <t>FINO 49 - 1999 (7,7 Ha.)</t>
        </is>
      </c>
      <c r="H744" s="169" t="n"/>
      <c r="I744" s="169" t="n"/>
      <c r="J744" s="169" t="inlineStr">
        <is>
          <t>ENERGIA Y AGUA</t>
        </is>
      </c>
      <c r="K744" s="169" t="inlineStr">
        <is>
          <t>SUMIN. ELECTRICO</t>
        </is>
      </c>
      <c r="L744" s="169" t="inlineStr">
        <is>
          <t>CONSUMO ELECTRICO</t>
        </is>
      </c>
      <c r="M744" s="169" t="n"/>
      <c r="N744" s="169" t="inlineStr">
        <is>
          <t>.   .   -</t>
        </is>
      </c>
      <c r="O744" s="169" t="inlineStr">
        <is>
          <t>MAYO</t>
        </is>
      </c>
      <c r="P744" s="169" t="n">
        <v>17</v>
      </c>
      <c r="Q744" s="171" t="n">
        <v>159538</v>
      </c>
      <c r="R744" s="169" t="n"/>
      <c r="S744" s="171" t="n">
        <v>159538</v>
      </c>
      <c r="T744" s="169" t="inlineStr">
        <is>
          <t>CLP</t>
        </is>
      </c>
      <c r="U744" s="169" t="inlineStr">
        <is>
          <t>Carga LH 18-06-26</t>
        </is>
      </c>
      <c r="V744" s="169" t="inlineStr">
        <is>
          <t>2026-06-18</t>
        </is>
      </c>
    </row>
    <row r="745">
      <c r="A745" s="169" t="inlineStr">
        <is>
          <t>CR-0742</t>
        </is>
      </c>
      <c r="B745" s="169" t="inlineStr">
        <is>
          <t>2026/27</t>
        </is>
      </c>
      <c r="C745" s="231" t="n">
        <v>46148</v>
      </c>
      <c r="D745" s="169" t="inlineStr"/>
      <c r="E745" s="169" t="inlineStr">
        <is>
          <t>COMPRA</t>
        </is>
      </c>
      <c r="F745" s="169" t="inlineStr">
        <is>
          <t>Mega Catalina</t>
        </is>
      </c>
      <c r="G745" s="169" t="inlineStr">
        <is>
          <t>EUREKA - 1999 (22,5 Ha.)</t>
        </is>
      </c>
      <c r="H745" s="169" t="n"/>
      <c r="I745" s="169" t="n"/>
      <c r="J745" s="169" t="inlineStr">
        <is>
          <t>ENERGIA Y AGUA</t>
        </is>
      </c>
      <c r="K745" s="169" t="inlineStr">
        <is>
          <t>SUMIN. ELECTRICO</t>
        </is>
      </c>
      <c r="L745" s="169" t="inlineStr">
        <is>
          <t>CONSUMO ELECTRICO</t>
        </is>
      </c>
      <c r="M745" s="169" t="n"/>
      <c r="N745" s="169" t="inlineStr">
        <is>
          <t>.   .   -</t>
        </is>
      </c>
      <c r="O745" s="169" t="inlineStr">
        <is>
          <t>MAYO</t>
        </is>
      </c>
      <c r="P745" s="169" t="n">
        <v>17</v>
      </c>
      <c r="Q745" s="171" t="n">
        <v>574497</v>
      </c>
      <c r="R745" s="169" t="n"/>
      <c r="S745" s="171" t="n">
        <v>574497</v>
      </c>
      <c r="T745" s="169" t="inlineStr">
        <is>
          <t>CLP</t>
        </is>
      </c>
      <c r="U745" s="169" t="inlineStr">
        <is>
          <t>Carga LH 18-06-26</t>
        </is>
      </c>
      <c r="V745" s="169" t="inlineStr">
        <is>
          <t>2026-06-18</t>
        </is>
      </c>
    </row>
    <row r="746">
      <c r="A746" s="169" t="inlineStr">
        <is>
          <t>CR-0743</t>
        </is>
      </c>
      <c r="B746" s="169" t="inlineStr">
        <is>
          <t>2026/27</t>
        </is>
      </c>
      <c r="C746" s="231" t="n">
        <v>46148</v>
      </c>
      <c r="D746" s="169" t="inlineStr"/>
      <c r="E746" s="169" t="inlineStr">
        <is>
          <t>COMPRA</t>
        </is>
      </c>
      <c r="F746" s="169" t="inlineStr">
        <is>
          <t>Mega Catalina</t>
        </is>
      </c>
      <c r="G746" s="169" t="inlineStr">
        <is>
          <t>EUREKA - 1999 (22,5 Ha.)</t>
        </is>
      </c>
      <c r="H746" s="169" t="n"/>
      <c r="I746" s="169" t="n"/>
      <c r="J746" s="169" t="inlineStr">
        <is>
          <t>ENERGIA Y AGUA</t>
        </is>
      </c>
      <c r="K746" s="169" t="inlineStr">
        <is>
          <t>SUMIN. ELECTRICO</t>
        </is>
      </c>
      <c r="L746" s="169" t="inlineStr">
        <is>
          <t>CONSUMO ELECTRICO</t>
        </is>
      </c>
      <c r="M746" s="169" t="n"/>
      <c r="N746" s="169" t="inlineStr">
        <is>
          <t>.   .   -</t>
        </is>
      </c>
      <c r="O746" s="169" t="inlineStr">
        <is>
          <t>MAYO</t>
        </is>
      </c>
      <c r="P746" s="169" t="n">
        <v>17</v>
      </c>
      <c r="Q746" s="171" t="n">
        <v>19865</v>
      </c>
      <c r="R746" s="169" t="n"/>
      <c r="S746" s="171" t="n">
        <v>19865</v>
      </c>
      <c r="T746" s="169" t="inlineStr">
        <is>
          <t>CLP</t>
        </is>
      </c>
      <c r="U746" s="169" t="inlineStr">
        <is>
          <t>Carga LH 18-06-26</t>
        </is>
      </c>
      <c r="V746" s="169" t="inlineStr">
        <is>
          <t>2026-06-18</t>
        </is>
      </c>
    </row>
    <row r="747">
      <c r="A747" s="169" t="inlineStr">
        <is>
          <t>CR-0744</t>
        </is>
      </c>
      <c r="B747" s="169" t="inlineStr">
        <is>
          <t>2026/27</t>
        </is>
      </c>
      <c r="C747" s="231" t="n">
        <v>46148</v>
      </c>
      <c r="D747" s="169" t="inlineStr"/>
      <c r="E747" s="169" t="inlineStr">
        <is>
          <t>COMPRA</t>
        </is>
      </c>
      <c r="F747" s="169" t="inlineStr">
        <is>
          <t>Mega Catalina</t>
        </is>
      </c>
      <c r="G747" s="169" t="inlineStr">
        <is>
          <t>EUREKA - 1999 (10,6 Ha.)</t>
        </is>
      </c>
      <c r="H747" s="169" t="n"/>
      <c r="I747" s="169" t="n"/>
      <c r="J747" s="169" t="inlineStr">
        <is>
          <t>ENERGIA Y AGUA</t>
        </is>
      </c>
      <c r="K747" s="169" t="inlineStr">
        <is>
          <t>SUMIN. ELECTRICO</t>
        </is>
      </c>
      <c r="L747" s="169" t="inlineStr">
        <is>
          <t>CONSUMO ELECTRICO</t>
        </is>
      </c>
      <c r="M747" s="169" t="n"/>
      <c r="N747" s="169" t="inlineStr">
        <is>
          <t>.   .   -</t>
        </is>
      </c>
      <c r="O747" s="169" t="inlineStr">
        <is>
          <t>MAYO</t>
        </is>
      </c>
      <c r="P747" s="169" t="n">
        <v>17</v>
      </c>
      <c r="Q747" s="171" t="n">
        <v>43125</v>
      </c>
      <c r="R747" s="169" t="n"/>
      <c r="S747" s="171" t="n">
        <v>43125</v>
      </c>
      <c r="T747" s="169" t="inlineStr">
        <is>
          <t>CLP</t>
        </is>
      </c>
      <c r="U747" s="169" t="inlineStr">
        <is>
          <t>Carga LH 18-06-26</t>
        </is>
      </c>
      <c r="V747" s="169" t="inlineStr">
        <is>
          <t>2026-06-18</t>
        </is>
      </c>
    </row>
    <row r="748">
      <c r="A748" s="169" t="inlineStr">
        <is>
          <t>CR-0745</t>
        </is>
      </c>
      <c r="B748" s="169" t="inlineStr">
        <is>
          <t>2026/27</t>
        </is>
      </c>
      <c r="C748" s="231" t="n">
        <v>46148</v>
      </c>
      <c r="D748" s="169" t="inlineStr"/>
      <c r="E748" s="169" t="inlineStr">
        <is>
          <t>COMPRA</t>
        </is>
      </c>
      <c r="F748" s="169" t="inlineStr">
        <is>
          <t>Mega Catalina</t>
        </is>
      </c>
      <c r="G748" s="169" t="inlineStr">
        <is>
          <t>EUREKA - 1999 (10,6 Ha.)</t>
        </is>
      </c>
      <c r="H748" s="169" t="n"/>
      <c r="I748" s="169" t="n"/>
      <c r="J748" s="169" t="inlineStr">
        <is>
          <t>ENERGIA Y AGUA</t>
        </is>
      </c>
      <c r="K748" s="169" t="inlineStr">
        <is>
          <t>SUMIN. ELECTRICO</t>
        </is>
      </c>
      <c r="L748" s="169" t="inlineStr">
        <is>
          <t>CONSUMO ELECTRICO</t>
        </is>
      </c>
      <c r="M748" s="169" t="n"/>
      <c r="N748" s="169" t="inlineStr">
        <is>
          <t>.   .   -</t>
        </is>
      </c>
      <c r="O748" s="169" t="inlineStr">
        <is>
          <t>MAYO</t>
        </is>
      </c>
      <c r="P748" s="169" t="n">
        <v>17</v>
      </c>
      <c r="Q748" s="171" t="n">
        <v>873</v>
      </c>
      <c r="R748" s="169" t="n"/>
      <c r="S748" s="171" t="n">
        <v>873</v>
      </c>
      <c r="T748" s="169" t="inlineStr">
        <is>
          <t>CLP</t>
        </is>
      </c>
      <c r="U748" s="169" t="inlineStr">
        <is>
          <t>Carga LH 18-06-26</t>
        </is>
      </c>
      <c r="V748" s="169" t="inlineStr">
        <is>
          <t>2026-06-18</t>
        </is>
      </c>
    </row>
    <row r="749">
      <c r="A749" s="169" t="inlineStr">
        <is>
          <t>CR-0746</t>
        </is>
      </c>
      <c r="B749" s="169" t="inlineStr">
        <is>
          <t>2026/27</t>
        </is>
      </c>
      <c r="C749" s="231" t="n">
        <v>46148</v>
      </c>
      <c r="D749" s="169" t="inlineStr"/>
      <c r="E749" s="169" t="inlineStr">
        <is>
          <t>COMPRA</t>
        </is>
      </c>
      <c r="F749" s="169" t="inlineStr">
        <is>
          <t>Mega Catalina</t>
        </is>
      </c>
      <c r="G749" s="169" t="inlineStr">
        <is>
          <t>EUREKA - 1999 (10,6 Ha.)</t>
        </is>
      </c>
      <c r="H749" s="169" t="n"/>
      <c r="I749" s="169" t="n"/>
      <c r="J749" s="169" t="inlineStr">
        <is>
          <t>ENERGIA Y AGUA</t>
        </is>
      </c>
      <c r="K749" s="169" t="inlineStr">
        <is>
          <t>SUMIN. ELECTRICO</t>
        </is>
      </c>
      <c r="L749" s="169" t="inlineStr">
        <is>
          <t>CONSUMO ELECTRICO</t>
        </is>
      </c>
      <c r="M749" s="169" t="n"/>
      <c r="N749" s="169" t="inlineStr">
        <is>
          <t>.   .   -</t>
        </is>
      </c>
      <c r="O749" s="169" t="inlineStr">
        <is>
          <t>MAYO</t>
        </is>
      </c>
      <c r="P749" s="169" t="n">
        <v>17</v>
      </c>
      <c r="Q749" s="171" t="n">
        <v>704698</v>
      </c>
      <c r="R749" s="169" t="n"/>
      <c r="S749" s="171" t="n">
        <v>704698</v>
      </c>
      <c r="T749" s="169" t="inlineStr">
        <is>
          <t>CLP</t>
        </is>
      </c>
      <c r="U749" s="169" t="inlineStr">
        <is>
          <t>Carga LH 18-06-26</t>
        </is>
      </c>
      <c r="V749" s="169" t="inlineStr">
        <is>
          <t>2026-06-18</t>
        </is>
      </c>
    </row>
    <row r="750">
      <c r="A750" s="169" t="inlineStr">
        <is>
          <t>CR-0747</t>
        </is>
      </c>
      <c r="B750" s="169" t="inlineStr">
        <is>
          <t>2026/27</t>
        </is>
      </c>
      <c r="C750" s="231" t="n">
        <v>46148</v>
      </c>
      <c r="D750" s="169" t="inlineStr"/>
      <c r="E750" s="169" t="inlineStr">
        <is>
          <t>COMPRA</t>
        </is>
      </c>
      <c r="F750" s="169" t="inlineStr">
        <is>
          <t>Mega Catalina</t>
        </is>
      </c>
      <c r="G750" s="169" t="inlineStr">
        <is>
          <t>EUREKA - 1999 (22,5 Ha.)</t>
        </is>
      </c>
      <c r="H750" s="169" t="n"/>
      <c r="I750" s="169" t="n"/>
      <c r="J750" s="169" t="inlineStr">
        <is>
          <t>ENERGIA Y AGUA</t>
        </is>
      </c>
      <c r="K750" s="169" t="inlineStr">
        <is>
          <t>SUMIN. ELECTRICO</t>
        </is>
      </c>
      <c r="L750" s="169" t="inlineStr">
        <is>
          <t>CONSUMO ELECTRICO</t>
        </is>
      </c>
      <c r="M750" s="169" t="n"/>
      <c r="N750" s="169" t="inlineStr">
        <is>
          <t>.   .   -</t>
        </is>
      </c>
      <c r="O750" s="169" t="inlineStr">
        <is>
          <t>MAYO</t>
        </is>
      </c>
      <c r="P750" s="169" t="n">
        <v>17</v>
      </c>
      <c r="Q750" s="171" t="n">
        <v>873</v>
      </c>
      <c r="R750" s="169" t="n"/>
      <c r="S750" s="171" t="n">
        <v>873</v>
      </c>
      <c r="T750" s="169" t="inlineStr">
        <is>
          <t>CLP</t>
        </is>
      </c>
      <c r="U750" s="169" t="inlineStr">
        <is>
          <t>Carga LH 18-06-26</t>
        </is>
      </c>
      <c r="V750" s="169" t="inlineStr">
        <is>
          <t>2026-06-18</t>
        </is>
      </c>
    </row>
    <row r="751">
      <c r="A751" s="169" t="inlineStr">
        <is>
          <t>CR-0748</t>
        </is>
      </c>
      <c r="B751" s="169" t="inlineStr">
        <is>
          <t>2026/27</t>
        </is>
      </c>
      <c r="C751" s="231" t="n">
        <v>46148</v>
      </c>
      <c r="D751" s="169" t="inlineStr">
        <is>
          <t>8523</t>
        </is>
      </c>
      <c r="E751" s="169" t="inlineStr">
        <is>
          <t>COMPRA</t>
        </is>
      </c>
      <c r="F751" s="169" t="inlineStr">
        <is>
          <t>Sin asignar</t>
        </is>
      </c>
      <c r="G751" s="169" t="inlineStr">
        <is>
          <t>PACKING</t>
        </is>
      </c>
      <c r="H751" s="169" t="n"/>
      <c r="I751" s="169" t="n"/>
      <c r="J751" s="169" t="inlineStr">
        <is>
          <t>FLETES</t>
        </is>
      </c>
      <c r="K751" s="169" t="inlineStr">
        <is>
          <t>FLETE FRUTA</t>
        </is>
      </c>
      <c r="L751" s="169" t="inlineStr">
        <is>
          <t>O/001659 FLETE</t>
        </is>
      </c>
      <c r="M751" s="169" t="n"/>
      <c r="N751" s="169" t="inlineStr">
        <is>
          <t>.   .   -</t>
        </is>
      </c>
      <c r="O751" s="169" t="inlineStr">
        <is>
          <t>MAYO</t>
        </is>
      </c>
      <c r="P751" s="169" t="n">
        <v>17</v>
      </c>
      <c r="Q751" s="171" t="n">
        <v>240000</v>
      </c>
      <c r="R751" s="169" t="n"/>
      <c r="S751" s="171" t="n">
        <v>240000</v>
      </c>
      <c r="T751" s="169" t="inlineStr">
        <is>
          <t>CLP</t>
        </is>
      </c>
      <c r="U751" s="169" t="inlineStr">
        <is>
          <t>Carga LH 18-06-26</t>
        </is>
      </c>
      <c r="V751" s="169" t="inlineStr">
        <is>
          <t>2026-06-18</t>
        </is>
      </c>
    </row>
    <row r="752">
      <c r="A752" s="169" t="inlineStr">
        <is>
          <t>CR-0749</t>
        </is>
      </c>
      <c r="B752" s="169" t="inlineStr">
        <is>
          <t>2026/27</t>
        </is>
      </c>
      <c r="C752" s="231" t="n">
        <v>46148</v>
      </c>
      <c r="D752" s="169" t="inlineStr">
        <is>
          <t>8652</t>
        </is>
      </c>
      <c r="E752" s="169" t="inlineStr">
        <is>
          <t>COMPRA</t>
        </is>
      </c>
      <c r="F752" s="169" t="inlineStr">
        <is>
          <t>El Molle</t>
        </is>
      </c>
      <c r="G752" s="169" t="inlineStr">
        <is>
          <t>OROGRANDE - 2007 (8,11 Ha.)</t>
        </is>
      </c>
      <c r="H752" s="169" t="n"/>
      <c r="I752" s="169" t="n"/>
      <c r="J752" s="169" t="inlineStr">
        <is>
          <t>ASESORIAS</t>
        </is>
      </c>
      <c r="K752" s="169" t="inlineStr">
        <is>
          <t>ANALISIS VARIOS</t>
        </is>
      </c>
      <c r="L752" s="169" t="inlineStr">
        <is>
          <t>O/001647 ANALISIS S</t>
        </is>
      </c>
      <c r="M752" s="169" t="n"/>
      <c r="N752" s="169" t="inlineStr">
        <is>
          <t>.   .   -</t>
        </is>
      </c>
      <c r="O752" s="169" t="inlineStr">
        <is>
          <t>MAYO</t>
        </is>
      </c>
      <c r="P752" s="169" t="n">
        <v>17</v>
      </c>
      <c r="Q752" s="171" t="n">
        <v>281308</v>
      </c>
      <c r="R752" s="169" t="n"/>
      <c r="S752" s="171" t="n">
        <v>281308</v>
      </c>
      <c r="T752" s="169" t="inlineStr">
        <is>
          <t>CLP</t>
        </is>
      </c>
      <c r="U752" s="169" t="inlineStr">
        <is>
          <t>Carga LH 18-06-26</t>
        </is>
      </c>
      <c r="V752" s="169" t="inlineStr">
        <is>
          <t>2026-06-18</t>
        </is>
      </c>
    </row>
    <row r="753">
      <c r="A753" s="169" t="inlineStr">
        <is>
          <t>CR-0750</t>
        </is>
      </c>
      <c r="B753" s="169" t="inlineStr">
        <is>
          <t>2026/27</t>
        </is>
      </c>
      <c r="C753" s="231" t="n">
        <v>46155</v>
      </c>
      <c r="D753" s="169" t="inlineStr">
        <is>
          <t>181</t>
        </is>
      </c>
      <c r="E753" s="169" t="inlineStr">
        <is>
          <t>COMPRA</t>
        </is>
      </c>
      <c r="F753" s="169" t="inlineStr">
        <is>
          <t>Mega Catalina</t>
        </is>
      </c>
      <c r="G753" s="169" t="inlineStr">
        <is>
          <t>EUREKA - 1999 (10,6 Ha.)</t>
        </is>
      </c>
      <c r="H753" s="169" t="n"/>
      <c r="I753" s="169" t="n"/>
      <c r="J753" s="169" t="inlineStr">
        <is>
          <t>LABORES OPERACIONALES</t>
        </is>
      </c>
      <c r="K753" s="169" t="inlineStr">
        <is>
          <t>PODA</t>
        </is>
      </c>
      <c r="L753" s="169" t="inlineStr">
        <is>
          <t>SERV.CONTRATISTA</t>
        </is>
      </c>
      <c r="M753" s="169" t="n"/>
      <c r="N753" s="169" t="inlineStr">
        <is>
          <t>.   .   -</t>
        </is>
      </c>
      <c r="O753" s="169" t="inlineStr">
        <is>
          <t>MAYO</t>
        </is>
      </c>
      <c r="P753" s="169" t="n">
        <v>18</v>
      </c>
      <c r="Q753" s="171" t="n">
        <v>154000</v>
      </c>
      <c r="R753" s="169" t="n"/>
      <c r="S753" s="171" t="n">
        <v>154000</v>
      </c>
      <c r="T753" s="169" t="inlineStr">
        <is>
          <t>CLP</t>
        </is>
      </c>
      <c r="U753" s="169" t="inlineStr">
        <is>
          <t>Carga LH 18-06-26</t>
        </is>
      </c>
      <c r="V753" s="169" t="inlineStr">
        <is>
          <t>2026-06-18</t>
        </is>
      </c>
    </row>
    <row r="754">
      <c r="A754" s="169" t="inlineStr">
        <is>
          <t>CR-0751</t>
        </is>
      </c>
      <c r="B754" s="169" t="inlineStr">
        <is>
          <t>2026/27</t>
        </is>
      </c>
      <c r="C754" s="231" t="n">
        <v>46155</v>
      </c>
      <c r="D754" s="169" t="inlineStr">
        <is>
          <t>181</t>
        </is>
      </c>
      <c r="E754" s="169" t="inlineStr">
        <is>
          <t>COMPRA</t>
        </is>
      </c>
      <c r="F754" s="169" t="inlineStr">
        <is>
          <t>Mega Catalina</t>
        </is>
      </c>
      <c r="G754" s="169" t="inlineStr">
        <is>
          <t>MURCOTT - 2007 (21 Ha.)</t>
        </is>
      </c>
      <c r="H754" s="169" t="n"/>
      <c r="I754" s="169" t="n"/>
      <c r="J754" s="169" t="inlineStr">
        <is>
          <t>LABORES OPERACIONALES</t>
        </is>
      </c>
      <c r="K754" s="169" t="inlineStr">
        <is>
          <t>PODA</t>
        </is>
      </c>
      <c r="L754" s="169" t="inlineStr">
        <is>
          <t>SERV.CONTRATISTA</t>
        </is>
      </c>
      <c r="M754" s="169" t="n"/>
      <c r="N754" s="169" t="inlineStr">
        <is>
          <t>.   .   -</t>
        </is>
      </c>
      <c r="O754" s="169" t="inlineStr">
        <is>
          <t>MAYO</t>
        </is>
      </c>
      <c r="P754" s="169" t="n">
        <v>18</v>
      </c>
      <c r="Q754" s="171" t="n">
        <v>1309000</v>
      </c>
      <c r="R754" s="169" t="n"/>
      <c r="S754" s="171" t="n">
        <v>1309000</v>
      </c>
      <c r="T754" s="169" t="inlineStr">
        <is>
          <t>CLP</t>
        </is>
      </c>
      <c r="U754" s="169" t="inlineStr">
        <is>
          <t>Carga LH 18-06-26</t>
        </is>
      </c>
      <c r="V754" s="169" t="inlineStr">
        <is>
          <t>2026-06-18</t>
        </is>
      </c>
    </row>
    <row r="755">
      <c r="A755" s="169" t="inlineStr">
        <is>
          <t>CR-0752</t>
        </is>
      </c>
      <c r="B755" s="169" t="inlineStr">
        <is>
          <t>2026/27</t>
        </is>
      </c>
      <c r="C755" s="231" t="n">
        <v>46155</v>
      </c>
      <c r="D755" s="169" t="inlineStr">
        <is>
          <t>181</t>
        </is>
      </c>
      <c r="E755" s="169" t="inlineStr">
        <is>
          <t>COMPRA</t>
        </is>
      </c>
      <c r="F755" s="169" t="inlineStr">
        <is>
          <t>Mega Catalina</t>
        </is>
      </c>
      <c r="G755" s="169" t="inlineStr">
        <is>
          <t>MURCOTT - 2007 (21 Ha.)</t>
        </is>
      </c>
      <c r="H755" s="169" t="n"/>
      <c r="I755" s="169" t="n"/>
      <c r="J755" s="169" t="inlineStr">
        <is>
          <t>LABORES OPERACIONALES</t>
        </is>
      </c>
      <c r="K755" s="169" t="inlineStr">
        <is>
          <t>LABORES VARIAS</t>
        </is>
      </c>
      <c r="L755" s="169" t="inlineStr">
        <is>
          <t>SERV.CONTRATISTA</t>
        </is>
      </c>
      <c r="M755" s="169" t="n"/>
      <c r="N755" s="169" t="inlineStr">
        <is>
          <t>.   .   -</t>
        </is>
      </c>
      <c r="O755" s="169" t="inlineStr">
        <is>
          <t>MAYO</t>
        </is>
      </c>
      <c r="P755" s="169" t="n">
        <v>18</v>
      </c>
      <c r="Q755" s="171" t="n">
        <v>269500</v>
      </c>
      <c r="R755" s="169" t="n"/>
      <c r="S755" s="171" t="n">
        <v>269500</v>
      </c>
      <c r="T755" s="169" t="inlineStr">
        <is>
          <t>CLP</t>
        </is>
      </c>
      <c r="U755" s="169" t="inlineStr">
        <is>
          <t>Carga LH 18-06-26</t>
        </is>
      </c>
      <c r="V755" s="169" t="inlineStr">
        <is>
          <t>2026-06-18</t>
        </is>
      </c>
    </row>
    <row r="756">
      <c r="A756" s="169" t="inlineStr">
        <is>
          <t>CR-0753</t>
        </is>
      </c>
      <c r="B756" s="169" t="inlineStr">
        <is>
          <t>2026/27</t>
        </is>
      </c>
      <c r="C756" s="231" t="n">
        <v>46155</v>
      </c>
      <c r="D756" s="169" t="inlineStr">
        <is>
          <t>3</t>
        </is>
      </c>
      <c r="E756" s="169" t="inlineStr">
        <is>
          <t>COMPRA</t>
        </is>
      </c>
      <c r="F756" s="169" t="inlineStr">
        <is>
          <t>El Molle</t>
        </is>
      </c>
      <c r="G756" s="169" t="inlineStr">
        <is>
          <t>ORONULES - 2017 (2,85 Ha.)</t>
        </is>
      </c>
      <c r="H756" s="169" t="n"/>
      <c r="I756" s="169" t="n"/>
      <c r="J756" s="169" t="inlineStr">
        <is>
          <t>LABORES OPERACIONALES</t>
        </is>
      </c>
      <c r="K756" s="169" t="inlineStr">
        <is>
          <t>COSECHA</t>
        </is>
      </c>
      <c r="L756" s="169" t="inlineStr">
        <is>
          <t>SERV.CONTRATISTA</t>
        </is>
      </c>
      <c r="M756" s="169" t="n"/>
      <c r="N756" s="169" t="inlineStr">
        <is>
          <t>.   .   -</t>
        </is>
      </c>
      <c r="O756" s="169" t="inlineStr">
        <is>
          <t>MAYO</t>
        </is>
      </c>
      <c r="P756" s="169" t="n">
        <v>18</v>
      </c>
      <c r="Q756" s="171" t="n">
        <v>2977380</v>
      </c>
      <c r="R756" s="169" t="n"/>
      <c r="S756" s="171" t="n">
        <v>2977380</v>
      </c>
      <c r="T756" s="169" t="inlineStr">
        <is>
          <t>CLP</t>
        </is>
      </c>
      <c r="U756" s="169" t="inlineStr">
        <is>
          <t>Carga LH 18-06-26</t>
        </is>
      </c>
      <c r="V756" s="169" t="inlineStr">
        <is>
          <t>2026-06-18</t>
        </is>
      </c>
    </row>
    <row r="757">
      <c r="A757" s="169" t="inlineStr">
        <is>
          <t>CR-0754</t>
        </is>
      </c>
      <c r="B757" s="169" t="inlineStr">
        <is>
          <t>2026/27</t>
        </is>
      </c>
      <c r="C757" s="231" t="n">
        <v>46155</v>
      </c>
      <c r="D757" s="169" t="inlineStr">
        <is>
          <t>3</t>
        </is>
      </c>
      <c r="E757" s="169" t="inlineStr">
        <is>
          <t>COMPRA</t>
        </is>
      </c>
      <c r="F757" s="169" t="inlineStr">
        <is>
          <t>Mega Catalina</t>
        </is>
      </c>
      <c r="G757" s="169" t="inlineStr">
        <is>
          <t>ORONULES - 2019 (2,5 Ha.)</t>
        </is>
      </c>
      <c r="H757" s="169" t="n"/>
      <c r="I757" s="169" t="n"/>
      <c r="J757" s="169" t="inlineStr">
        <is>
          <t>LABORES OPERACIONALES</t>
        </is>
      </c>
      <c r="K757" s="169" t="inlineStr">
        <is>
          <t>COSECHA</t>
        </is>
      </c>
      <c r="L757" s="169" t="inlineStr">
        <is>
          <t>SERV.CONTRATISTA</t>
        </is>
      </c>
      <c r="M757" s="169" t="n"/>
      <c r="N757" s="169" t="inlineStr">
        <is>
          <t>.   .   -</t>
        </is>
      </c>
      <c r="O757" s="169" t="inlineStr">
        <is>
          <t>MAYO</t>
        </is>
      </c>
      <c r="P757" s="169" t="n">
        <v>18</v>
      </c>
      <c r="Q757" s="171" t="n">
        <v>1515990</v>
      </c>
      <c r="R757" s="169" t="n"/>
      <c r="S757" s="171" t="n">
        <v>1515990</v>
      </c>
      <c r="T757" s="169" t="inlineStr">
        <is>
          <t>CLP</t>
        </is>
      </c>
      <c r="U757" s="169" t="inlineStr">
        <is>
          <t>Carga LH 18-06-26</t>
        </is>
      </c>
      <c r="V757" s="169" t="inlineStr">
        <is>
          <t>2026-06-18</t>
        </is>
      </c>
    </row>
    <row r="758">
      <c r="A758" s="169" t="inlineStr">
        <is>
          <t>CR-0755</t>
        </is>
      </c>
      <c r="B758" s="169" t="inlineStr">
        <is>
          <t>2026/27</t>
        </is>
      </c>
      <c r="C758" s="231" t="n">
        <v>46155</v>
      </c>
      <c r="D758" s="169" t="inlineStr">
        <is>
          <t>3</t>
        </is>
      </c>
      <c r="E758" s="169" t="inlineStr">
        <is>
          <t>COMPRA</t>
        </is>
      </c>
      <c r="F758" s="169" t="inlineStr">
        <is>
          <t>El Molle</t>
        </is>
      </c>
      <c r="G758" s="169" t="inlineStr">
        <is>
          <t>WONDERFUL - 2002 (2,80 Ha.)</t>
        </is>
      </c>
      <c r="H758" s="169" t="n"/>
      <c r="I758" s="169" t="n"/>
      <c r="J758" s="169" t="inlineStr">
        <is>
          <t>LABORES OPERACIONALES</t>
        </is>
      </c>
      <c r="K758" s="169" t="inlineStr">
        <is>
          <t>COSECHA</t>
        </is>
      </c>
      <c r="L758" s="169" t="inlineStr">
        <is>
          <t>SERV.CONTRATISTA</t>
        </is>
      </c>
      <c r="M758" s="169" t="n"/>
      <c r="N758" s="169" t="inlineStr">
        <is>
          <t>.   .   -</t>
        </is>
      </c>
      <c r="O758" s="169" t="inlineStr">
        <is>
          <t>MAYO</t>
        </is>
      </c>
      <c r="P758" s="169" t="n">
        <v>18</v>
      </c>
      <c r="Q758" s="171" t="n">
        <v>462600</v>
      </c>
      <c r="R758" s="169" t="n"/>
      <c r="S758" s="171" t="n">
        <v>462600</v>
      </c>
      <c r="T758" s="169" t="inlineStr">
        <is>
          <t>CLP</t>
        </is>
      </c>
      <c r="U758" s="169" t="inlineStr">
        <is>
          <t>Carga LH 18-06-26</t>
        </is>
      </c>
      <c r="V758" s="169" t="inlineStr">
        <is>
          <t>2026-06-18</t>
        </is>
      </c>
    </row>
    <row r="759">
      <c r="A759" s="169" t="inlineStr">
        <is>
          <t>CR-0756</t>
        </is>
      </c>
      <c r="B759" s="169" t="inlineStr">
        <is>
          <t>2026/27</t>
        </is>
      </c>
      <c r="C759" s="231" t="n">
        <v>46155</v>
      </c>
      <c r="D759" s="169" t="inlineStr">
        <is>
          <t>486</t>
        </is>
      </c>
      <c r="E759" s="169" t="inlineStr">
        <is>
          <t>COMPRA</t>
        </is>
      </c>
      <c r="F759" s="169" t="inlineStr">
        <is>
          <t>El Molle</t>
        </is>
      </c>
      <c r="G759" s="169" t="inlineStr">
        <is>
          <t>ORONULES - 2017 (2,85 Ha.)</t>
        </is>
      </c>
      <c r="H759" s="169" t="n"/>
      <c r="I759" s="169" t="n"/>
      <c r="J759" s="169" t="inlineStr">
        <is>
          <t>LABORES OPERACIONALES</t>
        </is>
      </c>
      <c r="K759" s="169" t="inlineStr">
        <is>
          <t>COSECHA</t>
        </is>
      </c>
      <c r="L759" s="169" t="inlineStr">
        <is>
          <t>SERV.CONTRATISTA</t>
        </is>
      </c>
      <c r="M759" s="169" t="n"/>
      <c r="N759" s="169" t="inlineStr">
        <is>
          <t>.   .   -</t>
        </is>
      </c>
      <c r="O759" s="169" t="inlineStr">
        <is>
          <t>MAYO</t>
        </is>
      </c>
      <c r="P759" s="169" t="n">
        <v>18</v>
      </c>
      <c r="Q759" s="171" t="n">
        <v>1575945</v>
      </c>
      <c r="R759" s="169" t="n"/>
      <c r="S759" s="171" t="n">
        <v>1575945</v>
      </c>
      <c r="T759" s="169" t="inlineStr">
        <is>
          <t>CLP</t>
        </is>
      </c>
      <c r="U759" s="169" t="inlineStr">
        <is>
          <t>Carga LH 18-06-26</t>
        </is>
      </c>
      <c r="V759" s="169" t="inlineStr">
        <is>
          <t>2026-06-18</t>
        </is>
      </c>
    </row>
    <row r="760">
      <c r="A760" s="169" t="inlineStr">
        <is>
          <t>CR-0757</t>
        </is>
      </c>
      <c r="B760" s="169" t="inlineStr">
        <is>
          <t>2026/27</t>
        </is>
      </c>
      <c r="C760" s="231" t="n">
        <v>46155</v>
      </c>
      <c r="D760" s="169" t="inlineStr">
        <is>
          <t>486</t>
        </is>
      </c>
      <c r="E760" s="169" t="inlineStr">
        <is>
          <t>COMPRA</t>
        </is>
      </c>
      <c r="F760" s="169" t="inlineStr">
        <is>
          <t>Mega Catalina</t>
        </is>
      </c>
      <c r="G760" s="169" t="inlineStr">
        <is>
          <t>ORONULES - 2019 (2,5 Ha.)</t>
        </is>
      </c>
      <c r="H760" s="169" t="n"/>
      <c r="I760" s="169" t="n"/>
      <c r="J760" s="169" t="inlineStr">
        <is>
          <t>LABORES OPERACIONALES</t>
        </is>
      </c>
      <c r="K760" s="169" t="inlineStr">
        <is>
          <t>COSECHA</t>
        </is>
      </c>
      <c r="L760" s="169" t="inlineStr">
        <is>
          <t>SERV.CONTRATISTA</t>
        </is>
      </c>
      <c r="M760" s="169" t="n"/>
      <c r="N760" s="169" t="inlineStr">
        <is>
          <t>.   .   -</t>
        </is>
      </c>
      <c r="O760" s="169" t="inlineStr">
        <is>
          <t>MAYO</t>
        </is>
      </c>
      <c r="P760" s="169" t="n">
        <v>18</v>
      </c>
      <c r="Q760" s="171" t="n">
        <v>912870</v>
      </c>
      <c r="R760" s="169" t="n"/>
      <c r="S760" s="171" t="n">
        <v>912870</v>
      </c>
      <c r="T760" s="169" t="inlineStr">
        <is>
          <t>CLP</t>
        </is>
      </c>
      <c r="U760" s="169" t="inlineStr">
        <is>
          <t>Carga LH 18-06-26</t>
        </is>
      </c>
      <c r="V760" s="169" t="inlineStr">
        <is>
          <t>2026-06-18</t>
        </is>
      </c>
    </row>
    <row r="761">
      <c r="A761" s="169" t="inlineStr">
        <is>
          <t>CR-0758</t>
        </is>
      </c>
      <c r="B761" s="169" t="inlineStr">
        <is>
          <t>2026/27</t>
        </is>
      </c>
      <c r="C761" s="231" t="n">
        <v>46155</v>
      </c>
      <c r="D761" s="169" t="inlineStr"/>
      <c r="E761" s="169" t="inlineStr">
        <is>
          <t>COMPRA</t>
        </is>
      </c>
      <c r="F761" s="169" t="inlineStr">
        <is>
          <t>El Molle</t>
        </is>
      </c>
      <c r="G761" s="169" t="inlineStr">
        <is>
          <t>ARRUFATINA - 2017 (5,74 Ha.)</t>
        </is>
      </c>
      <c r="H761" s="169" t="n"/>
      <c r="I761" s="169" t="n"/>
      <c r="J761" s="169" t="inlineStr">
        <is>
          <t>ENERGIA Y AGUA</t>
        </is>
      </c>
      <c r="K761" s="169" t="inlineStr">
        <is>
          <t>SUMIN. ELECTRICO</t>
        </is>
      </c>
      <c r="L761" s="169" t="inlineStr">
        <is>
          <t>CONSUMO ENERGIA</t>
        </is>
      </c>
      <c r="M761" s="169" t="n"/>
      <c r="N761" s="169" t="inlineStr">
        <is>
          <t>.   .   -</t>
        </is>
      </c>
      <c r="O761" s="169" t="inlineStr">
        <is>
          <t>MAYO</t>
        </is>
      </c>
      <c r="P761" s="169" t="n">
        <v>18</v>
      </c>
      <c r="Q761" s="171" t="n">
        <v>917228</v>
      </c>
      <c r="R761" s="169" t="n"/>
      <c r="S761" s="171" t="n">
        <v>917228</v>
      </c>
      <c r="T761" s="169" t="inlineStr">
        <is>
          <t>CLP</t>
        </is>
      </c>
      <c r="U761" s="169" t="inlineStr">
        <is>
          <t>Carga LH 18-06-26</t>
        </is>
      </c>
      <c r="V761" s="169" t="inlineStr">
        <is>
          <t>2026-06-18</t>
        </is>
      </c>
    </row>
    <row r="762">
      <c r="A762" s="169" t="inlineStr">
        <is>
          <t>CR-0759</t>
        </is>
      </c>
      <c r="B762" s="169" t="inlineStr">
        <is>
          <t>2026/27</t>
        </is>
      </c>
      <c r="C762" s="231" t="n">
        <v>46155</v>
      </c>
      <c r="D762" s="169" t="inlineStr"/>
      <c r="E762" s="169" t="inlineStr">
        <is>
          <t>COMPRA</t>
        </is>
      </c>
      <c r="F762" s="169" t="inlineStr">
        <is>
          <t>El Molle</t>
        </is>
      </c>
      <c r="G762" s="169" t="inlineStr">
        <is>
          <t>ORONULES - 2017 (2,85 Ha.)</t>
        </is>
      </c>
      <c r="H762" s="169" t="n"/>
      <c r="I762" s="169" t="n"/>
      <c r="J762" s="169" t="inlineStr">
        <is>
          <t>ENERGIA Y AGUA</t>
        </is>
      </c>
      <c r="K762" s="169" t="inlineStr">
        <is>
          <t>SUMIN. ELECTRICO</t>
        </is>
      </c>
      <c r="L762" s="169" t="inlineStr">
        <is>
          <t>CONSUMO ENERGIA</t>
        </is>
      </c>
      <c r="M762" s="169" t="n"/>
      <c r="N762" s="169" t="inlineStr">
        <is>
          <t>.   .   -</t>
        </is>
      </c>
      <c r="O762" s="169" t="inlineStr">
        <is>
          <t>MAYO</t>
        </is>
      </c>
      <c r="P762" s="169" t="n">
        <v>18</v>
      </c>
      <c r="Q762" s="171" t="n">
        <v>455418</v>
      </c>
      <c r="R762" s="169" t="n"/>
      <c r="S762" s="171" t="n">
        <v>455418</v>
      </c>
      <c r="T762" s="169" t="inlineStr">
        <is>
          <t>CLP</t>
        </is>
      </c>
      <c r="U762" s="169" t="inlineStr">
        <is>
          <t>Carga LH 18-06-26</t>
        </is>
      </c>
      <c r="V762" s="169" t="inlineStr">
        <is>
          <t>2026-06-18</t>
        </is>
      </c>
    </row>
    <row r="763">
      <c r="A763" s="169" t="inlineStr">
        <is>
          <t>CR-0760</t>
        </is>
      </c>
      <c r="B763" s="169" t="inlineStr">
        <is>
          <t>2026/27</t>
        </is>
      </c>
      <c r="C763" s="231" t="n">
        <v>46155</v>
      </c>
      <c r="D763" s="169" t="inlineStr"/>
      <c r="E763" s="169" t="inlineStr">
        <is>
          <t>COMPRA</t>
        </is>
      </c>
      <c r="F763" s="169" t="inlineStr">
        <is>
          <t>Mega Catalina</t>
        </is>
      </c>
      <c r="G763" s="169" t="inlineStr">
        <is>
          <t>ORONULES - 2019 (2,5 Ha.)</t>
        </is>
      </c>
      <c r="H763" s="169" t="n"/>
      <c r="I763" s="169" t="n"/>
      <c r="J763" s="169" t="inlineStr">
        <is>
          <t>ENERGIA Y AGUA</t>
        </is>
      </c>
      <c r="K763" s="169" t="inlineStr">
        <is>
          <t>SUMIN. ELECTRICO</t>
        </is>
      </c>
      <c r="L763" s="169" t="inlineStr">
        <is>
          <t>CONSUMO ENERGIA</t>
        </is>
      </c>
      <c r="M763" s="169" t="n"/>
      <c r="N763" s="169" t="inlineStr">
        <is>
          <t>.   .   -</t>
        </is>
      </c>
      <c r="O763" s="169" t="inlineStr">
        <is>
          <t>MAYO</t>
        </is>
      </c>
      <c r="P763" s="169" t="n">
        <v>18</v>
      </c>
      <c r="Q763" s="171" t="n">
        <v>399489</v>
      </c>
      <c r="R763" s="169" t="n"/>
      <c r="S763" s="171" t="n">
        <v>399489</v>
      </c>
      <c r="T763" s="169" t="inlineStr">
        <is>
          <t>CLP</t>
        </is>
      </c>
      <c r="U763" s="169" t="inlineStr">
        <is>
          <t>Carga LH 18-06-26</t>
        </is>
      </c>
      <c r="V763" s="169" t="inlineStr">
        <is>
          <t>2026-06-18</t>
        </is>
      </c>
    </row>
    <row r="764">
      <c r="A764" s="169" t="inlineStr">
        <is>
          <t>CR-0761</t>
        </is>
      </c>
      <c r="B764" s="169" t="inlineStr">
        <is>
          <t>2026/27</t>
        </is>
      </c>
      <c r="C764" s="231" t="n">
        <v>46155</v>
      </c>
      <c r="D764" s="169" t="inlineStr"/>
      <c r="E764" s="169" t="inlineStr">
        <is>
          <t>COMPRA</t>
        </is>
      </c>
      <c r="F764" s="169" t="inlineStr">
        <is>
          <t>El Molle</t>
        </is>
      </c>
      <c r="G764" s="169" t="inlineStr">
        <is>
          <t>OROGRANDE - 2007 (8,11 Ha.)</t>
        </is>
      </c>
      <c r="H764" s="169" t="n"/>
      <c r="I764" s="169" t="n"/>
      <c r="J764" s="169" t="inlineStr">
        <is>
          <t>ENERGIA Y AGUA</t>
        </is>
      </c>
      <c r="K764" s="169" t="inlineStr">
        <is>
          <t>SUMIN. ELECTRICO</t>
        </is>
      </c>
      <c r="L764" s="169" t="inlineStr">
        <is>
          <t>CONSUMO ENERGIA</t>
        </is>
      </c>
      <c r="M764" s="169" t="n"/>
      <c r="N764" s="169" t="inlineStr">
        <is>
          <t>.   .   -</t>
        </is>
      </c>
      <c r="O764" s="169" t="inlineStr">
        <is>
          <t>MAYO</t>
        </is>
      </c>
      <c r="P764" s="169" t="n">
        <v>18</v>
      </c>
      <c r="Q764" s="171" t="n">
        <v>1295944</v>
      </c>
      <c r="R764" s="169" t="n"/>
      <c r="S764" s="171" t="n">
        <v>1295944</v>
      </c>
      <c r="T764" s="169" t="inlineStr">
        <is>
          <t>CLP</t>
        </is>
      </c>
      <c r="U764" s="169" t="inlineStr">
        <is>
          <t>Carga LH 18-06-26</t>
        </is>
      </c>
      <c r="V764" s="169" t="inlineStr">
        <is>
          <t>2026-06-18</t>
        </is>
      </c>
    </row>
    <row r="765">
      <c r="A765" s="169" t="inlineStr">
        <is>
          <t>CR-0762</t>
        </is>
      </c>
      <c r="B765" s="169" t="inlineStr">
        <is>
          <t>2026/27</t>
        </is>
      </c>
      <c r="C765" s="231" t="n">
        <v>46155</v>
      </c>
      <c r="D765" s="169" t="inlineStr"/>
      <c r="E765" s="169" t="inlineStr">
        <is>
          <t>COMPRA</t>
        </is>
      </c>
      <c r="F765" s="169" t="inlineStr">
        <is>
          <t>El Molle</t>
        </is>
      </c>
      <c r="G765" s="169" t="inlineStr">
        <is>
          <t>WONDERFUL - 2002 (2,80 Ha.)</t>
        </is>
      </c>
      <c r="H765" s="169" t="n"/>
      <c r="I765" s="169" t="n"/>
      <c r="J765" s="169" t="inlineStr">
        <is>
          <t>ENERGIA Y AGUA</t>
        </is>
      </c>
      <c r="K765" s="169" t="inlineStr">
        <is>
          <t>SUMIN. ELECTRICO</t>
        </is>
      </c>
      <c r="L765" s="169" t="inlineStr">
        <is>
          <t>CONSUMO ENERGIA</t>
        </is>
      </c>
      <c r="M765" s="169" t="n"/>
      <c r="N765" s="169" t="inlineStr">
        <is>
          <t>.   .   -</t>
        </is>
      </c>
      <c r="O765" s="169" t="inlineStr">
        <is>
          <t>MAYO</t>
        </is>
      </c>
      <c r="P765" s="169" t="n">
        <v>18</v>
      </c>
      <c r="Q765" s="171" t="n">
        <v>447428</v>
      </c>
      <c r="R765" s="169" t="n"/>
      <c r="S765" s="171" t="n">
        <v>447428</v>
      </c>
      <c r="T765" s="169" t="inlineStr">
        <is>
          <t>CLP</t>
        </is>
      </c>
      <c r="U765" s="169" t="inlineStr">
        <is>
          <t>Carga LH 18-06-26</t>
        </is>
      </c>
      <c r="V765" s="169" t="inlineStr">
        <is>
          <t>2026-06-18</t>
        </is>
      </c>
    </row>
    <row r="766">
      <c r="A766" s="169" t="inlineStr">
        <is>
          <t>CR-0763</t>
        </is>
      </c>
      <c r="B766" s="169" t="inlineStr">
        <is>
          <t>2026/27</t>
        </is>
      </c>
      <c r="C766" s="231" t="n">
        <v>46155</v>
      </c>
      <c r="D766" s="169" t="inlineStr"/>
      <c r="E766" s="169" t="inlineStr">
        <is>
          <t>COMPRA</t>
        </is>
      </c>
      <c r="F766" s="169" t="inlineStr">
        <is>
          <t>El Molle</t>
        </is>
      </c>
      <c r="G766" s="169" t="inlineStr">
        <is>
          <t>WONDERFUL - 2007 (2,44 Ha.)</t>
        </is>
      </c>
      <c r="H766" s="169" t="n"/>
      <c r="I766" s="169" t="n"/>
      <c r="J766" s="169" t="inlineStr">
        <is>
          <t>ENERGIA Y AGUA</t>
        </is>
      </c>
      <c r="K766" s="169" t="inlineStr">
        <is>
          <t>SUMIN. ELECTRICO</t>
        </is>
      </c>
      <c r="L766" s="169" t="inlineStr">
        <is>
          <t>CONSUMO ENERGIA</t>
        </is>
      </c>
      <c r="M766" s="169" t="n"/>
      <c r="N766" s="169" t="inlineStr">
        <is>
          <t>.   .   -</t>
        </is>
      </c>
      <c r="O766" s="169" t="inlineStr">
        <is>
          <t>MAYO</t>
        </is>
      </c>
      <c r="P766" s="169" t="n">
        <v>18</v>
      </c>
      <c r="Q766" s="171" t="n">
        <v>389902</v>
      </c>
      <c r="R766" s="169" t="n"/>
      <c r="S766" s="171" t="n">
        <v>389902</v>
      </c>
      <c r="T766" s="169" t="inlineStr">
        <is>
          <t>CLP</t>
        </is>
      </c>
      <c r="U766" s="169" t="inlineStr">
        <is>
          <t>Carga LH 18-06-26</t>
        </is>
      </c>
      <c r="V766" s="169" t="inlineStr">
        <is>
          <t>2026-06-18</t>
        </is>
      </c>
    </row>
    <row r="767">
      <c r="A767" s="169" t="inlineStr">
        <is>
          <t>CR-0764</t>
        </is>
      </c>
      <c r="B767" s="169" t="inlineStr">
        <is>
          <t>2026/27</t>
        </is>
      </c>
      <c r="C767" s="231" t="n">
        <v>46155</v>
      </c>
      <c r="D767" s="169" t="inlineStr">
        <is>
          <t>378</t>
        </is>
      </c>
      <c r="E767" s="169" t="inlineStr">
        <is>
          <t>COMPRA</t>
        </is>
      </c>
      <c r="F767" s="169" t="inlineStr">
        <is>
          <t>El Molle</t>
        </is>
      </c>
      <c r="G767" s="169" t="inlineStr">
        <is>
          <t>ARRUFATINA - 2017 (5,74 Ha.)</t>
        </is>
      </c>
      <c r="H767" s="169" t="n"/>
      <c r="I767" s="169" t="n"/>
      <c r="J767" s="169" t="inlineStr">
        <is>
          <t>LABORES OPERACIONALES</t>
        </is>
      </c>
      <c r="K767" s="169" t="inlineStr">
        <is>
          <t>MANTENCION DE CAMPOS</t>
        </is>
      </c>
      <c r="L767" s="169" t="inlineStr">
        <is>
          <t>SERV.CONTRATISTA</t>
        </is>
      </c>
      <c r="M767" s="169" t="n"/>
      <c r="N767" s="169" t="inlineStr">
        <is>
          <t>.   .   -</t>
        </is>
      </c>
      <c r="O767" s="169" t="inlineStr">
        <is>
          <t>MAYO</t>
        </is>
      </c>
      <c r="P767" s="169" t="n">
        <v>18</v>
      </c>
      <c r="Q767" s="171" t="n">
        <v>115650</v>
      </c>
      <c r="R767" s="169" t="n"/>
      <c r="S767" s="171" t="n">
        <v>115650</v>
      </c>
      <c r="T767" s="169" t="inlineStr">
        <is>
          <t>CLP</t>
        </is>
      </c>
      <c r="U767" s="169" t="inlineStr">
        <is>
          <t>Carga LH 18-06-26</t>
        </is>
      </c>
      <c r="V767" s="169" t="inlineStr">
        <is>
          <t>2026-06-18</t>
        </is>
      </c>
    </row>
    <row r="768">
      <c r="A768" s="169" t="inlineStr">
        <is>
          <t>CR-0765</t>
        </is>
      </c>
      <c r="B768" s="169" t="inlineStr">
        <is>
          <t>2026/27</t>
        </is>
      </c>
      <c r="C768" s="231" t="n">
        <v>46155</v>
      </c>
      <c r="D768" s="169" t="inlineStr">
        <is>
          <t>378</t>
        </is>
      </c>
      <c r="E768" s="169" t="inlineStr">
        <is>
          <t>COMPRA</t>
        </is>
      </c>
      <c r="F768" s="169" t="inlineStr">
        <is>
          <t>El Molle</t>
        </is>
      </c>
      <c r="G768" s="169" t="inlineStr">
        <is>
          <t>ARRUFATINA - 2017 (5,74 Ha.)</t>
        </is>
      </c>
      <c r="H768" s="169" t="n"/>
      <c r="I768" s="169" t="n"/>
      <c r="J768" s="169" t="inlineStr">
        <is>
          <t>LABORES OPERACIONALES</t>
        </is>
      </c>
      <c r="K768" s="169" t="inlineStr">
        <is>
          <t>LABORES VARIAS</t>
        </is>
      </c>
      <c r="L768" s="169" t="inlineStr">
        <is>
          <t>SERV.CONTRATISTA</t>
        </is>
      </c>
      <c r="M768" s="169" t="n"/>
      <c r="N768" s="169" t="inlineStr">
        <is>
          <t>.   .   -</t>
        </is>
      </c>
      <c r="O768" s="169" t="inlineStr">
        <is>
          <t>MAYO</t>
        </is>
      </c>
      <c r="P768" s="169" t="n">
        <v>18</v>
      </c>
      <c r="Q768" s="171" t="n">
        <v>1075500</v>
      </c>
      <c r="R768" s="169" t="n"/>
      <c r="S768" s="171" t="n">
        <v>1075500</v>
      </c>
      <c r="T768" s="169" t="inlineStr">
        <is>
          <t>CLP</t>
        </is>
      </c>
      <c r="U768" s="169" t="inlineStr">
        <is>
          <t>Carga LH 18-06-26</t>
        </is>
      </c>
      <c r="V768" s="169" t="inlineStr">
        <is>
          <t>2026-06-18</t>
        </is>
      </c>
    </row>
    <row r="769">
      <c r="A769" s="169" t="inlineStr">
        <is>
          <t>CR-0766</t>
        </is>
      </c>
      <c r="B769" s="169" t="inlineStr">
        <is>
          <t>2026/27</t>
        </is>
      </c>
      <c r="C769" s="231" t="n">
        <v>46155</v>
      </c>
      <c r="D769" s="169" t="inlineStr">
        <is>
          <t>378</t>
        </is>
      </c>
      <c r="E769" s="169" t="inlineStr">
        <is>
          <t>COMPRA</t>
        </is>
      </c>
      <c r="F769" s="169" t="inlineStr">
        <is>
          <t>El Molle</t>
        </is>
      </c>
      <c r="G769" s="169" t="inlineStr">
        <is>
          <t>ORONULES - 2017 (2,85 Ha.)</t>
        </is>
      </c>
      <c r="H769" s="169" t="n"/>
      <c r="I769" s="169" t="n"/>
      <c r="J769" s="169" t="inlineStr">
        <is>
          <t>LABORES OPERACIONALES</t>
        </is>
      </c>
      <c r="K769" s="169" t="inlineStr">
        <is>
          <t>COSECHA</t>
        </is>
      </c>
      <c r="L769" s="169" t="inlineStr">
        <is>
          <t>SERV.CONTRATISTA</t>
        </is>
      </c>
      <c r="M769" s="169" t="n"/>
      <c r="N769" s="169" t="inlineStr">
        <is>
          <t>.   .   -</t>
        </is>
      </c>
      <c r="O769" s="169" t="inlineStr">
        <is>
          <t>MAYO</t>
        </is>
      </c>
      <c r="P769" s="169" t="n">
        <v>18</v>
      </c>
      <c r="Q769" s="171" t="n">
        <v>1680525</v>
      </c>
      <c r="R769" s="169" t="n"/>
      <c r="S769" s="171" t="n">
        <v>1680525</v>
      </c>
      <c r="T769" s="169" t="inlineStr">
        <is>
          <t>CLP</t>
        </is>
      </c>
      <c r="U769" s="169" t="inlineStr">
        <is>
          <t>Carga LH 18-06-26</t>
        </is>
      </c>
      <c r="V769" s="169" t="inlineStr">
        <is>
          <t>2026-06-18</t>
        </is>
      </c>
    </row>
    <row r="770">
      <c r="A770" s="169" t="inlineStr">
        <is>
          <t>CR-0767</t>
        </is>
      </c>
      <c r="B770" s="169" t="inlineStr">
        <is>
          <t>2026/27</t>
        </is>
      </c>
      <c r="C770" s="231" t="n">
        <v>46155</v>
      </c>
      <c r="D770" s="169" t="inlineStr">
        <is>
          <t>378</t>
        </is>
      </c>
      <c r="E770" s="169" t="inlineStr">
        <is>
          <t>COMPRA</t>
        </is>
      </c>
      <c r="F770" s="169" t="inlineStr">
        <is>
          <t>El Molle</t>
        </is>
      </c>
      <c r="G770" s="169" t="inlineStr">
        <is>
          <t>ORONULES - 2017 (2,85 Ha.)</t>
        </is>
      </c>
      <c r="H770" s="169" t="n"/>
      <c r="I770" s="169" t="n"/>
      <c r="J770" s="169" t="inlineStr">
        <is>
          <t>LABORES OPERACIONALES</t>
        </is>
      </c>
      <c r="K770" s="169" t="inlineStr">
        <is>
          <t>MANTENCION DE CAMPOS</t>
        </is>
      </c>
      <c r="L770" s="169" t="inlineStr">
        <is>
          <t>SERV.CONTRATISTA</t>
        </is>
      </c>
      <c r="M770" s="169" t="n"/>
      <c r="N770" s="169" t="inlineStr">
        <is>
          <t>.   .   -</t>
        </is>
      </c>
      <c r="O770" s="169" t="inlineStr">
        <is>
          <t>MAYO</t>
        </is>
      </c>
      <c r="P770" s="169" t="n">
        <v>18</v>
      </c>
      <c r="Q770" s="171" t="n">
        <v>38550</v>
      </c>
      <c r="R770" s="169" t="n"/>
      <c r="S770" s="171" t="n">
        <v>38550</v>
      </c>
      <c r="T770" s="169" t="inlineStr">
        <is>
          <t>CLP</t>
        </is>
      </c>
      <c r="U770" s="169" t="inlineStr">
        <is>
          <t>Carga LH 18-06-26</t>
        </is>
      </c>
      <c r="V770" s="169" t="inlineStr">
        <is>
          <t>2026-06-18</t>
        </is>
      </c>
    </row>
    <row r="771">
      <c r="A771" s="169" t="inlineStr">
        <is>
          <t>CR-0768</t>
        </is>
      </c>
      <c r="B771" s="169" t="inlineStr">
        <is>
          <t>2026/27</t>
        </is>
      </c>
      <c r="C771" s="231" t="n">
        <v>46155</v>
      </c>
      <c r="D771" s="169" t="inlineStr">
        <is>
          <t>378</t>
        </is>
      </c>
      <c r="E771" s="169" t="inlineStr">
        <is>
          <t>COMPRA</t>
        </is>
      </c>
      <c r="F771" s="169" t="inlineStr">
        <is>
          <t>El Molle</t>
        </is>
      </c>
      <c r="G771" s="169" t="inlineStr">
        <is>
          <t>ORONULES - 2017 (2,85 Ha.)</t>
        </is>
      </c>
      <c r="H771" s="169" t="n"/>
      <c r="I771" s="169" t="n"/>
      <c r="J771" s="169" t="inlineStr">
        <is>
          <t>LABORES OPERACIONALES</t>
        </is>
      </c>
      <c r="K771" s="169" t="inlineStr">
        <is>
          <t>LABORES VARIAS</t>
        </is>
      </c>
      <c r="L771" s="169" t="inlineStr">
        <is>
          <t>SERV.CONTRATISTA</t>
        </is>
      </c>
      <c r="M771" s="169" t="n"/>
      <c r="N771" s="169" t="inlineStr">
        <is>
          <t>.   .   -</t>
        </is>
      </c>
      <c r="O771" s="169" t="inlineStr">
        <is>
          <t>MAYO</t>
        </is>
      </c>
      <c r="P771" s="169" t="n">
        <v>18</v>
      </c>
      <c r="Q771" s="171" t="n">
        <v>308400</v>
      </c>
      <c r="R771" s="169" t="n"/>
      <c r="S771" s="171" t="n">
        <v>308400</v>
      </c>
      <c r="T771" s="169" t="inlineStr">
        <is>
          <t>CLP</t>
        </is>
      </c>
      <c r="U771" s="169" t="inlineStr">
        <is>
          <t>Carga LH 18-06-26</t>
        </is>
      </c>
      <c r="V771" s="169" t="inlineStr">
        <is>
          <t>2026-06-18</t>
        </is>
      </c>
    </row>
    <row r="772">
      <c r="A772" s="169" t="inlineStr">
        <is>
          <t>CR-0769</t>
        </is>
      </c>
      <c r="B772" s="169" t="inlineStr">
        <is>
          <t>2026/27</t>
        </is>
      </c>
      <c r="C772" s="231" t="n">
        <v>46155</v>
      </c>
      <c r="D772" s="169" t="inlineStr">
        <is>
          <t>378</t>
        </is>
      </c>
      <c r="E772" s="169" t="inlineStr">
        <is>
          <t>COMPRA</t>
        </is>
      </c>
      <c r="F772" s="169" t="inlineStr">
        <is>
          <t>Mega Catalina</t>
        </is>
      </c>
      <c r="G772" s="169" t="inlineStr">
        <is>
          <t>ORONULES - 2019 (2,5 Ha.)</t>
        </is>
      </c>
      <c r="H772" s="169" t="n"/>
      <c r="I772" s="169" t="n"/>
      <c r="J772" s="169" t="inlineStr">
        <is>
          <t>LABORES OPERACIONALES</t>
        </is>
      </c>
      <c r="K772" s="169" t="inlineStr">
        <is>
          <t>COSECHA</t>
        </is>
      </c>
      <c r="L772" s="169" t="inlineStr">
        <is>
          <t>SERV.CONTRATISTA</t>
        </is>
      </c>
      <c r="M772" s="169" t="n"/>
      <c r="N772" s="169" t="inlineStr">
        <is>
          <t>.   .   -</t>
        </is>
      </c>
      <c r="O772" s="169" t="inlineStr">
        <is>
          <t>MAYO</t>
        </is>
      </c>
      <c r="P772" s="169" t="n">
        <v>18</v>
      </c>
      <c r="Q772" s="171" t="n">
        <v>1115160</v>
      </c>
      <c r="R772" s="169" t="n"/>
      <c r="S772" s="171" t="n">
        <v>1115160</v>
      </c>
      <c r="T772" s="169" t="inlineStr">
        <is>
          <t>CLP</t>
        </is>
      </c>
      <c r="U772" s="169" t="inlineStr">
        <is>
          <t>Carga LH 18-06-26</t>
        </is>
      </c>
      <c r="V772" s="169" t="inlineStr">
        <is>
          <t>2026-06-18</t>
        </is>
      </c>
    </row>
    <row r="773">
      <c r="A773" s="169" t="inlineStr">
        <is>
          <t>CR-0770</t>
        </is>
      </c>
      <c r="B773" s="169" t="inlineStr">
        <is>
          <t>2026/27</t>
        </is>
      </c>
      <c r="C773" s="231" t="n">
        <v>46155</v>
      </c>
      <c r="D773" s="169" t="inlineStr">
        <is>
          <t>378</t>
        </is>
      </c>
      <c r="E773" s="169" t="inlineStr">
        <is>
          <t>COMPRA</t>
        </is>
      </c>
      <c r="F773" s="169" t="inlineStr">
        <is>
          <t>Mega Catalina</t>
        </is>
      </c>
      <c r="G773" s="169" t="inlineStr">
        <is>
          <t>ORONULES - 2019 (2,5 Ha.)</t>
        </is>
      </c>
      <c r="H773" s="169" t="n"/>
      <c r="I773" s="169" t="n"/>
      <c r="J773" s="169" t="inlineStr">
        <is>
          <t>LABORES OPERACIONALES</t>
        </is>
      </c>
      <c r="K773" s="169" t="inlineStr">
        <is>
          <t>MANTENCION DE CAMPOS</t>
        </is>
      </c>
      <c r="L773" s="169" t="inlineStr">
        <is>
          <t>SERV.CONTRATISTA</t>
        </is>
      </c>
      <c r="M773" s="169" t="n"/>
      <c r="N773" s="169" t="inlineStr">
        <is>
          <t>.   .   -</t>
        </is>
      </c>
      <c r="O773" s="169" t="inlineStr">
        <is>
          <t>MAYO</t>
        </is>
      </c>
      <c r="P773" s="169" t="n">
        <v>18</v>
      </c>
      <c r="Q773" s="171" t="n">
        <v>38550</v>
      </c>
      <c r="R773" s="169" t="n"/>
      <c r="S773" s="171" t="n">
        <v>38550</v>
      </c>
      <c r="T773" s="169" t="inlineStr">
        <is>
          <t>CLP</t>
        </is>
      </c>
      <c r="U773" s="169" t="inlineStr">
        <is>
          <t>Carga LH 18-06-26</t>
        </is>
      </c>
      <c r="V773" s="169" t="inlineStr">
        <is>
          <t>2026-06-18</t>
        </is>
      </c>
    </row>
    <row r="774">
      <c r="A774" s="169" t="inlineStr">
        <is>
          <t>CR-0771</t>
        </is>
      </c>
      <c r="B774" s="169" t="inlineStr">
        <is>
          <t>2026/27</t>
        </is>
      </c>
      <c r="C774" s="231" t="n">
        <v>46155</v>
      </c>
      <c r="D774" s="169" t="inlineStr">
        <is>
          <t>378</t>
        </is>
      </c>
      <c r="E774" s="169" t="inlineStr">
        <is>
          <t>COMPRA</t>
        </is>
      </c>
      <c r="F774" s="169" t="inlineStr">
        <is>
          <t>Mega Catalina</t>
        </is>
      </c>
      <c r="G774" s="169" t="inlineStr">
        <is>
          <t>ORONULES - 2019 (2,5 Ha.)</t>
        </is>
      </c>
      <c r="H774" s="169" t="n"/>
      <c r="I774" s="169" t="n"/>
      <c r="J774" s="169" t="inlineStr">
        <is>
          <t>LABORES OPERACIONALES</t>
        </is>
      </c>
      <c r="K774" s="169" t="inlineStr">
        <is>
          <t>LABORES VARIAS</t>
        </is>
      </c>
      <c r="L774" s="169" t="inlineStr">
        <is>
          <t>SERV.CONTRATISTA</t>
        </is>
      </c>
      <c r="M774" s="169" t="n"/>
      <c r="N774" s="169" t="inlineStr">
        <is>
          <t>.   .   -</t>
        </is>
      </c>
      <c r="O774" s="169" t="inlineStr">
        <is>
          <t>MAYO</t>
        </is>
      </c>
      <c r="P774" s="169" t="n">
        <v>18</v>
      </c>
      <c r="Q774" s="171" t="n">
        <v>231300</v>
      </c>
      <c r="R774" s="169" t="n"/>
      <c r="S774" s="171" t="n">
        <v>231300</v>
      </c>
      <c r="T774" s="169" t="inlineStr">
        <is>
          <t>CLP</t>
        </is>
      </c>
      <c r="U774" s="169" t="inlineStr">
        <is>
          <t>Carga LH 18-06-26</t>
        </is>
      </c>
      <c r="V774" s="169" t="inlineStr">
        <is>
          <t>2026-06-18</t>
        </is>
      </c>
    </row>
    <row r="775">
      <c r="A775" s="169" t="inlineStr">
        <is>
          <t>CR-0772</t>
        </is>
      </c>
      <c r="B775" s="169" t="inlineStr">
        <is>
          <t>2026/27</t>
        </is>
      </c>
      <c r="C775" s="231" t="n">
        <v>46155</v>
      </c>
      <c r="D775" s="169" t="inlineStr">
        <is>
          <t>378</t>
        </is>
      </c>
      <c r="E775" s="169" t="inlineStr">
        <is>
          <t>COMPRA</t>
        </is>
      </c>
      <c r="F775" s="169" t="inlineStr">
        <is>
          <t>El Molle</t>
        </is>
      </c>
      <c r="G775" s="169" t="inlineStr">
        <is>
          <t>OROGRANDE - 2007 (8,11 Ha.)</t>
        </is>
      </c>
      <c r="H775" s="169" t="n"/>
      <c r="I775" s="169" t="n"/>
      <c r="J775" s="169" t="inlineStr">
        <is>
          <t>LABORES OPERACIONALES</t>
        </is>
      </c>
      <c r="K775" s="169" t="inlineStr">
        <is>
          <t>LABORES VARIAS</t>
        </is>
      </c>
      <c r="L775" s="169" t="inlineStr">
        <is>
          <t>SERV.CONTRATISTA</t>
        </is>
      </c>
      <c r="M775" s="169" t="n"/>
      <c r="N775" s="169" t="inlineStr">
        <is>
          <t>.   .   -</t>
        </is>
      </c>
      <c r="O775" s="169" t="inlineStr">
        <is>
          <t>MAYO</t>
        </is>
      </c>
      <c r="P775" s="169" t="n">
        <v>18</v>
      </c>
      <c r="Q775" s="171" t="n">
        <v>231300</v>
      </c>
      <c r="R775" s="169" t="n"/>
      <c r="S775" s="171" t="n">
        <v>231300</v>
      </c>
      <c r="T775" s="169" t="inlineStr">
        <is>
          <t>CLP</t>
        </is>
      </c>
      <c r="U775" s="169" t="inlineStr">
        <is>
          <t>Carga LH 18-06-26</t>
        </is>
      </c>
      <c r="V775" s="169" t="inlineStr">
        <is>
          <t>2026-06-18</t>
        </is>
      </c>
    </row>
    <row r="776">
      <c r="A776" s="169" t="inlineStr">
        <is>
          <t>CR-0773</t>
        </is>
      </c>
      <c r="B776" s="169" t="inlineStr">
        <is>
          <t>2026/27</t>
        </is>
      </c>
      <c r="C776" s="231" t="n">
        <v>46155</v>
      </c>
      <c r="D776" s="169" t="inlineStr">
        <is>
          <t>378</t>
        </is>
      </c>
      <c r="E776" s="169" t="inlineStr">
        <is>
          <t>COMPRA</t>
        </is>
      </c>
      <c r="F776" s="169" t="inlineStr">
        <is>
          <t>El Molle</t>
        </is>
      </c>
      <c r="G776" s="169" t="inlineStr">
        <is>
          <t>WONDERFUL - 2002 (2,80 Ha.)</t>
        </is>
      </c>
      <c r="H776" s="169" t="n"/>
      <c r="I776" s="169" t="n"/>
      <c r="J776" s="169" t="inlineStr">
        <is>
          <t>LABORES OPERACIONALES</t>
        </is>
      </c>
      <c r="K776" s="169" t="inlineStr">
        <is>
          <t>COSECHA</t>
        </is>
      </c>
      <c r="L776" s="169" t="inlineStr">
        <is>
          <t>SERV.CONTRATISTA</t>
        </is>
      </c>
      <c r="M776" s="169" t="n"/>
      <c r="N776" s="169" t="inlineStr">
        <is>
          <t>.   .   -</t>
        </is>
      </c>
      <c r="O776" s="169" t="inlineStr">
        <is>
          <t>MAYO</t>
        </is>
      </c>
      <c r="P776" s="169" t="n">
        <v>18</v>
      </c>
      <c r="Q776" s="171" t="n">
        <v>123000</v>
      </c>
      <c r="R776" s="169" t="n"/>
      <c r="S776" s="171" t="n">
        <v>123000</v>
      </c>
      <c r="T776" s="169" t="inlineStr">
        <is>
          <t>CLP</t>
        </is>
      </c>
      <c r="U776" s="169" t="inlineStr">
        <is>
          <t>Carga LH 18-06-26</t>
        </is>
      </c>
      <c r="V776" s="169" t="inlineStr">
        <is>
          <t>2026-06-18</t>
        </is>
      </c>
    </row>
    <row r="777">
      <c r="A777" s="169" t="inlineStr">
        <is>
          <t>CR-0774</t>
        </is>
      </c>
      <c r="B777" s="169" t="inlineStr">
        <is>
          <t>2026/27</t>
        </is>
      </c>
      <c r="C777" s="231" t="n">
        <v>46155</v>
      </c>
      <c r="D777" s="169" t="inlineStr">
        <is>
          <t>88</t>
        </is>
      </c>
      <c r="E777" s="169" t="inlineStr">
        <is>
          <t>COMPRA</t>
        </is>
      </c>
      <c r="F777" s="169" t="inlineStr">
        <is>
          <t>El Molle</t>
        </is>
      </c>
      <c r="G777" s="169" t="inlineStr">
        <is>
          <t>ORONULES - 2017 (2,85 Ha.)</t>
        </is>
      </c>
      <c r="H777" s="169" t="n"/>
      <c r="I777" s="169" t="n"/>
      <c r="J777" s="169" t="inlineStr">
        <is>
          <t>LABORES OPERACIONALES</t>
        </is>
      </c>
      <c r="K777" s="169" t="inlineStr">
        <is>
          <t>COSECHA</t>
        </is>
      </c>
      <c r="L777" s="169" t="inlineStr">
        <is>
          <t>SERV.CONTRATISTA</t>
        </is>
      </c>
      <c r="M777" s="169" t="n"/>
      <c r="N777" s="169" t="inlineStr">
        <is>
          <t>.   .   -</t>
        </is>
      </c>
      <c r="O777" s="169" t="inlineStr">
        <is>
          <t>MAYO</t>
        </is>
      </c>
      <c r="P777" s="169" t="n">
        <v>18</v>
      </c>
      <c r="Q777" s="171" t="n">
        <v>1245825</v>
      </c>
      <c r="R777" s="169" t="n"/>
      <c r="S777" s="171" t="n">
        <v>1245825</v>
      </c>
      <c r="T777" s="169" t="inlineStr">
        <is>
          <t>CLP</t>
        </is>
      </c>
      <c r="U777" s="169" t="inlineStr">
        <is>
          <t>Carga LH 18-06-26</t>
        </is>
      </c>
      <c r="V777" s="169" t="inlineStr">
        <is>
          <t>2026-06-18</t>
        </is>
      </c>
    </row>
    <row r="778">
      <c r="A778" s="169" t="inlineStr">
        <is>
          <t>CR-0775</t>
        </is>
      </c>
      <c r="B778" s="169" t="inlineStr">
        <is>
          <t>2026/27</t>
        </is>
      </c>
      <c r="C778" s="231" t="n">
        <v>46155</v>
      </c>
      <c r="D778" s="169" t="inlineStr">
        <is>
          <t>88</t>
        </is>
      </c>
      <c r="E778" s="169" t="inlineStr">
        <is>
          <t>COMPRA</t>
        </is>
      </c>
      <c r="F778" s="169" t="inlineStr">
        <is>
          <t>Mega Catalina</t>
        </is>
      </c>
      <c r="G778" s="169" t="inlineStr">
        <is>
          <t>ORONULES - 2019 (2,5 Ha.)</t>
        </is>
      </c>
      <c r="H778" s="169" t="n"/>
      <c r="I778" s="169" t="n"/>
      <c r="J778" s="169" t="inlineStr">
        <is>
          <t>LABORES OPERACIONALES</t>
        </is>
      </c>
      <c r="K778" s="169" t="inlineStr">
        <is>
          <t>COSECHA</t>
        </is>
      </c>
      <c r="L778" s="169" t="inlineStr">
        <is>
          <t>SERV.CONTRATISTA</t>
        </is>
      </c>
      <c r="M778" s="169" t="n"/>
      <c r="N778" s="169" t="inlineStr">
        <is>
          <t>.   .   -</t>
        </is>
      </c>
      <c r="O778" s="169" t="inlineStr">
        <is>
          <t>MAYO</t>
        </is>
      </c>
      <c r="P778" s="169" t="n">
        <v>18</v>
      </c>
      <c r="Q778" s="171" t="n">
        <v>620780</v>
      </c>
      <c r="R778" s="169" t="n"/>
      <c r="S778" s="171" t="n">
        <v>620780</v>
      </c>
      <c r="T778" s="169" t="inlineStr">
        <is>
          <t>CLP</t>
        </is>
      </c>
      <c r="U778" s="169" t="inlineStr">
        <is>
          <t>Carga LH 18-06-26</t>
        </is>
      </c>
      <c r="V778" s="169" t="inlineStr">
        <is>
          <t>2026-06-18</t>
        </is>
      </c>
    </row>
    <row r="779">
      <c r="A779" s="169" t="inlineStr">
        <is>
          <t>CR-0776</t>
        </is>
      </c>
      <c r="B779" s="169" t="inlineStr">
        <is>
          <t>2026/27</t>
        </is>
      </c>
      <c r="C779" s="231" t="n">
        <v>46160</v>
      </c>
      <c r="D779" s="169" t="inlineStr">
        <is>
          <t>928953</t>
        </is>
      </c>
      <c r="E779" s="169" t="inlineStr">
        <is>
          <t>COMPRA</t>
        </is>
      </c>
      <c r="F779" s="169" t="inlineStr">
        <is>
          <t>Mega Catalina</t>
        </is>
      </c>
      <c r="G779" s="169" t="inlineStr">
        <is>
          <t>INJERTO TIMPSON - 2018 (3,8 Ha.)</t>
        </is>
      </c>
      <c r="H779" s="169" t="n"/>
      <c r="I779" s="169" t="n"/>
      <c r="J779" s="169" t="inlineStr">
        <is>
          <t>MANT. Y REP. PLANTACIONES</t>
        </is>
      </c>
      <c r="K779" s="169" t="inlineStr">
        <is>
          <t>MANTENCION HUERTO</t>
        </is>
      </c>
      <c r="L779" s="169" t="inlineStr">
        <is>
          <t>O/001684 ALAMBRE PU</t>
        </is>
      </c>
      <c r="M779" s="169" t="n"/>
      <c r="N779" s="169" t="inlineStr">
        <is>
          <t>.   .   -</t>
        </is>
      </c>
      <c r="O779" s="169" t="inlineStr">
        <is>
          <t>MAYO</t>
        </is>
      </c>
      <c r="P779" s="169" t="n">
        <v>19</v>
      </c>
      <c r="Q779" s="171" t="n">
        <v>15995</v>
      </c>
      <c r="R779" s="169" t="n"/>
      <c r="S779" s="171" t="n">
        <v>15995</v>
      </c>
      <c r="T779" s="169" t="inlineStr">
        <is>
          <t>CLP</t>
        </is>
      </c>
      <c r="U779" s="169" t="inlineStr">
        <is>
          <t>Carga LH 18-06-26</t>
        </is>
      </c>
      <c r="V779" s="169" t="inlineStr">
        <is>
          <t>2026-06-18</t>
        </is>
      </c>
    </row>
    <row r="780">
      <c r="A780" s="169" t="inlineStr">
        <is>
          <t>CR-0777</t>
        </is>
      </c>
      <c r="B780" s="169" t="inlineStr">
        <is>
          <t>2026/27</t>
        </is>
      </c>
      <c r="C780" s="231" t="n">
        <v>46160</v>
      </c>
      <c r="D780" s="169" t="inlineStr">
        <is>
          <t>928953</t>
        </is>
      </c>
      <c r="E780" s="169" t="inlineStr">
        <is>
          <t>COMPRA</t>
        </is>
      </c>
      <c r="F780" s="169" t="inlineStr">
        <is>
          <t>Mega Catalina</t>
        </is>
      </c>
      <c r="G780" s="169" t="inlineStr">
        <is>
          <t>INJERTO TIMPSON - 2019 (4,2 Ha.)</t>
        </is>
      </c>
      <c r="H780" s="169" t="n"/>
      <c r="I780" s="169" t="n"/>
      <c r="J780" s="169" t="inlineStr">
        <is>
          <t>MANT. Y REP. PLANTACIONES</t>
        </is>
      </c>
      <c r="K780" s="169" t="inlineStr">
        <is>
          <t>MANTENCION HUERTO</t>
        </is>
      </c>
      <c r="L780" s="169" t="inlineStr">
        <is>
          <t>O/001684 CLAVO GRAP</t>
        </is>
      </c>
      <c r="M780" s="169" t="n"/>
      <c r="N780" s="169" t="inlineStr">
        <is>
          <t>.   .   -</t>
        </is>
      </c>
      <c r="O780" s="169" t="inlineStr">
        <is>
          <t>MAYO</t>
        </is>
      </c>
      <c r="P780" s="169" t="n">
        <v>19</v>
      </c>
      <c r="Q780" s="171" t="n">
        <v>17679</v>
      </c>
      <c r="R780" s="169" t="n"/>
      <c r="S780" s="171" t="n">
        <v>17679</v>
      </c>
      <c r="T780" s="169" t="inlineStr">
        <is>
          <t>CLP</t>
        </is>
      </c>
      <c r="U780" s="169" t="inlineStr">
        <is>
          <t>Carga LH 18-06-26</t>
        </is>
      </c>
      <c r="V780" s="169" t="inlineStr">
        <is>
          <t>2026-06-18</t>
        </is>
      </c>
    </row>
    <row r="781">
      <c r="A781" s="169" t="inlineStr">
        <is>
          <t>CR-0778</t>
        </is>
      </c>
      <c r="B781" s="169" t="inlineStr">
        <is>
          <t>2026/27</t>
        </is>
      </c>
      <c r="C781" s="231" t="n">
        <v>46160</v>
      </c>
      <c r="D781" s="169" t="inlineStr">
        <is>
          <t>928953</t>
        </is>
      </c>
      <c r="E781" s="169" t="inlineStr">
        <is>
          <t>COMPRA</t>
        </is>
      </c>
      <c r="F781" s="169" t="inlineStr">
        <is>
          <t>Mega Catalina</t>
        </is>
      </c>
      <c r="G781" s="169" t="inlineStr">
        <is>
          <t>SWEET CELEBRATION - 2015 (7,14 Ha.)</t>
        </is>
      </c>
      <c r="H781" s="169" t="n"/>
      <c r="I781" s="169" t="n"/>
      <c r="J781" s="169" t="inlineStr">
        <is>
          <t>MANT. Y REP. PLANTACIONES</t>
        </is>
      </c>
      <c r="K781" s="169" t="inlineStr">
        <is>
          <t>MANTENCION HUERTO</t>
        </is>
      </c>
      <c r="L781" s="169" t="inlineStr">
        <is>
          <t>O/001684 ALAMBR PU</t>
        </is>
      </c>
      <c r="M781" s="169" t="n"/>
      <c r="N781" s="169" t="inlineStr">
        <is>
          <t>.   .   -</t>
        </is>
      </c>
      <c r="O781" s="169" t="inlineStr">
        <is>
          <t>MAYO</t>
        </is>
      </c>
      <c r="P781" s="169" t="n">
        <v>19</v>
      </c>
      <c r="Q781" s="171" t="n">
        <v>30054</v>
      </c>
      <c r="R781" s="169" t="n"/>
      <c r="S781" s="171" t="n">
        <v>30054</v>
      </c>
      <c r="T781" s="169" t="inlineStr">
        <is>
          <t>CLP</t>
        </is>
      </c>
      <c r="U781" s="169" t="inlineStr">
        <is>
          <t>Carga LH 18-06-26</t>
        </is>
      </c>
      <c r="V781" s="169" t="inlineStr">
        <is>
          <t>2026-06-18</t>
        </is>
      </c>
    </row>
    <row r="782">
      <c r="A782" s="169" t="inlineStr">
        <is>
          <t>CR-0779</t>
        </is>
      </c>
      <c r="B782" s="169" t="inlineStr">
        <is>
          <t>2026/27</t>
        </is>
      </c>
      <c r="C782" s="231" t="n">
        <v>46160</v>
      </c>
      <c r="D782" s="169" t="inlineStr"/>
      <c r="E782" s="169" t="inlineStr">
        <is>
          <t>COMPRA</t>
        </is>
      </c>
      <c r="F782" s="169" t="inlineStr">
        <is>
          <t>Mega Catalina</t>
        </is>
      </c>
      <c r="G782" s="169" t="inlineStr">
        <is>
          <t>INJERTO TIMPSON - 2018 (3,8 Ha.)</t>
        </is>
      </c>
      <c r="H782" s="169" t="n"/>
      <c r="I782" s="169" t="n"/>
      <c r="J782" s="169" t="inlineStr">
        <is>
          <t>MANTENCION MAQUINARIAS</t>
        </is>
      </c>
      <c r="K782" s="169" t="inlineStr">
        <is>
          <t>MOTOSIERRA STHIL</t>
        </is>
      </c>
      <c r="L782" s="169" t="inlineStr">
        <is>
          <t>O/001687 ACEITE CAD</t>
        </is>
      </c>
      <c r="M782" s="169" t="n"/>
      <c r="N782" s="169" t="inlineStr">
        <is>
          <t>.   .   -</t>
        </is>
      </c>
      <c r="O782" s="169" t="inlineStr">
        <is>
          <t>MAYO</t>
        </is>
      </c>
      <c r="P782" s="169" t="n">
        <v>19</v>
      </c>
      <c r="Q782" s="171" t="n">
        <v>4007</v>
      </c>
      <c r="R782" s="169" t="n"/>
      <c r="S782" s="171" t="n">
        <v>4007</v>
      </c>
      <c r="T782" s="169" t="inlineStr">
        <is>
          <t>CLP</t>
        </is>
      </c>
      <c r="U782" s="169" t="inlineStr">
        <is>
          <t>Carga LH 18-06-26</t>
        </is>
      </c>
      <c r="V782" s="169" t="inlineStr">
        <is>
          <t>2026-06-18</t>
        </is>
      </c>
    </row>
    <row r="783">
      <c r="A783" s="169" t="inlineStr">
        <is>
          <t>CR-0780</t>
        </is>
      </c>
      <c r="B783" s="169" t="inlineStr">
        <is>
          <t>2026/27</t>
        </is>
      </c>
      <c r="C783" s="231" t="n">
        <v>46160</v>
      </c>
      <c r="D783" s="169" t="inlineStr"/>
      <c r="E783" s="169" t="inlineStr">
        <is>
          <t>COMPRA</t>
        </is>
      </c>
      <c r="F783" s="169" t="inlineStr">
        <is>
          <t>Mega Catalina</t>
        </is>
      </c>
      <c r="G783" s="169" t="inlineStr">
        <is>
          <t>INJERTO TIMPSON - 2019 (4,2 Ha.)</t>
        </is>
      </c>
      <c r="H783" s="169" t="n"/>
      <c r="I783" s="169" t="n"/>
      <c r="J783" s="169" t="inlineStr">
        <is>
          <t>MANTENCION MAQUINARIAS</t>
        </is>
      </c>
      <c r="K783" s="169" t="inlineStr">
        <is>
          <t>MOTOSIERRA STHIL</t>
        </is>
      </c>
      <c r="L783" s="169" t="inlineStr">
        <is>
          <t>O/001687 ACEITE CAD</t>
        </is>
      </c>
      <c r="M783" s="169" t="n"/>
      <c r="N783" s="169" t="inlineStr">
        <is>
          <t>.   .   -</t>
        </is>
      </c>
      <c r="O783" s="169" t="inlineStr">
        <is>
          <t>MAYO</t>
        </is>
      </c>
      <c r="P783" s="169" t="n">
        <v>19</v>
      </c>
      <c r="Q783" s="171" t="n">
        <v>4429</v>
      </c>
      <c r="R783" s="169" t="n"/>
      <c r="S783" s="171" t="n">
        <v>4429</v>
      </c>
      <c r="T783" s="169" t="inlineStr">
        <is>
          <t>CLP</t>
        </is>
      </c>
      <c r="U783" s="169" t="inlineStr">
        <is>
          <t>Carga LH 18-06-26</t>
        </is>
      </c>
      <c r="V783" s="169" t="inlineStr">
        <is>
          <t>2026-06-18</t>
        </is>
      </c>
    </row>
    <row r="784">
      <c r="A784" s="169" t="inlineStr">
        <is>
          <t>CR-0781</t>
        </is>
      </c>
      <c r="B784" s="169" t="inlineStr">
        <is>
          <t>2026/27</t>
        </is>
      </c>
      <c r="C784" s="231" t="n">
        <v>46160</v>
      </c>
      <c r="D784" s="169" t="inlineStr"/>
      <c r="E784" s="169" t="inlineStr">
        <is>
          <t>COMPRA</t>
        </is>
      </c>
      <c r="F784" s="169" t="inlineStr">
        <is>
          <t>Mega Catalina</t>
        </is>
      </c>
      <c r="G784" s="169" t="inlineStr">
        <is>
          <t>SWEET CELEBRATION - 2015 (7,14 Ha.)</t>
        </is>
      </c>
      <c r="H784" s="169" t="n"/>
      <c r="I784" s="169" t="n"/>
      <c r="J784" s="169" t="inlineStr">
        <is>
          <t>MANTENCION MAQUINARIAS</t>
        </is>
      </c>
      <c r="K784" s="169" t="inlineStr">
        <is>
          <t>MOTOSIERRA STHIL</t>
        </is>
      </c>
      <c r="L784" s="169" t="inlineStr">
        <is>
          <t>O/001687 ACEITE CAD</t>
        </is>
      </c>
      <c r="M784" s="169" t="n"/>
      <c r="N784" s="169" t="inlineStr">
        <is>
          <t>.   .   -</t>
        </is>
      </c>
      <c r="O784" s="169" t="inlineStr">
        <is>
          <t>MAYO</t>
        </is>
      </c>
      <c r="P784" s="169" t="n">
        <v>19</v>
      </c>
      <c r="Q784" s="171" t="n">
        <v>7530</v>
      </c>
      <c r="R784" s="169" t="n"/>
      <c r="S784" s="171" t="n">
        <v>7530</v>
      </c>
      <c r="T784" s="169" t="inlineStr">
        <is>
          <t>CLP</t>
        </is>
      </c>
      <c r="U784" s="169" t="inlineStr">
        <is>
          <t>Carga LH 18-06-26</t>
        </is>
      </c>
      <c r="V784" s="169" t="inlineStr">
        <is>
          <t>2026-06-18</t>
        </is>
      </c>
    </row>
    <row r="785">
      <c r="A785" s="169" t="inlineStr">
        <is>
          <t>CR-0782</t>
        </is>
      </c>
      <c r="B785" s="169" t="inlineStr">
        <is>
          <t>2026/27</t>
        </is>
      </c>
      <c r="C785" s="231" t="n">
        <v>46160</v>
      </c>
      <c r="D785" s="169" t="inlineStr"/>
      <c r="E785" s="169" t="inlineStr">
        <is>
          <t>COMPRA</t>
        </is>
      </c>
      <c r="F785" s="169" t="inlineStr">
        <is>
          <t>Mega Catalina</t>
        </is>
      </c>
      <c r="G785" s="169" t="inlineStr">
        <is>
          <t>EUREKA - 1999 (22,5 Ha.)</t>
        </is>
      </c>
      <c r="H785" s="169" t="n"/>
      <c r="I785" s="169" t="n"/>
      <c r="J785" s="169" t="inlineStr">
        <is>
          <t>MANTENCION MAQUINARIAS</t>
        </is>
      </c>
      <c r="K785" s="169" t="inlineStr">
        <is>
          <t>MOTOSIERRA STHIL</t>
        </is>
      </c>
      <c r="L785" s="169" t="inlineStr">
        <is>
          <t>O/001687 ACEITE CAD</t>
        </is>
      </c>
      <c r="M785" s="169" t="n"/>
      <c r="N785" s="169" t="inlineStr">
        <is>
          <t>.   .   -</t>
        </is>
      </c>
      <c r="O785" s="169" t="inlineStr">
        <is>
          <t>MAYO</t>
        </is>
      </c>
      <c r="P785" s="169" t="n">
        <v>19</v>
      </c>
      <c r="Q785" s="171" t="n">
        <v>15966</v>
      </c>
      <c r="R785" s="169" t="n"/>
      <c r="S785" s="171" t="n">
        <v>15966</v>
      </c>
      <c r="T785" s="169" t="inlineStr">
        <is>
          <t>CLP</t>
        </is>
      </c>
      <c r="U785" s="169" t="inlineStr">
        <is>
          <t>Carga LH 18-06-26</t>
        </is>
      </c>
      <c r="V785" s="169" t="inlineStr">
        <is>
          <t>2026-06-18</t>
        </is>
      </c>
    </row>
    <row r="786">
      <c r="A786" s="169" t="inlineStr">
        <is>
          <t>CR-0783</t>
        </is>
      </c>
      <c r="B786" s="169" t="inlineStr">
        <is>
          <t>2026/27</t>
        </is>
      </c>
      <c r="C786" s="231" t="n">
        <v>46161</v>
      </c>
      <c r="D786" s="169" t="inlineStr">
        <is>
          <t>279</t>
        </is>
      </c>
      <c r="E786" s="169" t="inlineStr">
        <is>
          <t>COMPRA</t>
        </is>
      </c>
      <c r="F786" s="169" t="inlineStr">
        <is>
          <t>Mega Catalina</t>
        </is>
      </c>
      <c r="G786" s="169" t="inlineStr">
        <is>
          <t>EUREKA - 1999 (22,5 Ha.)</t>
        </is>
      </c>
      <c r="H786" s="169" t="n"/>
      <c r="I786" s="169" t="n"/>
      <c r="J786" s="169" t="inlineStr">
        <is>
          <t>LABORES OPERACIONALES</t>
        </is>
      </c>
      <c r="K786" s="169" t="inlineStr">
        <is>
          <t>OTROS SERVICIOS</t>
        </is>
      </c>
      <c r="L786" s="169" t="inlineStr">
        <is>
          <t>SERV.CONTRATISTA</t>
        </is>
      </c>
      <c r="M786" s="169" t="n"/>
      <c r="N786" s="169" t="inlineStr">
        <is>
          <t>.   .   -</t>
        </is>
      </c>
      <c r="O786" s="169" t="inlineStr">
        <is>
          <t>MAYO</t>
        </is>
      </c>
      <c r="P786" s="169" t="n">
        <v>19</v>
      </c>
      <c r="Q786" s="171" t="n">
        <v>173010</v>
      </c>
      <c r="R786" s="169" t="n"/>
      <c r="S786" s="171" t="n">
        <v>173010</v>
      </c>
      <c r="T786" s="169" t="inlineStr">
        <is>
          <t>CLP</t>
        </is>
      </c>
      <c r="U786" s="169" t="inlineStr">
        <is>
          <t>Carga LH 18-06-26</t>
        </is>
      </c>
      <c r="V786" s="169" t="inlineStr">
        <is>
          <t>2026-06-18</t>
        </is>
      </c>
    </row>
    <row r="787">
      <c r="A787" s="169" t="inlineStr">
        <is>
          <t>CR-0784</t>
        </is>
      </c>
      <c r="B787" s="169" t="inlineStr">
        <is>
          <t>2026/27</t>
        </is>
      </c>
      <c r="C787" s="231" t="n">
        <v>46161</v>
      </c>
      <c r="D787" s="169" t="inlineStr">
        <is>
          <t>279</t>
        </is>
      </c>
      <c r="E787" s="169" t="inlineStr">
        <is>
          <t>COMPRA</t>
        </is>
      </c>
      <c r="F787" s="169" t="inlineStr">
        <is>
          <t>Mega Catalina</t>
        </is>
      </c>
      <c r="G787" s="169" t="inlineStr">
        <is>
          <t>EUREKA - 1999 (10,6 Ha.)</t>
        </is>
      </c>
      <c r="H787" s="169" t="n"/>
      <c r="I787" s="169" t="n"/>
      <c r="J787" s="169" t="inlineStr">
        <is>
          <t>LABORES OPERACIONALES</t>
        </is>
      </c>
      <c r="K787" s="169" t="inlineStr">
        <is>
          <t>OTROS SERVICIOS</t>
        </is>
      </c>
      <c r="L787" s="169" t="inlineStr">
        <is>
          <t>SERV.CONTRATISTA</t>
        </is>
      </c>
      <c r="M787" s="169" t="n"/>
      <c r="N787" s="169" t="inlineStr">
        <is>
          <t>.   .   -</t>
        </is>
      </c>
      <c r="O787" s="169" t="inlineStr">
        <is>
          <t>MAYO</t>
        </is>
      </c>
      <c r="P787" s="169" t="n">
        <v>19</v>
      </c>
      <c r="Q787" s="171" t="n">
        <v>113880</v>
      </c>
      <c r="R787" s="169" t="n"/>
      <c r="S787" s="171" t="n">
        <v>113880</v>
      </c>
      <c r="T787" s="169" t="inlineStr">
        <is>
          <t>CLP</t>
        </is>
      </c>
      <c r="U787" s="169" t="inlineStr">
        <is>
          <t>Carga LH 18-06-26</t>
        </is>
      </c>
      <c r="V787" s="169" t="inlineStr">
        <is>
          <t>2026-06-18</t>
        </is>
      </c>
    </row>
    <row r="788">
      <c r="A788" s="169" t="inlineStr">
        <is>
          <t>CR-0785</t>
        </is>
      </c>
      <c r="B788" s="169" t="inlineStr">
        <is>
          <t>2026/27</t>
        </is>
      </c>
      <c r="C788" s="231" t="n">
        <v>46161</v>
      </c>
      <c r="D788" s="169" t="inlineStr">
        <is>
          <t>279</t>
        </is>
      </c>
      <c r="E788" s="169" t="inlineStr">
        <is>
          <t>COMPRA</t>
        </is>
      </c>
      <c r="F788" s="169" t="inlineStr">
        <is>
          <t>Mega Catalina</t>
        </is>
      </c>
      <c r="G788" s="169" t="inlineStr">
        <is>
          <t>EUREKA - 2016 (14,4 Ha.)</t>
        </is>
      </c>
      <c r="H788" s="169" t="n"/>
      <c r="I788" s="169" t="n"/>
      <c r="J788" s="169" t="inlineStr">
        <is>
          <t>LABORES OPERACIONALES</t>
        </is>
      </c>
      <c r="K788" s="169" t="inlineStr">
        <is>
          <t>OTROS SERVICIOS</t>
        </is>
      </c>
      <c r="L788" s="169" t="inlineStr">
        <is>
          <t>SERV.CONTRATISTA</t>
        </is>
      </c>
      <c r="M788" s="169" t="n"/>
      <c r="N788" s="169" t="inlineStr">
        <is>
          <t>.   .   -</t>
        </is>
      </c>
      <c r="O788" s="169" t="inlineStr">
        <is>
          <t>MAYO</t>
        </is>
      </c>
      <c r="P788" s="169" t="n">
        <v>19</v>
      </c>
      <c r="Q788" s="171" t="n">
        <v>109500</v>
      </c>
      <c r="R788" s="169" t="n"/>
      <c r="S788" s="171" t="n">
        <v>109500</v>
      </c>
      <c r="T788" s="169" t="inlineStr">
        <is>
          <t>CLP</t>
        </is>
      </c>
      <c r="U788" s="169" t="inlineStr">
        <is>
          <t>Carga LH 18-06-26</t>
        </is>
      </c>
      <c r="V788" s="169" t="inlineStr">
        <is>
          <t>2026-06-18</t>
        </is>
      </c>
    </row>
    <row r="789">
      <c r="A789" s="169" t="inlineStr">
        <is>
          <t>CR-0786</t>
        </is>
      </c>
      <c r="B789" s="169" t="inlineStr">
        <is>
          <t>2026/27</t>
        </is>
      </c>
      <c r="C789" s="231" t="n">
        <v>46161</v>
      </c>
      <c r="D789" s="169" t="inlineStr">
        <is>
          <t>279</t>
        </is>
      </c>
      <c r="E789" s="169" t="inlineStr">
        <is>
          <t>COMPRA</t>
        </is>
      </c>
      <c r="F789" s="169" t="inlineStr">
        <is>
          <t>Mega Catalina</t>
        </is>
      </c>
      <c r="G789" s="169" t="inlineStr">
        <is>
          <t>FINO 49 - 1999 (7,7 Ha.)</t>
        </is>
      </c>
      <c r="H789" s="169" t="n"/>
      <c r="I789" s="169" t="n"/>
      <c r="J789" s="169" t="inlineStr">
        <is>
          <t>LABORES OPERACIONALES</t>
        </is>
      </c>
      <c r="K789" s="169" t="inlineStr">
        <is>
          <t>OTROS SERVICIOS</t>
        </is>
      </c>
      <c r="L789" s="169" t="inlineStr">
        <is>
          <t>SERV.CONTRATISTA</t>
        </is>
      </c>
      <c r="M789" s="169" t="n"/>
      <c r="N789" s="169" t="inlineStr">
        <is>
          <t>.   .   -</t>
        </is>
      </c>
      <c r="O789" s="169" t="inlineStr">
        <is>
          <t>MAYO</t>
        </is>
      </c>
      <c r="P789" s="169" t="n">
        <v>19</v>
      </c>
      <c r="Q789" s="171" t="n">
        <v>87600</v>
      </c>
      <c r="R789" s="169" t="n"/>
      <c r="S789" s="171" t="n">
        <v>87600</v>
      </c>
      <c r="T789" s="169" t="inlineStr">
        <is>
          <t>CLP</t>
        </is>
      </c>
      <c r="U789" s="169" t="inlineStr">
        <is>
          <t>Carga LH 18-06-26</t>
        </is>
      </c>
      <c r="V789" s="169" t="inlineStr">
        <is>
          <t>2026-06-18</t>
        </is>
      </c>
    </row>
    <row r="790">
      <c r="A790" s="169" t="inlineStr">
        <is>
          <t>CR-0787</t>
        </is>
      </c>
      <c r="B790" s="169" t="inlineStr">
        <is>
          <t>2026/27</t>
        </is>
      </c>
      <c r="C790" s="231" t="n">
        <v>46161</v>
      </c>
      <c r="D790" s="169" t="inlineStr">
        <is>
          <t>279</t>
        </is>
      </c>
      <c r="E790" s="169" t="inlineStr">
        <is>
          <t>COMPRA</t>
        </is>
      </c>
      <c r="F790" s="169" t="inlineStr">
        <is>
          <t>Mega Catalina</t>
        </is>
      </c>
      <c r="G790" s="169" t="inlineStr">
        <is>
          <t>NARANJA CAMBRIA - 2009 (4,2 Ha.)</t>
        </is>
      </c>
      <c r="H790" s="169" t="n"/>
      <c r="I790" s="169" t="n"/>
      <c r="J790" s="169" t="inlineStr">
        <is>
          <t>LABORES OPERACIONALES</t>
        </is>
      </c>
      <c r="K790" s="169" t="inlineStr">
        <is>
          <t>OTROS SERVICIOS</t>
        </is>
      </c>
      <c r="L790" s="169" t="inlineStr">
        <is>
          <t>SERV.CONTRATISTA</t>
        </is>
      </c>
      <c r="M790" s="169" t="n"/>
      <c r="N790" s="169" t="inlineStr">
        <is>
          <t>.   .   -</t>
        </is>
      </c>
      <c r="O790" s="169" t="inlineStr">
        <is>
          <t>MAYO</t>
        </is>
      </c>
      <c r="P790" s="169" t="n">
        <v>19</v>
      </c>
      <c r="Q790" s="171" t="n">
        <v>26280</v>
      </c>
      <c r="R790" s="169" t="n"/>
      <c r="S790" s="171" t="n">
        <v>26280</v>
      </c>
      <c r="T790" s="169" t="inlineStr">
        <is>
          <t>CLP</t>
        </is>
      </c>
      <c r="U790" s="169" t="inlineStr">
        <is>
          <t>Carga LH 18-06-26</t>
        </is>
      </c>
      <c r="V790" s="169" t="inlineStr">
        <is>
          <t>2026-06-18</t>
        </is>
      </c>
    </row>
    <row r="791">
      <c r="A791" s="169" t="inlineStr">
        <is>
          <t>CR-0788</t>
        </is>
      </c>
      <c r="B791" s="169" t="inlineStr">
        <is>
          <t>2026/27</t>
        </is>
      </c>
      <c r="C791" s="231" t="n">
        <v>46161</v>
      </c>
      <c r="D791" s="169" t="inlineStr">
        <is>
          <t>279</t>
        </is>
      </c>
      <c r="E791" s="169" t="inlineStr">
        <is>
          <t>COMPRA</t>
        </is>
      </c>
      <c r="F791" s="169" t="inlineStr">
        <is>
          <t>Mega Catalina</t>
        </is>
      </c>
      <c r="G791" s="169" t="inlineStr">
        <is>
          <t>MURCOTT - 2007 (21 Ha.)</t>
        </is>
      </c>
      <c r="H791" s="169" t="n"/>
      <c r="I791" s="169" t="n"/>
      <c r="J791" s="169" t="inlineStr">
        <is>
          <t>LABORES OPERACIONALES</t>
        </is>
      </c>
      <c r="K791" s="169" t="inlineStr">
        <is>
          <t>OTROS SERVICIOS</t>
        </is>
      </c>
      <c r="L791" s="169" t="inlineStr">
        <is>
          <t>SERV.CONTRATISTA</t>
        </is>
      </c>
      <c r="M791" s="169" t="n"/>
      <c r="N791" s="169" t="inlineStr">
        <is>
          <t>.   .   -</t>
        </is>
      </c>
      <c r="O791" s="169" t="inlineStr">
        <is>
          <t>MAYO</t>
        </is>
      </c>
      <c r="P791" s="169" t="n">
        <v>19</v>
      </c>
      <c r="Q791" s="171" t="n">
        <v>159870</v>
      </c>
      <c r="R791" s="169" t="n"/>
      <c r="S791" s="171" t="n">
        <v>159870</v>
      </c>
      <c r="T791" s="169" t="inlineStr">
        <is>
          <t>CLP</t>
        </is>
      </c>
      <c r="U791" s="169" t="inlineStr">
        <is>
          <t>Carga LH 18-06-26</t>
        </is>
      </c>
      <c r="V791" s="169" t="inlineStr">
        <is>
          <t>2026-06-18</t>
        </is>
      </c>
    </row>
    <row r="792">
      <c r="A792" s="169" t="inlineStr">
        <is>
          <t>CR-0789</t>
        </is>
      </c>
      <c r="B792" s="169" t="inlineStr">
        <is>
          <t>2026/27</t>
        </is>
      </c>
      <c r="C792" s="231" t="n">
        <v>46161</v>
      </c>
      <c r="D792" s="169" t="inlineStr">
        <is>
          <t>636</t>
        </is>
      </c>
      <c r="E792" s="169" t="inlineStr">
        <is>
          <t>COMPRA</t>
        </is>
      </c>
      <c r="F792" s="169" t="inlineStr">
        <is>
          <t>El Molle</t>
        </is>
      </c>
      <c r="G792" s="169" t="inlineStr">
        <is>
          <t>ARRUFATINA - 2017 (5,74 Ha.)</t>
        </is>
      </c>
      <c r="H792" s="169" t="n"/>
      <c r="I792" s="169" t="n"/>
      <c r="J792" s="169" t="inlineStr">
        <is>
          <t>LABORES OPERACIONALES</t>
        </is>
      </c>
      <c r="K792" s="169" t="inlineStr">
        <is>
          <t>OTROS SERVICIOS</t>
        </is>
      </c>
      <c r="L792" s="169" t="inlineStr">
        <is>
          <t>SERV.CONTRATISTA</t>
        </is>
      </c>
      <c r="M792" s="169" t="n"/>
      <c r="N792" s="169" t="inlineStr">
        <is>
          <t>.   .   -</t>
        </is>
      </c>
      <c r="O792" s="169" t="inlineStr">
        <is>
          <t>MAYO</t>
        </is>
      </c>
      <c r="P792" s="169" t="n">
        <v>19</v>
      </c>
      <c r="Q792" s="171" t="n">
        <v>270000</v>
      </c>
      <c r="R792" s="169" t="n"/>
      <c r="S792" s="171" t="n">
        <v>270000</v>
      </c>
      <c r="T792" s="169" t="inlineStr">
        <is>
          <t>CLP</t>
        </is>
      </c>
      <c r="U792" s="169" t="inlineStr">
        <is>
          <t>Carga LH 18-06-26</t>
        </is>
      </c>
      <c r="V792" s="169" t="inlineStr">
        <is>
          <t>2026-06-18</t>
        </is>
      </c>
    </row>
    <row r="793">
      <c r="A793" s="169" t="inlineStr">
        <is>
          <t>CR-0790</t>
        </is>
      </c>
      <c r="B793" s="169" t="inlineStr">
        <is>
          <t>2026/27</t>
        </is>
      </c>
      <c r="C793" s="231" t="n">
        <v>46161</v>
      </c>
      <c r="D793" s="169" t="inlineStr">
        <is>
          <t>636</t>
        </is>
      </c>
      <c r="E793" s="169" t="inlineStr">
        <is>
          <t>COMPRA</t>
        </is>
      </c>
      <c r="F793" s="169" t="inlineStr">
        <is>
          <t>El Molle</t>
        </is>
      </c>
      <c r="G793" s="169" t="inlineStr">
        <is>
          <t>ORONULES - 2017 (2,85 Ha.)</t>
        </is>
      </c>
      <c r="H793" s="169" t="n"/>
      <c r="I793" s="169" t="n"/>
      <c r="J793" s="169" t="inlineStr">
        <is>
          <t>LABORES OPERACIONALES</t>
        </is>
      </c>
      <c r="K793" s="169" t="inlineStr">
        <is>
          <t>OTROS SERVICIOS</t>
        </is>
      </c>
      <c r="L793" s="169" t="inlineStr">
        <is>
          <t>SERV.CONTRATISTA</t>
        </is>
      </c>
      <c r="M793" s="169" t="n"/>
      <c r="N793" s="169" t="inlineStr">
        <is>
          <t>.   .   -</t>
        </is>
      </c>
      <c r="O793" s="169" t="inlineStr">
        <is>
          <t>MAYO</t>
        </is>
      </c>
      <c r="P793" s="169" t="n">
        <v>19</v>
      </c>
      <c r="Q793" s="171" t="n">
        <v>90000</v>
      </c>
      <c r="R793" s="169" t="n"/>
      <c r="S793" s="171" t="n">
        <v>90000</v>
      </c>
      <c r="T793" s="169" t="inlineStr">
        <is>
          <t>CLP</t>
        </is>
      </c>
      <c r="U793" s="169" t="inlineStr">
        <is>
          <t>Carga LH 18-06-26</t>
        </is>
      </c>
      <c r="V793" s="169" t="inlineStr">
        <is>
          <t>2026-06-18</t>
        </is>
      </c>
    </row>
    <row r="794">
      <c r="A794" s="169" t="inlineStr">
        <is>
          <t>CR-0791</t>
        </is>
      </c>
      <c r="B794" s="169" t="inlineStr">
        <is>
          <t>2026/27</t>
        </is>
      </c>
      <c r="C794" s="231" t="n">
        <v>46161</v>
      </c>
      <c r="D794" s="169" t="inlineStr">
        <is>
          <t>636</t>
        </is>
      </c>
      <c r="E794" s="169" t="inlineStr">
        <is>
          <t>COMPRA</t>
        </is>
      </c>
      <c r="F794" s="169" t="inlineStr">
        <is>
          <t>Mega Catalina</t>
        </is>
      </c>
      <c r="G794" s="169" t="inlineStr">
        <is>
          <t>ORONULES - 2019 (2,5 Ha.)</t>
        </is>
      </c>
      <c r="H794" s="169" t="n"/>
      <c r="I794" s="169" t="n"/>
      <c r="J794" s="169" t="inlineStr">
        <is>
          <t>LABORES OPERACIONALES</t>
        </is>
      </c>
      <c r="K794" s="169" t="inlineStr">
        <is>
          <t>OTROS SERVICIOS</t>
        </is>
      </c>
      <c r="L794" s="169" t="inlineStr">
        <is>
          <t>SERV.CONTRATISTA</t>
        </is>
      </c>
      <c r="M794" s="169" t="n"/>
      <c r="N794" s="169" t="inlineStr">
        <is>
          <t>.   .   -</t>
        </is>
      </c>
      <c r="O794" s="169" t="inlineStr">
        <is>
          <t>MAYO</t>
        </is>
      </c>
      <c r="P794" s="169" t="n">
        <v>19</v>
      </c>
      <c r="Q794" s="171" t="n">
        <v>90000</v>
      </c>
      <c r="R794" s="169" t="n"/>
      <c r="S794" s="171" t="n">
        <v>90000</v>
      </c>
      <c r="T794" s="169" t="inlineStr">
        <is>
          <t>CLP</t>
        </is>
      </c>
      <c r="U794" s="169" t="inlineStr">
        <is>
          <t>Carga LH 18-06-26</t>
        </is>
      </c>
      <c r="V794" s="169" t="inlineStr">
        <is>
          <t>2026-06-18</t>
        </is>
      </c>
    </row>
    <row r="795">
      <c r="A795" s="169" t="inlineStr">
        <is>
          <t>CR-0792</t>
        </is>
      </c>
      <c r="B795" s="169" t="inlineStr">
        <is>
          <t>2026/27</t>
        </is>
      </c>
      <c r="C795" s="231" t="n">
        <v>46161</v>
      </c>
      <c r="D795" s="169" t="inlineStr">
        <is>
          <t>636</t>
        </is>
      </c>
      <c r="E795" s="169" t="inlineStr">
        <is>
          <t>COMPRA</t>
        </is>
      </c>
      <c r="F795" s="169" t="inlineStr">
        <is>
          <t>El Molle</t>
        </is>
      </c>
      <c r="G795" s="169" t="inlineStr">
        <is>
          <t>OROGRANDE - 2007 (8,11 Ha.)</t>
        </is>
      </c>
      <c r="H795" s="169" t="n"/>
      <c r="I795" s="169" t="n"/>
      <c r="J795" s="169" t="inlineStr">
        <is>
          <t>LABORES OPERACIONALES</t>
        </is>
      </c>
      <c r="K795" s="169" t="inlineStr">
        <is>
          <t>OTROS SERVICIOS</t>
        </is>
      </c>
      <c r="L795" s="169" t="inlineStr">
        <is>
          <t>SERV.CONTRATISTA</t>
        </is>
      </c>
      <c r="M795" s="169" t="n"/>
      <c r="N795" s="169" t="inlineStr">
        <is>
          <t>.   .   -</t>
        </is>
      </c>
      <c r="O795" s="169" t="inlineStr">
        <is>
          <t>MAYO</t>
        </is>
      </c>
      <c r="P795" s="169" t="n">
        <v>19</v>
      </c>
      <c r="Q795" s="171" t="n">
        <v>270000</v>
      </c>
      <c r="R795" s="169" t="n"/>
      <c r="S795" s="171" t="n">
        <v>270000</v>
      </c>
      <c r="T795" s="169" t="inlineStr">
        <is>
          <t>CLP</t>
        </is>
      </c>
      <c r="U795" s="169" t="inlineStr">
        <is>
          <t>Carga LH 18-06-26</t>
        </is>
      </c>
      <c r="V795" s="169" t="inlineStr">
        <is>
          <t>2026-06-18</t>
        </is>
      </c>
    </row>
    <row r="796">
      <c r="A796" s="169" t="inlineStr">
        <is>
          <t>CR-0793</t>
        </is>
      </c>
      <c r="B796" s="169" t="inlineStr">
        <is>
          <t>2026/27</t>
        </is>
      </c>
      <c r="C796" s="231" t="n">
        <v>46161</v>
      </c>
      <c r="D796" s="169" t="inlineStr">
        <is>
          <t>636</t>
        </is>
      </c>
      <c r="E796" s="169" t="inlineStr">
        <is>
          <t>COMPRA</t>
        </is>
      </c>
      <c r="F796" s="169" t="inlineStr">
        <is>
          <t>El Molle</t>
        </is>
      </c>
      <c r="G796" s="169" t="inlineStr">
        <is>
          <t>WONDERFUL - 2002 (2,80 Ha.)</t>
        </is>
      </c>
      <c r="H796" s="169" t="n"/>
      <c r="I796" s="169" t="n"/>
      <c r="J796" s="169" t="inlineStr">
        <is>
          <t>LABORES OPERACIONALES</t>
        </is>
      </c>
      <c r="K796" s="169" t="inlineStr">
        <is>
          <t>OTROS SERVICIOS</t>
        </is>
      </c>
      <c r="L796" s="169" t="inlineStr">
        <is>
          <t>SERV.CONTRATISTA</t>
        </is>
      </c>
      <c r="M796" s="169" t="n"/>
      <c r="N796" s="169" t="inlineStr">
        <is>
          <t>.   .   -</t>
        </is>
      </c>
      <c r="O796" s="169" t="inlineStr">
        <is>
          <t>MAYO</t>
        </is>
      </c>
      <c r="P796" s="169" t="n">
        <v>19</v>
      </c>
      <c r="Q796" s="171" t="n">
        <v>95000</v>
      </c>
      <c r="R796" s="169" t="n"/>
      <c r="S796" s="171" t="n">
        <v>95000</v>
      </c>
      <c r="T796" s="169" t="inlineStr">
        <is>
          <t>CLP</t>
        </is>
      </c>
      <c r="U796" s="169" t="inlineStr">
        <is>
          <t>Carga LH 18-06-26</t>
        </is>
      </c>
      <c r="V796" s="169" t="inlineStr">
        <is>
          <t>2026-06-18</t>
        </is>
      </c>
    </row>
    <row r="797">
      <c r="A797" s="169" t="inlineStr">
        <is>
          <t>CR-0794</t>
        </is>
      </c>
      <c r="B797" s="169" t="inlineStr">
        <is>
          <t>2026/27</t>
        </is>
      </c>
      <c r="C797" s="231" t="n">
        <v>46161</v>
      </c>
      <c r="D797" s="169" t="inlineStr">
        <is>
          <t>636</t>
        </is>
      </c>
      <c r="E797" s="169" t="inlineStr">
        <is>
          <t>COMPRA</t>
        </is>
      </c>
      <c r="F797" s="169" t="inlineStr">
        <is>
          <t>El Molle</t>
        </is>
      </c>
      <c r="G797" s="169" t="inlineStr">
        <is>
          <t>WONDERFUL - 2007 (2,44 Ha.)</t>
        </is>
      </c>
      <c r="H797" s="169" t="n"/>
      <c r="I797" s="169" t="n"/>
      <c r="J797" s="169" t="inlineStr">
        <is>
          <t>LABORES OPERACIONALES</t>
        </is>
      </c>
      <c r="K797" s="169" t="inlineStr">
        <is>
          <t>OTROS SERVICIOS</t>
        </is>
      </c>
      <c r="L797" s="169" t="inlineStr">
        <is>
          <t>SERV.CONTRATISTA</t>
        </is>
      </c>
      <c r="M797" s="169" t="n"/>
      <c r="N797" s="169" t="inlineStr">
        <is>
          <t>.   .   -</t>
        </is>
      </c>
      <c r="O797" s="169" t="inlineStr">
        <is>
          <t>MAYO</t>
        </is>
      </c>
      <c r="P797" s="169" t="n">
        <v>19</v>
      </c>
      <c r="Q797" s="171" t="n">
        <v>85000</v>
      </c>
      <c r="R797" s="169" t="n"/>
      <c r="S797" s="171" t="n">
        <v>85000</v>
      </c>
      <c r="T797" s="169" t="inlineStr">
        <is>
          <t>CLP</t>
        </is>
      </c>
      <c r="U797" s="169" t="inlineStr">
        <is>
          <t>Carga LH 18-06-26</t>
        </is>
      </c>
      <c r="V797" s="169" t="inlineStr">
        <is>
          <t>2026-06-18</t>
        </is>
      </c>
    </row>
    <row r="798">
      <c r="A798" s="169" t="inlineStr">
        <is>
          <t>CR-0795</t>
        </is>
      </c>
      <c r="B798" s="169" t="inlineStr">
        <is>
          <t>2026/27</t>
        </is>
      </c>
      <c r="C798" s="231" t="n">
        <v>46161</v>
      </c>
      <c r="D798" s="169" t="inlineStr">
        <is>
          <t>182</t>
        </is>
      </c>
      <c r="E798" s="169" t="inlineStr">
        <is>
          <t>COMPRA</t>
        </is>
      </c>
      <c r="F798" s="169" t="inlineStr">
        <is>
          <t>Mega Catalina</t>
        </is>
      </c>
      <c r="G798" s="169" t="inlineStr">
        <is>
          <t>MURCOTT - 2007 (21 Ha.)</t>
        </is>
      </c>
      <c r="H798" s="169" t="n"/>
      <c r="I798" s="169" t="n"/>
      <c r="J798" s="169" t="inlineStr">
        <is>
          <t>LABORES OPERACIONALES</t>
        </is>
      </c>
      <c r="K798" s="169" t="inlineStr">
        <is>
          <t>LABORES VARIAS</t>
        </is>
      </c>
      <c r="L798" s="169" t="inlineStr">
        <is>
          <t>SERV.CONTRATISTA</t>
        </is>
      </c>
      <c r="M798" s="169" t="n"/>
      <c r="N798" s="169" t="inlineStr">
        <is>
          <t>.   .   -</t>
        </is>
      </c>
      <c r="O798" s="169" t="inlineStr">
        <is>
          <t>MAYO</t>
        </is>
      </c>
      <c r="P798" s="169" t="n">
        <v>19</v>
      </c>
      <c r="Q798" s="171" t="n">
        <v>1347500</v>
      </c>
      <c r="R798" s="169" t="n"/>
      <c r="S798" s="171" t="n">
        <v>1347500</v>
      </c>
      <c r="T798" s="169" t="inlineStr">
        <is>
          <t>CLP</t>
        </is>
      </c>
      <c r="U798" s="169" t="inlineStr">
        <is>
          <t>Carga LH 18-06-26</t>
        </is>
      </c>
      <c r="V798" s="169" t="inlineStr">
        <is>
          <t>2026-06-18</t>
        </is>
      </c>
    </row>
    <row r="799">
      <c r="A799" s="169" t="inlineStr">
        <is>
          <t>CR-0796</t>
        </is>
      </c>
      <c r="B799" s="169" t="inlineStr">
        <is>
          <t>2026/27</t>
        </is>
      </c>
      <c r="C799" s="231" t="n">
        <v>46161</v>
      </c>
      <c r="D799" s="169" t="inlineStr">
        <is>
          <t>87</t>
        </is>
      </c>
      <c r="E799" s="169" t="inlineStr">
        <is>
          <t>COMPRA</t>
        </is>
      </c>
      <c r="F799" s="169" t="inlineStr">
        <is>
          <t>El Molle</t>
        </is>
      </c>
      <c r="G799" s="169" t="inlineStr">
        <is>
          <t>ORONULES - 2017 (2,85 Ha.)</t>
        </is>
      </c>
      <c r="H799" s="169" t="n"/>
      <c r="I799" s="169" t="n"/>
      <c r="J799" s="169" t="inlineStr">
        <is>
          <t>MANO DE OBRA CONTRATISTA</t>
        </is>
      </c>
      <c r="K799" s="169" t="inlineStr">
        <is>
          <t>M.O. CONTRATISTA</t>
        </is>
      </c>
      <c r="L799" s="169" t="inlineStr">
        <is>
          <t>O/001690 M.O. CONTR</t>
        </is>
      </c>
      <c r="M799" s="169" t="n"/>
      <c r="N799" s="169" t="inlineStr">
        <is>
          <t>.   .   -</t>
        </is>
      </c>
      <c r="O799" s="169" t="inlineStr">
        <is>
          <t>MAYO</t>
        </is>
      </c>
      <c r="P799" s="169" t="n">
        <v>19</v>
      </c>
      <c r="Q799" s="171" t="n">
        <v>1866605</v>
      </c>
      <c r="R799" s="169" t="n"/>
      <c r="S799" s="171" t="n">
        <v>1866605</v>
      </c>
      <c r="T799" s="169" t="inlineStr">
        <is>
          <t>CLP</t>
        </is>
      </c>
      <c r="U799" s="169" t="inlineStr">
        <is>
          <t>Carga LH 18-06-26</t>
        </is>
      </c>
      <c r="V799" s="169" t="inlineStr">
        <is>
          <t>2026-06-18</t>
        </is>
      </c>
    </row>
    <row r="800">
      <c r="A800" s="169" t="inlineStr">
        <is>
          <t>CR-0797</t>
        </is>
      </c>
      <c r="B800" s="169" t="inlineStr">
        <is>
          <t>2026/27</t>
        </is>
      </c>
      <c r="C800" s="231" t="n">
        <v>46161</v>
      </c>
      <c r="D800" s="169" t="inlineStr">
        <is>
          <t>4</t>
        </is>
      </c>
      <c r="E800" s="169" t="inlineStr">
        <is>
          <t>COMPRA</t>
        </is>
      </c>
      <c r="F800" s="169" t="inlineStr">
        <is>
          <t>El Molle</t>
        </is>
      </c>
      <c r="G800" s="169" t="inlineStr">
        <is>
          <t>ORONULES - 2017 (2,85 Ha.)</t>
        </is>
      </c>
      <c r="H800" s="169" t="n"/>
      <c r="I800" s="169" t="n"/>
      <c r="J800" s="169" t="inlineStr">
        <is>
          <t>MANO DE OBRA CONTRATISTA</t>
        </is>
      </c>
      <c r="K800" s="169" t="inlineStr">
        <is>
          <t>M.O. CONTRATISTA</t>
        </is>
      </c>
      <c r="L800" s="169" t="inlineStr">
        <is>
          <t>O/001690 M.O. CONTR</t>
        </is>
      </c>
      <c r="M800" s="169" t="n"/>
      <c r="N800" s="169" t="inlineStr">
        <is>
          <t>.   .   -</t>
        </is>
      </c>
      <c r="O800" s="169" t="inlineStr">
        <is>
          <t>MAYO</t>
        </is>
      </c>
      <c r="P800" s="169" t="n">
        <v>19</v>
      </c>
      <c r="Q800" s="171" t="n">
        <v>1866605</v>
      </c>
      <c r="R800" s="169" t="n"/>
      <c r="S800" s="171" t="n">
        <v>1866605</v>
      </c>
      <c r="T800" s="169" t="inlineStr">
        <is>
          <t>CLP</t>
        </is>
      </c>
      <c r="U800" s="169" t="inlineStr">
        <is>
          <t>Carga LH 18-06-26</t>
        </is>
      </c>
      <c r="V800" s="169" t="inlineStr">
        <is>
          <t>2026-06-18</t>
        </is>
      </c>
    </row>
    <row r="801">
      <c r="A801" s="169" t="inlineStr">
        <is>
          <t>CR-0798</t>
        </is>
      </c>
      <c r="B801" s="169" t="inlineStr">
        <is>
          <t>2026/27</t>
        </is>
      </c>
      <c r="C801" s="231" t="n">
        <v>46161</v>
      </c>
      <c r="D801" s="169" t="inlineStr">
        <is>
          <t>416</t>
        </is>
      </c>
      <c r="E801" s="169" t="inlineStr">
        <is>
          <t>COMPRA</t>
        </is>
      </c>
      <c r="F801" s="169" t="inlineStr">
        <is>
          <t>Mega Catalina</t>
        </is>
      </c>
      <c r="G801" s="169" t="inlineStr">
        <is>
          <t>EUREKA - 1999 (22,5 Ha.)</t>
        </is>
      </c>
      <c r="H801" s="169" t="n"/>
      <c r="I801" s="169" t="n"/>
      <c r="J801" s="169" t="inlineStr">
        <is>
          <t>MANT. Y REP. EQUI. RIEGO</t>
        </is>
      </c>
      <c r="K801" s="169" t="inlineStr">
        <is>
          <t>SALAS DE RIEGO</t>
        </is>
      </c>
      <c r="L801" s="169" t="inlineStr">
        <is>
          <t>O/001691 MANTENCION</t>
        </is>
      </c>
      <c r="M801" s="169" t="n"/>
      <c r="N801" s="169" t="inlineStr">
        <is>
          <t>.   .   -</t>
        </is>
      </c>
      <c r="O801" s="169" t="inlineStr">
        <is>
          <t>MAYO</t>
        </is>
      </c>
      <c r="P801" s="169" t="n">
        <v>19</v>
      </c>
      <c r="Q801" s="171" t="n">
        <v>150000</v>
      </c>
      <c r="R801" s="169" t="n"/>
      <c r="S801" s="171" t="n">
        <v>150000</v>
      </c>
      <c r="T801" s="169" t="inlineStr">
        <is>
          <t>CLP</t>
        </is>
      </c>
      <c r="U801" s="169" t="inlineStr">
        <is>
          <t>Carga LH 18-06-26</t>
        </is>
      </c>
      <c r="V801" s="169" t="inlineStr">
        <is>
          <t>2026-06-18</t>
        </is>
      </c>
    </row>
    <row r="802">
      <c r="A802" s="169" t="inlineStr">
        <is>
          <t>CR-0799</t>
        </is>
      </c>
      <c r="B802" s="169" t="inlineStr">
        <is>
          <t>2026/27</t>
        </is>
      </c>
      <c r="C802" s="231" t="n">
        <v>46162</v>
      </c>
      <c r="D802" s="169" t="inlineStr">
        <is>
          <t>496172</t>
        </is>
      </c>
      <c r="E802" s="169" t="inlineStr">
        <is>
          <t>COMPRA</t>
        </is>
      </c>
      <c r="F802" s="169" t="inlineStr">
        <is>
          <t>Mega Catalina</t>
        </is>
      </c>
      <c r="G802" s="169" t="inlineStr">
        <is>
          <t>MURCOTT - 2007 (21 Ha.)</t>
        </is>
      </c>
      <c r="H802" s="169" t="n"/>
      <c r="I802" s="169" t="n"/>
      <c r="J802" s="169" t="inlineStr">
        <is>
          <t>COMBUSTIBLE</t>
        </is>
      </c>
      <c r="K802" s="169" t="inlineStr">
        <is>
          <t>SCTA. MOTO KAWASAKI</t>
        </is>
      </c>
      <c r="L802" s="169" t="inlineStr">
        <is>
          <t>O/001693 GASOLINA 9</t>
        </is>
      </c>
      <c r="M802" s="169" t="n"/>
      <c r="N802" s="169" t="inlineStr">
        <is>
          <t>.   .   -</t>
        </is>
      </c>
      <c r="O802" s="169" t="inlineStr">
        <is>
          <t>MAYO</t>
        </is>
      </c>
      <c r="P802" s="169" t="n">
        <v>19</v>
      </c>
      <c r="Q802" s="171" t="n">
        <v>21757</v>
      </c>
      <c r="R802" s="169" t="n"/>
      <c r="S802" s="171" t="n">
        <v>21757</v>
      </c>
      <c r="T802" s="169" t="inlineStr">
        <is>
          <t>CLP</t>
        </is>
      </c>
      <c r="U802" s="169" t="inlineStr">
        <is>
          <t>Carga LH 18-06-26</t>
        </is>
      </c>
      <c r="V802" s="169" t="inlineStr">
        <is>
          <t>2026-06-18</t>
        </is>
      </c>
    </row>
    <row r="803">
      <c r="A803" s="169" t="inlineStr">
        <is>
          <t>CR-0800</t>
        </is>
      </c>
      <c r="B803" s="169" t="inlineStr">
        <is>
          <t>2026/27</t>
        </is>
      </c>
      <c r="C803" s="231" t="n">
        <v>46162</v>
      </c>
      <c r="D803" s="169" t="inlineStr">
        <is>
          <t>6363</t>
        </is>
      </c>
      <c r="E803" s="169" t="inlineStr">
        <is>
          <t>COMPRA</t>
        </is>
      </c>
      <c r="F803" s="169" t="inlineStr">
        <is>
          <t>Mega Catalina</t>
        </is>
      </c>
      <c r="G803" s="169" t="inlineStr">
        <is>
          <t>EUREKA - 1999 (22,5 Ha.)</t>
        </is>
      </c>
      <c r="H803" s="169" t="n"/>
      <c r="I803" s="169" t="n"/>
      <c r="J803" s="169" t="inlineStr">
        <is>
          <t>ASESORIAS</t>
        </is>
      </c>
      <c r="K803" s="169" t="inlineStr">
        <is>
          <t>CONTROL PLAGA</t>
        </is>
      </c>
      <c r="L803" s="169" t="inlineStr">
        <is>
          <t>O/001694 CONTROL PL</t>
        </is>
      </c>
      <c r="M803" s="169" t="n"/>
      <c r="N803" s="169" t="inlineStr">
        <is>
          <t>.   .   -</t>
        </is>
      </c>
      <c r="O803" s="169" t="inlineStr">
        <is>
          <t>MAYO</t>
        </is>
      </c>
      <c r="P803" s="169" t="n">
        <v>19</v>
      </c>
      <c r="Q803" s="171" t="n">
        <v>22828</v>
      </c>
      <c r="R803" s="169" t="n"/>
      <c r="S803" s="171" t="n">
        <v>22828</v>
      </c>
      <c r="T803" s="169" t="inlineStr">
        <is>
          <t>CLP</t>
        </is>
      </c>
      <c r="U803" s="169" t="inlineStr">
        <is>
          <t>Carga LH 18-06-26</t>
        </is>
      </c>
      <c r="V803" s="169" t="inlineStr">
        <is>
          <t>2026-06-18</t>
        </is>
      </c>
    </row>
    <row r="804">
      <c r="A804" s="169" t="inlineStr">
        <is>
          <t>CR-0801</t>
        </is>
      </c>
      <c r="B804" s="169" t="inlineStr">
        <is>
          <t>2026/27</t>
        </is>
      </c>
      <c r="C804" s="231" t="n">
        <v>46162</v>
      </c>
      <c r="D804" s="169" t="inlineStr">
        <is>
          <t>6363</t>
        </is>
      </c>
      <c r="E804" s="169" t="inlineStr">
        <is>
          <t>COMPRA</t>
        </is>
      </c>
      <c r="F804" s="169" t="inlineStr">
        <is>
          <t>Mega Catalina</t>
        </is>
      </c>
      <c r="G804" s="169" t="inlineStr">
        <is>
          <t>EUREKA - 1999 (10,6 Ha.)</t>
        </is>
      </c>
      <c r="H804" s="169" t="n"/>
      <c r="I804" s="169" t="n"/>
      <c r="J804" s="169" t="inlineStr">
        <is>
          <t>ASESORIAS</t>
        </is>
      </c>
      <c r="K804" s="169" t="inlineStr">
        <is>
          <t>CONTROL PLAGA</t>
        </is>
      </c>
      <c r="L804" s="169" t="inlineStr">
        <is>
          <t>O/001694 CONTROL PL</t>
        </is>
      </c>
      <c r="M804" s="169" t="n"/>
      <c r="N804" s="169" t="inlineStr">
        <is>
          <t>.   .   -</t>
        </is>
      </c>
      <c r="O804" s="169" t="inlineStr">
        <is>
          <t>MAYO</t>
        </is>
      </c>
      <c r="P804" s="169" t="n">
        <v>19</v>
      </c>
      <c r="Q804" s="171" t="n">
        <v>15016</v>
      </c>
      <c r="R804" s="169" t="n"/>
      <c r="S804" s="171" t="n">
        <v>15016</v>
      </c>
      <c r="T804" s="169" t="inlineStr">
        <is>
          <t>CLP</t>
        </is>
      </c>
      <c r="U804" s="169" t="inlineStr">
        <is>
          <t>Carga LH 18-06-26</t>
        </is>
      </c>
      <c r="V804" s="169" t="inlineStr">
        <is>
          <t>2026-06-18</t>
        </is>
      </c>
    </row>
    <row r="805">
      <c r="A805" s="169" t="inlineStr">
        <is>
          <t>CR-0802</t>
        </is>
      </c>
      <c r="B805" s="169" t="inlineStr">
        <is>
          <t>2026/27</t>
        </is>
      </c>
      <c r="C805" s="231" t="n">
        <v>46162</v>
      </c>
      <c r="D805" s="169" t="inlineStr">
        <is>
          <t>6363</t>
        </is>
      </c>
      <c r="E805" s="169" t="inlineStr">
        <is>
          <t>COMPRA</t>
        </is>
      </c>
      <c r="F805" s="169" t="inlineStr">
        <is>
          <t>Mega Catalina</t>
        </is>
      </c>
      <c r="G805" s="169" t="inlineStr">
        <is>
          <t>EUREKA - 2016 (14,4 Ha.)</t>
        </is>
      </c>
      <c r="H805" s="169" t="n"/>
      <c r="I805" s="169" t="n"/>
      <c r="J805" s="169" t="inlineStr">
        <is>
          <t>ASESORIAS</t>
        </is>
      </c>
      <c r="K805" s="169" t="inlineStr">
        <is>
          <t>CONTROL PLAGA</t>
        </is>
      </c>
      <c r="L805" s="169" t="inlineStr">
        <is>
          <t>O/001694 CONTROL PL</t>
        </is>
      </c>
      <c r="M805" s="169" t="n"/>
      <c r="N805" s="169" t="inlineStr">
        <is>
          <t>.   .   -</t>
        </is>
      </c>
      <c r="O805" s="169" t="inlineStr">
        <is>
          <t>MAYO</t>
        </is>
      </c>
      <c r="P805" s="169" t="n">
        <v>19</v>
      </c>
      <c r="Q805" s="171" t="n">
        <v>14610</v>
      </c>
      <c r="R805" s="169" t="n"/>
      <c r="S805" s="171" t="n">
        <v>14610</v>
      </c>
      <c r="T805" s="169" t="inlineStr">
        <is>
          <t>CLP</t>
        </is>
      </c>
      <c r="U805" s="169" t="inlineStr">
        <is>
          <t>Carga LH 18-06-26</t>
        </is>
      </c>
      <c r="V805" s="169" t="inlineStr">
        <is>
          <t>2026-06-18</t>
        </is>
      </c>
    </row>
    <row r="806">
      <c r="A806" s="169" t="inlineStr">
        <is>
          <t>CR-0803</t>
        </is>
      </c>
      <c r="B806" s="169" t="inlineStr">
        <is>
          <t>2026/27</t>
        </is>
      </c>
      <c r="C806" s="231" t="n">
        <v>46162</v>
      </c>
      <c r="D806" s="169" t="inlineStr">
        <is>
          <t>6363</t>
        </is>
      </c>
      <c r="E806" s="169" t="inlineStr">
        <is>
          <t>COMPRA</t>
        </is>
      </c>
      <c r="F806" s="169" t="inlineStr">
        <is>
          <t>Mega Catalina</t>
        </is>
      </c>
      <c r="G806" s="169" t="inlineStr">
        <is>
          <t>FINO 49 - 1999 (7,7 Ha.)</t>
        </is>
      </c>
      <c r="H806" s="169" t="n"/>
      <c r="I806" s="169" t="n"/>
      <c r="J806" s="169" t="inlineStr">
        <is>
          <t>ASESORIAS</t>
        </is>
      </c>
      <c r="K806" s="169" t="inlineStr">
        <is>
          <t>CONTROL PLAGA</t>
        </is>
      </c>
      <c r="L806" s="169" t="inlineStr">
        <is>
          <t>O/001694 CONTROL PL</t>
        </is>
      </c>
      <c r="M806" s="169" t="n"/>
      <c r="N806" s="169" t="inlineStr">
        <is>
          <t>.   .   -</t>
        </is>
      </c>
      <c r="O806" s="169" t="inlineStr">
        <is>
          <t>MAYO</t>
        </is>
      </c>
      <c r="P806" s="169" t="n">
        <v>19</v>
      </c>
      <c r="Q806" s="171" t="n">
        <v>7812</v>
      </c>
      <c r="R806" s="169" t="n"/>
      <c r="S806" s="171" t="n">
        <v>7812</v>
      </c>
      <c r="T806" s="169" t="inlineStr">
        <is>
          <t>CLP</t>
        </is>
      </c>
      <c r="U806" s="169" t="inlineStr">
        <is>
          <t>Carga LH 18-06-26</t>
        </is>
      </c>
      <c r="V806" s="169" t="inlineStr">
        <is>
          <t>2026-06-18</t>
        </is>
      </c>
    </row>
    <row r="807">
      <c r="A807" s="169" t="inlineStr">
        <is>
          <t>CR-0804</t>
        </is>
      </c>
      <c r="B807" s="169" t="inlineStr">
        <is>
          <t>2026/27</t>
        </is>
      </c>
      <c r="C807" s="231" t="n">
        <v>46162</v>
      </c>
      <c r="D807" s="169" t="inlineStr">
        <is>
          <t>6363</t>
        </is>
      </c>
      <c r="E807" s="169" t="inlineStr">
        <is>
          <t>COMPRA</t>
        </is>
      </c>
      <c r="F807" s="169" t="inlineStr">
        <is>
          <t>Mega Catalina</t>
        </is>
      </c>
      <c r="G807" s="169" t="inlineStr">
        <is>
          <t>NARANJA CAMBRIA - 2009 (4,2 Ha.)</t>
        </is>
      </c>
      <c r="H807" s="169" t="n"/>
      <c r="I807" s="169" t="n"/>
      <c r="J807" s="169" t="inlineStr">
        <is>
          <t>ASESORIAS</t>
        </is>
      </c>
      <c r="K807" s="169" t="inlineStr">
        <is>
          <t>CONTROL PLAGA</t>
        </is>
      </c>
      <c r="L807" s="169" t="inlineStr">
        <is>
          <t>O/001694 CONTROL PL</t>
        </is>
      </c>
      <c r="M807" s="169" t="n"/>
      <c r="N807" s="169" t="inlineStr">
        <is>
          <t>.   .   -</t>
        </is>
      </c>
      <c r="O807" s="169" t="inlineStr">
        <is>
          <t>MAYO</t>
        </is>
      </c>
      <c r="P807" s="169" t="n">
        <v>19</v>
      </c>
      <c r="Q807" s="171" t="n">
        <v>4261</v>
      </c>
      <c r="R807" s="169" t="n"/>
      <c r="S807" s="171" t="n">
        <v>4261</v>
      </c>
      <c r="T807" s="169" t="inlineStr">
        <is>
          <t>CLP</t>
        </is>
      </c>
      <c r="U807" s="169" t="inlineStr">
        <is>
          <t>Carga LH 18-06-26</t>
        </is>
      </c>
      <c r="V807" s="169" t="inlineStr">
        <is>
          <t>2026-06-18</t>
        </is>
      </c>
    </row>
    <row r="808">
      <c r="A808" s="169" t="inlineStr">
        <is>
          <t>CR-0805</t>
        </is>
      </c>
      <c r="B808" s="169" t="inlineStr">
        <is>
          <t>2026/27</t>
        </is>
      </c>
      <c r="C808" s="231" t="n">
        <v>46162</v>
      </c>
      <c r="D808" s="169" t="inlineStr">
        <is>
          <t>6363</t>
        </is>
      </c>
      <c r="E808" s="169" t="inlineStr">
        <is>
          <t>COMPRA</t>
        </is>
      </c>
      <c r="F808" s="169" t="inlineStr">
        <is>
          <t>Mega Catalina</t>
        </is>
      </c>
      <c r="G808" s="169" t="inlineStr">
        <is>
          <t>MURCOTT - 2007 (21 Ha.)</t>
        </is>
      </c>
      <c r="H808" s="169" t="n"/>
      <c r="I808" s="169" t="n"/>
      <c r="J808" s="169" t="inlineStr">
        <is>
          <t>ASESORIAS</t>
        </is>
      </c>
      <c r="K808" s="169" t="inlineStr">
        <is>
          <t>CONTROL PLAGA</t>
        </is>
      </c>
      <c r="L808" s="169" t="inlineStr">
        <is>
          <t>O/001694 CONTROL PL</t>
        </is>
      </c>
      <c r="M808" s="169" t="n"/>
      <c r="N808" s="169" t="inlineStr">
        <is>
          <t>.   .   -</t>
        </is>
      </c>
      <c r="O808" s="169" t="inlineStr">
        <is>
          <t>MAYO</t>
        </is>
      </c>
      <c r="P808" s="169" t="n">
        <v>19</v>
      </c>
      <c r="Q808" s="171" t="n">
        <v>21306</v>
      </c>
      <c r="R808" s="169" t="n"/>
      <c r="S808" s="171" t="n">
        <v>21306</v>
      </c>
      <c r="T808" s="169" t="inlineStr">
        <is>
          <t>CLP</t>
        </is>
      </c>
      <c r="U808" s="169" t="inlineStr">
        <is>
          <t>Carga LH 18-06-26</t>
        </is>
      </c>
      <c r="V808" s="169" t="inlineStr">
        <is>
          <t>2026-06-18</t>
        </is>
      </c>
    </row>
    <row r="809">
      <c r="A809" s="169" t="inlineStr">
        <is>
          <t>CR-0806</t>
        </is>
      </c>
      <c r="B809" s="169" t="inlineStr">
        <is>
          <t>2026/27</t>
        </is>
      </c>
      <c r="C809" s="231" t="n">
        <v>46162</v>
      </c>
      <c r="D809" s="169" t="inlineStr">
        <is>
          <t>6363</t>
        </is>
      </c>
      <c r="E809" s="169" t="inlineStr">
        <is>
          <t>COMPRA</t>
        </is>
      </c>
      <c r="F809" s="169" t="inlineStr">
        <is>
          <t>El Molle</t>
        </is>
      </c>
      <c r="G809" s="169" t="inlineStr">
        <is>
          <t>ARRUFATINA - 2017 (5,74 Ha.)</t>
        </is>
      </c>
      <c r="H809" s="169" t="n"/>
      <c r="I809" s="169" t="n"/>
      <c r="J809" s="169" t="inlineStr">
        <is>
          <t>ASESORIAS</t>
        </is>
      </c>
      <c r="K809" s="169" t="inlineStr">
        <is>
          <t>CONTROL PLAGA</t>
        </is>
      </c>
      <c r="L809" s="169" t="inlineStr">
        <is>
          <t>O/001694 CONTROL PL</t>
        </is>
      </c>
      <c r="M809" s="169" t="n"/>
      <c r="N809" s="169" t="inlineStr">
        <is>
          <t>.   .   -</t>
        </is>
      </c>
      <c r="O809" s="169" t="inlineStr">
        <is>
          <t>MAYO</t>
        </is>
      </c>
      <c r="P809" s="169" t="n">
        <v>19</v>
      </c>
      <c r="Q809" s="171" t="n">
        <v>16127</v>
      </c>
      <c r="R809" s="169" t="n"/>
      <c r="S809" s="171" t="n">
        <v>16127</v>
      </c>
      <c r="T809" s="169" t="inlineStr">
        <is>
          <t>CLP</t>
        </is>
      </c>
      <c r="U809" s="169" t="inlineStr">
        <is>
          <t>Carga LH 18-06-26</t>
        </is>
      </c>
      <c r="V809" s="169" t="inlineStr">
        <is>
          <t>2026-06-18</t>
        </is>
      </c>
    </row>
    <row r="810">
      <c r="A810" s="169" t="inlineStr">
        <is>
          <t>CR-0807</t>
        </is>
      </c>
      <c r="B810" s="169" t="inlineStr">
        <is>
          <t>2026/27</t>
        </is>
      </c>
      <c r="C810" s="231" t="n">
        <v>46162</v>
      </c>
      <c r="D810" s="169" t="inlineStr">
        <is>
          <t>6363</t>
        </is>
      </c>
      <c r="E810" s="169" t="inlineStr">
        <is>
          <t>COMPRA</t>
        </is>
      </c>
      <c r="F810" s="169" t="inlineStr">
        <is>
          <t>El Molle</t>
        </is>
      </c>
      <c r="G810" s="169" t="inlineStr">
        <is>
          <t>ORONULES - 2017 (2,85 Ha.)</t>
        </is>
      </c>
      <c r="H810" s="169" t="n"/>
      <c r="I810" s="169" t="n"/>
      <c r="J810" s="169" t="inlineStr">
        <is>
          <t>ASESORIAS</t>
        </is>
      </c>
      <c r="K810" s="169" t="inlineStr">
        <is>
          <t>CONTROL PLAGA</t>
        </is>
      </c>
      <c r="L810" s="169" t="inlineStr">
        <is>
          <t>O/001694 CONTROL PL</t>
        </is>
      </c>
      <c r="M810" s="169" t="n"/>
      <c r="N810" s="169" t="inlineStr">
        <is>
          <t>.   .   -</t>
        </is>
      </c>
      <c r="O810" s="169" t="inlineStr">
        <is>
          <t>MAYO</t>
        </is>
      </c>
      <c r="P810" s="169" t="n">
        <v>19</v>
      </c>
      <c r="Q810" s="171" t="n">
        <v>8007</v>
      </c>
      <c r="R810" s="169" t="n"/>
      <c r="S810" s="171" t="n">
        <v>8007</v>
      </c>
      <c r="T810" s="169" t="inlineStr">
        <is>
          <t>CLP</t>
        </is>
      </c>
      <c r="U810" s="169" t="inlineStr">
        <is>
          <t>Carga LH 18-06-26</t>
        </is>
      </c>
      <c r="V810" s="169" t="inlineStr">
        <is>
          <t>2026-06-18</t>
        </is>
      </c>
    </row>
    <row r="811">
      <c r="A811" s="169" t="inlineStr">
        <is>
          <t>CR-0808</t>
        </is>
      </c>
      <c r="B811" s="169" t="inlineStr">
        <is>
          <t>2026/27</t>
        </is>
      </c>
      <c r="C811" s="231" t="n">
        <v>46162</v>
      </c>
      <c r="D811" s="169" t="inlineStr">
        <is>
          <t>6363</t>
        </is>
      </c>
      <c r="E811" s="169" t="inlineStr">
        <is>
          <t>COMPRA</t>
        </is>
      </c>
      <c r="F811" s="169" t="inlineStr">
        <is>
          <t>Mega Catalina</t>
        </is>
      </c>
      <c r="G811" s="169" t="inlineStr">
        <is>
          <t>ORONULES - 2019 (2,5 Ha.)</t>
        </is>
      </c>
      <c r="H811" s="169" t="n"/>
      <c r="I811" s="169" t="n"/>
      <c r="J811" s="169" t="inlineStr">
        <is>
          <t>ASESORIAS</t>
        </is>
      </c>
      <c r="K811" s="169" t="inlineStr">
        <is>
          <t>CONTROL PLAGA</t>
        </is>
      </c>
      <c r="L811" s="169" t="inlineStr">
        <is>
          <t>O/001694 CONTROL PL</t>
        </is>
      </c>
      <c r="M811" s="169" t="n"/>
      <c r="N811" s="169" t="inlineStr">
        <is>
          <t>.   .   -</t>
        </is>
      </c>
      <c r="O811" s="169" t="inlineStr">
        <is>
          <t>MAYO</t>
        </is>
      </c>
      <c r="P811" s="169" t="n">
        <v>19</v>
      </c>
      <c r="Q811" s="171" t="n">
        <v>22786</v>
      </c>
      <c r="R811" s="169" t="n"/>
      <c r="S811" s="171" t="n">
        <v>22786</v>
      </c>
      <c r="T811" s="169" t="inlineStr">
        <is>
          <t>CLP</t>
        </is>
      </c>
      <c r="U811" s="169" t="inlineStr">
        <is>
          <t>Carga LH 18-06-26</t>
        </is>
      </c>
      <c r="V811" s="169" t="inlineStr">
        <is>
          <t>2026-06-18</t>
        </is>
      </c>
    </row>
    <row r="812">
      <c r="A812" s="169" t="inlineStr">
        <is>
          <t>CR-0809</t>
        </is>
      </c>
      <c r="B812" s="169" t="inlineStr">
        <is>
          <t>2026/27</t>
        </is>
      </c>
      <c r="C812" s="231" t="n">
        <v>46162</v>
      </c>
      <c r="D812" s="169" t="inlineStr">
        <is>
          <t>6363</t>
        </is>
      </c>
      <c r="E812" s="169" t="inlineStr">
        <is>
          <t>COMPRA</t>
        </is>
      </c>
      <c r="F812" s="169" t="inlineStr">
        <is>
          <t>El Molle</t>
        </is>
      </c>
      <c r="G812" s="169" t="inlineStr">
        <is>
          <t>OROGRANDE - 2007 (8,11 Ha.)</t>
        </is>
      </c>
      <c r="H812" s="169" t="n"/>
      <c r="I812" s="169" t="n"/>
      <c r="J812" s="169" t="inlineStr">
        <is>
          <t>ASESORIAS</t>
        </is>
      </c>
      <c r="K812" s="169" t="inlineStr">
        <is>
          <t>CONTROL PLAGA</t>
        </is>
      </c>
      <c r="L812" s="169" t="inlineStr">
        <is>
          <t>O/001694 CONTROL PL</t>
        </is>
      </c>
      <c r="M812" s="169" t="n"/>
      <c r="N812" s="169" t="inlineStr">
        <is>
          <t>.   .   -</t>
        </is>
      </c>
      <c r="O812" s="169" t="inlineStr">
        <is>
          <t>MAYO</t>
        </is>
      </c>
      <c r="P812" s="169" t="n">
        <v>19</v>
      </c>
      <c r="Q812" s="171" t="n">
        <v>7024</v>
      </c>
      <c r="R812" s="169" t="n"/>
      <c r="S812" s="171" t="n">
        <v>7024</v>
      </c>
      <c r="T812" s="169" t="inlineStr">
        <is>
          <t>CLP</t>
        </is>
      </c>
      <c r="U812" s="169" t="inlineStr">
        <is>
          <t>Carga LH 18-06-26</t>
        </is>
      </c>
      <c r="V812" s="169" t="inlineStr">
        <is>
          <t>2026-06-18</t>
        </is>
      </c>
    </row>
    <row r="813">
      <c r="A813" s="169" t="inlineStr">
        <is>
          <t>CR-0810</t>
        </is>
      </c>
      <c r="B813" s="169" t="inlineStr">
        <is>
          <t>2026/27</t>
        </is>
      </c>
      <c r="C813" s="231" t="n">
        <v>46162</v>
      </c>
      <c r="D813" s="169" t="inlineStr">
        <is>
          <t>6363</t>
        </is>
      </c>
      <c r="E813" s="169" t="inlineStr">
        <is>
          <t>COMPRA</t>
        </is>
      </c>
      <c r="F813" s="169" t="inlineStr">
        <is>
          <t>El Molle</t>
        </is>
      </c>
      <c r="G813" s="169" t="inlineStr">
        <is>
          <t>WONDERFUL - 2002 (2,80 Ha.)</t>
        </is>
      </c>
      <c r="H813" s="169" t="n"/>
      <c r="I813" s="169" t="n"/>
      <c r="J813" s="169" t="inlineStr">
        <is>
          <t>ASESORIAS</t>
        </is>
      </c>
      <c r="K813" s="169" t="inlineStr">
        <is>
          <t>CONTROL PLAGA</t>
        </is>
      </c>
      <c r="L813" s="169" t="inlineStr">
        <is>
          <t>O/001694 CONTROL PL</t>
        </is>
      </c>
      <c r="M813" s="169" t="n"/>
      <c r="N813" s="169" t="inlineStr">
        <is>
          <t>.   .   -</t>
        </is>
      </c>
      <c r="O813" s="169" t="inlineStr">
        <is>
          <t>MAYO</t>
        </is>
      </c>
      <c r="P813" s="169" t="n">
        <v>19</v>
      </c>
      <c r="Q813" s="171" t="n">
        <v>7867</v>
      </c>
      <c r="R813" s="169" t="n"/>
      <c r="S813" s="171" t="n">
        <v>7867</v>
      </c>
      <c r="T813" s="169" t="inlineStr">
        <is>
          <t>CLP</t>
        </is>
      </c>
      <c r="U813" s="169" t="inlineStr">
        <is>
          <t>Carga LH 18-06-26</t>
        </is>
      </c>
      <c r="V813" s="169" t="inlineStr">
        <is>
          <t>2026-06-18</t>
        </is>
      </c>
    </row>
    <row r="814">
      <c r="A814" s="169" t="inlineStr">
        <is>
          <t>CR-0811</t>
        </is>
      </c>
      <c r="B814" s="169" t="inlineStr">
        <is>
          <t>2026/27</t>
        </is>
      </c>
      <c r="C814" s="231" t="n">
        <v>46162</v>
      </c>
      <c r="D814" s="169" t="inlineStr">
        <is>
          <t>6363</t>
        </is>
      </c>
      <c r="E814" s="169" t="inlineStr">
        <is>
          <t>COMPRA</t>
        </is>
      </c>
      <c r="F814" s="169" t="inlineStr">
        <is>
          <t>El Molle</t>
        </is>
      </c>
      <c r="G814" s="169" t="inlineStr">
        <is>
          <t>WONDERFUL - 2007 (2,44 Ha.)</t>
        </is>
      </c>
      <c r="H814" s="169" t="n"/>
      <c r="I814" s="169" t="n"/>
      <c r="J814" s="169" t="inlineStr">
        <is>
          <t>ASESORIAS</t>
        </is>
      </c>
      <c r="K814" s="169" t="inlineStr">
        <is>
          <t>CONTROL PLAGA</t>
        </is>
      </c>
      <c r="L814" s="169" t="inlineStr">
        <is>
          <t>O/001694 CONTROL PL</t>
        </is>
      </c>
      <c r="M814" s="169" t="n"/>
      <c r="N814" s="169" t="inlineStr">
        <is>
          <t>.   .   -</t>
        </is>
      </c>
      <c r="O814" s="169" t="inlineStr">
        <is>
          <t>MAYO</t>
        </is>
      </c>
      <c r="P814" s="169" t="n">
        <v>19</v>
      </c>
      <c r="Q814" s="171" t="n">
        <v>6855</v>
      </c>
      <c r="R814" s="169" t="n"/>
      <c r="S814" s="171" t="n">
        <v>6855</v>
      </c>
      <c r="T814" s="169" t="inlineStr">
        <is>
          <t>CLP</t>
        </is>
      </c>
      <c r="U814" s="169" t="inlineStr">
        <is>
          <t>Carga LH 18-06-26</t>
        </is>
      </c>
      <c r="V814" s="169" t="inlineStr">
        <is>
          <t>2026-06-18</t>
        </is>
      </c>
    </row>
    <row r="815">
      <c r="A815" s="169" t="inlineStr">
        <is>
          <t>CR-0812</t>
        </is>
      </c>
      <c r="B815" s="169" t="inlineStr">
        <is>
          <t>2026/27</t>
        </is>
      </c>
      <c r="C815" s="231" t="n">
        <v>46162</v>
      </c>
      <c r="D815" s="169" t="inlineStr">
        <is>
          <t>6363</t>
        </is>
      </c>
      <c r="E815" s="169" t="inlineStr">
        <is>
          <t>COMPRA</t>
        </is>
      </c>
      <c r="F815" s="169" t="inlineStr">
        <is>
          <t>Mega Catalina</t>
        </is>
      </c>
      <c r="G815" s="169" t="inlineStr">
        <is>
          <t>INJERTO TIMPSON - 2018 (3,8 Ha.)</t>
        </is>
      </c>
      <c r="H815" s="169" t="n"/>
      <c r="I815" s="169" t="n"/>
      <c r="J815" s="169" t="inlineStr">
        <is>
          <t>ASESORIAS</t>
        </is>
      </c>
      <c r="K815" s="169" t="inlineStr">
        <is>
          <t>CONTROL PLAGA</t>
        </is>
      </c>
      <c r="L815" s="169" t="inlineStr">
        <is>
          <t>O/001694 CONTROL PL</t>
        </is>
      </c>
      <c r="M815" s="169" t="n"/>
      <c r="N815" s="169" t="inlineStr">
        <is>
          <t>.   .   -</t>
        </is>
      </c>
      <c r="O815" s="169" t="inlineStr">
        <is>
          <t>MAYO</t>
        </is>
      </c>
      <c r="P815" s="169" t="n">
        <v>19</v>
      </c>
      <c r="Q815" s="171" t="n">
        <v>17235</v>
      </c>
      <c r="R815" s="169" t="n"/>
      <c r="S815" s="171" t="n">
        <v>17235</v>
      </c>
      <c r="T815" s="169" t="inlineStr">
        <is>
          <t>CLP</t>
        </is>
      </c>
      <c r="U815" s="169" t="inlineStr">
        <is>
          <t>Carga LH 18-06-26</t>
        </is>
      </c>
      <c r="V815" s="169" t="inlineStr">
        <is>
          <t>2026-06-18</t>
        </is>
      </c>
    </row>
    <row r="816">
      <c r="A816" s="169" t="inlineStr">
        <is>
          <t>CR-0813</t>
        </is>
      </c>
      <c r="B816" s="169" t="inlineStr">
        <is>
          <t>2026/27</t>
        </is>
      </c>
      <c r="C816" s="231" t="n">
        <v>46162</v>
      </c>
      <c r="D816" s="169" t="inlineStr">
        <is>
          <t>6363</t>
        </is>
      </c>
      <c r="E816" s="169" t="inlineStr">
        <is>
          <t>COMPRA</t>
        </is>
      </c>
      <c r="F816" s="169" t="inlineStr">
        <is>
          <t>Mega Catalina</t>
        </is>
      </c>
      <c r="G816" s="169" t="inlineStr">
        <is>
          <t>INJERTO TIMPSON - 2019 (4,2 Ha.)</t>
        </is>
      </c>
      <c r="H816" s="169" t="n"/>
      <c r="I816" s="169" t="n"/>
      <c r="J816" s="169" t="inlineStr">
        <is>
          <t>ASESORIAS</t>
        </is>
      </c>
      <c r="K816" s="169" t="inlineStr">
        <is>
          <t>CONTROL PLAGA</t>
        </is>
      </c>
      <c r="L816" s="169" t="inlineStr">
        <is>
          <t>O/001694 CONTROL PL</t>
        </is>
      </c>
      <c r="M816" s="169" t="n"/>
      <c r="N816" s="169" t="inlineStr">
        <is>
          <t>.   .   -</t>
        </is>
      </c>
      <c r="O816" s="169" t="inlineStr">
        <is>
          <t>MAYO</t>
        </is>
      </c>
      <c r="P816" s="169" t="n">
        <v>19</v>
      </c>
      <c r="Q816" s="171" t="n">
        <v>19049</v>
      </c>
      <c r="R816" s="169" t="n"/>
      <c r="S816" s="171" t="n">
        <v>19049</v>
      </c>
      <c r="T816" s="169" t="inlineStr">
        <is>
          <t>CLP</t>
        </is>
      </c>
      <c r="U816" s="169" t="inlineStr">
        <is>
          <t>Carga LH 18-06-26</t>
        </is>
      </c>
      <c r="V816" s="169" t="inlineStr">
        <is>
          <t>2026-06-18</t>
        </is>
      </c>
    </row>
    <row r="817">
      <c r="A817" s="169" t="inlineStr">
        <is>
          <t>CR-0814</t>
        </is>
      </c>
      <c r="B817" s="169" t="inlineStr">
        <is>
          <t>2026/27</t>
        </is>
      </c>
      <c r="C817" s="231" t="n">
        <v>46162</v>
      </c>
      <c r="D817" s="169" t="inlineStr">
        <is>
          <t>6363</t>
        </is>
      </c>
      <c r="E817" s="169" t="inlineStr">
        <is>
          <t>COMPRA</t>
        </is>
      </c>
      <c r="F817" s="169" t="inlineStr">
        <is>
          <t>Mega Catalina</t>
        </is>
      </c>
      <c r="G817" s="169" t="inlineStr">
        <is>
          <t>SWEET CELEBRATION - 2015 (7,14 Ha.)</t>
        </is>
      </c>
      <c r="H817" s="169" t="n"/>
      <c r="I817" s="169" t="n"/>
      <c r="J817" s="169" t="inlineStr">
        <is>
          <t>ASESORIAS</t>
        </is>
      </c>
      <c r="K817" s="169" t="inlineStr">
        <is>
          <t>CONTROL PLAGA</t>
        </is>
      </c>
      <c r="L817" s="169" t="inlineStr">
        <is>
          <t>O/001694 CONTROL PL</t>
        </is>
      </c>
      <c r="M817" s="169" t="n"/>
      <c r="N817" s="169" t="inlineStr">
        <is>
          <t>.   .   -</t>
        </is>
      </c>
      <c r="O817" s="169" t="inlineStr">
        <is>
          <t>MAYO</t>
        </is>
      </c>
      <c r="P817" s="169" t="n">
        <v>19</v>
      </c>
      <c r="Q817" s="171" t="n">
        <v>32383</v>
      </c>
      <c r="R817" s="169" t="n"/>
      <c r="S817" s="171" t="n">
        <v>32383</v>
      </c>
      <c r="T817" s="169" t="inlineStr">
        <is>
          <t>CLP</t>
        </is>
      </c>
      <c r="U817" s="169" t="inlineStr">
        <is>
          <t>Carga LH 18-06-26</t>
        </is>
      </c>
      <c r="V817" s="169" t="inlineStr">
        <is>
          <t>2026-06-18</t>
        </is>
      </c>
    </row>
    <row r="818">
      <c r="A818" s="169" t="inlineStr">
        <is>
          <t>CR-0815</t>
        </is>
      </c>
      <c r="B818" s="169" t="inlineStr">
        <is>
          <t>2026/27</t>
        </is>
      </c>
      <c r="C818" s="231" t="n">
        <v>46162</v>
      </c>
      <c r="D818" s="169" t="inlineStr">
        <is>
          <t>6363</t>
        </is>
      </c>
      <c r="E818" s="169" t="inlineStr">
        <is>
          <t>COMPRA</t>
        </is>
      </c>
      <c r="F818" s="169" t="inlineStr">
        <is>
          <t>Asmara</t>
        </is>
      </c>
      <c r="G818" s="169" t="inlineStr">
        <is>
          <t>MURCOTT - 2020 (19,8 Ha.)</t>
        </is>
      </c>
      <c r="H818" s="169" t="n"/>
      <c r="I818" s="169" t="n"/>
      <c r="J818" s="169" t="inlineStr">
        <is>
          <t>ASESORIAS</t>
        </is>
      </c>
      <c r="K818" s="169" t="inlineStr">
        <is>
          <t>CONTROL PLAGA</t>
        </is>
      </c>
      <c r="L818" s="169" t="inlineStr">
        <is>
          <t>O/001694 CONTROL PL</t>
        </is>
      </c>
      <c r="M818" s="169" t="n"/>
      <c r="N818" s="169" t="inlineStr">
        <is>
          <t>.   .   -</t>
        </is>
      </c>
      <c r="O818" s="169" t="inlineStr">
        <is>
          <t>MAYO</t>
        </is>
      </c>
      <c r="P818" s="169" t="n">
        <v>19</v>
      </c>
      <c r="Q818" s="171" t="n">
        <v>55044</v>
      </c>
      <c r="R818" s="169" t="n"/>
      <c r="S818" s="171" t="n">
        <v>55044</v>
      </c>
      <c r="T818" s="169" t="inlineStr">
        <is>
          <t>CLP</t>
        </is>
      </c>
      <c r="U818" s="169" t="inlineStr">
        <is>
          <t>Carga LH 18-06-26</t>
        </is>
      </c>
      <c r="V818" s="169" t="inlineStr">
        <is>
          <t>2026-06-18</t>
        </is>
      </c>
    </row>
    <row r="819">
      <c r="A819" s="169" t="inlineStr">
        <is>
          <t>CR-0816</t>
        </is>
      </c>
      <c r="B819" s="169" t="inlineStr">
        <is>
          <t>2026/27</t>
        </is>
      </c>
      <c r="C819" s="231" t="n">
        <v>46162</v>
      </c>
      <c r="D819" s="169" t="inlineStr">
        <is>
          <t>6363</t>
        </is>
      </c>
      <c r="E819" s="169" t="inlineStr">
        <is>
          <t>COMPRA</t>
        </is>
      </c>
      <c r="F819" s="169" t="inlineStr">
        <is>
          <t>Asmara</t>
        </is>
      </c>
      <c r="G819" s="169" t="inlineStr">
        <is>
          <t>MURCOTT - 2020 (4,9 Ha.)</t>
        </is>
      </c>
      <c r="H819" s="169" t="n"/>
      <c r="I819" s="169" t="n"/>
      <c r="J819" s="169" t="inlineStr">
        <is>
          <t>ASESORIAS</t>
        </is>
      </c>
      <c r="K819" s="169" t="inlineStr">
        <is>
          <t>CONTROL PLAGA</t>
        </is>
      </c>
      <c r="L819" s="169" t="inlineStr">
        <is>
          <t>O/001694 CONTROL PL</t>
        </is>
      </c>
      <c r="M819" s="169" t="n"/>
      <c r="N819" s="169" t="inlineStr">
        <is>
          <t>.   .   -</t>
        </is>
      </c>
      <c r="O819" s="169" t="inlineStr">
        <is>
          <t>MAYO</t>
        </is>
      </c>
      <c r="P819" s="169" t="n">
        <v>19</v>
      </c>
      <c r="Q819" s="171" t="n">
        <v>13622</v>
      </c>
      <c r="R819" s="169" t="n"/>
      <c r="S819" s="171" t="n">
        <v>13622</v>
      </c>
      <c r="T819" s="169" t="inlineStr">
        <is>
          <t>CLP</t>
        </is>
      </c>
      <c r="U819" s="169" t="inlineStr">
        <is>
          <t>Carga LH 18-06-26</t>
        </is>
      </c>
      <c r="V819" s="169" t="inlineStr">
        <is>
          <t>2026-06-18</t>
        </is>
      </c>
    </row>
    <row r="820">
      <c r="A820" s="169" t="inlineStr">
        <is>
          <t>CR-0817</t>
        </is>
      </c>
      <c r="B820" s="169" t="inlineStr">
        <is>
          <t>2026/27</t>
        </is>
      </c>
      <c r="C820" s="231" t="n">
        <v>46162</v>
      </c>
      <c r="D820" s="169" t="inlineStr"/>
      <c r="E820" s="169" t="inlineStr">
        <is>
          <t>COMPRA</t>
        </is>
      </c>
      <c r="F820" s="169" t="inlineStr">
        <is>
          <t>El Molle</t>
        </is>
      </c>
      <c r="G820" s="169" t="inlineStr">
        <is>
          <t>ARRUFATINA - 2017 (5,74 Ha.)</t>
        </is>
      </c>
      <c r="H820" s="169" t="n"/>
      <c r="I820" s="169" t="n"/>
      <c r="J820" s="169" t="inlineStr">
        <is>
          <t>COMBUSTIBLE</t>
        </is>
      </c>
      <c r="K820" s="169" t="inlineStr">
        <is>
          <t>MOLLE GRUA HORQUILLA</t>
        </is>
      </c>
      <c r="L820" s="169" t="inlineStr">
        <is>
          <t>O/001695 GAS ENV. 1</t>
        </is>
      </c>
      <c r="M820" s="169" t="n"/>
      <c r="N820" s="169" t="inlineStr">
        <is>
          <t>.   .   -</t>
        </is>
      </c>
      <c r="O820" s="169" t="inlineStr">
        <is>
          <t>MAYO</t>
        </is>
      </c>
      <c r="P820" s="169" t="n">
        <v>19</v>
      </c>
      <c r="Q820" s="171" t="n">
        <v>13663</v>
      </c>
      <c r="R820" s="169" t="n"/>
      <c r="S820" s="171" t="n">
        <v>13663</v>
      </c>
      <c r="T820" s="169" t="inlineStr">
        <is>
          <t>CLP</t>
        </is>
      </c>
      <c r="U820" s="169" t="inlineStr">
        <is>
          <t>Carga LH 18-06-26</t>
        </is>
      </c>
      <c r="V820" s="169" t="inlineStr">
        <is>
          <t>2026-06-18</t>
        </is>
      </c>
    </row>
    <row r="821">
      <c r="A821" s="169" t="inlineStr">
        <is>
          <t>CR-0818</t>
        </is>
      </c>
      <c r="B821" s="169" t="inlineStr">
        <is>
          <t>2026/27</t>
        </is>
      </c>
      <c r="C821" s="231" t="n">
        <v>46162</v>
      </c>
      <c r="D821" s="169" t="inlineStr"/>
      <c r="E821" s="169" t="inlineStr">
        <is>
          <t>COMPRA</t>
        </is>
      </c>
      <c r="F821" s="169" t="inlineStr">
        <is>
          <t>El Molle</t>
        </is>
      </c>
      <c r="G821" s="169" t="inlineStr">
        <is>
          <t>ORONULES - 2017 (2,85 Ha.)</t>
        </is>
      </c>
      <c r="H821" s="169" t="n"/>
      <c r="I821" s="169" t="n"/>
      <c r="J821" s="169" t="inlineStr">
        <is>
          <t>COMBUSTIBLE</t>
        </is>
      </c>
      <c r="K821" s="169" t="inlineStr">
        <is>
          <t>MOLLE GRUA HORQUILLA</t>
        </is>
      </c>
      <c r="L821" s="169" t="inlineStr">
        <is>
          <t>O/001695 GAS ENV.1</t>
        </is>
      </c>
      <c r="M821" s="169" t="n"/>
      <c r="N821" s="169" t="inlineStr">
        <is>
          <t>.   .   -</t>
        </is>
      </c>
      <c r="O821" s="169" t="inlineStr">
        <is>
          <t>MAYO</t>
        </is>
      </c>
      <c r="P821" s="169" t="n">
        <v>19</v>
      </c>
      <c r="Q821" s="171" t="n">
        <v>6784</v>
      </c>
      <c r="R821" s="169" t="n"/>
      <c r="S821" s="171" t="n">
        <v>6784</v>
      </c>
      <c r="T821" s="169" t="inlineStr">
        <is>
          <t>CLP</t>
        </is>
      </c>
      <c r="U821" s="169" t="inlineStr">
        <is>
          <t>Carga LH 18-06-26</t>
        </is>
      </c>
      <c r="V821" s="169" t="inlineStr">
        <is>
          <t>2026-06-18</t>
        </is>
      </c>
    </row>
    <row r="822">
      <c r="A822" s="169" t="inlineStr">
        <is>
          <t>CR-0819</t>
        </is>
      </c>
      <c r="B822" s="169" t="inlineStr">
        <is>
          <t>2026/27</t>
        </is>
      </c>
      <c r="C822" s="231" t="n">
        <v>46162</v>
      </c>
      <c r="D822" s="169" t="inlineStr"/>
      <c r="E822" s="169" t="inlineStr">
        <is>
          <t>COMPRA</t>
        </is>
      </c>
      <c r="F822" s="169" t="inlineStr">
        <is>
          <t>Mega Catalina</t>
        </is>
      </c>
      <c r="G822" s="169" t="inlineStr">
        <is>
          <t>ORONULES - 2019 (2,5 Ha.)</t>
        </is>
      </c>
      <c r="H822" s="169" t="n"/>
      <c r="I822" s="169" t="n"/>
      <c r="J822" s="169" t="inlineStr">
        <is>
          <t>COMBUSTIBLE</t>
        </is>
      </c>
      <c r="K822" s="169" t="inlineStr">
        <is>
          <t>MOLLE GRUA HORQUILLA</t>
        </is>
      </c>
      <c r="L822" s="169" t="inlineStr">
        <is>
          <t>O/001695 GAS ENV.1</t>
        </is>
      </c>
      <c r="M822" s="169" t="n"/>
      <c r="N822" s="169" t="inlineStr">
        <is>
          <t>.   .   -</t>
        </is>
      </c>
      <c r="O822" s="169" t="inlineStr">
        <is>
          <t>MAYO</t>
        </is>
      </c>
      <c r="P822" s="169" t="n">
        <v>19</v>
      </c>
      <c r="Q822" s="171" t="n">
        <v>5951</v>
      </c>
      <c r="R822" s="169" t="n"/>
      <c r="S822" s="171" t="n">
        <v>5951</v>
      </c>
      <c r="T822" s="169" t="inlineStr">
        <is>
          <t>CLP</t>
        </is>
      </c>
      <c r="U822" s="169" t="inlineStr">
        <is>
          <t>Carga LH 18-06-26</t>
        </is>
      </c>
      <c r="V822" s="169" t="inlineStr">
        <is>
          <t>2026-06-18</t>
        </is>
      </c>
    </row>
    <row r="823">
      <c r="A823" s="169" t="inlineStr">
        <is>
          <t>CR-0820</t>
        </is>
      </c>
      <c r="B823" s="169" t="inlineStr">
        <is>
          <t>2026/27</t>
        </is>
      </c>
      <c r="C823" s="231" t="n">
        <v>46162</v>
      </c>
      <c r="D823" s="169" t="inlineStr"/>
      <c r="E823" s="169" t="inlineStr">
        <is>
          <t>COMPRA</t>
        </is>
      </c>
      <c r="F823" s="169" t="inlineStr">
        <is>
          <t>El Molle</t>
        </is>
      </c>
      <c r="G823" s="169" t="inlineStr">
        <is>
          <t>OROGRANDE - 2007 (8,11 Ha.)</t>
        </is>
      </c>
      <c r="H823" s="169" t="n"/>
      <c r="I823" s="169" t="n"/>
      <c r="J823" s="169" t="inlineStr">
        <is>
          <t>COMBUSTIBLE</t>
        </is>
      </c>
      <c r="K823" s="169" t="inlineStr">
        <is>
          <t>MOLLE GRUA HORQUILLA</t>
        </is>
      </c>
      <c r="L823" s="169" t="inlineStr">
        <is>
          <t>O/001695 GAS ENV.1</t>
        </is>
      </c>
      <c r="M823" s="169" t="n"/>
      <c r="N823" s="169" t="inlineStr">
        <is>
          <t>.   .   -</t>
        </is>
      </c>
      <c r="O823" s="169" t="inlineStr">
        <is>
          <t>MAYO</t>
        </is>
      </c>
      <c r="P823" s="169" t="n">
        <v>19</v>
      </c>
      <c r="Q823" s="171" t="n">
        <v>19303</v>
      </c>
      <c r="R823" s="169" t="n"/>
      <c r="S823" s="171" t="n">
        <v>19303</v>
      </c>
      <c r="T823" s="169" t="inlineStr">
        <is>
          <t>CLP</t>
        </is>
      </c>
      <c r="U823" s="169" t="inlineStr">
        <is>
          <t>Carga LH 18-06-26</t>
        </is>
      </c>
      <c r="V823" s="169" t="inlineStr">
        <is>
          <t>2026-06-18</t>
        </is>
      </c>
    </row>
    <row r="824">
      <c r="A824" s="169" t="inlineStr">
        <is>
          <t>CR-0821</t>
        </is>
      </c>
      <c r="B824" s="169" t="inlineStr">
        <is>
          <t>2026/27</t>
        </is>
      </c>
      <c r="C824" s="231" t="n">
        <v>46162</v>
      </c>
      <c r="D824" s="169" t="inlineStr">
        <is>
          <t>564482</t>
        </is>
      </c>
      <c r="E824" s="169" t="inlineStr">
        <is>
          <t>COMPRA</t>
        </is>
      </c>
      <c r="F824" s="169" t="inlineStr">
        <is>
          <t>El Molle</t>
        </is>
      </c>
      <c r="G824" s="169" t="inlineStr">
        <is>
          <t>ARRUFATINA - 2017 (5,74 Ha.)</t>
        </is>
      </c>
      <c r="H824" s="169" t="n"/>
      <c r="I824" s="169" t="n"/>
      <c r="J824" s="169" t="inlineStr">
        <is>
          <t>COMBUSTIBLE</t>
        </is>
      </c>
      <c r="K824" s="169" t="inlineStr">
        <is>
          <t>MOLLE GRUA HORQUILLA</t>
        </is>
      </c>
      <c r="L824" s="169" t="inlineStr">
        <is>
          <t>O/001696 GAS ENV. 1</t>
        </is>
      </c>
      <c r="M824" s="169" t="n"/>
      <c r="N824" s="169" t="inlineStr">
        <is>
          <t>.   .   -</t>
        </is>
      </c>
      <c r="O824" s="169" t="inlineStr">
        <is>
          <t>MAYO</t>
        </is>
      </c>
      <c r="P824" s="169" t="n">
        <v>19</v>
      </c>
      <c r="Q824" s="171" t="n">
        <v>45701</v>
      </c>
      <c r="R824" s="169" t="n"/>
      <c r="S824" s="171" t="n">
        <v>45701</v>
      </c>
      <c r="T824" s="169" t="inlineStr">
        <is>
          <t>CLP</t>
        </is>
      </c>
      <c r="U824" s="169" t="inlineStr">
        <is>
          <t>Carga LH 18-06-26</t>
        </is>
      </c>
      <c r="V824" s="169" t="inlineStr">
        <is>
          <t>2026-06-18</t>
        </is>
      </c>
    </row>
    <row r="825">
      <c r="A825" s="169" t="inlineStr">
        <is>
          <t>CR-0822</t>
        </is>
      </c>
      <c r="B825" s="169" t="inlineStr">
        <is>
          <t>2026/27</t>
        </is>
      </c>
      <c r="C825" s="231" t="n">
        <v>46167</v>
      </c>
      <c r="D825" s="169" t="inlineStr">
        <is>
          <t>113923</t>
        </is>
      </c>
      <c r="E825" s="169" t="inlineStr">
        <is>
          <t>COMPRA</t>
        </is>
      </c>
      <c r="F825" s="169" t="inlineStr">
        <is>
          <t>Mega Catalina</t>
        </is>
      </c>
      <c r="G825" s="169" t="inlineStr">
        <is>
          <t>EUREKA - 1999 (22,5 Ha.)</t>
        </is>
      </c>
      <c r="H825" s="169" t="n"/>
      <c r="I825" s="169" t="n"/>
      <c r="J825" s="169" t="inlineStr">
        <is>
          <t>MANTENCION MAQUINARIAS</t>
        </is>
      </c>
      <c r="K825" s="169" t="inlineStr">
        <is>
          <t>SCTA. MASSEY FERGUNSON 283 CVCV72 (15004)</t>
        </is>
      </c>
      <c r="L825" s="169" t="inlineStr">
        <is>
          <t>O/001699 MANTENCION</t>
        </is>
      </c>
      <c r="M825" s="169" t="n"/>
      <c r="N825" s="169" t="inlineStr">
        <is>
          <t>.   .   -</t>
        </is>
      </c>
      <c r="O825" s="169" t="inlineStr">
        <is>
          <t>MAYO</t>
        </is>
      </c>
      <c r="P825" s="169" t="n">
        <v>20</v>
      </c>
      <c r="Q825" s="171" t="n">
        <v>91639</v>
      </c>
      <c r="R825" s="169" t="n"/>
      <c r="S825" s="171" t="n">
        <v>91639</v>
      </c>
      <c r="T825" s="169" t="inlineStr">
        <is>
          <t>CLP</t>
        </is>
      </c>
      <c r="U825" s="169" t="inlineStr">
        <is>
          <t>Carga LH 18-06-26</t>
        </is>
      </c>
      <c r="V825" s="169" t="inlineStr">
        <is>
          <t>2026-06-18</t>
        </is>
      </c>
    </row>
    <row r="826">
      <c r="A826" s="169" t="inlineStr">
        <is>
          <t>CR-0823</t>
        </is>
      </c>
      <c r="B826" s="169" t="inlineStr">
        <is>
          <t>2026/27</t>
        </is>
      </c>
      <c r="C826" s="231" t="n">
        <v>46167</v>
      </c>
      <c r="D826" s="169" t="inlineStr">
        <is>
          <t>460</t>
        </is>
      </c>
      <c r="E826" s="169" t="inlineStr">
        <is>
          <t>COMPRA</t>
        </is>
      </c>
      <c r="F826" s="169" t="inlineStr">
        <is>
          <t>El Molle</t>
        </is>
      </c>
      <c r="G826" s="169" t="inlineStr">
        <is>
          <t>OROGRANDE - 2007 (8,11 Ha.)</t>
        </is>
      </c>
      <c r="H826" s="169" t="n"/>
      <c r="I826" s="169" t="n"/>
      <c r="J826" s="169" t="inlineStr">
        <is>
          <t>GASTOS GENERALES</t>
        </is>
      </c>
      <c r="K826" s="169" t="inlineStr">
        <is>
          <t>AGUA</t>
        </is>
      </c>
      <c r="L826" s="169" t="inlineStr">
        <is>
          <t>O/001701 RECARGA BO</t>
        </is>
      </c>
      <c r="M826" s="169" t="n"/>
      <c r="N826" s="169" t="inlineStr">
        <is>
          <t>.   .   -</t>
        </is>
      </c>
      <c r="O826" s="169" t="inlineStr">
        <is>
          <t>MAYO</t>
        </is>
      </c>
      <c r="P826" s="169" t="n">
        <v>20</v>
      </c>
      <c r="Q826" s="171" t="n">
        <v>48000</v>
      </c>
      <c r="R826" s="169" t="n"/>
      <c r="S826" s="171" t="n">
        <v>48000</v>
      </c>
      <c r="T826" s="169" t="inlineStr">
        <is>
          <t>CLP</t>
        </is>
      </c>
      <c r="U826" s="169" t="inlineStr">
        <is>
          <t>Carga LH 18-06-26</t>
        </is>
      </c>
      <c r="V826" s="169" t="inlineStr">
        <is>
          <t>2026-06-18</t>
        </is>
      </c>
    </row>
    <row r="827">
      <c r="A827" s="169" t="inlineStr">
        <is>
          <t>CR-0824</t>
        </is>
      </c>
      <c r="B827" s="169" t="inlineStr">
        <is>
          <t>2026/27</t>
        </is>
      </c>
      <c r="C827" s="231" t="n">
        <v>46168</v>
      </c>
      <c r="D827" s="169" t="inlineStr">
        <is>
          <t>495</t>
        </is>
      </c>
      <c r="E827" s="169" t="inlineStr">
        <is>
          <t>COMPRA</t>
        </is>
      </c>
      <c r="F827" s="169" t="inlineStr">
        <is>
          <t>Mega Catalina</t>
        </is>
      </c>
      <c r="G827" s="169" t="inlineStr">
        <is>
          <t>EUREKA - 1999 (22,5 Ha.)</t>
        </is>
      </c>
      <c r="H827" s="169" t="n"/>
      <c r="I827" s="169" t="n"/>
      <c r="J827" s="169" t="inlineStr">
        <is>
          <t>LABORES OPERACIONALES</t>
        </is>
      </c>
      <c r="K827" s="169" t="inlineStr">
        <is>
          <t>COSECHA</t>
        </is>
      </c>
      <c r="L827" s="169" t="inlineStr">
        <is>
          <t>SERV.CONTRATISTA</t>
        </is>
      </c>
      <c r="M827" s="169" t="n"/>
      <c r="N827" s="169" t="inlineStr">
        <is>
          <t>.   .   -</t>
        </is>
      </c>
      <c r="O827" s="169" t="inlineStr">
        <is>
          <t>MAYO</t>
        </is>
      </c>
      <c r="P827" s="169" t="n">
        <v>20</v>
      </c>
      <c r="Q827" s="171" t="n">
        <v>950240</v>
      </c>
      <c r="R827" s="169" t="n"/>
      <c r="S827" s="171" t="n">
        <v>950240</v>
      </c>
      <c r="T827" s="169" t="inlineStr">
        <is>
          <t>CLP</t>
        </is>
      </c>
      <c r="U827" s="169" t="inlineStr">
        <is>
          <t>Carga LH 18-06-26</t>
        </is>
      </c>
      <c r="V827" s="169" t="inlineStr">
        <is>
          <t>2026-06-18</t>
        </is>
      </c>
    </row>
    <row r="828">
      <c r="A828" s="169" t="inlineStr">
        <is>
          <t>CR-0825</t>
        </is>
      </c>
      <c r="B828" s="169" t="inlineStr">
        <is>
          <t>2026/27</t>
        </is>
      </c>
      <c r="C828" s="231" t="n">
        <v>46168</v>
      </c>
      <c r="D828" s="169" t="inlineStr">
        <is>
          <t>1026</t>
        </is>
      </c>
      <c r="E828" s="169" t="inlineStr">
        <is>
          <t>COMPRA</t>
        </is>
      </c>
      <c r="F828" s="169" t="inlineStr">
        <is>
          <t>Mega Catalina</t>
        </is>
      </c>
      <c r="G828" s="169" t="inlineStr">
        <is>
          <t>EUREKA - 1999 (22,5 Ha.)</t>
        </is>
      </c>
      <c r="H828" s="169" t="n"/>
      <c r="I828" s="169" t="n"/>
      <c r="J828" s="169" t="inlineStr">
        <is>
          <t>LABORES OPERACIONALES</t>
        </is>
      </c>
      <c r="K828" s="169" t="inlineStr">
        <is>
          <t>COSECHA</t>
        </is>
      </c>
      <c r="L828" s="169" t="inlineStr">
        <is>
          <t>SERV.CONTRATISTA</t>
        </is>
      </c>
      <c r="M828" s="169" t="n"/>
      <c r="N828" s="169" t="inlineStr">
        <is>
          <t>.   .   -</t>
        </is>
      </c>
      <c r="O828" s="169" t="inlineStr">
        <is>
          <t>MAYO</t>
        </is>
      </c>
      <c r="P828" s="169" t="n">
        <v>20</v>
      </c>
      <c r="Q828" s="171" t="n">
        <v>860560</v>
      </c>
      <c r="R828" s="169" t="n"/>
      <c r="S828" s="171" t="n">
        <v>860560</v>
      </c>
      <c r="T828" s="169" t="inlineStr">
        <is>
          <t>CLP</t>
        </is>
      </c>
      <c r="U828" s="169" t="inlineStr">
        <is>
          <t>Carga LH 18-06-26</t>
        </is>
      </c>
      <c r="V828" s="169" t="inlineStr">
        <is>
          <t>2026-06-18</t>
        </is>
      </c>
    </row>
    <row r="829">
      <c r="A829" s="169" t="inlineStr">
        <is>
          <t>CR-0826</t>
        </is>
      </c>
      <c r="B829" s="169" t="inlineStr">
        <is>
          <t>2026/27</t>
        </is>
      </c>
      <c r="C829" s="231" t="n">
        <v>46168</v>
      </c>
      <c r="D829" s="169" t="inlineStr">
        <is>
          <t>845</t>
        </is>
      </c>
      <c r="E829" s="169" t="inlineStr">
        <is>
          <t>COMPRA</t>
        </is>
      </c>
      <c r="F829" s="169" t="inlineStr">
        <is>
          <t>Mega Catalina</t>
        </is>
      </c>
      <c r="G829" s="169" t="inlineStr">
        <is>
          <t>EUREKA - 1999 (22,5 Ha.)</t>
        </is>
      </c>
      <c r="H829" s="169" t="n"/>
      <c r="I829" s="169" t="n"/>
      <c r="J829" s="169" t="inlineStr">
        <is>
          <t>LABORES OPERACIONALES</t>
        </is>
      </c>
      <c r="K829" s="169" t="inlineStr">
        <is>
          <t>COSECHA</t>
        </is>
      </c>
      <c r="L829" s="169" t="inlineStr">
        <is>
          <t>SERV.CONTRATISTA</t>
        </is>
      </c>
      <c r="M829" s="169" t="n"/>
      <c r="N829" s="169" t="inlineStr">
        <is>
          <t>.   .   -</t>
        </is>
      </c>
      <c r="O829" s="169" t="inlineStr">
        <is>
          <t>MAYO</t>
        </is>
      </c>
      <c r="P829" s="169" t="n">
        <v>20</v>
      </c>
      <c r="Q829" s="171" t="n">
        <v>1274080</v>
      </c>
      <c r="R829" s="169" t="n"/>
      <c r="S829" s="171" t="n">
        <v>1274080</v>
      </c>
      <c r="T829" s="169" t="inlineStr">
        <is>
          <t>CLP</t>
        </is>
      </c>
      <c r="U829" s="169" t="inlineStr">
        <is>
          <t>Carga LH 18-06-26</t>
        </is>
      </c>
      <c r="V829" s="169" t="inlineStr">
        <is>
          <t>2026-06-18</t>
        </is>
      </c>
    </row>
    <row r="830">
      <c r="A830" s="169" t="inlineStr">
        <is>
          <t>CR-0827</t>
        </is>
      </c>
      <c r="B830" s="169" t="inlineStr">
        <is>
          <t>2026/27</t>
        </is>
      </c>
      <c r="C830" s="231" t="n">
        <v>46168</v>
      </c>
      <c r="D830" s="169" t="inlineStr">
        <is>
          <t>218</t>
        </is>
      </c>
      <c r="E830" s="169" t="inlineStr">
        <is>
          <t>COMPRA</t>
        </is>
      </c>
      <c r="F830" s="169" t="inlineStr">
        <is>
          <t>Mega Catalina</t>
        </is>
      </c>
      <c r="G830" s="169" t="inlineStr">
        <is>
          <t>EUREKA - 1999 (22,5 Ha.)</t>
        </is>
      </c>
      <c r="H830" s="169" t="n"/>
      <c r="I830" s="169" t="n"/>
      <c r="J830" s="169" t="inlineStr">
        <is>
          <t>LABORES OPERACIONALES</t>
        </is>
      </c>
      <c r="K830" s="169" t="inlineStr">
        <is>
          <t>COSECHA</t>
        </is>
      </c>
      <c r="L830" s="169" t="inlineStr">
        <is>
          <t>SERV.CONTRATISTA</t>
        </is>
      </c>
      <c r="M830" s="169" t="n"/>
      <c r="N830" s="169" t="inlineStr">
        <is>
          <t>.   .   -</t>
        </is>
      </c>
      <c r="O830" s="169" t="inlineStr">
        <is>
          <t>MAYO</t>
        </is>
      </c>
      <c r="P830" s="169" t="n">
        <v>20</v>
      </c>
      <c r="Q830" s="171" t="n">
        <v>1394080</v>
      </c>
      <c r="R830" s="169" t="n"/>
      <c r="S830" s="171" t="n">
        <v>1394080</v>
      </c>
      <c r="T830" s="169" t="inlineStr">
        <is>
          <t>CLP</t>
        </is>
      </c>
      <c r="U830" s="169" t="inlineStr">
        <is>
          <t>Carga LH 18-06-26</t>
        </is>
      </c>
      <c r="V830" s="169" t="inlineStr">
        <is>
          <t>2026-06-18</t>
        </is>
      </c>
    </row>
    <row r="831">
      <c r="A831" s="169" t="inlineStr">
        <is>
          <t>CR-0828</t>
        </is>
      </c>
      <c r="B831" s="169" t="inlineStr">
        <is>
          <t>2026/27</t>
        </is>
      </c>
      <c r="C831" s="231" t="n">
        <v>46168</v>
      </c>
      <c r="D831" s="169" t="inlineStr">
        <is>
          <t>380</t>
        </is>
      </c>
      <c r="E831" s="169" t="inlineStr">
        <is>
          <t>COMPRA</t>
        </is>
      </c>
      <c r="F831" s="169" t="inlineStr">
        <is>
          <t>El Molle</t>
        </is>
      </c>
      <c r="G831" s="169" t="inlineStr">
        <is>
          <t>ARRUFATINA - 2017 (5,74 Ha.)</t>
        </is>
      </c>
      <c r="H831" s="169" t="n"/>
      <c r="I831" s="169" t="n"/>
      <c r="J831" s="169" t="inlineStr">
        <is>
          <t>LABORES OPERACIONALES</t>
        </is>
      </c>
      <c r="K831" s="169" t="inlineStr">
        <is>
          <t>COSECHA</t>
        </is>
      </c>
      <c r="L831" s="169" t="inlineStr">
        <is>
          <t>SERV.CONTRATISTA</t>
        </is>
      </c>
      <c r="M831" s="169" t="n"/>
      <c r="N831" s="169" t="inlineStr">
        <is>
          <t>.   .   -</t>
        </is>
      </c>
      <c r="O831" s="169" t="inlineStr">
        <is>
          <t>MAYO</t>
        </is>
      </c>
      <c r="P831" s="169" t="n">
        <v>20</v>
      </c>
      <c r="Q831" s="171" t="n">
        <v>4121515</v>
      </c>
      <c r="R831" s="169" t="n"/>
      <c r="S831" s="171" t="n">
        <v>4121515</v>
      </c>
      <c r="T831" s="169" t="inlineStr">
        <is>
          <t>CLP</t>
        </is>
      </c>
      <c r="U831" s="169" t="inlineStr">
        <is>
          <t>Carga LH 18-06-26</t>
        </is>
      </c>
      <c r="V831" s="169" t="inlineStr">
        <is>
          <t>2026-06-18</t>
        </is>
      </c>
    </row>
    <row r="832">
      <c r="A832" s="169" t="inlineStr">
        <is>
          <t>CR-0829</t>
        </is>
      </c>
      <c r="B832" s="169" t="inlineStr">
        <is>
          <t>2026/27</t>
        </is>
      </c>
      <c r="C832" s="231" t="n">
        <v>46168</v>
      </c>
      <c r="D832" s="169" t="inlineStr">
        <is>
          <t>380</t>
        </is>
      </c>
      <c r="E832" s="169" t="inlineStr">
        <is>
          <t>COMPRA</t>
        </is>
      </c>
      <c r="F832" s="169" t="inlineStr">
        <is>
          <t>El Molle</t>
        </is>
      </c>
      <c r="G832" s="169" t="inlineStr">
        <is>
          <t>ARRUFATINA - 2017 (5,74 Ha.)</t>
        </is>
      </c>
      <c r="H832" s="169" t="n"/>
      <c r="I832" s="169" t="n"/>
      <c r="J832" s="169" t="inlineStr">
        <is>
          <t>LABORES OPERACIONALES</t>
        </is>
      </c>
      <c r="K832" s="169" t="inlineStr">
        <is>
          <t>LABORES VARIAS</t>
        </is>
      </c>
      <c r="L832" s="169" t="inlineStr">
        <is>
          <t>SERV.CONTRATISTA</t>
        </is>
      </c>
      <c r="M832" s="169" t="n"/>
      <c r="N832" s="169" t="inlineStr">
        <is>
          <t>.   .   -</t>
        </is>
      </c>
      <c r="O832" s="169" t="inlineStr">
        <is>
          <t>MAYO</t>
        </is>
      </c>
      <c r="P832" s="169" t="n">
        <v>20</v>
      </c>
      <c r="Q832" s="171" t="n">
        <v>767100</v>
      </c>
      <c r="R832" s="169" t="n"/>
      <c r="S832" s="171" t="n">
        <v>767100</v>
      </c>
      <c r="T832" s="169" t="inlineStr">
        <is>
          <t>CLP</t>
        </is>
      </c>
      <c r="U832" s="169" t="inlineStr">
        <is>
          <t>Carga LH 18-06-26</t>
        </is>
      </c>
      <c r="V832" s="169" t="inlineStr">
        <is>
          <t>2026-06-18</t>
        </is>
      </c>
    </row>
    <row r="833">
      <c r="A833" s="169" t="inlineStr">
        <is>
          <t>CR-0830</t>
        </is>
      </c>
      <c r="B833" s="169" t="inlineStr">
        <is>
          <t>2026/27</t>
        </is>
      </c>
      <c r="C833" s="231" t="n">
        <v>46168</v>
      </c>
      <c r="D833" s="169" t="inlineStr">
        <is>
          <t>380</t>
        </is>
      </c>
      <c r="E833" s="169" t="inlineStr">
        <is>
          <t>COMPRA</t>
        </is>
      </c>
      <c r="F833" s="169" t="inlineStr">
        <is>
          <t>El Molle</t>
        </is>
      </c>
      <c r="G833" s="169" t="inlineStr">
        <is>
          <t>ORONULES - 2017 (2,85 Ha.)</t>
        </is>
      </c>
      <c r="H833" s="169" t="n"/>
      <c r="I833" s="169" t="n"/>
      <c r="J833" s="169" t="inlineStr">
        <is>
          <t>LABORES OPERACIONALES</t>
        </is>
      </c>
      <c r="K833" s="169" t="inlineStr">
        <is>
          <t>COSECHA</t>
        </is>
      </c>
      <c r="L833" s="169" t="inlineStr">
        <is>
          <t>SERV.CONTRATISTA</t>
        </is>
      </c>
      <c r="M833" s="169" t="n"/>
      <c r="N833" s="169" t="inlineStr">
        <is>
          <t>.   .   -</t>
        </is>
      </c>
      <c r="O833" s="169" t="inlineStr">
        <is>
          <t>MAYO</t>
        </is>
      </c>
      <c r="P833" s="169" t="n">
        <v>20</v>
      </c>
      <c r="Q833" s="171" t="n">
        <v>1154265</v>
      </c>
      <c r="R833" s="169" t="n"/>
      <c r="S833" s="171" t="n">
        <v>1154265</v>
      </c>
      <c r="T833" s="169" t="inlineStr">
        <is>
          <t>CLP</t>
        </is>
      </c>
      <c r="U833" s="169" t="inlineStr">
        <is>
          <t>Carga LH 18-06-26</t>
        </is>
      </c>
      <c r="V833" s="169" t="inlineStr">
        <is>
          <t>2026-06-18</t>
        </is>
      </c>
    </row>
    <row r="834">
      <c r="A834" s="169" t="inlineStr">
        <is>
          <t>CR-0831</t>
        </is>
      </c>
      <c r="B834" s="169" t="inlineStr">
        <is>
          <t>2026/27</t>
        </is>
      </c>
      <c r="C834" s="231" t="n">
        <v>46168</v>
      </c>
      <c r="D834" s="169" t="inlineStr">
        <is>
          <t>380</t>
        </is>
      </c>
      <c r="E834" s="169" t="inlineStr">
        <is>
          <t>COMPRA</t>
        </is>
      </c>
      <c r="F834" s="169" t="inlineStr">
        <is>
          <t>El Molle</t>
        </is>
      </c>
      <c r="G834" s="169" t="inlineStr">
        <is>
          <t>ORONULES - 2017 (2,85 Ha.)</t>
        </is>
      </c>
      <c r="H834" s="169" t="n"/>
      <c r="I834" s="169" t="n"/>
      <c r="J834" s="169" t="inlineStr">
        <is>
          <t>LABORES OPERACIONALES</t>
        </is>
      </c>
      <c r="K834" s="169" t="inlineStr">
        <is>
          <t>LABORES VARIAS</t>
        </is>
      </c>
      <c r="L834" s="169" t="inlineStr">
        <is>
          <t>SERV.CONTRATISTA</t>
        </is>
      </c>
      <c r="M834" s="169" t="n"/>
      <c r="N834" s="169" t="inlineStr">
        <is>
          <t>.   .   -</t>
        </is>
      </c>
      <c r="O834" s="169" t="inlineStr">
        <is>
          <t>MAYO</t>
        </is>
      </c>
      <c r="P834" s="169" t="n">
        <v>20</v>
      </c>
      <c r="Q834" s="171" t="n">
        <v>77100</v>
      </c>
      <c r="R834" s="169" t="n"/>
      <c r="S834" s="171" t="n">
        <v>77100</v>
      </c>
      <c r="T834" s="169" t="inlineStr">
        <is>
          <t>CLP</t>
        </is>
      </c>
      <c r="U834" s="169" t="inlineStr">
        <is>
          <t>Carga LH 18-06-26</t>
        </is>
      </c>
      <c r="V834" s="169" t="inlineStr">
        <is>
          <t>2026-06-18</t>
        </is>
      </c>
    </row>
    <row r="835">
      <c r="A835" s="169" t="inlineStr">
        <is>
          <t>CR-0832</t>
        </is>
      </c>
      <c r="B835" s="169" t="inlineStr">
        <is>
          <t>2026/27</t>
        </is>
      </c>
      <c r="C835" s="231" t="n">
        <v>46168</v>
      </c>
      <c r="D835" s="169" t="inlineStr">
        <is>
          <t>380</t>
        </is>
      </c>
      <c r="E835" s="169" t="inlineStr">
        <is>
          <t>COMPRA</t>
        </is>
      </c>
      <c r="F835" s="169" t="inlineStr">
        <is>
          <t>Mega Catalina</t>
        </is>
      </c>
      <c r="G835" s="169" t="inlineStr">
        <is>
          <t>ORONULES - 2019 (2,5 Ha.)</t>
        </is>
      </c>
      <c r="H835" s="169" t="n"/>
      <c r="I835" s="169" t="n"/>
      <c r="J835" s="169" t="inlineStr">
        <is>
          <t>LABORES OPERACIONALES</t>
        </is>
      </c>
      <c r="K835" s="169" t="inlineStr">
        <is>
          <t>COSECHA</t>
        </is>
      </c>
      <c r="L835" s="169" t="inlineStr">
        <is>
          <t>SERV.CONTRATISTA</t>
        </is>
      </c>
      <c r="M835" s="169" t="n"/>
      <c r="N835" s="169" t="inlineStr">
        <is>
          <t>.   .   -</t>
        </is>
      </c>
      <c r="O835" s="169" t="inlineStr">
        <is>
          <t>MAYO</t>
        </is>
      </c>
      <c r="P835" s="169" t="n">
        <v>20</v>
      </c>
      <c r="Q835" s="171" t="n">
        <v>1221480</v>
      </c>
      <c r="R835" s="169" t="n"/>
      <c r="S835" s="171" t="n">
        <v>1221480</v>
      </c>
      <c r="T835" s="169" t="inlineStr">
        <is>
          <t>CLP</t>
        </is>
      </c>
      <c r="U835" s="169" t="inlineStr">
        <is>
          <t>Carga LH 18-06-26</t>
        </is>
      </c>
      <c r="V835" s="169" t="inlineStr">
        <is>
          <t>2026-06-18</t>
        </is>
      </c>
    </row>
    <row r="836">
      <c r="A836" s="169" t="inlineStr">
        <is>
          <t>CR-0833</t>
        </is>
      </c>
      <c r="B836" s="169" t="inlineStr">
        <is>
          <t>2026/27</t>
        </is>
      </c>
      <c r="C836" s="231" t="n">
        <v>46168</v>
      </c>
      <c r="D836" s="169" t="inlineStr">
        <is>
          <t>380</t>
        </is>
      </c>
      <c r="E836" s="169" t="inlineStr">
        <is>
          <t>COMPRA</t>
        </is>
      </c>
      <c r="F836" s="169" t="inlineStr">
        <is>
          <t>El Molle</t>
        </is>
      </c>
      <c r="G836" s="169" t="inlineStr">
        <is>
          <t>OROGRANDE - 2007 (8,11 Ha.)</t>
        </is>
      </c>
      <c r="H836" s="169" t="n"/>
      <c r="I836" s="169" t="n"/>
      <c r="J836" s="169" t="inlineStr">
        <is>
          <t>LABORES OPERACIONALES</t>
        </is>
      </c>
      <c r="K836" s="169" t="inlineStr">
        <is>
          <t>LABORES VARIAS</t>
        </is>
      </c>
      <c r="L836" s="169" t="inlineStr">
        <is>
          <t>SERV.CONTRATISTA</t>
        </is>
      </c>
      <c r="M836" s="169" t="n"/>
      <c r="N836" s="169" t="inlineStr">
        <is>
          <t>.   .   -</t>
        </is>
      </c>
      <c r="O836" s="169" t="inlineStr">
        <is>
          <t>MAYO</t>
        </is>
      </c>
      <c r="P836" s="169" t="n">
        <v>20</v>
      </c>
      <c r="Q836" s="171" t="n">
        <v>414000</v>
      </c>
      <c r="R836" s="169" t="n"/>
      <c r="S836" s="171" t="n">
        <v>414000</v>
      </c>
      <c r="T836" s="169" t="inlineStr">
        <is>
          <t>CLP</t>
        </is>
      </c>
      <c r="U836" s="169" t="inlineStr">
        <is>
          <t>Carga LH 18-06-26</t>
        </is>
      </c>
      <c r="V836" s="169" t="inlineStr">
        <is>
          <t>2026-06-18</t>
        </is>
      </c>
    </row>
    <row r="837">
      <c r="A837" s="169" t="inlineStr">
        <is>
          <t>CR-0834</t>
        </is>
      </c>
      <c r="B837" s="169" t="inlineStr">
        <is>
          <t>2026/27</t>
        </is>
      </c>
      <c r="C837" s="231" t="n">
        <v>46168</v>
      </c>
      <c r="D837" s="169" t="inlineStr">
        <is>
          <t>4</t>
        </is>
      </c>
      <c r="E837" s="169" t="inlineStr">
        <is>
          <t>COMPRA</t>
        </is>
      </c>
      <c r="F837" s="169" t="inlineStr">
        <is>
          <t>El Molle</t>
        </is>
      </c>
      <c r="G837" s="169" t="inlineStr">
        <is>
          <t>ARRUFATINA - 2017 (5,74 Ha.)</t>
        </is>
      </c>
      <c r="H837" s="169" t="n"/>
      <c r="I837" s="169" t="n"/>
      <c r="J837" s="169" t="inlineStr">
        <is>
          <t>LABORES OPERACIONALES</t>
        </is>
      </c>
      <c r="K837" s="169" t="inlineStr">
        <is>
          <t>COSECHA</t>
        </is>
      </c>
      <c r="L837" s="169" t="inlineStr">
        <is>
          <t>SERV.CONTRATISTA</t>
        </is>
      </c>
      <c r="M837" s="169" t="n"/>
      <c r="N837" s="169" t="inlineStr">
        <is>
          <t>.   .   -</t>
        </is>
      </c>
      <c r="O837" s="169" t="inlineStr">
        <is>
          <t>MAYO</t>
        </is>
      </c>
      <c r="P837" s="169" t="n">
        <v>20</v>
      </c>
      <c r="Q837" s="171" t="n">
        <v>7455345</v>
      </c>
      <c r="R837" s="169" t="n"/>
      <c r="S837" s="171" t="n">
        <v>7455345</v>
      </c>
      <c r="T837" s="169" t="inlineStr">
        <is>
          <t>CLP</t>
        </is>
      </c>
      <c r="U837" s="169" t="inlineStr">
        <is>
          <t>Carga LH 18-06-26</t>
        </is>
      </c>
      <c r="V837" s="169" t="inlineStr">
        <is>
          <t>2026-06-18</t>
        </is>
      </c>
    </row>
    <row r="838">
      <c r="A838" s="169" t="inlineStr">
        <is>
          <t>CR-0835</t>
        </is>
      </c>
      <c r="B838" s="169" t="inlineStr">
        <is>
          <t>2026/27</t>
        </is>
      </c>
      <c r="C838" s="231" t="n">
        <v>46168</v>
      </c>
      <c r="D838" s="169" t="inlineStr">
        <is>
          <t>4</t>
        </is>
      </c>
      <c r="E838" s="169" t="inlineStr">
        <is>
          <t>COMPRA</t>
        </is>
      </c>
      <c r="F838" s="169" t="inlineStr">
        <is>
          <t>El Molle</t>
        </is>
      </c>
      <c r="G838" s="169" t="inlineStr">
        <is>
          <t>ORONULES - 2017 (2,85 Ha.)</t>
        </is>
      </c>
      <c r="H838" s="169" t="n"/>
      <c r="I838" s="169" t="n"/>
      <c r="J838" s="169" t="inlineStr">
        <is>
          <t>LABORES OPERACIONALES</t>
        </is>
      </c>
      <c r="K838" s="169" t="inlineStr">
        <is>
          <t>COSECHA</t>
        </is>
      </c>
      <c r="L838" s="169" t="inlineStr">
        <is>
          <t>SERV.CONTRATISTA</t>
        </is>
      </c>
      <c r="M838" s="169" t="n"/>
      <c r="N838" s="169" t="inlineStr">
        <is>
          <t>.   .   -</t>
        </is>
      </c>
      <c r="O838" s="169" t="inlineStr">
        <is>
          <t>MAYO</t>
        </is>
      </c>
      <c r="P838" s="169" t="n">
        <v>20</v>
      </c>
      <c r="Q838" s="171" t="n">
        <v>2936745</v>
      </c>
      <c r="R838" s="169" t="n"/>
      <c r="S838" s="171" t="n">
        <v>2936745</v>
      </c>
      <c r="T838" s="169" t="inlineStr">
        <is>
          <t>CLP</t>
        </is>
      </c>
      <c r="U838" s="169" t="inlineStr">
        <is>
          <t>Carga LH 18-06-26</t>
        </is>
      </c>
      <c r="V838" s="169" t="inlineStr">
        <is>
          <t>2026-06-18</t>
        </is>
      </c>
    </row>
    <row r="839">
      <c r="A839" s="169" t="inlineStr">
        <is>
          <t>CR-0836</t>
        </is>
      </c>
      <c r="B839" s="169" t="inlineStr">
        <is>
          <t>2026/27</t>
        </is>
      </c>
      <c r="C839" s="231" t="n">
        <v>46168</v>
      </c>
      <c r="D839" s="169" t="inlineStr">
        <is>
          <t>4</t>
        </is>
      </c>
      <c r="E839" s="169" t="inlineStr">
        <is>
          <t>COMPRA</t>
        </is>
      </c>
      <c r="F839" s="169" t="inlineStr">
        <is>
          <t>Mega Catalina</t>
        </is>
      </c>
      <c r="G839" s="169" t="inlineStr">
        <is>
          <t>ORONULES - 2019 (2,5 Ha.)</t>
        </is>
      </c>
      <c r="H839" s="169" t="n"/>
      <c r="I839" s="169" t="n"/>
      <c r="J839" s="169" t="inlineStr">
        <is>
          <t>LABORES OPERACIONALES</t>
        </is>
      </c>
      <c r="K839" s="169" t="inlineStr">
        <is>
          <t>COSECHA</t>
        </is>
      </c>
      <c r="L839" s="169" t="inlineStr">
        <is>
          <t>SERV.CONTRATISTA</t>
        </is>
      </c>
      <c r="M839" s="169" t="n"/>
      <c r="N839" s="169" t="inlineStr">
        <is>
          <t>.   .   -</t>
        </is>
      </c>
      <c r="O839" s="169" t="inlineStr">
        <is>
          <t>MAYO</t>
        </is>
      </c>
      <c r="P839" s="169" t="n">
        <v>20</v>
      </c>
      <c r="Q839" s="171" t="n">
        <v>1854615</v>
      </c>
      <c r="R839" s="169" t="n"/>
      <c r="S839" s="171" t="n">
        <v>1854615</v>
      </c>
      <c r="T839" s="169" t="inlineStr">
        <is>
          <t>CLP</t>
        </is>
      </c>
      <c r="U839" s="169" t="inlineStr">
        <is>
          <t>Carga LH 18-06-26</t>
        </is>
      </c>
      <c r="V839" s="169" t="inlineStr">
        <is>
          <t>2026-06-18</t>
        </is>
      </c>
    </row>
    <row r="840">
      <c r="A840" s="169" t="inlineStr">
        <is>
          <t>CR-0837</t>
        </is>
      </c>
      <c r="B840" s="169" t="inlineStr">
        <is>
          <t>2026/27</t>
        </is>
      </c>
      <c r="C840" s="231" t="n">
        <v>46168</v>
      </c>
      <c r="D840" s="169" t="inlineStr">
        <is>
          <t>89</t>
        </is>
      </c>
      <c r="E840" s="169" t="inlineStr">
        <is>
          <t>COMPRA</t>
        </is>
      </c>
      <c r="F840" s="169" t="inlineStr">
        <is>
          <t>El Molle</t>
        </is>
      </c>
      <c r="G840" s="169" t="inlineStr">
        <is>
          <t>ARRUFATINA - 2017 (5,74 Ha.)</t>
        </is>
      </c>
      <c r="H840" s="169" t="n"/>
      <c r="I840" s="169" t="n"/>
      <c r="J840" s="169" t="inlineStr">
        <is>
          <t>LABORES OPERACIONALES</t>
        </is>
      </c>
      <c r="K840" s="169" t="inlineStr">
        <is>
          <t>COSECHA</t>
        </is>
      </c>
      <c r="L840" s="169" t="inlineStr">
        <is>
          <t>SERV.CONTRATISTA</t>
        </is>
      </c>
      <c r="M840" s="169" t="n"/>
      <c r="N840" s="169" t="inlineStr">
        <is>
          <t>.   .   -</t>
        </is>
      </c>
      <c r="O840" s="169" t="inlineStr">
        <is>
          <t>MAYO</t>
        </is>
      </c>
      <c r="P840" s="169" t="n">
        <v>20</v>
      </c>
      <c r="Q840" s="171" t="n">
        <v>3372195</v>
      </c>
      <c r="R840" s="169" t="n"/>
      <c r="S840" s="171" t="n">
        <v>3372195</v>
      </c>
      <c r="T840" s="169" t="inlineStr">
        <is>
          <t>CLP</t>
        </is>
      </c>
      <c r="U840" s="169" t="inlineStr">
        <is>
          <t>Carga LH 18-06-26</t>
        </is>
      </c>
      <c r="V840" s="169" t="inlineStr">
        <is>
          <t>2026-06-18</t>
        </is>
      </c>
    </row>
    <row r="841">
      <c r="A841" s="169" t="inlineStr">
        <is>
          <t>CR-0838</t>
        </is>
      </c>
      <c r="B841" s="169" t="inlineStr">
        <is>
          <t>2026/27</t>
        </is>
      </c>
      <c r="C841" s="231" t="n">
        <v>46168</v>
      </c>
      <c r="D841" s="169" t="inlineStr">
        <is>
          <t>89</t>
        </is>
      </c>
      <c r="E841" s="169" t="inlineStr">
        <is>
          <t>COMPRA</t>
        </is>
      </c>
      <c r="F841" s="169" t="inlineStr">
        <is>
          <t>El Molle</t>
        </is>
      </c>
      <c r="G841" s="169" t="inlineStr">
        <is>
          <t>ORONULES - 2017 (2,85 Ha.)</t>
        </is>
      </c>
      <c r="H841" s="169" t="n"/>
      <c r="I841" s="169" t="n"/>
      <c r="J841" s="169" t="inlineStr">
        <is>
          <t>LABORES OPERACIONALES</t>
        </is>
      </c>
      <c r="K841" s="169" t="inlineStr">
        <is>
          <t>COSECHA</t>
        </is>
      </c>
      <c r="L841" s="169" t="inlineStr">
        <is>
          <t>SERV.CONTRATISTA</t>
        </is>
      </c>
      <c r="M841" s="169" t="n"/>
      <c r="N841" s="169" t="inlineStr">
        <is>
          <t>.   .   -</t>
        </is>
      </c>
      <c r="O841" s="169" t="inlineStr">
        <is>
          <t>MAYO</t>
        </is>
      </c>
      <c r="P841" s="169" t="n">
        <v>20</v>
      </c>
      <c r="Q841" s="171" t="n">
        <v>837570</v>
      </c>
      <c r="R841" s="169" t="n"/>
      <c r="S841" s="171" t="n">
        <v>837570</v>
      </c>
      <c r="T841" s="169" t="inlineStr">
        <is>
          <t>CLP</t>
        </is>
      </c>
      <c r="U841" s="169" t="inlineStr">
        <is>
          <t>Carga LH 18-06-26</t>
        </is>
      </c>
      <c r="V841" s="169" t="inlineStr">
        <is>
          <t>2026-06-18</t>
        </is>
      </c>
    </row>
    <row r="842">
      <c r="A842" s="169" t="inlineStr">
        <is>
          <t>CR-0839</t>
        </is>
      </c>
      <c r="B842" s="169" t="inlineStr">
        <is>
          <t>2026/27</t>
        </is>
      </c>
      <c r="C842" s="231" t="n">
        <v>46168</v>
      </c>
      <c r="D842" s="169" t="inlineStr">
        <is>
          <t>89</t>
        </is>
      </c>
      <c r="E842" s="169" t="inlineStr">
        <is>
          <t>COMPRA</t>
        </is>
      </c>
      <c r="F842" s="169" t="inlineStr">
        <is>
          <t>Mega Catalina</t>
        </is>
      </c>
      <c r="G842" s="169" t="inlineStr">
        <is>
          <t>ORONULES - 2019 (2,5 Ha.)</t>
        </is>
      </c>
      <c r="H842" s="169" t="n"/>
      <c r="I842" s="169" t="n"/>
      <c r="J842" s="169" t="inlineStr">
        <is>
          <t>LABORES OPERACIONALES</t>
        </is>
      </c>
      <c r="K842" s="169" t="inlineStr">
        <is>
          <t>COSECHA</t>
        </is>
      </c>
      <c r="L842" s="169" t="inlineStr">
        <is>
          <t>SERV.CONTRATISTA</t>
        </is>
      </c>
      <c r="M842" s="169" t="n"/>
      <c r="N842" s="169" t="inlineStr">
        <is>
          <t>.   .   -</t>
        </is>
      </c>
      <c r="O842" s="169" t="inlineStr">
        <is>
          <t>MAYO</t>
        </is>
      </c>
      <c r="P842" s="169" t="n">
        <v>20</v>
      </c>
      <c r="Q842" s="171" t="n">
        <v>535005</v>
      </c>
      <c r="R842" s="169" t="n"/>
      <c r="S842" s="171" t="n">
        <v>535005</v>
      </c>
      <c r="T842" s="169" t="inlineStr">
        <is>
          <t>CLP</t>
        </is>
      </c>
      <c r="U842" s="169" t="inlineStr">
        <is>
          <t>Carga LH 18-06-26</t>
        </is>
      </c>
      <c r="V842" s="169" t="inlineStr">
        <is>
          <t>2026-06-18</t>
        </is>
      </c>
    </row>
    <row r="843">
      <c r="A843" s="169" t="inlineStr">
        <is>
          <t>CR-0840</t>
        </is>
      </c>
      <c r="B843" s="169" t="inlineStr">
        <is>
          <t>2026/27</t>
        </is>
      </c>
      <c r="C843" s="231" t="n">
        <v>46168</v>
      </c>
      <c r="D843" s="169" t="inlineStr">
        <is>
          <t>663</t>
        </is>
      </c>
      <c r="E843" s="169" t="inlineStr">
        <is>
          <t>COMPRA</t>
        </is>
      </c>
      <c r="F843" s="169" t="inlineStr">
        <is>
          <t>Mega Catalina</t>
        </is>
      </c>
      <c r="G843" s="169" t="inlineStr">
        <is>
          <t>EUREKA - 1999 (22,5 Ha.)</t>
        </is>
      </c>
      <c r="H843" s="169" t="n"/>
      <c r="I843" s="169" t="n"/>
      <c r="J843" s="169" t="inlineStr">
        <is>
          <t>LABORES OPERACIONALES</t>
        </is>
      </c>
      <c r="K843" s="169" t="inlineStr">
        <is>
          <t>COSECHA</t>
        </is>
      </c>
      <c r="L843" s="169" t="inlineStr">
        <is>
          <t>SERV.CONTRATISTA</t>
        </is>
      </c>
      <c r="M843" s="169" t="n"/>
      <c r="N843" s="169" t="inlineStr">
        <is>
          <t>.   .   -</t>
        </is>
      </c>
      <c r="O843" s="169" t="inlineStr">
        <is>
          <t>MAYO</t>
        </is>
      </c>
      <c r="P843" s="169" t="n">
        <v>20</v>
      </c>
      <c r="Q843" s="171" t="n">
        <v>6247080</v>
      </c>
      <c r="R843" s="169" t="n"/>
      <c r="S843" s="171" t="n">
        <v>6247080</v>
      </c>
      <c r="T843" s="169" t="inlineStr">
        <is>
          <t>CLP</t>
        </is>
      </c>
      <c r="U843" s="169" t="inlineStr">
        <is>
          <t>Carga LH 18-06-26</t>
        </is>
      </c>
      <c r="V843" s="169" t="inlineStr">
        <is>
          <t>2026-06-18</t>
        </is>
      </c>
    </row>
    <row r="844">
      <c r="A844" s="169" t="inlineStr">
        <is>
          <t>CR-0841</t>
        </is>
      </c>
      <c r="B844" s="169" t="inlineStr">
        <is>
          <t>2026/27</t>
        </is>
      </c>
      <c r="C844" s="231" t="n">
        <v>46168</v>
      </c>
      <c r="D844" s="169" t="inlineStr">
        <is>
          <t>663</t>
        </is>
      </c>
      <c r="E844" s="169" t="inlineStr">
        <is>
          <t>COMPRA</t>
        </is>
      </c>
      <c r="F844" s="169" t="inlineStr">
        <is>
          <t>Mega Catalina</t>
        </is>
      </c>
      <c r="G844" s="169" t="inlineStr">
        <is>
          <t>EUREKA - 2016 (14,4 Ha.)</t>
        </is>
      </c>
      <c r="H844" s="169" t="n"/>
      <c r="I844" s="169" t="n"/>
      <c r="J844" s="169" t="inlineStr">
        <is>
          <t>LABORES OPERACIONALES</t>
        </is>
      </c>
      <c r="K844" s="169" t="inlineStr">
        <is>
          <t>COSECHA</t>
        </is>
      </c>
      <c r="L844" s="169" t="inlineStr">
        <is>
          <t>SERV.CONTRATISTA</t>
        </is>
      </c>
      <c r="M844" s="169" t="n"/>
      <c r="N844" s="169" t="inlineStr">
        <is>
          <t>.   .   -</t>
        </is>
      </c>
      <c r="O844" s="169" t="inlineStr">
        <is>
          <t>MAYO</t>
        </is>
      </c>
      <c r="P844" s="169" t="n">
        <v>20</v>
      </c>
      <c r="Q844" s="171" t="n">
        <v>167280</v>
      </c>
      <c r="R844" s="169" t="n"/>
      <c r="S844" s="171" t="n">
        <v>167280</v>
      </c>
      <c r="T844" s="169" t="inlineStr">
        <is>
          <t>CLP</t>
        </is>
      </c>
      <c r="U844" s="169" t="inlineStr">
        <is>
          <t>Carga LH 18-06-26</t>
        </is>
      </c>
      <c r="V844" s="169" t="inlineStr">
        <is>
          <t>2026-06-18</t>
        </is>
      </c>
    </row>
    <row r="845">
      <c r="A845" s="169" t="inlineStr">
        <is>
          <t>CR-0842</t>
        </is>
      </c>
      <c r="B845" s="169" t="inlineStr">
        <is>
          <t>2026/27</t>
        </is>
      </c>
      <c r="C845" s="231" t="n">
        <v>46168</v>
      </c>
      <c r="D845" s="169" t="inlineStr">
        <is>
          <t>3275</t>
        </is>
      </c>
      <c r="E845" s="169" t="inlineStr">
        <is>
          <t>COMPRA</t>
        </is>
      </c>
      <c r="F845" s="169" t="inlineStr">
        <is>
          <t>Mega Catalina</t>
        </is>
      </c>
      <c r="G845" s="169" t="inlineStr">
        <is>
          <t>EUREKA - 1999 (22,5 Ha.)</t>
        </is>
      </c>
      <c r="H845" s="169" t="n"/>
      <c r="I845" s="169" t="n"/>
      <c r="J845" s="169" t="inlineStr">
        <is>
          <t>ARRIENDOS</t>
        </is>
      </c>
      <c r="K845" s="169" t="inlineStr">
        <is>
          <t>ARRIENDO BAÃ‘O</t>
        </is>
      </c>
      <c r="L845" s="169" t="inlineStr">
        <is>
          <t>O/001704 ARRIENDO B</t>
        </is>
      </c>
      <c r="M845" s="169" t="n"/>
      <c r="N845" s="169" t="inlineStr">
        <is>
          <t>.   .   -</t>
        </is>
      </c>
      <c r="O845" s="169" t="inlineStr">
        <is>
          <t>MAYO</t>
        </is>
      </c>
      <c r="P845" s="169" t="n">
        <v>20</v>
      </c>
      <c r="Q845" s="171" t="n">
        <v>488500</v>
      </c>
      <c r="R845" s="169" t="n"/>
      <c r="S845" s="171" t="n">
        <v>488500</v>
      </c>
      <c r="T845" s="169" t="inlineStr">
        <is>
          <t>CLP</t>
        </is>
      </c>
      <c r="U845" s="169" t="inlineStr">
        <is>
          <t>Carga LH 18-06-26</t>
        </is>
      </c>
      <c r="V845" s="169" t="inlineStr">
        <is>
          <t>2026-06-18</t>
        </is>
      </c>
    </row>
    <row r="846">
      <c r="A846" s="169" t="inlineStr">
        <is>
          <t>CR-0843</t>
        </is>
      </c>
      <c r="B846" s="169" t="inlineStr">
        <is>
          <t>2026/27</t>
        </is>
      </c>
      <c r="C846" s="231" t="n">
        <v>46168</v>
      </c>
      <c r="D846" s="169" t="inlineStr">
        <is>
          <t>3275</t>
        </is>
      </c>
      <c r="E846" s="169" t="inlineStr">
        <is>
          <t>COMPRA</t>
        </is>
      </c>
      <c r="F846" s="169" t="inlineStr">
        <is>
          <t>Mega Catalina</t>
        </is>
      </c>
      <c r="G846" s="169" t="inlineStr">
        <is>
          <t>EUREKA - 1999 (22,5 Ha.)</t>
        </is>
      </c>
      <c r="H846" s="169" t="n"/>
      <c r="I846" s="169" t="n"/>
      <c r="J846" s="169" t="inlineStr">
        <is>
          <t>ARRIENDOS</t>
        </is>
      </c>
      <c r="K846" s="169" t="inlineStr">
        <is>
          <t>ARRIENDO BAÃ‘O</t>
        </is>
      </c>
      <c r="L846" s="169" t="inlineStr">
        <is>
          <t>O/001704 ARRIENDO B</t>
        </is>
      </c>
      <c r="M846" s="169" t="n"/>
      <c r="N846" s="169" t="inlineStr">
        <is>
          <t>.   .   -</t>
        </is>
      </c>
      <c r="O846" s="169" t="inlineStr">
        <is>
          <t>MAYO</t>
        </is>
      </c>
      <c r="P846" s="169" t="n">
        <v>20</v>
      </c>
      <c r="Q846" s="171" t="n">
        <v>553630</v>
      </c>
      <c r="R846" s="169" t="n"/>
      <c r="S846" s="171" t="n">
        <v>553630</v>
      </c>
      <c r="T846" s="169" t="inlineStr">
        <is>
          <t>CLP</t>
        </is>
      </c>
      <c r="U846" s="169" t="inlineStr">
        <is>
          <t>Carga LH 18-06-26</t>
        </is>
      </c>
      <c r="V846" s="169" t="inlineStr">
        <is>
          <t>2026-06-18</t>
        </is>
      </c>
    </row>
    <row r="847">
      <c r="A847" s="169" t="inlineStr">
        <is>
          <t>CR-0844</t>
        </is>
      </c>
      <c r="B847" s="169" t="inlineStr">
        <is>
          <t>2026/27</t>
        </is>
      </c>
      <c r="C847" s="231" t="n">
        <v>46168</v>
      </c>
      <c r="D847" s="169" t="inlineStr">
        <is>
          <t>3275</t>
        </is>
      </c>
      <c r="E847" s="169" t="inlineStr">
        <is>
          <t>COMPRA</t>
        </is>
      </c>
      <c r="F847" s="169" t="inlineStr">
        <is>
          <t>Mega Catalina</t>
        </is>
      </c>
      <c r="G847" s="169" t="inlineStr">
        <is>
          <t>EUREKA - 1999 (22,5 Ha.)</t>
        </is>
      </c>
      <c r="H847" s="169" t="n"/>
      <c r="I847" s="169" t="n"/>
      <c r="J847" s="169" t="inlineStr">
        <is>
          <t>ARRIENDOS</t>
        </is>
      </c>
      <c r="K847" s="169" t="inlineStr">
        <is>
          <t>ARRIENDO BAÃ‘O</t>
        </is>
      </c>
      <c r="L847" s="169" t="inlineStr">
        <is>
          <t>O/001704 ARRIENDO B</t>
        </is>
      </c>
      <c r="M847" s="169" t="n"/>
      <c r="N847" s="169" t="inlineStr">
        <is>
          <t>.   .   -</t>
        </is>
      </c>
      <c r="O847" s="169" t="inlineStr">
        <is>
          <t>MAYO</t>
        </is>
      </c>
      <c r="P847" s="169" t="n">
        <v>20</v>
      </c>
      <c r="Q847" s="171" t="n">
        <v>250000</v>
      </c>
      <c r="R847" s="169" t="n"/>
      <c r="S847" s="171" t="n">
        <v>250000</v>
      </c>
      <c r="T847" s="169" t="inlineStr">
        <is>
          <t>CLP</t>
        </is>
      </c>
      <c r="U847" s="169" t="inlineStr">
        <is>
          <t>Carga LH 18-06-26</t>
        </is>
      </c>
      <c r="V847" s="169" t="inlineStr">
        <is>
          <t>2026-06-18</t>
        </is>
      </c>
    </row>
    <row r="848">
      <c r="A848" s="169" t="inlineStr">
        <is>
          <t>CR-0845</t>
        </is>
      </c>
      <c r="B848" s="169" t="inlineStr">
        <is>
          <t>2026/27</t>
        </is>
      </c>
      <c r="C848" s="231" t="n">
        <v>46168</v>
      </c>
      <c r="D848" s="169" t="inlineStr">
        <is>
          <t>3275</t>
        </is>
      </c>
      <c r="E848" s="169" t="inlineStr">
        <is>
          <t>COMPRA</t>
        </is>
      </c>
      <c r="F848" s="169" t="inlineStr">
        <is>
          <t>Mega Catalina</t>
        </is>
      </c>
      <c r="G848" s="169" t="inlineStr">
        <is>
          <t>EUREKA - 2016 (14,4 Ha.)</t>
        </is>
      </c>
      <c r="H848" s="169" t="n"/>
      <c r="I848" s="169" t="n"/>
      <c r="J848" s="169" t="inlineStr">
        <is>
          <t>ARRIENDOS</t>
        </is>
      </c>
      <c r="K848" s="169" t="inlineStr">
        <is>
          <t>ARRIENDO BAÃ‘O</t>
        </is>
      </c>
      <c r="L848" s="169" t="inlineStr">
        <is>
          <t>O/001704 ARRIENDO B</t>
        </is>
      </c>
      <c r="M848" s="169" t="n"/>
      <c r="N848" s="169" t="inlineStr">
        <is>
          <t>.   .   -</t>
        </is>
      </c>
      <c r="O848" s="169" t="inlineStr">
        <is>
          <t>MAYO</t>
        </is>
      </c>
      <c r="P848" s="169" t="n">
        <v>20</v>
      </c>
      <c r="Q848" s="171" t="n">
        <v>32566</v>
      </c>
      <c r="R848" s="169" t="n"/>
      <c r="S848" s="171" t="n">
        <v>32566</v>
      </c>
      <c r="T848" s="169" t="inlineStr">
        <is>
          <t>CLP</t>
        </is>
      </c>
      <c r="U848" s="169" t="inlineStr">
        <is>
          <t>Carga LH 18-06-26</t>
        </is>
      </c>
      <c r="V848" s="169" t="inlineStr">
        <is>
          <t>2026-06-18</t>
        </is>
      </c>
    </row>
    <row r="849">
      <c r="A849" s="169" t="inlineStr">
        <is>
          <t>CR-0846</t>
        </is>
      </c>
      <c r="B849" s="169" t="inlineStr">
        <is>
          <t>2026/27</t>
        </is>
      </c>
      <c r="C849" s="231" t="n">
        <v>46168</v>
      </c>
      <c r="D849" s="169" t="inlineStr">
        <is>
          <t>104</t>
        </is>
      </c>
      <c r="E849" s="169" t="inlineStr">
        <is>
          <t>COMPRA</t>
        </is>
      </c>
      <c r="F849" s="169" t="inlineStr">
        <is>
          <t>Mega Catalina</t>
        </is>
      </c>
      <c r="G849" s="169" t="inlineStr">
        <is>
          <t>EUREKA - 1999 (22,5 Ha.)</t>
        </is>
      </c>
      <c r="H849" s="169" t="n"/>
      <c r="I849" s="169" t="n"/>
      <c r="J849" s="169" t="inlineStr">
        <is>
          <t>ARRIENDOS</t>
        </is>
      </c>
      <c r="K849" s="169" t="inlineStr">
        <is>
          <t>ARRIENDO BAÃ‘O</t>
        </is>
      </c>
      <c r="L849" s="169" t="inlineStr">
        <is>
          <t>O/001704 ARRIENDO B</t>
        </is>
      </c>
      <c r="M849" s="169" t="n"/>
      <c r="N849" s="169" t="inlineStr">
        <is>
          <t>.   .   -</t>
        </is>
      </c>
      <c r="O849" s="169" t="inlineStr">
        <is>
          <t>MAYO</t>
        </is>
      </c>
      <c r="P849" s="169" t="n">
        <v>20</v>
      </c>
      <c r="Q849" s="171" t="n">
        <v>488500</v>
      </c>
      <c r="R849" s="169" t="n"/>
      <c r="S849" s="171" t="n">
        <v>488500</v>
      </c>
      <c r="T849" s="169" t="inlineStr">
        <is>
          <t>CLP</t>
        </is>
      </c>
      <c r="U849" s="169" t="inlineStr">
        <is>
          <t>Carga LH 18-06-26</t>
        </is>
      </c>
      <c r="V849" s="169" t="inlineStr">
        <is>
          <t>2026-06-18</t>
        </is>
      </c>
    </row>
    <row r="850">
      <c r="A850" s="169" t="inlineStr">
        <is>
          <t>CR-0847</t>
        </is>
      </c>
      <c r="B850" s="169" t="inlineStr">
        <is>
          <t>2026/27</t>
        </is>
      </c>
      <c r="C850" s="231" t="n">
        <v>46168</v>
      </c>
      <c r="D850" s="169" t="inlineStr">
        <is>
          <t>104</t>
        </is>
      </c>
      <c r="E850" s="169" t="inlineStr">
        <is>
          <t>COMPRA</t>
        </is>
      </c>
      <c r="F850" s="169" t="inlineStr">
        <is>
          <t>Mega Catalina</t>
        </is>
      </c>
      <c r="G850" s="169" t="inlineStr">
        <is>
          <t>EUREKA - 1999 (22,5 Ha.)</t>
        </is>
      </c>
      <c r="H850" s="169" t="n"/>
      <c r="I850" s="169" t="n"/>
      <c r="J850" s="169" t="inlineStr">
        <is>
          <t>ARRIENDOS</t>
        </is>
      </c>
      <c r="K850" s="169" t="inlineStr">
        <is>
          <t>ARRIENDO BAÃ‘O</t>
        </is>
      </c>
      <c r="L850" s="169" t="inlineStr">
        <is>
          <t>O/001704 ARRIENDO B</t>
        </is>
      </c>
      <c r="M850" s="169" t="n"/>
      <c r="N850" s="169" t="inlineStr">
        <is>
          <t>.   .   -</t>
        </is>
      </c>
      <c r="O850" s="169" t="inlineStr">
        <is>
          <t>MAYO</t>
        </is>
      </c>
      <c r="P850" s="169" t="n">
        <v>20</v>
      </c>
      <c r="Q850" s="171" t="n">
        <v>553630</v>
      </c>
      <c r="R850" s="169" t="n"/>
      <c r="S850" s="171" t="n">
        <v>553630</v>
      </c>
      <c r="T850" s="169" t="inlineStr">
        <is>
          <t>CLP</t>
        </is>
      </c>
      <c r="U850" s="169" t="inlineStr">
        <is>
          <t>Carga LH 18-06-26</t>
        </is>
      </c>
      <c r="V850" s="169" t="inlineStr">
        <is>
          <t>2026-06-18</t>
        </is>
      </c>
    </row>
    <row r="851">
      <c r="A851" s="169" t="inlineStr">
        <is>
          <t>CR-0848</t>
        </is>
      </c>
      <c r="B851" s="169" t="inlineStr">
        <is>
          <t>2026/27</t>
        </is>
      </c>
      <c r="C851" s="231" t="n">
        <v>46168</v>
      </c>
      <c r="D851" s="169" t="inlineStr">
        <is>
          <t>104</t>
        </is>
      </c>
      <c r="E851" s="169" t="inlineStr">
        <is>
          <t>COMPRA</t>
        </is>
      </c>
      <c r="F851" s="169" t="inlineStr">
        <is>
          <t>Mega Catalina</t>
        </is>
      </c>
      <c r="G851" s="169" t="inlineStr">
        <is>
          <t>EUREKA - 1999 (22,5 Ha.)</t>
        </is>
      </c>
      <c r="H851" s="169" t="n"/>
      <c r="I851" s="169" t="n"/>
      <c r="J851" s="169" t="inlineStr">
        <is>
          <t>ARRIENDOS</t>
        </is>
      </c>
      <c r="K851" s="169" t="inlineStr">
        <is>
          <t>ARRIENDO BAÃ‘O</t>
        </is>
      </c>
      <c r="L851" s="169" t="inlineStr">
        <is>
          <t>O/001704 ARRIENDO B</t>
        </is>
      </c>
      <c r="M851" s="169" t="n"/>
      <c r="N851" s="169" t="inlineStr">
        <is>
          <t>.   .   -</t>
        </is>
      </c>
      <c r="O851" s="169" t="inlineStr">
        <is>
          <t>MAYO</t>
        </is>
      </c>
      <c r="P851" s="169" t="n">
        <v>20</v>
      </c>
      <c r="Q851" s="171" t="n">
        <v>250000</v>
      </c>
      <c r="R851" s="169" t="n"/>
      <c r="S851" s="171" t="n">
        <v>250000</v>
      </c>
      <c r="T851" s="169" t="inlineStr">
        <is>
          <t>CLP</t>
        </is>
      </c>
      <c r="U851" s="169" t="inlineStr">
        <is>
          <t>Carga LH 18-06-26</t>
        </is>
      </c>
      <c r="V851" s="169" t="inlineStr">
        <is>
          <t>2026-06-18</t>
        </is>
      </c>
    </row>
    <row r="852">
      <c r="A852" s="169" t="inlineStr">
        <is>
          <t>CR-0849</t>
        </is>
      </c>
      <c r="B852" s="169" t="inlineStr">
        <is>
          <t>2026/27</t>
        </is>
      </c>
      <c r="C852" s="231" t="n">
        <v>46168</v>
      </c>
      <c r="D852" s="169" t="inlineStr">
        <is>
          <t>104</t>
        </is>
      </c>
      <c r="E852" s="169" t="inlineStr">
        <is>
          <t>COMPRA</t>
        </is>
      </c>
      <c r="F852" s="169" t="inlineStr">
        <is>
          <t>Mega Catalina</t>
        </is>
      </c>
      <c r="G852" s="169" t="inlineStr">
        <is>
          <t>EUREKA - 2016 (14,4 Ha.)</t>
        </is>
      </c>
      <c r="H852" s="169" t="n"/>
      <c r="I852" s="169" t="n"/>
      <c r="J852" s="169" t="inlineStr">
        <is>
          <t>ARRIENDOS</t>
        </is>
      </c>
      <c r="K852" s="169" t="inlineStr">
        <is>
          <t>ARRIENDO BAÃ‘O</t>
        </is>
      </c>
      <c r="L852" s="169" t="inlineStr">
        <is>
          <t>O/001704 ARRIENDO B</t>
        </is>
      </c>
      <c r="M852" s="169" t="n"/>
      <c r="N852" s="169" t="inlineStr">
        <is>
          <t>.   .   -</t>
        </is>
      </c>
      <c r="O852" s="169" t="inlineStr">
        <is>
          <t>MAYO</t>
        </is>
      </c>
      <c r="P852" s="169" t="n">
        <v>20</v>
      </c>
      <c r="Q852" s="171" t="n">
        <v>32566</v>
      </c>
      <c r="R852" s="169" t="n"/>
      <c r="S852" s="171" t="n">
        <v>32566</v>
      </c>
      <c r="T852" s="169" t="inlineStr">
        <is>
          <t>CLP</t>
        </is>
      </c>
      <c r="U852" s="169" t="inlineStr">
        <is>
          <t>Carga LH 18-06-26</t>
        </is>
      </c>
      <c r="V852" s="169" t="inlineStr">
        <is>
          <t>2026-06-18</t>
        </is>
      </c>
    </row>
    <row r="853">
      <c r="A853" s="169" t="inlineStr">
        <is>
          <t>CR-0850</t>
        </is>
      </c>
      <c r="B853" s="169" t="inlineStr">
        <is>
          <t>2026/27</t>
        </is>
      </c>
      <c r="C853" s="231" t="n">
        <v>46168</v>
      </c>
      <c r="D853" s="169" t="inlineStr">
        <is>
          <t>3277</t>
        </is>
      </c>
      <c r="E853" s="169" t="inlineStr">
        <is>
          <t>COMPRA</t>
        </is>
      </c>
      <c r="F853" s="169" t="inlineStr">
        <is>
          <t>Mega Catalina</t>
        </is>
      </c>
      <c r="G853" s="169" t="inlineStr">
        <is>
          <t>EUREKA - 1999 (22,5 Ha.)</t>
        </is>
      </c>
      <c r="H853" s="169" t="n"/>
      <c r="I853" s="169" t="n"/>
      <c r="J853" s="169" t="inlineStr">
        <is>
          <t>ARRIENDOS</t>
        </is>
      </c>
      <c r="K853" s="169" t="inlineStr">
        <is>
          <t>ARRIENDO BAÃ‘O</t>
        </is>
      </c>
      <c r="L853" s="169" t="inlineStr">
        <is>
          <t>O/001704 ARRIENDO B</t>
        </is>
      </c>
      <c r="M853" s="169" t="n"/>
      <c r="N853" s="169" t="inlineStr">
        <is>
          <t>.   .   -</t>
        </is>
      </c>
      <c r="O853" s="169" t="inlineStr">
        <is>
          <t>MAYO</t>
        </is>
      </c>
      <c r="P853" s="169" t="n">
        <v>20</v>
      </c>
      <c r="Q853" s="171" t="n">
        <v>390800</v>
      </c>
      <c r="R853" s="169" t="n"/>
      <c r="S853" s="171" t="n">
        <v>390800</v>
      </c>
      <c r="T853" s="169" t="inlineStr">
        <is>
          <t>CLP</t>
        </is>
      </c>
      <c r="U853" s="169" t="inlineStr">
        <is>
          <t>Carga LH 18-06-26</t>
        </is>
      </c>
      <c r="V853" s="169" t="inlineStr">
        <is>
          <t>2026-06-18</t>
        </is>
      </c>
    </row>
    <row r="854">
      <c r="A854" s="169" t="inlineStr">
        <is>
          <t>CR-0851</t>
        </is>
      </c>
      <c r="B854" s="169" t="inlineStr">
        <is>
          <t>2026/27</t>
        </is>
      </c>
      <c r="C854" s="231" t="n">
        <v>46168</v>
      </c>
      <c r="D854" s="169" t="inlineStr">
        <is>
          <t>3277</t>
        </is>
      </c>
      <c r="E854" s="169" t="inlineStr">
        <is>
          <t>COMPRA</t>
        </is>
      </c>
      <c r="F854" s="169" t="inlineStr">
        <is>
          <t>Mega Catalina</t>
        </is>
      </c>
      <c r="G854" s="169" t="inlineStr">
        <is>
          <t>EUREKA - 1999 (22,5 Ha.)</t>
        </is>
      </c>
      <c r="H854" s="169" t="n"/>
      <c r="I854" s="169" t="n"/>
      <c r="J854" s="169" t="inlineStr">
        <is>
          <t>ARRIENDOS</t>
        </is>
      </c>
      <c r="K854" s="169" t="inlineStr">
        <is>
          <t>ARRIENDO BAÃ‘O</t>
        </is>
      </c>
      <c r="L854" s="169" t="inlineStr">
        <is>
          <t>O/001704 ARRIENDO B</t>
        </is>
      </c>
      <c r="M854" s="169" t="n"/>
      <c r="N854" s="169" t="inlineStr">
        <is>
          <t>.   .   -</t>
        </is>
      </c>
      <c r="O854" s="169" t="inlineStr">
        <is>
          <t>MAYO</t>
        </is>
      </c>
      <c r="P854" s="169" t="n">
        <v>20</v>
      </c>
      <c r="Q854" s="171" t="n">
        <v>553630</v>
      </c>
      <c r="R854" s="169" t="n"/>
      <c r="S854" s="171" t="n">
        <v>553630</v>
      </c>
      <c r="T854" s="169" t="inlineStr">
        <is>
          <t>CLP</t>
        </is>
      </c>
      <c r="U854" s="169" t="inlineStr">
        <is>
          <t>Carga LH 18-06-26</t>
        </is>
      </c>
      <c r="V854" s="169" t="inlineStr">
        <is>
          <t>2026-06-18</t>
        </is>
      </c>
    </row>
    <row r="855">
      <c r="A855" s="169" t="inlineStr">
        <is>
          <t>CR-0852</t>
        </is>
      </c>
      <c r="B855" s="169" t="inlineStr">
        <is>
          <t>2026/27</t>
        </is>
      </c>
      <c r="C855" s="231" t="n">
        <v>46168</v>
      </c>
      <c r="D855" s="169" t="inlineStr">
        <is>
          <t>3277</t>
        </is>
      </c>
      <c r="E855" s="169" t="inlineStr">
        <is>
          <t>COMPRA</t>
        </is>
      </c>
      <c r="F855" s="169" t="inlineStr">
        <is>
          <t>Mega Catalina</t>
        </is>
      </c>
      <c r="G855" s="169" t="inlineStr">
        <is>
          <t>EUREKA - 1999 (22,5 Ha.)</t>
        </is>
      </c>
      <c r="H855" s="169" t="n"/>
      <c r="I855" s="169" t="n"/>
      <c r="J855" s="169" t="inlineStr">
        <is>
          <t>ARRIENDOS</t>
        </is>
      </c>
      <c r="K855" s="169" t="inlineStr">
        <is>
          <t>ARRIENDO BAÃ‘O</t>
        </is>
      </c>
      <c r="L855" s="169" t="inlineStr">
        <is>
          <t>O/001704 ARRIENDO B</t>
        </is>
      </c>
      <c r="M855" s="169" t="n"/>
      <c r="N855" s="169" t="inlineStr">
        <is>
          <t>.   .   -</t>
        </is>
      </c>
      <c r="O855" s="169" t="inlineStr">
        <is>
          <t>MAYO</t>
        </is>
      </c>
      <c r="P855" s="169" t="n">
        <v>20</v>
      </c>
      <c r="Q855" s="171" t="n">
        <v>250000</v>
      </c>
      <c r="R855" s="169" t="n"/>
      <c r="S855" s="171" t="n">
        <v>250000</v>
      </c>
      <c r="T855" s="169" t="inlineStr">
        <is>
          <t>CLP</t>
        </is>
      </c>
      <c r="U855" s="169" t="inlineStr">
        <is>
          <t>Carga LH 18-06-26</t>
        </is>
      </c>
      <c r="V855" s="169" t="inlineStr">
        <is>
          <t>2026-06-18</t>
        </is>
      </c>
    </row>
    <row r="856">
      <c r="A856" s="169" t="inlineStr">
        <is>
          <t>CR-0853</t>
        </is>
      </c>
      <c r="B856" s="169" t="inlineStr">
        <is>
          <t>2026/27</t>
        </is>
      </c>
      <c r="C856" s="231" t="n">
        <v>46168</v>
      </c>
      <c r="D856" s="169" t="inlineStr">
        <is>
          <t>3277</t>
        </is>
      </c>
      <c r="E856" s="169" t="inlineStr">
        <is>
          <t>COMPRA</t>
        </is>
      </c>
      <c r="F856" s="169" t="inlineStr">
        <is>
          <t>Mega Catalina</t>
        </is>
      </c>
      <c r="G856" s="169" t="inlineStr">
        <is>
          <t>EUREKA - 2016 (14,4 Ha.)</t>
        </is>
      </c>
      <c r="H856" s="169" t="n"/>
      <c r="I856" s="169" t="n"/>
      <c r="J856" s="169" t="inlineStr">
        <is>
          <t>ARRIENDOS</t>
        </is>
      </c>
      <c r="K856" s="169" t="inlineStr">
        <is>
          <t>ARRIENDO BAÃ‘O</t>
        </is>
      </c>
      <c r="L856" s="169" t="inlineStr">
        <is>
          <t>O/001704 ARRIENDO B</t>
        </is>
      </c>
      <c r="M856" s="169" t="n"/>
      <c r="N856" s="169" t="inlineStr">
        <is>
          <t>.   .   -</t>
        </is>
      </c>
      <c r="O856" s="169" t="inlineStr">
        <is>
          <t>MAYO</t>
        </is>
      </c>
      <c r="P856" s="169" t="n">
        <v>20</v>
      </c>
      <c r="Q856" s="171" t="n">
        <v>32566</v>
      </c>
      <c r="R856" s="169" t="n"/>
      <c r="S856" s="171" t="n">
        <v>32566</v>
      </c>
      <c r="T856" s="169" t="inlineStr">
        <is>
          <t>CLP</t>
        </is>
      </c>
      <c r="U856" s="169" t="inlineStr">
        <is>
          <t>Carga LH 18-06-26</t>
        </is>
      </c>
      <c r="V856" s="169" t="inlineStr">
        <is>
          <t>2026-06-18</t>
        </is>
      </c>
    </row>
    <row r="857">
      <c r="A857" s="169" t="inlineStr">
        <is>
          <t>CR-0854</t>
        </is>
      </c>
      <c r="B857" s="169" t="inlineStr">
        <is>
          <t>2026/27</t>
        </is>
      </c>
      <c r="C857" s="231" t="n">
        <v>46168</v>
      </c>
      <c r="D857" s="169" t="inlineStr">
        <is>
          <t>3274</t>
        </is>
      </c>
      <c r="E857" s="169" t="inlineStr">
        <is>
          <t>COMPRA</t>
        </is>
      </c>
      <c r="F857" s="169" t="inlineStr">
        <is>
          <t>Asmara</t>
        </is>
      </c>
      <c r="G857" s="169" t="inlineStr">
        <is>
          <t>MURCOTT - 2020 (19,8 Ha.)</t>
        </is>
      </c>
      <c r="H857" s="169" t="n"/>
      <c r="I857" s="169" t="n"/>
      <c r="J857" s="169" t="inlineStr">
        <is>
          <t>ARRIENDOS</t>
        </is>
      </c>
      <c r="K857" s="169" t="inlineStr">
        <is>
          <t>ARRIENDO BAÃ‘O</t>
        </is>
      </c>
      <c r="L857" s="169" t="inlineStr">
        <is>
          <t>O/001705 ARRIENDO B</t>
        </is>
      </c>
      <c r="M857" s="169" t="n"/>
      <c r="N857" s="169" t="inlineStr">
        <is>
          <t>.   .   -</t>
        </is>
      </c>
      <c r="O857" s="169" t="inlineStr">
        <is>
          <t>MAYO</t>
        </is>
      </c>
      <c r="P857" s="169" t="n">
        <v>20</v>
      </c>
      <c r="Q857" s="171" t="n">
        <v>97700</v>
      </c>
      <c r="R857" s="169" t="n"/>
      <c r="S857" s="171" t="n">
        <v>97700</v>
      </c>
      <c r="T857" s="169" t="inlineStr">
        <is>
          <t>CLP</t>
        </is>
      </c>
      <c r="U857" s="169" t="inlineStr">
        <is>
          <t>Carga LH 18-06-26</t>
        </is>
      </c>
      <c r="V857" s="169" t="inlineStr">
        <is>
          <t>2026-06-18</t>
        </is>
      </c>
    </row>
    <row r="858">
      <c r="A858" s="169" t="inlineStr">
        <is>
          <t>CR-0855</t>
        </is>
      </c>
      <c r="B858" s="169" t="inlineStr">
        <is>
          <t>2026/27</t>
        </is>
      </c>
      <c r="C858" s="231" t="n">
        <v>46168</v>
      </c>
      <c r="D858" s="169" t="inlineStr">
        <is>
          <t>3274</t>
        </is>
      </c>
      <c r="E858" s="169" t="inlineStr">
        <is>
          <t>COMPRA</t>
        </is>
      </c>
      <c r="F858" s="169" t="inlineStr">
        <is>
          <t>Asmara</t>
        </is>
      </c>
      <c r="G858" s="169" t="inlineStr">
        <is>
          <t>MURCOTT - 2020 (4,9 Ha.)</t>
        </is>
      </c>
      <c r="H858" s="169" t="n"/>
      <c r="I858" s="169" t="n"/>
      <c r="J858" s="169" t="inlineStr">
        <is>
          <t>ARRIENDOS</t>
        </is>
      </c>
      <c r="K858" s="169" t="inlineStr">
        <is>
          <t>ARRIENDO BAÃ‘O</t>
        </is>
      </c>
      <c r="L858" s="169" t="inlineStr">
        <is>
          <t>O/001705 ARRIENDO B</t>
        </is>
      </c>
      <c r="M858" s="169" t="n"/>
      <c r="N858" s="169" t="inlineStr">
        <is>
          <t>.   .   -</t>
        </is>
      </c>
      <c r="O858" s="169" t="inlineStr">
        <is>
          <t>MAYO</t>
        </is>
      </c>
      <c r="P858" s="169" t="n">
        <v>20</v>
      </c>
      <c r="Q858" s="171" t="n">
        <v>16283</v>
      </c>
      <c r="R858" s="169" t="n"/>
      <c r="S858" s="171" t="n">
        <v>16283</v>
      </c>
      <c r="T858" s="169" t="inlineStr">
        <is>
          <t>CLP</t>
        </is>
      </c>
      <c r="U858" s="169" t="inlineStr">
        <is>
          <t>Carga LH 18-06-26</t>
        </is>
      </c>
      <c r="V858" s="169" t="inlineStr">
        <is>
          <t>2026-06-18</t>
        </is>
      </c>
    </row>
    <row r="859">
      <c r="A859" s="169" t="inlineStr">
        <is>
          <t>CR-0856</t>
        </is>
      </c>
      <c r="B859" s="169" t="inlineStr">
        <is>
          <t>2026/27</t>
        </is>
      </c>
      <c r="C859" s="231" t="n">
        <v>46168</v>
      </c>
      <c r="D859" s="169" t="inlineStr">
        <is>
          <t>3276</t>
        </is>
      </c>
      <c r="E859" s="169" t="inlineStr">
        <is>
          <t>COMPRA</t>
        </is>
      </c>
      <c r="F859" s="169" t="inlineStr">
        <is>
          <t>El Molle</t>
        </is>
      </c>
      <c r="G859" s="169" t="inlineStr">
        <is>
          <t>ARRUFATINA - 2017 (5,74 Ha.)</t>
        </is>
      </c>
      <c r="H859" s="169" t="n"/>
      <c r="I859" s="169" t="n"/>
      <c r="J859" s="169" t="inlineStr">
        <is>
          <t>ARRIENDOS</t>
        </is>
      </c>
      <c r="K859" s="169" t="inlineStr">
        <is>
          <t>ARRIENDO BAÃ‘O</t>
        </is>
      </c>
      <c r="L859" s="169" t="inlineStr">
        <is>
          <t>O/001706 ARRIENDO B</t>
        </is>
      </c>
      <c r="M859" s="169" t="n"/>
      <c r="N859" s="169" t="inlineStr">
        <is>
          <t>.   .   -</t>
        </is>
      </c>
      <c r="O859" s="169" t="inlineStr">
        <is>
          <t>MAYO</t>
        </is>
      </c>
      <c r="P859" s="169" t="n">
        <v>20</v>
      </c>
      <c r="Q859" s="171" t="n">
        <v>195400</v>
      </c>
      <c r="R859" s="169" t="n"/>
      <c r="S859" s="171" t="n">
        <v>195400</v>
      </c>
      <c r="T859" s="169" t="inlineStr">
        <is>
          <t>CLP</t>
        </is>
      </c>
      <c r="U859" s="169" t="inlineStr">
        <is>
          <t>Carga LH 18-06-26</t>
        </is>
      </c>
      <c r="V859" s="169" t="inlineStr">
        <is>
          <t>2026-06-18</t>
        </is>
      </c>
    </row>
    <row r="860">
      <c r="A860" s="169" t="inlineStr">
        <is>
          <t>CR-0857</t>
        </is>
      </c>
      <c r="B860" s="169" t="inlineStr">
        <is>
          <t>2026/27</t>
        </is>
      </c>
      <c r="C860" s="231" t="n">
        <v>46168</v>
      </c>
      <c r="D860" s="169" t="inlineStr">
        <is>
          <t>3276</t>
        </is>
      </c>
      <c r="E860" s="169" t="inlineStr">
        <is>
          <t>COMPRA</t>
        </is>
      </c>
      <c r="F860" s="169" t="inlineStr">
        <is>
          <t>El Molle</t>
        </is>
      </c>
      <c r="G860" s="169" t="inlineStr">
        <is>
          <t>ORONULES - 2017 (2,85 Ha.)</t>
        </is>
      </c>
      <c r="H860" s="169" t="n"/>
      <c r="I860" s="169" t="n"/>
      <c r="J860" s="169" t="inlineStr">
        <is>
          <t>ARRIENDOS</t>
        </is>
      </c>
      <c r="K860" s="169" t="inlineStr">
        <is>
          <t>ARRIENDO BAÃ‘O</t>
        </is>
      </c>
      <c r="L860" s="169" t="inlineStr">
        <is>
          <t>O/001706 ARRIENDO B</t>
        </is>
      </c>
      <c r="M860" s="169" t="n"/>
      <c r="N860" s="169" t="inlineStr">
        <is>
          <t>.   .   -</t>
        </is>
      </c>
      <c r="O860" s="169" t="inlineStr">
        <is>
          <t>MAYO</t>
        </is>
      </c>
      <c r="P860" s="169" t="n">
        <v>20</v>
      </c>
      <c r="Q860" s="171" t="n">
        <v>50000</v>
      </c>
      <c r="R860" s="169" t="n"/>
      <c r="S860" s="171" t="n">
        <v>50000</v>
      </c>
      <c r="T860" s="169" t="inlineStr">
        <is>
          <t>CLP</t>
        </is>
      </c>
      <c r="U860" s="169" t="inlineStr">
        <is>
          <t>Carga LH 18-06-26</t>
        </is>
      </c>
      <c r="V860" s="169" t="inlineStr">
        <is>
          <t>2026-06-18</t>
        </is>
      </c>
    </row>
    <row r="861">
      <c r="A861" s="169" t="inlineStr">
        <is>
          <t>CR-0858</t>
        </is>
      </c>
      <c r="B861" s="169" t="inlineStr">
        <is>
          <t>2026/27</t>
        </is>
      </c>
      <c r="C861" s="231" t="n">
        <v>46168</v>
      </c>
      <c r="D861" s="169" t="inlineStr">
        <is>
          <t>3276</t>
        </is>
      </c>
      <c r="E861" s="169" t="inlineStr">
        <is>
          <t>COMPRA</t>
        </is>
      </c>
      <c r="F861" s="169" t="inlineStr">
        <is>
          <t>Mega Catalina</t>
        </is>
      </c>
      <c r="G861" s="169" t="inlineStr">
        <is>
          <t>ORONULES - 2019 (2,5 Ha.)</t>
        </is>
      </c>
      <c r="H861" s="169" t="n"/>
      <c r="I861" s="169" t="n"/>
      <c r="J861" s="169" t="inlineStr">
        <is>
          <t>ARRIENDOS</t>
        </is>
      </c>
      <c r="K861" s="169" t="inlineStr">
        <is>
          <t>ARRIENDO BAÃ‘O</t>
        </is>
      </c>
      <c r="L861" s="169" t="inlineStr">
        <is>
          <t>O/001706 ARRIENDO B</t>
        </is>
      </c>
      <c r="M861" s="169" t="n"/>
      <c r="N861" s="169" t="inlineStr">
        <is>
          <t>.   .   -</t>
        </is>
      </c>
      <c r="O861" s="169" t="inlineStr">
        <is>
          <t>MAYO</t>
        </is>
      </c>
      <c r="P861" s="169" t="n">
        <v>20</v>
      </c>
      <c r="Q861" s="171" t="n">
        <v>50000</v>
      </c>
      <c r="R861" s="169" t="n"/>
      <c r="S861" s="171" t="n">
        <v>50000</v>
      </c>
      <c r="T861" s="169" t="inlineStr">
        <is>
          <t>CLP</t>
        </is>
      </c>
      <c r="U861" s="169" t="inlineStr">
        <is>
          <t>Carga LH 18-06-26</t>
        </is>
      </c>
      <c r="V861" s="169" t="inlineStr">
        <is>
          <t>2026-06-18</t>
        </is>
      </c>
    </row>
    <row r="862">
      <c r="A862" s="169" t="inlineStr">
        <is>
          <t>CR-0859</t>
        </is>
      </c>
      <c r="B862" s="169" t="inlineStr">
        <is>
          <t>2026/27</t>
        </is>
      </c>
      <c r="C862" s="231" t="n">
        <v>46168</v>
      </c>
      <c r="D862" s="169" t="inlineStr">
        <is>
          <t>3276</t>
        </is>
      </c>
      <c r="E862" s="169" t="inlineStr">
        <is>
          <t>COMPRA</t>
        </is>
      </c>
      <c r="F862" s="169" t="inlineStr">
        <is>
          <t>El Molle</t>
        </is>
      </c>
      <c r="G862" s="169" t="inlineStr">
        <is>
          <t>OROGRANDE - 2007 (8,11 Ha.)</t>
        </is>
      </c>
      <c r="H862" s="169" t="n"/>
      <c r="I862" s="169" t="n"/>
      <c r="J862" s="169" t="inlineStr">
        <is>
          <t>ARRIENDOS</t>
        </is>
      </c>
      <c r="K862" s="169" t="inlineStr">
        <is>
          <t>ARRIENDO BAÃ‘O</t>
        </is>
      </c>
      <c r="L862" s="169" t="inlineStr">
        <is>
          <t>O/001706 ARRIENDO B</t>
        </is>
      </c>
      <c r="M862" s="169" t="n"/>
      <c r="N862" s="169" t="inlineStr">
        <is>
          <t>.   .   -</t>
        </is>
      </c>
      <c r="O862" s="169" t="inlineStr">
        <is>
          <t>MAYO</t>
        </is>
      </c>
      <c r="P862" s="169" t="n">
        <v>20</v>
      </c>
      <c r="Q862" s="171" t="n">
        <v>195400</v>
      </c>
      <c r="R862" s="169" t="n"/>
      <c r="S862" s="171" t="n">
        <v>195400</v>
      </c>
      <c r="T862" s="169" t="inlineStr">
        <is>
          <t>CLP</t>
        </is>
      </c>
      <c r="U862" s="169" t="inlineStr">
        <is>
          <t>Carga LH 18-06-26</t>
        </is>
      </c>
      <c r="V862" s="169" t="inlineStr">
        <is>
          <t>2026-06-18</t>
        </is>
      </c>
    </row>
    <row r="863">
      <c r="A863" s="169" t="inlineStr">
        <is>
          <t>CR-0860</t>
        </is>
      </c>
      <c r="B863" s="169" t="inlineStr">
        <is>
          <t>2026/27</t>
        </is>
      </c>
      <c r="C863" s="231" t="n">
        <v>46168</v>
      </c>
      <c r="D863" s="169" t="inlineStr">
        <is>
          <t>812</t>
        </is>
      </c>
      <c r="E863" s="169" t="inlineStr">
        <is>
          <t>COMPRA</t>
        </is>
      </c>
      <c r="F863" s="169" t="inlineStr">
        <is>
          <t>Mega Catalina</t>
        </is>
      </c>
      <c r="G863" s="169" t="inlineStr">
        <is>
          <t>EUREKA - 1999 (22,5 Ha.)</t>
        </is>
      </c>
      <c r="H863" s="169" t="n"/>
      <c r="I863" s="169" t="n"/>
      <c r="J863" s="169" t="inlineStr">
        <is>
          <t>MANO DE OBRA CONTRATISTA</t>
        </is>
      </c>
      <c r="K863" s="169" t="inlineStr">
        <is>
          <t>M.O. CONTRATISTA</t>
        </is>
      </c>
      <c r="L863" s="169" t="inlineStr">
        <is>
          <t>O/001703 COSECHA DE</t>
        </is>
      </c>
      <c r="M863" s="169" t="n"/>
      <c r="N863" s="169" t="inlineStr">
        <is>
          <t>.   .   -</t>
        </is>
      </c>
      <c r="O863" s="169" t="inlineStr">
        <is>
          <t>MAYO</t>
        </is>
      </c>
      <c r="P863" s="169" t="n">
        <v>20</v>
      </c>
      <c r="Q863" s="171" t="n">
        <v>590400</v>
      </c>
      <c r="R863" s="169" t="n"/>
      <c r="S863" s="171" t="n">
        <v>590400</v>
      </c>
      <c r="T863" s="169" t="inlineStr">
        <is>
          <t>CLP</t>
        </is>
      </c>
      <c r="U863" s="169" t="inlineStr">
        <is>
          <t>Carga LH 18-06-26</t>
        </is>
      </c>
      <c r="V863" s="169" t="inlineStr">
        <is>
          <t>2026-06-18</t>
        </is>
      </c>
    </row>
    <row r="864">
      <c r="A864" s="169" t="inlineStr">
        <is>
          <t>CR-0861</t>
        </is>
      </c>
      <c r="B864" s="169" t="inlineStr">
        <is>
          <t>2026/27</t>
        </is>
      </c>
      <c r="C864" s="231" t="n">
        <v>46168</v>
      </c>
      <c r="D864" s="169" t="inlineStr">
        <is>
          <t>812</t>
        </is>
      </c>
      <c r="E864" s="169" t="inlineStr">
        <is>
          <t>COMPRA</t>
        </is>
      </c>
      <c r="F864" s="169" t="inlineStr">
        <is>
          <t>Mega Catalina</t>
        </is>
      </c>
      <c r="G864" s="169" t="inlineStr">
        <is>
          <t>EUREKA - 1999 (22,5 Ha.)</t>
        </is>
      </c>
      <c r="H864" s="169" t="n"/>
      <c r="I864" s="169" t="n"/>
      <c r="J864" s="169" t="inlineStr">
        <is>
          <t>MANO DE OBRA CONTRATISTA</t>
        </is>
      </c>
      <c r="K864" s="169" t="inlineStr">
        <is>
          <t>M.O. CONTRATISTA</t>
        </is>
      </c>
      <c r="L864" s="169" t="inlineStr">
        <is>
          <t>O/001703 COSECHA ME</t>
        </is>
      </c>
      <c r="M864" s="169" t="n"/>
      <c r="N864" s="169" t="inlineStr">
        <is>
          <t>.   .   -</t>
        </is>
      </c>
      <c r="O864" s="169" t="inlineStr">
        <is>
          <t>MAYO</t>
        </is>
      </c>
      <c r="P864" s="169" t="n">
        <v>20</v>
      </c>
      <c r="Q864" s="171" t="n">
        <v>200720</v>
      </c>
      <c r="R864" s="169" t="n"/>
      <c r="S864" s="171" t="n">
        <v>200720</v>
      </c>
      <c r="T864" s="169" t="inlineStr">
        <is>
          <t>CLP</t>
        </is>
      </c>
      <c r="U864" s="169" t="inlineStr">
        <is>
          <t>Carga LH 18-06-26</t>
        </is>
      </c>
      <c r="V864" s="169" t="inlineStr">
        <is>
          <t>2026-06-18</t>
        </is>
      </c>
    </row>
    <row r="865">
      <c r="A865" s="169" t="inlineStr">
        <is>
          <t>CR-0862</t>
        </is>
      </c>
      <c r="B865" s="169" t="inlineStr">
        <is>
          <t>2026/27</t>
        </is>
      </c>
      <c r="C865" s="231" t="n">
        <v>46168</v>
      </c>
      <c r="D865" s="169" t="inlineStr">
        <is>
          <t>489</t>
        </is>
      </c>
      <c r="E865" s="169" t="inlineStr">
        <is>
          <t>COMPRA</t>
        </is>
      </c>
      <c r="F865" s="169" t="inlineStr">
        <is>
          <t>El Molle</t>
        </is>
      </c>
      <c r="G865" s="169" t="inlineStr">
        <is>
          <t>ARRUFATINA - 2017 (5,74 Ha.)</t>
        </is>
      </c>
      <c r="H865" s="169" t="n"/>
      <c r="I865" s="169" t="n"/>
      <c r="J865" s="169" t="inlineStr">
        <is>
          <t>LABORES OPERACIONALES</t>
        </is>
      </c>
      <c r="K865" s="169" t="inlineStr">
        <is>
          <t>COSECHA</t>
        </is>
      </c>
      <c r="L865" s="169" t="inlineStr">
        <is>
          <t>SERV.CONTRATISTA</t>
        </is>
      </c>
      <c r="M865" s="169" t="n"/>
      <c r="N865" s="169" t="inlineStr">
        <is>
          <t>.   .   -</t>
        </is>
      </c>
      <c r="O865" s="169" t="inlineStr">
        <is>
          <t>MAYO</t>
        </is>
      </c>
      <c r="P865" s="169" t="n">
        <v>20</v>
      </c>
      <c r="Q865" s="171" t="n">
        <v>6420960</v>
      </c>
      <c r="R865" s="169" t="n"/>
      <c r="S865" s="171" t="n">
        <v>6420960</v>
      </c>
      <c r="T865" s="169" t="inlineStr">
        <is>
          <t>CLP</t>
        </is>
      </c>
      <c r="U865" s="169" t="inlineStr">
        <is>
          <t>Carga LH 18-06-26</t>
        </is>
      </c>
      <c r="V865" s="169" t="inlineStr">
        <is>
          <t>2026-06-18</t>
        </is>
      </c>
    </row>
    <row r="866">
      <c r="A866" s="169" t="inlineStr">
        <is>
          <t>CR-0863</t>
        </is>
      </c>
      <c r="B866" s="169" t="inlineStr">
        <is>
          <t>2026/27</t>
        </is>
      </c>
      <c r="C866" s="231" t="n">
        <v>46168</v>
      </c>
      <c r="D866" s="169" t="inlineStr">
        <is>
          <t>489</t>
        </is>
      </c>
      <c r="E866" s="169" t="inlineStr">
        <is>
          <t>COMPRA</t>
        </is>
      </c>
      <c r="F866" s="169" t="inlineStr">
        <is>
          <t>El Molle</t>
        </is>
      </c>
      <c r="G866" s="169" t="inlineStr">
        <is>
          <t>ORONULES - 2017 (2,85 Ha.)</t>
        </is>
      </c>
      <c r="H866" s="169" t="n"/>
      <c r="I866" s="169" t="n"/>
      <c r="J866" s="169" t="inlineStr">
        <is>
          <t>LABORES OPERACIONALES</t>
        </is>
      </c>
      <c r="K866" s="169" t="inlineStr">
        <is>
          <t>COSECHA</t>
        </is>
      </c>
      <c r="L866" s="169" t="inlineStr">
        <is>
          <t>SERV.CONTRATISTA</t>
        </is>
      </c>
      <c r="M866" s="169" t="n"/>
      <c r="N866" s="169" t="inlineStr">
        <is>
          <t>.   .   -</t>
        </is>
      </c>
      <c r="O866" s="169" t="inlineStr">
        <is>
          <t>MAYO</t>
        </is>
      </c>
      <c r="P866" s="169" t="n">
        <v>20</v>
      </c>
      <c r="Q866" s="171" t="n">
        <v>1529850</v>
      </c>
      <c r="R866" s="169" t="n"/>
      <c r="S866" s="171" t="n">
        <v>1529850</v>
      </c>
      <c r="T866" s="169" t="inlineStr">
        <is>
          <t>CLP</t>
        </is>
      </c>
      <c r="U866" s="169" t="inlineStr">
        <is>
          <t>Carga LH 18-06-26</t>
        </is>
      </c>
      <c r="V866" s="169" t="inlineStr">
        <is>
          <t>2026-06-18</t>
        </is>
      </c>
    </row>
    <row r="867">
      <c r="A867" s="169" t="inlineStr">
        <is>
          <t>CR-0864</t>
        </is>
      </c>
      <c r="B867" s="169" t="inlineStr">
        <is>
          <t>2026/27</t>
        </is>
      </c>
      <c r="C867" s="231" t="n">
        <v>46168</v>
      </c>
      <c r="D867" s="169" t="inlineStr">
        <is>
          <t>489</t>
        </is>
      </c>
      <c r="E867" s="169" t="inlineStr">
        <is>
          <t>COMPRA</t>
        </is>
      </c>
      <c r="F867" s="169" t="inlineStr">
        <is>
          <t>Mega Catalina</t>
        </is>
      </c>
      <c r="G867" s="169" t="inlineStr">
        <is>
          <t>ORONULES - 2019 (2,5 Ha.)</t>
        </is>
      </c>
      <c r="H867" s="169" t="n"/>
      <c r="I867" s="169" t="n"/>
      <c r="J867" s="169" t="inlineStr">
        <is>
          <t>LABORES OPERACIONALES</t>
        </is>
      </c>
      <c r="K867" s="169" t="inlineStr">
        <is>
          <t>COSECHA</t>
        </is>
      </c>
      <c r="L867" s="169" t="inlineStr">
        <is>
          <t>SERV.CONTRATISTA</t>
        </is>
      </c>
      <c r="M867" s="169" t="n"/>
      <c r="N867" s="169" t="inlineStr">
        <is>
          <t>.   .   -</t>
        </is>
      </c>
      <c r="O867" s="169" t="inlineStr">
        <is>
          <t>MAYO</t>
        </is>
      </c>
      <c r="P867" s="169" t="n">
        <v>20</v>
      </c>
      <c r="Q867" s="171" t="n">
        <v>1344630</v>
      </c>
      <c r="R867" s="169" t="n"/>
      <c r="S867" s="171" t="n">
        <v>1344630</v>
      </c>
      <c r="T867" s="169" t="inlineStr">
        <is>
          <t>CLP</t>
        </is>
      </c>
      <c r="U867" s="169" t="inlineStr">
        <is>
          <t>Carga LH 18-06-26</t>
        </is>
      </c>
      <c r="V867" s="169" t="inlineStr">
        <is>
          <t>2026-06-18</t>
        </is>
      </c>
    </row>
    <row r="868">
      <c r="A868" s="169" t="inlineStr">
        <is>
          <t>CR-0865</t>
        </is>
      </c>
      <c r="B868" s="169" t="inlineStr">
        <is>
          <t>2026/27</t>
        </is>
      </c>
      <c r="C868" s="231" t="n">
        <v>46169</v>
      </c>
      <c r="D868" s="169" t="inlineStr">
        <is>
          <t>178648</t>
        </is>
      </c>
      <c r="E868" s="169" t="inlineStr">
        <is>
          <t>COMPRA</t>
        </is>
      </c>
      <c r="F868" s="169" t="inlineStr">
        <is>
          <t>Mega Catalina</t>
        </is>
      </c>
      <c r="G868" s="169" t="inlineStr">
        <is>
          <t>EUREKA - 1999 (22,5 Ha.)</t>
        </is>
      </c>
      <c r="H868" s="169" t="n"/>
      <c r="I868" s="169" t="n"/>
      <c r="J868" s="169" t="inlineStr">
        <is>
          <t>FLETES</t>
        </is>
      </c>
      <c r="K868" s="169" t="inlineStr">
        <is>
          <t>FLETE TRASLADO MATERIALES</t>
        </is>
      </c>
      <c r="L868" s="169" t="inlineStr">
        <is>
          <t>O/001710 FLETE</t>
        </is>
      </c>
      <c r="M868" s="169" t="n"/>
      <c r="N868" s="169" t="inlineStr">
        <is>
          <t>.   .   -</t>
        </is>
      </c>
      <c r="O868" s="169" t="inlineStr">
        <is>
          <t>MAYO</t>
        </is>
      </c>
      <c r="P868" s="169" t="n">
        <v>20</v>
      </c>
      <c r="Q868" s="171" t="n">
        <v>4933</v>
      </c>
      <c r="R868" s="169" t="n"/>
      <c r="S868" s="171" t="n">
        <v>4933</v>
      </c>
      <c r="T868" s="169" t="inlineStr">
        <is>
          <t>CLP</t>
        </is>
      </c>
      <c r="U868" s="169" t="inlineStr">
        <is>
          <t>Carga LH 18-06-26</t>
        </is>
      </c>
      <c r="V868" s="169" t="inlineStr">
        <is>
          <t>2026-06-18</t>
        </is>
      </c>
    </row>
    <row r="869">
      <c r="A869" s="169" t="inlineStr">
        <is>
          <t>CR-0866</t>
        </is>
      </c>
      <c r="B869" s="169" t="inlineStr">
        <is>
          <t>2026/27</t>
        </is>
      </c>
      <c r="C869" s="231" t="n">
        <v>46169</v>
      </c>
      <c r="D869" s="169" t="inlineStr">
        <is>
          <t>427069</t>
        </is>
      </c>
      <c r="E869" s="169" t="inlineStr">
        <is>
          <t>COMPRA</t>
        </is>
      </c>
      <c r="F869" s="169" t="inlineStr">
        <is>
          <t>Sin asignar</t>
        </is>
      </c>
      <c r="G869" s="169" t="inlineStr">
        <is>
          <t>BODEGA</t>
        </is>
      </c>
      <c r="H869" s="169" t="n"/>
      <c r="I869" s="169" t="n"/>
      <c r="J869" s="169" t="inlineStr">
        <is>
          <t>GASTOS GENERALES</t>
        </is>
      </c>
      <c r="K869" s="169" t="inlineStr">
        <is>
          <t>ALIMENTO MASCOTA</t>
        </is>
      </c>
      <c r="L869" s="169" t="inlineStr">
        <is>
          <t>O/001709 CACHUPIN 2</t>
        </is>
      </c>
      <c r="M869" s="169" t="n"/>
      <c r="N869" s="169" t="inlineStr">
        <is>
          <t>.   .   -</t>
        </is>
      </c>
      <c r="O869" s="169" t="inlineStr">
        <is>
          <t>MAYO</t>
        </is>
      </c>
      <c r="P869" s="169" t="n">
        <v>20</v>
      </c>
      <c r="Q869" s="171" t="n">
        <v>155000</v>
      </c>
      <c r="R869" s="169" t="n"/>
      <c r="S869" s="171" t="n">
        <v>155000</v>
      </c>
      <c r="T869" s="169" t="inlineStr">
        <is>
          <t>CLP</t>
        </is>
      </c>
      <c r="U869" s="169" t="inlineStr">
        <is>
          <t>Carga LH 18-06-26</t>
        </is>
      </c>
      <c r="V869" s="169" t="inlineStr">
        <is>
          <t>2026-06-18</t>
        </is>
      </c>
    </row>
    <row r="870">
      <c r="A870" s="169" t="inlineStr">
        <is>
          <t>CR-0867</t>
        </is>
      </c>
      <c r="B870" s="169" t="inlineStr">
        <is>
          <t>2026/27</t>
        </is>
      </c>
      <c r="C870" s="231" t="n">
        <v>46169</v>
      </c>
      <c r="D870" s="169" t="inlineStr">
        <is>
          <t>114357</t>
        </is>
      </c>
      <c r="E870" s="169" t="inlineStr">
        <is>
          <t>COMPRA</t>
        </is>
      </c>
      <c r="F870" s="169" t="inlineStr">
        <is>
          <t>Mega Catalina</t>
        </is>
      </c>
      <c r="G870" s="169" t="inlineStr">
        <is>
          <t>MURCOTT - 2007 (21 Ha.)</t>
        </is>
      </c>
      <c r="H870" s="169" t="n"/>
      <c r="I870" s="169" t="n"/>
      <c r="J870" s="169" t="inlineStr">
        <is>
          <t>MANTENCION MAQUINARIAS</t>
        </is>
      </c>
      <c r="K870" s="169" t="inlineStr">
        <is>
          <t>SCAT. MOTOR EL ZANJON EL MOLINO (15023)</t>
        </is>
      </c>
      <c r="L870" s="169" t="inlineStr">
        <is>
          <t>O/001711 MANTENCION</t>
        </is>
      </c>
      <c r="M870" s="169" t="n"/>
      <c r="N870" s="169" t="inlineStr">
        <is>
          <t>.   .   -</t>
        </is>
      </c>
      <c r="O870" s="169" t="inlineStr">
        <is>
          <t>MAYO</t>
        </is>
      </c>
      <c r="P870" s="169" t="n">
        <v>20</v>
      </c>
      <c r="Q870" s="171" t="n">
        <v>51916</v>
      </c>
      <c r="R870" s="169" t="n"/>
      <c r="S870" s="171" t="n">
        <v>51916</v>
      </c>
      <c r="T870" s="169" t="inlineStr">
        <is>
          <t>CLP</t>
        </is>
      </c>
      <c r="U870" s="169" t="inlineStr">
        <is>
          <t>Carga LH 18-06-26</t>
        </is>
      </c>
      <c r="V870" s="169" t="inlineStr">
        <is>
          <t>2026-06-18</t>
        </is>
      </c>
    </row>
    <row r="871">
      <c r="A871" s="169" t="inlineStr">
        <is>
          <t>CR-0868</t>
        </is>
      </c>
      <c r="B871" s="169" t="inlineStr">
        <is>
          <t>2026/27</t>
        </is>
      </c>
      <c r="C871" s="231" t="n">
        <v>46168</v>
      </c>
      <c r="D871" s="169" t="inlineStr">
        <is>
          <t>4</t>
        </is>
      </c>
      <c r="E871" s="169" t="inlineStr">
        <is>
          <t>COMPRA</t>
        </is>
      </c>
      <c r="F871" s="169" t="inlineStr">
        <is>
          <t>Mega Catalina</t>
        </is>
      </c>
      <c r="G871" s="169" t="inlineStr">
        <is>
          <t>EUREKA - 1999 (22,5 Ha.)</t>
        </is>
      </c>
      <c r="H871" s="169" t="n"/>
      <c r="I871" s="169" t="n"/>
      <c r="J871" s="169" t="inlineStr">
        <is>
          <t>ARRIENDOS</t>
        </is>
      </c>
      <c r="K871" s="169" t="inlineStr">
        <is>
          <t>ARRIENDO BAÃ‘O</t>
        </is>
      </c>
      <c r="L871" s="169" t="inlineStr">
        <is>
          <t>O/001704 ARRIENDO B</t>
        </is>
      </c>
      <c r="M871" s="169" t="n"/>
      <c r="N871" s="169" t="inlineStr">
        <is>
          <t>.   .   -</t>
        </is>
      </c>
      <c r="O871" s="169" t="inlineStr">
        <is>
          <t>MAYO</t>
        </is>
      </c>
      <c r="P871" s="169" t="n">
        <v>20</v>
      </c>
      <c r="Q871" s="171" t="n">
        <v>390800</v>
      </c>
      <c r="R871" s="169" t="n"/>
      <c r="S871" s="171" t="n">
        <v>390800</v>
      </c>
      <c r="T871" s="169" t="inlineStr">
        <is>
          <t>CLP</t>
        </is>
      </c>
      <c r="U871" s="169" t="inlineStr">
        <is>
          <t>Carga LH 18-06-26</t>
        </is>
      </c>
      <c r="V871" s="169" t="inlineStr">
        <is>
          <t>2026-06-18</t>
        </is>
      </c>
    </row>
    <row r="872">
      <c r="A872" s="169" t="inlineStr">
        <is>
          <t>CR-0869</t>
        </is>
      </c>
      <c r="B872" s="169" t="inlineStr">
        <is>
          <t>2026/27</t>
        </is>
      </c>
      <c r="C872" s="231" t="n">
        <v>46168</v>
      </c>
      <c r="D872" s="169" t="inlineStr">
        <is>
          <t>4</t>
        </is>
      </c>
      <c r="E872" s="169" t="inlineStr">
        <is>
          <t>COMPRA</t>
        </is>
      </c>
      <c r="F872" s="169" t="inlineStr">
        <is>
          <t>Mega Catalina</t>
        </is>
      </c>
      <c r="G872" s="169" t="inlineStr">
        <is>
          <t>EUREKA - 1999 (22,5 Ha.)</t>
        </is>
      </c>
      <c r="H872" s="169" t="n"/>
      <c r="I872" s="169" t="n"/>
      <c r="J872" s="169" t="inlineStr">
        <is>
          <t>ARRIENDOS</t>
        </is>
      </c>
      <c r="K872" s="169" t="inlineStr">
        <is>
          <t>ARRIENDO BAÃ‘O</t>
        </is>
      </c>
      <c r="L872" s="169" t="inlineStr">
        <is>
          <t>O/001704 ARRIENDO B</t>
        </is>
      </c>
      <c r="M872" s="169" t="n"/>
      <c r="N872" s="169" t="inlineStr">
        <is>
          <t>.   .   -</t>
        </is>
      </c>
      <c r="O872" s="169" t="inlineStr">
        <is>
          <t>MAYO</t>
        </is>
      </c>
      <c r="P872" s="169" t="n">
        <v>20</v>
      </c>
      <c r="Q872" s="171" t="n">
        <v>553630</v>
      </c>
      <c r="R872" s="169" t="n"/>
      <c r="S872" s="171" t="n">
        <v>553630</v>
      </c>
      <c r="T872" s="169" t="inlineStr">
        <is>
          <t>CLP</t>
        </is>
      </c>
      <c r="U872" s="169" t="inlineStr">
        <is>
          <t>Carga LH 18-06-26</t>
        </is>
      </c>
      <c r="V872" s="169" t="inlineStr">
        <is>
          <t>2026-06-18</t>
        </is>
      </c>
    </row>
    <row r="873">
      <c r="A873" s="169" t="inlineStr">
        <is>
          <t>CR-0870</t>
        </is>
      </c>
      <c r="B873" s="169" t="inlineStr">
        <is>
          <t>2026/27</t>
        </is>
      </c>
      <c r="C873" s="231" t="n">
        <v>46168</v>
      </c>
      <c r="D873" s="169" t="inlineStr">
        <is>
          <t>4</t>
        </is>
      </c>
      <c r="E873" s="169" t="inlineStr">
        <is>
          <t>COMPRA</t>
        </is>
      </c>
      <c r="F873" s="169" t="inlineStr">
        <is>
          <t>Mega Catalina</t>
        </is>
      </c>
      <c r="G873" s="169" t="inlineStr">
        <is>
          <t>EUREKA - 1999 (22,5 Ha.)</t>
        </is>
      </c>
      <c r="H873" s="169" t="n"/>
      <c r="I873" s="169" t="n"/>
      <c r="J873" s="169" t="inlineStr">
        <is>
          <t>ARRIENDOS</t>
        </is>
      </c>
      <c r="K873" s="169" t="inlineStr">
        <is>
          <t>ARRIENDO BAÃ‘O</t>
        </is>
      </c>
      <c r="L873" s="169" t="inlineStr">
        <is>
          <t>O/001704 ARRIENDO B</t>
        </is>
      </c>
      <c r="M873" s="169" t="n"/>
      <c r="N873" s="169" t="inlineStr">
        <is>
          <t>.   .   -</t>
        </is>
      </c>
      <c r="O873" s="169" t="inlineStr">
        <is>
          <t>MAYO</t>
        </is>
      </c>
      <c r="P873" s="169" t="n">
        <v>20</v>
      </c>
      <c r="Q873" s="171" t="n">
        <v>250000</v>
      </c>
      <c r="R873" s="169" t="n"/>
      <c r="S873" s="171" t="n">
        <v>250000</v>
      </c>
      <c r="T873" s="169" t="inlineStr">
        <is>
          <t>CLP</t>
        </is>
      </c>
      <c r="U873" s="169" t="inlineStr">
        <is>
          <t>Carga LH 18-06-26</t>
        </is>
      </c>
      <c r="V873" s="169" t="inlineStr">
        <is>
          <t>2026-06-18</t>
        </is>
      </c>
    </row>
    <row r="874">
      <c r="A874" s="169" t="inlineStr">
        <is>
          <t>CR-0871</t>
        </is>
      </c>
      <c r="B874" s="169" t="inlineStr">
        <is>
          <t>2026/27</t>
        </is>
      </c>
      <c r="C874" s="231" t="n">
        <v>46168</v>
      </c>
      <c r="D874" s="169" t="inlineStr">
        <is>
          <t>4</t>
        </is>
      </c>
      <c r="E874" s="169" t="inlineStr">
        <is>
          <t>COMPRA</t>
        </is>
      </c>
      <c r="F874" s="169" t="inlineStr">
        <is>
          <t>Mega Catalina</t>
        </is>
      </c>
      <c r="G874" s="169" t="inlineStr">
        <is>
          <t>EUREKA - 2016 (14,4 Ha.)</t>
        </is>
      </c>
      <c r="H874" s="169" t="n"/>
      <c r="I874" s="169" t="n"/>
      <c r="J874" s="169" t="inlineStr">
        <is>
          <t>ARRIENDOS</t>
        </is>
      </c>
      <c r="K874" s="169" t="inlineStr">
        <is>
          <t>ARRIENDO BAÃ‘O</t>
        </is>
      </c>
      <c r="L874" s="169" t="inlineStr">
        <is>
          <t>O/001704 ARRIENDO B</t>
        </is>
      </c>
      <c r="M874" s="169" t="n"/>
      <c r="N874" s="169" t="inlineStr">
        <is>
          <t>.   .   -</t>
        </is>
      </c>
      <c r="O874" s="169" t="inlineStr">
        <is>
          <t>MAYO</t>
        </is>
      </c>
      <c r="P874" s="169" t="n">
        <v>20</v>
      </c>
      <c r="Q874" s="171" t="n">
        <v>32566</v>
      </c>
      <c r="R874" s="169" t="n"/>
      <c r="S874" s="171" t="n">
        <v>32566</v>
      </c>
      <c r="T874" s="169" t="inlineStr">
        <is>
          <t>CLP</t>
        </is>
      </c>
      <c r="U874" s="169" t="inlineStr">
        <is>
          <t>Carga LH 18-06-26</t>
        </is>
      </c>
      <c r="V874" s="169" t="inlineStr">
        <is>
          <t>2026-06-18</t>
        </is>
      </c>
    </row>
    <row r="875">
      <c r="A875" s="169" t="inlineStr">
        <is>
          <t>CR-0872</t>
        </is>
      </c>
      <c r="B875" s="169" t="inlineStr">
        <is>
          <t>2026/27</t>
        </is>
      </c>
      <c r="C875" s="231" t="n">
        <v>46168</v>
      </c>
      <c r="D875" s="169" t="inlineStr">
        <is>
          <t>103</t>
        </is>
      </c>
      <c r="E875" s="169" t="inlineStr">
        <is>
          <t>COMPRA</t>
        </is>
      </c>
      <c r="F875" s="169" t="inlineStr">
        <is>
          <t>Mega Catalina</t>
        </is>
      </c>
      <c r="G875" s="169" t="inlineStr">
        <is>
          <t>EUREKA - 1999 (22,5 Ha.)</t>
        </is>
      </c>
      <c r="H875" s="169" t="n"/>
      <c r="I875" s="169" t="n"/>
      <c r="J875" s="169" t="inlineStr">
        <is>
          <t>ARRIENDOS</t>
        </is>
      </c>
      <c r="K875" s="169" t="inlineStr">
        <is>
          <t>ARRIENDO BAÃ‘O</t>
        </is>
      </c>
      <c r="L875" s="169" t="inlineStr">
        <is>
          <t>O/001704 ARRIENDO B</t>
        </is>
      </c>
      <c r="M875" s="169" t="n"/>
      <c r="N875" s="169" t="inlineStr">
        <is>
          <t>.   .   -</t>
        </is>
      </c>
      <c r="O875" s="169" t="inlineStr">
        <is>
          <t>MAYO</t>
        </is>
      </c>
      <c r="P875" s="169" t="n">
        <v>20</v>
      </c>
      <c r="Q875" s="171" t="n">
        <v>390800</v>
      </c>
      <c r="R875" s="169" t="n"/>
      <c r="S875" s="171" t="n">
        <v>390800</v>
      </c>
      <c r="T875" s="169" t="inlineStr">
        <is>
          <t>CLP</t>
        </is>
      </c>
      <c r="U875" s="169" t="inlineStr">
        <is>
          <t>Carga LH 18-06-26</t>
        </is>
      </c>
      <c r="V875" s="169" t="inlineStr">
        <is>
          <t>2026-06-18</t>
        </is>
      </c>
    </row>
    <row r="876">
      <c r="A876" s="169" t="inlineStr">
        <is>
          <t>CR-0873</t>
        </is>
      </c>
      <c r="B876" s="169" t="inlineStr">
        <is>
          <t>2026/27</t>
        </is>
      </c>
      <c r="C876" s="231" t="n">
        <v>46168</v>
      </c>
      <c r="D876" s="169" t="inlineStr">
        <is>
          <t>103</t>
        </is>
      </c>
      <c r="E876" s="169" t="inlineStr">
        <is>
          <t>COMPRA</t>
        </is>
      </c>
      <c r="F876" s="169" t="inlineStr">
        <is>
          <t>Mega Catalina</t>
        </is>
      </c>
      <c r="G876" s="169" t="inlineStr">
        <is>
          <t>EUREKA - 1999 (22,5 Ha.)</t>
        </is>
      </c>
      <c r="H876" s="169" t="n"/>
      <c r="I876" s="169" t="n"/>
      <c r="J876" s="169" t="inlineStr">
        <is>
          <t>ARRIENDOS</t>
        </is>
      </c>
      <c r="K876" s="169" t="inlineStr">
        <is>
          <t>ARRIENDO BAÃ‘O</t>
        </is>
      </c>
      <c r="L876" s="169" t="inlineStr">
        <is>
          <t>O/001704 ARRIENDO B</t>
        </is>
      </c>
      <c r="M876" s="169" t="n"/>
      <c r="N876" s="169" t="inlineStr">
        <is>
          <t>.   .   -</t>
        </is>
      </c>
      <c r="O876" s="169" t="inlineStr">
        <is>
          <t>MAYO</t>
        </is>
      </c>
      <c r="P876" s="169" t="n">
        <v>20</v>
      </c>
      <c r="Q876" s="171" t="n">
        <v>553630</v>
      </c>
      <c r="R876" s="169" t="n"/>
      <c r="S876" s="171" t="n">
        <v>553630</v>
      </c>
      <c r="T876" s="169" t="inlineStr">
        <is>
          <t>CLP</t>
        </is>
      </c>
      <c r="U876" s="169" t="inlineStr">
        <is>
          <t>Carga LH 18-06-26</t>
        </is>
      </c>
      <c r="V876" s="169" t="inlineStr">
        <is>
          <t>2026-06-18</t>
        </is>
      </c>
    </row>
    <row r="877">
      <c r="A877" s="169" t="inlineStr">
        <is>
          <t>CR-0874</t>
        </is>
      </c>
      <c r="B877" s="169" t="inlineStr">
        <is>
          <t>2026/27</t>
        </is>
      </c>
      <c r="C877" s="231" t="n">
        <v>46168</v>
      </c>
      <c r="D877" s="169" t="inlineStr">
        <is>
          <t>103</t>
        </is>
      </c>
      <c r="E877" s="169" t="inlineStr">
        <is>
          <t>COMPRA</t>
        </is>
      </c>
      <c r="F877" s="169" t="inlineStr">
        <is>
          <t>Mega Catalina</t>
        </is>
      </c>
      <c r="G877" s="169" t="inlineStr">
        <is>
          <t>EUREKA - 1999 (22,5 Ha.)</t>
        </is>
      </c>
      <c r="H877" s="169" t="n"/>
      <c r="I877" s="169" t="n"/>
      <c r="J877" s="169" t="inlineStr">
        <is>
          <t>ARRIENDOS</t>
        </is>
      </c>
      <c r="K877" s="169" t="inlineStr">
        <is>
          <t>ARRIENDO BAÃ‘O</t>
        </is>
      </c>
      <c r="L877" s="169" t="inlineStr">
        <is>
          <t>O/001704 ARRIENDO B</t>
        </is>
      </c>
      <c r="M877" s="169" t="n"/>
      <c r="N877" s="169" t="inlineStr">
        <is>
          <t>.   .   -</t>
        </is>
      </c>
      <c r="O877" s="169" t="inlineStr">
        <is>
          <t>MAYO</t>
        </is>
      </c>
      <c r="P877" s="169" t="n">
        <v>20</v>
      </c>
      <c r="Q877" s="171" t="n">
        <v>250000</v>
      </c>
      <c r="R877" s="169" t="n"/>
      <c r="S877" s="171" t="n">
        <v>250000</v>
      </c>
      <c r="T877" s="169" t="inlineStr">
        <is>
          <t>CLP</t>
        </is>
      </c>
      <c r="U877" s="169" t="inlineStr">
        <is>
          <t>Carga LH 18-06-26</t>
        </is>
      </c>
      <c r="V877" s="169" t="inlineStr">
        <is>
          <t>2026-06-18</t>
        </is>
      </c>
    </row>
    <row r="878">
      <c r="A878" s="169" t="inlineStr">
        <is>
          <t>CR-0875</t>
        </is>
      </c>
      <c r="B878" s="169" t="inlineStr">
        <is>
          <t>2026/27</t>
        </is>
      </c>
      <c r="C878" s="231" t="n">
        <v>46168</v>
      </c>
      <c r="D878" s="169" t="inlineStr">
        <is>
          <t>103</t>
        </is>
      </c>
      <c r="E878" s="169" t="inlineStr">
        <is>
          <t>COMPRA</t>
        </is>
      </c>
      <c r="F878" s="169" t="inlineStr">
        <is>
          <t>Mega Catalina</t>
        </is>
      </c>
      <c r="G878" s="169" t="inlineStr">
        <is>
          <t>EUREKA - 2016 (14,4 Ha.)</t>
        </is>
      </c>
      <c r="H878" s="169" t="n"/>
      <c r="I878" s="169" t="n"/>
      <c r="J878" s="169" t="inlineStr">
        <is>
          <t>ARRIENDOS</t>
        </is>
      </c>
      <c r="K878" s="169" t="inlineStr">
        <is>
          <t>ARRIENDO BAÃ‘O</t>
        </is>
      </c>
      <c r="L878" s="169" t="inlineStr">
        <is>
          <t>O/001704 ARRIENDO B</t>
        </is>
      </c>
      <c r="M878" s="169" t="n"/>
      <c r="N878" s="169" t="inlineStr">
        <is>
          <t>.   .   -</t>
        </is>
      </c>
      <c r="O878" s="169" t="inlineStr">
        <is>
          <t>MAYO</t>
        </is>
      </c>
      <c r="P878" s="169" t="n">
        <v>20</v>
      </c>
      <c r="Q878" s="171" t="n">
        <v>32566</v>
      </c>
      <c r="R878" s="169" t="n"/>
      <c r="S878" s="171" t="n">
        <v>32566</v>
      </c>
      <c r="T878" s="169" t="inlineStr">
        <is>
          <t>CLP</t>
        </is>
      </c>
      <c r="U878" s="169" t="inlineStr">
        <is>
          <t>Carga LH 18-06-26</t>
        </is>
      </c>
      <c r="V878" s="169" t="inlineStr">
        <is>
          <t>2026-06-18</t>
        </is>
      </c>
    </row>
    <row r="879">
      <c r="A879" s="169" t="inlineStr">
        <is>
          <t>CR-0876</t>
        </is>
      </c>
      <c r="B879" s="169" t="inlineStr">
        <is>
          <t>2026/27</t>
        </is>
      </c>
      <c r="C879" s="231" t="n">
        <v>46171</v>
      </c>
      <c r="D879" s="169" t="inlineStr">
        <is>
          <t>590114</t>
        </is>
      </c>
      <c r="E879" s="169" t="inlineStr">
        <is>
          <t>COMPRA</t>
        </is>
      </c>
      <c r="F879" s="169" t="inlineStr">
        <is>
          <t>El Molle</t>
        </is>
      </c>
      <c r="G879" s="169" t="inlineStr">
        <is>
          <t>ARRUFATINA - 2017 (5,74 Ha.)</t>
        </is>
      </c>
      <c r="H879" s="169" t="n"/>
      <c r="I879" s="169" t="n"/>
      <c r="J879" s="169" t="inlineStr">
        <is>
          <t>COMBUSTIBLE</t>
        </is>
      </c>
      <c r="K879" s="169" t="inlineStr">
        <is>
          <t>MOLLE GRUA HORQUILLA</t>
        </is>
      </c>
      <c r="L879" s="169" t="inlineStr">
        <is>
          <t>O/001712 GAS ENV. 1</t>
        </is>
      </c>
      <c r="M879" s="169" t="n"/>
      <c r="N879" s="169" t="inlineStr">
        <is>
          <t>.   .   -</t>
        </is>
      </c>
      <c r="O879" s="169" t="inlineStr">
        <is>
          <t>MAYO</t>
        </is>
      </c>
      <c r="P879" s="169" t="n">
        <v>21</v>
      </c>
      <c r="Q879" s="171" t="n">
        <v>45701</v>
      </c>
      <c r="R879" s="169" t="n"/>
      <c r="S879" s="171" t="n">
        <v>45701</v>
      </c>
      <c r="T879" s="169" t="inlineStr">
        <is>
          <t>CLP</t>
        </is>
      </c>
      <c r="U879" s="169" t="inlineStr">
        <is>
          <t>Carga LH 18-06-26</t>
        </is>
      </c>
      <c r="V879" s="169" t="inlineStr">
        <is>
          <t>2026-06-18</t>
        </is>
      </c>
    </row>
    <row r="880">
      <c r="A880" s="169" t="inlineStr">
        <is>
          <t>CR-0877</t>
        </is>
      </c>
      <c r="B880" s="169" t="inlineStr">
        <is>
          <t>2026/27</t>
        </is>
      </c>
      <c r="C880" s="231" t="n">
        <v>46171</v>
      </c>
      <c r="D880" s="169" t="inlineStr">
        <is>
          <t>587558</t>
        </is>
      </c>
      <c r="E880" s="169" t="inlineStr">
        <is>
          <t>COMPRA</t>
        </is>
      </c>
      <c r="F880" s="169" t="inlineStr">
        <is>
          <t>Mega Catalina</t>
        </is>
      </c>
      <c r="G880" s="169" t="inlineStr">
        <is>
          <t>EUREKA - 1999 (22,5 Ha.)</t>
        </is>
      </c>
      <c r="H880" s="169" t="n"/>
      <c r="I880" s="169" t="n"/>
      <c r="J880" s="169" t="inlineStr">
        <is>
          <t>COMBUSTIBLE</t>
        </is>
      </c>
      <c r="K880" s="169" t="inlineStr">
        <is>
          <t>SCTA. GRUA HORQUILLA ARRIENDO</t>
        </is>
      </c>
      <c r="L880" s="169" t="inlineStr">
        <is>
          <t>O/001713 GAS ENV. 1</t>
        </is>
      </c>
      <c r="M880" s="169" t="n"/>
      <c r="N880" s="169" t="inlineStr">
        <is>
          <t>.   .   -</t>
        </is>
      </c>
      <c r="O880" s="169" t="inlineStr">
        <is>
          <t>MAYO</t>
        </is>
      </c>
      <c r="P880" s="169" t="n">
        <v>21</v>
      </c>
      <c r="Q880" s="171" t="n">
        <v>61698</v>
      </c>
      <c r="R880" s="169" t="n"/>
      <c r="S880" s="171" t="n">
        <v>61698</v>
      </c>
      <c r="T880" s="169" t="inlineStr">
        <is>
          <t>CLP</t>
        </is>
      </c>
      <c r="U880" s="169" t="inlineStr">
        <is>
          <t>Carga LH 18-06-26</t>
        </is>
      </c>
      <c r="V880" s="169" t="inlineStr">
        <is>
          <t>2026-06-18</t>
        </is>
      </c>
    </row>
    <row r="881">
      <c r="A881" s="169" t="inlineStr">
        <is>
          <t>CR-0878</t>
        </is>
      </c>
      <c r="B881" s="169" t="inlineStr">
        <is>
          <t>2026/27</t>
        </is>
      </c>
      <c r="C881" s="231" t="n">
        <v>46171</v>
      </c>
      <c r="D881" s="169" t="inlineStr">
        <is>
          <t>587558</t>
        </is>
      </c>
      <c r="E881" s="169" t="inlineStr">
        <is>
          <t>COMPRA</t>
        </is>
      </c>
      <c r="F881" s="169" t="inlineStr">
        <is>
          <t>Mega Catalina</t>
        </is>
      </c>
      <c r="G881" s="169" t="inlineStr">
        <is>
          <t>EUREKA - 1999 (22,5 Ha.)</t>
        </is>
      </c>
      <c r="H881" s="169" t="n"/>
      <c r="I881" s="169" t="n"/>
      <c r="J881" s="169" t="inlineStr">
        <is>
          <t>COMBUSTIBLE</t>
        </is>
      </c>
      <c r="K881" s="169" t="inlineStr">
        <is>
          <t>SCTA. GRUA HORQUILLA ARRIENDO</t>
        </is>
      </c>
      <c r="L881" s="169" t="inlineStr">
        <is>
          <t>O/001713 GAS ENV. 5</t>
        </is>
      </c>
      <c r="M881" s="169" t="n"/>
      <c r="N881" s="169" t="inlineStr">
        <is>
          <t>.   .   -</t>
        </is>
      </c>
      <c r="O881" s="169" t="inlineStr">
        <is>
          <t>MAYO</t>
        </is>
      </c>
      <c r="P881" s="169" t="n">
        <v>21</v>
      </c>
      <c r="Q881" s="171" t="n">
        <v>8440</v>
      </c>
      <c r="R881" s="169" t="n"/>
      <c r="S881" s="171" t="n">
        <v>8440</v>
      </c>
      <c r="T881" s="169" t="inlineStr">
        <is>
          <t>CLP</t>
        </is>
      </c>
      <c r="U881" s="169" t="inlineStr">
        <is>
          <t>Carga LH 18-06-26</t>
        </is>
      </c>
      <c r="V881" s="169" t="inlineStr">
        <is>
          <t>2026-06-18</t>
        </is>
      </c>
    </row>
    <row r="882">
      <c r="A882" s="169" t="inlineStr">
        <is>
          <t>CR-0879</t>
        </is>
      </c>
      <c r="B882" s="169" t="inlineStr">
        <is>
          <t>2026/27</t>
        </is>
      </c>
      <c r="C882" s="231" t="n">
        <v>46171</v>
      </c>
      <c r="D882" s="169" t="inlineStr">
        <is>
          <t>4274</t>
        </is>
      </c>
      <c r="E882" s="169" t="inlineStr">
        <is>
          <t>COMPRA</t>
        </is>
      </c>
      <c r="F882" s="169" t="inlineStr">
        <is>
          <t>El Molle</t>
        </is>
      </c>
      <c r="G882" s="169" t="inlineStr">
        <is>
          <t>ARRUFATINA - 2017 (5,74 Ha.)</t>
        </is>
      </c>
      <c r="H882" s="169" t="n"/>
      <c r="I882" s="169" t="n"/>
      <c r="J882" s="169" t="inlineStr">
        <is>
          <t>ARRIENDOS</t>
        </is>
      </c>
      <c r="K882" s="169" t="inlineStr">
        <is>
          <t>ARRIENDO GRUA HORQUILLA</t>
        </is>
      </c>
      <c r="L882" s="169" t="inlineStr">
        <is>
          <t>O/001715 ARRIENDO G</t>
        </is>
      </c>
      <c r="M882" s="169" t="n"/>
      <c r="N882" s="169" t="inlineStr">
        <is>
          <t>.   .   -</t>
        </is>
      </c>
      <c r="O882" s="169" t="inlineStr">
        <is>
          <t>MAYO</t>
        </is>
      </c>
      <c r="P882" s="169" t="n">
        <v>21</v>
      </c>
      <c r="Q882" s="171" t="n">
        <v>413334</v>
      </c>
      <c r="R882" s="169" t="n"/>
      <c r="S882" s="171" t="n">
        <v>413334</v>
      </c>
      <c r="T882" s="169" t="inlineStr">
        <is>
          <t>CLP</t>
        </is>
      </c>
      <c r="U882" s="169" t="inlineStr">
        <is>
          <t>Carga LH 18-06-26</t>
        </is>
      </c>
      <c r="V882" s="169" t="inlineStr">
        <is>
          <t>2026-06-18</t>
        </is>
      </c>
    </row>
    <row r="883">
      <c r="A883" s="169" t="inlineStr">
        <is>
          <t>CR-0880</t>
        </is>
      </c>
      <c r="B883" s="169" t="inlineStr">
        <is>
          <t>2026/27</t>
        </is>
      </c>
      <c r="C883" s="231" t="n">
        <v>46171</v>
      </c>
      <c r="D883" s="169" t="inlineStr">
        <is>
          <t>4274</t>
        </is>
      </c>
      <c r="E883" s="169" t="inlineStr">
        <is>
          <t>COMPRA</t>
        </is>
      </c>
      <c r="F883" s="169" t="inlineStr">
        <is>
          <t>El Molle</t>
        </is>
      </c>
      <c r="G883" s="169" t="inlineStr">
        <is>
          <t>ORONULES - 2017 (2,85 Ha.)</t>
        </is>
      </c>
      <c r="H883" s="169" t="n"/>
      <c r="I883" s="169" t="n"/>
      <c r="J883" s="169" t="inlineStr">
        <is>
          <t>ARRIENDOS</t>
        </is>
      </c>
      <c r="K883" s="169" t="inlineStr">
        <is>
          <t>ARRIENDO GRUA HORQUILLA</t>
        </is>
      </c>
      <c r="L883" s="169" t="inlineStr">
        <is>
          <t>O/001715 ARRIENDO G</t>
        </is>
      </c>
      <c r="M883" s="169" t="n"/>
      <c r="N883" s="169" t="inlineStr">
        <is>
          <t>.   .   -</t>
        </is>
      </c>
      <c r="O883" s="169" t="inlineStr">
        <is>
          <t>MAYO</t>
        </is>
      </c>
      <c r="P883" s="169" t="n">
        <v>21</v>
      </c>
      <c r="Q883" s="171" t="n">
        <v>103334</v>
      </c>
      <c r="R883" s="169" t="n"/>
      <c r="S883" s="171" t="n">
        <v>103334</v>
      </c>
      <c r="T883" s="169" t="inlineStr">
        <is>
          <t>CLP</t>
        </is>
      </c>
      <c r="U883" s="169" t="inlineStr">
        <is>
          <t>Carga LH 18-06-26</t>
        </is>
      </c>
      <c r="V883" s="169" t="inlineStr">
        <is>
          <t>2026-06-18</t>
        </is>
      </c>
    </row>
    <row r="884">
      <c r="A884" s="169" t="inlineStr">
        <is>
          <t>CR-0881</t>
        </is>
      </c>
      <c r="B884" s="169" t="inlineStr">
        <is>
          <t>2026/27</t>
        </is>
      </c>
      <c r="C884" s="231" t="n">
        <v>46171</v>
      </c>
      <c r="D884" s="169" t="inlineStr">
        <is>
          <t>4274</t>
        </is>
      </c>
      <c r="E884" s="169" t="inlineStr">
        <is>
          <t>COMPRA</t>
        </is>
      </c>
      <c r="F884" s="169" t="inlineStr">
        <is>
          <t>Mega Catalina</t>
        </is>
      </c>
      <c r="G884" s="169" t="inlineStr">
        <is>
          <t>ORONULES - 2019 (2,5 Ha.)</t>
        </is>
      </c>
      <c r="H884" s="169" t="n"/>
      <c r="I884" s="169" t="n"/>
      <c r="J884" s="169" t="inlineStr">
        <is>
          <t>ARRIENDOS</t>
        </is>
      </c>
      <c r="K884" s="169" t="inlineStr">
        <is>
          <t>ARRIENDO GRUA HORQUILLA</t>
        </is>
      </c>
      <c r="L884" s="169" t="inlineStr">
        <is>
          <t>O/001715 ARRIENDO G</t>
        </is>
      </c>
      <c r="M884" s="169" t="n"/>
      <c r="N884" s="169" t="inlineStr">
        <is>
          <t>.   .   -</t>
        </is>
      </c>
      <c r="O884" s="169" t="inlineStr">
        <is>
          <t>MAYO</t>
        </is>
      </c>
      <c r="P884" s="169" t="n">
        <v>21</v>
      </c>
      <c r="Q884" s="171" t="n">
        <v>103333</v>
      </c>
      <c r="R884" s="169" t="n"/>
      <c r="S884" s="171" t="n">
        <v>103333</v>
      </c>
      <c r="T884" s="169" t="inlineStr">
        <is>
          <t>CLP</t>
        </is>
      </c>
      <c r="U884" s="169" t="inlineStr">
        <is>
          <t>Carga LH 18-06-26</t>
        </is>
      </c>
      <c r="V884" s="169" t="inlineStr">
        <is>
          <t>2026-06-18</t>
        </is>
      </c>
    </row>
    <row r="885">
      <c r="A885" s="169" t="inlineStr">
        <is>
          <t>CR-0882</t>
        </is>
      </c>
      <c r="B885" s="169" t="inlineStr">
        <is>
          <t>2026/27</t>
        </is>
      </c>
      <c r="C885" s="231" t="n">
        <v>46172</v>
      </c>
      <c r="D885" s="169" t="inlineStr">
        <is>
          <t>422</t>
        </is>
      </c>
      <c r="E885" s="169" t="inlineStr">
        <is>
          <t>COMPRA</t>
        </is>
      </c>
      <c r="F885" s="169" t="inlineStr">
        <is>
          <t>Mega Catalina</t>
        </is>
      </c>
      <c r="G885" s="169" t="inlineStr">
        <is>
          <t>EUREKA - 1999 (22,5 Ha.)</t>
        </is>
      </c>
      <c r="H885" s="169" t="n"/>
      <c r="I885" s="169" t="n"/>
      <c r="J885" s="169" t="inlineStr">
        <is>
          <t>LABORES OPERACIONALES</t>
        </is>
      </c>
      <c r="K885" s="169" t="inlineStr">
        <is>
          <t>OTROS SERVICIOS</t>
        </is>
      </c>
      <c r="L885" s="169" t="inlineStr">
        <is>
          <t>SERV.CONTRATISTA</t>
        </is>
      </c>
      <c r="M885" s="169" t="n"/>
      <c r="N885" s="169" t="inlineStr">
        <is>
          <t>.   .   -</t>
        </is>
      </c>
      <c r="O885" s="169" t="inlineStr">
        <is>
          <t>MAYO</t>
        </is>
      </c>
      <c r="P885" s="169" t="n">
        <v>21</v>
      </c>
      <c r="Q885" s="171" t="n">
        <v>410640</v>
      </c>
      <c r="R885" s="169" t="n"/>
      <c r="S885" s="171" t="n">
        <v>410640</v>
      </c>
      <c r="T885" s="169" t="inlineStr">
        <is>
          <t>CLP</t>
        </is>
      </c>
      <c r="U885" s="169" t="inlineStr">
        <is>
          <t>Carga LH 18-06-26</t>
        </is>
      </c>
      <c r="V885" s="169" t="inlineStr">
        <is>
          <t>2026-06-18</t>
        </is>
      </c>
    </row>
    <row r="886">
      <c r="A886" s="169" t="inlineStr">
        <is>
          <t>CR-0883</t>
        </is>
      </c>
      <c r="B886" s="169" t="inlineStr">
        <is>
          <t>2026/27</t>
        </is>
      </c>
      <c r="C886" s="231" t="n">
        <v>46172</v>
      </c>
      <c r="D886" s="169" t="inlineStr">
        <is>
          <t>422</t>
        </is>
      </c>
      <c r="E886" s="169" t="inlineStr">
        <is>
          <t>COMPRA</t>
        </is>
      </c>
      <c r="F886" s="169" t="inlineStr">
        <is>
          <t>Mega Catalina</t>
        </is>
      </c>
      <c r="G886" s="169" t="inlineStr">
        <is>
          <t>EUREKA - 1999 (10,6 Ha.)</t>
        </is>
      </c>
      <c r="H886" s="169" t="n"/>
      <c r="I886" s="169" t="n"/>
      <c r="J886" s="169" t="inlineStr">
        <is>
          <t>LABORES OPERACIONALES</t>
        </is>
      </c>
      <c r="K886" s="169" t="inlineStr">
        <is>
          <t>OTROS SERVICIOS</t>
        </is>
      </c>
      <c r="L886" s="169" t="inlineStr">
        <is>
          <t>SERV.CONTRATISTA</t>
        </is>
      </c>
      <c r="M886" s="169" t="n"/>
      <c r="N886" s="169" t="inlineStr">
        <is>
          <t>.   .   -</t>
        </is>
      </c>
      <c r="O886" s="169" t="inlineStr">
        <is>
          <t>MAYO</t>
        </is>
      </c>
      <c r="P886" s="169" t="n">
        <v>21</v>
      </c>
      <c r="Q886" s="171" t="n">
        <v>224304</v>
      </c>
      <c r="R886" s="169" t="n"/>
      <c r="S886" s="171" t="n">
        <v>224304</v>
      </c>
      <c r="T886" s="169" t="inlineStr">
        <is>
          <t>CLP</t>
        </is>
      </c>
      <c r="U886" s="169" t="inlineStr">
        <is>
          <t>Carga LH 18-06-26</t>
        </is>
      </c>
      <c r="V886" s="169" t="inlineStr">
        <is>
          <t>2026-06-18</t>
        </is>
      </c>
    </row>
    <row r="887">
      <c r="A887" s="169" t="inlineStr">
        <is>
          <t>CR-0884</t>
        </is>
      </c>
      <c r="B887" s="169" t="inlineStr">
        <is>
          <t>2026/27</t>
        </is>
      </c>
      <c r="C887" s="231" t="n">
        <v>46172</v>
      </c>
      <c r="D887" s="169" t="inlineStr">
        <is>
          <t>422</t>
        </is>
      </c>
      <c r="E887" s="169" t="inlineStr">
        <is>
          <t>COMPRA</t>
        </is>
      </c>
      <c r="F887" s="169" t="inlineStr">
        <is>
          <t>Mega Catalina</t>
        </is>
      </c>
      <c r="G887" s="169" t="inlineStr">
        <is>
          <t>EUREKA - 2016 (14,4 Ha.)</t>
        </is>
      </c>
      <c r="H887" s="169" t="n"/>
      <c r="I887" s="169" t="n"/>
      <c r="J887" s="169" t="inlineStr">
        <is>
          <t>LABORES OPERACIONALES</t>
        </is>
      </c>
      <c r="K887" s="169" t="inlineStr">
        <is>
          <t>OTROS SERVICIOS</t>
        </is>
      </c>
      <c r="L887" s="169" t="inlineStr">
        <is>
          <t>SERV.CONTRATISTA</t>
        </is>
      </c>
      <c r="M887" s="169" t="n"/>
      <c r="N887" s="169" t="inlineStr">
        <is>
          <t>.   .   -</t>
        </is>
      </c>
      <c r="O887" s="169" t="inlineStr">
        <is>
          <t>MAYO</t>
        </is>
      </c>
      <c r="P887" s="169" t="n">
        <v>21</v>
      </c>
      <c r="Q887" s="171" t="n">
        <v>224304</v>
      </c>
      <c r="R887" s="169" t="n"/>
      <c r="S887" s="171" t="n">
        <v>224304</v>
      </c>
      <c r="T887" s="169" t="inlineStr">
        <is>
          <t>CLP</t>
        </is>
      </c>
      <c r="U887" s="169" t="inlineStr">
        <is>
          <t>Carga LH 18-06-26</t>
        </is>
      </c>
      <c r="V887" s="169" t="inlineStr">
        <is>
          <t>2026-06-18</t>
        </is>
      </c>
    </row>
    <row r="888">
      <c r="A888" s="169" t="inlineStr">
        <is>
          <t>CR-0885</t>
        </is>
      </c>
      <c r="B888" s="169" t="inlineStr">
        <is>
          <t>2026/27</t>
        </is>
      </c>
      <c r="C888" s="231" t="n">
        <v>46172</v>
      </c>
      <c r="D888" s="169" t="inlineStr">
        <is>
          <t>422</t>
        </is>
      </c>
      <c r="E888" s="169" t="inlineStr">
        <is>
          <t>COMPRA</t>
        </is>
      </c>
      <c r="F888" s="169" t="inlineStr">
        <is>
          <t>Mega Catalina</t>
        </is>
      </c>
      <c r="G888" s="169" t="inlineStr">
        <is>
          <t>FINO 49 - 1999 (7,7 Ha.)</t>
        </is>
      </c>
      <c r="H888" s="169" t="n"/>
      <c r="I888" s="169" t="n"/>
      <c r="J888" s="169" t="inlineStr">
        <is>
          <t>LABORES OPERACIONALES</t>
        </is>
      </c>
      <c r="K888" s="169" t="inlineStr">
        <is>
          <t>OTROS SERVICIOS</t>
        </is>
      </c>
      <c r="L888" s="169" t="inlineStr">
        <is>
          <t>SERV.CONTRATISTA</t>
        </is>
      </c>
      <c r="M888" s="169" t="n"/>
      <c r="N888" s="169" t="inlineStr">
        <is>
          <t>.   .   -</t>
        </is>
      </c>
      <c r="O888" s="169" t="inlineStr">
        <is>
          <t>MAYO</t>
        </is>
      </c>
      <c r="P888" s="169" t="n">
        <v>21</v>
      </c>
      <c r="Q888" s="171" t="n">
        <v>149536</v>
      </c>
      <c r="R888" s="169" t="n"/>
      <c r="S888" s="171" t="n">
        <v>149536</v>
      </c>
      <c r="T888" s="169" t="inlineStr">
        <is>
          <t>CLP</t>
        </is>
      </c>
      <c r="U888" s="169" t="inlineStr">
        <is>
          <t>Carga LH 18-06-26</t>
        </is>
      </c>
      <c r="V888" s="169" t="inlineStr">
        <is>
          <t>2026-06-18</t>
        </is>
      </c>
    </row>
    <row r="889">
      <c r="A889" s="169" t="inlineStr">
        <is>
          <t>CR-0886</t>
        </is>
      </c>
      <c r="B889" s="169" t="inlineStr">
        <is>
          <t>2026/27</t>
        </is>
      </c>
      <c r="C889" s="231" t="n">
        <v>46172</v>
      </c>
      <c r="D889" s="169" t="inlineStr">
        <is>
          <t>422</t>
        </is>
      </c>
      <c r="E889" s="169" t="inlineStr">
        <is>
          <t>COMPRA</t>
        </is>
      </c>
      <c r="F889" s="169" t="inlineStr">
        <is>
          <t>Mega Catalina</t>
        </is>
      </c>
      <c r="G889" s="169" t="inlineStr">
        <is>
          <t>NARANJA CAMBRIA - 2009 (4,2 Ha.)</t>
        </is>
      </c>
      <c r="H889" s="169" t="n"/>
      <c r="I889" s="169" t="n"/>
      <c r="J889" s="169" t="inlineStr">
        <is>
          <t>LABORES OPERACIONALES</t>
        </is>
      </c>
      <c r="K889" s="169" t="inlineStr">
        <is>
          <t>OTROS SERVICIOS</t>
        </is>
      </c>
      <c r="L889" s="169" t="inlineStr">
        <is>
          <t>SERV.CONTRATISTA</t>
        </is>
      </c>
      <c r="M889" s="169" t="n"/>
      <c r="N889" s="169" t="inlineStr">
        <is>
          <t>.   .   -</t>
        </is>
      </c>
      <c r="O889" s="169" t="inlineStr">
        <is>
          <t>MAYO</t>
        </is>
      </c>
      <c r="P889" s="169" t="n">
        <v>21</v>
      </c>
      <c r="Q889" s="171" t="n">
        <v>74768</v>
      </c>
      <c r="R889" s="169" t="n"/>
      <c r="S889" s="171" t="n">
        <v>74768</v>
      </c>
      <c r="T889" s="169" t="inlineStr">
        <is>
          <t>CLP</t>
        </is>
      </c>
      <c r="U889" s="169" t="inlineStr">
        <is>
          <t>Carga LH 18-06-26</t>
        </is>
      </c>
      <c r="V889" s="169" t="inlineStr">
        <is>
          <t>2026-06-18</t>
        </is>
      </c>
    </row>
    <row r="890">
      <c r="A890" s="169" t="inlineStr">
        <is>
          <t>CR-0887</t>
        </is>
      </c>
      <c r="B890" s="169" t="inlineStr">
        <is>
          <t>2026/27</t>
        </is>
      </c>
      <c r="C890" s="231" t="n">
        <v>46172</v>
      </c>
      <c r="D890" s="169" t="inlineStr">
        <is>
          <t>422</t>
        </is>
      </c>
      <c r="E890" s="169" t="inlineStr">
        <is>
          <t>COMPRA</t>
        </is>
      </c>
      <c r="F890" s="169" t="inlineStr">
        <is>
          <t>Mega Catalina</t>
        </is>
      </c>
      <c r="G890" s="169" t="inlineStr">
        <is>
          <t>MURCOTT - 2007 (21 Ha.)</t>
        </is>
      </c>
      <c r="H890" s="169" t="n"/>
      <c r="I890" s="169" t="n"/>
      <c r="J890" s="169" t="inlineStr">
        <is>
          <t>LABORES OPERACIONALES</t>
        </is>
      </c>
      <c r="K890" s="169" t="inlineStr">
        <is>
          <t>OTROS SERVICIOS</t>
        </is>
      </c>
      <c r="L890" s="169" t="inlineStr">
        <is>
          <t>SERV.CONTRATISTA</t>
        </is>
      </c>
      <c r="M890" s="169" t="n"/>
      <c r="N890" s="169" t="inlineStr">
        <is>
          <t>.   .   -</t>
        </is>
      </c>
      <c r="O890" s="169" t="inlineStr">
        <is>
          <t>MAYO</t>
        </is>
      </c>
      <c r="P890" s="169" t="n">
        <v>21</v>
      </c>
      <c r="Q890" s="171" t="n">
        <v>379764</v>
      </c>
      <c r="R890" s="169" t="n"/>
      <c r="S890" s="171" t="n">
        <v>379764</v>
      </c>
      <c r="T890" s="169" t="inlineStr">
        <is>
          <t>CLP</t>
        </is>
      </c>
      <c r="U890" s="169" t="inlineStr">
        <is>
          <t>Carga LH 18-06-26</t>
        </is>
      </c>
      <c r="V890" s="169" t="inlineStr">
        <is>
          <t>2026-06-18</t>
        </is>
      </c>
    </row>
    <row r="891">
      <c r="A891" s="169" t="inlineStr">
        <is>
          <t>CR-0888</t>
        </is>
      </c>
      <c r="B891" s="169" t="inlineStr">
        <is>
          <t>2026/27</t>
        </is>
      </c>
      <c r="C891" s="231" t="n">
        <v>46172</v>
      </c>
      <c r="D891" s="169" t="inlineStr">
        <is>
          <t>640</t>
        </is>
      </c>
      <c r="E891" s="169" t="inlineStr">
        <is>
          <t>COMPRA</t>
        </is>
      </c>
      <c r="F891" s="169" t="inlineStr">
        <is>
          <t>El Molle</t>
        </is>
      </c>
      <c r="G891" s="169" t="inlineStr">
        <is>
          <t>ARRUFATINA - 2017 (5,74 Ha.)</t>
        </is>
      </c>
      <c r="H891" s="169" t="n"/>
      <c r="I891" s="169" t="n"/>
      <c r="J891" s="169" t="inlineStr">
        <is>
          <t>LABORES OPERACIONALES</t>
        </is>
      </c>
      <c r="K891" s="169" t="inlineStr">
        <is>
          <t>OTROS SERVICIOS</t>
        </is>
      </c>
      <c r="L891" s="169" t="inlineStr">
        <is>
          <t>SERV.CONTRATISTA</t>
        </is>
      </c>
      <c r="M891" s="169" t="n"/>
      <c r="N891" s="169" t="inlineStr">
        <is>
          <t>.   .   -</t>
        </is>
      </c>
      <c r="O891" s="169" t="inlineStr">
        <is>
          <t>MAYO</t>
        </is>
      </c>
      <c r="P891" s="169" t="n">
        <v>21</v>
      </c>
      <c r="Q891" s="171" t="n">
        <v>185000</v>
      </c>
      <c r="R891" s="169" t="n"/>
      <c r="S891" s="171" t="n">
        <v>185000</v>
      </c>
      <c r="T891" s="169" t="inlineStr">
        <is>
          <t>CLP</t>
        </is>
      </c>
      <c r="U891" s="169" t="inlineStr">
        <is>
          <t>Carga LH 18-06-26</t>
        </is>
      </c>
      <c r="V891" s="169" t="inlineStr">
        <is>
          <t>2026-06-18</t>
        </is>
      </c>
    </row>
    <row r="892">
      <c r="A892" s="169" t="inlineStr">
        <is>
          <t>CR-0889</t>
        </is>
      </c>
      <c r="B892" s="169" t="inlineStr">
        <is>
          <t>2026/27</t>
        </is>
      </c>
      <c r="C892" s="231" t="n">
        <v>46172</v>
      </c>
      <c r="D892" s="169" t="inlineStr">
        <is>
          <t>640</t>
        </is>
      </c>
      <c r="E892" s="169" t="inlineStr">
        <is>
          <t>COMPRA</t>
        </is>
      </c>
      <c r="F892" s="169" t="inlineStr">
        <is>
          <t>El Molle</t>
        </is>
      </c>
      <c r="G892" s="169" t="inlineStr">
        <is>
          <t>ORONULES - 2017 (2,85 Ha.)</t>
        </is>
      </c>
      <c r="H892" s="169" t="n"/>
      <c r="I892" s="169" t="n"/>
      <c r="J892" s="169" t="inlineStr">
        <is>
          <t>LABORES OPERACIONALES</t>
        </is>
      </c>
      <c r="K892" s="169" t="inlineStr">
        <is>
          <t>OTROS SERVICIOS</t>
        </is>
      </c>
      <c r="L892" s="169" t="inlineStr">
        <is>
          <t>SERV.CONTRATISTA</t>
        </is>
      </c>
      <c r="M892" s="169" t="n"/>
      <c r="N892" s="169" t="inlineStr">
        <is>
          <t>.   .   -</t>
        </is>
      </c>
      <c r="O892" s="169" t="inlineStr">
        <is>
          <t>MAYO</t>
        </is>
      </c>
      <c r="P892" s="169" t="n">
        <v>21</v>
      </c>
      <c r="Q892" s="171" t="n">
        <v>90000</v>
      </c>
      <c r="R892" s="169" t="n"/>
      <c r="S892" s="171" t="n">
        <v>90000</v>
      </c>
      <c r="T892" s="169" t="inlineStr">
        <is>
          <t>CLP</t>
        </is>
      </c>
      <c r="U892" s="169" t="inlineStr">
        <is>
          <t>Carga LH 18-06-26</t>
        </is>
      </c>
      <c r="V892" s="169" t="inlineStr">
        <is>
          <t>2026-06-18</t>
        </is>
      </c>
    </row>
    <row r="893">
      <c r="A893" s="169" t="inlineStr">
        <is>
          <t>CR-0890</t>
        </is>
      </c>
      <c r="B893" s="169" t="inlineStr">
        <is>
          <t>2026/27</t>
        </is>
      </c>
      <c r="C893" s="231" t="n">
        <v>46172</v>
      </c>
      <c r="D893" s="169" t="inlineStr">
        <is>
          <t>640</t>
        </is>
      </c>
      <c r="E893" s="169" t="inlineStr">
        <is>
          <t>COMPRA</t>
        </is>
      </c>
      <c r="F893" s="169" t="inlineStr">
        <is>
          <t>Mega Catalina</t>
        </is>
      </c>
      <c r="G893" s="169" t="inlineStr">
        <is>
          <t>ORONULES - 2019 (2,5 Ha.)</t>
        </is>
      </c>
      <c r="H893" s="169" t="n"/>
      <c r="I893" s="169" t="n"/>
      <c r="J893" s="169" t="inlineStr">
        <is>
          <t>LABORES OPERACIONALES</t>
        </is>
      </c>
      <c r="K893" s="169" t="inlineStr">
        <is>
          <t>OTROS SERVICIOS</t>
        </is>
      </c>
      <c r="L893" s="169" t="inlineStr">
        <is>
          <t>SERV.CONTRATISTA</t>
        </is>
      </c>
      <c r="M893" s="169" t="n"/>
      <c r="N893" s="169" t="inlineStr">
        <is>
          <t>.   .   -</t>
        </is>
      </c>
      <c r="O893" s="169" t="inlineStr">
        <is>
          <t>MAYO</t>
        </is>
      </c>
      <c r="P893" s="169" t="n">
        <v>21</v>
      </c>
      <c r="Q893" s="171" t="n">
        <v>175000</v>
      </c>
      <c r="R893" s="169" t="n"/>
      <c r="S893" s="171" t="n">
        <v>175000</v>
      </c>
      <c r="T893" s="169" t="inlineStr">
        <is>
          <t>CLP</t>
        </is>
      </c>
      <c r="U893" s="169" t="inlineStr">
        <is>
          <t>Carga LH 18-06-26</t>
        </is>
      </c>
      <c r="V893" s="169" t="inlineStr">
        <is>
          <t>2026-06-18</t>
        </is>
      </c>
    </row>
    <row r="894">
      <c r="A894" s="169" t="inlineStr">
        <is>
          <t>CR-0891</t>
        </is>
      </c>
      <c r="B894" s="169" t="inlineStr">
        <is>
          <t>2026/27</t>
        </is>
      </c>
      <c r="C894" s="231" t="n">
        <v>46172</v>
      </c>
      <c r="D894" s="169" t="inlineStr">
        <is>
          <t>640</t>
        </is>
      </c>
      <c r="E894" s="169" t="inlineStr">
        <is>
          <t>COMPRA</t>
        </is>
      </c>
      <c r="F894" s="169" t="inlineStr">
        <is>
          <t>El Molle</t>
        </is>
      </c>
      <c r="G894" s="169" t="inlineStr">
        <is>
          <t>OROGRANDE - 2007 (8,11 Ha.)</t>
        </is>
      </c>
      <c r="H894" s="169" t="n"/>
      <c r="I894" s="169" t="n"/>
      <c r="J894" s="169" t="inlineStr">
        <is>
          <t>LABORES OPERACIONALES</t>
        </is>
      </c>
      <c r="K894" s="169" t="inlineStr">
        <is>
          <t>OTROS SERVICIOS</t>
        </is>
      </c>
      <c r="L894" s="169" t="inlineStr">
        <is>
          <t>SERV.CONTRATISTA</t>
        </is>
      </c>
      <c r="M894" s="169" t="n"/>
      <c r="N894" s="169" t="inlineStr">
        <is>
          <t>.   .   -</t>
        </is>
      </c>
      <c r="O894" s="169" t="inlineStr">
        <is>
          <t>MAYO</t>
        </is>
      </c>
      <c r="P894" s="169" t="n">
        <v>21</v>
      </c>
      <c r="Q894" s="171" t="n">
        <v>270000</v>
      </c>
      <c r="R894" s="169" t="n"/>
      <c r="S894" s="171" t="n">
        <v>270000</v>
      </c>
      <c r="T894" s="169" t="inlineStr">
        <is>
          <t>CLP</t>
        </is>
      </c>
      <c r="U894" s="169" t="inlineStr">
        <is>
          <t>Carga LH 18-06-26</t>
        </is>
      </c>
      <c r="V894" s="169" t="inlineStr">
        <is>
          <t>2026-06-18</t>
        </is>
      </c>
    </row>
    <row r="895">
      <c r="A895" s="169" t="inlineStr">
        <is>
          <t>CR-0892</t>
        </is>
      </c>
      <c r="B895" s="169" t="inlineStr">
        <is>
          <t>2026/27</t>
        </is>
      </c>
      <c r="C895" s="231" t="n">
        <v>46172</v>
      </c>
      <c r="D895" s="169" t="inlineStr">
        <is>
          <t>640</t>
        </is>
      </c>
      <c r="E895" s="169" t="inlineStr">
        <is>
          <t>COMPRA</t>
        </is>
      </c>
      <c r="F895" s="169" t="inlineStr">
        <is>
          <t>El Molle</t>
        </is>
      </c>
      <c r="G895" s="169" t="inlineStr">
        <is>
          <t>WONDERFUL - 2002 (2,80 Ha.)</t>
        </is>
      </c>
      <c r="H895" s="169" t="n"/>
      <c r="I895" s="169" t="n"/>
      <c r="J895" s="169" t="inlineStr">
        <is>
          <t>LABORES OPERACIONALES</t>
        </is>
      </c>
      <c r="K895" s="169" t="inlineStr">
        <is>
          <t>OTROS SERVICIOS</t>
        </is>
      </c>
      <c r="L895" s="169" t="inlineStr">
        <is>
          <t>SERV.CONTRATISTA</t>
        </is>
      </c>
      <c r="M895" s="169" t="n"/>
      <c r="N895" s="169" t="inlineStr">
        <is>
          <t>.   .   -</t>
        </is>
      </c>
      <c r="O895" s="169" t="inlineStr">
        <is>
          <t>MAYO</t>
        </is>
      </c>
      <c r="P895" s="169" t="n">
        <v>21</v>
      </c>
      <c r="Q895" s="171" t="n">
        <v>90000</v>
      </c>
      <c r="R895" s="169" t="n"/>
      <c r="S895" s="171" t="n">
        <v>90000</v>
      </c>
      <c r="T895" s="169" t="inlineStr">
        <is>
          <t>CLP</t>
        </is>
      </c>
      <c r="U895" s="169" t="inlineStr">
        <is>
          <t>Carga LH 18-06-26</t>
        </is>
      </c>
      <c r="V895" s="169" t="inlineStr">
        <is>
          <t>2026-06-18</t>
        </is>
      </c>
    </row>
    <row r="896">
      <c r="A896" s="169" t="inlineStr">
        <is>
          <t>CR-0893</t>
        </is>
      </c>
      <c r="B896" s="169" t="inlineStr">
        <is>
          <t>2026/27</t>
        </is>
      </c>
      <c r="C896" s="231" t="n">
        <v>46172</v>
      </c>
      <c r="D896" s="169" t="inlineStr">
        <is>
          <t>640</t>
        </is>
      </c>
      <c r="E896" s="169" t="inlineStr">
        <is>
          <t>COMPRA</t>
        </is>
      </c>
      <c r="F896" s="169" t="inlineStr">
        <is>
          <t>El Molle</t>
        </is>
      </c>
      <c r="G896" s="169" t="inlineStr">
        <is>
          <t>WONDERFUL - 2007 (2,44 Ha.)</t>
        </is>
      </c>
      <c r="H896" s="169" t="n"/>
      <c r="I896" s="169" t="n"/>
      <c r="J896" s="169" t="inlineStr">
        <is>
          <t>LABORES OPERACIONALES</t>
        </is>
      </c>
      <c r="K896" s="169" t="inlineStr">
        <is>
          <t>OTROS SERVICIOS</t>
        </is>
      </c>
      <c r="L896" s="169" t="inlineStr">
        <is>
          <t>SERV.CONTRATISTA</t>
        </is>
      </c>
      <c r="M896" s="169" t="n"/>
      <c r="N896" s="169" t="inlineStr">
        <is>
          <t>.   .   -</t>
        </is>
      </c>
      <c r="O896" s="169" t="inlineStr">
        <is>
          <t>MAYO</t>
        </is>
      </c>
      <c r="P896" s="169" t="n">
        <v>21</v>
      </c>
      <c r="Q896" s="171" t="n">
        <v>90000</v>
      </c>
      <c r="R896" s="169" t="n"/>
      <c r="S896" s="171" t="n">
        <v>90000</v>
      </c>
      <c r="T896" s="169" t="inlineStr">
        <is>
          <t>CLP</t>
        </is>
      </c>
      <c r="U896" s="169" t="inlineStr">
        <is>
          <t>Carga LH 18-06-26</t>
        </is>
      </c>
      <c r="V896" s="169" t="inlineStr">
        <is>
          <t>2026-06-18</t>
        </is>
      </c>
    </row>
    <row r="897">
      <c r="A897" s="169" t="inlineStr">
        <is>
          <t>CR-0894</t>
        </is>
      </c>
      <c r="B897" s="169" t="inlineStr">
        <is>
          <t>2026/27</t>
        </is>
      </c>
      <c r="C897" s="231" t="n">
        <v>46172</v>
      </c>
      <c r="D897" s="169" t="inlineStr">
        <is>
          <t>281</t>
        </is>
      </c>
      <c r="E897" s="169" t="inlineStr">
        <is>
          <t>COMPRA</t>
        </is>
      </c>
      <c r="F897" s="169" t="inlineStr">
        <is>
          <t>Mega Catalina</t>
        </is>
      </c>
      <c r="G897" s="169" t="inlineStr">
        <is>
          <t>EUREKA - 1999 (22,5 Ha.)</t>
        </is>
      </c>
      <c r="H897" s="169" t="n"/>
      <c r="I897" s="169" t="n"/>
      <c r="J897" s="169" t="inlineStr">
        <is>
          <t>LABORES OPERACIONALES</t>
        </is>
      </c>
      <c r="K897" s="169" t="inlineStr">
        <is>
          <t>OTROS SERVICIOS</t>
        </is>
      </c>
      <c r="L897" s="169" t="inlineStr">
        <is>
          <t>SERV.CONTRATISTA</t>
        </is>
      </c>
      <c r="M897" s="169" t="n"/>
      <c r="N897" s="169" t="inlineStr">
        <is>
          <t>.   .   -</t>
        </is>
      </c>
      <c r="O897" s="169" t="inlineStr">
        <is>
          <t>MAYO</t>
        </is>
      </c>
      <c r="P897" s="169" t="n">
        <v>21</v>
      </c>
      <c r="Q897" s="171" t="n">
        <v>159870</v>
      </c>
      <c r="R897" s="169" t="n"/>
      <c r="S897" s="171" t="n">
        <v>159870</v>
      </c>
      <c r="T897" s="169" t="inlineStr">
        <is>
          <t>CLP</t>
        </is>
      </c>
      <c r="U897" s="169" t="inlineStr">
        <is>
          <t>Carga LH 18-06-26</t>
        </is>
      </c>
      <c r="V897" s="169" t="inlineStr">
        <is>
          <t>2026-06-18</t>
        </is>
      </c>
    </row>
    <row r="898">
      <c r="A898" s="169" t="inlineStr">
        <is>
          <t>CR-0895</t>
        </is>
      </c>
      <c r="B898" s="169" t="inlineStr">
        <is>
          <t>2026/27</t>
        </is>
      </c>
      <c r="C898" s="231" t="n">
        <v>46172</v>
      </c>
      <c r="D898" s="169" t="inlineStr">
        <is>
          <t>281</t>
        </is>
      </c>
      <c r="E898" s="169" t="inlineStr">
        <is>
          <t>COMPRA</t>
        </is>
      </c>
      <c r="F898" s="169" t="inlineStr">
        <is>
          <t>Mega Catalina</t>
        </is>
      </c>
      <c r="G898" s="169" t="inlineStr">
        <is>
          <t>EUREKA - 1999 (10,6 Ha.)</t>
        </is>
      </c>
      <c r="H898" s="169" t="n"/>
      <c r="I898" s="169" t="n"/>
      <c r="J898" s="169" t="inlineStr">
        <is>
          <t>LABORES OPERACIONALES</t>
        </is>
      </c>
      <c r="K898" s="169" t="inlineStr">
        <is>
          <t>OTROS SERVICIOS</t>
        </is>
      </c>
      <c r="L898" s="169" t="inlineStr">
        <is>
          <t>SERV.CONTRATISTA</t>
        </is>
      </c>
      <c r="M898" s="169" t="n"/>
      <c r="N898" s="169" t="inlineStr">
        <is>
          <t>.   .   -</t>
        </is>
      </c>
      <c r="O898" s="169" t="inlineStr">
        <is>
          <t>MAYO</t>
        </is>
      </c>
      <c r="P898" s="169" t="n">
        <v>21</v>
      </c>
      <c r="Q898" s="171" t="n">
        <v>105120</v>
      </c>
      <c r="R898" s="169" t="n"/>
      <c r="S898" s="171" t="n">
        <v>105120</v>
      </c>
      <c r="T898" s="169" t="inlineStr">
        <is>
          <t>CLP</t>
        </is>
      </c>
      <c r="U898" s="169" t="inlineStr">
        <is>
          <t>Carga LH 18-06-26</t>
        </is>
      </c>
      <c r="V898" s="169" t="inlineStr">
        <is>
          <t>2026-06-18</t>
        </is>
      </c>
    </row>
    <row r="899">
      <c r="A899" s="169" t="inlineStr">
        <is>
          <t>CR-0896</t>
        </is>
      </c>
      <c r="B899" s="169" t="inlineStr">
        <is>
          <t>2026/27</t>
        </is>
      </c>
      <c r="C899" s="231" t="n">
        <v>46172</v>
      </c>
      <c r="D899" s="169" t="inlineStr">
        <is>
          <t>281</t>
        </is>
      </c>
      <c r="E899" s="169" t="inlineStr">
        <is>
          <t>COMPRA</t>
        </is>
      </c>
      <c r="F899" s="169" t="inlineStr">
        <is>
          <t>Mega Catalina</t>
        </is>
      </c>
      <c r="G899" s="169" t="inlineStr">
        <is>
          <t>EUREKA - 2016 (14,4 Ha.)</t>
        </is>
      </c>
      <c r="H899" s="169" t="n"/>
      <c r="I899" s="169" t="n"/>
      <c r="J899" s="169" t="inlineStr">
        <is>
          <t>LABORES OPERACIONALES</t>
        </is>
      </c>
      <c r="K899" s="169" t="inlineStr">
        <is>
          <t>OTROS SERVICIOS</t>
        </is>
      </c>
      <c r="L899" s="169" t="inlineStr">
        <is>
          <t>SERV.CONTRATISTA</t>
        </is>
      </c>
      <c r="M899" s="169" t="n"/>
      <c r="N899" s="169" t="inlineStr">
        <is>
          <t>.   .   -</t>
        </is>
      </c>
      <c r="O899" s="169" t="inlineStr">
        <is>
          <t>MAYO</t>
        </is>
      </c>
      <c r="P899" s="169" t="n">
        <v>21</v>
      </c>
      <c r="Q899" s="171" t="n">
        <v>100740</v>
      </c>
      <c r="R899" s="169" t="n"/>
      <c r="S899" s="171" t="n">
        <v>100740</v>
      </c>
      <c r="T899" s="169" t="inlineStr">
        <is>
          <t>CLP</t>
        </is>
      </c>
      <c r="U899" s="169" t="inlineStr">
        <is>
          <t>Carga LH 18-06-26</t>
        </is>
      </c>
      <c r="V899" s="169" t="inlineStr">
        <is>
          <t>2026-06-18</t>
        </is>
      </c>
    </row>
    <row r="900">
      <c r="A900" s="169" t="inlineStr">
        <is>
          <t>CR-0897</t>
        </is>
      </c>
      <c r="B900" s="169" t="inlineStr">
        <is>
          <t>2026/27</t>
        </is>
      </c>
      <c r="C900" s="231" t="n">
        <v>46172</v>
      </c>
      <c r="D900" s="169" t="inlineStr">
        <is>
          <t>281</t>
        </is>
      </c>
      <c r="E900" s="169" t="inlineStr">
        <is>
          <t>COMPRA</t>
        </is>
      </c>
      <c r="F900" s="169" t="inlineStr">
        <is>
          <t>Mega Catalina</t>
        </is>
      </c>
      <c r="G900" s="169" t="inlineStr">
        <is>
          <t>FINO 49 - 1999 (7,7 Ha.)</t>
        </is>
      </c>
      <c r="H900" s="169" t="n"/>
      <c r="I900" s="169" t="n"/>
      <c r="J900" s="169" t="inlineStr">
        <is>
          <t>LABORES OPERACIONALES</t>
        </is>
      </c>
      <c r="K900" s="169" t="inlineStr">
        <is>
          <t>OTROS SERVICIOS</t>
        </is>
      </c>
      <c r="L900" s="169" t="inlineStr">
        <is>
          <t>SERV.CONTRATISTA</t>
        </is>
      </c>
      <c r="M900" s="169" t="n"/>
      <c r="N900" s="169" t="inlineStr">
        <is>
          <t>.   .   -</t>
        </is>
      </c>
      <c r="O900" s="169" t="inlineStr">
        <is>
          <t>MAYO</t>
        </is>
      </c>
      <c r="P900" s="169" t="n">
        <v>21</v>
      </c>
      <c r="Q900" s="171" t="n">
        <v>81030</v>
      </c>
      <c r="R900" s="169" t="n"/>
      <c r="S900" s="171" t="n">
        <v>81030</v>
      </c>
      <c r="T900" s="169" t="inlineStr">
        <is>
          <t>CLP</t>
        </is>
      </c>
      <c r="U900" s="169" t="inlineStr">
        <is>
          <t>Carga LH 18-06-26</t>
        </is>
      </c>
      <c r="V900" s="169" t="inlineStr">
        <is>
          <t>2026-06-18</t>
        </is>
      </c>
    </row>
    <row r="901">
      <c r="A901" s="169" t="inlineStr">
        <is>
          <t>CR-0898</t>
        </is>
      </c>
      <c r="B901" s="169" t="inlineStr">
        <is>
          <t>2026/27</t>
        </is>
      </c>
      <c r="C901" s="231" t="n">
        <v>46172</v>
      </c>
      <c r="D901" s="169" t="inlineStr">
        <is>
          <t>281</t>
        </is>
      </c>
      <c r="E901" s="169" t="inlineStr">
        <is>
          <t>COMPRA</t>
        </is>
      </c>
      <c r="F901" s="169" t="inlineStr">
        <is>
          <t>Mega Catalina</t>
        </is>
      </c>
      <c r="G901" s="169" t="inlineStr">
        <is>
          <t>NARANJA CAMBRIA - 2009 (4,2 Ha.)</t>
        </is>
      </c>
      <c r="H901" s="169" t="n"/>
      <c r="I901" s="169" t="n"/>
      <c r="J901" s="169" t="inlineStr">
        <is>
          <t>LABORES OPERACIONALES</t>
        </is>
      </c>
      <c r="K901" s="169" t="inlineStr">
        <is>
          <t>OTROS SERVICIOS</t>
        </is>
      </c>
      <c r="L901" s="169" t="inlineStr">
        <is>
          <t>SERV.CONTRATISTA</t>
        </is>
      </c>
      <c r="M901" s="169" t="n"/>
      <c r="N901" s="169" t="inlineStr">
        <is>
          <t>.   .   -</t>
        </is>
      </c>
      <c r="O901" s="169" t="inlineStr">
        <is>
          <t>MAYO</t>
        </is>
      </c>
      <c r="P901" s="169" t="n">
        <v>21</v>
      </c>
      <c r="Q901" s="171" t="n">
        <v>28470</v>
      </c>
      <c r="R901" s="169" t="n"/>
      <c r="S901" s="171" t="n">
        <v>28470</v>
      </c>
      <c r="T901" s="169" t="inlineStr">
        <is>
          <t>CLP</t>
        </is>
      </c>
      <c r="U901" s="169" t="inlineStr">
        <is>
          <t>Carga LH 18-06-26</t>
        </is>
      </c>
      <c r="V901" s="169" t="inlineStr">
        <is>
          <t>2026-06-18</t>
        </is>
      </c>
    </row>
    <row r="902">
      <c r="A902" s="169" t="inlineStr">
        <is>
          <t>CR-0899</t>
        </is>
      </c>
      <c r="B902" s="169" t="inlineStr">
        <is>
          <t>2026/27</t>
        </is>
      </c>
      <c r="C902" s="231" t="n">
        <v>46172</v>
      </c>
      <c r="D902" s="169" t="inlineStr">
        <is>
          <t>281</t>
        </is>
      </c>
      <c r="E902" s="169" t="inlineStr">
        <is>
          <t>COMPRA</t>
        </is>
      </c>
      <c r="F902" s="169" t="inlineStr">
        <is>
          <t>Mega Catalina</t>
        </is>
      </c>
      <c r="G902" s="169" t="inlineStr">
        <is>
          <t>MURCOTT - 2007 (21 Ha.)</t>
        </is>
      </c>
      <c r="H902" s="169" t="n"/>
      <c r="I902" s="169" t="n"/>
      <c r="J902" s="169" t="inlineStr">
        <is>
          <t>LABORES OPERACIONALES</t>
        </is>
      </c>
      <c r="K902" s="169" t="inlineStr">
        <is>
          <t>OTROS SERVICIOS</t>
        </is>
      </c>
      <c r="L902" s="169" t="inlineStr">
        <is>
          <t>SERV.CONTRATISTA</t>
        </is>
      </c>
      <c r="M902" s="169" t="n"/>
      <c r="N902" s="169" t="inlineStr">
        <is>
          <t>.   .   -</t>
        </is>
      </c>
      <c r="O902" s="169" t="inlineStr">
        <is>
          <t>MAYO</t>
        </is>
      </c>
      <c r="P902" s="169" t="n">
        <v>21</v>
      </c>
      <c r="Q902" s="171" t="n">
        <v>148920</v>
      </c>
      <c r="R902" s="169" t="n"/>
      <c r="S902" s="171" t="n">
        <v>148920</v>
      </c>
      <c r="T902" s="169" t="inlineStr">
        <is>
          <t>CLP</t>
        </is>
      </c>
      <c r="U902" s="169" t="inlineStr">
        <is>
          <t>Carga LH 18-06-26</t>
        </is>
      </c>
      <c r="V902" s="169" t="inlineStr">
        <is>
          <t>2026-06-18</t>
        </is>
      </c>
    </row>
    <row r="903">
      <c r="A903" s="169" t="inlineStr">
        <is>
          <t>CR-0900</t>
        </is>
      </c>
      <c r="B903" s="169" t="inlineStr">
        <is>
          <t>2026/27</t>
        </is>
      </c>
      <c r="C903" s="231" t="n">
        <v>46160</v>
      </c>
      <c r="D903" s="169" t="inlineStr"/>
      <c r="E903" s="169" t="inlineStr">
        <is>
          <t>COMPRA</t>
        </is>
      </c>
      <c r="F903" s="169" t="inlineStr">
        <is>
          <t>Mega Catalina</t>
        </is>
      </c>
      <c r="G903" s="169" t="inlineStr">
        <is>
          <t>EUREKA - 1999 (22,5 Ha.)</t>
        </is>
      </c>
      <c r="H903" s="169" t="n"/>
      <c r="I903" s="169" t="n"/>
      <c r="J903" s="169" t="inlineStr">
        <is>
          <t>MANT. Y REP. PLANTACIONES</t>
        </is>
      </c>
      <c r="K903" s="169" t="inlineStr">
        <is>
          <t>MANTENCION HUERTO</t>
        </is>
      </c>
      <c r="L903" s="169" t="inlineStr">
        <is>
          <t>O/001686 HORNO MICR</t>
        </is>
      </c>
      <c r="M903" s="169" t="n"/>
      <c r="N903" s="169" t="inlineStr">
        <is>
          <t>.   .   -</t>
        </is>
      </c>
      <c r="O903" s="169" t="inlineStr">
        <is>
          <t>MAYO</t>
        </is>
      </c>
      <c r="P903" s="169" t="n">
        <v>19</v>
      </c>
      <c r="Q903" s="171" t="n">
        <v>66691</v>
      </c>
      <c r="R903" s="169" t="n"/>
      <c r="S903" s="171" t="n">
        <v>66691</v>
      </c>
      <c r="T903" s="169" t="inlineStr">
        <is>
          <t>CLP</t>
        </is>
      </c>
      <c r="U903" s="169" t="inlineStr">
        <is>
          <t>Carga LH 18-06-26</t>
        </is>
      </c>
      <c r="V903" s="169" t="inlineStr">
        <is>
          <t>2026-06-18</t>
        </is>
      </c>
    </row>
    <row r="904">
      <c r="A904" s="169" t="inlineStr">
        <is>
          <t>CR-0901</t>
        </is>
      </c>
      <c r="B904" s="169" t="inlineStr">
        <is>
          <t>2026/27</t>
        </is>
      </c>
      <c r="C904" s="231" t="n">
        <v>46160</v>
      </c>
      <c r="D904" s="169" t="inlineStr"/>
      <c r="E904" s="169" t="inlineStr">
        <is>
          <t>COMPRA</t>
        </is>
      </c>
      <c r="F904" s="169" t="inlineStr">
        <is>
          <t>Mega Catalina</t>
        </is>
      </c>
      <c r="G904" s="169" t="inlineStr">
        <is>
          <t>EUREKA - 1999 (10,6 Ha.)</t>
        </is>
      </c>
      <c r="H904" s="169" t="n"/>
      <c r="I904" s="169" t="n"/>
      <c r="J904" s="169" t="inlineStr">
        <is>
          <t>MANT. Y REP. PLANTACIONES</t>
        </is>
      </c>
      <c r="K904" s="169" t="inlineStr">
        <is>
          <t>MANTENCION HUERTO</t>
        </is>
      </c>
      <c r="L904" s="169" t="inlineStr">
        <is>
          <t>O/001686 HORNO MICR</t>
        </is>
      </c>
      <c r="M904" s="169" t="n"/>
      <c r="N904" s="169" t="inlineStr">
        <is>
          <t>.   .   -</t>
        </is>
      </c>
      <c r="O904" s="169" t="inlineStr">
        <is>
          <t>MAYO</t>
        </is>
      </c>
      <c r="P904" s="169" t="n">
        <v>19</v>
      </c>
      <c r="Q904" s="171" t="n">
        <v>43868</v>
      </c>
      <c r="R904" s="169" t="n"/>
      <c r="S904" s="171" t="n">
        <v>43868</v>
      </c>
      <c r="T904" s="169" t="inlineStr">
        <is>
          <t>CLP</t>
        </is>
      </c>
      <c r="U904" s="169" t="inlineStr">
        <is>
          <t>Carga LH 18-06-26</t>
        </is>
      </c>
      <c r="V904" s="169" t="inlineStr">
        <is>
          <t>2026-06-18</t>
        </is>
      </c>
    </row>
    <row r="905">
      <c r="A905" s="169" t="inlineStr">
        <is>
          <t>CR-0902</t>
        </is>
      </c>
      <c r="B905" s="169" t="inlineStr">
        <is>
          <t>2026/27</t>
        </is>
      </c>
      <c r="C905" s="231" t="n">
        <v>46160</v>
      </c>
      <c r="D905" s="169" t="inlineStr"/>
      <c r="E905" s="169" t="inlineStr">
        <is>
          <t>COMPRA</t>
        </is>
      </c>
      <c r="F905" s="169" t="inlineStr">
        <is>
          <t>Mega Catalina</t>
        </is>
      </c>
      <c r="G905" s="169" t="inlineStr">
        <is>
          <t>EUREKA - 2016 (14,4 Ha.)</t>
        </is>
      </c>
      <c r="H905" s="169" t="n"/>
      <c r="I905" s="169" t="n"/>
      <c r="J905" s="169" t="inlineStr">
        <is>
          <t>MANT. Y REP. PLANTACIONES</t>
        </is>
      </c>
      <c r="K905" s="169" t="inlineStr">
        <is>
          <t>MANTENCION HUERTO</t>
        </is>
      </c>
      <c r="L905" s="169" t="inlineStr">
        <is>
          <t>O/001686 HORNO MICR</t>
        </is>
      </c>
      <c r="M905" s="169" t="n"/>
      <c r="N905" s="169" t="inlineStr">
        <is>
          <t>.   .   -</t>
        </is>
      </c>
      <c r="O905" s="169" t="inlineStr">
        <is>
          <t>MAYO</t>
        </is>
      </c>
      <c r="P905" s="169" t="n">
        <v>19</v>
      </c>
      <c r="Q905" s="171" t="n">
        <v>42683</v>
      </c>
      <c r="R905" s="169" t="n"/>
      <c r="S905" s="171" t="n">
        <v>42683</v>
      </c>
      <c r="T905" s="169" t="inlineStr">
        <is>
          <t>CLP</t>
        </is>
      </c>
      <c r="U905" s="169" t="inlineStr">
        <is>
          <t>Carga LH 18-06-26</t>
        </is>
      </c>
      <c r="V905" s="169" t="inlineStr">
        <is>
          <t>2026-06-18</t>
        </is>
      </c>
    </row>
    <row r="906">
      <c r="A906" s="169" t="inlineStr">
        <is>
          <t>CR-0903</t>
        </is>
      </c>
      <c r="B906" s="169" t="inlineStr">
        <is>
          <t>2026/27</t>
        </is>
      </c>
      <c r="C906" s="231" t="n">
        <v>46160</v>
      </c>
      <c r="D906" s="169" t="inlineStr"/>
      <c r="E906" s="169" t="inlineStr">
        <is>
          <t>COMPRA</t>
        </is>
      </c>
      <c r="F906" s="169" t="inlineStr">
        <is>
          <t>Mega Catalina</t>
        </is>
      </c>
      <c r="G906" s="169" t="inlineStr">
        <is>
          <t>FINO 49 - 1999 (7,7 Ha.)</t>
        </is>
      </c>
      <c r="H906" s="169" t="n"/>
      <c r="I906" s="169" t="n"/>
      <c r="J906" s="169" t="inlineStr">
        <is>
          <t>MANT. Y REP. PLANTACIONES</t>
        </is>
      </c>
      <c r="K906" s="169" t="inlineStr">
        <is>
          <t>MANTENCION HUERTO</t>
        </is>
      </c>
      <c r="L906" s="169" t="inlineStr">
        <is>
          <t>O/001686 HORNO MICR</t>
        </is>
      </c>
      <c r="M906" s="169" t="n"/>
      <c r="N906" s="169" t="inlineStr">
        <is>
          <t>.   .   -</t>
        </is>
      </c>
      <c r="O906" s="169" t="inlineStr">
        <is>
          <t>MAYO</t>
        </is>
      </c>
      <c r="P906" s="169" t="n">
        <v>19</v>
      </c>
      <c r="Q906" s="171" t="n">
        <v>34087</v>
      </c>
      <c r="R906" s="169" t="n"/>
      <c r="S906" s="171" t="n">
        <v>34087</v>
      </c>
      <c r="T906" s="169" t="inlineStr">
        <is>
          <t>CLP</t>
        </is>
      </c>
      <c r="U906" s="169" t="inlineStr">
        <is>
          <t>Carga LH 18-06-26</t>
        </is>
      </c>
      <c r="V906" s="169" t="inlineStr">
        <is>
          <t>2026-06-18</t>
        </is>
      </c>
    </row>
    <row r="907">
      <c r="A907" s="169" t="inlineStr">
        <is>
          <t>CR-0904</t>
        </is>
      </c>
      <c r="B907" s="169" t="inlineStr">
        <is>
          <t>2026/27</t>
        </is>
      </c>
      <c r="C907" s="231" t="n">
        <v>46161</v>
      </c>
      <c r="D907" s="169" t="inlineStr"/>
      <c r="E907" s="169" t="inlineStr">
        <is>
          <t>COMPRA</t>
        </is>
      </c>
      <c r="F907" s="169" t="inlineStr">
        <is>
          <t>Mega Catalina</t>
        </is>
      </c>
      <c r="G907" s="169" t="inlineStr">
        <is>
          <t>EUREKA - 1999 (22,5 Ha.)</t>
        </is>
      </c>
      <c r="H907" s="169" t="n"/>
      <c r="I907" s="169" t="n"/>
      <c r="J907" s="169" t="inlineStr">
        <is>
          <t>ENERGIA Y AGUA</t>
        </is>
      </c>
      <c r="K907" s="169" t="inlineStr">
        <is>
          <t>SUMIN. ELECTRICO</t>
        </is>
      </c>
      <c r="L907" s="169" t="inlineStr">
        <is>
          <t>CONSUMO ELECTRICO</t>
        </is>
      </c>
      <c r="M907" s="169" t="n"/>
      <c r="N907" s="169" t="inlineStr">
        <is>
          <t>.   .   -</t>
        </is>
      </c>
      <c r="O907" s="169" t="inlineStr">
        <is>
          <t>MAYO</t>
        </is>
      </c>
      <c r="P907" s="169" t="n">
        <v>19</v>
      </c>
      <c r="Q907" s="171" t="n">
        <v>1980774</v>
      </c>
      <c r="R907" s="169" t="n"/>
      <c r="S907" s="171" t="n">
        <v>1980774</v>
      </c>
      <c r="T907" s="169" t="inlineStr">
        <is>
          <t>CLP</t>
        </is>
      </c>
      <c r="U907" s="169" t="inlineStr">
        <is>
          <t>Carga LH 18-06-26</t>
        </is>
      </c>
      <c r="V907" s="169" t="inlineStr">
        <is>
          <t>2026-06-18</t>
        </is>
      </c>
    </row>
    <row r="908">
      <c r="A908" s="169" t="inlineStr">
        <is>
          <t>CR-0905</t>
        </is>
      </c>
      <c r="B908" s="169" t="inlineStr">
        <is>
          <t>2026/27</t>
        </is>
      </c>
      <c r="C908" s="231" t="n">
        <v>46161</v>
      </c>
      <c r="D908" s="169" t="inlineStr"/>
      <c r="E908" s="169" t="inlineStr">
        <is>
          <t>COMPRA</t>
        </is>
      </c>
      <c r="F908" s="169" t="inlineStr">
        <is>
          <t>Mega Catalina</t>
        </is>
      </c>
      <c r="G908" s="169" t="inlineStr">
        <is>
          <t>EUREKA - 1999 (10,6 Ha.)</t>
        </is>
      </c>
      <c r="H908" s="169" t="n"/>
      <c r="I908" s="169" t="n"/>
      <c r="J908" s="169" t="inlineStr">
        <is>
          <t>ENERGIA Y AGUA</t>
        </is>
      </c>
      <c r="K908" s="169" t="inlineStr">
        <is>
          <t>SUMIN. ELECTRICO</t>
        </is>
      </c>
      <c r="L908" s="169" t="inlineStr">
        <is>
          <t>CONSUMO ELECTRICO</t>
        </is>
      </c>
      <c r="M908" s="169" t="n"/>
      <c r="N908" s="169" t="inlineStr">
        <is>
          <t>.   .   -</t>
        </is>
      </c>
      <c r="O908" s="169" t="inlineStr">
        <is>
          <t>MAYO</t>
        </is>
      </c>
      <c r="P908" s="169" t="n">
        <v>19</v>
      </c>
      <c r="Q908" s="171" t="n">
        <v>1302909</v>
      </c>
      <c r="R908" s="169" t="n"/>
      <c r="S908" s="171" t="n">
        <v>1302909</v>
      </c>
      <c r="T908" s="169" t="inlineStr">
        <is>
          <t>CLP</t>
        </is>
      </c>
      <c r="U908" s="169" t="inlineStr">
        <is>
          <t>Carga LH 18-06-26</t>
        </is>
      </c>
      <c r="V908" s="169" t="inlineStr">
        <is>
          <t>2026-06-18</t>
        </is>
      </c>
    </row>
    <row r="909">
      <c r="A909" s="169" t="inlineStr">
        <is>
          <t>CR-0906</t>
        </is>
      </c>
      <c r="B909" s="169" t="inlineStr">
        <is>
          <t>2026/27</t>
        </is>
      </c>
      <c r="C909" s="231" t="n">
        <v>46161</v>
      </c>
      <c r="D909" s="169" t="inlineStr"/>
      <c r="E909" s="169" t="inlineStr">
        <is>
          <t>COMPRA</t>
        </is>
      </c>
      <c r="F909" s="169" t="inlineStr">
        <is>
          <t>Mega Catalina</t>
        </is>
      </c>
      <c r="G909" s="169" t="inlineStr">
        <is>
          <t>EUREKA - 2016 (14,4 Ha.)</t>
        </is>
      </c>
      <c r="H909" s="169" t="n"/>
      <c r="I909" s="169" t="n"/>
      <c r="J909" s="169" t="inlineStr">
        <is>
          <t>ENERGIA Y AGUA</t>
        </is>
      </c>
      <c r="K909" s="169" t="inlineStr">
        <is>
          <t>SUMIN. ELECTRICO</t>
        </is>
      </c>
      <c r="L909" s="169" t="inlineStr">
        <is>
          <t>CONSUMO ELECTRICO</t>
        </is>
      </c>
      <c r="M909" s="169" t="n"/>
      <c r="N909" s="169" t="inlineStr">
        <is>
          <t>.   .   -</t>
        </is>
      </c>
      <c r="O909" s="169" t="inlineStr">
        <is>
          <t>MAYO</t>
        </is>
      </c>
      <c r="P909" s="169" t="n">
        <v>19</v>
      </c>
      <c r="Q909" s="171" t="n">
        <v>1267696</v>
      </c>
      <c r="R909" s="169" t="n"/>
      <c r="S909" s="171" t="n">
        <v>1267696</v>
      </c>
      <c r="T909" s="169" t="inlineStr">
        <is>
          <t>CLP</t>
        </is>
      </c>
      <c r="U909" s="169" t="inlineStr">
        <is>
          <t>Carga LH 18-06-26</t>
        </is>
      </c>
      <c r="V909" s="169" t="inlineStr">
        <is>
          <t>2026-06-18</t>
        </is>
      </c>
    </row>
    <row r="910">
      <c r="A910" s="169" t="inlineStr">
        <is>
          <t>CR-0907</t>
        </is>
      </c>
      <c r="B910" s="169" t="inlineStr">
        <is>
          <t>2026/27</t>
        </is>
      </c>
      <c r="C910" s="231" t="n">
        <v>46161</v>
      </c>
      <c r="D910" s="169" t="inlineStr"/>
      <c r="E910" s="169" t="inlineStr">
        <is>
          <t>COMPRA</t>
        </is>
      </c>
      <c r="F910" s="169" t="inlineStr">
        <is>
          <t>Mega Catalina</t>
        </is>
      </c>
      <c r="G910" s="169" t="inlineStr">
        <is>
          <t>FINO 49 - 1999 (7,7 Ha.)</t>
        </is>
      </c>
      <c r="H910" s="169" t="n"/>
      <c r="I910" s="169" t="n"/>
      <c r="J910" s="169" t="inlineStr">
        <is>
          <t>ENERGIA Y AGUA</t>
        </is>
      </c>
      <c r="K910" s="169" t="inlineStr">
        <is>
          <t>SUMIN. ELECTRICO</t>
        </is>
      </c>
      <c r="L910" s="169" t="inlineStr">
        <is>
          <t>CONSUMO ELECTRICO</t>
        </is>
      </c>
      <c r="M910" s="169" t="n"/>
      <c r="N910" s="169" t="inlineStr">
        <is>
          <t>.   .   -</t>
        </is>
      </c>
      <c r="O910" s="169" t="inlineStr">
        <is>
          <t>MAYO</t>
        </is>
      </c>
      <c r="P910" s="169" t="n">
        <v>19</v>
      </c>
      <c r="Q910" s="171" t="n">
        <v>1012396</v>
      </c>
      <c r="R910" s="169" t="n"/>
      <c r="S910" s="171" t="n">
        <v>1012396</v>
      </c>
      <c r="T910" s="169" t="inlineStr">
        <is>
          <t>CLP</t>
        </is>
      </c>
      <c r="U910" s="169" t="inlineStr">
        <is>
          <t>Carga LH 18-06-26</t>
        </is>
      </c>
      <c r="V910" s="169" t="inlineStr">
        <is>
          <t>2026-06-18</t>
        </is>
      </c>
    </row>
    <row r="911">
      <c r="A911" s="169" t="inlineStr">
        <is>
          <t>CR-0908</t>
        </is>
      </c>
      <c r="B911" s="169" t="inlineStr">
        <is>
          <t>2026/27</t>
        </is>
      </c>
      <c r="C911" s="231" t="n">
        <v>46161</v>
      </c>
      <c r="D911" s="169" t="inlineStr"/>
      <c r="E911" s="169" t="inlineStr">
        <is>
          <t>COMPRA</t>
        </is>
      </c>
      <c r="F911" s="169" t="inlineStr">
        <is>
          <t>Mega Catalina</t>
        </is>
      </c>
      <c r="G911" s="169" t="inlineStr">
        <is>
          <t>EUREKA - 1999 (22,5 Ha.)</t>
        </is>
      </c>
      <c r="H911" s="169" t="n"/>
      <c r="I911" s="169" t="n"/>
      <c r="J911" s="169" t="inlineStr">
        <is>
          <t>ENERGIA Y AGUA</t>
        </is>
      </c>
      <c r="K911" s="169" t="inlineStr">
        <is>
          <t>SUMIN. ELECTRICO</t>
        </is>
      </c>
      <c r="L911" s="169" t="inlineStr">
        <is>
          <t>CONSUMO ELECTRICO</t>
        </is>
      </c>
      <c r="M911" s="169" t="n"/>
      <c r="N911" s="169" t="inlineStr">
        <is>
          <t>.   .   -</t>
        </is>
      </c>
      <c r="O911" s="169" t="inlineStr">
        <is>
          <t>MAYO</t>
        </is>
      </c>
      <c r="P911" s="169" t="n">
        <v>19</v>
      </c>
      <c r="Q911" s="171" t="n">
        <v>425951</v>
      </c>
      <c r="R911" s="169" t="n"/>
      <c r="S911" s="171" t="n">
        <v>425951</v>
      </c>
      <c r="T911" s="169" t="inlineStr">
        <is>
          <t>CLP</t>
        </is>
      </c>
      <c r="U911" s="169" t="inlineStr">
        <is>
          <t>Carga LH 18-06-26</t>
        </is>
      </c>
      <c r="V911" s="169" t="inlineStr">
        <is>
          <t>2026-06-18</t>
        </is>
      </c>
    </row>
    <row r="912">
      <c r="A912" s="169" t="inlineStr">
        <is>
          <t>CR-0909</t>
        </is>
      </c>
      <c r="B912" s="169" t="inlineStr">
        <is>
          <t>2026/27</t>
        </is>
      </c>
      <c r="C912" s="231" t="n">
        <v>46161</v>
      </c>
      <c r="D912" s="169" t="inlineStr"/>
      <c r="E912" s="169" t="inlineStr">
        <is>
          <t>COMPRA</t>
        </is>
      </c>
      <c r="F912" s="169" t="inlineStr">
        <is>
          <t>Mega Catalina</t>
        </is>
      </c>
      <c r="G912" s="169" t="inlineStr">
        <is>
          <t>EUREKA - 1999 (10,6 Ha.)</t>
        </is>
      </c>
      <c r="H912" s="169" t="n"/>
      <c r="I912" s="169" t="n"/>
      <c r="J912" s="169" t="inlineStr">
        <is>
          <t>ENERGIA Y AGUA</t>
        </is>
      </c>
      <c r="K912" s="169" t="inlineStr">
        <is>
          <t>SUMIN. ELECTRICO</t>
        </is>
      </c>
      <c r="L912" s="169" t="inlineStr">
        <is>
          <t>CONSUMO ELECTRICO</t>
        </is>
      </c>
      <c r="M912" s="169" t="n"/>
      <c r="N912" s="169" t="inlineStr">
        <is>
          <t>.   .   -</t>
        </is>
      </c>
      <c r="O912" s="169" t="inlineStr">
        <is>
          <t>MAYO</t>
        </is>
      </c>
      <c r="P912" s="169" t="n">
        <v>19</v>
      </c>
      <c r="Q912" s="171" t="n">
        <v>280181</v>
      </c>
      <c r="R912" s="169" t="n"/>
      <c r="S912" s="171" t="n">
        <v>280181</v>
      </c>
      <c r="T912" s="169" t="inlineStr">
        <is>
          <t>CLP</t>
        </is>
      </c>
      <c r="U912" s="169" t="inlineStr">
        <is>
          <t>Carga LH 18-06-26</t>
        </is>
      </c>
      <c r="V912" s="169" t="inlineStr">
        <is>
          <t>2026-06-18</t>
        </is>
      </c>
    </row>
    <row r="913">
      <c r="A913" s="169" t="inlineStr">
        <is>
          <t>CR-0910</t>
        </is>
      </c>
      <c r="B913" s="169" t="inlineStr">
        <is>
          <t>2026/27</t>
        </is>
      </c>
      <c r="C913" s="231" t="n">
        <v>46161</v>
      </c>
      <c r="D913" s="169" t="inlineStr"/>
      <c r="E913" s="169" t="inlineStr">
        <is>
          <t>COMPRA</t>
        </is>
      </c>
      <c r="F913" s="169" t="inlineStr">
        <is>
          <t>Mega Catalina</t>
        </is>
      </c>
      <c r="G913" s="169" t="inlineStr">
        <is>
          <t>EUREKA - 2016 (14,4 Ha.)</t>
        </is>
      </c>
      <c r="H913" s="169" t="n"/>
      <c r="I913" s="169" t="n"/>
      <c r="J913" s="169" t="inlineStr">
        <is>
          <t>ENERGIA Y AGUA</t>
        </is>
      </c>
      <c r="K913" s="169" t="inlineStr">
        <is>
          <t>SUMIN. ELECTRICO</t>
        </is>
      </c>
      <c r="L913" s="169" t="inlineStr">
        <is>
          <t>CONSUMO ELECTRICO</t>
        </is>
      </c>
      <c r="M913" s="169" t="n"/>
      <c r="N913" s="169" t="inlineStr">
        <is>
          <t>.   .   -</t>
        </is>
      </c>
      <c r="O913" s="169" t="inlineStr">
        <is>
          <t>MAYO</t>
        </is>
      </c>
      <c r="P913" s="169" t="n">
        <v>19</v>
      </c>
      <c r="Q913" s="171" t="n">
        <v>272609</v>
      </c>
      <c r="R913" s="169" t="n"/>
      <c r="S913" s="171" t="n">
        <v>272609</v>
      </c>
      <c r="T913" s="169" t="inlineStr">
        <is>
          <t>CLP</t>
        </is>
      </c>
      <c r="U913" s="169" t="inlineStr">
        <is>
          <t>Carga LH 18-06-26</t>
        </is>
      </c>
      <c r="V913" s="169" t="inlineStr">
        <is>
          <t>2026-06-18</t>
        </is>
      </c>
    </row>
    <row r="914">
      <c r="A914" s="169" t="inlineStr">
        <is>
          <t>CR-0911</t>
        </is>
      </c>
      <c r="B914" s="169" t="inlineStr">
        <is>
          <t>2026/27</t>
        </is>
      </c>
      <c r="C914" s="231" t="n">
        <v>46161</v>
      </c>
      <c r="D914" s="169" t="inlineStr"/>
      <c r="E914" s="169" t="inlineStr">
        <is>
          <t>COMPRA</t>
        </is>
      </c>
      <c r="F914" s="169" t="inlineStr">
        <is>
          <t>Mega Catalina</t>
        </is>
      </c>
      <c r="G914" s="169" t="inlineStr">
        <is>
          <t>FINO 49 - 1999 (7,7 Ha.)</t>
        </is>
      </c>
      <c r="H914" s="169" t="n"/>
      <c r="I914" s="169" t="n"/>
      <c r="J914" s="169" t="inlineStr">
        <is>
          <t>ENERGIA Y AGUA</t>
        </is>
      </c>
      <c r="K914" s="169" t="inlineStr">
        <is>
          <t>SUMIN. ELECTRICO</t>
        </is>
      </c>
      <c r="L914" s="169" t="inlineStr">
        <is>
          <t>CONSUMO ELECTRICO</t>
        </is>
      </c>
      <c r="M914" s="169" t="n"/>
      <c r="N914" s="169" t="inlineStr">
        <is>
          <t>.   .   -</t>
        </is>
      </c>
      <c r="O914" s="169" t="inlineStr">
        <is>
          <t>MAYO</t>
        </is>
      </c>
      <c r="P914" s="169" t="n">
        <v>19</v>
      </c>
      <c r="Q914" s="171" t="n">
        <v>145770</v>
      </c>
      <c r="R914" s="169" t="n"/>
      <c r="S914" s="171" t="n">
        <v>145770</v>
      </c>
      <c r="T914" s="169" t="inlineStr">
        <is>
          <t>CLP</t>
        </is>
      </c>
      <c r="U914" s="169" t="inlineStr">
        <is>
          <t>Carga LH 18-06-26</t>
        </is>
      </c>
      <c r="V914" s="169" t="inlineStr">
        <is>
          <t>2026-06-18</t>
        </is>
      </c>
    </row>
    <row r="915">
      <c r="A915" s="169" t="inlineStr">
        <is>
          <t>CR-0912</t>
        </is>
      </c>
      <c r="B915" s="169" t="inlineStr">
        <is>
          <t>2026/27</t>
        </is>
      </c>
      <c r="C915" s="231" t="n">
        <v>46161</v>
      </c>
      <c r="D915" s="169" t="inlineStr"/>
      <c r="E915" s="169" t="inlineStr">
        <is>
          <t>COMPRA</t>
        </is>
      </c>
      <c r="F915" s="169" t="inlineStr">
        <is>
          <t>Mega Catalina</t>
        </is>
      </c>
      <c r="G915" s="169" t="inlineStr">
        <is>
          <t>NARANJA CAMBRIA - 2009 (4,2 Ha.)</t>
        </is>
      </c>
      <c r="H915" s="169" t="n"/>
      <c r="I915" s="169" t="n"/>
      <c r="J915" s="169" t="inlineStr">
        <is>
          <t>ENERGIA Y AGUA</t>
        </is>
      </c>
      <c r="K915" s="169" t="inlineStr">
        <is>
          <t>SUMIN. ELECTRICO</t>
        </is>
      </c>
      <c r="L915" s="169" t="inlineStr">
        <is>
          <t>CONSUMO ELECTRICO</t>
        </is>
      </c>
      <c r="M915" s="169" t="n"/>
      <c r="N915" s="169" t="inlineStr">
        <is>
          <t>.   .   -</t>
        </is>
      </c>
      <c r="O915" s="169" t="inlineStr">
        <is>
          <t>MAYO</t>
        </is>
      </c>
      <c r="P915" s="169" t="n">
        <v>19</v>
      </c>
      <c r="Q915" s="171" t="n">
        <v>79511</v>
      </c>
      <c r="R915" s="169" t="n"/>
      <c r="S915" s="171" t="n">
        <v>79511</v>
      </c>
      <c r="T915" s="169" t="inlineStr">
        <is>
          <t>CLP</t>
        </is>
      </c>
      <c r="U915" s="169" t="inlineStr">
        <is>
          <t>Carga LH 18-06-26</t>
        </is>
      </c>
      <c r="V915" s="169" t="inlineStr">
        <is>
          <t>2026-06-18</t>
        </is>
      </c>
    </row>
    <row r="916">
      <c r="A916" s="169" t="inlineStr">
        <is>
          <t>CR-0913</t>
        </is>
      </c>
      <c r="B916" s="169" t="inlineStr">
        <is>
          <t>2026/27</t>
        </is>
      </c>
      <c r="C916" s="231" t="n">
        <v>46161</v>
      </c>
      <c r="D916" s="169" t="inlineStr"/>
      <c r="E916" s="169" t="inlineStr">
        <is>
          <t>COMPRA</t>
        </is>
      </c>
      <c r="F916" s="169" t="inlineStr">
        <is>
          <t>Mega Catalina</t>
        </is>
      </c>
      <c r="G916" s="169" t="inlineStr">
        <is>
          <t>MURCOTT - 2007 (21 Ha.)</t>
        </is>
      </c>
      <c r="H916" s="169" t="n"/>
      <c r="I916" s="169" t="n"/>
      <c r="J916" s="169" t="inlineStr">
        <is>
          <t>ENERGIA Y AGUA</t>
        </is>
      </c>
      <c r="K916" s="169" t="inlineStr">
        <is>
          <t>SUMIN. ELECTRICO</t>
        </is>
      </c>
      <c r="L916" s="169" t="inlineStr">
        <is>
          <t>CONSUMO ELECTRICO</t>
        </is>
      </c>
      <c r="M916" s="169" t="n"/>
      <c r="N916" s="169" t="inlineStr">
        <is>
          <t>.   .   -</t>
        </is>
      </c>
      <c r="O916" s="169" t="inlineStr">
        <is>
          <t>MAYO</t>
        </is>
      </c>
      <c r="P916" s="169" t="n">
        <v>19</v>
      </c>
      <c r="Q916" s="171" t="n">
        <v>397554</v>
      </c>
      <c r="R916" s="169" t="n"/>
      <c r="S916" s="171" t="n">
        <v>397554</v>
      </c>
      <c r="T916" s="169" t="inlineStr">
        <is>
          <t>CLP</t>
        </is>
      </c>
      <c r="U916" s="169" t="inlineStr">
        <is>
          <t>Carga LH 18-06-26</t>
        </is>
      </c>
      <c r="V916" s="169" t="inlineStr">
        <is>
          <t>2026-06-18</t>
        </is>
      </c>
    </row>
    <row r="917">
      <c r="A917" s="169" t="inlineStr">
        <is>
          <t>CR-0914</t>
        </is>
      </c>
      <c r="B917" s="169" t="inlineStr">
        <is>
          <t>2026/27</t>
        </is>
      </c>
      <c r="C917" s="231" t="n">
        <v>46162</v>
      </c>
      <c r="D917" s="169" t="inlineStr"/>
      <c r="E917" s="169" t="inlineStr">
        <is>
          <t>COMPRA</t>
        </is>
      </c>
      <c r="F917" s="169" t="inlineStr">
        <is>
          <t>Asmara</t>
        </is>
      </c>
      <c r="G917" s="169" t="inlineStr">
        <is>
          <t>MURCOTT - 2020 (19,8 Ha.)</t>
        </is>
      </c>
      <c r="H917" s="169" t="n"/>
      <c r="I917" s="169" t="n"/>
      <c r="J917" s="169" t="inlineStr">
        <is>
          <t>GASTOS GENERALES</t>
        </is>
      </c>
      <c r="K917" s="169" t="inlineStr">
        <is>
          <t>OTROS GASTOS</t>
        </is>
      </c>
      <c r="L917" s="169" t="inlineStr">
        <is>
          <t>ENVIO MUESTRA</t>
        </is>
      </c>
      <c r="M917" s="169" t="n"/>
      <c r="N917" s="169" t="inlineStr">
        <is>
          <t>.   .   -</t>
        </is>
      </c>
      <c r="O917" s="169" t="inlineStr">
        <is>
          <t>MAYO</t>
        </is>
      </c>
      <c r="P917" s="169" t="n">
        <v>19</v>
      </c>
      <c r="Q917" s="171" t="n">
        <v>13966</v>
      </c>
      <c r="R917" s="169" t="n"/>
      <c r="S917" s="171" t="n">
        <v>13966</v>
      </c>
      <c r="T917" s="169" t="inlineStr">
        <is>
          <t>CLP</t>
        </is>
      </c>
      <c r="U917" s="169" t="inlineStr">
        <is>
          <t>Carga LH 18-06-26</t>
        </is>
      </c>
      <c r="V917" s="169" t="inlineStr">
        <is>
          <t>2026-06-18</t>
        </is>
      </c>
    </row>
    <row r="918">
      <c r="A918" s="169" t="inlineStr">
        <is>
          <t>CR-0915</t>
        </is>
      </c>
      <c r="B918" s="169" t="inlineStr">
        <is>
          <t>2026/27</t>
        </is>
      </c>
      <c r="C918" s="231" t="n">
        <v>46175</v>
      </c>
      <c r="D918" s="169" t="inlineStr">
        <is>
          <t>467</t>
        </is>
      </c>
      <c r="E918" s="169" t="inlineStr">
        <is>
          <t>COMPRA</t>
        </is>
      </c>
      <c r="F918" s="169" t="inlineStr">
        <is>
          <t>El Molle</t>
        </is>
      </c>
      <c r="G918" s="169" t="inlineStr">
        <is>
          <t>OROGRANDE - 2007 (8,11 Ha.)</t>
        </is>
      </c>
      <c r="H918" s="169" t="n"/>
      <c r="I918" s="169" t="n"/>
      <c r="J918" s="169" t="inlineStr">
        <is>
          <t>GASTOS GENERALES</t>
        </is>
      </c>
      <c r="K918" s="169" t="inlineStr">
        <is>
          <t>AGUA</t>
        </is>
      </c>
      <c r="L918" s="169" t="inlineStr">
        <is>
          <t>O/001717 RECARGA BO</t>
        </is>
      </c>
      <c r="M918" s="169" t="n"/>
      <c r="N918" s="169" t="inlineStr">
        <is>
          <t>.   .   -</t>
        </is>
      </c>
      <c r="O918" s="169" t="inlineStr">
        <is>
          <t>JUNIO</t>
        </is>
      </c>
      <c r="P918" s="169" t="n">
        <v>21</v>
      </c>
      <c r="Q918" s="171" t="n">
        <v>41600</v>
      </c>
      <c r="R918" s="169" t="n"/>
      <c r="S918" s="171" t="n">
        <v>41600</v>
      </c>
      <c r="T918" s="169" t="inlineStr">
        <is>
          <t>CLP</t>
        </is>
      </c>
      <c r="U918" s="169" t="inlineStr">
        <is>
          <t>Carga LH 18-06-26</t>
        </is>
      </c>
      <c r="V918" s="169" t="inlineStr">
        <is>
          <t>2026-06-18</t>
        </is>
      </c>
    </row>
    <row r="919">
      <c r="A919" s="169" t="inlineStr">
        <is>
          <t>CR-0916</t>
        </is>
      </c>
      <c r="B919" s="169" t="inlineStr">
        <is>
          <t>2026/27</t>
        </is>
      </c>
      <c r="C919" s="231" t="n">
        <v>46174</v>
      </c>
      <c r="D919" s="169" t="inlineStr">
        <is>
          <t>501</t>
        </is>
      </c>
      <c r="E919" s="169" t="inlineStr">
        <is>
          <t>COMPRA</t>
        </is>
      </c>
      <c r="F919" s="169" t="inlineStr">
        <is>
          <t>Mega Catalina</t>
        </is>
      </c>
      <c r="G919" s="169" t="inlineStr">
        <is>
          <t>EUREKA - 1999 (10,6 Ha.)</t>
        </is>
      </c>
      <c r="H919" s="169" t="n"/>
      <c r="I919" s="169" t="n"/>
      <c r="J919" s="169" t="inlineStr">
        <is>
          <t>LABORES OPERACIONALES</t>
        </is>
      </c>
      <c r="K919" s="169" t="inlineStr">
        <is>
          <t>COSECHA</t>
        </is>
      </c>
      <c r="L919" s="169" t="inlineStr">
        <is>
          <t>SERV.CONTRATISTA</t>
        </is>
      </c>
      <c r="M919" s="169" t="n"/>
      <c r="N919" s="169" t="inlineStr">
        <is>
          <t>.   .   -</t>
        </is>
      </c>
      <c r="O919" s="169" t="inlineStr">
        <is>
          <t>JUNIO</t>
        </is>
      </c>
      <c r="P919" s="169" t="n">
        <v>21</v>
      </c>
      <c r="Q919" s="171" t="n">
        <v>832960</v>
      </c>
      <c r="R919" s="169" t="n"/>
      <c r="S919" s="171" t="n">
        <v>832960</v>
      </c>
      <c r="T919" s="169" t="inlineStr">
        <is>
          <t>CLP</t>
        </is>
      </c>
      <c r="U919" s="169" t="inlineStr">
        <is>
          <t>Carga LH 18-06-26</t>
        </is>
      </c>
      <c r="V919" s="169" t="inlineStr">
        <is>
          <t>2026-06-18</t>
        </is>
      </c>
    </row>
    <row r="920">
      <c r="A920" s="169" t="inlineStr">
        <is>
          <t>CR-0917</t>
        </is>
      </c>
      <c r="B920" s="169" t="inlineStr">
        <is>
          <t>2026/27</t>
        </is>
      </c>
      <c r="C920" s="231" t="n">
        <v>46174</v>
      </c>
      <c r="D920" s="169" t="inlineStr">
        <is>
          <t>1027</t>
        </is>
      </c>
      <c r="E920" s="169" t="inlineStr">
        <is>
          <t>COMPRA</t>
        </is>
      </c>
      <c r="F920" s="169" t="inlineStr">
        <is>
          <t>Mega Catalina</t>
        </is>
      </c>
      <c r="G920" s="169" t="inlineStr">
        <is>
          <t>EUREKA - 1999 (10,6 Ha.)</t>
        </is>
      </c>
      <c r="H920" s="169" t="n"/>
      <c r="I920" s="169" t="n"/>
      <c r="J920" s="169" t="inlineStr">
        <is>
          <t>LABORES OPERACIONALES</t>
        </is>
      </c>
      <c r="K920" s="169" t="inlineStr">
        <is>
          <t>COSECHA</t>
        </is>
      </c>
      <c r="L920" s="169" t="inlineStr">
        <is>
          <t>SERV.CONTRATISTA</t>
        </is>
      </c>
      <c r="M920" s="169" t="n"/>
      <c r="N920" s="169" t="inlineStr">
        <is>
          <t>.   .   -</t>
        </is>
      </c>
      <c r="O920" s="169" t="inlineStr">
        <is>
          <t>JUNIO</t>
        </is>
      </c>
      <c r="P920" s="169" t="n">
        <v>21</v>
      </c>
      <c r="Q920" s="171" t="n">
        <v>465680</v>
      </c>
      <c r="R920" s="169" t="n"/>
      <c r="S920" s="171" t="n">
        <v>465680</v>
      </c>
      <c r="T920" s="169" t="inlineStr">
        <is>
          <t>CLP</t>
        </is>
      </c>
      <c r="U920" s="169" t="inlineStr">
        <is>
          <t>Carga LH 18-06-26</t>
        </is>
      </c>
      <c r="V920" s="169" t="inlineStr">
        <is>
          <t>2026-06-18</t>
        </is>
      </c>
    </row>
    <row r="921">
      <c r="A921" s="169" t="inlineStr">
        <is>
          <t>CR-0918</t>
        </is>
      </c>
      <c r="B921" s="169" t="inlineStr">
        <is>
          <t>2026/27</t>
        </is>
      </c>
      <c r="C921" s="231" t="n">
        <v>46175</v>
      </c>
      <c r="D921" s="169" t="inlineStr">
        <is>
          <t>665</t>
        </is>
      </c>
      <c r="E921" s="169" t="inlineStr">
        <is>
          <t>COMPRA</t>
        </is>
      </c>
      <c r="F921" s="169" t="inlineStr">
        <is>
          <t>Mega Catalina</t>
        </is>
      </c>
      <c r="G921" s="169" t="inlineStr">
        <is>
          <t>EUREKA - 1999 (10,6 Ha.)</t>
        </is>
      </c>
      <c r="H921" s="169" t="n"/>
      <c r="I921" s="169" t="n"/>
      <c r="J921" s="169" t="inlineStr">
        <is>
          <t>LABORES OPERACIONALES</t>
        </is>
      </c>
      <c r="K921" s="169" t="inlineStr">
        <is>
          <t>COSECHA</t>
        </is>
      </c>
      <c r="L921" s="169" t="inlineStr">
        <is>
          <t>SERV.CONTRATISTA</t>
        </is>
      </c>
      <c r="M921" s="169" t="n"/>
      <c r="N921" s="169" t="inlineStr">
        <is>
          <t>.   .   -</t>
        </is>
      </c>
      <c r="O921" s="169" t="inlineStr">
        <is>
          <t>JUNIO</t>
        </is>
      </c>
      <c r="P921" s="169" t="n">
        <v>21</v>
      </c>
      <c r="Q921" s="171" t="n">
        <v>627920</v>
      </c>
      <c r="R921" s="169" t="n"/>
      <c r="S921" s="171" t="n">
        <v>627920</v>
      </c>
      <c r="T921" s="169" t="inlineStr">
        <is>
          <t>CLP</t>
        </is>
      </c>
      <c r="U921" s="169" t="inlineStr">
        <is>
          <t>Carga LH 18-06-26</t>
        </is>
      </c>
      <c r="V921" s="169" t="inlineStr">
        <is>
          <t>2026-06-18</t>
        </is>
      </c>
    </row>
    <row r="922">
      <c r="A922" s="169" t="inlineStr">
        <is>
          <t>CR-0919</t>
        </is>
      </c>
      <c r="B922" s="169" t="inlineStr">
        <is>
          <t>2026/27</t>
        </is>
      </c>
      <c r="C922" s="231" t="n">
        <v>46175</v>
      </c>
      <c r="D922" s="169" t="inlineStr">
        <is>
          <t>665</t>
        </is>
      </c>
      <c r="E922" s="169" t="inlineStr">
        <is>
          <t>COMPRA</t>
        </is>
      </c>
      <c r="F922" s="169" t="inlineStr">
        <is>
          <t>Mega Catalina</t>
        </is>
      </c>
      <c r="G922" s="169" t="inlineStr">
        <is>
          <t>EUREKA - 1999 (10,6 Ha.)</t>
        </is>
      </c>
      <c r="H922" s="169" t="n"/>
      <c r="I922" s="169" t="n"/>
      <c r="J922" s="169" t="inlineStr">
        <is>
          <t>LABORES OPERACIONALES</t>
        </is>
      </c>
      <c r="K922" s="169" t="inlineStr">
        <is>
          <t>SELECCION</t>
        </is>
      </c>
      <c r="L922" s="169" t="inlineStr">
        <is>
          <t>SERV.CONTRATISTA</t>
        </is>
      </c>
      <c r="M922" s="169" t="n"/>
      <c r="N922" s="169" t="inlineStr">
        <is>
          <t>.   .   -</t>
        </is>
      </c>
      <c r="O922" s="169" t="inlineStr">
        <is>
          <t>JUNIO</t>
        </is>
      </c>
      <c r="P922" s="169" t="n">
        <v>21</v>
      </c>
      <c r="Q922" s="171" t="n">
        <v>154000</v>
      </c>
      <c r="R922" s="169" t="n"/>
      <c r="S922" s="171" t="n">
        <v>154000</v>
      </c>
      <c r="T922" s="169" t="inlineStr">
        <is>
          <t>CLP</t>
        </is>
      </c>
      <c r="U922" s="169" t="inlineStr">
        <is>
          <t>Carga LH 18-06-26</t>
        </is>
      </c>
      <c r="V922" s="169" t="inlineStr">
        <is>
          <t>2026-06-18</t>
        </is>
      </c>
    </row>
    <row r="923">
      <c r="A923" s="169" t="inlineStr">
        <is>
          <t>CR-0920</t>
        </is>
      </c>
      <c r="B923" s="169" t="inlineStr">
        <is>
          <t>2026/27</t>
        </is>
      </c>
      <c r="C923" s="231" t="n">
        <v>46176</v>
      </c>
      <c r="D923" s="169" t="inlineStr"/>
      <c r="E923" s="169" t="inlineStr">
        <is>
          <t>COMPRA</t>
        </is>
      </c>
      <c r="F923" s="169" t="inlineStr">
        <is>
          <t>El Molle</t>
        </is>
      </c>
      <c r="G923" s="169" t="inlineStr">
        <is>
          <t>WONDERFUL - 2002 (2,80 Ha.)</t>
        </is>
      </c>
      <c r="H923" s="169" t="n"/>
      <c r="I923" s="169" t="n"/>
      <c r="J923" s="169" t="inlineStr">
        <is>
          <t>ASESORIAS</t>
        </is>
      </c>
      <c r="K923" s="169" t="inlineStr">
        <is>
          <t>SERVICIOS</t>
        </is>
      </c>
      <c r="L923" s="169" t="inlineStr">
        <is>
          <t>SERVICIO PACKING</t>
        </is>
      </c>
      <c r="M923" s="169" t="n"/>
      <c r="N923" s="169" t="inlineStr">
        <is>
          <t>.   .   -</t>
        </is>
      </c>
      <c r="O923" s="169" t="inlineStr">
        <is>
          <t>JUNIO</t>
        </is>
      </c>
      <c r="P923" s="169" t="n">
        <v>21</v>
      </c>
      <c r="Q923" s="171" t="n">
        <v>336537</v>
      </c>
      <c r="R923" s="169" t="n"/>
      <c r="S923" s="171" t="n">
        <v>336537</v>
      </c>
      <c r="T923" s="169" t="inlineStr">
        <is>
          <t>CLP</t>
        </is>
      </c>
      <c r="U923" s="169" t="inlineStr">
        <is>
          <t>Carga LH 18-06-26</t>
        </is>
      </c>
      <c r="V923" s="169" t="inlineStr">
        <is>
          <t>2026-06-18</t>
        </is>
      </c>
    </row>
    <row r="924">
      <c r="A924" s="169" t="inlineStr">
        <is>
          <t>CR-0921</t>
        </is>
      </c>
      <c r="B924" s="169" t="inlineStr">
        <is>
          <t>2026/27</t>
        </is>
      </c>
      <c r="C924" s="231" t="n">
        <v>46176</v>
      </c>
      <c r="D924" s="169" t="inlineStr"/>
      <c r="E924" s="169" t="inlineStr">
        <is>
          <t>COMPRA</t>
        </is>
      </c>
      <c r="F924" s="169" t="inlineStr">
        <is>
          <t>Mega Catalina</t>
        </is>
      </c>
      <c r="G924" s="169" t="inlineStr">
        <is>
          <t>EUREKA - 2016 (14,4 Ha.)</t>
        </is>
      </c>
      <c r="H924" s="169" t="n"/>
      <c r="I924" s="169" t="n"/>
      <c r="J924" s="169" t="inlineStr">
        <is>
          <t>ENERGIA Y AGUA</t>
        </is>
      </c>
      <c r="K924" s="169" t="inlineStr">
        <is>
          <t>SUMIN. ELECTRICO</t>
        </is>
      </c>
      <c r="L924" s="169" t="inlineStr">
        <is>
          <t>CONSUMO ELECTRICO</t>
        </is>
      </c>
      <c r="M924" s="169" t="n"/>
      <c r="N924" s="169" t="inlineStr">
        <is>
          <t>.   .   -</t>
        </is>
      </c>
      <c r="O924" s="169" t="inlineStr">
        <is>
          <t>JUNIO</t>
        </is>
      </c>
      <c r="P924" s="169" t="n">
        <v>21</v>
      </c>
      <c r="Q924" s="171" t="n">
        <v>569946</v>
      </c>
      <c r="R924" s="169" t="n"/>
      <c r="S924" s="171" t="n">
        <v>569946</v>
      </c>
      <c r="T924" s="169" t="inlineStr">
        <is>
          <t>CLP</t>
        </is>
      </c>
      <c r="U924" s="169" t="inlineStr">
        <is>
          <t>Carga LH 18-06-26</t>
        </is>
      </c>
      <c r="V924" s="169" t="inlineStr">
        <is>
          <t>2026-06-18</t>
        </is>
      </c>
    </row>
    <row r="925">
      <c r="A925" s="169" t="inlineStr">
        <is>
          <t>CR-0922</t>
        </is>
      </c>
      <c r="B925" s="169" t="inlineStr">
        <is>
          <t>2026/27</t>
        </is>
      </c>
      <c r="C925" s="231" t="n">
        <v>46176</v>
      </c>
      <c r="D925" s="169" t="inlineStr"/>
      <c r="E925" s="169" t="inlineStr">
        <is>
          <t>COMPRA</t>
        </is>
      </c>
      <c r="F925" s="169" t="inlineStr">
        <is>
          <t>Mega Catalina</t>
        </is>
      </c>
      <c r="G925" s="169" t="inlineStr">
        <is>
          <t>EUREKA - 1999 (22,5 Ha.)</t>
        </is>
      </c>
      <c r="H925" s="169" t="n"/>
      <c r="I925" s="169" t="n"/>
      <c r="J925" s="169" t="inlineStr">
        <is>
          <t>ENERGIA Y AGUA</t>
        </is>
      </c>
      <c r="K925" s="169" t="inlineStr">
        <is>
          <t>SUMIN. ELECTRICO</t>
        </is>
      </c>
      <c r="L925" s="169" t="inlineStr">
        <is>
          <t>CONSUMO ELECTRICO</t>
        </is>
      </c>
      <c r="M925" s="169" t="n"/>
      <c r="N925" s="169" t="inlineStr">
        <is>
          <t>.   .   -</t>
        </is>
      </c>
      <c r="O925" s="169" t="inlineStr">
        <is>
          <t>JUNIO</t>
        </is>
      </c>
      <c r="P925" s="169" t="n">
        <v>21</v>
      </c>
      <c r="Q925" s="171" t="n">
        <v>292918</v>
      </c>
      <c r="R925" s="169" t="n"/>
      <c r="S925" s="171" t="n">
        <v>292918</v>
      </c>
      <c r="T925" s="169" t="inlineStr">
        <is>
          <t>CLP</t>
        </is>
      </c>
      <c r="U925" s="169" t="inlineStr">
        <is>
          <t>Carga LH 18-06-26</t>
        </is>
      </c>
      <c r="V925" s="169" t="inlineStr">
        <is>
          <t>2026-06-18</t>
        </is>
      </c>
    </row>
    <row r="926">
      <c r="A926" s="169" t="inlineStr">
        <is>
          <t>CR-0923</t>
        </is>
      </c>
      <c r="B926" s="169" t="inlineStr">
        <is>
          <t>2026/27</t>
        </is>
      </c>
      <c r="C926" s="231" t="n">
        <v>46176</v>
      </c>
      <c r="D926" s="169" t="inlineStr"/>
      <c r="E926" s="169" t="inlineStr">
        <is>
          <t>COMPRA</t>
        </is>
      </c>
      <c r="F926" s="169" t="inlineStr">
        <is>
          <t>Mega Catalina</t>
        </is>
      </c>
      <c r="G926" s="169" t="inlineStr">
        <is>
          <t>EUREKA - 1999 (10,6 Ha.)</t>
        </is>
      </c>
      <c r="H926" s="169" t="n"/>
      <c r="I926" s="169" t="n"/>
      <c r="J926" s="169" t="inlineStr">
        <is>
          <t>ENERGIA Y AGUA</t>
        </is>
      </c>
      <c r="K926" s="169" t="inlineStr">
        <is>
          <t>SUMIN. ELECTRICO</t>
        </is>
      </c>
      <c r="L926" s="169" t="inlineStr">
        <is>
          <t>CONSUMO ELECTRICO</t>
        </is>
      </c>
      <c r="M926" s="169" t="n"/>
      <c r="N926" s="169" t="inlineStr">
        <is>
          <t>.   .   -</t>
        </is>
      </c>
      <c r="O926" s="169" t="inlineStr">
        <is>
          <t>JUNIO</t>
        </is>
      </c>
      <c r="P926" s="169" t="n">
        <v>21</v>
      </c>
      <c r="Q926" s="171" t="n">
        <v>192675</v>
      </c>
      <c r="R926" s="169" t="n"/>
      <c r="S926" s="171" t="n">
        <v>192675</v>
      </c>
      <c r="T926" s="169" t="inlineStr">
        <is>
          <t>CLP</t>
        </is>
      </c>
      <c r="U926" s="169" t="inlineStr">
        <is>
          <t>Carga LH 18-06-26</t>
        </is>
      </c>
      <c r="V926" s="169" t="inlineStr">
        <is>
          <t>2026-06-18</t>
        </is>
      </c>
    </row>
    <row r="927">
      <c r="A927" s="169" t="inlineStr">
        <is>
          <t>CR-0924</t>
        </is>
      </c>
      <c r="B927" s="169" t="inlineStr">
        <is>
          <t>2026/27</t>
        </is>
      </c>
      <c r="C927" s="231" t="n">
        <v>46176</v>
      </c>
      <c r="D927" s="169" t="inlineStr"/>
      <c r="E927" s="169" t="inlineStr">
        <is>
          <t>COMPRA</t>
        </is>
      </c>
      <c r="F927" s="169" t="inlineStr">
        <is>
          <t>Mega Catalina</t>
        </is>
      </c>
      <c r="G927" s="169" t="inlineStr">
        <is>
          <t>EUREKA - 2016 (14,4 Ha.)</t>
        </is>
      </c>
      <c r="H927" s="169" t="n"/>
      <c r="I927" s="169" t="n"/>
      <c r="J927" s="169" t="inlineStr">
        <is>
          <t>ENERGIA Y AGUA</t>
        </is>
      </c>
      <c r="K927" s="169" t="inlineStr">
        <is>
          <t>SUMIN. ELECTRICO</t>
        </is>
      </c>
      <c r="L927" s="169" t="inlineStr">
        <is>
          <t>CONSUMO ELECTRICO</t>
        </is>
      </c>
      <c r="M927" s="169" t="n"/>
      <c r="N927" s="169" t="inlineStr">
        <is>
          <t>.   .   -</t>
        </is>
      </c>
      <c r="O927" s="169" t="inlineStr">
        <is>
          <t>JUNIO</t>
        </is>
      </c>
      <c r="P927" s="169" t="n">
        <v>21</v>
      </c>
      <c r="Q927" s="171" t="n">
        <v>187468</v>
      </c>
      <c r="R927" s="169" t="n"/>
      <c r="S927" s="171" t="n">
        <v>187468</v>
      </c>
      <c r="T927" s="169" t="inlineStr">
        <is>
          <t>CLP</t>
        </is>
      </c>
      <c r="U927" s="169" t="inlineStr">
        <is>
          <t>Carga LH 18-06-26</t>
        </is>
      </c>
      <c r="V927" s="169" t="inlineStr">
        <is>
          <t>2026-06-18</t>
        </is>
      </c>
    </row>
    <row r="928">
      <c r="A928" s="169" t="inlineStr">
        <is>
          <t>CR-0925</t>
        </is>
      </c>
      <c r="B928" s="169" t="inlineStr">
        <is>
          <t>2026/27</t>
        </is>
      </c>
      <c r="C928" s="231" t="n">
        <v>46176</v>
      </c>
      <c r="D928" s="169" t="inlineStr"/>
      <c r="E928" s="169" t="inlineStr">
        <is>
          <t>COMPRA</t>
        </is>
      </c>
      <c r="F928" s="169" t="inlineStr">
        <is>
          <t>Mega Catalina</t>
        </is>
      </c>
      <c r="G928" s="169" t="inlineStr">
        <is>
          <t>FINO 49 - 1999 (7,7 Ha.)</t>
        </is>
      </c>
      <c r="H928" s="169" t="n"/>
      <c r="I928" s="169" t="n"/>
      <c r="J928" s="169" t="inlineStr">
        <is>
          <t>ENERGIA Y AGUA</t>
        </is>
      </c>
      <c r="K928" s="169" t="inlineStr">
        <is>
          <t>SUMIN. ELECTRICO</t>
        </is>
      </c>
      <c r="L928" s="169" t="inlineStr">
        <is>
          <t>CONSUMO ELECTRICO</t>
        </is>
      </c>
      <c r="M928" s="169" t="n"/>
      <c r="N928" s="169" t="inlineStr">
        <is>
          <t>.   .   -</t>
        </is>
      </c>
      <c r="O928" s="169" t="inlineStr">
        <is>
          <t>JUNIO</t>
        </is>
      </c>
      <c r="P928" s="169" t="n">
        <v>21</v>
      </c>
      <c r="Q928" s="171" t="n">
        <v>100243</v>
      </c>
      <c r="R928" s="169" t="n"/>
      <c r="S928" s="171" t="n">
        <v>100243</v>
      </c>
      <c r="T928" s="169" t="inlineStr">
        <is>
          <t>CLP</t>
        </is>
      </c>
      <c r="U928" s="169" t="inlineStr">
        <is>
          <t>Carga LH 18-06-26</t>
        </is>
      </c>
      <c r="V928" s="169" t="inlineStr">
        <is>
          <t>2026-06-18</t>
        </is>
      </c>
    </row>
    <row r="929">
      <c r="A929" s="169" t="inlineStr">
        <is>
          <t>CR-0926</t>
        </is>
      </c>
      <c r="B929" s="169" t="inlineStr">
        <is>
          <t>2026/27</t>
        </is>
      </c>
      <c r="C929" s="231" t="n">
        <v>46176</v>
      </c>
      <c r="D929" s="169" t="inlineStr"/>
      <c r="E929" s="169" t="inlineStr">
        <is>
          <t>COMPRA</t>
        </is>
      </c>
      <c r="F929" s="169" t="inlineStr">
        <is>
          <t>Mega Catalina</t>
        </is>
      </c>
      <c r="G929" s="169" t="inlineStr">
        <is>
          <t>NARANJA CAMBRIA - 2009 (4,2 Ha.)</t>
        </is>
      </c>
      <c r="H929" s="169" t="n"/>
      <c r="I929" s="169" t="n"/>
      <c r="J929" s="169" t="inlineStr">
        <is>
          <t>ENERGIA Y AGUA</t>
        </is>
      </c>
      <c r="K929" s="169" t="inlineStr">
        <is>
          <t>SUMIN. ELECTRICO</t>
        </is>
      </c>
      <c r="L929" s="169" t="inlineStr">
        <is>
          <t>CONSUMO ELECTRICO</t>
        </is>
      </c>
      <c r="M929" s="169" t="n"/>
      <c r="N929" s="169" t="inlineStr">
        <is>
          <t>.   .   -</t>
        </is>
      </c>
      <c r="O929" s="169" t="inlineStr">
        <is>
          <t>JUNIO</t>
        </is>
      </c>
      <c r="P929" s="169" t="n">
        <v>21</v>
      </c>
      <c r="Q929" s="171" t="n">
        <v>54678</v>
      </c>
      <c r="R929" s="169" t="n"/>
      <c r="S929" s="171" t="n">
        <v>54678</v>
      </c>
      <c r="T929" s="169" t="inlineStr">
        <is>
          <t>CLP</t>
        </is>
      </c>
      <c r="U929" s="169" t="inlineStr">
        <is>
          <t>Carga LH 18-06-26</t>
        </is>
      </c>
      <c r="V929" s="169" t="inlineStr">
        <is>
          <t>2026-06-18</t>
        </is>
      </c>
    </row>
    <row r="930">
      <c r="A930" s="169" t="inlineStr">
        <is>
          <t>CR-0927</t>
        </is>
      </c>
      <c r="B930" s="169" t="inlineStr">
        <is>
          <t>2026/27</t>
        </is>
      </c>
      <c r="C930" s="231" t="n">
        <v>46176</v>
      </c>
      <c r="D930" s="169" t="inlineStr"/>
      <c r="E930" s="169" t="inlineStr">
        <is>
          <t>COMPRA</t>
        </is>
      </c>
      <c r="F930" s="169" t="inlineStr">
        <is>
          <t>Mega Catalina</t>
        </is>
      </c>
      <c r="G930" s="169" t="inlineStr">
        <is>
          <t>MURCOTT - 2007 (21 Ha.)</t>
        </is>
      </c>
      <c r="H930" s="169" t="n"/>
      <c r="I930" s="169" t="n"/>
      <c r="J930" s="169" t="inlineStr">
        <is>
          <t>ENERGIA Y AGUA</t>
        </is>
      </c>
      <c r="K930" s="169" t="inlineStr">
        <is>
          <t>SUMIN. ELECTRICO</t>
        </is>
      </c>
      <c r="L930" s="169" t="inlineStr">
        <is>
          <t>CONSUMO ELECTRICO</t>
        </is>
      </c>
      <c r="M930" s="169" t="n"/>
      <c r="N930" s="169" t="inlineStr">
        <is>
          <t>.   .   -</t>
        </is>
      </c>
      <c r="O930" s="169" t="inlineStr">
        <is>
          <t>JUNIO</t>
        </is>
      </c>
      <c r="P930" s="169" t="n">
        <v>21</v>
      </c>
      <c r="Q930" s="171" t="n">
        <v>273390</v>
      </c>
      <c r="R930" s="169" t="n"/>
      <c r="S930" s="171" t="n">
        <v>273390</v>
      </c>
      <c r="T930" s="169" t="inlineStr">
        <is>
          <t>CLP</t>
        </is>
      </c>
      <c r="U930" s="169" t="inlineStr">
        <is>
          <t>Carga LH 18-06-26</t>
        </is>
      </c>
      <c r="V930" s="169" t="inlineStr">
        <is>
          <t>2026-06-18</t>
        </is>
      </c>
    </row>
    <row r="931">
      <c r="A931" s="169" t="inlineStr">
        <is>
          <t>CR-0928</t>
        </is>
      </c>
      <c r="B931" s="169" t="inlineStr">
        <is>
          <t>2026/27</t>
        </is>
      </c>
      <c r="C931" s="231" t="n">
        <v>46176</v>
      </c>
      <c r="D931" s="169" t="inlineStr"/>
      <c r="E931" s="169" t="inlineStr">
        <is>
          <t>COMPRA</t>
        </is>
      </c>
      <c r="F931" s="169" t="inlineStr">
        <is>
          <t>Mega Catalina</t>
        </is>
      </c>
      <c r="G931" s="169" t="inlineStr">
        <is>
          <t>EUREKA - 1999 (22,5 Ha.)</t>
        </is>
      </c>
      <c r="H931" s="169" t="n"/>
      <c r="I931" s="169" t="n"/>
      <c r="J931" s="169" t="inlineStr">
        <is>
          <t>ENERGIA Y AGUA</t>
        </is>
      </c>
      <c r="K931" s="169" t="inlineStr">
        <is>
          <t>SUMIN. ELECTRICO</t>
        </is>
      </c>
      <c r="L931" s="169" t="inlineStr">
        <is>
          <t>CONSUMO ELECTRICO</t>
        </is>
      </c>
      <c r="M931" s="169" t="n"/>
      <c r="N931" s="169" t="inlineStr">
        <is>
          <t>.   .   -</t>
        </is>
      </c>
      <c r="O931" s="169" t="inlineStr">
        <is>
          <t>JUNIO</t>
        </is>
      </c>
      <c r="P931" s="169" t="n">
        <v>21</v>
      </c>
      <c r="Q931" s="171" t="n">
        <v>880</v>
      </c>
      <c r="R931" s="169" t="n"/>
      <c r="S931" s="171" t="n">
        <v>880</v>
      </c>
      <c r="T931" s="169" t="inlineStr">
        <is>
          <t>CLP</t>
        </is>
      </c>
      <c r="U931" s="169" t="inlineStr">
        <is>
          <t>Carga LH 18-06-26</t>
        </is>
      </c>
      <c r="V931" s="169" t="inlineStr">
        <is>
          <t>2026-06-18</t>
        </is>
      </c>
    </row>
    <row r="932">
      <c r="A932" s="169" t="inlineStr">
        <is>
          <t>CR-0929</t>
        </is>
      </c>
      <c r="B932" s="169" t="inlineStr">
        <is>
          <t>2026/27</t>
        </is>
      </c>
      <c r="C932" s="231" t="n">
        <v>46176</v>
      </c>
      <c r="D932" s="169" t="inlineStr"/>
      <c r="E932" s="169" t="inlineStr">
        <is>
          <t>COMPRA</t>
        </is>
      </c>
      <c r="F932" s="169" t="inlineStr">
        <is>
          <t>Mega Catalina</t>
        </is>
      </c>
      <c r="G932" s="169" t="inlineStr">
        <is>
          <t>EUREKA - 1999 (10,6 Ha.)</t>
        </is>
      </c>
      <c r="H932" s="169" t="n"/>
      <c r="I932" s="169" t="n"/>
      <c r="J932" s="169" t="inlineStr">
        <is>
          <t>ENERGIA Y AGUA</t>
        </is>
      </c>
      <c r="K932" s="169" t="inlineStr">
        <is>
          <t>SUMIN. ELECTRICO</t>
        </is>
      </c>
      <c r="L932" s="169" t="inlineStr">
        <is>
          <t>CONSUMO ELECTRICO</t>
        </is>
      </c>
      <c r="M932" s="169" t="n"/>
      <c r="N932" s="169" t="inlineStr">
        <is>
          <t>.   .   -</t>
        </is>
      </c>
      <c r="O932" s="169" t="inlineStr">
        <is>
          <t>JUNIO</t>
        </is>
      </c>
      <c r="P932" s="169" t="n">
        <v>21</v>
      </c>
      <c r="Q932" s="171" t="n">
        <v>1298</v>
      </c>
      <c r="R932" s="169" t="n"/>
      <c r="S932" s="171" t="n">
        <v>1298</v>
      </c>
      <c r="T932" s="169" t="inlineStr">
        <is>
          <t>CLP</t>
        </is>
      </c>
      <c r="U932" s="169" t="inlineStr">
        <is>
          <t>Carga LH 18-06-26</t>
        </is>
      </c>
      <c r="V932" s="169" t="inlineStr">
        <is>
          <t>2026-06-18</t>
        </is>
      </c>
    </row>
    <row r="933">
      <c r="A933" s="169" t="inlineStr">
        <is>
          <t>CR-0930</t>
        </is>
      </c>
      <c r="B933" s="169" t="inlineStr">
        <is>
          <t>2026/27</t>
        </is>
      </c>
      <c r="C933" s="231" t="n">
        <v>46176</v>
      </c>
      <c r="D933" s="169" t="inlineStr"/>
      <c r="E933" s="169" t="inlineStr">
        <is>
          <t>COMPRA</t>
        </is>
      </c>
      <c r="F933" s="169" t="inlineStr">
        <is>
          <t>Mega Catalina</t>
        </is>
      </c>
      <c r="G933" s="169" t="inlineStr">
        <is>
          <t>EUREKA - 1999 (10,6 Ha.)</t>
        </is>
      </c>
      <c r="H933" s="169" t="n"/>
      <c r="I933" s="169" t="n"/>
      <c r="J933" s="169" t="inlineStr">
        <is>
          <t>ENERGIA Y AGUA</t>
        </is>
      </c>
      <c r="K933" s="169" t="inlineStr">
        <is>
          <t>SUMIN. ELECTRICO</t>
        </is>
      </c>
      <c r="L933" s="169" t="inlineStr">
        <is>
          <t>CONSUMO ELECTRICO</t>
        </is>
      </c>
      <c r="M933" s="169" t="n"/>
      <c r="N933" s="169" t="inlineStr">
        <is>
          <t>.   .   -</t>
        </is>
      </c>
      <c r="O933" s="169" t="inlineStr">
        <is>
          <t>JUNIO</t>
        </is>
      </c>
      <c r="P933" s="169" t="n">
        <v>21</v>
      </c>
      <c r="Q933" s="171" t="n">
        <v>1689154</v>
      </c>
      <c r="R933" s="169" t="n"/>
      <c r="S933" s="171" t="n">
        <v>1689154</v>
      </c>
      <c r="T933" s="169" t="inlineStr">
        <is>
          <t>CLP</t>
        </is>
      </c>
      <c r="U933" s="169" t="inlineStr">
        <is>
          <t>Carga LH 18-06-26</t>
        </is>
      </c>
      <c r="V933" s="169" t="inlineStr">
        <is>
          <t>2026-06-18</t>
        </is>
      </c>
    </row>
    <row r="934">
      <c r="A934" s="169" t="inlineStr">
        <is>
          <t>CR-0931</t>
        </is>
      </c>
      <c r="B934" s="169" t="inlineStr">
        <is>
          <t>2026/27</t>
        </is>
      </c>
      <c r="C934" s="231" t="n">
        <v>46176</v>
      </c>
      <c r="D934" s="169" t="inlineStr"/>
      <c r="E934" s="169" t="inlineStr">
        <is>
          <t>COMPRA</t>
        </is>
      </c>
      <c r="F934" s="169" t="inlineStr">
        <is>
          <t>Mega Catalina</t>
        </is>
      </c>
      <c r="G934" s="169" t="inlineStr">
        <is>
          <t>FINO 49 - 1999 (7,7 Ha.)</t>
        </is>
      </c>
      <c r="H934" s="169" t="n"/>
      <c r="I934" s="169" t="n"/>
      <c r="J934" s="169" t="inlineStr">
        <is>
          <t>ENERGIA Y AGUA</t>
        </is>
      </c>
      <c r="K934" s="169" t="inlineStr">
        <is>
          <t>SUMIN. ELECTRICO</t>
        </is>
      </c>
      <c r="L934" s="169" t="inlineStr">
        <is>
          <t>CONSUMO ELECTRICO</t>
        </is>
      </c>
      <c r="M934" s="169" t="n"/>
      <c r="N934" s="169" t="inlineStr">
        <is>
          <t>.   .   -</t>
        </is>
      </c>
      <c r="O934" s="169" t="inlineStr">
        <is>
          <t>JUNIO</t>
        </is>
      </c>
      <c r="P934" s="169" t="n">
        <v>21</v>
      </c>
      <c r="Q934" s="171" t="n">
        <v>878816</v>
      </c>
      <c r="R934" s="169" t="n"/>
      <c r="S934" s="171" t="n">
        <v>878816</v>
      </c>
      <c r="T934" s="169" t="inlineStr">
        <is>
          <t>CLP</t>
        </is>
      </c>
      <c r="U934" s="169" t="inlineStr">
        <is>
          <t>Carga LH 18-06-26</t>
        </is>
      </c>
      <c r="V934" s="169" t="inlineStr">
        <is>
          <t>2026-06-18</t>
        </is>
      </c>
    </row>
    <row r="935">
      <c r="A935" s="169" t="inlineStr">
        <is>
          <t>CR-0932</t>
        </is>
      </c>
      <c r="B935" s="169" t="inlineStr">
        <is>
          <t>2026/27</t>
        </is>
      </c>
      <c r="C935" s="231" t="n">
        <v>46176</v>
      </c>
      <c r="D935" s="169" t="inlineStr"/>
      <c r="E935" s="169" t="inlineStr">
        <is>
          <t>COMPRA</t>
        </is>
      </c>
      <c r="F935" s="169" t="inlineStr">
        <is>
          <t>Mega Catalina</t>
        </is>
      </c>
      <c r="G935" s="169" t="inlineStr">
        <is>
          <t>MURCOTT - 2007 (21 Ha.)</t>
        </is>
      </c>
      <c r="H935" s="169" t="n"/>
      <c r="I935" s="169" t="n"/>
      <c r="J935" s="169" t="inlineStr">
        <is>
          <t>ENERGIA Y AGUA</t>
        </is>
      </c>
      <c r="K935" s="169" t="inlineStr">
        <is>
          <t>SUMIN. ELECTRICO</t>
        </is>
      </c>
      <c r="L935" s="169" t="inlineStr">
        <is>
          <t>CONSUMO ELECTRICO</t>
        </is>
      </c>
      <c r="M935" s="169" t="n"/>
      <c r="N935" s="169" t="inlineStr">
        <is>
          <t>.   .   -</t>
        </is>
      </c>
      <c r="O935" s="169" t="inlineStr">
        <is>
          <t>JUNIO</t>
        </is>
      </c>
      <c r="P935" s="169" t="n">
        <v>21</v>
      </c>
      <c r="Q935" s="171" t="n">
        <v>2396772</v>
      </c>
      <c r="R935" s="169" t="n"/>
      <c r="S935" s="171" t="n">
        <v>2396772</v>
      </c>
      <c r="T935" s="169" t="inlineStr">
        <is>
          <t>CLP</t>
        </is>
      </c>
      <c r="U935" s="169" t="inlineStr">
        <is>
          <t>Carga LH 18-06-26</t>
        </is>
      </c>
      <c r="V935" s="169" t="inlineStr">
        <is>
          <t>2026-06-18</t>
        </is>
      </c>
    </row>
    <row r="936">
      <c r="A936" s="169" t="inlineStr">
        <is>
          <t>CR-0933</t>
        </is>
      </c>
      <c r="B936" s="169" t="inlineStr">
        <is>
          <t>2026/27</t>
        </is>
      </c>
      <c r="C936" s="231" t="n">
        <v>46176</v>
      </c>
      <c r="D936" s="169" t="inlineStr"/>
      <c r="E936" s="169" t="inlineStr">
        <is>
          <t>COMPRA</t>
        </is>
      </c>
      <c r="F936" s="169" t="inlineStr">
        <is>
          <t>Mega Catalina</t>
        </is>
      </c>
      <c r="G936" s="169" t="inlineStr">
        <is>
          <t>EUREKA - 1999 (22,5 Ha.)</t>
        </is>
      </c>
      <c r="H936" s="169" t="n"/>
      <c r="I936" s="169" t="n"/>
      <c r="J936" s="169" t="inlineStr">
        <is>
          <t>ENERGIA Y AGUA</t>
        </is>
      </c>
      <c r="K936" s="169" t="inlineStr">
        <is>
          <t>SUMIN. ELECTRICO</t>
        </is>
      </c>
      <c r="L936" s="169" t="inlineStr">
        <is>
          <t>CONSUMO ELECTRICO</t>
        </is>
      </c>
      <c r="M936" s="169" t="n"/>
      <c r="N936" s="169" t="inlineStr">
        <is>
          <t>.   .   -</t>
        </is>
      </c>
      <c r="O936" s="169" t="inlineStr">
        <is>
          <t>JUNIO</t>
        </is>
      </c>
      <c r="P936" s="169" t="n">
        <v>21</v>
      </c>
      <c r="Q936" s="171" t="n">
        <v>39263</v>
      </c>
      <c r="R936" s="169" t="n"/>
      <c r="S936" s="171" t="n">
        <v>39263</v>
      </c>
      <c r="T936" s="169" t="inlineStr">
        <is>
          <t>CLP</t>
        </is>
      </c>
      <c r="U936" s="169" t="inlineStr">
        <is>
          <t>Carga LH 18-06-26</t>
        </is>
      </c>
      <c r="V936" s="169" t="inlineStr">
        <is>
          <t>2026-06-18</t>
        </is>
      </c>
    </row>
    <row r="937">
      <c r="A937" s="169" t="inlineStr">
        <is>
          <t>CR-0934</t>
        </is>
      </c>
      <c r="B937" s="169" t="inlineStr">
        <is>
          <t>2026/27</t>
        </is>
      </c>
      <c r="C937" s="231" t="n">
        <v>46176</v>
      </c>
      <c r="D937" s="169" t="inlineStr"/>
      <c r="E937" s="169" t="inlineStr">
        <is>
          <t>COMPRA</t>
        </is>
      </c>
      <c r="F937" s="169" t="inlineStr">
        <is>
          <t>El Molle</t>
        </is>
      </c>
      <c r="G937" s="169" t="inlineStr">
        <is>
          <t>ARRUFATINA - 2017 (5,74 Ha.)</t>
        </is>
      </c>
      <c r="H937" s="169" t="n"/>
      <c r="I937" s="169" t="n"/>
      <c r="J937" s="169" t="inlineStr">
        <is>
          <t>ENERGIA Y AGUA</t>
        </is>
      </c>
      <c r="K937" s="169" t="inlineStr">
        <is>
          <t>SUMIN. ELECTRICO</t>
        </is>
      </c>
      <c r="L937" s="169" t="inlineStr">
        <is>
          <t>CONSUMO ELECTRICO</t>
        </is>
      </c>
      <c r="M937" s="169" t="n"/>
      <c r="N937" s="169" t="inlineStr">
        <is>
          <t>.   .   -</t>
        </is>
      </c>
      <c r="O937" s="169" t="inlineStr">
        <is>
          <t>JUNIO</t>
        </is>
      </c>
      <c r="P937" s="169" t="n">
        <v>21</v>
      </c>
      <c r="Q937" s="171" t="n">
        <v>746228</v>
      </c>
      <c r="R937" s="169" t="n"/>
      <c r="S937" s="171" t="n">
        <v>746228</v>
      </c>
      <c r="T937" s="169" t="inlineStr">
        <is>
          <t>CLP</t>
        </is>
      </c>
      <c r="U937" s="169" t="inlineStr">
        <is>
          <t>Carga LH 18-06-26</t>
        </is>
      </c>
      <c r="V937" s="169" t="inlineStr">
        <is>
          <t>2026-06-18</t>
        </is>
      </c>
    </row>
    <row r="938">
      <c r="A938" s="169" t="inlineStr">
        <is>
          <t>CR-0935</t>
        </is>
      </c>
      <c r="B938" s="169" t="inlineStr">
        <is>
          <t>2026/27</t>
        </is>
      </c>
      <c r="C938" s="231" t="n">
        <v>46176</v>
      </c>
      <c r="D938" s="169" t="inlineStr"/>
      <c r="E938" s="169" t="inlineStr">
        <is>
          <t>COMPRA</t>
        </is>
      </c>
      <c r="F938" s="169" t="inlineStr">
        <is>
          <t>El Molle</t>
        </is>
      </c>
      <c r="G938" s="169" t="inlineStr">
        <is>
          <t>ORONULES - 2017 (2,85 Ha.)</t>
        </is>
      </c>
      <c r="H938" s="169" t="n"/>
      <c r="I938" s="169" t="n"/>
      <c r="J938" s="169" t="inlineStr">
        <is>
          <t>ENERGIA Y AGUA</t>
        </is>
      </c>
      <c r="K938" s="169" t="inlineStr">
        <is>
          <t>SUMIN. ELECTRICO</t>
        </is>
      </c>
      <c r="L938" s="169" t="inlineStr">
        <is>
          <t>CONSUMO ELECTRICO</t>
        </is>
      </c>
      <c r="M938" s="169" t="n"/>
      <c r="N938" s="169" t="inlineStr">
        <is>
          <t>.   .   -</t>
        </is>
      </c>
      <c r="O938" s="169" t="inlineStr">
        <is>
          <t>JUNIO</t>
        </is>
      </c>
      <c r="P938" s="169" t="n">
        <v>21</v>
      </c>
      <c r="Q938" s="171" t="n">
        <v>370514</v>
      </c>
      <c r="R938" s="169" t="n"/>
      <c r="S938" s="171" t="n">
        <v>370514</v>
      </c>
      <c r="T938" s="169" t="inlineStr">
        <is>
          <t>CLP</t>
        </is>
      </c>
      <c r="U938" s="169" t="inlineStr">
        <is>
          <t>Carga LH 18-06-26</t>
        </is>
      </c>
      <c r="V938" s="169" t="inlineStr">
        <is>
          <t>2026-06-18</t>
        </is>
      </c>
    </row>
    <row r="939">
      <c r="A939" s="169" t="inlineStr">
        <is>
          <t>CR-0936</t>
        </is>
      </c>
      <c r="B939" s="169" t="inlineStr">
        <is>
          <t>2026/27</t>
        </is>
      </c>
      <c r="C939" s="231" t="n">
        <v>46176</v>
      </c>
      <c r="D939" s="169" t="inlineStr"/>
      <c r="E939" s="169" t="inlineStr">
        <is>
          <t>COMPRA</t>
        </is>
      </c>
      <c r="F939" s="169" t="inlineStr">
        <is>
          <t>Mega Catalina</t>
        </is>
      </c>
      <c r="G939" s="169" t="inlineStr">
        <is>
          <t>ORONULES - 2019 (2,5 Ha.)</t>
        </is>
      </c>
      <c r="H939" s="169" t="n"/>
      <c r="I939" s="169" t="n"/>
      <c r="J939" s="169" t="inlineStr">
        <is>
          <t>ENERGIA Y AGUA</t>
        </is>
      </c>
      <c r="K939" s="169" t="inlineStr">
        <is>
          <t>SUMIN. ELECTRICO</t>
        </is>
      </c>
      <c r="L939" s="169" t="inlineStr">
        <is>
          <t>CONSUMO ELECTRICO</t>
        </is>
      </c>
      <c r="M939" s="169" t="n"/>
      <c r="N939" s="169" t="inlineStr">
        <is>
          <t>.   .   -</t>
        </is>
      </c>
      <c r="O939" s="169" t="inlineStr">
        <is>
          <t>JUNIO</t>
        </is>
      </c>
      <c r="P939" s="169" t="n">
        <v>21</v>
      </c>
      <c r="Q939" s="171" t="n">
        <v>325013</v>
      </c>
      <c r="R939" s="169" t="n"/>
      <c r="S939" s="171" t="n">
        <v>325013</v>
      </c>
      <c r="T939" s="169" t="inlineStr">
        <is>
          <t>CLP</t>
        </is>
      </c>
      <c r="U939" s="169" t="inlineStr">
        <is>
          <t>Carga LH 18-06-26</t>
        </is>
      </c>
      <c r="V939" s="169" t="inlineStr">
        <is>
          <t>2026-06-18</t>
        </is>
      </c>
    </row>
    <row r="940">
      <c r="A940" s="169" t="inlineStr">
        <is>
          <t>CR-0937</t>
        </is>
      </c>
      <c r="B940" s="169" t="inlineStr">
        <is>
          <t>2026/27</t>
        </is>
      </c>
      <c r="C940" s="231" t="n">
        <v>46176</v>
      </c>
      <c r="D940" s="169" t="inlineStr"/>
      <c r="E940" s="169" t="inlineStr">
        <is>
          <t>COMPRA</t>
        </is>
      </c>
      <c r="F940" s="169" t="inlineStr">
        <is>
          <t>El Molle</t>
        </is>
      </c>
      <c r="G940" s="169" t="inlineStr">
        <is>
          <t>OROGRANDE - 2007 (8,11 Ha.)</t>
        </is>
      </c>
      <c r="H940" s="169" t="n"/>
      <c r="I940" s="169" t="n"/>
      <c r="J940" s="169" t="inlineStr">
        <is>
          <t>ENERGIA Y AGUA</t>
        </is>
      </c>
      <c r="K940" s="169" t="inlineStr">
        <is>
          <t>SUMIN. ELECTRICO</t>
        </is>
      </c>
      <c r="L940" s="169" t="inlineStr">
        <is>
          <t>CONSUMO ELECTRICO</t>
        </is>
      </c>
      <c r="M940" s="169" t="n"/>
      <c r="N940" s="169" t="inlineStr">
        <is>
          <t>.   .   -</t>
        </is>
      </c>
      <c r="O940" s="169" t="inlineStr">
        <is>
          <t>JUNIO</t>
        </is>
      </c>
      <c r="P940" s="169" t="n">
        <v>21</v>
      </c>
      <c r="Q940" s="171" t="n">
        <v>1054341</v>
      </c>
      <c r="R940" s="169" t="n"/>
      <c r="S940" s="171" t="n">
        <v>1054341</v>
      </c>
      <c r="T940" s="169" t="inlineStr">
        <is>
          <t>CLP</t>
        </is>
      </c>
      <c r="U940" s="169" t="inlineStr">
        <is>
          <t>Carga LH 18-06-26</t>
        </is>
      </c>
      <c r="V940" s="169" t="inlineStr">
        <is>
          <t>2026-06-18</t>
        </is>
      </c>
    </row>
    <row r="941">
      <c r="A941" s="169" t="inlineStr">
        <is>
          <t>CR-0938</t>
        </is>
      </c>
      <c r="B941" s="169" t="inlineStr">
        <is>
          <t>2026/27</t>
        </is>
      </c>
      <c r="C941" s="231" t="n">
        <v>46178</v>
      </c>
      <c r="D941" s="169" t="inlineStr"/>
      <c r="E941" s="169" t="inlineStr">
        <is>
          <t>COMPRA</t>
        </is>
      </c>
      <c r="F941" s="169" t="inlineStr">
        <is>
          <t>Asmara</t>
        </is>
      </c>
      <c r="G941" s="169" t="inlineStr">
        <is>
          <t>MURCOTT - 2020 (19,8 Ha.)</t>
        </is>
      </c>
      <c r="H941" s="169" t="n"/>
      <c r="I941" s="169" t="n"/>
      <c r="J941" s="169" t="inlineStr">
        <is>
          <t>ENERGIA Y AGUA</t>
        </is>
      </c>
      <c r="K941" s="169" t="inlineStr">
        <is>
          <t>SUMIN. ELECTRICO</t>
        </is>
      </c>
      <c r="L941" s="169" t="inlineStr">
        <is>
          <t>CONSUMO ELECTRICO</t>
        </is>
      </c>
      <c r="M941" s="169" t="n"/>
      <c r="N941" s="169" t="inlineStr">
        <is>
          <t>.   .   -</t>
        </is>
      </c>
      <c r="O941" s="169" t="inlineStr">
        <is>
          <t>JUNIO</t>
        </is>
      </c>
      <c r="P941" s="169" t="n">
        <v>21</v>
      </c>
      <c r="Q941" s="171" t="n">
        <v>742735</v>
      </c>
      <c r="R941" s="169" t="n"/>
      <c r="S941" s="171" t="n">
        <v>742735</v>
      </c>
      <c r="T941" s="169" t="inlineStr">
        <is>
          <t>CLP</t>
        </is>
      </c>
      <c r="U941" s="169" t="inlineStr">
        <is>
          <t>Carga LH 18-06-26</t>
        </is>
      </c>
      <c r="V941" s="169" t="inlineStr">
        <is>
          <t>2026-06-18</t>
        </is>
      </c>
    </row>
    <row r="942">
      <c r="A942" s="169" t="inlineStr">
        <is>
          <t>CR-0939</t>
        </is>
      </c>
      <c r="B942" s="169" t="inlineStr">
        <is>
          <t>2026/27</t>
        </is>
      </c>
      <c r="C942" s="231" t="n">
        <v>46178</v>
      </c>
      <c r="D942" s="169" t="inlineStr"/>
      <c r="E942" s="169" t="inlineStr">
        <is>
          <t>COMPRA</t>
        </is>
      </c>
      <c r="F942" s="169" t="inlineStr">
        <is>
          <t>Asmara</t>
        </is>
      </c>
      <c r="G942" s="169" t="inlineStr">
        <is>
          <t>MURCOTT - 2020 (4,9 Ha.)</t>
        </is>
      </c>
      <c r="H942" s="169" t="n"/>
      <c r="I942" s="169" t="n"/>
      <c r="J942" s="169" t="inlineStr">
        <is>
          <t>ENERGIA Y AGUA</t>
        </is>
      </c>
      <c r="K942" s="169" t="inlineStr">
        <is>
          <t>SUMIN. ELECTRICO</t>
        </is>
      </c>
      <c r="L942" s="169" t="inlineStr">
        <is>
          <t>CONSUMO ELECTRICO</t>
        </is>
      </c>
      <c r="M942" s="169" t="n"/>
      <c r="N942" s="169" t="inlineStr">
        <is>
          <t>.   .   -</t>
        </is>
      </c>
      <c r="O942" s="169" t="inlineStr">
        <is>
          <t>JUNIO</t>
        </is>
      </c>
      <c r="P942" s="169" t="n">
        <v>21</v>
      </c>
      <c r="Q942" s="171" t="n">
        <v>183808</v>
      </c>
      <c r="R942" s="169" t="n"/>
      <c r="S942" s="171" t="n">
        <v>183808</v>
      </c>
      <c r="T942" s="169" t="inlineStr">
        <is>
          <t>CLP</t>
        </is>
      </c>
      <c r="U942" s="169" t="inlineStr">
        <is>
          <t>Carga LH 18-06-26</t>
        </is>
      </c>
      <c r="V942" s="169" t="inlineStr">
        <is>
          <t>2026-06-18</t>
        </is>
      </c>
    </row>
    <row r="943">
      <c r="A943" s="169" t="inlineStr">
        <is>
          <t>CR-0940</t>
        </is>
      </c>
      <c r="B943" s="169" t="inlineStr">
        <is>
          <t>2026/27</t>
        </is>
      </c>
      <c r="C943" s="231" t="n">
        <v>46178</v>
      </c>
      <c r="D943" s="169" t="inlineStr"/>
      <c r="E943" s="169" t="inlineStr">
        <is>
          <t>COMPRA</t>
        </is>
      </c>
      <c r="F943" s="169" t="inlineStr">
        <is>
          <t>Mega Catalina</t>
        </is>
      </c>
      <c r="G943" s="169" t="inlineStr">
        <is>
          <t>EUREKA - 1999 (10,6 Ha.)</t>
        </is>
      </c>
      <c r="H943" s="169" t="n"/>
      <c r="I943" s="169" t="n"/>
      <c r="J943" s="169" t="inlineStr">
        <is>
          <t>ENERGIA Y AGUA</t>
        </is>
      </c>
      <c r="K943" s="169" t="inlineStr">
        <is>
          <t>SUMIN. ELECTRICO</t>
        </is>
      </c>
      <c r="L943" s="169" t="inlineStr">
        <is>
          <t>CONSUMO ELECTRICO</t>
        </is>
      </c>
      <c r="M943" s="169" t="n"/>
      <c r="N943" s="169" t="inlineStr">
        <is>
          <t>.   .   -</t>
        </is>
      </c>
      <c r="O943" s="169" t="inlineStr">
        <is>
          <t>JUNIO</t>
        </is>
      </c>
      <c r="P943" s="169" t="n">
        <v>21</v>
      </c>
      <c r="Q943" s="171" t="n">
        <v>235918</v>
      </c>
      <c r="R943" s="169" t="n"/>
      <c r="S943" s="171" t="n">
        <v>235918</v>
      </c>
      <c r="T943" s="169" t="inlineStr">
        <is>
          <t>CLP</t>
        </is>
      </c>
      <c r="U943" s="169" t="inlineStr">
        <is>
          <t>Carga LH 18-06-26</t>
        </is>
      </c>
      <c r="V943" s="169" t="inlineStr">
        <is>
          <t>2026-06-18</t>
        </is>
      </c>
    </row>
    <row r="944">
      <c r="A944" s="169" t="inlineStr">
        <is>
          <t>CR-0941</t>
        </is>
      </c>
      <c r="B944" s="169" t="inlineStr">
        <is>
          <t>2026/27</t>
        </is>
      </c>
      <c r="C944" s="231" t="n">
        <v>46178</v>
      </c>
      <c r="D944" s="169" t="inlineStr"/>
      <c r="E944" s="169" t="inlineStr">
        <is>
          <t>COMPRA</t>
        </is>
      </c>
      <c r="F944" s="169" t="inlineStr">
        <is>
          <t>Mega Catalina</t>
        </is>
      </c>
      <c r="G944" s="169" t="inlineStr">
        <is>
          <t>FINO 49 - 1999 (7,7 Ha.)</t>
        </is>
      </c>
      <c r="H944" s="169" t="n"/>
      <c r="I944" s="169" t="n"/>
      <c r="J944" s="169" t="inlineStr">
        <is>
          <t>ENERGIA Y AGUA</t>
        </is>
      </c>
      <c r="K944" s="169" t="inlineStr">
        <is>
          <t>SUMIN. ELECTRICO</t>
        </is>
      </c>
      <c r="L944" s="169" t="inlineStr">
        <is>
          <t>CONSUMO ELECTRICO</t>
        </is>
      </c>
      <c r="M944" s="169" t="n"/>
      <c r="N944" s="169" t="inlineStr">
        <is>
          <t>.   .   -</t>
        </is>
      </c>
      <c r="O944" s="169" t="inlineStr">
        <is>
          <t>JUNIO</t>
        </is>
      </c>
      <c r="P944" s="169" t="n">
        <v>21</v>
      </c>
      <c r="Q944" s="171" t="n">
        <v>120863</v>
      </c>
      <c r="R944" s="169" t="n"/>
      <c r="S944" s="171" t="n">
        <v>120863</v>
      </c>
      <c r="T944" s="169" t="inlineStr">
        <is>
          <t>CLP</t>
        </is>
      </c>
      <c r="U944" s="169" t="inlineStr">
        <is>
          <t>Carga LH 18-06-26</t>
        </is>
      </c>
      <c r="V944" s="169" t="inlineStr">
        <is>
          <t>2026-06-18</t>
        </is>
      </c>
    </row>
    <row r="945">
      <c r="A945" s="169" t="inlineStr">
        <is>
          <t>CR-0942</t>
        </is>
      </c>
      <c r="B945" s="169" t="inlineStr">
        <is>
          <t>2026/27</t>
        </is>
      </c>
      <c r="C945" s="231" t="n">
        <v>46178</v>
      </c>
      <c r="D945" s="169" t="inlineStr"/>
      <c r="E945" s="169" t="inlineStr">
        <is>
          <t>COMPRA</t>
        </is>
      </c>
      <c r="F945" s="169" t="inlineStr">
        <is>
          <t>Mega Catalina</t>
        </is>
      </c>
      <c r="G945" s="169" t="inlineStr">
        <is>
          <t>EUREKA - 1999 (22,5 Ha.)</t>
        </is>
      </c>
      <c r="H945" s="169" t="n"/>
      <c r="I945" s="169" t="n"/>
      <c r="J945" s="169" t="inlineStr">
        <is>
          <t>ENERGIA Y AGUA</t>
        </is>
      </c>
      <c r="K945" s="169" t="inlineStr">
        <is>
          <t>SUMIN. ELECTRICO</t>
        </is>
      </c>
      <c r="L945" s="169" t="inlineStr">
        <is>
          <t>CONSUMO ELECTRICO</t>
        </is>
      </c>
      <c r="M945" s="169" t="n"/>
      <c r="N945" s="169" t="inlineStr">
        <is>
          <t>.   .   -</t>
        </is>
      </c>
      <c r="O945" s="169" t="inlineStr">
        <is>
          <t>JUNIO</t>
        </is>
      </c>
      <c r="P945" s="169" t="n">
        <v>21</v>
      </c>
      <c r="Q945" s="171" t="n">
        <v>875544</v>
      </c>
      <c r="R945" s="169" t="n"/>
      <c r="S945" s="171" t="n">
        <v>875544</v>
      </c>
      <c r="T945" s="169" t="inlineStr">
        <is>
          <t>CLP</t>
        </is>
      </c>
      <c r="U945" s="169" t="inlineStr">
        <is>
          <t>Carga LH 18-06-26</t>
        </is>
      </c>
      <c r="V945" s="169" t="inlineStr">
        <is>
          <t>2026-06-18</t>
        </is>
      </c>
    </row>
    <row r="946">
      <c r="A946" s="169" t="inlineStr">
        <is>
          <t>CR-0943</t>
        </is>
      </c>
      <c r="B946" s="169" t="inlineStr">
        <is>
          <t>2026/27</t>
        </is>
      </c>
      <c r="C946" s="231" t="n">
        <v>46178</v>
      </c>
      <c r="D946" s="169" t="inlineStr"/>
      <c r="E946" s="169" t="inlineStr">
        <is>
          <t>COMPRA</t>
        </is>
      </c>
      <c r="F946" s="169" t="inlineStr">
        <is>
          <t>Mega Catalina</t>
        </is>
      </c>
      <c r="G946" s="169" t="inlineStr">
        <is>
          <t>EUREKA - 1999 (10,6 Ha.)</t>
        </is>
      </c>
      <c r="H946" s="169" t="n"/>
      <c r="I946" s="169" t="n"/>
      <c r="J946" s="169" t="inlineStr">
        <is>
          <t>ENERGIA Y AGUA</t>
        </is>
      </c>
      <c r="K946" s="169" t="inlineStr">
        <is>
          <t>SUMIN. ELECTRICO</t>
        </is>
      </c>
      <c r="L946" s="169" t="inlineStr">
        <is>
          <t>CONSUMO ELECTRICO</t>
        </is>
      </c>
      <c r="M946" s="169" t="n"/>
      <c r="N946" s="169" t="inlineStr">
        <is>
          <t>.   .   -</t>
        </is>
      </c>
      <c r="O946" s="169" t="inlineStr">
        <is>
          <t>JUNIO</t>
        </is>
      </c>
      <c r="P946" s="169" t="n">
        <v>21</v>
      </c>
      <c r="Q946" s="171" t="n">
        <v>36083</v>
      </c>
      <c r="R946" s="169" t="n"/>
      <c r="S946" s="171" t="n">
        <v>36083</v>
      </c>
      <c r="T946" s="169" t="inlineStr">
        <is>
          <t>CLP</t>
        </is>
      </c>
      <c r="U946" s="169" t="inlineStr">
        <is>
          <t>Carga LH 18-06-26</t>
        </is>
      </c>
      <c r="V946" s="169" t="inlineStr">
        <is>
          <t>2026-06-18</t>
        </is>
      </c>
    </row>
    <row r="947">
      <c r="A947" s="169" t="inlineStr">
        <is>
          <t>CR-0944</t>
        </is>
      </c>
      <c r="B947" s="169" t="inlineStr">
        <is>
          <t>2026/27</t>
        </is>
      </c>
      <c r="C947" s="231" t="n">
        <v>46178</v>
      </c>
      <c r="D947" s="169" t="inlineStr">
        <is>
          <t>600890</t>
        </is>
      </c>
      <c r="E947" s="169" t="inlineStr">
        <is>
          <t>COMPRA</t>
        </is>
      </c>
      <c r="F947" s="169" t="inlineStr">
        <is>
          <t>El Molle</t>
        </is>
      </c>
      <c r="G947" s="169" t="inlineStr">
        <is>
          <t>ORONULES - 2017 (2,85 Ha.)</t>
        </is>
      </c>
      <c r="H947" s="169" t="n"/>
      <c r="I947" s="169" t="n"/>
      <c r="J947" s="169" t="inlineStr">
        <is>
          <t>COMBUSTIBLE</t>
        </is>
      </c>
      <c r="K947" s="169" t="inlineStr">
        <is>
          <t>MOLLE GRUA HORQUILLA</t>
        </is>
      </c>
      <c r="L947" s="169" t="inlineStr">
        <is>
          <t>O/001720 GAS ENV. 1</t>
        </is>
      </c>
      <c r="M947" s="169" t="n"/>
      <c r="N947" s="169" t="inlineStr">
        <is>
          <t>.   .   -</t>
        </is>
      </c>
      <c r="O947" s="169" t="inlineStr">
        <is>
          <t>JUNIO</t>
        </is>
      </c>
      <c r="P947" s="169" t="n">
        <v>21</v>
      </c>
      <c r="Q947" s="171" t="n">
        <v>22850</v>
      </c>
      <c r="R947" s="169" t="n"/>
      <c r="S947" s="171" t="n">
        <v>22850</v>
      </c>
      <c r="T947" s="169" t="inlineStr">
        <is>
          <t>CLP</t>
        </is>
      </c>
      <c r="U947" s="169" t="inlineStr">
        <is>
          <t>Carga LH 18-06-26</t>
        </is>
      </c>
      <c r="V947" s="169" t="inlineStr">
        <is>
          <t>2026-06-18</t>
        </is>
      </c>
    </row>
    <row r="948">
      <c r="A948" s="169" t="inlineStr">
        <is>
          <t>CR-0945</t>
        </is>
      </c>
      <c r="B948" s="169" t="inlineStr">
        <is>
          <t>2026/27</t>
        </is>
      </c>
      <c r="C948" s="231" t="n">
        <v>46178</v>
      </c>
      <c r="D948" s="169" t="inlineStr">
        <is>
          <t>600890</t>
        </is>
      </c>
      <c r="E948" s="169" t="inlineStr">
        <is>
          <t>COMPRA</t>
        </is>
      </c>
      <c r="F948" s="169" t="inlineStr">
        <is>
          <t>El Molle</t>
        </is>
      </c>
      <c r="G948" s="169" t="inlineStr">
        <is>
          <t>OROGRANDE - 2007 (8,11 Ha.)</t>
        </is>
      </c>
      <c r="H948" s="169" t="n"/>
      <c r="I948" s="169" t="n"/>
      <c r="J948" s="169" t="inlineStr">
        <is>
          <t>COMBUSTIBLE</t>
        </is>
      </c>
      <c r="K948" s="169" t="inlineStr">
        <is>
          <t>MOLLE GRUA HORQUILLA</t>
        </is>
      </c>
      <c r="L948" s="169" t="inlineStr">
        <is>
          <t>O/001720 GAS ENV. 1</t>
        </is>
      </c>
      <c r="M948" s="169" t="n"/>
      <c r="N948" s="169" t="inlineStr">
        <is>
          <t>.   .   -</t>
        </is>
      </c>
      <c r="O948" s="169" t="inlineStr">
        <is>
          <t>JUNIO</t>
        </is>
      </c>
      <c r="P948" s="169" t="n">
        <v>21</v>
      </c>
      <c r="Q948" s="171" t="n">
        <v>22851</v>
      </c>
      <c r="R948" s="169" t="n"/>
      <c r="S948" s="171" t="n">
        <v>22851</v>
      </c>
      <c r="T948" s="169" t="inlineStr">
        <is>
          <t>CLP</t>
        </is>
      </c>
      <c r="U948" s="169" t="inlineStr">
        <is>
          <t>Carga LH 18-06-26</t>
        </is>
      </c>
      <c r="V948" s="169" t="inlineStr">
        <is>
          <t>2026-06-18</t>
        </is>
      </c>
    </row>
    <row r="949">
      <c r="A949" s="169" t="inlineStr">
        <is>
          <t>CR-0946</t>
        </is>
      </c>
      <c r="B949" s="169" t="inlineStr">
        <is>
          <t>2026/27</t>
        </is>
      </c>
      <c r="C949" s="231" t="n">
        <v>46178</v>
      </c>
      <c r="D949" s="169" t="inlineStr">
        <is>
          <t>587562</t>
        </is>
      </c>
      <c r="E949" s="169" t="inlineStr">
        <is>
          <t>COMPRA</t>
        </is>
      </c>
      <c r="F949" s="169" t="inlineStr">
        <is>
          <t>Mega Catalina</t>
        </is>
      </c>
      <c r="G949" s="169" t="inlineStr">
        <is>
          <t>EUREKA - 1999 (10,6 Ha.)</t>
        </is>
      </c>
      <c r="H949" s="169" t="n"/>
      <c r="I949" s="169" t="n"/>
      <c r="J949" s="169" t="inlineStr">
        <is>
          <t>COMBUSTIBLE</t>
        </is>
      </c>
      <c r="K949" s="169" t="inlineStr">
        <is>
          <t>SCTA. GRUA HORQUILLA ARRIENDO</t>
        </is>
      </c>
      <c r="L949" s="169" t="inlineStr">
        <is>
          <t>O/001721 GAS ENV. 1</t>
        </is>
      </c>
      <c r="M949" s="169" t="n"/>
      <c r="N949" s="169" t="inlineStr">
        <is>
          <t>.   .   -</t>
        </is>
      </c>
      <c r="O949" s="169" t="inlineStr">
        <is>
          <t>JUNIO</t>
        </is>
      </c>
      <c r="P949" s="169" t="n">
        <v>21</v>
      </c>
      <c r="Q949" s="171" t="n">
        <v>62787</v>
      </c>
      <c r="R949" s="169" t="n"/>
      <c r="S949" s="171" t="n">
        <v>62787</v>
      </c>
      <c r="T949" s="169" t="inlineStr">
        <is>
          <t>CLP</t>
        </is>
      </c>
      <c r="U949" s="169" t="inlineStr">
        <is>
          <t>Carga LH 18-06-26</t>
        </is>
      </c>
      <c r="V949" s="169" t="inlineStr">
        <is>
          <t>2026-06-18</t>
        </is>
      </c>
    </row>
    <row r="950">
      <c r="A950" s="169" t="inlineStr">
        <is>
          <t>CR-0947</t>
        </is>
      </c>
      <c r="B950" s="169" t="inlineStr">
        <is>
          <t>2026/27</t>
        </is>
      </c>
      <c r="C950" s="231" t="n">
        <v>46178</v>
      </c>
      <c r="D950" s="169" t="inlineStr">
        <is>
          <t>587562</t>
        </is>
      </c>
      <c r="E950" s="169" t="inlineStr">
        <is>
          <t>COMPRA</t>
        </is>
      </c>
      <c r="F950" s="169" t="inlineStr">
        <is>
          <t>Mega Catalina</t>
        </is>
      </c>
      <c r="G950" s="169" t="inlineStr">
        <is>
          <t>FINO 49 - 1999 (7,7 Ha.)</t>
        </is>
      </c>
      <c r="H950" s="169" t="n"/>
      <c r="I950" s="169" t="n"/>
      <c r="J950" s="169" t="inlineStr">
        <is>
          <t>COMBUSTIBLE</t>
        </is>
      </c>
      <c r="K950" s="169" t="inlineStr">
        <is>
          <t>SCTA. GRUA HORQUILLA ARRIENDO</t>
        </is>
      </c>
      <c r="L950" s="169" t="inlineStr">
        <is>
          <t>O/001721 GAS ENV. 1</t>
        </is>
      </c>
      <c r="M950" s="169" t="n"/>
      <c r="N950" s="169" t="inlineStr">
        <is>
          <t>.   .   -</t>
        </is>
      </c>
      <c r="O950" s="169" t="inlineStr">
        <is>
          <t>JUNIO</t>
        </is>
      </c>
      <c r="P950" s="169" t="n">
        <v>21</v>
      </c>
      <c r="Q950" s="171" t="n">
        <v>41856</v>
      </c>
      <c r="R950" s="169" t="n"/>
      <c r="S950" s="171" t="n">
        <v>41856</v>
      </c>
      <c r="T950" s="169" t="inlineStr">
        <is>
          <t>CLP</t>
        </is>
      </c>
      <c r="U950" s="169" t="inlineStr">
        <is>
          <t>Carga LH 18-06-26</t>
        </is>
      </c>
      <c r="V950" s="169" t="inlineStr">
        <is>
          <t>2026-06-18</t>
        </is>
      </c>
    </row>
    <row r="951">
      <c r="A951" s="169" t="inlineStr">
        <is>
          <t>CR-0948</t>
        </is>
      </c>
      <c r="B951" s="169" t="inlineStr">
        <is>
          <t>2026/27</t>
        </is>
      </c>
      <c r="C951" s="231" t="n">
        <v>46181</v>
      </c>
      <c r="D951" s="169" t="inlineStr"/>
      <c r="E951" s="169" t="inlineStr">
        <is>
          <t>COMPRA</t>
        </is>
      </c>
      <c r="F951" s="169" t="inlineStr">
        <is>
          <t>Mega Catalina</t>
        </is>
      </c>
      <c r="G951" s="169" t="inlineStr">
        <is>
          <t>INJERTO TIMPSON - 2018 (3,8 Ha.)</t>
        </is>
      </c>
      <c r="H951" s="169" t="n"/>
      <c r="I951" s="169" t="n"/>
      <c r="J951" s="169" t="inlineStr">
        <is>
          <t>ENERGIA Y AGUA</t>
        </is>
      </c>
      <c r="K951" s="169" t="inlineStr">
        <is>
          <t>SUMIN. ELECTRICO</t>
        </is>
      </c>
      <c r="L951" s="169" t="inlineStr">
        <is>
          <t>CONSUMO ELECTRICO</t>
        </is>
      </c>
      <c r="M951" s="169" t="n"/>
      <c r="N951" s="169" t="inlineStr">
        <is>
          <t>.   .   -</t>
        </is>
      </c>
      <c r="O951" s="169" t="inlineStr">
        <is>
          <t>JUNIO</t>
        </is>
      </c>
      <c r="P951" s="169" t="n">
        <v>22</v>
      </c>
      <c r="Q951" s="171" t="n">
        <v>76895</v>
      </c>
      <c r="R951" s="169" t="n"/>
      <c r="S951" s="171" t="n">
        <v>76895</v>
      </c>
      <c r="T951" s="169" t="inlineStr">
        <is>
          <t>CLP</t>
        </is>
      </c>
      <c r="U951" s="169" t="inlineStr">
        <is>
          <t>Carga LH 18-06-26</t>
        </is>
      </c>
      <c r="V951" s="169" t="inlineStr">
        <is>
          <t>2026-06-18</t>
        </is>
      </c>
    </row>
    <row r="952">
      <c r="A952" s="169" t="inlineStr">
        <is>
          <t>CR-0949</t>
        </is>
      </c>
      <c r="B952" s="169" t="inlineStr">
        <is>
          <t>2026/27</t>
        </is>
      </c>
      <c r="C952" s="231" t="n">
        <v>46181</v>
      </c>
      <c r="D952" s="169" t="inlineStr"/>
      <c r="E952" s="169" t="inlineStr">
        <is>
          <t>COMPRA</t>
        </is>
      </c>
      <c r="F952" s="169" t="inlineStr">
        <is>
          <t>Mega Catalina</t>
        </is>
      </c>
      <c r="G952" s="169" t="inlineStr">
        <is>
          <t>INJERTO TIMPSON - 2019 (4,2 Ha.)</t>
        </is>
      </c>
      <c r="H952" s="169" t="n"/>
      <c r="I952" s="169" t="n"/>
      <c r="J952" s="169" t="inlineStr">
        <is>
          <t>ENERGIA Y AGUA</t>
        </is>
      </c>
      <c r="K952" s="169" t="inlineStr">
        <is>
          <t>SUMIN. ELECTRICO</t>
        </is>
      </c>
      <c r="L952" s="169" t="inlineStr">
        <is>
          <t>CONSUMO ELECTRICO</t>
        </is>
      </c>
      <c r="M952" s="169" t="n"/>
      <c r="N952" s="169" t="inlineStr">
        <is>
          <t>.   .   -</t>
        </is>
      </c>
      <c r="O952" s="169" t="inlineStr">
        <is>
          <t>JUNIO</t>
        </is>
      </c>
      <c r="P952" s="169" t="n">
        <v>22</v>
      </c>
      <c r="Q952" s="171" t="n">
        <v>84988</v>
      </c>
      <c r="R952" s="169" t="n"/>
      <c r="S952" s="171" t="n">
        <v>84988</v>
      </c>
      <c r="T952" s="169" t="inlineStr">
        <is>
          <t>CLP</t>
        </is>
      </c>
      <c r="U952" s="169" t="inlineStr">
        <is>
          <t>Carga LH 18-06-26</t>
        </is>
      </c>
      <c r="V952" s="169" t="inlineStr">
        <is>
          <t>2026-06-18</t>
        </is>
      </c>
    </row>
    <row r="953">
      <c r="A953" s="169" t="inlineStr">
        <is>
          <t>CR-0950</t>
        </is>
      </c>
      <c r="B953" s="169" t="inlineStr">
        <is>
          <t>2026/27</t>
        </is>
      </c>
      <c r="C953" s="231" t="n">
        <v>46181</v>
      </c>
      <c r="D953" s="169" t="inlineStr"/>
      <c r="E953" s="169" t="inlineStr">
        <is>
          <t>COMPRA</t>
        </is>
      </c>
      <c r="F953" s="169" t="inlineStr">
        <is>
          <t>Mega Catalina</t>
        </is>
      </c>
      <c r="G953" s="169" t="inlineStr">
        <is>
          <t>SWEET CELEBRATION - 2015 (7,14 Ha.)</t>
        </is>
      </c>
      <c r="H953" s="169" t="n"/>
      <c r="I953" s="169" t="n"/>
      <c r="J953" s="169" t="inlineStr">
        <is>
          <t>ENERGIA Y AGUA</t>
        </is>
      </c>
      <c r="K953" s="169" t="inlineStr">
        <is>
          <t>SUMIN. ELECTRICO</t>
        </is>
      </c>
      <c r="L953" s="169" t="inlineStr">
        <is>
          <t>CONSUMO ELECTRICO</t>
        </is>
      </c>
      <c r="M953" s="169" t="n"/>
      <c r="N953" s="169" t="inlineStr">
        <is>
          <t>.   .   -</t>
        </is>
      </c>
      <c r="O953" s="169" t="inlineStr">
        <is>
          <t>JUNIO</t>
        </is>
      </c>
      <c r="P953" s="169" t="n">
        <v>22</v>
      </c>
      <c r="Q953" s="171" t="n">
        <v>144480</v>
      </c>
      <c r="R953" s="169" t="n"/>
      <c r="S953" s="171" t="n">
        <v>144480</v>
      </c>
      <c r="T953" s="169" t="inlineStr">
        <is>
          <t>CLP</t>
        </is>
      </c>
      <c r="U953" s="169" t="inlineStr">
        <is>
          <t>Carga LH 18-06-26</t>
        </is>
      </c>
      <c r="V953" s="169" t="inlineStr">
        <is>
          <t>2026-06-18</t>
        </is>
      </c>
    </row>
    <row r="954">
      <c r="A954" s="169" t="inlineStr">
        <is>
          <t>CR-0951</t>
        </is>
      </c>
      <c r="B954" s="169" t="inlineStr">
        <is>
          <t>2026/27</t>
        </is>
      </c>
      <c r="C954" s="231" t="n">
        <v>46181</v>
      </c>
      <c r="D954" s="169" t="inlineStr"/>
      <c r="E954" s="169" t="inlineStr">
        <is>
          <t>COMPRA</t>
        </is>
      </c>
      <c r="F954" s="169" t="inlineStr">
        <is>
          <t>Mega Catalina</t>
        </is>
      </c>
      <c r="G954" s="169" t="inlineStr">
        <is>
          <t>EUREKA - 1999 (22,5 Ha.)</t>
        </is>
      </c>
      <c r="H954" s="169" t="n"/>
      <c r="I954" s="169" t="n"/>
      <c r="J954" s="169" t="inlineStr">
        <is>
          <t>COMBUSTIBLE</t>
        </is>
      </c>
      <c r="K954" s="169" t="inlineStr">
        <is>
          <t>SCTA. MOTO KAWASAKI</t>
        </is>
      </c>
      <c r="L954" s="169" t="inlineStr">
        <is>
          <t>GASOLINA MOTO</t>
        </is>
      </c>
      <c r="M954" s="169" t="n"/>
      <c r="N954" s="169" t="inlineStr">
        <is>
          <t>.   .   -</t>
        </is>
      </c>
      <c r="O954" s="169" t="inlineStr">
        <is>
          <t>JUNIO</t>
        </is>
      </c>
      <c r="P954" s="169" t="n">
        <v>22</v>
      </c>
      <c r="Q954" s="171" t="n">
        <v>56556</v>
      </c>
      <c r="R954" s="169" t="n"/>
      <c r="S954" s="171" t="n">
        <v>56556</v>
      </c>
      <c r="T954" s="169" t="inlineStr">
        <is>
          <t>CLP</t>
        </is>
      </c>
      <c r="U954" s="169" t="inlineStr">
        <is>
          <t>Carga LH 18-06-26</t>
        </is>
      </c>
      <c r="V954" s="169" t="inlineStr">
        <is>
          <t>2026-06-18</t>
        </is>
      </c>
    </row>
    <row r="955">
      <c r="A955" s="169" t="inlineStr">
        <is>
          <t>CR-0952</t>
        </is>
      </c>
      <c r="B955" s="169" t="inlineStr">
        <is>
          <t>2026/27</t>
        </is>
      </c>
      <c r="C955" s="231" t="n">
        <v>46189</v>
      </c>
      <c r="D955" s="169" t="inlineStr">
        <is>
          <t>515</t>
        </is>
      </c>
      <c r="E955" s="169" t="inlineStr">
        <is>
          <t>COMPRA</t>
        </is>
      </c>
      <c r="F955" s="169" t="inlineStr">
        <is>
          <t>Mega Catalina</t>
        </is>
      </c>
      <c r="G955" s="169" t="inlineStr">
        <is>
          <t>EUREKA - 1999 (22,5 Ha.)</t>
        </is>
      </c>
      <c r="H955" s="169" t="n"/>
      <c r="I955" s="169" t="n"/>
      <c r="J955" s="169" t="inlineStr">
        <is>
          <t>LABORES OPERACIONALES</t>
        </is>
      </c>
      <c r="K955" s="169" t="inlineStr">
        <is>
          <t>COSECHA</t>
        </is>
      </c>
      <c r="L955" s="169" t="inlineStr">
        <is>
          <t>SERV.CONTRATISTA</t>
        </is>
      </c>
      <c r="M955" s="169" t="n"/>
      <c r="N955" s="169" t="inlineStr">
        <is>
          <t>.   .   -</t>
        </is>
      </c>
      <c r="O955" s="169" t="inlineStr">
        <is>
          <t>JUNIO</t>
        </is>
      </c>
      <c r="P955" s="169" t="n">
        <v>23</v>
      </c>
      <c r="Q955" s="171" t="n">
        <v>1495920</v>
      </c>
      <c r="R955" s="169" t="n"/>
      <c r="S955" s="171" t="n">
        <v>1495920</v>
      </c>
      <c r="T955" s="169" t="inlineStr">
        <is>
          <t>CLP</t>
        </is>
      </c>
      <c r="U955" s="169" t="inlineStr">
        <is>
          <t>Carga LH 18-06-26</t>
        </is>
      </c>
      <c r="V955" s="169" t="inlineStr">
        <is>
          <t>2026-06-18</t>
        </is>
      </c>
    </row>
    <row r="956">
      <c r="A956" s="169" t="inlineStr">
        <is>
          <t>CR-0953</t>
        </is>
      </c>
      <c r="B956" s="169" t="inlineStr">
        <is>
          <t>2026/27</t>
        </is>
      </c>
      <c r="C956" s="231" t="n">
        <v>46189</v>
      </c>
      <c r="D956" s="169" t="inlineStr">
        <is>
          <t>515</t>
        </is>
      </c>
      <c r="E956" s="169" t="inlineStr">
        <is>
          <t>COMPRA</t>
        </is>
      </c>
      <c r="F956" s="169" t="inlineStr">
        <is>
          <t>Mega Catalina</t>
        </is>
      </c>
      <c r="G956" s="169" t="inlineStr">
        <is>
          <t>EUREKA - 1999 (10,6 Ha.)</t>
        </is>
      </c>
      <c r="H956" s="169" t="n"/>
      <c r="I956" s="169" t="n"/>
      <c r="J956" s="169" t="inlineStr">
        <is>
          <t>LABORES OPERACIONALES</t>
        </is>
      </c>
      <c r="K956" s="169" t="inlineStr">
        <is>
          <t>COSECHA</t>
        </is>
      </c>
      <c r="L956" s="169" t="inlineStr">
        <is>
          <t>SERV.CONTRATISTA</t>
        </is>
      </c>
      <c r="M956" s="169" t="n"/>
      <c r="N956" s="169" t="inlineStr">
        <is>
          <t>.   .   -</t>
        </is>
      </c>
      <c r="O956" s="169" t="inlineStr">
        <is>
          <t>JUNIO</t>
        </is>
      </c>
      <c r="P956" s="169" t="n">
        <v>23</v>
      </c>
      <c r="Q956" s="171" t="n">
        <v>437760</v>
      </c>
      <c r="R956" s="169" t="n"/>
      <c r="S956" s="171" t="n">
        <v>437760</v>
      </c>
      <c r="T956" s="169" t="inlineStr">
        <is>
          <t>CLP</t>
        </is>
      </c>
      <c r="U956" s="169" t="inlineStr">
        <is>
          <t>Carga LH 18-06-26</t>
        </is>
      </c>
      <c r="V956" s="169" t="inlineStr">
        <is>
          <t>2026-06-18</t>
        </is>
      </c>
    </row>
    <row r="957">
      <c r="A957" s="169" t="inlineStr">
        <is>
          <t>CR-0954</t>
        </is>
      </c>
      <c r="B957" s="169" t="inlineStr">
        <is>
          <t>2026/27</t>
        </is>
      </c>
      <c r="C957" s="231" t="n">
        <v>46189</v>
      </c>
      <c r="D957" s="169" t="inlineStr">
        <is>
          <t>515</t>
        </is>
      </c>
      <c r="E957" s="169" t="inlineStr">
        <is>
          <t>COMPRA</t>
        </is>
      </c>
      <c r="F957" s="169" t="inlineStr">
        <is>
          <t>Mega Catalina</t>
        </is>
      </c>
      <c r="G957" s="169" t="inlineStr">
        <is>
          <t>EUREKA - 2016 (14,4 Ha.)</t>
        </is>
      </c>
      <c r="H957" s="169" t="n"/>
      <c r="I957" s="169" t="n"/>
      <c r="J957" s="169" t="inlineStr">
        <is>
          <t>LABORES OPERACIONALES</t>
        </is>
      </c>
      <c r="K957" s="169" t="inlineStr">
        <is>
          <t>COSECHA</t>
        </is>
      </c>
      <c r="L957" s="169" t="inlineStr">
        <is>
          <t>SERV.CONTRATISTA</t>
        </is>
      </c>
      <c r="M957" s="169" t="n"/>
      <c r="N957" s="169" t="inlineStr">
        <is>
          <t>.   .   -</t>
        </is>
      </c>
      <c r="O957" s="169" t="inlineStr">
        <is>
          <t>JUNIO</t>
        </is>
      </c>
      <c r="P957" s="169" t="n">
        <v>23</v>
      </c>
      <c r="Q957" s="171" t="n">
        <v>535520</v>
      </c>
      <c r="R957" s="169" t="n"/>
      <c r="S957" s="171" t="n">
        <v>535520</v>
      </c>
      <c r="T957" s="169" t="inlineStr">
        <is>
          <t>CLP</t>
        </is>
      </c>
      <c r="U957" s="169" t="inlineStr">
        <is>
          <t>Carga LH 18-06-26</t>
        </is>
      </c>
      <c r="V957" s="169" t="inlineStr">
        <is>
          <t>2026-06-18</t>
        </is>
      </c>
    </row>
    <row r="958">
      <c r="A958" s="169" t="inlineStr">
        <is>
          <t>CR-0955</t>
        </is>
      </c>
      <c r="B958" s="169" t="inlineStr">
        <is>
          <t>2026/27</t>
        </is>
      </c>
      <c r="C958" s="231" t="n">
        <v>46181</v>
      </c>
      <c r="D958" s="169" t="inlineStr">
        <is>
          <t>12723</t>
        </is>
      </c>
      <c r="E958" s="169" t="inlineStr">
        <is>
          <t>COMPRA</t>
        </is>
      </c>
      <c r="F958" s="169" t="inlineStr">
        <is>
          <t>El Molle</t>
        </is>
      </c>
      <c r="G958" s="169" t="inlineStr">
        <is>
          <t>ARRUFATINA - 2017 (5,74 Ha.)</t>
        </is>
      </c>
      <c r="H958" s="169" t="n"/>
      <c r="I958" s="169" t="n"/>
      <c r="J958" s="169" t="inlineStr">
        <is>
          <t>ARRIENDOS</t>
        </is>
      </c>
      <c r="K958" s="169" t="inlineStr">
        <is>
          <t>ARRIENDO MAQUINARIA</t>
        </is>
      </c>
      <c r="L958" s="169" t="inlineStr">
        <is>
          <t>O/001722 ARRIENDO P</t>
        </is>
      </c>
      <c r="M958" s="169" t="n"/>
      <c r="N958" s="169" t="inlineStr">
        <is>
          <t>.   .   -</t>
        </is>
      </c>
      <c r="O958" s="169" t="inlineStr">
        <is>
          <t>JUNIO</t>
        </is>
      </c>
      <c r="P958" s="169" t="n">
        <v>22</v>
      </c>
      <c r="Q958" s="171" t="n">
        <v>416548</v>
      </c>
      <c r="R958" s="169" t="n"/>
      <c r="S958" s="171" t="n">
        <v>416548</v>
      </c>
      <c r="T958" s="169" t="inlineStr">
        <is>
          <t>CLP</t>
        </is>
      </c>
      <c r="U958" s="169" t="inlineStr">
        <is>
          <t>Carga LH 18-06-26</t>
        </is>
      </c>
      <c r="V958" s="169" t="inlineStr">
        <is>
          <t>2026-06-18</t>
        </is>
      </c>
    </row>
    <row r="959">
      <c r="A959" s="169" t="inlineStr">
        <is>
          <t>CR-0956</t>
        </is>
      </c>
      <c r="B959" s="169" t="inlineStr">
        <is>
          <t>2026/27</t>
        </is>
      </c>
      <c r="C959" s="231" t="n">
        <v>46181</v>
      </c>
      <c r="D959" s="169" t="inlineStr">
        <is>
          <t>12723</t>
        </is>
      </c>
      <c r="E959" s="169" t="inlineStr">
        <is>
          <t>COMPRA</t>
        </is>
      </c>
      <c r="F959" s="169" t="inlineStr">
        <is>
          <t>El Molle</t>
        </is>
      </c>
      <c r="G959" s="169" t="inlineStr">
        <is>
          <t>ORONULES - 2017 (2,85 Ha.)</t>
        </is>
      </c>
      <c r="H959" s="169" t="n"/>
      <c r="I959" s="169" t="n"/>
      <c r="J959" s="169" t="inlineStr">
        <is>
          <t>ARRIENDOS</t>
        </is>
      </c>
      <c r="K959" s="169" t="inlineStr">
        <is>
          <t>ARRIENDO MAQUINARIA</t>
        </is>
      </c>
      <c r="L959" s="169" t="inlineStr">
        <is>
          <t>O/001722 ARRIENDO T</t>
        </is>
      </c>
      <c r="M959" s="169" t="n"/>
      <c r="N959" s="169" t="inlineStr">
        <is>
          <t>.   .   -</t>
        </is>
      </c>
      <c r="O959" s="169" t="inlineStr">
        <is>
          <t>JUNIO</t>
        </is>
      </c>
      <c r="P959" s="169" t="n">
        <v>22</v>
      </c>
      <c r="Q959" s="171" t="n">
        <v>206823</v>
      </c>
      <c r="R959" s="169" t="n"/>
      <c r="S959" s="171" t="n">
        <v>206823</v>
      </c>
      <c r="T959" s="169" t="inlineStr">
        <is>
          <t>CLP</t>
        </is>
      </c>
      <c r="U959" s="169" t="inlineStr">
        <is>
          <t>Carga LH 18-06-26</t>
        </is>
      </c>
      <c r="V959" s="169" t="inlineStr">
        <is>
          <t>2026-06-18</t>
        </is>
      </c>
    </row>
    <row r="960">
      <c r="A960" s="169" t="inlineStr">
        <is>
          <t>CR-0957</t>
        </is>
      </c>
      <c r="B960" s="169" t="inlineStr">
        <is>
          <t>2026/27</t>
        </is>
      </c>
      <c r="C960" s="231" t="n">
        <v>46181</v>
      </c>
      <c r="D960" s="169" t="inlineStr">
        <is>
          <t>12723</t>
        </is>
      </c>
      <c r="E960" s="169" t="inlineStr">
        <is>
          <t>COMPRA</t>
        </is>
      </c>
      <c r="F960" s="169" t="inlineStr">
        <is>
          <t>Mega Catalina</t>
        </is>
      </c>
      <c r="G960" s="169" t="inlineStr">
        <is>
          <t>ORONULES - 2019 (2,5 Ha.)</t>
        </is>
      </c>
      <c r="H960" s="169" t="n"/>
      <c r="I960" s="169" t="n"/>
      <c r="J960" s="169" t="inlineStr">
        <is>
          <t>ARRIENDOS</t>
        </is>
      </c>
      <c r="K960" s="169" t="inlineStr">
        <is>
          <t>ARRIENDO MAQUINARIA</t>
        </is>
      </c>
      <c r="L960" s="169" t="inlineStr">
        <is>
          <t>O/001722 ARRIENDO</t>
        </is>
      </c>
      <c r="M960" s="169" t="n"/>
      <c r="N960" s="169" t="inlineStr">
        <is>
          <t>.   .   -</t>
        </is>
      </c>
      <c r="O960" s="169" t="inlineStr">
        <is>
          <t>JUNIO</t>
        </is>
      </c>
      <c r="P960" s="169" t="n">
        <v>22</v>
      </c>
      <c r="Q960" s="171" t="n">
        <v>181424</v>
      </c>
      <c r="R960" s="169" t="n"/>
      <c r="S960" s="171" t="n">
        <v>181424</v>
      </c>
      <c r="T960" s="169" t="inlineStr">
        <is>
          <t>CLP</t>
        </is>
      </c>
      <c r="U960" s="169" t="inlineStr">
        <is>
          <t>Carga LH 18-06-26</t>
        </is>
      </c>
      <c r="V960" s="169" t="inlineStr">
        <is>
          <t>2026-06-18</t>
        </is>
      </c>
    </row>
    <row r="961">
      <c r="A961" s="169" t="inlineStr">
        <is>
          <t>CR-0958</t>
        </is>
      </c>
      <c r="B961" s="169" t="inlineStr">
        <is>
          <t>2026/27</t>
        </is>
      </c>
      <c r="C961" s="231" t="n">
        <v>46181</v>
      </c>
      <c r="D961" s="169" t="inlineStr">
        <is>
          <t>12723</t>
        </is>
      </c>
      <c r="E961" s="169" t="inlineStr">
        <is>
          <t>COMPRA</t>
        </is>
      </c>
      <c r="F961" s="169" t="inlineStr">
        <is>
          <t>El Molle</t>
        </is>
      </c>
      <c r="G961" s="169" t="inlineStr">
        <is>
          <t>OROGRANDE - 2007 (8,11 Ha.)</t>
        </is>
      </c>
      <c r="H961" s="169" t="n"/>
      <c r="I961" s="169" t="n"/>
      <c r="J961" s="169" t="inlineStr">
        <is>
          <t>ARRIENDOS</t>
        </is>
      </c>
      <c r="K961" s="169" t="inlineStr">
        <is>
          <t>ARRIENDO MAQUINARIA</t>
        </is>
      </c>
      <c r="L961" s="169" t="inlineStr">
        <is>
          <t>O/001722 ARRIENDO</t>
        </is>
      </c>
      <c r="M961" s="169" t="n"/>
      <c r="N961" s="169" t="inlineStr">
        <is>
          <t>.   .   -</t>
        </is>
      </c>
      <c r="O961" s="169" t="inlineStr">
        <is>
          <t>JUNIO</t>
        </is>
      </c>
      <c r="P961" s="169" t="n">
        <v>22</v>
      </c>
      <c r="Q961" s="171" t="n">
        <v>588538</v>
      </c>
      <c r="R961" s="169" t="n"/>
      <c r="S961" s="171" t="n">
        <v>588538</v>
      </c>
      <c r="T961" s="169" t="inlineStr">
        <is>
          <t>CLP</t>
        </is>
      </c>
      <c r="U961" s="169" t="inlineStr">
        <is>
          <t>Carga LH 18-06-26</t>
        </is>
      </c>
      <c r="V961" s="169" t="inlineStr">
        <is>
          <t>2026-06-18</t>
        </is>
      </c>
    </row>
    <row r="962">
      <c r="A962" s="169" t="inlineStr">
        <is>
          <t>CR-0959</t>
        </is>
      </c>
      <c r="B962" s="169" t="inlineStr">
        <is>
          <t>2026/27</t>
        </is>
      </c>
      <c r="C962" s="231" t="n">
        <v>46181</v>
      </c>
      <c r="D962" s="169" t="inlineStr">
        <is>
          <t>12723</t>
        </is>
      </c>
      <c r="E962" s="169" t="inlineStr">
        <is>
          <t>COMPRA</t>
        </is>
      </c>
      <c r="F962" s="169" t="inlineStr">
        <is>
          <t>El Molle</t>
        </is>
      </c>
      <c r="G962" s="169" t="inlineStr">
        <is>
          <t>ARRUFATINA - 2017 (5,74 Ha.)</t>
        </is>
      </c>
      <c r="H962" s="169" t="n"/>
      <c r="I962" s="169" t="n"/>
      <c r="J962" s="169" t="inlineStr">
        <is>
          <t>FLETES</t>
        </is>
      </c>
      <c r="K962" s="169" t="inlineStr">
        <is>
          <t>FLETE FRUTA</t>
        </is>
      </c>
      <c r="L962" s="169" t="inlineStr">
        <is>
          <t>O/001722 FLETES</t>
        </is>
      </c>
      <c r="M962" s="169" t="n"/>
      <c r="N962" s="169" t="inlineStr">
        <is>
          <t>.   .   -</t>
        </is>
      </c>
      <c r="O962" s="169" t="inlineStr">
        <is>
          <t>JUNIO</t>
        </is>
      </c>
      <c r="P962" s="169" t="n">
        <v>22</v>
      </c>
      <c r="Q962" s="171" t="n">
        <v>340000</v>
      </c>
      <c r="R962" s="169" t="n"/>
      <c r="S962" s="171" t="n">
        <v>340000</v>
      </c>
      <c r="T962" s="169" t="inlineStr">
        <is>
          <t>CLP</t>
        </is>
      </c>
      <c r="U962" s="169" t="inlineStr">
        <is>
          <t>Carga LH 18-06-26</t>
        </is>
      </c>
      <c r="V962" s="169" t="inlineStr">
        <is>
          <t>2026-06-18</t>
        </is>
      </c>
    </row>
    <row r="963">
      <c r="A963" s="169" t="inlineStr">
        <is>
          <t>CR-0960</t>
        </is>
      </c>
      <c r="B963" s="169" t="inlineStr">
        <is>
          <t>2026/27</t>
        </is>
      </c>
      <c r="C963" s="231" t="n">
        <v>46182</v>
      </c>
      <c r="D963" s="169" t="inlineStr">
        <is>
          <t>114782</t>
        </is>
      </c>
      <c r="E963" s="169" t="inlineStr">
        <is>
          <t>COMPRA</t>
        </is>
      </c>
      <c r="F963" s="169" t="inlineStr">
        <is>
          <t>Asmara</t>
        </is>
      </c>
      <c r="G963" s="169" t="inlineStr">
        <is>
          <t>MURCOTT - 2020 (19,8 Ha.)</t>
        </is>
      </c>
      <c r="H963" s="169" t="n"/>
      <c r="I963" s="169" t="n"/>
      <c r="J963" s="169" t="inlineStr">
        <is>
          <t>MANTENCION MAQUINARIAS</t>
        </is>
      </c>
      <c r="K963" s="169" t="inlineStr">
        <is>
          <t>ASMA. NEBULIZADOR 1500 LT      (17.005)</t>
        </is>
      </c>
      <c r="L963" s="169" t="inlineStr">
        <is>
          <t>O/001724 REPUESTO M</t>
        </is>
      </c>
      <c r="M963" s="169" t="n"/>
      <c r="N963" s="169" t="inlineStr">
        <is>
          <t>.   .   -</t>
        </is>
      </c>
      <c r="O963" s="169" t="inlineStr">
        <is>
          <t>JUNIO</t>
        </is>
      </c>
      <c r="P963" s="169" t="n">
        <v>22</v>
      </c>
      <c r="Q963" s="171" t="n">
        <v>26858</v>
      </c>
      <c r="R963" s="169" t="n"/>
      <c r="S963" s="171" t="n">
        <v>26858</v>
      </c>
      <c r="T963" s="169" t="inlineStr">
        <is>
          <t>CLP</t>
        </is>
      </c>
      <c r="U963" s="169" t="inlineStr">
        <is>
          <t>Carga LH 18-06-26</t>
        </is>
      </c>
      <c r="V963" s="169" t="inlineStr">
        <is>
          <t>2026-06-18</t>
        </is>
      </c>
    </row>
    <row r="964">
      <c r="A964" s="169" t="inlineStr">
        <is>
          <t>CR-0961</t>
        </is>
      </c>
      <c r="B964" s="169" t="inlineStr">
        <is>
          <t>2026/27</t>
        </is>
      </c>
      <c r="C964" s="231" t="n">
        <v>46182</v>
      </c>
      <c r="D964" s="169" t="inlineStr">
        <is>
          <t>114613</t>
        </is>
      </c>
      <c r="E964" s="169" t="inlineStr">
        <is>
          <t>COMPRA</t>
        </is>
      </c>
      <c r="F964" s="169" t="inlineStr">
        <is>
          <t>Mega Catalina</t>
        </is>
      </c>
      <c r="G964" s="169" t="inlineStr">
        <is>
          <t>EUREKA - 1999 (22,5 Ha.)</t>
        </is>
      </c>
      <c r="H964" s="169" t="n"/>
      <c r="I964" s="169" t="n"/>
      <c r="J964" s="169" t="inlineStr">
        <is>
          <t>MANTENCION MAQUINARIAS</t>
        </is>
      </c>
      <c r="K964" s="169" t="inlineStr">
        <is>
          <t>SIBE. LANDINI REXDT85F (16003)</t>
        </is>
      </c>
      <c r="L964" s="169" t="inlineStr">
        <is>
          <t>O/001725 REPUESTO M</t>
        </is>
      </c>
      <c r="M964" s="169" t="n"/>
      <c r="N964" s="169" t="inlineStr">
        <is>
          <t>.   .   -</t>
        </is>
      </c>
      <c r="O964" s="169" t="inlineStr">
        <is>
          <t>JUNIO</t>
        </is>
      </c>
      <c r="P964" s="169" t="n">
        <v>22</v>
      </c>
      <c r="Q964" s="171" t="n">
        <v>22353</v>
      </c>
      <c r="R964" s="169" t="n"/>
      <c r="S964" s="171" t="n">
        <v>22353</v>
      </c>
      <c r="T964" s="169" t="inlineStr">
        <is>
          <t>CLP</t>
        </is>
      </c>
      <c r="U964" s="169" t="inlineStr">
        <is>
          <t>Carga LH 18-06-26</t>
        </is>
      </c>
      <c r="V964" s="169" t="inlineStr">
        <is>
          <t>2026-06-18</t>
        </is>
      </c>
    </row>
    <row r="965">
      <c r="A965" s="169" t="inlineStr">
        <is>
          <t>CR-0962</t>
        </is>
      </c>
      <c r="B965" s="169" t="inlineStr">
        <is>
          <t>2026/27</t>
        </is>
      </c>
      <c r="C965" s="231" t="n">
        <v>46182</v>
      </c>
      <c r="D965" s="169" t="inlineStr">
        <is>
          <t>114877</t>
        </is>
      </c>
      <c r="E965" s="169" t="inlineStr">
        <is>
          <t>COMPRA</t>
        </is>
      </c>
      <c r="F965" s="169" t="inlineStr">
        <is>
          <t>Mega Catalina</t>
        </is>
      </c>
      <c r="G965" s="169" t="inlineStr">
        <is>
          <t>EUREKA - 2016 (14,4 Ha.)</t>
        </is>
      </c>
      <c r="H965" s="169" t="n"/>
      <c r="I965" s="169" t="n"/>
      <c r="J965" s="169" t="inlineStr">
        <is>
          <t>MANTENCION MAQUINARIAS</t>
        </is>
      </c>
      <c r="K965" s="169" t="inlineStr">
        <is>
          <t>SCAT. MOTOR EL ZANJON EL MOLINO (15023)</t>
        </is>
      </c>
      <c r="L965" s="169" t="inlineStr">
        <is>
          <t>O/001727 BATERIA 10</t>
        </is>
      </c>
      <c r="M965" s="169" t="n"/>
      <c r="N965" s="169" t="inlineStr">
        <is>
          <t>.   .   -</t>
        </is>
      </c>
      <c r="O965" s="169" t="inlineStr">
        <is>
          <t>JUNIO</t>
        </is>
      </c>
      <c r="P965" s="169" t="n">
        <v>22</v>
      </c>
      <c r="Q965" s="171" t="n">
        <v>135210</v>
      </c>
      <c r="R965" s="169" t="n"/>
      <c r="S965" s="171" t="n">
        <v>135210</v>
      </c>
      <c r="T965" s="169" t="inlineStr">
        <is>
          <t>CLP</t>
        </is>
      </c>
      <c r="U965" s="169" t="inlineStr">
        <is>
          <t>Carga LH 18-06-26</t>
        </is>
      </c>
      <c r="V965" s="169" t="inlineStr">
        <is>
          <t>2026-06-18</t>
        </is>
      </c>
    </row>
    <row r="966">
      <c r="A966" s="169" t="inlineStr">
        <is>
          <t>CR-0963</t>
        </is>
      </c>
      <c r="B966" s="169" t="inlineStr">
        <is>
          <t>2026/27</t>
        </is>
      </c>
      <c r="C966" s="231" t="n">
        <v>46182</v>
      </c>
      <c r="D966" s="169" t="inlineStr">
        <is>
          <t>114877</t>
        </is>
      </c>
      <c r="E966" s="169" t="inlineStr">
        <is>
          <t>COMPRA</t>
        </is>
      </c>
      <c r="F966" s="169" t="inlineStr">
        <is>
          <t>Mega Catalina</t>
        </is>
      </c>
      <c r="G966" s="169" t="inlineStr">
        <is>
          <t>EUREKA - 2016 (14,4 Ha.)</t>
        </is>
      </c>
      <c r="H966" s="169" t="n"/>
      <c r="I966" s="169" t="n"/>
      <c r="J966" s="169" t="inlineStr">
        <is>
          <t>MANTENCION MAQUINARIAS</t>
        </is>
      </c>
      <c r="K966" s="169" t="inlineStr">
        <is>
          <t>SCAT. MOTOR EL ZANJON EL MOLINO (15023)</t>
        </is>
      </c>
      <c r="L966" s="169" t="inlineStr">
        <is>
          <t>O/001727 REPUESTO M</t>
        </is>
      </c>
      <c r="M966" s="169" t="n"/>
      <c r="N966" s="169" t="inlineStr">
        <is>
          <t>.   .   -</t>
        </is>
      </c>
      <c r="O966" s="169" t="inlineStr">
        <is>
          <t>JUNIO</t>
        </is>
      </c>
      <c r="P966" s="169" t="n">
        <v>22</v>
      </c>
      <c r="Q966" s="171" t="n">
        <v>5546</v>
      </c>
      <c r="R966" s="169" t="n"/>
      <c r="S966" s="171" t="n">
        <v>5546</v>
      </c>
      <c r="T966" s="169" t="inlineStr">
        <is>
          <t>CLP</t>
        </is>
      </c>
      <c r="U966" s="169" t="inlineStr">
        <is>
          <t>Carga LH 18-06-26</t>
        </is>
      </c>
      <c r="V966" s="169" t="inlineStr">
        <is>
          <t>2026-06-18</t>
        </is>
      </c>
    </row>
    <row r="967">
      <c r="A967" s="169" t="inlineStr">
        <is>
          <t>CR-0964</t>
        </is>
      </c>
      <c r="B967" s="169" t="inlineStr">
        <is>
          <t>2026/27</t>
        </is>
      </c>
      <c r="C967" s="231" t="n">
        <v>46182</v>
      </c>
      <c r="D967" s="169" t="inlineStr">
        <is>
          <t>510</t>
        </is>
      </c>
      <c r="E967" s="169" t="inlineStr">
        <is>
          <t>COMPRA</t>
        </is>
      </c>
      <c r="F967" s="169" t="inlineStr">
        <is>
          <t>Mega Catalina</t>
        </is>
      </c>
      <c r="G967" s="169" t="inlineStr">
        <is>
          <t>EUREKA - 1999 (10,6 Ha.)</t>
        </is>
      </c>
      <c r="H967" s="169" t="n"/>
      <c r="I967" s="169" t="n"/>
      <c r="J967" s="169" t="inlineStr">
        <is>
          <t>LABORES OPERACIONALES</t>
        </is>
      </c>
      <c r="K967" s="169" t="inlineStr">
        <is>
          <t>COSECHA</t>
        </is>
      </c>
      <c r="L967" s="169" t="inlineStr">
        <is>
          <t>SERV.CONTRATISTA</t>
        </is>
      </c>
      <c r="M967" s="169" t="n"/>
      <c r="N967" s="169" t="inlineStr">
        <is>
          <t>.   .   -</t>
        </is>
      </c>
      <c r="O967" s="169" t="inlineStr">
        <is>
          <t>JUNIO</t>
        </is>
      </c>
      <c r="P967" s="169" t="n">
        <v>22</v>
      </c>
      <c r="Q967" s="171" t="n">
        <v>602480</v>
      </c>
      <c r="R967" s="169" t="n"/>
      <c r="S967" s="171" t="n">
        <v>602480</v>
      </c>
      <c r="T967" s="169" t="inlineStr">
        <is>
          <t>CLP</t>
        </is>
      </c>
      <c r="U967" s="169" t="inlineStr">
        <is>
          <t>Carga LH 18-06-26</t>
        </is>
      </c>
      <c r="V967" s="169" t="inlineStr">
        <is>
          <t>2026-06-18</t>
        </is>
      </c>
    </row>
    <row r="968">
      <c r="A968" s="169" t="inlineStr">
        <is>
          <t>CR-0965</t>
        </is>
      </c>
      <c r="B968" s="169" t="inlineStr">
        <is>
          <t>2026/27</t>
        </is>
      </c>
      <c r="C968" s="231" t="n">
        <v>46182</v>
      </c>
      <c r="D968" s="169" t="inlineStr">
        <is>
          <t>510</t>
        </is>
      </c>
      <c r="E968" s="169" t="inlineStr">
        <is>
          <t>COMPRA</t>
        </is>
      </c>
      <c r="F968" s="169" t="inlineStr">
        <is>
          <t>Mega Catalina</t>
        </is>
      </c>
      <c r="G968" s="169" t="inlineStr">
        <is>
          <t>EUREKA - 2016 (14,4 Ha.)</t>
        </is>
      </c>
      <c r="H968" s="169" t="n"/>
      <c r="I968" s="169" t="n"/>
      <c r="J968" s="169" t="inlineStr">
        <is>
          <t>LABORES OPERACIONALES</t>
        </is>
      </c>
      <c r="K968" s="169" t="inlineStr">
        <is>
          <t>COSECHA</t>
        </is>
      </c>
      <c r="L968" s="169" t="inlineStr">
        <is>
          <t>SERV.CONTRATISTA</t>
        </is>
      </c>
      <c r="M968" s="169" t="n"/>
      <c r="N968" s="169" t="inlineStr">
        <is>
          <t>.   .   -</t>
        </is>
      </c>
      <c r="O968" s="169" t="inlineStr">
        <is>
          <t>JUNIO</t>
        </is>
      </c>
      <c r="P968" s="169" t="n">
        <v>22</v>
      </c>
      <c r="Q968" s="171" t="n">
        <v>124000</v>
      </c>
      <c r="R968" s="169" t="n"/>
      <c r="S968" s="171" t="n">
        <v>124000</v>
      </c>
      <c r="T968" s="169" t="inlineStr">
        <is>
          <t>CLP</t>
        </is>
      </c>
      <c r="U968" s="169" t="inlineStr">
        <is>
          <t>Carga LH 18-06-26</t>
        </is>
      </c>
      <c r="V968" s="169" t="inlineStr">
        <is>
          <t>2026-06-18</t>
        </is>
      </c>
    </row>
    <row r="969">
      <c r="A969" s="169" t="inlineStr">
        <is>
          <t>CR-0966</t>
        </is>
      </c>
      <c r="B969" s="169" t="inlineStr">
        <is>
          <t>2026/27</t>
        </is>
      </c>
      <c r="C969" s="231" t="n">
        <v>46182</v>
      </c>
      <c r="D969" s="169" t="inlineStr">
        <is>
          <t>510</t>
        </is>
      </c>
      <c r="E969" s="169" t="inlineStr">
        <is>
          <t>COMPRA</t>
        </is>
      </c>
      <c r="F969" s="169" t="inlineStr">
        <is>
          <t>Mega Catalina</t>
        </is>
      </c>
      <c r="G969" s="169" t="inlineStr">
        <is>
          <t>FINO 49 - 1999 (7,7 Ha.)</t>
        </is>
      </c>
      <c r="H969" s="169" t="n"/>
      <c r="I969" s="169" t="n"/>
      <c r="J969" s="169" t="inlineStr">
        <is>
          <t>LABORES OPERACIONALES</t>
        </is>
      </c>
      <c r="K969" s="169" t="inlineStr">
        <is>
          <t>COSECHA</t>
        </is>
      </c>
      <c r="L969" s="169" t="inlineStr">
        <is>
          <t>SERV.CONTRATISTA</t>
        </is>
      </c>
      <c r="M969" s="169" t="n"/>
      <c r="N969" s="169" t="inlineStr">
        <is>
          <t>.   .   -</t>
        </is>
      </c>
      <c r="O969" s="169" t="inlineStr">
        <is>
          <t>JUNIO</t>
        </is>
      </c>
      <c r="P969" s="169" t="n">
        <v>22</v>
      </c>
      <c r="Q969" s="171" t="n">
        <v>818480</v>
      </c>
      <c r="R969" s="169" t="n"/>
      <c r="S969" s="171" t="n">
        <v>818480</v>
      </c>
      <c r="T969" s="169" t="inlineStr">
        <is>
          <t>CLP</t>
        </is>
      </c>
      <c r="U969" s="169" t="inlineStr">
        <is>
          <t>Carga LH 18-06-26</t>
        </is>
      </c>
      <c r="V969" s="169" t="inlineStr">
        <is>
          <t>2026-06-18</t>
        </is>
      </c>
    </row>
    <row r="970">
      <c r="A970" s="169" t="inlineStr">
        <is>
          <t>CR-0967</t>
        </is>
      </c>
      <c r="B970" s="169" t="inlineStr">
        <is>
          <t>2026/27</t>
        </is>
      </c>
      <c r="C970" s="231" t="n">
        <v>46182</v>
      </c>
      <c r="D970" s="169" t="inlineStr">
        <is>
          <t>1029</t>
        </is>
      </c>
      <c r="E970" s="169" t="inlineStr">
        <is>
          <t>COMPRA</t>
        </is>
      </c>
      <c r="F970" s="169" t="inlineStr">
        <is>
          <t>Mega Catalina</t>
        </is>
      </c>
      <c r="G970" s="169" t="inlineStr">
        <is>
          <t>EUREKA - 1999 (10,6 Ha.)</t>
        </is>
      </c>
      <c r="H970" s="169" t="n"/>
      <c r="I970" s="169" t="n"/>
      <c r="J970" s="169" t="inlineStr">
        <is>
          <t>LABORES OPERACIONALES</t>
        </is>
      </c>
      <c r="K970" s="169" t="inlineStr">
        <is>
          <t>COSECHA</t>
        </is>
      </c>
      <c r="L970" s="169" t="inlineStr">
        <is>
          <t>SERV.CONTRATISTA</t>
        </is>
      </c>
      <c r="M970" s="169" t="n"/>
      <c r="N970" s="169" t="inlineStr">
        <is>
          <t>.   .   -</t>
        </is>
      </c>
      <c r="O970" s="169" t="inlineStr">
        <is>
          <t>JUNIO</t>
        </is>
      </c>
      <c r="P970" s="169" t="n">
        <v>22</v>
      </c>
      <c r="Q970" s="171" t="n">
        <v>503360</v>
      </c>
      <c r="R970" s="169" t="n"/>
      <c r="S970" s="171" t="n">
        <v>503360</v>
      </c>
      <c r="T970" s="169" t="inlineStr">
        <is>
          <t>CLP</t>
        </is>
      </c>
      <c r="U970" s="169" t="inlineStr">
        <is>
          <t>Carga LH 18-06-26</t>
        </is>
      </c>
      <c r="V970" s="169" t="inlineStr">
        <is>
          <t>2026-06-18</t>
        </is>
      </c>
    </row>
    <row r="971">
      <c r="A971" s="169" t="inlineStr">
        <is>
          <t>CR-0968</t>
        </is>
      </c>
      <c r="B971" s="169" t="inlineStr">
        <is>
          <t>2026/27</t>
        </is>
      </c>
      <c r="C971" s="231" t="n">
        <v>46182</v>
      </c>
      <c r="D971" s="169" t="inlineStr">
        <is>
          <t>1029</t>
        </is>
      </c>
      <c r="E971" s="169" t="inlineStr">
        <is>
          <t>COMPRA</t>
        </is>
      </c>
      <c r="F971" s="169" t="inlineStr">
        <is>
          <t>Mega Catalina</t>
        </is>
      </c>
      <c r="G971" s="169" t="inlineStr">
        <is>
          <t>EUREKA - 2016 (14,4 Ha.)</t>
        </is>
      </c>
      <c r="H971" s="169" t="n"/>
      <c r="I971" s="169" t="n"/>
      <c r="J971" s="169" t="inlineStr">
        <is>
          <t>LABORES OPERACIONALES</t>
        </is>
      </c>
      <c r="K971" s="169" t="inlineStr">
        <is>
          <t>COSECHA</t>
        </is>
      </c>
      <c r="L971" s="169" t="inlineStr">
        <is>
          <t>SERV.CONTRATISTA</t>
        </is>
      </c>
      <c r="M971" s="169" t="n"/>
      <c r="N971" s="169" t="inlineStr">
        <is>
          <t>.   .   -</t>
        </is>
      </c>
      <c r="O971" s="169" t="inlineStr">
        <is>
          <t>JUNIO</t>
        </is>
      </c>
      <c r="P971" s="169" t="n">
        <v>22</v>
      </c>
      <c r="Q971" s="171" t="n">
        <v>610000</v>
      </c>
      <c r="R971" s="169" t="n"/>
      <c r="S971" s="171" t="n">
        <v>610000</v>
      </c>
      <c r="T971" s="169" t="inlineStr">
        <is>
          <t>CLP</t>
        </is>
      </c>
      <c r="U971" s="169" t="inlineStr">
        <is>
          <t>Carga LH 18-06-26</t>
        </is>
      </c>
      <c r="V971" s="169" t="inlineStr">
        <is>
          <t>2026-06-18</t>
        </is>
      </c>
    </row>
    <row r="972">
      <c r="A972" s="169" t="inlineStr">
        <is>
          <t>CR-0969</t>
        </is>
      </c>
      <c r="B972" s="169" t="inlineStr">
        <is>
          <t>2026/27</t>
        </is>
      </c>
      <c r="C972" s="231" t="n">
        <v>46182</v>
      </c>
      <c r="D972" s="169" t="inlineStr">
        <is>
          <t>1029</t>
        </is>
      </c>
      <c r="E972" s="169" t="inlineStr">
        <is>
          <t>COMPRA</t>
        </is>
      </c>
      <c r="F972" s="169" t="inlineStr">
        <is>
          <t>Mega Catalina</t>
        </is>
      </c>
      <c r="G972" s="169" t="inlineStr">
        <is>
          <t>FINO 49 - 1999 (7,7 Ha.)</t>
        </is>
      </c>
      <c r="H972" s="169" t="n"/>
      <c r="I972" s="169" t="n"/>
      <c r="J972" s="169" t="inlineStr">
        <is>
          <t>LABORES OPERACIONALES</t>
        </is>
      </c>
      <c r="K972" s="169" t="inlineStr">
        <is>
          <t>COSECHA</t>
        </is>
      </c>
      <c r="L972" s="169" t="inlineStr">
        <is>
          <t>SERV.CONTRATISTA</t>
        </is>
      </c>
      <c r="M972" s="169" t="n"/>
      <c r="N972" s="169" t="inlineStr">
        <is>
          <t>.   .   -</t>
        </is>
      </c>
      <c r="O972" s="169" t="inlineStr">
        <is>
          <t>JUNIO</t>
        </is>
      </c>
      <c r="P972" s="169" t="n">
        <v>22</v>
      </c>
      <c r="Q972" s="171" t="n">
        <v>460480</v>
      </c>
      <c r="R972" s="169" t="n"/>
      <c r="S972" s="171" t="n">
        <v>460480</v>
      </c>
      <c r="T972" s="169" t="inlineStr">
        <is>
          <t>CLP</t>
        </is>
      </c>
      <c r="U972" s="169" t="inlineStr">
        <is>
          <t>Carga LH 18-06-26</t>
        </is>
      </c>
      <c r="V972" s="169" t="inlineStr">
        <is>
          <t>2026-06-18</t>
        </is>
      </c>
    </row>
    <row r="973">
      <c r="A973" s="169" t="inlineStr">
        <is>
          <t>CR-0970</t>
        </is>
      </c>
      <c r="B973" s="169" t="inlineStr">
        <is>
          <t>2026/27</t>
        </is>
      </c>
      <c r="C973" s="231" t="n">
        <v>46182</v>
      </c>
      <c r="D973" s="169" t="inlineStr">
        <is>
          <t>863</t>
        </is>
      </c>
      <c r="E973" s="169" t="inlineStr">
        <is>
          <t>COMPRA</t>
        </is>
      </c>
      <c r="F973" s="169" t="inlineStr">
        <is>
          <t>Mega Catalina</t>
        </is>
      </c>
      <c r="G973" s="169" t="inlineStr">
        <is>
          <t>EUREKA - 1999 (10,6 Ha.)</t>
        </is>
      </c>
      <c r="H973" s="169" t="n"/>
      <c r="I973" s="169" t="n"/>
      <c r="J973" s="169" t="inlineStr">
        <is>
          <t>LABORES OPERACIONALES</t>
        </is>
      </c>
      <c r="K973" s="169" t="inlineStr">
        <is>
          <t>COSECHA</t>
        </is>
      </c>
      <c r="L973" s="169" t="inlineStr">
        <is>
          <t>SERV.CONTRATISTA</t>
        </is>
      </c>
      <c r="M973" s="169" t="n"/>
      <c r="N973" s="169" t="inlineStr">
        <is>
          <t>.   .   -</t>
        </is>
      </c>
      <c r="O973" s="169" t="inlineStr">
        <is>
          <t>JUNIO</t>
        </is>
      </c>
      <c r="P973" s="169" t="n">
        <v>22</v>
      </c>
      <c r="Q973" s="171" t="n">
        <v>529440</v>
      </c>
      <c r="R973" s="169" t="n"/>
      <c r="S973" s="171" t="n">
        <v>529440</v>
      </c>
      <c r="T973" s="169" t="inlineStr">
        <is>
          <t>CLP</t>
        </is>
      </c>
      <c r="U973" s="169" t="inlineStr">
        <is>
          <t>Carga LH 18-06-26</t>
        </is>
      </c>
      <c r="V973" s="169" t="inlineStr">
        <is>
          <t>2026-06-18</t>
        </is>
      </c>
    </row>
    <row r="974">
      <c r="A974" s="169" t="inlineStr">
        <is>
          <t>CR-0971</t>
        </is>
      </c>
      <c r="B974" s="169" t="inlineStr">
        <is>
          <t>2026/27</t>
        </is>
      </c>
      <c r="C974" s="231" t="n">
        <v>46182</v>
      </c>
      <c r="D974" s="169" t="inlineStr">
        <is>
          <t>863</t>
        </is>
      </c>
      <c r="E974" s="169" t="inlineStr">
        <is>
          <t>COMPRA</t>
        </is>
      </c>
      <c r="F974" s="169" t="inlineStr">
        <is>
          <t>Mega Catalina</t>
        </is>
      </c>
      <c r="G974" s="169" t="inlineStr">
        <is>
          <t>EUREKA - 2016 (14,4 Ha.)</t>
        </is>
      </c>
      <c r="H974" s="169" t="n"/>
      <c r="I974" s="169" t="n"/>
      <c r="J974" s="169" t="inlineStr">
        <is>
          <t>LABORES OPERACIONALES</t>
        </is>
      </c>
      <c r="K974" s="169" t="inlineStr">
        <is>
          <t>COSECHA</t>
        </is>
      </c>
      <c r="L974" s="169" t="inlineStr">
        <is>
          <t>SERV.CONTRATISTA</t>
        </is>
      </c>
      <c r="M974" s="169" t="n"/>
      <c r="N974" s="169" t="inlineStr">
        <is>
          <t>.   .   -</t>
        </is>
      </c>
      <c r="O974" s="169" t="inlineStr">
        <is>
          <t>JUNIO</t>
        </is>
      </c>
      <c r="P974" s="169" t="n">
        <v>22</v>
      </c>
      <c r="Q974" s="171" t="n">
        <v>670000</v>
      </c>
      <c r="R974" s="169" t="n"/>
      <c r="S974" s="171" t="n">
        <v>670000</v>
      </c>
      <c r="T974" s="169" t="inlineStr">
        <is>
          <t>CLP</t>
        </is>
      </c>
      <c r="U974" s="169" t="inlineStr">
        <is>
          <t>Carga LH 18-06-26</t>
        </is>
      </c>
      <c r="V974" s="169" t="inlineStr">
        <is>
          <t>2026-06-18</t>
        </is>
      </c>
    </row>
    <row r="975">
      <c r="A975" s="169" t="inlineStr">
        <is>
          <t>CR-0972</t>
        </is>
      </c>
      <c r="B975" s="169" t="inlineStr">
        <is>
          <t>2026/27</t>
        </is>
      </c>
      <c r="C975" s="231" t="n">
        <v>46182</v>
      </c>
      <c r="D975" s="169" t="inlineStr">
        <is>
          <t>863</t>
        </is>
      </c>
      <c r="E975" s="169" t="inlineStr">
        <is>
          <t>COMPRA</t>
        </is>
      </c>
      <c r="F975" s="169" t="inlineStr">
        <is>
          <t>Mega Catalina</t>
        </is>
      </c>
      <c r="G975" s="169" t="inlineStr">
        <is>
          <t>FINO 49 - 1999 (7,7 Ha.)</t>
        </is>
      </c>
      <c r="H975" s="169" t="n"/>
      <c r="I975" s="169" t="n"/>
      <c r="J975" s="169" t="inlineStr">
        <is>
          <t>LABORES OPERACIONALES</t>
        </is>
      </c>
      <c r="K975" s="169" t="inlineStr">
        <is>
          <t>COSECHA</t>
        </is>
      </c>
      <c r="L975" s="169" t="inlineStr">
        <is>
          <t>SERV.CONTRATISTA</t>
        </is>
      </c>
      <c r="M975" s="169" t="n"/>
      <c r="N975" s="169" t="inlineStr">
        <is>
          <t>.   .   -</t>
        </is>
      </c>
      <c r="O975" s="169" t="inlineStr">
        <is>
          <t>JUNIO</t>
        </is>
      </c>
      <c r="P975" s="169" t="n">
        <v>22</v>
      </c>
      <c r="Q975" s="171" t="n">
        <v>505200</v>
      </c>
      <c r="R975" s="169" t="n"/>
      <c r="S975" s="171" t="n">
        <v>505200</v>
      </c>
      <c r="T975" s="169" t="inlineStr">
        <is>
          <t>CLP</t>
        </is>
      </c>
      <c r="U975" s="169" t="inlineStr">
        <is>
          <t>Carga LH 18-06-26</t>
        </is>
      </c>
      <c r="V975" s="169" t="inlineStr">
        <is>
          <t>2026-06-18</t>
        </is>
      </c>
    </row>
    <row r="976">
      <c r="A976" s="169" t="inlineStr">
        <is>
          <t>CR-0973</t>
        </is>
      </c>
      <c r="B976" s="169" t="inlineStr">
        <is>
          <t>2026/27</t>
        </is>
      </c>
      <c r="C976" s="231" t="n">
        <v>46182</v>
      </c>
      <c r="D976" s="169" t="inlineStr">
        <is>
          <t>219</t>
        </is>
      </c>
      <c r="E976" s="169" t="inlineStr">
        <is>
          <t>COMPRA</t>
        </is>
      </c>
      <c r="F976" s="169" t="inlineStr">
        <is>
          <t>Mega Catalina</t>
        </is>
      </c>
      <c r="G976" s="169" t="inlineStr">
        <is>
          <t>EUREKA - 1999 (10,6 Ha.)</t>
        </is>
      </c>
      <c r="H976" s="169" t="n"/>
      <c r="I976" s="169" t="n"/>
      <c r="J976" s="169" t="inlineStr">
        <is>
          <t>LABORES OPERACIONALES</t>
        </is>
      </c>
      <c r="K976" s="169" t="inlineStr">
        <is>
          <t>COSECHA</t>
        </is>
      </c>
      <c r="L976" s="169" t="inlineStr">
        <is>
          <t>SERV.CONTRATISTA</t>
        </is>
      </c>
      <c r="M976" s="169" t="n"/>
      <c r="N976" s="169" t="inlineStr">
        <is>
          <t>.   .   -</t>
        </is>
      </c>
      <c r="O976" s="169" t="inlineStr">
        <is>
          <t>JUNIO</t>
        </is>
      </c>
      <c r="P976" s="169" t="n">
        <v>22</v>
      </c>
      <c r="Q976" s="171" t="n">
        <v>927600</v>
      </c>
      <c r="R976" s="169" t="n"/>
      <c r="S976" s="171" t="n">
        <v>927600</v>
      </c>
      <c r="T976" s="169" t="inlineStr">
        <is>
          <t>CLP</t>
        </is>
      </c>
      <c r="U976" s="169" t="inlineStr">
        <is>
          <t>Carga LH 18-06-26</t>
        </is>
      </c>
      <c r="V976" s="169" t="inlineStr">
        <is>
          <t>2026-06-18</t>
        </is>
      </c>
    </row>
    <row r="977">
      <c r="A977" s="169" t="inlineStr">
        <is>
          <t>CR-0974</t>
        </is>
      </c>
      <c r="B977" s="169" t="inlineStr">
        <is>
          <t>2026/27</t>
        </is>
      </c>
      <c r="C977" s="231" t="n">
        <v>46182</v>
      </c>
      <c r="D977" s="169" t="inlineStr">
        <is>
          <t>219</t>
        </is>
      </c>
      <c r="E977" s="169" t="inlineStr">
        <is>
          <t>COMPRA</t>
        </is>
      </c>
      <c r="F977" s="169" t="inlineStr">
        <is>
          <t>Mega Catalina</t>
        </is>
      </c>
      <c r="G977" s="169" t="inlineStr">
        <is>
          <t>EUREKA - 2016 (14,4 Ha.)</t>
        </is>
      </c>
      <c r="H977" s="169" t="n"/>
      <c r="I977" s="169" t="n"/>
      <c r="J977" s="169" t="inlineStr">
        <is>
          <t>LABORES OPERACIONALES</t>
        </is>
      </c>
      <c r="K977" s="169" t="inlineStr">
        <is>
          <t>COSECHA</t>
        </is>
      </c>
      <c r="L977" s="169" t="inlineStr">
        <is>
          <t>SERV.CONTRATISTA</t>
        </is>
      </c>
      <c r="M977" s="169" t="n"/>
      <c r="N977" s="169" t="inlineStr">
        <is>
          <t>.   .   -</t>
        </is>
      </c>
      <c r="O977" s="169" t="inlineStr">
        <is>
          <t>JUNIO</t>
        </is>
      </c>
      <c r="P977" s="169" t="n">
        <v>22</v>
      </c>
      <c r="Q977" s="171" t="n">
        <v>1217280</v>
      </c>
      <c r="R977" s="169" t="n"/>
      <c r="S977" s="171" t="n">
        <v>1217280</v>
      </c>
      <c r="T977" s="169" t="inlineStr">
        <is>
          <t>CLP</t>
        </is>
      </c>
      <c r="U977" s="169" t="inlineStr">
        <is>
          <t>Carga LH 18-06-26</t>
        </is>
      </c>
      <c r="V977" s="169" t="inlineStr">
        <is>
          <t>2026-06-18</t>
        </is>
      </c>
    </row>
    <row r="978">
      <c r="A978" s="169" t="inlineStr">
        <is>
          <t>CR-0975</t>
        </is>
      </c>
      <c r="B978" s="169" t="inlineStr">
        <is>
          <t>2026/27</t>
        </is>
      </c>
      <c r="C978" s="231" t="n">
        <v>46182</v>
      </c>
      <c r="D978" s="169" t="inlineStr">
        <is>
          <t>219</t>
        </is>
      </c>
      <c r="E978" s="169" t="inlineStr">
        <is>
          <t>COMPRA</t>
        </is>
      </c>
      <c r="F978" s="169" t="inlineStr">
        <is>
          <t>Mega Catalina</t>
        </is>
      </c>
      <c r="G978" s="169" t="inlineStr">
        <is>
          <t>FINO 49 - 1999 (7,7 Ha.)</t>
        </is>
      </c>
      <c r="H978" s="169" t="n"/>
      <c r="I978" s="169" t="n"/>
      <c r="J978" s="169" t="inlineStr">
        <is>
          <t>LABORES OPERACIONALES</t>
        </is>
      </c>
      <c r="K978" s="169" t="inlineStr">
        <is>
          <t>COSECHA</t>
        </is>
      </c>
      <c r="L978" s="169" t="inlineStr">
        <is>
          <t>SERV.CONTRATISTA</t>
        </is>
      </c>
      <c r="M978" s="169" t="n"/>
      <c r="N978" s="169" t="inlineStr">
        <is>
          <t>.   .   -</t>
        </is>
      </c>
      <c r="O978" s="169" t="inlineStr">
        <is>
          <t>JUNIO</t>
        </is>
      </c>
      <c r="P978" s="169" t="n">
        <v>22</v>
      </c>
      <c r="Q978" s="171" t="n">
        <v>913040</v>
      </c>
      <c r="R978" s="169" t="n"/>
      <c r="S978" s="171" t="n">
        <v>913040</v>
      </c>
      <c r="T978" s="169" t="inlineStr">
        <is>
          <t>CLP</t>
        </is>
      </c>
      <c r="U978" s="169" t="inlineStr">
        <is>
          <t>Carga LH 18-06-26</t>
        </is>
      </c>
      <c r="V978" s="169" t="inlineStr">
        <is>
          <t>2026-06-18</t>
        </is>
      </c>
    </row>
    <row r="979">
      <c r="A979" s="169" t="inlineStr">
        <is>
          <t>CR-0976</t>
        </is>
      </c>
      <c r="B979" s="169" t="inlineStr">
        <is>
          <t>2026/27</t>
        </is>
      </c>
      <c r="C979" s="231" t="n">
        <v>46182</v>
      </c>
      <c r="D979" s="169" t="inlineStr">
        <is>
          <t>889</t>
        </is>
      </c>
      <c r="E979" s="169" t="inlineStr">
        <is>
          <t>COMPRA</t>
        </is>
      </c>
      <c r="F979" s="169" t="inlineStr">
        <is>
          <t>Mega Catalina</t>
        </is>
      </c>
      <c r="G979" s="169" t="inlineStr">
        <is>
          <t>EUREKA - 1999 (10,6 Ha.)</t>
        </is>
      </c>
      <c r="H979" s="169" t="n"/>
      <c r="I979" s="169" t="n"/>
      <c r="J979" s="169" t="inlineStr">
        <is>
          <t>LABORES OPERACIONALES</t>
        </is>
      </c>
      <c r="K979" s="169" t="inlineStr">
        <is>
          <t>COSECHA</t>
        </is>
      </c>
      <c r="L979" s="169" t="inlineStr">
        <is>
          <t>SERV.CONTRATISTA</t>
        </is>
      </c>
      <c r="M979" s="169" t="n"/>
      <c r="N979" s="169" t="inlineStr">
        <is>
          <t>.   .   -</t>
        </is>
      </c>
      <c r="O979" s="169" t="inlineStr">
        <is>
          <t>JUNIO</t>
        </is>
      </c>
      <c r="P979" s="169" t="n">
        <v>22</v>
      </c>
      <c r="Q979" s="171" t="n">
        <v>861940</v>
      </c>
      <c r="R979" s="169" t="n"/>
      <c r="S979" s="171" t="n">
        <v>861940</v>
      </c>
      <c r="T979" s="169" t="inlineStr">
        <is>
          <t>CLP</t>
        </is>
      </c>
      <c r="U979" s="169" t="inlineStr">
        <is>
          <t>Carga LH 18-06-26</t>
        </is>
      </c>
      <c r="V979" s="169" t="inlineStr">
        <is>
          <t>2026-06-18</t>
        </is>
      </c>
    </row>
    <row r="980">
      <c r="A980" s="169" t="inlineStr">
        <is>
          <t>CR-0977</t>
        </is>
      </c>
      <c r="B980" s="169" t="inlineStr">
        <is>
          <t>2026/27</t>
        </is>
      </c>
      <c r="C980" s="231" t="n">
        <v>46182</v>
      </c>
      <c r="D980" s="169" t="inlineStr">
        <is>
          <t>889</t>
        </is>
      </c>
      <c r="E980" s="169" t="inlineStr">
        <is>
          <t>COMPRA</t>
        </is>
      </c>
      <c r="F980" s="169" t="inlineStr">
        <is>
          <t>Mega Catalina</t>
        </is>
      </c>
      <c r="G980" s="169" t="inlineStr">
        <is>
          <t>EUREKA - 2016 (14,4 Ha.)</t>
        </is>
      </c>
      <c r="H980" s="169" t="n"/>
      <c r="I980" s="169" t="n"/>
      <c r="J980" s="169" t="inlineStr">
        <is>
          <t>LABORES OPERACIONALES</t>
        </is>
      </c>
      <c r="K980" s="169" t="inlineStr">
        <is>
          <t>COSECHA</t>
        </is>
      </c>
      <c r="L980" s="169" t="inlineStr">
        <is>
          <t>SERV.CONTRATISTA</t>
        </is>
      </c>
      <c r="M980" s="169" t="n"/>
      <c r="N980" s="169" t="inlineStr">
        <is>
          <t>.   .   -</t>
        </is>
      </c>
      <c r="O980" s="169" t="inlineStr">
        <is>
          <t>JUNIO</t>
        </is>
      </c>
      <c r="P980" s="169" t="n">
        <v>22</v>
      </c>
      <c r="Q980" s="171" t="n">
        <v>1341280</v>
      </c>
      <c r="R980" s="169" t="n"/>
      <c r="S980" s="171" t="n">
        <v>1341280</v>
      </c>
      <c r="T980" s="169" t="inlineStr">
        <is>
          <t>CLP</t>
        </is>
      </c>
      <c r="U980" s="169" t="inlineStr">
        <is>
          <t>Carga LH 18-06-26</t>
        </is>
      </c>
      <c r="V980" s="169" t="inlineStr">
        <is>
          <t>2026-06-18</t>
        </is>
      </c>
    </row>
    <row r="981">
      <c r="A981" s="169" t="inlineStr">
        <is>
          <t>CR-0978</t>
        </is>
      </c>
      <c r="B981" s="169" t="inlineStr">
        <is>
          <t>2026/27</t>
        </is>
      </c>
      <c r="C981" s="231" t="n">
        <v>46182</v>
      </c>
      <c r="D981" s="169" t="inlineStr">
        <is>
          <t>889</t>
        </is>
      </c>
      <c r="E981" s="169" t="inlineStr">
        <is>
          <t>COMPRA</t>
        </is>
      </c>
      <c r="F981" s="169" t="inlineStr">
        <is>
          <t>Mega Catalina</t>
        </is>
      </c>
      <c r="G981" s="169" t="inlineStr">
        <is>
          <t>FINO 49 - 1999 (7,7 Ha.)</t>
        </is>
      </c>
      <c r="H981" s="169" t="n"/>
      <c r="I981" s="169" t="n"/>
      <c r="J981" s="169" t="inlineStr">
        <is>
          <t>LABORES OPERACIONALES</t>
        </is>
      </c>
      <c r="K981" s="169" t="inlineStr">
        <is>
          <t>COSECHA</t>
        </is>
      </c>
      <c r="L981" s="169" t="inlineStr">
        <is>
          <t>SERV.CONTRATISTA</t>
        </is>
      </c>
      <c r="M981" s="169" t="n"/>
      <c r="N981" s="169" t="inlineStr">
        <is>
          <t>.   .   -</t>
        </is>
      </c>
      <c r="O981" s="169" t="inlineStr">
        <is>
          <t>JUNIO</t>
        </is>
      </c>
      <c r="P981" s="169" t="n">
        <v>22</v>
      </c>
      <c r="Q981" s="171" t="n">
        <v>754920</v>
      </c>
      <c r="R981" s="169" t="n"/>
      <c r="S981" s="171" t="n">
        <v>754920</v>
      </c>
      <c r="T981" s="169" t="inlineStr">
        <is>
          <t>CLP</t>
        </is>
      </c>
      <c r="U981" s="169" t="inlineStr">
        <is>
          <t>Carga LH 18-06-26</t>
        </is>
      </c>
      <c r="V981" s="169" t="inlineStr">
        <is>
          <t>2026-06-18</t>
        </is>
      </c>
    </row>
    <row r="982">
      <c r="A982" s="169" t="inlineStr">
        <is>
          <t>CR-0979</t>
        </is>
      </c>
      <c r="B982" s="169" t="inlineStr">
        <is>
          <t>2026/27</t>
        </is>
      </c>
      <c r="C982" s="231" t="n">
        <v>46182</v>
      </c>
      <c r="D982" s="169" t="inlineStr">
        <is>
          <t>3</t>
        </is>
      </c>
      <c r="E982" s="169" t="inlineStr">
        <is>
          <t>COMPRA</t>
        </is>
      </c>
      <c r="F982" s="169" t="inlineStr">
        <is>
          <t>Mega Catalina</t>
        </is>
      </c>
      <c r="G982" s="169" t="inlineStr">
        <is>
          <t>EUREKA - 1999 (10,6 Ha.)</t>
        </is>
      </c>
      <c r="H982" s="169" t="n"/>
      <c r="I982" s="169" t="n"/>
      <c r="J982" s="169" t="inlineStr">
        <is>
          <t>LABORES OPERACIONALES</t>
        </is>
      </c>
      <c r="K982" s="169" t="inlineStr">
        <is>
          <t>COSECHA</t>
        </is>
      </c>
      <c r="L982" s="169" t="inlineStr">
        <is>
          <t>SERV.CONTRATISTA</t>
        </is>
      </c>
      <c r="M982" s="169" t="n"/>
      <c r="N982" s="169" t="inlineStr">
        <is>
          <t>.   .   -</t>
        </is>
      </c>
      <c r="O982" s="169" t="inlineStr">
        <is>
          <t>JUNIO</t>
        </is>
      </c>
      <c r="P982" s="169" t="n">
        <v>22</v>
      </c>
      <c r="Q982" s="171" t="n">
        <v>686960</v>
      </c>
      <c r="R982" s="169" t="n"/>
      <c r="S982" s="171" t="n">
        <v>686960</v>
      </c>
      <c r="T982" s="169" t="inlineStr">
        <is>
          <t>CLP</t>
        </is>
      </c>
      <c r="U982" s="169" t="inlineStr">
        <is>
          <t>Carga LH 18-06-26</t>
        </is>
      </c>
      <c r="V982" s="169" t="inlineStr">
        <is>
          <t>2026-06-18</t>
        </is>
      </c>
    </row>
    <row r="983">
      <c r="A983" s="169" t="inlineStr">
        <is>
          <t>CR-0980</t>
        </is>
      </c>
      <c r="B983" s="169" t="inlineStr">
        <is>
          <t>2026/27</t>
        </is>
      </c>
      <c r="C983" s="231" t="n">
        <v>46182</v>
      </c>
      <c r="D983" s="169" t="inlineStr">
        <is>
          <t>3</t>
        </is>
      </c>
      <c r="E983" s="169" t="inlineStr">
        <is>
          <t>COMPRA</t>
        </is>
      </c>
      <c r="F983" s="169" t="inlineStr">
        <is>
          <t>Mega Catalina</t>
        </is>
      </c>
      <c r="G983" s="169" t="inlineStr">
        <is>
          <t>EUREKA - 2016 (14,4 Ha.)</t>
        </is>
      </c>
      <c r="H983" s="169" t="n"/>
      <c r="I983" s="169" t="n"/>
      <c r="J983" s="169" t="inlineStr">
        <is>
          <t>LABORES OPERACIONALES</t>
        </is>
      </c>
      <c r="K983" s="169" t="inlineStr">
        <is>
          <t>COSECHA</t>
        </is>
      </c>
      <c r="L983" s="169" t="inlineStr">
        <is>
          <t>SERV.CONTRATISTA</t>
        </is>
      </c>
      <c r="M983" s="169" t="n"/>
      <c r="N983" s="169" t="inlineStr">
        <is>
          <t>.   .   -</t>
        </is>
      </c>
      <c r="O983" s="169" t="inlineStr">
        <is>
          <t>JUNIO</t>
        </is>
      </c>
      <c r="P983" s="169" t="n">
        <v>22</v>
      </c>
      <c r="Q983" s="171" t="n">
        <v>1209760</v>
      </c>
      <c r="R983" s="169" t="n"/>
      <c r="S983" s="171" t="n">
        <v>1209760</v>
      </c>
      <c r="T983" s="169" t="inlineStr">
        <is>
          <t>CLP</t>
        </is>
      </c>
      <c r="U983" s="169" t="inlineStr">
        <is>
          <t>Carga LH 18-06-26</t>
        </is>
      </c>
      <c r="V983" s="169" t="inlineStr">
        <is>
          <t>2026-06-18</t>
        </is>
      </c>
    </row>
    <row r="984">
      <c r="A984" s="169" t="inlineStr">
        <is>
          <t>CR-0981</t>
        </is>
      </c>
      <c r="B984" s="169" t="inlineStr">
        <is>
          <t>2026/27</t>
        </is>
      </c>
      <c r="C984" s="231" t="n">
        <v>46182</v>
      </c>
      <c r="D984" s="169" t="inlineStr">
        <is>
          <t>3</t>
        </is>
      </c>
      <c r="E984" s="169" t="inlineStr">
        <is>
          <t>COMPRA</t>
        </is>
      </c>
      <c r="F984" s="169" t="inlineStr">
        <is>
          <t>Mega Catalina</t>
        </is>
      </c>
      <c r="G984" s="169" t="inlineStr">
        <is>
          <t>FINO 49 - 1999 (7,7 Ha.)</t>
        </is>
      </c>
      <c r="H984" s="169" t="n"/>
      <c r="I984" s="169" t="n"/>
      <c r="J984" s="169" t="inlineStr">
        <is>
          <t>LABORES OPERACIONALES</t>
        </is>
      </c>
      <c r="K984" s="169" t="inlineStr">
        <is>
          <t>COSECHA</t>
        </is>
      </c>
      <c r="L984" s="169" t="inlineStr">
        <is>
          <t>SERV.CONTRATISTA</t>
        </is>
      </c>
      <c r="M984" s="169" t="n"/>
      <c r="N984" s="169" t="inlineStr">
        <is>
          <t>.   .   -</t>
        </is>
      </c>
      <c r="O984" s="169" t="inlineStr">
        <is>
          <t>JUNIO</t>
        </is>
      </c>
      <c r="P984" s="169" t="n">
        <v>22</v>
      </c>
      <c r="Q984" s="171" t="n">
        <v>837520</v>
      </c>
      <c r="R984" s="169" t="n"/>
      <c r="S984" s="171" t="n">
        <v>837520</v>
      </c>
      <c r="T984" s="169" t="inlineStr">
        <is>
          <t>CLP</t>
        </is>
      </c>
      <c r="U984" s="169" t="inlineStr">
        <is>
          <t>Carga LH 18-06-26</t>
        </is>
      </c>
      <c r="V984" s="169" t="inlineStr">
        <is>
          <t>2026-06-18</t>
        </is>
      </c>
    </row>
    <row r="985">
      <c r="A985" s="169" t="inlineStr">
        <is>
          <t>CR-0982</t>
        </is>
      </c>
      <c r="B985" s="169" t="inlineStr">
        <is>
          <t>2026/27</t>
        </is>
      </c>
      <c r="C985" s="231" t="n">
        <v>46182</v>
      </c>
      <c r="D985" s="169" t="inlineStr">
        <is>
          <t>55</t>
        </is>
      </c>
      <c r="E985" s="169" t="inlineStr">
        <is>
          <t>COMPRA</t>
        </is>
      </c>
      <c r="F985" s="169" t="inlineStr">
        <is>
          <t>Mega Catalina</t>
        </is>
      </c>
      <c r="G985" s="169" t="inlineStr">
        <is>
          <t>EUREKA - 1999 (10,6 Ha.)</t>
        </is>
      </c>
      <c r="H985" s="169" t="n"/>
      <c r="I985" s="169" t="n"/>
      <c r="J985" s="169" t="inlineStr">
        <is>
          <t>LABORES OPERACIONALES</t>
        </is>
      </c>
      <c r="K985" s="169" t="inlineStr">
        <is>
          <t>COSECHA</t>
        </is>
      </c>
      <c r="L985" s="169" t="inlineStr">
        <is>
          <t>SERV.CONTRATISTA</t>
        </is>
      </c>
      <c r="M985" s="169" t="n"/>
      <c r="N985" s="169" t="inlineStr">
        <is>
          <t>.   .   -</t>
        </is>
      </c>
      <c r="O985" s="169" t="inlineStr">
        <is>
          <t>JUNIO</t>
        </is>
      </c>
      <c r="P985" s="169" t="n">
        <v>22</v>
      </c>
      <c r="Q985" s="171" t="n">
        <v>704400</v>
      </c>
      <c r="R985" s="169" t="n"/>
      <c r="S985" s="171" t="n">
        <v>704400</v>
      </c>
      <c r="T985" s="169" t="inlineStr">
        <is>
          <t>CLP</t>
        </is>
      </c>
      <c r="U985" s="169" t="inlineStr">
        <is>
          <t>Carga LH 18-06-26</t>
        </is>
      </c>
      <c r="V985" s="169" t="inlineStr">
        <is>
          <t>2026-06-18</t>
        </is>
      </c>
    </row>
    <row r="986">
      <c r="A986" s="169" t="inlineStr">
        <is>
          <t>CR-0983</t>
        </is>
      </c>
      <c r="B986" s="169" t="inlineStr">
        <is>
          <t>2026/27</t>
        </is>
      </c>
      <c r="C986" s="231" t="n">
        <v>46182</v>
      </c>
      <c r="D986" s="169" t="inlineStr">
        <is>
          <t>55</t>
        </is>
      </c>
      <c r="E986" s="169" t="inlineStr">
        <is>
          <t>COMPRA</t>
        </is>
      </c>
      <c r="F986" s="169" t="inlineStr">
        <is>
          <t>Mega Catalina</t>
        </is>
      </c>
      <c r="G986" s="169" t="inlineStr">
        <is>
          <t>EUREKA - 2016 (14,4 Ha.)</t>
        </is>
      </c>
      <c r="H986" s="169" t="n"/>
      <c r="I986" s="169" t="n"/>
      <c r="J986" s="169" t="inlineStr">
        <is>
          <t>LABORES OPERACIONALES</t>
        </is>
      </c>
      <c r="K986" s="169" t="inlineStr">
        <is>
          <t>COSECHA</t>
        </is>
      </c>
      <c r="L986" s="169" t="inlineStr">
        <is>
          <t>SERV.CONTRATISTA</t>
        </is>
      </c>
      <c r="M986" s="169" t="n"/>
      <c r="N986" s="169" t="inlineStr">
        <is>
          <t>.   .   -</t>
        </is>
      </c>
      <c r="O986" s="169" t="inlineStr">
        <is>
          <t>JUNIO</t>
        </is>
      </c>
      <c r="P986" s="169" t="n">
        <v>22</v>
      </c>
      <c r="Q986" s="171" t="n">
        <v>405200</v>
      </c>
      <c r="R986" s="169" t="n"/>
      <c r="S986" s="171" t="n">
        <v>405200</v>
      </c>
      <c r="T986" s="169" t="inlineStr">
        <is>
          <t>CLP</t>
        </is>
      </c>
      <c r="U986" s="169" t="inlineStr">
        <is>
          <t>Carga LH 18-06-26</t>
        </is>
      </c>
      <c r="V986" s="169" t="inlineStr">
        <is>
          <t>2026-06-18</t>
        </is>
      </c>
    </row>
    <row r="987">
      <c r="A987" s="169" t="inlineStr">
        <is>
          <t>CR-0984</t>
        </is>
      </c>
      <c r="B987" s="169" t="inlineStr">
        <is>
          <t>2026/27</t>
        </is>
      </c>
      <c r="C987" s="231" t="n">
        <v>46182</v>
      </c>
      <c r="D987" s="169" t="inlineStr">
        <is>
          <t>55</t>
        </is>
      </c>
      <c r="E987" s="169" t="inlineStr">
        <is>
          <t>COMPRA</t>
        </is>
      </c>
      <c r="F987" s="169" t="inlineStr">
        <is>
          <t>Mega Catalina</t>
        </is>
      </c>
      <c r="G987" s="169" t="inlineStr">
        <is>
          <t>FINO 49 - 1999 (7,7 Ha.)</t>
        </is>
      </c>
      <c r="H987" s="169" t="n"/>
      <c r="I987" s="169" t="n"/>
      <c r="J987" s="169" t="inlineStr">
        <is>
          <t>LABORES OPERACIONALES</t>
        </is>
      </c>
      <c r="K987" s="169" t="inlineStr">
        <is>
          <t>COSECHA</t>
        </is>
      </c>
      <c r="L987" s="169" t="inlineStr">
        <is>
          <t>SERV.CONTRATISTA</t>
        </is>
      </c>
      <c r="M987" s="169" t="n"/>
      <c r="N987" s="169" t="inlineStr">
        <is>
          <t>.   .   -</t>
        </is>
      </c>
      <c r="O987" s="169" t="inlineStr">
        <is>
          <t>JUNIO</t>
        </is>
      </c>
      <c r="P987" s="169" t="n">
        <v>22</v>
      </c>
      <c r="Q987" s="171" t="n">
        <v>721120</v>
      </c>
      <c r="R987" s="169" t="n"/>
      <c r="S987" s="171" t="n">
        <v>721120</v>
      </c>
      <c r="T987" s="169" t="inlineStr">
        <is>
          <t>CLP</t>
        </is>
      </c>
      <c r="U987" s="169" t="inlineStr">
        <is>
          <t>Carga LH 18-06-26</t>
        </is>
      </c>
      <c r="V987" s="169" t="inlineStr">
        <is>
          <t>2026-06-18</t>
        </is>
      </c>
    </row>
    <row r="988">
      <c r="A988" s="169" t="inlineStr">
        <is>
          <t>CR-0985</t>
        </is>
      </c>
      <c r="B988" s="169" t="inlineStr">
        <is>
          <t>2026/27</t>
        </is>
      </c>
      <c r="C988" s="231" t="n">
        <v>46182</v>
      </c>
      <c r="D988" s="169" t="inlineStr">
        <is>
          <t>670</t>
        </is>
      </c>
      <c r="E988" s="169" t="inlineStr">
        <is>
          <t>COMPRA</t>
        </is>
      </c>
      <c r="F988" s="169" t="inlineStr">
        <is>
          <t>Mega Catalina</t>
        </is>
      </c>
      <c r="G988" s="169" t="inlineStr">
        <is>
          <t>EUREKA - 1999 (10,6 Ha.)</t>
        </is>
      </c>
      <c r="H988" s="169" t="n"/>
      <c r="I988" s="169" t="n"/>
      <c r="J988" s="169" t="inlineStr">
        <is>
          <t>LABORES OPERACIONALES</t>
        </is>
      </c>
      <c r="K988" s="169" t="inlineStr">
        <is>
          <t>COSECHA</t>
        </is>
      </c>
      <c r="L988" s="169" t="inlineStr">
        <is>
          <t>SERV.CONTRATISTA</t>
        </is>
      </c>
      <c r="M988" s="169" t="n"/>
      <c r="N988" s="169" t="inlineStr">
        <is>
          <t>.   .   -</t>
        </is>
      </c>
      <c r="O988" s="169" t="inlineStr">
        <is>
          <t>JUNIO</t>
        </is>
      </c>
      <c r="P988" s="169" t="n">
        <v>22</v>
      </c>
      <c r="Q988" s="171" t="n">
        <v>2049760</v>
      </c>
      <c r="R988" s="169" t="n"/>
      <c r="S988" s="171" t="n">
        <v>2049760</v>
      </c>
      <c r="T988" s="169" t="inlineStr">
        <is>
          <t>CLP</t>
        </is>
      </c>
      <c r="U988" s="169" t="inlineStr">
        <is>
          <t>Carga LH 18-06-26</t>
        </is>
      </c>
      <c r="V988" s="169" t="inlineStr">
        <is>
          <t>2026-06-18</t>
        </is>
      </c>
    </row>
    <row r="989">
      <c r="A989" s="169" t="inlineStr">
        <is>
          <t>CR-0986</t>
        </is>
      </c>
      <c r="B989" s="169" t="inlineStr">
        <is>
          <t>2026/27</t>
        </is>
      </c>
      <c r="C989" s="231" t="n">
        <v>46182</v>
      </c>
      <c r="D989" s="169" t="inlineStr">
        <is>
          <t>670</t>
        </is>
      </c>
      <c r="E989" s="169" t="inlineStr">
        <is>
          <t>COMPRA</t>
        </is>
      </c>
      <c r="F989" s="169" t="inlineStr">
        <is>
          <t>Mega Catalina</t>
        </is>
      </c>
      <c r="G989" s="169" t="inlineStr">
        <is>
          <t>EUREKA - 2016 (14,4 Ha.)</t>
        </is>
      </c>
      <c r="H989" s="169" t="n"/>
      <c r="I989" s="169" t="n"/>
      <c r="J989" s="169" t="inlineStr">
        <is>
          <t>LABORES OPERACIONALES</t>
        </is>
      </c>
      <c r="K989" s="169" t="inlineStr">
        <is>
          <t>COSECHA</t>
        </is>
      </c>
      <c r="L989" s="169" t="inlineStr">
        <is>
          <t>SERV.CONTRATISTA</t>
        </is>
      </c>
      <c r="M989" s="169" t="n"/>
      <c r="N989" s="169" t="inlineStr">
        <is>
          <t>.   .   -</t>
        </is>
      </c>
      <c r="O989" s="169" t="inlineStr">
        <is>
          <t>JUNIO</t>
        </is>
      </c>
      <c r="P989" s="169" t="n">
        <v>22</v>
      </c>
      <c r="Q989" s="171" t="n">
        <v>2346520</v>
      </c>
      <c r="R989" s="169" t="n"/>
      <c r="S989" s="171" t="n">
        <v>2346520</v>
      </c>
      <c r="T989" s="169" t="inlineStr">
        <is>
          <t>CLP</t>
        </is>
      </c>
      <c r="U989" s="169" t="inlineStr">
        <is>
          <t>Carga LH 18-06-26</t>
        </is>
      </c>
      <c r="V989" s="169" t="inlineStr">
        <is>
          <t>2026-06-18</t>
        </is>
      </c>
    </row>
    <row r="990">
      <c r="A990" s="169" t="inlineStr">
        <is>
          <t>CR-0987</t>
        </is>
      </c>
      <c r="B990" s="169" t="inlineStr">
        <is>
          <t>2026/27</t>
        </is>
      </c>
      <c r="C990" s="231" t="n">
        <v>46182</v>
      </c>
      <c r="D990" s="169" t="inlineStr">
        <is>
          <t>670</t>
        </is>
      </c>
      <c r="E990" s="169" t="inlineStr">
        <is>
          <t>COMPRA</t>
        </is>
      </c>
      <c r="F990" s="169" t="inlineStr">
        <is>
          <t>Mega Catalina</t>
        </is>
      </c>
      <c r="G990" s="169" t="inlineStr">
        <is>
          <t>FINO 49 - 1999 (7,7 Ha.)</t>
        </is>
      </c>
      <c r="H990" s="169" t="n"/>
      <c r="I990" s="169" t="n"/>
      <c r="J990" s="169" t="inlineStr">
        <is>
          <t>LABORES OPERACIONALES</t>
        </is>
      </c>
      <c r="K990" s="169" t="inlineStr">
        <is>
          <t>COSECHA</t>
        </is>
      </c>
      <c r="L990" s="169" t="inlineStr">
        <is>
          <t>SERV.CONTRATISTA</t>
        </is>
      </c>
      <c r="M990" s="169" t="n"/>
      <c r="N990" s="169" t="inlineStr">
        <is>
          <t>.   .   -</t>
        </is>
      </c>
      <c r="O990" s="169" t="inlineStr">
        <is>
          <t>JUNIO</t>
        </is>
      </c>
      <c r="P990" s="169" t="n">
        <v>22</v>
      </c>
      <c r="Q990" s="171" t="n">
        <v>1799100</v>
      </c>
      <c r="R990" s="169" t="n"/>
      <c r="S990" s="171" t="n">
        <v>1799100</v>
      </c>
      <c r="T990" s="169" t="inlineStr">
        <is>
          <t>CLP</t>
        </is>
      </c>
      <c r="U990" s="169" t="inlineStr">
        <is>
          <t>Carga LH 18-06-26</t>
        </is>
      </c>
      <c r="V990" s="169" t="inlineStr">
        <is>
          <t>2026-06-18</t>
        </is>
      </c>
    </row>
    <row r="991">
      <c r="A991" s="169" t="inlineStr">
        <is>
          <t>CR-0988</t>
        </is>
      </c>
      <c r="B991" s="169" t="inlineStr">
        <is>
          <t>2026/27</t>
        </is>
      </c>
      <c r="C991" s="231" t="n">
        <v>46183</v>
      </c>
      <c r="D991" s="169" t="inlineStr">
        <is>
          <t>231</t>
        </is>
      </c>
      <c r="E991" s="169" t="inlineStr">
        <is>
          <t>COMPRA</t>
        </is>
      </c>
      <c r="F991" s="169" t="inlineStr">
        <is>
          <t>El Molle</t>
        </is>
      </c>
      <c r="G991" s="169" t="inlineStr">
        <is>
          <t>OROGRANDE - 2007 (8,11 Ha.)</t>
        </is>
      </c>
      <c r="H991" s="169" t="n"/>
      <c r="I991" s="169" t="n"/>
      <c r="J991" s="169" t="inlineStr">
        <is>
          <t>LABORES OPERACIONALES</t>
        </is>
      </c>
      <c r="K991" s="169" t="inlineStr">
        <is>
          <t>COSECHA</t>
        </is>
      </c>
      <c r="L991" s="169" t="inlineStr">
        <is>
          <t>SERV.CONTRATISTA</t>
        </is>
      </c>
      <c r="M991" s="169" t="n"/>
      <c r="N991" s="169" t="inlineStr">
        <is>
          <t>.   .   -</t>
        </is>
      </c>
      <c r="O991" s="169" t="inlineStr">
        <is>
          <t>JUNIO</t>
        </is>
      </c>
      <c r="P991" s="169" t="n">
        <v>22</v>
      </c>
      <c r="Q991" s="171" t="n">
        <v>1027740</v>
      </c>
      <c r="R991" s="169" t="n"/>
      <c r="S991" s="171" t="n">
        <v>1027740</v>
      </c>
      <c r="T991" s="169" t="inlineStr">
        <is>
          <t>CLP</t>
        </is>
      </c>
      <c r="U991" s="169" t="inlineStr">
        <is>
          <t>Carga LH 18-06-26</t>
        </is>
      </c>
      <c r="V991" s="169" t="inlineStr">
        <is>
          <t>2026-06-18</t>
        </is>
      </c>
    </row>
    <row r="992">
      <c r="A992" s="169" t="inlineStr">
        <is>
          <t>CR-0989</t>
        </is>
      </c>
      <c r="B992" s="169" t="inlineStr">
        <is>
          <t>2026/27</t>
        </is>
      </c>
      <c r="C992" s="231" t="n">
        <v>46183</v>
      </c>
      <c r="D992" s="169" t="inlineStr">
        <is>
          <t>2022</t>
        </is>
      </c>
      <c r="E992" s="169" t="inlineStr">
        <is>
          <t>COMPRA</t>
        </is>
      </c>
      <c r="F992" s="169" t="inlineStr">
        <is>
          <t>El Molle</t>
        </is>
      </c>
      <c r="G992" s="169" t="inlineStr">
        <is>
          <t>OROGRANDE - 2007 (8,11 Ha.)</t>
        </is>
      </c>
      <c r="H992" s="169" t="n"/>
      <c r="I992" s="169" t="n"/>
      <c r="J992" s="169" t="inlineStr">
        <is>
          <t>MANTENCION MAQUINARIAS</t>
        </is>
      </c>
      <c r="K992" s="169" t="inlineStr">
        <is>
          <t>ELMO. SAME FRUTTETO EM (13001)</t>
        </is>
      </c>
      <c r="L992" s="169" t="inlineStr">
        <is>
          <t>O/001728 MANTENCION</t>
        </is>
      </c>
      <c r="M992" s="169" t="n"/>
      <c r="N992" s="169" t="inlineStr">
        <is>
          <t>.   .   -</t>
        </is>
      </c>
      <c r="O992" s="169" t="inlineStr">
        <is>
          <t>JUNIO</t>
        </is>
      </c>
      <c r="P992" s="169" t="n">
        <v>22</v>
      </c>
      <c r="Q992" s="171" t="n">
        <v>1392300</v>
      </c>
      <c r="R992" s="169" t="n"/>
      <c r="S992" s="171" t="n">
        <v>1392300</v>
      </c>
      <c r="T992" s="169" t="inlineStr">
        <is>
          <t>CLP</t>
        </is>
      </c>
      <c r="U992" s="169" t="inlineStr">
        <is>
          <t>Carga LH 18-06-26</t>
        </is>
      </c>
      <c r="V992" s="169" t="inlineStr">
        <is>
          <t>2026-06-18</t>
        </is>
      </c>
    </row>
    <row r="993">
      <c r="A993" s="169" t="inlineStr">
        <is>
          <t>CR-0990</t>
        </is>
      </c>
      <c r="B993" s="169" t="inlineStr">
        <is>
          <t>2026/27</t>
        </is>
      </c>
      <c r="C993" s="231" t="n">
        <v>46183</v>
      </c>
      <c r="D993" s="169" t="inlineStr">
        <is>
          <t>383</t>
        </is>
      </c>
      <c r="E993" s="169" t="inlineStr">
        <is>
          <t>COMPRA</t>
        </is>
      </c>
      <c r="F993" s="169" t="inlineStr">
        <is>
          <t>El Molle</t>
        </is>
      </c>
      <c r="G993" s="169" t="inlineStr">
        <is>
          <t>ARRUFATINA - 2017 (5,74 Ha.)</t>
        </is>
      </c>
      <c r="H993" s="169" t="n"/>
      <c r="I993" s="169" t="n"/>
      <c r="J993" s="169" t="inlineStr">
        <is>
          <t>LABORES OPERACIONALES</t>
        </is>
      </c>
      <c r="K993" s="169" t="inlineStr">
        <is>
          <t>COSECHA</t>
        </is>
      </c>
      <c r="L993" s="169" t="inlineStr">
        <is>
          <t>SERV.CONTRATISTA</t>
        </is>
      </c>
      <c r="M993" s="169" t="n"/>
      <c r="N993" s="169" t="inlineStr">
        <is>
          <t>.   .   -</t>
        </is>
      </c>
      <c r="O993" s="169" t="inlineStr">
        <is>
          <t>JUNIO</t>
        </is>
      </c>
      <c r="P993" s="169" t="n">
        <v>22</v>
      </c>
      <c r="Q993" s="171" t="n">
        <v>1364260</v>
      </c>
      <c r="R993" s="169" t="n"/>
      <c r="S993" s="171" t="n">
        <v>1364260</v>
      </c>
      <c r="T993" s="169" t="inlineStr">
        <is>
          <t>CLP</t>
        </is>
      </c>
      <c r="U993" s="169" t="inlineStr">
        <is>
          <t>Carga LH 18-06-26</t>
        </is>
      </c>
      <c r="V993" s="169" t="inlineStr">
        <is>
          <t>2026-06-18</t>
        </is>
      </c>
    </row>
    <row r="994">
      <c r="A994" s="169" t="inlineStr">
        <is>
          <t>CR-0991</t>
        </is>
      </c>
      <c r="B994" s="169" t="inlineStr">
        <is>
          <t>2026/27</t>
        </is>
      </c>
      <c r="C994" s="231" t="n">
        <v>46183</v>
      </c>
      <c r="D994" s="169" t="inlineStr">
        <is>
          <t>383</t>
        </is>
      </c>
      <c r="E994" s="169" t="inlineStr">
        <is>
          <t>COMPRA</t>
        </is>
      </c>
      <c r="F994" s="169" t="inlineStr">
        <is>
          <t>El Molle</t>
        </is>
      </c>
      <c r="G994" s="169" t="inlineStr">
        <is>
          <t>OROGRANDE - 2007 (8,11 Ha.)</t>
        </is>
      </c>
      <c r="H994" s="169" t="n"/>
      <c r="I994" s="169" t="n"/>
      <c r="J994" s="169" t="inlineStr">
        <is>
          <t>LABORES OPERACIONALES</t>
        </is>
      </c>
      <c r="K994" s="169" t="inlineStr">
        <is>
          <t>COSECHA</t>
        </is>
      </c>
      <c r="L994" s="169" t="inlineStr">
        <is>
          <t>SERV.CONTRATISTA</t>
        </is>
      </c>
      <c r="M994" s="169" t="n"/>
      <c r="N994" s="169" t="inlineStr">
        <is>
          <t>.   .   -</t>
        </is>
      </c>
      <c r="O994" s="169" t="inlineStr">
        <is>
          <t>JUNIO</t>
        </is>
      </c>
      <c r="P994" s="169" t="n">
        <v>22</v>
      </c>
      <c r="Q994" s="171" t="n">
        <v>4257870</v>
      </c>
      <c r="R994" s="169" t="n"/>
      <c r="S994" s="171" t="n">
        <v>4257870</v>
      </c>
      <c r="T994" s="169" t="inlineStr">
        <is>
          <t>CLP</t>
        </is>
      </c>
      <c r="U994" s="169" t="inlineStr">
        <is>
          <t>Carga LH 18-06-26</t>
        </is>
      </c>
      <c r="V994" s="169" t="inlineStr">
        <is>
          <t>2026-06-18</t>
        </is>
      </c>
    </row>
    <row r="995">
      <c r="A995" s="169" t="inlineStr">
        <is>
          <t>CR-0992</t>
        </is>
      </c>
      <c r="B995" s="169" t="inlineStr">
        <is>
          <t>2026/27</t>
        </is>
      </c>
      <c r="C995" s="231" t="n">
        <v>46183</v>
      </c>
      <c r="D995" s="169" t="inlineStr">
        <is>
          <t>8</t>
        </is>
      </c>
      <c r="E995" s="169" t="inlineStr">
        <is>
          <t>COMPRA</t>
        </is>
      </c>
      <c r="F995" s="169" t="inlineStr">
        <is>
          <t>El Molle</t>
        </is>
      </c>
      <c r="G995" s="169" t="inlineStr">
        <is>
          <t>ARRUFATINA - 2017 (5,74 Ha.)</t>
        </is>
      </c>
      <c r="H995" s="169" t="n"/>
      <c r="I995" s="169" t="n"/>
      <c r="J995" s="169" t="inlineStr">
        <is>
          <t>LABORES OPERACIONALES</t>
        </is>
      </c>
      <c r="K995" s="169" t="inlineStr">
        <is>
          <t>COSECHA</t>
        </is>
      </c>
      <c r="L995" s="169" t="inlineStr">
        <is>
          <t>SERV.CONTRATISTA</t>
        </is>
      </c>
      <c r="M995" s="169" t="n"/>
      <c r="N995" s="169" t="inlineStr">
        <is>
          <t>.   .   -</t>
        </is>
      </c>
      <c r="O995" s="169" t="inlineStr">
        <is>
          <t>JUNIO</t>
        </is>
      </c>
      <c r="P995" s="169" t="n">
        <v>22</v>
      </c>
      <c r="Q995" s="171" t="n">
        <v>2519880</v>
      </c>
      <c r="R995" s="169" t="n"/>
      <c r="S995" s="171" t="n">
        <v>2519880</v>
      </c>
      <c r="T995" s="169" t="inlineStr">
        <is>
          <t>CLP</t>
        </is>
      </c>
      <c r="U995" s="169" t="inlineStr">
        <is>
          <t>Carga LH 18-06-26</t>
        </is>
      </c>
      <c r="V995" s="169" t="inlineStr">
        <is>
          <t>2026-06-18</t>
        </is>
      </c>
    </row>
    <row r="996">
      <c r="A996" s="169" t="inlineStr">
        <is>
          <t>CR-0993</t>
        </is>
      </c>
      <c r="B996" s="169" t="inlineStr">
        <is>
          <t>2026/27</t>
        </is>
      </c>
      <c r="C996" s="231" t="n">
        <v>46183</v>
      </c>
      <c r="D996" s="169" t="inlineStr">
        <is>
          <t>8</t>
        </is>
      </c>
      <c r="E996" s="169" t="inlineStr">
        <is>
          <t>COMPRA</t>
        </is>
      </c>
      <c r="F996" s="169" t="inlineStr">
        <is>
          <t>Mega Catalina</t>
        </is>
      </c>
      <c r="G996" s="169" t="inlineStr">
        <is>
          <t>ORONULES - 2019 (2,5 Ha.)</t>
        </is>
      </c>
      <c r="H996" s="169" t="n"/>
      <c r="I996" s="169" t="n"/>
      <c r="J996" s="169" t="inlineStr">
        <is>
          <t>LABORES OPERACIONALES</t>
        </is>
      </c>
      <c r="K996" s="169" t="inlineStr">
        <is>
          <t>COSECHA</t>
        </is>
      </c>
      <c r="L996" s="169" t="inlineStr">
        <is>
          <t>SERV.CONTRATISTA</t>
        </is>
      </c>
      <c r="M996" s="169" t="n"/>
      <c r="N996" s="169" t="inlineStr">
        <is>
          <t>.   .   -</t>
        </is>
      </c>
      <c r="O996" s="169" t="inlineStr">
        <is>
          <t>JUNIO</t>
        </is>
      </c>
      <c r="P996" s="169" t="n">
        <v>22</v>
      </c>
      <c r="Q996" s="171" t="n">
        <v>304590</v>
      </c>
      <c r="R996" s="169" t="n"/>
      <c r="S996" s="171" t="n">
        <v>304590</v>
      </c>
      <c r="T996" s="169" t="inlineStr">
        <is>
          <t>CLP</t>
        </is>
      </c>
      <c r="U996" s="169" t="inlineStr">
        <is>
          <t>Carga LH 18-06-26</t>
        </is>
      </c>
      <c r="V996" s="169" t="inlineStr">
        <is>
          <t>2026-06-18</t>
        </is>
      </c>
    </row>
    <row r="997">
      <c r="A997" s="169" t="inlineStr">
        <is>
          <t>CR-0994</t>
        </is>
      </c>
      <c r="B997" s="169" t="inlineStr">
        <is>
          <t>2026/27</t>
        </is>
      </c>
      <c r="C997" s="231" t="n">
        <v>46183</v>
      </c>
      <c r="D997" s="169" t="inlineStr">
        <is>
          <t>8</t>
        </is>
      </c>
      <c r="E997" s="169" t="inlineStr">
        <is>
          <t>COMPRA</t>
        </is>
      </c>
      <c r="F997" s="169" t="inlineStr">
        <is>
          <t>El Molle</t>
        </is>
      </c>
      <c r="G997" s="169" t="inlineStr">
        <is>
          <t>OROGRANDE - 2007 (8,11 Ha.)</t>
        </is>
      </c>
      <c r="H997" s="169" t="n"/>
      <c r="I997" s="169" t="n"/>
      <c r="J997" s="169" t="inlineStr">
        <is>
          <t>LABORES OPERACIONALES</t>
        </is>
      </c>
      <c r="K997" s="169" t="inlineStr">
        <is>
          <t>COSECHA</t>
        </is>
      </c>
      <c r="L997" s="169" t="inlineStr">
        <is>
          <t>SERV.CONTRATISTA</t>
        </is>
      </c>
      <c r="M997" s="169" t="n"/>
      <c r="N997" s="169" t="inlineStr">
        <is>
          <t>.   .   -</t>
        </is>
      </c>
      <c r="O997" s="169" t="inlineStr">
        <is>
          <t>JUNIO</t>
        </is>
      </c>
      <c r="P997" s="169" t="n">
        <v>22</v>
      </c>
      <c r="Q997" s="171" t="n">
        <v>8936425</v>
      </c>
      <c r="R997" s="169" t="n"/>
      <c r="S997" s="171" t="n">
        <v>8936425</v>
      </c>
      <c r="T997" s="169" t="inlineStr">
        <is>
          <t>CLP</t>
        </is>
      </c>
      <c r="U997" s="169" t="inlineStr">
        <is>
          <t>Carga LH 18-06-26</t>
        </is>
      </c>
      <c r="V997" s="169" t="inlineStr">
        <is>
          <t>2026-06-18</t>
        </is>
      </c>
    </row>
    <row r="998">
      <c r="A998" s="169" t="inlineStr">
        <is>
          <t>CR-0995</t>
        </is>
      </c>
      <c r="B998" s="169" t="inlineStr">
        <is>
          <t>2026/27</t>
        </is>
      </c>
      <c r="C998" s="231" t="n">
        <v>46183</v>
      </c>
      <c r="D998" s="169" t="inlineStr"/>
      <c r="E998" s="169" t="inlineStr">
        <is>
          <t>COMPRA</t>
        </is>
      </c>
      <c r="F998" s="169" t="inlineStr">
        <is>
          <t>Mega Catalina</t>
        </is>
      </c>
      <c r="G998" s="169" t="inlineStr">
        <is>
          <t>EUREKA - 1999 (22,5 Ha.)</t>
        </is>
      </c>
      <c r="H998" s="169" t="n"/>
      <c r="I998" s="169" t="n"/>
      <c r="J998" s="169" t="inlineStr">
        <is>
          <t>COMBUSTIBLE</t>
        </is>
      </c>
      <c r="K998" s="169" t="inlineStr">
        <is>
          <t>SCTA. GRUA HORQUILLA ARRIENDO</t>
        </is>
      </c>
      <c r="L998" s="169" t="inlineStr">
        <is>
          <t>O/001729 GAS ENV. 1</t>
        </is>
      </c>
      <c r="M998" s="169" t="n"/>
      <c r="N998" s="169" t="inlineStr">
        <is>
          <t>.   .   -</t>
        </is>
      </c>
      <c r="O998" s="169" t="inlineStr">
        <is>
          <t>JUNIO</t>
        </is>
      </c>
      <c r="P998" s="169" t="n">
        <v>22</v>
      </c>
      <c r="Q998" s="171" t="n">
        <v>41858</v>
      </c>
      <c r="R998" s="169" t="n"/>
      <c r="S998" s="171" t="n">
        <v>41858</v>
      </c>
      <c r="T998" s="169" t="inlineStr">
        <is>
          <t>CLP</t>
        </is>
      </c>
      <c r="U998" s="169" t="inlineStr">
        <is>
          <t>Carga LH 18-06-26</t>
        </is>
      </c>
      <c r="V998" s="169" t="inlineStr">
        <is>
          <t>2026-06-18</t>
        </is>
      </c>
    </row>
    <row r="999">
      <c r="A999" s="169" t="inlineStr">
        <is>
          <t>CR-0996</t>
        </is>
      </c>
      <c r="B999" s="169" t="inlineStr">
        <is>
          <t>2026/27</t>
        </is>
      </c>
      <c r="C999" s="231" t="n">
        <v>46183</v>
      </c>
      <c r="D999" s="169" t="inlineStr"/>
      <c r="E999" s="169" t="inlineStr">
        <is>
          <t>COMPRA</t>
        </is>
      </c>
      <c r="F999" s="169" t="inlineStr">
        <is>
          <t>Mega Catalina</t>
        </is>
      </c>
      <c r="G999" s="169" t="inlineStr">
        <is>
          <t>EUREKA - 2016 (14,4 Ha.)</t>
        </is>
      </c>
      <c r="H999" s="169" t="n"/>
      <c r="I999" s="169" t="n"/>
      <c r="J999" s="169" t="inlineStr">
        <is>
          <t>COMBUSTIBLE</t>
        </is>
      </c>
      <c r="K999" s="169" t="inlineStr">
        <is>
          <t>SCTA. GRUA HORQUILLA ARRIENDO</t>
        </is>
      </c>
      <c r="L999" s="169" t="inlineStr">
        <is>
          <t>O/001729 GAS ENV. 1</t>
        </is>
      </c>
      <c r="M999" s="169" t="n"/>
      <c r="N999" s="169" t="inlineStr">
        <is>
          <t>.   .   -</t>
        </is>
      </c>
      <c r="O999" s="169" t="inlineStr">
        <is>
          <t>JUNIO</t>
        </is>
      </c>
      <c r="P999" s="169" t="n">
        <v>22</v>
      </c>
      <c r="Q999" s="171" t="n">
        <v>20929</v>
      </c>
      <c r="R999" s="169" t="n"/>
      <c r="S999" s="171" t="n">
        <v>20929</v>
      </c>
      <c r="T999" s="169" t="inlineStr">
        <is>
          <t>CLP</t>
        </is>
      </c>
      <c r="U999" s="169" t="inlineStr">
        <is>
          <t>Carga LH 18-06-26</t>
        </is>
      </c>
      <c r="V999" s="169" t="inlineStr">
        <is>
          <t>2026-06-18</t>
        </is>
      </c>
    </row>
    <row r="1000">
      <c r="A1000" s="169" t="inlineStr">
        <is>
          <t>CR-0997</t>
        </is>
      </c>
      <c r="B1000" s="169" t="inlineStr">
        <is>
          <t>2026/27</t>
        </is>
      </c>
      <c r="C1000" s="231" t="n">
        <v>46183</v>
      </c>
      <c r="D1000" s="169" t="inlineStr"/>
      <c r="E1000" s="169" t="inlineStr">
        <is>
          <t>COMPRA</t>
        </is>
      </c>
      <c r="F1000" s="169" t="inlineStr">
        <is>
          <t>Mega Catalina</t>
        </is>
      </c>
      <c r="G1000" s="169" t="inlineStr">
        <is>
          <t>FINO 49 - 1999 (7,7 Ha.)</t>
        </is>
      </c>
      <c r="H1000" s="169" t="n"/>
      <c r="I1000" s="169" t="n"/>
      <c r="J1000" s="169" t="inlineStr">
        <is>
          <t>COMBUSTIBLE</t>
        </is>
      </c>
      <c r="K1000" s="169" t="inlineStr">
        <is>
          <t>SCTA. GRUA HORQUILLA ARRIENDO</t>
        </is>
      </c>
      <c r="L1000" s="169" t="inlineStr">
        <is>
          <t>O/001729 GAS ENV. 1</t>
        </is>
      </c>
      <c r="M1000" s="169" t="n"/>
      <c r="N1000" s="169" t="inlineStr">
        <is>
          <t>.   .   -</t>
        </is>
      </c>
      <c r="O1000" s="169" t="inlineStr">
        <is>
          <t>JUNIO</t>
        </is>
      </c>
      <c r="P1000" s="169" t="n">
        <v>22</v>
      </c>
      <c r="Q1000" s="171" t="n">
        <v>20927</v>
      </c>
      <c r="R1000" s="169" t="n"/>
      <c r="S1000" s="171" t="n">
        <v>20927</v>
      </c>
      <c r="T1000" s="169" t="inlineStr">
        <is>
          <t>CLP</t>
        </is>
      </c>
      <c r="U1000" s="169" t="inlineStr">
        <is>
          <t>Carga LH 18-06-26</t>
        </is>
      </c>
      <c r="V1000" s="169" t="inlineStr">
        <is>
          <t>2026-06-18</t>
        </is>
      </c>
    </row>
    <row r="1001">
      <c r="A1001" s="169" t="inlineStr">
        <is>
          <t>CR-0998</t>
        </is>
      </c>
      <c r="B1001" s="169" t="inlineStr">
        <is>
          <t>2026/27</t>
        </is>
      </c>
      <c r="C1001" s="231" t="n">
        <v>46183</v>
      </c>
      <c r="D1001" s="169" t="inlineStr"/>
      <c r="E1001" s="169" t="inlineStr">
        <is>
          <t>COMPRA</t>
        </is>
      </c>
      <c r="F1001" s="169" t="inlineStr">
        <is>
          <t>Mega Catalina</t>
        </is>
      </c>
      <c r="G1001" s="169" t="inlineStr">
        <is>
          <t>EUREKA - 1999 (22,5 Ha.)</t>
        </is>
      </c>
      <c r="H1001" s="169" t="n"/>
      <c r="I1001" s="169" t="n"/>
      <c r="J1001" s="169" t="inlineStr">
        <is>
          <t>ASESORIAS</t>
        </is>
      </c>
      <c r="K1001" s="169" t="inlineStr">
        <is>
          <t>CONTROL PLAGA</t>
        </is>
      </c>
      <c r="L1001" s="169" t="inlineStr">
        <is>
          <t>O/001731 CONTROL PL</t>
        </is>
      </c>
      <c r="M1001" s="169" t="n"/>
      <c r="N1001" s="169" t="inlineStr">
        <is>
          <t>.   .   -</t>
        </is>
      </c>
      <c r="O1001" s="169" t="inlineStr">
        <is>
          <t>JUNIO</t>
        </is>
      </c>
      <c r="P1001" s="169" t="n">
        <v>22</v>
      </c>
      <c r="Q1001" s="171" t="n">
        <v>22802</v>
      </c>
      <c r="R1001" s="169" t="n"/>
      <c r="S1001" s="171" t="n">
        <v>22802</v>
      </c>
      <c r="T1001" s="169" t="inlineStr">
        <is>
          <t>CLP</t>
        </is>
      </c>
      <c r="U1001" s="169" t="inlineStr">
        <is>
          <t>Carga LH 18-06-26</t>
        </is>
      </c>
      <c r="V1001" s="169" t="inlineStr">
        <is>
          <t>2026-06-18</t>
        </is>
      </c>
    </row>
    <row r="1002">
      <c r="A1002" s="169" t="inlineStr">
        <is>
          <t>CR-0999</t>
        </is>
      </c>
      <c r="B1002" s="169" t="inlineStr">
        <is>
          <t>2026/27</t>
        </is>
      </c>
      <c r="C1002" s="231" t="n">
        <v>46183</v>
      </c>
      <c r="D1002" s="169" t="inlineStr"/>
      <c r="E1002" s="169" t="inlineStr">
        <is>
          <t>COMPRA</t>
        </is>
      </c>
      <c r="F1002" s="169" t="inlineStr">
        <is>
          <t>Mega Catalina</t>
        </is>
      </c>
      <c r="G1002" s="169" t="inlineStr">
        <is>
          <t>EUREKA - 1999 (10,6 Ha.)</t>
        </is>
      </c>
      <c r="H1002" s="169" t="n"/>
      <c r="I1002" s="169" t="n"/>
      <c r="J1002" s="169" t="inlineStr">
        <is>
          <t>ASESORIAS</t>
        </is>
      </c>
      <c r="K1002" s="169" t="inlineStr">
        <is>
          <t>CONTROL PLAGA</t>
        </is>
      </c>
      <c r="L1002" s="169" t="inlineStr">
        <is>
          <t>O/001731 CONTROL PL</t>
        </is>
      </c>
      <c r="M1002" s="169" t="n"/>
      <c r="N1002" s="169" t="inlineStr">
        <is>
          <t>.   .   -</t>
        </is>
      </c>
      <c r="O1002" s="169" t="inlineStr">
        <is>
          <t>JUNIO</t>
        </is>
      </c>
      <c r="P1002" s="169" t="n">
        <v>22</v>
      </c>
      <c r="Q1002" s="171" t="n">
        <v>15199</v>
      </c>
      <c r="R1002" s="169" t="n"/>
      <c r="S1002" s="171" t="n">
        <v>15199</v>
      </c>
      <c r="T1002" s="169" t="inlineStr">
        <is>
          <t>CLP</t>
        </is>
      </c>
      <c r="U1002" s="169" t="inlineStr">
        <is>
          <t>Carga LH 18-06-26</t>
        </is>
      </c>
      <c r="V1002" s="169" t="inlineStr">
        <is>
          <t>2026-06-18</t>
        </is>
      </c>
    </row>
    <row r="1003">
      <c r="A1003" s="169" t="inlineStr">
        <is>
          <t>CR-1000</t>
        </is>
      </c>
      <c r="B1003" s="169" t="inlineStr">
        <is>
          <t>2026/27</t>
        </is>
      </c>
      <c r="C1003" s="231" t="n">
        <v>46183</v>
      </c>
      <c r="D1003" s="169" t="inlineStr"/>
      <c r="E1003" s="169" t="inlineStr">
        <is>
          <t>COMPRA</t>
        </is>
      </c>
      <c r="F1003" s="169" t="inlineStr">
        <is>
          <t>Mega Catalina</t>
        </is>
      </c>
      <c r="G1003" s="169" t="inlineStr">
        <is>
          <t>EUREKA - 2016 (14,4 Ha.)</t>
        </is>
      </c>
      <c r="H1003" s="169" t="n"/>
      <c r="I1003" s="169" t="n"/>
      <c r="J1003" s="169" t="inlineStr">
        <is>
          <t>ASESORIAS</t>
        </is>
      </c>
      <c r="K1003" s="169" t="inlineStr">
        <is>
          <t>CONTROL PLAGA</t>
        </is>
      </c>
      <c r="L1003" s="169" t="inlineStr">
        <is>
          <t>O/001731 CONTROL PL</t>
        </is>
      </c>
      <c r="M1003" s="169" t="n"/>
      <c r="N1003" s="169" t="inlineStr">
        <is>
          <t>.   .   -</t>
        </is>
      </c>
      <c r="O1003" s="169" t="inlineStr">
        <is>
          <t>JUNIO</t>
        </is>
      </c>
      <c r="P1003" s="169" t="n">
        <v>22</v>
      </c>
      <c r="Q1003" s="171" t="n">
        <v>7787</v>
      </c>
      <c r="R1003" s="169" t="n"/>
      <c r="S1003" s="171" t="n">
        <v>7787</v>
      </c>
      <c r="T1003" s="169" t="inlineStr">
        <is>
          <t>CLP</t>
        </is>
      </c>
      <c r="U1003" s="169" t="inlineStr">
        <is>
          <t>Carga LH 18-06-26</t>
        </is>
      </c>
      <c r="V1003" s="169" t="inlineStr">
        <is>
          <t>2026-06-18</t>
        </is>
      </c>
    </row>
    <row r="1004">
      <c r="A1004" s="169" t="inlineStr">
        <is>
          <t>CR-1001</t>
        </is>
      </c>
      <c r="B1004" s="169" t="inlineStr">
        <is>
          <t>2026/27</t>
        </is>
      </c>
      <c r="C1004" s="231" t="n">
        <v>46183</v>
      </c>
      <c r="D1004" s="169" t="inlineStr"/>
      <c r="E1004" s="169" t="inlineStr">
        <is>
          <t>COMPRA</t>
        </is>
      </c>
      <c r="F1004" s="169" t="inlineStr">
        <is>
          <t>Mega Catalina</t>
        </is>
      </c>
      <c r="G1004" s="169" t="inlineStr">
        <is>
          <t>FINO 49 - 1999 (7,7 Ha.)</t>
        </is>
      </c>
      <c r="H1004" s="169" t="n"/>
      <c r="I1004" s="169" t="n"/>
      <c r="J1004" s="169" t="inlineStr">
        <is>
          <t>ASESORIAS</t>
        </is>
      </c>
      <c r="K1004" s="169" t="inlineStr">
        <is>
          <t>CONTROL PLAGA</t>
        </is>
      </c>
      <c r="L1004" s="169" t="inlineStr">
        <is>
          <t>O/001731 CONTROL PL</t>
        </is>
      </c>
      <c r="M1004" s="169" t="n"/>
      <c r="N1004" s="169" t="inlineStr">
        <is>
          <t>.   .   -</t>
        </is>
      </c>
      <c r="O1004" s="169" t="inlineStr">
        <is>
          <t>JUNIO</t>
        </is>
      </c>
      <c r="P1004" s="169" t="n">
        <v>22</v>
      </c>
      <c r="Q1004" s="171" t="n">
        <v>14562</v>
      </c>
      <c r="R1004" s="169" t="n"/>
      <c r="S1004" s="171" t="n">
        <v>14562</v>
      </c>
      <c r="T1004" s="169" t="inlineStr">
        <is>
          <t>CLP</t>
        </is>
      </c>
      <c r="U1004" s="169" t="inlineStr">
        <is>
          <t>Carga LH 18-06-26</t>
        </is>
      </c>
      <c r="V1004" s="169" t="inlineStr">
        <is>
          <t>2026-06-18</t>
        </is>
      </c>
    </row>
    <row r="1005">
      <c r="A1005" s="169" t="inlineStr">
        <is>
          <t>CR-1002</t>
        </is>
      </c>
      <c r="B1005" s="169" t="inlineStr">
        <is>
          <t>2026/27</t>
        </is>
      </c>
      <c r="C1005" s="231" t="n">
        <v>46183</v>
      </c>
      <c r="D1005" s="169" t="inlineStr"/>
      <c r="E1005" s="169" t="inlineStr">
        <is>
          <t>COMPRA</t>
        </is>
      </c>
      <c r="F1005" s="169" t="inlineStr">
        <is>
          <t>Mega Catalina</t>
        </is>
      </c>
      <c r="G1005" s="169" t="inlineStr">
        <is>
          <t>NARANJA CAMBRIA - 2009 (4,2 Ha.)</t>
        </is>
      </c>
      <c r="H1005" s="169" t="n"/>
      <c r="I1005" s="169" t="n"/>
      <c r="J1005" s="169" t="inlineStr">
        <is>
          <t>ASESORIAS</t>
        </is>
      </c>
      <c r="K1005" s="169" t="inlineStr">
        <is>
          <t>CONTROL PLAGA</t>
        </is>
      </c>
      <c r="L1005" s="169" t="inlineStr">
        <is>
          <t>O/001731 CONTROL PL</t>
        </is>
      </c>
      <c r="M1005" s="169" t="n"/>
      <c r="N1005" s="169" t="inlineStr">
        <is>
          <t>.   .   -</t>
        </is>
      </c>
      <c r="O1005" s="169" t="inlineStr">
        <is>
          <t>JUNIO</t>
        </is>
      </c>
      <c r="P1005" s="169" t="n">
        <v>22</v>
      </c>
      <c r="Q1005" s="171" t="n">
        <v>4247</v>
      </c>
      <c r="R1005" s="169" t="n"/>
      <c r="S1005" s="171" t="n">
        <v>4247</v>
      </c>
      <c r="T1005" s="169" t="inlineStr">
        <is>
          <t>CLP</t>
        </is>
      </c>
      <c r="U1005" s="169" t="inlineStr">
        <is>
          <t>Carga LH 18-06-26</t>
        </is>
      </c>
      <c r="V1005" s="169" t="inlineStr">
        <is>
          <t>2026-06-18</t>
        </is>
      </c>
    </row>
    <row r="1006">
      <c r="A1006" s="169" t="inlineStr">
        <is>
          <t>CR-1003</t>
        </is>
      </c>
      <c r="B1006" s="169" t="inlineStr">
        <is>
          <t>2026/27</t>
        </is>
      </c>
      <c r="C1006" s="231" t="n">
        <v>46183</v>
      </c>
      <c r="D1006" s="169" t="inlineStr"/>
      <c r="E1006" s="169" t="inlineStr">
        <is>
          <t>COMPRA</t>
        </is>
      </c>
      <c r="F1006" s="169" t="inlineStr">
        <is>
          <t>Mega Catalina</t>
        </is>
      </c>
      <c r="G1006" s="169" t="inlineStr">
        <is>
          <t>MURCOTT - 2007 (21 Ha.)</t>
        </is>
      </c>
      <c r="H1006" s="169" t="n"/>
      <c r="I1006" s="169" t="n"/>
      <c r="J1006" s="169" t="inlineStr">
        <is>
          <t>ASESORIAS</t>
        </is>
      </c>
      <c r="K1006" s="169" t="inlineStr">
        <is>
          <t>CONTROL PLAGA</t>
        </is>
      </c>
      <c r="L1006" s="169" t="inlineStr">
        <is>
          <t>O/001731 CONTROL PL</t>
        </is>
      </c>
      <c r="M1006" s="169" t="n"/>
      <c r="N1006" s="169" t="inlineStr">
        <is>
          <t>.   .   -</t>
        </is>
      </c>
      <c r="O1006" s="169" t="inlineStr">
        <is>
          <t>JUNIO</t>
        </is>
      </c>
      <c r="P1006" s="169" t="n">
        <v>22</v>
      </c>
      <c r="Q1006" s="171" t="n">
        <v>21236</v>
      </c>
      <c r="R1006" s="169" t="n"/>
      <c r="S1006" s="171" t="n">
        <v>21236</v>
      </c>
      <c r="T1006" s="169" t="inlineStr">
        <is>
          <t>CLP</t>
        </is>
      </c>
      <c r="U1006" s="169" t="inlineStr">
        <is>
          <t>Carga LH 18-06-26</t>
        </is>
      </c>
      <c r="V1006" s="169" t="inlineStr">
        <is>
          <t>2026-06-18</t>
        </is>
      </c>
    </row>
    <row r="1007">
      <c r="A1007" s="169" t="inlineStr">
        <is>
          <t>CR-1004</t>
        </is>
      </c>
      <c r="B1007" s="169" t="inlineStr">
        <is>
          <t>2026/27</t>
        </is>
      </c>
      <c r="C1007" s="231" t="n">
        <v>46183</v>
      </c>
      <c r="D1007" s="169" t="inlineStr"/>
      <c r="E1007" s="169" t="inlineStr">
        <is>
          <t>COMPRA</t>
        </is>
      </c>
      <c r="F1007" s="169" t="inlineStr">
        <is>
          <t>El Molle</t>
        </is>
      </c>
      <c r="G1007" s="169" t="inlineStr">
        <is>
          <t>ARRUFATINA - 2017 (5,74 Ha.)</t>
        </is>
      </c>
      <c r="H1007" s="169" t="n"/>
      <c r="I1007" s="169" t="n"/>
      <c r="J1007" s="169" t="inlineStr">
        <is>
          <t>ASESORIAS</t>
        </is>
      </c>
      <c r="K1007" s="169" t="inlineStr">
        <is>
          <t>CONTROL PLAGA</t>
        </is>
      </c>
      <c r="L1007" s="169" t="inlineStr">
        <is>
          <t>O/001731 CONTROL PL</t>
        </is>
      </c>
      <c r="M1007" s="169" t="n"/>
      <c r="N1007" s="169" t="inlineStr">
        <is>
          <t>.   .   -</t>
        </is>
      </c>
      <c r="O1007" s="169" t="inlineStr">
        <is>
          <t>JUNIO</t>
        </is>
      </c>
      <c r="P1007" s="169" t="n">
        <v>22</v>
      </c>
      <c r="Q1007" s="171" t="n">
        <v>16127</v>
      </c>
      <c r="R1007" s="169" t="n"/>
      <c r="S1007" s="171" t="n">
        <v>16127</v>
      </c>
      <c r="T1007" s="169" t="inlineStr">
        <is>
          <t>CLP</t>
        </is>
      </c>
      <c r="U1007" s="169" t="inlineStr">
        <is>
          <t>Carga LH 18-06-26</t>
        </is>
      </c>
      <c r="V1007" s="169" t="inlineStr">
        <is>
          <t>2026-06-18</t>
        </is>
      </c>
    </row>
    <row r="1008">
      <c r="A1008" s="169" t="inlineStr">
        <is>
          <t>CR-1005</t>
        </is>
      </c>
      <c r="B1008" s="169" t="inlineStr">
        <is>
          <t>2026/27</t>
        </is>
      </c>
      <c r="C1008" s="231" t="n">
        <v>46183</v>
      </c>
      <c r="D1008" s="169" t="inlineStr"/>
      <c r="E1008" s="169" t="inlineStr">
        <is>
          <t>COMPRA</t>
        </is>
      </c>
      <c r="F1008" s="169" t="inlineStr">
        <is>
          <t>El Molle</t>
        </is>
      </c>
      <c r="G1008" s="169" t="inlineStr">
        <is>
          <t>ORONULES - 2017 (2,85 Ha.)</t>
        </is>
      </c>
      <c r="H1008" s="169" t="n"/>
      <c r="I1008" s="169" t="n"/>
      <c r="J1008" s="169" t="inlineStr">
        <is>
          <t>ASESORIAS</t>
        </is>
      </c>
      <c r="K1008" s="169" t="inlineStr">
        <is>
          <t>CONTROL PLAGA</t>
        </is>
      </c>
      <c r="L1008" s="169" t="inlineStr">
        <is>
          <t>O/001731 CONTROL PL</t>
        </is>
      </c>
      <c r="M1008" s="169" t="n"/>
      <c r="N1008" s="169" t="inlineStr">
        <is>
          <t>.   .   -</t>
        </is>
      </c>
      <c r="O1008" s="169" t="inlineStr">
        <is>
          <t>JUNIO</t>
        </is>
      </c>
      <c r="P1008" s="169" t="n">
        <v>22</v>
      </c>
      <c r="Q1008" s="171" t="n">
        <v>8007</v>
      </c>
      <c r="R1008" s="169" t="n"/>
      <c r="S1008" s="171" t="n">
        <v>8007</v>
      </c>
      <c r="T1008" s="169" t="inlineStr">
        <is>
          <t>CLP</t>
        </is>
      </c>
      <c r="U1008" s="169" t="inlineStr">
        <is>
          <t>Carga LH 18-06-26</t>
        </is>
      </c>
      <c r="V1008" s="169" t="inlineStr">
        <is>
          <t>2026-06-18</t>
        </is>
      </c>
    </row>
    <row r="1009">
      <c r="A1009" s="169" t="inlineStr">
        <is>
          <t>CR-1006</t>
        </is>
      </c>
      <c r="B1009" s="169" t="inlineStr">
        <is>
          <t>2026/27</t>
        </is>
      </c>
      <c r="C1009" s="231" t="n">
        <v>46183</v>
      </c>
      <c r="D1009" s="169" t="inlineStr"/>
      <c r="E1009" s="169" t="inlineStr">
        <is>
          <t>COMPRA</t>
        </is>
      </c>
      <c r="F1009" s="169" t="inlineStr">
        <is>
          <t>Mega Catalina</t>
        </is>
      </c>
      <c r="G1009" s="169" t="inlineStr">
        <is>
          <t>ORONULES - 2019 (2,5 Ha.)</t>
        </is>
      </c>
      <c r="H1009" s="169" t="n"/>
      <c r="I1009" s="169" t="n"/>
      <c r="J1009" s="169" t="inlineStr">
        <is>
          <t>ASESORIAS</t>
        </is>
      </c>
      <c r="K1009" s="169" t="inlineStr">
        <is>
          <t>CONTROL PLAGA</t>
        </is>
      </c>
      <c r="L1009" s="169" t="inlineStr">
        <is>
          <t>O/001731 CONTROL PL</t>
        </is>
      </c>
      <c r="M1009" s="169" t="n"/>
      <c r="N1009" s="169" t="inlineStr">
        <is>
          <t>.   .   -</t>
        </is>
      </c>
      <c r="O1009" s="169" t="inlineStr">
        <is>
          <t>JUNIO</t>
        </is>
      </c>
      <c r="P1009" s="169" t="n">
        <v>22</v>
      </c>
      <c r="Q1009" s="171" t="n">
        <v>7024</v>
      </c>
      <c r="R1009" s="169" t="n"/>
      <c r="S1009" s="171" t="n">
        <v>7024</v>
      </c>
      <c r="T1009" s="169" t="inlineStr">
        <is>
          <t>CLP</t>
        </is>
      </c>
      <c r="U1009" s="169" t="inlineStr">
        <is>
          <t>Carga LH 18-06-26</t>
        </is>
      </c>
      <c r="V1009" s="169" t="inlineStr">
        <is>
          <t>2026-06-18</t>
        </is>
      </c>
    </row>
    <row r="1010">
      <c r="A1010" s="169" t="inlineStr">
        <is>
          <t>CR-1007</t>
        </is>
      </c>
      <c r="B1010" s="169" t="inlineStr">
        <is>
          <t>2026/27</t>
        </is>
      </c>
      <c r="C1010" s="231" t="n">
        <v>46183</v>
      </c>
      <c r="D1010" s="169" t="inlineStr"/>
      <c r="E1010" s="169" t="inlineStr">
        <is>
          <t>COMPRA</t>
        </is>
      </c>
      <c r="F1010" s="169" t="inlineStr">
        <is>
          <t>El Molle</t>
        </is>
      </c>
      <c r="G1010" s="169" t="inlineStr">
        <is>
          <t>OROGRANDE - 2007 (8,11 Ha.)</t>
        </is>
      </c>
      <c r="H1010" s="169" t="n"/>
      <c r="I1010" s="169" t="n"/>
      <c r="J1010" s="169" t="inlineStr">
        <is>
          <t>ASESORIAS</t>
        </is>
      </c>
      <c r="K1010" s="169" t="inlineStr">
        <is>
          <t>CONTROL PLAGA</t>
        </is>
      </c>
      <c r="L1010" s="169" t="inlineStr">
        <is>
          <t>O/001731 CONTROL PL</t>
        </is>
      </c>
      <c r="M1010" s="169" t="n"/>
      <c r="N1010" s="169" t="inlineStr">
        <is>
          <t>.   .   -</t>
        </is>
      </c>
      <c r="O1010" s="169" t="inlineStr">
        <is>
          <t>JUNIO</t>
        </is>
      </c>
      <c r="P1010" s="169" t="n">
        <v>22</v>
      </c>
      <c r="Q1010" s="171" t="n">
        <v>22786</v>
      </c>
      <c r="R1010" s="169" t="n"/>
      <c r="S1010" s="171" t="n">
        <v>22786</v>
      </c>
      <c r="T1010" s="169" t="inlineStr">
        <is>
          <t>CLP</t>
        </is>
      </c>
      <c r="U1010" s="169" t="inlineStr">
        <is>
          <t>Carga LH 18-06-26</t>
        </is>
      </c>
      <c r="V1010" s="169" t="inlineStr">
        <is>
          <t>2026-06-18</t>
        </is>
      </c>
    </row>
    <row r="1011">
      <c r="A1011" s="169" t="inlineStr">
        <is>
          <t>CR-1008</t>
        </is>
      </c>
      <c r="B1011" s="169" t="inlineStr">
        <is>
          <t>2026/27</t>
        </is>
      </c>
      <c r="C1011" s="231" t="n">
        <v>46183</v>
      </c>
      <c r="D1011" s="169" t="inlineStr"/>
      <c r="E1011" s="169" t="inlineStr">
        <is>
          <t>COMPRA</t>
        </is>
      </c>
      <c r="F1011" s="169" t="inlineStr">
        <is>
          <t>El Molle</t>
        </is>
      </c>
      <c r="G1011" s="169" t="inlineStr">
        <is>
          <t>WONDERFUL - 2002 (2,80 Ha.)</t>
        </is>
      </c>
      <c r="H1011" s="169" t="n"/>
      <c r="I1011" s="169" t="n"/>
      <c r="J1011" s="169" t="inlineStr">
        <is>
          <t>ASESORIAS</t>
        </is>
      </c>
      <c r="K1011" s="169" t="inlineStr">
        <is>
          <t>CONTROL PLAGA</t>
        </is>
      </c>
      <c r="L1011" s="169" t="inlineStr">
        <is>
          <t>O/001731 CONTROL PL</t>
        </is>
      </c>
      <c r="M1011" s="169" t="n"/>
      <c r="N1011" s="169" t="inlineStr">
        <is>
          <t>.   .   -</t>
        </is>
      </c>
      <c r="O1011" s="169" t="inlineStr">
        <is>
          <t>JUNIO</t>
        </is>
      </c>
      <c r="P1011" s="169" t="n">
        <v>22</v>
      </c>
      <c r="Q1011" s="171" t="n">
        <v>7867</v>
      </c>
      <c r="R1011" s="169" t="n"/>
      <c r="S1011" s="171" t="n">
        <v>7867</v>
      </c>
      <c r="T1011" s="169" t="inlineStr">
        <is>
          <t>CLP</t>
        </is>
      </c>
      <c r="U1011" s="169" t="inlineStr">
        <is>
          <t>Carga LH 18-06-26</t>
        </is>
      </c>
      <c r="V1011" s="169" t="inlineStr">
        <is>
          <t>2026-06-18</t>
        </is>
      </c>
    </row>
    <row r="1012">
      <c r="A1012" s="169" t="inlineStr">
        <is>
          <t>CR-1009</t>
        </is>
      </c>
      <c r="B1012" s="169" t="inlineStr">
        <is>
          <t>2026/27</t>
        </is>
      </c>
      <c r="C1012" s="231" t="n">
        <v>46183</v>
      </c>
      <c r="D1012" s="169" t="inlineStr"/>
      <c r="E1012" s="169" t="inlineStr">
        <is>
          <t>COMPRA</t>
        </is>
      </c>
      <c r="F1012" s="169" t="inlineStr">
        <is>
          <t>El Molle</t>
        </is>
      </c>
      <c r="G1012" s="169" t="inlineStr">
        <is>
          <t>WONDERFUL - 2007 (2,44 Ha.)</t>
        </is>
      </c>
      <c r="H1012" s="169" t="n"/>
      <c r="I1012" s="169" t="n"/>
      <c r="J1012" s="169" t="inlineStr">
        <is>
          <t>ASESORIAS</t>
        </is>
      </c>
      <c r="K1012" s="169" t="inlineStr">
        <is>
          <t>CONTROL PLAGA</t>
        </is>
      </c>
      <c r="L1012" s="169" t="inlineStr">
        <is>
          <t>O/001731 CONTROL PL</t>
        </is>
      </c>
      <c r="M1012" s="169" t="n"/>
      <c r="N1012" s="169" t="inlineStr">
        <is>
          <t>.   .   -</t>
        </is>
      </c>
      <c r="O1012" s="169" t="inlineStr">
        <is>
          <t>JUNIO</t>
        </is>
      </c>
      <c r="P1012" s="169" t="n">
        <v>22</v>
      </c>
      <c r="Q1012" s="171" t="n">
        <v>6855</v>
      </c>
      <c r="R1012" s="169" t="n"/>
      <c r="S1012" s="171" t="n">
        <v>6855</v>
      </c>
      <c r="T1012" s="169" t="inlineStr">
        <is>
          <t>CLP</t>
        </is>
      </c>
      <c r="U1012" s="169" t="inlineStr">
        <is>
          <t>Carga LH 18-06-26</t>
        </is>
      </c>
      <c r="V1012" s="169" t="inlineStr">
        <is>
          <t>2026-06-18</t>
        </is>
      </c>
    </row>
    <row r="1013">
      <c r="A1013" s="169" t="inlineStr">
        <is>
          <t>CR-1010</t>
        </is>
      </c>
      <c r="B1013" s="169" t="inlineStr">
        <is>
          <t>2026/27</t>
        </is>
      </c>
      <c r="C1013" s="231" t="n">
        <v>46183</v>
      </c>
      <c r="D1013" s="169" t="inlineStr"/>
      <c r="E1013" s="169" t="inlineStr">
        <is>
          <t>COMPRA</t>
        </is>
      </c>
      <c r="F1013" s="169" t="inlineStr">
        <is>
          <t>Asmara</t>
        </is>
      </c>
      <c r="G1013" s="169" t="inlineStr">
        <is>
          <t>MURCOTT - 2020 (19,8 Ha.)</t>
        </is>
      </c>
      <c r="H1013" s="169" t="n"/>
      <c r="I1013" s="169" t="n"/>
      <c r="J1013" s="169" t="inlineStr">
        <is>
          <t>ASESORIAS</t>
        </is>
      </c>
      <c r="K1013" s="169" t="inlineStr">
        <is>
          <t>CONTROL PLAGA</t>
        </is>
      </c>
      <c r="L1013" s="169" t="inlineStr">
        <is>
          <t>O/001731 CONTROL PL</t>
        </is>
      </c>
      <c r="M1013" s="169" t="n"/>
      <c r="N1013" s="169" t="inlineStr">
        <is>
          <t>.   .   -</t>
        </is>
      </c>
      <c r="O1013" s="169" t="inlineStr">
        <is>
          <t>JUNIO</t>
        </is>
      </c>
      <c r="P1013" s="169" t="n">
        <v>22</v>
      </c>
      <c r="Q1013" s="171" t="n">
        <v>55044</v>
      </c>
      <c r="R1013" s="169" t="n"/>
      <c r="S1013" s="171" t="n">
        <v>55044</v>
      </c>
      <c r="T1013" s="169" t="inlineStr">
        <is>
          <t>CLP</t>
        </is>
      </c>
      <c r="U1013" s="169" t="inlineStr">
        <is>
          <t>Carga LH 18-06-26</t>
        </is>
      </c>
      <c r="V1013" s="169" t="inlineStr">
        <is>
          <t>2026-06-18</t>
        </is>
      </c>
    </row>
    <row r="1014">
      <c r="A1014" s="169" t="inlineStr">
        <is>
          <t>CR-1011</t>
        </is>
      </c>
      <c r="B1014" s="169" t="inlineStr">
        <is>
          <t>2026/27</t>
        </is>
      </c>
      <c r="C1014" s="231" t="n">
        <v>46183</v>
      </c>
      <c r="D1014" s="169" t="inlineStr"/>
      <c r="E1014" s="169" t="inlineStr">
        <is>
          <t>COMPRA</t>
        </is>
      </c>
      <c r="F1014" s="169" t="inlineStr">
        <is>
          <t>Asmara</t>
        </is>
      </c>
      <c r="G1014" s="169" t="inlineStr">
        <is>
          <t>MURCOTT - 2020 (4,9 Ha.)</t>
        </is>
      </c>
      <c r="H1014" s="169" t="n"/>
      <c r="I1014" s="169" t="n"/>
      <c r="J1014" s="169" t="inlineStr">
        <is>
          <t>ASESORIAS</t>
        </is>
      </c>
      <c r="K1014" s="169" t="inlineStr">
        <is>
          <t>CONTROL PLAGA</t>
        </is>
      </c>
      <c r="L1014" s="169" t="inlineStr">
        <is>
          <t>O/001731 CONTROL PL</t>
        </is>
      </c>
      <c r="M1014" s="169" t="n"/>
      <c r="N1014" s="169" t="inlineStr">
        <is>
          <t>.   .   -</t>
        </is>
      </c>
      <c r="O1014" s="169" t="inlineStr">
        <is>
          <t>JUNIO</t>
        </is>
      </c>
      <c r="P1014" s="169" t="n">
        <v>22</v>
      </c>
      <c r="Q1014" s="171" t="n">
        <v>13622</v>
      </c>
      <c r="R1014" s="169" t="n"/>
      <c r="S1014" s="171" t="n">
        <v>13622</v>
      </c>
      <c r="T1014" s="169" t="inlineStr">
        <is>
          <t>CLP</t>
        </is>
      </c>
      <c r="U1014" s="169" t="inlineStr">
        <is>
          <t>Carga LH 18-06-26</t>
        </is>
      </c>
      <c r="V1014" s="169" t="inlineStr">
        <is>
          <t>2026-06-18</t>
        </is>
      </c>
    </row>
    <row r="1015">
      <c r="A1015" s="169" t="inlineStr">
        <is>
          <t>CR-1012</t>
        </is>
      </c>
      <c r="B1015" s="169" t="inlineStr">
        <is>
          <t>2026/27</t>
        </is>
      </c>
      <c r="C1015" s="231" t="n">
        <v>46183</v>
      </c>
      <c r="D1015" s="169" t="inlineStr"/>
      <c r="E1015" s="169" t="inlineStr">
        <is>
          <t>COMPRA</t>
        </is>
      </c>
      <c r="F1015" s="169" t="inlineStr">
        <is>
          <t>Mega Catalina</t>
        </is>
      </c>
      <c r="G1015" s="169" t="inlineStr">
        <is>
          <t>INJERTO TIMPSON - 2018 (3,8 Ha.)</t>
        </is>
      </c>
      <c r="H1015" s="169" t="n"/>
      <c r="I1015" s="169" t="n"/>
      <c r="J1015" s="169" t="inlineStr">
        <is>
          <t>ASESORIAS</t>
        </is>
      </c>
      <c r="K1015" s="169" t="inlineStr">
        <is>
          <t>CONTROL PLAGA</t>
        </is>
      </c>
      <c r="L1015" s="169" t="inlineStr">
        <is>
          <t>O/001731 CONTROL PL</t>
        </is>
      </c>
      <c r="M1015" s="169" t="n"/>
      <c r="N1015" s="169" t="inlineStr">
        <is>
          <t>.   .   -</t>
        </is>
      </c>
      <c r="O1015" s="169" t="inlineStr">
        <is>
          <t>JUNIO</t>
        </is>
      </c>
      <c r="P1015" s="169" t="n">
        <v>22</v>
      </c>
      <c r="Q1015" s="171" t="n">
        <v>17235</v>
      </c>
      <c r="R1015" s="169" t="n"/>
      <c r="S1015" s="171" t="n">
        <v>17235</v>
      </c>
      <c r="T1015" s="169" t="inlineStr">
        <is>
          <t>CLP</t>
        </is>
      </c>
      <c r="U1015" s="169" t="inlineStr">
        <is>
          <t>Carga LH 18-06-26</t>
        </is>
      </c>
      <c r="V1015" s="169" t="inlineStr">
        <is>
          <t>2026-06-18</t>
        </is>
      </c>
    </row>
    <row r="1016">
      <c r="A1016" s="169" t="inlineStr">
        <is>
          <t>CR-1013</t>
        </is>
      </c>
      <c r="B1016" s="169" t="inlineStr">
        <is>
          <t>2026/27</t>
        </is>
      </c>
      <c r="C1016" s="231" t="n">
        <v>46183</v>
      </c>
      <c r="D1016" s="169" t="inlineStr"/>
      <c r="E1016" s="169" t="inlineStr">
        <is>
          <t>COMPRA</t>
        </is>
      </c>
      <c r="F1016" s="169" t="inlineStr">
        <is>
          <t>Mega Catalina</t>
        </is>
      </c>
      <c r="G1016" s="169" t="inlineStr">
        <is>
          <t>INJERTO TIMPSON - 2019 (4,2 Ha.)</t>
        </is>
      </c>
      <c r="H1016" s="169" t="n"/>
      <c r="I1016" s="169" t="n"/>
      <c r="J1016" s="169" t="inlineStr">
        <is>
          <t>ASESORIAS</t>
        </is>
      </c>
      <c r="K1016" s="169" t="inlineStr">
        <is>
          <t>CONTROL PLAGA</t>
        </is>
      </c>
      <c r="L1016" s="169" t="inlineStr">
        <is>
          <t>O/001731 CONTROL PL</t>
        </is>
      </c>
      <c r="M1016" s="169" t="n"/>
      <c r="N1016" s="169" t="inlineStr">
        <is>
          <t>.   .   -</t>
        </is>
      </c>
      <c r="O1016" s="169" t="inlineStr">
        <is>
          <t>JUNIO</t>
        </is>
      </c>
      <c r="P1016" s="169" t="n">
        <v>22</v>
      </c>
      <c r="Q1016" s="171" t="n">
        <v>19049</v>
      </c>
      <c r="R1016" s="169" t="n"/>
      <c r="S1016" s="171" t="n">
        <v>19049</v>
      </c>
      <c r="T1016" s="169" t="inlineStr">
        <is>
          <t>CLP</t>
        </is>
      </c>
      <c r="U1016" s="169" t="inlineStr">
        <is>
          <t>Carga LH 18-06-26</t>
        </is>
      </c>
      <c r="V1016" s="169" t="inlineStr">
        <is>
          <t>2026-06-18</t>
        </is>
      </c>
    </row>
    <row r="1017">
      <c r="A1017" s="169" t="inlineStr">
        <is>
          <t>CR-1014</t>
        </is>
      </c>
      <c r="B1017" s="169" t="inlineStr">
        <is>
          <t>2026/27</t>
        </is>
      </c>
      <c r="C1017" s="231" t="n">
        <v>46183</v>
      </c>
      <c r="D1017" s="169" t="inlineStr"/>
      <c r="E1017" s="169" t="inlineStr">
        <is>
          <t>COMPRA</t>
        </is>
      </c>
      <c r="F1017" s="169" t="inlineStr">
        <is>
          <t>Mega Catalina</t>
        </is>
      </c>
      <c r="G1017" s="169" t="inlineStr">
        <is>
          <t>SWEET CELEBRATION - 2015 (7,14 Ha.)</t>
        </is>
      </c>
      <c r="H1017" s="169" t="n"/>
      <c r="I1017" s="169" t="n"/>
      <c r="J1017" s="169" t="inlineStr">
        <is>
          <t>ASESORIAS</t>
        </is>
      </c>
      <c r="K1017" s="169" t="inlineStr">
        <is>
          <t>CONTROL PLAGA</t>
        </is>
      </c>
      <c r="L1017" s="169" t="inlineStr">
        <is>
          <t>O/001731 CONTROL PL</t>
        </is>
      </c>
      <c r="M1017" s="169" t="n"/>
      <c r="N1017" s="169" t="inlineStr">
        <is>
          <t>.   .   -</t>
        </is>
      </c>
      <c r="O1017" s="169" t="inlineStr">
        <is>
          <t>JUNIO</t>
        </is>
      </c>
      <c r="P1017" s="169" t="n">
        <v>22</v>
      </c>
      <c r="Q1017" s="171" t="n">
        <v>32383</v>
      </c>
      <c r="R1017" s="169" t="n"/>
      <c r="S1017" s="171" t="n">
        <v>32383</v>
      </c>
      <c r="T1017" s="169" t="inlineStr">
        <is>
          <t>CLP</t>
        </is>
      </c>
      <c r="U1017" s="169" t="inlineStr">
        <is>
          <t>Carga LH 18-06-26</t>
        </is>
      </c>
      <c r="V1017" s="169" t="inlineStr">
        <is>
          <t>2026-06-18</t>
        </is>
      </c>
    </row>
    <row r="1018">
      <c r="A1018" s="169" t="inlineStr">
        <is>
          <t>CR-1015</t>
        </is>
      </c>
      <c r="B1018" s="169" t="inlineStr">
        <is>
          <t>2026/27</t>
        </is>
      </c>
      <c r="C1018" s="231" t="n">
        <v>46183</v>
      </c>
      <c r="D1018" s="169" t="inlineStr">
        <is>
          <t>94</t>
        </is>
      </c>
      <c r="E1018" s="169" t="inlineStr">
        <is>
          <t>COMPRA</t>
        </is>
      </c>
      <c r="F1018" s="169" t="inlineStr">
        <is>
          <t>El Molle</t>
        </is>
      </c>
      <c r="G1018" s="169" t="inlineStr">
        <is>
          <t>ARRUFATINA - 2017 (5,74 Ha.)</t>
        </is>
      </c>
      <c r="H1018" s="169" t="n"/>
      <c r="I1018" s="169" t="n"/>
      <c r="J1018" s="169" t="inlineStr">
        <is>
          <t>LABORES OPERACIONALES</t>
        </is>
      </c>
      <c r="K1018" s="169" t="inlineStr">
        <is>
          <t>COSECHA</t>
        </is>
      </c>
      <c r="L1018" s="169" t="inlineStr">
        <is>
          <t>SERV.CONTRATISTA</t>
        </is>
      </c>
      <c r="M1018" s="169" t="n"/>
      <c r="N1018" s="169" t="inlineStr">
        <is>
          <t>.   .   -</t>
        </is>
      </c>
      <c r="O1018" s="169" t="inlineStr">
        <is>
          <t>JUNIO</t>
        </is>
      </c>
      <c r="P1018" s="169" t="n">
        <v>22</v>
      </c>
      <c r="Q1018" s="171" t="n">
        <v>1362500</v>
      </c>
      <c r="R1018" s="169" t="n"/>
      <c r="S1018" s="171" t="n">
        <v>1362500</v>
      </c>
      <c r="T1018" s="169" t="inlineStr">
        <is>
          <t>CLP</t>
        </is>
      </c>
      <c r="U1018" s="169" t="inlineStr">
        <is>
          <t>Carga LH 18-06-26</t>
        </is>
      </c>
      <c r="V1018" s="169" t="inlineStr">
        <is>
          <t>2026-06-18</t>
        </is>
      </c>
    </row>
    <row r="1019">
      <c r="A1019" s="169" t="inlineStr">
        <is>
          <t>CR-1016</t>
        </is>
      </c>
      <c r="B1019" s="169" t="inlineStr">
        <is>
          <t>2026/27</t>
        </is>
      </c>
      <c r="C1019" s="231" t="n">
        <v>46183</v>
      </c>
      <c r="D1019" s="169" t="inlineStr">
        <is>
          <t>94</t>
        </is>
      </c>
      <c r="E1019" s="169" t="inlineStr">
        <is>
          <t>COMPRA</t>
        </is>
      </c>
      <c r="F1019" s="169" t="inlineStr">
        <is>
          <t>El Molle</t>
        </is>
      </c>
      <c r="G1019" s="169" t="inlineStr">
        <is>
          <t>OROGRANDE - 2007 (8,11 Ha.)</t>
        </is>
      </c>
      <c r="H1019" s="169" t="n"/>
      <c r="I1019" s="169" t="n"/>
      <c r="J1019" s="169" t="inlineStr">
        <is>
          <t>LABORES OPERACIONALES</t>
        </is>
      </c>
      <c r="K1019" s="169" t="inlineStr">
        <is>
          <t>COSECHA</t>
        </is>
      </c>
      <c r="L1019" s="169" t="inlineStr">
        <is>
          <t>SERV.CONTRATISTA</t>
        </is>
      </c>
      <c r="M1019" s="169" t="n"/>
      <c r="N1019" s="169" t="inlineStr">
        <is>
          <t>.   .   -</t>
        </is>
      </c>
      <c r="O1019" s="169" t="inlineStr">
        <is>
          <t>JUNIO</t>
        </is>
      </c>
      <c r="P1019" s="169" t="n">
        <v>22</v>
      </c>
      <c r="Q1019" s="171" t="n">
        <v>2364915</v>
      </c>
      <c r="R1019" s="169" t="n"/>
      <c r="S1019" s="171" t="n">
        <v>2364915</v>
      </c>
      <c r="T1019" s="169" t="inlineStr">
        <is>
          <t>CLP</t>
        </is>
      </c>
      <c r="U1019" s="169" t="inlineStr">
        <is>
          <t>Carga LH 18-06-26</t>
        </is>
      </c>
      <c r="V1019" s="169" t="inlineStr">
        <is>
          <t>2026-06-18</t>
        </is>
      </c>
    </row>
    <row r="1020">
      <c r="A1020" s="169" t="inlineStr">
        <is>
          <t>CR-1017</t>
        </is>
      </c>
      <c r="B1020" s="169" t="inlineStr">
        <is>
          <t>2026/27</t>
        </is>
      </c>
      <c r="C1020" s="231" t="n">
        <v>46185</v>
      </c>
      <c r="D1020" s="169" t="inlineStr">
        <is>
          <t>319</t>
        </is>
      </c>
      <c r="E1020" s="169" t="inlineStr">
        <is>
          <t>COMPRA</t>
        </is>
      </c>
      <c r="F1020" s="169" t="inlineStr">
        <is>
          <t>Mega Catalina</t>
        </is>
      </c>
      <c r="G1020" s="169" t="inlineStr">
        <is>
          <t>EUREKA - 2016 (14,4 Ha.)</t>
        </is>
      </c>
      <c r="H1020" s="169" t="n"/>
      <c r="I1020" s="169" t="n"/>
      <c r="J1020" s="169" t="inlineStr">
        <is>
          <t>MANTENCION MAQUINARIAS</t>
        </is>
      </c>
      <c r="K1020" s="169" t="inlineStr">
        <is>
          <t>ASMA. LANDINI CBCX (17001)</t>
        </is>
      </c>
      <c r="L1020" s="169" t="inlineStr">
        <is>
          <t>O/001736 MANTENCION</t>
        </is>
      </c>
      <c r="M1020" s="169" t="n"/>
      <c r="N1020" s="169" t="inlineStr">
        <is>
          <t>.   .   -</t>
        </is>
      </c>
      <c r="O1020" s="169" t="inlineStr">
        <is>
          <t>JUNIO</t>
        </is>
      </c>
      <c r="P1020" s="169" t="n">
        <v>22</v>
      </c>
      <c r="Q1020" s="171" t="n">
        <v>80000</v>
      </c>
      <c r="R1020" s="169" t="n"/>
      <c r="S1020" s="171" t="n">
        <v>80000</v>
      </c>
      <c r="T1020" s="169" t="inlineStr">
        <is>
          <t>CLP</t>
        </is>
      </c>
      <c r="U1020" s="169" t="inlineStr">
        <is>
          <t>Carga LH 18-06-26</t>
        </is>
      </c>
      <c r="V1020" s="169" t="inlineStr">
        <is>
          <t>2026-06-18</t>
        </is>
      </c>
    </row>
    <row r="1021">
      <c r="A1021" s="169" t="inlineStr">
        <is>
          <t>CR-1018</t>
        </is>
      </c>
      <c r="B1021" s="169" t="inlineStr">
        <is>
          <t>2026/27</t>
        </is>
      </c>
      <c r="C1021" s="231" t="n">
        <v>46188</v>
      </c>
      <c r="D1021" s="169" t="inlineStr"/>
      <c r="E1021" s="169" t="inlineStr">
        <is>
          <t>COMPRA</t>
        </is>
      </c>
      <c r="F1021" s="169" t="inlineStr">
        <is>
          <t>Mega Catalina</t>
        </is>
      </c>
      <c r="G1021" s="169" t="inlineStr">
        <is>
          <t>EUREKA - 1999 (22,5 Ha.)</t>
        </is>
      </c>
      <c r="H1021" s="169" t="n"/>
      <c r="I1021" s="169" t="n"/>
      <c r="J1021" s="169" t="inlineStr">
        <is>
          <t>MANTENCION MAQUINARIAS</t>
        </is>
      </c>
      <c r="K1021" s="169" t="inlineStr">
        <is>
          <t>SCAT. MOTOR EL ZANJON EL MOLINO (15023)</t>
        </is>
      </c>
      <c r="L1021" s="169" t="inlineStr">
        <is>
          <t>O/001734 CAMION PLU</t>
        </is>
      </c>
      <c r="M1021" s="169" t="n"/>
      <c r="N1021" s="169" t="inlineStr">
        <is>
          <t>.   .   -</t>
        </is>
      </c>
      <c r="O1021" s="169" t="inlineStr">
        <is>
          <t>JUNIO</t>
        </is>
      </c>
      <c r="P1021" s="169" t="n">
        <v>23</v>
      </c>
      <c r="Q1021" s="171" t="n">
        <v>54282</v>
      </c>
      <c r="R1021" s="169" t="n"/>
      <c r="S1021" s="171" t="n">
        <v>54282</v>
      </c>
      <c r="T1021" s="169" t="inlineStr">
        <is>
          <t>CLP</t>
        </is>
      </c>
      <c r="U1021" s="169" t="inlineStr">
        <is>
          <t>Carga LH 18-06-26</t>
        </is>
      </c>
      <c r="V1021" s="169" t="inlineStr">
        <is>
          <t>2026-06-18</t>
        </is>
      </c>
    </row>
    <row r="1022">
      <c r="A1022" s="169" t="inlineStr">
        <is>
          <t>CR-1019</t>
        </is>
      </c>
      <c r="B1022" s="169" t="inlineStr">
        <is>
          <t>2026/27</t>
        </is>
      </c>
      <c r="C1022" s="231" t="n">
        <v>46188</v>
      </c>
      <c r="D1022" s="169" t="inlineStr"/>
      <c r="E1022" s="169" t="inlineStr">
        <is>
          <t>COMPRA</t>
        </is>
      </c>
      <c r="F1022" s="169" t="inlineStr">
        <is>
          <t>Mega Catalina</t>
        </is>
      </c>
      <c r="G1022" s="169" t="inlineStr">
        <is>
          <t>EUREKA - 1999 (10,6 Ha.)</t>
        </is>
      </c>
      <c r="H1022" s="169" t="n"/>
      <c r="I1022" s="169" t="n"/>
      <c r="J1022" s="169" t="inlineStr">
        <is>
          <t>MANTENCION MAQUINARIAS</t>
        </is>
      </c>
      <c r="K1022" s="169" t="inlineStr">
        <is>
          <t>SCAT. MOTOR EL ZANJON EL MOLINO (15023)</t>
        </is>
      </c>
      <c r="L1022" s="169" t="inlineStr">
        <is>
          <t>O/001734 CAMION PLU</t>
        </is>
      </c>
      <c r="M1022" s="169" t="n"/>
      <c r="N1022" s="169" t="inlineStr">
        <is>
          <t>.   .   -</t>
        </is>
      </c>
      <c r="O1022" s="169" t="inlineStr">
        <is>
          <t>JUNIO</t>
        </is>
      </c>
      <c r="P1022" s="169" t="n">
        <v>23</v>
      </c>
      <c r="Q1022" s="171" t="n">
        <v>25573</v>
      </c>
      <c r="R1022" s="169" t="n"/>
      <c r="S1022" s="171" t="n">
        <v>25573</v>
      </c>
      <c r="T1022" s="169" t="inlineStr">
        <is>
          <t>CLP</t>
        </is>
      </c>
      <c r="U1022" s="169" t="inlineStr">
        <is>
          <t>Carga LH 18-06-26</t>
        </is>
      </c>
      <c r="V1022" s="169" t="inlineStr">
        <is>
          <t>2026-06-18</t>
        </is>
      </c>
    </row>
    <row r="1023">
      <c r="A1023" s="169" t="inlineStr">
        <is>
          <t>CR-1020</t>
        </is>
      </c>
      <c r="B1023" s="169" t="inlineStr">
        <is>
          <t>2026/27</t>
        </is>
      </c>
      <c r="C1023" s="231" t="n">
        <v>46188</v>
      </c>
      <c r="D1023" s="169" t="inlineStr"/>
      <c r="E1023" s="169" t="inlineStr">
        <is>
          <t>COMPRA</t>
        </is>
      </c>
      <c r="F1023" s="169" t="inlineStr">
        <is>
          <t>Mega Catalina</t>
        </is>
      </c>
      <c r="G1023" s="169" t="inlineStr">
        <is>
          <t>EUREKA - 2016 (14,4 Ha.)</t>
        </is>
      </c>
      <c r="H1023" s="169" t="n"/>
      <c r="I1023" s="169" t="n"/>
      <c r="J1023" s="169" t="inlineStr">
        <is>
          <t>MANTENCION MAQUINARIAS</t>
        </is>
      </c>
      <c r="K1023" s="169" t="inlineStr">
        <is>
          <t>SCAT. MOTOR EL ZANJON EL MOLINO (15023)</t>
        </is>
      </c>
      <c r="L1023" s="169" t="inlineStr">
        <is>
          <t>O/001734 CAMION PLU</t>
        </is>
      </c>
      <c r="M1023" s="169" t="n"/>
      <c r="N1023" s="169" t="inlineStr">
        <is>
          <t>.   .   -</t>
        </is>
      </c>
      <c r="O1023" s="169" t="inlineStr">
        <is>
          <t>JUNIO</t>
        </is>
      </c>
      <c r="P1023" s="169" t="n">
        <v>23</v>
      </c>
      <c r="Q1023" s="171" t="n">
        <v>34741</v>
      </c>
      <c r="R1023" s="169" t="n"/>
      <c r="S1023" s="171" t="n">
        <v>34741</v>
      </c>
      <c r="T1023" s="169" t="inlineStr">
        <is>
          <t>CLP</t>
        </is>
      </c>
      <c r="U1023" s="169" t="inlineStr">
        <is>
          <t>Carga LH 18-06-26</t>
        </is>
      </c>
      <c r="V1023" s="169" t="inlineStr">
        <is>
          <t>2026-06-18</t>
        </is>
      </c>
    </row>
    <row r="1024">
      <c r="A1024" s="169" t="inlineStr">
        <is>
          <t>CR-1021</t>
        </is>
      </c>
      <c r="B1024" s="169" t="inlineStr">
        <is>
          <t>2026/27</t>
        </is>
      </c>
      <c r="C1024" s="231" t="n">
        <v>46188</v>
      </c>
      <c r="D1024" s="169" t="inlineStr"/>
      <c r="E1024" s="169" t="inlineStr">
        <is>
          <t>COMPRA</t>
        </is>
      </c>
      <c r="F1024" s="169" t="inlineStr">
        <is>
          <t>Mega Catalina</t>
        </is>
      </c>
      <c r="G1024" s="169" t="inlineStr">
        <is>
          <t>FINO 49 - 1999 (7,7 Ha.)</t>
        </is>
      </c>
      <c r="H1024" s="169" t="n"/>
      <c r="I1024" s="169" t="n"/>
      <c r="J1024" s="169" t="inlineStr">
        <is>
          <t>MANTENCION MAQUINARIAS</t>
        </is>
      </c>
      <c r="K1024" s="169" t="inlineStr">
        <is>
          <t>SCAT. MOTOR EL ZANJON EL MOLINO (15023)</t>
        </is>
      </c>
      <c r="L1024" s="169" t="inlineStr">
        <is>
          <t>O/001734 CAMION PLU</t>
        </is>
      </c>
      <c r="M1024" s="169" t="n"/>
      <c r="N1024" s="169" t="inlineStr">
        <is>
          <t>.   .   -</t>
        </is>
      </c>
      <c r="O1024" s="169" t="inlineStr">
        <is>
          <t>JUNIO</t>
        </is>
      </c>
      <c r="P1024" s="169" t="n">
        <v>23</v>
      </c>
      <c r="Q1024" s="171" t="n">
        <v>18577</v>
      </c>
      <c r="R1024" s="169" t="n"/>
      <c r="S1024" s="171" t="n">
        <v>18577</v>
      </c>
      <c r="T1024" s="169" t="inlineStr">
        <is>
          <t>CLP</t>
        </is>
      </c>
      <c r="U1024" s="169" t="inlineStr">
        <is>
          <t>Carga LH 18-06-26</t>
        </is>
      </c>
      <c r="V1024" s="169" t="inlineStr">
        <is>
          <t>2026-06-18</t>
        </is>
      </c>
    </row>
    <row r="1025">
      <c r="A1025" s="169" t="inlineStr">
        <is>
          <t>CR-1022</t>
        </is>
      </c>
      <c r="B1025" s="169" t="inlineStr">
        <is>
          <t>2026/27</t>
        </is>
      </c>
      <c r="C1025" s="231" t="n">
        <v>46188</v>
      </c>
      <c r="D1025" s="169" t="inlineStr"/>
      <c r="E1025" s="169" t="inlineStr">
        <is>
          <t>COMPRA</t>
        </is>
      </c>
      <c r="F1025" s="169" t="inlineStr">
        <is>
          <t>Sin asignar</t>
        </is>
      </c>
      <c r="G1025" s="169" t="inlineStr">
        <is>
          <t>EUREKA M-F 1999 (2,5 Ha.)</t>
        </is>
      </c>
      <c r="H1025" s="169" t="n"/>
      <c r="I1025" s="169" t="n"/>
      <c r="J1025" s="169" t="inlineStr">
        <is>
          <t>MANTENCION MAQUINARIAS</t>
        </is>
      </c>
      <c r="K1025" s="169" t="inlineStr">
        <is>
          <t>SCAT. MOTOR EL ZANJON EL MOLINO (15023)</t>
        </is>
      </c>
      <c r="L1025" s="169" t="inlineStr">
        <is>
          <t>O/001734 CAMION PLU</t>
        </is>
      </c>
      <c r="M1025" s="169" t="n"/>
      <c r="N1025" s="169" t="inlineStr">
        <is>
          <t>.   .   -</t>
        </is>
      </c>
      <c r="O1025" s="169" t="inlineStr">
        <is>
          <t>JUNIO</t>
        </is>
      </c>
      <c r="P1025" s="169" t="n">
        <v>23</v>
      </c>
      <c r="Q1025" s="171" t="n">
        <v>6031</v>
      </c>
      <c r="R1025" s="169" t="n"/>
      <c r="S1025" s="171" t="n">
        <v>6031</v>
      </c>
      <c r="T1025" s="169" t="inlineStr">
        <is>
          <t>CLP</t>
        </is>
      </c>
      <c r="U1025" s="169" t="inlineStr">
        <is>
          <t>Carga LH 18-06-26</t>
        </is>
      </c>
      <c r="V1025" s="169" t="inlineStr">
        <is>
          <t>2026-06-18</t>
        </is>
      </c>
    </row>
    <row r="1026">
      <c r="A1026" s="169" t="inlineStr">
        <is>
          <t>CR-1023</t>
        </is>
      </c>
      <c r="B1026" s="169" t="inlineStr">
        <is>
          <t>2026/27</t>
        </is>
      </c>
      <c r="C1026" s="231" t="n">
        <v>46188</v>
      </c>
      <c r="D1026" s="169" t="inlineStr"/>
      <c r="E1026" s="169" t="inlineStr">
        <is>
          <t>COMPRA</t>
        </is>
      </c>
      <c r="F1026" s="169" t="inlineStr">
        <is>
          <t>Mega Catalina</t>
        </is>
      </c>
      <c r="G1026" s="169" t="inlineStr">
        <is>
          <t>NARANJA CAMBRIA - 2009 (4,2 Ha.)</t>
        </is>
      </c>
      <c r="H1026" s="169" t="n"/>
      <c r="I1026" s="169" t="n"/>
      <c r="J1026" s="169" t="inlineStr">
        <is>
          <t>MANTENCION MAQUINARIAS</t>
        </is>
      </c>
      <c r="K1026" s="169" t="inlineStr">
        <is>
          <t>SCAT. MOTOR EL ZANJON EL MOLINO (15023)</t>
        </is>
      </c>
      <c r="L1026" s="169" t="inlineStr">
        <is>
          <t>O/001734 CAMION PLU</t>
        </is>
      </c>
      <c r="M1026" s="169" t="n"/>
      <c r="N1026" s="169" t="inlineStr">
        <is>
          <t>.   .   -</t>
        </is>
      </c>
      <c r="O1026" s="169" t="inlineStr">
        <is>
          <t>JUNIO</t>
        </is>
      </c>
      <c r="P1026" s="169" t="n">
        <v>23</v>
      </c>
      <c r="Q1026" s="171" t="n">
        <v>10133</v>
      </c>
      <c r="R1026" s="169" t="n"/>
      <c r="S1026" s="171" t="n">
        <v>10133</v>
      </c>
      <c r="T1026" s="169" t="inlineStr">
        <is>
          <t>CLP</t>
        </is>
      </c>
      <c r="U1026" s="169" t="inlineStr">
        <is>
          <t>Carga LH 18-06-26</t>
        </is>
      </c>
      <c r="V1026" s="169" t="inlineStr">
        <is>
          <t>2026-06-18</t>
        </is>
      </c>
    </row>
    <row r="1027">
      <c r="A1027" s="169" t="inlineStr">
        <is>
          <t>CR-1024</t>
        </is>
      </c>
      <c r="B1027" s="169" t="inlineStr">
        <is>
          <t>2026/27</t>
        </is>
      </c>
      <c r="C1027" s="231" t="n">
        <v>46188</v>
      </c>
      <c r="D1027" s="169" t="inlineStr"/>
      <c r="E1027" s="169" t="inlineStr">
        <is>
          <t>COMPRA</t>
        </is>
      </c>
      <c r="F1027" s="169" t="inlineStr">
        <is>
          <t>Mega Catalina</t>
        </is>
      </c>
      <c r="G1027" s="169" t="inlineStr">
        <is>
          <t>MURCOTT - 2007 (21 Ha.)</t>
        </is>
      </c>
      <c r="H1027" s="169" t="n"/>
      <c r="I1027" s="169" t="n"/>
      <c r="J1027" s="169" t="inlineStr">
        <is>
          <t>MANTENCION MAQUINARIAS</t>
        </is>
      </c>
      <c r="K1027" s="169" t="inlineStr">
        <is>
          <t>SCAT. MOTOR EL ZANJON EL MOLINO (15023)</t>
        </is>
      </c>
      <c r="L1027" s="169" t="inlineStr">
        <is>
          <t>O/001734 CAMION PLU</t>
        </is>
      </c>
      <c r="M1027" s="169" t="n"/>
      <c r="N1027" s="169" t="inlineStr">
        <is>
          <t>.   .   -</t>
        </is>
      </c>
      <c r="O1027" s="169" t="inlineStr">
        <is>
          <t>JUNIO</t>
        </is>
      </c>
      <c r="P1027" s="169" t="n">
        <v>23</v>
      </c>
      <c r="Q1027" s="171" t="n">
        <v>50663</v>
      </c>
      <c r="R1027" s="169" t="n"/>
      <c r="S1027" s="171" t="n">
        <v>50663</v>
      </c>
      <c r="T1027" s="169" t="inlineStr">
        <is>
          <t>CLP</t>
        </is>
      </c>
      <c r="U1027" s="169" t="inlineStr">
        <is>
          <t>Carga LH 18-06-26</t>
        </is>
      </c>
      <c r="V1027" s="169" t="inlineStr">
        <is>
          <t>2026-06-18</t>
        </is>
      </c>
    </row>
    <row r="1028">
      <c r="A1028" s="169" t="inlineStr">
        <is>
          <t>CR-1025</t>
        </is>
      </c>
      <c r="B1028" s="169" t="inlineStr">
        <is>
          <t>2026/27</t>
        </is>
      </c>
      <c r="C1028" s="231" t="n">
        <v>46188</v>
      </c>
      <c r="D1028" s="169" t="inlineStr"/>
      <c r="E1028" s="169" t="inlineStr">
        <is>
          <t>COMPRA</t>
        </is>
      </c>
      <c r="F1028" s="169" t="inlineStr">
        <is>
          <t>Mega Catalina</t>
        </is>
      </c>
      <c r="G1028" s="169" t="inlineStr">
        <is>
          <t>EUREKA - 1999 (22,5 Ha.)</t>
        </is>
      </c>
      <c r="H1028" s="169" t="n"/>
      <c r="I1028" s="169" t="n"/>
      <c r="J1028" s="169" t="inlineStr">
        <is>
          <t>MANT. Y REP. PLANTACIONES</t>
        </is>
      </c>
      <c r="K1028" s="169" t="inlineStr">
        <is>
          <t>MANTENCION HUERTO</t>
        </is>
      </c>
      <c r="L1028" s="169" t="inlineStr">
        <is>
          <t>O/001733 MANTENCION</t>
        </is>
      </c>
      <c r="M1028" s="169" t="n"/>
      <c r="N1028" s="169" t="inlineStr">
        <is>
          <t>.   .   -</t>
        </is>
      </c>
      <c r="O1028" s="169" t="inlineStr">
        <is>
          <t>JUNIO</t>
        </is>
      </c>
      <c r="P1028" s="169" t="n">
        <v>23</v>
      </c>
      <c r="Q1028" s="171" t="n">
        <v>16285</v>
      </c>
      <c r="R1028" s="169" t="n"/>
      <c r="S1028" s="171" t="n">
        <v>16285</v>
      </c>
      <c r="T1028" s="169" t="inlineStr">
        <is>
          <t>CLP</t>
        </is>
      </c>
      <c r="U1028" s="169" t="inlineStr">
        <is>
          <t>Carga LH 18-06-26</t>
        </is>
      </c>
      <c r="V1028" s="169" t="inlineStr">
        <is>
          <t>2026-06-18</t>
        </is>
      </c>
    </row>
    <row r="1029">
      <c r="A1029" s="169" t="inlineStr">
        <is>
          <t>CR-1026</t>
        </is>
      </c>
      <c r="B1029" s="169" t="inlineStr">
        <is>
          <t>2026/27</t>
        </is>
      </c>
      <c r="C1029" s="231" t="n">
        <v>46188</v>
      </c>
      <c r="D1029" s="169" t="inlineStr"/>
      <c r="E1029" s="169" t="inlineStr">
        <is>
          <t>COMPRA</t>
        </is>
      </c>
      <c r="F1029" s="169" t="inlineStr">
        <is>
          <t>Mega Catalina</t>
        </is>
      </c>
      <c r="G1029" s="169" t="inlineStr">
        <is>
          <t>EUREKA - 1999 (10,6 Ha.)</t>
        </is>
      </c>
      <c r="H1029" s="169" t="n"/>
      <c r="I1029" s="169" t="n"/>
      <c r="J1029" s="169" t="inlineStr">
        <is>
          <t>MANT. Y REP. PLANTACIONES</t>
        </is>
      </c>
      <c r="K1029" s="169" t="inlineStr">
        <is>
          <t>MANTENCION HUERTO</t>
        </is>
      </c>
      <c r="L1029" s="169" t="inlineStr">
        <is>
          <t>O/001733 MANTENCION</t>
        </is>
      </c>
      <c r="M1029" s="169" t="n"/>
      <c r="N1029" s="169" t="inlineStr">
        <is>
          <t>.   .   -</t>
        </is>
      </c>
      <c r="O1029" s="169" t="inlineStr">
        <is>
          <t>JUNIO</t>
        </is>
      </c>
      <c r="P1029" s="169" t="n">
        <v>23</v>
      </c>
      <c r="Q1029" s="171" t="n">
        <v>7672</v>
      </c>
      <c r="R1029" s="169" t="n"/>
      <c r="S1029" s="171" t="n">
        <v>7672</v>
      </c>
      <c r="T1029" s="169" t="inlineStr">
        <is>
          <t>CLP</t>
        </is>
      </c>
      <c r="U1029" s="169" t="inlineStr">
        <is>
          <t>Carga LH 18-06-26</t>
        </is>
      </c>
      <c r="V1029" s="169" t="inlineStr">
        <is>
          <t>2026-06-18</t>
        </is>
      </c>
    </row>
    <row r="1030">
      <c r="A1030" s="169" t="inlineStr">
        <is>
          <t>CR-1027</t>
        </is>
      </c>
      <c r="B1030" s="169" t="inlineStr">
        <is>
          <t>2026/27</t>
        </is>
      </c>
      <c r="C1030" s="231" t="n">
        <v>46188</v>
      </c>
      <c r="D1030" s="169" t="inlineStr"/>
      <c r="E1030" s="169" t="inlineStr">
        <is>
          <t>COMPRA</t>
        </is>
      </c>
      <c r="F1030" s="169" t="inlineStr">
        <is>
          <t>Mega Catalina</t>
        </is>
      </c>
      <c r="G1030" s="169" t="inlineStr">
        <is>
          <t>EUREKA - 2016 (14,4 Ha.)</t>
        </is>
      </c>
      <c r="H1030" s="169" t="n"/>
      <c r="I1030" s="169" t="n"/>
      <c r="J1030" s="169" t="inlineStr">
        <is>
          <t>MANT. Y REP. PLANTACIONES</t>
        </is>
      </c>
      <c r="K1030" s="169" t="inlineStr">
        <is>
          <t>MANTENCION HUERTO</t>
        </is>
      </c>
      <c r="L1030" s="169" t="inlineStr">
        <is>
          <t>O/001733 MANTENCION</t>
        </is>
      </c>
      <c r="M1030" s="169" t="n"/>
      <c r="N1030" s="169" t="inlineStr">
        <is>
          <t>.   .   -</t>
        </is>
      </c>
      <c r="O1030" s="169" t="inlineStr">
        <is>
          <t>JUNIO</t>
        </is>
      </c>
      <c r="P1030" s="169" t="n">
        <v>23</v>
      </c>
      <c r="Q1030" s="171" t="n">
        <v>10422</v>
      </c>
      <c r="R1030" s="169" t="n"/>
      <c r="S1030" s="171" t="n">
        <v>10422</v>
      </c>
      <c r="T1030" s="169" t="inlineStr">
        <is>
          <t>CLP</t>
        </is>
      </c>
      <c r="U1030" s="169" t="inlineStr">
        <is>
          <t>Carga LH 18-06-26</t>
        </is>
      </c>
      <c r="V1030" s="169" t="inlineStr">
        <is>
          <t>2026-06-18</t>
        </is>
      </c>
    </row>
    <row r="1031">
      <c r="A1031" s="169" t="inlineStr">
        <is>
          <t>CR-1028</t>
        </is>
      </c>
      <c r="B1031" s="169" t="inlineStr">
        <is>
          <t>2026/27</t>
        </is>
      </c>
      <c r="C1031" s="231" t="n">
        <v>46188</v>
      </c>
      <c r="D1031" s="169" t="inlineStr"/>
      <c r="E1031" s="169" t="inlineStr">
        <is>
          <t>COMPRA</t>
        </is>
      </c>
      <c r="F1031" s="169" t="inlineStr">
        <is>
          <t>Mega Catalina</t>
        </is>
      </c>
      <c r="G1031" s="169" t="inlineStr">
        <is>
          <t>FINO 49 - 1999 (7,7 Ha.)</t>
        </is>
      </c>
      <c r="H1031" s="169" t="n"/>
      <c r="I1031" s="169" t="n"/>
      <c r="J1031" s="169" t="inlineStr">
        <is>
          <t>MANT. Y REP. PLANTACIONES</t>
        </is>
      </c>
      <c r="K1031" s="169" t="inlineStr">
        <is>
          <t>MANTENCION HUERTO</t>
        </is>
      </c>
      <c r="L1031" s="169" t="inlineStr">
        <is>
          <t>O/001733 MANTENCION</t>
        </is>
      </c>
      <c r="M1031" s="169" t="n"/>
      <c r="N1031" s="169" t="inlineStr">
        <is>
          <t>.   .   -</t>
        </is>
      </c>
      <c r="O1031" s="169" t="inlineStr">
        <is>
          <t>JUNIO</t>
        </is>
      </c>
      <c r="P1031" s="169" t="n">
        <v>23</v>
      </c>
      <c r="Q1031" s="171" t="n">
        <v>5573</v>
      </c>
      <c r="R1031" s="169" t="n"/>
      <c r="S1031" s="171" t="n">
        <v>5573</v>
      </c>
      <c r="T1031" s="169" t="inlineStr">
        <is>
          <t>CLP</t>
        </is>
      </c>
      <c r="U1031" s="169" t="inlineStr">
        <is>
          <t>Carga LH 18-06-26</t>
        </is>
      </c>
      <c r="V1031" s="169" t="inlineStr">
        <is>
          <t>2026-06-18</t>
        </is>
      </c>
    </row>
    <row r="1032">
      <c r="A1032" s="169" t="inlineStr">
        <is>
          <t>CR-1029</t>
        </is>
      </c>
      <c r="B1032" s="169" t="inlineStr">
        <is>
          <t>2026/27</t>
        </is>
      </c>
      <c r="C1032" s="231" t="n">
        <v>46188</v>
      </c>
      <c r="D1032" s="169" t="inlineStr"/>
      <c r="E1032" s="169" t="inlineStr">
        <is>
          <t>COMPRA</t>
        </is>
      </c>
      <c r="F1032" s="169" t="inlineStr">
        <is>
          <t>Sin asignar</t>
        </is>
      </c>
      <c r="G1032" s="169" t="inlineStr">
        <is>
          <t>EUREKA M-F 1999 (2,5 Ha.)</t>
        </is>
      </c>
      <c r="H1032" s="169" t="n"/>
      <c r="I1032" s="169" t="n"/>
      <c r="J1032" s="169" t="inlineStr">
        <is>
          <t>MANT. Y REP. PLANTACIONES</t>
        </is>
      </c>
      <c r="K1032" s="169" t="inlineStr">
        <is>
          <t>MANTENCION HUERTO</t>
        </is>
      </c>
      <c r="L1032" s="169" t="inlineStr">
        <is>
          <t>O/001733 MANTENCION</t>
        </is>
      </c>
      <c r="M1032" s="169" t="n"/>
      <c r="N1032" s="169" t="inlineStr">
        <is>
          <t>.   .   -</t>
        </is>
      </c>
      <c r="O1032" s="169" t="inlineStr">
        <is>
          <t>JUNIO</t>
        </is>
      </c>
      <c r="P1032" s="169" t="n">
        <v>23</v>
      </c>
      <c r="Q1032" s="171" t="n">
        <v>1809</v>
      </c>
      <c r="R1032" s="169" t="n"/>
      <c r="S1032" s="171" t="n">
        <v>1809</v>
      </c>
      <c r="T1032" s="169" t="inlineStr">
        <is>
          <t>CLP</t>
        </is>
      </c>
      <c r="U1032" s="169" t="inlineStr">
        <is>
          <t>Carga LH 18-06-26</t>
        </is>
      </c>
      <c r="V1032" s="169" t="inlineStr">
        <is>
          <t>2026-06-18</t>
        </is>
      </c>
    </row>
    <row r="1033">
      <c r="A1033" s="169" t="inlineStr">
        <is>
          <t>CR-1030</t>
        </is>
      </c>
      <c r="B1033" s="169" t="inlineStr">
        <is>
          <t>2026/27</t>
        </is>
      </c>
      <c r="C1033" s="231" t="n">
        <v>46188</v>
      </c>
      <c r="D1033" s="169" t="inlineStr"/>
      <c r="E1033" s="169" t="inlineStr">
        <is>
          <t>COMPRA</t>
        </is>
      </c>
      <c r="F1033" s="169" t="inlineStr">
        <is>
          <t>Mega Catalina</t>
        </is>
      </c>
      <c r="G1033" s="169" t="inlineStr">
        <is>
          <t>NARANJA CAMBRIA - 2009 (4,2 Ha.)</t>
        </is>
      </c>
      <c r="H1033" s="169" t="n"/>
      <c r="I1033" s="169" t="n"/>
      <c r="J1033" s="169" t="inlineStr">
        <is>
          <t>MANT. Y REP. PLANTACIONES</t>
        </is>
      </c>
      <c r="K1033" s="169" t="inlineStr">
        <is>
          <t>MANTENCION HUERTO</t>
        </is>
      </c>
      <c r="L1033" s="169" t="inlineStr">
        <is>
          <t>O/001733 MANTENCION</t>
        </is>
      </c>
      <c r="M1033" s="169" t="n"/>
      <c r="N1033" s="169" t="inlineStr">
        <is>
          <t>.   .   -</t>
        </is>
      </c>
      <c r="O1033" s="169" t="inlineStr">
        <is>
          <t>JUNIO</t>
        </is>
      </c>
      <c r="P1033" s="169" t="n">
        <v>23</v>
      </c>
      <c r="Q1033" s="171" t="n">
        <v>3040</v>
      </c>
      <c r="R1033" s="169" t="n"/>
      <c r="S1033" s="171" t="n">
        <v>3040</v>
      </c>
      <c r="T1033" s="169" t="inlineStr">
        <is>
          <t>CLP</t>
        </is>
      </c>
      <c r="U1033" s="169" t="inlineStr">
        <is>
          <t>Carga LH 18-06-26</t>
        </is>
      </c>
      <c r="V1033" s="169" t="inlineStr">
        <is>
          <t>2026-06-18</t>
        </is>
      </c>
    </row>
    <row r="1034">
      <c r="A1034" s="169" t="inlineStr">
        <is>
          <t>CR-1031</t>
        </is>
      </c>
      <c r="B1034" s="169" t="inlineStr">
        <is>
          <t>2026/27</t>
        </is>
      </c>
      <c r="C1034" s="231" t="n">
        <v>46188</v>
      </c>
      <c r="D1034" s="169" t="inlineStr"/>
      <c r="E1034" s="169" t="inlineStr">
        <is>
          <t>COMPRA</t>
        </is>
      </c>
      <c r="F1034" s="169" t="inlineStr">
        <is>
          <t>Mega Catalina</t>
        </is>
      </c>
      <c r="G1034" s="169" t="inlineStr">
        <is>
          <t>MURCOTT - 2007 (21 Ha.)</t>
        </is>
      </c>
      <c r="H1034" s="169" t="n"/>
      <c r="I1034" s="169" t="n"/>
      <c r="J1034" s="169" t="inlineStr">
        <is>
          <t>MANT. Y REP. PLANTACIONES</t>
        </is>
      </c>
      <c r="K1034" s="169" t="inlineStr">
        <is>
          <t>MANTENCION HUERTO</t>
        </is>
      </c>
      <c r="L1034" s="169" t="inlineStr">
        <is>
          <t>O/001733 MANTENCION</t>
        </is>
      </c>
      <c r="M1034" s="169" t="n"/>
      <c r="N1034" s="169" t="inlineStr">
        <is>
          <t>.   .   -</t>
        </is>
      </c>
      <c r="O1034" s="169" t="inlineStr">
        <is>
          <t>JUNIO</t>
        </is>
      </c>
      <c r="P1034" s="169" t="n">
        <v>23</v>
      </c>
      <c r="Q1034" s="171" t="n">
        <v>15199</v>
      </c>
      <c r="R1034" s="169" t="n"/>
      <c r="S1034" s="171" t="n">
        <v>15199</v>
      </c>
      <c r="T1034" s="169" t="inlineStr">
        <is>
          <t>CLP</t>
        </is>
      </c>
      <c r="U1034" s="169" t="inlineStr">
        <is>
          <t>Carga LH 18-06-26</t>
        </is>
      </c>
      <c r="V1034" s="169" t="inlineStr">
        <is>
          <t>2026-06-18</t>
        </is>
      </c>
    </row>
    <row r="1035">
      <c r="A1035" s="169" t="inlineStr">
        <is>
          <t>CR-1032</t>
        </is>
      </c>
      <c r="B1035" s="169" t="inlineStr">
        <is>
          <t>2026/27</t>
        </is>
      </c>
      <c r="C1035" s="231" t="n">
        <v>46188</v>
      </c>
      <c r="D1035" s="169" t="inlineStr"/>
      <c r="E1035" s="169" t="inlineStr">
        <is>
          <t>COMPRA</t>
        </is>
      </c>
      <c r="F1035" s="169" t="inlineStr">
        <is>
          <t>El Molle</t>
        </is>
      </c>
      <c r="G1035" s="169" t="inlineStr">
        <is>
          <t>ARRUFATINA - 2017 (5,74 Ha.)</t>
        </is>
      </c>
      <c r="H1035" s="169" t="n"/>
      <c r="I1035" s="169" t="n"/>
      <c r="J1035" s="169" t="inlineStr">
        <is>
          <t>ARRIENDOS</t>
        </is>
      </c>
      <c r="K1035" s="169" t="inlineStr">
        <is>
          <t>ARRIENDO MAQUINARIA</t>
        </is>
      </c>
      <c r="L1035" s="169" t="inlineStr">
        <is>
          <t>O/001743 ARRIENDO P</t>
        </is>
      </c>
      <c r="M1035" s="169" t="n"/>
      <c r="N1035" s="169" t="inlineStr">
        <is>
          <t>.   .   -</t>
        </is>
      </c>
      <c r="O1035" s="169" t="inlineStr">
        <is>
          <t>JUNIO</t>
        </is>
      </c>
      <c r="P1035" s="169" t="n">
        <v>23</v>
      </c>
      <c r="Q1035" s="171" t="n">
        <v>208274</v>
      </c>
      <c r="R1035" s="169" t="n"/>
      <c r="S1035" s="171" t="n">
        <v>208274</v>
      </c>
      <c r="T1035" s="169" t="inlineStr">
        <is>
          <t>CLP</t>
        </is>
      </c>
      <c r="U1035" s="169" t="inlineStr">
        <is>
          <t>Carga LH 18-06-26</t>
        </is>
      </c>
      <c r="V1035" s="169" t="inlineStr">
        <is>
          <t>2026-06-18</t>
        </is>
      </c>
    </row>
    <row r="1036">
      <c r="A1036" s="169" t="inlineStr">
        <is>
          <t>CR-1033</t>
        </is>
      </c>
      <c r="B1036" s="169" t="inlineStr">
        <is>
          <t>2026/27</t>
        </is>
      </c>
      <c r="C1036" s="231" t="n">
        <v>46188</v>
      </c>
      <c r="D1036" s="169" t="inlineStr"/>
      <c r="E1036" s="169" t="inlineStr">
        <is>
          <t>COMPRA</t>
        </is>
      </c>
      <c r="F1036" s="169" t="inlineStr">
        <is>
          <t>El Molle</t>
        </is>
      </c>
      <c r="G1036" s="169" t="inlineStr">
        <is>
          <t>ORONULES - 2017 (2,85 Ha.)</t>
        </is>
      </c>
      <c r="H1036" s="169" t="n"/>
      <c r="I1036" s="169" t="n"/>
      <c r="J1036" s="169" t="inlineStr">
        <is>
          <t>ARRIENDOS</t>
        </is>
      </c>
      <c r="K1036" s="169" t="inlineStr">
        <is>
          <t>ARRIENDO MAQUINARIA</t>
        </is>
      </c>
      <c r="L1036" s="169" t="inlineStr">
        <is>
          <t>O/001743 ARRIENDO T</t>
        </is>
      </c>
      <c r="M1036" s="169" t="n"/>
      <c r="N1036" s="169" t="inlineStr">
        <is>
          <t>.   .   -</t>
        </is>
      </c>
      <c r="O1036" s="169" t="inlineStr">
        <is>
          <t>JUNIO</t>
        </is>
      </c>
      <c r="P1036" s="169" t="n">
        <v>23</v>
      </c>
      <c r="Q1036" s="171" t="n">
        <v>103412</v>
      </c>
      <c r="R1036" s="169" t="n"/>
      <c r="S1036" s="171" t="n">
        <v>103412</v>
      </c>
      <c r="T1036" s="169" t="inlineStr">
        <is>
          <t>CLP</t>
        </is>
      </c>
      <c r="U1036" s="169" t="inlineStr">
        <is>
          <t>Carga LH 18-06-26</t>
        </is>
      </c>
      <c r="V1036" s="169" t="inlineStr">
        <is>
          <t>2026-06-18</t>
        </is>
      </c>
    </row>
    <row r="1037">
      <c r="A1037" s="169" t="inlineStr">
        <is>
          <t>CR-1034</t>
        </is>
      </c>
      <c r="B1037" s="169" t="inlineStr">
        <is>
          <t>2026/27</t>
        </is>
      </c>
      <c r="C1037" s="231" t="n">
        <v>46188</v>
      </c>
      <c r="D1037" s="169" t="inlineStr"/>
      <c r="E1037" s="169" t="inlineStr">
        <is>
          <t>COMPRA</t>
        </is>
      </c>
      <c r="F1037" s="169" t="inlineStr">
        <is>
          <t>Mega Catalina</t>
        </is>
      </c>
      <c r="G1037" s="169" t="inlineStr">
        <is>
          <t>ORONULES - 2019 (2,5 Ha.)</t>
        </is>
      </c>
      <c r="H1037" s="169" t="n"/>
      <c r="I1037" s="169" t="n"/>
      <c r="J1037" s="169" t="inlineStr">
        <is>
          <t>ARRIENDOS</t>
        </is>
      </c>
      <c r="K1037" s="169" t="inlineStr">
        <is>
          <t>ARRIENDO MAQUINARIA</t>
        </is>
      </c>
      <c r="L1037" s="169" t="inlineStr">
        <is>
          <t>O/001743 ARRIENDO P</t>
        </is>
      </c>
      <c r="M1037" s="169" t="n"/>
      <c r="N1037" s="169" t="inlineStr">
        <is>
          <t>.   .   -</t>
        </is>
      </c>
      <c r="O1037" s="169" t="inlineStr">
        <is>
          <t>JUNIO</t>
        </is>
      </c>
      <c r="P1037" s="169" t="n">
        <v>23</v>
      </c>
      <c r="Q1037" s="171" t="n">
        <v>90712</v>
      </c>
      <c r="R1037" s="169" t="n"/>
      <c r="S1037" s="171" t="n">
        <v>90712</v>
      </c>
      <c r="T1037" s="169" t="inlineStr">
        <is>
          <t>CLP</t>
        </is>
      </c>
      <c r="U1037" s="169" t="inlineStr">
        <is>
          <t>Carga LH 18-06-26</t>
        </is>
      </c>
      <c r="V1037" s="169" t="inlineStr">
        <is>
          <t>2026-06-18</t>
        </is>
      </c>
    </row>
    <row r="1038">
      <c r="A1038" s="169" t="inlineStr">
        <is>
          <t>CR-1035</t>
        </is>
      </c>
      <c r="B1038" s="169" t="inlineStr">
        <is>
          <t>2026/27</t>
        </is>
      </c>
      <c r="C1038" s="231" t="n">
        <v>46188</v>
      </c>
      <c r="D1038" s="169" t="inlineStr"/>
      <c r="E1038" s="169" t="inlineStr">
        <is>
          <t>COMPRA</t>
        </is>
      </c>
      <c r="F1038" s="169" t="inlineStr">
        <is>
          <t>El Molle</t>
        </is>
      </c>
      <c r="G1038" s="169" t="inlineStr">
        <is>
          <t>OROGRANDE - 2007 (8,11 Ha.)</t>
        </is>
      </c>
      <c r="H1038" s="169" t="n"/>
      <c r="I1038" s="169" t="n"/>
      <c r="J1038" s="169" t="inlineStr">
        <is>
          <t>ARRIENDOS</t>
        </is>
      </c>
      <c r="K1038" s="169" t="inlineStr">
        <is>
          <t>ARRIENDO MAQUINARIA</t>
        </is>
      </c>
      <c r="L1038" s="169" t="inlineStr">
        <is>
          <t>O/001743 ARRIENDO P</t>
        </is>
      </c>
      <c r="M1038" s="169" t="n"/>
      <c r="N1038" s="169" t="inlineStr">
        <is>
          <t>.   .   -</t>
        </is>
      </c>
      <c r="O1038" s="169" t="inlineStr">
        <is>
          <t>JUNIO</t>
        </is>
      </c>
      <c r="P1038" s="169" t="n">
        <v>23</v>
      </c>
      <c r="Q1038" s="171" t="n">
        <v>294269</v>
      </c>
      <c r="R1038" s="169" t="n"/>
      <c r="S1038" s="171" t="n">
        <v>294269</v>
      </c>
      <c r="T1038" s="169" t="inlineStr">
        <is>
          <t>CLP</t>
        </is>
      </c>
      <c r="U1038" s="169" t="inlineStr">
        <is>
          <t>Carga LH 18-06-26</t>
        </is>
      </c>
      <c r="V1038" s="169" t="inlineStr">
        <is>
          <t>2026-06-18</t>
        </is>
      </c>
    </row>
    <row r="1039">
      <c r="A1039" s="169" t="inlineStr">
        <is>
          <t>CR-1036</t>
        </is>
      </c>
      <c r="B1039" s="169" t="inlineStr">
        <is>
          <t>2026/27</t>
        </is>
      </c>
      <c r="C1039" s="231" t="n">
        <v>46189</v>
      </c>
      <c r="D1039" s="169" t="inlineStr">
        <is>
          <t>1</t>
        </is>
      </c>
      <c r="E1039" s="169" t="inlineStr">
        <is>
          <t>COMPRA</t>
        </is>
      </c>
      <c r="F1039" s="169" t="inlineStr">
        <is>
          <t>Mega Catalina</t>
        </is>
      </c>
      <c r="G1039" s="169" t="inlineStr">
        <is>
          <t>EUREKA - 1999 (22,5 Ha.)</t>
        </is>
      </c>
      <c r="H1039" s="169" t="n"/>
      <c r="I1039" s="169" t="n"/>
      <c r="J1039" s="169" t="inlineStr">
        <is>
          <t>LABORES OPERACIONALES</t>
        </is>
      </c>
      <c r="K1039" s="169" t="inlineStr">
        <is>
          <t>COSECHA</t>
        </is>
      </c>
      <c r="L1039" s="169" t="inlineStr">
        <is>
          <t>SERV.CONTRATISTA</t>
        </is>
      </c>
      <c r="M1039" s="169" t="n"/>
      <c r="N1039" s="169" t="inlineStr">
        <is>
          <t>.   .   -</t>
        </is>
      </c>
      <c r="O1039" s="169" t="inlineStr">
        <is>
          <t>JUNIO</t>
        </is>
      </c>
      <c r="P1039" s="169" t="n">
        <v>23</v>
      </c>
      <c r="Q1039" s="171" t="n">
        <v>1060240</v>
      </c>
      <c r="R1039" s="169" t="n"/>
      <c r="S1039" s="171" t="n">
        <v>1060240</v>
      </c>
      <c r="T1039" s="169" t="inlineStr">
        <is>
          <t>CLP</t>
        </is>
      </c>
      <c r="U1039" s="169" t="inlineStr">
        <is>
          <t>Carga LH 18-06-26</t>
        </is>
      </c>
      <c r="V1039" s="169" t="inlineStr">
        <is>
          <t>2026-06-18</t>
        </is>
      </c>
    </row>
    <row r="1040">
      <c r="A1040" s="169" t="inlineStr">
        <is>
          <t>CR-1037</t>
        </is>
      </c>
      <c r="B1040" s="169" t="inlineStr">
        <is>
          <t>2026/27</t>
        </is>
      </c>
      <c r="C1040" s="231" t="n">
        <v>46189</v>
      </c>
      <c r="D1040" s="169" t="inlineStr">
        <is>
          <t>1</t>
        </is>
      </c>
      <c r="E1040" s="169" t="inlineStr">
        <is>
          <t>COMPRA</t>
        </is>
      </c>
      <c r="F1040" s="169" t="inlineStr">
        <is>
          <t>Mega Catalina</t>
        </is>
      </c>
      <c r="G1040" s="169" t="inlineStr">
        <is>
          <t>EUREKA - 2016 (14,4 Ha.)</t>
        </is>
      </c>
      <c r="H1040" s="169" t="n"/>
      <c r="I1040" s="169" t="n"/>
      <c r="J1040" s="169" t="inlineStr">
        <is>
          <t>LABORES OPERACIONALES</t>
        </is>
      </c>
      <c r="K1040" s="169" t="inlineStr">
        <is>
          <t>COSECHA</t>
        </is>
      </c>
      <c r="L1040" s="169" t="inlineStr">
        <is>
          <t>SERV.CONTRATISTA</t>
        </is>
      </c>
      <c r="M1040" s="169" t="n"/>
      <c r="N1040" s="169" t="inlineStr">
        <is>
          <t>.   .   -</t>
        </is>
      </c>
      <c r="O1040" s="169" t="inlineStr">
        <is>
          <t>JUNIO</t>
        </is>
      </c>
      <c r="P1040" s="169" t="n">
        <v>23</v>
      </c>
      <c r="Q1040" s="171" t="n">
        <v>99680</v>
      </c>
      <c r="R1040" s="169" t="n"/>
      <c r="S1040" s="171" t="n">
        <v>99680</v>
      </c>
      <c r="T1040" s="169" t="inlineStr">
        <is>
          <t>CLP</t>
        </is>
      </c>
      <c r="U1040" s="169" t="inlineStr">
        <is>
          <t>Carga LH 18-06-26</t>
        </is>
      </c>
      <c r="V1040" s="169" t="inlineStr">
        <is>
          <t>2026-06-18</t>
        </is>
      </c>
    </row>
    <row r="1041">
      <c r="A1041" s="169" t="inlineStr">
        <is>
          <t>CR-1038</t>
        </is>
      </c>
      <c r="B1041" s="169" t="inlineStr">
        <is>
          <t>2026/27</t>
        </is>
      </c>
      <c r="C1041" s="231" t="n">
        <v>46189</v>
      </c>
      <c r="D1041" s="169" t="inlineStr">
        <is>
          <t>2</t>
        </is>
      </c>
      <c r="E1041" s="169" t="inlineStr">
        <is>
          <t>COMPRA</t>
        </is>
      </c>
      <c r="F1041" s="169" t="inlineStr">
        <is>
          <t>Mega Catalina</t>
        </is>
      </c>
      <c r="G1041" s="169" t="inlineStr">
        <is>
          <t>EUREKA - 1999 (10,6 Ha.)</t>
        </is>
      </c>
      <c r="H1041" s="169" t="n"/>
      <c r="I1041" s="169" t="n"/>
      <c r="J1041" s="169" t="inlineStr">
        <is>
          <t>LABORES OPERACIONALES</t>
        </is>
      </c>
      <c r="K1041" s="169" t="inlineStr">
        <is>
          <t>COSECHA</t>
        </is>
      </c>
      <c r="L1041" s="169" t="inlineStr">
        <is>
          <t>SERV.CONTRATISTA</t>
        </is>
      </c>
      <c r="M1041" s="169" t="n"/>
      <c r="N1041" s="169" t="inlineStr">
        <is>
          <t>.   .   -</t>
        </is>
      </c>
      <c r="O1041" s="169" t="inlineStr">
        <is>
          <t>JUNIO</t>
        </is>
      </c>
      <c r="P1041" s="169" t="n">
        <v>23</v>
      </c>
      <c r="Q1041" s="171" t="n">
        <v>549120</v>
      </c>
      <c r="R1041" s="169" t="n"/>
      <c r="S1041" s="171" t="n">
        <v>549120</v>
      </c>
      <c r="T1041" s="169" t="inlineStr">
        <is>
          <t>CLP</t>
        </is>
      </c>
      <c r="U1041" s="169" t="inlineStr">
        <is>
          <t>Carga LH 18-06-26</t>
        </is>
      </c>
      <c r="V1041" s="169" t="inlineStr">
        <is>
          <t>2026-06-18</t>
        </is>
      </c>
    </row>
    <row r="1042">
      <c r="A1042" s="169" t="inlineStr">
        <is>
          <t>CR-1039</t>
        </is>
      </c>
      <c r="B1042" s="169" t="inlineStr">
        <is>
          <t>2026/27</t>
        </is>
      </c>
      <c r="C1042" s="231" t="n">
        <v>46189</v>
      </c>
      <c r="D1042" s="169" t="inlineStr">
        <is>
          <t>3</t>
        </is>
      </c>
      <c r="E1042" s="169" t="inlineStr">
        <is>
          <t>COMPRA</t>
        </is>
      </c>
      <c r="F1042" s="169" t="inlineStr">
        <is>
          <t>Mega Catalina</t>
        </is>
      </c>
      <c r="G1042" s="169" t="inlineStr">
        <is>
          <t>EUREKA - 1999 (10,6 Ha.)</t>
        </is>
      </c>
      <c r="H1042" s="169" t="n"/>
      <c r="I1042" s="169" t="n"/>
      <c r="J1042" s="169" t="inlineStr">
        <is>
          <t>LABORES OPERACIONALES</t>
        </is>
      </c>
      <c r="K1042" s="169" t="inlineStr">
        <is>
          <t>COSECHA</t>
        </is>
      </c>
      <c r="L1042" s="169" t="inlineStr">
        <is>
          <t>SERV.CONTRATISTA</t>
        </is>
      </c>
      <c r="M1042" s="169" t="n"/>
      <c r="N1042" s="169" t="inlineStr">
        <is>
          <t>.   .   -</t>
        </is>
      </c>
      <c r="O1042" s="169" t="inlineStr">
        <is>
          <t>JUNIO</t>
        </is>
      </c>
      <c r="P1042" s="169" t="n">
        <v>23</v>
      </c>
      <c r="Q1042" s="171" t="n">
        <v>342160</v>
      </c>
      <c r="R1042" s="169" t="n"/>
      <c r="S1042" s="171" t="n">
        <v>342160</v>
      </c>
      <c r="T1042" s="169" t="inlineStr">
        <is>
          <t>CLP</t>
        </is>
      </c>
      <c r="U1042" s="169" t="inlineStr">
        <is>
          <t>Carga LH 18-06-26</t>
        </is>
      </c>
      <c r="V1042" s="169" t="inlineStr">
        <is>
          <t>2026-06-18</t>
        </is>
      </c>
    </row>
    <row r="1043">
      <c r="A1043" s="169" t="inlineStr">
        <is>
          <t>CR-1040</t>
        </is>
      </c>
      <c r="B1043" s="169" t="inlineStr">
        <is>
          <t>2026/27</t>
        </is>
      </c>
      <c r="C1043" s="231" t="n">
        <v>46189</v>
      </c>
      <c r="D1043" s="169" t="inlineStr">
        <is>
          <t>3</t>
        </is>
      </c>
      <c r="E1043" s="169" t="inlineStr">
        <is>
          <t>COMPRA</t>
        </is>
      </c>
      <c r="F1043" s="169" t="inlineStr">
        <is>
          <t>Mega Catalina</t>
        </is>
      </c>
      <c r="G1043" s="169" t="inlineStr">
        <is>
          <t>EUREKA - 2016 (14,4 Ha.)</t>
        </is>
      </c>
      <c r="H1043" s="169" t="n"/>
      <c r="I1043" s="169" t="n"/>
      <c r="J1043" s="169" t="inlineStr">
        <is>
          <t>LABORES OPERACIONALES</t>
        </is>
      </c>
      <c r="K1043" s="169" t="inlineStr">
        <is>
          <t>COSECHA</t>
        </is>
      </c>
      <c r="L1043" s="169" t="inlineStr">
        <is>
          <t>SERV.CONTRATISTA</t>
        </is>
      </c>
      <c r="M1043" s="169" t="n"/>
      <c r="N1043" s="169" t="inlineStr">
        <is>
          <t>.   .   -</t>
        </is>
      </c>
      <c r="O1043" s="169" t="inlineStr">
        <is>
          <t>JUNIO</t>
        </is>
      </c>
      <c r="P1043" s="169" t="n">
        <v>23</v>
      </c>
      <c r="Q1043" s="171" t="n">
        <v>700080</v>
      </c>
      <c r="R1043" s="169" t="n"/>
      <c r="S1043" s="171" t="n">
        <v>700080</v>
      </c>
      <c r="T1043" s="169" t="inlineStr">
        <is>
          <t>CLP</t>
        </is>
      </c>
      <c r="U1043" s="169" t="inlineStr">
        <is>
          <t>Carga LH 18-06-26</t>
        </is>
      </c>
      <c r="V1043" s="169" t="inlineStr">
        <is>
          <t>2026-06-18</t>
        </is>
      </c>
    </row>
    <row r="1044">
      <c r="A1044" s="169" t="inlineStr">
        <is>
          <t>CR-1041</t>
        </is>
      </c>
      <c r="B1044" s="169" t="inlineStr">
        <is>
          <t>2026/27</t>
        </is>
      </c>
      <c r="C1044" s="231" t="n">
        <v>46189</v>
      </c>
      <c r="D1044" s="169" t="inlineStr">
        <is>
          <t>3</t>
        </is>
      </c>
      <c r="E1044" s="169" t="inlineStr">
        <is>
          <t>COMPRA</t>
        </is>
      </c>
      <c r="F1044" s="169" t="inlineStr">
        <is>
          <t>Mega Catalina</t>
        </is>
      </c>
      <c r="G1044" s="169" t="inlineStr">
        <is>
          <t>FINO 49 - 1999 (7,7 Ha.)</t>
        </is>
      </c>
      <c r="H1044" s="169" t="n"/>
      <c r="I1044" s="169" t="n"/>
      <c r="J1044" s="169" t="inlineStr">
        <is>
          <t>LABORES OPERACIONALES</t>
        </is>
      </c>
      <c r="K1044" s="169" t="inlineStr">
        <is>
          <t>COSECHA</t>
        </is>
      </c>
      <c r="L1044" s="169" t="inlineStr">
        <is>
          <t>SERV.CONTRATISTA</t>
        </is>
      </c>
      <c r="M1044" s="169" t="n"/>
      <c r="N1044" s="169" t="inlineStr">
        <is>
          <t>.   .   -</t>
        </is>
      </c>
      <c r="O1044" s="169" t="inlineStr">
        <is>
          <t>JUNIO</t>
        </is>
      </c>
      <c r="P1044" s="169" t="n">
        <v>23</v>
      </c>
      <c r="Q1044" s="171" t="n">
        <v>564560</v>
      </c>
      <c r="R1044" s="169" t="n"/>
      <c r="S1044" s="171" t="n">
        <v>564560</v>
      </c>
      <c r="T1044" s="169" t="inlineStr">
        <is>
          <t>CLP</t>
        </is>
      </c>
      <c r="U1044" s="169" t="inlineStr">
        <is>
          <t>Carga LH 18-06-26</t>
        </is>
      </c>
      <c r="V1044" s="169" t="inlineStr">
        <is>
          <t>2026-06-18</t>
        </is>
      </c>
    </row>
    <row r="1045">
      <c r="A1045" s="169" t="inlineStr">
        <is>
          <t>CR-1042</t>
        </is>
      </c>
      <c r="B1045" s="169" t="inlineStr">
        <is>
          <t>2026/27</t>
        </is>
      </c>
      <c r="C1045" s="231" t="n">
        <v>46189</v>
      </c>
      <c r="D1045" s="169" t="inlineStr">
        <is>
          <t>1031</t>
        </is>
      </c>
      <c r="E1045" s="169" t="inlineStr">
        <is>
          <t>COMPRA</t>
        </is>
      </c>
      <c r="F1045" s="169" t="inlineStr">
        <is>
          <t>Mega Catalina</t>
        </is>
      </c>
      <c r="G1045" s="169" t="inlineStr">
        <is>
          <t>EUREKA - 1999 (22,5 Ha.)</t>
        </is>
      </c>
      <c r="H1045" s="169" t="n"/>
      <c r="I1045" s="169" t="n"/>
      <c r="J1045" s="169" t="inlineStr">
        <is>
          <t>LABORES OPERACIONALES</t>
        </is>
      </c>
      <c r="K1045" s="169" t="inlineStr">
        <is>
          <t>COSECHA</t>
        </is>
      </c>
      <c r="L1045" s="169" t="inlineStr">
        <is>
          <t>SERV.CONTRATISTA</t>
        </is>
      </c>
      <c r="M1045" s="169" t="n"/>
      <c r="N1045" s="169" t="inlineStr">
        <is>
          <t>.   .   -</t>
        </is>
      </c>
      <c r="O1045" s="169" t="inlineStr">
        <is>
          <t>JUNIO</t>
        </is>
      </c>
      <c r="P1045" s="169" t="n">
        <v>23</v>
      </c>
      <c r="Q1045" s="171" t="n">
        <v>745440</v>
      </c>
      <c r="R1045" s="169" t="n"/>
      <c r="S1045" s="171" t="n">
        <v>745440</v>
      </c>
      <c r="T1045" s="169" t="inlineStr">
        <is>
          <t>CLP</t>
        </is>
      </c>
      <c r="U1045" s="169" t="inlineStr">
        <is>
          <t>Carga LH 18-06-26</t>
        </is>
      </c>
      <c r="V1045" s="169" t="inlineStr">
        <is>
          <t>2026-06-18</t>
        </is>
      </c>
    </row>
    <row r="1046">
      <c r="A1046" s="169" t="inlineStr">
        <is>
          <t>CR-1043</t>
        </is>
      </c>
      <c r="B1046" s="169" t="inlineStr">
        <is>
          <t>2026/27</t>
        </is>
      </c>
      <c r="C1046" s="231" t="n">
        <v>46189</v>
      </c>
      <c r="D1046" s="169" t="inlineStr">
        <is>
          <t>1031</t>
        </is>
      </c>
      <c r="E1046" s="169" t="inlineStr">
        <is>
          <t>COMPRA</t>
        </is>
      </c>
      <c r="F1046" s="169" t="inlineStr">
        <is>
          <t>Mega Catalina</t>
        </is>
      </c>
      <c r="G1046" s="169" t="inlineStr">
        <is>
          <t>EUREKA - 1999 (10,6 Ha.)</t>
        </is>
      </c>
      <c r="H1046" s="169" t="n"/>
      <c r="I1046" s="169" t="n"/>
      <c r="J1046" s="169" t="inlineStr">
        <is>
          <t>LABORES OPERACIONALES</t>
        </is>
      </c>
      <c r="K1046" s="169" t="inlineStr">
        <is>
          <t>COSECHA</t>
        </is>
      </c>
      <c r="L1046" s="169" t="inlineStr">
        <is>
          <t>SERV.CONTRATISTA</t>
        </is>
      </c>
      <c r="M1046" s="169" t="n"/>
      <c r="N1046" s="169" t="inlineStr">
        <is>
          <t>.   .   -</t>
        </is>
      </c>
      <c r="O1046" s="169" t="inlineStr">
        <is>
          <t>JUNIO</t>
        </is>
      </c>
      <c r="P1046" s="169" t="n">
        <v>23</v>
      </c>
      <c r="Q1046" s="171" t="n">
        <v>228080</v>
      </c>
      <c r="R1046" s="169" t="n"/>
      <c r="S1046" s="171" t="n">
        <v>228080</v>
      </c>
      <c r="T1046" s="169" t="inlineStr">
        <is>
          <t>CLP</t>
        </is>
      </c>
      <c r="U1046" s="169" t="inlineStr">
        <is>
          <t>Carga LH 18-06-26</t>
        </is>
      </c>
      <c r="V1046" s="169" t="inlineStr">
        <is>
          <t>2026-06-18</t>
        </is>
      </c>
    </row>
    <row r="1047">
      <c r="A1047" s="169" t="inlineStr">
        <is>
          <t>CR-1044</t>
        </is>
      </c>
      <c r="B1047" s="169" t="inlineStr">
        <is>
          <t>2026/27</t>
        </is>
      </c>
      <c r="C1047" s="231" t="n">
        <v>46189</v>
      </c>
      <c r="D1047" s="169" t="inlineStr">
        <is>
          <t>1031</t>
        </is>
      </c>
      <c r="E1047" s="169" t="inlineStr">
        <is>
          <t>COMPRA</t>
        </is>
      </c>
      <c r="F1047" s="169" t="inlineStr">
        <is>
          <t>Mega Catalina</t>
        </is>
      </c>
      <c r="G1047" s="169" t="inlineStr">
        <is>
          <t>EUREKA - 2016 (14,4 Ha.)</t>
        </is>
      </c>
      <c r="H1047" s="169" t="n"/>
      <c r="I1047" s="169" t="n"/>
      <c r="J1047" s="169" t="inlineStr">
        <is>
          <t>LABORES OPERACIONALES</t>
        </is>
      </c>
      <c r="K1047" s="169" t="inlineStr">
        <is>
          <t>COSECHA</t>
        </is>
      </c>
      <c r="L1047" s="169" t="inlineStr">
        <is>
          <t>SERV.CONTRATISTA</t>
        </is>
      </c>
      <c r="M1047" s="169" t="n"/>
      <c r="N1047" s="169" t="inlineStr">
        <is>
          <t>.   .   -</t>
        </is>
      </c>
      <c r="O1047" s="169" t="inlineStr">
        <is>
          <t>JUNIO</t>
        </is>
      </c>
      <c r="P1047" s="169" t="n">
        <v>23</v>
      </c>
      <c r="Q1047" s="171" t="n">
        <v>447280</v>
      </c>
      <c r="R1047" s="169" t="n"/>
      <c r="S1047" s="171" t="n">
        <v>447280</v>
      </c>
      <c r="T1047" s="169" t="inlineStr">
        <is>
          <t>CLP</t>
        </is>
      </c>
      <c r="U1047" s="169" t="inlineStr">
        <is>
          <t>Carga LH 18-06-26</t>
        </is>
      </c>
      <c r="V1047" s="169" t="inlineStr">
        <is>
          <t>2026-06-18</t>
        </is>
      </c>
    </row>
    <row r="1048">
      <c r="A1048" s="169" t="inlineStr">
        <is>
          <t>CR-1045</t>
        </is>
      </c>
      <c r="B1048" s="169" t="inlineStr">
        <is>
          <t>2026/27</t>
        </is>
      </c>
      <c r="C1048" s="231" t="n">
        <v>46189</v>
      </c>
      <c r="D1048" s="169" t="inlineStr">
        <is>
          <t>866</t>
        </is>
      </c>
      <c r="E1048" s="169" t="inlineStr">
        <is>
          <t>COMPRA</t>
        </is>
      </c>
      <c r="F1048" s="169" t="inlineStr">
        <is>
          <t>Mega Catalina</t>
        </is>
      </c>
      <c r="G1048" s="169" t="inlineStr">
        <is>
          <t>EUREKA - 1999 (22,5 Ha.)</t>
        </is>
      </c>
      <c r="H1048" s="169" t="n"/>
      <c r="I1048" s="169" t="n"/>
      <c r="J1048" s="169" t="inlineStr">
        <is>
          <t>LABORES OPERACIONALES</t>
        </is>
      </c>
      <c r="K1048" s="169" t="inlineStr">
        <is>
          <t>COSECHA</t>
        </is>
      </c>
      <c r="L1048" s="169" t="inlineStr">
        <is>
          <t>SERV.CONTRATISTA</t>
        </is>
      </c>
      <c r="M1048" s="169" t="n"/>
      <c r="N1048" s="169" t="inlineStr">
        <is>
          <t>.   .   -</t>
        </is>
      </c>
      <c r="O1048" s="169" t="inlineStr">
        <is>
          <t>JUNIO</t>
        </is>
      </c>
      <c r="P1048" s="169" t="n">
        <v>23</v>
      </c>
      <c r="Q1048" s="171" t="n">
        <v>1724960</v>
      </c>
      <c r="R1048" s="169" t="n"/>
      <c r="S1048" s="171" t="n">
        <v>1724960</v>
      </c>
      <c r="T1048" s="169" t="inlineStr">
        <is>
          <t>CLP</t>
        </is>
      </c>
      <c r="U1048" s="169" t="inlineStr">
        <is>
          <t>Carga LH 18-06-26</t>
        </is>
      </c>
      <c r="V1048" s="169" t="inlineStr">
        <is>
          <t>2026-06-18</t>
        </is>
      </c>
    </row>
    <row r="1049">
      <c r="A1049" s="169" t="inlineStr">
        <is>
          <t>CR-1046</t>
        </is>
      </c>
      <c r="B1049" s="169" t="inlineStr">
        <is>
          <t>2026/27</t>
        </is>
      </c>
      <c r="C1049" s="231" t="n">
        <v>46189</v>
      </c>
      <c r="D1049" s="169" t="inlineStr">
        <is>
          <t>866</t>
        </is>
      </c>
      <c r="E1049" s="169" t="inlineStr">
        <is>
          <t>COMPRA</t>
        </is>
      </c>
      <c r="F1049" s="169" t="inlineStr">
        <is>
          <t>Mega Catalina</t>
        </is>
      </c>
      <c r="G1049" s="169" t="inlineStr">
        <is>
          <t>EUREKA - 1999 (10,6 Ha.)</t>
        </is>
      </c>
      <c r="H1049" s="169" t="n"/>
      <c r="I1049" s="169" t="n"/>
      <c r="J1049" s="169" t="inlineStr">
        <is>
          <t>LABORES OPERACIONALES</t>
        </is>
      </c>
      <c r="K1049" s="169" t="inlineStr">
        <is>
          <t>COSECHA</t>
        </is>
      </c>
      <c r="L1049" s="169" t="inlineStr">
        <is>
          <t>SERV.CONTRATISTA</t>
        </is>
      </c>
      <c r="M1049" s="169" t="n"/>
      <c r="N1049" s="169" t="inlineStr">
        <is>
          <t>.   .   -</t>
        </is>
      </c>
      <c r="O1049" s="169" t="inlineStr">
        <is>
          <t>JUNIO</t>
        </is>
      </c>
      <c r="P1049" s="169" t="n">
        <v>23</v>
      </c>
      <c r="Q1049" s="171" t="n">
        <v>502640</v>
      </c>
      <c r="R1049" s="169" t="n"/>
      <c r="S1049" s="171" t="n">
        <v>502640</v>
      </c>
      <c r="T1049" s="169" t="inlineStr">
        <is>
          <t>CLP</t>
        </is>
      </c>
      <c r="U1049" s="169" t="inlineStr">
        <is>
          <t>Carga LH 18-06-26</t>
        </is>
      </c>
      <c r="V1049" s="169" t="inlineStr">
        <is>
          <t>2026-06-18</t>
        </is>
      </c>
    </row>
    <row r="1050">
      <c r="A1050" s="169" t="inlineStr">
        <is>
          <t>CR-1047</t>
        </is>
      </c>
      <c r="B1050" s="169" t="inlineStr">
        <is>
          <t>2026/27</t>
        </is>
      </c>
      <c r="C1050" s="231" t="n">
        <v>46189</v>
      </c>
      <c r="D1050" s="169" t="inlineStr">
        <is>
          <t>866</t>
        </is>
      </c>
      <c r="E1050" s="169" t="inlineStr">
        <is>
          <t>COMPRA</t>
        </is>
      </c>
      <c r="F1050" s="169" t="inlineStr">
        <is>
          <t>Mega Catalina</t>
        </is>
      </c>
      <c r="G1050" s="169" t="inlineStr">
        <is>
          <t>EUREKA - 2016 (14,4 Ha.)</t>
        </is>
      </c>
      <c r="H1050" s="169" t="n"/>
      <c r="I1050" s="169" t="n"/>
      <c r="J1050" s="169" t="inlineStr">
        <is>
          <t>LABORES OPERACIONALES</t>
        </is>
      </c>
      <c r="K1050" s="169" t="inlineStr">
        <is>
          <t>COSECHA</t>
        </is>
      </c>
      <c r="L1050" s="169" t="inlineStr">
        <is>
          <t>SERV.CONTRATISTA</t>
        </is>
      </c>
      <c r="M1050" s="169" t="n"/>
      <c r="N1050" s="169" t="inlineStr">
        <is>
          <t>.   .   -</t>
        </is>
      </c>
      <c r="O1050" s="169" t="inlineStr">
        <is>
          <t>JUNIO</t>
        </is>
      </c>
      <c r="P1050" s="169" t="n">
        <v>23</v>
      </c>
      <c r="Q1050" s="171" t="n">
        <v>570720</v>
      </c>
      <c r="R1050" s="169" t="n"/>
      <c r="S1050" s="171" t="n">
        <v>570720</v>
      </c>
      <c r="T1050" s="169" t="inlineStr">
        <is>
          <t>CLP</t>
        </is>
      </c>
      <c r="U1050" s="169" t="inlineStr">
        <is>
          <t>Carga LH 18-06-26</t>
        </is>
      </c>
      <c r="V1050" s="169" t="inlineStr">
        <is>
          <t>2026-06-18</t>
        </is>
      </c>
    </row>
    <row r="1051">
      <c r="A1051" s="169" t="inlineStr">
        <is>
          <t>CR-1048</t>
        </is>
      </c>
      <c r="B1051" s="169" t="inlineStr">
        <is>
          <t>2026/27</t>
        </is>
      </c>
      <c r="C1051" s="231" t="n">
        <v>46189</v>
      </c>
      <c r="D1051" s="169" t="inlineStr">
        <is>
          <t>224</t>
        </is>
      </c>
      <c r="E1051" s="169" t="inlineStr">
        <is>
          <t>COMPRA</t>
        </is>
      </c>
      <c r="F1051" s="169" t="inlineStr">
        <is>
          <t>Mega Catalina</t>
        </is>
      </c>
      <c r="G1051" s="169" t="inlineStr">
        <is>
          <t>EUREKA - 1999 (22,5 Ha.)</t>
        </is>
      </c>
      <c r="H1051" s="169" t="n"/>
      <c r="I1051" s="169" t="n"/>
      <c r="J1051" s="169" t="inlineStr">
        <is>
          <t>LABORES OPERACIONALES</t>
        </is>
      </c>
      <c r="K1051" s="169" t="inlineStr">
        <is>
          <t>COSECHA</t>
        </is>
      </c>
      <c r="L1051" s="169" t="inlineStr">
        <is>
          <t>SERV.CONTRATISTA</t>
        </is>
      </c>
      <c r="M1051" s="169" t="n"/>
      <c r="N1051" s="169" t="inlineStr">
        <is>
          <t>.   .   -</t>
        </is>
      </c>
      <c r="O1051" s="169" t="inlineStr">
        <is>
          <t>JUNIO</t>
        </is>
      </c>
      <c r="P1051" s="169" t="n">
        <v>23</v>
      </c>
      <c r="Q1051" s="171" t="n">
        <v>1729040</v>
      </c>
      <c r="R1051" s="169" t="n"/>
      <c r="S1051" s="171" t="n">
        <v>1729040</v>
      </c>
      <c r="T1051" s="169" t="inlineStr">
        <is>
          <t>CLP</t>
        </is>
      </c>
      <c r="U1051" s="169" t="inlineStr">
        <is>
          <t>Carga LH 18-06-26</t>
        </is>
      </c>
      <c r="V1051" s="169" t="inlineStr">
        <is>
          <t>2026-06-18</t>
        </is>
      </c>
    </row>
    <row r="1052">
      <c r="A1052" s="169" t="inlineStr">
        <is>
          <t>CR-1049</t>
        </is>
      </c>
      <c r="B1052" s="169" t="inlineStr">
        <is>
          <t>2026/27</t>
        </is>
      </c>
      <c r="C1052" s="231" t="n">
        <v>46189</v>
      </c>
      <c r="D1052" s="169" t="inlineStr">
        <is>
          <t>224</t>
        </is>
      </c>
      <c r="E1052" s="169" t="inlineStr">
        <is>
          <t>COMPRA</t>
        </is>
      </c>
      <c r="F1052" s="169" t="inlineStr">
        <is>
          <t>Mega Catalina</t>
        </is>
      </c>
      <c r="G1052" s="169" t="inlineStr">
        <is>
          <t>EUREKA - 1999 (10,6 Ha.)</t>
        </is>
      </c>
      <c r="H1052" s="169" t="n"/>
      <c r="I1052" s="169" t="n"/>
      <c r="J1052" s="169" t="inlineStr">
        <is>
          <t>LABORES OPERACIONALES</t>
        </is>
      </c>
      <c r="K1052" s="169" t="inlineStr">
        <is>
          <t>COSECHA</t>
        </is>
      </c>
      <c r="L1052" s="169" t="inlineStr">
        <is>
          <t>SERV.CONTRATISTA</t>
        </is>
      </c>
      <c r="M1052" s="169" t="n"/>
      <c r="N1052" s="169" t="inlineStr">
        <is>
          <t>.   .   -</t>
        </is>
      </c>
      <c r="O1052" s="169" t="inlineStr">
        <is>
          <t>JUNIO</t>
        </is>
      </c>
      <c r="P1052" s="169" t="n">
        <v>23</v>
      </c>
      <c r="Q1052" s="171" t="n">
        <v>422400</v>
      </c>
      <c r="R1052" s="169" t="n"/>
      <c r="S1052" s="171" t="n">
        <v>422400</v>
      </c>
      <c r="T1052" s="169" t="inlineStr">
        <is>
          <t>CLP</t>
        </is>
      </c>
      <c r="U1052" s="169" t="inlineStr">
        <is>
          <t>Carga LH 18-06-26</t>
        </is>
      </c>
      <c r="V1052" s="169" t="inlineStr">
        <is>
          <t>2026-06-18</t>
        </is>
      </c>
    </row>
    <row r="1053">
      <c r="A1053" s="169" t="inlineStr">
        <is>
          <t>CR-1050</t>
        </is>
      </c>
      <c r="B1053" s="169" t="inlineStr">
        <is>
          <t>2026/27</t>
        </is>
      </c>
      <c r="C1053" s="231" t="n">
        <v>46189</v>
      </c>
      <c r="D1053" s="169" t="inlineStr">
        <is>
          <t>224</t>
        </is>
      </c>
      <c r="E1053" s="169" t="inlineStr">
        <is>
          <t>COMPRA</t>
        </is>
      </c>
      <c r="F1053" s="169" t="inlineStr">
        <is>
          <t>Mega Catalina</t>
        </is>
      </c>
      <c r="G1053" s="169" t="inlineStr">
        <is>
          <t>EUREKA - 2016 (14,4 Ha.)</t>
        </is>
      </c>
      <c r="H1053" s="169" t="n"/>
      <c r="I1053" s="169" t="n"/>
      <c r="J1053" s="169" t="inlineStr">
        <is>
          <t>LABORES OPERACIONALES</t>
        </is>
      </c>
      <c r="K1053" s="169" t="inlineStr">
        <is>
          <t>COSECHA</t>
        </is>
      </c>
      <c r="L1053" s="169" t="inlineStr">
        <is>
          <t>SERV.CONTRATISTA</t>
        </is>
      </c>
      <c r="M1053" s="169" t="n"/>
      <c r="N1053" s="169" t="inlineStr">
        <is>
          <t>.   .   -</t>
        </is>
      </c>
      <c r="O1053" s="169" t="inlineStr">
        <is>
          <t>JUNIO</t>
        </is>
      </c>
      <c r="P1053" s="169" t="n">
        <v>23</v>
      </c>
      <c r="Q1053" s="171" t="n">
        <v>595120</v>
      </c>
      <c r="R1053" s="169" t="n"/>
      <c r="S1053" s="171" t="n">
        <v>595120</v>
      </c>
      <c r="T1053" s="169" t="inlineStr">
        <is>
          <t>CLP</t>
        </is>
      </c>
      <c r="U1053" s="169" t="inlineStr">
        <is>
          <t>Carga LH 18-06-26</t>
        </is>
      </c>
      <c r="V1053" s="169" t="inlineStr">
        <is>
          <t>2026-06-18</t>
        </is>
      </c>
    </row>
    <row r="1054">
      <c r="A1054" s="169" t="inlineStr">
        <is>
          <t>CR-1051</t>
        </is>
      </c>
      <c r="B1054" s="169" t="inlineStr">
        <is>
          <t>2026/27</t>
        </is>
      </c>
      <c r="C1054" s="231" t="n">
        <v>46189</v>
      </c>
      <c r="D1054" s="169" t="inlineStr">
        <is>
          <t>4</t>
        </is>
      </c>
      <c r="E1054" s="169" t="inlineStr">
        <is>
          <t>COMPRA</t>
        </is>
      </c>
      <c r="F1054" s="169" t="inlineStr">
        <is>
          <t>Mega Catalina</t>
        </is>
      </c>
      <c r="G1054" s="169" t="inlineStr">
        <is>
          <t>EUREKA - 1999 (22,5 Ha.)</t>
        </is>
      </c>
      <c r="H1054" s="169" t="n"/>
      <c r="I1054" s="169" t="n"/>
      <c r="J1054" s="169" t="inlineStr">
        <is>
          <t>LABORES OPERACIONALES</t>
        </is>
      </c>
      <c r="K1054" s="169" t="inlineStr">
        <is>
          <t>COSECHA</t>
        </is>
      </c>
      <c r="L1054" s="169" t="inlineStr">
        <is>
          <t>SERV.CONTRATISTA</t>
        </is>
      </c>
      <c r="M1054" s="169" t="n"/>
      <c r="N1054" s="169" t="inlineStr">
        <is>
          <t>.   .   -</t>
        </is>
      </c>
      <c r="O1054" s="169" t="inlineStr">
        <is>
          <t>JUNIO</t>
        </is>
      </c>
      <c r="P1054" s="169" t="n">
        <v>23</v>
      </c>
      <c r="Q1054" s="171" t="n">
        <v>783680</v>
      </c>
      <c r="R1054" s="169" t="n"/>
      <c r="S1054" s="171" t="n">
        <v>783680</v>
      </c>
      <c r="T1054" s="169" t="inlineStr">
        <is>
          <t>CLP</t>
        </is>
      </c>
      <c r="U1054" s="169" t="inlineStr">
        <is>
          <t>Carga LH 18-06-26</t>
        </is>
      </c>
      <c r="V1054" s="169" t="inlineStr">
        <is>
          <t>2026-06-18</t>
        </is>
      </c>
    </row>
    <row r="1055">
      <c r="A1055" s="169" t="inlineStr">
        <is>
          <t>CR-1052</t>
        </is>
      </c>
      <c r="B1055" s="169" t="inlineStr">
        <is>
          <t>2026/27</t>
        </is>
      </c>
      <c r="C1055" s="231" t="n">
        <v>46189</v>
      </c>
      <c r="D1055" s="169" t="inlineStr">
        <is>
          <t>4</t>
        </is>
      </c>
      <c r="E1055" s="169" t="inlineStr">
        <is>
          <t>COMPRA</t>
        </is>
      </c>
      <c r="F1055" s="169" t="inlineStr">
        <is>
          <t>Mega Catalina</t>
        </is>
      </c>
      <c r="G1055" s="169" t="inlineStr">
        <is>
          <t>EUREKA - 1999 (10,6 Ha.)</t>
        </is>
      </c>
      <c r="H1055" s="169" t="n"/>
      <c r="I1055" s="169" t="n"/>
      <c r="J1055" s="169" t="inlineStr">
        <is>
          <t>LABORES OPERACIONALES</t>
        </is>
      </c>
      <c r="K1055" s="169" t="inlineStr">
        <is>
          <t>COSECHA</t>
        </is>
      </c>
      <c r="L1055" s="169" t="inlineStr">
        <is>
          <t>SERV.CONTRATISTA</t>
        </is>
      </c>
      <c r="M1055" s="169" t="n"/>
      <c r="N1055" s="169" t="inlineStr">
        <is>
          <t>.   .   -</t>
        </is>
      </c>
      <c r="O1055" s="169" t="inlineStr">
        <is>
          <t>JUNIO</t>
        </is>
      </c>
      <c r="P1055" s="169" t="n">
        <v>23</v>
      </c>
      <c r="Q1055" s="171" t="n">
        <v>324720</v>
      </c>
      <c r="R1055" s="169" t="n"/>
      <c r="S1055" s="171" t="n">
        <v>324720</v>
      </c>
      <c r="T1055" s="169" t="inlineStr">
        <is>
          <t>CLP</t>
        </is>
      </c>
      <c r="U1055" s="169" t="inlineStr">
        <is>
          <t>Carga LH 18-06-26</t>
        </is>
      </c>
      <c r="V1055" s="169" t="inlineStr">
        <is>
          <t>2026-06-18</t>
        </is>
      </c>
    </row>
    <row r="1056">
      <c r="A1056" s="169" t="inlineStr">
        <is>
          <t>CR-1053</t>
        </is>
      </c>
      <c r="B1056" s="169" t="inlineStr">
        <is>
          <t>2026/27</t>
        </is>
      </c>
      <c r="C1056" s="231" t="n">
        <v>46189</v>
      </c>
      <c r="D1056" s="169" t="inlineStr">
        <is>
          <t>4</t>
        </is>
      </c>
      <c r="E1056" s="169" t="inlineStr">
        <is>
          <t>COMPRA</t>
        </is>
      </c>
      <c r="F1056" s="169" t="inlineStr">
        <is>
          <t>Mega Catalina</t>
        </is>
      </c>
      <c r="G1056" s="169" t="inlineStr">
        <is>
          <t>EUREKA - 2016 (14,4 Ha.)</t>
        </is>
      </c>
      <c r="H1056" s="169" t="n"/>
      <c r="I1056" s="169" t="n"/>
      <c r="J1056" s="169" t="inlineStr">
        <is>
          <t>LABORES OPERACIONALES</t>
        </is>
      </c>
      <c r="K1056" s="169" t="inlineStr">
        <is>
          <t>COSECHA</t>
        </is>
      </c>
      <c r="L1056" s="169" t="inlineStr">
        <is>
          <t>SERV.CONTRATISTA</t>
        </is>
      </c>
      <c r="M1056" s="169" t="n"/>
      <c r="N1056" s="169" t="inlineStr">
        <is>
          <t>.   .   -</t>
        </is>
      </c>
      <c r="O1056" s="169" t="inlineStr">
        <is>
          <t>JUNIO</t>
        </is>
      </c>
      <c r="P1056" s="169" t="n">
        <v>23</v>
      </c>
      <c r="Q1056" s="171" t="n">
        <v>754640</v>
      </c>
      <c r="R1056" s="169" t="n"/>
      <c r="S1056" s="171" t="n">
        <v>754640</v>
      </c>
      <c r="T1056" s="169" t="inlineStr">
        <is>
          <t>CLP</t>
        </is>
      </c>
      <c r="U1056" s="169" t="inlineStr">
        <is>
          <t>Carga LH 18-06-26</t>
        </is>
      </c>
      <c r="V1056" s="169" t="inlineStr">
        <is>
          <t>2026-06-18</t>
        </is>
      </c>
    </row>
    <row r="1057">
      <c r="A1057" s="169" t="inlineStr">
        <is>
          <t>CR-1054</t>
        </is>
      </c>
      <c r="B1057" s="169" t="inlineStr">
        <is>
          <t>2026/27</t>
        </is>
      </c>
      <c r="C1057" s="231" t="n">
        <v>46189</v>
      </c>
      <c r="D1057" s="169" t="inlineStr">
        <is>
          <t>891</t>
        </is>
      </c>
      <c r="E1057" s="169" t="inlineStr">
        <is>
          <t>COMPRA</t>
        </is>
      </c>
      <c r="F1057" s="169" t="inlineStr">
        <is>
          <t>Mega Catalina</t>
        </is>
      </c>
      <c r="G1057" s="169" t="inlineStr">
        <is>
          <t>EUREKA - 1999 (22,5 Ha.)</t>
        </is>
      </c>
      <c r="H1057" s="169" t="n"/>
      <c r="I1057" s="169" t="n"/>
      <c r="J1057" s="169" t="inlineStr">
        <is>
          <t>LABORES OPERACIONALES</t>
        </is>
      </c>
      <c r="K1057" s="169" t="inlineStr">
        <is>
          <t>COSECHA</t>
        </is>
      </c>
      <c r="L1057" s="169" t="inlineStr">
        <is>
          <t>SERV.CONTRATISTA</t>
        </is>
      </c>
      <c r="M1057" s="169" t="n"/>
      <c r="N1057" s="169" t="inlineStr">
        <is>
          <t>.   .   -</t>
        </is>
      </c>
      <c r="O1057" s="169" t="inlineStr">
        <is>
          <t>JUNIO</t>
        </is>
      </c>
      <c r="P1057" s="169" t="n">
        <v>23</v>
      </c>
      <c r="Q1057" s="171" t="n">
        <v>1662540</v>
      </c>
      <c r="R1057" s="169" t="n"/>
      <c r="S1057" s="171" t="n">
        <v>1662540</v>
      </c>
      <c r="T1057" s="169" t="inlineStr">
        <is>
          <t>CLP</t>
        </is>
      </c>
      <c r="U1057" s="169" t="inlineStr">
        <is>
          <t>Carga LH 18-06-26</t>
        </is>
      </c>
      <c r="V1057" s="169" t="inlineStr">
        <is>
          <t>2026-06-18</t>
        </is>
      </c>
    </row>
    <row r="1058">
      <c r="A1058" s="169" t="inlineStr">
        <is>
          <t>CR-1055</t>
        </is>
      </c>
      <c r="B1058" s="169" t="inlineStr">
        <is>
          <t>2026/27</t>
        </is>
      </c>
      <c r="C1058" s="231" t="n">
        <v>46189</v>
      </c>
      <c r="D1058" s="169" t="inlineStr">
        <is>
          <t>891</t>
        </is>
      </c>
      <c r="E1058" s="169" t="inlineStr">
        <is>
          <t>COMPRA</t>
        </is>
      </c>
      <c r="F1058" s="169" t="inlineStr">
        <is>
          <t>Mega Catalina</t>
        </is>
      </c>
      <c r="G1058" s="169" t="inlineStr">
        <is>
          <t>EUREKA - 1999 (10,6 Ha.)</t>
        </is>
      </c>
      <c r="H1058" s="169" t="n"/>
      <c r="I1058" s="169" t="n"/>
      <c r="J1058" s="169" t="inlineStr">
        <is>
          <t>LABORES OPERACIONALES</t>
        </is>
      </c>
      <c r="K1058" s="169" t="inlineStr">
        <is>
          <t>COSECHA</t>
        </is>
      </c>
      <c r="L1058" s="169" t="inlineStr">
        <is>
          <t>SERV.CONTRATISTA</t>
        </is>
      </c>
      <c r="M1058" s="169" t="n"/>
      <c r="N1058" s="169" t="inlineStr">
        <is>
          <t>.   .   -</t>
        </is>
      </c>
      <c r="O1058" s="169" t="inlineStr">
        <is>
          <t>JUNIO</t>
        </is>
      </c>
      <c r="P1058" s="169" t="n">
        <v>23</v>
      </c>
      <c r="Q1058" s="171" t="n">
        <v>503300</v>
      </c>
      <c r="R1058" s="169" t="n"/>
      <c r="S1058" s="171" t="n">
        <v>503300</v>
      </c>
      <c r="T1058" s="169" t="inlineStr">
        <is>
          <t>CLP</t>
        </is>
      </c>
      <c r="U1058" s="169" t="inlineStr">
        <is>
          <t>Carga LH 18-06-26</t>
        </is>
      </c>
      <c r="V1058" s="169" t="inlineStr">
        <is>
          <t>2026-06-18</t>
        </is>
      </c>
    </row>
    <row r="1059">
      <c r="A1059" s="169" t="inlineStr">
        <is>
          <t>CR-1056</t>
        </is>
      </c>
      <c r="B1059" s="169" t="inlineStr">
        <is>
          <t>2026/27</t>
        </is>
      </c>
      <c r="C1059" s="231" t="n">
        <v>46189</v>
      </c>
      <c r="D1059" s="169" t="inlineStr">
        <is>
          <t>891</t>
        </is>
      </c>
      <c r="E1059" s="169" t="inlineStr">
        <is>
          <t>COMPRA</t>
        </is>
      </c>
      <c r="F1059" s="169" t="inlineStr">
        <is>
          <t>Mega Catalina</t>
        </is>
      </c>
      <c r="G1059" s="169" t="inlineStr">
        <is>
          <t>EUREKA - 2016 (14,4 Ha.)</t>
        </is>
      </c>
      <c r="H1059" s="169" t="n"/>
      <c r="I1059" s="169" t="n"/>
      <c r="J1059" s="169" t="inlineStr">
        <is>
          <t>LABORES OPERACIONALES</t>
        </is>
      </c>
      <c r="K1059" s="169" t="inlineStr">
        <is>
          <t>COSECHA</t>
        </is>
      </c>
      <c r="L1059" s="169" t="inlineStr">
        <is>
          <t>SERV.CONTRATISTA</t>
        </is>
      </c>
      <c r="M1059" s="169" t="n"/>
      <c r="N1059" s="169" t="inlineStr">
        <is>
          <t>.   .   -</t>
        </is>
      </c>
      <c r="O1059" s="169" t="inlineStr">
        <is>
          <t>JUNIO</t>
        </is>
      </c>
      <c r="P1059" s="169" t="n">
        <v>23</v>
      </c>
      <c r="Q1059" s="171" t="n">
        <v>581660</v>
      </c>
      <c r="R1059" s="169" t="n"/>
      <c r="S1059" s="171" t="n">
        <v>581660</v>
      </c>
      <c r="T1059" s="169" t="inlineStr">
        <is>
          <t>CLP</t>
        </is>
      </c>
      <c r="U1059" s="169" t="inlineStr">
        <is>
          <t>Carga LH 18-06-26</t>
        </is>
      </c>
      <c r="V1059" s="169" t="inlineStr">
        <is>
          <t>2026-06-18</t>
        </is>
      </c>
    </row>
    <row r="1060">
      <c r="A1060" s="169" t="inlineStr">
        <is>
          <t>CR-1057</t>
        </is>
      </c>
      <c r="B1060" s="169" t="inlineStr">
        <is>
          <t>2026/27</t>
        </is>
      </c>
      <c r="C1060" s="231" t="n">
        <v>46189</v>
      </c>
      <c r="D1060" s="169" t="inlineStr">
        <is>
          <t>56</t>
        </is>
      </c>
      <c r="E1060" s="169" t="inlineStr">
        <is>
          <t>COMPRA</t>
        </is>
      </c>
      <c r="F1060" s="169" t="inlineStr">
        <is>
          <t>Mega Catalina</t>
        </is>
      </c>
      <c r="G1060" s="169" t="inlineStr">
        <is>
          <t>EUREKA - 1999 (22,5 Ha.)</t>
        </is>
      </c>
      <c r="H1060" s="169" t="n"/>
      <c r="I1060" s="169" t="n"/>
      <c r="J1060" s="169" t="inlineStr">
        <is>
          <t>LABORES OPERACIONALES</t>
        </is>
      </c>
      <c r="K1060" s="169" t="inlineStr">
        <is>
          <t>COSECHA</t>
        </is>
      </c>
      <c r="L1060" s="169" t="inlineStr">
        <is>
          <t>SERV.CONTRATISTA</t>
        </is>
      </c>
      <c r="M1060" s="169" t="n"/>
      <c r="N1060" s="169" t="inlineStr">
        <is>
          <t>.   .   -</t>
        </is>
      </c>
      <c r="O1060" s="169" t="inlineStr">
        <is>
          <t>JUNIO</t>
        </is>
      </c>
      <c r="P1060" s="169" t="n">
        <v>23</v>
      </c>
      <c r="Q1060" s="171" t="n">
        <v>631600</v>
      </c>
      <c r="R1060" s="169" t="n"/>
      <c r="S1060" s="171" t="n">
        <v>631600</v>
      </c>
      <c r="T1060" s="169" t="inlineStr">
        <is>
          <t>CLP</t>
        </is>
      </c>
      <c r="U1060" s="169" t="inlineStr">
        <is>
          <t>Carga LH 18-06-26</t>
        </is>
      </c>
      <c r="V1060" s="169" t="inlineStr">
        <is>
          <t>2026-06-18</t>
        </is>
      </c>
    </row>
    <row r="1061">
      <c r="A1061" s="169" t="inlineStr">
        <is>
          <t>CR-1058</t>
        </is>
      </c>
      <c r="B1061" s="169" t="inlineStr">
        <is>
          <t>2026/27</t>
        </is>
      </c>
      <c r="C1061" s="231" t="n">
        <v>46189</v>
      </c>
      <c r="D1061" s="169" t="inlineStr">
        <is>
          <t>56</t>
        </is>
      </c>
      <c r="E1061" s="169" t="inlineStr">
        <is>
          <t>COMPRA</t>
        </is>
      </c>
      <c r="F1061" s="169" t="inlineStr">
        <is>
          <t>Mega Catalina</t>
        </is>
      </c>
      <c r="G1061" s="169" t="inlineStr">
        <is>
          <t>EUREKA - 1999 (10,6 Ha.)</t>
        </is>
      </c>
      <c r="H1061" s="169" t="n"/>
      <c r="I1061" s="169" t="n"/>
      <c r="J1061" s="169" t="inlineStr">
        <is>
          <t>LABORES OPERACIONALES</t>
        </is>
      </c>
      <c r="K1061" s="169" t="inlineStr">
        <is>
          <t>COSECHA</t>
        </is>
      </c>
      <c r="L1061" s="169" t="inlineStr">
        <is>
          <t>SERV.CONTRATISTA</t>
        </is>
      </c>
      <c r="M1061" s="169" t="n"/>
      <c r="N1061" s="169" t="inlineStr">
        <is>
          <t>.   .   -</t>
        </is>
      </c>
      <c r="O1061" s="169" t="inlineStr">
        <is>
          <t>JUNIO</t>
        </is>
      </c>
      <c r="P1061" s="169" t="n">
        <v>23</v>
      </c>
      <c r="Q1061" s="171" t="n">
        <v>310800</v>
      </c>
      <c r="R1061" s="169" t="n"/>
      <c r="S1061" s="171" t="n">
        <v>310800</v>
      </c>
      <c r="T1061" s="169" t="inlineStr">
        <is>
          <t>CLP</t>
        </is>
      </c>
      <c r="U1061" s="169" t="inlineStr">
        <is>
          <t>Carga LH 18-06-26</t>
        </is>
      </c>
      <c r="V1061" s="169" t="inlineStr">
        <is>
          <t>2026-06-18</t>
        </is>
      </c>
    </row>
    <row r="1062">
      <c r="A1062" s="169" t="inlineStr">
        <is>
          <t>CR-1059</t>
        </is>
      </c>
      <c r="B1062" s="169" t="inlineStr">
        <is>
          <t>2026/27</t>
        </is>
      </c>
      <c r="C1062" s="231" t="n">
        <v>46189</v>
      </c>
      <c r="D1062" s="169" t="inlineStr">
        <is>
          <t>56</t>
        </is>
      </c>
      <c r="E1062" s="169" t="inlineStr">
        <is>
          <t>COMPRA</t>
        </is>
      </c>
      <c r="F1062" s="169" t="inlineStr">
        <is>
          <t>Mega Catalina</t>
        </is>
      </c>
      <c r="G1062" s="169" t="inlineStr">
        <is>
          <t>EUREKA - 2016 (14,4 Ha.)</t>
        </is>
      </c>
      <c r="H1062" s="169" t="n"/>
      <c r="I1062" s="169" t="n"/>
      <c r="J1062" s="169" t="inlineStr">
        <is>
          <t>LABORES OPERACIONALES</t>
        </is>
      </c>
      <c r="K1062" s="169" t="inlineStr">
        <is>
          <t>COSECHA</t>
        </is>
      </c>
      <c r="L1062" s="169" t="inlineStr">
        <is>
          <t>SERV.CONTRATISTA</t>
        </is>
      </c>
      <c r="M1062" s="169" t="n"/>
      <c r="N1062" s="169" t="inlineStr">
        <is>
          <t>.   .   -</t>
        </is>
      </c>
      <c r="O1062" s="169" t="inlineStr">
        <is>
          <t>JUNIO</t>
        </is>
      </c>
      <c r="P1062" s="169" t="n">
        <v>23</v>
      </c>
      <c r="Q1062" s="171" t="n">
        <v>629920</v>
      </c>
      <c r="R1062" s="169" t="n"/>
      <c r="S1062" s="171" t="n">
        <v>629920</v>
      </c>
      <c r="T1062" s="169" t="inlineStr">
        <is>
          <t>CLP</t>
        </is>
      </c>
      <c r="U1062" s="169" t="inlineStr">
        <is>
          <t>Carga LH 18-06-26</t>
        </is>
      </c>
      <c r="V1062" s="169" t="inlineStr">
        <is>
          <t>2026-06-18</t>
        </is>
      </c>
    </row>
    <row r="1063">
      <c r="A1063" s="169" t="inlineStr">
        <is>
          <t>CR-1060</t>
        </is>
      </c>
      <c r="B1063" s="169" t="inlineStr">
        <is>
          <t>2026/27</t>
        </is>
      </c>
      <c r="C1063" s="231" t="n">
        <v>46189</v>
      </c>
      <c r="D1063" s="169" t="inlineStr">
        <is>
          <t>671</t>
        </is>
      </c>
      <c r="E1063" s="169" t="inlineStr">
        <is>
          <t>COMPRA</t>
        </is>
      </c>
      <c r="F1063" s="169" t="inlineStr">
        <is>
          <t>Mega Catalina</t>
        </is>
      </c>
      <c r="G1063" s="169" t="inlineStr">
        <is>
          <t>EUREKA - 1999 (22,5 Ha.)</t>
        </is>
      </c>
      <c r="H1063" s="169" t="n"/>
      <c r="I1063" s="169" t="n"/>
      <c r="J1063" s="169" t="inlineStr">
        <is>
          <t>LABORES OPERACIONALES</t>
        </is>
      </c>
      <c r="K1063" s="169" t="inlineStr">
        <is>
          <t>COSECHA</t>
        </is>
      </c>
      <c r="L1063" s="169" t="inlineStr">
        <is>
          <t>SERV.CONTRATISTA</t>
        </is>
      </c>
      <c r="M1063" s="169" t="n"/>
      <c r="N1063" s="169" t="inlineStr">
        <is>
          <t>.   .   -</t>
        </is>
      </c>
      <c r="O1063" s="169" t="inlineStr">
        <is>
          <t>JUNIO</t>
        </is>
      </c>
      <c r="P1063" s="169" t="n">
        <v>23</v>
      </c>
      <c r="Q1063" s="171" t="n">
        <v>3923020</v>
      </c>
      <c r="R1063" s="169" t="n"/>
      <c r="S1063" s="171" t="n">
        <v>3923020</v>
      </c>
      <c r="T1063" s="169" t="inlineStr">
        <is>
          <t>CLP</t>
        </is>
      </c>
      <c r="U1063" s="169" t="inlineStr">
        <is>
          <t>Carga LH 18-06-26</t>
        </is>
      </c>
      <c r="V1063" s="169" t="inlineStr">
        <is>
          <t>2026-06-18</t>
        </is>
      </c>
    </row>
    <row r="1064">
      <c r="A1064" s="169" t="inlineStr">
        <is>
          <t>CR-1061</t>
        </is>
      </c>
      <c r="B1064" s="169" t="inlineStr">
        <is>
          <t>2026/27</t>
        </is>
      </c>
      <c r="C1064" s="231" t="n">
        <v>46189</v>
      </c>
      <c r="D1064" s="169" t="inlineStr">
        <is>
          <t>671</t>
        </is>
      </c>
      <c r="E1064" s="169" t="inlineStr">
        <is>
          <t>COMPRA</t>
        </is>
      </c>
      <c r="F1064" s="169" t="inlineStr">
        <is>
          <t>Mega Catalina</t>
        </is>
      </c>
      <c r="G1064" s="169" t="inlineStr">
        <is>
          <t>EUREKA - 1999 (10,6 Ha.)</t>
        </is>
      </c>
      <c r="H1064" s="169" t="n"/>
      <c r="I1064" s="169" t="n"/>
      <c r="J1064" s="169" t="inlineStr">
        <is>
          <t>LABORES OPERACIONALES</t>
        </is>
      </c>
      <c r="K1064" s="169" t="inlineStr">
        <is>
          <t>COSECHA</t>
        </is>
      </c>
      <c r="L1064" s="169" t="inlineStr">
        <is>
          <t>SERV.CONTRATISTA</t>
        </is>
      </c>
      <c r="M1064" s="169" t="n"/>
      <c r="N1064" s="169" t="inlineStr">
        <is>
          <t>.   .   -</t>
        </is>
      </c>
      <c r="O1064" s="169" t="inlineStr">
        <is>
          <t>JUNIO</t>
        </is>
      </c>
      <c r="P1064" s="169" t="n">
        <v>23</v>
      </c>
      <c r="Q1064" s="171" t="n">
        <v>1159560</v>
      </c>
      <c r="R1064" s="169" t="n"/>
      <c r="S1064" s="171" t="n">
        <v>1159560</v>
      </c>
      <c r="T1064" s="169" t="inlineStr">
        <is>
          <t>CLP</t>
        </is>
      </c>
      <c r="U1064" s="169" t="inlineStr">
        <is>
          <t>Carga LH 18-06-26</t>
        </is>
      </c>
      <c r="V1064" s="169" t="inlineStr">
        <is>
          <t>2026-06-18</t>
        </is>
      </c>
    </row>
    <row r="1065">
      <c r="A1065" s="169" t="inlineStr">
        <is>
          <t>CR-1062</t>
        </is>
      </c>
      <c r="B1065" s="169" t="inlineStr">
        <is>
          <t>2026/27</t>
        </is>
      </c>
      <c r="C1065" s="231" t="n">
        <v>46189</v>
      </c>
      <c r="D1065" s="169" t="inlineStr">
        <is>
          <t>671</t>
        </is>
      </c>
      <c r="E1065" s="169" t="inlineStr">
        <is>
          <t>COMPRA</t>
        </is>
      </c>
      <c r="F1065" s="169" t="inlineStr">
        <is>
          <t>Mega Catalina</t>
        </is>
      </c>
      <c r="G1065" s="169" t="inlineStr">
        <is>
          <t>EUREKA - 2016 (14,4 Ha.)</t>
        </is>
      </c>
      <c r="H1065" s="169" t="n"/>
      <c r="I1065" s="169" t="n"/>
      <c r="J1065" s="169" t="inlineStr">
        <is>
          <t>LABORES OPERACIONALES</t>
        </is>
      </c>
      <c r="K1065" s="169" t="inlineStr">
        <is>
          <t>COSECHA</t>
        </is>
      </c>
      <c r="L1065" s="169" t="inlineStr">
        <is>
          <t>SERV.CONTRATISTA</t>
        </is>
      </c>
      <c r="M1065" s="169" t="n"/>
      <c r="N1065" s="169" t="inlineStr">
        <is>
          <t>.   .   -</t>
        </is>
      </c>
      <c r="O1065" s="169" t="inlineStr">
        <is>
          <t>JUNIO</t>
        </is>
      </c>
      <c r="P1065" s="169" t="n">
        <v>23</v>
      </c>
      <c r="Q1065" s="171" t="n">
        <v>2464900</v>
      </c>
      <c r="R1065" s="169" t="n"/>
      <c r="S1065" s="171" t="n">
        <v>2464900</v>
      </c>
      <c r="T1065" s="169" t="inlineStr">
        <is>
          <t>CLP</t>
        </is>
      </c>
      <c r="U1065" s="169" t="inlineStr">
        <is>
          <t>Carga LH 18-06-26</t>
        </is>
      </c>
      <c r="V1065" s="169" t="inlineStr">
        <is>
          <t>2026-06-18</t>
        </is>
      </c>
    </row>
    <row r="1066">
      <c r="A1066" s="169" t="inlineStr">
        <is>
          <t>CR-1063</t>
        </is>
      </c>
      <c r="B1066" s="169" t="inlineStr">
        <is>
          <t>2026/27</t>
        </is>
      </c>
      <c r="C1066" s="231" t="n">
        <v>46189</v>
      </c>
      <c r="D1066" s="169" t="inlineStr">
        <is>
          <t>4</t>
        </is>
      </c>
      <c r="E1066" s="169" t="inlineStr">
        <is>
          <t>COMPRA</t>
        </is>
      </c>
      <c r="F1066" s="169" t="inlineStr">
        <is>
          <t>Mega Catalina</t>
        </is>
      </c>
      <c r="G1066" s="169" t="inlineStr">
        <is>
          <t>EUREKA - 2016 (14,4 Ha.)</t>
        </is>
      </c>
      <c r="H1066" s="169" t="n"/>
      <c r="I1066" s="169" t="n"/>
      <c r="J1066" s="169" t="inlineStr">
        <is>
          <t>LABORES OPERACIONALES</t>
        </is>
      </c>
      <c r="K1066" s="169" t="inlineStr">
        <is>
          <t>COSECHA</t>
        </is>
      </c>
      <c r="L1066" s="169" t="inlineStr">
        <is>
          <t>SERV.CONTRATISTA</t>
        </is>
      </c>
      <c r="M1066" s="169" t="n"/>
      <c r="N1066" s="169" t="inlineStr">
        <is>
          <t>.   .   -</t>
        </is>
      </c>
      <c r="O1066" s="169" t="inlineStr">
        <is>
          <t>JUNIO</t>
        </is>
      </c>
      <c r="P1066" s="169" t="n">
        <v>23</v>
      </c>
      <c r="Q1066" s="171" t="n">
        <v>412080</v>
      </c>
      <c r="R1066" s="169" t="n"/>
      <c r="S1066" s="171" t="n">
        <v>412080</v>
      </c>
      <c r="T1066" s="169" t="inlineStr">
        <is>
          <t>CLP</t>
        </is>
      </c>
      <c r="U1066" s="169" t="inlineStr">
        <is>
          <t>Carga LH 18-06-26</t>
        </is>
      </c>
      <c r="V1066" s="169" t="inlineStr">
        <is>
          <t>2026-06-18</t>
        </is>
      </c>
    </row>
    <row r="1067">
      <c r="A1067" s="169" t="inlineStr">
        <is>
          <t>CR-1064</t>
        </is>
      </c>
      <c r="B1067" s="169" t="inlineStr">
        <is>
          <t>2026/27</t>
        </is>
      </c>
      <c r="C1067" s="231" t="n">
        <v>46189</v>
      </c>
      <c r="D1067" s="169" t="inlineStr">
        <is>
          <t>284</t>
        </is>
      </c>
      <c r="E1067" s="169" t="inlineStr">
        <is>
          <t>COMPRA</t>
        </is>
      </c>
      <c r="F1067" s="169" t="inlineStr">
        <is>
          <t>Mega Catalina</t>
        </is>
      </c>
      <c r="G1067" s="169" t="inlineStr">
        <is>
          <t>EUREKA - 1999 (22,5 Ha.)</t>
        </is>
      </c>
      <c r="H1067" s="169" t="n"/>
      <c r="I1067" s="169" t="n"/>
      <c r="J1067" s="169" t="inlineStr">
        <is>
          <t>LABORES OPERACIONALES</t>
        </is>
      </c>
      <c r="K1067" s="169" t="inlineStr">
        <is>
          <t>OTROS SERVICIOS</t>
        </is>
      </c>
      <c r="L1067" s="169" t="inlineStr">
        <is>
          <t>SERV.CONTRATISTA</t>
        </is>
      </c>
      <c r="M1067" s="169" t="n"/>
      <c r="N1067" s="169" t="inlineStr">
        <is>
          <t>.   .   -</t>
        </is>
      </c>
      <c r="O1067" s="169" t="inlineStr">
        <is>
          <t>JUNIO</t>
        </is>
      </c>
      <c r="P1067" s="169" t="n">
        <v>23</v>
      </c>
      <c r="Q1067" s="171" t="n">
        <v>236520</v>
      </c>
      <c r="R1067" s="169" t="n"/>
      <c r="S1067" s="171" t="n">
        <v>236520</v>
      </c>
      <c r="T1067" s="169" t="inlineStr">
        <is>
          <t>CLP</t>
        </is>
      </c>
      <c r="U1067" s="169" t="inlineStr">
        <is>
          <t>Carga LH 18-06-26</t>
        </is>
      </c>
      <c r="V1067" s="169" t="inlineStr">
        <is>
          <t>2026-06-18</t>
        </is>
      </c>
    </row>
    <row r="1068">
      <c r="A1068" s="169" t="inlineStr">
        <is>
          <t>CR-1065</t>
        </is>
      </c>
      <c r="B1068" s="169" t="inlineStr">
        <is>
          <t>2026/27</t>
        </is>
      </c>
      <c r="C1068" s="231" t="n">
        <v>46189</v>
      </c>
      <c r="D1068" s="169" t="inlineStr">
        <is>
          <t>284</t>
        </is>
      </c>
      <c r="E1068" s="169" t="inlineStr">
        <is>
          <t>COMPRA</t>
        </is>
      </c>
      <c r="F1068" s="169" t="inlineStr">
        <is>
          <t>Mega Catalina</t>
        </is>
      </c>
      <c r="G1068" s="169" t="inlineStr">
        <is>
          <t>EUREKA - 1999 (10,6 Ha.)</t>
        </is>
      </c>
      <c r="H1068" s="169" t="n"/>
      <c r="I1068" s="169" t="n"/>
      <c r="J1068" s="169" t="inlineStr">
        <is>
          <t>LABORES OPERACIONALES</t>
        </is>
      </c>
      <c r="K1068" s="169" t="inlineStr">
        <is>
          <t>OTROS SERVICIOS</t>
        </is>
      </c>
      <c r="L1068" s="169" t="inlineStr">
        <is>
          <t>SERV.CONTRATISTA</t>
        </is>
      </c>
      <c r="M1068" s="169" t="n"/>
      <c r="N1068" s="169" t="inlineStr">
        <is>
          <t>.   .   -</t>
        </is>
      </c>
      <c r="O1068" s="169" t="inlineStr">
        <is>
          <t>JUNIO</t>
        </is>
      </c>
      <c r="P1068" s="169" t="n">
        <v>23</v>
      </c>
      <c r="Q1068" s="171" t="n">
        <v>155490</v>
      </c>
      <c r="R1068" s="169" t="n"/>
      <c r="S1068" s="171" t="n">
        <v>155490</v>
      </c>
      <c r="T1068" s="169" t="inlineStr">
        <is>
          <t>CLP</t>
        </is>
      </c>
      <c r="U1068" s="169" t="inlineStr">
        <is>
          <t>Carga LH 18-06-26</t>
        </is>
      </c>
      <c r="V1068" s="169" t="inlineStr">
        <is>
          <t>2026-06-18</t>
        </is>
      </c>
    </row>
    <row r="1069">
      <c r="A1069" s="169" t="inlineStr">
        <is>
          <t>CR-1066</t>
        </is>
      </c>
      <c r="B1069" s="169" t="inlineStr">
        <is>
          <t>2026/27</t>
        </is>
      </c>
      <c r="C1069" s="231" t="n">
        <v>46189</v>
      </c>
      <c r="D1069" s="169" t="inlineStr">
        <is>
          <t>284</t>
        </is>
      </c>
      <c r="E1069" s="169" t="inlineStr">
        <is>
          <t>COMPRA</t>
        </is>
      </c>
      <c r="F1069" s="169" t="inlineStr">
        <is>
          <t>Mega Catalina</t>
        </is>
      </c>
      <c r="G1069" s="169" t="inlineStr">
        <is>
          <t>EUREKA - 2016 (14,4 Ha.)</t>
        </is>
      </c>
      <c r="H1069" s="169" t="n"/>
      <c r="I1069" s="169" t="n"/>
      <c r="J1069" s="169" t="inlineStr">
        <is>
          <t>LABORES OPERACIONALES</t>
        </is>
      </c>
      <c r="K1069" s="169" t="inlineStr">
        <is>
          <t>OTROS SERVICIOS</t>
        </is>
      </c>
      <c r="L1069" s="169" t="inlineStr">
        <is>
          <t>SERV.CONTRATISTA</t>
        </is>
      </c>
      <c r="M1069" s="169" t="n"/>
      <c r="N1069" s="169" t="inlineStr">
        <is>
          <t>.   .   -</t>
        </is>
      </c>
      <c r="O1069" s="169" t="inlineStr">
        <is>
          <t>JUNIO</t>
        </is>
      </c>
      <c r="P1069" s="169" t="n">
        <v>23</v>
      </c>
      <c r="Q1069" s="171" t="n">
        <v>151110</v>
      </c>
      <c r="R1069" s="169" t="n"/>
      <c r="S1069" s="171" t="n">
        <v>151110</v>
      </c>
      <c r="T1069" s="169" t="inlineStr">
        <is>
          <t>CLP</t>
        </is>
      </c>
      <c r="U1069" s="169" t="inlineStr">
        <is>
          <t>Carga LH 18-06-26</t>
        </is>
      </c>
      <c r="V1069" s="169" t="inlineStr">
        <is>
          <t>2026-06-18</t>
        </is>
      </c>
    </row>
    <row r="1070">
      <c r="A1070" s="169" t="inlineStr">
        <is>
          <t>CR-1067</t>
        </is>
      </c>
      <c r="B1070" s="169" t="inlineStr">
        <is>
          <t>2026/27</t>
        </is>
      </c>
      <c r="C1070" s="231" t="n">
        <v>46189</v>
      </c>
      <c r="D1070" s="169" t="inlineStr">
        <is>
          <t>284</t>
        </is>
      </c>
      <c r="E1070" s="169" t="inlineStr">
        <is>
          <t>COMPRA</t>
        </is>
      </c>
      <c r="F1070" s="169" t="inlineStr">
        <is>
          <t>Mega Catalina</t>
        </is>
      </c>
      <c r="G1070" s="169" t="inlineStr">
        <is>
          <t>FINO 49 - 1999 (7,7 Ha.)</t>
        </is>
      </c>
      <c r="H1070" s="169" t="n"/>
      <c r="I1070" s="169" t="n"/>
      <c r="J1070" s="169" t="inlineStr">
        <is>
          <t>LABORES OPERACIONALES</t>
        </is>
      </c>
      <c r="K1070" s="169" t="inlineStr">
        <is>
          <t>OTROS SERVICIOS</t>
        </is>
      </c>
      <c r="L1070" s="169" t="inlineStr">
        <is>
          <t>SERV.CONTRATISTA</t>
        </is>
      </c>
      <c r="M1070" s="169" t="n"/>
      <c r="N1070" s="169" t="inlineStr">
        <is>
          <t>.   .   -</t>
        </is>
      </c>
      <c r="O1070" s="169" t="inlineStr">
        <is>
          <t>JUNIO</t>
        </is>
      </c>
      <c r="P1070" s="169" t="n">
        <v>23</v>
      </c>
      <c r="Q1070" s="171" t="n">
        <v>120450</v>
      </c>
      <c r="R1070" s="169" t="n"/>
      <c r="S1070" s="171" t="n">
        <v>120450</v>
      </c>
      <c r="T1070" s="169" t="inlineStr">
        <is>
          <t>CLP</t>
        </is>
      </c>
      <c r="U1070" s="169" t="inlineStr">
        <is>
          <t>Carga LH 18-06-26</t>
        </is>
      </c>
      <c r="V1070" s="169" t="inlineStr">
        <is>
          <t>2026-06-18</t>
        </is>
      </c>
    </row>
    <row r="1071">
      <c r="A1071" s="169" t="inlineStr">
        <is>
          <t>CR-1068</t>
        </is>
      </c>
      <c r="B1071" s="169" t="inlineStr">
        <is>
          <t>2026/27</t>
        </is>
      </c>
      <c r="C1071" s="231" t="n">
        <v>46189</v>
      </c>
      <c r="D1071" s="169" t="inlineStr">
        <is>
          <t>284</t>
        </is>
      </c>
      <c r="E1071" s="169" t="inlineStr">
        <is>
          <t>COMPRA</t>
        </is>
      </c>
      <c r="F1071" s="169" t="inlineStr">
        <is>
          <t>Mega Catalina</t>
        </is>
      </c>
      <c r="G1071" s="169" t="inlineStr">
        <is>
          <t>NARANJA CAMBRIA - 2009 (4,2 Ha.)</t>
        </is>
      </c>
      <c r="H1071" s="169" t="n"/>
      <c r="I1071" s="169" t="n"/>
      <c r="J1071" s="169" t="inlineStr">
        <is>
          <t>LABORES OPERACIONALES</t>
        </is>
      </c>
      <c r="K1071" s="169" t="inlineStr">
        <is>
          <t>OTROS SERVICIOS</t>
        </is>
      </c>
      <c r="L1071" s="169" t="inlineStr">
        <is>
          <t>SERV.CONTRATISTA</t>
        </is>
      </c>
      <c r="M1071" s="169" t="n"/>
      <c r="N1071" s="169" t="inlineStr">
        <is>
          <t>.   .   -</t>
        </is>
      </c>
      <c r="O1071" s="169" t="inlineStr">
        <is>
          <t>JUNIO</t>
        </is>
      </c>
      <c r="P1071" s="169" t="n">
        <v>23</v>
      </c>
      <c r="Q1071" s="171" t="n">
        <v>43800</v>
      </c>
      <c r="R1071" s="169" t="n"/>
      <c r="S1071" s="171" t="n">
        <v>43800</v>
      </c>
      <c r="T1071" s="169" t="inlineStr">
        <is>
          <t>CLP</t>
        </is>
      </c>
      <c r="U1071" s="169" t="inlineStr">
        <is>
          <t>Carga LH 18-06-26</t>
        </is>
      </c>
      <c r="V1071" s="169" t="inlineStr">
        <is>
          <t>2026-06-18</t>
        </is>
      </c>
    </row>
    <row r="1072">
      <c r="A1072" s="169" t="inlineStr">
        <is>
          <t>CR-1069</t>
        </is>
      </c>
      <c r="B1072" s="169" t="inlineStr">
        <is>
          <t>2026/27</t>
        </is>
      </c>
      <c r="C1072" s="231" t="n">
        <v>46189</v>
      </c>
      <c r="D1072" s="169" t="inlineStr">
        <is>
          <t>284</t>
        </is>
      </c>
      <c r="E1072" s="169" t="inlineStr">
        <is>
          <t>COMPRA</t>
        </is>
      </c>
      <c r="F1072" s="169" t="inlineStr">
        <is>
          <t>Mega Catalina</t>
        </is>
      </c>
      <c r="G1072" s="169" t="inlineStr">
        <is>
          <t>MURCOTT - 2007 (21 Ha.)</t>
        </is>
      </c>
      <c r="H1072" s="169" t="n"/>
      <c r="I1072" s="169" t="n"/>
      <c r="J1072" s="169" t="inlineStr">
        <is>
          <t>LABORES OPERACIONALES</t>
        </is>
      </c>
      <c r="K1072" s="169" t="inlineStr">
        <is>
          <t>OTROS SERVICIOS</t>
        </is>
      </c>
      <c r="L1072" s="169" t="inlineStr">
        <is>
          <t>SERV.CONTRATISTA</t>
        </is>
      </c>
      <c r="M1072" s="169" t="n"/>
      <c r="N1072" s="169" t="inlineStr">
        <is>
          <t>.   .   -</t>
        </is>
      </c>
      <c r="O1072" s="169" t="inlineStr">
        <is>
          <t>JUNIO</t>
        </is>
      </c>
      <c r="P1072" s="169" t="n">
        <v>23</v>
      </c>
      <c r="Q1072" s="171" t="n">
        <v>221190</v>
      </c>
      <c r="R1072" s="169" t="n"/>
      <c r="S1072" s="171" t="n">
        <v>221190</v>
      </c>
      <c r="T1072" s="169" t="inlineStr">
        <is>
          <t>CLP</t>
        </is>
      </c>
      <c r="U1072" s="169" t="inlineStr">
        <is>
          <t>Carga LH 18-06-26</t>
        </is>
      </c>
      <c r="V1072" s="169" t="inlineStr">
        <is>
          <t>2026-06-18</t>
        </is>
      </c>
    </row>
    <row r="1073">
      <c r="A1073" s="169" t="inlineStr">
        <is>
          <t>CR-1070</t>
        </is>
      </c>
      <c r="B1073" s="169" t="inlineStr">
        <is>
          <t>2026/27</t>
        </is>
      </c>
      <c r="C1073" s="231" t="n">
        <v>46189</v>
      </c>
      <c r="D1073" s="169" t="inlineStr">
        <is>
          <t>27</t>
        </is>
      </c>
      <c r="E1073" s="169" t="inlineStr">
        <is>
          <t>COMPRA</t>
        </is>
      </c>
      <c r="F1073" s="169" t="inlineStr">
        <is>
          <t>Mega Catalina</t>
        </is>
      </c>
      <c r="G1073" s="169" t="inlineStr">
        <is>
          <t>EUREKA - 1999 (22,5 Ha.)</t>
        </is>
      </c>
      <c r="H1073" s="169" t="n"/>
      <c r="I1073" s="169" t="n"/>
      <c r="J1073" s="169" t="inlineStr">
        <is>
          <t>LABORES OPERACIONALES</t>
        </is>
      </c>
      <c r="K1073" s="169" t="inlineStr">
        <is>
          <t>COSECHA</t>
        </is>
      </c>
      <c r="L1073" s="169" t="inlineStr">
        <is>
          <t>SERV.CONTRATISTA</t>
        </is>
      </c>
      <c r="M1073" s="169" t="n"/>
      <c r="N1073" s="169" t="inlineStr">
        <is>
          <t>.   .   -</t>
        </is>
      </c>
      <c r="O1073" s="169" t="inlineStr">
        <is>
          <t>JUNIO</t>
        </is>
      </c>
      <c r="P1073" s="169" t="n">
        <v>23</v>
      </c>
      <c r="Q1073" s="171" t="n">
        <v>706800</v>
      </c>
      <c r="R1073" s="169" t="n"/>
      <c r="S1073" s="171" t="n">
        <v>706800</v>
      </c>
      <c r="T1073" s="169" t="inlineStr">
        <is>
          <t>CLP</t>
        </is>
      </c>
      <c r="U1073" s="169" t="inlineStr">
        <is>
          <t>Carga LH 18-06-26</t>
        </is>
      </c>
      <c r="V1073" s="169" t="inlineStr">
        <is>
          <t>2026-06-18</t>
        </is>
      </c>
    </row>
    <row r="1074">
      <c r="A1074" s="169" t="inlineStr">
        <is>
          <t>CR-1071</t>
        </is>
      </c>
      <c r="B1074" s="169" t="inlineStr">
        <is>
          <t>2026/27</t>
        </is>
      </c>
      <c r="C1074" s="231" t="n">
        <v>46189</v>
      </c>
      <c r="D1074" s="169" t="inlineStr">
        <is>
          <t>27</t>
        </is>
      </c>
      <c r="E1074" s="169" t="inlineStr">
        <is>
          <t>COMPRA</t>
        </is>
      </c>
      <c r="F1074" s="169" t="inlineStr">
        <is>
          <t>Mega Catalina</t>
        </is>
      </c>
      <c r="G1074" s="169" t="inlineStr">
        <is>
          <t>EUREKA - 1999 (10,6 Ha.)</t>
        </is>
      </c>
      <c r="H1074" s="169" t="n"/>
      <c r="I1074" s="169" t="n"/>
      <c r="J1074" s="169" t="inlineStr">
        <is>
          <t>LABORES OPERACIONALES</t>
        </is>
      </c>
      <c r="K1074" s="169" t="inlineStr">
        <is>
          <t>COSECHA</t>
        </is>
      </c>
      <c r="L1074" s="169" t="inlineStr">
        <is>
          <t>SERV.CONTRATISTA</t>
        </is>
      </c>
      <c r="M1074" s="169" t="n"/>
      <c r="N1074" s="169" t="inlineStr">
        <is>
          <t>.   .   -</t>
        </is>
      </c>
      <c r="O1074" s="169" t="inlineStr">
        <is>
          <t>JUNIO</t>
        </is>
      </c>
      <c r="P1074" s="169" t="n">
        <v>23</v>
      </c>
      <c r="Q1074" s="171" t="n">
        <v>186800</v>
      </c>
      <c r="R1074" s="169" t="n"/>
      <c r="S1074" s="171" t="n">
        <v>186800</v>
      </c>
      <c r="T1074" s="169" t="inlineStr">
        <is>
          <t>CLP</t>
        </is>
      </c>
      <c r="U1074" s="169" t="inlineStr">
        <is>
          <t>Carga LH 18-06-26</t>
        </is>
      </c>
      <c r="V1074" s="169" t="inlineStr">
        <is>
          <t>2026-06-18</t>
        </is>
      </c>
    </row>
    <row r="1075">
      <c r="A1075" s="169" t="inlineStr">
        <is>
          <t>CR-1072</t>
        </is>
      </c>
      <c r="B1075" s="169" t="inlineStr">
        <is>
          <t>2026/27</t>
        </is>
      </c>
      <c r="C1075" s="231" t="n">
        <v>46189</v>
      </c>
      <c r="D1075" s="169" t="inlineStr">
        <is>
          <t>27</t>
        </is>
      </c>
      <c r="E1075" s="169" t="inlineStr">
        <is>
          <t>COMPRA</t>
        </is>
      </c>
      <c r="F1075" s="169" t="inlineStr">
        <is>
          <t>Mega Catalina</t>
        </is>
      </c>
      <c r="G1075" s="169" t="inlineStr">
        <is>
          <t>FINO 49 - 1999 (7,7 Ha.)</t>
        </is>
      </c>
      <c r="H1075" s="169" t="n"/>
      <c r="I1075" s="169" t="n"/>
      <c r="J1075" s="169" t="inlineStr">
        <is>
          <t>LABORES OPERACIONALES</t>
        </is>
      </c>
      <c r="K1075" s="169" t="inlineStr">
        <is>
          <t>COSECHA</t>
        </is>
      </c>
      <c r="L1075" s="169" t="inlineStr">
        <is>
          <t>SERV.CONTRATISTA</t>
        </is>
      </c>
      <c r="M1075" s="169" t="n"/>
      <c r="N1075" s="169" t="inlineStr">
        <is>
          <t>.   .   -</t>
        </is>
      </c>
      <c r="O1075" s="169" t="inlineStr">
        <is>
          <t>JUNIO</t>
        </is>
      </c>
      <c r="P1075" s="169" t="n">
        <v>23</v>
      </c>
      <c r="Q1075" s="171" t="n">
        <v>176880</v>
      </c>
      <c r="R1075" s="169" t="n"/>
      <c r="S1075" s="171" t="n">
        <v>176880</v>
      </c>
      <c r="T1075" s="169" t="inlineStr">
        <is>
          <t>CLP</t>
        </is>
      </c>
      <c r="U1075" s="169" t="inlineStr">
        <is>
          <t>Carga LH 18-06-26</t>
        </is>
      </c>
      <c r="V1075" s="169" t="inlineStr">
        <is>
          <t>2026-06-18</t>
        </is>
      </c>
    </row>
    <row r="1076">
      <c r="A1076" s="169" t="inlineStr">
        <is>
          <t>CR-1073</t>
        </is>
      </c>
      <c r="B1076" s="169" t="inlineStr">
        <is>
          <t>2026/27</t>
        </is>
      </c>
      <c r="C1076" s="231" t="n">
        <v>46190</v>
      </c>
      <c r="D1076" s="169" t="inlineStr">
        <is>
          <t>642</t>
        </is>
      </c>
      <c r="E1076" s="169" t="inlineStr">
        <is>
          <t>COMPRA</t>
        </is>
      </c>
      <c r="F1076" s="169" t="inlineStr">
        <is>
          <t>El Molle</t>
        </is>
      </c>
      <c r="G1076" s="169" t="inlineStr">
        <is>
          <t>ARRUFATINA - 2017 (5,74 Ha.)</t>
        </is>
      </c>
      <c r="H1076" s="169" t="n"/>
      <c r="I1076" s="169" t="n"/>
      <c r="J1076" s="169" t="inlineStr">
        <is>
          <t>LABORES OPERACIONALES</t>
        </is>
      </c>
      <c r="K1076" s="169" t="inlineStr">
        <is>
          <t>OTROS SERVICIOS</t>
        </is>
      </c>
      <c r="L1076" s="169" t="inlineStr">
        <is>
          <t>SERV.CONTRATISTA</t>
        </is>
      </c>
      <c r="M1076" s="169" t="n"/>
      <c r="N1076" s="169" t="inlineStr">
        <is>
          <t>.   .   -</t>
        </is>
      </c>
      <c r="O1076" s="169" t="inlineStr">
        <is>
          <t>JUNIO</t>
        </is>
      </c>
      <c r="P1076" s="169" t="n">
        <v>23</v>
      </c>
      <c r="Q1076" s="171" t="n">
        <v>270000</v>
      </c>
      <c r="R1076" s="169" t="n"/>
      <c r="S1076" s="171" t="n">
        <v>270000</v>
      </c>
      <c r="T1076" s="169" t="inlineStr">
        <is>
          <t>CLP</t>
        </is>
      </c>
      <c r="U1076" s="169" t="inlineStr">
        <is>
          <t>Carga LH 18-06-26</t>
        </is>
      </c>
      <c r="V1076" s="169" t="inlineStr">
        <is>
          <t>2026-06-18</t>
        </is>
      </c>
    </row>
    <row r="1077">
      <c r="A1077" s="169" t="inlineStr">
        <is>
          <t>CR-1074</t>
        </is>
      </c>
      <c r="B1077" s="169" t="inlineStr">
        <is>
          <t>2026/27</t>
        </is>
      </c>
      <c r="C1077" s="231" t="n">
        <v>46190</v>
      </c>
      <c r="D1077" s="169" t="inlineStr">
        <is>
          <t>642</t>
        </is>
      </c>
      <c r="E1077" s="169" t="inlineStr">
        <is>
          <t>COMPRA</t>
        </is>
      </c>
      <c r="F1077" s="169" t="inlineStr">
        <is>
          <t>El Molle</t>
        </is>
      </c>
      <c r="G1077" s="169" t="inlineStr">
        <is>
          <t>ORONULES - 2017 (2,85 Ha.)</t>
        </is>
      </c>
      <c r="H1077" s="169" t="n"/>
      <c r="I1077" s="169" t="n"/>
      <c r="J1077" s="169" t="inlineStr">
        <is>
          <t>LABORES OPERACIONALES</t>
        </is>
      </c>
      <c r="K1077" s="169" t="inlineStr">
        <is>
          <t>OTROS SERVICIOS</t>
        </is>
      </c>
      <c r="L1077" s="169" t="inlineStr">
        <is>
          <t>SERV.CONTRATISTA</t>
        </is>
      </c>
      <c r="M1077" s="169" t="n"/>
      <c r="N1077" s="169" t="inlineStr">
        <is>
          <t>.   .   -</t>
        </is>
      </c>
      <c r="O1077" s="169" t="inlineStr">
        <is>
          <t>JUNIO</t>
        </is>
      </c>
      <c r="P1077" s="169" t="n">
        <v>23</v>
      </c>
      <c r="Q1077" s="171" t="n">
        <v>90000</v>
      </c>
      <c r="R1077" s="169" t="n"/>
      <c r="S1077" s="171" t="n">
        <v>90000</v>
      </c>
      <c r="T1077" s="169" t="inlineStr">
        <is>
          <t>CLP</t>
        </is>
      </c>
      <c r="U1077" s="169" t="inlineStr">
        <is>
          <t>Carga LH 18-06-26</t>
        </is>
      </c>
      <c r="V1077" s="169" t="inlineStr">
        <is>
          <t>2026-06-18</t>
        </is>
      </c>
    </row>
    <row r="1078">
      <c r="A1078" s="169" t="inlineStr">
        <is>
          <t>CR-1075</t>
        </is>
      </c>
      <c r="B1078" s="169" t="inlineStr">
        <is>
          <t>2026/27</t>
        </is>
      </c>
      <c r="C1078" s="231" t="n">
        <v>46190</v>
      </c>
      <c r="D1078" s="169" t="inlineStr">
        <is>
          <t>642</t>
        </is>
      </c>
      <c r="E1078" s="169" t="inlineStr">
        <is>
          <t>COMPRA</t>
        </is>
      </c>
      <c r="F1078" s="169" t="inlineStr">
        <is>
          <t>Mega Catalina</t>
        </is>
      </c>
      <c r="G1078" s="169" t="inlineStr">
        <is>
          <t>ORONULES - 2019 (2,5 Ha.)</t>
        </is>
      </c>
      <c r="H1078" s="169" t="n"/>
      <c r="I1078" s="169" t="n"/>
      <c r="J1078" s="169" t="inlineStr">
        <is>
          <t>LABORES OPERACIONALES</t>
        </is>
      </c>
      <c r="K1078" s="169" t="inlineStr">
        <is>
          <t>OTROS SERVICIOS</t>
        </is>
      </c>
      <c r="L1078" s="169" t="inlineStr">
        <is>
          <t>SERV.CONTRATISTA</t>
        </is>
      </c>
      <c r="M1078" s="169" t="n"/>
      <c r="N1078" s="169" t="inlineStr">
        <is>
          <t>.   .   -</t>
        </is>
      </c>
      <c r="O1078" s="169" t="inlineStr">
        <is>
          <t>JUNIO</t>
        </is>
      </c>
      <c r="P1078" s="169" t="n">
        <v>23</v>
      </c>
      <c r="Q1078" s="171" t="n">
        <v>90000</v>
      </c>
      <c r="R1078" s="169" t="n"/>
      <c r="S1078" s="171" t="n">
        <v>90000</v>
      </c>
      <c r="T1078" s="169" t="inlineStr">
        <is>
          <t>CLP</t>
        </is>
      </c>
      <c r="U1078" s="169" t="inlineStr">
        <is>
          <t>Carga LH 18-06-26</t>
        </is>
      </c>
      <c r="V1078" s="169" t="inlineStr">
        <is>
          <t>2026-06-18</t>
        </is>
      </c>
    </row>
    <row r="1079">
      <c r="A1079" s="169" t="inlineStr">
        <is>
          <t>CR-1076</t>
        </is>
      </c>
      <c r="B1079" s="169" t="inlineStr">
        <is>
          <t>2026/27</t>
        </is>
      </c>
      <c r="C1079" s="231" t="n">
        <v>46190</v>
      </c>
      <c r="D1079" s="169" t="inlineStr">
        <is>
          <t>642</t>
        </is>
      </c>
      <c r="E1079" s="169" t="inlineStr">
        <is>
          <t>COMPRA</t>
        </is>
      </c>
      <c r="F1079" s="169" t="inlineStr">
        <is>
          <t>El Molle</t>
        </is>
      </c>
      <c r="G1079" s="169" t="inlineStr">
        <is>
          <t>OROGRANDE - 2007 (8,11 Ha.)</t>
        </is>
      </c>
      <c r="H1079" s="169" t="n"/>
      <c r="I1079" s="169" t="n"/>
      <c r="J1079" s="169" t="inlineStr">
        <is>
          <t>LABORES OPERACIONALES</t>
        </is>
      </c>
      <c r="K1079" s="169" t="inlineStr">
        <is>
          <t>OTROS SERVICIOS</t>
        </is>
      </c>
      <c r="L1079" s="169" t="inlineStr">
        <is>
          <t>SERV.CONTRATISTA</t>
        </is>
      </c>
      <c r="M1079" s="169" t="n"/>
      <c r="N1079" s="169" t="inlineStr">
        <is>
          <t>.   .   -</t>
        </is>
      </c>
      <c r="O1079" s="169" t="inlineStr">
        <is>
          <t>JUNIO</t>
        </is>
      </c>
      <c r="P1079" s="169" t="n">
        <v>23</v>
      </c>
      <c r="Q1079" s="171" t="n">
        <v>450000</v>
      </c>
      <c r="R1079" s="169" t="n"/>
      <c r="S1079" s="171" t="n">
        <v>450000</v>
      </c>
      <c r="T1079" s="169" t="inlineStr">
        <is>
          <t>CLP</t>
        </is>
      </c>
      <c r="U1079" s="169" t="inlineStr">
        <is>
          <t>Carga LH 18-06-26</t>
        </is>
      </c>
      <c r="V1079" s="169" t="inlineStr">
        <is>
          <t>2026-06-18</t>
        </is>
      </c>
    </row>
    <row r="1080">
      <c r="A1080" s="169" t="inlineStr">
        <is>
          <t>CR-1077</t>
        </is>
      </c>
      <c r="B1080" s="169" t="inlineStr">
        <is>
          <t>2026/27</t>
        </is>
      </c>
      <c r="C1080" s="231" t="n">
        <v>46190</v>
      </c>
      <c r="D1080" s="169" t="inlineStr">
        <is>
          <t>642</t>
        </is>
      </c>
      <c r="E1080" s="169" t="inlineStr">
        <is>
          <t>COMPRA</t>
        </is>
      </c>
      <c r="F1080" s="169" t="inlineStr">
        <is>
          <t>El Molle</t>
        </is>
      </c>
      <c r="G1080" s="169" t="inlineStr">
        <is>
          <t>WONDERFUL - 2002 (2,80 Ha.)</t>
        </is>
      </c>
      <c r="H1080" s="169" t="n"/>
      <c r="I1080" s="169" t="n"/>
      <c r="J1080" s="169" t="inlineStr">
        <is>
          <t>LABORES OPERACIONALES</t>
        </is>
      </c>
      <c r="K1080" s="169" t="inlineStr">
        <is>
          <t>OTROS SERVICIOS</t>
        </is>
      </c>
      <c r="L1080" s="169" t="inlineStr">
        <is>
          <t>SERV.CONTRATISTA</t>
        </is>
      </c>
      <c r="M1080" s="169" t="n"/>
      <c r="N1080" s="169" t="inlineStr">
        <is>
          <t>.   .   -</t>
        </is>
      </c>
      <c r="O1080" s="169" t="inlineStr">
        <is>
          <t>JUNIO</t>
        </is>
      </c>
      <c r="P1080" s="169" t="n">
        <v>23</v>
      </c>
      <c r="Q1080" s="171" t="n">
        <v>90000</v>
      </c>
      <c r="R1080" s="169" t="n"/>
      <c r="S1080" s="171" t="n">
        <v>90000</v>
      </c>
      <c r="T1080" s="169" t="inlineStr">
        <is>
          <t>CLP</t>
        </is>
      </c>
      <c r="U1080" s="169" t="inlineStr">
        <is>
          <t>Carga LH 18-06-26</t>
        </is>
      </c>
      <c r="V1080" s="169" t="inlineStr">
        <is>
          <t>2026-06-18</t>
        </is>
      </c>
    </row>
    <row r="1081">
      <c r="A1081" s="169" t="inlineStr">
        <is>
          <t>CR-1078</t>
        </is>
      </c>
      <c r="B1081" s="169" t="inlineStr">
        <is>
          <t>2026/27</t>
        </is>
      </c>
      <c r="C1081" s="231" t="n">
        <v>46190</v>
      </c>
      <c r="D1081" s="169" t="inlineStr">
        <is>
          <t>642</t>
        </is>
      </c>
      <c r="E1081" s="169" t="inlineStr">
        <is>
          <t>COMPRA</t>
        </is>
      </c>
      <c r="F1081" s="169" t="inlineStr">
        <is>
          <t>El Molle</t>
        </is>
      </c>
      <c r="G1081" s="169" t="inlineStr">
        <is>
          <t>WONDERFUL - 2007 (2,44 Ha.)</t>
        </is>
      </c>
      <c r="H1081" s="169" t="n"/>
      <c r="I1081" s="169" t="n"/>
      <c r="J1081" s="169" t="inlineStr">
        <is>
          <t>LABORES OPERACIONALES</t>
        </is>
      </c>
      <c r="K1081" s="169" t="inlineStr">
        <is>
          <t>OTROS SERVICIOS</t>
        </is>
      </c>
      <c r="L1081" s="169" t="inlineStr">
        <is>
          <t>SERV.CONTRATISTA</t>
        </is>
      </c>
      <c r="M1081" s="169" t="n"/>
      <c r="N1081" s="169" t="inlineStr">
        <is>
          <t>.   .   -</t>
        </is>
      </c>
      <c r="O1081" s="169" t="inlineStr">
        <is>
          <t>JUNIO</t>
        </is>
      </c>
      <c r="P1081" s="169" t="n">
        <v>23</v>
      </c>
      <c r="Q1081" s="171" t="n">
        <v>90000</v>
      </c>
      <c r="R1081" s="169" t="n"/>
      <c r="S1081" s="171" t="n">
        <v>90000</v>
      </c>
      <c r="T1081" s="169" t="inlineStr">
        <is>
          <t>CLP</t>
        </is>
      </c>
      <c r="U1081" s="169" t="inlineStr">
        <is>
          <t>Carga LH 18-06-26</t>
        </is>
      </c>
      <c r="V1081" s="169" t="inlineStr">
        <is>
          <t>2026-06-18</t>
        </is>
      </c>
    </row>
    <row r="1082">
      <c r="A1082" s="169" t="inlineStr">
        <is>
          <t>CR-1079</t>
        </is>
      </c>
      <c r="B1082" s="169" t="inlineStr">
        <is>
          <t>2026/27</t>
        </is>
      </c>
      <c r="C1082" s="231" t="n">
        <v>46188</v>
      </c>
      <c r="D1082" s="169" t="inlineStr">
        <is>
          <t>93</t>
        </is>
      </c>
      <c r="E1082" s="169" t="inlineStr">
        <is>
          <t>COMPRA</t>
        </is>
      </c>
      <c r="F1082" s="169" t="inlineStr">
        <is>
          <t>El Molle</t>
        </is>
      </c>
      <c r="G1082" s="169" t="inlineStr">
        <is>
          <t>ARRUFATINA - 2017 (5,74 Ha.)</t>
        </is>
      </c>
      <c r="H1082" s="169" t="n"/>
      <c r="I1082" s="169" t="n"/>
      <c r="J1082" s="169" t="inlineStr">
        <is>
          <t>MANO DE OBRA CONTRATISTA</t>
        </is>
      </c>
      <c r="K1082" s="169" t="inlineStr">
        <is>
          <t>M.O. CONTRATISTA</t>
        </is>
      </c>
      <c r="L1082" s="169" t="inlineStr">
        <is>
          <t>O/001744 M.O. CONTR</t>
        </is>
      </c>
      <c r="M1082" s="169" t="n"/>
      <c r="N1082" s="169" t="inlineStr">
        <is>
          <t>.   .   -</t>
        </is>
      </c>
      <c r="O1082" s="169" t="inlineStr">
        <is>
          <t>JUNIO</t>
        </is>
      </c>
      <c r="P1082" s="169" t="n">
        <v>23</v>
      </c>
      <c r="Q1082" s="171" t="n">
        <v>3727372</v>
      </c>
      <c r="R1082" s="169" t="n"/>
      <c r="S1082" s="171" t="n">
        <v>3727372</v>
      </c>
      <c r="T1082" s="169" t="inlineStr">
        <is>
          <t>CLP</t>
        </is>
      </c>
      <c r="U1082" s="169" t="inlineStr">
        <is>
          <t>Carga LH 18-06-26</t>
        </is>
      </c>
      <c r="V1082" s="169" t="inlineStr">
        <is>
          <t>2026-06-18</t>
        </is>
      </c>
    </row>
    <row r="1083">
      <c r="A1083" s="169" t="inlineStr">
        <is>
          <t>CR-1080</t>
        </is>
      </c>
      <c r="B1083" s="169" t="inlineStr">
        <is>
          <t>2026/27</t>
        </is>
      </c>
      <c r="C1083" s="231" t="n">
        <v>46188</v>
      </c>
      <c r="D1083" s="169" t="inlineStr">
        <is>
          <t>7</t>
        </is>
      </c>
      <c r="E1083" s="169" t="inlineStr">
        <is>
          <t>COMPRA</t>
        </is>
      </c>
      <c r="F1083" s="169" t="inlineStr">
        <is>
          <t>El Molle</t>
        </is>
      </c>
      <c r="G1083" s="169" t="inlineStr">
        <is>
          <t>ARRUFATINA - 2017 (5,74 Ha.)</t>
        </is>
      </c>
      <c r="H1083" s="169" t="n"/>
      <c r="I1083" s="169" t="n"/>
      <c r="J1083" s="169" t="inlineStr">
        <is>
          <t>MANO DE OBRA CONTRATISTA</t>
        </is>
      </c>
      <c r="K1083" s="169" t="inlineStr">
        <is>
          <t>M.O. CONTRATISTA</t>
        </is>
      </c>
      <c r="L1083" s="169" t="inlineStr">
        <is>
          <t>O/001744 M.O. CONTR</t>
        </is>
      </c>
      <c r="M1083" s="169" t="n"/>
      <c r="N1083" s="169" t="inlineStr">
        <is>
          <t>.   .   -</t>
        </is>
      </c>
      <c r="O1083" s="169" t="inlineStr">
        <is>
          <t>JUNIO</t>
        </is>
      </c>
      <c r="P1083" s="169" t="n">
        <v>23</v>
      </c>
      <c r="Q1083" s="171" t="n">
        <v>3727372</v>
      </c>
      <c r="R1083" s="169" t="n"/>
      <c r="S1083" s="171" t="n">
        <v>3727372</v>
      </c>
      <c r="T1083" s="169" t="inlineStr">
        <is>
          <t>CLP</t>
        </is>
      </c>
      <c r="U1083" s="169" t="inlineStr">
        <is>
          <t>Carga LH 18-06-26</t>
        </is>
      </c>
      <c r="V1083" s="169" t="inlineStr">
        <is>
          <t>2026-06-18</t>
        </is>
      </c>
    </row>
    <row r="1084">
      <c r="A1084" s="169" t="inlineStr">
        <is>
          <t>CR-1081</t>
        </is>
      </c>
      <c r="B1084" s="169" t="inlineStr">
        <is>
          <t>2026/27</t>
        </is>
      </c>
      <c r="C1084" s="231" t="n">
        <v>46188</v>
      </c>
      <c r="D1084" s="169" t="inlineStr">
        <is>
          <t>26</t>
        </is>
      </c>
      <c r="E1084" s="169" t="inlineStr">
        <is>
          <t>COMPRA</t>
        </is>
      </c>
      <c r="F1084" s="169" t="inlineStr">
        <is>
          <t>Mega Catalina</t>
        </is>
      </c>
      <c r="G1084" s="169" t="inlineStr">
        <is>
          <t>EUREKA - 1999 (22,5 Ha.)</t>
        </is>
      </c>
      <c r="H1084" s="169" t="n"/>
      <c r="I1084" s="169" t="n"/>
      <c r="J1084" s="169" t="inlineStr">
        <is>
          <t>MANO DE OBRA CONTRATISTA</t>
        </is>
      </c>
      <c r="K1084" s="169" t="inlineStr">
        <is>
          <t>M.O. CONTRATISTA</t>
        </is>
      </c>
      <c r="L1084" s="169" t="inlineStr">
        <is>
          <t>O/001745 M.O. CONTR</t>
        </is>
      </c>
      <c r="M1084" s="169" t="n"/>
      <c r="N1084" s="169" t="inlineStr">
        <is>
          <t>.   .   -</t>
        </is>
      </c>
      <c r="O1084" s="169" t="inlineStr">
        <is>
          <t>JUNIO</t>
        </is>
      </c>
      <c r="P1084" s="169" t="n">
        <v>23</v>
      </c>
      <c r="Q1084" s="171" t="n">
        <v>1070480</v>
      </c>
      <c r="R1084" s="169" t="n"/>
      <c r="S1084" s="171" t="n">
        <v>1070480</v>
      </c>
      <c r="T1084" s="169" t="inlineStr">
        <is>
          <t>CLP</t>
        </is>
      </c>
      <c r="U1084" s="169" t="inlineStr">
        <is>
          <t>Carga LH 18-06-26</t>
        </is>
      </c>
      <c r="V1084" s="169" t="inlineStr">
        <is>
          <t>2026-06-18</t>
        </is>
      </c>
    </row>
    <row r="1085">
      <c r="A1085" s="169" t="inlineStr">
        <is>
          <t>CR-1082</t>
        </is>
      </c>
      <c r="B1085" s="169" t="inlineStr">
        <is>
          <t>2026/27</t>
        </is>
      </c>
      <c r="C1085" s="231" t="n">
        <v>46189</v>
      </c>
      <c r="D1085" s="169" t="inlineStr">
        <is>
          <t>10</t>
        </is>
      </c>
      <c r="E1085" s="169" t="inlineStr">
        <is>
          <t>COMPRA</t>
        </is>
      </c>
      <c r="F1085" s="169" t="inlineStr">
        <is>
          <t>Mega Catalina</t>
        </is>
      </c>
      <c r="G1085" s="169" t="inlineStr">
        <is>
          <t>EUREKA - 1999 (22,5 Ha.)</t>
        </is>
      </c>
      <c r="H1085" s="169" t="n"/>
      <c r="I1085" s="169" t="n"/>
      <c r="J1085" s="169" t="inlineStr">
        <is>
          <t>MANO DE OBRA CONTRATISTA</t>
        </is>
      </c>
      <c r="K1085" s="169" t="inlineStr">
        <is>
          <t>M.O. CONTRATISTA</t>
        </is>
      </c>
      <c r="L1085" s="169" t="inlineStr">
        <is>
          <t>O/001745 M.O. CONTR</t>
        </is>
      </c>
      <c r="M1085" s="169" t="n"/>
      <c r="N1085" s="169" t="inlineStr">
        <is>
          <t>.   .   -</t>
        </is>
      </c>
      <c r="O1085" s="169" t="inlineStr">
        <is>
          <t>JUNIO</t>
        </is>
      </c>
      <c r="P1085" s="169" t="n">
        <v>23</v>
      </c>
      <c r="Q1085" s="171" t="n">
        <v>1070480</v>
      </c>
      <c r="R1085" s="169" t="n"/>
      <c r="S1085" s="171" t="n">
        <v>1070480</v>
      </c>
      <c r="T1085" s="169" t="inlineStr">
        <is>
          <t>CLP</t>
        </is>
      </c>
      <c r="U1085" s="169" t="inlineStr">
        <is>
          <t>Carga LH 18-06-26</t>
        </is>
      </c>
      <c r="V1085" s="169" t="inlineStr">
        <is>
          <t>2026-06-18</t>
        </is>
      </c>
    </row>
    <row r="1086">
      <c r="A1086" s="232" t="inlineStr">
        <is>
          <t>CR-1083</t>
        </is>
      </c>
      <c r="B1086" s="232" t="inlineStr">
        <is>
          <t>2026/27</t>
        </is>
      </c>
      <c r="C1086" s="233" t="n">
        <v>46043</v>
      </c>
      <c r="D1086" s="232" t="inlineStr">
        <is>
          <t>826092</t>
        </is>
      </c>
      <c r="E1086" s="232" t="inlineStr">
        <is>
          <t>PRORRATEO</t>
        </is>
      </c>
      <c r="F1086" s="232" t="inlineStr">
        <is>
          <t>Asmara</t>
        </is>
      </c>
      <c r="G1086" s="232" t="inlineStr">
        <is>
          <t>w. murcott 19,8 ha</t>
        </is>
      </c>
      <c r="H1086" s="232" t="inlineStr">
        <is>
          <t>Mandarina</t>
        </is>
      </c>
      <c r="I1086" s="232" t="inlineStr">
        <is>
          <t>W. murcott</t>
        </is>
      </c>
      <c r="J1086" s="232" t="inlineStr">
        <is>
          <t>MANT. Y REP. CONSTRUCCIONES</t>
        </is>
      </c>
      <c r="K1086" s="232" t="inlineStr">
        <is>
          <t>MANTENCION INFRAESTRUCTURA</t>
        </is>
      </c>
      <c r="L1086" s="232" t="inlineStr">
        <is>
          <t>[PRORRATEO 13.4% 19.8há/148.3há] O/001278 AGUA DESMI</t>
        </is>
      </c>
      <c r="M1086" s="232" t="inlineStr"/>
      <c r="N1086" s="232" t="inlineStr">
        <is>
          <t>.   .   -</t>
        </is>
      </c>
      <c r="O1086" s="232" t="inlineStr">
        <is>
          <t>ENERO</t>
        </is>
      </c>
      <c r="P1086" s="232" t="n">
        <v>3</v>
      </c>
      <c r="Q1086" s="234" t="n">
        <v>269</v>
      </c>
      <c r="R1086" s="232" t="inlineStr"/>
      <c r="S1086" s="234" t="n">
        <v>269</v>
      </c>
      <c r="T1086" s="232" t="inlineStr">
        <is>
          <t>CLP</t>
        </is>
      </c>
      <c r="U1086" s="232" t="inlineStr">
        <is>
          <t>Prorrateo Ha PACKING</t>
        </is>
      </c>
      <c r="V1086" s="232" t="inlineStr">
        <is>
          <t>2026-06-18</t>
        </is>
      </c>
    </row>
    <row r="1087">
      <c r="A1087" s="232" t="inlineStr">
        <is>
          <t>CR-1084</t>
        </is>
      </c>
      <c r="B1087" s="232" t="inlineStr">
        <is>
          <t>2026/27</t>
        </is>
      </c>
      <c r="C1087" s="233" t="n">
        <v>46043</v>
      </c>
      <c r="D1087" s="232" t="inlineStr">
        <is>
          <t>826092</t>
        </is>
      </c>
      <c r="E1087" s="232" t="inlineStr">
        <is>
          <t>PRORRATEO</t>
        </is>
      </c>
      <c r="F1087" s="232" t="inlineStr">
        <is>
          <t>Asmara</t>
        </is>
      </c>
      <c r="G1087" s="232" t="inlineStr">
        <is>
          <t>w. murcott 4,9 ha</t>
        </is>
      </c>
      <c r="H1087" s="232" t="inlineStr">
        <is>
          <t>Mandarina</t>
        </is>
      </c>
      <c r="I1087" s="232" t="inlineStr">
        <is>
          <t>W. murcott</t>
        </is>
      </c>
      <c r="J1087" s="232" t="inlineStr">
        <is>
          <t>MANT. Y REP. CONSTRUCCIONES</t>
        </is>
      </c>
      <c r="K1087" s="232" t="inlineStr">
        <is>
          <t>MANTENCION INFRAESTRUCTURA</t>
        </is>
      </c>
      <c r="L1087" s="232" t="inlineStr">
        <is>
          <t>[PRORRATEO 3.3% 4.9há/148.3há] O/001278 AGUA DESMI</t>
        </is>
      </c>
      <c r="M1087" s="232" t="inlineStr"/>
      <c r="N1087" s="232" t="inlineStr">
        <is>
          <t>.   .   -</t>
        </is>
      </c>
      <c r="O1087" s="232" t="inlineStr">
        <is>
          <t>ENERO</t>
        </is>
      </c>
      <c r="P1087" s="232" t="n">
        <v>3</v>
      </c>
      <c r="Q1087" s="234" t="n">
        <v>67</v>
      </c>
      <c r="R1087" s="232" t="inlineStr"/>
      <c r="S1087" s="234" t="n">
        <v>67</v>
      </c>
      <c r="T1087" s="232" t="inlineStr">
        <is>
          <t>CLP</t>
        </is>
      </c>
      <c r="U1087" s="232" t="inlineStr">
        <is>
          <t>Prorrateo Ha PACKING</t>
        </is>
      </c>
      <c r="V1087" s="232" t="inlineStr">
        <is>
          <t>2026-06-18</t>
        </is>
      </c>
    </row>
    <row r="1088">
      <c r="A1088" s="232" t="inlineStr">
        <is>
          <t>CR-1085</t>
        </is>
      </c>
      <c r="B1088" s="232" t="inlineStr">
        <is>
          <t>2026/27</t>
        </is>
      </c>
      <c r="C1088" s="233" t="n">
        <v>46043</v>
      </c>
      <c r="D1088" s="232" t="inlineStr">
        <is>
          <t>826092</t>
        </is>
      </c>
      <c r="E1088" s="232" t="inlineStr">
        <is>
          <t>PRORRATEO</t>
        </is>
      </c>
      <c r="F1088" s="232" t="inlineStr">
        <is>
          <t>El Molle</t>
        </is>
      </c>
      <c r="G1088" s="232" t="inlineStr">
        <is>
          <t>Wonderful 5,25 ha</t>
        </is>
      </c>
      <c r="H1088" s="232" t="inlineStr">
        <is>
          <t>Granados</t>
        </is>
      </c>
      <c r="I1088" s="232" t="inlineStr">
        <is>
          <t>Wonderfull</t>
        </is>
      </c>
      <c r="J1088" s="232" t="inlineStr">
        <is>
          <t>MANT. Y REP. CONSTRUCCIONES</t>
        </is>
      </c>
      <c r="K1088" s="232" t="inlineStr">
        <is>
          <t>MANTENCION INFRAESTRUCTURA</t>
        </is>
      </c>
      <c r="L1088" s="232" t="inlineStr">
        <is>
          <t>[PRORRATEO 3.5% 5.24há/148.3há] O/001278 AGUA DESMI</t>
        </is>
      </c>
      <c r="M1088" s="232" t="inlineStr"/>
      <c r="N1088" s="232" t="inlineStr">
        <is>
          <t>.   .   -</t>
        </is>
      </c>
      <c r="O1088" s="232" t="inlineStr">
        <is>
          <t>ENERO</t>
        </is>
      </c>
      <c r="P1088" s="232" t="n">
        <v>3</v>
      </c>
      <c r="Q1088" s="234" t="n">
        <v>71</v>
      </c>
      <c r="R1088" s="232" t="inlineStr"/>
      <c r="S1088" s="234" t="n">
        <v>71</v>
      </c>
      <c r="T1088" s="232" t="inlineStr">
        <is>
          <t>CLP</t>
        </is>
      </c>
      <c r="U1088" s="232" t="inlineStr">
        <is>
          <t>Prorrateo Ha PACKING</t>
        </is>
      </c>
      <c r="V1088" s="232" t="inlineStr">
        <is>
          <t>2026-06-18</t>
        </is>
      </c>
    </row>
    <row r="1089">
      <c r="A1089" s="232" t="inlineStr">
        <is>
          <t>CR-1086</t>
        </is>
      </c>
      <c r="B1089" s="232" t="inlineStr">
        <is>
          <t>2026/27</t>
        </is>
      </c>
      <c r="C1089" s="233" t="n">
        <v>46043</v>
      </c>
      <c r="D1089" s="232" t="inlineStr">
        <is>
          <t>826092</t>
        </is>
      </c>
      <c r="E1089" s="232" t="inlineStr">
        <is>
          <t>PRORRATEO</t>
        </is>
      </c>
      <c r="F1089" s="232" t="inlineStr">
        <is>
          <t>El Molle</t>
        </is>
      </c>
      <c r="G1089" s="232" t="inlineStr">
        <is>
          <t>arrufatinas 5,74 ha</t>
        </is>
      </c>
      <c r="H1089" s="232" t="inlineStr">
        <is>
          <t>Clementinas</t>
        </is>
      </c>
      <c r="I1089" s="232" t="inlineStr">
        <is>
          <t>Arrufatinas</t>
        </is>
      </c>
      <c r="J1089" s="232" t="inlineStr">
        <is>
          <t>MANT. Y REP. CONSTRUCCIONES</t>
        </is>
      </c>
      <c r="K1089" s="232" t="inlineStr">
        <is>
          <t>MANTENCION INFRAESTRUCTURA</t>
        </is>
      </c>
      <c r="L1089" s="232" t="inlineStr">
        <is>
          <t>[PRORRATEO 3.9% 5.74há/148.3há] O/001278 AGUA DESMI</t>
        </is>
      </c>
      <c r="M1089" s="232" t="inlineStr"/>
      <c r="N1089" s="232" t="inlineStr">
        <is>
          <t>.   .   -</t>
        </is>
      </c>
      <c r="O1089" s="232" t="inlineStr">
        <is>
          <t>ENERO</t>
        </is>
      </c>
      <c r="P1089" s="232" t="n">
        <v>3</v>
      </c>
      <c r="Q1089" s="234" t="n">
        <v>78</v>
      </c>
      <c r="R1089" s="232" t="inlineStr"/>
      <c r="S1089" s="234" t="n">
        <v>78</v>
      </c>
      <c r="T1089" s="232" t="inlineStr">
        <is>
          <t>CLP</t>
        </is>
      </c>
      <c r="U1089" s="232" t="inlineStr">
        <is>
          <t>Prorrateo Ha PACKING</t>
        </is>
      </c>
      <c r="V1089" s="232" t="inlineStr">
        <is>
          <t>2026-06-18</t>
        </is>
      </c>
    </row>
    <row r="1090">
      <c r="A1090" s="232" t="inlineStr">
        <is>
          <t>CR-1087</t>
        </is>
      </c>
      <c r="B1090" s="232" t="inlineStr">
        <is>
          <t>2026/27</t>
        </is>
      </c>
      <c r="C1090" s="233" t="n">
        <v>46043</v>
      </c>
      <c r="D1090" s="232" t="inlineStr">
        <is>
          <t>826092</t>
        </is>
      </c>
      <c r="E1090" s="232" t="inlineStr">
        <is>
          <t>PRORRATEO</t>
        </is>
      </c>
      <c r="F1090" s="232" t="inlineStr">
        <is>
          <t>El Molle</t>
        </is>
      </c>
      <c r="G1090" s="232" t="inlineStr">
        <is>
          <t>orogrande 8,11 ha</t>
        </is>
      </c>
      <c r="H1090" s="232" t="inlineStr">
        <is>
          <t>Clementinas</t>
        </is>
      </c>
      <c r="I1090" s="232" t="inlineStr">
        <is>
          <t>Orogrande</t>
        </is>
      </c>
      <c r="J1090" s="232" t="inlineStr">
        <is>
          <t>MANT. Y REP. CONSTRUCCIONES</t>
        </is>
      </c>
      <c r="K1090" s="232" t="inlineStr">
        <is>
          <t>MANTENCION INFRAESTRUCTURA</t>
        </is>
      </c>
      <c r="L1090" s="232" t="inlineStr">
        <is>
          <t>[PRORRATEO 5.5% 8.11há/148.3há] O/001278 AGUA DESMI</t>
        </is>
      </c>
      <c r="M1090" s="232" t="inlineStr"/>
      <c r="N1090" s="232" t="inlineStr">
        <is>
          <t>.   .   -</t>
        </is>
      </c>
      <c r="O1090" s="232" t="inlineStr">
        <is>
          <t>ENERO</t>
        </is>
      </c>
      <c r="P1090" s="232" t="n">
        <v>3</v>
      </c>
      <c r="Q1090" s="234" t="n">
        <v>110</v>
      </c>
      <c r="R1090" s="232" t="inlineStr"/>
      <c r="S1090" s="234" t="n">
        <v>110</v>
      </c>
      <c r="T1090" s="232" t="inlineStr">
        <is>
          <t>CLP</t>
        </is>
      </c>
      <c r="U1090" s="232" t="inlineStr">
        <is>
          <t>Prorrateo Ha PACKING</t>
        </is>
      </c>
      <c r="V1090" s="232" t="inlineStr">
        <is>
          <t>2026-06-18</t>
        </is>
      </c>
    </row>
    <row r="1091">
      <c r="A1091" s="232" t="inlineStr">
        <is>
          <t>CR-1088</t>
        </is>
      </c>
      <c r="B1091" s="232" t="inlineStr">
        <is>
          <t>2026/27</t>
        </is>
      </c>
      <c r="C1091" s="233" t="n">
        <v>46043</v>
      </c>
      <c r="D1091" s="232" t="inlineStr">
        <is>
          <t>826092</t>
        </is>
      </c>
      <c r="E1091" s="232" t="inlineStr">
        <is>
          <t>PRORRATEO</t>
        </is>
      </c>
      <c r="F1091" s="232" t="inlineStr">
        <is>
          <t>El Molle</t>
        </is>
      </c>
      <c r="G1091" s="232" t="inlineStr">
        <is>
          <t>oronules 5,35 ha</t>
        </is>
      </c>
      <c r="H1091" s="232" t="inlineStr">
        <is>
          <t>Clementinas</t>
        </is>
      </c>
      <c r="I1091" s="232" t="inlineStr">
        <is>
          <t>Oronules</t>
        </is>
      </c>
      <c r="J1091" s="232" t="inlineStr">
        <is>
          <t>MANT. Y REP. CONSTRUCCIONES</t>
        </is>
      </c>
      <c r="K1091" s="232" t="inlineStr">
        <is>
          <t>MANTENCION INFRAESTRUCTURA</t>
        </is>
      </c>
      <c r="L1091" s="232" t="inlineStr">
        <is>
          <t>[PRORRATEO 3.6% 5.35há/148.3há] O/001278 AGUA DESMI</t>
        </is>
      </c>
      <c r="M1091" s="232" t="inlineStr"/>
      <c r="N1091" s="232" t="inlineStr">
        <is>
          <t>.   .   -</t>
        </is>
      </c>
      <c r="O1091" s="232" t="inlineStr">
        <is>
          <t>ENERO</t>
        </is>
      </c>
      <c r="P1091" s="232" t="n">
        <v>3</v>
      </c>
      <c r="Q1091" s="234" t="n">
        <v>73</v>
      </c>
      <c r="R1091" s="232" t="inlineStr"/>
      <c r="S1091" s="234" t="n">
        <v>73</v>
      </c>
      <c r="T1091" s="232" t="inlineStr">
        <is>
          <t>CLP</t>
        </is>
      </c>
      <c r="U1091" s="232" t="inlineStr">
        <is>
          <t>Prorrateo Ha PACKING</t>
        </is>
      </c>
      <c r="V1091" s="232" t="inlineStr">
        <is>
          <t>2026-06-18</t>
        </is>
      </c>
    </row>
    <row r="1092">
      <c r="A1092" s="232" t="inlineStr">
        <is>
          <t>CR-1089</t>
        </is>
      </c>
      <c r="B1092" s="232" t="inlineStr">
        <is>
          <t>2026/27</t>
        </is>
      </c>
      <c r="C1092" s="233" t="n">
        <v>46043</v>
      </c>
      <c r="D1092" s="232" t="inlineStr">
        <is>
          <t>826092</t>
        </is>
      </c>
      <c r="E1092" s="232" t="inlineStr">
        <is>
          <t>PRORRATEO</t>
        </is>
      </c>
      <c r="F1092" s="232" t="inlineStr">
        <is>
          <t>Santa Catalina</t>
        </is>
      </c>
      <c r="G1092" s="232" t="inlineStr">
        <is>
          <t>Fino 49 7,7 ha</t>
        </is>
      </c>
      <c r="H1092" s="232" t="inlineStr">
        <is>
          <t>Limon</t>
        </is>
      </c>
      <c r="I1092" s="232" t="inlineStr">
        <is>
          <t>Fino 49</t>
        </is>
      </c>
      <c r="J1092" s="232" t="inlineStr">
        <is>
          <t>MANT. Y REP. CONSTRUCCIONES</t>
        </is>
      </c>
      <c r="K1092" s="232" t="inlineStr">
        <is>
          <t>MANTENCION INFRAESTRUCTURA</t>
        </is>
      </c>
      <c r="L1092" s="232" t="inlineStr">
        <is>
          <t>[PRORRATEO 5.2% 7.7há/148.3há] O/001278 AGUA DESMI</t>
        </is>
      </c>
      <c r="M1092" s="232" t="inlineStr"/>
      <c r="N1092" s="232" t="inlineStr">
        <is>
          <t>.   .   -</t>
        </is>
      </c>
      <c r="O1092" s="232" t="inlineStr">
        <is>
          <t>ENERO</t>
        </is>
      </c>
      <c r="P1092" s="232" t="n">
        <v>3</v>
      </c>
      <c r="Q1092" s="234" t="n">
        <v>105</v>
      </c>
      <c r="R1092" s="232" t="inlineStr"/>
      <c r="S1092" s="234" t="n">
        <v>105</v>
      </c>
      <c r="T1092" s="232" t="inlineStr">
        <is>
          <t>CLP</t>
        </is>
      </c>
      <c r="U1092" s="232" t="inlineStr">
        <is>
          <t>Prorrateo Ha PACKING</t>
        </is>
      </c>
      <c r="V1092" s="232" t="inlineStr">
        <is>
          <t>2026-06-18</t>
        </is>
      </c>
    </row>
    <row r="1093">
      <c r="A1093" s="232" t="inlineStr">
        <is>
          <t>CR-1090</t>
        </is>
      </c>
      <c r="B1093" s="232" t="inlineStr">
        <is>
          <t>2026/27</t>
        </is>
      </c>
      <c r="C1093" s="233" t="n">
        <v>46043</v>
      </c>
      <c r="D1093" s="232" t="inlineStr">
        <is>
          <t>826092</t>
        </is>
      </c>
      <c r="E1093" s="232" t="inlineStr">
        <is>
          <t>PRORRATEO</t>
        </is>
      </c>
      <c r="F1093" s="232" t="inlineStr">
        <is>
          <t>Santa Catalina</t>
        </is>
      </c>
      <c r="G1093" s="232" t="inlineStr">
        <is>
          <t>W. murcott 21 ha</t>
        </is>
      </c>
      <c r="H1093" s="232" t="inlineStr">
        <is>
          <t>Mandarina</t>
        </is>
      </c>
      <c r="I1093" s="232" t="inlineStr">
        <is>
          <t>W. murcott</t>
        </is>
      </c>
      <c r="J1093" s="232" t="inlineStr">
        <is>
          <t>MANT. Y REP. CONSTRUCCIONES</t>
        </is>
      </c>
      <c r="K1093" s="232" t="inlineStr">
        <is>
          <t>MANTENCION INFRAESTRUCTURA</t>
        </is>
      </c>
      <c r="L1093" s="232" t="inlineStr">
        <is>
          <t>[PRORRATEO 14.2% 21.0há/148.3há] O/001278 AGUA DESMI</t>
        </is>
      </c>
      <c r="M1093" s="232" t="inlineStr"/>
      <c r="N1093" s="232" t="inlineStr">
        <is>
          <t>.   .   -</t>
        </is>
      </c>
      <c r="O1093" s="232" t="inlineStr">
        <is>
          <t>ENERO</t>
        </is>
      </c>
      <c r="P1093" s="232" t="n">
        <v>3</v>
      </c>
      <c r="Q1093" s="234" t="n">
        <v>286</v>
      </c>
      <c r="R1093" s="232" t="inlineStr"/>
      <c r="S1093" s="234" t="n">
        <v>286</v>
      </c>
      <c r="T1093" s="232" t="inlineStr">
        <is>
          <t>CLP</t>
        </is>
      </c>
      <c r="U1093" s="232" t="inlineStr">
        <is>
          <t>Prorrateo Ha PACKING</t>
        </is>
      </c>
      <c r="V1093" s="232" t="inlineStr">
        <is>
          <t>2026-06-18</t>
        </is>
      </c>
    </row>
    <row r="1094">
      <c r="A1094" s="232" t="inlineStr">
        <is>
          <t>CR-1091</t>
        </is>
      </c>
      <c r="B1094" s="232" t="inlineStr">
        <is>
          <t>2026/27</t>
        </is>
      </c>
      <c r="C1094" s="233" t="n">
        <v>46043</v>
      </c>
      <c r="D1094" s="232" t="inlineStr">
        <is>
          <t>826092</t>
        </is>
      </c>
      <c r="E1094" s="232" t="inlineStr">
        <is>
          <t>PRORRATEO</t>
        </is>
      </c>
      <c r="F1094" s="232" t="inlineStr">
        <is>
          <t>Santa Catalina</t>
        </is>
      </c>
      <c r="G1094" s="232" t="inlineStr">
        <is>
          <t>cambria 4,2 ha</t>
        </is>
      </c>
      <c r="H1094" s="232" t="inlineStr">
        <is>
          <t>Naranjas</t>
        </is>
      </c>
      <c r="I1094" s="232" t="inlineStr">
        <is>
          <t>Cambria</t>
        </is>
      </c>
      <c r="J1094" s="232" t="inlineStr">
        <is>
          <t>MANT. Y REP. CONSTRUCCIONES</t>
        </is>
      </c>
      <c r="K1094" s="232" t="inlineStr">
        <is>
          <t>MANTENCION INFRAESTRUCTURA</t>
        </is>
      </c>
      <c r="L1094" s="232" t="inlineStr">
        <is>
          <t>[PRORRATEO 2.8% 4.2há/148.3há] O/001278 AGUA DESMI</t>
        </is>
      </c>
      <c r="M1094" s="232" t="inlineStr"/>
      <c r="N1094" s="232" t="inlineStr">
        <is>
          <t>.   .   -</t>
        </is>
      </c>
      <c r="O1094" s="232" t="inlineStr">
        <is>
          <t>ENERO</t>
        </is>
      </c>
      <c r="P1094" s="232" t="n">
        <v>3</v>
      </c>
      <c r="Q1094" s="234" t="n">
        <v>57</v>
      </c>
      <c r="R1094" s="232" t="inlineStr"/>
      <c r="S1094" s="234" t="n">
        <v>57</v>
      </c>
      <c r="T1094" s="232" t="inlineStr">
        <is>
          <t>CLP</t>
        </is>
      </c>
      <c r="U1094" s="232" t="inlineStr">
        <is>
          <t>Prorrateo Ha PACKING</t>
        </is>
      </c>
      <c r="V1094" s="232" t="inlineStr">
        <is>
          <t>2026-06-18</t>
        </is>
      </c>
    </row>
    <row r="1095">
      <c r="A1095" s="232" t="inlineStr">
        <is>
          <t>CR-1092</t>
        </is>
      </c>
      <c r="B1095" s="232" t="inlineStr">
        <is>
          <t>2026/27</t>
        </is>
      </c>
      <c r="C1095" s="233" t="n">
        <v>46043</v>
      </c>
      <c r="D1095" s="232" t="inlineStr">
        <is>
          <t>826092</t>
        </is>
      </c>
      <c r="E1095" s="232" t="inlineStr">
        <is>
          <t>PRORRATEO</t>
        </is>
      </c>
      <c r="F1095" s="232" t="inlineStr">
        <is>
          <t>Santa Catalina</t>
        </is>
      </c>
      <c r="G1095" s="232" t="inlineStr">
        <is>
          <t>eureka 10,6 ha</t>
        </is>
      </c>
      <c r="H1095" s="232" t="inlineStr">
        <is>
          <t>Limon</t>
        </is>
      </c>
      <c r="I1095" s="232" t="inlineStr">
        <is>
          <t>Eureka</t>
        </is>
      </c>
      <c r="J1095" s="232" t="inlineStr">
        <is>
          <t>MANT. Y REP. CONSTRUCCIONES</t>
        </is>
      </c>
      <c r="K1095" s="232" t="inlineStr">
        <is>
          <t>MANTENCION INFRAESTRUCTURA</t>
        </is>
      </c>
      <c r="L1095" s="232" t="inlineStr">
        <is>
          <t>[PRORRATEO 7.1% 10.6há/148.3há] O/001278 AGUA DESMI</t>
        </is>
      </c>
      <c r="M1095" s="232" t="inlineStr"/>
      <c r="N1095" s="232" t="inlineStr">
        <is>
          <t>.   .   -</t>
        </is>
      </c>
      <c r="O1095" s="232" t="inlineStr">
        <is>
          <t>ENERO</t>
        </is>
      </c>
      <c r="P1095" s="232" t="n">
        <v>3</v>
      </c>
      <c r="Q1095" s="234" t="n">
        <v>144</v>
      </c>
      <c r="R1095" s="232" t="inlineStr"/>
      <c r="S1095" s="234" t="n">
        <v>144</v>
      </c>
      <c r="T1095" s="232" t="inlineStr">
        <is>
          <t>CLP</t>
        </is>
      </c>
      <c r="U1095" s="232" t="inlineStr">
        <is>
          <t>Prorrateo Ha PACKING</t>
        </is>
      </c>
      <c r="V1095" s="232" t="inlineStr">
        <is>
          <t>2026-06-18</t>
        </is>
      </c>
    </row>
    <row r="1096">
      <c r="A1096" s="232" t="inlineStr">
        <is>
          <t>CR-1093</t>
        </is>
      </c>
      <c r="B1096" s="232" t="inlineStr">
        <is>
          <t>2026/27</t>
        </is>
      </c>
      <c r="C1096" s="233" t="n">
        <v>46043</v>
      </c>
      <c r="D1096" s="232" t="inlineStr">
        <is>
          <t>826092</t>
        </is>
      </c>
      <c r="E1096" s="232" t="inlineStr">
        <is>
          <t>PRORRATEO</t>
        </is>
      </c>
      <c r="F1096" s="232" t="inlineStr">
        <is>
          <t>Santa Catalina</t>
        </is>
      </c>
      <c r="G1096" s="232" t="inlineStr">
        <is>
          <t>eureka 14,4 ha</t>
        </is>
      </c>
      <c r="H1096" s="232" t="inlineStr">
        <is>
          <t>Limon</t>
        </is>
      </c>
      <c r="I1096" s="232" t="inlineStr">
        <is>
          <t>Eureka</t>
        </is>
      </c>
      <c r="J1096" s="232" t="inlineStr">
        <is>
          <t>MANT. Y REP. CONSTRUCCIONES</t>
        </is>
      </c>
      <c r="K1096" s="232" t="inlineStr">
        <is>
          <t>MANTENCION INFRAESTRUCTURA</t>
        </is>
      </c>
      <c r="L1096" s="232" t="inlineStr">
        <is>
          <t>[PRORRATEO 9.7% 14.4há/148.3há] O/001278 AGUA DESMI</t>
        </is>
      </c>
      <c r="M1096" s="232" t="inlineStr"/>
      <c r="N1096" s="232" t="inlineStr">
        <is>
          <t>.   .   -</t>
        </is>
      </c>
      <c r="O1096" s="232" t="inlineStr">
        <is>
          <t>ENERO</t>
        </is>
      </c>
      <c r="P1096" s="232" t="n">
        <v>3</v>
      </c>
      <c r="Q1096" s="234" t="n">
        <v>196</v>
      </c>
      <c r="R1096" s="232" t="inlineStr"/>
      <c r="S1096" s="234" t="n">
        <v>196</v>
      </c>
      <c r="T1096" s="232" t="inlineStr">
        <is>
          <t>CLP</t>
        </is>
      </c>
      <c r="U1096" s="232" t="inlineStr">
        <is>
          <t>Prorrateo Ha PACKING</t>
        </is>
      </c>
      <c r="V1096" s="232" t="inlineStr">
        <is>
          <t>2026-06-18</t>
        </is>
      </c>
    </row>
    <row r="1097">
      <c r="A1097" s="232" t="inlineStr">
        <is>
          <t>CR-1094</t>
        </is>
      </c>
      <c r="B1097" s="232" t="inlineStr">
        <is>
          <t>2026/27</t>
        </is>
      </c>
      <c r="C1097" s="233" t="n">
        <v>46043</v>
      </c>
      <c r="D1097" s="232" t="inlineStr">
        <is>
          <t>826092</t>
        </is>
      </c>
      <c r="E1097" s="232" t="inlineStr">
        <is>
          <t>PRORRATEO</t>
        </is>
      </c>
      <c r="F1097" s="232" t="inlineStr">
        <is>
          <t>Santa Catalina</t>
        </is>
      </c>
      <c r="G1097" s="232" t="inlineStr">
        <is>
          <t>eureka 22,55</t>
        </is>
      </c>
      <c r="H1097" s="232" t="inlineStr">
        <is>
          <t>Limon</t>
        </is>
      </c>
      <c r="I1097" s="232" t="inlineStr">
        <is>
          <t>Eureka</t>
        </is>
      </c>
      <c r="J1097" s="232" t="inlineStr">
        <is>
          <t>MANT. Y REP. CONSTRUCCIONES</t>
        </is>
      </c>
      <c r="K1097" s="232" t="inlineStr">
        <is>
          <t>MANTENCION INFRAESTRUCTURA</t>
        </is>
      </c>
      <c r="L1097" s="232" t="inlineStr">
        <is>
          <t>[PRORRATEO 15.2% 22.55há/148.3há] O/001278 AGUA DESMI</t>
        </is>
      </c>
      <c r="M1097" s="232" t="inlineStr"/>
      <c r="N1097" s="232" t="inlineStr">
        <is>
          <t>.   .   -</t>
        </is>
      </c>
      <c r="O1097" s="232" t="inlineStr">
        <is>
          <t>ENERO</t>
        </is>
      </c>
      <c r="P1097" s="232" t="n">
        <v>3</v>
      </c>
      <c r="Q1097" s="234" t="n">
        <v>307</v>
      </c>
      <c r="R1097" s="232" t="inlineStr"/>
      <c r="S1097" s="234" t="n">
        <v>307</v>
      </c>
      <c r="T1097" s="232" t="inlineStr">
        <is>
          <t>CLP</t>
        </is>
      </c>
      <c r="U1097" s="232" t="inlineStr">
        <is>
          <t>Prorrateo Ha PACKING</t>
        </is>
      </c>
      <c r="V1097" s="232" t="inlineStr">
        <is>
          <t>2026-06-18</t>
        </is>
      </c>
    </row>
    <row r="1098">
      <c r="A1098" s="232" t="inlineStr">
        <is>
          <t>CR-1095</t>
        </is>
      </c>
      <c r="B1098" s="232" t="inlineStr">
        <is>
          <t>2026/27</t>
        </is>
      </c>
      <c r="C1098" s="233" t="n">
        <v>46043</v>
      </c>
      <c r="D1098" s="232" t="inlineStr">
        <is>
          <t>826092</t>
        </is>
      </c>
      <c r="E1098" s="232" t="inlineStr">
        <is>
          <t>PRORRATEO</t>
        </is>
      </c>
      <c r="F1098" s="232" t="inlineStr">
        <is>
          <t>Santa Catalina</t>
        </is>
      </c>
      <c r="G1098" s="232" t="inlineStr">
        <is>
          <t>form benjamin 1,93 ha</t>
        </is>
      </c>
      <c r="H1098" s="232" t="inlineStr">
        <is>
          <t>Limon</t>
        </is>
      </c>
      <c r="I1098" s="232" t="inlineStr">
        <is>
          <t>Benjamin andes</t>
        </is>
      </c>
      <c r="J1098" s="232" t="inlineStr">
        <is>
          <t>MANT. Y REP. CONSTRUCCIONES</t>
        </is>
      </c>
      <c r="K1098" s="232" t="inlineStr">
        <is>
          <t>MANTENCION INFRAESTRUCTURA</t>
        </is>
      </c>
      <c r="L1098" s="232" t="inlineStr">
        <is>
          <t>[PRORRATEO 1.3% 1.93há/148.3há] O/001278 AGUA DESMI</t>
        </is>
      </c>
      <c r="M1098" s="232" t="inlineStr"/>
      <c r="N1098" s="232" t="inlineStr">
        <is>
          <t>.   .   -</t>
        </is>
      </c>
      <c r="O1098" s="232" t="inlineStr">
        <is>
          <t>ENERO</t>
        </is>
      </c>
      <c r="P1098" s="232" t="n">
        <v>3</v>
      </c>
      <c r="Q1098" s="234" t="n">
        <v>26</v>
      </c>
      <c r="R1098" s="232" t="inlineStr"/>
      <c r="S1098" s="234" t="n">
        <v>26</v>
      </c>
      <c r="T1098" s="232" t="inlineStr">
        <is>
          <t>CLP</t>
        </is>
      </c>
      <c r="U1098" s="232" t="inlineStr">
        <is>
          <t>Prorrateo Ha PACKING</t>
        </is>
      </c>
      <c r="V1098" s="232" t="inlineStr">
        <is>
          <t>2026-06-18</t>
        </is>
      </c>
    </row>
    <row r="1099">
      <c r="A1099" s="232" t="inlineStr">
        <is>
          <t>CR-1096</t>
        </is>
      </c>
      <c r="B1099" s="232" t="inlineStr">
        <is>
          <t>2026/27</t>
        </is>
      </c>
      <c r="C1099" s="233" t="n">
        <v>46043</v>
      </c>
      <c r="D1099" s="232" t="inlineStr">
        <is>
          <t>826092</t>
        </is>
      </c>
      <c r="E1099" s="232" t="inlineStr">
        <is>
          <t>PRORRATEO</t>
        </is>
      </c>
      <c r="F1099" s="232" t="inlineStr">
        <is>
          <t>Santa Catalina</t>
        </is>
      </c>
      <c r="G1099" s="232" t="inlineStr">
        <is>
          <t>mant eureka 2,5 ha</t>
        </is>
      </c>
      <c r="H1099" s="232" t="inlineStr">
        <is>
          <t>Limon</t>
        </is>
      </c>
      <c r="I1099" s="232" t="inlineStr">
        <is>
          <t>Eureka</t>
        </is>
      </c>
      <c r="J1099" s="232" t="inlineStr">
        <is>
          <t>MANT. Y REP. CONSTRUCCIONES</t>
        </is>
      </c>
      <c r="K1099" s="232" t="inlineStr">
        <is>
          <t>MANTENCION INFRAESTRUCTURA</t>
        </is>
      </c>
      <c r="L1099" s="232" t="inlineStr">
        <is>
          <t>[PRORRATEO 1.7% 2.5há/148.3há] O/001278 AGUA DESMI</t>
        </is>
      </c>
      <c r="M1099" s="232" t="inlineStr"/>
      <c r="N1099" s="232" t="inlineStr">
        <is>
          <t>.   .   -</t>
        </is>
      </c>
      <c r="O1099" s="232" t="inlineStr">
        <is>
          <t>ENERO</t>
        </is>
      </c>
      <c r="P1099" s="232" t="n">
        <v>3</v>
      </c>
      <c r="Q1099" s="234" t="n">
        <v>34</v>
      </c>
      <c r="R1099" s="232" t="inlineStr"/>
      <c r="S1099" s="234" t="n">
        <v>34</v>
      </c>
      <c r="T1099" s="232" t="inlineStr">
        <is>
          <t>CLP</t>
        </is>
      </c>
      <c r="U1099" s="232" t="inlineStr">
        <is>
          <t>Prorrateo Ha PACKING</t>
        </is>
      </c>
      <c r="V1099" s="232" t="inlineStr">
        <is>
          <t>2026-06-18</t>
        </is>
      </c>
    </row>
    <row r="1100">
      <c r="A1100" s="232" t="inlineStr">
        <is>
          <t>CR-1097</t>
        </is>
      </c>
      <c r="B1100" s="232" t="inlineStr">
        <is>
          <t>2026/27</t>
        </is>
      </c>
      <c r="C1100" s="233" t="n">
        <v>46043</v>
      </c>
      <c r="D1100" s="232" t="inlineStr">
        <is>
          <t>826092</t>
        </is>
      </c>
      <c r="E1100" s="232" t="inlineStr">
        <is>
          <t>PRORRATEO</t>
        </is>
      </c>
      <c r="F1100" s="232" t="inlineStr">
        <is>
          <t>Siberia</t>
        </is>
      </c>
      <c r="G1100" s="232" t="inlineStr">
        <is>
          <t>S. Celebration 7,14</t>
        </is>
      </c>
      <c r="H1100" s="232" t="inlineStr">
        <is>
          <t>Uvas</t>
        </is>
      </c>
      <c r="I1100" s="232" t="inlineStr">
        <is>
          <t>S. celebration</t>
        </is>
      </c>
      <c r="J1100" s="232" t="inlineStr">
        <is>
          <t>MANT. Y REP. CONSTRUCCIONES</t>
        </is>
      </c>
      <c r="K1100" s="232" t="inlineStr">
        <is>
          <t>MANTENCION INFRAESTRUCTURA</t>
        </is>
      </c>
      <c r="L1100" s="232" t="inlineStr">
        <is>
          <t>[PRORRATEO 4.8% 7.14há/148.3há] O/001278 AGUA DESMI</t>
        </is>
      </c>
      <c r="M1100" s="232" t="inlineStr"/>
      <c r="N1100" s="232" t="inlineStr">
        <is>
          <t>.   .   -</t>
        </is>
      </c>
      <c r="O1100" s="232" t="inlineStr">
        <is>
          <t>ENERO</t>
        </is>
      </c>
      <c r="P1100" s="232" t="n">
        <v>3</v>
      </c>
      <c r="Q1100" s="234" t="n">
        <v>97</v>
      </c>
      <c r="R1100" s="232" t="inlineStr"/>
      <c r="S1100" s="234" t="n">
        <v>97</v>
      </c>
      <c r="T1100" s="232" t="inlineStr">
        <is>
          <t>CLP</t>
        </is>
      </c>
      <c r="U1100" s="232" t="inlineStr">
        <is>
          <t>Prorrateo Ha PACKING</t>
        </is>
      </c>
      <c r="V1100" s="232" t="inlineStr">
        <is>
          <t>2026-06-18</t>
        </is>
      </c>
    </row>
    <row r="1101">
      <c r="A1101" s="232" t="inlineStr">
        <is>
          <t>CR-1098</t>
        </is>
      </c>
      <c r="B1101" s="232" t="inlineStr">
        <is>
          <t>2026/27</t>
        </is>
      </c>
      <c r="C1101" s="233" t="n">
        <v>46043</v>
      </c>
      <c r="D1101" s="232" t="inlineStr">
        <is>
          <t>826092</t>
        </is>
      </c>
      <c r="E1101" s="232" t="inlineStr">
        <is>
          <t>PRORRATEO</t>
        </is>
      </c>
      <c r="F1101" s="232" t="inlineStr">
        <is>
          <t>Siberia</t>
        </is>
      </c>
      <c r="G1101" s="232" t="inlineStr">
        <is>
          <t>Timpson 7,1</t>
        </is>
      </c>
      <c r="H1101" s="232" t="inlineStr">
        <is>
          <t>Uvas</t>
        </is>
      </c>
      <c r="I1101" s="232" t="inlineStr">
        <is>
          <t>Timpson</t>
        </is>
      </c>
      <c r="J1101" s="232" t="inlineStr">
        <is>
          <t>MANT. Y REP. CONSTRUCCIONES</t>
        </is>
      </c>
      <c r="K1101" s="232" t="inlineStr">
        <is>
          <t>MANTENCION INFRAESTRUCTURA</t>
        </is>
      </c>
      <c r="L1101" s="232" t="inlineStr">
        <is>
          <t>[PRORRATEO 4.8% 7.1há/148.3há] O/001278 AGUA DESMI</t>
        </is>
      </c>
      <c r="M1101" s="232" t="inlineStr"/>
      <c r="N1101" s="232" t="inlineStr">
        <is>
          <t>.   .   -</t>
        </is>
      </c>
      <c r="O1101" s="232" t="inlineStr">
        <is>
          <t>ENERO</t>
        </is>
      </c>
      <c r="P1101" s="232" t="n">
        <v>3</v>
      </c>
      <c r="Q1101" s="234" t="n">
        <v>97</v>
      </c>
      <c r="R1101" s="232" t="inlineStr"/>
      <c r="S1101" s="234" t="n">
        <v>97</v>
      </c>
      <c r="T1101" s="232" t="inlineStr">
        <is>
          <t>CLP</t>
        </is>
      </c>
      <c r="U1101" s="232" t="inlineStr">
        <is>
          <t>Prorrateo Ha PACKING</t>
        </is>
      </c>
      <c r="V1101" s="232" t="inlineStr">
        <is>
          <t>2026-06-18</t>
        </is>
      </c>
    </row>
    <row r="1102">
      <c r="A1102" s="232" t="inlineStr">
        <is>
          <t>CR-1099</t>
        </is>
      </c>
      <c r="B1102" s="232" t="inlineStr">
        <is>
          <t>2026/27</t>
        </is>
      </c>
      <c r="C1102" s="233" t="n">
        <v>46043</v>
      </c>
      <c r="D1102" s="232" t="inlineStr">
        <is>
          <t>826092</t>
        </is>
      </c>
      <c r="E1102" s="232" t="inlineStr">
        <is>
          <t>PRORRATEO</t>
        </is>
      </c>
      <c r="F1102" s="232" t="inlineStr">
        <is>
          <t>Asmara</t>
        </is>
      </c>
      <c r="G1102" s="232" t="inlineStr">
        <is>
          <t>w. murcott 19,8 ha</t>
        </is>
      </c>
      <c r="H1102" s="232" t="inlineStr">
        <is>
          <t>Mandarina</t>
        </is>
      </c>
      <c r="I1102" s="232" t="inlineStr">
        <is>
          <t>W. murcott</t>
        </is>
      </c>
      <c r="J1102" s="232" t="inlineStr">
        <is>
          <t>MANT. Y REP. CONSTRUCCIONES</t>
        </is>
      </c>
      <c r="K1102" s="232" t="inlineStr">
        <is>
          <t>MANTENCION INFRAESTRUCTURA</t>
        </is>
      </c>
      <c r="L1102" s="232" t="inlineStr">
        <is>
          <t>[PRORRATEO 13.4% 19.8há/148.3há] O/001278 AGUJA COSE</t>
        </is>
      </c>
      <c r="M1102" s="232" t="inlineStr"/>
      <c r="N1102" s="232" t="inlineStr">
        <is>
          <t>.   .   -</t>
        </is>
      </c>
      <c r="O1102" s="232" t="inlineStr">
        <is>
          <t>ENERO</t>
        </is>
      </c>
      <c r="P1102" s="232" t="n">
        <v>3</v>
      </c>
      <c r="Q1102" s="234" t="n">
        <v>971</v>
      </c>
      <c r="R1102" s="232" t="inlineStr"/>
      <c r="S1102" s="234" t="n">
        <v>971</v>
      </c>
      <c r="T1102" s="232" t="inlineStr">
        <is>
          <t>CLP</t>
        </is>
      </c>
      <c r="U1102" s="232" t="inlineStr">
        <is>
          <t>Prorrateo Ha PACKING</t>
        </is>
      </c>
      <c r="V1102" s="232" t="inlineStr">
        <is>
          <t>2026-06-18</t>
        </is>
      </c>
    </row>
    <row r="1103">
      <c r="A1103" s="232" t="inlineStr">
        <is>
          <t>CR-1100</t>
        </is>
      </c>
      <c r="B1103" s="232" t="inlineStr">
        <is>
          <t>2026/27</t>
        </is>
      </c>
      <c r="C1103" s="233" t="n">
        <v>46043</v>
      </c>
      <c r="D1103" s="232" t="inlineStr">
        <is>
          <t>826092</t>
        </is>
      </c>
      <c r="E1103" s="232" t="inlineStr">
        <is>
          <t>PRORRATEO</t>
        </is>
      </c>
      <c r="F1103" s="232" t="inlineStr">
        <is>
          <t>Asmara</t>
        </is>
      </c>
      <c r="G1103" s="232" t="inlineStr">
        <is>
          <t>w. murcott 4,9 ha</t>
        </is>
      </c>
      <c r="H1103" s="232" t="inlineStr">
        <is>
          <t>Mandarina</t>
        </is>
      </c>
      <c r="I1103" s="232" t="inlineStr">
        <is>
          <t>W. murcott</t>
        </is>
      </c>
      <c r="J1103" s="232" t="inlineStr">
        <is>
          <t>MANT. Y REP. CONSTRUCCIONES</t>
        </is>
      </c>
      <c r="K1103" s="232" t="inlineStr">
        <is>
          <t>MANTENCION INFRAESTRUCTURA</t>
        </is>
      </c>
      <c r="L1103" s="232" t="inlineStr">
        <is>
          <t>[PRORRATEO 3.3% 4.9há/148.3há] O/001278 AGUJA COSE</t>
        </is>
      </c>
      <c r="M1103" s="232" t="inlineStr"/>
      <c r="N1103" s="232" t="inlineStr">
        <is>
          <t>.   .   -</t>
        </is>
      </c>
      <c r="O1103" s="232" t="inlineStr">
        <is>
          <t>ENERO</t>
        </is>
      </c>
      <c r="P1103" s="232" t="n">
        <v>3</v>
      </c>
      <c r="Q1103" s="234" t="n">
        <v>240</v>
      </c>
      <c r="R1103" s="232" t="inlineStr"/>
      <c r="S1103" s="234" t="n">
        <v>240</v>
      </c>
      <c r="T1103" s="232" t="inlineStr">
        <is>
          <t>CLP</t>
        </is>
      </c>
      <c r="U1103" s="232" t="inlineStr">
        <is>
          <t>Prorrateo Ha PACKING</t>
        </is>
      </c>
      <c r="V1103" s="232" t="inlineStr">
        <is>
          <t>2026-06-18</t>
        </is>
      </c>
    </row>
    <row r="1104">
      <c r="A1104" s="232" t="inlineStr">
        <is>
          <t>CR-1101</t>
        </is>
      </c>
      <c r="B1104" s="232" t="inlineStr">
        <is>
          <t>2026/27</t>
        </is>
      </c>
      <c r="C1104" s="233" t="n">
        <v>46043</v>
      </c>
      <c r="D1104" s="232" t="inlineStr">
        <is>
          <t>826092</t>
        </is>
      </c>
      <c r="E1104" s="232" t="inlineStr">
        <is>
          <t>PRORRATEO</t>
        </is>
      </c>
      <c r="F1104" s="232" t="inlineStr">
        <is>
          <t>El Molle</t>
        </is>
      </c>
      <c r="G1104" s="232" t="inlineStr">
        <is>
          <t>Wonderful 5,25 ha</t>
        </is>
      </c>
      <c r="H1104" s="232" t="inlineStr">
        <is>
          <t>Granados</t>
        </is>
      </c>
      <c r="I1104" s="232" t="inlineStr">
        <is>
          <t>Wonderfull</t>
        </is>
      </c>
      <c r="J1104" s="232" t="inlineStr">
        <is>
          <t>MANT. Y REP. CONSTRUCCIONES</t>
        </is>
      </c>
      <c r="K1104" s="232" t="inlineStr">
        <is>
          <t>MANTENCION INFRAESTRUCTURA</t>
        </is>
      </c>
      <c r="L1104" s="232" t="inlineStr">
        <is>
          <t>[PRORRATEO 3.5% 5.24há/148.3há] O/001278 AGUJA COSE</t>
        </is>
      </c>
      <c r="M1104" s="232" t="inlineStr"/>
      <c r="N1104" s="232" t="inlineStr">
        <is>
          <t>.   .   -</t>
        </is>
      </c>
      <c r="O1104" s="232" t="inlineStr">
        <is>
          <t>ENERO</t>
        </is>
      </c>
      <c r="P1104" s="232" t="n">
        <v>3</v>
      </c>
      <c r="Q1104" s="234" t="n">
        <v>257</v>
      </c>
      <c r="R1104" s="232" t="inlineStr"/>
      <c r="S1104" s="234" t="n">
        <v>257</v>
      </c>
      <c r="T1104" s="232" t="inlineStr">
        <is>
          <t>CLP</t>
        </is>
      </c>
      <c r="U1104" s="232" t="inlineStr">
        <is>
          <t>Prorrateo Ha PACKING</t>
        </is>
      </c>
      <c r="V1104" s="232" t="inlineStr">
        <is>
          <t>2026-06-18</t>
        </is>
      </c>
    </row>
    <row r="1105">
      <c r="A1105" s="232" t="inlineStr">
        <is>
          <t>CR-1102</t>
        </is>
      </c>
      <c r="B1105" s="232" t="inlineStr">
        <is>
          <t>2026/27</t>
        </is>
      </c>
      <c r="C1105" s="233" t="n">
        <v>46043</v>
      </c>
      <c r="D1105" s="232" t="inlineStr">
        <is>
          <t>826092</t>
        </is>
      </c>
      <c r="E1105" s="232" t="inlineStr">
        <is>
          <t>PRORRATEO</t>
        </is>
      </c>
      <c r="F1105" s="232" t="inlineStr">
        <is>
          <t>El Molle</t>
        </is>
      </c>
      <c r="G1105" s="232" t="inlineStr">
        <is>
          <t>arrufatinas 5,74 ha</t>
        </is>
      </c>
      <c r="H1105" s="232" t="inlineStr">
        <is>
          <t>Clementinas</t>
        </is>
      </c>
      <c r="I1105" s="232" t="inlineStr">
        <is>
          <t>Arrufatinas</t>
        </is>
      </c>
      <c r="J1105" s="232" t="inlineStr">
        <is>
          <t>MANT. Y REP. CONSTRUCCIONES</t>
        </is>
      </c>
      <c r="K1105" s="232" t="inlineStr">
        <is>
          <t>MANTENCION INFRAESTRUCTURA</t>
        </is>
      </c>
      <c r="L1105" s="232" t="inlineStr">
        <is>
          <t>[PRORRATEO 3.9% 5.74há/148.3há] O/001278 AGUJA COSE</t>
        </is>
      </c>
      <c r="M1105" s="232" t="inlineStr"/>
      <c r="N1105" s="232" t="inlineStr">
        <is>
          <t>.   .   -</t>
        </is>
      </c>
      <c r="O1105" s="232" t="inlineStr">
        <is>
          <t>ENERO</t>
        </is>
      </c>
      <c r="P1105" s="232" t="n">
        <v>3</v>
      </c>
      <c r="Q1105" s="234" t="n">
        <v>281</v>
      </c>
      <c r="R1105" s="232" t="inlineStr"/>
      <c r="S1105" s="234" t="n">
        <v>281</v>
      </c>
      <c r="T1105" s="232" t="inlineStr">
        <is>
          <t>CLP</t>
        </is>
      </c>
      <c r="U1105" s="232" t="inlineStr">
        <is>
          <t>Prorrateo Ha PACKING</t>
        </is>
      </c>
      <c r="V1105" s="232" t="inlineStr">
        <is>
          <t>2026-06-18</t>
        </is>
      </c>
    </row>
    <row r="1106">
      <c r="A1106" s="232" t="inlineStr">
        <is>
          <t>CR-1103</t>
        </is>
      </c>
      <c r="B1106" s="232" t="inlineStr">
        <is>
          <t>2026/27</t>
        </is>
      </c>
      <c r="C1106" s="233" t="n">
        <v>46043</v>
      </c>
      <c r="D1106" s="232" t="inlineStr">
        <is>
          <t>826092</t>
        </is>
      </c>
      <c r="E1106" s="232" t="inlineStr">
        <is>
          <t>PRORRATEO</t>
        </is>
      </c>
      <c r="F1106" s="232" t="inlineStr">
        <is>
          <t>El Molle</t>
        </is>
      </c>
      <c r="G1106" s="232" t="inlineStr">
        <is>
          <t>orogrande 8,11 ha</t>
        </is>
      </c>
      <c r="H1106" s="232" t="inlineStr">
        <is>
          <t>Clementinas</t>
        </is>
      </c>
      <c r="I1106" s="232" t="inlineStr">
        <is>
          <t>Orogrande</t>
        </is>
      </c>
      <c r="J1106" s="232" t="inlineStr">
        <is>
          <t>MANT. Y REP. CONSTRUCCIONES</t>
        </is>
      </c>
      <c r="K1106" s="232" t="inlineStr">
        <is>
          <t>MANTENCION INFRAESTRUCTURA</t>
        </is>
      </c>
      <c r="L1106" s="232" t="inlineStr">
        <is>
          <t>[PRORRATEO 5.5% 8.11há/148.3há] O/001278 AGUJA COSE</t>
        </is>
      </c>
      <c r="M1106" s="232" t="inlineStr"/>
      <c r="N1106" s="232" t="inlineStr">
        <is>
          <t>.   .   -</t>
        </is>
      </c>
      <c r="O1106" s="232" t="inlineStr">
        <is>
          <t>ENERO</t>
        </is>
      </c>
      <c r="P1106" s="232" t="n">
        <v>3</v>
      </c>
      <c r="Q1106" s="234" t="n">
        <v>398</v>
      </c>
      <c r="R1106" s="232" t="inlineStr"/>
      <c r="S1106" s="234" t="n">
        <v>398</v>
      </c>
      <c r="T1106" s="232" t="inlineStr">
        <is>
          <t>CLP</t>
        </is>
      </c>
      <c r="U1106" s="232" t="inlineStr">
        <is>
          <t>Prorrateo Ha PACKING</t>
        </is>
      </c>
      <c r="V1106" s="232" t="inlineStr">
        <is>
          <t>2026-06-18</t>
        </is>
      </c>
    </row>
    <row r="1107">
      <c r="A1107" s="232" t="inlineStr">
        <is>
          <t>CR-1104</t>
        </is>
      </c>
      <c r="B1107" s="232" t="inlineStr">
        <is>
          <t>2026/27</t>
        </is>
      </c>
      <c r="C1107" s="233" t="n">
        <v>46043</v>
      </c>
      <c r="D1107" s="232" t="inlineStr">
        <is>
          <t>826092</t>
        </is>
      </c>
      <c r="E1107" s="232" t="inlineStr">
        <is>
          <t>PRORRATEO</t>
        </is>
      </c>
      <c r="F1107" s="232" t="inlineStr">
        <is>
          <t>El Molle</t>
        </is>
      </c>
      <c r="G1107" s="232" t="inlineStr">
        <is>
          <t>oronules 5,35 ha</t>
        </is>
      </c>
      <c r="H1107" s="232" t="inlineStr">
        <is>
          <t>Clementinas</t>
        </is>
      </c>
      <c r="I1107" s="232" t="inlineStr">
        <is>
          <t>Oronules</t>
        </is>
      </c>
      <c r="J1107" s="232" t="inlineStr">
        <is>
          <t>MANT. Y REP. CONSTRUCCIONES</t>
        </is>
      </c>
      <c r="K1107" s="232" t="inlineStr">
        <is>
          <t>MANTENCION INFRAESTRUCTURA</t>
        </is>
      </c>
      <c r="L1107" s="232" t="inlineStr">
        <is>
          <t>[PRORRATEO 3.6% 5.35há/148.3há] O/001278 AGUJA COSE</t>
        </is>
      </c>
      <c r="M1107" s="232" t="inlineStr"/>
      <c r="N1107" s="232" t="inlineStr">
        <is>
          <t>.   .   -</t>
        </is>
      </c>
      <c r="O1107" s="232" t="inlineStr">
        <is>
          <t>ENERO</t>
        </is>
      </c>
      <c r="P1107" s="232" t="n">
        <v>3</v>
      </c>
      <c r="Q1107" s="234" t="n">
        <v>262</v>
      </c>
      <c r="R1107" s="232" t="inlineStr"/>
      <c r="S1107" s="234" t="n">
        <v>262</v>
      </c>
      <c r="T1107" s="232" t="inlineStr">
        <is>
          <t>CLP</t>
        </is>
      </c>
      <c r="U1107" s="232" t="inlineStr">
        <is>
          <t>Prorrateo Ha PACKING</t>
        </is>
      </c>
      <c r="V1107" s="232" t="inlineStr">
        <is>
          <t>2026-06-18</t>
        </is>
      </c>
    </row>
    <row r="1108">
      <c r="A1108" s="232" t="inlineStr">
        <is>
          <t>CR-1105</t>
        </is>
      </c>
      <c r="B1108" s="232" t="inlineStr">
        <is>
          <t>2026/27</t>
        </is>
      </c>
      <c r="C1108" s="233" t="n">
        <v>46043</v>
      </c>
      <c r="D1108" s="232" t="inlineStr">
        <is>
          <t>826092</t>
        </is>
      </c>
      <c r="E1108" s="232" t="inlineStr">
        <is>
          <t>PRORRATEO</t>
        </is>
      </c>
      <c r="F1108" s="232" t="inlineStr">
        <is>
          <t>Santa Catalina</t>
        </is>
      </c>
      <c r="G1108" s="232" t="inlineStr">
        <is>
          <t>Fino 49 7,7 ha</t>
        </is>
      </c>
      <c r="H1108" s="232" t="inlineStr">
        <is>
          <t>Limon</t>
        </is>
      </c>
      <c r="I1108" s="232" t="inlineStr">
        <is>
          <t>Fino 49</t>
        </is>
      </c>
      <c r="J1108" s="232" t="inlineStr">
        <is>
          <t>MANT. Y REP. CONSTRUCCIONES</t>
        </is>
      </c>
      <c r="K1108" s="232" t="inlineStr">
        <is>
          <t>MANTENCION INFRAESTRUCTURA</t>
        </is>
      </c>
      <c r="L1108" s="232" t="inlineStr">
        <is>
          <t>[PRORRATEO 5.2% 7.7há/148.3há] O/001278 AGUJA COSE</t>
        </is>
      </c>
      <c r="M1108" s="232" t="inlineStr"/>
      <c r="N1108" s="232" t="inlineStr">
        <is>
          <t>.   .   -</t>
        </is>
      </c>
      <c r="O1108" s="232" t="inlineStr">
        <is>
          <t>ENERO</t>
        </is>
      </c>
      <c r="P1108" s="232" t="n">
        <v>3</v>
      </c>
      <c r="Q1108" s="234" t="n">
        <v>378</v>
      </c>
      <c r="R1108" s="232" t="inlineStr"/>
      <c r="S1108" s="234" t="n">
        <v>378</v>
      </c>
      <c r="T1108" s="232" t="inlineStr">
        <is>
          <t>CLP</t>
        </is>
      </c>
      <c r="U1108" s="232" t="inlineStr">
        <is>
          <t>Prorrateo Ha PACKING</t>
        </is>
      </c>
      <c r="V1108" s="232" t="inlineStr">
        <is>
          <t>2026-06-18</t>
        </is>
      </c>
    </row>
    <row r="1109">
      <c r="A1109" s="232" t="inlineStr">
        <is>
          <t>CR-1106</t>
        </is>
      </c>
      <c r="B1109" s="232" t="inlineStr">
        <is>
          <t>2026/27</t>
        </is>
      </c>
      <c r="C1109" s="233" t="n">
        <v>46043</v>
      </c>
      <c r="D1109" s="232" t="inlineStr">
        <is>
          <t>826092</t>
        </is>
      </c>
      <c r="E1109" s="232" t="inlineStr">
        <is>
          <t>PRORRATEO</t>
        </is>
      </c>
      <c r="F1109" s="232" t="inlineStr">
        <is>
          <t>Santa Catalina</t>
        </is>
      </c>
      <c r="G1109" s="232" t="inlineStr">
        <is>
          <t>W. murcott 21 ha</t>
        </is>
      </c>
      <c r="H1109" s="232" t="inlineStr">
        <is>
          <t>Mandarina</t>
        </is>
      </c>
      <c r="I1109" s="232" t="inlineStr">
        <is>
          <t>W. murcott</t>
        </is>
      </c>
      <c r="J1109" s="232" t="inlineStr">
        <is>
          <t>MANT. Y REP. CONSTRUCCIONES</t>
        </is>
      </c>
      <c r="K1109" s="232" t="inlineStr">
        <is>
          <t>MANTENCION INFRAESTRUCTURA</t>
        </is>
      </c>
      <c r="L1109" s="232" t="inlineStr">
        <is>
          <t>[PRORRATEO 14.2% 21.0há/148.3há] O/001278 AGUJA COSE</t>
        </is>
      </c>
      <c r="M1109" s="232" t="inlineStr"/>
      <c r="N1109" s="232" t="inlineStr">
        <is>
          <t>.   .   -</t>
        </is>
      </c>
      <c r="O1109" s="232" t="inlineStr">
        <is>
          <t>ENERO</t>
        </is>
      </c>
      <c r="P1109" s="232" t="n">
        <v>3</v>
      </c>
      <c r="Q1109" s="234" t="n">
        <v>1030</v>
      </c>
      <c r="R1109" s="232" t="inlineStr"/>
      <c r="S1109" s="234" t="n">
        <v>1030</v>
      </c>
      <c r="T1109" s="232" t="inlineStr">
        <is>
          <t>CLP</t>
        </is>
      </c>
      <c r="U1109" s="232" t="inlineStr">
        <is>
          <t>Prorrateo Ha PACKING</t>
        </is>
      </c>
      <c r="V1109" s="232" t="inlineStr">
        <is>
          <t>2026-06-18</t>
        </is>
      </c>
    </row>
    <row r="1110">
      <c r="A1110" s="232" t="inlineStr">
        <is>
          <t>CR-1107</t>
        </is>
      </c>
      <c r="B1110" s="232" t="inlineStr">
        <is>
          <t>2026/27</t>
        </is>
      </c>
      <c r="C1110" s="233" t="n">
        <v>46043</v>
      </c>
      <c r="D1110" s="232" t="inlineStr">
        <is>
          <t>826092</t>
        </is>
      </c>
      <c r="E1110" s="232" t="inlineStr">
        <is>
          <t>PRORRATEO</t>
        </is>
      </c>
      <c r="F1110" s="232" t="inlineStr">
        <is>
          <t>Santa Catalina</t>
        </is>
      </c>
      <c r="G1110" s="232" t="inlineStr">
        <is>
          <t>cambria 4,2 ha</t>
        </is>
      </c>
      <c r="H1110" s="232" t="inlineStr">
        <is>
          <t>Naranjas</t>
        </is>
      </c>
      <c r="I1110" s="232" t="inlineStr">
        <is>
          <t>Cambria</t>
        </is>
      </c>
      <c r="J1110" s="232" t="inlineStr">
        <is>
          <t>MANT. Y REP. CONSTRUCCIONES</t>
        </is>
      </c>
      <c r="K1110" s="232" t="inlineStr">
        <is>
          <t>MANTENCION INFRAESTRUCTURA</t>
        </is>
      </c>
      <c r="L1110" s="232" t="inlineStr">
        <is>
          <t>[PRORRATEO 2.8% 4.2há/148.3há] O/001278 AGUJA COSE</t>
        </is>
      </c>
      <c r="M1110" s="232" t="inlineStr"/>
      <c r="N1110" s="232" t="inlineStr">
        <is>
          <t>.   .   -</t>
        </is>
      </c>
      <c r="O1110" s="232" t="inlineStr">
        <is>
          <t>ENERO</t>
        </is>
      </c>
      <c r="P1110" s="232" t="n">
        <v>3</v>
      </c>
      <c r="Q1110" s="234" t="n">
        <v>206</v>
      </c>
      <c r="R1110" s="232" t="inlineStr"/>
      <c r="S1110" s="234" t="n">
        <v>206</v>
      </c>
      <c r="T1110" s="232" t="inlineStr">
        <is>
          <t>CLP</t>
        </is>
      </c>
      <c r="U1110" s="232" t="inlineStr">
        <is>
          <t>Prorrateo Ha PACKING</t>
        </is>
      </c>
      <c r="V1110" s="232" t="inlineStr">
        <is>
          <t>2026-06-18</t>
        </is>
      </c>
    </row>
    <row r="1111">
      <c r="A1111" s="232" t="inlineStr">
        <is>
          <t>CR-1108</t>
        </is>
      </c>
      <c r="B1111" s="232" t="inlineStr">
        <is>
          <t>2026/27</t>
        </is>
      </c>
      <c r="C1111" s="233" t="n">
        <v>46043</v>
      </c>
      <c r="D1111" s="232" t="inlineStr">
        <is>
          <t>826092</t>
        </is>
      </c>
      <c r="E1111" s="232" t="inlineStr">
        <is>
          <t>PRORRATEO</t>
        </is>
      </c>
      <c r="F1111" s="232" t="inlineStr">
        <is>
          <t>Santa Catalina</t>
        </is>
      </c>
      <c r="G1111" s="232" t="inlineStr">
        <is>
          <t>eureka 10,6 ha</t>
        </is>
      </c>
      <c r="H1111" s="232" t="inlineStr">
        <is>
          <t>Limon</t>
        </is>
      </c>
      <c r="I1111" s="232" t="inlineStr">
        <is>
          <t>Eureka</t>
        </is>
      </c>
      <c r="J1111" s="232" t="inlineStr">
        <is>
          <t>MANT. Y REP. CONSTRUCCIONES</t>
        </is>
      </c>
      <c r="K1111" s="232" t="inlineStr">
        <is>
          <t>MANTENCION INFRAESTRUCTURA</t>
        </is>
      </c>
      <c r="L1111" s="232" t="inlineStr">
        <is>
          <t>[PRORRATEO 7.1% 10.6há/148.3há] O/001278 AGUJA COSE</t>
        </is>
      </c>
      <c r="M1111" s="232" t="inlineStr"/>
      <c r="N1111" s="232" t="inlineStr">
        <is>
          <t>.   .   -</t>
        </is>
      </c>
      <c r="O1111" s="232" t="inlineStr">
        <is>
          <t>ENERO</t>
        </is>
      </c>
      <c r="P1111" s="232" t="n">
        <v>3</v>
      </c>
      <c r="Q1111" s="234" t="n">
        <v>520</v>
      </c>
      <c r="R1111" s="232" t="inlineStr"/>
      <c r="S1111" s="234" t="n">
        <v>520</v>
      </c>
      <c r="T1111" s="232" t="inlineStr">
        <is>
          <t>CLP</t>
        </is>
      </c>
      <c r="U1111" s="232" t="inlineStr">
        <is>
          <t>Prorrateo Ha PACKING</t>
        </is>
      </c>
      <c r="V1111" s="232" t="inlineStr">
        <is>
          <t>2026-06-18</t>
        </is>
      </c>
    </row>
    <row r="1112">
      <c r="A1112" s="232" t="inlineStr">
        <is>
          <t>CR-1109</t>
        </is>
      </c>
      <c r="B1112" s="232" t="inlineStr">
        <is>
          <t>2026/27</t>
        </is>
      </c>
      <c r="C1112" s="233" t="n">
        <v>46043</v>
      </c>
      <c r="D1112" s="232" t="inlineStr">
        <is>
          <t>826092</t>
        </is>
      </c>
      <c r="E1112" s="232" t="inlineStr">
        <is>
          <t>PRORRATEO</t>
        </is>
      </c>
      <c r="F1112" s="232" t="inlineStr">
        <is>
          <t>Santa Catalina</t>
        </is>
      </c>
      <c r="G1112" s="232" t="inlineStr">
        <is>
          <t>eureka 14,4 ha</t>
        </is>
      </c>
      <c r="H1112" s="232" t="inlineStr">
        <is>
          <t>Limon</t>
        </is>
      </c>
      <c r="I1112" s="232" t="inlineStr">
        <is>
          <t>Eureka</t>
        </is>
      </c>
      <c r="J1112" s="232" t="inlineStr">
        <is>
          <t>MANT. Y REP. CONSTRUCCIONES</t>
        </is>
      </c>
      <c r="K1112" s="232" t="inlineStr">
        <is>
          <t>MANTENCION INFRAESTRUCTURA</t>
        </is>
      </c>
      <c r="L1112" s="232" t="inlineStr">
        <is>
          <t>[PRORRATEO 9.7% 14.4há/148.3há] O/001278 AGUJA COSE</t>
        </is>
      </c>
      <c r="M1112" s="232" t="inlineStr"/>
      <c r="N1112" s="232" t="inlineStr">
        <is>
          <t>.   .   -</t>
        </is>
      </c>
      <c r="O1112" s="232" t="inlineStr">
        <is>
          <t>ENERO</t>
        </is>
      </c>
      <c r="P1112" s="232" t="n">
        <v>3</v>
      </c>
      <c r="Q1112" s="234" t="n">
        <v>706</v>
      </c>
      <c r="R1112" s="232" t="inlineStr"/>
      <c r="S1112" s="234" t="n">
        <v>706</v>
      </c>
      <c r="T1112" s="232" t="inlineStr">
        <is>
          <t>CLP</t>
        </is>
      </c>
      <c r="U1112" s="232" t="inlineStr">
        <is>
          <t>Prorrateo Ha PACKING</t>
        </is>
      </c>
      <c r="V1112" s="232" t="inlineStr">
        <is>
          <t>2026-06-18</t>
        </is>
      </c>
    </row>
    <row r="1113">
      <c r="A1113" s="232" t="inlineStr">
        <is>
          <t>CR-1110</t>
        </is>
      </c>
      <c r="B1113" s="232" t="inlineStr">
        <is>
          <t>2026/27</t>
        </is>
      </c>
      <c r="C1113" s="233" t="n">
        <v>46043</v>
      </c>
      <c r="D1113" s="232" t="inlineStr">
        <is>
          <t>826092</t>
        </is>
      </c>
      <c r="E1113" s="232" t="inlineStr">
        <is>
          <t>PRORRATEO</t>
        </is>
      </c>
      <c r="F1113" s="232" t="inlineStr">
        <is>
          <t>Santa Catalina</t>
        </is>
      </c>
      <c r="G1113" s="232" t="inlineStr">
        <is>
          <t>eureka 22,55</t>
        </is>
      </c>
      <c r="H1113" s="232" t="inlineStr">
        <is>
          <t>Limon</t>
        </is>
      </c>
      <c r="I1113" s="232" t="inlineStr">
        <is>
          <t>Eureka</t>
        </is>
      </c>
      <c r="J1113" s="232" t="inlineStr">
        <is>
          <t>MANT. Y REP. CONSTRUCCIONES</t>
        </is>
      </c>
      <c r="K1113" s="232" t="inlineStr">
        <is>
          <t>MANTENCION INFRAESTRUCTURA</t>
        </is>
      </c>
      <c r="L1113" s="232" t="inlineStr">
        <is>
          <t>[PRORRATEO 15.2% 22.55há/148.3há] O/001278 AGUJA COSE</t>
        </is>
      </c>
      <c r="M1113" s="232" t="inlineStr"/>
      <c r="N1113" s="232" t="inlineStr">
        <is>
          <t>.   .   -</t>
        </is>
      </c>
      <c r="O1113" s="232" t="inlineStr">
        <is>
          <t>ENERO</t>
        </is>
      </c>
      <c r="P1113" s="232" t="n">
        <v>3</v>
      </c>
      <c r="Q1113" s="234" t="n">
        <v>1106</v>
      </c>
      <c r="R1113" s="232" t="inlineStr"/>
      <c r="S1113" s="234" t="n">
        <v>1106</v>
      </c>
      <c r="T1113" s="232" t="inlineStr">
        <is>
          <t>CLP</t>
        </is>
      </c>
      <c r="U1113" s="232" t="inlineStr">
        <is>
          <t>Prorrateo Ha PACKING</t>
        </is>
      </c>
      <c r="V1113" s="232" t="inlineStr">
        <is>
          <t>2026-06-18</t>
        </is>
      </c>
    </row>
    <row r="1114">
      <c r="A1114" s="232" t="inlineStr">
        <is>
          <t>CR-1111</t>
        </is>
      </c>
      <c r="B1114" s="232" t="inlineStr">
        <is>
          <t>2026/27</t>
        </is>
      </c>
      <c r="C1114" s="233" t="n">
        <v>46043</v>
      </c>
      <c r="D1114" s="232" t="inlineStr">
        <is>
          <t>826092</t>
        </is>
      </c>
      <c r="E1114" s="232" t="inlineStr">
        <is>
          <t>PRORRATEO</t>
        </is>
      </c>
      <c r="F1114" s="232" t="inlineStr">
        <is>
          <t>Santa Catalina</t>
        </is>
      </c>
      <c r="G1114" s="232" t="inlineStr">
        <is>
          <t>form benjamin 1,93 ha</t>
        </is>
      </c>
      <c r="H1114" s="232" t="inlineStr">
        <is>
          <t>Limon</t>
        </is>
      </c>
      <c r="I1114" s="232" t="inlineStr">
        <is>
          <t>Benjamin andes</t>
        </is>
      </c>
      <c r="J1114" s="232" t="inlineStr">
        <is>
          <t>MANT. Y REP. CONSTRUCCIONES</t>
        </is>
      </c>
      <c r="K1114" s="232" t="inlineStr">
        <is>
          <t>MANTENCION INFRAESTRUCTURA</t>
        </is>
      </c>
      <c r="L1114" s="232" t="inlineStr">
        <is>
          <t>[PRORRATEO 1.3% 1.93há/148.3há] O/001278 AGUJA COSE</t>
        </is>
      </c>
      <c r="M1114" s="232" t="inlineStr"/>
      <c r="N1114" s="232" t="inlineStr">
        <is>
          <t>.   .   -</t>
        </is>
      </c>
      <c r="O1114" s="232" t="inlineStr">
        <is>
          <t>ENERO</t>
        </is>
      </c>
      <c r="P1114" s="232" t="n">
        <v>3</v>
      </c>
      <c r="Q1114" s="234" t="n">
        <v>95</v>
      </c>
      <c r="R1114" s="232" t="inlineStr"/>
      <c r="S1114" s="234" t="n">
        <v>95</v>
      </c>
      <c r="T1114" s="232" t="inlineStr">
        <is>
          <t>CLP</t>
        </is>
      </c>
      <c r="U1114" s="232" t="inlineStr">
        <is>
          <t>Prorrateo Ha PACKING</t>
        </is>
      </c>
      <c r="V1114" s="232" t="inlineStr">
        <is>
          <t>2026-06-18</t>
        </is>
      </c>
    </row>
    <row r="1115">
      <c r="A1115" s="232" t="inlineStr">
        <is>
          <t>CR-1112</t>
        </is>
      </c>
      <c r="B1115" s="232" t="inlineStr">
        <is>
          <t>2026/27</t>
        </is>
      </c>
      <c r="C1115" s="233" t="n">
        <v>46043</v>
      </c>
      <c r="D1115" s="232" t="inlineStr">
        <is>
          <t>826092</t>
        </is>
      </c>
      <c r="E1115" s="232" t="inlineStr">
        <is>
          <t>PRORRATEO</t>
        </is>
      </c>
      <c r="F1115" s="232" t="inlineStr">
        <is>
          <t>Santa Catalina</t>
        </is>
      </c>
      <c r="G1115" s="232" t="inlineStr">
        <is>
          <t>mant eureka 2,5 ha</t>
        </is>
      </c>
      <c r="H1115" s="232" t="inlineStr">
        <is>
          <t>Limon</t>
        </is>
      </c>
      <c r="I1115" s="232" t="inlineStr">
        <is>
          <t>Eureka</t>
        </is>
      </c>
      <c r="J1115" s="232" t="inlineStr">
        <is>
          <t>MANT. Y REP. CONSTRUCCIONES</t>
        </is>
      </c>
      <c r="K1115" s="232" t="inlineStr">
        <is>
          <t>MANTENCION INFRAESTRUCTURA</t>
        </is>
      </c>
      <c r="L1115" s="232" t="inlineStr">
        <is>
          <t>[PRORRATEO 1.7% 2.5há/148.3há] O/001278 AGUJA COSE</t>
        </is>
      </c>
      <c r="M1115" s="232" t="inlineStr"/>
      <c r="N1115" s="232" t="inlineStr">
        <is>
          <t>.   .   -</t>
        </is>
      </c>
      <c r="O1115" s="232" t="inlineStr">
        <is>
          <t>ENERO</t>
        </is>
      </c>
      <c r="P1115" s="232" t="n">
        <v>3</v>
      </c>
      <c r="Q1115" s="234" t="n">
        <v>123</v>
      </c>
      <c r="R1115" s="232" t="inlineStr"/>
      <c r="S1115" s="234" t="n">
        <v>123</v>
      </c>
      <c r="T1115" s="232" t="inlineStr">
        <is>
          <t>CLP</t>
        </is>
      </c>
      <c r="U1115" s="232" t="inlineStr">
        <is>
          <t>Prorrateo Ha PACKING</t>
        </is>
      </c>
      <c r="V1115" s="232" t="inlineStr">
        <is>
          <t>2026-06-18</t>
        </is>
      </c>
    </row>
    <row r="1116">
      <c r="A1116" s="232" t="inlineStr">
        <is>
          <t>CR-1113</t>
        </is>
      </c>
      <c r="B1116" s="232" t="inlineStr">
        <is>
          <t>2026/27</t>
        </is>
      </c>
      <c r="C1116" s="233" t="n">
        <v>46043</v>
      </c>
      <c r="D1116" s="232" t="inlineStr">
        <is>
          <t>826092</t>
        </is>
      </c>
      <c r="E1116" s="232" t="inlineStr">
        <is>
          <t>PRORRATEO</t>
        </is>
      </c>
      <c r="F1116" s="232" t="inlineStr">
        <is>
          <t>Siberia</t>
        </is>
      </c>
      <c r="G1116" s="232" t="inlineStr">
        <is>
          <t>S. Celebration 7,14</t>
        </is>
      </c>
      <c r="H1116" s="232" t="inlineStr">
        <is>
          <t>Uvas</t>
        </is>
      </c>
      <c r="I1116" s="232" t="inlineStr">
        <is>
          <t>S. celebration</t>
        </is>
      </c>
      <c r="J1116" s="232" t="inlineStr">
        <is>
          <t>MANT. Y REP. CONSTRUCCIONES</t>
        </is>
      </c>
      <c r="K1116" s="232" t="inlineStr">
        <is>
          <t>MANTENCION INFRAESTRUCTURA</t>
        </is>
      </c>
      <c r="L1116" s="232" t="inlineStr">
        <is>
          <t>[PRORRATEO 4.8% 7.14há/148.3há] O/001278 AGUJA COSE</t>
        </is>
      </c>
      <c r="M1116" s="232" t="inlineStr"/>
      <c r="N1116" s="232" t="inlineStr">
        <is>
          <t>.   .   -</t>
        </is>
      </c>
      <c r="O1116" s="232" t="inlineStr">
        <is>
          <t>ENERO</t>
        </is>
      </c>
      <c r="P1116" s="232" t="n">
        <v>3</v>
      </c>
      <c r="Q1116" s="234" t="n">
        <v>350</v>
      </c>
      <c r="R1116" s="232" t="inlineStr"/>
      <c r="S1116" s="234" t="n">
        <v>350</v>
      </c>
      <c r="T1116" s="232" t="inlineStr">
        <is>
          <t>CLP</t>
        </is>
      </c>
      <c r="U1116" s="232" t="inlineStr">
        <is>
          <t>Prorrateo Ha PACKING</t>
        </is>
      </c>
      <c r="V1116" s="232" t="inlineStr">
        <is>
          <t>2026-06-18</t>
        </is>
      </c>
    </row>
    <row r="1117">
      <c r="A1117" s="232" t="inlineStr">
        <is>
          <t>CR-1114</t>
        </is>
      </c>
      <c r="B1117" s="232" t="inlineStr">
        <is>
          <t>2026/27</t>
        </is>
      </c>
      <c r="C1117" s="233" t="n">
        <v>46043</v>
      </c>
      <c r="D1117" s="232" t="inlineStr">
        <is>
          <t>826092</t>
        </is>
      </c>
      <c r="E1117" s="232" t="inlineStr">
        <is>
          <t>PRORRATEO</t>
        </is>
      </c>
      <c r="F1117" s="232" t="inlineStr">
        <is>
          <t>Siberia</t>
        </is>
      </c>
      <c r="G1117" s="232" t="inlineStr">
        <is>
          <t>Timpson 7,1</t>
        </is>
      </c>
      <c r="H1117" s="232" t="inlineStr">
        <is>
          <t>Uvas</t>
        </is>
      </c>
      <c r="I1117" s="232" t="inlineStr">
        <is>
          <t>Timpson</t>
        </is>
      </c>
      <c r="J1117" s="232" t="inlineStr">
        <is>
          <t>MANT. Y REP. CONSTRUCCIONES</t>
        </is>
      </c>
      <c r="K1117" s="232" t="inlineStr">
        <is>
          <t>MANTENCION INFRAESTRUCTURA</t>
        </is>
      </c>
      <c r="L1117" s="232" t="inlineStr">
        <is>
          <t>[PRORRATEO 4.8% 7.1há/148.3há] O/001278 AGUJA COSE</t>
        </is>
      </c>
      <c r="M1117" s="232" t="inlineStr"/>
      <c r="N1117" s="232" t="inlineStr">
        <is>
          <t>.   .   -</t>
        </is>
      </c>
      <c r="O1117" s="232" t="inlineStr">
        <is>
          <t>ENERO</t>
        </is>
      </c>
      <c r="P1117" s="232" t="n">
        <v>3</v>
      </c>
      <c r="Q1117" s="234" t="n">
        <v>348</v>
      </c>
      <c r="R1117" s="232" t="inlineStr"/>
      <c r="S1117" s="234" t="n">
        <v>348</v>
      </c>
      <c r="T1117" s="232" t="inlineStr">
        <is>
          <t>CLP</t>
        </is>
      </c>
      <c r="U1117" s="232" t="inlineStr">
        <is>
          <t>Prorrateo Ha PACKING</t>
        </is>
      </c>
      <c r="V1117" s="232" t="inlineStr">
        <is>
          <t>2026-06-18</t>
        </is>
      </c>
    </row>
    <row r="1118">
      <c r="A1118" s="232" t="inlineStr">
        <is>
          <t>CR-1115</t>
        </is>
      </c>
      <c r="B1118" s="232" t="inlineStr">
        <is>
          <t>2026/27</t>
        </is>
      </c>
      <c r="C1118" s="233" t="n">
        <v>46043</v>
      </c>
      <c r="D1118" s="232" t="inlineStr">
        <is>
          <t>826092</t>
        </is>
      </c>
      <c r="E1118" s="232" t="inlineStr">
        <is>
          <t>PRORRATEO</t>
        </is>
      </c>
      <c r="F1118" s="232" t="inlineStr">
        <is>
          <t>Asmara</t>
        </is>
      </c>
      <c r="G1118" s="232" t="inlineStr">
        <is>
          <t>w. murcott 19,8 ha</t>
        </is>
      </c>
      <c r="H1118" s="232" t="inlineStr">
        <is>
          <t>Mandarina</t>
        </is>
      </c>
      <c r="I1118" s="232" t="inlineStr">
        <is>
          <t>W. murcott</t>
        </is>
      </c>
      <c r="J1118" s="232" t="inlineStr">
        <is>
          <t>MANT. Y REP. CONSTRUCCIONES</t>
        </is>
      </c>
      <c r="K1118" s="232" t="inlineStr">
        <is>
          <t>MANTENCION INFRAESTRUCTURA</t>
        </is>
      </c>
      <c r="L1118" s="232" t="inlineStr">
        <is>
          <t>[PRORRATEO 13.4% 19.8há/148.3há] O/001278 BROCHA CON</t>
        </is>
      </c>
      <c r="M1118" s="232" t="inlineStr"/>
      <c r="N1118" s="232" t="inlineStr">
        <is>
          <t>.   .   -</t>
        </is>
      </c>
      <c r="O1118" s="232" t="inlineStr">
        <is>
          <t>ENERO</t>
        </is>
      </c>
      <c r="P1118" s="232" t="n">
        <v>3</v>
      </c>
      <c r="Q1118" s="234" t="n">
        <v>877</v>
      </c>
      <c r="R1118" s="232" t="inlineStr"/>
      <c r="S1118" s="234" t="n">
        <v>877</v>
      </c>
      <c r="T1118" s="232" t="inlineStr">
        <is>
          <t>CLP</t>
        </is>
      </c>
      <c r="U1118" s="232" t="inlineStr">
        <is>
          <t>Prorrateo Ha PACKING</t>
        </is>
      </c>
      <c r="V1118" s="232" t="inlineStr">
        <is>
          <t>2026-06-18</t>
        </is>
      </c>
    </row>
    <row r="1119">
      <c r="A1119" s="232" t="inlineStr">
        <is>
          <t>CR-1116</t>
        </is>
      </c>
      <c r="B1119" s="232" t="inlineStr">
        <is>
          <t>2026/27</t>
        </is>
      </c>
      <c r="C1119" s="233" t="n">
        <v>46043</v>
      </c>
      <c r="D1119" s="232" t="inlineStr">
        <is>
          <t>826092</t>
        </is>
      </c>
      <c r="E1119" s="232" t="inlineStr">
        <is>
          <t>PRORRATEO</t>
        </is>
      </c>
      <c r="F1119" s="232" t="inlineStr">
        <is>
          <t>Asmara</t>
        </is>
      </c>
      <c r="G1119" s="232" t="inlineStr">
        <is>
          <t>w. murcott 4,9 ha</t>
        </is>
      </c>
      <c r="H1119" s="232" t="inlineStr">
        <is>
          <t>Mandarina</t>
        </is>
      </c>
      <c r="I1119" s="232" t="inlineStr">
        <is>
          <t>W. murcott</t>
        </is>
      </c>
      <c r="J1119" s="232" t="inlineStr">
        <is>
          <t>MANT. Y REP. CONSTRUCCIONES</t>
        </is>
      </c>
      <c r="K1119" s="232" t="inlineStr">
        <is>
          <t>MANTENCION INFRAESTRUCTURA</t>
        </is>
      </c>
      <c r="L1119" s="232" t="inlineStr">
        <is>
          <t>[PRORRATEO 3.3% 4.9há/148.3há] O/001278 BROCHA CON</t>
        </is>
      </c>
      <c r="M1119" s="232" t="inlineStr"/>
      <c r="N1119" s="232" t="inlineStr">
        <is>
          <t>.   .   -</t>
        </is>
      </c>
      <c r="O1119" s="232" t="inlineStr">
        <is>
          <t>ENERO</t>
        </is>
      </c>
      <c r="P1119" s="232" t="n">
        <v>3</v>
      </c>
      <c r="Q1119" s="234" t="n">
        <v>217</v>
      </c>
      <c r="R1119" s="232" t="inlineStr"/>
      <c r="S1119" s="234" t="n">
        <v>217</v>
      </c>
      <c r="T1119" s="232" t="inlineStr">
        <is>
          <t>CLP</t>
        </is>
      </c>
      <c r="U1119" s="232" t="inlineStr">
        <is>
          <t>Prorrateo Ha PACKING</t>
        </is>
      </c>
      <c r="V1119" s="232" t="inlineStr">
        <is>
          <t>2026-06-18</t>
        </is>
      </c>
    </row>
    <row r="1120">
      <c r="A1120" s="232" t="inlineStr">
        <is>
          <t>CR-1117</t>
        </is>
      </c>
      <c r="B1120" s="232" t="inlineStr">
        <is>
          <t>2026/27</t>
        </is>
      </c>
      <c r="C1120" s="233" t="n">
        <v>46043</v>
      </c>
      <c r="D1120" s="232" t="inlineStr">
        <is>
          <t>826092</t>
        </is>
      </c>
      <c r="E1120" s="232" t="inlineStr">
        <is>
          <t>PRORRATEO</t>
        </is>
      </c>
      <c r="F1120" s="232" t="inlineStr">
        <is>
          <t>El Molle</t>
        </is>
      </c>
      <c r="G1120" s="232" t="inlineStr">
        <is>
          <t>Wonderful 5,25 ha</t>
        </is>
      </c>
      <c r="H1120" s="232" t="inlineStr">
        <is>
          <t>Granados</t>
        </is>
      </c>
      <c r="I1120" s="232" t="inlineStr">
        <is>
          <t>Wonderfull</t>
        </is>
      </c>
      <c r="J1120" s="232" t="inlineStr">
        <is>
          <t>MANT. Y REP. CONSTRUCCIONES</t>
        </is>
      </c>
      <c r="K1120" s="232" t="inlineStr">
        <is>
          <t>MANTENCION INFRAESTRUCTURA</t>
        </is>
      </c>
      <c r="L1120" s="232" t="inlineStr">
        <is>
          <t>[PRORRATEO 3.5% 5.24há/148.3há] O/001278 BROCHA CON</t>
        </is>
      </c>
      <c r="M1120" s="232" t="inlineStr"/>
      <c r="N1120" s="232" t="inlineStr">
        <is>
          <t>.   .   -</t>
        </is>
      </c>
      <c r="O1120" s="232" t="inlineStr">
        <is>
          <t>ENERO</t>
        </is>
      </c>
      <c r="P1120" s="232" t="n">
        <v>3</v>
      </c>
      <c r="Q1120" s="234" t="n">
        <v>232</v>
      </c>
      <c r="R1120" s="232" t="inlineStr"/>
      <c r="S1120" s="234" t="n">
        <v>232</v>
      </c>
      <c r="T1120" s="232" t="inlineStr">
        <is>
          <t>CLP</t>
        </is>
      </c>
      <c r="U1120" s="232" t="inlineStr">
        <is>
          <t>Prorrateo Ha PACKING</t>
        </is>
      </c>
      <c r="V1120" s="232" t="inlineStr">
        <is>
          <t>2026-06-18</t>
        </is>
      </c>
    </row>
    <row r="1121">
      <c r="A1121" s="232" t="inlineStr">
        <is>
          <t>CR-1118</t>
        </is>
      </c>
      <c r="B1121" s="232" t="inlineStr">
        <is>
          <t>2026/27</t>
        </is>
      </c>
      <c r="C1121" s="233" t="n">
        <v>46043</v>
      </c>
      <c r="D1121" s="232" t="inlineStr">
        <is>
          <t>826092</t>
        </is>
      </c>
      <c r="E1121" s="232" t="inlineStr">
        <is>
          <t>PRORRATEO</t>
        </is>
      </c>
      <c r="F1121" s="232" t="inlineStr">
        <is>
          <t>El Molle</t>
        </is>
      </c>
      <c r="G1121" s="232" t="inlineStr">
        <is>
          <t>arrufatinas 5,74 ha</t>
        </is>
      </c>
      <c r="H1121" s="232" t="inlineStr">
        <is>
          <t>Clementinas</t>
        </is>
      </c>
      <c r="I1121" s="232" t="inlineStr">
        <is>
          <t>Arrufatinas</t>
        </is>
      </c>
      <c r="J1121" s="232" t="inlineStr">
        <is>
          <t>MANT. Y REP. CONSTRUCCIONES</t>
        </is>
      </c>
      <c r="K1121" s="232" t="inlineStr">
        <is>
          <t>MANTENCION INFRAESTRUCTURA</t>
        </is>
      </c>
      <c r="L1121" s="232" t="inlineStr">
        <is>
          <t>[PRORRATEO 3.9% 5.74há/148.3há] O/001278 BROCHA CON</t>
        </is>
      </c>
      <c r="M1121" s="232" t="inlineStr"/>
      <c r="N1121" s="232" t="inlineStr">
        <is>
          <t>.   .   -</t>
        </is>
      </c>
      <c r="O1121" s="232" t="inlineStr">
        <is>
          <t>ENERO</t>
        </is>
      </c>
      <c r="P1121" s="232" t="n">
        <v>3</v>
      </c>
      <c r="Q1121" s="234" t="n">
        <v>254</v>
      </c>
      <c r="R1121" s="232" t="inlineStr"/>
      <c r="S1121" s="234" t="n">
        <v>254</v>
      </c>
      <c r="T1121" s="232" t="inlineStr">
        <is>
          <t>CLP</t>
        </is>
      </c>
      <c r="U1121" s="232" t="inlineStr">
        <is>
          <t>Prorrateo Ha PACKING</t>
        </is>
      </c>
      <c r="V1121" s="232" t="inlineStr">
        <is>
          <t>2026-06-18</t>
        </is>
      </c>
    </row>
    <row r="1122">
      <c r="A1122" s="232" t="inlineStr">
        <is>
          <t>CR-1119</t>
        </is>
      </c>
      <c r="B1122" s="232" t="inlineStr">
        <is>
          <t>2026/27</t>
        </is>
      </c>
      <c r="C1122" s="233" t="n">
        <v>46043</v>
      </c>
      <c r="D1122" s="232" t="inlineStr">
        <is>
          <t>826092</t>
        </is>
      </c>
      <c r="E1122" s="232" t="inlineStr">
        <is>
          <t>PRORRATEO</t>
        </is>
      </c>
      <c r="F1122" s="232" t="inlineStr">
        <is>
          <t>El Molle</t>
        </is>
      </c>
      <c r="G1122" s="232" t="inlineStr">
        <is>
          <t>orogrande 8,11 ha</t>
        </is>
      </c>
      <c r="H1122" s="232" t="inlineStr">
        <is>
          <t>Clementinas</t>
        </is>
      </c>
      <c r="I1122" s="232" t="inlineStr">
        <is>
          <t>Orogrande</t>
        </is>
      </c>
      <c r="J1122" s="232" t="inlineStr">
        <is>
          <t>MANT. Y REP. CONSTRUCCIONES</t>
        </is>
      </c>
      <c r="K1122" s="232" t="inlineStr">
        <is>
          <t>MANTENCION INFRAESTRUCTURA</t>
        </is>
      </c>
      <c r="L1122" s="232" t="inlineStr">
        <is>
          <t>[PRORRATEO 5.5% 8.11há/148.3há] O/001278 BROCHA CON</t>
        </is>
      </c>
      <c r="M1122" s="232" t="inlineStr"/>
      <c r="N1122" s="232" t="inlineStr">
        <is>
          <t>.   .   -</t>
        </is>
      </c>
      <c r="O1122" s="232" t="inlineStr">
        <is>
          <t>ENERO</t>
        </is>
      </c>
      <c r="P1122" s="232" t="n">
        <v>3</v>
      </c>
      <c r="Q1122" s="234" t="n">
        <v>359</v>
      </c>
      <c r="R1122" s="232" t="inlineStr"/>
      <c r="S1122" s="234" t="n">
        <v>359</v>
      </c>
      <c r="T1122" s="232" t="inlineStr">
        <is>
          <t>CLP</t>
        </is>
      </c>
      <c r="U1122" s="232" t="inlineStr">
        <is>
          <t>Prorrateo Ha PACKING</t>
        </is>
      </c>
      <c r="V1122" s="232" t="inlineStr">
        <is>
          <t>2026-06-18</t>
        </is>
      </c>
    </row>
    <row r="1123">
      <c r="A1123" s="232" t="inlineStr">
        <is>
          <t>CR-1120</t>
        </is>
      </c>
      <c r="B1123" s="232" t="inlineStr">
        <is>
          <t>2026/27</t>
        </is>
      </c>
      <c r="C1123" s="233" t="n">
        <v>46043</v>
      </c>
      <c r="D1123" s="232" t="inlineStr">
        <is>
          <t>826092</t>
        </is>
      </c>
      <c r="E1123" s="232" t="inlineStr">
        <is>
          <t>PRORRATEO</t>
        </is>
      </c>
      <c r="F1123" s="232" t="inlineStr">
        <is>
          <t>El Molle</t>
        </is>
      </c>
      <c r="G1123" s="232" t="inlineStr">
        <is>
          <t>oronules 5,35 ha</t>
        </is>
      </c>
      <c r="H1123" s="232" t="inlineStr">
        <is>
          <t>Clementinas</t>
        </is>
      </c>
      <c r="I1123" s="232" t="inlineStr">
        <is>
          <t>Oronules</t>
        </is>
      </c>
      <c r="J1123" s="232" t="inlineStr">
        <is>
          <t>MANT. Y REP. CONSTRUCCIONES</t>
        </is>
      </c>
      <c r="K1123" s="232" t="inlineStr">
        <is>
          <t>MANTENCION INFRAESTRUCTURA</t>
        </is>
      </c>
      <c r="L1123" s="232" t="inlineStr">
        <is>
          <t>[PRORRATEO 3.6% 5.35há/148.3há] O/001278 BROCHA CON</t>
        </is>
      </c>
      <c r="M1123" s="232" t="inlineStr"/>
      <c r="N1123" s="232" t="inlineStr">
        <is>
          <t>.   .   -</t>
        </is>
      </c>
      <c r="O1123" s="232" t="inlineStr">
        <is>
          <t>ENERO</t>
        </is>
      </c>
      <c r="P1123" s="232" t="n">
        <v>3</v>
      </c>
      <c r="Q1123" s="234" t="n">
        <v>237</v>
      </c>
      <c r="R1123" s="232" t="inlineStr"/>
      <c r="S1123" s="234" t="n">
        <v>237</v>
      </c>
      <c r="T1123" s="232" t="inlineStr">
        <is>
          <t>CLP</t>
        </is>
      </c>
      <c r="U1123" s="232" t="inlineStr">
        <is>
          <t>Prorrateo Ha PACKING</t>
        </is>
      </c>
      <c r="V1123" s="232" t="inlineStr">
        <is>
          <t>2026-06-18</t>
        </is>
      </c>
    </row>
    <row r="1124">
      <c r="A1124" s="232" t="inlineStr">
        <is>
          <t>CR-1121</t>
        </is>
      </c>
      <c r="B1124" s="232" t="inlineStr">
        <is>
          <t>2026/27</t>
        </is>
      </c>
      <c r="C1124" s="233" t="n">
        <v>46043</v>
      </c>
      <c r="D1124" s="232" t="inlineStr">
        <is>
          <t>826092</t>
        </is>
      </c>
      <c r="E1124" s="232" t="inlineStr">
        <is>
          <t>PRORRATEO</t>
        </is>
      </c>
      <c r="F1124" s="232" t="inlineStr">
        <is>
          <t>Santa Catalina</t>
        </is>
      </c>
      <c r="G1124" s="232" t="inlineStr">
        <is>
          <t>Fino 49 7,7 ha</t>
        </is>
      </c>
      <c r="H1124" s="232" t="inlineStr">
        <is>
          <t>Limon</t>
        </is>
      </c>
      <c r="I1124" s="232" t="inlineStr">
        <is>
          <t>Fino 49</t>
        </is>
      </c>
      <c r="J1124" s="232" t="inlineStr">
        <is>
          <t>MANT. Y REP. CONSTRUCCIONES</t>
        </is>
      </c>
      <c r="K1124" s="232" t="inlineStr">
        <is>
          <t>MANTENCION INFRAESTRUCTURA</t>
        </is>
      </c>
      <c r="L1124" s="232" t="inlineStr">
        <is>
          <t>[PRORRATEO 5.2% 7.7há/148.3há] O/001278 BROCHA CON</t>
        </is>
      </c>
      <c r="M1124" s="232" t="inlineStr"/>
      <c r="N1124" s="232" t="inlineStr">
        <is>
          <t>.   .   -</t>
        </is>
      </c>
      <c r="O1124" s="232" t="inlineStr">
        <is>
          <t>ENERO</t>
        </is>
      </c>
      <c r="P1124" s="232" t="n">
        <v>3</v>
      </c>
      <c r="Q1124" s="234" t="n">
        <v>341</v>
      </c>
      <c r="R1124" s="232" t="inlineStr"/>
      <c r="S1124" s="234" t="n">
        <v>341</v>
      </c>
      <c r="T1124" s="232" t="inlineStr">
        <is>
          <t>CLP</t>
        </is>
      </c>
      <c r="U1124" s="232" t="inlineStr">
        <is>
          <t>Prorrateo Ha PACKING</t>
        </is>
      </c>
      <c r="V1124" s="232" t="inlineStr">
        <is>
          <t>2026-06-18</t>
        </is>
      </c>
    </row>
    <row r="1125">
      <c r="A1125" s="232" t="inlineStr">
        <is>
          <t>CR-1122</t>
        </is>
      </c>
      <c r="B1125" s="232" t="inlineStr">
        <is>
          <t>2026/27</t>
        </is>
      </c>
      <c r="C1125" s="233" t="n">
        <v>46043</v>
      </c>
      <c r="D1125" s="232" t="inlineStr">
        <is>
          <t>826092</t>
        </is>
      </c>
      <c r="E1125" s="232" t="inlineStr">
        <is>
          <t>PRORRATEO</t>
        </is>
      </c>
      <c r="F1125" s="232" t="inlineStr">
        <is>
          <t>Santa Catalina</t>
        </is>
      </c>
      <c r="G1125" s="232" t="inlineStr">
        <is>
          <t>W. murcott 21 ha</t>
        </is>
      </c>
      <c r="H1125" s="232" t="inlineStr">
        <is>
          <t>Mandarina</t>
        </is>
      </c>
      <c r="I1125" s="232" t="inlineStr">
        <is>
          <t>W. murcott</t>
        </is>
      </c>
      <c r="J1125" s="232" t="inlineStr">
        <is>
          <t>MANT. Y REP. CONSTRUCCIONES</t>
        </is>
      </c>
      <c r="K1125" s="232" t="inlineStr">
        <is>
          <t>MANTENCION INFRAESTRUCTURA</t>
        </is>
      </c>
      <c r="L1125" s="232" t="inlineStr">
        <is>
          <t>[PRORRATEO 14.2% 21.0há/148.3há] O/001278 BROCHA CON</t>
        </is>
      </c>
      <c r="M1125" s="232" t="inlineStr"/>
      <c r="N1125" s="232" t="inlineStr">
        <is>
          <t>.   .   -</t>
        </is>
      </c>
      <c r="O1125" s="232" t="inlineStr">
        <is>
          <t>ENERO</t>
        </is>
      </c>
      <c r="P1125" s="232" t="n">
        <v>3</v>
      </c>
      <c r="Q1125" s="234" t="n">
        <v>931</v>
      </c>
      <c r="R1125" s="232" t="inlineStr"/>
      <c r="S1125" s="234" t="n">
        <v>931</v>
      </c>
      <c r="T1125" s="232" t="inlineStr">
        <is>
          <t>CLP</t>
        </is>
      </c>
      <c r="U1125" s="232" t="inlineStr">
        <is>
          <t>Prorrateo Ha PACKING</t>
        </is>
      </c>
      <c r="V1125" s="232" t="inlineStr">
        <is>
          <t>2026-06-18</t>
        </is>
      </c>
    </row>
    <row r="1126">
      <c r="A1126" s="232" t="inlineStr">
        <is>
          <t>CR-1123</t>
        </is>
      </c>
      <c r="B1126" s="232" t="inlineStr">
        <is>
          <t>2026/27</t>
        </is>
      </c>
      <c r="C1126" s="233" t="n">
        <v>46043</v>
      </c>
      <c r="D1126" s="232" t="inlineStr">
        <is>
          <t>826092</t>
        </is>
      </c>
      <c r="E1126" s="232" t="inlineStr">
        <is>
          <t>PRORRATEO</t>
        </is>
      </c>
      <c r="F1126" s="232" t="inlineStr">
        <is>
          <t>Santa Catalina</t>
        </is>
      </c>
      <c r="G1126" s="232" t="inlineStr">
        <is>
          <t>cambria 4,2 ha</t>
        </is>
      </c>
      <c r="H1126" s="232" t="inlineStr">
        <is>
          <t>Naranjas</t>
        </is>
      </c>
      <c r="I1126" s="232" t="inlineStr">
        <is>
          <t>Cambria</t>
        </is>
      </c>
      <c r="J1126" s="232" t="inlineStr">
        <is>
          <t>MANT. Y REP. CONSTRUCCIONES</t>
        </is>
      </c>
      <c r="K1126" s="232" t="inlineStr">
        <is>
          <t>MANTENCION INFRAESTRUCTURA</t>
        </is>
      </c>
      <c r="L1126" s="232" t="inlineStr">
        <is>
          <t>[PRORRATEO 2.8% 4.2há/148.3há] O/001278 BROCHA CON</t>
        </is>
      </c>
      <c r="M1126" s="232" t="inlineStr"/>
      <c r="N1126" s="232" t="inlineStr">
        <is>
          <t>.   .   -</t>
        </is>
      </c>
      <c r="O1126" s="232" t="inlineStr">
        <is>
          <t>ENERO</t>
        </is>
      </c>
      <c r="P1126" s="232" t="n">
        <v>3</v>
      </c>
      <c r="Q1126" s="234" t="n">
        <v>186</v>
      </c>
      <c r="R1126" s="232" t="inlineStr"/>
      <c r="S1126" s="234" t="n">
        <v>186</v>
      </c>
      <c r="T1126" s="232" t="inlineStr">
        <is>
          <t>CLP</t>
        </is>
      </c>
      <c r="U1126" s="232" t="inlineStr">
        <is>
          <t>Prorrateo Ha PACKING</t>
        </is>
      </c>
      <c r="V1126" s="232" t="inlineStr">
        <is>
          <t>2026-06-18</t>
        </is>
      </c>
    </row>
    <row r="1127">
      <c r="A1127" s="232" t="inlineStr">
        <is>
          <t>CR-1124</t>
        </is>
      </c>
      <c r="B1127" s="232" t="inlineStr">
        <is>
          <t>2026/27</t>
        </is>
      </c>
      <c r="C1127" s="233" t="n">
        <v>46043</v>
      </c>
      <c r="D1127" s="232" t="inlineStr">
        <is>
          <t>826092</t>
        </is>
      </c>
      <c r="E1127" s="232" t="inlineStr">
        <is>
          <t>PRORRATEO</t>
        </is>
      </c>
      <c r="F1127" s="232" t="inlineStr">
        <is>
          <t>Santa Catalina</t>
        </is>
      </c>
      <c r="G1127" s="232" t="inlineStr">
        <is>
          <t>eureka 10,6 ha</t>
        </is>
      </c>
      <c r="H1127" s="232" t="inlineStr">
        <is>
          <t>Limon</t>
        </is>
      </c>
      <c r="I1127" s="232" t="inlineStr">
        <is>
          <t>Eureka</t>
        </is>
      </c>
      <c r="J1127" s="232" t="inlineStr">
        <is>
          <t>MANT. Y REP. CONSTRUCCIONES</t>
        </is>
      </c>
      <c r="K1127" s="232" t="inlineStr">
        <is>
          <t>MANTENCION INFRAESTRUCTURA</t>
        </is>
      </c>
      <c r="L1127" s="232" t="inlineStr">
        <is>
          <t>[PRORRATEO 7.1% 10.6há/148.3há] O/001278 BROCHA CON</t>
        </is>
      </c>
      <c r="M1127" s="232" t="inlineStr"/>
      <c r="N1127" s="232" t="inlineStr">
        <is>
          <t>.   .   -</t>
        </is>
      </c>
      <c r="O1127" s="232" t="inlineStr">
        <is>
          <t>ENERO</t>
        </is>
      </c>
      <c r="P1127" s="232" t="n">
        <v>3</v>
      </c>
      <c r="Q1127" s="234" t="n">
        <v>470</v>
      </c>
      <c r="R1127" s="232" t="inlineStr"/>
      <c r="S1127" s="234" t="n">
        <v>470</v>
      </c>
      <c r="T1127" s="232" t="inlineStr">
        <is>
          <t>CLP</t>
        </is>
      </c>
      <c r="U1127" s="232" t="inlineStr">
        <is>
          <t>Prorrateo Ha PACKING</t>
        </is>
      </c>
      <c r="V1127" s="232" t="inlineStr">
        <is>
          <t>2026-06-18</t>
        </is>
      </c>
    </row>
    <row r="1128">
      <c r="A1128" s="232" t="inlineStr">
        <is>
          <t>CR-1125</t>
        </is>
      </c>
      <c r="B1128" s="232" t="inlineStr">
        <is>
          <t>2026/27</t>
        </is>
      </c>
      <c r="C1128" s="233" t="n">
        <v>46043</v>
      </c>
      <c r="D1128" s="232" t="inlineStr">
        <is>
          <t>826092</t>
        </is>
      </c>
      <c r="E1128" s="232" t="inlineStr">
        <is>
          <t>PRORRATEO</t>
        </is>
      </c>
      <c r="F1128" s="232" t="inlineStr">
        <is>
          <t>Santa Catalina</t>
        </is>
      </c>
      <c r="G1128" s="232" t="inlineStr">
        <is>
          <t>eureka 14,4 ha</t>
        </is>
      </c>
      <c r="H1128" s="232" t="inlineStr">
        <is>
          <t>Limon</t>
        </is>
      </c>
      <c r="I1128" s="232" t="inlineStr">
        <is>
          <t>Eureka</t>
        </is>
      </c>
      <c r="J1128" s="232" t="inlineStr">
        <is>
          <t>MANT. Y REP. CONSTRUCCIONES</t>
        </is>
      </c>
      <c r="K1128" s="232" t="inlineStr">
        <is>
          <t>MANTENCION INFRAESTRUCTURA</t>
        </is>
      </c>
      <c r="L1128" s="232" t="inlineStr">
        <is>
          <t>[PRORRATEO 9.7% 14.4há/148.3há] O/001278 BROCHA CON</t>
        </is>
      </c>
      <c r="M1128" s="232" t="inlineStr"/>
      <c r="N1128" s="232" t="inlineStr">
        <is>
          <t>.   .   -</t>
        </is>
      </c>
      <c r="O1128" s="232" t="inlineStr">
        <is>
          <t>ENERO</t>
        </is>
      </c>
      <c r="P1128" s="232" t="n">
        <v>3</v>
      </c>
      <c r="Q1128" s="234" t="n">
        <v>638</v>
      </c>
      <c r="R1128" s="232" t="inlineStr"/>
      <c r="S1128" s="234" t="n">
        <v>638</v>
      </c>
      <c r="T1128" s="232" t="inlineStr">
        <is>
          <t>CLP</t>
        </is>
      </c>
      <c r="U1128" s="232" t="inlineStr">
        <is>
          <t>Prorrateo Ha PACKING</t>
        </is>
      </c>
      <c r="V1128" s="232" t="inlineStr">
        <is>
          <t>2026-06-18</t>
        </is>
      </c>
    </row>
    <row r="1129">
      <c r="A1129" s="232" t="inlineStr">
        <is>
          <t>CR-1126</t>
        </is>
      </c>
      <c r="B1129" s="232" t="inlineStr">
        <is>
          <t>2026/27</t>
        </is>
      </c>
      <c r="C1129" s="233" t="n">
        <v>46043</v>
      </c>
      <c r="D1129" s="232" t="inlineStr">
        <is>
          <t>826092</t>
        </is>
      </c>
      <c r="E1129" s="232" t="inlineStr">
        <is>
          <t>PRORRATEO</t>
        </is>
      </c>
      <c r="F1129" s="232" t="inlineStr">
        <is>
          <t>Santa Catalina</t>
        </is>
      </c>
      <c r="G1129" s="232" t="inlineStr">
        <is>
          <t>eureka 22,55</t>
        </is>
      </c>
      <c r="H1129" s="232" t="inlineStr">
        <is>
          <t>Limon</t>
        </is>
      </c>
      <c r="I1129" s="232" t="inlineStr">
        <is>
          <t>Eureka</t>
        </is>
      </c>
      <c r="J1129" s="232" t="inlineStr">
        <is>
          <t>MANT. Y REP. CONSTRUCCIONES</t>
        </is>
      </c>
      <c r="K1129" s="232" t="inlineStr">
        <is>
          <t>MANTENCION INFRAESTRUCTURA</t>
        </is>
      </c>
      <c r="L1129" s="232" t="inlineStr">
        <is>
          <t>[PRORRATEO 15.2% 22.55há/148.3há] O/001278 BROCHA CON</t>
        </is>
      </c>
      <c r="M1129" s="232" t="inlineStr"/>
      <c r="N1129" s="232" t="inlineStr">
        <is>
          <t>.   .   -</t>
        </is>
      </c>
      <c r="O1129" s="232" t="inlineStr">
        <is>
          <t>ENERO</t>
        </is>
      </c>
      <c r="P1129" s="232" t="n">
        <v>3</v>
      </c>
      <c r="Q1129" s="234" t="n">
        <v>999</v>
      </c>
      <c r="R1129" s="232" t="inlineStr"/>
      <c r="S1129" s="234" t="n">
        <v>999</v>
      </c>
      <c r="T1129" s="232" t="inlineStr">
        <is>
          <t>CLP</t>
        </is>
      </c>
      <c r="U1129" s="232" t="inlineStr">
        <is>
          <t>Prorrateo Ha PACKING</t>
        </is>
      </c>
      <c r="V1129" s="232" t="inlineStr">
        <is>
          <t>2026-06-18</t>
        </is>
      </c>
    </row>
    <row r="1130">
      <c r="A1130" s="232" t="inlineStr">
        <is>
          <t>CR-1127</t>
        </is>
      </c>
      <c r="B1130" s="232" t="inlineStr">
        <is>
          <t>2026/27</t>
        </is>
      </c>
      <c r="C1130" s="233" t="n">
        <v>46043</v>
      </c>
      <c r="D1130" s="232" t="inlineStr">
        <is>
          <t>826092</t>
        </is>
      </c>
      <c r="E1130" s="232" t="inlineStr">
        <is>
          <t>PRORRATEO</t>
        </is>
      </c>
      <c r="F1130" s="232" t="inlineStr">
        <is>
          <t>Santa Catalina</t>
        </is>
      </c>
      <c r="G1130" s="232" t="inlineStr">
        <is>
          <t>form benjamin 1,93 ha</t>
        </is>
      </c>
      <c r="H1130" s="232" t="inlineStr">
        <is>
          <t>Limon</t>
        </is>
      </c>
      <c r="I1130" s="232" t="inlineStr">
        <is>
          <t>Benjamin andes</t>
        </is>
      </c>
      <c r="J1130" s="232" t="inlineStr">
        <is>
          <t>MANT. Y REP. CONSTRUCCIONES</t>
        </is>
      </c>
      <c r="K1130" s="232" t="inlineStr">
        <is>
          <t>MANTENCION INFRAESTRUCTURA</t>
        </is>
      </c>
      <c r="L1130" s="232" t="inlineStr">
        <is>
          <t>[PRORRATEO 1.3% 1.93há/148.3há] O/001278 BROCHA CON</t>
        </is>
      </c>
      <c r="M1130" s="232" t="inlineStr"/>
      <c r="N1130" s="232" t="inlineStr">
        <is>
          <t>.   .   -</t>
        </is>
      </c>
      <c r="O1130" s="232" t="inlineStr">
        <is>
          <t>ENERO</t>
        </is>
      </c>
      <c r="P1130" s="232" t="n">
        <v>3</v>
      </c>
      <c r="Q1130" s="234" t="n">
        <v>86</v>
      </c>
      <c r="R1130" s="232" t="inlineStr"/>
      <c r="S1130" s="234" t="n">
        <v>86</v>
      </c>
      <c r="T1130" s="232" t="inlineStr">
        <is>
          <t>CLP</t>
        </is>
      </c>
      <c r="U1130" s="232" t="inlineStr">
        <is>
          <t>Prorrateo Ha PACKING</t>
        </is>
      </c>
      <c r="V1130" s="232" t="inlineStr">
        <is>
          <t>2026-06-18</t>
        </is>
      </c>
    </row>
    <row r="1131">
      <c r="A1131" s="232" t="inlineStr">
        <is>
          <t>CR-1128</t>
        </is>
      </c>
      <c r="B1131" s="232" t="inlineStr">
        <is>
          <t>2026/27</t>
        </is>
      </c>
      <c r="C1131" s="233" t="n">
        <v>46043</v>
      </c>
      <c r="D1131" s="232" t="inlineStr">
        <is>
          <t>826092</t>
        </is>
      </c>
      <c r="E1131" s="232" t="inlineStr">
        <is>
          <t>PRORRATEO</t>
        </is>
      </c>
      <c r="F1131" s="232" t="inlineStr">
        <is>
          <t>Santa Catalina</t>
        </is>
      </c>
      <c r="G1131" s="232" t="inlineStr">
        <is>
          <t>mant eureka 2,5 ha</t>
        </is>
      </c>
      <c r="H1131" s="232" t="inlineStr">
        <is>
          <t>Limon</t>
        </is>
      </c>
      <c r="I1131" s="232" t="inlineStr">
        <is>
          <t>Eureka</t>
        </is>
      </c>
      <c r="J1131" s="232" t="inlineStr">
        <is>
          <t>MANT. Y REP. CONSTRUCCIONES</t>
        </is>
      </c>
      <c r="K1131" s="232" t="inlineStr">
        <is>
          <t>MANTENCION INFRAESTRUCTURA</t>
        </is>
      </c>
      <c r="L1131" s="232" t="inlineStr">
        <is>
          <t>[PRORRATEO 1.7% 2.5há/148.3há] O/001278 BROCHA CON</t>
        </is>
      </c>
      <c r="M1131" s="232" t="inlineStr"/>
      <c r="N1131" s="232" t="inlineStr">
        <is>
          <t>.   .   -</t>
        </is>
      </c>
      <c r="O1131" s="232" t="inlineStr">
        <is>
          <t>ENERO</t>
        </is>
      </c>
      <c r="P1131" s="232" t="n">
        <v>3</v>
      </c>
      <c r="Q1131" s="234" t="n">
        <v>111</v>
      </c>
      <c r="R1131" s="232" t="inlineStr"/>
      <c r="S1131" s="234" t="n">
        <v>111</v>
      </c>
      <c r="T1131" s="232" t="inlineStr">
        <is>
          <t>CLP</t>
        </is>
      </c>
      <c r="U1131" s="232" t="inlineStr">
        <is>
          <t>Prorrateo Ha PACKING</t>
        </is>
      </c>
      <c r="V1131" s="232" t="inlineStr">
        <is>
          <t>2026-06-18</t>
        </is>
      </c>
    </row>
    <row r="1132">
      <c r="A1132" s="232" t="inlineStr">
        <is>
          <t>CR-1129</t>
        </is>
      </c>
      <c r="B1132" s="232" t="inlineStr">
        <is>
          <t>2026/27</t>
        </is>
      </c>
      <c r="C1132" s="233" t="n">
        <v>46043</v>
      </c>
      <c r="D1132" s="232" t="inlineStr">
        <is>
          <t>826092</t>
        </is>
      </c>
      <c r="E1132" s="232" t="inlineStr">
        <is>
          <t>PRORRATEO</t>
        </is>
      </c>
      <c r="F1132" s="232" t="inlineStr">
        <is>
          <t>Siberia</t>
        </is>
      </c>
      <c r="G1132" s="232" t="inlineStr">
        <is>
          <t>S. Celebration 7,14</t>
        </is>
      </c>
      <c r="H1132" s="232" t="inlineStr">
        <is>
          <t>Uvas</t>
        </is>
      </c>
      <c r="I1132" s="232" t="inlineStr">
        <is>
          <t>S. celebration</t>
        </is>
      </c>
      <c r="J1132" s="232" t="inlineStr">
        <is>
          <t>MANT. Y REP. CONSTRUCCIONES</t>
        </is>
      </c>
      <c r="K1132" s="232" t="inlineStr">
        <is>
          <t>MANTENCION INFRAESTRUCTURA</t>
        </is>
      </c>
      <c r="L1132" s="232" t="inlineStr">
        <is>
          <t>[PRORRATEO 4.8% 7.14há/148.3há] O/001278 BROCHA CON</t>
        </is>
      </c>
      <c r="M1132" s="232" t="inlineStr"/>
      <c r="N1132" s="232" t="inlineStr">
        <is>
          <t>.   .   -</t>
        </is>
      </c>
      <c r="O1132" s="232" t="inlineStr">
        <is>
          <t>ENERO</t>
        </is>
      </c>
      <c r="P1132" s="232" t="n">
        <v>3</v>
      </c>
      <c r="Q1132" s="234" t="n">
        <v>316</v>
      </c>
      <c r="R1132" s="232" t="inlineStr"/>
      <c r="S1132" s="234" t="n">
        <v>316</v>
      </c>
      <c r="T1132" s="232" t="inlineStr">
        <is>
          <t>CLP</t>
        </is>
      </c>
      <c r="U1132" s="232" t="inlineStr">
        <is>
          <t>Prorrateo Ha PACKING</t>
        </is>
      </c>
      <c r="V1132" s="232" t="inlineStr">
        <is>
          <t>2026-06-18</t>
        </is>
      </c>
    </row>
    <row r="1133">
      <c r="A1133" s="232" t="inlineStr">
        <is>
          <t>CR-1130</t>
        </is>
      </c>
      <c r="B1133" s="232" t="inlineStr">
        <is>
          <t>2026/27</t>
        </is>
      </c>
      <c r="C1133" s="233" t="n">
        <v>46043</v>
      </c>
      <c r="D1133" s="232" t="inlineStr">
        <is>
          <t>826092</t>
        </is>
      </c>
      <c r="E1133" s="232" t="inlineStr">
        <is>
          <t>PRORRATEO</t>
        </is>
      </c>
      <c r="F1133" s="232" t="inlineStr">
        <is>
          <t>Siberia</t>
        </is>
      </c>
      <c r="G1133" s="232" t="inlineStr">
        <is>
          <t>Timpson 7,1</t>
        </is>
      </c>
      <c r="H1133" s="232" t="inlineStr">
        <is>
          <t>Uvas</t>
        </is>
      </c>
      <c r="I1133" s="232" t="inlineStr">
        <is>
          <t>Timpson</t>
        </is>
      </c>
      <c r="J1133" s="232" t="inlineStr">
        <is>
          <t>MANT. Y REP. CONSTRUCCIONES</t>
        </is>
      </c>
      <c r="K1133" s="232" t="inlineStr">
        <is>
          <t>MANTENCION INFRAESTRUCTURA</t>
        </is>
      </c>
      <c r="L1133" s="232" t="inlineStr">
        <is>
          <t>[PRORRATEO 4.8% 7.1há/148.3há] O/001278 BROCHA CON</t>
        </is>
      </c>
      <c r="M1133" s="232" t="inlineStr"/>
      <c r="N1133" s="232" t="inlineStr">
        <is>
          <t>.   .   -</t>
        </is>
      </c>
      <c r="O1133" s="232" t="inlineStr">
        <is>
          <t>ENERO</t>
        </is>
      </c>
      <c r="P1133" s="232" t="n">
        <v>3</v>
      </c>
      <c r="Q1133" s="234" t="n">
        <v>315</v>
      </c>
      <c r="R1133" s="232" t="inlineStr"/>
      <c r="S1133" s="234" t="n">
        <v>315</v>
      </c>
      <c r="T1133" s="232" t="inlineStr">
        <is>
          <t>CLP</t>
        </is>
      </c>
      <c r="U1133" s="232" t="inlineStr">
        <is>
          <t>Prorrateo Ha PACKING</t>
        </is>
      </c>
      <c r="V1133" s="232" t="inlineStr">
        <is>
          <t>2026-06-18</t>
        </is>
      </c>
    </row>
    <row r="1134">
      <c r="A1134" s="232" t="inlineStr">
        <is>
          <t>CR-1131</t>
        </is>
      </c>
      <c r="B1134" s="232" t="inlineStr">
        <is>
          <t>2026/27</t>
        </is>
      </c>
      <c r="C1134" s="233" t="n">
        <v>46043</v>
      </c>
      <c r="D1134" s="232" t="inlineStr">
        <is>
          <t>826092</t>
        </is>
      </c>
      <c r="E1134" s="232" t="inlineStr">
        <is>
          <t>PRORRATEO</t>
        </is>
      </c>
      <c r="F1134" s="232" t="inlineStr">
        <is>
          <t>Asmara</t>
        </is>
      </c>
      <c r="G1134" s="232" t="inlineStr">
        <is>
          <t>w. murcott 19,8 ha</t>
        </is>
      </c>
      <c r="H1134" s="232" t="inlineStr">
        <is>
          <t>Mandarina</t>
        </is>
      </c>
      <c r="I1134" s="232" t="inlineStr">
        <is>
          <t>W. murcott</t>
        </is>
      </c>
      <c r="J1134" s="232" t="inlineStr">
        <is>
          <t>MANT. Y REP. CONSTRUCCIONES</t>
        </is>
      </c>
      <c r="K1134" s="232" t="inlineStr">
        <is>
          <t>MANTENCION INFRAESTRUCTURA</t>
        </is>
      </c>
      <c r="L1134" s="232" t="inlineStr">
        <is>
          <t>[PRORRATEO 13.4% 19.8há/148.3há] O/001278 BROCHA CON</t>
        </is>
      </c>
      <c r="M1134" s="232" t="inlineStr"/>
      <c r="N1134" s="232" t="inlineStr">
        <is>
          <t>.   .   -</t>
        </is>
      </c>
      <c r="O1134" s="232" t="inlineStr">
        <is>
          <t>ENERO</t>
        </is>
      </c>
      <c r="P1134" s="232" t="n">
        <v>3</v>
      </c>
      <c r="Q1134" s="234" t="n">
        <v>2224</v>
      </c>
      <c r="R1134" s="232" t="inlineStr"/>
      <c r="S1134" s="234" t="n">
        <v>2224</v>
      </c>
      <c r="T1134" s="232" t="inlineStr">
        <is>
          <t>CLP</t>
        </is>
      </c>
      <c r="U1134" s="232" t="inlineStr">
        <is>
          <t>Prorrateo Ha PACKING</t>
        </is>
      </c>
      <c r="V1134" s="232" t="inlineStr">
        <is>
          <t>2026-06-18</t>
        </is>
      </c>
    </row>
    <row r="1135">
      <c r="A1135" s="232" t="inlineStr">
        <is>
          <t>CR-1132</t>
        </is>
      </c>
      <c r="B1135" s="232" t="inlineStr">
        <is>
          <t>2026/27</t>
        </is>
      </c>
      <c r="C1135" s="233" t="n">
        <v>46043</v>
      </c>
      <c r="D1135" s="232" t="inlineStr">
        <is>
          <t>826092</t>
        </is>
      </c>
      <c r="E1135" s="232" t="inlineStr">
        <is>
          <t>PRORRATEO</t>
        </is>
      </c>
      <c r="F1135" s="232" t="inlineStr">
        <is>
          <t>Asmara</t>
        </is>
      </c>
      <c r="G1135" s="232" t="inlineStr">
        <is>
          <t>w. murcott 4,9 ha</t>
        </is>
      </c>
      <c r="H1135" s="232" t="inlineStr">
        <is>
          <t>Mandarina</t>
        </is>
      </c>
      <c r="I1135" s="232" t="inlineStr">
        <is>
          <t>W. murcott</t>
        </is>
      </c>
      <c r="J1135" s="232" t="inlineStr">
        <is>
          <t>MANT. Y REP. CONSTRUCCIONES</t>
        </is>
      </c>
      <c r="K1135" s="232" t="inlineStr">
        <is>
          <t>MANTENCION INFRAESTRUCTURA</t>
        </is>
      </c>
      <c r="L1135" s="232" t="inlineStr">
        <is>
          <t>[PRORRATEO 3.3% 4.9há/148.3há] O/001278 BROCHA CON</t>
        </is>
      </c>
      <c r="M1135" s="232" t="inlineStr"/>
      <c r="N1135" s="232" t="inlineStr">
        <is>
          <t>.   .   -</t>
        </is>
      </c>
      <c r="O1135" s="232" t="inlineStr">
        <is>
          <t>ENERO</t>
        </is>
      </c>
      <c r="P1135" s="232" t="n">
        <v>3</v>
      </c>
      <c r="Q1135" s="234" t="n">
        <v>550</v>
      </c>
      <c r="R1135" s="232" t="inlineStr"/>
      <c r="S1135" s="234" t="n">
        <v>550</v>
      </c>
      <c r="T1135" s="232" t="inlineStr">
        <is>
          <t>CLP</t>
        </is>
      </c>
      <c r="U1135" s="232" t="inlineStr">
        <is>
          <t>Prorrateo Ha PACKING</t>
        </is>
      </c>
      <c r="V1135" s="232" t="inlineStr">
        <is>
          <t>2026-06-18</t>
        </is>
      </c>
    </row>
    <row r="1136">
      <c r="A1136" s="232" t="inlineStr">
        <is>
          <t>CR-1133</t>
        </is>
      </c>
      <c r="B1136" s="232" t="inlineStr">
        <is>
          <t>2026/27</t>
        </is>
      </c>
      <c r="C1136" s="233" t="n">
        <v>46043</v>
      </c>
      <c r="D1136" s="232" t="inlineStr">
        <is>
          <t>826092</t>
        </is>
      </c>
      <c r="E1136" s="232" t="inlineStr">
        <is>
          <t>PRORRATEO</t>
        </is>
      </c>
      <c r="F1136" s="232" t="inlineStr">
        <is>
          <t>El Molle</t>
        </is>
      </c>
      <c r="G1136" s="232" t="inlineStr">
        <is>
          <t>Wonderful 5,25 ha</t>
        </is>
      </c>
      <c r="H1136" s="232" t="inlineStr">
        <is>
          <t>Granados</t>
        </is>
      </c>
      <c r="I1136" s="232" t="inlineStr">
        <is>
          <t>Wonderfull</t>
        </is>
      </c>
      <c r="J1136" s="232" t="inlineStr">
        <is>
          <t>MANT. Y REP. CONSTRUCCIONES</t>
        </is>
      </c>
      <c r="K1136" s="232" t="inlineStr">
        <is>
          <t>MANTENCION INFRAESTRUCTURA</t>
        </is>
      </c>
      <c r="L1136" s="232" t="inlineStr">
        <is>
          <t>[PRORRATEO 3.5% 5.24há/148.3há] O/001278 BROCHA CON</t>
        </is>
      </c>
      <c r="M1136" s="232" t="inlineStr"/>
      <c r="N1136" s="232" t="inlineStr">
        <is>
          <t>.   .   -</t>
        </is>
      </c>
      <c r="O1136" s="232" t="inlineStr">
        <is>
          <t>ENERO</t>
        </is>
      </c>
      <c r="P1136" s="232" t="n">
        <v>3</v>
      </c>
      <c r="Q1136" s="234" t="n">
        <v>588</v>
      </c>
      <c r="R1136" s="232" t="inlineStr"/>
      <c r="S1136" s="234" t="n">
        <v>588</v>
      </c>
      <c r="T1136" s="232" t="inlineStr">
        <is>
          <t>CLP</t>
        </is>
      </c>
      <c r="U1136" s="232" t="inlineStr">
        <is>
          <t>Prorrateo Ha PACKING</t>
        </is>
      </c>
      <c r="V1136" s="232" t="inlineStr">
        <is>
          <t>2026-06-18</t>
        </is>
      </c>
    </row>
    <row r="1137">
      <c r="A1137" s="232" t="inlineStr">
        <is>
          <t>CR-1134</t>
        </is>
      </c>
      <c r="B1137" s="232" t="inlineStr">
        <is>
          <t>2026/27</t>
        </is>
      </c>
      <c r="C1137" s="233" t="n">
        <v>46043</v>
      </c>
      <c r="D1137" s="232" t="inlineStr">
        <is>
          <t>826092</t>
        </is>
      </c>
      <c r="E1137" s="232" t="inlineStr">
        <is>
          <t>PRORRATEO</t>
        </is>
      </c>
      <c r="F1137" s="232" t="inlineStr">
        <is>
          <t>El Molle</t>
        </is>
      </c>
      <c r="G1137" s="232" t="inlineStr">
        <is>
          <t>arrufatinas 5,74 ha</t>
        </is>
      </c>
      <c r="H1137" s="232" t="inlineStr">
        <is>
          <t>Clementinas</t>
        </is>
      </c>
      <c r="I1137" s="232" t="inlineStr">
        <is>
          <t>Arrufatinas</t>
        </is>
      </c>
      <c r="J1137" s="232" t="inlineStr">
        <is>
          <t>MANT. Y REP. CONSTRUCCIONES</t>
        </is>
      </c>
      <c r="K1137" s="232" t="inlineStr">
        <is>
          <t>MANTENCION INFRAESTRUCTURA</t>
        </is>
      </c>
      <c r="L1137" s="232" t="inlineStr">
        <is>
          <t>[PRORRATEO 3.9% 5.74há/148.3há] O/001278 BROCHA CON</t>
        </is>
      </c>
      <c r="M1137" s="232" t="inlineStr"/>
      <c r="N1137" s="232" t="inlineStr">
        <is>
          <t>.   .   -</t>
        </is>
      </c>
      <c r="O1137" s="232" t="inlineStr">
        <is>
          <t>ENERO</t>
        </is>
      </c>
      <c r="P1137" s="232" t="n">
        <v>3</v>
      </c>
      <c r="Q1137" s="234" t="n">
        <v>645</v>
      </c>
      <c r="R1137" s="232" t="inlineStr"/>
      <c r="S1137" s="234" t="n">
        <v>645</v>
      </c>
      <c r="T1137" s="232" t="inlineStr">
        <is>
          <t>CLP</t>
        </is>
      </c>
      <c r="U1137" s="232" t="inlineStr">
        <is>
          <t>Prorrateo Ha PACKING</t>
        </is>
      </c>
      <c r="V1137" s="232" t="inlineStr">
        <is>
          <t>2026-06-18</t>
        </is>
      </c>
    </row>
    <row r="1138">
      <c r="A1138" s="232" t="inlineStr">
        <is>
          <t>CR-1135</t>
        </is>
      </c>
      <c r="B1138" s="232" t="inlineStr">
        <is>
          <t>2026/27</t>
        </is>
      </c>
      <c r="C1138" s="233" t="n">
        <v>46043</v>
      </c>
      <c r="D1138" s="232" t="inlineStr">
        <is>
          <t>826092</t>
        </is>
      </c>
      <c r="E1138" s="232" t="inlineStr">
        <is>
          <t>PRORRATEO</t>
        </is>
      </c>
      <c r="F1138" s="232" t="inlineStr">
        <is>
          <t>El Molle</t>
        </is>
      </c>
      <c r="G1138" s="232" t="inlineStr">
        <is>
          <t>orogrande 8,11 ha</t>
        </is>
      </c>
      <c r="H1138" s="232" t="inlineStr">
        <is>
          <t>Clementinas</t>
        </is>
      </c>
      <c r="I1138" s="232" t="inlineStr">
        <is>
          <t>Orogrande</t>
        </is>
      </c>
      <c r="J1138" s="232" t="inlineStr">
        <is>
          <t>MANT. Y REP. CONSTRUCCIONES</t>
        </is>
      </c>
      <c r="K1138" s="232" t="inlineStr">
        <is>
          <t>MANTENCION INFRAESTRUCTURA</t>
        </is>
      </c>
      <c r="L1138" s="232" t="inlineStr">
        <is>
          <t>[PRORRATEO 5.5% 8.11há/148.3há] O/001278 BROCHA CON</t>
        </is>
      </c>
      <c r="M1138" s="232" t="inlineStr"/>
      <c r="N1138" s="232" t="inlineStr">
        <is>
          <t>.   .   -</t>
        </is>
      </c>
      <c r="O1138" s="232" t="inlineStr">
        <is>
          <t>ENERO</t>
        </is>
      </c>
      <c r="P1138" s="232" t="n">
        <v>3</v>
      </c>
      <c r="Q1138" s="234" t="n">
        <v>911</v>
      </c>
      <c r="R1138" s="232" t="inlineStr"/>
      <c r="S1138" s="234" t="n">
        <v>911</v>
      </c>
      <c r="T1138" s="232" t="inlineStr">
        <is>
          <t>CLP</t>
        </is>
      </c>
      <c r="U1138" s="232" t="inlineStr">
        <is>
          <t>Prorrateo Ha PACKING</t>
        </is>
      </c>
      <c r="V1138" s="232" t="inlineStr">
        <is>
          <t>2026-06-18</t>
        </is>
      </c>
    </row>
    <row r="1139">
      <c r="A1139" s="232" t="inlineStr">
        <is>
          <t>CR-1136</t>
        </is>
      </c>
      <c r="B1139" s="232" t="inlineStr">
        <is>
          <t>2026/27</t>
        </is>
      </c>
      <c r="C1139" s="233" t="n">
        <v>46043</v>
      </c>
      <c r="D1139" s="232" t="inlineStr">
        <is>
          <t>826092</t>
        </is>
      </c>
      <c r="E1139" s="232" t="inlineStr">
        <is>
          <t>PRORRATEO</t>
        </is>
      </c>
      <c r="F1139" s="232" t="inlineStr">
        <is>
          <t>El Molle</t>
        </is>
      </c>
      <c r="G1139" s="232" t="inlineStr">
        <is>
          <t>oronules 5,35 ha</t>
        </is>
      </c>
      <c r="H1139" s="232" t="inlineStr">
        <is>
          <t>Clementinas</t>
        </is>
      </c>
      <c r="I1139" s="232" t="inlineStr">
        <is>
          <t>Oronules</t>
        </is>
      </c>
      <c r="J1139" s="232" t="inlineStr">
        <is>
          <t>MANT. Y REP. CONSTRUCCIONES</t>
        </is>
      </c>
      <c r="K1139" s="232" t="inlineStr">
        <is>
          <t>MANTENCION INFRAESTRUCTURA</t>
        </is>
      </c>
      <c r="L1139" s="232" t="inlineStr">
        <is>
          <t>[PRORRATEO 3.6% 5.35há/148.3há] O/001278 BROCHA CON</t>
        </is>
      </c>
      <c r="M1139" s="232" t="inlineStr"/>
      <c r="N1139" s="232" t="inlineStr">
        <is>
          <t>.   .   -</t>
        </is>
      </c>
      <c r="O1139" s="232" t="inlineStr">
        <is>
          <t>ENERO</t>
        </is>
      </c>
      <c r="P1139" s="232" t="n">
        <v>3</v>
      </c>
      <c r="Q1139" s="234" t="n">
        <v>601</v>
      </c>
      <c r="R1139" s="232" t="inlineStr"/>
      <c r="S1139" s="234" t="n">
        <v>601</v>
      </c>
      <c r="T1139" s="232" t="inlineStr">
        <is>
          <t>CLP</t>
        </is>
      </c>
      <c r="U1139" s="232" t="inlineStr">
        <is>
          <t>Prorrateo Ha PACKING</t>
        </is>
      </c>
      <c r="V1139" s="232" t="inlineStr">
        <is>
          <t>2026-06-18</t>
        </is>
      </c>
    </row>
    <row r="1140">
      <c r="A1140" s="232" t="inlineStr">
        <is>
          <t>CR-1137</t>
        </is>
      </c>
      <c r="B1140" s="232" t="inlineStr">
        <is>
          <t>2026/27</t>
        </is>
      </c>
      <c r="C1140" s="233" t="n">
        <v>46043</v>
      </c>
      <c r="D1140" s="232" t="inlineStr">
        <is>
          <t>826092</t>
        </is>
      </c>
      <c r="E1140" s="232" t="inlineStr">
        <is>
          <t>PRORRATEO</t>
        </is>
      </c>
      <c r="F1140" s="232" t="inlineStr">
        <is>
          <t>Santa Catalina</t>
        </is>
      </c>
      <c r="G1140" s="232" t="inlineStr">
        <is>
          <t>Fino 49 7,7 ha</t>
        </is>
      </c>
      <c r="H1140" s="232" t="inlineStr">
        <is>
          <t>Limon</t>
        </is>
      </c>
      <c r="I1140" s="232" t="inlineStr">
        <is>
          <t>Fino 49</t>
        </is>
      </c>
      <c r="J1140" s="232" t="inlineStr">
        <is>
          <t>MANT. Y REP. CONSTRUCCIONES</t>
        </is>
      </c>
      <c r="K1140" s="232" t="inlineStr">
        <is>
          <t>MANTENCION INFRAESTRUCTURA</t>
        </is>
      </c>
      <c r="L1140" s="232" t="inlineStr">
        <is>
          <t>[PRORRATEO 5.2% 7.7há/148.3há] O/001278 BROCHA CON</t>
        </is>
      </c>
      <c r="M1140" s="232" t="inlineStr"/>
      <c r="N1140" s="232" t="inlineStr">
        <is>
          <t>.   .   -</t>
        </is>
      </c>
      <c r="O1140" s="232" t="inlineStr">
        <is>
          <t>ENERO</t>
        </is>
      </c>
      <c r="P1140" s="232" t="n">
        <v>3</v>
      </c>
      <c r="Q1140" s="234" t="n">
        <v>865</v>
      </c>
      <c r="R1140" s="232" t="inlineStr"/>
      <c r="S1140" s="234" t="n">
        <v>865</v>
      </c>
      <c r="T1140" s="232" t="inlineStr">
        <is>
          <t>CLP</t>
        </is>
      </c>
      <c r="U1140" s="232" t="inlineStr">
        <is>
          <t>Prorrateo Ha PACKING</t>
        </is>
      </c>
      <c r="V1140" s="232" t="inlineStr">
        <is>
          <t>2026-06-18</t>
        </is>
      </c>
    </row>
    <row r="1141">
      <c r="A1141" s="232" t="inlineStr">
        <is>
          <t>CR-1138</t>
        </is>
      </c>
      <c r="B1141" s="232" t="inlineStr">
        <is>
          <t>2026/27</t>
        </is>
      </c>
      <c r="C1141" s="233" t="n">
        <v>46043</v>
      </c>
      <c r="D1141" s="232" t="inlineStr">
        <is>
          <t>826092</t>
        </is>
      </c>
      <c r="E1141" s="232" t="inlineStr">
        <is>
          <t>PRORRATEO</t>
        </is>
      </c>
      <c r="F1141" s="232" t="inlineStr">
        <is>
          <t>Santa Catalina</t>
        </is>
      </c>
      <c r="G1141" s="232" t="inlineStr">
        <is>
          <t>W. murcott 21 ha</t>
        </is>
      </c>
      <c r="H1141" s="232" t="inlineStr">
        <is>
          <t>Mandarina</t>
        </is>
      </c>
      <c r="I1141" s="232" t="inlineStr">
        <is>
          <t>W. murcott</t>
        </is>
      </c>
      <c r="J1141" s="232" t="inlineStr">
        <is>
          <t>MANT. Y REP. CONSTRUCCIONES</t>
        </is>
      </c>
      <c r="K1141" s="232" t="inlineStr">
        <is>
          <t>MANTENCION INFRAESTRUCTURA</t>
        </is>
      </c>
      <c r="L1141" s="232" t="inlineStr">
        <is>
          <t>[PRORRATEO 14.2% 21.0há/148.3há] O/001278 BROCHA CON</t>
        </is>
      </c>
      <c r="M1141" s="232" t="inlineStr"/>
      <c r="N1141" s="232" t="inlineStr">
        <is>
          <t>.   .   -</t>
        </is>
      </c>
      <c r="O1141" s="232" t="inlineStr">
        <is>
          <t>ENERO</t>
        </is>
      </c>
      <c r="P1141" s="232" t="n">
        <v>3</v>
      </c>
      <c r="Q1141" s="234" t="n">
        <v>2358</v>
      </c>
      <c r="R1141" s="232" t="inlineStr"/>
      <c r="S1141" s="234" t="n">
        <v>2358</v>
      </c>
      <c r="T1141" s="232" t="inlineStr">
        <is>
          <t>CLP</t>
        </is>
      </c>
      <c r="U1141" s="232" t="inlineStr">
        <is>
          <t>Prorrateo Ha PACKING</t>
        </is>
      </c>
      <c r="V1141" s="232" t="inlineStr">
        <is>
          <t>2026-06-18</t>
        </is>
      </c>
    </row>
    <row r="1142">
      <c r="A1142" s="232" t="inlineStr">
        <is>
          <t>CR-1139</t>
        </is>
      </c>
      <c r="B1142" s="232" t="inlineStr">
        <is>
          <t>2026/27</t>
        </is>
      </c>
      <c r="C1142" s="233" t="n">
        <v>46043</v>
      </c>
      <c r="D1142" s="232" t="inlineStr">
        <is>
          <t>826092</t>
        </is>
      </c>
      <c r="E1142" s="232" t="inlineStr">
        <is>
          <t>PRORRATEO</t>
        </is>
      </c>
      <c r="F1142" s="232" t="inlineStr">
        <is>
          <t>Santa Catalina</t>
        </is>
      </c>
      <c r="G1142" s="232" t="inlineStr">
        <is>
          <t>cambria 4,2 ha</t>
        </is>
      </c>
      <c r="H1142" s="232" t="inlineStr">
        <is>
          <t>Naranjas</t>
        </is>
      </c>
      <c r="I1142" s="232" t="inlineStr">
        <is>
          <t>Cambria</t>
        </is>
      </c>
      <c r="J1142" s="232" t="inlineStr">
        <is>
          <t>MANT. Y REP. CONSTRUCCIONES</t>
        </is>
      </c>
      <c r="K1142" s="232" t="inlineStr">
        <is>
          <t>MANTENCION INFRAESTRUCTURA</t>
        </is>
      </c>
      <c r="L1142" s="232" t="inlineStr">
        <is>
          <t>[PRORRATEO 2.8% 4.2há/148.3há] O/001278 BROCHA CON</t>
        </is>
      </c>
      <c r="M1142" s="232" t="inlineStr"/>
      <c r="N1142" s="232" t="inlineStr">
        <is>
          <t>.   .   -</t>
        </is>
      </c>
      <c r="O1142" s="232" t="inlineStr">
        <is>
          <t>ENERO</t>
        </is>
      </c>
      <c r="P1142" s="232" t="n">
        <v>3</v>
      </c>
      <c r="Q1142" s="234" t="n">
        <v>472</v>
      </c>
      <c r="R1142" s="232" t="inlineStr"/>
      <c r="S1142" s="234" t="n">
        <v>472</v>
      </c>
      <c r="T1142" s="232" t="inlineStr">
        <is>
          <t>CLP</t>
        </is>
      </c>
      <c r="U1142" s="232" t="inlineStr">
        <is>
          <t>Prorrateo Ha PACKING</t>
        </is>
      </c>
      <c r="V1142" s="232" t="inlineStr">
        <is>
          <t>2026-06-18</t>
        </is>
      </c>
    </row>
    <row r="1143">
      <c r="A1143" s="232" t="inlineStr">
        <is>
          <t>CR-1140</t>
        </is>
      </c>
      <c r="B1143" s="232" t="inlineStr">
        <is>
          <t>2026/27</t>
        </is>
      </c>
      <c r="C1143" s="233" t="n">
        <v>46043</v>
      </c>
      <c r="D1143" s="232" t="inlineStr">
        <is>
          <t>826092</t>
        </is>
      </c>
      <c r="E1143" s="232" t="inlineStr">
        <is>
          <t>PRORRATEO</t>
        </is>
      </c>
      <c r="F1143" s="232" t="inlineStr">
        <is>
          <t>Santa Catalina</t>
        </is>
      </c>
      <c r="G1143" s="232" t="inlineStr">
        <is>
          <t>eureka 10,6 ha</t>
        </is>
      </c>
      <c r="H1143" s="232" t="inlineStr">
        <is>
          <t>Limon</t>
        </is>
      </c>
      <c r="I1143" s="232" t="inlineStr">
        <is>
          <t>Eureka</t>
        </is>
      </c>
      <c r="J1143" s="232" t="inlineStr">
        <is>
          <t>MANT. Y REP. CONSTRUCCIONES</t>
        </is>
      </c>
      <c r="K1143" s="232" t="inlineStr">
        <is>
          <t>MANTENCION INFRAESTRUCTURA</t>
        </is>
      </c>
      <c r="L1143" s="232" t="inlineStr">
        <is>
          <t>[PRORRATEO 7.1% 10.6há/148.3há] O/001278 BROCHA CON</t>
        </is>
      </c>
      <c r="M1143" s="232" t="inlineStr"/>
      <c r="N1143" s="232" t="inlineStr">
        <is>
          <t>.   .   -</t>
        </is>
      </c>
      <c r="O1143" s="232" t="inlineStr">
        <is>
          <t>ENERO</t>
        </is>
      </c>
      <c r="P1143" s="232" t="n">
        <v>3</v>
      </c>
      <c r="Q1143" s="234" t="n">
        <v>1190</v>
      </c>
      <c r="R1143" s="232" t="inlineStr"/>
      <c r="S1143" s="234" t="n">
        <v>1190</v>
      </c>
      <c r="T1143" s="232" t="inlineStr">
        <is>
          <t>CLP</t>
        </is>
      </c>
      <c r="U1143" s="232" t="inlineStr">
        <is>
          <t>Prorrateo Ha PACKING</t>
        </is>
      </c>
      <c r="V1143" s="232" t="inlineStr">
        <is>
          <t>2026-06-18</t>
        </is>
      </c>
    </row>
    <row r="1144">
      <c r="A1144" s="232" t="inlineStr">
        <is>
          <t>CR-1141</t>
        </is>
      </c>
      <c r="B1144" s="232" t="inlineStr">
        <is>
          <t>2026/27</t>
        </is>
      </c>
      <c r="C1144" s="233" t="n">
        <v>46043</v>
      </c>
      <c r="D1144" s="232" t="inlineStr">
        <is>
          <t>826092</t>
        </is>
      </c>
      <c r="E1144" s="232" t="inlineStr">
        <is>
          <t>PRORRATEO</t>
        </is>
      </c>
      <c r="F1144" s="232" t="inlineStr">
        <is>
          <t>Santa Catalina</t>
        </is>
      </c>
      <c r="G1144" s="232" t="inlineStr">
        <is>
          <t>eureka 14,4 ha</t>
        </is>
      </c>
      <c r="H1144" s="232" t="inlineStr">
        <is>
          <t>Limon</t>
        </is>
      </c>
      <c r="I1144" s="232" t="inlineStr">
        <is>
          <t>Eureka</t>
        </is>
      </c>
      <c r="J1144" s="232" t="inlineStr">
        <is>
          <t>MANT. Y REP. CONSTRUCCIONES</t>
        </is>
      </c>
      <c r="K1144" s="232" t="inlineStr">
        <is>
          <t>MANTENCION INFRAESTRUCTURA</t>
        </is>
      </c>
      <c r="L1144" s="232" t="inlineStr">
        <is>
          <t>[PRORRATEO 9.7% 14.4há/148.3há] O/001278 BROCHA CON</t>
        </is>
      </c>
      <c r="M1144" s="232" t="inlineStr"/>
      <c r="N1144" s="232" t="inlineStr">
        <is>
          <t>.   .   -</t>
        </is>
      </c>
      <c r="O1144" s="232" t="inlineStr">
        <is>
          <t>ENERO</t>
        </is>
      </c>
      <c r="P1144" s="232" t="n">
        <v>3</v>
      </c>
      <c r="Q1144" s="234" t="n">
        <v>1617</v>
      </c>
      <c r="R1144" s="232" t="inlineStr"/>
      <c r="S1144" s="234" t="n">
        <v>1617</v>
      </c>
      <c r="T1144" s="232" t="inlineStr">
        <is>
          <t>CLP</t>
        </is>
      </c>
      <c r="U1144" s="232" t="inlineStr">
        <is>
          <t>Prorrateo Ha PACKING</t>
        </is>
      </c>
      <c r="V1144" s="232" t="inlineStr">
        <is>
          <t>2026-06-18</t>
        </is>
      </c>
    </row>
    <row r="1145">
      <c r="A1145" s="232" t="inlineStr">
        <is>
          <t>CR-1142</t>
        </is>
      </c>
      <c r="B1145" s="232" t="inlineStr">
        <is>
          <t>2026/27</t>
        </is>
      </c>
      <c r="C1145" s="233" t="n">
        <v>46043</v>
      </c>
      <c r="D1145" s="232" t="inlineStr">
        <is>
          <t>826092</t>
        </is>
      </c>
      <c r="E1145" s="232" t="inlineStr">
        <is>
          <t>PRORRATEO</t>
        </is>
      </c>
      <c r="F1145" s="232" t="inlineStr">
        <is>
          <t>Santa Catalina</t>
        </is>
      </c>
      <c r="G1145" s="232" t="inlineStr">
        <is>
          <t>eureka 22,55</t>
        </is>
      </c>
      <c r="H1145" s="232" t="inlineStr">
        <is>
          <t>Limon</t>
        </is>
      </c>
      <c r="I1145" s="232" t="inlineStr">
        <is>
          <t>Eureka</t>
        </is>
      </c>
      <c r="J1145" s="232" t="inlineStr">
        <is>
          <t>MANT. Y REP. CONSTRUCCIONES</t>
        </is>
      </c>
      <c r="K1145" s="232" t="inlineStr">
        <is>
          <t>MANTENCION INFRAESTRUCTURA</t>
        </is>
      </c>
      <c r="L1145" s="232" t="inlineStr">
        <is>
          <t>[PRORRATEO 15.2% 22.55há/148.3há] O/001278 BROCHA CON</t>
        </is>
      </c>
      <c r="M1145" s="232" t="inlineStr"/>
      <c r="N1145" s="232" t="inlineStr">
        <is>
          <t>.   .   -</t>
        </is>
      </c>
      <c r="O1145" s="232" t="inlineStr">
        <is>
          <t>ENERO</t>
        </is>
      </c>
      <c r="P1145" s="232" t="n">
        <v>3</v>
      </c>
      <c r="Q1145" s="234" t="n">
        <v>2532</v>
      </c>
      <c r="R1145" s="232" t="inlineStr"/>
      <c r="S1145" s="234" t="n">
        <v>2532</v>
      </c>
      <c r="T1145" s="232" t="inlineStr">
        <is>
          <t>CLP</t>
        </is>
      </c>
      <c r="U1145" s="232" t="inlineStr">
        <is>
          <t>Prorrateo Ha PACKING</t>
        </is>
      </c>
      <c r="V1145" s="232" t="inlineStr">
        <is>
          <t>2026-06-18</t>
        </is>
      </c>
    </row>
    <row r="1146">
      <c r="A1146" s="232" t="inlineStr">
        <is>
          <t>CR-1143</t>
        </is>
      </c>
      <c r="B1146" s="232" t="inlineStr">
        <is>
          <t>2026/27</t>
        </is>
      </c>
      <c r="C1146" s="233" t="n">
        <v>46043</v>
      </c>
      <c r="D1146" s="232" t="inlineStr">
        <is>
          <t>826092</t>
        </is>
      </c>
      <c r="E1146" s="232" t="inlineStr">
        <is>
          <t>PRORRATEO</t>
        </is>
      </c>
      <c r="F1146" s="232" t="inlineStr">
        <is>
          <t>Santa Catalina</t>
        </is>
      </c>
      <c r="G1146" s="232" t="inlineStr">
        <is>
          <t>form benjamin 1,93 ha</t>
        </is>
      </c>
      <c r="H1146" s="232" t="inlineStr">
        <is>
          <t>Limon</t>
        </is>
      </c>
      <c r="I1146" s="232" t="inlineStr">
        <is>
          <t>Benjamin andes</t>
        </is>
      </c>
      <c r="J1146" s="232" t="inlineStr">
        <is>
          <t>MANT. Y REP. CONSTRUCCIONES</t>
        </is>
      </c>
      <c r="K1146" s="232" t="inlineStr">
        <is>
          <t>MANTENCION INFRAESTRUCTURA</t>
        </is>
      </c>
      <c r="L1146" s="232" t="inlineStr">
        <is>
          <t>[PRORRATEO 1.3% 1.93há/148.3há] O/001278 BROCHA CON</t>
        </is>
      </c>
      <c r="M1146" s="232" t="inlineStr"/>
      <c r="N1146" s="232" t="inlineStr">
        <is>
          <t>.   .   -</t>
        </is>
      </c>
      <c r="O1146" s="232" t="inlineStr">
        <is>
          <t>ENERO</t>
        </is>
      </c>
      <c r="P1146" s="232" t="n">
        <v>3</v>
      </c>
      <c r="Q1146" s="234" t="n">
        <v>217</v>
      </c>
      <c r="R1146" s="232" t="inlineStr"/>
      <c r="S1146" s="234" t="n">
        <v>217</v>
      </c>
      <c r="T1146" s="232" t="inlineStr">
        <is>
          <t>CLP</t>
        </is>
      </c>
      <c r="U1146" s="232" t="inlineStr">
        <is>
          <t>Prorrateo Ha PACKING</t>
        </is>
      </c>
      <c r="V1146" s="232" t="inlineStr">
        <is>
          <t>2026-06-18</t>
        </is>
      </c>
    </row>
    <row r="1147">
      <c r="A1147" s="232" t="inlineStr">
        <is>
          <t>CR-1144</t>
        </is>
      </c>
      <c r="B1147" s="232" t="inlineStr">
        <is>
          <t>2026/27</t>
        </is>
      </c>
      <c r="C1147" s="233" t="n">
        <v>46043</v>
      </c>
      <c r="D1147" s="232" t="inlineStr">
        <is>
          <t>826092</t>
        </is>
      </c>
      <c r="E1147" s="232" t="inlineStr">
        <is>
          <t>PRORRATEO</t>
        </is>
      </c>
      <c r="F1147" s="232" t="inlineStr">
        <is>
          <t>Santa Catalina</t>
        </is>
      </c>
      <c r="G1147" s="232" t="inlineStr">
        <is>
          <t>mant eureka 2,5 ha</t>
        </is>
      </c>
      <c r="H1147" s="232" t="inlineStr">
        <is>
          <t>Limon</t>
        </is>
      </c>
      <c r="I1147" s="232" t="inlineStr">
        <is>
          <t>Eureka</t>
        </is>
      </c>
      <c r="J1147" s="232" t="inlineStr">
        <is>
          <t>MANT. Y REP. CONSTRUCCIONES</t>
        </is>
      </c>
      <c r="K1147" s="232" t="inlineStr">
        <is>
          <t>MANTENCION INFRAESTRUCTURA</t>
        </is>
      </c>
      <c r="L1147" s="232" t="inlineStr">
        <is>
          <t>[PRORRATEO 1.7% 2.5há/148.3há] O/001278 BROCHA CON</t>
        </is>
      </c>
      <c r="M1147" s="232" t="inlineStr"/>
      <c r="N1147" s="232" t="inlineStr">
        <is>
          <t>.   .   -</t>
        </is>
      </c>
      <c r="O1147" s="232" t="inlineStr">
        <is>
          <t>ENERO</t>
        </is>
      </c>
      <c r="P1147" s="232" t="n">
        <v>3</v>
      </c>
      <c r="Q1147" s="234" t="n">
        <v>281</v>
      </c>
      <c r="R1147" s="232" t="inlineStr"/>
      <c r="S1147" s="234" t="n">
        <v>281</v>
      </c>
      <c r="T1147" s="232" t="inlineStr">
        <is>
          <t>CLP</t>
        </is>
      </c>
      <c r="U1147" s="232" t="inlineStr">
        <is>
          <t>Prorrateo Ha PACKING</t>
        </is>
      </c>
      <c r="V1147" s="232" t="inlineStr">
        <is>
          <t>2026-06-18</t>
        </is>
      </c>
    </row>
    <row r="1148">
      <c r="A1148" s="232" t="inlineStr">
        <is>
          <t>CR-1145</t>
        </is>
      </c>
      <c r="B1148" s="232" t="inlineStr">
        <is>
          <t>2026/27</t>
        </is>
      </c>
      <c r="C1148" s="233" t="n">
        <v>46043</v>
      </c>
      <c r="D1148" s="232" t="inlineStr">
        <is>
          <t>826092</t>
        </is>
      </c>
      <c r="E1148" s="232" t="inlineStr">
        <is>
          <t>PRORRATEO</t>
        </is>
      </c>
      <c r="F1148" s="232" t="inlineStr">
        <is>
          <t>Siberia</t>
        </is>
      </c>
      <c r="G1148" s="232" t="inlineStr">
        <is>
          <t>S. Celebration 7,14</t>
        </is>
      </c>
      <c r="H1148" s="232" t="inlineStr">
        <is>
          <t>Uvas</t>
        </is>
      </c>
      <c r="I1148" s="232" t="inlineStr">
        <is>
          <t>S. celebration</t>
        </is>
      </c>
      <c r="J1148" s="232" t="inlineStr">
        <is>
          <t>MANT. Y REP. CONSTRUCCIONES</t>
        </is>
      </c>
      <c r="K1148" s="232" t="inlineStr">
        <is>
          <t>MANTENCION INFRAESTRUCTURA</t>
        </is>
      </c>
      <c r="L1148" s="232" t="inlineStr">
        <is>
          <t>[PRORRATEO 4.8% 7.14há/148.3há] O/001278 BROCHA CON</t>
        </is>
      </c>
      <c r="M1148" s="232" t="inlineStr"/>
      <c r="N1148" s="232" t="inlineStr">
        <is>
          <t>.   .   -</t>
        </is>
      </c>
      <c r="O1148" s="232" t="inlineStr">
        <is>
          <t>ENERO</t>
        </is>
      </c>
      <c r="P1148" s="232" t="n">
        <v>3</v>
      </c>
      <c r="Q1148" s="234" t="n">
        <v>802</v>
      </c>
      <c r="R1148" s="232" t="inlineStr"/>
      <c r="S1148" s="234" t="n">
        <v>802</v>
      </c>
      <c r="T1148" s="232" t="inlineStr">
        <is>
          <t>CLP</t>
        </is>
      </c>
      <c r="U1148" s="232" t="inlineStr">
        <is>
          <t>Prorrateo Ha PACKING</t>
        </is>
      </c>
      <c r="V1148" s="232" t="inlineStr">
        <is>
          <t>2026-06-18</t>
        </is>
      </c>
    </row>
    <row r="1149">
      <c r="A1149" s="232" t="inlineStr">
        <is>
          <t>CR-1146</t>
        </is>
      </c>
      <c r="B1149" s="232" t="inlineStr">
        <is>
          <t>2026/27</t>
        </is>
      </c>
      <c r="C1149" s="233" t="n">
        <v>46043</v>
      </c>
      <c r="D1149" s="232" t="inlineStr">
        <is>
          <t>826092</t>
        </is>
      </c>
      <c r="E1149" s="232" t="inlineStr">
        <is>
          <t>PRORRATEO</t>
        </is>
      </c>
      <c r="F1149" s="232" t="inlineStr">
        <is>
          <t>Siberia</t>
        </is>
      </c>
      <c r="G1149" s="232" t="inlineStr">
        <is>
          <t>Timpson 7,1</t>
        </is>
      </c>
      <c r="H1149" s="232" t="inlineStr">
        <is>
          <t>Uvas</t>
        </is>
      </c>
      <c r="I1149" s="232" t="inlineStr">
        <is>
          <t>Timpson</t>
        </is>
      </c>
      <c r="J1149" s="232" t="inlineStr">
        <is>
          <t>MANT. Y REP. CONSTRUCCIONES</t>
        </is>
      </c>
      <c r="K1149" s="232" t="inlineStr">
        <is>
          <t>MANTENCION INFRAESTRUCTURA</t>
        </is>
      </c>
      <c r="L1149" s="232" t="inlineStr">
        <is>
          <t>[PRORRATEO 4.8% 7.1há/148.3há] O/001278 BROCHA CON</t>
        </is>
      </c>
      <c r="M1149" s="232" t="inlineStr"/>
      <c r="N1149" s="232" t="inlineStr">
        <is>
          <t>.   .   -</t>
        </is>
      </c>
      <c r="O1149" s="232" t="inlineStr">
        <is>
          <t>ENERO</t>
        </is>
      </c>
      <c r="P1149" s="232" t="n">
        <v>3</v>
      </c>
      <c r="Q1149" s="234" t="n">
        <v>797</v>
      </c>
      <c r="R1149" s="232" t="inlineStr"/>
      <c r="S1149" s="234" t="n">
        <v>797</v>
      </c>
      <c r="T1149" s="232" t="inlineStr">
        <is>
          <t>CLP</t>
        </is>
      </c>
      <c r="U1149" s="232" t="inlineStr">
        <is>
          <t>Prorrateo Ha PACKING</t>
        </is>
      </c>
      <c r="V1149" s="232" t="inlineStr">
        <is>
          <t>2026-06-18</t>
        </is>
      </c>
    </row>
    <row r="1150">
      <c r="A1150" s="232" t="inlineStr">
        <is>
          <t>CR-1147</t>
        </is>
      </c>
      <c r="B1150" s="232" t="inlineStr">
        <is>
          <t>2026/27</t>
        </is>
      </c>
      <c r="C1150" s="233" t="n">
        <v>46043</v>
      </c>
      <c r="D1150" s="232" t="inlineStr">
        <is>
          <t>826092</t>
        </is>
      </c>
      <c r="E1150" s="232" t="inlineStr">
        <is>
          <t>PRORRATEO</t>
        </is>
      </c>
      <c r="F1150" s="232" t="inlineStr">
        <is>
          <t>Asmara</t>
        </is>
      </c>
      <c r="G1150" s="232" t="inlineStr">
        <is>
          <t>w. murcott 19,8 ha</t>
        </is>
      </c>
      <c r="H1150" s="232" t="inlineStr">
        <is>
          <t>Mandarina</t>
        </is>
      </c>
      <c r="I1150" s="232" t="inlineStr">
        <is>
          <t>W. murcott</t>
        </is>
      </c>
      <c r="J1150" s="232" t="inlineStr">
        <is>
          <t>MANT. Y REP. CONSTRUCCIONES</t>
        </is>
      </c>
      <c r="K1150" s="232" t="inlineStr">
        <is>
          <t>MANTENCION INFRAESTRUCTURA</t>
        </is>
      </c>
      <c r="L1150" s="232" t="inlineStr">
        <is>
          <t>[PRORRATEO 13.4% 19.8há/148.3há] O/001278 DILUYENTE</t>
        </is>
      </c>
      <c r="M1150" s="232" t="inlineStr"/>
      <c r="N1150" s="232" t="inlineStr">
        <is>
          <t>.   .   -</t>
        </is>
      </c>
      <c r="O1150" s="232" t="inlineStr">
        <is>
          <t>ENERO</t>
        </is>
      </c>
      <c r="P1150" s="232" t="n">
        <v>3</v>
      </c>
      <c r="Q1150" s="234" t="n">
        <v>1378</v>
      </c>
      <c r="R1150" s="232" t="inlineStr"/>
      <c r="S1150" s="234" t="n">
        <v>1378</v>
      </c>
      <c r="T1150" s="232" t="inlineStr">
        <is>
          <t>CLP</t>
        </is>
      </c>
      <c r="U1150" s="232" t="inlineStr">
        <is>
          <t>Prorrateo Ha PACKING</t>
        </is>
      </c>
      <c r="V1150" s="232" t="inlineStr">
        <is>
          <t>2026-06-18</t>
        </is>
      </c>
    </row>
    <row r="1151">
      <c r="A1151" s="232" t="inlineStr">
        <is>
          <t>CR-1148</t>
        </is>
      </c>
      <c r="B1151" s="232" t="inlineStr">
        <is>
          <t>2026/27</t>
        </is>
      </c>
      <c r="C1151" s="233" t="n">
        <v>46043</v>
      </c>
      <c r="D1151" s="232" t="inlineStr">
        <is>
          <t>826092</t>
        </is>
      </c>
      <c r="E1151" s="232" t="inlineStr">
        <is>
          <t>PRORRATEO</t>
        </is>
      </c>
      <c r="F1151" s="232" t="inlineStr">
        <is>
          <t>Asmara</t>
        </is>
      </c>
      <c r="G1151" s="232" t="inlineStr">
        <is>
          <t>w. murcott 4,9 ha</t>
        </is>
      </c>
      <c r="H1151" s="232" t="inlineStr">
        <is>
          <t>Mandarina</t>
        </is>
      </c>
      <c r="I1151" s="232" t="inlineStr">
        <is>
          <t>W. murcott</t>
        </is>
      </c>
      <c r="J1151" s="232" t="inlineStr">
        <is>
          <t>MANT. Y REP. CONSTRUCCIONES</t>
        </is>
      </c>
      <c r="K1151" s="232" t="inlineStr">
        <is>
          <t>MANTENCION INFRAESTRUCTURA</t>
        </is>
      </c>
      <c r="L1151" s="232" t="inlineStr">
        <is>
          <t>[PRORRATEO 3.3% 4.9há/148.3há] O/001278 DILUYENTE</t>
        </is>
      </c>
      <c r="M1151" s="232" t="inlineStr"/>
      <c r="N1151" s="232" t="inlineStr">
        <is>
          <t>.   .   -</t>
        </is>
      </c>
      <c r="O1151" s="232" t="inlineStr">
        <is>
          <t>ENERO</t>
        </is>
      </c>
      <c r="P1151" s="232" t="n">
        <v>3</v>
      </c>
      <c r="Q1151" s="234" t="n">
        <v>341</v>
      </c>
      <c r="R1151" s="232" t="inlineStr"/>
      <c r="S1151" s="234" t="n">
        <v>341</v>
      </c>
      <c r="T1151" s="232" t="inlineStr">
        <is>
          <t>CLP</t>
        </is>
      </c>
      <c r="U1151" s="232" t="inlineStr">
        <is>
          <t>Prorrateo Ha PACKING</t>
        </is>
      </c>
      <c r="V1151" s="232" t="inlineStr">
        <is>
          <t>2026-06-18</t>
        </is>
      </c>
    </row>
    <row r="1152">
      <c r="A1152" s="232" t="inlineStr">
        <is>
          <t>CR-1149</t>
        </is>
      </c>
      <c r="B1152" s="232" t="inlineStr">
        <is>
          <t>2026/27</t>
        </is>
      </c>
      <c r="C1152" s="233" t="n">
        <v>46043</v>
      </c>
      <c r="D1152" s="232" t="inlineStr">
        <is>
          <t>826092</t>
        </is>
      </c>
      <c r="E1152" s="232" t="inlineStr">
        <is>
          <t>PRORRATEO</t>
        </is>
      </c>
      <c r="F1152" s="232" t="inlineStr">
        <is>
          <t>El Molle</t>
        </is>
      </c>
      <c r="G1152" s="232" t="inlineStr">
        <is>
          <t>Wonderful 5,25 ha</t>
        </is>
      </c>
      <c r="H1152" s="232" t="inlineStr">
        <is>
          <t>Granados</t>
        </is>
      </c>
      <c r="I1152" s="232" t="inlineStr">
        <is>
          <t>Wonderfull</t>
        </is>
      </c>
      <c r="J1152" s="232" t="inlineStr">
        <is>
          <t>MANT. Y REP. CONSTRUCCIONES</t>
        </is>
      </c>
      <c r="K1152" s="232" t="inlineStr">
        <is>
          <t>MANTENCION INFRAESTRUCTURA</t>
        </is>
      </c>
      <c r="L1152" s="232" t="inlineStr">
        <is>
          <t>[PRORRATEO 3.5% 5.24há/148.3há] O/001278 DILUYENTE</t>
        </is>
      </c>
      <c r="M1152" s="232" t="inlineStr"/>
      <c r="N1152" s="232" t="inlineStr">
        <is>
          <t>.   .   -</t>
        </is>
      </c>
      <c r="O1152" s="232" t="inlineStr">
        <is>
          <t>ENERO</t>
        </is>
      </c>
      <c r="P1152" s="232" t="n">
        <v>3</v>
      </c>
      <c r="Q1152" s="234" t="n">
        <v>365</v>
      </c>
      <c r="R1152" s="232" t="inlineStr"/>
      <c r="S1152" s="234" t="n">
        <v>365</v>
      </c>
      <c r="T1152" s="232" t="inlineStr">
        <is>
          <t>CLP</t>
        </is>
      </c>
      <c r="U1152" s="232" t="inlineStr">
        <is>
          <t>Prorrateo Ha PACKING</t>
        </is>
      </c>
      <c r="V1152" s="232" t="inlineStr">
        <is>
          <t>2026-06-18</t>
        </is>
      </c>
    </row>
    <row r="1153">
      <c r="A1153" s="232" t="inlineStr">
        <is>
          <t>CR-1150</t>
        </is>
      </c>
      <c r="B1153" s="232" t="inlineStr">
        <is>
          <t>2026/27</t>
        </is>
      </c>
      <c r="C1153" s="233" t="n">
        <v>46043</v>
      </c>
      <c r="D1153" s="232" t="inlineStr">
        <is>
          <t>826092</t>
        </is>
      </c>
      <c r="E1153" s="232" t="inlineStr">
        <is>
          <t>PRORRATEO</t>
        </is>
      </c>
      <c r="F1153" s="232" t="inlineStr">
        <is>
          <t>El Molle</t>
        </is>
      </c>
      <c r="G1153" s="232" t="inlineStr">
        <is>
          <t>arrufatinas 5,74 ha</t>
        </is>
      </c>
      <c r="H1153" s="232" t="inlineStr">
        <is>
          <t>Clementinas</t>
        </is>
      </c>
      <c r="I1153" s="232" t="inlineStr">
        <is>
          <t>Arrufatinas</t>
        </is>
      </c>
      <c r="J1153" s="232" t="inlineStr">
        <is>
          <t>MANT. Y REP. CONSTRUCCIONES</t>
        </is>
      </c>
      <c r="K1153" s="232" t="inlineStr">
        <is>
          <t>MANTENCION INFRAESTRUCTURA</t>
        </is>
      </c>
      <c r="L1153" s="232" t="inlineStr">
        <is>
          <t>[PRORRATEO 3.9% 5.74há/148.3há] O/001278 DILUYENTE</t>
        </is>
      </c>
      <c r="M1153" s="232" t="inlineStr"/>
      <c r="N1153" s="232" t="inlineStr">
        <is>
          <t>.   .   -</t>
        </is>
      </c>
      <c r="O1153" s="232" t="inlineStr">
        <is>
          <t>ENERO</t>
        </is>
      </c>
      <c r="P1153" s="232" t="n">
        <v>3</v>
      </c>
      <c r="Q1153" s="234" t="n">
        <v>399</v>
      </c>
      <c r="R1153" s="232" t="inlineStr"/>
      <c r="S1153" s="234" t="n">
        <v>399</v>
      </c>
      <c r="T1153" s="232" t="inlineStr">
        <is>
          <t>CLP</t>
        </is>
      </c>
      <c r="U1153" s="232" t="inlineStr">
        <is>
          <t>Prorrateo Ha PACKING</t>
        </is>
      </c>
      <c r="V1153" s="232" t="inlineStr">
        <is>
          <t>2026-06-18</t>
        </is>
      </c>
    </row>
    <row r="1154">
      <c r="A1154" s="232" t="inlineStr">
        <is>
          <t>CR-1151</t>
        </is>
      </c>
      <c r="B1154" s="232" t="inlineStr">
        <is>
          <t>2026/27</t>
        </is>
      </c>
      <c r="C1154" s="233" t="n">
        <v>46043</v>
      </c>
      <c r="D1154" s="232" t="inlineStr">
        <is>
          <t>826092</t>
        </is>
      </c>
      <c r="E1154" s="232" t="inlineStr">
        <is>
          <t>PRORRATEO</t>
        </is>
      </c>
      <c r="F1154" s="232" t="inlineStr">
        <is>
          <t>El Molle</t>
        </is>
      </c>
      <c r="G1154" s="232" t="inlineStr">
        <is>
          <t>orogrande 8,11 ha</t>
        </is>
      </c>
      <c r="H1154" s="232" t="inlineStr">
        <is>
          <t>Clementinas</t>
        </is>
      </c>
      <c r="I1154" s="232" t="inlineStr">
        <is>
          <t>Orogrande</t>
        </is>
      </c>
      <c r="J1154" s="232" t="inlineStr">
        <is>
          <t>MANT. Y REP. CONSTRUCCIONES</t>
        </is>
      </c>
      <c r="K1154" s="232" t="inlineStr">
        <is>
          <t>MANTENCION INFRAESTRUCTURA</t>
        </is>
      </c>
      <c r="L1154" s="232" t="inlineStr">
        <is>
          <t>[PRORRATEO 5.5% 8.11há/148.3há] O/001278 DILUYENTE</t>
        </is>
      </c>
      <c r="M1154" s="232" t="inlineStr"/>
      <c r="N1154" s="232" t="inlineStr">
        <is>
          <t>.   .   -</t>
        </is>
      </c>
      <c r="O1154" s="232" t="inlineStr">
        <is>
          <t>ENERO</t>
        </is>
      </c>
      <c r="P1154" s="232" t="n">
        <v>3</v>
      </c>
      <c r="Q1154" s="234" t="n">
        <v>564</v>
      </c>
      <c r="R1154" s="232" t="inlineStr"/>
      <c r="S1154" s="234" t="n">
        <v>564</v>
      </c>
      <c r="T1154" s="232" t="inlineStr">
        <is>
          <t>CLP</t>
        </is>
      </c>
      <c r="U1154" s="232" t="inlineStr">
        <is>
          <t>Prorrateo Ha PACKING</t>
        </is>
      </c>
      <c r="V1154" s="232" t="inlineStr">
        <is>
          <t>2026-06-18</t>
        </is>
      </c>
    </row>
    <row r="1155">
      <c r="A1155" s="232" t="inlineStr">
        <is>
          <t>CR-1152</t>
        </is>
      </c>
      <c r="B1155" s="232" t="inlineStr">
        <is>
          <t>2026/27</t>
        </is>
      </c>
      <c r="C1155" s="233" t="n">
        <v>46043</v>
      </c>
      <c r="D1155" s="232" t="inlineStr">
        <is>
          <t>826092</t>
        </is>
      </c>
      <c r="E1155" s="232" t="inlineStr">
        <is>
          <t>PRORRATEO</t>
        </is>
      </c>
      <c r="F1155" s="232" t="inlineStr">
        <is>
          <t>El Molle</t>
        </is>
      </c>
      <c r="G1155" s="232" t="inlineStr">
        <is>
          <t>oronules 5,35 ha</t>
        </is>
      </c>
      <c r="H1155" s="232" t="inlineStr">
        <is>
          <t>Clementinas</t>
        </is>
      </c>
      <c r="I1155" s="232" t="inlineStr">
        <is>
          <t>Oronules</t>
        </is>
      </c>
      <c r="J1155" s="232" t="inlineStr">
        <is>
          <t>MANT. Y REP. CONSTRUCCIONES</t>
        </is>
      </c>
      <c r="K1155" s="232" t="inlineStr">
        <is>
          <t>MANTENCION INFRAESTRUCTURA</t>
        </is>
      </c>
      <c r="L1155" s="232" t="inlineStr">
        <is>
          <t>[PRORRATEO 3.6% 5.35há/148.3há] O/001278 DILUYENTE</t>
        </is>
      </c>
      <c r="M1155" s="232" t="inlineStr"/>
      <c r="N1155" s="232" t="inlineStr">
        <is>
          <t>.   .   -</t>
        </is>
      </c>
      <c r="O1155" s="232" t="inlineStr">
        <is>
          <t>ENERO</t>
        </is>
      </c>
      <c r="P1155" s="232" t="n">
        <v>3</v>
      </c>
      <c r="Q1155" s="234" t="n">
        <v>372</v>
      </c>
      <c r="R1155" s="232" t="inlineStr"/>
      <c r="S1155" s="234" t="n">
        <v>372</v>
      </c>
      <c r="T1155" s="232" t="inlineStr">
        <is>
          <t>CLP</t>
        </is>
      </c>
      <c r="U1155" s="232" t="inlineStr">
        <is>
          <t>Prorrateo Ha PACKING</t>
        </is>
      </c>
      <c r="V1155" s="232" t="inlineStr">
        <is>
          <t>2026-06-18</t>
        </is>
      </c>
    </row>
    <row r="1156">
      <c r="A1156" s="232" t="inlineStr">
        <is>
          <t>CR-1153</t>
        </is>
      </c>
      <c r="B1156" s="232" t="inlineStr">
        <is>
          <t>2026/27</t>
        </is>
      </c>
      <c r="C1156" s="233" t="n">
        <v>46043</v>
      </c>
      <c r="D1156" s="232" t="inlineStr">
        <is>
          <t>826092</t>
        </is>
      </c>
      <c r="E1156" s="232" t="inlineStr">
        <is>
          <t>PRORRATEO</t>
        </is>
      </c>
      <c r="F1156" s="232" t="inlineStr">
        <is>
          <t>Santa Catalina</t>
        </is>
      </c>
      <c r="G1156" s="232" t="inlineStr">
        <is>
          <t>Fino 49 7,7 ha</t>
        </is>
      </c>
      <c r="H1156" s="232" t="inlineStr">
        <is>
          <t>Limon</t>
        </is>
      </c>
      <c r="I1156" s="232" t="inlineStr">
        <is>
          <t>Fino 49</t>
        </is>
      </c>
      <c r="J1156" s="232" t="inlineStr">
        <is>
          <t>MANT. Y REP. CONSTRUCCIONES</t>
        </is>
      </c>
      <c r="K1156" s="232" t="inlineStr">
        <is>
          <t>MANTENCION INFRAESTRUCTURA</t>
        </is>
      </c>
      <c r="L1156" s="232" t="inlineStr">
        <is>
          <t>[PRORRATEO 5.2% 7.7há/148.3há] O/001278 DILUYENTE</t>
        </is>
      </c>
      <c r="M1156" s="232" t="inlineStr"/>
      <c r="N1156" s="232" t="inlineStr">
        <is>
          <t>.   .   -</t>
        </is>
      </c>
      <c r="O1156" s="232" t="inlineStr">
        <is>
          <t>ENERO</t>
        </is>
      </c>
      <c r="P1156" s="232" t="n">
        <v>3</v>
      </c>
      <c r="Q1156" s="234" t="n">
        <v>536</v>
      </c>
      <c r="R1156" s="232" t="inlineStr"/>
      <c r="S1156" s="234" t="n">
        <v>536</v>
      </c>
      <c r="T1156" s="232" t="inlineStr">
        <is>
          <t>CLP</t>
        </is>
      </c>
      <c r="U1156" s="232" t="inlineStr">
        <is>
          <t>Prorrateo Ha PACKING</t>
        </is>
      </c>
      <c r="V1156" s="232" t="inlineStr">
        <is>
          <t>2026-06-18</t>
        </is>
      </c>
    </row>
    <row r="1157">
      <c r="A1157" s="232" t="inlineStr">
        <is>
          <t>CR-1154</t>
        </is>
      </c>
      <c r="B1157" s="232" t="inlineStr">
        <is>
          <t>2026/27</t>
        </is>
      </c>
      <c r="C1157" s="233" t="n">
        <v>46043</v>
      </c>
      <c r="D1157" s="232" t="inlineStr">
        <is>
          <t>826092</t>
        </is>
      </c>
      <c r="E1157" s="232" t="inlineStr">
        <is>
          <t>PRORRATEO</t>
        </is>
      </c>
      <c r="F1157" s="232" t="inlineStr">
        <is>
          <t>Santa Catalina</t>
        </is>
      </c>
      <c r="G1157" s="232" t="inlineStr">
        <is>
          <t>W. murcott 21 ha</t>
        </is>
      </c>
      <c r="H1157" s="232" t="inlineStr">
        <is>
          <t>Mandarina</t>
        </is>
      </c>
      <c r="I1157" s="232" t="inlineStr">
        <is>
          <t>W. murcott</t>
        </is>
      </c>
      <c r="J1157" s="232" t="inlineStr">
        <is>
          <t>MANT. Y REP. CONSTRUCCIONES</t>
        </is>
      </c>
      <c r="K1157" s="232" t="inlineStr">
        <is>
          <t>MANTENCION INFRAESTRUCTURA</t>
        </is>
      </c>
      <c r="L1157" s="232" t="inlineStr">
        <is>
          <t>[PRORRATEO 14.2% 21.0há/148.3há] O/001278 DILUYENTE</t>
        </is>
      </c>
      <c r="M1157" s="232" t="inlineStr"/>
      <c r="N1157" s="232" t="inlineStr">
        <is>
          <t>.   .   -</t>
        </is>
      </c>
      <c r="O1157" s="232" t="inlineStr">
        <is>
          <t>ENERO</t>
        </is>
      </c>
      <c r="P1157" s="232" t="n">
        <v>3</v>
      </c>
      <c r="Q1157" s="234" t="n">
        <v>1461</v>
      </c>
      <c r="R1157" s="232" t="inlineStr"/>
      <c r="S1157" s="234" t="n">
        <v>1461</v>
      </c>
      <c r="T1157" s="232" t="inlineStr">
        <is>
          <t>CLP</t>
        </is>
      </c>
      <c r="U1157" s="232" t="inlineStr">
        <is>
          <t>Prorrateo Ha PACKING</t>
        </is>
      </c>
      <c r="V1157" s="232" t="inlineStr">
        <is>
          <t>2026-06-18</t>
        </is>
      </c>
    </row>
    <row r="1158">
      <c r="A1158" s="232" t="inlineStr">
        <is>
          <t>CR-1155</t>
        </is>
      </c>
      <c r="B1158" s="232" t="inlineStr">
        <is>
          <t>2026/27</t>
        </is>
      </c>
      <c r="C1158" s="233" t="n">
        <v>46043</v>
      </c>
      <c r="D1158" s="232" t="inlineStr">
        <is>
          <t>826092</t>
        </is>
      </c>
      <c r="E1158" s="232" t="inlineStr">
        <is>
          <t>PRORRATEO</t>
        </is>
      </c>
      <c r="F1158" s="232" t="inlineStr">
        <is>
          <t>Santa Catalina</t>
        </is>
      </c>
      <c r="G1158" s="232" t="inlineStr">
        <is>
          <t>cambria 4,2 ha</t>
        </is>
      </c>
      <c r="H1158" s="232" t="inlineStr">
        <is>
          <t>Naranjas</t>
        </is>
      </c>
      <c r="I1158" s="232" t="inlineStr">
        <is>
          <t>Cambria</t>
        </is>
      </c>
      <c r="J1158" s="232" t="inlineStr">
        <is>
          <t>MANT. Y REP. CONSTRUCCIONES</t>
        </is>
      </c>
      <c r="K1158" s="232" t="inlineStr">
        <is>
          <t>MANTENCION INFRAESTRUCTURA</t>
        </is>
      </c>
      <c r="L1158" s="232" t="inlineStr">
        <is>
          <t>[PRORRATEO 2.8% 4.2há/148.3há] O/001278 DILUYENTE</t>
        </is>
      </c>
      <c r="M1158" s="232" t="inlineStr"/>
      <c r="N1158" s="232" t="inlineStr">
        <is>
          <t>.   .   -</t>
        </is>
      </c>
      <c r="O1158" s="232" t="inlineStr">
        <is>
          <t>ENERO</t>
        </is>
      </c>
      <c r="P1158" s="232" t="n">
        <v>3</v>
      </c>
      <c r="Q1158" s="234" t="n">
        <v>292</v>
      </c>
      <c r="R1158" s="232" t="inlineStr"/>
      <c r="S1158" s="234" t="n">
        <v>292</v>
      </c>
      <c r="T1158" s="232" t="inlineStr">
        <is>
          <t>CLP</t>
        </is>
      </c>
      <c r="U1158" s="232" t="inlineStr">
        <is>
          <t>Prorrateo Ha PACKING</t>
        </is>
      </c>
      <c r="V1158" s="232" t="inlineStr">
        <is>
          <t>2026-06-18</t>
        </is>
      </c>
    </row>
    <row r="1159">
      <c r="A1159" s="232" t="inlineStr">
        <is>
          <t>CR-1156</t>
        </is>
      </c>
      <c r="B1159" s="232" t="inlineStr">
        <is>
          <t>2026/27</t>
        </is>
      </c>
      <c r="C1159" s="233" t="n">
        <v>46043</v>
      </c>
      <c r="D1159" s="232" t="inlineStr">
        <is>
          <t>826092</t>
        </is>
      </c>
      <c r="E1159" s="232" t="inlineStr">
        <is>
          <t>PRORRATEO</t>
        </is>
      </c>
      <c r="F1159" s="232" t="inlineStr">
        <is>
          <t>Santa Catalina</t>
        </is>
      </c>
      <c r="G1159" s="232" t="inlineStr">
        <is>
          <t>eureka 10,6 ha</t>
        </is>
      </c>
      <c r="H1159" s="232" t="inlineStr">
        <is>
          <t>Limon</t>
        </is>
      </c>
      <c r="I1159" s="232" t="inlineStr">
        <is>
          <t>Eureka</t>
        </is>
      </c>
      <c r="J1159" s="232" t="inlineStr">
        <is>
          <t>MANT. Y REP. CONSTRUCCIONES</t>
        </is>
      </c>
      <c r="K1159" s="232" t="inlineStr">
        <is>
          <t>MANTENCION INFRAESTRUCTURA</t>
        </is>
      </c>
      <c r="L1159" s="232" t="inlineStr">
        <is>
          <t>[PRORRATEO 7.1% 10.6há/148.3há] O/001278 DILUYENTE</t>
        </is>
      </c>
      <c r="M1159" s="232" t="inlineStr"/>
      <c r="N1159" s="232" t="inlineStr">
        <is>
          <t>.   .   -</t>
        </is>
      </c>
      <c r="O1159" s="232" t="inlineStr">
        <is>
          <t>ENERO</t>
        </is>
      </c>
      <c r="P1159" s="232" t="n">
        <v>3</v>
      </c>
      <c r="Q1159" s="234" t="n">
        <v>738</v>
      </c>
      <c r="R1159" s="232" t="inlineStr"/>
      <c r="S1159" s="234" t="n">
        <v>738</v>
      </c>
      <c r="T1159" s="232" t="inlineStr">
        <is>
          <t>CLP</t>
        </is>
      </c>
      <c r="U1159" s="232" t="inlineStr">
        <is>
          <t>Prorrateo Ha PACKING</t>
        </is>
      </c>
      <c r="V1159" s="232" t="inlineStr">
        <is>
          <t>2026-06-18</t>
        </is>
      </c>
    </row>
    <row r="1160">
      <c r="A1160" s="232" t="inlineStr">
        <is>
          <t>CR-1157</t>
        </is>
      </c>
      <c r="B1160" s="232" t="inlineStr">
        <is>
          <t>2026/27</t>
        </is>
      </c>
      <c r="C1160" s="233" t="n">
        <v>46043</v>
      </c>
      <c r="D1160" s="232" t="inlineStr">
        <is>
          <t>826092</t>
        </is>
      </c>
      <c r="E1160" s="232" t="inlineStr">
        <is>
          <t>PRORRATEO</t>
        </is>
      </c>
      <c r="F1160" s="232" t="inlineStr">
        <is>
          <t>Santa Catalina</t>
        </is>
      </c>
      <c r="G1160" s="232" t="inlineStr">
        <is>
          <t>eureka 14,4 ha</t>
        </is>
      </c>
      <c r="H1160" s="232" t="inlineStr">
        <is>
          <t>Limon</t>
        </is>
      </c>
      <c r="I1160" s="232" t="inlineStr">
        <is>
          <t>Eureka</t>
        </is>
      </c>
      <c r="J1160" s="232" t="inlineStr">
        <is>
          <t>MANT. Y REP. CONSTRUCCIONES</t>
        </is>
      </c>
      <c r="K1160" s="232" t="inlineStr">
        <is>
          <t>MANTENCION INFRAESTRUCTURA</t>
        </is>
      </c>
      <c r="L1160" s="232" t="inlineStr">
        <is>
          <t>[PRORRATEO 9.7% 14.4há/148.3há] O/001278 DILUYENTE</t>
        </is>
      </c>
      <c r="M1160" s="232" t="inlineStr"/>
      <c r="N1160" s="232" t="inlineStr">
        <is>
          <t>.   .   -</t>
        </is>
      </c>
      <c r="O1160" s="232" t="inlineStr">
        <is>
          <t>ENERO</t>
        </is>
      </c>
      <c r="P1160" s="232" t="n">
        <v>3</v>
      </c>
      <c r="Q1160" s="234" t="n">
        <v>1002</v>
      </c>
      <c r="R1160" s="232" t="inlineStr"/>
      <c r="S1160" s="234" t="n">
        <v>1002</v>
      </c>
      <c r="T1160" s="232" t="inlineStr">
        <is>
          <t>CLP</t>
        </is>
      </c>
      <c r="U1160" s="232" t="inlineStr">
        <is>
          <t>Prorrateo Ha PACKING</t>
        </is>
      </c>
      <c r="V1160" s="232" t="inlineStr">
        <is>
          <t>2026-06-18</t>
        </is>
      </c>
    </row>
    <row r="1161">
      <c r="A1161" s="232" t="inlineStr">
        <is>
          <t>CR-1158</t>
        </is>
      </c>
      <c r="B1161" s="232" t="inlineStr">
        <is>
          <t>2026/27</t>
        </is>
      </c>
      <c r="C1161" s="233" t="n">
        <v>46043</v>
      </c>
      <c r="D1161" s="232" t="inlineStr">
        <is>
          <t>826092</t>
        </is>
      </c>
      <c r="E1161" s="232" t="inlineStr">
        <is>
          <t>PRORRATEO</t>
        </is>
      </c>
      <c r="F1161" s="232" t="inlineStr">
        <is>
          <t>Santa Catalina</t>
        </is>
      </c>
      <c r="G1161" s="232" t="inlineStr">
        <is>
          <t>eureka 22,55</t>
        </is>
      </c>
      <c r="H1161" s="232" t="inlineStr">
        <is>
          <t>Limon</t>
        </is>
      </c>
      <c r="I1161" s="232" t="inlineStr">
        <is>
          <t>Eureka</t>
        </is>
      </c>
      <c r="J1161" s="232" t="inlineStr">
        <is>
          <t>MANT. Y REP. CONSTRUCCIONES</t>
        </is>
      </c>
      <c r="K1161" s="232" t="inlineStr">
        <is>
          <t>MANTENCION INFRAESTRUCTURA</t>
        </is>
      </c>
      <c r="L1161" s="232" t="inlineStr">
        <is>
          <t>[PRORRATEO 15.2% 22.55há/148.3há] O/001278 DILUYENTE</t>
        </is>
      </c>
      <c r="M1161" s="232" t="inlineStr"/>
      <c r="N1161" s="232" t="inlineStr">
        <is>
          <t>.   .   -</t>
        </is>
      </c>
      <c r="O1161" s="232" t="inlineStr">
        <is>
          <t>ENERO</t>
        </is>
      </c>
      <c r="P1161" s="232" t="n">
        <v>3</v>
      </c>
      <c r="Q1161" s="234" t="n">
        <v>1569</v>
      </c>
      <c r="R1161" s="232" t="inlineStr"/>
      <c r="S1161" s="234" t="n">
        <v>1569</v>
      </c>
      <c r="T1161" s="232" t="inlineStr">
        <is>
          <t>CLP</t>
        </is>
      </c>
      <c r="U1161" s="232" t="inlineStr">
        <is>
          <t>Prorrateo Ha PACKING</t>
        </is>
      </c>
      <c r="V1161" s="232" t="inlineStr">
        <is>
          <t>2026-06-18</t>
        </is>
      </c>
    </row>
    <row r="1162">
      <c r="A1162" s="232" t="inlineStr">
        <is>
          <t>CR-1159</t>
        </is>
      </c>
      <c r="B1162" s="232" t="inlineStr">
        <is>
          <t>2026/27</t>
        </is>
      </c>
      <c r="C1162" s="233" t="n">
        <v>46043</v>
      </c>
      <c r="D1162" s="232" t="inlineStr">
        <is>
          <t>826092</t>
        </is>
      </c>
      <c r="E1162" s="232" t="inlineStr">
        <is>
          <t>PRORRATEO</t>
        </is>
      </c>
      <c r="F1162" s="232" t="inlineStr">
        <is>
          <t>Santa Catalina</t>
        </is>
      </c>
      <c r="G1162" s="232" t="inlineStr">
        <is>
          <t>form benjamin 1,93 ha</t>
        </is>
      </c>
      <c r="H1162" s="232" t="inlineStr">
        <is>
          <t>Limon</t>
        </is>
      </c>
      <c r="I1162" s="232" t="inlineStr">
        <is>
          <t>Benjamin andes</t>
        </is>
      </c>
      <c r="J1162" s="232" t="inlineStr">
        <is>
          <t>MANT. Y REP. CONSTRUCCIONES</t>
        </is>
      </c>
      <c r="K1162" s="232" t="inlineStr">
        <is>
          <t>MANTENCION INFRAESTRUCTURA</t>
        </is>
      </c>
      <c r="L1162" s="232" t="inlineStr">
        <is>
          <t>[PRORRATEO 1.3% 1.93há/148.3há] O/001278 DILUYENTE</t>
        </is>
      </c>
      <c r="M1162" s="232" t="inlineStr"/>
      <c r="N1162" s="232" t="inlineStr">
        <is>
          <t>.   .   -</t>
        </is>
      </c>
      <c r="O1162" s="232" t="inlineStr">
        <is>
          <t>ENERO</t>
        </is>
      </c>
      <c r="P1162" s="232" t="n">
        <v>3</v>
      </c>
      <c r="Q1162" s="234" t="n">
        <v>134</v>
      </c>
      <c r="R1162" s="232" t="inlineStr"/>
      <c r="S1162" s="234" t="n">
        <v>134</v>
      </c>
      <c r="T1162" s="232" t="inlineStr">
        <is>
          <t>CLP</t>
        </is>
      </c>
      <c r="U1162" s="232" t="inlineStr">
        <is>
          <t>Prorrateo Ha PACKING</t>
        </is>
      </c>
      <c r="V1162" s="232" t="inlineStr">
        <is>
          <t>2026-06-18</t>
        </is>
      </c>
    </row>
    <row r="1163">
      <c r="A1163" s="232" t="inlineStr">
        <is>
          <t>CR-1160</t>
        </is>
      </c>
      <c r="B1163" s="232" t="inlineStr">
        <is>
          <t>2026/27</t>
        </is>
      </c>
      <c r="C1163" s="233" t="n">
        <v>46043</v>
      </c>
      <c r="D1163" s="232" t="inlineStr">
        <is>
          <t>826092</t>
        </is>
      </c>
      <c r="E1163" s="232" t="inlineStr">
        <is>
          <t>PRORRATEO</t>
        </is>
      </c>
      <c r="F1163" s="232" t="inlineStr">
        <is>
          <t>Santa Catalina</t>
        </is>
      </c>
      <c r="G1163" s="232" t="inlineStr">
        <is>
          <t>mant eureka 2,5 ha</t>
        </is>
      </c>
      <c r="H1163" s="232" t="inlineStr">
        <is>
          <t>Limon</t>
        </is>
      </c>
      <c r="I1163" s="232" t="inlineStr">
        <is>
          <t>Eureka</t>
        </is>
      </c>
      <c r="J1163" s="232" t="inlineStr">
        <is>
          <t>MANT. Y REP. CONSTRUCCIONES</t>
        </is>
      </c>
      <c r="K1163" s="232" t="inlineStr">
        <is>
          <t>MANTENCION INFRAESTRUCTURA</t>
        </is>
      </c>
      <c r="L1163" s="232" t="inlineStr">
        <is>
          <t>[PRORRATEO 1.7% 2.5há/148.3há] O/001278 DILUYENTE</t>
        </is>
      </c>
      <c r="M1163" s="232" t="inlineStr"/>
      <c r="N1163" s="232" t="inlineStr">
        <is>
          <t>.   .   -</t>
        </is>
      </c>
      <c r="O1163" s="232" t="inlineStr">
        <is>
          <t>ENERO</t>
        </is>
      </c>
      <c r="P1163" s="232" t="n">
        <v>3</v>
      </c>
      <c r="Q1163" s="234" t="n">
        <v>174</v>
      </c>
      <c r="R1163" s="232" t="inlineStr"/>
      <c r="S1163" s="234" t="n">
        <v>174</v>
      </c>
      <c r="T1163" s="232" t="inlineStr">
        <is>
          <t>CLP</t>
        </is>
      </c>
      <c r="U1163" s="232" t="inlineStr">
        <is>
          <t>Prorrateo Ha PACKING</t>
        </is>
      </c>
      <c r="V1163" s="232" t="inlineStr">
        <is>
          <t>2026-06-18</t>
        </is>
      </c>
    </row>
    <row r="1164">
      <c r="A1164" s="232" t="inlineStr">
        <is>
          <t>CR-1161</t>
        </is>
      </c>
      <c r="B1164" s="232" t="inlineStr">
        <is>
          <t>2026/27</t>
        </is>
      </c>
      <c r="C1164" s="233" t="n">
        <v>46043</v>
      </c>
      <c r="D1164" s="232" t="inlineStr">
        <is>
          <t>826092</t>
        </is>
      </c>
      <c r="E1164" s="232" t="inlineStr">
        <is>
          <t>PRORRATEO</t>
        </is>
      </c>
      <c r="F1164" s="232" t="inlineStr">
        <is>
          <t>Siberia</t>
        </is>
      </c>
      <c r="G1164" s="232" t="inlineStr">
        <is>
          <t>S. Celebration 7,14</t>
        </is>
      </c>
      <c r="H1164" s="232" t="inlineStr">
        <is>
          <t>Uvas</t>
        </is>
      </c>
      <c r="I1164" s="232" t="inlineStr">
        <is>
          <t>S. celebration</t>
        </is>
      </c>
      <c r="J1164" s="232" t="inlineStr">
        <is>
          <t>MANT. Y REP. CONSTRUCCIONES</t>
        </is>
      </c>
      <c r="K1164" s="232" t="inlineStr">
        <is>
          <t>MANTENCION INFRAESTRUCTURA</t>
        </is>
      </c>
      <c r="L1164" s="232" t="inlineStr">
        <is>
          <t>[PRORRATEO 4.8% 7.14há/148.3há] O/001278 DILUYENTE</t>
        </is>
      </c>
      <c r="M1164" s="232" t="inlineStr"/>
      <c r="N1164" s="232" t="inlineStr">
        <is>
          <t>.   .   -</t>
        </is>
      </c>
      <c r="O1164" s="232" t="inlineStr">
        <is>
          <t>ENERO</t>
        </is>
      </c>
      <c r="P1164" s="232" t="n">
        <v>3</v>
      </c>
      <c r="Q1164" s="234" t="n">
        <v>497</v>
      </c>
      <c r="R1164" s="232" t="inlineStr"/>
      <c r="S1164" s="234" t="n">
        <v>497</v>
      </c>
      <c r="T1164" s="232" t="inlineStr">
        <is>
          <t>CLP</t>
        </is>
      </c>
      <c r="U1164" s="232" t="inlineStr">
        <is>
          <t>Prorrateo Ha PACKING</t>
        </is>
      </c>
      <c r="V1164" s="232" t="inlineStr">
        <is>
          <t>2026-06-18</t>
        </is>
      </c>
    </row>
    <row r="1165">
      <c r="A1165" s="232" t="inlineStr">
        <is>
          <t>CR-1162</t>
        </is>
      </c>
      <c r="B1165" s="232" t="inlineStr">
        <is>
          <t>2026/27</t>
        </is>
      </c>
      <c r="C1165" s="233" t="n">
        <v>46043</v>
      </c>
      <c r="D1165" s="232" t="inlineStr">
        <is>
          <t>826092</t>
        </is>
      </c>
      <c r="E1165" s="232" t="inlineStr">
        <is>
          <t>PRORRATEO</t>
        </is>
      </c>
      <c r="F1165" s="232" t="inlineStr">
        <is>
          <t>Siberia</t>
        </is>
      </c>
      <c r="G1165" s="232" t="inlineStr">
        <is>
          <t>Timpson 7,1</t>
        </is>
      </c>
      <c r="H1165" s="232" t="inlineStr">
        <is>
          <t>Uvas</t>
        </is>
      </c>
      <c r="I1165" s="232" t="inlineStr">
        <is>
          <t>Timpson</t>
        </is>
      </c>
      <c r="J1165" s="232" t="inlineStr">
        <is>
          <t>MANT. Y REP. CONSTRUCCIONES</t>
        </is>
      </c>
      <c r="K1165" s="232" t="inlineStr">
        <is>
          <t>MANTENCION INFRAESTRUCTURA</t>
        </is>
      </c>
      <c r="L1165" s="232" t="inlineStr">
        <is>
          <t>[PRORRATEO 4.8% 7.1há/148.3há] O/001278 DILUYENTE</t>
        </is>
      </c>
      <c r="M1165" s="232" t="inlineStr"/>
      <c r="N1165" s="232" t="inlineStr">
        <is>
          <t>.   .   -</t>
        </is>
      </c>
      <c r="O1165" s="232" t="inlineStr">
        <is>
          <t>ENERO</t>
        </is>
      </c>
      <c r="P1165" s="232" t="n">
        <v>3</v>
      </c>
      <c r="Q1165" s="234" t="n">
        <v>494</v>
      </c>
      <c r="R1165" s="232" t="inlineStr"/>
      <c r="S1165" s="234" t="n">
        <v>494</v>
      </c>
      <c r="T1165" s="232" t="inlineStr">
        <is>
          <t>CLP</t>
        </is>
      </c>
      <c r="U1165" s="232" t="inlineStr">
        <is>
          <t>Prorrateo Ha PACKING</t>
        </is>
      </c>
      <c r="V1165" s="232" t="inlineStr">
        <is>
          <t>2026-06-18</t>
        </is>
      </c>
    </row>
    <row r="1166">
      <c r="A1166" s="232" t="inlineStr">
        <is>
          <t>CR-1163</t>
        </is>
      </c>
      <c r="B1166" s="232" t="inlineStr">
        <is>
          <t>2026/27</t>
        </is>
      </c>
      <c r="C1166" s="233" t="n">
        <v>46043</v>
      </c>
      <c r="D1166" s="232" t="inlineStr">
        <is>
          <t>826092</t>
        </is>
      </c>
      <c r="E1166" s="232" t="inlineStr">
        <is>
          <t>PRORRATEO</t>
        </is>
      </c>
      <c r="F1166" s="232" t="inlineStr">
        <is>
          <t>Asmara</t>
        </is>
      </c>
      <c r="G1166" s="232" t="inlineStr">
        <is>
          <t>w. murcott 19,8 ha</t>
        </is>
      </c>
      <c r="H1166" s="232" t="inlineStr">
        <is>
          <t>Mandarina</t>
        </is>
      </c>
      <c r="I1166" s="232" t="inlineStr">
        <is>
          <t>W. murcott</t>
        </is>
      </c>
      <c r="J1166" s="232" t="inlineStr">
        <is>
          <t>MANT. Y REP. CONSTRUCCIONES</t>
        </is>
      </c>
      <c r="K1166" s="232" t="inlineStr">
        <is>
          <t>MANTENCION INFRAESTRUCTURA</t>
        </is>
      </c>
      <c r="L1166" s="232" t="inlineStr">
        <is>
          <t>[PRORRATEO 13.4% 19.8há/148.3há] O/001278 PERFIL CUA</t>
        </is>
      </c>
      <c r="M1166" s="232" t="inlineStr"/>
      <c r="N1166" s="232" t="inlineStr">
        <is>
          <t>.   .   -</t>
        </is>
      </c>
      <c r="O1166" s="232" t="inlineStr">
        <is>
          <t>ENERO</t>
        </is>
      </c>
      <c r="P1166" s="232" t="n">
        <v>3</v>
      </c>
      <c r="Q1166" s="234" t="n">
        <v>5599</v>
      </c>
      <c r="R1166" s="232" t="inlineStr"/>
      <c r="S1166" s="234" t="n">
        <v>5599</v>
      </c>
      <c r="T1166" s="232" t="inlineStr">
        <is>
          <t>CLP</t>
        </is>
      </c>
      <c r="U1166" s="232" t="inlineStr">
        <is>
          <t>Prorrateo Ha PACKING</t>
        </is>
      </c>
      <c r="V1166" s="232" t="inlineStr">
        <is>
          <t>2026-06-18</t>
        </is>
      </c>
    </row>
    <row r="1167">
      <c r="A1167" s="232" t="inlineStr">
        <is>
          <t>CR-1164</t>
        </is>
      </c>
      <c r="B1167" s="232" t="inlineStr">
        <is>
          <t>2026/27</t>
        </is>
      </c>
      <c r="C1167" s="233" t="n">
        <v>46043</v>
      </c>
      <c r="D1167" s="232" t="inlineStr">
        <is>
          <t>826092</t>
        </is>
      </c>
      <c r="E1167" s="232" t="inlineStr">
        <is>
          <t>PRORRATEO</t>
        </is>
      </c>
      <c r="F1167" s="232" t="inlineStr">
        <is>
          <t>Asmara</t>
        </is>
      </c>
      <c r="G1167" s="232" t="inlineStr">
        <is>
          <t>w. murcott 4,9 ha</t>
        </is>
      </c>
      <c r="H1167" s="232" t="inlineStr">
        <is>
          <t>Mandarina</t>
        </is>
      </c>
      <c r="I1167" s="232" t="inlineStr">
        <is>
          <t>W. murcott</t>
        </is>
      </c>
      <c r="J1167" s="232" t="inlineStr">
        <is>
          <t>MANT. Y REP. CONSTRUCCIONES</t>
        </is>
      </c>
      <c r="K1167" s="232" t="inlineStr">
        <is>
          <t>MANTENCION INFRAESTRUCTURA</t>
        </is>
      </c>
      <c r="L1167" s="232" t="inlineStr">
        <is>
          <t>[PRORRATEO 3.3% 4.9há/148.3há] O/001278 PERFIL CUA</t>
        </is>
      </c>
      <c r="M1167" s="232" t="inlineStr"/>
      <c r="N1167" s="232" t="inlineStr">
        <is>
          <t>.   .   -</t>
        </is>
      </c>
      <c r="O1167" s="232" t="inlineStr">
        <is>
          <t>ENERO</t>
        </is>
      </c>
      <c r="P1167" s="232" t="n">
        <v>3</v>
      </c>
      <c r="Q1167" s="234" t="n">
        <v>1386</v>
      </c>
      <c r="R1167" s="232" t="inlineStr"/>
      <c r="S1167" s="234" t="n">
        <v>1386</v>
      </c>
      <c r="T1167" s="232" t="inlineStr">
        <is>
          <t>CLP</t>
        </is>
      </c>
      <c r="U1167" s="232" t="inlineStr">
        <is>
          <t>Prorrateo Ha PACKING</t>
        </is>
      </c>
      <c r="V1167" s="232" t="inlineStr">
        <is>
          <t>2026-06-18</t>
        </is>
      </c>
    </row>
    <row r="1168">
      <c r="A1168" s="232" t="inlineStr">
        <is>
          <t>CR-1165</t>
        </is>
      </c>
      <c r="B1168" s="232" t="inlineStr">
        <is>
          <t>2026/27</t>
        </is>
      </c>
      <c r="C1168" s="233" t="n">
        <v>46043</v>
      </c>
      <c r="D1168" s="232" t="inlineStr">
        <is>
          <t>826092</t>
        </is>
      </c>
      <c r="E1168" s="232" t="inlineStr">
        <is>
          <t>PRORRATEO</t>
        </is>
      </c>
      <c r="F1168" s="232" t="inlineStr">
        <is>
          <t>El Molle</t>
        </is>
      </c>
      <c r="G1168" s="232" t="inlineStr">
        <is>
          <t>Wonderful 5,25 ha</t>
        </is>
      </c>
      <c r="H1168" s="232" t="inlineStr">
        <is>
          <t>Granados</t>
        </is>
      </c>
      <c r="I1168" s="232" t="inlineStr">
        <is>
          <t>Wonderfull</t>
        </is>
      </c>
      <c r="J1168" s="232" t="inlineStr">
        <is>
          <t>MANT. Y REP. CONSTRUCCIONES</t>
        </is>
      </c>
      <c r="K1168" s="232" t="inlineStr">
        <is>
          <t>MANTENCION INFRAESTRUCTURA</t>
        </is>
      </c>
      <c r="L1168" s="232" t="inlineStr">
        <is>
          <t>[PRORRATEO 3.5% 5.24há/148.3há] O/001278 PERFIL CUA</t>
        </is>
      </c>
      <c r="M1168" s="232" t="inlineStr"/>
      <c r="N1168" s="232" t="inlineStr">
        <is>
          <t>.   .   -</t>
        </is>
      </c>
      <c r="O1168" s="232" t="inlineStr">
        <is>
          <t>ENERO</t>
        </is>
      </c>
      <c r="P1168" s="232" t="n">
        <v>3</v>
      </c>
      <c r="Q1168" s="234" t="n">
        <v>1482</v>
      </c>
      <c r="R1168" s="232" t="inlineStr"/>
      <c r="S1168" s="234" t="n">
        <v>1482</v>
      </c>
      <c r="T1168" s="232" t="inlineStr">
        <is>
          <t>CLP</t>
        </is>
      </c>
      <c r="U1168" s="232" t="inlineStr">
        <is>
          <t>Prorrateo Ha PACKING</t>
        </is>
      </c>
      <c r="V1168" s="232" t="inlineStr">
        <is>
          <t>2026-06-18</t>
        </is>
      </c>
    </row>
    <row r="1169">
      <c r="A1169" s="232" t="inlineStr">
        <is>
          <t>CR-1166</t>
        </is>
      </c>
      <c r="B1169" s="232" t="inlineStr">
        <is>
          <t>2026/27</t>
        </is>
      </c>
      <c r="C1169" s="233" t="n">
        <v>46043</v>
      </c>
      <c r="D1169" s="232" t="inlineStr">
        <is>
          <t>826092</t>
        </is>
      </c>
      <c r="E1169" s="232" t="inlineStr">
        <is>
          <t>PRORRATEO</t>
        </is>
      </c>
      <c r="F1169" s="232" t="inlineStr">
        <is>
          <t>El Molle</t>
        </is>
      </c>
      <c r="G1169" s="232" t="inlineStr">
        <is>
          <t>arrufatinas 5,74 ha</t>
        </is>
      </c>
      <c r="H1169" s="232" t="inlineStr">
        <is>
          <t>Clementinas</t>
        </is>
      </c>
      <c r="I1169" s="232" t="inlineStr">
        <is>
          <t>Arrufatinas</t>
        </is>
      </c>
      <c r="J1169" s="232" t="inlineStr">
        <is>
          <t>MANT. Y REP. CONSTRUCCIONES</t>
        </is>
      </c>
      <c r="K1169" s="232" t="inlineStr">
        <is>
          <t>MANTENCION INFRAESTRUCTURA</t>
        </is>
      </c>
      <c r="L1169" s="232" t="inlineStr">
        <is>
          <t>[PRORRATEO 3.9% 5.74há/148.3há] O/001278 PERFIL CUA</t>
        </is>
      </c>
      <c r="M1169" s="232" t="inlineStr"/>
      <c r="N1169" s="232" t="inlineStr">
        <is>
          <t>.   .   -</t>
        </is>
      </c>
      <c r="O1169" s="232" t="inlineStr">
        <is>
          <t>ENERO</t>
        </is>
      </c>
      <c r="P1169" s="232" t="n">
        <v>3</v>
      </c>
      <c r="Q1169" s="234" t="n">
        <v>1623</v>
      </c>
      <c r="R1169" s="232" t="inlineStr"/>
      <c r="S1169" s="234" t="n">
        <v>1623</v>
      </c>
      <c r="T1169" s="232" t="inlineStr">
        <is>
          <t>CLP</t>
        </is>
      </c>
      <c r="U1169" s="232" t="inlineStr">
        <is>
          <t>Prorrateo Ha PACKING</t>
        </is>
      </c>
      <c r="V1169" s="232" t="inlineStr">
        <is>
          <t>2026-06-18</t>
        </is>
      </c>
    </row>
    <row r="1170">
      <c r="A1170" s="232" t="inlineStr">
        <is>
          <t>CR-1167</t>
        </is>
      </c>
      <c r="B1170" s="232" t="inlineStr">
        <is>
          <t>2026/27</t>
        </is>
      </c>
      <c r="C1170" s="233" t="n">
        <v>46043</v>
      </c>
      <c r="D1170" s="232" t="inlineStr">
        <is>
          <t>826092</t>
        </is>
      </c>
      <c r="E1170" s="232" t="inlineStr">
        <is>
          <t>PRORRATEO</t>
        </is>
      </c>
      <c r="F1170" s="232" t="inlineStr">
        <is>
          <t>El Molle</t>
        </is>
      </c>
      <c r="G1170" s="232" t="inlineStr">
        <is>
          <t>orogrande 8,11 ha</t>
        </is>
      </c>
      <c r="H1170" s="232" t="inlineStr">
        <is>
          <t>Clementinas</t>
        </is>
      </c>
      <c r="I1170" s="232" t="inlineStr">
        <is>
          <t>Orogrande</t>
        </is>
      </c>
      <c r="J1170" s="232" t="inlineStr">
        <is>
          <t>MANT. Y REP. CONSTRUCCIONES</t>
        </is>
      </c>
      <c r="K1170" s="232" t="inlineStr">
        <is>
          <t>MANTENCION INFRAESTRUCTURA</t>
        </is>
      </c>
      <c r="L1170" s="232" t="inlineStr">
        <is>
          <t>[PRORRATEO 5.5% 8.11há/148.3há] O/001278 PERFIL CUA</t>
        </is>
      </c>
      <c r="M1170" s="232" t="inlineStr"/>
      <c r="N1170" s="232" t="inlineStr">
        <is>
          <t>.   .   -</t>
        </is>
      </c>
      <c r="O1170" s="232" t="inlineStr">
        <is>
          <t>ENERO</t>
        </is>
      </c>
      <c r="P1170" s="232" t="n">
        <v>3</v>
      </c>
      <c r="Q1170" s="234" t="n">
        <v>2293</v>
      </c>
      <c r="R1170" s="232" t="inlineStr"/>
      <c r="S1170" s="234" t="n">
        <v>2293</v>
      </c>
      <c r="T1170" s="232" t="inlineStr">
        <is>
          <t>CLP</t>
        </is>
      </c>
      <c r="U1170" s="232" t="inlineStr">
        <is>
          <t>Prorrateo Ha PACKING</t>
        </is>
      </c>
      <c r="V1170" s="232" t="inlineStr">
        <is>
          <t>2026-06-18</t>
        </is>
      </c>
    </row>
    <row r="1171">
      <c r="A1171" s="232" t="inlineStr">
        <is>
          <t>CR-1168</t>
        </is>
      </c>
      <c r="B1171" s="232" t="inlineStr">
        <is>
          <t>2026/27</t>
        </is>
      </c>
      <c r="C1171" s="233" t="n">
        <v>46043</v>
      </c>
      <c r="D1171" s="232" t="inlineStr">
        <is>
          <t>826092</t>
        </is>
      </c>
      <c r="E1171" s="232" t="inlineStr">
        <is>
          <t>PRORRATEO</t>
        </is>
      </c>
      <c r="F1171" s="232" t="inlineStr">
        <is>
          <t>El Molle</t>
        </is>
      </c>
      <c r="G1171" s="232" t="inlineStr">
        <is>
          <t>oronules 5,35 ha</t>
        </is>
      </c>
      <c r="H1171" s="232" t="inlineStr">
        <is>
          <t>Clementinas</t>
        </is>
      </c>
      <c r="I1171" s="232" t="inlineStr">
        <is>
          <t>Oronules</t>
        </is>
      </c>
      <c r="J1171" s="232" t="inlineStr">
        <is>
          <t>MANT. Y REP. CONSTRUCCIONES</t>
        </is>
      </c>
      <c r="K1171" s="232" t="inlineStr">
        <is>
          <t>MANTENCION INFRAESTRUCTURA</t>
        </is>
      </c>
      <c r="L1171" s="232" t="inlineStr">
        <is>
          <t>[PRORRATEO 3.6% 5.35há/148.3há] O/001278 PERFIL CUA</t>
        </is>
      </c>
      <c r="M1171" s="232" t="inlineStr"/>
      <c r="N1171" s="232" t="inlineStr">
        <is>
          <t>.   .   -</t>
        </is>
      </c>
      <c r="O1171" s="232" t="inlineStr">
        <is>
          <t>ENERO</t>
        </is>
      </c>
      <c r="P1171" s="232" t="n">
        <v>3</v>
      </c>
      <c r="Q1171" s="234" t="n">
        <v>1513</v>
      </c>
      <c r="R1171" s="232" t="inlineStr"/>
      <c r="S1171" s="234" t="n">
        <v>1513</v>
      </c>
      <c r="T1171" s="232" t="inlineStr">
        <is>
          <t>CLP</t>
        </is>
      </c>
      <c r="U1171" s="232" t="inlineStr">
        <is>
          <t>Prorrateo Ha PACKING</t>
        </is>
      </c>
      <c r="V1171" s="232" t="inlineStr">
        <is>
          <t>2026-06-18</t>
        </is>
      </c>
    </row>
    <row r="1172">
      <c r="A1172" s="232" t="inlineStr">
        <is>
          <t>CR-1169</t>
        </is>
      </c>
      <c r="B1172" s="232" t="inlineStr">
        <is>
          <t>2026/27</t>
        </is>
      </c>
      <c r="C1172" s="233" t="n">
        <v>46043</v>
      </c>
      <c r="D1172" s="232" t="inlineStr">
        <is>
          <t>826092</t>
        </is>
      </c>
      <c r="E1172" s="232" t="inlineStr">
        <is>
          <t>PRORRATEO</t>
        </is>
      </c>
      <c r="F1172" s="232" t="inlineStr">
        <is>
          <t>Santa Catalina</t>
        </is>
      </c>
      <c r="G1172" s="232" t="inlineStr">
        <is>
          <t>Fino 49 7,7 ha</t>
        </is>
      </c>
      <c r="H1172" s="232" t="inlineStr">
        <is>
          <t>Limon</t>
        </is>
      </c>
      <c r="I1172" s="232" t="inlineStr">
        <is>
          <t>Fino 49</t>
        </is>
      </c>
      <c r="J1172" s="232" t="inlineStr">
        <is>
          <t>MANT. Y REP. CONSTRUCCIONES</t>
        </is>
      </c>
      <c r="K1172" s="232" t="inlineStr">
        <is>
          <t>MANTENCION INFRAESTRUCTURA</t>
        </is>
      </c>
      <c r="L1172" s="232" t="inlineStr">
        <is>
          <t>[PRORRATEO 5.2% 7.7há/148.3há] O/001278 PERFIL CUA</t>
        </is>
      </c>
      <c r="M1172" s="232" t="inlineStr"/>
      <c r="N1172" s="232" t="inlineStr">
        <is>
          <t>.   .   -</t>
        </is>
      </c>
      <c r="O1172" s="232" t="inlineStr">
        <is>
          <t>ENERO</t>
        </is>
      </c>
      <c r="P1172" s="232" t="n">
        <v>3</v>
      </c>
      <c r="Q1172" s="234" t="n">
        <v>2177</v>
      </c>
      <c r="R1172" s="232" t="inlineStr"/>
      <c r="S1172" s="234" t="n">
        <v>2177</v>
      </c>
      <c r="T1172" s="232" t="inlineStr">
        <is>
          <t>CLP</t>
        </is>
      </c>
      <c r="U1172" s="232" t="inlineStr">
        <is>
          <t>Prorrateo Ha PACKING</t>
        </is>
      </c>
      <c r="V1172" s="232" t="inlineStr">
        <is>
          <t>2026-06-18</t>
        </is>
      </c>
    </row>
    <row r="1173">
      <c r="A1173" s="232" t="inlineStr">
        <is>
          <t>CR-1170</t>
        </is>
      </c>
      <c r="B1173" s="232" t="inlineStr">
        <is>
          <t>2026/27</t>
        </is>
      </c>
      <c r="C1173" s="233" t="n">
        <v>46043</v>
      </c>
      <c r="D1173" s="232" t="inlineStr">
        <is>
          <t>826092</t>
        </is>
      </c>
      <c r="E1173" s="232" t="inlineStr">
        <is>
          <t>PRORRATEO</t>
        </is>
      </c>
      <c r="F1173" s="232" t="inlineStr">
        <is>
          <t>Santa Catalina</t>
        </is>
      </c>
      <c r="G1173" s="232" t="inlineStr">
        <is>
          <t>W. murcott 21 ha</t>
        </is>
      </c>
      <c r="H1173" s="232" t="inlineStr">
        <is>
          <t>Mandarina</t>
        </is>
      </c>
      <c r="I1173" s="232" t="inlineStr">
        <is>
          <t>W. murcott</t>
        </is>
      </c>
      <c r="J1173" s="232" t="inlineStr">
        <is>
          <t>MANT. Y REP. CONSTRUCCIONES</t>
        </is>
      </c>
      <c r="K1173" s="232" t="inlineStr">
        <is>
          <t>MANTENCION INFRAESTRUCTURA</t>
        </is>
      </c>
      <c r="L1173" s="232" t="inlineStr">
        <is>
          <t>[PRORRATEO 14.2% 21.0há/148.3há] O/001278 PERFIL CUA</t>
        </is>
      </c>
      <c r="M1173" s="232" t="inlineStr"/>
      <c r="N1173" s="232" t="inlineStr">
        <is>
          <t>.   .   -</t>
        </is>
      </c>
      <c r="O1173" s="232" t="inlineStr">
        <is>
          <t>ENERO</t>
        </is>
      </c>
      <c r="P1173" s="232" t="n">
        <v>3</v>
      </c>
      <c r="Q1173" s="234" t="n">
        <v>5938</v>
      </c>
      <c r="R1173" s="232" t="inlineStr"/>
      <c r="S1173" s="234" t="n">
        <v>5938</v>
      </c>
      <c r="T1173" s="232" t="inlineStr">
        <is>
          <t>CLP</t>
        </is>
      </c>
      <c r="U1173" s="232" t="inlineStr">
        <is>
          <t>Prorrateo Ha PACKING</t>
        </is>
      </c>
      <c r="V1173" s="232" t="inlineStr">
        <is>
          <t>2026-06-18</t>
        </is>
      </c>
    </row>
    <row r="1174">
      <c r="A1174" s="232" t="inlineStr">
        <is>
          <t>CR-1171</t>
        </is>
      </c>
      <c r="B1174" s="232" t="inlineStr">
        <is>
          <t>2026/27</t>
        </is>
      </c>
      <c r="C1174" s="233" t="n">
        <v>46043</v>
      </c>
      <c r="D1174" s="232" t="inlineStr">
        <is>
          <t>826092</t>
        </is>
      </c>
      <c r="E1174" s="232" t="inlineStr">
        <is>
          <t>PRORRATEO</t>
        </is>
      </c>
      <c r="F1174" s="232" t="inlineStr">
        <is>
          <t>Santa Catalina</t>
        </is>
      </c>
      <c r="G1174" s="232" t="inlineStr">
        <is>
          <t>cambria 4,2 ha</t>
        </is>
      </c>
      <c r="H1174" s="232" t="inlineStr">
        <is>
          <t>Naranjas</t>
        </is>
      </c>
      <c r="I1174" s="232" t="inlineStr">
        <is>
          <t>Cambria</t>
        </is>
      </c>
      <c r="J1174" s="232" t="inlineStr">
        <is>
          <t>MANT. Y REP. CONSTRUCCIONES</t>
        </is>
      </c>
      <c r="K1174" s="232" t="inlineStr">
        <is>
          <t>MANTENCION INFRAESTRUCTURA</t>
        </is>
      </c>
      <c r="L1174" s="232" t="inlineStr">
        <is>
          <t>[PRORRATEO 2.8% 4.2há/148.3há] O/001278 PERFIL CUA</t>
        </is>
      </c>
      <c r="M1174" s="232" t="inlineStr"/>
      <c r="N1174" s="232" t="inlineStr">
        <is>
          <t>.   .   -</t>
        </is>
      </c>
      <c r="O1174" s="232" t="inlineStr">
        <is>
          <t>ENERO</t>
        </is>
      </c>
      <c r="P1174" s="232" t="n">
        <v>3</v>
      </c>
      <c r="Q1174" s="234" t="n">
        <v>1188</v>
      </c>
      <c r="R1174" s="232" t="inlineStr"/>
      <c r="S1174" s="234" t="n">
        <v>1188</v>
      </c>
      <c r="T1174" s="232" t="inlineStr">
        <is>
          <t>CLP</t>
        </is>
      </c>
      <c r="U1174" s="232" t="inlineStr">
        <is>
          <t>Prorrateo Ha PACKING</t>
        </is>
      </c>
      <c r="V1174" s="232" t="inlineStr">
        <is>
          <t>2026-06-18</t>
        </is>
      </c>
    </row>
    <row r="1175">
      <c r="A1175" s="232" t="inlineStr">
        <is>
          <t>CR-1172</t>
        </is>
      </c>
      <c r="B1175" s="232" t="inlineStr">
        <is>
          <t>2026/27</t>
        </is>
      </c>
      <c r="C1175" s="233" t="n">
        <v>46043</v>
      </c>
      <c r="D1175" s="232" t="inlineStr">
        <is>
          <t>826092</t>
        </is>
      </c>
      <c r="E1175" s="232" t="inlineStr">
        <is>
          <t>PRORRATEO</t>
        </is>
      </c>
      <c r="F1175" s="232" t="inlineStr">
        <is>
          <t>Santa Catalina</t>
        </is>
      </c>
      <c r="G1175" s="232" t="inlineStr">
        <is>
          <t>eureka 10,6 ha</t>
        </is>
      </c>
      <c r="H1175" s="232" t="inlineStr">
        <is>
          <t>Limon</t>
        </is>
      </c>
      <c r="I1175" s="232" t="inlineStr">
        <is>
          <t>Eureka</t>
        </is>
      </c>
      <c r="J1175" s="232" t="inlineStr">
        <is>
          <t>MANT. Y REP. CONSTRUCCIONES</t>
        </is>
      </c>
      <c r="K1175" s="232" t="inlineStr">
        <is>
          <t>MANTENCION INFRAESTRUCTURA</t>
        </is>
      </c>
      <c r="L1175" s="232" t="inlineStr">
        <is>
          <t>[PRORRATEO 7.1% 10.6há/148.3há] O/001278 PERFIL CUA</t>
        </is>
      </c>
      <c r="M1175" s="232" t="inlineStr"/>
      <c r="N1175" s="232" t="inlineStr">
        <is>
          <t>.   .   -</t>
        </is>
      </c>
      <c r="O1175" s="232" t="inlineStr">
        <is>
          <t>ENERO</t>
        </is>
      </c>
      <c r="P1175" s="232" t="n">
        <v>3</v>
      </c>
      <c r="Q1175" s="234" t="n">
        <v>2997</v>
      </c>
      <c r="R1175" s="232" t="inlineStr"/>
      <c r="S1175" s="234" t="n">
        <v>2997</v>
      </c>
      <c r="T1175" s="232" t="inlineStr">
        <is>
          <t>CLP</t>
        </is>
      </c>
      <c r="U1175" s="232" t="inlineStr">
        <is>
          <t>Prorrateo Ha PACKING</t>
        </is>
      </c>
      <c r="V1175" s="232" t="inlineStr">
        <is>
          <t>2026-06-18</t>
        </is>
      </c>
    </row>
    <row r="1176">
      <c r="A1176" s="232" t="inlineStr">
        <is>
          <t>CR-1173</t>
        </is>
      </c>
      <c r="B1176" s="232" t="inlineStr">
        <is>
          <t>2026/27</t>
        </is>
      </c>
      <c r="C1176" s="233" t="n">
        <v>46043</v>
      </c>
      <c r="D1176" s="232" t="inlineStr">
        <is>
          <t>826092</t>
        </is>
      </c>
      <c r="E1176" s="232" t="inlineStr">
        <is>
          <t>PRORRATEO</t>
        </is>
      </c>
      <c r="F1176" s="232" t="inlineStr">
        <is>
          <t>Santa Catalina</t>
        </is>
      </c>
      <c r="G1176" s="232" t="inlineStr">
        <is>
          <t>eureka 14,4 ha</t>
        </is>
      </c>
      <c r="H1176" s="232" t="inlineStr">
        <is>
          <t>Limon</t>
        </is>
      </c>
      <c r="I1176" s="232" t="inlineStr">
        <is>
          <t>Eureka</t>
        </is>
      </c>
      <c r="J1176" s="232" t="inlineStr">
        <is>
          <t>MANT. Y REP. CONSTRUCCIONES</t>
        </is>
      </c>
      <c r="K1176" s="232" t="inlineStr">
        <is>
          <t>MANTENCION INFRAESTRUCTURA</t>
        </is>
      </c>
      <c r="L1176" s="232" t="inlineStr">
        <is>
          <t>[PRORRATEO 9.7% 14.4há/148.3há] O/001278 PERFIL CUA</t>
        </is>
      </c>
      <c r="M1176" s="232" t="inlineStr"/>
      <c r="N1176" s="232" t="inlineStr">
        <is>
          <t>.   .   -</t>
        </is>
      </c>
      <c r="O1176" s="232" t="inlineStr">
        <is>
          <t>ENERO</t>
        </is>
      </c>
      <c r="P1176" s="232" t="n">
        <v>3</v>
      </c>
      <c r="Q1176" s="234" t="n">
        <v>4072</v>
      </c>
      <c r="R1176" s="232" t="inlineStr"/>
      <c r="S1176" s="234" t="n">
        <v>4072</v>
      </c>
      <c r="T1176" s="232" t="inlineStr">
        <is>
          <t>CLP</t>
        </is>
      </c>
      <c r="U1176" s="232" t="inlineStr">
        <is>
          <t>Prorrateo Ha PACKING</t>
        </is>
      </c>
      <c r="V1176" s="232" t="inlineStr">
        <is>
          <t>2026-06-18</t>
        </is>
      </c>
    </row>
    <row r="1177">
      <c r="A1177" s="232" t="inlineStr">
        <is>
          <t>CR-1174</t>
        </is>
      </c>
      <c r="B1177" s="232" t="inlineStr">
        <is>
          <t>2026/27</t>
        </is>
      </c>
      <c r="C1177" s="233" t="n">
        <v>46043</v>
      </c>
      <c r="D1177" s="232" t="inlineStr">
        <is>
          <t>826092</t>
        </is>
      </c>
      <c r="E1177" s="232" t="inlineStr">
        <is>
          <t>PRORRATEO</t>
        </is>
      </c>
      <c r="F1177" s="232" t="inlineStr">
        <is>
          <t>Santa Catalina</t>
        </is>
      </c>
      <c r="G1177" s="232" t="inlineStr">
        <is>
          <t>eureka 22,55</t>
        </is>
      </c>
      <c r="H1177" s="232" t="inlineStr">
        <is>
          <t>Limon</t>
        </is>
      </c>
      <c r="I1177" s="232" t="inlineStr">
        <is>
          <t>Eureka</t>
        </is>
      </c>
      <c r="J1177" s="232" t="inlineStr">
        <is>
          <t>MANT. Y REP. CONSTRUCCIONES</t>
        </is>
      </c>
      <c r="K1177" s="232" t="inlineStr">
        <is>
          <t>MANTENCION INFRAESTRUCTURA</t>
        </is>
      </c>
      <c r="L1177" s="232" t="inlineStr">
        <is>
          <t>[PRORRATEO 15.2% 22.55há/148.3há] O/001278 PERFIL CUA</t>
        </is>
      </c>
      <c r="M1177" s="232" t="inlineStr"/>
      <c r="N1177" s="232" t="inlineStr">
        <is>
          <t>.   .   -</t>
        </is>
      </c>
      <c r="O1177" s="232" t="inlineStr">
        <is>
          <t>ENERO</t>
        </is>
      </c>
      <c r="P1177" s="232" t="n">
        <v>3</v>
      </c>
      <c r="Q1177" s="234" t="n">
        <v>6376</v>
      </c>
      <c r="R1177" s="232" t="inlineStr"/>
      <c r="S1177" s="234" t="n">
        <v>6376</v>
      </c>
      <c r="T1177" s="232" t="inlineStr">
        <is>
          <t>CLP</t>
        </is>
      </c>
      <c r="U1177" s="232" t="inlineStr">
        <is>
          <t>Prorrateo Ha PACKING</t>
        </is>
      </c>
      <c r="V1177" s="232" t="inlineStr">
        <is>
          <t>2026-06-18</t>
        </is>
      </c>
    </row>
    <row r="1178">
      <c r="A1178" s="232" t="inlineStr">
        <is>
          <t>CR-1175</t>
        </is>
      </c>
      <c r="B1178" s="232" t="inlineStr">
        <is>
          <t>2026/27</t>
        </is>
      </c>
      <c r="C1178" s="233" t="n">
        <v>46043</v>
      </c>
      <c r="D1178" s="232" t="inlineStr">
        <is>
          <t>826092</t>
        </is>
      </c>
      <c r="E1178" s="232" t="inlineStr">
        <is>
          <t>PRORRATEO</t>
        </is>
      </c>
      <c r="F1178" s="232" t="inlineStr">
        <is>
          <t>Santa Catalina</t>
        </is>
      </c>
      <c r="G1178" s="232" t="inlineStr">
        <is>
          <t>form benjamin 1,93 ha</t>
        </is>
      </c>
      <c r="H1178" s="232" t="inlineStr">
        <is>
          <t>Limon</t>
        </is>
      </c>
      <c r="I1178" s="232" t="inlineStr">
        <is>
          <t>Benjamin andes</t>
        </is>
      </c>
      <c r="J1178" s="232" t="inlineStr">
        <is>
          <t>MANT. Y REP. CONSTRUCCIONES</t>
        </is>
      </c>
      <c r="K1178" s="232" t="inlineStr">
        <is>
          <t>MANTENCION INFRAESTRUCTURA</t>
        </is>
      </c>
      <c r="L1178" s="232" t="inlineStr">
        <is>
          <t>[PRORRATEO 1.3% 1.93há/148.3há] O/001278 PERFIL CUA</t>
        </is>
      </c>
      <c r="M1178" s="232" t="inlineStr"/>
      <c r="N1178" s="232" t="inlineStr">
        <is>
          <t>.   .   -</t>
        </is>
      </c>
      <c r="O1178" s="232" t="inlineStr">
        <is>
          <t>ENERO</t>
        </is>
      </c>
      <c r="P1178" s="232" t="n">
        <v>3</v>
      </c>
      <c r="Q1178" s="234" t="n">
        <v>546</v>
      </c>
      <c r="R1178" s="232" t="inlineStr"/>
      <c r="S1178" s="234" t="n">
        <v>546</v>
      </c>
      <c r="T1178" s="232" t="inlineStr">
        <is>
          <t>CLP</t>
        </is>
      </c>
      <c r="U1178" s="232" t="inlineStr">
        <is>
          <t>Prorrateo Ha PACKING</t>
        </is>
      </c>
      <c r="V1178" s="232" t="inlineStr">
        <is>
          <t>2026-06-18</t>
        </is>
      </c>
    </row>
    <row r="1179">
      <c r="A1179" s="232" t="inlineStr">
        <is>
          <t>CR-1176</t>
        </is>
      </c>
      <c r="B1179" s="232" t="inlineStr">
        <is>
          <t>2026/27</t>
        </is>
      </c>
      <c r="C1179" s="233" t="n">
        <v>46043</v>
      </c>
      <c r="D1179" s="232" t="inlineStr">
        <is>
          <t>826092</t>
        </is>
      </c>
      <c r="E1179" s="232" t="inlineStr">
        <is>
          <t>PRORRATEO</t>
        </is>
      </c>
      <c r="F1179" s="232" t="inlineStr">
        <is>
          <t>Santa Catalina</t>
        </is>
      </c>
      <c r="G1179" s="232" t="inlineStr">
        <is>
          <t>mant eureka 2,5 ha</t>
        </is>
      </c>
      <c r="H1179" s="232" t="inlineStr">
        <is>
          <t>Limon</t>
        </is>
      </c>
      <c r="I1179" s="232" t="inlineStr">
        <is>
          <t>Eureka</t>
        </is>
      </c>
      <c r="J1179" s="232" t="inlineStr">
        <is>
          <t>MANT. Y REP. CONSTRUCCIONES</t>
        </is>
      </c>
      <c r="K1179" s="232" t="inlineStr">
        <is>
          <t>MANTENCION INFRAESTRUCTURA</t>
        </is>
      </c>
      <c r="L1179" s="232" t="inlineStr">
        <is>
          <t>[PRORRATEO 1.7% 2.5há/148.3há] O/001278 PERFIL CUA</t>
        </is>
      </c>
      <c r="M1179" s="232" t="inlineStr"/>
      <c r="N1179" s="232" t="inlineStr">
        <is>
          <t>.   .   -</t>
        </is>
      </c>
      <c r="O1179" s="232" t="inlineStr">
        <is>
          <t>ENERO</t>
        </is>
      </c>
      <c r="P1179" s="232" t="n">
        <v>3</v>
      </c>
      <c r="Q1179" s="234" t="n">
        <v>707</v>
      </c>
      <c r="R1179" s="232" t="inlineStr"/>
      <c r="S1179" s="234" t="n">
        <v>707</v>
      </c>
      <c r="T1179" s="232" t="inlineStr">
        <is>
          <t>CLP</t>
        </is>
      </c>
      <c r="U1179" s="232" t="inlineStr">
        <is>
          <t>Prorrateo Ha PACKING</t>
        </is>
      </c>
      <c r="V1179" s="232" t="inlineStr">
        <is>
          <t>2026-06-18</t>
        </is>
      </c>
    </row>
    <row r="1180">
      <c r="A1180" s="232" t="inlineStr">
        <is>
          <t>CR-1177</t>
        </is>
      </c>
      <c r="B1180" s="232" t="inlineStr">
        <is>
          <t>2026/27</t>
        </is>
      </c>
      <c r="C1180" s="233" t="n">
        <v>46043</v>
      </c>
      <c r="D1180" s="232" t="inlineStr">
        <is>
          <t>826092</t>
        </is>
      </c>
      <c r="E1180" s="232" t="inlineStr">
        <is>
          <t>PRORRATEO</t>
        </is>
      </c>
      <c r="F1180" s="232" t="inlineStr">
        <is>
          <t>Siberia</t>
        </is>
      </c>
      <c r="G1180" s="232" t="inlineStr">
        <is>
          <t>S. Celebration 7,14</t>
        </is>
      </c>
      <c r="H1180" s="232" t="inlineStr">
        <is>
          <t>Uvas</t>
        </is>
      </c>
      <c r="I1180" s="232" t="inlineStr">
        <is>
          <t>S. celebration</t>
        </is>
      </c>
      <c r="J1180" s="232" t="inlineStr">
        <is>
          <t>MANT. Y REP. CONSTRUCCIONES</t>
        </is>
      </c>
      <c r="K1180" s="232" t="inlineStr">
        <is>
          <t>MANTENCION INFRAESTRUCTURA</t>
        </is>
      </c>
      <c r="L1180" s="232" t="inlineStr">
        <is>
          <t>[PRORRATEO 4.8% 7.14há/148.3há] O/001278 PERFIL CUA</t>
        </is>
      </c>
      <c r="M1180" s="232" t="inlineStr"/>
      <c r="N1180" s="232" t="inlineStr">
        <is>
          <t>.   .   -</t>
        </is>
      </c>
      <c r="O1180" s="232" t="inlineStr">
        <is>
          <t>ENERO</t>
        </is>
      </c>
      <c r="P1180" s="232" t="n">
        <v>3</v>
      </c>
      <c r="Q1180" s="234" t="n">
        <v>2019</v>
      </c>
      <c r="R1180" s="232" t="inlineStr"/>
      <c r="S1180" s="234" t="n">
        <v>2019</v>
      </c>
      <c r="T1180" s="232" t="inlineStr">
        <is>
          <t>CLP</t>
        </is>
      </c>
      <c r="U1180" s="232" t="inlineStr">
        <is>
          <t>Prorrateo Ha PACKING</t>
        </is>
      </c>
      <c r="V1180" s="232" t="inlineStr">
        <is>
          <t>2026-06-18</t>
        </is>
      </c>
    </row>
    <row r="1181">
      <c r="A1181" s="232" t="inlineStr">
        <is>
          <t>CR-1178</t>
        </is>
      </c>
      <c r="B1181" s="232" t="inlineStr">
        <is>
          <t>2026/27</t>
        </is>
      </c>
      <c r="C1181" s="233" t="n">
        <v>46043</v>
      </c>
      <c r="D1181" s="232" t="inlineStr">
        <is>
          <t>826092</t>
        </is>
      </c>
      <c r="E1181" s="232" t="inlineStr">
        <is>
          <t>PRORRATEO</t>
        </is>
      </c>
      <c r="F1181" s="232" t="inlineStr">
        <is>
          <t>Siberia</t>
        </is>
      </c>
      <c r="G1181" s="232" t="inlineStr">
        <is>
          <t>Timpson 7,1</t>
        </is>
      </c>
      <c r="H1181" s="232" t="inlineStr">
        <is>
          <t>Uvas</t>
        </is>
      </c>
      <c r="I1181" s="232" t="inlineStr">
        <is>
          <t>Timpson</t>
        </is>
      </c>
      <c r="J1181" s="232" t="inlineStr">
        <is>
          <t>MANT. Y REP. CONSTRUCCIONES</t>
        </is>
      </c>
      <c r="K1181" s="232" t="inlineStr">
        <is>
          <t>MANTENCION INFRAESTRUCTURA</t>
        </is>
      </c>
      <c r="L1181" s="232" t="inlineStr">
        <is>
          <t>[PRORRATEO 4.8% 7.1há/148.3há] O/001278 PERFIL CUA</t>
        </is>
      </c>
      <c r="M1181" s="232" t="inlineStr"/>
      <c r="N1181" s="232" t="inlineStr">
        <is>
          <t>.   .   -</t>
        </is>
      </c>
      <c r="O1181" s="232" t="inlineStr">
        <is>
          <t>ENERO</t>
        </is>
      </c>
      <c r="P1181" s="232" t="n">
        <v>3</v>
      </c>
      <c r="Q1181" s="234" t="n">
        <v>2008</v>
      </c>
      <c r="R1181" s="232" t="inlineStr"/>
      <c r="S1181" s="234" t="n">
        <v>2008</v>
      </c>
      <c r="T1181" s="232" t="inlineStr">
        <is>
          <t>CLP</t>
        </is>
      </c>
      <c r="U1181" s="232" t="inlineStr">
        <is>
          <t>Prorrateo Ha PACKING</t>
        </is>
      </c>
      <c r="V1181" s="232" t="inlineStr">
        <is>
          <t>2026-06-18</t>
        </is>
      </c>
    </row>
    <row r="1182">
      <c r="A1182" s="232" t="inlineStr">
        <is>
          <t>CR-1179</t>
        </is>
      </c>
      <c r="B1182" s="232" t="inlineStr">
        <is>
          <t>2026/27</t>
        </is>
      </c>
      <c r="C1182" s="233" t="n">
        <v>46043</v>
      </c>
      <c r="D1182" s="232" t="inlineStr">
        <is>
          <t>826092</t>
        </is>
      </c>
      <c r="E1182" s="232" t="inlineStr">
        <is>
          <t>PRORRATEO</t>
        </is>
      </c>
      <c r="F1182" s="232" t="inlineStr">
        <is>
          <t>Asmara</t>
        </is>
      </c>
      <c r="G1182" s="232" t="inlineStr">
        <is>
          <t>w. murcott 19,8 ha</t>
        </is>
      </c>
      <c r="H1182" s="232" t="inlineStr">
        <is>
          <t>Mandarina</t>
        </is>
      </c>
      <c r="I1182" s="232" t="inlineStr">
        <is>
          <t>W. murcott</t>
        </is>
      </c>
      <c r="J1182" s="232" t="inlineStr">
        <is>
          <t>MANT. Y REP. CONSTRUCCIONES</t>
        </is>
      </c>
      <c r="K1182" s="232" t="inlineStr">
        <is>
          <t>MANTENCION INFRAESTRUCTURA</t>
        </is>
      </c>
      <c r="L1182" s="232" t="inlineStr">
        <is>
          <t>[PRORRATEO 13.4% 19.8há/148.3há] O/001278 PT ESMALTE</t>
        </is>
      </c>
      <c r="M1182" s="232" t="inlineStr"/>
      <c r="N1182" s="232" t="inlineStr">
        <is>
          <t>.   .   -</t>
        </is>
      </c>
      <c r="O1182" s="232" t="inlineStr">
        <is>
          <t>ENERO</t>
        </is>
      </c>
      <c r="P1182" s="232" t="n">
        <v>3</v>
      </c>
      <c r="Q1182" s="234" t="n">
        <v>10016</v>
      </c>
      <c r="R1182" s="232" t="inlineStr"/>
      <c r="S1182" s="234" t="n">
        <v>10016</v>
      </c>
      <c r="T1182" s="232" t="inlineStr">
        <is>
          <t>CLP</t>
        </is>
      </c>
      <c r="U1182" s="232" t="inlineStr">
        <is>
          <t>Prorrateo Ha PACKING</t>
        </is>
      </c>
      <c r="V1182" s="232" t="inlineStr">
        <is>
          <t>2026-06-18</t>
        </is>
      </c>
    </row>
    <row r="1183">
      <c r="A1183" s="232" t="inlineStr">
        <is>
          <t>CR-1180</t>
        </is>
      </c>
      <c r="B1183" s="232" t="inlineStr">
        <is>
          <t>2026/27</t>
        </is>
      </c>
      <c r="C1183" s="233" t="n">
        <v>46043</v>
      </c>
      <c r="D1183" s="232" t="inlineStr">
        <is>
          <t>826092</t>
        </is>
      </c>
      <c r="E1183" s="232" t="inlineStr">
        <is>
          <t>PRORRATEO</t>
        </is>
      </c>
      <c r="F1183" s="232" t="inlineStr">
        <is>
          <t>Asmara</t>
        </is>
      </c>
      <c r="G1183" s="232" t="inlineStr">
        <is>
          <t>w. murcott 4,9 ha</t>
        </is>
      </c>
      <c r="H1183" s="232" t="inlineStr">
        <is>
          <t>Mandarina</t>
        </is>
      </c>
      <c r="I1183" s="232" t="inlineStr">
        <is>
          <t>W. murcott</t>
        </is>
      </c>
      <c r="J1183" s="232" t="inlineStr">
        <is>
          <t>MANT. Y REP. CONSTRUCCIONES</t>
        </is>
      </c>
      <c r="K1183" s="232" t="inlineStr">
        <is>
          <t>MANTENCION INFRAESTRUCTURA</t>
        </is>
      </c>
      <c r="L1183" s="232" t="inlineStr">
        <is>
          <t>[PRORRATEO 3.3% 4.9há/148.3há] O/001278 PT ESMALTE</t>
        </is>
      </c>
      <c r="M1183" s="232" t="inlineStr"/>
      <c r="N1183" s="232" t="inlineStr">
        <is>
          <t>.   .   -</t>
        </is>
      </c>
      <c r="O1183" s="232" t="inlineStr">
        <is>
          <t>ENERO</t>
        </is>
      </c>
      <c r="P1183" s="232" t="n">
        <v>3</v>
      </c>
      <c r="Q1183" s="234" t="n">
        <v>2479</v>
      </c>
      <c r="R1183" s="232" t="inlineStr"/>
      <c r="S1183" s="234" t="n">
        <v>2479</v>
      </c>
      <c r="T1183" s="232" t="inlineStr">
        <is>
          <t>CLP</t>
        </is>
      </c>
      <c r="U1183" s="232" t="inlineStr">
        <is>
          <t>Prorrateo Ha PACKING</t>
        </is>
      </c>
      <c r="V1183" s="232" t="inlineStr">
        <is>
          <t>2026-06-18</t>
        </is>
      </c>
    </row>
    <row r="1184">
      <c r="A1184" s="232" t="inlineStr">
        <is>
          <t>CR-1181</t>
        </is>
      </c>
      <c r="B1184" s="232" t="inlineStr">
        <is>
          <t>2026/27</t>
        </is>
      </c>
      <c r="C1184" s="233" t="n">
        <v>46043</v>
      </c>
      <c r="D1184" s="232" t="inlineStr">
        <is>
          <t>826092</t>
        </is>
      </c>
      <c r="E1184" s="232" t="inlineStr">
        <is>
          <t>PRORRATEO</t>
        </is>
      </c>
      <c r="F1184" s="232" t="inlineStr">
        <is>
          <t>El Molle</t>
        </is>
      </c>
      <c r="G1184" s="232" t="inlineStr">
        <is>
          <t>Wonderful 5,25 ha</t>
        </is>
      </c>
      <c r="H1184" s="232" t="inlineStr">
        <is>
          <t>Granados</t>
        </is>
      </c>
      <c r="I1184" s="232" t="inlineStr">
        <is>
          <t>Wonderfull</t>
        </is>
      </c>
      <c r="J1184" s="232" t="inlineStr">
        <is>
          <t>MANT. Y REP. CONSTRUCCIONES</t>
        </is>
      </c>
      <c r="K1184" s="232" t="inlineStr">
        <is>
          <t>MANTENCION INFRAESTRUCTURA</t>
        </is>
      </c>
      <c r="L1184" s="232" t="inlineStr">
        <is>
          <t>[PRORRATEO 3.5% 5.24há/148.3há] O/001278 PT ESMALTE</t>
        </is>
      </c>
      <c r="M1184" s="232" t="inlineStr"/>
      <c r="N1184" s="232" t="inlineStr">
        <is>
          <t>.   .   -</t>
        </is>
      </c>
      <c r="O1184" s="232" t="inlineStr">
        <is>
          <t>ENERO</t>
        </is>
      </c>
      <c r="P1184" s="232" t="n">
        <v>3</v>
      </c>
      <c r="Q1184" s="234" t="n">
        <v>2651</v>
      </c>
      <c r="R1184" s="232" t="inlineStr"/>
      <c r="S1184" s="234" t="n">
        <v>2651</v>
      </c>
      <c r="T1184" s="232" t="inlineStr">
        <is>
          <t>CLP</t>
        </is>
      </c>
      <c r="U1184" s="232" t="inlineStr">
        <is>
          <t>Prorrateo Ha PACKING</t>
        </is>
      </c>
      <c r="V1184" s="232" t="inlineStr">
        <is>
          <t>2026-06-18</t>
        </is>
      </c>
    </row>
    <row r="1185">
      <c r="A1185" s="232" t="inlineStr">
        <is>
          <t>CR-1182</t>
        </is>
      </c>
      <c r="B1185" s="232" t="inlineStr">
        <is>
          <t>2026/27</t>
        </is>
      </c>
      <c r="C1185" s="233" t="n">
        <v>46043</v>
      </c>
      <c r="D1185" s="232" t="inlineStr">
        <is>
          <t>826092</t>
        </is>
      </c>
      <c r="E1185" s="232" t="inlineStr">
        <is>
          <t>PRORRATEO</t>
        </is>
      </c>
      <c r="F1185" s="232" t="inlineStr">
        <is>
          <t>El Molle</t>
        </is>
      </c>
      <c r="G1185" s="232" t="inlineStr">
        <is>
          <t>arrufatinas 5,74 ha</t>
        </is>
      </c>
      <c r="H1185" s="232" t="inlineStr">
        <is>
          <t>Clementinas</t>
        </is>
      </c>
      <c r="I1185" s="232" t="inlineStr">
        <is>
          <t>Arrufatinas</t>
        </is>
      </c>
      <c r="J1185" s="232" t="inlineStr">
        <is>
          <t>MANT. Y REP. CONSTRUCCIONES</t>
        </is>
      </c>
      <c r="K1185" s="232" t="inlineStr">
        <is>
          <t>MANTENCION INFRAESTRUCTURA</t>
        </is>
      </c>
      <c r="L1185" s="232" t="inlineStr">
        <is>
          <t>[PRORRATEO 3.9% 5.74há/148.3há] O/001278 PT ESMALTE</t>
        </is>
      </c>
      <c r="M1185" s="232" t="inlineStr"/>
      <c r="N1185" s="232" t="inlineStr">
        <is>
          <t>.   .   -</t>
        </is>
      </c>
      <c r="O1185" s="232" t="inlineStr">
        <is>
          <t>ENERO</t>
        </is>
      </c>
      <c r="P1185" s="232" t="n">
        <v>3</v>
      </c>
      <c r="Q1185" s="234" t="n">
        <v>2904</v>
      </c>
      <c r="R1185" s="232" t="inlineStr"/>
      <c r="S1185" s="234" t="n">
        <v>2904</v>
      </c>
      <c r="T1185" s="232" t="inlineStr">
        <is>
          <t>CLP</t>
        </is>
      </c>
      <c r="U1185" s="232" t="inlineStr">
        <is>
          <t>Prorrateo Ha PACKING</t>
        </is>
      </c>
      <c r="V1185" s="232" t="inlineStr">
        <is>
          <t>2026-06-18</t>
        </is>
      </c>
    </row>
    <row r="1186">
      <c r="A1186" s="232" t="inlineStr">
        <is>
          <t>CR-1183</t>
        </is>
      </c>
      <c r="B1186" s="232" t="inlineStr">
        <is>
          <t>2026/27</t>
        </is>
      </c>
      <c r="C1186" s="233" t="n">
        <v>46043</v>
      </c>
      <c r="D1186" s="232" t="inlineStr">
        <is>
          <t>826092</t>
        </is>
      </c>
      <c r="E1186" s="232" t="inlineStr">
        <is>
          <t>PRORRATEO</t>
        </is>
      </c>
      <c r="F1186" s="232" t="inlineStr">
        <is>
          <t>El Molle</t>
        </is>
      </c>
      <c r="G1186" s="232" t="inlineStr">
        <is>
          <t>orogrande 8,11 ha</t>
        </is>
      </c>
      <c r="H1186" s="232" t="inlineStr">
        <is>
          <t>Clementinas</t>
        </is>
      </c>
      <c r="I1186" s="232" t="inlineStr">
        <is>
          <t>Orogrande</t>
        </is>
      </c>
      <c r="J1186" s="232" t="inlineStr">
        <is>
          <t>MANT. Y REP. CONSTRUCCIONES</t>
        </is>
      </c>
      <c r="K1186" s="232" t="inlineStr">
        <is>
          <t>MANTENCION INFRAESTRUCTURA</t>
        </is>
      </c>
      <c r="L1186" s="232" t="inlineStr">
        <is>
          <t>[PRORRATEO 5.5% 8.11há/148.3há] O/001278 PT ESMALTE</t>
        </is>
      </c>
      <c r="M1186" s="232" t="inlineStr"/>
      <c r="N1186" s="232" t="inlineStr">
        <is>
          <t>.   .   -</t>
        </is>
      </c>
      <c r="O1186" s="232" t="inlineStr">
        <is>
          <t>ENERO</t>
        </is>
      </c>
      <c r="P1186" s="232" t="n">
        <v>3</v>
      </c>
      <c r="Q1186" s="234" t="n">
        <v>4103</v>
      </c>
      <c r="R1186" s="232" t="inlineStr"/>
      <c r="S1186" s="234" t="n">
        <v>4103</v>
      </c>
      <c r="T1186" s="232" t="inlineStr">
        <is>
          <t>CLP</t>
        </is>
      </c>
      <c r="U1186" s="232" t="inlineStr">
        <is>
          <t>Prorrateo Ha PACKING</t>
        </is>
      </c>
      <c r="V1186" s="232" t="inlineStr">
        <is>
          <t>2026-06-18</t>
        </is>
      </c>
    </row>
    <row r="1187">
      <c r="A1187" s="232" t="inlineStr">
        <is>
          <t>CR-1184</t>
        </is>
      </c>
      <c r="B1187" s="232" t="inlineStr">
        <is>
          <t>2026/27</t>
        </is>
      </c>
      <c r="C1187" s="233" t="n">
        <v>46043</v>
      </c>
      <c r="D1187" s="232" t="inlineStr">
        <is>
          <t>826092</t>
        </is>
      </c>
      <c r="E1187" s="232" t="inlineStr">
        <is>
          <t>PRORRATEO</t>
        </is>
      </c>
      <c r="F1187" s="232" t="inlineStr">
        <is>
          <t>El Molle</t>
        </is>
      </c>
      <c r="G1187" s="232" t="inlineStr">
        <is>
          <t>oronules 5,35 ha</t>
        </is>
      </c>
      <c r="H1187" s="232" t="inlineStr">
        <is>
          <t>Clementinas</t>
        </is>
      </c>
      <c r="I1187" s="232" t="inlineStr">
        <is>
          <t>Oronules</t>
        </is>
      </c>
      <c r="J1187" s="232" t="inlineStr">
        <is>
          <t>MANT. Y REP. CONSTRUCCIONES</t>
        </is>
      </c>
      <c r="K1187" s="232" t="inlineStr">
        <is>
          <t>MANTENCION INFRAESTRUCTURA</t>
        </is>
      </c>
      <c r="L1187" s="232" t="inlineStr">
        <is>
          <t>[PRORRATEO 3.6% 5.35há/148.3há] O/001278 PT ESMALTE</t>
        </is>
      </c>
      <c r="M1187" s="232" t="inlineStr"/>
      <c r="N1187" s="232" t="inlineStr">
        <is>
          <t>.   .   -</t>
        </is>
      </c>
      <c r="O1187" s="232" t="inlineStr">
        <is>
          <t>ENERO</t>
        </is>
      </c>
      <c r="P1187" s="232" t="n">
        <v>3</v>
      </c>
      <c r="Q1187" s="234" t="n">
        <v>2706</v>
      </c>
      <c r="R1187" s="232" t="inlineStr"/>
      <c r="S1187" s="234" t="n">
        <v>2706</v>
      </c>
      <c r="T1187" s="232" t="inlineStr">
        <is>
          <t>CLP</t>
        </is>
      </c>
      <c r="U1187" s="232" t="inlineStr">
        <is>
          <t>Prorrateo Ha PACKING</t>
        </is>
      </c>
      <c r="V1187" s="232" t="inlineStr">
        <is>
          <t>2026-06-18</t>
        </is>
      </c>
    </row>
    <row r="1188">
      <c r="A1188" s="232" t="inlineStr">
        <is>
          <t>CR-1185</t>
        </is>
      </c>
      <c r="B1188" s="232" t="inlineStr">
        <is>
          <t>2026/27</t>
        </is>
      </c>
      <c r="C1188" s="233" t="n">
        <v>46043</v>
      </c>
      <c r="D1188" s="232" t="inlineStr">
        <is>
          <t>826092</t>
        </is>
      </c>
      <c r="E1188" s="232" t="inlineStr">
        <is>
          <t>PRORRATEO</t>
        </is>
      </c>
      <c r="F1188" s="232" t="inlineStr">
        <is>
          <t>Santa Catalina</t>
        </is>
      </c>
      <c r="G1188" s="232" t="inlineStr">
        <is>
          <t>Fino 49 7,7 ha</t>
        </is>
      </c>
      <c r="H1188" s="232" t="inlineStr">
        <is>
          <t>Limon</t>
        </is>
      </c>
      <c r="I1188" s="232" t="inlineStr">
        <is>
          <t>Fino 49</t>
        </is>
      </c>
      <c r="J1188" s="232" t="inlineStr">
        <is>
          <t>MANT. Y REP. CONSTRUCCIONES</t>
        </is>
      </c>
      <c r="K1188" s="232" t="inlineStr">
        <is>
          <t>MANTENCION INFRAESTRUCTURA</t>
        </is>
      </c>
      <c r="L1188" s="232" t="inlineStr">
        <is>
          <t>[PRORRATEO 5.2% 7.7há/148.3há] O/001278 PT ESMALTE</t>
        </is>
      </c>
      <c r="M1188" s="232" t="inlineStr"/>
      <c r="N1188" s="232" t="inlineStr">
        <is>
          <t>.   .   -</t>
        </is>
      </c>
      <c r="O1188" s="232" t="inlineStr">
        <is>
          <t>ENERO</t>
        </is>
      </c>
      <c r="P1188" s="232" t="n">
        <v>3</v>
      </c>
      <c r="Q1188" s="234" t="n">
        <v>3895</v>
      </c>
      <c r="R1188" s="232" t="inlineStr"/>
      <c r="S1188" s="234" t="n">
        <v>3895</v>
      </c>
      <c r="T1188" s="232" t="inlineStr">
        <is>
          <t>CLP</t>
        </is>
      </c>
      <c r="U1188" s="232" t="inlineStr">
        <is>
          <t>Prorrateo Ha PACKING</t>
        </is>
      </c>
      <c r="V1188" s="232" t="inlineStr">
        <is>
          <t>2026-06-18</t>
        </is>
      </c>
    </row>
    <row r="1189">
      <c r="A1189" s="232" t="inlineStr">
        <is>
          <t>CR-1186</t>
        </is>
      </c>
      <c r="B1189" s="232" t="inlineStr">
        <is>
          <t>2026/27</t>
        </is>
      </c>
      <c r="C1189" s="233" t="n">
        <v>46043</v>
      </c>
      <c r="D1189" s="232" t="inlineStr">
        <is>
          <t>826092</t>
        </is>
      </c>
      <c r="E1189" s="232" t="inlineStr">
        <is>
          <t>PRORRATEO</t>
        </is>
      </c>
      <c r="F1189" s="232" t="inlineStr">
        <is>
          <t>Santa Catalina</t>
        </is>
      </c>
      <c r="G1189" s="232" t="inlineStr">
        <is>
          <t>W. murcott 21 ha</t>
        </is>
      </c>
      <c r="H1189" s="232" t="inlineStr">
        <is>
          <t>Mandarina</t>
        </is>
      </c>
      <c r="I1189" s="232" t="inlineStr">
        <is>
          <t>W. murcott</t>
        </is>
      </c>
      <c r="J1189" s="232" t="inlineStr">
        <is>
          <t>MANT. Y REP. CONSTRUCCIONES</t>
        </is>
      </c>
      <c r="K1189" s="232" t="inlineStr">
        <is>
          <t>MANTENCION INFRAESTRUCTURA</t>
        </is>
      </c>
      <c r="L1189" s="232" t="inlineStr">
        <is>
          <t>[PRORRATEO 14.2% 21.0há/148.3há] O/001278 PT ESMALTE</t>
        </is>
      </c>
      <c r="M1189" s="232" t="inlineStr"/>
      <c r="N1189" s="232" t="inlineStr">
        <is>
          <t>.   .   -</t>
        </is>
      </c>
      <c r="O1189" s="232" t="inlineStr">
        <is>
          <t>ENERO</t>
        </is>
      </c>
      <c r="P1189" s="232" t="n">
        <v>3</v>
      </c>
      <c r="Q1189" s="234" t="n">
        <v>10623</v>
      </c>
      <c r="R1189" s="232" t="inlineStr"/>
      <c r="S1189" s="234" t="n">
        <v>10623</v>
      </c>
      <c r="T1189" s="232" t="inlineStr">
        <is>
          <t>CLP</t>
        </is>
      </c>
      <c r="U1189" s="232" t="inlineStr">
        <is>
          <t>Prorrateo Ha PACKING</t>
        </is>
      </c>
      <c r="V1189" s="232" t="inlineStr">
        <is>
          <t>2026-06-18</t>
        </is>
      </c>
    </row>
    <row r="1190">
      <c r="A1190" s="232" t="inlineStr">
        <is>
          <t>CR-1187</t>
        </is>
      </c>
      <c r="B1190" s="232" t="inlineStr">
        <is>
          <t>2026/27</t>
        </is>
      </c>
      <c r="C1190" s="233" t="n">
        <v>46043</v>
      </c>
      <c r="D1190" s="232" t="inlineStr">
        <is>
          <t>826092</t>
        </is>
      </c>
      <c r="E1190" s="232" t="inlineStr">
        <is>
          <t>PRORRATEO</t>
        </is>
      </c>
      <c r="F1190" s="232" t="inlineStr">
        <is>
          <t>Santa Catalina</t>
        </is>
      </c>
      <c r="G1190" s="232" t="inlineStr">
        <is>
          <t>cambria 4,2 ha</t>
        </is>
      </c>
      <c r="H1190" s="232" t="inlineStr">
        <is>
          <t>Naranjas</t>
        </is>
      </c>
      <c r="I1190" s="232" t="inlineStr">
        <is>
          <t>Cambria</t>
        </is>
      </c>
      <c r="J1190" s="232" t="inlineStr">
        <is>
          <t>MANT. Y REP. CONSTRUCCIONES</t>
        </is>
      </c>
      <c r="K1190" s="232" t="inlineStr">
        <is>
          <t>MANTENCION INFRAESTRUCTURA</t>
        </is>
      </c>
      <c r="L1190" s="232" t="inlineStr">
        <is>
          <t>[PRORRATEO 2.8% 4.2há/148.3há] O/001278 PT ESMALTE</t>
        </is>
      </c>
      <c r="M1190" s="232" t="inlineStr"/>
      <c r="N1190" s="232" t="inlineStr">
        <is>
          <t>.   .   -</t>
        </is>
      </c>
      <c r="O1190" s="232" t="inlineStr">
        <is>
          <t>ENERO</t>
        </is>
      </c>
      <c r="P1190" s="232" t="n">
        <v>3</v>
      </c>
      <c r="Q1190" s="234" t="n">
        <v>2125</v>
      </c>
      <c r="R1190" s="232" t="inlineStr"/>
      <c r="S1190" s="234" t="n">
        <v>2125</v>
      </c>
      <c r="T1190" s="232" t="inlineStr">
        <is>
          <t>CLP</t>
        </is>
      </c>
      <c r="U1190" s="232" t="inlineStr">
        <is>
          <t>Prorrateo Ha PACKING</t>
        </is>
      </c>
      <c r="V1190" s="232" t="inlineStr">
        <is>
          <t>2026-06-18</t>
        </is>
      </c>
    </row>
    <row r="1191">
      <c r="A1191" s="232" t="inlineStr">
        <is>
          <t>CR-1188</t>
        </is>
      </c>
      <c r="B1191" s="232" t="inlineStr">
        <is>
          <t>2026/27</t>
        </is>
      </c>
      <c r="C1191" s="233" t="n">
        <v>46043</v>
      </c>
      <c r="D1191" s="232" t="inlineStr">
        <is>
          <t>826092</t>
        </is>
      </c>
      <c r="E1191" s="232" t="inlineStr">
        <is>
          <t>PRORRATEO</t>
        </is>
      </c>
      <c r="F1191" s="232" t="inlineStr">
        <is>
          <t>Santa Catalina</t>
        </is>
      </c>
      <c r="G1191" s="232" t="inlineStr">
        <is>
          <t>eureka 10,6 ha</t>
        </is>
      </c>
      <c r="H1191" s="232" t="inlineStr">
        <is>
          <t>Limon</t>
        </is>
      </c>
      <c r="I1191" s="232" t="inlineStr">
        <is>
          <t>Eureka</t>
        </is>
      </c>
      <c r="J1191" s="232" t="inlineStr">
        <is>
          <t>MANT. Y REP. CONSTRUCCIONES</t>
        </is>
      </c>
      <c r="K1191" s="232" t="inlineStr">
        <is>
          <t>MANTENCION INFRAESTRUCTURA</t>
        </is>
      </c>
      <c r="L1191" s="232" t="inlineStr">
        <is>
          <t>[PRORRATEO 7.1% 10.6há/148.3há] O/001278 PT ESMALTE</t>
        </is>
      </c>
      <c r="M1191" s="232" t="inlineStr"/>
      <c r="N1191" s="232" t="inlineStr">
        <is>
          <t>.   .   -</t>
        </is>
      </c>
      <c r="O1191" s="232" t="inlineStr">
        <is>
          <t>ENERO</t>
        </is>
      </c>
      <c r="P1191" s="232" t="n">
        <v>3</v>
      </c>
      <c r="Q1191" s="234" t="n">
        <v>5362</v>
      </c>
      <c r="R1191" s="232" t="inlineStr"/>
      <c r="S1191" s="234" t="n">
        <v>5362</v>
      </c>
      <c r="T1191" s="232" t="inlineStr">
        <is>
          <t>CLP</t>
        </is>
      </c>
      <c r="U1191" s="232" t="inlineStr">
        <is>
          <t>Prorrateo Ha PACKING</t>
        </is>
      </c>
      <c r="V1191" s="232" t="inlineStr">
        <is>
          <t>2026-06-18</t>
        </is>
      </c>
    </row>
    <row r="1192">
      <c r="A1192" s="232" t="inlineStr">
        <is>
          <t>CR-1189</t>
        </is>
      </c>
      <c r="B1192" s="232" t="inlineStr">
        <is>
          <t>2026/27</t>
        </is>
      </c>
      <c r="C1192" s="233" t="n">
        <v>46043</v>
      </c>
      <c r="D1192" s="232" t="inlineStr">
        <is>
          <t>826092</t>
        </is>
      </c>
      <c r="E1192" s="232" t="inlineStr">
        <is>
          <t>PRORRATEO</t>
        </is>
      </c>
      <c r="F1192" s="232" t="inlineStr">
        <is>
          <t>Santa Catalina</t>
        </is>
      </c>
      <c r="G1192" s="232" t="inlineStr">
        <is>
          <t>eureka 14,4 ha</t>
        </is>
      </c>
      <c r="H1192" s="232" t="inlineStr">
        <is>
          <t>Limon</t>
        </is>
      </c>
      <c r="I1192" s="232" t="inlineStr">
        <is>
          <t>Eureka</t>
        </is>
      </c>
      <c r="J1192" s="232" t="inlineStr">
        <is>
          <t>MANT. Y REP. CONSTRUCCIONES</t>
        </is>
      </c>
      <c r="K1192" s="232" t="inlineStr">
        <is>
          <t>MANTENCION INFRAESTRUCTURA</t>
        </is>
      </c>
      <c r="L1192" s="232" t="inlineStr">
        <is>
          <t>[PRORRATEO 9.7% 14.4há/148.3há] O/001278 PT ESMALTE</t>
        </is>
      </c>
      <c r="M1192" s="232" t="inlineStr"/>
      <c r="N1192" s="232" t="inlineStr">
        <is>
          <t>.   .   -</t>
        </is>
      </c>
      <c r="O1192" s="232" t="inlineStr">
        <is>
          <t>ENERO</t>
        </is>
      </c>
      <c r="P1192" s="232" t="n">
        <v>3</v>
      </c>
      <c r="Q1192" s="234" t="n">
        <v>7285</v>
      </c>
      <c r="R1192" s="232" t="inlineStr"/>
      <c r="S1192" s="234" t="n">
        <v>7285</v>
      </c>
      <c r="T1192" s="232" t="inlineStr">
        <is>
          <t>CLP</t>
        </is>
      </c>
      <c r="U1192" s="232" t="inlineStr">
        <is>
          <t>Prorrateo Ha PACKING</t>
        </is>
      </c>
      <c r="V1192" s="232" t="inlineStr">
        <is>
          <t>2026-06-18</t>
        </is>
      </c>
    </row>
    <row r="1193">
      <c r="A1193" s="232" t="inlineStr">
        <is>
          <t>CR-1190</t>
        </is>
      </c>
      <c r="B1193" s="232" t="inlineStr">
        <is>
          <t>2026/27</t>
        </is>
      </c>
      <c r="C1193" s="233" t="n">
        <v>46043</v>
      </c>
      <c r="D1193" s="232" t="inlineStr">
        <is>
          <t>826092</t>
        </is>
      </c>
      <c r="E1193" s="232" t="inlineStr">
        <is>
          <t>PRORRATEO</t>
        </is>
      </c>
      <c r="F1193" s="232" t="inlineStr">
        <is>
          <t>Santa Catalina</t>
        </is>
      </c>
      <c r="G1193" s="232" t="inlineStr">
        <is>
          <t>eureka 22,55</t>
        </is>
      </c>
      <c r="H1193" s="232" t="inlineStr">
        <is>
          <t>Limon</t>
        </is>
      </c>
      <c r="I1193" s="232" t="inlineStr">
        <is>
          <t>Eureka</t>
        </is>
      </c>
      <c r="J1193" s="232" t="inlineStr">
        <is>
          <t>MANT. Y REP. CONSTRUCCIONES</t>
        </is>
      </c>
      <c r="K1193" s="232" t="inlineStr">
        <is>
          <t>MANTENCION INFRAESTRUCTURA</t>
        </is>
      </c>
      <c r="L1193" s="232" t="inlineStr">
        <is>
          <t>[PRORRATEO 15.2% 22.55há/148.3há] O/001278 PT ESMALTE</t>
        </is>
      </c>
      <c r="M1193" s="232" t="inlineStr"/>
      <c r="N1193" s="232" t="inlineStr">
        <is>
          <t>.   .   -</t>
        </is>
      </c>
      <c r="O1193" s="232" t="inlineStr">
        <is>
          <t>ENERO</t>
        </is>
      </c>
      <c r="P1193" s="232" t="n">
        <v>3</v>
      </c>
      <c r="Q1193" s="234" t="n">
        <v>11407</v>
      </c>
      <c r="R1193" s="232" t="inlineStr"/>
      <c r="S1193" s="234" t="n">
        <v>11407</v>
      </c>
      <c r="T1193" s="232" t="inlineStr">
        <is>
          <t>CLP</t>
        </is>
      </c>
      <c r="U1193" s="232" t="inlineStr">
        <is>
          <t>Prorrateo Ha PACKING</t>
        </is>
      </c>
      <c r="V1193" s="232" t="inlineStr">
        <is>
          <t>2026-06-18</t>
        </is>
      </c>
    </row>
    <row r="1194">
      <c r="A1194" s="232" t="inlineStr">
        <is>
          <t>CR-1191</t>
        </is>
      </c>
      <c r="B1194" s="232" t="inlineStr">
        <is>
          <t>2026/27</t>
        </is>
      </c>
      <c r="C1194" s="233" t="n">
        <v>46043</v>
      </c>
      <c r="D1194" s="232" t="inlineStr">
        <is>
          <t>826092</t>
        </is>
      </c>
      <c r="E1194" s="232" t="inlineStr">
        <is>
          <t>PRORRATEO</t>
        </is>
      </c>
      <c r="F1194" s="232" t="inlineStr">
        <is>
          <t>Santa Catalina</t>
        </is>
      </c>
      <c r="G1194" s="232" t="inlineStr">
        <is>
          <t>form benjamin 1,93 ha</t>
        </is>
      </c>
      <c r="H1194" s="232" t="inlineStr">
        <is>
          <t>Limon</t>
        </is>
      </c>
      <c r="I1194" s="232" t="inlineStr">
        <is>
          <t>Benjamin andes</t>
        </is>
      </c>
      <c r="J1194" s="232" t="inlineStr">
        <is>
          <t>MANT. Y REP. CONSTRUCCIONES</t>
        </is>
      </c>
      <c r="K1194" s="232" t="inlineStr">
        <is>
          <t>MANTENCION INFRAESTRUCTURA</t>
        </is>
      </c>
      <c r="L1194" s="232" t="inlineStr">
        <is>
          <t>[PRORRATEO 1.3% 1.93há/148.3há] O/001278 PT ESMALTE</t>
        </is>
      </c>
      <c r="M1194" s="232" t="inlineStr"/>
      <c r="N1194" s="232" t="inlineStr">
        <is>
          <t>.   .   -</t>
        </is>
      </c>
      <c r="O1194" s="232" t="inlineStr">
        <is>
          <t>ENERO</t>
        </is>
      </c>
      <c r="P1194" s="232" t="n">
        <v>3</v>
      </c>
      <c r="Q1194" s="234" t="n">
        <v>976</v>
      </c>
      <c r="R1194" s="232" t="inlineStr"/>
      <c r="S1194" s="234" t="n">
        <v>976</v>
      </c>
      <c r="T1194" s="232" t="inlineStr">
        <is>
          <t>CLP</t>
        </is>
      </c>
      <c r="U1194" s="232" t="inlineStr">
        <is>
          <t>Prorrateo Ha PACKING</t>
        </is>
      </c>
      <c r="V1194" s="232" t="inlineStr">
        <is>
          <t>2026-06-18</t>
        </is>
      </c>
    </row>
    <row r="1195">
      <c r="A1195" s="232" t="inlineStr">
        <is>
          <t>CR-1192</t>
        </is>
      </c>
      <c r="B1195" s="232" t="inlineStr">
        <is>
          <t>2026/27</t>
        </is>
      </c>
      <c r="C1195" s="233" t="n">
        <v>46043</v>
      </c>
      <c r="D1195" s="232" t="inlineStr">
        <is>
          <t>826092</t>
        </is>
      </c>
      <c r="E1195" s="232" t="inlineStr">
        <is>
          <t>PRORRATEO</t>
        </is>
      </c>
      <c r="F1195" s="232" t="inlineStr">
        <is>
          <t>Santa Catalina</t>
        </is>
      </c>
      <c r="G1195" s="232" t="inlineStr">
        <is>
          <t>mant eureka 2,5 ha</t>
        </is>
      </c>
      <c r="H1195" s="232" t="inlineStr">
        <is>
          <t>Limon</t>
        </is>
      </c>
      <c r="I1195" s="232" t="inlineStr">
        <is>
          <t>Eureka</t>
        </is>
      </c>
      <c r="J1195" s="232" t="inlineStr">
        <is>
          <t>MANT. Y REP. CONSTRUCCIONES</t>
        </is>
      </c>
      <c r="K1195" s="232" t="inlineStr">
        <is>
          <t>MANTENCION INFRAESTRUCTURA</t>
        </is>
      </c>
      <c r="L1195" s="232" t="inlineStr">
        <is>
          <t>[PRORRATEO 1.7% 2.5há/148.3há] O/001278 PT ESMALTE</t>
        </is>
      </c>
      <c r="M1195" s="232" t="inlineStr"/>
      <c r="N1195" s="232" t="inlineStr">
        <is>
          <t>.   .   -</t>
        </is>
      </c>
      <c r="O1195" s="232" t="inlineStr">
        <is>
          <t>ENERO</t>
        </is>
      </c>
      <c r="P1195" s="232" t="n">
        <v>3</v>
      </c>
      <c r="Q1195" s="234" t="n">
        <v>1265</v>
      </c>
      <c r="R1195" s="232" t="inlineStr"/>
      <c r="S1195" s="234" t="n">
        <v>1265</v>
      </c>
      <c r="T1195" s="232" t="inlineStr">
        <is>
          <t>CLP</t>
        </is>
      </c>
      <c r="U1195" s="232" t="inlineStr">
        <is>
          <t>Prorrateo Ha PACKING</t>
        </is>
      </c>
      <c r="V1195" s="232" t="inlineStr">
        <is>
          <t>2026-06-18</t>
        </is>
      </c>
    </row>
    <row r="1196">
      <c r="A1196" s="232" t="inlineStr">
        <is>
          <t>CR-1193</t>
        </is>
      </c>
      <c r="B1196" s="232" t="inlineStr">
        <is>
          <t>2026/27</t>
        </is>
      </c>
      <c r="C1196" s="233" t="n">
        <v>46043</v>
      </c>
      <c r="D1196" s="232" t="inlineStr">
        <is>
          <t>826092</t>
        </is>
      </c>
      <c r="E1196" s="232" t="inlineStr">
        <is>
          <t>PRORRATEO</t>
        </is>
      </c>
      <c r="F1196" s="232" t="inlineStr">
        <is>
          <t>Siberia</t>
        </is>
      </c>
      <c r="G1196" s="232" t="inlineStr">
        <is>
          <t>S. Celebration 7,14</t>
        </is>
      </c>
      <c r="H1196" s="232" t="inlineStr">
        <is>
          <t>Uvas</t>
        </is>
      </c>
      <c r="I1196" s="232" t="inlineStr">
        <is>
          <t>S. celebration</t>
        </is>
      </c>
      <c r="J1196" s="232" t="inlineStr">
        <is>
          <t>MANT. Y REP. CONSTRUCCIONES</t>
        </is>
      </c>
      <c r="K1196" s="232" t="inlineStr">
        <is>
          <t>MANTENCION INFRAESTRUCTURA</t>
        </is>
      </c>
      <c r="L1196" s="232" t="inlineStr">
        <is>
          <t>[PRORRATEO 4.8% 7.14há/148.3há] O/001278 PT ESMALTE</t>
        </is>
      </c>
      <c r="M1196" s="232" t="inlineStr"/>
      <c r="N1196" s="232" t="inlineStr">
        <is>
          <t>.   .   -</t>
        </is>
      </c>
      <c r="O1196" s="232" t="inlineStr">
        <is>
          <t>ENERO</t>
        </is>
      </c>
      <c r="P1196" s="232" t="n">
        <v>3</v>
      </c>
      <c r="Q1196" s="234" t="n">
        <v>3612</v>
      </c>
      <c r="R1196" s="232" t="inlineStr"/>
      <c r="S1196" s="234" t="n">
        <v>3612</v>
      </c>
      <c r="T1196" s="232" t="inlineStr">
        <is>
          <t>CLP</t>
        </is>
      </c>
      <c r="U1196" s="232" t="inlineStr">
        <is>
          <t>Prorrateo Ha PACKING</t>
        </is>
      </c>
      <c r="V1196" s="232" t="inlineStr">
        <is>
          <t>2026-06-18</t>
        </is>
      </c>
    </row>
    <row r="1197">
      <c r="A1197" s="232" t="inlineStr">
        <is>
          <t>CR-1194</t>
        </is>
      </c>
      <c r="B1197" s="232" t="inlineStr">
        <is>
          <t>2026/27</t>
        </is>
      </c>
      <c r="C1197" s="233" t="n">
        <v>46043</v>
      </c>
      <c r="D1197" s="232" t="inlineStr">
        <is>
          <t>826092</t>
        </is>
      </c>
      <c r="E1197" s="232" t="inlineStr">
        <is>
          <t>PRORRATEO</t>
        </is>
      </c>
      <c r="F1197" s="232" t="inlineStr">
        <is>
          <t>Siberia</t>
        </is>
      </c>
      <c r="G1197" s="232" t="inlineStr">
        <is>
          <t>Timpson 7,1</t>
        </is>
      </c>
      <c r="H1197" s="232" t="inlineStr">
        <is>
          <t>Uvas</t>
        </is>
      </c>
      <c r="I1197" s="232" t="inlineStr">
        <is>
          <t>Timpson</t>
        </is>
      </c>
      <c r="J1197" s="232" t="inlineStr">
        <is>
          <t>MANT. Y REP. CONSTRUCCIONES</t>
        </is>
      </c>
      <c r="K1197" s="232" t="inlineStr">
        <is>
          <t>MANTENCION INFRAESTRUCTURA</t>
        </is>
      </c>
      <c r="L1197" s="232" t="inlineStr">
        <is>
          <t>[PRORRATEO 4.8% 7.1há/148.3há] O/001278 PT ESMALTE</t>
        </is>
      </c>
      <c r="M1197" s="232" t="inlineStr"/>
      <c r="N1197" s="232" t="inlineStr">
        <is>
          <t>.   .   -</t>
        </is>
      </c>
      <c r="O1197" s="232" t="inlineStr">
        <is>
          <t>ENERO</t>
        </is>
      </c>
      <c r="P1197" s="232" t="n">
        <v>3</v>
      </c>
      <c r="Q1197" s="234" t="n">
        <v>3592</v>
      </c>
      <c r="R1197" s="232" t="inlineStr"/>
      <c r="S1197" s="234" t="n">
        <v>3592</v>
      </c>
      <c r="T1197" s="232" t="inlineStr">
        <is>
          <t>CLP</t>
        </is>
      </c>
      <c r="U1197" s="232" t="inlineStr">
        <is>
          <t>Prorrateo Ha PACKING</t>
        </is>
      </c>
      <c r="V1197" s="232" t="inlineStr">
        <is>
          <t>2026-06-18</t>
        </is>
      </c>
    </row>
    <row r="1198">
      <c r="A1198" s="232" t="inlineStr">
        <is>
          <t>CR-1195</t>
        </is>
      </c>
      <c r="B1198" s="232" t="inlineStr">
        <is>
          <t>2026/27</t>
        </is>
      </c>
      <c r="C1198" s="233" t="n">
        <v>46043</v>
      </c>
      <c r="D1198" s="232" t="inlineStr">
        <is>
          <t>826092</t>
        </is>
      </c>
      <c r="E1198" s="232" t="inlineStr">
        <is>
          <t>PRORRATEO</t>
        </is>
      </c>
      <c r="F1198" s="232" t="inlineStr">
        <is>
          <t>Asmara</t>
        </is>
      </c>
      <c r="G1198" s="232" t="inlineStr">
        <is>
          <t>w. murcott 19,8 ha</t>
        </is>
      </c>
      <c r="H1198" s="232" t="inlineStr">
        <is>
          <t>Mandarina</t>
        </is>
      </c>
      <c r="I1198" s="232" t="inlineStr">
        <is>
          <t>W. murcott</t>
        </is>
      </c>
      <c r="J1198" s="232" t="inlineStr">
        <is>
          <t>MANT. Y REP. CONSTRUCCIONES</t>
        </is>
      </c>
      <c r="K1198" s="232" t="inlineStr">
        <is>
          <t>MANTENCION INFRAESTRUCTURA</t>
        </is>
      </c>
      <c r="L1198" s="232" t="inlineStr">
        <is>
          <t>[PRORRATEO 13.4% 19.8há/148.3há] O/001278 ROLLO 2KG</t>
        </is>
      </c>
      <c r="M1198" s="232" t="inlineStr"/>
      <c r="N1198" s="232" t="inlineStr">
        <is>
          <t>.   .   -</t>
        </is>
      </c>
      <c r="O1198" s="232" t="inlineStr">
        <is>
          <t>ENERO</t>
        </is>
      </c>
      <c r="P1198" s="232" t="n">
        <v>3</v>
      </c>
      <c r="Q1198" s="234" t="n">
        <v>1055</v>
      </c>
      <c r="R1198" s="232" t="inlineStr"/>
      <c r="S1198" s="234" t="n">
        <v>1055</v>
      </c>
      <c r="T1198" s="232" t="inlineStr">
        <is>
          <t>CLP</t>
        </is>
      </c>
      <c r="U1198" s="232" t="inlineStr">
        <is>
          <t>Prorrateo Ha PACKING</t>
        </is>
      </c>
      <c r="V1198" s="232" t="inlineStr">
        <is>
          <t>2026-06-18</t>
        </is>
      </c>
    </row>
    <row r="1199">
      <c r="A1199" s="232" t="inlineStr">
        <is>
          <t>CR-1196</t>
        </is>
      </c>
      <c r="B1199" s="232" t="inlineStr">
        <is>
          <t>2026/27</t>
        </is>
      </c>
      <c r="C1199" s="233" t="n">
        <v>46043</v>
      </c>
      <c r="D1199" s="232" t="inlineStr">
        <is>
          <t>826092</t>
        </is>
      </c>
      <c r="E1199" s="232" t="inlineStr">
        <is>
          <t>PRORRATEO</t>
        </is>
      </c>
      <c r="F1199" s="232" t="inlineStr">
        <is>
          <t>Asmara</t>
        </is>
      </c>
      <c r="G1199" s="232" t="inlineStr">
        <is>
          <t>w. murcott 4,9 ha</t>
        </is>
      </c>
      <c r="H1199" s="232" t="inlineStr">
        <is>
          <t>Mandarina</t>
        </is>
      </c>
      <c r="I1199" s="232" t="inlineStr">
        <is>
          <t>W. murcott</t>
        </is>
      </c>
      <c r="J1199" s="232" t="inlineStr">
        <is>
          <t>MANT. Y REP. CONSTRUCCIONES</t>
        </is>
      </c>
      <c r="K1199" s="232" t="inlineStr">
        <is>
          <t>MANTENCION INFRAESTRUCTURA</t>
        </is>
      </c>
      <c r="L1199" s="232" t="inlineStr">
        <is>
          <t>[PRORRATEO 3.3% 4.9há/148.3há] O/001278 ROLLO 2KG</t>
        </is>
      </c>
      <c r="M1199" s="232" t="inlineStr"/>
      <c r="N1199" s="232" t="inlineStr">
        <is>
          <t>.   .   -</t>
        </is>
      </c>
      <c r="O1199" s="232" t="inlineStr">
        <is>
          <t>ENERO</t>
        </is>
      </c>
      <c r="P1199" s="232" t="n">
        <v>3</v>
      </c>
      <c r="Q1199" s="234" t="n">
        <v>261</v>
      </c>
      <c r="R1199" s="232" t="inlineStr"/>
      <c r="S1199" s="234" t="n">
        <v>261</v>
      </c>
      <c r="T1199" s="232" t="inlineStr">
        <is>
          <t>CLP</t>
        </is>
      </c>
      <c r="U1199" s="232" t="inlineStr">
        <is>
          <t>Prorrateo Ha PACKING</t>
        </is>
      </c>
      <c r="V1199" s="232" t="inlineStr">
        <is>
          <t>2026-06-18</t>
        </is>
      </c>
    </row>
    <row r="1200">
      <c r="A1200" s="232" t="inlineStr">
        <is>
          <t>CR-1197</t>
        </is>
      </c>
      <c r="B1200" s="232" t="inlineStr">
        <is>
          <t>2026/27</t>
        </is>
      </c>
      <c r="C1200" s="233" t="n">
        <v>46043</v>
      </c>
      <c r="D1200" s="232" t="inlineStr">
        <is>
          <t>826092</t>
        </is>
      </c>
      <c r="E1200" s="232" t="inlineStr">
        <is>
          <t>PRORRATEO</t>
        </is>
      </c>
      <c r="F1200" s="232" t="inlineStr">
        <is>
          <t>El Molle</t>
        </is>
      </c>
      <c r="G1200" s="232" t="inlineStr">
        <is>
          <t>Wonderful 5,25 ha</t>
        </is>
      </c>
      <c r="H1200" s="232" t="inlineStr">
        <is>
          <t>Granados</t>
        </is>
      </c>
      <c r="I1200" s="232" t="inlineStr">
        <is>
          <t>Wonderfull</t>
        </is>
      </c>
      <c r="J1200" s="232" t="inlineStr">
        <is>
          <t>MANT. Y REP. CONSTRUCCIONES</t>
        </is>
      </c>
      <c r="K1200" s="232" t="inlineStr">
        <is>
          <t>MANTENCION INFRAESTRUCTURA</t>
        </is>
      </c>
      <c r="L1200" s="232" t="inlineStr">
        <is>
          <t>[PRORRATEO 3.5% 5.24há/148.3há] O/001278 ROLLO 2KG</t>
        </is>
      </c>
      <c r="M1200" s="232" t="inlineStr"/>
      <c r="N1200" s="232" t="inlineStr">
        <is>
          <t>.   .   -</t>
        </is>
      </c>
      <c r="O1200" s="232" t="inlineStr">
        <is>
          <t>ENERO</t>
        </is>
      </c>
      <c r="P1200" s="232" t="n">
        <v>3</v>
      </c>
      <c r="Q1200" s="234" t="n">
        <v>279</v>
      </c>
      <c r="R1200" s="232" t="inlineStr"/>
      <c r="S1200" s="234" t="n">
        <v>279</v>
      </c>
      <c r="T1200" s="232" t="inlineStr">
        <is>
          <t>CLP</t>
        </is>
      </c>
      <c r="U1200" s="232" t="inlineStr">
        <is>
          <t>Prorrateo Ha PACKING</t>
        </is>
      </c>
      <c r="V1200" s="232" t="inlineStr">
        <is>
          <t>2026-06-18</t>
        </is>
      </c>
    </row>
    <row r="1201">
      <c r="A1201" s="232" t="inlineStr">
        <is>
          <t>CR-1198</t>
        </is>
      </c>
      <c r="B1201" s="232" t="inlineStr">
        <is>
          <t>2026/27</t>
        </is>
      </c>
      <c r="C1201" s="233" t="n">
        <v>46043</v>
      </c>
      <c r="D1201" s="232" t="inlineStr">
        <is>
          <t>826092</t>
        </is>
      </c>
      <c r="E1201" s="232" t="inlineStr">
        <is>
          <t>PRORRATEO</t>
        </is>
      </c>
      <c r="F1201" s="232" t="inlineStr">
        <is>
          <t>El Molle</t>
        </is>
      </c>
      <c r="G1201" s="232" t="inlineStr">
        <is>
          <t>arrufatinas 5,74 ha</t>
        </is>
      </c>
      <c r="H1201" s="232" t="inlineStr">
        <is>
          <t>Clementinas</t>
        </is>
      </c>
      <c r="I1201" s="232" t="inlineStr">
        <is>
          <t>Arrufatinas</t>
        </is>
      </c>
      <c r="J1201" s="232" t="inlineStr">
        <is>
          <t>MANT. Y REP. CONSTRUCCIONES</t>
        </is>
      </c>
      <c r="K1201" s="232" t="inlineStr">
        <is>
          <t>MANTENCION INFRAESTRUCTURA</t>
        </is>
      </c>
      <c r="L1201" s="232" t="inlineStr">
        <is>
          <t>[PRORRATEO 3.9% 5.74há/148.3há] O/001278 ROLLO 2KG</t>
        </is>
      </c>
      <c r="M1201" s="232" t="inlineStr"/>
      <c r="N1201" s="232" t="inlineStr">
        <is>
          <t>.   .   -</t>
        </is>
      </c>
      <c r="O1201" s="232" t="inlineStr">
        <is>
          <t>ENERO</t>
        </is>
      </c>
      <c r="P1201" s="232" t="n">
        <v>3</v>
      </c>
      <c r="Q1201" s="234" t="n">
        <v>306</v>
      </c>
      <c r="R1201" s="232" t="inlineStr"/>
      <c r="S1201" s="234" t="n">
        <v>306</v>
      </c>
      <c r="T1201" s="232" t="inlineStr">
        <is>
          <t>CLP</t>
        </is>
      </c>
      <c r="U1201" s="232" t="inlineStr">
        <is>
          <t>Prorrateo Ha PACKING</t>
        </is>
      </c>
      <c r="V1201" s="232" t="inlineStr">
        <is>
          <t>2026-06-18</t>
        </is>
      </c>
    </row>
    <row r="1202">
      <c r="A1202" s="232" t="inlineStr">
        <is>
          <t>CR-1199</t>
        </is>
      </c>
      <c r="B1202" s="232" t="inlineStr">
        <is>
          <t>2026/27</t>
        </is>
      </c>
      <c r="C1202" s="233" t="n">
        <v>46043</v>
      </c>
      <c r="D1202" s="232" t="inlineStr">
        <is>
          <t>826092</t>
        </is>
      </c>
      <c r="E1202" s="232" t="inlineStr">
        <is>
          <t>PRORRATEO</t>
        </is>
      </c>
      <c r="F1202" s="232" t="inlineStr">
        <is>
          <t>El Molle</t>
        </is>
      </c>
      <c r="G1202" s="232" t="inlineStr">
        <is>
          <t>orogrande 8,11 ha</t>
        </is>
      </c>
      <c r="H1202" s="232" t="inlineStr">
        <is>
          <t>Clementinas</t>
        </is>
      </c>
      <c r="I1202" s="232" t="inlineStr">
        <is>
          <t>Orogrande</t>
        </is>
      </c>
      <c r="J1202" s="232" t="inlineStr">
        <is>
          <t>MANT. Y REP. CONSTRUCCIONES</t>
        </is>
      </c>
      <c r="K1202" s="232" t="inlineStr">
        <is>
          <t>MANTENCION INFRAESTRUCTURA</t>
        </is>
      </c>
      <c r="L1202" s="232" t="inlineStr">
        <is>
          <t>[PRORRATEO 5.5% 8.11há/148.3há] O/001278 ROLLO 2KG</t>
        </is>
      </c>
      <c r="M1202" s="232" t="inlineStr"/>
      <c r="N1202" s="232" t="inlineStr">
        <is>
          <t>.   .   -</t>
        </is>
      </c>
      <c r="O1202" s="232" t="inlineStr">
        <is>
          <t>ENERO</t>
        </is>
      </c>
      <c r="P1202" s="232" t="n">
        <v>3</v>
      </c>
      <c r="Q1202" s="234" t="n">
        <v>432</v>
      </c>
      <c r="R1202" s="232" t="inlineStr"/>
      <c r="S1202" s="234" t="n">
        <v>432</v>
      </c>
      <c r="T1202" s="232" t="inlineStr">
        <is>
          <t>CLP</t>
        </is>
      </c>
      <c r="U1202" s="232" t="inlineStr">
        <is>
          <t>Prorrateo Ha PACKING</t>
        </is>
      </c>
      <c r="V1202" s="232" t="inlineStr">
        <is>
          <t>2026-06-18</t>
        </is>
      </c>
    </row>
    <row r="1203">
      <c r="A1203" s="232" t="inlineStr">
        <is>
          <t>CR-1200</t>
        </is>
      </c>
      <c r="B1203" s="232" t="inlineStr">
        <is>
          <t>2026/27</t>
        </is>
      </c>
      <c r="C1203" s="233" t="n">
        <v>46043</v>
      </c>
      <c r="D1203" s="232" t="inlineStr">
        <is>
          <t>826092</t>
        </is>
      </c>
      <c r="E1203" s="232" t="inlineStr">
        <is>
          <t>PRORRATEO</t>
        </is>
      </c>
      <c r="F1203" s="232" t="inlineStr">
        <is>
          <t>El Molle</t>
        </is>
      </c>
      <c r="G1203" s="232" t="inlineStr">
        <is>
          <t>oronules 5,35 ha</t>
        </is>
      </c>
      <c r="H1203" s="232" t="inlineStr">
        <is>
          <t>Clementinas</t>
        </is>
      </c>
      <c r="I1203" s="232" t="inlineStr">
        <is>
          <t>Oronules</t>
        </is>
      </c>
      <c r="J1203" s="232" t="inlineStr">
        <is>
          <t>MANT. Y REP. CONSTRUCCIONES</t>
        </is>
      </c>
      <c r="K1203" s="232" t="inlineStr">
        <is>
          <t>MANTENCION INFRAESTRUCTURA</t>
        </is>
      </c>
      <c r="L1203" s="232" t="inlineStr">
        <is>
          <t>[PRORRATEO 3.6% 5.35há/148.3há] O/001278 ROLLO 2KG</t>
        </is>
      </c>
      <c r="M1203" s="232" t="inlineStr"/>
      <c r="N1203" s="232" t="inlineStr">
        <is>
          <t>.   .   -</t>
        </is>
      </c>
      <c r="O1203" s="232" t="inlineStr">
        <is>
          <t>ENERO</t>
        </is>
      </c>
      <c r="P1203" s="232" t="n">
        <v>3</v>
      </c>
      <c r="Q1203" s="234" t="n">
        <v>285</v>
      </c>
      <c r="R1203" s="232" t="inlineStr"/>
      <c r="S1203" s="234" t="n">
        <v>285</v>
      </c>
      <c r="T1203" s="232" t="inlineStr">
        <is>
          <t>CLP</t>
        </is>
      </c>
      <c r="U1203" s="232" t="inlineStr">
        <is>
          <t>Prorrateo Ha PACKING</t>
        </is>
      </c>
      <c r="V1203" s="232" t="inlineStr">
        <is>
          <t>2026-06-18</t>
        </is>
      </c>
    </row>
    <row r="1204">
      <c r="A1204" s="232" t="inlineStr">
        <is>
          <t>CR-1201</t>
        </is>
      </c>
      <c r="B1204" s="232" t="inlineStr">
        <is>
          <t>2026/27</t>
        </is>
      </c>
      <c r="C1204" s="233" t="n">
        <v>46043</v>
      </c>
      <c r="D1204" s="232" t="inlineStr">
        <is>
          <t>826092</t>
        </is>
      </c>
      <c r="E1204" s="232" t="inlineStr">
        <is>
          <t>PRORRATEO</t>
        </is>
      </c>
      <c r="F1204" s="232" t="inlineStr">
        <is>
          <t>Santa Catalina</t>
        </is>
      </c>
      <c r="G1204" s="232" t="inlineStr">
        <is>
          <t>Fino 49 7,7 ha</t>
        </is>
      </c>
      <c r="H1204" s="232" t="inlineStr">
        <is>
          <t>Limon</t>
        </is>
      </c>
      <c r="I1204" s="232" t="inlineStr">
        <is>
          <t>Fino 49</t>
        </is>
      </c>
      <c r="J1204" s="232" t="inlineStr">
        <is>
          <t>MANT. Y REP. CONSTRUCCIONES</t>
        </is>
      </c>
      <c r="K1204" s="232" t="inlineStr">
        <is>
          <t>MANTENCION INFRAESTRUCTURA</t>
        </is>
      </c>
      <c r="L1204" s="232" t="inlineStr">
        <is>
          <t>[PRORRATEO 5.2% 7.7há/148.3há] O/001278 ROLLO 2KG</t>
        </is>
      </c>
      <c r="M1204" s="232" t="inlineStr"/>
      <c r="N1204" s="232" t="inlineStr">
        <is>
          <t>.   .   -</t>
        </is>
      </c>
      <c r="O1204" s="232" t="inlineStr">
        <is>
          <t>ENERO</t>
        </is>
      </c>
      <c r="P1204" s="232" t="n">
        <v>3</v>
      </c>
      <c r="Q1204" s="234" t="n">
        <v>410</v>
      </c>
      <c r="R1204" s="232" t="inlineStr"/>
      <c r="S1204" s="234" t="n">
        <v>410</v>
      </c>
      <c r="T1204" s="232" t="inlineStr">
        <is>
          <t>CLP</t>
        </is>
      </c>
      <c r="U1204" s="232" t="inlineStr">
        <is>
          <t>Prorrateo Ha PACKING</t>
        </is>
      </c>
      <c r="V1204" s="232" t="inlineStr">
        <is>
          <t>2026-06-18</t>
        </is>
      </c>
    </row>
    <row r="1205">
      <c r="A1205" s="232" t="inlineStr">
        <is>
          <t>CR-1202</t>
        </is>
      </c>
      <c r="B1205" s="232" t="inlineStr">
        <is>
          <t>2026/27</t>
        </is>
      </c>
      <c r="C1205" s="233" t="n">
        <v>46043</v>
      </c>
      <c r="D1205" s="232" t="inlineStr">
        <is>
          <t>826092</t>
        </is>
      </c>
      <c r="E1205" s="232" t="inlineStr">
        <is>
          <t>PRORRATEO</t>
        </is>
      </c>
      <c r="F1205" s="232" t="inlineStr">
        <is>
          <t>Santa Catalina</t>
        </is>
      </c>
      <c r="G1205" s="232" t="inlineStr">
        <is>
          <t>W. murcott 21 ha</t>
        </is>
      </c>
      <c r="H1205" s="232" t="inlineStr">
        <is>
          <t>Mandarina</t>
        </is>
      </c>
      <c r="I1205" s="232" t="inlineStr">
        <is>
          <t>W. murcott</t>
        </is>
      </c>
      <c r="J1205" s="232" t="inlineStr">
        <is>
          <t>MANT. Y REP. CONSTRUCCIONES</t>
        </is>
      </c>
      <c r="K1205" s="232" t="inlineStr">
        <is>
          <t>MANTENCION INFRAESTRUCTURA</t>
        </is>
      </c>
      <c r="L1205" s="232" t="inlineStr">
        <is>
          <t>[PRORRATEO 14.2% 21.0há/148.3há] O/001278 ROLLO 2KG</t>
        </is>
      </c>
      <c r="M1205" s="232" t="inlineStr"/>
      <c r="N1205" s="232" t="inlineStr">
        <is>
          <t>.   .   -</t>
        </is>
      </c>
      <c r="O1205" s="232" t="inlineStr">
        <is>
          <t>ENERO</t>
        </is>
      </c>
      <c r="P1205" s="232" t="n">
        <v>3</v>
      </c>
      <c r="Q1205" s="234" t="n">
        <v>1119</v>
      </c>
      <c r="R1205" s="232" t="inlineStr"/>
      <c r="S1205" s="234" t="n">
        <v>1119</v>
      </c>
      <c r="T1205" s="232" t="inlineStr">
        <is>
          <t>CLP</t>
        </is>
      </c>
      <c r="U1205" s="232" t="inlineStr">
        <is>
          <t>Prorrateo Ha PACKING</t>
        </is>
      </c>
      <c r="V1205" s="232" t="inlineStr">
        <is>
          <t>2026-06-18</t>
        </is>
      </c>
    </row>
    <row r="1206">
      <c r="A1206" s="232" t="inlineStr">
        <is>
          <t>CR-1203</t>
        </is>
      </c>
      <c r="B1206" s="232" t="inlineStr">
        <is>
          <t>2026/27</t>
        </is>
      </c>
      <c r="C1206" s="233" t="n">
        <v>46043</v>
      </c>
      <c r="D1206" s="232" t="inlineStr">
        <is>
          <t>826092</t>
        </is>
      </c>
      <c r="E1206" s="232" t="inlineStr">
        <is>
          <t>PRORRATEO</t>
        </is>
      </c>
      <c r="F1206" s="232" t="inlineStr">
        <is>
          <t>Santa Catalina</t>
        </is>
      </c>
      <c r="G1206" s="232" t="inlineStr">
        <is>
          <t>cambria 4,2 ha</t>
        </is>
      </c>
      <c r="H1206" s="232" t="inlineStr">
        <is>
          <t>Naranjas</t>
        </is>
      </c>
      <c r="I1206" s="232" t="inlineStr">
        <is>
          <t>Cambria</t>
        </is>
      </c>
      <c r="J1206" s="232" t="inlineStr">
        <is>
          <t>MANT. Y REP. CONSTRUCCIONES</t>
        </is>
      </c>
      <c r="K1206" s="232" t="inlineStr">
        <is>
          <t>MANTENCION INFRAESTRUCTURA</t>
        </is>
      </c>
      <c r="L1206" s="232" t="inlineStr">
        <is>
          <t>[PRORRATEO 2.8% 4.2há/148.3há] O/001278 ROLLO 2KG</t>
        </is>
      </c>
      <c r="M1206" s="232" t="inlineStr"/>
      <c r="N1206" s="232" t="inlineStr">
        <is>
          <t>.   .   -</t>
        </is>
      </c>
      <c r="O1206" s="232" t="inlineStr">
        <is>
          <t>ENERO</t>
        </is>
      </c>
      <c r="P1206" s="232" t="n">
        <v>3</v>
      </c>
      <c r="Q1206" s="234" t="n">
        <v>224</v>
      </c>
      <c r="R1206" s="232" t="inlineStr"/>
      <c r="S1206" s="234" t="n">
        <v>224</v>
      </c>
      <c r="T1206" s="232" t="inlineStr">
        <is>
          <t>CLP</t>
        </is>
      </c>
      <c r="U1206" s="232" t="inlineStr">
        <is>
          <t>Prorrateo Ha PACKING</t>
        </is>
      </c>
      <c r="V1206" s="232" t="inlineStr">
        <is>
          <t>2026-06-18</t>
        </is>
      </c>
    </row>
    <row r="1207">
      <c r="A1207" s="232" t="inlineStr">
        <is>
          <t>CR-1204</t>
        </is>
      </c>
      <c r="B1207" s="232" t="inlineStr">
        <is>
          <t>2026/27</t>
        </is>
      </c>
      <c r="C1207" s="233" t="n">
        <v>46043</v>
      </c>
      <c r="D1207" s="232" t="inlineStr">
        <is>
          <t>826092</t>
        </is>
      </c>
      <c r="E1207" s="232" t="inlineStr">
        <is>
          <t>PRORRATEO</t>
        </is>
      </c>
      <c r="F1207" s="232" t="inlineStr">
        <is>
          <t>Santa Catalina</t>
        </is>
      </c>
      <c r="G1207" s="232" t="inlineStr">
        <is>
          <t>eureka 10,6 ha</t>
        </is>
      </c>
      <c r="H1207" s="232" t="inlineStr">
        <is>
          <t>Limon</t>
        </is>
      </c>
      <c r="I1207" s="232" t="inlineStr">
        <is>
          <t>Eureka</t>
        </is>
      </c>
      <c r="J1207" s="232" t="inlineStr">
        <is>
          <t>MANT. Y REP. CONSTRUCCIONES</t>
        </is>
      </c>
      <c r="K1207" s="232" t="inlineStr">
        <is>
          <t>MANTENCION INFRAESTRUCTURA</t>
        </is>
      </c>
      <c r="L1207" s="232" t="inlineStr">
        <is>
          <t>[PRORRATEO 7.1% 10.6há/148.3há] O/001278 ROLLO 2KG</t>
        </is>
      </c>
      <c r="M1207" s="232" t="inlineStr"/>
      <c r="N1207" s="232" t="inlineStr">
        <is>
          <t>.   .   -</t>
        </is>
      </c>
      <c r="O1207" s="232" t="inlineStr">
        <is>
          <t>ENERO</t>
        </is>
      </c>
      <c r="P1207" s="232" t="n">
        <v>3</v>
      </c>
      <c r="Q1207" s="234" t="n">
        <v>565</v>
      </c>
      <c r="R1207" s="232" t="inlineStr"/>
      <c r="S1207" s="234" t="n">
        <v>565</v>
      </c>
      <c r="T1207" s="232" t="inlineStr">
        <is>
          <t>CLP</t>
        </is>
      </c>
      <c r="U1207" s="232" t="inlineStr">
        <is>
          <t>Prorrateo Ha PACKING</t>
        </is>
      </c>
      <c r="V1207" s="232" t="inlineStr">
        <is>
          <t>2026-06-18</t>
        </is>
      </c>
    </row>
    <row r="1208">
      <c r="A1208" s="232" t="inlineStr">
        <is>
          <t>CR-1205</t>
        </is>
      </c>
      <c r="B1208" s="232" t="inlineStr">
        <is>
          <t>2026/27</t>
        </is>
      </c>
      <c r="C1208" s="233" t="n">
        <v>46043</v>
      </c>
      <c r="D1208" s="232" t="inlineStr">
        <is>
          <t>826092</t>
        </is>
      </c>
      <c r="E1208" s="232" t="inlineStr">
        <is>
          <t>PRORRATEO</t>
        </is>
      </c>
      <c r="F1208" s="232" t="inlineStr">
        <is>
          <t>Santa Catalina</t>
        </is>
      </c>
      <c r="G1208" s="232" t="inlineStr">
        <is>
          <t>eureka 14,4 ha</t>
        </is>
      </c>
      <c r="H1208" s="232" t="inlineStr">
        <is>
          <t>Limon</t>
        </is>
      </c>
      <c r="I1208" s="232" t="inlineStr">
        <is>
          <t>Eureka</t>
        </is>
      </c>
      <c r="J1208" s="232" t="inlineStr">
        <is>
          <t>MANT. Y REP. CONSTRUCCIONES</t>
        </is>
      </c>
      <c r="K1208" s="232" t="inlineStr">
        <is>
          <t>MANTENCION INFRAESTRUCTURA</t>
        </is>
      </c>
      <c r="L1208" s="232" t="inlineStr">
        <is>
          <t>[PRORRATEO 9.7% 14.4há/148.3há] O/001278 ROLLO 2KG</t>
        </is>
      </c>
      <c r="M1208" s="232" t="inlineStr"/>
      <c r="N1208" s="232" t="inlineStr">
        <is>
          <t>.   .   -</t>
        </is>
      </c>
      <c r="O1208" s="232" t="inlineStr">
        <is>
          <t>ENERO</t>
        </is>
      </c>
      <c r="P1208" s="232" t="n">
        <v>3</v>
      </c>
      <c r="Q1208" s="234" t="n">
        <v>767</v>
      </c>
      <c r="R1208" s="232" t="inlineStr"/>
      <c r="S1208" s="234" t="n">
        <v>767</v>
      </c>
      <c r="T1208" s="232" t="inlineStr">
        <is>
          <t>CLP</t>
        </is>
      </c>
      <c r="U1208" s="232" t="inlineStr">
        <is>
          <t>Prorrateo Ha PACKING</t>
        </is>
      </c>
      <c r="V1208" s="232" t="inlineStr">
        <is>
          <t>2026-06-18</t>
        </is>
      </c>
    </row>
    <row r="1209">
      <c r="A1209" s="232" t="inlineStr">
        <is>
          <t>CR-1206</t>
        </is>
      </c>
      <c r="B1209" s="232" t="inlineStr">
        <is>
          <t>2026/27</t>
        </is>
      </c>
      <c r="C1209" s="233" t="n">
        <v>46043</v>
      </c>
      <c r="D1209" s="232" t="inlineStr">
        <is>
          <t>826092</t>
        </is>
      </c>
      <c r="E1209" s="232" t="inlineStr">
        <is>
          <t>PRORRATEO</t>
        </is>
      </c>
      <c r="F1209" s="232" t="inlineStr">
        <is>
          <t>Santa Catalina</t>
        </is>
      </c>
      <c r="G1209" s="232" t="inlineStr">
        <is>
          <t>eureka 22,55</t>
        </is>
      </c>
      <c r="H1209" s="232" t="inlineStr">
        <is>
          <t>Limon</t>
        </is>
      </c>
      <c r="I1209" s="232" t="inlineStr">
        <is>
          <t>Eureka</t>
        </is>
      </c>
      <c r="J1209" s="232" t="inlineStr">
        <is>
          <t>MANT. Y REP. CONSTRUCCIONES</t>
        </is>
      </c>
      <c r="K1209" s="232" t="inlineStr">
        <is>
          <t>MANTENCION INFRAESTRUCTURA</t>
        </is>
      </c>
      <c r="L1209" s="232" t="inlineStr">
        <is>
          <t>[PRORRATEO 15.2% 22.55há/148.3há] O/001278 ROLLO 2KG</t>
        </is>
      </c>
      <c r="M1209" s="232" t="inlineStr"/>
      <c r="N1209" s="232" t="inlineStr">
        <is>
          <t>.   .   -</t>
        </is>
      </c>
      <c r="O1209" s="232" t="inlineStr">
        <is>
          <t>ENERO</t>
        </is>
      </c>
      <c r="P1209" s="232" t="n">
        <v>3</v>
      </c>
      <c r="Q1209" s="234" t="n">
        <v>1202</v>
      </c>
      <c r="R1209" s="232" t="inlineStr"/>
      <c r="S1209" s="234" t="n">
        <v>1202</v>
      </c>
      <c r="T1209" s="232" t="inlineStr">
        <is>
          <t>CLP</t>
        </is>
      </c>
      <c r="U1209" s="232" t="inlineStr">
        <is>
          <t>Prorrateo Ha PACKING</t>
        </is>
      </c>
      <c r="V1209" s="232" t="inlineStr">
        <is>
          <t>2026-06-18</t>
        </is>
      </c>
    </row>
    <row r="1210">
      <c r="A1210" s="232" t="inlineStr">
        <is>
          <t>CR-1207</t>
        </is>
      </c>
      <c r="B1210" s="232" t="inlineStr">
        <is>
          <t>2026/27</t>
        </is>
      </c>
      <c r="C1210" s="233" t="n">
        <v>46043</v>
      </c>
      <c r="D1210" s="232" t="inlineStr">
        <is>
          <t>826092</t>
        </is>
      </c>
      <c r="E1210" s="232" t="inlineStr">
        <is>
          <t>PRORRATEO</t>
        </is>
      </c>
      <c r="F1210" s="232" t="inlineStr">
        <is>
          <t>Santa Catalina</t>
        </is>
      </c>
      <c r="G1210" s="232" t="inlineStr">
        <is>
          <t>form benjamin 1,93 ha</t>
        </is>
      </c>
      <c r="H1210" s="232" t="inlineStr">
        <is>
          <t>Limon</t>
        </is>
      </c>
      <c r="I1210" s="232" t="inlineStr">
        <is>
          <t>Benjamin andes</t>
        </is>
      </c>
      <c r="J1210" s="232" t="inlineStr">
        <is>
          <t>MANT. Y REP. CONSTRUCCIONES</t>
        </is>
      </c>
      <c r="K1210" s="232" t="inlineStr">
        <is>
          <t>MANTENCION INFRAESTRUCTURA</t>
        </is>
      </c>
      <c r="L1210" s="232" t="inlineStr">
        <is>
          <t>[PRORRATEO 1.3% 1.93há/148.3há] O/001278 ROLLO 2KG</t>
        </is>
      </c>
      <c r="M1210" s="232" t="inlineStr"/>
      <c r="N1210" s="232" t="inlineStr">
        <is>
          <t>.   .   -</t>
        </is>
      </c>
      <c r="O1210" s="232" t="inlineStr">
        <is>
          <t>ENERO</t>
        </is>
      </c>
      <c r="P1210" s="232" t="n">
        <v>3</v>
      </c>
      <c r="Q1210" s="234" t="n">
        <v>103</v>
      </c>
      <c r="R1210" s="232" t="inlineStr"/>
      <c r="S1210" s="234" t="n">
        <v>103</v>
      </c>
      <c r="T1210" s="232" t="inlineStr">
        <is>
          <t>CLP</t>
        </is>
      </c>
      <c r="U1210" s="232" t="inlineStr">
        <is>
          <t>Prorrateo Ha PACKING</t>
        </is>
      </c>
      <c r="V1210" s="232" t="inlineStr">
        <is>
          <t>2026-06-18</t>
        </is>
      </c>
    </row>
    <row r="1211">
      <c r="A1211" s="232" t="inlineStr">
        <is>
          <t>CR-1208</t>
        </is>
      </c>
      <c r="B1211" s="232" t="inlineStr">
        <is>
          <t>2026/27</t>
        </is>
      </c>
      <c r="C1211" s="233" t="n">
        <v>46043</v>
      </c>
      <c r="D1211" s="232" t="inlineStr">
        <is>
          <t>826092</t>
        </is>
      </c>
      <c r="E1211" s="232" t="inlineStr">
        <is>
          <t>PRORRATEO</t>
        </is>
      </c>
      <c r="F1211" s="232" t="inlineStr">
        <is>
          <t>Santa Catalina</t>
        </is>
      </c>
      <c r="G1211" s="232" t="inlineStr">
        <is>
          <t>mant eureka 2,5 ha</t>
        </is>
      </c>
      <c r="H1211" s="232" t="inlineStr">
        <is>
          <t>Limon</t>
        </is>
      </c>
      <c r="I1211" s="232" t="inlineStr">
        <is>
          <t>Eureka</t>
        </is>
      </c>
      <c r="J1211" s="232" t="inlineStr">
        <is>
          <t>MANT. Y REP. CONSTRUCCIONES</t>
        </is>
      </c>
      <c r="K1211" s="232" t="inlineStr">
        <is>
          <t>MANTENCION INFRAESTRUCTURA</t>
        </is>
      </c>
      <c r="L1211" s="232" t="inlineStr">
        <is>
          <t>[PRORRATEO 1.7% 2.5há/148.3há] O/001278 ROLLO 2KG</t>
        </is>
      </c>
      <c r="M1211" s="232" t="inlineStr"/>
      <c r="N1211" s="232" t="inlineStr">
        <is>
          <t>.   .   -</t>
        </is>
      </c>
      <c r="O1211" s="232" t="inlineStr">
        <is>
          <t>ENERO</t>
        </is>
      </c>
      <c r="P1211" s="232" t="n">
        <v>3</v>
      </c>
      <c r="Q1211" s="234" t="n">
        <v>133</v>
      </c>
      <c r="R1211" s="232" t="inlineStr"/>
      <c r="S1211" s="234" t="n">
        <v>133</v>
      </c>
      <c r="T1211" s="232" t="inlineStr">
        <is>
          <t>CLP</t>
        </is>
      </c>
      <c r="U1211" s="232" t="inlineStr">
        <is>
          <t>Prorrateo Ha PACKING</t>
        </is>
      </c>
      <c r="V1211" s="232" t="inlineStr">
        <is>
          <t>2026-06-18</t>
        </is>
      </c>
    </row>
    <row r="1212">
      <c r="A1212" s="232" t="inlineStr">
        <is>
          <t>CR-1209</t>
        </is>
      </c>
      <c r="B1212" s="232" t="inlineStr">
        <is>
          <t>2026/27</t>
        </is>
      </c>
      <c r="C1212" s="233" t="n">
        <v>46043</v>
      </c>
      <c r="D1212" s="232" t="inlineStr">
        <is>
          <t>826092</t>
        </is>
      </c>
      <c r="E1212" s="232" t="inlineStr">
        <is>
          <t>PRORRATEO</t>
        </is>
      </c>
      <c r="F1212" s="232" t="inlineStr">
        <is>
          <t>Siberia</t>
        </is>
      </c>
      <c r="G1212" s="232" t="inlineStr">
        <is>
          <t>S. Celebration 7,14</t>
        </is>
      </c>
      <c r="H1212" s="232" t="inlineStr">
        <is>
          <t>Uvas</t>
        </is>
      </c>
      <c r="I1212" s="232" t="inlineStr">
        <is>
          <t>S. celebration</t>
        </is>
      </c>
      <c r="J1212" s="232" t="inlineStr">
        <is>
          <t>MANT. Y REP. CONSTRUCCIONES</t>
        </is>
      </c>
      <c r="K1212" s="232" t="inlineStr">
        <is>
          <t>MANTENCION INFRAESTRUCTURA</t>
        </is>
      </c>
      <c r="L1212" s="232" t="inlineStr">
        <is>
          <t>[PRORRATEO 4.8% 7.14há/148.3há] O/001278 ROLLO 2KG</t>
        </is>
      </c>
      <c r="M1212" s="232" t="inlineStr"/>
      <c r="N1212" s="232" t="inlineStr">
        <is>
          <t>.   .   -</t>
        </is>
      </c>
      <c r="O1212" s="232" t="inlineStr">
        <is>
          <t>ENERO</t>
        </is>
      </c>
      <c r="P1212" s="232" t="n">
        <v>3</v>
      </c>
      <c r="Q1212" s="234" t="n">
        <v>381</v>
      </c>
      <c r="R1212" s="232" t="inlineStr"/>
      <c r="S1212" s="234" t="n">
        <v>381</v>
      </c>
      <c r="T1212" s="232" t="inlineStr">
        <is>
          <t>CLP</t>
        </is>
      </c>
      <c r="U1212" s="232" t="inlineStr">
        <is>
          <t>Prorrateo Ha PACKING</t>
        </is>
      </c>
      <c r="V1212" s="232" t="inlineStr">
        <is>
          <t>2026-06-18</t>
        </is>
      </c>
    </row>
    <row r="1213">
      <c r="A1213" s="232" t="inlineStr">
        <is>
          <t>CR-1210</t>
        </is>
      </c>
      <c r="B1213" s="232" t="inlineStr">
        <is>
          <t>2026/27</t>
        </is>
      </c>
      <c r="C1213" s="233" t="n">
        <v>46043</v>
      </c>
      <c r="D1213" s="232" t="inlineStr">
        <is>
          <t>826092</t>
        </is>
      </c>
      <c r="E1213" s="232" t="inlineStr">
        <is>
          <t>PRORRATEO</t>
        </is>
      </c>
      <c r="F1213" s="232" t="inlineStr">
        <is>
          <t>Siberia</t>
        </is>
      </c>
      <c r="G1213" s="232" t="inlineStr">
        <is>
          <t>Timpson 7,1</t>
        </is>
      </c>
      <c r="H1213" s="232" t="inlineStr">
        <is>
          <t>Uvas</t>
        </is>
      </c>
      <c r="I1213" s="232" t="inlineStr">
        <is>
          <t>Timpson</t>
        </is>
      </c>
      <c r="J1213" s="232" t="inlineStr">
        <is>
          <t>MANT. Y REP. CONSTRUCCIONES</t>
        </is>
      </c>
      <c r="K1213" s="232" t="inlineStr">
        <is>
          <t>MANTENCION INFRAESTRUCTURA</t>
        </is>
      </c>
      <c r="L1213" s="232" t="inlineStr">
        <is>
          <t>[PRORRATEO 4.8% 7.1há/148.3há] O/001278 ROLLO 2KG</t>
        </is>
      </c>
      <c r="M1213" s="232" t="inlineStr"/>
      <c r="N1213" s="232" t="inlineStr">
        <is>
          <t>.   .   -</t>
        </is>
      </c>
      <c r="O1213" s="232" t="inlineStr">
        <is>
          <t>ENERO</t>
        </is>
      </c>
      <c r="P1213" s="232" t="n">
        <v>3</v>
      </c>
      <c r="Q1213" s="234" t="n">
        <v>378</v>
      </c>
      <c r="R1213" s="232" t="inlineStr"/>
      <c r="S1213" s="234" t="n">
        <v>378</v>
      </c>
      <c r="T1213" s="232" t="inlineStr">
        <is>
          <t>CLP</t>
        </is>
      </c>
      <c r="U1213" s="232" t="inlineStr">
        <is>
          <t>Prorrateo Ha PACKING</t>
        </is>
      </c>
      <c r="V1213" s="232" t="inlineStr">
        <is>
          <t>2026-06-18</t>
        </is>
      </c>
    </row>
    <row r="1214">
      <c r="A1214" s="232" t="inlineStr">
        <is>
          <t>CR-1211</t>
        </is>
      </c>
      <c r="B1214" s="232" t="inlineStr">
        <is>
          <t>2026/27</t>
        </is>
      </c>
      <c r="C1214" s="233" t="n">
        <v>46043</v>
      </c>
      <c r="D1214" s="232" t="inlineStr">
        <is>
          <t>826092</t>
        </is>
      </c>
      <c r="E1214" s="232" t="inlineStr">
        <is>
          <t>PRORRATEO</t>
        </is>
      </c>
      <c r="F1214" s="232" t="inlineStr">
        <is>
          <t>Asmara</t>
        </is>
      </c>
      <c r="G1214" s="232" t="inlineStr">
        <is>
          <t>w. murcott 19,8 ha</t>
        </is>
      </c>
      <c r="H1214" s="232" t="inlineStr">
        <is>
          <t>Mandarina</t>
        </is>
      </c>
      <c r="I1214" s="232" t="inlineStr">
        <is>
          <t>W. murcott</t>
        </is>
      </c>
      <c r="J1214" s="232" t="inlineStr">
        <is>
          <t>MANT. Y REP. CONSTRUCCIONES</t>
        </is>
      </c>
      <c r="K1214" s="232" t="inlineStr">
        <is>
          <t>MANTENCION INFRAESTRUCTURA</t>
        </is>
      </c>
      <c r="L1214" s="232" t="inlineStr">
        <is>
          <t>[PRORRATEO 13.4% 19.8há/148.3há] O/001278 SOLDADURA</t>
        </is>
      </c>
      <c r="M1214" s="232" t="inlineStr"/>
      <c r="N1214" s="232" t="inlineStr">
        <is>
          <t>.   .   -</t>
        </is>
      </c>
      <c r="O1214" s="232" t="inlineStr">
        <is>
          <t>ENERO</t>
        </is>
      </c>
      <c r="P1214" s="232" t="n">
        <v>3</v>
      </c>
      <c r="Q1214" s="234" t="n">
        <v>469</v>
      </c>
      <c r="R1214" s="232" t="inlineStr"/>
      <c r="S1214" s="234" t="n">
        <v>469</v>
      </c>
      <c r="T1214" s="232" t="inlineStr">
        <is>
          <t>CLP</t>
        </is>
      </c>
      <c r="U1214" s="232" t="inlineStr">
        <is>
          <t>Prorrateo Ha PACKING</t>
        </is>
      </c>
      <c r="V1214" s="232" t="inlineStr">
        <is>
          <t>2026-06-18</t>
        </is>
      </c>
    </row>
    <row r="1215">
      <c r="A1215" s="232" t="inlineStr">
        <is>
          <t>CR-1212</t>
        </is>
      </c>
      <c r="B1215" s="232" t="inlineStr">
        <is>
          <t>2026/27</t>
        </is>
      </c>
      <c r="C1215" s="233" t="n">
        <v>46043</v>
      </c>
      <c r="D1215" s="232" t="inlineStr">
        <is>
          <t>826092</t>
        </is>
      </c>
      <c r="E1215" s="232" t="inlineStr">
        <is>
          <t>PRORRATEO</t>
        </is>
      </c>
      <c r="F1215" s="232" t="inlineStr">
        <is>
          <t>Asmara</t>
        </is>
      </c>
      <c r="G1215" s="232" t="inlineStr">
        <is>
          <t>w. murcott 4,9 ha</t>
        </is>
      </c>
      <c r="H1215" s="232" t="inlineStr">
        <is>
          <t>Mandarina</t>
        </is>
      </c>
      <c r="I1215" s="232" t="inlineStr">
        <is>
          <t>W. murcott</t>
        </is>
      </c>
      <c r="J1215" s="232" t="inlineStr">
        <is>
          <t>MANT. Y REP. CONSTRUCCIONES</t>
        </is>
      </c>
      <c r="K1215" s="232" t="inlineStr">
        <is>
          <t>MANTENCION INFRAESTRUCTURA</t>
        </is>
      </c>
      <c r="L1215" s="232" t="inlineStr">
        <is>
          <t>[PRORRATEO 3.3% 4.9há/148.3há] O/001278 SOLDADURA</t>
        </is>
      </c>
      <c r="M1215" s="232" t="inlineStr"/>
      <c r="N1215" s="232" t="inlineStr">
        <is>
          <t>.   .   -</t>
        </is>
      </c>
      <c r="O1215" s="232" t="inlineStr">
        <is>
          <t>ENERO</t>
        </is>
      </c>
      <c r="P1215" s="232" t="n">
        <v>3</v>
      </c>
      <c r="Q1215" s="234" t="n">
        <v>116</v>
      </c>
      <c r="R1215" s="232" t="inlineStr"/>
      <c r="S1215" s="234" t="n">
        <v>116</v>
      </c>
      <c r="T1215" s="232" t="inlineStr">
        <is>
          <t>CLP</t>
        </is>
      </c>
      <c r="U1215" s="232" t="inlineStr">
        <is>
          <t>Prorrateo Ha PACKING</t>
        </is>
      </c>
      <c r="V1215" s="232" t="inlineStr">
        <is>
          <t>2026-06-18</t>
        </is>
      </c>
    </row>
    <row r="1216">
      <c r="A1216" s="232" t="inlineStr">
        <is>
          <t>CR-1213</t>
        </is>
      </c>
      <c r="B1216" s="232" t="inlineStr">
        <is>
          <t>2026/27</t>
        </is>
      </c>
      <c r="C1216" s="233" t="n">
        <v>46043</v>
      </c>
      <c r="D1216" s="232" t="inlineStr">
        <is>
          <t>826092</t>
        </is>
      </c>
      <c r="E1216" s="232" t="inlineStr">
        <is>
          <t>PRORRATEO</t>
        </is>
      </c>
      <c r="F1216" s="232" t="inlineStr">
        <is>
          <t>El Molle</t>
        </is>
      </c>
      <c r="G1216" s="232" t="inlineStr">
        <is>
          <t>Wonderful 5,25 ha</t>
        </is>
      </c>
      <c r="H1216" s="232" t="inlineStr">
        <is>
          <t>Granados</t>
        </is>
      </c>
      <c r="I1216" s="232" t="inlineStr">
        <is>
          <t>Wonderfull</t>
        </is>
      </c>
      <c r="J1216" s="232" t="inlineStr">
        <is>
          <t>MANT. Y REP. CONSTRUCCIONES</t>
        </is>
      </c>
      <c r="K1216" s="232" t="inlineStr">
        <is>
          <t>MANTENCION INFRAESTRUCTURA</t>
        </is>
      </c>
      <c r="L1216" s="232" t="inlineStr">
        <is>
          <t>[PRORRATEO 3.5% 5.24há/148.3há] O/001278 SOLDADURA</t>
        </is>
      </c>
      <c r="M1216" s="232" t="inlineStr"/>
      <c r="N1216" s="232" t="inlineStr">
        <is>
          <t>.   .   -</t>
        </is>
      </c>
      <c r="O1216" s="232" t="inlineStr">
        <is>
          <t>ENERO</t>
        </is>
      </c>
      <c r="P1216" s="232" t="n">
        <v>3</v>
      </c>
      <c r="Q1216" s="234" t="n">
        <v>124</v>
      </c>
      <c r="R1216" s="232" t="inlineStr"/>
      <c r="S1216" s="234" t="n">
        <v>124</v>
      </c>
      <c r="T1216" s="232" t="inlineStr">
        <is>
          <t>CLP</t>
        </is>
      </c>
      <c r="U1216" s="232" t="inlineStr">
        <is>
          <t>Prorrateo Ha PACKING</t>
        </is>
      </c>
      <c r="V1216" s="232" t="inlineStr">
        <is>
          <t>2026-06-18</t>
        </is>
      </c>
    </row>
    <row r="1217">
      <c r="A1217" s="232" t="inlineStr">
        <is>
          <t>CR-1214</t>
        </is>
      </c>
      <c r="B1217" s="232" t="inlineStr">
        <is>
          <t>2026/27</t>
        </is>
      </c>
      <c r="C1217" s="233" t="n">
        <v>46043</v>
      </c>
      <c r="D1217" s="232" t="inlineStr">
        <is>
          <t>826092</t>
        </is>
      </c>
      <c r="E1217" s="232" t="inlineStr">
        <is>
          <t>PRORRATEO</t>
        </is>
      </c>
      <c r="F1217" s="232" t="inlineStr">
        <is>
          <t>El Molle</t>
        </is>
      </c>
      <c r="G1217" s="232" t="inlineStr">
        <is>
          <t>arrufatinas 5,74 ha</t>
        </is>
      </c>
      <c r="H1217" s="232" t="inlineStr">
        <is>
          <t>Clementinas</t>
        </is>
      </c>
      <c r="I1217" s="232" t="inlineStr">
        <is>
          <t>Arrufatinas</t>
        </is>
      </c>
      <c r="J1217" s="232" t="inlineStr">
        <is>
          <t>MANT. Y REP. CONSTRUCCIONES</t>
        </is>
      </c>
      <c r="K1217" s="232" t="inlineStr">
        <is>
          <t>MANTENCION INFRAESTRUCTURA</t>
        </is>
      </c>
      <c r="L1217" s="232" t="inlineStr">
        <is>
          <t>[PRORRATEO 3.9% 5.74há/148.3há] O/001278 SOLDADURA</t>
        </is>
      </c>
      <c r="M1217" s="232" t="inlineStr"/>
      <c r="N1217" s="232" t="inlineStr">
        <is>
          <t>.   .   -</t>
        </is>
      </c>
      <c r="O1217" s="232" t="inlineStr">
        <is>
          <t>ENERO</t>
        </is>
      </c>
      <c r="P1217" s="232" t="n">
        <v>3</v>
      </c>
      <c r="Q1217" s="234" t="n">
        <v>136</v>
      </c>
      <c r="R1217" s="232" t="inlineStr"/>
      <c r="S1217" s="234" t="n">
        <v>136</v>
      </c>
      <c r="T1217" s="232" t="inlineStr">
        <is>
          <t>CLP</t>
        </is>
      </c>
      <c r="U1217" s="232" t="inlineStr">
        <is>
          <t>Prorrateo Ha PACKING</t>
        </is>
      </c>
      <c r="V1217" s="232" t="inlineStr">
        <is>
          <t>2026-06-18</t>
        </is>
      </c>
    </row>
    <row r="1218">
      <c r="A1218" s="232" t="inlineStr">
        <is>
          <t>CR-1215</t>
        </is>
      </c>
      <c r="B1218" s="232" t="inlineStr">
        <is>
          <t>2026/27</t>
        </is>
      </c>
      <c r="C1218" s="233" t="n">
        <v>46043</v>
      </c>
      <c r="D1218" s="232" t="inlineStr">
        <is>
          <t>826092</t>
        </is>
      </c>
      <c r="E1218" s="232" t="inlineStr">
        <is>
          <t>PRORRATEO</t>
        </is>
      </c>
      <c r="F1218" s="232" t="inlineStr">
        <is>
          <t>El Molle</t>
        </is>
      </c>
      <c r="G1218" s="232" t="inlineStr">
        <is>
          <t>orogrande 8,11 ha</t>
        </is>
      </c>
      <c r="H1218" s="232" t="inlineStr">
        <is>
          <t>Clementinas</t>
        </is>
      </c>
      <c r="I1218" s="232" t="inlineStr">
        <is>
          <t>Orogrande</t>
        </is>
      </c>
      <c r="J1218" s="232" t="inlineStr">
        <is>
          <t>MANT. Y REP. CONSTRUCCIONES</t>
        </is>
      </c>
      <c r="K1218" s="232" t="inlineStr">
        <is>
          <t>MANTENCION INFRAESTRUCTURA</t>
        </is>
      </c>
      <c r="L1218" s="232" t="inlineStr">
        <is>
          <t>[PRORRATEO 5.5% 8.11há/148.3há] O/001278 SOLDADURA</t>
        </is>
      </c>
      <c r="M1218" s="232" t="inlineStr"/>
      <c r="N1218" s="232" t="inlineStr">
        <is>
          <t>.   .   -</t>
        </is>
      </c>
      <c r="O1218" s="232" t="inlineStr">
        <is>
          <t>ENERO</t>
        </is>
      </c>
      <c r="P1218" s="232" t="n">
        <v>3</v>
      </c>
      <c r="Q1218" s="234" t="n">
        <v>192</v>
      </c>
      <c r="R1218" s="232" t="inlineStr"/>
      <c r="S1218" s="234" t="n">
        <v>192</v>
      </c>
      <c r="T1218" s="232" t="inlineStr">
        <is>
          <t>CLP</t>
        </is>
      </c>
      <c r="U1218" s="232" t="inlineStr">
        <is>
          <t>Prorrateo Ha PACKING</t>
        </is>
      </c>
      <c r="V1218" s="232" t="inlineStr">
        <is>
          <t>2026-06-18</t>
        </is>
      </c>
    </row>
    <row r="1219">
      <c r="A1219" s="232" t="inlineStr">
        <is>
          <t>CR-1216</t>
        </is>
      </c>
      <c r="B1219" s="232" t="inlineStr">
        <is>
          <t>2026/27</t>
        </is>
      </c>
      <c r="C1219" s="233" t="n">
        <v>46043</v>
      </c>
      <c r="D1219" s="232" t="inlineStr">
        <is>
          <t>826092</t>
        </is>
      </c>
      <c r="E1219" s="232" t="inlineStr">
        <is>
          <t>PRORRATEO</t>
        </is>
      </c>
      <c r="F1219" s="232" t="inlineStr">
        <is>
          <t>El Molle</t>
        </is>
      </c>
      <c r="G1219" s="232" t="inlineStr">
        <is>
          <t>oronules 5,35 ha</t>
        </is>
      </c>
      <c r="H1219" s="232" t="inlineStr">
        <is>
          <t>Clementinas</t>
        </is>
      </c>
      <c r="I1219" s="232" t="inlineStr">
        <is>
          <t>Oronules</t>
        </is>
      </c>
      <c r="J1219" s="232" t="inlineStr">
        <is>
          <t>MANT. Y REP. CONSTRUCCIONES</t>
        </is>
      </c>
      <c r="K1219" s="232" t="inlineStr">
        <is>
          <t>MANTENCION INFRAESTRUCTURA</t>
        </is>
      </c>
      <c r="L1219" s="232" t="inlineStr">
        <is>
          <t>[PRORRATEO 3.6% 5.35há/148.3há] O/001278 SOLDADURA</t>
        </is>
      </c>
      <c r="M1219" s="232" t="inlineStr"/>
      <c r="N1219" s="232" t="inlineStr">
        <is>
          <t>.   .   -</t>
        </is>
      </c>
      <c r="O1219" s="232" t="inlineStr">
        <is>
          <t>ENERO</t>
        </is>
      </c>
      <c r="P1219" s="232" t="n">
        <v>3</v>
      </c>
      <c r="Q1219" s="234" t="n">
        <v>127</v>
      </c>
      <c r="R1219" s="232" t="inlineStr"/>
      <c r="S1219" s="234" t="n">
        <v>127</v>
      </c>
      <c r="T1219" s="232" t="inlineStr">
        <is>
          <t>CLP</t>
        </is>
      </c>
      <c r="U1219" s="232" t="inlineStr">
        <is>
          <t>Prorrateo Ha PACKING</t>
        </is>
      </c>
      <c r="V1219" s="232" t="inlineStr">
        <is>
          <t>2026-06-18</t>
        </is>
      </c>
    </row>
    <row r="1220">
      <c r="A1220" s="232" t="inlineStr">
        <is>
          <t>CR-1217</t>
        </is>
      </c>
      <c r="B1220" s="232" t="inlineStr">
        <is>
          <t>2026/27</t>
        </is>
      </c>
      <c r="C1220" s="233" t="n">
        <v>46043</v>
      </c>
      <c r="D1220" s="232" t="inlineStr">
        <is>
          <t>826092</t>
        </is>
      </c>
      <c r="E1220" s="232" t="inlineStr">
        <is>
          <t>PRORRATEO</t>
        </is>
      </c>
      <c r="F1220" s="232" t="inlineStr">
        <is>
          <t>Santa Catalina</t>
        </is>
      </c>
      <c r="G1220" s="232" t="inlineStr">
        <is>
          <t>Fino 49 7,7 ha</t>
        </is>
      </c>
      <c r="H1220" s="232" t="inlineStr">
        <is>
          <t>Limon</t>
        </is>
      </c>
      <c r="I1220" s="232" t="inlineStr">
        <is>
          <t>Fino 49</t>
        </is>
      </c>
      <c r="J1220" s="232" t="inlineStr">
        <is>
          <t>MANT. Y REP. CONSTRUCCIONES</t>
        </is>
      </c>
      <c r="K1220" s="232" t="inlineStr">
        <is>
          <t>MANTENCION INFRAESTRUCTURA</t>
        </is>
      </c>
      <c r="L1220" s="232" t="inlineStr">
        <is>
          <t>[PRORRATEO 5.2% 7.7há/148.3há] O/001278 SOLDADURA</t>
        </is>
      </c>
      <c r="M1220" s="232" t="inlineStr"/>
      <c r="N1220" s="232" t="inlineStr">
        <is>
          <t>.   .   -</t>
        </is>
      </c>
      <c r="O1220" s="232" t="inlineStr">
        <is>
          <t>ENERO</t>
        </is>
      </c>
      <c r="P1220" s="232" t="n">
        <v>3</v>
      </c>
      <c r="Q1220" s="234" t="n">
        <v>182</v>
      </c>
      <c r="R1220" s="232" t="inlineStr"/>
      <c r="S1220" s="234" t="n">
        <v>182</v>
      </c>
      <c r="T1220" s="232" t="inlineStr">
        <is>
          <t>CLP</t>
        </is>
      </c>
      <c r="U1220" s="232" t="inlineStr">
        <is>
          <t>Prorrateo Ha PACKING</t>
        </is>
      </c>
      <c r="V1220" s="232" t="inlineStr">
        <is>
          <t>2026-06-18</t>
        </is>
      </c>
    </row>
    <row r="1221">
      <c r="A1221" s="232" t="inlineStr">
        <is>
          <t>CR-1218</t>
        </is>
      </c>
      <c r="B1221" s="232" t="inlineStr">
        <is>
          <t>2026/27</t>
        </is>
      </c>
      <c r="C1221" s="233" t="n">
        <v>46043</v>
      </c>
      <c r="D1221" s="232" t="inlineStr">
        <is>
          <t>826092</t>
        </is>
      </c>
      <c r="E1221" s="232" t="inlineStr">
        <is>
          <t>PRORRATEO</t>
        </is>
      </c>
      <c r="F1221" s="232" t="inlineStr">
        <is>
          <t>Santa Catalina</t>
        </is>
      </c>
      <c r="G1221" s="232" t="inlineStr">
        <is>
          <t>W. murcott 21 ha</t>
        </is>
      </c>
      <c r="H1221" s="232" t="inlineStr">
        <is>
          <t>Mandarina</t>
        </is>
      </c>
      <c r="I1221" s="232" t="inlineStr">
        <is>
          <t>W. murcott</t>
        </is>
      </c>
      <c r="J1221" s="232" t="inlineStr">
        <is>
          <t>MANT. Y REP. CONSTRUCCIONES</t>
        </is>
      </c>
      <c r="K1221" s="232" t="inlineStr">
        <is>
          <t>MANTENCION INFRAESTRUCTURA</t>
        </is>
      </c>
      <c r="L1221" s="232" t="inlineStr">
        <is>
          <t>[PRORRATEO 14.2% 21.0há/148.3há] O/001278 SOLDADURA</t>
        </is>
      </c>
      <c r="M1221" s="232" t="inlineStr"/>
      <c r="N1221" s="232" t="inlineStr">
        <is>
          <t>.   .   -</t>
        </is>
      </c>
      <c r="O1221" s="232" t="inlineStr">
        <is>
          <t>ENERO</t>
        </is>
      </c>
      <c r="P1221" s="232" t="n">
        <v>3</v>
      </c>
      <c r="Q1221" s="234" t="n">
        <v>497</v>
      </c>
      <c r="R1221" s="232" t="inlineStr"/>
      <c r="S1221" s="234" t="n">
        <v>497</v>
      </c>
      <c r="T1221" s="232" t="inlineStr">
        <is>
          <t>CLP</t>
        </is>
      </c>
      <c r="U1221" s="232" t="inlineStr">
        <is>
          <t>Prorrateo Ha PACKING</t>
        </is>
      </c>
      <c r="V1221" s="232" t="inlineStr">
        <is>
          <t>2026-06-18</t>
        </is>
      </c>
    </row>
    <row r="1222">
      <c r="A1222" s="232" t="inlineStr">
        <is>
          <t>CR-1219</t>
        </is>
      </c>
      <c r="B1222" s="232" t="inlineStr">
        <is>
          <t>2026/27</t>
        </is>
      </c>
      <c r="C1222" s="233" t="n">
        <v>46043</v>
      </c>
      <c r="D1222" s="232" t="inlineStr">
        <is>
          <t>826092</t>
        </is>
      </c>
      <c r="E1222" s="232" t="inlineStr">
        <is>
          <t>PRORRATEO</t>
        </is>
      </c>
      <c r="F1222" s="232" t="inlineStr">
        <is>
          <t>Santa Catalina</t>
        </is>
      </c>
      <c r="G1222" s="232" t="inlineStr">
        <is>
          <t>cambria 4,2 ha</t>
        </is>
      </c>
      <c r="H1222" s="232" t="inlineStr">
        <is>
          <t>Naranjas</t>
        </is>
      </c>
      <c r="I1222" s="232" t="inlineStr">
        <is>
          <t>Cambria</t>
        </is>
      </c>
      <c r="J1222" s="232" t="inlineStr">
        <is>
          <t>MANT. Y REP. CONSTRUCCIONES</t>
        </is>
      </c>
      <c r="K1222" s="232" t="inlineStr">
        <is>
          <t>MANTENCION INFRAESTRUCTURA</t>
        </is>
      </c>
      <c r="L1222" s="232" t="inlineStr">
        <is>
          <t>[PRORRATEO 2.8% 4.2há/148.3há] O/001278 SOLDADURA</t>
        </is>
      </c>
      <c r="M1222" s="232" t="inlineStr"/>
      <c r="N1222" s="232" t="inlineStr">
        <is>
          <t>.   .   -</t>
        </is>
      </c>
      <c r="O1222" s="232" t="inlineStr">
        <is>
          <t>ENERO</t>
        </is>
      </c>
      <c r="P1222" s="232" t="n">
        <v>3</v>
      </c>
      <c r="Q1222" s="234" t="n">
        <v>99</v>
      </c>
      <c r="R1222" s="232" t="inlineStr"/>
      <c r="S1222" s="234" t="n">
        <v>99</v>
      </c>
      <c r="T1222" s="232" t="inlineStr">
        <is>
          <t>CLP</t>
        </is>
      </c>
      <c r="U1222" s="232" t="inlineStr">
        <is>
          <t>Prorrateo Ha PACKING</t>
        </is>
      </c>
      <c r="V1222" s="232" t="inlineStr">
        <is>
          <t>2026-06-18</t>
        </is>
      </c>
    </row>
    <row r="1223">
      <c r="A1223" s="232" t="inlineStr">
        <is>
          <t>CR-1220</t>
        </is>
      </c>
      <c r="B1223" s="232" t="inlineStr">
        <is>
          <t>2026/27</t>
        </is>
      </c>
      <c r="C1223" s="233" t="n">
        <v>46043</v>
      </c>
      <c r="D1223" s="232" t="inlineStr">
        <is>
          <t>826092</t>
        </is>
      </c>
      <c r="E1223" s="232" t="inlineStr">
        <is>
          <t>PRORRATEO</t>
        </is>
      </c>
      <c r="F1223" s="232" t="inlineStr">
        <is>
          <t>Santa Catalina</t>
        </is>
      </c>
      <c r="G1223" s="232" t="inlineStr">
        <is>
          <t>eureka 10,6 ha</t>
        </is>
      </c>
      <c r="H1223" s="232" t="inlineStr">
        <is>
          <t>Limon</t>
        </is>
      </c>
      <c r="I1223" s="232" t="inlineStr">
        <is>
          <t>Eureka</t>
        </is>
      </c>
      <c r="J1223" s="232" t="inlineStr">
        <is>
          <t>MANT. Y REP. CONSTRUCCIONES</t>
        </is>
      </c>
      <c r="K1223" s="232" t="inlineStr">
        <is>
          <t>MANTENCION INFRAESTRUCTURA</t>
        </is>
      </c>
      <c r="L1223" s="232" t="inlineStr">
        <is>
          <t>[PRORRATEO 7.1% 10.6há/148.3há] O/001278 SOLDADURA</t>
        </is>
      </c>
      <c r="M1223" s="232" t="inlineStr"/>
      <c r="N1223" s="232" t="inlineStr">
        <is>
          <t>.   .   -</t>
        </is>
      </c>
      <c r="O1223" s="232" t="inlineStr">
        <is>
          <t>ENERO</t>
        </is>
      </c>
      <c r="P1223" s="232" t="n">
        <v>3</v>
      </c>
      <c r="Q1223" s="234" t="n">
        <v>251</v>
      </c>
      <c r="R1223" s="232" t="inlineStr"/>
      <c r="S1223" s="234" t="n">
        <v>251</v>
      </c>
      <c r="T1223" s="232" t="inlineStr">
        <is>
          <t>CLP</t>
        </is>
      </c>
      <c r="U1223" s="232" t="inlineStr">
        <is>
          <t>Prorrateo Ha PACKING</t>
        </is>
      </c>
      <c r="V1223" s="232" t="inlineStr">
        <is>
          <t>2026-06-18</t>
        </is>
      </c>
    </row>
    <row r="1224">
      <c r="A1224" s="232" t="inlineStr">
        <is>
          <t>CR-1221</t>
        </is>
      </c>
      <c r="B1224" s="232" t="inlineStr">
        <is>
          <t>2026/27</t>
        </is>
      </c>
      <c r="C1224" s="233" t="n">
        <v>46043</v>
      </c>
      <c r="D1224" s="232" t="inlineStr">
        <is>
          <t>826092</t>
        </is>
      </c>
      <c r="E1224" s="232" t="inlineStr">
        <is>
          <t>PRORRATEO</t>
        </is>
      </c>
      <c r="F1224" s="232" t="inlineStr">
        <is>
          <t>Santa Catalina</t>
        </is>
      </c>
      <c r="G1224" s="232" t="inlineStr">
        <is>
          <t>eureka 14,4 ha</t>
        </is>
      </c>
      <c r="H1224" s="232" t="inlineStr">
        <is>
          <t>Limon</t>
        </is>
      </c>
      <c r="I1224" s="232" t="inlineStr">
        <is>
          <t>Eureka</t>
        </is>
      </c>
      <c r="J1224" s="232" t="inlineStr">
        <is>
          <t>MANT. Y REP. CONSTRUCCIONES</t>
        </is>
      </c>
      <c r="K1224" s="232" t="inlineStr">
        <is>
          <t>MANTENCION INFRAESTRUCTURA</t>
        </is>
      </c>
      <c r="L1224" s="232" t="inlineStr">
        <is>
          <t>[PRORRATEO 9.7% 14.4há/148.3há] O/001278 SOLDADURA</t>
        </is>
      </c>
      <c r="M1224" s="232" t="inlineStr"/>
      <c r="N1224" s="232" t="inlineStr">
        <is>
          <t>.   .   -</t>
        </is>
      </c>
      <c r="O1224" s="232" t="inlineStr">
        <is>
          <t>ENERO</t>
        </is>
      </c>
      <c r="P1224" s="232" t="n">
        <v>3</v>
      </c>
      <c r="Q1224" s="234" t="n">
        <v>341</v>
      </c>
      <c r="R1224" s="232" t="inlineStr"/>
      <c r="S1224" s="234" t="n">
        <v>341</v>
      </c>
      <c r="T1224" s="232" t="inlineStr">
        <is>
          <t>CLP</t>
        </is>
      </c>
      <c r="U1224" s="232" t="inlineStr">
        <is>
          <t>Prorrateo Ha PACKING</t>
        </is>
      </c>
      <c r="V1224" s="232" t="inlineStr">
        <is>
          <t>2026-06-18</t>
        </is>
      </c>
    </row>
    <row r="1225">
      <c r="A1225" s="232" t="inlineStr">
        <is>
          <t>CR-1222</t>
        </is>
      </c>
      <c r="B1225" s="232" t="inlineStr">
        <is>
          <t>2026/27</t>
        </is>
      </c>
      <c r="C1225" s="233" t="n">
        <v>46043</v>
      </c>
      <c r="D1225" s="232" t="inlineStr">
        <is>
          <t>826092</t>
        </is>
      </c>
      <c r="E1225" s="232" t="inlineStr">
        <is>
          <t>PRORRATEO</t>
        </is>
      </c>
      <c r="F1225" s="232" t="inlineStr">
        <is>
          <t>Santa Catalina</t>
        </is>
      </c>
      <c r="G1225" s="232" t="inlineStr">
        <is>
          <t>eureka 22,55</t>
        </is>
      </c>
      <c r="H1225" s="232" t="inlineStr">
        <is>
          <t>Limon</t>
        </is>
      </c>
      <c r="I1225" s="232" t="inlineStr">
        <is>
          <t>Eureka</t>
        </is>
      </c>
      <c r="J1225" s="232" t="inlineStr">
        <is>
          <t>MANT. Y REP. CONSTRUCCIONES</t>
        </is>
      </c>
      <c r="K1225" s="232" t="inlineStr">
        <is>
          <t>MANTENCION INFRAESTRUCTURA</t>
        </is>
      </c>
      <c r="L1225" s="232" t="inlineStr">
        <is>
          <t>[PRORRATEO 15.2% 22.55há/148.3há] O/001278 SOLDADURA</t>
        </is>
      </c>
      <c r="M1225" s="232" t="inlineStr"/>
      <c r="N1225" s="232" t="inlineStr">
        <is>
          <t>.   .   -</t>
        </is>
      </c>
      <c r="O1225" s="232" t="inlineStr">
        <is>
          <t>ENERO</t>
        </is>
      </c>
      <c r="P1225" s="232" t="n">
        <v>3</v>
      </c>
      <c r="Q1225" s="234" t="n">
        <v>534</v>
      </c>
      <c r="R1225" s="232" t="inlineStr"/>
      <c r="S1225" s="234" t="n">
        <v>534</v>
      </c>
      <c r="T1225" s="232" t="inlineStr">
        <is>
          <t>CLP</t>
        </is>
      </c>
      <c r="U1225" s="232" t="inlineStr">
        <is>
          <t>Prorrateo Ha PACKING</t>
        </is>
      </c>
      <c r="V1225" s="232" t="inlineStr">
        <is>
          <t>2026-06-18</t>
        </is>
      </c>
    </row>
    <row r="1226">
      <c r="A1226" s="232" t="inlineStr">
        <is>
          <t>CR-1223</t>
        </is>
      </c>
      <c r="B1226" s="232" t="inlineStr">
        <is>
          <t>2026/27</t>
        </is>
      </c>
      <c r="C1226" s="233" t="n">
        <v>46043</v>
      </c>
      <c r="D1226" s="232" t="inlineStr">
        <is>
          <t>826092</t>
        </is>
      </c>
      <c r="E1226" s="232" t="inlineStr">
        <is>
          <t>PRORRATEO</t>
        </is>
      </c>
      <c r="F1226" s="232" t="inlineStr">
        <is>
          <t>Santa Catalina</t>
        </is>
      </c>
      <c r="G1226" s="232" t="inlineStr">
        <is>
          <t>form benjamin 1,93 ha</t>
        </is>
      </c>
      <c r="H1226" s="232" t="inlineStr">
        <is>
          <t>Limon</t>
        </is>
      </c>
      <c r="I1226" s="232" t="inlineStr">
        <is>
          <t>Benjamin andes</t>
        </is>
      </c>
      <c r="J1226" s="232" t="inlineStr">
        <is>
          <t>MANT. Y REP. CONSTRUCCIONES</t>
        </is>
      </c>
      <c r="K1226" s="232" t="inlineStr">
        <is>
          <t>MANTENCION INFRAESTRUCTURA</t>
        </is>
      </c>
      <c r="L1226" s="232" t="inlineStr">
        <is>
          <t>[PRORRATEO 1.3% 1.93há/148.3há] O/001278 SOLDADURA</t>
        </is>
      </c>
      <c r="M1226" s="232" t="inlineStr"/>
      <c r="N1226" s="232" t="inlineStr">
        <is>
          <t>.   .   -</t>
        </is>
      </c>
      <c r="O1226" s="232" t="inlineStr">
        <is>
          <t>ENERO</t>
        </is>
      </c>
      <c r="P1226" s="232" t="n">
        <v>3</v>
      </c>
      <c r="Q1226" s="234" t="n">
        <v>46</v>
      </c>
      <c r="R1226" s="232" t="inlineStr"/>
      <c r="S1226" s="234" t="n">
        <v>46</v>
      </c>
      <c r="T1226" s="232" t="inlineStr">
        <is>
          <t>CLP</t>
        </is>
      </c>
      <c r="U1226" s="232" t="inlineStr">
        <is>
          <t>Prorrateo Ha PACKING</t>
        </is>
      </c>
      <c r="V1226" s="232" t="inlineStr">
        <is>
          <t>2026-06-18</t>
        </is>
      </c>
    </row>
    <row r="1227">
      <c r="A1227" s="232" t="inlineStr">
        <is>
          <t>CR-1224</t>
        </is>
      </c>
      <c r="B1227" s="232" t="inlineStr">
        <is>
          <t>2026/27</t>
        </is>
      </c>
      <c r="C1227" s="233" t="n">
        <v>46043</v>
      </c>
      <c r="D1227" s="232" t="inlineStr">
        <is>
          <t>826092</t>
        </is>
      </c>
      <c r="E1227" s="232" t="inlineStr">
        <is>
          <t>PRORRATEO</t>
        </is>
      </c>
      <c r="F1227" s="232" t="inlineStr">
        <is>
          <t>Santa Catalina</t>
        </is>
      </c>
      <c r="G1227" s="232" t="inlineStr">
        <is>
          <t>mant eureka 2,5 ha</t>
        </is>
      </c>
      <c r="H1227" s="232" t="inlineStr">
        <is>
          <t>Limon</t>
        </is>
      </c>
      <c r="I1227" s="232" t="inlineStr">
        <is>
          <t>Eureka</t>
        </is>
      </c>
      <c r="J1227" s="232" t="inlineStr">
        <is>
          <t>MANT. Y REP. CONSTRUCCIONES</t>
        </is>
      </c>
      <c r="K1227" s="232" t="inlineStr">
        <is>
          <t>MANTENCION INFRAESTRUCTURA</t>
        </is>
      </c>
      <c r="L1227" s="232" t="inlineStr">
        <is>
          <t>[PRORRATEO 1.7% 2.5há/148.3há] O/001278 SOLDADURA</t>
        </is>
      </c>
      <c r="M1227" s="232" t="inlineStr"/>
      <c r="N1227" s="232" t="inlineStr">
        <is>
          <t>.   .   -</t>
        </is>
      </c>
      <c r="O1227" s="232" t="inlineStr">
        <is>
          <t>ENERO</t>
        </is>
      </c>
      <c r="P1227" s="232" t="n">
        <v>3</v>
      </c>
      <c r="Q1227" s="234" t="n">
        <v>59</v>
      </c>
      <c r="R1227" s="232" t="inlineStr"/>
      <c r="S1227" s="234" t="n">
        <v>59</v>
      </c>
      <c r="T1227" s="232" t="inlineStr">
        <is>
          <t>CLP</t>
        </is>
      </c>
      <c r="U1227" s="232" t="inlineStr">
        <is>
          <t>Prorrateo Ha PACKING</t>
        </is>
      </c>
      <c r="V1227" s="232" t="inlineStr">
        <is>
          <t>2026-06-18</t>
        </is>
      </c>
    </row>
    <row r="1228">
      <c r="A1228" s="232" t="inlineStr">
        <is>
          <t>CR-1225</t>
        </is>
      </c>
      <c r="B1228" s="232" t="inlineStr">
        <is>
          <t>2026/27</t>
        </is>
      </c>
      <c r="C1228" s="233" t="n">
        <v>46043</v>
      </c>
      <c r="D1228" s="232" t="inlineStr">
        <is>
          <t>826092</t>
        </is>
      </c>
      <c r="E1228" s="232" t="inlineStr">
        <is>
          <t>PRORRATEO</t>
        </is>
      </c>
      <c r="F1228" s="232" t="inlineStr">
        <is>
          <t>Siberia</t>
        </is>
      </c>
      <c r="G1228" s="232" t="inlineStr">
        <is>
          <t>S. Celebration 7,14</t>
        </is>
      </c>
      <c r="H1228" s="232" t="inlineStr">
        <is>
          <t>Uvas</t>
        </is>
      </c>
      <c r="I1228" s="232" t="inlineStr">
        <is>
          <t>S. celebration</t>
        </is>
      </c>
      <c r="J1228" s="232" t="inlineStr">
        <is>
          <t>MANT. Y REP. CONSTRUCCIONES</t>
        </is>
      </c>
      <c r="K1228" s="232" t="inlineStr">
        <is>
          <t>MANTENCION INFRAESTRUCTURA</t>
        </is>
      </c>
      <c r="L1228" s="232" t="inlineStr">
        <is>
          <t>[PRORRATEO 4.8% 7.14há/148.3há] O/001278 SOLDADURA</t>
        </is>
      </c>
      <c r="M1228" s="232" t="inlineStr"/>
      <c r="N1228" s="232" t="inlineStr">
        <is>
          <t>.   .   -</t>
        </is>
      </c>
      <c r="O1228" s="232" t="inlineStr">
        <is>
          <t>ENERO</t>
        </is>
      </c>
      <c r="P1228" s="232" t="n">
        <v>3</v>
      </c>
      <c r="Q1228" s="234" t="n">
        <v>169</v>
      </c>
      <c r="R1228" s="232" t="inlineStr"/>
      <c r="S1228" s="234" t="n">
        <v>169</v>
      </c>
      <c r="T1228" s="232" t="inlineStr">
        <is>
          <t>CLP</t>
        </is>
      </c>
      <c r="U1228" s="232" t="inlineStr">
        <is>
          <t>Prorrateo Ha PACKING</t>
        </is>
      </c>
      <c r="V1228" s="232" t="inlineStr">
        <is>
          <t>2026-06-18</t>
        </is>
      </c>
    </row>
    <row r="1229">
      <c r="A1229" s="232" t="inlineStr">
        <is>
          <t>CR-1226</t>
        </is>
      </c>
      <c r="B1229" s="232" t="inlineStr">
        <is>
          <t>2026/27</t>
        </is>
      </c>
      <c r="C1229" s="233" t="n">
        <v>46043</v>
      </c>
      <c r="D1229" s="232" t="inlineStr">
        <is>
          <t>826092</t>
        </is>
      </c>
      <c r="E1229" s="232" t="inlineStr">
        <is>
          <t>PRORRATEO</t>
        </is>
      </c>
      <c r="F1229" s="232" t="inlineStr">
        <is>
          <t>Siberia</t>
        </is>
      </c>
      <c r="G1229" s="232" t="inlineStr">
        <is>
          <t>Timpson 7,1</t>
        </is>
      </c>
      <c r="H1229" s="232" t="inlineStr">
        <is>
          <t>Uvas</t>
        </is>
      </c>
      <c r="I1229" s="232" t="inlineStr">
        <is>
          <t>Timpson</t>
        </is>
      </c>
      <c r="J1229" s="232" t="inlineStr">
        <is>
          <t>MANT. Y REP. CONSTRUCCIONES</t>
        </is>
      </c>
      <c r="K1229" s="232" t="inlineStr">
        <is>
          <t>MANTENCION INFRAESTRUCTURA</t>
        </is>
      </c>
      <c r="L1229" s="232" t="inlineStr">
        <is>
          <t>[PRORRATEO 4.8% 7.1há/148.3há] O/001278 SOLDADURA</t>
        </is>
      </c>
      <c r="M1229" s="232" t="inlineStr"/>
      <c r="N1229" s="232" t="inlineStr">
        <is>
          <t>.   .   -</t>
        </is>
      </c>
      <c r="O1229" s="232" t="inlineStr">
        <is>
          <t>ENERO</t>
        </is>
      </c>
      <c r="P1229" s="232" t="n">
        <v>3</v>
      </c>
      <c r="Q1229" s="234" t="n">
        <v>168</v>
      </c>
      <c r="R1229" s="232" t="inlineStr"/>
      <c r="S1229" s="234" t="n">
        <v>168</v>
      </c>
      <c r="T1229" s="232" t="inlineStr">
        <is>
          <t>CLP</t>
        </is>
      </c>
      <c r="U1229" s="232" t="inlineStr">
        <is>
          <t>Prorrateo Ha PACKING</t>
        </is>
      </c>
      <c r="V1229" s="232" t="inlineStr">
        <is>
          <t>2026-06-18</t>
        </is>
      </c>
    </row>
    <row r="1230">
      <c r="A1230" s="232" t="inlineStr">
        <is>
          <t>CR-1227</t>
        </is>
      </c>
      <c r="B1230" s="232" t="inlineStr">
        <is>
          <t>2026/27</t>
        </is>
      </c>
      <c r="C1230" s="233" t="n">
        <v>46043</v>
      </c>
      <c r="D1230" s="232" t="inlineStr">
        <is>
          <t>826092</t>
        </is>
      </c>
      <c r="E1230" s="232" t="inlineStr">
        <is>
          <t>PRORRATEO</t>
        </is>
      </c>
      <c r="F1230" s="232" t="inlineStr">
        <is>
          <t>Asmara</t>
        </is>
      </c>
      <c r="G1230" s="232" t="inlineStr">
        <is>
          <t>w. murcott 19,8 ha</t>
        </is>
      </c>
      <c r="H1230" s="232" t="inlineStr">
        <is>
          <t>Mandarina</t>
        </is>
      </c>
      <c r="I1230" s="232" t="inlineStr">
        <is>
          <t>W. murcott</t>
        </is>
      </c>
      <c r="J1230" s="232" t="inlineStr">
        <is>
          <t>MANT. Y REP. PLANTACIONES</t>
        </is>
      </c>
      <c r="K1230" s="232" t="inlineStr">
        <is>
          <t>MANTENCION HUERTO</t>
        </is>
      </c>
      <c r="L1230" s="232" t="inlineStr">
        <is>
          <t>[PRORRATEO 13.4% 19.8há/148.3há] O/001278 TIJERAS CO</t>
        </is>
      </c>
      <c r="M1230" s="232" t="inlineStr"/>
      <c r="N1230" s="232" t="inlineStr">
        <is>
          <t>.   .   -</t>
        </is>
      </c>
      <c r="O1230" s="232" t="inlineStr">
        <is>
          <t>ENERO</t>
        </is>
      </c>
      <c r="P1230" s="232" t="n">
        <v>3</v>
      </c>
      <c r="Q1230" s="234" t="n">
        <v>7190</v>
      </c>
      <c r="R1230" s="232" t="inlineStr"/>
      <c r="S1230" s="234" t="n">
        <v>7190</v>
      </c>
      <c r="T1230" s="232" t="inlineStr">
        <is>
          <t>CLP</t>
        </is>
      </c>
      <c r="U1230" s="232" t="inlineStr">
        <is>
          <t>Prorrateo Ha PACKING</t>
        </is>
      </c>
      <c r="V1230" s="232" t="inlineStr">
        <is>
          <t>2026-06-18</t>
        </is>
      </c>
    </row>
    <row r="1231">
      <c r="A1231" s="232" t="inlineStr">
        <is>
          <t>CR-1228</t>
        </is>
      </c>
      <c r="B1231" s="232" t="inlineStr">
        <is>
          <t>2026/27</t>
        </is>
      </c>
      <c r="C1231" s="233" t="n">
        <v>46043</v>
      </c>
      <c r="D1231" s="232" t="inlineStr">
        <is>
          <t>826092</t>
        </is>
      </c>
      <c r="E1231" s="232" t="inlineStr">
        <is>
          <t>PRORRATEO</t>
        </is>
      </c>
      <c r="F1231" s="232" t="inlineStr">
        <is>
          <t>Asmara</t>
        </is>
      </c>
      <c r="G1231" s="232" t="inlineStr">
        <is>
          <t>w. murcott 4,9 ha</t>
        </is>
      </c>
      <c r="H1231" s="232" t="inlineStr">
        <is>
          <t>Mandarina</t>
        </is>
      </c>
      <c r="I1231" s="232" t="inlineStr">
        <is>
          <t>W. murcott</t>
        </is>
      </c>
      <c r="J1231" s="232" t="inlineStr">
        <is>
          <t>MANT. Y REP. PLANTACIONES</t>
        </is>
      </c>
      <c r="K1231" s="232" t="inlineStr">
        <is>
          <t>MANTENCION HUERTO</t>
        </is>
      </c>
      <c r="L1231" s="232" t="inlineStr">
        <is>
          <t>[PRORRATEO 3.3% 4.9há/148.3há] O/001278 TIJERAS CO</t>
        </is>
      </c>
      <c r="M1231" s="232" t="inlineStr"/>
      <c r="N1231" s="232" t="inlineStr">
        <is>
          <t>.   .   -</t>
        </is>
      </c>
      <c r="O1231" s="232" t="inlineStr">
        <is>
          <t>ENERO</t>
        </is>
      </c>
      <c r="P1231" s="232" t="n">
        <v>3</v>
      </c>
      <c r="Q1231" s="234" t="n">
        <v>1779</v>
      </c>
      <c r="R1231" s="232" t="inlineStr"/>
      <c r="S1231" s="234" t="n">
        <v>1779</v>
      </c>
      <c r="T1231" s="232" t="inlineStr">
        <is>
          <t>CLP</t>
        </is>
      </c>
      <c r="U1231" s="232" t="inlineStr">
        <is>
          <t>Prorrateo Ha PACKING</t>
        </is>
      </c>
      <c r="V1231" s="232" t="inlineStr">
        <is>
          <t>2026-06-18</t>
        </is>
      </c>
    </row>
    <row r="1232">
      <c r="A1232" s="232" t="inlineStr">
        <is>
          <t>CR-1229</t>
        </is>
      </c>
      <c r="B1232" s="232" t="inlineStr">
        <is>
          <t>2026/27</t>
        </is>
      </c>
      <c r="C1232" s="233" t="n">
        <v>46043</v>
      </c>
      <c r="D1232" s="232" t="inlineStr">
        <is>
          <t>826092</t>
        </is>
      </c>
      <c r="E1232" s="232" t="inlineStr">
        <is>
          <t>PRORRATEO</t>
        </is>
      </c>
      <c r="F1232" s="232" t="inlineStr">
        <is>
          <t>El Molle</t>
        </is>
      </c>
      <c r="G1232" s="232" t="inlineStr">
        <is>
          <t>Wonderful 5,25 ha</t>
        </is>
      </c>
      <c r="H1232" s="232" t="inlineStr">
        <is>
          <t>Granados</t>
        </is>
      </c>
      <c r="I1232" s="232" t="inlineStr">
        <is>
          <t>Wonderfull</t>
        </is>
      </c>
      <c r="J1232" s="232" t="inlineStr">
        <is>
          <t>MANT. Y REP. PLANTACIONES</t>
        </is>
      </c>
      <c r="K1232" s="232" t="inlineStr">
        <is>
          <t>MANTENCION HUERTO</t>
        </is>
      </c>
      <c r="L1232" s="232" t="inlineStr">
        <is>
          <t>[PRORRATEO 3.5% 5.24há/148.3há] O/001278 TIJERAS CO</t>
        </is>
      </c>
      <c r="M1232" s="232" t="inlineStr"/>
      <c r="N1232" s="232" t="inlineStr">
        <is>
          <t>.   .   -</t>
        </is>
      </c>
      <c r="O1232" s="232" t="inlineStr">
        <is>
          <t>ENERO</t>
        </is>
      </c>
      <c r="P1232" s="232" t="n">
        <v>3</v>
      </c>
      <c r="Q1232" s="234" t="n">
        <v>1903</v>
      </c>
      <c r="R1232" s="232" t="inlineStr"/>
      <c r="S1232" s="234" t="n">
        <v>1903</v>
      </c>
      <c r="T1232" s="232" t="inlineStr">
        <is>
          <t>CLP</t>
        </is>
      </c>
      <c r="U1232" s="232" t="inlineStr">
        <is>
          <t>Prorrateo Ha PACKING</t>
        </is>
      </c>
      <c r="V1232" s="232" t="inlineStr">
        <is>
          <t>2026-06-18</t>
        </is>
      </c>
    </row>
    <row r="1233">
      <c r="A1233" s="232" t="inlineStr">
        <is>
          <t>CR-1230</t>
        </is>
      </c>
      <c r="B1233" s="232" t="inlineStr">
        <is>
          <t>2026/27</t>
        </is>
      </c>
      <c r="C1233" s="233" t="n">
        <v>46043</v>
      </c>
      <c r="D1233" s="232" t="inlineStr">
        <is>
          <t>826092</t>
        </is>
      </c>
      <c r="E1233" s="232" t="inlineStr">
        <is>
          <t>PRORRATEO</t>
        </is>
      </c>
      <c r="F1233" s="232" t="inlineStr">
        <is>
          <t>El Molle</t>
        </is>
      </c>
      <c r="G1233" s="232" t="inlineStr">
        <is>
          <t>arrufatinas 5,74 ha</t>
        </is>
      </c>
      <c r="H1233" s="232" t="inlineStr">
        <is>
          <t>Clementinas</t>
        </is>
      </c>
      <c r="I1233" s="232" t="inlineStr">
        <is>
          <t>Arrufatinas</t>
        </is>
      </c>
      <c r="J1233" s="232" t="inlineStr">
        <is>
          <t>MANT. Y REP. PLANTACIONES</t>
        </is>
      </c>
      <c r="K1233" s="232" t="inlineStr">
        <is>
          <t>MANTENCION HUERTO</t>
        </is>
      </c>
      <c r="L1233" s="232" t="inlineStr">
        <is>
          <t>[PRORRATEO 3.9% 5.74há/148.3há] O/001278 TIJERAS CO</t>
        </is>
      </c>
      <c r="M1233" s="232" t="inlineStr"/>
      <c r="N1233" s="232" t="inlineStr">
        <is>
          <t>.   .   -</t>
        </is>
      </c>
      <c r="O1233" s="232" t="inlineStr">
        <is>
          <t>ENERO</t>
        </is>
      </c>
      <c r="P1233" s="232" t="n">
        <v>3</v>
      </c>
      <c r="Q1233" s="234" t="n">
        <v>2084</v>
      </c>
      <c r="R1233" s="232" t="inlineStr"/>
      <c r="S1233" s="234" t="n">
        <v>2084</v>
      </c>
      <c r="T1233" s="232" t="inlineStr">
        <is>
          <t>CLP</t>
        </is>
      </c>
      <c r="U1233" s="232" t="inlineStr">
        <is>
          <t>Prorrateo Ha PACKING</t>
        </is>
      </c>
      <c r="V1233" s="232" t="inlineStr">
        <is>
          <t>2026-06-18</t>
        </is>
      </c>
    </row>
    <row r="1234">
      <c r="A1234" s="232" t="inlineStr">
        <is>
          <t>CR-1231</t>
        </is>
      </c>
      <c r="B1234" s="232" t="inlineStr">
        <is>
          <t>2026/27</t>
        </is>
      </c>
      <c r="C1234" s="233" t="n">
        <v>46043</v>
      </c>
      <c r="D1234" s="232" t="inlineStr">
        <is>
          <t>826092</t>
        </is>
      </c>
      <c r="E1234" s="232" t="inlineStr">
        <is>
          <t>PRORRATEO</t>
        </is>
      </c>
      <c r="F1234" s="232" t="inlineStr">
        <is>
          <t>El Molle</t>
        </is>
      </c>
      <c r="G1234" s="232" t="inlineStr">
        <is>
          <t>orogrande 8,11 ha</t>
        </is>
      </c>
      <c r="H1234" s="232" t="inlineStr">
        <is>
          <t>Clementinas</t>
        </is>
      </c>
      <c r="I1234" s="232" t="inlineStr">
        <is>
          <t>Orogrande</t>
        </is>
      </c>
      <c r="J1234" s="232" t="inlineStr">
        <is>
          <t>MANT. Y REP. PLANTACIONES</t>
        </is>
      </c>
      <c r="K1234" s="232" t="inlineStr">
        <is>
          <t>MANTENCION HUERTO</t>
        </is>
      </c>
      <c r="L1234" s="232" t="inlineStr">
        <is>
          <t>[PRORRATEO 5.5% 8.11há/148.3há] O/001278 TIJERAS CO</t>
        </is>
      </c>
      <c r="M1234" s="232" t="inlineStr"/>
      <c r="N1234" s="232" t="inlineStr">
        <is>
          <t>.   .   -</t>
        </is>
      </c>
      <c r="O1234" s="232" t="inlineStr">
        <is>
          <t>ENERO</t>
        </is>
      </c>
      <c r="P1234" s="232" t="n">
        <v>3</v>
      </c>
      <c r="Q1234" s="234" t="n">
        <v>2945</v>
      </c>
      <c r="R1234" s="232" t="inlineStr"/>
      <c r="S1234" s="234" t="n">
        <v>2945</v>
      </c>
      <c r="T1234" s="232" t="inlineStr">
        <is>
          <t>CLP</t>
        </is>
      </c>
      <c r="U1234" s="232" t="inlineStr">
        <is>
          <t>Prorrateo Ha PACKING</t>
        </is>
      </c>
      <c r="V1234" s="232" t="inlineStr">
        <is>
          <t>2026-06-18</t>
        </is>
      </c>
    </row>
    <row r="1235">
      <c r="A1235" s="232" t="inlineStr">
        <is>
          <t>CR-1232</t>
        </is>
      </c>
      <c r="B1235" s="232" t="inlineStr">
        <is>
          <t>2026/27</t>
        </is>
      </c>
      <c r="C1235" s="233" t="n">
        <v>46043</v>
      </c>
      <c r="D1235" s="232" t="inlineStr">
        <is>
          <t>826092</t>
        </is>
      </c>
      <c r="E1235" s="232" t="inlineStr">
        <is>
          <t>PRORRATEO</t>
        </is>
      </c>
      <c r="F1235" s="232" t="inlineStr">
        <is>
          <t>El Molle</t>
        </is>
      </c>
      <c r="G1235" s="232" t="inlineStr">
        <is>
          <t>oronules 5,35 ha</t>
        </is>
      </c>
      <c r="H1235" s="232" t="inlineStr">
        <is>
          <t>Clementinas</t>
        </is>
      </c>
      <c r="I1235" s="232" t="inlineStr">
        <is>
          <t>Oronules</t>
        </is>
      </c>
      <c r="J1235" s="232" t="inlineStr">
        <is>
          <t>MANT. Y REP. PLANTACIONES</t>
        </is>
      </c>
      <c r="K1235" s="232" t="inlineStr">
        <is>
          <t>MANTENCION HUERTO</t>
        </is>
      </c>
      <c r="L1235" s="232" t="inlineStr">
        <is>
          <t>[PRORRATEO 3.6% 5.35há/148.3há] O/001278 TIJERAS CO</t>
        </is>
      </c>
      <c r="M1235" s="232" t="inlineStr"/>
      <c r="N1235" s="232" t="inlineStr">
        <is>
          <t>.   .   -</t>
        </is>
      </c>
      <c r="O1235" s="232" t="inlineStr">
        <is>
          <t>ENERO</t>
        </is>
      </c>
      <c r="P1235" s="232" t="n">
        <v>3</v>
      </c>
      <c r="Q1235" s="234" t="n">
        <v>1943</v>
      </c>
      <c r="R1235" s="232" t="inlineStr"/>
      <c r="S1235" s="234" t="n">
        <v>1943</v>
      </c>
      <c r="T1235" s="232" t="inlineStr">
        <is>
          <t>CLP</t>
        </is>
      </c>
      <c r="U1235" s="232" t="inlineStr">
        <is>
          <t>Prorrateo Ha PACKING</t>
        </is>
      </c>
      <c r="V1235" s="232" t="inlineStr">
        <is>
          <t>2026-06-18</t>
        </is>
      </c>
    </row>
    <row r="1236">
      <c r="A1236" s="232" t="inlineStr">
        <is>
          <t>CR-1233</t>
        </is>
      </c>
      <c r="B1236" s="232" t="inlineStr">
        <is>
          <t>2026/27</t>
        </is>
      </c>
      <c r="C1236" s="233" t="n">
        <v>46043</v>
      </c>
      <c r="D1236" s="232" t="inlineStr">
        <is>
          <t>826092</t>
        </is>
      </c>
      <c r="E1236" s="232" t="inlineStr">
        <is>
          <t>PRORRATEO</t>
        </is>
      </c>
      <c r="F1236" s="232" t="inlineStr">
        <is>
          <t>Santa Catalina</t>
        </is>
      </c>
      <c r="G1236" s="232" t="inlineStr">
        <is>
          <t>Fino 49 7,7 ha</t>
        </is>
      </c>
      <c r="H1236" s="232" t="inlineStr">
        <is>
          <t>Limon</t>
        </is>
      </c>
      <c r="I1236" s="232" t="inlineStr">
        <is>
          <t>Fino 49</t>
        </is>
      </c>
      <c r="J1236" s="232" t="inlineStr">
        <is>
          <t>MANT. Y REP. PLANTACIONES</t>
        </is>
      </c>
      <c r="K1236" s="232" t="inlineStr">
        <is>
          <t>MANTENCION HUERTO</t>
        </is>
      </c>
      <c r="L1236" s="232" t="inlineStr">
        <is>
          <t>[PRORRATEO 5.2% 7.7há/148.3há] O/001278 TIJERAS CO</t>
        </is>
      </c>
      <c r="M1236" s="232" t="inlineStr"/>
      <c r="N1236" s="232" t="inlineStr">
        <is>
          <t>.   .   -</t>
        </is>
      </c>
      <c r="O1236" s="232" t="inlineStr">
        <is>
          <t>ENERO</t>
        </is>
      </c>
      <c r="P1236" s="232" t="n">
        <v>3</v>
      </c>
      <c r="Q1236" s="234" t="n">
        <v>2796</v>
      </c>
      <c r="R1236" s="232" t="inlineStr"/>
      <c r="S1236" s="234" t="n">
        <v>2796</v>
      </c>
      <c r="T1236" s="232" t="inlineStr">
        <is>
          <t>CLP</t>
        </is>
      </c>
      <c r="U1236" s="232" t="inlineStr">
        <is>
          <t>Prorrateo Ha PACKING</t>
        </is>
      </c>
      <c r="V1236" s="232" t="inlineStr">
        <is>
          <t>2026-06-18</t>
        </is>
      </c>
    </row>
    <row r="1237">
      <c r="A1237" s="232" t="inlineStr">
        <is>
          <t>CR-1234</t>
        </is>
      </c>
      <c r="B1237" s="232" t="inlineStr">
        <is>
          <t>2026/27</t>
        </is>
      </c>
      <c r="C1237" s="233" t="n">
        <v>46043</v>
      </c>
      <c r="D1237" s="232" t="inlineStr">
        <is>
          <t>826092</t>
        </is>
      </c>
      <c r="E1237" s="232" t="inlineStr">
        <is>
          <t>PRORRATEO</t>
        </is>
      </c>
      <c r="F1237" s="232" t="inlineStr">
        <is>
          <t>Santa Catalina</t>
        </is>
      </c>
      <c r="G1237" s="232" t="inlineStr">
        <is>
          <t>W. murcott 21 ha</t>
        </is>
      </c>
      <c r="H1237" s="232" t="inlineStr">
        <is>
          <t>Mandarina</t>
        </is>
      </c>
      <c r="I1237" s="232" t="inlineStr">
        <is>
          <t>W. murcott</t>
        </is>
      </c>
      <c r="J1237" s="232" t="inlineStr">
        <is>
          <t>MANT. Y REP. PLANTACIONES</t>
        </is>
      </c>
      <c r="K1237" s="232" t="inlineStr">
        <is>
          <t>MANTENCION HUERTO</t>
        </is>
      </c>
      <c r="L1237" s="232" t="inlineStr">
        <is>
          <t>[PRORRATEO 14.2% 21.0há/148.3há] O/001278 TIJERAS CO</t>
        </is>
      </c>
      <c r="M1237" s="232" t="inlineStr"/>
      <c r="N1237" s="232" t="inlineStr">
        <is>
          <t>.   .   -</t>
        </is>
      </c>
      <c r="O1237" s="232" t="inlineStr">
        <is>
          <t>ENERO</t>
        </is>
      </c>
      <c r="P1237" s="232" t="n">
        <v>3</v>
      </c>
      <c r="Q1237" s="234" t="n">
        <v>7626</v>
      </c>
      <c r="R1237" s="232" t="inlineStr"/>
      <c r="S1237" s="234" t="n">
        <v>7626</v>
      </c>
      <c r="T1237" s="232" t="inlineStr">
        <is>
          <t>CLP</t>
        </is>
      </c>
      <c r="U1237" s="232" t="inlineStr">
        <is>
          <t>Prorrateo Ha PACKING</t>
        </is>
      </c>
      <c r="V1237" s="232" t="inlineStr">
        <is>
          <t>2026-06-18</t>
        </is>
      </c>
    </row>
    <row r="1238">
      <c r="A1238" s="232" t="inlineStr">
        <is>
          <t>CR-1235</t>
        </is>
      </c>
      <c r="B1238" s="232" t="inlineStr">
        <is>
          <t>2026/27</t>
        </is>
      </c>
      <c r="C1238" s="233" t="n">
        <v>46043</v>
      </c>
      <c r="D1238" s="232" t="inlineStr">
        <is>
          <t>826092</t>
        </is>
      </c>
      <c r="E1238" s="232" t="inlineStr">
        <is>
          <t>PRORRATEO</t>
        </is>
      </c>
      <c r="F1238" s="232" t="inlineStr">
        <is>
          <t>Santa Catalina</t>
        </is>
      </c>
      <c r="G1238" s="232" t="inlineStr">
        <is>
          <t>cambria 4,2 ha</t>
        </is>
      </c>
      <c r="H1238" s="232" t="inlineStr">
        <is>
          <t>Naranjas</t>
        </is>
      </c>
      <c r="I1238" s="232" t="inlineStr">
        <is>
          <t>Cambria</t>
        </is>
      </c>
      <c r="J1238" s="232" t="inlineStr">
        <is>
          <t>MANT. Y REP. PLANTACIONES</t>
        </is>
      </c>
      <c r="K1238" s="232" t="inlineStr">
        <is>
          <t>MANTENCION HUERTO</t>
        </is>
      </c>
      <c r="L1238" s="232" t="inlineStr">
        <is>
          <t>[PRORRATEO 2.8% 4.2há/148.3há] O/001278 TIJERAS CO</t>
        </is>
      </c>
      <c r="M1238" s="232" t="inlineStr"/>
      <c r="N1238" s="232" t="inlineStr">
        <is>
          <t>.   .   -</t>
        </is>
      </c>
      <c r="O1238" s="232" t="inlineStr">
        <is>
          <t>ENERO</t>
        </is>
      </c>
      <c r="P1238" s="232" t="n">
        <v>3</v>
      </c>
      <c r="Q1238" s="234" t="n">
        <v>1525</v>
      </c>
      <c r="R1238" s="232" t="inlineStr"/>
      <c r="S1238" s="234" t="n">
        <v>1525</v>
      </c>
      <c r="T1238" s="232" t="inlineStr">
        <is>
          <t>CLP</t>
        </is>
      </c>
      <c r="U1238" s="232" t="inlineStr">
        <is>
          <t>Prorrateo Ha PACKING</t>
        </is>
      </c>
      <c r="V1238" s="232" t="inlineStr">
        <is>
          <t>2026-06-18</t>
        </is>
      </c>
    </row>
    <row r="1239">
      <c r="A1239" s="232" t="inlineStr">
        <is>
          <t>CR-1236</t>
        </is>
      </c>
      <c r="B1239" s="232" t="inlineStr">
        <is>
          <t>2026/27</t>
        </is>
      </c>
      <c r="C1239" s="233" t="n">
        <v>46043</v>
      </c>
      <c r="D1239" s="232" t="inlineStr">
        <is>
          <t>826092</t>
        </is>
      </c>
      <c r="E1239" s="232" t="inlineStr">
        <is>
          <t>PRORRATEO</t>
        </is>
      </c>
      <c r="F1239" s="232" t="inlineStr">
        <is>
          <t>Santa Catalina</t>
        </is>
      </c>
      <c r="G1239" s="232" t="inlineStr">
        <is>
          <t>eureka 10,6 ha</t>
        </is>
      </c>
      <c r="H1239" s="232" t="inlineStr">
        <is>
          <t>Limon</t>
        </is>
      </c>
      <c r="I1239" s="232" t="inlineStr">
        <is>
          <t>Eureka</t>
        </is>
      </c>
      <c r="J1239" s="232" t="inlineStr">
        <is>
          <t>MANT. Y REP. PLANTACIONES</t>
        </is>
      </c>
      <c r="K1239" s="232" t="inlineStr">
        <is>
          <t>MANTENCION HUERTO</t>
        </is>
      </c>
      <c r="L1239" s="232" t="inlineStr">
        <is>
          <t>[PRORRATEO 7.1% 10.6há/148.3há] O/001278 TIJERAS CO</t>
        </is>
      </c>
      <c r="M1239" s="232" t="inlineStr"/>
      <c r="N1239" s="232" t="inlineStr">
        <is>
          <t>.   .   -</t>
        </is>
      </c>
      <c r="O1239" s="232" t="inlineStr">
        <is>
          <t>ENERO</t>
        </is>
      </c>
      <c r="P1239" s="232" t="n">
        <v>3</v>
      </c>
      <c r="Q1239" s="234" t="n">
        <v>3849</v>
      </c>
      <c r="R1239" s="232" t="inlineStr"/>
      <c r="S1239" s="234" t="n">
        <v>3849</v>
      </c>
      <c r="T1239" s="232" t="inlineStr">
        <is>
          <t>CLP</t>
        </is>
      </c>
      <c r="U1239" s="232" t="inlineStr">
        <is>
          <t>Prorrateo Ha PACKING</t>
        </is>
      </c>
      <c r="V1239" s="232" t="inlineStr">
        <is>
          <t>2026-06-18</t>
        </is>
      </c>
    </row>
    <row r="1240">
      <c r="A1240" s="232" t="inlineStr">
        <is>
          <t>CR-1237</t>
        </is>
      </c>
      <c r="B1240" s="232" t="inlineStr">
        <is>
          <t>2026/27</t>
        </is>
      </c>
      <c r="C1240" s="233" t="n">
        <v>46043</v>
      </c>
      <c r="D1240" s="232" t="inlineStr">
        <is>
          <t>826092</t>
        </is>
      </c>
      <c r="E1240" s="232" t="inlineStr">
        <is>
          <t>PRORRATEO</t>
        </is>
      </c>
      <c r="F1240" s="232" t="inlineStr">
        <is>
          <t>Santa Catalina</t>
        </is>
      </c>
      <c r="G1240" s="232" t="inlineStr">
        <is>
          <t>eureka 14,4 ha</t>
        </is>
      </c>
      <c r="H1240" s="232" t="inlineStr">
        <is>
          <t>Limon</t>
        </is>
      </c>
      <c r="I1240" s="232" t="inlineStr">
        <is>
          <t>Eureka</t>
        </is>
      </c>
      <c r="J1240" s="232" t="inlineStr">
        <is>
          <t>MANT. Y REP. PLANTACIONES</t>
        </is>
      </c>
      <c r="K1240" s="232" t="inlineStr">
        <is>
          <t>MANTENCION HUERTO</t>
        </is>
      </c>
      <c r="L1240" s="232" t="inlineStr">
        <is>
          <t>[PRORRATEO 9.7% 14.4há/148.3há] O/001278 TIJERAS CO</t>
        </is>
      </c>
      <c r="M1240" s="232" t="inlineStr"/>
      <c r="N1240" s="232" t="inlineStr">
        <is>
          <t>.   .   -</t>
        </is>
      </c>
      <c r="O1240" s="232" t="inlineStr">
        <is>
          <t>ENERO</t>
        </is>
      </c>
      <c r="P1240" s="232" t="n">
        <v>3</v>
      </c>
      <c r="Q1240" s="234" t="n">
        <v>5229</v>
      </c>
      <c r="R1240" s="232" t="inlineStr"/>
      <c r="S1240" s="234" t="n">
        <v>5229</v>
      </c>
      <c r="T1240" s="232" t="inlineStr">
        <is>
          <t>CLP</t>
        </is>
      </c>
      <c r="U1240" s="232" t="inlineStr">
        <is>
          <t>Prorrateo Ha PACKING</t>
        </is>
      </c>
      <c r="V1240" s="232" t="inlineStr">
        <is>
          <t>2026-06-18</t>
        </is>
      </c>
    </row>
    <row r="1241">
      <c r="A1241" s="232" t="inlineStr">
        <is>
          <t>CR-1238</t>
        </is>
      </c>
      <c r="B1241" s="232" t="inlineStr">
        <is>
          <t>2026/27</t>
        </is>
      </c>
      <c r="C1241" s="233" t="n">
        <v>46043</v>
      </c>
      <c r="D1241" s="232" t="inlineStr">
        <is>
          <t>826092</t>
        </is>
      </c>
      <c r="E1241" s="232" t="inlineStr">
        <is>
          <t>PRORRATEO</t>
        </is>
      </c>
      <c r="F1241" s="232" t="inlineStr">
        <is>
          <t>Santa Catalina</t>
        </is>
      </c>
      <c r="G1241" s="232" t="inlineStr">
        <is>
          <t>eureka 22,55</t>
        </is>
      </c>
      <c r="H1241" s="232" t="inlineStr">
        <is>
          <t>Limon</t>
        </is>
      </c>
      <c r="I1241" s="232" t="inlineStr">
        <is>
          <t>Eureka</t>
        </is>
      </c>
      <c r="J1241" s="232" t="inlineStr">
        <is>
          <t>MANT. Y REP. PLANTACIONES</t>
        </is>
      </c>
      <c r="K1241" s="232" t="inlineStr">
        <is>
          <t>MANTENCION HUERTO</t>
        </is>
      </c>
      <c r="L1241" s="232" t="inlineStr">
        <is>
          <t>[PRORRATEO 15.2% 22.55há/148.3há] O/001278 TIJERAS CO</t>
        </is>
      </c>
      <c r="M1241" s="232" t="inlineStr"/>
      <c r="N1241" s="232" t="inlineStr">
        <is>
          <t>.   .   -</t>
        </is>
      </c>
      <c r="O1241" s="232" t="inlineStr">
        <is>
          <t>ENERO</t>
        </is>
      </c>
      <c r="P1241" s="232" t="n">
        <v>3</v>
      </c>
      <c r="Q1241" s="234" t="n">
        <v>8188</v>
      </c>
      <c r="R1241" s="232" t="inlineStr"/>
      <c r="S1241" s="234" t="n">
        <v>8188</v>
      </c>
      <c r="T1241" s="232" t="inlineStr">
        <is>
          <t>CLP</t>
        </is>
      </c>
      <c r="U1241" s="232" t="inlineStr">
        <is>
          <t>Prorrateo Ha PACKING</t>
        </is>
      </c>
      <c r="V1241" s="232" t="inlineStr">
        <is>
          <t>2026-06-18</t>
        </is>
      </c>
    </row>
    <row r="1242">
      <c r="A1242" s="232" t="inlineStr">
        <is>
          <t>CR-1239</t>
        </is>
      </c>
      <c r="B1242" s="232" t="inlineStr">
        <is>
          <t>2026/27</t>
        </is>
      </c>
      <c r="C1242" s="233" t="n">
        <v>46043</v>
      </c>
      <c r="D1242" s="232" t="inlineStr">
        <is>
          <t>826092</t>
        </is>
      </c>
      <c r="E1242" s="232" t="inlineStr">
        <is>
          <t>PRORRATEO</t>
        </is>
      </c>
      <c r="F1242" s="232" t="inlineStr">
        <is>
          <t>Santa Catalina</t>
        </is>
      </c>
      <c r="G1242" s="232" t="inlineStr">
        <is>
          <t>form benjamin 1,93 ha</t>
        </is>
      </c>
      <c r="H1242" s="232" t="inlineStr">
        <is>
          <t>Limon</t>
        </is>
      </c>
      <c r="I1242" s="232" t="inlineStr">
        <is>
          <t>Benjamin andes</t>
        </is>
      </c>
      <c r="J1242" s="232" t="inlineStr">
        <is>
          <t>MANT. Y REP. PLANTACIONES</t>
        </is>
      </c>
      <c r="K1242" s="232" t="inlineStr">
        <is>
          <t>MANTENCION HUERTO</t>
        </is>
      </c>
      <c r="L1242" s="232" t="inlineStr">
        <is>
          <t>[PRORRATEO 1.3% 1.93há/148.3há] O/001278 TIJERAS CO</t>
        </is>
      </c>
      <c r="M1242" s="232" t="inlineStr"/>
      <c r="N1242" s="232" t="inlineStr">
        <is>
          <t>.   .   -</t>
        </is>
      </c>
      <c r="O1242" s="232" t="inlineStr">
        <is>
          <t>ENERO</t>
        </is>
      </c>
      <c r="P1242" s="232" t="n">
        <v>3</v>
      </c>
      <c r="Q1242" s="234" t="n">
        <v>701</v>
      </c>
      <c r="R1242" s="232" t="inlineStr"/>
      <c r="S1242" s="234" t="n">
        <v>701</v>
      </c>
      <c r="T1242" s="232" t="inlineStr">
        <is>
          <t>CLP</t>
        </is>
      </c>
      <c r="U1242" s="232" t="inlineStr">
        <is>
          <t>Prorrateo Ha PACKING</t>
        </is>
      </c>
      <c r="V1242" s="232" t="inlineStr">
        <is>
          <t>2026-06-18</t>
        </is>
      </c>
    </row>
    <row r="1243">
      <c r="A1243" s="232" t="inlineStr">
        <is>
          <t>CR-1240</t>
        </is>
      </c>
      <c r="B1243" s="232" t="inlineStr">
        <is>
          <t>2026/27</t>
        </is>
      </c>
      <c r="C1243" s="233" t="n">
        <v>46043</v>
      </c>
      <c r="D1243" s="232" t="inlineStr">
        <is>
          <t>826092</t>
        </is>
      </c>
      <c r="E1243" s="232" t="inlineStr">
        <is>
          <t>PRORRATEO</t>
        </is>
      </c>
      <c r="F1243" s="232" t="inlineStr">
        <is>
          <t>Santa Catalina</t>
        </is>
      </c>
      <c r="G1243" s="232" t="inlineStr">
        <is>
          <t>mant eureka 2,5 ha</t>
        </is>
      </c>
      <c r="H1243" s="232" t="inlineStr">
        <is>
          <t>Limon</t>
        </is>
      </c>
      <c r="I1243" s="232" t="inlineStr">
        <is>
          <t>Eureka</t>
        </is>
      </c>
      <c r="J1243" s="232" t="inlineStr">
        <is>
          <t>MANT. Y REP. PLANTACIONES</t>
        </is>
      </c>
      <c r="K1243" s="232" t="inlineStr">
        <is>
          <t>MANTENCION HUERTO</t>
        </is>
      </c>
      <c r="L1243" s="232" t="inlineStr">
        <is>
          <t>[PRORRATEO 1.7% 2.5há/148.3há] O/001278 TIJERAS CO</t>
        </is>
      </c>
      <c r="M1243" s="232" t="inlineStr"/>
      <c r="N1243" s="232" t="inlineStr">
        <is>
          <t>.   .   -</t>
        </is>
      </c>
      <c r="O1243" s="232" t="inlineStr">
        <is>
          <t>ENERO</t>
        </is>
      </c>
      <c r="P1243" s="232" t="n">
        <v>3</v>
      </c>
      <c r="Q1243" s="234" t="n">
        <v>908</v>
      </c>
      <c r="R1243" s="232" t="inlineStr"/>
      <c r="S1243" s="234" t="n">
        <v>908</v>
      </c>
      <c r="T1243" s="232" t="inlineStr">
        <is>
          <t>CLP</t>
        </is>
      </c>
      <c r="U1243" s="232" t="inlineStr">
        <is>
          <t>Prorrateo Ha PACKING</t>
        </is>
      </c>
      <c r="V1243" s="232" t="inlineStr">
        <is>
          <t>2026-06-18</t>
        </is>
      </c>
    </row>
    <row r="1244">
      <c r="A1244" s="232" t="inlineStr">
        <is>
          <t>CR-1241</t>
        </is>
      </c>
      <c r="B1244" s="232" t="inlineStr">
        <is>
          <t>2026/27</t>
        </is>
      </c>
      <c r="C1244" s="233" t="n">
        <v>46043</v>
      </c>
      <c r="D1244" s="232" t="inlineStr">
        <is>
          <t>826092</t>
        </is>
      </c>
      <c r="E1244" s="232" t="inlineStr">
        <is>
          <t>PRORRATEO</t>
        </is>
      </c>
      <c r="F1244" s="232" t="inlineStr">
        <is>
          <t>Siberia</t>
        </is>
      </c>
      <c r="G1244" s="232" t="inlineStr">
        <is>
          <t>S. Celebration 7,14</t>
        </is>
      </c>
      <c r="H1244" s="232" t="inlineStr">
        <is>
          <t>Uvas</t>
        </is>
      </c>
      <c r="I1244" s="232" t="inlineStr">
        <is>
          <t>S. celebration</t>
        </is>
      </c>
      <c r="J1244" s="232" t="inlineStr">
        <is>
          <t>MANT. Y REP. PLANTACIONES</t>
        </is>
      </c>
      <c r="K1244" s="232" t="inlineStr">
        <is>
          <t>MANTENCION HUERTO</t>
        </is>
      </c>
      <c r="L1244" s="232" t="inlineStr">
        <is>
          <t>[PRORRATEO 4.8% 7.14há/148.3há] O/001278 TIJERAS CO</t>
        </is>
      </c>
      <c r="M1244" s="232" t="inlineStr"/>
      <c r="N1244" s="232" t="inlineStr">
        <is>
          <t>.   .   -</t>
        </is>
      </c>
      <c r="O1244" s="232" t="inlineStr">
        <is>
          <t>ENERO</t>
        </is>
      </c>
      <c r="P1244" s="232" t="n">
        <v>3</v>
      </c>
      <c r="Q1244" s="234" t="n">
        <v>2593</v>
      </c>
      <c r="R1244" s="232" t="inlineStr"/>
      <c r="S1244" s="234" t="n">
        <v>2593</v>
      </c>
      <c r="T1244" s="232" t="inlineStr">
        <is>
          <t>CLP</t>
        </is>
      </c>
      <c r="U1244" s="232" t="inlineStr">
        <is>
          <t>Prorrateo Ha PACKING</t>
        </is>
      </c>
      <c r="V1244" s="232" t="inlineStr">
        <is>
          <t>2026-06-18</t>
        </is>
      </c>
    </row>
    <row r="1245">
      <c r="A1245" s="232" t="inlineStr">
        <is>
          <t>CR-1242</t>
        </is>
      </c>
      <c r="B1245" s="232" t="inlineStr">
        <is>
          <t>2026/27</t>
        </is>
      </c>
      <c r="C1245" s="233" t="n">
        <v>46043</v>
      </c>
      <c r="D1245" s="232" t="inlineStr">
        <is>
          <t>826092</t>
        </is>
      </c>
      <c r="E1245" s="232" t="inlineStr">
        <is>
          <t>PRORRATEO</t>
        </is>
      </c>
      <c r="F1245" s="232" t="inlineStr">
        <is>
          <t>Siberia</t>
        </is>
      </c>
      <c r="G1245" s="232" t="inlineStr">
        <is>
          <t>Timpson 7,1</t>
        </is>
      </c>
      <c r="H1245" s="232" t="inlineStr">
        <is>
          <t>Uvas</t>
        </is>
      </c>
      <c r="I1245" s="232" t="inlineStr">
        <is>
          <t>Timpson</t>
        </is>
      </c>
      <c r="J1245" s="232" t="inlineStr">
        <is>
          <t>MANT. Y REP. PLANTACIONES</t>
        </is>
      </c>
      <c r="K1245" s="232" t="inlineStr">
        <is>
          <t>MANTENCION HUERTO</t>
        </is>
      </c>
      <c r="L1245" s="232" t="inlineStr">
        <is>
          <t>[PRORRATEO 4.8% 7.1há/148.3há] O/001278 TIJERAS CO</t>
        </is>
      </c>
      <c r="M1245" s="232" t="inlineStr"/>
      <c r="N1245" s="232" t="inlineStr">
        <is>
          <t>.   .   -</t>
        </is>
      </c>
      <c r="O1245" s="232" t="inlineStr">
        <is>
          <t>ENERO</t>
        </is>
      </c>
      <c r="P1245" s="232" t="n">
        <v>3</v>
      </c>
      <c r="Q1245" s="234" t="n">
        <v>2578</v>
      </c>
      <c r="R1245" s="232" t="inlineStr"/>
      <c r="S1245" s="234" t="n">
        <v>2578</v>
      </c>
      <c r="T1245" s="232" t="inlineStr">
        <is>
          <t>CLP</t>
        </is>
      </c>
      <c r="U1245" s="232" t="inlineStr">
        <is>
          <t>Prorrateo Ha PACKING</t>
        </is>
      </c>
      <c r="V1245" s="232" t="inlineStr">
        <is>
          <t>2026-06-18</t>
        </is>
      </c>
    </row>
    <row r="1246">
      <c r="A1246" s="232" t="inlineStr">
        <is>
          <t>CR-1243</t>
        </is>
      </c>
      <c r="B1246" s="232" t="inlineStr">
        <is>
          <t>2026/27</t>
        </is>
      </c>
      <c r="C1246" s="233" t="n">
        <v>46043</v>
      </c>
      <c r="D1246" s="232" t="inlineStr">
        <is>
          <t>826047</t>
        </is>
      </c>
      <c r="E1246" s="232" t="inlineStr">
        <is>
          <t>PRORRATEO</t>
        </is>
      </c>
      <c r="F1246" s="232" t="inlineStr">
        <is>
          <t>Asmara</t>
        </is>
      </c>
      <c r="G1246" s="232" t="inlineStr">
        <is>
          <t>w. murcott 19,8 ha</t>
        </is>
      </c>
      <c r="H1246" s="232" t="inlineStr">
        <is>
          <t>Mandarina</t>
        </is>
      </c>
      <c r="I1246" s="232" t="inlineStr">
        <is>
          <t>W. murcott</t>
        </is>
      </c>
      <c r="J1246" s="232" t="inlineStr">
        <is>
          <t>HERRAMIENTAS MENORES</t>
        </is>
      </c>
      <c r="K1246" s="232" t="inlineStr">
        <is>
          <t>BODEGA</t>
        </is>
      </c>
      <c r="L1246" s="232" t="inlineStr">
        <is>
          <t>[PRORRATEO 13.4% 19.8há/148.3há] O/001274 COMPRESOR</t>
        </is>
      </c>
      <c r="M1246" s="232" t="inlineStr"/>
      <c r="N1246" s="232" t="inlineStr">
        <is>
          <t>.   .   -</t>
        </is>
      </c>
      <c r="O1246" s="232" t="inlineStr">
        <is>
          <t>ENERO</t>
        </is>
      </c>
      <c r="P1246" s="232" t="n">
        <v>3</v>
      </c>
      <c r="Q1246" s="234" t="n">
        <v>23712</v>
      </c>
      <c r="R1246" s="232" t="inlineStr"/>
      <c r="S1246" s="234" t="n">
        <v>23712</v>
      </c>
      <c r="T1246" s="232" t="inlineStr">
        <is>
          <t>CLP</t>
        </is>
      </c>
      <c r="U1246" s="232" t="inlineStr">
        <is>
          <t>Prorrateo Ha BODEGA</t>
        </is>
      </c>
      <c r="V1246" s="232" t="inlineStr">
        <is>
          <t>2026-06-18</t>
        </is>
      </c>
    </row>
    <row r="1247">
      <c r="A1247" s="232" t="inlineStr">
        <is>
          <t>CR-1244</t>
        </is>
      </c>
      <c r="B1247" s="232" t="inlineStr">
        <is>
          <t>2026/27</t>
        </is>
      </c>
      <c r="C1247" s="233" t="n">
        <v>46043</v>
      </c>
      <c r="D1247" s="232" t="inlineStr">
        <is>
          <t>826047</t>
        </is>
      </c>
      <c r="E1247" s="232" t="inlineStr">
        <is>
          <t>PRORRATEO</t>
        </is>
      </c>
      <c r="F1247" s="232" t="inlineStr">
        <is>
          <t>Asmara</t>
        </is>
      </c>
      <c r="G1247" s="232" t="inlineStr">
        <is>
          <t>w. murcott 4,9 ha</t>
        </is>
      </c>
      <c r="H1247" s="232" t="inlineStr">
        <is>
          <t>Mandarina</t>
        </is>
      </c>
      <c r="I1247" s="232" t="inlineStr">
        <is>
          <t>W. murcott</t>
        </is>
      </c>
      <c r="J1247" s="232" t="inlineStr">
        <is>
          <t>HERRAMIENTAS MENORES</t>
        </is>
      </c>
      <c r="K1247" s="232" t="inlineStr">
        <is>
          <t>BODEGA</t>
        </is>
      </c>
      <c r="L1247" s="232" t="inlineStr">
        <is>
          <t>[PRORRATEO 3.3% 4.9há/148.3há] O/001274 COMPRESOR</t>
        </is>
      </c>
      <c r="M1247" s="232" t="inlineStr"/>
      <c r="N1247" s="232" t="inlineStr">
        <is>
          <t>.   .   -</t>
        </is>
      </c>
      <c r="O1247" s="232" t="inlineStr">
        <is>
          <t>ENERO</t>
        </is>
      </c>
      <c r="P1247" s="232" t="n">
        <v>3</v>
      </c>
      <c r="Q1247" s="234" t="n">
        <v>5868</v>
      </c>
      <c r="R1247" s="232" t="inlineStr"/>
      <c r="S1247" s="234" t="n">
        <v>5868</v>
      </c>
      <c r="T1247" s="232" t="inlineStr">
        <is>
          <t>CLP</t>
        </is>
      </c>
      <c r="U1247" s="232" t="inlineStr">
        <is>
          <t>Prorrateo Ha BODEGA</t>
        </is>
      </c>
      <c r="V1247" s="232" t="inlineStr">
        <is>
          <t>2026-06-18</t>
        </is>
      </c>
    </row>
    <row r="1248">
      <c r="A1248" s="232" t="inlineStr">
        <is>
          <t>CR-1245</t>
        </is>
      </c>
      <c r="B1248" s="232" t="inlineStr">
        <is>
          <t>2026/27</t>
        </is>
      </c>
      <c r="C1248" s="233" t="n">
        <v>46043</v>
      </c>
      <c r="D1248" s="232" t="inlineStr">
        <is>
          <t>826047</t>
        </is>
      </c>
      <c r="E1248" s="232" t="inlineStr">
        <is>
          <t>PRORRATEO</t>
        </is>
      </c>
      <c r="F1248" s="232" t="inlineStr">
        <is>
          <t>El Molle</t>
        </is>
      </c>
      <c r="G1248" s="232" t="inlineStr">
        <is>
          <t>Wonderful 5,25 ha</t>
        </is>
      </c>
      <c r="H1248" s="232" t="inlineStr">
        <is>
          <t>Granados</t>
        </is>
      </c>
      <c r="I1248" s="232" t="inlineStr">
        <is>
          <t>Wonderfull</t>
        </is>
      </c>
      <c r="J1248" s="232" t="inlineStr">
        <is>
          <t>HERRAMIENTAS MENORES</t>
        </is>
      </c>
      <c r="K1248" s="232" t="inlineStr">
        <is>
          <t>BODEGA</t>
        </is>
      </c>
      <c r="L1248" s="232" t="inlineStr">
        <is>
          <t>[PRORRATEO 3.5% 5.24há/148.3há] O/001274 COMPRESOR</t>
        </is>
      </c>
      <c r="M1248" s="232" t="inlineStr"/>
      <c r="N1248" s="232" t="inlineStr">
        <is>
          <t>.   .   -</t>
        </is>
      </c>
      <c r="O1248" s="232" t="inlineStr">
        <is>
          <t>ENERO</t>
        </is>
      </c>
      <c r="P1248" s="232" t="n">
        <v>3</v>
      </c>
      <c r="Q1248" s="234" t="n">
        <v>6275</v>
      </c>
      <c r="R1248" s="232" t="inlineStr"/>
      <c r="S1248" s="234" t="n">
        <v>6275</v>
      </c>
      <c r="T1248" s="232" t="inlineStr">
        <is>
          <t>CLP</t>
        </is>
      </c>
      <c r="U1248" s="232" t="inlineStr">
        <is>
          <t>Prorrateo Ha BODEGA</t>
        </is>
      </c>
      <c r="V1248" s="232" t="inlineStr">
        <is>
          <t>2026-06-18</t>
        </is>
      </c>
    </row>
    <row r="1249">
      <c r="A1249" s="232" t="inlineStr">
        <is>
          <t>CR-1246</t>
        </is>
      </c>
      <c r="B1249" s="232" t="inlineStr">
        <is>
          <t>2026/27</t>
        </is>
      </c>
      <c r="C1249" s="233" t="n">
        <v>46043</v>
      </c>
      <c r="D1249" s="232" t="inlineStr">
        <is>
          <t>826047</t>
        </is>
      </c>
      <c r="E1249" s="232" t="inlineStr">
        <is>
          <t>PRORRATEO</t>
        </is>
      </c>
      <c r="F1249" s="232" t="inlineStr">
        <is>
          <t>El Molle</t>
        </is>
      </c>
      <c r="G1249" s="232" t="inlineStr">
        <is>
          <t>arrufatinas 5,74 ha</t>
        </is>
      </c>
      <c r="H1249" s="232" t="inlineStr">
        <is>
          <t>Clementinas</t>
        </is>
      </c>
      <c r="I1249" s="232" t="inlineStr">
        <is>
          <t>Arrufatinas</t>
        </is>
      </c>
      <c r="J1249" s="232" t="inlineStr">
        <is>
          <t>HERRAMIENTAS MENORES</t>
        </is>
      </c>
      <c r="K1249" s="232" t="inlineStr">
        <is>
          <t>BODEGA</t>
        </is>
      </c>
      <c r="L1249" s="232" t="inlineStr">
        <is>
          <t>[PRORRATEO 3.9% 5.74há/148.3há] O/001274 COMPRESOR</t>
        </is>
      </c>
      <c r="M1249" s="232" t="inlineStr"/>
      <c r="N1249" s="232" t="inlineStr">
        <is>
          <t>.   .   -</t>
        </is>
      </c>
      <c r="O1249" s="232" t="inlineStr">
        <is>
          <t>ENERO</t>
        </is>
      </c>
      <c r="P1249" s="232" t="n">
        <v>3</v>
      </c>
      <c r="Q1249" s="234" t="n">
        <v>6874</v>
      </c>
      <c r="R1249" s="232" t="inlineStr"/>
      <c r="S1249" s="234" t="n">
        <v>6874</v>
      </c>
      <c r="T1249" s="232" t="inlineStr">
        <is>
          <t>CLP</t>
        </is>
      </c>
      <c r="U1249" s="232" t="inlineStr">
        <is>
          <t>Prorrateo Ha BODEGA</t>
        </is>
      </c>
      <c r="V1249" s="232" t="inlineStr">
        <is>
          <t>2026-06-18</t>
        </is>
      </c>
    </row>
    <row r="1250">
      <c r="A1250" s="232" t="inlineStr">
        <is>
          <t>CR-1247</t>
        </is>
      </c>
      <c r="B1250" s="232" t="inlineStr">
        <is>
          <t>2026/27</t>
        </is>
      </c>
      <c r="C1250" s="233" t="n">
        <v>46043</v>
      </c>
      <c r="D1250" s="232" t="inlineStr">
        <is>
          <t>826047</t>
        </is>
      </c>
      <c r="E1250" s="232" t="inlineStr">
        <is>
          <t>PRORRATEO</t>
        </is>
      </c>
      <c r="F1250" s="232" t="inlineStr">
        <is>
          <t>El Molle</t>
        </is>
      </c>
      <c r="G1250" s="232" t="inlineStr">
        <is>
          <t>orogrande 8,11 ha</t>
        </is>
      </c>
      <c r="H1250" s="232" t="inlineStr">
        <is>
          <t>Clementinas</t>
        </is>
      </c>
      <c r="I1250" s="232" t="inlineStr">
        <is>
          <t>Orogrande</t>
        </is>
      </c>
      <c r="J1250" s="232" t="inlineStr">
        <is>
          <t>HERRAMIENTAS MENORES</t>
        </is>
      </c>
      <c r="K1250" s="232" t="inlineStr">
        <is>
          <t>BODEGA</t>
        </is>
      </c>
      <c r="L1250" s="232" t="inlineStr">
        <is>
          <t>[PRORRATEO 5.5% 8.11há/148.3há] O/001274 COMPRESOR</t>
        </is>
      </c>
      <c r="M1250" s="232" t="inlineStr"/>
      <c r="N1250" s="232" t="inlineStr">
        <is>
          <t>.   .   -</t>
        </is>
      </c>
      <c r="O1250" s="232" t="inlineStr">
        <is>
          <t>ENERO</t>
        </is>
      </c>
      <c r="P1250" s="232" t="n">
        <v>3</v>
      </c>
      <c r="Q1250" s="234" t="n">
        <v>9712</v>
      </c>
      <c r="R1250" s="232" t="inlineStr"/>
      <c r="S1250" s="234" t="n">
        <v>9712</v>
      </c>
      <c r="T1250" s="232" t="inlineStr">
        <is>
          <t>CLP</t>
        </is>
      </c>
      <c r="U1250" s="232" t="inlineStr">
        <is>
          <t>Prorrateo Ha BODEGA</t>
        </is>
      </c>
      <c r="V1250" s="232" t="inlineStr">
        <is>
          <t>2026-06-18</t>
        </is>
      </c>
    </row>
    <row r="1251">
      <c r="A1251" s="232" t="inlineStr">
        <is>
          <t>CR-1248</t>
        </is>
      </c>
      <c r="B1251" s="232" t="inlineStr">
        <is>
          <t>2026/27</t>
        </is>
      </c>
      <c r="C1251" s="233" t="n">
        <v>46043</v>
      </c>
      <c r="D1251" s="232" t="inlineStr">
        <is>
          <t>826047</t>
        </is>
      </c>
      <c r="E1251" s="232" t="inlineStr">
        <is>
          <t>PRORRATEO</t>
        </is>
      </c>
      <c r="F1251" s="232" t="inlineStr">
        <is>
          <t>El Molle</t>
        </is>
      </c>
      <c r="G1251" s="232" t="inlineStr">
        <is>
          <t>oronules 5,35 ha</t>
        </is>
      </c>
      <c r="H1251" s="232" t="inlineStr">
        <is>
          <t>Clementinas</t>
        </is>
      </c>
      <c r="I1251" s="232" t="inlineStr">
        <is>
          <t>Oronules</t>
        </is>
      </c>
      <c r="J1251" s="232" t="inlineStr">
        <is>
          <t>HERRAMIENTAS MENORES</t>
        </is>
      </c>
      <c r="K1251" s="232" t="inlineStr">
        <is>
          <t>BODEGA</t>
        </is>
      </c>
      <c r="L1251" s="232" t="inlineStr">
        <is>
          <t>[PRORRATEO 3.6% 5.35há/148.3há] O/001274 COMPRESOR</t>
        </is>
      </c>
      <c r="M1251" s="232" t="inlineStr"/>
      <c r="N1251" s="232" t="inlineStr">
        <is>
          <t>.   .   -</t>
        </is>
      </c>
      <c r="O1251" s="232" t="inlineStr">
        <is>
          <t>ENERO</t>
        </is>
      </c>
      <c r="P1251" s="232" t="n">
        <v>3</v>
      </c>
      <c r="Q1251" s="234" t="n">
        <v>6407</v>
      </c>
      <c r="R1251" s="232" t="inlineStr"/>
      <c r="S1251" s="234" t="n">
        <v>6407</v>
      </c>
      <c r="T1251" s="232" t="inlineStr">
        <is>
          <t>CLP</t>
        </is>
      </c>
      <c r="U1251" s="232" t="inlineStr">
        <is>
          <t>Prorrateo Ha BODEGA</t>
        </is>
      </c>
      <c r="V1251" s="232" t="inlineStr">
        <is>
          <t>2026-06-18</t>
        </is>
      </c>
    </row>
    <row r="1252">
      <c r="A1252" s="232" t="inlineStr">
        <is>
          <t>CR-1249</t>
        </is>
      </c>
      <c r="B1252" s="232" t="inlineStr">
        <is>
          <t>2026/27</t>
        </is>
      </c>
      <c r="C1252" s="233" t="n">
        <v>46043</v>
      </c>
      <c r="D1252" s="232" t="inlineStr">
        <is>
          <t>826047</t>
        </is>
      </c>
      <c r="E1252" s="232" t="inlineStr">
        <is>
          <t>PRORRATEO</t>
        </is>
      </c>
      <c r="F1252" s="232" t="inlineStr">
        <is>
          <t>Santa Catalina</t>
        </is>
      </c>
      <c r="G1252" s="232" t="inlineStr">
        <is>
          <t>Fino 49 7,7 ha</t>
        </is>
      </c>
      <c r="H1252" s="232" t="inlineStr">
        <is>
          <t>Limon</t>
        </is>
      </c>
      <c r="I1252" s="232" t="inlineStr">
        <is>
          <t>Fino 49</t>
        </is>
      </c>
      <c r="J1252" s="232" t="inlineStr">
        <is>
          <t>HERRAMIENTAS MENORES</t>
        </is>
      </c>
      <c r="K1252" s="232" t="inlineStr">
        <is>
          <t>BODEGA</t>
        </is>
      </c>
      <c r="L1252" s="232" t="inlineStr">
        <is>
          <t>[PRORRATEO 5.2% 7.7há/148.3há] O/001274 COMPRESOR</t>
        </is>
      </c>
      <c r="M1252" s="232" t="inlineStr"/>
      <c r="N1252" s="232" t="inlineStr">
        <is>
          <t>.   .   -</t>
        </is>
      </c>
      <c r="O1252" s="232" t="inlineStr">
        <is>
          <t>ENERO</t>
        </is>
      </c>
      <c r="P1252" s="232" t="n">
        <v>3</v>
      </c>
      <c r="Q1252" s="234" t="n">
        <v>9221</v>
      </c>
      <c r="R1252" s="232" t="inlineStr"/>
      <c r="S1252" s="234" t="n">
        <v>9221</v>
      </c>
      <c r="T1252" s="232" t="inlineStr">
        <is>
          <t>CLP</t>
        </is>
      </c>
      <c r="U1252" s="232" t="inlineStr">
        <is>
          <t>Prorrateo Ha BODEGA</t>
        </is>
      </c>
      <c r="V1252" s="232" t="inlineStr">
        <is>
          <t>2026-06-18</t>
        </is>
      </c>
    </row>
    <row r="1253">
      <c r="A1253" s="232" t="inlineStr">
        <is>
          <t>CR-1250</t>
        </is>
      </c>
      <c r="B1253" s="232" t="inlineStr">
        <is>
          <t>2026/27</t>
        </is>
      </c>
      <c r="C1253" s="233" t="n">
        <v>46043</v>
      </c>
      <c r="D1253" s="232" t="inlineStr">
        <is>
          <t>826047</t>
        </is>
      </c>
      <c r="E1253" s="232" t="inlineStr">
        <is>
          <t>PRORRATEO</t>
        </is>
      </c>
      <c r="F1253" s="232" t="inlineStr">
        <is>
          <t>Santa Catalina</t>
        </is>
      </c>
      <c r="G1253" s="232" t="inlineStr">
        <is>
          <t>W. murcott 21 ha</t>
        </is>
      </c>
      <c r="H1253" s="232" t="inlineStr">
        <is>
          <t>Mandarina</t>
        </is>
      </c>
      <c r="I1253" s="232" t="inlineStr">
        <is>
          <t>W. murcott</t>
        </is>
      </c>
      <c r="J1253" s="232" t="inlineStr">
        <is>
          <t>HERRAMIENTAS MENORES</t>
        </is>
      </c>
      <c r="K1253" s="232" t="inlineStr">
        <is>
          <t>BODEGA</t>
        </is>
      </c>
      <c r="L1253" s="232" t="inlineStr">
        <is>
          <t>[PRORRATEO 14.2% 21.0há/148.3há] O/001274 COMPRESOR</t>
        </is>
      </c>
      <c r="M1253" s="232" t="inlineStr"/>
      <c r="N1253" s="232" t="inlineStr">
        <is>
          <t>.   .   -</t>
        </is>
      </c>
      <c r="O1253" s="232" t="inlineStr">
        <is>
          <t>ENERO</t>
        </is>
      </c>
      <c r="P1253" s="232" t="n">
        <v>3</v>
      </c>
      <c r="Q1253" s="234" t="n">
        <v>25149</v>
      </c>
      <c r="R1253" s="232" t="inlineStr"/>
      <c r="S1253" s="234" t="n">
        <v>25149</v>
      </c>
      <c r="T1253" s="232" t="inlineStr">
        <is>
          <t>CLP</t>
        </is>
      </c>
      <c r="U1253" s="232" t="inlineStr">
        <is>
          <t>Prorrateo Ha BODEGA</t>
        </is>
      </c>
      <c r="V1253" s="232" t="inlineStr">
        <is>
          <t>2026-06-18</t>
        </is>
      </c>
    </row>
    <row r="1254">
      <c r="A1254" s="232" t="inlineStr">
        <is>
          <t>CR-1251</t>
        </is>
      </c>
      <c r="B1254" s="232" t="inlineStr">
        <is>
          <t>2026/27</t>
        </is>
      </c>
      <c r="C1254" s="233" t="n">
        <v>46043</v>
      </c>
      <c r="D1254" s="232" t="inlineStr">
        <is>
          <t>826047</t>
        </is>
      </c>
      <c r="E1254" s="232" t="inlineStr">
        <is>
          <t>PRORRATEO</t>
        </is>
      </c>
      <c r="F1254" s="232" t="inlineStr">
        <is>
          <t>Santa Catalina</t>
        </is>
      </c>
      <c r="G1254" s="232" t="inlineStr">
        <is>
          <t>cambria 4,2 ha</t>
        </is>
      </c>
      <c r="H1254" s="232" t="inlineStr">
        <is>
          <t>Naranjas</t>
        </is>
      </c>
      <c r="I1254" s="232" t="inlineStr">
        <is>
          <t>Cambria</t>
        </is>
      </c>
      <c r="J1254" s="232" t="inlineStr">
        <is>
          <t>HERRAMIENTAS MENORES</t>
        </is>
      </c>
      <c r="K1254" s="232" t="inlineStr">
        <is>
          <t>BODEGA</t>
        </is>
      </c>
      <c r="L1254" s="232" t="inlineStr">
        <is>
          <t>[PRORRATEO 2.8% 4.2há/148.3há] O/001274 COMPRESOR</t>
        </is>
      </c>
      <c r="M1254" s="232" t="inlineStr"/>
      <c r="N1254" s="232" t="inlineStr">
        <is>
          <t>.   .   -</t>
        </is>
      </c>
      <c r="O1254" s="232" t="inlineStr">
        <is>
          <t>ENERO</t>
        </is>
      </c>
      <c r="P1254" s="232" t="n">
        <v>3</v>
      </c>
      <c r="Q1254" s="234" t="n">
        <v>5030</v>
      </c>
      <c r="R1254" s="232" t="inlineStr"/>
      <c r="S1254" s="234" t="n">
        <v>5030</v>
      </c>
      <c r="T1254" s="232" t="inlineStr">
        <is>
          <t>CLP</t>
        </is>
      </c>
      <c r="U1254" s="232" t="inlineStr">
        <is>
          <t>Prorrateo Ha BODEGA</t>
        </is>
      </c>
      <c r="V1254" s="232" t="inlineStr">
        <is>
          <t>2026-06-18</t>
        </is>
      </c>
    </row>
    <row r="1255">
      <c r="A1255" s="232" t="inlineStr">
        <is>
          <t>CR-1252</t>
        </is>
      </c>
      <c r="B1255" s="232" t="inlineStr">
        <is>
          <t>2026/27</t>
        </is>
      </c>
      <c r="C1255" s="233" t="n">
        <v>46043</v>
      </c>
      <c r="D1255" s="232" t="inlineStr">
        <is>
          <t>826047</t>
        </is>
      </c>
      <c r="E1255" s="232" t="inlineStr">
        <is>
          <t>PRORRATEO</t>
        </is>
      </c>
      <c r="F1255" s="232" t="inlineStr">
        <is>
          <t>Santa Catalina</t>
        </is>
      </c>
      <c r="G1255" s="232" t="inlineStr">
        <is>
          <t>eureka 10,6 ha</t>
        </is>
      </c>
      <c r="H1255" s="232" t="inlineStr">
        <is>
          <t>Limon</t>
        </is>
      </c>
      <c r="I1255" s="232" t="inlineStr">
        <is>
          <t>Eureka</t>
        </is>
      </c>
      <c r="J1255" s="232" t="inlineStr">
        <is>
          <t>HERRAMIENTAS MENORES</t>
        </is>
      </c>
      <c r="K1255" s="232" t="inlineStr">
        <is>
          <t>BODEGA</t>
        </is>
      </c>
      <c r="L1255" s="232" t="inlineStr">
        <is>
          <t>[PRORRATEO 7.1% 10.6há/148.3há] O/001274 COMPRESOR</t>
        </is>
      </c>
      <c r="M1255" s="232" t="inlineStr"/>
      <c r="N1255" s="232" t="inlineStr">
        <is>
          <t>.   .   -</t>
        </is>
      </c>
      <c r="O1255" s="232" t="inlineStr">
        <is>
          <t>ENERO</t>
        </is>
      </c>
      <c r="P1255" s="232" t="n">
        <v>3</v>
      </c>
      <c r="Q1255" s="234" t="n">
        <v>12694</v>
      </c>
      <c r="R1255" s="232" t="inlineStr"/>
      <c r="S1255" s="234" t="n">
        <v>12694</v>
      </c>
      <c r="T1255" s="232" t="inlineStr">
        <is>
          <t>CLP</t>
        </is>
      </c>
      <c r="U1255" s="232" t="inlineStr">
        <is>
          <t>Prorrateo Ha BODEGA</t>
        </is>
      </c>
      <c r="V1255" s="232" t="inlineStr">
        <is>
          <t>2026-06-18</t>
        </is>
      </c>
    </row>
    <row r="1256">
      <c r="A1256" s="232" t="inlineStr">
        <is>
          <t>CR-1253</t>
        </is>
      </c>
      <c r="B1256" s="232" t="inlineStr">
        <is>
          <t>2026/27</t>
        </is>
      </c>
      <c r="C1256" s="233" t="n">
        <v>46043</v>
      </c>
      <c r="D1256" s="232" t="inlineStr">
        <is>
          <t>826047</t>
        </is>
      </c>
      <c r="E1256" s="232" t="inlineStr">
        <is>
          <t>PRORRATEO</t>
        </is>
      </c>
      <c r="F1256" s="232" t="inlineStr">
        <is>
          <t>Santa Catalina</t>
        </is>
      </c>
      <c r="G1256" s="232" t="inlineStr">
        <is>
          <t>eureka 14,4 ha</t>
        </is>
      </c>
      <c r="H1256" s="232" t="inlineStr">
        <is>
          <t>Limon</t>
        </is>
      </c>
      <c r="I1256" s="232" t="inlineStr">
        <is>
          <t>Eureka</t>
        </is>
      </c>
      <c r="J1256" s="232" t="inlineStr">
        <is>
          <t>HERRAMIENTAS MENORES</t>
        </is>
      </c>
      <c r="K1256" s="232" t="inlineStr">
        <is>
          <t>BODEGA</t>
        </is>
      </c>
      <c r="L1256" s="232" t="inlineStr">
        <is>
          <t>[PRORRATEO 9.7% 14.4há/148.3há] O/001274 COMPRESOR</t>
        </is>
      </c>
      <c r="M1256" s="232" t="inlineStr"/>
      <c r="N1256" s="232" t="inlineStr">
        <is>
          <t>.   .   -</t>
        </is>
      </c>
      <c r="O1256" s="232" t="inlineStr">
        <is>
          <t>ENERO</t>
        </is>
      </c>
      <c r="P1256" s="232" t="n">
        <v>3</v>
      </c>
      <c r="Q1256" s="234" t="n">
        <v>17245</v>
      </c>
      <c r="R1256" s="232" t="inlineStr"/>
      <c r="S1256" s="234" t="n">
        <v>17245</v>
      </c>
      <c r="T1256" s="232" t="inlineStr">
        <is>
          <t>CLP</t>
        </is>
      </c>
      <c r="U1256" s="232" t="inlineStr">
        <is>
          <t>Prorrateo Ha BODEGA</t>
        </is>
      </c>
      <c r="V1256" s="232" t="inlineStr">
        <is>
          <t>2026-06-18</t>
        </is>
      </c>
    </row>
    <row r="1257">
      <c r="A1257" s="232" t="inlineStr">
        <is>
          <t>CR-1254</t>
        </is>
      </c>
      <c r="B1257" s="232" t="inlineStr">
        <is>
          <t>2026/27</t>
        </is>
      </c>
      <c r="C1257" s="233" t="n">
        <v>46043</v>
      </c>
      <c r="D1257" s="232" t="inlineStr">
        <is>
          <t>826047</t>
        </is>
      </c>
      <c r="E1257" s="232" t="inlineStr">
        <is>
          <t>PRORRATEO</t>
        </is>
      </c>
      <c r="F1257" s="232" t="inlineStr">
        <is>
          <t>Santa Catalina</t>
        </is>
      </c>
      <c r="G1257" s="232" t="inlineStr">
        <is>
          <t>eureka 22,55</t>
        </is>
      </c>
      <c r="H1257" s="232" t="inlineStr">
        <is>
          <t>Limon</t>
        </is>
      </c>
      <c r="I1257" s="232" t="inlineStr">
        <is>
          <t>Eureka</t>
        </is>
      </c>
      <c r="J1257" s="232" t="inlineStr">
        <is>
          <t>HERRAMIENTAS MENORES</t>
        </is>
      </c>
      <c r="K1257" s="232" t="inlineStr">
        <is>
          <t>BODEGA</t>
        </is>
      </c>
      <c r="L1257" s="232" t="inlineStr">
        <is>
          <t>[PRORRATEO 15.2% 22.55há/148.3há] O/001274 COMPRESOR</t>
        </is>
      </c>
      <c r="M1257" s="232" t="inlineStr"/>
      <c r="N1257" s="232" t="inlineStr">
        <is>
          <t>.   .   -</t>
        </is>
      </c>
      <c r="O1257" s="232" t="inlineStr">
        <is>
          <t>ENERO</t>
        </is>
      </c>
      <c r="P1257" s="232" t="n">
        <v>3</v>
      </c>
      <c r="Q1257" s="234" t="n">
        <v>27005</v>
      </c>
      <c r="R1257" s="232" t="inlineStr"/>
      <c r="S1257" s="234" t="n">
        <v>27005</v>
      </c>
      <c r="T1257" s="232" t="inlineStr">
        <is>
          <t>CLP</t>
        </is>
      </c>
      <c r="U1257" s="232" t="inlineStr">
        <is>
          <t>Prorrateo Ha BODEGA</t>
        </is>
      </c>
      <c r="V1257" s="232" t="inlineStr">
        <is>
          <t>2026-06-18</t>
        </is>
      </c>
    </row>
    <row r="1258">
      <c r="A1258" s="232" t="inlineStr">
        <is>
          <t>CR-1255</t>
        </is>
      </c>
      <c r="B1258" s="232" t="inlineStr">
        <is>
          <t>2026/27</t>
        </is>
      </c>
      <c r="C1258" s="233" t="n">
        <v>46043</v>
      </c>
      <c r="D1258" s="232" t="inlineStr">
        <is>
          <t>826047</t>
        </is>
      </c>
      <c r="E1258" s="232" t="inlineStr">
        <is>
          <t>PRORRATEO</t>
        </is>
      </c>
      <c r="F1258" s="232" t="inlineStr">
        <is>
          <t>Santa Catalina</t>
        </is>
      </c>
      <c r="G1258" s="232" t="inlineStr">
        <is>
          <t>form benjamin 1,93 ha</t>
        </is>
      </c>
      <c r="H1258" s="232" t="inlineStr">
        <is>
          <t>Limon</t>
        </is>
      </c>
      <c r="I1258" s="232" t="inlineStr">
        <is>
          <t>Benjamin andes</t>
        </is>
      </c>
      <c r="J1258" s="232" t="inlineStr">
        <is>
          <t>HERRAMIENTAS MENORES</t>
        </is>
      </c>
      <c r="K1258" s="232" t="inlineStr">
        <is>
          <t>BODEGA</t>
        </is>
      </c>
      <c r="L1258" s="232" t="inlineStr">
        <is>
          <t>[PRORRATEO 1.3% 1.93há/148.3há] O/001274 COMPRESOR</t>
        </is>
      </c>
      <c r="M1258" s="232" t="inlineStr"/>
      <c r="N1258" s="232" t="inlineStr">
        <is>
          <t>.   .   -</t>
        </is>
      </c>
      <c r="O1258" s="232" t="inlineStr">
        <is>
          <t>ENERO</t>
        </is>
      </c>
      <c r="P1258" s="232" t="n">
        <v>3</v>
      </c>
      <c r="Q1258" s="234" t="n">
        <v>2311</v>
      </c>
      <c r="R1258" s="232" t="inlineStr"/>
      <c r="S1258" s="234" t="n">
        <v>2311</v>
      </c>
      <c r="T1258" s="232" t="inlineStr">
        <is>
          <t>CLP</t>
        </is>
      </c>
      <c r="U1258" s="232" t="inlineStr">
        <is>
          <t>Prorrateo Ha BODEGA</t>
        </is>
      </c>
      <c r="V1258" s="232" t="inlineStr">
        <is>
          <t>2026-06-18</t>
        </is>
      </c>
    </row>
    <row r="1259">
      <c r="A1259" s="232" t="inlineStr">
        <is>
          <t>CR-1256</t>
        </is>
      </c>
      <c r="B1259" s="232" t="inlineStr">
        <is>
          <t>2026/27</t>
        </is>
      </c>
      <c r="C1259" s="233" t="n">
        <v>46043</v>
      </c>
      <c r="D1259" s="232" t="inlineStr">
        <is>
          <t>826047</t>
        </is>
      </c>
      <c r="E1259" s="232" t="inlineStr">
        <is>
          <t>PRORRATEO</t>
        </is>
      </c>
      <c r="F1259" s="232" t="inlineStr">
        <is>
          <t>Santa Catalina</t>
        </is>
      </c>
      <c r="G1259" s="232" t="inlineStr">
        <is>
          <t>mant eureka 2,5 ha</t>
        </is>
      </c>
      <c r="H1259" s="232" t="inlineStr">
        <is>
          <t>Limon</t>
        </is>
      </c>
      <c r="I1259" s="232" t="inlineStr">
        <is>
          <t>Eureka</t>
        </is>
      </c>
      <c r="J1259" s="232" t="inlineStr">
        <is>
          <t>HERRAMIENTAS MENORES</t>
        </is>
      </c>
      <c r="K1259" s="232" t="inlineStr">
        <is>
          <t>BODEGA</t>
        </is>
      </c>
      <c r="L1259" s="232" t="inlineStr">
        <is>
          <t>[PRORRATEO 1.7% 2.5há/148.3há] O/001274 COMPRESOR</t>
        </is>
      </c>
      <c r="M1259" s="232" t="inlineStr"/>
      <c r="N1259" s="232" t="inlineStr">
        <is>
          <t>.   .   -</t>
        </is>
      </c>
      <c r="O1259" s="232" t="inlineStr">
        <is>
          <t>ENERO</t>
        </is>
      </c>
      <c r="P1259" s="232" t="n">
        <v>3</v>
      </c>
      <c r="Q1259" s="234" t="n">
        <v>2994</v>
      </c>
      <c r="R1259" s="232" t="inlineStr"/>
      <c r="S1259" s="234" t="n">
        <v>2994</v>
      </c>
      <c r="T1259" s="232" t="inlineStr">
        <is>
          <t>CLP</t>
        </is>
      </c>
      <c r="U1259" s="232" t="inlineStr">
        <is>
          <t>Prorrateo Ha BODEGA</t>
        </is>
      </c>
      <c r="V1259" s="232" t="inlineStr">
        <is>
          <t>2026-06-18</t>
        </is>
      </c>
    </row>
    <row r="1260">
      <c r="A1260" s="232" t="inlineStr">
        <is>
          <t>CR-1257</t>
        </is>
      </c>
      <c r="B1260" s="232" t="inlineStr">
        <is>
          <t>2026/27</t>
        </is>
      </c>
      <c r="C1260" s="233" t="n">
        <v>46043</v>
      </c>
      <c r="D1260" s="232" t="inlineStr">
        <is>
          <t>826047</t>
        </is>
      </c>
      <c r="E1260" s="232" t="inlineStr">
        <is>
          <t>PRORRATEO</t>
        </is>
      </c>
      <c r="F1260" s="232" t="inlineStr">
        <is>
          <t>Siberia</t>
        </is>
      </c>
      <c r="G1260" s="232" t="inlineStr">
        <is>
          <t>S. Celebration 7,14</t>
        </is>
      </c>
      <c r="H1260" s="232" t="inlineStr">
        <is>
          <t>Uvas</t>
        </is>
      </c>
      <c r="I1260" s="232" t="inlineStr">
        <is>
          <t>S. celebration</t>
        </is>
      </c>
      <c r="J1260" s="232" t="inlineStr">
        <is>
          <t>HERRAMIENTAS MENORES</t>
        </is>
      </c>
      <c r="K1260" s="232" t="inlineStr">
        <is>
          <t>BODEGA</t>
        </is>
      </c>
      <c r="L1260" s="232" t="inlineStr">
        <is>
          <t>[PRORRATEO 4.8% 7.14há/148.3há] O/001274 COMPRESOR</t>
        </is>
      </c>
      <c r="M1260" s="232" t="inlineStr"/>
      <c r="N1260" s="232" t="inlineStr">
        <is>
          <t>.   .   -</t>
        </is>
      </c>
      <c r="O1260" s="232" t="inlineStr">
        <is>
          <t>ENERO</t>
        </is>
      </c>
      <c r="P1260" s="232" t="n">
        <v>3</v>
      </c>
      <c r="Q1260" s="234" t="n">
        <v>8551</v>
      </c>
      <c r="R1260" s="232" t="inlineStr"/>
      <c r="S1260" s="234" t="n">
        <v>8551</v>
      </c>
      <c r="T1260" s="232" t="inlineStr">
        <is>
          <t>CLP</t>
        </is>
      </c>
      <c r="U1260" s="232" t="inlineStr">
        <is>
          <t>Prorrateo Ha BODEGA</t>
        </is>
      </c>
      <c r="V1260" s="232" t="inlineStr">
        <is>
          <t>2026-06-18</t>
        </is>
      </c>
    </row>
    <row r="1261">
      <c r="A1261" s="232" t="inlineStr">
        <is>
          <t>CR-1258</t>
        </is>
      </c>
      <c r="B1261" s="232" t="inlineStr">
        <is>
          <t>2026/27</t>
        </is>
      </c>
      <c r="C1261" s="233" t="n">
        <v>46043</v>
      </c>
      <c r="D1261" s="232" t="inlineStr">
        <is>
          <t>826047</t>
        </is>
      </c>
      <c r="E1261" s="232" t="inlineStr">
        <is>
          <t>PRORRATEO</t>
        </is>
      </c>
      <c r="F1261" s="232" t="inlineStr">
        <is>
          <t>Siberia</t>
        </is>
      </c>
      <c r="G1261" s="232" t="inlineStr">
        <is>
          <t>Timpson 7,1</t>
        </is>
      </c>
      <c r="H1261" s="232" t="inlineStr">
        <is>
          <t>Uvas</t>
        </is>
      </c>
      <c r="I1261" s="232" t="inlineStr">
        <is>
          <t>Timpson</t>
        </is>
      </c>
      <c r="J1261" s="232" t="inlineStr">
        <is>
          <t>HERRAMIENTAS MENORES</t>
        </is>
      </c>
      <c r="K1261" s="232" t="inlineStr">
        <is>
          <t>BODEGA</t>
        </is>
      </c>
      <c r="L1261" s="232" t="inlineStr">
        <is>
          <t>[PRORRATEO 4.8% 7.1há/148.3há] O/001274 COMPRESOR</t>
        </is>
      </c>
      <c r="M1261" s="232" t="inlineStr"/>
      <c r="N1261" s="232" t="inlineStr">
        <is>
          <t>.   .   -</t>
        </is>
      </c>
      <c r="O1261" s="232" t="inlineStr">
        <is>
          <t>ENERO</t>
        </is>
      </c>
      <c r="P1261" s="232" t="n">
        <v>3</v>
      </c>
      <c r="Q1261" s="234" t="n">
        <v>8503</v>
      </c>
      <c r="R1261" s="232" t="inlineStr"/>
      <c r="S1261" s="234" t="n">
        <v>8503</v>
      </c>
      <c r="T1261" s="232" t="inlineStr">
        <is>
          <t>CLP</t>
        </is>
      </c>
      <c r="U1261" s="232" t="inlineStr">
        <is>
          <t>Prorrateo Ha BODEGA</t>
        </is>
      </c>
      <c r="V1261" s="232" t="inlineStr">
        <is>
          <t>2026-06-18</t>
        </is>
      </c>
    </row>
    <row r="1262">
      <c r="A1262" s="232" t="inlineStr">
        <is>
          <t>CR-1259</t>
        </is>
      </c>
      <c r="B1262" s="232" t="inlineStr">
        <is>
          <t>2026/27</t>
        </is>
      </c>
      <c r="C1262" s="233" t="n">
        <v>46043</v>
      </c>
      <c r="D1262" s="232" t="inlineStr">
        <is>
          <t>213465</t>
        </is>
      </c>
      <c r="E1262" s="232" t="inlineStr">
        <is>
          <t>PRORRATEO</t>
        </is>
      </c>
      <c r="F1262" s="232" t="inlineStr">
        <is>
          <t>Asmara</t>
        </is>
      </c>
      <c r="G1262" s="232" t="inlineStr">
        <is>
          <t>w. murcott 19,8 ha</t>
        </is>
      </c>
      <c r="H1262" s="232" t="inlineStr">
        <is>
          <t>Mandarina</t>
        </is>
      </c>
      <c r="I1262" s="232" t="inlineStr">
        <is>
          <t>W. murcott</t>
        </is>
      </c>
      <c r="J1262" s="232" t="inlineStr">
        <is>
          <t>MATERIALES COSECHA</t>
        </is>
      </c>
      <c r="K1262" s="232" t="inlineStr">
        <is>
          <t>INSUMOS PACKING</t>
        </is>
      </c>
      <c r="L1262" s="232" t="inlineStr">
        <is>
          <t>[PRORRATEO 13.4% 19.8há/148.3há] O/001281 ADHESIVO B</t>
        </is>
      </c>
      <c r="M1262" s="232" t="inlineStr"/>
      <c r="N1262" s="232" t="inlineStr">
        <is>
          <t>.   .   -</t>
        </is>
      </c>
      <c r="O1262" s="232" t="inlineStr">
        <is>
          <t>ENERO</t>
        </is>
      </c>
      <c r="P1262" s="232" t="n">
        <v>3</v>
      </c>
      <c r="Q1262" s="234" t="n">
        <v>788</v>
      </c>
      <c r="R1262" s="232" t="inlineStr"/>
      <c r="S1262" s="234" t="n">
        <v>788</v>
      </c>
      <c r="T1262" s="232" t="inlineStr">
        <is>
          <t>CLP</t>
        </is>
      </c>
      <c r="U1262" s="232" t="inlineStr">
        <is>
          <t>Prorrateo Ha PACKING</t>
        </is>
      </c>
      <c r="V1262" s="232" t="inlineStr">
        <is>
          <t>2026-06-18</t>
        </is>
      </c>
    </row>
    <row r="1263">
      <c r="A1263" s="232" t="inlineStr">
        <is>
          <t>CR-1260</t>
        </is>
      </c>
      <c r="B1263" s="232" t="inlineStr">
        <is>
          <t>2026/27</t>
        </is>
      </c>
      <c r="C1263" s="233" t="n">
        <v>46043</v>
      </c>
      <c r="D1263" s="232" t="inlineStr">
        <is>
          <t>213465</t>
        </is>
      </c>
      <c r="E1263" s="232" t="inlineStr">
        <is>
          <t>PRORRATEO</t>
        </is>
      </c>
      <c r="F1263" s="232" t="inlineStr">
        <is>
          <t>Asmara</t>
        </is>
      </c>
      <c r="G1263" s="232" t="inlineStr">
        <is>
          <t>w. murcott 4,9 ha</t>
        </is>
      </c>
      <c r="H1263" s="232" t="inlineStr">
        <is>
          <t>Mandarina</t>
        </is>
      </c>
      <c r="I1263" s="232" t="inlineStr">
        <is>
          <t>W. murcott</t>
        </is>
      </c>
      <c r="J1263" s="232" t="inlineStr">
        <is>
          <t>MATERIALES COSECHA</t>
        </is>
      </c>
      <c r="K1263" s="232" t="inlineStr">
        <is>
          <t>INSUMOS PACKING</t>
        </is>
      </c>
      <c r="L1263" s="232" t="inlineStr">
        <is>
          <t>[PRORRATEO 3.3% 4.9há/148.3há] O/001281 ADHESIVO B</t>
        </is>
      </c>
      <c r="M1263" s="232" t="inlineStr"/>
      <c r="N1263" s="232" t="inlineStr">
        <is>
          <t>.   .   -</t>
        </is>
      </c>
      <c r="O1263" s="232" t="inlineStr">
        <is>
          <t>ENERO</t>
        </is>
      </c>
      <c r="P1263" s="232" t="n">
        <v>3</v>
      </c>
      <c r="Q1263" s="234" t="n">
        <v>195</v>
      </c>
      <c r="R1263" s="232" t="inlineStr"/>
      <c r="S1263" s="234" t="n">
        <v>195</v>
      </c>
      <c r="T1263" s="232" t="inlineStr">
        <is>
          <t>CLP</t>
        </is>
      </c>
      <c r="U1263" s="232" t="inlineStr">
        <is>
          <t>Prorrateo Ha PACKING</t>
        </is>
      </c>
      <c r="V1263" s="232" t="inlineStr">
        <is>
          <t>2026-06-18</t>
        </is>
      </c>
    </row>
    <row r="1264">
      <c r="A1264" s="232" t="inlineStr">
        <is>
          <t>CR-1261</t>
        </is>
      </c>
      <c r="B1264" s="232" t="inlineStr">
        <is>
          <t>2026/27</t>
        </is>
      </c>
      <c r="C1264" s="233" t="n">
        <v>46043</v>
      </c>
      <c r="D1264" s="232" t="inlineStr">
        <is>
          <t>213465</t>
        </is>
      </c>
      <c r="E1264" s="232" t="inlineStr">
        <is>
          <t>PRORRATEO</t>
        </is>
      </c>
      <c r="F1264" s="232" t="inlineStr">
        <is>
          <t>El Molle</t>
        </is>
      </c>
      <c r="G1264" s="232" t="inlineStr">
        <is>
          <t>Wonderful 5,25 ha</t>
        </is>
      </c>
      <c r="H1264" s="232" t="inlineStr">
        <is>
          <t>Granados</t>
        </is>
      </c>
      <c r="I1264" s="232" t="inlineStr">
        <is>
          <t>Wonderfull</t>
        </is>
      </c>
      <c r="J1264" s="232" t="inlineStr">
        <is>
          <t>MATERIALES COSECHA</t>
        </is>
      </c>
      <c r="K1264" s="232" t="inlineStr">
        <is>
          <t>INSUMOS PACKING</t>
        </is>
      </c>
      <c r="L1264" s="232" t="inlineStr">
        <is>
          <t>[PRORRATEO 3.5% 5.24há/148.3há] O/001281 ADHESIVO B</t>
        </is>
      </c>
      <c r="M1264" s="232" t="inlineStr"/>
      <c r="N1264" s="232" t="inlineStr">
        <is>
          <t>.   .   -</t>
        </is>
      </c>
      <c r="O1264" s="232" t="inlineStr">
        <is>
          <t>ENERO</t>
        </is>
      </c>
      <c r="P1264" s="232" t="n">
        <v>3</v>
      </c>
      <c r="Q1264" s="234" t="n">
        <v>209</v>
      </c>
      <c r="R1264" s="232" t="inlineStr"/>
      <c r="S1264" s="234" t="n">
        <v>209</v>
      </c>
      <c r="T1264" s="232" t="inlineStr">
        <is>
          <t>CLP</t>
        </is>
      </c>
      <c r="U1264" s="232" t="inlineStr">
        <is>
          <t>Prorrateo Ha PACKING</t>
        </is>
      </c>
      <c r="V1264" s="232" t="inlineStr">
        <is>
          <t>2026-06-18</t>
        </is>
      </c>
    </row>
    <row r="1265">
      <c r="A1265" s="232" t="inlineStr">
        <is>
          <t>CR-1262</t>
        </is>
      </c>
      <c r="B1265" s="232" t="inlineStr">
        <is>
          <t>2026/27</t>
        </is>
      </c>
      <c r="C1265" s="233" t="n">
        <v>46043</v>
      </c>
      <c r="D1265" s="232" t="inlineStr">
        <is>
          <t>213465</t>
        </is>
      </c>
      <c r="E1265" s="232" t="inlineStr">
        <is>
          <t>PRORRATEO</t>
        </is>
      </c>
      <c r="F1265" s="232" t="inlineStr">
        <is>
          <t>El Molle</t>
        </is>
      </c>
      <c r="G1265" s="232" t="inlineStr">
        <is>
          <t>arrufatinas 5,74 ha</t>
        </is>
      </c>
      <c r="H1265" s="232" t="inlineStr">
        <is>
          <t>Clementinas</t>
        </is>
      </c>
      <c r="I1265" s="232" t="inlineStr">
        <is>
          <t>Arrufatinas</t>
        </is>
      </c>
      <c r="J1265" s="232" t="inlineStr">
        <is>
          <t>MATERIALES COSECHA</t>
        </is>
      </c>
      <c r="K1265" s="232" t="inlineStr">
        <is>
          <t>INSUMOS PACKING</t>
        </is>
      </c>
      <c r="L1265" s="232" t="inlineStr">
        <is>
          <t>[PRORRATEO 3.9% 5.74há/148.3há] O/001281 ADHESIVO B</t>
        </is>
      </c>
      <c r="M1265" s="232" t="inlineStr"/>
      <c r="N1265" s="232" t="inlineStr">
        <is>
          <t>.   .   -</t>
        </is>
      </c>
      <c r="O1265" s="232" t="inlineStr">
        <is>
          <t>ENERO</t>
        </is>
      </c>
      <c r="P1265" s="232" t="n">
        <v>3</v>
      </c>
      <c r="Q1265" s="234" t="n">
        <v>228</v>
      </c>
      <c r="R1265" s="232" t="inlineStr"/>
      <c r="S1265" s="234" t="n">
        <v>228</v>
      </c>
      <c r="T1265" s="232" t="inlineStr">
        <is>
          <t>CLP</t>
        </is>
      </c>
      <c r="U1265" s="232" t="inlineStr">
        <is>
          <t>Prorrateo Ha PACKING</t>
        </is>
      </c>
      <c r="V1265" s="232" t="inlineStr">
        <is>
          <t>2026-06-18</t>
        </is>
      </c>
    </row>
    <row r="1266">
      <c r="A1266" s="232" t="inlineStr">
        <is>
          <t>CR-1263</t>
        </is>
      </c>
      <c r="B1266" s="232" t="inlineStr">
        <is>
          <t>2026/27</t>
        </is>
      </c>
      <c r="C1266" s="233" t="n">
        <v>46043</v>
      </c>
      <c r="D1266" s="232" t="inlineStr">
        <is>
          <t>213465</t>
        </is>
      </c>
      <c r="E1266" s="232" t="inlineStr">
        <is>
          <t>PRORRATEO</t>
        </is>
      </c>
      <c r="F1266" s="232" t="inlineStr">
        <is>
          <t>El Molle</t>
        </is>
      </c>
      <c r="G1266" s="232" t="inlineStr">
        <is>
          <t>orogrande 8,11 ha</t>
        </is>
      </c>
      <c r="H1266" s="232" t="inlineStr">
        <is>
          <t>Clementinas</t>
        </is>
      </c>
      <c r="I1266" s="232" t="inlineStr">
        <is>
          <t>Orogrande</t>
        </is>
      </c>
      <c r="J1266" s="232" t="inlineStr">
        <is>
          <t>MATERIALES COSECHA</t>
        </is>
      </c>
      <c r="K1266" s="232" t="inlineStr">
        <is>
          <t>INSUMOS PACKING</t>
        </is>
      </c>
      <c r="L1266" s="232" t="inlineStr">
        <is>
          <t>[PRORRATEO 5.5% 8.11há/148.3há] O/001281 ADHESIVO B</t>
        </is>
      </c>
      <c r="M1266" s="232" t="inlineStr"/>
      <c r="N1266" s="232" t="inlineStr">
        <is>
          <t>.   .   -</t>
        </is>
      </c>
      <c r="O1266" s="232" t="inlineStr">
        <is>
          <t>ENERO</t>
        </is>
      </c>
      <c r="P1266" s="232" t="n">
        <v>3</v>
      </c>
      <c r="Q1266" s="234" t="n">
        <v>323</v>
      </c>
      <c r="R1266" s="232" t="inlineStr"/>
      <c r="S1266" s="234" t="n">
        <v>323</v>
      </c>
      <c r="T1266" s="232" t="inlineStr">
        <is>
          <t>CLP</t>
        </is>
      </c>
      <c r="U1266" s="232" t="inlineStr">
        <is>
          <t>Prorrateo Ha PACKING</t>
        </is>
      </c>
      <c r="V1266" s="232" t="inlineStr">
        <is>
          <t>2026-06-18</t>
        </is>
      </c>
    </row>
    <row r="1267">
      <c r="A1267" s="232" t="inlineStr">
        <is>
          <t>CR-1264</t>
        </is>
      </c>
      <c r="B1267" s="232" t="inlineStr">
        <is>
          <t>2026/27</t>
        </is>
      </c>
      <c r="C1267" s="233" t="n">
        <v>46043</v>
      </c>
      <c r="D1267" s="232" t="inlineStr">
        <is>
          <t>213465</t>
        </is>
      </c>
      <c r="E1267" s="232" t="inlineStr">
        <is>
          <t>PRORRATEO</t>
        </is>
      </c>
      <c r="F1267" s="232" t="inlineStr">
        <is>
          <t>El Molle</t>
        </is>
      </c>
      <c r="G1267" s="232" t="inlineStr">
        <is>
          <t>oronules 5,35 ha</t>
        </is>
      </c>
      <c r="H1267" s="232" t="inlineStr">
        <is>
          <t>Clementinas</t>
        </is>
      </c>
      <c r="I1267" s="232" t="inlineStr">
        <is>
          <t>Oronules</t>
        </is>
      </c>
      <c r="J1267" s="232" t="inlineStr">
        <is>
          <t>MATERIALES COSECHA</t>
        </is>
      </c>
      <c r="K1267" s="232" t="inlineStr">
        <is>
          <t>INSUMOS PACKING</t>
        </is>
      </c>
      <c r="L1267" s="232" t="inlineStr">
        <is>
          <t>[PRORRATEO 3.6% 5.35há/148.3há] O/001281 ADHESIVO B</t>
        </is>
      </c>
      <c r="M1267" s="232" t="inlineStr"/>
      <c r="N1267" s="232" t="inlineStr">
        <is>
          <t>.   .   -</t>
        </is>
      </c>
      <c r="O1267" s="232" t="inlineStr">
        <is>
          <t>ENERO</t>
        </is>
      </c>
      <c r="P1267" s="232" t="n">
        <v>3</v>
      </c>
      <c r="Q1267" s="234" t="n">
        <v>213</v>
      </c>
      <c r="R1267" s="232" t="inlineStr"/>
      <c r="S1267" s="234" t="n">
        <v>213</v>
      </c>
      <c r="T1267" s="232" t="inlineStr">
        <is>
          <t>CLP</t>
        </is>
      </c>
      <c r="U1267" s="232" t="inlineStr">
        <is>
          <t>Prorrateo Ha PACKING</t>
        </is>
      </c>
      <c r="V1267" s="232" t="inlineStr">
        <is>
          <t>2026-06-18</t>
        </is>
      </c>
    </row>
    <row r="1268">
      <c r="A1268" s="232" t="inlineStr">
        <is>
          <t>CR-1265</t>
        </is>
      </c>
      <c r="B1268" s="232" t="inlineStr">
        <is>
          <t>2026/27</t>
        </is>
      </c>
      <c r="C1268" s="233" t="n">
        <v>46043</v>
      </c>
      <c r="D1268" s="232" t="inlineStr">
        <is>
          <t>213465</t>
        </is>
      </c>
      <c r="E1268" s="232" t="inlineStr">
        <is>
          <t>PRORRATEO</t>
        </is>
      </c>
      <c r="F1268" s="232" t="inlineStr">
        <is>
          <t>Santa Catalina</t>
        </is>
      </c>
      <c r="G1268" s="232" t="inlineStr">
        <is>
          <t>Fino 49 7,7 ha</t>
        </is>
      </c>
      <c r="H1268" s="232" t="inlineStr">
        <is>
          <t>Limon</t>
        </is>
      </c>
      <c r="I1268" s="232" t="inlineStr">
        <is>
          <t>Fino 49</t>
        </is>
      </c>
      <c r="J1268" s="232" t="inlineStr">
        <is>
          <t>MATERIALES COSECHA</t>
        </is>
      </c>
      <c r="K1268" s="232" t="inlineStr">
        <is>
          <t>INSUMOS PACKING</t>
        </is>
      </c>
      <c r="L1268" s="232" t="inlineStr">
        <is>
          <t>[PRORRATEO 5.2% 7.7há/148.3há] O/001281 ADHESIVO B</t>
        </is>
      </c>
      <c r="M1268" s="232" t="inlineStr"/>
      <c r="N1268" s="232" t="inlineStr">
        <is>
          <t>.   .   -</t>
        </is>
      </c>
      <c r="O1268" s="232" t="inlineStr">
        <is>
          <t>ENERO</t>
        </is>
      </c>
      <c r="P1268" s="232" t="n">
        <v>3</v>
      </c>
      <c r="Q1268" s="234" t="n">
        <v>306</v>
      </c>
      <c r="R1268" s="232" t="inlineStr"/>
      <c r="S1268" s="234" t="n">
        <v>306</v>
      </c>
      <c r="T1268" s="232" t="inlineStr">
        <is>
          <t>CLP</t>
        </is>
      </c>
      <c r="U1268" s="232" t="inlineStr">
        <is>
          <t>Prorrateo Ha PACKING</t>
        </is>
      </c>
      <c r="V1268" s="232" t="inlineStr">
        <is>
          <t>2026-06-18</t>
        </is>
      </c>
    </row>
    <row r="1269">
      <c r="A1269" s="232" t="inlineStr">
        <is>
          <t>CR-1266</t>
        </is>
      </c>
      <c r="B1269" s="232" t="inlineStr">
        <is>
          <t>2026/27</t>
        </is>
      </c>
      <c r="C1269" s="233" t="n">
        <v>46043</v>
      </c>
      <c r="D1269" s="232" t="inlineStr">
        <is>
          <t>213465</t>
        </is>
      </c>
      <c r="E1269" s="232" t="inlineStr">
        <is>
          <t>PRORRATEO</t>
        </is>
      </c>
      <c r="F1269" s="232" t="inlineStr">
        <is>
          <t>Santa Catalina</t>
        </is>
      </c>
      <c r="G1269" s="232" t="inlineStr">
        <is>
          <t>W. murcott 21 ha</t>
        </is>
      </c>
      <c r="H1269" s="232" t="inlineStr">
        <is>
          <t>Mandarina</t>
        </is>
      </c>
      <c r="I1269" s="232" t="inlineStr">
        <is>
          <t>W. murcott</t>
        </is>
      </c>
      <c r="J1269" s="232" t="inlineStr">
        <is>
          <t>MATERIALES COSECHA</t>
        </is>
      </c>
      <c r="K1269" s="232" t="inlineStr">
        <is>
          <t>INSUMOS PACKING</t>
        </is>
      </c>
      <c r="L1269" s="232" t="inlineStr">
        <is>
          <t>[PRORRATEO 14.2% 21.0há/148.3há] O/001281 ADHESIVO B</t>
        </is>
      </c>
      <c r="M1269" s="232" t="inlineStr"/>
      <c r="N1269" s="232" t="inlineStr">
        <is>
          <t>.   .   -</t>
        </is>
      </c>
      <c r="O1269" s="232" t="inlineStr">
        <is>
          <t>ENERO</t>
        </is>
      </c>
      <c r="P1269" s="232" t="n">
        <v>3</v>
      </c>
      <c r="Q1269" s="234" t="n">
        <v>836</v>
      </c>
      <c r="R1269" s="232" t="inlineStr"/>
      <c r="S1269" s="234" t="n">
        <v>836</v>
      </c>
      <c r="T1269" s="232" t="inlineStr">
        <is>
          <t>CLP</t>
        </is>
      </c>
      <c r="U1269" s="232" t="inlineStr">
        <is>
          <t>Prorrateo Ha PACKING</t>
        </is>
      </c>
      <c r="V1269" s="232" t="inlineStr">
        <is>
          <t>2026-06-18</t>
        </is>
      </c>
    </row>
    <row r="1270">
      <c r="A1270" s="232" t="inlineStr">
        <is>
          <t>CR-1267</t>
        </is>
      </c>
      <c r="B1270" s="232" t="inlineStr">
        <is>
          <t>2026/27</t>
        </is>
      </c>
      <c r="C1270" s="233" t="n">
        <v>46043</v>
      </c>
      <c r="D1270" s="232" t="inlineStr">
        <is>
          <t>213465</t>
        </is>
      </c>
      <c r="E1270" s="232" t="inlineStr">
        <is>
          <t>PRORRATEO</t>
        </is>
      </c>
      <c r="F1270" s="232" t="inlineStr">
        <is>
          <t>Santa Catalina</t>
        </is>
      </c>
      <c r="G1270" s="232" t="inlineStr">
        <is>
          <t>cambria 4,2 ha</t>
        </is>
      </c>
      <c r="H1270" s="232" t="inlineStr">
        <is>
          <t>Naranjas</t>
        </is>
      </c>
      <c r="I1270" s="232" t="inlineStr">
        <is>
          <t>Cambria</t>
        </is>
      </c>
      <c r="J1270" s="232" t="inlineStr">
        <is>
          <t>MATERIALES COSECHA</t>
        </is>
      </c>
      <c r="K1270" s="232" t="inlineStr">
        <is>
          <t>INSUMOS PACKING</t>
        </is>
      </c>
      <c r="L1270" s="232" t="inlineStr">
        <is>
          <t>[PRORRATEO 2.8% 4.2há/148.3há] O/001281 ADHESIVO B</t>
        </is>
      </c>
      <c r="M1270" s="232" t="inlineStr"/>
      <c r="N1270" s="232" t="inlineStr">
        <is>
          <t>.   .   -</t>
        </is>
      </c>
      <c r="O1270" s="232" t="inlineStr">
        <is>
          <t>ENERO</t>
        </is>
      </c>
      <c r="P1270" s="232" t="n">
        <v>3</v>
      </c>
      <c r="Q1270" s="234" t="n">
        <v>167</v>
      </c>
      <c r="R1270" s="232" t="inlineStr"/>
      <c r="S1270" s="234" t="n">
        <v>167</v>
      </c>
      <c r="T1270" s="232" t="inlineStr">
        <is>
          <t>CLP</t>
        </is>
      </c>
      <c r="U1270" s="232" t="inlineStr">
        <is>
          <t>Prorrateo Ha PACKING</t>
        </is>
      </c>
      <c r="V1270" s="232" t="inlineStr">
        <is>
          <t>2026-06-18</t>
        </is>
      </c>
    </row>
    <row r="1271">
      <c r="A1271" s="232" t="inlineStr">
        <is>
          <t>CR-1268</t>
        </is>
      </c>
      <c r="B1271" s="232" t="inlineStr">
        <is>
          <t>2026/27</t>
        </is>
      </c>
      <c r="C1271" s="233" t="n">
        <v>46043</v>
      </c>
      <c r="D1271" s="232" t="inlineStr">
        <is>
          <t>213465</t>
        </is>
      </c>
      <c r="E1271" s="232" t="inlineStr">
        <is>
          <t>PRORRATEO</t>
        </is>
      </c>
      <c r="F1271" s="232" t="inlineStr">
        <is>
          <t>Santa Catalina</t>
        </is>
      </c>
      <c r="G1271" s="232" t="inlineStr">
        <is>
          <t>eureka 10,6 ha</t>
        </is>
      </c>
      <c r="H1271" s="232" t="inlineStr">
        <is>
          <t>Limon</t>
        </is>
      </c>
      <c r="I1271" s="232" t="inlineStr">
        <is>
          <t>Eureka</t>
        </is>
      </c>
      <c r="J1271" s="232" t="inlineStr">
        <is>
          <t>MATERIALES COSECHA</t>
        </is>
      </c>
      <c r="K1271" s="232" t="inlineStr">
        <is>
          <t>INSUMOS PACKING</t>
        </is>
      </c>
      <c r="L1271" s="232" t="inlineStr">
        <is>
          <t>[PRORRATEO 7.1% 10.6há/148.3há] O/001281 ADHESIVO B</t>
        </is>
      </c>
      <c r="M1271" s="232" t="inlineStr"/>
      <c r="N1271" s="232" t="inlineStr">
        <is>
          <t>.   .   -</t>
        </is>
      </c>
      <c r="O1271" s="232" t="inlineStr">
        <is>
          <t>ENERO</t>
        </is>
      </c>
      <c r="P1271" s="232" t="n">
        <v>3</v>
      </c>
      <c r="Q1271" s="234" t="n">
        <v>422</v>
      </c>
      <c r="R1271" s="232" t="inlineStr"/>
      <c r="S1271" s="234" t="n">
        <v>422</v>
      </c>
      <c r="T1271" s="232" t="inlineStr">
        <is>
          <t>CLP</t>
        </is>
      </c>
      <c r="U1271" s="232" t="inlineStr">
        <is>
          <t>Prorrateo Ha PACKING</t>
        </is>
      </c>
      <c r="V1271" s="232" t="inlineStr">
        <is>
          <t>2026-06-18</t>
        </is>
      </c>
    </row>
    <row r="1272">
      <c r="A1272" s="232" t="inlineStr">
        <is>
          <t>CR-1269</t>
        </is>
      </c>
      <c r="B1272" s="232" t="inlineStr">
        <is>
          <t>2026/27</t>
        </is>
      </c>
      <c r="C1272" s="233" t="n">
        <v>46043</v>
      </c>
      <c r="D1272" s="232" t="inlineStr">
        <is>
          <t>213465</t>
        </is>
      </c>
      <c r="E1272" s="232" t="inlineStr">
        <is>
          <t>PRORRATEO</t>
        </is>
      </c>
      <c r="F1272" s="232" t="inlineStr">
        <is>
          <t>Santa Catalina</t>
        </is>
      </c>
      <c r="G1272" s="232" t="inlineStr">
        <is>
          <t>eureka 14,4 ha</t>
        </is>
      </c>
      <c r="H1272" s="232" t="inlineStr">
        <is>
          <t>Limon</t>
        </is>
      </c>
      <c r="I1272" s="232" t="inlineStr">
        <is>
          <t>Eureka</t>
        </is>
      </c>
      <c r="J1272" s="232" t="inlineStr">
        <is>
          <t>MATERIALES COSECHA</t>
        </is>
      </c>
      <c r="K1272" s="232" t="inlineStr">
        <is>
          <t>INSUMOS PACKING</t>
        </is>
      </c>
      <c r="L1272" s="232" t="inlineStr">
        <is>
          <t>[PRORRATEO 9.7% 14.4há/148.3há] O/001281 ADHESIVO B</t>
        </is>
      </c>
      <c r="M1272" s="232" t="inlineStr"/>
      <c r="N1272" s="232" t="inlineStr">
        <is>
          <t>.   .   -</t>
        </is>
      </c>
      <c r="O1272" s="232" t="inlineStr">
        <is>
          <t>ENERO</t>
        </is>
      </c>
      <c r="P1272" s="232" t="n">
        <v>3</v>
      </c>
      <c r="Q1272" s="234" t="n">
        <v>573</v>
      </c>
      <c r="R1272" s="232" t="inlineStr"/>
      <c r="S1272" s="234" t="n">
        <v>573</v>
      </c>
      <c r="T1272" s="232" t="inlineStr">
        <is>
          <t>CLP</t>
        </is>
      </c>
      <c r="U1272" s="232" t="inlineStr">
        <is>
          <t>Prorrateo Ha PACKING</t>
        </is>
      </c>
      <c r="V1272" s="232" t="inlineStr">
        <is>
          <t>2026-06-18</t>
        </is>
      </c>
    </row>
    <row r="1273">
      <c r="A1273" s="232" t="inlineStr">
        <is>
          <t>CR-1270</t>
        </is>
      </c>
      <c r="B1273" s="232" t="inlineStr">
        <is>
          <t>2026/27</t>
        </is>
      </c>
      <c r="C1273" s="233" t="n">
        <v>46043</v>
      </c>
      <c r="D1273" s="232" t="inlineStr">
        <is>
          <t>213465</t>
        </is>
      </c>
      <c r="E1273" s="232" t="inlineStr">
        <is>
          <t>PRORRATEO</t>
        </is>
      </c>
      <c r="F1273" s="232" t="inlineStr">
        <is>
          <t>Santa Catalina</t>
        </is>
      </c>
      <c r="G1273" s="232" t="inlineStr">
        <is>
          <t>eureka 22,55</t>
        </is>
      </c>
      <c r="H1273" s="232" t="inlineStr">
        <is>
          <t>Limon</t>
        </is>
      </c>
      <c r="I1273" s="232" t="inlineStr">
        <is>
          <t>Eureka</t>
        </is>
      </c>
      <c r="J1273" s="232" t="inlineStr">
        <is>
          <t>MATERIALES COSECHA</t>
        </is>
      </c>
      <c r="K1273" s="232" t="inlineStr">
        <is>
          <t>INSUMOS PACKING</t>
        </is>
      </c>
      <c r="L1273" s="232" t="inlineStr">
        <is>
          <t>[PRORRATEO 15.2% 22.55há/148.3há] O/001281 ADHESIVO B</t>
        </is>
      </c>
      <c r="M1273" s="232" t="inlineStr"/>
      <c r="N1273" s="232" t="inlineStr">
        <is>
          <t>.   .   -</t>
        </is>
      </c>
      <c r="O1273" s="232" t="inlineStr">
        <is>
          <t>ENERO</t>
        </is>
      </c>
      <c r="P1273" s="232" t="n">
        <v>3</v>
      </c>
      <c r="Q1273" s="234" t="n">
        <v>897</v>
      </c>
      <c r="R1273" s="232" t="inlineStr"/>
      <c r="S1273" s="234" t="n">
        <v>897</v>
      </c>
      <c r="T1273" s="232" t="inlineStr">
        <is>
          <t>CLP</t>
        </is>
      </c>
      <c r="U1273" s="232" t="inlineStr">
        <is>
          <t>Prorrateo Ha PACKING</t>
        </is>
      </c>
      <c r="V1273" s="232" t="inlineStr">
        <is>
          <t>2026-06-18</t>
        </is>
      </c>
    </row>
    <row r="1274">
      <c r="A1274" s="232" t="inlineStr">
        <is>
          <t>CR-1271</t>
        </is>
      </c>
      <c r="B1274" s="232" t="inlineStr">
        <is>
          <t>2026/27</t>
        </is>
      </c>
      <c r="C1274" s="233" t="n">
        <v>46043</v>
      </c>
      <c r="D1274" s="232" t="inlineStr">
        <is>
          <t>213465</t>
        </is>
      </c>
      <c r="E1274" s="232" t="inlineStr">
        <is>
          <t>PRORRATEO</t>
        </is>
      </c>
      <c r="F1274" s="232" t="inlineStr">
        <is>
          <t>Santa Catalina</t>
        </is>
      </c>
      <c r="G1274" s="232" t="inlineStr">
        <is>
          <t>form benjamin 1,93 ha</t>
        </is>
      </c>
      <c r="H1274" s="232" t="inlineStr">
        <is>
          <t>Limon</t>
        </is>
      </c>
      <c r="I1274" s="232" t="inlineStr">
        <is>
          <t>Benjamin andes</t>
        </is>
      </c>
      <c r="J1274" s="232" t="inlineStr">
        <is>
          <t>MATERIALES COSECHA</t>
        </is>
      </c>
      <c r="K1274" s="232" t="inlineStr">
        <is>
          <t>INSUMOS PACKING</t>
        </is>
      </c>
      <c r="L1274" s="232" t="inlineStr">
        <is>
          <t>[PRORRATEO 1.3% 1.93há/148.3há] O/001281 ADHESIVO B</t>
        </is>
      </c>
      <c r="M1274" s="232" t="inlineStr"/>
      <c r="N1274" s="232" t="inlineStr">
        <is>
          <t>.   .   -</t>
        </is>
      </c>
      <c r="O1274" s="232" t="inlineStr">
        <is>
          <t>ENERO</t>
        </is>
      </c>
      <c r="P1274" s="232" t="n">
        <v>3</v>
      </c>
      <c r="Q1274" s="234" t="n">
        <v>77</v>
      </c>
      <c r="R1274" s="232" t="inlineStr"/>
      <c r="S1274" s="234" t="n">
        <v>77</v>
      </c>
      <c r="T1274" s="232" t="inlineStr">
        <is>
          <t>CLP</t>
        </is>
      </c>
      <c r="U1274" s="232" t="inlineStr">
        <is>
          <t>Prorrateo Ha PACKING</t>
        </is>
      </c>
      <c r="V1274" s="232" t="inlineStr">
        <is>
          <t>2026-06-18</t>
        </is>
      </c>
    </row>
    <row r="1275">
      <c r="A1275" s="232" t="inlineStr">
        <is>
          <t>CR-1272</t>
        </is>
      </c>
      <c r="B1275" s="232" t="inlineStr">
        <is>
          <t>2026/27</t>
        </is>
      </c>
      <c r="C1275" s="233" t="n">
        <v>46043</v>
      </c>
      <c r="D1275" s="232" t="inlineStr">
        <is>
          <t>213465</t>
        </is>
      </c>
      <c r="E1275" s="232" t="inlineStr">
        <is>
          <t>PRORRATEO</t>
        </is>
      </c>
      <c r="F1275" s="232" t="inlineStr">
        <is>
          <t>Santa Catalina</t>
        </is>
      </c>
      <c r="G1275" s="232" t="inlineStr">
        <is>
          <t>mant eureka 2,5 ha</t>
        </is>
      </c>
      <c r="H1275" s="232" t="inlineStr">
        <is>
          <t>Limon</t>
        </is>
      </c>
      <c r="I1275" s="232" t="inlineStr">
        <is>
          <t>Eureka</t>
        </is>
      </c>
      <c r="J1275" s="232" t="inlineStr">
        <is>
          <t>MATERIALES COSECHA</t>
        </is>
      </c>
      <c r="K1275" s="232" t="inlineStr">
        <is>
          <t>INSUMOS PACKING</t>
        </is>
      </c>
      <c r="L1275" s="232" t="inlineStr">
        <is>
          <t>[PRORRATEO 1.7% 2.5há/148.3há] O/001281 ADHESIVO B</t>
        </is>
      </c>
      <c r="M1275" s="232" t="inlineStr"/>
      <c r="N1275" s="232" t="inlineStr">
        <is>
          <t>.   .   -</t>
        </is>
      </c>
      <c r="O1275" s="232" t="inlineStr">
        <is>
          <t>ENERO</t>
        </is>
      </c>
      <c r="P1275" s="232" t="n">
        <v>3</v>
      </c>
      <c r="Q1275" s="234" t="n">
        <v>99</v>
      </c>
      <c r="R1275" s="232" t="inlineStr"/>
      <c r="S1275" s="234" t="n">
        <v>99</v>
      </c>
      <c r="T1275" s="232" t="inlineStr">
        <is>
          <t>CLP</t>
        </is>
      </c>
      <c r="U1275" s="232" t="inlineStr">
        <is>
          <t>Prorrateo Ha PACKING</t>
        </is>
      </c>
      <c r="V1275" s="232" t="inlineStr">
        <is>
          <t>2026-06-18</t>
        </is>
      </c>
    </row>
    <row r="1276">
      <c r="A1276" s="232" t="inlineStr">
        <is>
          <t>CR-1273</t>
        </is>
      </c>
      <c r="B1276" s="232" t="inlineStr">
        <is>
          <t>2026/27</t>
        </is>
      </c>
      <c r="C1276" s="233" t="n">
        <v>46043</v>
      </c>
      <c r="D1276" s="232" t="inlineStr">
        <is>
          <t>213465</t>
        </is>
      </c>
      <c r="E1276" s="232" t="inlineStr">
        <is>
          <t>PRORRATEO</t>
        </is>
      </c>
      <c r="F1276" s="232" t="inlineStr">
        <is>
          <t>Siberia</t>
        </is>
      </c>
      <c r="G1276" s="232" t="inlineStr">
        <is>
          <t>S. Celebration 7,14</t>
        </is>
      </c>
      <c r="H1276" s="232" t="inlineStr">
        <is>
          <t>Uvas</t>
        </is>
      </c>
      <c r="I1276" s="232" t="inlineStr">
        <is>
          <t>S. celebration</t>
        </is>
      </c>
      <c r="J1276" s="232" t="inlineStr">
        <is>
          <t>MATERIALES COSECHA</t>
        </is>
      </c>
      <c r="K1276" s="232" t="inlineStr">
        <is>
          <t>INSUMOS PACKING</t>
        </is>
      </c>
      <c r="L1276" s="232" t="inlineStr">
        <is>
          <t>[PRORRATEO 4.8% 7.14há/148.3há] O/001281 ADHESIVO B</t>
        </is>
      </c>
      <c r="M1276" s="232" t="inlineStr"/>
      <c r="N1276" s="232" t="inlineStr">
        <is>
          <t>.   .   -</t>
        </is>
      </c>
      <c r="O1276" s="232" t="inlineStr">
        <is>
          <t>ENERO</t>
        </is>
      </c>
      <c r="P1276" s="232" t="n">
        <v>3</v>
      </c>
      <c r="Q1276" s="234" t="n">
        <v>284</v>
      </c>
      <c r="R1276" s="232" t="inlineStr"/>
      <c r="S1276" s="234" t="n">
        <v>284</v>
      </c>
      <c r="T1276" s="232" t="inlineStr">
        <is>
          <t>CLP</t>
        </is>
      </c>
      <c r="U1276" s="232" t="inlineStr">
        <is>
          <t>Prorrateo Ha PACKING</t>
        </is>
      </c>
      <c r="V1276" s="232" t="inlineStr">
        <is>
          <t>2026-06-18</t>
        </is>
      </c>
    </row>
    <row r="1277">
      <c r="A1277" s="232" t="inlineStr">
        <is>
          <t>CR-1274</t>
        </is>
      </c>
      <c r="B1277" s="232" t="inlineStr">
        <is>
          <t>2026/27</t>
        </is>
      </c>
      <c r="C1277" s="233" t="n">
        <v>46043</v>
      </c>
      <c r="D1277" s="232" t="inlineStr">
        <is>
          <t>213465</t>
        </is>
      </c>
      <c r="E1277" s="232" t="inlineStr">
        <is>
          <t>PRORRATEO</t>
        </is>
      </c>
      <c r="F1277" s="232" t="inlineStr">
        <is>
          <t>Siberia</t>
        </is>
      </c>
      <c r="G1277" s="232" t="inlineStr">
        <is>
          <t>Timpson 7,1</t>
        </is>
      </c>
      <c r="H1277" s="232" t="inlineStr">
        <is>
          <t>Uvas</t>
        </is>
      </c>
      <c r="I1277" s="232" t="inlineStr">
        <is>
          <t>Timpson</t>
        </is>
      </c>
      <c r="J1277" s="232" t="inlineStr">
        <is>
          <t>MATERIALES COSECHA</t>
        </is>
      </c>
      <c r="K1277" s="232" t="inlineStr">
        <is>
          <t>INSUMOS PACKING</t>
        </is>
      </c>
      <c r="L1277" s="232" t="inlineStr">
        <is>
          <t>[PRORRATEO 4.8% 7.1há/148.3há] O/001281 ADHESIVO B</t>
        </is>
      </c>
      <c r="M1277" s="232" t="inlineStr"/>
      <c r="N1277" s="232" t="inlineStr">
        <is>
          <t>.   .   -</t>
        </is>
      </c>
      <c r="O1277" s="232" t="inlineStr">
        <is>
          <t>ENERO</t>
        </is>
      </c>
      <c r="P1277" s="232" t="n">
        <v>3</v>
      </c>
      <c r="Q1277" s="234" t="n">
        <v>283</v>
      </c>
      <c r="R1277" s="232" t="inlineStr"/>
      <c r="S1277" s="234" t="n">
        <v>283</v>
      </c>
      <c r="T1277" s="232" t="inlineStr">
        <is>
          <t>CLP</t>
        </is>
      </c>
      <c r="U1277" s="232" t="inlineStr">
        <is>
          <t>Prorrateo Ha PACKING</t>
        </is>
      </c>
      <c r="V1277" s="232" t="inlineStr">
        <is>
          <t>2026-06-18</t>
        </is>
      </c>
    </row>
    <row r="1278">
      <c r="A1278" s="232" t="inlineStr">
        <is>
          <t>CR-1275</t>
        </is>
      </c>
      <c r="B1278" s="232" t="inlineStr">
        <is>
          <t>2026/27</t>
        </is>
      </c>
      <c r="C1278" s="233" t="n">
        <v>46043</v>
      </c>
      <c r="D1278" s="232" t="inlineStr">
        <is>
          <t>213465</t>
        </is>
      </c>
      <c r="E1278" s="232" t="inlineStr">
        <is>
          <t>PRORRATEO</t>
        </is>
      </c>
      <c r="F1278" s="232" t="inlineStr">
        <is>
          <t>Asmara</t>
        </is>
      </c>
      <c r="G1278" s="232" t="inlineStr">
        <is>
          <t>w. murcott 19,8 ha</t>
        </is>
      </c>
      <c r="H1278" s="232" t="inlineStr">
        <is>
          <t>Mandarina</t>
        </is>
      </c>
      <c r="I1278" s="232" t="inlineStr">
        <is>
          <t>W. murcott</t>
        </is>
      </c>
      <c r="J1278" s="232" t="inlineStr">
        <is>
          <t>MATERIALES COSECHA</t>
        </is>
      </c>
      <c r="K1278" s="232" t="inlineStr">
        <is>
          <t>INSUMOS PACKING</t>
        </is>
      </c>
      <c r="L1278" s="232" t="inlineStr">
        <is>
          <t>[PRORRATEO 13.4% 19.8há/148.3há] O/001281 ATOMIZADOR</t>
        </is>
      </c>
      <c r="M1278" s="232" t="inlineStr"/>
      <c r="N1278" s="232" t="inlineStr">
        <is>
          <t>.   .   -</t>
        </is>
      </c>
      <c r="O1278" s="232" t="inlineStr">
        <is>
          <t>ENERO</t>
        </is>
      </c>
      <c r="P1278" s="232" t="n">
        <v>3</v>
      </c>
      <c r="Q1278" s="234" t="n">
        <v>702</v>
      </c>
      <c r="R1278" s="232" t="inlineStr"/>
      <c r="S1278" s="234" t="n">
        <v>702</v>
      </c>
      <c r="T1278" s="232" t="inlineStr">
        <is>
          <t>CLP</t>
        </is>
      </c>
      <c r="U1278" s="232" t="inlineStr">
        <is>
          <t>Prorrateo Ha PACKING</t>
        </is>
      </c>
      <c r="V1278" s="232" t="inlineStr">
        <is>
          <t>2026-06-18</t>
        </is>
      </c>
    </row>
    <row r="1279">
      <c r="A1279" s="232" t="inlineStr">
        <is>
          <t>CR-1276</t>
        </is>
      </c>
      <c r="B1279" s="232" t="inlineStr">
        <is>
          <t>2026/27</t>
        </is>
      </c>
      <c r="C1279" s="233" t="n">
        <v>46043</v>
      </c>
      <c r="D1279" s="232" t="inlineStr">
        <is>
          <t>213465</t>
        </is>
      </c>
      <c r="E1279" s="232" t="inlineStr">
        <is>
          <t>PRORRATEO</t>
        </is>
      </c>
      <c r="F1279" s="232" t="inlineStr">
        <is>
          <t>Asmara</t>
        </is>
      </c>
      <c r="G1279" s="232" t="inlineStr">
        <is>
          <t>w. murcott 4,9 ha</t>
        </is>
      </c>
      <c r="H1279" s="232" t="inlineStr">
        <is>
          <t>Mandarina</t>
        </is>
      </c>
      <c r="I1279" s="232" t="inlineStr">
        <is>
          <t>W. murcott</t>
        </is>
      </c>
      <c r="J1279" s="232" t="inlineStr">
        <is>
          <t>MATERIALES COSECHA</t>
        </is>
      </c>
      <c r="K1279" s="232" t="inlineStr">
        <is>
          <t>INSUMOS PACKING</t>
        </is>
      </c>
      <c r="L1279" s="232" t="inlineStr">
        <is>
          <t>[PRORRATEO 3.3% 4.9há/148.3há] O/001281 ATOMIZADOR</t>
        </is>
      </c>
      <c r="M1279" s="232" t="inlineStr"/>
      <c r="N1279" s="232" t="inlineStr">
        <is>
          <t>.   .   -</t>
        </is>
      </c>
      <c r="O1279" s="232" t="inlineStr">
        <is>
          <t>ENERO</t>
        </is>
      </c>
      <c r="P1279" s="232" t="n">
        <v>3</v>
      </c>
      <c r="Q1279" s="234" t="n">
        <v>174</v>
      </c>
      <c r="R1279" s="232" t="inlineStr"/>
      <c r="S1279" s="234" t="n">
        <v>174</v>
      </c>
      <c r="T1279" s="232" t="inlineStr">
        <is>
          <t>CLP</t>
        </is>
      </c>
      <c r="U1279" s="232" t="inlineStr">
        <is>
          <t>Prorrateo Ha PACKING</t>
        </is>
      </c>
      <c r="V1279" s="232" t="inlineStr">
        <is>
          <t>2026-06-18</t>
        </is>
      </c>
    </row>
    <row r="1280">
      <c r="A1280" s="232" t="inlineStr">
        <is>
          <t>CR-1277</t>
        </is>
      </c>
      <c r="B1280" s="232" t="inlineStr">
        <is>
          <t>2026/27</t>
        </is>
      </c>
      <c r="C1280" s="233" t="n">
        <v>46043</v>
      </c>
      <c r="D1280" s="232" t="inlineStr">
        <is>
          <t>213465</t>
        </is>
      </c>
      <c r="E1280" s="232" t="inlineStr">
        <is>
          <t>PRORRATEO</t>
        </is>
      </c>
      <c r="F1280" s="232" t="inlineStr">
        <is>
          <t>El Molle</t>
        </is>
      </c>
      <c r="G1280" s="232" t="inlineStr">
        <is>
          <t>Wonderful 5,25 ha</t>
        </is>
      </c>
      <c r="H1280" s="232" t="inlineStr">
        <is>
          <t>Granados</t>
        </is>
      </c>
      <c r="I1280" s="232" t="inlineStr">
        <is>
          <t>Wonderfull</t>
        </is>
      </c>
      <c r="J1280" s="232" t="inlineStr">
        <is>
          <t>MATERIALES COSECHA</t>
        </is>
      </c>
      <c r="K1280" s="232" t="inlineStr">
        <is>
          <t>INSUMOS PACKING</t>
        </is>
      </c>
      <c r="L1280" s="232" t="inlineStr">
        <is>
          <t>[PRORRATEO 3.5% 5.24há/148.3há] O/001281 ATOMIZADOR</t>
        </is>
      </c>
      <c r="M1280" s="232" t="inlineStr"/>
      <c r="N1280" s="232" t="inlineStr">
        <is>
          <t>.   .   -</t>
        </is>
      </c>
      <c r="O1280" s="232" t="inlineStr">
        <is>
          <t>ENERO</t>
        </is>
      </c>
      <c r="P1280" s="232" t="n">
        <v>3</v>
      </c>
      <c r="Q1280" s="234" t="n">
        <v>186</v>
      </c>
      <c r="R1280" s="232" t="inlineStr"/>
      <c r="S1280" s="234" t="n">
        <v>186</v>
      </c>
      <c r="T1280" s="232" t="inlineStr">
        <is>
          <t>CLP</t>
        </is>
      </c>
      <c r="U1280" s="232" t="inlineStr">
        <is>
          <t>Prorrateo Ha PACKING</t>
        </is>
      </c>
      <c r="V1280" s="232" t="inlineStr">
        <is>
          <t>2026-06-18</t>
        </is>
      </c>
    </row>
    <row r="1281">
      <c r="A1281" s="232" t="inlineStr">
        <is>
          <t>CR-1278</t>
        </is>
      </c>
      <c r="B1281" s="232" t="inlineStr">
        <is>
          <t>2026/27</t>
        </is>
      </c>
      <c r="C1281" s="233" t="n">
        <v>46043</v>
      </c>
      <c r="D1281" s="232" t="inlineStr">
        <is>
          <t>213465</t>
        </is>
      </c>
      <c r="E1281" s="232" t="inlineStr">
        <is>
          <t>PRORRATEO</t>
        </is>
      </c>
      <c r="F1281" s="232" t="inlineStr">
        <is>
          <t>El Molle</t>
        </is>
      </c>
      <c r="G1281" s="232" t="inlineStr">
        <is>
          <t>arrufatinas 5,74 ha</t>
        </is>
      </c>
      <c r="H1281" s="232" t="inlineStr">
        <is>
          <t>Clementinas</t>
        </is>
      </c>
      <c r="I1281" s="232" t="inlineStr">
        <is>
          <t>Arrufatinas</t>
        </is>
      </c>
      <c r="J1281" s="232" t="inlineStr">
        <is>
          <t>MATERIALES COSECHA</t>
        </is>
      </c>
      <c r="K1281" s="232" t="inlineStr">
        <is>
          <t>INSUMOS PACKING</t>
        </is>
      </c>
      <c r="L1281" s="232" t="inlineStr">
        <is>
          <t>[PRORRATEO 3.9% 5.74há/148.3há] O/001281 ATOMIZADOR</t>
        </is>
      </c>
      <c r="M1281" s="232" t="inlineStr"/>
      <c r="N1281" s="232" t="inlineStr">
        <is>
          <t>.   .   -</t>
        </is>
      </c>
      <c r="O1281" s="232" t="inlineStr">
        <is>
          <t>ENERO</t>
        </is>
      </c>
      <c r="P1281" s="232" t="n">
        <v>3</v>
      </c>
      <c r="Q1281" s="234" t="n">
        <v>204</v>
      </c>
      <c r="R1281" s="232" t="inlineStr"/>
      <c r="S1281" s="234" t="n">
        <v>204</v>
      </c>
      <c r="T1281" s="232" t="inlineStr">
        <is>
          <t>CLP</t>
        </is>
      </c>
      <c r="U1281" s="232" t="inlineStr">
        <is>
          <t>Prorrateo Ha PACKING</t>
        </is>
      </c>
      <c r="V1281" s="232" t="inlineStr">
        <is>
          <t>2026-06-18</t>
        </is>
      </c>
    </row>
    <row r="1282">
      <c r="A1282" s="232" t="inlineStr">
        <is>
          <t>CR-1279</t>
        </is>
      </c>
      <c r="B1282" s="232" t="inlineStr">
        <is>
          <t>2026/27</t>
        </is>
      </c>
      <c r="C1282" s="233" t="n">
        <v>46043</v>
      </c>
      <c r="D1282" s="232" t="inlineStr">
        <is>
          <t>213465</t>
        </is>
      </c>
      <c r="E1282" s="232" t="inlineStr">
        <is>
          <t>PRORRATEO</t>
        </is>
      </c>
      <c r="F1282" s="232" t="inlineStr">
        <is>
          <t>El Molle</t>
        </is>
      </c>
      <c r="G1282" s="232" t="inlineStr">
        <is>
          <t>orogrande 8,11 ha</t>
        </is>
      </c>
      <c r="H1282" s="232" t="inlineStr">
        <is>
          <t>Clementinas</t>
        </is>
      </c>
      <c r="I1282" s="232" t="inlineStr">
        <is>
          <t>Orogrande</t>
        </is>
      </c>
      <c r="J1282" s="232" t="inlineStr">
        <is>
          <t>MATERIALES COSECHA</t>
        </is>
      </c>
      <c r="K1282" s="232" t="inlineStr">
        <is>
          <t>INSUMOS PACKING</t>
        </is>
      </c>
      <c r="L1282" s="232" t="inlineStr">
        <is>
          <t>[PRORRATEO 5.5% 8.11há/148.3há] O/001281 ATOMIZADOR</t>
        </is>
      </c>
      <c r="M1282" s="232" t="inlineStr"/>
      <c r="N1282" s="232" t="inlineStr">
        <is>
          <t>.   .   -</t>
        </is>
      </c>
      <c r="O1282" s="232" t="inlineStr">
        <is>
          <t>ENERO</t>
        </is>
      </c>
      <c r="P1282" s="232" t="n">
        <v>3</v>
      </c>
      <c r="Q1282" s="234" t="n">
        <v>288</v>
      </c>
      <c r="R1282" s="232" t="inlineStr"/>
      <c r="S1282" s="234" t="n">
        <v>288</v>
      </c>
      <c r="T1282" s="232" t="inlineStr">
        <is>
          <t>CLP</t>
        </is>
      </c>
      <c r="U1282" s="232" t="inlineStr">
        <is>
          <t>Prorrateo Ha PACKING</t>
        </is>
      </c>
      <c r="V1282" s="232" t="inlineStr">
        <is>
          <t>2026-06-18</t>
        </is>
      </c>
    </row>
    <row r="1283">
      <c r="A1283" s="232" t="inlineStr">
        <is>
          <t>CR-1280</t>
        </is>
      </c>
      <c r="B1283" s="232" t="inlineStr">
        <is>
          <t>2026/27</t>
        </is>
      </c>
      <c r="C1283" s="233" t="n">
        <v>46043</v>
      </c>
      <c r="D1283" s="232" t="inlineStr">
        <is>
          <t>213465</t>
        </is>
      </c>
      <c r="E1283" s="232" t="inlineStr">
        <is>
          <t>PRORRATEO</t>
        </is>
      </c>
      <c r="F1283" s="232" t="inlineStr">
        <is>
          <t>El Molle</t>
        </is>
      </c>
      <c r="G1283" s="232" t="inlineStr">
        <is>
          <t>oronules 5,35 ha</t>
        </is>
      </c>
      <c r="H1283" s="232" t="inlineStr">
        <is>
          <t>Clementinas</t>
        </is>
      </c>
      <c r="I1283" s="232" t="inlineStr">
        <is>
          <t>Oronules</t>
        </is>
      </c>
      <c r="J1283" s="232" t="inlineStr">
        <is>
          <t>MATERIALES COSECHA</t>
        </is>
      </c>
      <c r="K1283" s="232" t="inlineStr">
        <is>
          <t>INSUMOS PACKING</t>
        </is>
      </c>
      <c r="L1283" s="232" t="inlineStr">
        <is>
          <t>[PRORRATEO 3.6% 5.35há/148.3há] O/001281 ATOMIZADOR</t>
        </is>
      </c>
      <c r="M1283" s="232" t="inlineStr"/>
      <c r="N1283" s="232" t="inlineStr">
        <is>
          <t>.   .   -</t>
        </is>
      </c>
      <c r="O1283" s="232" t="inlineStr">
        <is>
          <t>ENERO</t>
        </is>
      </c>
      <c r="P1283" s="232" t="n">
        <v>3</v>
      </c>
      <c r="Q1283" s="234" t="n">
        <v>190</v>
      </c>
      <c r="R1283" s="232" t="inlineStr"/>
      <c r="S1283" s="234" t="n">
        <v>190</v>
      </c>
      <c r="T1283" s="232" t="inlineStr">
        <is>
          <t>CLP</t>
        </is>
      </c>
      <c r="U1283" s="232" t="inlineStr">
        <is>
          <t>Prorrateo Ha PACKING</t>
        </is>
      </c>
      <c r="V1283" s="232" t="inlineStr">
        <is>
          <t>2026-06-18</t>
        </is>
      </c>
    </row>
    <row r="1284">
      <c r="A1284" s="232" t="inlineStr">
        <is>
          <t>CR-1281</t>
        </is>
      </c>
      <c r="B1284" s="232" t="inlineStr">
        <is>
          <t>2026/27</t>
        </is>
      </c>
      <c r="C1284" s="233" t="n">
        <v>46043</v>
      </c>
      <c r="D1284" s="232" t="inlineStr">
        <is>
          <t>213465</t>
        </is>
      </c>
      <c r="E1284" s="232" t="inlineStr">
        <is>
          <t>PRORRATEO</t>
        </is>
      </c>
      <c r="F1284" s="232" t="inlineStr">
        <is>
          <t>Santa Catalina</t>
        </is>
      </c>
      <c r="G1284" s="232" t="inlineStr">
        <is>
          <t>Fino 49 7,7 ha</t>
        </is>
      </c>
      <c r="H1284" s="232" t="inlineStr">
        <is>
          <t>Limon</t>
        </is>
      </c>
      <c r="I1284" s="232" t="inlineStr">
        <is>
          <t>Fino 49</t>
        </is>
      </c>
      <c r="J1284" s="232" t="inlineStr">
        <is>
          <t>MATERIALES COSECHA</t>
        </is>
      </c>
      <c r="K1284" s="232" t="inlineStr">
        <is>
          <t>INSUMOS PACKING</t>
        </is>
      </c>
      <c r="L1284" s="232" t="inlineStr">
        <is>
          <t>[PRORRATEO 5.2% 7.7há/148.3há] O/001281 ATOMIZADOR</t>
        </is>
      </c>
      <c r="M1284" s="232" t="inlineStr"/>
      <c r="N1284" s="232" t="inlineStr">
        <is>
          <t>.   .   -</t>
        </is>
      </c>
      <c r="O1284" s="232" t="inlineStr">
        <is>
          <t>ENERO</t>
        </is>
      </c>
      <c r="P1284" s="232" t="n">
        <v>3</v>
      </c>
      <c r="Q1284" s="234" t="n">
        <v>273</v>
      </c>
      <c r="R1284" s="232" t="inlineStr"/>
      <c r="S1284" s="234" t="n">
        <v>273</v>
      </c>
      <c r="T1284" s="232" t="inlineStr">
        <is>
          <t>CLP</t>
        </is>
      </c>
      <c r="U1284" s="232" t="inlineStr">
        <is>
          <t>Prorrateo Ha PACKING</t>
        </is>
      </c>
      <c r="V1284" s="232" t="inlineStr">
        <is>
          <t>2026-06-18</t>
        </is>
      </c>
    </row>
    <row r="1285">
      <c r="A1285" s="232" t="inlineStr">
        <is>
          <t>CR-1282</t>
        </is>
      </c>
      <c r="B1285" s="232" t="inlineStr">
        <is>
          <t>2026/27</t>
        </is>
      </c>
      <c r="C1285" s="233" t="n">
        <v>46043</v>
      </c>
      <c r="D1285" s="232" t="inlineStr">
        <is>
          <t>213465</t>
        </is>
      </c>
      <c r="E1285" s="232" t="inlineStr">
        <is>
          <t>PRORRATEO</t>
        </is>
      </c>
      <c r="F1285" s="232" t="inlineStr">
        <is>
          <t>Santa Catalina</t>
        </is>
      </c>
      <c r="G1285" s="232" t="inlineStr">
        <is>
          <t>W. murcott 21 ha</t>
        </is>
      </c>
      <c r="H1285" s="232" t="inlineStr">
        <is>
          <t>Mandarina</t>
        </is>
      </c>
      <c r="I1285" s="232" t="inlineStr">
        <is>
          <t>W. murcott</t>
        </is>
      </c>
      <c r="J1285" s="232" t="inlineStr">
        <is>
          <t>MATERIALES COSECHA</t>
        </is>
      </c>
      <c r="K1285" s="232" t="inlineStr">
        <is>
          <t>INSUMOS PACKING</t>
        </is>
      </c>
      <c r="L1285" s="232" t="inlineStr">
        <is>
          <t>[PRORRATEO 14.2% 21.0há/148.3há] O/001281 ATOMIZADOR</t>
        </is>
      </c>
      <c r="M1285" s="232" t="inlineStr"/>
      <c r="N1285" s="232" t="inlineStr">
        <is>
          <t>.   .   -</t>
        </is>
      </c>
      <c r="O1285" s="232" t="inlineStr">
        <is>
          <t>ENERO</t>
        </is>
      </c>
      <c r="P1285" s="232" t="n">
        <v>3</v>
      </c>
      <c r="Q1285" s="234" t="n">
        <v>745</v>
      </c>
      <c r="R1285" s="232" t="inlineStr"/>
      <c r="S1285" s="234" t="n">
        <v>745</v>
      </c>
      <c r="T1285" s="232" t="inlineStr">
        <is>
          <t>CLP</t>
        </is>
      </c>
      <c r="U1285" s="232" t="inlineStr">
        <is>
          <t>Prorrateo Ha PACKING</t>
        </is>
      </c>
      <c r="V1285" s="232" t="inlineStr">
        <is>
          <t>2026-06-18</t>
        </is>
      </c>
    </row>
    <row r="1286">
      <c r="A1286" s="232" t="inlineStr">
        <is>
          <t>CR-1283</t>
        </is>
      </c>
      <c r="B1286" s="232" t="inlineStr">
        <is>
          <t>2026/27</t>
        </is>
      </c>
      <c r="C1286" s="233" t="n">
        <v>46043</v>
      </c>
      <c r="D1286" s="232" t="inlineStr">
        <is>
          <t>213465</t>
        </is>
      </c>
      <c r="E1286" s="232" t="inlineStr">
        <is>
          <t>PRORRATEO</t>
        </is>
      </c>
      <c r="F1286" s="232" t="inlineStr">
        <is>
          <t>Santa Catalina</t>
        </is>
      </c>
      <c r="G1286" s="232" t="inlineStr">
        <is>
          <t>cambria 4,2 ha</t>
        </is>
      </c>
      <c r="H1286" s="232" t="inlineStr">
        <is>
          <t>Naranjas</t>
        </is>
      </c>
      <c r="I1286" s="232" t="inlineStr">
        <is>
          <t>Cambria</t>
        </is>
      </c>
      <c r="J1286" s="232" t="inlineStr">
        <is>
          <t>MATERIALES COSECHA</t>
        </is>
      </c>
      <c r="K1286" s="232" t="inlineStr">
        <is>
          <t>INSUMOS PACKING</t>
        </is>
      </c>
      <c r="L1286" s="232" t="inlineStr">
        <is>
          <t>[PRORRATEO 2.8% 4.2há/148.3há] O/001281 ATOMIZADOR</t>
        </is>
      </c>
      <c r="M1286" s="232" t="inlineStr"/>
      <c r="N1286" s="232" t="inlineStr">
        <is>
          <t>.   .   -</t>
        </is>
      </c>
      <c r="O1286" s="232" t="inlineStr">
        <is>
          <t>ENERO</t>
        </is>
      </c>
      <c r="P1286" s="232" t="n">
        <v>3</v>
      </c>
      <c r="Q1286" s="234" t="n">
        <v>149</v>
      </c>
      <c r="R1286" s="232" t="inlineStr"/>
      <c r="S1286" s="234" t="n">
        <v>149</v>
      </c>
      <c r="T1286" s="232" t="inlineStr">
        <is>
          <t>CLP</t>
        </is>
      </c>
      <c r="U1286" s="232" t="inlineStr">
        <is>
          <t>Prorrateo Ha PACKING</t>
        </is>
      </c>
      <c r="V1286" s="232" t="inlineStr">
        <is>
          <t>2026-06-18</t>
        </is>
      </c>
    </row>
    <row r="1287">
      <c r="A1287" s="232" t="inlineStr">
        <is>
          <t>CR-1284</t>
        </is>
      </c>
      <c r="B1287" s="232" t="inlineStr">
        <is>
          <t>2026/27</t>
        </is>
      </c>
      <c r="C1287" s="233" t="n">
        <v>46043</v>
      </c>
      <c r="D1287" s="232" t="inlineStr">
        <is>
          <t>213465</t>
        </is>
      </c>
      <c r="E1287" s="232" t="inlineStr">
        <is>
          <t>PRORRATEO</t>
        </is>
      </c>
      <c r="F1287" s="232" t="inlineStr">
        <is>
          <t>Santa Catalina</t>
        </is>
      </c>
      <c r="G1287" s="232" t="inlineStr">
        <is>
          <t>eureka 10,6 ha</t>
        </is>
      </c>
      <c r="H1287" s="232" t="inlineStr">
        <is>
          <t>Limon</t>
        </is>
      </c>
      <c r="I1287" s="232" t="inlineStr">
        <is>
          <t>Eureka</t>
        </is>
      </c>
      <c r="J1287" s="232" t="inlineStr">
        <is>
          <t>MATERIALES COSECHA</t>
        </is>
      </c>
      <c r="K1287" s="232" t="inlineStr">
        <is>
          <t>INSUMOS PACKING</t>
        </is>
      </c>
      <c r="L1287" s="232" t="inlineStr">
        <is>
          <t>[PRORRATEO 7.1% 10.6há/148.3há] O/001281 ATOMIZADOR</t>
        </is>
      </c>
      <c r="M1287" s="232" t="inlineStr"/>
      <c r="N1287" s="232" t="inlineStr">
        <is>
          <t>.   .   -</t>
        </is>
      </c>
      <c r="O1287" s="232" t="inlineStr">
        <is>
          <t>ENERO</t>
        </is>
      </c>
      <c r="P1287" s="232" t="n">
        <v>3</v>
      </c>
      <c r="Q1287" s="234" t="n">
        <v>376</v>
      </c>
      <c r="R1287" s="232" t="inlineStr"/>
      <c r="S1287" s="234" t="n">
        <v>376</v>
      </c>
      <c r="T1287" s="232" t="inlineStr">
        <is>
          <t>CLP</t>
        </is>
      </c>
      <c r="U1287" s="232" t="inlineStr">
        <is>
          <t>Prorrateo Ha PACKING</t>
        </is>
      </c>
      <c r="V1287" s="232" t="inlineStr">
        <is>
          <t>2026-06-18</t>
        </is>
      </c>
    </row>
    <row r="1288">
      <c r="A1288" s="232" t="inlineStr">
        <is>
          <t>CR-1285</t>
        </is>
      </c>
      <c r="B1288" s="232" t="inlineStr">
        <is>
          <t>2026/27</t>
        </is>
      </c>
      <c r="C1288" s="233" t="n">
        <v>46043</v>
      </c>
      <c r="D1288" s="232" t="inlineStr">
        <is>
          <t>213465</t>
        </is>
      </c>
      <c r="E1288" s="232" t="inlineStr">
        <is>
          <t>PRORRATEO</t>
        </is>
      </c>
      <c r="F1288" s="232" t="inlineStr">
        <is>
          <t>Santa Catalina</t>
        </is>
      </c>
      <c r="G1288" s="232" t="inlineStr">
        <is>
          <t>eureka 14,4 ha</t>
        </is>
      </c>
      <c r="H1288" s="232" t="inlineStr">
        <is>
          <t>Limon</t>
        </is>
      </c>
      <c r="I1288" s="232" t="inlineStr">
        <is>
          <t>Eureka</t>
        </is>
      </c>
      <c r="J1288" s="232" t="inlineStr">
        <is>
          <t>MATERIALES COSECHA</t>
        </is>
      </c>
      <c r="K1288" s="232" t="inlineStr">
        <is>
          <t>INSUMOS PACKING</t>
        </is>
      </c>
      <c r="L1288" s="232" t="inlineStr">
        <is>
          <t>[PRORRATEO 9.7% 14.4há/148.3há] O/001281 ATOMIZADOR</t>
        </is>
      </c>
      <c r="M1288" s="232" t="inlineStr"/>
      <c r="N1288" s="232" t="inlineStr">
        <is>
          <t>.   .   -</t>
        </is>
      </c>
      <c r="O1288" s="232" t="inlineStr">
        <is>
          <t>ENERO</t>
        </is>
      </c>
      <c r="P1288" s="232" t="n">
        <v>3</v>
      </c>
      <c r="Q1288" s="234" t="n">
        <v>511</v>
      </c>
      <c r="R1288" s="232" t="inlineStr"/>
      <c r="S1288" s="234" t="n">
        <v>511</v>
      </c>
      <c r="T1288" s="232" t="inlineStr">
        <is>
          <t>CLP</t>
        </is>
      </c>
      <c r="U1288" s="232" t="inlineStr">
        <is>
          <t>Prorrateo Ha PACKING</t>
        </is>
      </c>
      <c r="V1288" s="232" t="inlineStr">
        <is>
          <t>2026-06-18</t>
        </is>
      </c>
    </row>
    <row r="1289">
      <c r="A1289" s="232" t="inlineStr">
        <is>
          <t>CR-1286</t>
        </is>
      </c>
      <c r="B1289" s="232" t="inlineStr">
        <is>
          <t>2026/27</t>
        </is>
      </c>
      <c r="C1289" s="233" t="n">
        <v>46043</v>
      </c>
      <c r="D1289" s="232" t="inlineStr">
        <is>
          <t>213465</t>
        </is>
      </c>
      <c r="E1289" s="232" t="inlineStr">
        <is>
          <t>PRORRATEO</t>
        </is>
      </c>
      <c r="F1289" s="232" t="inlineStr">
        <is>
          <t>Santa Catalina</t>
        </is>
      </c>
      <c r="G1289" s="232" t="inlineStr">
        <is>
          <t>eureka 22,55</t>
        </is>
      </c>
      <c r="H1289" s="232" t="inlineStr">
        <is>
          <t>Limon</t>
        </is>
      </c>
      <c r="I1289" s="232" t="inlineStr">
        <is>
          <t>Eureka</t>
        </is>
      </c>
      <c r="J1289" s="232" t="inlineStr">
        <is>
          <t>MATERIALES COSECHA</t>
        </is>
      </c>
      <c r="K1289" s="232" t="inlineStr">
        <is>
          <t>INSUMOS PACKING</t>
        </is>
      </c>
      <c r="L1289" s="232" t="inlineStr">
        <is>
          <t>[PRORRATEO 15.2% 22.55há/148.3há] O/001281 ATOMIZADOR</t>
        </is>
      </c>
      <c r="M1289" s="232" t="inlineStr"/>
      <c r="N1289" s="232" t="inlineStr">
        <is>
          <t>.   .   -</t>
        </is>
      </c>
      <c r="O1289" s="232" t="inlineStr">
        <is>
          <t>ENERO</t>
        </is>
      </c>
      <c r="P1289" s="232" t="n">
        <v>3</v>
      </c>
      <c r="Q1289" s="234" t="n">
        <v>800</v>
      </c>
      <c r="R1289" s="232" t="inlineStr"/>
      <c r="S1289" s="234" t="n">
        <v>800</v>
      </c>
      <c r="T1289" s="232" t="inlineStr">
        <is>
          <t>CLP</t>
        </is>
      </c>
      <c r="U1289" s="232" t="inlineStr">
        <is>
          <t>Prorrateo Ha PACKING</t>
        </is>
      </c>
      <c r="V1289" s="232" t="inlineStr">
        <is>
          <t>2026-06-18</t>
        </is>
      </c>
    </row>
    <row r="1290">
      <c r="A1290" s="232" t="inlineStr">
        <is>
          <t>CR-1287</t>
        </is>
      </c>
      <c r="B1290" s="232" t="inlineStr">
        <is>
          <t>2026/27</t>
        </is>
      </c>
      <c r="C1290" s="233" t="n">
        <v>46043</v>
      </c>
      <c r="D1290" s="232" t="inlineStr">
        <is>
          <t>213465</t>
        </is>
      </c>
      <c r="E1290" s="232" t="inlineStr">
        <is>
          <t>PRORRATEO</t>
        </is>
      </c>
      <c r="F1290" s="232" t="inlineStr">
        <is>
          <t>Santa Catalina</t>
        </is>
      </c>
      <c r="G1290" s="232" t="inlineStr">
        <is>
          <t>form benjamin 1,93 ha</t>
        </is>
      </c>
      <c r="H1290" s="232" t="inlineStr">
        <is>
          <t>Limon</t>
        </is>
      </c>
      <c r="I1290" s="232" t="inlineStr">
        <is>
          <t>Benjamin andes</t>
        </is>
      </c>
      <c r="J1290" s="232" t="inlineStr">
        <is>
          <t>MATERIALES COSECHA</t>
        </is>
      </c>
      <c r="K1290" s="232" t="inlineStr">
        <is>
          <t>INSUMOS PACKING</t>
        </is>
      </c>
      <c r="L1290" s="232" t="inlineStr">
        <is>
          <t>[PRORRATEO 1.3% 1.93há/148.3há] O/001281 ATOMIZADOR</t>
        </is>
      </c>
      <c r="M1290" s="232" t="inlineStr"/>
      <c r="N1290" s="232" t="inlineStr">
        <is>
          <t>.   .   -</t>
        </is>
      </c>
      <c r="O1290" s="232" t="inlineStr">
        <is>
          <t>ENERO</t>
        </is>
      </c>
      <c r="P1290" s="232" t="n">
        <v>3</v>
      </c>
      <c r="Q1290" s="234" t="n">
        <v>68</v>
      </c>
      <c r="R1290" s="232" t="inlineStr"/>
      <c r="S1290" s="234" t="n">
        <v>68</v>
      </c>
      <c r="T1290" s="232" t="inlineStr">
        <is>
          <t>CLP</t>
        </is>
      </c>
      <c r="U1290" s="232" t="inlineStr">
        <is>
          <t>Prorrateo Ha PACKING</t>
        </is>
      </c>
      <c r="V1290" s="232" t="inlineStr">
        <is>
          <t>2026-06-18</t>
        </is>
      </c>
    </row>
    <row r="1291">
      <c r="A1291" s="232" t="inlineStr">
        <is>
          <t>CR-1288</t>
        </is>
      </c>
      <c r="B1291" s="232" t="inlineStr">
        <is>
          <t>2026/27</t>
        </is>
      </c>
      <c r="C1291" s="233" t="n">
        <v>46043</v>
      </c>
      <c r="D1291" s="232" t="inlineStr">
        <is>
          <t>213465</t>
        </is>
      </c>
      <c r="E1291" s="232" t="inlineStr">
        <is>
          <t>PRORRATEO</t>
        </is>
      </c>
      <c r="F1291" s="232" t="inlineStr">
        <is>
          <t>Santa Catalina</t>
        </is>
      </c>
      <c r="G1291" s="232" t="inlineStr">
        <is>
          <t>mant eureka 2,5 ha</t>
        </is>
      </c>
      <c r="H1291" s="232" t="inlineStr">
        <is>
          <t>Limon</t>
        </is>
      </c>
      <c r="I1291" s="232" t="inlineStr">
        <is>
          <t>Eureka</t>
        </is>
      </c>
      <c r="J1291" s="232" t="inlineStr">
        <is>
          <t>MATERIALES COSECHA</t>
        </is>
      </c>
      <c r="K1291" s="232" t="inlineStr">
        <is>
          <t>INSUMOS PACKING</t>
        </is>
      </c>
      <c r="L1291" s="232" t="inlineStr">
        <is>
          <t>[PRORRATEO 1.7% 2.5há/148.3há] O/001281 ATOMIZADOR</t>
        </is>
      </c>
      <c r="M1291" s="232" t="inlineStr"/>
      <c r="N1291" s="232" t="inlineStr">
        <is>
          <t>.   .   -</t>
        </is>
      </c>
      <c r="O1291" s="232" t="inlineStr">
        <is>
          <t>ENERO</t>
        </is>
      </c>
      <c r="P1291" s="232" t="n">
        <v>3</v>
      </c>
      <c r="Q1291" s="234" t="n">
        <v>89</v>
      </c>
      <c r="R1291" s="232" t="inlineStr"/>
      <c r="S1291" s="234" t="n">
        <v>89</v>
      </c>
      <c r="T1291" s="232" t="inlineStr">
        <is>
          <t>CLP</t>
        </is>
      </c>
      <c r="U1291" s="232" t="inlineStr">
        <is>
          <t>Prorrateo Ha PACKING</t>
        </is>
      </c>
      <c r="V1291" s="232" t="inlineStr">
        <is>
          <t>2026-06-18</t>
        </is>
      </c>
    </row>
    <row r="1292">
      <c r="A1292" s="232" t="inlineStr">
        <is>
          <t>CR-1289</t>
        </is>
      </c>
      <c r="B1292" s="232" t="inlineStr">
        <is>
          <t>2026/27</t>
        </is>
      </c>
      <c r="C1292" s="233" t="n">
        <v>46043</v>
      </c>
      <c r="D1292" s="232" t="inlineStr">
        <is>
          <t>213465</t>
        </is>
      </c>
      <c r="E1292" s="232" t="inlineStr">
        <is>
          <t>PRORRATEO</t>
        </is>
      </c>
      <c r="F1292" s="232" t="inlineStr">
        <is>
          <t>Siberia</t>
        </is>
      </c>
      <c r="G1292" s="232" t="inlineStr">
        <is>
          <t>S. Celebration 7,14</t>
        </is>
      </c>
      <c r="H1292" s="232" t="inlineStr">
        <is>
          <t>Uvas</t>
        </is>
      </c>
      <c r="I1292" s="232" t="inlineStr">
        <is>
          <t>S. celebration</t>
        </is>
      </c>
      <c r="J1292" s="232" t="inlineStr">
        <is>
          <t>MATERIALES COSECHA</t>
        </is>
      </c>
      <c r="K1292" s="232" t="inlineStr">
        <is>
          <t>INSUMOS PACKING</t>
        </is>
      </c>
      <c r="L1292" s="232" t="inlineStr">
        <is>
          <t>[PRORRATEO 4.8% 7.14há/148.3há] O/001281 ATOMIZADOR</t>
        </is>
      </c>
      <c r="M1292" s="232" t="inlineStr"/>
      <c r="N1292" s="232" t="inlineStr">
        <is>
          <t>.   .   -</t>
        </is>
      </c>
      <c r="O1292" s="232" t="inlineStr">
        <is>
          <t>ENERO</t>
        </is>
      </c>
      <c r="P1292" s="232" t="n">
        <v>3</v>
      </c>
      <c r="Q1292" s="234" t="n">
        <v>253</v>
      </c>
      <c r="R1292" s="232" t="inlineStr"/>
      <c r="S1292" s="234" t="n">
        <v>253</v>
      </c>
      <c r="T1292" s="232" t="inlineStr">
        <is>
          <t>CLP</t>
        </is>
      </c>
      <c r="U1292" s="232" t="inlineStr">
        <is>
          <t>Prorrateo Ha PACKING</t>
        </is>
      </c>
      <c r="V1292" s="232" t="inlineStr">
        <is>
          <t>2026-06-18</t>
        </is>
      </c>
    </row>
    <row r="1293">
      <c r="A1293" s="232" t="inlineStr">
        <is>
          <t>CR-1290</t>
        </is>
      </c>
      <c r="B1293" s="232" t="inlineStr">
        <is>
          <t>2026/27</t>
        </is>
      </c>
      <c r="C1293" s="233" t="n">
        <v>46043</v>
      </c>
      <c r="D1293" s="232" t="inlineStr">
        <is>
          <t>213465</t>
        </is>
      </c>
      <c r="E1293" s="232" t="inlineStr">
        <is>
          <t>PRORRATEO</t>
        </is>
      </c>
      <c r="F1293" s="232" t="inlineStr">
        <is>
          <t>Siberia</t>
        </is>
      </c>
      <c r="G1293" s="232" t="inlineStr">
        <is>
          <t>Timpson 7,1</t>
        </is>
      </c>
      <c r="H1293" s="232" t="inlineStr">
        <is>
          <t>Uvas</t>
        </is>
      </c>
      <c r="I1293" s="232" t="inlineStr">
        <is>
          <t>Timpson</t>
        </is>
      </c>
      <c r="J1293" s="232" t="inlineStr">
        <is>
          <t>MATERIALES COSECHA</t>
        </is>
      </c>
      <c r="K1293" s="232" t="inlineStr">
        <is>
          <t>INSUMOS PACKING</t>
        </is>
      </c>
      <c r="L1293" s="232" t="inlineStr">
        <is>
          <t>[PRORRATEO 4.8% 7.1há/148.3há] O/001281 ATOMIZADOR</t>
        </is>
      </c>
      <c r="M1293" s="232" t="inlineStr"/>
      <c r="N1293" s="232" t="inlineStr">
        <is>
          <t>.   .   -</t>
        </is>
      </c>
      <c r="O1293" s="232" t="inlineStr">
        <is>
          <t>ENERO</t>
        </is>
      </c>
      <c r="P1293" s="232" t="n">
        <v>3</v>
      </c>
      <c r="Q1293" s="234" t="n">
        <v>252</v>
      </c>
      <c r="R1293" s="232" t="inlineStr"/>
      <c r="S1293" s="234" t="n">
        <v>252</v>
      </c>
      <c r="T1293" s="232" t="inlineStr">
        <is>
          <t>CLP</t>
        </is>
      </c>
      <c r="U1293" s="232" t="inlineStr">
        <is>
          <t>Prorrateo Ha PACKING</t>
        </is>
      </c>
      <c r="V1293" s="232" t="inlineStr">
        <is>
          <t>2026-06-18</t>
        </is>
      </c>
    </row>
    <row r="1294">
      <c r="A1294" s="232" t="inlineStr">
        <is>
          <t>CR-1291</t>
        </is>
      </c>
      <c r="B1294" s="232" t="inlineStr">
        <is>
          <t>2026/27</t>
        </is>
      </c>
      <c r="C1294" s="233" t="n">
        <v>46043</v>
      </c>
      <c r="D1294" s="232" t="inlineStr">
        <is>
          <t>213465</t>
        </is>
      </c>
      <c r="E1294" s="232" t="inlineStr">
        <is>
          <t>PRORRATEO</t>
        </is>
      </c>
      <c r="F1294" s="232" t="inlineStr">
        <is>
          <t>Asmara</t>
        </is>
      </c>
      <c r="G1294" s="232" t="inlineStr">
        <is>
          <t>w. murcott 19,8 ha</t>
        </is>
      </c>
      <c r="H1294" s="232" t="inlineStr">
        <is>
          <t>Mandarina</t>
        </is>
      </c>
      <c r="I1294" s="232" t="inlineStr">
        <is>
          <t>W. murcott</t>
        </is>
      </c>
      <c r="J1294" s="232" t="inlineStr">
        <is>
          <t>MATERIALES COSECHA</t>
        </is>
      </c>
      <c r="K1294" s="232" t="inlineStr">
        <is>
          <t>INSUMOS PACKING</t>
        </is>
      </c>
      <c r="L1294" s="232" t="inlineStr">
        <is>
          <t>[PRORRATEO 13.4% 19.8há/148.3há] O/001281 BOLSA ASEO</t>
        </is>
      </c>
      <c r="M1294" s="232" t="inlineStr"/>
      <c r="N1294" s="232" t="inlineStr">
        <is>
          <t>.   .   -</t>
        </is>
      </c>
      <c r="O1294" s="232" t="inlineStr">
        <is>
          <t>ENERO</t>
        </is>
      </c>
      <c r="P1294" s="232" t="n">
        <v>3</v>
      </c>
      <c r="Q1294" s="234" t="n">
        <v>457</v>
      </c>
      <c r="R1294" s="232" t="inlineStr"/>
      <c r="S1294" s="234" t="n">
        <v>457</v>
      </c>
      <c r="T1294" s="232" t="inlineStr">
        <is>
          <t>CLP</t>
        </is>
      </c>
      <c r="U1294" s="232" t="inlineStr">
        <is>
          <t>Prorrateo Ha PACKING</t>
        </is>
      </c>
      <c r="V1294" s="232" t="inlineStr">
        <is>
          <t>2026-06-18</t>
        </is>
      </c>
    </row>
    <row r="1295">
      <c r="A1295" s="232" t="inlineStr">
        <is>
          <t>CR-1292</t>
        </is>
      </c>
      <c r="B1295" s="232" t="inlineStr">
        <is>
          <t>2026/27</t>
        </is>
      </c>
      <c r="C1295" s="233" t="n">
        <v>46043</v>
      </c>
      <c r="D1295" s="232" t="inlineStr">
        <is>
          <t>213465</t>
        </is>
      </c>
      <c r="E1295" s="232" t="inlineStr">
        <is>
          <t>PRORRATEO</t>
        </is>
      </c>
      <c r="F1295" s="232" t="inlineStr">
        <is>
          <t>Asmara</t>
        </is>
      </c>
      <c r="G1295" s="232" t="inlineStr">
        <is>
          <t>w. murcott 4,9 ha</t>
        </is>
      </c>
      <c r="H1295" s="232" t="inlineStr">
        <is>
          <t>Mandarina</t>
        </is>
      </c>
      <c r="I1295" s="232" t="inlineStr">
        <is>
          <t>W. murcott</t>
        </is>
      </c>
      <c r="J1295" s="232" t="inlineStr">
        <is>
          <t>MATERIALES COSECHA</t>
        </is>
      </c>
      <c r="K1295" s="232" t="inlineStr">
        <is>
          <t>INSUMOS PACKING</t>
        </is>
      </c>
      <c r="L1295" s="232" t="inlineStr">
        <is>
          <t>[PRORRATEO 3.3% 4.9há/148.3há] O/001281 BOLSA ASEO</t>
        </is>
      </c>
      <c r="M1295" s="232" t="inlineStr"/>
      <c r="N1295" s="232" t="inlineStr">
        <is>
          <t>.   .   -</t>
        </is>
      </c>
      <c r="O1295" s="232" t="inlineStr">
        <is>
          <t>ENERO</t>
        </is>
      </c>
      <c r="P1295" s="232" t="n">
        <v>3</v>
      </c>
      <c r="Q1295" s="234" t="n">
        <v>113</v>
      </c>
      <c r="R1295" s="232" t="inlineStr"/>
      <c r="S1295" s="234" t="n">
        <v>113</v>
      </c>
      <c r="T1295" s="232" t="inlineStr">
        <is>
          <t>CLP</t>
        </is>
      </c>
      <c r="U1295" s="232" t="inlineStr">
        <is>
          <t>Prorrateo Ha PACKING</t>
        </is>
      </c>
      <c r="V1295" s="232" t="inlineStr">
        <is>
          <t>2026-06-18</t>
        </is>
      </c>
    </row>
    <row r="1296">
      <c r="A1296" s="232" t="inlineStr">
        <is>
          <t>CR-1293</t>
        </is>
      </c>
      <c r="B1296" s="232" t="inlineStr">
        <is>
          <t>2026/27</t>
        </is>
      </c>
      <c r="C1296" s="233" t="n">
        <v>46043</v>
      </c>
      <c r="D1296" s="232" t="inlineStr">
        <is>
          <t>213465</t>
        </is>
      </c>
      <c r="E1296" s="232" t="inlineStr">
        <is>
          <t>PRORRATEO</t>
        </is>
      </c>
      <c r="F1296" s="232" t="inlineStr">
        <is>
          <t>El Molle</t>
        </is>
      </c>
      <c r="G1296" s="232" t="inlineStr">
        <is>
          <t>Wonderful 5,25 ha</t>
        </is>
      </c>
      <c r="H1296" s="232" t="inlineStr">
        <is>
          <t>Granados</t>
        </is>
      </c>
      <c r="I1296" s="232" t="inlineStr">
        <is>
          <t>Wonderfull</t>
        </is>
      </c>
      <c r="J1296" s="232" t="inlineStr">
        <is>
          <t>MATERIALES COSECHA</t>
        </is>
      </c>
      <c r="K1296" s="232" t="inlineStr">
        <is>
          <t>INSUMOS PACKING</t>
        </is>
      </c>
      <c r="L1296" s="232" t="inlineStr">
        <is>
          <t>[PRORRATEO 3.5% 5.24há/148.3há] O/001281 BOLSA ASEO</t>
        </is>
      </c>
      <c r="M1296" s="232" t="inlineStr"/>
      <c r="N1296" s="232" t="inlineStr">
        <is>
          <t>.   .   -</t>
        </is>
      </c>
      <c r="O1296" s="232" t="inlineStr">
        <is>
          <t>ENERO</t>
        </is>
      </c>
      <c r="P1296" s="232" t="n">
        <v>3</v>
      </c>
      <c r="Q1296" s="234" t="n">
        <v>121</v>
      </c>
      <c r="R1296" s="232" t="inlineStr"/>
      <c r="S1296" s="234" t="n">
        <v>121</v>
      </c>
      <c r="T1296" s="232" t="inlineStr">
        <is>
          <t>CLP</t>
        </is>
      </c>
      <c r="U1296" s="232" t="inlineStr">
        <is>
          <t>Prorrateo Ha PACKING</t>
        </is>
      </c>
      <c r="V1296" s="232" t="inlineStr">
        <is>
          <t>2026-06-18</t>
        </is>
      </c>
    </row>
    <row r="1297">
      <c r="A1297" s="232" t="inlineStr">
        <is>
          <t>CR-1294</t>
        </is>
      </c>
      <c r="B1297" s="232" t="inlineStr">
        <is>
          <t>2026/27</t>
        </is>
      </c>
      <c r="C1297" s="233" t="n">
        <v>46043</v>
      </c>
      <c r="D1297" s="232" t="inlineStr">
        <is>
          <t>213465</t>
        </is>
      </c>
      <c r="E1297" s="232" t="inlineStr">
        <is>
          <t>PRORRATEO</t>
        </is>
      </c>
      <c r="F1297" s="232" t="inlineStr">
        <is>
          <t>El Molle</t>
        </is>
      </c>
      <c r="G1297" s="232" t="inlineStr">
        <is>
          <t>arrufatinas 5,74 ha</t>
        </is>
      </c>
      <c r="H1297" s="232" t="inlineStr">
        <is>
          <t>Clementinas</t>
        </is>
      </c>
      <c r="I1297" s="232" t="inlineStr">
        <is>
          <t>Arrufatinas</t>
        </is>
      </c>
      <c r="J1297" s="232" t="inlineStr">
        <is>
          <t>MATERIALES COSECHA</t>
        </is>
      </c>
      <c r="K1297" s="232" t="inlineStr">
        <is>
          <t>INSUMOS PACKING</t>
        </is>
      </c>
      <c r="L1297" s="232" t="inlineStr">
        <is>
          <t>[PRORRATEO 3.9% 5.74há/148.3há] O/001281 BOLSA ASEO</t>
        </is>
      </c>
      <c r="M1297" s="232" t="inlineStr"/>
      <c r="N1297" s="232" t="inlineStr">
        <is>
          <t>.   .   -</t>
        </is>
      </c>
      <c r="O1297" s="232" t="inlineStr">
        <is>
          <t>ENERO</t>
        </is>
      </c>
      <c r="P1297" s="232" t="n">
        <v>3</v>
      </c>
      <c r="Q1297" s="234" t="n">
        <v>132</v>
      </c>
      <c r="R1297" s="232" t="inlineStr"/>
      <c r="S1297" s="234" t="n">
        <v>132</v>
      </c>
      <c r="T1297" s="232" t="inlineStr">
        <is>
          <t>CLP</t>
        </is>
      </c>
      <c r="U1297" s="232" t="inlineStr">
        <is>
          <t>Prorrateo Ha PACKING</t>
        </is>
      </c>
      <c r="V1297" s="232" t="inlineStr">
        <is>
          <t>2026-06-18</t>
        </is>
      </c>
    </row>
    <row r="1298">
      <c r="A1298" s="232" t="inlineStr">
        <is>
          <t>CR-1295</t>
        </is>
      </c>
      <c r="B1298" s="232" t="inlineStr">
        <is>
          <t>2026/27</t>
        </is>
      </c>
      <c r="C1298" s="233" t="n">
        <v>46043</v>
      </c>
      <c r="D1298" s="232" t="inlineStr">
        <is>
          <t>213465</t>
        </is>
      </c>
      <c r="E1298" s="232" t="inlineStr">
        <is>
          <t>PRORRATEO</t>
        </is>
      </c>
      <c r="F1298" s="232" t="inlineStr">
        <is>
          <t>El Molle</t>
        </is>
      </c>
      <c r="G1298" s="232" t="inlineStr">
        <is>
          <t>orogrande 8,11 ha</t>
        </is>
      </c>
      <c r="H1298" s="232" t="inlineStr">
        <is>
          <t>Clementinas</t>
        </is>
      </c>
      <c r="I1298" s="232" t="inlineStr">
        <is>
          <t>Orogrande</t>
        </is>
      </c>
      <c r="J1298" s="232" t="inlineStr">
        <is>
          <t>MATERIALES COSECHA</t>
        </is>
      </c>
      <c r="K1298" s="232" t="inlineStr">
        <is>
          <t>INSUMOS PACKING</t>
        </is>
      </c>
      <c r="L1298" s="232" t="inlineStr">
        <is>
          <t>[PRORRATEO 5.5% 8.11há/148.3há] O/001281 BOLSA ASEO</t>
        </is>
      </c>
      <c r="M1298" s="232" t="inlineStr"/>
      <c r="N1298" s="232" t="inlineStr">
        <is>
          <t>.   .   -</t>
        </is>
      </c>
      <c r="O1298" s="232" t="inlineStr">
        <is>
          <t>ENERO</t>
        </is>
      </c>
      <c r="P1298" s="232" t="n">
        <v>3</v>
      </c>
      <c r="Q1298" s="234" t="n">
        <v>187</v>
      </c>
      <c r="R1298" s="232" t="inlineStr"/>
      <c r="S1298" s="234" t="n">
        <v>187</v>
      </c>
      <c r="T1298" s="232" t="inlineStr">
        <is>
          <t>CLP</t>
        </is>
      </c>
      <c r="U1298" s="232" t="inlineStr">
        <is>
          <t>Prorrateo Ha PACKING</t>
        </is>
      </c>
      <c r="V1298" s="232" t="inlineStr">
        <is>
          <t>2026-06-18</t>
        </is>
      </c>
    </row>
    <row r="1299">
      <c r="A1299" s="232" t="inlineStr">
        <is>
          <t>CR-1296</t>
        </is>
      </c>
      <c r="B1299" s="232" t="inlineStr">
        <is>
          <t>2026/27</t>
        </is>
      </c>
      <c r="C1299" s="233" t="n">
        <v>46043</v>
      </c>
      <c r="D1299" s="232" t="inlineStr">
        <is>
          <t>213465</t>
        </is>
      </c>
      <c r="E1299" s="232" t="inlineStr">
        <is>
          <t>PRORRATEO</t>
        </is>
      </c>
      <c r="F1299" s="232" t="inlineStr">
        <is>
          <t>El Molle</t>
        </is>
      </c>
      <c r="G1299" s="232" t="inlineStr">
        <is>
          <t>oronules 5,35 ha</t>
        </is>
      </c>
      <c r="H1299" s="232" t="inlineStr">
        <is>
          <t>Clementinas</t>
        </is>
      </c>
      <c r="I1299" s="232" t="inlineStr">
        <is>
          <t>Oronules</t>
        </is>
      </c>
      <c r="J1299" s="232" t="inlineStr">
        <is>
          <t>MATERIALES COSECHA</t>
        </is>
      </c>
      <c r="K1299" s="232" t="inlineStr">
        <is>
          <t>INSUMOS PACKING</t>
        </is>
      </c>
      <c r="L1299" s="232" t="inlineStr">
        <is>
          <t>[PRORRATEO 3.6% 5.35há/148.3há] O/001281 BOLSA ASEO</t>
        </is>
      </c>
      <c r="M1299" s="232" t="inlineStr"/>
      <c r="N1299" s="232" t="inlineStr">
        <is>
          <t>.   .   -</t>
        </is>
      </c>
      <c r="O1299" s="232" t="inlineStr">
        <is>
          <t>ENERO</t>
        </is>
      </c>
      <c r="P1299" s="232" t="n">
        <v>3</v>
      </c>
      <c r="Q1299" s="234" t="n">
        <v>123</v>
      </c>
      <c r="R1299" s="232" t="inlineStr"/>
      <c r="S1299" s="234" t="n">
        <v>123</v>
      </c>
      <c r="T1299" s="232" t="inlineStr">
        <is>
          <t>CLP</t>
        </is>
      </c>
      <c r="U1299" s="232" t="inlineStr">
        <is>
          <t>Prorrateo Ha PACKING</t>
        </is>
      </c>
      <c r="V1299" s="232" t="inlineStr">
        <is>
          <t>2026-06-18</t>
        </is>
      </c>
    </row>
    <row r="1300">
      <c r="A1300" s="232" t="inlineStr">
        <is>
          <t>CR-1297</t>
        </is>
      </c>
      <c r="B1300" s="232" t="inlineStr">
        <is>
          <t>2026/27</t>
        </is>
      </c>
      <c r="C1300" s="233" t="n">
        <v>46043</v>
      </c>
      <c r="D1300" s="232" t="inlineStr">
        <is>
          <t>213465</t>
        </is>
      </c>
      <c r="E1300" s="232" t="inlineStr">
        <is>
          <t>PRORRATEO</t>
        </is>
      </c>
      <c r="F1300" s="232" t="inlineStr">
        <is>
          <t>Santa Catalina</t>
        </is>
      </c>
      <c r="G1300" s="232" t="inlineStr">
        <is>
          <t>Fino 49 7,7 ha</t>
        </is>
      </c>
      <c r="H1300" s="232" t="inlineStr">
        <is>
          <t>Limon</t>
        </is>
      </c>
      <c r="I1300" s="232" t="inlineStr">
        <is>
          <t>Fino 49</t>
        </is>
      </c>
      <c r="J1300" s="232" t="inlineStr">
        <is>
          <t>MATERIALES COSECHA</t>
        </is>
      </c>
      <c r="K1300" s="232" t="inlineStr">
        <is>
          <t>INSUMOS PACKING</t>
        </is>
      </c>
      <c r="L1300" s="232" t="inlineStr">
        <is>
          <t>[PRORRATEO 5.2% 7.7há/148.3há] O/001281 BOLSA ASEO</t>
        </is>
      </c>
      <c r="M1300" s="232" t="inlineStr"/>
      <c r="N1300" s="232" t="inlineStr">
        <is>
          <t>.   .   -</t>
        </is>
      </c>
      <c r="O1300" s="232" t="inlineStr">
        <is>
          <t>ENERO</t>
        </is>
      </c>
      <c r="P1300" s="232" t="n">
        <v>3</v>
      </c>
      <c r="Q1300" s="234" t="n">
        <v>178</v>
      </c>
      <c r="R1300" s="232" t="inlineStr"/>
      <c r="S1300" s="234" t="n">
        <v>178</v>
      </c>
      <c r="T1300" s="232" t="inlineStr">
        <is>
          <t>CLP</t>
        </is>
      </c>
      <c r="U1300" s="232" t="inlineStr">
        <is>
          <t>Prorrateo Ha PACKING</t>
        </is>
      </c>
      <c r="V1300" s="232" t="inlineStr">
        <is>
          <t>2026-06-18</t>
        </is>
      </c>
    </row>
    <row r="1301">
      <c r="A1301" s="232" t="inlineStr">
        <is>
          <t>CR-1298</t>
        </is>
      </c>
      <c r="B1301" s="232" t="inlineStr">
        <is>
          <t>2026/27</t>
        </is>
      </c>
      <c r="C1301" s="233" t="n">
        <v>46043</v>
      </c>
      <c r="D1301" s="232" t="inlineStr">
        <is>
          <t>213465</t>
        </is>
      </c>
      <c r="E1301" s="232" t="inlineStr">
        <is>
          <t>PRORRATEO</t>
        </is>
      </c>
      <c r="F1301" s="232" t="inlineStr">
        <is>
          <t>Santa Catalina</t>
        </is>
      </c>
      <c r="G1301" s="232" t="inlineStr">
        <is>
          <t>W. murcott 21 ha</t>
        </is>
      </c>
      <c r="H1301" s="232" t="inlineStr">
        <is>
          <t>Mandarina</t>
        </is>
      </c>
      <c r="I1301" s="232" t="inlineStr">
        <is>
          <t>W. murcott</t>
        </is>
      </c>
      <c r="J1301" s="232" t="inlineStr">
        <is>
          <t>MATERIALES COSECHA</t>
        </is>
      </c>
      <c r="K1301" s="232" t="inlineStr">
        <is>
          <t>INSUMOS PACKING</t>
        </is>
      </c>
      <c r="L1301" s="232" t="inlineStr">
        <is>
          <t>[PRORRATEO 14.2% 21.0há/148.3há] O/001281 BOLSA ASEO</t>
        </is>
      </c>
      <c r="M1301" s="232" t="inlineStr"/>
      <c r="N1301" s="232" t="inlineStr">
        <is>
          <t>.   .   -</t>
        </is>
      </c>
      <c r="O1301" s="232" t="inlineStr">
        <is>
          <t>ENERO</t>
        </is>
      </c>
      <c r="P1301" s="232" t="n">
        <v>3</v>
      </c>
      <c r="Q1301" s="234" t="n">
        <v>484</v>
      </c>
      <c r="R1301" s="232" t="inlineStr"/>
      <c r="S1301" s="234" t="n">
        <v>484</v>
      </c>
      <c r="T1301" s="232" t="inlineStr">
        <is>
          <t>CLP</t>
        </is>
      </c>
      <c r="U1301" s="232" t="inlineStr">
        <is>
          <t>Prorrateo Ha PACKING</t>
        </is>
      </c>
      <c r="V1301" s="232" t="inlineStr">
        <is>
          <t>2026-06-18</t>
        </is>
      </c>
    </row>
    <row r="1302">
      <c r="A1302" s="232" t="inlineStr">
        <is>
          <t>CR-1299</t>
        </is>
      </c>
      <c r="B1302" s="232" t="inlineStr">
        <is>
          <t>2026/27</t>
        </is>
      </c>
      <c r="C1302" s="233" t="n">
        <v>46043</v>
      </c>
      <c r="D1302" s="232" t="inlineStr">
        <is>
          <t>213465</t>
        </is>
      </c>
      <c r="E1302" s="232" t="inlineStr">
        <is>
          <t>PRORRATEO</t>
        </is>
      </c>
      <c r="F1302" s="232" t="inlineStr">
        <is>
          <t>Santa Catalina</t>
        </is>
      </c>
      <c r="G1302" s="232" t="inlineStr">
        <is>
          <t>cambria 4,2 ha</t>
        </is>
      </c>
      <c r="H1302" s="232" t="inlineStr">
        <is>
          <t>Naranjas</t>
        </is>
      </c>
      <c r="I1302" s="232" t="inlineStr">
        <is>
          <t>Cambria</t>
        </is>
      </c>
      <c r="J1302" s="232" t="inlineStr">
        <is>
          <t>MATERIALES COSECHA</t>
        </is>
      </c>
      <c r="K1302" s="232" t="inlineStr">
        <is>
          <t>INSUMOS PACKING</t>
        </is>
      </c>
      <c r="L1302" s="232" t="inlineStr">
        <is>
          <t>[PRORRATEO 2.8% 4.2há/148.3há] O/001281 BOLSA ASEO</t>
        </is>
      </c>
      <c r="M1302" s="232" t="inlineStr"/>
      <c r="N1302" s="232" t="inlineStr">
        <is>
          <t>.   .   -</t>
        </is>
      </c>
      <c r="O1302" s="232" t="inlineStr">
        <is>
          <t>ENERO</t>
        </is>
      </c>
      <c r="P1302" s="232" t="n">
        <v>3</v>
      </c>
      <c r="Q1302" s="234" t="n">
        <v>97</v>
      </c>
      <c r="R1302" s="232" t="inlineStr"/>
      <c r="S1302" s="234" t="n">
        <v>97</v>
      </c>
      <c r="T1302" s="232" t="inlineStr">
        <is>
          <t>CLP</t>
        </is>
      </c>
      <c r="U1302" s="232" t="inlineStr">
        <is>
          <t>Prorrateo Ha PACKING</t>
        </is>
      </c>
      <c r="V1302" s="232" t="inlineStr">
        <is>
          <t>2026-06-18</t>
        </is>
      </c>
    </row>
    <row r="1303">
      <c r="A1303" s="232" t="inlineStr">
        <is>
          <t>CR-1300</t>
        </is>
      </c>
      <c r="B1303" s="232" t="inlineStr">
        <is>
          <t>2026/27</t>
        </is>
      </c>
      <c r="C1303" s="233" t="n">
        <v>46043</v>
      </c>
      <c r="D1303" s="232" t="inlineStr">
        <is>
          <t>213465</t>
        </is>
      </c>
      <c r="E1303" s="232" t="inlineStr">
        <is>
          <t>PRORRATEO</t>
        </is>
      </c>
      <c r="F1303" s="232" t="inlineStr">
        <is>
          <t>Santa Catalina</t>
        </is>
      </c>
      <c r="G1303" s="232" t="inlineStr">
        <is>
          <t>eureka 10,6 ha</t>
        </is>
      </c>
      <c r="H1303" s="232" t="inlineStr">
        <is>
          <t>Limon</t>
        </is>
      </c>
      <c r="I1303" s="232" t="inlineStr">
        <is>
          <t>Eureka</t>
        </is>
      </c>
      <c r="J1303" s="232" t="inlineStr">
        <is>
          <t>MATERIALES COSECHA</t>
        </is>
      </c>
      <c r="K1303" s="232" t="inlineStr">
        <is>
          <t>INSUMOS PACKING</t>
        </is>
      </c>
      <c r="L1303" s="232" t="inlineStr">
        <is>
          <t>[PRORRATEO 7.1% 10.6há/148.3há] O/001281 BOLSA ASEO</t>
        </is>
      </c>
      <c r="M1303" s="232" t="inlineStr"/>
      <c r="N1303" s="232" t="inlineStr">
        <is>
          <t>.   .   -</t>
        </is>
      </c>
      <c r="O1303" s="232" t="inlineStr">
        <is>
          <t>ENERO</t>
        </is>
      </c>
      <c r="P1303" s="232" t="n">
        <v>3</v>
      </c>
      <c r="Q1303" s="234" t="n">
        <v>245</v>
      </c>
      <c r="R1303" s="232" t="inlineStr"/>
      <c r="S1303" s="234" t="n">
        <v>245</v>
      </c>
      <c r="T1303" s="232" t="inlineStr">
        <is>
          <t>CLP</t>
        </is>
      </c>
      <c r="U1303" s="232" t="inlineStr">
        <is>
          <t>Prorrateo Ha PACKING</t>
        </is>
      </c>
      <c r="V1303" s="232" t="inlineStr">
        <is>
          <t>2026-06-18</t>
        </is>
      </c>
    </row>
    <row r="1304">
      <c r="A1304" s="232" t="inlineStr">
        <is>
          <t>CR-1301</t>
        </is>
      </c>
      <c r="B1304" s="232" t="inlineStr">
        <is>
          <t>2026/27</t>
        </is>
      </c>
      <c r="C1304" s="233" t="n">
        <v>46043</v>
      </c>
      <c r="D1304" s="232" t="inlineStr">
        <is>
          <t>213465</t>
        </is>
      </c>
      <c r="E1304" s="232" t="inlineStr">
        <is>
          <t>PRORRATEO</t>
        </is>
      </c>
      <c r="F1304" s="232" t="inlineStr">
        <is>
          <t>Santa Catalina</t>
        </is>
      </c>
      <c r="G1304" s="232" t="inlineStr">
        <is>
          <t>eureka 14,4 ha</t>
        </is>
      </c>
      <c r="H1304" s="232" t="inlineStr">
        <is>
          <t>Limon</t>
        </is>
      </c>
      <c r="I1304" s="232" t="inlineStr">
        <is>
          <t>Eureka</t>
        </is>
      </c>
      <c r="J1304" s="232" t="inlineStr">
        <is>
          <t>MATERIALES COSECHA</t>
        </is>
      </c>
      <c r="K1304" s="232" t="inlineStr">
        <is>
          <t>INSUMOS PACKING</t>
        </is>
      </c>
      <c r="L1304" s="232" t="inlineStr">
        <is>
          <t>[PRORRATEO 9.7% 14.4há/148.3há] O/001281 BOLSA ASEO</t>
        </is>
      </c>
      <c r="M1304" s="232" t="inlineStr"/>
      <c r="N1304" s="232" t="inlineStr">
        <is>
          <t>.   .   -</t>
        </is>
      </c>
      <c r="O1304" s="232" t="inlineStr">
        <is>
          <t>ENERO</t>
        </is>
      </c>
      <c r="P1304" s="232" t="n">
        <v>3</v>
      </c>
      <c r="Q1304" s="234" t="n">
        <v>332</v>
      </c>
      <c r="R1304" s="232" t="inlineStr"/>
      <c r="S1304" s="234" t="n">
        <v>332</v>
      </c>
      <c r="T1304" s="232" t="inlineStr">
        <is>
          <t>CLP</t>
        </is>
      </c>
      <c r="U1304" s="232" t="inlineStr">
        <is>
          <t>Prorrateo Ha PACKING</t>
        </is>
      </c>
      <c r="V1304" s="232" t="inlineStr">
        <is>
          <t>2026-06-18</t>
        </is>
      </c>
    </row>
    <row r="1305">
      <c r="A1305" s="232" t="inlineStr">
        <is>
          <t>CR-1302</t>
        </is>
      </c>
      <c r="B1305" s="232" t="inlineStr">
        <is>
          <t>2026/27</t>
        </is>
      </c>
      <c r="C1305" s="233" t="n">
        <v>46043</v>
      </c>
      <c r="D1305" s="232" t="inlineStr">
        <is>
          <t>213465</t>
        </is>
      </c>
      <c r="E1305" s="232" t="inlineStr">
        <is>
          <t>PRORRATEO</t>
        </is>
      </c>
      <c r="F1305" s="232" t="inlineStr">
        <is>
          <t>Santa Catalina</t>
        </is>
      </c>
      <c r="G1305" s="232" t="inlineStr">
        <is>
          <t>eureka 22,55</t>
        </is>
      </c>
      <c r="H1305" s="232" t="inlineStr">
        <is>
          <t>Limon</t>
        </is>
      </c>
      <c r="I1305" s="232" t="inlineStr">
        <is>
          <t>Eureka</t>
        </is>
      </c>
      <c r="J1305" s="232" t="inlineStr">
        <is>
          <t>MATERIALES COSECHA</t>
        </is>
      </c>
      <c r="K1305" s="232" t="inlineStr">
        <is>
          <t>INSUMOS PACKING</t>
        </is>
      </c>
      <c r="L1305" s="232" t="inlineStr">
        <is>
          <t>[PRORRATEO 15.2% 22.55há/148.3há] O/001281 BOLSA ASEO</t>
        </is>
      </c>
      <c r="M1305" s="232" t="inlineStr"/>
      <c r="N1305" s="232" t="inlineStr">
        <is>
          <t>.   .   -</t>
        </is>
      </c>
      <c r="O1305" s="232" t="inlineStr">
        <is>
          <t>ENERO</t>
        </is>
      </c>
      <c r="P1305" s="232" t="n">
        <v>3</v>
      </c>
      <c r="Q1305" s="234" t="n">
        <v>520</v>
      </c>
      <c r="R1305" s="232" t="inlineStr"/>
      <c r="S1305" s="234" t="n">
        <v>520</v>
      </c>
      <c r="T1305" s="232" t="inlineStr">
        <is>
          <t>CLP</t>
        </is>
      </c>
      <c r="U1305" s="232" t="inlineStr">
        <is>
          <t>Prorrateo Ha PACKING</t>
        </is>
      </c>
      <c r="V1305" s="232" t="inlineStr">
        <is>
          <t>2026-06-18</t>
        </is>
      </c>
    </row>
    <row r="1306">
      <c r="A1306" s="232" t="inlineStr">
        <is>
          <t>CR-1303</t>
        </is>
      </c>
      <c r="B1306" s="232" t="inlineStr">
        <is>
          <t>2026/27</t>
        </is>
      </c>
      <c r="C1306" s="233" t="n">
        <v>46043</v>
      </c>
      <c r="D1306" s="232" t="inlineStr">
        <is>
          <t>213465</t>
        </is>
      </c>
      <c r="E1306" s="232" t="inlineStr">
        <is>
          <t>PRORRATEO</t>
        </is>
      </c>
      <c r="F1306" s="232" t="inlineStr">
        <is>
          <t>Santa Catalina</t>
        </is>
      </c>
      <c r="G1306" s="232" t="inlineStr">
        <is>
          <t>form benjamin 1,93 ha</t>
        </is>
      </c>
      <c r="H1306" s="232" t="inlineStr">
        <is>
          <t>Limon</t>
        </is>
      </c>
      <c r="I1306" s="232" t="inlineStr">
        <is>
          <t>Benjamin andes</t>
        </is>
      </c>
      <c r="J1306" s="232" t="inlineStr">
        <is>
          <t>MATERIALES COSECHA</t>
        </is>
      </c>
      <c r="K1306" s="232" t="inlineStr">
        <is>
          <t>INSUMOS PACKING</t>
        </is>
      </c>
      <c r="L1306" s="232" t="inlineStr">
        <is>
          <t>[PRORRATEO 1.3% 1.93há/148.3há] O/001281 BOLSA ASEO</t>
        </is>
      </c>
      <c r="M1306" s="232" t="inlineStr"/>
      <c r="N1306" s="232" t="inlineStr">
        <is>
          <t>.   .   -</t>
        </is>
      </c>
      <c r="O1306" s="232" t="inlineStr">
        <is>
          <t>ENERO</t>
        </is>
      </c>
      <c r="P1306" s="232" t="n">
        <v>3</v>
      </c>
      <c r="Q1306" s="234" t="n">
        <v>45</v>
      </c>
      <c r="R1306" s="232" t="inlineStr"/>
      <c r="S1306" s="234" t="n">
        <v>45</v>
      </c>
      <c r="T1306" s="232" t="inlineStr">
        <is>
          <t>CLP</t>
        </is>
      </c>
      <c r="U1306" s="232" t="inlineStr">
        <is>
          <t>Prorrateo Ha PACKING</t>
        </is>
      </c>
      <c r="V1306" s="232" t="inlineStr">
        <is>
          <t>2026-06-18</t>
        </is>
      </c>
    </row>
    <row r="1307">
      <c r="A1307" s="232" t="inlineStr">
        <is>
          <t>CR-1304</t>
        </is>
      </c>
      <c r="B1307" s="232" t="inlineStr">
        <is>
          <t>2026/27</t>
        </is>
      </c>
      <c r="C1307" s="233" t="n">
        <v>46043</v>
      </c>
      <c r="D1307" s="232" t="inlineStr">
        <is>
          <t>213465</t>
        </is>
      </c>
      <c r="E1307" s="232" t="inlineStr">
        <is>
          <t>PRORRATEO</t>
        </is>
      </c>
      <c r="F1307" s="232" t="inlineStr">
        <is>
          <t>Santa Catalina</t>
        </is>
      </c>
      <c r="G1307" s="232" t="inlineStr">
        <is>
          <t>mant eureka 2,5 ha</t>
        </is>
      </c>
      <c r="H1307" s="232" t="inlineStr">
        <is>
          <t>Limon</t>
        </is>
      </c>
      <c r="I1307" s="232" t="inlineStr">
        <is>
          <t>Eureka</t>
        </is>
      </c>
      <c r="J1307" s="232" t="inlineStr">
        <is>
          <t>MATERIALES COSECHA</t>
        </is>
      </c>
      <c r="K1307" s="232" t="inlineStr">
        <is>
          <t>INSUMOS PACKING</t>
        </is>
      </c>
      <c r="L1307" s="232" t="inlineStr">
        <is>
          <t>[PRORRATEO 1.7% 2.5há/148.3há] O/001281 BOLSA ASEO</t>
        </is>
      </c>
      <c r="M1307" s="232" t="inlineStr"/>
      <c r="N1307" s="232" t="inlineStr">
        <is>
          <t>.   .   -</t>
        </is>
      </c>
      <c r="O1307" s="232" t="inlineStr">
        <is>
          <t>ENERO</t>
        </is>
      </c>
      <c r="P1307" s="232" t="n">
        <v>3</v>
      </c>
      <c r="Q1307" s="234" t="n">
        <v>58</v>
      </c>
      <c r="R1307" s="232" t="inlineStr"/>
      <c r="S1307" s="234" t="n">
        <v>58</v>
      </c>
      <c r="T1307" s="232" t="inlineStr">
        <is>
          <t>CLP</t>
        </is>
      </c>
      <c r="U1307" s="232" t="inlineStr">
        <is>
          <t>Prorrateo Ha PACKING</t>
        </is>
      </c>
      <c r="V1307" s="232" t="inlineStr">
        <is>
          <t>2026-06-18</t>
        </is>
      </c>
    </row>
    <row r="1308">
      <c r="A1308" s="232" t="inlineStr">
        <is>
          <t>CR-1305</t>
        </is>
      </c>
      <c r="B1308" s="232" t="inlineStr">
        <is>
          <t>2026/27</t>
        </is>
      </c>
      <c r="C1308" s="233" t="n">
        <v>46043</v>
      </c>
      <c r="D1308" s="232" t="inlineStr">
        <is>
          <t>213465</t>
        </is>
      </c>
      <c r="E1308" s="232" t="inlineStr">
        <is>
          <t>PRORRATEO</t>
        </is>
      </c>
      <c r="F1308" s="232" t="inlineStr">
        <is>
          <t>Siberia</t>
        </is>
      </c>
      <c r="G1308" s="232" t="inlineStr">
        <is>
          <t>S. Celebration 7,14</t>
        </is>
      </c>
      <c r="H1308" s="232" t="inlineStr">
        <is>
          <t>Uvas</t>
        </is>
      </c>
      <c r="I1308" s="232" t="inlineStr">
        <is>
          <t>S. celebration</t>
        </is>
      </c>
      <c r="J1308" s="232" t="inlineStr">
        <is>
          <t>MATERIALES COSECHA</t>
        </is>
      </c>
      <c r="K1308" s="232" t="inlineStr">
        <is>
          <t>INSUMOS PACKING</t>
        </is>
      </c>
      <c r="L1308" s="232" t="inlineStr">
        <is>
          <t>[PRORRATEO 4.8% 7.14há/148.3há] O/001281 BOLSA ASEO</t>
        </is>
      </c>
      <c r="M1308" s="232" t="inlineStr"/>
      <c r="N1308" s="232" t="inlineStr">
        <is>
          <t>.   .   -</t>
        </is>
      </c>
      <c r="O1308" s="232" t="inlineStr">
        <is>
          <t>ENERO</t>
        </is>
      </c>
      <c r="P1308" s="232" t="n">
        <v>3</v>
      </c>
      <c r="Q1308" s="234" t="n">
        <v>165</v>
      </c>
      <c r="R1308" s="232" t="inlineStr"/>
      <c r="S1308" s="234" t="n">
        <v>165</v>
      </c>
      <c r="T1308" s="232" t="inlineStr">
        <is>
          <t>CLP</t>
        </is>
      </c>
      <c r="U1308" s="232" t="inlineStr">
        <is>
          <t>Prorrateo Ha PACKING</t>
        </is>
      </c>
      <c r="V1308" s="232" t="inlineStr">
        <is>
          <t>2026-06-18</t>
        </is>
      </c>
    </row>
    <row r="1309">
      <c r="A1309" s="232" t="inlineStr">
        <is>
          <t>CR-1306</t>
        </is>
      </c>
      <c r="B1309" s="232" t="inlineStr">
        <is>
          <t>2026/27</t>
        </is>
      </c>
      <c r="C1309" s="233" t="n">
        <v>46043</v>
      </c>
      <c r="D1309" s="232" t="inlineStr">
        <is>
          <t>213465</t>
        </is>
      </c>
      <c r="E1309" s="232" t="inlineStr">
        <is>
          <t>PRORRATEO</t>
        </is>
      </c>
      <c r="F1309" s="232" t="inlineStr">
        <is>
          <t>Siberia</t>
        </is>
      </c>
      <c r="G1309" s="232" t="inlineStr">
        <is>
          <t>Timpson 7,1</t>
        </is>
      </c>
      <c r="H1309" s="232" t="inlineStr">
        <is>
          <t>Uvas</t>
        </is>
      </c>
      <c r="I1309" s="232" t="inlineStr">
        <is>
          <t>Timpson</t>
        </is>
      </c>
      <c r="J1309" s="232" t="inlineStr">
        <is>
          <t>MATERIALES COSECHA</t>
        </is>
      </c>
      <c r="K1309" s="232" t="inlineStr">
        <is>
          <t>INSUMOS PACKING</t>
        </is>
      </c>
      <c r="L1309" s="232" t="inlineStr">
        <is>
          <t>[PRORRATEO 4.8% 7.1há/148.3há] O/001281 BOLSA ASEO</t>
        </is>
      </c>
      <c r="M1309" s="232" t="inlineStr"/>
      <c r="N1309" s="232" t="inlineStr">
        <is>
          <t>.   .   -</t>
        </is>
      </c>
      <c r="O1309" s="232" t="inlineStr">
        <is>
          <t>ENERO</t>
        </is>
      </c>
      <c r="P1309" s="232" t="n">
        <v>3</v>
      </c>
      <c r="Q1309" s="234" t="n">
        <v>164</v>
      </c>
      <c r="R1309" s="232" t="inlineStr"/>
      <c r="S1309" s="234" t="n">
        <v>164</v>
      </c>
      <c r="T1309" s="232" t="inlineStr">
        <is>
          <t>CLP</t>
        </is>
      </c>
      <c r="U1309" s="232" t="inlineStr">
        <is>
          <t>Prorrateo Ha PACKING</t>
        </is>
      </c>
      <c r="V1309" s="232" t="inlineStr">
        <is>
          <t>2026-06-18</t>
        </is>
      </c>
    </row>
    <row r="1310">
      <c r="A1310" s="232" t="inlineStr">
        <is>
          <t>CR-1307</t>
        </is>
      </c>
      <c r="B1310" s="232" t="inlineStr">
        <is>
          <t>2026/27</t>
        </is>
      </c>
      <c r="C1310" s="233" t="n">
        <v>46043</v>
      </c>
      <c r="D1310" s="232" t="inlineStr">
        <is>
          <t>213465</t>
        </is>
      </c>
      <c r="E1310" s="232" t="inlineStr">
        <is>
          <t>PRORRATEO</t>
        </is>
      </c>
      <c r="F1310" s="232" t="inlineStr">
        <is>
          <t>Asmara</t>
        </is>
      </c>
      <c r="G1310" s="232" t="inlineStr">
        <is>
          <t>w. murcott 19,8 ha</t>
        </is>
      </c>
      <c r="H1310" s="232" t="inlineStr">
        <is>
          <t>Mandarina</t>
        </is>
      </c>
      <c r="I1310" s="232" t="inlineStr">
        <is>
          <t>W. murcott</t>
        </is>
      </c>
      <c r="J1310" s="232" t="inlineStr">
        <is>
          <t>MATERIALES COSECHA</t>
        </is>
      </c>
      <c r="K1310" s="232" t="inlineStr">
        <is>
          <t>INSUMOS PACKING</t>
        </is>
      </c>
      <c r="L1310" s="232" t="inlineStr">
        <is>
          <t>[PRORRATEO 13.4% 19.8há/148.3há] O/001281 BOLSA ASEO</t>
        </is>
      </c>
      <c r="M1310" s="232" t="inlineStr"/>
      <c r="N1310" s="232" t="inlineStr">
        <is>
          <t>.   .   -</t>
        </is>
      </c>
      <c r="O1310" s="232" t="inlineStr">
        <is>
          <t>ENERO</t>
        </is>
      </c>
      <c r="P1310" s="232" t="n">
        <v>3</v>
      </c>
      <c r="Q1310" s="234" t="n">
        <v>6747</v>
      </c>
      <c r="R1310" s="232" t="inlineStr"/>
      <c r="S1310" s="234" t="n">
        <v>6747</v>
      </c>
      <c r="T1310" s="232" t="inlineStr">
        <is>
          <t>CLP</t>
        </is>
      </c>
      <c r="U1310" s="232" t="inlineStr">
        <is>
          <t>Prorrateo Ha PACKING</t>
        </is>
      </c>
      <c r="V1310" s="232" t="inlineStr">
        <is>
          <t>2026-06-18</t>
        </is>
      </c>
    </row>
    <row r="1311">
      <c r="A1311" s="232" t="inlineStr">
        <is>
          <t>CR-1308</t>
        </is>
      </c>
      <c r="B1311" s="232" t="inlineStr">
        <is>
          <t>2026/27</t>
        </is>
      </c>
      <c r="C1311" s="233" t="n">
        <v>46043</v>
      </c>
      <c r="D1311" s="232" t="inlineStr">
        <is>
          <t>213465</t>
        </is>
      </c>
      <c r="E1311" s="232" t="inlineStr">
        <is>
          <t>PRORRATEO</t>
        </is>
      </c>
      <c r="F1311" s="232" t="inlineStr">
        <is>
          <t>Asmara</t>
        </is>
      </c>
      <c r="G1311" s="232" t="inlineStr">
        <is>
          <t>w. murcott 4,9 ha</t>
        </is>
      </c>
      <c r="H1311" s="232" t="inlineStr">
        <is>
          <t>Mandarina</t>
        </is>
      </c>
      <c r="I1311" s="232" t="inlineStr">
        <is>
          <t>W. murcott</t>
        </is>
      </c>
      <c r="J1311" s="232" t="inlineStr">
        <is>
          <t>MATERIALES COSECHA</t>
        </is>
      </c>
      <c r="K1311" s="232" t="inlineStr">
        <is>
          <t>INSUMOS PACKING</t>
        </is>
      </c>
      <c r="L1311" s="232" t="inlineStr">
        <is>
          <t>[PRORRATEO 3.3% 4.9há/148.3há] O/001281 BOLSA ASEO</t>
        </is>
      </c>
      <c r="M1311" s="232" t="inlineStr"/>
      <c r="N1311" s="232" t="inlineStr">
        <is>
          <t>.   .   -</t>
        </is>
      </c>
      <c r="O1311" s="232" t="inlineStr">
        <is>
          <t>ENERO</t>
        </is>
      </c>
      <c r="P1311" s="232" t="n">
        <v>3</v>
      </c>
      <c r="Q1311" s="234" t="n">
        <v>1670</v>
      </c>
      <c r="R1311" s="232" t="inlineStr"/>
      <c r="S1311" s="234" t="n">
        <v>1670</v>
      </c>
      <c r="T1311" s="232" t="inlineStr">
        <is>
          <t>CLP</t>
        </is>
      </c>
      <c r="U1311" s="232" t="inlineStr">
        <is>
          <t>Prorrateo Ha PACKING</t>
        </is>
      </c>
      <c r="V1311" s="232" t="inlineStr">
        <is>
          <t>2026-06-18</t>
        </is>
      </c>
    </row>
    <row r="1312">
      <c r="A1312" s="232" t="inlineStr">
        <is>
          <t>CR-1309</t>
        </is>
      </c>
      <c r="B1312" s="232" t="inlineStr">
        <is>
          <t>2026/27</t>
        </is>
      </c>
      <c r="C1312" s="233" t="n">
        <v>46043</v>
      </c>
      <c r="D1312" s="232" t="inlineStr">
        <is>
          <t>213465</t>
        </is>
      </c>
      <c r="E1312" s="232" t="inlineStr">
        <is>
          <t>PRORRATEO</t>
        </is>
      </c>
      <c r="F1312" s="232" t="inlineStr">
        <is>
          <t>El Molle</t>
        </is>
      </c>
      <c r="G1312" s="232" t="inlineStr">
        <is>
          <t>Wonderful 5,25 ha</t>
        </is>
      </c>
      <c r="H1312" s="232" t="inlineStr">
        <is>
          <t>Granados</t>
        </is>
      </c>
      <c r="I1312" s="232" t="inlineStr">
        <is>
          <t>Wonderfull</t>
        </is>
      </c>
      <c r="J1312" s="232" t="inlineStr">
        <is>
          <t>MATERIALES COSECHA</t>
        </is>
      </c>
      <c r="K1312" s="232" t="inlineStr">
        <is>
          <t>INSUMOS PACKING</t>
        </is>
      </c>
      <c r="L1312" s="232" t="inlineStr">
        <is>
          <t>[PRORRATEO 3.5% 5.24há/148.3há] O/001281 BOLSA ASEO</t>
        </is>
      </c>
      <c r="M1312" s="232" t="inlineStr"/>
      <c r="N1312" s="232" t="inlineStr">
        <is>
          <t>.   .   -</t>
        </is>
      </c>
      <c r="O1312" s="232" t="inlineStr">
        <is>
          <t>ENERO</t>
        </is>
      </c>
      <c r="P1312" s="232" t="n">
        <v>3</v>
      </c>
      <c r="Q1312" s="234" t="n">
        <v>1786</v>
      </c>
      <c r="R1312" s="232" t="inlineStr"/>
      <c r="S1312" s="234" t="n">
        <v>1786</v>
      </c>
      <c r="T1312" s="232" t="inlineStr">
        <is>
          <t>CLP</t>
        </is>
      </c>
      <c r="U1312" s="232" t="inlineStr">
        <is>
          <t>Prorrateo Ha PACKING</t>
        </is>
      </c>
      <c r="V1312" s="232" t="inlineStr">
        <is>
          <t>2026-06-18</t>
        </is>
      </c>
    </row>
    <row r="1313">
      <c r="A1313" s="232" t="inlineStr">
        <is>
          <t>CR-1310</t>
        </is>
      </c>
      <c r="B1313" s="232" t="inlineStr">
        <is>
          <t>2026/27</t>
        </is>
      </c>
      <c r="C1313" s="233" t="n">
        <v>46043</v>
      </c>
      <c r="D1313" s="232" t="inlineStr">
        <is>
          <t>213465</t>
        </is>
      </c>
      <c r="E1313" s="232" t="inlineStr">
        <is>
          <t>PRORRATEO</t>
        </is>
      </c>
      <c r="F1313" s="232" t="inlineStr">
        <is>
          <t>El Molle</t>
        </is>
      </c>
      <c r="G1313" s="232" t="inlineStr">
        <is>
          <t>arrufatinas 5,74 ha</t>
        </is>
      </c>
      <c r="H1313" s="232" t="inlineStr">
        <is>
          <t>Clementinas</t>
        </is>
      </c>
      <c r="I1313" s="232" t="inlineStr">
        <is>
          <t>Arrufatinas</t>
        </is>
      </c>
      <c r="J1313" s="232" t="inlineStr">
        <is>
          <t>MATERIALES COSECHA</t>
        </is>
      </c>
      <c r="K1313" s="232" t="inlineStr">
        <is>
          <t>INSUMOS PACKING</t>
        </is>
      </c>
      <c r="L1313" s="232" t="inlineStr">
        <is>
          <t>[PRORRATEO 3.9% 5.74há/148.3há] O/001281 BOLSA ASEO</t>
        </is>
      </c>
      <c r="M1313" s="232" t="inlineStr"/>
      <c r="N1313" s="232" t="inlineStr">
        <is>
          <t>.   .   -</t>
        </is>
      </c>
      <c r="O1313" s="232" t="inlineStr">
        <is>
          <t>ENERO</t>
        </is>
      </c>
      <c r="P1313" s="232" t="n">
        <v>3</v>
      </c>
      <c r="Q1313" s="234" t="n">
        <v>1956</v>
      </c>
      <c r="R1313" s="232" t="inlineStr"/>
      <c r="S1313" s="234" t="n">
        <v>1956</v>
      </c>
      <c r="T1313" s="232" t="inlineStr">
        <is>
          <t>CLP</t>
        </is>
      </c>
      <c r="U1313" s="232" t="inlineStr">
        <is>
          <t>Prorrateo Ha PACKING</t>
        </is>
      </c>
      <c r="V1313" s="232" t="inlineStr">
        <is>
          <t>2026-06-18</t>
        </is>
      </c>
    </row>
    <row r="1314">
      <c r="A1314" s="232" t="inlineStr">
        <is>
          <t>CR-1311</t>
        </is>
      </c>
      <c r="B1314" s="232" t="inlineStr">
        <is>
          <t>2026/27</t>
        </is>
      </c>
      <c r="C1314" s="233" t="n">
        <v>46043</v>
      </c>
      <c r="D1314" s="232" t="inlineStr">
        <is>
          <t>213465</t>
        </is>
      </c>
      <c r="E1314" s="232" t="inlineStr">
        <is>
          <t>PRORRATEO</t>
        </is>
      </c>
      <c r="F1314" s="232" t="inlineStr">
        <is>
          <t>El Molle</t>
        </is>
      </c>
      <c r="G1314" s="232" t="inlineStr">
        <is>
          <t>orogrande 8,11 ha</t>
        </is>
      </c>
      <c r="H1314" s="232" t="inlineStr">
        <is>
          <t>Clementinas</t>
        </is>
      </c>
      <c r="I1314" s="232" t="inlineStr">
        <is>
          <t>Orogrande</t>
        </is>
      </c>
      <c r="J1314" s="232" t="inlineStr">
        <is>
          <t>MATERIALES COSECHA</t>
        </is>
      </c>
      <c r="K1314" s="232" t="inlineStr">
        <is>
          <t>INSUMOS PACKING</t>
        </is>
      </c>
      <c r="L1314" s="232" t="inlineStr">
        <is>
          <t>[PRORRATEO 5.5% 8.11há/148.3há] O/001281 BOLSA ASEO</t>
        </is>
      </c>
      <c r="M1314" s="232" t="inlineStr"/>
      <c r="N1314" s="232" t="inlineStr">
        <is>
          <t>.   .   -</t>
        </is>
      </c>
      <c r="O1314" s="232" t="inlineStr">
        <is>
          <t>ENERO</t>
        </is>
      </c>
      <c r="P1314" s="232" t="n">
        <v>3</v>
      </c>
      <c r="Q1314" s="234" t="n">
        <v>2764</v>
      </c>
      <c r="R1314" s="232" t="inlineStr"/>
      <c r="S1314" s="234" t="n">
        <v>2764</v>
      </c>
      <c r="T1314" s="232" t="inlineStr">
        <is>
          <t>CLP</t>
        </is>
      </c>
      <c r="U1314" s="232" t="inlineStr">
        <is>
          <t>Prorrateo Ha PACKING</t>
        </is>
      </c>
      <c r="V1314" s="232" t="inlineStr">
        <is>
          <t>2026-06-18</t>
        </is>
      </c>
    </row>
    <row r="1315">
      <c r="A1315" s="232" t="inlineStr">
        <is>
          <t>CR-1312</t>
        </is>
      </c>
      <c r="B1315" s="232" t="inlineStr">
        <is>
          <t>2026/27</t>
        </is>
      </c>
      <c r="C1315" s="233" t="n">
        <v>46043</v>
      </c>
      <c r="D1315" s="232" t="inlineStr">
        <is>
          <t>213465</t>
        </is>
      </c>
      <c r="E1315" s="232" t="inlineStr">
        <is>
          <t>PRORRATEO</t>
        </is>
      </c>
      <c r="F1315" s="232" t="inlineStr">
        <is>
          <t>El Molle</t>
        </is>
      </c>
      <c r="G1315" s="232" t="inlineStr">
        <is>
          <t>oronules 5,35 ha</t>
        </is>
      </c>
      <c r="H1315" s="232" t="inlineStr">
        <is>
          <t>Clementinas</t>
        </is>
      </c>
      <c r="I1315" s="232" t="inlineStr">
        <is>
          <t>Oronules</t>
        </is>
      </c>
      <c r="J1315" s="232" t="inlineStr">
        <is>
          <t>MATERIALES COSECHA</t>
        </is>
      </c>
      <c r="K1315" s="232" t="inlineStr">
        <is>
          <t>INSUMOS PACKING</t>
        </is>
      </c>
      <c r="L1315" s="232" t="inlineStr">
        <is>
          <t>[PRORRATEO 3.6% 5.35há/148.3há] O/001281 BOLSA ASEO</t>
        </is>
      </c>
      <c r="M1315" s="232" t="inlineStr"/>
      <c r="N1315" s="232" t="inlineStr">
        <is>
          <t>.   .   -</t>
        </is>
      </c>
      <c r="O1315" s="232" t="inlineStr">
        <is>
          <t>ENERO</t>
        </is>
      </c>
      <c r="P1315" s="232" t="n">
        <v>3</v>
      </c>
      <c r="Q1315" s="234" t="n">
        <v>1823</v>
      </c>
      <c r="R1315" s="232" t="inlineStr"/>
      <c r="S1315" s="234" t="n">
        <v>1823</v>
      </c>
      <c r="T1315" s="232" t="inlineStr">
        <is>
          <t>CLP</t>
        </is>
      </c>
      <c r="U1315" s="232" t="inlineStr">
        <is>
          <t>Prorrateo Ha PACKING</t>
        </is>
      </c>
      <c r="V1315" s="232" t="inlineStr">
        <is>
          <t>2026-06-18</t>
        </is>
      </c>
    </row>
    <row r="1316">
      <c r="A1316" s="232" t="inlineStr">
        <is>
          <t>CR-1313</t>
        </is>
      </c>
      <c r="B1316" s="232" t="inlineStr">
        <is>
          <t>2026/27</t>
        </is>
      </c>
      <c r="C1316" s="233" t="n">
        <v>46043</v>
      </c>
      <c r="D1316" s="232" t="inlineStr">
        <is>
          <t>213465</t>
        </is>
      </c>
      <c r="E1316" s="232" t="inlineStr">
        <is>
          <t>PRORRATEO</t>
        </is>
      </c>
      <c r="F1316" s="232" t="inlineStr">
        <is>
          <t>Santa Catalina</t>
        </is>
      </c>
      <c r="G1316" s="232" t="inlineStr">
        <is>
          <t>Fino 49 7,7 ha</t>
        </is>
      </c>
      <c r="H1316" s="232" t="inlineStr">
        <is>
          <t>Limon</t>
        </is>
      </c>
      <c r="I1316" s="232" t="inlineStr">
        <is>
          <t>Fino 49</t>
        </is>
      </c>
      <c r="J1316" s="232" t="inlineStr">
        <is>
          <t>MATERIALES COSECHA</t>
        </is>
      </c>
      <c r="K1316" s="232" t="inlineStr">
        <is>
          <t>INSUMOS PACKING</t>
        </is>
      </c>
      <c r="L1316" s="232" t="inlineStr">
        <is>
          <t>[PRORRATEO 5.2% 7.7há/148.3há] O/001281 BOLSA ASEO</t>
        </is>
      </c>
      <c r="M1316" s="232" t="inlineStr"/>
      <c r="N1316" s="232" t="inlineStr">
        <is>
          <t>.   .   -</t>
        </is>
      </c>
      <c r="O1316" s="232" t="inlineStr">
        <is>
          <t>ENERO</t>
        </is>
      </c>
      <c r="P1316" s="232" t="n">
        <v>3</v>
      </c>
      <c r="Q1316" s="234" t="n">
        <v>2624</v>
      </c>
      <c r="R1316" s="232" t="inlineStr"/>
      <c r="S1316" s="234" t="n">
        <v>2624</v>
      </c>
      <c r="T1316" s="232" t="inlineStr">
        <is>
          <t>CLP</t>
        </is>
      </c>
      <c r="U1316" s="232" t="inlineStr">
        <is>
          <t>Prorrateo Ha PACKING</t>
        </is>
      </c>
      <c r="V1316" s="232" t="inlineStr">
        <is>
          <t>2026-06-18</t>
        </is>
      </c>
    </row>
    <row r="1317">
      <c r="A1317" s="232" t="inlineStr">
        <is>
          <t>CR-1314</t>
        </is>
      </c>
      <c r="B1317" s="232" t="inlineStr">
        <is>
          <t>2026/27</t>
        </is>
      </c>
      <c r="C1317" s="233" t="n">
        <v>46043</v>
      </c>
      <c r="D1317" s="232" t="inlineStr">
        <is>
          <t>213465</t>
        </is>
      </c>
      <c r="E1317" s="232" t="inlineStr">
        <is>
          <t>PRORRATEO</t>
        </is>
      </c>
      <c r="F1317" s="232" t="inlineStr">
        <is>
          <t>Santa Catalina</t>
        </is>
      </c>
      <c r="G1317" s="232" t="inlineStr">
        <is>
          <t>W. murcott 21 ha</t>
        </is>
      </c>
      <c r="H1317" s="232" t="inlineStr">
        <is>
          <t>Mandarina</t>
        </is>
      </c>
      <c r="I1317" s="232" t="inlineStr">
        <is>
          <t>W. murcott</t>
        </is>
      </c>
      <c r="J1317" s="232" t="inlineStr">
        <is>
          <t>MATERIALES COSECHA</t>
        </is>
      </c>
      <c r="K1317" s="232" t="inlineStr">
        <is>
          <t>INSUMOS PACKING</t>
        </is>
      </c>
      <c r="L1317" s="232" t="inlineStr">
        <is>
          <t>[PRORRATEO 14.2% 21.0há/148.3há] O/001281 BOLSA ASEO</t>
        </is>
      </c>
      <c r="M1317" s="232" t="inlineStr"/>
      <c r="N1317" s="232" t="inlineStr">
        <is>
          <t>.   .   -</t>
        </is>
      </c>
      <c r="O1317" s="232" t="inlineStr">
        <is>
          <t>ENERO</t>
        </is>
      </c>
      <c r="P1317" s="232" t="n">
        <v>3</v>
      </c>
      <c r="Q1317" s="234" t="n">
        <v>7156</v>
      </c>
      <c r="R1317" s="232" t="inlineStr"/>
      <c r="S1317" s="234" t="n">
        <v>7156</v>
      </c>
      <c r="T1317" s="232" t="inlineStr">
        <is>
          <t>CLP</t>
        </is>
      </c>
      <c r="U1317" s="232" t="inlineStr">
        <is>
          <t>Prorrateo Ha PACKING</t>
        </is>
      </c>
      <c r="V1317" s="232" t="inlineStr">
        <is>
          <t>2026-06-18</t>
        </is>
      </c>
    </row>
    <row r="1318">
      <c r="A1318" s="232" t="inlineStr">
        <is>
          <t>CR-1315</t>
        </is>
      </c>
      <c r="B1318" s="232" t="inlineStr">
        <is>
          <t>2026/27</t>
        </is>
      </c>
      <c r="C1318" s="233" t="n">
        <v>46043</v>
      </c>
      <c r="D1318" s="232" t="inlineStr">
        <is>
          <t>213465</t>
        </is>
      </c>
      <c r="E1318" s="232" t="inlineStr">
        <is>
          <t>PRORRATEO</t>
        </is>
      </c>
      <c r="F1318" s="232" t="inlineStr">
        <is>
          <t>Santa Catalina</t>
        </is>
      </c>
      <c r="G1318" s="232" t="inlineStr">
        <is>
          <t>cambria 4,2 ha</t>
        </is>
      </c>
      <c r="H1318" s="232" t="inlineStr">
        <is>
          <t>Naranjas</t>
        </is>
      </c>
      <c r="I1318" s="232" t="inlineStr">
        <is>
          <t>Cambria</t>
        </is>
      </c>
      <c r="J1318" s="232" t="inlineStr">
        <is>
          <t>MATERIALES COSECHA</t>
        </is>
      </c>
      <c r="K1318" s="232" t="inlineStr">
        <is>
          <t>INSUMOS PACKING</t>
        </is>
      </c>
      <c r="L1318" s="232" t="inlineStr">
        <is>
          <t>[PRORRATEO 2.8% 4.2há/148.3há] O/001281 BOLSA ASEO</t>
        </is>
      </c>
      <c r="M1318" s="232" t="inlineStr"/>
      <c r="N1318" s="232" t="inlineStr">
        <is>
          <t>.   .   -</t>
        </is>
      </c>
      <c r="O1318" s="232" t="inlineStr">
        <is>
          <t>ENERO</t>
        </is>
      </c>
      <c r="P1318" s="232" t="n">
        <v>3</v>
      </c>
      <c r="Q1318" s="234" t="n">
        <v>1431</v>
      </c>
      <c r="R1318" s="232" t="inlineStr"/>
      <c r="S1318" s="234" t="n">
        <v>1431</v>
      </c>
      <c r="T1318" s="232" t="inlineStr">
        <is>
          <t>CLP</t>
        </is>
      </c>
      <c r="U1318" s="232" t="inlineStr">
        <is>
          <t>Prorrateo Ha PACKING</t>
        </is>
      </c>
      <c r="V1318" s="232" t="inlineStr">
        <is>
          <t>2026-06-18</t>
        </is>
      </c>
    </row>
    <row r="1319">
      <c r="A1319" s="232" t="inlineStr">
        <is>
          <t>CR-1316</t>
        </is>
      </c>
      <c r="B1319" s="232" t="inlineStr">
        <is>
          <t>2026/27</t>
        </is>
      </c>
      <c r="C1319" s="233" t="n">
        <v>46043</v>
      </c>
      <c r="D1319" s="232" t="inlineStr">
        <is>
          <t>213465</t>
        </is>
      </c>
      <c r="E1319" s="232" t="inlineStr">
        <is>
          <t>PRORRATEO</t>
        </is>
      </c>
      <c r="F1319" s="232" t="inlineStr">
        <is>
          <t>Santa Catalina</t>
        </is>
      </c>
      <c r="G1319" s="232" t="inlineStr">
        <is>
          <t>eureka 10,6 ha</t>
        </is>
      </c>
      <c r="H1319" s="232" t="inlineStr">
        <is>
          <t>Limon</t>
        </is>
      </c>
      <c r="I1319" s="232" t="inlineStr">
        <is>
          <t>Eureka</t>
        </is>
      </c>
      <c r="J1319" s="232" t="inlineStr">
        <is>
          <t>MATERIALES COSECHA</t>
        </is>
      </c>
      <c r="K1319" s="232" t="inlineStr">
        <is>
          <t>INSUMOS PACKING</t>
        </is>
      </c>
      <c r="L1319" s="232" t="inlineStr">
        <is>
          <t>[PRORRATEO 7.1% 10.6há/148.3há] O/001281 BOLSA ASEO</t>
        </is>
      </c>
      <c r="M1319" s="232" t="inlineStr"/>
      <c r="N1319" s="232" t="inlineStr">
        <is>
          <t>.   .   -</t>
        </is>
      </c>
      <c r="O1319" s="232" t="inlineStr">
        <is>
          <t>ENERO</t>
        </is>
      </c>
      <c r="P1319" s="232" t="n">
        <v>3</v>
      </c>
      <c r="Q1319" s="234" t="n">
        <v>3612</v>
      </c>
      <c r="R1319" s="232" t="inlineStr"/>
      <c r="S1319" s="234" t="n">
        <v>3612</v>
      </c>
      <c r="T1319" s="232" t="inlineStr">
        <is>
          <t>CLP</t>
        </is>
      </c>
      <c r="U1319" s="232" t="inlineStr">
        <is>
          <t>Prorrateo Ha PACKING</t>
        </is>
      </c>
      <c r="V1319" s="232" t="inlineStr">
        <is>
          <t>2026-06-18</t>
        </is>
      </c>
    </row>
    <row r="1320">
      <c r="A1320" s="232" t="inlineStr">
        <is>
          <t>CR-1317</t>
        </is>
      </c>
      <c r="B1320" s="232" t="inlineStr">
        <is>
          <t>2026/27</t>
        </is>
      </c>
      <c r="C1320" s="233" t="n">
        <v>46043</v>
      </c>
      <c r="D1320" s="232" t="inlineStr">
        <is>
          <t>213465</t>
        </is>
      </c>
      <c r="E1320" s="232" t="inlineStr">
        <is>
          <t>PRORRATEO</t>
        </is>
      </c>
      <c r="F1320" s="232" t="inlineStr">
        <is>
          <t>Santa Catalina</t>
        </is>
      </c>
      <c r="G1320" s="232" t="inlineStr">
        <is>
          <t>eureka 14,4 ha</t>
        </is>
      </c>
      <c r="H1320" s="232" t="inlineStr">
        <is>
          <t>Limon</t>
        </is>
      </c>
      <c r="I1320" s="232" t="inlineStr">
        <is>
          <t>Eureka</t>
        </is>
      </c>
      <c r="J1320" s="232" t="inlineStr">
        <is>
          <t>MATERIALES COSECHA</t>
        </is>
      </c>
      <c r="K1320" s="232" t="inlineStr">
        <is>
          <t>INSUMOS PACKING</t>
        </is>
      </c>
      <c r="L1320" s="232" t="inlineStr">
        <is>
          <t>[PRORRATEO 9.7% 14.4há/148.3há] O/001281 BOLSA ASEO</t>
        </is>
      </c>
      <c r="M1320" s="232" t="inlineStr"/>
      <c r="N1320" s="232" t="inlineStr">
        <is>
          <t>.   .   -</t>
        </is>
      </c>
      <c r="O1320" s="232" t="inlineStr">
        <is>
          <t>ENERO</t>
        </is>
      </c>
      <c r="P1320" s="232" t="n">
        <v>3</v>
      </c>
      <c r="Q1320" s="234" t="n">
        <v>4907</v>
      </c>
      <c r="R1320" s="232" t="inlineStr"/>
      <c r="S1320" s="234" t="n">
        <v>4907</v>
      </c>
      <c r="T1320" s="232" t="inlineStr">
        <is>
          <t>CLP</t>
        </is>
      </c>
      <c r="U1320" s="232" t="inlineStr">
        <is>
          <t>Prorrateo Ha PACKING</t>
        </is>
      </c>
      <c r="V1320" s="232" t="inlineStr">
        <is>
          <t>2026-06-18</t>
        </is>
      </c>
    </row>
    <row r="1321">
      <c r="A1321" s="232" t="inlineStr">
        <is>
          <t>CR-1318</t>
        </is>
      </c>
      <c r="B1321" s="232" t="inlineStr">
        <is>
          <t>2026/27</t>
        </is>
      </c>
      <c r="C1321" s="233" t="n">
        <v>46043</v>
      </c>
      <c r="D1321" s="232" t="inlineStr">
        <is>
          <t>213465</t>
        </is>
      </c>
      <c r="E1321" s="232" t="inlineStr">
        <is>
          <t>PRORRATEO</t>
        </is>
      </c>
      <c r="F1321" s="232" t="inlineStr">
        <is>
          <t>Santa Catalina</t>
        </is>
      </c>
      <c r="G1321" s="232" t="inlineStr">
        <is>
          <t>eureka 22,55</t>
        </is>
      </c>
      <c r="H1321" s="232" t="inlineStr">
        <is>
          <t>Limon</t>
        </is>
      </c>
      <c r="I1321" s="232" t="inlineStr">
        <is>
          <t>Eureka</t>
        </is>
      </c>
      <c r="J1321" s="232" t="inlineStr">
        <is>
          <t>MATERIALES COSECHA</t>
        </is>
      </c>
      <c r="K1321" s="232" t="inlineStr">
        <is>
          <t>INSUMOS PACKING</t>
        </is>
      </c>
      <c r="L1321" s="232" t="inlineStr">
        <is>
          <t>[PRORRATEO 15.2% 22.55há/148.3há] O/001281 BOLSA ASEO</t>
        </is>
      </c>
      <c r="M1321" s="232" t="inlineStr"/>
      <c r="N1321" s="232" t="inlineStr">
        <is>
          <t>.   .   -</t>
        </is>
      </c>
      <c r="O1321" s="232" t="inlineStr">
        <is>
          <t>ENERO</t>
        </is>
      </c>
      <c r="P1321" s="232" t="n">
        <v>3</v>
      </c>
      <c r="Q1321" s="234" t="n">
        <v>7684</v>
      </c>
      <c r="R1321" s="232" t="inlineStr"/>
      <c r="S1321" s="234" t="n">
        <v>7684</v>
      </c>
      <c r="T1321" s="232" t="inlineStr">
        <is>
          <t>CLP</t>
        </is>
      </c>
      <c r="U1321" s="232" t="inlineStr">
        <is>
          <t>Prorrateo Ha PACKING</t>
        </is>
      </c>
      <c r="V1321" s="232" t="inlineStr">
        <is>
          <t>2026-06-18</t>
        </is>
      </c>
    </row>
    <row r="1322">
      <c r="A1322" s="232" t="inlineStr">
        <is>
          <t>CR-1319</t>
        </is>
      </c>
      <c r="B1322" s="232" t="inlineStr">
        <is>
          <t>2026/27</t>
        </is>
      </c>
      <c r="C1322" s="233" t="n">
        <v>46043</v>
      </c>
      <c r="D1322" s="232" t="inlineStr">
        <is>
          <t>213465</t>
        </is>
      </c>
      <c r="E1322" s="232" t="inlineStr">
        <is>
          <t>PRORRATEO</t>
        </is>
      </c>
      <c r="F1322" s="232" t="inlineStr">
        <is>
          <t>Santa Catalina</t>
        </is>
      </c>
      <c r="G1322" s="232" t="inlineStr">
        <is>
          <t>form benjamin 1,93 ha</t>
        </is>
      </c>
      <c r="H1322" s="232" t="inlineStr">
        <is>
          <t>Limon</t>
        </is>
      </c>
      <c r="I1322" s="232" t="inlineStr">
        <is>
          <t>Benjamin andes</t>
        </is>
      </c>
      <c r="J1322" s="232" t="inlineStr">
        <is>
          <t>MATERIALES COSECHA</t>
        </is>
      </c>
      <c r="K1322" s="232" t="inlineStr">
        <is>
          <t>INSUMOS PACKING</t>
        </is>
      </c>
      <c r="L1322" s="232" t="inlineStr">
        <is>
          <t>[PRORRATEO 1.3% 1.93há/148.3há] O/001281 BOLSA ASEO</t>
        </is>
      </c>
      <c r="M1322" s="232" t="inlineStr"/>
      <c r="N1322" s="232" t="inlineStr">
        <is>
          <t>.   .   -</t>
        </is>
      </c>
      <c r="O1322" s="232" t="inlineStr">
        <is>
          <t>ENERO</t>
        </is>
      </c>
      <c r="P1322" s="232" t="n">
        <v>3</v>
      </c>
      <c r="Q1322" s="234" t="n">
        <v>658</v>
      </c>
      <c r="R1322" s="232" t="inlineStr"/>
      <c r="S1322" s="234" t="n">
        <v>658</v>
      </c>
      <c r="T1322" s="232" t="inlineStr">
        <is>
          <t>CLP</t>
        </is>
      </c>
      <c r="U1322" s="232" t="inlineStr">
        <is>
          <t>Prorrateo Ha PACKING</t>
        </is>
      </c>
      <c r="V1322" s="232" t="inlineStr">
        <is>
          <t>2026-06-18</t>
        </is>
      </c>
    </row>
    <row r="1323">
      <c r="A1323" s="232" t="inlineStr">
        <is>
          <t>CR-1320</t>
        </is>
      </c>
      <c r="B1323" s="232" t="inlineStr">
        <is>
          <t>2026/27</t>
        </is>
      </c>
      <c r="C1323" s="233" t="n">
        <v>46043</v>
      </c>
      <c r="D1323" s="232" t="inlineStr">
        <is>
          <t>213465</t>
        </is>
      </c>
      <c r="E1323" s="232" t="inlineStr">
        <is>
          <t>PRORRATEO</t>
        </is>
      </c>
      <c r="F1323" s="232" t="inlineStr">
        <is>
          <t>Santa Catalina</t>
        </is>
      </c>
      <c r="G1323" s="232" t="inlineStr">
        <is>
          <t>mant eureka 2,5 ha</t>
        </is>
      </c>
      <c r="H1323" s="232" t="inlineStr">
        <is>
          <t>Limon</t>
        </is>
      </c>
      <c r="I1323" s="232" t="inlineStr">
        <is>
          <t>Eureka</t>
        </is>
      </c>
      <c r="J1323" s="232" t="inlineStr">
        <is>
          <t>MATERIALES COSECHA</t>
        </is>
      </c>
      <c r="K1323" s="232" t="inlineStr">
        <is>
          <t>INSUMOS PACKING</t>
        </is>
      </c>
      <c r="L1323" s="232" t="inlineStr">
        <is>
          <t>[PRORRATEO 1.7% 2.5há/148.3há] O/001281 BOLSA ASEO</t>
        </is>
      </c>
      <c r="M1323" s="232" t="inlineStr"/>
      <c r="N1323" s="232" t="inlineStr">
        <is>
          <t>.   .   -</t>
        </is>
      </c>
      <c r="O1323" s="232" t="inlineStr">
        <is>
          <t>ENERO</t>
        </is>
      </c>
      <c r="P1323" s="232" t="n">
        <v>3</v>
      </c>
      <c r="Q1323" s="234" t="n">
        <v>852</v>
      </c>
      <c r="R1323" s="232" t="inlineStr"/>
      <c r="S1323" s="234" t="n">
        <v>852</v>
      </c>
      <c r="T1323" s="232" t="inlineStr">
        <is>
          <t>CLP</t>
        </is>
      </c>
      <c r="U1323" s="232" t="inlineStr">
        <is>
          <t>Prorrateo Ha PACKING</t>
        </is>
      </c>
      <c r="V1323" s="232" t="inlineStr">
        <is>
          <t>2026-06-18</t>
        </is>
      </c>
    </row>
    <row r="1324">
      <c r="A1324" s="232" t="inlineStr">
        <is>
          <t>CR-1321</t>
        </is>
      </c>
      <c r="B1324" s="232" t="inlineStr">
        <is>
          <t>2026/27</t>
        </is>
      </c>
      <c r="C1324" s="233" t="n">
        <v>46043</v>
      </c>
      <c r="D1324" s="232" t="inlineStr">
        <is>
          <t>213465</t>
        </is>
      </c>
      <c r="E1324" s="232" t="inlineStr">
        <is>
          <t>PRORRATEO</t>
        </is>
      </c>
      <c r="F1324" s="232" t="inlineStr">
        <is>
          <t>Siberia</t>
        </is>
      </c>
      <c r="G1324" s="232" t="inlineStr">
        <is>
          <t>S. Celebration 7,14</t>
        </is>
      </c>
      <c r="H1324" s="232" t="inlineStr">
        <is>
          <t>Uvas</t>
        </is>
      </c>
      <c r="I1324" s="232" t="inlineStr">
        <is>
          <t>S. celebration</t>
        </is>
      </c>
      <c r="J1324" s="232" t="inlineStr">
        <is>
          <t>MATERIALES COSECHA</t>
        </is>
      </c>
      <c r="K1324" s="232" t="inlineStr">
        <is>
          <t>INSUMOS PACKING</t>
        </is>
      </c>
      <c r="L1324" s="232" t="inlineStr">
        <is>
          <t>[PRORRATEO 4.8% 7.14há/148.3há] O/001281 BOLSA ASEO</t>
        </is>
      </c>
      <c r="M1324" s="232" t="inlineStr"/>
      <c r="N1324" s="232" t="inlineStr">
        <is>
          <t>.   .   -</t>
        </is>
      </c>
      <c r="O1324" s="232" t="inlineStr">
        <is>
          <t>ENERO</t>
        </is>
      </c>
      <c r="P1324" s="232" t="n">
        <v>3</v>
      </c>
      <c r="Q1324" s="234" t="n">
        <v>2433</v>
      </c>
      <c r="R1324" s="232" t="inlineStr"/>
      <c r="S1324" s="234" t="n">
        <v>2433</v>
      </c>
      <c r="T1324" s="232" t="inlineStr">
        <is>
          <t>CLP</t>
        </is>
      </c>
      <c r="U1324" s="232" t="inlineStr">
        <is>
          <t>Prorrateo Ha PACKING</t>
        </is>
      </c>
      <c r="V1324" s="232" t="inlineStr">
        <is>
          <t>2026-06-18</t>
        </is>
      </c>
    </row>
    <row r="1325">
      <c r="A1325" s="232" t="inlineStr">
        <is>
          <t>CR-1322</t>
        </is>
      </c>
      <c r="B1325" s="232" t="inlineStr">
        <is>
          <t>2026/27</t>
        </is>
      </c>
      <c r="C1325" s="233" t="n">
        <v>46043</v>
      </c>
      <c r="D1325" s="232" t="inlineStr">
        <is>
          <t>213465</t>
        </is>
      </c>
      <c r="E1325" s="232" t="inlineStr">
        <is>
          <t>PRORRATEO</t>
        </is>
      </c>
      <c r="F1325" s="232" t="inlineStr">
        <is>
          <t>Siberia</t>
        </is>
      </c>
      <c r="G1325" s="232" t="inlineStr">
        <is>
          <t>Timpson 7,1</t>
        </is>
      </c>
      <c r="H1325" s="232" t="inlineStr">
        <is>
          <t>Uvas</t>
        </is>
      </c>
      <c r="I1325" s="232" t="inlineStr">
        <is>
          <t>Timpson</t>
        </is>
      </c>
      <c r="J1325" s="232" t="inlineStr">
        <is>
          <t>MATERIALES COSECHA</t>
        </is>
      </c>
      <c r="K1325" s="232" t="inlineStr">
        <is>
          <t>INSUMOS PACKING</t>
        </is>
      </c>
      <c r="L1325" s="232" t="inlineStr">
        <is>
          <t>[PRORRATEO 4.8% 7.1há/148.3há] O/001281 BOLSA ASEO</t>
        </is>
      </c>
      <c r="M1325" s="232" t="inlineStr"/>
      <c r="N1325" s="232" t="inlineStr">
        <is>
          <t>.   .   -</t>
        </is>
      </c>
      <c r="O1325" s="232" t="inlineStr">
        <is>
          <t>ENERO</t>
        </is>
      </c>
      <c r="P1325" s="232" t="n">
        <v>3</v>
      </c>
      <c r="Q1325" s="234" t="n">
        <v>2419</v>
      </c>
      <c r="R1325" s="232" t="inlineStr"/>
      <c r="S1325" s="234" t="n">
        <v>2419</v>
      </c>
      <c r="T1325" s="232" t="inlineStr">
        <is>
          <t>CLP</t>
        </is>
      </c>
      <c r="U1325" s="232" t="inlineStr">
        <is>
          <t>Prorrateo Ha PACKING</t>
        </is>
      </c>
      <c r="V1325" s="232" t="inlineStr">
        <is>
          <t>2026-06-18</t>
        </is>
      </c>
    </row>
    <row r="1326">
      <c r="A1326" s="232" t="inlineStr">
        <is>
          <t>CR-1323</t>
        </is>
      </c>
      <c r="B1326" s="232" t="inlineStr">
        <is>
          <t>2026/27</t>
        </is>
      </c>
      <c r="C1326" s="233" t="n">
        <v>46043</v>
      </c>
      <c r="D1326" s="232" t="inlineStr">
        <is>
          <t>213465</t>
        </is>
      </c>
      <c r="E1326" s="232" t="inlineStr">
        <is>
          <t>PRORRATEO</t>
        </is>
      </c>
      <c r="F1326" s="232" t="inlineStr">
        <is>
          <t>Asmara</t>
        </is>
      </c>
      <c r="G1326" s="232" t="inlineStr">
        <is>
          <t>w. murcott 19,8 ha</t>
        </is>
      </c>
      <c r="H1326" s="232" t="inlineStr">
        <is>
          <t>Mandarina</t>
        </is>
      </c>
      <c r="I1326" s="232" t="inlineStr">
        <is>
          <t>W. murcott</t>
        </is>
      </c>
      <c r="J1326" s="232" t="inlineStr">
        <is>
          <t>MATERIALES COSECHA</t>
        </is>
      </c>
      <c r="K1326" s="232" t="inlineStr">
        <is>
          <t>INSUMOS PACKING</t>
        </is>
      </c>
      <c r="L1326" s="232" t="inlineStr">
        <is>
          <t>[PRORRATEO 13.4% 19.8há/148.3há] O/001281 CARPETA VI</t>
        </is>
      </c>
      <c r="M1326" s="232" t="inlineStr"/>
      <c r="N1326" s="232" t="inlineStr">
        <is>
          <t>.   .   -</t>
        </is>
      </c>
      <c r="O1326" s="232" t="inlineStr">
        <is>
          <t>ENERO</t>
        </is>
      </c>
      <c r="P1326" s="232" t="n">
        <v>3</v>
      </c>
      <c r="Q1326" s="234" t="n">
        <v>534</v>
      </c>
      <c r="R1326" s="232" t="inlineStr"/>
      <c r="S1326" s="234" t="n">
        <v>534</v>
      </c>
      <c r="T1326" s="232" t="inlineStr">
        <is>
          <t>CLP</t>
        </is>
      </c>
      <c r="U1326" s="232" t="inlineStr">
        <is>
          <t>Prorrateo Ha PACKING</t>
        </is>
      </c>
      <c r="V1326" s="232" t="inlineStr">
        <is>
          <t>2026-06-18</t>
        </is>
      </c>
    </row>
    <row r="1327">
      <c r="A1327" s="232" t="inlineStr">
        <is>
          <t>CR-1324</t>
        </is>
      </c>
      <c r="B1327" s="232" t="inlineStr">
        <is>
          <t>2026/27</t>
        </is>
      </c>
      <c r="C1327" s="233" t="n">
        <v>46043</v>
      </c>
      <c r="D1327" s="232" t="inlineStr">
        <is>
          <t>213465</t>
        </is>
      </c>
      <c r="E1327" s="232" t="inlineStr">
        <is>
          <t>PRORRATEO</t>
        </is>
      </c>
      <c r="F1327" s="232" t="inlineStr">
        <is>
          <t>Asmara</t>
        </is>
      </c>
      <c r="G1327" s="232" t="inlineStr">
        <is>
          <t>w. murcott 4,9 ha</t>
        </is>
      </c>
      <c r="H1327" s="232" t="inlineStr">
        <is>
          <t>Mandarina</t>
        </is>
      </c>
      <c r="I1327" s="232" t="inlineStr">
        <is>
          <t>W. murcott</t>
        </is>
      </c>
      <c r="J1327" s="232" t="inlineStr">
        <is>
          <t>MATERIALES COSECHA</t>
        </is>
      </c>
      <c r="K1327" s="232" t="inlineStr">
        <is>
          <t>INSUMOS PACKING</t>
        </is>
      </c>
      <c r="L1327" s="232" t="inlineStr">
        <is>
          <t>[PRORRATEO 3.3% 4.9há/148.3há] O/001281 CARPETA VI</t>
        </is>
      </c>
      <c r="M1327" s="232" t="inlineStr"/>
      <c r="N1327" s="232" t="inlineStr">
        <is>
          <t>.   .   -</t>
        </is>
      </c>
      <c r="O1327" s="232" t="inlineStr">
        <is>
          <t>ENERO</t>
        </is>
      </c>
      <c r="P1327" s="232" t="n">
        <v>3</v>
      </c>
      <c r="Q1327" s="234" t="n">
        <v>132</v>
      </c>
      <c r="R1327" s="232" t="inlineStr"/>
      <c r="S1327" s="234" t="n">
        <v>132</v>
      </c>
      <c r="T1327" s="232" t="inlineStr">
        <is>
          <t>CLP</t>
        </is>
      </c>
      <c r="U1327" s="232" t="inlineStr">
        <is>
          <t>Prorrateo Ha PACKING</t>
        </is>
      </c>
      <c r="V1327" s="232" t="inlineStr">
        <is>
          <t>2026-06-18</t>
        </is>
      </c>
    </row>
    <row r="1328">
      <c r="A1328" s="232" t="inlineStr">
        <is>
          <t>CR-1325</t>
        </is>
      </c>
      <c r="B1328" s="232" t="inlineStr">
        <is>
          <t>2026/27</t>
        </is>
      </c>
      <c r="C1328" s="233" t="n">
        <v>46043</v>
      </c>
      <c r="D1328" s="232" t="inlineStr">
        <is>
          <t>213465</t>
        </is>
      </c>
      <c r="E1328" s="232" t="inlineStr">
        <is>
          <t>PRORRATEO</t>
        </is>
      </c>
      <c r="F1328" s="232" t="inlineStr">
        <is>
          <t>El Molle</t>
        </is>
      </c>
      <c r="G1328" s="232" t="inlineStr">
        <is>
          <t>Wonderful 5,25 ha</t>
        </is>
      </c>
      <c r="H1328" s="232" t="inlineStr">
        <is>
          <t>Granados</t>
        </is>
      </c>
      <c r="I1328" s="232" t="inlineStr">
        <is>
          <t>Wonderfull</t>
        </is>
      </c>
      <c r="J1328" s="232" t="inlineStr">
        <is>
          <t>MATERIALES COSECHA</t>
        </is>
      </c>
      <c r="K1328" s="232" t="inlineStr">
        <is>
          <t>INSUMOS PACKING</t>
        </is>
      </c>
      <c r="L1328" s="232" t="inlineStr">
        <is>
          <t>[PRORRATEO 3.5% 5.24há/148.3há] O/001281 CARPETA VI</t>
        </is>
      </c>
      <c r="M1328" s="232" t="inlineStr"/>
      <c r="N1328" s="232" t="inlineStr">
        <is>
          <t>.   .   -</t>
        </is>
      </c>
      <c r="O1328" s="232" t="inlineStr">
        <is>
          <t>ENERO</t>
        </is>
      </c>
      <c r="P1328" s="232" t="n">
        <v>3</v>
      </c>
      <c r="Q1328" s="234" t="n">
        <v>141</v>
      </c>
      <c r="R1328" s="232" t="inlineStr"/>
      <c r="S1328" s="234" t="n">
        <v>141</v>
      </c>
      <c r="T1328" s="232" t="inlineStr">
        <is>
          <t>CLP</t>
        </is>
      </c>
      <c r="U1328" s="232" t="inlineStr">
        <is>
          <t>Prorrateo Ha PACKING</t>
        </is>
      </c>
      <c r="V1328" s="232" t="inlineStr">
        <is>
          <t>2026-06-18</t>
        </is>
      </c>
    </row>
    <row r="1329">
      <c r="A1329" s="232" t="inlineStr">
        <is>
          <t>CR-1326</t>
        </is>
      </c>
      <c r="B1329" s="232" t="inlineStr">
        <is>
          <t>2026/27</t>
        </is>
      </c>
      <c r="C1329" s="233" t="n">
        <v>46043</v>
      </c>
      <c r="D1329" s="232" t="inlineStr">
        <is>
          <t>213465</t>
        </is>
      </c>
      <c r="E1329" s="232" t="inlineStr">
        <is>
          <t>PRORRATEO</t>
        </is>
      </c>
      <c r="F1329" s="232" t="inlineStr">
        <is>
          <t>El Molle</t>
        </is>
      </c>
      <c r="G1329" s="232" t="inlineStr">
        <is>
          <t>arrufatinas 5,74 ha</t>
        </is>
      </c>
      <c r="H1329" s="232" t="inlineStr">
        <is>
          <t>Clementinas</t>
        </is>
      </c>
      <c r="I1329" s="232" t="inlineStr">
        <is>
          <t>Arrufatinas</t>
        </is>
      </c>
      <c r="J1329" s="232" t="inlineStr">
        <is>
          <t>MATERIALES COSECHA</t>
        </is>
      </c>
      <c r="K1329" s="232" t="inlineStr">
        <is>
          <t>INSUMOS PACKING</t>
        </is>
      </c>
      <c r="L1329" s="232" t="inlineStr">
        <is>
          <t>[PRORRATEO 3.9% 5.74há/148.3há] O/001281 CARPETA VI</t>
        </is>
      </c>
      <c r="M1329" s="232" t="inlineStr"/>
      <c r="N1329" s="232" t="inlineStr">
        <is>
          <t>.   .   -</t>
        </is>
      </c>
      <c r="O1329" s="232" t="inlineStr">
        <is>
          <t>ENERO</t>
        </is>
      </c>
      <c r="P1329" s="232" t="n">
        <v>3</v>
      </c>
      <c r="Q1329" s="234" t="n">
        <v>155</v>
      </c>
      <c r="R1329" s="232" t="inlineStr"/>
      <c r="S1329" s="234" t="n">
        <v>155</v>
      </c>
      <c r="T1329" s="232" t="inlineStr">
        <is>
          <t>CLP</t>
        </is>
      </c>
      <c r="U1329" s="232" t="inlineStr">
        <is>
          <t>Prorrateo Ha PACKING</t>
        </is>
      </c>
      <c r="V1329" s="232" t="inlineStr">
        <is>
          <t>2026-06-18</t>
        </is>
      </c>
    </row>
    <row r="1330">
      <c r="A1330" s="232" t="inlineStr">
        <is>
          <t>CR-1327</t>
        </is>
      </c>
      <c r="B1330" s="232" t="inlineStr">
        <is>
          <t>2026/27</t>
        </is>
      </c>
      <c r="C1330" s="233" t="n">
        <v>46043</v>
      </c>
      <c r="D1330" s="232" t="inlineStr">
        <is>
          <t>213465</t>
        </is>
      </c>
      <c r="E1330" s="232" t="inlineStr">
        <is>
          <t>PRORRATEO</t>
        </is>
      </c>
      <c r="F1330" s="232" t="inlineStr">
        <is>
          <t>El Molle</t>
        </is>
      </c>
      <c r="G1330" s="232" t="inlineStr">
        <is>
          <t>orogrande 8,11 ha</t>
        </is>
      </c>
      <c r="H1330" s="232" t="inlineStr">
        <is>
          <t>Clementinas</t>
        </is>
      </c>
      <c r="I1330" s="232" t="inlineStr">
        <is>
          <t>Orogrande</t>
        </is>
      </c>
      <c r="J1330" s="232" t="inlineStr">
        <is>
          <t>MATERIALES COSECHA</t>
        </is>
      </c>
      <c r="K1330" s="232" t="inlineStr">
        <is>
          <t>INSUMOS PACKING</t>
        </is>
      </c>
      <c r="L1330" s="232" t="inlineStr">
        <is>
          <t>[PRORRATEO 5.5% 8.11há/148.3há] O/001281 CARPETA VI</t>
        </is>
      </c>
      <c r="M1330" s="232" t="inlineStr"/>
      <c r="N1330" s="232" t="inlineStr">
        <is>
          <t>.   .   -</t>
        </is>
      </c>
      <c r="O1330" s="232" t="inlineStr">
        <is>
          <t>ENERO</t>
        </is>
      </c>
      <c r="P1330" s="232" t="n">
        <v>3</v>
      </c>
      <c r="Q1330" s="234" t="n">
        <v>219</v>
      </c>
      <c r="R1330" s="232" t="inlineStr"/>
      <c r="S1330" s="234" t="n">
        <v>219</v>
      </c>
      <c r="T1330" s="232" t="inlineStr">
        <is>
          <t>CLP</t>
        </is>
      </c>
      <c r="U1330" s="232" t="inlineStr">
        <is>
          <t>Prorrateo Ha PACKING</t>
        </is>
      </c>
      <c r="V1330" s="232" t="inlineStr">
        <is>
          <t>2026-06-18</t>
        </is>
      </c>
    </row>
    <row r="1331">
      <c r="A1331" s="232" t="inlineStr">
        <is>
          <t>CR-1328</t>
        </is>
      </c>
      <c r="B1331" s="232" t="inlineStr">
        <is>
          <t>2026/27</t>
        </is>
      </c>
      <c r="C1331" s="233" t="n">
        <v>46043</v>
      </c>
      <c r="D1331" s="232" t="inlineStr">
        <is>
          <t>213465</t>
        </is>
      </c>
      <c r="E1331" s="232" t="inlineStr">
        <is>
          <t>PRORRATEO</t>
        </is>
      </c>
      <c r="F1331" s="232" t="inlineStr">
        <is>
          <t>El Molle</t>
        </is>
      </c>
      <c r="G1331" s="232" t="inlineStr">
        <is>
          <t>oronules 5,35 ha</t>
        </is>
      </c>
      <c r="H1331" s="232" t="inlineStr">
        <is>
          <t>Clementinas</t>
        </is>
      </c>
      <c r="I1331" s="232" t="inlineStr">
        <is>
          <t>Oronules</t>
        </is>
      </c>
      <c r="J1331" s="232" t="inlineStr">
        <is>
          <t>MATERIALES COSECHA</t>
        </is>
      </c>
      <c r="K1331" s="232" t="inlineStr">
        <is>
          <t>INSUMOS PACKING</t>
        </is>
      </c>
      <c r="L1331" s="232" t="inlineStr">
        <is>
          <t>[PRORRATEO 3.6% 5.35há/148.3há] O/001281 CARPETA VI</t>
        </is>
      </c>
      <c r="M1331" s="232" t="inlineStr"/>
      <c r="N1331" s="232" t="inlineStr">
        <is>
          <t>.   .   -</t>
        </is>
      </c>
      <c r="O1331" s="232" t="inlineStr">
        <is>
          <t>ENERO</t>
        </is>
      </c>
      <c r="P1331" s="232" t="n">
        <v>3</v>
      </c>
      <c r="Q1331" s="234" t="n">
        <v>144</v>
      </c>
      <c r="R1331" s="232" t="inlineStr"/>
      <c r="S1331" s="234" t="n">
        <v>144</v>
      </c>
      <c r="T1331" s="232" t="inlineStr">
        <is>
          <t>CLP</t>
        </is>
      </c>
      <c r="U1331" s="232" t="inlineStr">
        <is>
          <t>Prorrateo Ha PACKING</t>
        </is>
      </c>
      <c r="V1331" s="232" t="inlineStr">
        <is>
          <t>2026-06-18</t>
        </is>
      </c>
    </row>
    <row r="1332">
      <c r="A1332" s="232" t="inlineStr">
        <is>
          <t>CR-1329</t>
        </is>
      </c>
      <c r="B1332" s="232" t="inlineStr">
        <is>
          <t>2026/27</t>
        </is>
      </c>
      <c r="C1332" s="233" t="n">
        <v>46043</v>
      </c>
      <c r="D1332" s="232" t="inlineStr">
        <is>
          <t>213465</t>
        </is>
      </c>
      <c r="E1332" s="232" t="inlineStr">
        <is>
          <t>PRORRATEO</t>
        </is>
      </c>
      <c r="F1332" s="232" t="inlineStr">
        <is>
          <t>Santa Catalina</t>
        </is>
      </c>
      <c r="G1332" s="232" t="inlineStr">
        <is>
          <t>Fino 49 7,7 ha</t>
        </is>
      </c>
      <c r="H1332" s="232" t="inlineStr">
        <is>
          <t>Limon</t>
        </is>
      </c>
      <c r="I1332" s="232" t="inlineStr">
        <is>
          <t>Fino 49</t>
        </is>
      </c>
      <c r="J1332" s="232" t="inlineStr">
        <is>
          <t>MATERIALES COSECHA</t>
        </is>
      </c>
      <c r="K1332" s="232" t="inlineStr">
        <is>
          <t>INSUMOS PACKING</t>
        </is>
      </c>
      <c r="L1332" s="232" t="inlineStr">
        <is>
          <t>[PRORRATEO 5.2% 7.7há/148.3há] O/001281 CARPETA VI</t>
        </is>
      </c>
      <c r="M1332" s="232" t="inlineStr"/>
      <c r="N1332" s="232" t="inlineStr">
        <is>
          <t>.   .   -</t>
        </is>
      </c>
      <c r="O1332" s="232" t="inlineStr">
        <is>
          <t>ENERO</t>
        </is>
      </c>
      <c r="P1332" s="232" t="n">
        <v>3</v>
      </c>
      <c r="Q1332" s="234" t="n">
        <v>208</v>
      </c>
      <c r="R1332" s="232" t="inlineStr"/>
      <c r="S1332" s="234" t="n">
        <v>208</v>
      </c>
      <c r="T1332" s="232" t="inlineStr">
        <is>
          <t>CLP</t>
        </is>
      </c>
      <c r="U1332" s="232" t="inlineStr">
        <is>
          <t>Prorrateo Ha PACKING</t>
        </is>
      </c>
      <c r="V1332" s="232" t="inlineStr">
        <is>
          <t>2026-06-18</t>
        </is>
      </c>
    </row>
    <row r="1333">
      <c r="A1333" s="232" t="inlineStr">
        <is>
          <t>CR-1330</t>
        </is>
      </c>
      <c r="B1333" s="232" t="inlineStr">
        <is>
          <t>2026/27</t>
        </is>
      </c>
      <c r="C1333" s="233" t="n">
        <v>46043</v>
      </c>
      <c r="D1333" s="232" t="inlineStr">
        <is>
          <t>213465</t>
        </is>
      </c>
      <c r="E1333" s="232" t="inlineStr">
        <is>
          <t>PRORRATEO</t>
        </is>
      </c>
      <c r="F1333" s="232" t="inlineStr">
        <is>
          <t>Santa Catalina</t>
        </is>
      </c>
      <c r="G1333" s="232" t="inlineStr">
        <is>
          <t>W. murcott 21 ha</t>
        </is>
      </c>
      <c r="H1333" s="232" t="inlineStr">
        <is>
          <t>Mandarina</t>
        </is>
      </c>
      <c r="I1333" s="232" t="inlineStr">
        <is>
          <t>W. murcott</t>
        </is>
      </c>
      <c r="J1333" s="232" t="inlineStr">
        <is>
          <t>MATERIALES COSECHA</t>
        </is>
      </c>
      <c r="K1333" s="232" t="inlineStr">
        <is>
          <t>INSUMOS PACKING</t>
        </is>
      </c>
      <c r="L1333" s="232" t="inlineStr">
        <is>
          <t>[PRORRATEO 14.2% 21.0há/148.3há] O/001281 CARPETA VI</t>
        </is>
      </c>
      <c r="M1333" s="232" t="inlineStr"/>
      <c r="N1333" s="232" t="inlineStr">
        <is>
          <t>.   .   -</t>
        </is>
      </c>
      <c r="O1333" s="232" t="inlineStr">
        <is>
          <t>ENERO</t>
        </is>
      </c>
      <c r="P1333" s="232" t="n">
        <v>3</v>
      </c>
      <c r="Q1333" s="234" t="n">
        <v>567</v>
      </c>
      <c r="R1333" s="232" t="inlineStr"/>
      <c r="S1333" s="234" t="n">
        <v>567</v>
      </c>
      <c r="T1333" s="232" t="inlineStr">
        <is>
          <t>CLP</t>
        </is>
      </c>
      <c r="U1333" s="232" t="inlineStr">
        <is>
          <t>Prorrateo Ha PACKING</t>
        </is>
      </c>
      <c r="V1333" s="232" t="inlineStr">
        <is>
          <t>2026-06-18</t>
        </is>
      </c>
    </row>
    <row r="1334">
      <c r="A1334" s="232" t="inlineStr">
        <is>
          <t>CR-1331</t>
        </is>
      </c>
      <c r="B1334" s="232" t="inlineStr">
        <is>
          <t>2026/27</t>
        </is>
      </c>
      <c r="C1334" s="233" t="n">
        <v>46043</v>
      </c>
      <c r="D1334" s="232" t="inlineStr">
        <is>
          <t>213465</t>
        </is>
      </c>
      <c r="E1334" s="232" t="inlineStr">
        <is>
          <t>PRORRATEO</t>
        </is>
      </c>
      <c r="F1334" s="232" t="inlineStr">
        <is>
          <t>Santa Catalina</t>
        </is>
      </c>
      <c r="G1334" s="232" t="inlineStr">
        <is>
          <t>cambria 4,2 ha</t>
        </is>
      </c>
      <c r="H1334" s="232" t="inlineStr">
        <is>
          <t>Naranjas</t>
        </is>
      </c>
      <c r="I1334" s="232" t="inlineStr">
        <is>
          <t>Cambria</t>
        </is>
      </c>
      <c r="J1334" s="232" t="inlineStr">
        <is>
          <t>MATERIALES COSECHA</t>
        </is>
      </c>
      <c r="K1334" s="232" t="inlineStr">
        <is>
          <t>INSUMOS PACKING</t>
        </is>
      </c>
      <c r="L1334" s="232" t="inlineStr">
        <is>
          <t>[PRORRATEO 2.8% 4.2há/148.3há] O/001281 CARPETA VI</t>
        </is>
      </c>
      <c r="M1334" s="232" t="inlineStr"/>
      <c r="N1334" s="232" t="inlineStr">
        <is>
          <t>.   .   -</t>
        </is>
      </c>
      <c r="O1334" s="232" t="inlineStr">
        <is>
          <t>ENERO</t>
        </is>
      </c>
      <c r="P1334" s="232" t="n">
        <v>3</v>
      </c>
      <c r="Q1334" s="234" t="n">
        <v>113</v>
      </c>
      <c r="R1334" s="232" t="inlineStr"/>
      <c r="S1334" s="234" t="n">
        <v>113</v>
      </c>
      <c r="T1334" s="232" t="inlineStr">
        <is>
          <t>CLP</t>
        </is>
      </c>
      <c r="U1334" s="232" t="inlineStr">
        <is>
          <t>Prorrateo Ha PACKING</t>
        </is>
      </c>
      <c r="V1334" s="232" t="inlineStr">
        <is>
          <t>2026-06-18</t>
        </is>
      </c>
    </row>
    <row r="1335">
      <c r="A1335" s="232" t="inlineStr">
        <is>
          <t>CR-1332</t>
        </is>
      </c>
      <c r="B1335" s="232" t="inlineStr">
        <is>
          <t>2026/27</t>
        </is>
      </c>
      <c r="C1335" s="233" t="n">
        <v>46043</v>
      </c>
      <c r="D1335" s="232" t="inlineStr">
        <is>
          <t>213465</t>
        </is>
      </c>
      <c r="E1335" s="232" t="inlineStr">
        <is>
          <t>PRORRATEO</t>
        </is>
      </c>
      <c r="F1335" s="232" t="inlineStr">
        <is>
          <t>Santa Catalina</t>
        </is>
      </c>
      <c r="G1335" s="232" t="inlineStr">
        <is>
          <t>eureka 10,6 ha</t>
        </is>
      </c>
      <c r="H1335" s="232" t="inlineStr">
        <is>
          <t>Limon</t>
        </is>
      </c>
      <c r="I1335" s="232" t="inlineStr">
        <is>
          <t>Eureka</t>
        </is>
      </c>
      <c r="J1335" s="232" t="inlineStr">
        <is>
          <t>MATERIALES COSECHA</t>
        </is>
      </c>
      <c r="K1335" s="232" t="inlineStr">
        <is>
          <t>INSUMOS PACKING</t>
        </is>
      </c>
      <c r="L1335" s="232" t="inlineStr">
        <is>
          <t>[PRORRATEO 7.1% 10.6há/148.3há] O/001281 CARPETA VI</t>
        </is>
      </c>
      <c r="M1335" s="232" t="inlineStr"/>
      <c r="N1335" s="232" t="inlineStr">
        <is>
          <t>.   .   -</t>
        </is>
      </c>
      <c r="O1335" s="232" t="inlineStr">
        <is>
          <t>ENERO</t>
        </is>
      </c>
      <c r="P1335" s="232" t="n">
        <v>3</v>
      </c>
      <c r="Q1335" s="234" t="n">
        <v>286</v>
      </c>
      <c r="R1335" s="232" t="inlineStr"/>
      <c r="S1335" s="234" t="n">
        <v>286</v>
      </c>
      <c r="T1335" s="232" t="inlineStr">
        <is>
          <t>CLP</t>
        </is>
      </c>
      <c r="U1335" s="232" t="inlineStr">
        <is>
          <t>Prorrateo Ha PACKING</t>
        </is>
      </c>
      <c r="V1335" s="232" t="inlineStr">
        <is>
          <t>2026-06-18</t>
        </is>
      </c>
    </row>
    <row r="1336">
      <c r="A1336" s="232" t="inlineStr">
        <is>
          <t>CR-1333</t>
        </is>
      </c>
      <c r="B1336" s="232" t="inlineStr">
        <is>
          <t>2026/27</t>
        </is>
      </c>
      <c r="C1336" s="233" t="n">
        <v>46043</v>
      </c>
      <c r="D1336" s="232" t="inlineStr">
        <is>
          <t>213465</t>
        </is>
      </c>
      <c r="E1336" s="232" t="inlineStr">
        <is>
          <t>PRORRATEO</t>
        </is>
      </c>
      <c r="F1336" s="232" t="inlineStr">
        <is>
          <t>Santa Catalina</t>
        </is>
      </c>
      <c r="G1336" s="232" t="inlineStr">
        <is>
          <t>eureka 14,4 ha</t>
        </is>
      </c>
      <c r="H1336" s="232" t="inlineStr">
        <is>
          <t>Limon</t>
        </is>
      </c>
      <c r="I1336" s="232" t="inlineStr">
        <is>
          <t>Eureka</t>
        </is>
      </c>
      <c r="J1336" s="232" t="inlineStr">
        <is>
          <t>MATERIALES COSECHA</t>
        </is>
      </c>
      <c r="K1336" s="232" t="inlineStr">
        <is>
          <t>INSUMOS PACKING</t>
        </is>
      </c>
      <c r="L1336" s="232" t="inlineStr">
        <is>
          <t>[PRORRATEO 9.7% 14.4há/148.3há] O/001281 CARPETA VI</t>
        </is>
      </c>
      <c r="M1336" s="232" t="inlineStr"/>
      <c r="N1336" s="232" t="inlineStr">
        <is>
          <t>.   .   -</t>
        </is>
      </c>
      <c r="O1336" s="232" t="inlineStr">
        <is>
          <t>ENERO</t>
        </is>
      </c>
      <c r="P1336" s="232" t="n">
        <v>3</v>
      </c>
      <c r="Q1336" s="234" t="n">
        <v>389</v>
      </c>
      <c r="R1336" s="232" t="inlineStr"/>
      <c r="S1336" s="234" t="n">
        <v>389</v>
      </c>
      <c r="T1336" s="232" t="inlineStr">
        <is>
          <t>CLP</t>
        </is>
      </c>
      <c r="U1336" s="232" t="inlineStr">
        <is>
          <t>Prorrateo Ha PACKING</t>
        </is>
      </c>
      <c r="V1336" s="232" t="inlineStr">
        <is>
          <t>2026-06-18</t>
        </is>
      </c>
    </row>
    <row r="1337">
      <c r="A1337" s="232" t="inlineStr">
        <is>
          <t>CR-1334</t>
        </is>
      </c>
      <c r="B1337" s="232" t="inlineStr">
        <is>
          <t>2026/27</t>
        </is>
      </c>
      <c r="C1337" s="233" t="n">
        <v>46043</v>
      </c>
      <c r="D1337" s="232" t="inlineStr">
        <is>
          <t>213465</t>
        </is>
      </c>
      <c r="E1337" s="232" t="inlineStr">
        <is>
          <t>PRORRATEO</t>
        </is>
      </c>
      <c r="F1337" s="232" t="inlineStr">
        <is>
          <t>Santa Catalina</t>
        </is>
      </c>
      <c r="G1337" s="232" t="inlineStr">
        <is>
          <t>eureka 22,55</t>
        </is>
      </c>
      <c r="H1337" s="232" t="inlineStr">
        <is>
          <t>Limon</t>
        </is>
      </c>
      <c r="I1337" s="232" t="inlineStr">
        <is>
          <t>Eureka</t>
        </is>
      </c>
      <c r="J1337" s="232" t="inlineStr">
        <is>
          <t>MATERIALES COSECHA</t>
        </is>
      </c>
      <c r="K1337" s="232" t="inlineStr">
        <is>
          <t>INSUMOS PACKING</t>
        </is>
      </c>
      <c r="L1337" s="232" t="inlineStr">
        <is>
          <t>[PRORRATEO 15.2% 22.55há/148.3há] O/001281 CARPETA VI</t>
        </is>
      </c>
      <c r="M1337" s="232" t="inlineStr"/>
      <c r="N1337" s="232" t="inlineStr">
        <is>
          <t>.   .   -</t>
        </is>
      </c>
      <c r="O1337" s="232" t="inlineStr">
        <is>
          <t>ENERO</t>
        </is>
      </c>
      <c r="P1337" s="232" t="n">
        <v>3</v>
      </c>
      <c r="Q1337" s="234" t="n">
        <v>608</v>
      </c>
      <c r="R1337" s="232" t="inlineStr"/>
      <c r="S1337" s="234" t="n">
        <v>608</v>
      </c>
      <c r="T1337" s="232" t="inlineStr">
        <is>
          <t>CLP</t>
        </is>
      </c>
      <c r="U1337" s="232" t="inlineStr">
        <is>
          <t>Prorrateo Ha PACKING</t>
        </is>
      </c>
      <c r="V1337" s="232" t="inlineStr">
        <is>
          <t>2026-06-18</t>
        </is>
      </c>
    </row>
    <row r="1338">
      <c r="A1338" s="232" t="inlineStr">
        <is>
          <t>CR-1335</t>
        </is>
      </c>
      <c r="B1338" s="232" t="inlineStr">
        <is>
          <t>2026/27</t>
        </is>
      </c>
      <c r="C1338" s="233" t="n">
        <v>46043</v>
      </c>
      <c r="D1338" s="232" t="inlineStr">
        <is>
          <t>213465</t>
        </is>
      </c>
      <c r="E1338" s="232" t="inlineStr">
        <is>
          <t>PRORRATEO</t>
        </is>
      </c>
      <c r="F1338" s="232" t="inlineStr">
        <is>
          <t>Santa Catalina</t>
        </is>
      </c>
      <c r="G1338" s="232" t="inlineStr">
        <is>
          <t>form benjamin 1,93 ha</t>
        </is>
      </c>
      <c r="H1338" s="232" t="inlineStr">
        <is>
          <t>Limon</t>
        </is>
      </c>
      <c r="I1338" s="232" t="inlineStr">
        <is>
          <t>Benjamin andes</t>
        </is>
      </c>
      <c r="J1338" s="232" t="inlineStr">
        <is>
          <t>MATERIALES COSECHA</t>
        </is>
      </c>
      <c r="K1338" s="232" t="inlineStr">
        <is>
          <t>INSUMOS PACKING</t>
        </is>
      </c>
      <c r="L1338" s="232" t="inlineStr">
        <is>
          <t>[PRORRATEO 1.3% 1.93há/148.3há] O/001281 CARPETA VI</t>
        </is>
      </c>
      <c r="M1338" s="232" t="inlineStr"/>
      <c r="N1338" s="232" t="inlineStr">
        <is>
          <t>.   .   -</t>
        </is>
      </c>
      <c r="O1338" s="232" t="inlineStr">
        <is>
          <t>ENERO</t>
        </is>
      </c>
      <c r="P1338" s="232" t="n">
        <v>3</v>
      </c>
      <c r="Q1338" s="234" t="n">
        <v>52</v>
      </c>
      <c r="R1338" s="232" t="inlineStr"/>
      <c r="S1338" s="234" t="n">
        <v>52</v>
      </c>
      <c r="T1338" s="232" t="inlineStr">
        <is>
          <t>CLP</t>
        </is>
      </c>
      <c r="U1338" s="232" t="inlineStr">
        <is>
          <t>Prorrateo Ha PACKING</t>
        </is>
      </c>
      <c r="V1338" s="232" t="inlineStr">
        <is>
          <t>2026-06-18</t>
        </is>
      </c>
    </row>
    <row r="1339">
      <c r="A1339" s="232" t="inlineStr">
        <is>
          <t>CR-1336</t>
        </is>
      </c>
      <c r="B1339" s="232" t="inlineStr">
        <is>
          <t>2026/27</t>
        </is>
      </c>
      <c r="C1339" s="233" t="n">
        <v>46043</v>
      </c>
      <c r="D1339" s="232" t="inlineStr">
        <is>
          <t>213465</t>
        </is>
      </c>
      <c r="E1339" s="232" t="inlineStr">
        <is>
          <t>PRORRATEO</t>
        </is>
      </c>
      <c r="F1339" s="232" t="inlineStr">
        <is>
          <t>Santa Catalina</t>
        </is>
      </c>
      <c r="G1339" s="232" t="inlineStr">
        <is>
          <t>mant eureka 2,5 ha</t>
        </is>
      </c>
      <c r="H1339" s="232" t="inlineStr">
        <is>
          <t>Limon</t>
        </is>
      </c>
      <c r="I1339" s="232" t="inlineStr">
        <is>
          <t>Eureka</t>
        </is>
      </c>
      <c r="J1339" s="232" t="inlineStr">
        <is>
          <t>MATERIALES COSECHA</t>
        </is>
      </c>
      <c r="K1339" s="232" t="inlineStr">
        <is>
          <t>INSUMOS PACKING</t>
        </is>
      </c>
      <c r="L1339" s="232" t="inlineStr">
        <is>
          <t>[PRORRATEO 1.7% 2.5há/148.3há] O/001281 CARPETA VI</t>
        </is>
      </c>
      <c r="M1339" s="232" t="inlineStr"/>
      <c r="N1339" s="232" t="inlineStr">
        <is>
          <t>.   .   -</t>
        </is>
      </c>
      <c r="O1339" s="232" t="inlineStr">
        <is>
          <t>ENERO</t>
        </is>
      </c>
      <c r="P1339" s="232" t="n">
        <v>3</v>
      </c>
      <c r="Q1339" s="234" t="n">
        <v>67</v>
      </c>
      <c r="R1339" s="232" t="inlineStr"/>
      <c r="S1339" s="234" t="n">
        <v>67</v>
      </c>
      <c r="T1339" s="232" t="inlineStr">
        <is>
          <t>CLP</t>
        </is>
      </c>
      <c r="U1339" s="232" t="inlineStr">
        <is>
          <t>Prorrateo Ha PACKING</t>
        </is>
      </c>
      <c r="V1339" s="232" t="inlineStr">
        <is>
          <t>2026-06-18</t>
        </is>
      </c>
    </row>
    <row r="1340">
      <c r="A1340" s="232" t="inlineStr">
        <is>
          <t>CR-1337</t>
        </is>
      </c>
      <c r="B1340" s="232" t="inlineStr">
        <is>
          <t>2026/27</t>
        </is>
      </c>
      <c r="C1340" s="233" t="n">
        <v>46043</v>
      </c>
      <c r="D1340" s="232" t="inlineStr">
        <is>
          <t>213465</t>
        </is>
      </c>
      <c r="E1340" s="232" t="inlineStr">
        <is>
          <t>PRORRATEO</t>
        </is>
      </c>
      <c r="F1340" s="232" t="inlineStr">
        <is>
          <t>Siberia</t>
        </is>
      </c>
      <c r="G1340" s="232" t="inlineStr">
        <is>
          <t>S. Celebration 7,14</t>
        </is>
      </c>
      <c r="H1340" s="232" t="inlineStr">
        <is>
          <t>Uvas</t>
        </is>
      </c>
      <c r="I1340" s="232" t="inlineStr">
        <is>
          <t>S. celebration</t>
        </is>
      </c>
      <c r="J1340" s="232" t="inlineStr">
        <is>
          <t>MATERIALES COSECHA</t>
        </is>
      </c>
      <c r="K1340" s="232" t="inlineStr">
        <is>
          <t>INSUMOS PACKING</t>
        </is>
      </c>
      <c r="L1340" s="232" t="inlineStr">
        <is>
          <t>[PRORRATEO 4.8% 7.14há/148.3há] O/001281 CARPETA VI</t>
        </is>
      </c>
      <c r="M1340" s="232" t="inlineStr"/>
      <c r="N1340" s="232" t="inlineStr">
        <is>
          <t>.   .   -</t>
        </is>
      </c>
      <c r="O1340" s="232" t="inlineStr">
        <is>
          <t>ENERO</t>
        </is>
      </c>
      <c r="P1340" s="232" t="n">
        <v>3</v>
      </c>
      <c r="Q1340" s="234" t="n">
        <v>193</v>
      </c>
      <c r="R1340" s="232" t="inlineStr"/>
      <c r="S1340" s="234" t="n">
        <v>193</v>
      </c>
      <c r="T1340" s="232" t="inlineStr">
        <is>
          <t>CLP</t>
        </is>
      </c>
      <c r="U1340" s="232" t="inlineStr">
        <is>
          <t>Prorrateo Ha PACKING</t>
        </is>
      </c>
      <c r="V1340" s="232" t="inlineStr">
        <is>
          <t>2026-06-18</t>
        </is>
      </c>
    </row>
    <row r="1341">
      <c r="A1341" s="232" t="inlineStr">
        <is>
          <t>CR-1338</t>
        </is>
      </c>
      <c r="B1341" s="232" t="inlineStr">
        <is>
          <t>2026/27</t>
        </is>
      </c>
      <c r="C1341" s="233" t="n">
        <v>46043</v>
      </c>
      <c r="D1341" s="232" t="inlineStr">
        <is>
          <t>213465</t>
        </is>
      </c>
      <c r="E1341" s="232" t="inlineStr">
        <is>
          <t>PRORRATEO</t>
        </is>
      </c>
      <c r="F1341" s="232" t="inlineStr">
        <is>
          <t>Siberia</t>
        </is>
      </c>
      <c r="G1341" s="232" t="inlineStr">
        <is>
          <t>Timpson 7,1</t>
        </is>
      </c>
      <c r="H1341" s="232" t="inlineStr">
        <is>
          <t>Uvas</t>
        </is>
      </c>
      <c r="I1341" s="232" t="inlineStr">
        <is>
          <t>Timpson</t>
        </is>
      </c>
      <c r="J1341" s="232" t="inlineStr">
        <is>
          <t>MATERIALES COSECHA</t>
        </is>
      </c>
      <c r="K1341" s="232" t="inlineStr">
        <is>
          <t>INSUMOS PACKING</t>
        </is>
      </c>
      <c r="L1341" s="232" t="inlineStr">
        <is>
          <t>[PRORRATEO 4.8% 7.1há/148.3há] O/001281 CARPETA VI</t>
        </is>
      </c>
      <c r="M1341" s="232" t="inlineStr"/>
      <c r="N1341" s="232" t="inlineStr">
        <is>
          <t>.   .   -</t>
        </is>
      </c>
      <c r="O1341" s="232" t="inlineStr">
        <is>
          <t>ENERO</t>
        </is>
      </c>
      <c r="P1341" s="232" t="n">
        <v>3</v>
      </c>
      <c r="Q1341" s="234" t="n">
        <v>192</v>
      </c>
      <c r="R1341" s="232" t="inlineStr"/>
      <c r="S1341" s="234" t="n">
        <v>192</v>
      </c>
      <c r="T1341" s="232" t="inlineStr">
        <is>
          <t>CLP</t>
        </is>
      </c>
      <c r="U1341" s="232" t="inlineStr">
        <is>
          <t>Prorrateo Ha PACKING</t>
        </is>
      </c>
      <c r="V1341" s="232" t="inlineStr">
        <is>
          <t>2026-06-18</t>
        </is>
      </c>
    </row>
    <row r="1342">
      <c r="A1342" s="232" t="inlineStr">
        <is>
          <t>CR-1339</t>
        </is>
      </c>
      <c r="B1342" s="232" t="inlineStr">
        <is>
          <t>2026/27</t>
        </is>
      </c>
      <c r="C1342" s="233" t="n">
        <v>46043</v>
      </c>
      <c r="D1342" s="232" t="inlineStr">
        <is>
          <t>213465</t>
        </is>
      </c>
      <c r="E1342" s="232" t="inlineStr">
        <is>
          <t>PRORRATEO</t>
        </is>
      </c>
      <c r="F1342" s="232" t="inlineStr">
        <is>
          <t>Asmara</t>
        </is>
      </c>
      <c r="G1342" s="232" t="inlineStr">
        <is>
          <t>w. murcott 19,8 ha</t>
        </is>
      </c>
      <c r="H1342" s="232" t="inlineStr">
        <is>
          <t>Mandarina</t>
        </is>
      </c>
      <c r="I1342" s="232" t="inlineStr">
        <is>
          <t>W. murcott</t>
        </is>
      </c>
      <c r="J1342" s="232" t="inlineStr">
        <is>
          <t>MATERIALES COSECHA</t>
        </is>
      </c>
      <c r="K1342" s="232" t="inlineStr">
        <is>
          <t>INSUMOS PACKING</t>
        </is>
      </c>
      <c r="L1342" s="232" t="inlineStr">
        <is>
          <t>[PRORRATEO 13.4% 19.8há/148.3há] O/001281 DETERGENTE</t>
        </is>
      </c>
      <c r="M1342" s="232" t="inlineStr"/>
      <c r="N1342" s="232" t="inlineStr">
        <is>
          <t>.   .   -</t>
        </is>
      </c>
      <c r="O1342" s="232" t="inlineStr">
        <is>
          <t>ENERO</t>
        </is>
      </c>
      <c r="P1342" s="232" t="n">
        <v>3</v>
      </c>
      <c r="Q1342" s="234" t="n">
        <v>2205</v>
      </c>
      <c r="R1342" s="232" t="inlineStr"/>
      <c r="S1342" s="234" t="n">
        <v>2205</v>
      </c>
      <c r="T1342" s="232" t="inlineStr">
        <is>
          <t>CLP</t>
        </is>
      </c>
      <c r="U1342" s="232" t="inlineStr">
        <is>
          <t>Prorrateo Ha PACKING</t>
        </is>
      </c>
      <c r="V1342" s="232" t="inlineStr">
        <is>
          <t>2026-06-18</t>
        </is>
      </c>
    </row>
    <row r="1343">
      <c r="A1343" s="232" t="inlineStr">
        <is>
          <t>CR-1340</t>
        </is>
      </c>
      <c r="B1343" s="232" t="inlineStr">
        <is>
          <t>2026/27</t>
        </is>
      </c>
      <c r="C1343" s="233" t="n">
        <v>46043</v>
      </c>
      <c r="D1343" s="232" t="inlineStr">
        <is>
          <t>213465</t>
        </is>
      </c>
      <c r="E1343" s="232" t="inlineStr">
        <is>
          <t>PRORRATEO</t>
        </is>
      </c>
      <c r="F1343" s="232" t="inlineStr">
        <is>
          <t>Asmara</t>
        </is>
      </c>
      <c r="G1343" s="232" t="inlineStr">
        <is>
          <t>w. murcott 4,9 ha</t>
        </is>
      </c>
      <c r="H1343" s="232" t="inlineStr">
        <is>
          <t>Mandarina</t>
        </is>
      </c>
      <c r="I1343" s="232" t="inlineStr">
        <is>
          <t>W. murcott</t>
        </is>
      </c>
      <c r="J1343" s="232" t="inlineStr">
        <is>
          <t>MATERIALES COSECHA</t>
        </is>
      </c>
      <c r="K1343" s="232" t="inlineStr">
        <is>
          <t>INSUMOS PACKING</t>
        </is>
      </c>
      <c r="L1343" s="232" t="inlineStr">
        <is>
          <t>[PRORRATEO 3.3% 4.9há/148.3há] O/001281 DETERGENTE</t>
        </is>
      </c>
      <c r="M1343" s="232" t="inlineStr"/>
      <c r="N1343" s="232" t="inlineStr">
        <is>
          <t>.   .   -</t>
        </is>
      </c>
      <c r="O1343" s="232" t="inlineStr">
        <is>
          <t>ENERO</t>
        </is>
      </c>
      <c r="P1343" s="232" t="n">
        <v>3</v>
      </c>
      <c r="Q1343" s="234" t="n">
        <v>546</v>
      </c>
      <c r="R1343" s="232" t="inlineStr"/>
      <c r="S1343" s="234" t="n">
        <v>546</v>
      </c>
      <c r="T1343" s="232" t="inlineStr">
        <is>
          <t>CLP</t>
        </is>
      </c>
      <c r="U1343" s="232" t="inlineStr">
        <is>
          <t>Prorrateo Ha PACKING</t>
        </is>
      </c>
      <c r="V1343" s="232" t="inlineStr">
        <is>
          <t>2026-06-18</t>
        </is>
      </c>
    </row>
    <row r="1344">
      <c r="A1344" s="232" t="inlineStr">
        <is>
          <t>CR-1341</t>
        </is>
      </c>
      <c r="B1344" s="232" t="inlineStr">
        <is>
          <t>2026/27</t>
        </is>
      </c>
      <c r="C1344" s="233" t="n">
        <v>46043</v>
      </c>
      <c r="D1344" s="232" t="inlineStr">
        <is>
          <t>213465</t>
        </is>
      </c>
      <c r="E1344" s="232" t="inlineStr">
        <is>
          <t>PRORRATEO</t>
        </is>
      </c>
      <c r="F1344" s="232" t="inlineStr">
        <is>
          <t>El Molle</t>
        </is>
      </c>
      <c r="G1344" s="232" t="inlineStr">
        <is>
          <t>Wonderful 5,25 ha</t>
        </is>
      </c>
      <c r="H1344" s="232" t="inlineStr">
        <is>
          <t>Granados</t>
        </is>
      </c>
      <c r="I1344" s="232" t="inlineStr">
        <is>
          <t>Wonderfull</t>
        </is>
      </c>
      <c r="J1344" s="232" t="inlineStr">
        <is>
          <t>MATERIALES COSECHA</t>
        </is>
      </c>
      <c r="K1344" s="232" t="inlineStr">
        <is>
          <t>INSUMOS PACKING</t>
        </is>
      </c>
      <c r="L1344" s="232" t="inlineStr">
        <is>
          <t>[PRORRATEO 3.5% 5.24há/148.3há] O/001281 DETERGENTE</t>
        </is>
      </c>
      <c r="M1344" s="232" t="inlineStr"/>
      <c r="N1344" s="232" t="inlineStr">
        <is>
          <t>.   .   -</t>
        </is>
      </c>
      <c r="O1344" s="232" t="inlineStr">
        <is>
          <t>ENERO</t>
        </is>
      </c>
      <c r="P1344" s="232" t="n">
        <v>3</v>
      </c>
      <c r="Q1344" s="234" t="n">
        <v>584</v>
      </c>
      <c r="R1344" s="232" t="inlineStr"/>
      <c r="S1344" s="234" t="n">
        <v>584</v>
      </c>
      <c r="T1344" s="232" t="inlineStr">
        <is>
          <t>CLP</t>
        </is>
      </c>
      <c r="U1344" s="232" t="inlineStr">
        <is>
          <t>Prorrateo Ha PACKING</t>
        </is>
      </c>
      <c r="V1344" s="232" t="inlineStr">
        <is>
          <t>2026-06-18</t>
        </is>
      </c>
    </row>
    <row r="1345">
      <c r="A1345" s="232" t="inlineStr">
        <is>
          <t>CR-1342</t>
        </is>
      </c>
      <c r="B1345" s="232" t="inlineStr">
        <is>
          <t>2026/27</t>
        </is>
      </c>
      <c r="C1345" s="233" t="n">
        <v>46043</v>
      </c>
      <c r="D1345" s="232" t="inlineStr">
        <is>
          <t>213465</t>
        </is>
      </c>
      <c r="E1345" s="232" t="inlineStr">
        <is>
          <t>PRORRATEO</t>
        </is>
      </c>
      <c r="F1345" s="232" t="inlineStr">
        <is>
          <t>El Molle</t>
        </is>
      </c>
      <c r="G1345" s="232" t="inlineStr">
        <is>
          <t>arrufatinas 5,74 ha</t>
        </is>
      </c>
      <c r="H1345" s="232" t="inlineStr">
        <is>
          <t>Clementinas</t>
        </is>
      </c>
      <c r="I1345" s="232" t="inlineStr">
        <is>
          <t>Arrufatinas</t>
        </is>
      </c>
      <c r="J1345" s="232" t="inlineStr">
        <is>
          <t>MATERIALES COSECHA</t>
        </is>
      </c>
      <c r="K1345" s="232" t="inlineStr">
        <is>
          <t>INSUMOS PACKING</t>
        </is>
      </c>
      <c r="L1345" s="232" t="inlineStr">
        <is>
          <t>[PRORRATEO 3.9% 5.74há/148.3há] O/001281 DETERGENTE</t>
        </is>
      </c>
      <c r="M1345" s="232" t="inlineStr"/>
      <c r="N1345" s="232" t="inlineStr">
        <is>
          <t>.   .   -</t>
        </is>
      </c>
      <c r="O1345" s="232" t="inlineStr">
        <is>
          <t>ENERO</t>
        </is>
      </c>
      <c r="P1345" s="232" t="n">
        <v>3</v>
      </c>
      <c r="Q1345" s="234" t="n">
        <v>639</v>
      </c>
      <c r="R1345" s="232" t="inlineStr"/>
      <c r="S1345" s="234" t="n">
        <v>639</v>
      </c>
      <c r="T1345" s="232" t="inlineStr">
        <is>
          <t>CLP</t>
        </is>
      </c>
      <c r="U1345" s="232" t="inlineStr">
        <is>
          <t>Prorrateo Ha PACKING</t>
        </is>
      </c>
      <c r="V1345" s="232" t="inlineStr">
        <is>
          <t>2026-06-18</t>
        </is>
      </c>
    </row>
    <row r="1346">
      <c r="A1346" s="232" t="inlineStr">
        <is>
          <t>CR-1343</t>
        </is>
      </c>
      <c r="B1346" s="232" t="inlineStr">
        <is>
          <t>2026/27</t>
        </is>
      </c>
      <c r="C1346" s="233" t="n">
        <v>46043</v>
      </c>
      <c r="D1346" s="232" t="inlineStr">
        <is>
          <t>213465</t>
        </is>
      </c>
      <c r="E1346" s="232" t="inlineStr">
        <is>
          <t>PRORRATEO</t>
        </is>
      </c>
      <c r="F1346" s="232" t="inlineStr">
        <is>
          <t>El Molle</t>
        </is>
      </c>
      <c r="G1346" s="232" t="inlineStr">
        <is>
          <t>orogrande 8,11 ha</t>
        </is>
      </c>
      <c r="H1346" s="232" t="inlineStr">
        <is>
          <t>Clementinas</t>
        </is>
      </c>
      <c r="I1346" s="232" t="inlineStr">
        <is>
          <t>Orogrande</t>
        </is>
      </c>
      <c r="J1346" s="232" t="inlineStr">
        <is>
          <t>MATERIALES COSECHA</t>
        </is>
      </c>
      <c r="K1346" s="232" t="inlineStr">
        <is>
          <t>INSUMOS PACKING</t>
        </is>
      </c>
      <c r="L1346" s="232" t="inlineStr">
        <is>
          <t>[PRORRATEO 5.5% 8.11há/148.3há] O/001281 DETERGENTE</t>
        </is>
      </c>
      <c r="M1346" s="232" t="inlineStr"/>
      <c r="N1346" s="232" t="inlineStr">
        <is>
          <t>.   .   -</t>
        </is>
      </c>
      <c r="O1346" s="232" t="inlineStr">
        <is>
          <t>ENERO</t>
        </is>
      </c>
      <c r="P1346" s="232" t="n">
        <v>3</v>
      </c>
      <c r="Q1346" s="234" t="n">
        <v>903</v>
      </c>
      <c r="R1346" s="232" t="inlineStr"/>
      <c r="S1346" s="234" t="n">
        <v>903</v>
      </c>
      <c r="T1346" s="232" t="inlineStr">
        <is>
          <t>CLP</t>
        </is>
      </c>
      <c r="U1346" s="232" t="inlineStr">
        <is>
          <t>Prorrateo Ha PACKING</t>
        </is>
      </c>
      <c r="V1346" s="232" t="inlineStr">
        <is>
          <t>2026-06-18</t>
        </is>
      </c>
    </row>
    <row r="1347">
      <c r="A1347" s="232" t="inlineStr">
        <is>
          <t>CR-1344</t>
        </is>
      </c>
      <c r="B1347" s="232" t="inlineStr">
        <is>
          <t>2026/27</t>
        </is>
      </c>
      <c r="C1347" s="233" t="n">
        <v>46043</v>
      </c>
      <c r="D1347" s="232" t="inlineStr">
        <is>
          <t>213465</t>
        </is>
      </c>
      <c r="E1347" s="232" t="inlineStr">
        <is>
          <t>PRORRATEO</t>
        </is>
      </c>
      <c r="F1347" s="232" t="inlineStr">
        <is>
          <t>El Molle</t>
        </is>
      </c>
      <c r="G1347" s="232" t="inlineStr">
        <is>
          <t>oronules 5,35 ha</t>
        </is>
      </c>
      <c r="H1347" s="232" t="inlineStr">
        <is>
          <t>Clementinas</t>
        </is>
      </c>
      <c r="I1347" s="232" t="inlineStr">
        <is>
          <t>Oronules</t>
        </is>
      </c>
      <c r="J1347" s="232" t="inlineStr">
        <is>
          <t>MATERIALES COSECHA</t>
        </is>
      </c>
      <c r="K1347" s="232" t="inlineStr">
        <is>
          <t>INSUMOS PACKING</t>
        </is>
      </c>
      <c r="L1347" s="232" t="inlineStr">
        <is>
          <t>[PRORRATEO 3.6% 5.35há/148.3há] O/001281 DETERGENTE</t>
        </is>
      </c>
      <c r="M1347" s="232" t="inlineStr"/>
      <c r="N1347" s="232" t="inlineStr">
        <is>
          <t>.   .   -</t>
        </is>
      </c>
      <c r="O1347" s="232" t="inlineStr">
        <is>
          <t>ENERO</t>
        </is>
      </c>
      <c r="P1347" s="232" t="n">
        <v>3</v>
      </c>
      <c r="Q1347" s="234" t="n">
        <v>596</v>
      </c>
      <c r="R1347" s="232" t="inlineStr"/>
      <c r="S1347" s="234" t="n">
        <v>596</v>
      </c>
      <c r="T1347" s="232" t="inlineStr">
        <is>
          <t>CLP</t>
        </is>
      </c>
      <c r="U1347" s="232" t="inlineStr">
        <is>
          <t>Prorrateo Ha PACKING</t>
        </is>
      </c>
      <c r="V1347" s="232" t="inlineStr">
        <is>
          <t>2026-06-18</t>
        </is>
      </c>
    </row>
    <row r="1348">
      <c r="A1348" s="232" t="inlineStr">
        <is>
          <t>CR-1345</t>
        </is>
      </c>
      <c r="B1348" s="232" t="inlineStr">
        <is>
          <t>2026/27</t>
        </is>
      </c>
      <c r="C1348" s="233" t="n">
        <v>46043</v>
      </c>
      <c r="D1348" s="232" t="inlineStr">
        <is>
          <t>213465</t>
        </is>
      </c>
      <c r="E1348" s="232" t="inlineStr">
        <is>
          <t>PRORRATEO</t>
        </is>
      </c>
      <c r="F1348" s="232" t="inlineStr">
        <is>
          <t>Santa Catalina</t>
        </is>
      </c>
      <c r="G1348" s="232" t="inlineStr">
        <is>
          <t>Fino 49 7,7 ha</t>
        </is>
      </c>
      <c r="H1348" s="232" t="inlineStr">
        <is>
          <t>Limon</t>
        </is>
      </c>
      <c r="I1348" s="232" t="inlineStr">
        <is>
          <t>Fino 49</t>
        </is>
      </c>
      <c r="J1348" s="232" t="inlineStr">
        <is>
          <t>MATERIALES COSECHA</t>
        </is>
      </c>
      <c r="K1348" s="232" t="inlineStr">
        <is>
          <t>INSUMOS PACKING</t>
        </is>
      </c>
      <c r="L1348" s="232" t="inlineStr">
        <is>
          <t>[PRORRATEO 5.2% 7.7há/148.3há] O/001281 DETERGENTE</t>
        </is>
      </c>
      <c r="M1348" s="232" t="inlineStr"/>
      <c r="N1348" s="232" t="inlineStr">
        <is>
          <t>.   .   -</t>
        </is>
      </c>
      <c r="O1348" s="232" t="inlineStr">
        <is>
          <t>ENERO</t>
        </is>
      </c>
      <c r="P1348" s="232" t="n">
        <v>3</v>
      </c>
      <c r="Q1348" s="234" t="n">
        <v>857</v>
      </c>
      <c r="R1348" s="232" t="inlineStr"/>
      <c r="S1348" s="234" t="n">
        <v>857</v>
      </c>
      <c r="T1348" s="232" t="inlineStr">
        <is>
          <t>CLP</t>
        </is>
      </c>
      <c r="U1348" s="232" t="inlineStr">
        <is>
          <t>Prorrateo Ha PACKING</t>
        </is>
      </c>
      <c r="V1348" s="232" t="inlineStr">
        <is>
          <t>2026-06-18</t>
        </is>
      </c>
    </row>
    <row r="1349">
      <c r="A1349" s="232" t="inlineStr">
        <is>
          <t>CR-1346</t>
        </is>
      </c>
      <c r="B1349" s="232" t="inlineStr">
        <is>
          <t>2026/27</t>
        </is>
      </c>
      <c r="C1349" s="233" t="n">
        <v>46043</v>
      </c>
      <c r="D1349" s="232" t="inlineStr">
        <is>
          <t>213465</t>
        </is>
      </c>
      <c r="E1349" s="232" t="inlineStr">
        <is>
          <t>PRORRATEO</t>
        </is>
      </c>
      <c r="F1349" s="232" t="inlineStr">
        <is>
          <t>Santa Catalina</t>
        </is>
      </c>
      <c r="G1349" s="232" t="inlineStr">
        <is>
          <t>W. murcott 21 ha</t>
        </is>
      </c>
      <c r="H1349" s="232" t="inlineStr">
        <is>
          <t>Mandarina</t>
        </is>
      </c>
      <c r="I1349" s="232" t="inlineStr">
        <is>
          <t>W. murcott</t>
        </is>
      </c>
      <c r="J1349" s="232" t="inlineStr">
        <is>
          <t>MATERIALES COSECHA</t>
        </is>
      </c>
      <c r="K1349" s="232" t="inlineStr">
        <is>
          <t>INSUMOS PACKING</t>
        </is>
      </c>
      <c r="L1349" s="232" t="inlineStr">
        <is>
          <t>[PRORRATEO 14.2% 21.0há/148.3há] O/001281 DETERGENTE</t>
        </is>
      </c>
      <c r="M1349" s="232" t="inlineStr"/>
      <c r="N1349" s="232" t="inlineStr">
        <is>
          <t>.   .   -</t>
        </is>
      </c>
      <c r="O1349" s="232" t="inlineStr">
        <is>
          <t>ENERO</t>
        </is>
      </c>
      <c r="P1349" s="232" t="n">
        <v>3</v>
      </c>
      <c r="Q1349" s="234" t="n">
        <v>2339</v>
      </c>
      <c r="R1349" s="232" t="inlineStr"/>
      <c r="S1349" s="234" t="n">
        <v>2339</v>
      </c>
      <c r="T1349" s="232" t="inlineStr">
        <is>
          <t>CLP</t>
        </is>
      </c>
      <c r="U1349" s="232" t="inlineStr">
        <is>
          <t>Prorrateo Ha PACKING</t>
        </is>
      </c>
      <c r="V1349" s="232" t="inlineStr">
        <is>
          <t>2026-06-18</t>
        </is>
      </c>
    </row>
    <row r="1350">
      <c r="A1350" s="232" t="inlineStr">
        <is>
          <t>CR-1347</t>
        </is>
      </c>
      <c r="B1350" s="232" t="inlineStr">
        <is>
          <t>2026/27</t>
        </is>
      </c>
      <c r="C1350" s="233" t="n">
        <v>46043</v>
      </c>
      <c r="D1350" s="232" t="inlineStr">
        <is>
          <t>213465</t>
        </is>
      </c>
      <c r="E1350" s="232" t="inlineStr">
        <is>
          <t>PRORRATEO</t>
        </is>
      </c>
      <c r="F1350" s="232" t="inlineStr">
        <is>
          <t>Santa Catalina</t>
        </is>
      </c>
      <c r="G1350" s="232" t="inlineStr">
        <is>
          <t>cambria 4,2 ha</t>
        </is>
      </c>
      <c r="H1350" s="232" t="inlineStr">
        <is>
          <t>Naranjas</t>
        </is>
      </c>
      <c r="I1350" s="232" t="inlineStr">
        <is>
          <t>Cambria</t>
        </is>
      </c>
      <c r="J1350" s="232" t="inlineStr">
        <is>
          <t>MATERIALES COSECHA</t>
        </is>
      </c>
      <c r="K1350" s="232" t="inlineStr">
        <is>
          <t>INSUMOS PACKING</t>
        </is>
      </c>
      <c r="L1350" s="232" t="inlineStr">
        <is>
          <t>[PRORRATEO 2.8% 4.2há/148.3há] O/001281 DETERGENTE</t>
        </is>
      </c>
      <c r="M1350" s="232" t="inlineStr"/>
      <c r="N1350" s="232" t="inlineStr">
        <is>
          <t>.   .   -</t>
        </is>
      </c>
      <c r="O1350" s="232" t="inlineStr">
        <is>
          <t>ENERO</t>
        </is>
      </c>
      <c r="P1350" s="232" t="n">
        <v>3</v>
      </c>
      <c r="Q1350" s="234" t="n">
        <v>468</v>
      </c>
      <c r="R1350" s="232" t="inlineStr"/>
      <c r="S1350" s="234" t="n">
        <v>468</v>
      </c>
      <c r="T1350" s="232" t="inlineStr">
        <is>
          <t>CLP</t>
        </is>
      </c>
      <c r="U1350" s="232" t="inlineStr">
        <is>
          <t>Prorrateo Ha PACKING</t>
        </is>
      </c>
      <c r="V1350" s="232" t="inlineStr">
        <is>
          <t>2026-06-18</t>
        </is>
      </c>
    </row>
    <row r="1351">
      <c r="A1351" s="232" t="inlineStr">
        <is>
          <t>CR-1348</t>
        </is>
      </c>
      <c r="B1351" s="232" t="inlineStr">
        <is>
          <t>2026/27</t>
        </is>
      </c>
      <c r="C1351" s="233" t="n">
        <v>46043</v>
      </c>
      <c r="D1351" s="232" t="inlineStr">
        <is>
          <t>213465</t>
        </is>
      </c>
      <c r="E1351" s="232" t="inlineStr">
        <is>
          <t>PRORRATEO</t>
        </is>
      </c>
      <c r="F1351" s="232" t="inlineStr">
        <is>
          <t>Santa Catalina</t>
        </is>
      </c>
      <c r="G1351" s="232" t="inlineStr">
        <is>
          <t>eureka 10,6 ha</t>
        </is>
      </c>
      <c r="H1351" s="232" t="inlineStr">
        <is>
          <t>Limon</t>
        </is>
      </c>
      <c r="I1351" s="232" t="inlineStr">
        <is>
          <t>Eureka</t>
        </is>
      </c>
      <c r="J1351" s="232" t="inlineStr">
        <is>
          <t>MATERIALES COSECHA</t>
        </is>
      </c>
      <c r="K1351" s="232" t="inlineStr">
        <is>
          <t>INSUMOS PACKING</t>
        </is>
      </c>
      <c r="L1351" s="232" t="inlineStr">
        <is>
          <t>[PRORRATEO 7.1% 10.6há/148.3há] O/001281 DETERGENTE</t>
        </is>
      </c>
      <c r="M1351" s="232" t="inlineStr"/>
      <c r="N1351" s="232" t="inlineStr">
        <is>
          <t>.   .   -</t>
        </is>
      </c>
      <c r="O1351" s="232" t="inlineStr">
        <is>
          <t>ENERO</t>
        </is>
      </c>
      <c r="P1351" s="232" t="n">
        <v>3</v>
      </c>
      <c r="Q1351" s="234" t="n">
        <v>1180</v>
      </c>
      <c r="R1351" s="232" t="inlineStr"/>
      <c r="S1351" s="234" t="n">
        <v>1180</v>
      </c>
      <c r="T1351" s="232" t="inlineStr">
        <is>
          <t>CLP</t>
        </is>
      </c>
      <c r="U1351" s="232" t="inlineStr">
        <is>
          <t>Prorrateo Ha PACKING</t>
        </is>
      </c>
      <c r="V1351" s="232" t="inlineStr">
        <is>
          <t>2026-06-18</t>
        </is>
      </c>
    </row>
    <row r="1352">
      <c r="A1352" s="232" t="inlineStr">
        <is>
          <t>CR-1349</t>
        </is>
      </c>
      <c r="B1352" s="232" t="inlineStr">
        <is>
          <t>2026/27</t>
        </is>
      </c>
      <c r="C1352" s="233" t="n">
        <v>46043</v>
      </c>
      <c r="D1352" s="232" t="inlineStr">
        <is>
          <t>213465</t>
        </is>
      </c>
      <c r="E1352" s="232" t="inlineStr">
        <is>
          <t>PRORRATEO</t>
        </is>
      </c>
      <c r="F1352" s="232" t="inlineStr">
        <is>
          <t>Santa Catalina</t>
        </is>
      </c>
      <c r="G1352" s="232" t="inlineStr">
        <is>
          <t>eureka 14,4 ha</t>
        </is>
      </c>
      <c r="H1352" s="232" t="inlineStr">
        <is>
          <t>Limon</t>
        </is>
      </c>
      <c r="I1352" s="232" t="inlineStr">
        <is>
          <t>Eureka</t>
        </is>
      </c>
      <c r="J1352" s="232" t="inlineStr">
        <is>
          <t>MATERIALES COSECHA</t>
        </is>
      </c>
      <c r="K1352" s="232" t="inlineStr">
        <is>
          <t>INSUMOS PACKING</t>
        </is>
      </c>
      <c r="L1352" s="232" t="inlineStr">
        <is>
          <t>[PRORRATEO 9.7% 14.4há/148.3há] O/001281 DETERGENTE</t>
        </is>
      </c>
      <c r="M1352" s="232" t="inlineStr"/>
      <c r="N1352" s="232" t="inlineStr">
        <is>
          <t>.   .   -</t>
        </is>
      </c>
      <c r="O1352" s="232" t="inlineStr">
        <is>
          <t>ENERO</t>
        </is>
      </c>
      <c r="P1352" s="232" t="n">
        <v>3</v>
      </c>
      <c r="Q1352" s="234" t="n">
        <v>1604</v>
      </c>
      <c r="R1352" s="232" t="inlineStr"/>
      <c r="S1352" s="234" t="n">
        <v>1604</v>
      </c>
      <c r="T1352" s="232" t="inlineStr">
        <is>
          <t>CLP</t>
        </is>
      </c>
      <c r="U1352" s="232" t="inlineStr">
        <is>
          <t>Prorrateo Ha PACKING</t>
        </is>
      </c>
      <c r="V1352" s="232" t="inlineStr">
        <is>
          <t>2026-06-18</t>
        </is>
      </c>
    </row>
    <row r="1353">
      <c r="A1353" s="232" t="inlineStr">
        <is>
          <t>CR-1350</t>
        </is>
      </c>
      <c r="B1353" s="232" t="inlineStr">
        <is>
          <t>2026/27</t>
        </is>
      </c>
      <c r="C1353" s="233" t="n">
        <v>46043</v>
      </c>
      <c r="D1353" s="232" t="inlineStr">
        <is>
          <t>213465</t>
        </is>
      </c>
      <c r="E1353" s="232" t="inlineStr">
        <is>
          <t>PRORRATEO</t>
        </is>
      </c>
      <c r="F1353" s="232" t="inlineStr">
        <is>
          <t>Santa Catalina</t>
        </is>
      </c>
      <c r="G1353" s="232" t="inlineStr">
        <is>
          <t>eureka 22,55</t>
        </is>
      </c>
      <c r="H1353" s="232" t="inlineStr">
        <is>
          <t>Limon</t>
        </is>
      </c>
      <c r="I1353" s="232" t="inlineStr">
        <is>
          <t>Eureka</t>
        </is>
      </c>
      <c r="J1353" s="232" t="inlineStr">
        <is>
          <t>MATERIALES COSECHA</t>
        </is>
      </c>
      <c r="K1353" s="232" t="inlineStr">
        <is>
          <t>INSUMOS PACKING</t>
        </is>
      </c>
      <c r="L1353" s="232" t="inlineStr">
        <is>
          <t>[PRORRATEO 15.2% 22.55há/148.3há] O/001281 DETERGENTE</t>
        </is>
      </c>
      <c r="M1353" s="232" t="inlineStr"/>
      <c r="N1353" s="232" t="inlineStr">
        <is>
          <t>.   .   -</t>
        </is>
      </c>
      <c r="O1353" s="232" t="inlineStr">
        <is>
          <t>ENERO</t>
        </is>
      </c>
      <c r="P1353" s="232" t="n">
        <v>3</v>
      </c>
      <c r="Q1353" s="234" t="n">
        <v>2511</v>
      </c>
      <c r="R1353" s="232" t="inlineStr"/>
      <c r="S1353" s="234" t="n">
        <v>2511</v>
      </c>
      <c r="T1353" s="232" t="inlineStr">
        <is>
          <t>CLP</t>
        </is>
      </c>
      <c r="U1353" s="232" t="inlineStr">
        <is>
          <t>Prorrateo Ha PACKING</t>
        </is>
      </c>
      <c r="V1353" s="232" t="inlineStr">
        <is>
          <t>2026-06-18</t>
        </is>
      </c>
    </row>
    <row r="1354">
      <c r="A1354" s="232" t="inlineStr">
        <is>
          <t>CR-1351</t>
        </is>
      </c>
      <c r="B1354" s="232" t="inlineStr">
        <is>
          <t>2026/27</t>
        </is>
      </c>
      <c r="C1354" s="233" t="n">
        <v>46043</v>
      </c>
      <c r="D1354" s="232" t="inlineStr">
        <is>
          <t>213465</t>
        </is>
      </c>
      <c r="E1354" s="232" t="inlineStr">
        <is>
          <t>PRORRATEO</t>
        </is>
      </c>
      <c r="F1354" s="232" t="inlineStr">
        <is>
          <t>Santa Catalina</t>
        </is>
      </c>
      <c r="G1354" s="232" t="inlineStr">
        <is>
          <t>form benjamin 1,93 ha</t>
        </is>
      </c>
      <c r="H1354" s="232" t="inlineStr">
        <is>
          <t>Limon</t>
        </is>
      </c>
      <c r="I1354" s="232" t="inlineStr">
        <is>
          <t>Benjamin andes</t>
        </is>
      </c>
      <c r="J1354" s="232" t="inlineStr">
        <is>
          <t>MATERIALES COSECHA</t>
        </is>
      </c>
      <c r="K1354" s="232" t="inlineStr">
        <is>
          <t>INSUMOS PACKING</t>
        </is>
      </c>
      <c r="L1354" s="232" t="inlineStr">
        <is>
          <t>[PRORRATEO 1.3% 1.93há/148.3há] O/001281 DETERGENTE</t>
        </is>
      </c>
      <c r="M1354" s="232" t="inlineStr"/>
      <c r="N1354" s="232" t="inlineStr">
        <is>
          <t>.   .   -</t>
        </is>
      </c>
      <c r="O1354" s="232" t="inlineStr">
        <is>
          <t>ENERO</t>
        </is>
      </c>
      <c r="P1354" s="232" t="n">
        <v>3</v>
      </c>
      <c r="Q1354" s="234" t="n">
        <v>215</v>
      </c>
      <c r="R1354" s="232" t="inlineStr"/>
      <c r="S1354" s="234" t="n">
        <v>215</v>
      </c>
      <c r="T1354" s="232" t="inlineStr">
        <is>
          <t>CLP</t>
        </is>
      </c>
      <c r="U1354" s="232" t="inlineStr">
        <is>
          <t>Prorrateo Ha PACKING</t>
        </is>
      </c>
      <c r="V1354" s="232" t="inlineStr">
        <is>
          <t>2026-06-18</t>
        </is>
      </c>
    </row>
    <row r="1355">
      <c r="A1355" s="232" t="inlineStr">
        <is>
          <t>CR-1352</t>
        </is>
      </c>
      <c r="B1355" s="232" t="inlineStr">
        <is>
          <t>2026/27</t>
        </is>
      </c>
      <c r="C1355" s="233" t="n">
        <v>46043</v>
      </c>
      <c r="D1355" s="232" t="inlineStr">
        <is>
          <t>213465</t>
        </is>
      </c>
      <c r="E1355" s="232" t="inlineStr">
        <is>
          <t>PRORRATEO</t>
        </is>
      </c>
      <c r="F1355" s="232" t="inlineStr">
        <is>
          <t>Santa Catalina</t>
        </is>
      </c>
      <c r="G1355" s="232" t="inlineStr">
        <is>
          <t>mant eureka 2,5 ha</t>
        </is>
      </c>
      <c r="H1355" s="232" t="inlineStr">
        <is>
          <t>Limon</t>
        </is>
      </c>
      <c r="I1355" s="232" t="inlineStr">
        <is>
          <t>Eureka</t>
        </is>
      </c>
      <c r="J1355" s="232" t="inlineStr">
        <is>
          <t>MATERIALES COSECHA</t>
        </is>
      </c>
      <c r="K1355" s="232" t="inlineStr">
        <is>
          <t>INSUMOS PACKING</t>
        </is>
      </c>
      <c r="L1355" s="232" t="inlineStr">
        <is>
          <t>[PRORRATEO 1.7% 2.5há/148.3há] O/001281 DETERGENTE</t>
        </is>
      </c>
      <c r="M1355" s="232" t="inlineStr"/>
      <c r="N1355" s="232" t="inlineStr">
        <is>
          <t>.   .   -</t>
        </is>
      </c>
      <c r="O1355" s="232" t="inlineStr">
        <is>
          <t>ENERO</t>
        </is>
      </c>
      <c r="P1355" s="232" t="n">
        <v>3</v>
      </c>
      <c r="Q1355" s="234" t="n">
        <v>278</v>
      </c>
      <c r="R1355" s="232" t="inlineStr"/>
      <c r="S1355" s="234" t="n">
        <v>278</v>
      </c>
      <c r="T1355" s="232" t="inlineStr">
        <is>
          <t>CLP</t>
        </is>
      </c>
      <c r="U1355" s="232" t="inlineStr">
        <is>
          <t>Prorrateo Ha PACKING</t>
        </is>
      </c>
      <c r="V1355" s="232" t="inlineStr">
        <is>
          <t>2026-06-18</t>
        </is>
      </c>
    </row>
    <row r="1356">
      <c r="A1356" s="232" t="inlineStr">
        <is>
          <t>CR-1353</t>
        </is>
      </c>
      <c r="B1356" s="232" t="inlineStr">
        <is>
          <t>2026/27</t>
        </is>
      </c>
      <c r="C1356" s="233" t="n">
        <v>46043</v>
      </c>
      <c r="D1356" s="232" t="inlineStr">
        <is>
          <t>213465</t>
        </is>
      </c>
      <c r="E1356" s="232" t="inlineStr">
        <is>
          <t>PRORRATEO</t>
        </is>
      </c>
      <c r="F1356" s="232" t="inlineStr">
        <is>
          <t>Siberia</t>
        </is>
      </c>
      <c r="G1356" s="232" t="inlineStr">
        <is>
          <t>S. Celebration 7,14</t>
        </is>
      </c>
      <c r="H1356" s="232" t="inlineStr">
        <is>
          <t>Uvas</t>
        </is>
      </c>
      <c r="I1356" s="232" t="inlineStr">
        <is>
          <t>S. celebration</t>
        </is>
      </c>
      <c r="J1356" s="232" t="inlineStr">
        <is>
          <t>MATERIALES COSECHA</t>
        </is>
      </c>
      <c r="K1356" s="232" t="inlineStr">
        <is>
          <t>INSUMOS PACKING</t>
        </is>
      </c>
      <c r="L1356" s="232" t="inlineStr">
        <is>
          <t>[PRORRATEO 4.8% 7.14há/148.3há] O/001281 DETERGENTE</t>
        </is>
      </c>
      <c r="M1356" s="232" t="inlineStr"/>
      <c r="N1356" s="232" t="inlineStr">
        <is>
          <t>.   .   -</t>
        </is>
      </c>
      <c r="O1356" s="232" t="inlineStr">
        <is>
          <t>ENERO</t>
        </is>
      </c>
      <c r="P1356" s="232" t="n">
        <v>3</v>
      </c>
      <c r="Q1356" s="234" t="n">
        <v>795</v>
      </c>
      <c r="R1356" s="232" t="inlineStr"/>
      <c r="S1356" s="234" t="n">
        <v>795</v>
      </c>
      <c r="T1356" s="232" t="inlineStr">
        <is>
          <t>CLP</t>
        </is>
      </c>
      <c r="U1356" s="232" t="inlineStr">
        <is>
          <t>Prorrateo Ha PACKING</t>
        </is>
      </c>
      <c r="V1356" s="232" t="inlineStr">
        <is>
          <t>2026-06-18</t>
        </is>
      </c>
    </row>
    <row r="1357">
      <c r="A1357" s="232" t="inlineStr">
        <is>
          <t>CR-1354</t>
        </is>
      </c>
      <c r="B1357" s="232" t="inlineStr">
        <is>
          <t>2026/27</t>
        </is>
      </c>
      <c r="C1357" s="233" t="n">
        <v>46043</v>
      </c>
      <c r="D1357" s="232" t="inlineStr">
        <is>
          <t>213465</t>
        </is>
      </c>
      <c r="E1357" s="232" t="inlineStr">
        <is>
          <t>PRORRATEO</t>
        </is>
      </c>
      <c r="F1357" s="232" t="inlineStr">
        <is>
          <t>Siberia</t>
        </is>
      </c>
      <c r="G1357" s="232" t="inlineStr">
        <is>
          <t>Timpson 7,1</t>
        </is>
      </c>
      <c r="H1357" s="232" t="inlineStr">
        <is>
          <t>Uvas</t>
        </is>
      </c>
      <c r="I1357" s="232" t="inlineStr">
        <is>
          <t>Timpson</t>
        </is>
      </c>
      <c r="J1357" s="232" t="inlineStr">
        <is>
          <t>MATERIALES COSECHA</t>
        </is>
      </c>
      <c r="K1357" s="232" t="inlineStr">
        <is>
          <t>INSUMOS PACKING</t>
        </is>
      </c>
      <c r="L1357" s="232" t="inlineStr">
        <is>
          <t>[PRORRATEO 4.8% 7.1há/148.3há] O/001281 DETERGENTE</t>
        </is>
      </c>
      <c r="M1357" s="232" t="inlineStr"/>
      <c r="N1357" s="232" t="inlineStr">
        <is>
          <t>.   .   -</t>
        </is>
      </c>
      <c r="O1357" s="232" t="inlineStr">
        <is>
          <t>ENERO</t>
        </is>
      </c>
      <c r="P1357" s="232" t="n">
        <v>3</v>
      </c>
      <c r="Q1357" s="234" t="n">
        <v>791</v>
      </c>
      <c r="R1357" s="232" t="inlineStr"/>
      <c r="S1357" s="234" t="n">
        <v>791</v>
      </c>
      <c r="T1357" s="232" t="inlineStr">
        <is>
          <t>CLP</t>
        </is>
      </c>
      <c r="U1357" s="232" t="inlineStr">
        <is>
          <t>Prorrateo Ha PACKING</t>
        </is>
      </c>
      <c r="V1357" s="232" t="inlineStr">
        <is>
          <t>2026-06-18</t>
        </is>
      </c>
    </row>
    <row r="1358">
      <c r="A1358" s="232" t="inlineStr">
        <is>
          <t>CR-1355</t>
        </is>
      </c>
      <c r="B1358" s="232" t="inlineStr">
        <is>
          <t>2026/27</t>
        </is>
      </c>
      <c r="C1358" s="233" t="n">
        <v>46043</v>
      </c>
      <c r="D1358" s="232" t="inlineStr">
        <is>
          <t>213465</t>
        </is>
      </c>
      <c r="E1358" s="232" t="inlineStr">
        <is>
          <t>PRORRATEO</t>
        </is>
      </c>
      <c r="F1358" s="232" t="inlineStr">
        <is>
          <t>Asmara</t>
        </is>
      </c>
      <c r="G1358" s="232" t="inlineStr">
        <is>
          <t>w. murcott 19,8 ha</t>
        </is>
      </c>
      <c r="H1358" s="232" t="inlineStr">
        <is>
          <t>Mandarina</t>
        </is>
      </c>
      <c r="I1358" s="232" t="inlineStr">
        <is>
          <t>W. murcott</t>
        </is>
      </c>
      <c r="J1358" s="232" t="inlineStr">
        <is>
          <t>MATERIALES COSECHA</t>
        </is>
      </c>
      <c r="K1358" s="232" t="inlineStr">
        <is>
          <t>INSUMOS PACKING</t>
        </is>
      </c>
      <c r="L1358" s="232" t="inlineStr">
        <is>
          <t>[PRORRATEO 13.4% 19.8há/148.3há] O/001281 ESCOBILLON</t>
        </is>
      </c>
      <c r="M1358" s="232" t="inlineStr"/>
      <c r="N1358" s="232" t="inlineStr">
        <is>
          <t>.   .   -</t>
        </is>
      </c>
      <c r="O1358" s="232" t="inlineStr">
        <is>
          <t>ENERO</t>
        </is>
      </c>
      <c r="P1358" s="232" t="n">
        <v>3</v>
      </c>
      <c r="Q1358" s="234" t="n">
        <v>2417</v>
      </c>
      <c r="R1358" s="232" t="inlineStr"/>
      <c r="S1358" s="234" t="n">
        <v>2417</v>
      </c>
      <c r="T1358" s="232" t="inlineStr">
        <is>
          <t>CLP</t>
        </is>
      </c>
      <c r="U1358" s="232" t="inlineStr">
        <is>
          <t>Prorrateo Ha PACKING</t>
        </is>
      </c>
      <c r="V1358" s="232" t="inlineStr">
        <is>
          <t>2026-06-18</t>
        </is>
      </c>
    </row>
    <row r="1359">
      <c r="A1359" s="232" t="inlineStr">
        <is>
          <t>CR-1356</t>
        </is>
      </c>
      <c r="B1359" s="232" t="inlineStr">
        <is>
          <t>2026/27</t>
        </is>
      </c>
      <c r="C1359" s="233" t="n">
        <v>46043</v>
      </c>
      <c r="D1359" s="232" t="inlineStr">
        <is>
          <t>213465</t>
        </is>
      </c>
      <c r="E1359" s="232" t="inlineStr">
        <is>
          <t>PRORRATEO</t>
        </is>
      </c>
      <c r="F1359" s="232" t="inlineStr">
        <is>
          <t>Asmara</t>
        </is>
      </c>
      <c r="G1359" s="232" t="inlineStr">
        <is>
          <t>w. murcott 4,9 ha</t>
        </is>
      </c>
      <c r="H1359" s="232" t="inlineStr">
        <is>
          <t>Mandarina</t>
        </is>
      </c>
      <c r="I1359" s="232" t="inlineStr">
        <is>
          <t>W. murcott</t>
        </is>
      </c>
      <c r="J1359" s="232" t="inlineStr">
        <is>
          <t>MATERIALES COSECHA</t>
        </is>
      </c>
      <c r="K1359" s="232" t="inlineStr">
        <is>
          <t>INSUMOS PACKING</t>
        </is>
      </c>
      <c r="L1359" s="232" t="inlineStr">
        <is>
          <t>[PRORRATEO 3.3% 4.9há/148.3há] O/001281 ESCOBILLON</t>
        </is>
      </c>
      <c r="M1359" s="232" t="inlineStr"/>
      <c r="N1359" s="232" t="inlineStr">
        <is>
          <t>.   .   -</t>
        </is>
      </c>
      <c r="O1359" s="232" t="inlineStr">
        <is>
          <t>ENERO</t>
        </is>
      </c>
      <c r="P1359" s="232" t="n">
        <v>3</v>
      </c>
      <c r="Q1359" s="234" t="n">
        <v>598</v>
      </c>
      <c r="R1359" s="232" t="inlineStr"/>
      <c r="S1359" s="234" t="n">
        <v>598</v>
      </c>
      <c r="T1359" s="232" t="inlineStr">
        <is>
          <t>CLP</t>
        </is>
      </c>
      <c r="U1359" s="232" t="inlineStr">
        <is>
          <t>Prorrateo Ha PACKING</t>
        </is>
      </c>
      <c r="V1359" s="232" t="inlineStr">
        <is>
          <t>2026-06-18</t>
        </is>
      </c>
    </row>
    <row r="1360">
      <c r="A1360" s="232" t="inlineStr">
        <is>
          <t>CR-1357</t>
        </is>
      </c>
      <c r="B1360" s="232" t="inlineStr">
        <is>
          <t>2026/27</t>
        </is>
      </c>
      <c r="C1360" s="233" t="n">
        <v>46043</v>
      </c>
      <c r="D1360" s="232" t="inlineStr">
        <is>
          <t>213465</t>
        </is>
      </c>
      <c r="E1360" s="232" t="inlineStr">
        <is>
          <t>PRORRATEO</t>
        </is>
      </c>
      <c r="F1360" s="232" t="inlineStr">
        <is>
          <t>El Molle</t>
        </is>
      </c>
      <c r="G1360" s="232" t="inlineStr">
        <is>
          <t>Wonderful 5,25 ha</t>
        </is>
      </c>
      <c r="H1360" s="232" t="inlineStr">
        <is>
          <t>Granados</t>
        </is>
      </c>
      <c r="I1360" s="232" t="inlineStr">
        <is>
          <t>Wonderfull</t>
        </is>
      </c>
      <c r="J1360" s="232" t="inlineStr">
        <is>
          <t>MATERIALES COSECHA</t>
        </is>
      </c>
      <c r="K1360" s="232" t="inlineStr">
        <is>
          <t>INSUMOS PACKING</t>
        </is>
      </c>
      <c r="L1360" s="232" t="inlineStr">
        <is>
          <t>[PRORRATEO 3.5% 5.24há/148.3há] O/001281 ESCOBILLON</t>
        </is>
      </c>
      <c r="M1360" s="232" t="inlineStr"/>
      <c r="N1360" s="232" t="inlineStr">
        <is>
          <t>.   .   -</t>
        </is>
      </c>
      <c r="O1360" s="232" t="inlineStr">
        <is>
          <t>ENERO</t>
        </is>
      </c>
      <c r="P1360" s="232" t="n">
        <v>3</v>
      </c>
      <c r="Q1360" s="234" t="n">
        <v>640</v>
      </c>
      <c r="R1360" s="232" t="inlineStr"/>
      <c r="S1360" s="234" t="n">
        <v>640</v>
      </c>
      <c r="T1360" s="232" t="inlineStr">
        <is>
          <t>CLP</t>
        </is>
      </c>
      <c r="U1360" s="232" t="inlineStr">
        <is>
          <t>Prorrateo Ha PACKING</t>
        </is>
      </c>
      <c r="V1360" s="232" t="inlineStr">
        <is>
          <t>2026-06-18</t>
        </is>
      </c>
    </row>
    <row r="1361">
      <c r="A1361" s="232" t="inlineStr">
        <is>
          <t>CR-1358</t>
        </is>
      </c>
      <c r="B1361" s="232" t="inlineStr">
        <is>
          <t>2026/27</t>
        </is>
      </c>
      <c r="C1361" s="233" t="n">
        <v>46043</v>
      </c>
      <c r="D1361" s="232" t="inlineStr">
        <is>
          <t>213465</t>
        </is>
      </c>
      <c r="E1361" s="232" t="inlineStr">
        <is>
          <t>PRORRATEO</t>
        </is>
      </c>
      <c r="F1361" s="232" t="inlineStr">
        <is>
          <t>El Molle</t>
        </is>
      </c>
      <c r="G1361" s="232" t="inlineStr">
        <is>
          <t>arrufatinas 5,74 ha</t>
        </is>
      </c>
      <c r="H1361" s="232" t="inlineStr">
        <is>
          <t>Clementinas</t>
        </is>
      </c>
      <c r="I1361" s="232" t="inlineStr">
        <is>
          <t>Arrufatinas</t>
        </is>
      </c>
      <c r="J1361" s="232" t="inlineStr">
        <is>
          <t>MATERIALES COSECHA</t>
        </is>
      </c>
      <c r="K1361" s="232" t="inlineStr">
        <is>
          <t>INSUMOS PACKING</t>
        </is>
      </c>
      <c r="L1361" s="232" t="inlineStr">
        <is>
          <t>[PRORRATEO 3.9% 5.74há/148.3há] O/001281 ESCOBILLON</t>
        </is>
      </c>
      <c r="M1361" s="232" t="inlineStr"/>
      <c r="N1361" s="232" t="inlineStr">
        <is>
          <t>.   .   -</t>
        </is>
      </c>
      <c r="O1361" s="232" t="inlineStr">
        <is>
          <t>ENERO</t>
        </is>
      </c>
      <c r="P1361" s="232" t="n">
        <v>3</v>
      </c>
      <c r="Q1361" s="234" t="n">
        <v>701</v>
      </c>
      <c r="R1361" s="232" t="inlineStr"/>
      <c r="S1361" s="234" t="n">
        <v>701</v>
      </c>
      <c r="T1361" s="232" t="inlineStr">
        <is>
          <t>CLP</t>
        </is>
      </c>
      <c r="U1361" s="232" t="inlineStr">
        <is>
          <t>Prorrateo Ha PACKING</t>
        </is>
      </c>
      <c r="V1361" s="232" t="inlineStr">
        <is>
          <t>2026-06-18</t>
        </is>
      </c>
    </row>
    <row r="1362">
      <c r="A1362" s="232" t="inlineStr">
        <is>
          <t>CR-1359</t>
        </is>
      </c>
      <c r="B1362" s="232" t="inlineStr">
        <is>
          <t>2026/27</t>
        </is>
      </c>
      <c r="C1362" s="233" t="n">
        <v>46043</v>
      </c>
      <c r="D1362" s="232" t="inlineStr">
        <is>
          <t>213465</t>
        </is>
      </c>
      <c r="E1362" s="232" t="inlineStr">
        <is>
          <t>PRORRATEO</t>
        </is>
      </c>
      <c r="F1362" s="232" t="inlineStr">
        <is>
          <t>El Molle</t>
        </is>
      </c>
      <c r="G1362" s="232" t="inlineStr">
        <is>
          <t>orogrande 8,11 ha</t>
        </is>
      </c>
      <c r="H1362" s="232" t="inlineStr">
        <is>
          <t>Clementinas</t>
        </is>
      </c>
      <c r="I1362" s="232" t="inlineStr">
        <is>
          <t>Orogrande</t>
        </is>
      </c>
      <c r="J1362" s="232" t="inlineStr">
        <is>
          <t>MATERIALES COSECHA</t>
        </is>
      </c>
      <c r="K1362" s="232" t="inlineStr">
        <is>
          <t>INSUMOS PACKING</t>
        </is>
      </c>
      <c r="L1362" s="232" t="inlineStr">
        <is>
          <t>[PRORRATEO 5.5% 8.11há/148.3há] O/001281 ESCOBILLON</t>
        </is>
      </c>
      <c r="M1362" s="232" t="inlineStr"/>
      <c r="N1362" s="232" t="inlineStr">
        <is>
          <t>.   .   -</t>
        </is>
      </c>
      <c r="O1362" s="232" t="inlineStr">
        <is>
          <t>ENERO</t>
        </is>
      </c>
      <c r="P1362" s="232" t="n">
        <v>3</v>
      </c>
      <c r="Q1362" s="234" t="n">
        <v>990</v>
      </c>
      <c r="R1362" s="232" t="inlineStr"/>
      <c r="S1362" s="234" t="n">
        <v>990</v>
      </c>
      <c r="T1362" s="232" t="inlineStr">
        <is>
          <t>CLP</t>
        </is>
      </c>
      <c r="U1362" s="232" t="inlineStr">
        <is>
          <t>Prorrateo Ha PACKING</t>
        </is>
      </c>
      <c r="V1362" s="232" t="inlineStr">
        <is>
          <t>2026-06-18</t>
        </is>
      </c>
    </row>
    <row r="1363">
      <c r="A1363" s="232" t="inlineStr">
        <is>
          <t>CR-1360</t>
        </is>
      </c>
      <c r="B1363" s="232" t="inlineStr">
        <is>
          <t>2026/27</t>
        </is>
      </c>
      <c r="C1363" s="233" t="n">
        <v>46043</v>
      </c>
      <c r="D1363" s="232" t="inlineStr">
        <is>
          <t>213465</t>
        </is>
      </c>
      <c r="E1363" s="232" t="inlineStr">
        <is>
          <t>PRORRATEO</t>
        </is>
      </c>
      <c r="F1363" s="232" t="inlineStr">
        <is>
          <t>El Molle</t>
        </is>
      </c>
      <c r="G1363" s="232" t="inlineStr">
        <is>
          <t>oronules 5,35 ha</t>
        </is>
      </c>
      <c r="H1363" s="232" t="inlineStr">
        <is>
          <t>Clementinas</t>
        </is>
      </c>
      <c r="I1363" s="232" t="inlineStr">
        <is>
          <t>Oronules</t>
        </is>
      </c>
      <c r="J1363" s="232" t="inlineStr">
        <is>
          <t>MATERIALES COSECHA</t>
        </is>
      </c>
      <c r="K1363" s="232" t="inlineStr">
        <is>
          <t>INSUMOS PACKING</t>
        </is>
      </c>
      <c r="L1363" s="232" t="inlineStr">
        <is>
          <t>[PRORRATEO 3.6% 5.35há/148.3há] O/001281 ESCOBILLON</t>
        </is>
      </c>
      <c r="M1363" s="232" t="inlineStr"/>
      <c r="N1363" s="232" t="inlineStr">
        <is>
          <t>.   .   -</t>
        </is>
      </c>
      <c r="O1363" s="232" t="inlineStr">
        <is>
          <t>ENERO</t>
        </is>
      </c>
      <c r="P1363" s="232" t="n">
        <v>3</v>
      </c>
      <c r="Q1363" s="234" t="n">
        <v>653</v>
      </c>
      <c r="R1363" s="232" t="inlineStr"/>
      <c r="S1363" s="234" t="n">
        <v>653</v>
      </c>
      <c r="T1363" s="232" t="inlineStr">
        <is>
          <t>CLP</t>
        </is>
      </c>
      <c r="U1363" s="232" t="inlineStr">
        <is>
          <t>Prorrateo Ha PACKING</t>
        </is>
      </c>
      <c r="V1363" s="232" t="inlineStr">
        <is>
          <t>2026-06-18</t>
        </is>
      </c>
    </row>
    <row r="1364">
      <c r="A1364" s="232" t="inlineStr">
        <is>
          <t>CR-1361</t>
        </is>
      </c>
      <c r="B1364" s="232" t="inlineStr">
        <is>
          <t>2026/27</t>
        </is>
      </c>
      <c r="C1364" s="233" t="n">
        <v>46043</v>
      </c>
      <c r="D1364" s="232" t="inlineStr">
        <is>
          <t>213465</t>
        </is>
      </c>
      <c r="E1364" s="232" t="inlineStr">
        <is>
          <t>PRORRATEO</t>
        </is>
      </c>
      <c r="F1364" s="232" t="inlineStr">
        <is>
          <t>Santa Catalina</t>
        </is>
      </c>
      <c r="G1364" s="232" t="inlineStr">
        <is>
          <t>Fino 49 7,7 ha</t>
        </is>
      </c>
      <c r="H1364" s="232" t="inlineStr">
        <is>
          <t>Limon</t>
        </is>
      </c>
      <c r="I1364" s="232" t="inlineStr">
        <is>
          <t>Fino 49</t>
        </is>
      </c>
      <c r="J1364" s="232" t="inlineStr">
        <is>
          <t>MATERIALES COSECHA</t>
        </is>
      </c>
      <c r="K1364" s="232" t="inlineStr">
        <is>
          <t>INSUMOS PACKING</t>
        </is>
      </c>
      <c r="L1364" s="232" t="inlineStr">
        <is>
          <t>[PRORRATEO 5.2% 7.7há/148.3há] O/001281 ESCOBILLON</t>
        </is>
      </c>
      <c r="M1364" s="232" t="inlineStr"/>
      <c r="N1364" s="232" t="inlineStr">
        <is>
          <t>.   .   -</t>
        </is>
      </c>
      <c r="O1364" s="232" t="inlineStr">
        <is>
          <t>ENERO</t>
        </is>
      </c>
      <c r="P1364" s="232" t="n">
        <v>3</v>
      </c>
      <c r="Q1364" s="234" t="n">
        <v>940</v>
      </c>
      <c r="R1364" s="232" t="inlineStr"/>
      <c r="S1364" s="234" t="n">
        <v>940</v>
      </c>
      <c r="T1364" s="232" t="inlineStr">
        <is>
          <t>CLP</t>
        </is>
      </c>
      <c r="U1364" s="232" t="inlineStr">
        <is>
          <t>Prorrateo Ha PACKING</t>
        </is>
      </c>
      <c r="V1364" s="232" t="inlineStr">
        <is>
          <t>2026-06-18</t>
        </is>
      </c>
    </row>
    <row r="1365">
      <c r="A1365" s="232" t="inlineStr">
        <is>
          <t>CR-1362</t>
        </is>
      </c>
      <c r="B1365" s="232" t="inlineStr">
        <is>
          <t>2026/27</t>
        </is>
      </c>
      <c r="C1365" s="233" t="n">
        <v>46043</v>
      </c>
      <c r="D1365" s="232" t="inlineStr">
        <is>
          <t>213465</t>
        </is>
      </c>
      <c r="E1365" s="232" t="inlineStr">
        <is>
          <t>PRORRATEO</t>
        </is>
      </c>
      <c r="F1365" s="232" t="inlineStr">
        <is>
          <t>Santa Catalina</t>
        </is>
      </c>
      <c r="G1365" s="232" t="inlineStr">
        <is>
          <t>W. murcott 21 ha</t>
        </is>
      </c>
      <c r="H1365" s="232" t="inlineStr">
        <is>
          <t>Mandarina</t>
        </is>
      </c>
      <c r="I1365" s="232" t="inlineStr">
        <is>
          <t>W. murcott</t>
        </is>
      </c>
      <c r="J1365" s="232" t="inlineStr">
        <is>
          <t>MATERIALES COSECHA</t>
        </is>
      </c>
      <c r="K1365" s="232" t="inlineStr">
        <is>
          <t>INSUMOS PACKING</t>
        </is>
      </c>
      <c r="L1365" s="232" t="inlineStr">
        <is>
          <t>[PRORRATEO 14.2% 21.0há/148.3há] O/001281 ESCOBILLON</t>
        </is>
      </c>
      <c r="M1365" s="232" t="inlineStr"/>
      <c r="N1365" s="232" t="inlineStr">
        <is>
          <t>.   .   -</t>
        </is>
      </c>
      <c r="O1365" s="232" t="inlineStr">
        <is>
          <t>ENERO</t>
        </is>
      </c>
      <c r="P1365" s="232" t="n">
        <v>3</v>
      </c>
      <c r="Q1365" s="234" t="n">
        <v>2563</v>
      </c>
      <c r="R1365" s="232" t="inlineStr"/>
      <c r="S1365" s="234" t="n">
        <v>2563</v>
      </c>
      <c r="T1365" s="232" t="inlineStr">
        <is>
          <t>CLP</t>
        </is>
      </c>
      <c r="U1365" s="232" t="inlineStr">
        <is>
          <t>Prorrateo Ha PACKING</t>
        </is>
      </c>
      <c r="V1365" s="232" t="inlineStr">
        <is>
          <t>2026-06-18</t>
        </is>
      </c>
    </row>
    <row r="1366">
      <c r="A1366" s="232" t="inlineStr">
        <is>
          <t>CR-1363</t>
        </is>
      </c>
      <c r="B1366" s="232" t="inlineStr">
        <is>
          <t>2026/27</t>
        </is>
      </c>
      <c r="C1366" s="233" t="n">
        <v>46043</v>
      </c>
      <c r="D1366" s="232" t="inlineStr">
        <is>
          <t>213465</t>
        </is>
      </c>
      <c r="E1366" s="232" t="inlineStr">
        <is>
          <t>PRORRATEO</t>
        </is>
      </c>
      <c r="F1366" s="232" t="inlineStr">
        <is>
          <t>Santa Catalina</t>
        </is>
      </c>
      <c r="G1366" s="232" t="inlineStr">
        <is>
          <t>cambria 4,2 ha</t>
        </is>
      </c>
      <c r="H1366" s="232" t="inlineStr">
        <is>
          <t>Naranjas</t>
        </is>
      </c>
      <c r="I1366" s="232" t="inlineStr">
        <is>
          <t>Cambria</t>
        </is>
      </c>
      <c r="J1366" s="232" t="inlineStr">
        <is>
          <t>MATERIALES COSECHA</t>
        </is>
      </c>
      <c r="K1366" s="232" t="inlineStr">
        <is>
          <t>INSUMOS PACKING</t>
        </is>
      </c>
      <c r="L1366" s="232" t="inlineStr">
        <is>
          <t>[PRORRATEO 2.8% 4.2há/148.3há] O/001281 ESCOBILLON</t>
        </is>
      </c>
      <c r="M1366" s="232" t="inlineStr"/>
      <c r="N1366" s="232" t="inlineStr">
        <is>
          <t>.   .   -</t>
        </is>
      </c>
      <c r="O1366" s="232" t="inlineStr">
        <is>
          <t>ENERO</t>
        </is>
      </c>
      <c r="P1366" s="232" t="n">
        <v>3</v>
      </c>
      <c r="Q1366" s="234" t="n">
        <v>513</v>
      </c>
      <c r="R1366" s="232" t="inlineStr"/>
      <c r="S1366" s="234" t="n">
        <v>513</v>
      </c>
      <c r="T1366" s="232" t="inlineStr">
        <is>
          <t>CLP</t>
        </is>
      </c>
      <c r="U1366" s="232" t="inlineStr">
        <is>
          <t>Prorrateo Ha PACKING</t>
        </is>
      </c>
      <c r="V1366" s="232" t="inlineStr">
        <is>
          <t>2026-06-18</t>
        </is>
      </c>
    </row>
    <row r="1367">
      <c r="A1367" s="232" t="inlineStr">
        <is>
          <t>CR-1364</t>
        </is>
      </c>
      <c r="B1367" s="232" t="inlineStr">
        <is>
          <t>2026/27</t>
        </is>
      </c>
      <c r="C1367" s="233" t="n">
        <v>46043</v>
      </c>
      <c r="D1367" s="232" t="inlineStr">
        <is>
          <t>213465</t>
        </is>
      </c>
      <c r="E1367" s="232" t="inlineStr">
        <is>
          <t>PRORRATEO</t>
        </is>
      </c>
      <c r="F1367" s="232" t="inlineStr">
        <is>
          <t>Santa Catalina</t>
        </is>
      </c>
      <c r="G1367" s="232" t="inlineStr">
        <is>
          <t>eureka 10,6 ha</t>
        </is>
      </c>
      <c r="H1367" s="232" t="inlineStr">
        <is>
          <t>Limon</t>
        </is>
      </c>
      <c r="I1367" s="232" t="inlineStr">
        <is>
          <t>Eureka</t>
        </is>
      </c>
      <c r="J1367" s="232" t="inlineStr">
        <is>
          <t>MATERIALES COSECHA</t>
        </is>
      </c>
      <c r="K1367" s="232" t="inlineStr">
        <is>
          <t>INSUMOS PACKING</t>
        </is>
      </c>
      <c r="L1367" s="232" t="inlineStr">
        <is>
          <t>[PRORRATEO 7.1% 10.6há/148.3há] O/001281 ESCOBILLON</t>
        </is>
      </c>
      <c r="M1367" s="232" t="inlineStr"/>
      <c r="N1367" s="232" t="inlineStr">
        <is>
          <t>.   .   -</t>
        </is>
      </c>
      <c r="O1367" s="232" t="inlineStr">
        <is>
          <t>ENERO</t>
        </is>
      </c>
      <c r="P1367" s="232" t="n">
        <v>3</v>
      </c>
      <c r="Q1367" s="234" t="n">
        <v>1294</v>
      </c>
      <c r="R1367" s="232" t="inlineStr"/>
      <c r="S1367" s="234" t="n">
        <v>1294</v>
      </c>
      <c r="T1367" s="232" t="inlineStr">
        <is>
          <t>CLP</t>
        </is>
      </c>
      <c r="U1367" s="232" t="inlineStr">
        <is>
          <t>Prorrateo Ha PACKING</t>
        </is>
      </c>
      <c r="V1367" s="232" t="inlineStr">
        <is>
          <t>2026-06-18</t>
        </is>
      </c>
    </row>
    <row r="1368">
      <c r="A1368" s="232" t="inlineStr">
        <is>
          <t>CR-1365</t>
        </is>
      </c>
      <c r="B1368" s="232" t="inlineStr">
        <is>
          <t>2026/27</t>
        </is>
      </c>
      <c r="C1368" s="233" t="n">
        <v>46043</v>
      </c>
      <c r="D1368" s="232" t="inlineStr">
        <is>
          <t>213465</t>
        </is>
      </c>
      <c r="E1368" s="232" t="inlineStr">
        <is>
          <t>PRORRATEO</t>
        </is>
      </c>
      <c r="F1368" s="232" t="inlineStr">
        <is>
          <t>Santa Catalina</t>
        </is>
      </c>
      <c r="G1368" s="232" t="inlineStr">
        <is>
          <t>eureka 14,4 ha</t>
        </is>
      </c>
      <c r="H1368" s="232" t="inlineStr">
        <is>
          <t>Limon</t>
        </is>
      </c>
      <c r="I1368" s="232" t="inlineStr">
        <is>
          <t>Eureka</t>
        </is>
      </c>
      <c r="J1368" s="232" t="inlineStr">
        <is>
          <t>MATERIALES COSECHA</t>
        </is>
      </c>
      <c r="K1368" s="232" t="inlineStr">
        <is>
          <t>INSUMOS PACKING</t>
        </is>
      </c>
      <c r="L1368" s="232" t="inlineStr">
        <is>
          <t>[PRORRATEO 9.7% 14.4há/148.3há] O/001281 ESCOBILLON</t>
        </is>
      </c>
      <c r="M1368" s="232" t="inlineStr"/>
      <c r="N1368" s="232" t="inlineStr">
        <is>
          <t>.   .   -</t>
        </is>
      </c>
      <c r="O1368" s="232" t="inlineStr">
        <is>
          <t>ENERO</t>
        </is>
      </c>
      <c r="P1368" s="232" t="n">
        <v>3</v>
      </c>
      <c r="Q1368" s="234" t="n">
        <v>1758</v>
      </c>
      <c r="R1368" s="232" t="inlineStr"/>
      <c r="S1368" s="234" t="n">
        <v>1758</v>
      </c>
      <c r="T1368" s="232" t="inlineStr">
        <is>
          <t>CLP</t>
        </is>
      </c>
      <c r="U1368" s="232" t="inlineStr">
        <is>
          <t>Prorrateo Ha PACKING</t>
        </is>
      </c>
      <c r="V1368" s="232" t="inlineStr">
        <is>
          <t>2026-06-18</t>
        </is>
      </c>
    </row>
    <row r="1369">
      <c r="A1369" s="232" t="inlineStr">
        <is>
          <t>CR-1366</t>
        </is>
      </c>
      <c r="B1369" s="232" t="inlineStr">
        <is>
          <t>2026/27</t>
        </is>
      </c>
      <c r="C1369" s="233" t="n">
        <v>46043</v>
      </c>
      <c r="D1369" s="232" t="inlineStr">
        <is>
          <t>213465</t>
        </is>
      </c>
      <c r="E1369" s="232" t="inlineStr">
        <is>
          <t>PRORRATEO</t>
        </is>
      </c>
      <c r="F1369" s="232" t="inlineStr">
        <is>
          <t>Santa Catalina</t>
        </is>
      </c>
      <c r="G1369" s="232" t="inlineStr">
        <is>
          <t>eureka 22,55</t>
        </is>
      </c>
      <c r="H1369" s="232" t="inlineStr">
        <is>
          <t>Limon</t>
        </is>
      </c>
      <c r="I1369" s="232" t="inlineStr">
        <is>
          <t>Eureka</t>
        </is>
      </c>
      <c r="J1369" s="232" t="inlineStr">
        <is>
          <t>MATERIALES COSECHA</t>
        </is>
      </c>
      <c r="K1369" s="232" t="inlineStr">
        <is>
          <t>INSUMOS PACKING</t>
        </is>
      </c>
      <c r="L1369" s="232" t="inlineStr">
        <is>
          <t>[PRORRATEO 15.2% 22.55há/148.3há] O/001281 ESCOBILLON</t>
        </is>
      </c>
      <c r="M1369" s="232" t="inlineStr"/>
      <c r="N1369" s="232" t="inlineStr">
        <is>
          <t>.   .   -</t>
        </is>
      </c>
      <c r="O1369" s="232" t="inlineStr">
        <is>
          <t>ENERO</t>
        </is>
      </c>
      <c r="P1369" s="232" t="n">
        <v>3</v>
      </c>
      <c r="Q1369" s="234" t="n">
        <v>2752</v>
      </c>
      <c r="R1369" s="232" t="inlineStr"/>
      <c r="S1369" s="234" t="n">
        <v>2752</v>
      </c>
      <c r="T1369" s="232" t="inlineStr">
        <is>
          <t>CLP</t>
        </is>
      </c>
      <c r="U1369" s="232" t="inlineStr">
        <is>
          <t>Prorrateo Ha PACKING</t>
        </is>
      </c>
      <c r="V1369" s="232" t="inlineStr">
        <is>
          <t>2026-06-18</t>
        </is>
      </c>
    </row>
    <row r="1370">
      <c r="A1370" s="232" t="inlineStr">
        <is>
          <t>CR-1367</t>
        </is>
      </c>
      <c r="B1370" s="232" t="inlineStr">
        <is>
          <t>2026/27</t>
        </is>
      </c>
      <c r="C1370" s="233" t="n">
        <v>46043</v>
      </c>
      <c r="D1370" s="232" t="inlineStr">
        <is>
          <t>213465</t>
        </is>
      </c>
      <c r="E1370" s="232" t="inlineStr">
        <is>
          <t>PRORRATEO</t>
        </is>
      </c>
      <c r="F1370" s="232" t="inlineStr">
        <is>
          <t>Santa Catalina</t>
        </is>
      </c>
      <c r="G1370" s="232" t="inlineStr">
        <is>
          <t>form benjamin 1,93 ha</t>
        </is>
      </c>
      <c r="H1370" s="232" t="inlineStr">
        <is>
          <t>Limon</t>
        </is>
      </c>
      <c r="I1370" s="232" t="inlineStr">
        <is>
          <t>Benjamin andes</t>
        </is>
      </c>
      <c r="J1370" s="232" t="inlineStr">
        <is>
          <t>MATERIALES COSECHA</t>
        </is>
      </c>
      <c r="K1370" s="232" t="inlineStr">
        <is>
          <t>INSUMOS PACKING</t>
        </is>
      </c>
      <c r="L1370" s="232" t="inlineStr">
        <is>
          <t>[PRORRATEO 1.3% 1.93há/148.3há] O/001281 ESCOBILLON</t>
        </is>
      </c>
      <c r="M1370" s="232" t="inlineStr"/>
      <c r="N1370" s="232" t="inlineStr">
        <is>
          <t>.   .   -</t>
        </is>
      </c>
      <c r="O1370" s="232" t="inlineStr">
        <is>
          <t>ENERO</t>
        </is>
      </c>
      <c r="P1370" s="232" t="n">
        <v>3</v>
      </c>
      <c r="Q1370" s="234" t="n">
        <v>236</v>
      </c>
      <c r="R1370" s="232" t="inlineStr"/>
      <c r="S1370" s="234" t="n">
        <v>236</v>
      </c>
      <c r="T1370" s="232" t="inlineStr">
        <is>
          <t>CLP</t>
        </is>
      </c>
      <c r="U1370" s="232" t="inlineStr">
        <is>
          <t>Prorrateo Ha PACKING</t>
        </is>
      </c>
      <c r="V1370" s="232" t="inlineStr">
        <is>
          <t>2026-06-18</t>
        </is>
      </c>
    </row>
    <row r="1371">
      <c r="A1371" s="232" t="inlineStr">
        <is>
          <t>CR-1368</t>
        </is>
      </c>
      <c r="B1371" s="232" t="inlineStr">
        <is>
          <t>2026/27</t>
        </is>
      </c>
      <c r="C1371" s="233" t="n">
        <v>46043</v>
      </c>
      <c r="D1371" s="232" t="inlineStr">
        <is>
          <t>213465</t>
        </is>
      </c>
      <c r="E1371" s="232" t="inlineStr">
        <is>
          <t>PRORRATEO</t>
        </is>
      </c>
      <c r="F1371" s="232" t="inlineStr">
        <is>
          <t>Santa Catalina</t>
        </is>
      </c>
      <c r="G1371" s="232" t="inlineStr">
        <is>
          <t>mant eureka 2,5 ha</t>
        </is>
      </c>
      <c r="H1371" s="232" t="inlineStr">
        <is>
          <t>Limon</t>
        </is>
      </c>
      <c r="I1371" s="232" t="inlineStr">
        <is>
          <t>Eureka</t>
        </is>
      </c>
      <c r="J1371" s="232" t="inlineStr">
        <is>
          <t>MATERIALES COSECHA</t>
        </is>
      </c>
      <c r="K1371" s="232" t="inlineStr">
        <is>
          <t>INSUMOS PACKING</t>
        </is>
      </c>
      <c r="L1371" s="232" t="inlineStr">
        <is>
          <t>[PRORRATEO 1.7% 2.5há/148.3há] O/001281 ESCOBILLON</t>
        </is>
      </c>
      <c r="M1371" s="232" t="inlineStr"/>
      <c r="N1371" s="232" t="inlineStr">
        <is>
          <t>.   .   -</t>
        </is>
      </c>
      <c r="O1371" s="232" t="inlineStr">
        <is>
          <t>ENERO</t>
        </is>
      </c>
      <c r="P1371" s="232" t="n">
        <v>3</v>
      </c>
      <c r="Q1371" s="234" t="n">
        <v>305</v>
      </c>
      <c r="R1371" s="232" t="inlineStr"/>
      <c r="S1371" s="234" t="n">
        <v>305</v>
      </c>
      <c r="T1371" s="232" t="inlineStr">
        <is>
          <t>CLP</t>
        </is>
      </c>
      <c r="U1371" s="232" t="inlineStr">
        <is>
          <t>Prorrateo Ha PACKING</t>
        </is>
      </c>
      <c r="V1371" s="232" t="inlineStr">
        <is>
          <t>2026-06-18</t>
        </is>
      </c>
    </row>
    <row r="1372">
      <c r="A1372" s="232" t="inlineStr">
        <is>
          <t>CR-1369</t>
        </is>
      </c>
      <c r="B1372" s="232" t="inlineStr">
        <is>
          <t>2026/27</t>
        </is>
      </c>
      <c r="C1372" s="233" t="n">
        <v>46043</v>
      </c>
      <c r="D1372" s="232" t="inlineStr">
        <is>
          <t>213465</t>
        </is>
      </c>
      <c r="E1372" s="232" t="inlineStr">
        <is>
          <t>PRORRATEO</t>
        </is>
      </c>
      <c r="F1372" s="232" t="inlineStr">
        <is>
          <t>Siberia</t>
        </is>
      </c>
      <c r="G1372" s="232" t="inlineStr">
        <is>
          <t>S. Celebration 7,14</t>
        </is>
      </c>
      <c r="H1372" s="232" t="inlineStr">
        <is>
          <t>Uvas</t>
        </is>
      </c>
      <c r="I1372" s="232" t="inlineStr">
        <is>
          <t>S. celebration</t>
        </is>
      </c>
      <c r="J1372" s="232" t="inlineStr">
        <is>
          <t>MATERIALES COSECHA</t>
        </is>
      </c>
      <c r="K1372" s="232" t="inlineStr">
        <is>
          <t>INSUMOS PACKING</t>
        </is>
      </c>
      <c r="L1372" s="232" t="inlineStr">
        <is>
          <t>[PRORRATEO 4.8% 7.14há/148.3há] O/001281 ESCOBILLON</t>
        </is>
      </c>
      <c r="M1372" s="232" t="inlineStr"/>
      <c r="N1372" s="232" t="inlineStr">
        <is>
          <t>.   .   -</t>
        </is>
      </c>
      <c r="O1372" s="232" t="inlineStr">
        <is>
          <t>ENERO</t>
        </is>
      </c>
      <c r="P1372" s="232" t="n">
        <v>3</v>
      </c>
      <c r="Q1372" s="234" t="n">
        <v>871</v>
      </c>
      <c r="R1372" s="232" t="inlineStr"/>
      <c r="S1372" s="234" t="n">
        <v>871</v>
      </c>
      <c r="T1372" s="232" t="inlineStr">
        <is>
          <t>CLP</t>
        </is>
      </c>
      <c r="U1372" s="232" t="inlineStr">
        <is>
          <t>Prorrateo Ha PACKING</t>
        </is>
      </c>
      <c r="V1372" s="232" t="inlineStr">
        <is>
          <t>2026-06-18</t>
        </is>
      </c>
    </row>
    <row r="1373">
      <c r="A1373" s="232" t="inlineStr">
        <is>
          <t>CR-1370</t>
        </is>
      </c>
      <c r="B1373" s="232" t="inlineStr">
        <is>
          <t>2026/27</t>
        </is>
      </c>
      <c r="C1373" s="233" t="n">
        <v>46043</v>
      </c>
      <c r="D1373" s="232" t="inlineStr">
        <is>
          <t>213465</t>
        </is>
      </c>
      <c r="E1373" s="232" t="inlineStr">
        <is>
          <t>PRORRATEO</t>
        </is>
      </c>
      <c r="F1373" s="232" t="inlineStr">
        <is>
          <t>Siberia</t>
        </is>
      </c>
      <c r="G1373" s="232" t="inlineStr">
        <is>
          <t>Timpson 7,1</t>
        </is>
      </c>
      <c r="H1373" s="232" t="inlineStr">
        <is>
          <t>Uvas</t>
        </is>
      </c>
      <c r="I1373" s="232" t="inlineStr">
        <is>
          <t>Timpson</t>
        </is>
      </c>
      <c r="J1373" s="232" t="inlineStr">
        <is>
          <t>MATERIALES COSECHA</t>
        </is>
      </c>
      <c r="K1373" s="232" t="inlineStr">
        <is>
          <t>INSUMOS PACKING</t>
        </is>
      </c>
      <c r="L1373" s="232" t="inlineStr">
        <is>
          <t>[PRORRATEO 4.8% 7.1há/148.3há] O/001281 ESCOBILLON</t>
        </is>
      </c>
      <c r="M1373" s="232" t="inlineStr"/>
      <c r="N1373" s="232" t="inlineStr">
        <is>
          <t>.   .   -</t>
        </is>
      </c>
      <c r="O1373" s="232" t="inlineStr">
        <is>
          <t>ENERO</t>
        </is>
      </c>
      <c r="P1373" s="232" t="n">
        <v>3</v>
      </c>
      <c r="Q1373" s="234" t="n">
        <v>867</v>
      </c>
      <c r="R1373" s="232" t="inlineStr"/>
      <c r="S1373" s="234" t="n">
        <v>867</v>
      </c>
      <c r="T1373" s="232" t="inlineStr">
        <is>
          <t>CLP</t>
        </is>
      </c>
      <c r="U1373" s="232" t="inlineStr">
        <is>
          <t>Prorrateo Ha PACKING</t>
        </is>
      </c>
      <c r="V1373" s="232" t="inlineStr">
        <is>
          <t>2026-06-18</t>
        </is>
      </c>
    </row>
    <row r="1374">
      <c r="A1374" s="232" t="inlineStr">
        <is>
          <t>CR-1371</t>
        </is>
      </c>
      <c r="B1374" s="232" t="inlineStr">
        <is>
          <t>2026/27</t>
        </is>
      </c>
      <c r="C1374" s="233" t="n">
        <v>46043</v>
      </c>
      <c r="D1374" s="232" t="inlineStr">
        <is>
          <t>213465</t>
        </is>
      </c>
      <c r="E1374" s="232" t="inlineStr">
        <is>
          <t>PRORRATEO</t>
        </is>
      </c>
      <c r="F1374" s="232" t="inlineStr">
        <is>
          <t>Asmara</t>
        </is>
      </c>
      <c r="G1374" s="232" t="inlineStr">
        <is>
          <t>w. murcott 19,8 ha</t>
        </is>
      </c>
      <c r="H1374" s="232" t="inlineStr">
        <is>
          <t>Mandarina</t>
        </is>
      </c>
      <c r="I1374" s="232" t="inlineStr">
        <is>
          <t>W. murcott</t>
        </is>
      </c>
      <c r="J1374" s="232" t="inlineStr">
        <is>
          <t>MATERIALES COSECHA</t>
        </is>
      </c>
      <c r="K1374" s="232" t="inlineStr">
        <is>
          <t>INSUMOS PACKING</t>
        </is>
      </c>
      <c r="L1374" s="232" t="inlineStr">
        <is>
          <t>[PRORRATEO 13.4% 19.8há/148.3há] O/001281 JABON LIQU</t>
        </is>
      </c>
      <c r="M1374" s="232" t="inlineStr"/>
      <c r="N1374" s="232" t="inlineStr">
        <is>
          <t>.   .   -</t>
        </is>
      </c>
      <c r="O1374" s="232" t="inlineStr">
        <is>
          <t>ENERO</t>
        </is>
      </c>
      <c r="P1374" s="232" t="n">
        <v>3</v>
      </c>
      <c r="Q1374" s="234" t="n">
        <v>4039</v>
      </c>
      <c r="R1374" s="232" t="inlineStr"/>
      <c r="S1374" s="234" t="n">
        <v>4039</v>
      </c>
      <c r="T1374" s="232" t="inlineStr">
        <is>
          <t>CLP</t>
        </is>
      </c>
      <c r="U1374" s="232" t="inlineStr">
        <is>
          <t>Prorrateo Ha PACKING</t>
        </is>
      </c>
      <c r="V1374" s="232" t="inlineStr">
        <is>
          <t>2026-06-18</t>
        </is>
      </c>
    </row>
    <row r="1375">
      <c r="A1375" s="232" t="inlineStr">
        <is>
          <t>CR-1372</t>
        </is>
      </c>
      <c r="B1375" s="232" t="inlineStr">
        <is>
          <t>2026/27</t>
        </is>
      </c>
      <c r="C1375" s="233" t="n">
        <v>46043</v>
      </c>
      <c r="D1375" s="232" t="inlineStr">
        <is>
          <t>213465</t>
        </is>
      </c>
      <c r="E1375" s="232" t="inlineStr">
        <is>
          <t>PRORRATEO</t>
        </is>
      </c>
      <c r="F1375" s="232" t="inlineStr">
        <is>
          <t>Asmara</t>
        </is>
      </c>
      <c r="G1375" s="232" t="inlineStr">
        <is>
          <t>w. murcott 4,9 ha</t>
        </is>
      </c>
      <c r="H1375" s="232" t="inlineStr">
        <is>
          <t>Mandarina</t>
        </is>
      </c>
      <c r="I1375" s="232" t="inlineStr">
        <is>
          <t>W. murcott</t>
        </is>
      </c>
      <c r="J1375" s="232" t="inlineStr">
        <is>
          <t>MATERIALES COSECHA</t>
        </is>
      </c>
      <c r="K1375" s="232" t="inlineStr">
        <is>
          <t>INSUMOS PACKING</t>
        </is>
      </c>
      <c r="L1375" s="232" t="inlineStr">
        <is>
          <t>[PRORRATEO 3.3% 4.9há/148.3há] O/001281 JABON LIQU</t>
        </is>
      </c>
      <c r="M1375" s="232" t="inlineStr"/>
      <c r="N1375" s="232" t="inlineStr">
        <is>
          <t>.   .   -</t>
        </is>
      </c>
      <c r="O1375" s="232" t="inlineStr">
        <is>
          <t>ENERO</t>
        </is>
      </c>
      <c r="P1375" s="232" t="n">
        <v>3</v>
      </c>
      <c r="Q1375" s="234" t="n">
        <v>999</v>
      </c>
      <c r="R1375" s="232" t="inlineStr"/>
      <c r="S1375" s="234" t="n">
        <v>999</v>
      </c>
      <c r="T1375" s="232" t="inlineStr">
        <is>
          <t>CLP</t>
        </is>
      </c>
      <c r="U1375" s="232" t="inlineStr">
        <is>
          <t>Prorrateo Ha PACKING</t>
        </is>
      </c>
      <c r="V1375" s="232" t="inlineStr">
        <is>
          <t>2026-06-18</t>
        </is>
      </c>
    </row>
    <row r="1376">
      <c r="A1376" s="232" t="inlineStr">
        <is>
          <t>CR-1373</t>
        </is>
      </c>
      <c r="B1376" s="232" t="inlineStr">
        <is>
          <t>2026/27</t>
        </is>
      </c>
      <c r="C1376" s="233" t="n">
        <v>46043</v>
      </c>
      <c r="D1376" s="232" t="inlineStr">
        <is>
          <t>213465</t>
        </is>
      </c>
      <c r="E1376" s="232" t="inlineStr">
        <is>
          <t>PRORRATEO</t>
        </is>
      </c>
      <c r="F1376" s="232" t="inlineStr">
        <is>
          <t>El Molle</t>
        </is>
      </c>
      <c r="G1376" s="232" t="inlineStr">
        <is>
          <t>Wonderful 5,25 ha</t>
        </is>
      </c>
      <c r="H1376" s="232" t="inlineStr">
        <is>
          <t>Granados</t>
        </is>
      </c>
      <c r="I1376" s="232" t="inlineStr">
        <is>
          <t>Wonderfull</t>
        </is>
      </c>
      <c r="J1376" s="232" t="inlineStr">
        <is>
          <t>MATERIALES COSECHA</t>
        </is>
      </c>
      <c r="K1376" s="232" t="inlineStr">
        <is>
          <t>INSUMOS PACKING</t>
        </is>
      </c>
      <c r="L1376" s="232" t="inlineStr">
        <is>
          <t>[PRORRATEO 3.5% 5.24há/148.3há] O/001281 JABON LIQU</t>
        </is>
      </c>
      <c r="M1376" s="232" t="inlineStr"/>
      <c r="N1376" s="232" t="inlineStr">
        <is>
          <t>.   .   -</t>
        </is>
      </c>
      <c r="O1376" s="232" t="inlineStr">
        <is>
          <t>ENERO</t>
        </is>
      </c>
      <c r="P1376" s="232" t="n">
        <v>3</v>
      </c>
      <c r="Q1376" s="234" t="n">
        <v>1069</v>
      </c>
      <c r="R1376" s="232" t="inlineStr"/>
      <c r="S1376" s="234" t="n">
        <v>1069</v>
      </c>
      <c r="T1376" s="232" t="inlineStr">
        <is>
          <t>CLP</t>
        </is>
      </c>
      <c r="U1376" s="232" t="inlineStr">
        <is>
          <t>Prorrateo Ha PACKING</t>
        </is>
      </c>
      <c r="V1376" s="232" t="inlineStr">
        <is>
          <t>2026-06-18</t>
        </is>
      </c>
    </row>
    <row r="1377">
      <c r="A1377" s="232" t="inlineStr">
        <is>
          <t>CR-1374</t>
        </is>
      </c>
      <c r="B1377" s="232" t="inlineStr">
        <is>
          <t>2026/27</t>
        </is>
      </c>
      <c r="C1377" s="233" t="n">
        <v>46043</v>
      </c>
      <c r="D1377" s="232" t="inlineStr">
        <is>
          <t>213465</t>
        </is>
      </c>
      <c r="E1377" s="232" t="inlineStr">
        <is>
          <t>PRORRATEO</t>
        </is>
      </c>
      <c r="F1377" s="232" t="inlineStr">
        <is>
          <t>El Molle</t>
        </is>
      </c>
      <c r="G1377" s="232" t="inlineStr">
        <is>
          <t>arrufatinas 5,74 ha</t>
        </is>
      </c>
      <c r="H1377" s="232" t="inlineStr">
        <is>
          <t>Clementinas</t>
        </is>
      </c>
      <c r="I1377" s="232" t="inlineStr">
        <is>
          <t>Arrufatinas</t>
        </is>
      </c>
      <c r="J1377" s="232" t="inlineStr">
        <is>
          <t>MATERIALES COSECHA</t>
        </is>
      </c>
      <c r="K1377" s="232" t="inlineStr">
        <is>
          <t>INSUMOS PACKING</t>
        </is>
      </c>
      <c r="L1377" s="232" t="inlineStr">
        <is>
          <t>[PRORRATEO 3.9% 5.74há/148.3há] O/001281 JABON LIQU</t>
        </is>
      </c>
      <c r="M1377" s="232" t="inlineStr"/>
      <c r="N1377" s="232" t="inlineStr">
        <is>
          <t>.   .   -</t>
        </is>
      </c>
      <c r="O1377" s="232" t="inlineStr">
        <is>
          <t>ENERO</t>
        </is>
      </c>
      <c r="P1377" s="232" t="n">
        <v>3</v>
      </c>
      <c r="Q1377" s="234" t="n">
        <v>1171</v>
      </c>
      <c r="R1377" s="232" t="inlineStr"/>
      <c r="S1377" s="234" t="n">
        <v>1171</v>
      </c>
      <c r="T1377" s="232" t="inlineStr">
        <is>
          <t>CLP</t>
        </is>
      </c>
      <c r="U1377" s="232" t="inlineStr">
        <is>
          <t>Prorrateo Ha PACKING</t>
        </is>
      </c>
      <c r="V1377" s="232" t="inlineStr">
        <is>
          <t>2026-06-18</t>
        </is>
      </c>
    </row>
    <row r="1378">
      <c r="A1378" s="232" t="inlineStr">
        <is>
          <t>CR-1375</t>
        </is>
      </c>
      <c r="B1378" s="232" t="inlineStr">
        <is>
          <t>2026/27</t>
        </is>
      </c>
      <c r="C1378" s="233" t="n">
        <v>46043</v>
      </c>
      <c r="D1378" s="232" t="inlineStr">
        <is>
          <t>213465</t>
        </is>
      </c>
      <c r="E1378" s="232" t="inlineStr">
        <is>
          <t>PRORRATEO</t>
        </is>
      </c>
      <c r="F1378" s="232" t="inlineStr">
        <is>
          <t>El Molle</t>
        </is>
      </c>
      <c r="G1378" s="232" t="inlineStr">
        <is>
          <t>orogrande 8,11 ha</t>
        </is>
      </c>
      <c r="H1378" s="232" t="inlineStr">
        <is>
          <t>Clementinas</t>
        </is>
      </c>
      <c r="I1378" s="232" t="inlineStr">
        <is>
          <t>Orogrande</t>
        </is>
      </c>
      <c r="J1378" s="232" t="inlineStr">
        <is>
          <t>MATERIALES COSECHA</t>
        </is>
      </c>
      <c r="K1378" s="232" t="inlineStr">
        <is>
          <t>INSUMOS PACKING</t>
        </is>
      </c>
      <c r="L1378" s="232" t="inlineStr">
        <is>
          <t>[PRORRATEO 5.5% 8.11há/148.3há] O/001281 JABON LIQU</t>
        </is>
      </c>
      <c r="M1378" s="232" t="inlineStr"/>
      <c r="N1378" s="232" t="inlineStr">
        <is>
          <t>.   .   -</t>
        </is>
      </c>
      <c r="O1378" s="232" t="inlineStr">
        <is>
          <t>ENERO</t>
        </is>
      </c>
      <c r="P1378" s="232" t="n">
        <v>3</v>
      </c>
      <c r="Q1378" s="234" t="n">
        <v>1654</v>
      </c>
      <c r="R1378" s="232" t="inlineStr"/>
      <c r="S1378" s="234" t="n">
        <v>1654</v>
      </c>
      <c r="T1378" s="232" t="inlineStr">
        <is>
          <t>CLP</t>
        </is>
      </c>
      <c r="U1378" s="232" t="inlineStr">
        <is>
          <t>Prorrateo Ha PACKING</t>
        </is>
      </c>
      <c r="V1378" s="232" t="inlineStr">
        <is>
          <t>2026-06-18</t>
        </is>
      </c>
    </row>
    <row r="1379">
      <c r="A1379" s="232" t="inlineStr">
        <is>
          <t>CR-1376</t>
        </is>
      </c>
      <c r="B1379" s="232" t="inlineStr">
        <is>
          <t>2026/27</t>
        </is>
      </c>
      <c r="C1379" s="233" t="n">
        <v>46043</v>
      </c>
      <c r="D1379" s="232" t="inlineStr">
        <is>
          <t>213465</t>
        </is>
      </c>
      <c r="E1379" s="232" t="inlineStr">
        <is>
          <t>PRORRATEO</t>
        </is>
      </c>
      <c r="F1379" s="232" t="inlineStr">
        <is>
          <t>El Molle</t>
        </is>
      </c>
      <c r="G1379" s="232" t="inlineStr">
        <is>
          <t>oronules 5,35 ha</t>
        </is>
      </c>
      <c r="H1379" s="232" t="inlineStr">
        <is>
          <t>Clementinas</t>
        </is>
      </c>
      <c r="I1379" s="232" t="inlineStr">
        <is>
          <t>Oronules</t>
        </is>
      </c>
      <c r="J1379" s="232" t="inlineStr">
        <is>
          <t>MATERIALES COSECHA</t>
        </is>
      </c>
      <c r="K1379" s="232" t="inlineStr">
        <is>
          <t>INSUMOS PACKING</t>
        </is>
      </c>
      <c r="L1379" s="232" t="inlineStr">
        <is>
          <t>[PRORRATEO 3.6% 5.35há/148.3há] O/001281 JABON LIQU</t>
        </is>
      </c>
      <c r="M1379" s="232" t="inlineStr"/>
      <c r="N1379" s="232" t="inlineStr">
        <is>
          <t>.   .   -</t>
        </is>
      </c>
      <c r="O1379" s="232" t="inlineStr">
        <is>
          <t>ENERO</t>
        </is>
      </c>
      <c r="P1379" s="232" t="n">
        <v>3</v>
      </c>
      <c r="Q1379" s="234" t="n">
        <v>1091</v>
      </c>
      <c r="R1379" s="232" t="inlineStr"/>
      <c r="S1379" s="234" t="n">
        <v>1091</v>
      </c>
      <c r="T1379" s="232" t="inlineStr">
        <is>
          <t>CLP</t>
        </is>
      </c>
      <c r="U1379" s="232" t="inlineStr">
        <is>
          <t>Prorrateo Ha PACKING</t>
        </is>
      </c>
      <c r="V1379" s="232" t="inlineStr">
        <is>
          <t>2026-06-18</t>
        </is>
      </c>
    </row>
    <row r="1380">
      <c r="A1380" s="232" t="inlineStr">
        <is>
          <t>CR-1377</t>
        </is>
      </c>
      <c r="B1380" s="232" t="inlineStr">
        <is>
          <t>2026/27</t>
        </is>
      </c>
      <c r="C1380" s="233" t="n">
        <v>46043</v>
      </c>
      <c r="D1380" s="232" t="inlineStr">
        <is>
          <t>213465</t>
        </is>
      </c>
      <c r="E1380" s="232" t="inlineStr">
        <is>
          <t>PRORRATEO</t>
        </is>
      </c>
      <c r="F1380" s="232" t="inlineStr">
        <is>
          <t>Santa Catalina</t>
        </is>
      </c>
      <c r="G1380" s="232" t="inlineStr">
        <is>
          <t>Fino 49 7,7 ha</t>
        </is>
      </c>
      <c r="H1380" s="232" t="inlineStr">
        <is>
          <t>Limon</t>
        </is>
      </c>
      <c r="I1380" s="232" t="inlineStr">
        <is>
          <t>Fino 49</t>
        </is>
      </c>
      <c r="J1380" s="232" t="inlineStr">
        <is>
          <t>MATERIALES COSECHA</t>
        </is>
      </c>
      <c r="K1380" s="232" t="inlineStr">
        <is>
          <t>INSUMOS PACKING</t>
        </is>
      </c>
      <c r="L1380" s="232" t="inlineStr">
        <is>
          <t>[PRORRATEO 5.2% 7.7há/148.3há] O/001281 JABON LIQU</t>
        </is>
      </c>
      <c r="M1380" s="232" t="inlineStr"/>
      <c r="N1380" s="232" t="inlineStr">
        <is>
          <t>.   .   -</t>
        </is>
      </c>
      <c r="O1380" s="232" t="inlineStr">
        <is>
          <t>ENERO</t>
        </is>
      </c>
      <c r="P1380" s="232" t="n">
        <v>3</v>
      </c>
      <c r="Q1380" s="234" t="n">
        <v>1571</v>
      </c>
      <c r="R1380" s="232" t="inlineStr"/>
      <c r="S1380" s="234" t="n">
        <v>1571</v>
      </c>
      <c r="T1380" s="232" t="inlineStr">
        <is>
          <t>CLP</t>
        </is>
      </c>
      <c r="U1380" s="232" t="inlineStr">
        <is>
          <t>Prorrateo Ha PACKING</t>
        </is>
      </c>
      <c r="V1380" s="232" t="inlineStr">
        <is>
          <t>2026-06-18</t>
        </is>
      </c>
    </row>
    <row r="1381">
      <c r="A1381" s="232" t="inlineStr">
        <is>
          <t>CR-1378</t>
        </is>
      </c>
      <c r="B1381" s="232" t="inlineStr">
        <is>
          <t>2026/27</t>
        </is>
      </c>
      <c r="C1381" s="233" t="n">
        <v>46043</v>
      </c>
      <c r="D1381" s="232" t="inlineStr">
        <is>
          <t>213465</t>
        </is>
      </c>
      <c r="E1381" s="232" t="inlineStr">
        <is>
          <t>PRORRATEO</t>
        </is>
      </c>
      <c r="F1381" s="232" t="inlineStr">
        <is>
          <t>Santa Catalina</t>
        </is>
      </c>
      <c r="G1381" s="232" t="inlineStr">
        <is>
          <t>W. murcott 21 ha</t>
        </is>
      </c>
      <c r="H1381" s="232" t="inlineStr">
        <is>
          <t>Mandarina</t>
        </is>
      </c>
      <c r="I1381" s="232" t="inlineStr">
        <is>
          <t>W. murcott</t>
        </is>
      </c>
      <c r="J1381" s="232" t="inlineStr">
        <is>
          <t>MATERIALES COSECHA</t>
        </is>
      </c>
      <c r="K1381" s="232" t="inlineStr">
        <is>
          <t>INSUMOS PACKING</t>
        </is>
      </c>
      <c r="L1381" s="232" t="inlineStr">
        <is>
          <t>[PRORRATEO 14.2% 21.0há/148.3há] O/001281 JABON LIQU</t>
        </is>
      </c>
      <c r="M1381" s="232" t="inlineStr"/>
      <c r="N1381" s="232" t="inlineStr">
        <is>
          <t>.   .   -</t>
        </is>
      </c>
      <c r="O1381" s="232" t="inlineStr">
        <is>
          <t>ENERO</t>
        </is>
      </c>
      <c r="P1381" s="232" t="n">
        <v>3</v>
      </c>
      <c r="Q1381" s="234" t="n">
        <v>4283</v>
      </c>
      <c r="R1381" s="232" t="inlineStr"/>
      <c r="S1381" s="234" t="n">
        <v>4283</v>
      </c>
      <c r="T1381" s="232" t="inlineStr">
        <is>
          <t>CLP</t>
        </is>
      </c>
      <c r="U1381" s="232" t="inlineStr">
        <is>
          <t>Prorrateo Ha PACKING</t>
        </is>
      </c>
      <c r="V1381" s="232" t="inlineStr">
        <is>
          <t>2026-06-18</t>
        </is>
      </c>
    </row>
    <row r="1382">
      <c r="A1382" s="232" t="inlineStr">
        <is>
          <t>CR-1379</t>
        </is>
      </c>
      <c r="B1382" s="232" t="inlineStr">
        <is>
          <t>2026/27</t>
        </is>
      </c>
      <c r="C1382" s="233" t="n">
        <v>46043</v>
      </c>
      <c r="D1382" s="232" t="inlineStr">
        <is>
          <t>213465</t>
        </is>
      </c>
      <c r="E1382" s="232" t="inlineStr">
        <is>
          <t>PRORRATEO</t>
        </is>
      </c>
      <c r="F1382" s="232" t="inlineStr">
        <is>
          <t>Santa Catalina</t>
        </is>
      </c>
      <c r="G1382" s="232" t="inlineStr">
        <is>
          <t>cambria 4,2 ha</t>
        </is>
      </c>
      <c r="H1382" s="232" t="inlineStr">
        <is>
          <t>Naranjas</t>
        </is>
      </c>
      <c r="I1382" s="232" t="inlineStr">
        <is>
          <t>Cambria</t>
        </is>
      </c>
      <c r="J1382" s="232" t="inlineStr">
        <is>
          <t>MATERIALES COSECHA</t>
        </is>
      </c>
      <c r="K1382" s="232" t="inlineStr">
        <is>
          <t>INSUMOS PACKING</t>
        </is>
      </c>
      <c r="L1382" s="232" t="inlineStr">
        <is>
          <t>[PRORRATEO 2.8% 4.2há/148.3há] O/001281 JABON LIQU</t>
        </is>
      </c>
      <c r="M1382" s="232" t="inlineStr"/>
      <c r="N1382" s="232" t="inlineStr">
        <is>
          <t>.   .   -</t>
        </is>
      </c>
      <c r="O1382" s="232" t="inlineStr">
        <is>
          <t>ENERO</t>
        </is>
      </c>
      <c r="P1382" s="232" t="n">
        <v>3</v>
      </c>
      <c r="Q1382" s="234" t="n">
        <v>857</v>
      </c>
      <c r="R1382" s="232" t="inlineStr"/>
      <c r="S1382" s="234" t="n">
        <v>857</v>
      </c>
      <c r="T1382" s="232" t="inlineStr">
        <is>
          <t>CLP</t>
        </is>
      </c>
      <c r="U1382" s="232" t="inlineStr">
        <is>
          <t>Prorrateo Ha PACKING</t>
        </is>
      </c>
      <c r="V1382" s="232" t="inlineStr">
        <is>
          <t>2026-06-18</t>
        </is>
      </c>
    </row>
    <row r="1383">
      <c r="A1383" s="232" t="inlineStr">
        <is>
          <t>CR-1380</t>
        </is>
      </c>
      <c r="B1383" s="232" t="inlineStr">
        <is>
          <t>2026/27</t>
        </is>
      </c>
      <c r="C1383" s="233" t="n">
        <v>46043</v>
      </c>
      <c r="D1383" s="232" t="inlineStr">
        <is>
          <t>213465</t>
        </is>
      </c>
      <c r="E1383" s="232" t="inlineStr">
        <is>
          <t>PRORRATEO</t>
        </is>
      </c>
      <c r="F1383" s="232" t="inlineStr">
        <is>
          <t>Santa Catalina</t>
        </is>
      </c>
      <c r="G1383" s="232" t="inlineStr">
        <is>
          <t>eureka 10,6 ha</t>
        </is>
      </c>
      <c r="H1383" s="232" t="inlineStr">
        <is>
          <t>Limon</t>
        </is>
      </c>
      <c r="I1383" s="232" t="inlineStr">
        <is>
          <t>Eureka</t>
        </is>
      </c>
      <c r="J1383" s="232" t="inlineStr">
        <is>
          <t>MATERIALES COSECHA</t>
        </is>
      </c>
      <c r="K1383" s="232" t="inlineStr">
        <is>
          <t>INSUMOS PACKING</t>
        </is>
      </c>
      <c r="L1383" s="232" t="inlineStr">
        <is>
          <t>[PRORRATEO 7.1% 10.6há/148.3há] O/001281 JABON LIQU</t>
        </is>
      </c>
      <c r="M1383" s="232" t="inlineStr"/>
      <c r="N1383" s="232" t="inlineStr">
        <is>
          <t>.   .   -</t>
        </is>
      </c>
      <c r="O1383" s="232" t="inlineStr">
        <is>
          <t>ENERO</t>
        </is>
      </c>
      <c r="P1383" s="232" t="n">
        <v>3</v>
      </c>
      <c r="Q1383" s="234" t="n">
        <v>2162</v>
      </c>
      <c r="R1383" s="232" t="inlineStr"/>
      <c r="S1383" s="234" t="n">
        <v>2162</v>
      </c>
      <c r="T1383" s="232" t="inlineStr">
        <is>
          <t>CLP</t>
        </is>
      </c>
      <c r="U1383" s="232" t="inlineStr">
        <is>
          <t>Prorrateo Ha PACKING</t>
        </is>
      </c>
      <c r="V1383" s="232" t="inlineStr">
        <is>
          <t>2026-06-18</t>
        </is>
      </c>
    </row>
    <row r="1384">
      <c r="A1384" s="232" t="inlineStr">
        <is>
          <t>CR-1381</t>
        </is>
      </c>
      <c r="B1384" s="232" t="inlineStr">
        <is>
          <t>2026/27</t>
        </is>
      </c>
      <c r="C1384" s="233" t="n">
        <v>46043</v>
      </c>
      <c r="D1384" s="232" t="inlineStr">
        <is>
          <t>213465</t>
        </is>
      </c>
      <c r="E1384" s="232" t="inlineStr">
        <is>
          <t>PRORRATEO</t>
        </is>
      </c>
      <c r="F1384" s="232" t="inlineStr">
        <is>
          <t>Santa Catalina</t>
        </is>
      </c>
      <c r="G1384" s="232" t="inlineStr">
        <is>
          <t>eureka 14,4 ha</t>
        </is>
      </c>
      <c r="H1384" s="232" t="inlineStr">
        <is>
          <t>Limon</t>
        </is>
      </c>
      <c r="I1384" s="232" t="inlineStr">
        <is>
          <t>Eureka</t>
        </is>
      </c>
      <c r="J1384" s="232" t="inlineStr">
        <is>
          <t>MATERIALES COSECHA</t>
        </is>
      </c>
      <c r="K1384" s="232" t="inlineStr">
        <is>
          <t>INSUMOS PACKING</t>
        </is>
      </c>
      <c r="L1384" s="232" t="inlineStr">
        <is>
          <t>[PRORRATEO 9.7% 14.4há/148.3há] O/001281 JABON LIQU</t>
        </is>
      </c>
      <c r="M1384" s="232" t="inlineStr"/>
      <c r="N1384" s="232" t="inlineStr">
        <is>
          <t>.   .   -</t>
        </is>
      </c>
      <c r="O1384" s="232" t="inlineStr">
        <is>
          <t>ENERO</t>
        </is>
      </c>
      <c r="P1384" s="232" t="n">
        <v>3</v>
      </c>
      <c r="Q1384" s="234" t="n">
        <v>2937</v>
      </c>
      <c r="R1384" s="232" t="inlineStr"/>
      <c r="S1384" s="234" t="n">
        <v>2937</v>
      </c>
      <c r="T1384" s="232" t="inlineStr">
        <is>
          <t>CLP</t>
        </is>
      </c>
      <c r="U1384" s="232" t="inlineStr">
        <is>
          <t>Prorrateo Ha PACKING</t>
        </is>
      </c>
      <c r="V1384" s="232" t="inlineStr">
        <is>
          <t>2026-06-18</t>
        </is>
      </c>
    </row>
    <row r="1385">
      <c r="A1385" s="232" t="inlineStr">
        <is>
          <t>CR-1382</t>
        </is>
      </c>
      <c r="B1385" s="232" t="inlineStr">
        <is>
          <t>2026/27</t>
        </is>
      </c>
      <c r="C1385" s="233" t="n">
        <v>46043</v>
      </c>
      <c r="D1385" s="232" t="inlineStr">
        <is>
          <t>213465</t>
        </is>
      </c>
      <c r="E1385" s="232" t="inlineStr">
        <is>
          <t>PRORRATEO</t>
        </is>
      </c>
      <c r="F1385" s="232" t="inlineStr">
        <is>
          <t>Santa Catalina</t>
        </is>
      </c>
      <c r="G1385" s="232" t="inlineStr">
        <is>
          <t>eureka 22,55</t>
        </is>
      </c>
      <c r="H1385" s="232" t="inlineStr">
        <is>
          <t>Limon</t>
        </is>
      </c>
      <c r="I1385" s="232" t="inlineStr">
        <is>
          <t>Eureka</t>
        </is>
      </c>
      <c r="J1385" s="232" t="inlineStr">
        <is>
          <t>MATERIALES COSECHA</t>
        </is>
      </c>
      <c r="K1385" s="232" t="inlineStr">
        <is>
          <t>INSUMOS PACKING</t>
        </is>
      </c>
      <c r="L1385" s="232" t="inlineStr">
        <is>
          <t>[PRORRATEO 15.2% 22.55há/148.3há] O/001281 JABON LIQU</t>
        </is>
      </c>
      <c r="M1385" s="232" t="inlineStr"/>
      <c r="N1385" s="232" t="inlineStr">
        <is>
          <t>.   .   -</t>
        </is>
      </c>
      <c r="O1385" s="232" t="inlineStr">
        <is>
          <t>ENERO</t>
        </is>
      </c>
      <c r="P1385" s="232" t="n">
        <v>3</v>
      </c>
      <c r="Q1385" s="234" t="n">
        <v>4599</v>
      </c>
      <c r="R1385" s="232" t="inlineStr"/>
      <c r="S1385" s="234" t="n">
        <v>4599</v>
      </c>
      <c r="T1385" s="232" t="inlineStr">
        <is>
          <t>CLP</t>
        </is>
      </c>
      <c r="U1385" s="232" t="inlineStr">
        <is>
          <t>Prorrateo Ha PACKING</t>
        </is>
      </c>
      <c r="V1385" s="232" t="inlineStr">
        <is>
          <t>2026-06-18</t>
        </is>
      </c>
    </row>
    <row r="1386">
      <c r="A1386" s="232" t="inlineStr">
        <is>
          <t>CR-1383</t>
        </is>
      </c>
      <c r="B1386" s="232" t="inlineStr">
        <is>
          <t>2026/27</t>
        </is>
      </c>
      <c r="C1386" s="233" t="n">
        <v>46043</v>
      </c>
      <c r="D1386" s="232" t="inlineStr">
        <is>
          <t>213465</t>
        </is>
      </c>
      <c r="E1386" s="232" t="inlineStr">
        <is>
          <t>PRORRATEO</t>
        </is>
      </c>
      <c r="F1386" s="232" t="inlineStr">
        <is>
          <t>Santa Catalina</t>
        </is>
      </c>
      <c r="G1386" s="232" t="inlineStr">
        <is>
          <t>form benjamin 1,93 ha</t>
        </is>
      </c>
      <c r="H1386" s="232" t="inlineStr">
        <is>
          <t>Limon</t>
        </is>
      </c>
      <c r="I1386" s="232" t="inlineStr">
        <is>
          <t>Benjamin andes</t>
        </is>
      </c>
      <c r="J1386" s="232" t="inlineStr">
        <is>
          <t>MATERIALES COSECHA</t>
        </is>
      </c>
      <c r="K1386" s="232" t="inlineStr">
        <is>
          <t>INSUMOS PACKING</t>
        </is>
      </c>
      <c r="L1386" s="232" t="inlineStr">
        <is>
          <t>[PRORRATEO 1.3% 1.93há/148.3há] O/001281 JABON LIQU</t>
        </is>
      </c>
      <c r="M1386" s="232" t="inlineStr"/>
      <c r="N1386" s="232" t="inlineStr">
        <is>
          <t>.   .   -</t>
        </is>
      </c>
      <c r="O1386" s="232" t="inlineStr">
        <is>
          <t>ENERO</t>
        </is>
      </c>
      <c r="P1386" s="232" t="n">
        <v>3</v>
      </c>
      <c r="Q1386" s="234" t="n">
        <v>394</v>
      </c>
      <c r="R1386" s="232" t="inlineStr"/>
      <c r="S1386" s="234" t="n">
        <v>394</v>
      </c>
      <c r="T1386" s="232" t="inlineStr">
        <is>
          <t>CLP</t>
        </is>
      </c>
      <c r="U1386" s="232" t="inlineStr">
        <is>
          <t>Prorrateo Ha PACKING</t>
        </is>
      </c>
      <c r="V1386" s="232" t="inlineStr">
        <is>
          <t>2026-06-18</t>
        </is>
      </c>
    </row>
    <row r="1387">
      <c r="A1387" s="232" t="inlineStr">
        <is>
          <t>CR-1384</t>
        </is>
      </c>
      <c r="B1387" s="232" t="inlineStr">
        <is>
          <t>2026/27</t>
        </is>
      </c>
      <c r="C1387" s="233" t="n">
        <v>46043</v>
      </c>
      <c r="D1387" s="232" t="inlineStr">
        <is>
          <t>213465</t>
        </is>
      </c>
      <c r="E1387" s="232" t="inlineStr">
        <is>
          <t>PRORRATEO</t>
        </is>
      </c>
      <c r="F1387" s="232" t="inlineStr">
        <is>
          <t>Santa Catalina</t>
        </is>
      </c>
      <c r="G1387" s="232" t="inlineStr">
        <is>
          <t>mant eureka 2,5 ha</t>
        </is>
      </c>
      <c r="H1387" s="232" t="inlineStr">
        <is>
          <t>Limon</t>
        </is>
      </c>
      <c r="I1387" s="232" t="inlineStr">
        <is>
          <t>Eureka</t>
        </is>
      </c>
      <c r="J1387" s="232" t="inlineStr">
        <is>
          <t>MATERIALES COSECHA</t>
        </is>
      </c>
      <c r="K1387" s="232" t="inlineStr">
        <is>
          <t>INSUMOS PACKING</t>
        </is>
      </c>
      <c r="L1387" s="232" t="inlineStr">
        <is>
          <t>[PRORRATEO 1.7% 2.5há/148.3há] O/001281 JABON LIQU</t>
        </is>
      </c>
      <c r="M1387" s="232" t="inlineStr"/>
      <c r="N1387" s="232" t="inlineStr">
        <is>
          <t>.   .   -</t>
        </is>
      </c>
      <c r="O1387" s="232" t="inlineStr">
        <is>
          <t>ENERO</t>
        </is>
      </c>
      <c r="P1387" s="232" t="n">
        <v>3</v>
      </c>
      <c r="Q1387" s="234" t="n">
        <v>510</v>
      </c>
      <c r="R1387" s="232" t="inlineStr"/>
      <c r="S1387" s="234" t="n">
        <v>510</v>
      </c>
      <c r="T1387" s="232" t="inlineStr">
        <is>
          <t>CLP</t>
        </is>
      </c>
      <c r="U1387" s="232" t="inlineStr">
        <is>
          <t>Prorrateo Ha PACKING</t>
        </is>
      </c>
      <c r="V1387" s="232" t="inlineStr">
        <is>
          <t>2026-06-18</t>
        </is>
      </c>
    </row>
    <row r="1388">
      <c r="A1388" s="232" t="inlineStr">
        <is>
          <t>CR-1385</t>
        </is>
      </c>
      <c r="B1388" s="232" t="inlineStr">
        <is>
          <t>2026/27</t>
        </is>
      </c>
      <c r="C1388" s="233" t="n">
        <v>46043</v>
      </c>
      <c r="D1388" s="232" t="inlineStr">
        <is>
          <t>213465</t>
        </is>
      </c>
      <c r="E1388" s="232" t="inlineStr">
        <is>
          <t>PRORRATEO</t>
        </is>
      </c>
      <c r="F1388" s="232" t="inlineStr">
        <is>
          <t>Siberia</t>
        </is>
      </c>
      <c r="G1388" s="232" t="inlineStr">
        <is>
          <t>S. Celebration 7,14</t>
        </is>
      </c>
      <c r="H1388" s="232" t="inlineStr">
        <is>
          <t>Uvas</t>
        </is>
      </c>
      <c r="I1388" s="232" t="inlineStr">
        <is>
          <t>S. celebration</t>
        </is>
      </c>
      <c r="J1388" s="232" t="inlineStr">
        <is>
          <t>MATERIALES COSECHA</t>
        </is>
      </c>
      <c r="K1388" s="232" t="inlineStr">
        <is>
          <t>INSUMOS PACKING</t>
        </is>
      </c>
      <c r="L1388" s="232" t="inlineStr">
        <is>
          <t>[PRORRATEO 4.8% 7.14há/148.3há] O/001281 JABON LIQU</t>
        </is>
      </c>
      <c r="M1388" s="232" t="inlineStr"/>
      <c r="N1388" s="232" t="inlineStr">
        <is>
          <t>.   .   -</t>
        </is>
      </c>
      <c r="O1388" s="232" t="inlineStr">
        <is>
          <t>ENERO</t>
        </is>
      </c>
      <c r="P1388" s="232" t="n">
        <v>3</v>
      </c>
      <c r="Q1388" s="234" t="n">
        <v>1456</v>
      </c>
      <c r="R1388" s="232" t="inlineStr"/>
      <c r="S1388" s="234" t="n">
        <v>1456</v>
      </c>
      <c r="T1388" s="232" t="inlineStr">
        <is>
          <t>CLP</t>
        </is>
      </c>
      <c r="U1388" s="232" t="inlineStr">
        <is>
          <t>Prorrateo Ha PACKING</t>
        </is>
      </c>
      <c r="V1388" s="232" t="inlineStr">
        <is>
          <t>2026-06-18</t>
        </is>
      </c>
    </row>
    <row r="1389">
      <c r="A1389" s="232" t="inlineStr">
        <is>
          <t>CR-1386</t>
        </is>
      </c>
      <c r="B1389" s="232" t="inlineStr">
        <is>
          <t>2026/27</t>
        </is>
      </c>
      <c r="C1389" s="233" t="n">
        <v>46043</v>
      </c>
      <c r="D1389" s="232" t="inlineStr">
        <is>
          <t>213465</t>
        </is>
      </c>
      <c r="E1389" s="232" t="inlineStr">
        <is>
          <t>PRORRATEO</t>
        </is>
      </c>
      <c r="F1389" s="232" t="inlineStr">
        <is>
          <t>Siberia</t>
        </is>
      </c>
      <c r="G1389" s="232" t="inlineStr">
        <is>
          <t>Timpson 7,1</t>
        </is>
      </c>
      <c r="H1389" s="232" t="inlineStr">
        <is>
          <t>Uvas</t>
        </is>
      </c>
      <c r="I1389" s="232" t="inlineStr">
        <is>
          <t>Timpson</t>
        </is>
      </c>
      <c r="J1389" s="232" t="inlineStr">
        <is>
          <t>MATERIALES COSECHA</t>
        </is>
      </c>
      <c r="K1389" s="232" t="inlineStr">
        <is>
          <t>INSUMOS PACKING</t>
        </is>
      </c>
      <c r="L1389" s="232" t="inlineStr">
        <is>
          <t>[PRORRATEO 4.8% 7.1há/148.3há] O/001281 JABON LIQU</t>
        </is>
      </c>
      <c r="M1389" s="232" t="inlineStr"/>
      <c r="N1389" s="232" t="inlineStr">
        <is>
          <t>.   .   -</t>
        </is>
      </c>
      <c r="O1389" s="232" t="inlineStr">
        <is>
          <t>ENERO</t>
        </is>
      </c>
      <c r="P1389" s="232" t="n">
        <v>3</v>
      </c>
      <c r="Q1389" s="234" t="n">
        <v>1448</v>
      </c>
      <c r="R1389" s="232" t="inlineStr"/>
      <c r="S1389" s="234" t="n">
        <v>1448</v>
      </c>
      <c r="T1389" s="232" t="inlineStr">
        <is>
          <t>CLP</t>
        </is>
      </c>
      <c r="U1389" s="232" t="inlineStr">
        <is>
          <t>Prorrateo Ha PACKING</t>
        </is>
      </c>
      <c r="V1389" s="232" t="inlineStr">
        <is>
          <t>2026-06-18</t>
        </is>
      </c>
    </row>
    <row r="1390">
      <c r="A1390" s="232" t="inlineStr">
        <is>
          <t>CR-1387</t>
        </is>
      </c>
      <c r="B1390" s="232" t="inlineStr">
        <is>
          <t>2026/27</t>
        </is>
      </c>
      <c r="C1390" s="233" t="n">
        <v>46043</v>
      </c>
      <c r="D1390" s="232" t="inlineStr">
        <is>
          <t>213465</t>
        </is>
      </c>
      <c r="E1390" s="232" t="inlineStr">
        <is>
          <t>PRORRATEO</t>
        </is>
      </c>
      <c r="F1390" s="232" t="inlineStr">
        <is>
          <t>Asmara</t>
        </is>
      </c>
      <c r="G1390" s="232" t="inlineStr">
        <is>
          <t>w. murcott 19,8 ha</t>
        </is>
      </c>
      <c r="H1390" s="232" t="inlineStr">
        <is>
          <t>Mandarina</t>
        </is>
      </c>
      <c r="I1390" s="232" t="inlineStr">
        <is>
          <t>W. murcott</t>
        </is>
      </c>
      <c r="J1390" s="232" t="inlineStr">
        <is>
          <t>MATERIALES COSECHA</t>
        </is>
      </c>
      <c r="K1390" s="232" t="inlineStr">
        <is>
          <t>INSUMOS PACKING</t>
        </is>
      </c>
      <c r="L1390" s="232" t="inlineStr">
        <is>
          <t>[PRORRATEO 13.4% 19.8há/148.3há] O/001281 LIMPIADOR</t>
        </is>
      </c>
      <c r="M1390" s="232" t="inlineStr"/>
      <c r="N1390" s="232" t="inlineStr">
        <is>
          <t>.   .   -</t>
        </is>
      </c>
      <c r="O1390" s="232" t="inlineStr">
        <is>
          <t>ENERO</t>
        </is>
      </c>
      <c r="P1390" s="232" t="n">
        <v>3</v>
      </c>
      <c r="Q1390" s="234" t="n">
        <v>1356</v>
      </c>
      <c r="R1390" s="232" t="inlineStr"/>
      <c r="S1390" s="234" t="n">
        <v>1356</v>
      </c>
      <c r="T1390" s="232" t="inlineStr">
        <is>
          <t>CLP</t>
        </is>
      </c>
      <c r="U1390" s="232" t="inlineStr">
        <is>
          <t>Prorrateo Ha PACKING</t>
        </is>
      </c>
      <c r="V1390" s="232" t="inlineStr">
        <is>
          <t>2026-06-18</t>
        </is>
      </c>
    </row>
    <row r="1391">
      <c r="A1391" s="232" t="inlineStr">
        <is>
          <t>CR-1388</t>
        </is>
      </c>
      <c r="B1391" s="232" t="inlineStr">
        <is>
          <t>2026/27</t>
        </is>
      </c>
      <c r="C1391" s="233" t="n">
        <v>46043</v>
      </c>
      <c r="D1391" s="232" t="inlineStr">
        <is>
          <t>213465</t>
        </is>
      </c>
      <c r="E1391" s="232" t="inlineStr">
        <is>
          <t>PRORRATEO</t>
        </is>
      </c>
      <c r="F1391" s="232" t="inlineStr">
        <is>
          <t>Asmara</t>
        </is>
      </c>
      <c r="G1391" s="232" t="inlineStr">
        <is>
          <t>w. murcott 4,9 ha</t>
        </is>
      </c>
      <c r="H1391" s="232" t="inlineStr">
        <is>
          <t>Mandarina</t>
        </is>
      </c>
      <c r="I1391" s="232" t="inlineStr">
        <is>
          <t>W. murcott</t>
        </is>
      </c>
      <c r="J1391" s="232" t="inlineStr">
        <is>
          <t>MATERIALES COSECHA</t>
        </is>
      </c>
      <c r="K1391" s="232" t="inlineStr">
        <is>
          <t>INSUMOS PACKING</t>
        </is>
      </c>
      <c r="L1391" s="232" t="inlineStr">
        <is>
          <t>[PRORRATEO 3.3% 4.9há/148.3há] O/001281 LIMPIADOR</t>
        </is>
      </c>
      <c r="M1391" s="232" t="inlineStr"/>
      <c r="N1391" s="232" t="inlineStr">
        <is>
          <t>.   .   -</t>
        </is>
      </c>
      <c r="O1391" s="232" t="inlineStr">
        <is>
          <t>ENERO</t>
        </is>
      </c>
      <c r="P1391" s="232" t="n">
        <v>3</v>
      </c>
      <c r="Q1391" s="234" t="n">
        <v>336</v>
      </c>
      <c r="R1391" s="232" t="inlineStr"/>
      <c r="S1391" s="234" t="n">
        <v>336</v>
      </c>
      <c r="T1391" s="232" t="inlineStr">
        <is>
          <t>CLP</t>
        </is>
      </c>
      <c r="U1391" s="232" t="inlineStr">
        <is>
          <t>Prorrateo Ha PACKING</t>
        </is>
      </c>
      <c r="V1391" s="232" t="inlineStr">
        <is>
          <t>2026-06-18</t>
        </is>
      </c>
    </row>
    <row r="1392">
      <c r="A1392" s="232" t="inlineStr">
        <is>
          <t>CR-1389</t>
        </is>
      </c>
      <c r="B1392" s="232" t="inlineStr">
        <is>
          <t>2026/27</t>
        </is>
      </c>
      <c r="C1392" s="233" t="n">
        <v>46043</v>
      </c>
      <c r="D1392" s="232" t="inlineStr">
        <is>
          <t>213465</t>
        </is>
      </c>
      <c r="E1392" s="232" t="inlineStr">
        <is>
          <t>PRORRATEO</t>
        </is>
      </c>
      <c r="F1392" s="232" t="inlineStr">
        <is>
          <t>El Molle</t>
        </is>
      </c>
      <c r="G1392" s="232" t="inlineStr">
        <is>
          <t>Wonderful 5,25 ha</t>
        </is>
      </c>
      <c r="H1392" s="232" t="inlineStr">
        <is>
          <t>Granados</t>
        </is>
      </c>
      <c r="I1392" s="232" t="inlineStr">
        <is>
          <t>Wonderfull</t>
        </is>
      </c>
      <c r="J1392" s="232" t="inlineStr">
        <is>
          <t>MATERIALES COSECHA</t>
        </is>
      </c>
      <c r="K1392" s="232" t="inlineStr">
        <is>
          <t>INSUMOS PACKING</t>
        </is>
      </c>
      <c r="L1392" s="232" t="inlineStr">
        <is>
          <t>[PRORRATEO 3.5% 5.24há/148.3há] O/001281 LIMPIADOR</t>
        </is>
      </c>
      <c r="M1392" s="232" t="inlineStr"/>
      <c r="N1392" s="232" t="inlineStr">
        <is>
          <t>.   .   -</t>
        </is>
      </c>
      <c r="O1392" s="232" t="inlineStr">
        <is>
          <t>ENERO</t>
        </is>
      </c>
      <c r="P1392" s="232" t="n">
        <v>3</v>
      </c>
      <c r="Q1392" s="234" t="n">
        <v>359</v>
      </c>
      <c r="R1392" s="232" t="inlineStr"/>
      <c r="S1392" s="234" t="n">
        <v>359</v>
      </c>
      <c r="T1392" s="232" t="inlineStr">
        <is>
          <t>CLP</t>
        </is>
      </c>
      <c r="U1392" s="232" t="inlineStr">
        <is>
          <t>Prorrateo Ha PACKING</t>
        </is>
      </c>
      <c r="V1392" s="232" t="inlineStr">
        <is>
          <t>2026-06-18</t>
        </is>
      </c>
    </row>
    <row r="1393">
      <c r="A1393" s="232" t="inlineStr">
        <is>
          <t>CR-1390</t>
        </is>
      </c>
      <c r="B1393" s="232" t="inlineStr">
        <is>
          <t>2026/27</t>
        </is>
      </c>
      <c r="C1393" s="233" t="n">
        <v>46043</v>
      </c>
      <c r="D1393" s="232" t="inlineStr">
        <is>
          <t>213465</t>
        </is>
      </c>
      <c r="E1393" s="232" t="inlineStr">
        <is>
          <t>PRORRATEO</t>
        </is>
      </c>
      <c r="F1393" s="232" t="inlineStr">
        <is>
          <t>El Molle</t>
        </is>
      </c>
      <c r="G1393" s="232" t="inlineStr">
        <is>
          <t>arrufatinas 5,74 ha</t>
        </is>
      </c>
      <c r="H1393" s="232" t="inlineStr">
        <is>
          <t>Clementinas</t>
        </is>
      </c>
      <c r="I1393" s="232" t="inlineStr">
        <is>
          <t>Arrufatinas</t>
        </is>
      </c>
      <c r="J1393" s="232" t="inlineStr">
        <is>
          <t>MATERIALES COSECHA</t>
        </is>
      </c>
      <c r="K1393" s="232" t="inlineStr">
        <is>
          <t>INSUMOS PACKING</t>
        </is>
      </c>
      <c r="L1393" s="232" t="inlineStr">
        <is>
          <t>[PRORRATEO 3.9% 5.74há/148.3há] O/001281 LIMPIADOR</t>
        </is>
      </c>
      <c r="M1393" s="232" t="inlineStr"/>
      <c r="N1393" s="232" t="inlineStr">
        <is>
          <t>.   .   -</t>
        </is>
      </c>
      <c r="O1393" s="232" t="inlineStr">
        <is>
          <t>ENERO</t>
        </is>
      </c>
      <c r="P1393" s="232" t="n">
        <v>3</v>
      </c>
      <c r="Q1393" s="234" t="n">
        <v>393</v>
      </c>
      <c r="R1393" s="232" t="inlineStr"/>
      <c r="S1393" s="234" t="n">
        <v>393</v>
      </c>
      <c r="T1393" s="232" t="inlineStr">
        <is>
          <t>CLP</t>
        </is>
      </c>
      <c r="U1393" s="232" t="inlineStr">
        <is>
          <t>Prorrateo Ha PACKING</t>
        </is>
      </c>
      <c r="V1393" s="232" t="inlineStr">
        <is>
          <t>2026-06-18</t>
        </is>
      </c>
    </row>
    <row r="1394">
      <c r="A1394" s="232" t="inlineStr">
        <is>
          <t>CR-1391</t>
        </is>
      </c>
      <c r="B1394" s="232" t="inlineStr">
        <is>
          <t>2026/27</t>
        </is>
      </c>
      <c r="C1394" s="233" t="n">
        <v>46043</v>
      </c>
      <c r="D1394" s="232" t="inlineStr">
        <is>
          <t>213465</t>
        </is>
      </c>
      <c r="E1394" s="232" t="inlineStr">
        <is>
          <t>PRORRATEO</t>
        </is>
      </c>
      <c r="F1394" s="232" t="inlineStr">
        <is>
          <t>El Molle</t>
        </is>
      </c>
      <c r="G1394" s="232" t="inlineStr">
        <is>
          <t>orogrande 8,11 ha</t>
        </is>
      </c>
      <c r="H1394" s="232" t="inlineStr">
        <is>
          <t>Clementinas</t>
        </is>
      </c>
      <c r="I1394" s="232" t="inlineStr">
        <is>
          <t>Orogrande</t>
        </is>
      </c>
      <c r="J1394" s="232" t="inlineStr">
        <is>
          <t>MATERIALES COSECHA</t>
        </is>
      </c>
      <c r="K1394" s="232" t="inlineStr">
        <is>
          <t>INSUMOS PACKING</t>
        </is>
      </c>
      <c r="L1394" s="232" t="inlineStr">
        <is>
          <t>[PRORRATEO 5.5% 8.11há/148.3há] O/001281 LIMPIADOR</t>
        </is>
      </c>
      <c r="M1394" s="232" t="inlineStr"/>
      <c r="N1394" s="232" t="inlineStr">
        <is>
          <t>.   .   -</t>
        </is>
      </c>
      <c r="O1394" s="232" t="inlineStr">
        <is>
          <t>ENERO</t>
        </is>
      </c>
      <c r="P1394" s="232" t="n">
        <v>3</v>
      </c>
      <c r="Q1394" s="234" t="n">
        <v>555</v>
      </c>
      <c r="R1394" s="232" t="inlineStr"/>
      <c r="S1394" s="234" t="n">
        <v>555</v>
      </c>
      <c r="T1394" s="232" t="inlineStr">
        <is>
          <t>CLP</t>
        </is>
      </c>
      <c r="U1394" s="232" t="inlineStr">
        <is>
          <t>Prorrateo Ha PACKING</t>
        </is>
      </c>
      <c r="V1394" s="232" t="inlineStr">
        <is>
          <t>2026-06-18</t>
        </is>
      </c>
    </row>
    <row r="1395">
      <c r="A1395" s="232" t="inlineStr">
        <is>
          <t>CR-1392</t>
        </is>
      </c>
      <c r="B1395" s="232" t="inlineStr">
        <is>
          <t>2026/27</t>
        </is>
      </c>
      <c r="C1395" s="233" t="n">
        <v>46043</v>
      </c>
      <c r="D1395" s="232" t="inlineStr">
        <is>
          <t>213465</t>
        </is>
      </c>
      <c r="E1395" s="232" t="inlineStr">
        <is>
          <t>PRORRATEO</t>
        </is>
      </c>
      <c r="F1395" s="232" t="inlineStr">
        <is>
          <t>El Molle</t>
        </is>
      </c>
      <c r="G1395" s="232" t="inlineStr">
        <is>
          <t>oronules 5,35 ha</t>
        </is>
      </c>
      <c r="H1395" s="232" t="inlineStr">
        <is>
          <t>Clementinas</t>
        </is>
      </c>
      <c r="I1395" s="232" t="inlineStr">
        <is>
          <t>Oronules</t>
        </is>
      </c>
      <c r="J1395" s="232" t="inlineStr">
        <is>
          <t>MATERIALES COSECHA</t>
        </is>
      </c>
      <c r="K1395" s="232" t="inlineStr">
        <is>
          <t>INSUMOS PACKING</t>
        </is>
      </c>
      <c r="L1395" s="232" t="inlineStr">
        <is>
          <t>[PRORRATEO 3.6% 5.35há/148.3há] O/001281 LIMPIADOR</t>
        </is>
      </c>
      <c r="M1395" s="232" t="inlineStr"/>
      <c r="N1395" s="232" t="inlineStr">
        <is>
          <t>.   .   -</t>
        </is>
      </c>
      <c r="O1395" s="232" t="inlineStr">
        <is>
          <t>ENERO</t>
        </is>
      </c>
      <c r="P1395" s="232" t="n">
        <v>3</v>
      </c>
      <c r="Q1395" s="234" t="n">
        <v>366</v>
      </c>
      <c r="R1395" s="232" t="inlineStr"/>
      <c r="S1395" s="234" t="n">
        <v>366</v>
      </c>
      <c r="T1395" s="232" t="inlineStr">
        <is>
          <t>CLP</t>
        </is>
      </c>
      <c r="U1395" s="232" t="inlineStr">
        <is>
          <t>Prorrateo Ha PACKING</t>
        </is>
      </c>
      <c r="V1395" s="232" t="inlineStr">
        <is>
          <t>2026-06-18</t>
        </is>
      </c>
    </row>
    <row r="1396">
      <c r="A1396" s="232" t="inlineStr">
        <is>
          <t>CR-1393</t>
        </is>
      </c>
      <c r="B1396" s="232" t="inlineStr">
        <is>
          <t>2026/27</t>
        </is>
      </c>
      <c r="C1396" s="233" t="n">
        <v>46043</v>
      </c>
      <c r="D1396" s="232" t="inlineStr">
        <is>
          <t>213465</t>
        </is>
      </c>
      <c r="E1396" s="232" t="inlineStr">
        <is>
          <t>PRORRATEO</t>
        </is>
      </c>
      <c r="F1396" s="232" t="inlineStr">
        <is>
          <t>Santa Catalina</t>
        </is>
      </c>
      <c r="G1396" s="232" t="inlineStr">
        <is>
          <t>Fino 49 7,7 ha</t>
        </is>
      </c>
      <c r="H1396" s="232" t="inlineStr">
        <is>
          <t>Limon</t>
        </is>
      </c>
      <c r="I1396" s="232" t="inlineStr">
        <is>
          <t>Fino 49</t>
        </is>
      </c>
      <c r="J1396" s="232" t="inlineStr">
        <is>
          <t>MATERIALES COSECHA</t>
        </is>
      </c>
      <c r="K1396" s="232" t="inlineStr">
        <is>
          <t>INSUMOS PACKING</t>
        </is>
      </c>
      <c r="L1396" s="232" t="inlineStr">
        <is>
          <t>[PRORRATEO 5.2% 7.7há/148.3há] O/001281 LIMPIADOR</t>
        </is>
      </c>
      <c r="M1396" s="232" t="inlineStr"/>
      <c r="N1396" s="232" t="inlineStr">
        <is>
          <t>.   .   -</t>
        </is>
      </c>
      <c r="O1396" s="232" t="inlineStr">
        <is>
          <t>ENERO</t>
        </is>
      </c>
      <c r="P1396" s="232" t="n">
        <v>3</v>
      </c>
      <c r="Q1396" s="234" t="n">
        <v>527</v>
      </c>
      <c r="R1396" s="232" t="inlineStr"/>
      <c r="S1396" s="234" t="n">
        <v>527</v>
      </c>
      <c r="T1396" s="232" t="inlineStr">
        <is>
          <t>CLP</t>
        </is>
      </c>
      <c r="U1396" s="232" t="inlineStr">
        <is>
          <t>Prorrateo Ha PACKING</t>
        </is>
      </c>
      <c r="V1396" s="232" t="inlineStr">
        <is>
          <t>2026-06-18</t>
        </is>
      </c>
    </row>
    <row r="1397">
      <c r="A1397" s="232" t="inlineStr">
        <is>
          <t>CR-1394</t>
        </is>
      </c>
      <c r="B1397" s="232" t="inlineStr">
        <is>
          <t>2026/27</t>
        </is>
      </c>
      <c r="C1397" s="233" t="n">
        <v>46043</v>
      </c>
      <c r="D1397" s="232" t="inlineStr">
        <is>
          <t>213465</t>
        </is>
      </c>
      <c r="E1397" s="232" t="inlineStr">
        <is>
          <t>PRORRATEO</t>
        </is>
      </c>
      <c r="F1397" s="232" t="inlineStr">
        <is>
          <t>Santa Catalina</t>
        </is>
      </c>
      <c r="G1397" s="232" t="inlineStr">
        <is>
          <t>W. murcott 21 ha</t>
        </is>
      </c>
      <c r="H1397" s="232" t="inlineStr">
        <is>
          <t>Mandarina</t>
        </is>
      </c>
      <c r="I1397" s="232" t="inlineStr">
        <is>
          <t>W. murcott</t>
        </is>
      </c>
      <c r="J1397" s="232" t="inlineStr">
        <is>
          <t>MATERIALES COSECHA</t>
        </is>
      </c>
      <c r="K1397" s="232" t="inlineStr">
        <is>
          <t>INSUMOS PACKING</t>
        </is>
      </c>
      <c r="L1397" s="232" t="inlineStr">
        <is>
          <t>[PRORRATEO 14.2% 21.0há/148.3há] O/001281 LIMPIADOR</t>
        </is>
      </c>
      <c r="M1397" s="232" t="inlineStr"/>
      <c r="N1397" s="232" t="inlineStr">
        <is>
          <t>.   .   -</t>
        </is>
      </c>
      <c r="O1397" s="232" t="inlineStr">
        <is>
          <t>ENERO</t>
        </is>
      </c>
      <c r="P1397" s="232" t="n">
        <v>3</v>
      </c>
      <c r="Q1397" s="234" t="n">
        <v>1438</v>
      </c>
      <c r="R1397" s="232" t="inlineStr"/>
      <c r="S1397" s="234" t="n">
        <v>1438</v>
      </c>
      <c r="T1397" s="232" t="inlineStr">
        <is>
          <t>CLP</t>
        </is>
      </c>
      <c r="U1397" s="232" t="inlineStr">
        <is>
          <t>Prorrateo Ha PACKING</t>
        </is>
      </c>
      <c r="V1397" s="232" t="inlineStr">
        <is>
          <t>2026-06-18</t>
        </is>
      </c>
    </row>
    <row r="1398">
      <c r="A1398" s="232" t="inlineStr">
        <is>
          <t>CR-1395</t>
        </is>
      </c>
      <c r="B1398" s="232" t="inlineStr">
        <is>
          <t>2026/27</t>
        </is>
      </c>
      <c r="C1398" s="233" t="n">
        <v>46043</v>
      </c>
      <c r="D1398" s="232" t="inlineStr">
        <is>
          <t>213465</t>
        </is>
      </c>
      <c r="E1398" s="232" t="inlineStr">
        <is>
          <t>PRORRATEO</t>
        </is>
      </c>
      <c r="F1398" s="232" t="inlineStr">
        <is>
          <t>Santa Catalina</t>
        </is>
      </c>
      <c r="G1398" s="232" t="inlineStr">
        <is>
          <t>cambria 4,2 ha</t>
        </is>
      </c>
      <c r="H1398" s="232" t="inlineStr">
        <is>
          <t>Naranjas</t>
        </is>
      </c>
      <c r="I1398" s="232" t="inlineStr">
        <is>
          <t>Cambria</t>
        </is>
      </c>
      <c r="J1398" s="232" t="inlineStr">
        <is>
          <t>MATERIALES COSECHA</t>
        </is>
      </c>
      <c r="K1398" s="232" t="inlineStr">
        <is>
          <t>INSUMOS PACKING</t>
        </is>
      </c>
      <c r="L1398" s="232" t="inlineStr">
        <is>
          <t>[PRORRATEO 2.8% 4.2há/148.3há] O/001281 LIMPIADOR</t>
        </is>
      </c>
      <c r="M1398" s="232" t="inlineStr"/>
      <c r="N1398" s="232" t="inlineStr">
        <is>
          <t>.   .   -</t>
        </is>
      </c>
      <c r="O1398" s="232" t="inlineStr">
        <is>
          <t>ENERO</t>
        </is>
      </c>
      <c r="P1398" s="232" t="n">
        <v>3</v>
      </c>
      <c r="Q1398" s="234" t="n">
        <v>288</v>
      </c>
      <c r="R1398" s="232" t="inlineStr"/>
      <c r="S1398" s="234" t="n">
        <v>288</v>
      </c>
      <c r="T1398" s="232" t="inlineStr">
        <is>
          <t>CLP</t>
        </is>
      </c>
      <c r="U1398" s="232" t="inlineStr">
        <is>
          <t>Prorrateo Ha PACKING</t>
        </is>
      </c>
      <c r="V1398" s="232" t="inlineStr">
        <is>
          <t>2026-06-18</t>
        </is>
      </c>
    </row>
    <row r="1399">
      <c r="A1399" s="232" t="inlineStr">
        <is>
          <t>CR-1396</t>
        </is>
      </c>
      <c r="B1399" s="232" t="inlineStr">
        <is>
          <t>2026/27</t>
        </is>
      </c>
      <c r="C1399" s="233" t="n">
        <v>46043</v>
      </c>
      <c r="D1399" s="232" t="inlineStr">
        <is>
          <t>213465</t>
        </is>
      </c>
      <c r="E1399" s="232" t="inlineStr">
        <is>
          <t>PRORRATEO</t>
        </is>
      </c>
      <c r="F1399" s="232" t="inlineStr">
        <is>
          <t>Santa Catalina</t>
        </is>
      </c>
      <c r="G1399" s="232" t="inlineStr">
        <is>
          <t>eureka 10,6 ha</t>
        </is>
      </c>
      <c r="H1399" s="232" t="inlineStr">
        <is>
          <t>Limon</t>
        </is>
      </c>
      <c r="I1399" s="232" t="inlineStr">
        <is>
          <t>Eureka</t>
        </is>
      </c>
      <c r="J1399" s="232" t="inlineStr">
        <is>
          <t>MATERIALES COSECHA</t>
        </is>
      </c>
      <c r="K1399" s="232" t="inlineStr">
        <is>
          <t>INSUMOS PACKING</t>
        </is>
      </c>
      <c r="L1399" s="232" t="inlineStr">
        <is>
          <t>[PRORRATEO 7.1% 10.6há/148.3há] O/001281 LIMPIADOR</t>
        </is>
      </c>
      <c r="M1399" s="232" t="inlineStr"/>
      <c r="N1399" s="232" t="inlineStr">
        <is>
          <t>.   .   -</t>
        </is>
      </c>
      <c r="O1399" s="232" t="inlineStr">
        <is>
          <t>ENERO</t>
        </is>
      </c>
      <c r="P1399" s="232" t="n">
        <v>3</v>
      </c>
      <c r="Q1399" s="234" t="n">
        <v>726</v>
      </c>
      <c r="R1399" s="232" t="inlineStr"/>
      <c r="S1399" s="234" t="n">
        <v>726</v>
      </c>
      <c r="T1399" s="232" t="inlineStr">
        <is>
          <t>CLP</t>
        </is>
      </c>
      <c r="U1399" s="232" t="inlineStr">
        <is>
          <t>Prorrateo Ha PACKING</t>
        </is>
      </c>
      <c r="V1399" s="232" t="inlineStr">
        <is>
          <t>2026-06-18</t>
        </is>
      </c>
    </row>
    <row r="1400">
      <c r="A1400" s="232" t="inlineStr">
        <is>
          <t>CR-1397</t>
        </is>
      </c>
      <c r="B1400" s="232" t="inlineStr">
        <is>
          <t>2026/27</t>
        </is>
      </c>
      <c r="C1400" s="233" t="n">
        <v>46043</v>
      </c>
      <c r="D1400" s="232" t="inlineStr">
        <is>
          <t>213465</t>
        </is>
      </c>
      <c r="E1400" s="232" t="inlineStr">
        <is>
          <t>PRORRATEO</t>
        </is>
      </c>
      <c r="F1400" s="232" t="inlineStr">
        <is>
          <t>Santa Catalina</t>
        </is>
      </c>
      <c r="G1400" s="232" t="inlineStr">
        <is>
          <t>eureka 14,4 ha</t>
        </is>
      </c>
      <c r="H1400" s="232" t="inlineStr">
        <is>
          <t>Limon</t>
        </is>
      </c>
      <c r="I1400" s="232" t="inlineStr">
        <is>
          <t>Eureka</t>
        </is>
      </c>
      <c r="J1400" s="232" t="inlineStr">
        <is>
          <t>MATERIALES COSECHA</t>
        </is>
      </c>
      <c r="K1400" s="232" t="inlineStr">
        <is>
          <t>INSUMOS PACKING</t>
        </is>
      </c>
      <c r="L1400" s="232" t="inlineStr">
        <is>
          <t>[PRORRATEO 9.7% 14.4há/148.3há] O/001281 LIMPIADOR</t>
        </is>
      </c>
      <c r="M1400" s="232" t="inlineStr"/>
      <c r="N1400" s="232" t="inlineStr">
        <is>
          <t>.   .   -</t>
        </is>
      </c>
      <c r="O1400" s="232" t="inlineStr">
        <is>
          <t>ENERO</t>
        </is>
      </c>
      <c r="P1400" s="232" t="n">
        <v>3</v>
      </c>
      <c r="Q1400" s="234" t="n">
        <v>986</v>
      </c>
      <c r="R1400" s="232" t="inlineStr"/>
      <c r="S1400" s="234" t="n">
        <v>986</v>
      </c>
      <c r="T1400" s="232" t="inlineStr">
        <is>
          <t>CLP</t>
        </is>
      </c>
      <c r="U1400" s="232" t="inlineStr">
        <is>
          <t>Prorrateo Ha PACKING</t>
        </is>
      </c>
      <c r="V1400" s="232" t="inlineStr">
        <is>
          <t>2026-06-18</t>
        </is>
      </c>
    </row>
    <row r="1401">
      <c r="A1401" s="232" t="inlineStr">
        <is>
          <t>CR-1398</t>
        </is>
      </c>
      <c r="B1401" s="232" t="inlineStr">
        <is>
          <t>2026/27</t>
        </is>
      </c>
      <c r="C1401" s="233" t="n">
        <v>46043</v>
      </c>
      <c r="D1401" s="232" t="inlineStr">
        <is>
          <t>213465</t>
        </is>
      </c>
      <c r="E1401" s="232" t="inlineStr">
        <is>
          <t>PRORRATEO</t>
        </is>
      </c>
      <c r="F1401" s="232" t="inlineStr">
        <is>
          <t>Santa Catalina</t>
        </is>
      </c>
      <c r="G1401" s="232" t="inlineStr">
        <is>
          <t>eureka 22,55</t>
        </is>
      </c>
      <c r="H1401" s="232" t="inlineStr">
        <is>
          <t>Limon</t>
        </is>
      </c>
      <c r="I1401" s="232" t="inlineStr">
        <is>
          <t>Eureka</t>
        </is>
      </c>
      <c r="J1401" s="232" t="inlineStr">
        <is>
          <t>MATERIALES COSECHA</t>
        </is>
      </c>
      <c r="K1401" s="232" t="inlineStr">
        <is>
          <t>INSUMOS PACKING</t>
        </is>
      </c>
      <c r="L1401" s="232" t="inlineStr">
        <is>
          <t>[PRORRATEO 15.2% 22.55há/148.3há] O/001281 LIMPIADOR</t>
        </is>
      </c>
      <c r="M1401" s="232" t="inlineStr"/>
      <c r="N1401" s="232" t="inlineStr">
        <is>
          <t>.   .   -</t>
        </is>
      </c>
      <c r="O1401" s="232" t="inlineStr">
        <is>
          <t>ENERO</t>
        </is>
      </c>
      <c r="P1401" s="232" t="n">
        <v>3</v>
      </c>
      <c r="Q1401" s="234" t="n">
        <v>1544</v>
      </c>
      <c r="R1401" s="232" t="inlineStr"/>
      <c r="S1401" s="234" t="n">
        <v>1544</v>
      </c>
      <c r="T1401" s="232" t="inlineStr">
        <is>
          <t>CLP</t>
        </is>
      </c>
      <c r="U1401" s="232" t="inlineStr">
        <is>
          <t>Prorrateo Ha PACKING</t>
        </is>
      </c>
      <c r="V1401" s="232" t="inlineStr">
        <is>
          <t>2026-06-18</t>
        </is>
      </c>
    </row>
    <row r="1402">
      <c r="A1402" s="232" t="inlineStr">
        <is>
          <t>CR-1399</t>
        </is>
      </c>
      <c r="B1402" s="232" t="inlineStr">
        <is>
          <t>2026/27</t>
        </is>
      </c>
      <c r="C1402" s="233" t="n">
        <v>46043</v>
      </c>
      <c r="D1402" s="232" t="inlineStr">
        <is>
          <t>213465</t>
        </is>
      </c>
      <c r="E1402" s="232" t="inlineStr">
        <is>
          <t>PRORRATEO</t>
        </is>
      </c>
      <c r="F1402" s="232" t="inlineStr">
        <is>
          <t>Santa Catalina</t>
        </is>
      </c>
      <c r="G1402" s="232" t="inlineStr">
        <is>
          <t>form benjamin 1,93 ha</t>
        </is>
      </c>
      <c r="H1402" s="232" t="inlineStr">
        <is>
          <t>Limon</t>
        </is>
      </c>
      <c r="I1402" s="232" t="inlineStr">
        <is>
          <t>Benjamin andes</t>
        </is>
      </c>
      <c r="J1402" s="232" t="inlineStr">
        <is>
          <t>MATERIALES COSECHA</t>
        </is>
      </c>
      <c r="K1402" s="232" t="inlineStr">
        <is>
          <t>INSUMOS PACKING</t>
        </is>
      </c>
      <c r="L1402" s="232" t="inlineStr">
        <is>
          <t>[PRORRATEO 1.3% 1.93há/148.3há] O/001281 LIMPIADOR</t>
        </is>
      </c>
      <c r="M1402" s="232" t="inlineStr"/>
      <c r="N1402" s="232" t="inlineStr">
        <is>
          <t>.   .   -</t>
        </is>
      </c>
      <c r="O1402" s="232" t="inlineStr">
        <is>
          <t>ENERO</t>
        </is>
      </c>
      <c r="P1402" s="232" t="n">
        <v>3</v>
      </c>
      <c r="Q1402" s="234" t="n">
        <v>132</v>
      </c>
      <c r="R1402" s="232" t="inlineStr"/>
      <c r="S1402" s="234" t="n">
        <v>132</v>
      </c>
      <c r="T1402" s="232" t="inlineStr">
        <is>
          <t>CLP</t>
        </is>
      </c>
      <c r="U1402" s="232" t="inlineStr">
        <is>
          <t>Prorrateo Ha PACKING</t>
        </is>
      </c>
      <c r="V1402" s="232" t="inlineStr">
        <is>
          <t>2026-06-18</t>
        </is>
      </c>
    </row>
    <row r="1403">
      <c r="A1403" s="232" t="inlineStr">
        <is>
          <t>CR-1400</t>
        </is>
      </c>
      <c r="B1403" s="232" t="inlineStr">
        <is>
          <t>2026/27</t>
        </is>
      </c>
      <c r="C1403" s="233" t="n">
        <v>46043</v>
      </c>
      <c r="D1403" s="232" t="inlineStr">
        <is>
          <t>213465</t>
        </is>
      </c>
      <c r="E1403" s="232" t="inlineStr">
        <is>
          <t>PRORRATEO</t>
        </is>
      </c>
      <c r="F1403" s="232" t="inlineStr">
        <is>
          <t>Santa Catalina</t>
        </is>
      </c>
      <c r="G1403" s="232" t="inlineStr">
        <is>
          <t>mant eureka 2,5 ha</t>
        </is>
      </c>
      <c r="H1403" s="232" t="inlineStr">
        <is>
          <t>Limon</t>
        </is>
      </c>
      <c r="I1403" s="232" t="inlineStr">
        <is>
          <t>Eureka</t>
        </is>
      </c>
      <c r="J1403" s="232" t="inlineStr">
        <is>
          <t>MATERIALES COSECHA</t>
        </is>
      </c>
      <c r="K1403" s="232" t="inlineStr">
        <is>
          <t>INSUMOS PACKING</t>
        </is>
      </c>
      <c r="L1403" s="232" t="inlineStr">
        <is>
          <t>[PRORRATEO 1.7% 2.5há/148.3há] O/001281 LIMPIADOR</t>
        </is>
      </c>
      <c r="M1403" s="232" t="inlineStr"/>
      <c r="N1403" s="232" t="inlineStr">
        <is>
          <t>.   .   -</t>
        </is>
      </c>
      <c r="O1403" s="232" t="inlineStr">
        <is>
          <t>ENERO</t>
        </is>
      </c>
      <c r="P1403" s="232" t="n">
        <v>3</v>
      </c>
      <c r="Q1403" s="234" t="n">
        <v>171</v>
      </c>
      <c r="R1403" s="232" t="inlineStr"/>
      <c r="S1403" s="234" t="n">
        <v>171</v>
      </c>
      <c r="T1403" s="232" t="inlineStr">
        <is>
          <t>CLP</t>
        </is>
      </c>
      <c r="U1403" s="232" t="inlineStr">
        <is>
          <t>Prorrateo Ha PACKING</t>
        </is>
      </c>
      <c r="V1403" s="232" t="inlineStr">
        <is>
          <t>2026-06-18</t>
        </is>
      </c>
    </row>
    <row r="1404">
      <c r="A1404" s="232" t="inlineStr">
        <is>
          <t>CR-1401</t>
        </is>
      </c>
      <c r="B1404" s="232" t="inlineStr">
        <is>
          <t>2026/27</t>
        </is>
      </c>
      <c r="C1404" s="233" t="n">
        <v>46043</v>
      </c>
      <c r="D1404" s="232" t="inlineStr">
        <is>
          <t>213465</t>
        </is>
      </c>
      <c r="E1404" s="232" t="inlineStr">
        <is>
          <t>PRORRATEO</t>
        </is>
      </c>
      <c r="F1404" s="232" t="inlineStr">
        <is>
          <t>Siberia</t>
        </is>
      </c>
      <c r="G1404" s="232" t="inlineStr">
        <is>
          <t>S. Celebration 7,14</t>
        </is>
      </c>
      <c r="H1404" s="232" t="inlineStr">
        <is>
          <t>Uvas</t>
        </is>
      </c>
      <c r="I1404" s="232" t="inlineStr">
        <is>
          <t>S. celebration</t>
        </is>
      </c>
      <c r="J1404" s="232" t="inlineStr">
        <is>
          <t>MATERIALES COSECHA</t>
        </is>
      </c>
      <c r="K1404" s="232" t="inlineStr">
        <is>
          <t>INSUMOS PACKING</t>
        </is>
      </c>
      <c r="L1404" s="232" t="inlineStr">
        <is>
          <t>[PRORRATEO 4.8% 7.14há/148.3há] O/001281 LIMPIADOR</t>
        </is>
      </c>
      <c r="M1404" s="232" t="inlineStr"/>
      <c r="N1404" s="232" t="inlineStr">
        <is>
          <t>.   .   -</t>
        </is>
      </c>
      <c r="O1404" s="232" t="inlineStr">
        <is>
          <t>ENERO</t>
        </is>
      </c>
      <c r="P1404" s="232" t="n">
        <v>3</v>
      </c>
      <c r="Q1404" s="234" t="n">
        <v>489</v>
      </c>
      <c r="R1404" s="232" t="inlineStr"/>
      <c r="S1404" s="234" t="n">
        <v>489</v>
      </c>
      <c r="T1404" s="232" t="inlineStr">
        <is>
          <t>CLP</t>
        </is>
      </c>
      <c r="U1404" s="232" t="inlineStr">
        <is>
          <t>Prorrateo Ha PACKING</t>
        </is>
      </c>
      <c r="V1404" s="232" t="inlineStr">
        <is>
          <t>2026-06-18</t>
        </is>
      </c>
    </row>
    <row r="1405">
      <c r="A1405" s="232" t="inlineStr">
        <is>
          <t>CR-1402</t>
        </is>
      </c>
      <c r="B1405" s="232" t="inlineStr">
        <is>
          <t>2026/27</t>
        </is>
      </c>
      <c r="C1405" s="233" t="n">
        <v>46043</v>
      </c>
      <c r="D1405" s="232" t="inlineStr">
        <is>
          <t>213465</t>
        </is>
      </c>
      <c r="E1405" s="232" t="inlineStr">
        <is>
          <t>PRORRATEO</t>
        </is>
      </c>
      <c r="F1405" s="232" t="inlineStr">
        <is>
          <t>Siberia</t>
        </is>
      </c>
      <c r="G1405" s="232" t="inlineStr">
        <is>
          <t>Timpson 7,1</t>
        </is>
      </c>
      <c r="H1405" s="232" t="inlineStr">
        <is>
          <t>Uvas</t>
        </is>
      </c>
      <c r="I1405" s="232" t="inlineStr">
        <is>
          <t>Timpson</t>
        </is>
      </c>
      <c r="J1405" s="232" t="inlineStr">
        <is>
          <t>MATERIALES COSECHA</t>
        </is>
      </c>
      <c r="K1405" s="232" t="inlineStr">
        <is>
          <t>INSUMOS PACKING</t>
        </is>
      </c>
      <c r="L1405" s="232" t="inlineStr">
        <is>
          <t>[PRORRATEO 4.8% 7.1há/148.3há] O/001281 LIMPIADOR</t>
        </is>
      </c>
      <c r="M1405" s="232" t="inlineStr"/>
      <c r="N1405" s="232" t="inlineStr">
        <is>
          <t>.   .   -</t>
        </is>
      </c>
      <c r="O1405" s="232" t="inlineStr">
        <is>
          <t>ENERO</t>
        </is>
      </c>
      <c r="P1405" s="232" t="n">
        <v>3</v>
      </c>
      <c r="Q1405" s="234" t="n">
        <v>486</v>
      </c>
      <c r="R1405" s="232" t="inlineStr"/>
      <c r="S1405" s="234" t="n">
        <v>486</v>
      </c>
      <c r="T1405" s="232" t="inlineStr">
        <is>
          <t>CLP</t>
        </is>
      </c>
      <c r="U1405" s="232" t="inlineStr">
        <is>
          <t>Prorrateo Ha PACKING</t>
        </is>
      </c>
      <c r="V1405" s="232" t="inlineStr">
        <is>
          <t>2026-06-18</t>
        </is>
      </c>
    </row>
    <row r="1406">
      <c r="A1406" s="232" t="inlineStr">
        <is>
          <t>CR-1403</t>
        </is>
      </c>
      <c r="B1406" s="232" t="inlineStr">
        <is>
          <t>2026/27</t>
        </is>
      </c>
      <c r="C1406" s="233" t="n">
        <v>46043</v>
      </c>
      <c r="D1406" s="232" t="inlineStr">
        <is>
          <t>213465</t>
        </is>
      </c>
      <c r="E1406" s="232" t="inlineStr">
        <is>
          <t>PRORRATEO</t>
        </is>
      </c>
      <c r="F1406" s="232" t="inlineStr">
        <is>
          <t>Asmara</t>
        </is>
      </c>
      <c r="G1406" s="232" t="inlineStr">
        <is>
          <t>w. murcott 19,8 ha</t>
        </is>
      </c>
      <c r="H1406" s="232" t="inlineStr">
        <is>
          <t>Mandarina</t>
        </is>
      </c>
      <c r="I1406" s="232" t="inlineStr">
        <is>
          <t>W. murcott</t>
        </is>
      </c>
      <c r="J1406" s="232" t="inlineStr">
        <is>
          <t>MATERIALES COSECHA</t>
        </is>
      </c>
      <c r="K1406" s="232" t="inlineStr">
        <is>
          <t>INSUMOS PACKING</t>
        </is>
      </c>
      <c r="L1406" s="232" t="inlineStr">
        <is>
          <t>[PRORRATEO 13.4% 19.8há/148.3há] O/001281 PALA ASEO</t>
        </is>
      </c>
      <c r="M1406" s="232" t="inlineStr"/>
      <c r="N1406" s="232" t="inlineStr">
        <is>
          <t>.   .   -</t>
        </is>
      </c>
      <c r="O1406" s="232" t="inlineStr">
        <is>
          <t>ENERO</t>
        </is>
      </c>
      <c r="P1406" s="232" t="n">
        <v>3</v>
      </c>
      <c r="Q1406" s="234" t="n">
        <v>2159</v>
      </c>
      <c r="R1406" s="232" t="inlineStr"/>
      <c r="S1406" s="234" t="n">
        <v>2159</v>
      </c>
      <c r="T1406" s="232" t="inlineStr">
        <is>
          <t>CLP</t>
        </is>
      </c>
      <c r="U1406" s="232" t="inlineStr">
        <is>
          <t>Prorrateo Ha PACKING</t>
        </is>
      </c>
      <c r="V1406" s="232" t="inlineStr">
        <is>
          <t>2026-06-18</t>
        </is>
      </c>
    </row>
    <row r="1407">
      <c r="A1407" s="232" t="inlineStr">
        <is>
          <t>CR-1404</t>
        </is>
      </c>
      <c r="B1407" s="232" t="inlineStr">
        <is>
          <t>2026/27</t>
        </is>
      </c>
      <c r="C1407" s="233" t="n">
        <v>46043</v>
      </c>
      <c r="D1407" s="232" t="inlineStr">
        <is>
          <t>213465</t>
        </is>
      </c>
      <c r="E1407" s="232" t="inlineStr">
        <is>
          <t>PRORRATEO</t>
        </is>
      </c>
      <c r="F1407" s="232" t="inlineStr">
        <is>
          <t>Asmara</t>
        </is>
      </c>
      <c r="G1407" s="232" t="inlineStr">
        <is>
          <t>w. murcott 4,9 ha</t>
        </is>
      </c>
      <c r="H1407" s="232" t="inlineStr">
        <is>
          <t>Mandarina</t>
        </is>
      </c>
      <c r="I1407" s="232" t="inlineStr">
        <is>
          <t>W. murcott</t>
        </is>
      </c>
      <c r="J1407" s="232" t="inlineStr">
        <is>
          <t>MATERIALES COSECHA</t>
        </is>
      </c>
      <c r="K1407" s="232" t="inlineStr">
        <is>
          <t>INSUMOS PACKING</t>
        </is>
      </c>
      <c r="L1407" s="232" t="inlineStr">
        <is>
          <t>[PRORRATEO 3.3% 4.9há/148.3há] O/001281 PALA ASEO</t>
        </is>
      </c>
      <c r="M1407" s="232" t="inlineStr"/>
      <c r="N1407" s="232" t="inlineStr">
        <is>
          <t>.   .   -</t>
        </is>
      </c>
      <c r="O1407" s="232" t="inlineStr">
        <is>
          <t>ENERO</t>
        </is>
      </c>
      <c r="P1407" s="232" t="n">
        <v>3</v>
      </c>
      <c r="Q1407" s="234" t="n">
        <v>534</v>
      </c>
      <c r="R1407" s="232" t="inlineStr"/>
      <c r="S1407" s="234" t="n">
        <v>534</v>
      </c>
      <c r="T1407" s="232" t="inlineStr">
        <is>
          <t>CLP</t>
        </is>
      </c>
      <c r="U1407" s="232" t="inlineStr">
        <is>
          <t>Prorrateo Ha PACKING</t>
        </is>
      </c>
      <c r="V1407" s="232" t="inlineStr">
        <is>
          <t>2026-06-18</t>
        </is>
      </c>
    </row>
    <row r="1408">
      <c r="A1408" s="232" t="inlineStr">
        <is>
          <t>CR-1405</t>
        </is>
      </c>
      <c r="B1408" s="232" t="inlineStr">
        <is>
          <t>2026/27</t>
        </is>
      </c>
      <c r="C1408" s="233" t="n">
        <v>46043</v>
      </c>
      <c r="D1408" s="232" t="inlineStr">
        <is>
          <t>213465</t>
        </is>
      </c>
      <c r="E1408" s="232" t="inlineStr">
        <is>
          <t>PRORRATEO</t>
        </is>
      </c>
      <c r="F1408" s="232" t="inlineStr">
        <is>
          <t>El Molle</t>
        </is>
      </c>
      <c r="G1408" s="232" t="inlineStr">
        <is>
          <t>Wonderful 5,25 ha</t>
        </is>
      </c>
      <c r="H1408" s="232" t="inlineStr">
        <is>
          <t>Granados</t>
        </is>
      </c>
      <c r="I1408" s="232" t="inlineStr">
        <is>
          <t>Wonderfull</t>
        </is>
      </c>
      <c r="J1408" s="232" t="inlineStr">
        <is>
          <t>MATERIALES COSECHA</t>
        </is>
      </c>
      <c r="K1408" s="232" t="inlineStr">
        <is>
          <t>INSUMOS PACKING</t>
        </is>
      </c>
      <c r="L1408" s="232" t="inlineStr">
        <is>
          <t>[PRORRATEO 3.5% 5.24há/148.3há] O/001281 PALA ASEO</t>
        </is>
      </c>
      <c r="M1408" s="232" t="inlineStr"/>
      <c r="N1408" s="232" t="inlineStr">
        <is>
          <t>.   .   -</t>
        </is>
      </c>
      <c r="O1408" s="232" t="inlineStr">
        <is>
          <t>ENERO</t>
        </is>
      </c>
      <c r="P1408" s="232" t="n">
        <v>3</v>
      </c>
      <c r="Q1408" s="234" t="n">
        <v>572</v>
      </c>
      <c r="R1408" s="232" t="inlineStr"/>
      <c r="S1408" s="234" t="n">
        <v>572</v>
      </c>
      <c r="T1408" s="232" t="inlineStr">
        <is>
          <t>CLP</t>
        </is>
      </c>
      <c r="U1408" s="232" t="inlineStr">
        <is>
          <t>Prorrateo Ha PACKING</t>
        </is>
      </c>
      <c r="V1408" s="232" t="inlineStr">
        <is>
          <t>2026-06-18</t>
        </is>
      </c>
    </row>
    <row r="1409">
      <c r="A1409" s="232" t="inlineStr">
        <is>
          <t>CR-1406</t>
        </is>
      </c>
      <c r="B1409" s="232" t="inlineStr">
        <is>
          <t>2026/27</t>
        </is>
      </c>
      <c r="C1409" s="233" t="n">
        <v>46043</v>
      </c>
      <c r="D1409" s="232" t="inlineStr">
        <is>
          <t>213465</t>
        </is>
      </c>
      <c r="E1409" s="232" t="inlineStr">
        <is>
          <t>PRORRATEO</t>
        </is>
      </c>
      <c r="F1409" s="232" t="inlineStr">
        <is>
          <t>El Molle</t>
        </is>
      </c>
      <c r="G1409" s="232" t="inlineStr">
        <is>
          <t>arrufatinas 5,74 ha</t>
        </is>
      </c>
      <c r="H1409" s="232" t="inlineStr">
        <is>
          <t>Clementinas</t>
        </is>
      </c>
      <c r="I1409" s="232" t="inlineStr">
        <is>
          <t>Arrufatinas</t>
        </is>
      </c>
      <c r="J1409" s="232" t="inlineStr">
        <is>
          <t>MATERIALES COSECHA</t>
        </is>
      </c>
      <c r="K1409" s="232" t="inlineStr">
        <is>
          <t>INSUMOS PACKING</t>
        </is>
      </c>
      <c r="L1409" s="232" t="inlineStr">
        <is>
          <t>[PRORRATEO 3.9% 5.74há/148.3há] O/001281 PALA ASEO</t>
        </is>
      </c>
      <c r="M1409" s="232" t="inlineStr"/>
      <c r="N1409" s="232" t="inlineStr">
        <is>
          <t>.   .   -</t>
        </is>
      </c>
      <c r="O1409" s="232" t="inlineStr">
        <is>
          <t>ENERO</t>
        </is>
      </c>
      <c r="P1409" s="232" t="n">
        <v>3</v>
      </c>
      <c r="Q1409" s="234" t="n">
        <v>626</v>
      </c>
      <c r="R1409" s="232" t="inlineStr"/>
      <c r="S1409" s="234" t="n">
        <v>626</v>
      </c>
      <c r="T1409" s="232" t="inlineStr">
        <is>
          <t>CLP</t>
        </is>
      </c>
      <c r="U1409" s="232" t="inlineStr">
        <is>
          <t>Prorrateo Ha PACKING</t>
        </is>
      </c>
      <c r="V1409" s="232" t="inlineStr">
        <is>
          <t>2026-06-18</t>
        </is>
      </c>
    </row>
    <row r="1410">
      <c r="A1410" s="232" t="inlineStr">
        <is>
          <t>CR-1407</t>
        </is>
      </c>
      <c r="B1410" s="232" t="inlineStr">
        <is>
          <t>2026/27</t>
        </is>
      </c>
      <c r="C1410" s="233" t="n">
        <v>46043</v>
      </c>
      <c r="D1410" s="232" t="inlineStr">
        <is>
          <t>213465</t>
        </is>
      </c>
      <c r="E1410" s="232" t="inlineStr">
        <is>
          <t>PRORRATEO</t>
        </is>
      </c>
      <c r="F1410" s="232" t="inlineStr">
        <is>
          <t>El Molle</t>
        </is>
      </c>
      <c r="G1410" s="232" t="inlineStr">
        <is>
          <t>orogrande 8,11 ha</t>
        </is>
      </c>
      <c r="H1410" s="232" t="inlineStr">
        <is>
          <t>Clementinas</t>
        </is>
      </c>
      <c r="I1410" s="232" t="inlineStr">
        <is>
          <t>Orogrande</t>
        </is>
      </c>
      <c r="J1410" s="232" t="inlineStr">
        <is>
          <t>MATERIALES COSECHA</t>
        </is>
      </c>
      <c r="K1410" s="232" t="inlineStr">
        <is>
          <t>INSUMOS PACKING</t>
        </is>
      </c>
      <c r="L1410" s="232" t="inlineStr">
        <is>
          <t>[PRORRATEO 5.5% 8.11há/148.3há] O/001281 PALA ASEO</t>
        </is>
      </c>
      <c r="M1410" s="232" t="inlineStr"/>
      <c r="N1410" s="232" t="inlineStr">
        <is>
          <t>.   .   -</t>
        </is>
      </c>
      <c r="O1410" s="232" t="inlineStr">
        <is>
          <t>ENERO</t>
        </is>
      </c>
      <c r="P1410" s="232" t="n">
        <v>3</v>
      </c>
      <c r="Q1410" s="234" t="n">
        <v>885</v>
      </c>
      <c r="R1410" s="232" t="inlineStr"/>
      <c r="S1410" s="234" t="n">
        <v>885</v>
      </c>
      <c r="T1410" s="232" t="inlineStr">
        <is>
          <t>CLP</t>
        </is>
      </c>
      <c r="U1410" s="232" t="inlineStr">
        <is>
          <t>Prorrateo Ha PACKING</t>
        </is>
      </c>
      <c r="V1410" s="232" t="inlineStr">
        <is>
          <t>2026-06-18</t>
        </is>
      </c>
    </row>
    <row r="1411">
      <c r="A1411" s="232" t="inlineStr">
        <is>
          <t>CR-1408</t>
        </is>
      </c>
      <c r="B1411" s="232" t="inlineStr">
        <is>
          <t>2026/27</t>
        </is>
      </c>
      <c r="C1411" s="233" t="n">
        <v>46043</v>
      </c>
      <c r="D1411" s="232" t="inlineStr">
        <is>
          <t>213465</t>
        </is>
      </c>
      <c r="E1411" s="232" t="inlineStr">
        <is>
          <t>PRORRATEO</t>
        </is>
      </c>
      <c r="F1411" s="232" t="inlineStr">
        <is>
          <t>El Molle</t>
        </is>
      </c>
      <c r="G1411" s="232" t="inlineStr">
        <is>
          <t>oronules 5,35 ha</t>
        </is>
      </c>
      <c r="H1411" s="232" t="inlineStr">
        <is>
          <t>Clementinas</t>
        </is>
      </c>
      <c r="I1411" s="232" t="inlineStr">
        <is>
          <t>Oronules</t>
        </is>
      </c>
      <c r="J1411" s="232" t="inlineStr">
        <is>
          <t>MATERIALES COSECHA</t>
        </is>
      </c>
      <c r="K1411" s="232" t="inlineStr">
        <is>
          <t>INSUMOS PACKING</t>
        </is>
      </c>
      <c r="L1411" s="232" t="inlineStr">
        <is>
          <t>[PRORRATEO 3.6% 5.35há/148.3há] O/001281 PALA ASEO</t>
        </is>
      </c>
      <c r="M1411" s="232" t="inlineStr"/>
      <c r="N1411" s="232" t="inlineStr">
        <is>
          <t>.   .   -</t>
        </is>
      </c>
      <c r="O1411" s="232" t="inlineStr">
        <is>
          <t>ENERO</t>
        </is>
      </c>
      <c r="P1411" s="232" t="n">
        <v>3</v>
      </c>
      <c r="Q1411" s="234" t="n">
        <v>583</v>
      </c>
      <c r="R1411" s="232" t="inlineStr"/>
      <c r="S1411" s="234" t="n">
        <v>583</v>
      </c>
      <c r="T1411" s="232" t="inlineStr">
        <is>
          <t>CLP</t>
        </is>
      </c>
      <c r="U1411" s="232" t="inlineStr">
        <is>
          <t>Prorrateo Ha PACKING</t>
        </is>
      </c>
      <c r="V1411" s="232" t="inlineStr">
        <is>
          <t>2026-06-18</t>
        </is>
      </c>
    </row>
    <row r="1412">
      <c r="A1412" s="232" t="inlineStr">
        <is>
          <t>CR-1409</t>
        </is>
      </c>
      <c r="B1412" s="232" t="inlineStr">
        <is>
          <t>2026/27</t>
        </is>
      </c>
      <c r="C1412" s="233" t="n">
        <v>46043</v>
      </c>
      <c r="D1412" s="232" t="inlineStr">
        <is>
          <t>213465</t>
        </is>
      </c>
      <c r="E1412" s="232" t="inlineStr">
        <is>
          <t>PRORRATEO</t>
        </is>
      </c>
      <c r="F1412" s="232" t="inlineStr">
        <is>
          <t>Santa Catalina</t>
        </is>
      </c>
      <c r="G1412" s="232" t="inlineStr">
        <is>
          <t>Fino 49 7,7 ha</t>
        </is>
      </c>
      <c r="H1412" s="232" t="inlineStr">
        <is>
          <t>Limon</t>
        </is>
      </c>
      <c r="I1412" s="232" t="inlineStr">
        <is>
          <t>Fino 49</t>
        </is>
      </c>
      <c r="J1412" s="232" t="inlineStr">
        <is>
          <t>MATERIALES COSECHA</t>
        </is>
      </c>
      <c r="K1412" s="232" t="inlineStr">
        <is>
          <t>INSUMOS PACKING</t>
        </is>
      </c>
      <c r="L1412" s="232" t="inlineStr">
        <is>
          <t>[PRORRATEO 5.2% 7.7há/148.3há] O/001281 PALA ASEO</t>
        </is>
      </c>
      <c r="M1412" s="232" t="inlineStr"/>
      <c r="N1412" s="232" t="inlineStr">
        <is>
          <t>.   .   -</t>
        </is>
      </c>
      <c r="O1412" s="232" t="inlineStr">
        <is>
          <t>ENERO</t>
        </is>
      </c>
      <c r="P1412" s="232" t="n">
        <v>3</v>
      </c>
      <c r="Q1412" s="234" t="n">
        <v>840</v>
      </c>
      <c r="R1412" s="232" t="inlineStr"/>
      <c r="S1412" s="234" t="n">
        <v>840</v>
      </c>
      <c r="T1412" s="232" t="inlineStr">
        <is>
          <t>CLP</t>
        </is>
      </c>
      <c r="U1412" s="232" t="inlineStr">
        <is>
          <t>Prorrateo Ha PACKING</t>
        </is>
      </c>
      <c r="V1412" s="232" t="inlineStr">
        <is>
          <t>2026-06-18</t>
        </is>
      </c>
    </row>
    <row r="1413">
      <c r="A1413" s="232" t="inlineStr">
        <is>
          <t>CR-1410</t>
        </is>
      </c>
      <c r="B1413" s="232" t="inlineStr">
        <is>
          <t>2026/27</t>
        </is>
      </c>
      <c r="C1413" s="233" t="n">
        <v>46043</v>
      </c>
      <c r="D1413" s="232" t="inlineStr">
        <is>
          <t>213465</t>
        </is>
      </c>
      <c r="E1413" s="232" t="inlineStr">
        <is>
          <t>PRORRATEO</t>
        </is>
      </c>
      <c r="F1413" s="232" t="inlineStr">
        <is>
          <t>Santa Catalina</t>
        </is>
      </c>
      <c r="G1413" s="232" t="inlineStr">
        <is>
          <t>W. murcott 21 ha</t>
        </is>
      </c>
      <c r="H1413" s="232" t="inlineStr">
        <is>
          <t>Mandarina</t>
        </is>
      </c>
      <c r="I1413" s="232" t="inlineStr">
        <is>
          <t>W. murcott</t>
        </is>
      </c>
      <c r="J1413" s="232" t="inlineStr">
        <is>
          <t>MATERIALES COSECHA</t>
        </is>
      </c>
      <c r="K1413" s="232" t="inlineStr">
        <is>
          <t>INSUMOS PACKING</t>
        </is>
      </c>
      <c r="L1413" s="232" t="inlineStr">
        <is>
          <t>[PRORRATEO 14.2% 21.0há/148.3há] O/001281 PALA ASEO</t>
        </is>
      </c>
      <c r="M1413" s="232" t="inlineStr"/>
      <c r="N1413" s="232" t="inlineStr">
        <is>
          <t>.   .   -</t>
        </is>
      </c>
      <c r="O1413" s="232" t="inlineStr">
        <is>
          <t>ENERO</t>
        </is>
      </c>
      <c r="P1413" s="232" t="n">
        <v>3</v>
      </c>
      <c r="Q1413" s="234" t="n">
        <v>2290</v>
      </c>
      <c r="R1413" s="232" t="inlineStr"/>
      <c r="S1413" s="234" t="n">
        <v>2290</v>
      </c>
      <c r="T1413" s="232" t="inlineStr">
        <is>
          <t>CLP</t>
        </is>
      </c>
      <c r="U1413" s="232" t="inlineStr">
        <is>
          <t>Prorrateo Ha PACKING</t>
        </is>
      </c>
      <c r="V1413" s="232" t="inlineStr">
        <is>
          <t>2026-06-18</t>
        </is>
      </c>
    </row>
    <row r="1414">
      <c r="A1414" s="232" t="inlineStr">
        <is>
          <t>CR-1411</t>
        </is>
      </c>
      <c r="B1414" s="232" t="inlineStr">
        <is>
          <t>2026/27</t>
        </is>
      </c>
      <c r="C1414" s="233" t="n">
        <v>46043</v>
      </c>
      <c r="D1414" s="232" t="inlineStr">
        <is>
          <t>213465</t>
        </is>
      </c>
      <c r="E1414" s="232" t="inlineStr">
        <is>
          <t>PRORRATEO</t>
        </is>
      </c>
      <c r="F1414" s="232" t="inlineStr">
        <is>
          <t>Santa Catalina</t>
        </is>
      </c>
      <c r="G1414" s="232" t="inlineStr">
        <is>
          <t>cambria 4,2 ha</t>
        </is>
      </c>
      <c r="H1414" s="232" t="inlineStr">
        <is>
          <t>Naranjas</t>
        </is>
      </c>
      <c r="I1414" s="232" t="inlineStr">
        <is>
          <t>Cambria</t>
        </is>
      </c>
      <c r="J1414" s="232" t="inlineStr">
        <is>
          <t>MATERIALES COSECHA</t>
        </is>
      </c>
      <c r="K1414" s="232" t="inlineStr">
        <is>
          <t>INSUMOS PACKING</t>
        </is>
      </c>
      <c r="L1414" s="232" t="inlineStr">
        <is>
          <t>[PRORRATEO 2.8% 4.2há/148.3há] O/001281 PALA ASEO</t>
        </is>
      </c>
      <c r="M1414" s="232" t="inlineStr"/>
      <c r="N1414" s="232" t="inlineStr">
        <is>
          <t>.   .   -</t>
        </is>
      </c>
      <c r="O1414" s="232" t="inlineStr">
        <is>
          <t>ENERO</t>
        </is>
      </c>
      <c r="P1414" s="232" t="n">
        <v>3</v>
      </c>
      <c r="Q1414" s="234" t="n">
        <v>458</v>
      </c>
      <c r="R1414" s="232" t="inlineStr"/>
      <c r="S1414" s="234" t="n">
        <v>458</v>
      </c>
      <c r="T1414" s="232" t="inlineStr">
        <is>
          <t>CLP</t>
        </is>
      </c>
      <c r="U1414" s="232" t="inlineStr">
        <is>
          <t>Prorrateo Ha PACKING</t>
        </is>
      </c>
      <c r="V1414" s="232" t="inlineStr">
        <is>
          <t>2026-06-18</t>
        </is>
      </c>
    </row>
    <row r="1415">
      <c r="A1415" s="232" t="inlineStr">
        <is>
          <t>CR-1412</t>
        </is>
      </c>
      <c r="B1415" s="232" t="inlineStr">
        <is>
          <t>2026/27</t>
        </is>
      </c>
      <c r="C1415" s="233" t="n">
        <v>46043</v>
      </c>
      <c r="D1415" s="232" t="inlineStr">
        <is>
          <t>213465</t>
        </is>
      </c>
      <c r="E1415" s="232" t="inlineStr">
        <is>
          <t>PRORRATEO</t>
        </is>
      </c>
      <c r="F1415" s="232" t="inlineStr">
        <is>
          <t>Santa Catalina</t>
        </is>
      </c>
      <c r="G1415" s="232" t="inlineStr">
        <is>
          <t>eureka 10,6 ha</t>
        </is>
      </c>
      <c r="H1415" s="232" t="inlineStr">
        <is>
          <t>Limon</t>
        </is>
      </c>
      <c r="I1415" s="232" t="inlineStr">
        <is>
          <t>Eureka</t>
        </is>
      </c>
      <c r="J1415" s="232" t="inlineStr">
        <is>
          <t>MATERIALES COSECHA</t>
        </is>
      </c>
      <c r="K1415" s="232" t="inlineStr">
        <is>
          <t>INSUMOS PACKING</t>
        </is>
      </c>
      <c r="L1415" s="232" t="inlineStr">
        <is>
          <t>[PRORRATEO 7.1% 10.6há/148.3há] O/001281 PALA ASEO</t>
        </is>
      </c>
      <c r="M1415" s="232" t="inlineStr"/>
      <c r="N1415" s="232" t="inlineStr">
        <is>
          <t>.   .   -</t>
        </is>
      </c>
      <c r="O1415" s="232" t="inlineStr">
        <is>
          <t>ENERO</t>
        </is>
      </c>
      <c r="P1415" s="232" t="n">
        <v>3</v>
      </c>
      <c r="Q1415" s="234" t="n">
        <v>1156</v>
      </c>
      <c r="R1415" s="232" t="inlineStr"/>
      <c r="S1415" s="234" t="n">
        <v>1156</v>
      </c>
      <c r="T1415" s="232" t="inlineStr">
        <is>
          <t>CLP</t>
        </is>
      </c>
      <c r="U1415" s="232" t="inlineStr">
        <is>
          <t>Prorrateo Ha PACKING</t>
        </is>
      </c>
      <c r="V1415" s="232" t="inlineStr">
        <is>
          <t>2026-06-18</t>
        </is>
      </c>
    </row>
    <row r="1416">
      <c r="A1416" s="232" t="inlineStr">
        <is>
          <t>CR-1413</t>
        </is>
      </c>
      <c r="B1416" s="232" t="inlineStr">
        <is>
          <t>2026/27</t>
        </is>
      </c>
      <c r="C1416" s="233" t="n">
        <v>46043</v>
      </c>
      <c r="D1416" s="232" t="inlineStr">
        <is>
          <t>213465</t>
        </is>
      </c>
      <c r="E1416" s="232" t="inlineStr">
        <is>
          <t>PRORRATEO</t>
        </is>
      </c>
      <c r="F1416" s="232" t="inlineStr">
        <is>
          <t>Santa Catalina</t>
        </is>
      </c>
      <c r="G1416" s="232" t="inlineStr">
        <is>
          <t>eureka 14,4 ha</t>
        </is>
      </c>
      <c r="H1416" s="232" t="inlineStr">
        <is>
          <t>Limon</t>
        </is>
      </c>
      <c r="I1416" s="232" t="inlineStr">
        <is>
          <t>Eureka</t>
        </is>
      </c>
      <c r="J1416" s="232" t="inlineStr">
        <is>
          <t>MATERIALES COSECHA</t>
        </is>
      </c>
      <c r="K1416" s="232" t="inlineStr">
        <is>
          <t>INSUMOS PACKING</t>
        </is>
      </c>
      <c r="L1416" s="232" t="inlineStr">
        <is>
          <t>[PRORRATEO 9.7% 14.4há/148.3há] O/001281 PALA ASEO</t>
        </is>
      </c>
      <c r="M1416" s="232" t="inlineStr"/>
      <c r="N1416" s="232" t="inlineStr">
        <is>
          <t>.   .   -</t>
        </is>
      </c>
      <c r="O1416" s="232" t="inlineStr">
        <is>
          <t>ENERO</t>
        </is>
      </c>
      <c r="P1416" s="232" t="n">
        <v>3</v>
      </c>
      <c r="Q1416" s="234" t="n">
        <v>1571</v>
      </c>
      <c r="R1416" s="232" t="inlineStr"/>
      <c r="S1416" s="234" t="n">
        <v>1571</v>
      </c>
      <c r="T1416" s="232" t="inlineStr">
        <is>
          <t>CLP</t>
        </is>
      </c>
      <c r="U1416" s="232" t="inlineStr">
        <is>
          <t>Prorrateo Ha PACKING</t>
        </is>
      </c>
      <c r="V1416" s="232" t="inlineStr">
        <is>
          <t>2026-06-18</t>
        </is>
      </c>
    </row>
    <row r="1417">
      <c r="A1417" s="232" t="inlineStr">
        <is>
          <t>CR-1414</t>
        </is>
      </c>
      <c r="B1417" s="232" t="inlineStr">
        <is>
          <t>2026/27</t>
        </is>
      </c>
      <c r="C1417" s="233" t="n">
        <v>46043</v>
      </c>
      <c r="D1417" s="232" t="inlineStr">
        <is>
          <t>213465</t>
        </is>
      </c>
      <c r="E1417" s="232" t="inlineStr">
        <is>
          <t>PRORRATEO</t>
        </is>
      </c>
      <c r="F1417" s="232" t="inlineStr">
        <is>
          <t>Santa Catalina</t>
        </is>
      </c>
      <c r="G1417" s="232" t="inlineStr">
        <is>
          <t>eureka 22,55</t>
        </is>
      </c>
      <c r="H1417" s="232" t="inlineStr">
        <is>
          <t>Limon</t>
        </is>
      </c>
      <c r="I1417" s="232" t="inlineStr">
        <is>
          <t>Eureka</t>
        </is>
      </c>
      <c r="J1417" s="232" t="inlineStr">
        <is>
          <t>MATERIALES COSECHA</t>
        </is>
      </c>
      <c r="K1417" s="232" t="inlineStr">
        <is>
          <t>INSUMOS PACKING</t>
        </is>
      </c>
      <c r="L1417" s="232" t="inlineStr">
        <is>
          <t>[PRORRATEO 15.2% 22.55há/148.3há] O/001281 PALA ASEO</t>
        </is>
      </c>
      <c r="M1417" s="232" t="inlineStr"/>
      <c r="N1417" s="232" t="inlineStr">
        <is>
          <t>.   .   -</t>
        </is>
      </c>
      <c r="O1417" s="232" t="inlineStr">
        <is>
          <t>ENERO</t>
        </is>
      </c>
      <c r="P1417" s="232" t="n">
        <v>3</v>
      </c>
      <c r="Q1417" s="234" t="n">
        <v>2459</v>
      </c>
      <c r="R1417" s="232" t="inlineStr"/>
      <c r="S1417" s="234" t="n">
        <v>2459</v>
      </c>
      <c r="T1417" s="232" t="inlineStr">
        <is>
          <t>CLP</t>
        </is>
      </c>
      <c r="U1417" s="232" t="inlineStr">
        <is>
          <t>Prorrateo Ha PACKING</t>
        </is>
      </c>
      <c r="V1417" s="232" t="inlineStr">
        <is>
          <t>2026-06-18</t>
        </is>
      </c>
    </row>
    <row r="1418">
      <c r="A1418" s="232" t="inlineStr">
        <is>
          <t>CR-1415</t>
        </is>
      </c>
      <c r="B1418" s="232" t="inlineStr">
        <is>
          <t>2026/27</t>
        </is>
      </c>
      <c r="C1418" s="233" t="n">
        <v>46043</v>
      </c>
      <c r="D1418" s="232" t="inlineStr">
        <is>
          <t>213465</t>
        </is>
      </c>
      <c r="E1418" s="232" t="inlineStr">
        <is>
          <t>PRORRATEO</t>
        </is>
      </c>
      <c r="F1418" s="232" t="inlineStr">
        <is>
          <t>Santa Catalina</t>
        </is>
      </c>
      <c r="G1418" s="232" t="inlineStr">
        <is>
          <t>form benjamin 1,93 ha</t>
        </is>
      </c>
      <c r="H1418" s="232" t="inlineStr">
        <is>
          <t>Limon</t>
        </is>
      </c>
      <c r="I1418" s="232" t="inlineStr">
        <is>
          <t>Benjamin andes</t>
        </is>
      </c>
      <c r="J1418" s="232" t="inlineStr">
        <is>
          <t>MATERIALES COSECHA</t>
        </is>
      </c>
      <c r="K1418" s="232" t="inlineStr">
        <is>
          <t>INSUMOS PACKING</t>
        </is>
      </c>
      <c r="L1418" s="232" t="inlineStr">
        <is>
          <t>[PRORRATEO 1.3% 1.93há/148.3há] O/001281 PALA ASEO</t>
        </is>
      </c>
      <c r="M1418" s="232" t="inlineStr"/>
      <c r="N1418" s="232" t="inlineStr">
        <is>
          <t>.   .   -</t>
        </is>
      </c>
      <c r="O1418" s="232" t="inlineStr">
        <is>
          <t>ENERO</t>
        </is>
      </c>
      <c r="P1418" s="232" t="n">
        <v>3</v>
      </c>
      <c r="Q1418" s="234" t="n">
        <v>210</v>
      </c>
      <c r="R1418" s="232" t="inlineStr"/>
      <c r="S1418" s="234" t="n">
        <v>210</v>
      </c>
      <c r="T1418" s="232" t="inlineStr">
        <is>
          <t>CLP</t>
        </is>
      </c>
      <c r="U1418" s="232" t="inlineStr">
        <is>
          <t>Prorrateo Ha PACKING</t>
        </is>
      </c>
      <c r="V1418" s="232" t="inlineStr">
        <is>
          <t>2026-06-18</t>
        </is>
      </c>
    </row>
    <row r="1419">
      <c r="A1419" s="232" t="inlineStr">
        <is>
          <t>CR-1416</t>
        </is>
      </c>
      <c r="B1419" s="232" t="inlineStr">
        <is>
          <t>2026/27</t>
        </is>
      </c>
      <c r="C1419" s="233" t="n">
        <v>46043</v>
      </c>
      <c r="D1419" s="232" t="inlineStr">
        <is>
          <t>213465</t>
        </is>
      </c>
      <c r="E1419" s="232" t="inlineStr">
        <is>
          <t>PRORRATEO</t>
        </is>
      </c>
      <c r="F1419" s="232" t="inlineStr">
        <is>
          <t>Santa Catalina</t>
        </is>
      </c>
      <c r="G1419" s="232" t="inlineStr">
        <is>
          <t>mant eureka 2,5 ha</t>
        </is>
      </c>
      <c r="H1419" s="232" t="inlineStr">
        <is>
          <t>Limon</t>
        </is>
      </c>
      <c r="I1419" s="232" t="inlineStr">
        <is>
          <t>Eureka</t>
        </is>
      </c>
      <c r="J1419" s="232" t="inlineStr">
        <is>
          <t>MATERIALES COSECHA</t>
        </is>
      </c>
      <c r="K1419" s="232" t="inlineStr">
        <is>
          <t>INSUMOS PACKING</t>
        </is>
      </c>
      <c r="L1419" s="232" t="inlineStr">
        <is>
          <t>[PRORRATEO 1.7% 2.5há/148.3há] O/001281 PALA ASEO</t>
        </is>
      </c>
      <c r="M1419" s="232" t="inlineStr"/>
      <c r="N1419" s="232" t="inlineStr">
        <is>
          <t>.   .   -</t>
        </is>
      </c>
      <c r="O1419" s="232" t="inlineStr">
        <is>
          <t>ENERO</t>
        </is>
      </c>
      <c r="P1419" s="232" t="n">
        <v>3</v>
      </c>
      <c r="Q1419" s="234" t="n">
        <v>273</v>
      </c>
      <c r="R1419" s="232" t="inlineStr"/>
      <c r="S1419" s="234" t="n">
        <v>273</v>
      </c>
      <c r="T1419" s="232" t="inlineStr">
        <is>
          <t>CLP</t>
        </is>
      </c>
      <c r="U1419" s="232" t="inlineStr">
        <is>
          <t>Prorrateo Ha PACKING</t>
        </is>
      </c>
      <c r="V1419" s="232" t="inlineStr">
        <is>
          <t>2026-06-18</t>
        </is>
      </c>
    </row>
    <row r="1420">
      <c r="A1420" s="232" t="inlineStr">
        <is>
          <t>CR-1417</t>
        </is>
      </c>
      <c r="B1420" s="232" t="inlineStr">
        <is>
          <t>2026/27</t>
        </is>
      </c>
      <c r="C1420" s="233" t="n">
        <v>46043</v>
      </c>
      <c r="D1420" s="232" t="inlineStr">
        <is>
          <t>213465</t>
        </is>
      </c>
      <c r="E1420" s="232" t="inlineStr">
        <is>
          <t>PRORRATEO</t>
        </is>
      </c>
      <c r="F1420" s="232" t="inlineStr">
        <is>
          <t>Siberia</t>
        </is>
      </c>
      <c r="G1420" s="232" t="inlineStr">
        <is>
          <t>S. Celebration 7,14</t>
        </is>
      </c>
      <c r="H1420" s="232" t="inlineStr">
        <is>
          <t>Uvas</t>
        </is>
      </c>
      <c r="I1420" s="232" t="inlineStr">
        <is>
          <t>S. celebration</t>
        </is>
      </c>
      <c r="J1420" s="232" t="inlineStr">
        <is>
          <t>MATERIALES COSECHA</t>
        </is>
      </c>
      <c r="K1420" s="232" t="inlineStr">
        <is>
          <t>INSUMOS PACKING</t>
        </is>
      </c>
      <c r="L1420" s="232" t="inlineStr">
        <is>
          <t>[PRORRATEO 4.8% 7.14há/148.3há] O/001281 PALA ASEO</t>
        </is>
      </c>
      <c r="M1420" s="232" t="inlineStr"/>
      <c r="N1420" s="232" t="inlineStr">
        <is>
          <t>.   .   -</t>
        </is>
      </c>
      <c r="O1420" s="232" t="inlineStr">
        <is>
          <t>ENERO</t>
        </is>
      </c>
      <c r="P1420" s="232" t="n">
        <v>3</v>
      </c>
      <c r="Q1420" s="234" t="n">
        <v>779</v>
      </c>
      <c r="R1420" s="232" t="inlineStr"/>
      <c r="S1420" s="234" t="n">
        <v>779</v>
      </c>
      <c r="T1420" s="232" t="inlineStr">
        <is>
          <t>CLP</t>
        </is>
      </c>
      <c r="U1420" s="232" t="inlineStr">
        <is>
          <t>Prorrateo Ha PACKING</t>
        </is>
      </c>
      <c r="V1420" s="232" t="inlineStr">
        <is>
          <t>2026-06-18</t>
        </is>
      </c>
    </row>
    <row r="1421">
      <c r="A1421" s="232" t="inlineStr">
        <is>
          <t>CR-1418</t>
        </is>
      </c>
      <c r="B1421" s="232" t="inlineStr">
        <is>
          <t>2026/27</t>
        </is>
      </c>
      <c r="C1421" s="233" t="n">
        <v>46043</v>
      </c>
      <c r="D1421" s="232" t="inlineStr">
        <is>
          <t>213465</t>
        </is>
      </c>
      <c r="E1421" s="232" t="inlineStr">
        <is>
          <t>PRORRATEO</t>
        </is>
      </c>
      <c r="F1421" s="232" t="inlineStr">
        <is>
          <t>Siberia</t>
        </is>
      </c>
      <c r="G1421" s="232" t="inlineStr">
        <is>
          <t>Timpson 7,1</t>
        </is>
      </c>
      <c r="H1421" s="232" t="inlineStr">
        <is>
          <t>Uvas</t>
        </is>
      </c>
      <c r="I1421" s="232" t="inlineStr">
        <is>
          <t>Timpson</t>
        </is>
      </c>
      <c r="J1421" s="232" t="inlineStr">
        <is>
          <t>MATERIALES COSECHA</t>
        </is>
      </c>
      <c r="K1421" s="232" t="inlineStr">
        <is>
          <t>INSUMOS PACKING</t>
        </is>
      </c>
      <c r="L1421" s="232" t="inlineStr">
        <is>
          <t>[PRORRATEO 4.8% 7.1há/148.3há] O/001281 PALA ASEO</t>
        </is>
      </c>
      <c r="M1421" s="232" t="inlineStr"/>
      <c r="N1421" s="232" t="inlineStr">
        <is>
          <t>.   .   -</t>
        </is>
      </c>
      <c r="O1421" s="232" t="inlineStr">
        <is>
          <t>ENERO</t>
        </is>
      </c>
      <c r="P1421" s="232" t="n">
        <v>3</v>
      </c>
      <c r="Q1421" s="234" t="n">
        <v>774</v>
      </c>
      <c r="R1421" s="232" t="inlineStr"/>
      <c r="S1421" s="234" t="n">
        <v>774</v>
      </c>
      <c r="T1421" s="232" t="inlineStr">
        <is>
          <t>CLP</t>
        </is>
      </c>
      <c r="U1421" s="232" t="inlineStr">
        <is>
          <t>Prorrateo Ha PACKING</t>
        </is>
      </c>
      <c r="V1421" s="232" t="inlineStr">
        <is>
          <t>2026-06-18</t>
        </is>
      </c>
    </row>
    <row r="1422">
      <c r="A1422" s="232" t="inlineStr">
        <is>
          <t>CR-1419</t>
        </is>
      </c>
      <c r="B1422" s="232" t="inlineStr">
        <is>
          <t>2026/27</t>
        </is>
      </c>
      <c r="C1422" s="233" t="n">
        <v>46043</v>
      </c>
      <c r="D1422" s="232" t="inlineStr">
        <is>
          <t>213465</t>
        </is>
      </c>
      <c r="E1422" s="232" t="inlineStr">
        <is>
          <t>PRORRATEO</t>
        </is>
      </c>
      <c r="F1422" s="232" t="inlineStr">
        <is>
          <t>Asmara</t>
        </is>
      </c>
      <c r="G1422" s="232" t="inlineStr">
        <is>
          <t>w. murcott 19,8 ha</t>
        </is>
      </c>
      <c r="H1422" s="232" t="inlineStr">
        <is>
          <t>Mandarina</t>
        </is>
      </c>
      <c r="I1422" s="232" t="inlineStr">
        <is>
          <t>W. murcott</t>
        </is>
      </c>
      <c r="J1422" s="232" t="inlineStr">
        <is>
          <t>MATERIALES COSECHA</t>
        </is>
      </c>
      <c r="K1422" s="232" t="inlineStr">
        <is>
          <t>INSUMOS PACKING</t>
        </is>
      </c>
      <c r="L1422" s="232" t="inlineStr">
        <is>
          <t>[PRORRATEO 13.4% 19.8há/148.3há] O/001281 TRAPERO DO</t>
        </is>
      </c>
      <c r="M1422" s="232" t="inlineStr"/>
      <c r="N1422" s="232" t="inlineStr">
        <is>
          <t>.   .   -</t>
        </is>
      </c>
      <c r="O1422" s="232" t="inlineStr">
        <is>
          <t>ENERO</t>
        </is>
      </c>
      <c r="P1422" s="232" t="n">
        <v>3</v>
      </c>
      <c r="Q1422" s="234" t="n">
        <v>389</v>
      </c>
      <c r="R1422" s="232" t="inlineStr"/>
      <c r="S1422" s="234" t="n">
        <v>389</v>
      </c>
      <c r="T1422" s="232" t="inlineStr">
        <is>
          <t>CLP</t>
        </is>
      </c>
      <c r="U1422" s="232" t="inlineStr">
        <is>
          <t>Prorrateo Ha PACKING</t>
        </is>
      </c>
      <c r="V1422" s="232" t="inlineStr">
        <is>
          <t>2026-06-18</t>
        </is>
      </c>
    </row>
    <row r="1423">
      <c r="A1423" s="232" t="inlineStr">
        <is>
          <t>CR-1420</t>
        </is>
      </c>
      <c r="B1423" s="232" t="inlineStr">
        <is>
          <t>2026/27</t>
        </is>
      </c>
      <c r="C1423" s="233" t="n">
        <v>46043</v>
      </c>
      <c r="D1423" s="232" t="inlineStr">
        <is>
          <t>213465</t>
        </is>
      </c>
      <c r="E1423" s="232" t="inlineStr">
        <is>
          <t>PRORRATEO</t>
        </is>
      </c>
      <c r="F1423" s="232" t="inlineStr">
        <is>
          <t>Asmara</t>
        </is>
      </c>
      <c r="G1423" s="232" t="inlineStr">
        <is>
          <t>w. murcott 4,9 ha</t>
        </is>
      </c>
      <c r="H1423" s="232" t="inlineStr">
        <is>
          <t>Mandarina</t>
        </is>
      </c>
      <c r="I1423" s="232" t="inlineStr">
        <is>
          <t>W. murcott</t>
        </is>
      </c>
      <c r="J1423" s="232" t="inlineStr">
        <is>
          <t>MATERIALES COSECHA</t>
        </is>
      </c>
      <c r="K1423" s="232" t="inlineStr">
        <is>
          <t>INSUMOS PACKING</t>
        </is>
      </c>
      <c r="L1423" s="232" t="inlineStr">
        <is>
          <t>[PRORRATEO 3.3% 4.9há/148.3há] O/001281 TRAPERO DO</t>
        </is>
      </c>
      <c r="M1423" s="232" t="inlineStr"/>
      <c r="N1423" s="232" t="inlineStr">
        <is>
          <t>.   .   -</t>
        </is>
      </c>
      <c r="O1423" s="232" t="inlineStr">
        <is>
          <t>ENERO</t>
        </is>
      </c>
      <c r="P1423" s="232" t="n">
        <v>3</v>
      </c>
      <c r="Q1423" s="234" t="n">
        <v>96</v>
      </c>
      <c r="R1423" s="232" t="inlineStr"/>
      <c r="S1423" s="234" t="n">
        <v>96</v>
      </c>
      <c r="T1423" s="232" t="inlineStr">
        <is>
          <t>CLP</t>
        </is>
      </c>
      <c r="U1423" s="232" t="inlineStr">
        <is>
          <t>Prorrateo Ha PACKING</t>
        </is>
      </c>
      <c r="V1423" s="232" t="inlineStr">
        <is>
          <t>2026-06-18</t>
        </is>
      </c>
    </row>
    <row r="1424">
      <c r="A1424" s="232" t="inlineStr">
        <is>
          <t>CR-1421</t>
        </is>
      </c>
      <c r="B1424" s="232" t="inlineStr">
        <is>
          <t>2026/27</t>
        </is>
      </c>
      <c r="C1424" s="233" t="n">
        <v>46043</v>
      </c>
      <c r="D1424" s="232" t="inlineStr">
        <is>
          <t>213465</t>
        </is>
      </c>
      <c r="E1424" s="232" t="inlineStr">
        <is>
          <t>PRORRATEO</t>
        </is>
      </c>
      <c r="F1424" s="232" t="inlineStr">
        <is>
          <t>El Molle</t>
        </is>
      </c>
      <c r="G1424" s="232" t="inlineStr">
        <is>
          <t>Wonderful 5,25 ha</t>
        </is>
      </c>
      <c r="H1424" s="232" t="inlineStr">
        <is>
          <t>Granados</t>
        </is>
      </c>
      <c r="I1424" s="232" t="inlineStr">
        <is>
          <t>Wonderfull</t>
        </is>
      </c>
      <c r="J1424" s="232" t="inlineStr">
        <is>
          <t>MATERIALES COSECHA</t>
        </is>
      </c>
      <c r="K1424" s="232" t="inlineStr">
        <is>
          <t>INSUMOS PACKING</t>
        </is>
      </c>
      <c r="L1424" s="232" t="inlineStr">
        <is>
          <t>[PRORRATEO 3.5% 5.24há/148.3há] O/001281 TRAPERO DO</t>
        </is>
      </c>
      <c r="M1424" s="232" t="inlineStr"/>
      <c r="N1424" s="232" t="inlineStr">
        <is>
          <t>.   .   -</t>
        </is>
      </c>
      <c r="O1424" s="232" t="inlineStr">
        <is>
          <t>ENERO</t>
        </is>
      </c>
      <c r="P1424" s="232" t="n">
        <v>3</v>
      </c>
      <c r="Q1424" s="234" t="n">
        <v>103</v>
      </c>
      <c r="R1424" s="232" t="inlineStr"/>
      <c r="S1424" s="234" t="n">
        <v>103</v>
      </c>
      <c r="T1424" s="232" t="inlineStr">
        <is>
          <t>CLP</t>
        </is>
      </c>
      <c r="U1424" s="232" t="inlineStr">
        <is>
          <t>Prorrateo Ha PACKING</t>
        </is>
      </c>
      <c r="V1424" s="232" t="inlineStr">
        <is>
          <t>2026-06-18</t>
        </is>
      </c>
    </row>
    <row r="1425">
      <c r="A1425" s="232" t="inlineStr">
        <is>
          <t>CR-1422</t>
        </is>
      </c>
      <c r="B1425" s="232" t="inlineStr">
        <is>
          <t>2026/27</t>
        </is>
      </c>
      <c r="C1425" s="233" t="n">
        <v>46043</v>
      </c>
      <c r="D1425" s="232" t="inlineStr">
        <is>
          <t>213465</t>
        </is>
      </c>
      <c r="E1425" s="232" t="inlineStr">
        <is>
          <t>PRORRATEO</t>
        </is>
      </c>
      <c r="F1425" s="232" t="inlineStr">
        <is>
          <t>El Molle</t>
        </is>
      </c>
      <c r="G1425" s="232" t="inlineStr">
        <is>
          <t>arrufatinas 5,74 ha</t>
        </is>
      </c>
      <c r="H1425" s="232" t="inlineStr">
        <is>
          <t>Clementinas</t>
        </is>
      </c>
      <c r="I1425" s="232" t="inlineStr">
        <is>
          <t>Arrufatinas</t>
        </is>
      </c>
      <c r="J1425" s="232" t="inlineStr">
        <is>
          <t>MATERIALES COSECHA</t>
        </is>
      </c>
      <c r="K1425" s="232" t="inlineStr">
        <is>
          <t>INSUMOS PACKING</t>
        </is>
      </c>
      <c r="L1425" s="232" t="inlineStr">
        <is>
          <t>[PRORRATEO 3.9% 5.74há/148.3há] O/001281 TRAPERO DO</t>
        </is>
      </c>
      <c r="M1425" s="232" t="inlineStr"/>
      <c r="N1425" s="232" t="inlineStr">
        <is>
          <t>.   .   -</t>
        </is>
      </c>
      <c r="O1425" s="232" t="inlineStr">
        <is>
          <t>ENERO</t>
        </is>
      </c>
      <c r="P1425" s="232" t="n">
        <v>3</v>
      </c>
      <c r="Q1425" s="234" t="n">
        <v>113</v>
      </c>
      <c r="R1425" s="232" t="inlineStr"/>
      <c r="S1425" s="234" t="n">
        <v>113</v>
      </c>
      <c r="T1425" s="232" t="inlineStr">
        <is>
          <t>CLP</t>
        </is>
      </c>
      <c r="U1425" s="232" t="inlineStr">
        <is>
          <t>Prorrateo Ha PACKING</t>
        </is>
      </c>
      <c r="V1425" s="232" t="inlineStr">
        <is>
          <t>2026-06-18</t>
        </is>
      </c>
    </row>
    <row r="1426">
      <c r="A1426" s="232" t="inlineStr">
        <is>
          <t>CR-1423</t>
        </is>
      </c>
      <c r="B1426" s="232" t="inlineStr">
        <is>
          <t>2026/27</t>
        </is>
      </c>
      <c r="C1426" s="233" t="n">
        <v>46043</v>
      </c>
      <c r="D1426" s="232" t="inlineStr">
        <is>
          <t>213465</t>
        </is>
      </c>
      <c r="E1426" s="232" t="inlineStr">
        <is>
          <t>PRORRATEO</t>
        </is>
      </c>
      <c r="F1426" s="232" t="inlineStr">
        <is>
          <t>El Molle</t>
        </is>
      </c>
      <c r="G1426" s="232" t="inlineStr">
        <is>
          <t>orogrande 8,11 ha</t>
        </is>
      </c>
      <c r="H1426" s="232" t="inlineStr">
        <is>
          <t>Clementinas</t>
        </is>
      </c>
      <c r="I1426" s="232" t="inlineStr">
        <is>
          <t>Orogrande</t>
        </is>
      </c>
      <c r="J1426" s="232" t="inlineStr">
        <is>
          <t>MATERIALES COSECHA</t>
        </is>
      </c>
      <c r="K1426" s="232" t="inlineStr">
        <is>
          <t>INSUMOS PACKING</t>
        </is>
      </c>
      <c r="L1426" s="232" t="inlineStr">
        <is>
          <t>[PRORRATEO 5.5% 8.11há/148.3há] O/001281 TRAPERO DO</t>
        </is>
      </c>
      <c r="M1426" s="232" t="inlineStr"/>
      <c r="N1426" s="232" t="inlineStr">
        <is>
          <t>.   .   -</t>
        </is>
      </c>
      <c r="O1426" s="232" t="inlineStr">
        <is>
          <t>ENERO</t>
        </is>
      </c>
      <c r="P1426" s="232" t="n">
        <v>3</v>
      </c>
      <c r="Q1426" s="234" t="n">
        <v>160</v>
      </c>
      <c r="R1426" s="232" t="inlineStr"/>
      <c r="S1426" s="234" t="n">
        <v>160</v>
      </c>
      <c r="T1426" s="232" t="inlineStr">
        <is>
          <t>CLP</t>
        </is>
      </c>
      <c r="U1426" s="232" t="inlineStr">
        <is>
          <t>Prorrateo Ha PACKING</t>
        </is>
      </c>
      <c r="V1426" s="232" t="inlineStr">
        <is>
          <t>2026-06-18</t>
        </is>
      </c>
    </row>
    <row r="1427">
      <c r="A1427" s="232" t="inlineStr">
        <is>
          <t>CR-1424</t>
        </is>
      </c>
      <c r="B1427" s="232" t="inlineStr">
        <is>
          <t>2026/27</t>
        </is>
      </c>
      <c r="C1427" s="233" t="n">
        <v>46043</v>
      </c>
      <c r="D1427" s="232" t="inlineStr">
        <is>
          <t>213465</t>
        </is>
      </c>
      <c r="E1427" s="232" t="inlineStr">
        <is>
          <t>PRORRATEO</t>
        </is>
      </c>
      <c r="F1427" s="232" t="inlineStr">
        <is>
          <t>El Molle</t>
        </is>
      </c>
      <c r="G1427" s="232" t="inlineStr">
        <is>
          <t>oronules 5,35 ha</t>
        </is>
      </c>
      <c r="H1427" s="232" t="inlineStr">
        <is>
          <t>Clementinas</t>
        </is>
      </c>
      <c r="I1427" s="232" t="inlineStr">
        <is>
          <t>Oronules</t>
        </is>
      </c>
      <c r="J1427" s="232" t="inlineStr">
        <is>
          <t>MATERIALES COSECHA</t>
        </is>
      </c>
      <c r="K1427" s="232" t="inlineStr">
        <is>
          <t>INSUMOS PACKING</t>
        </is>
      </c>
      <c r="L1427" s="232" t="inlineStr">
        <is>
          <t>[PRORRATEO 3.6% 5.35há/148.3há] O/001281 TRAPERO DO</t>
        </is>
      </c>
      <c r="M1427" s="232" t="inlineStr"/>
      <c r="N1427" s="232" t="inlineStr">
        <is>
          <t>.   .   -</t>
        </is>
      </c>
      <c r="O1427" s="232" t="inlineStr">
        <is>
          <t>ENERO</t>
        </is>
      </c>
      <c r="P1427" s="232" t="n">
        <v>3</v>
      </c>
      <c r="Q1427" s="234" t="n">
        <v>105</v>
      </c>
      <c r="R1427" s="232" t="inlineStr"/>
      <c r="S1427" s="234" t="n">
        <v>105</v>
      </c>
      <c r="T1427" s="232" t="inlineStr">
        <is>
          <t>CLP</t>
        </is>
      </c>
      <c r="U1427" s="232" t="inlineStr">
        <is>
          <t>Prorrateo Ha PACKING</t>
        </is>
      </c>
      <c r="V1427" s="232" t="inlineStr">
        <is>
          <t>2026-06-18</t>
        </is>
      </c>
    </row>
    <row r="1428">
      <c r="A1428" s="232" t="inlineStr">
        <is>
          <t>CR-1425</t>
        </is>
      </c>
      <c r="B1428" s="232" t="inlineStr">
        <is>
          <t>2026/27</t>
        </is>
      </c>
      <c r="C1428" s="233" t="n">
        <v>46043</v>
      </c>
      <c r="D1428" s="232" t="inlineStr">
        <is>
          <t>213465</t>
        </is>
      </c>
      <c r="E1428" s="232" t="inlineStr">
        <is>
          <t>PRORRATEO</t>
        </is>
      </c>
      <c r="F1428" s="232" t="inlineStr">
        <is>
          <t>Santa Catalina</t>
        </is>
      </c>
      <c r="G1428" s="232" t="inlineStr">
        <is>
          <t>Fino 49 7,7 ha</t>
        </is>
      </c>
      <c r="H1428" s="232" t="inlineStr">
        <is>
          <t>Limon</t>
        </is>
      </c>
      <c r="I1428" s="232" t="inlineStr">
        <is>
          <t>Fino 49</t>
        </is>
      </c>
      <c r="J1428" s="232" t="inlineStr">
        <is>
          <t>MATERIALES COSECHA</t>
        </is>
      </c>
      <c r="K1428" s="232" t="inlineStr">
        <is>
          <t>INSUMOS PACKING</t>
        </is>
      </c>
      <c r="L1428" s="232" t="inlineStr">
        <is>
          <t>[PRORRATEO 5.2% 7.7há/148.3há] O/001281 TRAPERO DO</t>
        </is>
      </c>
      <c r="M1428" s="232" t="inlineStr"/>
      <c r="N1428" s="232" t="inlineStr">
        <is>
          <t>.   .   -</t>
        </is>
      </c>
      <c r="O1428" s="232" t="inlineStr">
        <is>
          <t>ENERO</t>
        </is>
      </c>
      <c r="P1428" s="232" t="n">
        <v>3</v>
      </c>
      <c r="Q1428" s="234" t="n">
        <v>151</v>
      </c>
      <c r="R1428" s="232" t="inlineStr"/>
      <c r="S1428" s="234" t="n">
        <v>151</v>
      </c>
      <c r="T1428" s="232" t="inlineStr">
        <is>
          <t>CLP</t>
        </is>
      </c>
      <c r="U1428" s="232" t="inlineStr">
        <is>
          <t>Prorrateo Ha PACKING</t>
        </is>
      </c>
      <c r="V1428" s="232" t="inlineStr">
        <is>
          <t>2026-06-18</t>
        </is>
      </c>
    </row>
    <row r="1429">
      <c r="A1429" s="232" t="inlineStr">
        <is>
          <t>CR-1426</t>
        </is>
      </c>
      <c r="B1429" s="232" t="inlineStr">
        <is>
          <t>2026/27</t>
        </is>
      </c>
      <c r="C1429" s="233" t="n">
        <v>46043</v>
      </c>
      <c r="D1429" s="232" t="inlineStr">
        <is>
          <t>213465</t>
        </is>
      </c>
      <c r="E1429" s="232" t="inlineStr">
        <is>
          <t>PRORRATEO</t>
        </is>
      </c>
      <c r="F1429" s="232" t="inlineStr">
        <is>
          <t>Santa Catalina</t>
        </is>
      </c>
      <c r="G1429" s="232" t="inlineStr">
        <is>
          <t>W. murcott 21 ha</t>
        </is>
      </c>
      <c r="H1429" s="232" t="inlineStr">
        <is>
          <t>Mandarina</t>
        </is>
      </c>
      <c r="I1429" s="232" t="inlineStr">
        <is>
          <t>W. murcott</t>
        </is>
      </c>
      <c r="J1429" s="232" t="inlineStr">
        <is>
          <t>MATERIALES COSECHA</t>
        </is>
      </c>
      <c r="K1429" s="232" t="inlineStr">
        <is>
          <t>INSUMOS PACKING</t>
        </is>
      </c>
      <c r="L1429" s="232" t="inlineStr">
        <is>
          <t>[PRORRATEO 14.2% 21.0há/148.3há] O/001281 TRAPERO DO</t>
        </is>
      </c>
      <c r="M1429" s="232" t="inlineStr"/>
      <c r="N1429" s="232" t="inlineStr">
        <is>
          <t>.   .   -</t>
        </is>
      </c>
      <c r="O1429" s="232" t="inlineStr">
        <is>
          <t>ENERO</t>
        </is>
      </c>
      <c r="P1429" s="232" t="n">
        <v>3</v>
      </c>
      <c r="Q1429" s="234" t="n">
        <v>413</v>
      </c>
      <c r="R1429" s="232" t="inlineStr"/>
      <c r="S1429" s="234" t="n">
        <v>413</v>
      </c>
      <c r="T1429" s="232" t="inlineStr">
        <is>
          <t>CLP</t>
        </is>
      </c>
      <c r="U1429" s="232" t="inlineStr">
        <is>
          <t>Prorrateo Ha PACKING</t>
        </is>
      </c>
      <c r="V1429" s="232" t="inlineStr">
        <is>
          <t>2026-06-18</t>
        </is>
      </c>
    </row>
    <row r="1430">
      <c r="A1430" s="232" t="inlineStr">
        <is>
          <t>CR-1427</t>
        </is>
      </c>
      <c r="B1430" s="232" t="inlineStr">
        <is>
          <t>2026/27</t>
        </is>
      </c>
      <c r="C1430" s="233" t="n">
        <v>46043</v>
      </c>
      <c r="D1430" s="232" t="inlineStr">
        <is>
          <t>213465</t>
        </is>
      </c>
      <c r="E1430" s="232" t="inlineStr">
        <is>
          <t>PRORRATEO</t>
        </is>
      </c>
      <c r="F1430" s="232" t="inlineStr">
        <is>
          <t>Santa Catalina</t>
        </is>
      </c>
      <c r="G1430" s="232" t="inlineStr">
        <is>
          <t>cambria 4,2 ha</t>
        </is>
      </c>
      <c r="H1430" s="232" t="inlineStr">
        <is>
          <t>Naranjas</t>
        </is>
      </c>
      <c r="I1430" s="232" t="inlineStr">
        <is>
          <t>Cambria</t>
        </is>
      </c>
      <c r="J1430" s="232" t="inlineStr">
        <is>
          <t>MATERIALES COSECHA</t>
        </is>
      </c>
      <c r="K1430" s="232" t="inlineStr">
        <is>
          <t>INSUMOS PACKING</t>
        </is>
      </c>
      <c r="L1430" s="232" t="inlineStr">
        <is>
          <t>[PRORRATEO 2.8% 4.2há/148.3há] O/001281 TRAPERO DO</t>
        </is>
      </c>
      <c r="M1430" s="232" t="inlineStr"/>
      <c r="N1430" s="232" t="inlineStr">
        <is>
          <t>.   .   -</t>
        </is>
      </c>
      <c r="O1430" s="232" t="inlineStr">
        <is>
          <t>ENERO</t>
        </is>
      </c>
      <c r="P1430" s="232" t="n">
        <v>3</v>
      </c>
      <c r="Q1430" s="234" t="n">
        <v>83</v>
      </c>
      <c r="R1430" s="232" t="inlineStr"/>
      <c r="S1430" s="234" t="n">
        <v>83</v>
      </c>
      <c r="T1430" s="232" t="inlineStr">
        <is>
          <t>CLP</t>
        </is>
      </c>
      <c r="U1430" s="232" t="inlineStr">
        <is>
          <t>Prorrateo Ha PACKING</t>
        </is>
      </c>
      <c r="V1430" s="232" t="inlineStr">
        <is>
          <t>2026-06-18</t>
        </is>
      </c>
    </row>
    <row r="1431">
      <c r="A1431" s="232" t="inlineStr">
        <is>
          <t>CR-1428</t>
        </is>
      </c>
      <c r="B1431" s="232" t="inlineStr">
        <is>
          <t>2026/27</t>
        </is>
      </c>
      <c r="C1431" s="233" t="n">
        <v>46043</v>
      </c>
      <c r="D1431" s="232" t="inlineStr">
        <is>
          <t>213465</t>
        </is>
      </c>
      <c r="E1431" s="232" t="inlineStr">
        <is>
          <t>PRORRATEO</t>
        </is>
      </c>
      <c r="F1431" s="232" t="inlineStr">
        <is>
          <t>Santa Catalina</t>
        </is>
      </c>
      <c r="G1431" s="232" t="inlineStr">
        <is>
          <t>eureka 10,6 ha</t>
        </is>
      </c>
      <c r="H1431" s="232" t="inlineStr">
        <is>
          <t>Limon</t>
        </is>
      </c>
      <c r="I1431" s="232" t="inlineStr">
        <is>
          <t>Eureka</t>
        </is>
      </c>
      <c r="J1431" s="232" t="inlineStr">
        <is>
          <t>MATERIALES COSECHA</t>
        </is>
      </c>
      <c r="K1431" s="232" t="inlineStr">
        <is>
          <t>INSUMOS PACKING</t>
        </is>
      </c>
      <c r="L1431" s="232" t="inlineStr">
        <is>
          <t>[PRORRATEO 7.1% 10.6há/148.3há] O/001281 TRAPERO DO</t>
        </is>
      </c>
      <c r="M1431" s="232" t="inlineStr"/>
      <c r="N1431" s="232" t="inlineStr">
        <is>
          <t>.   .   -</t>
        </is>
      </c>
      <c r="O1431" s="232" t="inlineStr">
        <is>
          <t>ENERO</t>
        </is>
      </c>
      <c r="P1431" s="232" t="n">
        <v>3</v>
      </c>
      <c r="Q1431" s="234" t="n">
        <v>208</v>
      </c>
      <c r="R1431" s="232" t="inlineStr"/>
      <c r="S1431" s="234" t="n">
        <v>208</v>
      </c>
      <c r="T1431" s="232" t="inlineStr">
        <is>
          <t>CLP</t>
        </is>
      </c>
      <c r="U1431" s="232" t="inlineStr">
        <is>
          <t>Prorrateo Ha PACKING</t>
        </is>
      </c>
      <c r="V1431" s="232" t="inlineStr">
        <is>
          <t>2026-06-18</t>
        </is>
      </c>
    </row>
    <row r="1432">
      <c r="A1432" s="232" t="inlineStr">
        <is>
          <t>CR-1429</t>
        </is>
      </c>
      <c r="B1432" s="232" t="inlineStr">
        <is>
          <t>2026/27</t>
        </is>
      </c>
      <c r="C1432" s="233" t="n">
        <v>46043</v>
      </c>
      <c r="D1432" s="232" t="inlineStr">
        <is>
          <t>213465</t>
        </is>
      </c>
      <c r="E1432" s="232" t="inlineStr">
        <is>
          <t>PRORRATEO</t>
        </is>
      </c>
      <c r="F1432" s="232" t="inlineStr">
        <is>
          <t>Santa Catalina</t>
        </is>
      </c>
      <c r="G1432" s="232" t="inlineStr">
        <is>
          <t>eureka 14,4 ha</t>
        </is>
      </c>
      <c r="H1432" s="232" t="inlineStr">
        <is>
          <t>Limon</t>
        </is>
      </c>
      <c r="I1432" s="232" t="inlineStr">
        <is>
          <t>Eureka</t>
        </is>
      </c>
      <c r="J1432" s="232" t="inlineStr">
        <is>
          <t>MATERIALES COSECHA</t>
        </is>
      </c>
      <c r="K1432" s="232" t="inlineStr">
        <is>
          <t>INSUMOS PACKING</t>
        </is>
      </c>
      <c r="L1432" s="232" t="inlineStr">
        <is>
          <t>[PRORRATEO 9.7% 14.4há/148.3há] O/001281 TRAPERO DO</t>
        </is>
      </c>
      <c r="M1432" s="232" t="inlineStr"/>
      <c r="N1432" s="232" t="inlineStr">
        <is>
          <t>.   .   -</t>
        </is>
      </c>
      <c r="O1432" s="232" t="inlineStr">
        <is>
          <t>ENERO</t>
        </is>
      </c>
      <c r="P1432" s="232" t="n">
        <v>3</v>
      </c>
      <c r="Q1432" s="234" t="n">
        <v>283</v>
      </c>
      <c r="R1432" s="232" t="inlineStr"/>
      <c r="S1432" s="234" t="n">
        <v>283</v>
      </c>
      <c r="T1432" s="232" t="inlineStr">
        <is>
          <t>CLP</t>
        </is>
      </c>
      <c r="U1432" s="232" t="inlineStr">
        <is>
          <t>Prorrateo Ha PACKING</t>
        </is>
      </c>
      <c r="V1432" s="232" t="inlineStr">
        <is>
          <t>2026-06-18</t>
        </is>
      </c>
    </row>
    <row r="1433">
      <c r="A1433" s="232" t="inlineStr">
        <is>
          <t>CR-1430</t>
        </is>
      </c>
      <c r="B1433" s="232" t="inlineStr">
        <is>
          <t>2026/27</t>
        </is>
      </c>
      <c r="C1433" s="233" t="n">
        <v>46043</v>
      </c>
      <c r="D1433" s="232" t="inlineStr">
        <is>
          <t>213465</t>
        </is>
      </c>
      <c r="E1433" s="232" t="inlineStr">
        <is>
          <t>PRORRATEO</t>
        </is>
      </c>
      <c r="F1433" s="232" t="inlineStr">
        <is>
          <t>Santa Catalina</t>
        </is>
      </c>
      <c r="G1433" s="232" t="inlineStr">
        <is>
          <t>eureka 22,55</t>
        </is>
      </c>
      <c r="H1433" s="232" t="inlineStr">
        <is>
          <t>Limon</t>
        </is>
      </c>
      <c r="I1433" s="232" t="inlineStr">
        <is>
          <t>Eureka</t>
        </is>
      </c>
      <c r="J1433" s="232" t="inlineStr">
        <is>
          <t>MATERIALES COSECHA</t>
        </is>
      </c>
      <c r="K1433" s="232" t="inlineStr">
        <is>
          <t>INSUMOS PACKING</t>
        </is>
      </c>
      <c r="L1433" s="232" t="inlineStr">
        <is>
          <t>[PRORRATEO 15.2% 22.55há/148.3há] O/001281 TRAPERO DO</t>
        </is>
      </c>
      <c r="M1433" s="232" t="inlineStr"/>
      <c r="N1433" s="232" t="inlineStr">
        <is>
          <t>.   .   -</t>
        </is>
      </c>
      <c r="O1433" s="232" t="inlineStr">
        <is>
          <t>ENERO</t>
        </is>
      </c>
      <c r="P1433" s="232" t="n">
        <v>3</v>
      </c>
      <c r="Q1433" s="234" t="n">
        <v>444</v>
      </c>
      <c r="R1433" s="232" t="inlineStr"/>
      <c r="S1433" s="234" t="n">
        <v>444</v>
      </c>
      <c r="T1433" s="232" t="inlineStr">
        <is>
          <t>CLP</t>
        </is>
      </c>
      <c r="U1433" s="232" t="inlineStr">
        <is>
          <t>Prorrateo Ha PACKING</t>
        </is>
      </c>
      <c r="V1433" s="232" t="inlineStr">
        <is>
          <t>2026-06-18</t>
        </is>
      </c>
    </row>
    <row r="1434">
      <c r="A1434" s="232" t="inlineStr">
        <is>
          <t>CR-1431</t>
        </is>
      </c>
      <c r="B1434" s="232" t="inlineStr">
        <is>
          <t>2026/27</t>
        </is>
      </c>
      <c r="C1434" s="233" t="n">
        <v>46043</v>
      </c>
      <c r="D1434" s="232" t="inlineStr">
        <is>
          <t>213465</t>
        </is>
      </c>
      <c r="E1434" s="232" t="inlineStr">
        <is>
          <t>PRORRATEO</t>
        </is>
      </c>
      <c r="F1434" s="232" t="inlineStr">
        <is>
          <t>Santa Catalina</t>
        </is>
      </c>
      <c r="G1434" s="232" t="inlineStr">
        <is>
          <t>form benjamin 1,93 ha</t>
        </is>
      </c>
      <c r="H1434" s="232" t="inlineStr">
        <is>
          <t>Limon</t>
        </is>
      </c>
      <c r="I1434" s="232" t="inlineStr">
        <is>
          <t>Benjamin andes</t>
        </is>
      </c>
      <c r="J1434" s="232" t="inlineStr">
        <is>
          <t>MATERIALES COSECHA</t>
        </is>
      </c>
      <c r="K1434" s="232" t="inlineStr">
        <is>
          <t>INSUMOS PACKING</t>
        </is>
      </c>
      <c r="L1434" s="232" t="inlineStr">
        <is>
          <t>[PRORRATEO 1.3% 1.93há/148.3há] O/001281 TRAPERO DO</t>
        </is>
      </c>
      <c r="M1434" s="232" t="inlineStr"/>
      <c r="N1434" s="232" t="inlineStr">
        <is>
          <t>.   .   -</t>
        </is>
      </c>
      <c r="O1434" s="232" t="inlineStr">
        <is>
          <t>ENERO</t>
        </is>
      </c>
      <c r="P1434" s="232" t="n">
        <v>3</v>
      </c>
      <c r="Q1434" s="234" t="n">
        <v>38</v>
      </c>
      <c r="R1434" s="232" t="inlineStr"/>
      <c r="S1434" s="234" t="n">
        <v>38</v>
      </c>
      <c r="T1434" s="232" t="inlineStr">
        <is>
          <t>CLP</t>
        </is>
      </c>
      <c r="U1434" s="232" t="inlineStr">
        <is>
          <t>Prorrateo Ha PACKING</t>
        </is>
      </c>
      <c r="V1434" s="232" t="inlineStr">
        <is>
          <t>2026-06-18</t>
        </is>
      </c>
    </row>
    <row r="1435">
      <c r="A1435" s="232" t="inlineStr">
        <is>
          <t>CR-1432</t>
        </is>
      </c>
      <c r="B1435" s="232" t="inlineStr">
        <is>
          <t>2026/27</t>
        </is>
      </c>
      <c r="C1435" s="233" t="n">
        <v>46043</v>
      </c>
      <c r="D1435" s="232" t="inlineStr">
        <is>
          <t>213465</t>
        </is>
      </c>
      <c r="E1435" s="232" t="inlineStr">
        <is>
          <t>PRORRATEO</t>
        </is>
      </c>
      <c r="F1435" s="232" t="inlineStr">
        <is>
          <t>Santa Catalina</t>
        </is>
      </c>
      <c r="G1435" s="232" t="inlineStr">
        <is>
          <t>mant eureka 2,5 ha</t>
        </is>
      </c>
      <c r="H1435" s="232" t="inlineStr">
        <is>
          <t>Limon</t>
        </is>
      </c>
      <c r="I1435" s="232" t="inlineStr">
        <is>
          <t>Eureka</t>
        </is>
      </c>
      <c r="J1435" s="232" t="inlineStr">
        <is>
          <t>MATERIALES COSECHA</t>
        </is>
      </c>
      <c r="K1435" s="232" t="inlineStr">
        <is>
          <t>INSUMOS PACKING</t>
        </is>
      </c>
      <c r="L1435" s="232" t="inlineStr">
        <is>
          <t>[PRORRATEO 1.7% 2.5há/148.3há] O/001281 TRAPERO DO</t>
        </is>
      </c>
      <c r="M1435" s="232" t="inlineStr"/>
      <c r="N1435" s="232" t="inlineStr">
        <is>
          <t>.   .   -</t>
        </is>
      </c>
      <c r="O1435" s="232" t="inlineStr">
        <is>
          <t>ENERO</t>
        </is>
      </c>
      <c r="P1435" s="232" t="n">
        <v>3</v>
      </c>
      <c r="Q1435" s="234" t="n">
        <v>49</v>
      </c>
      <c r="R1435" s="232" t="inlineStr"/>
      <c r="S1435" s="234" t="n">
        <v>49</v>
      </c>
      <c r="T1435" s="232" t="inlineStr">
        <is>
          <t>CLP</t>
        </is>
      </c>
      <c r="U1435" s="232" t="inlineStr">
        <is>
          <t>Prorrateo Ha PACKING</t>
        </is>
      </c>
      <c r="V1435" s="232" t="inlineStr">
        <is>
          <t>2026-06-18</t>
        </is>
      </c>
    </row>
    <row r="1436">
      <c r="A1436" s="232" t="inlineStr">
        <is>
          <t>CR-1433</t>
        </is>
      </c>
      <c r="B1436" s="232" t="inlineStr">
        <is>
          <t>2026/27</t>
        </is>
      </c>
      <c r="C1436" s="233" t="n">
        <v>46043</v>
      </c>
      <c r="D1436" s="232" t="inlineStr">
        <is>
          <t>213465</t>
        </is>
      </c>
      <c r="E1436" s="232" t="inlineStr">
        <is>
          <t>PRORRATEO</t>
        </is>
      </c>
      <c r="F1436" s="232" t="inlineStr">
        <is>
          <t>Siberia</t>
        </is>
      </c>
      <c r="G1436" s="232" t="inlineStr">
        <is>
          <t>S. Celebration 7,14</t>
        </is>
      </c>
      <c r="H1436" s="232" t="inlineStr">
        <is>
          <t>Uvas</t>
        </is>
      </c>
      <c r="I1436" s="232" t="inlineStr">
        <is>
          <t>S. celebration</t>
        </is>
      </c>
      <c r="J1436" s="232" t="inlineStr">
        <is>
          <t>MATERIALES COSECHA</t>
        </is>
      </c>
      <c r="K1436" s="232" t="inlineStr">
        <is>
          <t>INSUMOS PACKING</t>
        </is>
      </c>
      <c r="L1436" s="232" t="inlineStr">
        <is>
          <t>[PRORRATEO 4.8% 7.14há/148.3há] O/001281 TRAPERO DO</t>
        </is>
      </c>
      <c r="M1436" s="232" t="inlineStr"/>
      <c r="N1436" s="232" t="inlineStr">
        <is>
          <t>.   .   -</t>
        </is>
      </c>
      <c r="O1436" s="232" t="inlineStr">
        <is>
          <t>ENERO</t>
        </is>
      </c>
      <c r="P1436" s="232" t="n">
        <v>3</v>
      </c>
      <c r="Q1436" s="234" t="n">
        <v>140</v>
      </c>
      <c r="R1436" s="232" t="inlineStr"/>
      <c r="S1436" s="234" t="n">
        <v>140</v>
      </c>
      <c r="T1436" s="232" t="inlineStr">
        <is>
          <t>CLP</t>
        </is>
      </c>
      <c r="U1436" s="232" t="inlineStr">
        <is>
          <t>Prorrateo Ha PACKING</t>
        </is>
      </c>
      <c r="V1436" s="232" t="inlineStr">
        <is>
          <t>2026-06-18</t>
        </is>
      </c>
    </row>
    <row r="1437">
      <c r="A1437" s="232" t="inlineStr">
        <is>
          <t>CR-1434</t>
        </is>
      </c>
      <c r="B1437" s="232" t="inlineStr">
        <is>
          <t>2026/27</t>
        </is>
      </c>
      <c r="C1437" s="233" t="n">
        <v>46043</v>
      </c>
      <c r="D1437" s="232" t="inlineStr">
        <is>
          <t>213465</t>
        </is>
      </c>
      <c r="E1437" s="232" t="inlineStr">
        <is>
          <t>PRORRATEO</t>
        </is>
      </c>
      <c r="F1437" s="232" t="inlineStr">
        <is>
          <t>Siberia</t>
        </is>
      </c>
      <c r="G1437" s="232" t="inlineStr">
        <is>
          <t>Timpson 7,1</t>
        </is>
      </c>
      <c r="H1437" s="232" t="inlineStr">
        <is>
          <t>Uvas</t>
        </is>
      </c>
      <c r="I1437" s="232" t="inlineStr">
        <is>
          <t>Timpson</t>
        </is>
      </c>
      <c r="J1437" s="232" t="inlineStr">
        <is>
          <t>MATERIALES COSECHA</t>
        </is>
      </c>
      <c r="K1437" s="232" t="inlineStr">
        <is>
          <t>INSUMOS PACKING</t>
        </is>
      </c>
      <c r="L1437" s="232" t="inlineStr">
        <is>
          <t>[PRORRATEO 4.8% 7.1há/148.3há] O/001281 TRAPERO DO</t>
        </is>
      </c>
      <c r="M1437" s="232" t="inlineStr"/>
      <c r="N1437" s="232" t="inlineStr">
        <is>
          <t>.   .   -</t>
        </is>
      </c>
      <c r="O1437" s="232" t="inlineStr">
        <is>
          <t>ENERO</t>
        </is>
      </c>
      <c r="P1437" s="232" t="n">
        <v>3</v>
      </c>
      <c r="Q1437" s="234" t="n">
        <v>140</v>
      </c>
      <c r="R1437" s="232" t="inlineStr"/>
      <c r="S1437" s="234" t="n">
        <v>140</v>
      </c>
      <c r="T1437" s="232" t="inlineStr">
        <is>
          <t>CLP</t>
        </is>
      </c>
      <c r="U1437" s="232" t="inlineStr">
        <is>
          <t>Prorrateo Ha PACKING</t>
        </is>
      </c>
      <c r="V1437" s="232" t="inlineStr">
        <is>
          <t>2026-06-18</t>
        </is>
      </c>
    </row>
    <row r="1438">
      <c r="A1438" s="232" t="inlineStr">
        <is>
          <t>CR-1435</t>
        </is>
      </c>
      <c r="B1438" s="232" t="inlineStr">
        <is>
          <t>2026/27</t>
        </is>
      </c>
      <c r="C1438" s="233" t="n">
        <v>46043</v>
      </c>
      <c r="D1438" s="232" t="inlineStr">
        <is>
          <t>213465</t>
        </is>
      </c>
      <c r="E1438" s="232" t="inlineStr">
        <is>
          <t>PRORRATEO</t>
        </is>
      </c>
      <c r="F1438" s="232" t="inlineStr">
        <is>
          <t>Asmara</t>
        </is>
      </c>
      <c r="G1438" s="232" t="inlineStr">
        <is>
          <t>w. murcott 19,8 ha</t>
        </is>
      </c>
      <c r="H1438" s="232" t="inlineStr">
        <is>
          <t>Mandarina</t>
        </is>
      </c>
      <c r="I1438" s="232" t="inlineStr">
        <is>
          <t>W. murcott</t>
        </is>
      </c>
      <c r="J1438" s="232" t="inlineStr">
        <is>
          <t>MATERIALES COSECHA</t>
        </is>
      </c>
      <c r="K1438" s="232" t="inlineStr">
        <is>
          <t>INSUMOS PACKING</t>
        </is>
      </c>
      <c r="L1438" s="232" t="inlineStr">
        <is>
          <t>[PRORRATEO 13.4% 19.8há/148.3há] O/001281 VASO DESEC</t>
        </is>
      </c>
      <c r="M1438" s="232" t="inlineStr"/>
      <c r="N1438" s="232" t="inlineStr">
        <is>
          <t>.   .   -</t>
        </is>
      </c>
      <c r="O1438" s="232" t="inlineStr">
        <is>
          <t>ENERO</t>
        </is>
      </c>
      <c r="P1438" s="232" t="n">
        <v>3</v>
      </c>
      <c r="Q1438" s="234" t="n">
        <v>510</v>
      </c>
      <c r="R1438" s="232" t="inlineStr"/>
      <c r="S1438" s="234" t="n">
        <v>510</v>
      </c>
      <c r="T1438" s="232" t="inlineStr">
        <is>
          <t>CLP</t>
        </is>
      </c>
      <c r="U1438" s="232" t="inlineStr">
        <is>
          <t>Prorrateo Ha PACKING</t>
        </is>
      </c>
      <c r="V1438" s="232" t="inlineStr">
        <is>
          <t>2026-06-18</t>
        </is>
      </c>
    </row>
    <row r="1439">
      <c r="A1439" s="232" t="inlineStr">
        <is>
          <t>CR-1436</t>
        </is>
      </c>
      <c r="B1439" s="232" t="inlineStr">
        <is>
          <t>2026/27</t>
        </is>
      </c>
      <c r="C1439" s="233" t="n">
        <v>46043</v>
      </c>
      <c r="D1439" s="232" t="inlineStr">
        <is>
          <t>213465</t>
        </is>
      </c>
      <c r="E1439" s="232" t="inlineStr">
        <is>
          <t>PRORRATEO</t>
        </is>
      </c>
      <c r="F1439" s="232" t="inlineStr">
        <is>
          <t>Asmara</t>
        </is>
      </c>
      <c r="G1439" s="232" t="inlineStr">
        <is>
          <t>w. murcott 4,9 ha</t>
        </is>
      </c>
      <c r="H1439" s="232" t="inlineStr">
        <is>
          <t>Mandarina</t>
        </is>
      </c>
      <c r="I1439" s="232" t="inlineStr">
        <is>
          <t>W. murcott</t>
        </is>
      </c>
      <c r="J1439" s="232" t="inlineStr">
        <is>
          <t>MATERIALES COSECHA</t>
        </is>
      </c>
      <c r="K1439" s="232" t="inlineStr">
        <is>
          <t>INSUMOS PACKING</t>
        </is>
      </c>
      <c r="L1439" s="232" t="inlineStr">
        <is>
          <t>[PRORRATEO 3.3% 4.9há/148.3há] O/001281 VASO DESEC</t>
        </is>
      </c>
      <c r="M1439" s="232" t="inlineStr"/>
      <c r="N1439" s="232" t="inlineStr">
        <is>
          <t>.   .   -</t>
        </is>
      </c>
      <c r="O1439" s="232" t="inlineStr">
        <is>
          <t>ENERO</t>
        </is>
      </c>
      <c r="P1439" s="232" t="n">
        <v>3</v>
      </c>
      <c r="Q1439" s="234" t="n">
        <v>126</v>
      </c>
      <c r="R1439" s="232" t="inlineStr"/>
      <c r="S1439" s="234" t="n">
        <v>126</v>
      </c>
      <c r="T1439" s="232" t="inlineStr">
        <is>
          <t>CLP</t>
        </is>
      </c>
      <c r="U1439" s="232" t="inlineStr">
        <is>
          <t>Prorrateo Ha PACKING</t>
        </is>
      </c>
      <c r="V1439" s="232" t="inlineStr">
        <is>
          <t>2026-06-18</t>
        </is>
      </c>
    </row>
    <row r="1440">
      <c r="A1440" s="232" t="inlineStr">
        <is>
          <t>CR-1437</t>
        </is>
      </c>
      <c r="B1440" s="232" t="inlineStr">
        <is>
          <t>2026/27</t>
        </is>
      </c>
      <c r="C1440" s="233" t="n">
        <v>46043</v>
      </c>
      <c r="D1440" s="232" t="inlineStr">
        <is>
          <t>213465</t>
        </is>
      </c>
      <c r="E1440" s="232" t="inlineStr">
        <is>
          <t>PRORRATEO</t>
        </is>
      </c>
      <c r="F1440" s="232" t="inlineStr">
        <is>
          <t>El Molle</t>
        </is>
      </c>
      <c r="G1440" s="232" t="inlineStr">
        <is>
          <t>Wonderful 5,25 ha</t>
        </is>
      </c>
      <c r="H1440" s="232" t="inlineStr">
        <is>
          <t>Granados</t>
        </is>
      </c>
      <c r="I1440" s="232" t="inlineStr">
        <is>
          <t>Wonderfull</t>
        </is>
      </c>
      <c r="J1440" s="232" t="inlineStr">
        <is>
          <t>MATERIALES COSECHA</t>
        </is>
      </c>
      <c r="K1440" s="232" t="inlineStr">
        <is>
          <t>INSUMOS PACKING</t>
        </is>
      </c>
      <c r="L1440" s="232" t="inlineStr">
        <is>
          <t>[PRORRATEO 3.5% 5.24há/148.3há] O/001281 VASO DESEC</t>
        </is>
      </c>
      <c r="M1440" s="232" t="inlineStr"/>
      <c r="N1440" s="232" t="inlineStr">
        <is>
          <t>.   .   -</t>
        </is>
      </c>
      <c r="O1440" s="232" t="inlineStr">
        <is>
          <t>ENERO</t>
        </is>
      </c>
      <c r="P1440" s="232" t="n">
        <v>3</v>
      </c>
      <c r="Q1440" s="234" t="n">
        <v>135</v>
      </c>
      <c r="R1440" s="232" t="inlineStr"/>
      <c r="S1440" s="234" t="n">
        <v>135</v>
      </c>
      <c r="T1440" s="232" t="inlineStr">
        <is>
          <t>CLP</t>
        </is>
      </c>
      <c r="U1440" s="232" t="inlineStr">
        <is>
          <t>Prorrateo Ha PACKING</t>
        </is>
      </c>
      <c r="V1440" s="232" t="inlineStr">
        <is>
          <t>2026-06-18</t>
        </is>
      </c>
    </row>
    <row r="1441">
      <c r="A1441" s="232" t="inlineStr">
        <is>
          <t>CR-1438</t>
        </is>
      </c>
      <c r="B1441" s="232" t="inlineStr">
        <is>
          <t>2026/27</t>
        </is>
      </c>
      <c r="C1441" s="233" t="n">
        <v>46043</v>
      </c>
      <c r="D1441" s="232" t="inlineStr">
        <is>
          <t>213465</t>
        </is>
      </c>
      <c r="E1441" s="232" t="inlineStr">
        <is>
          <t>PRORRATEO</t>
        </is>
      </c>
      <c r="F1441" s="232" t="inlineStr">
        <is>
          <t>El Molle</t>
        </is>
      </c>
      <c r="G1441" s="232" t="inlineStr">
        <is>
          <t>arrufatinas 5,74 ha</t>
        </is>
      </c>
      <c r="H1441" s="232" t="inlineStr">
        <is>
          <t>Clementinas</t>
        </is>
      </c>
      <c r="I1441" s="232" t="inlineStr">
        <is>
          <t>Arrufatinas</t>
        </is>
      </c>
      <c r="J1441" s="232" t="inlineStr">
        <is>
          <t>MATERIALES COSECHA</t>
        </is>
      </c>
      <c r="K1441" s="232" t="inlineStr">
        <is>
          <t>INSUMOS PACKING</t>
        </is>
      </c>
      <c r="L1441" s="232" t="inlineStr">
        <is>
          <t>[PRORRATEO 3.9% 5.74há/148.3há] O/001281 VASO DESEC</t>
        </is>
      </c>
      <c r="M1441" s="232" t="inlineStr"/>
      <c r="N1441" s="232" t="inlineStr">
        <is>
          <t>.   .   -</t>
        </is>
      </c>
      <c r="O1441" s="232" t="inlineStr">
        <is>
          <t>ENERO</t>
        </is>
      </c>
      <c r="P1441" s="232" t="n">
        <v>3</v>
      </c>
      <c r="Q1441" s="234" t="n">
        <v>148</v>
      </c>
      <c r="R1441" s="232" t="inlineStr"/>
      <c r="S1441" s="234" t="n">
        <v>148</v>
      </c>
      <c r="T1441" s="232" t="inlineStr">
        <is>
          <t>CLP</t>
        </is>
      </c>
      <c r="U1441" s="232" t="inlineStr">
        <is>
          <t>Prorrateo Ha PACKING</t>
        </is>
      </c>
      <c r="V1441" s="232" t="inlineStr">
        <is>
          <t>2026-06-18</t>
        </is>
      </c>
    </row>
    <row r="1442">
      <c r="A1442" s="232" t="inlineStr">
        <is>
          <t>CR-1439</t>
        </is>
      </c>
      <c r="B1442" s="232" t="inlineStr">
        <is>
          <t>2026/27</t>
        </is>
      </c>
      <c r="C1442" s="233" t="n">
        <v>46043</v>
      </c>
      <c r="D1442" s="232" t="inlineStr">
        <is>
          <t>213465</t>
        </is>
      </c>
      <c r="E1442" s="232" t="inlineStr">
        <is>
          <t>PRORRATEO</t>
        </is>
      </c>
      <c r="F1442" s="232" t="inlineStr">
        <is>
          <t>El Molle</t>
        </is>
      </c>
      <c r="G1442" s="232" t="inlineStr">
        <is>
          <t>orogrande 8,11 ha</t>
        </is>
      </c>
      <c r="H1442" s="232" t="inlineStr">
        <is>
          <t>Clementinas</t>
        </is>
      </c>
      <c r="I1442" s="232" t="inlineStr">
        <is>
          <t>Orogrande</t>
        </is>
      </c>
      <c r="J1442" s="232" t="inlineStr">
        <is>
          <t>MATERIALES COSECHA</t>
        </is>
      </c>
      <c r="K1442" s="232" t="inlineStr">
        <is>
          <t>INSUMOS PACKING</t>
        </is>
      </c>
      <c r="L1442" s="232" t="inlineStr">
        <is>
          <t>[PRORRATEO 5.5% 8.11há/148.3há] O/001281 VASO DESEC</t>
        </is>
      </c>
      <c r="M1442" s="232" t="inlineStr"/>
      <c r="N1442" s="232" t="inlineStr">
        <is>
          <t>.   .   -</t>
        </is>
      </c>
      <c r="O1442" s="232" t="inlineStr">
        <is>
          <t>ENERO</t>
        </is>
      </c>
      <c r="P1442" s="232" t="n">
        <v>3</v>
      </c>
      <c r="Q1442" s="234" t="n">
        <v>209</v>
      </c>
      <c r="R1442" s="232" t="inlineStr"/>
      <c r="S1442" s="234" t="n">
        <v>209</v>
      </c>
      <c r="T1442" s="232" t="inlineStr">
        <is>
          <t>CLP</t>
        </is>
      </c>
      <c r="U1442" s="232" t="inlineStr">
        <is>
          <t>Prorrateo Ha PACKING</t>
        </is>
      </c>
      <c r="V1442" s="232" t="inlineStr">
        <is>
          <t>2026-06-18</t>
        </is>
      </c>
    </row>
    <row r="1443">
      <c r="A1443" s="232" t="inlineStr">
        <is>
          <t>CR-1440</t>
        </is>
      </c>
      <c r="B1443" s="232" t="inlineStr">
        <is>
          <t>2026/27</t>
        </is>
      </c>
      <c r="C1443" s="233" t="n">
        <v>46043</v>
      </c>
      <c r="D1443" s="232" t="inlineStr">
        <is>
          <t>213465</t>
        </is>
      </c>
      <c r="E1443" s="232" t="inlineStr">
        <is>
          <t>PRORRATEO</t>
        </is>
      </c>
      <c r="F1443" s="232" t="inlineStr">
        <is>
          <t>El Molle</t>
        </is>
      </c>
      <c r="G1443" s="232" t="inlineStr">
        <is>
          <t>oronules 5,35 ha</t>
        </is>
      </c>
      <c r="H1443" s="232" t="inlineStr">
        <is>
          <t>Clementinas</t>
        </is>
      </c>
      <c r="I1443" s="232" t="inlineStr">
        <is>
          <t>Oronules</t>
        </is>
      </c>
      <c r="J1443" s="232" t="inlineStr">
        <is>
          <t>MATERIALES COSECHA</t>
        </is>
      </c>
      <c r="K1443" s="232" t="inlineStr">
        <is>
          <t>INSUMOS PACKING</t>
        </is>
      </c>
      <c r="L1443" s="232" t="inlineStr">
        <is>
          <t>[PRORRATEO 3.6% 5.35há/148.3há] O/001281 VASO DESEC</t>
        </is>
      </c>
      <c r="M1443" s="232" t="inlineStr"/>
      <c r="N1443" s="232" t="inlineStr">
        <is>
          <t>.   .   -</t>
        </is>
      </c>
      <c r="O1443" s="232" t="inlineStr">
        <is>
          <t>ENERO</t>
        </is>
      </c>
      <c r="P1443" s="232" t="n">
        <v>3</v>
      </c>
      <c r="Q1443" s="234" t="n">
        <v>138</v>
      </c>
      <c r="R1443" s="232" t="inlineStr"/>
      <c r="S1443" s="234" t="n">
        <v>138</v>
      </c>
      <c r="T1443" s="232" t="inlineStr">
        <is>
          <t>CLP</t>
        </is>
      </c>
      <c r="U1443" s="232" t="inlineStr">
        <is>
          <t>Prorrateo Ha PACKING</t>
        </is>
      </c>
      <c r="V1443" s="232" t="inlineStr">
        <is>
          <t>2026-06-18</t>
        </is>
      </c>
    </row>
    <row r="1444">
      <c r="A1444" s="232" t="inlineStr">
        <is>
          <t>CR-1441</t>
        </is>
      </c>
      <c r="B1444" s="232" t="inlineStr">
        <is>
          <t>2026/27</t>
        </is>
      </c>
      <c r="C1444" s="233" t="n">
        <v>46043</v>
      </c>
      <c r="D1444" s="232" t="inlineStr">
        <is>
          <t>213465</t>
        </is>
      </c>
      <c r="E1444" s="232" t="inlineStr">
        <is>
          <t>PRORRATEO</t>
        </is>
      </c>
      <c r="F1444" s="232" t="inlineStr">
        <is>
          <t>Santa Catalina</t>
        </is>
      </c>
      <c r="G1444" s="232" t="inlineStr">
        <is>
          <t>Fino 49 7,7 ha</t>
        </is>
      </c>
      <c r="H1444" s="232" t="inlineStr">
        <is>
          <t>Limon</t>
        </is>
      </c>
      <c r="I1444" s="232" t="inlineStr">
        <is>
          <t>Fino 49</t>
        </is>
      </c>
      <c r="J1444" s="232" t="inlineStr">
        <is>
          <t>MATERIALES COSECHA</t>
        </is>
      </c>
      <c r="K1444" s="232" t="inlineStr">
        <is>
          <t>INSUMOS PACKING</t>
        </is>
      </c>
      <c r="L1444" s="232" t="inlineStr">
        <is>
          <t>[PRORRATEO 5.2% 7.7há/148.3há] O/001281 VASO DESEC</t>
        </is>
      </c>
      <c r="M1444" s="232" t="inlineStr"/>
      <c r="N1444" s="232" t="inlineStr">
        <is>
          <t>.   .   -</t>
        </is>
      </c>
      <c r="O1444" s="232" t="inlineStr">
        <is>
          <t>ENERO</t>
        </is>
      </c>
      <c r="P1444" s="232" t="n">
        <v>3</v>
      </c>
      <c r="Q1444" s="234" t="n">
        <v>198</v>
      </c>
      <c r="R1444" s="232" t="inlineStr"/>
      <c r="S1444" s="234" t="n">
        <v>198</v>
      </c>
      <c r="T1444" s="232" t="inlineStr">
        <is>
          <t>CLP</t>
        </is>
      </c>
      <c r="U1444" s="232" t="inlineStr">
        <is>
          <t>Prorrateo Ha PACKING</t>
        </is>
      </c>
      <c r="V1444" s="232" t="inlineStr">
        <is>
          <t>2026-06-18</t>
        </is>
      </c>
    </row>
    <row r="1445">
      <c r="A1445" s="232" t="inlineStr">
        <is>
          <t>CR-1442</t>
        </is>
      </c>
      <c r="B1445" s="232" t="inlineStr">
        <is>
          <t>2026/27</t>
        </is>
      </c>
      <c r="C1445" s="233" t="n">
        <v>46043</v>
      </c>
      <c r="D1445" s="232" t="inlineStr">
        <is>
          <t>213465</t>
        </is>
      </c>
      <c r="E1445" s="232" t="inlineStr">
        <is>
          <t>PRORRATEO</t>
        </is>
      </c>
      <c r="F1445" s="232" t="inlineStr">
        <is>
          <t>Santa Catalina</t>
        </is>
      </c>
      <c r="G1445" s="232" t="inlineStr">
        <is>
          <t>W. murcott 21 ha</t>
        </is>
      </c>
      <c r="H1445" s="232" t="inlineStr">
        <is>
          <t>Mandarina</t>
        </is>
      </c>
      <c r="I1445" s="232" t="inlineStr">
        <is>
          <t>W. murcott</t>
        </is>
      </c>
      <c r="J1445" s="232" t="inlineStr">
        <is>
          <t>MATERIALES COSECHA</t>
        </is>
      </c>
      <c r="K1445" s="232" t="inlineStr">
        <is>
          <t>INSUMOS PACKING</t>
        </is>
      </c>
      <c r="L1445" s="232" t="inlineStr">
        <is>
          <t>[PRORRATEO 14.2% 21.0há/148.3há] O/001281 VASO DESEC</t>
        </is>
      </c>
      <c r="M1445" s="232" t="inlineStr"/>
      <c r="N1445" s="232" t="inlineStr">
        <is>
          <t>.   .   -</t>
        </is>
      </c>
      <c r="O1445" s="232" t="inlineStr">
        <is>
          <t>ENERO</t>
        </is>
      </c>
      <c r="P1445" s="232" t="n">
        <v>3</v>
      </c>
      <c r="Q1445" s="234" t="n">
        <v>541</v>
      </c>
      <c r="R1445" s="232" t="inlineStr"/>
      <c r="S1445" s="234" t="n">
        <v>541</v>
      </c>
      <c r="T1445" s="232" t="inlineStr">
        <is>
          <t>CLP</t>
        </is>
      </c>
      <c r="U1445" s="232" t="inlineStr">
        <is>
          <t>Prorrateo Ha PACKING</t>
        </is>
      </c>
      <c r="V1445" s="232" t="inlineStr">
        <is>
          <t>2026-06-18</t>
        </is>
      </c>
    </row>
    <row r="1446">
      <c r="A1446" s="232" t="inlineStr">
        <is>
          <t>CR-1443</t>
        </is>
      </c>
      <c r="B1446" s="232" t="inlineStr">
        <is>
          <t>2026/27</t>
        </is>
      </c>
      <c r="C1446" s="233" t="n">
        <v>46043</v>
      </c>
      <c r="D1446" s="232" t="inlineStr">
        <is>
          <t>213465</t>
        </is>
      </c>
      <c r="E1446" s="232" t="inlineStr">
        <is>
          <t>PRORRATEO</t>
        </is>
      </c>
      <c r="F1446" s="232" t="inlineStr">
        <is>
          <t>Santa Catalina</t>
        </is>
      </c>
      <c r="G1446" s="232" t="inlineStr">
        <is>
          <t>cambria 4,2 ha</t>
        </is>
      </c>
      <c r="H1446" s="232" t="inlineStr">
        <is>
          <t>Naranjas</t>
        </is>
      </c>
      <c r="I1446" s="232" t="inlineStr">
        <is>
          <t>Cambria</t>
        </is>
      </c>
      <c r="J1446" s="232" t="inlineStr">
        <is>
          <t>MATERIALES COSECHA</t>
        </is>
      </c>
      <c r="K1446" s="232" t="inlineStr">
        <is>
          <t>INSUMOS PACKING</t>
        </is>
      </c>
      <c r="L1446" s="232" t="inlineStr">
        <is>
          <t>[PRORRATEO 2.8% 4.2há/148.3há] O/001281 VASO DESEC</t>
        </is>
      </c>
      <c r="M1446" s="232" t="inlineStr"/>
      <c r="N1446" s="232" t="inlineStr">
        <is>
          <t>.   .   -</t>
        </is>
      </c>
      <c r="O1446" s="232" t="inlineStr">
        <is>
          <t>ENERO</t>
        </is>
      </c>
      <c r="P1446" s="232" t="n">
        <v>3</v>
      </c>
      <c r="Q1446" s="234" t="n">
        <v>108</v>
      </c>
      <c r="R1446" s="232" t="inlineStr"/>
      <c r="S1446" s="234" t="n">
        <v>108</v>
      </c>
      <c r="T1446" s="232" t="inlineStr">
        <is>
          <t>CLP</t>
        </is>
      </c>
      <c r="U1446" s="232" t="inlineStr">
        <is>
          <t>Prorrateo Ha PACKING</t>
        </is>
      </c>
      <c r="V1446" s="232" t="inlineStr">
        <is>
          <t>2026-06-18</t>
        </is>
      </c>
    </row>
    <row r="1447">
      <c r="A1447" s="232" t="inlineStr">
        <is>
          <t>CR-1444</t>
        </is>
      </c>
      <c r="B1447" s="232" t="inlineStr">
        <is>
          <t>2026/27</t>
        </is>
      </c>
      <c r="C1447" s="233" t="n">
        <v>46043</v>
      </c>
      <c r="D1447" s="232" t="inlineStr">
        <is>
          <t>213465</t>
        </is>
      </c>
      <c r="E1447" s="232" t="inlineStr">
        <is>
          <t>PRORRATEO</t>
        </is>
      </c>
      <c r="F1447" s="232" t="inlineStr">
        <is>
          <t>Santa Catalina</t>
        </is>
      </c>
      <c r="G1447" s="232" t="inlineStr">
        <is>
          <t>eureka 10,6 ha</t>
        </is>
      </c>
      <c r="H1447" s="232" t="inlineStr">
        <is>
          <t>Limon</t>
        </is>
      </c>
      <c r="I1447" s="232" t="inlineStr">
        <is>
          <t>Eureka</t>
        </is>
      </c>
      <c r="J1447" s="232" t="inlineStr">
        <is>
          <t>MATERIALES COSECHA</t>
        </is>
      </c>
      <c r="K1447" s="232" t="inlineStr">
        <is>
          <t>INSUMOS PACKING</t>
        </is>
      </c>
      <c r="L1447" s="232" t="inlineStr">
        <is>
          <t>[PRORRATEO 7.1% 10.6há/148.3há] O/001281 VASO DESEC</t>
        </is>
      </c>
      <c r="M1447" s="232" t="inlineStr"/>
      <c r="N1447" s="232" t="inlineStr">
        <is>
          <t>.   .   -</t>
        </is>
      </c>
      <c r="O1447" s="232" t="inlineStr">
        <is>
          <t>ENERO</t>
        </is>
      </c>
      <c r="P1447" s="232" t="n">
        <v>3</v>
      </c>
      <c r="Q1447" s="234" t="n">
        <v>273</v>
      </c>
      <c r="R1447" s="232" t="inlineStr"/>
      <c r="S1447" s="234" t="n">
        <v>273</v>
      </c>
      <c r="T1447" s="232" t="inlineStr">
        <is>
          <t>CLP</t>
        </is>
      </c>
      <c r="U1447" s="232" t="inlineStr">
        <is>
          <t>Prorrateo Ha PACKING</t>
        </is>
      </c>
      <c r="V1447" s="232" t="inlineStr">
        <is>
          <t>2026-06-18</t>
        </is>
      </c>
    </row>
    <row r="1448">
      <c r="A1448" s="232" t="inlineStr">
        <is>
          <t>CR-1445</t>
        </is>
      </c>
      <c r="B1448" s="232" t="inlineStr">
        <is>
          <t>2026/27</t>
        </is>
      </c>
      <c r="C1448" s="233" t="n">
        <v>46043</v>
      </c>
      <c r="D1448" s="232" t="inlineStr">
        <is>
          <t>213465</t>
        </is>
      </c>
      <c r="E1448" s="232" t="inlineStr">
        <is>
          <t>PRORRATEO</t>
        </is>
      </c>
      <c r="F1448" s="232" t="inlineStr">
        <is>
          <t>Santa Catalina</t>
        </is>
      </c>
      <c r="G1448" s="232" t="inlineStr">
        <is>
          <t>eureka 14,4 ha</t>
        </is>
      </c>
      <c r="H1448" s="232" t="inlineStr">
        <is>
          <t>Limon</t>
        </is>
      </c>
      <c r="I1448" s="232" t="inlineStr">
        <is>
          <t>Eureka</t>
        </is>
      </c>
      <c r="J1448" s="232" t="inlineStr">
        <is>
          <t>MATERIALES COSECHA</t>
        </is>
      </c>
      <c r="K1448" s="232" t="inlineStr">
        <is>
          <t>INSUMOS PACKING</t>
        </is>
      </c>
      <c r="L1448" s="232" t="inlineStr">
        <is>
          <t>[PRORRATEO 9.7% 14.4há/148.3há] O/001281 VASO DESEC</t>
        </is>
      </c>
      <c r="M1448" s="232" t="inlineStr"/>
      <c r="N1448" s="232" t="inlineStr">
        <is>
          <t>.   .   -</t>
        </is>
      </c>
      <c r="O1448" s="232" t="inlineStr">
        <is>
          <t>ENERO</t>
        </is>
      </c>
      <c r="P1448" s="232" t="n">
        <v>3</v>
      </c>
      <c r="Q1448" s="234" t="n">
        <v>371</v>
      </c>
      <c r="R1448" s="232" t="inlineStr"/>
      <c r="S1448" s="234" t="n">
        <v>371</v>
      </c>
      <c r="T1448" s="232" t="inlineStr">
        <is>
          <t>CLP</t>
        </is>
      </c>
      <c r="U1448" s="232" t="inlineStr">
        <is>
          <t>Prorrateo Ha PACKING</t>
        </is>
      </c>
      <c r="V1448" s="232" t="inlineStr">
        <is>
          <t>2026-06-18</t>
        </is>
      </c>
    </row>
    <row r="1449">
      <c r="A1449" s="232" t="inlineStr">
        <is>
          <t>CR-1446</t>
        </is>
      </c>
      <c r="B1449" s="232" t="inlineStr">
        <is>
          <t>2026/27</t>
        </is>
      </c>
      <c r="C1449" s="233" t="n">
        <v>46043</v>
      </c>
      <c r="D1449" s="232" t="inlineStr">
        <is>
          <t>213465</t>
        </is>
      </c>
      <c r="E1449" s="232" t="inlineStr">
        <is>
          <t>PRORRATEO</t>
        </is>
      </c>
      <c r="F1449" s="232" t="inlineStr">
        <is>
          <t>Santa Catalina</t>
        </is>
      </c>
      <c r="G1449" s="232" t="inlineStr">
        <is>
          <t>eureka 22,55</t>
        </is>
      </c>
      <c r="H1449" s="232" t="inlineStr">
        <is>
          <t>Limon</t>
        </is>
      </c>
      <c r="I1449" s="232" t="inlineStr">
        <is>
          <t>Eureka</t>
        </is>
      </c>
      <c r="J1449" s="232" t="inlineStr">
        <is>
          <t>MATERIALES COSECHA</t>
        </is>
      </c>
      <c r="K1449" s="232" t="inlineStr">
        <is>
          <t>INSUMOS PACKING</t>
        </is>
      </c>
      <c r="L1449" s="232" t="inlineStr">
        <is>
          <t>[PRORRATEO 15.2% 22.55há/148.3há] O/001281 VASO DESEC</t>
        </is>
      </c>
      <c r="M1449" s="232" t="inlineStr"/>
      <c r="N1449" s="232" t="inlineStr">
        <is>
          <t>.   .   -</t>
        </is>
      </c>
      <c r="O1449" s="232" t="inlineStr">
        <is>
          <t>ENERO</t>
        </is>
      </c>
      <c r="P1449" s="232" t="n">
        <v>3</v>
      </c>
      <c r="Q1449" s="234" t="n">
        <v>580</v>
      </c>
      <c r="R1449" s="232" t="inlineStr"/>
      <c r="S1449" s="234" t="n">
        <v>580</v>
      </c>
      <c r="T1449" s="232" t="inlineStr">
        <is>
          <t>CLP</t>
        </is>
      </c>
      <c r="U1449" s="232" t="inlineStr">
        <is>
          <t>Prorrateo Ha PACKING</t>
        </is>
      </c>
      <c r="V1449" s="232" t="inlineStr">
        <is>
          <t>2026-06-18</t>
        </is>
      </c>
    </row>
    <row r="1450">
      <c r="A1450" s="232" t="inlineStr">
        <is>
          <t>CR-1447</t>
        </is>
      </c>
      <c r="B1450" s="232" t="inlineStr">
        <is>
          <t>2026/27</t>
        </is>
      </c>
      <c r="C1450" s="233" t="n">
        <v>46043</v>
      </c>
      <c r="D1450" s="232" t="inlineStr">
        <is>
          <t>213465</t>
        </is>
      </c>
      <c r="E1450" s="232" t="inlineStr">
        <is>
          <t>PRORRATEO</t>
        </is>
      </c>
      <c r="F1450" s="232" t="inlineStr">
        <is>
          <t>Santa Catalina</t>
        </is>
      </c>
      <c r="G1450" s="232" t="inlineStr">
        <is>
          <t>form benjamin 1,93 ha</t>
        </is>
      </c>
      <c r="H1450" s="232" t="inlineStr">
        <is>
          <t>Limon</t>
        </is>
      </c>
      <c r="I1450" s="232" t="inlineStr">
        <is>
          <t>Benjamin andes</t>
        </is>
      </c>
      <c r="J1450" s="232" t="inlineStr">
        <is>
          <t>MATERIALES COSECHA</t>
        </is>
      </c>
      <c r="K1450" s="232" t="inlineStr">
        <is>
          <t>INSUMOS PACKING</t>
        </is>
      </c>
      <c r="L1450" s="232" t="inlineStr">
        <is>
          <t>[PRORRATEO 1.3% 1.93há/148.3há] O/001281 VASO DESEC</t>
        </is>
      </c>
      <c r="M1450" s="232" t="inlineStr"/>
      <c r="N1450" s="232" t="inlineStr">
        <is>
          <t>.   .   -</t>
        </is>
      </c>
      <c r="O1450" s="232" t="inlineStr">
        <is>
          <t>ENERO</t>
        </is>
      </c>
      <c r="P1450" s="232" t="n">
        <v>3</v>
      </c>
      <c r="Q1450" s="234" t="n">
        <v>50</v>
      </c>
      <c r="R1450" s="232" t="inlineStr"/>
      <c r="S1450" s="234" t="n">
        <v>50</v>
      </c>
      <c r="T1450" s="232" t="inlineStr">
        <is>
          <t>CLP</t>
        </is>
      </c>
      <c r="U1450" s="232" t="inlineStr">
        <is>
          <t>Prorrateo Ha PACKING</t>
        </is>
      </c>
      <c r="V1450" s="232" t="inlineStr">
        <is>
          <t>2026-06-18</t>
        </is>
      </c>
    </row>
    <row r="1451">
      <c r="A1451" s="232" t="inlineStr">
        <is>
          <t>CR-1448</t>
        </is>
      </c>
      <c r="B1451" s="232" t="inlineStr">
        <is>
          <t>2026/27</t>
        </is>
      </c>
      <c r="C1451" s="233" t="n">
        <v>46043</v>
      </c>
      <c r="D1451" s="232" t="inlineStr">
        <is>
          <t>213465</t>
        </is>
      </c>
      <c r="E1451" s="232" t="inlineStr">
        <is>
          <t>PRORRATEO</t>
        </is>
      </c>
      <c r="F1451" s="232" t="inlineStr">
        <is>
          <t>Santa Catalina</t>
        </is>
      </c>
      <c r="G1451" s="232" t="inlineStr">
        <is>
          <t>mant eureka 2,5 ha</t>
        </is>
      </c>
      <c r="H1451" s="232" t="inlineStr">
        <is>
          <t>Limon</t>
        </is>
      </c>
      <c r="I1451" s="232" t="inlineStr">
        <is>
          <t>Eureka</t>
        </is>
      </c>
      <c r="J1451" s="232" t="inlineStr">
        <is>
          <t>MATERIALES COSECHA</t>
        </is>
      </c>
      <c r="K1451" s="232" t="inlineStr">
        <is>
          <t>INSUMOS PACKING</t>
        </is>
      </c>
      <c r="L1451" s="232" t="inlineStr">
        <is>
          <t>[PRORRATEO 1.7% 2.5há/148.3há] O/001281 VASO DESEC</t>
        </is>
      </c>
      <c r="M1451" s="232" t="inlineStr"/>
      <c r="N1451" s="232" t="inlineStr">
        <is>
          <t>.   .   -</t>
        </is>
      </c>
      <c r="O1451" s="232" t="inlineStr">
        <is>
          <t>ENERO</t>
        </is>
      </c>
      <c r="P1451" s="232" t="n">
        <v>3</v>
      </c>
      <c r="Q1451" s="234" t="n">
        <v>64</v>
      </c>
      <c r="R1451" s="232" t="inlineStr"/>
      <c r="S1451" s="234" t="n">
        <v>64</v>
      </c>
      <c r="T1451" s="232" t="inlineStr">
        <is>
          <t>CLP</t>
        </is>
      </c>
      <c r="U1451" s="232" t="inlineStr">
        <is>
          <t>Prorrateo Ha PACKING</t>
        </is>
      </c>
      <c r="V1451" s="232" t="inlineStr">
        <is>
          <t>2026-06-18</t>
        </is>
      </c>
    </row>
    <row r="1452">
      <c r="A1452" s="232" t="inlineStr">
        <is>
          <t>CR-1449</t>
        </is>
      </c>
      <c r="B1452" s="232" t="inlineStr">
        <is>
          <t>2026/27</t>
        </is>
      </c>
      <c r="C1452" s="233" t="n">
        <v>46043</v>
      </c>
      <c r="D1452" s="232" t="inlineStr">
        <is>
          <t>213465</t>
        </is>
      </c>
      <c r="E1452" s="232" t="inlineStr">
        <is>
          <t>PRORRATEO</t>
        </is>
      </c>
      <c r="F1452" s="232" t="inlineStr">
        <is>
          <t>Siberia</t>
        </is>
      </c>
      <c r="G1452" s="232" t="inlineStr">
        <is>
          <t>S. Celebration 7,14</t>
        </is>
      </c>
      <c r="H1452" s="232" t="inlineStr">
        <is>
          <t>Uvas</t>
        </is>
      </c>
      <c r="I1452" s="232" t="inlineStr">
        <is>
          <t>S. celebration</t>
        </is>
      </c>
      <c r="J1452" s="232" t="inlineStr">
        <is>
          <t>MATERIALES COSECHA</t>
        </is>
      </c>
      <c r="K1452" s="232" t="inlineStr">
        <is>
          <t>INSUMOS PACKING</t>
        </is>
      </c>
      <c r="L1452" s="232" t="inlineStr">
        <is>
          <t>[PRORRATEO 4.8% 7.14há/148.3há] O/001281 VASO DESEC</t>
        </is>
      </c>
      <c r="M1452" s="232" t="inlineStr"/>
      <c r="N1452" s="232" t="inlineStr">
        <is>
          <t>.   .   -</t>
        </is>
      </c>
      <c r="O1452" s="232" t="inlineStr">
        <is>
          <t>ENERO</t>
        </is>
      </c>
      <c r="P1452" s="232" t="n">
        <v>3</v>
      </c>
      <c r="Q1452" s="234" t="n">
        <v>184</v>
      </c>
      <c r="R1452" s="232" t="inlineStr"/>
      <c r="S1452" s="234" t="n">
        <v>184</v>
      </c>
      <c r="T1452" s="232" t="inlineStr">
        <is>
          <t>CLP</t>
        </is>
      </c>
      <c r="U1452" s="232" t="inlineStr">
        <is>
          <t>Prorrateo Ha PACKING</t>
        </is>
      </c>
      <c r="V1452" s="232" t="inlineStr">
        <is>
          <t>2026-06-18</t>
        </is>
      </c>
    </row>
    <row r="1453">
      <c r="A1453" s="232" t="inlineStr">
        <is>
          <t>CR-1450</t>
        </is>
      </c>
      <c r="B1453" s="232" t="inlineStr">
        <is>
          <t>2026/27</t>
        </is>
      </c>
      <c r="C1453" s="233" t="n">
        <v>46043</v>
      </c>
      <c r="D1453" s="232" t="inlineStr">
        <is>
          <t>213465</t>
        </is>
      </c>
      <c r="E1453" s="232" t="inlineStr">
        <is>
          <t>PRORRATEO</t>
        </is>
      </c>
      <c r="F1453" s="232" t="inlineStr">
        <is>
          <t>Siberia</t>
        </is>
      </c>
      <c r="G1453" s="232" t="inlineStr">
        <is>
          <t>Timpson 7,1</t>
        </is>
      </c>
      <c r="H1453" s="232" t="inlineStr">
        <is>
          <t>Uvas</t>
        </is>
      </c>
      <c r="I1453" s="232" t="inlineStr">
        <is>
          <t>Timpson</t>
        </is>
      </c>
      <c r="J1453" s="232" t="inlineStr">
        <is>
          <t>MATERIALES COSECHA</t>
        </is>
      </c>
      <c r="K1453" s="232" t="inlineStr">
        <is>
          <t>INSUMOS PACKING</t>
        </is>
      </c>
      <c r="L1453" s="232" t="inlineStr">
        <is>
          <t>[PRORRATEO 4.8% 7.1há/148.3há] O/001281 VASO DESEC</t>
        </is>
      </c>
      <c r="M1453" s="232" t="inlineStr"/>
      <c r="N1453" s="232" t="inlineStr">
        <is>
          <t>.   .   -</t>
        </is>
      </c>
      <c r="O1453" s="232" t="inlineStr">
        <is>
          <t>ENERO</t>
        </is>
      </c>
      <c r="P1453" s="232" t="n">
        <v>3</v>
      </c>
      <c r="Q1453" s="234" t="n">
        <v>183</v>
      </c>
      <c r="R1453" s="232" t="inlineStr"/>
      <c r="S1453" s="234" t="n">
        <v>183</v>
      </c>
      <c r="T1453" s="232" t="inlineStr">
        <is>
          <t>CLP</t>
        </is>
      </c>
      <c r="U1453" s="232" t="inlineStr">
        <is>
          <t>Prorrateo Ha PACKING</t>
        </is>
      </c>
      <c r="V1453" s="232" t="inlineStr">
        <is>
          <t>2026-06-18</t>
        </is>
      </c>
    </row>
    <row r="1454">
      <c r="A1454" s="232" t="inlineStr">
        <is>
          <t>CR-1451</t>
        </is>
      </c>
      <c r="B1454" s="232" t="inlineStr">
        <is>
          <t>2026/27</t>
        </is>
      </c>
      <c r="C1454" s="233" t="n">
        <v>46044</v>
      </c>
      <c r="D1454" s="232" t="inlineStr">
        <is>
          <t>888488</t>
        </is>
      </c>
      <c r="E1454" s="232" t="inlineStr">
        <is>
          <t>PRORRATEO</t>
        </is>
      </c>
      <c r="F1454" s="232" t="inlineStr">
        <is>
          <t>Asmara</t>
        </is>
      </c>
      <c r="G1454" s="232" t="inlineStr">
        <is>
          <t>w. murcott 19,8 ha</t>
        </is>
      </c>
      <c r="H1454" s="232" t="inlineStr">
        <is>
          <t>Mandarina</t>
        </is>
      </c>
      <c r="I1454" s="232" t="inlineStr">
        <is>
          <t>W. murcott</t>
        </is>
      </c>
      <c r="J1454" s="232" t="inlineStr">
        <is>
          <t>UNIFORME Y EPP</t>
        </is>
      </c>
      <c r="K1454" s="232" t="inlineStr">
        <is>
          <t>EPP</t>
        </is>
      </c>
      <c r="L1454" s="232" t="inlineStr">
        <is>
          <t>[PRORRATEO 13.4% 19.8há/148.3há] O/001282 LENTE DE P</t>
        </is>
      </c>
      <c r="M1454" s="232" t="inlineStr"/>
      <c r="N1454" s="232" t="inlineStr">
        <is>
          <t>.   .   -</t>
        </is>
      </c>
      <c r="O1454" s="232" t="inlineStr">
        <is>
          <t>ENERO</t>
        </is>
      </c>
      <c r="P1454" s="232" t="n">
        <v>4</v>
      </c>
      <c r="Q1454" s="234" t="n">
        <v>2083</v>
      </c>
      <c r="R1454" s="232" t="inlineStr"/>
      <c r="S1454" s="234" t="n">
        <v>2083</v>
      </c>
      <c r="T1454" s="232" t="inlineStr">
        <is>
          <t>CLP</t>
        </is>
      </c>
      <c r="U1454" s="232" t="inlineStr">
        <is>
          <t>Prorrateo Ha PACKING</t>
        </is>
      </c>
      <c r="V1454" s="232" t="inlineStr">
        <is>
          <t>2026-06-18</t>
        </is>
      </c>
    </row>
    <row r="1455">
      <c r="A1455" s="232" t="inlineStr">
        <is>
          <t>CR-1452</t>
        </is>
      </c>
      <c r="B1455" s="232" t="inlineStr">
        <is>
          <t>2026/27</t>
        </is>
      </c>
      <c r="C1455" s="233" t="n">
        <v>46044</v>
      </c>
      <c r="D1455" s="232" t="inlineStr">
        <is>
          <t>888488</t>
        </is>
      </c>
      <c r="E1455" s="232" t="inlineStr">
        <is>
          <t>PRORRATEO</t>
        </is>
      </c>
      <c r="F1455" s="232" t="inlineStr">
        <is>
          <t>Asmara</t>
        </is>
      </c>
      <c r="G1455" s="232" t="inlineStr">
        <is>
          <t>w. murcott 4,9 ha</t>
        </is>
      </c>
      <c r="H1455" s="232" t="inlineStr">
        <is>
          <t>Mandarina</t>
        </is>
      </c>
      <c r="I1455" s="232" t="inlineStr">
        <is>
          <t>W. murcott</t>
        </is>
      </c>
      <c r="J1455" s="232" t="inlineStr">
        <is>
          <t>UNIFORME Y EPP</t>
        </is>
      </c>
      <c r="K1455" s="232" t="inlineStr">
        <is>
          <t>EPP</t>
        </is>
      </c>
      <c r="L1455" s="232" t="inlineStr">
        <is>
          <t>[PRORRATEO 3.3% 4.9há/148.3há] O/001282 LENTE DE P</t>
        </is>
      </c>
      <c r="M1455" s="232" t="inlineStr"/>
      <c r="N1455" s="232" t="inlineStr">
        <is>
          <t>.   .   -</t>
        </is>
      </c>
      <c r="O1455" s="232" t="inlineStr">
        <is>
          <t>ENERO</t>
        </is>
      </c>
      <c r="P1455" s="232" t="n">
        <v>4</v>
      </c>
      <c r="Q1455" s="234" t="n">
        <v>516</v>
      </c>
      <c r="R1455" s="232" t="inlineStr"/>
      <c r="S1455" s="234" t="n">
        <v>516</v>
      </c>
      <c r="T1455" s="232" t="inlineStr">
        <is>
          <t>CLP</t>
        </is>
      </c>
      <c r="U1455" s="232" t="inlineStr">
        <is>
          <t>Prorrateo Ha PACKING</t>
        </is>
      </c>
      <c r="V1455" s="232" t="inlineStr">
        <is>
          <t>2026-06-18</t>
        </is>
      </c>
    </row>
    <row r="1456">
      <c r="A1456" s="232" t="inlineStr">
        <is>
          <t>CR-1453</t>
        </is>
      </c>
      <c r="B1456" s="232" t="inlineStr">
        <is>
          <t>2026/27</t>
        </is>
      </c>
      <c r="C1456" s="233" t="n">
        <v>46044</v>
      </c>
      <c r="D1456" s="232" t="inlineStr">
        <is>
          <t>888488</t>
        </is>
      </c>
      <c r="E1456" s="232" t="inlineStr">
        <is>
          <t>PRORRATEO</t>
        </is>
      </c>
      <c r="F1456" s="232" t="inlineStr">
        <is>
          <t>El Molle</t>
        </is>
      </c>
      <c r="G1456" s="232" t="inlineStr">
        <is>
          <t>Wonderful 5,25 ha</t>
        </is>
      </c>
      <c r="H1456" s="232" t="inlineStr">
        <is>
          <t>Granados</t>
        </is>
      </c>
      <c r="I1456" s="232" t="inlineStr">
        <is>
          <t>Wonderfull</t>
        </is>
      </c>
      <c r="J1456" s="232" t="inlineStr">
        <is>
          <t>UNIFORME Y EPP</t>
        </is>
      </c>
      <c r="K1456" s="232" t="inlineStr">
        <is>
          <t>EPP</t>
        </is>
      </c>
      <c r="L1456" s="232" t="inlineStr">
        <is>
          <t>[PRORRATEO 3.5% 5.24há/148.3há] O/001282 LENTE DE P</t>
        </is>
      </c>
      <c r="M1456" s="232" t="inlineStr"/>
      <c r="N1456" s="232" t="inlineStr">
        <is>
          <t>.   .   -</t>
        </is>
      </c>
      <c r="O1456" s="232" t="inlineStr">
        <is>
          <t>ENERO</t>
        </is>
      </c>
      <c r="P1456" s="232" t="n">
        <v>4</v>
      </c>
      <c r="Q1456" s="234" t="n">
        <v>551</v>
      </c>
      <c r="R1456" s="232" t="inlineStr"/>
      <c r="S1456" s="234" t="n">
        <v>551</v>
      </c>
      <c r="T1456" s="232" t="inlineStr">
        <is>
          <t>CLP</t>
        </is>
      </c>
      <c r="U1456" s="232" t="inlineStr">
        <is>
          <t>Prorrateo Ha PACKING</t>
        </is>
      </c>
      <c r="V1456" s="232" t="inlineStr">
        <is>
          <t>2026-06-18</t>
        </is>
      </c>
    </row>
    <row r="1457">
      <c r="A1457" s="232" t="inlineStr">
        <is>
          <t>CR-1454</t>
        </is>
      </c>
      <c r="B1457" s="232" t="inlineStr">
        <is>
          <t>2026/27</t>
        </is>
      </c>
      <c r="C1457" s="233" t="n">
        <v>46044</v>
      </c>
      <c r="D1457" s="232" t="inlineStr">
        <is>
          <t>888488</t>
        </is>
      </c>
      <c r="E1457" s="232" t="inlineStr">
        <is>
          <t>PRORRATEO</t>
        </is>
      </c>
      <c r="F1457" s="232" t="inlineStr">
        <is>
          <t>El Molle</t>
        </is>
      </c>
      <c r="G1457" s="232" t="inlineStr">
        <is>
          <t>arrufatinas 5,74 ha</t>
        </is>
      </c>
      <c r="H1457" s="232" t="inlineStr">
        <is>
          <t>Clementinas</t>
        </is>
      </c>
      <c r="I1457" s="232" t="inlineStr">
        <is>
          <t>Arrufatinas</t>
        </is>
      </c>
      <c r="J1457" s="232" t="inlineStr">
        <is>
          <t>UNIFORME Y EPP</t>
        </is>
      </c>
      <c r="K1457" s="232" t="inlineStr">
        <is>
          <t>EPP</t>
        </is>
      </c>
      <c r="L1457" s="232" t="inlineStr">
        <is>
          <t>[PRORRATEO 3.9% 5.74há/148.3há] O/001282 LENTE DE P</t>
        </is>
      </c>
      <c r="M1457" s="232" t="inlineStr"/>
      <c r="N1457" s="232" t="inlineStr">
        <is>
          <t>.   .   -</t>
        </is>
      </c>
      <c r="O1457" s="232" t="inlineStr">
        <is>
          <t>ENERO</t>
        </is>
      </c>
      <c r="P1457" s="232" t="n">
        <v>4</v>
      </c>
      <c r="Q1457" s="234" t="n">
        <v>604</v>
      </c>
      <c r="R1457" s="232" t="inlineStr"/>
      <c r="S1457" s="234" t="n">
        <v>604</v>
      </c>
      <c r="T1457" s="232" t="inlineStr">
        <is>
          <t>CLP</t>
        </is>
      </c>
      <c r="U1457" s="232" t="inlineStr">
        <is>
          <t>Prorrateo Ha PACKING</t>
        </is>
      </c>
      <c r="V1457" s="232" t="inlineStr">
        <is>
          <t>2026-06-18</t>
        </is>
      </c>
    </row>
    <row r="1458">
      <c r="A1458" s="232" t="inlineStr">
        <is>
          <t>CR-1455</t>
        </is>
      </c>
      <c r="B1458" s="232" t="inlineStr">
        <is>
          <t>2026/27</t>
        </is>
      </c>
      <c r="C1458" s="233" t="n">
        <v>46044</v>
      </c>
      <c r="D1458" s="232" t="inlineStr">
        <is>
          <t>888488</t>
        </is>
      </c>
      <c r="E1458" s="232" t="inlineStr">
        <is>
          <t>PRORRATEO</t>
        </is>
      </c>
      <c r="F1458" s="232" t="inlineStr">
        <is>
          <t>El Molle</t>
        </is>
      </c>
      <c r="G1458" s="232" t="inlineStr">
        <is>
          <t>orogrande 8,11 ha</t>
        </is>
      </c>
      <c r="H1458" s="232" t="inlineStr">
        <is>
          <t>Clementinas</t>
        </is>
      </c>
      <c r="I1458" s="232" t="inlineStr">
        <is>
          <t>Orogrande</t>
        </is>
      </c>
      <c r="J1458" s="232" t="inlineStr">
        <is>
          <t>UNIFORME Y EPP</t>
        </is>
      </c>
      <c r="K1458" s="232" t="inlineStr">
        <is>
          <t>EPP</t>
        </is>
      </c>
      <c r="L1458" s="232" t="inlineStr">
        <is>
          <t>[PRORRATEO 5.5% 8.11há/148.3há] O/001282 LENTE DE P</t>
        </is>
      </c>
      <c r="M1458" s="232" t="inlineStr"/>
      <c r="N1458" s="232" t="inlineStr">
        <is>
          <t>.   .   -</t>
        </is>
      </c>
      <c r="O1458" s="232" t="inlineStr">
        <is>
          <t>ENERO</t>
        </is>
      </c>
      <c r="P1458" s="232" t="n">
        <v>4</v>
      </c>
      <c r="Q1458" s="234" t="n">
        <v>853</v>
      </c>
      <c r="R1458" s="232" t="inlineStr"/>
      <c r="S1458" s="234" t="n">
        <v>853</v>
      </c>
      <c r="T1458" s="232" t="inlineStr">
        <is>
          <t>CLP</t>
        </is>
      </c>
      <c r="U1458" s="232" t="inlineStr">
        <is>
          <t>Prorrateo Ha PACKING</t>
        </is>
      </c>
      <c r="V1458" s="232" t="inlineStr">
        <is>
          <t>2026-06-18</t>
        </is>
      </c>
    </row>
    <row r="1459">
      <c r="A1459" s="232" t="inlineStr">
        <is>
          <t>CR-1456</t>
        </is>
      </c>
      <c r="B1459" s="232" t="inlineStr">
        <is>
          <t>2026/27</t>
        </is>
      </c>
      <c r="C1459" s="233" t="n">
        <v>46044</v>
      </c>
      <c r="D1459" s="232" t="inlineStr">
        <is>
          <t>888488</t>
        </is>
      </c>
      <c r="E1459" s="232" t="inlineStr">
        <is>
          <t>PRORRATEO</t>
        </is>
      </c>
      <c r="F1459" s="232" t="inlineStr">
        <is>
          <t>El Molle</t>
        </is>
      </c>
      <c r="G1459" s="232" t="inlineStr">
        <is>
          <t>oronules 5,35 ha</t>
        </is>
      </c>
      <c r="H1459" s="232" t="inlineStr">
        <is>
          <t>Clementinas</t>
        </is>
      </c>
      <c r="I1459" s="232" t="inlineStr">
        <is>
          <t>Oronules</t>
        </is>
      </c>
      <c r="J1459" s="232" t="inlineStr">
        <is>
          <t>UNIFORME Y EPP</t>
        </is>
      </c>
      <c r="K1459" s="232" t="inlineStr">
        <is>
          <t>EPP</t>
        </is>
      </c>
      <c r="L1459" s="232" t="inlineStr">
        <is>
          <t>[PRORRATEO 3.6% 5.35há/148.3há] O/001282 LENTE DE P</t>
        </is>
      </c>
      <c r="M1459" s="232" t="inlineStr"/>
      <c r="N1459" s="232" t="inlineStr">
        <is>
          <t>.   .   -</t>
        </is>
      </c>
      <c r="O1459" s="232" t="inlineStr">
        <is>
          <t>ENERO</t>
        </is>
      </c>
      <c r="P1459" s="232" t="n">
        <v>4</v>
      </c>
      <c r="Q1459" s="234" t="n">
        <v>563</v>
      </c>
      <c r="R1459" s="232" t="inlineStr"/>
      <c r="S1459" s="234" t="n">
        <v>563</v>
      </c>
      <c r="T1459" s="232" t="inlineStr">
        <is>
          <t>CLP</t>
        </is>
      </c>
      <c r="U1459" s="232" t="inlineStr">
        <is>
          <t>Prorrateo Ha PACKING</t>
        </is>
      </c>
      <c r="V1459" s="232" t="inlineStr">
        <is>
          <t>2026-06-18</t>
        </is>
      </c>
    </row>
    <row r="1460">
      <c r="A1460" s="232" t="inlineStr">
        <is>
          <t>CR-1457</t>
        </is>
      </c>
      <c r="B1460" s="232" t="inlineStr">
        <is>
          <t>2026/27</t>
        </is>
      </c>
      <c r="C1460" s="233" t="n">
        <v>46044</v>
      </c>
      <c r="D1460" s="232" t="inlineStr">
        <is>
          <t>888488</t>
        </is>
      </c>
      <c r="E1460" s="232" t="inlineStr">
        <is>
          <t>PRORRATEO</t>
        </is>
      </c>
      <c r="F1460" s="232" t="inlineStr">
        <is>
          <t>Santa Catalina</t>
        </is>
      </c>
      <c r="G1460" s="232" t="inlineStr">
        <is>
          <t>Fino 49 7,7 ha</t>
        </is>
      </c>
      <c r="H1460" s="232" t="inlineStr">
        <is>
          <t>Limon</t>
        </is>
      </c>
      <c r="I1460" s="232" t="inlineStr">
        <is>
          <t>Fino 49</t>
        </is>
      </c>
      <c r="J1460" s="232" t="inlineStr">
        <is>
          <t>UNIFORME Y EPP</t>
        </is>
      </c>
      <c r="K1460" s="232" t="inlineStr">
        <is>
          <t>EPP</t>
        </is>
      </c>
      <c r="L1460" s="232" t="inlineStr">
        <is>
          <t>[PRORRATEO 5.2% 7.7há/148.3há] O/001282 LENTE DE P</t>
        </is>
      </c>
      <c r="M1460" s="232" t="inlineStr"/>
      <c r="N1460" s="232" t="inlineStr">
        <is>
          <t>.   .   -</t>
        </is>
      </c>
      <c r="O1460" s="232" t="inlineStr">
        <is>
          <t>ENERO</t>
        </is>
      </c>
      <c r="P1460" s="232" t="n">
        <v>4</v>
      </c>
      <c r="Q1460" s="234" t="n">
        <v>810</v>
      </c>
      <c r="R1460" s="232" t="inlineStr"/>
      <c r="S1460" s="234" t="n">
        <v>810</v>
      </c>
      <c r="T1460" s="232" t="inlineStr">
        <is>
          <t>CLP</t>
        </is>
      </c>
      <c r="U1460" s="232" t="inlineStr">
        <is>
          <t>Prorrateo Ha PACKING</t>
        </is>
      </c>
      <c r="V1460" s="232" t="inlineStr">
        <is>
          <t>2026-06-18</t>
        </is>
      </c>
    </row>
    <row r="1461">
      <c r="A1461" s="232" t="inlineStr">
        <is>
          <t>CR-1458</t>
        </is>
      </c>
      <c r="B1461" s="232" t="inlineStr">
        <is>
          <t>2026/27</t>
        </is>
      </c>
      <c r="C1461" s="233" t="n">
        <v>46044</v>
      </c>
      <c r="D1461" s="232" t="inlineStr">
        <is>
          <t>888488</t>
        </is>
      </c>
      <c r="E1461" s="232" t="inlineStr">
        <is>
          <t>PRORRATEO</t>
        </is>
      </c>
      <c r="F1461" s="232" t="inlineStr">
        <is>
          <t>Santa Catalina</t>
        </is>
      </c>
      <c r="G1461" s="232" t="inlineStr">
        <is>
          <t>W. murcott 21 ha</t>
        </is>
      </c>
      <c r="H1461" s="232" t="inlineStr">
        <is>
          <t>Mandarina</t>
        </is>
      </c>
      <c r="I1461" s="232" t="inlineStr">
        <is>
          <t>W. murcott</t>
        </is>
      </c>
      <c r="J1461" s="232" t="inlineStr">
        <is>
          <t>UNIFORME Y EPP</t>
        </is>
      </c>
      <c r="K1461" s="232" t="inlineStr">
        <is>
          <t>EPP</t>
        </is>
      </c>
      <c r="L1461" s="232" t="inlineStr">
        <is>
          <t>[PRORRATEO 14.2% 21.0há/148.3há] O/001282 LENTE DE P</t>
        </is>
      </c>
      <c r="M1461" s="232" t="inlineStr"/>
      <c r="N1461" s="232" t="inlineStr">
        <is>
          <t>.   .   -</t>
        </is>
      </c>
      <c r="O1461" s="232" t="inlineStr">
        <is>
          <t>ENERO</t>
        </is>
      </c>
      <c r="P1461" s="232" t="n">
        <v>4</v>
      </c>
      <c r="Q1461" s="234" t="n">
        <v>2210</v>
      </c>
      <c r="R1461" s="232" t="inlineStr"/>
      <c r="S1461" s="234" t="n">
        <v>2210</v>
      </c>
      <c r="T1461" s="232" t="inlineStr">
        <is>
          <t>CLP</t>
        </is>
      </c>
      <c r="U1461" s="232" t="inlineStr">
        <is>
          <t>Prorrateo Ha PACKING</t>
        </is>
      </c>
      <c r="V1461" s="232" t="inlineStr">
        <is>
          <t>2026-06-18</t>
        </is>
      </c>
    </row>
    <row r="1462">
      <c r="A1462" s="232" t="inlineStr">
        <is>
          <t>CR-1459</t>
        </is>
      </c>
      <c r="B1462" s="232" t="inlineStr">
        <is>
          <t>2026/27</t>
        </is>
      </c>
      <c r="C1462" s="233" t="n">
        <v>46044</v>
      </c>
      <c r="D1462" s="232" t="inlineStr">
        <is>
          <t>888488</t>
        </is>
      </c>
      <c r="E1462" s="232" t="inlineStr">
        <is>
          <t>PRORRATEO</t>
        </is>
      </c>
      <c r="F1462" s="232" t="inlineStr">
        <is>
          <t>Santa Catalina</t>
        </is>
      </c>
      <c r="G1462" s="232" t="inlineStr">
        <is>
          <t>cambria 4,2 ha</t>
        </is>
      </c>
      <c r="H1462" s="232" t="inlineStr">
        <is>
          <t>Naranjas</t>
        </is>
      </c>
      <c r="I1462" s="232" t="inlineStr">
        <is>
          <t>Cambria</t>
        </is>
      </c>
      <c r="J1462" s="232" t="inlineStr">
        <is>
          <t>UNIFORME Y EPP</t>
        </is>
      </c>
      <c r="K1462" s="232" t="inlineStr">
        <is>
          <t>EPP</t>
        </is>
      </c>
      <c r="L1462" s="232" t="inlineStr">
        <is>
          <t>[PRORRATEO 2.8% 4.2há/148.3há] O/001282 LENTE DE P</t>
        </is>
      </c>
      <c r="M1462" s="232" t="inlineStr"/>
      <c r="N1462" s="232" t="inlineStr">
        <is>
          <t>.   .   -</t>
        </is>
      </c>
      <c r="O1462" s="232" t="inlineStr">
        <is>
          <t>ENERO</t>
        </is>
      </c>
      <c r="P1462" s="232" t="n">
        <v>4</v>
      </c>
      <c r="Q1462" s="234" t="n">
        <v>442</v>
      </c>
      <c r="R1462" s="232" t="inlineStr"/>
      <c r="S1462" s="234" t="n">
        <v>442</v>
      </c>
      <c r="T1462" s="232" t="inlineStr">
        <is>
          <t>CLP</t>
        </is>
      </c>
      <c r="U1462" s="232" t="inlineStr">
        <is>
          <t>Prorrateo Ha PACKING</t>
        </is>
      </c>
      <c r="V1462" s="232" t="inlineStr">
        <is>
          <t>2026-06-18</t>
        </is>
      </c>
    </row>
    <row r="1463">
      <c r="A1463" s="232" t="inlineStr">
        <is>
          <t>CR-1460</t>
        </is>
      </c>
      <c r="B1463" s="232" t="inlineStr">
        <is>
          <t>2026/27</t>
        </is>
      </c>
      <c r="C1463" s="233" t="n">
        <v>46044</v>
      </c>
      <c r="D1463" s="232" t="inlineStr">
        <is>
          <t>888488</t>
        </is>
      </c>
      <c r="E1463" s="232" t="inlineStr">
        <is>
          <t>PRORRATEO</t>
        </is>
      </c>
      <c r="F1463" s="232" t="inlineStr">
        <is>
          <t>Santa Catalina</t>
        </is>
      </c>
      <c r="G1463" s="232" t="inlineStr">
        <is>
          <t>eureka 10,6 ha</t>
        </is>
      </c>
      <c r="H1463" s="232" t="inlineStr">
        <is>
          <t>Limon</t>
        </is>
      </c>
      <c r="I1463" s="232" t="inlineStr">
        <is>
          <t>Eureka</t>
        </is>
      </c>
      <c r="J1463" s="232" t="inlineStr">
        <is>
          <t>UNIFORME Y EPP</t>
        </is>
      </c>
      <c r="K1463" s="232" t="inlineStr">
        <is>
          <t>EPP</t>
        </is>
      </c>
      <c r="L1463" s="232" t="inlineStr">
        <is>
          <t>[PRORRATEO 7.1% 10.6há/148.3há] O/001282 LENTE DE P</t>
        </is>
      </c>
      <c r="M1463" s="232" t="inlineStr"/>
      <c r="N1463" s="232" t="inlineStr">
        <is>
          <t>.   .   -</t>
        </is>
      </c>
      <c r="O1463" s="232" t="inlineStr">
        <is>
          <t>ENERO</t>
        </is>
      </c>
      <c r="P1463" s="232" t="n">
        <v>4</v>
      </c>
      <c r="Q1463" s="234" t="n">
        <v>1115</v>
      </c>
      <c r="R1463" s="232" t="inlineStr"/>
      <c r="S1463" s="234" t="n">
        <v>1115</v>
      </c>
      <c r="T1463" s="232" t="inlineStr">
        <is>
          <t>CLP</t>
        </is>
      </c>
      <c r="U1463" s="232" t="inlineStr">
        <is>
          <t>Prorrateo Ha PACKING</t>
        </is>
      </c>
      <c r="V1463" s="232" t="inlineStr">
        <is>
          <t>2026-06-18</t>
        </is>
      </c>
    </row>
    <row r="1464">
      <c r="A1464" s="232" t="inlineStr">
        <is>
          <t>CR-1461</t>
        </is>
      </c>
      <c r="B1464" s="232" t="inlineStr">
        <is>
          <t>2026/27</t>
        </is>
      </c>
      <c r="C1464" s="233" t="n">
        <v>46044</v>
      </c>
      <c r="D1464" s="232" t="inlineStr">
        <is>
          <t>888488</t>
        </is>
      </c>
      <c r="E1464" s="232" t="inlineStr">
        <is>
          <t>PRORRATEO</t>
        </is>
      </c>
      <c r="F1464" s="232" t="inlineStr">
        <is>
          <t>Santa Catalina</t>
        </is>
      </c>
      <c r="G1464" s="232" t="inlineStr">
        <is>
          <t>eureka 14,4 ha</t>
        </is>
      </c>
      <c r="H1464" s="232" t="inlineStr">
        <is>
          <t>Limon</t>
        </is>
      </c>
      <c r="I1464" s="232" t="inlineStr">
        <is>
          <t>Eureka</t>
        </is>
      </c>
      <c r="J1464" s="232" t="inlineStr">
        <is>
          <t>UNIFORME Y EPP</t>
        </is>
      </c>
      <c r="K1464" s="232" t="inlineStr">
        <is>
          <t>EPP</t>
        </is>
      </c>
      <c r="L1464" s="232" t="inlineStr">
        <is>
          <t>[PRORRATEO 9.7% 14.4há/148.3há] O/001282 LENTE DE P</t>
        </is>
      </c>
      <c r="M1464" s="232" t="inlineStr"/>
      <c r="N1464" s="232" t="inlineStr">
        <is>
          <t>.   .   -</t>
        </is>
      </c>
      <c r="O1464" s="232" t="inlineStr">
        <is>
          <t>ENERO</t>
        </is>
      </c>
      <c r="P1464" s="232" t="n">
        <v>4</v>
      </c>
      <c r="Q1464" s="234" t="n">
        <v>1515</v>
      </c>
      <c r="R1464" s="232" t="inlineStr"/>
      <c r="S1464" s="234" t="n">
        <v>1515</v>
      </c>
      <c r="T1464" s="232" t="inlineStr">
        <is>
          <t>CLP</t>
        </is>
      </c>
      <c r="U1464" s="232" t="inlineStr">
        <is>
          <t>Prorrateo Ha PACKING</t>
        </is>
      </c>
      <c r="V1464" s="232" t="inlineStr">
        <is>
          <t>2026-06-18</t>
        </is>
      </c>
    </row>
    <row r="1465">
      <c r="A1465" s="232" t="inlineStr">
        <is>
          <t>CR-1462</t>
        </is>
      </c>
      <c r="B1465" s="232" t="inlineStr">
        <is>
          <t>2026/27</t>
        </is>
      </c>
      <c r="C1465" s="233" t="n">
        <v>46044</v>
      </c>
      <c r="D1465" s="232" t="inlineStr">
        <is>
          <t>888488</t>
        </is>
      </c>
      <c r="E1465" s="232" t="inlineStr">
        <is>
          <t>PRORRATEO</t>
        </is>
      </c>
      <c r="F1465" s="232" t="inlineStr">
        <is>
          <t>Santa Catalina</t>
        </is>
      </c>
      <c r="G1465" s="232" t="inlineStr">
        <is>
          <t>eureka 22,55</t>
        </is>
      </c>
      <c r="H1465" s="232" t="inlineStr">
        <is>
          <t>Limon</t>
        </is>
      </c>
      <c r="I1465" s="232" t="inlineStr">
        <is>
          <t>Eureka</t>
        </is>
      </c>
      <c r="J1465" s="232" t="inlineStr">
        <is>
          <t>UNIFORME Y EPP</t>
        </is>
      </c>
      <c r="K1465" s="232" t="inlineStr">
        <is>
          <t>EPP</t>
        </is>
      </c>
      <c r="L1465" s="232" t="inlineStr">
        <is>
          <t>[PRORRATEO 15.2% 22.55há/148.3há] O/001282 LENTE DE P</t>
        </is>
      </c>
      <c r="M1465" s="232" t="inlineStr"/>
      <c r="N1465" s="232" t="inlineStr">
        <is>
          <t>.   .   -</t>
        </is>
      </c>
      <c r="O1465" s="232" t="inlineStr">
        <is>
          <t>ENERO</t>
        </is>
      </c>
      <c r="P1465" s="232" t="n">
        <v>4</v>
      </c>
      <c r="Q1465" s="234" t="n">
        <v>2373</v>
      </c>
      <c r="R1465" s="232" t="inlineStr"/>
      <c r="S1465" s="234" t="n">
        <v>2373</v>
      </c>
      <c r="T1465" s="232" t="inlineStr">
        <is>
          <t>CLP</t>
        </is>
      </c>
      <c r="U1465" s="232" t="inlineStr">
        <is>
          <t>Prorrateo Ha PACKING</t>
        </is>
      </c>
      <c r="V1465" s="232" t="inlineStr">
        <is>
          <t>2026-06-18</t>
        </is>
      </c>
    </row>
    <row r="1466">
      <c r="A1466" s="232" t="inlineStr">
        <is>
          <t>CR-1463</t>
        </is>
      </c>
      <c r="B1466" s="232" t="inlineStr">
        <is>
          <t>2026/27</t>
        </is>
      </c>
      <c r="C1466" s="233" t="n">
        <v>46044</v>
      </c>
      <c r="D1466" s="232" t="inlineStr">
        <is>
          <t>888488</t>
        </is>
      </c>
      <c r="E1466" s="232" t="inlineStr">
        <is>
          <t>PRORRATEO</t>
        </is>
      </c>
      <c r="F1466" s="232" t="inlineStr">
        <is>
          <t>Santa Catalina</t>
        </is>
      </c>
      <c r="G1466" s="232" t="inlineStr">
        <is>
          <t>form benjamin 1,93 ha</t>
        </is>
      </c>
      <c r="H1466" s="232" t="inlineStr">
        <is>
          <t>Limon</t>
        </is>
      </c>
      <c r="I1466" s="232" t="inlineStr">
        <is>
          <t>Benjamin andes</t>
        </is>
      </c>
      <c r="J1466" s="232" t="inlineStr">
        <is>
          <t>UNIFORME Y EPP</t>
        </is>
      </c>
      <c r="K1466" s="232" t="inlineStr">
        <is>
          <t>EPP</t>
        </is>
      </c>
      <c r="L1466" s="232" t="inlineStr">
        <is>
          <t>[PRORRATEO 1.3% 1.93há/148.3há] O/001282 LENTE DE P</t>
        </is>
      </c>
      <c r="M1466" s="232" t="inlineStr"/>
      <c r="N1466" s="232" t="inlineStr">
        <is>
          <t>.   .   -</t>
        </is>
      </c>
      <c r="O1466" s="232" t="inlineStr">
        <is>
          <t>ENERO</t>
        </is>
      </c>
      <c r="P1466" s="232" t="n">
        <v>4</v>
      </c>
      <c r="Q1466" s="234" t="n">
        <v>203</v>
      </c>
      <c r="R1466" s="232" t="inlineStr"/>
      <c r="S1466" s="234" t="n">
        <v>203</v>
      </c>
      <c r="T1466" s="232" t="inlineStr">
        <is>
          <t>CLP</t>
        </is>
      </c>
      <c r="U1466" s="232" t="inlineStr">
        <is>
          <t>Prorrateo Ha PACKING</t>
        </is>
      </c>
      <c r="V1466" s="232" t="inlineStr">
        <is>
          <t>2026-06-18</t>
        </is>
      </c>
    </row>
    <row r="1467">
      <c r="A1467" s="232" t="inlineStr">
        <is>
          <t>CR-1464</t>
        </is>
      </c>
      <c r="B1467" s="232" t="inlineStr">
        <is>
          <t>2026/27</t>
        </is>
      </c>
      <c r="C1467" s="233" t="n">
        <v>46044</v>
      </c>
      <c r="D1467" s="232" t="inlineStr">
        <is>
          <t>888488</t>
        </is>
      </c>
      <c r="E1467" s="232" t="inlineStr">
        <is>
          <t>PRORRATEO</t>
        </is>
      </c>
      <c r="F1467" s="232" t="inlineStr">
        <is>
          <t>Santa Catalina</t>
        </is>
      </c>
      <c r="G1467" s="232" t="inlineStr">
        <is>
          <t>mant eureka 2,5 ha</t>
        </is>
      </c>
      <c r="H1467" s="232" t="inlineStr">
        <is>
          <t>Limon</t>
        </is>
      </c>
      <c r="I1467" s="232" t="inlineStr">
        <is>
          <t>Eureka</t>
        </is>
      </c>
      <c r="J1467" s="232" t="inlineStr">
        <is>
          <t>UNIFORME Y EPP</t>
        </is>
      </c>
      <c r="K1467" s="232" t="inlineStr">
        <is>
          <t>EPP</t>
        </is>
      </c>
      <c r="L1467" s="232" t="inlineStr">
        <is>
          <t>[PRORRATEO 1.7% 2.5há/148.3há] O/001282 LENTE DE P</t>
        </is>
      </c>
      <c r="M1467" s="232" t="inlineStr"/>
      <c r="N1467" s="232" t="inlineStr">
        <is>
          <t>.   .   -</t>
        </is>
      </c>
      <c r="O1467" s="232" t="inlineStr">
        <is>
          <t>ENERO</t>
        </is>
      </c>
      <c r="P1467" s="232" t="n">
        <v>4</v>
      </c>
      <c r="Q1467" s="234" t="n">
        <v>263</v>
      </c>
      <c r="R1467" s="232" t="inlineStr"/>
      <c r="S1467" s="234" t="n">
        <v>263</v>
      </c>
      <c r="T1467" s="232" t="inlineStr">
        <is>
          <t>CLP</t>
        </is>
      </c>
      <c r="U1467" s="232" t="inlineStr">
        <is>
          <t>Prorrateo Ha PACKING</t>
        </is>
      </c>
      <c r="V1467" s="232" t="inlineStr">
        <is>
          <t>2026-06-18</t>
        </is>
      </c>
    </row>
    <row r="1468">
      <c r="A1468" s="232" t="inlineStr">
        <is>
          <t>CR-1465</t>
        </is>
      </c>
      <c r="B1468" s="232" t="inlineStr">
        <is>
          <t>2026/27</t>
        </is>
      </c>
      <c r="C1468" s="233" t="n">
        <v>46044</v>
      </c>
      <c r="D1468" s="232" t="inlineStr">
        <is>
          <t>888488</t>
        </is>
      </c>
      <c r="E1468" s="232" t="inlineStr">
        <is>
          <t>PRORRATEO</t>
        </is>
      </c>
      <c r="F1468" s="232" t="inlineStr">
        <is>
          <t>Siberia</t>
        </is>
      </c>
      <c r="G1468" s="232" t="inlineStr">
        <is>
          <t>S. Celebration 7,14</t>
        </is>
      </c>
      <c r="H1468" s="232" t="inlineStr">
        <is>
          <t>Uvas</t>
        </is>
      </c>
      <c r="I1468" s="232" t="inlineStr">
        <is>
          <t>S. celebration</t>
        </is>
      </c>
      <c r="J1468" s="232" t="inlineStr">
        <is>
          <t>UNIFORME Y EPP</t>
        </is>
      </c>
      <c r="K1468" s="232" t="inlineStr">
        <is>
          <t>EPP</t>
        </is>
      </c>
      <c r="L1468" s="232" t="inlineStr">
        <is>
          <t>[PRORRATEO 4.8% 7.14há/148.3há] O/001282 LENTE DE P</t>
        </is>
      </c>
      <c r="M1468" s="232" t="inlineStr"/>
      <c r="N1468" s="232" t="inlineStr">
        <is>
          <t>.   .   -</t>
        </is>
      </c>
      <c r="O1468" s="232" t="inlineStr">
        <is>
          <t>ENERO</t>
        </is>
      </c>
      <c r="P1468" s="232" t="n">
        <v>4</v>
      </c>
      <c r="Q1468" s="234" t="n">
        <v>751</v>
      </c>
      <c r="R1468" s="232" t="inlineStr"/>
      <c r="S1468" s="234" t="n">
        <v>751</v>
      </c>
      <c r="T1468" s="232" t="inlineStr">
        <is>
          <t>CLP</t>
        </is>
      </c>
      <c r="U1468" s="232" t="inlineStr">
        <is>
          <t>Prorrateo Ha PACKING</t>
        </is>
      </c>
      <c r="V1468" s="232" t="inlineStr">
        <is>
          <t>2026-06-18</t>
        </is>
      </c>
    </row>
    <row r="1469">
      <c r="A1469" s="232" t="inlineStr">
        <is>
          <t>CR-1466</t>
        </is>
      </c>
      <c r="B1469" s="232" t="inlineStr">
        <is>
          <t>2026/27</t>
        </is>
      </c>
      <c r="C1469" s="233" t="n">
        <v>46044</v>
      </c>
      <c r="D1469" s="232" t="inlineStr">
        <is>
          <t>888488</t>
        </is>
      </c>
      <c r="E1469" s="232" t="inlineStr">
        <is>
          <t>PRORRATEO</t>
        </is>
      </c>
      <c r="F1469" s="232" t="inlineStr">
        <is>
          <t>Siberia</t>
        </is>
      </c>
      <c r="G1469" s="232" t="inlineStr">
        <is>
          <t>Timpson 7,1</t>
        </is>
      </c>
      <c r="H1469" s="232" t="inlineStr">
        <is>
          <t>Uvas</t>
        </is>
      </c>
      <c r="I1469" s="232" t="inlineStr">
        <is>
          <t>Timpson</t>
        </is>
      </c>
      <c r="J1469" s="232" t="inlineStr">
        <is>
          <t>UNIFORME Y EPP</t>
        </is>
      </c>
      <c r="K1469" s="232" t="inlineStr">
        <is>
          <t>EPP</t>
        </is>
      </c>
      <c r="L1469" s="232" t="inlineStr">
        <is>
          <t>[PRORRATEO 4.8% 7.1há/148.3há] O/001282 LENTE DE P</t>
        </is>
      </c>
      <c r="M1469" s="232" t="inlineStr"/>
      <c r="N1469" s="232" t="inlineStr">
        <is>
          <t>.   .   -</t>
        </is>
      </c>
      <c r="O1469" s="232" t="inlineStr">
        <is>
          <t>ENERO</t>
        </is>
      </c>
      <c r="P1469" s="232" t="n">
        <v>4</v>
      </c>
      <c r="Q1469" s="234" t="n">
        <v>747</v>
      </c>
      <c r="R1469" s="232" t="inlineStr"/>
      <c r="S1469" s="234" t="n">
        <v>747</v>
      </c>
      <c r="T1469" s="232" t="inlineStr">
        <is>
          <t>CLP</t>
        </is>
      </c>
      <c r="U1469" s="232" t="inlineStr">
        <is>
          <t>Prorrateo Ha PACKING</t>
        </is>
      </c>
      <c r="V1469" s="232" t="inlineStr">
        <is>
          <t>2026-06-18</t>
        </is>
      </c>
    </row>
    <row r="1470">
      <c r="A1470" s="232" t="inlineStr">
        <is>
          <t>CR-1467</t>
        </is>
      </c>
      <c r="B1470" s="232" t="inlineStr">
        <is>
          <t>2026/27</t>
        </is>
      </c>
      <c r="C1470" s="233" t="n">
        <v>46044</v>
      </c>
      <c r="D1470" s="232" t="inlineStr">
        <is>
          <t>888488</t>
        </is>
      </c>
      <c r="E1470" s="232" t="inlineStr">
        <is>
          <t>PRORRATEO</t>
        </is>
      </c>
      <c r="F1470" s="232" t="inlineStr">
        <is>
          <t>Asmara</t>
        </is>
      </c>
      <c r="G1470" s="232" t="inlineStr">
        <is>
          <t>w. murcott 19,8 ha</t>
        </is>
      </c>
      <c r="H1470" s="232" t="inlineStr">
        <is>
          <t>Mandarina</t>
        </is>
      </c>
      <c r="I1470" s="232" t="inlineStr">
        <is>
          <t>W. murcott</t>
        </is>
      </c>
      <c r="J1470" s="232" t="inlineStr">
        <is>
          <t>UNIFORME Y EPP</t>
        </is>
      </c>
      <c r="K1470" s="232" t="inlineStr">
        <is>
          <t>EPP</t>
        </is>
      </c>
      <c r="L1470" s="232" t="inlineStr">
        <is>
          <t>[PRORRATEO 13.4% 19.8há/148.3há] O/001282 GUANTE CAB</t>
        </is>
      </c>
      <c r="M1470" s="232" t="inlineStr"/>
      <c r="N1470" s="232" t="inlineStr">
        <is>
          <t>.   .   -</t>
        </is>
      </c>
      <c r="O1470" s="232" t="inlineStr">
        <is>
          <t>ENERO</t>
        </is>
      </c>
      <c r="P1470" s="232" t="n">
        <v>4</v>
      </c>
      <c r="Q1470" s="234" t="n">
        <v>3098</v>
      </c>
      <c r="R1470" s="232" t="inlineStr"/>
      <c r="S1470" s="234" t="n">
        <v>3098</v>
      </c>
      <c r="T1470" s="232" t="inlineStr">
        <is>
          <t>CLP</t>
        </is>
      </c>
      <c r="U1470" s="232" t="inlineStr">
        <is>
          <t>Prorrateo Ha PACKING</t>
        </is>
      </c>
      <c r="V1470" s="232" t="inlineStr">
        <is>
          <t>2026-06-18</t>
        </is>
      </c>
    </row>
    <row r="1471">
      <c r="A1471" s="232" t="inlineStr">
        <is>
          <t>CR-1468</t>
        </is>
      </c>
      <c r="B1471" s="232" t="inlineStr">
        <is>
          <t>2026/27</t>
        </is>
      </c>
      <c r="C1471" s="233" t="n">
        <v>46044</v>
      </c>
      <c r="D1471" s="232" t="inlineStr">
        <is>
          <t>888488</t>
        </is>
      </c>
      <c r="E1471" s="232" t="inlineStr">
        <is>
          <t>PRORRATEO</t>
        </is>
      </c>
      <c r="F1471" s="232" t="inlineStr">
        <is>
          <t>Asmara</t>
        </is>
      </c>
      <c r="G1471" s="232" t="inlineStr">
        <is>
          <t>w. murcott 4,9 ha</t>
        </is>
      </c>
      <c r="H1471" s="232" t="inlineStr">
        <is>
          <t>Mandarina</t>
        </is>
      </c>
      <c r="I1471" s="232" t="inlineStr">
        <is>
          <t>W. murcott</t>
        </is>
      </c>
      <c r="J1471" s="232" t="inlineStr">
        <is>
          <t>UNIFORME Y EPP</t>
        </is>
      </c>
      <c r="K1471" s="232" t="inlineStr">
        <is>
          <t>EPP</t>
        </is>
      </c>
      <c r="L1471" s="232" t="inlineStr">
        <is>
          <t>[PRORRATEO 3.3% 4.9há/148.3há] O/001282 GUANTE CAB</t>
        </is>
      </c>
      <c r="M1471" s="232" t="inlineStr"/>
      <c r="N1471" s="232" t="inlineStr">
        <is>
          <t>.   .   -</t>
        </is>
      </c>
      <c r="O1471" s="232" t="inlineStr">
        <is>
          <t>ENERO</t>
        </is>
      </c>
      <c r="P1471" s="232" t="n">
        <v>4</v>
      </c>
      <c r="Q1471" s="234" t="n">
        <v>767</v>
      </c>
      <c r="R1471" s="232" t="inlineStr"/>
      <c r="S1471" s="234" t="n">
        <v>767</v>
      </c>
      <c r="T1471" s="232" t="inlineStr">
        <is>
          <t>CLP</t>
        </is>
      </c>
      <c r="U1471" s="232" t="inlineStr">
        <is>
          <t>Prorrateo Ha PACKING</t>
        </is>
      </c>
      <c r="V1471" s="232" t="inlineStr">
        <is>
          <t>2026-06-18</t>
        </is>
      </c>
    </row>
    <row r="1472">
      <c r="A1472" s="232" t="inlineStr">
        <is>
          <t>CR-1469</t>
        </is>
      </c>
      <c r="B1472" s="232" t="inlineStr">
        <is>
          <t>2026/27</t>
        </is>
      </c>
      <c r="C1472" s="233" t="n">
        <v>46044</v>
      </c>
      <c r="D1472" s="232" t="inlineStr">
        <is>
          <t>888488</t>
        </is>
      </c>
      <c r="E1472" s="232" t="inlineStr">
        <is>
          <t>PRORRATEO</t>
        </is>
      </c>
      <c r="F1472" s="232" t="inlineStr">
        <is>
          <t>El Molle</t>
        </is>
      </c>
      <c r="G1472" s="232" t="inlineStr">
        <is>
          <t>Wonderful 5,25 ha</t>
        </is>
      </c>
      <c r="H1472" s="232" t="inlineStr">
        <is>
          <t>Granados</t>
        </is>
      </c>
      <c r="I1472" s="232" t="inlineStr">
        <is>
          <t>Wonderfull</t>
        </is>
      </c>
      <c r="J1472" s="232" t="inlineStr">
        <is>
          <t>UNIFORME Y EPP</t>
        </is>
      </c>
      <c r="K1472" s="232" t="inlineStr">
        <is>
          <t>EPP</t>
        </is>
      </c>
      <c r="L1472" s="232" t="inlineStr">
        <is>
          <t>[PRORRATEO 3.5% 5.24há/148.3há] O/001282 GUANTE CAB</t>
        </is>
      </c>
      <c r="M1472" s="232" t="inlineStr"/>
      <c r="N1472" s="232" t="inlineStr">
        <is>
          <t>.   .   -</t>
        </is>
      </c>
      <c r="O1472" s="232" t="inlineStr">
        <is>
          <t>ENERO</t>
        </is>
      </c>
      <c r="P1472" s="232" t="n">
        <v>4</v>
      </c>
      <c r="Q1472" s="234" t="n">
        <v>820</v>
      </c>
      <c r="R1472" s="232" t="inlineStr"/>
      <c r="S1472" s="234" t="n">
        <v>820</v>
      </c>
      <c r="T1472" s="232" t="inlineStr">
        <is>
          <t>CLP</t>
        </is>
      </c>
      <c r="U1472" s="232" t="inlineStr">
        <is>
          <t>Prorrateo Ha PACKING</t>
        </is>
      </c>
      <c r="V1472" s="232" t="inlineStr">
        <is>
          <t>2026-06-18</t>
        </is>
      </c>
    </row>
    <row r="1473">
      <c r="A1473" s="232" t="inlineStr">
        <is>
          <t>CR-1470</t>
        </is>
      </c>
      <c r="B1473" s="232" t="inlineStr">
        <is>
          <t>2026/27</t>
        </is>
      </c>
      <c r="C1473" s="233" t="n">
        <v>46044</v>
      </c>
      <c r="D1473" s="232" t="inlineStr">
        <is>
          <t>888488</t>
        </is>
      </c>
      <c r="E1473" s="232" t="inlineStr">
        <is>
          <t>PRORRATEO</t>
        </is>
      </c>
      <c r="F1473" s="232" t="inlineStr">
        <is>
          <t>El Molle</t>
        </is>
      </c>
      <c r="G1473" s="232" t="inlineStr">
        <is>
          <t>arrufatinas 5,74 ha</t>
        </is>
      </c>
      <c r="H1473" s="232" t="inlineStr">
        <is>
          <t>Clementinas</t>
        </is>
      </c>
      <c r="I1473" s="232" t="inlineStr">
        <is>
          <t>Arrufatinas</t>
        </is>
      </c>
      <c r="J1473" s="232" t="inlineStr">
        <is>
          <t>UNIFORME Y EPP</t>
        </is>
      </c>
      <c r="K1473" s="232" t="inlineStr">
        <is>
          <t>EPP</t>
        </is>
      </c>
      <c r="L1473" s="232" t="inlineStr">
        <is>
          <t>[PRORRATEO 3.9% 5.74há/148.3há] O/001282 GUANTE CAB</t>
        </is>
      </c>
      <c r="M1473" s="232" t="inlineStr"/>
      <c r="N1473" s="232" t="inlineStr">
        <is>
          <t>.   .   -</t>
        </is>
      </c>
      <c r="O1473" s="232" t="inlineStr">
        <is>
          <t>ENERO</t>
        </is>
      </c>
      <c r="P1473" s="232" t="n">
        <v>4</v>
      </c>
      <c r="Q1473" s="234" t="n">
        <v>898</v>
      </c>
      <c r="R1473" s="232" t="inlineStr"/>
      <c r="S1473" s="234" t="n">
        <v>898</v>
      </c>
      <c r="T1473" s="232" t="inlineStr">
        <is>
          <t>CLP</t>
        </is>
      </c>
      <c r="U1473" s="232" t="inlineStr">
        <is>
          <t>Prorrateo Ha PACKING</t>
        </is>
      </c>
      <c r="V1473" s="232" t="inlineStr">
        <is>
          <t>2026-06-18</t>
        </is>
      </c>
    </row>
    <row r="1474">
      <c r="A1474" s="232" t="inlineStr">
        <is>
          <t>CR-1471</t>
        </is>
      </c>
      <c r="B1474" s="232" t="inlineStr">
        <is>
          <t>2026/27</t>
        </is>
      </c>
      <c r="C1474" s="233" t="n">
        <v>46044</v>
      </c>
      <c r="D1474" s="232" t="inlineStr">
        <is>
          <t>888488</t>
        </is>
      </c>
      <c r="E1474" s="232" t="inlineStr">
        <is>
          <t>PRORRATEO</t>
        </is>
      </c>
      <c r="F1474" s="232" t="inlineStr">
        <is>
          <t>El Molle</t>
        </is>
      </c>
      <c r="G1474" s="232" t="inlineStr">
        <is>
          <t>orogrande 8,11 ha</t>
        </is>
      </c>
      <c r="H1474" s="232" t="inlineStr">
        <is>
          <t>Clementinas</t>
        </is>
      </c>
      <c r="I1474" s="232" t="inlineStr">
        <is>
          <t>Orogrande</t>
        </is>
      </c>
      <c r="J1474" s="232" t="inlineStr">
        <is>
          <t>UNIFORME Y EPP</t>
        </is>
      </c>
      <c r="K1474" s="232" t="inlineStr">
        <is>
          <t>EPP</t>
        </is>
      </c>
      <c r="L1474" s="232" t="inlineStr">
        <is>
          <t>[PRORRATEO 5.5% 8.11há/148.3há] O/001282 GUANTE CAB</t>
        </is>
      </c>
      <c r="M1474" s="232" t="inlineStr"/>
      <c r="N1474" s="232" t="inlineStr">
        <is>
          <t>.   .   -</t>
        </is>
      </c>
      <c r="O1474" s="232" t="inlineStr">
        <is>
          <t>ENERO</t>
        </is>
      </c>
      <c r="P1474" s="232" t="n">
        <v>4</v>
      </c>
      <c r="Q1474" s="234" t="n">
        <v>1269</v>
      </c>
      <c r="R1474" s="232" t="inlineStr"/>
      <c r="S1474" s="234" t="n">
        <v>1269</v>
      </c>
      <c r="T1474" s="232" t="inlineStr">
        <is>
          <t>CLP</t>
        </is>
      </c>
      <c r="U1474" s="232" t="inlineStr">
        <is>
          <t>Prorrateo Ha PACKING</t>
        </is>
      </c>
      <c r="V1474" s="232" t="inlineStr">
        <is>
          <t>2026-06-18</t>
        </is>
      </c>
    </row>
    <row r="1475">
      <c r="A1475" s="232" t="inlineStr">
        <is>
          <t>CR-1472</t>
        </is>
      </c>
      <c r="B1475" s="232" t="inlineStr">
        <is>
          <t>2026/27</t>
        </is>
      </c>
      <c r="C1475" s="233" t="n">
        <v>46044</v>
      </c>
      <c r="D1475" s="232" t="inlineStr">
        <is>
          <t>888488</t>
        </is>
      </c>
      <c r="E1475" s="232" t="inlineStr">
        <is>
          <t>PRORRATEO</t>
        </is>
      </c>
      <c r="F1475" s="232" t="inlineStr">
        <is>
          <t>El Molle</t>
        </is>
      </c>
      <c r="G1475" s="232" t="inlineStr">
        <is>
          <t>oronules 5,35 ha</t>
        </is>
      </c>
      <c r="H1475" s="232" t="inlineStr">
        <is>
          <t>Clementinas</t>
        </is>
      </c>
      <c r="I1475" s="232" t="inlineStr">
        <is>
          <t>Oronules</t>
        </is>
      </c>
      <c r="J1475" s="232" t="inlineStr">
        <is>
          <t>UNIFORME Y EPP</t>
        </is>
      </c>
      <c r="K1475" s="232" t="inlineStr">
        <is>
          <t>EPP</t>
        </is>
      </c>
      <c r="L1475" s="232" t="inlineStr">
        <is>
          <t>[PRORRATEO 3.6% 5.35há/148.3há] O/001282 GUANTE CAB</t>
        </is>
      </c>
      <c r="M1475" s="232" t="inlineStr"/>
      <c r="N1475" s="232" t="inlineStr">
        <is>
          <t>.   .   -</t>
        </is>
      </c>
      <c r="O1475" s="232" t="inlineStr">
        <is>
          <t>ENERO</t>
        </is>
      </c>
      <c r="P1475" s="232" t="n">
        <v>4</v>
      </c>
      <c r="Q1475" s="234" t="n">
        <v>837</v>
      </c>
      <c r="R1475" s="232" t="inlineStr"/>
      <c r="S1475" s="234" t="n">
        <v>837</v>
      </c>
      <c r="T1475" s="232" t="inlineStr">
        <is>
          <t>CLP</t>
        </is>
      </c>
      <c r="U1475" s="232" t="inlineStr">
        <is>
          <t>Prorrateo Ha PACKING</t>
        </is>
      </c>
      <c r="V1475" s="232" t="inlineStr">
        <is>
          <t>2026-06-18</t>
        </is>
      </c>
    </row>
    <row r="1476">
      <c r="A1476" s="232" t="inlineStr">
        <is>
          <t>CR-1473</t>
        </is>
      </c>
      <c r="B1476" s="232" t="inlineStr">
        <is>
          <t>2026/27</t>
        </is>
      </c>
      <c r="C1476" s="233" t="n">
        <v>46044</v>
      </c>
      <c r="D1476" s="232" t="inlineStr">
        <is>
          <t>888488</t>
        </is>
      </c>
      <c r="E1476" s="232" t="inlineStr">
        <is>
          <t>PRORRATEO</t>
        </is>
      </c>
      <c r="F1476" s="232" t="inlineStr">
        <is>
          <t>Santa Catalina</t>
        </is>
      </c>
      <c r="G1476" s="232" t="inlineStr">
        <is>
          <t>Fino 49 7,7 ha</t>
        </is>
      </c>
      <c r="H1476" s="232" t="inlineStr">
        <is>
          <t>Limon</t>
        </is>
      </c>
      <c r="I1476" s="232" t="inlineStr">
        <is>
          <t>Fino 49</t>
        </is>
      </c>
      <c r="J1476" s="232" t="inlineStr">
        <is>
          <t>UNIFORME Y EPP</t>
        </is>
      </c>
      <c r="K1476" s="232" t="inlineStr">
        <is>
          <t>EPP</t>
        </is>
      </c>
      <c r="L1476" s="232" t="inlineStr">
        <is>
          <t>[PRORRATEO 5.2% 7.7há/148.3há] O/001282 GUANTE CAB</t>
        </is>
      </c>
      <c r="M1476" s="232" t="inlineStr"/>
      <c r="N1476" s="232" t="inlineStr">
        <is>
          <t>.   .   -</t>
        </is>
      </c>
      <c r="O1476" s="232" t="inlineStr">
        <is>
          <t>ENERO</t>
        </is>
      </c>
      <c r="P1476" s="232" t="n">
        <v>4</v>
      </c>
      <c r="Q1476" s="234" t="n">
        <v>1205</v>
      </c>
      <c r="R1476" s="232" t="inlineStr"/>
      <c r="S1476" s="234" t="n">
        <v>1205</v>
      </c>
      <c r="T1476" s="232" t="inlineStr">
        <is>
          <t>CLP</t>
        </is>
      </c>
      <c r="U1476" s="232" t="inlineStr">
        <is>
          <t>Prorrateo Ha PACKING</t>
        </is>
      </c>
      <c r="V1476" s="232" t="inlineStr">
        <is>
          <t>2026-06-18</t>
        </is>
      </c>
    </row>
    <row r="1477">
      <c r="A1477" s="232" t="inlineStr">
        <is>
          <t>CR-1474</t>
        </is>
      </c>
      <c r="B1477" s="232" t="inlineStr">
        <is>
          <t>2026/27</t>
        </is>
      </c>
      <c r="C1477" s="233" t="n">
        <v>46044</v>
      </c>
      <c r="D1477" s="232" t="inlineStr">
        <is>
          <t>888488</t>
        </is>
      </c>
      <c r="E1477" s="232" t="inlineStr">
        <is>
          <t>PRORRATEO</t>
        </is>
      </c>
      <c r="F1477" s="232" t="inlineStr">
        <is>
          <t>Santa Catalina</t>
        </is>
      </c>
      <c r="G1477" s="232" t="inlineStr">
        <is>
          <t>W. murcott 21 ha</t>
        </is>
      </c>
      <c r="H1477" s="232" t="inlineStr">
        <is>
          <t>Mandarina</t>
        </is>
      </c>
      <c r="I1477" s="232" t="inlineStr">
        <is>
          <t>W. murcott</t>
        </is>
      </c>
      <c r="J1477" s="232" t="inlineStr">
        <is>
          <t>UNIFORME Y EPP</t>
        </is>
      </c>
      <c r="K1477" s="232" t="inlineStr">
        <is>
          <t>EPP</t>
        </is>
      </c>
      <c r="L1477" s="232" t="inlineStr">
        <is>
          <t>[PRORRATEO 14.2% 21.0há/148.3há] O/001282 GUANTE CAB</t>
        </is>
      </c>
      <c r="M1477" s="232" t="inlineStr"/>
      <c r="N1477" s="232" t="inlineStr">
        <is>
          <t>.   .   -</t>
        </is>
      </c>
      <c r="O1477" s="232" t="inlineStr">
        <is>
          <t>ENERO</t>
        </is>
      </c>
      <c r="P1477" s="232" t="n">
        <v>4</v>
      </c>
      <c r="Q1477" s="234" t="n">
        <v>3286</v>
      </c>
      <c r="R1477" s="232" t="inlineStr"/>
      <c r="S1477" s="234" t="n">
        <v>3286</v>
      </c>
      <c r="T1477" s="232" t="inlineStr">
        <is>
          <t>CLP</t>
        </is>
      </c>
      <c r="U1477" s="232" t="inlineStr">
        <is>
          <t>Prorrateo Ha PACKING</t>
        </is>
      </c>
      <c r="V1477" s="232" t="inlineStr">
        <is>
          <t>2026-06-18</t>
        </is>
      </c>
    </row>
    <row r="1478">
      <c r="A1478" s="232" t="inlineStr">
        <is>
          <t>CR-1475</t>
        </is>
      </c>
      <c r="B1478" s="232" t="inlineStr">
        <is>
          <t>2026/27</t>
        </is>
      </c>
      <c r="C1478" s="233" t="n">
        <v>46044</v>
      </c>
      <c r="D1478" s="232" t="inlineStr">
        <is>
          <t>888488</t>
        </is>
      </c>
      <c r="E1478" s="232" t="inlineStr">
        <is>
          <t>PRORRATEO</t>
        </is>
      </c>
      <c r="F1478" s="232" t="inlineStr">
        <is>
          <t>Santa Catalina</t>
        </is>
      </c>
      <c r="G1478" s="232" t="inlineStr">
        <is>
          <t>cambria 4,2 ha</t>
        </is>
      </c>
      <c r="H1478" s="232" t="inlineStr">
        <is>
          <t>Naranjas</t>
        </is>
      </c>
      <c r="I1478" s="232" t="inlineStr">
        <is>
          <t>Cambria</t>
        </is>
      </c>
      <c r="J1478" s="232" t="inlineStr">
        <is>
          <t>UNIFORME Y EPP</t>
        </is>
      </c>
      <c r="K1478" s="232" t="inlineStr">
        <is>
          <t>EPP</t>
        </is>
      </c>
      <c r="L1478" s="232" t="inlineStr">
        <is>
          <t>[PRORRATEO 2.8% 4.2há/148.3há] O/001282 GUANTE CAB</t>
        </is>
      </c>
      <c r="M1478" s="232" t="inlineStr"/>
      <c r="N1478" s="232" t="inlineStr">
        <is>
          <t>.   .   -</t>
        </is>
      </c>
      <c r="O1478" s="232" t="inlineStr">
        <is>
          <t>ENERO</t>
        </is>
      </c>
      <c r="P1478" s="232" t="n">
        <v>4</v>
      </c>
      <c r="Q1478" s="234" t="n">
        <v>657</v>
      </c>
      <c r="R1478" s="232" t="inlineStr"/>
      <c r="S1478" s="234" t="n">
        <v>657</v>
      </c>
      <c r="T1478" s="232" t="inlineStr">
        <is>
          <t>CLP</t>
        </is>
      </c>
      <c r="U1478" s="232" t="inlineStr">
        <is>
          <t>Prorrateo Ha PACKING</t>
        </is>
      </c>
      <c r="V1478" s="232" t="inlineStr">
        <is>
          <t>2026-06-18</t>
        </is>
      </c>
    </row>
    <row r="1479">
      <c r="A1479" s="232" t="inlineStr">
        <is>
          <t>CR-1476</t>
        </is>
      </c>
      <c r="B1479" s="232" t="inlineStr">
        <is>
          <t>2026/27</t>
        </is>
      </c>
      <c r="C1479" s="233" t="n">
        <v>46044</v>
      </c>
      <c r="D1479" s="232" t="inlineStr">
        <is>
          <t>888488</t>
        </is>
      </c>
      <c r="E1479" s="232" t="inlineStr">
        <is>
          <t>PRORRATEO</t>
        </is>
      </c>
      <c r="F1479" s="232" t="inlineStr">
        <is>
          <t>Santa Catalina</t>
        </is>
      </c>
      <c r="G1479" s="232" t="inlineStr">
        <is>
          <t>eureka 10,6 ha</t>
        </is>
      </c>
      <c r="H1479" s="232" t="inlineStr">
        <is>
          <t>Limon</t>
        </is>
      </c>
      <c r="I1479" s="232" t="inlineStr">
        <is>
          <t>Eureka</t>
        </is>
      </c>
      <c r="J1479" s="232" t="inlineStr">
        <is>
          <t>UNIFORME Y EPP</t>
        </is>
      </c>
      <c r="K1479" s="232" t="inlineStr">
        <is>
          <t>EPP</t>
        </is>
      </c>
      <c r="L1479" s="232" t="inlineStr">
        <is>
          <t>[PRORRATEO 7.1% 10.6há/148.3há] O/001282 GUANTE CAB</t>
        </is>
      </c>
      <c r="M1479" s="232" t="inlineStr"/>
      <c r="N1479" s="232" t="inlineStr">
        <is>
          <t>.   .   -</t>
        </is>
      </c>
      <c r="O1479" s="232" t="inlineStr">
        <is>
          <t>ENERO</t>
        </is>
      </c>
      <c r="P1479" s="232" t="n">
        <v>4</v>
      </c>
      <c r="Q1479" s="234" t="n">
        <v>1659</v>
      </c>
      <c r="R1479" s="232" t="inlineStr"/>
      <c r="S1479" s="234" t="n">
        <v>1659</v>
      </c>
      <c r="T1479" s="232" t="inlineStr">
        <is>
          <t>CLP</t>
        </is>
      </c>
      <c r="U1479" s="232" t="inlineStr">
        <is>
          <t>Prorrateo Ha PACKING</t>
        </is>
      </c>
      <c r="V1479" s="232" t="inlineStr">
        <is>
          <t>2026-06-18</t>
        </is>
      </c>
    </row>
    <row r="1480">
      <c r="A1480" s="232" t="inlineStr">
        <is>
          <t>CR-1477</t>
        </is>
      </c>
      <c r="B1480" s="232" t="inlineStr">
        <is>
          <t>2026/27</t>
        </is>
      </c>
      <c r="C1480" s="233" t="n">
        <v>46044</v>
      </c>
      <c r="D1480" s="232" t="inlineStr">
        <is>
          <t>888488</t>
        </is>
      </c>
      <c r="E1480" s="232" t="inlineStr">
        <is>
          <t>PRORRATEO</t>
        </is>
      </c>
      <c r="F1480" s="232" t="inlineStr">
        <is>
          <t>Santa Catalina</t>
        </is>
      </c>
      <c r="G1480" s="232" t="inlineStr">
        <is>
          <t>eureka 14,4 ha</t>
        </is>
      </c>
      <c r="H1480" s="232" t="inlineStr">
        <is>
          <t>Limon</t>
        </is>
      </c>
      <c r="I1480" s="232" t="inlineStr">
        <is>
          <t>Eureka</t>
        </is>
      </c>
      <c r="J1480" s="232" t="inlineStr">
        <is>
          <t>UNIFORME Y EPP</t>
        </is>
      </c>
      <c r="K1480" s="232" t="inlineStr">
        <is>
          <t>EPP</t>
        </is>
      </c>
      <c r="L1480" s="232" t="inlineStr">
        <is>
          <t>[PRORRATEO 9.7% 14.4há/148.3há] O/001282 GUANTE CAB</t>
        </is>
      </c>
      <c r="M1480" s="232" t="inlineStr"/>
      <c r="N1480" s="232" t="inlineStr">
        <is>
          <t>.   .   -</t>
        </is>
      </c>
      <c r="O1480" s="232" t="inlineStr">
        <is>
          <t>ENERO</t>
        </is>
      </c>
      <c r="P1480" s="232" t="n">
        <v>4</v>
      </c>
      <c r="Q1480" s="234" t="n">
        <v>2253</v>
      </c>
      <c r="R1480" s="232" t="inlineStr"/>
      <c r="S1480" s="234" t="n">
        <v>2253</v>
      </c>
      <c r="T1480" s="232" t="inlineStr">
        <is>
          <t>CLP</t>
        </is>
      </c>
      <c r="U1480" s="232" t="inlineStr">
        <is>
          <t>Prorrateo Ha PACKING</t>
        </is>
      </c>
      <c r="V1480" s="232" t="inlineStr">
        <is>
          <t>2026-06-18</t>
        </is>
      </c>
    </row>
    <row r="1481">
      <c r="A1481" s="232" t="inlineStr">
        <is>
          <t>CR-1478</t>
        </is>
      </c>
      <c r="B1481" s="232" t="inlineStr">
        <is>
          <t>2026/27</t>
        </is>
      </c>
      <c r="C1481" s="233" t="n">
        <v>46044</v>
      </c>
      <c r="D1481" s="232" t="inlineStr">
        <is>
          <t>888488</t>
        </is>
      </c>
      <c r="E1481" s="232" t="inlineStr">
        <is>
          <t>PRORRATEO</t>
        </is>
      </c>
      <c r="F1481" s="232" t="inlineStr">
        <is>
          <t>Santa Catalina</t>
        </is>
      </c>
      <c r="G1481" s="232" t="inlineStr">
        <is>
          <t>eureka 22,55</t>
        </is>
      </c>
      <c r="H1481" s="232" t="inlineStr">
        <is>
          <t>Limon</t>
        </is>
      </c>
      <c r="I1481" s="232" t="inlineStr">
        <is>
          <t>Eureka</t>
        </is>
      </c>
      <c r="J1481" s="232" t="inlineStr">
        <is>
          <t>UNIFORME Y EPP</t>
        </is>
      </c>
      <c r="K1481" s="232" t="inlineStr">
        <is>
          <t>EPP</t>
        </is>
      </c>
      <c r="L1481" s="232" t="inlineStr">
        <is>
          <t>[PRORRATEO 15.2% 22.55há/148.3há] O/001282 GUANTE CAB</t>
        </is>
      </c>
      <c r="M1481" s="232" t="inlineStr"/>
      <c r="N1481" s="232" t="inlineStr">
        <is>
          <t>.   .   -</t>
        </is>
      </c>
      <c r="O1481" s="232" t="inlineStr">
        <is>
          <t>ENERO</t>
        </is>
      </c>
      <c r="P1481" s="232" t="n">
        <v>4</v>
      </c>
      <c r="Q1481" s="234" t="n">
        <v>3529</v>
      </c>
      <c r="R1481" s="232" t="inlineStr"/>
      <c r="S1481" s="234" t="n">
        <v>3529</v>
      </c>
      <c r="T1481" s="232" t="inlineStr">
        <is>
          <t>CLP</t>
        </is>
      </c>
      <c r="U1481" s="232" t="inlineStr">
        <is>
          <t>Prorrateo Ha PACKING</t>
        </is>
      </c>
      <c r="V1481" s="232" t="inlineStr">
        <is>
          <t>2026-06-18</t>
        </is>
      </c>
    </row>
    <row r="1482">
      <c r="A1482" s="232" t="inlineStr">
        <is>
          <t>CR-1479</t>
        </is>
      </c>
      <c r="B1482" s="232" t="inlineStr">
        <is>
          <t>2026/27</t>
        </is>
      </c>
      <c r="C1482" s="233" t="n">
        <v>46044</v>
      </c>
      <c r="D1482" s="232" t="inlineStr">
        <is>
          <t>888488</t>
        </is>
      </c>
      <c r="E1482" s="232" t="inlineStr">
        <is>
          <t>PRORRATEO</t>
        </is>
      </c>
      <c r="F1482" s="232" t="inlineStr">
        <is>
          <t>Santa Catalina</t>
        </is>
      </c>
      <c r="G1482" s="232" t="inlineStr">
        <is>
          <t>form benjamin 1,93 ha</t>
        </is>
      </c>
      <c r="H1482" s="232" t="inlineStr">
        <is>
          <t>Limon</t>
        </is>
      </c>
      <c r="I1482" s="232" t="inlineStr">
        <is>
          <t>Benjamin andes</t>
        </is>
      </c>
      <c r="J1482" s="232" t="inlineStr">
        <is>
          <t>UNIFORME Y EPP</t>
        </is>
      </c>
      <c r="K1482" s="232" t="inlineStr">
        <is>
          <t>EPP</t>
        </is>
      </c>
      <c r="L1482" s="232" t="inlineStr">
        <is>
          <t>[PRORRATEO 1.3% 1.93há/148.3há] O/001282 GUANTE CAB</t>
        </is>
      </c>
      <c r="M1482" s="232" t="inlineStr"/>
      <c r="N1482" s="232" t="inlineStr">
        <is>
          <t>.   .   -</t>
        </is>
      </c>
      <c r="O1482" s="232" t="inlineStr">
        <is>
          <t>ENERO</t>
        </is>
      </c>
      <c r="P1482" s="232" t="n">
        <v>4</v>
      </c>
      <c r="Q1482" s="234" t="n">
        <v>302</v>
      </c>
      <c r="R1482" s="232" t="inlineStr"/>
      <c r="S1482" s="234" t="n">
        <v>302</v>
      </c>
      <c r="T1482" s="232" t="inlineStr">
        <is>
          <t>CLP</t>
        </is>
      </c>
      <c r="U1482" s="232" t="inlineStr">
        <is>
          <t>Prorrateo Ha PACKING</t>
        </is>
      </c>
      <c r="V1482" s="232" t="inlineStr">
        <is>
          <t>2026-06-18</t>
        </is>
      </c>
    </row>
    <row r="1483">
      <c r="A1483" s="232" t="inlineStr">
        <is>
          <t>CR-1480</t>
        </is>
      </c>
      <c r="B1483" s="232" t="inlineStr">
        <is>
          <t>2026/27</t>
        </is>
      </c>
      <c r="C1483" s="233" t="n">
        <v>46044</v>
      </c>
      <c r="D1483" s="232" t="inlineStr">
        <is>
          <t>888488</t>
        </is>
      </c>
      <c r="E1483" s="232" t="inlineStr">
        <is>
          <t>PRORRATEO</t>
        </is>
      </c>
      <c r="F1483" s="232" t="inlineStr">
        <is>
          <t>Santa Catalina</t>
        </is>
      </c>
      <c r="G1483" s="232" t="inlineStr">
        <is>
          <t>mant eureka 2,5 ha</t>
        </is>
      </c>
      <c r="H1483" s="232" t="inlineStr">
        <is>
          <t>Limon</t>
        </is>
      </c>
      <c r="I1483" s="232" t="inlineStr">
        <is>
          <t>Eureka</t>
        </is>
      </c>
      <c r="J1483" s="232" t="inlineStr">
        <is>
          <t>UNIFORME Y EPP</t>
        </is>
      </c>
      <c r="K1483" s="232" t="inlineStr">
        <is>
          <t>EPP</t>
        </is>
      </c>
      <c r="L1483" s="232" t="inlineStr">
        <is>
          <t>[PRORRATEO 1.7% 2.5há/148.3há] O/001282 GUANTE CAB</t>
        </is>
      </c>
      <c r="M1483" s="232" t="inlineStr"/>
      <c r="N1483" s="232" t="inlineStr">
        <is>
          <t>.   .   -</t>
        </is>
      </c>
      <c r="O1483" s="232" t="inlineStr">
        <is>
          <t>ENERO</t>
        </is>
      </c>
      <c r="P1483" s="232" t="n">
        <v>4</v>
      </c>
      <c r="Q1483" s="234" t="n">
        <v>391</v>
      </c>
      <c r="R1483" s="232" t="inlineStr"/>
      <c r="S1483" s="234" t="n">
        <v>391</v>
      </c>
      <c r="T1483" s="232" t="inlineStr">
        <is>
          <t>CLP</t>
        </is>
      </c>
      <c r="U1483" s="232" t="inlineStr">
        <is>
          <t>Prorrateo Ha PACKING</t>
        </is>
      </c>
      <c r="V1483" s="232" t="inlineStr">
        <is>
          <t>2026-06-18</t>
        </is>
      </c>
    </row>
    <row r="1484">
      <c r="A1484" s="232" t="inlineStr">
        <is>
          <t>CR-1481</t>
        </is>
      </c>
      <c r="B1484" s="232" t="inlineStr">
        <is>
          <t>2026/27</t>
        </is>
      </c>
      <c r="C1484" s="233" t="n">
        <v>46044</v>
      </c>
      <c r="D1484" s="232" t="inlineStr">
        <is>
          <t>888488</t>
        </is>
      </c>
      <c r="E1484" s="232" t="inlineStr">
        <is>
          <t>PRORRATEO</t>
        </is>
      </c>
      <c r="F1484" s="232" t="inlineStr">
        <is>
          <t>Siberia</t>
        </is>
      </c>
      <c r="G1484" s="232" t="inlineStr">
        <is>
          <t>S. Celebration 7,14</t>
        </is>
      </c>
      <c r="H1484" s="232" t="inlineStr">
        <is>
          <t>Uvas</t>
        </is>
      </c>
      <c r="I1484" s="232" t="inlineStr">
        <is>
          <t>S. celebration</t>
        </is>
      </c>
      <c r="J1484" s="232" t="inlineStr">
        <is>
          <t>UNIFORME Y EPP</t>
        </is>
      </c>
      <c r="K1484" s="232" t="inlineStr">
        <is>
          <t>EPP</t>
        </is>
      </c>
      <c r="L1484" s="232" t="inlineStr">
        <is>
          <t>[PRORRATEO 4.8% 7.14há/148.3há] O/001282 GUANTE CAB</t>
        </is>
      </c>
      <c r="M1484" s="232" t="inlineStr"/>
      <c r="N1484" s="232" t="inlineStr">
        <is>
          <t>.   .   -</t>
        </is>
      </c>
      <c r="O1484" s="232" t="inlineStr">
        <is>
          <t>ENERO</t>
        </is>
      </c>
      <c r="P1484" s="232" t="n">
        <v>4</v>
      </c>
      <c r="Q1484" s="234" t="n">
        <v>1117</v>
      </c>
      <c r="R1484" s="232" t="inlineStr"/>
      <c r="S1484" s="234" t="n">
        <v>1117</v>
      </c>
      <c r="T1484" s="232" t="inlineStr">
        <is>
          <t>CLP</t>
        </is>
      </c>
      <c r="U1484" s="232" t="inlineStr">
        <is>
          <t>Prorrateo Ha PACKING</t>
        </is>
      </c>
      <c r="V1484" s="232" t="inlineStr">
        <is>
          <t>2026-06-18</t>
        </is>
      </c>
    </row>
    <row r="1485">
      <c r="A1485" s="232" t="inlineStr">
        <is>
          <t>CR-1482</t>
        </is>
      </c>
      <c r="B1485" s="232" t="inlineStr">
        <is>
          <t>2026/27</t>
        </is>
      </c>
      <c r="C1485" s="233" t="n">
        <v>46044</v>
      </c>
      <c r="D1485" s="232" t="inlineStr">
        <is>
          <t>888488</t>
        </is>
      </c>
      <c r="E1485" s="232" t="inlineStr">
        <is>
          <t>PRORRATEO</t>
        </is>
      </c>
      <c r="F1485" s="232" t="inlineStr">
        <is>
          <t>Siberia</t>
        </is>
      </c>
      <c r="G1485" s="232" t="inlineStr">
        <is>
          <t>Timpson 7,1</t>
        </is>
      </c>
      <c r="H1485" s="232" t="inlineStr">
        <is>
          <t>Uvas</t>
        </is>
      </c>
      <c r="I1485" s="232" t="inlineStr">
        <is>
          <t>Timpson</t>
        </is>
      </c>
      <c r="J1485" s="232" t="inlineStr">
        <is>
          <t>UNIFORME Y EPP</t>
        </is>
      </c>
      <c r="K1485" s="232" t="inlineStr">
        <is>
          <t>EPP</t>
        </is>
      </c>
      <c r="L1485" s="232" t="inlineStr">
        <is>
          <t>[PRORRATEO 4.8% 7.1há/148.3há] O/001282 GUANTE CAB</t>
        </is>
      </c>
      <c r="M1485" s="232" t="inlineStr"/>
      <c r="N1485" s="232" t="inlineStr">
        <is>
          <t>.   .   -</t>
        </is>
      </c>
      <c r="O1485" s="232" t="inlineStr">
        <is>
          <t>ENERO</t>
        </is>
      </c>
      <c r="P1485" s="232" t="n">
        <v>4</v>
      </c>
      <c r="Q1485" s="234" t="n">
        <v>1111</v>
      </c>
      <c r="R1485" s="232" t="inlineStr"/>
      <c r="S1485" s="234" t="n">
        <v>1111</v>
      </c>
      <c r="T1485" s="232" t="inlineStr">
        <is>
          <t>CLP</t>
        </is>
      </c>
      <c r="U1485" s="232" t="inlineStr">
        <is>
          <t>Prorrateo Ha PACKING</t>
        </is>
      </c>
      <c r="V1485" s="232" t="inlineStr">
        <is>
          <t>2026-06-18</t>
        </is>
      </c>
    </row>
    <row r="1486">
      <c r="A1486" s="232" t="inlineStr">
        <is>
          <t>CR-1483</t>
        </is>
      </c>
      <c r="B1486" s="232" t="inlineStr">
        <is>
          <t>2026/27</t>
        </is>
      </c>
      <c r="C1486" s="233" t="n">
        <v>46044</v>
      </c>
      <c r="D1486" s="232" t="inlineStr">
        <is>
          <t>888488</t>
        </is>
      </c>
      <c r="E1486" s="232" t="inlineStr">
        <is>
          <t>PRORRATEO</t>
        </is>
      </c>
      <c r="F1486" s="232" t="inlineStr">
        <is>
          <t>Asmara</t>
        </is>
      </c>
      <c r="G1486" s="232" t="inlineStr">
        <is>
          <t>w. murcott 19,8 ha</t>
        </is>
      </c>
      <c r="H1486" s="232" t="inlineStr">
        <is>
          <t>Mandarina</t>
        </is>
      </c>
      <c r="I1486" s="232" t="inlineStr">
        <is>
          <t>W. murcott</t>
        </is>
      </c>
      <c r="J1486" s="232" t="inlineStr">
        <is>
          <t>UNIFORME Y EPP</t>
        </is>
      </c>
      <c r="K1486" s="232" t="inlineStr">
        <is>
          <t>EPP</t>
        </is>
      </c>
      <c r="L1486" s="232" t="inlineStr">
        <is>
          <t>[PRORRATEO 13.4% 19.8há/148.3há] O/001282 GUANTE CAB</t>
        </is>
      </c>
      <c r="M1486" s="232" t="inlineStr"/>
      <c r="N1486" s="232" t="inlineStr">
        <is>
          <t>.   .   -</t>
        </is>
      </c>
      <c r="O1486" s="232" t="inlineStr">
        <is>
          <t>ENERO</t>
        </is>
      </c>
      <c r="P1486" s="232" t="n">
        <v>4</v>
      </c>
      <c r="Q1486" s="234" t="n">
        <v>1549</v>
      </c>
      <c r="R1486" s="232" t="inlineStr"/>
      <c r="S1486" s="234" t="n">
        <v>1549</v>
      </c>
      <c r="T1486" s="232" t="inlineStr">
        <is>
          <t>CLP</t>
        </is>
      </c>
      <c r="U1486" s="232" t="inlineStr">
        <is>
          <t>Prorrateo Ha PACKING</t>
        </is>
      </c>
      <c r="V1486" s="232" t="inlineStr">
        <is>
          <t>2026-06-18</t>
        </is>
      </c>
    </row>
    <row r="1487">
      <c r="A1487" s="232" t="inlineStr">
        <is>
          <t>CR-1484</t>
        </is>
      </c>
      <c r="B1487" s="232" t="inlineStr">
        <is>
          <t>2026/27</t>
        </is>
      </c>
      <c r="C1487" s="233" t="n">
        <v>46044</v>
      </c>
      <c r="D1487" s="232" t="inlineStr">
        <is>
          <t>888488</t>
        </is>
      </c>
      <c r="E1487" s="232" t="inlineStr">
        <is>
          <t>PRORRATEO</t>
        </is>
      </c>
      <c r="F1487" s="232" t="inlineStr">
        <is>
          <t>Asmara</t>
        </is>
      </c>
      <c r="G1487" s="232" t="inlineStr">
        <is>
          <t>w. murcott 4,9 ha</t>
        </is>
      </c>
      <c r="H1487" s="232" t="inlineStr">
        <is>
          <t>Mandarina</t>
        </is>
      </c>
      <c r="I1487" s="232" t="inlineStr">
        <is>
          <t>W. murcott</t>
        </is>
      </c>
      <c r="J1487" s="232" t="inlineStr">
        <is>
          <t>UNIFORME Y EPP</t>
        </is>
      </c>
      <c r="K1487" s="232" t="inlineStr">
        <is>
          <t>EPP</t>
        </is>
      </c>
      <c r="L1487" s="232" t="inlineStr">
        <is>
          <t>[PRORRATEO 3.3% 4.9há/148.3há] O/001282 GUANTE CAB</t>
        </is>
      </c>
      <c r="M1487" s="232" t="inlineStr"/>
      <c r="N1487" s="232" t="inlineStr">
        <is>
          <t>.   .   -</t>
        </is>
      </c>
      <c r="O1487" s="232" t="inlineStr">
        <is>
          <t>ENERO</t>
        </is>
      </c>
      <c r="P1487" s="232" t="n">
        <v>4</v>
      </c>
      <c r="Q1487" s="234" t="n">
        <v>383</v>
      </c>
      <c r="R1487" s="232" t="inlineStr"/>
      <c r="S1487" s="234" t="n">
        <v>383</v>
      </c>
      <c r="T1487" s="232" t="inlineStr">
        <is>
          <t>CLP</t>
        </is>
      </c>
      <c r="U1487" s="232" t="inlineStr">
        <is>
          <t>Prorrateo Ha PACKING</t>
        </is>
      </c>
      <c r="V1487" s="232" t="inlineStr">
        <is>
          <t>2026-06-18</t>
        </is>
      </c>
    </row>
    <row r="1488">
      <c r="A1488" s="232" t="inlineStr">
        <is>
          <t>CR-1485</t>
        </is>
      </c>
      <c r="B1488" s="232" t="inlineStr">
        <is>
          <t>2026/27</t>
        </is>
      </c>
      <c r="C1488" s="233" t="n">
        <v>46044</v>
      </c>
      <c r="D1488" s="232" t="inlineStr">
        <is>
          <t>888488</t>
        </is>
      </c>
      <c r="E1488" s="232" t="inlineStr">
        <is>
          <t>PRORRATEO</t>
        </is>
      </c>
      <c r="F1488" s="232" t="inlineStr">
        <is>
          <t>El Molle</t>
        </is>
      </c>
      <c r="G1488" s="232" t="inlineStr">
        <is>
          <t>Wonderful 5,25 ha</t>
        </is>
      </c>
      <c r="H1488" s="232" t="inlineStr">
        <is>
          <t>Granados</t>
        </is>
      </c>
      <c r="I1488" s="232" t="inlineStr">
        <is>
          <t>Wonderfull</t>
        </is>
      </c>
      <c r="J1488" s="232" t="inlineStr">
        <is>
          <t>UNIFORME Y EPP</t>
        </is>
      </c>
      <c r="K1488" s="232" t="inlineStr">
        <is>
          <t>EPP</t>
        </is>
      </c>
      <c r="L1488" s="232" t="inlineStr">
        <is>
          <t>[PRORRATEO 3.5% 5.24há/148.3há] O/001282 GUANTE CAB</t>
        </is>
      </c>
      <c r="M1488" s="232" t="inlineStr"/>
      <c r="N1488" s="232" t="inlineStr">
        <is>
          <t>.   .   -</t>
        </is>
      </c>
      <c r="O1488" s="232" t="inlineStr">
        <is>
          <t>ENERO</t>
        </is>
      </c>
      <c r="P1488" s="232" t="n">
        <v>4</v>
      </c>
      <c r="Q1488" s="234" t="n">
        <v>410</v>
      </c>
      <c r="R1488" s="232" t="inlineStr"/>
      <c r="S1488" s="234" t="n">
        <v>410</v>
      </c>
      <c r="T1488" s="232" t="inlineStr">
        <is>
          <t>CLP</t>
        </is>
      </c>
      <c r="U1488" s="232" t="inlineStr">
        <is>
          <t>Prorrateo Ha PACKING</t>
        </is>
      </c>
      <c r="V1488" s="232" t="inlineStr">
        <is>
          <t>2026-06-18</t>
        </is>
      </c>
    </row>
    <row r="1489">
      <c r="A1489" s="232" t="inlineStr">
        <is>
          <t>CR-1486</t>
        </is>
      </c>
      <c r="B1489" s="232" t="inlineStr">
        <is>
          <t>2026/27</t>
        </is>
      </c>
      <c r="C1489" s="233" t="n">
        <v>46044</v>
      </c>
      <c r="D1489" s="232" t="inlineStr">
        <is>
          <t>888488</t>
        </is>
      </c>
      <c r="E1489" s="232" t="inlineStr">
        <is>
          <t>PRORRATEO</t>
        </is>
      </c>
      <c r="F1489" s="232" t="inlineStr">
        <is>
          <t>El Molle</t>
        </is>
      </c>
      <c r="G1489" s="232" t="inlineStr">
        <is>
          <t>arrufatinas 5,74 ha</t>
        </is>
      </c>
      <c r="H1489" s="232" t="inlineStr">
        <is>
          <t>Clementinas</t>
        </is>
      </c>
      <c r="I1489" s="232" t="inlineStr">
        <is>
          <t>Arrufatinas</t>
        </is>
      </c>
      <c r="J1489" s="232" t="inlineStr">
        <is>
          <t>UNIFORME Y EPP</t>
        </is>
      </c>
      <c r="K1489" s="232" t="inlineStr">
        <is>
          <t>EPP</t>
        </is>
      </c>
      <c r="L1489" s="232" t="inlineStr">
        <is>
          <t>[PRORRATEO 3.9% 5.74há/148.3há] O/001282 GUANTE CAB</t>
        </is>
      </c>
      <c r="M1489" s="232" t="inlineStr"/>
      <c r="N1489" s="232" t="inlineStr">
        <is>
          <t>.   .   -</t>
        </is>
      </c>
      <c r="O1489" s="232" t="inlineStr">
        <is>
          <t>ENERO</t>
        </is>
      </c>
      <c r="P1489" s="232" t="n">
        <v>4</v>
      </c>
      <c r="Q1489" s="234" t="n">
        <v>449</v>
      </c>
      <c r="R1489" s="232" t="inlineStr"/>
      <c r="S1489" s="234" t="n">
        <v>449</v>
      </c>
      <c r="T1489" s="232" t="inlineStr">
        <is>
          <t>CLP</t>
        </is>
      </c>
      <c r="U1489" s="232" t="inlineStr">
        <is>
          <t>Prorrateo Ha PACKING</t>
        </is>
      </c>
      <c r="V1489" s="232" t="inlineStr">
        <is>
          <t>2026-06-18</t>
        </is>
      </c>
    </row>
    <row r="1490">
      <c r="A1490" s="232" t="inlineStr">
        <is>
          <t>CR-1487</t>
        </is>
      </c>
      <c r="B1490" s="232" t="inlineStr">
        <is>
          <t>2026/27</t>
        </is>
      </c>
      <c r="C1490" s="233" t="n">
        <v>46044</v>
      </c>
      <c r="D1490" s="232" t="inlineStr">
        <is>
          <t>888488</t>
        </is>
      </c>
      <c r="E1490" s="232" t="inlineStr">
        <is>
          <t>PRORRATEO</t>
        </is>
      </c>
      <c r="F1490" s="232" t="inlineStr">
        <is>
          <t>El Molle</t>
        </is>
      </c>
      <c r="G1490" s="232" t="inlineStr">
        <is>
          <t>orogrande 8,11 ha</t>
        </is>
      </c>
      <c r="H1490" s="232" t="inlineStr">
        <is>
          <t>Clementinas</t>
        </is>
      </c>
      <c r="I1490" s="232" t="inlineStr">
        <is>
          <t>Orogrande</t>
        </is>
      </c>
      <c r="J1490" s="232" t="inlineStr">
        <is>
          <t>UNIFORME Y EPP</t>
        </is>
      </c>
      <c r="K1490" s="232" t="inlineStr">
        <is>
          <t>EPP</t>
        </is>
      </c>
      <c r="L1490" s="232" t="inlineStr">
        <is>
          <t>[PRORRATEO 5.5% 8.11há/148.3há] O/001282 GUANTE CAB</t>
        </is>
      </c>
      <c r="M1490" s="232" t="inlineStr"/>
      <c r="N1490" s="232" t="inlineStr">
        <is>
          <t>.   .   -</t>
        </is>
      </c>
      <c r="O1490" s="232" t="inlineStr">
        <is>
          <t>ENERO</t>
        </is>
      </c>
      <c r="P1490" s="232" t="n">
        <v>4</v>
      </c>
      <c r="Q1490" s="234" t="n">
        <v>635</v>
      </c>
      <c r="R1490" s="232" t="inlineStr"/>
      <c r="S1490" s="234" t="n">
        <v>635</v>
      </c>
      <c r="T1490" s="232" t="inlineStr">
        <is>
          <t>CLP</t>
        </is>
      </c>
      <c r="U1490" s="232" t="inlineStr">
        <is>
          <t>Prorrateo Ha PACKING</t>
        </is>
      </c>
      <c r="V1490" s="232" t="inlineStr">
        <is>
          <t>2026-06-18</t>
        </is>
      </c>
    </row>
    <row r="1491">
      <c r="A1491" s="232" t="inlineStr">
        <is>
          <t>CR-1488</t>
        </is>
      </c>
      <c r="B1491" s="232" t="inlineStr">
        <is>
          <t>2026/27</t>
        </is>
      </c>
      <c r="C1491" s="233" t="n">
        <v>46044</v>
      </c>
      <c r="D1491" s="232" t="inlineStr">
        <is>
          <t>888488</t>
        </is>
      </c>
      <c r="E1491" s="232" t="inlineStr">
        <is>
          <t>PRORRATEO</t>
        </is>
      </c>
      <c r="F1491" s="232" t="inlineStr">
        <is>
          <t>El Molle</t>
        </is>
      </c>
      <c r="G1491" s="232" t="inlineStr">
        <is>
          <t>oronules 5,35 ha</t>
        </is>
      </c>
      <c r="H1491" s="232" t="inlineStr">
        <is>
          <t>Clementinas</t>
        </is>
      </c>
      <c r="I1491" s="232" t="inlineStr">
        <is>
          <t>Oronules</t>
        </is>
      </c>
      <c r="J1491" s="232" t="inlineStr">
        <is>
          <t>UNIFORME Y EPP</t>
        </is>
      </c>
      <c r="K1491" s="232" t="inlineStr">
        <is>
          <t>EPP</t>
        </is>
      </c>
      <c r="L1491" s="232" t="inlineStr">
        <is>
          <t>[PRORRATEO 3.6% 5.35há/148.3há] O/001282 GUANTE CAB</t>
        </is>
      </c>
      <c r="M1491" s="232" t="inlineStr"/>
      <c r="N1491" s="232" t="inlineStr">
        <is>
          <t>.   .   -</t>
        </is>
      </c>
      <c r="O1491" s="232" t="inlineStr">
        <is>
          <t>ENERO</t>
        </is>
      </c>
      <c r="P1491" s="232" t="n">
        <v>4</v>
      </c>
      <c r="Q1491" s="234" t="n">
        <v>419</v>
      </c>
      <c r="R1491" s="232" t="inlineStr"/>
      <c r="S1491" s="234" t="n">
        <v>419</v>
      </c>
      <c r="T1491" s="232" t="inlineStr">
        <is>
          <t>CLP</t>
        </is>
      </c>
      <c r="U1491" s="232" t="inlineStr">
        <is>
          <t>Prorrateo Ha PACKING</t>
        </is>
      </c>
      <c r="V1491" s="232" t="inlineStr">
        <is>
          <t>2026-06-18</t>
        </is>
      </c>
    </row>
    <row r="1492">
      <c r="A1492" s="232" t="inlineStr">
        <is>
          <t>CR-1489</t>
        </is>
      </c>
      <c r="B1492" s="232" t="inlineStr">
        <is>
          <t>2026/27</t>
        </is>
      </c>
      <c r="C1492" s="233" t="n">
        <v>46044</v>
      </c>
      <c r="D1492" s="232" t="inlineStr">
        <is>
          <t>888488</t>
        </is>
      </c>
      <c r="E1492" s="232" t="inlineStr">
        <is>
          <t>PRORRATEO</t>
        </is>
      </c>
      <c r="F1492" s="232" t="inlineStr">
        <is>
          <t>Santa Catalina</t>
        </is>
      </c>
      <c r="G1492" s="232" t="inlineStr">
        <is>
          <t>Fino 49 7,7 ha</t>
        </is>
      </c>
      <c r="H1492" s="232" t="inlineStr">
        <is>
          <t>Limon</t>
        </is>
      </c>
      <c r="I1492" s="232" t="inlineStr">
        <is>
          <t>Fino 49</t>
        </is>
      </c>
      <c r="J1492" s="232" t="inlineStr">
        <is>
          <t>UNIFORME Y EPP</t>
        </is>
      </c>
      <c r="K1492" s="232" t="inlineStr">
        <is>
          <t>EPP</t>
        </is>
      </c>
      <c r="L1492" s="232" t="inlineStr">
        <is>
          <t>[PRORRATEO 5.2% 7.7há/148.3há] O/001282 GUANTE CAB</t>
        </is>
      </c>
      <c r="M1492" s="232" t="inlineStr"/>
      <c r="N1492" s="232" t="inlineStr">
        <is>
          <t>.   .   -</t>
        </is>
      </c>
      <c r="O1492" s="232" t="inlineStr">
        <is>
          <t>ENERO</t>
        </is>
      </c>
      <c r="P1492" s="232" t="n">
        <v>4</v>
      </c>
      <c r="Q1492" s="234" t="n">
        <v>602</v>
      </c>
      <c r="R1492" s="232" t="inlineStr"/>
      <c r="S1492" s="234" t="n">
        <v>602</v>
      </c>
      <c r="T1492" s="232" t="inlineStr">
        <is>
          <t>CLP</t>
        </is>
      </c>
      <c r="U1492" s="232" t="inlineStr">
        <is>
          <t>Prorrateo Ha PACKING</t>
        </is>
      </c>
      <c r="V1492" s="232" t="inlineStr">
        <is>
          <t>2026-06-18</t>
        </is>
      </c>
    </row>
    <row r="1493">
      <c r="A1493" s="232" t="inlineStr">
        <is>
          <t>CR-1490</t>
        </is>
      </c>
      <c r="B1493" s="232" t="inlineStr">
        <is>
          <t>2026/27</t>
        </is>
      </c>
      <c r="C1493" s="233" t="n">
        <v>46044</v>
      </c>
      <c r="D1493" s="232" t="inlineStr">
        <is>
          <t>888488</t>
        </is>
      </c>
      <c r="E1493" s="232" t="inlineStr">
        <is>
          <t>PRORRATEO</t>
        </is>
      </c>
      <c r="F1493" s="232" t="inlineStr">
        <is>
          <t>Santa Catalina</t>
        </is>
      </c>
      <c r="G1493" s="232" t="inlineStr">
        <is>
          <t>W. murcott 21 ha</t>
        </is>
      </c>
      <c r="H1493" s="232" t="inlineStr">
        <is>
          <t>Mandarina</t>
        </is>
      </c>
      <c r="I1493" s="232" t="inlineStr">
        <is>
          <t>W. murcott</t>
        </is>
      </c>
      <c r="J1493" s="232" t="inlineStr">
        <is>
          <t>UNIFORME Y EPP</t>
        </is>
      </c>
      <c r="K1493" s="232" t="inlineStr">
        <is>
          <t>EPP</t>
        </is>
      </c>
      <c r="L1493" s="232" t="inlineStr">
        <is>
          <t>[PRORRATEO 14.2% 21.0há/148.3há] O/001282 GUANTE CAB</t>
        </is>
      </c>
      <c r="M1493" s="232" t="inlineStr"/>
      <c r="N1493" s="232" t="inlineStr">
        <is>
          <t>.   .   -</t>
        </is>
      </c>
      <c r="O1493" s="232" t="inlineStr">
        <is>
          <t>ENERO</t>
        </is>
      </c>
      <c r="P1493" s="232" t="n">
        <v>4</v>
      </c>
      <c r="Q1493" s="234" t="n">
        <v>1643</v>
      </c>
      <c r="R1493" s="232" t="inlineStr"/>
      <c r="S1493" s="234" t="n">
        <v>1643</v>
      </c>
      <c r="T1493" s="232" t="inlineStr">
        <is>
          <t>CLP</t>
        </is>
      </c>
      <c r="U1493" s="232" t="inlineStr">
        <is>
          <t>Prorrateo Ha PACKING</t>
        </is>
      </c>
      <c r="V1493" s="232" t="inlineStr">
        <is>
          <t>2026-06-18</t>
        </is>
      </c>
    </row>
    <row r="1494">
      <c r="A1494" s="232" t="inlineStr">
        <is>
          <t>CR-1491</t>
        </is>
      </c>
      <c r="B1494" s="232" t="inlineStr">
        <is>
          <t>2026/27</t>
        </is>
      </c>
      <c r="C1494" s="233" t="n">
        <v>46044</v>
      </c>
      <c r="D1494" s="232" t="inlineStr">
        <is>
          <t>888488</t>
        </is>
      </c>
      <c r="E1494" s="232" t="inlineStr">
        <is>
          <t>PRORRATEO</t>
        </is>
      </c>
      <c r="F1494" s="232" t="inlineStr">
        <is>
          <t>Santa Catalina</t>
        </is>
      </c>
      <c r="G1494" s="232" t="inlineStr">
        <is>
          <t>cambria 4,2 ha</t>
        </is>
      </c>
      <c r="H1494" s="232" t="inlineStr">
        <is>
          <t>Naranjas</t>
        </is>
      </c>
      <c r="I1494" s="232" t="inlineStr">
        <is>
          <t>Cambria</t>
        </is>
      </c>
      <c r="J1494" s="232" t="inlineStr">
        <is>
          <t>UNIFORME Y EPP</t>
        </is>
      </c>
      <c r="K1494" s="232" t="inlineStr">
        <is>
          <t>EPP</t>
        </is>
      </c>
      <c r="L1494" s="232" t="inlineStr">
        <is>
          <t>[PRORRATEO 2.8% 4.2há/148.3há] O/001282 GUANTE CAB</t>
        </is>
      </c>
      <c r="M1494" s="232" t="inlineStr"/>
      <c r="N1494" s="232" t="inlineStr">
        <is>
          <t>.   .   -</t>
        </is>
      </c>
      <c r="O1494" s="232" t="inlineStr">
        <is>
          <t>ENERO</t>
        </is>
      </c>
      <c r="P1494" s="232" t="n">
        <v>4</v>
      </c>
      <c r="Q1494" s="234" t="n">
        <v>329</v>
      </c>
      <c r="R1494" s="232" t="inlineStr"/>
      <c r="S1494" s="234" t="n">
        <v>329</v>
      </c>
      <c r="T1494" s="232" t="inlineStr">
        <is>
          <t>CLP</t>
        </is>
      </c>
      <c r="U1494" s="232" t="inlineStr">
        <is>
          <t>Prorrateo Ha PACKING</t>
        </is>
      </c>
      <c r="V1494" s="232" t="inlineStr">
        <is>
          <t>2026-06-18</t>
        </is>
      </c>
    </row>
    <row r="1495">
      <c r="A1495" s="232" t="inlineStr">
        <is>
          <t>CR-1492</t>
        </is>
      </c>
      <c r="B1495" s="232" t="inlineStr">
        <is>
          <t>2026/27</t>
        </is>
      </c>
      <c r="C1495" s="233" t="n">
        <v>46044</v>
      </c>
      <c r="D1495" s="232" t="inlineStr">
        <is>
          <t>888488</t>
        </is>
      </c>
      <c r="E1495" s="232" t="inlineStr">
        <is>
          <t>PRORRATEO</t>
        </is>
      </c>
      <c r="F1495" s="232" t="inlineStr">
        <is>
          <t>Santa Catalina</t>
        </is>
      </c>
      <c r="G1495" s="232" t="inlineStr">
        <is>
          <t>eureka 10,6 ha</t>
        </is>
      </c>
      <c r="H1495" s="232" t="inlineStr">
        <is>
          <t>Limon</t>
        </is>
      </c>
      <c r="I1495" s="232" t="inlineStr">
        <is>
          <t>Eureka</t>
        </is>
      </c>
      <c r="J1495" s="232" t="inlineStr">
        <is>
          <t>UNIFORME Y EPP</t>
        </is>
      </c>
      <c r="K1495" s="232" t="inlineStr">
        <is>
          <t>EPP</t>
        </is>
      </c>
      <c r="L1495" s="232" t="inlineStr">
        <is>
          <t>[PRORRATEO 7.1% 10.6há/148.3há] O/001282 GUANTE CAB</t>
        </is>
      </c>
      <c r="M1495" s="232" t="inlineStr"/>
      <c r="N1495" s="232" t="inlineStr">
        <is>
          <t>.   .   -</t>
        </is>
      </c>
      <c r="O1495" s="232" t="inlineStr">
        <is>
          <t>ENERO</t>
        </is>
      </c>
      <c r="P1495" s="232" t="n">
        <v>4</v>
      </c>
      <c r="Q1495" s="234" t="n">
        <v>829</v>
      </c>
      <c r="R1495" s="232" t="inlineStr"/>
      <c r="S1495" s="234" t="n">
        <v>829</v>
      </c>
      <c r="T1495" s="232" t="inlineStr">
        <is>
          <t>CLP</t>
        </is>
      </c>
      <c r="U1495" s="232" t="inlineStr">
        <is>
          <t>Prorrateo Ha PACKING</t>
        </is>
      </c>
      <c r="V1495" s="232" t="inlineStr">
        <is>
          <t>2026-06-18</t>
        </is>
      </c>
    </row>
    <row r="1496">
      <c r="A1496" s="232" t="inlineStr">
        <is>
          <t>CR-1493</t>
        </is>
      </c>
      <c r="B1496" s="232" t="inlineStr">
        <is>
          <t>2026/27</t>
        </is>
      </c>
      <c r="C1496" s="233" t="n">
        <v>46044</v>
      </c>
      <c r="D1496" s="232" t="inlineStr">
        <is>
          <t>888488</t>
        </is>
      </c>
      <c r="E1496" s="232" t="inlineStr">
        <is>
          <t>PRORRATEO</t>
        </is>
      </c>
      <c r="F1496" s="232" t="inlineStr">
        <is>
          <t>Santa Catalina</t>
        </is>
      </c>
      <c r="G1496" s="232" t="inlineStr">
        <is>
          <t>eureka 14,4 ha</t>
        </is>
      </c>
      <c r="H1496" s="232" t="inlineStr">
        <is>
          <t>Limon</t>
        </is>
      </c>
      <c r="I1496" s="232" t="inlineStr">
        <is>
          <t>Eureka</t>
        </is>
      </c>
      <c r="J1496" s="232" t="inlineStr">
        <is>
          <t>UNIFORME Y EPP</t>
        </is>
      </c>
      <c r="K1496" s="232" t="inlineStr">
        <is>
          <t>EPP</t>
        </is>
      </c>
      <c r="L1496" s="232" t="inlineStr">
        <is>
          <t>[PRORRATEO 9.7% 14.4há/148.3há] O/001282 GUANTE CAB</t>
        </is>
      </c>
      <c r="M1496" s="232" t="inlineStr"/>
      <c r="N1496" s="232" t="inlineStr">
        <is>
          <t>.   .   -</t>
        </is>
      </c>
      <c r="O1496" s="232" t="inlineStr">
        <is>
          <t>ENERO</t>
        </is>
      </c>
      <c r="P1496" s="232" t="n">
        <v>4</v>
      </c>
      <c r="Q1496" s="234" t="n">
        <v>1127</v>
      </c>
      <c r="R1496" s="232" t="inlineStr"/>
      <c r="S1496" s="234" t="n">
        <v>1127</v>
      </c>
      <c r="T1496" s="232" t="inlineStr">
        <is>
          <t>CLP</t>
        </is>
      </c>
      <c r="U1496" s="232" t="inlineStr">
        <is>
          <t>Prorrateo Ha PACKING</t>
        </is>
      </c>
      <c r="V1496" s="232" t="inlineStr">
        <is>
          <t>2026-06-18</t>
        </is>
      </c>
    </row>
    <row r="1497">
      <c r="A1497" s="232" t="inlineStr">
        <is>
          <t>CR-1494</t>
        </is>
      </c>
      <c r="B1497" s="232" t="inlineStr">
        <is>
          <t>2026/27</t>
        </is>
      </c>
      <c r="C1497" s="233" t="n">
        <v>46044</v>
      </c>
      <c r="D1497" s="232" t="inlineStr">
        <is>
          <t>888488</t>
        </is>
      </c>
      <c r="E1497" s="232" t="inlineStr">
        <is>
          <t>PRORRATEO</t>
        </is>
      </c>
      <c r="F1497" s="232" t="inlineStr">
        <is>
          <t>Santa Catalina</t>
        </is>
      </c>
      <c r="G1497" s="232" t="inlineStr">
        <is>
          <t>eureka 22,55</t>
        </is>
      </c>
      <c r="H1497" s="232" t="inlineStr">
        <is>
          <t>Limon</t>
        </is>
      </c>
      <c r="I1497" s="232" t="inlineStr">
        <is>
          <t>Eureka</t>
        </is>
      </c>
      <c r="J1497" s="232" t="inlineStr">
        <is>
          <t>UNIFORME Y EPP</t>
        </is>
      </c>
      <c r="K1497" s="232" t="inlineStr">
        <is>
          <t>EPP</t>
        </is>
      </c>
      <c r="L1497" s="232" t="inlineStr">
        <is>
          <t>[PRORRATEO 15.2% 22.55há/148.3há] O/001282 GUANTE CAB</t>
        </is>
      </c>
      <c r="M1497" s="232" t="inlineStr"/>
      <c r="N1497" s="232" t="inlineStr">
        <is>
          <t>.   .   -</t>
        </is>
      </c>
      <c r="O1497" s="232" t="inlineStr">
        <is>
          <t>ENERO</t>
        </is>
      </c>
      <c r="P1497" s="232" t="n">
        <v>4</v>
      </c>
      <c r="Q1497" s="234" t="n">
        <v>1764</v>
      </c>
      <c r="R1497" s="232" t="inlineStr"/>
      <c r="S1497" s="234" t="n">
        <v>1764</v>
      </c>
      <c r="T1497" s="232" t="inlineStr">
        <is>
          <t>CLP</t>
        </is>
      </c>
      <c r="U1497" s="232" t="inlineStr">
        <is>
          <t>Prorrateo Ha PACKING</t>
        </is>
      </c>
      <c r="V1497" s="232" t="inlineStr">
        <is>
          <t>2026-06-18</t>
        </is>
      </c>
    </row>
    <row r="1498">
      <c r="A1498" s="232" t="inlineStr">
        <is>
          <t>CR-1495</t>
        </is>
      </c>
      <c r="B1498" s="232" t="inlineStr">
        <is>
          <t>2026/27</t>
        </is>
      </c>
      <c r="C1498" s="233" t="n">
        <v>46044</v>
      </c>
      <c r="D1498" s="232" t="inlineStr">
        <is>
          <t>888488</t>
        </is>
      </c>
      <c r="E1498" s="232" t="inlineStr">
        <is>
          <t>PRORRATEO</t>
        </is>
      </c>
      <c r="F1498" s="232" t="inlineStr">
        <is>
          <t>Santa Catalina</t>
        </is>
      </c>
      <c r="G1498" s="232" t="inlineStr">
        <is>
          <t>form benjamin 1,93 ha</t>
        </is>
      </c>
      <c r="H1498" s="232" t="inlineStr">
        <is>
          <t>Limon</t>
        </is>
      </c>
      <c r="I1498" s="232" t="inlineStr">
        <is>
          <t>Benjamin andes</t>
        </is>
      </c>
      <c r="J1498" s="232" t="inlineStr">
        <is>
          <t>UNIFORME Y EPP</t>
        </is>
      </c>
      <c r="K1498" s="232" t="inlineStr">
        <is>
          <t>EPP</t>
        </is>
      </c>
      <c r="L1498" s="232" t="inlineStr">
        <is>
          <t>[PRORRATEO 1.3% 1.93há/148.3há] O/001282 GUANTE CAB</t>
        </is>
      </c>
      <c r="M1498" s="232" t="inlineStr"/>
      <c r="N1498" s="232" t="inlineStr">
        <is>
          <t>.   .   -</t>
        </is>
      </c>
      <c r="O1498" s="232" t="inlineStr">
        <is>
          <t>ENERO</t>
        </is>
      </c>
      <c r="P1498" s="232" t="n">
        <v>4</v>
      </c>
      <c r="Q1498" s="234" t="n">
        <v>151</v>
      </c>
      <c r="R1498" s="232" t="inlineStr"/>
      <c r="S1498" s="234" t="n">
        <v>151</v>
      </c>
      <c r="T1498" s="232" t="inlineStr">
        <is>
          <t>CLP</t>
        </is>
      </c>
      <c r="U1498" s="232" t="inlineStr">
        <is>
          <t>Prorrateo Ha PACKING</t>
        </is>
      </c>
      <c r="V1498" s="232" t="inlineStr">
        <is>
          <t>2026-06-18</t>
        </is>
      </c>
    </row>
    <row r="1499">
      <c r="A1499" s="232" t="inlineStr">
        <is>
          <t>CR-1496</t>
        </is>
      </c>
      <c r="B1499" s="232" t="inlineStr">
        <is>
          <t>2026/27</t>
        </is>
      </c>
      <c r="C1499" s="233" t="n">
        <v>46044</v>
      </c>
      <c r="D1499" s="232" t="inlineStr">
        <is>
          <t>888488</t>
        </is>
      </c>
      <c r="E1499" s="232" t="inlineStr">
        <is>
          <t>PRORRATEO</t>
        </is>
      </c>
      <c r="F1499" s="232" t="inlineStr">
        <is>
          <t>Santa Catalina</t>
        </is>
      </c>
      <c r="G1499" s="232" t="inlineStr">
        <is>
          <t>mant eureka 2,5 ha</t>
        </is>
      </c>
      <c r="H1499" s="232" t="inlineStr">
        <is>
          <t>Limon</t>
        </is>
      </c>
      <c r="I1499" s="232" t="inlineStr">
        <is>
          <t>Eureka</t>
        </is>
      </c>
      <c r="J1499" s="232" t="inlineStr">
        <is>
          <t>UNIFORME Y EPP</t>
        </is>
      </c>
      <c r="K1499" s="232" t="inlineStr">
        <is>
          <t>EPP</t>
        </is>
      </c>
      <c r="L1499" s="232" t="inlineStr">
        <is>
          <t>[PRORRATEO 1.7% 2.5há/148.3há] O/001282 GUANTE CAB</t>
        </is>
      </c>
      <c r="M1499" s="232" t="inlineStr"/>
      <c r="N1499" s="232" t="inlineStr">
        <is>
          <t>.   .   -</t>
        </is>
      </c>
      <c r="O1499" s="232" t="inlineStr">
        <is>
          <t>ENERO</t>
        </is>
      </c>
      <c r="P1499" s="232" t="n">
        <v>4</v>
      </c>
      <c r="Q1499" s="234" t="n">
        <v>196</v>
      </c>
      <c r="R1499" s="232" t="inlineStr"/>
      <c r="S1499" s="234" t="n">
        <v>196</v>
      </c>
      <c r="T1499" s="232" t="inlineStr">
        <is>
          <t>CLP</t>
        </is>
      </c>
      <c r="U1499" s="232" t="inlineStr">
        <is>
          <t>Prorrateo Ha PACKING</t>
        </is>
      </c>
      <c r="V1499" s="232" t="inlineStr">
        <is>
          <t>2026-06-18</t>
        </is>
      </c>
    </row>
    <row r="1500">
      <c r="A1500" s="232" t="inlineStr">
        <is>
          <t>CR-1497</t>
        </is>
      </c>
      <c r="B1500" s="232" t="inlineStr">
        <is>
          <t>2026/27</t>
        </is>
      </c>
      <c r="C1500" s="233" t="n">
        <v>46044</v>
      </c>
      <c r="D1500" s="232" t="inlineStr">
        <is>
          <t>888488</t>
        </is>
      </c>
      <c r="E1500" s="232" t="inlineStr">
        <is>
          <t>PRORRATEO</t>
        </is>
      </c>
      <c r="F1500" s="232" t="inlineStr">
        <is>
          <t>Siberia</t>
        </is>
      </c>
      <c r="G1500" s="232" t="inlineStr">
        <is>
          <t>S. Celebration 7,14</t>
        </is>
      </c>
      <c r="H1500" s="232" t="inlineStr">
        <is>
          <t>Uvas</t>
        </is>
      </c>
      <c r="I1500" s="232" t="inlineStr">
        <is>
          <t>S. celebration</t>
        </is>
      </c>
      <c r="J1500" s="232" t="inlineStr">
        <is>
          <t>UNIFORME Y EPP</t>
        </is>
      </c>
      <c r="K1500" s="232" t="inlineStr">
        <is>
          <t>EPP</t>
        </is>
      </c>
      <c r="L1500" s="232" t="inlineStr">
        <is>
          <t>[PRORRATEO 4.8% 7.14há/148.3há] O/001282 GUANTE CAB</t>
        </is>
      </c>
      <c r="M1500" s="232" t="inlineStr"/>
      <c r="N1500" s="232" t="inlineStr">
        <is>
          <t>.   .   -</t>
        </is>
      </c>
      <c r="O1500" s="232" t="inlineStr">
        <is>
          <t>ENERO</t>
        </is>
      </c>
      <c r="P1500" s="232" t="n">
        <v>4</v>
      </c>
      <c r="Q1500" s="234" t="n">
        <v>559</v>
      </c>
      <c r="R1500" s="232" t="inlineStr"/>
      <c r="S1500" s="234" t="n">
        <v>559</v>
      </c>
      <c r="T1500" s="232" t="inlineStr">
        <is>
          <t>CLP</t>
        </is>
      </c>
      <c r="U1500" s="232" t="inlineStr">
        <is>
          <t>Prorrateo Ha PACKING</t>
        </is>
      </c>
      <c r="V1500" s="232" t="inlineStr">
        <is>
          <t>2026-06-18</t>
        </is>
      </c>
    </row>
    <row r="1501">
      <c r="A1501" s="232" t="inlineStr">
        <is>
          <t>CR-1498</t>
        </is>
      </c>
      <c r="B1501" s="232" t="inlineStr">
        <is>
          <t>2026/27</t>
        </is>
      </c>
      <c r="C1501" s="233" t="n">
        <v>46044</v>
      </c>
      <c r="D1501" s="232" t="inlineStr">
        <is>
          <t>888488</t>
        </is>
      </c>
      <c r="E1501" s="232" t="inlineStr">
        <is>
          <t>PRORRATEO</t>
        </is>
      </c>
      <c r="F1501" s="232" t="inlineStr">
        <is>
          <t>Siberia</t>
        </is>
      </c>
      <c r="G1501" s="232" t="inlineStr">
        <is>
          <t>Timpson 7,1</t>
        </is>
      </c>
      <c r="H1501" s="232" t="inlineStr">
        <is>
          <t>Uvas</t>
        </is>
      </c>
      <c r="I1501" s="232" t="inlineStr">
        <is>
          <t>Timpson</t>
        </is>
      </c>
      <c r="J1501" s="232" t="inlineStr">
        <is>
          <t>UNIFORME Y EPP</t>
        </is>
      </c>
      <c r="K1501" s="232" t="inlineStr">
        <is>
          <t>EPP</t>
        </is>
      </c>
      <c r="L1501" s="232" t="inlineStr">
        <is>
          <t>[PRORRATEO 4.8% 7.1há/148.3há] O/001282 GUANTE CAB</t>
        </is>
      </c>
      <c r="M1501" s="232" t="inlineStr"/>
      <c r="N1501" s="232" t="inlineStr">
        <is>
          <t>.   .   -</t>
        </is>
      </c>
      <c r="O1501" s="232" t="inlineStr">
        <is>
          <t>ENERO</t>
        </is>
      </c>
      <c r="P1501" s="232" t="n">
        <v>4</v>
      </c>
      <c r="Q1501" s="234" t="n">
        <v>556</v>
      </c>
      <c r="R1501" s="232" t="inlineStr"/>
      <c r="S1501" s="234" t="n">
        <v>556</v>
      </c>
      <c r="T1501" s="232" t="inlineStr">
        <is>
          <t>CLP</t>
        </is>
      </c>
      <c r="U1501" s="232" t="inlineStr">
        <is>
          <t>Prorrateo Ha PACKING</t>
        </is>
      </c>
      <c r="V1501" s="232" t="inlineStr">
        <is>
          <t>2026-06-18</t>
        </is>
      </c>
    </row>
    <row r="1502">
      <c r="A1502" s="232" t="inlineStr">
        <is>
          <t>CR-1499</t>
        </is>
      </c>
      <c r="B1502" s="232" t="inlineStr">
        <is>
          <t>2026/27</t>
        </is>
      </c>
      <c r="C1502" s="233" t="n">
        <v>46044</v>
      </c>
      <c r="D1502" s="232" t="inlineStr">
        <is>
          <t>888488</t>
        </is>
      </c>
      <c r="E1502" s="232" t="inlineStr">
        <is>
          <t>PRORRATEO</t>
        </is>
      </c>
      <c r="F1502" s="232" t="inlineStr">
        <is>
          <t>Asmara</t>
        </is>
      </c>
      <c r="G1502" s="232" t="inlineStr">
        <is>
          <t>w. murcott 19,8 ha</t>
        </is>
      </c>
      <c r="H1502" s="232" t="inlineStr">
        <is>
          <t>Mandarina</t>
        </is>
      </c>
      <c r="I1502" s="232" t="inlineStr">
        <is>
          <t>W. murcott</t>
        </is>
      </c>
      <c r="J1502" s="232" t="inlineStr">
        <is>
          <t>UNIFORME Y EPP</t>
        </is>
      </c>
      <c r="K1502" s="232" t="inlineStr">
        <is>
          <t>EPP</t>
        </is>
      </c>
      <c r="L1502" s="232" t="inlineStr">
        <is>
          <t>[PRORRATEO 13.4% 19.8há/148.3há] O/001282 OVEROL POP</t>
        </is>
      </c>
      <c r="M1502" s="232" t="inlineStr"/>
      <c r="N1502" s="232" t="inlineStr">
        <is>
          <t>.   .   -</t>
        </is>
      </c>
      <c r="O1502" s="232" t="inlineStr">
        <is>
          <t>ENERO</t>
        </is>
      </c>
      <c r="P1502" s="232" t="n">
        <v>4</v>
      </c>
      <c r="Q1502" s="234" t="n">
        <v>2885</v>
      </c>
      <c r="R1502" s="232" t="inlineStr"/>
      <c r="S1502" s="234" t="n">
        <v>2885</v>
      </c>
      <c r="T1502" s="232" t="inlineStr">
        <is>
          <t>CLP</t>
        </is>
      </c>
      <c r="U1502" s="232" t="inlineStr">
        <is>
          <t>Prorrateo Ha PACKING</t>
        </is>
      </c>
      <c r="V1502" s="232" t="inlineStr">
        <is>
          <t>2026-06-18</t>
        </is>
      </c>
    </row>
    <row r="1503">
      <c r="A1503" s="232" t="inlineStr">
        <is>
          <t>CR-1500</t>
        </is>
      </c>
      <c r="B1503" s="232" t="inlineStr">
        <is>
          <t>2026/27</t>
        </is>
      </c>
      <c r="C1503" s="233" t="n">
        <v>46044</v>
      </c>
      <c r="D1503" s="232" t="inlineStr">
        <is>
          <t>888488</t>
        </is>
      </c>
      <c r="E1503" s="232" t="inlineStr">
        <is>
          <t>PRORRATEO</t>
        </is>
      </c>
      <c r="F1503" s="232" t="inlineStr">
        <is>
          <t>Asmara</t>
        </is>
      </c>
      <c r="G1503" s="232" t="inlineStr">
        <is>
          <t>w. murcott 4,9 ha</t>
        </is>
      </c>
      <c r="H1503" s="232" t="inlineStr">
        <is>
          <t>Mandarina</t>
        </is>
      </c>
      <c r="I1503" s="232" t="inlineStr">
        <is>
          <t>W. murcott</t>
        </is>
      </c>
      <c r="J1503" s="232" t="inlineStr">
        <is>
          <t>UNIFORME Y EPP</t>
        </is>
      </c>
      <c r="K1503" s="232" t="inlineStr">
        <is>
          <t>EPP</t>
        </is>
      </c>
      <c r="L1503" s="232" t="inlineStr">
        <is>
          <t>[PRORRATEO 3.3% 4.9há/148.3há] O/001282 OVEROL POP</t>
        </is>
      </c>
      <c r="M1503" s="232" t="inlineStr"/>
      <c r="N1503" s="232" t="inlineStr">
        <is>
          <t>.   .   -</t>
        </is>
      </c>
      <c r="O1503" s="232" t="inlineStr">
        <is>
          <t>ENERO</t>
        </is>
      </c>
      <c r="P1503" s="232" t="n">
        <v>4</v>
      </c>
      <c r="Q1503" s="234" t="n">
        <v>714</v>
      </c>
      <c r="R1503" s="232" t="inlineStr"/>
      <c r="S1503" s="234" t="n">
        <v>714</v>
      </c>
      <c r="T1503" s="232" t="inlineStr">
        <is>
          <t>CLP</t>
        </is>
      </c>
      <c r="U1503" s="232" t="inlineStr">
        <is>
          <t>Prorrateo Ha PACKING</t>
        </is>
      </c>
      <c r="V1503" s="232" t="inlineStr">
        <is>
          <t>2026-06-18</t>
        </is>
      </c>
    </row>
    <row r="1504">
      <c r="A1504" s="232" t="inlineStr">
        <is>
          <t>CR-1501</t>
        </is>
      </c>
      <c r="B1504" s="232" t="inlineStr">
        <is>
          <t>2026/27</t>
        </is>
      </c>
      <c r="C1504" s="233" t="n">
        <v>46044</v>
      </c>
      <c r="D1504" s="232" t="inlineStr">
        <is>
          <t>888488</t>
        </is>
      </c>
      <c r="E1504" s="232" t="inlineStr">
        <is>
          <t>PRORRATEO</t>
        </is>
      </c>
      <c r="F1504" s="232" t="inlineStr">
        <is>
          <t>El Molle</t>
        </is>
      </c>
      <c r="G1504" s="232" t="inlineStr">
        <is>
          <t>Wonderful 5,25 ha</t>
        </is>
      </c>
      <c r="H1504" s="232" t="inlineStr">
        <is>
          <t>Granados</t>
        </is>
      </c>
      <c r="I1504" s="232" t="inlineStr">
        <is>
          <t>Wonderfull</t>
        </is>
      </c>
      <c r="J1504" s="232" t="inlineStr">
        <is>
          <t>UNIFORME Y EPP</t>
        </is>
      </c>
      <c r="K1504" s="232" t="inlineStr">
        <is>
          <t>EPP</t>
        </is>
      </c>
      <c r="L1504" s="232" t="inlineStr">
        <is>
          <t>[PRORRATEO 3.5% 5.24há/148.3há] O/001282 OVEROL POP</t>
        </is>
      </c>
      <c r="M1504" s="232" t="inlineStr"/>
      <c r="N1504" s="232" t="inlineStr">
        <is>
          <t>.   .   -</t>
        </is>
      </c>
      <c r="O1504" s="232" t="inlineStr">
        <is>
          <t>ENERO</t>
        </is>
      </c>
      <c r="P1504" s="232" t="n">
        <v>4</v>
      </c>
      <c r="Q1504" s="234" t="n">
        <v>763</v>
      </c>
      <c r="R1504" s="232" t="inlineStr"/>
      <c r="S1504" s="234" t="n">
        <v>763</v>
      </c>
      <c r="T1504" s="232" t="inlineStr">
        <is>
          <t>CLP</t>
        </is>
      </c>
      <c r="U1504" s="232" t="inlineStr">
        <is>
          <t>Prorrateo Ha PACKING</t>
        </is>
      </c>
      <c r="V1504" s="232" t="inlineStr">
        <is>
          <t>2026-06-18</t>
        </is>
      </c>
    </row>
    <row r="1505">
      <c r="A1505" s="232" t="inlineStr">
        <is>
          <t>CR-1502</t>
        </is>
      </c>
      <c r="B1505" s="232" t="inlineStr">
        <is>
          <t>2026/27</t>
        </is>
      </c>
      <c r="C1505" s="233" t="n">
        <v>46044</v>
      </c>
      <c r="D1505" s="232" t="inlineStr">
        <is>
          <t>888488</t>
        </is>
      </c>
      <c r="E1505" s="232" t="inlineStr">
        <is>
          <t>PRORRATEO</t>
        </is>
      </c>
      <c r="F1505" s="232" t="inlineStr">
        <is>
          <t>El Molle</t>
        </is>
      </c>
      <c r="G1505" s="232" t="inlineStr">
        <is>
          <t>arrufatinas 5,74 ha</t>
        </is>
      </c>
      <c r="H1505" s="232" t="inlineStr">
        <is>
          <t>Clementinas</t>
        </is>
      </c>
      <c r="I1505" s="232" t="inlineStr">
        <is>
          <t>Arrufatinas</t>
        </is>
      </c>
      <c r="J1505" s="232" t="inlineStr">
        <is>
          <t>UNIFORME Y EPP</t>
        </is>
      </c>
      <c r="K1505" s="232" t="inlineStr">
        <is>
          <t>EPP</t>
        </is>
      </c>
      <c r="L1505" s="232" t="inlineStr">
        <is>
          <t>[PRORRATEO 3.9% 5.74há/148.3há] O/001282 OVEROL POP</t>
        </is>
      </c>
      <c r="M1505" s="232" t="inlineStr"/>
      <c r="N1505" s="232" t="inlineStr">
        <is>
          <t>.   .   -</t>
        </is>
      </c>
      <c r="O1505" s="232" t="inlineStr">
        <is>
          <t>ENERO</t>
        </is>
      </c>
      <c r="P1505" s="232" t="n">
        <v>4</v>
      </c>
      <c r="Q1505" s="234" t="n">
        <v>836</v>
      </c>
      <c r="R1505" s="232" t="inlineStr"/>
      <c r="S1505" s="234" t="n">
        <v>836</v>
      </c>
      <c r="T1505" s="232" t="inlineStr">
        <is>
          <t>CLP</t>
        </is>
      </c>
      <c r="U1505" s="232" t="inlineStr">
        <is>
          <t>Prorrateo Ha PACKING</t>
        </is>
      </c>
      <c r="V1505" s="232" t="inlineStr">
        <is>
          <t>2026-06-18</t>
        </is>
      </c>
    </row>
    <row r="1506">
      <c r="A1506" s="232" t="inlineStr">
        <is>
          <t>CR-1503</t>
        </is>
      </c>
      <c r="B1506" s="232" t="inlineStr">
        <is>
          <t>2026/27</t>
        </is>
      </c>
      <c r="C1506" s="233" t="n">
        <v>46044</v>
      </c>
      <c r="D1506" s="232" t="inlineStr">
        <is>
          <t>888488</t>
        </is>
      </c>
      <c r="E1506" s="232" t="inlineStr">
        <is>
          <t>PRORRATEO</t>
        </is>
      </c>
      <c r="F1506" s="232" t="inlineStr">
        <is>
          <t>El Molle</t>
        </is>
      </c>
      <c r="G1506" s="232" t="inlineStr">
        <is>
          <t>orogrande 8,11 ha</t>
        </is>
      </c>
      <c r="H1506" s="232" t="inlineStr">
        <is>
          <t>Clementinas</t>
        </is>
      </c>
      <c r="I1506" s="232" t="inlineStr">
        <is>
          <t>Orogrande</t>
        </is>
      </c>
      <c r="J1506" s="232" t="inlineStr">
        <is>
          <t>UNIFORME Y EPP</t>
        </is>
      </c>
      <c r="K1506" s="232" t="inlineStr">
        <is>
          <t>EPP</t>
        </is>
      </c>
      <c r="L1506" s="232" t="inlineStr">
        <is>
          <t>[PRORRATEO 5.5% 8.11há/148.3há] O/001282 OVEROL POP</t>
        </is>
      </c>
      <c r="M1506" s="232" t="inlineStr"/>
      <c r="N1506" s="232" t="inlineStr">
        <is>
          <t>.   .   -</t>
        </is>
      </c>
      <c r="O1506" s="232" t="inlineStr">
        <is>
          <t>ENERO</t>
        </is>
      </c>
      <c r="P1506" s="232" t="n">
        <v>4</v>
      </c>
      <c r="Q1506" s="234" t="n">
        <v>1182</v>
      </c>
      <c r="R1506" s="232" t="inlineStr"/>
      <c r="S1506" s="234" t="n">
        <v>1182</v>
      </c>
      <c r="T1506" s="232" t="inlineStr">
        <is>
          <t>CLP</t>
        </is>
      </c>
      <c r="U1506" s="232" t="inlineStr">
        <is>
          <t>Prorrateo Ha PACKING</t>
        </is>
      </c>
      <c r="V1506" s="232" t="inlineStr">
        <is>
          <t>2026-06-18</t>
        </is>
      </c>
    </row>
    <row r="1507">
      <c r="A1507" s="232" t="inlineStr">
        <is>
          <t>CR-1504</t>
        </is>
      </c>
      <c r="B1507" s="232" t="inlineStr">
        <is>
          <t>2026/27</t>
        </is>
      </c>
      <c r="C1507" s="233" t="n">
        <v>46044</v>
      </c>
      <c r="D1507" s="232" t="inlineStr">
        <is>
          <t>888488</t>
        </is>
      </c>
      <c r="E1507" s="232" t="inlineStr">
        <is>
          <t>PRORRATEO</t>
        </is>
      </c>
      <c r="F1507" s="232" t="inlineStr">
        <is>
          <t>El Molle</t>
        </is>
      </c>
      <c r="G1507" s="232" t="inlineStr">
        <is>
          <t>oronules 5,35 ha</t>
        </is>
      </c>
      <c r="H1507" s="232" t="inlineStr">
        <is>
          <t>Clementinas</t>
        </is>
      </c>
      <c r="I1507" s="232" t="inlineStr">
        <is>
          <t>Oronules</t>
        </is>
      </c>
      <c r="J1507" s="232" t="inlineStr">
        <is>
          <t>UNIFORME Y EPP</t>
        </is>
      </c>
      <c r="K1507" s="232" t="inlineStr">
        <is>
          <t>EPP</t>
        </is>
      </c>
      <c r="L1507" s="232" t="inlineStr">
        <is>
          <t>[PRORRATEO 3.6% 5.35há/148.3há] O/001282 OVEROL POP</t>
        </is>
      </c>
      <c r="M1507" s="232" t="inlineStr"/>
      <c r="N1507" s="232" t="inlineStr">
        <is>
          <t>.   .   -</t>
        </is>
      </c>
      <c r="O1507" s="232" t="inlineStr">
        <is>
          <t>ENERO</t>
        </is>
      </c>
      <c r="P1507" s="232" t="n">
        <v>4</v>
      </c>
      <c r="Q1507" s="234" t="n">
        <v>779</v>
      </c>
      <c r="R1507" s="232" t="inlineStr"/>
      <c r="S1507" s="234" t="n">
        <v>779</v>
      </c>
      <c r="T1507" s="232" t="inlineStr">
        <is>
          <t>CLP</t>
        </is>
      </c>
      <c r="U1507" s="232" t="inlineStr">
        <is>
          <t>Prorrateo Ha PACKING</t>
        </is>
      </c>
      <c r="V1507" s="232" t="inlineStr">
        <is>
          <t>2026-06-18</t>
        </is>
      </c>
    </row>
    <row r="1508">
      <c r="A1508" s="232" t="inlineStr">
        <is>
          <t>CR-1505</t>
        </is>
      </c>
      <c r="B1508" s="232" t="inlineStr">
        <is>
          <t>2026/27</t>
        </is>
      </c>
      <c r="C1508" s="233" t="n">
        <v>46044</v>
      </c>
      <c r="D1508" s="232" t="inlineStr">
        <is>
          <t>888488</t>
        </is>
      </c>
      <c r="E1508" s="232" t="inlineStr">
        <is>
          <t>PRORRATEO</t>
        </is>
      </c>
      <c r="F1508" s="232" t="inlineStr">
        <is>
          <t>Santa Catalina</t>
        </is>
      </c>
      <c r="G1508" s="232" t="inlineStr">
        <is>
          <t>Fino 49 7,7 ha</t>
        </is>
      </c>
      <c r="H1508" s="232" t="inlineStr">
        <is>
          <t>Limon</t>
        </is>
      </c>
      <c r="I1508" s="232" t="inlineStr">
        <is>
          <t>Fino 49</t>
        </is>
      </c>
      <c r="J1508" s="232" t="inlineStr">
        <is>
          <t>UNIFORME Y EPP</t>
        </is>
      </c>
      <c r="K1508" s="232" t="inlineStr">
        <is>
          <t>EPP</t>
        </is>
      </c>
      <c r="L1508" s="232" t="inlineStr">
        <is>
          <t>[PRORRATEO 5.2% 7.7há/148.3há] O/001282 OVEROL POP</t>
        </is>
      </c>
      <c r="M1508" s="232" t="inlineStr"/>
      <c r="N1508" s="232" t="inlineStr">
        <is>
          <t>.   .   -</t>
        </is>
      </c>
      <c r="O1508" s="232" t="inlineStr">
        <is>
          <t>ENERO</t>
        </is>
      </c>
      <c r="P1508" s="232" t="n">
        <v>4</v>
      </c>
      <c r="Q1508" s="234" t="n">
        <v>1122</v>
      </c>
      <c r="R1508" s="232" t="inlineStr"/>
      <c r="S1508" s="234" t="n">
        <v>1122</v>
      </c>
      <c r="T1508" s="232" t="inlineStr">
        <is>
          <t>CLP</t>
        </is>
      </c>
      <c r="U1508" s="232" t="inlineStr">
        <is>
          <t>Prorrateo Ha PACKING</t>
        </is>
      </c>
      <c r="V1508" s="232" t="inlineStr">
        <is>
          <t>2026-06-18</t>
        </is>
      </c>
    </row>
    <row r="1509">
      <c r="A1509" s="232" t="inlineStr">
        <is>
          <t>CR-1506</t>
        </is>
      </c>
      <c r="B1509" s="232" t="inlineStr">
        <is>
          <t>2026/27</t>
        </is>
      </c>
      <c r="C1509" s="233" t="n">
        <v>46044</v>
      </c>
      <c r="D1509" s="232" t="inlineStr">
        <is>
          <t>888488</t>
        </is>
      </c>
      <c r="E1509" s="232" t="inlineStr">
        <is>
          <t>PRORRATEO</t>
        </is>
      </c>
      <c r="F1509" s="232" t="inlineStr">
        <is>
          <t>Santa Catalina</t>
        </is>
      </c>
      <c r="G1509" s="232" t="inlineStr">
        <is>
          <t>W. murcott 21 ha</t>
        </is>
      </c>
      <c r="H1509" s="232" t="inlineStr">
        <is>
          <t>Mandarina</t>
        </is>
      </c>
      <c r="I1509" s="232" t="inlineStr">
        <is>
          <t>W. murcott</t>
        </is>
      </c>
      <c r="J1509" s="232" t="inlineStr">
        <is>
          <t>UNIFORME Y EPP</t>
        </is>
      </c>
      <c r="K1509" s="232" t="inlineStr">
        <is>
          <t>EPP</t>
        </is>
      </c>
      <c r="L1509" s="232" t="inlineStr">
        <is>
          <t>[PRORRATEO 14.2% 21.0há/148.3há] O/001282 OVEROL POP</t>
        </is>
      </c>
      <c r="M1509" s="232" t="inlineStr"/>
      <c r="N1509" s="232" t="inlineStr">
        <is>
          <t>.   .   -</t>
        </is>
      </c>
      <c r="O1509" s="232" t="inlineStr">
        <is>
          <t>ENERO</t>
        </is>
      </c>
      <c r="P1509" s="232" t="n">
        <v>4</v>
      </c>
      <c r="Q1509" s="234" t="n">
        <v>3059</v>
      </c>
      <c r="R1509" s="232" t="inlineStr"/>
      <c r="S1509" s="234" t="n">
        <v>3059</v>
      </c>
      <c r="T1509" s="232" t="inlineStr">
        <is>
          <t>CLP</t>
        </is>
      </c>
      <c r="U1509" s="232" t="inlineStr">
        <is>
          <t>Prorrateo Ha PACKING</t>
        </is>
      </c>
      <c r="V1509" s="232" t="inlineStr">
        <is>
          <t>2026-06-18</t>
        </is>
      </c>
    </row>
    <row r="1510">
      <c r="A1510" s="232" t="inlineStr">
        <is>
          <t>CR-1507</t>
        </is>
      </c>
      <c r="B1510" s="232" t="inlineStr">
        <is>
          <t>2026/27</t>
        </is>
      </c>
      <c r="C1510" s="233" t="n">
        <v>46044</v>
      </c>
      <c r="D1510" s="232" t="inlineStr">
        <is>
          <t>888488</t>
        </is>
      </c>
      <c r="E1510" s="232" t="inlineStr">
        <is>
          <t>PRORRATEO</t>
        </is>
      </c>
      <c r="F1510" s="232" t="inlineStr">
        <is>
          <t>Santa Catalina</t>
        </is>
      </c>
      <c r="G1510" s="232" t="inlineStr">
        <is>
          <t>cambria 4,2 ha</t>
        </is>
      </c>
      <c r="H1510" s="232" t="inlineStr">
        <is>
          <t>Naranjas</t>
        </is>
      </c>
      <c r="I1510" s="232" t="inlineStr">
        <is>
          <t>Cambria</t>
        </is>
      </c>
      <c r="J1510" s="232" t="inlineStr">
        <is>
          <t>UNIFORME Y EPP</t>
        </is>
      </c>
      <c r="K1510" s="232" t="inlineStr">
        <is>
          <t>EPP</t>
        </is>
      </c>
      <c r="L1510" s="232" t="inlineStr">
        <is>
          <t>[PRORRATEO 2.8% 4.2há/148.3há] O/001282 OVEROL POP</t>
        </is>
      </c>
      <c r="M1510" s="232" t="inlineStr"/>
      <c r="N1510" s="232" t="inlineStr">
        <is>
          <t>.   .   -</t>
        </is>
      </c>
      <c r="O1510" s="232" t="inlineStr">
        <is>
          <t>ENERO</t>
        </is>
      </c>
      <c r="P1510" s="232" t="n">
        <v>4</v>
      </c>
      <c r="Q1510" s="234" t="n">
        <v>612</v>
      </c>
      <c r="R1510" s="232" t="inlineStr"/>
      <c r="S1510" s="234" t="n">
        <v>612</v>
      </c>
      <c r="T1510" s="232" t="inlineStr">
        <is>
          <t>CLP</t>
        </is>
      </c>
      <c r="U1510" s="232" t="inlineStr">
        <is>
          <t>Prorrateo Ha PACKING</t>
        </is>
      </c>
      <c r="V1510" s="232" t="inlineStr">
        <is>
          <t>2026-06-18</t>
        </is>
      </c>
    </row>
    <row r="1511">
      <c r="A1511" s="232" t="inlineStr">
        <is>
          <t>CR-1508</t>
        </is>
      </c>
      <c r="B1511" s="232" t="inlineStr">
        <is>
          <t>2026/27</t>
        </is>
      </c>
      <c r="C1511" s="233" t="n">
        <v>46044</v>
      </c>
      <c r="D1511" s="232" t="inlineStr">
        <is>
          <t>888488</t>
        </is>
      </c>
      <c r="E1511" s="232" t="inlineStr">
        <is>
          <t>PRORRATEO</t>
        </is>
      </c>
      <c r="F1511" s="232" t="inlineStr">
        <is>
          <t>Santa Catalina</t>
        </is>
      </c>
      <c r="G1511" s="232" t="inlineStr">
        <is>
          <t>eureka 10,6 ha</t>
        </is>
      </c>
      <c r="H1511" s="232" t="inlineStr">
        <is>
          <t>Limon</t>
        </is>
      </c>
      <c r="I1511" s="232" t="inlineStr">
        <is>
          <t>Eureka</t>
        </is>
      </c>
      <c r="J1511" s="232" t="inlineStr">
        <is>
          <t>UNIFORME Y EPP</t>
        </is>
      </c>
      <c r="K1511" s="232" t="inlineStr">
        <is>
          <t>EPP</t>
        </is>
      </c>
      <c r="L1511" s="232" t="inlineStr">
        <is>
          <t>[PRORRATEO 7.1% 10.6há/148.3há] O/001282 OVEROL POP</t>
        </is>
      </c>
      <c r="M1511" s="232" t="inlineStr"/>
      <c r="N1511" s="232" t="inlineStr">
        <is>
          <t>.   .   -</t>
        </is>
      </c>
      <c r="O1511" s="232" t="inlineStr">
        <is>
          <t>ENERO</t>
        </is>
      </c>
      <c r="P1511" s="232" t="n">
        <v>4</v>
      </c>
      <c r="Q1511" s="234" t="n">
        <v>1544</v>
      </c>
      <c r="R1511" s="232" t="inlineStr"/>
      <c r="S1511" s="234" t="n">
        <v>1544</v>
      </c>
      <c r="T1511" s="232" t="inlineStr">
        <is>
          <t>CLP</t>
        </is>
      </c>
      <c r="U1511" s="232" t="inlineStr">
        <is>
          <t>Prorrateo Ha PACKING</t>
        </is>
      </c>
      <c r="V1511" s="232" t="inlineStr">
        <is>
          <t>2026-06-18</t>
        </is>
      </c>
    </row>
    <row r="1512">
      <c r="A1512" s="232" t="inlineStr">
        <is>
          <t>CR-1509</t>
        </is>
      </c>
      <c r="B1512" s="232" t="inlineStr">
        <is>
          <t>2026/27</t>
        </is>
      </c>
      <c r="C1512" s="233" t="n">
        <v>46044</v>
      </c>
      <c r="D1512" s="232" t="inlineStr">
        <is>
          <t>888488</t>
        </is>
      </c>
      <c r="E1512" s="232" t="inlineStr">
        <is>
          <t>PRORRATEO</t>
        </is>
      </c>
      <c r="F1512" s="232" t="inlineStr">
        <is>
          <t>Santa Catalina</t>
        </is>
      </c>
      <c r="G1512" s="232" t="inlineStr">
        <is>
          <t>eureka 14,4 ha</t>
        </is>
      </c>
      <c r="H1512" s="232" t="inlineStr">
        <is>
          <t>Limon</t>
        </is>
      </c>
      <c r="I1512" s="232" t="inlineStr">
        <is>
          <t>Eureka</t>
        </is>
      </c>
      <c r="J1512" s="232" t="inlineStr">
        <is>
          <t>UNIFORME Y EPP</t>
        </is>
      </c>
      <c r="K1512" s="232" t="inlineStr">
        <is>
          <t>EPP</t>
        </is>
      </c>
      <c r="L1512" s="232" t="inlineStr">
        <is>
          <t>[PRORRATEO 9.7% 14.4há/148.3há] O/001282 OVEROL POP</t>
        </is>
      </c>
      <c r="M1512" s="232" t="inlineStr"/>
      <c r="N1512" s="232" t="inlineStr">
        <is>
          <t>.   .   -</t>
        </is>
      </c>
      <c r="O1512" s="232" t="inlineStr">
        <is>
          <t>ENERO</t>
        </is>
      </c>
      <c r="P1512" s="232" t="n">
        <v>4</v>
      </c>
      <c r="Q1512" s="234" t="n">
        <v>2098</v>
      </c>
      <c r="R1512" s="232" t="inlineStr"/>
      <c r="S1512" s="234" t="n">
        <v>2098</v>
      </c>
      <c r="T1512" s="232" t="inlineStr">
        <is>
          <t>CLP</t>
        </is>
      </c>
      <c r="U1512" s="232" t="inlineStr">
        <is>
          <t>Prorrateo Ha PACKING</t>
        </is>
      </c>
      <c r="V1512" s="232" t="inlineStr">
        <is>
          <t>2026-06-18</t>
        </is>
      </c>
    </row>
    <row r="1513">
      <c r="A1513" s="232" t="inlineStr">
        <is>
          <t>CR-1510</t>
        </is>
      </c>
      <c r="B1513" s="232" t="inlineStr">
        <is>
          <t>2026/27</t>
        </is>
      </c>
      <c r="C1513" s="233" t="n">
        <v>46044</v>
      </c>
      <c r="D1513" s="232" t="inlineStr">
        <is>
          <t>888488</t>
        </is>
      </c>
      <c r="E1513" s="232" t="inlineStr">
        <is>
          <t>PRORRATEO</t>
        </is>
      </c>
      <c r="F1513" s="232" t="inlineStr">
        <is>
          <t>Santa Catalina</t>
        </is>
      </c>
      <c r="G1513" s="232" t="inlineStr">
        <is>
          <t>eureka 22,55</t>
        </is>
      </c>
      <c r="H1513" s="232" t="inlineStr">
        <is>
          <t>Limon</t>
        </is>
      </c>
      <c r="I1513" s="232" t="inlineStr">
        <is>
          <t>Eureka</t>
        </is>
      </c>
      <c r="J1513" s="232" t="inlineStr">
        <is>
          <t>UNIFORME Y EPP</t>
        </is>
      </c>
      <c r="K1513" s="232" t="inlineStr">
        <is>
          <t>EPP</t>
        </is>
      </c>
      <c r="L1513" s="232" t="inlineStr">
        <is>
          <t>[PRORRATEO 15.2% 22.55há/148.3há] O/001282 OVEROL POP</t>
        </is>
      </c>
      <c r="M1513" s="232" t="inlineStr"/>
      <c r="N1513" s="232" t="inlineStr">
        <is>
          <t>.   .   -</t>
        </is>
      </c>
      <c r="O1513" s="232" t="inlineStr">
        <is>
          <t>ENERO</t>
        </is>
      </c>
      <c r="P1513" s="232" t="n">
        <v>4</v>
      </c>
      <c r="Q1513" s="234" t="n">
        <v>3285</v>
      </c>
      <c r="R1513" s="232" t="inlineStr"/>
      <c r="S1513" s="234" t="n">
        <v>3285</v>
      </c>
      <c r="T1513" s="232" t="inlineStr">
        <is>
          <t>CLP</t>
        </is>
      </c>
      <c r="U1513" s="232" t="inlineStr">
        <is>
          <t>Prorrateo Ha PACKING</t>
        </is>
      </c>
      <c r="V1513" s="232" t="inlineStr">
        <is>
          <t>2026-06-18</t>
        </is>
      </c>
    </row>
    <row r="1514">
      <c r="A1514" s="232" t="inlineStr">
        <is>
          <t>CR-1511</t>
        </is>
      </c>
      <c r="B1514" s="232" t="inlineStr">
        <is>
          <t>2026/27</t>
        </is>
      </c>
      <c r="C1514" s="233" t="n">
        <v>46044</v>
      </c>
      <c r="D1514" s="232" t="inlineStr">
        <is>
          <t>888488</t>
        </is>
      </c>
      <c r="E1514" s="232" t="inlineStr">
        <is>
          <t>PRORRATEO</t>
        </is>
      </c>
      <c r="F1514" s="232" t="inlineStr">
        <is>
          <t>Santa Catalina</t>
        </is>
      </c>
      <c r="G1514" s="232" t="inlineStr">
        <is>
          <t>form benjamin 1,93 ha</t>
        </is>
      </c>
      <c r="H1514" s="232" t="inlineStr">
        <is>
          <t>Limon</t>
        </is>
      </c>
      <c r="I1514" s="232" t="inlineStr">
        <is>
          <t>Benjamin andes</t>
        </is>
      </c>
      <c r="J1514" s="232" t="inlineStr">
        <is>
          <t>UNIFORME Y EPP</t>
        </is>
      </c>
      <c r="K1514" s="232" t="inlineStr">
        <is>
          <t>EPP</t>
        </is>
      </c>
      <c r="L1514" s="232" t="inlineStr">
        <is>
          <t>[PRORRATEO 1.3% 1.93há/148.3há] O/001282 OVEROL POP</t>
        </is>
      </c>
      <c r="M1514" s="232" t="inlineStr"/>
      <c r="N1514" s="232" t="inlineStr">
        <is>
          <t>.   .   -</t>
        </is>
      </c>
      <c r="O1514" s="232" t="inlineStr">
        <is>
          <t>ENERO</t>
        </is>
      </c>
      <c r="P1514" s="232" t="n">
        <v>4</v>
      </c>
      <c r="Q1514" s="234" t="n">
        <v>281</v>
      </c>
      <c r="R1514" s="232" t="inlineStr"/>
      <c r="S1514" s="234" t="n">
        <v>281</v>
      </c>
      <c r="T1514" s="232" t="inlineStr">
        <is>
          <t>CLP</t>
        </is>
      </c>
      <c r="U1514" s="232" t="inlineStr">
        <is>
          <t>Prorrateo Ha PACKING</t>
        </is>
      </c>
      <c r="V1514" s="232" t="inlineStr">
        <is>
          <t>2026-06-18</t>
        </is>
      </c>
    </row>
    <row r="1515">
      <c r="A1515" s="232" t="inlineStr">
        <is>
          <t>CR-1512</t>
        </is>
      </c>
      <c r="B1515" s="232" t="inlineStr">
        <is>
          <t>2026/27</t>
        </is>
      </c>
      <c r="C1515" s="233" t="n">
        <v>46044</v>
      </c>
      <c r="D1515" s="232" t="inlineStr">
        <is>
          <t>888488</t>
        </is>
      </c>
      <c r="E1515" s="232" t="inlineStr">
        <is>
          <t>PRORRATEO</t>
        </is>
      </c>
      <c r="F1515" s="232" t="inlineStr">
        <is>
          <t>Santa Catalina</t>
        </is>
      </c>
      <c r="G1515" s="232" t="inlineStr">
        <is>
          <t>mant eureka 2,5 ha</t>
        </is>
      </c>
      <c r="H1515" s="232" t="inlineStr">
        <is>
          <t>Limon</t>
        </is>
      </c>
      <c r="I1515" s="232" t="inlineStr">
        <is>
          <t>Eureka</t>
        </is>
      </c>
      <c r="J1515" s="232" t="inlineStr">
        <is>
          <t>UNIFORME Y EPP</t>
        </is>
      </c>
      <c r="K1515" s="232" t="inlineStr">
        <is>
          <t>EPP</t>
        </is>
      </c>
      <c r="L1515" s="232" t="inlineStr">
        <is>
          <t>[PRORRATEO 1.7% 2.5há/148.3há] O/001282 OVEROL POP</t>
        </is>
      </c>
      <c r="M1515" s="232" t="inlineStr"/>
      <c r="N1515" s="232" t="inlineStr">
        <is>
          <t>.   .   -</t>
        </is>
      </c>
      <c r="O1515" s="232" t="inlineStr">
        <is>
          <t>ENERO</t>
        </is>
      </c>
      <c r="P1515" s="232" t="n">
        <v>4</v>
      </c>
      <c r="Q1515" s="234" t="n">
        <v>364</v>
      </c>
      <c r="R1515" s="232" t="inlineStr"/>
      <c r="S1515" s="234" t="n">
        <v>364</v>
      </c>
      <c r="T1515" s="232" t="inlineStr">
        <is>
          <t>CLP</t>
        </is>
      </c>
      <c r="U1515" s="232" t="inlineStr">
        <is>
          <t>Prorrateo Ha PACKING</t>
        </is>
      </c>
      <c r="V1515" s="232" t="inlineStr">
        <is>
          <t>2026-06-18</t>
        </is>
      </c>
    </row>
    <row r="1516">
      <c r="A1516" s="232" t="inlineStr">
        <is>
          <t>CR-1513</t>
        </is>
      </c>
      <c r="B1516" s="232" t="inlineStr">
        <is>
          <t>2026/27</t>
        </is>
      </c>
      <c r="C1516" s="233" t="n">
        <v>46044</v>
      </c>
      <c r="D1516" s="232" t="inlineStr">
        <is>
          <t>888488</t>
        </is>
      </c>
      <c r="E1516" s="232" t="inlineStr">
        <is>
          <t>PRORRATEO</t>
        </is>
      </c>
      <c r="F1516" s="232" t="inlineStr">
        <is>
          <t>Siberia</t>
        </is>
      </c>
      <c r="G1516" s="232" t="inlineStr">
        <is>
          <t>S. Celebration 7,14</t>
        </is>
      </c>
      <c r="H1516" s="232" t="inlineStr">
        <is>
          <t>Uvas</t>
        </is>
      </c>
      <c r="I1516" s="232" t="inlineStr">
        <is>
          <t>S. celebration</t>
        </is>
      </c>
      <c r="J1516" s="232" t="inlineStr">
        <is>
          <t>UNIFORME Y EPP</t>
        </is>
      </c>
      <c r="K1516" s="232" t="inlineStr">
        <is>
          <t>EPP</t>
        </is>
      </c>
      <c r="L1516" s="232" t="inlineStr">
        <is>
          <t>[PRORRATEO 4.8% 7.14há/148.3há] O/001282 OVEROL POP</t>
        </is>
      </c>
      <c r="M1516" s="232" t="inlineStr"/>
      <c r="N1516" s="232" t="inlineStr">
        <is>
          <t>.   .   -</t>
        </is>
      </c>
      <c r="O1516" s="232" t="inlineStr">
        <is>
          <t>ENERO</t>
        </is>
      </c>
      <c r="P1516" s="232" t="n">
        <v>4</v>
      </c>
      <c r="Q1516" s="234" t="n">
        <v>1040</v>
      </c>
      <c r="R1516" s="232" t="inlineStr"/>
      <c r="S1516" s="234" t="n">
        <v>1040</v>
      </c>
      <c r="T1516" s="232" t="inlineStr">
        <is>
          <t>CLP</t>
        </is>
      </c>
      <c r="U1516" s="232" t="inlineStr">
        <is>
          <t>Prorrateo Ha PACKING</t>
        </is>
      </c>
      <c r="V1516" s="232" t="inlineStr">
        <is>
          <t>2026-06-18</t>
        </is>
      </c>
    </row>
    <row r="1517">
      <c r="A1517" s="232" t="inlineStr">
        <is>
          <t>CR-1514</t>
        </is>
      </c>
      <c r="B1517" s="232" t="inlineStr">
        <is>
          <t>2026/27</t>
        </is>
      </c>
      <c r="C1517" s="233" t="n">
        <v>46044</v>
      </c>
      <c r="D1517" s="232" t="inlineStr">
        <is>
          <t>888488</t>
        </is>
      </c>
      <c r="E1517" s="232" t="inlineStr">
        <is>
          <t>PRORRATEO</t>
        </is>
      </c>
      <c r="F1517" s="232" t="inlineStr">
        <is>
          <t>Siberia</t>
        </is>
      </c>
      <c r="G1517" s="232" t="inlineStr">
        <is>
          <t>Timpson 7,1</t>
        </is>
      </c>
      <c r="H1517" s="232" t="inlineStr">
        <is>
          <t>Uvas</t>
        </is>
      </c>
      <c r="I1517" s="232" t="inlineStr">
        <is>
          <t>Timpson</t>
        </is>
      </c>
      <c r="J1517" s="232" t="inlineStr">
        <is>
          <t>UNIFORME Y EPP</t>
        </is>
      </c>
      <c r="K1517" s="232" t="inlineStr">
        <is>
          <t>EPP</t>
        </is>
      </c>
      <c r="L1517" s="232" t="inlineStr">
        <is>
          <t>[PRORRATEO 4.8% 7.1há/148.3há] O/001282 OVEROL POP</t>
        </is>
      </c>
      <c r="M1517" s="232" t="inlineStr"/>
      <c r="N1517" s="232" t="inlineStr">
        <is>
          <t>.   .   -</t>
        </is>
      </c>
      <c r="O1517" s="232" t="inlineStr">
        <is>
          <t>ENERO</t>
        </is>
      </c>
      <c r="P1517" s="232" t="n">
        <v>4</v>
      </c>
      <c r="Q1517" s="234" t="n">
        <v>1034</v>
      </c>
      <c r="R1517" s="232" t="inlineStr"/>
      <c r="S1517" s="234" t="n">
        <v>1034</v>
      </c>
      <c r="T1517" s="232" t="inlineStr">
        <is>
          <t>CLP</t>
        </is>
      </c>
      <c r="U1517" s="232" t="inlineStr">
        <is>
          <t>Prorrateo Ha PACKING</t>
        </is>
      </c>
      <c r="V1517" s="232" t="inlineStr">
        <is>
          <t>2026-06-18</t>
        </is>
      </c>
    </row>
    <row r="1518">
      <c r="A1518" s="232" t="inlineStr">
        <is>
          <t>CR-1515</t>
        </is>
      </c>
      <c r="B1518" s="232" t="inlineStr">
        <is>
          <t>2026/27</t>
        </is>
      </c>
      <c r="C1518" s="233" t="n">
        <v>46044</v>
      </c>
      <c r="D1518" s="232" t="inlineStr">
        <is>
          <t>888488</t>
        </is>
      </c>
      <c r="E1518" s="232" t="inlineStr">
        <is>
          <t>PRORRATEO</t>
        </is>
      </c>
      <c r="F1518" s="232" t="inlineStr">
        <is>
          <t>Asmara</t>
        </is>
      </c>
      <c r="G1518" s="232" t="inlineStr">
        <is>
          <t>w. murcott 19,8 ha</t>
        </is>
      </c>
      <c r="H1518" s="232" t="inlineStr">
        <is>
          <t>Mandarina</t>
        </is>
      </c>
      <c r="I1518" s="232" t="inlineStr">
        <is>
          <t>W. murcott</t>
        </is>
      </c>
      <c r="J1518" s="232" t="inlineStr">
        <is>
          <t>UNIFORME Y EPP</t>
        </is>
      </c>
      <c r="K1518" s="232" t="inlineStr">
        <is>
          <t>EPP</t>
        </is>
      </c>
      <c r="L1518" s="232" t="inlineStr">
        <is>
          <t>[PRORRATEO 13.4% 19.8há/148.3há] O/001282 OVEROL POP</t>
        </is>
      </c>
      <c r="M1518" s="232" t="inlineStr"/>
      <c r="N1518" s="232" t="inlineStr">
        <is>
          <t>.   .   -</t>
        </is>
      </c>
      <c r="O1518" s="232" t="inlineStr">
        <is>
          <t>ENERO</t>
        </is>
      </c>
      <c r="P1518" s="232" t="n">
        <v>4</v>
      </c>
      <c r="Q1518" s="234" t="n">
        <v>2163</v>
      </c>
      <c r="R1518" s="232" t="inlineStr"/>
      <c r="S1518" s="234" t="n">
        <v>2163</v>
      </c>
      <c r="T1518" s="232" t="inlineStr">
        <is>
          <t>CLP</t>
        </is>
      </c>
      <c r="U1518" s="232" t="inlineStr">
        <is>
          <t>Prorrateo Ha PACKING</t>
        </is>
      </c>
      <c r="V1518" s="232" t="inlineStr">
        <is>
          <t>2026-06-18</t>
        </is>
      </c>
    </row>
    <row r="1519">
      <c r="A1519" s="232" t="inlineStr">
        <is>
          <t>CR-1516</t>
        </is>
      </c>
      <c r="B1519" s="232" t="inlineStr">
        <is>
          <t>2026/27</t>
        </is>
      </c>
      <c r="C1519" s="233" t="n">
        <v>46044</v>
      </c>
      <c r="D1519" s="232" t="inlineStr">
        <is>
          <t>888488</t>
        </is>
      </c>
      <c r="E1519" s="232" t="inlineStr">
        <is>
          <t>PRORRATEO</t>
        </is>
      </c>
      <c r="F1519" s="232" t="inlineStr">
        <is>
          <t>Asmara</t>
        </is>
      </c>
      <c r="G1519" s="232" t="inlineStr">
        <is>
          <t>w. murcott 4,9 ha</t>
        </is>
      </c>
      <c r="H1519" s="232" t="inlineStr">
        <is>
          <t>Mandarina</t>
        </is>
      </c>
      <c r="I1519" s="232" t="inlineStr">
        <is>
          <t>W. murcott</t>
        </is>
      </c>
      <c r="J1519" s="232" t="inlineStr">
        <is>
          <t>UNIFORME Y EPP</t>
        </is>
      </c>
      <c r="K1519" s="232" t="inlineStr">
        <is>
          <t>EPP</t>
        </is>
      </c>
      <c r="L1519" s="232" t="inlineStr">
        <is>
          <t>[PRORRATEO 3.3% 4.9há/148.3há] O/001282 OVEROL POP</t>
        </is>
      </c>
      <c r="M1519" s="232" t="inlineStr"/>
      <c r="N1519" s="232" t="inlineStr">
        <is>
          <t>.   .   -</t>
        </is>
      </c>
      <c r="O1519" s="232" t="inlineStr">
        <is>
          <t>ENERO</t>
        </is>
      </c>
      <c r="P1519" s="232" t="n">
        <v>4</v>
      </c>
      <c r="Q1519" s="234" t="n">
        <v>535</v>
      </c>
      <c r="R1519" s="232" t="inlineStr"/>
      <c r="S1519" s="234" t="n">
        <v>535</v>
      </c>
      <c r="T1519" s="232" t="inlineStr">
        <is>
          <t>CLP</t>
        </is>
      </c>
      <c r="U1519" s="232" t="inlineStr">
        <is>
          <t>Prorrateo Ha PACKING</t>
        </is>
      </c>
      <c r="V1519" s="232" t="inlineStr">
        <is>
          <t>2026-06-18</t>
        </is>
      </c>
    </row>
    <row r="1520">
      <c r="A1520" s="232" t="inlineStr">
        <is>
          <t>CR-1517</t>
        </is>
      </c>
      <c r="B1520" s="232" t="inlineStr">
        <is>
          <t>2026/27</t>
        </is>
      </c>
      <c r="C1520" s="233" t="n">
        <v>46044</v>
      </c>
      <c r="D1520" s="232" t="inlineStr">
        <is>
          <t>888488</t>
        </is>
      </c>
      <c r="E1520" s="232" t="inlineStr">
        <is>
          <t>PRORRATEO</t>
        </is>
      </c>
      <c r="F1520" s="232" t="inlineStr">
        <is>
          <t>El Molle</t>
        </is>
      </c>
      <c r="G1520" s="232" t="inlineStr">
        <is>
          <t>Wonderful 5,25 ha</t>
        </is>
      </c>
      <c r="H1520" s="232" t="inlineStr">
        <is>
          <t>Granados</t>
        </is>
      </c>
      <c r="I1520" s="232" t="inlineStr">
        <is>
          <t>Wonderfull</t>
        </is>
      </c>
      <c r="J1520" s="232" t="inlineStr">
        <is>
          <t>UNIFORME Y EPP</t>
        </is>
      </c>
      <c r="K1520" s="232" t="inlineStr">
        <is>
          <t>EPP</t>
        </is>
      </c>
      <c r="L1520" s="232" t="inlineStr">
        <is>
          <t>[PRORRATEO 3.5% 5.24há/148.3há] O/001282 OVEROL POP</t>
        </is>
      </c>
      <c r="M1520" s="232" t="inlineStr"/>
      <c r="N1520" s="232" t="inlineStr">
        <is>
          <t>.   .   -</t>
        </is>
      </c>
      <c r="O1520" s="232" t="inlineStr">
        <is>
          <t>ENERO</t>
        </is>
      </c>
      <c r="P1520" s="232" t="n">
        <v>4</v>
      </c>
      <c r="Q1520" s="234" t="n">
        <v>573</v>
      </c>
      <c r="R1520" s="232" t="inlineStr"/>
      <c r="S1520" s="234" t="n">
        <v>573</v>
      </c>
      <c r="T1520" s="232" t="inlineStr">
        <is>
          <t>CLP</t>
        </is>
      </c>
      <c r="U1520" s="232" t="inlineStr">
        <is>
          <t>Prorrateo Ha PACKING</t>
        </is>
      </c>
      <c r="V1520" s="232" t="inlineStr">
        <is>
          <t>2026-06-18</t>
        </is>
      </c>
    </row>
    <row r="1521">
      <c r="A1521" s="232" t="inlineStr">
        <is>
          <t>CR-1518</t>
        </is>
      </c>
      <c r="B1521" s="232" t="inlineStr">
        <is>
          <t>2026/27</t>
        </is>
      </c>
      <c r="C1521" s="233" t="n">
        <v>46044</v>
      </c>
      <c r="D1521" s="232" t="inlineStr">
        <is>
          <t>888488</t>
        </is>
      </c>
      <c r="E1521" s="232" t="inlineStr">
        <is>
          <t>PRORRATEO</t>
        </is>
      </c>
      <c r="F1521" s="232" t="inlineStr">
        <is>
          <t>El Molle</t>
        </is>
      </c>
      <c r="G1521" s="232" t="inlineStr">
        <is>
          <t>arrufatinas 5,74 ha</t>
        </is>
      </c>
      <c r="H1521" s="232" t="inlineStr">
        <is>
          <t>Clementinas</t>
        </is>
      </c>
      <c r="I1521" s="232" t="inlineStr">
        <is>
          <t>Arrufatinas</t>
        </is>
      </c>
      <c r="J1521" s="232" t="inlineStr">
        <is>
          <t>UNIFORME Y EPP</t>
        </is>
      </c>
      <c r="K1521" s="232" t="inlineStr">
        <is>
          <t>EPP</t>
        </is>
      </c>
      <c r="L1521" s="232" t="inlineStr">
        <is>
          <t>[PRORRATEO 3.9% 5.74há/148.3há] O/001282 OVEROL POP</t>
        </is>
      </c>
      <c r="M1521" s="232" t="inlineStr"/>
      <c r="N1521" s="232" t="inlineStr">
        <is>
          <t>.   .   -</t>
        </is>
      </c>
      <c r="O1521" s="232" t="inlineStr">
        <is>
          <t>ENERO</t>
        </is>
      </c>
      <c r="P1521" s="232" t="n">
        <v>4</v>
      </c>
      <c r="Q1521" s="234" t="n">
        <v>627</v>
      </c>
      <c r="R1521" s="232" t="inlineStr"/>
      <c r="S1521" s="234" t="n">
        <v>627</v>
      </c>
      <c r="T1521" s="232" t="inlineStr">
        <is>
          <t>CLP</t>
        </is>
      </c>
      <c r="U1521" s="232" t="inlineStr">
        <is>
          <t>Prorrateo Ha PACKING</t>
        </is>
      </c>
      <c r="V1521" s="232" t="inlineStr">
        <is>
          <t>2026-06-18</t>
        </is>
      </c>
    </row>
    <row r="1522">
      <c r="A1522" s="232" t="inlineStr">
        <is>
          <t>CR-1519</t>
        </is>
      </c>
      <c r="B1522" s="232" t="inlineStr">
        <is>
          <t>2026/27</t>
        </is>
      </c>
      <c r="C1522" s="233" t="n">
        <v>46044</v>
      </c>
      <c r="D1522" s="232" t="inlineStr">
        <is>
          <t>888488</t>
        </is>
      </c>
      <c r="E1522" s="232" t="inlineStr">
        <is>
          <t>PRORRATEO</t>
        </is>
      </c>
      <c r="F1522" s="232" t="inlineStr">
        <is>
          <t>El Molle</t>
        </is>
      </c>
      <c r="G1522" s="232" t="inlineStr">
        <is>
          <t>orogrande 8,11 ha</t>
        </is>
      </c>
      <c r="H1522" s="232" t="inlineStr">
        <is>
          <t>Clementinas</t>
        </is>
      </c>
      <c r="I1522" s="232" t="inlineStr">
        <is>
          <t>Orogrande</t>
        </is>
      </c>
      <c r="J1522" s="232" t="inlineStr">
        <is>
          <t>UNIFORME Y EPP</t>
        </is>
      </c>
      <c r="K1522" s="232" t="inlineStr">
        <is>
          <t>EPP</t>
        </is>
      </c>
      <c r="L1522" s="232" t="inlineStr">
        <is>
          <t>[PRORRATEO 5.5% 8.11há/148.3há] O/001282 OVEROL POP</t>
        </is>
      </c>
      <c r="M1522" s="232" t="inlineStr"/>
      <c r="N1522" s="232" t="inlineStr">
        <is>
          <t>.   .   -</t>
        </is>
      </c>
      <c r="O1522" s="232" t="inlineStr">
        <is>
          <t>ENERO</t>
        </is>
      </c>
      <c r="P1522" s="232" t="n">
        <v>4</v>
      </c>
      <c r="Q1522" s="234" t="n">
        <v>886</v>
      </c>
      <c r="R1522" s="232" t="inlineStr"/>
      <c r="S1522" s="234" t="n">
        <v>886</v>
      </c>
      <c r="T1522" s="232" t="inlineStr">
        <is>
          <t>CLP</t>
        </is>
      </c>
      <c r="U1522" s="232" t="inlineStr">
        <is>
          <t>Prorrateo Ha PACKING</t>
        </is>
      </c>
      <c r="V1522" s="232" t="inlineStr">
        <is>
          <t>2026-06-18</t>
        </is>
      </c>
    </row>
    <row r="1523">
      <c r="A1523" s="232" t="inlineStr">
        <is>
          <t>CR-1520</t>
        </is>
      </c>
      <c r="B1523" s="232" t="inlineStr">
        <is>
          <t>2026/27</t>
        </is>
      </c>
      <c r="C1523" s="233" t="n">
        <v>46044</v>
      </c>
      <c r="D1523" s="232" t="inlineStr">
        <is>
          <t>888488</t>
        </is>
      </c>
      <c r="E1523" s="232" t="inlineStr">
        <is>
          <t>PRORRATEO</t>
        </is>
      </c>
      <c r="F1523" s="232" t="inlineStr">
        <is>
          <t>El Molle</t>
        </is>
      </c>
      <c r="G1523" s="232" t="inlineStr">
        <is>
          <t>oronules 5,35 ha</t>
        </is>
      </c>
      <c r="H1523" s="232" t="inlineStr">
        <is>
          <t>Clementinas</t>
        </is>
      </c>
      <c r="I1523" s="232" t="inlineStr">
        <is>
          <t>Oronules</t>
        </is>
      </c>
      <c r="J1523" s="232" t="inlineStr">
        <is>
          <t>UNIFORME Y EPP</t>
        </is>
      </c>
      <c r="K1523" s="232" t="inlineStr">
        <is>
          <t>EPP</t>
        </is>
      </c>
      <c r="L1523" s="232" t="inlineStr">
        <is>
          <t>[PRORRATEO 3.6% 5.35há/148.3há] O/001282 OVEROL POP</t>
        </is>
      </c>
      <c r="M1523" s="232" t="inlineStr"/>
      <c r="N1523" s="232" t="inlineStr">
        <is>
          <t>.   .   -</t>
        </is>
      </c>
      <c r="O1523" s="232" t="inlineStr">
        <is>
          <t>ENERO</t>
        </is>
      </c>
      <c r="P1523" s="232" t="n">
        <v>4</v>
      </c>
      <c r="Q1523" s="234" t="n">
        <v>585</v>
      </c>
      <c r="R1523" s="232" t="inlineStr"/>
      <c r="S1523" s="234" t="n">
        <v>585</v>
      </c>
      <c r="T1523" s="232" t="inlineStr">
        <is>
          <t>CLP</t>
        </is>
      </c>
      <c r="U1523" s="232" t="inlineStr">
        <is>
          <t>Prorrateo Ha PACKING</t>
        </is>
      </c>
      <c r="V1523" s="232" t="inlineStr">
        <is>
          <t>2026-06-18</t>
        </is>
      </c>
    </row>
    <row r="1524">
      <c r="A1524" s="232" t="inlineStr">
        <is>
          <t>CR-1521</t>
        </is>
      </c>
      <c r="B1524" s="232" t="inlineStr">
        <is>
          <t>2026/27</t>
        </is>
      </c>
      <c r="C1524" s="233" t="n">
        <v>46044</v>
      </c>
      <c r="D1524" s="232" t="inlineStr">
        <is>
          <t>888488</t>
        </is>
      </c>
      <c r="E1524" s="232" t="inlineStr">
        <is>
          <t>PRORRATEO</t>
        </is>
      </c>
      <c r="F1524" s="232" t="inlineStr">
        <is>
          <t>Santa Catalina</t>
        </is>
      </c>
      <c r="G1524" s="232" t="inlineStr">
        <is>
          <t>Fino 49 7,7 ha</t>
        </is>
      </c>
      <c r="H1524" s="232" t="inlineStr">
        <is>
          <t>Limon</t>
        </is>
      </c>
      <c r="I1524" s="232" t="inlineStr">
        <is>
          <t>Fino 49</t>
        </is>
      </c>
      <c r="J1524" s="232" t="inlineStr">
        <is>
          <t>UNIFORME Y EPP</t>
        </is>
      </c>
      <c r="K1524" s="232" t="inlineStr">
        <is>
          <t>EPP</t>
        </is>
      </c>
      <c r="L1524" s="232" t="inlineStr">
        <is>
          <t>[PRORRATEO 5.2% 7.7há/148.3há] O/001282 OVEROL POP</t>
        </is>
      </c>
      <c r="M1524" s="232" t="inlineStr"/>
      <c r="N1524" s="232" t="inlineStr">
        <is>
          <t>.   .   -</t>
        </is>
      </c>
      <c r="O1524" s="232" t="inlineStr">
        <is>
          <t>ENERO</t>
        </is>
      </c>
      <c r="P1524" s="232" t="n">
        <v>4</v>
      </c>
      <c r="Q1524" s="234" t="n">
        <v>841</v>
      </c>
      <c r="R1524" s="232" t="inlineStr"/>
      <c r="S1524" s="234" t="n">
        <v>841</v>
      </c>
      <c r="T1524" s="232" t="inlineStr">
        <is>
          <t>CLP</t>
        </is>
      </c>
      <c r="U1524" s="232" t="inlineStr">
        <is>
          <t>Prorrateo Ha PACKING</t>
        </is>
      </c>
      <c r="V1524" s="232" t="inlineStr">
        <is>
          <t>2026-06-18</t>
        </is>
      </c>
    </row>
    <row r="1525">
      <c r="A1525" s="232" t="inlineStr">
        <is>
          <t>CR-1522</t>
        </is>
      </c>
      <c r="B1525" s="232" t="inlineStr">
        <is>
          <t>2026/27</t>
        </is>
      </c>
      <c r="C1525" s="233" t="n">
        <v>46044</v>
      </c>
      <c r="D1525" s="232" t="inlineStr">
        <is>
          <t>888488</t>
        </is>
      </c>
      <c r="E1525" s="232" t="inlineStr">
        <is>
          <t>PRORRATEO</t>
        </is>
      </c>
      <c r="F1525" s="232" t="inlineStr">
        <is>
          <t>Santa Catalina</t>
        </is>
      </c>
      <c r="G1525" s="232" t="inlineStr">
        <is>
          <t>W. murcott 21 ha</t>
        </is>
      </c>
      <c r="H1525" s="232" t="inlineStr">
        <is>
          <t>Mandarina</t>
        </is>
      </c>
      <c r="I1525" s="232" t="inlineStr">
        <is>
          <t>W. murcott</t>
        </is>
      </c>
      <c r="J1525" s="232" t="inlineStr">
        <is>
          <t>UNIFORME Y EPP</t>
        </is>
      </c>
      <c r="K1525" s="232" t="inlineStr">
        <is>
          <t>EPP</t>
        </is>
      </c>
      <c r="L1525" s="232" t="inlineStr">
        <is>
          <t>[PRORRATEO 14.2% 21.0há/148.3há] O/001282 OVEROL POP</t>
        </is>
      </c>
      <c r="M1525" s="232" t="inlineStr"/>
      <c r="N1525" s="232" t="inlineStr">
        <is>
          <t>.   .   -</t>
        </is>
      </c>
      <c r="O1525" s="232" t="inlineStr">
        <is>
          <t>ENERO</t>
        </is>
      </c>
      <c r="P1525" s="232" t="n">
        <v>4</v>
      </c>
      <c r="Q1525" s="234" t="n">
        <v>2295</v>
      </c>
      <c r="R1525" s="232" t="inlineStr"/>
      <c r="S1525" s="234" t="n">
        <v>2295</v>
      </c>
      <c r="T1525" s="232" t="inlineStr">
        <is>
          <t>CLP</t>
        </is>
      </c>
      <c r="U1525" s="232" t="inlineStr">
        <is>
          <t>Prorrateo Ha PACKING</t>
        </is>
      </c>
      <c r="V1525" s="232" t="inlineStr">
        <is>
          <t>2026-06-18</t>
        </is>
      </c>
    </row>
    <row r="1526">
      <c r="A1526" s="232" t="inlineStr">
        <is>
          <t>CR-1523</t>
        </is>
      </c>
      <c r="B1526" s="232" t="inlineStr">
        <is>
          <t>2026/27</t>
        </is>
      </c>
      <c r="C1526" s="233" t="n">
        <v>46044</v>
      </c>
      <c r="D1526" s="232" t="inlineStr">
        <is>
          <t>888488</t>
        </is>
      </c>
      <c r="E1526" s="232" t="inlineStr">
        <is>
          <t>PRORRATEO</t>
        </is>
      </c>
      <c r="F1526" s="232" t="inlineStr">
        <is>
          <t>Santa Catalina</t>
        </is>
      </c>
      <c r="G1526" s="232" t="inlineStr">
        <is>
          <t>cambria 4,2 ha</t>
        </is>
      </c>
      <c r="H1526" s="232" t="inlineStr">
        <is>
          <t>Naranjas</t>
        </is>
      </c>
      <c r="I1526" s="232" t="inlineStr">
        <is>
          <t>Cambria</t>
        </is>
      </c>
      <c r="J1526" s="232" t="inlineStr">
        <is>
          <t>UNIFORME Y EPP</t>
        </is>
      </c>
      <c r="K1526" s="232" t="inlineStr">
        <is>
          <t>EPP</t>
        </is>
      </c>
      <c r="L1526" s="232" t="inlineStr">
        <is>
          <t>[PRORRATEO 2.8% 4.2há/148.3há] O/001282 OVEROL POP</t>
        </is>
      </c>
      <c r="M1526" s="232" t="inlineStr"/>
      <c r="N1526" s="232" t="inlineStr">
        <is>
          <t>.   .   -</t>
        </is>
      </c>
      <c r="O1526" s="232" t="inlineStr">
        <is>
          <t>ENERO</t>
        </is>
      </c>
      <c r="P1526" s="232" t="n">
        <v>4</v>
      </c>
      <c r="Q1526" s="234" t="n">
        <v>459</v>
      </c>
      <c r="R1526" s="232" t="inlineStr"/>
      <c r="S1526" s="234" t="n">
        <v>459</v>
      </c>
      <c r="T1526" s="232" t="inlineStr">
        <is>
          <t>CLP</t>
        </is>
      </c>
      <c r="U1526" s="232" t="inlineStr">
        <is>
          <t>Prorrateo Ha PACKING</t>
        </is>
      </c>
      <c r="V1526" s="232" t="inlineStr">
        <is>
          <t>2026-06-18</t>
        </is>
      </c>
    </row>
    <row r="1527">
      <c r="A1527" s="232" t="inlineStr">
        <is>
          <t>CR-1524</t>
        </is>
      </c>
      <c r="B1527" s="232" t="inlineStr">
        <is>
          <t>2026/27</t>
        </is>
      </c>
      <c r="C1527" s="233" t="n">
        <v>46044</v>
      </c>
      <c r="D1527" s="232" t="inlineStr">
        <is>
          <t>888488</t>
        </is>
      </c>
      <c r="E1527" s="232" t="inlineStr">
        <is>
          <t>PRORRATEO</t>
        </is>
      </c>
      <c r="F1527" s="232" t="inlineStr">
        <is>
          <t>Santa Catalina</t>
        </is>
      </c>
      <c r="G1527" s="232" t="inlineStr">
        <is>
          <t>eureka 10,6 ha</t>
        </is>
      </c>
      <c r="H1527" s="232" t="inlineStr">
        <is>
          <t>Limon</t>
        </is>
      </c>
      <c r="I1527" s="232" t="inlineStr">
        <is>
          <t>Eureka</t>
        </is>
      </c>
      <c r="J1527" s="232" t="inlineStr">
        <is>
          <t>UNIFORME Y EPP</t>
        </is>
      </c>
      <c r="K1527" s="232" t="inlineStr">
        <is>
          <t>EPP</t>
        </is>
      </c>
      <c r="L1527" s="232" t="inlineStr">
        <is>
          <t>[PRORRATEO 7.1% 10.6há/148.3há] O/001282 OVEROL POP</t>
        </is>
      </c>
      <c r="M1527" s="232" t="inlineStr"/>
      <c r="N1527" s="232" t="inlineStr">
        <is>
          <t>.   .   -</t>
        </is>
      </c>
      <c r="O1527" s="232" t="inlineStr">
        <is>
          <t>ENERO</t>
        </is>
      </c>
      <c r="P1527" s="232" t="n">
        <v>4</v>
      </c>
      <c r="Q1527" s="234" t="n">
        <v>1158</v>
      </c>
      <c r="R1527" s="232" t="inlineStr"/>
      <c r="S1527" s="234" t="n">
        <v>1158</v>
      </c>
      <c r="T1527" s="232" t="inlineStr">
        <is>
          <t>CLP</t>
        </is>
      </c>
      <c r="U1527" s="232" t="inlineStr">
        <is>
          <t>Prorrateo Ha PACKING</t>
        </is>
      </c>
      <c r="V1527" s="232" t="inlineStr">
        <is>
          <t>2026-06-18</t>
        </is>
      </c>
    </row>
    <row r="1528">
      <c r="A1528" s="232" t="inlineStr">
        <is>
          <t>CR-1525</t>
        </is>
      </c>
      <c r="B1528" s="232" t="inlineStr">
        <is>
          <t>2026/27</t>
        </is>
      </c>
      <c r="C1528" s="233" t="n">
        <v>46044</v>
      </c>
      <c r="D1528" s="232" t="inlineStr">
        <is>
          <t>888488</t>
        </is>
      </c>
      <c r="E1528" s="232" t="inlineStr">
        <is>
          <t>PRORRATEO</t>
        </is>
      </c>
      <c r="F1528" s="232" t="inlineStr">
        <is>
          <t>Santa Catalina</t>
        </is>
      </c>
      <c r="G1528" s="232" t="inlineStr">
        <is>
          <t>eureka 14,4 ha</t>
        </is>
      </c>
      <c r="H1528" s="232" t="inlineStr">
        <is>
          <t>Limon</t>
        </is>
      </c>
      <c r="I1528" s="232" t="inlineStr">
        <is>
          <t>Eureka</t>
        </is>
      </c>
      <c r="J1528" s="232" t="inlineStr">
        <is>
          <t>UNIFORME Y EPP</t>
        </is>
      </c>
      <c r="K1528" s="232" t="inlineStr">
        <is>
          <t>EPP</t>
        </is>
      </c>
      <c r="L1528" s="232" t="inlineStr">
        <is>
          <t>[PRORRATEO 9.7% 14.4há/148.3há] O/001282 OVEROL POP</t>
        </is>
      </c>
      <c r="M1528" s="232" t="inlineStr"/>
      <c r="N1528" s="232" t="inlineStr">
        <is>
          <t>.   .   -</t>
        </is>
      </c>
      <c r="O1528" s="232" t="inlineStr">
        <is>
          <t>ENERO</t>
        </is>
      </c>
      <c r="P1528" s="232" t="n">
        <v>4</v>
      </c>
      <c r="Q1528" s="234" t="n">
        <v>1573</v>
      </c>
      <c r="R1528" s="232" t="inlineStr"/>
      <c r="S1528" s="234" t="n">
        <v>1573</v>
      </c>
      <c r="T1528" s="232" t="inlineStr">
        <is>
          <t>CLP</t>
        </is>
      </c>
      <c r="U1528" s="232" t="inlineStr">
        <is>
          <t>Prorrateo Ha PACKING</t>
        </is>
      </c>
      <c r="V1528" s="232" t="inlineStr">
        <is>
          <t>2026-06-18</t>
        </is>
      </c>
    </row>
    <row r="1529">
      <c r="A1529" s="232" t="inlineStr">
        <is>
          <t>CR-1526</t>
        </is>
      </c>
      <c r="B1529" s="232" t="inlineStr">
        <is>
          <t>2026/27</t>
        </is>
      </c>
      <c r="C1529" s="233" t="n">
        <v>46044</v>
      </c>
      <c r="D1529" s="232" t="inlineStr">
        <is>
          <t>888488</t>
        </is>
      </c>
      <c r="E1529" s="232" t="inlineStr">
        <is>
          <t>PRORRATEO</t>
        </is>
      </c>
      <c r="F1529" s="232" t="inlineStr">
        <is>
          <t>Santa Catalina</t>
        </is>
      </c>
      <c r="G1529" s="232" t="inlineStr">
        <is>
          <t>eureka 22,55</t>
        </is>
      </c>
      <c r="H1529" s="232" t="inlineStr">
        <is>
          <t>Limon</t>
        </is>
      </c>
      <c r="I1529" s="232" t="inlineStr">
        <is>
          <t>Eureka</t>
        </is>
      </c>
      <c r="J1529" s="232" t="inlineStr">
        <is>
          <t>UNIFORME Y EPP</t>
        </is>
      </c>
      <c r="K1529" s="232" t="inlineStr">
        <is>
          <t>EPP</t>
        </is>
      </c>
      <c r="L1529" s="232" t="inlineStr">
        <is>
          <t>[PRORRATEO 15.2% 22.55há/148.3há] O/001282 OVEROL POP</t>
        </is>
      </c>
      <c r="M1529" s="232" t="inlineStr"/>
      <c r="N1529" s="232" t="inlineStr">
        <is>
          <t>.   .   -</t>
        </is>
      </c>
      <c r="O1529" s="232" t="inlineStr">
        <is>
          <t>ENERO</t>
        </is>
      </c>
      <c r="P1529" s="232" t="n">
        <v>4</v>
      </c>
      <c r="Q1529" s="234" t="n">
        <v>2464</v>
      </c>
      <c r="R1529" s="232" t="inlineStr"/>
      <c r="S1529" s="234" t="n">
        <v>2464</v>
      </c>
      <c r="T1529" s="232" t="inlineStr">
        <is>
          <t>CLP</t>
        </is>
      </c>
      <c r="U1529" s="232" t="inlineStr">
        <is>
          <t>Prorrateo Ha PACKING</t>
        </is>
      </c>
      <c r="V1529" s="232" t="inlineStr">
        <is>
          <t>2026-06-18</t>
        </is>
      </c>
    </row>
    <row r="1530">
      <c r="A1530" s="232" t="inlineStr">
        <is>
          <t>CR-1527</t>
        </is>
      </c>
      <c r="B1530" s="232" t="inlineStr">
        <is>
          <t>2026/27</t>
        </is>
      </c>
      <c r="C1530" s="233" t="n">
        <v>46044</v>
      </c>
      <c r="D1530" s="232" t="inlineStr">
        <is>
          <t>888488</t>
        </is>
      </c>
      <c r="E1530" s="232" t="inlineStr">
        <is>
          <t>PRORRATEO</t>
        </is>
      </c>
      <c r="F1530" s="232" t="inlineStr">
        <is>
          <t>Santa Catalina</t>
        </is>
      </c>
      <c r="G1530" s="232" t="inlineStr">
        <is>
          <t>form benjamin 1,93 ha</t>
        </is>
      </c>
      <c r="H1530" s="232" t="inlineStr">
        <is>
          <t>Limon</t>
        </is>
      </c>
      <c r="I1530" s="232" t="inlineStr">
        <is>
          <t>Benjamin andes</t>
        </is>
      </c>
      <c r="J1530" s="232" t="inlineStr">
        <is>
          <t>UNIFORME Y EPP</t>
        </is>
      </c>
      <c r="K1530" s="232" t="inlineStr">
        <is>
          <t>EPP</t>
        </is>
      </c>
      <c r="L1530" s="232" t="inlineStr">
        <is>
          <t>[PRORRATEO 1.3% 1.93há/148.3há] O/001282 OVEROL POP</t>
        </is>
      </c>
      <c r="M1530" s="232" t="inlineStr"/>
      <c r="N1530" s="232" t="inlineStr">
        <is>
          <t>.   .   -</t>
        </is>
      </c>
      <c r="O1530" s="232" t="inlineStr">
        <is>
          <t>ENERO</t>
        </is>
      </c>
      <c r="P1530" s="232" t="n">
        <v>4</v>
      </c>
      <c r="Q1530" s="234" t="n">
        <v>211</v>
      </c>
      <c r="R1530" s="232" t="inlineStr"/>
      <c r="S1530" s="234" t="n">
        <v>211</v>
      </c>
      <c r="T1530" s="232" t="inlineStr">
        <is>
          <t>CLP</t>
        </is>
      </c>
      <c r="U1530" s="232" t="inlineStr">
        <is>
          <t>Prorrateo Ha PACKING</t>
        </is>
      </c>
      <c r="V1530" s="232" t="inlineStr">
        <is>
          <t>2026-06-18</t>
        </is>
      </c>
    </row>
    <row r="1531">
      <c r="A1531" s="232" t="inlineStr">
        <is>
          <t>CR-1528</t>
        </is>
      </c>
      <c r="B1531" s="232" t="inlineStr">
        <is>
          <t>2026/27</t>
        </is>
      </c>
      <c r="C1531" s="233" t="n">
        <v>46044</v>
      </c>
      <c r="D1531" s="232" t="inlineStr">
        <is>
          <t>888488</t>
        </is>
      </c>
      <c r="E1531" s="232" t="inlineStr">
        <is>
          <t>PRORRATEO</t>
        </is>
      </c>
      <c r="F1531" s="232" t="inlineStr">
        <is>
          <t>Santa Catalina</t>
        </is>
      </c>
      <c r="G1531" s="232" t="inlineStr">
        <is>
          <t>mant eureka 2,5 ha</t>
        </is>
      </c>
      <c r="H1531" s="232" t="inlineStr">
        <is>
          <t>Limon</t>
        </is>
      </c>
      <c r="I1531" s="232" t="inlineStr">
        <is>
          <t>Eureka</t>
        </is>
      </c>
      <c r="J1531" s="232" t="inlineStr">
        <is>
          <t>UNIFORME Y EPP</t>
        </is>
      </c>
      <c r="K1531" s="232" t="inlineStr">
        <is>
          <t>EPP</t>
        </is>
      </c>
      <c r="L1531" s="232" t="inlineStr">
        <is>
          <t>[PRORRATEO 1.7% 2.5há/148.3há] O/001282 OVEROL POP</t>
        </is>
      </c>
      <c r="M1531" s="232" t="inlineStr"/>
      <c r="N1531" s="232" t="inlineStr">
        <is>
          <t>.   .   -</t>
        </is>
      </c>
      <c r="O1531" s="232" t="inlineStr">
        <is>
          <t>ENERO</t>
        </is>
      </c>
      <c r="P1531" s="232" t="n">
        <v>4</v>
      </c>
      <c r="Q1531" s="234" t="n">
        <v>273</v>
      </c>
      <c r="R1531" s="232" t="inlineStr"/>
      <c r="S1531" s="234" t="n">
        <v>273</v>
      </c>
      <c r="T1531" s="232" t="inlineStr">
        <is>
          <t>CLP</t>
        </is>
      </c>
      <c r="U1531" s="232" t="inlineStr">
        <is>
          <t>Prorrateo Ha PACKING</t>
        </is>
      </c>
      <c r="V1531" s="232" t="inlineStr">
        <is>
          <t>2026-06-18</t>
        </is>
      </c>
    </row>
    <row r="1532">
      <c r="A1532" s="232" t="inlineStr">
        <is>
          <t>CR-1529</t>
        </is>
      </c>
      <c r="B1532" s="232" t="inlineStr">
        <is>
          <t>2026/27</t>
        </is>
      </c>
      <c r="C1532" s="233" t="n">
        <v>46044</v>
      </c>
      <c r="D1532" s="232" t="inlineStr">
        <is>
          <t>888488</t>
        </is>
      </c>
      <c r="E1532" s="232" t="inlineStr">
        <is>
          <t>PRORRATEO</t>
        </is>
      </c>
      <c r="F1532" s="232" t="inlineStr">
        <is>
          <t>Siberia</t>
        </is>
      </c>
      <c r="G1532" s="232" t="inlineStr">
        <is>
          <t>S. Celebration 7,14</t>
        </is>
      </c>
      <c r="H1532" s="232" t="inlineStr">
        <is>
          <t>Uvas</t>
        </is>
      </c>
      <c r="I1532" s="232" t="inlineStr">
        <is>
          <t>S. celebration</t>
        </is>
      </c>
      <c r="J1532" s="232" t="inlineStr">
        <is>
          <t>UNIFORME Y EPP</t>
        </is>
      </c>
      <c r="K1532" s="232" t="inlineStr">
        <is>
          <t>EPP</t>
        </is>
      </c>
      <c r="L1532" s="232" t="inlineStr">
        <is>
          <t>[PRORRATEO 4.8% 7.14há/148.3há] O/001282 OVEROL POP</t>
        </is>
      </c>
      <c r="M1532" s="232" t="inlineStr"/>
      <c r="N1532" s="232" t="inlineStr">
        <is>
          <t>.   .   -</t>
        </is>
      </c>
      <c r="O1532" s="232" t="inlineStr">
        <is>
          <t>ENERO</t>
        </is>
      </c>
      <c r="P1532" s="232" t="n">
        <v>4</v>
      </c>
      <c r="Q1532" s="234" t="n">
        <v>780</v>
      </c>
      <c r="R1532" s="232" t="inlineStr"/>
      <c r="S1532" s="234" t="n">
        <v>780</v>
      </c>
      <c r="T1532" s="232" t="inlineStr">
        <is>
          <t>CLP</t>
        </is>
      </c>
      <c r="U1532" s="232" t="inlineStr">
        <is>
          <t>Prorrateo Ha PACKING</t>
        </is>
      </c>
      <c r="V1532" s="232" t="inlineStr">
        <is>
          <t>2026-06-18</t>
        </is>
      </c>
    </row>
    <row r="1533">
      <c r="A1533" s="232" t="inlineStr">
        <is>
          <t>CR-1530</t>
        </is>
      </c>
      <c r="B1533" s="232" t="inlineStr">
        <is>
          <t>2026/27</t>
        </is>
      </c>
      <c r="C1533" s="233" t="n">
        <v>46044</v>
      </c>
      <c r="D1533" s="232" t="inlineStr">
        <is>
          <t>888488</t>
        </is>
      </c>
      <c r="E1533" s="232" t="inlineStr">
        <is>
          <t>PRORRATEO</t>
        </is>
      </c>
      <c r="F1533" s="232" t="inlineStr">
        <is>
          <t>Siberia</t>
        </is>
      </c>
      <c r="G1533" s="232" t="inlineStr">
        <is>
          <t>Timpson 7,1</t>
        </is>
      </c>
      <c r="H1533" s="232" t="inlineStr">
        <is>
          <t>Uvas</t>
        </is>
      </c>
      <c r="I1533" s="232" t="inlineStr">
        <is>
          <t>Timpson</t>
        </is>
      </c>
      <c r="J1533" s="232" t="inlineStr">
        <is>
          <t>UNIFORME Y EPP</t>
        </is>
      </c>
      <c r="K1533" s="232" t="inlineStr">
        <is>
          <t>EPP</t>
        </is>
      </c>
      <c r="L1533" s="232" t="inlineStr">
        <is>
          <t>[PRORRATEO 4.8% 7.1há/148.3há] O/001282 OVEROL POP</t>
        </is>
      </c>
      <c r="M1533" s="232" t="inlineStr"/>
      <c r="N1533" s="232" t="inlineStr">
        <is>
          <t>.   .   -</t>
        </is>
      </c>
      <c r="O1533" s="232" t="inlineStr">
        <is>
          <t>ENERO</t>
        </is>
      </c>
      <c r="P1533" s="232" t="n">
        <v>4</v>
      </c>
      <c r="Q1533" s="234" t="n">
        <v>776</v>
      </c>
      <c r="R1533" s="232" t="inlineStr"/>
      <c r="S1533" s="234" t="n">
        <v>776</v>
      </c>
      <c r="T1533" s="232" t="inlineStr">
        <is>
          <t>CLP</t>
        </is>
      </c>
      <c r="U1533" s="232" t="inlineStr">
        <is>
          <t>Prorrateo Ha PACKING</t>
        </is>
      </c>
      <c r="V1533" s="232" t="inlineStr">
        <is>
          <t>2026-06-18</t>
        </is>
      </c>
    </row>
    <row r="1534">
      <c r="A1534" s="232" t="inlineStr">
        <is>
          <t>CR-1531</t>
        </is>
      </c>
      <c r="B1534" s="232" t="inlineStr">
        <is>
          <t>2026/27</t>
        </is>
      </c>
      <c r="C1534" s="233" t="n">
        <v>46044</v>
      </c>
      <c r="D1534" s="232" t="inlineStr">
        <is>
          <t>888488</t>
        </is>
      </c>
      <c r="E1534" s="232" t="inlineStr">
        <is>
          <t>PRORRATEO</t>
        </is>
      </c>
      <c r="F1534" s="232" t="inlineStr">
        <is>
          <t>Asmara</t>
        </is>
      </c>
      <c r="G1534" s="232" t="inlineStr">
        <is>
          <t>w. murcott 19,8 ha</t>
        </is>
      </c>
      <c r="H1534" s="232" t="inlineStr">
        <is>
          <t>Mandarina</t>
        </is>
      </c>
      <c r="I1534" s="232" t="inlineStr">
        <is>
          <t>W. murcott</t>
        </is>
      </c>
      <c r="J1534" s="232" t="inlineStr">
        <is>
          <t>UNIFORME Y EPP</t>
        </is>
      </c>
      <c r="K1534" s="232" t="inlineStr">
        <is>
          <t>EPP</t>
        </is>
      </c>
      <c r="L1534" s="232" t="inlineStr">
        <is>
          <t>[PRORRATEO 13.4% 19.8há/148.3há] O/001282 PROTECTOR</t>
        </is>
      </c>
      <c r="M1534" s="232" t="inlineStr"/>
      <c r="N1534" s="232" t="inlineStr">
        <is>
          <t>.   .   -</t>
        </is>
      </c>
      <c r="O1534" s="232" t="inlineStr">
        <is>
          <t>ENERO</t>
        </is>
      </c>
      <c r="P1534" s="232" t="n">
        <v>4</v>
      </c>
      <c r="Q1534" s="234" t="n">
        <v>3472</v>
      </c>
      <c r="R1534" s="232" t="inlineStr"/>
      <c r="S1534" s="234" t="n">
        <v>3472</v>
      </c>
      <c r="T1534" s="232" t="inlineStr">
        <is>
          <t>CLP</t>
        </is>
      </c>
      <c r="U1534" s="232" t="inlineStr">
        <is>
          <t>Prorrateo Ha PACKING</t>
        </is>
      </c>
      <c r="V1534" s="232" t="inlineStr">
        <is>
          <t>2026-06-18</t>
        </is>
      </c>
    </row>
    <row r="1535">
      <c r="A1535" s="232" t="inlineStr">
        <is>
          <t>CR-1532</t>
        </is>
      </c>
      <c r="B1535" s="232" t="inlineStr">
        <is>
          <t>2026/27</t>
        </is>
      </c>
      <c r="C1535" s="233" t="n">
        <v>46044</v>
      </c>
      <c r="D1535" s="232" t="inlineStr">
        <is>
          <t>888488</t>
        </is>
      </c>
      <c r="E1535" s="232" t="inlineStr">
        <is>
          <t>PRORRATEO</t>
        </is>
      </c>
      <c r="F1535" s="232" t="inlineStr">
        <is>
          <t>Asmara</t>
        </is>
      </c>
      <c r="G1535" s="232" t="inlineStr">
        <is>
          <t>w. murcott 4,9 ha</t>
        </is>
      </c>
      <c r="H1535" s="232" t="inlineStr">
        <is>
          <t>Mandarina</t>
        </is>
      </c>
      <c r="I1535" s="232" t="inlineStr">
        <is>
          <t>W. murcott</t>
        </is>
      </c>
      <c r="J1535" s="232" t="inlineStr">
        <is>
          <t>UNIFORME Y EPP</t>
        </is>
      </c>
      <c r="K1535" s="232" t="inlineStr">
        <is>
          <t>EPP</t>
        </is>
      </c>
      <c r="L1535" s="232" t="inlineStr">
        <is>
          <t>[PRORRATEO 3.3% 4.9há/148.3há] O/001282 PROTECTOR</t>
        </is>
      </c>
      <c r="M1535" s="232" t="inlineStr"/>
      <c r="N1535" s="232" t="inlineStr">
        <is>
          <t>.   .   -</t>
        </is>
      </c>
      <c r="O1535" s="232" t="inlineStr">
        <is>
          <t>ENERO</t>
        </is>
      </c>
      <c r="P1535" s="232" t="n">
        <v>4</v>
      </c>
      <c r="Q1535" s="234" t="n">
        <v>859</v>
      </c>
      <c r="R1535" s="232" t="inlineStr"/>
      <c r="S1535" s="234" t="n">
        <v>859</v>
      </c>
      <c r="T1535" s="232" t="inlineStr">
        <is>
          <t>CLP</t>
        </is>
      </c>
      <c r="U1535" s="232" t="inlineStr">
        <is>
          <t>Prorrateo Ha PACKING</t>
        </is>
      </c>
      <c r="V1535" s="232" t="inlineStr">
        <is>
          <t>2026-06-18</t>
        </is>
      </c>
    </row>
    <row r="1536">
      <c r="A1536" s="232" t="inlineStr">
        <is>
          <t>CR-1533</t>
        </is>
      </c>
      <c r="B1536" s="232" t="inlineStr">
        <is>
          <t>2026/27</t>
        </is>
      </c>
      <c r="C1536" s="233" t="n">
        <v>46044</v>
      </c>
      <c r="D1536" s="232" t="inlineStr">
        <is>
          <t>888488</t>
        </is>
      </c>
      <c r="E1536" s="232" t="inlineStr">
        <is>
          <t>PRORRATEO</t>
        </is>
      </c>
      <c r="F1536" s="232" t="inlineStr">
        <is>
          <t>El Molle</t>
        </is>
      </c>
      <c r="G1536" s="232" t="inlineStr">
        <is>
          <t>Wonderful 5,25 ha</t>
        </is>
      </c>
      <c r="H1536" s="232" t="inlineStr">
        <is>
          <t>Granados</t>
        </is>
      </c>
      <c r="I1536" s="232" t="inlineStr">
        <is>
          <t>Wonderfull</t>
        </is>
      </c>
      <c r="J1536" s="232" t="inlineStr">
        <is>
          <t>UNIFORME Y EPP</t>
        </is>
      </c>
      <c r="K1536" s="232" t="inlineStr">
        <is>
          <t>EPP</t>
        </is>
      </c>
      <c r="L1536" s="232" t="inlineStr">
        <is>
          <t>[PRORRATEO 3.5% 5.24há/148.3há] O/001282 PROTECTOR</t>
        </is>
      </c>
      <c r="M1536" s="232" t="inlineStr"/>
      <c r="N1536" s="232" t="inlineStr">
        <is>
          <t>.   .   -</t>
        </is>
      </c>
      <c r="O1536" s="232" t="inlineStr">
        <is>
          <t>ENERO</t>
        </is>
      </c>
      <c r="P1536" s="232" t="n">
        <v>4</v>
      </c>
      <c r="Q1536" s="234" t="n">
        <v>919</v>
      </c>
      <c r="R1536" s="232" t="inlineStr"/>
      <c r="S1536" s="234" t="n">
        <v>919</v>
      </c>
      <c r="T1536" s="232" t="inlineStr">
        <is>
          <t>CLP</t>
        </is>
      </c>
      <c r="U1536" s="232" t="inlineStr">
        <is>
          <t>Prorrateo Ha PACKING</t>
        </is>
      </c>
      <c r="V1536" s="232" t="inlineStr">
        <is>
          <t>2026-06-18</t>
        </is>
      </c>
    </row>
    <row r="1537">
      <c r="A1537" s="232" t="inlineStr">
        <is>
          <t>CR-1534</t>
        </is>
      </c>
      <c r="B1537" s="232" t="inlineStr">
        <is>
          <t>2026/27</t>
        </is>
      </c>
      <c r="C1537" s="233" t="n">
        <v>46044</v>
      </c>
      <c r="D1537" s="232" t="inlineStr">
        <is>
          <t>888488</t>
        </is>
      </c>
      <c r="E1537" s="232" t="inlineStr">
        <is>
          <t>PRORRATEO</t>
        </is>
      </c>
      <c r="F1537" s="232" t="inlineStr">
        <is>
          <t>El Molle</t>
        </is>
      </c>
      <c r="G1537" s="232" t="inlineStr">
        <is>
          <t>arrufatinas 5,74 ha</t>
        </is>
      </c>
      <c r="H1537" s="232" t="inlineStr">
        <is>
          <t>Clementinas</t>
        </is>
      </c>
      <c r="I1537" s="232" t="inlineStr">
        <is>
          <t>Arrufatinas</t>
        </is>
      </c>
      <c r="J1537" s="232" t="inlineStr">
        <is>
          <t>UNIFORME Y EPP</t>
        </is>
      </c>
      <c r="K1537" s="232" t="inlineStr">
        <is>
          <t>EPP</t>
        </is>
      </c>
      <c r="L1537" s="232" t="inlineStr">
        <is>
          <t>[PRORRATEO 3.9% 5.74há/148.3há] O/001282 PROTECTOR</t>
        </is>
      </c>
      <c r="M1537" s="232" t="inlineStr"/>
      <c r="N1537" s="232" t="inlineStr">
        <is>
          <t>.   .   -</t>
        </is>
      </c>
      <c r="O1537" s="232" t="inlineStr">
        <is>
          <t>ENERO</t>
        </is>
      </c>
      <c r="P1537" s="232" t="n">
        <v>4</v>
      </c>
      <c r="Q1537" s="234" t="n">
        <v>1007</v>
      </c>
      <c r="R1537" s="232" t="inlineStr"/>
      <c r="S1537" s="234" t="n">
        <v>1007</v>
      </c>
      <c r="T1537" s="232" t="inlineStr">
        <is>
          <t>CLP</t>
        </is>
      </c>
      <c r="U1537" s="232" t="inlineStr">
        <is>
          <t>Prorrateo Ha PACKING</t>
        </is>
      </c>
      <c r="V1537" s="232" t="inlineStr">
        <is>
          <t>2026-06-18</t>
        </is>
      </c>
    </row>
    <row r="1538">
      <c r="A1538" s="232" t="inlineStr">
        <is>
          <t>CR-1535</t>
        </is>
      </c>
      <c r="B1538" s="232" t="inlineStr">
        <is>
          <t>2026/27</t>
        </is>
      </c>
      <c r="C1538" s="233" t="n">
        <v>46044</v>
      </c>
      <c r="D1538" s="232" t="inlineStr">
        <is>
          <t>888488</t>
        </is>
      </c>
      <c r="E1538" s="232" t="inlineStr">
        <is>
          <t>PRORRATEO</t>
        </is>
      </c>
      <c r="F1538" s="232" t="inlineStr">
        <is>
          <t>El Molle</t>
        </is>
      </c>
      <c r="G1538" s="232" t="inlineStr">
        <is>
          <t>orogrande 8,11 ha</t>
        </is>
      </c>
      <c r="H1538" s="232" t="inlineStr">
        <is>
          <t>Clementinas</t>
        </is>
      </c>
      <c r="I1538" s="232" t="inlineStr">
        <is>
          <t>Orogrande</t>
        </is>
      </c>
      <c r="J1538" s="232" t="inlineStr">
        <is>
          <t>UNIFORME Y EPP</t>
        </is>
      </c>
      <c r="K1538" s="232" t="inlineStr">
        <is>
          <t>EPP</t>
        </is>
      </c>
      <c r="L1538" s="232" t="inlineStr">
        <is>
          <t>[PRORRATEO 5.5% 8.11há/148.3há] O/001282 PROTECTOR</t>
        </is>
      </c>
      <c r="M1538" s="232" t="inlineStr"/>
      <c r="N1538" s="232" t="inlineStr">
        <is>
          <t>.   .   -</t>
        </is>
      </c>
      <c r="O1538" s="232" t="inlineStr">
        <is>
          <t>ENERO</t>
        </is>
      </c>
      <c r="P1538" s="232" t="n">
        <v>4</v>
      </c>
      <c r="Q1538" s="234" t="n">
        <v>1422</v>
      </c>
      <c r="R1538" s="232" t="inlineStr"/>
      <c r="S1538" s="234" t="n">
        <v>1422</v>
      </c>
      <c r="T1538" s="232" t="inlineStr">
        <is>
          <t>CLP</t>
        </is>
      </c>
      <c r="U1538" s="232" t="inlineStr">
        <is>
          <t>Prorrateo Ha PACKING</t>
        </is>
      </c>
      <c r="V1538" s="232" t="inlineStr">
        <is>
          <t>2026-06-18</t>
        </is>
      </c>
    </row>
    <row r="1539">
      <c r="A1539" s="232" t="inlineStr">
        <is>
          <t>CR-1536</t>
        </is>
      </c>
      <c r="B1539" s="232" t="inlineStr">
        <is>
          <t>2026/27</t>
        </is>
      </c>
      <c r="C1539" s="233" t="n">
        <v>46044</v>
      </c>
      <c r="D1539" s="232" t="inlineStr">
        <is>
          <t>888488</t>
        </is>
      </c>
      <c r="E1539" s="232" t="inlineStr">
        <is>
          <t>PRORRATEO</t>
        </is>
      </c>
      <c r="F1539" s="232" t="inlineStr">
        <is>
          <t>El Molle</t>
        </is>
      </c>
      <c r="G1539" s="232" t="inlineStr">
        <is>
          <t>oronules 5,35 ha</t>
        </is>
      </c>
      <c r="H1539" s="232" t="inlineStr">
        <is>
          <t>Clementinas</t>
        </is>
      </c>
      <c r="I1539" s="232" t="inlineStr">
        <is>
          <t>Oronules</t>
        </is>
      </c>
      <c r="J1539" s="232" t="inlineStr">
        <is>
          <t>UNIFORME Y EPP</t>
        </is>
      </c>
      <c r="K1539" s="232" t="inlineStr">
        <is>
          <t>EPP</t>
        </is>
      </c>
      <c r="L1539" s="232" t="inlineStr">
        <is>
          <t>[PRORRATEO 3.6% 5.35há/148.3há] O/001282 PROTECTOR</t>
        </is>
      </c>
      <c r="M1539" s="232" t="inlineStr"/>
      <c r="N1539" s="232" t="inlineStr">
        <is>
          <t>.   .   -</t>
        </is>
      </c>
      <c r="O1539" s="232" t="inlineStr">
        <is>
          <t>ENERO</t>
        </is>
      </c>
      <c r="P1539" s="232" t="n">
        <v>4</v>
      </c>
      <c r="Q1539" s="234" t="n">
        <v>938</v>
      </c>
      <c r="R1539" s="232" t="inlineStr"/>
      <c r="S1539" s="234" t="n">
        <v>938</v>
      </c>
      <c r="T1539" s="232" t="inlineStr">
        <is>
          <t>CLP</t>
        </is>
      </c>
      <c r="U1539" s="232" t="inlineStr">
        <is>
          <t>Prorrateo Ha PACKING</t>
        </is>
      </c>
      <c r="V1539" s="232" t="inlineStr">
        <is>
          <t>2026-06-18</t>
        </is>
      </c>
    </row>
    <row r="1540">
      <c r="A1540" s="232" t="inlineStr">
        <is>
          <t>CR-1537</t>
        </is>
      </c>
      <c r="B1540" s="232" t="inlineStr">
        <is>
          <t>2026/27</t>
        </is>
      </c>
      <c r="C1540" s="233" t="n">
        <v>46044</v>
      </c>
      <c r="D1540" s="232" t="inlineStr">
        <is>
          <t>888488</t>
        </is>
      </c>
      <c r="E1540" s="232" t="inlineStr">
        <is>
          <t>PRORRATEO</t>
        </is>
      </c>
      <c r="F1540" s="232" t="inlineStr">
        <is>
          <t>Santa Catalina</t>
        </is>
      </c>
      <c r="G1540" s="232" t="inlineStr">
        <is>
          <t>Fino 49 7,7 ha</t>
        </is>
      </c>
      <c r="H1540" s="232" t="inlineStr">
        <is>
          <t>Limon</t>
        </is>
      </c>
      <c r="I1540" s="232" t="inlineStr">
        <is>
          <t>Fino 49</t>
        </is>
      </c>
      <c r="J1540" s="232" t="inlineStr">
        <is>
          <t>UNIFORME Y EPP</t>
        </is>
      </c>
      <c r="K1540" s="232" t="inlineStr">
        <is>
          <t>EPP</t>
        </is>
      </c>
      <c r="L1540" s="232" t="inlineStr">
        <is>
          <t>[PRORRATEO 5.2% 7.7há/148.3há] O/001282 PROTECTOR</t>
        </is>
      </c>
      <c r="M1540" s="232" t="inlineStr"/>
      <c r="N1540" s="232" t="inlineStr">
        <is>
          <t>.   .   -</t>
        </is>
      </c>
      <c r="O1540" s="232" t="inlineStr">
        <is>
          <t>ENERO</t>
        </is>
      </c>
      <c r="P1540" s="232" t="n">
        <v>4</v>
      </c>
      <c r="Q1540" s="234" t="n">
        <v>1350</v>
      </c>
      <c r="R1540" s="232" t="inlineStr"/>
      <c r="S1540" s="234" t="n">
        <v>1350</v>
      </c>
      <c r="T1540" s="232" t="inlineStr">
        <is>
          <t>CLP</t>
        </is>
      </c>
      <c r="U1540" s="232" t="inlineStr">
        <is>
          <t>Prorrateo Ha PACKING</t>
        </is>
      </c>
      <c r="V1540" s="232" t="inlineStr">
        <is>
          <t>2026-06-18</t>
        </is>
      </c>
    </row>
    <row r="1541">
      <c r="A1541" s="232" t="inlineStr">
        <is>
          <t>CR-1538</t>
        </is>
      </c>
      <c r="B1541" s="232" t="inlineStr">
        <is>
          <t>2026/27</t>
        </is>
      </c>
      <c r="C1541" s="233" t="n">
        <v>46044</v>
      </c>
      <c r="D1541" s="232" t="inlineStr">
        <is>
          <t>888488</t>
        </is>
      </c>
      <c r="E1541" s="232" t="inlineStr">
        <is>
          <t>PRORRATEO</t>
        </is>
      </c>
      <c r="F1541" s="232" t="inlineStr">
        <is>
          <t>Santa Catalina</t>
        </is>
      </c>
      <c r="G1541" s="232" t="inlineStr">
        <is>
          <t>W. murcott 21 ha</t>
        </is>
      </c>
      <c r="H1541" s="232" t="inlineStr">
        <is>
          <t>Mandarina</t>
        </is>
      </c>
      <c r="I1541" s="232" t="inlineStr">
        <is>
          <t>W. murcott</t>
        </is>
      </c>
      <c r="J1541" s="232" t="inlineStr">
        <is>
          <t>UNIFORME Y EPP</t>
        </is>
      </c>
      <c r="K1541" s="232" t="inlineStr">
        <is>
          <t>EPP</t>
        </is>
      </c>
      <c r="L1541" s="232" t="inlineStr">
        <is>
          <t>[PRORRATEO 14.2% 21.0há/148.3há] O/001282 PROTECTOR</t>
        </is>
      </c>
      <c r="M1541" s="232" t="inlineStr"/>
      <c r="N1541" s="232" t="inlineStr">
        <is>
          <t>.   .   -</t>
        </is>
      </c>
      <c r="O1541" s="232" t="inlineStr">
        <is>
          <t>ENERO</t>
        </is>
      </c>
      <c r="P1541" s="232" t="n">
        <v>4</v>
      </c>
      <c r="Q1541" s="234" t="n">
        <v>3683</v>
      </c>
      <c r="R1541" s="232" t="inlineStr"/>
      <c r="S1541" s="234" t="n">
        <v>3683</v>
      </c>
      <c r="T1541" s="232" t="inlineStr">
        <is>
          <t>CLP</t>
        </is>
      </c>
      <c r="U1541" s="232" t="inlineStr">
        <is>
          <t>Prorrateo Ha PACKING</t>
        </is>
      </c>
      <c r="V1541" s="232" t="inlineStr">
        <is>
          <t>2026-06-18</t>
        </is>
      </c>
    </row>
    <row r="1542">
      <c r="A1542" s="232" t="inlineStr">
        <is>
          <t>CR-1539</t>
        </is>
      </c>
      <c r="B1542" s="232" t="inlineStr">
        <is>
          <t>2026/27</t>
        </is>
      </c>
      <c r="C1542" s="233" t="n">
        <v>46044</v>
      </c>
      <c r="D1542" s="232" t="inlineStr">
        <is>
          <t>888488</t>
        </is>
      </c>
      <c r="E1542" s="232" t="inlineStr">
        <is>
          <t>PRORRATEO</t>
        </is>
      </c>
      <c r="F1542" s="232" t="inlineStr">
        <is>
          <t>Santa Catalina</t>
        </is>
      </c>
      <c r="G1542" s="232" t="inlineStr">
        <is>
          <t>cambria 4,2 ha</t>
        </is>
      </c>
      <c r="H1542" s="232" t="inlineStr">
        <is>
          <t>Naranjas</t>
        </is>
      </c>
      <c r="I1542" s="232" t="inlineStr">
        <is>
          <t>Cambria</t>
        </is>
      </c>
      <c r="J1542" s="232" t="inlineStr">
        <is>
          <t>UNIFORME Y EPP</t>
        </is>
      </c>
      <c r="K1542" s="232" t="inlineStr">
        <is>
          <t>EPP</t>
        </is>
      </c>
      <c r="L1542" s="232" t="inlineStr">
        <is>
          <t>[PRORRATEO 2.8% 4.2há/148.3há] O/001282 PROTECTOR</t>
        </is>
      </c>
      <c r="M1542" s="232" t="inlineStr"/>
      <c r="N1542" s="232" t="inlineStr">
        <is>
          <t>.   .   -</t>
        </is>
      </c>
      <c r="O1542" s="232" t="inlineStr">
        <is>
          <t>ENERO</t>
        </is>
      </c>
      <c r="P1542" s="232" t="n">
        <v>4</v>
      </c>
      <c r="Q1542" s="234" t="n">
        <v>737</v>
      </c>
      <c r="R1542" s="232" t="inlineStr"/>
      <c r="S1542" s="234" t="n">
        <v>737</v>
      </c>
      <c r="T1542" s="232" t="inlineStr">
        <is>
          <t>CLP</t>
        </is>
      </c>
      <c r="U1542" s="232" t="inlineStr">
        <is>
          <t>Prorrateo Ha PACKING</t>
        </is>
      </c>
      <c r="V1542" s="232" t="inlineStr">
        <is>
          <t>2026-06-18</t>
        </is>
      </c>
    </row>
    <row r="1543">
      <c r="A1543" s="232" t="inlineStr">
        <is>
          <t>CR-1540</t>
        </is>
      </c>
      <c r="B1543" s="232" t="inlineStr">
        <is>
          <t>2026/27</t>
        </is>
      </c>
      <c r="C1543" s="233" t="n">
        <v>46044</v>
      </c>
      <c r="D1543" s="232" t="inlineStr">
        <is>
          <t>888488</t>
        </is>
      </c>
      <c r="E1543" s="232" t="inlineStr">
        <is>
          <t>PRORRATEO</t>
        </is>
      </c>
      <c r="F1543" s="232" t="inlineStr">
        <is>
          <t>Santa Catalina</t>
        </is>
      </c>
      <c r="G1543" s="232" t="inlineStr">
        <is>
          <t>eureka 10,6 ha</t>
        </is>
      </c>
      <c r="H1543" s="232" t="inlineStr">
        <is>
          <t>Limon</t>
        </is>
      </c>
      <c r="I1543" s="232" t="inlineStr">
        <is>
          <t>Eureka</t>
        </is>
      </c>
      <c r="J1543" s="232" t="inlineStr">
        <is>
          <t>UNIFORME Y EPP</t>
        </is>
      </c>
      <c r="K1543" s="232" t="inlineStr">
        <is>
          <t>EPP</t>
        </is>
      </c>
      <c r="L1543" s="232" t="inlineStr">
        <is>
          <t>[PRORRATEO 7.1% 10.6há/148.3há] O/001282 PROTECTOR</t>
        </is>
      </c>
      <c r="M1543" s="232" t="inlineStr"/>
      <c r="N1543" s="232" t="inlineStr">
        <is>
          <t>.   .   -</t>
        </is>
      </c>
      <c r="O1543" s="232" t="inlineStr">
        <is>
          <t>ENERO</t>
        </is>
      </c>
      <c r="P1543" s="232" t="n">
        <v>4</v>
      </c>
      <c r="Q1543" s="234" t="n">
        <v>1859</v>
      </c>
      <c r="R1543" s="232" t="inlineStr"/>
      <c r="S1543" s="234" t="n">
        <v>1859</v>
      </c>
      <c r="T1543" s="232" t="inlineStr">
        <is>
          <t>CLP</t>
        </is>
      </c>
      <c r="U1543" s="232" t="inlineStr">
        <is>
          <t>Prorrateo Ha PACKING</t>
        </is>
      </c>
      <c r="V1543" s="232" t="inlineStr">
        <is>
          <t>2026-06-18</t>
        </is>
      </c>
    </row>
    <row r="1544">
      <c r="A1544" s="232" t="inlineStr">
        <is>
          <t>CR-1541</t>
        </is>
      </c>
      <c r="B1544" s="232" t="inlineStr">
        <is>
          <t>2026/27</t>
        </is>
      </c>
      <c r="C1544" s="233" t="n">
        <v>46044</v>
      </c>
      <c r="D1544" s="232" t="inlineStr">
        <is>
          <t>888488</t>
        </is>
      </c>
      <c r="E1544" s="232" t="inlineStr">
        <is>
          <t>PRORRATEO</t>
        </is>
      </c>
      <c r="F1544" s="232" t="inlineStr">
        <is>
          <t>Santa Catalina</t>
        </is>
      </c>
      <c r="G1544" s="232" t="inlineStr">
        <is>
          <t>eureka 14,4 ha</t>
        </is>
      </c>
      <c r="H1544" s="232" t="inlineStr">
        <is>
          <t>Limon</t>
        </is>
      </c>
      <c r="I1544" s="232" t="inlineStr">
        <is>
          <t>Eureka</t>
        </is>
      </c>
      <c r="J1544" s="232" t="inlineStr">
        <is>
          <t>UNIFORME Y EPP</t>
        </is>
      </c>
      <c r="K1544" s="232" t="inlineStr">
        <is>
          <t>EPP</t>
        </is>
      </c>
      <c r="L1544" s="232" t="inlineStr">
        <is>
          <t>[PRORRATEO 9.7% 14.4há/148.3há] O/001282 PROTECTOR</t>
        </is>
      </c>
      <c r="M1544" s="232" t="inlineStr"/>
      <c r="N1544" s="232" t="inlineStr">
        <is>
          <t>.   .   -</t>
        </is>
      </c>
      <c r="O1544" s="232" t="inlineStr">
        <is>
          <t>ENERO</t>
        </is>
      </c>
      <c r="P1544" s="232" t="n">
        <v>4</v>
      </c>
      <c r="Q1544" s="234" t="n">
        <v>2525</v>
      </c>
      <c r="R1544" s="232" t="inlineStr"/>
      <c r="S1544" s="234" t="n">
        <v>2525</v>
      </c>
      <c r="T1544" s="232" t="inlineStr">
        <is>
          <t>CLP</t>
        </is>
      </c>
      <c r="U1544" s="232" t="inlineStr">
        <is>
          <t>Prorrateo Ha PACKING</t>
        </is>
      </c>
      <c r="V1544" s="232" t="inlineStr">
        <is>
          <t>2026-06-18</t>
        </is>
      </c>
    </row>
    <row r="1545">
      <c r="A1545" s="232" t="inlineStr">
        <is>
          <t>CR-1542</t>
        </is>
      </c>
      <c r="B1545" s="232" t="inlineStr">
        <is>
          <t>2026/27</t>
        </is>
      </c>
      <c r="C1545" s="233" t="n">
        <v>46044</v>
      </c>
      <c r="D1545" s="232" t="inlineStr">
        <is>
          <t>888488</t>
        </is>
      </c>
      <c r="E1545" s="232" t="inlineStr">
        <is>
          <t>PRORRATEO</t>
        </is>
      </c>
      <c r="F1545" s="232" t="inlineStr">
        <is>
          <t>Santa Catalina</t>
        </is>
      </c>
      <c r="G1545" s="232" t="inlineStr">
        <is>
          <t>eureka 22,55</t>
        </is>
      </c>
      <c r="H1545" s="232" t="inlineStr">
        <is>
          <t>Limon</t>
        </is>
      </c>
      <c r="I1545" s="232" t="inlineStr">
        <is>
          <t>Eureka</t>
        </is>
      </c>
      <c r="J1545" s="232" t="inlineStr">
        <is>
          <t>UNIFORME Y EPP</t>
        </is>
      </c>
      <c r="K1545" s="232" t="inlineStr">
        <is>
          <t>EPP</t>
        </is>
      </c>
      <c r="L1545" s="232" t="inlineStr">
        <is>
          <t>[PRORRATEO 15.2% 22.55há/148.3há] O/001282 PROTECTOR</t>
        </is>
      </c>
      <c r="M1545" s="232" t="inlineStr"/>
      <c r="N1545" s="232" t="inlineStr">
        <is>
          <t>.   .   -</t>
        </is>
      </c>
      <c r="O1545" s="232" t="inlineStr">
        <is>
          <t>ENERO</t>
        </is>
      </c>
      <c r="P1545" s="232" t="n">
        <v>4</v>
      </c>
      <c r="Q1545" s="234" t="n">
        <v>3955</v>
      </c>
      <c r="R1545" s="232" t="inlineStr"/>
      <c r="S1545" s="234" t="n">
        <v>3955</v>
      </c>
      <c r="T1545" s="232" t="inlineStr">
        <is>
          <t>CLP</t>
        </is>
      </c>
      <c r="U1545" s="232" t="inlineStr">
        <is>
          <t>Prorrateo Ha PACKING</t>
        </is>
      </c>
      <c r="V1545" s="232" t="inlineStr">
        <is>
          <t>2026-06-18</t>
        </is>
      </c>
    </row>
    <row r="1546">
      <c r="A1546" s="232" t="inlineStr">
        <is>
          <t>CR-1543</t>
        </is>
      </c>
      <c r="B1546" s="232" t="inlineStr">
        <is>
          <t>2026/27</t>
        </is>
      </c>
      <c r="C1546" s="233" t="n">
        <v>46044</v>
      </c>
      <c r="D1546" s="232" t="inlineStr">
        <is>
          <t>888488</t>
        </is>
      </c>
      <c r="E1546" s="232" t="inlineStr">
        <is>
          <t>PRORRATEO</t>
        </is>
      </c>
      <c r="F1546" s="232" t="inlineStr">
        <is>
          <t>Santa Catalina</t>
        </is>
      </c>
      <c r="G1546" s="232" t="inlineStr">
        <is>
          <t>form benjamin 1,93 ha</t>
        </is>
      </c>
      <c r="H1546" s="232" t="inlineStr">
        <is>
          <t>Limon</t>
        </is>
      </c>
      <c r="I1546" s="232" t="inlineStr">
        <is>
          <t>Benjamin andes</t>
        </is>
      </c>
      <c r="J1546" s="232" t="inlineStr">
        <is>
          <t>UNIFORME Y EPP</t>
        </is>
      </c>
      <c r="K1546" s="232" t="inlineStr">
        <is>
          <t>EPP</t>
        </is>
      </c>
      <c r="L1546" s="232" t="inlineStr">
        <is>
          <t>[PRORRATEO 1.3% 1.93há/148.3há] O/001282 PROTECTOR</t>
        </is>
      </c>
      <c r="M1546" s="232" t="inlineStr"/>
      <c r="N1546" s="232" t="inlineStr">
        <is>
          <t>.   .   -</t>
        </is>
      </c>
      <c r="O1546" s="232" t="inlineStr">
        <is>
          <t>ENERO</t>
        </is>
      </c>
      <c r="P1546" s="232" t="n">
        <v>4</v>
      </c>
      <c r="Q1546" s="234" t="n">
        <v>338</v>
      </c>
      <c r="R1546" s="232" t="inlineStr"/>
      <c r="S1546" s="234" t="n">
        <v>338</v>
      </c>
      <c r="T1546" s="232" t="inlineStr">
        <is>
          <t>CLP</t>
        </is>
      </c>
      <c r="U1546" s="232" t="inlineStr">
        <is>
          <t>Prorrateo Ha PACKING</t>
        </is>
      </c>
      <c r="V1546" s="232" t="inlineStr">
        <is>
          <t>2026-06-18</t>
        </is>
      </c>
    </row>
    <row r="1547">
      <c r="A1547" s="232" t="inlineStr">
        <is>
          <t>CR-1544</t>
        </is>
      </c>
      <c r="B1547" s="232" t="inlineStr">
        <is>
          <t>2026/27</t>
        </is>
      </c>
      <c r="C1547" s="233" t="n">
        <v>46044</v>
      </c>
      <c r="D1547" s="232" t="inlineStr">
        <is>
          <t>888488</t>
        </is>
      </c>
      <c r="E1547" s="232" t="inlineStr">
        <is>
          <t>PRORRATEO</t>
        </is>
      </c>
      <c r="F1547" s="232" t="inlineStr">
        <is>
          <t>Santa Catalina</t>
        </is>
      </c>
      <c r="G1547" s="232" t="inlineStr">
        <is>
          <t>mant eureka 2,5 ha</t>
        </is>
      </c>
      <c r="H1547" s="232" t="inlineStr">
        <is>
          <t>Limon</t>
        </is>
      </c>
      <c r="I1547" s="232" t="inlineStr">
        <is>
          <t>Eureka</t>
        </is>
      </c>
      <c r="J1547" s="232" t="inlineStr">
        <is>
          <t>UNIFORME Y EPP</t>
        </is>
      </c>
      <c r="K1547" s="232" t="inlineStr">
        <is>
          <t>EPP</t>
        </is>
      </c>
      <c r="L1547" s="232" t="inlineStr">
        <is>
          <t>[PRORRATEO 1.7% 2.5há/148.3há] O/001282 PROTECTOR</t>
        </is>
      </c>
      <c r="M1547" s="232" t="inlineStr"/>
      <c r="N1547" s="232" t="inlineStr">
        <is>
          <t>.   .   -</t>
        </is>
      </c>
      <c r="O1547" s="232" t="inlineStr">
        <is>
          <t>ENERO</t>
        </is>
      </c>
      <c r="P1547" s="232" t="n">
        <v>4</v>
      </c>
      <c r="Q1547" s="234" t="n">
        <v>438</v>
      </c>
      <c r="R1547" s="232" t="inlineStr"/>
      <c r="S1547" s="234" t="n">
        <v>438</v>
      </c>
      <c r="T1547" s="232" t="inlineStr">
        <is>
          <t>CLP</t>
        </is>
      </c>
      <c r="U1547" s="232" t="inlineStr">
        <is>
          <t>Prorrateo Ha PACKING</t>
        </is>
      </c>
      <c r="V1547" s="232" t="inlineStr">
        <is>
          <t>2026-06-18</t>
        </is>
      </c>
    </row>
    <row r="1548">
      <c r="A1548" s="232" t="inlineStr">
        <is>
          <t>CR-1545</t>
        </is>
      </c>
      <c r="B1548" s="232" t="inlineStr">
        <is>
          <t>2026/27</t>
        </is>
      </c>
      <c r="C1548" s="233" t="n">
        <v>46044</v>
      </c>
      <c r="D1548" s="232" t="inlineStr">
        <is>
          <t>888488</t>
        </is>
      </c>
      <c r="E1548" s="232" t="inlineStr">
        <is>
          <t>PRORRATEO</t>
        </is>
      </c>
      <c r="F1548" s="232" t="inlineStr">
        <is>
          <t>Siberia</t>
        </is>
      </c>
      <c r="G1548" s="232" t="inlineStr">
        <is>
          <t>S. Celebration 7,14</t>
        </is>
      </c>
      <c r="H1548" s="232" t="inlineStr">
        <is>
          <t>Uvas</t>
        </is>
      </c>
      <c r="I1548" s="232" t="inlineStr">
        <is>
          <t>S. celebration</t>
        </is>
      </c>
      <c r="J1548" s="232" t="inlineStr">
        <is>
          <t>UNIFORME Y EPP</t>
        </is>
      </c>
      <c r="K1548" s="232" t="inlineStr">
        <is>
          <t>EPP</t>
        </is>
      </c>
      <c r="L1548" s="232" t="inlineStr">
        <is>
          <t>[PRORRATEO 4.8% 7.14há/148.3há] O/001282 PROTECTOR</t>
        </is>
      </c>
      <c r="M1548" s="232" t="inlineStr"/>
      <c r="N1548" s="232" t="inlineStr">
        <is>
          <t>.   .   -</t>
        </is>
      </c>
      <c r="O1548" s="232" t="inlineStr">
        <is>
          <t>ENERO</t>
        </is>
      </c>
      <c r="P1548" s="232" t="n">
        <v>4</v>
      </c>
      <c r="Q1548" s="234" t="n">
        <v>1252</v>
      </c>
      <c r="R1548" s="232" t="inlineStr"/>
      <c r="S1548" s="234" t="n">
        <v>1252</v>
      </c>
      <c r="T1548" s="232" t="inlineStr">
        <is>
          <t>CLP</t>
        </is>
      </c>
      <c r="U1548" s="232" t="inlineStr">
        <is>
          <t>Prorrateo Ha PACKING</t>
        </is>
      </c>
      <c r="V1548" s="232" t="inlineStr">
        <is>
          <t>2026-06-18</t>
        </is>
      </c>
    </row>
    <row r="1549">
      <c r="A1549" s="232" t="inlineStr">
        <is>
          <t>CR-1546</t>
        </is>
      </c>
      <c r="B1549" s="232" t="inlineStr">
        <is>
          <t>2026/27</t>
        </is>
      </c>
      <c r="C1549" s="233" t="n">
        <v>46044</v>
      </c>
      <c r="D1549" s="232" t="inlineStr">
        <is>
          <t>888488</t>
        </is>
      </c>
      <c r="E1549" s="232" t="inlineStr">
        <is>
          <t>PRORRATEO</t>
        </is>
      </c>
      <c r="F1549" s="232" t="inlineStr">
        <is>
          <t>Siberia</t>
        </is>
      </c>
      <c r="G1549" s="232" t="inlineStr">
        <is>
          <t>Timpson 7,1</t>
        </is>
      </c>
      <c r="H1549" s="232" t="inlineStr">
        <is>
          <t>Uvas</t>
        </is>
      </c>
      <c r="I1549" s="232" t="inlineStr">
        <is>
          <t>Timpson</t>
        </is>
      </c>
      <c r="J1549" s="232" t="inlineStr">
        <is>
          <t>UNIFORME Y EPP</t>
        </is>
      </c>
      <c r="K1549" s="232" t="inlineStr">
        <is>
          <t>EPP</t>
        </is>
      </c>
      <c r="L1549" s="232" t="inlineStr">
        <is>
          <t>[PRORRATEO 4.8% 7.1há/148.3há] O/001282 PROTECTOR</t>
        </is>
      </c>
      <c r="M1549" s="232" t="inlineStr"/>
      <c r="N1549" s="232" t="inlineStr">
        <is>
          <t>.   .   -</t>
        </is>
      </c>
      <c r="O1549" s="232" t="inlineStr">
        <is>
          <t>ENERO</t>
        </is>
      </c>
      <c r="P1549" s="232" t="n">
        <v>4</v>
      </c>
      <c r="Q1549" s="234" t="n">
        <v>1245</v>
      </c>
      <c r="R1549" s="232" t="inlineStr"/>
      <c r="S1549" s="234" t="n">
        <v>1245</v>
      </c>
      <c r="T1549" s="232" t="inlineStr">
        <is>
          <t>CLP</t>
        </is>
      </c>
      <c r="U1549" s="232" t="inlineStr">
        <is>
          <t>Prorrateo Ha PACKING</t>
        </is>
      </c>
      <c r="V1549" s="232" t="inlineStr">
        <is>
          <t>2026-06-18</t>
        </is>
      </c>
    </row>
    <row r="1550">
      <c r="A1550" s="232" t="inlineStr">
        <is>
          <t>CR-1547</t>
        </is>
      </c>
      <c r="B1550" s="232" t="inlineStr">
        <is>
          <t>2026/27</t>
        </is>
      </c>
      <c r="C1550" s="233" t="n">
        <v>46045</v>
      </c>
      <c r="D1550" s="232" t="inlineStr">
        <is>
          <t>674819</t>
        </is>
      </c>
      <c r="E1550" s="232" t="inlineStr">
        <is>
          <t>PRORRATEO</t>
        </is>
      </c>
      <c r="F1550" s="232" t="inlineStr">
        <is>
          <t>Asmara</t>
        </is>
      </c>
      <c r="G1550" s="232" t="inlineStr">
        <is>
          <t>w. murcott 19,8 ha</t>
        </is>
      </c>
      <c r="H1550" s="232" t="inlineStr">
        <is>
          <t>Mandarina</t>
        </is>
      </c>
      <c r="I1550" s="232" t="inlineStr">
        <is>
          <t>W. murcott</t>
        </is>
      </c>
      <c r="J1550" s="232" t="inlineStr">
        <is>
          <t>MATERIALES COSECHA</t>
        </is>
      </c>
      <c r="K1550" s="232" t="inlineStr">
        <is>
          <t>INSUMO ASEO</t>
        </is>
      </c>
      <c r="L1550" s="232" t="inlineStr">
        <is>
          <t>[PRORRATEO 13.4% 19.8há/148.3há] O/001316 PAPEL HIGU</t>
        </is>
      </c>
      <c r="M1550" s="232" t="inlineStr"/>
      <c r="N1550" s="232" t="inlineStr">
        <is>
          <t>.   .   -</t>
        </is>
      </c>
      <c r="O1550" s="232" t="inlineStr">
        <is>
          <t>ENERO</t>
        </is>
      </c>
      <c r="P1550" s="232" t="n">
        <v>4</v>
      </c>
      <c r="Q1550" s="234" t="n">
        <v>6595</v>
      </c>
      <c r="R1550" s="232" t="inlineStr"/>
      <c r="S1550" s="234" t="n">
        <v>6595</v>
      </c>
      <c r="T1550" s="232" t="inlineStr">
        <is>
          <t>CLP</t>
        </is>
      </c>
      <c r="U1550" s="232" t="inlineStr">
        <is>
          <t>Prorrateo Ha PACKING</t>
        </is>
      </c>
      <c r="V1550" s="232" t="inlineStr">
        <is>
          <t>2026-06-18</t>
        </is>
      </c>
    </row>
    <row r="1551">
      <c r="A1551" s="232" t="inlineStr">
        <is>
          <t>CR-1548</t>
        </is>
      </c>
      <c r="B1551" s="232" t="inlineStr">
        <is>
          <t>2026/27</t>
        </is>
      </c>
      <c r="C1551" s="233" t="n">
        <v>46045</v>
      </c>
      <c r="D1551" s="232" t="inlineStr">
        <is>
          <t>674819</t>
        </is>
      </c>
      <c r="E1551" s="232" t="inlineStr">
        <is>
          <t>PRORRATEO</t>
        </is>
      </c>
      <c r="F1551" s="232" t="inlineStr">
        <is>
          <t>Asmara</t>
        </is>
      </c>
      <c r="G1551" s="232" t="inlineStr">
        <is>
          <t>w. murcott 4,9 ha</t>
        </is>
      </c>
      <c r="H1551" s="232" t="inlineStr">
        <is>
          <t>Mandarina</t>
        </is>
      </c>
      <c r="I1551" s="232" t="inlineStr">
        <is>
          <t>W. murcott</t>
        </is>
      </c>
      <c r="J1551" s="232" t="inlineStr">
        <is>
          <t>MATERIALES COSECHA</t>
        </is>
      </c>
      <c r="K1551" s="232" t="inlineStr">
        <is>
          <t>INSUMO ASEO</t>
        </is>
      </c>
      <c r="L1551" s="232" t="inlineStr">
        <is>
          <t>[PRORRATEO 3.3% 4.9há/148.3há] O/001316 PAPEL HIGU</t>
        </is>
      </c>
      <c r="M1551" s="232" t="inlineStr"/>
      <c r="N1551" s="232" t="inlineStr">
        <is>
          <t>.   .   -</t>
        </is>
      </c>
      <c r="O1551" s="232" t="inlineStr">
        <is>
          <t>ENERO</t>
        </is>
      </c>
      <c r="P1551" s="232" t="n">
        <v>4</v>
      </c>
      <c r="Q1551" s="234" t="n">
        <v>1632</v>
      </c>
      <c r="R1551" s="232" t="inlineStr"/>
      <c r="S1551" s="234" t="n">
        <v>1632</v>
      </c>
      <c r="T1551" s="232" t="inlineStr">
        <is>
          <t>CLP</t>
        </is>
      </c>
      <c r="U1551" s="232" t="inlineStr">
        <is>
          <t>Prorrateo Ha PACKING</t>
        </is>
      </c>
      <c r="V1551" s="232" t="inlineStr">
        <is>
          <t>2026-06-18</t>
        </is>
      </c>
    </row>
    <row r="1552">
      <c r="A1552" s="232" t="inlineStr">
        <is>
          <t>CR-1549</t>
        </is>
      </c>
      <c r="B1552" s="232" t="inlineStr">
        <is>
          <t>2026/27</t>
        </is>
      </c>
      <c r="C1552" s="233" t="n">
        <v>46045</v>
      </c>
      <c r="D1552" s="232" t="inlineStr">
        <is>
          <t>674819</t>
        </is>
      </c>
      <c r="E1552" s="232" t="inlineStr">
        <is>
          <t>PRORRATEO</t>
        </is>
      </c>
      <c r="F1552" s="232" t="inlineStr">
        <is>
          <t>El Molle</t>
        </is>
      </c>
      <c r="G1552" s="232" t="inlineStr">
        <is>
          <t>Wonderful 5,25 ha</t>
        </is>
      </c>
      <c r="H1552" s="232" t="inlineStr">
        <is>
          <t>Granados</t>
        </is>
      </c>
      <c r="I1552" s="232" t="inlineStr">
        <is>
          <t>Wonderfull</t>
        </is>
      </c>
      <c r="J1552" s="232" t="inlineStr">
        <is>
          <t>MATERIALES COSECHA</t>
        </is>
      </c>
      <c r="K1552" s="232" t="inlineStr">
        <is>
          <t>INSUMO ASEO</t>
        </is>
      </c>
      <c r="L1552" s="232" t="inlineStr">
        <is>
          <t>[PRORRATEO 3.5% 5.24há/148.3há] O/001316 PAPEL HIGU</t>
        </is>
      </c>
      <c r="M1552" s="232" t="inlineStr"/>
      <c r="N1552" s="232" t="inlineStr">
        <is>
          <t>.   .   -</t>
        </is>
      </c>
      <c r="O1552" s="232" t="inlineStr">
        <is>
          <t>ENERO</t>
        </is>
      </c>
      <c r="P1552" s="232" t="n">
        <v>4</v>
      </c>
      <c r="Q1552" s="234" t="n">
        <v>1745</v>
      </c>
      <c r="R1552" s="232" t="inlineStr"/>
      <c r="S1552" s="234" t="n">
        <v>1745</v>
      </c>
      <c r="T1552" s="232" t="inlineStr">
        <is>
          <t>CLP</t>
        </is>
      </c>
      <c r="U1552" s="232" t="inlineStr">
        <is>
          <t>Prorrateo Ha PACKING</t>
        </is>
      </c>
      <c r="V1552" s="232" t="inlineStr">
        <is>
          <t>2026-06-18</t>
        </is>
      </c>
    </row>
    <row r="1553">
      <c r="A1553" s="232" t="inlineStr">
        <is>
          <t>CR-1550</t>
        </is>
      </c>
      <c r="B1553" s="232" t="inlineStr">
        <is>
          <t>2026/27</t>
        </is>
      </c>
      <c r="C1553" s="233" t="n">
        <v>46045</v>
      </c>
      <c r="D1553" s="232" t="inlineStr">
        <is>
          <t>674819</t>
        </is>
      </c>
      <c r="E1553" s="232" t="inlineStr">
        <is>
          <t>PRORRATEO</t>
        </is>
      </c>
      <c r="F1553" s="232" t="inlineStr">
        <is>
          <t>El Molle</t>
        </is>
      </c>
      <c r="G1553" s="232" t="inlineStr">
        <is>
          <t>arrufatinas 5,74 ha</t>
        </is>
      </c>
      <c r="H1553" s="232" t="inlineStr">
        <is>
          <t>Clementinas</t>
        </is>
      </c>
      <c r="I1553" s="232" t="inlineStr">
        <is>
          <t>Arrufatinas</t>
        </is>
      </c>
      <c r="J1553" s="232" t="inlineStr">
        <is>
          <t>MATERIALES COSECHA</t>
        </is>
      </c>
      <c r="K1553" s="232" t="inlineStr">
        <is>
          <t>INSUMO ASEO</t>
        </is>
      </c>
      <c r="L1553" s="232" t="inlineStr">
        <is>
          <t>[PRORRATEO 3.9% 5.74há/148.3há] O/001316 PAPEL HIGU</t>
        </is>
      </c>
      <c r="M1553" s="232" t="inlineStr"/>
      <c r="N1553" s="232" t="inlineStr">
        <is>
          <t>.   .   -</t>
        </is>
      </c>
      <c r="O1553" s="232" t="inlineStr">
        <is>
          <t>ENERO</t>
        </is>
      </c>
      <c r="P1553" s="232" t="n">
        <v>4</v>
      </c>
      <c r="Q1553" s="234" t="n">
        <v>1912</v>
      </c>
      <c r="R1553" s="232" t="inlineStr"/>
      <c r="S1553" s="234" t="n">
        <v>1912</v>
      </c>
      <c r="T1553" s="232" t="inlineStr">
        <is>
          <t>CLP</t>
        </is>
      </c>
      <c r="U1553" s="232" t="inlineStr">
        <is>
          <t>Prorrateo Ha PACKING</t>
        </is>
      </c>
      <c r="V1553" s="232" t="inlineStr">
        <is>
          <t>2026-06-18</t>
        </is>
      </c>
    </row>
    <row r="1554">
      <c r="A1554" s="232" t="inlineStr">
        <is>
          <t>CR-1551</t>
        </is>
      </c>
      <c r="B1554" s="232" t="inlineStr">
        <is>
          <t>2026/27</t>
        </is>
      </c>
      <c r="C1554" s="233" t="n">
        <v>46045</v>
      </c>
      <c r="D1554" s="232" t="inlineStr">
        <is>
          <t>674819</t>
        </is>
      </c>
      <c r="E1554" s="232" t="inlineStr">
        <is>
          <t>PRORRATEO</t>
        </is>
      </c>
      <c r="F1554" s="232" t="inlineStr">
        <is>
          <t>El Molle</t>
        </is>
      </c>
      <c r="G1554" s="232" t="inlineStr">
        <is>
          <t>orogrande 8,11 ha</t>
        </is>
      </c>
      <c r="H1554" s="232" t="inlineStr">
        <is>
          <t>Clementinas</t>
        </is>
      </c>
      <c r="I1554" s="232" t="inlineStr">
        <is>
          <t>Orogrande</t>
        </is>
      </c>
      <c r="J1554" s="232" t="inlineStr">
        <is>
          <t>MATERIALES COSECHA</t>
        </is>
      </c>
      <c r="K1554" s="232" t="inlineStr">
        <is>
          <t>INSUMO ASEO</t>
        </is>
      </c>
      <c r="L1554" s="232" t="inlineStr">
        <is>
          <t>[PRORRATEO 5.5% 8.11há/148.3há] O/001316 PAPEL HIGU</t>
        </is>
      </c>
      <c r="M1554" s="232" t="inlineStr"/>
      <c r="N1554" s="232" t="inlineStr">
        <is>
          <t>.   .   -</t>
        </is>
      </c>
      <c r="O1554" s="232" t="inlineStr">
        <is>
          <t>ENERO</t>
        </is>
      </c>
      <c r="P1554" s="232" t="n">
        <v>4</v>
      </c>
      <c r="Q1554" s="234" t="n">
        <v>2701</v>
      </c>
      <c r="R1554" s="232" t="inlineStr"/>
      <c r="S1554" s="234" t="n">
        <v>2701</v>
      </c>
      <c r="T1554" s="232" t="inlineStr">
        <is>
          <t>CLP</t>
        </is>
      </c>
      <c r="U1554" s="232" t="inlineStr">
        <is>
          <t>Prorrateo Ha PACKING</t>
        </is>
      </c>
      <c r="V1554" s="232" t="inlineStr">
        <is>
          <t>2026-06-18</t>
        </is>
      </c>
    </row>
    <row r="1555">
      <c r="A1555" s="232" t="inlineStr">
        <is>
          <t>CR-1552</t>
        </is>
      </c>
      <c r="B1555" s="232" t="inlineStr">
        <is>
          <t>2026/27</t>
        </is>
      </c>
      <c r="C1555" s="233" t="n">
        <v>46045</v>
      </c>
      <c r="D1555" s="232" t="inlineStr">
        <is>
          <t>674819</t>
        </is>
      </c>
      <c r="E1555" s="232" t="inlineStr">
        <is>
          <t>PRORRATEO</t>
        </is>
      </c>
      <c r="F1555" s="232" t="inlineStr">
        <is>
          <t>El Molle</t>
        </is>
      </c>
      <c r="G1555" s="232" t="inlineStr">
        <is>
          <t>oronules 5,35 ha</t>
        </is>
      </c>
      <c r="H1555" s="232" t="inlineStr">
        <is>
          <t>Clementinas</t>
        </is>
      </c>
      <c r="I1555" s="232" t="inlineStr">
        <is>
          <t>Oronules</t>
        </is>
      </c>
      <c r="J1555" s="232" t="inlineStr">
        <is>
          <t>MATERIALES COSECHA</t>
        </is>
      </c>
      <c r="K1555" s="232" t="inlineStr">
        <is>
          <t>INSUMO ASEO</t>
        </is>
      </c>
      <c r="L1555" s="232" t="inlineStr">
        <is>
          <t>[PRORRATEO 3.6% 5.35há/148.3há] O/001316 PAPEL HIGU</t>
        </is>
      </c>
      <c r="M1555" s="232" t="inlineStr"/>
      <c r="N1555" s="232" t="inlineStr">
        <is>
          <t>.   .   -</t>
        </is>
      </c>
      <c r="O1555" s="232" t="inlineStr">
        <is>
          <t>ENERO</t>
        </is>
      </c>
      <c r="P1555" s="232" t="n">
        <v>4</v>
      </c>
      <c r="Q1555" s="234" t="n">
        <v>1782</v>
      </c>
      <c r="R1555" s="232" t="inlineStr"/>
      <c r="S1555" s="234" t="n">
        <v>1782</v>
      </c>
      <c r="T1555" s="232" t="inlineStr">
        <is>
          <t>CLP</t>
        </is>
      </c>
      <c r="U1555" s="232" t="inlineStr">
        <is>
          <t>Prorrateo Ha PACKING</t>
        </is>
      </c>
      <c r="V1555" s="232" t="inlineStr">
        <is>
          <t>2026-06-18</t>
        </is>
      </c>
    </row>
    <row r="1556">
      <c r="A1556" s="232" t="inlineStr">
        <is>
          <t>CR-1553</t>
        </is>
      </c>
      <c r="B1556" s="232" t="inlineStr">
        <is>
          <t>2026/27</t>
        </is>
      </c>
      <c r="C1556" s="233" t="n">
        <v>46045</v>
      </c>
      <c r="D1556" s="232" t="inlineStr">
        <is>
          <t>674819</t>
        </is>
      </c>
      <c r="E1556" s="232" t="inlineStr">
        <is>
          <t>PRORRATEO</t>
        </is>
      </c>
      <c r="F1556" s="232" t="inlineStr">
        <is>
          <t>Santa Catalina</t>
        </is>
      </c>
      <c r="G1556" s="232" t="inlineStr">
        <is>
          <t>Fino 49 7,7 ha</t>
        </is>
      </c>
      <c r="H1556" s="232" t="inlineStr">
        <is>
          <t>Limon</t>
        </is>
      </c>
      <c r="I1556" s="232" t="inlineStr">
        <is>
          <t>Fino 49</t>
        </is>
      </c>
      <c r="J1556" s="232" t="inlineStr">
        <is>
          <t>MATERIALES COSECHA</t>
        </is>
      </c>
      <c r="K1556" s="232" t="inlineStr">
        <is>
          <t>INSUMO ASEO</t>
        </is>
      </c>
      <c r="L1556" s="232" t="inlineStr">
        <is>
          <t>[PRORRATEO 5.2% 7.7há/148.3há] O/001316 PAPEL HIGU</t>
        </is>
      </c>
      <c r="M1556" s="232" t="inlineStr"/>
      <c r="N1556" s="232" t="inlineStr">
        <is>
          <t>.   .   -</t>
        </is>
      </c>
      <c r="O1556" s="232" t="inlineStr">
        <is>
          <t>ENERO</t>
        </is>
      </c>
      <c r="P1556" s="232" t="n">
        <v>4</v>
      </c>
      <c r="Q1556" s="234" t="n">
        <v>2565</v>
      </c>
      <c r="R1556" s="232" t="inlineStr"/>
      <c r="S1556" s="234" t="n">
        <v>2565</v>
      </c>
      <c r="T1556" s="232" t="inlineStr">
        <is>
          <t>CLP</t>
        </is>
      </c>
      <c r="U1556" s="232" t="inlineStr">
        <is>
          <t>Prorrateo Ha PACKING</t>
        </is>
      </c>
      <c r="V1556" s="232" t="inlineStr">
        <is>
          <t>2026-06-18</t>
        </is>
      </c>
    </row>
    <row r="1557">
      <c r="A1557" s="232" t="inlineStr">
        <is>
          <t>CR-1554</t>
        </is>
      </c>
      <c r="B1557" s="232" t="inlineStr">
        <is>
          <t>2026/27</t>
        </is>
      </c>
      <c r="C1557" s="233" t="n">
        <v>46045</v>
      </c>
      <c r="D1557" s="232" t="inlineStr">
        <is>
          <t>674819</t>
        </is>
      </c>
      <c r="E1557" s="232" t="inlineStr">
        <is>
          <t>PRORRATEO</t>
        </is>
      </c>
      <c r="F1557" s="232" t="inlineStr">
        <is>
          <t>Santa Catalina</t>
        </is>
      </c>
      <c r="G1557" s="232" t="inlineStr">
        <is>
          <t>W. murcott 21 ha</t>
        </is>
      </c>
      <c r="H1557" s="232" t="inlineStr">
        <is>
          <t>Mandarina</t>
        </is>
      </c>
      <c r="I1557" s="232" t="inlineStr">
        <is>
          <t>W. murcott</t>
        </is>
      </c>
      <c r="J1557" s="232" t="inlineStr">
        <is>
          <t>MATERIALES COSECHA</t>
        </is>
      </c>
      <c r="K1557" s="232" t="inlineStr">
        <is>
          <t>INSUMO ASEO</t>
        </is>
      </c>
      <c r="L1557" s="232" t="inlineStr">
        <is>
          <t>[PRORRATEO 14.2% 21.0há/148.3há] O/001316 PAPEL HIGU</t>
        </is>
      </c>
      <c r="M1557" s="232" t="inlineStr"/>
      <c r="N1557" s="232" t="inlineStr">
        <is>
          <t>.   .   -</t>
        </is>
      </c>
      <c r="O1557" s="232" t="inlineStr">
        <is>
          <t>ENERO</t>
        </is>
      </c>
      <c r="P1557" s="232" t="n">
        <v>4</v>
      </c>
      <c r="Q1557" s="234" t="n">
        <v>6994</v>
      </c>
      <c r="R1557" s="232" t="inlineStr"/>
      <c r="S1557" s="234" t="n">
        <v>6994</v>
      </c>
      <c r="T1557" s="232" t="inlineStr">
        <is>
          <t>CLP</t>
        </is>
      </c>
      <c r="U1557" s="232" t="inlineStr">
        <is>
          <t>Prorrateo Ha PACKING</t>
        </is>
      </c>
      <c r="V1557" s="232" t="inlineStr">
        <is>
          <t>2026-06-18</t>
        </is>
      </c>
    </row>
    <row r="1558">
      <c r="A1558" s="232" t="inlineStr">
        <is>
          <t>CR-1555</t>
        </is>
      </c>
      <c r="B1558" s="232" t="inlineStr">
        <is>
          <t>2026/27</t>
        </is>
      </c>
      <c r="C1558" s="233" t="n">
        <v>46045</v>
      </c>
      <c r="D1558" s="232" t="inlineStr">
        <is>
          <t>674819</t>
        </is>
      </c>
      <c r="E1558" s="232" t="inlineStr">
        <is>
          <t>PRORRATEO</t>
        </is>
      </c>
      <c r="F1558" s="232" t="inlineStr">
        <is>
          <t>Santa Catalina</t>
        </is>
      </c>
      <c r="G1558" s="232" t="inlineStr">
        <is>
          <t>cambria 4,2 ha</t>
        </is>
      </c>
      <c r="H1558" s="232" t="inlineStr">
        <is>
          <t>Naranjas</t>
        </is>
      </c>
      <c r="I1558" s="232" t="inlineStr">
        <is>
          <t>Cambria</t>
        </is>
      </c>
      <c r="J1558" s="232" t="inlineStr">
        <is>
          <t>MATERIALES COSECHA</t>
        </is>
      </c>
      <c r="K1558" s="232" t="inlineStr">
        <is>
          <t>INSUMO ASEO</t>
        </is>
      </c>
      <c r="L1558" s="232" t="inlineStr">
        <is>
          <t>[PRORRATEO 2.8% 4.2há/148.3há] O/001316 PAPEL HIGU</t>
        </is>
      </c>
      <c r="M1558" s="232" t="inlineStr"/>
      <c r="N1558" s="232" t="inlineStr">
        <is>
          <t>.   .   -</t>
        </is>
      </c>
      <c r="O1558" s="232" t="inlineStr">
        <is>
          <t>ENERO</t>
        </is>
      </c>
      <c r="P1558" s="232" t="n">
        <v>4</v>
      </c>
      <c r="Q1558" s="234" t="n">
        <v>1399</v>
      </c>
      <c r="R1558" s="232" t="inlineStr"/>
      <c r="S1558" s="234" t="n">
        <v>1399</v>
      </c>
      <c r="T1558" s="232" t="inlineStr">
        <is>
          <t>CLP</t>
        </is>
      </c>
      <c r="U1558" s="232" t="inlineStr">
        <is>
          <t>Prorrateo Ha PACKING</t>
        </is>
      </c>
      <c r="V1558" s="232" t="inlineStr">
        <is>
          <t>2026-06-18</t>
        </is>
      </c>
    </row>
    <row r="1559">
      <c r="A1559" s="232" t="inlineStr">
        <is>
          <t>CR-1556</t>
        </is>
      </c>
      <c r="B1559" s="232" t="inlineStr">
        <is>
          <t>2026/27</t>
        </is>
      </c>
      <c r="C1559" s="233" t="n">
        <v>46045</v>
      </c>
      <c r="D1559" s="232" t="inlineStr">
        <is>
          <t>674819</t>
        </is>
      </c>
      <c r="E1559" s="232" t="inlineStr">
        <is>
          <t>PRORRATEO</t>
        </is>
      </c>
      <c r="F1559" s="232" t="inlineStr">
        <is>
          <t>Santa Catalina</t>
        </is>
      </c>
      <c r="G1559" s="232" t="inlineStr">
        <is>
          <t>eureka 10,6 ha</t>
        </is>
      </c>
      <c r="H1559" s="232" t="inlineStr">
        <is>
          <t>Limon</t>
        </is>
      </c>
      <c r="I1559" s="232" t="inlineStr">
        <is>
          <t>Eureka</t>
        </is>
      </c>
      <c r="J1559" s="232" t="inlineStr">
        <is>
          <t>MATERIALES COSECHA</t>
        </is>
      </c>
      <c r="K1559" s="232" t="inlineStr">
        <is>
          <t>INSUMO ASEO</t>
        </is>
      </c>
      <c r="L1559" s="232" t="inlineStr">
        <is>
          <t>[PRORRATEO 7.1% 10.6há/148.3há] O/001316 PAPEL HIGU</t>
        </is>
      </c>
      <c r="M1559" s="232" t="inlineStr"/>
      <c r="N1559" s="232" t="inlineStr">
        <is>
          <t>.   .   -</t>
        </is>
      </c>
      <c r="O1559" s="232" t="inlineStr">
        <is>
          <t>ENERO</t>
        </is>
      </c>
      <c r="P1559" s="232" t="n">
        <v>4</v>
      </c>
      <c r="Q1559" s="234" t="n">
        <v>3530</v>
      </c>
      <c r="R1559" s="232" t="inlineStr"/>
      <c r="S1559" s="234" t="n">
        <v>3530</v>
      </c>
      <c r="T1559" s="232" t="inlineStr">
        <is>
          <t>CLP</t>
        </is>
      </c>
      <c r="U1559" s="232" t="inlineStr">
        <is>
          <t>Prorrateo Ha PACKING</t>
        </is>
      </c>
      <c r="V1559" s="232" t="inlineStr">
        <is>
          <t>2026-06-18</t>
        </is>
      </c>
    </row>
    <row r="1560">
      <c r="A1560" s="232" t="inlineStr">
        <is>
          <t>CR-1557</t>
        </is>
      </c>
      <c r="B1560" s="232" t="inlineStr">
        <is>
          <t>2026/27</t>
        </is>
      </c>
      <c r="C1560" s="233" t="n">
        <v>46045</v>
      </c>
      <c r="D1560" s="232" t="inlineStr">
        <is>
          <t>674819</t>
        </is>
      </c>
      <c r="E1560" s="232" t="inlineStr">
        <is>
          <t>PRORRATEO</t>
        </is>
      </c>
      <c r="F1560" s="232" t="inlineStr">
        <is>
          <t>Santa Catalina</t>
        </is>
      </c>
      <c r="G1560" s="232" t="inlineStr">
        <is>
          <t>eureka 14,4 ha</t>
        </is>
      </c>
      <c r="H1560" s="232" t="inlineStr">
        <is>
          <t>Limon</t>
        </is>
      </c>
      <c r="I1560" s="232" t="inlineStr">
        <is>
          <t>Eureka</t>
        </is>
      </c>
      <c r="J1560" s="232" t="inlineStr">
        <is>
          <t>MATERIALES COSECHA</t>
        </is>
      </c>
      <c r="K1560" s="232" t="inlineStr">
        <is>
          <t>INSUMO ASEO</t>
        </is>
      </c>
      <c r="L1560" s="232" t="inlineStr">
        <is>
          <t>[PRORRATEO 9.7% 14.4há/148.3há] O/001316 PAPEL HIGU</t>
        </is>
      </c>
      <c r="M1560" s="232" t="inlineStr"/>
      <c r="N1560" s="232" t="inlineStr">
        <is>
          <t>.   .   -</t>
        </is>
      </c>
      <c r="O1560" s="232" t="inlineStr">
        <is>
          <t>ENERO</t>
        </is>
      </c>
      <c r="P1560" s="232" t="n">
        <v>4</v>
      </c>
      <c r="Q1560" s="234" t="n">
        <v>4796</v>
      </c>
      <c r="R1560" s="232" t="inlineStr"/>
      <c r="S1560" s="234" t="n">
        <v>4796</v>
      </c>
      <c r="T1560" s="232" t="inlineStr">
        <is>
          <t>CLP</t>
        </is>
      </c>
      <c r="U1560" s="232" t="inlineStr">
        <is>
          <t>Prorrateo Ha PACKING</t>
        </is>
      </c>
      <c r="V1560" s="232" t="inlineStr">
        <is>
          <t>2026-06-18</t>
        </is>
      </c>
    </row>
    <row r="1561">
      <c r="A1561" s="232" t="inlineStr">
        <is>
          <t>CR-1558</t>
        </is>
      </c>
      <c r="B1561" s="232" t="inlineStr">
        <is>
          <t>2026/27</t>
        </is>
      </c>
      <c r="C1561" s="233" t="n">
        <v>46045</v>
      </c>
      <c r="D1561" s="232" t="inlineStr">
        <is>
          <t>674819</t>
        </is>
      </c>
      <c r="E1561" s="232" t="inlineStr">
        <is>
          <t>PRORRATEO</t>
        </is>
      </c>
      <c r="F1561" s="232" t="inlineStr">
        <is>
          <t>Santa Catalina</t>
        </is>
      </c>
      <c r="G1561" s="232" t="inlineStr">
        <is>
          <t>eureka 22,55</t>
        </is>
      </c>
      <c r="H1561" s="232" t="inlineStr">
        <is>
          <t>Limon</t>
        </is>
      </c>
      <c r="I1561" s="232" t="inlineStr">
        <is>
          <t>Eureka</t>
        </is>
      </c>
      <c r="J1561" s="232" t="inlineStr">
        <is>
          <t>MATERIALES COSECHA</t>
        </is>
      </c>
      <c r="K1561" s="232" t="inlineStr">
        <is>
          <t>INSUMO ASEO</t>
        </is>
      </c>
      <c r="L1561" s="232" t="inlineStr">
        <is>
          <t>[PRORRATEO 15.2% 22.55há/148.3há] O/001316 PAPEL HIGU</t>
        </is>
      </c>
      <c r="M1561" s="232" t="inlineStr"/>
      <c r="N1561" s="232" t="inlineStr">
        <is>
          <t>.   .   -</t>
        </is>
      </c>
      <c r="O1561" s="232" t="inlineStr">
        <is>
          <t>ENERO</t>
        </is>
      </c>
      <c r="P1561" s="232" t="n">
        <v>4</v>
      </c>
      <c r="Q1561" s="234" t="n">
        <v>7511</v>
      </c>
      <c r="R1561" s="232" t="inlineStr"/>
      <c r="S1561" s="234" t="n">
        <v>7511</v>
      </c>
      <c r="T1561" s="232" t="inlineStr">
        <is>
          <t>CLP</t>
        </is>
      </c>
      <c r="U1561" s="232" t="inlineStr">
        <is>
          <t>Prorrateo Ha PACKING</t>
        </is>
      </c>
      <c r="V1561" s="232" t="inlineStr">
        <is>
          <t>2026-06-18</t>
        </is>
      </c>
    </row>
    <row r="1562">
      <c r="A1562" s="232" t="inlineStr">
        <is>
          <t>CR-1559</t>
        </is>
      </c>
      <c r="B1562" s="232" t="inlineStr">
        <is>
          <t>2026/27</t>
        </is>
      </c>
      <c r="C1562" s="233" t="n">
        <v>46045</v>
      </c>
      <c r="D1562" s="232" t="inlineStr">
        <is>
          <t>674819</t>
        </is>
      </c>
      <c r="E1562" s="232" t="inlineStr">
        <is>
          <t>PRORRATEO</t>
        </is>
      </c>
      <c r="F1562" s="232" t="inlineStr">
        <is>
          <t>Santa Catalina</t>
        </is>
      </c>
      <c r="G1562" s="232" t="inlineStr">
        <is>
          <t>form benjamin 1,93 ha</t>
        </is>
      </c>
      <c r="H1562" s="232" t="inlineStr">
        <is>
          <t>Limon</t>
        </is>
      </c>
      <c r="I1562" s="232" t="inlineStr">
        <is>
          <t>Benjamin andes</t>
        </is>
      </c>
      <c r="J1562" s="232" t="inlineStr">
        <is>
          <t>MATERIALES COSECHA</t>
        </is>
      </c>
      <c r="K1562" s="232" t="inlineStr">
        <is>
          <t>INSUMO ASEO</t>
        </is>
      </c>
      <c r="L1562" s="232" t="inlineStr">
        <is>
          <t>[PRORRATEO 1.3% 1.93há/148.3há] O/001316 PAPEL HIGU</t>
        </is>
      </c>
      <c r="M1562" s="232" t="inlineStr"/>
      <c r="N1562" s="232" t="inlineStr">
        <is>
          <t>.   .   -</t>
        </is>
      </c>
      <c r="O1562" s="232" t="inlineStr">
        <is>
          <t>ENERO</t>
        </is>
      </c>
      <c r="P1562" s="232" t="n">
        <v>4</v>
      </c>
      <c r="Q1562" s="234" t="n">
        <v>643</v>
      </c>
      <c r="R1562" s="232" t="inlineStr"/>
      <c r="S1562" s="234" t="n">
        <v>643</v>
      </c>
      <c r="T1562" s="232" t="inlineStr">
        <is>
          <t>CLP</t>
        </is>
      </c>
      <c r="U1562" s="232" t="inlineStr">
        <is>
          <t>Prorrateo Ha PACKING</t>
        </is>
      </c>
      <c r="V1562" s="232" t="inlineStr">
        <is>
          <t>2026-06-18</t>
        </is>
      </c>
    </row>
    <row r="1563">
      <c r="A1563" s="232" t="inlineStr">
        <is>
          <t>CR-1560</t>
        </is>
      </c>
      <c r="B1563" s="232" t="inlineStr">
        <is>
          <t>2026/27</t>
        </is>
      </c>
      <c r="C1563" s="233" t="n">
        <v>46045</v>
      </c>
      <c r="D1563" s="232" t="inlineStr">
        <is>
          <t>674819</t>
        </is>
      </c>
      <c r="E1563" s="232" t="inlineStr">
        <is>
          <t>PRORRATEO</t>
        </is>
      </c>
      <c r="F1563" s="232" t="inlineStr">
        <is>
          <t>Santa Catalina</t>
        </is>
      </c>
      <c r="G1563" s="232" t="inlineStr">
        <is>
          <t>mant eureka 2,5 ha</t>
        </is>
      </c>
      <c r="H1563" s="232" t="inlineStr">
        <is>
          <t>Limon</t>
        </is>
      </c>
      <c r="I1563" s="232" t="inlineStr">
        <is>
          <t>Eureka</t>
        </is>
      </c>
      <c r="J1563" s="232" t="inlineStr">
        <is>
          <t>MATERIALES COSECHA</t>
        </is>
      </c>
      <c r="K1563" s="232" t="inlineStr">
        <is>
          <t>INSUMO ASEO</t>
        </is>
      </c>
      <c r="L1563" s="232" t="inlineStr">
        <is>
          <t>[PRORRATEO 1.7% 2.5há/148.3há] O/001316 PAPEL HIGU</t>
        </is>
      </c>
      <c r="M1563" s="232" t="inlineStr"/>
      <c r="N1563" s="232" t="inlineStr">
        <is>
          <t>.   .   -</t>
        </is>
      </c>
      <c r="O1563" s="232" t="inlineStr">
        <is>
          <t>ENERO</t>
        </is>
      </c>
      <c r="P1563" s="232" t="n">
        <v>4</v>
      </c>
      <c r="Q1563" s="234" t="n">
        <v>833</v>
      </c>
      <c r="R1563" s="232" t="inlineStr"/>
      <c r="S1563" s="234" t="n">
        <v>833</v>
      </c>
      <c r="T1563" s="232" t="inlineStr">
        <is>
          <t>CLP</t>
        </is>
      </c>
      <c r="U1563" s="232" t="inlineStr">
        <is>
          <t>Prorrateo Ha PACKING</t>
        </is>
      </c>
      <c r="V1563" s="232" t="inlineStr">
        <is>
          <t>2026-06-18</t>
        </is>
      </c>
    </row>
    <row r="1564">
      <c r="A1564" s="232" t="inlineStr">
        <is>
          <t>CR-1561</t>
        </is>
      </c>
      <c r="B1564" s="232" t="inlineStr">
        <is>
          <t>2026/27</t>
        </is>
      </c>
      <c r="C1564" s="233" t="n">
        <v>46045</v>
      </c>
      <c r="D1564" s="232" t="inlineStr">
        <is>
          <t>674819</t>
        </is>
      </c>
      <c r="E1564" s="232" t="inlineStr">
        <is>
          <t>PRORRATEO</t>
        </is>
      </c>
      <c r="F1564" s="232" t="inlineStr">
        <is>
          <t>Siberia</t>
        </is>
      </c>
      <c r="G1564" s="232" t="inlineStr">
        <is>
          <t>S. Celebration 7,14</t>
        </is>
      </c>
      <c r="H1564" s="232" t="inlineStr">
        <is>
          <t>Uvas</t>
        </is>
      </c>
      <c r="I1564" s="232" t="inlineStr">
        <is>
          <t>S. celebration</t>
        </is>
      </c>
      <c r="J1564" s="232" t="inlineStr">
        <is>
          <t>MATERIALES COSECHA</t>
        </is>
      </c>
      <c r="K1564" s="232" t="inlineStr">
        <is>
          <t>INSUMO ASEO</t>
        </is>
      </c>
      <c r="L1564" s="232" t="inlineStr">
        <is>
          <t>[PRORRATEO 4.8% 7.14há/148.3há] O/001316 PAPEL HIGU</t>
        </is>
      </c>
      <c r="M1564" s="232" t="inlineStr"/>
      <c r="N1564" s="232" t="inlineStr">
        <is>
          <t>.   .   -</t>
        </is>
      </c>
      <c r="O1564" s="232" t="inlineStr">
        <is>
          <t>ENERO</t>
        </is>
      </c>
      <c r="P1564" s="232" t="n">
        <v>4</v>
      </c>
      <c r="Q1564" s="234" t="n">
        <v>2378</v>
      </c>
      <c r="R1564" s="232" t="inlineStr"/>
      <c r="S1564" s="234" t="n">
        <v>2378</v>
      </c>
      <c r="T1564" s="232" t="inlineStr">
        <is>
          <t>CLP</t>
        </is>
      </c>
      <c r="U1564" s="232" t="inlineStr">
        <is>
          <t>Prorrateo Ha PACKING</t>
        </is>
      </c>
      <c r="V1564" s="232" t="inlineStr">
        <is>
          <t>2026-06-18</t>
        </is>
      </c>
    </row>
    <row r="1565">
      <c r="A1565" s="232" t="inlineStr">
        <is>
          <t>CR-1562</t>
        </is>
      </c>
      <c r="B1565" s="232" t="inlineStr">
        <is>
          <t>2026/27</t>
        </is>
      </c>
      <c r="C1565" s="233" t="n">
        <v>46045</v>
      </c>
      <c r="D1565" s="232" t="inlineStr">
        <is>
          <t>674819</t>
        </is>
      </c>
      <c r="E1565" s="232" t="inlineStr">
        <is>
          <t>PRORRATEO</t>
        </is>
      </c>
      <c r="F1565" s="232" t="inlineStr">
        <is>
          <t>Siberia</t>
        </is>
      </c>
      <c r="G1565" s="232" t="inlineStr">
        <is>
          <t>Timpson 7,1</t>
        </is>
      </c>
      <c r="H1565" s="232" t="inlineStr">
        <is>
          <t>Uvas</t>
        </is>
      </c>
      <c r="I1565" s="232" t="inlineStr">
        <is>
          <t>Timpson</t>
        </is>
      </c>
      <c r="J1565" s="232" t="inlineStr">
        <is>
          <t>MATERIALES COSECHA</t>
        </is>
      </c>
      <c r="K1565" s="232" t="inlineStr">
        <is>
          <t>INSUMO ASEO</t>
        </is>
      </c>
      <c r="L1565" s="232" t="inlineStr">
        <is>
          <t>[PRORRATEO 4.8% 7.1há/148.3há] O/001316 PAPEL HIGU</t>
        </is>
      </c>
      <c r="M1565" s="232" t="inlineStr"/>
      <c r="N1565" s="232" t="inlineStr">
        <is>
          <t>.   .   -</t>
        </is>
      </c>
      <c r="O1565" s="232" t="inlineStr">
        <is>
          <t>ENERO</t>
        </is>
      </c>
      <c r="P1565" s="232" t="n">
        <v>4</v>
      </c>
      <c r="Q1565" s="234" t="n">
        <v>2365</v>
      </c>
      <c r="R1565" s="232" t="inlineStr"/>
      <c r="S1565" s="234" t="n">
        <v>2365</v>
      </c>
      <c r="T1565" s="232" t="inlineStr">
        <is>
          <t>CLP</t>
        </is>
      </c>
      <c r="U1565" s="232" t="inlineStr">
        <is>
          <t>Prorrateo Ha PACKING</t>
        </is>
      </c>
      <c r="V1565" s="232" t="inlineStr">
        <is>
          <t>2026-06-18</t>
        </is>
      </c>
    </row>
    <row r="1566">
      <c r="A1566" s="232" t="inlineStr">
        <is>
          <t>CR-1563</t>
        </is>
      </c>
      <c r="B1566" s="232" t="inlineStr">
        <is>
          <t>2026/27</t>
        </is>
      </c>
      <c r="C1566" s="233" t="n">
        <v>46045</v>
      </c>
      <c r="D1566" s="232" t="inlineStr">
        <is>
          <t>674819</t>
        </is>
      </c>
      <c r="E1566" s="232" t="inlineStr">
        <is>
          <t>PRORRATEO</t>
        </is>
      </c>
      <c r="F1566" s="232" t="inlineStr">
        <is>
          <t>Asmara</t>
        </is>
      </c>
      <c r="G1566" s="232" t="inlineStr">
        <is>
          <t>w. murcott 19,8 ha</t>
        </is>
      </c>
      <c r="H1566" s="232" t="inlineStr">
        <is>
          <t>Mandarina</t>
        </is>
      </c>
      <c r="I1566" s="232" t="inlineStr">
        <is>
          <t>W. murcott</t>
        </is>
      </c>
      <c r="J1566" s="232" t="inlineStr">
        <is>
          <t>MATERIALES COSECHA</t>
        </is>
      </c>
      <c r="K1566" s="232" t="inlineStr">
        <is>
          <t>INSUMO ASEO</t>
        </is>
      </c>
      <c r="L1566" s="232" t="inlineStr">
        <is>
          <t>[PRORRATEO 13.4% 19.8há/148.3há] O/001316 TOALLA OVE</t>
        </is>
      </c>
      <c r="M1566" s="232" t="inlineStr"/>
      <c r="N1566" s="232" t="inlineStr">
        <is>
          <t>.   .   -</t>
        </is>
      </c>
      <c r="O1566" s="232" t="inlineStr">
        <is>
          <t>ENERO</t>
        </is>
      </c>
      <c r="P1566" s="232" t="n">
        <v>4</v>
      </c>
      <c r="Q1566" s="234" t="n">
        <v>20179</v>
      </c>
      <c r="R1566" s="232" t="inlineStr"/>
      <c r="S1566" s="234" t="n">
        <v>20179</v>
      </c>
      <c r="T1566" s="232" t="inlineStr">
        <is>
          <t>CLP</t>
        </is>
      </c>
      <c r="U1566" s="232" t="inlineStr">
        <is>
          <t>Prorrateo Ha PACKING</t>
        </is>
      </c>
      <c r="V1566" s="232" t="inlineStr">
        <is>
          <t>2026-06-18</t>
        </is>
      </c>
    </row>
    <row r="1567">
      <c r="A1567" s="232" t="inlineStr">
        <is>
          <t>CR-1564</t>
        </is>
      </c>
      <c r="B1567" s="232" t="inlineStr">
        <is>
          <t>2026/27</t>
        </is>
      </c>
      <c r="C1567" s="233" t="n">
        <v>46045</v>
      </c>
      <c r="D1567" s="232" t="inlineStr">
        <is>
          <t>674819</t>
        </is>
      </c>
      <c r="E1567" s="232" t="inlineStr">
        <is>
          <t>PRORRATEO</t>
        </is>
      </c>
      <c r="F1567" s="232" t="inlineStr">
        <is>
          <t>Asmara</t>
        </is>
      </c>
      <c r="G1567" s="232" t="inlineStr">
        <is>
          <t>w. murcott 4,9 ha</t>
        </is>
      </c>
      <c r="H1567" s="232" t="inlineStr">
        <is>
          <t>Mandarina</t>
        </is>
      </c>
      <c r="I1567" s="232" t="inlineStr">
        <is>
          <t>W. murcott</t>
        </is>
      </c>
      <c r="J1567" s="232" t="inlineStr">
        <is>
          <t>MATERIALES COSECHA</t>
        </is>
      </c>
      <c r="K1567" s="232" t="inlineStr">
        <is>
          <t>INSUMO ASEO</t>
        </is>
      </c>
      <c r="L1567" s="232" t="inlineStr">
        <is>
          <t>[PRORRATEO 3.3% 4.9há/148.3há] O/001316 TOALLA OVE</t>
        </is>
      </c>
      <c r="M1567" s="232" t="inlineStr"/>
      <c r="N1567" s="232" t="inlineStr">
        <is>
          <t>.   .   -</t>
        </is>
      </c>
      <c r="O1567" s="232" t="inlineStr">
        <is>
          <t>ENERO</t>
        </is>
      </c>
      <c r="P1567" s="232" t="n">
        <v>4</v>
      </c>
      <c r="Q1567" s="234" t="n">
        <v>4994</v>
      </c>
      <c r="R1567" s="232" t="inlineStr"/>
      <c r="S1567" s="234" t="n">
        <v>4994</v>
      </c>
      <c r="T1567" s="232" t="inlineStr">
        <is>
          <t>CLP</t>
        </is>
      </c>
      <c r="U1567" s="232" t="inlineStr">
        <is>
          <t>Prorrateo Ha PACKING</t>
        </is>
      </c>
      <c r="V1567" s="232" t="inlineStr">
        <is>
          <t>2026-06-18</t>
        </is>
      </c>
    </row>
    <row r="1568">
      <c r="A1568" s="232" t="inlineStr">
        <is>
          <t>CR-1565</t>
        </is>
      </c>
      <c r="B1568" s="232" t="inlineStr">
        <is>
          <t>2026/27</t>
        </is>
      </c>
      <c r="C1568" s="233" t="n">
        <v>46045</v>
      </c>
      <c r="D1568" s="232" t="inlineStr">
        <is>
          <t>674819</t>
        </is>
      </c>
      <c r="E1568" s="232" t="inlineStr">
        <is>
          <t>PRORRATEO</t>
        </is>
      </c>
      <c r="F1568" s="232" t="inlineStr">
        <is>
          <t>El Molle</t>
        </is>
      </c>
      <c r="G1568" s="232" t="inlineStr">
        <is>
          <t>Wonderful 5,25 ha</t>
        </is>
      </c>
      <c r="H1568" s="232" t="inlineStr">
        <is>
          <t>Granados</t>
        </is>
      </c>
      <c r="I1568" s="232" t="inlineStr">
        <is>
          <t>Wonderfull</t>
        </is>
      </c>
      <c r="J1568" s="232" t="inlineStr">
        <is>
          <t>MATERIALES COSECHA</t>
        </is>
      </c>
      <c r="K1568" s="232" t="inlineStr">
        <is>
          <t>INSUMO ASEO</t>
        </is>
      </c>
      <c r="L1568" s="232" t="inlineStr">
        <is>
          <t>[PRORRATEO 3.5% 5.24há/148.3há] O/001316 TOALLA OVE</t>
        </is>
      </c>
      <c r="M1568" s="232" t="inlineStr"/>
      <c r="N1568" s="232" t="inlineStr">
        <is>
          <t>.   .   -</t>
        </is>
      </c>
      <c r="O1568" s="232" t="inlineStr">
        <is>
          <t>ENERO</t>
        </is>
      </c>
      <c r="P1568" s="232" t="n">
        <v>4</v>
      </c>
      <c r="Q1568" s="234" t="n">
        <v>5340</v>
      </c>
      <c r="R1568" s="232" t="inlineStr"/>
      <c r="S1568" s="234" t="n">
        <v>5340</v>
      </c>
      <c r="T1568" s="232" t="inlineStr">
        <is>
          <t>CLP</t>
        </is>
      </c>
      <c r="U1568" s="232" t="inlineStr">
        <is>
          <t>Prorrateo Ha PACKING</t>
        </is>
      </c>
      <c r="V1568" s="232" t="inlineStr">
        <is>
          <t>2026-06-18</t>
        </is>
      </c>
    </row>
    <row r="1569">
      <c r="A1569" s="232" t="inlineStr">
        <is>
          <t>CR-1566</t>
        </is>
      </c>
      <c r="B1569" s="232" t="inlineStr">
        <is>
          <t>2026/27</t>
        </is>
      </c>
      <c r="C1569" s="233" t="n">
        <v>46045</v>
      </c>
      <c r="D1569" s="232" t="inlineStr">
        <is>
          <t>674819</t>
        </is>
      </c>
      <c r="E1569" s="232" t="inlineStr">
        <is>
          <t>PRORRATEO</t>
        </is>
      </c>
      <c r="F1569" s="232" t="inlineStr">
        <is>
          <t>El Molle</t>
        </is>
      </c>
      <c r="G1569" s="232" t="inlineStr">
        <is>
          <t>arrufatinas 5,74 ha</t>
        </is>
      </c>
      <c r="H1569" s="232" t="inlineStr">
        <is>
          <t>Clementinas</t>
        </is>
      </c>
      <c r="I1569" s="232" t="inlineStr">
        <is>
          <t>Arrufatinas</t>
        </is>
      </c>
      <c r="J1569" s="232" t="inlineStr">
        <is>
          <t>MATERIALES COSECHA</t>
        </is>
      </c>
      <c r="K1569" s="232" t="inlineStr">
        <is>
          <t>INSUMO ASEO</t>
        </is>
      </c>
      <c r="L1569" s="232" t="inlineStr">
        <is>
          <t>[PRORRATEO 3.9% 5.74há/148.3há] O/001316 TOALLA OVE</t>
        </is>
      </c>
      <c r="M1569" s="232" t="inlineStr"/>
      <c r="N1569" s="232" t="inlineStr">
        <is>
          <t>.   .   -</t>
        </is>
      </c>
      <c r="O1569" s="232" t="inlineStr">
        <is>
          <t>ENERO</t>
        </is>
      </c>
      <c r="P1569" s="232" t="n">
        <v>4</v>
      </c>
      <c r="Q1569" s="234" t="n">
        <v>5850</v>
      </c>
      <c r="R1569" s="232" t="inlineStr"/>
      <c r="S1569" s="234" t="n">
        <v>5850</v>
      </c>
      <c r="T1569" s="232" t="inlineStr">
        <is>
          <t>CLP</t>
        </is>
      </c>
      <c r="U1569" s="232" t="inlineStr">
        <is>
          <t>Prorrateo Ha PACKING</t>
        </is>
      </c>
      <c r="V1569" s="232" t="inlineStr">
        <is>
          <t>2026-06-18</t>
        </is>
      </c>
    </row>
    <row r="1570">
      <c r="A1570" s="232" t="inlineStr">
        <is>
          <t>CR-1567</t>
        </is>
      </c>
      <c r="B1570" s="232" t="inlineStr">
        <is>
          <t>2026/27</t>
        </is>
      </c>
      <c r="C1570" s="233" t="n">
        <v>46045</v>
      </c>
      <c r="D1570" s="232" t="inlineStr">
        <is>
          <t>674819</t>
        </is>
      </c>
      <c r="E1570" s="232" t="inlineStr">
        <is>
          <t>PRORRATEO</t>
        </is>
      </c>
      <c r="F1570" s="232" t="inlineStr">
        <is>
          <t>El Molle</t>
        </is>
      </c>
      <c r="G1570" s="232" t="inlineStr">
        <is>
          <t>orogrande 8,11 ha</t>
        </is>
      </c>
      <c r="H1570" s="232" t="inlineStr">
        <is>
          <t>Clementinas</t>
        </is>
      </c>
      <c r="I1570" s="232" t="inlineStr">
        <is>
          <t>Orogrande</t>
        </is>
      </c>
      <c r="J1570" s="232" t="inlineStr">
        <is>
          <t>MATERIALES COSECHA</t>
        </is>
      </c>
      <c r="K1570" s="232" t="inlineStr">
        <is>
          <t>INSUMO ASEO</t>
        </is>
      </c>
      <c r="L1570" s="232" t="inlineStr">
        <is>
          <t>[PRORRATEO 5.5% 8.11há/148.3há] O/001316 TOALLA OVE</t>
        </is>
      </c>
      <c r="M1570" s="232" t="inlineStr"/>
      <c r="N1570" s="232" t="inlineStr">
        <is>
          <t>.   .   -</t>
        </is>
      </c>
      <c r="O1570" s="232" t="inlineStr">
        <is>
          <t>ENERO</t>
        </is>
      </c>
      <c r="P1570" s="232" t="n">
        <v>4</v>
      </c>
      <c r="Q1570" s="234" t="n">
        <v>8265</v>
      </c>
      <c r="R1570" s="232" t="inlineStr"/>
      <c r="S1570" s="234" t="n">
        <v>8265</v>
      </c>
      <c r="T1570" s="232" t="inlineStr">
        <is>
          <t>CLP</t>
        </is>
      </c>
      <c r="U1570" s="232" t="inlineStr">
        <is>
          <t>Prorrateo Ha PACKING</t>
        </is>
      </c>
      <c r="V1570" s="232" t="inlineStr">
        <is>
          <t>2026-06-18</t>
        </is>
      </c>
    </row>
    <row r="1571">
      <c r="A1571" s="232" t="inlineStr">
        <is>
          <t>CR-1568</t>
        </is>
      </c>
      <c r="B1571" s="232" t="inlineStr">
        <is>
          <t>2026/27</t>
        </is>
      </c>
      <c r="C1571" s="233" t="n">
        <v>46045</v>
      </c>
      <c r="D1571" s="232" t="inlineStr">
        <is>
          <t>674819</t>
        </is>
      </c>
      <c r="E1571" s="232" t="inlineStr">
        <is>
          <t>PRORRATEO</t>
        </is>
      </c>
      <c r="F1571" s="232" t="inlineStr">
        <is>
          <t>El Molle</t>
        </is>
      </c>
      <c r="G1571" s="232" t="inlineStr">
        <is>
          <t>oronules 5,35 ha</t>
        </is>
      </c>
      <c r="H1571" s="232" t="inlineStr">
        <is>
          <t>Clementinas</t>
        </is>
      </c>
      <c r="I1571" s="232" t="inlineStr">
        <is>
          <t>Oronules</t>
        </is>
      </c>
      <c r="J1571" s="232" t="inlineStr">
        <is>
          <t>MATERIALES COSECHA</t>
        </is>
      </c>
      <c r="K1571" s="232" t="inlineStr">
        <is>
          <t>INSUMO ASEO</t>
        </is>
      </c>
      <c r="L1571" s="232" t="inlineStr">
        <is>
          <t>[PRORRATEO 3.6% 5.35há/148.3há] O/001316 TOALLA OVE</t>
        </is>
      </c>
      <c r="M1571" s="232" t="inlineStr"/>
      <c r="N1571" s="232" t="inlineStr">
        <is>
          <t>.   .   -</t>
        </is>
      </c>
      <c r="O1571" s="232" t="inlineStr">
        <is>
          <t>ENERO</t>
        </is>
      </c>
      <c r="P1571" s="232" t="n">
        <v>4</v>
      </c>
      <c r="Q1571" s="234" t="n">
        <v>5452</v>
      </c>
      <c r="R1571" s="232" t="inlineStr"/>
      <c r="S1571" s="234" t="n">
        <v>5452</v>
      </c>
      <c r="T1571" s="232" t="inlineStr">
        <is>
          <t>CLP</t>
        </is>
      </c>
      <c r="U1571" s="232" t="inlineStr">
        <is>
          <t>Prorrateo Ha PACKING</t>
        </is>
      </c>
      <c r="V1571" s="232" t="inlineStr">
        <is>
          <t>2026-06-18</t>
        </is>
      </c>
    </row>
    <row r="1572">
      <c r="A1572" s="232" t="inlineStr">
        <is>
          <t>CR-1569</t>
        </is>
      </c>
      <c r="B1572" s="232" t="inlineStr">
        <is>
          <t>2026/27</t>
        </is>
      </c>
      <c r="C1572" s="233" t="n">
        <v>46045</v>
      </c>
      <c r="D1572" s="232" t="inlineStr">
        <is>
          <t>674819</t>
        </is>
      </c>
      <c r="E1572" s="232" t="inlineStr">
        <is>
          <t>PRORRATEO</t>
        </is>
      </c>
      <c r="F1572" s="232" t="inlineStr">
        <is>
          <t>Santa Catalina</t>
        </is>
      </c>
      <c r="G1572" s="232" t="inlineStr">
        <is>
          <t>Fino 49 7,7 ha</t>
        </is>
      </c>
      <c r="H1572" s="232" t="inlineStr">
        <is>
          <t>Limon</t>
        </is>
      </c>
      <c r="I1572" s="232" t="inlineStr">
        <is>
          <t>Fino 49</t>
        </is>
      </c>
      <c r="J1572" s="232" t="inlineStr">
        <is>
          <t>MATERIALES COSECHA</t>
        </is>
      </c>
      <c r="K1572" s="232" t="inlineStr">
        <is>
          <t>INSUMO ASEO</t>
        </is>
      </c>
      <c r="L1572" s="232" t="inlineStr">
        <is>
          <t>[PRORRATEO 5.2% 7.7há/148.3há] O/001316 TOALLA OVE</t>
        </is>
      </c>
      <c r="M1572" s="232" t="inlineStr"/>
      <c r="N1572" s="232" t="inlineStr">
        <is>
          <t>.   .   -</t>
        </is>
      </c>
      <c r="O1572" s="232" t="inlineStr">
        <is>
          <t>ENERO</t>
        </is>
      </c>
      <c r="P1572" s="232" t="n">
        <v>4</v>
      </c>
      <c r="Q1572" s="234" t="n">
        <v>7847</v>
      </c>
      <c r="R1572" s="232" t="inlineStr"/>
      <c r="S1572" s="234" t="n">
        <v>7847</v>
      </c>
      <c r="T1572" s="232" t="inlineStr">
        <is>
          <t>CLP</t>
        </is>
      </c>
      <c r="U1572" s="232" t="inlineStr">
        <is>
          <t>Prorrateo Ha PACKING</t>
        </is>
      </c>
      <c r="V1572" s="232" t="inlineStr">
        <is>
          <t>2026-06-18</t>
        </is>
      </c>
    </row>
    <row r="1573">
      <c r="A1573" s="232" t="inlineStr">
        <is>
          <t>CR-1570</t>
        </is>
      </c>
      <c r="B1573" s="232" t="inlineStr">
        <is>
          <t>2026/27</t>
        </is>
      </c>
      <c r="C1573" s="233" t="n">
        <v>46045</v>
      </c>
      <c r="D1573" s="232" t="inlineStr">
        <is>
          <t>674819</t>
        </is>
      </c>
      <c r="E1573" s="232" t="inlineStr">
        <is>
          <t>PRORRATEO</t>
        </is>
      </c>
      <c r="F1573" s="232" t="inlineStr">
        <is>
          <t>Santa Catalina</t>
        </is>
      </c>
      <c r="G1573" s="232" t="inlineStr">
        <is>
          <t>W. murcott 21 ha</t>
        </is>
      </c>
      <c r="H1573" s="232" t="inlineStr">
        <is>
          <t>Mandarina</t>
        </is>
      </c>
      <c r="I1573" s="232" t="inlineStr">
        <is>
          <t>W. murcott</t>
        </is>
      </c>
      <c r="J1573" s="232" t="inlineStr">
        <is>
          <t>MATERIALES COSECHA</t>
        </is>
      </c>
      <c r="K1573" s="232" t="inlineStr">
        <is>
          <t>INSUMO ASEO</t>
        </is>
      </c>
      <c r="L1573" s="232" t="inlineStr">
        <is>
          <t>[PRORRATEO 14.2% 21.0há/148.3há] O/001316 TOALLA OVE</t>
        </is>
      </c>
      <c r="M1573" s="232" t="inlineStr"/>
      <c r="N1573" s="232" t="inlineStr">
        <is>
          <t>.   .   -</t>
        </is>
      </c>
      <c r="O1573" s="232" t="inlineStr">
        <is>
          <t>ENERO</t>
        </is>
      </c>
      <c r="P1573" s="232" t="n">
        <v>4</v>
      </c>
      <c r="Q1573" s="234" t="n">
        <v>21402</v>
      </c>
      <c r="R1573" s="232" t="inlineStr"/>
      <c r="S1573" s="234" t="n">
        <v>21402</v>
      </c>
      <c r="T1573" s="232" t="inlineStr">
        <is>
          <t>CLP</t>
        </is>
      </c>
      <c r="U1573" s="232" t="inlineStr">
        <is>
          <t>Prorrateo Ha PACKING</t>
        </is>
      </c>
      <c r="V1573" s="232" t="inlineStr">
        <is>
          <t>2026-06-18</t>
        </is>
      </c>
    </row>
    <row r="1574">
      <c r="A1574" s="232" t="inlineStr">
        <is>
          <t>CR-1571</t>
        </is>
      </c>
      <c r="B1574" s="232" t="inlineStr">
        <is>
          <t>2026/27</t>
        </is>
      </c>
      <c r="C1574" s="233" t="n">
        <v>46045</v>
      </c>
      <c r="D1574" s="232" t="inlineStr">
        <is>
          <t>674819</t>
        </is>
      </c>
      <c r="E1574" s="232" t="inlineStr">
        <is>
          <t>PRORRATEO</t>
        </is>
      </c>
      <c r="F1574" s="232" t="inlineStr">
        <is>
          <t>Santa Catalina</t>
        </is>
      </c>
      <c r="G1574" s="232" t="inlineStr">
        <is>
          <t>cambria 4,2 ha</t>
        </is>
      </c>
      <c r="H1574" s="232" t="inlineStr">
        <is>
          <t>Naranjas</t>
        </is>
      </c>
      <c r="I1574" s="232" t="inlineStr">
        <is>
          <t>Cambria</t>
        </is>
      </c>
      <c r="J1574" s="232" t="inlineStr">
        <is>
          <t>MATERIALES COSECHA</t>
        </is>
      </c>
      <c r="K1574" s="232" t="inlineStr">
        <is>
          <t>INSUMO ASEO</t>
        </is>
      </c>
      <c r="L1574" s="232" t="inlineStr">
        <is>
          <t>[PRORRATEO 2.8% 4.2há/148.3há] O/001316 TOALLA OVE</t>
        </is>
      </c>
      <c r="M1574" s="232" t="inlineStr"/>
      <c r="N1574" s="232" t="inlineStr">
        <is>
          <t>.   .   -</t>
        </is>
      </c>
      <c r="O1574" s="232" t="inlineStr">
        <is>
          <t>ENERO</t>
        </is>
      </c>
      <c r="P1574" s="232" t="n">
        <v>4</v>
      </c>
      <c r="Q1574" s="234" t="n">
        <v>4280</v>
      </c>
      <c r="R1574" s="232" t="inlineStr"/>
      <c r="S1574" s="234" t="n">
        <v>4280</v>
      </c>
      <c r="T1574" s="232" t="inlineStr">
        <is>
          <t>CLP</t>
        </is>
      </c>
      <c r="U1574" s="232" t="inlineStr">
        <is>
          <t>Prorrateo Ha PACKING</t>
        </is>
      </c>
      <c r="V1574" s="232" t="inlineStr">
        <is>
          <t>2026-06-18</t>
        </is>
      </c>
    </row>
    <row r="1575">
      <c r="A1575" s="232" t="inlineStr">
        <is>
          <t>CR-1572</t>
        </is>
      </c>
      <c r="B1575" s="232" t="inlineStr">
        <is>
          <t>2026/27</t>
        </is>
      </c>
      <c r="C1575" s="233" t="n">
        <v>46045</v>
      </c>
      <c r="D1575" s="232" t="inlineStr">
        <is>
          <t>674819</t>
        </is>
      </c>
      <c r="E1575" s="232" t="inlineStr">
        <is>
          <t>PRORRATEO</t>
        </is>
      </c>
      <c r="F1575" s="232" t="inlineStr">
        <is>
          <t>Santa Catalina</t>
        </is>
      </c>
      <c r="G1575" s="232" t="inlineStr">
        <is>
          <t>eureka 10,6 ha</t>
        </is>
      </c>
      <c r="H1575" s="232" t="inlineStr">
        <is>
          <t>Limon</t>
        </is>
      </c>
      <c r="I1575" s="232" t="inlineStr">
        <is>
          <t>Eureka</t>
        </is>
      </c>
      <c r="J1575" s="232" t="inlineStr">
        <is>
          <t>MATERIALES COSECHA</t>
        </is>
      </c>
      <c r="K1575" s="232" t="inlineStr">
        <is>
          <t>INSUMO ASEO</t>
        </is>
      </c>
      <c r="L1575" s="232" t="inlineStr">
        <is>
          <t>[PRORRATEO 7.1% 10.6há/148.3há] O/001316 TOALLA OVE</t>
        </is>
      </c>
      <c r="M1575" s="232" t="inlineStr"/>
      <c r="N1575" s="232" t="inlineStr">
        <is>
          <t>.   .   -</t>
        </is>
      </c>
      <c r="O1575" s="232" t="inlineStr">
        <is>
          <t>ENERO</t>
        </is>
      </c>
      <c r="P1575" s="232" t="n">
        <v>4</v>
      </c>
      <c r="Q1575" s="234" t="n">
        <v>10803</v>
      </c>
      <c r="R1575" s="232" t="inlineStr"/>
      <c r="S1575" s="234" t="n">
        <v>10803</v>
      </c>
      <c r="T1575" s="232" t="inlineStr">
        <is>
          <t>CLP</t>
        </is>
      </c>
      <c r="U1575" s="232" t="inlineStr">
        <is>
          <t>Prorrateo Ha PACKING</t>
        </is>
      </c>
      <c r="V1575" s="232" t="inlineStr">
        <is>
          <t>2026-06-18</t>
        </is>
      </c>
    </row>
    <row r="1576">
      <c r="A1576" s="232" t="inlineStr">
        <is>
          <t>CR-1573</t>
        </is>
      </c>
      <c r="B1576" s="232" t="inlineStr">
        <is>
          <t>2026/27</t>
        </is>
      </c>
      <c r="C1576" s="233" t="n">
        <v>46045</v>
      </c>
      <c r="D1576" s="232" t="inlineStr">
        <is>
          <t>674819</t>
        </is>
      </c>
      <c r="E1576" s="232" t="inlineStr">
        <is>
          <t>PRORRATEO</t>
        </is>
      </c>
      <c r="F1576" s="232" t="inlineStr">
        <is>
          <t>Santa Catalina</t>
        </is>
      </c>
      <c r="G1576" s="232" t="inlineStr">
        <is>
          <t>eureka 14,4 ha</t>
        </is>
      </c>
      <c r="H1576" s="232" t="inlineStr">
        <is>
          <t>Limon</t>
        </is>
      </c>
      <c r="I1576" s="232" t="inlineStr">
        <is>
          <t>Eureka</t>
        </is>
      </c>
      <c r="J1576" s="232" t="inlineStr">
        <is>
          <t>MATERIALES COSECHA</t>
        </is>
      </c>
      <c r="K1576" s="232" t="inlineStr">
        <is>
          <t>INSUMO ASEO</t>
        </is>
      </c>
      <c r="L1576" s="232" t="inlineStr">
        <is>
          <t>[PRORRATEO 9.7% 14.4há/148.3há] O/001316 TOALLA OVE</t>
        </is>
      </c>
      <c r="M1576" s="232" t="inlineStr"/>
      <c r="N1576" s="232" t="inlineStr">
        <is>
          <t>.   .   -</t>
        </is>
      </c>
      <c r="O1576" s="232" t="inlineStr">
        <is>
          <t>ENERO</t>
        </is>
      </c>
      <c r="P1576" s="232" t="n">
        <v>4</v>
      </c>
      <c r="Q1576" s="234" t="n">
        <v>14676</v>
      </c>
      <c r="R1576" s="232" t="inlineStr"/>
      <c r="S1576" s="234" t="n">
        <v>14676</v>
      </c>
      <c r="T1576" s="232" t="inlineStr">
        <is>
          <t>CLP</t>
        </is>
      </c>
      <c r="U1576" s="232" t="inlineStr">
        <is>
          <t>Prorrateo Ha PACKING</t>
        </is>
      </c>
      <c r="V1576" s="232" t="inlineStr">
        <is>
          <t>2026-06-18</t>
        </is>
      </c>
    </row>
    <row r="1577">
      <c r="A1577" s="232" t="inlineStr">
        <is>
          <t>CR-1574</t>
        </is>
      </c>
      <c r="B1577" s="232" t="inlineStr">
        <is>
          <t>2026/27</t>
        </is>
      </c>
      <c r="C1577" s="233" t="n">
        <v>46045</v>
      </c>
      <c r="D1577" s="232" t="inlineStr">
        <is>
          <t>674819</t>
        </is>
      </c>
      <c r="E1577" s="232" t="inlineStr">
        <is>
          <t>PRORRATEO</t>
        </is>
      </c>
      <c r="F1577" s="232" t="inlineStr">
        <is>
          <t>Santa Catalina</t>
        </is>
      </c>
      <c r="G1577" s="232" t="inlineStr">
        <is>
          <t>eureka 22,55</t>
        </is>
      </c>
      <c r="H1577" s="232" t="inlineStr">
        <is>
          <t>Limon</t>
        </is>
      </c>
      <c r="I1577" s="232" t="inlineStr">
        <is>
          <t>Eureka</t>
        </is>
      </c>
      <c r="J1577" s="232" t="inlineStr">
        <is>
          <t>MATERIALES COSECHA</t>
        </is>
      </c>
      <c r="K1577" s="232" t="inlineStr">
        <is>
          <t>INSUMO ASEO</t>
        </is>
      </c>
      <c r="L1577" s="232" t="inlineStr">
        <is>
          <t>[PRORRATEO 15.2% 22.55há/148.3há] O/001316 TOALLA OVE</t>
        </is>
      </c>
      <c r="M1577" s="232" t="inlineStr"/>
      <c r="N1577" s="232" t="inlineStr">
        <is>
          <t>.   .   -</t>
        </is>
      </c>
      <c r="O1577" s="232" t="inlineStr">
        <is>
          <t>ENERO</t>
        </is>
      </c>
      <c r="P1577" s="232" t="n">
        <v>4</v>
      </c>
      <c r="Q1577" s="234" t="n">
        <v>22982</v>
      </c>
      <c r="R1577" s="232" t="inlineStr"/>
      <c r="S1577" s="234" t="n">
        <v>22982</v>
      </c>
      <c r="T1577" s="232" t="inlineStr">
        <is>
          <t>CLP</t>
        </is>
      </c>
      <c r="U1577" s="232" t="inlineStr">
        <is>
          <t>Prorrateo Ha PACKING</t>
        </is>
      </c>
      <c r="V1577" s="232" t="inlineStr">
        <is>
          <t>2026-06-18</t>
        </is>
      </c>
    </row>
    <row r="1578">
      <c r="A1578" s="232" t="inlineStr">
        <is>
          <t>CR-1575</t>
        </is>
      </c>
      <c r="B1578" s="232" t="inlineStr">
        <is>
          <t>2026/27</t>
        </is>
      </c>
      <c r="C1578" s="233" t="n">
        <v>46045</v>
      </c>
      <c r="D1578" s="232" t="inlineStr">
        <is>
          <t>674819</t>
        </is>
      </c>
      <c r="E1578" s="232" t="inlineStr">
        <is>
          <t>PRORRATEO</t>
        </is>
      </c>
      <c r="F1578" s="232" t="inlineStr">
        <is>
          <t>Santa Catalina</t>
        </is>
      </c>
      <c r="G1578" s="232" t="inlineStr">
        <is>
          <t>form benjamin 1,93 ha</t>
        </is>
      </c>
      <c r="H1578" s="232" t="inlineStr">
        <is>
          <t>Limon</t>
        </is>
      </c>
      <c r="I1578" s="232" t="inlineStr">
        <is>
          <t>Benjamin andes</t>
        </is>
      </c>
      <c r="J1578" s="232" t="inlineStr">
        <is>
          <t>MATERIALES COSECHA</t>
        </is>
      </c>
      <c r="K1578" s="232" t="inlineStr">
        <is>
          <t>INSUMO ASEO</t>
        </is>
      </c>
      <c r="L1578" s="232" t="inlineStr">
        <is>
          <t>[PRORRATEO 1.3% 1.93há/148.3há] O/001316 TOALLA OVE</t>
        </is>
      </c>
      <c r="M1578" s="232" t="inlineStr"/>
      <c r="N1578" s="232" t="inlineStr">
        <is>
          <t>.   .   -</t>
        </is>
      </c>
      <c r="O1578" s="232" t="inlineStr">
        <is>
          <t>ENERO</t>
        </is>
      </c>
      <c r="P1578" s="232" t="n">
        <v>4</v>
      </c>
      <c r="Q1578" s="234" t="n">
        <v>1967</v>
      </c>
      <c r="R1578" s="232" t="inlineStr"/>
      <c r="S1578" s="234" t="n">
        <v>1967</v>
      </c>
      <c r="T1578" s="232" t="inlineStr">
        <is>
          <t>CLP</t>
        </is>
      </c>
      <c r="U1578" s="232" t="inlineStr">
        <is>
          <t>Prorrateo Ha PACKING</t>
        </is>
      </c>
      <c r="V1578" s="232" t="inlineStr">
        <is>
          <t>2026-06-18</t>
        </is>
      </c>
    </row>
    <row r="1579">
      <c r="A1579" s="232" t="inlineStr">
        <is>
          <t>CR-1576</t>
        </is>
      </c>
      <c r="B1579" s="232" t="inlineStr">
        <is>
          <t>2026/27</t>
        </is>
      </c>
      <c r="C1579" s="233" t="n">
        <v>46045</v>
      </c>
      <c r="D1579" s="232" t="inlineStr">
        <is>
          <t>674819</t>
        </is>
      </c>
      <c r="E1579" s="232" t="inlineStr">
        <is>
          <t>PRORRATEO</t>
        </is>
      </c>
      <c r="F1579" s="232" t="inlineStr">
        <is>
          <t>Santa Catalina</t>
        </is>
      </c>
      <c r="G1579" s="232" t="inlineStr">
        <is>
          <t>mant eureka 2,5 ha</t>
        </is>
      </c>
      <c r="H1579" s="232" t="inlineStr">
        <is>
          <t>Limon</t>
        </is>
      </c>
      <c r="I1579" s="232" t="inlineStr">
        <is>
          <t>Eureka</t>
        </is>
      </c>
      <c r="J1579" s="232" t="inlineStr">
        <is>
          <t>MATERIALES COSECHA</t>
        </is>
      </c>
      <c r="K1579" s="232" t="inlineStr">
        <is>
          <t>INSUMO ASEO</t>
        </is>
      </c>
      <c r="L1579" s="232" t="inlineStr">
        <is>
          <t>[PRORRATEO 1.7% 2.5há/148.3há] O/001316 TOALLA OVE</t>
        </is>
      </c>
      <c r="M1579" s="232" t="inlineStr"/>
      <c r="N1579" s="232" t="inlineStr">
        <is>
          <t>.   .   -</t>
        </is>
      </c>
      <c r="O1579" s="232" t="inlineStr">
        <is>
          <t>ENERO</t>
        </is>
      </c>
      <c r="P1579" s="232" t="n">
        <v>4</v>
      </c>
      <c r="Q1579" s="234" t="n">
        <v>2548</v>
      </c>
      <c r="R1579" s="232" t="inlineStr"/>
      <c r="S1579" s="234" t="n">
        <v>2548</v>
      </c>
      <c r="T1579" s="232" t="inlineStr">
        <is>
          <t>CLP</t>
        </is>
      </c>
      <c r="U1579" s="232" t="inlineStr">
        <is>
          <t>Prorrateo Ha PACKING</t>
        </is>
      </c>
      <c r="V1579" s="232" t="inlineStr">
        <is>
          <t>2026-06-18</t>
        </is>
      </c>
    </row>
    <row r="1580">
      <c r="A1580" s="232" t="inlineStr">
        <is>
          <t>CR-1577</t>
        </is>
      </c>
      <c r="B1580" s="232" t="inlineStr">
        <is>
          <t>2026/27</t>
        </is>
      </c>
      <c r="C1580" s="233" t="n">
        <v>46045</v>
      </c>
      <c r="D1580" s="232" t="inlineStr">
        <is>
          <t>674819</t>
        </is>
      </c>
      <c r="E1580" s="232" t="inlineStr">
        <is>
          <t>PRORRATEO</t>
        </is>
      </c>
      <c r="F1580" s="232" t="inlineStr">
        <is>
          <t>Siberia</t>
        </is>
      </c>
      <c r="G1580" s="232" t="inlineStr">
        <is>
          <t>S. Celebration 7,14</t>
        </is>
      </c>
      <c r="H1580" s="232" t="inlineStr">
        <is>
          <t>Uvas</t>
        </is>
      </c>
      <c r="I1580" s="232" t="inlineStr">
        <is>
          <t>S. celebration</t>
        </is>
      </c>
      <c r="J1580" s="232" t="inlineStr">
        <is>
          <t>MATERIALES COSECHA</t>
        </is>
      </c>
      <c r="K1580" s="232" t="inlineStr">
        <is>
          <t>INSUMO ASEO</t>
        </is>
      </c>
      <c r="L1580" s="232" t="inlineStr">
        <is>
          <t>[PRORRATEO 4.8% 7.14há/148.3há] O/001316 TOALLA OVE</t>
        </is>
      </c>
      <c r="M1580" s="232" t="inlineStr"/>
      <c r="N1580" s="232" t="inlineStr">
        <is>
          <t>.   .   -</t>
        </is>
      </c>
      <c r="O1580" s="232" t="inlineStr">
        <is>
          <t>ENERO</t>
        </is>
      </c>
      <c r="P1580" s="232" t="n">
        <v>4</v>
      </c>
      <c r="Q1580" s="234" t="n">
        <v>7277</v>
      </c>
      <c r="R1580" s="232" t="inlineStr"/>
      <c r="S1580" s="234" t="n">
        <v>7277</v>
      </c>
      <c r="T1580" s="232" t="inlineStr">
        <is>
          <t>CLP</t>
        </is>
      </c>
      <c r="U1580" s="232" t="inlineStr">
        <is>
          <t>Prorrateo Ha PACKING</t>
        </is>
      </c>
      <c r="V1580" s="232" t="inlineStr">
        <is>
          <t>2026-06-18</t>
        </is>
      </c>
    </row>
    <row r="1581">
      <c r="A1581" s="232" t="inlineStr">
        <is>
          <t>CR-1578</t>
        </is>
      </c>
      <c r="B1581" s="232" t="inlineStr">
        <is>
          <t>2026/27</t>
        </is>
      </c>
      <c r="C1581" s="233" t="n">
        <v>46045</v>
      </c>
      <c r="D1581" s="232" t="inlineStr">
        <is>
          <t>674819</t>
        </is>
      </c>
      <c r="E1581" s="232" t="inlineStr">
        <is>
          <t>PRORRATEO</t>
        </is>
      </c>
      <c r="F1581" s="232" t="inlineStr">
        <is>
          <t>Siberia</t>
        </is>
      </c>
      <c r="G1581" s="232" t="inlineStr">
        <is>
          <t>Timpson 7,1</t>
        </is>
      </c>
      <c r="H1581" s="232" t="inlineStr">
        <is>
          <t>Uvas</t>
        </is>
      </c>
      <c r="I1581" s="232" t="inlineStr">
        <is>
          <t>Timpson</t>
        </is>
      </c>
      <c r="J1581" s="232" t="inlineStr">
        <is>
          <t>MATERIALES COSECHA</t>
        </is>
      </c>
      <c r="K1581" s="232" t="inlineStr">
        <is>
          <t>INSUMO ASEO</t>
        </is>
      </c>
      <c r="L1581" s="232" t="inlineStr">
        <is>
          <t>[PRORRATEO 4.8% 7.1há/148.3há] O/001316 TOALLA OVE</t>
        </is>
      </c>
      <c r="M1581" s="232" t="inlineStr"/>
      <c r="N1581" s="232" t="inlineStr">
        <is>
          <t>.   .   -</t>
        </is>
      </c>
      <c r="O1581" s="232" t="inlineStr">
        <is>
          <t>ENERO</t>
        </is>
      </c>
      <c r="P1581" s="232" t="n">
        <v>4</v>
      </c>
      <c r="Q1581" s="234" t="n">
        <v>7236</v>
      </c>
      <c r="R1581" s="232" t="inlineStr"/>
      <c r="S1581" s="234" t="n">
        <v>7236</v>
      </c>
      <c r="T1581" s="232" t="inlineStr">
        <is>
          <t>CLP</t>
        </is>
      </c>
      <c r="U1581" s="232" t="inlineStr">
        <is>
          <t>Prorrateo Ha PACKING</t>
        </is>
      </c>
      <c r="V1581" s="232" t="inlineStr">
        <is>
          <t>2026-06-18</t>
        </is>
      </c>
    </row>
    <row r="1582">
      <c r="A1582" s="232" t="inlineStr">
        <is>
          <t>CR-1579</t>
        </is>
      </c>
      <c r="B1582" s="232" t="inlineStr">
        <is>
          <t>2026/27</t>
        </is>
      </c>
      <c r="C1582" s="233" t="n">
        <v>46048</v>
      </c>
      <c r="D1582" s="232" t="inlineStr">
        <is>
          <t>233074</t>
        </is>
      </c>
      <c r="E1582" s="232" t="inlineStr">
        <is>
          <t>PRORRATEO</t>
        </is>
      </c>
      <c r="F1582" s="232" t="inlineStr">
        <is>
          <t>Asmara</t>
        </is>
      </c>
      <c r="G1582" s="232" t="inlineStr">
        <is>
          <t>w. murcott 19,8 ha</t>
        </is>
      </c>
      <c r="H1582" s="232" t="inlineStr">
        <is>
          <t>Mandarina</t>
        </is>
      </c>
      <c r="I1582" s="232" t="inlineStr">
        <is>
          <t>W. murcott</t>
        </is>
      </c>
      <c r="J1582" s="232" t="inlineStr">
        <is>
          <t>GASTOS GENERALES</t>
        </is>
      </c>
      <c r="K1582" s="232" t="inlineStr">
        <is>
          <t>INSUMOS DE ASEO</t>
        </is>
      </c>
      <c r="L1582" s="232" t="inlineStr">
        <is>
          <t>[PRORRATEO 13.4% 19.8há/148.3há] O/001306 JABON GLIC</t>
        </is>
      </c>
      <c r="M1582" s="232" t="inlineStr"/>
      <c r="N1582" s="232" t="inlineStr">
        <is>
          <t>.   .   -</t>
        </is>
      </c>
      <c r="O1582" s="232" t="inlineStr">
        <is>
          <t>ENERO</t>
        </is>
      </c>
      <c r="P1582" s="232" t="n">
        <v>4</v>
      </c>
      <c r="Q1582" s="234" t="n">
        <v>10110</v>
      </c>
      <c r="R1582" s="232" t="inlineStr"/>
      <c r="S1582" s="234" t="n">
        <v>10110</v>
      </c>
      <c r="T1582" s="232" t="inlineStr">
        <is>
          <t>CLP</t>
        </is>
      </c>
      <c r="U1582" s="232" t="inlineStr">
        <is>
          <t>Prorrateo Ha PACKING</t>
        </is>
      </c>
      <c r="V1582" s="232" t="inlineStr">
        <is>
          <t>2026-06-18</t>
        </is>
      </c>
    </row>
    <row r="1583">
      <c r="A1583" s="232" t="inlineStr">
        <is>
          <t>CR-1580</t>
        </is>
      </c>
      <c r="B1583" s="232" t="inlineStr">
        <is>
          <t>2026/27</t>
        </is>
      </c>
      <c r="C1583" s="233" t="n">
        <v>46048</v>
      </c>
      <c r="D1583" s="232" t="inlineStr">
        <is>
          <t>233074</t>
        </is>
      </c>
      <c r="E1583" s="232" t="inlineStr">
        <is>
          <t>PRORRATEO</t>
        </is>
      </c>
      <c r="F1583" s="232" t="inlineStr">
        <is>
          <t>Asmara</t>
        </is>
      </c>
      <c r="G1583" s="232" t="inlineStr">
        <is>
          <t>w. murcott 4,9 ha</t>
        </is>
      </c>
      <c r="H1583" s="232" t="inlineStr">
        <is>
          <t>Mandarina</t>
        </is>
      </c>
      <c r="I1583" s="232" t="inlineStr">
        <is>
          <t>W. murcott</t>
        </is>
      </c>
      <c r="J1583" s="232" t="inlineStr">
        <is>
          <t>GASTOS GENERALES</t>
        </is>
      </c>
      <c r="K1583" s="232" t="inlineStr">
        <is>
          <t>INSUMOS DE ASEO</t>
        </is>
      </c>
      <c r="L1583" s="232" t="inlineStr">
        <is>
          <t>[PRORRATEO 3.3% 4.9há/148.3há] O/001306 JABON GLIC</t>
        </is>
      </c>
      <c r="M1583" s="232" t="inlineStr"/>
      <c r="N1583" s="232" t="inlineStr">
        <is>
          <t>.   .   -</t>
        </is>
      </c>
      <c r="O1583" s="232" t="inlineStr">
        <is>
          <t>ENERO</t>
        </is>
      </c>
      <c r="P1583" s="232" t="n">
        <v>4</v>
      </c>
      <c r="Q1583" s="234" t="n">
        <v>2502</v>
      </c>
      <c r="R1583" s="232" t="inlineStr"/>
      <c r="S1583" s="234" t="n">
        <v>2502</v>
      </c>
      <c r="T1583" s="232" t="inlineStr">
        <is>
          <t>CLP</t>
        </is>
      </c>
      <c r="U1583" s="232" t="inlineStr">
        <is>
          <t>Prorrateo Ha PACKING</t>
        </is>
      </c>
      <c r="V1583" s="232" t="inlineStr">
        <is>
          <t>2026-06-18</t>
        </is>
      </c>
    </row>
    <row r="1584">
      <c r="A1584" s="232" t="inlineStr">
        <is>
          <t>CR-1581</t>
        </is>
      </c>
      <c r="B1584" s="232" t="inlineStr">
        <is>
          <t>2026/27</t>
        </is>
      </c>
      <c r="C1584" s="233" t="n">
        <v>46048</v>
      </c>
      <c r="D1584" s="232" t="inlineStr">
        <is>
          <t>233074</t>
        </is>
      </c>
      <c r="E1584" s="232" t="inlineStr">
        <is>
          <t>PRORRATEO</t>
        </is>
      </c>
      <c r="F1584" s="232" t="inlineStr">
        <is>
          <t>El Molle</t>
        </is>
      </c>
      <c r="G1584" s="232" t="inlineStr">
        <is>
          <t>Wonderful 5,25 ha</t>
        </is>
      </c>
      <c r="H1584" s="232" t="inlineStr">
        <is>
          <t>Granados</t>
        </is>
      </c>
      <c r="I1584" s="232" t="inlineStr">
        <is>
          <t>Wonderfull</t>
        </is>
      </c>
      <c r="J1584" s="232" t="inlineStr">
        <is>
          <t>GASTOS GENERALES</t>
        </is>
      </c>
      <c r="K1584" s="232" t="inlineStr">
        <is>
          <t>INSUMOS DE ASEO</t>
        </is>
      </c>
      <c r="L1584" s="232" t="inlineStr">
        <is>
          <t>[PRORRATEO 3.5% 5.24há/148.3há] O/001306 JABON GLIC</t>
        </is>
      </c>
      <c r="M1584" s="232" t="inlineStr"/>
      <c r="N1584" s="232" t="inlineStr">
        <is>
          <t>.   .   -</t>
        </is>
      </c>
      <c r="O1584" s="232" t="inlineStr">
        <is>
          <t>ENERO</t>
        </is>
      </c>
      <c r="P1584" s="232" t="n">
        <v>4</v>
      </c>
      <c r="Q1584" s="234" t="n">
        <v>2676</v>
      </c>
      <c r="R1584" s="232" t="inlineStr"/>
      <c r="S1584" s="234" t="n">
        <v>2676</v>
      </c>
      <c r="T1584" s="232" t="inlineStr">
        <is>
          <t>CLP</t>
        </is>
      </c>
      <c r="U1584" s="232" t="inlineStr">
        <is>
          <t>Prorrateo Ha PACKING</t>
        </is>
      </c>
      <c r="V1584" s="232" t="inlineStr">
        <is>
          <t>2026-06-18</t>
        </is>
      </c>
    </row>
    <row r="1585">
      <c r="A1585" s="232" t="inlineStr">
        <is>
          <t>CR-1582</t>
        </is>
      </c>
      <c r="B1585" s="232" t="inlineStr">
        <is>
          <t>2026/27</t>
        </is>
      </c>
      <c r="C1585" s="233" t="n">
        <v>46048</v>
      </c>
      <c r="D1585" s="232" t="inlineStr">
        <is>
          <t>233074</t>
        </is>
      </c>
      <c r="E1585" s="232" t="inlineStr">
        <is>
          <t>PRORRATEO</t>
        </is>
      </c>
      <c r="F1585" s="232" t="inlineStr">
        <is>
          <t>El Molle</t>
        </is>
      </c>
      <c r="G1585" s="232" t="inlineStr">
        <is>
          <t>arrufatinas 5,74 ha</t>
        </is>
      </c>
      <c r="H1585" s="232" t="inlineStr">
        <is>
          <t>Clementinas</t>
        </is>
      </c>
      <c r="I1585" s="232" t="inlineStr">
        <is>
          <t>Arrufatinas</t>
        </is>
      </c>
      <c r="J1585" s="232" t="inlineStr">
        <is>
          <t>GASTOS GENERALES</t>
        </is>
      </c>
      <c r="K1585" s="232" t="inlineStr">
        <is>
          <t>INSUMOS DE ASEO</t>
        </is>
      </c>
      <c r="L1585" s="232" t="inlineStr">
        <is>
          <t>[PRORRATEO 3.9% 5.74há/148.3há] O/001306 JABON GLIC</t>
        </is>
      </c>
      <c r="M1585" s="232" t="inlineStr"/>
      <c r="N1585" s="232" t="inlineStr">
        <is>
          <t>.   .   -</t>
        </is>
      </c>
      <c r="O1585" s="232" t="inlineStr">
        <is>
          <t>ENERO</t>
        </is>
      </c>
      <c r="P1585" s="232" t="n">
        <v>4</v>
      </c>
      <c r="Q1585" s="234" t="n">
        <v>2931</v>
      </c>
      <c r="R1585" s="232" t="inlineStr"/>
      <c r="S1585" s="234" t="n">
        <v>2931</v>
      </c>
      <c r="T1585" s="232" t="inlineStr">
        <is>
          <t>CLP</t>
        </is>
      </c>
      <c r="U1585" s="232" t="inlineStr">
        <is>
          <t>Prorrateo Ha PACKING</t>
        </is>
      </c>
      <c r="V1585" s="232" t="inlineStr">
        <is>
          <t>2026-06-18</t>
        </is>
      </c>
    </row>
    <row r="1586">
      <c r="A1586" s="232" t="inlineStr">
        <is>
          <t>CR-1583</t>
        </is>
      </c>
      <c r="B1586" s="232" t="inlineStr">
        <is>
          <t>2026/27</t>
        </is>
      </c>
      <c r="C1586" s="233" t="n">
        <v>46048</v>
      </c>
      <c r="D1586" s="232" t="inlineStr">
        <is>
          <t>233074</t>
        </is>
      </c>
      <c r="E1586" s="232" t="inlineStr">
        <is>
          <t>PRORRATEO</t>
        </is>
      </c>
      <c r="F1586" s="232" t="inlineStr">
        <is>
          <t>El Molle</t>
        </is>
      </c>
      <c r="G1586" s="232" t="inlineStr">
        <is>
          <t>orogrande 8,11 ha</t>
        </is>
      </c>
      <c r="H1586" s="232" t="inlineStr">
        <is>
          <t>Clementinas</t>
        </is>
      </c>
      <c r="I1586" s="232" t="inlineStr">
        <is>
          <t>Orogrande</t>
        </is>
      </c>
      <c r="J1586" s="232" t="inlineStr">
        <is>
          <t>GASTOS GENERALES</t>
        </is>
      </c>
      <c r="K1586" s="232" t="inlineStr">
        <is>
          <t>INSUMOS DE ASEO</t>
        </is>
      </c>
      <c r="L1586" s="232" t="inlineStr">
        <is>
          <t>[PRORRATEO 5.5% 8.11há/148.3há] O/001306 JABON GLIC</t>
        </is>
      </c>
      <c r="M1586" s="232" t="inlineStr"/>
      <c r="N1586" s="232" t="inlineStr">
        <is>
          <t>.   .   -</t>
        </is>
      </c>
      <c r="O1586" s="232" t="inlineStr">
        <is>
          <t>ENERO</t>
        </is>
      </c>
      <c r="P1586" s="232" t="n">
        <v>4</v>
      </c>
      <c r="Q1586" s="234" t="n">
        <v>4141</v>
      </c>
      <c r="R1586" s="232" t="inlineStr"/>
      <c r="S1586" s="234" t="n">
        <v>4141</v>
      </c>
      <c r="T1586" s="232" t="inlineStr">
        <is>
          <t>CLP</t>
        </is>
      </c>
      <c r="U1586" s="232" t="inlineStr">
        <is>
          <t>Prorrateo Ha PACKING</t>
        </is>
      </c>
      <c r="V1586" s="232" t="inlineStr">
        <is>
          <t>2026-06-18</t>
        </is>
      </c>
    </row>
    <row r="1587">
      <c r="A1587" s="232" t="inlineStr">
        <is>
          <t>CR-1584</t>
        </is>
      </c>
      <c r="B1587" s="232" t="inlineStr">
        <is>
          <t>2026/27</t>
        </is>
      </c>
      <c r="C1587" s="233" t="n">
        <v>46048</v>
      </c>
      <c r="D1587" s="232" t="inlineStr">
        <is>
          <t>233074</t>
        </is>
      </c>
      <c r="E1587" s="232" t="inlineStr">
        <is>
          <t>PRORRATEO</t>
        </is>
      </c>
      <c r="F1587" s="232" t="inlineStr">
        <is>
          <t>El Molle</t>
        </is>
      </c>
      <c r="G1587" s="232" t="inlineStr">
        <is>
          <t>oronules 5,35 ha</t>
        </is>
      </c>
      <c r="H1587" s="232" t="inlineStr">
        <is>
          <t>Clementinas</t>
        </is>
      </c>
      <c r="I1587" s="232" t="inlineStr">
        <is>
          <t>Oronules</t>
        </is>
      </c>
      <c r="J1587" s="232" t="inlineStr">
        <is>
          <t>GASTOS GENERALES</t>
        </is>
      </c>
      <c r="K1587" s="232" t="inlineStr">
        <is>
          <t>INSUMOS DE ASEO</t>
        </is>
      </c>
      <c r="L1587" s="232" t="inlineStr">
        <is>
          <t>[PRORRATEO 3.6% 5.35há/148.3há] O/001306 JABON GLIC</t>
        </is>
      </c>
      <c r="M1587" s="232" t="inlineStr"/>
      <c r="N1587" s="232" t="inlineStr">
        <is>
          <t>.   .   -</t>
        </is>
      </c>
      <c r="O1587" s="232" t="inlineStr">
        <is>
          <t>ENERO</t>
        </is>
      </c>
      <c r="P1587" s="232" t="n">
        <v>4</v>
      </c>
      <c r="Q1587" s="234" t="n">
        <v>2732</v>
      </c>
      <c r="R1587" s="232" t="inlineStr"/>
      <c r="S1587" s="234" t="n">
        <v>2732</v>
      </c>
      <c r="T1587" s="232" t="inlineStr">
        <is>
          <t>CLP</t>
        </is>
      </c>
      <c r="U1587" s="232" t="inlineStr">
        <is>
          <t>Prorrateo Ha PACKING</t>
        </is>
      </c>
      <c r="V1587" s="232" t="inlineStr">
        <is>
          <t>2026-06-18</t>
        </is>
      </c>
    </row>
    <row r="1588">
      <c r="A1588" s="232" t="inlineStr">
        <is>
          <t>CR-1585</t>
        </is>
      </c>
      <c r="B1588" s="232" t="inlineStr">
        <is>
          <t>2026/27</t>
        </is>
      </c>
      <c r="C1588" s="233" t="n">
        <v>46048</v>
      </c>
      <c r="D1588" s="232" t="inlineStr">
        <is>
          <t>233074</t>
        </is>
      </c>
      <c r="E1588" s="232" t="inlineStr">
        <is>
          <t>PRORRATEO</t>
        </is>
      </c>
      <c r="F1588" s="232" t="inlineStr">
        <is>
          <t>Santa Catalina</t>
        </is>
      </c>
      <c r="G1588" s="232" t="inlineStr">
        <is>
          <t>Fino 49 7,7 ha</t>
        </is>
      </c>
      <c r="H1588" s="232" t="inlineStr">
        <is>
          <t>Limon</t>
        </is>
      </c>
      <c r="I1588" s="232" t="inlineStr">
        <is>
          <t>Fino 49</t>
        </is>
      </c>
      <c r="J1588" s="232" t="inlineStr">
        <is>
          <t>GASTOS GENERALES</t>
        </is>
      </c>
      <c r="K1588" s="232" t="inlineStr">
        <is>
          <t>INSUMOS DE ASEO</t>
        </is>
      </c>
      <c r="L1588" s="232" t="inlineStr">
        <is>
          <t>[PRORRATEO 5.2% 7.7há/148.3há] O/001306 JABON GLIC</t>
        </is>
      </c>
      <c r="M1588" s="232" t="inlineStr"/>
      <c r="N1588" s="232" t="inlineStr">
        <is>
          <t>.   .   -</t>
        </is>
      </c>
      <c r="O1588" s="232" t="inlineStr">
        <is>
          <t>ENERO</t>
        </is>
      </c>
      <c r="P1588" s="232" t="n">
        <v>4</v>
      </c>
      <c r="Q1588" s="234" t="n">
        <v>3932</v>
      </c>
      <c r="R1588" s="232" t="inlineStr"/>
      <c r="S1588" s="234" t="n">
        <v>3932</v>
      </c>
      <c r="T1588" s="232" t="inlineStr">
        <is>
          <t>CLP</t>
        </is>
      </c>
      <c r="U1588" s="232" t="inlineStr">
        <is>
          <t>Prorrateo Ha PACKING</t>
        </is>
      </c>
      <c r="V1588" s="232" t="inlineStr">
        <is>
          <t>2026-06-18</t>
        </is>
      </c>
    </row>
    <row r="1589">
      <c r="A1589" s="232" t="inlineStr">
        <is>
          <t>CR-1586</t>
        </is>
      </c>
      <c r="B1589" s="232" t="inlineStr">
        <is>
          <t>2026/27</t>
        </is>
      </c>
      <c r="C1589" s="233" t="n">
        <v>46048</v>
      </c>
      <c r="D1589" s="232" t="inlineStr">
        <is>
          <t>233074</t>
        </is>
      </c>
      <c r="E1589" s="232" t="inlineStr">
        <is>
          <t>PRORRATEO</t>
        </is>
      </c>
      <c r="F1589" s="232" t="inlineStr">
        <is>
          <t>Santa Catalina</t>
        </is>
      </c>
      <c r="G1589" s="232" t="inlineStr">
        <is>
          <t>W. murcott 21 ha</t>
        </is>
      </c>
      <c r="H1589" s="232" t="inlineStr">
        <is>
          <t>Mandarina</t>
        </is>
      </c>
      <c r="I1589" s="232" t="inlineStr">
        <is>
          <t>W. murcott</t>
        </is>
      </c>
      <c r="J1589" s="232" t="inlineStr">
        <is>
          <t>GASTOS GENERALES</t>
        </is>
      </c>
      <c r="K1589" s="232" t="inlineStr">
        <is>
          <t>INSUMOS DE ASEO</t>
        </is>
      </c>
      <c r="L1589" s="232" t="inlineStr">
        <is>
          <t>[PRORRATEO 14.2% 21.0há/148.3há] O/001306 JABON GLIC</t>
        </is>
      </c>
      <c r="M1589" s="232" t="inlineStr"/>
      <c r="N1589" s="232" t="inlineStr">
        <is>
          <t>.   .   -</t>
        </is>
      </c>
      <c r="O1589" s="232" t="inlineStr">
        <is>
          <t>ENERO</t>
        </is>
      </c>
      <c r="P1589" s="232" t="n">
        <v>4</v>
      </c>
      <c r="Q1589" s="234" t="n">
        <v>10723</v>
      </c>
      <c r="R1589" s="232" t="inlineStr"/>
      <c r="S1589" s="234" t="n">
        <v>10723</v>
      </c>
      <c r="T1589" s="232" t="inlineStr">
        <is>
          <t>CLP</t>
        </is>
      </c>
      <c r="U1589" s="232" t="inlineStr">
        <is>
          <t>Prorrateo Ha PACKING</t>
        </is>
      </c>
      <c r="V1589" s="232" t="inlineStr">
        <is>
          <t>2026-06-18</t>
        </is>
      </c>
    </row>
    <row r="1590">
      <c r="A1590" s="232" t="inlineStr">
        <is>
          <t>CR-1587</t>
        </is>
      </c>
      <c r="B1590" s="232" t="inlineStr">
        <is>
          <t>2026/27</t>
        </is>
      </c>
      <c r="C1590" s="233" t="n">
        <v>46048</v>
      </c>
      <c r="D1590" s="232" t="inlineStr">
        <is>
          <t>233074</t>
        </is>
      </c>
      <c r="E1590" s="232" t="inlineStr">
        <is>
          <t>PRORRATEO</t>
        </is>
      </c>
      <c r="F1590" s="232" t="inlineStr">
        <is>
          <t>Santa Catalina</t>
        </is>
      </c>
      <c r="G1590" s="232" t="inlineStr">
        <is>
          <t>cambria 4,2 ha</t>
        </is>
      </c>
      <c r="H1590" s="232" t="inlineStr">
        <is>
          <t>Naranjas</t>
        </is>
      </c>
      <c r="I1590" s="232" t="inlineStr">
        <is>
          <t>Cambria</t>
        </is>
      </c>
      <c r="J1590" s="232" t="inlineStr">
        <is>
          <t>GASTOS GENERALES</t>
        </is>
      </c>
      <c r="K1590" s="232" t="inlineStr">
        <is>
          <t>INSUMOS DE ASEO</t>
        </is>
      </c>
      <c r="L1590" s="232" t="inlineStr">
        <is>
          <t>[PRORRATEO 2.8% 4.2há/148.3há] O/001306 JABON GLIC</t>
        </is>
      </c>
      <c r="M1590" s="232" t="inlineStr"/>
      <c r="N1590" s="232" t="inlineStr">
        <is>
          <t>.   .   -</t>
        </is>
      </c>
      <c r="O1590" s="232" t="inlineStr">
        <is>
          <t>ENERO</t>
        </is>
      </c>
      <c r="P1590" s="232" t="n">
        <v>4</v>
      </c>
      <c r="Q1590" s="234" t="n">
        <v>2145</v>
      </c>
      <c r="R1590" s="232" t="inlineStr"/>
      <c r="S1590" s="234" t="n">
        <v>2145</v>
      </c>
      <c r="T1590" s="232" t="inlineStr">
        <is>
          <t>CLP</t>
        </is>
      </c>
      <c r="U1590" s="232" t="inlineStr">
        <is>
          <t>Prorrateo Ha PACKING</t>
        </is>
      </c>
      <c r="V1590" s="232" t="inlineStr">
        <is>
          <t>2026-06-18</t>
        </is>
      </c>
    </row>
    <row r="1591">
      <c r="A1591" s="232" t="inlineStr">
        <is>
          <t>CR-1588</t>
        </is>
      </c>
      <c r="B1591" s="232" t="inlineStr">
        <is>
          <t>2026/27</t>
        </is>
      </c>
      <c r="C1591" s="233" t="n">
        <v>46048</v>
      </c>
      <c r="D1591" s="232" t="inlineStr">
        <is>
          <t>233074</t>
        </is>
      </c>
      <c r="E1591" s="232" t="inlineStr">
        <is>
          <t>PRORRATEO</t>
        </is>
      </c>
      <c r="F1591" s="232" t="inlineStr">
        <is>
          <t>Santa Catalina</t>
        </is>
      </c>
      <c r="G1591" s="232" t="inlineStr">
        <is>
          <t>eureka 10,6 ha</t>
        </is>
      </c>
      <c r="H1591" s="232" t="inlineStr">
        <is>
          <t>Limon</t>
        </is>
      </c>
      <c r="I1591" s="232" t="inlineStr">
        <is>
          <t>Eureka</t>
        </is>
      </c>
      <c r="J1591" s="232" t="inlineStr">
        <is>
          <t>GASTOS GENERALES</t>
        </is>
      </c>
      <c r="K1591" s="232" t="inlineStr">
        <is>
          <t>INSUMOS DE ASEO</t>
        </is>
      </c>
      <c r="L1591" s="232" t="inlineStr">
        <is>
          <t>[PRORRATEO 7.1% 10.6há/148.3há] O/001306 JABON GLIC</t>
        </is>
      </c>
      <c r="M1591" s="232" t="inlineStr"/>
      <c r="N1591" s="232" t="inlineStr">
        <is>
          <t>.   .   -</t>
        </is>
      </c>
      <c r="O1591" s="232" t="inlineStr">
        <is>
          <t>ENERO</t>
        </is>
      </c>
      <c r="P1591" s="232" t="n">
        <v>4</v>
      </c>
      <c r="Q1591" s="234" t="n">
        <v>5412</v>
      </c>
      <c r="R1591" s="232" t="inlineStr"/>
      <c r="S1591" s="234" t="n">
        <v>5412</v>
      </c>
      <c r="T1591" s="232" t="inlineStr">
        <is>
          <t>CLP</t>
        </is>
      </c>
      <c r="U1591" s="232" t="inlineStr">
        <is>
          <t>Prorrateo Ha PACKING</t>
        </is>
      </c>
      <c r="V1591" s="232" t="inlineStr">
        <is>
          <t>2026-06-18</t>
        </is>
      </c>
    </row>
    <row r="1592">
      <c r="A1592" s="232" t="inlineStr">
        <is>
          <t>CR-1589</t>
        </is>
      </c>
      <c r="B1592" s="232" t="inlineStr">
        <is>
          <t>2026/27</t>
        </is>
      </c>
      <c r="C1592" s="233" t="n">
        <v>46048</v>
      </c>
      <c r="D1592" s="232" t="inlineStr">
        <is>
          <t>233074</t>
        </is>
      </c>
      <c r="E1592" s="232" t="inlineStr">
        <is>
          <t>PRORRATEO</t>
        </is>
      </c>
      <c r="F1592" s="232" t="inlineStr">
        <is>
          <t>Santa Catalina</t>
        </is>
      </c>
      <c r="G1592" s="232" t="inlineStr">
        <is>
          <t>eureka 14,4 ha</t>
        </is>
      </c>
      <c r="H1592" s="232" t="inlineStr">
        <is>
          <t>Limon</t>
        </is>
      </c>
      <c r="I1592" s="232" t="inlineStr">
        <is>
          <t>Eureka</t>
        </is>
      </c>
      <c r="J1592" s="232" t="inlineStr">
        <is>
          <t>GASTOS GENERALES</t>
        </is>
      </c>
      <c r="K1592" s="232" t="inlineStr">
        <is>
          <t>INSUMOS DE ASEO</t>
        </is>
      </c>
      <c r="L1592" s="232" t="inlineStr">
        <is>
          <t>[PRORRATEO 9.7% 14.4há/148.3há] O/001306 JABON GLIC</t>
        </is>
      </c>
      <c r="M1592" s="232" t="inlineStr"/>
      <c r="N1592" s="232" t="inlineStr">
        <is>
          <t>.   .   -</t>
        </is>
      </c>
      <c r="O1592" s="232" t="inlineStr">
        <is>
          <t>ENERO</t>
        </is>
      </c>
      <c r="P1592" s="232" t="n">
        <v>4</v>
      </c>
      <c r="Q1592" s="234" t="n">
        <v>7353</v>
      </c>
      <c r="R1592" s="232" t="inlineStr"/>
      <c r="S1592" s="234" t="n">
        <v>7353</v>
      </c>
      <c r="T1592" s="232" t="inlineStr">
        <is>
          <t>CLP</t>
        </is>
      </c>
      <c r="U1592" s="232" t="inlineStr">
        <is>
          <t>Prorrateo Ha PACKING</t>
        </is>
      </c>
      <c r="V1592" s="232" t="inlineStr">
        <is>
          <t>2026-06-18</t>
        </is>
      </c>
    </row>
    <row r="1593">
      <c r="A1593" s="232" t="inlineStr">
        <is>
          <t>CR-1590</t>
        </is>
      </c>
      <c r="B1593" s="232" t="inlineStr">
        <is>
          <t>2026/27</t>
        </is>
      </c>
      <c r="C1593" s="233" t="n">
        <v>46048</v>
      </c>
      <c r="D1593" s="232" t="inlineStr">
        <is>
          <t>233074</t>
        </is>
      </c>
      <c r="E1593" s="232" t="inlineStr">
        <is>
          <t>PRORRATEO</t>
        </is>
      </c>
      <c r="F1593" s="232" t="inlineStr">
        <is>
          <t>Santa Catalina</t>
        </is>
      </c>
      <c r="G1593" s="232" t="inlineStr">
        <is>
          <t>eureka 22,55</t>
        </is>
      </c>
      <c r="H1593" s="232" t="inlineStr">
        <is>
          <t>Limon</t>
        </is>
      </c>
      <c r="I1593" s="232" t="inlineStr">
        <is>
          <t>Eureka</t>
        </is>
      </c>
      <c r="J1593" s="232" t="inlineStr">
        <is>
          <t>GASTOS GENERALES</t>
        </is>
      </c>
      <c r="K1593" s="232" t="inlineStr">
        <is>
          <t>INSUMOS DE ASEO</t>
        </is>
      </c>
      <c r="L1593" s="232" t="inlineStr">
        <is>
          <t>[PRORRATEO 15.2% 22.55há/148.3há] O/001306 JABON GLIC</t>
        </is>
      </c>
      <c r="M1593" s="232" t="inlineStr"/>
      <c r="N1593" s="232" t="inlineStr">
        <is>
          <t>.   .   -</t>
        </is>
      </c>
      <c r="O1593" s="232" t="inlineStr">
        <is>
          <t>ENERO</t>
        </is>
      </c>
      <c r="P1593" s="232" t="n">
        <v>4</v>
      </c>
      <c r="Q1593" s="234" t="n">
        <v>11514</v>
      </c>
      <c r="R1593" s="232" t="inlineStr"/>
      <c r="S1593" s="234" t="n">
        <v>11514</v>
      </c>
      <c r="T1593" s="232" t="inlineStr">
        <is>
          <t>CLP</t>
        </is>
      </c>
      <c r="U1593" s="232" t="inlineStr">
        <is>
          <t>Prorrateo Ha PACKING</t>
        </is>
      </c>
      <c r="V1593" s="232" t="inlineStr">
        <is>
          <t>2026-06-18</t>
        </is>
      </c>
    </row>
    <row r="1594">
      <c r="A1594" s="232" t="inlineStr">
        <is>
          <t>CR-1591</t>
        </is>
      </c>
      <c r="B1594" s="232" t="inlineStr">
        <is>
          <t>2026/27</t>
        </is>
      </c>
      <c r="C1594" s="233" t="n">
        <v>46048</v>
      </c>
      <c r="D1594" s="232" t="inlineStr">
        <is>
          <t>233074</t>
        </is>
      </c>
      <c r="E1594" s="232" t="inlineStr">
        <is>
          <t>PRORRATEO</t>
        </is>
      </c>
      <c r="F1594" s="232" t="inlineStr">
        <is>
          <t>Santa Catalina</t>
        </is>
      </c>
      <c r="G1594" s="232" t="inlineStr">
        <is>
          <t>form benjamin 1,93 ha</t>
        </is>
      </c>
      <c r="H1594" s="232" t="inlineStr">
        <is>
          <t>Limon</t>
        </is>
      </c>
      <c r="I1594" s="232" t="inlineStr">
        <is>
          <t>Benjamin andes</t>
        </is>
      </c>
      <c r="J1594" s="232" t="inlineStr">
        <is>
          <t>GASTOS GENERALES</t>
        </is>
      </c>
      <c r="K1594" s="232" t="inlineStr">
        <is>
          <t>INSUMOS DE ASEO</t>
        </is>
      </c>
      <c r="L1594" s="232" t="inlineStr">
        <is>
          <t>[PRORRATEO 1.3% 1.93há/148.3há] O/001306 JABON GLIC</t>
        </is>
      </c>
      <c r="M1594" s="232" t="inlineStr"/>
      <c r="N1594" s="232" t="inlineStr">
        <is>
          <t>.   .   -</t>
        </is>
      </c>
      <c r="O1594" s="232" t="inlineStr">
        <is>
          <t>ENERO</t>
        </is>
      </c>
      <c r="P1594" s="232" t="n">
        <v>4</v>
      </c>
      <c r="Q1594" s="234" t="n">
        <v>985</v>
      </c>
      <c r="R1594" s="232" t="inlineStr"/>
      <c r="S1594" s="234" t="n">
        <v>985</v>
      </c>
      <c r="T1594" s="232" t="inlineStr">
        <is>
          <t>CLP</t>
        </is>
      </c>
      <c r="U1594" s="232" t="inlineStr">
        <is>
          <t>Prorrateo Ha PACKING</t>
        </is>
      </c>
      <c r="V1594" s="232" t="inlineStr">
        <is>
          <t>2026-06-18</t>
        </is>
      </c>
    </row>
    <row r="1595">
      <c r="A1595" s="232" t="inlineStr">
        <is>
          <t>CR-1592</t>
        </is>
      </c>
      <c r="B1595" s="232" t="inlineStr">
        <is>
          <t>2026/27</t>
        </is>
      </c>
      <c r="C1595" s="233" t="n">
        <v>46048</v>
      </c>
      <c r="D1595" s="232" t="inlineStr">
        <is>
          <t>233074</t>
        </is>
      </c>
      <c r="E1595" s="232" t="inlineStr">
        <is>
          <t>PRORRATEO</t>
        </is>
      </c>
      <c r="F1595" s="232" t="inlineStr">
        <is>
          <t>Santa Catalina</t>
        </is>
      </c>
      <c r="G1595" s="232" t="inlineStr">
        <is>
          <t>mant eureka 2,5 ha</t>
        </is>
      </c>
      <c r="H1595" s="232" t="inlineStr">
        <is>
          <t>Limon</t>
        </is>
      </c>
      <c r="I1595" s="232" t="inlineStr">
        <is>
          <t>Eureka</t>
        </is>
      </c>
      <c r="J1595" s="232" t="inlineStr">
        <is>
          <t>GASTOS GENERALES</t>
        </is>
      </c>
      <c r="K1595" s="232" t="inlineStr">
        <is>
          <t>INSUMOS DE ASEO</t>
        </is>
      </c>
      <c r="L1595" s="232" t="inlineStr">
        <is>
          <t>[PRORRATEO 1.7% 2.5há/148.3há] O/001306 JABON GLIC</t>
        </is>
      </c>
      <c r="M1595" s="232" t="inlineStr"/>
      <c r="N1595" s="232" t="inlineStr">
        <is>
          <t>.   .   -</t>
        </is>
      </c>
      <c r="O1595" s="232" t="inlineStr">
        <is>
          <t>ENERO</t>
        </is>
      </c>
      <c r="P1595" s="232" t="n">
        <v>4</v>
      </c>
      <c r="Q1595" s="234" t="n">
        <v>1277</v>
      </c>
      <c r="R1595" s="232" t="inlineStr"/>
      <c r="S1595" s="234" t="n">
        <v>1277</v>
      </c>
      <c r="T1595" s="232" t="inlineStr">
        <is>
          <t>CLP</t>
        </is>
      </c>
      <c r="U1595" s="232" t="inlineStr">
        <is>
          <t>Prorrateo Ha PACKING</t>
        </is>
      </c>
      <c r="V1595" s="232" t="inlineStr">
        <is>
          <t>2026-06-18</t>
        </is>
      </c>
    </row>
    <row r="1596">
      <c r="A1596" s="232" t="inlineStr">
        <is>
          <t>CR-1593</t>
        </is>
      </c>
      <c r="B1596" s="232" t="inlineStr">
        <is>
          <t>2026/27</t>
        </is>
      </c>
      <c r="C1596" s="233" t="n">
        <v>46048</v>
      </c>
      <c r="D1596" s="232" t="inlineStr">
        <is>
          <t>233074</t>
        </is>
      </c>
      <c r="E1596" s="232" t="inlineStr">
        <is>
          <t>PRORRATEO</t>
        </is>
      </c>
      <c r="F1596" s="232" t="inlineStr">
        <is>
          <t>Siberia</t>
        </is>
      </c>
      <c r="G1596" s="232" t="inlineStr">
        <is>
          <t>S. Celebration 7,14</t>
        </is>
      </c>
      <c r="H1596" s="232" t="inlineStr">
        <is>
          <t>Uvas</t>
        </is>
      </c>
      <c r="I1596" s="232" t="inlineStr">
        <is>
          <t>S. celebration</t>
        </is>
      </c>
      <c r="J1596" s="232" t="inlineStr">
        <is>
          <t>GASTOS GENERALES</t>
        </is>
      </c>
      <c r="K1596" s="232" t="inlineStr">
        <is>
          <t>INSUMOS DE ASEO</t>
        </is>
      </c>
      <c r="L1596" s="232" t="inlineStr">
        <is>
          <t>[PRORRATEO 4.8% 7.14há/148.3há] O/001306 JABON GLIC</t>
        </is>
      </c>
      <c r="M1596" s="232" t="inlineStr"/>
      <c r="N1596" s="232" t="inlineStr">
        <is>
          <t>.   .   -</t>
        </is>
      </c>
      <c r="O1596" s="232" t="inlineStr">
        <is>
          <t>ENERO</t>
        </is>
      </c>
      <c r="P1596" s="232" t="n">
        <v>4</v>
      </c>
      <c r="Q1596" s="234" t="n">
        <v>3646</v>
      </c>
      <c r="R1596" s="232" t="inlineStr"/>
      <c r="S1596" s="234" t="n">
        <v>3646</v>
      </c>
      <c r="T1596" s="232" t="inlineStr">
        <is>
          <t>CLP</t>
        </is>
      </c>
      <c r="U1596" s="232" t="inlineStr">
        <is>
          <t>Prorrateo Ha PACKING</t>
        </is>
      </c>
      <c r="V1596" s="232" t="inlineStr">
        <is>
          <t>2026-06-18</t>
        </is>
      </c>
    </row>
    <row r="1597">
      <c r="A1597" s="232" t="inlineStr">
        <is>
          <t>CR-1594</t>
        </is>
      </c>
      <c r="B1597" s="232" t="inlineStr">
        <is>
          <t>2026/27</t>
        </is>
      </c>
      <c r="C1597" s="233" t="n">
        <v>46048</v>
      </c>
      <c r="D1597" s="232" t="inlineStr">
        <is>
          <t>233074</t>
        </is>
      </c>
      <c r="E1597" s="232" t="inlineStr">
        <is>
          <t>PRORRATEO</t>
        </is>
      </c>
      <c r="F1597" s="232" t="inlineStr">
        <is>
          <t>Siberia</t>
        </is>
      </c>
      <c r="G1597" s="232" t="inlineStr">
        <is>
          <t>Timpson 7,1</t>
        </is>
      </c>
      <c r="H1597" s="232" t="inlineStr">
        <is>
          <t>Uvas</t>
        </is>
      </c>
      <c r="I1597" s="232" t="inlineStr">
        <is>
          <t>Timpson</t>
        </is>
      </c>
      <c r="J1597" s="232" t="inlineStr">
        <is>
          <t>GASTOS GENERALES</t>
        </is>
      </c>
      <c r="K1597" s="232" t="inlineStr">
        <is>
          <t>INSUMOS DE ASEO</t>
        </is>
      </c>
      <c r="L1597" s="232" t="inlineStr">
        <is>
          <t>[PRORRATEO 4.8% 7.1há/148.3há] O/001306 JABON GLIC</t>
        </is>
      </c>
      <c r="M1597" s="232" t="inlineStr"/>
      <c r="N1597" s="232" t="inlineStr">
        <is>
          <t>.   .   -</t>
        </is>
      </c>
      <c r="O1597" s="232" t="inlineStr">
        <is>
          <t>ENERO</t>
        </is>
      </c>
      <c r="P1597" s="232" t="n">
        <v>4</v>
      </c>
      <c r="Q1597" s="234" t="n">
        <v>3625</v>
      </c>
      <c r="R1597" s="232" t="inlineStr"/>
      <c r="S1597" s="234" t="n">
        <v>3625</v>
      </c>
      <c r="T1597" s="232" t="inlineStr">
        <is>
          <t>CLP</t>
        </is>
      </c>
      <c r="U1597" s="232" t="inlineStr">
        <is>
          <t>Prorrateo Ha PACKING</t>
        </is>
      </c>
      <c r="V1597" s="232" t="inlineStr">
        <is>
          <t>2026-06-18</t>
        </is>
      </c>
    </row>
    <row r="1598">
      <c r="A1598" s="232" t="inlineStr">
        <is>
          <t>CR-1595</t>
        </is>
      </c>
      <c r="B1598" s="232" t="inlineStr">
        <is>
          <t>2026/27</t>
        </is>
      </c>
      <c r="C1598" s="233" t="n">
        <v>46048</v>
      </c>
      <c r="D1598" s="232" t="inlineStr">
        <is>
          <t>6587</t>
        </is>
      </c>
      <c r="E1598" s="232" t="inlineStr">
        <is>
          <t>PRORRATEO</t>
        </is>
      </c>
      <c r="F1598" s="232" t="inlineStr">
        <is>
          <t>Asmara</t>
        </is>
      </c>
      <c r="G1598" s="232" t="inlineStr">
        <is>
          <t>w. murcott 19,8 ha</t>
        </is>
      </c>
      <c r="H1598" s="232" t="inlineStr">
        <is>
          <t>Mandarina</t>
        </is>
      </c>
      <c r="I1598" s="232" t="inlineStr">
        <is>
          <t>W. murcott</t>
        </is>
      </c>
      <c r="J1598" s="232" t="inlineStr">
        <is>
          <t>GASTOS GENERALES</t>
        </is>
      </c>
      <c r="K1598" s="232" t="inlineStr">
        <is>
          <t>INSUMOS BOTIQUIN</t>
        </is>
      </c>
      <c r="L1598" s="232" t="inlineStr">
        <is>
          <t>[PRORRATEO 13.4% 19.8há/148.3há] O/001280 APOSITO GA</t>
        </is>
      </c>
      <c r="M1598" s="232" t="inlineStr"/>
      <c r="N1598" s="232" t="inlineStr">
        <is>
          <t>.   .   -</t>
        </is>
      </c>
      <c r="O1598" s="232" t="inlineStr">
        <is>
          <t>ENERO</t>
        </is>
      </c>
      <c r="P1598" s="232" t="n">
        <v>4</v>
      </c>
      <c r="Q1598" s="234" t="n">
        <v>404</v>
      </c>
      <c r="R1598" s="232" t="inlineStr"/>
      <c r="S1598" s="234" t="n">
        <v>404</v>
      </c>
      <c r="T1598" s="232" t="inlineStr">
        <is>
          <t>CLP</t>
        </is>
      </c>
      <c r="U1598" s="232" t="inlineStr">
        <is>
          <t>Prorrateo Ha PACKING</t>
        </is>
      </c>
      <c r="V1598" s="232" t="inlineStr">
        <is>
          <t>2026-06-18</t>
        </is>
      </c>
    </row>
    <row r="1599">
      <c r="A1599" s="232" t="inlineStr">
        <is>
          <t>CR-1596</t>
        </is>
      </c>
      <c r="B1599" s="232" t="inlineStr">
        <is>
          <t>2026/27</t>
        </is>
      </c>
      <c r="C1599" s="233" t="n">
        <v>46048</v>
      </c>
      <c r="D1599" s="232" t="inlineStr">
        <is>
          <t>6587</t>
        </is>
      </c>
      <c r="E1599" s="232" t="inlineStr">
        <is>
          <t>PRORRATEO</t>
        </is>
      </c>
      <c r="F1599" s="232" t="inlineStr">
        <is>
          <t>Asmara</t>
        </is>
      </c>
      <c r="G1599" s="232" t="inlineStr">
        <is>
          <t>w. murcott 4,9 ha</t>
        </is>
      </c>
      <c r="H1599" s="232" t="inlineStr">
        <is>
          <t>Mandarina</t>
        </is>
      </c>
      <c r="I1599" s="232" t="inlineStr">
        <is>
          <t>W. murcott</t>
        </is>
      </c>
      <c r="J1599" s="232" t="inlineStr">
        <is>
          <t>GASTOS GENERALES</t>
        </is>
      </c>
      <c r="K1599" s="232" t="inlineStr">
        <is>
          <t>INSUMOS BOTIQUIN</t>
        </is>
      </c>
      <c r="L1599" s="232" t="inlineStr">
        <is>
          <t>[PRORRATEO 3.3% 4.9há/148.3há] O/001280 APOSITO GA</t>
        </is>
      </c>
      <c r="M1599" s="232" t="inlineStr"/>
      <c r="N1599" s="232" t="inlineStr">
        <is>
          <t>.   .   -</t>
        </is>
      </c>
      <c r="O1599" s="232" t="inlineStr">
        <is>
          <t>ENERO</t>
        </is>
      </c>
      <c r="P1599" s="232" t="n">
        <v>4</v>
      </c>
      <c r="Q1599" s="234" t="n">
        <v>100</v>
      </c>
      <c r="R1599" s="232" t="inlineStr"/>
      <c r="S1599" s="234" t="n">
        <v>100</v>
      </c>
      <c r="T1599" s="232" t="inlineStr">
        <is>
          <t>CLP</t>
        </is>
      </c>
      <c r="U1599" s="232" t="inlineStr">
        <is>
          <t>Prorrateo Ha PACKING</t>
        </is>
      </c>
      <c r="V1599" s="232" t="inlineStr">
        <is>
          <t>2026-06-18</t>
        </is>
      </c>
    </row>
    <row r="1600">
      <c r="A1600" s="232" t="inlineStr">
        <is>
          <t>CR-1597</t>
        </is>
      </c>
      <c r="B1600" s="232" t="inlineStr">
        <is>
          <t>2026/27</t>
        </is>
      </c>
      <c r="C1600" s="233" t="n">
        <v>46048</v>
      </c>
      <c r="D1600" s="232" t="inlineStr">
        <is>
          <t>6587</t>
        </is>
      </c>
      <c r="E1600" s="232" t="inlineStr">
        <is>
          <t>PRORRATEO</t>
        </is>
      </c>
      <c r="F1600" s="232" t="inlineStr">
        <is>
          <t>El Molle</t>
        </is>
      </c>
      <c r="G1600" s="232" t="inlineStr">
        <is>
          <t>Wonderful 5,25 ha</t>
        </is>
      </c>
      <c r="H1600" s="232" t="inlineStr">
        <is>
          <t>Granados</t>
        </is>
      </c>
      <c r="I1600" s="232" t="inlineStr">
        <is>
          <t>Wonderfull</t>
        </is>
      </c>
      <c r="J1600" s="232" t="inlineStr">
        <is>
          <t>GASTOS GENERALES</t>
        </is>
      </c>
      <c r="K1600" s="232" t="inlineStr">
        <is>
          <t>INSUMOS BOTIQUIN</t>
        </is>
      </c>
      <c r="L1600" s="232" t="inlineStr">
        <is>
          <t>[PRORRATEO 3.5% 5.24há/148.3há] O/001280 APOSITO GA</t>
        </is>
      </c>
      <c r="M1600" s="232" t="inlineStr"/>
      <c r="N1600" s="232" t="inlineStr">
        <is>
          <t>.   .   -</t>
        </is>
      </c>
      <c r="O1600" s="232" t="inlineStr">
        <is>
          <t>ENERO</t>
        </is>
      </c>
      <c r="P1600" s="232" t="n">
        <v>4</v>
      </c>
      <c r="Q1600" s="234" t="n">
        <v>107</v>
      </c>
      <c r="R1600" s="232" t="inlineStr"/>
      <c r="S1600" s="234" t="n">
        <v>107</v>
      </c>
      <c r="T1600" s="232" t="inlineStr">
        <is>
          <t>CLP</t>
        </is>
      </c>
      <c r="U1600" s="232" t="inlineStr">
        <is>
          <t>Prorrateo Ha PACKING</t>
        </is>
      </c>
      <c r="V1600" s="232" t="inlineStr">
        <is>
          <t>2026-06-18</t>
        </is>
      </c>
    </row>
    <row r="1601">
      <c r="A1601" s="232" t="inlineStr">
        <is>
          <t>CR-1598</t>
        </is>
      </c>
      <c r="B1601" s="232" t="inlineStr">
        <is>
          <t>2026/27</t>
        </is>
      </c>
      <c r="C1601" s="233" t="n">
        <v>46048</v>
      </c>
      <c r="D1601" s="232" t="inlineStr">
        <is>
          <t>6587</t>
        </is>
      </c>
      <c r="E1601" s="232" t="inlineStr">
        <is>
          <t>PRORRATEO</t>
        </is>
      </c>
      <c r="F1601" s="232" t="inlineStr">
        <is>
          <t>El Molle</t>
        </is>
      </c>
      <c r="G1601" s="232" t="inlineStr">
        <is>
          <t>arrufatinas 5,74 ha</t>
        </is>
      </c>
      <c r="H1601" s="232" t="inlineStr">
        <is>
          <t>Clementinas</t>
        </is>
      </c>
      <c r="I1601" s="232" t="inlineStr">
        <is>
          <t>Arrufatinas</t>
        </is>
      </c>
      <c r="J1601" s="232" t="inlineStr">
        <is>
          <t>GASTOS GENERALES</t>
        </is>
      </c>
      <c r="K1601" s="232" t="inlineStr">
        <is>
          <t>INSUMOS BOTIQUIN</t>
        </is>
      </c>
      <c r="L1601" s="232" t="inlineStr">
        <is>
          <t>[PRORRATEO 3.9% 5.74há/148.3há] O/001280 APOSITO GA</t>
        </is>
      </c>
      <c r="M1601" s="232" t="inlineStr"/>
      <c r="N1601" s="232" t="inlineStr">
        <is>
          <t>.   .   -</t>
        </is>
      </c>
      <c r="O1601" s="232" t="inlineStr">
        <is>
          <t>ENERO</t>
        </is>
      </c>
      <c r="P1601" s="232" t="n">
        <v>4</v>
      </c>
      <c r="Q1601" s="234" t="n">
        <v>117</v>
      </c>
      <c r="R1601" s="232" t="inlineStr"/>
      <c r="S1601" s="234" t="n">
        <v>117</v>
      </c>
      <c r="T1601" s="232" t="inlineStr">
        <is>
          <t>CLP</t>
        </is>
      </c>
      <c r="U1601" s="232" t="inlineStr">
        <is>
          <t>Prorrateo Ha PACKING</t>
        </is>
      </c>
      <c r="V1601" s="232" t="inlineStr">
        <is>
          <t>2026-06-18</t>
        </is>
      </c>
    </row>
    <row r="1602">
      <c r="A1602" s="232" t="inlineStr">
        <is>
          <t>CR-1599</t>
        </is>
      </c>
      <c r="B1602" s="232" t="inlineStr">
        <is>
          <t>2026/27</t>
        </is>
      </c>
      <c r="C1602" s="233" t="n">
        <v>46048</v>
      </c>
      <c r="D1602" s="232" t="inlineStr">
        <is>
          <t>6587</t>
        </is>
      </c>
      <c r="E1602" s="232" t="inlineStr">
        <is>
          <t>PRORRATEO</t>
        </is>
      </c>
      <c r="F1602" s="232" t="inlineStr">
        <is>
          <t>El Molle</t>
        </is>
      </c>
      <c r="G1602" s="232" t="inlineStr">
        <is>
          <t>orogrande 8,11 ha</t>
        </is>
      </c>
      <c r="H1602" s="232" t="inlineStr">
        <is>
          <t>Clementinas</t>
        </is>
      </c>
      <c r="I1602" s="232" t="inlineStr">
        <is>
          <t>Orogrande</t>
        </is>
      </c>
      <c r="J1602" s="232" t="inlineStr">
        <is>
          <t>GASTOS GENERALES</t>
        </is>
      </c>
      <c r="K1602" s="232" t="inlineStr">
        <is>
          <t>INSUMOS BOTIQUIN</t>
        </is>
      </c>
      <c r="L1602" s="232" t="inlineStr">
        <is>
          <t>[PRORRATEO 5.5% 8.11há/148.3há] O/001280 APOSITO GA</t>
        </is>
      </c>
      <c r="M1602" s="232" t="inlineStr"/>
      <c r="N1602" s="232" t="inlineStr">
        <is>
          <t>.   .   -</t>
        </is>
      </c>
      <c r="O1602" s="232" t="inlineStr">
        <is>
          <t>ENERO</t>
        </is>
      </c>
      <c r="P1602" s="232" t="n">
        <v>4</v>
      </c>
      <c r="Q1602" s="234" t="n">
        <v>165</v>
      </c>
      <c r="R1602" s="232" t="inlineStr"/>
      <c r="S1602" s="234" t="n">
        <v>165</v>
      </c>
      <c r="T1602" s="232" t="inlineStr">
        <is>
          <t>CLP</t>
        </is>
      </c>
      <c r="U1602" s="232" t="inlineStr">
        <is>
          <t>Prorrateo Ha PACKING</t>
        </is>
      </c>
      <c r="V1602" s="232" t="inlineStr">
        <is>
          <t>2026-06-18</t>
        </is>
      </c>
    </row>
    <row r="1603">
      <c r="A1603" s="232" t="inlineStr">
        <is>
          <t>CR-1600</t>
        </is>
      </c>
      <c r="B1603" s="232" t="inlineStr">
        <is>
          <t>2026/27</t>
        </is>
      </c>
      <c r="C1603" s="233" t="n">
        <v>46048</v>
      </c>
      <c r="D1603" s="232" t="inlineStr">
        <is>
          <t>6587</t>
        </is>
      </c>
      <c r="E1603" s="232" t="inlineStr">
        <is>
          <t>PRORRATEO</t>
        </is>
      </c>
      <c r="F1603" s="232" t="inlineStr">
        <is>
          <t>El Molle</t>
        </is>
      </c>
      <c r="G1603" s="232" t="inlineStr">
        <is>
          <t>oronules 5,35 ha</t>
        </is>
      </c>
      <c r="H1603" s="232" t="inlineStr">
        <is>
          <t>Clementinas</t>
        </is>
      </c>
      <c r="I1603" s="232" t="inlineStr">
        <is>
          <t>Oronules</t>
        </is>
      </c>
      <c r="J1603" s="232" t="inlineStr">
        <is>
          <t>GASTOS GENERALES</t>
        </is>
      </c>
      <c r="K1603" s="232" t="inlineStr">
        <is>
          <t>INSUMOS BOTIQUIN</t>
        </is>
      </c>
      <c r="L1603" s="232" t="inlineStr">
        <is>
          <t>[PRORRATEO 3.6% 5.35há/148.3há] O/001280 APOSITO GA</t>
        </is>
      </c>
      <c r="M1603" s="232" t="inlineStr"/>
      <c r="N1603" s="232" t="inlineStr">
        <is>
          <t>.   .   -</t>
        </is>
      </c>
      <c r="O1603" s="232" t="inlineStr">
        <is>
          <t>ENERO</t>
        </is>
      </c>
      <c r="P1603" s="232" t="n">
        <v>4</v>
      </c>
      <c r="Q1603" s="234" t="n">
        <v>109</v>
      </c>
      <c r="R1603" s="232" t="inlineStr"/>
      <c r="S1603" s="234" t="n">
        <v>109</v>
      </c>
      <c r="T1603" s="232" t="inlineStr">
        <is>
          <t>CLP</t>
        </is>
      </c>
      <c r="U1603" s="232" t="inlineStr">
        <is>
          <t>Prorrateo Ha PACKING</t>
        </is>
      </c>
      <c r="V1603" s="232" t="inlineStr">
        <is>
          <t>2026-06-18</t>
        </is>
      </c>
    </row>
    <row r="1604">
      <c r="A1604" s="232" t="inlineStr">
        <is>
          <t>CR-1601</t>
        </is>
      </c>
      <c r="B1604" s="232" t="inlineStr">
        <is>
          <t>2026/27</t>
        </is>
      </c>
      <c r="C1604" s="233" t="n">
        <v>46048</v>
      </c>
      <c r="D1604" s="232" t="inlineStr">
        <is>
          <t>6587</t>
        </is>
      </c>
      <c r="E1604" s="232" t="inlineStr">
        <is>
          <t>PRORRATEO</t>
        </is>
      </c>
      <c r="F1604" s="232" t="inlineStr">
        <is>
          <t>Santa Catalina</t>
        </is>
      </c>
      <c r="G1604" s="232" t="inlineStr">
        <is>
          <t>Fino 49 7,7 ha</t>
        </is>
      </c>
      <c r="H1604" s="232" t="inlineStr">
        <is>
          <t>Limon</t>
        </is>
      </c>
      <c r="I1604" s="232" t="inlineStr">
        <is>
          <t>Fino 49</t>
        </is>
      </c>
      <c r="J1604" s="232" t="inlineStr">
        <is>
          <t>GASTOS GENERALES</t>
        </is>
      </c>
      <c r="K1604" s="232" t="inlineStr">
        <is>
          <t>INSUMOS BOTIQUIN</t>
        </is>
      </c>
      <c r="L1604" s="232" t="inlineStr">
        <is>
          <t>[PRORRATEO 5.2% 7.7há/148.3há] O/001280 APOSITO GA</t>
        </is>
      </c>
      <c r="M1604" s="232" t="inlineStr"/>
      <c r="N1604" s="232" t="inlineStr">
        <is>
          <t>.   .   -</t>
        </is>
      </c>
      <c r="O1604" s="232" t="inlineStr">
        <is>
          <t>ENERO</t>
        </is>
      </c>
      <c r="P1604" s="232" t="n">
        <v>4</v>
      </c>
      <c r="Q1604" s="234" t="n">
        <v>157</v>
      </c>
      <c r="R1604" s="232" t="inlineStr"/>
      <c r="S1604" s="234" t="n">
        <v>157</v>
      </c>
      <c r="T1604" s="232" t="inlineStr">
        <is>
          <t>CLP</t>
        </is>
      </c>
      <c r="U1604" s="232" t="inlineStr">
        <is>
          <t>Prorrateo Ha PACKING</t>
        </is>
      </c>
      <c r="V1604" s="232" t="inlineStr">
        <is>
          <t>2026-06-18</t>
        </is>
      </c>
    </row>
    <row r="1605">
      <c r="A1605" s="232" t="inlineStr">
        <is>
          <t>CR-1602</t>
        </is>
      </c>
      <c r="B1605" s="232" t="inlineStr">
        <is>
          <t>2026/27</t>
        </is>
      </c>
      <c r="C1605" s="233" t="n">
        <v>46048</v>
      </c>
      <c r="D1605" s="232" t="inlineStr">
        <is>
          <t>6587</t>
        </is>
      </c>
      <c r="E1605" s="232" t="inlineStr">
        <is>
          <t>PRORRATEO</t>
        </is>
      </c>
      <c r="F1605" s="232" t="inlineStr">
        <is>
          <t>Santa Catalina</t>
        </is>
      </c>
      <c r="G1605" s="232" t="inlineStr">
        <is>
          <t>W. murcott 21 ha</t>
        </is>
      </c>
      <c r="H1605" s="232" t="inlineStr">
        <is>
          <t>Mandarina</t>
        </is>
      </c>
      <c r="I1605" s="232" t="inlineStr">
        <is>
          <t>W. murcott</t>
        </is>
      </c>
      <c r="J1605" s="232" t="inlineStr">
        <is>
          <t>GASTOS GENERALES</t>
        </is>
      </c>
      <c r="K1605" s="232" t="inlineStr">
        <is>
          <t>INSUMOS BOTIQUIN</t>
        </is>
      </c>
      <c r="L1605" s="232" t="inlineStr">
        <is>
          <t>[PRORRATEO 14.2% 21.0há/148.3há] O/001280 APOSITO GA</t>
        </is>
      </c>
      <c r="M1605" s="232" t="inlineStr"/>
      <c r="N1605" s="232" t="inlineStr">
        <is>
          <t>.   .   -</t>
        </is>
      </c>
      <c r="O1605" s="232" t="inlineStr">
        <is>
          <t>ENERO</t>
        </is>
      </c>
      <c r="P1605" s="232" t="n">
        <v>4</v>
      </c>
      <c r="Q1605" s="234" t="n">
        <v>428</v>
      </c>
      <c r="R1605" s="232" t="inlineStr"/>
      <c r="S1605" s="234" t="n">
        <v>428</v>
      </c>
      <c r="T1605" s="232" t="inlineStr">
        <is>
          <t>CLP</t>
        </is>
      </c>
      <c r="U1605" s="232" t="inlineStr">
        <is>
          <t>Prorrateo Ha PACKING</t>
        </is>
      </c>
      <c r="V1605" s="232" t="inlineStr">
        <is>
          <t>2026-06-18</t>
        </is>
      </c>
    </row>
    <row r="1606">
      <c r="A1606" s="232" t="inlineStr">
        <is>
          <t>CR-1603</t>
        </is>
      </c>
      <c r="B1606" s="232" t="inlineStr">
        <is>
          <t>2026/27</t>
        </is>
      </c>
      <c r="C1606" s="233" t="n">
        <v>46048</v>
      </c>
      <c r="D1606" s="232" t="inlineStr">
        <is>
          <t>6587</t>
        </is>
      </c>
      <c r="E1606" s="232" t="inlineStr">
        <is>
          <t>PRORRATEO</t>
        </is>
      </c>
      <c r="F1606" s="232" t="inlineStr">
        <is>
          <t>Santa Catalina</t>
        </is>
      </c>
      <c r="G1606" s="232" t="inlineStr">
        <is>
          <t>cambria 4,2 ha</t>
        </is>
      </c>
      <c r="H1606" s="232" t="inlineStr">
        <is>
          <t>Naranjas</t>
        </is>
      </c>
      <c r="I1606" s="232" t="inlineStr">
        <is>
          <t>Cambria</t>
        </is>
      </c>
      <c r="J1606" s="232" t="inlineStr">
        <is>
          <t>GASTOS GENERALES</t>
        </is>
      </c>
      <c r="K1606" s="232" t="inlineStr">
        <is>
          <t>INSUMOS BOTIQUIN</t>
        </is>
      </c>
      <c r="L1606" s="232" t="inlineStr">
        <is>
          <t>[PRORRATEO 2.8% 4.2há/148.3há] O/001280 APOSITO GA</t>
        </is>
      </c>
      <c r="M1606" s="232" t="inlineStr"/>
      <c r="N1606" s="232" t="inlineStr">
        <is>
          <t>.   .   -</t>
        </is>
      </c>
      <c r="O1606" s="232" t="inlineStr">
        <is>
          <t>ENERO</t>
        </is>
      </c>
      <c r="P1606" s="232" t="n">
        <v>4</v>
      </c>
      <c r="Q1606" s="234" t="n">
        <v>86</v>
      </c>
      <c r="R1606" s="232" t="inlineStr"/>
      <c r="S1606" s="234" t="n">
        <v>86</v>
      </c>
      <c r="T1606" s="232" t="inlineStr">
        <is>
          <t>CLP</t>
        </is>
      </c>
      <c r="U1606" s="232" t="inlineStr">
        <is>
          <t>Prorrateo Ha PACKING</t>
        </is>
      </c>
      <c r="V1606" s="232" t="inlineStr">
        <is>
          <t>2026-06-18</t>
        </is>
      </c>
    </row>
    <row r="1607">
      <c r="A1607" s="232" t="inlineStr">
        <is>
          <t>CR-1604</t>
        </is>
      </c>
      <c r="B1607" s="232" t="inlineStr">
        <is>
          <t>2026/27</t>
        </is>
      </c>
      <c r="C1607" s="233" t="n">
        <v>46048</v>
      </c>
      <c r="D1607" s="232" t="inlineStr">
        <is>
          <t>6587</t>
        </is>
      </c>
      <c r="E1607" s="232" t="inlineStr">
        <is>
          <t>PRORRATEO</t>
        </is>
      </c>
      <c r="F1607" s="232" t="inlineStr">
        <is>
          <t>Santa Catalina</t>
        </is>
      </c>
      <c r="G1607" s="232" t="inlineStr">
        <is>
          <t>eureka 10,6 ha</t>
        </is>
      </c>
      <c r="H1607" s="232" t="inlineStr">
        <is>
          <t>Limon</t>
        </is>
      </c>
      <c r="I1607" s="232" t="inlineStr">
        <is>
          <t>Eureka</t>
        </is>
      </c>
      <c r="J1607" s="232" t="inlineStr">
        <is>
          <t>GASTOS GENERALES</t>
        </is>
      </c>
      <c r="K1607" s="232" t="inlineStr">
        <is>
          <t>INSUMOS BOTIQUIN</t>
        </is>
      </c>
      <c r="L1607" s="232" t="inlineStr">
        <is>
          <t>[PRORRATEO 7.1% 10.6há/148.3há] O/001280 APOSITO GA</t>
        </is>
      </c>
      <c r="M1607" s="232" t="inlineStr"/>
      <c r="N1607" s="232" t="inlineStr">
        <is>
          <t>.   .   -</t>
        </is>
      </c>
      <c r="O1607" s="232" t="inlineStr">
        <is>
          <t>ENERO</t>
        </is>
      </c>
      <c r="P1607" s="232" t="n">
        <v>4</v>
      </c>
      <c r="Q1607" s="234" t="n">
        <v>216</v>
      </c>
      <c r="R1607" s="232" t="inlineStr"/>
      <c r="S1607" s="234" t="n">
        <v>216</v>
      </c>
      <c r="T1607" s="232" t="inlineStr">
        <is>
          <t>CLP</t>
        </is>
      </c>
      <c r="U1607" s="232" t="inlineStr">
        <is>
          <t>Prorrateo Ha PACKING</t>
        </is>
      </c>
      <c r="V1607" s="232" t="inlineStr">
        <is>
          <t>2026-06-18</t>
        </is>
      </c>
    </row>
    <row r="1608">
      <c r="A1608" s="232" t="inlineStr">
        <is>
          <t>CR-1605</t>
        </is>
      </c>
      <c r="B1608" s="232" t="inlineStr">
        <is>
          <t>2026/27</t>
        </is>
      </c>
      <c r="C1608" s="233" t="n">
        <v>46048</v>
      </c>
      <c r="D1608" s="232" t="inlineStr">
        <is>
          <t>6587</t>
        </is>
      </c>
      <c r="E1608" s="232" t="inlineStr">
        <is>
          <t>PRORRATEO</t>
        </is>
      </c>
      <c r="F1608" s="232" t="inlineStr">
        <is>
          <t>Santa Catalina</t>
        </is>
      </c>
      <c r="G1608" s="232" t="inlineStr">
        <is>
          <t>eureka 14,4 ha</t>
        </is>
      </c>
      <c r="H1608" s="232" t="inlineStr">
        <is>
          <t>Limon</t>
        </is>
      </c>
      <c r="I1608" s="232" t="inlineStr">
        <is>
          <t>Eureka</t>
        </is>
      </c>
      <c r="J1608" s="232" t="inlineStr">
        <is>
          <t>GASTOS GENERALES</t>
        </is>
      </c>
      <c r="K1608" s="232" t="inlineStr">
        <is>
          <t>INSUMOS BOTIQUIN</t>
        </is>
      </c>
      <c r="L1608" s="232" t="inlineStr">
        <is>
          <t>[PRORRATEO 9.7% 14.4há/148.3há] O/001280 APOSITO GA</t>
        </is>
      </c>
      <c r="M1608" s="232" t="inlineStr"/>
      <c r="N1608" s="232" t="inlineStr">
        <is>
          <t>.   .   -</t>
        </is>
      </c>
      <c r="O1608" s="232" t="inlineStr">
        <is>
          <t>ENERO</t>
        </is>
      </c>
      <c r="P1608" s="232" t="n">
        <v>4</v>
      </c>
      <c r="Q1608" s="234" t="n">
        <v>294</v>
      </c>
      <c r="R1608" s="232" t="inlineStr"/>
      <c r="S1608" s="234" t="n">
        <v>294</v>
      </c>
      <c r="T1608" s="232" t="inlineStr">
        <is>
          <t>CLP</t>
        </is>
      </c>
      <c r="U1608" s="232" t="inlineStr">
        <is>
          <t>Prorrateo Ha PACKING</t>
        </is>
      </c>
      <c r="V1608" s="232" t="inlineStr">
        <is>
          <t>2026-06-18</t>
        </is>
      </c>
    </row>
    <row r="1609">
      <c r="A1609" s="232" t="inlineStr">
        <is>
          <t>CR-1606</t>
        </is>
      </c>
      <c r="B1609" s="232" t="inlineStr">
        <is>
          <t>2026/27</t>
        </is>
      </c>
      <c r="C1609" s="233" t="n">
        <v>46048</v>
      </c>
      <c r="D1609" s="232" t="inlineStr">
        <is>
          <t>6587</t>
        </is>
      </c>
      <c r="E1609" s="232" t="inlineStr">
        <is>
          <t>PRORRATEO</t>
        </is>
      </c>
      <c r="F1609" s="232" t="inlineStr">
        <is>
          <t>Santa Catalina</t>
        </is>
      </c>
      <c r="G1609" s="232" t="inlineStr">
        <is>
          <t>eureka 22,55</t>
        </is>
      </c>
      <c r="H1609" s="232" t="inlineStr">
        <is>
          <t>Limon</t>
        </is>
      </c>
      <c r="I1609" s="232" t="inlineStr">
        <is>
          <t>Eureka</t>
        </is>
      </c>
      <c r="J1609" s="232" t="inlineStr">
        <is>
          <t>GASTOS GENERALES</t>
        </is>
      </c>
      <c r="K1609" s="232" t="inlineStr">
        <is>
          <t>INSUMOS BOTIQUIN</t>
        </is>
      </c>
      <c r="L1609" s="232" t="inlineStr">
        <is>
          <t>[PRORRATEO 15.2% 22.55há/148.3há] O/001280 APOSITO GA</t>
        </is>
      </c>
      <c r="M1609" s="232" t="inlineStr"/>
      <c r="N1609" s="232" t="inlineStr">
        <is>
          <t>.   .   -</t>
        </is>
      </c>
      <c r="O1609" s="232" t="inlineStr">
        <is>
          <t>ENERO</t>
        </is>
      </c>
      <c r="P1609" s="232" t="n">
        <v>4</v>
      </c>
      <c r="Q1609" s="234" t="n">
        <v>460</v>
      </c>
      <c r="R1609" s="232" t="inlineStr"/>
      <c r="S1609" s="234" t="n">
        <v>460</v>
      </c>
      <c r="T1609" s="232" t="inlineStr">
        <is>
          <t>CLP</t>
        </is>
      </c>
      <c r="U1609" s="232" t="inlineStr">
        <is>
          <t>Prorrateo Ha PACKING</t>
        </is>
      </c>
      <c r="V1609" s="232" t="inlineStr">
        <is>
          <t>2026-06-18</t>
        </is>
      </c>
    </row>
    <row r="1610">
      <c r="A1610" s="232" t="inlineStr">
        <is>
          <t>CR-1607</t>
        </is>
      </c>
      <c r="B1610" s="232" t="inlineStr">
        <is>
          <t>2026/27</t>
        </is>
      </c>
      <c r="C1610" s="233" t="n">
        <v>46048</v>
      </c>
      <c r="D1610" s="232" t="inlineStr">
        <is>
          <t>6587</t>
        </is>
      </c>
      <c r="E1610" s="232" t="inlineStr">
        <is>
          <t>PRORRATEO</t>
        </is>
      </c>
      <c r="F1610" s="232" t="inlineStr">
        <is>
          <t>Santa Catalina</t>
        </is>
      </c>
      <c r="G1610" s="232" t="inlineStr">
        <is>
          <t>form benjamin 1,93 ha</t>
        </is>
      </c>
      <c r="H1610" s="232" t="inlineStr">
        <is>
          <t>Limon</t>
        </is>
      </c>
      <c r="I1610" s="232" t="inlineStr">
        <is>
          <t>Benjamin andes</t>
        </is>
      </c>
      <c r="J1610" s="232" t="inlineStr">
        <is>
          <t>GASTOS GENERALES</t>
        </is>
      </c>
      <c r="K1610" s="232" t="inlineStr">
        <is>
          <t>INSUMOS BOTIQUIN</t>
        </is>
      </c>
      <c r="L1610" s="232" t="inlineStr">
        <is>
          <t>[PRORRATEO 1.3% 1.93há/148.3há] O/001280 APOSITO GA</t>
        </is>
      </c>
      <c r="M1610" s="232" t="inlineStr"/>
      <c r="N1610" s="232" t="inlineStr">
        <is>
          <t>.   .   -</t>
        </is>
      </c>
      <c r="O1610" s="232" t="inlineStr">
        <is>
          <t>ENERO</t>
        </is>
      </c>
      <c r="P1610" s="232" t="n">
        <v>4</v>
      </c>
      <c r="Q1610" s="234" t="n">
        <v>39</v>
      </c>
      <c r="R1610" s="232" t="inlineStr"/>
      <c r="S1610" s="234" t="n">
        <v>39</v>
      </c>
      <c r="T1610" s="232" t="inlineStr">
        <is>
          <t>CLP</t>
        </is>
      </c>
      <c r="U1610" s="232" t="inlineStr">
        <is>
          <t>Prorrateo Ha PACKING</t>
        </is>
      </c>
      <c r="V1610" s="232" t="inlineStr">
        <is>
          <t>2026-06-18</t>
        </is>
      </c>
    </row>
    <row r="1611">
      <c r="A1611" s="232" t="inlineStr">
        <is>
          <t>CR-1608</t>
        </is>
      </c>
      <c r="B1611" s="232" t="inlineStr">
        <is>
          <t>2026/27</t>
        </is>
      </c>
      <c r="C1611" s="233" t="n">
        <v>46048</v>
      </c>
      <c r="D1611" s="232" t="inlineStr">
        <is>
          <t>6587</t>
        </is>
      </c>
      <c r="E1611" s="232" t="inlineStr">
        <is>
          <t>PRORRATEO</t>
        </is>
      </c>
      <c r="F1611" s="232" t="inlineStr">
        <is>
          <t>Santa Catalina</t>
        </is>
      </c>
      <c r="G1611" s="232" t="inlineStr">
        <is>
          <t>mant eureka 2,5 ha</t>
        </is>
      </c>
      <c r="H1611" s="232" t="inlineStr">
        <is>
          <t>Limon</t>
        </is>
      </c>
      <c r="I1611" s="232" t="inlineStr">
        <is>
          <t>Eureka</t>
        </is>
      </c>
      <c r="J1611" s="232" t="inlineStr">
        <is>
          <t>GASTOS GENERALES</t>
        </is>
      </c>
      <c r="K1611" s="232" t="inlineStr">
        <is>
          <t>INSUMOS BOTIQUIN</t>
        </is>
      </c>
      <c r="L1611" s="232" t="inlineStr">
        <is>
          <t>[PRORRATEO 1.7% 2.5há/148.3há] O/001280 APOSITO GA</t>
        </is>
      </c>
      <c r="M1611" s="232" t="inlineStr"/>
      <c r="N1611" s="232" t="inlineStr">
        <is>
          <t>.   .   -</t>
        </is>
      </c>
      <c r="O1611" s="232" t="inlineStr">
        <is>
          <t>ENERO</t>
        </is>
      </c>
      <c r="P1611" s="232" t="n">
        <v>4</v>
      </c>
      <c r="Q1611" s="234" t="n">
        <v>51</v>
      </c>
      <c r="R1611" s="232" t="inlineStr"/>
      <c r="S1611" s="234" t="n">
        <v>51</v>
      </c>
      <c r="T1611" s="232" t="inlineStr">
        <is>
          <t>CLP</t>
        </is>
      </c>
      <c r="U1611" s="232" t="inlineStr">
        <is>
          <t>Prorrateo Ha PACKING</t>
        </is>
      </c>
      <c r="V1611" s="232" t="inlineStr">
        <is>
          <t>2026-06-18</t>
        </is>
      </c>
    </row>
    <row r="1612">
      <c r="A1612" s="232" t="inlineStr">
        <is>
          <t>CR-1609</t>
        </is>
      </c>
      <c r="B1612" s="232" t="inlineStr">
        <is>
          <t>2026/27</t>
        </is>
      </c>
      <c r="C1612" s="233" t="n">
        <v>46048</v>
      </c>
      <c r="D1612" s="232" t="inlineStr">
        <is>
          <t>6587</t>
        </is>
      </c>
      <c r="E1612" s="232" t="inlineStr">
        <is>
          <t>PRORRATEO</t>
        </is>
      </c>
      <c r="F1612" s="232" t="inlineStr">
        <is>
          <t>Siberia</t>
        </is>
      </c>
      <c r="G1612" s="232" t="inlineStr">
        <is>
          <t>S. Celebration 7,14</t>
        </is>
      </c>
      <c r="H1612" s="232" t="inlineStr">
        <is>
          <t>Uvas</t>
        </is>
      </c>
      <c r="I1612" s="232" t="inlineStr">
        <is>
          <t>S. celebration</t>
        </is>
      </c>
      <c r="J1612" s="232" t="inlineStr">
        <is>
          <t>GASTOS GENERALES</t>
        </is>
      </c>
      <c r="K1612" s="232" t="inlineStr">
        <is>
          <t>INSUMOS BOTIQUIN</t>
        </is>
      </c>
      <c r="L1612" s="232" t="inlineStr">
        <is>
          <t>[PRORRATEO 4.8% 7.14há/148.3há] O/001280 APOSITO GA</t>
        </is>
      </c>
      <c r="M1612" s="232" t="inlineStr"/>
      <c r="N1612" s="232" t="inlineStr">
        <is>
          <t>.   .   -</t>
        </is>
      </c>
      <c r="O1612" s="232" t="inlineStr">
        <is>
          <t>ENERO</t>
        </is>
      </c>
      <c r="P1612" s="232" t="n">
        <v>4</v>
      </c>
      <c r="Q1612" s="234" t="n">
        <v>146</v>
      </c>
      <c r="R1612" s="232" t="inlineStr"/>
      <c r="S1612" s="234" t="n">
        <v>146</v>
      </c>
      <c r="T1612" s="232" t="inlineStr">
        <is>
          <t>CLP</t>
        </is>
      </c>
      <c r="U1612" s="232" t="inlineStr">
        <is>
          <t>Prorrateo Ha PACKING</t>
        </is>
      </c>
      <c r="V1612" s="232" t="inlineStr">
        <is>
          <t>2026-06-18</t>
        </is>
      </c>
    </row>
    <row r="1613">
      <c r="A1613" s="232" t="inlineStr">
        <is>
          <t>CR-1610</t>
        </is>
      </c>
      <c r="B1613" s="232" t="inlineStr">
        <is>
          <t>2026/27</t>
        </is>
      </c>
      <c r="C1613" s="233" t="n">
        <v>46048</v>
      </c>
      <c r="D1613" s="232" t="inlineStr">
        <is>
          <t>6587</t>
        </is>
      </c>
      <c r="E1613" s="232" t="inlineStr">
        <is>
          <t>PRORRATEO</t>
        </is>
      </c>
      <c r="F1613" s="232" t="inlineStr">
        <is>
          <t>Siberia</t>
        </is>
      </c>
      <c r="G1613" s="232" t="inlineStr">
        <is>
          <t>Timpson 7,1</t>
        </is>
      </c>
      <c r="H1613" s="232" t="inlineStr">
        <is>
          <t>Uvas</t>
        </is>
      </c>
      <c r="I1613" s="232" t="inlineStr">
        <is>
          <t>Timpson</t>
        </is>
      </c>
      <c r="J1613" s="232" t="inlineStr">
        <is>
          <t>GASTOS GENERALES</t>
        </is>
      </c>
      <c r="K1613" s="232" t="inlineStr">
        <is>
          <t>INSUMOS BOTIQUIN</t>
        </is>
      </c>
      <c r="L1613" s="232" t="inlineStr">
        <is>
          <t>[PRORRATEO 4.8% 7.1há/148.3há] O/001280 APOSITO GA</t>
        </is>
      </c>
      <c r="M1613" s="232" t="inlineStr"/>
      <c r="N1613" s="232" t="inlineStr">
        <is>
          <t>.   .   -</t>
        </is>
      </c>
      <c r="O1613" s="232" t="inlineStr">
        <is>
          <t>ENERO</t>
        </is>
      </c>
      <c r="P1613" s="232" t="n">
        <v>4</v>
      </c>
      <c r="Q1613" s="234" t="n">
        <v>145</v>
      </c>
      <c r="R1613" s="232" t="inlineStr"/>
      <c r="S1613" s="234" t="n">
        <v>145</v>
      </c>
      <c r="T1613" s="232" t="inlineStr">
        <is>
          <t>CLP</t>
        </is>
      </c>
      <c r="U1613" s="232" t="inlineStr">
        <is>
          <t>Prorrateo Ha PACKING</t>
        </is>
      </c>
      <c r="V1613" s="232" t="inlineStr">
        <is>
          <t>2026-06-18</t>
        </is>
      </c>
    </row>
    <row r="1614">
      <c r="A1614" s="232" t="inlineStr">
        <is>
          <t>CR-1611</t>
        </is>
      </c>
      <c r="B1614" s="232" t="inlineStr">
        <is>
          <t>2026/27</t>
        </is>
      </c>
      <c r="C1614" s="233" t="n">
        <v>46048</v>
      </c>
      <c r="D1614" s="232" t="inlineStr">
        <is>
          <t>6587</t>
        </is>
      </c>
      <c r="E1614" s="232" t="inlineStr">
        <is>
          <t>PRORRATEO</t>
        </is>
      </c>
      <c r="F1614" s="232" t="inlineStr">
        <is>
          <t>Asmara</t>
        </is>
      </c>
      <c r="G1614" s="232" t="inlineStr">
        <is>
          <t>w. murcott 19,8 ha</t>
        </is>
      </c>
      <c r="H1614" s="232" t="inlineStr">
        <is>
          <t>Mandarina</t>
        </is>
      </c>
      <c r="I1614" s="232" t="inlineStr">
        <is>
          <t>W. murcott</t>
        </is>
      </c>
      <c r="J1614" s="232" t="inlineStr">
        <is>
          <t>GASTOS GENERALES</t>
        </is>
      </c>
      <c r="K1614" s="232" t="inlineStr">
        <is>
          <t>INSUMOS BOTIQUIN</t>
        </is>
      </c>
      <c r="L1614" s="232" t="inlineStr">
        <is>
          <t>[PRORRATEO 13.4% 19.8há/148.3há] O/001280 CINTA MICR</t>
        </is>
      </c>
      <c r="M1614" s="232" t="inlineStr"/>
      <c r="N1614" s="232" t="inlineStr">
        <is>
          <t>.   .   -</t>
        </is>
      </c>
      <c r="O1614" s="232" t="inlineStr">
        <is>
          <t>ENERO</t>
        </is>
      </c>
      <c r="P1614" s="232" t="n">
        <v>4</v>
      </c>
      <c r="Q1614" s="234" t="n">
        <v>3023</v>
      </c>
      <c r="R1614" s="232" t="inlineStr"/>
      <c r="S1614" s="234" t="n">
        <v>3023</v>
      </c>
      <c r="T1614" s="232" t="inlineStr">
        <is>
          <t>CLP</t>
        </is>
      </c>
      <c r="U1614" s="232" t="inlineStr">
        <is>
          <t>Prorrateo Ha PACKING</t>
        </is>
      </c>
      <c r="V1614" s="232" t="inlineStr">
        <is>
          <t>2026-06-18</t>
        </is>
      </c>
    </row>
    <row r="1615">
      <c r="A1615" s="232" t="inlineStr">
        <is>
          <t>CR-1612</t>
        </is>
      </c>
      <c r="B1615" s="232" t="inlineStr">
        <is>
          <t>2026/27</t>
        </is>
      </c>
      <c r="C1615" s="233" t="n">
        <v>46048</v>
      </c>
      <c r="D1615" s="232" t="inlineStr">
        <is>
          <t>6587</t>
        </is>
      </c>
      <c r="E1615" s="232" t="inlineStr">
        <is>
          <t>PRORRATEO</t>
        </is>
      </c>
      <c r="F1615" s="232" t="inlineStr">
        <is>
          <t>Asmara</t>
        </is>
      </c>
      <c r="G1615" s="232" t="inlineStr">
        <is>
          <t>w. murcott 4,9 ha</t>
        </is>
      </c>
      <c r="H1615" s="232" t="inlineStr">
        <is>
          <t>Mandarina</t>
        </is>
      </c>
      <c r="I1615" s="232" t="inlineStr">
        <is>
          <t>W. murcott</t>
        </is>
      </c>
      <c r="J1615" s="232" t="inlineStr">
        <is>
          <t>GASTOS GENERALES</t>
        </is>
      </c>
      <c r="K1615" s="232" t="inlineStr">
        <is>
          <t>INSUMOS BOTIQUIN</t>
        </is>
      </c>
      <c r="L1615" s="232" t="inlineStr">
        <is>
          <t>[PRORRATEO 3.3% 4.9há/148.3há] O/001280 CINTA MICR</t>
        </is>
      </c>
      <c r="M1615" s="232" t="inlineStr"/>
      <c r="N1615" s="232" t="inlineStr">
        <is>
          <t>.   .   -</t>
        </is>
      </c>
      <c r="O1615" s="232" t="inlineStr">
        <is>
          <t>ENERO</t>
        </is>
      </c>
      <c r="P1615" s="232" t="n">
        <v>4</v>
      </c>
      <c r="Q1615" s="234" t="n">
        <v>748</v>
      </c>
      <c r="R1615" s="232" t="inlineStr"/>
      <c r="S1615" s="234" t="n">
        <v>748</v>
      </c>
      <c r="T1615" s="232" t="inlineStr">
        <is>
          <t>CLP</t>
        </is>
      </c>
      <c r="U1615" s="232" t="inlineStr">
        <is>
          <t>Prorrateo Ha PACKING</t>
        </is>
      </c>
      <c r="V1615" s="232" t="inlineStr">
        <is>
          <t>2026-06-18</t>
        </is>
      </c>
    </row>
    <row r="1616">
      <c r="A1616" s="232" t="inlineStr">
        <is>
          <t>CR-1613</t>
        </is>
      </c>
      <c r="B1616" s="232" t="inlineStr">
        <is>
          <t>2026/27</t>
        </is>
      </c>
      <c r="C1616" s="233" t="n">
        <v>46048</v>
      </c>
      <c r="D1616" s="232" t="inlineStr">
        <is>
          <t>6587</t>
        </is>
      </c>
      <c r="E1616" s="232" t="inlineStr">
        <is>
          <t>PRORRATEO</t>
        </is>
      </c>
      <c r="F1616" s="232" t="inlineStr">
        <is>
          <t>El Molle</t>
        </is>
      </c>
      <c r="G1616" s="232" t="inlineStr">
        <is>
          <t>Wonderful 5,25 ha</t>
        </is>
      </c>
      <c r="H1616" s="232" t="inlineStr">
        <is>
          <t>Granados</t>
        </is>
      </c>
      <c r="I1616" s="232" t="inlineStr">
        <is>
          <t>Wonderfull</t>
        </is>
      </c>
      <c r="J1616" s="232" t="inlineStr">
        <is>
          <t>GASTOS GENERALES</t>
        </is>
      </c>
      <c r="K1616" s="232" t="inlineStr">
        <is>
          <t>INSUMOS BOTIQUIN</t>
        </is>
      </c>
      <c r="L1616" s="232" t="inlineStr">
        <is>
          <t>[PRORRATEO 3.5% 5.24há/148.3há] O/001280 CINTA MICR</t>
        </is>
      </c>
      <c r="M1616" s="232" t="inlineStr"/>
      <c r="N1616" s="232" t="inlineStr">
        <is>
          <t>.   .   -</t>
        </is>
      </c>
      <c r="O1616" s="232" t="inlineStr">
        <is>
          <t>ENERO</t>
        </is>
      </c>
      <c r="P1616" s="232" t="n">
        <v>4</v>
      </c>
      <c r="Q1616" s="234" t="n">
        <v>800</v>
      </c>
      <c r="R1616" s="232" t="inlineStr"/>
      <c r="S1616" s="234" t="n">
        <v>800</v>
      </c>
      <c r="T1616" s="232" t="inlineStr">
        <is>
          <t>CLP</t>
        </is>
      </c>
      <c r="U1616" s="232" t="inlineStr">
        <is>
          <t>Prorrateo Ha PACKING</t>
        </is>
      </c>
      <c r="V1616" s="232" t="inlineStr">
        <is>
          <t>2026-06-18</t>
        </is>
      </c>
    </row>
    <row r="1617">
      <c r="A1617" s="232" t="inlineStr">
        <is>
          <t>CR-1614</t>
        </is>
      </c>
      <c r="B1617" s="232" t="inlineStr">
        <is>
          <t>2026/27</t>
        </is>
      </c>
      <c r="C1617" s="233" t="n">
        <v>46048</v>
      </c>
      <c r="D1617" s="232" t="inlineStr">
        <is>
          <t>6587</t>
        </is>
      </c>
      <c r="E1617" s="232" t="inlineStr">
        <is>
          <t>PRORRATEO</t>
        </is>
      </c>
      <c r="F1617" s="232" t="inlineStr">
        <is>
          <t>El Molle</t>
        </is>
      </c>
      <c r="G1617" s="232" t="inlineStr">
        <is>
          <t>arrufatinas 5,74 ha</t>
        </is>
      </c>
      <c r="H1617" s="232" t="inlineStr">
        <is>
          <t>Clementinas</t>
        </is>
      </c>
      <c r="I1617" s="232" t="inlineStr">
        <is>
          <t>Arrufatinas</t>
        </is>
      </c>
      <c r="J1617" s="232" t="inlineStr">
        <is>
          <t>GASTOS GENERALES</t>
        </is>
      </c>
      <c r="K1617" s="232" t="inlineStr">
        <is>
          <t>INSUMOS BOTIQUIN</t>
        </is>
      </c>
      <c r="L1617" s="232" t="inlineStr">
        <is>
          <t>[PRORRATEO 3.9% 5.74há/148.3há] O/001280 CINTA MICR</t>
        </is>
      </c>
      <c r="M1617" s="232" t="inlineStr"/>
      <c r="N1617" s="232" t="inlineStr">
        <is>
          <t>.   .   -</t>
        </is>
      </c>
      <c r="O1617" s="232" t="inlineStr">
        <is>
          <t>ENERO</t>
        </is>
      </c>
      <c r="P1617" s="232" t="n">
        <v>4</v>
      </c>
      <c r="Q1617" s="234" t="n">
        <v>876</v>
      </c>
      <c r="R1617" s="232" t="inlineStr"/>
      <c r="S1617" s="234" t="n">
        <v>876</v>
      </c>
      <c r="T1617" s="232" t="inlineStr">
        <is>
          <t>CLP</t>
        </is>
      </c>
      <c r="U1617" s="232" t="inlineStr">
        <is>
          <t>Prorrateo Ha PACKING</t>
        </is>
      </c>
      <c r="V1617" s="232" t="inlineStr">
        <is>
          <t>2026-06-18</t>
        </is>
      </c>
    </row>
    <row r="1618">
      <c r="A1618" s="232" t="inlineStr">
        <is>
          <t>CR-1615</t>
        </is>
      </c>
      <c r="B1618" s="232" t="inlineStr">
        <is>
          <t>2026/27</t>
        </is>
      </c>
      <c r="C1618" s="233" t="n">
        <v>46048</v>
      </c>
      <c r="D1618" s="232" t="inlineStr">
        <is>
          <t>6587</t>
        </is>
      </c>
      <c r="E1618" s="232" t="inlineStr">
        <is>
          <t>PRORRATEO</t>
        </is>
      </c>
      <c r="F1618" s="232" t="inlineStr">
        <is>
          <t>El Molle</t>
        </is>
      </c>
      <c r="G1618" s="232" t="inlineStr">
        <is>
          <t>orogrande 8,11 ha</t>
        </is>
      </c>
      <c r="H1618" s="232" t="inlineStr">
        <is>
          <t>Clementinas</t>
        </is>
      </c>
      <c r="I1618" s="232" t="inlineStr">
        <is>
          <t>Orogrande</t>
        </is>
      </c>
      <c r="J1618" s="232" t="inlineStr">
        <is>
          <t>GASTOS GENERALES</t>
        </is>
      </c>
      <c r="K1618" s="232" t="inlineStr">
        <is>
          <t>INSUMOS BOTIQUIN</t>
        </is>
      </c>
      <c r="L1618" s="232" t="inlineStr">
        <is>
          <t>[PRORRATEO 5.5% 8.11há/148.3há] O/001280 CINTA MICR</t>
        </is>
      </c>
      <c r="M1618" s="232" t="inlineStr"/>
      <c r="N1618" s="232" t="inlineStr">
        <is>
          <t>.   .   -</t>
        </is>
      </c>
      <c r="O1618" s="232" t="inlineStr">
        <is>
          <t>ENERO</t>
        </is>
      </c>
      <c r="P1618" s="232" t="n">
        <v>4</v>
      </c>
      <c r="Q1618" s="234" t="n">
        <v>1238</v>
      </c>
      <c r="R1618" s="232" t="inlineStr"/>
      <c r="S1618" s="234" t="n">
        <v>1238</v>
      </c>
      <c r="T1618" s="232" t="inlineStr">
        <is>
          <t>CLP</t>
        </is>
      </c>
      <c r="U1618" s="232" t="inlineStr">
        <is>
          <t>Prorrateo Ha PACKING</t>
        </is>
      </c>
      <c r="V1618" s="232" t="inlineStr">
        <is>
          <t>2026-06-18</t>
        </is>
      </c>
    </row>
    <row r="1619">
      <c r="A1619" s="232" t="inlineStr">
        <is>
          <t>CR-1616</t>
        </is>
      </c>
      <c r="B1619" s="232" t="inlineStr">
        <is>
          <t>2026/27</t>
        </is>
      </c>
      <c r="C1619" s="233" t="n">
        <v>46048</v>
      </c>
      <c r="D1619" s="232" t="inlineStr">
        <is>
          <t>6587</t>
        </is>
      </c>
      <c r="E1619" s="232" t="inlineStr">
        <is>
          <t>PRORRATEO</t>
        </is>
      </c>
      <c r="F1619" s="232" t="inlineStr">
        <is>
          <t>El Molle</t>
        </is>
      </c>
      <c r="G1619" s="232" t="inlineStr">
        <is>
          <t>oronules 5,35 ha</t>
        </is>
      </c>
      <c r="H1619" s="232" t="inlineStr">
        <is>
          <t>Clementinas</t>
        </is>
      </c>
      <c r="I1619" s="232" t="inlineStr">
        <is>
          <t>Oronules</t>
        </is>
      </c>
      <c r="J1619" s="232" t="inlineStr">
        <is>
          <t>GASTOS GENERALES</t>
        </is>
      </c>
      <c r="K1619" s="232" t="inlineStr">
        <is>
          <t>INSUMOS BOTIQUIN</t>
        </is>
      </c>
      <c r="L1619" s="232" t="inlineStr">
        <is>
          <t>[PRORRATEO 3.6% 5.35há/148.3há] O/001280 CINTA MICR</t>
        </is>
      </c>
      <c r="M1619" s="232" t="inlineStr"/>
      <c r="N1619" s="232" t="inlineStr">
        <is>
          <t>.   .   -</t>
        </is>
      </c>
      <c r="O1619" s="232" t="inlineStr">
        <is>
          <t>ENERO</t>
        </is>
      </c>
      <c r="P1619" s="232" t="n">
        <v>4</v>
      </c>
      <c r="Q1619" s="234" t="n">
        <v>817</v>
      </c>
      <c r="R1619" s="232" t="inlineStr"/>
      <c r="S1619" s="234" t="n">
        <v>817</v>
      </c>
      <c r="T1619" s="232" t="inlineStr">
        <is>
          <t>CLP</t>
        </is>
      </c>
      <c r="U1619" s="232" t="inlineStr">
        <is>
          <t>Prorrateo Ha PACKING</t>
        </is>
      </c>
      <c r="V1619" s="232" t="inlineStr">
        <is>
          <t>2026-06-18</t>
        </is>
      </c>
    </row>
    <row r="1620">
      <c r="A1620" s="232" t="inlineStr">
        <is>
          <t>CR-1617</t>
        </is>
      </c>
      <c r="B1620" s="232" t="inlineStr">
        <is>
          <t>2026/27</t>
        </is>
      </c>
      <c r="C1620" s="233" t="n">
        <v>46048</v>
      </c>
      <c r="D1620" s="232" t="inlineStr">
        <is>
          <t>6587</t>
        </is>
      </c>
      <c r="E1620" s="232" t="inlineStr">
        <is>
          <t>PRORRATEO</t>
        </is>
      </c>
      <c r="F1620" s="232" t="inlineStr">
        <is>
          <t>Santa Catalina</t>
        </is>
      </c>
      <c r="G1620" s="232" t="inlineStr">
        <is>
          <t>Fino 49 7,7 ha</t>
        </is>
      </c>
      <c r="H1620" s="232" t="inlineStr">
        <is>
          <t>Limon</t>
        </is>
      </c>
      <c r="I1620" s="232" t="inlineStr">
        <is>
          <t>Fino 49</t>
        </is>
      </c>
      <c r="J1620" s="232" t="inlineStr">
        <is>
          <t>GASTOS GENERALES</t>
        </is>
      </c>
      <c r="K1620" s="232" t="inlineStr">
        <is>
          <t>INSUMOS BOTIQUIN</t>
        </is>
      </c>
      <c r="L1620" s="232" t="inlineStr">
        <is>
          <t>[PRORRATEO 5.2% 7.7há/148.3há] O/001280 CINTA MICR</t>
        </is>
      </c>
      <c r="M1620" s="232" t="inlineStr"/>
      <c r="N1620" s="232" t="inlineStr">
        <is>
          <t>.   .   -</t>
        </is>
      </c>
      <c r="O1620" s="232" t="inlineStr">
        <is>
          <t>ENERO</t>
        </is>
      </c>
      <c r="P1620" s="232" t="n">
        <v>4</v>
      </c>
      <c r="Q1620" s="234" t="n">
        <v>1176</v>
      </c>
      <c r="R1620" s="232" t="inlineStr"/>
      <c r="S1620" s="234" t="n">
        <v>1176</v>
      </c>
      <c r="T1620" s="232" t="inlineStr">
        <is>
          <t>CLP</t>
        </is>
      </c>
      <c r="U1620" s="232" t="inlineStr">
        <is>
          <t>Prorrateo Ha PACKING</t>
        </is>
      </c>
      <c r="V1620" s="232" t="inlineStr">
        <is>
          <t>2026-06-18</t>
        </is>
      </c>
    </row>
    <row r="1621">
      <c r="A1621" s="232" t="inlineStr">
        <is>
          <t>CR-1618</t>
        </is>
      </c>
      <c r="B1621" s="232" t="inlineStr">
        <is>
          <t>2026/27</t>
        </is>
      </c>
      <c r="C1621" s="233" t="n">
        <v>46048</v>
      </c>
      <c r="D1621" s="232" t="inlineStr">
        <is>
          <t>6587</t>
        </is>
      </c>
      <c r="E1621" s="232" t="inlineStr">
        <is>
          <t>PRORRATEO</t>
        </is>
      </c>
      <c r="F1621" s="232" t="inlineStr">
        <is>
          <t>Santa Catalina</t>
        </is>
      </c>
      <c r="G1621" s="232" t="inlineStr">
        <is>
          <t>W. murcott 21 ha</t>
        </is>
      </c>
      <c r="H1621" s="232" t="inlineStr">
        <is>
          <t>Mandarina</t>
        </is>
      </c>
      <c r="I1621" s="232" t="inlineStr">
        <is>
          <t>W. murcott</t>
        </is>
      </c>
      <c r="J1621" s="232" t="inlineStr">
        <is>
          <t>GASTOS GENERALES</t>
        </is>
      </c>
      <c r="K1621" s="232" t="inlineStr">
        <is>
          <t>INSUMOS BOTIQUIN</t>
        </is>
      </c>
      <c r="L1621" s="232" t="inlineStr">
        <is>
          <t>[PRORRATEO 14.2% 21.0há/148.3há] O/001280 CINTA MICR</t>
        </is>
      </c>
      <c r="M1621" s="232" t="inlineStr"/>
      <c r="N1621" s="232" t="inlineStr">
        <is>
          <t>.   .   -</t>
        </is>
      </c>
      <c r="O1621" s="232" t="inlineStr">
        <is>
          <t>ENERO</t>
        </is>
      </c>
      <c r="P1621" s="232" t="n">
        <v>4</v>
      </c>
      <c r="Q1621" s="234" t="n">
        <v>3207</v>
      </c>
      <c r="R1621" s="232" t="inlineStr"/>
      <c r="S1621" s="234" t="n">
        <v>3207</v>
      </c>
      <c r="T1621" s="232" t="inlineStr">
        <is>
          <t>CLP</t>
        </is>
      </c>
      <c r="U1621" s="232" t="inlineStr">
        <is>
          <t>Prorrateo Ha PACKING</t>
        </is>
      </c>
      <c r="V1621" s="232" t="inlineStr">
        <is>
          <t>2026-06-18</t>
        </is>
      </c>
    </row>
    <row r="1622">
      <c r="A1622" s="232" t="inlineStr">
        <is>
          <t>CR-1619</t>
        </is>
      </c>
      <c r="B1622" s="232" t="inlineStr">
        <is>
          <t>2026/27</t>
        </is>
      </c>
      <c r="C1622" s="233" t="n">
        <v>46048</v>
      </c>
      <c r="D1622" s="232" t="inlineStr">
        <is>
          <t>6587</t>
        </is>
      </c>
      <c r="E1622" s="232" t="inlineStr">
        <is>
          <t>PRORRATEO</t>
        </is>
      </c>
      <c r="F1622" s="232" t="inlineStr">
        <is>
          <t>Santa Catalina</t>
        </is>
      </c>
      <c r="G1622" s="232" t="inlineStr">
        <is>
          <t>cambria 4,2 ha</t>
        </is>
      </c>
      <c r="H1622" s="232" t="inlineStr">
        <is>
          <t>Naranjas</t>
        </is>
      </c>
      <c r="I1622" s="232" t="inlineStr">
        <is>
          <t>Cambria</t>
        </is>
      </c>
      <c r="J1622" s="232" t="inlineStr">
        <is>
          <t>GASTOS GENERALES</t>
        </is>
      </c>
      <c r="K1622" s="232" t="inlineStr">
        <is>
          <t>INSUMOS BOTIQUIN</t>
        </is>
      </c>
      <c r="L1622" s="232" t="inlineStr">
        <is>
          <t>[PRORRATEO 2.8% 4.2há/148.3há] O/001280 CINTA MICR</t>
        </is>
      </c>
      <c r="M1622" s="232" t="inlineStr"/>
      <c r="N1622" s="232" t="inlineStr">
        <is>
          <t>.   .   -</t>
        </is>
      </c>
      <c r="O1622" s="232" t="inlineStr">
        <is>
          <t>ENERO</t>
        </is>
      </c>
      <c r="P1622" s="232" t="n">
        <v>4</v>
      </c>
      <c r="Q1622" s="234" t="n">
        <v>641</v>
      </c>
      <c r="R1622" s="232" t="inlineStr"/>
      <c r="S1622" s="234" t="n">
        <v>641</v>
      </c>
      <c r="T1622" s="232" t="inlineStr">
        <is>
          <t>CLP</t>
        </is>
      </c>
      <c r="U1622" s="232" t="inlineStr">
        <is>
          <t>Prorrateo Ha PACKING</t>
        </is>
      </c>
      <c r="V1622" s="232" t="inlineStr">
        <is>
          <t>2026-06-18</t>
        </is>
      </c>
    </row>
    <row r="1623">
      <c r="A1623" s="232" t="inlineStr">
        <is>
          <t>CR-1620</t>
        </is>
      </c>
      <c r="B1623" s="232" t="inlineStr">
        <is>
          <t>2026/27</t>
        </is>
      </c>
      <c r="C1623" s="233" t="n">
        <v>46048</v>
      </c>
      <c r="D1623" s="232" t="inlineStr">
        <is>
          <t>6587</t>
        </is>
      </c>
      <c r="E1623" s="232" t="inlineStr">
        <is>
          <t>PRORRATEO</t>
        </is>
      </c>
      <c r="F1623" s="232" t="inlineStr">
        <is>
          <t>Santa Catalina</t>
        </is>
      </c>
      <c r="G1623" s="232" t="inlineStr">
        <is>
          <t>eureka 10,6 ha</t>
        </is>
      </c>
      <c r="H1623" s="232" t="inlineStr">
        <is>
          <t>Limon</t>
        </is>
      </c>
      <c r="I1623" s="232" t="inlineStr">
        <is>
          <t>Eureka</t>
        </is>
      </c>
      <c r="J1623" s="232" t="inlineStr">
        <is>
          <t>GASTOS GENERALES</t>
        </is>
      </c>
      <c r="K1623" s="232" t="inlineStr">
        <is>
          <t>INSUMOS BOTIQUIN</t>
        </is>
      </c>
      <c r="L1623" s="232" t="inlineStr">
        <is>
          <t>[PRORRATEO 7.1% 10.6há/148.3há] O/001280 CINTA MICR</t>
        </is>
      </c>
      <c r="M1623" s="232" t="inlineStr"/>
      <c r="N1623" s="232" t="inlineStr">
        <is>
          <t>.   .   -</t>
        </is>
      </c>
      <c r="O1623" s="232" t="inlineStr">
        <is>
          <t>ENERO</t>
        </is>
      </c>
      <c r="P1623" s="232" t="n">
        <v>4</v>
      </c>
      <c r="Q1623" s="234" t="n">
        <v>1619</v>
      </c>
      <c r="R1623" s="232" t="inlineStr"/>
      <c r="S1623" s="234" t="n">
        <v>1619</v>
      </c>
      <c r="T1623" s="232" t="inlineStr">
        <is>
          <t>CLP</t>
        </is>
      </c>
      <c r="U1623" s="232" t="inlineStr">
        <is>
          <t>Prorrateo Ha PACKING</t>
        </is>
      </c>
      <c r="V1623" s="232" t="inlineStr">
        <is>
          <t>2026-06-18</t>
        </is>
      </c>
    </row>
    <row r="1624">
      <c r="A1624" s="232" t="inlineStr">
        <is>
          <t>CR-1621</t>
        </is>
      </c>
      <c r="B1624" s="232" t="inlineStr">
        <is>
          <t>2026/27</t>
        </is>
      </c>
      <c r="C1624" s="233" t="n">
        <v>46048</v>
      </c>
      <c r="D1624" s="232" t="inlineStr">
        <is>
          <t>6587</t>
        </is>
      </c>
      <c r="E1624" s="232" t="inlineStr">
        <is>
          <t>PRORRATEO</t>
        </is>
      </c>
      <c r="F1624" s="232" t="inlineStr">
        <is>
          <t>Santa Catalina</t>
        </is>
      </c>
      <c r="G1624" s="232" t="inlineStr">
        <is>
          <t>eureka 14,4 ha</t>
        </is>
      </c>
      <c r="H1624" s="232" t="inlineStr">
        <is>
          <t>Limon</t>
        </is>
      </c>
      <c r="I1624" s="232" t="inlineStr">
        <is>
          <t>Eureka</t>
        </is>
      </c>
      <c r="J1624" s="232" t="inlineStr">
        <is>
          <t>GASTOS GENERALES</t>
        </is>
      </c>
      <c r="K1624" s="232" t="inlineStr">
        <is>
          <t>INSUMOS BOTIQUIN</t>
        </is>
      </c>
      <c r="L1624" s="232" t="inlineStr">
        <is>
          <t>[PRORRATEO 9.7% 14.4há/148.3há] O/001280 CINTA MICR</t>
        </is>
      </c>
      <c r="M1624" s="232" t="inlineStr"/>
      <c r="N1624" s="232" t="inlineStr">
        <is>
          <t>.   .   -</t>
        </is>
      </c>
      <c r="O1624" s="232" t="inlineStr">
        <is>
          <t>ENERO</t>
        </is>
      </c>
      <c r="P1624" s="232" t="n">
        <v>4</v>
      </c>
      <c r="Q1624" s="234" t="n">
        <v>2199</v>
      </c>
      <c r="R1624" s="232" t="inlineStr"/>
      <c r="S1624" s="234" t="n">
        <v>2199</v>
      </c>
      <c r="T1624" s="232" t="inlineStr">
        <is>
          <t>CLP</t>
        </is>
      </c>
      <c r="U1624" s="232" t="inlineStr">
        <is>
          <t>Prorrateo Ha PACKING</t>
        </is>
      </c>
      <c r="V1624" s="232" t="inlineStr">
        <is>
          <t>2026-06-18</t>
        </is>
      </c>
    </row>
    <row r="1625">
      <c r="A1625" s="232" t="inlineStr">
        <is>
          <t>CR-1622</t>
        </is>
      </c>
      <c r="B1625" s="232" t="inlineStr">
        <is>
          <t>2026/27</t>
        </is>
      </c>
      <c r="C1625" s="233" t="n">
        <v>46048</v>
      </c>
      <c r="D1625" s="232" t="inlineStr">
        <is>
          <t>6587</t>
        </is>
      </c>
      <c r="E1625" s="232" t="inlineStr">
        <is>
          <t>PRORRATEO</t>
        </is>
      </c>
      <c r="F1625" s="232" t="inlineStr">
        <is>
          <t>Santa Catalina</t>
        </is>
      </c>
      <c r="G1625" s="232" t="inlineStr">
        <is>
          <t>eureka 22,55</t>
        </is>
      </c>
      <c r="H1625" s="232" t="inlineStr">
        <is>
          <t>Limon</t>
        </is>
      </c>
      <c r="I1625" s="232" t="inlineStr">
        <is>
          <t>Eureka</t>
        </is>
      </c>
      <c r="J1625" s="232" t="inlineStr">
        <is>
          <t>GASTOS GENERALES</t>
        </is>
      </c>
      <c r="K1625" s="232" t="inlineStr">
        <is>
          <t>INSUMOS BOTIQUIN</t>
        </is>
      </c>
      <c r="L1625" s="232" t="inlineStr">
        <is>
          <t>[PRORRATEO 15.2% 22.55há/148.3há] O/001280 CINTA MICR</t>
        </is>
      </c>
      <c r="M1625" s="232" t="inlineStr"/>
      <c r="N1625" s="232" t="inlineStr">
        <is>
          <t>.   .   -</t>
        </is>
      </c>
      <c r="O1625" s="232" t="inlineStr">
        <is>
          <t>ENERO</t>
        </is>
      </c>
      <c r="P1625" s="232" t="n">
        <v>4</v>
      </c>
      <c r="Q1625" s="234" t="n">
        <v>3443</v>
      </c>
      <c r="R1625" s="232" t="inlineStr"/>
      <c r="S1625" s="234" t="n">
        <v>3443</v>
      </c>
      <c r="T1625" s="232" t="inlineStr">
        <is>
          <t>CLP</t>
        </is>
      </c>
      <c r="U1625" s="232" t="inlineStr">
        <is>
          <t>Prorrateo Ha PACKING</t>
        </is>
      </c>
      <c r="V1625" s="232" t="inlineStr">
        <is>
          <t>2026-06-18</t>
        </is>
      </c>
    </row>
    <row r="1626">
      <c r="A1626" s="232" t="inlineStr">
        <is>
          <t>CR-1623</t>
        </is>
      </c>
      <c r="B1626" s="232" t="inlineStr">
        <is>
          <t>2026/27</t>
        </is>
      </c>
      <c r="C1626" s="233" t="n">
        <v>46048</v>
      </c>
      <c r="D1626" s="232" t="inlineStr">
        <is>
          <t>6587</t>
        </is>
      </c>
      <c r="E1626" s="232" t="inlineStr">
        <is>
          <t>PRORRATEO</t>
        </is>
      </c>
      <c r="F1626" s="232" t="inlineStr">
        <is>
          <t>Santa Catalina</t>
        </is>
      </c>
      <c r="G1626" s="232" t="inlineStr">
        <is>
          <t>form benjamin 1,93 ha</t>
        </is>
      </c>
      <c r="H1626" s="232" t="inlineStr">
        <is>
          <t>Limon</t>
        </is>
      </c>
      <c r="I1626" s="232" t="inlineStr">
        <is>
          <t>Benjamin andes</t>
        </is>
      </c>
      <c r="J1626" s="232" t="inlineStr">
        <is>
          <t>GASTOS GENERALES</t>
        </is>
      </c>
      <c r="K1626" s="232" t="inlineStr">
        <is>
          <t>INSUMOS BOTIQUIN</t>
        </is>
      </c>
      <c r="L1626" s="232" t="inlineStr">
        <is>
          <t>[PRORRATEO 1.3% 1.93há/148.3há] O/001280 CINTA MICR</t>
        </is>
      </c>
      <c r="M1626" s="232" t="inlineStr"/>
      <c r="N1626" s="232" t="inlineStr">
        <is>
          <t>.   .   -</t>
        </is>
      </c>
      <c r="O1626" s="232" t="inlineStr">
        <is>
          <t>ENERO</t>
        </is>
      </c>
      <c r="P1626" s="232" t="n">
        <v>4</v>
      </c>
      <c r="Q1626" s="234" t="n">
        <v>295</v>
      </c>
      <c r="R1626" s="232" t="inlineStr"/>
      <c r="S1626" s="234" t="n">
        <v>295</v>
      </c>
      <c r="T1626" s="232" t="inlineStr">
        <is>
          <t>CLP</t>
        </is>
      </c>
      <c r="U1626" s="232" t="inlineStr">
        <is>
          <t>Prorrateo Ha PACKING</t>
        </is>
      </c>
      <c r="V1626" s="232" t="inlineStr">
        <is>
          <t>2026-06-18</t>
        </is>
      </c>
    </row>
    <row r="1627">
      <c r="A1627" s="232" t="inlineStr">
        <is>
          <t>CR-1624</t>
        </is>
      </c>
      <c r="B1627" s="232" t="inlineStr">
        <is>
          <t>2026/27</t>
        </is>
      </c>
      <c r="C1627" s="233" t="n">
        <v>46048</v>
      </c>
      <c r="D1627" s="232" t="inlineStr">
        <is>
          <t>6587</t>
        </is>
      </c>
      <c r="E1627" s="232" t="inlineStr">
        <is>
          <t>PRORRATEO</t>
        </is>
      </c>
      <c r="F1627" s="232" t="inlineStr">
        <is>
          <t>Santa Catalina</t>
        </is>
      </c>
      <c r="G1627" s="232" t="inlineStr">
        <is>
          <t>mant eureka 2,5 ha</t>
        </is>
      </c>
      <c r="H1627" s="232" t="inlineStr">
        <is>
          <t>Limon</t>
        </is>
      </c>
      <c r="I1627" s="232" t="inlineStr">
        <is>
          <t>Eureka</t>
        </is>
      </c>
      <c r="J1627" s="232" t="inlineStr">
        <is>
          <t>GASTOS GENERALES</t>
        </is>
      </c>
      <c r="K1627" s="232" t="inlineStr">
        <is>
          <t>INSUMOS BOTIQUIN</t>
        </is>
      </c>
      <c r="L1627" s="232" t="inlineStr">
        <is>
          <t>[PRORRATEO 1.7% 2.5há/148.3há] O/001280 CINTA MICR</t>
        </is>
      </c>
      <c r="M1627" s="232" t="inlineStr"/>
      <c r="N1627" s="232" t="inlineStr">
        <is>
          <t>.   .   -</t>
        </is>
      </c>
      <c r="O1627" s="232" t="inlineStr">
        <is>
          <t>ENERO</t>
        </is>
      </c>
      <c r="P1627" s="232" t="n">
        <v>4</v>
      </c>
      <c r="Q1627" s="234" t="n">
        <v>382</v>
      </c>
      <c r="R1627" s="232" t="inlineStr"/>
      <c r="S1627" s="234" t="n">
        <v>382</v>
      </c>
      <c r="T1627" s="232" t="inlineStr">
        <is>
          <t>CLP</t>
        </is>
      </c>
      <c r="U1627" s="232" t="inlineStr">
        <is>
          <t>Prorrateo Ha PACKING</t>
        </is>
      </c>
      <c r="V1627" s="232" t="inlineStr">
        <is>
          <t>2026-06-18</t>
        </is>
      </c>
    </row>
    <row r="1628">
      <c r="A1628" s="232" t="inlineStr">
        <is>
          <t>CR-1625</t>
        </is>
      </c>
      <c r="B1628" s="232" t="inlineStr">
        <is>
          <t>2026/27</t>
        </is>
      </c>
      <c r="C1628" s="233" t="n">
        <v>46048</v>
      </c>
      <c r="D1628" s="232" t="inlineStr">
        <is>
          <t>6587</t>
        </is>
      </c>
      <c r="E1628" s="232" t="inlineStr">
        <is>
          <t>PRORRATEO</t>
        </is>
      </c>
      <c r="F1628" s="232" t="inlineStr">
        <is>
          <t>Siberia</t>
        </is>
      </c>
      <c r="G1628" s="232" t="inlineStr">
        <is>
          <t>S. Celebration 7,14</t>
        </is>
      </c>
      <c r="H1628" s="232" t="inlineStr">
        <is>
          <t>Uvas</t>
        </is>
      </c>
      <c r="I1628" s="232" t="inlineStr">
        <is>
          <t>S. celebration</t>
        </is>
      </c>
      <c r="J1628" s="232" t="inlineStr">
        <is>
          <t>GASTOS GENERALES</t>
        </is>
      </c>
      <c r="K1628" s="232" t="inlineStr">
        <is>
          <t>INSUMOS BOTIQUIN</t>
        </is>
      </c>
      <c r="L1628" s="232" t="inlineStr">
        <is>
          <t>[PRORRATEO 4.8% 7.14há/148.3há] O/001280 CINTA MICR</t>
        </is>
      </c>
      <c r="M1628" s="232" t="inlineStr"/>
      <c r="N1628" s="232" t="inlineStr">
        <is>
          <t>.   .   -</t>
        </is>
      </c>
      <c r="O1628" s="232" t="inlineStr">
        <is>
          <t>ENERO</t>
        </is>
      </c>
      <c r="P1628" s="232" t="n">
        <v>4</v>
      </c>
      <c r="Q1628" s="234" t="n">
        <v>1090</v>
      </c>
      <c r="R1628" s="232" t="inlineStr"/>
      <c r="S1628" s="234" t="n">
        <v>1090</v>
      </c>
      <c r="T1628" s="232" t="inlineStr">
        <is>
          <t>CLP</t>
        </is>
      </c>
      <c r="U1628" s="232" t="inlineStr">
        <is>
          <t>Prorrateo Ha PACKING</t>
        </is>
      </c>
      <c r="V1628" s="232" t="inlineStr">
        <is>
          <t>2026-06-18</t>
        </is>
      </c>
    </row>
    <row r="1629">
      <c r="A1629" s="232" t="inlineStr">
        <is>
          <t>CR-1626</t>
        </is>
      </c>
      <c r="B1629" s="232" t="inlineStr">
        <is>
          <t>2026/27</t>
        </is>
      </c>
      <c r="C1629" s="233" t="n">
        <v>46048</v>
      </c>
      <c r="D1629" s="232" t="inlineStr">
        <is>
          <t>6587</t>
        </is>
      </c>
      <c r="E1629" s="232" t="inlineStr">
        <is>
          <t>PRORRATEO</t>
        </is>
      </c>
      <c r="F1629" s="232" t="inlineStr">
        <is>
          <t>Siberia</t>
        </is>
      </c>
      <c r="G1629" s="232" t="inlineStr">
        <is>
          <t>Timpson 7,1</t>
        </is>
      </c>
      <c r="H1629" s="232" t="inlineStr">
        <is>
          <t>Uvas</t>
        </is>
      </c>
      <c r="I1629" s="232" t="inlineStr">
        <is>
          <t>Timpson</t>
        </is>
      </c>
      <c r="J1629" s="232" t="inlineStr">
        <is>
          <t>GASTOS GENERALES</t>
        </is>
      </c>
      <c r="K1629" s="232" t="inlineStr">
        <is>
          <t>INSUMOS BOTIQUIN</t>
        </is>
      </c>
      <c r="L1629" s="232" t="inlineStr">
        <is>
          <t>[PRORRATEO 4.8% 7.1há/148.3há] O/001280 CINTA MICR</t>
        </is>
      </c>
      <c r="M1629" s="232" t="inlineStr"/>
      <c r="N1629" s="232" t="inlineStr">
        <is>
          <t>.   .   -</t>
        </is>
      </c>
      <c r="O1629" s="232" t="inlineStr">
        <is>
          <t>ENERO</t>
        </is>
      </c>
      <c r="P1629" s="232" t="n">
        <v>4</v>
      </c>
      <c r="Q1629" s="234" t="n">
        <v>1084</v>
      </c>
      <c r="R1629" s="232" t="inlineStr"/>
      <c r="S1629" s="234" t="n">
        <v>1084</v>
      </c>
      <c r="T1629" s="232" t="inlineStr">
        <is>
          <t>CLP</t>
        </is>
      </c>
      <c r="U1629" s="232" t="inlineStr">
        <is>
          <t>Prorrateo Ha PACKING</t>
        </is>
      </c>
      <c r="V1629" s="232" t="inlineStr">
        <is>
          <t>2026-06-18</t>
        </is>
      </c>
    </row>
    <row r="1630">
      <c r="A1630" s="232" t="inlineStr">
        <is>
          <t>CR-1627</t>
        </is>
      </c>
      <c r="B1630" s="232" t="inlineStr">
        <is>
          <t>2026/27</t>
        </is>
      </c>
      <c r="C1630" s="233" t="n">
        <v>46048</v>
      </c>
      <c r="D1630" s="232" t="inlineStr">
        <is>
          <t>6587</t>
        </is>
      </c>
      <c r="E1630" s="232" t="inlineStr">
        <is>
          <t>PRORRATEO</t>
        </is>
      </c>
      <c r="F1630" s="232" t="inlineStr">
        <is>
          <t>Asmara</t>
        </is>
      </c>
      <c r="G1630" s="232" t="inlineStr">
        <is>
          <t>w. murcott 19,8 ha</t>
        </is>
      </c>
      <c r="H1630" s="232" t="inlineStr">
        <is>
          <t>Mandarina</t>
        </is>
      </c>
      <c r="I1630" s="232" t="inlineStr">
        <is>
          <t>W. murcott</t>
        </is>
      </c>
      <c r="J1630" s="232" t="inlineStr">
        <is>
          <t>GASTOS GENERALES</t>
        </is>
      </c>
      <c r="K1630" s="232" t="inlineStr">
        <is>
          <t>INSUMOS BOTIQUIN</t>
        </is>
      </c>
      <c r="L1630" s="232" t="inlineStr">
        <is>
          <t>[PRORRATEO 13.4% 19.8há/148.3há] O/001280 GUANTE EX</t>
        </is>
      </c>
      <c r="M1630" s="232" t="inlineStr"/>
      <c r="N1630" s="232" t="inlineStr">
        <is>
          <t>.   .   -</t>
        </is>
      </c>
      <c r="O1630" s="232" t="inlineStr">
        <is>
          <t>ENERO</t>
        </is>
      </c>
      <c r="P1630" s="232" t="n">
        <v>4</v>
      </c>
      <c r="Q1630" s="234" t="n">
        <v>1569</v>
      </c>
      <c r="R1630" s="232" t="inlineStr"/>
      <c r="S1630" s="234" t="n">
        <v>1569</v>
      </c>
      <c r="T1630" s="232" t="inlineStr">
        <is>
          <t>CLP</t>
        </is>
      </c>
      <c r="U1630" s="232" t="inlineStr">
        <is>
          <t>Prorrateo Ha PACKING</t>
        </is>
      </c>
      <c r="V1630" s="232" t="inlineStr">
        <is>
          <t>2026-06-18</t>
        </is>
      </c>
    </row>
    <row r="1631">
      <c r="A1631" s="232" t="inlineStr">
        <is>
          <t>CR-1628</t>
        </is>
      </c>
      <c r="B1631" s="232" t="inlineStr">
        <is>
          <t>2026/27</t>
        </is>
      </c>
      <c r="C1631" s="233" t="n">
        <v>46048</v>
      </c>
      <c r="D1631" s="232" t="inlineStr">
        <is>
          <t>6587</t>
        </is>
      </c>
      <c r="E1631" s="232" t="inlineStr">
        <is>
          <t>PRORRATEO</t>
        </is>
      </c>
      <c r="F1631" s="232" t="inlineStr">
        <is>
          <t>Asmara</t>
        </is>
      </c>
      <c r="G1631" s="232" t="inlineStr">
        <is>
          <t>w. murcott 4,9 ha</t>
        </is>
      </c>
      <c r="H1631" s="232" t="inlineStr">
        <is>
          <t>Mandarina</t>
        </is>
      </c>
      <c r="I1631" s="232" t="inlineStr">
        <is>
          <t>W. murcott</t>
        </is>
      </c>
      <c r="J1631" s="232" t="inlineStr">
        <is>
          <t>GASTOS GENERALES</t>
        </is>
      </c>
      <c r="K1631" s="232" t="inlineStr">
        <is>
          <t>INSUMOS BOTIQUIN</t>
        </is>
      </c>
      <c r="L1631" s="232" t="inlineStr">
        <is>
          <t>[PRORRATEO 3.3% 4.9há/148.3há] O/001280 GUANTE EX</t>
        </is>
      </c>
      <c r="M1631" s="232" t="inlineStr"/>
      <c r="N1631" s="232" t="inlineStr">
        <is>
          <t>.   .   -</t>
        </is>
      </c>
      <c r="O1631" s="232" t="inlineStr">
        <is>
          <t>ENERO</t>
        </is>
      </c>
      <c r="P1631" s="232" t="n">
        <v>4</v>
      </c>
      <c r="Q1631" s="234" t="n">
        <v>388</v>
      </c>
      <c r="R1631" s="232" t="inlineStr"/>
      <c r="S1631" s="234" t="n">
        <v>388</v>
      </c>
      <c r="T1631" s="232" t="inlineStr">
        <is>
          <t>CLP</t>
        </is>
      </c>
      <c r="U1631" s="232" t="inlineStr">
        <is>
          <t>Prorrateo Ha PACKING</t>
        </is>
      </c>
      <c r="V1631" s="232" t="inlineStr">
        <is>
          <t>2026-06-18</t>
        </is>
      </c>
    </row>
    <row r="1632">
      <c r="A1632" s="232" t="inlineStr">
        <is>
          <t>CR-1629</t>
        </is>
      </c>
      <c r="B1632" s="232" t="inlineStr">
        <is>
          <t>2026/27</t>
        </is>
      </c>
      <c r="C1632" s="233" t="n">
        <v>46048</v>
      </c>
      <c r="D1632" s="232" t="inlineStr">
        <is>
          <t>6587</t>
        </is>
      </c>
      <c r="E1632" s="232" t="inlineStr">
        <is>
          <t>PRORRATEO</t>
        </is>
      </c>
      <c r="F1632" s="232" t="inlineStr">
        <is>
          <t>El Molle</t>
        </is>
      </c>
      <c r="G1632" s="232" t="inlineStr">
        <is>
          <t>Wonderful 5,25 ha</t>
        </is>
      </c>
      <c r="H1632" s="232" t="inlineStr">
        <is>
          <t>Granados</t>
        </is>
      </c>
      <c r="I1632" s="232" t="inlineStr">
        <is>
          <t>Wonderfull</t>
        </is>
      </c>
      <c r="J1632" s="232" t="inlineStr">
        <is>
          <t>GASTOS GENERALES</t>
        </is>
      </c>
      <c r="K1632" s="232" t="inlineStr">
        <is>
          <t>INSUMOS BOTIQUIN</t>
        </is>
      </c>
      <c r="L1632" s="232" t="inlineStr">
        <is>
          <t>[PRORRATEO 3.5% 5.24há/148.3há] O/001280 GUANTE EX</t>
        </is>
      </c>
      <c r="M1632" s="232" t="inlineStr"/>
      <c r="N1632" s="232" t="inlineStr">
        <is>
          <t>.   .   -</t>
        </is>
      </c>
      <c r="O1632" s="232" t="inlineStr">
        <is>
          <t>ENERO</t>
        </is>
      </c>
      <c r="P1632" s="232" t="n">
        <v>4</v>
      </c>
      <c r="Q1632" s="234" t="n">
        <v>415</v>
      </c>
      <c r="R1632" s="232" t="inlineStr"/>
      <c r="S1632" s="234" t="n">
        <v>415</v>
      </c>
      <c r="T1632" s="232" t="inlineStr">
        <is>
          <t>CLP</t>
        </is>
      </c>
      <c r="U1632" s="232" t="inlineStr">
        <is>
          <t>Prorrateo Ha PACKING</t>
        </is>
      </c>
      <c r="V1632" s="232" t="inlineStr">
        <is>
          <t>2026-06-18</t>
        </is>
      </c>
    </row>
    <row r="1633">
      <c r="A1633" s="232" t="inlineStr">
        <is>
          <t>CR-1630</t>
        </is>
      </c>
      <c r="B1633" s="232" t="inlineStr">
        <is>
          <t>2026/27</t>
        </is>
      </c>
      <c r="C1633" s="233" t="n">
        <v>46048</v>
      </c>
      <c r="D1633" s="232" t="inlineStr">
        <is>
          <t>6587</t>
        </is>
      </c>
      <c r="E1633" s="232" t="inlineStr">
        <is>
          <t>PRORRATEO</t>
        </is>
      </c>
      <c r="F1633" s="232" t="inlineStr">
        <is>
          <t>El Molle</t>
        </is>
      </c>
      <c r="G1633" s="232" t="inlineStr">
        <is>
          <t>arrufatinas 5,74 ha</t>
        </is>
      </c>
      <c r="H1633" s="232" t="inlineStr">
        <is>
          <t>Clementinas</t>
        </is>
      </c>
      <c r="I1633" s="232" t="inlineStr">
        <is>
          <t>Arrufatinas</t>
        </is>
      </c>
      <c r="J1633" s="232" t="inlineStr">
        <is>
          <t>GASTOS GENERALES</t>
        </is>
      </c>
      <c r="K1633" s="232" t="inlineStr">
        <is>
          <t>INSUMOS BOTIQUIN</t>
        </is>
      </c>
      <c r="L1633" s="232" t="inlineStr">
        <is>
          <t>[PRORRATEO 3.9% 5.74há/148.3há] O/001280 GUANTE EX</t>
        </is>
      </c>
      <c r="M1633" s="232" t="inlineStr"/>
      <c r="N1633" s="232" t="inlineStr">
        <is>
          <t>.   .   -</t>
        </is>
      </c>
      <c r="O1633" s="232" t="inlineStr">
        <is>
          <t>ENERO</t>
        </is>
      </c>
      <c r="P1633" s="232" t="n">
        <v>4</v>
      </c>
      <c r="Q1633" s="234" t="n">
        <v>455</v>
      </c>
      <c r="R1633" s="232" t="inlineStr"/>
      <c r="S1633" s="234" t="n">
        <v>455</v>
      </c>
      <c r="T1633" s="232" t="inlineStr">
        <is>
          <t>CLP</t>
        </is>
      </c>
      <c r="U1633" s="232" t="inlineStr">
        <is>
          <t>Prorrateo Ha PACKING</t>
        </is>
      </c>
      <c r="V1633" s="232" t="inlineStr">
        <is>
          <t>2026-06-18</t>
        </is>
      </c>
    </row>
    <row r="1634">
      <c r="A1634" s="232" t="inlineStr">
        <is>
          <t>CR-1631</t>
        </is>
      </c>
      <c r="B1634" s="232" t="inlineStr">
        <is>
          <t>2026/27</t>
        </is>
      </c>
      <c r="C1634" s="233" t="n">
        <v>46048</v>
      </c>
      <c r="D1634" s="232" t="inlineStr">
        <is>
          <t>6587</t>
        </is>
      </c>
      <c r="E1634" s="232" t="inlineStr">
        <is>
          <t>PRORRATEO</t>
        </is>
      </c>
      <c r="F1634" s="232" t="inlineStr">
        <is>
          <t>El Molle</t>
        </is>
      </c>
      <c r="G1634" s="232" t="inlineStr">
        <is>
          <t>orogrande 8,11 ha</t>
        </is>
      </c>
      <c r="H1634" s="232" t="inlineStr">
        <is>
          <t>Clementinas</t>
        </is>
      </c>
      <c r="I1634" s="232" t="inlineStr">
        <is>
          <t>Orogrande</t>
        </is>
      </c>
      <c r="J1634" s="232" t="inlineStr">
        <is>
          <t>GASTOS GENERALES</t>
        </is>
      </c>
      <c r="K1634" s="232" t="inlineStr">
        <is>
          <t>INSUMOS BOTIQUIN</t>
        </is>
      </c>
      <c r="L1634" s="232" t="inlineStr">
        <is>
          <t>[PRORRATEO 5.5% 8.11há/148.3há] O/001280 GUANTE EX</t>
        </is>
      </c>
      <c r="M1634" s="232" t="inlineStr"/>
      <c r="N1634" s="232" t="inlineStr">
        <is>
          <t>.   .   -</t>
        </is>
      </c>
      <c r="O1634" s="232" t="inlineStr">
        <is>
          <t>ENERO</t>
        </is>
      </c>
      <c r="P1634" s="232" t="n">
        <v>4</v>
      </c>
      <c r="Q1634" s="234" t="n">
        <v>643</v>
      </c>
      <c r="R1634" s="232" t="inlineStr"/>
      <c r="S1634" s="234" t="n">
        <v>643</v>
      </c>
      <c r="T1634" s="232" t="inlineStr">
        <is>
          <t>CLP</t>
        </is>
      </c>
      <c r="U1634" s="232" t="inlineStr">
        <is>
          <t>Prorrateo Ha PACKING</t>
        </is>
      </c>
      <c r="V1634" s="232" t="inlineStr">
        <is>
          <t>2026-06-18</t>
        </is>
      </c>
    </row>
    <row r="1635">
      <c r="A1635" s="232" t="inlineStr">
        <is>
          <t>CR-1632</t>
        </is>
      </c>
      <c r="B1635" s="232" t="inlineStr">
        <is>
          <t>2026/27</t>
        </is>
      </c>
      <c r="C1635" s="233" t="n">
        <v>46048</v>
      </c>
      <c r="D1635" s="232" t="inlineStr">
        <is>
          <t>6587</t>
        </is>
      </c>
      <c r="E1635" s="232" t="inlineStr">
        <is>
          <t>PRORRATEO</t>
        </is>
      </c>
      <c r="F1635" s="232" t="inlineStr">
        <is>
          <t>El Molle</t>
        </is>
      </c>
      <c r="G1635" s="232" t="inlineStr">
        <is>
          <t>oronules 5,35 ha</t>
        </is>
      </c>
      <c r="H1635" s="232" t="inlineStr">
        <is>
          <t>Clementinas</t>
        </is>
      </c>
      <c r="I1635" s="232" t="inlineStr">
        <is>
          <t>Oronules</t>
        </is>
      </c>
      <c r="J1635" s="232" t="inlineStr">
        <is>
          <t>GASTOS GENERALES</t>
        </is>
      </c>
      <c r="K1635" s="232" t="inlineStr">
        <is>
          <t>INSUMOS BOTIQUIN</t>
        </is>
      </c>
      <c r="L1635" s="232" t="inlineStr">
        <is>
          <t>[PRORRATEO 3.6% 5.35há/148.3há] O/001280 GUANTE EX</t>
        </is>
      </c>
      <c r="M1635" s="232" t="inlineStr"/>
      <c r="N1635" s="232" t="inlineStr">
        <is>
          <t>.   .   -</t>
        </is>
      </c>
      <c r="O1635" s="232" t="inlineStr">
        <is>
          <t>ENERO</t>
        </is>
      </c>
      <c r="P1635" s="232" t="n">
        <v>4</v>
      </c>
      <c r="Q1635" s="234" t="n">
        <v>424</v>
      </c>
      <c r="R1635" s="232" t="inlineStr"/>
      <c r="S1635" s="234" t="n">
        <v>424</v>
      </c>
      <c r="T1635" s="232" t="inlineStr">
        <is>
          <t>CLP</t>
        </is>
      </c>
      <c r="U1635" s="232" t="inlineStr">
        <is>
          <t>Prorrateo Ha PACKING</t>
        </is>
      </c>
      <c r="V1635" s="232" t="inlineStr">
        <is>
          <t>2026-06-18</t>
        </is>
      </c>
    </row>
    <row r="1636">
      <c r="A1636" s="232" t="inlineStr">
        <is>
          <t>CR-1633</t>
        </is>
      </c>
      <c r="B1636" s="232" t="inlineStr">
        <is>
          <t>2026/27</t>
        </is>
      </c>
      <c r="C1636" s="233" t="n">
        <v>46048</v>
      </c>
      <c r="D1636" s="232" t="inlineStr">
        <is>
          <t>6587</t>
        </is>
      </c>
      <c r="E1636" s="232" t="inlineStr">
        <is>
          <t>PRORRATEO</t>
        </is>
      </c>
      <c r="F1636" s="232" t="inlineStr">
        <is>
          <t>Santa Catalina</t>
        </is>
      </c>
      <c r="G1636" s="232" t="inlineStr">
        <is>
          <t>Fino 49 7,7 ha</t>
        </is>
      </c>
      <c r="H1636" s="232" t="inlineStr">
        <is>
          <t>Limon</t>
        </is>
      </c>
      <c r="I1636" s="232" t="inlineStr">
        <is>
          <t>Fino 49</t>
        </is>
      </c>
      <c r="J1636" s="232" t="inlineStr">
        <is>
          <t>GASTOS GENERALES</t>
        </is>
      </c>
      <c r="K1636" s="232" t="inlineStr">
        <is>
          <t>INSUMOS BOTIQUIN</t>
        </is>
      </c>
      <c r="L1636" s="232" t="inlineStr">
        <is>
          <t>[PRORRATEO 5.2% 7.7há/148.3há] O/001280 GUANTE EX</t>
        </is>
      </c>
      <c r="M1636" s="232" t="inlineStr"/>
      <c r="N1636" s="232" t="inlineStr">
        <is>
          <t>.   .   -</t>
        </is>
      </c>
      <c r="O1636" s="232" t="inlineStr">
        <is>
          <t>ENERO</t>
        </is>
      </c>
      <c r="P1636" s="232" t="n">
        <v>4</v>
      </c>
      <c r="Q1636" s="234" t="n">
        <v>610</v>
      </c>
      <c r="R1636" s="232" t="inlineStr"/>
      <c r="S1636" s="234" t="n">
        <v>610</v>
      </c>
      <c r="T1636" s="232" t="inlineStr">
        <is>
          <t>CLP</t>
        </is>
      </c>
      <c r="U1636" s="232" t="inlineStr">
        <is>
          <t>Prorrateo Ha PACKING</t>
        </is>
      </c>
      <c r="V1636" s="232" t="inlineStr">
        <is>
          <t>2026-06-18</t>
        </is>
      </c>
    </row>
    <row r="1637">
      <c r="A1637" s="232" t="inlineStr">
        <is>
          <t>CR-1634</t>
        </is>
      </c>
      <c r="B1637" s="232" t="inlineStr">
        <is>
          <t>2026/27</t>
        </is>
      </c>
      <c r="C1637" s="233" t="n">
        <v>46048</v>
      </c>
      <c r="D1637" s="232" t="inlineStr">
        <is>
          <t>6587</t>
        </is>
      </c>
      <c r="E1637" s="232" t="inlineStr">
        <is>
          <t>PRORRATEO</t>
        </is>
      </c>
      <c r="F1637" s="232" t="inlineStr">
        <is>
          <t>Santa Catalina</t>
        </is>
      </c>
      <c r="G1637" s="232" t="inlineStr">
        <is>
          <t>W. murcott 21 ha</t>
        </is>
      </c>
      <c r="H1637" s="232" t="inlineStr">
        <is>
          <t>Mandarina</t>
        </is>
      </c>
      <c r="I1637" s="232" t="inlineStr">
        <is>
          <t>W. murcott</t>
        </is>
      </c>
      <c r="J1637" s="232" t="inlineStr">
        <is>
          <t>GASTOS GENERALES</t>
        </is>
      </c>
      <c r="K1637" s="232" t="inlineStr">
        <is>
          <t>INSUMOS BOTIQUIN</t>
        </is>
      </c>
      <c r="L1637" s="232" t="inlineStr">
        <is>
          <t>[PRORRATEO 14.2% 21.0há/148.3há] O/001280 GUANTE EX</t>
        </is>
      </c>
      <c r="M1637" s="232" t="inlineStr"/>
      <c r="N1637" s="232" t="inlineStr">
        <is>
          <t>.   .   -</t>
        </is>
      </c>
      <c r="O1637" s="232" t="inlineStr">
        <is>
          <t>ENERO</t>
        </is>
      </c>
      <c r="P1637" s="232" t="n">
        <v>4</v>
      </c>
      <c r="Q1637" s="234" t="n">
        <v>1664</v>
      </c>
      <c r="R1637" s="232" t="inlineStr"/>
      <c r="S1637" s="234" t="n">
        <v>1664</v>
      </c>
      <c r="T1637" s="232" t="inlineStr">
        <is>
          <t>CLP</t>
        </is>
      </c>
      <c r="U1637" s="232" t="inlineStr">
        <is>
          <t>Prorrateo Ha PACKING</t>
        </is>
      </c>
      <c r="V1637" s="232" t="inlineStr">
        <is>
          <t>2026-06-18</t>
        </is>
      </c>
    </row>
    <row r="1638">
      <c r="A1638" s="232" t="inlineStr">
        <is>
          <t>CR-1635</t>
        </is>
      </c>
      <c r="B1638" s="232" t="inlineStr">
        <is>
          <t>2026/27</t>
        </is>
      </c>
      <c r="C1638" s="233" t="n">
        <v>46048</v>
      </c>
      <c r="D1638" s="232" t="inlineStr">
        <is>
          <t>6587</t>
        </is>
      </c>
      <c r="E1638" s="232" t="inlineStr">
        <is>
          <t>PRORRATEO</t>
        </is>
      </c>
      <c r="F1638" s="232" t="inlineStr">
        <is>
          <t>Santa Catalina</t>
        </is>
      </c>
      <c r="G1638" s="232" t="inlineStr">
        <is>
          <t>cambria 4,2 ha</t>
        </is>
      </c>
      <c r="H1638" s="232" t="inlineStr">
        <is>
          <t>Naranjas</t>
        </is>
      </c>
      <c r="I1638" s="232" t="inlineStr">
        <is>
          <t>Cambria</t>
        </is>
      </c>
      <c r="J1638" s="232" t="inlineStr">
        <is>
          <t>GASTOS GENERALES</t>
        </is>
      </c>
      <c r="K1638" s="232" t="inlineStr">
        <is>
          <t>INSUMOS BOTIQUIN</t>
        </is>
      </c>
      <c r="L1638" s="232" t="inlineStr">
        <is>
          <t>[PRORRATEO 2.8% 4.2há/148.3há] O/001280 GUANTE EX</t>
        </is>
      </c>
      <c r="M1638" s="232" t="inlineStr"/>
      <c r="N1638" s="232" t="inlineStr">
        <is>
          <t>.   .   -</t>
        </is>
      </c>
      <c r="O1638" s="232" t="inlineStr">
        <is>
          <t>ENERO</t>
        </is>
      </c>
      <c r="P1638" s="232" t="n">
        <v>4</v>
      </c>
      <c r="Q1638" s="234" t="n">
        <v>333</v>
      </c>
      <c r="R1638" s="232" t="inlineStr"/>
      <c r="S1638" s="234" t="n">
        <v>333</v>
      </c>
      <c r="T1638" s="232" t="inlineStr">
        <is>
          <t>CLP</t>
        </is>
      </c>
      <c r="U1638" s="232" t="inlineStr">
        <is>
          <t>Prorrateo Ha PACKING</t>
        </is>
      </c>
      <c r="V1638" s="232" t="inlineStr">
        <is>
          <t>2026-06-18</t>
        </is>
      </c>
    </row>
    <row r="1639">
      <c r="A1639" s="232" t="inlineStr">
        <is>
          <t>CR-1636</t>
        </is>
      </c>
      <c r="B1639" s="232" t="inlineStr">
        <is>
          <t>2026/27</t>
        </is>
      </c>
      <c r="C1639" s="233" t="n">
        <v>46048</v>
      </c>
      <c r="D1639" s="232" t="inlineStr">
        <is>
          <t>6587</t>
        </is>
      </c>
      <c r="E1639" s="232" t="inlineStr">
        <is>
          <t>PRORRATEO</t>
        </is>
      </c>
      <c r="F1639" s="232" t="inlineStr">
        <is>
          <t>Santa Catalina</t>
        </is>
      </c>
      <c r="G1639" s="232" t="inlineStr">
        <is>
          <t>eureka 10,6 ha</t>
        </is>
      </c>
      <c r="H1639" s="232" t="inlineStr">
        <is>
          <t>Limon</t>
        </is>
      </c>
      <c r="I1639" s="232" t="inlineStr">
        <is>
          <t>Eureka</t>
        </is>
      </c>
      <c r="J1639" s="232" t="inlineStr">
        <is>
          <t>GASTOS GENERALES</t>
        </is>
      </c>
      <c r="K1639" s="232" t="inlineStr">
        <is>
          <t>INSUMOS BOTIQUIN</t>
        </is>
      </c>
      <c r="L1639" s="232" t="inlineStr">
        <is>
          <t>[PRORRATEO 7.1% 10.6há/148.3há] O/001280 GUANTE EX</t>
        </is>
      </c>
      <c r="M1639" s="232" t="inlineStr"/>
      <c r="N1639" s="232" t="inlineStr">
        <is>
          <t>.   .   -</t>
        </is>
      </c>
      <c r="O1639" s="232" t="inlineStr">
        <is>
          <t>ENERO</t>
        </is>
      </c>
      <c r="P1639" s="232" t="n">
        <v>4</v>
      </c>
      <c r="Q1639" s="234" t="n">
        <v>840</v>
      </c>
      <c r="R1639" s="232" t="inlineStr"/>
      <c r="S1639" s="234" t="n">
        <v>840</v>
      </c>
      <c r="T1639" s="232" t="inlineStr">
        <is>
          <t>CLP</t>
        </is>
      </c>
      <c r="U1639" s="232" t="inlineStr">
        <is>
          <t>Prorrateo Ha PACKING</t>
        </is>
      </c>
      <c r="V1639" s="232" t="inlineStr">
        <is>
          <t>2026-06-18</t>
        </is>
      </c>
    </row>
    <row r="1640">
      <c r="A1640" s="232" t="inlineStr">
        <is>
          <t>CR-1637</t>
        </is>
      </c>
      <c r="B1640" s="232" t="inlineStr">
        <is>
          <t>2026/27</t>
        </is>
      </c>
      <c r="C1640" s="233" t="n">
        <v>46048</v>
      </c>
      <c r="D1640" s="232" t="inlineStr">
        <is>
          <t>6587</t>
        </is>
      </c>
      <c r="E1640" s="232" t="inlineStr">
        <is>
          <t>PRORRATEO</t>
        </is>
      </c>
      <c r="F1640" s="232" t="inlineStr">
        <is>
          <t>Santa Catalina</t>
        </is>
      </c>
      <c r="G1640" s="232" t="inlineStr">
        <is>
          <t>eureka 14,4 ha</t>
        </is>
      </c>
      <c r="H1640" s="232" t="inlineStr">
        <is>
          <t>Limon</t>
        </is>
      </c>
      <c r="I1640" s="232" t="inlineStr">
        <is>
          <t>Eureka</t>
        </is>
      </c>
      <c r="J1640" s="232" t="inlineStr">
        <is>
          <t>GASTOS GENERALES</t>
        </is>
      </c>
      <c r="K1640" s="232" t="inlineStr">
        <is>
          <t>INSUMOS BOTIQUIN</t>
        </is>
      </c>
      <c r="L1640" s="232" t="inlineStr">
        <is>
          <t>[PRORRATEO 9.7% 14.4há/148.3há] O/001280 GUANTE EX</t>
        </is>
      </c>
      <c r="M1640" s="232" t="inlineStr"/>
      <c r="N1640" s="232" t="inlineStr">
        <is>
          <t>.   .   -</t>
        </is>
      </c>
      <c r="O1640" s="232" t="inlineStr">
        <is>
          <t>ENERO</t>
        </is>
      </c>
      <c r="P1640" s="232" t="n">
        <v>4</v>
      </c>
      <c r="Q1640" s="234" t="n">
        <v>1141</v>
      </c>
      <c r="R1640" s="232" t="inlineStr"/>
      <c r="S1640" s="234" t="n">
        <v>1141</v>
      </c>
      <c r="T1640" s="232" t="inlineStr">
        <is>
          <t>CLP</t>
        </is>
      </c>
      <c r="U1640" s="232" t="inlineStr">
        <is>
          <t>Prorrateo Ha PACKING</t>
        </is>
      </c>
      <c r="V1640" s="232" t="inlineStr">
        <is>
          <t>2026-06-18</t>
        </is>
      </c>
    </row>
    <row r="1641">
      <c r="A1641" s="232" t="inlineStr">
        <is>
          <t>CR-1638</t>
        </is>
      </c>
      <c r="B1641" s="232" t="inlineStr">
        <is>
          <t>2026/27</t>
        </is>
      </c>
      <c r="C1641" s="233" t="n">
        <v>46048</v>
      </c>
      <c r="D1641" s="232" t="inlineStr">
        <is>
          <t>6587</t>
        </is>
      </c>
      <c r="E1641" s="232" t="inlineStr">
        <is>
          <t>PRORRATEO</t>
        </is>
      </c>
      <c r="F1641" s="232" t="inlineStr">
        <is>
          <t>Santa Catalina</t>
        </is>
      </c>
      <c r="G1641" s="232" t="inlineStr">
        <is>
          <t>eureka 22,55</t>
        </is>
      </c>
      <c r="H1641" s="232" t="inlineStr">
        <is>
          <t>Limon</t>
        </is>
      </c>
      <c r="I1641" s="232" t="inlineStr">
        <is>
          <t>Eureka</t>
        </is>
      </c>
      <c r="J1641" s="232" t="inlineStr">
        <is>
          <t>GASTOS GENERALES</t>
        </is>
      </c>
      <c r="K1641" s="232" t="inlineStr">
        <is>
          <t>INSUMOS BOTIQUIN</t>
        </is>
      </c>
      <c r="L1641" s="232" t="inlineStr">
        <is>
          <t>[PRORRATEO 15.2% 22.55há/148.3há] O/001280 GUANTE EX</t>
        </is>
      </c>
      <c r="M1641" s="232" t="inlineStr"/>
      <c r="N1641" s="232" t="inlineStr">
        <is>
          <t>.   .   -</t>
        </is>
      </c>
      <c r="O1641" s="232" t="inlineStr">
        <is>
          <t>ENERO</t>
        </is>
      </c>
      <c r="P1641" s="232" t="n">
        <v>4</v>
      </c>
      <c r="Q1641" s="234" t="n">
        <v>1787</v>
      </c>
      <c r="R1641" s="232" t="inlineStr"/>
      <c r="S1641" s="234" t="n">
        <v>1787</v>
      </c>
      <c r="T1641" s="232" t="inlineStr">
        <is>
          <t>CLP</t>
        </is>
      </c>
      <c r="U1641" s="232" t="inlineStr">
        <is>
          <t>Prorrateo Ha PACKING</t>
        </is>
      </c>
      <c r="V1641" s="232" t="inlineStr">
        <is>
          <t>2026-06-18</t>
        </is>
      </c>
    </row>
    <row r="1642">
      <c r="A1642" s="232" t="inlineStr">
        <is>
          <t>CR-1639</t>
        </is>
      </c>
      <c r="B1642" s="232" t="inlineStr">
        <is>
          <t>2026/27</t>
        </is>
      </c>
      <c r="C1642" s="233" t="n">
        <v>46048</v>
      </c>
      <c r="D1642" s="232" t="inlineStr">
        <is>
          <t>6587</t>
        </is>
      </c>
      <c r="E1642" s="232" t="inlineStr">
        <is>
          <t>PRORRATEO</t>
        </is>
      </c>
      <c r="F1642" s="232" t="inlineStr">
        <is>
          <t>Santa Catalina</t>
        </is>
      </c>
      <c r="G1642" s="232" t="inlineStr">
        <is>
          <t>form benjamin 1,93 ha</t>
        </is>
      </c>
      <c r="H1642" s="232" t="inlineStr">
        <is>
          <t>Limon</t>
        </is>
      </c>
      <c r="I1642" s="232" t="inlineStr">
        <is>
          <t>Benjamin andes</t>
        </is>
      </c>
      <c r="J1642" s="232" t="inlineStr">
        <is>
          <t>GASTOS GENERALES</t>
        </is>
      </c>
      <c r="K1642" s="232" t="inlineStr">
        <is>
          <t>INSUMOS BOTIQUIN</t>
        </is>
      </c>
      <c r="L1642" s="232" t="inlineStr">
        <is>
          <t>[PRORRATEO 1.3% 1.93há/148.3há] O/001280 GUANTE EX</t>
        </is>
      </c>
      <c r="M1642" s="232" t="inlineStr"/>
      <c r="N1642" s="232" t="inlineStr">
        <is>
          <t>.   .   -</t>
        </is>
      </c>
      <c r="O1642" s="232" t="inlineStr">
        <is>
          <t>ENERO</t>
        </is>
      </c>
      <c r="P1642" s="232" t="n">
        <v>4</v>
      </c>
      <c r="Q1642" s="234" t="n">
        <v>153</v>
      </c>
      <c r="R1642" s="232" t="inlineStr"/>
      <c r="S1642" s="234" t="n">
        <v>153</v>
      </c>
      <c r="T1642" s="232" t="inlineStr">
        <is>
          <t>CLP</t>
        </is>
      </c>
      <c r="U1642" s="232" t="inlineStr">
        <is>
          <t>Prorrateo Ha PACKING</t>
        </is>
      </c>
      <c r="V1642" s="232" t="inlineStr">
        <is>
          <t>2026-06-18</t>
        </is>
      </c>
    </row>
    <row r="1643">
      <c r="A1643" s="232" t="inlineStr">
        <is>
          <t>CR-1640</t>
        </is>
      </c>
      <c r="B1643" s="232" t="inlineStr">
        <is>
          <t>2026/27</t>
        </is>
      </c>
      <c r="C1643" s="233" t="n">
        <v>46048</v>
      </c>
      <c r="D1643" s="232" t="inlineStr">
        <is>
          <t>6587</t>
        </is>
      </c>
      <c r="E1643" s="232" t="inlineStr">
        <is>
          <t>PRORRATEO</t>
        </is>
      </c>
      <c r="F1643" s="232" t="inlineStr">
        <is>
          <t>Santa Catalina</t>
        </is>
      </c>
      <c r="G1643" s="232" t="inlineStr">
        <is>
          <t>mant eureka 2,5 ha</t>
        </is>
      </c>
      <c r="H1643" s="232" t="inlineStr">
        <is>
          <t>Limon</t>
        </is>
      </c>
      <c r="I1643" s="232" t="inlineStr">
        <is>
          <t>Eureka</t>
        </is>
      </c>
      <c r="J1643" s="232" t="inlineStr">
        <is>
          <t>GASTOS GENERALES</t>
        </is>
      </c>
      <c r="K1643" s="232" t="inlineStr">
        <is>
          <t>INSUMOS BOTIQUIN</t>
        </is>
      </c>
      <c r="L1643" s="232" t="inlineStr">
        <is>
          <t>[PRORRATEO 1.7% 2.5há/148.3há] O/001280 GUANTE EX</t>
        </is>
      </c>
      <c r="M1643" s="232" t="inlineStr"/>
      <c r="N1643" s="232" t="inlineStr">
        <is>
          <t>.   .   -</t>
        </is>
      </c>
      <c r="O1643" s="232" t="inlineStr">
        <is>
          <t>ENERO</t>
        </is>
      </c>
      <c r="P1643" s="232" t="n">
        <v>4</v>
      </c>
      <c r="Q1643" s="234" t="n">
        <v>198</v>
      </c>
      <c r="R1643" s="232" t="inlineStr"/>
      <c r="S1643" s="234" t="n">
        <v>198</v>
      </c>
      <c r="T1643" s="232" t="inlineStr">
        <is>
          <t>CLP</t>
        </is>
      </c>
      <c r="U1643" s="232" t="inlineStr">
        <is>
          <t>Prorrateo Ha PACKING</t>
        </is>
      </c>
      <c r="V1643" s="232" t="inlineStr">
        <is>
          <t>2026-06-18</t>
        </is>
      </c>
    </row>
    <row r="1644">
      <c r="A1644" s="232" t="inlineStr">
        <is>
          <t>CR-1641</t>
        </is>
      </c>
      <c r="B1644" s="232" t="inlineStr">
        <is>
          <t>2026/27</t>
        </is>
      </c>
      <c r="C1644" s="233" t="n">
        <v>46048</v>
      </c>
      <c r="D1644" s="232" t="inlineStr">
        <is>
          <t>6587</t>
        </is>
      </c>
      <c r="E1644" s="232" t="inlineStr">
        <is>
          <t>PRORRATEO</t>
        </is>
      </c>
      <c r="F1644" s="232" t="inlineStr">
        <is>
          <t>Siberia</t>
        </is>
      </c>
      <c r="G1644" s="232" t="inlineStr">
        <is>
          <t>S. Celebration 7,14</t>
        </is>
      </c>
      <c r="H1644" s="232" t="inlineStr">
        <is>
          <t>Uvas</t>
        </is>
      </c>
      <c r="I1644" s="232" t="inlineStr">
        <is>
          <t>S. celebration</t>
        </is>
      </c>
      <c r="J1644" s="232" t="inlineStr">
        <is>
          <t>GASTOS GENERALES</t>
        </is>
      </c>
      <c r="K1644" s="232" t="inlineStr">
        <is>
          <t>INSUMOS BOTIQUIN</t>
        </is>
      </c>
      <c r="L1644" s="232" t="inlineStr">
        <is>
          <t>[PRORRATEO 4.8% 7.14há/148.3há] O/001280 GUANTE EX</t>
        </is>
      </c>
      <c r="M1644" s="232" t="inlineStr"/>
      <c r="N1644" s="232" t="inlineStr">
        <is>
          <t>.   .   -</t>
        </is>
      </c>
      <c r="O1644" s="232" t="inlineStr">
        <is>
          <t>ENERO</t>
        </is>
      </c>
      <c r="P1644" s="232" t="n">
        <v>4</v>
      </c>
      <c r="Q1644" s="234" t="n">
        <v>566</v>
      </c>
      <c r="R1644" s="232" t="inlineStr"/>
      <c r="S1644" s="234" t="n">
        <v>566</v>
      </c>
      <c r="T1644" s="232" t="inlineStr">
        <is>
          <t>CLP</t>
        </is>
      </c>
      <c r="U1644" s="232" t="inlineStr">
        <is>
          <t>Prorrateo Ha PACKING</t>
        </is>
      </c>
      <c r="V1644" s="232" t="inlineStr">
        <is>
          <t>2026-06-18</t>
        </is>
      </c>
    </row>
    <row r="1645">
      <c r="A1645" s="232" t="inlineStr">
        <is>
          <t>CR-1642</t>
        </is>
      </c>
      <c r="B1645" s="232" t="inlineStr">
        <is>
          <t>2026/27</t>
        </is>
      </c>
      <c r="C1645" s="233" t="n">
        <v>46048</v>
      </c>
      <c r="D1645" s="232" t="inlineStr">
        <is>
          <t>6587</t>
        </is>
      </c>
      <c r="E1645" s="232" t="inlineStr">
        <is>
          <t>PRORRATEO</t>
        </is>
      </c>
      <c r="F1645" s="232" t="inlineStr">
        <is>
          <t>Siberia</t>
        </is>
      </c>
      <c r="G1645" s="232" t="inlineStr">
        <is>
          <t>Timpson 7,1</t>
        </is>
      </c>
      <c r="H1645" s="232" t="inlineStr">
        <is>
          <t>Uvas</t>
        </is>
      </c>
      <c r="I1645" s="232" t="inlineStr">
        <is>
          <t>Timpson</t>
        </is>
      </c>
      <c r="J1645" s="232" t="inlineStr">
        <is>
          <t>GASTOS GENERALES</t>
        </is>
      </c>
      <c r="K1645" s="232" t="inlineStr">
        <is>
          <t>INSUMOS BOTIQUIN</t>
        </is>
      </c>
      <c r="L1645" s="232" t="inlineStr">
        <is>
          <t>[PRORRATEO 4.8% 7.1há/148.3há] O/001280 GUANTE EX</t>
        </is>
      </c>
      <c r="M1645" s="232" t="inlineStr"/>
      <c r="N1645" s="232" t="inlineStr">
        <is>
          <t>.   .   -</t>
        </is>
      </c>
      <c r="O1645" s="232" t="inlineStr">
        <is>
          <t>ENERO</t>
        </is>
      </c>
      <c r="P1645" s="232" t="n">
        <v>4</v>
      </c>
      <c r="Q1645" s="234" t="n">
        <v>563</v>
      </c>
      <c r="R1645" s="232" t="inlineStr"/>
      <c r="S1645" s="234" t="n">
        <v>563</v>
      </c>
      <c r="T1645" s="232" t="inlineStr">
        <is>
          <t>CLP</t>
        </is>
      </c>
      <c r="U1645" s="232" t="inlineStr">
        <is>
          <t>Prorrateo Ha PACKING</t>
        </is>
      </c>
      <c r="V1645" s="232" t="inlineStr">
        <is>
          <t>2026-06-18</t>
        </is>
      </c>
    </row>
    <row r="1646">
      <c r="A1646" s="232" t="inlineStr">
        <is>
          <t>CR-1643</t>
        </is>
      </c>
      <c r="B1646" s="232" t="inlineStr">
        <is>
          <t>2026/27</t>
        </is>
      </c>
      <c r="C1646" s="233" t="n">
        <v>46048</v>
      </c>
      <c r="D1646" s="232" t="inlineStr">
        <is>
          <t>6587</t>
        </is>
      </c>
      <c r="E1646" s="232" t="inlineStr">
        <is>
          <t>PRORRATEO</t>
        </is>
      </c>
      <c r="F1646" s="232" t="inlineStr">
        <is>
          <t>Asmara</t>
        </is>
      </c>
      <c r="G1646" s="232" t="inlineStr">
        <is>
          <t>w. murcott 19,8 ha</t>
        </is>
      </c>
      <c r="H1646" s="232" t="inlineStr">
        <is>
          <t>Mandarina</t>
        </is>
      </c>
      <c r="I1646" s="232" t="inlineStr">
        <is>
          <t>W. murcott</t>
        </is>
      </c>
      <c r="J1646" s="232" t="inlineStr">
        <is>
          <t>GASTOS GENERALES</t>
        </is>
      </c>
      <c r="K1646" s="232" t="inlineStr">
        <is>
          <t>INSUMOS BOTIQUIN</t>
        </is>
      </c>
      <c r="L1646" s="232" t="inlineStr">
        <is>
          <t>[PRORRATEO 13.4% 19.8há/148.3há] O/001280 CLORURO SO</t>
        </is>
      </c>
      <c r="M1646" s="232" t="inlineStr"/>
      <c r="N1646" s="232" t="inlineStr">
        <is>
          <t>.   .   -</t>
        </is>
      </c>
      <c r="O1646" s="232" t="inlineStr">
        <is>
          <t>ENERO</t>
        </is>
      </c>
      <c r="P1646" s="232" t="n">
        <v>4</v>
      </c>
      <c r="Q1646" s="234" t="n">
        <v>1347</v>
      </c>
      <c r="R1646" s="232" t="inlineStr"/>
      <c r="S1646" s="234" t="n">
        <v>1347</v>
      </c>
      <c r="T1646" s="232" t="inlineStr">
        <is>
          <t>CLP</t>
        </is>
      </c>
      <c r="U1646" s="232" t="inlineStr">
        <is>
          <t>Prorrateo Ha PACKING</t>
        </is>
      </c>
      <c r="V1646" s="232" t="inlineStr">
        <is>
          <t>2026-06-18</t>
        </is>
      </c>
    </row>
    <row r="1647">
      <c r="A1647" s="232" t="inlineStr">
        <is>
          <t>CR-1644</t>
        </is>
      </c>
      <c r="B1647" s="232" t="inlineStr">
        <is>
          <t>2026/27</t>
        </is>
      </c>
      <c r="C1647" s="233" t="n">
        <v>46048</v>
      </c>
      <c r="D1647" s="232" t="inlineStr">
        <is>
          <t>6587</t>
        </is>
      </c>
      <c r="E1647" s="232" t="inlineStr">
        <is>
          <t>PRORRATEO</t>
        </is>
      </c>
      <c r="F1647" s="232" t="inlineStr">
        <is>
          <t>Asmara</t>
        </is>
      </c>
      <c r="G1647" s="232" t="inlineStr">
        <is>
          <t>w. murcott 4,9 ha</t>
        </is>
      </c>
      <c r="H1647" s="232" t="inlineStr">
        <is>
          <t>Mandarina</t>
        </is>
      </c>
      <c r="I1647" s="232" t="inlineStr">
        <is>
          <t>W. murcott</t>
        </is>
      </c>
      <c r="J1647" s="232" t="inlineStr">
        <is>
          <t>GASTOS GENERALES</t>
        </is>
      </c>
      <c r="K1647" s="232" t="inlineStr">
        <is>
          <t>INSUMOS BOTIQUIN</t>
        </is>
      </c>
      <c r="L1647" s="232" t="inlineStr">
        <is>
          <t>[PRORRATEO 3.3% 4.9há/148.3há] O/001280 CLORURO SO</t>
        </is>
      </c>
      <c r="M1647" s="232" t="inlineStr"/>
      <c r="N1647" s="232" t="inlineStr">
        <is>
          <t>.   .   -</t>
        </is>
      </c>
      <c r="O1647" s="232" t="inlineStr">
        <is>
          <t>ENERO</t>
        </is>
      </c>
      <c r="P1647" s="232" t="n">
        <v>4</v>
      </c>
      <c r="Q1647" s="234" t="n">
        <v>333</v>
      </c>
      <c r="R1647" s="232" t="inlineStr"/>
      <c r="S1647" s="234" t="n">
        <v>333</v>
      </c>
      <c r="T1647" s="232" t="inlineStr">
        <is>
          <t>CLP</t>
        </is>
      </c>
      <c r="U1647" s="232" t="inlineStr">
        <is>
          <t>Prorrateo Ha PACKING</t>
        </is>
      </c>
      <c r="V1647" s="232" t="inlineStr">
        <is>
          <t>2026-06-18</t>
        </is>
      </c>
    </row>
    <row r="1648">
      <c r="A1648" s="232" t="inlineStr">
        <is>
          <t>CR-1645</t>
        </is>
      </c>
      <c r="B1648" s="232" t="inlineStr">
        <is>
          <t>2026/27</t>
        </is>
      </c>
      <c r="C1648" s="233" t="n">
        <v>46048</v>
      </c>
      <c r="D1648" s="232" t="inlineStr">
        <is>
          <t>6587</t>
        </is>
      </c>
      <c r="E1648" s="232" t="inlineStr">
        <is>
          <t>PRORRATEO</t>
        </is>
      </c>
      <c r="F1648" s="232" t="inlineStr">
        <is>
          <t>El Molle</t>
        </is>
      </c>
      <c r="G1648" s="232" t="inlineStr">
        <is>
          <t>Wonderful 5,25 ha</t>
        </is>
      </c>
      <c r="H1648" s="232" t="inlineStr">
        <is>
          <t>Granados</t>
        </is>
      </c>
      <c r="I1648" s="232" t="inlineStr">
        <is>
          <t>Wonderfull</t>
        </is>
      </c>
      <c r="J1648" s="232" t="inlineStr">
        <is>
          <t>GASTOS GENERALES</t>
        </is>
      </c>
      <c r="K1648" s="232" t="inlineStr">
        <is>
          <t>INSUMOS BOTIQUIN</t>
        </is>
      </c>
      <c r="L1648" s="232" t="inlineStr">
        <is>
          <t>[PRORRATEO 3.5% 5.24há/148.3há] O/001280 CLORURO SO</t>
        </is>
      </c>
      <c r="M1648" s="232" t="inlineStr"/>
      <c r="N1648" s="232" t="inlineStr">
        <is>
          <t>.   .   -</t>
        </is>
      </c>
      <c r="O1648" s="232" t="inlineStr">
        <is>
          <t>ENERO</t>
        </is>
      </c>
      <c r="P1648" s="232" t="n">
        <v>4</v>
      </c>
      <c r="Q1648" s="234" t="n">
        <v>356</v>
      </c>
      <c r="R1648" s="232" t="inlineStr"/>
      <c r="S1648" s="234" t="n">
        <v>356</v>
      </c>
      <c r="T1648" s="232" t="inlineStr">
        <is>
          <t>CLP</t>
        </is>
      </c>
      <c r="U1648" s="232" t="inlineStr">
        <is>
          <t>Prorrateo Ha PACKING</t>
        </is>
      </c>
      <c r="V1648" s="232" t="inlineStr">
        <is>
          <t>2026-06-18</t>
        </is>
      </c>
    </row>
    <row r="1649">
      <c r="A1649" s="232" t="inlineStr">
        <is>
          <t>CR-1646</t>
        </is>
      </c>
      <c r="B1649" s="232" t="inlineStr">
        <is>
          <t>2026/27</t>
        </is>
      </c>
      <c r="C1649" s="233" t="n">
        <v>46048</v>
      </c>
      <c r="D1649" s="232" t="inlineStr">
        <is>
          <t>6587</t>
        </is>
      </c>
      <c r="E1649" s="232" t="inlineStr">
        <is>
          <t>PRORRATEO</t>
        </is>
      </c>
      <c r="F1649" s="232" t="inlineStr">
        <is>
          <t>El Molle</t>
        </is>
      </c>
      <c r="G1649" s="232" t="inlineStr">
        <is>
          <t>arrufatinas 5,74 ha</t>
        </is>
      </c>
      <c r="H1649" s="232" t="inlineStr">
        <is>
          <t>Clementinas</t>
        </is>
      </c>
      <c r="I1649" s="232" t="inlineStr">
        <is>
          <t>Arrufatinas</t>
        </is>
      </c>
      <c r="J1649" s="232" t="inlineStr">
        <is>
          <t>GASTOS GENERALES</t>
        </is>
      </c>
      <c r="K1649" s="232" t="inlineStr">
        <is>
          <t>INSUMOS BOTIQUIN</t>
        </is>
      </c>
      <c r="L1649" s="232" t="inlineStr">
        <is>
          <t>[PRORRATEO 3.9% 5.74há/148.3há] O/001280 CLORURO SO</t>
        </is>
      </c>
      <c r="M1649" s="232" t="inlineStr"/>
      <c r="N1649" s="232" t="inlineStr">
        <is>
          <t>.   .   -</t>
        </is>
      </c>
      <c r="O1649" s="232" t="inlineStr">
        <is>
          <t>ENERO</t>
        </is>
      </c>
      <c r="P1649" s="232" t="n">
        <v>4</v>
      </c>
      <c r="Q1649" s="234" t="n">
        <v>390</v>
      </c>
      <c r="R1649" s="232" t="inlineStr"/>
      <c r="S1649" s="234" t="n">
        <v>390</v>
      </c>
      <c r="T1649" s="232" t="inlineStr">
        <is>
          <t>CLP</t>
        </is>
      </c>
      <c r="U1649" s="232" t="inlineStr">
        <is>
          <t>Prorrateo Ha PACKING</t>
        </is>
      </c>
      <c r="V1649" s="232" t="inlineStr">
        <is>
          <t>2026-06-18</t>
        </is>
      </c>
    </row>
    <row r="1650">
      <c r="A1650" s="232" t="inlineStr">
        <is>
          <t>CR-1647</t>
        </is>
      </c>
      <c r="B1650" s="232" t="inlineStr">
        <is>
          <t>2026/27</t>
        </is>
      </c>
      <c r="C1650" s="233" t="n">
        <v>46048</v>
      </c>
      <c r="D1650" s="232" t="inlineStr">
        <is>
          <t>6587</t>
        </is>
      </c>
      <c r="E1650" s="232" t="inlineStr">
        <is>
          <t>PRORRATEO</t>
        </is>
      </c>
      <c r="F1650" s="232" t="inlineStr">
        <is>
          <t>El Molle</t>
        </is>
      </c>
      <c r="G1650" s="232" t="inlineStr">
        <is>
          <t>orogrande 8,11 ha</t>
        </is>
      </c>
      <c r="H1650" s="232" t="inlineStr">
        <is>
          <t>Clementinas</t>
        </is>
      </c>
      <c r="I1650" s="232" t="inlineStr">
        <is>
          <t>Orogrande</t>
        </is>
      </c>
      <c r="J1650" s="232" t="inlineStr">
        <is>
          <t>GASTOS GENERALES</t>
        </is>
      </c>
      <c r="K1650" s="232" t="inlineStr">
        <is>
          <t>INSUMOS BOTIQUIN</t>
        </is>
      </c>
      <c r="L1650" s="232" t="inlineStr">
        <is>
          <t>[PRORRATEO 5.5% 8.11há/148.3há] O/001280 CLORURO SO</t>
        </is>
      </c>
      <c r="M1650" s="232" t="inlineStr"/>
      <c r="N1650" s="232" t="inlineStr">
        <is>
          <t>.   .   -</t>
        </is>
      </c>
      <c r="O1650" s="232" t="inlineStr">
        <is>
          <t>ENERO</t>
        </is>
      </c>
      <c r="P1650" s="232" t="n">
        <v>4</v>
      </c>
      <c r="Q1650" s="234" t="n">
        <v>552</v>
      </c>
      <c r="R1650" s="232" t="inlineStr"/>
      <c r="S1650" s="234" t="n">
        <v>552</v>
      </c>
      <c r="T1650" s="232" t="inlineStr">
        <is>
          <t>CLP</t>
        </is>
      </c>
      <c r="U1650" s="232" t="inlineStr">
        <is>
          <t>Prorrateo Ha PACKING</t>
        </is>
      </c>
      <c r="V1650" s="232" t="inlineStr">
        <is>
          <t>2026-06-18</t>
        </is>
      </c>
    </row>
    <row r="1651">
      <c r="A1651" s="232" t="inlineStr">
        <is>
          <t>CR-1648</t>
        </is>
      </c>
      <c r="B1651" s="232" t="inlineStr">
        <is>
          <t>2026/27</t>
        </is>
      </c>
      <c r="C1651" s="233" t="n">
        <v>46048</v>
      </c>
      <c r="D1651" s="232" t="inlineStr">
        <is>
          <t>6587</t>
        </is>
      </c>
      <c r="E1651" s="232" t="inlineStr">
        <is>
          <t>PRORRATEO</t>
        </is>
      </c>
      <c r="F1651" s="232" t="inlineStr">
        <is>
          <t>El Molle</t>
        </is>
      </c>
      <c r="G1651" s="232" t="inlineStr">
        <is>
          <t>oronules 5,35 ha</t>
        </is>
      </c>
      <c r="H1651" s="232" t="inlineStr">
        <is>
          <t>Clementinas</t>
        </is>
      </c>
      <c r="I1651" s="232" t="inlineStr">
        <is>
          <t>Oronules</t>
        </is>
      </c>
      <c r="J1651" s="232" t="inlineStr">
        <is>
          <t>GASTOS GENERALES</t>
        </is>
      </c>
      <c r="K1651" s="232" t="inlineStr">
        <is>
          <t>INSUMOS BOTIQUIN</t>
        </is>
      </c>
      <c r="L1651" s="232" t="inlineStr">
        <is>
          <t>[PRORRATEO 3.6% 5.35há/148.3há] O/001280 CLORURO SO</t>
        </is>
      </c>
      <c r="M1651" s="232" t="inlineStr"/>
      <c r="N1651" s="232" t="inlineStr">
        <is>
          <t>.   .   -</t>
        </is>
      </c>
      <c r="O1651" s="232" t="inlineStr">
        <is>
          <t>ENERO</t>
        </is>
      </c>
      <c r="P1651" s="232" t="n">
        <v>4</v>
      </c>
      <c r="Q1651" s="234" t="n">
        <v>364</v>
      </c>
      <c r="R1651" s="232" t="inlineStr"/>
      <c r="S1651" s="234" t="n">
        <v>364</v>
      </c>
      <c r="T1651" s="232" t="inlineStr">
        <is>
          <t>CLP</t>
        </is>
      </c>
      <c r="U1651" s="232" t="inlineStr">
        <is>
          <t>Prorrateo Ha PACKING</t>
        </is>
      </c>
      <c r="V1651" s="232" t="inlineStr">
        <is>
          <t>2026-06-18</t>
        </is>
      </c>
    </row>
    <row r="1652">
      <c r="A1652" s="232" t="inlineStr">
        <is>
          <t>CR-1649</t>
        </is>
      </c>
      <c r="B1652" s="232" t="inlineStr">
        <is>
          <t>2026/27</t>
        </is>
      </c>
      <c r="C1652" s="233" t="n">
        <v>46048</v>
      </c>
      <c r="D1652" s="232" t="inlineStr">
        <is>
          <t>6587</t>
        </is>
      </c>
      <c r="E1652" s="232" t="inlineStr">
        <is>
          <t>PRORRATEO</t>
        </is>
      </c>
      <c r="F1652" s="232" t="inlineStr">
        <is>
          <t>Santa Catalina</t>
        </is>
      </c>
      <c r="G1652" s="232" t="inlineStr">
        <is>
          <t>Fino 49 7,7 ha</t>
        </is>
      </c>
      <c r="H1652" s="232" t="inlineStr">
        <is>
          <t>Limon</t>
        </is>
      </c>
      <c r="I1652" s="232" t="inlineStr">
        <is>
          <t>Fino 49</t>
        </is>
      </c>
      <c r="J1652" s="232" t="inlineStr">
        <is>
          <t>GASTOS GENERALES</t>
        </is>
      </c>
      <c r="K1652" s="232" t="inlineStr">
        <is>
          <t>INSUMOS BOTIQUIN</t>
        </is>
      </c>
      <c r="L1652" s="232" t="inlineStr">
        <is>
          <t>[PRORRATEO 5.2% 7.7há/148.3há] O/001280 CLORURO SO</t>
        </is>
      </c>
      <c r="M1652" s="232" t="inlineStr"/>
      <c r="N1652" s="232" t="inlineStr">
        <is>
          <t>.   .   -</t>
        </is>
      </c>
      <c r="O1652" s="232" t="inlineStr">
        <is>
          <t>ENERO</t>
        </is>
      </c>
      <c r="P1652" s="232" t="n">
        <v>4</v>
      </c>
      <c r="Q1652" s="234" t="n">
        <v>524</v>
      </c>
      <c r="R1652" s="232" t="inlineStr"/>
      <c r="S1652" s="234" t="n">
        <v>524</v>
      </c>
      <c r="T1652" s="232" t="inlineStr">
        <is>
          <t>CLP</t>
        </is>
      </c>
      <c r="U1652" s="232" t="inlineStr">
        <is>
          <t>Prorrateo Ha PACKING</t>
        </is>
      </c>
      <c r="V1652" s="232" t="inlineStr">
        <is>
          <t>2026-06-18</t>
        </is>
      </c>
    </row>
    <row r="1653">
      <c r="A1653" s="232" t="inlineStr">
        <is>
          <t>CR-1650</t>
        </is>
      </c>
      <c r="B1653" s="232" t="inlineStr">
        <is>
          <t>2026/27</t>
        </is>
      </c>
      <c r="C1653" s="233" t="n">
        <v>46048</v>
      </c>
      <c r="D1653" s="232" t="inlineStr">
        <is>
          <t>6587</t>
        </is>
      </c>
      <c r="E1653" s="232" t="inlineStr">
        <is>
          <t>PRORRATEO</t>
        </is>
      </c>
      <c r="F1653" s="232" t="inlineStr">
        <is>
          <t>Santa Catalina</t>
        </is>
      </c>
      <c r="G1653" s="232" t="inlineStr">
        <is>
          <t>W. murcott 21 ha</t>
        </is>
      </c>
      <c r="H1653" s="232" t="inlineStr">
        <is>
          <t>Mandarina</t>
        </is>
      </c>
      <c r="I1653" s="232" t="inlineStr">
        <is>
          <t>W. murcott</t>
        </is>
      </c>
      <c r="J1653" s="232" t="inlineStr">
        <is>
          <t>GASTOS GENERALES</t>
        </is>
      </c>
      <c r="K1653" s="232" t="inlineStr">
        <is>
          <t>INSUMOS BOTIQUIN</t>
        </is>
      </c>
      <c r="L1653" s="232" t="inlineStr">
        <is>
          <t>[PRORRATEO 14.2% 21.0há/148.3há] O/001280 CLORURO SO</t>
        </is>
      </c>
      <c r="M1653" s="232" t="inlineStr"/>
      <c r="N1653" s="232" t="inlineStr">
        <is>
          <t>.   .   -</t>
        </is>
      </c>
      <c r="O1653" s="232" t="inlineStr">
        <is>
          <t>ENERO</t>
        </is>
      </c>
      <c r="P1653" s="232" t="n">
        <v>4</v>
      </c>
      <c r="Q1653" s="234" t="n">
        <v>1428</v>
      </c>
      <c r="R1653" s="232" t="inlineStr"/>
      <c r="S1653" s="234" t="n">
        <v>1428</v>
      </c>
      <c r="T1653" s="232" t="inlineStr">
        <is>
          <t>CLP</t>
        </is>
      </c>
      <c r="U1653" s="232" t="inlineStr">
        <is>
          <t>Prorrateo Ha PACKING</t>
        </is>
      </c>
      <c r="V1653" s="232" t="inlineStr">
        <is>
          <t>2026-06-18</t>
        </is>
      </c>
    </row>
    <row r="1654">
      <c r="A1654" s="232" t="inlineStr">
        <is>
          <t>CR-1651</t>
        </is>
      </c>
      <c r="B1654" s="232" t="inlineStr">
        <is>
          <t>2026/27</t>
        </is>
      </c>
      <c r="C1654" s="233" t="n">
        <v>46048</v>
      </c>
      <c r="D1654" s="232" t="inlineStr">
        <is>
          <t>6587</t>
        </is>
      </c>
      <c r="E1654" s="232" t="inlineStr">
        <is>
          <t>PRORRATEO</t>
        </is>
      </c>
      <c r="F1654" s="232" t="inlineStr">
        <is>
          <t>Santa Catalina</t>
        </is>
      </c>
      <c r="G1654" s="232" t="inlineStr">
        <is>
          <t>cambria 4,2 ha</t>
        </is>
      </c>
      <c r="H1654" s="232" t="inlineStr">
        <is>
          <t>Naranjas</t>
        </is>
      </c>
      <c r="I1654" s="232" t="inlineStr">
        <is>
          <t>Cambria</t>
        </is>
      </c>
      <c r="J1654" s="232" t="inlineStr">
        <is>
          <t>GASTOS GENERALES</t>
        </is>
      </c>
      <c r="K1654" s="232" t="inlineStr">
        <is>
          <t>INSUMOS BOTIQUIN</t>
        </is>
      </c>
      <c r="L1654" s="232" t="inlineStr">
        <is>
          <t>[PRORRATEO 2.8% 4.2há/148.3há] O/001280 CLORURO SO</t>
        </is>
      </c>
      <c r="M1654" s="232" t="inlineStr"/>
      <c r="N1654" s="232" t="inlineStr">
        <is>
          <t>.   .   -</t>
        </is>
      </c>
      <c r="O1654" s="232" t="inlineStr">
        <is>
          <t>ENERO</t>
        </is>
      </c>
      <c r="P1654" s="232" t="n">
        <v>4</v>
      </c>
      <c r="Q1654" s="234" t="n">
        <v>286</v>
      </c>
      <c r="R1654" s="232" t="inlineStr"/>
      <c r="S1654" s="234" t="n">
        <v>286</v>
      </c>
      <c r="T1654" s="232" t="inlineStr">
        <is>
          <t>CLP</t>
        </is>
      </c>
      <c r="U1654" s="232" t="inlineStr">
        <is>
          <t>Prorrateo Ha PACKING</t>
        </is>
      </c>
      <c r="V1654" s="232" t="inlineStr">
        <is>
          <t>2026-06-18</t>
        </is>
      </c>
    </row>
    <row r="1655">
      <c r="A1655" s="232" t="inlineStr">
        <is>
          <t>CR-1652</t>
        </is>
      </c>
      <c r="B1655" s="232" t="inlineStr">
        <is>
          <t>2026/27</t>
        </is>
      </c>
      <c r="C1655" s="233" t="n">
        <v>46048</v>
      </c>
      <c r="D1655" s="232" t="inlineStr">
        <is>
          <t>6587</t>
        </is>
      </c>
      <c r="E1655" s="232" t="inlineStr">
        <is>
          <t>PRORRATEO</t>
        </is>
      </c>
      <c r="F1655" s="232" t="inlineStr">
        <is>
          <t>Santa Catalina</t>
        </is>
      </c>
      <c r="G1655" s="232" t="inlineStr">
        <is>
          <t>eureka 10,6 ha</t>
        </is>
      </c>
      <c r="H1655" s="232" t="inlineStr">
        <is>
          <t>Limon</t>
        </is>
      </c>
      <c r="I1655" s="232" t="inlineStr">
        <is>
          <t>Eureka</t>
        </is>
      </c>
      <c r="J1655" s="232" t="inlineStr">
        <is>
          <t>GASTOS GENERALES</t>
        </is>
      </c>
      <c r="K1655" s="232" t="inlineStr">
        <is>
          <t>INSUMOS BOTIQUIN</t>
        </is>
      </c>
      <c r="L1655" s="232" t="inlineStr">
        <is>
          <t>[PRORRATEO 7.1% 10.6há/148.3há] O/001280 CLORURO SO</t>
        </is>
      </c>
      <c r="M1655" s="232" t="inlineStr"/>
      <c r="N1655" s="232" t="inlineStr">
        <is>
          <t>.   .   -</t>
        </is>
      </c>
      <c r="O1655" s="232" t="inlineStr">
        <is>
          <t>ENERO</t>
        </is>
      </c>
      <c r="P1655" s="232" t="n">
        <v>4</v>
      </c>
      <c r="Q1655" s="234" t="n">
        <v>721</v>
      </c>
      <c r="R1655" s="232" t="inlineStr"/>
      <c r="S1655" s="234" t="n">
        <v>721</v>
      </c>
      <c r="T1655" s="232" t="inlineStr">
        <is>
          <t>CLP</t>
        </is>
      </c>
      <c r="U1655" s="232" t="inlineStr">
        <is>
          <t>Prorrateo Ha PACKING</t>
        </is>
      </c>
      <c r="V1655" s="232" t="inlineStr">
        <is>
          <t>2026-06-18</t>
        </is>
      </c>
    </row>
    <row r="1656">
      <c r="A1656" s="232" t="inlineStr">
        <is>
          <t>CR-1653</t>
        </is>
      </c>
      <c r="B1656" s="232" t="inlineStr">
        <is>
          <t>2026/27</t>
        </is>
      </c>
      <c r="C1656" s="233" t="n">
        <v>46048</v>
      </c>
      <c r="D1656" s="232" t="inlineStr">
        <is>
          <t>6587</t>
        </is>
      </c>
      <c r="E1656" s="232" t="inlineStr">
        <is>
          <t>PRORRATEO</t>
        </is>
      </c>
      <c r="F1656" s="232" t="inlineStr">
        <is>
          <t>Santa Catalina</t>
        </is>
      </c>
      <c r="G1656" s="232" t="inlineStr">
        <is>
          <t>eureka 14,4 ha</t>
        </is>
      </c>
      <c r="H1656" s="232" t="inlineStr">
        <is>
          <t>Limon</t>
        </is>
      </c>
      <c r="I1656" s="232" t="inlineStr">
        <is>
          <t>Eureka</t>
        </is>
      </c>
      <c r="J1656" s="232" t="inlineStr">
        <is>
          <t>GASTOS GENERALES</t>
        </is>
      </c>
      <c r="K1656" s="232" t="inlineStr">
        <is>
          <t>INSUMOS BOTIQUIN</t>
        </is>
      </c>
      <c r="L1656" s="232" t="inlineStr">
        <is>
          <t>[PRORRATEO 9.7% 14.4há/148.3há] O/001280 CLORURO SO</t>
        </is>
      </c>
      <c r="M1656" s="232" t="inlineStr"/>
      <c r="N1656" s="232" t="inlineStr">
        <is>
          <t>.   .   -</t>
        </is>
      </c>
      <c r="O1656" s="232" t="inlineStr">
        <is>
          <t>ENERO</t>
        </is>
      </c>
      <c r="P1656" s="232" t="n">
        <v>4</v>
      </c>
      <c r="Q1656" s="234" t="n">
        <v>979</v>
      </c>
      <c r="R1656" s="232" t="inlineStr"/>
      <c r="S1656" s="234" t="n">
        <v>979</v>
      </c>
      <c r="T1656" s="232" t="inlineStr">
        <is>
          <t>CLP</t>
        </is>
      </c>
      <c r="U1656" s="232" t="inlineStr">
        <is>
          <t>Prorrateo Ha PACKING</t>
        </is>
      </c>
      <c r="V1656" s="232" t="inlineStr">
        <is>
          <t>2026-06-18</t>
        </is>
      </c>
    </row>
    <row r="1657">
      <c r="A1657" s="232" t="inlineStr">
        <is>
          <t>CR-1654</t>
        </is>
      </c>
      <c r="B1657" s="232" t="inlineStr">
        <is>
          <t>2026/27</t>
        </is>
      </c>
      <c r="C1657" s="233" t="n">
        <v>46048</v>
      </c>
      <c r="D1657" s="232" t="inlineStr">
        <is>
          <t>6587</t>
        </is>
      </c>
      <c r="E1657" s="232" t="inlineStr">
        <is>
          <t>PRORRATEO</t>
        </is>
      </c>
      <c r="F1657" s="232" t="inlineStr">
        <is>
          <t>Santa Catalina</t>
        </is>
      </c>
      <c r="G1657" s="232" t="inlineStr">
        <is>
          <t>eureka 22,55</t>
        </is>
      </c>
      <c r="H1657" s="232" t="inlineStr">
        <is>
          <t>Limon</t>
        </is>
      </c>
      <c r="I1657" s="232" t="inlineStr">
        <is>
          <t>Eureka</t>
        </is>
      </c>
      <c r="J1657" s="232" t="inlineStr">
        <is>
          <t>GASTOS GENERALES</t>
        </is>
      </c>
      <c r="K1657" s="232" t="inlineStr">
        <is>
          <t>INSUMOS BOTIQUIN</t>
        </is>
      </c>
      <c r="L1657" s="232" t="inlineStr">
        <is>
          <t>[PRORRATEO 15.2% 22.55há/148.3há] O/001280 CLORURO SO</t>
        </is>
      </c>
      <c r="M1657" s="232" t="inlineStr"/>
      <c r="N1657" s="232" t="inlineStr">
        <is>
          <t>.   .   -</t>
        </is>
      </c>
      <c r="O1657" s="232" t="inlineStr">
        <is>
          <t>ENERO</t>
        </is>
      </c>
      <c r="P1657" s="232" t="n">
        <v>4</v>
      </c>
      <c r="Q1657" s="234" t="n">
        <v>1534</v>
      </c>
      <c r="R1657" s="232" t="inlineStr"/>
      <c r="S1657" s="234" t="n">
        <v>1534</v>
      </c>
      <c r="T1657" s="232" t="inlineStr">
        <is>
          <t>CLP</t>
        </is>
      </c>
      <c r="U1657" s="232" t="inlineStr">
        <is>
          <t>Prorrateo Ha PACKING</t>
        </is>
      </c>
      <c r="V1657" s="232" t="inlineStr">
        <is>
          <t>2026-06-18</t>
        </is>
      </c>
    </row>
    <row r="1658">
      <c r="A1658" s="232" t="inlineStr">
        <is>
          <t>CR-1655</t>
        </is>
      </c>
      <c r="B1658" s="232" t="inlineStr">
        <is>
          <t>2026/27</t>
        </is>
      </c>
      <c r="C1658" s="233" t="n">
        <v>46048</v>
      </c>
      <c r="D1658" s="232" t="inlineStr">
        <is>
          <t>6587</t>
        </is>
      </c>
      <c r="E1658" s="232" t="inlineStr">
        <is>
          <t>PRORRATEO</t>
        </is>
      </c>
      <c r="F1658" s="232" t="inlineStr">
        <is>
          <t>Santa Catalina</t>
        </is>
      </c>
      <c r="G1658" s="232" t="inlineStr">
        <is>
          <t>form benjamin 1,93 ha</t>
        </is>
      </c>
      <c r="H1658" s="232" t="inlineStr">
        <is>
          <t>Limon</t>
        </is>
      </c>
      <c r="I1658" s="232" t="inlineStr">
        <is>
          <t>Benjamin andes</t>
        </is>
      </c>
      <c r="J1658" s="232" t="inlineStr">
        <is>
          <t>GASTOS GENERALES</t>
        </is>
      </c>
      <c r="K1658" s="232" t="inlineStr">
        <is>
          <t>INSUMOS BOTIQUIN</t>
        </is>
      </c>
      <c r="L1658" s="232" t="inlineStr">
        <is>
          <t>[PRORRATEO 1.3% 1.93há/148.3há] O/001280 CLORURO SO</t>
        </is>
      </c>
      <c r="M1658" s="232" t="inlineStr"/>
      <c r="N1658" s="232" t="inlineStr">
        <is>
          <t>.   .   -</t>
        </is>
      </c>
      <c r="O1658" s="232" t="inlineStr">
        <is>
          <t>ENERO</t>
        </is>
      </c>
      <c r="P1658" s="232" t="n">
        <v>4</v>
      </c>
      <c r="Q1658" s="234" t="n">
        <v>131</v>
      </c>
      <c r="R1658" s="232" t="inlineStr"/>
      <c r="S1658" s="234" t="n">
        <v>131</v>
      </c>
      <c r="T1658" s="232" t="inlineStr">
        <is>
          <t>CLP</t>
        </is>
      </c>
      <c r="U1658" s="232" t="inlineStr">
        <is>
          <t>Prorrateo Ha PACKING</t>
        </is>
      </c>
      <c r="V1658" s="232" t="inlineStr">
        <is>
          <t>2026-06-18</t>
        </is>
      </c>
    </row>
    <row r="1659">
      <c r="A1659" s="232" t="inlineStr">
        <is>
          <t>CR-1656</t>
        </is>
      </c>
      <c r="B1659" s="232" t="inlineStr">
        <is>
          <t>2026/27</t>
        </is>
      </c>
      <c r="C1659" s="233" t="n">
        <v>46048</v>
      </c>
      <c r="D1659" s="232" t="inlineStr">
        <is>
          <t>6587</t>
        </is>
      </c>
      <c r="E1659" s="232" t="inlineStr">
        <is>
          <t>PRORRATEO</t>
        </is>
      </c>
      <c r="F1659" s="232" t="inlineStr">
        <is>
          <t>Santa Catalina</t>
        </is>
      </c>
      <c r="G1659" s="232" t="inlineStr">
        <is>
          <t>mant eureka 2,5 ha</t>
        </is>
      </c>
      <c r="H1659" s="232" t="inlineStr">
        <is>
          <t>Limon</t>
        </is>
      </c>
      <c r="I1659" s="232" t="inlineStr">
        <is>
          <t>Eureka</t>
        </is>
      </c>
      <c r="J1659" s="232" t="inlineStr">
        <is>
          <t>GASTOS GENERALES</t>
        </is>
      </c>
      <c r="K1659" s="232" t="inlineStr">
        <is>
          <t>INSUMOS BOTIQUIN</t>
        </is>
      </c>
      <c r="L1659" s="232" t="inlineStr">
        <is>
          <t>[PRORRATEO 1.7% 2.5há/148.3há] O/001280 CLORURO SO</t>
        </is>
      </c>
      <c r="M1659" s="232" t="inlineStr"/>
      <c r="N1659" s="232" t="inlineStr">
        <is>
          <t>.   .   -</t>
        </is>
      </c>
      <c r="O1659" s="232" t="inlineStr">
        <is>
          <t>ENERO</t>
        </is>
      </c>
      <c r="P1659" s="232" t="n">
        <v>4</v>
      </c>
      <c r="Q1659" s="234" t="n">
        <v>170</v>
      </c>
      <c r="R1659" s="232" t="inlineStr"/>
      <c r="S1659" s="234" t="n">
        <v>170</v>
      </c>
      <c r="T1659" s="232" t="inlineStr">
        <is>
          <t>CLP</t>
        </is>
      </c>
      <c r="U1659" s="232" t="inlineStr">
        <is>
          <t>Prorrateo Ha PACKING</t>
        </is>
      </c>
      <c r="V1659" s="232" t="inlineStr">
        <is>
          <t>2026-06-18</t>
        </is>
      </c>
    </row>
    <row r="1660">
      <c r="A1660" s="232" t="inlineStr">
        <is>
          <t>CR-1657</t>
        </is>
      </c>
      <c r="B1660" s="232" t="inlineStr">
        <is>
          <t>2026/27</t>
        </is>
      </c>
      <c r="C1660" s="233" t="n">
        <v>46048</v>
      </c>
      <c r="D1660" s="232" t="inlineStr">
        <is>
          <t>6587</t>
        </is>
      </c>
      <c r="E1660" s="232" t="inlineStr">
        <is>
          <t>PRORRATEO</t>
        </is>
      </c>
      <c r="F1660" s="232" t="inlineStr">
        <is>
          <t>Siberia</t>
        </is>
      </c>
      <c r="G1660" s="232" t="inlineStr">
        <is>
          <t>S. Celebration 7,14</t>
        </is>
      </c>
      <c r="H1660" s="232" t="inlineStr">
        <is>
          <t>Uvas</t>
        </is>
      </c>
      <c r="I1660" s="232" t="inlineStr">
        <is>
          <t>S. celebration</t>
        </is>
      </c>
      <c r="J1660" s="232" t="inlineStr">
        <is>
          <t>GASTOS GENERALES</t>
        </is>
      </c>
      <c r="K1660" s="232" t="inlineStr">
        <is>
          <t>INSUMOS BOTIQUIN</t>
        </is>
      </c>
      <c r="L1660" s="232" t="inlineStr">
        <is>
          <t>[PRORRATEO 4.8% 7.14há/148.3há] O/001280 CLORURO SO</t>
        </is>
      </c>
      <c r="M1660" s="232" t="inlineStr"/>
      <c r="N1660" s="232" t="inlineStr">
        <is>
          <t>.   .   -</t>
        </is>
      </c>
      <c r="O1660" s="232" t="inlineStr">
        <is>
          <t>ENERO</t>
        </is>
      </c>
      <c r="P1660" s="232" t="n">
        <v>4</v>
      </c>
      <c r="Q1660" s="234" t="n">
        <v>486</v>
      </c>
      <c r="R1660" s="232" t="inlineStr"/>
      <c r="S1660" s="234" t="n">
        <v>486</v>
      </c>
      <c r="T1660" s="232" t="inlineStr">
        <is>
          <t>CLP</t>
        </is>
      </c>
      <c r="U1660" s="232" t="inlineStr">
        <is>
          <t>Prorrateo Ha PACKING</t>
        </is>
      </c>
      <c r="V1660" s="232" t="inlineStr">
        <is>
          <t>2026-06-18</t>
        </is>
      </c>
    </row>
    <row r="1661">
      <c r="A1661" s="232" t="inlineStr">
        <is>
          <t>CR-1658</t>
        </is>
      </c>
      <c r="B1661" s="232" t="inlineStr">
        <is>
          <t>2026/27</t>
        </is>
      </c>
      <c r="C1661" s="233" t="n">
        <v>46048</v>
      </c>
      <c r="D1661" s="232" t="inlineStr">
        <is>
          <t>6587</t>
        </is>
      </c>
      <c r="E1661" s="232" t="inlineStr">
        <is>
          <t>PRORRATEO</t>
        </is>
      </c>
      <c r="F1661" s="232" t="inlineStr">
        <is>
          <t>Siberia</t>
        </is>
      </c>
      <c r="G1661" s="232" t="inlineStr">
        <is>
          <t>Timpson 7,1</t>
        </is>
      </c>
      <c r="H1661" s="232" t="inlineStr">
        <is>
          <t>Uvas</t>
        </is>
      </c>
      <c r="I1661" s="232" t="inlineStr">
        <is>
          <t>Timpson</t>
        </is>
      </c>
      <c r="J1661" s="232" t="inlineStr">
        <is>
          <t>GASTOS GENERALES</t>
        </is>
      </c>
      <c r="K1661" s="232" t="inlineStr">
        <is>
          <t>INSUMOS BOTIQUIN</t>
        </is>
      </c>
      <c r="L1661" s="232" t="inlineStr">
        <is>
          <t>[PRORRATEO 4.8% 7.1há/148.3há] O/001280 CLORURO SO</t>
        </is>
      </c>
      <c r="M1661" s="232" t="inlineStr"/>
      <c r="N1661" s="232" t="inlineStr">
        <is>
          <t>.   .   -</t>
        </is>
      </c>
      <c r="O1661" s="232" t="inlineStr">
        <is>
          <t>ENERO</t>
        </is>
      </c>
      <c r="P1661" s="232" t="n">
        <v>4</v>
      </c>
      <c r="Q1661" s="234" t="n">
        <v>483</v>
      </c>
      <c r="R1661" s="232" t="inlineStr"/>
      <c r="S1661" s="234" t="n">
        <v>483</v>
      </c>
      <c r="T1661" s="232" t="inlineStr">
        <is>
          <t>CLP</t>
        </is>
      </c>
      <c r="U1661" s="232" t="inlineStr">
        <is>
          <t>Prorrateo Ha PACKING</t>
        </is>
      </c>
      <c r="V1661" s="232" t="inlineStr">
        <is>
          <t>2026-06-18</t>
        </is>
      </c>
    </row>
    <row r="1662">
      <c r="A1662" s="232" t="inlineStr">
        <is>
          <t>CR-1659</t>
        </is>
      </c>
      <c r="B1662" s="232" t="inlineStr">
        <is>
          <t>2026/27</t>
        </is>
      </c>
      <c r="C1662" s="233" t="n">
        <v>46048</v>
      </c>
      <c r="D1662" s="232" t="inlineStr">
        <is>
          <t>6587</t>
        </is>
      </c>
      <c r="E1662" s="232" t="inlineStr">
        <is>
          <t>PRORRATEO</t>
        </is>
      </c>
      <c r="F1662" s="232" t="inlineStr">
        <is>
          <t>Asmara</t>
        </is>
      </c>
      <c r="G1662" s="232" t="inlineStr">
        <is>
          <t>w. murcott 19,8 ha</t>
        </is>
      </c>
      <c r="H1662" s="232" t="inlineStr">
        <is>
          <t>Mandarina</t>
        </is>
      </c>
      <c r="I1662" s="232" t="inlineStr">
        <is>
          <t>W. murcott</t>
        </is>
      </c>
      <c r="J1662" s="232" t="inlineStr">
        <is>
          <t>GASTOS GENERALES</t>
        </is>
      </c>
      <c r="K1662" s="232" t="inlineStr">
        <is>
          <t>INSUMOS BOTIQUIN</t>
        </is>
      </c>
      <c r="L1662" s="232" t="inlineStr">
        <is>
          <t>[PRORRATEO 13.4% 19.8há/148.3há] O/001280 NEXC. GASA</t>
        </is>
      </c>
      <c r="M1662" s="232" t="inlineStr"/>
      <c r="N1662" s="232" t="inlineStr">
        <is>
          <t>.   .   -</t>
        </is>
      </c>
      <c r="O1662" s="232" t="inlineStr">
        <is>
          <t>ENERO</t>
        </is>
      </c>
      <c r="P1662" s="232" t="n">
        <v>4</v>
      </c>
      <c r="Q1662" s="234" t="n">
        <v>1582</v>
      </c>
      <c r="R1662" s="232" t="inlineStr"/>
      <c r="S1662" s="234" t="n">
        <v>1582</v>
      </c>
      <c r="T1662" s="232" t="inlineStr">
        <is>
          <t>CLP</t>
        </is>
      </c>
      <c r="U1662" s="232" t="inlineStr">
        <is>
          <t>Prorrateo Ha PACKING</t>
        </is>
      </c>
      <c r="V1662" s="232" t="inlineStr">
        <is>
          <t>2026-06-18</t>
        </is>
      </c>
    </row>
    <row r="1663">
      <c r="A1663" s="232" t="inlineStr">
        <is>
          <t>CR-1660</t>
        </is>
      </c>
      <c r="B1663" s="232" t="inlineStr">
        <is>
          <t>2026/27</t>
        </is>
      </c>
      <c r="C1663" s="233" t="n">
        <v>46048</v>
      </c>
      <c r="D1663" s="232" t="inlineStr">
        <is>
          <t>6587</t>
        </is>
      </c>
      <c r="E1663" s="232" t="inlineStr">
        <is>
          <t>PRORRATEO</t>
        </is>
      </c>
      <c r="F1663" s="232" t="inlineStr">
        <is>
          <t>Asmara</t>
        </is>
      </c>
      <c r="G1663" s="232" t="inlineStr">
        <is>
          <t>w. murcott 4,9 ha</t>
        </is>
      </c>
      <c r="H1663" s="232" t="inlineStr">
        <is>
          <t>Mandarina</t>
        </is>
      </c>
      <c r="I1663" s="232" t="inlineStr">
        <is>
          <t>W. murcott</t>
        </is>
      </c>
      <c r="J1663" s="232" t="inlineStr">
        <is>
          <t>GASTOS GENERALES</t>
        </is>
      </c>
      <c r="K1663" s="232" t="inlineStr">
        <is>
          <t>INSUMOS BOTIQUIN</t>
        </is>
      </c>
      <c r="L1663" s="232" t="inlineStr">
        <is>
          <t>[PRORRATEO 3.3% 4.9há/148.3há] O/001280 NEXC. GASA</t>
        </is>
      </c>
      <c r="M1663" s="232" t="inlineStr"/>
      <c r="N1663" s="232" t="inlineStr">
        <is>
          <t>.   .   -</t>
        </is>
      </c>
      <c r="O1663" s="232" t="inlineStr">
        <is>
          <t>ENERO</t>
        </is>
      </c>
      <c r="P1663" s="232" t="n">
        <v>4</v>
      </c>
      <c r="Q1663" s="234" t="n">
        <v>392</v>
      </c>
      <c r="R1663" s="232" t="inlineStr"/>
      <c r="S1663" s="234" t="n">
        <v>392</v>
      </c>
      <c r="T1663" s="232" t="inlineStr">
        <is>
          <t>CLP</t>
        </is>
      </c>
      <c r="U1663" s="232" t="inlineStr">
        <is>
          <t>Prorrateo Ha PACKING</t>
        </is>
      </c>
      <c r="V1663" s="232" t="inlineStr">
        <is>
          <t>2026-06-18</t>
        </is>
      </c>
    </row>
    <row r="1664">
      <c r="A1664" s="232" t="inlineStr">
        <is>
          <t>CR-1661</t>
        </is>
      </c>
      <c r="B1664" s="232" t="inlineStr">
        <is>
          <t>2026/27</t>
        </is>
      </c>
      <c r="C1664" s="233" t="n">
        <v>46048</v>
      </c>
      <c r="D1664" s="232" t="inlineStr">
        <is>
          <t>6587</t>
        </is>
      </c>
      <c r="E1664" s="232" t="inlineStr">
        <is>
          <t>PRORRATEO</t>
        </is>
      </c>
      <c r="F1664" s="232" t="inlineStr">
        <is>
          <t>El Molle</t>
        </is>
      </c>
      <c r="G1664" s="232" t="inlineStr">
        <is>
          <t>Wonderful 5,25 ha</t>
        </is>
      </c>
      <c r="H1664" s="232" t="inlineStr">
        <is>
          <t>Granados</t>
        </is>
      </c>
      <c r="I1664" s="232" t="inlineStr">
        <is>
          <t>Wonderfull</t>
        </is>
      </c>
      <c r="J1664" s="232" t="inlineStr">
        <is>
          <t>GASTOS GENERALES</t>
        </is>
      </c>
      <c r="K1664" s="232" t="inlineStr">
        <is>
          <t>INSUMOS BOTIQUIN</t>
        </is>
      </c>
      <c r="L1664" s="232" t="inlineStr">
        <is>
          <t>[PRORRATEO 3.5% 5.24há/148.3há] O/001280 NEXC. GASA</t>
        </is>
      </c>
      <c r="M1664" s="232" t="inlineStr"/>
      <c r="N1664" s="232" t="inlineStr">
        <is>
          <t>.   .   -</t>
        </is>
      </c>
      <c r="O1664" s="232" t="inlineStr">
        <is>
          <t>ENERO</t>
        </is>
      </c>
      <c r="P1664" s="232" t="n">
        <v>4</v>
      </c>
      <c r="Q1664" s="234" t="n">
        <v>419</v>
      </c>
      <c r="R1664" s="232" t="inlineStr"/>
      <c r="S1664" s="234" t="n">
        <v>419</v>
      </c>
      <c r="T1664" s="232" t="inlineStr">
        <is>
          <t>CLP</t>
        </is>
      </c>
      <c r="U1664" s="232" t="inlineStr">
        <is>
          <t>Prorrateo Ha PACKING</t>
        </is>
      </c>
      <c r="V1664" s="232" t="inlineStr">
        <is>
          <t>2026-06-18</t>
        </is>
      </c>
    </row>
    <row r="1665">
      <c r="A1665" s="232" t="inlineStr">
        <is>
          <t>CR-1662</t>
        </is>
      </c>
      <c r="B1665" s="232" t="inlineStr">
        <is>
          <t>2026/27</t>
        </is>
      </c>
      <c r="C1665" s="233" t="n">
        <v>46048</v>
      </c>
      <c r="D1665" s="232" t="inlineStr">
        <is>
          <t>6587</t>
        </is>
      </c>
      <c r="E1665" s="232" t="inlineStr">
        <is>
          <t>PRORRATEO</t>
        </is>
      </c>
      <c r="F1665" s="232" t="inlineStr">
        <is>
          <t>El Molle</t>
        </is>
      </c>
      <c r="G1665" s="232" t="inlineStr">
        <is>
          <t>arrufatinas 5,74 ha</t>
        </is>
      </c>
      <c r="H1665" s="232" t="inlineStr">
        <is>
          <t>Clementinas</t>
        </is>
      </c>
      <c r="I1665" s="232" t="inlineStr">
        <is>
          <t>Arrufatinas</t>
        </is>
      </c>
      <c r="J1665" s="232" t="inlineStr">
        <is>
          <t>GASTOS GENERALES</t>
        </is>
      </c>
      <c r="K1665" s="232" t="inlineStr">
        <is>
          <t>INSUMOS BOTIQUIN</t>
        </is>
      </c>
      <c r="L1665" s="232" t="inlineStr">
        <is>
          <t>[PRORRATEO 3.9% 5.74há/148.3há] O/001280 NEXC. GASA</t>
        </is>
      </c>
      <c r="M1665" s="232" t="inlineStr"/>
      <c r="N1665" s="232" t="inlineStr">
        <is>
          <t>.   .   -</t>
        </is>
      </c>
      <c r="O1665" s="232" t="inlineStr">
        <is>
          <t>ENERO</t>
        </is>
      </c>
      <c r="P1665" s="232" t="n">
        <v>4</v>
      </c>
      <c r="Q1665" s="234" t="n">
        <v>459</v>
      </c>
      <c r="R1665" s="232" t="inlineStr"/>
      <c r="S1665" s="234" t="n">
        <v>459</v>
      </c>
      <c r="T1665" s="232" t="inlineStr">
        <is>
          <t>CLP</t>
        </is>
      </c>
      <c r="U1665" s="232" t="inlineStr">
        <is>
          <t>Prorrateo Ha PACKING</t>
        </is>
      </c>
      <c r="V1665" s="232" t="inlineStr">
        <is>
          <t>2026-06-18</t>
        </is>
      </c>
    </row>
    <row r="1666">
      <c r="A1666" s="232" t="inlineStr">
        <is>
          <t>CR-1663</t>
        </is>
      </c>
      <c r="B1666" s="232" t="inlineStr">
        <is>
          <t>2026/27</t>
        </is>
      </c>
      <c r="C1666" s="233" t="n">
        <v>46048</v>
      </c>
      <c r="D1666" s="232" t="inlineStr">
        <is>
          <t>6587</t>
        </is>
      </c>
      <c r="E1666" s="232" t="inlineStr">
        <is>
          <t>PRORRATEO</t>
        </is>
      </c>
      <c r="F1666" s="232" t="inlineStr">
        <is>
          <t>El Molle</t>
        </is>
      </c>
      <c r="G1666" s="232" t="inlineStr">
        <is>
          <t>orogrande 8,11 ha</t>
        </is>
      </c>
      <c r="H1666" s="232" t="inlineStr">
        <is>
          <t>Clementinas</t>
        </is>
      </c>
      <c r="I1666" s="232" t="inlineStr">
        <is>
          <t>Orogrande</t>
        </is>
      </c>
      <c r="J1666" s="232" t="inlineStr">
        <is>
          <t>GASTOS GENERALES</t>
        </is>
      </c>
      <c r="K1666" s="232" t="inlineStr">
        <is>
          <t>INSUMOS BOTIQUIN</t>
        </is>
      </c>
      <c r="L1666" s="232" t="inlineStr">
        <is>
          <t>[PRORRATEO 5.5% 8.11há/148.3há] O/001280 NEXC. GASA</t>
        </is>
      </c>
      <c r="M1666" s="232" t="inlineStr"/>
      <c r="N1666" s="232" t="inlineStr">
        <is>
          <t>.   .   -</t>
        </is>
      </c>
      <c r="O1666" s="232" t="inlineStr">
        <is>
          <t>ENERO</t>
        </is>
      </c>
      <c r="P1666" s="232" t="n">
        <v>4</v>
      </c>
      <c r="Q1666" s="234" t="n">
        <v>648</v>
      </c>
      <c r="R1666" s="232" t="inlineStr"/>
      <c r="S1666" s="234" t="n">
        <v>648</v>
      </c>
      <c r="T1666" s="232" t="inlineStr">
        <is>
          <t>CLP</t>
        </is>
      </c>
      <c r="U1666" s="232" t="inlineStr">
        <is>
          <t>Prorrateo Ha PACKING</t>
        </is>
      </c>
      <c r="V1666" s="232" t="inlineStr">
        <is>
          <t>2026-06-18</t>
        </is>
      </c>
    </row>
    <row r="1667">
      <c r="A1667" s="232" t="inlineStr">
        <is>
          <t>CR-1664</t>
        </is>
      </c>
      <c r="B1667" s="232" t="inlineStr">
        <is>
          <t>2026/27</t>
        </is>
      </c>
      <c r="C1667" s="233" t="n">
        <v>46048</v>
      </c>
      <c r="D1667" s="232" t="inlineStr">
        <is>
          <t>6587</t>
        </is>
      </c>
      <c r="E1667" s="232" t="inlineStr">
        <is>
          <t>PRORRATEO</t>
        </is>
      </c>
      <c r="F1667" s="232" t="inlineStr">
        <is>
          <t>El Molle</t>
        </is>
      </c>
      <c r="G1667" s="232" t="inlineStr">
        <is>
          <t>oronules 5,35 ha</t>
        </is>
      </c>
      <c r="H1667" s="232" t="inlineStr">
        <is>
          <t>Clementinas</t>
        </is>
      </c>
      <c r="I1667" s="232" t="inlineStr">
        <is>
          <t>Oronules</t>
        </is>
      </c>
      <c r="J1667" s="232" t="inlineStr">
        <is>
          <t>GASTOS GENERALES</t>
        </is>
      </c>
      <c r="K1667" s="232" t="inlineStr">
        <is>
          <t>INSUMOS BOTIQUIN</t>
        </is>
      </c>
      <c r="L1667" s="232" t="inlineStr">
        <is>
          <t>[PRORRATEO 3.6% 5.35há/148.3há] O/001280 NEXC. GASA</t>
        </is>
      </c>
      <c r="M1667" s="232" t="inlineStr"/>
      <c r="N1667" s="232" t="inlineStr">
        <is>
          <t>.   .   -</t>
        </is>
      </c>
      <c r="O1667" s="232" t="inlineStr">
        <is>
          <t>ENERO</t>
        </is>
      </c>
      <c r="P1667" s="232" t="n">
        <v>4</v>
      </c>
      <c r="Q1667" s="234" t="n">
        <v>428</v>
      </c>
      <c r="R1667" s="232" t="inlineStr"/>
      <c r="S1667" s="234" t="n">
        <v>428</v>
      </c>
      <c r="T1667" s="232" t="inlineStr">
        <is>
          <t>CLP</t>
        </is>
      </c>
      <c r="U1667" s="232" t="inlineStr">
        <is>
          <t>Prorrateo Ha PACKING</t>
        </is>
      </c>
      <c r="V1667" s="232" t="inlineStr">
        <is>
          <t>2026-06-18</t>
        </is>
      </c>
    </row>
    <row r="1668">
      <c r="A1668" s="232" t="inlineStr">
        <is>
          <t>CR-1665</t>
        </is>
      </c>
      <c r="B1668" s="232" t="inlineStr">
        <is>
          <t>2026/27</t>
        </is>
      </c>
      <c r="C1668" s="233" t="n">
        <v>46048</v>
      </c>
      <c r="D1668" s="232" t="inlineStr">
        <is>
          <t>6587</t>
        </is>
      </c>
      <c r="E1668" s="232" t="inlineStr">
        <is>
          <t>PRORRATEO</t>
        </is>
      </c>
      <c r="F1668" s="232" t="inlineStr">
        <is>
          <t>Santa Catalina</t>
        </is>
      </c>
      <c r="G1668" s="232" t="inlineStr">
        <is>
          <t>Fino 49 7,7 ha</t>
        </is>
      </c>
      <c r="H1668" s="232" t="inlineStr">
        <is>
          <t>Limon</t>
        </is>
      </c>
      <c r="I1668" s="232" t="inlineStr">
        <is>
          <t>Fino 49</t>
        </is>
      </c>
      <c r="J1668" s="232" t="inlineStr">
        <is>
          <t>GASTOS GENERALES</t>
        </is>
      </c>
      <c r="K1668" s="232" t="inlineStr">
        <is>
          <t>INSUMOS BOTIQUIN</t>
        </is>
      </c>
      <c r="L1668" s="232" t="inlineStr">
        <is>
          <t>[PRORRATEO 5.2% 7.7há/148.3há] O/001280 NEXC. GASA</t>
        </is>
      </c>
      <c r="M1668" s="232" t="inlineStr"/>
      <c r="N1668" s="232" t="inlineStr">
        <is>
          <t>.   .   -</t>
        </is>
      </c>
      <c r="O1668" s="232" t="inlineStr">
        <is>
          <t>ENERO</t>
        </is>
      </c>
      <c r="P1668" s="232" t="n">
        <v>4</v>
      </c>
      <c r="Q1668" s="234" t="n">
        <v>615</v>
      </c>
      <c r="R1668" s="232" t="inlineStr"/>
      <c r="S1668" s="234" t="n">
        <v>615</v>
      </c>
      <c r="T1668" s="232" t="inlineStr">
        <is>
          <t>CLP</t>
        </is>
      </c>
      <c r="U1668" s="232" t="inlineStr">
        <is>
          <t>Prorrateo Ha PACKING</t>
        </is>
      </c>
      <c r="V1668" s="232" t="inlineStr">
        <is>
          <t>2026-06-18</t>
        </is>
      </c>
    </row>
    <row r="1669">
      <c r="A1669" s="232" t="inlineStr">
        <is>
          <t>CR-1666</t>
        </is>
      </c>
      <c r="B1669" s="232" t="inlineStr">
        <is>
          <t>2026/27</t>
        </is>
      </c>
      <c r="C1669" s="233" t="n">
        <v>46048</v>
      </c>
      <c r="D1669" s="232" t="inlineStr">
        <is>
          <t>6587</t>
        </is>
      </c>
      <c r="E1669" s="232" t="inlineStr">
        <is>
          <t>PRORRATEO</t>
        </is>
      </c>
      <c r="F1669" s="232" t="inlineStr">
        <is>
          <t>Santa Catalina</t>
        </is>
      </c>
      <c r="G1669" s="232" t="inlineStr">
        <is>
          <t>W. murcott 21 ha</t>
        </is>
      </c>
      <c r="H1669" s="232" t="inlineStr">
        <is>
          <t>Mandarina</t>
        </is>
      </c>
      <c r="I1669" s="232" t="inlineStr">
        <is>
          <t>W. murcott</t>
        </is>
      </c>
      <c r="J1669" s="232" t="inlineStr">
        <is>
          <t>GASTOS GENERALES</t>
        </is>
      </c>
      <c r="K1669" s="232" t="inlineStr">
        <is>
          <t>INSUMOS BOTIQUIN</t>
        </is>
      </c>
      <c r="L1669" s="232" t="inlineStr">
        <is>
          <t>[PRORRATEO 14.2% 21.0há/148.3há] O/001280 NEXC. GASA</t>
        </is>
      </c>
      <c r="M1669" s="232" t="inlineStr"/>
      <c r="N1669" s="232" t="inlineStr">
        <is>
          <t>.   .   -</t>
        </is>
      </c>
      <c r="O1669" s="232" t="inlineStr">
        <is>
          <t>ENERO</t>
        </is>
      </c>
      <c r="P1669" s="232" t="n">
        <v>4</v>
      </c>
      <c r="Q1669" s="234" t="n">
        <v>1678</v>
      </c>
      <c r="R1669" s="232" t="inlineStr"/>
      <c r="S1669" s="234" t="n">
        <v>1678</v>
      </c>
      <c r="T1669" s="232" t="inlineStr">
        <is>
          <t>CLP</t>
        </is>
      </c>
      <c r="U1669" s="232" t="inlineStr">
        <is>
          <t>Prorrateo Ha PACKING</t>
        </is>
      </c>
      <c r="V1669" s="232" t="inlineStr">
        <is>
          <t>2026-06-18</t>
        </is>
      </c>
    </row>
    <row r="1670">
      <c r="A1670" s="232" t="inlineStr">
        <is>
          <t>CR-1667</t>
        </is>
      </c>
      <c r="B1670" s="232" t="inlineStr">
        <is>
          <t>2026/27</t>
        </is>
      </c>
      <c r="C1670" s="233" t="n">
        <v>46048</v>
      </c>
      <c r="D1670" s="232" t="inlineStr">
        <is>
          <t>6587</t>
        </is>
      </c>
      <c r="E1670" s="232" t="inlineStr">
        <is>
          <t>PRORRATEO</t>
        </is>
      </c>
      <c r="F1670" s="232" t="inlineStr">
        <is>
          <t>Santa Catalina</t>
        </is>
      </c>
      <c r="G1670" s="232" t="inlineStr">
        <is>
          <t>cambria 4,2 ha</t>
        </is>
      </c>
      <c r="H1670" s="232" t="inlineStr">
        <is>
          <t>Naranjas</t>
        </is>
      </c>
      <c r="I1670" s="232" t="inlineStr">
        <is>
          <t>Cambria</t>
        </is>
      </c>
      <c r="J1670" s="232" t="inlineStr">
        <is>
          <t>GASTOS GENERALES</t>
        </is>
      </c>
      <c r="K1670" s="232" t="inlineStr">
        <is>
          <t>INSUMOS BOTIQUIN</t>
        </is>
      </c>
      <c r="L1670" s="232" t="inlineStr">
        <is>
          <t>[PRORRATEO 2.8% 4.2há/148.3há] O/001280 NEXC. GASA</t>
        </is>
      </c>
      <c r="M1670" s="232" t="inlineStr"/>
      <c r="N1670" s="232" t="inlineStr">
        <is>
          <t>.   .   -</t>
        </is>
      </c>
      <c r="O1670" s="232" t="inlineStr">
        <is>
          <t>ENERO</t>
        </is>
      </c>
      <c r="P1670" s="232" t="n">
        <v>4</v>
      </c>
      <c r="Q1670" s="234" t="n">
        <v>336</v>
      </c>
      <c r="R1670" s="232" t="inlineStr"/>
      <c r="S1670" s="234" t="n">
        <v>336</v>
      </c>
      <c r="T1670" s="232" t="inlineStr">
        <is>
          <t>CLP</t>
        </is>
      </c>
      <c r="U1670" s="232" t="inlineStr">
        <is>
          <t>Prorrateo Ha PACKING</t>
        </is>
      </c>
      <c r="V1670" s="232" t="inlineStr">
        <is>
          <t>2026-06-18</t>
        </is>
      </c>
    </row>
    <row r="1671">
      <c r="A1671" s="232" t="inlineStr">
        <is>
          <t>CR-1668</t>
        </is>
      </c>
      <c r="B1671" s="232" t="inlineStr">
        <is>
          <t>2026/27</t>
        </is>
      </c>
      <c r="C1671" s="233" t="n">
        <v>46048</v>
      </c>
      <c r="D1671" s="232" t="inlineStr">
        <is>
          <t>6587</t>
        </is>
      </c>
      <c r="E1671" s="232" t="inlineStr">
        <is>
          <t>PRORRATEO</t>
        </is>
      </c>
      <c r="F1671" s="232" t="inlineStr">
        <is>
          <t>Santa Catalina</t>
        </is>
      </c>
      <c r="G1671" s="232" t="inlineStr">
        <is>
          <t>eureka 10,6 ha</t>
        </is>
      </c>
      <c r="H1671" s="232" t="inlineStr">
        <is>
          <t>Limon</t>
        </is>
      </c>
      <c r="I1671" s="232" t="inlineStr">
        <is>
          <t>Eureka</t>
        </is>
      </c>
      <c r="J1671" s="232" t="inlineStr">
        <is>
          <t>GASTOS GENERALES</t>
        </is>
      </c>
      <c r="K1671" s="232" t="inlineStr">
        <is>
          <t>INSUMOS BOTIQUIN</t>
        </is>
      </c>
      <c r="L1671" s="232" t="inlineStr">
        <is>
          <t>[PRORRATEO 7.1% 10.6há/148.3há] O/001280 NEXC. GASA</t>
        </is>
      </c>
      <c r="M1671" s="232" t="inlineStr"/>
      <c r="N1671" s="232" t="inlineStr">
        <is>
          <t>.   .   -</t>
        </is>
      </c>
      <c r="O1671" s="232" t="inlineStr">
        <is>
          <t>ENERO</t>
        </is>
      </c>
      <c r="P1671" s="232" t="n">
        <v>4</v>
      </c>
      <c r="Q1671" s="234" t="n">
        <v>847</v>
      </c>
      <c r="R1671" s="232" t="inlineStr"/>
      <c r="S1671" s="234" t="n">
        <v>847</v>
      </c>
      <c r="T1671" s="232" t="inlineStr">
        <is>
          <t>CLP</t>
        </is>
      </c>
      <c r="U1671" s="232" t="inlineStr">
        <is>
          <t>Prorrateo Ha PACKING</t>
        </is>
      </c>
      <c r="V1671" s="232" t="inlineStr">
        <is>
          <t>2026-06-18</t>
        </is>
      </c>
    </row>
    <row r="1672">
      <c r="A1672" s="232" t="inlineStr">
        <is>
          <t>CR-1669</t>
        </is>
      </c>
      <c r="B1672" s="232" t="inlineStr">
        <is>
          <t>2026/27</t>
        </is>
      </c>
      <c r="C1672" s="233" t="n">
        <v>46048</v>
      </c>
      <c r="D1672" s="232" t="inlineStr">
        <is>
          <t>6587</t>
        </is>
      </c>
      <c r="E1672" s="232" t="inlineStr">
        <is>
          <t>PRORRATEO</t>
        </is>
      </c>
      <c r="F1672" s="232" t="inlineStr">
        <is>
          <t>Santa Catalina</t>
        </is>
      </c>
      <c r="G1672" s="232" t="inlineStr">
        <is>
          <t>eureka 14,4 ha</t>
        </is>
      </c>
      <c r="H1672" s="232" t="inlineStr">
        <is>
          <t>Limon</t>
        </is>
      </c>
      <c r="I1672" s="232" t="inlineStr">
        <is>
          <t>Eureka</t>
        </is>
      </c>
      <c r="J1672" s="232" t="inlineStr">
        <is>
          <t>GASTOS GENERALES</t>
        </is>
      </c>
      <c r="K1672" s="232" t="inlineStr">
        <is>
          <t>INSUMOS BOTIQUIN</t>
        </is>
      </c>
      <c r="L1672" s="232" t="inlineStr">
        <is>
          <t>[PRORRATEO 9.7% 14.4há/148.3há] O/001280 NEXC. GASA</t>
        </is>
      </c>
      <c r="M1672" s="232" t="inlineStr"/>
      <c r="N1672" s="232" t="inlineStr">
        <is>
          <t>.   .   -</t>
        </is>
      </c>
      <c r="O1672" s="232" t="inlineStr">
        <is>
          <t>ENERO</t>
        </is>
      </c>
      <c r="P1672" s="232" t="n">
        <v>4</v>
      </c>
      <c r="Q1672" s="234" t="n">
        <v>1151</v>
      </c>
      <c r="R1672" s="232" t="inlineStr"/>
      <c r="S1672" s="234" t="n">
        <v>1151</v>
      </c>
      <c r="T1672" s="232" t="inlineStr">
        <is>
          <t>CLP</t>
        </is>
      </c>
      <c r="U1672" s="232" t="inlineStr">
        <is>
          <t>Prorrateo Ha PACKING</t>
        </is>
      </c>
      <c r="V1672" s="232" t="inlineStr">
        <is>
          <t>2026-06-18</t>
        </is>
      </c>
    </row>
    <row r="1673">
      <c r="A1673" s="232" t="inlineStr">
        <is>
          <t>CR-1670</t>
        </is>
      </c>
      <c r="B1673" s="232" t="inlineStr">
        <is>
          <t>2026/27</t>
        </is>
      </c>
      <c r="C1673" s="233" t="n">
        <v>46048</v>
      </c>
      <c r="D1673" s="232" t="inlineStr">
        <is>
          <t>6587</t>
        </is>
      </c>
      <c r="E1673" s="232" t="inlineStr">
        <is>
          <t>PRORRATEO</t>
        </is>
      </c>
      <c r="F1673" s="232" t="inlineStr">
        <is>
          <t>Santa Catalina</t>
        </is>
      </c>
      <c r="G1673" s="232" t="inlineStr">
        <is>
          <t>eureka 22,55</t>
        </is>
      </c>
      <c r="H1673" s="232" t="inlineStr">
        <is>
          <t>Limon</t>
        </is>
      </c>
      <c r="I1673" s="232" t="inlineStr">
        <is>
          <t>Eureka</t>
        </is>
      </c>
      <c r="J1673" s="232" t="inlineStr">
        <is>
          <t>GASTOS GENERALES</t>
        </is>
      </c>
      <c r="K1673" s="232" t="inlineStr">
        <is>
          <t>INSUMOS BOTIQUIN</t>
        </is>
      </c>
      <c r="L1673" s="232" t="inlineStr">
        <is>
          <t>[PRORRATEO 15.2% 22.55há/148.3há] O/001280 NEXC. GASA</t>
        </is>
      </c>
      <c r="M1673" s="232" t="inlineStr"/>
      <c r="N1673" s="232" t="inlineStr">
        <is>
          <t>.   .   -</t>
        </is>
      </c>
      <c r="O1673" s="232" t="inlineStr">
        <is>
          <t>ENERO</t>
        </is>
      </c>
      <c r="P1673" s="232" t="n">
        <v>4</v>
      </c>
      <c r="Q1673" s="234" t="n">
        <v>1802</v>
      </c>
      <c r="R1673" s="232" t="inlineStr"/>
      <c r="S1673" s="234" t="n">
        <v>1802</v>
      </c>
      <c r="T1673" s="232" t="inlineStr">
        <is>
          <t>CLP</t>
        </is>
      </c>
      <c r="U1673" s="232" t="inlineStr">
        <is>
          <t>Prorrateo Ha PACKING</t>
        </is>
      </c>
      <c r="V1673" s="232" t="inlineStr">
        <is>
          <t>2026-06-18</t>
        </is>
      </c>
    </row>
    <row r="1674">
      <c r="A1674" s="232" t="inlineStr">
        <is>
          <t>CR-1671</t>
        </is>
      </c>
      <c r="B1674" s="232" t="inlineStr">
        <is>
          <t>2026/27</t>
        </is>
      </c>
      <c r="C1674" s="233" t="n">
        <v>46048</v>
      </c>
      <c r="D1674" s="232" t="inlineStr">
        <is>
          <t>6587</t>
        </is>
      </c>
      <c r="E1674" s="232" t="inlineStr">
        <is>
          <t>PRORRATEO</t>
        </is>
      </c>
      <c r="F1674" s="232" t="inlineStr">
        <is>
          <t>Santa Catalina</t>
        </is>
      </c>
      <c r="G1674" s="232" t="inlineStr">
        <is>
          <t>form benjamin 1,93 ha</t>
        </is>
      </c>
      <c r="H1674" s="232" t="inlineStr">
        <is>
          <t>Limon</t>
        </is>
      </c>
      <c r="I1674" s="232" t="inlineStr">
        <is>
          <t>Benjamin andes</t>
        </is>
      </c>
      <c r="J1674" s="232" t="inlineStr">
        <is>
          <t>GASTOS GENERALES</t>
        </is>
      </c>
      <c r="K1674" s="232" t="inlineStr">
        <is>
          <t>INSUMOS BOTIQUIN</t>
        </is>
      </c>
      <c r="L1674" s="232" t="inlineStr">
        <is>
          <t>[PRORRATEO 1.3% 1.93há/148.3há] O/001280 NEXC. GASA</t>
        </is>
      </c>
      <c r="M1674" s="232" t="inlineStr"/>
      <c r="N1674" s="232" t="inlineStr">
        <is>
          <t>.   .   -</t>
        </is>
      </c>
      <c r="O1674" s="232" t="inlineStr">
        <is>
          <t>ENERO</t>
        </is>
      </c>
      <c r="P1674" s="232" t="n">
        <v>4</v>
      </c>
      <c r="Q1674" s="234" t="n">
        <v>154</v>
      </c>
      <c r="R1674" s="232" t="inlineStr"/>
      <c r="S1674" s="234" t="n">
        <v>154</v>
      </c>
      <c r="T1674" s="232" t="inlineStr">
        <is>
          <t>CLP</t>
        </is>
      </c>
      <c r="U1674" s="232" t="inlineStr">
        <is>
          <t>Prorrateo Ha PACKING</t>
        </is>
      </c>
      <c r="V1674" s="232" t="inlineStr">
        <is>
          <t>2026-06-18</t>
        </is>
      </c>
    </row>
    <row r="1675">
      <c r="A1675" s="232" t="inlineStr">
        <is>
          <t>CR-1672</t>
        </is>
      </c>
      <c r="B1675" s="232" t="inlineStr">
        <is>
          <t>2026/27</t>
        </is>
      </c>
      <c r="C1675" s="233" t="n">
        <v>46048</v>
      </c>
      <c r="D1675" s="232" t="inlineStr">
        <is>
          <t>6587</t>
        </is>
      </c>
      <c r="E1675" s="232" t="inlineStr">
        <is>
          <t>PRORRATEO</t>
        </is>
      </c>
      <c r="F1675" s="232" t="inlineStr">
        <is>
          <t>Santa Catalina</t>
        </is>
      </c>
      <c r="G1675" s="232" t="inlineStr">
        <is>
          <t>mant eureka 2,5 ha</t>
        </is>
      </c>
      <c r="H1675" s="232" t="inlineStr">
        <is>
          <t>Limon</t>
        </is>
      </c>
      <c r="I1675" s="232" t="inlineStr">
        <is>
          <t>Eureka</t>
        </is>
      </c>
      <c r="J1675" s="232" t="inlineStr">
        <is>
          <t>GASTOS GENERALES</t>
        </is>
      </c>
      <c r="K1675" s="232" t="inlineStr">
        <is>
          <t>INSUMOS BOTIQUIN</t>
        </is>
      </c>
      <c r="L1675" s="232" t="inlineStr">
        <is>
          <t>[PRORRATEO 1.7% 2.5há/148.3há] O/001280 NEXC. GASA</t>
        </is>
      </c>
      <c r="M1675" s="232" t="inlineStr"/>
      <c r="N1675" s="232" t="inlineStr">
        <is>
          <t>.   .   -</t>
        </is>
      </c>
      <c r="O1675" s="232" t="inlineStr">
        <is>
          <t>ENERO</t>
        </is>
      </c>
      <c r="P1675" s="232" t="n">
        <v>4</v>
      </c>
      <c r="Q1675" s="234" t="n">
        <v>200</v>
      </c>
      <c r="R1675" s="232" t="inlineStr"/>
      <c r="S1675" s="234" t="n">
        <v>200</v>
      </c>
      <c r="T1675" s="232" t="inlineStr">
        <is>
          <t>CLP</t>
        </is>
      </c>
      <c r="U1675" s="232" t="inlineStr">
        <is>
          <t>Prorrateo Ha PACKING</t>
        </is>
      </c>
      <c r="V1675" s="232" t="inlineStr">
        <is>
          <t>2026-06-18</t>
        </is>
      </c>
    </row>
    <row r="1676">
      <c r="A1676" s="232" t="inlineStr">
        <is>
          <t>CR-1673</t>
        </is>
      </c>
      <c r="B1676" s="232" t="inlineStr">
        <is>
          <t>2026/27</t>
        </is>
      </c>
      <c r="C1676" s="233" t="n">
        <v>46048</v>
      </c>
      <c r="D1676" s="232" t="inlineStr">
        <is>
          <t>6587</t>
        </is>
      </c>
      <c r="E1676" s="232" t="inlineStr">
        <is>
          <t>PRORRATEO</t>
        </is>
      </c>
      <c r="F1676" s="232" t="inlineStr">
        <is>
          <t>Siberia</t>
        </is>
      </c>
      <c r="G1676" s="232" t="inlineStr">
        <is>
          <t>S. Celebration 7,14</t>
        </is>
      </c>
      <c r="H1676" s="232" t="inlineStr">
        <is>
          <t>Uvas</t>
        </is>
      </c>
      <c r="I1676" s="232" t="inlineStr">
        <is>
          <t>S. celebration</t>
        </is>
      </c>
      <c r="J1676" s="232" t="inlineStr">
        <is>
          <t>GASTOS GENERALES</t>
        </is>
      </c>
      <c r="K1676" s="232" t="inlineStr">
        <is>
          <t>INSUMOS BOTIQUIN</t>
        </is>
      </c>
      <c r="L1676" s="232" t="inlineStr">
        <is>
          <t>[PRORRATEO 4.8% 7.14há/148.3há] O/001280 NEXC. GASA</t>
        </is>
      </c>
      <c r="M1676" s="232" t="inlineStr"/>
      <c r="N1676" s="232" t="inlineStr">
        <is>
          <t>.   .   -</t>
        </is>
      </c>
      <c r="O1676" s="232" t="inlineStr">
        <is>
          <t>ENERO</t>
        </is>
      </c>
      <c r="P1676" s="232" t="n">
        <v>4</v>
      </c>
      <c r="Q1676" s="234" t="n">
        <v>571</v>
      </c>
      <c r="R1676" s="232" t="inlineStr"/>
      <c r="S1676" s="234" t="n">
        <v>571</v>
      </c>
      <c r="T1676" s="232" t="inlineStr">
        <is>
          <t>CLP</t>
        </is>
      </c>
      <c r="U1676" s="232" t="inlineStr">
        <is>
          <t>Prorrateo Ha PACKING</t>
        </is>
      </c>
      <c r="V1676" s="232" t="inlineStr">
        <is>
          <t>2026-06-18</t>
        </is>
      </c>
    </row>
    <row r="1677">
      <c r="A1677" s="232" t="inlineStr">
        <is>
          <t>CR-1674</t>
        </is>
      </c>
      <c r="B1677" s="232" t="inlineStr">
        <is>
          <t>2026/27</t>
        </is>
      </c>
      <c r="C1677" s="233" t="n">
        <v>46048</v>
      </c>
      <c r="D1677" s="232" t="inlineStr">
        <is>
          <t>6587</t>
        </is>
      </c>
      <c r="E1677" s="232" t="inlineStr">
        <is>
          <t>PRORRATEO</t>
        </is>
      </c>
      <c r="F1677" s="232" t="inlineStr">
        <is>
          <t>Siberia</t>
        </is>
      </c>
      <c r="G1677" s="232" t="inlineStr">
        <is>
          <t>Timpson 7,1</t>
        </is>
      </c>
      <c r="H1677" s="232" t="inlineStr">
        <is>
          <t>Uvas</t>
        </is>
      </c>
      <c r="I1677" s="232" t="inlineStr">
        <is>
          <t>Timpson</t>
        </is>
      </c>
      <c r="J1677" s="232" t="inlineStr">
        <is>
          <t>GASTOS GENERALES</t>
        </is>
      </c>
      <c r="K1677" s="232" t="inlineStr">
        <is>
          <t>INSUMOS BOTIQUIN</t>
        </is>
      </c>
      <c r="L1677" s="232" t="inlineStr">
        <is>
          <t>[PRORRATEO 4.8% 7.1há/148.3há] O/001280 NEXC. GASA</t>
        </is>
      </c>
      <c r="M1677" s="232" t="inlineStr"/>
      <c r="N1677" s="232" t="inlineStr">
        <is>
          <t>.   .   -</t>
        </is>
      </c>
      <c r="O1677" s="232" t="inlineStr">
        <is>
          <t>ENERO</t>
        </is>
      </c>
      <c r="P1677" s="232" t="n">
        <v>4</v>
      </c>
      <c r="Q1677" s="234" t="n">
        <v>567</v>
      </c>
      <c r="R1677" s="232" t="inlineStr"/>
      <c r="S1677" s="234" t="n">
        <v>567</v>
      </c>
      <c r="T1677" s="232" t="inlineStr">
        <is>
          <t>CLP</t>
        </is>
      </c>
      <c r="U1677" s="232" t="inlineStr">
        <is>
          <t>Prorrateo Ha PACKING</t>
        </is>
      </c>
      <c r="V1677" s="232" t="inlineStr">
        <is>
          <t>2026-06-18</t>
        </is>
      </c>
    </row>
    <row r="1678">
      <c r="A1678" s="232" t="inlineStr">
        <is>
          <t>CR-1675</t>
        </is>
      </c>
      <c r="B1678" s="232" t="inlineStr">
        <is>
          <t>2026/27</t>
        </is>
      </c>
      <c r="C1678" s="233" t="n">
        <v>46048</v>
      </c>
      <c r="D1678" s="232" t="inlineStr">
        <is>
          <t>6587</t>
        </is>
      </c>
      <c r="E1678" s="232" t="inlineStr">
        <is>
          <t>PRORRATEO</t>
        </is>
      </c>
      <c r="F1678" s="232" t="inlineStr">
        <is>
          <t>Asmara</t>
        </is>
      </c>
      <c r="G1678" s="232" t="inlineStr">
        <is>
          <t>w. murcott 19,8 ha</t>
        </is>
      </c>
      <c r="H1678" s="232" t="inlineStr">
        <is>
          <t>Mandarina</t>
        </is>
      </c>
      <c r="I1678" s="232" t="inlineStr">
        <is>
          <t>W. murcott</t>
        </is>
      </c>
      <c r="J1678" s="232" t="inlineStr">
        <is>
          <t>GASTOS GENERALES</t>
        </is>
      </c>
      <c r="K1678" s="232" t="inlineStr">
        <is>
          <t>INSUMOS BOTIQUIN</t>
        </is>
      </c>
      <c r="L1678" s="232" t="inlineStr">
        <is>
          <t>[PRORRATEO 13.4% 19.8há/148.3há] O/001280 SET CURITA</t>
        </is>
      </c>
      <c r="M1678" s="232" t="inlineStr"/>
      <c r="N1678" s="232" t="inlineStr">
        <is>
          <t>.   .   -</t>
        </is>
      </c>
      <c r="O1678" s="232" t="inlineStr">
        <is>
          <t>ENERO</t>
        </is>
      </c>
      <c r="P1678" s="232" t="n">
        <v>4</v>
      </c>
      <c r="Q1678" s="234" t="n">
        <v>447</v>
      </c>
      <c r="R1678" s="232" t="inlineStr"/>
      <c r="S1678" s="234" t="n">
        <v>447</v>
      </c>
      <c r="T1678" s="232" t="inlineStr">
        <is>
          <t>CLP</t>
        </is>
      </c>
      <c r="U1678" s="232" t="inlineStr">
        <is>
          <t>Prorrateo Ha PACKING</t>
        </is>
      </c>
      <c r="V1678" s="232" t="inlineStr">
        <is>
          <t>2026-06-18</t>
        </is>
      </c>
    </row>
    <row r="1679">
      <c r="A1679" s="232" t="inlineStr">
        <is>
          <t>CR-1676</t>
        </is>
      </c>
      <c r="B1679" s="232" t="inlineStr">
        <is>
          <t>2026/27</t>
        </is>
      </c>
      <c r="C1679" s="233" t="n">
        <v>46048</v>
      </c>
      <c r="D1679" s="232" t="inlineStr">
        <is>
          <t>6587</t>
        </is>
      </c>
      <c r="E1679" s="232" t="inlineStr">
        <is>
          <t>PRORRATEO</t>
        </is>
      </c>
      <c r="F1679" s="232" t="inlineStr">
        <is>
          <t>Asmara</t>
        </is>
      </c>
      <c r="G1679" s="232" t="inlineStr">
        <is>
          <t>w. murcott 4,9 ha</t>
        </is>
      </c>
      <c r="H1679" s="232" t="inlineStr">
        <is>
          <t>Mandarina</t>
        </is>
      </c>
      <c r="I1679" s="232" t="inlineStr">
        <is>
          <t>W. murcott</t>
        </is>
      </c>
      <c r="J1679" s="232" t="inlineStr">
        <is>
          <t>GASTOS GENERALES</t>
        </is>
      </c>
      <c r="K1679" s="232" t="inlineStr">
        <is>
          <t>INSUMOS BOTIQUIN</t>
        </is>
      </c>
      <c r="L1679" s="232" t="inlineStr">
        <is>
          <t>[PRORRATEO 3.3% 4.9há/148.3há] O/001280 SET CURITA</t>
        </is>
      </c>
      <c r="M1679" s="232" t="inlineStr"/>
      <c r="N1679" s="232" t="inlineStr">
        <is>
          <t>.   .   -</t>
        </is>
      </c>
      <c r="O1679" s="232" t="inlineStr">
        <is>
          <t>ENERO</t>
        </is>
      </c>
      <c r="P1679" s="232" t="n">
        <v>4</v>
      </c>
      <c r="Q1679" s="234" t="n">
        <v>111</v>
      </c>
      <c r="R1679" s="232" t="inlineStr"/>
      <c r="S1679" s="234" t="n">
        <v>111</v>
      </c>
      <c r="T1679" s="232" t="inlineStr">
        <is>
          <t>CLP</t>
        </is>
      </c>
      <c r="U1679" s="232" t="inlineStr">
        <is>
          <t>Prorrateo Ha PACKING</t>
        </is>
      </c>
      <c r="V1679" s="232" t="inlineStr">
        <is>
          <t>2026-06-18</t>
        </is>
      </c>
    </row>
    <row r="1680">
      <c r="A1680" s="232" t="inlineStr">
        <is>
          <t>CR-1677</t>
        </is>
      </c>
      <c r="B1680" s="232" t="inlineStr">
        <is>
          <t>2026/27</t>
        </is>
      </c>
      <c r="C1680" s="233" t="n">
        <v>46048</v>
      </c>
      <c r="D1680" s="232" t="inlineStr">
        <is>
          <t>6587</t>
        </is>
      </c>
      <c r="E1680" s="232" t="inlineStr">
        <is>
          <t>PRORRATEO</t>
        </is>
      </c>
      <c r="F1680" s="232" t="inlineStr">
        <is>
          <t>El Molle</t>
        </is>
      </c>
      <c r="G1680" s="232" t="inlineStr">
        <is>
          <t>Wonderful 5,25 ha</t>
        </is>
      </c>
      <c r="H1680" s="232" t="inlineStr">
        <is>
          <t>Granados</t>
        </is>
      </c>
      <c r="I1680" s="232" t="inlineStr">
        <is>
          <t>Wonderfull</t>
        </is>
      </c>
      <c r="J1680" s="232" t="inlineStr">
        <is>
          <t>GASTOS GENERALES</t>
        </is>
      </c>
      <c r="K1680" s="232" t="inlineStr">
        <is>
          <t>INSUMOS BOTIQUIN</t>
        </is>
      </c>
      <c r="L1680" s="232" t="inlineStr">
        <is>
          <t>[PRORRATEO 3.5% 5.24há/148.3há] O/001280 SET CURITA</t>
        </is>
      </c>
      <c r="M1680" s="232" t="inlineStr"/>
      <c r="N1680" s="232" t="inlineStr">
        <is>
          <t>.   .   -</t>
        </is>
      </c>
      <c r="O1680" s="232" t="inlineStr">
        <is>
          <t>ENERO</t>
        </is>
      </c>
      <c r="P1680" s="232" t="n">
        <v>4</v>
      </c>
      <c r="Q1680" s="234" t="n">
        <v>118</v>
      </c>
      <c r="R1680" s="232" t="inlineStr"/>
      <c r="S1680" s="234" t="n">
        <v>118</v>
      </c>
      <c r="T1680" s="232" t="inlineStr">
        <is>
          <t>CLP</t>
        </is>
      </c>
      <c r="U1680" s="232" t="inlineStr">
        <is>
          <t>Prorrateo Ha PACKING</t>
        </is>
      </c>
      <c r="V1680" s="232" t="inlineStr">
        <is>
          <t>2026-06-18</t>
        </is>
      </c>
    </row>
    <row r="1681">
      <c r="A1681" s="232" t="inlineStr">
        <is>
          <t>CR-1678</t>
        </is>
      </c>
      <c r="B1681" s="232" t="inlineStr">
        <is>
          <t>2026/27</t>
        </is>
      </c>
      <c r="C1681" s="233" t="n">
        <v>46048</v>
      </c>
      <c r="D1681" s="232" t="inlineStr">
        <is>
          <t>6587</t>
        </is>
      </c>
      <c r="E1681" s="232" t="inlineStr">
        <is>
          <t>PRORRATEO</t>
        </is>
      </c>
      <c r="F1681" s="232" t="inlineStr">
        <is>
          <t>El Molle</t>
        </is>
      </c>
      <c r="G1681" s="232" t="inlineStr">
        <is>
          <t>arrufatinas 5,74 ha</t>
        </is>
      </c>
      <c r="H1681" s="232" t="inlineStr">
        <is>
          <t>Clementinas</t>
        </is>
      </c>
      <c r="I1681" s="232" t="inlineStr">
        <is>
          <t>Arrufatinas</t>
        </is>
      </c>
      <c r="J1681" s="232" t="inlineStr">
        <is>
          <t>GASTOS GENERALES</t>
        </is>
      </c>
      <c r="K1681" s="232" t="inlineStr">
        <is>
          <t>INSUMOS BOTIQUIN</t>
        </is>
      </c>
      <c r="L1681" s="232" t="inlineStr">
        <is>
          <t>[PRORRATEO 3.9% 5.74há/148.3há] O/001280 SET CURITA</t>
        </is>
      </c>
      <c r="M1681" s="232" t="inlineStr"/>
      <c r="N1681" s="232" t="inlineStr">
        <is>
          <t>.   .   -</t>
        </is>
      </c>
      <c r="O1681" s="232" t="inlineStr">
        <is>
          <t>ENERO</t>
        </is>
      </c>
      <c r="P1681" s="232" t="n">
        <v>4</v>
      </c>
      <c r="Q1681" s="234" t="n">
        <v>130</v>
      </c>
      <c r="R1681" s="232" t="inlineStr"/>
      <c r="S1681" s="234" t="n">
        <v>130</v>
      </c>
      <c r="T1681" s="232" t="inlineStr">
        <is>
          <t>CLP</t>
        </is>
      </c>
      <c r="U1681" s="232" t="inlineStr">
        <is>
          <t>Prorrateo Ha PACKING</t>
        </is>
      </c>
      <c r="V1681" s="232" t="inlineStr">
        <is>
          <t>2026-06-18</t>
        </is>
      </c>
    </row>
    <row r="1682">
      <c r="A1682" s="232" t="inlineStr">
        <is>
          <t>CR-1679</t>
        </is>
      </c>
      <c r="B1682" s="232" t="inlineStr">
        <is>
          <t>2026/27</t>
        </is>
      </c>
      <c r="C1682" s="233" t="n">
        <v>46048</v>
      </c>
      <c r="D1682" s="232" t="inlineStr">
        <is>
          <t>6587</t>
        </is>
      </c>
      <c r="E1682" s="232" t="inlineStr">
        <is>
          <t>PRORRATEO</t>
        </is>
      </c>
      <c r="F1682" s="232" t="inlineStr">
        <is>
          <t>El Molle</t>
        </is>
      </c>
      <c r="G1682" s="232" t="inlineStr">
        <is>
          <t>orogrande 8,11 ha</t>
        </is>
      </c>
      <c r="H1682" s="232" t="inlineStr">
        <is>
          <t>Clementinas</t>
        </is>
      </c>
      <c r="I1682" s="232" t="inlineStr">
        <is>
          <t>Orogrande</t>
        </is>
      </c>
      <c r="J1682" s="232" t="inlineStr">
        <is>
          <t>GASTOS GENERALES</t>
        </is>
      </c>
      <c r="K1682" s="232" t="inlineStr">
        <is>
          <t>INSUMOS BOTIQUIN</t>
        </is>
      </c>
      <c r="L1682" s="232" t="inlineStr">
        <is>
          <t>[PRORRATEO 5.5% 8.11há/148.3há] O/001280 SET CURITA</t>
        </is>
      </c>
      <c r="M1682" s="232" t="inlineStr"/>
      <c r="N1682" s="232" t="inlineStr">
        <is>
          <t>.   .   -</t>
        </is>
      </c>
      <c r="O1682" s="232" t="inlineStr">
        <is>
          <t>ENERO</t>
        </is>
      </c>
      <c r="P1682" s="232" t="n">
        <v>4</v>
      </c>
      <c r="Q1682" s="234" t="n">
        <v>183</v>
      </c>
      <c r="R1682" s="232" t="inlineStr"/>
      <c r="S1682" s="234" t="n">
        <v>183</v>
      </c>
      <c r="T1682" s="232" t="inlineStr">
        <is>
          <t>CLP</t>
        </is>
      </c>
      <c r="U1682" s="232" t="inlineStr">
        <is>
          <t>Prorrateo Ha PACKING</t>
        </is>
      </c>
      <c r="V1682" s="232" t="inlineStr">
        <is>
          <t>2026-06-18</t>
        </is>
      </c>
    </row>
    <row r="1683">
      <c r="A1683" s="232" t="inlineStr">
        <is>
          <t>CR-1680</t>
        </is>
      </c>
      <c r="B1683" s="232" t="inlineStr">
        <is>
          <t>2026/27</t>
        </is>
      </c>
      <c r="C1683" s="233" t="n">
        <v>46048</v>
      </c>
      <c r="D1683" s="232" t="inlineStr">
        <is>
          <t>6587</t>
        </is>
      </c>
      <c r="E1683" s="232" t="inlineStr">
        <is>
          <t>PRORRATEO</t>
        </is>
      </c>
      <c r="F1683" s="232" t="inlineStr">
        <is>
          <t>El Molle</t>
        </is>
      </c>
      <c r="G1683" s="232" t="inlineStr">
        <is>
          <t>oronules 5,35 ha</t>
        </is>
      </c>
      <c r="H1683" s="232" t="inlineStr">
        <is>
          <t>Clementinas</t>
        </is>
      </c>
      <c r="I1683" s="232" t="inlineStr">
        <is>
          <t>Oronules</t>
        </is>
      </c>
      <c r="J1683" s="232" t="inlineStr">
        <is>
          <t>GASTOS GENERALES</t>
        </is>
      </c>
      <c r="K1683" s="232" t="inlineStr">
        <is>
          <t>INSUMOS BOTIQUIN</t>
        </is>
      </c>
      <c r="L1683" s="232" t="inlineStr">
        <is>
          <t>[PRORRATEO 3.6% 5.35há/148.3há] O/001280 SET CURITA</t>
        </is>
      </c>
      <c r="M1683" s="232" t="inlineStr"/>
      <c r="N1683" s="232" t="inlineStr">
        <is>
          <t>.   .   -</t>
        </is>
      </c>
      <c r="O1683" s="232" t="inlineStr">
        <is>
          <t>ENERO</t>
        </is>
      </c>
      <c r="P1683" s="232" t="n">
        <v>4</v>
      </c>
      <c r="Q1683" s="234" t="n">
        <v>121</v>
      </c>
      <c r="R1683" s="232" t="inlineStr"/>
      <c r="S1683" s="234" t="n">
        <v>121</v>
      </c>
      <c r="T1683" s="232" t="inlineStr">
        <is>
          <t>CLP</t>
        </is>
      </c>
      <c r="U1683" s="232" t="inlineStr">
        <is>
          <t>Prorrateo Ha PACKING</t>
        </is>
      </c>
      <c r="V1683" s="232" t="inlineStr">
        <is>
          <t>2026-06-18</t>
        </is>
      </c>
    </row>
    <row r="1684">
      <c r="A1684" s="232" t="inlineStr">
        <is>
          <t>CR-1681</t>
        </is>
      </c>
      <c r="B1684" s="232" t="inlineStr">
        <is>
          <t>2026/27</t>
        </is>
      </c>
      <c r="C1684" s="233" t="n">
        <v>46048</v>
      </c>
      <c r="D1684" s="232" t="inlineStr">
        <is>
          <t>6587</t>
        </is>
      </c>
      <c r="E1684" s="232" t="inlineStr">
        <is>
          <t>PRORRATEO</t>
        </is>
      </c>
      <c r="F1684" s="232" t="inlineStr">
        <is>
          <t>Santa Catalina</t>
        </is>
      </c>
      <c r="G1684" s="232" t="inlineStr">
        <is>
          <t>Fino 49 7,7 ha</t>
        </is>
      </c>
      <c r="H1684" s="232" t="inlineStr">
        <is>
          <t>Limon</t>
        </is>
      </c>
      <c r="I1684" s="232" t="inlineStr">
        <is>
          <t>Fino 49</t>
        </is>
      </c>
      <c r="J1684" s="232" t="inlineStr">
        <is>
          <t>GASTOS GENERALES</t>
        </is>
      </c>
      <c r="K1684" s="232" t="inlineStr">
        <is>
          <t>INSUMOS BOTIQUIN</t>
        </is>
      </c>
      <c r="L1684" s="232" t="inlineStr">
        <is>
          <t>[PRORRATEO 5.2% 7.7há/148.3há] O/001280 SET CURITA</t>
        </is>
      </c>
      <c r="M1684" s="232" t="inlineStr"/>
      <c r="N1684" s="232" t="inlineStr">
        <is>
          <t>.   .   -</t>
        </is>
      </c>
      <c r="O1684" s="232" t="inlineStr">
        <is>
          <t>ENERO</t>
        </is>
      </c>
      <c r="P1684" s="232" t="n">
        <v>4</v>
      </c>
      <c r="Q1684" s="234" t="n">
        <v>174</v>
      </c>
      <c r="R1684" s="232" t="inlineStr"/>
      <c r="S1684" s="234" t="n">
        <v>174</v>
      </c>
      <c r="T1684" s="232" t="inlineStr">
        <is>
          <t>CLP</t>
        </is>
      </c>
      <c r="U1684" s="232" t="inlineStr">
        <is>
          <t>Prorrateo Ha PACKING</t>
        </is>
      </c>
      <c r="V1684" s="232" t="inlineStr">
        <is>
          <t>2026-06-18</t>
        </is>
      </c>
    </row>
    <row r="1685">
      <c r="A1685" s="232" t="inlineStr">
        <is>
          <t>CR-1682</t>
        </is>
      </c>
      <c r="B1685" s="232" t="inlineStr">
        <is>
          <t>2026/27</t>
        </is>
      </c>
      <c r="C1685" s="233" t="n">
        <v>46048</v>
      </c>
      <c r="D1685" s="232" t="inlineStr">
        <is>
          <t>6587</t>
        </is>
      </c>
      <c r="E1685" s="232" t="inlineStr">
        <is>
          <t>PRORRATEO</t>
        </is>
      </c>
      <c r="F1685" s="232" t="inlineStr">
        <is>
          <t>Santa Catalina</t>
        </is>
      </c>
      <c r="G1685" s="232" t="inlineStr">
        <is>
          <t>W. murcott 21 ha</t>
        </is>
      </c>
      <c r="H1685" s="232" t="inlineStr">
        <is>
          <t>Mandarina</t>
        </is>
      </c>
      <c r="I1685" s="232" t="inlineStr">
        <is>
          <t>W. murcott</t>
        </is>
      </c>
      <c r="J1685" s="232" t="inlineStr">
        <is>
          <t>GASTOS GENERALES</t>
        </is>
      </c>
      <c r="K1685" s="232" t="inlineStr">
        <is>
          <t>INSUMOS BOTIQUIN</t>
        </is>
      </c>
      <c r="L1685" s="232" t="inlineStr">
        <is>
          <t>[PRORRATEO 14.2% 21.0há/148.3há] O/001280 SET CURITA</t>
        </is>
      </c>
      <c r="M1685" s="232" t="inlineStr"/>
      <c r="N1685" s="232" t="inlineStr">
        <is>
          <t>.   .   -</t>
        </is>
      </c>
      <c r="O1685" s="232" t="inlineStr">
        <is>
          <t>ENERO</t>
        </is>
      </c>
      <c r="P1685" s="232" t="n">
        <v>4</v>
      </c>
      <c r="Q1685" s="234" t="n">
        <v>474</v>
      </c>
      <c r="R1685" s="232" t="inlineStr"/>
      <c r="S1685" s="234" t="n">
        <v>474</v>
      </c>
      <c r="T1685" s="232" t="inlineStr">
        <is>
          <t>CLP</t>
        </is>
      </c>
      <c r="U1685" s="232" t="inlineStr">
        <is>
          <t>Prorrateo Ha PACKING</t>
        </is>
      </c>
      <c r="V1685" s="232" t="inlineStr">
        <is>
          <t>2026-06-18</t>
        </is>
      </c>
    </row>
    <row r="1686">
      <c r="A1686" s="232" t="inlineStr">
        <is>
          <t>CR-1683</t>
        </is>
      </c>
      <c r="B1686" s="232" t="inlineStr">
        <is>
          <t>2026/27</t>
        </is>
      </c>
      <c r="C1686" s="233" t="n">
        <v>46048</v>
      </c>
      <c r="D1686" s="232" t="inlineStr">
        <is>
          <t>6587</t>
        </is>
      </c>
      <c r="E1686" s="232" t="inlineStr">
        <is>
          <t>PRORRATEO</t>
        </is>
      </c>
      <c r="F1686" s="232" t="inlineStr">
        <is>
          <t>Santa Catalina</t>
        </is>
      </c>
      <c r="G1686" s="232" t="inlineStr">
        <is>
          <t>cambria 4,2 ha</t>
        </is>
      </c>
      <c r="H1686" s="232" t="inlineStr">
        <is>
          <t>Naranjas</t>
        </is>
      </c>
      <c r="I1686" s="232" t="inlineStr">
        <is>
          <t>Cambria</t>
        </is>
      </c>
      <c r="J1686" s="232" t="inlineStr">
        <is>
          <t>GASTOS GENERALES</t>
        </is>
      </c>
      <c r="K1686" s="232" t="inlineStr">
        <is>
          <t>INSUMOS BOTIQUIN</t>
        </is>
      </c>
      <c r="L1686" s="232" t="inlineStr">
        <is>
          <t>[PRORRATEO 2.8% 4.2há/148.3há] O/001280 SET CURITA</t>
        </is>
      </c>
      <c r="M1686" s="232" t="inlineStr"/>
      <c r="N1686" s="232" t="inlineStr">
        <is>
          <t>.   .   -</t>
        </is>
      </c>
      <c r="O1686" s="232" t="inlineStr">
        <is>
          <t>ENERO</t>
        </is>
      </c>
      <c r="P1686" s="232" t="n">
        <v>4</v>
      </c>
      <c r="Q1686" s="234" t="n">
        <v>95</v>
      </c>
      <c r="R1686" s="232" t="inlineStr"/>
      <c r="S1686" s="234" t="n">
        <v>95</v>
      </c>
      <c r="T1686" s="232" t="inlineStr">
        <is>
          <t>CLP</t>
        </is>
      </c>
      <c r="U1686" s="232" t="inlineStr">
        <is>
          <t>Prorrateo Ha PACKING</t>
        </is>
      </c>
      <c r="V1686" s="232" t="inlineStr">
        <is>
          <t>2026-06-18</t>
        </is>
      </c>
    </row>
    <row r="1687">
      <c r="A1687" s="232" t="inlineStr">
        <is>
          <t>CR-1684</t>
        </is>
      </c>
      <c r="B1687" s="232" t="inlineStr">
        <is>
          <t>2026/27</t>
        </is>
      </c>
      <c r="C1687" s="233" t="n">
        <v>46048</v>
      </c>
      <c r="D1687" s="232" t="inlineStr">
        <is>
          <t>6587</t>
        </is>
      </c>
      <c r="E1687" s="232" t="inlineStr">
        <is>
          <t>PRORRATEO</t>
        </is>
      </c>
      <c r="F1687" s="232" t="inlineStr">
        <is>
          <t>Santa Catalina</t>
        </is>
      </c>
      <c r="G1687" s="232" t="inlineStr">
        <is>
          <t>eureka 10,6 ha</t>
        </is>
      </c>
      <c r="H1687" s="232" t="inlineStr">
        <is>
          <t>Limon</t>
        </is>
      </c>
      <c r="I1687" s="232" t="inlineStr">
        <is>
          <t>Eureka</t>
        </is>
      </c>
      <c r="J1687" s="232" t="inlineStr">
        <is>
          <t>GASTOS GENERALES</t>
        </is>
      </c>
      <c r="K1687" s="232" t="inlineStr">
        <is>
          <t>INSUMOS BOTIQUIN</t>
        </is>
      </c>
      <c r="L1687" s="232" t="inlineStr">
        <is>
          <t>[PRORRATEO 7.1% 10.6há/148.3há] O/001280 SET CURITA</t>
        </is>
      </c>
      <c r="M1687" s="232" t="inlineStr"/>
      <c r="N1687" s="232" t="inlineStr">
        <is>
          <t>.   .   -</t>
        </is>
      </c>
      <c r="O1687" s="232" t="inlineStr">
        <is>
          <t>ENERO</t>
        </is>
      </c>
      <c r="P1687" s="232" t="n">
        <v>4</v>
      </c>
      <c r="Q1687" s="234" t="n">
        <v>239</v>
      </c>
      <c r="R1687" s="232" t="inlineStr"/>
      <c r="S1687" s="234" t="n">
        <v>239</v>
      </c>
      <c r="T1687" s="232" t="inlineStr">
        <is>
          <t>CLP</t>
        </is>
      </c>
      <c r="U1687" s="232" t="inlineStr">
        <is>
          <t>Prorrateo Ha PACKING</t>
        </is>
      </c>
      <c r="V1687" s="232" t="inlineStr">
        <is>
          <t>2026-06-18</t>
        </is>
      </c>
    </row>
    <row r="1688">
      <c r="A1688" s="232" t="inlineStr">
        <is>
          <t>CR-1685</t>
        </is>
      </c>
      <c r="B1688" s="232" t="inlineStr">
        <is>
          <t>2026/27</t>
        </is>
      </c>
      <c r="C1688" s="233" t="n">
        <v>46048</v>
      </c>
      <c r="D1688" s="232" t="inlineStr">
        <is>
          <t>6587</t>
        </is>
      </c>
      <c r="E1688" s="232" t="inlineStr">
        <is>
          <t>PRORRATEO</t>
        </is>
      </c>
      <c r="F1688" s="232" t="inlineStr">
        <is>
          <t>Santa Catalina</t>
        </is>
      </c>
      <c r="G1688" s="232" t="inlineStr">
        <is>
          <t>eureka 14,4 ha</t>
        </is>
      </c>
      <c r="H1688" s="232" t="inlineStr">
        <is>
          <t>Limon</t>
        </is>
      </c>
      <c r="I1688" s="232" t="inlineStr">
        <is>
          <t>Eureka</t>
        </is>
      </c>
      <c r="J1688" s="232" t="inlineStr">
        <is>
          <t>GASTOS GENERALES</t>
        </is>
      </c>
      <c r="K1688" s="232" t="inlineStr">
        <is>
          <t>INSUMOS BOTIQUIN</t>
        </is>
      </c>
      <c r="L1688" s="232" t="inlineStr">
        <is>
          <t>[PRORRATEO 9.7% 14.4há/148.3há] O/001280 SET CURITA</t>
        </is>
      </c>
      <c r="M1688" s="232" t="inlineStr"/>
      <c r="N1688" s="232" t="inlineStr">
        <is>
          <t>.   .   -</t>
        </is>
      </c>
      <c r="O1688" s="232" t="inlineStr">
        <is>
          <t>ENERO</t>
        </is>
      </c>
      <c r="P1688" s="232" t="n">
        <v>4</v>
      </c>
      <c r="Q1688" s="234" t="n">
        <v>325</v>
      </c>
      <c r="R1688" s="232" t="inlineStr"/>
      <c r="S1688" s="234" t="n">
        <v>325</v>
      </c>
      <c r="T1688" s="232" t="inlineStr">
        <is>
          <t>CLP</t>
        </is>
      </c>
      <c r="U1688" s="232" t="inlineStr">
        <is>
          <t>Prorrateo Ha PACKING</t>
        </is>
      </c>
      <c r="V1688" s="232" t="inlineStr">
        <is>
          <t>2026-06-18</t>
        </is>
      </c>
    </row>
    <row r="1689">
      <c r="A1689" s="232" t="inlineStr">
        <is>
          <t>CR-1686</t>
        </is>
      </c>
      <c r="B1689" s="232" t="inlineStr">
        <is>
          <t>2026/27</t>
        </is>
      </c>
      <c r="C1689" s="233" t="n">
        <v>46048</v>
      </c>
      <c r="D1689" s="232" t="inlineStr">
        <is>
          <t>6587</t>
        </is>
      </c>
      <c r="E1689" s="232" t="inlineStr">
        <is>
          <t>PRORRATEO</t>
        </is>
      </c>
      <c r="F1689" s="232" t="inlineStr">
        <is>
          <t>Santa Catalina</t>
        </is>
      </c>
      <c r="G1689" s="232" t="inlineStr">
        <is>
          <t>eureka 22,55</t>
        </is>
      </c>
      <c r="H1689" s="232" t="inlineStr">
        <is>
          <t>Limon</t>
        </is>
      </c>
      <c r="I1689" s="232" t="inlineStr">
        <is>
          <t>Eureka</t>
        </is>
      </c>
      <c r="J1689" s="232" t="inlineStr">
        <is>
          <t>GASTOS GENERALES</t>
        </is>
      </c>
      <c r="K1689" s="232" t="inlineStr">
        <is>
          <t>INSUMOS BOTIQUIN</t>
        </is>
      </c>
      <c r="L1689" s="232" t="inlineStr">
        <is>
          <t>[PRORRATEO 15.2% 22.55há/148.3há] O/001280 SET CURITA</t>
        </is>
      </c>
      <c r="M1689" s="232" t="inlineStr"/>
      <c r="N1689" s="232" t="inlineStr">
        <is>
          <t>.   .   -</t>
        </is>
      </c>
      <c r="O1689" s="232" t="inlineStr">
        <is>
          <t>ENERO</t>
        </is>
      </c>
      <c r="P1689" s="232" t="n">
        <v>4</v>
      </c>
      <c r="Q1689" s="234" t="n">
        <v>509</v>
      </c>
      <c r="R1689" s="232" t="inlineStr"/>
      <c r="S1689" s="234" t="n">
        <v>509</v>
      </c>
      <c r="T1689" s="232" t="inlineStr">
        <is>
          <t>CLP</t>
        </is>
      </c>
      <c r="U1689" s="232" t="inlineStr">
        <is>
          <t>Prorrateo Ha PACKING</t>
        </is>
      </c>
      <c r="V1689" s="232" t="inlineStr">
        <is>
          <t>2026-06-18</t>
        </is>
      </c>
    </row>
    <row r="1690">
      <c r="A1690" s="232" t="inlineStr">
        <is>
          <t>CR-1687</t>
        </is>
      </c>
      <c r="B1690" s="232" t="inlineStr">
        <is>
          <t>2026/27</t>
        </is>
      </c>
      <c r="C1690" s="233" t="n">
        <v>46048</v>
      </c>
      <c r="D1690" s="232" t="inlineStr">
        <is>
          <t>6587</t>
        </is>
      </c>
      <c r="E1690" s="232" t="inlineStr">
        <is>
          <t>PRORRATEO</t>
        </is>
      </c>
      <c r="F1690" s="232" t="inlineStr">
        <is>
          <t>Santa Catalina</t>
        </is>
      </c>
      <c r="G1690" s="232" t="inlineStr">
        <is>
          <t>form benjamin 1,93 ha</t>
        </is>
      </c>
      <c r="H1690" s="232" t="inlineStr">
        <is>
          <t>Limon</t>
        </is>
      </c>
      <c r="I1690" s="232" t="inlineStr">
        <is>
          <t>Benjamin andes</t>
        </is>
      </c>
      <c r="J1690" s="232" t="inlineStr">
        <is>
          <t>GASTOS GENERALES</t>
        </is>
      </c>
      <c r="K1690" s="232" t="inlineStr">
        <is>
          <t>INSUMOS BOTIQUIN</t>
        </is>
      </c>
      <c r="L1690" s="232" t="inlineStr">
        <is>
          <t>[PRORRATEO 1.3% 1.93há/148.3há] O/001280 SET CURITA</t>
        </is>
      </c>
      <c r="M1690" s="232" t="inlineStr"/>
      <c r="N1690" s="232" t="inlineStr">
        <is>
          <t>.   .   -</t>
        </is>
      </c>
      <c r="O1690" s="232" t="inlineStr">
        <is>
          <t>ENERO</t>
        </is>
      </c>
      <c r="P1690" s="232" t="n">
        <v>4</v>
      </c>
      <c r="Q1690" s="234" t="n">
        <v>44</v>
      </c>
      <c r="R1690" s="232" t="inlineStr"/>
      <c r="S1690" s="234" t="n">
        <v>44</v>
      </c>
      <c r="T1690" s="232" t="inlineStr">
        <is>
          <t>CLP</t>
        </is>
      </c>
      <c r="U1690" s="232" t="inlineStr">
        <is>
          <t>Prorrateo Ha PACKING</t>
        </is>
      </c>
      <c r="V1690" s="232" t="inlineStr">
        <is>
          <t>2026-06-18</t>
        </is>
      </c>
    </row>
    <row r="1691">
      <c r="A1691" s="232" t="inlineStr">
        <is>
          <t>CR-1688</t>
        </is>
      </c>
      <c r="B1691" s="232" t="inlineStr">
        <is>
          <t>2026/27</t>
        </is>
      </c>
      <c r="C1691" s="233" t="n">
        <v>46048</v>
      </c>
      <c r="D1691" s="232" t="inlineStr">
        <is>
          <t>6587</t>
        </is>
      </c>
      <c r="E1691" s="232" t="inlineStr">
        <is>
          <t>PRORRATEO</t>
        </is>
      </c>
      <c r="F1691" s="232" t="inlineStr">
        <is>
          <t>Santa Catalina</t>
        </is>
      </c>
      <c r="G1691" s="232" t="inlineStr">
        <is>
          <t>mant eureka 2,5 ha</t>
        </is>
      </c>
      <c r="H1691" s="232" t="inlineStr">
        <is>
          <t>Limon</t>
        </is>
      </c>
      <c r="I1691" s="232" t="inlineStr">
        <is>
          <t>Eureka</t>
        </is>
      </c>
      <c r="J1691" s="232" t="inlineStr">
        <is>
          <t>GASTOS GENERALES</t>
        </is>
      </c>
      <c r="K1691" s="232" t="inlineStr">
        <is>
          <t>INSUMOS BOTIQUIN</t>
        </is>
      </c>
      <c r="L1691" s="232" t="inlineStr">
        <is>
          <t>[PRORRATEO 1.7% 2.5há/148.3há] O/001280 SET CURITA</t>
        </is>
      </c>
      <c r="M1691" s="232" t="inlineStr"/>
      <c r="N1691" s="232" t="inlineStr">
        <is>
          <t>.   .   -</t>
        </is>
      </c>
      <c r="O1691" s="232" t="inlineStr">
        <is>
          <t>ENERO</t>
        </is>
      </c>
      <c r="P1691" s="232" t="n">
        <v>4</v>
      </c>
      <c r="Q1691" s="234" t="n">
        <v>56</v>
      </c>
      <c r="R1691" s="232" t="inlineStr"/>
      <c r="S1691" s="234" t="n">
        <v>56</v>
      </c>
      <c r="T1691" s="232" t="inlineStr">
        <is>
          <t>CLP</t>
        </is>
      </c>
      <c r="U1691" s="232" t="inlineStr">
        <is>
          <t>Prorrateo Ha PACKING</t>
        </is>
      </c>
      <c r="V1691" s="232" t="inlineStr">
        <is>
          <t>2026-06-18</t>
        </is>
      </c>
    </row>
    <row r="1692">
      <c r="A1692" s="232" t="inlineStr">
        <is>
          <t>CR-1689</t>
        </is>
      </c>
      <c r="B1692" s="232" t="inlineStr">
        <is>
          <t>2026/27</t>
        </is>
      </c>
      <c r="C1692" s="233" t="n">
        <v>46048</v>
      </c>
      <c r="D1692" s="232" t="inlineStr">
        <is>
          <t>6587</t>
        </is>
      </c>
      <c r="E1692" s="232" t="inlineStr">
        <is>
          <t>PRORRATEO</t>
        </is>
      </c>
      <c r="F1692" s="232" t="inlineStr">
        <is>
          <t>Siberia</t>
        </is>
      </c>
      <c r="G1692" s="232" t="inlineStr">
        <is>
          <t>S. Celebration 7,14</t>
        </is>
      </c>
      <c r="H1692" s="232" t="inlineStr">
        <is>
          <t>Uvas</t>
        </is>
      </c>
      <c r="I1692" s="232" t="inlineStr">
        <is>
          <t>S. celebration</t>
        </is>
      </c>
      <c r="J1692" s="232" t="inlineStr">
        <is>
          <t>GASTOS GENERALES</t>
        </is>
      </c>
      <c r="K1692" s="232" t="inlineStr">
        <is>
          <t>INSUMOS BOTIQUIN</t>
        </is>
      </c>
      <c r="L1692" s="232" t="inlineStr">
        <is>
          <t>[PRORRATEO 4.8% 7.14há/148.3há] O/001280 SET CURITA</t>
        </is>
      </c>
      <c r="M1692" s="232" t="inlineStr"/>
      <c r="N1692" s="232" t="inlineStr">
        <is>
          <t>.   .   -</t>
        </is>
      </c>
      <c r="O1692" s="232" t="inlineStr">
        <is>
          <t>ENERO</t>
        </is>
      </c>
      <c r="P1692" s="232" t="n">
        <v>4</v>
      </c>
      <c r="Q1692" s="234" t="n">
        <v>161</v>
      </c>
      <c r="R1692" s="232" t="inlineStr"/>
      <c r="S1692" s="234" t="n">
        <v>161</v>
      </c>
      <c r="T1692" s="232" t="inlineStr">
        <is>
          <t>CLP</t>
        </is>
      </c>
      <c r="U1692" s="232" t="inlineStr">
        <is>
          <t>Prorrateo Ha PACKING</t>
        </is>
      </c>
      <c r="V1692" s="232" t="inlineStr">
        <is>
          <t>2026-06-18</t>
        </is>
      </c>
    </row>
    <row r="1693">
      <c r="A1693" s="232" t="inlineStr">
        <is>
          <t>CR-1690</t>
        </is>
      </c>
      <c r="B1693" s="232" t="inlineStr">
        <is>
          <t>2026/27</t>
        </is>
      </c>
      <c r="C1693" s="233" t="n">
        <v>46048</v>
      </c>
      <c r="D1693" s="232" t="inlineStr">
        <is>
          <t>6587</t>
        </is>
      </c>
      <c r="E1693" s="232" t="inlineStr">
        <is>
          <t>PRORRATEO</t>
        </is>
      </c>
      <c r="F1693" s="232" t="inlineStr">
        <is>
          <t>Siberia</t>
        </is>
      </c>
      <c r="G1693" s="232" t="inlineStr">
        <is>
          <t>Timpson 7,1</t>
        </is>
      </c>
      <c r="H1693" s="232" t="inlineStr">
        <is>
          <t>Uvas</t>
        </is>
      </c>
      <c r="I1693" s="232" t="inlineStr">
        <is>
          <t>Timpson</t>
        </is>
      </c>
      <c r="J1693" s="232" t="inlineStr">
        <is>
          <t>GASTOS GENERALES</t>
        </is>
      </c>
      <c r="K1693" s="232" t="inlineStr">
        <is>
          <t>INSUMOS BOTIQUIN</t>
        </is>
      </c>
      <c r="L1693" s="232" t="inlineStr">
        <is>
          <t>[PRORRATEO 4.8% 7.1há/148.3há] O/001280 SET CURITA</t>
        </is>
      </c>
      <c r="M1693" s="232" t="inlineStr"/>
      <c r="N1693" s="232" t="inlineStr">
        <is>
          <t>.   .   -</t>
        </is>
      </c>
      <c r="O1693" s="232" t="inlineStr">
        <is>
          <t>ENERO</t>
        </is>
      </c>
      <c r="P1693" s="232" t="n">
        <v>4</v>
      </c>
      <c r="Q1693" s="234" t="n">
        <v>160</v>
      </c>
      <c r="R1693" s="232" t="inlineStr"/>
      <c r="S1693" s="234" t="n">
        <v>160</v>
      </c>
      <c r="T1693" s="232" t="inlineStr">
        <is>
          <t>CLP</t>
        </is>
      </c>
      <c r="U1693" s="232" t="inlineStr">
        <is>
          <t>Prorrateo Ha PACKING</t>
        </is>
      </c>
      <c r="V1693" s="232" t="inlineStr">
        <is>
          <t>2026-06-18</t>
        </is>
      </c>
    </row>
    <row r="1694">
      <c r="A1694" s="232" t="inlineStr">
        <is>
          <t>CR-1691</t>
        </is>
      </c>
      <c r="B1694" s="232" t="inlineStr">
        <is>
          <t>2026/27</t>
        </is>
      </c>
      <c r="C1694" s="233" t="n">
        <v>46053</v>
      </c>
      <c r="D1694" s="232" t="inlineStr">
        <is>
          <t>878197</t>
        </is>
      </c>
      <c r="E1694" s="232" t="inlineStr">
        <is>
          <t>PRORRATEO</t>
        </is>
      </c>
      <c r="F1694" s="232" t="inlineStr">
        <is>
          <t>Asmara</t>
        </is>
      </c>
      <c r="G1694" s="232" t="inlineStr">
        <is>
          <t>w. murcott 19,8 ha</t>
        </is>
      </c>
      <c r="H1694" s="232" t="inlineStr">
        <is>
          <t>Mandarina</t>
        </is>
      </c>
      <c r="I1694" s="232" t="inlineStr">
        <is>
          <t>W. murcott</t>
        </is>
      </c>
      <c r="J1694" s="232" t="inlineStr">
        <is>
          <t>MANT. Y REP. CONSTRUCCIONES</t>
        </is>
      </c>
      <c r="K1694" s="232" t="inlineStr">
        <is>
          <t>MANTENCION INFRAESTRUCTURA</t>
        </is>
      </c>
      <c r="L1694" s="232" t="inlineStr">
        <is>
          <t>[PRORRATEO 13.4% 19.8há/148.3há] O/001339 AGUJA COSE</t>
        </is>
      </c>
      <c r="M1694" s="232" t="inlineStr"/>
      <c r="N1694" s="232" t="inlineStr">
        <is>
          <t>.   .   -</t>
        </is>
      </c>
      <c r="O1694" s="232" t="inlineStr">
        <is>
          <t>ENERO</t>
        </is>
      </c>
      <c r="P1694" s="232" t="n">
        <v>5</v>
      </c>
      <c r="Q1694" s="234" t="n">
        <v>647</v>
      </c>
      <c r="R1694" s="232" t="inlineStr"/>
      <c r="S1694" s="234" t="n">
        <v>647</v>
      </c>
      <c r="T1694" s="232" t="inlineStr">
        <is>
          <t>CLP</t>
        </is>
      </c>
      <c r="U1694" s="232" t="inlineStr">
        <is>
          <t>Prorrateo Ha BODEGA</t>
        </is>
      </c>
      <c r="V1694" s="232" t="inlineStr">
        <is>
          <t>2026-06-18</t>
        </is>
      </c>
    </row>
    <row r="1695">
      <c r="A1695" s="232" t="inlineStr">
        <is>
          <t>CR-1692</t>
        </is>
      </c>
      <c r="B1695" s="232" t="inlineStr">
        <is>
          <t>2026/27</t>
        </is>
      </c>
      <c r="C1695" s="233" t="n">
        <v>46053</v>
      </c>
      <c r="D1695" s="232" t="inlineStr">
        <is>
          <t>878197</t>
        </is>
      </c>
      <c r="E1695" s="232" t="inlineStr">
        <is>
          <t>PRORRATEO</t>
        </is>
      </c>
      <c r="F1695" s="232" t="inlineStr">
        <is>
          <t>Asmara</t>
        </is>
      </c>
      <c r="G1695" s="232" t="inlineStr">
        <is>
          <t>w. murcott 4,9 ha</t>
        </is>
      </c>
      <c r="H1695" s="232" t="inlineStr">
        <is>
          <t>Mandarina</t>
        </is>
      </c>
      <c r="I1695" s="232" t="inlineStr">
        <is>
          <t>W. murcott</t>
        </is>
      </c>
      <c r="J1695" s="232" t="inlineStr">
        <is>
          <t>MANT. Y REP. CONSTRUCCIONES</t>
        </is>
      </c>
      <c r="K1695" s="232" t="inlineStr">
        <is>
          <t>MANTENCION INFRAESTRUCTURA</t>
        </is>
      </c>
      <c r="L1695" s="232" t="inlineStr">
        <is>
          <t>[PRORRATEO 3.3% 4.9há/148.3há] O/001339 AGUJA COSE</t>
        </is>
      </c>
      <c r="M1695" s="232" t="inlineStr"/>
      <c r="N1695" s="232" t="inlineStr">
        <is>
          <t>.   .   -</t>
        </is>
      </c>
      <c r="O1695" s="232" t="inlineStr">
        <is>
          <t>ENERO</t>
        </is>
      </c>
      <c r="P1695" s="232" t="n">
        <v>5</v>
      </c>
      <c r="Q1695" s="234" t="n">
        <v>160</v>
      </c>
      <c r="R1695" s="232" t="inlineStr"/>
      <c r="S1695" s="234" t="n">
        <v>160</v>
      </c>
      <c r="T1695" s="232" t="inlineStr">
        <is>
          <t>CLP</t>
        </is>
      </c>
      <c r="U1695" s="232" t="inlineStr">
        <is>
          <t>Prorrateo Ha BODEGA</t>
        </is>
      </c>
      <c r="V1695" s="232" t="inlineStr">
        <is>
          <t>2026-06-18</t>
        </is>
      </c>
    </row>
    <row r="1696">
      <c r="A1696" s="232" t="inlineStr">
        <is>
          <t>CR-1693</t>
        </is>
      </c>
      <c r="B1696" s="232" t="inlineStr">
        <is>
          <t>2026/27</t>
        </is>
      </c>
      <c r="C1696" s="233" t="n">
        <v>46053</v>
      </c>
      <c r="D1696" s="232" t="inlineStr">
        <is>
          <t>878197</t>
        </is>
      </c>
      <c r="E1696" s="232" t="inlineStr">
        <is>
          <t>PRORRATEO</t>
        </is>
      </c>
      <c r="F1696" s="232" t="inlineStr">
        <is>
          <t>El Molle</t>
        </is>
      </c>
      <c r="G1696" s="232" t="inlineStr">
        <is>
          <t>Wonderful 5,25 ha</t>
        </is>
      </c>
      <c r="H1696" s="232" t="inlineStr">
        <is>
          <t>Granados</t>
        </is>
      </c>
      <c r="I1696" s="232" t="inlineStr">
        <is>
          <t>Wonderfull</t>
        </is>
      </c>
      <c r="J1696" s="232" t="inlineStr">
        <is>
          <t>MANT. Y REP. CONSTRUCCIONES</t>
        </is>
      </c>
      <c r="K1696" s="232" t="inlineStr">
        <is>
          <t>MANTENCION INFRAESTRUCTURA</t>
        </is>
      </c>
      <c r="L1696" s="232" t="inlineStr">
        <is>
          <t>[PRORRATEO 3.5% 5.24há/148.3há] O/001339 AGUJA COSE</t>
        </is>
      </c>
      <c r="M1696" s="232" t="inlineStr"/>
      <c r="N1696" s="232" t="inlineStr">
        <is>
          <t>.   .   -</t>
        </is>
      </c>
      <c r="O1696" s="232" t="inlineStr">
        <is>
          <t>ENERO</t>
        </is>
      </c>
      <c r="P1696" s="232" t="n">
        <v>5</v>
      </c>
      <c r="Q1696" s="234" t="n">
        <v>171</v>
      </c>
      <c r="R1696" s="232" t="inlineStr"/>
      <c r="S1696" s="234" t="n">
        <v>171</v>
      </c>
      <c r="T1696" s="232" t="inlineStr">
        <is>
          <t>CLP</t>
        </is>
      </c>
      <c r="U1696" s="232" t="inlineStr">
        <is>
          <t>Prorrateo Ha BODEGA</t>
        </is>
      </c>
      <c r="V1696" s="232" t="inlineStr">
        <is>
          <t>2026-06-18</t>
        </is>
      </c>
    </row>
    <row r="1697">
      <c r="A1697" s="232" t="inlineStr">
        <is>
          <t>CR-1694</t>
        </is>
      </c>
      <c r="B1697" s="232" t="inlineStr">
        <is>
          <t>2026/27</t>
        </is>
      </c>
      <c r="C1697" s="233" t="n">
        <v>46053</v>
      </c>
      <c r="D1697" s="232" t="inlineStr">
        <is>
          <t>878197</t>
        </is>
      </c>
      <c r="E1697" s="232" t="inlineStr">
        <is>
          <t>PRORRATEO</t>
        </is>
      </c>
      <c r="F1697" s="232" t="inlineStr">
        <is>
          <t>El Molle</t>
        </is>
      </c>
      <c r="G1697" s="232" t="inlineStr">
        <is>
          <t>arrufatinas 5,74 ha</t>
        </is>
      </c>
      <c r="H1697" s="232" t="inlineStr">
        <is>
          <t>Clementinas</t>
        </is>
      </c>
      <c r="I1697" s="232" t="inlineStr">
        <is>
          <t>Arrufatinas</t>
        </is>
      </c>
      <c r="J1697" s="232" t="inlineStr">
        <is>
          <t>MANT. Y REP. CONSTRUCCIONES</t>
        </is>
      </c>
      <c r="K1697" s="232" t="inlineStr">
        <is>
          <t>MANTENCION INFRAESTRUCTURA</t>
        </is>
      </c>
      <c r="L1697" s="232" t="inlineStr">
        <is>
          <t>[PRORRATEO 3.9% 5.74há/148.3há] O/001339 AGUJA COSE</t>
        </is>
      </c>
      <c r="M1697" s="232" t="inlineStr"/>
      <c r="N1697" s="232" t="inlineStr">
        <is>
          <t>.   .   -</t>
        </is>
      </c>
      <c r="O1697" s="232" t="inlineStr">
        <is>
          <t>ENERO</t>
        </is>
      </c>
      <c r="P1697" s="232" t="n">
        <v>5</v>
      </c>
      <c r="Q1697" s="234" t="n">
        <v>188</v>
      </c>
      <c r="R1697" s="232" t="inlineStr"/>
      <c r="S1697" s="234" t="n">
        <v>188</v>
      </c>
      <c r="T1697" s="232" t="inlineStr">
        <is>
          <t>CLP</t>
        </is>
      </c>
      <c r="U1697" s="232" t="inlineStr">
        <is>
          <t>Prorrateo Ha BODEGA</t>
        </is>
      </c>
      <c r="V1697" s="232" t="inlineStr">
        <is>
          <t>2026-06-18</t>
        </is>
      </c>
    </row>
    <row r="1698">
      <c r="A1698" s="232" t="inlineStr">
        <is>
          <t>CR-1695</t>
        </is>
      </c>
      <c r="B1698" s="232" t="inlineStr">
        <is>
          <t>2026/27</t>
        </is>
      </c>
      <c r="C1698" s="233" t="n">
        <v>46053</v>
      </c>
      <c r="D1698" s="232" t="inlineStr">
        <is>
          <t>878197</t>
        </is>
      </c>
      <c r="E1698" s="232" t="inlineStr">
        <is>
          <t>PRORRATEO</t>
        </is>
      </c>
      <c r="F1698" s="232" t="inlineStr">
        <is>
          <t>El Molle</t>
        </is>
      </c>
      <c r="G1698" s="232" t="inlineStr">
        <is>
          <t>orogrande 8,11 ha</t>
        </is>
      </c>
      <c r="H1698" s="232" t="inlineStr">
        <is>
          <t>Clementinas</t>
        </is>
      </c>
      <c r="I1698" s="232" t="inlineStr">
        <is>
          <t>Orogrande</t>
        </is>
      </c>
      <c r="J1698" s="232" t="inlineStr">
        <is>
          <t>MANT. Y REP. CONSTRUCCIONES</t>
        </is>
      </c>
      <c r="K1698" s="232" t="inlineStr">
        <is>
          <t>MANTENCION INFRAESTRUCTURA</t>
        </is>
      </c>
      <c r="L1698" s="232" t="inlineStr">
        <is>
          <t>[PRORRATEO 5.5% 8.11há/148.3há] O/001339 AGUJA COSE</t>
        </is>
      </c>
      <c r="M1698" s="232" t="inlineStr"/>
      <c r="N1698" s="232" t="inlineStr">
        <is>
          <t>.   .   -</t>
        </is>
      </c>
      <c r="O1698" s="232" t="inlineStr">
        <is>
          <t>ENERO</t>
        </is>
      </c>
      <c r="P1698" s="232" t="n">
        <v>5</v>
      </c>
      <c r="Q1698" s="234" t="n">
        <v>265</v>
      </c>
      <c r="R1698" s="232" t="inlineStr"/>
      <c r="S1698" s="234" t="n">
        <v>265</v>
      </c>
      <c r="T1698" s="232" t="inlineStr">
        <is>
          <t>CLP</t>
        </is>
      </c>
      <c r="U1698" s="232" t="inlineStr">
        <is>
          <t>Prorrateo Ha BODEGA</t>
        </is>
      </c>
      <c r="V1698" s="232" t="inlineStr">
        <is>
          <t>2026-06-18</t>
        </is>
      </c>
    </row>
    <row r="1699">
      <c r="A1699" s="232" t="inlineStr">
        <is>
          <t>CR-1696</t>
        </is>
      </c>
      <c r="B1699" s="232" t="inlineStr">
        <is>
          <t>2026/27</t>
        </is>
      </c>
      <c r="C1699" s="233" t="n">
        <v>46053</v>
      </c>
      <c r="D1699" s="232" t="inlineStr">
        <is>
          <t>878197</t>
        </is>
      </c>
      <c r="E1699" s="232" t="inlineStr">
        <is>
          <t>PRORRATEO</t>
        </is>
      </c>
      <c r="F1699" s="232" t="inlineStr">
        <is>
          <t>El Molle</t>
        </is>
      </c>
      <c r="G1699" s="232" t="inlineStr">
        <is>
          <t>oronules 5,35 ha</t>
        </is>
      </c>
      <c r="H1699" s="232" t="inlineStr">
        <is>
          <t>Clementinas</t>
        </is>
      </c>
      <c r="I1699" s="232" t="inlineStr">
        <is>
          <t>Oronules</t>
        </is>
      </c>
      <c r="J1699" s="232" t="inlineStr">
        <is>
          <t>MANT. Y REP. CONSTRUCCIONES</t>
        </is>
      </c>
      <c r="K1699" s="232" t="inlineStr">
        <is>
          <t>MANTENCION INFRAESTRUCTURA</t>
        </is>
      </c>
      <c r="L1699" s="232" t="inlineStr">
        <is>
          <t>[PRORRATEO 3.6% 5.35há/148.3há] O/001339 AGUJA COSE</t>
        </is>
      </c>
      <c r="M1699" s="232" t="inlineStr"/>
      <c r="N1699" s="232" t="inlineStr">
        <is>
          <t>.   .   -</t>
        </is>
      </c>
      <c r="O1699" s="232" t="inlineStr">
        <is>
          <t>ENERO</t>
        </is>
      </c>
      <c r="P1699" s="232" t="n">
        <v>5</v>
      </c>
      <c r="Q1699" s="234" t="n">
        <v>175</v>
      </c>
      <c r="R1699" s="232" t="inlineStr"/>
      <c r="S1699" s="234" t="n">
        <v>175</v>
      </c>
      <c r="T1699" s="232" t="inlineStr">
        <is>
          <t>CLP</t>
        </is>
      </c>
      <c r="U1699" s="232" t="inlineStr">
        <is>
          <t>Prorrateo Ha BODEGA</t>
        </is>
      </c>
      <c r="V1699" s="232" t="inlineStr">
        <is>
          <t>2026-06-18</t>
        </is>
      </c>
    </row>
    <row r="1700">
      <c r="A1700" s="232" t="inlineStr">
        <is>
          <t>CR-1697</t>
        </is>
      </c>
      <c r="B1700" s="232" t="inlineStr">
        <is>
          <t>2026/27</t>
        </is>
      </c>
      <c r="C1700" s="233" t="n">
        <v>46053</v>
      </c>
      <c r="D1700" s="232" t="inlineStr">
        <is>
          <t>878197</t>
        </is>
      </c>
      <c r="E1700" s="232" t="inlineStr">
        <is>
          <t>PRORRATEO</t>
        </is>
      </c>
      <c r="F1700" s="232" t="inlineStr">
        <is>
          <t>Santa Catalina</t>
        </is>
      </c>
      <c r="G1700" s="232" t="inlineStr">
        <is>
          <t>Fino 49 7,7 ha</t>
        </is>
      </c>
      <c r="H1700" s="232" t="inlineStr">
        <is>
          <t>Limon</t>
        </is>
      </c>
      <c r="I1700" s="232" t="inlineStr">
        <is>
          <t>Fino 49</t>
        </is>
      </c>
      <c r="J1700" s="232" t="inlineStr">
        <is>
          <t>MANT. Y REP. CONSTRUCCIONES</t>
        </is>
      </c>
      <c r="K1700" s="232" t="inlineStr">
        <is>
          <t>MANTENCION INFRAESTRUCTURA</t>
        </is>
      </c>
      <c r="L1700" s="232" t="inlineStr">
        <is>
          <t>[PRORRATEO 5.2% 7.7há/148.3há] O/001339 AGUJA COSE</t>
        </is>
      </c>
      <c r="M1700" s="232" t="inlineStr"/>
      <c r="N1700" s="232" t="inlineStr">
        <is>
          <t>.   .   -</t>
        </is>
      </c>
      <c r="O1700" s="232" t="inlineStr">
        <is>
          <t>ENERO</t>
        </is>
      </c>
      <c r="P1700" s="232" t="n">
        <v>5</v>
      </c>
      <c r="Q1700" s="234" t="n">
        <v>252</v>
      </c>
      <c r="R1700" s="232" t="inlineStr"/>
      <c r="S1700" s="234" t="n">
        <v>252</v>
      </c>
      <c r="T1700" s="232" t="inlineStr">
        <is>
          <t>CLP</t>
        </is>
      </c>
      <c r="U1700" s="232" t="inlineStr">
        <is>
          <t>Prorrateo Ha BODEGA</t>
        </is>
      </c>
      <c r="V1700" s="232" t="inlineStr">
        <is>
          <t>2026-06-18</t>
        </is>
      </c>
    </row>
    <row r="1701">
      <c r="A1701" s="232" t="inlineStr">
        <is>
          <t>CR-1698</t>
        </is>
      </c>
      <c r="B1701" s="232" t="inlineStr">
        <is>
          <t>2026/27</t>
        </is>
      </c>
      <c r="C1701" s="233" t="n">
        <v>46053</v>
      </c>
      <c r="D1701" s="232" t="inlineStr">
        <is>
          <t>878197</t>
        </is>
      </c>
      <c r="E1701" s="232" t="inlineStr">
        <is>
          <t>PRORRATEO</t>
        </is>
      </c>
      <c r="F1701" s="232" t="inlineStr">
        <is>
          <t>Santa Catalina</t>
        </is>
      </c>
      <c r="G1701" s="232" t="inlineStr">
        <is>
          <t>W. murcott 21 ha</t>
        </is>
      </c>
      <c r="H1701" s="232" t="inlineStr">
        <is>
          <t>Mandarina</t>
        </is>
      </c>
      <c r="I1701" s="232" t="inlineStr">
        <is>
          <t>W. murcott</t>
        </is>
      </c>
      <c r="J1701" s="232" t="inlineStr">
        <is>
          <t>MANT. Y REP. CONSTRUCCIONES</t>
        </is>
      </c>
      <c r="K1701" s="232" t="inlineStr">
        <is>
          <t>MANTENCION INFRAESTRUCTURA</t>
        </is>
      </c>
      <c r="L1701" s="232" t="inlineStr">
        <is>
          <t>[PRORRATEO 14.2% 21.0há/148.3há] O/001339 AGUJA COSE</t>
        </is>
      </c>
      <c r="M1701" s="232" t="inlineStr"/>
      <c r="N1701" s="232" t="inlineStr">
        <is>
          <t>.   .   -</t>
        </is>
      </c>
      <c r="O1701" s="232" t="inlineStr">
        <is>
          <t>ENERO</t>
        </is>
      </c>
      <c r="P1701" s="232" t="n">
        <v>5</v>
      </c>
      <c r="Q1701" s="234" t="n">
        <v>686</v>
      </c>
      <c r="R1701" s="232" t="inlineStr"/>
      <c r="S1701" s="234" t="n">
        <v>686</v>
      </c>
      <c r="T1701" s="232" t="inlineStr">
        <is>
          <t>CLP</t>
        </is>
      </c>
      <c r="U1701" s="232" t="inlineStr">
        <is>
          <t>Prorrateo Ha BODEGA</t>
        </is>
      </c>
      <c r="V1701" s="232" t="inlineStr">
        <is>
          <t>2026-06-18</t>
        </is>
      </c>
    </row>
    <row r="1702">
      <c r="A1702" s="232" t="inlineStr">
        <is>
          <t>CR-1699</t>
        </is>
      </c>
      <c r="B1702" s="232" t="inlineStr">
        <is>
          <t>2026/27</t>
        </is>
      </c>
      <c r="C1702" s="233" t="n">
        <v>46053</v>
      </c>
      <c r="D1702" s="232" t="inlineStr">
        <is>
          <t>878197</t>
        </is>
      </c>
      <c r="E1702" s="232" t="inlineStr">
        <is>
          <t>PRORRATEO</t>
        </is>
      </c>
      <c r="F1702" s="232" t="inlineStr">
        <is>
          <t>Santa Catalina</t>
        </is>
      </c>
      <c r="G1702" s="232" t="inlineStr">
        <is>
          <t>cambria 4,2 ha</t>
        </is>
      </c>
      <c r="H1702" s="232" t="inlineStr">
        <is>
          <t>Naranjas</t>
        </is>
      </c>
      <c r="I1702" s="232" t="inlineStr">
        <is>
          <t>Cambria</t>
        </is>
      </c>
      <c r="J1702" s="232" t="inlineStr">
        <is>
          <t>MANT. Y REP. CONSTRUCCIONES</t>
        </is>
      </c>
      <c r="K1702" s="232" t="inlineStr">
        <is>
          <t>MANTENCION INFRAESTRUCTURA</t>
        </is>
      </c>
      <c r="L1702" s="232" t="inlineStr">
        <is>
          <t>[PRORRATEO 2.8% 4.2há/148.3há] O/001339 AGUJA COSE</t>
        </is>
      </c>
      <c r="M1702" s="232" t="inlineStr"/>
      <c r="N1702" s="232" t="inlineStr">
        <is>
          <t>.   .   -</t>
        </is>
      </c>
      <c r="O1702" s="232" t="inlineStr">
        <is>
          <t>ENERO</t>
        </is>
      </c>
      <c r="P1702" s="232" t="n">
        <v>5</v>
      </c>
      <c r="Q1702" s="234" t="n">
        <v>137</v>
      </c>
      <c r="R1702" s="232" t="inlineStr"/>
      <c r="S1702" s="234" t="n">
        <v>137</v>
      </c>
      <c r="T1702" s="232" t="inlineStr">
        <is>
          <t>CLP</t>
        </is>
      </c>
      <c r="U1702" s="232" t="inlineStr">
        <is>
          <t>Prorrateo Ha BODEGA</t>
        </is>
      </c>
      <c r="V1702" s="232" t="inlineStr">
        <is>
          <t>2026-06-18</t>
        </is>
      </c>
    </row>
    <row r="1703">
      <c r="A1703" s="232" t="inlineStr">
        <is>
          <t>CR-1700</t>
        </is>
      </c>
      <c r="B1703" s="232" t="inlineStr">
        <is>
          <t>2026/27</t>
        </is>
      </c>
      <c r="C1703" s="233" t="n">
        <v>46053</v>
      </c>
      <c r="D1703" s="232" t="inlineStr">
        <is>
          <t>878197</t>
        </is>
      </c>
      <c r="E1703" s="232" t="inlineStr">
        <is>
          <t>PRORRATEO</t>
        </is>
      </c>
      <c r="F1703" s="232" t="inlineStr">
        <is>
          <t>Santa Catalina</t>
        </is>
      </c>
      <c r="G1703" s="232" t="inlineStr">
        <is>
          <t>eureka 10,6 ha</t>
        </is>
      </c>
      <c r="H1703" s="232" t="inlineStr">
        <is>
          <t>Limon</t>
        </is>
      </c>
      <c r="I1703" s="232" t="inlineStr">
        <is>
          <t>Eureka</t>
        </is>
      </c>
      <c r="J1703" s="232" t="inlineStr">
        <is>
          <t>MANT. Y REP. CONSTRUCCIONES</t>
        </is>
      </c>
      <c r="K1703" s="232" t="inlineStr">
        <is>
          <t>MANTENCION INFRAESTRUCTURA</t>
        </is>
      </c>
      <c r="L1703" s="232" t="inlineStr">
        <is>
          <t>[PRORRATEO 7.1% 10.6há/148.3há] O/001339 AGUJA COSE</t>
        </is>
      </c>
      <c r="M1703" s="232" t="inlineStr"/>
      <c r="N1703" s="232" t="inlineStr">
        <is>
          <t>.   .   -</t>
        </is>
      </c>
      <c r="O1703" s="232" t="inlineStr">
        <is>
          <t>ENERO</t>
        </is>
      </c>
      <c r="P1703" s="232" t="n">
        <v>5</v>
      </c>
      <c r="Q1703" s="234" t="n">
        <v>346</v>
      </c>
      <c r="R1703" s="232" t="inlineStr"/>
      <c r="S1703" s="234" t="n">
        <v>346</v>
      </c>
      <c r="T1703" s="232" t="inlineStr">
        <is>
          <t>CLP</t>
        </is>
      </c>
      <c r="U1703" s="232" t="inlineStr">
        <is>
          <t>Prorrateo Ha BODEGA</t>
        </is>
      </c>
      <c r="V1703" s="232" t="inlineStr">
        <is>
          <t>2026-06-18</t>
        </is>
      </c>
    </row>
    <row r="1704">
      <c r="A1704" s="232" t="inlineStr">
        <is>
          <t>CR-1701</t>
        </is>
      </c>
      <c r="B1704" s="232" t="inlineStr">
        <is>
          <t>2026/27</t>
        </is>
      </c>
      <c r="C1704" s="233" t="n">
        <v>46053</v>
      </c>
      <c r="D1704" s="232" t="inlineStr">
        <is>
          <t>878197</t>
        </is>
      </c>
      <c r="E1704" s="232" t="inlineStr">
        <is>
          <t>PRORRATEO</t>
        </is>
      </c>
      <c r="F1704" s="232" t="inlineStr">
        <is>
          <t>Santa Catalina</t>
        </is>
      </c>
      <c r="G1704" s="232" t="inlineStr">
        <is>
          <t>eureka 14,4 ha</t>
        </is>
      </c>
      <c r="H1704" s="232" t="inlineStr">
        <is>
          <t>Limon</t>
        </is>
      </c>
      <c r="I1704" s="232" t="inlineStr">
        <is>
          <t>Eureka</t>
        </is>
      </c>
      <c r="J1704" s="232" t="inlineStr">
        <is>
          <t>MANT. Y REP. CONSTRUCCIONES</t>
        </is>
      </c>
      <c r="K1704" s="232" t="inlineStr">
        <is>
          <t>MANTENCION INFRAESTRUCTURA</t>
        </is>
      </c>
      <c r="L1704" s="232" t="inlineStr">
        <is>
          <t>[PRORRATEO 9.7% 14.4há/148.3há] O/001339 AGUJA COSE</t>
        </is>
      </c>
      <c r="M1704" s="232" t="inlineStr"/>
      <c r="N1704" s="232" t="inlineStr">
        <is>
          <t>.   .   -</t>
        </is>
      </c>
      <c r="O1704" s="232" t="inlineStr">
        <is>
          <t>ENERO</t>
        </is>
      </c>
      <c r="P1704" s="232" t="n">
        <v>5</v>
      </c>
      <c r="Q1704" s="234" t="n">
        <v>471</v>
      </c>
      <c r="R1704" s="232" t="inlineStr"/>
      <c r="S1704" s="234" t="n">
        <v>471</v>
      </c>
      <c r="T1704" s="232" t="inlineStr">
        <is>
          <t>CLP</t>
        </is>
      </c>
      <c r="U1704" s="232" t="inlineStr">
        <is>
          <t>Prorrateo Ha BODEGA</t>
        </is>
      </c>
      <c r="V1704" s="232" t="inlineStr">
        <is>
          <t>2026-06-18</t>
        </is>
      </c>
    </row>
    <row r="1705">
      <c r="A1705" s="232" t="inlineStr">
        <is>
          <t>CR-1702</t>
        </is>
      </c>
      <c r="B1705" s="232" t="inlineStr">
        <is>
          <t>2026/27</t>
        </is>
      </c>
      <c r="C1705" s="233" t="n">
        <v>46053</v>
      </c>
      <c r="D1705" s="232" t="inlineStr">
        <is>
          <t>878197</t>
        </is>
      </c>
      <c r="E1705" s="232" t="inlineStr">
        <is>
          <t>PRORRATEO</t>
        </is>
      </c>
      <c r="F1705" s="232" t="inlineStr">
        <is>
          <t>Santa Catalina</t>
        </is>
      </c>
      <c r="G1705" s="232" t="inlineStr">
        <is>
          <t>eureka 22,55</t>
        </is>
      </c>
      <c r="H1705" s="232" t="inlineStr">
        <is>
          <t>Limon</t>
        </is>
      </c>
      <c r="I1705" s="232" t="inlineStr">
        <is>
          <t>Eureka</t>
        </is>
      </c>
      <c r="J1705" s="232" t="inlineStr">
        <is>
          <t>MANT. Y REP. CONSTRUCCIONES</t>
        </is>
      </c>
      <c r="K1705" s="232" t="inlineStr">
        <is>
          <t>MANTENCION INFRAESTRUCTURA</t>
        </is>
      </c>
      <c r="L1705" s="232" t="inlineStr">
        <is>
          <t>[PRORRATEO 15.2% 22.55há/148.3há] O/001339 AGUJA COSE</t>
        </is>
      </c>
      <c r="M1705" s="232" t="inlineStr"/>
      <c r="N1705" s="232" t="inlineStr">
        <is>
          <t>.   .   -</t>
        </is>
      </c>
      <c r="O1705" s="232" t="inlineStr">
        <is>
          <t>ENERO</t>
        </is>
      </c>
      <c r="P1705" s="232" t="n">
        <v>5</v>
      </c>
      <c r="Q1705" s="234" t="n">
        <v>737</v>
      </c>
      <c r="R1705" s="232" t="inlineStr"/>
      <c r="S1705" s="234" t="n">
        <v>737</v>
      </c>
      <c r="T1705" s="232" t="inlineStr">
        <is>
          <t>CLP</t>
        </is>
      </c>
      <c r="U1705" s="232" t="inlineStr">
        <is>
          <t>Prorrateo Ha BODEGA</t>
        </is>
      </c>
      <c r="V1705" s="232" t="inlineStr">
        <is>
          <t>2026-06-18</t>
        </is>
      </c>
    </row>
    <row r="1706">
      <c r="A1706" s="232" t="inlineStr">
        <is>
          <t>CR-1703</t>
        </is>
      </c>
      <c r="B1706" s="232" t="inlineStr">
        <is>
          <t>2026/27</t>
        </is>
      </c>
      <c r="C1706" s="233" t="n">
        <v>46053</v>
      </c>
      <c r="D1706" s="232" t="inlineStr">
        <is>
          <t>878197</t>
        </is>
      </c>
      <c r="E1706" s="232" t="inlineStr">
        <is>
          <t>PRORRATEO</t>
        </is>
      </c>
      <c r="F1706" s="232" t="inlineStr">
        <is>
          <t>Santa Catalina</t>
        </is>
      </c>
      <c r="G1706" s="232" t="inlineStr">
        <is>
          <t>form benjamin 1,93 ha</t>
        </is>
      </c>
      <c r="H1706" s="232" t="inlineStr">
        <is>
          <t>Limon</t>
        </is>
      </c>
      <c r="I1706" s="232" t="inlineStr">
        <is>
          <t>Benjamin andes</t>
        </is>
      </c>
      <c r="J1706" s="232" t="inlineStr">
        <is>
          <t>MANT. Y REP. CONSTRUCCIONES</t>
        </is>
      </c>
      <c r="K1706" s="232" t="inlineStr">
        <is>
          <t>MANTENCION INFRAESTRUCTURA</t>
        </is>
      </c>
      <c r="L1706" s="232" t="inlineStr">
        <is>
          <t>[PRORRATEO 1.3% 1.93há/148.3há] O/001339 AGUJA COSE</t>
        </is>
      </c>
      <c r="M1706" s="232" t="inlineStr"/>
      <c r="N1706" s="232" t="inlineStr">
        <is>
          <t>.   .   -</t>
        </is>
      </c>
      <c r="O1706" s="232" t="inlineStr">
        <is>
          <t>ENERO</t>
        </is>
      </c>
      <c r="P1706" s="232" t="n">
        <v>5</v>
      </c>
      <c r="Q1706" s="234" t="n">
        <v>63</v>
      </c>
      <c r="R1706" s="232" t="inlineStr"/>
      <c r="S1706" s="234" t="n">
        <v>63</v>
      </c>
      <c r="T1706" s="232" t="inlineStr">
        <is>
          <t>CLP</t>
        </is>
      </c>
      <c r="U1706" s="232" t="inlineStr">
        <is>
          <t>Prorrateo Ha BODEGA</t>
        </is>
      </c>
      <c r="V1706" s="232" t="inlineStr">
        <is>
          <t>2026-06-18</t>
        </is>
      </c>
    </row>
    <row r="1707">
      <c r="A1707" s="232" t="inlineStr">
        <is>
          <t>CR-1704</t>
        </is>
      </c>
      <c r="B1707" s="232" t="inlineStr">
        <is>
          <t>2026/27</t>
        </is>
      </c>
      <c r="C1707" s="233" t="n">
        <v>46053</v>
      </c>
      <c r="D1707" s="232" t="inlineStr">
        <is>
          <t>878197</t>
        </is>
      </c>
      <c r="E1707" s="232" t="inlineStr">
        <is>
          <t>PRORRATEO</t>
        </is>
      </c>
      <c r="F1707" s="232" t="inlineStr">
        <is>
          <t>Santa Catalina</t>
        </is>
      </c>
      <c r="G1707" s="232" t="inlineStr">
        <is>
          <t>mant eureka 2,5 ha</t>
        </is>
      </c>
      <c r="H1707" s="232" t="inlineStr">
        <is>
          <t>Limon</t>
        </is>
      </c>
      <c r="I1707" s="232" t="inlineStr">
        <is>
          <t>Eureka</t>
        </is>
      </c>
      <c r="J1707" s="232" t="inlineStr">
        <is>
          <t>MANT. Y REP. CONSTRUCCIONES</t>
        </is>
      </c>
      <c r="K1707" s="232" t="inlineStr">
        <is>
          <t>MANTENCION INFRAESTRUCTURA</t>
        </is>
      </c>
      <c r="L1707" s="232" t="inlineStr">
        <is>
          <t>[PRORRATEO 1.7% 2.5há/148.3há] O/001339 AGUJA COSE</t>
        </is>
      </c>
      <c r="M1707" s="232" t="inlineStr"/>
      <c r="N1707" s="232" t="inlineStr">
        <is>
          <t>.   .   -</t>
        </is>
      </c>
      <c r="O1707" s="232" t="inlineStr">
        <is>
          <t>ENERO</t>
        </is>
      </c>
      <c r="P1707" s="232" t="n">
        <v>5</v>
      </c>
      <c r="Q1707" s="234" t="n">
        <v>82</v>
      </c>
      <c r="R1707" s="232" t="inlineStr"/>
      <c r="S1707" s="234" t="n">
        <v>82</v>
      </c>
      <c r="T1707" s="232" t="inlineStr">
        <is>
          <t>CLP</t>
        </is>
      </c>
      <c r="U1707" s="232" t="inlineStr">
        <is>
          <t>Prorrateo Ha BODEGA</t>
        </is>
      </c>
      <c r="V1707" s="232" t="inlineStr">
        <is>
          <t>2026-06-18</t>
        </is>
      </c>
    </row>
    <row r="1708">
      <c r="A1708" s="232" t="inlineStr">
        <is>
          <t>CR-1705</t>
        </is>
      </c>
      <c r="B1708" s="232" t="inlineStr">
        <is>
          <t>2026/27</t>
        </is>
      </c>
      <c r="C1708" s="233" t="n">
        <v>46053</v>
      </c>
      <c r="D1708" s="232" t="inlineStr">
        <is>
          <t>878197</t>
        </is>
      </c>
      <c r="E1708" s="232" t="inlineStr">
        <is>
          <t>PRORRATEO</t>
        </is>
      </c>
      <c r="F1708" s="232" t="inlineStr">
        <is>
          <t>Siberia</t>
        </is>
      </c>
      <c r="G1708" s="232" t="inlineStr">
        <is>
          <t>S. Celebration 7,14</t>
        </is>
      </c>
      <c r="H1708" s="232" t="inlineStr">
        <is>
          <t>Uvas</t>
        </is>
      </c>
      <c r="I1708" s="232" t="inlineStr">
        <is>
          <t>S. celebration</t>
        </is>
      </c>
      <c r="J1708" s="232" t="inlineStr">
        <is>
          <t>MANT. Y REP. CONSTRUCCIONES</t>
        </is>
      </c>
      <c r="K1708" s="232" t="inlineStr">
        <is>
          <t>MANTENCION INFRAESTRUCTURA</t>
        </is>
      </c>
      <c r="L1708" s="232" t="inlineStr">
        <is>
          <t>[PRORRATEO 4.8% 7.14há/148.3há] O/001339 AGUJA COSE</t>
        </is>
      </c>
      <c r="M1708" s="232" t="inlineStr"/>
      <c r="N1708" s="232" t="inlineStr">
        <is>
          <t>.   .   -</t>
        </is>
      </c>
      <c r="O1708" s="232" t="inlineStr">
        <is>
          <t>ENERO</t>
        </is>
      </c>
      <c r="P1708" s="232" t="n">
        <v>5</v>
      </c>
      <c r="Q1708" s="234" t="n">
        <v>233</v>
      </c>
      <c r="R1708" s="232" t="inlineStr"/>
      <c r="S1708" s="234" t="n">
        <v>233</v>
      </c>
      <c r="T1708" s="232" t="inlineStr">
        <is>
          <t>CLP</t>
        </is>
      </c>
      <c r="U1708" s="232" t="inlineStr">
        <is>
          <t>Prorrateo Ha BODEGA</t>
        </is>
      </c>
      <c r="V1708" s="232" t="inlineStr">
        <is>
          <t>2026-06-18</t>
        </is>
      </c>
    </row>
    <row r="1709">
      <c r="A1709" s="232" t="inlineStr">
        <is>
          <t>CR-1706</t>
        </is>
      </c>
      <c r="B1709" s="232" t="inlineStr">
        <is>
          <t>2026/27</t>
        </is>
      </c>
      <c r="C1709" s="233" t="n">
        <v>46053</v>
      </c>
      <c r="D1709" s="232" t="inlineStr">
        <is>
          <t>878197</t>
        </is>
      </c>
      <c r="E1709" s="232" t="inlineStr">
        <is>
          <t>PRORRATEO</t>
        </is>
      </c>
      <c r="F1709" s="232" t="inlineStr">
        <is>
          <t>Siberia</t>
        </is>
      </c>
      <c r="G1709" s="232" t="inlineStr">
        <is>
          <t>Timpson 7,1</t>
        </is>
      </c>
      <c r="H1709" s="232" t="inlineStr">
        <is>
          <t>Uvas</t>
        </is>
      </c>
      <c r="I1709" s="232" t="inlineStr">
        <is>
          <t>Timpson</t>
        </is>
      </c>
      <c r="J1709" s="232" t="inlineStr">
        <is>
          <t>MANT. Y REP. CONSTRUCCIONES</t>
        </is>
      </c>
      <c r="K1709" s="232" t="inlineStr">
        <is>
          <t>MANTENCION INFRAESTRUCTURA</t>
        </is>
      </c>
      <c r="L1709" s="232" t="inlineStr">
        <is>
          <t>[PRORRATEO 4.8% 7.1há/148.3há] O/001339 AGUJA COSE</t>
        </is>
      </c>
      <c r="M1709" s="232" t="inlineStr"/>
      <c r="N1709" s="232" t="inlineStr">
        <is>
          <t>.   .   -</t>
        </is>
      </c>
      <c r="O1709" s="232" t="inlineStr">
        <is>
          <t>ENERO</t>
        </is>
      </c>
      <c r="P1709" s="232" t="n">
        <v>5</v>
      </c>
      <c r="Q1709" s="234" t="n">
        <v>232</v>
      </c>
      <c r="R1709" s="232" t="inlineStr"/>
      <c r="S1709" s="234" t="n">
        <v>232</v>
      </c>
      <c r="T1709" s="232" t="inlineStr">
        <is>
          <t>CLP</t>
        </is>
      </c>
      <c r="U1709" s="232" t="inlineStr">
        <is>
          <t>Prorrateo Ha BODEGA</t>
        </is>
      </c>
      <c r="V1709" s="232" t="inlineStr">
        <is>
          <t>2026-06-18</t>
        </is>
      </c>
    </row>
    <row r="1710">
      <c r="A1710" s="232" t="inlineStr">
        <is>
          <t>CR-1707</t>
        </is>
      </c>
      <c r="B1710" s="232" t="inlineStr">
        <is>
          <t>2026/27</t>
        </is>
      </c>
      <c r="C1710" s="233" t="n">
        <v>46053</v>
      </c>
      <c r="D1710" s="232" t="inlineStr">
        <is>
          <t>878197</t>
        </is>
      </c>
      <c r="E1710" s="232" t="inlineStr">
        <is>
          <t>PRORRATEO</t>
        </is>
      </c>
      <c r="F1710" s="232" t="inlineStr">
        <is>
          <t>Asmara</t>
        </is>
      </c>
      <c r="G1710" s="232" t="inlineStr">
        <is>
          <t>w. murcott 19,8 ha</t>
        </is>
      </c>
      <c r="H1710" s="232" t="inlineStr">
        <is>
          <t>Mandarina</t>
        </is>
      </c>
      <c r="I1710" s="232" t="inlineStr">
        <is>
          <t>W. murcott</t>
        </is>
      </c>
      <c r="J1710" s="232" t="inlineStr">
        <is>
          <t>MANT. Y REP. CONSTRUCCIONES</t>
        </is>
      </c>
      <c r="K1710" s="232" t="inlineStr">
        <is>
          <t>MANTENCION INFRAESTRUCTURA</t>
        </is>
      </c>
      <c r="L1710" s="232" t="inlineStr">
        <is>
          <t>[PRORRATEO 13.4% 19.8há/148.3há] O/001339 ANTIC TRIC</t>
        </is>
      </c>
      <c r="M1710" s="232" t="inlineStr"/>
      <c r="N1710" s="232" t="inlineStr">
        <is>
          <t>.   .   -</t>
        </is>
      </c>
      <c r="O1710" s="232" t="inlineStr">
        <is>
          <t>ENERO</t>
        </is>
      </c>
      <c r="P1710" s="232" t="n">
        <v>5</v>
      </c>
      <c r="Q1710" s="234" t="n">
        <v>6293</v>
      </c>
      <c r="R1710" s="232" t="inlineStr"/>
      <c r="S1710" s="234" t="n">
        <v>6293</v>
      </c>
      <c r="T1710" s="232" t="inlineStr">
        <is>
          <t>CLP</t>
        </is>
      </c>
      <c r="U1710" s="232" t="inlineStr">
        <is>
          <t>Prorrateo Ha BODEGA</t>
        </is>
      </c>
      <c r="V1710" s="232" t="inlineStr">
        <is>
          <t>2026-06-18</t>
        </is>
      </c>
    </row>
    <row r="1711">
      <c r="A1711" s="232" t="inlineStr">
        <is>
          <t>CR-1708</t>
        </is>
      </c>
      <c r="B1711" s="232" t="inlineStr">
        <is>
          <t>2026/27</t>
        </is>
      </c>
      <c r="C1711" s="233" t="n">
        <v>46053</v>
      </c>
      <c r="D1711" s="232" t="inlineStr">
        <is>
          <t>878197</t>
        </is>
      </c>
      <c r="E1711" s="232" t="inlineStr">
        <is>
          <t>PRORRATEO</t>
        </is>
      </c>
      <c r="F1711" s="232" t="inlineStr">
        <is>
          <t>Asmara</t>
        </is>
      </c>
      <c r="G1711" s="232" t="inlineStr">
        <is>
          <t>w. murcott 4,9 ha</t>
        </is>
      </c>
      <c r="H1711" s="232" t="inlineStr">
        <is>
          <t>Mandarina</t>
        </is>
      </c>
      <c r="I1711" s="232" t="inlineStr">
        <is>
          <t>W. murcott</t>
        </is>
      </c>
      <c r="J1711" s="232" t="inlineStr">
        <is>
          <t>MANT. Y REP. CONSTRUCCIONES</t>
        </is>
      </c>
      <c r="K1711" s="232" t="inlineStr">
        <is>
          <t>MANTENCION INFRAESTRUCTURA</t>
        </is>
      </c>
      <c r="L1711" s="232" t="inlineStr">
        <is>
          <t>[PRORRATEO 3.3% 4.9há/148.3há] O/001339 ANTIC TRIC</t>
        </is>
      </c>
      <c r="M1711" s="232" t="inlineStr"/>
      <c r="N1711" s="232" t="inlineStr">
        <is>
          <t>.   .   -</t>
        </is>
      </c>
      <c r="O1711" s="232" t="inlineStr">
        <is>
          <t>ENERO</t>
        </is>
      </c>
      <c r="P1711" s="232" t="n">
        <v>5</v>
      </c>
      <c r="Q1711" s="234" t="n">
        <v>1557</v>
      </c>
      <c r="R1711" s="232" t="inlineStr"/>
      <c r="S1711" s="234" t="n">
        <v>1557</v>
      </c>
      <c r="T1711" s="232" t="inlineStr">
        <is>
          <t>CLP</t>
        </is>
      </c>
      <c r="U1711" s="232" t="inlineStr">
        <is>
          <t>Prorrateo Ha BODEGA</t>
        </is>
      </c>
      <c r="V1711" s="232" t="inlineStr">
        <is>
          <t>2026-06-18</t>
        </is>
      </c>
    </row>
    <row r="1712">
      <c r="A1712" s="232" t="inlineStr">
        <is>
          <t>CR-1709</t>
        </is>
      </c>
      <c r="B1712" s="232" t="inlineStr">
        <is>
          <t>2026/27</t>
        </is>
      </c>
      <c r="C1712" s="233" t="n">
        <v>46053</v>
      </c>
      <c r="D1712" s="232" t="inlineStr">
        <is>
          <t>878197</t>
        </is>
      </c>
      <c r="E1712" s="232" t="inlineStr">
        <is>
          <t>PRORRATEO</t>
        </is>
      </c>
      <c r="F1712" s="232" t="inlineStr">
        <is>
          <t>El Molle</t>
        </is>
      </c>
      <c r="G1712" s="232" t="inlineStr">
        <is>
          <t>Wonderful 5,25 ha</t>
        </is>
      </c>
      <c r="H1712" s="232" t="inlineStr">
        <is>
          <t>Granados</t>
        </is>
      </c>
      <c r="I1712" s="232" t="inlineStr">
        <is>
          <t>Wonderfull</t>
        </is>
      </c>
      <c r="J1712" s="232" t="inlineStr">
        <is>
          <t>MANT. Y REP. CONSTRUCCIONES</t>
        </is>
      </c>
      <c r="K1712" s="232" t="inlineStr">
        <is>
          <t>MANTENCION INFRAESTRUCTURA</t>
        </is>
      </c>
      <c r="L1712" s="232" t="inlineStr">
        <is>
          <t>[PRORRATEO 3.5% 5.24há/148.3há] O/001339 ANTIC TRIC</t>
        </is>
      </c>
      <c r="M1712" s="232" t="inlineStr"/>
      <c r="N1712" s="232" t="inlineStr">
        <is>
          <t>.   .   -</t>
        </is>
      </c>
      <c r="O1712" s="232" t="inlineStr">
        <is>
          <t>ENERO</t>
        </is>
      </c>
      <c r="P1712" s="232" t="n">
        <v>5</v>
      </c>
      <c r="Q1712" s="234" t="n">
        <v>1666</v>
      </c>
      <c r="R1712" s="232" t="inlineStr"/>
      <c r="S1712" s="234" t="n">
        <v>1666</v>
      </c>
      <c r="T1712" s="232" t="inlineStr">
        <is>
          <t>CLP</t>
        </is>
      </c>
      <c r="U1712" s="232" t="inlineStr">
        <is>
          <t>Prorrateo Ha BODEGA</t>
        </is>
      </c>
      <c r="V1712" s="232" t="inlineStr">
        <is>
          <t>2026-06-18</t>
        </is>
      </c>
    </row>
    <row r="1713">
      <c r="A1713" s="232" t="inlineStr">
        <is>
          <t>CR-1710</t>
        </is>
      </c>
      <c r="B1713" s="232" t="inlineStr">
        <is>
          <t>2026/27</t>
        </is>
      </c>
      <c r="C1713" s="233" t="n">
        <v>46053</v>
      </c>
      <c r="D1713" s="232" t="inlineStr">
        <is>
          <t>878197</t>
        </is>
      </c>
      <c r="E1713" s="232" t="inlineStr">
        <is>
          <t>PRORRATEO</t>
        </is>
      </c>
      <c r="F1713" s="232" t="inlineStr">
        <is>
          <t>El Molle</t>
        </is>
      </c>
      <c r="G1713" s="232" t="inlineStr">
        <is>
          <t>arrufatinas 5,74 ha</t>
        </is>
      </c>
      <c r="H1713" s="232" t="inlineStr">
        <is>
          <t>Clementinas</t>
        </is>
      </c>
      <c r="I1713" s="232" t="inlineStr">
        <is>
          <t>Arrufatinas</t>
        </is>
      </c>
      <c r="J1713" s="232" t="inlineStr">
        <is>
          <t>MANT. Y REP. CONSTRUCCIONES</t>
        </is>
      </c>
      <c r="K1713" s="232" t="inlineStr">
        <is>
          <t>MANTENCION INFRAESTRUCTURA</t>
        </is>
      </c>
      <c r="L1713" s="232" t="inlineStr">
        <is>
          <t>[PRORRATEO 3.9% 5.74há/148.3há] O/001339 ANTIC TRIC</t>
        </is>
      </c>
      <c r="M1713" s="232" t="inlineStr"/>
      <c r="N1713" s="232" t="inlineStr">
        <is>
          <t>.   .   -</t>
        </is>
      </c>
      <c r="O1713" s="232" t="inlineStr">
        <is>
          <t>ENERO</t>
        </is>
      </c>
      <c r="P1713" s="232" t="n">
        <v>5</v>
      </c>
      <c r="Q1713" s="234" t="n">
        <v>1824</v>
      </c>
      <c r="R1713" s="232" t="inlineStr"/>
      <c r="S1713" s="234" t="n">
        <v>1824</v>
      </c>
      <c r="T1713" s="232" t="inlineStr">
        <is>
          <t>CLP</t>
        </is>
      </c>
      <c r="U1713" s="232" t="inlineStr">
        <is>
          <t>Prorrateo Ha BODEGA</t>
        </is>
      </c>
      <c r="V1713" s="232" t="inlineStr">
        <is>
          <t>2026-06-18</t>
        </is>
      </c>
    </row>
    <row r="1714">
      <c r="A1714" s="232" t="inlineStr">
        <is>
          <t>CR-1711</t>
        </is>
      </c>
      <c r="B1714" s="232" t="inlineStr">
        <is>
          <t>2026/27</t>
        </is>
      </c>
      <c r="C1714" s="233" t="n">
        <v>46053</v>
      </c>
      <c r="D1714" s="232" t="inlineStr">
        <is>
          <t>878197</t>
        </is>
      </c>
      <c r="E1714" s="232" t="inlineStr">
        <is>
          <t>PRORRATEO</t>
        </is>
      </c>
      <c r="F1714" s="232" t="inlineStr">
        <is>
          <t>El Molle</t>
        </is>
      </c>
      <c r="G1714" s="232" t="inlineStr">
        <is>
          <t>orogrande 8,11 ha</t>
        </is>
      </c>
      <c r="H1714" s="232" t="inlineStr">
        <is>
          <t>Clementinas</t>
        </is>
      </c>
      <c r="I1714" s="232" t="inlineStr">
        <is>
          <t>Orogrande</t>
        </is>
      </c>
      <c r="J1714" s="232" t="inlineStr">
        <is>
          <t>MANT. Y REP. CONSTRUCCIONES</t>
        </is>
      </c>
      <c r="K1714" s="232" t="inlineStr">
        <is>
          <t>MANTENCION INFRAESTRUCTURA</t>
        </is>
      </c>
      <c r="L1714" s="232" t="inlineStr">
        <is>
          <t>[PRORRATEO 5.5% 8.11há/148.3há] O/001339 ANTIC TRIC</t>
        </is>
      </c>
      <c r="M1714" s="232" t="inlineStr"/>
      <c r="N1714" s="232" t="inlineStr">
        <is>
          <t>.   .   -</t>
        </is>
      </c>
      <c r="O1714" s="232" t="inlineStr">
        <is>
          <t>ENERO</t>
        </is>
      </c>
      <c r="P1714" s="232" t="n">
        <v>5</v>
      </c>
      <c r="Q1714" s="234" t="n">
        <v>2578</v>
      </c>
      <c r="R1714" s="232" t="inlineStr"/>
      <c r="S1714" s="234" t="n">
        <v>2578</v>
      </c>
      <c r="T1714" s="232" t="inlineStr">
        <is>
          <t>CLP</t>
        </is>
      </c>
      <c r="U1714" s="232" t="inlineStr">
        <is>
          <t>Prorrateo Ha BODEGA</t>
        </is>
      </c>
      <c r="V1714" s="232" t="inlineStr">
        <is>
          <t>2026-06-18</t>
        </is>
      </c>
    </row>
    <row r="1715">
      <c r="A1715" s="232" t="inlineStr">
        <is>
          <t>CR-1712</t>
        </is>
      </c>
      <c r="B1715" s="232" t="inlineStr">
        <is>
          <t>2026/27</t>
        </is>
      </c>
      <c r="C1715" s="233" t="n">
        <v>46053</v>
      </c>
      <c r="D1715" s="232" t="inlineStr">
        <is>
          <t>878197</t>
        </is>
      </c>
      <c r="E1715" s="232" t="inlineStr">
        <is>
          <t>PRORRATEO</t>
        </is>
      </c>
      <c r="F1715" s="232" t="inlineStr">
        <is>
          <t>El Molle</t>
        </is>
      </c>
      <c r="G1715" s="232" t="inlineStr">
        <is>
          <t>oronules 5,35 ha</t>
        </is>
      </c>
      <c r="H1715" s="232" t="inlineStr">
        <is>
          <t>Clementinas</t>
        </is>
      </c>
      <c r="I1715" s="232" t="inlineStr">
        <is>
          <t>Oronules</t>
        </is>
      </c>
      <c r="J1715" s="232" t="inlineStr">
        <is>
          <t>MANT. Y REP. CONSTRUCCIONES</t>
        </is>
      </c>
      <c r="K1715" s="232" t="inlineStr">
        <is>
          <t>MANTENCION INFRAESTRUCTURA</t>
        </is>
      </c>
      <c r="L1715" s="232" t="inlineStr">
        <is>
          <t>[PRORRATEO 3.6% 5.35há/148.3há] O/001339 ANTIC TRIC</t>
        </is>
      </c>
      <c r="M1715" s="232" t="inlineStr"/>
      <c r="N1715" s="232" t="inlineStr">
        <is>
          <t>.   .   -</t>
        </is>
      </c>
      <c r="O1715" s="232" t="inlineStr">
        <is>
          <t>ENERO</t>
        </is>
      </c>
      <c r="P1715" s="232" t="n">
        <v>5</v>
      </c>
      <c r="Q1715" s="234" t="n">
        <v>1700</v>
      </c>
      <c r="R1715" s="232" t="inlineStr"/>
      <c r="S1715" s="234" t="n">
        <v>1700</v>
      </c>
      <c r="T1715" s="232" t="inlineStr">
        <is>
          <t>CLP</t>
        </is>
      </c>
      <c r="U1715" s="232" t="inlineStr">
        <is>
          <t>Prorrateo Ha BODEGA</t>
        </is>
      </c>
      <c r="V1715" s="232" t="inlineStr">
        <is>
          <t>2026-06-18</t>
        </is>
      </c>
    </row>
    <row r="1716">
      <c r="A1716" s="232" t="inlineStr">
        <is>
          <t>CR-1713</t>
        </is>
      </c>
      <c r="B1716" s="232" t="inlineStr">
        <is>
          <t>2026/27</t>
        </is>
      </c>
      <c r="C1716" s="233" t="n">
        <v>46053</v>
      </c>
      <c r="D1716" s="232" t="inlineStr">
        <is>
          <t>878197</t>
        </is>
      </c>
      <c r="E1716" s="232" t="inlineStr">
        <is>
          <t>PRORRATEO</t>
        </is>
      </c>
      <c r="F1716" s="232" t="inlineStr">
        <is>
          <t>Santa Catalina</t>
        </is>
      </c>
      <c r="G1716" s="232" t="inlineStr">
        <is>
          <t>Fino 49 7,7 ha</t>
        </is>
      </c>
      <c r="H1716" s="232" t="inlineStr">
        <is>
          <t>Limon</t>
        </is>
      </c>
      <c r="I1716" s="232" t="inlineStr">
        <is>
          <t>Fino 49</t>
        </is>
      </c>
      <c r="J1716" s="232" t="inlineStr">
        <is>
          <t>MANT. Y REP. CONSTRUCCIONES</t>
        </is>
      </c>
      <c r="K1716" s="232" t="inlineStr">
        <is>
          <t>MANTENCION INFRAESTRUCTURA</t>
        </is>
      </c>
      <c r="L1716" s="232" t="inlineStr">
        <is>
          <t>[PRORRATEO 5.2% 7.7há/148.3há] O/001339 ANTIC TRIC</t>
        </is>
      </c>
      <c r="M1716" s="232" t="inlineStr"/>
      <c r="N1716" s="232" t="inlineStr">
        <is>
          <t>.   .   -</t>
        </is>
      </c>
      <c r="O1716" s="232" t="inlineStr">
        <is>
          <t>ENERO</t>
        </is>
      </c>
      <c r="P1716" s="232" t="n">
        <v>5</v>
      </c>
      <c r="Q1716" s="234" t="n">
        <v>2447</v>
      </c>
      <c r="R1716" s="232" t="inlineStr"/>
      <c r="S1716" s="234" t="n">
        <v>2447</v>
      </c>
      <c r="T1716" s="232" t="inlineStr">
        <is>
          <t>CLP</t>
        </is>
      </c>
      <c r="U1716" s="232" t="inlineStr">
        <is>
          <t>Prorrateo Ha BODEGA</t>
        </is>
      </c>
      <c r="V1716" s="232" t="inlineStr">
        <is>
          <t>2026-06-18</t>
        </is>
      </c>
    </row>
    <row r="1717">
      <c r="A1717" s="232" t="inlineStr">
        <is>
          <t>CR-1714</t>
        </is>
      </c>
      <c r="B1717" s="232" t="inlineStr">
        <is>
          <t>2026/27</t>
        </is>
      </c>
      <c r="C1717" s="233" t="n">
        <v>46053</v>
      </c>
      <c r="D1717" s="232" t="inlineStr">
        <is>
          <t>878197</t>
        </is>
      </c>
      <c r="E1717" s="232" t="inlineStr">
        <is>
          <t>PRORRATEO</t>
        </is>
      </c>
      <c r="F1717" s="232" t="inlineStr">
        <is>
          <t>Santa Catalina</t>
        </is>
      </c>
      <c r="G1717" s="232" t="inlineStr">
        <is>
          <t>W. murcott 21 ha</t>
        </is>
      </c>
      <c r="H1717" s="232" t="inlineStr">
        <is>
          <t>Mandarina</t>
        </is>
      </c>
      <c r="I1717" s="232" t="inlineStr">
        <is>
          <t>W. murcott</t>
        </is>
      </c>
      <c r="J1717" s="232" t="inlineStr">
        <is>
          <t>MANT. Y REP. CONSTRUCCIONES</t>
        </is>
      </c>
      <c r="K1717" s="232" t="inlineStr">
        <is>
          <t>MANTENCION INFRAESTRUCTURA</t>
        </is>
      </c>
      <c r="L1717" s="232" t="inlineStr">
        <is>
          <t>[PRORRATEO 14.2% 21.0há/148.3há] O/001339 ANTIC TRIC</t>
        </is>
      </c>
      <c r="M1717" s="232" t="inlineStr"/>
      <c r="N1717" s="232" t="inlineStr">
        <is>
          <t>.   .   -</t>
        </is>
      </c>
      <c r="O1717" s="232" t="inlineStr">
        <is>
          <t>ENERO</t>
        </is>
      </c>
      <c r="P1717" s="232" t="n">
        <v>5</v>
      </c>
      <c r="Q1717" s="234" t="n">
        <v>6675</v>
      </c>
      <c r="R1717" s="232" t="inlineStr"/>
      <c r="S1717" s="234" t="n">
        <v>6675</v>
      </c>
      <c r="T1717" s="232" t="inlineStr">
        <is>
          <t>CLP</t>
        </is>
      </c>
      <c r="U1717" s="232" t="inlineStr">
        <is>
          <t>Prorrateo Ha BODEGA</t>
        </is>
      </c>
      <c r="V1717" s="232" t="inlineStr">
        <is>
          <t>2026-06-18</t>
        </is>
      </c>
    </row>
    <row r="1718">
      <c r="A1718" s="232" t="inlineStr">
        <is>
          <t>CR-1715</t>
        </is>
      </c>
      <c r="B1718" s="232" t="inlineStr">
        <is>
          <t>2026/27</t>
        </is>
      </c>
      <c r="C1718" s="233" t="n">
        <v>46053</v>
      </c>
      <c r="D1718" s="232" t="inlineStr">
        <is>
          <t>878197</t>
        </is>
      </c>
      <c r="E1718" s="232" t="inlineStr">
        <is>
          <t>PRORRATEO</t>
        </is>
      </c>
      <c r="F1718" s="232" t="inlineStr">
        <is>
          <t>Santa Catalina</t>
        </is>
      </c>
      <c r="G1718" s="232" t="inlineStr">
        <is>
          <t>cambria 4,2 ha</t>
        </is>
      </c>
      <c r="H1718" s="232" t="inlineStr">
        <is>
          <t>Naranjas</t>
        </is>
      </c>
      <c r="I1718" s="232" t="inlineStr">
        <is>
          <t>Cambria</t>
        </is>
      </c>
      <c r="J1718" s="232" t="inlineStr">
        <is>
          <t>MANT. Y REP. CONSTRUCCIONES</t>
        </is>
      </c>
      <c r="K1718" s="232" t="inlineStr">
        <is>
          <t>MANTENCION INFRAESTRUCTURA</t>
        </is>
      </c>
      <c r="L1718" s="232" t="inlineStr">
        <is>
          <t>[PRORRATEO 2.8% 4.2há/148.3há] O/001339 ANTIC TRIC</t>
        </is>
      </c>
      <c r="M1718" s="232" t="inlineStr"/>
      <c r="N1718" s="232" t="inlineStr">
        <is>
          <t>.   .   -</t>
        </is>
      </c>
      <c r="O1718" s="232" t="inlineStr">
        <is>
          <t>ENERO</t>
        </is>
      </c>
      <c r="P1718" s="232" t="n">
        <v>5</v>
      </c>
      <c r="Q1718" s="234" t="n">
        <v>1335</v>
      </c>
      <c r="R1718" s="232" t="inlineStr"/>
      <c r="S1718" s="234" t="n">
        <v>1335</v>
      </c>
      <c r="T1718" s="232" t="inlineStr">
        <is>
          <t>CLP</t>
        </is>
      </c>
      <c r="U1718" s="232" t="inlineStr">
        <is>
          <t>Prorrateo Ha BODEGA</t>
        </is>
      </c>
      <c r="V1718" s="232" t="inlineStr">
        <is>
          <t>2026-06-18</t>
        </is>
      </c>
    </row>
    <row r="1719">
      <c r="A1719" s="232" t="inlineStr">
        <is>
          <t>CR-1716</t>
        </is>
      </c>
      <c r="B1719" s="232" t="inlineStr">
        <is>
          <t>2026/27</t>
        </is>
      </c>
      <c r="C1719" s="233" t="n">
        <v>46053</v>
      </c>
      <c r="D1719" s="232" t="inlineStr">
        <is>
          <t>878197</t>
        </is>
      </c>
      <c r="E1719" s="232" t="inlineStr">
        <is>
          <t>PRORRATEO</t>
        </is>
      </c>
      <c r="F1719" s="232" t="inlineStr">
        <is>
          <t>Santa Catalina</t>
        </is>
      </c>
      <c r="G1719" s="232" t="inlineStr">
        <is>
          <t>eureka 10,6 ha</t>
        </is>
      </c>
      <c r="H1719" s="232" t="inlineStr">
        <is>
          <t>Limon</t>
        </is>
      </c>
      <c r="I1719" s="232" t="inlineStr">
        <is>
          <t>Eureka</t>
        </is>
      </c>
      <c r="J1719" s="232" t="inlineStr">
        <is>
          <t>MANT. Y REP. CONSTRUCCIONES</t>
        </is>
      </c>
      <c r="K1719" s="232" t="inlineStr">
        <is>
          <t>MANTENCION INFRAESTRUCTURA</t>
        </is>
      </c>
      <c r="L1719" s="232" t="inlineStr">
        <is>
          <t>[PRORRATEO 7.1% 10.6há/148.3há] O/001339 ANTIC TRIC</t>
        </is>
      </c>
      <c r="M1719" s="232" t="inlineStr"/>
      <c r="N1719" s="232" t="inlineStr">
        <is>
          <t>.   .   -</t>
        </is>
      </c>
      <c r="O1719" s="232" t="inlineStr">
        <is>
          <t>ENERO</t>
        </is>
      </c>
      <c r="P1719" s="232" t="n">
        <v>5</v>
      </c>
      <c r="Q1719" s="234" t="n">
        <v>3369</v>
      </c>
      <c r="R1719" s="232" t="inlineStr"/>
      <c r="S1719" s="234" t="n">
        <v>3369</v>
      </c>
      <c r="T1719" s="232" t="inlineStr">
        <is>
          <t>CLP</t>
        </is>
      </c>
      <c r="U1719" s="232" t="inlineStr">
        <is>
          <t>Prorrateo Ha BODEGA</t>
        </is>
      </c>
      <c r="V1719" s="232" t="inlineStr">
        <is>
          <t>2026-06-18</t>
        </is>
      </c>
    </row>
    <row r="1720">
      <c r="A1720" s="232" t="inlineStr">
        <is>
          <t>CR-1717</t>
        </is>
      </c>
      <c r="B1720" s="232" t="inlineStr">
        <is>
          <t>2026/27</t>
        </is>
      </c>
      <c r="C1720" s="233" t="n">
        <v>46053</v>
      </c>
      <c r="D1720" s="232" t="inlineStr">
        <is>
          <t>878197</t>
        </is>
      </c>
      <c r="E1720" s="232" t="inlineStr">
        <is>
          <t>PRORRATEO</t>
        </is>
      </c>
      <c r="F1720" s="232" t="inlineStr">
        <is>
          <t>Santa Catalina</t>
        </is>
      </c>
      <c r="G1720" s="232" t="inlineStr">
        <is>
          <t>eureka 14,4 ha</t>
        </is>
      </c>
      <c r="H1720" s="232" t="inlineStr">
        <is>
          <t>Limon</t>
        </is>
      </c>
      <c r="I1720" s="232" t="inlineStr">
        <is>
          <t>Eureka</t>
        </is>
      </c>
      <c r="J1720" s="232" t="inlineStr">
        <is>
          <t>MANT. Y REP. CONSTRUCCIONES</t>
        </is>
      </c>
      <c r="K1720" s="232" t="inlineStr">
        <is>
          <t>MANTENCION INFRAESTRUCTURA</t>
        </is>
      </c>
      <c r="L1720" s="232" t="inlineStr">
        <is>
          <t>[PRORRATEO 9.7% 14.4há/148.3há] O/001339 ANTIC TRIC</t>
        </is>
      </c>
      <c r="M1720" s="232" t="inlineStr"/>
      <c r="N1720" s="232" t="inlineStr">
        <is>
          <t>.   .   -</t>
        </is>
      </c>
      <c r="O1720" s="232" t="inlineStr">
        <is>
          <t>ENERO</t>
        </is>
      </c>
      <c r="P1720" s="232" t="n">
        <v>5</v>
      </c>
      <c r="Q1720" s="234" t="n">
        <v>4577</v>
      </c>
      <c r="R1720" s="232" t="inlineStr"/>
      <c r="S1720" s="234" t="n">
        <v>4577</v>
      </c>
      <c r="T1720" s="232" t="inlineStr">
        <is>
          <t>CLP</t>
        </is>
      </c>
      <c r="U1720" s="232" t="inlineStr">
        <is>
          <t>Prorrateo Ha BODEGA</t>
        </is>
      </c>
      <c r="V1720" s="232" t="inlineStr">
        <is>
          <t>2026-06-18</t>
        </is>
      </c>
    </row>
    <row r="1721">
      <c r="A1721" s="232" t="inlineStr">
        <is>
          <t>CR-1718</t>
        </is>
      </c>
      <c r="B1721" s="232" t="inlineStr">
        <is>
          <t>2026/27</t>
        </is>
      </c>
      <c r="C1721" s="233" t="n">
        <v>46053</v>
      </c>
      <c r="D1721" s="232" t="inlineStr">
        <is>
          <t>878197</t>
        </is>
      </c>
      <c r="E1721" s="232" t="inlineStr">
        <is>
          <t>PRORRATEO</t>
        </is>
      </c>
      <c r="F1721" s="232" t="inlineStr">
        <is>
          <t>Santa Catalina</t>
        </is>
      </c>
      <c r="G1721" s="232" t="inlineStr">
        <is>
          <t>eureka 22,55</t>
        </is>
      </c>
      <c r="H1721" s="232" t="inlineStr">
        <is>
          <t>Limon</t>
        </is>
      </c>
      <c r="I1721" s="232" t="inlineStr">
        <is>
          <t>Eureka</t>
        </is>
      </c>
      <c r="J1721" s="232" t="inlineStr">
        <is>
          <t>MANT. Y REP. CONSTRUCCIONES</t>
        </is>
      </c>
      <c r="K1721" s="232" t="inlineStr">
        <is>
          <t>MANTENCION INFRAESTRUCTURA</t>
        </is>
      </c>
      <c r="L1721" s="232" t="inlineStr">
        <is>
          <t>[PRORRATEO 15.2% 22.55há/148.3há] O/001339 ANTIC TRIC</t>
        </is>
      </c>
      <c r="M1721" s="232" t="inlineStr"/>
      <c r="N1721" s="232" t="inlineStr">
        <is>
          <t>.   .   -</t>
        </is>
      </c>
      <c r="O1721" s="232" t="inlineStr">
        <is>
          <t>ENERO</t>
        </is>
      </c>
      <c r="P1721" s="232" t="n">
        <v>5</v>
      </c>
      <c r="Q1721" s="234" t="n">
        <v>7167</v>
      </c>
      <c r="R1721" s="232" t="inlineStr"/>
      <c r="S1721" s="234" t="n">
        <v>7167</v>
      </c>
      <c r="T1721" s="232" t="inlineStr">
        <is>
          <t>CLP</t>
        </is>
      </c>
      <c r="U1721" s="232" t="inlineStr">
        <is>
          <t>Prorrateo Ha BODEGA</t>
        </is>
      </c>
      <c r="V1721" s="232" t="inlineStr">
        <is>
          <t>2026-06-18</t>
        </is>
      </c>
    </row>
    <row r="1722">
      <c r="A1722" s="232" t="inlineStr">
        <is>
          <t>CR-1719</t>
        </is>
      </c>
      <c r="B1722" s="232" t="inlineStr">
        <is>
          <t>2026/27</t>
        </is>
      </c>
      <c r="C1722" s="233" t="n">
        <v>46053</v>
      </c>
      <c r="D1722" s="232" t="inlineStr">
        <is>
          <t>878197</t>
        </is>
      </c>
      <c r="E1722" s="232" t="inlineStr">
        <is>
          <t>PRORRATEO</t>
        </is>
      </c>
      <c r="F1722" s="232" t="inlineStr">
        <is>
          <t>Santa Catalina</t>
        </is>
      </c>
      <c r="G1722" s="232" t="inlineStr">
        <is>
          <t>form benjamin 1,93 ha</t>
        </is>
      </c>
      <c r="H1722" s="232" t="inlineStr">
        <is>
          <t>Limon</t>
        </is>
      </c>
      <c r="I1722" s="232" t="inlineStr">
        <is>
          <t>Benjamin andes</t>
        </is>
      </c>
      <c r="J1722" s="232" t="inlineStr">
        <is>
          <t>MANT. Y REP. CONSTRUCCIONES</t>
        </is>
      </c>
      <c r="K1722" s="232" t="inlineStr">
        <is>
          <t>MANTENCION INFRAESTRUCTURA</t>
        </is>
      </c>
      <c r="L1722" s="232" t="inlineStr">
        <is>
          <t>[PRORRATEO 1.3% 1.93há/148.3há] O/001339 ANTIC TRIC</t>
        </is>
      </c>
      <c r="M1722" s="232" t="inlineStr"/>
      <c r="N1722" s="232" t="inlineStr">
        <is>
          <t>.   .   -</t>
        </is>
      </c>
      <c r="O1722" s="232" t="inlineStr">
        <is>
          <t>ENERO</t>
        </is>
      </c>
      <c r="P1722" s="232" t="n">
        <v>5</v>
      </c>
      <c r="Q1722" s="234" t="n">
        <v>613</v>
      </c>
      <c r="R1722" s="232" t="inlineStr"/>
      <c r="S1722" s="234" t="n">
        <v>613</v>
      </c>
      <c r="T1722" s="232" t="inlineStr">
        <is>
          <t>CLP</t>
        </is>
      </c>
      <c r="U1722" s="232" t="inlineStr">
        <is>
          <t>Prorrateo Ha BODEGA</t>
        </is>
      </c>
      <c r="V1722" s="232" t="inlineStr">
        <is>
          <t>2026-06-18</t>
        </is>
      </c>
    </row>
    <row r="1723">
      <c r="A1723" s="232" t="inlineStr">
        <is>
          <t>CR-1720</t>
        </is>
      </c>
      <c r="B1723" s="232" t="inlineStr">
        <is>
          <t>2026/27</t>
        </is>
      </c>
      <c r="C1723" s="233" t="n">
        <v>46053</v>
      </c>
      <c r="D1723" s="232" t="inlineStr">
        <is>
          <t>878197</t>
        </is>
      </c>
      <c r="E1723" s="232" t="inlineStr">
        <is>
          <t>PRORRATEO</t>
        </is>
      </c>
      <c r="F1723" s="232" t="inlineStr">
        <is>
          <t>Santa Catalina</t>
        </is>
      </c>
      <c r="G1723" s="232" t="inlineStr">
        <is>
          <t>mant eureka 2,5 ha</t>
        </is>
      </c>
      <c r="H1723" s="232" t="inlineStr">
        <is>
          <t>Limon</t>
        </is>
      </c>
      <c r="I1723" s="232" t="inlineStr">
        <is>
          <t>Eureka</t>
        </is>
      </c>
      <c r="J1723" s="232" t="inlineStr">
        <is>
          <t>MANT. Y REP. CONSTRUCCIONES</t>
        </is>
      </c>
      <c r="K1723" s="232" t="inlineStr">
        <is>
          <t>MANTENCION INFRAESTRUCTURA</t>
        </is>
      </c>
      <c r="L1723" s="232" t="inlineStr">
        <is>
          <t>[PRORRATEO 1.7% 2.5há/148.3há] O/001339 ANTIC TRIC</t>
        </is>
      </c>
      <c r="M1723" s="232" t="inlineStr"/>
      <c r="N1723" s="232" t="inlineStr">
        <is>
          <t>.   .   -</t>
        </is>
      </c>
      <c r="O1723" s="232" t="inlineStr">
        <is>
          <t>ENERO</t>
        </is>
      </c>
      <c r="P1723" s="232" t="n">
        <v>5</v>
      </c>
      <c r="Q1723" s="234" t="n">
        <v>795</v>
      </c>
      <c r="R1723" s="232" t="inlineStr"/>
      <c r="S1723" s="234" t="n">
        <v>795</v>
      </c>
      <c r="T1723" s="232" t="inlineStr">
        <is>
          <t>CLP</t>
        </is>
      </c>
      <c r="U1723" s="232" t="inlineStr">
        <is>
          <t>Prorrateo Ha BODEGA</t>
        </is>
      </c>
      <c r="V1723" s="232" t="inlineStr">
        <is>
          <t>2026-06-18</t>
        </is>
      </c>
    </row>
    <row r="1724">
      <c r="A1724" s="232" t="inlineStr">
        <is>
          <t>CR-1721</t>
        </is>
      </c>
      <c r="B1724" s="232" t="inlineStr">
        <is>
          <t>2026/27</t>
        </is>
      </c>
      <c r="C1724" s="233" t="n">
        <v>46053</v>
      </c>
      <c r="D1724" s="232" t="inlineStr">
        <is>
          <t>878197</t>
        </is>
      </c>
      <c r="E1724" s="232" t="inlineStr">
        <is>
          <t>PRORRATEO</t>
        </is>
      </c>
      <c r="F1724" s="232" t="inlineStr">
        <is>
          <t>Siberia</t>
        </is>
      </c>
      <c r="G1724" s="232" t="inlineStr">
        <is>
          <t>S. Celebration 7,14</t>
        </is>
      </c>
      <c r="H1724" s="232" t="inlineStr">
        <is>
          <t>Uvas</t>
        </is>
      </c>
      <c r="I1724" s="232" t="inlineStr">
        <is>
          <t>S. celebration</t>
        </is>
      </c>
      <c r="J1724" s="232" t="inlineStr">
        <is>
          <t>MANT. Y REP. CONSTRUCCIONES</t>
        </is>
      </c>
      <c r="K1724" s="232" t="inlineStr">
        <is>
          <t>MANTENCION INFRAESTRUCTURA</t>
        </is>
      </c>
      <c r="L1724" s="232" t="inlineStr">
        <is>
          <t>[PRORRATEO 4.8% 7.14há/148.3há] O/001339 ANTIC TRIC</t>
        </is>
      </c>
      <c r="M1724" s="232" t="inlineStr"/>
      <c r="N1724" s="232" t="inlineStr">
        <is>
          <t>.   .   -</t>
        </is>
      </c>
      <c r="O1724" s="232" t="inlineStr">
        <is>
          <t>ENERO</t>
        </is>
      </c>
      <c r="P1724" s="232" t="n">
        <v>5</v>
      </c>
      <c r="Q1724" s="234" t="n">
        <v>2269</v>
      </c>
      <c r="R1724" s="232" t="inlineStr"/>
      <c r="S1724" s="234" t="n">
        <v>2269</v>
      </c>
      <c r="T1724" s="232" t="inlineStr">
        <is>
          <t>CLP</t>
        </is>
      </c>
      <c r="U1724" s="232" t="inlineStr">
        <is>
          <t>Prorrateo Ha BODEGA</t>
        </is>
      </c>
      <c r="V1724" s="232" t="inlineStr">
        <is>
          <t>2026-06-18</t>
        </is>
      </c>
    </row>
    <row r="1725">
      <c r="A1725" s="232" t="inlineStr">
        <is>
          <t>CR-1722</t>
        </is>
      </c>
      <c r="B1725" s="232" t="inlineStr">
        <is>
          <t>2026/27</t>
        </is>
      </c>
      <c r="C1725" s="233" t="n">
        <v>46053</v>
      </c>
      <c r="D1725" s="232" t="inlineStr">
        <is>
          <t>878197</t>
        </is>
      </c>
      <c r="E1725" s="232" t="inlineStr">
        <is>
          <t>PRORRATEO</t>
        </is>
      </c>
      <c r="F1725" s="232" t="inlineStr">
        <is>
          <t>Siberia</t>
        </is>
      </c>
      <c r="G1725" s="232" t="inlineStr">
        <is>
          <t>Timpson 7,1</t>
        </is>
      </c>
      <c r="H1725" s="232" t="inlineStr">
        <is>
          <t>Uvas</t>
        </is>
      </c>
      <c r="I1725" s="232" t="inlineStr">
        <is>
          <t>Timpson</t>
        </is>
      </c>
      <c r="J1725" s="232" t="inlineStr">
        <is>
          <t>MANT. Y REP. CONSTRUCCIONES</t>
        </is>
      </c>
      <c r="K1725" s="232" t="inlineStr">
        <is>
          <t>MANTENCION INFRAESTRUCTURA</t>
        </is>
      </c>
      <c r="L1725" s="232" t="inlineStr">
        <is>
          <t>[PRORRATEO 4.8% 7.1há/148.3há] O/001339 ANTIC TRIC</t>
        </is>
      </c>
      <c r="M1725" s="232" t="inlineStr"/>
      <c r="N1725" s="232" t="inlineStr">
        <is>
          <t>.   .   -</t>
        </is>
      </c>
      <c r="O1725" s="232" t="inlineStr">
        <is>
          <t>ENERO</t>
        </is>
      </c>
      <c r="P1725" s="232" t="n">
        <v>5</v>
      </c>
      <c r="Q1725" s="234" t="n">
        <v>2257</v>
      </c>
      <c r="R1725" s="232" t="inlineStr"/>
      <c r="S1725" s="234" t="n">
        <v>2257</v>
      </c>
      <c r="T1725" s="232" t="inlineStr">
        <is>
          <t>CLP</t>
        </is>
      </c>
      <c r="U1725" s="232" t="inlineStr">
        <is>
          <t>Prorrateo Ha BODEGA</t>
        </is>
      </c>
      <c r="V1725" s="232" t="inlineStr">
        <is>
          <t>2026-06-18</t>
        </is>
      </c>
    </row>
    <row r="1726">
      <c r="A1726" s="232" t="inlineStr">
        <is>
          <t>CR-1723</t>
        </is>
      </c>
      <c r="B1726" s="232" t="inlineStr">
        <is>
          <t>2026/27</t>
        </is>
      </c>
      <c r="C1726" s="233" t="n">
        <v>46053</v>
      </c>
      <c r="D1726" s="232" t="inlineStr">
        <is>
          <t>878197</t>
        </is>
      </c>
      <c r="E1726" s="232" t="inlineStr">
        <is>
          <t>PRORRATEO</t>
        </is>
      </c>
      <c r="F1726" s="232" t="inlineStr">
        <is>
          <t>Asmara</t>
        </is>
      </c>
      <c r="G1726" s="232" t="inlineStr">
        <is>
          <t>w. murcott 19,8 ha</t>
        </is>
      </c>
      <c r="H1726" s="232" t="inlineStr">
        <is>
          <t>Mandarina</t>
        </is>
      </c>
      <c r="I1726" s="232" t="inlineStr">
        <is>
          <t>W. murcott</t>
        </is>
      </c>
      <c r="J1726" s="232" t="inlineStr">
        <is>
          <t>MANT. Y REP. CONSTRUCCIONES</t>
        </is>
      </c>
      <c r="K1726" s="232" t="inlineStr">
        <is>
          <t>MANTENCION INFRAESTRUCTURA</t>
        </is>
      </c>
      <c r="L1726" s="232" t="inlineStr">
        <is>
          <t>[PRORRATEO 13.4% 19.8há/148.3há] O/001339 BROCHA CON</t>
        </is>
      </c>
      <c r="M1726" s="232" t="inlineStr"/>
      <c r="N1726" s="232" t="inlineStr">
        <is>
          <t>.   .   -</t>
        </is>
      </c>
      <c r="O1726" s="232" t="inlineStr">
        <is>
          <t>ENERO</t>
        </is>
      </c>
      <c r="P1726" s="232" t="n">
        <v>5</v>
      </c>
      <c r="Q1726" s="234" t="n">
        <v>473</v>
      </c>
      <c r="R1726" s="232" t="inlineStr"/>
      <c r="S1726" s="234" t="n">
        <v>473</v>
      </c>
      <c r="T1726" s="232" t="inlineStr">
        <is>
          <t>CLP</t>
        </is>
      </c>
      <c r="U1726" s="232" t="inlineStr">
        <is>
          <t>Prorrateo Ha BODEGA</t>
        </is>
      </c>
      <c r="V1726" s="232" t="inlineStr">
        <is>
          <t>2026-06-18</t>
        </is>
      </c>
    </row>
    <row r="1727">
      <c r="A1727" s="232" t="inlineStr">
        <is>
          <t>CR-1724</t>
        </is>
      </c>
      <c r="B1727" s="232" t="inlineStr">
        <is>
          <t>2026/27</t>
        </is>
      </c>
      <c r="C1727" s="233" t="n">
        <v>46053</v>
      </c>
      <c r="D1727" s="232" t="inlineStr">
        <is>
          <t>878197</t>
        </is>
      </c>
      <c r="E1727" s="232" t="inlineStr">
        <is>
          <t>PRORRATEO</t>
        </is>
      </c>
      <c r="F1727" s="232" t="inlineStr">
        <is>
          <t>Asmara</t>
        </is>
      </c>
      <c r="G1727" s="232" t="inlineStr">
        <is>
          <t>w. murcott 4,9 ha</t>
        </is>
      </c>
      <c r="H1727" s="232" t="inlineStr">
        <is>
          <t>Mandarina</t>
        </is>
      </c>
      <c r="I1727" s="232" t="inlineStr">
        <is>
          <t>W. murcott</t>
        </is>
      </c>
      <c r="J1727" s="232" t="inlineStr">
        <is>
          <t>MANT. Y REP. CONSTRUCCIONES</t>
        </is>
      </c>
      <c r="K1727" s="232" t="inlineStr">
        <is>
          <t>MANTENCION INFRAESTRUCTURA</t>
        </is>
      </c>
      <c r="L1727" s="232" t="inlineStr">
        <is>
          <t>[PRORRATEO 3.3% 4.9há/148.3há] O/001339 BROCHA CON</t>
        </is>
      </c>
      <c r="M1727" s="232" t="inlineStr"/>
      <c r="N1727" s="232" t="inlineStr">
        <is>
          <t>.   .   -</t>
        </is>
      </c>
      <c r="O1727" s="232" t="inlineStr">
        <is>
          <t>ENERO</t>
        </is>
      </c>
      <c r="P1727" s="232" t="n">
        <v>5</v>
      </c>
      <c r="Q1727" s="234" t="n">
        <v>117</v>
      </c>
      <c r="R1727" s="232" t="inlineStr"/>
      <c r="S1727" s="234" t="n">
        <v>117</v>
      </c>
      <c r="T1727" s="232" t="inlineStr">
        <is>
          <t>CLP</t>
        </is>
      </c>
      <c r="U1727" s="232" t="inlineStr">
        <is>
          <t>Prorrateo Ha BODEGA</t>
        </is>
      </c>
      <c r="V1727" s="232" t="inlineStr">
        <is>
          <t>2026-06-18</t>
        </is>
      </c>
    </row>
    <row r="1728">
      <c r="A1728" s="232" t="inlineStr">
        <is>
          <t>CR-1725</t>
        </is>
      </c>
      <c r="B1728" s="232" t="inlineStr">
        <is>
          <t>2026/27</t>
        </is>
      </c>
      <c r="C1728" s="233" t="n">
        <v>46053</v>
      </c>
      <c r="D1728" s="232" t="inlineStr">
        <is>
          <t>878197</t>
        </is>
      </c>
      <c r="E1728" s="232" t="inlineStr">
        <is>
          <t>PRORRATEO</t>
        </is>
      </c>
      <c r="F1728" s="232" t="inlineStr">
        <is>
          <t>El Molle</t>
        </is>
      </c>
      <c r="G1728" s="232" t="inlineStr">
        <is>
          <t>Wonderful 5,25 ha</t>
        </is>
      </c>
      <c r="H1728" s="232" t="inlineStr">
        <is>
          <t>Granados</t>
        </is>
      </c>
      <c r="I1728" s="232" t="inlineStr">
        <is>
          <t>Wonderfull</t>
        </is>
      </c>
      <c r="J1728" s="232" t="inlineStr">
        <is>
          <t>MANT. Y REP. CONSTRUCCIONES</t>
        </is>
      </c>
      <c r="K1728" s="232" t="inlineStr">
        <is>
          <t>MANTENCION INFRAESTRUCTURA</t>
        </is>
      </c>
      <c r="L1728" s="232" t="inlineStr">
        <is>
          <t>[PRORRATEO 3.5% 5.24há/148.3há] O/001339 BROCHA CON</t>
        </is>
      </c>
      <c r="M1728" s="232" t="inlineStr"/>
      <c r="N1728" s="232" t="inlineStr">
        <is>
          <t>.   .   -</t>
        </is>
      </c>
      <c r="O1728" s="232" t="inlineStr">
        <is>
          <t>ENERO</t>
        </is>
      </c>
      <c r="P1728" s="232" t="n">
        <v>5</v>
      </c>
      <c r="Q1728" s="234" t="n">
        <v>125</v>
      </c>
      <c r="R1728" s="232" t="inlineStr"/>
      <c r="S1728" s="234" t="n">
        <v>125</v>
      </c>
      <c r="T1728" s="232" t="inlineStr">
        <is>
          <t>CLP</t>
        </is>
      </c>
      <c r="U1728" s="232" t="inlineStr">
        <is>
          <t>Prorrateo Ha BODEGA</t>
        </is>
      </c>
      <c r="V1728" s="232" t="inlineStr">
        <is>
          <t>2026-06-18</t>
        </is>
      </c>
    </row>
    <row r="1729">
      <c r="A1729" s="232" t="inlineStr">
        <is>
          <t>CR-1726</t>
        </is>
      </c>
      <c r="B1729" s="232" t="inlineStr">
        <is>
          <t>2026/27</t>
        </is>
      </c>
      <c r="C1729" s="233" t="n">
        <v>46053</v>
      </c>
      <c r="D1729" s="232" t="inlineStr">
        <is>
          <t>878197</t>
        </is>
      </c>
      <c r="E1729" s="232" t="inlineStr">
        <is>
          <t>PRORRATEO</t>
        </is>
      </c>
      <c r="F1729" s="232" t="inlineStr">
        <is>
          <t>El Molle</t>
        </is>
      </c>
      <c r="G1729" s="232" t="inlineStr">
        <is>
          <t>arrufatinas 5,74 ha</t>
        </is>
      </c>
      <c r="H1729" s="232" t="inlineStr">
        <is>
          <t>Clementinas</t>
        </is>
      </c>
      <c r="I1729" s="232" t="inlineStr">
        <is>
          <t>Arrufatinas</t>
        </is>
      </c>
      <c r="J1729" s="232" t="inlineStr">
        <is>
          <t>MANT. Y REP. CONSTRUCCIONES</t>
        </is>
      </c>
      <c r="K1729" s="232" t="inlineStr">
        <is>
          <t>MANTENCION INFRAESTRUCTURA</t>
        </is>
      </c>
      <c r="L1729" s="232" t="inlineStr">
        <is>
          <t>[PRORRATEO 3.9% 5.74há/148.3há] O/001339 BROCHA CON</t>
        </is>
      </c>
      <c r="M1729" s="232" t="inlineStr"/>
      <c r="N1729" s="232" t="inlineStr">
        <is>
          <t>.   .   -</t>
        </is>
      </c>
      <c r="O1729" s="232" t="inlineStr">
        <is>
          <t>ENERO</t>
        </is>
      </c>
      <c r="P1729" s="232" t="n">
        <v>5</v>
      </c>
      <c r="Q1729" s="234" t="n">
        <v>137</v>
      </c>
      <c r="R1729" s="232" t="inlineStr"/>
      <c r="S1729" s="234" t="n">
        <v>137</v>
      </c>
      <c r="T1729" s="232" t="inlineStr">
        <is>
          <t>CLP</t>
        </is>
      </c>
      <c r="U1729" s="232" t="inlineStr">
        <is>
          <t>Prorrateo Ha BODEGA</t>
        </is>
      </c>
      <c r="V1729" s="232" t="inlineStr">
        <is>
          <t>2026-06-18</t>
        </is>
      </c>
    </row>
    <row r="1730">
      <c r="A1730" s="232" t="inlineStr">
        <is>
          <t>CR-1727</t>
        </is>
      </c>
      <c r="B1730" s="232" t="inlineStr">
        <is>
          <t>2026/27</t>
        </is>
      </c>
      <c r="C1730" s="233" t="n">
        <v>46053</v>
      </c>
      <c r="D1730" s="232" t="inlineStr">
        <is>
          <t>878197</t>
        </is>
      </c>
      <c r="E1730" s="232" t="inlineStr">
        <is>
          <t>PRORRATEO</t>
        </is>
      </c>
      <c r="F1730" s="232" t="inlineStr">
        <is>
          <t>El Molle</t>
        </is>
      </c>
      <c r="G1730" s="232" t="inlineStr">
        <is>
          <t>orogrande 8,11 ha</t>
        </is>
      </c>
      <c r="H1730" s="232" t="inlineStr">
        <is>
          <t>Clementinas</t>
        </is>
      </c>
      <c r="I1730" s="232" t="inlineStr">
        <is>
          <t>Orogrande</t>
        </is>
      </c>
      <c r="J1730" s="232" t="inlineStr">
        <is>
          <t>MANT. Y REP. CONSTRUCCIONES</t>
        </is>
      </c>
      <c r="K1730" s="232" t="inlineStr">
        <is>
          <t>MANTENCION INFRAESTRUCTURA</t>
        </is>
      </c>
      <c r="L1730" s="232" t="inlineStr">
        <is>
          <t>[PRORRATEO 5.5% 8.11há/148.3há] O/001339 BROCHA CON</t>
        </is>
      </c>
      <c r="M1730" s="232" t="inlineStr"/>
      <c r="N1730" s="232" t="inlineStr">
        <is>
          <t>.   .   -</t>
        </is>
      </c>
      <c r="O1730" s="232" t="inlineStr">
        <is>
          <t>ENERO</t>
        </is>
      </c>
      <c r="P1730" s="232" t="n">
        <v>5</v>
      </c>
      <c r="Q1730" s="234" t="n">
        <v>194</v>
      </c>
      <c r="R1730" s="232" t="inlineStr"/>
      <c r="S1730" s="234" t="n">
        <v>194</v>
      </c>
      <c r="T1730" s="232" t="inlineStr">
        <is>
          <t>CLP</t>
        </is>
      </c>
      <c r="U1730" s="232" t="inlineStr">
        <is>
          <t>Prorrateo Ha BODEGA</t>
        </is>
      </c>
      <c r="V1730" s="232" t="inlineStr">
        <is>
          <t>2026-06-18</t>
        </is>
      </c>
    </row>
    <row r="1731">
      <c r="A1731" s="232" t="inlineStr">
        <is>
          <t>CR-1728</t>
        </is>
      </c>
      <c r="B1731" s="232" t="inlineStr">
        <is>
          <t>2026/27</t>
        </is>
      </c>
      <c r="C1731" s="233" t="n">
        <v>46053</v>
      </c>
      <c r="D1731" s="232" t="inlineStr">
        <is>
          <t>878197</t>
        </is>
      </c>
      <c r="E1731" s="232" t="inlineStr">
        <is>
          <t>PRORRATEO</t>
        </is>
      </c>
      <c r="F1731" s="232" t="inlineStr">
        <is>
          <t>El Molle</t>
        </is>
      </c>
      <c r="G1731" s="232" t="inlineStr">
        <is>
          <t>oronules 5,35 ha</t>
        </is>
      </c>
      <c r="H1731" s="232" t="inlineStr">
        <is>
          <t>Clementinas</t>
        </is>
      </c>
      <c r="I1731" s="232" t="inlineStr">
        <is>
          <t>Oronules</t>
        </is>
      </c>
      <c r="J1731" s="232" t="inlineStr">
        <is>
          <t>MANT. Y REP. CONSTRUCCIONES</t>
        </is>
      </c>
      <c r="K1731" s="232" t="inlineStr">
        <is>
          <t>MANTENCION INFRAESTRUCTURA</t>
        </is>
      </c>
      <c r="L1731" s="232" t="inlineStr">
        <is>
          <t>[PRORRATEO 3.6% 5.35há/148.3há] O/001339 BROCHA CON</t>
        </is>
      </c>
      <c r="M1731" s="232" t="inlineStr"/>
      <c r="N1731" s="232" t="inlineStr">
        <is>
          <t>.   .   -</t>
        </is>
      </c>
      <c r="O1731" s="232" t="inlineStr">
        <is>
          <t>ENERO</t>
        </is>
      </c>
      <c r="P1731" s="232" t="n">
        <v>5</v>
      </c>
      <c r="Q1731" s="234" t="n">
        <v>128</v>
      </c>
      <c r="R1731" s="232" t="inlineStr"/>
      <c r="S1731" s="234" t="n">
        <v>128</v>
      </c>
      <c r="T1731" s="232" t="inlineStr">
        <is>
          <t>CLP</t>
        </is>
      </c>
      <c r="U1731" s="232" t="inlineStr">
        <is>
          <t>Prorrateo Ha BODEGA</t>
        </is>
      </c>
      <c r="V1731" s="232" t="inlineStr">
        <is>
          <t>2026-06-18</t>
        </is>
      </c>
    </row>
    <row r="1732">
      <c r="A1732" s="232" t="inlineStr">
        <is>
          <t>CR-1729</t>
        </is>
      </c>
      <c r="B1732" s="232" t="inlineStr">
        <is>
          <t>2026/27</t>
        </is>
      </c>
      <c r="C1732" s="233" t="n">
        <v>46053</v>
      </c>
      <c r="D1732" s="232" t="inlineStr">
        <is>
          <t>878197</t>
        </is>
      </c>
      <c r="E1732" s="232" t="inlineStr">
        <is>
          <t>PRORRATEO</t>
        </is>
      </c>
      <c r="F1732" s="232" t="inlineStr">
        <is>
          <t>Santa Catalina</t>
        </is>
      </c>
      <c r="G1732" s="232" t="inlineStr">
        <is>
          <t>Fino 49 7,7 ha</t>
        </is>
      </c>
      <c r="H1732" s="232" t="inlineStr">
        <is>
          <t>Limon</t>
        </is>
      </c>
      <c r="I1732" s="232" t="inlineStr">
        <is>
          <t>Fino 49</t>
        </is>
      </c>
      <c r="J1732" s="232" t="inlineStr">
        <is>
          <t>MANT. Y REP. CONSTRUCCIONES</t>
        </is>
      </c>
      <c r="K1732" s="232" t="inlineStr">
        <is>
          <t>MANTENCION INFRAESTRUCTURA</t>
        </is>
      </c>
      <c r="L1732" s="232" t="inlineStr">
        <is>
          <t>[PRORRATEO 5.2% 7.7há/148.3há] O/001339 BROCHA CON</t>
        </is>
      </c>
      <c r="M1732" s="232" t="inlineStr"/>
      <c r="N1732" s="232" t="inlineStr">
        <is>
          <t>.   .   -</t>
        </is>
      </c>
      <c r="O1732" s="232" t="inlineStr">
        <is>
          <t>ENERO</t>
        </is>
      </c>
      <c r="P1732" s="232" t="n">
        <v>5</v>
      </c>
      <c r="Q1732" s="234" t="n">
        <v>184</v>
      </c>
      <c r="R1732" s="232" t="inlineStr"/>
      <c r="S1732" s="234" t="n">
        <v>184</v>
      </c>
      <c r="T1732" s="232" t="inlineStr">
        <is>
          <t>CLP</t>
        </is>
      </c>
      <c r="U1732" s="232" t="inlineStr">
        <is>
          <t>Prorrateo Ha BODEGA</t>
        </is>
      </c>
      <c r="V1732" s="232" t="inlineStr">
        <is>
          <t>2026-06-18</t>
        </is>
      </c>
    </row>
    <row r="1733">
      <c r="A1733" s="232" t="inlineStr">
        <is>
          <t>CR-1730</t>
        </is>
      </c>
      <c r="B1733" s="232" t="inlineStr">
        <is>
          <t>2026/27</t>
        </is>
      </c>
      <c r="C1733" s="233" t="n">
        <v>46053</v>
      </c>
      <c r="D1733" s="232" t="inlineStr">
        <is>
          <t>878197</t>
        </is>
      </c>
      <c r="E1733" s="232" t="inlineStr">
        <is>
          <t>PRORRATEO</t>
        </is>
      </c>
      <c r="F1733" s="232" t="inlineStr">
        <is>
          <t>Santa Catalina</t>
        </is>
      </c>
      <c r="G1733" s="232" t="inlineStr">
        <is>
          <t>W. murcott 21 ha</t>
        </is>
      </c>
      <c r="H1733" s="232" t="inlineStr">
        <is>
          <t>Mandarina</t>
        </is>
      </c>
      <c r="I1733" s="232" t="inlineStr">
        <is>
          <t>W. murcott</t>
        </is>
      </c>
      <c r="J1733" s="232" t="inlineStr">
        <is>
          <t>MANT. Y REP. CONSTRUCCIONES</t>
        </is>
      </c>
      <c r="K1733" s="232" t="inlineStr">
        <is>
          <t>MANTENCION INFRAESTRUCTURA</t>
        </is>
      </c>
      <c r="L1733" s="232" t="inlineStr">
        <is>
          <t>[PRORRATEO 14.2% 21.0há/148.3há] O/001339 BROCHA CON</t>
        </is>
      </c>
      <c r="M1733" s="232" t="inlineStr"/>
      <c r="N1733" s="232" t="inlineStr">
        <is>
          <t>.   .   -</t>
        </is>
      </c>
      <c r="O1733" s="232" t="inlineStr">
        <is>
          <t>ENERO</t>
        </is>
      </c>
      <c r="P1733" s="232" t="n">
        <v>5</v>
      </c>
      <c r="Q1733" s="234" t="n">
        <v>501</v>
      </c>
      <c r="R1733" s="232" t="inlineStr"/>
      <c r="S1733" s="234" t="n">
        <v>501</v>
      </c>
      <c r="T1733" s="232" t="inlineStr">
        <is>
          <t>CLP</t>
        </is>
      </c>
      <c r="U1733" s="232" t="inlineStr">
        <is>
          <t>Prorrateo Ha BODEGA</t>
        </is>
      </c>
      <c r="V1733" s="232" t="inlineStr">
        <is>
          <t>2026-06-18</t>
        </is>
      </c>
    </row>
    <row r="1734">
      <c r="A1734" s="232" t="inlineStr">
        <is>
          <t>CR-1731</t>
        </is>
      </c>
      <c r="B1734" s="232" t="inlineStr">
        <is>
          <t>2026/27</t>
        </is>
      </c>
      <c r="C1734" s="233" t="n">
        <v>46053</v>
      </c>
      <c r="D1734" s="232" t="inlineStr">
        <is>
          <t>878197</t>
        </is>
      </c>
      <c r="E1734" s="232" t="inlineStr">
        <is>
          <t>PRORRATEO</t>
        </is>
      </c>
      <c r="F1734" s="232" t="inlineStr">
        <is>
          <t>Santa Catalina</t>
        </is>
      </c>
      <c r="G1734" s="232" t="inlineStr">
        <is>
          <t>cambria 4,2 ha</t>
        </is>
      </c>
      <c r="H1734" s="232" t="inlineStr">
        <is>
          <t>Naranjas</t>
        </is>
      </c>
      <c r="I1734" s="232" t="inlineStr">
        <is>
          <t>Cambria</t>
        </is>
      </c>
      <c r="J1734" s="232" t="inlineStr">
        <is>
          <t>MANT. Y REP. CONSTRUCCIONES</t>
        </is>
      </c>
      <c r="K1734" s="232" t="inlineStr">
        <is>
          <t>MANTENCION INFRAESTRUCTURA</t>
        </is>
      </c>
      <c r="L1734" s="232" t="inlineStr">
        <is>
          <t>[PRORRATEO 2.8% 4.2há/148.3há] O/001339 BROCHA CON</t>
        </is>
      </c>
      <c r="M1734" s="232" t="inlineStr"/>
      <c r="N1734" s="232" t="inlineStr">
        <is>
          <t>.   .   -</t>
        </is>
      </c>
      <c r="O1734" s="232" t="inlineStr">
        <is>
          <t>ENERO</t>
        </is>
      </c>
      <c r="P1734" s="232" t="n">
        <v>5</v>
      </c>
      <c r="Q1734" s="234" t="n">
        <v>100</v>
      </c>
      <c r="R1734" s="232" t="inlineStr"/>
      <c r="S1734" s="234" t="n">
        <v>100</v>
      </c>
      <c r="T1734" s="232" t="inlineStr">
        <is>
          <t>CLP</t>
        </is>
      </c>
      <c r="U1734" s="232" t="inlineStr">
        <is>
          <t>Prorrateo Ha BODEGA</t>
        </is>
      </c>
      <c r="V1734" s="232" t="inlineStr">
        <is>
          <t>2026-06-18</t>
        </is>
      </c>
    </row>
    <row r="1735">
      <c r="A1735" s="232" t="inlineStr">
        <is>
          <t>CR-1732</t>
        </is>
      </c>
      <c r="B1735" s="232" t="inlineStr">
        <is>
          <t>2026/27</t>
        </is>
      </c>
      <c r="C1735" s="233" t="n">
        <v>46053</v>
      </c>
      <c r="D1735" s="232" t="inlineStr">
        <is>
          <t>878197</t>
        </is>
      </c>
      <c r="E1735" s="232" t="inlineStr">
        <is>
          <t>PRORRATEO</t>
        </is>
      </c>
      <c r="F1735" s="232" t="inlineStr">
        <is>
          <t>Santa Catalina</t>
        </is>
      </c>
      <c r="G1735" s="232" t="inlineStr">
        <is>
          <t>eureka 10,6 ha</t>
        </is>
      </c>
      <c r="H1735" s="232" t="inlineStr">
        <is>
          <t>Limon</t>
        </is>
      </c>
      <c r="I1735" s="232" t="inlineStr">
        <is>
          <t>Eureka</t>
        </is>
      </c>
      <c r="J1735" s="232" t="inlineStr">
        <is>
          <t>MANT. Y REP. CONSTRUCCIONES</t>
        </is>
      </c>
      <c r="K1735" s="232" t="inlineStr">
        <is>
          <t>MANTENCION INFRAESTRUCTURA</t>
        </is>
      </c>
      <c r="L1735" s="232" t="inlineStr">
        <is>
          <t>[PRORRATEO 7.1% 10.6há/148.3há] O/001339 BROCHA CON</t>
        </is>
      </c>
      <c r="M1735" s="232" t="inlineStr"/>
      <c r="N1735" s="232" t="inlineStr">
        <is>
          <t>.   .   -</t>
        </is>
      </c>
      <c r="O1735" s="232" t="inlineStr">
        <is>
          <t>ENERO</t>
        </is>
      </c>
      <c r="P1735" s="232" t="n">
        <v>5</v>
      </c>
      <c r="Q1735" s="234" t="n">
        <v>253</v>
      </c>
      <c r="R1735" s="232" t="inlineStr"/>
      <c r="S1735" s="234" t="n">
        <v>253</v>
      </c>
      <c r="T1735" s="232" t="inlineStr">
        <is>
          <t>CLP</t>
        </is>
      </c>
      <c r="U1735" s="232" t="inlineStr">
        <is>
          <t>Prorrateo Ha BODEGA</t>
        </is>
      </c>
      <c r="V1735" s="232" t="inlineStr">
        <is>
          <t>2026-06-18</t>
        </is>
      </c>
    </row>
    <row r="1736">
      <c r="A1736" s="232" t="inlineStr">
        <is>
          <t>CR-1733</t>
        </is>
      </c>
      <c r="B1736" s="232" t="inlineStr">
        <is>
          <t>2026/27</t>
        </is>
      </c>
      <c r="C1736" s="233" t="n">
        <v>46053</v>
      </c>
      <c r="D1736" s="232" t="inlineStr">
        <is>
          <t>878197</t>
        </is>
      </c>
      <c r="E1736" s="232" t="inlineStr">
        <is>
          <t>PRORRATEO</t>
        </is>
      </c>
      <c r="F1736" s="232" t="inlineStr">
        <is>
          <t>Santa Catalina</t>
        </is>
      </c>
      <c r="G1736" s="232" t="inlineStr">
        <is>
          <t>eureka 14,4 ha</t>
        </is>
      </c>
      <c r="H1736" s="232" t="inlineStr">
        <is>
          <t>Limon</t>
        </is>
      </c>
      <c r="I1736" s="232" t="inlineStr">
        <is>
          <t>Eureka</t>
        </is>
      </c>
      <c r="J1736" s="232" t="inlineStr">
        <is>
          <t>MANT. Y REP. CONSTRUCCIONES</t>
        </is>
      </c>
      <c r="K1736" s="232" t="inlineStr">
        <is>
          <t>MANTENCION INFRAESTRUCTURA</t>
        </is>
      </c>
      <c r="L1736" s="232" t="inlineStr">
        <is>
          <t>[PRORRATEO 9.7% 14.4há/148.3há] O/001339 BROCHA CON</t>
        </is>
      </c>
      <c r="M1736" s="232" t="inlineStr"/>
      <c r="N1736" s="232" t="inlineStr">
        <is>
          <t>.   .   -</t>
        </is>
      </c>
      <c r="O1736" s="232" t="inlineStr">
        <is>
          <t>ENERO</t>
        </is>
      </c>
      <c r="P1736" s="232" t="n">
        <v>5</v>
      </c>
      <c r="Q1736" s="234" t="n">
        <v>344</v>
      </c>
      <c r="R1736" s="232" t="inlineStr"/>
      <c r="S1736" s="234" t="n">
        <v>344</v>
      </c>
      <c r="T1736" s="232" t="inlineStr">
        <is>
          <t>CLP</t>
        </is>
      </c>
      <c r="U1736" s="232" t="inlineStr">
        <is>
          <t>Prorrateo Ha BODEGA</t>
        </is>
      </c>
      <c r="V1736" s="232" t="inlineStr">
        <is>
          <t>2026-06-18</t>
        </is>
      </c>
    </row>
    <row r="1737">
      <c r="A1737" s="232" t="inlineStr">
        <is>
          <t>CR-1734</t>
        </is>
      </c>
      <c r="B1737" s="232" t="inlineStr">
        <is>
          <t>2026/27</t>
        </is>
      </c>
      <c r="C1737" s="233" t="n">
        <v>46053</v>
      </c>
      <c r="D1737" s="232" t="inlineStr">
        <is>
          <t>878197</t>
        </is>
      </c>
      <c r="E1737" s="232" t="inlineStr">
        <is>
          <t>PRORRATEO</t>
        </is>
      </c>
      <c r="F1737" s="232" t="inlineStr">
        <is>
          <t>Santa Catalina</t>
        </is>
      </c>
      <c r="G1737" s="232" t="inlineStr">
        <is>
          <t>eureka 22,55</t>
        </is>
      </c>
      <c r="H1737" s="232" t="inlineStr">
        <is>
          <t>Limon</t>
        </is>
      </c>
      <c r="I1737" s="232" t="inlineStr">
        <is>
          <t>Eureka</t>
        </is>
      </c>
      <c r="J1737" s="232" t="inlineStr">
        <is>
          <t>MANT. Y REP. CONSTRUCCIONES</t>
        </is>
      </c>
      <c r="K1737" s="232" t="inlineStr">
        <is>
          <t>MANTENCION INFRAESTRUCTURA</t>
        </is>
      </c>
      <c r="L1737" s="232" t="inlineStr">
        <is>
          <t>[PRORRATEO 15.2% 22.55há/148.3há] O/001339 BROCHA CON</t>
        </is>
      </c>
      <c r="M1737" s="232" t="inlineStr"/>
      <c r="N1737" s="232" t="inlineStr">
        <is>
          <t>.   .   -</t>
        </is>
      </c>
      <c r="O1737" s="232" t="inlineStr">
        <is>
          <t>ENERO</t>
        </is>
      </c>
      <c r="P1737" s="232" t="n">
        <v>5</v>
      </c>
      <c r="Q1737" s="234" t="n">
        <v>538</v>
      </c>
      <c r="R1737" s="232" t="inlineStr"/>
      <c r="S1737" s="234" t="n">
        <v>538</v>
      </c>
      <c r="T1737" s="232" t="inlineStr">
        <is>
          <t>CLP</t>
        </is>
      </c>
      <c r="U1737" s="232" t="inlineStr">
        <is>
          <t>Prorrateo Ha BODEGA</t>
        </is>
      </c>
      <c r="V1737" s="232" t="inlineStr">
        <is>
          <t>2026-06-18</t>
        </is>
      </c>
    </row>
    <row r="1738">
      <c r="A1738" s="232" t="inlineStr">
        <is>
          <t>CR-1735</t>
        </is>
      </c>
      <c r="B1738" s="232" t="inlineStr">
        <is>
          <t>2026/27</t>
        </is>
      </c>
      <c r="C1738" s="233" t="n">
        <v>46053</v>
      </c>
      <c r="D1738" s="232" t="inlineStr">
        <is>
          <t>878197</t>
        </is>
      </c>
      <c r="E1738" s="232" t="inlineStr">
        <is>
          <t>PRORRATEO</t>
        </is>
      </c>
      <c r="F1738" s="232" t="inlineStr">
        <is>
          <t>Santa Catalina</t>
        </is>
      </c>
      <c r="G1738" s="232" t="inlineStr">
        <is>
          <t>form benjamin 1,93 ha</t>
        </is>
      </c>
      <c r="H1738" s="232" t="inlineStr">
        <is>
          <t>Limon</t>
        </is>
      </c>
      <c r="I1738" s="232" t="inlineStr">
        <is>
          <t>Benjamin andes</t>
        </is>
      </c>
      <c r="J1738" s="232" t="inlineStr">
        <is>
          <t>MANT. Y REP. CONSTRUCCIONES</t>
        </is>
      </c>
      <c r="K1738" s="232" t="inlineStr">
        <is>
          <t>MANTENCION INFRAESTRUCTURA</t>
        </is>
      </c>
      <c r="L1738" s="232" t="inlineStr">
        <is>
          <t>[PRORRATEO 1.3% 1.93há/148.3há] O/001339 BROCHA CON</t>
        </is>
      </c>
      <c r="M1738" s="232" t="inlineStr"/>
      <c r="N1738" s="232" t="inlineStr">
        <is>
          <t>.   .   -</t>
        </is>
      </c>
      <c r="O1738" s="232" t="inlineStr">
        <is>
          <t>ENERO</t>
        </is>
      </c>
      <c r="P1738" s="232" t="n">
        <v>5</v>
      </c>
      <c r="Q1738" s="234" t="n">
        <v>46</v>
      </c>
      <c r="R1738" s="232" t="inlineStr"/>
      <c r="S1738" s="234" t="n">
        <v>46</v>
      </c>
      <c r="T1738" s="232" t="inlineStr">
        <is>
          <t>CLP</t>
        </is>
      </c>
      <c r="U1738" s="232" t="inlineStr">
        <is>
          <t>Prorrateo Ha BODEGA</t>
        </is>
      </c>
      <c r="V1738" s="232" t="inlineStr">
        <is>
          <t>2026-06-18</t>
        </is>
      </c>
    </row>
    <row r="1739">
      <c r="A1739" s="232" t="inlineStr">
        <is>
          <t>CR-1736</t>
        </is>
      </c>
      <c r="B1739" s="232" t="inlineStr">
        <is>
          <t>2026/27</t>
        </is>
      </c>
      <c r="C1739" s="233" t="n">
        <v>46053</v>
      </c>
      <c r="D1739" s="232" t="inlineStr">
        <is>
          <t>878197</t>
        </is>
      </c>
      <c r="E1739" s="232" t="inlineStr">
        <is>
          <t>PRORRATEO</t>
        </is>
      </c>
      <c r="F1739" s="232" t="inlineStr">
        <is>
          <t>Santa Catalina</t>
        </is>
      </c>
      <c r="G1739" s="232" t="inlineStr">
        <is>
          <t>mant eureka 2,5 ha</t>
        </is>
      </c>
      <c r="H1739" s="232" t="inlineStr">
        <is>
          <t>Limon</t>
        </is>
      </c>
      <c r="I1739" s="232" t="inlineStr">
        <is>
          <t>Eureka</t>
        </is>
      </c>
      <c r="J1739" s="232" t="inlineStr">
        <is>
          <t>MANT. Y REP. CONSTRUCCIONES</t>
        </is>
      </c>
      <c r="K1739" s="232" t="inlineStr">
        <is>
          <t>MANTENCION INFRAESTRUCTURA</t>
        </is>
      </c>
      <c r="L1739" s="232" t="inlineStr">
        <is>
          <t>[PRORRATEO 1.7% 2.5há/148.3há] O/001339 BROCHA CON</t>
        </is>
      </c>
      <c r="M1739" s="232" t="inlineStr"/>
      <c r="N1739" s="232" t="inlineStr">
        <is>
          <t>.   .   -</t>
        </is>
      </c>
      <c r="O1739" s="232" t="inlineStr">
        <is>
          <t>ENERO</t>
        </is>
      </c>
      <c r="P1739" s="232" t="n">
        <v>5</v>
      </c>
      <c r="Q1739" s="234" t="n">
        <v>60</v>
      </c>
      <c r="R1739" s="232" t="inlineStr"/>
      <c r="S1739" s="234" t="n">
        <v>60</v>
      </c>
      <c r="T1739" s="232" t="inlineStr">
        <is>
          <t>CLP</t>
        </is>
      </c>
      <c r="U1739" s="232" t="inlineStr">
        <is>
          <t>Prorrateo Ha BODEGA</t>
        </is>
      </c>
      <c r="V1739" s="232" t="inlineStr">
        <is>
          <t>2026-06-18</t>
        </is>
      </c>
    </row>
    <row r="1740">
      <c r="A1740" s="232" t="inlineStr">
        <is>
          <t>CR-1737</t>
        </is>
      </c>
      <c r="B1740" s="232" t="inlineStr">
        <is>
          <t>2026/27</t>
        </is>
      </c>
      <c r="C1740" s="233" t="n">
        <v>46053</v>
      </c>
      <c r="D1740" s="232" t="inlineStr">
        <is>
          <t>878197</t>
        </is>
      </c>
      <c r="E1740" s="232" t="inlineStr">
        <is>
          <t>PRORRATEO</t>
        </is>
      </c>
      <c r="F1740" s="232" t="inlineStr">
        <is>
          <t>Siberia</t>
        </is>
      </c>
      <c r="G1740" s="232" t="inlineStr">
        <is>
          <t>S. Celebration 7,14</t>
        </is>
      </c>
      <c r="H1740" s="232" t="inlineStr">
        <is>
          <t>Uvas</t>
        </is>
      </c>
      <c r="I1740" s="232" t="inlineStr">
        <is>
          <t>S. celebration</t>
        </is>
      </c>
      <c r="J1740" s="232" t="inlineStr">
        <is>
          <t>MANT. Y REP. CONSTRUCCIONES</t>
        </is>
      </c>
      <c r="K1740" s="232" t="inlineStr">
        <is>
          <t>MANTENCION INFRAESTRUCTURA</t>
        </is>
      </c>
      <c r="L1740" s="232" t="inlineStr">
        <is>
          <t>[PRORRATEO 4.8% 7.14há/148.3há] O/001339 BROCHA CON</t>
        </is>
      </c>
      <c r="M1740" s="232" t="inlineStr"/>
      <c r="N1740" s="232" t="inlineStr">
        <is>
          <t>.   .   -</t>
        </is>
      </c>
      <c r="O1740" s="232" t="inlineStr">
        <is>
          <t>ENERO</t>
        </is>
      </c>
      <c r="P1740" s="232" t="n">
        <v>5</v>
      </c>
      <c r="Q1740" s="234" t="n">
        <v>170</v>
      </c>
      <c r="R1740" s="232" t="inlineStr"/>
      <c r="S1740" s="234" t="n">
        <v>170</v>
      </c>
      <c r="T1740" s="232" t="inlineStr">
        <is>
          <t>CLP</t>
        </is>
      </c>
      <c r="U1740" s="232" t="inlineStr">
        <is>
          <t>Prorrateo Ha BODEGA</t>
        </is>
      </c>
      <c r="V1740" s="232" t="inlineStr">
        <is>
          <t>2026-06-18</t>
        </is>
      </c>
    </row>
    <row r="1741">
      <c r="A1741" s="232" t="inlineStr">
        <is>
          <t>CR-1738</t>
        </is>
      </c>
      <c r="B1741" s="232" t="inlineStr">
        <is>
          <t>2026/27</t>
        </is>
      </c>
      <c r="C1741" s="233" t="n">
        <v>46053</v>
      </c>
      <c r="D1741" s="232" t="inlineStr">
        <is>
          <t>878197</t>
        </is>
      </c>
      <c r="E1741" s="232" t="inlineStr">
        <is>
          <t>PRORRATEO</t>
        </is>
      </c>
      <c r="F1741" s="232" t="inlineStr">
        <is>
          <t>Siberia</t>
        </is>
      </c>
      <c r="G1741" s="232" t="inlineStr">
        <is>
          <t>Timpson 7,1</t>
        </is>
      </c>
      <c r="H1741" s="232" t="inlineStr">
        <is>
          <t>Uvas</t>
        </is>
      </c>
      <c r="I1741" s="232" t="inlineStr">
        <is>
          <t>Timpson</t>
        </is>
      </c>
      <c r="J1741" s="232" t="inlineStr">
        <is>
          <t>MANT. Y REP. CONSTRUCCIONES</t>
        </is>
      </c>
      <c r="K1741" s="232" t="inlineStr">
        <is>
          <t>MANTENCION INFRAESTRUCTURA</t>
        </is>
      </c>
      <c r="L1741" s="232" t="inlineStr">
        <is>
          <t>[PRORRATEO 4.8% 7.1há/148.3há] O/001339 BROCHA CON</t>
        </is>
      </c>
      <c r="M1741" s="232" t="inlineStr"/>
      <c r="N1741" s="232" t="inlineStr">
        <is>
          <t>.   .   -</t>
        </is>
      </c>
      <c r="O1741" s="232" t="inlineStr">
        <is>
          <t>ENERO</t>
        </is>
      </c>
      <c r="P1741" s="232" t="n">
        <v>5</v>
      </c>
      <c r="Q1741" s="234" t="n">
        <v>170</v>
      </c>
      <c r="R1741" s="232" t="inlineStr"/>
      <c r="S1741" s="234" t="n">
        <v>170</v>
      </c>
      <c r="T1741" s="232" t="inlineStr">
        <is>
          <t>CLP</t>
        </is>
      </c>
      <c r="U1741" s="232" t="inlineStr">
        <is>
          <t>Prorrateo Ha BODEGA</t>
        </is>
      </c>
      <c r="V1741" s="232" t="inlineStr">
        <is>
          <t>2026-06-18</t>
        </is>
      </c>
    </row>
    <row r="1742">
      <c r="A1742" s="232" t="inlineStr">
        <is>
          <t>CR-1739</t>
        </is>
      </c>
      <c r="B1742" s="232" t="inlineStr">
        <is>
          <t>2026/27</t>
        </is>
      </c>
      <c r="C1742" s="233" t="n">
        <v>46053</v>
      </c>
      <c r="D1742" s="232" t="inlineStr">
        <is>
          <t>878197</t>
        </is>
      </c>
      <c r="E1742" s="232" t="inlineStr">
        <is>
          <t>PRORRATEO</t>
        </is>
      </c>
      <c r="F1742" s="232" t="inlineStr">
        <is>
          <t>Asmara</t>
        </is>
      </c>
      <c r="G1742" s="232" t="inlineStr">
        <is>
          <t>w. murcott 19,8 ha</t>
        </is>
      </c>
      <c r="H1742" s="232" t="inlineStr">
        <is>
          <t>Mandarina</t>
        </is>
      </c>
      <c r="I1742" s="232" t="inlineStr">
        <is>
          <t>W. murcott</t>
        </is>
      </c>
      <c r="J1742" s="232" t="inlineStr">
        <is>
          <t>MANT. Y REP. CONSTRUCCIONES</t>
        </is>
      </c>
      <c r="K1742" s="232" t="inlineStr">
        <is>
          <t>MANTENCION INFRAESTRUCTURA</t>
        </is>
      </c>
      <c r="L1742" s="232" t="inlineStr">
        <is>
          <t>[PRORRATEO 13.4% 19.8há/148.3há] O/001339 ANTIC TRIC</t>
        </is>
      </c>
      <c r="M1742" s="232" t="inlineStr"/>
      <c r="N1742" s="232" t="inlineStr">
        <is>
          <t>.   .   -</t>
        </is>
      </c>
      <c r="O1742" s="232" t="inlineStr">
        <is>
          <t>ENERO</t>
        </is>
      </c>
      <c r="P1742" s="232" t="n">
        <v>5</v>
      </c>
      <c r="Q1742" s="234" t="n">
        <v>2107</v>
      </c>
      <c r="R1742" s="232" t="inlineStr"/>
      <c r="S1742" s="234" t="n">
        <v>2107</v>
      </c>
      <c r="T1742" s="232" t="inlineStr">
        <is>
          <t>CLP</t>
        </is>
      </c>
      <c r="U1742" s="232" t="inlineStr">
        <is>
          <t>Prorrateo Ha BODEGA</t>
        </is>
      </c>
      <c r="V1742" s="232" t="inlineStr">
        <is>
          <t>2026-06-18</t>
        </is>
      </c>
    </row>
    <row r="1743">
      <c r="A1743" s="232" t="inlineStr">
        <is>
          <t>CR-1740</t>
        </is>
      </c>
      <c r="B1743" s="232" t="inlineStr">
        <is>
          <t>2026/27</t>
        </is>
      </c>
      <c r="C1743" s="233" t="n">
        <v>46053</v>
      </c>
      <c r="D1743" s="232" t="inlineStr">
        <is>
          <t>878197</t>
        </is>
      </c>
      <c r="E1743" s="232" t="inlineStr">
        <is>
          <t>PRORRATEO</t>
        </is>
      </c>
      <c r="F1743" s="232" t="inlineStr">
        <is>
          <t>Asmara</t>
        </is>
      </c>
      <c r="G1743" s="232" t="inlineStr">
        <is>
          <t>w. murcott 4,9 ha</t>
        </is>
      </c>
      <c r="H1743" s="232" t="inlineStr">
        <is>
          <t>Mandarina</t>
        </is>
      </c>
      <c r="I1743" s="232" t="inlineStr">
        <is>
          <t>W. murcott</t>
        </is>
      </c>
      <c r="J1743" s="232" t="inlineStr">
        <is>
          <t>MANT. Y REP. CONSTRUCCIONES</t>
        </is>
      </c>
      <c r="K1743" s="232" t="inlineStr">
        <is>
          <t>MANTENCION INFRAESTRUCTURA</t>
        </is>
      </c>
      <c r="L1743" s="232" t="inlineStr">
        <is>
          <t>[PRORRATEO 3.3% 4.9há/148.3há] O/001339 ANTIC TRIC</t>
        </is>
      </c>
      <c r="M1743" s="232" t="inlineStr"/>
      <c r="N1743" s="232" t="inlineStr">
        <is>
          <t>.   .   -</t>
        </is>
      </c>
      <c r="O1743" s="232" t="inlineStr">
        <is>
          <t>ENERO</t>
        </is>
      </c>
      <c r="P1743" s="232" t="n">
        <v>5</v>
      </c>
      <c r="Q1743" s="234" t="n">
        <v>521</v>
      </c>
      <c r="R1743" s="232" t="inlineStr"/>
      <c r="S1743" s="234" t="n">
        <v>521</v>
      </c>
      <c r="T1743" s="232" t="inlineStr">
        <is>
          <t>CLP</t>
        </is>
      </c>
      <c r="U1743" s="232" t="inlineStr">
        <is>
          <t>Prorrateo Ha BODEGA</t>
        </is>
      </c>
      <c r="V1743" s="232" t="inlineStr">
        <is>
          <t>2026-06-18</t>
        </is>
      </c>
    </row>
    <row r="1744">
      <c r="A1744" s="232" t="inlineStr">
        <is>
          <t>CR-1741</t>
        </is>
      </c>
      <c r="B1744" s="232" t="inlineStr">
        <is>
          <t>2026/27</t>
        </is>
      </c>
      <c r="C1744" s="233" t="n">
        <v>46053</v>
      </c>
      <c r="D1744" s="232" t="inlineStr">
        <is>
          <t>878197</t>
        </is>
      </c>
      <c r="E1744" s="232" t="inlineStr">
        <is>
          <t>PRORRATEO</t>
        </is>
      </c>
      <c r="F1744" s="232" t="inlineStr">
        <is>
          <t>El Molle</t>
        </is>
      </c>
      <c r="G1744" s="232" t="inlineStr">
        <is>
          <t>Wonderful 5,25 ha</t>
        </is>
      </c>
      <c r="H1744" s="232" t="inlineStr">
        <is>
          <t>Granados</t>
        </is>
      </c>
      <c r="I1744" s="232" t="inlineStr">
        <is>
          <t>Wonderfull</t>
        </is>
      </c>
      <c r="J1744" s="232" t="inlineStr">
        <is>
          <t>MANT. Y REP. CONSTRUCCIONES</t>
        </is>
      </c>
      <c r="K1744" s="232" t="inlineStr">
        <is>
          <t>MANTENCION INFRAESTRUCTURA</t>
        </is>
      </c>
      <c r="L1744" s="232" t="inlineStr">
        <is>
          <t>[PRORRATEO 3.5% 5.24há/148.3há] O/001339 ANTIC TRIC</t>
        </is>
      </c>
      <c r="M1744" s="232" t="inlineStr"/>
      <c r="N1744" s="232" t="inlineStr">
        <is>
          <t>.   .   -</t>
        </is>
      </c>
      <c r="O1744" s="232" t="inlineStr">
        <is>
          <t>ENERO</t>
        </is>
      </c>
      <c r="P1744" s="232" t="n">
        <v>5</v>
      </c>
      <c r="Q1744" s="234" t="n">
        <v>558</v>
      </c>
      <c r="R1744" s="232" t="inlineStr"/>
      <c r="S1744" s="234" t="n">
        <v>558</v>
      </c>
      <c r="T1744" s="232" t="inlineStr">
        <is>
          <t>CLP</t>
        </is>
      </c>
      <c r="U1744" s="232" t="inlineStr">
        <is>
          <t>Prorrateo Ha BODEGA</t>
        </is>
      </c>
      <c r="V1744" s="232" t="inlineStr">
        <is>
          <t>2026-06-18</t>
        </is>
      </c>
    </row>
    <row r="1745">
      <c r="A1745" s="232" t="inlineStr">
        <is>
          <t>CR-1742</t>
        </is>
      </c>
      <c r="B1745" s="232" t="inlineStr">
        <is>
          <t>2026/27</t>
        </is>
      </c>
      <c r="C1745" s="233" t="n">
        <v>46053</v>
      </c>
      <c r="D1745" s="232" t="inlineStr">
        <is>
          <t>878197</t>
        </is>
      </c>
      <c r="E1745" s="232" t="inlineStr">
        <is>
          <t>PRORRATEO</t>
        </is>
      </c>
      <c r="F1745" s="232" t="inlineStr">
        <is>
          <t>El Molle</t>
        </is>
      </c>
      <c r="G1745" s="232" t="inlineStr">
        <is>
          <t>arrufatinas 5,74 ha</t>
        </is>
      </c>
      <c r="H1745" s="232" t="inlineStr">
        <is>
          <t>Clementinas</t>
        </is>
      </c>
      <c r="I1745" s="232" t="inlineStr">
        <is>
          <t>Arrufatinas</t>
        </is>
      </c>
      <c r="J1745" s="232" t="inlineStr">
        <is>
          <t>MANT. Y REP. CONSTRUCCIONES</t>
        </is>
      </c>
      <c r="K1745" s="232" t="inlineStr">
        <is>
          <t>MANTENCION INFRAESTRUCTURA</t>
        </is>
      </c>
      <c r="L1745" s="232" t="inlineStr">
        <is>
          <t>[PRORRATEO 3.9% 5.74há/148.3há] O/001339 ANTIC TRIC</t>
        </is>
      </c>
      <c r="M1745" s="232" t="inlineStr"/>
      <c r="N1745" s="232" t="inlineStr">
        <is>
          <t>.   .   -</t>
        </is>
      </c>
      <c r="O1745" s="232" t="inlineStr">
        <is>
          <t>ENERO</t>
        </is>
      </c>
      <c r="P1745" s="232" t="n">
        <v>5</v>
      </c>
      <c r="Q1745" s="234" t="n">
        <v>611</v>
      </c>
      <c r="R1745" s="232" t="inlineStr"/>
      <c r="S1745" s="234" t="n">
        <v>611</v>
      </c>
      <c r="T1745" s="232" t="inlineStr">
        <is>
          <t>CLP</t>
        </is>
      </c>
      <c r="U1745" s="232" t="inlineStr">
        <is>
          <t>Prorrateo Ha BODEGA</t>
        </is>
      </c>
      <c r="V1745" s="232" t="inlineStr">
        <is>
          <t>2026-06-18</t>
        </is>
      </c>
    </row>
    <row r="1746">
      <c r="A1746" s="232" t="inlineStr">
        <is>
          <t>CR-1743</t>
        </is>
      </c>
      <c r="B1746" s="232" t="inlineStr">
        <is>
          <t>2026/27</t>
        </is>
      </c>
      <c r="C1746" s="233" t="n">
        <v>46053</v>
      </c>
      <c r="D1746" s="232" t="inlineStr">
        <is>
          <t>878197</t>
        </is>
      </c>
      <c r="E1746" s="232" t="inlineStr">
        <is>
          <t>PRORRATEO</t>
        </is>
      </c>
      <c r="F1746" s="232" t="inlineStr">
        <is>
          <t>El Molle</t>
        </is>
      </c>
      <c r="G1746" s="232" t="inlineStr">
        <is>
          <t>orogrande 8,11 ha</t>
        </is>
      </c>
      <c r="H1746" s="232" t="inlineStr">
        <is>
          <t>Clementinas</t>
        </is>
      </c>
      <c r="I1746" s="232" t="inlineStr">
        <is>
          <t>Orogrande</t>
        </is>
      </c>
      <c r="J1746" s="232" t="inlineStr">
        <is>
          <t>MANT. Y REP. CONSTRUCCIONES</t>
        </is>
      </c>
      <c r="K1746" s="232" t="inlineStr">
        <is>
          <t>MANTENCION INFRAESTRUCTURA</t>
        </is>
      </c>
      <c r="L1746" s="232" t="inlineStr">
        <is>
          <t>[PRORRATEO 5.5% 8.11há/148.3há] O/001339 ANTIC TRIC</t>
        </is>
      </c>
      <c r="M1746" s="232" t="inlineStr"/>
      <c r="N1746" s="232" t="inlineStr">
        <is>
          <t>.   .   -</t>
        </is>
      </c>
      <c r="O1746" s="232" t="inlineStr">
        <is>
          <t>ENERO</t>
        </is>
      </c>
      <c r="P1746" s="232" t="n">
        <v>5</v>
      </c>
      <c r="Q1746" s="234" t="n">
        <v>863</v>
      </c>
      <c r="R1746" s="232" t="inlineStr"/>
      <c r="S1746" s="234" t="n">
        <v>863</v>
      </c>
      <c r="T1746" s="232" t="inlineStr">
        <is>
          <t>CLP</t>
        </is>
      </c>
      <c r="U1746" s="232" t="inlineStr">
        <is>
          <t>Prorrateo Ha BODEGA</t>
        </is>
      </c>
      <c r="V1746" s="232" t="inlineStr">
        <is>
          <t>2026-06-18</t>
        </is>
      </c>
    </row>
    <row r="1747">
      <c r="A1747" s="232" t="inlineStr">
        <is>
          <t>CR-1744</t>
        </is>
      </c>
      <c r="B1747" s="232" t="inlineStr">
        <is>
          <t>2026/27</t>
        </is>
      </c>
      <c r="C1747" s="233" t="n">
        <v>46053</v>
      </c>
      <c r="D1747" s="232" t="inlineStr">
        <is>
          <t>878197</t>
        </is>
      </c>
      <c r="E1747" s="232" t="inlineStr">
        <is>
          <t>PRORRATEO</t>
        </is>
      </c>
      <c r="F1747" s="232" t="inlineStr">
        <is>
          <t>El Molle</t>
        </is>
      </c>
      <c r="G1747" s="232" t="inlineStr">
        <is>
          <t>oronules 5,35 ha</t>
        </is>
      </c>
      <c r="H1747" s="232" t="inlineStr">
        <is>
          <t>Clementinas</t>
        </is>
      </c>
      <c r="I1747" s="232" t="inlineStr">
        <is>
          <t>Oronules</t>
        </is>
      </c>
      <c r="J1747" s="232" t="inlineStr">
        <is>
          <t>MANT. Y REP. CONSTRUCCIONES</t>
        </is>
      </c>
      <c r="K1747" s="232" t="inlineStr">
        <is>
          <t>MANTENCION INFRAESTRUCTURA</t>
        </is>
      </c>
      <c r="L1747" s="232" t="inlineStr">
        <is>
          <t>[PRORRATEO 3.6% 5.35há/148.3há] O/001339 ANTIC TRIC</t>
        </is>
      </c>
      <c r="M1747" s="232" t="inlineStr"/>
      <c r="N1747" s="232" t="inlineStr">
        <is>
          <t>.   .   -</t>
        </is>
      </c>
      <c r="O1747" s="232" t="inlineStr">
        <is>
          <t>ENERO</t>
        </is>
      </c>
      <c r="P1747" s="232" t="n">
        <v>5</v>
      </c>
      <c r="Q1747" s="234" t="n">
        <v>569</v>
      </c>
      <c r="R1747" s="232" t="inlineStr"/>
      <c r="S1747" s="234" t="n">
        <v>569</v>
      </c>
      <c r="T1747" s="232" t="inlineStr">
        <is>
          <t>CLP</t>
        </is>
      </c>
      <c r="U1747" s="232" t="inlineStr">
        <is>
          <t>Prorrateo Ha BODEGA</t>
        </is>
      </c>
      <c r="V1747" s="232" t="inlineStr">
        <is>
          <t>2026-06-18</t>
        </is>
      </c>
    </row>
    <row r="1748">
      <c r="A1748" s="232" t="inlineStr">
        <is>
          <t>CR-1745</t>
        </is>
      </c>
      <c r="B1748" s="232" t="inlineStr">
        <is>
          <t>2026/27</t>
        </is>
      </c>
      <c r="C1748" s="233" t="n">
        <v>46053</v>
      </c>
      <c r="D1748" s="232" t="inlineStr">
        <is>
          <t>878197</t>
        </is>
      </c>
      <c r="E1748" s="232" t="inlineStr">
        <is>
          <t>PRORRATEO</t>
        </is>
      </c>
      <c r="F1748" s="232" t="inlineStr">
        <is>
          <t>Santa Catalina</t>
        </is>
      </c>
      <c r="G1748" s="232" t="inlineStr">
        <is>
          <t>Fino 49 7,7 ha</t>
        </is>
      </c>
      <c r="H1748" s="232" t="inlineStr">
        <is>
          <t>Limon</t>
        </is>
      </c>
      <c r="I1748" s="232" t="inlineStr">
        <is>
          <t>Fino 49</t>
        </is>
      </c>
      <c r="J1748" s="232" t="inlineStr">
        <is>
          <t>MANT. Y REP. CONSTRUCCIONES</t>
        </is>
      </c>
      <c r="K1748" s="232" t="inlineStr">
        <is>
          <t>MANTENCION INFRAESTRUCTURA</t>
        </is>
      </c>
      <c r="L1748" s="232" t="inlineStr">
        <is>
          <t>[PRORRATEO 5.2% 7.7há/148.3há] O/001339 ANTIC TRIC</t>
        </is>
      </c>
      <c r="M1748" s="232" t="inlineStr"/>
      <c r="N1748" s="232" t="inlineStr">
        <is>
          <t>.   .   -</t>
        </is>
      </c>
      <c r="O1748" s="232" t="inlineStr">
        <is>
          <t>ENERO</t>
        </is>
      </c>
      <c r="P1748" s="232" t="n">
        <v>5</v>
      </c>
      <c r="Q1748" s="234" t="n">
        <v>819</v>
      </c>
      <c r="R1748" s="232" t="inlineStr"/>
      <c r="S1748" s="234" t="n">
        <v>819</v>
      </c>
      <c r="T1748" s="232" t="inlineStr">
        <is>
          <t>CLP</t>
        </is>
      </c>
      <c r="U1748" s="232" t="inlineStr">
        <is>
          <t>Prorrateo Ha BODEGA</t>
        </is>
      </c>
      <c r="V1748" s="232" t="inlineStr">
        <is>
          <t>2026-06-18</t>
        </is>
      </c>
    </row>
    <row r="1749">
      <c r="A1749" s="232" t="inlineStr">
        <is>
          <t>CR-1746</t>
        </is>
      </c>
      <c r="B1749" s="232" t="inlineStr">
        <is>
          <t>2026/27</t>
        </is>
      </c>
      <c r="C1749" s="233" t="n">
        <v>46053</v>
      </c>
      <c r="D1749" s="232" t="inlineStr">
        <is>
          <t>878197</t>
        </is>
      </c>
      <c r="E1749" s="232" t="inlineStr">
        <is>
          <t>PRORRATEO</t>
        </is>
      </c>
      <c r="F1749" s="232" t="inlineStr">
        <is>
          <t>Santa Catalina</t>
        </is>
      </c>
      <c r="G1749" s="232" t="inlineStr">
        <is>
          <t>W. murcott 21 ha</t>
        </is>
      </c>
      <c r="H1749" s="232" t="inlineStr">
        <is>
          <t>Mandarina</t>
        </is>
      </c>
      <c r="I1749" s="232" t="inlineStr">
        <is>
          <t>W. murcott</t>
        </is>
      </c>
      <c r="J1749" s="232" t="inlineStr">
        <is>
          <t>MANT. Y REP. CONSTRUCCIONES</t>
        </is>
      </c>
      <c r="K1749" s="232" t="inlineStr">
        <is>
          <t>MANTENCION INFRAESTRUCTURA</t>
        </is>
      </c>
      <c r="L1749" s="232" t="inlineStr">
        <is>
          <t>[PRORRATEO 14.2% 21.0há/148.3há] O/001339 ANTIC TRIC</t>
        </is>
      </c>
      <c r="M1749" s="232" t="inlineStr"/>
      <c r="N1749" s="232" t="inlineStr">
        <is>
          <t>.   .   -</t>
        </is>
      </c>
      <c r="O1749" s="232" t="inlineStr">
        <is>
          <t>ENERO</t>
        </is>
      </c>
      <c r="P1749" s="232" t="n">
        <v>5</v>
      </c>
      <c r="Q1749" s="234" t="n">
        <v>2235</v>
      </c>
      <c r="R1749" s="232" t="inlineStr"/>
      <c r="S1749" s="234" t="n">
        <v>2235</v>
      </c>
      <c r="T1749" s="232" t="inlineStr">
        <is>
          <t>CLP</t>
        </is>
      </c>
      <c r="U1749" s="232" t="inlineStr">
        <is>
          <t>Prorrateo Ha BODEGA</t>
        </is>
      </c>
      <c r="V1749" s="232" t="inlineStr">
        <is>
          <t>2026-06-18</t>
        </is>
      </c>
    </row>
    <row r="1750">
      <c r="A1750" s="232" t="inlineStr">
        <is>
          <t>CR-1747</t>
        </is>
      </c>
      <c r="B1750" s="232" t="inlineStr">
        <is>
          <t>2026/27</t>
        </is>
      </c>
      <c r="C1750" s="233" t="n">
        <v>46053</v>
      </c>
      <c r="D1750" s="232" t="inlineStr">
        <is>
          <t>878197</t>
        </is>
      </c>
      <c r="E1750" s="232" t="inlineStr">
        <is>
          <t>PRORRATEO</t>
        </is>
      </c>
      <c r="F1750" s="232" t="inlineStr">
        <is>
          <t>Santa Catalina</t>
        </is>
      </c>
      <c r="G1750" s="232" t="inlineStr">
        <is>
          <t>cambria 4,2 ha</t>
        </is>
      </c>
      <c r="H1750" s="232" t="inlineStr">
        <is>
          <t>Naranjas</t>
        </is>
      </c>
      <c r="I1750" s="232" t="inlineStr">
        <is>
          <t>Cambria</t>
        </is>
      </c>
      <c r="J1750" s="232" t="inlineStr">
        <is>
          <t>MANT. Y REP. CONSTRUCCIONES</t>
        </is>
      </c>
      <c r="K1750" s="232" t="inlineStr">
        <is>
          <t>MANTENCION INFRAESTRUCTURA</t>
        </is>
      </c>
      <c r="L1750" s="232" t="inlineStr">
        <is>
          <t>[PRORRATEO 2.8% 4.2há/148.3há] O/001339 ANTIC TRIC</t>
        </is>
      </c>
      <c r="M1750" s="232" t="inlineStr"/>
      <c r="N1750" s="232" t="inlineStr">
        <is>
          <t>.   .   -</t>
        </is>
      </c>
      <c r="O1750" s="232" t="inlineStr">
        <is>
          <t>ENERO</t>
        </is>
      </c>
      <c r="P1750" s="232" t="n">
        <v>5</v>
      </c>
      <c r="Q1750" s="234" t="n">
        <v>447</v>
      </c>
      <c r="R1750" s="232" t="inlineStr"/>
      <c r="S1750" s="234" t="n">
        <v>447</v>
      </c>
      <c r="T1750" s="232" t="inlineStr">
        <is>
          <t>CLP</t>
        </is>
      </c>
      <c r="U1750" s="232" t="inlineStr">
        <is>
          <t>Prorrateo Ha BODEGA</t>
        </is>
      </c>
      <c r="V1750" s="232" t="inlineStr">
        <is>
          <t>2026-06-18</t>
        </is>
      </c>
    </row>
    <row r="1751">
      <c r="A1751" s="232" t="inlineStr">
        <is>
          <t>CR-1748</t>
        </is>
      </c>
      <c r="B1751" s="232" t="inlineStr">
        <is>
          <t>2026/27</t>
        </is>
      </c>
      <c r="C1751" s="233" t="n">
        <v>46053</v>
      </c>
      <c r="D1751" s="232" t="inlineStr">
        <is>
          <t>878197</t>
        </is>
      </c>
      <c r="E1751" s="232" t="inlineStr">
        <is>
          <t>PRORRATEO</t>
        </is>
      </c>
      <c r="F1751" s="232" t="inlineStr">
        <is>
          <t>Santa Catalina</t>
        </is>
      </c>
      <c r="G1751" s="232" t="inlineStr">
        <is>
          <t>eureka 10,6 ha</t>
        </is>
      </c>
      <c r="H1751" s="232" t="inlineStr">
        <is>
          <t>Limon</t>
        </is>
      </c>
      <c r="I1751" s="232" t="inlineStr">
        <is>
          <t>Eureka</t>
        </is>
      </c>
      <c r="J1751" s="232" t="inlineStr">
        <is>
          <t>MANT. Y REP. CONSTRUCCIONES</t>
        </is>
      </c>
      <c r="K1751" s="232" t="inlineStr">
        <is>
          <t>MANTENCION INFRAESTRUCTURA</t>
        </is>
      </c>
      <c r="L1751" s="232" t="inlineStr">
        <is>
          <t>[PRORRATEO 7.1% 10.6há/148.3há] O/001339 ANTIC TRIC</t>
        </is>
      </c>
      <c r="M1751" s="232" t="inlineStr"/>
      <c r="N1751" s="232" t="inlineStr">
        <is>
          <t>.   .   -</t>
        </is>
      </c>
      <c r="O1751" s="232" t="inlineStr">
        <is>
          <t>ENERO</t>
        </is>
      </c>
      <c r="P1751" s="232" t="n">
        <v>5</v>
      </c>
      <c r="Q1751" s="234" t="n">
        <v>1128</v>
      </c>
      <c r="R1751" s="232" t="inlineStr"/>
      <c r="S1751" s="234" t="n">
        <v>1128</v>
      </c>
      <c r="T1751" s="232" t="inlineStr">
        <is>
          <t>CLP</t>
        </is>
      </c>
      <c r="U1751" s="232" t="inlineStr">
        <is>
          <t>Prorrateo Ha BODEGA</t>
        </is>
      </c>
      <c r="V1751" s="232" t="inlineStr">
        <is>
          <t>2026-06-18</t>
        </is>
      </c>
    </row>
    <row r="1752">
      <c r="A1752" s="232" t="inlineStr">
        <is>
          <t>CR-1749</t>
        </is>
      </c>
      <c r="B1752" s="232" t="inlineStr">
        <is>
          <t>2026/27</t>
        </is>
      </c>
      <c r="C1752" s="233" t="n">
        <v>46053</v>
      </c>
      <c r="D1752" s="232" t="inlineStr">
        <is>
          <t>878197</t>
        </is>
      </c>
      <c r="E1752" s="232" t="inlineStr">
        <is>
          <t>PRORRATEO</t>
        </is>
      </c>
      <c r="F1752" s="232" t="inlineStr">
        <is>
          <t>Santa Catalina</t>
        </is>
      </c>
      <c r="G1752" s="232" t="inlineStr">
        <is>
          <t>eureka 14,4 ha</t>
        </is>
      </c>
      <c r="H1752" s="232" t="inlineStr">
        <is>
          <t>Limon</t>
        </is>
      </c>
      <c r="I1752" s="232" t="inlineStr">
        <is>
          <t>Eureka</t>
        </is>
      </c>
      <c r="J1752" s="232" t="inlineStr">
        <is>
          <t>MANT. Y REP. CONSTRUCCIONES</t>
        </is>
      </c>
      <c r="K1752" s="232" t="inlineStr">
        <is>
          <t>MANTENCION INFRAESTRUCTURA</t>
        </is>
      </c>
      <c r="L1752" s="232" t="inlineStr">
        <is>
          <t>[PRORRATEO 9.7% 14.4há/148.3há] O/001339 ANTIC TRIC</t>
        </is>
      </c>
      <c r="M1752" s="232" t="inlineStr"/>
      <c r="N1752" s="232" t="inlineStr">
        <is>
          <t>.   .   -</t>
        </is>
      </c>
      <c r="O1752" s="232" t="inlineStr">
        <is>
          <t>ENERO</t>
        </is>
      </c>
      <c r="P1752" s="232" t="n">
        <v>5</v>
      </c>
      <c r="Q1752" s="234" t="n">
        <v>1532</v>
      </c>
      <c r="R1752" s="232" t="inlineStr"/>
      <c r="S1752" s="234" t="n">
        <v>1532</v>
      </c>
      <c r="T1752" s="232" t="inlineStr">
        <is>
          <t>CLP</t>
        </is>
      </c>
      <c r="U1752" s="232" t="inlineStr">
        <is>
          <t>Prorrateo Ha BODEGA</t>
        </is>
      </c>
      <c r="V1752" s="232" t="inlineStr">
        <is>
          <t>2026-06-18</t>
        </is>
      </c>
    </row>
    <row r="1753">
      <c r="A1753" s="232" t="inlineStr">
        <is>
          <t>CR-1750</t>
        </is>
      </c>
      <c r="B1753" s="232" t="inlineStr">
        <is>
          <t>2026/27</t>
        </is>
      </c>
      <c r="C1753" s="233" t="n">
        <v>46053</v>
      </c>
      <c r="D1753" s="232" t="inlineStr">
        <is>
          <t>878197</t>
        </is>
      </c>
      <c r="E1753" s="232" t="inlineStr">
        <is>
          <t>PRORRATEO</t>
        </is>
      </c>
      <c r="F1753" s="232" t="inlineStr">
        <is>
          <t>Santa Catalina</t>
        </is>
      </c>
      <c r="G1753" s="232" t="inlineStr">
        <is>
          <t>eureka 22,55</t>
        </is>
      </c>
      <c r="H1753" s="232" t="inlineStr">
        <is>
          <t>Limon</t>
        </is>
      </c>
      <c r="I1753" s="232" t="inlineStr">
        <is>
          <t>Eureka</t>
        </is>
      </c>
      <c r="J1753" s="232" t="inlineStr">
        <is>
          <t>MANT. Y REP. CONSTRUCCIONES</t>
        </is>
      </c>
      <c r="K1753" s="232" t="inlineStr">
        <is>
          <t>MANTENCION INFRAESTRUCTURA</t>
        </is>
      </c>
      <c r="L1753" s="232" t="inlineStr">
        <is>
          <t>[PRORRATEO 15.2% 22.55há/148.3há] O/001339 ANTIC TRIC</t>
        </is>
      </c>
      <c r="M1753" s="232" t="inlineStr"/>
      <c r="N1753" s="232" t="inlineStr">
        <is>
          <t>.   .   -</t>
        </is>
      </c>
      <c r="O1753" s="232" t="inlineStr">
        <is>
          <t>ENERO</t>
        </is>
      </c>
      <c r="P1753" s="232" t="n">
        <v>5</v>
      </c>
      <c r="Q1753" s="234" t="n">
        <v>2400</v>
      </c>
      <c r="R1753" s="232" t="inlineStr"/>
      <c r="S1753" s="234" t="n">
        <v>2400</v>
      </c>
      <c r="T1753" s="232" t="inlineStr">
        <is>
          <t>CLP</t>
        </is>
      </c>
      <c r="U1753" s="232" t="inlineStr">
        <is>
          <t>Prorrateo Ha BODEGA</t>
        </is>
      </c>
      <c r="V1753" s="232" t="inlineStr">
        <is>
          <t>2026-06-18</t>
        </is>
      </c>
    </row>
    <row r="1754">
      <c r="A1754" s="232" t="inlineStr">
        <is>
          <t>CR-1751</t>
        </is>
      </c>
      <c r="B1754" s="232" t="inlineStr">
        <is>
          <t>2026/27</t>
        </is>
      </c>
      <c r="C1754" s="233" t="n">
        <v>46053</v>
      </c>
      <c r="D1754" s="232" t="inlineStr">
        <is>
          <t>878197</t>
        </is>
      </c>
      <c r="E1754" s="232" t="inlineStr">
        <is>
          <t>PRORRATEO</t>
        </is>
      </c>
      <c r="F1754" s="232" t="inlineStr">
        <is>
          <t>Santa Catalina</t>
        </is>
      </c>
      <c r="G1754" s="232" t="inlineStr">
        <is>
          <t>form benjamin 1,93 ha</t>
        </is>
      </c>
      <c r="H1754" s="232" t="inlineStr">
        <is>
          <t>Limon</t>
        </is>
      </c>
      <c r="I1754" s="232" t="inlineStr">
        <is>
          <t>Benjamin andes</t>
        </is>
      </c>
      <c r="J1754" s="232" t="inlineStr">
        <is>
          <t>MANT. Y REP. CONSTRUCCIONES</t>
        </is>
      </c>
      <c r="K1754" s="232" t="inlineStr">
        <is>
          <t>MANTENCION INFRAESTRUCTURA</t>
        </is>
      </c>
      <c r="L1754" s="232" t="inlineStr">
        <is>
          <t>[PRORRATEO 1.3% 1.93há/148.3há] O/001339 ANTIC TRIC</t>
        </is>
      </c>
      <c r="M1754" s="232" t="inlineStr"/>
      <c r="N1754" s="232" t="inlineStr">
        <is>
          <t>.   .   -</t>
        </is>
      </c>
      <c r="O1754" s="232" t="inlineStr">
        <is>
          <t>ENERO</t>
        </is>
      </c>
      <c r="P1754" s="232" t="n">
        <v>5</v>
      </c>
      <c r="Q1754" s="234" t="n">
        <v>205</v>
      </c>
      <c r="R1754" s="232" t="inlineStr"/>
      <c r="S1754" s="234" t="n">
        <v>205</v>
      </c>
      <c r="T1754" s="232" t="inlineStr">
        <is>
          <t>CLP</t>
        </is>
      </c>
      <c r="U1754" s="232" t="inlineStr">
        <is>
          <t>Prorrateo Ha BODEGA</t>
        </is>
      </c>
      <c r="V1754" s="232" t="inlineStr">
        <is>
          <t>2026-06-18</t>
        </is>
      </c>
    </row>
    <row r="1755">
      <c r="A1755" s="232" t="inlineStr">
        <is>
          <t>CR-1752</t>
        </is>
      </c>
      <c r="B1755" s="232" t="inlineStr">
        <is>
          <t>2026/27</t>
        </is>
      </c>
      <c r="C1755" s="233" t="n">
        <v>46053</v>
      </c>
      <c r="D1755" s="232" t="inlineStr">
        <is>
          <t>878197</t>
        </is>
      </c>
      <c r="E1755" s="232" t="inlineStr">
        <is>
          <t>PRORRATEO</t>
        </is>
      </c>
      <c r="F1755" s="232" t="inlineStr">
        <is>
          <t>Santa Catalina</t>
        </is>
      </c>
      <c r="G1755" s="232" t="inlineStr">
        <is>
          <t>mant eureka 2,5 ha</t>
        </is>
      </c>
      <c r="H1755" s="232" t="inlineStr">
        <is>
          <t>Limon</t>
        </is>
      </c>
      <c r="I1755" s="232" t="inlineStr">
        <is>
          <t>Eureka</t>
        </is>
      </c>
      <c r="J1755" s="232" t="inlineStr">
        <is>
          <t>MANT. Y REP. CONSTRUCCIONES</t>
        </is>
      </c>
      <c r="K1755" s="232" t="inlineStr">
        <is>
          <t>MANTENCION INFRAESTRUCTURA</t>
        </is>
      </c>
      <c r="L1755" s="232" t="inlineStr">
        <is>
          <t>[PRORRATEO 1.7% 2.5há/148.3há] O/001339 ANTIC TRIC</t>
        </is>
      </c>
      <c r="M1755" s="232" t="inlineStr"/>
      <c r="N1755" s="232" t="inlineStr">
        <is>
          <t>.   .   -</t>
        </is>
      </c>
      <c r="O1755" s="232" t="inlineStr">
        <is>
          <t>ENERO</t>
        </is>
      </c>
      <c r="P1755" s="232" t="n">
        <v>5</v>
      </c>
      <c r="Q1755" s="234" t="n">
        <v>266</v>
      </c>
      <c r="R1755" s="232" t="inlineStr"/>
      <c r="S1755" s="234" t="n">
        <v>266</v>
      </c>
      <c r="T1755" s="232" t="inlineStr">
        <is>
          <t>CLP</t>
        </is>
      </c>
      <c r="U1755" s="232" t="inlineStr">
        <is>
          <t>Prorrateo Ha BODEGA</t>
        </is>
      </c>
      <c r="V1755" s="232" t="inlineStr">
        <is>
          <t>2026-06-18</t>
        </is>
      </c>
    </row>
    <row r="1756">
      <c r="A1756" s="232" t="inlineStr">
        <is>
          <t>CR-1753</t>
        </is>
      </c>
      <c r="B1756" s="232" t="inlineStr">
        <is>
          <t>2026/27</t>
        </is>
      </c>
      <c r="C1756" s="233" t="n">
        <v>46053</v>
      </c>
      <c r="D1756" s="232" t="inlineStr">
        <is>
          <t>878197</t>
        </is>
      </c>
      <c r="E1756" s="232" t="inlineStr">
        <is>
          <t>PRORRATEO</t>
        </is>
      </c>
      <c r="F1756" s="232" t="inlineStr">
        <is>
          <t>Siberia</t>
        </is>
      </c>
      <c r="G1756" s="232" t="inlineStr">
        <is>
          <t>S. Celebration 7,14</t>
        </is>
      </c>
      <c r="H1756" s="232" t="inlineStr">
        <is>
          <t>Uvas</t>
        </is>
      </c>
      <c r="I1756" s="232" t="inlineStr">
        <is>
          <t>S. celebration</t>
        </is>
      </c>
      <c r="J1756" s="232" t="inlineStr">
        <is>
          <t>MANT. Y REP. CONSTRUCCIONES</t>
        </is>
      </c>
      <c r="K1756" s="232" t="inlineStr">
        <is>
          <t>MANTENCION INFRAESTRUCTURA</t>
        </is>
      </c>
      <c r="L1756" s="232" t="inlineStr">
        <is>
          <t>[PRORRATEO 4.8% 7.14há/148.3há] O/001339 ANTIC TRIC</t>
        </is>
      </c>
      <c r="M1756" s="232" t="inlineStr"/>
      <c r="N1756" s="232" t="inlineStr">
        <is>
          <t>.   .   -</t>
        </is>
      </c>
      <c r="O1756" s="232" t="inlineStr">
        <is>
          <t>ENERO</t>
        </is>
      </c>
      <c r="P1756" s="232" t="n">
        <v>5</v>
      </c>
      <c r="Q1756" s="234" t="n">
        <v>760</v>
      </c>
      <c r="R1756" s="232" t="inlineStr"/>
      <c r="S1756" s="234" t="n">
        <v>760</v>
      </c>
      <c r="T1756" s="232" t="inlineStr">
        <is>
          <t>CLP</t>
        </is>
      </c>
      <c r="U1756" s="232" t="inlineStr">
        <is>
          <t>Prorrateo Ha BODEGA</t>
        </is>
      </c>
      <c r="V1756" s="232" t="inlineStr">
        <is>
          <t>2026-06-18</t>
        </is>
      </c>
    </row>
    <row r="1757">
      <c r="A1757" s="232" t="inlineStr">
        <is>
          <t>CR-1754</t>
        </is>
      </c>
      <c r="B1757" s="232" t="inlineStr">
        <is>
          <t>2026/27</t>
        </is>
      </c>
      <c r="C1757" s="233" t="n">
        <v>46053</v>
      </c>
      <c r="D1757" s="232" t="inlineStr">
        <is>
          <t>878197</t>
        </is>
      </c>
      <c r="E1757" s="232" t="inlineStr">
        <is>
          <t>PRORRATEO</t>
        </is>
      </c>
      <c r="F1757" s="232" t="inlineStr">
        <is>
          <t>Siberia</t>
        </is>
      </c>
      <c r="G1757" s="232" t="inlineStr">
        <is>
          <t>Timpson 7,1</t>
        </is>
      </c>
      <c r="H1757" s="232" t="inlineStr">
        <is>
          <t>Uvas</t>
        </is>
      </c>
      <c r="I1757" s="232" t="inlineStr">
        <is>
          <t>Timpson</t>
        </is>
      </c>
      <c r="J1757" s="232" t="inlineStr">
        <is>
          <t>MANT. Y REP. CONSTRUCCIONES</t>
        </is>
      </c>
      <c r="K1757" s="232" t="inlineStr">
        <is>
          <t>MANTENCION INFRAESTRUCTURA</t>
        </is>
      </c>
      <c r="L1757" s="232" t="inlineStr">
        <is>
          <t>[PRORRATEO 4.8% 7.1há/148.3há] O/001339 ANTIC TRIC</t>
        </is>
      </c>
      <c r="M1757" s="232" t="inlineStr"/>
      <c r="N1757" s="232" t="inlineStr">
        <is>
          <t>.   .   -</t>
        </is>
      </c>
      <c r="O1757" s="232" t="inlineStr">
        <is>
          <t>ENERO</t>
        </is>
      </c>
      <c r="P1757" s="232" t="n">
        <v>5</v>
      </c>
      <c r="Q1757" s="234" t="n">
        <v>756</v>
      </c>
      <c r="R1757" s="232" t="inlineStr"/>
      <c r="S1757" s="234" t="n">
        <v>756</v>
      </c>
      <c r="T1757" s="232" t="inlineStr">
        <is>
          <t>CLP</t>
        </is>
      </c>
      <c r="U1757" s="232" t="inlineStr">
        <is>
          <t>Prorrateo Ha BODEGA</t>
        </is>
      </c>
      <c r="V1757" s="232" t="inlineStr">
        <is>
          <t>2026-06-18</t>
        </is>
      </c>
    </row>
    <row r="1758">
      <c r="A1758" s="232" t="inlineStr">
        <is>
          <t>CR-1755</t>
        </is>
      </c>
      <c r="B1758" s="232" t="inlineStr">
        <is>
          <t>2026/27</t>
        </is>
      </c>
      <c r="C1758" s="233" t="n">
        <v>46053</v>
      </c>
      <c r="D1758" s="232" t="inlineStr">
        <is>
          <t>878197</t>
        </is>
      </c>
      <c r="E1758" s="232" t="inlineStr">
        <is>
          <t>PRORRATEO</t>
        </is>
      </c>
      <c r="F1758" s="232" t="inlineStr">
        <is>
          <t>Asmara</t>
        </is>
      </c>
      <c r="G1758" s="232" t="inlineStr">
        <is>
          <t>w. murcott 19,8 ha</t>
        </is>
      </c>
      <c r="H1758" s="232" t="inlineStr">
        <is>
          <t>Mandarina</t>
        </is>
      </c>
      <c r="I1758" s="232" t="inlineStr">
        <is>
          <t>W. murcott</t>
        </is>
      </c>
      <c r="J1758" s="232" t="inlineStr">
        <is>
          <t>MANT. Y REP. CONSTRUCCIONES</t>
        </is>
      </c>
      <c r="K1758" s="232" t="inlineStr">
        <is>
          <t>MANTENCION INFRAESTRUCTURA</t>
        </is>
      </c>
      <c r="L1758" s="232" t="inlineStr">
        <is>
          <t>[PRORRATEO 13.4% 19.8há/148.3há] O/001339 BROCHA CON</t>
        </is>
      </c>
      <c r="M1758" s="232" t="inlineStr"/>
      <c r="N1758" s="232" t="inlineStr">
        <is>
          <t>.   .   -</t>
        </is>
      </c>
      <c r="O1758" s="232" t="inlineStr">
        <is>
          <t>ENERO</t>
        </is>
      </c>
      <c r="P1758" s="232" t="n">
        <v>5</v>
      </c>
      <c r="Q1758" s="234" t="n">
        <v>351</v>
      </c>
      <c r="R1758" s="232" t="inlineStr"/>
      <c r="S1758" s="234" t="n">
        <v>351</v>
      </c>
      <c r="T1758" s="232" t="inlineStr">
        <is>
          <t>CLP</t>
        </is>
      </c>
      <c r="U1758" s="232" t="inlineStr">
        <is>
          <t>Prorrateo Ha BODEGA</t>
        </is>
      </c>
      <c r="V1758" s="232" t="inlineStr">
        <is>
          <t>2026-06-18</t>
        </is>
      </c>
    </row>
    <row r="1759">
      <c r="A1759" s="232" t="inlineStr">
        <is>
          <t>CR-1756</t>
        </is>
      </c>
      <c r="B1759" s="232" t="inlineStr">
        <is>
          <t>2026/27</t>
        </is>
      </c>
      <c r="C1759" s="233" t="n">
        <v>46053</v>
      </c>
      <c r="D1759" s="232" t="inlineStr">
        <is>
          <t>878197</t>
        </is>
      </c>
      <c r="E1759" s="232" t="inlineStr">
        <is>
          <t>PRORRATEO</t>
        </is>
      </c>
      <c r="F1759" s="232" t="inlineStr">
        <is>
          <t>Asmara</t>
        </is>
      </c>
      <c r="G1759" s="232" t="inlineStr">
        <is>
          <t>w. murcott 4,9 ha</t>
        </is>
      </c>
      <c r="H1759" s="232" t="inlineStr">
        <is>
          <t>Mandarina</t>
        </is>
      </c>
      <c r="I1759" s="232" t="inlineStr">
        <is>
          <t>W. murcott</t>
        </is>
      </c>
      <c r="J1759" s="232" t="inlineStr">
        <is>
          <t>MANT. Y REP. CONSTRUCCIONES</t>
        </is>
      </c>
      <c r="K1759" s="232" t="inlineStr">
        <is>
          <t>MANTENCION INFRAESTRUCTURA</t>
        </is>
      </c>
      <c r="L1759" s="232" t="inlineStr">
        <is>
          <t>[PRORRATEO 3.3% 4.9há/148.3há] O/001339 BROCHA CON</t>
        </is>
      </c>
      <c r="M1759" s="232" t="inlineStr"/>
      <c r="N1759" s="232" t="inlineStr">
        <is>
          <t>.   .   -</t>
        </is>
      </c>
      <c r="O1759" s="232" t="inlineStr">
        <is>
          <t>ENERO</t>
        </is>
      </c>
      <c r="P1759" s="232" t="n">
        <v>5</v>
      </c>
      <c r="Q1759" s="234" t="n">
        <v>87</v>
      </c>
      <c r="R1759" s="232" t="inlineStr"/>
      <c r="S1759" s="234" t="n">
        <v>87</v>
      </c>
      <c r="T1759" s="232" t="inlineStr">
        <is>
          <t>CLP</t>
        </is>
      </c>
      <c r="U1759" s="232" t="inlineStr">
        <is>
          <t>Prorrateo Ha BODEGA</t>
        </is>
      </c>
      <c r="V1759" s="232" t="inlineStr">
        <is>
          <t>2026-06-18</t>
        </is>
      </c>
    </row>
    <row r="1760">
      <c r="A1760" s="232" t="inlineStr">
        <is>
          <t>CR-1757</t>
        </is>
      </c>
      <c r="B1760" s="232" t="inlineStr">
        <is>
          <t>2026/27</t>
        </is>
      </c>
      <c r="C1760" s="233" t="n">
        <v>46053</v>
      </c>
      <c r="D1760" s="232" t="inlineStr">
        <is>
          <t>878197</t>
        </is>
      </c>
      <c r="E1760" s="232" t="inlineStr">
        <is>
          <t>PRORRATEO</t>
        </is>
      </c>
      <c r="F1760" s="232" t="inlineStr">
        <is>
          <t>El Molle</t>
        </is>
      </c>
      <c r="G1760" s="232" t="inlineStr">
        <is>
          <t>Wonderful 5,25 ha</t>
        </is>
      </c>
      <c r="H1760" s="232" t="inlineStr">
        <is>
          <t>Granados</t>
        </is>
      </c>
      <c r="I1760" s="232" t="inlineStr">
        <is>
          <t>Wonderfull</t>
        </is>
      </c>
      <c r="J1760" s="232" t="inlineStr">
        <is>
          <t>MANT. Y REP. CONSTRUCCIONES</t>
        </is>
      </c>
      <c r="K1760" s="232" t="inlineStr">
        <is>
          <t>MANTENCION INFRAESTRUCTURA</t>
        </is>
      </c>
      <c r="L1760" s="232" t="inlineStr">
        <is>
          <t>[PRORRATEO 3.5% 5.24há/148.3há] O/001339 BROCHA CON</t>
        </is>
      </c>
      <c r="M1760" s="232" t="inlineStr"/>
      <c r="N1760" s="232" t="inlineStr">
        <is>
          <t>.   .   -</t>
        </is>
      </c>
      <c r="O1760" s="232" t="inlineStr">
        <is>
          <t>ENERO</t>
        </is>
      </c>
      <c r="P1760" s="232" t="n">
        <v>5</v>
      </c>
      <c r="Q1760" s="234" t="n">
        <v>93</v>
      </c>
      <c r="R1760" s="232" t="inlineStr"/>
      <c r="S1760" s="234" t="n">
        <v>93</v>
      </c>
      <c r="T1760" s="232" t="inlineStr">
        <is>
          <t>CLP</t>
        </is>
      </c>
      <c r="U1760" s="232" t="inlineStr">
        <is>
          <t>Prorrateo Ha BODEGA</t>
        </is>
      </c>
      <c r="V1760" s="232" t="inlineStr">
        <is>
          <t>2026-06-18</t>
        </is>
      </c>
    </row>
    <row r="1761">
      <c r="A1761" s="232" t="inlineStr">
        <is>
          <t>CR-1758</t>
        </is>
      </c>
      <c r="B1761" s="232" t="inlineStr">
        <is>
          <t>2026/27</t>
        </is>
      </c>
      <c r="C1761" s="233" t="n">
        <v>46053</v>
      </c>
      <c r="D1761" s="232" t="inlineStr">
        <is>
          <t>878197</t>
        </is>
      </c>
      <c r="E1761" s="232" t="inlineStr">
        <is>
          <t>PRORRATEO</t>
        </is>
      </c>
      <c r="F1761" s="232" t="inlineStr">
        <is>
          <t>El Molle</t>
        </is>
      </c>
      <c r="G1761" s="232" t="inlineStr">
        <is>
          <t>arrufatinas 5,74 ha</t>
        </is>
      </c>
      <c r="H1761" s="232" t="inlineStr">
        <is>
          <t>Clementinas</t>
        </is>
      </c>
      <c r="I1761" s="232" t="inlineStr">
        <is>
          <t>Arrufatinas</t>
        </is>
      </c>
      <c r="J1761" s="232" t="inlineStr">
        <is>
          <t>MANT. Y REP. CONSTRUCCIONES</t>
        </is>
      </c>
      <c r="K1761" s="232" t="inlineStr">
        <is>
          <t>MANTENCION INFRAESTRUCTURA</t>
        </is>
      </c>
      <c r="L1761" s="232" t="inlineStr">
        <is>
          <t>[PRORRATEO 3.9% 5.74há/148.3há] O/001339 BROCHA CON</t>
        </is>
      </c>
      <c r="M1761" s="232" t="inlineStr"/>
      <c r="N1761" s="232" t="inlineStr">
        <is>
          <t>.   .   -</t>
        </is>
      </c>
      <c r="O1761" s="232" t="inlineStr">
        <is>
          <t>ENERO</t>
        </is>
      </c>
      <c r="P1761" s="232" t="n">
        <v>5</v>
      </c>
      <c r="Q1761" s="234" t="n">
        <v>102</v>
      </c>
      <c r="R1761" s="232" t="inlineStr"/>
      <c r="S1761" s="234" t="n">
        <v>102</v>
      </c>
      <c r="T1761" s="232" t="inlineStr">
        <is>
          <t>CLP</t>
        </is>
      </c>
      <c r="U1761" s="232" t="inlineStr">
        <is>
          <t>Prorrateo Ha BODEGA</t>
        </is>
      </c>
      <c r="V1761" s="232" t="inlineStr">
        <is>
          <t>2026-06-18</t>
        </is>
      </c>
    </row>
    <row r="1762">
      <c r="A1762" s="232" t="inlineStr">
        <is>
          <t>CR-1759</t>
        </is>
      </c>
      <c r="B1762" s="232" t="inlineStr">
        <is>
          <t>2026/27</t>
        </is>
      </c>
      <c r="C1762" s="233" t="n">
        <v>46053</v>
      </c>
      <c r="D1762" s="232" t="inlineStr">
        <is>
          <t>878197</t>
        </is>
      </c>
      <c r="E1762" s="232" t="inlineStr">
        <is>
          <t>PRORRATEO</t>
        </is>
      </c>
      <c r="F1762" s="232" t="inlineStr">
        <is>
          <t>El Molle</t>
        </is>
      </c>
      <c r="G1762" s="232" t="inlineStr">
        <is>
          <t>orogrande 8,11 ha</t>
        </is>
      </c>
      <c r="H1762" s="232" t="inlineStr">
        <is>
          <t>Clementinas</t>
        </is>
      </c>
      <c r="I1762" s="232" t="inlineStr">
        <is>
          <t>Orogrande</t>
        </is>
      </c>
      <c r="J1762" s="232" t="inlineStr">
        <is>
          <t>MANT. Y REP. CONSTRUCCIONES</t>
        </is>
      </c>
      <c r="K1762" s="232" t="inlineStr">
        <is>
          <t>MANTENCION INFRAESTRUCTURA</t>
        </is>
      </c>
      <c r="L1762" s="232" t="inlineStr">
        <is>
          <t>[PRORRATEO 5.5% 8.11há/148.3há] O/001339 BROCHA CON</t>
        </is>
      </c>
      <c r="M1762" s="232" t="inlineStr"/>
      <c r="N1762" s="232" t="inlineStr">
        <is>
          <t>.   .   -</t>
        </is>
      </c>
      <c r="O1762" s="232" t="inlineStr">
        <is>
          <t>ENERO</t>
        </is>
      </c>
      <c r="P1762" s="232" t="n">
        <v>5</v>
      </c>
      <c r="Q1762" s="234" t="n">
        <v>144</v>
      </c>
      <c r="R1762" s="232" t="inlineStr"/>
      <c r="S1762" s="234" t="n">
        <v>144</v>
      </c>
      <c r="T1762" s="232" t="inlineStr">
        <is>
          <t>CLP</t>
        </is>
      </c>
      <c r="U1762" s="232" t="inlineStr">
        <is>
          <t>Prorrateo Ha BODEGA</t>
        </is>
      </c>
      <c r="V1762" s="232" t="inlineStr">
        <is>
          <t>2026-06-18</t>
        </is>
      </c>
    </row>
    <row r="1763">
      <c r="A1763" s="232" t="inlineStr">
        <is>
          <t>CR-1760</t>
        </is>
      </c>
      <c r="B1763" s="232" t="inlineStr">
        <is>
          <t>2026/27</t>
        </is>
      </c>
      <c r="C1763" s="233" t="n">
        <v>46053</v>
      </c>
      <c r="D1763" s="232" t="inlineStr">
        <is>
          <t>878197</t>
        </is>
      </c>
      <c r="E1763" s="232" t="inlineStr">
        <is>
          <t>PRORRATEO</t>
        </is>
      </c>
      <c r="F1763" s="232" t="inlineStr">
        <is>
          <t>El Molle</t>
        </is>
      </c>
      <c r="G1763" s="232" t="inlineStr">
        <is>
          <t>oronules 5,35 ha</t>
        </is>
      </c>
      <c r="H1763" s="232" t="inlineStr">
        <is>
          <t>Clementinas</t>
        </is>
      </c>
      <c r="I1763" s="232" t="inlineStr">
        <is>
          <t>Oronules</t>
        </is>
      </c>
      <c r="J1763" s="232" t="inlineStr">
        <is>
          <t>MANT. Y REP. CONSTRUCCIONES</t>
        </is>
      </c>
      <c r="K1763" s="232" t="inlineStr">
        <is>
          <t>MANTENCION INFRAESTRUCTURA</t>
        </is>
      </c>
      <c r="L1763" s="232" t="inlineStr">
        <is>
          <t>[PRORRATEO 3.6% 5.35há/148.3há] O/001339 BROCHA CON</t>
        </is>
      </c>
      <c r="M1763" s="232" t="inlineStr"/>
      <c r="N1763" s="232" t="inlineStr">
        <is>
          <t>.   .   -</t>
        </is>
      </c>
      <c r="O1763" s="232" t="inlineStr">
        <is>
          <t>ENERO</t>
        </is>
      </c>
      <c r="P1763" s="232" t="n">
        <v>5</v>
      </c>
      <c r="Q1763" s="234" t="n">
        <v>95</v>
      </c>
      <c r="R1763" s="232" t="inlineStr"/>
      <c r="S1763" s="234" t="n">
        <v>95</v>
      </c>
      <c r="T1763" s="232" t="inlineStr">
        <is>
          <t>CLP</t>
        </is>
      </c>
      <c r="U1763" s="232" t="inlineStr">
        <is>
          <t>Prorrateo Ha BODEGA</t>
        </is>
      </c>
      <c r="V1763" s="232" t="inlineStr">
        <is>
          <t>2026-06-18</t>
        </is>
      </c>
    </row>
    <row r="1764">
      <c r="A1764" s="232" t="inlineStr">
        <is>
          <t>CR-1761</t>
        </is>
      </c>
      <c r="B1764" s="232" t="inlineStr">
        <is>
          <t>2026/27</t>
        </is>
      </c>
      <c r="C1764" s="233" t="n">
        <v>46053</v>
      </c>
      <c r="D1764" s="232" t="inlineStr">
        <is>
          <t>878197</t>
        </is>
      </c>
      <c r="E1764" s="232" t="inlineStr">
        <is>
          <t>PRORRATEO</t>
        </is>
      </c>
      <c r="F1764" s="232" t="inlineStr">
        <is>
          <t>Santa Catalina</t>
        </is>
      </c>
      <c r="G1764" s="232" t="inlineStr">
        <is>
          <t>Fino 49 7,7 ha</t>
        </is>
      </c>
      <c r="H1764" s="232" t="inlineStr">
        <is>
          <t>Limon</t>
        </is>
      </c>
      <c r="I1764" s="232" t="inlineStr">
        <is>
          <t>Fino 49</t>
        </is>
      </c>
      <c r="J1764" s="232" t="inlineStr">
        <is>
          <t>MANT. Y REP. CONSTRUCCIONES</t>
        </is>
      </c>
      <c r="K1764" s="232" t="inlineStr">
        <is>
          <t>MANTENCION INFRAESTRUCTURA</t>
        </is>
      </c>
      <c r="L1764" s="232" t="inlineStr">
        <is>
          <t>[PRORRATEO 5.2% 7.7há/148.3há] O/001339 BROCHA CON</t>
        </is>
      </c>
      <c r="M1764" s="232" t="inlineStr"/>
      <c r="N1764" s="232" t="inlineStr">
        <is>
          <t>.   .   -</t>
        </is>
      </c>
      <c r="O1764" s="232" t="inlineStr">
        <is>
          <t>ENERO</t>
        </is>
      </c>
      <c r="P1764" s="232" t="n">
        <v>5</v>
      </c>
      <c r="Q1764" s="234" t="n">
        <v>136</v>
      </c>
      <c r="R1764" s="232" t="inlineStr"/>
      <c r="S1764" s="234" t="n">
        <v>136</v>
      </c>
      <c r="T1764" s="232" t="inlineStr">
        <is>
          <t>CLP</t>
        </is>
      </c>
      <c r="U1764" s="232" t="inlineStr">
        <is>
          <t>Prorrateo Ha BODEGA</t>
        </is>
      </c>
      <c r="V1764" s="232" t="inlineStr">
        <is>
          <t>2026-06-18</t>
        </is>
      </c>
    </row>
    <row r="1765">
      <c r="A1765" s="232" t="inlineStr">
        <is>
          <t>CR-1762</t>
        </is>
      </c>
      <c r="B1765" s="232" t="inlineStr">
        <is>
          <t>2026/27</t>
        </is>
      </c>
      <c r="C1765" s="233" t="n">
        <v>46053</v>
      </c>
      <c r="D1765" s="232" t="inlineStr">
        <is>
          <t>878197</t>
        </is>
      </c>
      <c r="E1765" s="232" t="inlineStr">
        <is>
          <t>PRORRATEO</t>
        </is>
      </c>
      <c r="F1765" s="232" t="inlineStr">
        <is>
          <t>Santa Catalina</t>
        </is>
      </c>
      <c r="G1765" s="232" t="inlineStr">
        <is>
          <t>W. murcott 21 ha</t>
        </is>
      </c>
      <c r="H1765" s="232" t="inlineStr">
        <is>
          <t>Mandarina</t>
        </is>
      </c>
      <c r="I1765" s="232" t="inlineStr">
        <is>
          <t>W. murcott</t>
        </is>
      </c>
      <c r="J1765" s="232" t="inlineStr">
        <is>
          <t>MANT. Y REP. CONSTRUCCIONES</t>
        </is>
      </c>
      <c r="K1765" s="232" t="inlineStr">
        <is>
          <t>MANTENCION INFRAESTRUCTURA</t>
        </is>
      </c>
      <c r="L1765" s="232" t="inlineStr">
        <is>
          <t>[PRORRATEO 14.2% 21.0há/148.3há] O/001339 BROCHA CON</t>
        </is>
      </c>
      <c r="M1765" s="232" t="inlineStr"/>
      <c r="N1765" s="232" t="inlineStr">
        <is>
          <t>.   .   -</t>
        </is>
      </c>
      <c r="O1765" s="232" t="inlineStr">
        <is>
          <t>ENERO</t>
        </is>
      </c>
      <c r="P1765" s="232" t="n">
        <v>5</v>
      </c>
      <c r="Q1765" s="234" t="n">
        <v>372</v>
      </c>
      <c r="R1765" s="232" t="inlineStr"/>
      <c r="S1765" s="234" t="n">
        <v>372</v>
      </c>
      <c r="T1765" s="232" t="inlineStr">
        <is>
          <t>CLP</t>
        </is>
      </c>
      <c r="U1765" s="232" t="inlineStr">
        <is>
          <t>Prorrateo Ha BODEGA</t>
        </is>
      </c>
      <c r="V1765" s="232" t="inlineStr">
        <is>
          <t>2026-06-18</t>
        </is>
      </c>
    </row>
    <row r="1766">
      <c r="A1766" s="232" t="inlineStr">
        <is>
          <t>CR-1763</t>
        </is>
      </c>
      <c r="B1766" s="232" t="inlineStr">
        <is>
          <t>2026/27</t>
        </is>
      </c>
      <c r="C1766" s="233" t="n">
        <v>46053</v>
      </c>
      <c r="D1766" s="232" t="inlineStr">
        <is>
          <t>878197</t>
        </is>
      </c>
      <c r="E1766" s="232" t="inlineStr">
        <is>
          <t>PRORRATEO</t>
        </is>
      </c>
      <c r="F1766" s="232" t="inlineStr">
        <is>
          <t>Santa Catalina</t>
        </is>
      </c>
      <c r="G1766" s="232" t="inlineStr">
        <is>
          <t>cambria 4,2 ha</t>
        </is>
      </c>
      <c r="H1766" s="232" t="inlineStr">
        <is>
          <t>Naranjas</t>
        </is>
      </c>
      <c r="I1766" s="232" t="inlineStr">
        <is>
          <t>Cambria</t>
        </is>
      </c>
      <c r="J1766" s="232" t="inlineStr">
        <is>
          <t>MANT. Y REP. CONSTRUCCIONES</t>
        </is>
      </c>
      <c r="K1766" s="232" t="inlineStr">
        <is>
          <t>MANTENCION INFRAESTRUCTURA</t>
        </is>
      </c>
      <c r="L1766" s="232" t="inlineStr">
        <is>
          <t>[PRORRATEO 2.8% 4.2há/148.3há] O/001339 BROCHA CON</t>
        </is>
      </c>
      <c r="M1766" s="232" t="inlineStr"/>
      <c r="N1766" s="232" t="inlineStr">
        <is>
          <t>.   .   -</t>
        </is>
      </c>
      <c r="O1766" s="232" t="inlineStr">
        <is>
          <t>ENERO</t>
        </is>
      </c>
      <c r="P1766" s="232" t="n">
        <v>5</v>
      </c>
      <c r="Q1766" s="234" t="n">
        <v>74</v>
      </c>
      <c r="R1766" s="232" t="inlineStr"/>
      <c r="S1766" s="234" t="n">
        <v>74</v>
      </c>
      <c r="T1766" s="232" t="inlineStr">
        <is>
          <t>CLP</t>
        </is>
      </c>
      <c r="U1766" s="232" t="inlineStr">
        <is>
          <t>Prorrateo Ha BODEGA</t>
        </is>
      </c>
      <c r="V1766" s="232" t="inlineStr">
        <is>
          <t>2026-06-18</t>
        </is>
      </c>
    </row>
    <row r="1767">
      <c r="A1767" s="232" t="inlineStr">
        <is>
          <t>CR-1764</t>
        </is>
      </c>
      <c r="B1767" s="232" t="inlineStr">
        <is>
          <t>2026/27</t>
        </is>
      </c>
      <c r="C1767" s="233" t="n">
        <v>46053</v>
      </c>
      <c r="D1767" s="232" t="inlineStr">
        <is>
          <t>878197</t>
        </is>
      </c>
      <c r="E1767" s="232" t="inlineStr">
        <is>
          <t>PRORRATEO</t>
        </is>
      </c>
      <c r="F1767" s="232" t="inlineStr">
        <is>
          <t>Santa Catalina</t>
        </is>
      </c>
      <c r="G1767" s="232" t="inlineStr">
        <is>
          <t>eureka 10,6 ha</t>
        </is>
      </c>
      <c r="H1767" s="232" t="inlineStr">
        <is>
          <t>Limon</t>
        </is>
      </c>
      <c r="I1767" s="232" t="inlineStr">
        <is>
          <t>Eureka</t>
        </is>
      </c>
      <c r="J1767" s="232" t="inlineStr">
        <is>
          <t>MANT. Y REP. CONSTRUCCIONES</t>
        </is>
      </c>
      <c r="K1767" s="232" t="inlineStr">
        <is>
          <t>MANTENCION INFRAESTRUCTURA</t>
        </is>
      </c>
      <c r="L1767" s="232" t="inlineStr">
        <is>
          <t>[PRORRATEO 7.1% 10.6há/148.3há] O/001339 BROCHA CON</t>
        </is>
      </c>
      <c r="M1767" s="232" t="inlineStr"/>
      <c r="N1767" s="232" t="inlineStr">
        <is>
          <t>.   .   -</t>
        </is>
      </c>
      <c r="O1767" s="232" t="inlineStr">
        <is>
          <t>ENERO</t>
        </is>
      </c>
      <c r="P1767" s="232" t="n">
        <v>5</v>
      </c>
      <c r="Q1767" s="234" t="n">
        <v>188</v>
      </c>
      <c r="R1767" s="232" t="inlineStr"/>
      <c r="S1767" s="234" t="n">
        <v>188</v>
      </c>
      <c r="T1767" s="232" t="inlineStr">
        <is>
          <t>CLP</t>
        </is>
      </c>
      <c r="U1767" s="232" t="inlineStr">
        <is>
          <t>Prorrateo Ha BODEGA</t>
        </is>
      </c>
      <c r="V1767" s="232" t="inlineStr">
        <is>
          <t>2026-06-18</t>
        </is>
      </c>
    </row>
    <row r="1768">
      <c r="A1768" s="232" t="inlineStr">
        <is>
          <t>CR-1765</t>
        </is>
      </c>
      <c r="B1768" s="232" t="inlineStr">
        <is>
          <t>2026/27</t>
        </is>
      </c>
      <c r="C1768" s="233" t="n">
        <v>46053</v>
      </c>
      <c r="D1768" s="232" t="inlineStr">
        <is>
          <t>878197</t>
        </is>
      </c>
      <c r="E1768" s="232" t="inlineStr">
        <is>
          <t>PRORRATEO</t>
        </is>
      </c>
      <c r="F1768" s="232" t="inlineStr">
        <is>
          <t>Santa Catalina</t>
        </is>
      </c>
      <c r="G1768" s="232" t="inlineStr">
        <is>
          <t>eureka 14,4 ha</t>
        </is>
      </c>
      <c r="H1768" s="232" t="inlineStr">
        <is>
          <t>Limon</t>
        </is>
      </c>
      <c r="I1768" s="232" t="inlineStr">
        <is>
          <t>Eureka</t>
        </is>
      </c>
      <c r="J1768" s="232" t="inlineStr">
        <is>
          <t>MANT. Y REP. CONSTRUCCIONES</t>
        </is>
      </c>
      <c r="K1768" s="232" t="inlineStr">
        <is>
          <t>MANTENCION INFRAESTRUCTURA</t>
        </is>
      </c>
      <c r="L1768" s="232" t="inlineStr">
        <is>
          <t>[PRORRATEO 9.7% 14.4há/148.3há] O/001339 BROCHA CON</t>
        </is>
      </c>
      <c r="M1768" s="232" t="inlineStr"/>
      <c r="N1768" s="232" t="inlineStr">
        <is>
          <t>.   .   -</t>
        </is>
      </c>
      <c r="O1768" s="232" t="inlineStr">
        <is>
          <t>ENERO</t>
        </is>
      </c>
      <c r="P1768" s="232" t="n">
        <v>5</v>
      </c>
      <c r="Q1768" s="234" t="n">
        <v>255</v>
      </c>
      <c r="R1768" s="232" t="inlineStr"/>
      <c r="S1768" s="234" t="n">
        <v>255</v>
      </c>
      <c r="T1768" s="232" t="inlineStr">
        <is>
          <t>CLP</t>
        </is>
      </c>
      <c r="U1768" s="232" t="inlineStr">
        <is>
          <t>Prorrateo Ha BODEGA</t>
        </is>
      </c>
      <c r="V1768" s="232" t="inlineStr">
        <is>
          <t>2026-06-18</t>
        </is>
      </c>
    </row>
    <row r="1769">
      <c r="A1769" s="232" t="inlineStr">
        <is>
          <t>CR-1766</t>
        </is>
      </c>
      <c r="B1769" s="232" t="inlineStr">
        <is>
          <t>2026/27</t>
        </is>
      </c>
      <c r="C1769" s="233" t="n">
        <v>46053</v>
      </c>
      <c r="D1769" s="232" t="inlineStr">
        <is>
          <t>878197</t>
        </is>
      </c>
      <c r="E1769" s="232" t="inlineStr">
        <is>
          <t>PRORRATEO</t>
        </is>
      </c>
      <c r="F1769" s="232" t="inlineStr">
        <is>
          <t>Santa Catalina</t>
        </is>
      </c>
      <c r="G1769" s="232" t="inlineStr">
        <is>
          <t>eureka 22,55</t>
        </is>
      </c>
      <c r="H1769" s="232" t="inlineStr">
        <is>
          <t>Limon</t>
        </is>
      </c>
      <c r="I1769" s="232" t="inlineStr">
        <is>
          <t>Eureka</t>
        </is>
      </c>
      <c r="J1769" s="232" t="inlineStr">
        <is>
          <t>MANT. Y REP. CONSTRUCCIONES</t>
        </is>
      </c>
      <c r="K1769" s="232" t="inlineStr">
        <is>
          <t>MANTENCION INFRAESTRUCTURA</t>
        </is>
      </c>
      <c r="L1769" s="232" t="inlineStr">
        <is>
          <t>[PRORRATEO 15.2% 22.55há/148.3há] O/001339 BROCHA CON</t>
        </is>
      </c>
      <c r="M1769" s="232" t="inlineStr"/>
      <c r="N1769" s="232" t="inlineStr">
        <is>
          <t>.   .   -</t>
        </is>
      </c>
      <c r="O1769" s="232" t="inlineStr">
        <is>
          <t>ENERO</t>
        </is>
      </c>
      <c r="P1769" s="232" t="n">
        <v>5</v>
      </c>
      <c r="Q1769" s="234" t="n">
        <v>400</v>
      </c>
      <c r="R1769" s="232" t="inlineStr"/>
      <c r="S1769" s="234" t="n">
        <v>400</v>
      </c>
      <c r="T1769" s="232" t="inlineStr">
        <is>
          <t>CLP</t>
        </is>
      </c>
      <c r="U1769" s="232" t="inlineStr">
        <is>
          <t>Prorrateo Ha BODEGA</t>
        </is>
      </c>
      <c r="V1769" s="232" t="inlineStr">
        <is>
          <t>2026-06-18</t>
        </is>
      </c>
    </row>
    <row r="1770">
      <c r="A1770" s="232" t="inlineStr">
        <is>
          <t>CR-1767</t>
        </is>
      </c>
      <c r="B1770" s="232" t="inlineStr">
        <is>
          <t>2026/27</t>
        </is>
      </c>
      <c r="C1770" s="233" t="n">
        <v>46053</v>
      </c>
      <c r="D1770" s="232" t="inlineStr">
        <is>
          <t>878197</t>
        </is>
      </c>
      <c r="E1770" s="232" t="inlineStr">
        <is>
          <t>PRORRATEO</t>
        </is>
      </c>
      <c r="F1770" s="232" t="inlineStr">
        <is>
          <t>Santa Catalina</t>
        </is>
      </c>
      <c r="G1770" s="232" t="inlineStr">
        <is>
          <t>form benjamin 1,93 ha</t>
        </is>
      </c>
      <c r="H1770" s="232" t="inlineStr">
        <is>
          <t>Limon</t>
        </is>
      </c>
      <c r="I1770" s="232" t="inlineStr">
        <is>
          <t>Benjamin andes</t>
        </is>
      </c>
      <c r="J1770" s="232" t="inlineStr">
        <is>
          <t>MANT. Y REP. CONSTRUCCIONES</t>
        </is>
      </c>
      <c r="K1770" s="232" t="inlineStr">
        <is>
          <t>MANTENCION INFRAESTRUCTURA</t>
        </is>
      </c>
      <c r="L1770" s="232" t="inlineStr">
        <is>
          <t>[PRORRATEO 1.3% 1.93há/148.3há] O/001339 BROCHA CON</t>
        </is>
      </c>
      <c r="M1770" s="232" t="inlineStr"/>
      <c r="N1770" s="232" t="inlineStr">
        <is>
          <t>.   .   -</t>
        </is>
      </c>
      <c r="O1770" s="232" t="inlineStr">
        <is>
          <t>ENERO</t>
        </is>
      </c>
      <c r="P1770" s="232" t="n">
        <v>5</v>
      </c>
      <c r="Q1770" s="234" t="n">
        <v>34</v>
      </c>
      <c r="R1770" s="232" t="inlineStr"/>
      <c r="S1770" s="234" t="n">
        <v>34</v>
      </c>
      <c r="T1770" s="232" t="inlineStr">
        <is>
          <t>CLP</t>
        </is>
      </c>
      <c r="U1770" s="232" t="inlineStr">
        <is>
          <t>Prorrateo Ha BODEGA</t>
        </is>
      </c>
      <c r="V1770" s="232" t="inlineStr">
        <is>
          <t>2026-06-18</t>
        </is>
      </c>
    </row>
    <row r="1771">
      <c r="A1771" s="232" t="inlineStr">
        <is>
          <t>CR-1768</t>
        </is>
      </c>
      <c r="B1771" s="232" t="inlineStr">
        <is>
          <t>2026/27</t>
        </is>
      </c>
      <c r="C1771" s="233" t="n">
        <v>46053</v>
      </c>
      <c r="D1771" s="232" t="inlineStr">
        <is>
          <t>878197</t>
        </is>
      </c>
      <c r="E1771" s="232" t="inlineStr">
        <is>
          <t>PRORRATEO</t>
        </is>
      </c>
      <c r="F1771" s="232" t="inlineStr">
        <is>
          <t>Santa Catalina</t>
        </is>
      </c>
      <c r="G1771" s="232" t="inlineStr">
        <is>
          <t>mant eureka 2,5 ha</t>
        </is>
      </c>
      <c r="H1771" s="232" t="inlineStr">
        <is>
          <t>Limon</t>
        </is>
      </c>
      <c r="I1771" s="232" t="inlineStr">
        <is>
          <t>Eureka</t>
        </is>
      </c>
      <c r="J1771" s="232" t="inlineStr">
        <is>
          <t>MANT. Y REP. CONSTRUCCIONES</t>
        </is>
      </c>
      <c r="K1771" s="232" t="inlineStr">
        <is>
          <t>MANTENCION INFRAESTRUCTURA</t>
        </is>
      </c>
      <c r="L1771" s="232" t="inlineStr">
        <is>
          <t>[PRORRATEO 1.7% 2.5há/148.3há] O/001339 BROCHA CON</t>
        </is>
      </c>
      <c r="M1771" s="232" t="inlineStr"/>
      <c r="N1771" s="232" t="inlineStr">
        <is>
          <t>.   .   -</t>
        </is>
      </c>
      <c r="O1771" s="232" t="inlineStr">
        <is>
          <t>ENERO</t>
        </is>
      </c>
      <c r="P1771" s="232" t="n">
        <v>5</v>
      </c>
      <c r="Q1771" s="234" t="n">
        <v>44</v>
      </c>
      <c r="R1771" s="232" t="inlineStr"/>
      <c r="S1771" s="234" t="n">
        <v>44</v>
      </c>
      <c r="T1771" s="232" t="inlineStr">
        <is>
          <t>CLP</t>
        </is>
      </c>
      <c r="U1771" s="232" t="inlineStr">
        <is>
          <t>Prorrateo Ha BODEGA</t>
        </is>
      </c>
      <c r="V1771" s="232" t="inlineStr">
        <is>
          <t>2026-06-18</t>
        </is>
      </c>
    </row>
    <row r="1772">
      <c r="A1772" s="232" t="inlineStr">
        <is>
          <t>CR-1769</t>
        </is>
      </c>
      <c r="B1772" s="232" t="inlineStr">
        <is>
          <t>2026/27</t>
        </is>
      </c>
      <c r="C1772" s="233" t="n">
        <v>46053</v>
      </c>
      <c r="D1772" s="232" t="inlineStr">
        <is>
          <t>878197</t>
        </is>
      </c>
      <c r="E1772" s="232" t="inlineStr">
        <is>
          <t>PRORRATEO</t>
        </is>
      </c>
      <c r="F1772" s="232" t="inlineStr">
        <is>
          <t>Siberia</t>
        </is>
      </c>
      <c r="G1772" s="232" t="inlineStr">
        <is>
          <t>S. Celebration 7,14</t>
        </is>
      </c>
      <c r="H1772" s="232" t="inlineStr">
        <is>
          <t>Uvas</t>
        </is>
      </c>
      <c r="I1772" s="232" t="inlineStr">
        <is>
          <t>S. celebration</t>
        </is>
      </c>
      <c r="J1772" s="232" t="inlineStr">
        <is>
          <t>MANT. Y REP. CONSTRUCCIONES</t>
        </is>
      </c>
      <c r="K1772" s="232" t="inlineStr">
        <is>
          <t>MANTENCION INFRAESTRUCTURA</t>
        </is>
      </c>
      <c r="L1772" s="232" t="inlineStr">
        <is>
          <t>[PRORRATEO 4.8% 7.14há/148.3há] O/001339 BROCHA CON</t>
        </is>
      </c>
      <c r="M1772" s="232" t="inlineStr"/>
      <c r="N1772" s="232" t="inlineStr">
        <is>
          <t>.   .   -</t>
        </is>
      </c>
      <c r="O1772" s="232" t="inlineStr">
        <is>
          <t>ENERO</t>
        </is>
      </c>
      <c r="P1772" s="232" t="n">
        <v>5</v>
      </c>
      <c r="Q1772" s="234" t="n">
        <v>127</v>
      </c>
      <c r="R1772" s="232" t="inlineStr"/>
      <c r="S1772" s="234" t="n">
        <v>127</v>
      </c>
      <c r="T1772" s="232" t="inlineStr">
        <is>
          <t>CLP</t>
        </is>
      </c>
      <c r="U1772" s="232" t="inlineStr">
        <is>
          <t>Prorrateo Ha BODEGA</t>
        </is>
      </c>
      <c r="V1772" s="232" t="inlineStr">
        <is>
          <t>2026-06-18</t>
        </is>
      </c>
    </row>
    <row r="1773">
      <c r="A1773" s="232" t="inlineStr">
        <is>
          <t>CR-1770</t>
        </is>
      </c>
      <c r="B1773" s="232" t="inlineStr">
        <is>
          <t>2026/27</t>
        </is>
      </c>
      <c r="C1773" s="233" t="n">
        <v>46053</v>
      </c>
      <c r="D1773" s="232" t="inlineStr">
        <is>
          <t>878197</t>
        </is>
      </c>
      <c r="E1773" s="232" t="inlineStr">
        <is>
          <t>PRORRATEO</t>
        </is>
      </c>
      <c r="F1773" s="232" t="inlineStr">
        <is>
          <t>Siberia</t>
        </is>
      </c>
      <c r="G1773" s="232" t="inlineStr">
        <is>
          <t>Timpson 7,1</t>
        </is>
      </c>
      <c r="H1773" s="232" t="inlineStr">
        <is>
          <t>Uvas</t>
        </is>
      </c>
      <c r="I1773" s="232" t="inlineStr">
        <is>
          <t>Timpson</t>
        </is>
      </c>
      <c r="J1773" s="232" t="inlineStr">
        <is>
          <t>MANT. Y REP. CONSTRUCCIONES</t>
        </is>
      </c>
      <c r="K1773" s="232" t="inlineStr">
        <is>
          <t>MANTENCION INFRAESTRUCTURA</t>
        </is>
      </c>
      <c r="L1773" s="232" t="inlineStr">
        <is>
          <t>[PRORRATEO 4.8% 7.1há/148.3há] O/001339 BROCHA CON</t>
        </is>
      </c>
      <c r="M1773" s="232" t="inlineStr"/>
      <c r="N1773" s="232" t="inlineStr">
        <is>
          <t>.   .   -</t>
        </is>
      </c>
      <c r="O1773" s="232" t="inlineStr">
        <is>
          <t>ENERO</t>
        </is>
      </c>
      <c r="P1773" s="232" t="n">
        <v>5</v>
      </c>
      <c r="Q1773" s="234" t="n">
        <v>126</v>
      </c>
      <c r="R1773" s="232" t="inlineStr"/>
      <c r="S1773" s="234" t="n">
        <v>126</v>
      </c>
      <c r="T1773" s="232" t="inlineStr">
        <is>
          <t>CLP</t>
        </is>
      </c>
      <c r="U1773" s="232" t="inlineStr">
        <is>
          <t>Prorrateo Ha BODEGA</t>
        </is>
      </c>
      <c r="V1773" s="232" t="inlineStr">
        <is>
          <t>2026-06-18</t>
        </is>
      </c>
    </row>
    <row r="1774">
      <c r="A1774" s="232" t="inlineStr">
        <is>
          <t>CR-1771</t>
        </is>
      </c>
      <c r="B1774" s="232" t="inlineStr">
        <is>
          <t>2026/27</t>
        </is>
      </c>
      <c r="C1774" s="233" t="n">
        <v>46053</v>
      </c>
      <c r="D1774" s="232" t="inlineStr">
        <is>
          <t>878197</t>
        </is>
      </c>
      <c r="E1774" s="232" t="inlineStr">
        <is>
          <t>PRORRATEO</t>
        </is>
      </c>
      <c r="F1774" s="232" t="inlineStr">
        <is>
          <t>Asmara</t>
        </is>
      </c>
      <c r="G1774" s="232" t="inlineStr">
        <is>
          <t>w. murcott 19,8 ha</t>
        </is>
      </c>
      <c r="H1774" s="232" t="inlineStr">
        <is>
          <t>Mandarina</t>
        </is>
      </c>
      <c r="I1774" s="232" t="inlineStr">
        <is>
          <t>W. murcott</t>
        </is>
      </c>
      <c r="J1774" s="232" t="inlineStr">
        <is>
          <t>MANT. Y REP. CONSTRUCCIONES</t>
        </is>
      </c>
      <c r="K1774" s="232" t="inlineStr">
        <is>
          <t>MANTENCION INFRAESTRUCTURA</t>
        </is>
      </c>
      <c r="L1774" s="232" t="inlineStr">
        <is>
          <t>[PRORRATEO 13.4% 19.8há/148.3há] O/001339 PT ESMALTE</t>
        </is>
      </c>
      <c r="M1774" s="232" t="inlineStr"/>
      <c r="N1774" s="232" t="inlineStr">
        <is>
          <t>.   .   -</t>
        </is>
      </c>
      <c r="O1774" s="232" t="inlineStr">
        <is>
          <t>ENERO</t>
        </is>
      </c>
      <c r="P1774" s="232" t="n">
        <v>5</v>
      </c>
      <c r="Q1774" s="234" t="n">
        <v>3318</v>
      </c>
      <c r="R1774" s="232" t="inlineStr"/>
      <c r="S1774" s="234" t="n">
        <v>3318</v>
      </c>
      <c r="T1774" s="232" t="inlineStr">
        <is>
          <t>CLP</t>
        </is>
      </c>
      <c r="U1774" s="232" t="inlineStr">
        <is>
          <t>Prorrateo Ha BODEGA</t>
        </is>
      </c>
      <c r="V1774" s="232" t="inlineStr">
        <is>
          <t>2026-06-18</t>
        </is>
      </c>
    </row>
    <row r="1775">
      <c r="A1775" s="232" t="inlineStr">
        <is>
          <t>CR-1772</t>
        </is>
      </c>
      <c r="B1775" s="232" t="inlineStr">
        <is>
          <t>2026/27</t>
        </is>
      </c>
      <c r="C1775" s="233" t="n">
        <v>46053</v>
      </c>
      <c r="D1775" s="232" t="inlineStr">
        <is>
          <t>878197</t>
        </is>
      </c>
      <c r="E1775" s="232" t="inlineStr">
        <is>
          <t>PRORRATEO</t>
        </is>
      </c>
      <c r="F1775" s="232" t="inlineStr">
        <is>
          <t>Asmara</t>
        </is>
      </c>
      <c r="G1775" s="232" t="inlineStr">
        <is>
          <t>w. murcott 4,9 ha</t>
        </is>
      </c>
      <c r="H1775" s="232" t="inlineStr">
        <is>
          <t>Mandarina</t>
        </is>
      </c>
      <c r="I1775" s="232" t="inlineStr">
        <is>
          <t>W. murcott</t>
        </is>
      </c>
      <c r="J1775" s="232" t="inlineStr">
        <is>
          <t>MANT. Y REP. CONSTRUCCIONES</t>
        </is>
      </c>
      <c r="K1775" s="232" t="inlineStr">
        <is>
          <t>MANTENCION INFRAESTRUCTURA</t>
        </is>
      </c>
      <c r="L1775" s="232" t="inlineStr">
        <is>
          <t>[PRORRATEO 3.3% 4.9há/148.3há] O/001339 PT ESMALTE</t>
        </is>
      </c>
      <c r="M1775" s="232" t="inlineStr"/>
      <c r="N1775" s="232" t="inlineStr">
        <is>
          <t>.   .   -</t>
        </is>
      </c>
      <c r="O1775" s="232" t="inlineStr">
        <is>
          <t>ENERO</t>
        </is>
      </c>
      <c r="P1775" s="232" t="n">
        <v>5</v>
      </c>
      <c r="Q1775" s="234" t="n">
        <v>821</v>
      </c>
      <c r="R1775" s="232" t="inlineStr"/>
      <c r="S1775" s="234" t="n">
        <v>821</v>
      </c>
      <c r="T1775" s="232" t="inlineStr">
        <is>
          <t>CLP</t>
        </is>
      </c>
      <c r="U1775" s="232" t="inlineStr">
        <is>
          <t>Prorrateo Ha BODEGA</t>
        </is>
      </c>
      <c r="V1775" s="232" t="inlineStr">
        <is>
          <t>2026-06-18</t>
        </is>
      </c>
    </row>
    <row r="1776">
      <c r="A1776" s="232" t="inlineStr">
        <is>
          <t>CR-1773</t>
        </is>
      </c>
      <c r="B1776" s="232" t="inlineStr">
        <is>
          <t>2026/27</t>
        </is>
      </c>
      <c r="C1776" s="233" t="n">
        <v>46053</v>
      </c>
      <c r="D1776" s="232" t="inlineStr">
        <is>
          <t>878197</t>
        </is>
      </c>
      <c r="E1776" s="232" t="inlineStr">
        <is>
          <t>PRORRATEO</t>
        </is>
      </c>
      <c r="F1776" s="232" t="inlineStr">
        <is>
          <t>El Molle</t>
        </is>
      </c>
      <c r="G1776" s="232" t="inlineStr">
        <is>
          <t>Wonderful 5,25 ha</t>
        </is>
      </c>
      <c r="H1776" s="232" t="inlineStr">
        <is>
          <t>Granados</t>
        </is>
      </c>
      <c r="I1776" s="232" t="inlineStr">
        <is>
          <t>Wonderfull</t>
        </is>
      </c>
      <c r="J1776" s="232" t="inlineStr">
        <is>
          <t>MANT. Y REP. CONSTRUCCIONES</t>
        </is>
      </c>
      <c r="K1776" s="232" t="inlineStr">
        <is>
          <t>MANTENCION INFRAESTRUCTURA</t>
        </is>
      </c>
      <c r="L1776" s="232" t="inlineStr">
        <is>
          <t>[PRORRATEO 3.5% 5.24há/148.3há] O/001339 PT ESMALTE</t>
        </is>
      </c>
      <c r="M1776" s="232" t="inlineStr"/>
      <c r="N1776" s="232" t="inlineStr">
        <is>
          <t>.   .   -</t>
        </is>
      </c>
      <c r="O1776" s="232" t="inlineStr">
        <is>
          <t>ENERO</t>
        </is>
      </c>
      <c r="P1776" s="232" t="n">
        <v>5</v>
      </c>
      <c r="Q1776" s="234" t="n">
        <v>878</v>
      </c>
      <c r="R1776" s="232" t="inlineStr"/>
      <c r="S1776" s="234" t="n">
        <v>878</v>
      </c>
      <c r="T1776" s="232" t="inlineStr">
        <is>
          <t>CLP</t>
        </is>
      </c>
      <c r="U1776" s="232" t="inlineStr">
        <is>
          <t>Prorrateo Ha BODEGA</t>
        </is>
      </c>
      <c r="V1776" s="232" t="inlineStr">
        <is>
          <t>2026-06-18</t>
        </is>
      </c>
    </row>
    <row r="1777">
      <c r="A1777" s="232" t="inlineStr">
        <is>
          <t>CR-1774</t>
        </is>
      </c>
      <c r="B1777" s="232" t="inlineStr">
        <is>
          <t>2026/27</t>
        </is>
      </c>
      <c r="C1777" s="233" t="n">
        <v>46053</v>
      </c>
      <c r="D1777" s="232" t="inlineStr">
        <is>
          <t>878197</t>
        </is>
      </c>
      <c r="E1777" s="232" t="inlineStr">
        <is>
          <t>PRORRATEO</t>
        </is>
      </c>
      <c r="F1777" s="232" t="inlineStr">
        <is>
          <t>El Molle</t>
        </is>
      </c>
      <c r="G1777" s="232" t="inlineStr">
        <is>
          <t>arrufatinas 5,74 ha</t>
        </is>
      </c>
      <c r="H1777" s="232" t="inlineStr">
        <is>
          <t>Clementinas</t>
        </is>
      </c>
      <c r="I1777" s="232" t="inlineStr">
        <is>
          <t>Arrufatinas</t>
        </is>
      </c>
      <c r="J1777" s="232" t="inlineStr">
        <is>
          <t>MANT. Y REP. CONSTRUCCIONES</t>
        </is>
      </c>
      <c r="K1777" s="232" t="inlineStr">
        <is>
          <t>MANTENCION INFRAESTRUCTURA</t>
        </is>
      </c>
      <c r="L1777" s="232" t="inlineStr">
        <is>
          <t>[PRORRATEO 3.9% 5.74há/148.3há] O/001339 PT ESMALTE</t>
        </is>
      </c>
      <c r="M1777" s="232" t="inlineStr"/>
      <c r="N1777" s="232" t="inlineStr">
        <is>
          <t>.   .   -</t>
        </is>
      </c>
      <c r="O1777" s="232" t="inlineStr">
        <is>
          <t>ENERO</t>
        </is>
      </c>
      <c r="P1777" s="232" t="n">
        <v>5</v>
      </c>
      <c r="Q1777" s="234" t="n">
        <v>962</v>
      </c>
      <c r="R1777" s="232" t="inlineStr"/>
      <c r="S1777" s="234" t="n">
        <v>962</v>
      </c>
      <c r="T1777" s="232" t="inlineStr">
        <is>
          <t>CLP</t>
        </is>
      </c>
      <c r="U1777" s="232" t="inlineStr">
        <is>
          <t>Prorrateo Ha BODEGA</t>
        </is>
      </c>
      <c r="V1777" s="232" t="inlineStr">
        <is>
          <t>2026-06-18</t>
        </is>
      </c>
    </row>
    <row r="1778">
      <c r="A1778" s="232" t="inlineStr">
        <is>
          <t>CR-1775</t>
        </is>
      </c>
      <c r="B1778" s="232" t="inlineStr">
        <is>
          <t>2026/27</t>
        </is>
      </c>
      <c r="C1778" s="233" t="n">
        <v>46053</v>
      </c>
      <c r="D1778" s="232" t="inlineStr">
        <is>
          <t>878197</t>
        </is>
      </c>
      <c r="E1778" s="232" t="inlineStr">
        <is>
          <t>PRORRATEO</t>
        </is>
      </c>
      <c r="F1778" s="232" t="inlineStr">
        <is>
          <t>El Molle</t>
        </is>
      </c>
      <c r="G1778" s="232" t="inlineStr">
        <is>
          <t>orogrande 8,11 ha</t>
        </is>
      </c>
      <c r="H1778" s="232" t="inlineStr">
        <is>
          <t>Clementinas</t>
        </is>
      </c>
      <c r="I1778" s="232" t="inlineStr">
        <is>
          <t>Orogrande</t>
        </is>
      </c>
      <c r="J1778" s="232" t="inlineStr">
        <is>
          <t>MANT. Y REP. CONSTRUCCIONES</t>
        </is>
      </c>
      <c r="K1778" s="232" t="inlineStr">
        <is>
          <t>MANTENCION INFRAESTRUCTURA</t>
        </is>
      </c>
      <c r="L1778" s="232" t="inlineStr">
        <is>
          <t>[PRORRATEO 5.5% 8.11há/148.3há] O/001339 PT ESMALTE</t>
        </is>
      </c>
      <c r="M1778" s="232" t="inlineStr"/>
      <c r="N1778" s="232" t="inlineStr">
        <is>
          <t>.   .   -</t>
        </is>
      </c>
      <c r="O1778" s="232" t="inlineStr">
        <is>
          <t>ENERO</t>
        </is>
      </c>
      <c r="P1778" s="232" t="n">
        <v>5</v>
      </c>
      <c r="Q1778" s="234" t="n">
        <v>1359</v>
      </c>
      <c r="R1778" s="232" t="inlineStr"/>
      <c r="S1778" s="234" t="n">
        <v>1359</v>
      </c>
      <c r="T1778" s="232" t="inlineStr">
        <is>
          <t>CLP</t>
        </is>
      </c>
      <c r="U1778" s="232" t="inlineStr">
        <is>
          <t>Prorrateo Ha BODEGA</t>
        </is>
      </c>
      <c r="V1778" s="232" t="inlineStr">
        <is>
          <t>2026-06-18</t>
        </is>
      </c>
    </row>
    <row r="1779">
      <c r="A1779" s="232" t="inlineStr">
        <is>
          <t>CR-1776</t>
        </is>
      </c>
      <c r="B1779" s="232" t="inlineStr">
        <is>
          <t>2026/27</t>
        </is>
      </c>
      <c r="C1779" s="233" t="n">
        <v>46053</v>
      </c>
      <c r="D1779" s="232" t="inlineStr">
        <is>
          <t>878197</t>
        </is>
      </c>
      <c r="E1779" s="232" t="inlineStr">
        <is>
          <t>PRORRATEO</t>
        </is>
      </c>
      <c r="F1779" s="232" t="inlineStr">
        <is>
          <t>El Molle</t>
        </is>
      </c>
      <c r="G1779" s="232" t="inlineStr">
        <is>
          <t>oronules 5,35 ha</t>
        </is>
      </c>
      <c r="H1779" s="232" t="inlineStr">
        <is>
          <t>Clementinas</t>
        </is>
      </c>
      <c r="I1779" s="232" t="inlineStr">
        <is>
          <t>Oronules</t>
        </is>
      </c>
      <c r="J1779" s="232" t="inlineStr">
        <is>
          <t>MANT. Y REP. CONSTRUCCIONES</t>
        </is>
      </c>
      <c r="K1779" s="232" t="inlineStr">
        <is>
          <t>MANTENCION INFRAESTRUCTURA</t>
        </is>
      </c>
      <c r="L1779" s="232" t="inlineStr">
        <is>
          <t>[PRORRATEO 3.6% 5.35há/148.3há] O/001339 PT ESMALTE</t>
        </is>
      </c>
      <c r="M1779" s="232" t="inlineStr"/>
      <c r="N1779" s="232" t="inlineStr">
        <is>
          <t>.   .   -</t>
        </is>
      </c>
      <c r="O1779" s="232" t="inlineStr">
        <is>
          <t>ENERO</t>
        </is>
      </c>
      <c r="P1779" s="232" t="n">
        <v>5</v>
      </c>
      <c r="Q1779" s="234" t="n">
        <v>897</v>
      </c>
      <c r="R1779" s="232" t="inlineStr"/>
      <c r="S1779" s="234" t="n">
        <v>897</v>
      </c>
      <c r="T1779" s="232" t="inlineStr">
        <is>
          <t>CLP</t>
        </is>
      </c>
      <c r="U1779" s="232" t="inlineStr">
        <is>
          <t>Prorrateo Ha BODEGA</t>
        </is>
      </c>
      <c r="V1779" s="232" t="inlineStr">
        <is>
          <t>2026-06-18</t>
        </is>
      </c>
    </row>
    <row r="1780">
      <c r="A1780" s="232" t="inlineStr">
        <is>
          <t>CR-1777</t>
        </is>
      </c>
      <c r="B1780" s="232" t="inlineStr">
        <is>
          <t>2026/27</t>
        </is>
      </c>
      <c r="C1780" s="233" t="n">
        <v>46053</v>
      </c>
      <c r="D1780" s="232" t="inlineStr">
        <is>
          <t>878197</t>
        </is>
      </c>
      <c r="E1780" s="232" t="inlineStr">
        <is>
          <t>PRORRATEO</t>
        </is>
      </c>
      <c r="F1780" s="232" t="inlineStr">
        <is>
          <t>Santa Catalina</t>
        </is>
      </c>
      <c r="G1780" s="232" t="inlineStr">
        <is>
          <t>Fino 49 7,7 ha</t>
        </is>
      </c>
      <c r="H1780" s="232" t="inlineStr">
        <is>
          <t>Limon</t>
        </is>
      </c>
      <c r="I1780" s="232" t="inlineStr">
        <is>
          <t>Fino 49</t>
        </is>
      </c>
      <c r="J1780" s="232" t="inlineStr">
        <is>
          <t>MANT. Y REP. CONSTRUCCIONES</t>
        </is>
      </c>
      <c r="K1780" s="232" t="inlineStr">
        <is>
          <t>MANTENCION INFRAESTRUCTURA</t>
        </is>
      </c>
      <c r="L1780" s="232" t="inlineStr">
        <is>
          <t>[PRORRATEO 5.2% 7.7há/148.3há] O/001339 PT ESMALTE</t>
        </is>
      </c>
      <c r="M1780" s="232" t="inlineStr"/>
      <c r="N1780" s="232" t="inlineStr">
        <is>
          <t>.   .   -</t>
        </is>
      </c>
      <c r="O1780" s="232" t="inlineStr">
        <is>
          <t>ENERO</t>
        </is>
      </c>
      <c r="P1780" s="232" t="n">
        <v>5</v>
      </c>
      <c r="Q1780" s="234" t="n">
        <v>1290</v>
      </c>
      <c r="R1780" s="232" t="inlineStr"/>
      <c r="S1780" s="234" t="n">
        <v>1290</v>
      </c>
      <c r="T1780" s="232" t="inlineStr">
        <is>
          <t>CLP</t>
        </is>
      </c>
      <c r="U1780" s="232" t="inlineStr">
        <is>
          <t>Prorrateo Ha BODEGA</t>
        </is>
      </c>
      <c r="V1780" s="232" t="inlineStr">
        <is>
          <t>2026-06-18</t>
        </is>
      </c>
    </row>
    <row r="1781">
      <c r="A1781" s="232" t="inlineStr">
        <is>
          <t>CR-1778</t>
        </is>
      </c>
      <c r="B1781" s="232" t="inlineStr">
        <is>
          <t>2026/27</t>
        </is>
      </c>
      <c r="C1781" s="233" t="n">
        <v>46053</v>
      </c>
      <c r="D1781" s="232" t="inlineStr">
        <is>
          <t>878197</t>
        </is>
      </c>
      <c r="E1781" s="232" t="inlineStr">
        <is>
          <t>PRORRATEO</t>
        </is>
      </c>
      <c r="F1781" s="232" t="inlineStr">
        <is>
          <t>Santa Catalina</t>
        </is>
      </c>
      <c r="G1781" s="232" t="inlineStr">
        <is>
          <t>W. murcott 21 ha</t>
        </is>
      </c>
      <c r="H1781" s="232" t="inlineStr">
        <is>
          <t>Mandarina</t>
        </is>
      </c>
      <c r="I1781" s="232" t="inlineStr">
        <is>
          <t>W. murcott</t>
        </is>
      </c>
      <c r="J1781" s="232" t="inlineStr">
        <is>
          <t>MANT. Y REP. CONSTRUCCIONES</t>
        </is>
      </c>
      <c r="K1781" s="232" t="inlineStr">
        <is>
          <t>MANTENCION INFRAESTRUCTURA</t>
        </is>
      </c>
      <c r="L1781" s="232" t="inlineStr">
        <is>
          <t>[PRORRATEO 14.2% 21.0há/148.3há] O/001339 PT ESMALTE</t>
        </is>
      </c>
      <c r="M1781" s="232" t="inlineStr"/>
      <c r="N1781" s="232" t="inlineStr">
        <is>
          <t>.   .   -</t>
        </is>
      </c>
      <c r="O1781" s="232" t="inlineStr">
        <is>
          <t>ENERO</t>
        </is>
      </c>
      <c r="P1781" s="232" t="n">
        <v>5</v>
      </c>
      <c r="Q1781" s="234" t="n">
        <v>3519</v>
      </c>
      <c r="R1781" s="232" t="inlineStr"/>
      <c r="S1781" s="234" t="n">
        <v>3519</v>
      </c>
      <c r="T1781" s="232" t="inlineStr">
        <is>
          <t>CLP</t>
        </is>
      </c>
      <c r="U1781" s="232" t="inlineStr">
        <is>
          <t>Prorrateo Ha BODEGA</t>
        </is>
      </c>
      <c r="V1781" s="232" t="inlineStr">
        <is>
          <t>2026-06-18</t>
        </is>
      </c>
    </row>
    <row r="1782">
      <c r="A1782" s="232" t="inlineStr">
        <is>
          <t>CR-1779</t>
        </is>
      </c>
      <c r="B1782" s="232" t="inlineStr">
        <is>
          <t>2026/27</t>
        </is>
      </c>
      <c r="C1782" s="233" t="n">
        <v>46053</v>
      </c>
      <c r="D1782" s="232" t="inlineStr">
        <is>
          <t>878197</t>
        </is>
      </c>
      <c r="E1782" s="232" t="inlineStr">
        <is>
          <t>PRORRATEO</t>
        </is>
      </c>
      <c r="F1782" s="232" t="inlineStr">
        <is>
          <t>Santa Catalina</t>
        </is>
      </c>
      <c r="G1782" s="232" t="inlineStr">
        <is>
          <t>cambria 4,2 ha</t>
        </is>
      </c>
      <c r="H1782" s="232" t="inlineStr">
        <is>
          <t>Naranjas</t>
        </is>
      </c>
      <c r="I1782" s="232" t="inlineStr">
        <is>
          <t>Cambria</t>
        </is>
      </c>
      <c r="J1782" s="232" t="inlineStr">
        <is>
          <t>MANT. Y REP. CONSTRUCCIONES</t>
        </is>
      </c>
      <c r="K1782" s="232" t="inlineStr">
        <is>
          <t>MANTENCION INFRAESTRUCTURA</t>
        </is>
      </c>
      <c r="L1782" s="232" t="inlineStr">
        <is>
          <t>[PRORRATEO 2.8% 4.2há/148.3há] O/001339 PT ESMALTE</t>
        </is>
      </c>
      <c r="M1782" s="232" t="inlineStr"/>
      <c r="N1782" s="232" t="inlineStr">
        <is>
          <t>.   .   -</t>
        </is>
      </c>
      <c r="O1782" s="232" t="inlineStr">
        <is>
          <t>ENERO</t>
        </is>
      </c>
      <c r="P1782" s="232" t="n">
        <v>5</v>
      </c>
      <c r="Q1782" s="234" t="n">
        <v>704</v>
      </c>
      <c r="R1782" s="232" t="inlineStr"/>
      <c r="S1782" s="234" t="n">
        <v>704</v>
      </c>
      <c r="T1782" s="232" t="inlineStr">
        <is>
          <t>CLP</t>
        </is>
      </c>
      <c r="U1782" s="232" t="inlineStr">
        <is>
          <t>Prorrateo Ha BODEGA</t>
        </is>
      </c>
      <c r="V1782" s="232" t="inlineStr">
        <is>
          <t>2026-06-18</t>
        </is>
      </c>
    </row>
    <row r="1783">
      <c r="A1783" s="232" t="inlineStr">
        <is>
          <t>CR-1780</t>
        </is>
      </c>
      <c r="B1783" s="232" t="inlineStr">
        <is>
          <t>2026/27</t>
        </is>
      </c>
      <c r="C1783" s="233" t="n">
        <v>46053</v>
      </c>
      <c r="D1783" s="232" t="inlineStr">
        <is>
          <t>878197</t>
        </is>
      </c>
      <c r="E1783" s="232" t="inlineStr">
        <is>
          <t>PRORRATEO</t>
        </is>
      </c>
      <c r="F1783" s="232" t="inlineStr">
        <is>
          <t>Santa Catalina</t>
        </is>
      </c>
      <c r="G1783" s="232" t="inlineStr">
        <is>
          <t>eureka 10,6 ha</t>
        </is>
      </c>
      <c r="H1783" s="232" t="inlineStr">
        <is>
          <t>Limon</t>
        </is>
      </c>
      <c r="I1783" s="232" t="inlineStr">
        <is>
          <t>Eureka</t>
        </is>
      </c>
      <c r="J1783" s="232" t="inlineStr">
        <is>
          <t>MANT. Y REP. CONSTRUCCIONES</t>
        </is>
      </c>
      <c r="K1783" s="232" t="inlineStr">
        <is>
          <t>MANTENCION INFRAESTRUCTURA</t>
        </is>
      </c>
      <c r="L1783" s="232" t="inlineStr">
        <is>
          <t>[PRORRATEO 7.1% 10.6há/148.3há] O/001339 PT ESMALTE</t>
        </is>
      </c>
      <c r="M1783" s="232" t="inlineStr"/>
      <c r="N1783" s="232" t="inlineStr">
        <is>
          <t>.   .   -</t>
        </is>
      </c>
      <c r="O1783" s="232" t="inlineStr">
        <is>
          <t>ENERO</t>
        </is>
      </c>
      <c r="P1783" s="232" t="n">
        <v>5</v>
      </c>
      <c r="Q1783" s="234" t="n">
        <v>1776</v>
      </c>
      <c r="R1783" s="232" t="inlineStr"/>
      <c r="S1783" s="234" t="n">
        <v>1776</v>
      </c>
      <c r="T1783" s="232" t="inlineStr">
        <is>
          <t>CLP</t>
        </is>
      </c>
      <c r="U1783" s="232" t="inlineStr">
        <is>
          <t>Prorrateo Ha BODEGA</t>
        </is>
      </c>
      <c r="V1783" s="232" t="inlineStr">
        <is>
          <t>2026-06-18</t>
        </is>
      </c>
    </row>
    <row r="1784">
      <c r="A1784" s="232" t="inlineStr">
        <is>
          <t>CR-1781</t>
        </is>
      </c>
      <c r="B1784" s="232" t="inlineStr">
        <is>
          <t>2026/27</t>
        </is>
      </c>
      <c r="C1784" s="233" t="n">
        <v>46053</v>
      </c>
      <c r="D1784" s="232" t="inlineStr">
        <is>
          <t>878197</t>
        </is>
      </c>
      <c r="E1784" s="232" t="inlineStr">
        <is>
          <t>PRORRATEO</t>
        </is>
      </c>
      <c r="F1784" s="232" t="inlineStr">
        <is>
          <t>Santa Catalina</t>
        </is>
      </c>
      <c r="G1784" s="232" t="inlineStr">
        <is>
          <t>eureka 14,4 ha</t>
        </is>
      </c>
      <c r="H1784" s="232" t="inlineStr">
        <is>
          <t>Limon</t>
        </is>
      </c>
      <c r="I1784" s="232" t="inlineStr">
        <is>
          <t>Eureka</t>
        </is>
      </c>
      <c r="J1784" s="232" t="inlineStr">
        <is>
          <t>MANT. Y REP. CONSTRUCCIONES</t>
        </is>
      </c>
      <c r="K1784" s="232" t="inlineStr">
        <is>
          <t>MANTENCION INFRAESTRUCTURA</t>
        </is>
      </c>
      <c r="L1784" s="232" t="inlineStr">
        <is>
          <t>[PRORRATEO 9.7% 14.4há/148.3há] O/001339 PT ESMALTE</t>
        </is>
      </c>
      <c r="M1784" s="232" t="inlineStr"/>
      <c r="N1784" s="232" t="inlineStr">
        <is>
          <t>.   .   -</t>
        </is>
      </c>
      <c r="O1784" s="232" t="inlineStr">
        <is>
          <t>ENERO</t>
        </is>
      </c>
      <c r="P1784" s="232" t="n">
        <v>5</v>
      </c>
      <c r="Q1784" s="234" t="n">
        <v>2413</v>
      </c>
      <c r="R1784" s="232" t="inlineStr"/>
      <c r="S1784" s="234" t="n">
        <v>2413</v>
      </c>
      <c r="T1784" s="232" t="inlineStr">
        <is>
          <t>CLP</t>
        </is>
      </c>
      <c r="U1784" s="232" t="inlineStr">
        <is>
          <t>Prorrateo Ha BODEGA</t>
        </is>
      </c>
      <c r="V1784" s="232" t="inlineStr">
        <is>
          <t>2026-06-18</t>
        </is>
      </c>
    </row>
    <row r="1785">
      <c r="A1785" s="232" t="inlineStr">
        <is>
          <t>CR-1782</t>
        </is>
      </c>
      <c r="B1785" s="232" t="inlineStr">
        <is>
          <t>2026/27</t>
        </is>
      </c>
      <c r="C1785" s="233" t="n">
        <v>46053</v>
      </c>
      <c r="D1785" s="232" t="inlineStr">
        <is>
          <t>878197</t>
        </is>
      </c>
      <c r="E1785" s="232" t="inlineStr">
        <is>
          <t>PRORRATEO</t>
        </is>
      </c>
      <c r="F1785" s="232" t="inlineStr">
        <is>
          <t>Santa Catalina</t>
        </is>
      </c>
      <c r="G1785" s="232" t="inlineStr">
        <is>
          <t>eureka 22,55</t>
        </is>
      </c>
      <c r="H1785" s="232" t="inlineStr">
        <is>
          <t>Limon</t>
        </is>
      </c>
      <c r="I1785" s="232" t="inlineStr">
        <is>
          <t>Eureka</t>
        </is>
      </c>
      <c r="J1785" s="232" t="inlineStr">
        <is>
          <t>MANT. Y REP. CONSTRUCCIONES</t>
        </is>
      </c>
      <c r="K1785" s="232" t="inlineStr">
        <is>
          <t>MANTENCION INFRAESTRUCTURA</t>
        </is>
      </c>
      <c r="L1785" s="232" t="inlineStr">
        <is>
          <t>[PRORRATEO 15.2% 22.55há/148.3há] O/001339 PT ESMALTE</t>
        </is>
      </c>
      <c r="M1785" s="232" t="inlineStr"/>
      <c r="N1785" s="232" t="inlineStr">
        <is>
          <t>.   .   -</t>
        </is>
      </c>
      <c r="O1785" s="232" t="inlineStr">
        <is>
          <t>ENERO</t>
        </is>
      </c>
      <c r="P1785" s="232" t="n">
        <v>5</v>
      </c>
      <c r="Q1785" s="234" t="n">
        <v>3779</v>
      </c>
      <c r="R1785" s="232" t="inlineStr"/>
      <c r="S1785" s="234" t="n">
        <v>3779</v>
      </c>
      <c r="T1785" s="232" t="inlineStr">
        <is>
          <t>CLP</t>
        </is>
      </c>
      <c r="U1785" s="232" t="inlineStr">
        <is>
          <t>Prorrateo Ha BODEGA</t>
        </is>
      </c>
      <c r="V1785" s="232" t="inlineStr">
        <is>
          <t>2026-06-18</t>
        </is>
      </c>
    </row>
    <row r="1786">
      <c r="A1786" s="232" t="inlineStr">
        <is>
          <t>CR-1783</t>
        </is>
      </c>
      <c r="B1786" s="232" t="inlineStr">
        <is>
          <t>2026/27</t>
        </is>
      </c>
      <c r="C1786" s="233" t="n">
        <v>46053</v>
      </c>
      <c r="D1786" s="232" t="inlineStr">
        <is>
          <t>878197</t>
        </is>
      </c>
      <c r="E1786" s="232" t="inlineStr">
        <is>
          <t>PRORRATEO</t>
        </is>
      </c>
      <c r="F1786" s="232" t="inlineStr">
        <is>
          <t>Santa Catalina</t>
        </is>
      </c>
      <c r="G1786" s="232" t="inlineStr">
        <is>
          <t>form benjamin 1,93 ha</t>
        </is>
      </c>
      <c r="H1786" s="232" t="inlineStr">
        <is>
          <t>Limon</t>
        </is>
      </c>
      <c r="I1786" s="232" t="inlineStr">
        <is>
          <t>Benjamin andes</t>
        </is>
      </c>
      <c r="J1786" s="232" t="inlineStr">
        <is>
          <t>MANT. Y REP. CONSTRUCCIONES</t>
        </is>
      </c>
      <c r="K1786" s="232" t="inlineStr">
        <is>
          <t>MANTENCION INFRAESTRUCTURA</t>
        </is>
      </c>
      <c r="L1786" s="232" t="inlineStr">
        <is>
          <t>[PRORRATEO 1.3% 1.93há/148.3há] O/001339 PT ESMALTE</t>
        </is>
      </c>
      <c r="M1786" s="232" t="inlineStr"/>
      <c r="N1786" s="232" t="inlineStr">
        <is>
          <t>.   .   -</t>
        </is>
      </c>
      <c r="O1786" s="232" t="inlineStr">
        <is>
          <t>ENERO</t>
        </is>
      </c>
      <c r="P1786" s="232" t="n">
        <v>5</v>
      </c>
      <c r="Q1786" s="234" t="n">
        <v>323</v>
      </c>
      <c r="R1786" s="232" t="inlineStr"/>
      <c r="S1786" s="234" t="n">
        <v>323</v>
      </c>
      <c r="T1786" s="232" t="inlineStr">
        <is>
          <t>CLP</t>
        </is>
      </c>
      <c r="U1786" s="232" t="inlineStr">
        <is>
          <t>Prorrateo Ha BODEGA</t>
        </is>
      </c>
      <c r="V1786" s="232" t="inlineStr">
        <is>
          <t>2026-06-18</t>
        </is>
      </c>
    </row>
    <row r="1787">
      <c r="A1787" s="232" t="inlineStr">
        <is>
          <t>CR-1784</t>
        </is>
      </c>
      <c r="B1787" s="232" t="inlineStr">
        <is>
          <t>2026/27</t>
        </is>
      </c>
      <c r="C1787" s="233" t="n">
        <v>46053</v>
      </c>
      <c r="D1787" s="232" t="inlineStr">
        <is>
          <t>878197</t>
        </is>
      </c>
      <c r="E1787" s="232" t="inlineStr">
        <is>
          <t>PRORRATEO</t>
        </is>
      </c>
      <c r="F1787" s="232" t="inlineStr">
        <is>
          <t>Santa Catalina</t>
        </is>
      </c>
      <c r="G1787" s="232" t="inlineStr">
        <is>
          <t>mant eureka 2,5 ha</t>
        </is>
      </c>
      <c r="H1787" s="232" t="inlineStr">
        <is>
          <t>Limon</t>
        </is>
      </c>
      <c r="I1787" s="232" t="inlineStr">
        <is>
          <t>Eureka</t>
        </is>
      </c>
      <c r="J1787" s="232" t="inlineStr">
        <is>
          <t>MANT. Y REP. CONSTRUCCIONES</t>
        </is>
      </c>
      <c r="K1787" s="232" t="inlineStr">
        <is>
          <t>MANTENCION INFRAESTRUCTURA</t>
        </is>
      </c>
      <c r="L1787" s="232" t="inlineStr">
        <is>
          <t>[PRORRATEO 1.7% 2.5há/148.3há] O/001339 PT ESMALTE</t>
        </is>
      </c>
      <c r="M1787" s="232" t="inlineStr"/>
      <c r="N1787" s="232" t="inlineStr">
        <is>
          <t>.   .   -</t>
        </is>
      </c>
      <c r="O1787" s="232" t="inlineStr">
        <is>
          <t>ENERO</t>
        </is>
      </c>
      <c r="P1787" s="232" t="n">
        <v>5</v>
      </c>
      <c r="Q1787" s="234" t="n">
        <v>419</v>
      </c>
      <c r="R1787" s="232" t="inlineStr"/>
      <c r="S1787" s="234" t="n">
        <v>419</v>
      </c>
      <c r="T1787" s="232" t="inlineStr">
        <is>
          <t>CLP</t>
        </is>
      </c>
      <c r="U1787" s="232" t="inlineStr">
        <is>
          <t>Prorrateo Ha BODEGA</t>
        </is>
      </c>
      <c r="V1787" s="232" t="inlineStr">
        <is>
          <t>2026-06-18</t>
        </is>
      </c>
    </row>
    <row r="1788">
      <c r="A1788" s="232" t="inlineStr">
        <is>
          <t>CR-1785</t>
        </is>
      </c>
      <c r="B1788" s="232" t="inlineStr">
        <is>
          <t>2026/27</t>
        </is>
      </c>
      <c r="C1788" s="233" t="n">
        <v>46053</v>
      </c>
      <c r="D1788" s="232" t="inlineStr">
        <is>
          <t>878197</t>
        </is>
      </c>
      <c r="E1788" s="232" t="inlineStr">
        <is>
          <t>PRORRATEO</t>
        </is>
      </c>
      <c r="F1788" s="232" t="inlineStr">
        <is>
          <t>Siberia</t>
        </is>
      </c>
      <c r="G1788" s="232" t="inlineStr">
        <is>
          <t>S. Celebration 7,14</t>
        </is>
      </c>
      <c r="H1788" s="232" t="inlineStr">
        <is>
          <t>Uvas</t>
        </is>
      </c>
      <c r="I1788" s="232" t="inlineStr">
        <is>
          <t>S. celebration</t>
        </is>
      </c>
      <c r="J1788" s="232" t="inlineStr">
        <is>
          <t>MANT. Y REP. CONSTRUCCIONES</t>
        </is>
      </c>
      <c r="K1788" s="232" t="inlineStr">
        <is>
          <t>MANTENCION INFRAESTRUCTURA</t>
        </is>
      </c>
      <c r="L1788" s="232" t="inlineStr">
        <is>
          <t>[PRORRATEO 4.8% 7.14há/148.3há] O/001339 PT ESMALTE</t>
        </is>
      </c>
      <c r="M1788" s="232" t="inlineStr"/>
      <c r="N1788" s="232" t="inlineStr">
        <is>
          <t>.   .   -</t>
        </is>
      </c>
      <c r="O1788" s="232" t="inlineStr">
        <is>
          <t>ENERO</t>
        </is>
      </c>
      <c r="P1788" s="232" t="n">
        <v>5</v>
      </c>
      <c r="Q1788" s="234" t="n">
        <v>1196</v>
      </c>
      <c r="R1788" s="232" t="inlineStr"/>
      <c r="S1788" s="234" t="n">
        <v>1196</v>
      </c>
      <c r="T1788" s="232" t="inlineStr">
        <is>
          <t>CLP</t>
        </is>
      </c>
      <c r="U1788" s="232" t="inlineStr">
        <is>
          <t>Prorrateo Ha BODEGA</t>
        </is>
      </c>
      <c r="V1788" s="232" t="inlineStr">
        <is>
          <t>2026-06-18</t>
        </is>
      </c>
    </row>
    <row r="1789">
      <c r="A1789" s="232" t="inlineStr">
        <is>
          <t>CR-1786</t>
        </is>
      </c>
      <c r="B1789" s="232" t="inlineStr">
        <is>
          <t>2026/27</t>
        </is>
      </c>
      <c r="C1789" s="233" t="n">
        <v>46053</v>
      </c>
      <c r="D1789" s="232" t="inlineStr">
        <is>
          <t>878197</t>
        </is>
      </c>
      <c r="E1789" s="232" t="inlineStr">
        <is>
          <t>PRORRATEO</t>
        </is>
      </c>
      <c r="F1789" s="232" t="inlineStr">
        <is>
          <t>Siberia</t>
        </is>
      </c>
      <c r="G1789" s="232" t="inlineStr">
        <is>
          <t>Timpson 7,1</t>
        </is>
      </c>
      <c r="H1789" s="232" t="inlineStr">
        <is>
          <t>Uvas</t>
        </is>
      </c>
      <c r="I1789" s="232" t="inlineStr">
        <is>
          <t>Timpson</t>
        </is>
      </c>
      <c r="J1789" s="232" t="inlineStr">
        <is>
          <t>MANT. Y REP. CONSTRUCCIONES</t>
        </is>
      </c>
      <c r="K1789" s="232" t="inlineStr">
        <is>
          <t>MANTENCION INFRAESTRUCTURA</t>
        </is>
      </c>
      <c r="L1789" s="232" t="inlineStr">
        <is>
          <t>[PRORRATEO 4.8% 7.1há/148.3há] O/001339 PT ESMALTE</t>
        </is>
      </c>
      <c r="M1789" s="232" t="inlineStr"/>
      <c r="N1789" s="232" t="inlineStr">
        <is>
          <t>.   .   -</t>
        </is>
      </c>
      <c r="O1789" s="232" t="inlineStr">
        <is>
          <t>ENERO</t>
        </is>
      </c>
      <c r="P1789" s="232" t="n">
        <v>5</v>
      </c>
      <c r="Q1789" s="234" t="n">
        <v>1190</v>
      </c>
      <c r="R1789" s="232" t="inlineStr"/>
      <c r="S1789" s="234" t="n">
        <v>1190</v>
      </c>
      <c r="T1789" s="232" t="inlineStr">
        <is>
          <t>CLP</t>
        </is>
      </c>
      <c r="U1789" s="232" t="inlineStr">
        <is>
          <t>Prorrateo Ha BODEGA</t>
        </is>
      </c>
      <c r="V1789" s="232" t="inlineStr">
        <is>
          <t>2026-06-18</t>
        </is>
      </c>
    </row>
    <row r="1790">
      <c r="A1790" s="232" t="inlineStr">
        <is>
          <t>CR-1787</t>
        </is>
      </c>
      <c r="B1790" s="232" t="inlineStr">
        <is>
          <t>2026/27</t>
        </is>
      </c>
      <c r="C1790" s="233" t="n">
        <v>46053</v>
      </c>
      <c r="D1790" s="232" t="inlineStr">
        <is>
          <t>878198</t>
        </is>
      </c>
      <c r="E1790" s="232" t="inlineStr">
        <is>
          <t>PRORRATEO</t>
        </is>
      </c>
      <c r="F1790" s="232" t="inlineStr">
        <is>
          <t>Asmara</t>
        </is>
      </c>
      <c r="G1790" s="232" t="inlineStr">
        <is>
          <t>w. murcott 19,8 ha</t>
        </is>
      </c>
      <c r="H1790" s="232" t="inlineStr">
        <is>
          <t>Mandarina</t>
        </is>
      </c>
      <c r="I1790" s="232" t="inlineStr">
        <is>
          <t>W. murcott</t>
        </is>
      </c>
      <c r="J1790" s="232" t="inlineStr">
        <is>
          <t>MANT. Y REP. PLANTACIONES</t>
        </is>
      </c>
      <c r="K1790" s="232" t="inlineStr">
        <is>
          <t>MANTENCION HUERTO</t>
        </is>
      </c>
      <c r="L1790" s="232" t="inlineStr">
        <is>
          <t>[PRORRATEO 13.4% 19.8há/148.3há] O/001340 RUEDA CARR</t>
        </is>
      </c>
      <c r="M1790" s="232" t="inlineStr"/>
      <c r="N1790" s="232" t="inlineStr">
        <is>
          <t>.   .   -</t>
        </is>
      </c>
      <c r="O1790" s="232" t="inlineStr">
        <is>
          <t>ENERO</t>
        </is>
      </c>
      <c r="P1790" s="232" t="n">
        <v>5</v>
      </c>
      <c r="Q1790" s="234" t="n">
        <v>3964</v>
      </c>
      <c r="R1790" s="232" t="inlineStr"/>
      <c r="S1790" s="234" t="n">
        <v>3964</v>
      </c>
      <c r="T1790" s="232" t="inlineStr">
        <is>
          <t>CLP</t>
        </is>
      </c>
      <c r="U1790" s="232" t="inlineStr">
        <is>
          <t>Prorrateo Ha BODEGA</t>
        </is>
      </c>
      <c r="V1790" s="232" t="inlineStr">
        <is>
          <t>2026-06-18</t>
        </is>
      </c>
    </row>
    <row r="1791">
      <c r="A1791" s="232" t="inlineStr">
        <is>
          <t>CR-1788</t>
        </is>
      </c>
      <c r="B1791" s="232" t="inlineStr">
        <is>
          <t>2026/27</t>
        </is>
      </c>
      <c r="C1791" s="233" t="n">
        <v>46053</v>
      </c>
      <c r="D1791" s="232" t="inlineStr">
        <is>
          <t>878198</t>
        </is>
      </c>
      <c r="E1791" s="232" t="inlineStr">
        <is>
          <t>PRORRATEO</t>
        </is>
      </c>
      <c r="F1791" s="232" t="inlineStr">
        <is>
          <t>Asmara</t>
        </is>
      </c>
      <c r="G1791" s="232" t="inlineStr">
        <is>
          <t>w. murcott 4,9 ha</t>
        </is>
      </c>
      <c r="H1791" s="232" t="inlineStr">
        <is>
          <t>Mandarina</t>
        </is>
      </c>
      <c r="I1791" s="232" t="inlineStr">
        <is>
          <t>W. murcott</t>
        </is>
      </c>
      <c r="J1791" s="232" t="inlineStr">
        <is>
          <t>MANT. Y REP. PLANTACIONES</t>
        </is>
      </c>
      <c r="K1791" s="232" t="inlineStr">
        <is>
          <t>MANTENCION HUERTO</t>
        </is>
      </c>
      <c r="L1791" s="232" t="inlineStr">
        <is>
          <t>[PRORRATEO 3.3% 4.9há/148.3há] O/001340 RUEDA CARR</t>
        </is>
      </c>
      <c r="M1791" s="232" t="inlineStr"/>
      <c r="N1791" s="232" t="inlineStr">
        <is>
          <t>.   .   -</t>
        </is>
      </c>
      <c r="O1791" s="232" t="inlineStr">
        <is>
          <t>ENERO</t>
        </is>
      </c>
      <c r="P1791" s="232" t="n">
        <v>5</v>
      </c>
      <c r="Q1791" s="234" t="n">
        <v>981</v>
      </c>
      <c r="R1791" s="232" t="inlineStr"/>
      <c r="S1791" s="234" t="n">
        <v>981</v>
      </c>
      <c r="T1791" s="232" t="inlineStr">
        <is>
          <t>CLP</t>
        </is>
      </c>
      <c r="U1791" s="232" t="inlineStr">
        <is>
          <t>Prorrateo Ha BODEGA</t>
        </is>
      </c>
      <c r="V1791" s="232" t="inlineStr">
        <is>
          <t>2026-06-18</t>
        </is>
      </c>
    </row>
    <row r="1792">
      <c r="A1792" s="232" t="inlineStr">
        <is>
          <t>CR-1789</t>
        </is>
      </c>
      <c r="B1792" s="232" t="inlineStr">
        <is>
          <t>2026/27</t>
        </is>
      </c>
      <c r="C1792" s="233" t="n">
        <v>46053</v>
      </c>
      <c r="D1792" s="232" t="inlineStr">
        <is>
          <t>878198</t>
        </is>
      </c>
      <c r="E1792" s="232" t="inlineStr">
        <is>
          <t>PRORRATEO</t>
        </is>
      </c>
      <c r="F1792" s="232" t="inlineStr">
        <is>
          <t>El Molle</t>
        </is>
      </c>
      <c r="G1792" s="232" t="inlineStr">
        <is>
          <t>Wonderful 5,25 ha</t>
        </is>
      </c>
      <c r="H1792" s="232" t="inlineStr">
        <is>
          <t>Granados</t>
        </is>
      </c>
      <c r="I1792" s="232" t="inlineStr">
        <is>
          <t>Wonderfull</t>
        </is>
      </c>
      <c r="J1792" s="232" t="inlineStr">
        <is>
          <t>MANT. Y REP. PLANTACIONES</t>
        </is>
      </c>
      <c r="K1792" s="232" t="inlineStr">
        <is>
          <t>MANTENCION HUERTO</t>
        </is>
      </c>
      <c r="L1792" s="232" t="inlineStr">
        <is>
          <t>[PRORRATEO 3.5% 5.24há/148.3há] O/001340 RUEDA CARR</t>
        </is>
      </c>
      <c r="M1792" s="232" t="inlineStr"/>
      <c r="N1792" s="232" t="inlineStr">
        <is>
          <t>.   .   -</t>
        </is>
      </c>
      <c r="O1792" s="232" t="inlineStr">
        <is>
          <t>ENERO</t>
        </is>
      </c>
      <c r="P1792" s="232" t="n">
        <v>5</v>
      </c>
      <c r="Q1792" s="234" t="n">
        <v>1049</v>
      </c>
      <c r="R1792" s="232" t="inlineStr"/>
      <c r="S1792" s="234" t="n">
        <v>1049</v>
      </c>
      <c r="T1792" s="232" t="inlineStr">
        <is>
          <t>CLP</t>
        </is>
      </c>
      <c r="U1792" s="232" t="inlineStr">
        <is>
          <t>Prorrateo Ha BODEGA</t>
        </is>
      </c>
      <c r="V1792" s="232" t="inlineStr">
        <is>
          <t>2026-06-18</t>
        </is>
      </c>
    </row>
    <row r="1793">
      <c r="A1793" s="232" t="inlineStr">
        <is>
          <t>CR-1790</t>
        </is>
      </c>
      <c r="B1793" s="232" t="inlineStr">
        <is>
          <t>2026/27</t>
        </is>
      </c>
      <c r="C1793" s="233" t="n">
        <v>46053</v>
      </c>
      <c r="D1793" s="232" t="inlineStr">
        <is>
          <t>878198</t>
        </is>
      </c>
      <c r="E1793" s="232" t="inlineStr">
        <is>
          <t>PRORRATEO</t>
        </is>
      </c>
      <c r="F1793" s="232" t="inlineStr">
        <is>
          <t>El Molle</t>
        </is>
      </c>
      <c r="G1793" s="232" t="inlineStr">
        <is>
          <t>arrufatinas 5,74 ha</t>
        </is>
      </c>
      <c r="H1793" s="232" t="inlineStr">
        <is>
          <t>Clementinas</t>
        </is>
      </c>
      <c r="I1793" s="232" t="inlineStr">
        <is>
          <t>Arrufatinas</t>
        </is>
      </c>
      <c r="J1793" s="232" t="inlineStr">
        <is>
          <t>MANT. Y REP. PLANTACIONES</t>
        </is>
      </c>
      <c r="K1793" s="232" t="inlineStr">
        <is>
          <t>MANTENCION HUERTO</t>
        </is>
      </c>
      <c r="L1793" s="232" t="inlineStr">
        <is>
          <t>[PRORRATEO 3.9% 5.74há/148.3há] O/001340 RUEDA CARR</t>
        </is>
      </c>
      <c r="M1793" s="232" t="inlineStr"/>
      <c r="N1793" s="232" t="inlineStr">
        <is>
          <t>.   .   -</t>
        </is>
      </c>
      <c r="O1793" s="232" t="inlineStr">
        <is>
          <t>ENERO</t>
        </is>
      </c>
      <c r="P1793" s="232" t="n">
        <v>5</v>
      </c>
      <c r="Q1793" s="234" t="n">
        <v>1149</v>
      </c>
      <c r="R1793" s="232" t="inlineStr"/>
      <c r="S1793" s="234" t="n">
        <v>1149</v>
      </c>
      <c r="T1793" s="232" t="inlineStr">
        <is>
          <t>CLP</t>
        </is>
      </c>
      <c r="U1793" s="232" t="inlineStr">
        <is>
          <t>Prorrateo Ha BODEGA</t>
        </is>
      </c>
      <c r="V1793" s="232" t="inlineStr">
        <is>
          <t>2026-06-18</t>
        </is>
      </c>
    </row>
    <row r="1794">
      <c r="A1794" s="232" t="inlineStr">
        <is>
          <t>CR-1791</t>
        </is>
      </c>
      <c r="B1794" s="232" t="inlineStr">
        <is>
          <t>2026/27</t>
        </is>
      </c>
      <c r="C1794" s="233" t="n">
        <v>46053</v>
      </c>
      <c r="D1794" s="232" t="inlineStr">
        <is>
          <t>878198</t>
        </is>
      </c>
      <c r="E1794" s="232" t="inlineStr">
        <is>
          <t>PRORRATEO</t>
        </is>
      </c>
      <c r="F1794" s="232" t="inlineStr">
        <is>
          <t>El Molle</t>
        </is>
      </c>
      <c r="G1794" s="232" t="inlineStr">
        <is>
          <t>orogrande 8,11 ha</t>
        </is>
      </c>
      <c r="H1794" s="232" t="inlineStr">
        <is>
          <t>Clementinas</t>
        </is>
      </c>
      <c r="I1794" s="232" t="inlineStr">
        <is>
          <t>Orogrande</t>
        </is>
      </c>
      <c r="J1794" s="232" t="inlineStr">
        <is>
          <t>MANT. Y REP. PLANTACIONES</t>
        </is>
      </c>
      <c r="K1794" s="232" t="inlineStr">
        <is>
          <t>MANTENCION HUERTO</t>
        </is>
      </c>
      <c r="L1794" s="232" t="inlineStr">
        <is>
          <t>[PRORRATEO 5.5% 8.11há/148.3há] O/001340 RUEDA CARR</t>
        </is>
      </c>
      <c r="M1794" s="232" t="inlineStr"/>
      <c r="N1794" s="232" t="inlineStr">
        <is>
          <t>.   .   -</t>
        </is>
      </c>
      <c r="O1794" s="232" t="inlineStr">
        <is>
          <t>ENERO</t>
        </is>
      </c>
      <c r="P1794" s="232" t="n">
        <v>5</v>
      </c>
      <c r="Q1794" s="234" t="n">
        <v>1624</v>
      </c>
      <c r="R1794" s="232" t="inlineStr"/>
      <c r="S1794" s="234" t="n">
        <v>1624</v>
      </c>
      <c r="T1794" s="232" t="inlineStr">
        <is>
          <t>CLP</t>
        </is>
      </c>
      <c r="U1794" s="232" t="inlineStr">
        <is>
          <t>Prorrateo Ha BODEGA</t>
        </is>
      </c>
      <c r="V1794" s="232" t="inlineStr">
        <is>
          <t>2026-06-18</t>
        </is>
      </c>
    </row>
    <row r="1795">
      <c r="A1795" s="232" t="inlineStr">
        <is>
          <t>CR-1792</t>
        </is>
      </c>
      <c r="B1795" s="232" t="inlineStr">
        <is>
          <t>2026/27</t>
        </is>
      </c>
      <c r="C1795" s="233" t="n">
        <v>46053</v>
      </c>
      <c r="D1795" s="232" t="inlineStr">
        <is>
          <t>878198</t>
        </is>
      </c>
      <c r="E1795" s="232" t="inlineStr">
        <is>
          <t>PRORRATEO</t>
        </is>
      </c>
      <c r="F1795" s="232" t="inlineStr">
        <is>
          <t>El Molle</t>
        </is>
      </c>
      <c r="G1795" s="232" t="inlineStr">
        <is>
          <t>oronules 5,35 ha</t>
        </is>
      </c>
      <c r="H1795" s="232" t="inlineStr">
        <is>
          <t>Clementinas</t>
        </is>
      </c>
      <c r="I1795" s="232" t="inlineStr">
        <is>
          <t>Oronules</t>
        </is>
      </c>
      <c r="J1795" s="232" t="inlineStr">
        <is>
          <t>MANT. Y REP. PLANTACIONES</t>
        </is>
      </c>
      <c r="K1795" s="232" t="inlineStr">
        <is>
          <t>MANTENCION HUERTO</t>
        </is>
      </c>
      <c r="L1795" s="232" t="inlineStr">
        <is>
          <t>[PRORRATEO 3.6% 5.35há/148.3há] O/001340 RUEDA CARR</t>
        </is>
      </c>
      <c r="M1795" s="232" t="inlineStr"/>
      <c r="N1795" s="232" t="inlineStr">
        <is>
          <t>.   .   -</t>
        </is>
      </c>
      <c r="O1795" s="232" t="inlineStr">
        <is>
          <t>ENERO</t>
        </is>
      </c>
      <c r="P1795" s="232" t="n">
        <v>5</v>
      </c>
      <c r="Q1795" s="234" t="n">
        <v>1071</v>
      </c>
      <c r="R1795" s="232" t="inlineStr"/>
      <c r="S1795" s="234" t="n">
        <v>1071</v>
      </c>
      <c r="T1795" s="232" t="inlineStr">
        <is>
          <t>CLP</t>
        </is>
      </c>
      <c r="U1795" s="232" t="inlineStr">
        <is>
          <t>Prorrateo Ha BODEGA</t>
        </is>
      </c>
      <c r="V1795" s="232" t="inlineStr">
        <is>
          <t>2026-06-18</t>
        </is>
      </c>
    </row>
    <row r="1796">
      <c r="A1796" s="232" t="inlineStr">
        <is>
          <t>CR-1793</t>
        </is>
      </c>
      <c r="B1796" s="232" t="inlineStr">
        <is>
          <t>2026/27</t>
        </is>
      </c>
      <c r="C1796" s="233" t="n">
        <v>46053</v>
      </c>
      <c r="D1796" s="232" t="inlineStr">
        <is>
          <t>878198</t>
        </is>
      </c>
      <c r="E1796" s="232" t="inlineStr">
        <is>
          <t>PRORRATEO</t>
        </is>
      </c>
      <c r="F1796" s="232" t="inlineStr">
        <is>
          <t>Santa Catalina</t>
        </is>
      </c>
      <c r="G1796" s="232" t="inlineStr">
        <is>
          <t>Fino 49 7,7 ha</t>
        </is>
      </c>
      <c r="H1796" s="232" t="inlineStr">
        <is>
          <t>Limon</t>
        </is>
      </c>
      <c r="I1796" s="232" t="inlineStr">
        <is>
          <t>Fino 49</t>
        </is>
      </c>
      <c r="J1796" s="232" t="inlineStr">
        <is>
          <t>MANT. Y REP. PLANTACIONES</t>
        </is>
      </c>
      <c r="K1796" s="232" t="inlineStr">
        <is>
          <t>MANTENCION HUERTO</t>
        </is>
      </c>
      <c r="L1796" s="232" t="inlineStr">
        <is>
          <t>[PRORRATEO 5.2% 7.7há/148.3há] O/001340 RUEDA CARR</t>
        </is>
      </c>
      <c r="M1796" s="232" t="inlineStr"/>
      <c r="N1796" s="232" t="inlineStr">
        <is>
          <t>.   .   -</t>
        </is>
      </c>
      <c r="O1796" s="232" t="inlineStr">
        <is>
          <t>ENERO</t>
        </is>
      </c>
      <c r="P1796" s="232" t="n">
        <v>5</v>
      </c>
      <c r="Q1796" s="234" t="n">
        <v>1542</v>
      </c>
      <c r="R1796" s="232" t="inlineStr"/>
      <c r="S1796" s="234" t="n">
        <v>1542</v>
      </c>
      <c r="T1796" s="232" t="inlineStr">
        <is>
          <t>CLP</t>
        </is>
      </c>
      <c r="U1796" s="232" t="inlineStr">
        <is>
          <t>Prorrateo Ha BODEGA</t>
        </is>
      </c>
      <c r="V1796" s="232" t="inlineStr">
        <is>
          <t>2026-06-18</t>
        </is>
      </c>
    </row>
    <row r="1797">
      <c r="A1797" s="232" t="inlineStr">
        <is>
          <t>CR-1794</t>
        </is>
      </c>
      <c r="B1797" s="232" t="inlineStr">
        <is>
          <t>2026/27</t>
        </is>
      </c>
      <c r="C1797" s="233" t="n">
        <v>46053</v>
      </c>
      <c r="D1797" s="232" t="inlineStr">
        <is>
          <t>878198</t>
        </is>
      </c>
      <c r="E1797" s="232" t="inlineStr">
        <is>
          <t>PRORRATEO</t>
        </is>
      </c>
      <c r="F1797" s="232" t="inlineStr">
        <is>
          <t>Santa Catalina</t>
        </is>
      </c>
      <c r="G1797" s="232" t="inlineStr">
        <is>
          <t>W. murcott 21 ha</t>
        </is>
      </c>
      <c r="H1797" s="232" t="inlineStr">
        <is>
          <t>Mandarina</t>
        </is>
      </c>
      <c r="I1797" s="232" t="inlineStr">
        <is>
          <t>W. murcott</t>
        </is>
      </c>
      <c r="J1797" s="232" t="inlineStr">
        <is>
          <t>MANT. Y REP. PLANTACIONES</t>
        </is>
      </c>
      <c r="K1797" s="232" t="inlineStr">
        <is>
          <t>MANTENCION HUERTO</t>
        </is>
      </c>
      <c r="L1797" s="232" t="inlineStr">
        <is>
          <t>[PRORRATEO 14.2% 21.0há/148.3há] O/001340 RUEDA CARR</t>
        </is>
      </c>
      <c r="M1797" s="232" t="inlineStr"/>
      <c r="N1797" s="232" t="inlineStr">
        <is>
          <t>.   .   -</t>
        </is>
      </c>
      <c r="O1797" s="232" t="inlineStr">
        <is>
          <t>ENERO</t>
        </is>
      </c>
      <c r="P1797" s="232" t="n">
        <v>5</v>
      </c>
      <c r="Q1797" s="234" t="n">
        <v>4204</v>
      </c>
      <c r="R1797" s="232" t="inlineStr"/>
      <c r="S1797" s="234" t="n">
        <v>4204</v>
      </c>
      <c r="T1797" s="232" t="inlineStr">
        <is>
          <t>CLP</t>
        </is>
      </c>
      <c r="U1797" s="232" t="inlineStr">
        <is>
          <t>Prorrateo Ha BODEGA</t>
        </is>
      </c>
      <c r="V1797" s="232" t="inlineStr">
        <is>
          <t>2026-06-18</t>
        </is>
      </c>
    </row>
    <row r="1798">
      <c r="A1798" s="232" t="inlineStr">
        <is>
          <t>CR-1795</t>
        </is>
      </c>
      <c r="B1798" s="232" t="inlineStr">
        <is>
          <t>2026/27</t>
        </is>
      </c>
      <c r="C1798" s="233" t="n">
        <v>46053</v>
      </c>
      <c r="D1798" s="232" t="inlineStr">
        <is>
          <t>878198</t>
        </is>
      </c>
      <c r="E1798" s="232" t="inlineStr">
        <is>
          <t>PRORRATEO</t>
        </is>
      </c>
      <c r="F1798" s="232" t="inlineStr">
        <is>
          <t>Santa Catalina</t>
        </is>
      </c>
      <c r="G1798" s="232" t="inlineStr">
        <is>
          <t>cambria 4,2 ha</t>
        </is>
      </c>
      <c r="H1798" s="232" t="inlineStr">
        <is>
          <t>Naranjas</t>
        </is>
      </c>
      <c r="I1798" s="232" t="inlineStr">
        <is>
          <t>Cambria</t>
        </is>
      </c>
      <c r="J1798" s="232" t="inlineStr">
        <is>
          <t>MANT. Y REP. PLANTACIONES</t>
        </is>
      </c>
      <c r="K1798" s="232" t="inlineStr">
        <is>
          <t>MANTENCION HUERTO</t>
        </is>
      </c>
      <c r="L1798" s="232" t="inlineStr">
        <is>
          <t>[PRORRATEO 2.8% 4.2há/148.3há] O/001340 RUEDA CARR</t>
        </is>
      </c>
      <c r="M1798" s="232" t="inlineStr"/>
      <c r="N1798" s="232" t="inlineStr">
        <is>
          <t>.   .   -</t>
        </is>
      </c>
      <c r="O1798" s="232" t="inlineStr">
        <is>
          <t>ENERO</t>
        </is>
      </c>
      <c r="P1798" s="232" t="n">
        <v>5</v>
      </c>
      <c r="Q1798" s="234" t="n">
        <v>841</v>
      </c>
      <c r="R1798" s="232" t="inlineStr"/>
      <c r="S1798" s="234" t="n">
        <v>841</v>
      </c>
      <c r="T1798" s="232" t="inlineStr">
        <is>
          <t>CLP</t>
        </is>
      </c>
      <c r="U1798" s="232" t="inlineStr">
        <is>
          <t>Prorrateo Ha BODEGA</t>
        </is>
      </c>
      <c r="V1798" s="232" t="inlineStr">
        <is>
          <t>2026-06-18</t>
        </is>
      </c>
    </row>
    <row r="1799">
      <c r="A1799" s="232" t="inlineStr">
        <is>
          <t>CR-1796</t>
        </is>
      </c>
      <c r="B1799" s="232" t="inlineStr">
        <is>
          <t>2026/27</t>
        </is>
      </c>
      <c r="C1799" s="233" t="n">
        <v>46053</v>
      </c>
      <c r="D1799" s="232" t="inlineStr">
        <is>
          <t>878198</t>
        </is>
      </c>
      <c r="E1799" s="232" t="inlineStr">
        <is>
          <t>PRORRATEO</t>
        </is>
      </c>
      <c r="F1799" s="232" t="inlineStr">
        <is>
          <t>Santa Catalina</t>
        </is>
      </c>
      <c r="G1799" s="232" t="inlineStr">
        <is>
          <t>eureka 10,6 ha</t>
        </is>
      </c>
      <c r="H1799" s="232" t="inlineStr">
        <is>
          <t>Limon</t>
        </is>
      </c>
      <c r="I1799" s="232" t="inlineStr">
        <is>
          <t>Eureka</t>
        </is>
      </c>
      <c r="J1799" s="232" t="inlineStr">
        <is>
          <t>MANT. Y REP. PLANTACIONES</t>
        </is>
      </c>
      <c r="K1799" s="232" t="inlineStr">
        <is>
          <t>MANTENCION HUERTO</t>
        </is>
      </c>
      <c r="L1799" s="232" t="inlineStr">
        <is>
          <t>[PRORRATEO 7.1% 10.6há/148.3há] O/001340 RUEDA CARR</t>
        </is>
      </c>
      <c r="M1799" s="232" t="inlineStr"/>
      <c r="N1799" s="232" t="inlineStr">
        <is>
          <t>.   .   -</t>
        </is>
      </c>
      <c r="O1799" s="232" t="inlineStr">
        <is>
          <t>ENERO</t>
        </is>
      </c>
      <c r="P1799" s="232" t="n">
        <v>5</v>
      </c>
      <c r="Q1799" s="234" t="n">
        <v>2122</v>
      </c>
      <c r="R1799" s="232" t="inlineStr"/>
      <c r="S1799" s="234" t="n">
        <v>2122</v>
      </c>
      <c r="T1799" s="232" t="inlineStr">
        <is>
          <t>CLP</t>
        </is>
      </c>
      <c r="U1799" s="232" t="inlineStr">
        <is>
          <t>Prorrateo Ha BODEGA</t>
        </is>
      </c>
      <c r="V1799" s="232" t="inlineStr">
        <is>
          <t>2026-06-18</t>
        </is>
      </c>
    </row>
    <row r="1800">
      <c r="A1800" s="232" t="inlineStr">
        <is>
          <t>CR-1797</t>
        </is>
      </c>
      <c r="B1800" s="232" t="inlineStr">
        <is>
          <t>2026/27</t>
        </is>
      </c>
      <c r="C1800" s="233" t="n">
        <v>46053</v>
      </c>
      <c r="D1800" s="232" t="inlineStr">
        <is>
          <t>878198</t>
        </is>
      </c>
      <c r="E1800" s="232" t="inlineStr">
        <is>
          <t>PRORRATEO</t>
        </is>
      </c>
      <c r="F1800" s="232" t="inlineStr">
        <is>
          <t>Santa Catalina</t>
        </is>
      </c>
      <c r="G1800" s="232" t="inlineStr">
        <is>
          <t>eureka 14,4 ha</t>
        </is>
      </c>
      <c r="H1800" s="232" t="inlineStr">
        <is>
          <t>Limon</t>
        </is>
      </c>
      <c r="I1800" s="232" t="inlineStr">
        <is>
          <t>Eureka</t>
        </is>
      </c>
      <c r="J1800" s="232" t="inlineStr">
        <is>
          <t>MANT. Y REP. PLANTACIONES</t>
        </is>
      </c>
      <c r="K1800" s="232" t="inlineStr">
        <is>
          <t>MANTENCION HUERTO</t>
        </is>
      </c>
      <c r="L1800" s="232" t="inlineStr">
        <is>
          <t>[PRORRATEO 9.7% 14.4há/148.3há] O/001340 RUEDA CARR</t>
        </is>
      </c>
      <c r="M1800" s="232" t="inlineStr"/>
      <c r="N1800" s="232" t="inlineStr">
        <is>
          <t>.   .   -</t>
        </is>
      </c>
      <c r="O1800" s="232" t="inlineStr">
        <is>
          <t>ENERO</t>
        </is>
      </c>
      <c r="P1800" s="232" t="n">
        <v>5</v>
      </c>
      <c r="Q1800" s="234" t="n">
        <v>2883</v>
      </c>
      <c r="R1800" s="232" t="inlineStr"/>
      <c r="S1800" s="234" t="n">
        <v>2883</v>
      </c>
      <c r="T1800" s="232" t="inlineStr">
        <is>
          <t>CLP</t>
        </is>
      </c>
      <c r="U1800" s="232" t="inlineStr">
        <is>
          <t>Prorrateo Ha BODEGA</t>
        </is>
      </c>
      <c r="V1800" s="232" t="inlineStr">
        <is>
          <t>2026-06-18</t>
        </is>
      </c>
    </row>
    <row r="1801">
      <c r="A1801" s="232" t="inlineStr">
        <is>
          <t>CR-1798</t>
        </is>
      </c>
      <c r="B1801" s="232" t="inlineStr">
        <is>
          <t>2026/27</t>
        </is>
      </c>
      <c r="C1801" s="233" t="n">
        <v>46053</v>
      </c>
      <c r="D1801" s="232" t="inlineStr">
        <is>
          <t>878198</t>
        </is>
      </c>
      <c r="E1801" s="232" t="inlineStr">
        <is>
          <t>PRORRATEO</t>
        </is>
      </c>
      <c r="F1801" s="232" t="inlineStr">
        <is>
          <t>Santa Catalina</t>
        </is>
      </c>
      <c r="G1801" s="232" t="inlineStr">
        <is>
          <t>eureka 22,55</t>
        </is>
      </c>
      <c r="H1801" s="232" t="inlineStr">
        <is>
          <t>Limon</t>
        </is>
      </c>
      <c r="I1801" s="232" t="inlineStr">
        <is>
          <t>Eureka</t>
        </is>
      </c>
      <c r="J1801" s="232" t="inlineStr">
        <is>
          <t>MANT. Y REP. PLANTACIONES</t>
        </is>
      </c>
      <c r="K1801" s="232" t="inlineStr">
        <is>
          <t>MANTENCION HUERTO</t>
        </is>
      </c>
      <c r="L1801" s="232" t="inlineStr">
        <is>
          <t>[PRORRATEO 15.2% 22.55há/148.3há] O/001340 RUEDA CARR</t>
        </is>
      </c>
      <c r="M1801" s="232" t="inlineStr"/>
      <c r="N1801" s="232" t="inlineStr">
        <is>
          <t>.   .   -</t>
        </is>
      </c>
      <c r="O1801" s="232" t="inlineStr">
        <is>
          <t>ENERO</t>
        </is>
      </c>
      <c r="P1801" s="232" t="n">
        <v>5</v>
      </c>
      <c r="Q1801" s="234" t="n">
        <v>4515</v>
      </c>
      <c r="R1801" s="232" t="inlineStr"/>
      <c r="S1801" s="234" t="n">
        <v>4515</v>
      </c>
      <c r="T1801" s="232" t="inlineStr">
        <is>
          <t>CLP</t>
        </is>
      </c>
      <c r="U1801" s="232" t="inlineStr">
        <is>
          <t>Prorrateo Ha BODEGA</t>
        </is>
      </c>
      <c r="V1801" s="232" t="inlineStr">
        <is>
          <t>2026-06-18</t>
        </is>
      </c>
    </row>
    <row r="1802">
      <c r="A1802" s="232" t="inlineStr">
        <is>
          <t>CR-1799</t>
        </is>
      </c>
      <c r="B1802" s="232" t="inlineStr">
        <is>
          <t>2026/27</t>
        </is>
      </c>
      <c r="C1802" s="233" t="n">
        <v>46053</v>
      </c>
      <c r="D1802" s="232" t="inlineStr">
        <is>
          <t>878198</t>
        </is>
      </c>
      <c r="E1802" s="232" t="inlineStr">
        <is>
          <t>PRORRATEO</t>
        </is>
      </c>
      <c r="F1802" s="232" t="inlineStr">
        <is>
          <t>Santa Catalina</t>
        </is>
      </c>
      <c r="G1802" s="232" t="inlineStr">
        <is>
          <t>form benjamin 1,93 ha</t>
        </is>
      </c>
      <c r="H1802" s="232" t="inlineStr">
        <is>
          <t>Limon</t>
        </is>
      </c>
      <c r="I1802" s="232" t="inlineStr">
        <is>
          <t>Benjamin andes</t>
        </is>
      </c>
      <c r="J1802" s="232" t="inlineStr">
        <is>
          <t>MANT. Y REP. PLANTACIONES</t>
        </is>
      </c>
      <c r="K1802" s="232" t="inlineStr">
        <is>
          <t>MANTENCION HUERTO</t>
        </is>
      </c>
      <c r="L1802" s="232" t="inlineStr">
        <is>
          <t>[PRORRATEO 1.3% 1.93há/148.3há] O/001340 RUEDA CARR</t>
        </is>
      </c>
      <c r="M1802" s="232" t="inlineStr"/>
      <c r="N1802" s="232" t="inlineStr">
        <is>
          <t>.   .   -</t>
        </is>
      </c>
      <c r="O1802" s="232" t="inlineStr">
        <is>
          <t>ENERO</t>
        </is>
      </c>
      <c r="P1802" s="232" t="n">
        <v>5</v>
      </c>
      <c r="Q1802" s="234" t="n">
        <v>386</v>
      </c>
      <c r="R1802" s="232" t="inlineStr"/>
      <c r="S1802" s="234" t="n">
        <v>386</v>
      </c>
      <c r="T1802" s="232" t="inlineStr">
        <is>
          <t>CLP</t>
        </is>
      </c>
      <c r="U1802" s="232" t="inlineStr">
        <is>
          <t>Prorrateo Ha BODEGA</t>
        </is>
      </c>
      <c r="V1802" s="232" t="inlineStr">
        <is>
          <t>2026-06-18</t>
        </is>
      </c>
    </row>
    <row r="1803">
      <c r="A1803" s="232" t="inlineStr">
        <is>
          <t>CR-1800</t>
        </is>
      </c>
      <c r="B1803" s="232" t="inlineStr">
        <is>
          <t>2026/27</t>
        </is>
      </c>
      <c r="C1803" s="233" t="n">
        <v>46053</v>
      </c>
      <c r="D1803" s="232" t="inlineStr">
        <is>
          <t>878198</t>
        </is>
      </c>
      <c r="E1803" s="232" t="inlineStr">
        <is>
          <t>PRORRATEO</t>
        </is>
      </c>
      <c r="F1803" s="232" t="inlineStr">
        <is>
          <t>Santa Catalina</t>
        </is>
      </c>
      <c r="G1803" s="232" t="inlineStr">
        <is>
          <t>mant eureka 2,5 ha</t>
        </is>
      </c>
      <c r="H1803" s="232" t="inlineStr">
        <is>
          <t>Limon</t>
        </is>
      </c>
      <c r="I1803" s="232" t="inlineStr">
        <is>
          <t>Eureka</t>
        </is>
      </c>
      <c r="J1803" s="232" t="inlineStr">
        <is>
          <t>MANT. Y REP. PLANTACIONES</t>
        </is>
      </c>
      <c r="K1803" s="232" t="inlineStr">
        <is>
          <t>MANTENCION HUERTO</t>
        </is>
      </c>
      <c r="L1803" s="232" t="inlineStr">
        <is>
          <t>[PRORRATEO 1.7% 2.5há/148.3há] O/001340 RUEDA CARR</t>
        </is>
      </c>
      <c r="M1803" s="232" t="inlineStr"/>
      <c r="N1803" s="232" t="inlineStr">
        <is>
          <t>.   .   -</t>
        </is>
      </c>
      <c r="O1803" s="232" t="inlineStr">
        <is>
          <t>ENERO</t>
        </is>
      </c>
      <c r="P1803" s="232" t="n">
        <v>5</v>
      </c>
      <c r="Q1803" s="234" t="n">
        <v>501</v>
      </c>
      <c r="R1803" s="232" t="inlineStr"/>
      <c r="S1803" s="234" t="n">
        <v>501</v>
      </c>
      <c r="T1803" s="232" t="inlineStr">
        <is>
          <t>CLP</t>
        </is>
      </c>
      <c r="U1803" s="232" t="inlineStr">
        <is>
          <t>Prorrateo Ha BODEGA</t>
        </is>
      </c>
      <c r="V1803" s="232" t="inlineStr">
        <is>
          <t>2026-06-18</t>
        </is>
      </c>
    </row>
    <row r="1804">
      <c r="A1804" s="232" t="inlineStr">
        <is>
          <t>CR-1801</t>
        </is>
      </c>
      <c r="B1804" s="232" t="inlineStr">
        <is>
          <t>2026/27</t>
        </is>
      </c>
      <c r="C1804" s="233" t="n">
        <v>46053</v>
      </c>
      <c r="D1804" s="232" t="inlineStr">
        <is>
          <t>878198</t>
        </is>
      </c>
      <c r="E1804" s="232" t="inlineStr">
        <is>
          <t>PRORRATEO</t>
        </is>
      </c>
      <c r="F1804" s="232" t="inlineStr">
        <is>
          <t>Siberia</t>
        </is>
      </c>
      <c r="G1804" s="232" t="inlineStr">
        <is>
          <t>S. Celebration 7,14</t>
        </is>
      </c>
      <c r="H1804" s="232" t="inlineStr">
        <is>
          <t>Uvas</t>
        </is>
      </c>
      <c r="I1804" s="232" t="inlineStr">
        <is>
          <t>S. celebration</t>
        </is>
      </c>
      <c r="J1804" s="232" t="inlineStr">
        <is>
          <t>MANT. Y REP. PLANTACIONES</t>
        </is>
      </c>
      <c r="K1804" s="232" t="inlineStr">
        <is>
          <t>MANTENCION HUERTO</t>
        </is>
      </c>
      <c r="L1804" s="232" t="inlineStr">
        <is>
          <t>[PRORRATEO 4.8% 7.14há/148.3há] O/001340 RUEDA CARR</t>
        </is>
      </c>
      <c r="M1804" s="232" t="inlineStr"/>
      <c r="N1804" s="232" t="inlineStr">
        <is>
          <t>.   .   -</t>
        </is>
      </c>
      <c r="O1804" s="232" t="inlineStr">
        <is>
          <t>ENERO</t>
        </is>
      </c>
      <c r="P1804" s="232" t="n">
        <v>5</v>
      </c>
      <c r="Q1804" s="234" t="n">
        <v>1429</v>
      </c>
      <c r="R1804" s="232" t="inlineStr"/>
      <c r="S1804" s="234" t="n">
        <v>1429</v>
      </c>
      <c r="T1804" s="232" t="inlineStr">
        <is>
          <t>CLP</t>
        </is>
      </c>
      <c r="U1804" s="232" t="inlineStr">
        <is>
          <t>Prorrateo Ha BODEGA</t>
        </is>
      </c>
      <c r="V1804" s="232" t="inlineStr">
        <is>
          <t>2026-06-18</t>
        </is>
      </c>
    </row>
    <row r="1805">
      <c r="A1805" s="232" t="inlineStr">
        <is>
          <t>CR-1802</t>
        </is>
      </c>
      <c r="B1805" s="232" t="inlineStr">
        <is>
          <t>2026/27</t>
        </is>
      </c>
      <c r="C1805" s="233" t="n">
        <v>46053</v>
      </c>
      <c r="D1805" s="232" t="inlineStr">
        <is>
          <t>878198</t>
        </is>
      </c>
      <c r="E1805" s="232" t="inlineStr">
        <is>
          <t>PRORRATEO</t>
        </is>
      </c>
      <c r="F1805" s="232" t="inlineStr">
        <is>
          <t>Siberia</t>
        </is>
      </c>
      <c r="G1805" s="232" t="inlineStr">
        <is>
          <t>Timpson 7,1</t>
        </is>
      </c>
      <c r="H1805" s="232" t="inlineStr">
        <is>
          <t>Uvas</t>
        </is>
      </c>
      <c r="I1805" s="232" t="inlineStr">
        <is>
          <t>Timpson</t>
        </is>
      </c>
      <c r="J1805" s="232" t="inlineStr">
        <is>
          <t>MANT. Y REP. PLANTACIONES</t>
        </is>
      </c>
      <c r="K1805" s="232" t="inlineStr">
        <is>
          <t>MANTENCION HUERTO</t>
        </is>
      </c>
      <c r="L1805" s="232" t="inlineStr">
        <is>
          <t>[PRORRATEO 4.8% 7.1há/148.3há] O/001340 RUEDA CARR</t>
        </is>
      </c>
      <c r="M1805" s="232" t="inlineStr"/>
      <c r="N1805" s="232" t="inlineStr">
        <is>
          <t>.   .   -</t>
        </is>
      </c>
      <c r="O1805" s="232" t="inlineStr">
        <is>
          <t>ENERO</t>
        </is>
      </c>
      <c r="P1805" s="232" t="n">
        <v>5</v>
      </c>
      <c r="Q1805" s="234" t="n">
        <v>1421</v>
      </c>
      <c r="R1805" s="232" t="inlineStr"/>
      <c r="S1805" s="234" t="n">
        <v>1421</v>
      </c>
      <c r="T1805" s="232" t="inlineStr">
        <is>
          <t>CLP</t>
        </is>
      </c>
      <c r="U1805" s="232" t="inlineStr">
        <is>
          <t>Prorrateo Ha BODEGA</t>
        </is>
      </c>
      <c r="V1805" s="232" t="inlineStr">
        <is>
          <t>2026-06-18</t>
        </is>
      </c>
    </row>
    <row r="1806">
      <c r="A1806" s="232" t="inlineStr">
        <is>
          <t>CR-1803</t>
        </is>
      </c>
      <c r="B1806" s="232" t="inlineStr">
        <is>
          <t>2026/27</t>
        </is>
      </c>
      <c r="C1806" s="233" t="n">
        <v>46053</v>
      </c>
      <c r="D1806" s="232" t="inlineStr">
        <is>
          <t>898673</t>
        </is>
      </c>
      <c r="E1806" s="232" t="inlineStr">
        <is>
          <t>PRORRATEO</t>
        </is>
      </c>
      <c r="F1806" s="232" t="inlineStr">
        <is>
          <t>Asmara</t>
        </is>
      </c>
      <c r="G1806" s="232" t="inlineStr">
        <is>
          <t>w. murcott 19,8 ha</t>
        </is>
      </c>
      <c r="H1806" s="232" t="inlineStr">
        <is>
          <t>Mandarina</t>
        </is>
      </c>
      <c r="I1806" s="232" t="inlineStr">
        <is>
          <t>W. murcott</t>
        </is>
      </c>
      <c r="J1806" s="232" t="inlineStr">
        <is>
          <t>UNIFORME Y EPP</t>
        </is>
      </c>
      <c r="K1806" s="232" t="inlineStr">
        <is>
          <t>EPP</t>
        </is>
      </c>
      <c r="L1806" s="232" t="inlineStr">
        <is>
          <t>[PRORRATEO 13.4% 19.8há/148.3há] O/001282 COTONA POP</t>
        </is>
      </c>
      <c r="M1806" s="232" t="inlineStr"/>
      <c r="N1806" s="232" t="inlineStr">
        <is>
          <t>.   .   -</t>
        </is>
      </c>
      <c r="O1806" s="232" t="inlineStr">
        <is>
          <t>ENERO</t>
        </is>
      </c>
      <c r="P1806" s="232" t="n">
        <v>5</v>
      </c>
      <c r="Q1806" s="234" t="n">
        <v>1576</v>
      </c>
      <c r="R1806" s="232" t="inlineStr"/>
      <c r="S1806" s="234" t="n">
        <v>1576</v>
      </c>
      <c r="T1806" s="232" t="inlineStr">
        <is>
          <t>CLP</t>
        </is>
      </c>
      <c r="U1806" s="232" t="inlineStr">
        <is>
          <t>Prorrateo Ha PACKING</t>
        </is>
      </c>
      <c r="V1806" s="232" t="inlineStr">
        <is>
          <t>2026-06-18</t>
        </is>
      </c>
    </row>
    <row r="1807">
      <c r="A1807" s="232" t="inlineStr">
        <is>
          <t>CR-1804</t>
        </is>
      </c>
      <c r="B1807" s="232" t="inlineStr">
        <is>
          <t>2026/27</t>
        </is>
      </c>
      <c r="C1807" s="233" t="n">
        <v>46053</v>
      </c>
      <c r="D1807" s="232" t="inlineStr">
        <is>
          <t>898673</t>
        </is>
      </c>
      <c r="E1807" s="232" t="inlineStr">
        <is>
          <t>PRORRATEO</t>
        </is>
      </c>
      <c r="F1807" s="232" t="inlineStr">
        <is>
          <t>Asmara</t>
        </is>
      </c>
      <c r="G1807" s="232" t="inlineStr">
        <is>
          <t>w. murcott 4,9 ha</t>
        </is>
      </c>
      <c r="H1807" s="232" t="inlineStr">
        <is>
          <t>Mandarina</t>
        </is>
      </c>
      <c r="I1807" s="232" t="inlineStr">
        <is>
          <t>W. murcott</t>
        </is>
      </c>
      <c r="J1807" s="232" t="inlineStr">
        <is>
          <t>UNIFORME Y EPP</t>
        </is>
      </c>
      <c r="K1807" s="232" t="inlineStr">
        <is>
          <t>EPP</t>
        </is>
      </c>
      <c r="L1807" s="232" t="inlineStr">
        <is>
          <t>[PRORRATEO 3.3% 4.9há/148.3há] O/001282 COTONA POP</t>
        </is>
      </c>
      <c r="M1807" s="232" t="inlineStr"/>
      <c r="N1807" s="232" t="inlineStr">
        <is>
          <t>.   .   -</t>
        </is>
      </c>
      <c r="O1807" s="232" t="inlineStr">
        <is>
          <t>ENERO</t>
        </is>
      </c>
      <c r="P1807" s="232" t="n">
        <v>5</v>
      </c>
      <c r="Q1807" s="234" t="n">
        <v>390</v>
      </c>
      <c r="R1807" s="232" t="inlineStr"/>
      <c r="S1807" s="234" t="n">
        <v>390</v>
      </c>
      <c r="T1807" s="232" t="inlineStr">
        <is>
          <t>CLP</t>
        </is>
      </c>
      <c r="U1807" s="232" t="inlineStr">
        <is>
          <t>Prorrateo Ha PACKING</t>
        </is>
      </c>
      <c r="V1807" s="232" t="inlineStr">
        <is>
          <t>2026-06-18</t>
        </is>
      </c>
    </row>
    <row r="1808">
      <c r="A1808" s="232" t="inlineStr">
        <is>
          <t>CR-1805</t>
        </is>
      </c>
      <c r="B1808" s="232" t="inlineStr">
        <is>
          <t>2026/27</t>
        </is>
      </c>
      <c r="C1808" s="233" t="n">
        <v>46053</v>
      </c>
      <c r="D1808" s="232" t="inlineStr">
        <is>
          <t>898673</t>
        </is>
      </c>
      <c r="E1808" s="232" t="inlineStr">
        <is>
          <t>PRORRATEO</t>
        </is>
      </c>
      <c r="F1808" s="232" t="inlineStr">
        <is>
          <t>El Molle</t>
        </is>
      </c>
      <c r="G1808" s="232" t="inlineStr">
        <is>
          <t>Wonderful 5,25 ha</t>
        </is>
      </c>
      <c r="H1808" s="232" t="inlineStr">
        <is>
          <t>Granados</t>
        </is>
      </c>
      <c r="I1808" s="232" t="inlineStr">
        <is>
          <t>Wonderfull</t>
        </is>
      </c>
      <c r="J1808" s="232" t="inlineStr">
        <is>
          <t>UNIFORME Y EPP</t>
        </is>
      </c>
      <c r="K1808" s="232" t="inlineStr">
        <is>
          <t>EPP</t>
        </is>
      </c>
      <c r="L1808" s="232" t="inlineStr">
        <is>
          <t>[PRORRATEO 3.5% 5.24há/148.3há] O/001282 COTONA POP</t>
        </is>
      </c>
      <c r="M1808" s="232" t="inlineStr"/>
      <c r="N1808" s="232" t="inlineStr">
        <is>
          <t>.   .   -</t>
        </is>
      </c>
      <c r="O1808" s="232" t="inlineStr">
        <is>
          <t>ENERO</t>
        </is>
      </c>
      <c r="P1808" s="232" t="n">
        <v>5</v>
      </c>
      <c r="Q1808" s="234" t="n">
        <v>417</v>
      </c>
      <c r="R1808" s="232" t="inlineStr"/>
      <c r="S1808" s="234" t="n">
        <v>417</v>
      </c>
      <c r="T1808" s="232" t="inlineStr">
        <is>
          <t>CLP</t>
        </is>
      </c>
      <c r="U1808" s="232" t="inlineStr">
        <is>
          <t>Prorrateo Ha PACKING</t>
        </is>
      </c>
      <c r="V1808" s="232" t="inlineStr">
        <is>
          <t>2026-06-18</t>
        </is>
      </c>
    </row>
    <row r="1809">
      <c r="A1809" s="232" t="inlineStr">
        <is>
          <t>CR-1806</t>
        </is>
      </c>
      <c r="B1809" s="232" t="inlineStr">
        <is>
          <t>2026/27</t>
        </is>
      </c>
      <c r="C1809" s="233" t="n">
        <v>46053</v>
      </c>
      <c r="D1809" s="232" t="inlineStr">
        <is>
          <t>898673</t>
        </is>
      </c>
      <c r="E1809" s="232" t="inlineStr">
        <is>
          <t>PRORRATEO</t>
        </is>
      </c>
      <c r="F1809" s="232" t="inlineStr">
        <is>
          <t>El Molle</t>
        </is>
      </c>
      <c r="G1809" s="232" t="inlineStr">
        <is>
          <t>arrufatinas 5,74 ha</t>
        </is>
      </c>
      <c r="H1809" s="232" t="inlineStr">
        <is>
          <t>Clementinas</t>
        </is>
      </c>
      <c r="I1809" s="232" t="inlineStr">
        <is>
          <t>Arrufatinas</t>
        </is>
      </c>
      <c r="J1809" s="232" t="inlineStr">
        <is>
          <t>UNIFORME Y EPP</t>
        </is>
      </c>
      <c r="K1809" s="232" t="inlineStr">
        <is>
          <t>EPP</t>
        </is>
      </c>
      <c r="L1809" s="232" t="inlineStr">
        <is>
          <t>[PRORRATEO 3.9% 5.74há/148.3há] O/001282 COTONA POP</t>
        </is>
      </c>
      <c r="M1809" s="232" t="inlineStr"/>
      <c r="N1809" s="232" t="inlineStr">
        <is>
          <t>.   .   -</t>
        </is>
      </c>
      <c r="O1809" s="232" t="inlineStr">
        <is>
          <t>ENERO</t>
        </is>
      </c>
      <c r="P1809" s="232" t="n">
        <v>5</v>
      </c>
      <c r="Q1809" s="234" t="n">
        <v>457</v>
      </c>
      <c r="R1809" s="232" t="inlineStr"/>
      <c r="S1809" s="234" t="n">
        <v>457</v>
      </c>
      <c r="T1809" s="232" t="inlineStr">
        <is>
          <t>CLP</t>
        </is>
      </c>
      <c r="U1809" s="232" t="inlineStr">
        <is>
          <t>Prorrateo Ha PACKING</t>
        </is>
      </c>
      <c r="V1809" s="232" t="inlineStr">
        <is>
          <t>2026-06-18</t>
        </is>
      </c>
    </row>
    <row r="1810">
      <c r="A1810" s="232" t="inlineStr">
        <is>
          <t>CR-1807</t>
        </is>
      </c>
      <c r="B1810" s="232" t="inlineStr">
        <is>
          <t>2026/27</t>
        </is>
      </c>
      <c r="C1810" s="233" t="n">
        <v>46053</v>
      </c>
      <c r="D1810" s="232" t="inlineStr">
        <is>
          <t>898673</t>
        </is>
      </c>
      <c r="E1810" s="232" t="inlineStr">
        <is>
          <t>PRORRATEO</t>
        </is>
      </c>
      <c r="F1810" s="232" t="inlineStr">
        <is>
          <t>El Molle</t>
        </is>
      </c>
      <c r="G1810" s="232" t="inlineStr">
        <is>
          <t>orogrande 8,11 ha</t>
        </is>
      </c>
      <c r="H1810" s="232" t="inlineStr">
        <is>
          <t>Clementinas</t>
        </is>
      </c>
      <c r="I1810" s="232" t="inlineStr">
        <is>
          <t>Orogrande</t>
        </is>
      </c>
      <c r="J1810" s="232" t="inlineStr">
        <is>
          <t>UNIFORME Y EPP</t>
        </is>
      </c>
      <c r="K1810" s="232" t="inlineStr">
        <is>
          <t>EPP</t>
        </is>
      </c>
      <c r="L1810" s="232" t="inlineStr">
        <is>
          <t>[PRORRATEO 5.5% 8.11há/148.3há] O/001282 COTONA POP</t>
        </is>
      </c>
      <c r="M1810" s="232" t="inlineStr"/>
      <c r="N1810" s="232" t="inlineStr">
        <is>
          <t>.   .   -</t>
        </is>
      </c>
      <c r="O1810" s="232" t="inlineStr">
        <is>
          <t>ENERO</t>
        </is>
      </c>
      <c r="P1810" s="232" t="n">
        <v>5</v>
      </c>
      <c r="Q1810" s="234" t="n">
        <v>645</v>
      </c>
      <c r="R1810" s="232" t="inlineStr"/>
      <c r="S1810" s="234" t="n">
        <v>645</v>
      </c>
      <c r="T1810" s="232" t="inlineStr">
        <is>
          <t>CLP</t>
        </is>
      </c>
      <c r="U1810" s="232" t="inlineStr">
        <is>
          <t>Prorrateo Ha PACKING</t>
        </is>
      </c>
      <c r="V1810" s="232" t="inlineStr">
        <is>
          <t>2026-06-18</t>
        </is>
      </c>
    </row>
    <row r="1811">
      <c r="A1811" s="232" t="inlineStr">
        <is>
          <t>CR-1808</t>
        </is>
      </c>
      <c r="B1811" s="232" t="inlineStr">
        <is>
          <t>2026/27</t>
        </is>
      </c>
      <c r="C1811" s="233" t="n">
        <v>46053</v>
      </c>
      <c r="D1811" s="232" t="inlineStr">
        <is>
          <t>898673</t>
        </is>
      </c>
      <c r="E1811" s="232" t="inlineStr">
        <is>
          <t>PRORRATEO</t>
        </is>
      </c>
      <c r="F1811" s="232" t="inlineStr">
        <is>
          <t>El Molle</t>
        </is>
      </c>
      <c r="G1811" s="232" t="inlineStr">
        <is>
          <t>oronules 5,35 ha</t>
        </is>
      </c>
      <c r="H1811" s="232" t="inlineStr">
        <is>
          <t>Clementinas</t>
        </is>
      </c>
      <c r="I1811" s="232" t="inlineStr">
        <is>
          <t>Oronules</t>
        </is>
      </c>
      <c r="J1811" s="232" t="inlineStr">
        <is>
          <t>UNIFORME Y EPP</t>
        </is>
      </c>
      <c r="K1811" s="232" t="inlineStr">
        <is>
          <t>EPP</t>
        </is>
      </c>
      <c r="L1811" s="232" t="inlineStr">
        <is>
          <t>[PRORRATEO 3.6% 5.35há/148.3há] O/001282 COTONA POP</t>
        </is>
      </c>
      <c r="M1811" s="232" t="inlineStr"/>
      <c r="N1811" s="232" t="inlineStr">
        <is>
          <t>.   .   -</t>
        </is>
      </c>
      <c r="O1811" s="232" t="inlineStr">
        <is>
          <t>ENERO</t>
        </is>
      </c>
      <c r="P1811" s="232" t="n">
        <v>5</v>
      </c>
      <c r="Q1811" s="234" t="n">
        <v>426</v>
      </c>
      <c r="R1811" s="232" t="inlineStr"/>
      <c r="S1811" s="234" t="n">
        <v>426</v>
      </c>
      <c r="T1811" s="232" t="inlineStr">
        <is>
          <t>CLP</t>
        </is>
      </c>
      <c r="U1811" s="232" t="inlineStr">
        <is>
          <t>Prorrateo Ha PACKING</t>
        </is>
      </c>
      <c r="V1811" s="232" t="inlineStr">
        <is>
          <t>2026-06-18</t>
        </is>
      </c>
    </row>
    <row r="1812">
      <c r="A1812" s="232" t="inlineStr">
        <is>
          <t>CR-1809</t>
        </is>
      </c>
      <c r="B1812" s="232" t="inlineStr">
        <is>
          <t>2026/27</t>
        </is>
      </c>
      <c r="C1812" s="233" t="n">
        <v>46053</v>
      </c>
      <c r="D1812" s="232" t="inlineStr">
        <is>
          <t>898673</t>
        </is>
      </c>
      <c r="E1812" s="232" t="inlineStr">
        <is>
          <t>PRORRATEO</t>
        </is>
      </c>
      <c r="F1812" s="232" t="inlineStr">
        <is>
          <t>Santa Catalina</t>
        </is>
      </c>
      <c r="G1812" s="232" t="inlineStr">
        <is>
          <t>Fino 49 7,7 ha</t>
        </is>
      </c>
      <c r="H1812" s="232" t="inlineStr">
        <is>
          <t>Limon</t>
        </is>
      </c>
      <c r="I1812" s="232" t="inlineStr">
        <is>
          <t>Fino 49</t>
        </is>
      </c>
      <c r="J1812" s="232" t="inlineStr">
        <is>
          <t>UNIFORME Y EPP</t>
        </is>
      </c>
      <c r="K1812" s="232" t="inlineStr">
        <is>
          <t>EPP</t>
        </is>
      </c>
      <c r="L1812" s="232" t="inlineStr">
        <is>
          <t>[PRORRATEO 5.2% 7.7há/148.3há] O/001282 COTONA POP</t>
        </is>
      </c>
      <c r="M1812" s="232" t="inlineStr"/>
      <c r="N1812" s="232" t="inlineStr">
        <is>
          <t>.   .   -</t>
        </is>
      </c>
      <c r="O1812" s="232" t="inlineStr">
        <is>
          <t>ENERO</t>
        </is>
      </c>
      <c r="P1812" s="232" t="n">
        <v>5</v>
      </c>
      <c r="Q1812" s="234" t="n">
        <v>613</v>
      </c>
      <c r="R1812" s="232" t="inlineStr"/>
      <c r="S1812" s="234" t="n">
        <v>613</v>
      </c>
      <c r="T1812" s="232" t="inlineStr">
        <is>
          <t>CLP</t>
        </is>
      </c>
      <c r="U1812" s="232" t="inlineStr">
        <is>
          <t>Prorrateo Ha PACKING</t>
        </is>
      </c>
      <c r="V1812" s="232" t="inlineStr">
        <is>
          <t>2026-06-18</t>
        </is>
      </c>
    </row>
    <row r="1813">
      <c r="A1813" s="232" t="inlineStr">
        <is>
          <t>CR-1810</t>
        </is>
      </c>
      <c r="B1813" s="232" t="inlineStr">
        <is>
          <t>2026/27</t>
        </is>
      </c>
      <c r="C1813" s="233" t="n">
        <v>46053</v>
      </c>
      <c r="D1813" s="232" t="inlineStr">
        <is>
          <t>898673</t>
        </is>
      </c>
      <c r="E1813" s="232" t="inlineStr">
        <is>
          <t>PRORRATEO</t>
        </is>
      </c>
      <c r="F1813" s="232" t="inlineStr">
        <is>
          <t>Santa Catalina</t>
        </is>
      </c>
      <c r="G1813" s="232" t="inlineStr">
        <is>
          <t>W. murcott 21 ha</t>
        </is>
      </c>
      <c r="H1813" s="232" t="inlineStr">
        <is>
          <t>Mandarina</t>
        </is>
      </c>
      <c r="I1813" s="232" t="inlineStr">
        <is>
          <t>W. murcott</t>
        </is>
      </c>
      <c r="J1813" s="232" t="inlineStr">
        <is>
          <t>UNIFORME Y EPP</t>
        </is>
      </c>
      <c r="K1813" s="232" t="inlineStr">
        <is>
          <t>EPP</t>
        </is>
      </c>
      <c r="L1813" s="232" t="inlineStr">
        <is>
          <t>[PRORRATEO 14.2% 21.0há/148.3há] O/001282 COTONA POP</t>
        </is>
      </c>
      <c r="M1813" s="232" t="inlineStr"/>
      <c r="N1813" s="232" t="inlineStr">
        <is>
          <t>.   .   -</t>
        </is>
      </c>
      <c r="O1813" s="232" t="inlineStr">
        <is>
          <t>ENERO</t>
        </is>
      </c>
      <c r="P1813" s="232" t="n">
        <v>5</v>
      </c>
      <c r="Q1813" s="234" t="n">
        <v>1671</v>
      </c>
      <c r="R1813" s="232" t="inlineStr"/>
      <c r="S1813" s="234" t="n">
        <v>1671</v>
      </c>
      <c r="T1813" s="232" t="inlineStr">
        <is>
          <t>CLP</t>
        </is>
      </c>
      <c r="U1813" s="232" t="inlineStr">
        <is>
          <t>Prorrateo Ha PACKING</t>
        </is>
      </c>
      <c r="V1813" s="232" t="inlineStr">
        <is>
          <t>2026-06-18</t>
        </is>
      </c>
    </row>
    <row r="1814">
      <c r="A1814" s="232" t="inlineStr">
        <is>
          <t>CR-1811</t>
        </is>
      </c>
      <c r="B1814" s="232" t="inlineStr">
        <is>
          <t>2026/27</t>
        </is>
      </c>
      <c r="C1814" s="233" t="n">
        <v>46053</v>
      </c>
      <c r="D1814" s="232" t="inlineStr">
        <is>
          <t>898673</t>
        </is>
      </c>
      <c r="E1814" s="232" t="inlineStr">
        <is>
          <t>PRORRATEO</t>
        </is>
      </c>
      <c r="F1814" s="232" t="inlineStr">
        <is>
          <t>Santa Catalina</t>
        </is>
      </c>
      <c r="G1814" s="232" t="inlineStr">
        <is>
          <t>cambria 4,2 ha</t>
        </is>
      </c>
      <c r="H1814" s="232" t="inlineStr">
        <is>
          <t>Naranjas</t>
        </is>
      </c>
      <c r="I1814" s="232" t="inlineStr">
        <is>
          <t>Cambria</t>
        </is>
      </c>
      <c r="J1814" s="232" t="inlineStr">
        <is>
          <t>UNIFORME Y EPP</t>
        </is>
      </c>
      <c r="K1814" s="232" t="inlineStr">
        <is>
          <t>EPP</t>
        </is>
      </c>
      <c r="L1814" s="232" t="inlineStr">
        <is>
          <t>[PRORRATEO 2.8% 4.2há/148.3há] O/001282 COTONA POP</t>
        </is>
      </c>
      <c r="M1814" s="232" t="inlineStr"/>
      <c r="N1814" s="232" t="inlineStr">
        <is>
          <t>.   .   -</t>
        </is>
      </c>
      <c r="O1814" s="232" t="inlineStr">
        <is>
          <t>ENERO</t>
        </is>
      </c>
      <c r="P1814" s="232" t="n">
        <v>5</v>
      </c>
      <c r="Q1814" s="234" t="n">
        <v>334</v>
      </c>
      <c r="R1814" s="232" t="inlineStr"/>
      <c r="S1814" s="234" t="n">
        <v>334</v>
      </c>
      <c r="T1814" s="232" t="inlineStr">
        <is>
          <t>CLP</t>
        </is>
      </c>
      <c r="U1814" s="232" t="inlineStr">
        <is>
          <t>Prorrateo Ha PACKING</t>
        </is>
      </c>
      <c r="V1814" s="232" t="inlineStr">
        <is>
          <t>2026-06-18</t>
        </is>
      </c>
    </row>
    <row r="1815">
      <c r="A1815" s="232" t="inlineStr">
        <is>
          <t>CR-1812</t>
        </is>
      </c>
      <c r="B1815" s="232" t="inlineStr">
        <is>
          <t>2026/27</t>
        </is>
      </c>
      <c r="C1815" s="233" t="n">
        <v>46053</v>
      </c>
      <c r="D1815" s="232" t="inlineStr">
        <is>
          <t>898673</t>
        </is>
      </c>
      <c r="E1815" s="232" t="inlineStr">
        <is>
          <t>PRORRATEO</t>
        </is>
      </c>
      <c r="F1815" s="232" t="inlineStr">
        <is>
          <t>Santa Catalina</t>
        </is>
      </c>
      <c r="G1815" s="232" t="inlineStr">
        <is>
          <t>eureka 10,6 ha</t>
        </is>
      </c>
      <c r="H1815" s="232" t="inlineStr">
        <is>
          <t>Limon</t>
        </is>
      </c>
      <c r="I1815" s="232" t="inlineStr">
        <is>
          <t>Eureka</t>
        </is>
      </c>
      <c r="J1815" s="232" t="inlineStr">
        <is>
          <t>UNIFORME Y EPP</t>
        </is>
      </c>
      <c r="K1815" s="232" t="inlineStr">
        <is>
          <t>EPP</t>
        </is>
      </c>
      <c r="L1815" s="232" t="inlineStr">
        <is>
          <t>[PRORRATEO 7.1% 10.6há/148.3há] O/001282 COTONA POP</t>
        </is>
      </c>
      <c r="M1815" s="232" t="inlineStr"/>
      <c r="N1815" s="232" t="inlineStr">
        <is>
          <t>.   .   -</t>
        </is>
      </c>
      <c r="O1815" s="232" t="inlineStr">
        <is>
          <t>ENERO</t>
        </is>
      </c>
      <c r="P1815" s="232" t="n">
        <v>5</v>
      </c>
      <c r="Q1815" s="234" t="n">
        <v>844</v>
      </c>
      <c r="R1815" s="232" t="inlineStr"/>
      <c r="S1815" s="234" t="n">
        <v>844</v>
      </c>
      <c r="T1815" s="232" t="inlineStr">
        <is>
          <t>CLP</t>
        </is>
      </c>
      <c r="U1815" s="232" t="inlineStr">
        <is>
          <t>Prorrateo Ha PACKING</t>
        </is>
      </c>
      <c r="V1815" s="232" t="inlineStr">
        <is>
          <t>2026-06-18</t>
        </is>
      </c>
    </row>
    <row r="1816">
      <c r="A1816" s="232" t="inlineStr">
        <is>
          <t>CR-1813</t>
        </is>
      </c>
      <c r="B1816" s="232" t="inlineStr">
        <is>
          <t>2026/27</t>
        </is>
      </c>
      <c r="C1816" s="233" t="n">
        <v>46053</v>
      </c>
      <c r="D1816" s="232" t="inlineStr">
        <is>
          <t>898673</t>
        </is>
      </c>
      <c r="E1816" s="232" t="inlineStr">
        <is>
          <t>PRORRATEO</t>
        </is>
      </c>
      <c r="F1816" s="232" t="inlineStr">
        <is>
          <t>Santa Catalina</t>
        </is>
      </c>
      <c r="G1816" s="232" t="inlineStr">
        <is>
          <t>eureka 14,4 ha</t>
        </is>
      </c>
      <c r="H1816" s="232" t="inlineStr">
        <is>
          <t>Limon</t>
        </is>
      </c>
      <c r="I1816" s="232" t="inlineStr">
        <is>
          <t>Eureka</t>
        </is>
      </c>
      <c r="J1816" s="232" t="inlineStr">
        <is>
          <t>UNIFORME Y EPP</t>
        </is>
      </c>
      <c r="K1816" s="232" t="inlineStr">
        <is>
          <t>EPP</t>
        </is>
      </c>
      <c r="L1816" s="232" t="inlineStr">
        <is>
          <t>[PRORRATEO 9.7% 14.4há/148.3há] O/001282 COTONA POP</t>
        </is>
      </c>
      <c r="M1816" s="232" t="inlineStr"/>
      <c r="N1816" s="232" t="inlineStr">
        <is>
          <t>.   .   -</t>
        </is>
      </c>
      <c r="O1816" s="232" t="inlineStr">
        <is>
          <t>ENERO</t>
        </is>
      </c>
      <c r="P1816" s="232" t="n">
        <v>5</v>
      </c>
      <c r="Q1816" s="234" t="n">
        <v>1146</v>
      </c>
      <c r="R1816" s="232" t="inlineStr"/>
      <c r="S1816" s="234" t="n">
        <v>1146</v>
      </c>
      <c r="T1816" s="232" t="inlineStr">
        <is>
          <t>CLP</t>
        </is>
      </c>
      <c r="U1816" s="232" t="inlineStr">
        <is>
          <t>Prorrateo Ha PACKING</t>
        </is>
      </c>
      <c r="V1816" s="232" t="inlineStr">
        <is>
          <t>2026-06-18</t>
        </is>
      </c>
    </row>
    <row r="1817">
      <c r="A1817" s="232" t="inlineStr">
        <is>
          <t>CR-1814</t>
        </is>
      </c>
      <c r="B1817" s="232" t="inlineStr">
        <is>
          <t>2026/27</t>
        </is>
      </c>
      <c r="C1817" s="233" t="n">
        <v>46053</v>
      </c>
      <c r="D1817" s="232" t="inlineStr">
        <is>
          <t>898673</t>
        </is>
      </c>
      <c r="E1817" s="232" t="inlineStr">
        <is>
          <t>PRORRATEO</t>
        </is>
      </c>
      <c r="F1817" s="232" t="inlineStr">
        <is>
          <t>Santa Catalina</t>
        </is>
      </c>
      <c r="G1817" s="232" t="inlineStr">
        <is>
          <t>eureka 22,55</t>
        </is>
      </c>
      <c r="H1817" s="232" t="inlineStr">
        <is>
          <t>Limon</t>
        </is>
      </c>
      <c r="I1817" s="232" t="inlineStr">
        <is>
          <t>Eureka</t>
        </is>
      </c>
      <c r="J1817" s="232" t="inlineStr">
        <is>
          <t>UNIFORME Y EPP</t>
        </is>
      </c>
      <c r="K1817" s="232" t="inlineStr">
        <is>
          <t>EPP</t>
        </is>
      </c>
      <c r="L1817" s="232" t="inlineStr">
        <is>
          <t>[PRORRATEO 15.2% 22.55há/148.3há] O/001282 COTONA POP</t>
        </is>
      </c>
      <c r="M1817" s="232" t="inlineStr"/>
      <c r="N1817" s="232" t="inlineStr">
        <is>
          <t>.   .   -</t>
        </is>
      </c>
      <c r="O1817" s="232" t="inlineStr">
        <is>
          <t>ENERO</t>
        </is>
      </c>
      <c r="P1817" s="232" t="n">
        <v>5</v>
      </c>
      <c r="Q1817" s="234" t="n">
        <v>1795</v>
      </c>
      <c r="R1817" s="232" t="inlineStr"/>
      <c r="S1817" s="234" t="n">
        <v>1795</v>
      </c>
      <c r="T1817" s="232" t="inlineStr">
        <is>
          <t>CLP</t>
        </is>
      </c>
      <c r="U1817" s="232" t="inlineStr">
        <is>
          <t>Prorrateo Ha PACKING</t>
        </is>
      </c>
      <c r="V1817" s="232" t="inlineStr">
        <is>
          <t>2026-06-18</t>
        </is>
      </c>
    </row>
    <row r="1818">
      <c r="A1818" s="232" t="inlineStr">
        <is>
          <t>CR-1815</t>
        </is>
      </c>
      <c r="B1818" s="232" t="inlineStr">
        <is>
          <t>2026/27</t>
        </is>
      </c>
      <c r="C1818" s="233" t="n">
        <v>46053</v>
      </c>
      <c r="D1818" s="232" t="inlineStr">
        <is>
          <t>898673</t>
        </is>
      </c>
      <c r="E1818" s="232" t="inlineStr">
        <is>
          <t>PRORRATEO</t>
        </is>
      </c>
      <c r="F1818" s="232" t="inlineStr">
        <is>
          <t>Santa Catalina</t>
        </is>
      </c>
      <c r="G1818" s="232" t="inlineStr">
        <is>
          <t>form benjamin 1,93 ha</t>
        </is>
      </c>
      <c r="H1818" s="232" t="inlineStr">
        <is>
          <t>Limon</t>
        </is>
      </c>
      <c r="I1818" s="232" t="inlineStr">
        <is>
          <t>Benjamin andes</t>
        </is>
      </c>
      <c r="J1818" s="232" t="inlineStr">
        <is>
          <t>UNIFORME Y EPP</t>
        </is>
      </c>
      <c r="K1818" s="232" t="inlineStr">
        <is>
          <t>EPP</t>
        </is>
      </c>
      <c r="L1818" s="232" t="inlineStr">
        <is>
          <t>[PRORRATEO 1.3% 1.93há/148.3há] O/001282 COTONA POP</t>
        </is>
      </c>
      <c r="M1818" s="232" t="inlineStr"/>
      <c r="N1818" s="232" t="inlineStr">
        <is>
          <t>.   .   -</t>
        </is>
      </c>
      <c r="O1818" s="232" t="inlineStr">
        <is>
          <t>ENERO</t>
        </is>
      </c>
      <c r="P1818" s="232" t="n">
        <v>5</v>
      </c>
      <c r="Q1818" s="234" t="n">
        <v>154</v>
      </c>
      <c r="R1818" s="232" t="inlineStr"/>
      <c r="S1818" s="234" t="n">
        <v>154</v>
      </c>
      <c r="T1818" s="232" t="inlineStr">
        <is>
          <t>CLP</t>
        </is>
      </c>
      <c r="U1818" s="232" t="inlineStr">
        <is>
          <t>Prorrateo Ha PACKING</t>
        </is>
      </c>
      <c r="V1818" s="232" t="inlineStr">
        <is>
          <t>2026-06-18</t>
        </is>
      </c>
    </row>
    <row r="1819">
      <c r="A1819" s="232" t="inlineStr">
        <is>
          <t>CR-1816</t>
        </is>
      </c>
      <c r="B1819" s="232" t="inlineStr">
        <is>
          <t>2026/27</t>
        </is>
      </c>
      <c r="C1819" s="233" t="n">
        <v>46053</v>
      </c>
      <c r="D1819" s="232" t="inlineStr">
        <is>
          <t>898673</t>
        </is>
      </c>
      <c r="E1819" s="232" t="inlineStr">
        <is>
          <t>PRORRATEO</t>
        </is>
      </c>
      <c r="F1819" s="232" t="inlineStr">
        <is>
          <t>Santa Catalina</t>
        </is>
      </c>
      <c r="G1819" s="232" t="inlineStr">
        <is>
          <t>mant eureka 2,5 ha</t>
        </is>
      </c>
      <c r="H1819" s="232" t="inlineStr">
        <is>
          <t>Limon</t>
        </is>
      </c>
      <c r="I1819" s="232" t="inlineStr">
        <is>
          <t>Eureka</t>
        </is>
      </c>
      <c r="J1819" s="232" t="inlineStr">
        <is>
          <t>UNIFORME Y EPP</t>
        </is>
      </c>
      <c r="K1819" s="232" t="inlineStr">
        <is>
          <t>EPP</t>
        </is>
      </c>
      <c r="L1819" s="232" t="inlineStr">
        <is>
          <t>[PRORRATEO 1.7% 2.5há/148.3há] O/001282 COTONA POP</t>
        </is>
      </c>
      <c r="M1819" s="232" t="inlineStr"/>
      <c r="N1819" s="232" t="inlineStr">
        <is>
          <t>.   .   -</t>
        </is>
      </c>
      <c r="O1819" s="232" t="inlineStr">
        <is>
          <t>ENERO</t>
        </is>
      </c>
      <c r="P1819" s="232" t="n">
        <v>5</v>
      </c>
      <c r="Q1819" s="234" t="n">
        <v>199</v>
      </c>
      <c r="R1819" s="232" t="inlineStr"/>
      <c r="S1819" s="234" t="n">
        <v>199</v>
      </c>
      <c r="T1819" s="232" t="inlineStr">
        <is>
          <t>CLP</t>
        </is>
      </c>
      <c r="U1819" s="232" t="inlineStr">
        <is>
          <t>Prorrateo Ha PACKING</t>
        </is>
      </c>
      <c r="V1819" s="232" t="inlineStr">
        <is>
          <t>2026-06-18</t>
        </is>
      </c>
    </row>
    <row r="1820">
      <c r="A1820" s="232" t="inlineStr">
        <is>
          <t>CR-1817</t>
        </is>
      </c>
      <c r="B1820" s="232" t="inlineStr">
        <is>
          <t>2026/27</t>
        </is>
      </c>
      <c r="C1820" s="233" t="n">
        <v>46053</v>
      </c>
      <c r="D1820" s="232" t="inlineStr">
        <is>
          <t>898673</t>
        </is>
      </c>
      <c r="E1820" s="232" t="inlineStr">
        <is>
          <t>PRORRATEO</t>
        </is>
      </c>
      <c r="F1820" s="232" t="inlineStr">
        <is>
          <t>Siberia</t>
        </is>
      </c>
      <c r="G1820" s="232" t="inlineStr">
        <is>
          <t>S. Celebration 7,14</t>
        </is>
      </c>
      <c r="H1820" s="232" t="inlineStr">
        <is>
          <t>Uvas</t>
        </is>
      </c>
      <c r="I1820" s="232" t="inlineStr">
        <is>
          <t>S. celebration</t>
        </is>
      </c>
      <c r="J1820" s="232" t="inlineStr">
        <is>
          <t>UNIFORME Y EPP</t>
        </is>
      </c>
      <c r="K1820" s="232" t="inlineStr">
        <is>
          <t>EPP</t>
        </is>
      </c>
      <c r="L1820" s="232" t="inlineStr">
        <is>
          <t>[PRORRATEO 4.8% 7.14há/148.3há] O/001282 COTONA POP</t>
        </is>
      </c>
      <c r="M1820" s="232" t="inlineStr"/>
      <c r="N1820" s="232" t="inlineStr">
        <is>
          <t>.   .   -</t>
        </is>
      </c>
      <c r="O1820" s="232" t="inlineStr">
        <is>
          <t>ENERO</t>
        </is>
      </c>
      <c r="P1820" s="232" t="n">
        <v>5</v>
      </c>
      <c r="Q1820" s="234" t="n">
        <v>568</v>
      </c>
      <c r="R1820" s="232" t="inlineStr"/>
      <c r="S1820" s="234" t="n">
        <v>568</v>
      </c>
      <c r="T1820" s="232" t="inlineStr">
        <is>
          <t>CLP</t>
        </is>
      </c>
      <c r="U1820" s="232" t="inlineStr">
        <is>
          <t>Prorrateo Ha PACKING</t>
        </is>
      </c>
      <c r="V1820" s="232" t="inlineStr">
        <is>
          <t>2026-06-18</t>
        </is>
      </c>
    </row>
    <row r="1821">
      <c r="A1821" s="232" t="inlineStr">
        <is>
          <t>CR-1818</t>
        </is>
      </c>
      <c r="B1821" s="232" t="inlineStr">
        <is>
          <t>2026/27</t>
        </is>
      </c>
      <c r="C1821" s="233" t="n">
        <v>46053</v>
      </c>
      <c r="D1821" s="232" t="inlineStr">
        <is>
          <t>898673</t>
        </is>
      </c>
      <c r="E1821" s="232" t="inlineStr">
        <is>
          <t>PRORRATEO</t>
        </is>
      </c>
      <c r="F1821" s="232" t="inlineStr">
        <is>
          <t>Siberia</t>
        </is>
      </c>
      <c r="G1821" s="232" t="inlineStr">
        <is>
          <t>Timpson 7,1</t>
        </is>
      </c>
      <c r="H1821" s="232" t="inlineStr">
        <is>
          <t>Uvas</t>
        </is>
      </c>
      <c r="I1821" s="232" t="inlineStr">
        <is>
          <t>Timpson</t>
        </is>
      </c>
      <c r="J1821" s="232" t="inlineStr">
        <is>
          <t>UNIFORME Y EPP</t>
        </is>
      </c>
      <c r="K1821" s="232" t="inlineStr">
        <is>
          <t>EPP</t>
        </is>
      </c>
      <c r="L1821" s="232" t="inlineStr">
        <is>
          <t>[PRORRATEO 4.8% 7.1há/148.3há] O/001282 COTONA POP</t>
        </is>
      </c>
      <c r="M1821" s="232" t="inlineStr"/>
      <c r="N1821" s="232" t="inlineStr">
        <is>
          <t>.   .   -</t>
        </is>
      </c>
      <c r="O1821" s="232" t="inlineStr">
        <is>
          <t>ENERO</t>
        </is>
      </c>
      <c r="P1821" s="232" t="n">
        <v>5</v>
      </c>
      <c r="Q1821" s="234" t="n">
        <v>565</v>
      </c>
      <c r="R1821" s="232" t="inlineStr"/>
      <c r="S1821" s="234" t="n">
        <v>565</v>
      </c>
      <c r="T1821" s="232" t="inlineStr">
        <is>
          <t>CLP</t>
        </is>
      </c>
      <c r="U1821" s="232" t="inlineStr">
        <is>
          <t>Prorrateo Ha PACKING</t>
        </is>
      </c>
      <c r="V1821" s="232" t="inlineStr">
        <is>
          <t>2026-06-18</t>
        </is>
      </c>
    </row>
    <row r="1822">
      <c r="A1822" s="232" t="inlineStr">
        <is>
          <t>CR-1819</t>
        </is>
      </c>
      <c r="B1822" s="232" t="inlineStr">
        <is>
          <t>2026/27</t>
        </is>
      </c>
      <c r="C1822" s="233" t="n">
        <v>46053</v>
      </c>
      <c r="D1822" s="232" t="inlineStr">
        <is>
          <t>898673</t>
        </is>
      </c>
      <c r="E1822" s="232" t="inlineStr">
        <is>
          <t>PRORRATEO</t>
        </is>
      </c>
      <c r="F1822" s="232" t="inlineStr">
        <is>
          <t>Asmara</t>
        </is>
      </c>
      <c r="G1822" s="232" t="inlineStr">
        <is>
          <t>w. murcott 19,8 ha</t>
        </is>
      </c>
      <c r="H1822" s="232" t="inlineStr">
        <is>
          <t>Mandarina</t>
        </is>
      </c>
      <c r="I1822" s="232" t="inlineStr">
        <is>
          <t>W. murcott</t>
        </is>
      </c>
      <c r="J1822" s="232" t="inlineStr">
        <is>
          <t>UNIFORME Y EPP</t>
        </is>
      </c>
      <c r="K1822" s="232" t="inlineStr">
        <is>
          <t>EPP</t>
        </is>
      </c>
      <c r="L1822" s="232" t="inlineStr">
        <is>
          <t>[PRORRATEO 13.4% 19.8há/148.3há] O/001282 COTONA POP</t>
        </is>
      </c>
      <c r="M1822" s="232" t="inlineStr"/>
      <c r="N1822" s="232" t="inlineStr">
        <is>
          <t>.   .   -</t>
        </is>
      </c>
      <c r="O1822" s="232" t="inlineStr">
        <is>
          <t>ENERO</t>
        </is>
      </c>
      <c r="P1822" s="232" t="n">
        <v>5</v>
      </c>
      <c r="Q1822" s="234" t="n">
        <v>1576</v>
      </c>
      <c r="R1822" s="232" t="inlineStr"/>
      <c r="S1822" s="234" t="n">
        <v>1576</v>
      </c>
      <c r="T1822" s="232" t="inlineStr">
        <is>
          <t>CLP</t>
        </is>
      </c>
      <c r="U1822" s="232" t="inlineStr">
        <is>
          <t>Prorrateo Ha PACKING</t>
        </is>
      </c>
      <c r="V1822" s="232" t="inlineStr">
        <is>
          <t>2026-06-18</t>
        </is>
      </c>
    </row>
    <row r="1823">
      <c r="A1823" s="232" t="inlineStr">
        <is>
          <t>CR-1820</t>
        </is>
      </c>
      <c r="B1823" s="232" t="inlineStr">
        <is>
          <t>2026/27</t>
        </is>
      </c>
      <c r="C1823" s="233" t="n">
        <v>46053</v>
      </c>
      <c r="D1823" s="232" t="inlineStr">
        <is>
          <t>898673</t>
        </is>
      </c>
      <c r="E1823" s="232" t="inlineStr">
        <is>
          <t>PRORRATEO</t>
        </is>
      </c>
      <c r="F1823" s="232" t="inlineStr">
        <is>
          <t>Asmara</t>
        </is>
      </c>
      <c r="G1823" s="232" t="inlineStr">
        <is>
          <t>w. murcott 4,9 ha</t>
        </is>
      </c>
      <c r="H1823" s="232" t="inlineStr">
        <is>
          <t>Mandarina</t>
        </is>
      </c>
      <c r="I1823" s="232" t="inlineStr">
        <is>
          <t>W. murcott</t>
        </is>
      </c>
      <c r="J1823" s="232" t="inlineStr">
        <is>
          <t>UNIFORME Y EPP</t>
        </is>
      </c>
      <c r="K1823" s="232" t="inlineStr">
        <is>
          <t>EPP</t>
        </is>
      </c>
      <c r="L1823" s="232" t="inlineStr">
        <is>
          <t>[PRORRATEO 3.3% 4.9há/148.3há] O/001282 COTONA POP</t>
        </is>
      </c>
      <c r="M1823" s="232" t="inlineStr"/>
      <c r="N1823" s="232" t="inlineStr">
        <is>
          <t>.   .   -</t>
        </is>
      </c>
      <c r="O1823" s="232" t="inlineStr">
        <is>
          <t>ENERO</t>
        </is>
      </c>
      <c r="P1823" s="232" t="n">
        <v>5</v>
      </c>
      <c r="Q1823" s="234" t="n">
        <v>390</v>
      </c>
      <c r="R1823" s="232" t="inlineStr"/>
      <c r="S1823" s="234" t="n">
        <v>390</v>
      </c>
      <c r="T1823" s="232" t="inlineStr">
        <is>
          <t>CLP</t>
        </is>
      </c>
      <c r="U1823" s="232" t="inlineStr">
        <is>
          <t>Prorrateo Ha PACKING</t>
        </is>
      </c>
      <c r="V1823" s="232" t="inlineStr">
        <is>
          <t>2026-06-18</t>
        </is>
      </c>
    </row>
    <row r="1824">
      <c r="A1824" s="232" t="inlineStr">
        <is>
          <t>CR-1821</t>
        </is>
      </c>
      <c r="B1824" s="232" t="inlineStr">
        <is>
          <t>2026/27</t>
        </is>
      </c>
      <c r="C1824" s="233" t="n">
        <v>46053</v>
      </c>
      <c r="D1824" s="232" t="inlineStr">
        <is>
          <t>898673</t>
        </is>
      </c>
      <c r="E1824" s="232" t="inlineStr">
        <is>
          <t>PRORRATEO</t>
        </is>
      </c>
      <c r="F1824" s="232" t="inlineStr">
        <is>
          <t>El Molle</t>
        </is>
      </c>
      <c r="G1824" s="232" t="inlineStr">
        <is>
          <t>Wonderful 5,25 ha</t>
        </is>
      </c>
      <c r="H1824" s="232" t="inlineStr">
        <is>
          <t>Granados</t>
        </is>
      </c>
      <c r="I1824" s="232" t="inlineStr">
        <is>
          <t>Wonderfull</t>
        </is>
      </c>
      <c r="J1824" s="232" t="inlineStr">
        <is>
          <t>UNIFORME Y EPP</t>
        </is>
      </c>
      <c r="K1824" s="232" t="inlineStr">
        <is>
          <t>EPP</t>
        </is>
      </c>
      <c r="L1824" s="232" t="inlineStr">
        <is>
          <t>[PRORRATEO 3.5% 5.24há/148.3há] O/001282 COTONA POP</t>
        </is>
      </c>
      <c r="M1824" s="232" t="inlineStr"/>
      <c r="N1824" s="232" t="inlineStr">
        <is>
          <t>.   .   -</t>
        </is>
      </c>
      <c r="O1824" s="232" t="inlineStr">
        <is>
          <t>ENERO</t>
        </is>
      </c>
      <c r="P1824" s="232" t="n">
        <v>5</v>
      </c>
      <c r="Q1824" s="234" t="n">
        <v>417</v>
      </c>
      <c r="R1824" s="232" t="inlineStr"/>
      <c r="S1824" s="234" t="n">
        <v>417</v>
      </c>
      <c r="T1824" s="232" t="inlineStr">
        <is>
          <t>CLP</t>
        </is>
      </c>
      <c r="U1824" s="232" t="inlineStr">
        <is>
          <t>Prorrateo Ha PACKING</t>
        </is>
      </c>
      <c r="V1824" s="232" t="inlineStr">
        <is>
          <t>2026-06-18</t>
        </is>
      </c>
    </row>
    <row r="1825">
      <c r="A1825" s="232" t="inlineStr">
        <is>
          <t>CR-1822</t>
        </is>
      </c>
      <c r="B1825" s="232" t="inlineStr">
        <is>
          <t>2026/27</t>
        </is>
      </c>
      <c r="C1825" s="233" t="n">
        <v>46053</v>
      </c>
      <c r="D1825" s="232" t="inlineStr">
        <is>
          <t>898673</t>
        </is>
      </c>
      <c r="E1825" s="232" t="inlineStr">
        <is>
          <t>PRORRATEO</t>
        </is>
      </c>
      <c r="F1825" s="232" t="inlineStr">
        <is>
          <t>El Molle</t>
        </is>
      </c>
      <c r="G1825" s="232" t="inlineStr">
        <is>
          <t>arrufatinas 5,74 ha</t>
        </is>
      </c>
      <c r="H1825" s="232" t="inlineStr">
        <is>
          <t>Clementinas</t>
        </is>
      </c>
      <c r="I1825" s="232" t="inlineStr">
        <is>
          <t>Arrufatinas</t>
        </is>
      </c>
      <c r="J1825" s="232" t="inlineStr">
        <is>
          <t>UNIFORME Y EPP</t>
        </is>
      </c>
      <c r="K1825" s="232" t="inlineStr">
        <is>
          <t>EPP</t>
        </is>
      </c>
      <c r="L1825" s="232" t="inlineStr">
        <is>
          <t>[PRORRATEO 3.9% 5.74há/148.3há] O/001282 COTONA POP</t>
        </is>
      </c>
      <c r="M1825" s="232" t="inlineStr"/>
      <c r="N1825" s="232" t="inlineStr">
        <is>
          <t>.   .   -</t>
        </is>
      </c>
      <c r="O1825" s="232" t="inlineStr">
        <is>
          <t>ENERO</t>
        </is>
      </c>
      <c r="P1825" s="232" t="n">
        <v>5</v>
      </c>
      <c r="Q1825" s="234" t="n">
        <v>457</v>
      </c>
      <c r="R1825" s="232" t="inlineStr"/>
      <c r="S1825" s="234" t="n">
        <v>457</v>
      </c>
      <c r="T1825" s="232" t="inlineStr">
        <is>
          <t>CLP</t>
        </is>
      </c>
      <c r="U1825" s="232" t="inlineStr">
        <is>
          <t>Prorrateo Ha PACKING</t>
        </is>
      </c>
      <c r="V1825" s="232" t="inlineStr">
        <is>
          <t>2026-06-18</t>
        </is>
      </c>
    </row>
    <row r="1826">
      <c r="A1826" s="232" t="inlineStr">
        <is>
          <t>CR-1823</t>
        </is>
      </c>
      <c r="B1826" s="232" t="inlineStr">
        <is>
          <t>2026/27</t>
        </is>
      </c>
      <c r="C1826" s="233" t="n">
        <v>46053</v>
      </c>
      <c r="D1826" s="232" t="inlineStr">
        <is>
          <t>898673</t>
        </is>
      </c>
      <c r="E1826" s="232" t="inlineStr">
        <is>
          <t>PRORRATEO</t>
        </is>
      </c>
      <c r="F1826" s="232" t="inlineStr">
        <is>
          <t>El Molle</t>
        </is>
      </c>
      <c r="G1826" s="232" t="inlineStr">
        <is>
          <t>orogrande 8,11 ha</t>
        </is>
      </c>
      <c r="H1826" s="232" t="inlineStr">
        <is>
          <t>Clementinas</t>
        </is>
      </c>
      <c r="I1826" s="232" t="inlineStr">
        <is>
          <t>Orogrande</t>
        </is>
      </c>
      <c r="J1826" s="232" t="inlineStr">
        <is>
          <t>UNIFORME Y EPP</t>
        </is>
      </c>
      <c r="K1826" s="232" t="inlineStr">
        <is>
          <t>EPP</t>
        </is>
      </c>
      <c r="L1826" s="232" t="inlineStr">
        <is>
          <t>[PRORRATEO 5.5% 8.11há/148.3há] O/001282 COTONA POP</t>
        </is>
      </c>
      <c r="M1826" s="232" t="inlineStr"/>
      <c r="N1826" s="232" t="inlineStr">
        <is>
          <t>.   .   -</t>
        </is>
      </c>
      <c r="O1826" s="232" t="inlineStr">
        <is>
          <t>ENERO</t>
        </is>
      </c>
      <c r="P1826" s="232" t="n">
        <v>5</v>
      </c>
      <c r="Q1826" s="234" t="n">
        <v>645</v>
      </c>
      <c r="R1826" s="232" t="inlineStr"/>
      <c r="S1826" s="234" t="n">
        <v>645</v>
      </c>
      <c r="T1826" s="232" t="inlineStr">
        <is>
          <t>CLP</t>
        </is>
      </c>
      <c r="U1826" s="232" t="inlineStr">
        <is>
          <t>Prorrateo Ha PACKING</t>
        </is>
      </c>
      <c r="V1826" s="232" t="inlineStr">
        <is>
          <t>2026-06-18</t>
        </is>
      </c>
    </row>
    <row r="1827">
      <c r="A1827" s="232" t="inlineStr">
        <is>
          <t>CR-1824</t>
        </is>
      </c>
      <c r="B1827" s="232" t="inlineStr">
        <is>
          <t>2026/27</t>
        </is>
      </c>
      <c r="C1827" s="233" t="n">
        <v>46053</v>
      </c>
      <c r="D1827" s="232" t="inlineStr">
        <is>
          <t>898673</t>
        </is>
      </c>
      <c r="E1827" s="232" t="inlineStr">
        <is>
          <t>PRORRATEO</t>
        </is>
      </c>
      <c r="F1827" s="232" t="inlineStr">
        <is>
          <t>El Molle</t>
        </is>
      </c>
      <c r="G1827" s="232" t="inlineStr">
        <is>
          <t>oronules 5,35 ha</t>
        </is>
      </c>
      <c r="H1827" s="232" t="inlineStr">
        <is>
          <t>Clementinas</t>
        </is>
      </c>
      <c r="I1827" s="232" t="inlineStr">
        <is>
          <t>Oronules</t>
        </is>
      </c>
      <c r="J1827" s="232" t="inlineStr">
        <is>
          <t>UNIFORME Y EPP</t>
        </is>
      </c>
      <c r="K1827" s="232" t="inlineStr">
        <is>
          <t>EPP</t>
        </is>
      </c>
      <c r="L1827" s="232" t="inlineStr">
        <is>
          <t>[PRORRATEO 3.6% 5.35há/148.3há] O/001282 COTONA POP</t>
        </is>
      </c>
      <c r="M1827" s="232" t="inlineStr"/>
      <c r="N1827" s="232" t="inlineStr">
        <is>
          <t>.   .   -</t>
        </is>
      </c>
      <c r="O1827" s="232" t="inlineStr">
        <is>
          <t>ENERO</t>
        </is>
      </c>
      <c r="P1827" s="232" t="n">
        <v>5</v>
      </c>
      <c r="Q1827" s="234" t="n">
        <v>426</v>
      </c>
      <c r="R1827" s="232" t="inlineStr"/>
      <c r="S1827" s="234" t="n">
        <v>426</v>
      </c>
      <c r="T1827" s="232" t="inlineStr">
        <is>
          <t>CLP</t>
        </is>
      </c>
      <c r="U1827" s="232" t="inlineStr">
        <is>
          <t>Prorrateo Ha PACKING</t>
        </is>
      </c>
      <c r="V1827" s="232" t="inlineStr">
        <is>
          <t>2026-06-18</t>
        </is>
      </c>
    </row>
    <row r="1828">
      <c r="A1828" s="232" t="inlineStr">
        <is>
          <t>CR-1825</t>
        </is>
      </c>
      <c r="B1828" s="232" t="inlineStr">
        <is>
          <t>2026/27</t>
        </is>
      </c>
      <c r="C1828" s="233" t="n">
        <v>46053</v>
      </c>
      <c r="D1828" s="232" t="inlineStr">
        <is>
          <t>898673</t>
        </is>
      </c>
      <c r="E1828" s="232" t="inlineStr">
        <is>
          <t>PRORRATEO</t>
        </is>
      </c>
      <c r="F1828" s="232" t="inlineStr">
        <is>
          <t>Santa Catalina</t>
        </is>
      </c>
      <c r="G1828" s="232" t="inlineStr">
        <is>
          <t>Fino 49 7,7 ha</t>
        </is>
      </c>
      <c r="H1828" s="232" t="inlineStr">
        <is>
          <t>Limon</t>
        </is>
      </c>
      <c r="I1828" s="232" t="inlineStr">
        <is>
          <t>Fino 49</t>
        </is>
      </c>
      <c r="J1828" s="232" t="inlineStr">
        <is>
          <t>UNIFORME Y EPP</t>
        </is>
      </c>
      <c r="K1828" s="232" t="inlineStr">
        <is>
          <t>EPP</t>
        </is>
      </c>
      <c r="L1828" s="232" t="inlineStr">
        <is>
          <t>[PRORRATEO 5.2% 7.7há/148.3há] O/001282 COTONA POP</t>
        </is>
      </c>
      <c r="M1828" s="232" t="inlineStr"/>
      <c r="N1828" s="232" t="inlineStr">
        <is>
          <t>.   .   -</t>
        </is>
      </c>
      <c r="O1828" s="232" t="inlineStr">
        <is>
          <t>ENERO</t>
        </is>
      </c>
      <c r="P1828" s="232" t="n">
        <v>5</v>
      </c>
      <c r="Q1828" s="234" t="n">
        <v>613</v>
      </c>
      <c r="R1828" s="232" t="inlineStr"/>
      <c r="S1828" s="234" t="n">
        <v>613</v>
      </c>
      <c r="T1828" s="232" t="inlineStr">
        <is>
          <t>CLP</t>
        </is>
      </c>
      <c r="U1828" s="232" t="inlineStr">
        <is>
          <t>Prorrateo Ha PACKING</t>
        </is>
      </c>
      <c r="V1828" s="232" t="inlineStr">
        <is>
          <t>2026-06-18</t>
        </is>
      </c>
    </row>
    <row r="1829">
      <c r="A1829" s="232" t="inlineStr">
        <is>
          <t>CR-1826</t>
        </is>
      </c>
      <c r="B1829" s="232" t="inlineStr">
        <is>
          <t>2026/27</t>
        </is>
      </c>
      <c r="C1829" s="233" t="n">
        <v>46053</v>
      </c>
      <c r="D1829" s="232" t="inlineStr">
        <is>
          <t>898673</t>
        </is>
      </c>
      <c r="E1829" s="232" t="inlineStr">
        <is>
          <t>PRORRATEO</t>
        </is>
      </c>
      <c r="F1829" s="232" t="inlineStr">
        <is>
          <t>Santa Catalina</t>
        </is>
      </c>
      <c r="G1829" s="232" t="inlineStr">
        <is>
          <t>W. murcott 21 ha</t>
        </is>
      </c>
      <c r="H1829" s="232" t="inlineStr">
        <is>
          <t>Mandarina</t>
        </is>
      </c>
      <c r="I1829" s="232" t="inlineStr">
        <is>
          <t>W. murcott</t>
        </is>
      </c>
      <c r="J1829" s="232" t="inlineStr">
        <is>
          <t>UNIFORME Y EPP</t>
        </is>
      </c>
      <c r="K1829" s="232" t="inlineStr">
        <is>
          <t>EPP</t>
        </is>
      </c>
      <c r="L1829" s="232" t="inlineStr">
        <is>
          <t>[PRORRATEO 14.2% 21.0há/148.3há] O/001282 COTONA POP</t>
        </is>
      </c>
      <c r="M1829" s="232" t="inlineStr"/>
      <c r="N1829" s="232" t="inlineStr">
        <is>
          <t>.   .   -</t>
        </is>
      </c>
      <c r="O1829" s="232" t="inlineStr">
        <is>
          <t>ENERO</t>
        </is>
      </c>
      <c r="P1829" s="232" t="n">
        <v>5</v>
      </c>
      <c r="Q1829" s="234" t="n">
        <v>1671</v>
      </c>
      <c r="R1829" s="232" t="inlineStr"/>
      <c r="S1829" s="234" t="n">
        <v>1671</v>
      </c>
      <c r="T1829" s="232" t="inlineStr">
        <is>
          <t>CLP</t>
        </is>
      </c>
      <c r="U1829" s="232" t="inlineStr">
        <is>
          <t>Prorrateo Ha PACKING</t>
        </is>
      </c>
      <c r="V1829" s="232" t="inlineStr">
        <is>
          <t>2026-06-18</t>
        </is>
      </c>
    </row>
    <row r="1830">
      <c r="A1830" s="232" t="inlineStr">
        <is>
          <t>CR-1827</t>
        </is>
      </c>
      <c r="B1830" s="232" t="inlineStr">
        <is>
          <t>2026/27</t>
        </is>
      </c>
      <c r="C1830" s="233" t="n">
        <v>46053</v>
      </c>
      <c r="D1830" s="232" t="inlineStr">
        <is>
          <t>898673</t>
        </is>
      </c>
      <c r="E1830" s="232" t="inlineStr">
        <is>
          <t>PRORRATEO</t>
        </is>
      </c>
      <c r="F1830" s="232" t="inlineStr">
        <is>
          <t>Santa Catalina</t>
        </is>
      </c>
      <c r="G1830" s="232" t="inlineStr">
        <is>
          <t>cambria 4,2 ha</t>
        </is>
      </c>
      <c r="H1830" s="232" t="inlineStr">
        <is>
          <t>Naranjas</t>
        </is>
      </c>
      <c r="I1830" s="232" t="inlineStr">
        <is>
          <t>Cambria</t>
        </is>
      </c>
      <c r="J1830" s="232" t="inlineStr">
        <is>
          <t>UNIFORME Y EPP</t>
        </is>
      </c>
      <c r="K1830" s="232" t="inlineStr">
        <is>
          <t>EPP</t>
        </is>
      </c>
      <c r="L1830" s="232" t="inlineStr">
        <is>
          <t>[PRORRATEO 2.8% 4.2há/148.3há] O/001282 COTONA POP</t>
        </is>
      </c>
      <c r="M1830" s="232" t="inlineStr"/>
      <c r="N1830" s="232" t="inlineStr">
        <is>
          <t>.   .   -</t>
        </is>
      </c>
      <c r="O1830" s="232" t="inlineStr">
        <is>
          <t>ENERO</t>
        </is>
      </c>
      <c r="P1830" s="232" t="n">
        <v>5</v>
      </c>
      <c r="Q1830" s="234" t="n">
        <v>334</v>
      </c>
      <c r="R1830" s="232" t="inlineStr"/>
      <c r="S1830" s="234" t="n">
        <v>334</v>
      </c>
      <c r="T1830" s="232" t="inlineStr">
        <is>
          <t>CLP</t>
        </is>
      </c>
      <c r="U1830" s="232" t="inlineStr">
        <is>
          <t>Prorrateo Ha PACKING</t>
        </is>
      </c>
      <c r="V1830" s="232" t="inlineStr">
        <is>
          <t>2026-06-18</t>
        </is>
      </c>
    </row>
    <row r="1831">
      <c r="A1831" s="232" t="inlineStr">
        <is>
          <t>CR-1828</t>
        </is>
      </c>
      <c r="B1831" s="232" t="inlineStr">
        <is>
          <t>2026/27</t>
        </is>
      </c>
      <c r="C1831" s="233" t="n">
        <v>46053</v>
      </c>
      <c r="D1831" s="232" t="inlineStr">
        <is>
          <t>898673</t>
        </is>
      </c>
      <c r="E1831" s="232" t="inlineStr">
        <is>
          <t>PRORRATEO</t>
        </is>
      </c>
      <c r="F1831" s="232" t="inlineStr">
        <is>
          <t>Santa Catalina</t>
        </is>
      </c>
      <c r="G1831" s="232" t="inlineStr">
        <is>
          <t>eureka 10,6 ha</t>
        </is>
      </c>
      <c r="H1831" s="232" t="inlineStr">
        <is>
          <t>Limon</t>
        </is>
      </c>
      <c r="I1831" s="232" t="inlineStr">
        <is>
          <t>Eureka</t>
        </is>
      </c>
      <c r="J1831" s="232" t="inlineStr">
        <is>
          <t>UNIFORME Y EPP</t>
        </is>
      </c>
      <c r="K1831" s="232" t="inlineStr">
        <is>
          <t>EPP</t>
        </is>
      </c>
      <c r="L1831" s="232" t="inlineStr">
        <is>
          <t>[PRORRATEO 7.1% 10.6há/148.3há] O/001282 COTONA POP</t>
        </is>
      </c>
      <c r="M1831" s="232" t="inlineStr"/>
      <c r="N1831" s="232" t="inlineStr">
        <is>
          <t>.   .   -</t>
        </is>
      </c>
      <c r="O1831" s="232" t="inlineStr">
        <is>
          <t>ENERO</t>
        </is>
      </c>
      <c r="P1831" s="232" t="n">
        <v>5</v>
      </c>
      <c r="Q1831" s="234" t="n">
        <v>844</v>
      </c>
      <c r="R1831" s="232" t="inlineStr"/>
      <c r="S1831" s="234" t="n">
        <v>844</v>
      </c>
      <c r="T1831" s="232" t="inlineStr">
        <is>
          <t>CLP</t>
        </is>
      </c>
      <c r="U1831" s="232" t="inlineStr">
        <is>
          <t>Prorrateo Ha PACKING</t>
        </is>
      </c>
      <c r="V1831" s="232" t="inlineStr">
        <is>
          <t>2026-06-18</t>
        </is>
      </c>
    </row>
    <row r="1832">
      <c r="A1832" s="232" t="inlineStr">
        <is>
          <t>CR-1829</t>
        </is>
      </c>
      <c r="B1832" s="232" t="inlineStr">
        <is>
          <t>2026/27</t>
        </is>
      </c>
      <c r="C1832" s="233" t="n">
        <v>46053</v>
      </c>
      <c r="D1832" s="232" t="inlineStr">
        <is>
          <t>898673</t>
        </is>
      </c>
      <c r="E1832" s="232" t="inlineStr">
        <is>
          <t>PRORRATEO</t>
        </is>
      </c>
      <c r="F1832" s="232" t="inlineStr">
        <is>
          <t>Santa Catalina</t>
        </is>
      </c>
      <c r="G1832" s="232" t="inlineStr">
        <is>
          <t>eureka 14,4 ha</t>
        </is>
      </c>
      <c r="H1832" s="232" t="inlineStr">
        <is>
          <t>Limon</t>
        </is>
      </c>
      <c r="I1832" s="232" t="inlineStr">
        <is>
          <t>Eureka</t>
        </is>
      </c>
      <c r="J1832" s="232" t="inlineStr">
        <is>
          <t>UNIFORME Y EPP</t>
        </is>
      </c>
      <c r="K1832" s="232" t="inlineStr">
        <is>
          <t>EPP</t>
        </is>
      </c>
      <c r="L1832" s="232" t="inlineStr">
        <is>
          <t>[PRORRATEO 9.7% 14.4há/148.3há] O/001282 COTONA POP</t>
        </is>
      </c>
      <c r="M1832" s="232" t="inlineStr"/>
      <c r="N1832" s="232" t="inlineStr">
        <is>
          <t>.   .   -</t>
        </is>
      </c>
      <c r="O1832" s="232" t="inlineStr">
        <is>
          <t>ENERO</t>
        </is>
      </c>
      <c r="P1832" s="232" t="n">
        <v>5</v>
      </c>
      <c r="Q1832" s="234" t="n">
        <v>1146</v>
      </c>
      <c r="R1832" s="232" t="inlineStr"/>
      <c r="S1832" s="234" t="n">
        <v>1146</v>
      </c>
      <c r="T1832" s="232" t="inlineStr">
        <is>
          <t>CLP</t>
        </is>
      </c>
      <c r="U1832" s="232" t="inlineStr">
        <is>
          <t>Prorrateo Ha PACKING</t>
        </is>
      </c>
      <c r="V1832" s="232" t="inlineStr">
        <is>
          <t>2026-06-18</t>
        </is>
      </c>
    </row>
    <row r="1833">
      <c r="A1833" s="232" t="inlineStr">
        <is>
          <t>CR-1830</t>
        </is>
      </c>
      <c r="B1833" s="232" t="inlineStr">
        <is>
          <t>2026/27</t>
        </is>
      </c>
      <c r="C1833" s="233" t="n">
        <v>46053</v>
      </c>
      <c r="D1833" s="232" t="inlineStr">
        <is>
          <t>898673</t>
        </is>
      </c>
      <c r="E1833" s="232" t="inlineStr">
        <is>
          <t>PRORRATEO</t>
        </is>
      </c>
      <c r="F1833" s="232" t="inlineStr">
        <is>
          <t>Santa Catalina</t>
        </is>
      </c>
      <c r="G1833" s="232" t="inlineStr">
        <is>
          <t>eureka 22,55</t>
        </is>
      </c>
      <c r="H1833" s="232" t="inlineStr">
        <is>
          <t>Limon</t>
        </is>
      </c>
      <c r="I1833" s="232" t="inlineStr">
        <is>
          <t>Eureka</t>
        </is>
      </c>
      <c r="J1833" s="232" t="inlineStr">
        <is>
          <t>UNIFORME Y EPP</t>
        </is>
      </c>
      <c r="K1833" s="232" t="inlineStr">
        <is>
          <t>EPP</t>
        </is>
      </c>
      <c r="L1833" s="232" t="inlineStr">
        <is>
          <t>[PRORRATEO 15.2% 22.55há/148.3há] O/001282 COTONA POP</t>
        </is>
      </c>
      <c r="M1833" s="232" t="inlineStr"/>
      <c r="N1833" s="232" t="inlineStr">
        <is>
          <t>.   .   -</t>
        </is>
      </c>
      <c r="O1833" s="232" t="inlineStr">
        <is>
          <t>ENERO</t>
        </is>
      </c>
      <c r="P1833" s="232" t="n">
        <v>5</v>
      </c>
      <c r="Q1833" s="234" t="n">
        <v>1795</v>
      </c>
      <c r="R1833" s="232" t="inlineStr"/>
      <c r="S1833" s="234" t="n">
        <v>1795</v>
      </c>
      <c r="T1833" s="232" t="inlineStr">
        <is>
          <t>CLP</t>
        </is>
      </c>
      <c r="U1833" s="232" t="inlineStr">
        <is>
          <t>Prorrateo Ha PACKING</t>
        </is>
      </c>
      <c r="V1833" s="232" t="inlineStr">
        <is>
          <t>2026-06-18</t>
        </is>
      </c>
    </row>
    <row r="1834">
      <c r="A1834" s="232" t="inlineStr">
        <is>
          <t>CR-1831</t>
        </is>
      </c>
      <c r="B1834" s="232" t="inlineStr">
        <is>
          <t>2026/27</t>
        </is>
      </c>
      <c r="C1834" s="233" t="n">
        <v>46053</v>
      </c>
      <c r="D1834" s="232" t="inlineStr">
        <is>
          <t>898673</t>
        </is>
      </c>
      <c r="E1834" s="232" t="inlineStr">
        <is>
          <t>PRORRATEO</t>
        </is>
      </c>
      <c r="F1834" s="232" t="inlineStr">
        <is>
          <t>Santa Catalina</t>
        </is>
      </c>
      <c r="G1834" s="232" t="inlineStr">
        <is>
          <t>form benjamin 1,93 ha</t>
        </is>
      </c>
      <c r="H1834" s="232" t="inlineStr">
        <is>
          <t>Limon</t>
        </is>
      </c>
      <c r="I1834" s="232" t="inlineStr">
        <is>
          <t>Benjamin andes</t>
        </is>
      </c>
      <c r="J1834" s="232" t="inlineStr">
        <is>
          <t>UNIFORME Y EPP</t>
        </is>
      </c>
      <c r="K1834" s="232" t="inlineStr">
        <is>
          <t>EPP</t>
        </is>
      </c>
      <c r="L1834" s="232" t="inlineStr">
        <is>
          <t>[PRORRATEO 1.3% 1.93há/148.3há] O/001282 COTONA POP</t>
        </is>
      </c>
      <c r="M1834" s="232" t="inlineStr"/>
      <c r="N1834" s="232" t="inlineStr">
        <is>
          <t>.   .   -</t>
        </is>
      </c>
      <c r="O1834" s="232" t="inlineStr">
        <is>
          <t>ENERO</t>
        </is>
      </c>
      <c r="P1834" s="232" t="n">
        <v>5</v>
      </c>
      <c r="Q1834" s="234" t="n">
        <v>154</v>
      </c>
      <c r="R1834" s="232" t="inlineStr"/>
      <c r="S1834" s="234" t="n">
        <v>154</v>
      </c>
      <c r="T1834" s="232" t="inlineStr">
        <is>
          <t>CLP</t>
        </is>
      </c>
      <c r="U1834" s="232" t="inlineStr">
        <is>
          <t>Prorrateo Ha PACKING</t>
        </is>
      </c>
      <c r="V1834" s="232" t="inlineStr">
        <is>
          <t>2026-06-18</t>
        </is>
      </c>
    </row>
    <row r="1835">
      <c r="A1835" s="232" t="inlineStr">
        <is>
          <t>CR-1832</t>
        </is>
      </c>
      <c r="B1835" s="232" t="inlineStr">
        <is>
          <t>2026/27</t>
        </is>
      </c>
      <c r="C1835" s="233" t="n">
        <v>46053</v>
      </c>
      <c r="D1835" s="232" t="inlineStr">
        <is>
          <t>898673</t>
        </is>
      </c>
      <c r="E1835" s="232" t="inlineStr">
        <is>
          <t>PRORRATEO</t>
        </is>
      </c>
      <c r="F1835" s="232" t="inlineStr">
        <is>
          <t>Santa Catalina</t>
        </is>
      </c>
      <c r="G1835" s="232" t="inlineStr">
        <is>
          <t>mant eureka 2,5 ha</t>
        </is>
      </c>
      <c r="H1835" s="232" t="inlineStr">
        <is>
          <t>Limon</t>
        </is>
      </c>
      <c r="I1835" s="232" t="inlineStr">
        <is>
          <t>Eureka</t>
        </is>
      </c>
      <c r="J1835" s="232" t="inlineStr">
        <is>
          <t>UNIFORME Y EPP</t>
        </is>
      </c>
      <c r="K1835" s="232" t="inlineStr">
        <is>
          <t>EPP</t>
        </is>
      </c>
      <c r="L1835" s="232" t="inlineStr">
        <is>
          <t>[PRORRATEO 1.7% 2.5há/148.3há] O/001282 COTONA POP</t>
        </is>
      </c>
      <c r="M1835" s="232" t="inlineStr"/>
      <c r="N1835" s="232" t="inlineStr">
        <is>
          <t>.   .   -</t>
        </is>
      </c>
      <c r="O1835" s="232" t="inlineStr">
        <is>
          <t>ENERO</t>
        </is>
      </c>
      <c r="P1835" s="232" t="n">
        <v>5</v>
      </c>
      <c r="Q1835" s="234" t="n">
        <v>199</v>
      </c>
      <c r="R1835" s="232" t="inlineStr"/>
      <c r="S1835" s="234" t="n">
        <v>199</v>
      </c>
      <c r="T1835" s="232" t="inlineStr">
        <is>
          <t>CLP</t>
        </is>
      </c>
      <c r="U1835" s="232" t="inlineStr">
        <is>
          <t>Prorrateo Ha PACKING</t>
        </is>
      </c>
      <c r="V1835" s="232" t="inlineStr">
        <is>
          <t>2026-06-18</t>
        </is>
      </c>
    </row>
    <row r="1836">
      <c r="A1836" s="232" t="inlineStr">
        <is>
          <t>CR-1833</t>
        </is>
      </c>
      <c r="B1836" s="232" t="inlineStr">
        <is>
          <t>2026/27</t>
        </is>
      </c>
      <c r="C1836" s="233" t="n">
        <v>46053</v>
      </c>
      <c r="D1836" s="232" t="inlineStr">
        <is>
          <t>898673</t>
        </is>
      </c>
      <c r="E1836" s="232" t="inlineStr">
        <is>
          <t>PRORRATEO</t>
        </is>
      </c>
      <c r="F1836" s="232" t="inlineStr">
        <is>
          <t>Siberia</t>
        </is>
      </c>
      <c r="G1836" s="232" t="inlineStr">
        <is>
          <t>S. Celebration 7,14</t>
        </is>
      </c>
      <c r="H1836" s="232" t="inlineStr">
        <is>
          <t>Uvas</t>
        </is>
      </c>
      <c r="I1836" s="232" t="inlineStr">
        <is>
          <t>S. celebration</t>
        </is>
      </c>
      <c r="J1836" s="232" t="inlineStr">
        <is>
          <t>UNIFORME Y EPP</t>
        </is>
      </c>
      <c r="K1836" s="232" t="inlineStr">
        <is>
          <t>EPP</t>
        </is>
      </c>
      <c r="L1836" s="232" t="inlineStr">
        <is>
          <t>[PRORRATEO 4.8% 7.14há/148.3há] O/001282 COTONA POP</t>
        </is>
      </c>
      <c r="M1836" s="232" t="inlineStr"/>
      <c r="N1836" s="232" t="inlineStr">
        <is>
          <t>.   .   -</t>
        </is>
      </c>
      <c r="O1836" s="232" t="inlineStr">
        <is>
          <t>ENERO</t>
        </is>
      </c>
      <c r="P1836" s="232" t="n">
        <v>5</v>
      </c>
      <c r="Q1836" s="234" t="n">
        <v>568</v>
      </c>
      <c r="R1836" s="232" t="inlineStr"/>
      <c r="S1836" s="234" t="n">
        <v>568</v>
      </c>
      <c r="T1836" s="232" t="inlineStr">
        <is>
          <t>CLP</t>
        </is>
      </c>
      <c r="U1836" s="232" t="inlineStr">
        <is>
          <t>Prorrateo Ha PACKING</t>
        </is>
      </c>
      <c r="V1836" s="232" t="inlineStr">
        <is>
          <t>2026-06-18</t>
        </is>
      </c>
    </row>
    <row r="1837">
      <c r="A1837" s="232" t="inlineStr">
        <is>
          <t>CR-1834</t>
        </is>
      </c>
      <c r="B1837" s="232" t="inlineStr">
        <is>
          <t>2026/27</t>
        </is>
      </c>
      <c r="C1837" s="233" t="n">
        <v>46053</v>
      </c>
      <c r="D1837" s="232" t="inlineStr">
        <is>
          <t>898673</t>
        </is>
      </c>
      <c r="E1837" s="232" t="inlineStr">
        <is>
          <t>PRORRATEO</t>
        </is>
      </c>
      <c r="F1837" s="232" t="inlineStr">
        <is>
          <t>Siberia</t>
        </is>
      </c>
      <c r="G1837" s="232" t="inlineStr">
        <is>
          <t>Timpson 7,1</t>
        </is>
      </c>
      <c r="H1837" s="232" t="inlineStr">
        <is>
          <t>Uvas</t>
        </is>
      </c>
      <c r="I1837" s="232" t="inlineStr">
        <is>
          <t>Timpson</t>
        </is>
      </c>
      <c r="J1837" s="232" t="inlineStr">
        <is>
          <t>UNIFORME Y EPP</t>
        </is>
      </c>
      <c r="K1837" s="232" t="inlineStr">
        <is>
          <t>EPP</t>
        </is>
      </c>
      <c r="L1837" s="232" t="inlineStr">
        <is>
          <t>[PRORRATEO 4.8% 7.1há/148.3há] O/001282 COTONA POP</t>
        </is>
      </c>
      <c r="M1837" s="232" t="inlineStr"/>
      <c r="N1837" s="232" t="inlineStr">
        <is>
          <t>.   .   -</t>
        </is>
      </c>
      <c r="O1837" s="232" t="inlineStr">
        <is>
          <t>ENERO</t>
        </is>
      </c>
      <c r="P1837" s="232" t="n">
        <v>5</v>
      </c>
      <c r="Q1837" s="234" t="n">
        <v>565</v>
      </c>
      <c r="R1837" s="232" t="inlineStr"/>
      <c r="S1837" s="234" t="n">
        <v>565</v>
      </c>
      <c r="T1837" s="232" t="inlineStr">
        <is>
          <t>CLP</t>
        </is>
      </c>
      <c r="U1837" s="232" t="inlineStr">
        <is>
          <t>Prorrateo Ha PACKING</t>
        </is>
      </c>
      <c r="V1837" s="232" t="inlineStr">
        <is>
          <t>2026-06-18</t>
        </is>
      </c>
    </row>
    <row r="1838">
      <c r="A1838" s="232" t="inlineStr">
        <is>
          <t>CR-1835</t>
        </is>
      </c>
      <c r="B1838" s="232" t="inlineStr">
        <is>
          <t>2026/27</t>
        </is>
      </c>
      <c r="C1838" s="233" t="n">
        <v>46053</v>
      </c>
      <c r="D1838" s="232" t="inlineStr">
        <is>
          <t>898673</t>
        </is>
      </c>
      <c r="E1838" s="232" t="inlineStr">
        <is>
          <t>PRORRATEO</t>
        </is>
      </c>
      <c r="F1838" s="232" t="inlineStr">
        <is>
          <t>Asmara</t>
        </is>
      </c>
      <c r="G1838" s="232" t="inlineStr">
        <is>
          <t>w. murcott 19,8 ha</t>
        </is>
      </c>
      <c r="H1838" s="232" t="inlineStr">
        <is>
          <t>Mandarina</t>
        </is>
      </c>
      <c r="I1838" s="232" t="inlineStr">
        <is>
          <t>W. murcott</t>
        </is>
      </c>
      <c r="J1838" s="232" t="inlineStr">
        <is>
          <t>UNIFORME Y EPP</t>
        </is>
      </c>
      <c r="K1838" s="232" t="inlineStr">
        <is>
          <t>EPP</t>
        </is>
      </c>
      <c r="L1838" s="232" t="inlineStr">
        <is>
          <t>[PRORRATEO 13.4% 19.8há/148.3há] O/001282 COTONA POP</t>
        </is>
      </c>
      <c r="M1838" s="232" t="inlineStr"/>
      <c r="N1838" s="232" t="inlineStr">
        <is>
          <t>.   .   -</t>
        </is>
      </c>
      <c r="O1838" s="232" t="inlineStr">
        <is>
          <t>ENERO</t>
        </is>
      </c>
      <c r="P1838" s="232" t="n">
        <v>5</v>
      </c>
      <c r="Q1838" s="234" t="n">
        <v>3152</v>
      </c>
      <c r="R1838" s="232" t="inlineStr"/>
      <c r="S1838" s="234" t="n">
        <v>3152</v>
      </c>
      <c r="T1838" s="232" t="inlineStr">
        <is>
          <t>CLP</t>
        </is>
      </c>
      <c r="U1838" s="232" t="inlineStr">
        <is>
          <t>Prorrateo Ha PACKING</t>
        </is>
      </c>
      <c r="V1838" s="232" t="inlineStr">
        <is>
          <t>2026-06-18</t>
        </is>
      </c>
    </row>
    <row r="1839">
      <c r="A1839" s="232" t="inlineStr">
        <is>
          <t>CR-1836</t>
        </is>
      </c>
      <c r="B1839" s="232" t="inlineStr">
        <is>
          <t>2026/27</t>
        </is>
      </c>
      <c r="C1839" s="233" t="n">
        <v>46053</v>
      </c>
      <c r="D1839" s="232" t="inlineStr">
        <is>
          <t>898673</t>
        </is>
      </c>
      <c r="E1839" s="232" t="inlineStr">
        <is>
          <t>PRORRATEO</t>
        </is>
      </c>
      <c r="F1839" s="232" t="inlineStr">
        <is>
          <t>Asmara</t>
        </is>
      </c>
      <c r="G1839" s="232" t="inlineStr">
        <is>
          <t>w. murcott 4,9 ha</t>
        </is>
      </c>
      <c r="H1839" s="232" t="inlineStr">
        <is>
          <t>Mandarina</t>
        </is>
      </c>
      <c r="I1839" s="232" t="inlineStr">
        <is>
          <t>W. murcott</t>
        </is>
      </c>
      <c r="J1839" s="232" t="inlineStr">
        <is>
          <t>UNIFORME Y EPP</t>
        </is>
      </c>
      <c r="K1839" s="232" t="inlineStr">
        <is>
          <t>EPP</t>
        </is>
      </c>
      <c r="L1839" s="232" t="inlineStr">
        <is>
          <t>[PRORRATEO 3.3% 4.9há/148.3há] O/001282 COTONA POP</t>
        </is>
      </c>
      <c r="M1839" s="232" t="inlineStr"/>
      <c r="N1839" s="232" t="inlineStr">
        <is>
          <t>.   .   -</t>
        </is>
      </c>
      <c r="O1839" s="232" t="inlineStr">
        <is>
          <t>ENERO</t>
        </is>
      </c>
      <c r="P1839" s="232" t="n">
        <v>5</v>
      </c>
      <c r="Q1839" s="234" t="n">
        <v>780</v>
      </c>
      <c r="R1839" s="232" t="inlineStr"/>
      <c r="S1839" s="234" t="n">
        <v>780</v>
      </c>
      <c r="T1839" s="232" t="inlineStr">
        <is>
          <t>CLP</t>
        </is>
      </c>
      <c r="U1839" s="232" t="inlineStr">
        <is>
          <t>Prorrateo Ha PACKING</t>
        </is>
      </c>
      <c r="V1839" s="232" t="inlineStr">
        <is>
          <t>2026-06-18</t>
        </is>
      </c>
    </row>
    <row r="1840">
      <c r="A1840" s="232" t="inlineStr">
        <is>
          <t>CR-1837</t>
        </is>
      </c>
      <c r="B1840" s="232" t="inlineStr">
        <is>
          <t>2026/27</t>
        </is>
      </c>
      <c r="C1840" s="233" t="n">
        <v>46053</v>
      </c>
      <c r="D1840" s="232" t="inlineStr">
        <is>
          <t>898673</t>
        </is>
      </c>
      <c r="E1840" s="232" t="inlineStr">
        <is>
          <t>PRORRATEO</t>
        </is>
      </c>
      <c r="F1840" s="232" t="inlineStr">
        <is>
          <t>El Molle</t>
        </is>
      </c>
      <c r="G1840" s="232" t="inlineStr">
        <is>
          <t>Wonderful 5,25 ha</t>
        </is>
      </c>
      <c r="H1840" s="232" t="inlineStr">
        <is>
          <t>Granados</t>
        </is>
      </c>
      <c r="I1840" s="232" t="inlineStr">
        <is>
          <t>Wonderfull</t>
        </is>
      </c>
      <c r="J1840" s="232" t="inlineStr">
        <is>
          <t>UNIFORME Y EPP</t>
        </is>
      </c>
      <c r="K1840" s="232" t="inlineStr">
        <is>
          <t>EPP</t>
        </is>
      </c>
      <c r="L1840" s="232" t="inlineStr">
        <is>
          <t>[PRORRATEO 3.5% 5.24há/148.3há] O/001282 COTONA POP</t>
        </is>
      </c>
      <c r="M1840" s="232" t="inlineStr"/>
      <c r="N1840" s="232" t="inlineStr">
        <is>
          <t>.   .   -</t>
        </is>
      </c>
      <c r="O1840" s="232" t="inlineStr">
        <is>
          <t>ENERO</t>
        </is>
      </c>
      <c r="P1840" s="232" t="n">
        <v>5</v>
      </c>
      <c r="Q1840" s="234" t="n">
        <v>834</v>
      </c>
      <c r="R1840" s="232" t="inlineStr"/>
      <c r="S1840" s="234" t="n">
        <v>834</v>
      </c>
      <c r="T1840" s="232" t="inlineStr">
        <is>
          <t>CLP</t>
        </is>
      </c>
      <c r="U1840" s="232" t="inlineStr">
        <is>
          <t>Prorrateo Ha PACKING</t>
        </is>
      </c>
      <c r="V1840" s="232" t="inlineStr">
        <is>
          <t>2026-06-18</t>
        </is>
      </c>
    </row>
    <row r="1841">
      <c r="A1841" s="232" t="inlineStr">
        <is>
          <t>CR-1838</t>
        </is>
      </c>
      <c r="B1841" s="232" t="inlineStr">
        <is>
          <t>2026/27</t>
        </is>
      </c>
      <c r="C1841" s="233" t="n">
        <v>46053</v>
      </c>
      <c r="D1841" s="232" t="inlineStr">
        <is>
          <t>898673</t>
        </is>
      </c>
      <c r="E1841" s="232" t="inlineStr">
        <is>
          <t>PRORRATEO</t>
        </is>
      </c>
      <c r="F1841" s="232" t="inlineStr">
        <is>
          <t>El Molle</t>
        </is>
      </c>
      <c r="G1841" s="232" t="inlineStr">
        <is>
          <t>arrufatinas 5,74 ha</t>
        </is>
      </c>
      <c r="H1841" s="232" t="inlineStr">
        <is>
          <t>Clementinas</t>
        </is>
      </c>
      <c r="I1841" s="232" t="inlineStr">
        <is>
          <t>Arrufatinas</t>
        </is>
      </c>
      <c r="J1841" s="232" t="inlineStr">
        <is>
          <t>UNIFORME Y EPP</t>
        </is>
      </c>
      <c r="K1841" s="232" t="inlineStr">
        <is>
          <t>EPP</t>
        </is>
      </c>
      <c r="L1841" s="232" t="inlineStr">
        <is>
          <t>[PRORRATEO 3.9% 5.74há/148.3há] O/001282 COTONA POP</t>
        </is>
      </c>
      <c r="M1841" s="232" t="inlineStr"/>
      <c r="N1841" s="232" t="inlineStr">
        <is>
          <t>.   .   -</t>
        </is>
      </c>
      <c r="O1841" s="232" t="inlineStr">
        <is>
          <t>ENERO</t>
        </is>
      </c>
      <c r="P1841" s="232" t="n">
        <v>5</v>
      </c>
      <c r="Q1841" s="234" t="n">
        <v>914</v>
      </c>
      <c r="R1841" s="232" t="inlineStr"/>
      <c r="S1841" s="234" t="n">
        <v>914</v>
      </c>
      <c r="T1841" s="232" t="inlineStr">
        <is>
          <t>CLP</t>
        </is>
      </c>
      <c r="U1841" s="232" t="inlineStr">
        <is>
          <t>Prorrateo Ha PACKING</t>
        </is>
      </c>
      <c r="V1841" s="232" t="inlineStr">
        <is>
          <t>2026-06-18</t>
        </is>
      </c>
    </row>
    <row r="1842">
      <c r="A1842" s="232" t="inlineStr">
        <is>
          <t>CR-1839</t>
        </is>
      </c>
      <c r="B1842" s="232" t="inlineStr">
        <is>
          <t>2026/27</t>
        </is>
      </c>
      <c r="C1842" s="233" t="n">
        <v>46053</v>
      </c>
      <c r="D1842" s="232" t="inlineStr">
        <is>
          <t>898673</t>
        </is>
      </c>
      <c r="E1842" s="232" t="inlineStr">
        <is>
          <t>PRORRATEO</t>
        </is>
      </c>
      <c r="F1842" s="232" t="inlineStr">
        <is>
          <t>El Molle</t>
        </is>
      </c>
      <c r="G1842" s="232" t="inlineStr">
        <is>
          <t>orogrande 8,11 ha</t>
        </is>
      </c>
      <c r="H1842" s="232" t="inlineStr">
        <is>
          <t>Clementinas</t>
        </is>
      </c>
      <c r="I1842" s="232" t="inlineStr">
        <is>
          <t>Orogrande</t>
        </is>
      </c>
      <c r="J1842" s="232" t="inlineStr">
        <is>
          <t>UNIFORME Y EPP</t>
        </is>
      </c>
      <c r="K1842" s="232" t="inlineStr">
        <is>
          <t>EPP</t>
        </is>
      </c>
      <c r="L1842" s="232" t="inlineStr">
        <is>
          <t>[PRORRATEO 5.5% 8.11há/148.3há] O/001282 COTONA POP</t>
        </is>
      </c>
      <c r="M1842" s="232" t="inlineStr"/>
      <c r="N1842" s="232" t="inlineStr">
        <is>
          <t>.   .   -</t>
        </is>
      </c>
      <c r="O1842" s="232" t="inlineStr">
        <is>
          <t>ENERO</t>
        </is>
      </c>
      <c r="P1842" s="232" t="n">
        <v>5</v>
      </c>
      <c r="Q1842" s="234" t="n">
        <v>1291</v>
      </c>
      <c r="R1842" s="232" t="inlineStr"/>
      <c r="S1842" s="234" t="n">
        <v>1291</v>
      </c>
      <c r="T1842" s="232" t="inlineStr">
        <is>
          <t>CLP</t>
        </is>
      </c>
      <c r="U1842" s="232" t="inlineStr">
        <is>
          <t>Prorrateo Ha PACKING</t>
        </is>
      </c>
      <c r="V1842" s="232" t="inlineStr">
        <is>
          <t>2026-06-18</t>
        </is>
      </c>
    </row>
    <row r="1843">
      <c r="A1843" s="232" t="inlineStr">
        <is>
          <t>CR-1840</t>
        </is>
      </c>
      <c r="B1843" s="232" t="inlineStr">
        <is>
          <t>2026/27</t>
        </is>
      </c>
      <c r="C1843" s="233" t="n">
        <v>46053</v>
      </c>
      <c r="D1843" s="232" t="inlineStr">
        <is>
          <t>898673</t>
        </is>
      </c>
      <c r="E1843" s="232" t="inlineStr">
        <is>
          <t>PRORRATEO</t>
        </is>
      </c>
      <c r="F1843" s="232" t="inlineStr">
        <is>
          <t>El Molle</t>
        </is>
      </c>
      <c r="G1843" s="232" t="inlineStr">
        <is>
          <t>oronules 5,35 ha</t>
        </is>
      </c>
      <c r="H1843" s="232" t="inlineStr">
        <is>
          <t>Clementinas</t>
        </is>
      </c>
      <c r="I1843" s="232" t="inlineStr">
        <is>
          <t>Oronules</t>
        </is>
      </c>
      <c r="J1843" s="232" t="inlineStr">
        <is>
          <t>UNIFORME Y EPP</t>
        </is>
      </c>
      <c r="K1843" s="232" t="inlineStr">
        <is>
          <t>EPP</t>
        </is>
      </c>
      <c r="L1843" s="232" t="inlineStr">
        <is>
          <t>[PRORRATEO 3.6% 5.35há/148.3há] O/001282 COTONA POP</t>
        </is>
      </c>
      <c r="M1843" s="232" t="inlineStr"/>
      <c r="N1843" s="232" t="inlineStr">
        <is>
          <t>.   .   -</t>
        </is>
      </c>
      <c r="O1843" s="232" t="inlineStr">
        <is>
          <t>ENERO</t>
        </is>
      </c>
      <c r="P1843" s="232" t="n">
        <v>5</v>
      </c>
      <c r="Q1843" s="234" t="n">
        <v>852</v>
      </c>
      <c r="R1843" s="232" t="inlineStr"/>
      <c r="S1843" s="234" t="n">
        <v>852</v>
      </c>
      <c r="T1843" s="232" t="inlineStr">
        <is>
          <t>CLP</t>
        </is>
      </c>
      <c r="U1843" s="232" t="inlineStr">
        <is>
          <t>Prorrateo Ha PACKING</t>
        </is>
      </c>
      <c r="V1843" s="232" t="inlineStr">
        <is>
          <t>2026-06-18</t>
        </is>
      </c>
    </row>
    <row r="1844">
      <c r="A1844" s="232" t="inlineStr">
        <is>
          <t>CR-1841</t>
        </is>
      </c>
      <c r="B1844" s="232" t="inlineStr">
        <is>
          <t>2026/27</t>
        </is>
      </c>
      <c r="C1844" s="233" t="n">
        <v>46053</v>
      </c>
      <c r="D1844" s="232" t="inlineStr">
        <is>
          <t>898673</t>
        </is>
      </c>
      <c r="E1844" s="232" t="inlineStr">
        <is>
          <t>PRORRATEO</t>
        </is>
      </c>
      <c r="F1844" s="232" t="inlineStr">
        <is>
          <t>Santa Catalina</t>
        </is>
      </c>
      <c r="G1844" s="232" t="inlineStr">
        <is>
          <t>Fino 49 7,7 ha</t>
        </is>
      </c>
      <c r="H1844" s="232" t="inlineStr">
        <is>
          <t>Limon</t>
        </is>
      </c>
      <c r="I1844" s="232" t="inlineStr">
        <is>
          <t>Fino 49</t>
        </is>
      </c>
      <c r="J1844" s="232" t="inlineStr">
        <is>
          <t>UNIFORME Y EPP</t>
        </is>
      </c>
      <c r="K1844" s="232" t="inlineStr">
        <is>
          <t>EPP</t>
        </is>
      </c>
      <c r="L1844" s="232" t="inlineStr">
        <is>
          <t>[PRORRATEO 5.2% 7.7há/148.3há] O/001282 COTONA POP</t>
        </is>
      </c>
      <c r="M1844" s="232" t="inlineStr"/>
      <c r="N1844" s="232" t="inlineStr">
        <is>
          <t>.   .   -</t>
        </is>
      </c>
      <c r="O1844" s="232" t="inlineStr">
        <is>
          <t>ENERO</t>
        </is>
      </c>
      <c r="P1844" s="232" t="n">
        <v>5</v>
      </c>
      <c r="Q1844" s="234" t="n">
        <v>1226</v>
      </c>
      <c r="R1844" s="232" t="inlineStr"/>
      <c r="S1844" s="234" t="n">
        <v>1226</v>
      </c>
      <c r="T1844" s="232" t="inlineStr">
        <is>
          <t>CLP</t>
        </is>
      </c>
      <c r="U1844" s="232" t="inlineStr">
        <is>
          <t>Prorrateo Ha PACKING</t>
        </is>
      </c>
      <c r="V1844" s="232" t="inlineStr">
        <is>
          <t>2026-06-18</t>
        </is>
      </c>
    </row>
    <row r="1845">
      <c r="A1845" s="232" t="inlineStr">
        <is>
          <t>CR-1842</t>
        </is>
      </c>
      <c r="B1845" s="232" t="inlineStr">
        <is>
          <t>2026/27</t>
        </is>
      </c>
      <c r="C1845" s="233" t="n">
        <v>46053</v>
      </c>
      <c r="D1845" s="232" t="inlineStr">
        <is>
          <t>898673</t>
        </is>
      </c>
      <c r="E1845" s="232" t="inlineStr">
        <is>
          <t>PRORRATEO</t>
        </is>
      </c>
      <c r="F1845" s="232" t="inlineStr">
        <is>
          <t>Santa Catalina</t>
        </is>
      </c>
      <c r="G1845" s="232" t="inlineStr">
        <is>
          <t>W. murcott 21 ha</t>
        </is>
      </c>
      <c r="H1845" s="232" t="inlineStr">
        <is>
          <t>Mandarina</t>
        </is>
      </c>
      <c r="I1845" s="232" t="inlineStr">
        <is>
          <t>W. murcott</t>
        </is>
      </c>
      <c r="J1845" s="232" t="inlineStr">
        <is>
          <t>UNIFORME Y EPP</t>
        </is>
      </c>
      <c r="K1845" s="232" t="inlineStr">
        <is>
          <t>EPP</t>
        </is>
      </c>
      <c r="L1845" s="232" t="inlineStr">
        <is>
          <t>[PRORRATEO 14.2% 21.0há/148.3há] O/001282 COTONA POP</t>
        </is>
      </c>
      <c r="M1845" s="232" t="inlineStr"/>
      <c r="N1845" s="232" t="inlineStr">
        <is>
          <t>.   .   -</t>
        </is>
      </c>
      <c r="O1845" s="232" t="inlineStr">
        <is>
          <t>ENERO</t>
        </is>
      </c>
      <c r="P1845" s="232" t="n">
        <v>5</v>
      </c>
      <c r="Q1845" s="234" t="n">
        <v>3343</v>
      </c>
      <c r="R1845" s="232" t="inlineStr"/>
      <c r="S1845" s="234" t="n">
        <v>3343</v>
      </c>
      <c r="T1845" s="232" t="inlineStr">
        <is>
          <t>CLP</t>
        </is>
      </c>
      <c r="U1845" s="232" t="inlineStr">
        <is>
          <t>Prorrateo Ha PACKING</t>
        </is>
      </c>
      <c r="V1845" s="232" t="inlineStr">
        <is>
          <t>2026-06-18</t>
        </is>
      </c>
    </row>
    <row r="1846">
      <c r="A1846" s="232" t="inlineStr">
        <is>
          <t>CR-1843</t>
        </is>
      </c>
      <c r="B1846" s="232" t="inlineStr">
        <is>
          <t>2026/27</t>
        </is>
      </c>
      <c r="C1846" s="233" t="n">
        <v>46053</v>
      </c>
      <c r="D1846" s="232" t="inlineStr">
        <is>
          <t>898673</t>
        </is>
      </c>
      <c r="E1846" s="232" t="inlineStr">
        <is>
          <t>PRORRATEO</t>
        </is>
      </c>
      <c r="F1846" s="232" t="inlineStr">
        <is>
          <t>Santa Catalina</t>
        </is>
      </c>
      <c r="G1846" s="232" t="inlineStr">
        <is>
          <t>cambria 4,2 ha</t>
        </is>
      </c>
      <c r="H1846" s="232" t="inlineStr">
        <is>
          <t>Naranjas</t>
        </is>
      </c>
      <c r="I1846" s="232" t="inlineStr">
        <is>
          <t>Cambria</t>
        </is>
      </c>
      <c r="J1846" s="232" t="inlineStr">
        <is>
          <t>UNIFORME Y EPP</t>
        </is>
      </c>
      <c r="K1846" s="232" t="inlineStr">
        <is>
          <t>EPP</t>
        </is>
      </c>
      <c r="L1846" s="232" t="inlineStr">
        <is>
          <t>[PRORRATEO 2.8% 4.2há/148.3há] O/001282 COTONA POP</t>
        </is>
      </c>
      <c r="M1846" s="232" t="inlineStr"/>
      <c r="N1846" s="232" t="inlineStr">
        <is>
          <t>.   .   -</t>
        </is>
      </c>
      <c r="O1846" s="232" t="inlineStr">
        <is>
          <t>ENERO</t>
        </is>
      </c>
      <c r="P1846" s="232" t="n">
        <v>5</v>
      </c>
      <c r="Q1846" s="234" t="n">
        <v>669</v>
      </c>
      <c r="R1846" s="232" t="inlineStr"/>
      <c r="S1846" s="234" t="n">
        <v>669</v>
      </c>
      <c r="T1846" s="232" t="inlineStr">
        <is>
          <t>CLP</t>
        </is>
      </c>
      <c r="U1846" s="232" t="inlineStr">
        <is>
          <t>Prorrateo Ha PACKING</t>
        </is>
      </c>
      <c r="V1846" s="232" t="inlineStr">
        <is>
          <t>2026-06-18</t>
        </is>
      </c>
    </row>
    <row r="1847">
      <c r="A1847" s="232" t="inlineStr">
        <is>
          <t>CR-1844</t>
        </is>
      </c>
      <c r="B1847" s="232" t="inlineStr">
        <is>
          <t>2026/27</t>
        </is>
      </c>
      <c r="C1847" s="233" t="n">
        <v>46053</v>
      </c>
      <c r="D1847" s="232" t="inlineStr">
        <is>
          <t>898673</t>
        </is>
      </c>
      <c r="E1847" s="232" t="inlineStr">
        <is>
          <t>PRORRATEO</t>
        </is>
      </c>
      <c r="F1847" s="232" t="inlineStr">
        <is>
          <t>Santa Catalina</t>
        </is>
      </c>
      <c r="G1847" s="232" t="inlineStr">
        <is>
          <t>eureka 10,6 ha</t>
        </is>
      </c>
      <c r="H1847" s="232" t="inlineStr">
        <is>
          <t>Limon</t>
        </is>
      </c>
      <c r="I1847" s="232" t="inlineStr">
        <is>
          <t>Eureka</t>
        </is>
      </c>
      <c r="J1847" s="232" t="inlineStr">
        <is>
          <t>UNIFORME Y EPP</t>
        </is>
      </c>
      <c r="K1847" s="232" t="inlineStr">
        <is>
          <t>EPP</t>
        </is>
      </c>
      <c r="L1847" s="232" t="inlineStr">
        <is>
          <t>[PRORRATEO 7.1% 10.6há/148.3há] O/001282 COTONA POP</t>
        </is>
      </c>
      <c r="M1847" s="232" t="inlineStr"/>
      <c r="N1847" s="232" t="inlineStr">
        <is>
          <t>.   .   -</t>
        </is>
      </c>
      <c r="O1847" s="232" t="inlineStr">
        <is>
          <t>ENERO</t>
        </is>
      </c>
      <c r="P1847" s="232" t="n">
        <v>5</v>
      </c>
      <c r="Q1847" s="234" t="n">
        <v>1687</v>
      </c>
      <c r="R1847" s="232" t="inlineStr"/>
      <c r="S1847" s="234" t="n">
        <v>1687</v>
      </c>
      <c r="T1847" s="232" t="inlineStr">
        <is>
          <t>CLP</t>
        </is>
      </c>
      <c r="U1847" s="232" t="inlineStr">
        <is>
          <t>Prorrateo Ha PACKING</t>
        </is>
      </c>
      <c r="V1847" s="232" t="inlineStr">
        <is>
          <t>2026-06-18</t>
        </is>
      </c>
    </row>
    <row r="1848">
      <c r="A1848" s="232" t="inlineStr">
        <is>
          <t>CR-1845</t>
        </is>
      </c>
      <c r="B1848" s="232" t="inlineStr">
        <is>
          <t>2026/27</t>
        </is>
      </c>
      <c r="C1848" s="233" t="n">
        <v>46053</v>
      </c>
      <c r="D1848" s="232" t="inlineStr">
        <is>
          <t>898673</t>
        </is>
      </c>
      <c r="E1848" s="232" t="inlineStr">
        <is>
          <t>PRORRATEO</t>
        </is>
      </c>
      <c r="F1848" s="232" t="inlineStr">
        <is>
          <t>Santa Catalina</t>
        </is>
      </c>
      <c r="G1848" s="232" t="inlineStr">
        <is>
          <t>eureka 14,4 ha</t>
        </is>
      </c>
      <c r="H1848" s="232" t="inlineStr">
        <is>
          <t>Limon</t>
        </is>
      </c>
      <c r="I1848" s="232" t="inlineStr">
        <is>
          <t>Eureka</t>
        </is>
      </c>
      <c r="J1848" s="232" t="inlineStr">
        <is>
          <t>UNIFORME Y EPP</t>
        </is>
      </c>
      <c r="K1848" s="232" t="inlineStr">
        <is>
          <t>EPP</t>
        </is>
      </c>
      <c r="L1848" s="232" t="inlineStr">
        <is>
          <t>[PRORRATEO 9.7% 14.4há/148.3há] O/001282 COTONA POP</t>
        </is>
      </c>
      <c r="M1848" s="232" t="inlineStr"/>
      <c r="N1848" s="232" t="inlineStr">
        <is>
          <t>.   .   -</t>
        </is>
      </c>
      <c r="O1848" s="232" t="inlineStr">
        <is>
          <t>ENERO</t>
        </is>
      </c>
      <c r="P1848" s="232" t="n">
        <v>5</v>
      </c>
      <c r="Q1848" s="234" t="n">
        <v>2292</v>
      </c>
      <c r="R1848" s="232" t="inlineStr"/>
      <c r="S1848" s="234" t="n">
        <v>2292</v>
      </c>
      <c r="T1848" s="232" t="inlineStr">
        <is>
          <t>CLP</t>
        </is>
      </c>
      <c r="U1848" s="232" t="inlineStr">
        <is>
          <t>Prorrateo Ha PACKING</t>
        </is>
      </c>
      <c r="V1848" s="232" t="inlineStr">
        <is>
          <t>2026-06-18</t>
        </is>
      </c>
    </row>
    <row r="1849">
      <c r="A1849" s="232" t="inlineStr">
        <is>
          <t>CR-1846</t>
        </is>
      </c>
      <c r="B1849" s="232" t="inlineStr">
        <is>
          <t>2026/27</t>
        </is>
      </c>
      <c r="C1849" s="233" t="n">
        <v>46053</v>
      </c>
      <c r="D1849" s="232" t="inlineStr">
        <is>
          <t>898673</t>
        </is>
      </c>
      <c r="E1849" s="232" t="inlineStr">
        <is>
          <t>PRORRATEO</t>
        </is>
      </c>
      <c r="F1849" s="232" t="inlineStr">
        <is>
          <t>Santa Catalina</t>
        </is>
      </c>
      <c r="G1849" s="232" t="inlineStr">
        <is>
          <t>eureka 22,55</t>
        </is>
      </c>
      <c r="H1849" s="232" t="inlineStr">
        <is>
          <t>Limon</t>
        </is>
      </c>
      <c r="I1849" s="232" t="inlineStr">
        <is>
          <t>Eureka</t>
        </is>
      </c>
      <c r="J1849" s="232" t="inlineStr">
        <is>
          <t>UNIFORME Y EPP</t>
        </is>
      </c>
      <c r="K1849" s="232" t="inlineStr">
        <is>
          <t>EPP</t>
        </is>
      </c>
      <c r="L1849" s="232" t="inlineStr">
        <is>
          <t>[PRORRATEO 15.2% 22.55há/148.3há] O/001282 COTONA POP</t>
        </is>
      </c>
      <c r="M1849" s="232" t="inlineStr"/>
      <c r="N1849" s="232" t="inlineStr">
        <is>
          <t>.   .   -</t>
        </is>
      </c>
      <c r="O1849" s="232" t="inlineStr">
        <is>
          <t>ENERO</t>
        </is>
      </c>
      <c r="P1849" s="232" t="n">
        <v>5</v>
      </c>
      <c r="Q1849" s="234" t="n">
        <v>3590</v>
      </c>
      <c r="R1849" s="232" t="inlineStr"/>
      <c r="S1849" s="234" t="n">
        <v>3590</v>
      </c>
      <c r="T1849" s="232" t="inlineStr">
        <is>
          <t>CLP</t>
        </is>
      </c>
      <c r="U1849" s="232" t="inlineStr">
        <is>
          <t>Prorrateo Ha PACKING</t>
        </is>
      </c>
      <c r="V1849" s="232" t="inlineStr">
        <is>
          <t>2026-06-18</t>
        </is>
      </c>
    </row>
    <row r="1850">
      <c r="A1850" s="232" t="inlineStr">
        <is>
          <t>CR-1847</t>
        </is>
      </c>
      <c r="B1850" s="232" t="inlineStr">
        <is>
          <t>2026/27</t>
        </is>
      </c>
      <c r="C1850" s="233" t="n">
        <v>46053</v>
      </c>
      <c r="D1850" s="232" t="inlineStr">
        <is>
          <t>898673</t>
        </is>
      </c>
      <c r="E1850" s="232" t="inlineStr">
        <is>
          <t>PRORRATEO</t>
        </is>
      </c>
      <c r="F1850" s="232" t="inlineStr">
        <is>
          <t>Santa Catalina</t>
        </is>
      </c>
      <c r="G1850" s="232" t="inlineStr">
        <is>
          <t>form benjamin 1,93 ha</t>
        </is>
      </c>
      <c r="H1850" s="232" t="inlineStr">
        <is>
          <t>Limon</t>
        </is>
      </c>
      <c r="I1850" s="232" t="inlineStr">
        <is>
          <t>Benjamin andes</t>
        </is>
      </c>
      <c r="J1850" s="232" t="inlineStr">
        <is>
          <t>UNIFORME Y EPP</t>
        </is>
      </c>
      <c r="K1850" s="232" t="inlineStr">
        <is>
          <t>EPP</t>
        </is>
      </c>
      <c r="L1850" s="232" t="inlineStr">
        <is>
          <t>[PRORRATEO 1.3% 1.93há/148.3há] O/001282 COTONA POP</t>
        </is>
      </c>
      <c r="M1850" s="232" t="inlineStr"/>
      <c r="N1850" s="232" t="inlineStr">
        <is>
          <t>.   .   -</t>
        </is>
      </c>
      <c r="O1850" s="232" t="inlineStr">
        <is>
          <t>ENERO</t>
        </is>
      </c>
      <c r="P1850" s="232" t="n">
        <v>5</v>
      </c>
      <c r="Q1850" s="234" t="n">
        <v>307</v>
      </c>
      <c r="R1850" s="232" t="inlineStr"/>
      <c r="S1850" s="234" t="n">
        <v>307</v>
      </c>
      <c r="T1850" s="232" t="inlineStr">
        <is>
          <t>CLP</t>
        </is>
      </c>
      <c r="U1850" s="232" t="inlineStr">
        <is>
          <t>Prorrateo Ha PACKING</t>
        </is>
      </c>
      <c r="V1850" s="232" t="inlineStr">
        <is>
          <t>2026-06-18</t>
        </is>
      </c>
    </row>
    <row r="1851">
      <c r="A1851" s="232" t="inlineStr">
        <is>
          <t>CR-1848</t>
        </is>
      </c>
      <c r="B1851" s="232" t="inlineStr">
        <is>
          <t>2026/27</t>
        </is>
      </c>
      <c r="C1851" s="233" t="n">
        <v>46053</v>
      </c>
      <c r="D1851" s="232" t="inlineStr">
        <is>
          <t>898673</t>
        </is>
      </c>
      <c r="E1851" s="232" t="inlineStr">
        <is>
          <t>PRORRATEO</t>
        </is>
      </c>
      <c r="F1851" s="232" t="inlineStr">
        <is>
          <t>Santa Catalina</t>
        </is>
      </c>
      <c r="G1851" s="232" t="inlineStr">
        <is>
          <t>mant eureka 2,5 ha</t>
        </is>
      </c>
      <c r="H1851" s="232" t="inlineStr">
        <is>
          <t>Limon</t>
        </is>
      </c>
      <c r="I1851" s="232" t="inlineStr">
        <is>
          <t>Eureka</t>
        </is>
      </c>
      <c r="J1851" s="232" t="inlineStr">
        <is>
          <t>UNIFORME Y EPP</t>
        </is>
      </c>
      <c r="K1851" s="232" t="inlineStr">
        <is>
          <t>EPP</t>
        </is>
      </c>
      <c r="L1851" s="232" t="inlineStr">
        <is>
          <t>[PRORRATEO 1.7% 2.5há/148.3há] O/001282 COTONA POP</t>
        </is>
      </c>
      <c r="M1851" s="232" t="inlineStr"/>
      <c r="N1851" s="232" t="inlineStr">
        <is>
          <t>.   .   -</t>
        </is>
      </c>
      <c r="O1851" s="232" t="inlineStr">
        <is>
          <t>ENERO</t>
        </is>
      </c>
      <c r="P1851" s="232" t="n">
        <v>5</v>
      </c>
      <c r="Q1851" s="234" t="n">
        <v>398</v>
      </c>
      <c r="R1851" s="232" t="inlineStr"/>
      <c r="S1851" s="234" t="n">
        <v>398</v>
      </c>
      <c r="T1851" s="232" t="inlineStr">
        <is>
          <t>CLP</t>
        </is>
      </c>
      <c r="U1851" s="232" t="inlineStr">
        <is>
          <t>Prorrateo Ha PACKING</t>
        </is>
      </c>
      <c r="V1851" s="232" t="inlineStr">
        <is>
          <t>2026-06-18</t>
        </is>
      </c>
    </row>
    <row r="1852">
      <c r="A1852" s="232" t="inlineStr">
        <is>
          <t>CR-1849</t>
        </is>
      </c>
      <c r="B1852" s="232" t="inlineStr">
        <is>
          <t>2026/27</t>
        </is>
      </c>
      <c r="C1852" s="233" t="n">
        <v>46053</v>
      </c>
      <c r="D1852" s="232" t="inlineStr">
        <is>
          <t>898673</t>
        </is>
      </c>
      <c r="E1852" s="232" t="inlineStr">
        <is>
          <t>PRORRATEO</t>
        </is>
      </c>
      <c r="F1852" s="232" t="inlineStr">
        <is>
          <t>Siberia</t>
        </is>
      </c>
      <c r="G1852" s="232" t="inlineStr">
        <is>
          <t>S. Celebration 7,14</t>
        </is>
      </c>
      <c r="H1852" s="232" t="inlineStr">
        <is>
          <t>Uvas</t>
        </is>
      </c>
      <c r="I1852" s="232" t="inlineStr">
        <is>
          <t>S. celebration</t>
        </is>
      </c>
      <c r="J1852" s="232" t="inlineStr">
        <is>
          <t>UNIFORME Y EPP</t>
        </is>
      </c>
      <c r="K1852" s="232" t="inlineStr">
        <is>
          <t>EPP</t>
        </is>
      </c>
      <c r="L1852" s="232" t="inlineStr">
        <is>
          <t>[PRORRATEO 4.8% 7.14há/148.3há] O/001282 COTONA POP</t>
        </is>
      </c>
      <c r="M1852" s="232" t="inlineStr"/>
      <c r="N1852" s="232" t="inlineStr">
        <is>
          <t>.   .   -</t>
        </is>
      </c>
      <c r="O1852" s="232" t="inlineStr">
        <is>
          <t>ENERO</t>
        </is>
      </c>
      <c r="P1852" s="232" t="n">
        <v>5</v>
      </c>
      <c r="Q1852" s="234" t="n">
        <v>1137</v>
      </c>
      <c r="R1852" s="232" t="inlineStr"/>
      <c r="S1852" s="234" t="n">
        <v>1137</v>
      </c>
      <c r="T1852" s="232" t="inlineStr">
        <is>
          <t>CLP</t>
        </is>
      </c>
      <c r="U1852" s="232" t="inlineStr">
        <is>
          <t>Prorrateo Ha PACKING</t>
        </is>
      </c>
      <c r="V1852" s="232" t="inlineStr">
        <is>
          <t>2026-06-18</t>
        </is>
      </c>
    </row>
    <row r="1853">
      <c r="A1853" s="232" t="inlineStr">
        <is>
          <t>CR-1850</t>
        </is>
      </c>
      <c r="B1853" s="232" t="inlineStr">
        <is>
          <t>2026/27</t>
        </is>
      </c>
      <c r="C1853" s="233" t="n">
        <v>46053</v>
      </c>
      <c r="D1853" s="232" t="inlineStr">
        <is>
          <t>898673</t>
        </is>
      </c>
      <c r="E1853" s="232" t="inlineStr">
        <is>
          <t>PRORRATEO</t>
        </is>
      </c>
      <c r="F1853" s="232" t="inlineStr">
        <is>
          <t>Siberia</t>
        </is>
      </c>
      <c r="G1853" s="232" t="inlineStr">
        <is>
          <t>Timpson 7,1</t>
        </is>
      </c>
      <c r="H1853" s="232" t="inlineStr">
        <is>
          <t>Uvas</t>
        </is>
      </c>
      <c r="I1853" s="232" t="inlineStr">
        <is>
          <t>Timpson</t>
        </is>
      </c>
      <c r="J1853" s="232" t="inlineStr">
        <is>
          <t>UNIFORME Y EPP</t>
        </is>
      </c>
      <c r="K1853" s="232" t="inlineStr">
        <is>
          <t>EPP</t>
        </is>
      </c>
      <c r="L1853" s="232" t="inlineStr">
        <is>
          <t>[PRORRATEO 4.8% 7.1há/148.3há] O/001282 COTONA POP</t>
        </is>
      </c>
      <c r="M1853" s="232" t="inlineStr"/>
      <c r="N1853" s="232" t="inlineStr">
        <is>
          <t>.   .   -</t>
        </is>
      </c>
      <c r="O1853" s="232" t="inlineStr">
        <is>
          <t>ENERO</t>
        </is>
      </c>
      <c r="P1853" s="232" t="n">
        <v>5</v>
      </c>
      <c r="Q1853" s="234" t="n">
        <v>1130</v>
      </c>
      <c r="R1853" s="232" t="inlineStr"/>
      <c r="S1853" s="234" t="n">
        <v>1130</v>
      </c>
      <c r="T1853" s="232" t="inlineStr">
        <is>
          <t>CLP</t>
        </is>
      </c>
      <c r="U1853" s="232" t="inlineStr">
        <is>
          <t>Prorrateo Ha PACKING</t>
        </is>
      </c>
      <c r="V1853" s="232" t="inlineStr">
        <is>
          <t>2026-06-18</t>
        </is>
      </c>
    </row>
    <row r="1854">
      <c r="A1854" s="232" t="inlineStr">
        <is>
          <t>CR-1851</t>
        </is>
      </c>
      <c r="B1854" s="232" t="inlineStr">
        <is>
          <t>2026/27</t>
        </is>
      </c>
      <c r="C1854" s="233" t="n">
        <v>46053</v>
      </c>
      <c r="D1854" s="232" t="inlineStr">
        <is>
          <t>2076</t>
        </is>
      </c>
      <c r="E1854" s="232" t="inlineStr">
        <is>
          <t>PRORRATEO</t>
        </is>
      </c>
      <c r="F1854" s="232" t="inlineStr">
        <is>
          <t>Asmara</t>
        </is>
      </c>
      <c r="G1854" s="232" t="inlineStr">
        <is>
          <t>w. murcott 19,8 ha</t>
        </is>
      </c>
      <c r="H1854" s="232" t="inlineStr">
        <is>
          <t>Mandarina</t>
        </is>
      </c>
      <c r="I1854" s="232" t="inlineStr">
        <is>
          <t>W. murcott</t>
        </is>
      </c>
      <c r="J1854" s="232" t="inlineStr">
        <is>
          <t>MATERIALES EMBALAJE</t>
        </is>
      </c>
      <c r="K1854" s="232" t="inlineStr">
        <is>
          <t>MATERIALES VARIOS</t>
        </is>
      </c>
      <c r="L1854" s="232" t="inlineStr">
        <is>
          <t>[PRORRATEO 13.4% 19.8há/148.3há] O/001330 BALANZA DI</t>
        </is>
      </c>
      <c r="M1854" s="232" t="inlineStr"/>
      <c r="N1854" s="232" t="inlineStr">
        <is>
          <t>.   .   -</t>
        </is>
      </c>
      <c r="O1854" s="232" t="inlineStr">
        <is>
          <t>ENERO</t>
        </is>
      </c>
      <c r="P1854" s="232" t="n">
        <v>5</v>
      </c>
      <c r="Q1854" s="234" t="n">
        <v>51416</v>
      </c>
      <c r="R1854" s="232" t="inlineStr"/>
      <c r="S1854" s="234" t="n">
        <v>51416</v>
      </c>
      <c r="T1854" s="232" t="inlineStr">
        <is>
          <t>CLP</t>
        </is>
      </c>
      <c r="U1854" s="232" t="inlineStr">
        <is>
          <t>Prorrateo Ha PACKING</t>
        </is>
      </c>
      <c r="V1854" s="232" t="inlineStr">
        <is>
          <t>2026-06-18</t>
        </is>
      </c>
    </row>
    <row r="1855">
      <c r="A1855" s="232" t="inlineStr">
        <is>
          <t>CR-1852</t>
        </is>
      </c>
      <c r="B1855" s="232" t="inlineStr">
        <is>
          <t>2026/27</t>
        </is>
      </c>
      <c r="C1855" s="233" t="n">
        <v>46053</v>
      </c>
      <c r="D1855" s="232" t="inlineStr">
        <is>
          <t>2076</t>
        </is>
      </c>
      <c r="E1855" s="232" t="inlineStr">
        <is>
          <t>PRORRATEO</t>
        </is>
      </c>
      <c r="F1855" s="232" t="inlineStr">
        <is>
          <t>Asmara</t>
        </is>
      </c>
      <c r="G1855" s="232" t="inlineStr">
        <is>
          <t>w. murcott 4,9 ha</t>
        </is>
      </c>
      <c r="H1855" s="232" t="inlineStr">
        <is>
          <t>Mandarina</t>
        </is>
      </c>
      <c r="I1855" s="232" t="inlineStr">
        <is>
          <t>W. murcott</t>
        </is>
      </c>
      <c r="J1855" s="232" t="inlineStr">
        <is>
          <t>MATERIALES EMBALAJE</t>
        </is>
      </c>
      <c r="K1855" s="232" t="inlineStr">
        <is>
          <t>MATERIALES VARIOS</t>
        </is>
      </c>
      <c r="L1855" s="232" t="inlineStr">
        <is>
          <t>[PRORRATEO 3.3% 4.9há/148.3há] O/001330 BALANZA DI</t>
        </is>
      </c>
      <c r="M1855" s="232" t="inlineStr"/>
      <c r="N1855" s="232" t="inlineStr">
        <is>
          <t>.   .   -</t>
        </is>
      </c>
      <c r="O1855" s="232" t="inlineStr">
        <is>
          <t>ENERO</t>
        </is>
      </c>
      <c r="P1855" s="232" t="n">
        <v>5</v>
      </c>
      <c r="Q1855" s="234" t="n">
        <v>12724</v>
      </c>
      <c r="R1855" s="232" t="inlineStr"/>
      <c r="S1855" s="234" t="n">
        <v>12724</v>
      </c>
      <c r="T1855" s="232" t="inlineStr">
        <is>
          <t>CLP</t>
        </is>
      </c>
      <c r="U1855" s="232" t="inlineStr">
        <is>
          <t>Prorrateo Ha PACKING</t>
        </is>
      </c>
      <c r="V1855" s="232" t="inlineStr">
        <is>
          <t>2026-06-18</t>
        </is>
      </c>
    </row>
    <row r="1856">
      <c r="A1856" s="232" t="inlineStr">
        <is>
          <t>CR-1853</t>
        </is>
      </c>
      <c r="B1856" s="232" t="inlineStr">
        <is>
          <t>2026/27</t>
        </is>
      </c>
      <c r="C1856" s="233" t="n">
        <v>46053</v>
      </c>
      <c r="D1856" s="232" t="inlineStr">
        <is>
          <t>2076</t>
        </is>
      </c>
      <c r="E1856" s="232" t="inlineStr">
        <is>
          <t>PRORRATEO</t>
        </is>
      </c>
      <c r="F1856" s="232" t="inlineStr">
        <is>
          <t>El Molle</t>
        </is>
      </c>
      <c r="G1856" s="232" t="inlineStr">
        <is>
          <t>Wonderful 5,25 ha</t>
        </is>
      </c>
      <c r="H1856" s="232" t="inlineStr">
        <is>
          <t>Granados</t>
        </is>
      </c>
      <c r="I1856" s="232" t="inlineStr">
        <is>
          <t>Wonderfull</t>
        </is>
      </c>
      <c r="J1856" s="232" t="inlineStr">
        <is>
          <t>MATERIALES EMBALAJE</t>
        </is>
      </c>
      <c r="K1856" s="232" t="inlineStr">
        <is>
          <t>MATERIALES VARIOS</t>
        </is>
      </c>
      <c r="L1856" s="232" t="inlineStr">
        <is>
          <t>[PRORRATEO 3.5% 5.24há/148.3há] O/001330 BALANZA DI</t>
        </is>
      </c>
      <c r="M1856" s="232" t="inlineStr"/>
      <c r="N1856" s="232" t="inlineStr">
        <is>
          <t>.   .   -</t>
        </is>
      </c>
      <c r="O1856" s="232" t="inlineStr">
        <is>
          <t>ENERO</t>
        </is>
      </c>
      <c r="P1856" s="232" t="n">
        <v>5</v>
      </c>
      <c r="Q1856" s="234" t="n">
        <v>13607</v>
      </c>
      <c r="R1856" s="232" t="inlineStr"/>
      <c r="S1856" s="234" t="n">
        <v>13607</v>
      </c>
      <c r="T1856" s="232" t="inlineStr">
        <is>
          <t>CLP</t>
        </is>
      </c>
      <c r="U1856" s="232" t="inlineStr">
        <is>
          <t>Prorrateo Ha PACKING</t>
        </is>
      </c>
      <c r="V1856" s="232" t="inlineStr">
        <is>
          <t>2026-06-18</t>
        </is>
      </c>
    </row>
    <row r="1857">
      <c r="A1857" s="232" t="inlineStr">
        <is>
          <t>CR-1854</t>
        </is>
      </c>
      <c r="B1857" s="232" t="inlineStr">
        <is>
          <t>2026/27</t>
        </is>
      </c>
      <c r="C1857" s="233" t="n">
        <v>46053</v>
      </c>
      <c r="D1857" s="232" t="inlineStr">
        <is>
          <t>2076</t>
        </is>
      </c>
      <c r="E1857" s="232" t="inlineStr">
        <is>
          <t>PRORRATEO</t>
        </is>
      </c>
      <c r="F1857" s="232" t="inlineStr">
        <is>
          <t>El Molle</t>
        </is>
      </c>
      <c r="G1857" s="232" t="inlineStr">
        <is>
          <t>arrufatinas 5,74 ha</t>
        </is>
      </c>
      <c r="H1857" s="232" t="inlineStr">
        <is>
          <t>Clementinas</t>
        </is>
      </c>
      <c r="I1857" s="232" t="inlineStr">
        <is>
          <t>Arrufatinas</t>
        </is>
      </c>
      <c r="J1857" s="232" t="inlineStr">
        <is>
          <t>MATERIALES EMBALAJE</t>
        </is>
      </c>
      <c r="K1857" s="232" t="inlineStr">
        <is>
          <t>MATERIALES VARIOS</t>
        </is>
      </c>
      <c r="L1857" s="232" t="inlineStr">
        <is>
          <t>[PRORRATEO 3.9% 5.74há/148.3há] O/001330 BALANZA DI</t>
        </is>
      </c>
      <c r="M1857" s="232" t="inlineStr"/>
      <c r="N1857" s="232" t="inlineStr">
        <is>
          <t>.   .   -</t>
        </is>
      </c>
      <c r="O1857" s="232" t="inlineStr">
        <is>
          <t>ENERO</t>
        </is>
      </c>
      <c r="P1857" s="232" t="n">
        <v>5</v>
      </c>
      <c r="Q1857" s="234" t="n">
        <v>14906</v>
      </c>
      <c r="R1857" s="232" t="inlineStr"/>
      <c r="S1857" s="234" t="n">
        <v>14906</v>
      </c>
      <c r="T1857" s="232" t="inlineStr">
        <is>
          <t>CLP</t>
        </is>
      </c>
      <c r="U1857" s="232" t="inlineStr">
        <is>
          <t>Prorrateo Ha PACKING</t>
        </is>
      </c>
      <c r="V1857" s="232" t="inlineStr">
        <is>
          <t>2026-06-18</t>
        </is>
      </c>
    </row>
    <row r="1858">
      <c r="A1858" s="232" t="inlineStr">
        <is>
          <t>CR-1855</t>
        </is>
      </c>
      <c r="B1858" s="232" t="inlineStr">
        <is>
          <t>2026/27</t>
        </is>
      </c>
      <c r="C1858" s="233" t="n">
        <v>46053</v>
      </c>
      <c r="D1858" s="232" t="inlineStr">
        <is>
          <t>2076</t>
        </is>
      </c>
      <c r="E1858" s="232" t="inlineStr">
        <is>
          <t>PRORRATEO</t>
        </is>
      </c>
      <c r="F1858" s="232" t="inlineStr">
        <is>
          <t>El Molle</t>
        </is>
      </c>
      <c r="G1858" s="232" t="inlineStr">
        <is>
          <t>orogrande 8,11 ha</t>
        </is>
      </c>
      <c r="H1858" s="232" t="inlineStr">
        <is>
          <t>Clementinas</t>
        </is>
      </c>
      <c r="I1858" s="232" t="inlineStr">
        <is>
          <t>Orogrande</t>
        </is>
      </c>
      <c r="J1858" s="232" t="inlineStr">
        <is>
          <t>MATERIALES EMBALAJE</t>
        </is>
      </c>
      <c r="K1858" s="232" t="inlineStr">
        <is>
          <t>MATERIALES VARIOS</t>
        </is>
      </c>
      <c r="L1858" s="232" t="inlineStr">
        <is>
          <t>[PRORRATEO 5.5% 8.11há/148.3há] O/001330 BALANZA DI</t>
        </is>
      </c>
      <c r="M1858" s="232" t="inlineStr"/>
      <c r="N1858" s="232" t="inlineStr">
        <is>
          <t>.   .   -</t>
        </is>
      </c>
      <c r="O1858" s="232" t="inlineStr">
        <is>
          <t>ENERO</t>
        </is>
      </c>
      <c r="P1858" s="232" t="n">
        <v>5</v>
      </c>
      <c r="Q1858" s="234" t="n">
        <v>21060</v>
      </c>
      <c r="R1858" s="232" t="inlineStr"/>
      <c r="S1858" s="234" t="n">
        <v>21060</v>
      </c>
      <c r="T1858" s="232" t="inlineStr">
        <is>
          <t>CLP</t>
        </is>
      </c>
      <c r="U1858" s="232" t="inlineStr">
        <is>
          <t>Prorrateo Ha PACKING</t>
        </is>
      </c>
      <c r="V1858" s="232" t="inlineStr">
        <is>
          <t>2026-06-18</t>
        </is>
      </c>
    </row>
    <row r="1859">
      <c r="A1859" s="232" t="inlineStr">
        <is>
          <t>CR-1856</t>
        </is>
      </c>
      <c r="B1859" s="232" t="inlineStr">
        <is>
          <t>2026/27</t>
        </is>
      </c>
      <c r="C1859" s="233" t="n">
        <v>46053</v>
      </c>
      <c r="D1859" s="232" t="inlineStr">
        <is>
          <t>2076</t>
        </is>
      </c>
      <c r="E1859" s="232" t="inlineStr">
        <is>
          <t>PRORRATEO</t>
        </is>
      </c>
      <c r="F1859" s="232" t="inlineStr">
        <is>
          <t>El Molle</t>
        </is>
      </c>
      <c r="G1859" s="232" t="inlineStr">
        <is>
          <t>oronules 5,35 ha</t>
        </is>
      </c>
      <c r="H1859" s="232" t="inlineStr">
        <is>
          <t>Clementinas</t>
        </is>
      </c>
      <c r="I1859" s="232" t="inlineStr">
        <is>
          <t>Oronules</t>
        </is>
      </c>
      <c r="J1859" s="232" t="inlineStr">
        <is>
          <t>MATERIALES EMBALAJE</t>
        </is>
      </c>
      <c r="K1859" s="232" t="inlineStr">
        <is>
          <t>MATERIALES VARIOS</t>
        </is>
      </c>
      <c r="L1859" s="232" t="inlineStr">
        <is>
          <t>[PRORRATEO 3.6% 5.35há/148.3há] O/001330 BALANZA DI</t>
        </is>
      </c>
      <c r="M1859" s="232" t="inlineStr"/>
      <c r="N1859" s="232" t="inlineStr">
        <is>
          <t>.   .   -</t>
        </is>
      </c>
      <c r="O1859" s="232" t="inlineStr">
        <is>
          <t>ENERO</t>
        </is>
      </c>
      <c r="P1859" s="232" t="n">
        <v>5</v>
      </c>
      <c r="Q1859" s="234" t="n">
        <v>13893</v>
      </c>
      <c r="R1859" s="232" t="inlineStr"/>
      <c r="S1859" s="234" t="n">
        <v>13893</v>
      </c>
      <c r="T1859" s="232" t="inlineStr">
        <is>
          <t>CLP</t>
        </is>
      </c>
      <c r="U1859" s="232" t="inlineStr">
        <is>
          <t>Prorrateo Ha PACKING</t>
        </is>
      </c>
      <c r="V1859" s="232" t="inlineStr">
        <is>
          <t>2026-06-18</t>
        </is>
      </c>
    </row>
    <row r="1860">
      <c r="A1860" s="232" t="inlineStr">
        <is>
          <t>CR-1857</t>
        </is>
      </c>
      <c r="B1860" s="232" t="inlineStr">
        <is>
          <t>2026/27</t>
        </is>
      </c>
      <c r="C1860" s="233" t="n">
        <v>46053</v>
      </c>
      <c r="D1860" s="232" t="inlineStr">
        <is>
          <t>2076</t>
        </is>
      </c>
      <c r="E1860" s="232" t="inlineStr">
        <is>
          <t>PRORRATEO</t>
        </is>
      </c>
      <c r="F1860" s="232" t="inlineStr">
        <is>
          <t>Santa Catalina</t>
        </is>
      </c>
      <c r="G1860" s="232" t="inlineStr">
        <is>
          <t>Fino 49 7,7 ha</t>
        </is>
      </c>
      <c r="H1860" s="232" t="inlineStr">
        <is>
          <t>Limon</t>
        </is>
      </c>
      <c r="I1860" s="232" t="inlineStr">
        <is>
          <t>Fino 49</t>
        </is>
      </c>
      <c r="J1860" s="232" t="inlineStr">
        <is>
          <t>MATERIALES EMBALAJE</t>
        </is>
      </c>
      <c r="K1860" s="232" t="inlineStr">
        <is>
          <t>MATERIALES VARIOS</t>
        </is>
      </c>
      <c r="L1860" s="232" t="inlineStr">
        <is>
          <t>[PRORRATEO 5.2% 7.7há/148.3há] O/001330 BALANZA DI</t>
        </is>
      </c>
      <c r="M1860" s="232" t="inlineStr"/>
      <c r="N1860" s="232" t="inlineStr">
        <is>
          <t>.   .   -</t>
        </is>
      </c>
      <c r="O1860" s="232" t="inlineStr">
        <is>
          <t>ENERO</t>
        </is>
      </c>
      <c r="P1860" s="232" t="n">
        <v>5</v>
      </c>
      <c r="Q1860" s="234" t="n">
        <v>19995</v>
      </c>
      <c r="R1860" s="232" t="inlineStr"/>
      <c r="S1860" s="234" t="n">
        <v>19995</v>
      </c>
      <c r="T1860" s="232" t="inlineStr">
        <is>
          <t>CLP</t>
        </is>
      </c>
      <c r="U1860" s="232" t="inlineStr">
        <is>
          <t>Prorrateo Ha PACKING</t>
        </is>
      </c>
      <c r="V1860" s="232" t="inlineStr">
        <is>
          <t>2026-06-18</t>
        </is>
      </c>
    </row>
    <row r="1861">
      <c r="A1861" s="232" t="inlineStr">
        <is>
          <t>CR-1858</t>
        </is>
      </c>
      <c r="B1861" s="232" t="inlineStr">
        <is>
          <t>2026/27</t>
        </is>
      </c>
      <c r="C1861" s="233" t="n">
        <v>46053</v>
      </c>
      <c r="D1861" s="232" t="inlineStr">
        <is>
          <t>2076</t>
        </is>
      </c>
      <c r="E1861" s="232" t="inlineStr">
        <is>
          <t>PRORRATEO</t>
        </is>
      </c>
      <c r="F1861" s="232" t="inlineStr">
        <is>
          <t>Santa Catalina</t>
        </is>
      </c>
      <c r="G1861" s="232" t="inlineStr">
        <is>
          <t>W. murcott 21 ha</t>
        </is>
      </c>
      <c r="H1861" s="232" t="inlineStr">
        <is>
          <t>Mandarina</t>
        </is>
      </c>
      <c r="I1861" s="232" t="inlineStr">
        <is>
          <t>W. murcott</t>
        </is>
      </c>
      <c r="J1861" s="232" t="inlineStr">
        <is>
          <t>MATERIALES EMBALAJE</t>
        </is>
      </c>
      <c r="K1861" s="232" t="inlineStr">
        <is>
          <t>MATERIALES VARIOS</t>
        </is>
      </c>
      <c r="L1861" s="232" t="inlineStr">
        <is>
          <t>[PRORRATEO 14.2% 21.0há/148.3há] O/001330 BALANZA DI</t>
        </is>
      </c>
      <c r="M1861" s="232" t="inlineStr"/>
      <c r="N1861" s="232" t="inlineStr">
        <is>
          <t>.   .   -</t>
        </is>
      </c>
      <c r="O1861" s="232" t="inlineStr">
        <is>
          <t>ENERO</t>
        </is>
      </c>
      <c r="P1861" s="232" t="n">
        <v>5</v>
      </c>
      <c r="Q1861" s="234" t="n">
        <v>54533</v>
      </c>
      <c r="R1861" s="232" t="inlineStr"/>
      <c r="S1861" s="234" t="n">
        <v>54533</v>
      </c>
      <c r="T1861" s="232" t="inlineStr">
        <is>
          <t>CLP</t>
        </is>
      </c>
      <c r="U1861" s="232" t="inlineStr">
        <is>
          <t>Prorrateo Ha PACKING</t>
        </is>
      </c>
      <c r="V1861" s="232" t="inlineStr">
        <is>
          <t>2026-06-18</t>
        </is>
      </c>
    </row>
    <row r="1862">
      <c r="A1862" s="232" t="inlineStr">
        <is>
          <t>CR-1859</t>
        </is>
      </c>
      <c r="B1862" s="232" t="inlineStr">
        <is>
          <t>2026/27</t>
        </is>
      </c>
      <c r="C1862" s="233" t="n">
        <v>46053</v>
      </c>
      <c r="D1862" s="232" t="inlineStr">
        <is>
          <t>2076</t>
        </is>
      </c>
      <c r="E1862" s="232" t="inlineStr">
        <is>
          <t>PRORRATEO</t>
        </is>
      </c>
      <c r="F1862" s="232" t="inlineStr">
        <is>
          <t>Santa Catalina</t>
        </is>
      </c>
      <c r="G1862" s="232" t="inlineStr">
        <is>
          <t>cambria 4,2 ha</t>
        </is>
      </c>
      <c r="H1862" s="232" t="inlineStr">
        <is>
          <t>Naranjas</t>
        </is>
      </c>
      <c r="I1862" s="232" t="inlineStr">
        <is>
          <t>Cambria</t>
        </is>
      </c>
      <c r="J1862" s="232" t="inlineStr">
        <is>
          <t>MATERIALES EMBALAJE</t>
        </is>
      </c>
      <c r="K1862" s="232" t="inlineStr">
        <is>
          <t>MATERIALES VARIOS</t>
        </is>
      </c>
      <c r="L1862" s="232" t="inlineStr">
        <is>
          <t>[PRORRATEO 2.8% 4.2há/148.3há] O/001330 BALANZA DI</t>
        </is>
      </c>
      <c r="M1862" s="232" t="inlineStr"/>
      <c r="N1862" s="232" t="inlineStr">
        <is>
          <t>.   .   -</t>
        </is>
      </c>
      <c r="O1862" s="232" t="inlineStr">
        <is>
          <t>ENERO</t>
        </is>
      </c>
      <c r="P1862" s="232" t="n">
        <v>5</v>
      </c>
      <c r="Q1862" s="234" t="n">
        <v>10907</v>
      </c>
      <c r="R1862" s="232" t="inlineStr"/>
      <c r="S1862" s="234" t="n">
        <v>10907</v>
      </c>
      <c r="T1862" s="232" t="inlineStr">
        <is>
          <t>CLP</t>
        </is>
      </c>
      <c r="U1862" s="232" t="inlineStr">
        <is>
          <t>Prorrateo Ha PACKING</t>
        </is>
      </c>
      <c r="V1862" s="232" t="inlineStr">
        <is>
          <t>2026-06-18</t>
        </is>
      </c>
    </row>
    <row r="1863">
      <c r="A1863" s="232" t="inlineStr">
        <is>
          <t>CR-1860</t>
        </is>
      </c>
      <c r="B1863" s="232" t="inlineStr">
        <is>
          <t>2026/27</t>
        </is>
      </c>
      <c r="C1863" s="233" t="n">
        <v>46053</v>
      </c>
      <c r="D1863" s="232" t="inlineStr">
        <is>
          <t>2076</t>
        </is>
      </c>
      <c r="E1863" s="232" t="inlineStr">
        <is>
          <t>PRORRATEO</t>
        </is>
      </c>
      <c r="F1863" s="232" t="inlineStr">
        <is>
          <t>Santa Catalina</t>
        </is>
      </c>
      <c r="G1863" s="232" t="inlineStr">
        <is>
          <t>eureka 10,6 ha</t>
        </is>
      </c>
      <c r="H1863" s="232" t="inlineStr">
        <is>
          <t>Limon</t>
        </is>
      </c>
      <c r="I1863" s="232" t="inlineStr">
        <is>
          <t>Eureka</t>
        </is>
      </c>
      <c r="J1863" s="232" t="inlineStr">
        <is>
          <t>MATERIALES EMBALAJE</t>
        </is>
      </c>
      <c r="K1863" s="232" t="inlineStr">
        <is>
          <t>MATERIALES VARIOS</t>
        </is>
      </c>
      <c r="L1863" s="232" t="inlineStr">
        <is>
          <t>[PRORRATEO 7.1% 10.6há/148.3há] O/001330 BALANZA DI</t>
        </is>
      </c>
      <c r="M1863" s="232" t="inlineStr"/>
      <c r="N1863" s="232" t="inlineStr">
        <is>
          <t>.   .   -</t>
        </is>
      </c>
      <c r="O1863" s="232" t="inlineStr">
        <is>
          <t>ENERO</t>
        </is>
      </c>
      <c r="P1863" s="232" t="n">
        <v>5</v>
      </c>
      <c r="Q1863" s="234" t="n">
        <v>27526</v>
      </c>
      <c r="R1863" s="232" t="inlineStr"/>
      <c r="S1863" s="234" t="n">
        <v>27526</v>
      </c>
      <c r="T1863" s="232" t="inlineStr">
        <is>
          <t>CLP</t>
        </is>
      </c>
      <c r="U1863" s="232" t="inlineStr">
        <is>
          <t>Prorrateo Ha PACKING</t>
        </is>
      </c>
      <c r="V1863" s="232" t="inlineStr">
        <is>
          <t>2026-06-18</t>
        </is>
      </c>
    </row>
    <row r="1864">
      <c r="A1864" s="232" t="inlineStr">
        <is>
          <t>CR-1861</t>
        </is>
      </c>
      <c r="B1864" s="232" t="inlineStr">
        <is>
          <t>2026/27</t>
        </is>
      </c>
      <c r="C1864" s="233" t="n">
        <v>46053</v>
      </c>
      <c r="D1864" s="232" t="inlineStr">
        <is>
          <t>2076</t>
        </is>
      </c>
      <c r="E1864" s="232" t="inlineStr">
        <is>
          <t>PRORRATEO</t>
        </is>
      </c>
      <c r="F1864" s="232" t="inlineStr">
        <is>
          <t>Santa Catalina</t>
        </is>
      </c>
      <c r="G1864" s="232" t="inlineStr">
        <is>
          <t>eureka 14,4 ha</t>
        </is>
      </c>
      <c r="H1864" s="232" t="inlineStr">
        <is>
          <t>Limon</t>
        </is>
      </c>
      <c r="I1864" s="232" t="inlineStr">
        <is>
          <t>Eureka</t>
        </is>
      </c>
      <c r="J1864" s="232" t="inlineStr">
        <is>
          <t>MATERIALES EMBALAJE</t>
        </is>
      </c>
      <c r="K1864" s="232" t="inlineStr">
        <is>
          <t>MATERIALES VARIOS</t>
        </is>
      </c>
      <c r="L1864" s="232" t="inlineStr">
        <is>
          <t>[PRORRATEO 9.7% 14.4há/148.3há] O/001330 BALANZA DI</t>
        </is>
      </c>
      <c r="M1864" s="232" t="inlineStr"/>
      <c r="N1864" s="232" t="inlineStr">
        <is>
          <t>.   .   -</t>
        </is>
      </c>
      <c r="O1864" s="232" t="inlineStr">
        <is>
          <t>ENERO</t>
        </is>
      </c>
      <c r="P1864" s="232" t="n">
        <v>5</v>
      </c>
      <c r="Q1864" s="234" t="n">
        <v>37394</v>
      </c>
      <c r="R1864" s="232" t="inlineStr"/>
      <c r="S1864" s="234" t="n">
        <v>37394</v>
      </c>
      <c r="T1864" s="232" t="inlineStr">
        <is>
          <t>CLP</t>
        </is>
      </c>
      <c r="U1864" s="232" t="inlineStr">
        <is>
          <t>Prorrateo Ha PACKING</t>
        </is>
      </c>
      <c r="V1864" s="232" t="inlineStr">
        <is>
          <t>2026-06-18</t>
        </is>
      </c>
    </row>
    <row r="1865">
      <c r="A1865" s="232" t="inlineStr">
        <is>
          <t>CR-1862</t>
        </is>
      </c>
      <c r="B1865" s="232" t="inlineStr">
        <is>
          <t>2026/27</t>
        </is>
      </c>
      <c r="C1865" s="233" t="n">
        <v>46053</v>
      </c>
      <c r="D1865" s="232" t="inlineStr">
        <is>
          <t>2076</t>
        </is>
      </c>
      <c r="E1865" s="232" t="inlineStr">
        <is>
          <t>PRORRATEO</t>
        </is>
      </c>
      <c r="F1865" s="232" t="inlineStr">
        <is>
          <t>Santa Catalina</t>
        </is>
      </c>
      <c r="G1865" s="232" t="inlineStr">
        <is>
          <t>eureka 22,55</t>
        </is>
      </c>
      <c r="H1865" s="232" t="inlineStr">
        <is>
          <t>Limon</t>
        </is>
      </c>
      <c r="I1865" s="232" t="inlineStr">
        <is>
          <t>Eureka</t>
        </is>
      </c>
      <c r="J1865" s="232" t="inlineStr">
        <is>
          <t>MATERIALES EMBALAJE</t>
        </is>
      </c>
      <c r="K1865" s="232" t="inlineStr">
        <is>
          <t>MATERIALES VARIOS</t>
        </is>
      </c>
      <c r="L1865" s="232" t="inlineStr">
        <is>
          <t>[PRORRATEO 15.2% 22.55há/148.3há] O/001330 BALANZA DI</t>
        </is>
      </c>
      <c r="M1865" s="232" t="inlineStr"/>
      <c r="N1865" s="232" t="inlineStr">
        <is>
          <t>.   .   -</t>
        </is>
      </c>
      <c r="O1865" s="232" t="inlineStr">
        <is>
          <t>ENERO</t>
        </is>
      </c>
      <c r="P1865" s="232" t="n">
        <v>5</v>
      </c>
      <c r="Q1865" s="234" t="n">
        <v>58558</v>
      </c>
      <c r="R1865" s="232" t="inlineStr"/>
      <c r="S1865" s="234" t="n">
        <v>58558</v>
      </c>
      <c r="T1865" s="232" t="inlineStr">
        <is>
          <t>CLP</t>
        </is>
      </c>
      <c r="U1865" s="232" t="inlineStr">
        <is>
          <t>Prorrateo Ha PACKING</t>
        </is>
      </c>
      <c r="V1865" s="232" t="inlineStr">
        <is>
          <t>2026-06-18</t>
        </is>
      </c>
    </row>
    <row r="1866">
      <c r="A1866" s="232" t="inlineStr">
        <is>
          <t>CR-1863</t>
        </is>
      </c>
      <c r="B1866" s="232" t="inlineStr">
        <is>
          <t>2026/27</t>
        </is>
      </c>
      <c r="C1866" s="233" t="n">
        <v>46053</v>
      </c>
      <c r="D1866" s="232" t="inlineStr">
        <is>
          <t>2076</t>
        </is>
      </c>
      <c r="E1866" s="232" t="inlineStr">
        <is>
          <t>PRORRATEO</t>
        </is>
      </c>
      <c r="F1866" s="232" t="inlineStr">
        <is>
          <t>Santa Catalina</t>
        </is>
      </c>
      <c r="G1866" s="232" t="inlineStr">
        <is>
          <t>form benjamin 1,93 ha</t>
        </is>
      </c>
      <c r="H1866" s="232" t="inlineStr">
        <is>
          <t>Limon</t>
        </is>
      </c>
      <c r="I1866" s="232" t="inlineStr">
        <is>
          <t>Benjamin andes</t>
        </is>
      </c>
      <c r="J1866" s="232" t="inlineStr">
        <is>
          <t>MATERIALES EMBALAJE</t>
        </is>
      </c>
      <c r="K1866" s="232" t="inlineStr">
        <is>
          <t>MATERIALES VARIOS</t>
        </is>
      </c>
      <c r="L1866" s="232" t="inlineStr">
        <is>
          <t>[PRORRATEO 1.3% 1.93há/148.3há] O/001330 BALANZA DI</t>
        </is>
      </c>
      <c r="M1866" s="232" t="inlineStr"/>
      <c r="N1866" s="232" t="inlineStr">
        <is>
          <t>.   .   -</t>
        </is>
      </c>
      <c r="O1866" s="232" t="inlineStr">
        <is>
          <t>ENERO</t>
        </is>
      </c>
      <c r="P1866" s="232" t="n">
        <v>5</v>
      </c>
      <c r="Q1866" s="234" t="n">
        <v>5012</v>
      </c>
      <c r="R1866" s="232" t="inlineStr"/>
      <c r="S1866" s="234" t="n">
        <v>5012</v>
      </c>
      <c r="T1866" s="232" t="inlineStr">
        <is>
          <t>CLP</t>
        </is>
      </c>
      <c r="U1866" s="232" t="inlineStr">
        <is>
          <t>Prorrateo Ha PACKING</t>
        </is>
      </c>
      <c r="V1866" s="232" t="inlineStr">
        <is>
          <t>2026-06-18</t>
        </is>
      </c>
    </row>
    <row r="1867">
      <c r="A1867" s="232" t="inlineStr">
        <is>
          <t>CR-1864</t>
        </is>
      </c>
      <c r="B1867" s="232" t="inlineStr">
        <is>
          <t>2026/27</t>
        </is>
      </c>
      <c r="C1867" s="233" t="n">
        <v>46053</v>
      </c>
      <c r="D1867" s="232" t="inlineStr">
        <is>
          <t>2076</t>
        </is>
      </c>
      <c r="E1867" s="232" t="inlineStr">
        <is>
          <t>PRORRATEO</t>
        </is>
      </c>
      <c r="F1867" s="232" t="inlineStr">
        <is>
          <t>Santa Catalina</t>
        </is>
      </c>
      <c r="G1867" s="232" t="inlineStr">
        <is>
          <t>mant eureka 2,5 ha</t>
        </is>
      </c>
      <c r="H1867" s="232" t="inlineStr">
        <is>
          <t>Limon</t>
        </is>
      </c>
      <c r="I1867" s="232" t="inlineStr">
        <is>
          <t>Eureka</t>
        </is>
      </c>
      <c r="J1867" s="232" t="inlineStr">
        <is>
          <t>MATERIALES EMBALAJE</t>
        </is>
      </c>
      <c r="K1867" s="232" t="inlineStr">
        <is>
          <t>MATERIALES VARIOS</t>
        </is>
      </c>
      <c r="L1867" s="232" t="inlineStr">
        <is>
          <t>[PRORRATEO 1.7% 2.5há/148.3há] O/001330 BALANZA DI</t>
        </is>
      </c>
      <c r="M1867" s="232" t="inlineStr"/>
      <c r="N1867" s="232" t="inlineStr">
        <is>
          <t>.   .   -</t>
        </is>
      </c>
      <c r="O1867" s="232" t="inlineStr">
        <is>
          <t>ENERO</t>
        </is>
      </c>
      <c r="P1867" s="232" t="n">
        <v>5</v>
      </c>
      <c r="Q1867" s="234" t="n">
        <v>6492</v>
      </c>
      <c r="R1867" s="232" t="inlineStr"/>
      <c r="S1867" s="234" t="n">
        <v>6492</v>
      </c>
      <c r="T1867" s="232" t="inlineStr">
        <is>
          <t>CLP</t>
        </is>
      </c>
      <c r="U1867" s="232" t="inlineStr">
        <is>
          <t>Prorrateo Ha PACKING</t>
        </is>
      </c>
      <c r="V1867" s="232" t="inlineStr">
        <is>
          <t>2026-06-18</t>
        </is>
      </c>
    </row>
    <row r="1868">
      <c r="A1868" s="232" t="inlineStr">
        <is>
          <t>CR-1865</t>
        </is>
      </c>
      <c r="B1868" s="232" t="inlineStr">
        <is>
          <t>2026/27</t>
        </is>
      </c>
      <c r="C1868" s="233" t="n">
        <v>46053</v>
      </c>
      <c r="D1868" s="232" t="inlineStr">
        <is>
          <t>2076</t>
        </is>
      </c>
      <c r="E1868" s="232" t="inlineStr">
        <is>
          <t>PRORRATEO</t>
        </is>
      </c>
      <c r="F1868" s="232" t="inlineStr">
        <is>
          <t>Siberia</t>
        </is>
      </c>
      <c r="G1868" s="232" t="inlineStr">
        <is>
          <t>S. Celebration 7,14</t>
        </is>
      </c>
      <c r="H1868" s="232" t="inlineStr">
        <is>
          <t>Uvas</t>
        </is>
      </c>
      <c r="I1868" s="232" t="inlineStr">
        <is>
          <t>S. celebration</t>
        </is>
      </c>
      <c r="J1868" s="232" t="inlineStr">
        <is>
          <t>MATERIALES EMBALAJE</t>
        </is>
      </c>
      <c r="K1868" s="232" t="inlineStr">
        <is>
          <t>MATERIALES VARIOS</t>
        </is>
      </c>
      <c r="L1868" s="232" t="inlineStr">
        <is>
          <t>[PRORRATEO 4.8% 7.14há/148.3há] O/001330 BALANZA DI</t>
        </is>
      </c>
      <c r="M1868" s="232" t="inlineStr"/>
      <c r="N1868" s="232" t="inlineStr">
        <is>
          <t>.   .   -</t>
        </is>
      </c>
      <c r="O1868" s="232" t="inlineStr">
        <is>
          <t>ENERO</t>
        </is>
      </c>
      <c r="P1868" s="232" t="n">
        <v>5</v>
      </c>
      <c r="Q1868" s="234" t="n">
        <v>18541</v>
      </c>
      <c r="R1868" s="232" t="inlineStr"/>
      <c r="S1868" s="234" t="n">
        <v>18541</v>
      </c>
      <c r="T1868" s="232" t="inlineStr">
        <is>
          <t>CLP</t>
        </is>
      </c>
      <c r="U1868" s="232" t="inlineStr">
        <is>
          <t>Prorrateo Ha PACKING</t>
        </is>
      </c>
      <c r="V1868" s="232" t="inlineStr">
        <is>
          <t>2026-06-18</t>
        </is>
      </c>
    </row>
    <row r="1869">
      <c r="A1869" s="232" t="inlineStr">
        <is>
          <t>CR-1866</t>
        </is>
      </c>
      <c r="B1869" s="232" t="inlineStr">
        <is>
          <t>2026/27</t>
        </is>
      </c>
      <c r="C1869" s="233" t="n">
        <v>46053</v>
      </c>
      <c r="D1869" s="232" t="inlineStr">
        <is>
          <t>2076</t>
        </is>
      </c>
      <c r="E1869" s="232" t="inlineStr">
        <is>
          <t>PRORRATEO</t>
        </is>
      </c>
      <c r="F1869" s="232" t="inlineStr">
        <is>
          <t>Siberia</t>
        </is>
      </c>
      <c r="G1869" s="232" t="inlineStr">
        <is>
          <t>Timpson 7,1</t>
        </is>
      </c>
      <c r="H1869" s="232" t="inlineStr">
        <is>
          <t>Uvas</t>
        </is>
      </c>
      <c r="I1869" s="232" t="inlineStr">
        <is>
          <t>Timpson</t>
        </is>
      </c>
      <c r="J1869" s="232" t="inlineStr">
        <is>
          <t>MATERIALES EMBALAJE</t>
        </is>
      </c>
      <c r="K1869" s="232" t="inlineStr">
        <is>
          <t>MATERIALES VARIOS</t>
        </is>
      </c>
      <c r="L1869" s="232" t="inlineStr">
        <is>
          <t>[PRORRATEO 4.8% 7.1há/148.3há] O/001330 BALANZA DI</t>
        </is>
      </c>
      <c r="M1869" s="232" t="inlineStr"/>
      <c r="N1869" s="232" t="inlineStr">
        <is>
          <t>.   .   -</t>
        </is>
      </c>
      <c r="O1869" s="232" t="inlineStr">
        <is>
          <t>ENERO</t>
        </is>
      </c>
      <c r="P1869" s="232" t="n">
        <v>5</v>
      </c>
      <c r="Q1869" s="234" t="n">
        <v>18437</v>
      </c>
      <c r="R1869" s="232" t="inlineStr"/>
      <c r="S1869" s="234" t="n">
        <v>18437</v>
      </c>
      <c r="T1869" s="232" t="inlineStr">
        <is>
          <t>CLP</t>
        </is>
      </c>
      <c r="U1869" s="232" t="inlineStr">
        <is>
          <t>Prorrateo Ha PACKING</t>
        </is>
      </c>
      <c r="V1869" s="232" t="inlineStr">
        <is>
          <t>2026-06-18</t>
        </is>
      </c>
    </row>
    <row r="1870">
      <c r="A1870" s="232" t="inlineStr">
        <is>
          <t>CR-1867</t>
        </is>
      </c>
      <c r="B1870" s="232" t="inlineStr">
        <is>
          <t>2026/27</t>
        </is>
      </c>
      <c r="C1870" s="233" t="n">
        <v>46055</v>
      </c>
      <c r="D1870" s="232" t="inlineStr">
        <is>
          <t>109590</t>
        </is>
      </c>
      <c r="E1870" s="232" t="inlineStr">
        <is>
          <t>PRORRATEO</t>
        </is>
      </c>
      <c r="F1870" s="232" t="inlineStr">
        <is>
          <t>Asmara</t>
        </is>
      </c>
      <c r="G1870" s="232" t="inlineStr">
        <is>
          <t>w. murcott 19,8 ha</t>
        </is>
      </c>
      <c r="H1870" s="232" t="inlineStr">
        <is>
          <t>Mandarina</t>
        </is>
      </c>
      <c r="I1870" s="232" t="inlineStr">
        <is>
          <t>W. murcott</t>
        </is>
      </c>
      <c r="J1870" s="232" t="inlineStr">
        <is>
          <t>HERRAMIENTAS MENORES</t>
        </is>
      </c>
      <c r="K1870" s="232" t="inlineStr">
        <is>
          <t>BODEGA</t>
        </is>
      </c>
      <c r="L1870" s="232" t="inlineStr">
        <is>
          <t>[PRORRATEO 13.4% 19.8há/148.3há] O/001357 MANGUERA P</t>
        </is>
      </c>
      <c r="M1870" s="232" t="inlineStr"/>
      <c r="N1870" s="232" t="inlineStr">
        <is>
          <t>.   .   -</t>
        </is>
      </c>
      <c r="O1870" s="232" t="inlineStr">
        <is>
          <t>FEBRERO</t>
        </is>
      </c>
      <c r="P1870" s="232" t="n">
        <v>5</v>
      </c>
      <c r="Q1870" s="234" t="n">
        <v>3479</v>
      </c>
      <c r="R1870" s="232" t="inlineStr"/>
      <c r="S1870" s="234" t="n">
        <v>3479</v>
      </c>
      <c r="T1870" s="232" t="inlineStr">
        <is>
          <t>CLP</t>
        </is>
      </c>
      <c r="U1870" s="232" t="inlineStr">
        <is>
          <t>Prorrateo Ha BODEGA</t>
        </is>
      </c>
      <c r="V1870" s="232" t="inlineStr">
        <is>
          <t>2026-06-18</t>
        </is>
      </c>
    </row>
    <row r="1871">
      <c r="A1871" s="232" t="inlineStr">
        <is>
          <t>CR-1868</t>
        </is>
      </c>
      <c r="B1871" s="232" t="inlineStr">
        <is>
          <t>2026/27</t>
        </is>
      </c>
      <c r="C1871" s="233" t="n">
        <v>46055</v>
      </c>
      <c r="D1871" s="232" t="inlineStr">
        <is>
          <t>109590</t>
        </is>
      </c>
      <c r="E1871" s="232" t="inlineStr">
        <is>
          <t>PRORRATEO</t>
        </is>
      </c>
      <c r="F1871" s="232" t="inlineStr">
        <is>
          <t>Asmara</t>
        </is>
      </c>
      <c r="G1871" s="232" t="inlineStr">
        <is>
          <t>w. murcott 4,9 ha</t>
        </is>
      </c>
      <c r="H1871" s="232" t="inlineStr">
        <is>
          <t>Mandarina</t>
        </is>
      </c>
      <c r="I1871" s="232" t="inlineStr">
        <is>
          <t>W. murcott</t>
        </is>
      </c>
      <c r="J1871" s="232" t="inlineStr">
        <is>
          <t>HERRAMIENTAS MENORES</t>
        </is>
      </c>
      <c r="K1871" s="232" t="inlineStr">
        <is>
          <t>BODEGA</t>
        </is>
      </c>
      <c r="L1871" s="232" t="inlineStr">
        <is>
          <t>[PRORRATEO 3.3% 4.9há/148.3há] O/001357 MANGUERA P</t>
        </is>
      </c>
      <c r="M1871" s="232" t="inlineStr"/>
      <c r="N1871" s="232" t="inlineStr">
        <is>
          <t>.   .   -</t>
        </is>
      </c>
      <c r="O1871" s="232" t="inlineStr">
        <is>
          <t>FEBRERO</t>
        </is>
      </c>
      <c r="P1871" s="232" t="n">
        <v>5</v>
      </c>
      <c r="Q1871" s="234" t="n">
        <v>861</v>
      </c>
      <c r="R1871" s="232" t="inlineStr"/>
      <c r="S1871" s="234" t="n">
        <v>861</v>
      </c>
      <c r="T1871" s="232" t="inlineStr">
        <is>
          <t>CLP</t>
        </is>
      </c>
      <c r="U1871" s="232" t="inlineStr">
        <is>
          <t>Prorrateo Ha BODEGA</t>
        </is>
      </c>
      <c r="V1871" s="232" t="inlineStr">
        <is>
          <t>2026-06-18</t>
        </is>
      </c>
    </row>
    <row r="1872">
      <c r="A1872" s="232" t="inlineStr">
        <is>
          <t>CR-1869</t>
        </is>
      </c>
      <c r="B1872" s="232" t="inlineStr">
        <is>
          <t>2026/27</t>
        </is>
      </c>
      <c r="C1872" s="233" t="n">
        <v>46055</v>
      </c>
      <c r="D1872" s="232" t="inlineStr">
        <is>
          <t>109590</t>
        </is>
      </c>
      <c r="E1872" s="232" t="inlineStr">
        <is>
          <t>PRORRATEO</t>
        </is>
      </c>
      <c r="F1872" s="232" t="inlineStr">
        <is>
          <t>El Molle</t>
        </is>
      </c>
      <c r="G1872" s="232" t="inlineStr">
        <is>
          <t>Wonderful 5,25 ha</t>
        </is>
      </c>
      <c r="H1872" s="232" t="inlineStr">
        <is>
          <t>Granados</t>
        </is>
      </c>
      <c r="I1872" s="232" t="inlineStr">
        <is>
          <t>Wonderfull</t>
        </is>
      </c>
      <c r="J1872" s="232" t="inlineStr">
        <is>
          <t>HERRAMIENTAS MENORES</t>
        </is>
      </c>
      <c r="K1872" s="232" t="inlineStr">
        <is>
          <t>BODEGA</t>
        </is>
      </c>
      <c r="L1872" s="232" t="inlineStr">
        <is>
          <t>[PRORRATEO 3.5% 5.24há/148.3há] O/001357 MANGUERA P</t>
        </is>
      </c>
      <c r="M1872" s="232" t="inlineStr"/>
      <c r="N1872" s="232" t="inlineStr">
        <is>
          <t>.   .   -</t>
        </is>
      </c>
      <c r="O1872" s="232" t="inlineStr">
        <is>
          <t>FEBRERO</t>
        </is>
      </c>
      <c r="P1872" s="232" t="n">
        <v>5</v>
      </c>
      <c r="Q1872" s="234" t="n">
        <v>921</v>
      </c>
      <c r="R1872" s="232" t="inlineStr"/>
      <c r="S1872" s="234" t="n">
        <v>921</v>
      </c>
      <c r="T1872" s="232" t="inlineStr">
        <is>
          <t>CLP</t>
        </is>
      </c>
      <c r="U1872" s="232" t="inlineStr">
        <is>
          <t>Prorrateo Ha BODEGA</t>
        </is>
      </c>
      <c r="V1872" s="232" t="inlineStr">
        <is>
          <t>2026-06-18</t>
        </is>
      </c>
    </row>
    <row r="1873">
      <c r="A1873" s="232" t="inlineStr">
        <is>
          <t>CR-1870</t>
        </is>
      </c>
      <c r="B1873" s="232" t="inlineStr">
        <is>
          <t>2026/27</t>
        </is>
      </c>
      <c r="C1873" s="233" t="n">
        <v>46055</v>
      </c>
      <c r="D1873" s="232" t="inlineStr">
        <is>
          <t>109590</t>
        </is>
      </c>
      <c r="E1873" s="232" t="inlineStr">
        <is>
          <t>PRORRATEO</t>
        </is>
      </c>
      <c r="F1873" s="232" t="inlineStr">
        <is>
          <t>El Molle</t>
        </is>
      </c>
      <c r="G1873" s="232" t="inlineStr">
        <is>
          <t>arrufatinas 5,74 ha</t>
        </is>
      </c>
      <c r="H1873" s="232" t="inlineStr">
        <is>
          <t>Clementinas</t>
        </is>
      </c>
      <c r="I1873" s="232" t="inlineStr">
        <is>
          <t>Arrufatinas</t>
        </is>
      </c>
      <c r="J1873" s="232" t="inlineStr">
        <is>
          <t>HERRAMIENTAS MENORES</t>
        </is>
      </c>
      <c r="K1873" s="232" t="inlineStr">
        <is>
          <t>BODEGA</t>
        </is>
      </c>
      <c r="L1873" s="232" t="inlineStr">
        <is>
          <t>[PRORRATEO 3.9% 5.74há/148.3há] O/001357 MANGUERA P</t>
        </is>
      </c>
      <c r="M1873" s="232" t="inlineStr"/>
      <c r="N1873" s="232" t="inlineStr">
        <is>
          <t>.   .   -</t>
        </is>
      </c>
      <c r="O1873" s="232" t="inlineStr">
        <is>
          <t>FEBRERO</t>
        </is>
      </c>
      <c r="P1873" s="232" t="n">
        <v>5</v>
      </c>
      <c r="Q1873" s="234" t="n">
        <v>1009</v>
      </c>
      <c r="R1873" s="232" t="inlineStr"/>
      <c r="S1873" s="234" t="n">
        <v>1009</v>
      </c>
      <c r="T1873" s="232" t="inlineStr">
        <is>
          <t>CLP</t>
        </is>
      </c>
      <c r="U1873" s="232" t="inlineStr">
        <is>
          <t>Prorrateo Ha BODEGA</t>
        </is>
      </c>
      <c r="V1873" s="232" t="inlineStr">
        <is>
          <t>2026-06-18</t>
        </is>
      </c>
    </row>
    <row r="1874">
      <c r="A1874" s="232" t="inlineStr">
        <is>
          <t>CR-1871</t>
        </is>
      </c>
      <c r="B1874" s="232" t="inlineStr">
        <is>
          <t>2026/27</t>
        </is>
      </c>
      <c r="C1874" s="233" t="n">
        <v>46055</v>
      </c>
      <c r="D1874" s="232" t="inlineStr">
        <is>
          <t>109590</t>
        </is>
      </c>
      <c r="E1874" s="232" t="inlineStr">
        <is>
          <t>PRORRATEO</t>
        </is>
      </c>
      <c r="F1874" s="232" t="inlineStr">
        <is>
          <t>El Molle</t>
        </is>
      </c>
      <c r="G1874" s="232" t="inlineStr">
        <is>
          <t>orogrande 8,11 ha</t>
        </is>
      </c>
      <c r="H1874" s="232" t="inlineStr">
        <is>
          <t>Clementinas</t>
        </is>
      </c>
      <c r="I1874" s="232" t="inlineStr">
        <is>
          <t>Orogrande</t>
        </is>
      </c>
      <c r="J1874" s="232" t="inlineStr">
        <is>
          <t>HERRAMIENTAS MENORES</t>
        </is>
      </c>
      <c r="K1874" s="232" t="inlineStr">
        <is>
          <t>BODEGA</t>
        </is>
      </c>
      <c r="L1874" s="232" t="inlineStr">
        <is>
          <t>[PRORRATEO 5.5% 8.11há/148.3há] O/001357 MANGUERA P</t>
        </is>
      </c>
      <c r="M1874" s="232" t="inlineStr"/>
      <c r="N1874" s="232" t="inlineStr">
        <is>
          <t>.   .   -</t>
        </is>
      </c>
      <c r="O1874" s="232" t="inlineStr">
        <is>
          <t>FEBRERO</t>
        </is>
      </c>
      <c r="P1874" s="232" t="n">
        <v>5</v>
      </c>
      <c r="Q1874" s="234" t="n">
        <v>1425</v>
      </c>
      <c r="R1874" s="232" t="inlineStr"/>
      <c r="S1874" s="234" t="n">
        <v>1425</v>
      </c>
      <c r="T1874" s="232" t="inlineStr">
        <is>
          <t>CLP</t>
        </is>
      </c>
      <c r="U1874" s="232" t="inlineStr">
        <is>
          <t>Prorrateo Ha BODEGA</t>
        </is>
      </c>
      <c r="V1874" s="232" t="inlineStr">
        <is>
          <t>2026-06-18</t>
        </is>
      </c>
    </row>
    <row r="1875">
      <c r="A1875" s="232" t="inlineStr">
        <is>
          <t>CR-1872</t>
        </is>
      </c>
      <c r="B1875" s="232" t="inlineStr">
        <is>
          <t>2026/27</t>
        </is>
      </c>
      <c r="C1875" s="233" t="n">
        <v>46055</v>
      </c>
      <c r="D1875" s="232" t="inlineStr">
        <is>
          <t>109590</t>
        </is>
      </c>
      <c r="E1875" s="232" t="inlineStr">
        <is>
          <t>PRORRATEO</t>
        </is>
      </c>
      <c r="F1875" s="232" t="inlineStr">
        <is>
          <t>El Molle</t>
        </is>
      </c>
      <c r="G1875" s="232" t="inlineStr">
        <is>
          <t>oronules 5,35 ha</t>
        </is>
      </c>
      <c r="H1875" s="232" t="inlineStr">
        <is>
          <t>Clementinas</t>
        </is>
      </c>
      <c r="I1875" s="232" t="inlineStr">
        <is>
          <t>Oronules</t>
        </is>
      </c>
      <c r="J1875" s="232" t="inlineStr">
        <is>
          <t>HERRAMIENTAS MENORES</t>
        </is>
      </c>
      <c r="K1875" s="232" t="inlineStr">
        <is>
          <t>BODEGA</t>
        </is>
      </c>
      <c r="L1875" s="232" t="inlineStr">
        <is>
          <t>[PRORRATEO 3.6% 5.35há/148.3há] O/001357 MANGUERA P</t>
        </is>
      </c>
      <c r="M1875" s="232" t="inlineStr"/>
      <c r="N1875" s="232" t="inlineStr">
        <is>
          <t>.   .   -</t>
        </is>
      </c>
      <c r="O1875" s="232" t="inlineStr">
        <is>
          <t>FEBRERO</t>
        </is>
      </c>
      <c r="P1875" s="232" t="n">
        <v>5</v>
      </c>
      <c r="Q1875" s="234" t="n">
        <v>940</v>
      </c>
      <c r="R1875" s="232" t="inlineStr"/>
      <c r="S1875" s="234" t="n">
        <v>940</v>
      </c>
      <c r="T1875" s="232" t="inlineStr">
        <is>
          <t>CLP</t>
        </is>
      </c>
      <c r="U1875" s="232" t="inlineStr">
        <is>
          <t>Prorrateo Ha BODEGA</t>
        </is>
      </c>
      <c r="V1875" s="232" t="inlineStr">
        <is>
          <t>2026-06-18</t>
        </is>
      </c>
    </row>
    <row r="1876">
      <c r="A1876" s="232" t="inlineStr">
        <is>
          <t>CR-1873</t>
        </is>
      </c>
      <c r="B1876" s="232" t="inlineStr">
        <is>
          <t>2026/27</t>
        </is>
      </c>
      <c r="C1876" s="233" t="n">
        <v>46055</v>
      </c>
      <c r="D1876" s="232" t="inlineStr">
        <is>
          <t>109590</t>
        </is>
      </c>
      <c r="E1876" s="232" t="inlineStr">
        <is>
          <t>PRORRATEO</t>
        </is>
      </c>
      <c r="F1876" s="232" t="inlineStr">
        <is>
          <t>Santa Catalina</t>
        </is>
      </c>
      <c r="G1876" s="232" t="inlineStr">
        <is>
          <t>Fino 49 7,7 ha</t>
        </is>
      </c>
      <c r="H1876" s="232" t="inlineStr">
        <is>
          <t>Limon</t>
        </is>
      </c>
      <c r="I1876" s="232" t="inlineStr">
        <is>
          <t>Fino 49</t>
        </is>
      </c>
      <c r="J1876" s="232" t="inlineStr">
        <is>
          <t>HERRAMIENTAS MENORES</t>
        </is>
      </c>
      <c r="K1876" s="232" t="inlineStr">
        <is>
          <t>BODEGA</t>
        </is>
      </c>
      <c r="L1876" s="232" t="inlineStr">
        <is>
          <t>[PRORRATEO 5.2% 7.7há/148.3há] O/001357 MANGUERA P</t>
        </is>
      </c>
      <c r="M1876" s="232" t="inlineStr"/>
      <c r="N1876" s="232" t="inlineStr">
        <is>
          <t>.   .   -</t>
        </is>
      </c>
      <c r="O1876" s="232" t="inlineStr">
        <is>
          <t>FEBRERO</t>
        </is>
      </c>
      <c r="P1876" s="232" t="n">
        <v>5</v>
      </c>
      <c r="Q1876" s="234" t="n">
        <v>1353</v>
      </c>
      <c r="R1876" s="232" t="inlineStr"/>
      <c r="S1876" s="234" t="n">
        <v>1353</v>
      </c>
      <c r="T1876" s="232" t="inlineStr">
        <is>
          <t>CLP</t>
        </is>
      </c>
      <c r="U1876" s="232" t="inlineStr">
        <is>
          <t>Prorrateo Ha BODEGA</t>
        </is>
      </c>
      <c r="V1876" s="232" t="inlineStr">
        <is>
          <t>2026-06-18</t>
        </is>
      </c>
    </row>
    <row r="1877">
      <c r="A1877" s="232" t="inlineStr">
        <is>
          <t>CR-1874</t>
        </is>
      </c>
      <c r="B1877" s="232" t="inlineStr">
        <is>
          <t>2026/27</t>
        </is>
      </c>
      <c r="C1877" s="233" t="n">
        <v>46055</v>
      </c>
      <c r="D1877" s="232" t="inlineStr">
        <is>
          <t>109590</t>
        </is>
      </c>
      <c r="E1877" s="232" t="inlineStr">
        <is>
          <t>PRORRATEO</t>
        </is>
      </c>
      <c r="F1877" s="232" t="inlineStr">
        <is>
          <t>Santa Catalina</t>
        </is>
      </c>
      <c r="G1877" s="232" t="inlineStr">
        <is>
          <t>W. murcott 21 ha</t>
        </is>
      </c>
      <c r="H1877" s="232" t="inlineStr">
        <is>
          <t>Mandarina</t>
        </is>
      </c>
      <c r="I1877" s="232" t="inlineStr">
        <is>
          <t>W. murcott</t>
        </is>
      </c>
      <c r="J1877" s="232" t="inlineStr">
        <is>
          <t>HERRAMIENTAS MENORES</t>
        </is>
      </c>
      <c r="K1877" s="232" t="inlineStr">
        <is>
          <t>BODEGA</t>
        </is>
      </c>
      <c r="L1877" s="232" t="inlineStr">
        <is>
          <t>[PRORRATEO 14.2% 21.0há/148.3há] O/001357 MANGUERA P</t>
        </is>
      </c>
      <c r="M1877" s="232" t="inlineStr"/>
      <c r="N1877" s="232" t="inlineStr">
        <is>
          <t>.   .   -</t>
        </is>
      </c>
      <c r="O1877" s="232" t="inlineStr">
        <is>
          <t>FEBRERO</t>
        </is>
      </c>
      <c r="P1877" s="232" t="n">
        <v>5</v>
      </c>
      <c r="Q1877" s="234" t="n">
        <v>3690</v>
      </c>
      <c r="R1877" s="232" t="inlineStr"/>
      <c r="S1877" s="234" t="n">
        <v>3690</v>
      </c>
      <c r="T1877" s="232" t="inlineStr">
        <is>
          <t>CLP</t>
        </is>
      </c>
      <c r="U1877" s="232" t="inlineStr">
        <is>
          <t>Prorrateo Ha BODEGA</t>
        </is>
      </c>
      <c r="V1877" s="232" t="inlineStr">
        <is>
          <t>2026-06-18</t>
        </is>
      </c>
    </row>
    <row r="1878">
      <c r="A1878" s="232" t="inlineStr">
        <is>
          <t>CR-1875</t>
        </is>
      </c>
      <c r="B1878" s="232" t="inlineStr">
        <is>
          <t>2026/27</t>
        </is>
      </c>
      <c r="C1878" s="233" t="n">
        <v>46055</v>
      </c>
      <c r="D1878" s="232" t="inlineStr">
        <is>
          <t>109590</t>
        </is>
      </c>
      <c r="E1878" s="232" t="inlineStr">
        <is>
          <t>PRORRATEO</t>
        </is>
      </c>
      <c r="F1878" s="232" t="inlineStr">
        <is>
          <t>Santa Catalina</t>
        </is>
      </c>
      <c r="G1878" s="232" t="inlineStr">
        <is>
          <t>cambria 4,2 ha</t>
        </is>
      </c>
      <c r="H1878" s="232" t="inlineStr">
        <is>
          <t>Naranjas</t>
        </is>
      </c>
      <c r="I1878" s="232" t="inlineStr">
        <is>
          <t>Cambria</t>
        </is>
      </c>
      <c r="J1878" s="232" t="inlineStr">
        <is>
          <t>HERRAMIENTAS MENORES</t>
        </is>
      </c>
      <c r="K1878" s="232" t="inlineStr">
        <is>
          <t>BODEGA</t>
        </is>
      </c>
      <c r="L1878" s="232" t="inlineStr">
        <is>
          <t>[PRORRATEO 2.8% 4.2há/148.3há] O/001357 MANGUERA P</t>
        </is>
      </c>
      <c r="M1878" s="232" t="inlineStr"/>
      <c r="N1878" s="232" t="inlineStr">
        <is>
          <t>.   .   -</t>
        </is>
      </c>
      <c r="O1878" s="232" t="inlineStr">
        <is>
          <t>FEBRERO</t>
        </is>
      </c>
      <c r="P1878" s="232" t="n">
        <v>5</v>
      </c>
      <c r="Q1878" s="234" t="n">
        <v>738</v>
      </c>
      <c r="R1878" s="232" t="inlineStr"/>
      <c r="S1878" s="234" t="n">
        <v>738</v>
      </c>
      <c r="T1878" s="232" t="inlineStr">
        <is>
          <t>CLP</t>
        </is>
      </c>
      <c r="U1878" s="232" t="inlineStr">
        <is>
          <t>Prorrateo Ha BODEGA</t>
        </is>
      </c>
      <c r="V1878" s="232" t="inlineStr">
        <is>
          <t>2026-06-18</t>
        </is>
      </c>
    </row>
    <row r="1879">
      <c r="A1879" s="232" t="inlineStr">
        <is>
          <t>CR-1876</t>
        </is>
      </c>
      <c r="B1879" s="232" t="inlineStr">
        <is>
          <t>2026/27</t>
        </is>
      </c>
      <c r="C1879" s="233" t="n">
        <v>46055</v>
      </c>
      <c r="D1879" s="232" t="inlineStr">
        <is>
          <t>109590</t>
        </is>
      </c>
      <c r="E1879" s="232" t="inlineStr">
        <is>
          <t>PRORRATEO</t>
        </is>
      </c>
      <c r="F1879" s="232" t="inlineStr">
        <is>
          <t>Santa Catalina</t>
        </is>
      </c>
      <c r="G1879" s="232" t="inlineStr">
        <is>
          <t>eureka 10,6 ha</t>
        </is>
      </c>
      <c r="H1879" s="232" t="inlineStr">
        <is>
          <t>Limon</t>
        </is>
      </c>
      <c r="I1879" s="232" t="inlineStr">
        <is>
          <t>Eureka</t>
        </is>
      </c>
      <c r="J1879" s="232" t="inlineStr">
        <is>
          <t>HERRAMIENTAS MENORES</t>
        </is>
      </c>
      <c r="K1879" s="232" t="inlineStr">
        <is>
          <t>BODEGA</t>
        </is>
      </c>
      <c r="L1879" s="232" t="inlineStr">
        <is>
          <t>[PRORRATEO 7.1% 10.6há/148.3há] O/001357 MANGUERA P</t>
        </is>
      </c>
      <c r="M1879" s="232" t="inlineStr"/>
      <c r="N1879" s="232" t="inlineStr">
        <is>
          <t>.   .   -</t>
        </is>
      </c>
      <c r="O1879" s="232" t="inlineStr">
        <is>
          <t>FEBRERO</t>
        </is>
      </c>
      <c r="P1879" s="232" t="n">
        <v>5</v>
      </c>
      <c r="Q1879" s="234" t="n">
        <v>1862</v>
      </c>
      <c r="R1879" s="232" t="inlineStr"/>
      <c r="S1879" s="234" t="n">
        <v>1862</v>
      </c>
      <c r="T1879" s="232" t="inlineStr">
        <is>
          <t>CLP</t>
        </is>
      </c>
      <c r="U1879" s="232" t="inlineStr">
        <is>
          <t>Prorrateo Ha BODEGA</t>
        </is>
      </c>
      <c r="V1879" s="232" t="inlineStr">
        <is>
          <t>2026-06-18</t>
        </is>
      </c>
    </row>
    <row r="1880">
      <c r="A1880" s="232" t="inlineStr">
        <is>
          <t>CR-1877</t>
        </is>
      </c>
      <c r="B1880" s="232" t="inlineStr">
        <is>
          <t>2026/27</t>
        </is>
      </c>
      <c r="C1880" s="233" t="n">
        <v>46055</v>
      </c>
      <c r="D1880" s="232" t="inlineStr">
        <is>
          <t>109590</t>
        </is>
      </c>
      <c r="E1880" s="232" t="inlineStr">
        <is>
          <t>PRORRATEO</t>
        </is>
      </c>
      <c r="F1880" s="232" t="inlineStr">
        <is>
          <t>Santa Catalina</t>
        </is>
      </c>
      <c r="G1880" s="232" t="inlineStr">
        <is>
          <t>eureka 14,4 ha</t>
        </is>
      </c>
      <c r="H1880" s="232" t="inlineStr">
        <is>
          <t>Limon</t>
        </is>
      </c>
      <c r="I1880" s="232" t="inlineStr">
        <is>
          <t>Eureka</t>
        </is>
      </c>
      <c r="J1880" s="232" t="inlineStr">
        <is>
          <t>HERRAMIENTAS MENORES</t>
        </is>
      </c>
      <c r="K1880" s="232" t="inlineStr">
        <is>
          <t>BODEGA</t>
        </is>
      </c>
      <c r="L1880" s="232" t="inlineStr">
        <is>
          <t>[PRORRATEO 9.7% 14.4há/148.3há] O/001357 MANGUERA P</t>
        </is>
      </c>
      <c r="M1880" s="232" t="inlineStr"/>
      <c r="N1880" s="232" t="inlineStr">
        <is>
          <t>.   .   -</t>
        </is>
      </c>
      <c r="O1880" s="232" t="inlineStr">
        <is>
          <t>FEBRERO</t>
        </is>
      </c>
      <c r="P1880" s="232" t="n">
        <v>5</v>
      </c>
      <c r="Q1880" s="234" t="n">
        <v>2530</v>
      </c>
      <c r="R1880" s="232" t="inlineStr"/>
      <c r="S1880" s="234" t="n">
        <v>2530</v>
      </c>
      <c r="T1880" s="232" t="inlineStr">
        <is>
          <t>CLP</t>
        </is>
      </c>
      <c r="U1880" s="232" t="inlineStr">
        <is>
          <t>Prorrateo Ha BODEGA</t>
        </is>
      </c>
      <c r="V1880" s="232" t="inlineStr">
        <is>
          <t>2026-06-18</t>
        </is>
      </c>
    </row>
    <row r="1881">
      <c r="A1881" s="232" t="inlineStr">
        <is>
          <t>CR-1878</t>
        </is>
      </c>
      <c r="B1881" s="232" t="inlineStr">
        <is>
          <t>2026/27</t>
        </is>
      </c>
      <c r="C1881" s="233" t="n">
        <v>46055</v>
      </c>
      <c r="D1881" s="232" t="inlineStr">
        <is>
          <t>109590</t>
        </is>
      </c>
      <c r="E1881" s="232" t="inlineStr">
        <is>
          <t>PRORRATEO</t>
        </is>
      </c>
      <c r="F1881" s="232" t="inlineStr">
        <is>
          <t>Santa Catalina</t>
        </is>
      </c>
      <c r="G1881" s="232" t="inlineStr">
        <is>
          <t>eureka 22,55</t>
        </is>
      </c>
      <c r="H1881" s="232" t="inlineStr">
        <is>
          <t>Limon</t>
        </is>
      </c>
      <c r="I1881" s="232" t="inlineStr">
        <is>
          <t>Eureka</t>
        </is>
      </c>
      <c r="J1881" s="232" t="inlineStr">
        <is>
          <t>HERRAMIENTAS MENORES</t>
        </is>
      </c>
      <c r="K1881" s="232" t="inlineStr">
        <is>
          <t>BODEGA</t>
        </is>
      </c>
      <c r="L1881" s="232" t="inlineStr">
        <is>
          <t>[PRORRATEO 15.2% 22.55há/148.3há] O/001357 MANGUERA P</t>
        </is>
      </c>
      <c r="M1881" s="232" t="inlineStr"/>
      <c r="N1881" s="232" t="inlineStr">
        <is>
          <t>.   .   -</t>
        </is>
      </c>
      <c r="O1881" s="232" t="inlineStr">
        <is>
          <t>FEBRERO</t>
        </is>
      </c>
      <c r="P1881" s="232" t="n">
        <v>5</v>
      </c>
      <c r="Q1881" s="234" t="n">
        <v>3962</v>
      </c>
      <c r="R1881" s="232" t="inlineStr"/>
      <c r="S1881" s="234" t="n">
        <v>3962</v>
      </c>
      <c r="T1881" s="232" t="inlineStr">
        <is>
          <t>CLP</t>
        </is>
      </c>
      <c r="U1881" s="232" t="inlineStr">
        <is>
          <t>Prorrateo Ha BODEGA</t>
        </is>
      </c>
      <c r="V1881" s="232" t="inlineStr">
        <is>
          <t>2026-06-18</t>
        </is>
      </c>
    </row>
    <row r="1882">
      <c r="A1882" s="232" t="inlineStr">
        <is>
          <t>CR-1879</t>
        </is>
      </c>
      <c r="B1882" s="232" t="inlineStr">
        <is>
          <t>2026/27</t>
        </is>
      </c>
      <c r="C1882" s="233" t="n">
        <v>46055</v>
      </c>
      <c r="D1882" s="232" t="inlineStr">
        <is>
          <t>109590</t>
        </is>
      </c>
      <c r="E1882" s="232" t="inlineStr">
        <is>
          <t>PRORRATEO</t>
        </is>
      </c>
      <c r="F1882" s="232" t="inlineStr">
        <is>
          <t>Santa Catalina</t>
        </is>
      </c>
      <c r="G1882" s="232" t="inlineStr">
        <is>
          <t>form benjamin 1,93 ha</t>
        </is>
      </c>
      <c r="H1882" s="232" t="inlineStr">
        <is>
          <t>Limon</t>
        </is>
      </c>
      <c r="I1882" s="232" t="inlineStr">
        <is>
          <t>Benjamin andes</t>
        </is>
      </c>
      <c r="J1882" s="232" t="inlineStr">
        <is>
          <t>HERRAMIENTAS MENORES</t>
        </is>
      </c>
      <c r="K1882" s="232" t="inlineStr">
        <is>
          <t>BODEGA</t>
        </is>
      </c>
      <c r="L1882" s="232" t="inlineStr">
        <is>
          <t>[PRORRATEO 1.3% 1.93há/148.3há] O/001357 MANGUERA P</t>
        </is>
      </c>
      <c r="M1882" s="232" t="inlineStr"/>
      <c r="N1882" s="232" t="inlineStr">
        <is>
          <t>.   .   -</t>
        </is>
      </c>
      <c r="O1882" s="232" t="inlineStr">
        <is>
          <t>FEBRERO</t>
        </is>
      </c>
      <c r="P1882" s="232" t="n">
        <v>5</v>
      </c>
      <c r="Q1882" s="234" t="n">
        <v>339</v>
      </c>
      <c r="R1882" s="232" t="inlineStr"/>
      <c r="S1882" s="234" t="n">
        <v>339</v>
      </c>
      <c r="T1882" s="232" t="inlineStr">
        <is>
          <t>CLP</t>
        </is>
      </c>
      <c r="U1882" s="232" t="inlineStr">
        <is>
          <t>Prorrateo Ha BODEGA</t>
        </is>
      </c>
      <c r="V1882" s="232" t="inlineStr">
        <is>
          <t>2026-06-18</t>
        </is>
      </c>
    </row>
    <row r="1883">
      <c r="A1883" s="232" t="inlineStr">
        <is>
          <t>CR-1880</t>
        </is>
      </c>
      <c r="B1883" s="232" t="inlineStr">
        <is>
          <t>2026/27</t>
        </is>
      </c>
      <c r="C1883" s="233" t="n">
        <v>46055</v>
      </c>
      <c r="D1883" s="232" t="inlineStr">
        <is>
          <t>109590</t>
        </is>
      </c>
      <c r="E1883" s="232" t="inlineStr">
        <is>
          <t>PRORRATEO</t>
        </is>
      </c>
      <c r="F1883" s="232" t="inlineStr">
        <is>
          <t>Santa Catalina</t>
        </is>
      </c>
      <c r="G1883" s="232" t="inlineStr">
        <is>
          <t>mant eureka 2,5 ha</t>
        </is>
      </c>
      <c r="H1883" s="232" t="inlineStr">
        <is>
          <t>Limon</t>
        </is>
      </c>
      <c r="I1883" s="232" t="inlineStr">
        <is>
          <t>Eureka</t>
        </is>
      </c>
      <c r="J1883" s="232" t="inlineStr">
        <is>
          <t>HERRAMIENTAS MENORES</t>
        </is>
      </c>
      <c r="K1883" s="232" t="inlineStr">
        <is>
          <t>BODEGA</t>
        </is>
      </c>
      <c r="L1883" s="232" t="inlineStr">
        <is>
          <t>[PRORRATEO 1.7% 2.5há/148.3há] O/001357 MANGUERA P</t>
        </is>
      </c>
      <c r="M1883" s="232" t="inlineStr"/>
      <c r="N1883" s="232" t="inlineStr">
        <is>
          <t>.   .   -</t>
        </is>
      </c>
      <c r="O1883" s="232" t="inlineStr">
        <is>
          <t>FEBRERO</t>
        </is>
      </c>
      <c r="P1883" s="232" t="n">
        <v>5</v>
      </c>
      <c r="Q1883" s="234" t="n">
        <v>439</v>
      </c>
      <c r="R1883" s="232" t="inlineStr"/>
      <c r="S1883" s="234" t="n">
        <v>439</v>
      </c>
      <c r="T1883" s="232" t="inlineStr">
        <is>
          <t>CLP</t>
        </is>
      </c>
      <c r="U1883" s="232" t="inlineStr">
        <is>
          <t>Prorrateo Ha BODEGA</t>
        </is>
      </c>
      <c r="V1883" s="232" t="inlineStr">
        <is>
          <t>2026-06-18</t>
        </is>
      </c>
    </row>
    <row r="1884">
      <c r="A1884" s="232" t="inlineStr">
        <is>
          <t>CR-1881</t>
        </is>
      </c>
      <c r="B1884" s="232" t="inlineStr">
        <is>
          <t>2026/27</t>
        </is>
      </c>
      <c r="C1884" s="233" t="n">
        <v>46055</v>
      </c>
      <c r="D1884" s="232" t="inlineStr">
        <is>
          <t>109590</t>
        </is>
      </c>
      <c r="E1884" s="232" t="inlineStr">
        <is>
          <t>PRORRATEO</t>
        </is>
      </c>
      <c r="F1884" s="232" t="inlineStr">
        <is>
          <t>Siberia</t>
        </is>
      </c>
      <c r="G1884" s="232" t="inlineStr">
        <is>
          <t>S. Celebration 7,14</t>
        </is>
      </c>
      <c r="H1884" s="232" t="inlineStr">
        <is>
          <t>Uvas</t>
        </is>
      </c>
      <c r="I1884" s="232" t="inlineStr">
        <is>
          <t>S. celebration</t>
        </is>
      </c>
      <c r="J1884" s="232" t="inlineStr">
        <is>
          <t>HERRAMIENTAS MENORES</t>
        </is>
      </c>
      <c r="K1884" s="232" t="inlineStr">
        <is>
          <t>BODEGA</t>
        </is>
      </c>
      <c r="L1884" s="232" t="inlineStr">
        <is>
          <t>[PRORRATEO 4.8% 7.14há/148.3há] O/001357 MANGUERA P</t>
        </is>
      </c>
      <c r="M1884" s="232" t="inlineStr"/>
      <c r="N1884" s="232" t="inlineStr">
        <is>
          <t>.   .   -</t>
        </is>
      </c>
      <c r="O1884" s="232" t="inlineStr">
        <is>
          <t>FEBRERO</t>
        </is>
      </c>
      <c r="P1884" s="232" t="n">
        <v>5</v>
      </c>
      <c r="Q1884" s="234" t="n">
        <v>1255</v>
      </c>
      <c r="R1884" s="232" t="inlineStr"/>
      <c r="S1884" s="234" t="n">
        <v>1255</v>
      </c>
      <c r="T1884" s="232" t="inlineStr">
        <is>
          <t>CLP</t>
        </is>
      </c>
      <c r="U1884" s="232" t="inlineStr">
        <is>
          <t>Prorrateo Ha BODEGA</t>
        </is>
      </c>
      <c r="V1884" s="232" t="inlineStr">
        <is>
          <t>2026-06-18</t>
        </is>
      </c>
    </row>
    <row r="1885">
      <c r="A1885" s="232" t="inlineStr">
        <is>
          <t>CR-1882</t>
        </is>
      </c>
      <c r="B1885" s="232" t="inlineStr">
        <is>
          <t>2026/27</t>
        </is>
      </c>
      <c r="C1885" s="233" t="n">
        <v>46055</v>
      </c>
      <c r="D1885" s="232" t="inlineStr">
        <is>
          <t>109590</t>
        </is>
      </c>
      <c r="E1885" s="232" t="inlineStr">
        <is>
          <t>PRORRATEO</t>
        </is>
      </c>
      <c r="F1885" s="232" t="inlineStr">
        <is>
          <t>Siberia</t>
        </is>
      </c>
      <c r="G1885" s="232" t="inlineStr">
        <is>
          <t>Timpson 7,1</t>
        </is>
      </c>
      <c r="H1885" s="232" t="inlineStr">
        <is>
          <t>Uvas</t>
        </is>
      </c>
      <c r="I1885" s="232" t="inlineStr">
        <is>
          <t>Timpson</t>
        </is>
      </c>
      <c r="J1885" s="232" t="inlineStr">
        <is>
          <t>HERRAMIENTAS MENORES</t>
        </is>
      </c>
      <c r="K1885" s="232" t="inlineStr">
        <is>
          <t>BODEGA</t>
        </is>
      </c>
      <c r="L1885" s="232" t="inlineStr">
        <is>
          <t>[PRORRATEO 4.8% 7.1há/148.3há] O/001357 MANGUERA P</t>
        </is>
      </c>
      <c r="M1885" s="232" t="inlineStr"/>
      <c r="N1885" s="232" t="inlineStr">
        <is>
          <t>.   .   -</t>
        </is>
      </c>
      <c r="O1885" s="232" t="inlineStr">
        <is>
          <t>FEBRERO</t>
        </is>
      </c>
      <c r="P1885" s="232" t="n">
        <v>5</v>
      </c>
      <c r="Q1885" s="234" t="n">
        <v>1248</v>
      </c>
      <c r="R1885" s="232" t="inlineStr"/>
      <c r="S1885" s="234" t="n">
        <v>1248</v>
      </c>
      <c r="T1885" s="232" t="inlineStr">
        <is>
          <t>CLP</t>
        </is>
      </c>
      <c r="U1885" s="232" t="inlineStr">
        <is>
          <t>Prorrateo Ha BODEGA</t>
        </is>
      </c>
      <c r="V1885" s="232" t="inlineStr">
        <is>
          <t>2026-06-18</t>
        </is>
      </c>
    </row>
    <row r="1886">
      <c r="A1886" s="232" t="inlineStr">
        <is>
          <t>CR-1883</t>
        </is>
      </c>
      <c r="B1886" s="232" t="inlineStr">
        <is>
          <t>2026/27</t>
        </is>
      </c>
      <c r="C1886" s="233" t="n">
        <v>46056</v>
      </c>
      <c r="D1886" s="232" t="inlineStr">
        <is>
          <t>237225</t>
        </is>
      </c>
      <c r="E1886" s="232" t="inlineStr">
        <is>
          <t>PRORRATEO</t>
        </is>
      </c>
      <c r="F1886" s="232" t="inlineStr">
        <is>
          <t>Asmara</t>
        </is>
      </c>
      <c r="G1886" s="232" t="inlineStr">
        <is>
          <t>w. murcott 19,8 ha</t>
        </is>
      </c>
      <c r="H1886" s="232" t="inlineStr">
        <is>
          <t>Mandarina</t>
        </is>
      </c>
      <c r="I1886" s="232" t="inlineStr">
        <is>
          <t>W. murcott</t>
        </is>
      </c>
      <c r="J1886" s="232" t="inlineStr">
        <is>
          <t>MATERIALES COSECHA</t>
        </is>
      </c>
      <c r="K1886" s="232" t="inlineStr">
        <is>
          <t>INSUMOS PACKING</t>
        </is>
      </c>
      <c r="L1886" s="232" t="inlineStr">
        <is>
          <t>[PRORRATEO 13.4% 19.8há/148.3há] O/001347 PILA ALCAL</t>
        </is>
      </c>
      <c r="M1886" s="232" t="inlineStr"/>
      <c r="N1886" s="232" t="inlineStr">
        <is>
          <t>.   .   -</t>
        </is>
      </c>
      <c r="O1886" s="232" t="inlineStr">
        <is>
          <t>FEBRERO</t>
        </is>
      </c>
      <c r="P1886" s="232" t="n">
        <v>5</v>
      </c>
      <c r="Q1886" s="234" t="n">
        <v>1088</v>
      </c>
      <c r="R1886" s="232" t="inlineStr"/>
      <c r="S1886" s="234" t="n">
        <v>1088</v>
      </c>
      <c r="T1886" s="232" t="inlineStr">
        <is>
          <t>CLP</t>
        </is>
      </c>
      <c r="U1886" s="232" t="inlineStr">
        <is>
          <t>Prorrateo Ha PACKING</t>
        </is>
      </c>
      <c r="V1886" s="232" t="inlineStr">
        <is>
          <t>2026-06-18</t>
        </is>
      </c>
    </row>
    <row r="1887">
      <c r="A1887" s="232" t="inlineStr">
        <is>
          <t>CR-1884</t>
        </is>
      </c>
      <c r="B1887" s="232" t="inlineStr">
        <is>
          <t>2026/27</t>
        </is>
      </c>
      <c r="C1887" s="233" t="n">
        <v>46056</v>
      </c>
      <c r="D1887" s="232" t="inlineStr">
        <is>
          <t>237225</t>
        </is>
      </c>
      <c r="E1887" s="232" t="inlineStr">
        <is>
          <t>PRORRATEO</t>
        </is>
      </c>
      <c r="F1887" s="232" t="inlineStr">
        <is>
          <t>Asmara</t>
        </is>
      </c>
      <c r="G1887" s="232" t="inlineStr">
        <is>
          <t>w. murcott 4,9 ha</t>
        </is>
      </c>
      <c r="H1887" s="232" t="inlineStr">
        <is>
          <t>Mandarina</t>
        </is>
      </c>
      <c r="I1887" s="232" t="inlineStr">
        <is>
          <t>W. murcott</t>
        </is>
      </c>
      <c r="J1887" s="232" t="inlineStr">
        <is>
          <t>MATERIALES COSECHA</t>
        </is>
      </c>
      <c r="K1887" s="232" t="inlineStr">
        <is>
          <t>INSUMOS PACKING</t>
        </is>
      </c>
      <c r="L1887" s="232" t="inlineStr">
        <is>
          <t>[PRORRATEO 3.3% 4.9há/148.3há] O/001347 PILA ALCAL</t>
        </is>
      </c>
      <c r="M1887" s="232" t="inlineStr"/>
      <c r="N1887" s="232" t="inlineStr">
        <is>
          <t>.   .   -</t>
        </is>
      </c>
      <c r="O1887" s="232" t="inlineStr">
        <is>
          <t>FEBRERO</t>
        </is>
      </c>
      <c r="P1887" s="232" t="n">
        <v>5</v>
      </c>
      <c r="Q1887" s="234" t="n">
        <v>269</v>
      </c>
      <c r="R1887" s="232" t="inlineStr"/>
      <c r="S1887" s="234" t="n">
        <v>269</v>
      </c>
      <c r="T1887" s="232" t="inlineStr">
        <is>
          <t>CLP</t>
        </is>
      </c>
      <c r="U1887" s="232" t="inlineStr">
        <is>
          <t>Prorrateo Ha PACKING</t>
        </is>
      </c>
      <c r="V1887" s="232" t="inlineStr">
        <is>
          <t>2026-06-18</t>
        </is>
      </c>
    </row>
    <row r="1888">
      <c r="A1888" s="232" t="inlineStr">
        <is>
          <t>CR-1885</t>
        </is>
      </c>
      <c r="B1888" s="232" t="inlineStr">
        <is>
          <t>2026/27</t>
        </is>
      </c>
      <c r="C1888" s="233" t="n">
        <v>46056</v>
      </c>
      <c r="D1888" s="232" t="inlineStr">
        <is>
          <t>237225</t>
        </is>
      </c>
      <c r="E1888" s="232" t="inlineStr">
        <is>
          <t>PRORRATEO</t>
        </is>
      </c>
      <c r="F1888" s="232" t="inlineStr">
        <is>
          <t>El Molle</t>
        </is>
      </c>
      <c r="G1888" s="232" t="inlineStr">
        <is>
          <t>Wonderful 5,25 ha</t>
        </is>
      </c>
      <c r="H1888" s="232" t="inlineStr">
        <is>
          <t>Granados</t>
        </is>
      </c>
      <c r="I1888" s="232" t="inlineStr">
        <is>
          <t>Wonderfull</t>
        </is>
      </c>
      <c r="J1888" s="232" t="inlineStr">
        <is>
          <t>MATERIALES COSECHA</t>
        </is>
      </c>
      <c r="K1888" s="232" t="inlineStr">
        <is>
          <t>INSUMOS PACKING</t>
        </is>
      </c>
      <c r="L1888" s="232" t="inlineStr">
        <is>
          <t>[PRORRATEO 3.5% 5.24há/148.3há] O/001347 PILA ALCAL</t>
        </is>
      </c>
      <c r="M1888" s="232" t="inlineStr"/>
      <c r="N1888" s="232" t="inlineStr">
        <is>
          <t>.   .   -</t>
        </is>
      </c>
      <c r="O1888" s="232" t="inlineStr">
        <is>
          <t>FEBRERO</t>
        </is>
      </c>
      <c r="P1888" s="232" t="n">
        <v>5</v>
      </c>
      <c r="Q1888" s="234" t="n">
        <v>288</v>
      </c>
      <c r="R1888" s="232" t="inlineStr"/>
      <c r="S1888" s="234" t="n">
        <v>288</v>
      </c>
      <c r="T1888" s="232" t="inlineStr">
        <is>
          <t>CLP</t>
        </is>
      </c>
      <c r="U1888" s="232" t="inlineStr">
        <is>
          <t>Prorrateo Ha PACKING</t>
        </is>
      </c>
      <c r="V1888" s="232" t="inlineStr">
        <is>
          <t>2026-06-18</t>
        </is>
      </c>
    </row>
    <row r="1889">
      <c r="A1889" s="232" t="inlineStr">
        <is>
          <t>CR-1886</t>
        </is>
      </c>
      <c r="B1889" s="232" t="inlineStr">
        <is>
          <t>2026/27</t>
        </is>
      </c>
      <c r="C1889" s="233" t="n">
        <v>46056</v>
      </c>
      <c r="D1889" s="232" t="inlineStr">
        <is>
          <t>237225</t>
        </is>
      </c>
      <c r="E1889" s="232" t="inlineStr">
        <is>
          <t>PRORRATEO</t>
        </is>
      </c>
      <c r="F1889" s="232" t="inlineStr">
        <is>
          <t>El Molle</t>
        </is>
      </c>
      <c r="G1889" s="232" t="inlineStr">
        <is>
          <t>arrufatinas 5,74 ha</t>
        </is>
      </c>
      <c r="H1889" s="232" t="inlineStr">
        <is>
          <t>Clementinas</t>
        </is>
      </c>
      <c r="I1889" s="232" t="inlineStr">
        <is>
          <t>Arrufatinas</t>
        </is>
      </c>
      <c r="J1889" s="232" t="inlineStr">
        <is>
          <t>MATERIALES COSECHA</t>
        </is>
      </c>
      <c r="K1889" s="232" t="inlineStr">
        <is>
          <t>INSUMOS PACKING</t>
        </is>
      </c>
      <c r="L1889" s="232" t="inlineStr">
        <is>
          <t>[PRORRATEO 3.9% 5.74há/148.3há] O/001347 PILA ALCAL</t>
        </is>
      </c>
      <c r="M1889" s="232" t="inlineStr"/>
      <c r="N1889" s="232" t="inlineStr">
        <is>
          <t>.   .   -</t>
        </is>
      </c>
      <c r="O1889" s="232" t="inlineStr">
        <is>
          <t>FEBRERO</t>
        </is>
      </c>
      <c r="P1889" s="232" t="n">
        <v>5</v>
      </c>
      <c r="Q1889" s="234" t="n">
        <v>315</v>
      </c>
      <c r="R1889" s="232" t="inlineStr"/>
      <c r="S1889" s="234" t="n">
        <v>315</v>
      </c>
      <c r="T1889" s="232" t="inlineStr">
        <is>
          <t>CLP</t>
        </is>
      </c>
      <c r="U1889" s="232" t="inlineStr">
        <is>
          <t>Prorrateo Ha PACKING</t>
        </is>
      </c>
      <c r="V1889" s="232" t="inlineStr">
        <is>
          <t>2026-06-18</t>
        </is>
      </c>
    </row>
    <row r="1890">
      <c r="A1890" s="232" t="inlineStr">
        <is>
          <t>CR-1887</t>
        </is>
      </c>
      <c r="B1890" s="232" t="inlineStr">
        <is>
          <t>2026/27</t>
        </is>
      </c>
      <c r="C1890" s="233" t="n">
        <v>46056</v>
      </c>
      <c r="D1890" s="232" t="inlineStr">
        <is>
          <t>237225</t>
        </is>
      </c>
      <c r="E1890" s="232" t="inlineStr">
        <is>
          <t>PRORRATEO</t>
        </is>
      </c>
      <c r="F1890" s="232" t="inlineStr">
        <is>
          <t>El Molle</t>
        </is>
      </c>
      <c r="G1890" s="232" t="inlineStr">
        <is>
          <t>orogrande 8,11 ha</t>
        </is>
      </c>
      <c r="H1890" s="232" t="inlineStr">
        <is>
          <t>Clementinas</t>
        </is>
      </c>
      <c r="I1890" s="232" t="inlineStr">
        <is>
          <t>Orogrande</t>
        </is>
      </c>
      <c r="J1890" s="232" t="inlineStr">
        <is>
          <t>MATERIALES COSECHA</t>
        </is>
      </c>
      <c r="K1890" s="232" t="inlineStr">
        <is>
          <t>INSUMOS PACKING</t>
        </is>
      </c>
      <c r="L1890" s="232" t="inlineStr">
        <is>
          <t>[PRORRATEO 5.5% 8.11há/148.3há] O/001347 PILA ALCAL</t>
        </is>
      </c>
      <c r="M1890" s="232" t="inlineStr"/>
      <c r="N1890" s="232" t="inlineStr">
        <is>
          <t>.   .   -</t>
        </is>
      </c>
      <c r="O1890" s="232" t="inlineStr">
        <is>
          <t>FEBRERO</t>
        </is>
      </c>
      <c r="P1890" s="232" t="n">
        <v>5</v>
      </c>
      <c r="Q1890" s="234" t="n">
        <v>446</v>
      </c>
      <c r="R1890" s="232" t="inlineStr"/>
      <c r="S1890" s="234" t="n">
        <v>446</v>
      </c>
      <c r="T1890" s="232" t="inlineStr">
        <is>
          <t>CLP</t>
        </is>
      </c>
      <c r="U1890" s="232" t="inlineStr">
        <is>
          <t>Prorrateo Ha PACKING</t>
        </is>
      </c>
      <c r="V1890" s="232" t="inlineStr">
        <is>
          <t>2026-06-18</t>
        </is>
      </c>
    </row>
    <row r="1891">
      <c r="A1891" s="232" t="inlineStr">
        <is>
          <t>CR-1888</t>
        </is>
      </c>
      <c r="B1891" s="232" t="inlineStr">
        <is>
          <t>2026/27</t>
        </is>
      </c>
      <c r="C1891" s="233" t="n">
        <v>46056</v>
      </c>
      <c r="D1891" s="232" t="inlineStr">
        <is>
          <t>237225</t>
        </is>
      </c>
      <c r="E1891" s="232" t="inlineStr">
        <is>
          <t>PRORRATEO</t>
        </is>
      </c>
      <c r="F1891" s="232" t="inlineStr">
        <is>
          <t>El Molle</t>
        </is>
      </c>
      <c r="G1891" s="232" t="inlineStr">
        <is>
          <t>oronules 5,35 ha</t>
        </is>
      </c>
      <c r="H1891" s="232" t="inlineStr">
        <is>
          <t>Clementinas</t>
        </is>
      </c>
      <c r="I1891" s="232" t="inlineStr">
        <is>
          <t>Oronules</t>
        </is>
      </c>
      <c r="J1891" s="232" t="inlineStr">
        <is>
          <t>MATERIALES COSECHA</t>
        </is>
      </c>
      <c r="K1891" s="232" t="inlineStr">
        <is>
          <t>INSUMOS PACKING</t>
        </is>
      </c>
      <c r="L1891" s="232" t="inlineStr">
        <is>
          <t>[PRORRATEO 3.6% 5.35há/148.3há] O/001347 PILA ALCAL</t>
        </is>
      </c>
      <c r="M1891" s="232" t="inlineStr"/>
      <c r="N1891" s="232" t="inlineStr">
        <is>
          <t>.   .   -</t>
        </is>
      </c>
      <c r="O1891" s="232" t="inlineStr">
        <is>
          <t>FEBRERO</t>
        </is>
      </c>
      <c r="P1891" s="232" t="n">
        <v>5</v>
      </c>
      <c r="Q1891" s="234" t="n">
        <v>294</v>
      </c>
      <c r="R1891" s="232" t="inlineStr"/>
      <c r="S1891" s="234" t="n">
        <v>294</v>
      </c>
      <c r="T1891" s="232" t="inlineStr">
        <is>
          <t>CLP</t>
        </is>
      </c>
      <c r="U1891" s="232" t="inlineStr">
        <is>
          <t>Prorrateo Ha PACKING</t>
        </is>
      </c>
      <c r="V1891" s="232" t="inlineStr">
        <is>
          <t>2026-06-18</t>
        </is>
      </c>
    </row>
    <row r="1892">
      <c r="A1892" s="232" t="inlineStr">
        <is>
          <t>CR-1889</t>
        </is>
      </c>
      <c r="B1892" s="232" t="inlineStr">
        <is>
          <t>2026/27</t>
        </is>
      </c>
      <c r="C1892" s="233" t="n">
        <v>46056</v>
      </c>
      <c r="D1892" s="232" t="inlineStr">
        <is>
          <t>237225</t>
        </is>
      </c>
      <c r="E1892" s="232" t="inlineStr">
        <is>
          <t>PRORRATEO</t>
        </is>
      </c>
      <c r="F1892" s="232" t="inlineStr">
        <is>
          <t>Santa Catalina</t>
        </is>
      </c>
      <c r="G1892" s="232" t="inlineStr">
        <is>
          <t>Fino 49 7,7 ha</t>
        </is>
      </c>
      <c r="H1892" s="232" t="inlineStr">
        <is>
          <t>Limon</t>
        </is>
      </c>
      <c r="I1892" s="232" t="inlineStr">
        <is>
          <t>Fino 49</t>
        </is>
      </c>
      <c r="J1892" s="232" t="inlineStr">
        <is>
          <t>MATERIALES COSECHA</t>
        </is>
      </c>
      <c r="K1892" s="232" t="inlineStr">
        <is>
          <t>INSUMOS PACKING</t>
        </is>
      </c>
      <c r="L1892" s="232" t="inlineStr">
        <is>
          <t>[PRORRATEO 5.2% 7.7há/148.3há] O/001347 PILA ALCAL</t>
        </is>
      </c>
      <c r="M1892" s="232" t="inlineStr"/>
      <c r="N1892" s="232" t="inlineStr">
        <is>
          <t>.   .   -</t>
        </is>
      </c>
      <c r="O1892" s="232" t="inlineStr">
        <is>
          <t>FEBRERO</t>
        </is>
      </c>
      <c r="P1892" s="232" t="n">
        <v>5</v>
      </c>
      <c r="Q1892" s="234" t="n">
        <v>423</v>
      </c>
      <c r="R1892" s="232" t="inlineStr"/>
      <c r="S1892" s="234" t="n">
        <v>423</v>
      </c>
      <c r="T1892" s="232" t="inlineStr">
        <is>
          <t>CLP</t>
        </is>
      </c>
      <c r="U1892" s="232" t="inlineStr">
        <is>
          <t>Prorrateo Ha PACKING</t>
        </is>
      </c>
      <c r="V1892" s="232" t="inlineStr">
        <is>
          <t>2026-06-18</t>
        </is>
      </c>
    </row>
    <row r="1893">
      <c r="A1893" s="232" t="inlineStr">
        <is>
          <t>CR-1890</t>
        </is>
      </c>
      <c r="B1893" s="232" t="inlineStr">
        <is>
          <t>2026/27</t>
        </is>
      </c>
      <c r="C1893" s="233" t="n">
        <v>46056</v>
      </c>
      <c r="D1893" s="232" t="inlineStr">
        <is>
          <t>237225</t>
        </is>
      </c>
      <c r="E1893" s="232" t="inlineStr">
        <is>
          <t>PRORRATEO</t>
        </is>
      </c>
      <c r="F1893" s="232" t="inlineStr">
        <is>
          <t>Santa Catalina</t>
        </is>
      </c>
      <c r="G1893" s="232" t="inlineStr">
        <is>
          <t>W. murcott 21 ha</t>
        </is>
      </c>
      <c r="H1893" s="232" t="inlineStr">
        <is>
          <t>Mandarina</t>
        </is>
      </c>
      <c r="I1893" s="232" t="inlineStr">
        <is>
          <t>W. murcott</t>
        </is>
      </c>
      <c r="J1893" s="232" t="inlineStr">
        <is>
          <t>MATERIALES COSECHA</t>
        </is>
      </c>
      <c r="K1893" s="232" t="inlineStr">
        <is>
          <t>INSUMOS PACKING</t>
        </is>
      </c>
      <c r="L1893" s="232" t="inlineStr">
        <is>
          <t>[PRORRATEO 14.2% 21.0há/148.3há] O/001347 PILA ALCAL</t>
        </is>
      </c>
      <c r="M1893" s="232" t="inlineStr"/>
      <c r="N1893" s="232" t="inlineStr">
        <is>
          <t>.   .   -</t>
        </is>
      </c>
      <c r="O1893" s="232" t="inlineStr">
        <is>
          <t>FEBRERO</t>
        </is>
      </c>
      <c r="P1893" s="232" t="n">
        <v>5</v>
      </c>
      <c r="Q1893" s="234" t="n">
        <v>1154</v>
      </c>
      <c r="R1893" s="232" t="inlineStr"/>
      <c r="S1893" s="234" t="n">
        <v>1154</v>
      </c>
      <c r="T1893" s="232" t="inlineStr">
        <is>
          <t>CLP</t>
        </is>
      </c>
      <c r="U1893" s="232" t="inlineStr">
        <is>
          <t>Prorrateo Ha PACKING</t>
        </is>
      </c>
      <c r="V1893" s="232" t="inlineStr">
        <is>
          <t>2026-06-18</t>
        </is>
      </c>
    </row>
    <row r="1894">
      <c r="A1894" s="232" t="inlineStr">
        <is>
          <t>CR-1891</t>
        </is>
      </c>
      <c r="B1894" s="232" t="inlineStr">
        <is>
          <t>2026/27</t>
        </is>
      </c>
      <c r="C1894" s="233" t="n">
        <v>46056</v>
      </c>
      <c r="D1894" s="232" t="inlineStr">
        <is>
          <t>237225</t>
        </is>
      </c>
      <c r="E1894" s="232" t="inlineStr">
        <is>
          <t>PRORRATEO</t>
        </is>
      </c>
      <c r="F1894" s="232" t="inlineStr">
        <is>
          <t>Santa Catalina</t>
        </is>
      </c>
      <c r="G1894" s="232" t="inlineStr">
        <is>
          <t>cambria 4,2 ha</t>
        </is>
      </c>
      <c r="H1894" s="232" t="inlineStr">
        <is>
          <t>Naranjas</t>
        </is>
      </c>
      <c r="I1894" s="232" t="inlineStr">
        <is>
          <t>Cambria</t>
        </is>
      </c>
      <c r="J1894" s="232" t="inlineStr">
        <is>
          <t>MATERIALES COSECHA</t>
        </is>
      </c>
      <c r="K1894" s="232" t="inlineStr">
        <is>
          <t>INSUMOS PACKING</t>
        </is>
      </c>
      <c r="L1894" s="232" t="inlineStr">
        <is>
          <t>[PRORRATEO 2.8% 4.2há/148.3há] O/001347 PILA ALCAL</t>
        </is>
      </c>
      <c r="M1894" s="232" t="inlineStr"/>
      <c r="N1894" s="232" t="inlineStr">
        <is>
          <t>.   .   -</t>
        </is>
      </c>
      <c r="O1894" s="232" t="inlineStr">
        <is>
          <t>FEBRERO</t>
        </is>
      </c>
      <c r="P1894" s="232" t="n">
        <v>5</v>
      </c>
      <c r="Q1894" s="234" t="n">
        <v>231</v>
      </c>
      <c r="R1894" s="232" t="inlineStr"/>
      <c r="S1894" s="234" t="n">
        <v>231</v>
      </c>
      <c r="T1894" s="232" t="inlineStr">
        <is>
          <t>CLP</t>
        </is>
      </c>
      <c r="U1894" s="232" t="inlineStr">
        <is>
          <t>Prorrateo Ha PACKING</t>
        </is>
      </c>
      <c r="V1894" s="232" t="inlineStr">
        <is>
          <t>2026-06-18</t>
        </is>
      </c>
    </row>
    <row r="1895">
      <c r="A1895" s="232" t="inlineStr">
        <is>
          <t>CR-1892</t>
        </is>
      </c>
      <c r="B1895" s="232" t="inlineStr">
        <is>
          <t>2026/27</t>
        </is>
      </c>
      <c r="C1895" s="233" t="n">
        <v>46056</v>
      </c>
      <c r="D1895" s="232" t="inlineStr">
        <is>
          <t>237225</t>
        </is>
      </c>
      <c r="E1895" s="232" t="inlineStr">
        <is>
          <t>PRORRATEO</t>
        </is>
      </c>
      <c r="F1895" s="232" t="inlineStr">
        <is>
          <t>Santa Catalina</t>
        </is>
      </c>
      <c r="G1895" s="232" t="inlineStr">
        <is>
          <t>eureka 10,6 ha</t>
        </is>
      </c>
      <c r="H1895" s="232" t="inlineStr">
        <is>
          <t>Limon</t>
        </is>
      </c>
      <c r="I1895" s="232" t="inlineStr">
        <is>
          <t>Eureka</t>
        </is>
      </c>
      <c r="J1895" s="232" t="inlineStr">
        <is>
          <t>MATERIALES COSECHA</t>
        </is>
      </c>
      <c r="K1895" s="232" t="inlineStr">
        <is>
          <t>INSUMOS PACKING</t>
        </is>
      </c>
      <c r="L1895" s="232" t="inlineStr">
        <is>
          <t>[PRORRATEO 7.1% 10.6há/148.3há] O/001347 PILA ALCAL</t>
        </is>
      </c>
      <c r="M1895" s="232" t="inlineStr"/>
      <c r="N1895" s="232" t="inlineStr">
        <is>
          <t>.   .   -</t>
        </is>
      </c>
      <c r="O1895" s="232" t="inlineStr">
        <is>
          <t>FEBRERO</t>
        </is>
      </c>
      <c r="P1895" s="232" t="n">
        <v>5</v>
      </c>
      <c r="Q1895" s="234" t="n">
        <v>582</v>
      </c>
      <c r="R1895" s="232" t="inlineStr"/>
      <c r="S1895" s="234" t="n">
        <v>582</v>
      </c>
      <c r="T1895" s="232" t="inlineStr">
        <is>
          <t>CLP</t>
        </is>
      </c>
      <c r="U1895" s="232" t="inlineStr">
        <is>
          <t>Prorrateo Ha PACKING</t>
        </is>
      </c>
      <c r="V1895" s="232" t="inlineStr">
        <is>
          <t>2026-06-18</t>
        </is>
      </c>
    </row>
    <row r="1896">
      <c r="A1896" s="232" t="inlineStr">
        <is>
          <t>CR-1893</t>
        </is>
      </c>
      <c r="B1896" s="232" t="inlineStr">
        <is>
          <t>2026/27</t>
        </is>
      </c>
      <c r="C1896" s="233" t="n">
        <v>46056</v>
      </c>
      <c r="D1896" s="232" t="inlineStr">
        <is>
          <t>237225</t>
        </is>
      </c>
      <c r="E1896" s="232" t="inlineStr">
        <is>
          <t>PRORRATEO</t>
        </is>
      </c>
      <c r="F1896" s="232" t="inlineStr">
        <is>
          <t>Santa Catalina</t>
        </is>
      </c>
      <c r="G1896" s="232" t="inlineStr">
        <is>
          <t>eureka 14,4 ha</t>
        </is>
      </c>
      <c r="H1896" s="232" t="inlineStr">
        <is>
          <t>Limon</t>
        </is>
      </c>
      <c r="I1896" s="232" t="inlineStr">
        <is>
          <t>Eureka</t>
        </is>
      </c>
      <c r="J1896" s="232" t="inlineStr">
        <is>
          <t>MATERIALES COSECHA</t>
        </is>
      </c>
      <c r="K1896" s="232" t="inlineStr">
        <is>
          <t>INSUMOS PACKING</t>
        </is>
      </c>
      <c r="L1896" s="232" t="inlineStr">
        <is>
          <t>[PRORRATEO 9.7% 14.4há/148.3há] O/001347 PILA ALCAL</t>
        </is>
      </c>
      <c r="M1896" s="232" t="inlineStr"/>
      <c r="N1896" s="232" t="inlineStr">
        <is>
          <t>.   .   -</t>
        </is>
      </c>
      <c r="O1896" s="232" t="inlineStr">
        <is>
          <t>FEBRERO</t>
        </is>
      </c>
      <c r="P1896" s="232" t="n">
        <v>5</v>
      </c>
      <c r="Q1896" s="234" t="n">
        <v>791</v>
      </c>
      <c r="R1896" s="232" t="inlineStr"/>
      <c r="S1896" s="234" t="n">
        <v>791</v>
      </c>
      <c r="T1896" s="232" t="inlineStr">
        <is>
          <t>CLP</t>
        </is>
      </c>
      <c r="U1896" s="232" t="inlineStr">
        <is>
          <t>Prorrateo Ha PACKING</t>
        </is>
      </c>
      <c r="V1896" s="232" t="inlineStr">
        <is>
          <t>2026-06-18</t>
        </is>
      </c>
    </row>
    <row r="1897">
      <c r="A1897" s="232" t="inlineStr">
        <is>
          <t>CR-1894</t>
        </is>
      </c>
      <c r="B1897" s="232" t="inlineStr">
        <is>
          <t>2026/27</t>
        </is>
      </c>
      <c r="C1897" s="233" t="n">
        <v>46056</v>
      </c>
      <c r="D1897" s="232" t="inlineStr">
        <is>
          <t>237225</t>
        </is>
      </c>
      <c r="E1897" s="232" t="inlineStr">
        <is>
          <t>PRORRATEO</t>
        </is>
      </c>
      <c r="F1897" s="232" t="inlineStr">
        <is>
          <t>Santa Catalina</t>
        </is>
      </c>
      <c r="G1897" s="232" t="inlineStr">
        <is>
          <t>eureka 22,55</t>
        </is>
      </c>
      <c r="H1897" s="232" t="inlineStr">
        <is>
          <t>Limon</t>
        </is>
      </c>
      <c r="I1897" s="232" t="inlineStr">
        <is>
          <t>Eureka</t>
        </is>
      </c>
      <c r="J1897" s="232" t="inlineStr">
        <is>
          <t>MATERIALES COSECHA</t>
        </is>
      </c>
      <c r="K1897" s="232" t="inlineStr">
        <is>
          <t>INSUMOS PACKING</t>
        </is>
      </c>
      <c r="L1897" s="232" t="inlineStr">
        <is>
          <t>[PRORRATEO 15.2% 22.55há/148.3há] O/001347 PILA ALCAL</t>
        </is>
      </c>
      <c r="M1897" s="232" t="inlineStr"/>
      <c r="N1897" s="232" t="inlineStr">
        <is>
          <t>.   .   -</t>
        </is>
      </c>
      <c r="O1897" s="232" t="inlineStr">
        <is>
          <t>FEBRERO</t>
        </is>
      </c>
      <c r="P1897" s="232" t="n">
        <v>5</v>
      </c>
      <c r="Q1897" s="234" t="n">
        <v>1239</v>
      </c>
      <c r="R1897" s="232" t="inlineStr"/>
      <c r="S1897" s="234" t="n">
        <v>1239</v>
      </c>
      <c r="T1897" s="232" t="inlineStr">
        <is>
          <t>CLP</t>
        </is>
      </c>
      <c r="U1897" s="232" t="inlineStr">
        <is>
          <t>Prorrateo Ha PACKING</t>
        </is>
      </c>
      <c r="V1897" s="232" t="inlineStr">
        <is>
          <t>2026-06-18</t>
        </is>
      </c>
    </row>
    <row r="1898">
      <c r="A1898" s="232" t="inlineStr">
        <is>
          <t>CR-1895</t>
        </is>
      </c>
      <c r="B1898" s="232" t="inlineStr">
        <is>
          <t>2026/27</t>
        </is>
      </c>
      <c r="C1898" s="233" t="n">
        <v>46056</v>
      </c>
      <c r="D1898" s="232" t="inlineStr">
        <is>
          <t>237225</t>
        </is>
      </c>
      <c r="E1898" s="232" t="inlineStr">
        <is>
          <t>PRORRATEO</t>
        </is>
      </c>
      <c r="F1898" s="232" t="inlineStr">
        <is>
          <t>Santa Catalina</t>
        </is>
      </c>
      <c r="G1898" s="232" t="inlineStr">
        <is>
          <t>form benjamin 1,93 ha</t>
        </is>
      </c>
      <c r="H1898" s="232" t="inlineStr">
        <is>
          <t>Limon</t>
        </is>
      </c>
      <c r="I1898" s="232" t="inlineStr">
        <is>
          <t>Benjamin andes</t>
        </is>
      </c>
      <c r="J1898" s="232" t="inlineStr">
        <is>
          <t>MATERIALES COSECHA</t>
        </is>
      </c>
      <c r="K1898" s="232" t="inlineStr">
        <is>
          <t>INSUMOS PACKING</t>
        </is>
      </c>
      <c r="L1898" s="232" t="inlineStr">
        <is>
          <t>[PRORRATEO 1.3% 1.93há/148.3há] O/001347 PILA ALCAL</t>
        </is>
      </c>
      <c r="M1898" s="232" t="inlineStr"/>
      <c r="N1898" s="232" t="inlineStr">
        <is>
          <t>.   .   -</t>
        </is>
      </c>
      <c r="O1898" s="232" t="inlineStr">
        <is>
          <t>FEBRERO</t>
        </is>
      </c>
      <c r="P1898" s="232" t="n">
        <v>5</v>
      </c>
      <c r="Q1898" s="234" t="n">
        <v>106</v>
      </c>
      <c r="R1898" s="232" t="inlineStr"/>
      <c r="S1898" s="234" t="n">
        <v>106</v>
      </c>
      <c r="T1898" s="232" t="inlineStr">
        <is>
          <t>CLP</t>
        </is>
      </c>
      <c r="U1898" s="232" t="inlineStr">
        <is>
          <t>Prorrateo Ha PACKING</t>
        </is>
      </c>
      <c r="V1898" s="232" t="inlineStr">
        <is>
          <t>2026-06-18</t>
        </is>
      </c>
    </row>
    <row r="1899">
      <c r="A1899" s="232" t="inlineStr">
        <is>
          <t>CR-1896</t>
        </is>
      </c>
      <c r="B1899" s="232" t="inlineStr">
        <is>
          <t>2026/27</t>
        </is>
      </c>
      <c r="C1899" s="233" t="n">
        <v>46056</v>
      </c>
      <c r="D1899" s="232" t="inlineStr">
        <is>
          <t>237225</t>
        </is>
      </c>
      <c r="E1899" s="232" t="inlineStr">
        <is>
          <t>PRORRATEO</t>
        </is>
      </c>
      <c r="F1899" s="232" t="inlineStr">
        <is>
          <t>Santa Catalina</t>
        </is>
      </c>
      <c r="G1899" s="232" t="inlineStr">
        <is>
          <t>mant eureka 2,5 ha</t>
        </is>
      </c>
      <c r="H1899" s="232" t="inlineStr">
        <is>
          <t>Limon</t>
        </is>
      </c>
      <c r="I1899" s="232" t="inlineStr">
        <is>
          <t>Eureka</t>
        </is>
      </c>
      <c r="J1899" s="232" t="inlineStr">
        <is>
          <t>MATERIALES COSECHA</t>
        </is>
      </c>
      <c r="K1899" s="232" t="inlineStr">
        <is>
          <t>INSUMOS PACKING</t>
        </is>
      </c>
      <c r="L1899" s="232" t="inlineStr">
        <is>
          <t>[PRORRATEO 1.7% 2.5há/148.3há] O/001347 PILA ALCAL</t>
        </is>
      </c>
      <c r="M1899" s="232" t="inlineStr"/>
      <c r="N1899" s="232" t="inlineStr">
        <is>
          <t>.   .   -</t>
        </is>
      </c>
      <c r="O1899" s="232" t="inlineStr">
        <is>
          <t>FEBRERO</t>
        </is>
      </c>
      <c r="P1899" s="232" t="n">
        <v>5</v>
      </c>
      <c r="Q1899" s="234" t="n">
        <v>137</v>
      </c>
      <c r="R1899" s="232" t="inlineStr"/>
      <c r="S1899" s="234" t="n">
        <v>137</v>
      </c>
      <c r="T1899" s="232" t="inlineStr">
        <is>
          <t>CLP</t>
        </is>
      </c>
      <c r="U1899" s="232" t="inlineStr">
        <is>
          <t>Prorrateo Ha PACKING</t>
        </is>
      </c>
      <c r="V1899" s="232" t="inlineStr">
        <is>
          <t>2026-06-18</t>
        </is>
      </c>
    </row>
    <row r="1900">
      <c r="A1900" s="232" t="inlineStr">
        <is>
          <t>CR-1897</t>
        </is>
      </c>
      <c r="B1900" s="232" t="inlineStr">
        <is>
          <t>2026/27</t>
        </is>
      </c>
      <c r="C1900" s="233" t="n">
        <v>46056</v>
      </c>
      <c r="D1900" s="232" t="inlineStr">
        <is>
          <t>237225</t>
        </is>
      </c>
      <c r="E1900" s="232" t="inlineStr">
        <is>
          <t>PRORRATEO</t>
        </is>
      </c>
      <c r="F1900" s="232" t="inlineStr">
        <is>
          <t>Siberia</t>
        </is>
      </c>
      <c r="G1900" s="232" t="inlineStr">
        <is>
          <t>S. Celebration 7,14</t>
        </is>
      </c>
      <c r="H1900" s="232" t="inlineStr">
        <is>
          <t>Uvas</t>
        </is>
      </c>
      <c r="I1900" s="232" t="inlineStr">
        <is>
          <t>S. celebration</t>
        </is>
      </c>
      <c r="J1900" s="232" t="inlineStr">
        <is>
          <t>MATERIALES COSECHA</t>
        </is>
      </c>
      <c r="K1900" s="232" t="inlineStr">
        <is>
          <t>INSUMOS PACKING</t>
        </is>
      </c>
      <c r="L1900" s="232" t="inlineStr">
        <is>
          <t>[PRORRATEO 4.8% 7.14há/148.3há] O/001347 PILA ALCAL</t>
        </is>
      </c>
      <c r="M1900" s="232" t="inlineStr"/>
      <c r="N1900" s="232" t="inlineStr">
        <is>
          <t>.   .   -</t>
        </is>
      </c>
      <c r="O1900" s="232" t="inlineStr">
        <is>
          <t>FEBRERO</t>
        </is>
      </c>
      <c r="P1900" s="232" t="n">
        <v>5</v>
      </c>
      <c r="Q1900" s="234" t="n">
        <v>392</v>
      </c>
      <c r="R1900" s="232" t="inlineStr"/>
      <c r="S1900" s="234" t="n">
        <v>392</v>
      </c>
      <c r="T1900" s="232" t="inlineStr">
        <is>
          <t>CLP</t>
        </is>
      </c>
      <c r="U1900" s="232" t="inlineStr">
        <is>
          <t>Prorrateo Ha PACKING</t>
        </is>
      </c>
      <c r="V1900" s="232" t="inlineStr">
        <is>
          <t>2026-06-18</t>
        </is>
      </c>
    </row>
    <row r="1901">
      <c r="A1901" s="232" t="inlineStr">
        <is>
          <t>CR-1898</t>
        </is>
      </c>
      <c r="B1901" s="232" t="inlineStr">
        <is>
          <t>2026/27</t>
        </is>
      </c>
      <c r="C1901" s="233" t="n">
        <v>46056</v>
      </c>
      <c r="D1901" s="232" t="inlineStr">
        <is>
          <t>237225</t>
        </is>
      </c>
      <c r="E1901" s="232" t="inlineStr">
        <is>
          <t>PRORRATEO</t>
        </is>
      </c>
      <c r="F1901" s="232" t="inlineStr">
        <is>
          <t>Siberia</t>
        </is>
      </c>
      <c r="G1901" s="232" t="inlineStr">
        <is>
          <t>Timpson 7,1</t>
        </is>
      </c>
      <c r="H1901" s="232" t="inlineStr">
        <is>
          <t>Uvas</t>
        </is>
      </c>
      <c r="I1901" s="232" t="inlineStr">
        <is>
          <t>Timpson</t>
        </is>
      </c>
      <c r="J1901" s="232" t="inlineStr">
        <is>
          <t>MATERIALES COSECHA</t>
        </is>
      </c>
      <c r="K1901" s="232" t="inlineStr">
        <is>
          <t>INSUMOS PACKING</t>
        </is>
      </c>
      <c r="L1901" s="232" t="inlineStr">
        <is>
          <t>[PRORRATEO 4.8% 7.1há/148.3há] O/001347 PILA ALCAL</t>
        </is>
      </c>
      <c r="M1901" s="232" t="inlineStr"/>
      <c r="N1901" s="232" t="inlineStr">
        <is>
          <t>.   .   -</t>
        </is>
      </c>
      <c r="O1901" s="232" t="inlineStr">
        <is>
          <t>FEBRERO</t>
        </is>
      </c>
      <c r="P1901" s="232" t="n">
        <v>5</v>
      </c>
      <c r="Q1901" s="234" t="n">
        <v>390</v>
      </c>
      <c r="R1901" s="232" t="inlineStr"/>
      <c r="S1901" s="234" t="n">
        <v>390</v>
      </c>
      <c r="T1901" s="232" t="inlineStr">
        <is>
          <t>CLP</t>
        </is>
      </c>
      <c r="U1901" s="232" t="inlineStr">
        <is>
          <t>Prorrateo Ha PACKING</t>
        </is>
      </c>
      <c r="V1901" s="232" t="inlineStr">
        <is>
          <t>2026-06-18</t>
        </is>
      </c>
    </row>
    <row r="1902">
      <c r="A1902" s="232" t="inlineStr">
        <is>
          <t>CR-1899</t>
        </is>
      </c>
      <c r="B1902" s="232" t="inlineStr">
        <is>
          <t>2026/27</t>
        </is>
      </c>
      <c r="C1902" s="233" t="n">
        <v>46056</v>
      </c>
      <c r="D1902" s="232" t="inlineStr">
        <is>
          <t>237225</t>
        </is>
      </c>
      <c r="E1902" s="232" t="inlineStr">
        <is>
          <t>PRORRATEO</t>
        </is>
      </c>
      <c r="F1902" s="232" t="inlineStr">
        <is>
          <t>Asmara</t>
        </is>
      </c>
      <c r="G1902" s="232" t="inlineStr">
        <is>
          <t>w. murcott 19,8 ha</t>
        </is>
      </c>
      <c r="H1902" s="232" t="inlineStr">
        <is>
          <t>Mandarina</t>
        </is>
      </c>
      <c r="I1902" s="232" t="inlineStr">
        <is>
          <t>W. murcott</t>
        </is>
      </c>
      <c r="J1902" s="232" t="inlineStr">
        <is>
          <t>MATERIALES COSECHA</t>
        </is>
      </c>
      <c r="K1902" s="232" t="inlineStr">
        <is>
          <t>INSUMOS PACKING</t>
        </is>
      </c>
      <c r="L1902" s="232" t="inlineStr">
        <is>
          <t>[PRORRATEO 13.4% 19.8há/148.3há] O/001347 PLUMERO PV</t>
        </is>
      </c>
      <c r="M1902" s="232" t="inlineStr"/>
      <c r="N1902" s="232" t="inlineStr">
        <is>
          <t>.   .   -</t>
        </is>
      </c>
      <c r="O1902" s="232" t="inlineStr">
        <is>
          <t>FEBRERO</t>
        </is>
      </c>
      <c r="P1902" s="232" t="n">
        <v>5</v>
      </c>
      <c r="Q1902" s="234" t="n">
        <v>366</v>
      </c>
      <c r="R1902" s="232" t="inlineStr"/>
      <c r="S1902" s="234" t="n">
        <v>366</v>
      </c>
      <c r="T1902" s="232" t="inlineStr">
        <is>
          <t>CLP</t>
        </is>
      </c>
      <c r="U1902" s="232" t="inlineStr">
        <is>
          <t>Prorrateo Ha PACKING</t>
        </is>
      </c>
      <c r="V1902" s="232" t="inlineStr">
        <is>
          <t>2026-06-18</t>
        </is>
      </c>
    </row>
    <row r="1903">
      <c r="A1903" s="232" t="inlineStr">
        <is>
          <t>CR-1900</t>
        </is>
      </c>
      <c r="B1903" s="232" t="inlineStr">
        <is>
          <t>2026/27</t>
        </is>
      </c>
      <c r="C1903" s="233" t="n">
        <v>46056</v>
      </c>
      <c r="D1903" s="232" t="inlineStr">
        <is>
          <t>237225</t>
        </is>
      </c>
      <c r="E1903" s="232" t="inlineStr">
        <is>
          <t>PRORRATEO</t>
        </is>
      </c>
      <c r="F1903" s="232" t="inlineStr">
        <is>
          <t>Asmara</t>
        </is>
      </c>
      <c r="G1903" s="232" t="inlineStr">
        <is>
          <t>w. murcott 4,9 ha</t>
        </is>
      </c>
      <c r="H1903" s="232" t="inlineStr">
        <is>
          <t>Mandarina</t>
        </is>
      </c>
      <c r="I1903" s="232" t="inlineStr">
        <is>
          <t>W. murcott</t>
        </is>
      </c>
      <c r="J1903" s="232" t="inlineStr">
        <is>
          <t>MATERIALES COSECHA</t>
        </is>
      </c>
      <c r="K1903" s="232" t="inlineStr">
        <is>
          <t>INSUMOS PACKING</t>
        </is>
      </c>
      <c r="L1903" s="232" t="inlineStr">
        <is>
          <t>[PRORRATEO 3.3% 4.9há/148.3há] O/001347 PLUMERO PV</t>
        </is>
      </c>
      <c r="M1903" s="232" t="inlineStr"/>
      <c r="N1903" s="232" t="inlineStr">
        <is>
          <t>.   .   -</t>
        </is>
      </c>
      <c r="O1903" s="232" t="inlineStr">
        <is>
          <t>FEBRERO</t>
        </is>
      </c>
      <c r="P1903" s="232" t="n">
        <v>5</v>
      </c>
      <c r="Q1903" s="234" t="n">
        <v>91</v>
      </c>
      <c r="R1903" s="232" t="inlineStr"/>
      <c r="S1903" s="234" t="n">
        <v>91</v>
      </c>
      <c r="T1903" s="232" t="inlineStr">
        <is>
          <t>CLP</t>
        </is>
      </c>
      <c r="U1903" s="232" t="inlineStr">
        <is>
          <t>Prorrateo Ha PACKING</t>
        </is>
      </c>
      <c r="V1903" s="232" t="inlineStr">
        <is>
          <t>2026-06-18</t>
        </is>
      </c>
    </row>
    <row r="1904">
      <c r="A1904" s="232" t="inlineStr">
        <is>
          <t>CR-1901</t>
        </is>
      </c>
      <c r="B1904" s="232" t="inlineStr">
        <is>
          <t>2026/27</t>
        </is>
      </c>
      <c r="C1904" s="233" t="n">
        <v>46056</v>
      </c>
      <c r="D1904" s="232" t="inlineStr">
        <is>
          <t>237225</t>
        </is>
      </c>
      <c r="E1904" s="232" t="inlineStr">
        <is>
          <t>PRORRATEO</t>
        </is>
      </c>
      <c r="F1904" s="232" t="inlineStr">
        <is>
          <t>El Molle</t>
        </is>
      </c>
      <c r="G1904" s="232" t="inlineStr">
        <is>
          <t>Wonderful 5,25 ha</t>
        </is>
      </c>
      <c r="H1904" s="232" t="inlineStr">
        <is>
          <t>Granados</t>
        </is>
      </c>
      <c r="I1904" s="232" t="inlineStr">
        <is>
          <t>Wonderfull</t>
        </is>
      </c>
      <c r="J1904" s="232" t="inlineStr">
        <is>
          <t>MATERIALES COSECHA</t>
        </is>
      </c>
      <c r="K1904" s="232" t="inlineStr">
        <is>
          <t>INSUMOS PACKING</t>
        </is>
      </c>
      <c r="L1904" s="232" t="inlineStr">
        <is>
          <t>[PRORRATEO 3.5% 5.24há/148.3há] O/001347 PLUMERO PV</t>
        </is>
      </c>
      <c r="M1904" s="232" t="inlineStr"/>
      <c r="N1904" s="232" t="inlineStr">
        <is>
          <t>.   .   -</t>
        </is>
      </c>
      <c r="O1904" s="232" t="inlineStr">
        <is>
          <t>FEBRERO</t>
        </is>
      </c>
      <c r="P1904" s="232" t="n">
        <v>5</v>
      </c>
      <c r="Q1904" s="234" t="n">
        <v>97</v>
      </c>
      <c r="R1904" s="232" t="inlineStr"/>
      <c r="S1904" s="234" t="n">
        <v>97</v>
      </c>
      <c r="T1904" s="232" t="inlineStr">
        <is>
          <t>CLP</t>
        </is>
      </c>
      <c r="U1904" s="232" t="inlineStr">
        <is>
          <t>Prorrateo Ha PACKING</t>
        </is>
      </c>
      <c r="V1904" s="232" t="inlineStr">
        <is>
          <t>2026-06-18</t>
        </is>
      </c>
    </row>
    <row r="1905">
      <c r="A1905" s="232" t="inlineStr">
        <is>
          <t>CR-1902</t>
        </is>
      </c>
      <c r="B1905" s="232" t="inlineStr">
        <is>
          <t>2026/27</t>
        </is>
      </c>
      <c r="C1905" s="233" t="n">
        <v>46056</v>
      </c>
      <c r="D1905" s="232" t="inlineStr">
        <is>
          <t>237225</t>
        </is>
      </c>
      <c r="E1905" s="232" t="inlineStr">
        <is>
          <t>PRORRATEO</t>
        </is>
      </c>
      <c r="F1905" s="232" t="inlineStr">
        <is>
          <t>El Molle</t>
        </is>
      </c>
      <c r="G1905" s="232" t="inlineStr">
        <is>
          <t>arrufatinas 5,74 ha</t>
        </is>
      </c>
      <c r="H1905" s="232" t="inlineStr">
        <is>
          <t>Clementinas</t>
        </is>
      </c>
      <c r="I1905" s="232" t="inlineStr">
        <is>
          <t>Arrufatinas</t>
        </is>
      </c>
      <c r="J1905" s="232" t="inlineStr">
        <is>
          <t>MATERIALES COSECHA</t>
        </is>
      </c>
      <c r="K1905" s="232" t="inlineStr">
        <is>
          <t>INSUMOS PACKING</t>
        </is>
      </c>
      <c r="L1905" s="232" t="inlineStr">
        <is>
          <t>[PRORRATEO 3.9% 5.74há/148.3há] O/001347 PLUMERO PV</t>
        </is>
      </c>
      <c r="M1905" s="232" t="inlineStr"/>
      <c r="N1905" s="232" t="inlineStr">
        <is>
          <t>.   .   -</t>
        </is>
      </c>
      <c r="O1905" s="232" t="inlineStr">
        <is>
          <t>FEBRERO</t>
        </is>
      </c>
      <c r="P1905" s="232" t="n">
        <v>5</v>
      </c>
      <c r="Q1905" s="234" t="n">
        <v>106</v>
      </c>
      <c r="R1905" s="232" t="inlineStr"/>
      <c r="S1905" s="234" t="n">
        <v>106</v>
      </c>
      <c r="T1905" s="232" t="inlineStr">
        <is>
          <t>CLP</t>
        </is>
      </c>
      <c r="U1905" s="232" t="inlineStr">
        <is>
          <t>Prorrateo Ha PACKING</t>
        </is>
      </c>
      <c r="V1905" s="232" t="inlineStr">
        <is>
          <t>2026-06-18</t>
        </is>
      </c>
    </row>
    <row r="1906">
      <c r="A1906" s="232" t="inlineStr">
        <is>
          <t>CR-1903</t>
        </is>
      </c>
      <c r="B1906" s="232" t="inlineStr">
        <is>
          <t>2026/27</t>
        </is>
      </c>
      <c r="C1906" s="233" t="n">
        <v>46056</v>
      </c>
      <c r="D1906" s="232" t="inlineStr">
        <is>
          <t>237225</t>
        </is>
      </c>
      <c r="E1906" s="232" t="inlineStr">
        <is>
          <t>PRORRATEO</t>
        </is>
      </c>
      <c r="F1906" s="232" t="inlineStr">
        <is>
          <t>El Molle</t>
        </is>
      </c>
      <c r="G1906" s="232" t="inlineStr">
        <is>
          <t>orogrande 8,11 ha</t>
        </is>
      </c>
      <c r="H1906" s="232" t="inlineStr">
        <is>
          <t>Clementinas</t>
        </is>
      </c>
      <c r="I1906" s="232" t="inlineStr">
        <is>
          <t>Orogrande</t>
        </is>
      </c>
      <c r="J1906" s="232" t="inlineStr">
        <is>
          <t>MATERIALES COSECHA</t>
        </is>
      </c>
      <c r="K1906" s="232" t="inlineStr">
        <is>
          <t>INSUMOS PACKING</t>
        </is>
      </c>
      <c r="L1906" s="232" t="inlineStr">
        <is>
          <t>[PRORRATEO 5.5% 8.11há/148.3há] O/001347 PLUMERO PV</t>
        </is>
      </c>
      <c r="M1906" s="232" t="inlineStr"/>
      <c r="N1906" s="232" t="inlineStr">
        <is>
          <t>.   .   -</t>
        </is>
      </c>
      <c r="O1906" s="232" t="inlineStr">
        <is>
          <t>FEBRERO</t>
        </is>
      </c>
      <c r="P1906" s="232" t="n">
        <v>5</v>
      </c>
      <c r="Q1906" s="234" t="n">
        <v>150</v>
      </c>
      <c r="R1906" s="232" t="inlineStr"/>
      <c r="S1906" s="234" t="n">
        <v>150</v>
      </c>
      <c r="T1906" s="232" t="inlineStr">
        <is>
          <t>CLP</t>
        </is>
      </c>
      <c r="U1906" s="232" t="inlineStr">
        <is>
          <t>Prorrateo Ha PACKING</t>
        </is>
      </c>
      <c r="V1906" s="232" t="inlineStr">
        <is>
          <t>2026-06-18</t>
        </is>
      </c>
    </row>
    <row r="1907">
      <c r="A1907" s="232" t="inlineStr">
        <is>
          <t>CR-1904</t>
        </is>
      </c>
      <c r="B1907" s="232" t="inlineStr">
        <is>
          <t>2026/27</t>
        </is>
      </c>
      <c r="C1907" s="233" t="n">
        <v>46056</v>
      </c>
      <c r="D1907" s="232" t="inlineStr">
        <is>
          <t>237225</t>
        </is>
      </c>
      <c r="E1907" s="232" t="inlineStr">
        <is>
          <t>PRORRATEO</t>
        </is>
      </c>
      <c r="F1907" s="232" t="inlineStr">
        <is>
          <t>El Molle</t>
        </is>
      </c>
      <c r="G1907" s="232" t="inlineStr">
        <is>
          <t>oronules 5,35 ha</t>
        </is>
      </c>
      <c r="H1907" s="232" t="inlineStr">
        <is>
          <t>Clementinas</t>
        </is>
      </c>
      <c r="I1907" s="232" t="inlineStr">
        <is>
          <t>Oronules</t>
        </is>
      </c>
      <c r="J1907" s="232" t="inlineStr">
        <is>
          <t>MATERIALES COSECHA</t>
        </is>
      </c>
      <c r="K1907" s="232" t="inlineStr">
        <is>
          <t>INSUMOS PACKING</t>
        </is>
      </c>
      <c r="L1907" s="232" t="inlineStr">
        <is>
          <t>[PRORRATEO 3.6% 5.35há/148.3há] O/001347 PLUMERO PV</t>
        </is>
      </c>
      <c r="M1907" s="232" t="inlineStr"/>
      <c r="N1907" s="232" t="inlineStr">
        <is>
          <t>.   .   -</t>
        </is>
      </c>
      <c r="O1907" s="232" t="inlineStr">
        <is>
          <t>FEBRERO</t>
        </is>
      </c>
      <c r="P1907" s="232" t="n">
        <v>5</v>
      </c>
      <c r="Q1907" s="234" t="n">
        <v>99</v>
      </c>
      <c r="R1907" s="232" t="inlineStr"/>
      <c r="S1907" s="234" t="n">
        <v>99</v>
      </c>
      <c r="T1907" s="232" t="inlineStr">
        <is>
          <t>CLP</t>
        </is>
      </c>
      <c r="U1907" s="232" t="inlineStr">
        <is>
          <t>Prorrateo Ha PACKING</t>
        </is>
      </c>
      <c r="V1907" s="232" t="inlineStr">
        <is>
          <t>2026-06-18</t>
        </is>
      </c>
    </row>
    <row r="1908">
      <c r="A1908" s="232" t="inlineStr">
        <is>
          <t>CR-1905</t>
        </is>
      </c>
      <c r="B1908" s="232" t="inlineStr">
        <is>
          <t>2026/27</t>
        </is>
      </c>
      <c r="C1908" s="233" t="n">
        <v>46056</v>
      </c>
      <c r="D1908" s="232" t="inlineStr">
        <is>
          <t>237225</t>
        </is>
      </c>
      <c r="E1908" s="232" t="inlineStr">
        <is>
          <t>PRORRATEO</t>
        </is>
      </c>
      <c r="F1908" s="232" t="inlineStr">
        <is>
          <t>Santa Catalina</t>
        </is>
      </c>
      <c r="G1908" s="232" t="inlineStr">
        <is>
          <t>Fino 49 7,7 ha</t>
        </is>
      </c>
      <c r="H1908" s="232" t="inlineStr">
        <is>
          <t>Limon</t>
        </is>
      </c>
      <c r="I1908" s="232" t="inlineStr">
        <is>
          <t>Fino 49</t>
        </is>
      </c>
      <c r="J1908" s="232" t="inlineStr">
        <is>
          <t>MATERIALES COSECHA</t>
        </is>
      </c>
      <c r="K1908" s="232" t="inlineStr">
        <is>
          <t>INSUMOS PACKING</t>
        </is>
      </c>
      <c r="L1908" s="232" t="inlineStr">
        <is>
          <t>[PRORRATEO 5.2% 7.7há/148.3há] O/001347 PLUMERO PV</t>
        </is>
      </c>
      <c r="M1908" s="232" t="inlineStr"/>
      <c r="N1908" s="232" t="inlineStr">
        <is>
          <t>.   .   -</t>
        </is>
      </c>
      <c r="O1908" s="232" t="inlineStr">
        <is>
          <t>FEBRERO</t>
        </is>
      </c>
      <c r="P1908" s="232" t="n">
        <v>5</v>
      </c>
      <c r="Q1908" s="234" t="n">
        <v>142</v>
      </c>
      <c r="R1908" s="232" t="inlineStr"/>
      <c r="S1908" s="234" t="n">
        <v>142</v>
      </c>
      <c r="T1908" s="232" t="inlineStr">
        <is>
          <t>CLP</t>
        </is>
      </c>
      <c r="U1908" s="232" t="inlineStr">
        <is>
          <t>Prorrateo Ha PACKING</t>
        </is>
      </c>
      <c r="V1908" s="232" t="inlineStr">
        <is>
          <t>2026-06-18</t>
        </is>
      </c>
    </row>
    <row r="1909">
      <c r="A1909" s="232" t="inlineStr">
        <is>
          <t>CR-1906</t>
        </is>
      </c>
      <c r="B1909" s="232" t="inlineStr">
        <is>
          <t>2026/27</t>
        </is>
      </c>
      <c r="C1909" s="233" t="n">
        <v>46056</v>
      </c>
      <c r="D1909" s="232" t="inlineStr">
        <is>
          <t>237225</t>
        </is>
      </c>
      <c r="E1909" s="232" t="inlineStr">
        <is>
          <t>PRORRATEO</t>
        </is>
      </c>
      <c r="F1909" s="232" t="inlineStr">
        <is>
          <t>Santa Catalina</t>
        </is>
      </c>
      <c r="G1909" s="232" t="inlineStr">
        <is>
          <t>W. murcott 21 ha</t>
        </is>
      </c>
      <c r="H1909" s="232" t="inlineStr">
        <is>
          <t>Mandarina</t>
        </is>
      </c>
      <c r="I1909" s="232" t="inlineStr">
        <is>
          <t>W. murcott</t>
        </is>
      </c>
      <c r="J1909" s="232" t="inlineStr">
        <is>
          <t>MATERIALES COSECHA</t>
        </is>
      </c>
      <c r="K1909" s="232" t="inlineStr">
        <is>
          <t>INSUMOS PACKING</t>
        </is>
      </c>
      <c r="L1909" s="232" t="inlineStr">
        <is>
          <t>[PRORRATEO 14.2% 21.0há/148.3há] O/001347 PLUMERO PV</t>
        </is>
      </c>
      <c r="M1909" s="232" t="inlineStr"/>
      <c r="N1909" s="232" t="inlineStr">
        <is>
          <t>.   .   -</t>
        </is>
      </c>
      <c r="O1909" s="232" t="inlineStr">
        <is>
          <t>FEBRERO</t>
        </is>
      </c>
      <c r="P1909" s="232" t="n">
        <v>5</v>
      </c>
      <c r="Q1909" s="234" t="n">
        <v>388</v>
      </c>
      <c r="R1909" s="232" t="inlineStr"/>
      <c r="S1909" s="234" t="n">
        <v>388</v>
      </c>
      <c r="T1909" s="232" t="inlineStr">
        <is>
          <t>CLP</t>
        </is>
      </c>
      <c r="U1909" s="232" t="inlineStr">
        <is>
          <t>Prorrateo Ha PACKING</t>
        </is>
      </c>
      <c r="V1909" s="232" t="inlineStr">
        <is>
          <t>2026-06-18</t>
        </is>
      </c>
    </row>
    <row r="1910">
      <c r="A1910" s="232" t="inlineStr">
        <is>
          <t>CR-1907</t>
        </is>
      </c>
      <c r="B1910" s="232" t="inlineStr">
        <is>
          <t>2026/27</t>
        </is>
      </c>
      <c r="C1910" s="233" t="n">
        <v>46056</v>
      </c>
      <c r="D1910" s="232" t="inlineStr">
        <is>
          <t>237225</t>
        </is>
      </c>
      <c r="E1910" s="232" t="inlineStr">
        <is>
          <t>PRORRATEO</t>
        </is>
      </c>
      <c r="F1910" s="232" t="inlineStr">
        <is>
          <t>Santa Catalina</t>
        </is>
      </c>
      <c r="G1910" s="232" t="inlineStr">
        <is>
          <t>cambria 4,2 ha</t>
        </is>
      </c>
      <c r="H1910" s="232" t="inlineStr">
        <is>
          <t>Naranjas</t>
        </is>
      </c>
      <c r="I1910" s="232" t="inlineStr">
        <is>
          <t>Cambria</t>
        </is>
      </c>
      <c r="J1910" s="232" t="inlineStr">
        <is>
          <t>MATERIALES COSECHA</t>
        </is>
      </c>
      <c r="K1910" s="232" t="inlineStr">
        <is>
          <t>INSUMOS PACKING</t>
        </is>
      </c>
      <c r="L1910" s="232" t="inlineStr">
        <is>
          <t>[PRORRATEO 2.8% 4.2há/148.3há] O/001347 PLUMERO PV</t>
        </is>
      </c>
      <c r="M1910" s="232" t="inlineStr"/>
      <c r="N1910" s="232" t="inlineStr">
        <is>
          <t>.   .   -</t>
        </is>
      </c>
      <c r="O1910" s="232" t="inlineStr">
        <is>
          <t>FEBRERO</t>
        </is>
      </c>
      <c r="P1910" s="232" t="n">
        <v>5</v>
      </c>
      <c r="Q1910" s="234" t="n">
        <v>78</v>
      </c>
      <c r="R1910" s="232" t="inlineStr"/>
      <c r="S1910" s="234" t="n">
        <v>78</v>
      </c>
      <c r="T1910" s="232" t="inlineStr">
        <is>
          <t>CLP</t>
        </is>
      </c>
      <c r="U1910" s="232" t="inlineStr">
        <is>
          <t>Prorrateo Ha PACKING</t>
        </is>
      </c>
      <c r="V1910" s="232" t="inlineStr">
        <is>
          <t>2026-06-18</t>
        </is>
      </c>
    </row>
    <row r="1911">
      <c r="A1911" s="232" t="inlineStr">
        <is>
          <t>CR-1908</t>
        </is>
      </c>
      <c r="B1911" s="232" t="inlineStr">
        <is>
          <t>2026/27</t>
        </is>
      </c>
      <c r="C1911" s="233" t="n">
        <v>46056</v>
      </c>
      <c r="D1911" s="232" t="inlineStr">
        <is>
          <t>237225</t>
        </is>
      </c>
      <c r="E1911" s="232" t="inlineStr">
        <is>
          <t>PRORRATEO</t>
        </is>
      </c>
      <c r="F1911" s="232" t="inlineStr">
        <is>
          <t>Santa Catalina</t>
        </is>
      </c>
      <c r="G1911" s="232" t="inlineStr">
        <is>
          <t>eureka 10,6 ha</t>
        </is>
      </c>
      <c r="H1911" s="232" t="inlineStr">
        <is>
          <t>Limon</t>
        </is>
      </c>
      <c r="I1911" s="232" t="inlineStr">
        <is>
          <t>Eureka</t>
        </is>
      </c>
      <c r="J1911" s="232" t="inlineStr">
        <is>
          <t>MATERIALES COSECHA</t>
        </is>
      </c>
      <c r="K1911" s="232" t="inlineStr">
        <is>
          <t>INSUMOS PACKING</t>
        </is>
      </c>
      <c r="L1911" s="232" t="inlineStr">
        <is>
          <t>[PRORRATEO 7.1% 10.6há/148.3há] O/001347 PLUMERO PV</t>
        </is>
      </c>
      <c r="M1911" s="232" t="inlineStr"/>
      <c r="N1911" s="232" t="inlineStr">
        <is>
          <t>.   .   -</t>
        </is>
      </c>
      <c r="O1911" s="232" t="inlineStr">
        <is>
          <t>FEBRERO</t>
        </is>
      </c>
      <c r="P1911" s="232" t="n">
        <v>5</v>
      </c>
      <c r="Q1911" s="234" t="n">
        <v>196</v>
      </c>
      <c r="R1911" s="232" t="inlineStr"/>
      <c r="S1911" s="234" t="n">
        <v>196</v>
      </c>
      <c r="T1911" s="232" t="inlineStr">
        <is>
          <t>CLP</t>
        </is>
      </c>
      <c r="U1911" s="232" t="inlineStr">
        <is>
          <t>Prorrateo Ha PACKING</t>
        </is>
      </c>
      <c r="V1911" s="232" t="inlineStr">
        <is>
          <t>2026-06-18</t>
        </is>
      </c>
    </row>
    <row r="1912">
      <c r="A1912" s="232" t="inlineStr">
        <is>
          <t>CR-1909</t>
        </is>
      </c>
      <c r="B1912" s="232" t="inlineStr">
        <is>
          <t>2026/27</t>
        </is>
      </c>
      <c r="C1912" s="233" t="n">
        <v>46056</v>
      </c>
      <c r="D1912" s="232" t="inlineStr">
        <is>
          <t>237225</t>
        </is>
      </c>
      <c r="E1912" s="232" t="inlineStr">
        <is>
          <t>PRORRATEO</t>
        </is>
      </c>
      <c r="F1912" s="232" t="inlineStr">
        <is>
          <t>Santa Catalina</t>
        </is>
      </c>
      <c r="G1912" s="232" t="inlineStr">
        <is>
          <t>eureka 14,4 ha</t>
        </is>
      </c>
      <c r="H1912" s="232" t="inlineStr">
        <is>
          <t>Limon</t>
        </is>
      </c>
      <c r="I1912" s="232" t="inlineStr">
        <is>
          <t>Eureka</t>
        </is>
      </c>
      <c r="J1912" s="232" t="inlineStr">
        <is>
          <t>MATERIALES COSECHA</t>
        </is>
      </c>
      <c r="K1912" s="232" t="inlineStr">
        <is>
          <t>INSUMOS PACKING</t>
        </is>
      </c>
      <c r="L1912" s="232" t="inlineStr">
        <is>
          <t>[PRORRATEO 9.7% 14.4há/148.3há] O/001347 PLUMERO PV</t>
        </is>
      </c>
      <c r="M1912" s="232" t="inlineStr"/>
      <c r="N1912" s="232" t="inlineStr">
        <is>
          <t>.   .   -</t>
        </is>
      </c>
      <c r="O1912" s="232" t="inlineStr">
        <is>
          <t>FEBRERO</t>
        </is>
      </c>
      <c r="P1912" s="232" t="n">
        <v>5</v>
      </c>
      <c r="Q1912" s="234" t="n">
        <v>266</v>
      </c>
      <c r="R1912" s="232" t="inlineStr"/>
      <c r="S1912" s="234" t="n">
        <v>266</v>
      </c>
      <c r="T1912" s="232" t="inlineStr">
        <is>
          <t>CLP</t>
        </is>
      </c>
      <c r="U1912" s="232" t="inlineStr">
        <is>
          <t>Prorrateo Ha PACKING</t>
        </is>
      </c>
      <c r="V1912" s="232" t="inlineStr">
        <is>
          <t>2026-06-18</t>
        </is>
      </c>
    </row>
    <row r="1913">
      <c r="A1913" s="232" t="inlineStr">
        <is>
          <t>CR-1910</t>
        </is>
      </c>
      <c r="B1913" s="232" t="inlineStr">
        <is>
          <t>2026/27</t>
        </is>
      </c>
      <c r="C1913" s="233" t="n">
        <v>46056</v>
      </c>
      <c r="D1913" s="232" t="inlineStr">
        <is>
          <t>237225</t>
        </is>
      </c>
      <c r="E1913" s="232" t="inlineStr">
        <is>
          <t>PRORRATEO</t>
        </is>
      </c>
      <c r="F1913" s="232" t="inlineStr">
        <is>
          <t>Santa Catalina</t>
        </is>
      </c>
      <c r="G1913" s="232" t="inlineStr">
        <is>
          <t>eureka 22,55</t>
        </is>
      </c>
      <c r="H1913" s="232" t="inlineStr">
        <is>
          <t>Limon</t>
        </is>
      </c>
      <c r="I1913" s="232" t="inlineStr">
        <is>
          <t>Eureka</t>
        </is>
      </c>
      <c r="J1913" s="232" t="inlineStr">
        <is>
          <t>MATERIALES COSECHA</t>
        </is>
      </c>
      <c r="K1913" s="232" t="inlineStr">
        <is>
          <t>INSUMOS PACKING</t>
        </is>
      </c>
      <c r="L1913" s="232" t="inlineStr">
        <is>
          <t>[PRORRATEO 15.2% 22.55há/148.3há] O/001347 PLUMERO PV</t>
        </is>
      </c>
      <c r="M1913" s="232" t="inlineStr"/>
      <c r="N1913" s="232" t="inlineStr">
        <is>
          <t>.   .   -</t>
        </is>
      </c>
      <c r="O1913" s="232" t="inlineStr">
        <is>
          <t>FEBRERO</t>
        </is>
      </c>
      <c r="P1913" s="232" t="n">
        <v>5</v>
      </c>
      <c r="Q1913" s="234" t="n">
        <v>417</v>
      </c>
      <c r="R1913" s="232" t="inlineStr"/>
      <c r="S1913" s="234" t="n">
        <v>417</v>
      </c>
      <c r="T1913" s="232" t="inlineStr">
        <is>
          <t>CLP</t>
        </is>
      </c>
      <c r="U1913" s="232" t="inlineStr">
        <is>
          <t>Prorrateo Ha PACKING</t>
        </is>
      </c>
      <c r="V1913" s="232" t="inlineStr">
        <is>
          <t>2026-06-18</t>
        </is>
      </c>
    </row>
    <row r="1914">
      <c r="A1914" s="232" t="inlineStr">
        <is>
          <t>CR-1911</t>
        </is>
      </c>
      <c r="B1914" s="232" t="inlineStr">
        <is>
          <t>2026/27</t>
        </is>
      </c>
      <c r="C1914" s="233" t="n">
        <v>46056</v>
      </c>
      <c r="D1914" s="232" t="inlineStr">
        <is>
          <t>237225</t>
        </is>
      </c>
      <c r="E1914" s="232" t="inlineStr">
        <is>
          <t>PRORRATEO</t>
        </is>
      </c>
      <c r="F1914" s="232" t="inlineStr">
        <is>
          <t>Santa Catalina</t>
        </is>
      </c>
      <c r="G1914" s="232" t="inlineStr">
        <is>
          <t>form benjamin 1,93 ha</t>
        </is>
      </c>
      <c r="H1914" s="232" t="inlineStr">
        <is>
          <t>Limon</t>
        </is>
      </c>
      <c r="I1914" s="232" t="inlineStr">
        <is>
          <t>Benjamin andes</t>
        </is>
      </c>
      <c r="J1914" s="232" t="inlineStr">
        <is>
          <t>MATERIALES COSECHA</t>
        </is>
      </c>
      <c r="K1914" s="232" t="inlineStr">
        <is>
          <t>INSUMOS PACKING</t>
        </is>
      </c>
      <c r="L1914" s="232" t="inlineStr">
        <is>
          <t>[PRORRATEO 1.3% 1.93há/148.3há] O/001347 PLUMERO PV</t>
        </is>
      </c>
      <c r="M1914" s="232" t="inlineStr"/>
      <c r="N1914" s="232" t="inlineStr">
        <is>
          <t>.   .   -</t>
        </is>
      </c>
      <c r="O1914" s="232" t="inlineStr">
        <is>
          <t>FEBRERO</t>
        </is>
      </c>
      <c r="P1914" s="232" t="n">
        <v>5</v>
      </c>
      <c r="Q1914" s="234" t="n">
        <v>36</v>
      </c>
      <c r="R1914" s="232" t="inlineStr"/>
      <c r="S1914" s="234" t="n">
        <v>36</v>
      </c>
      <c r="T1914" s="232" t="inlineStr">
        <is>
          <t>CLP</t>
        </is>
      </c>
      <c r="U1914" s="232" t="inlineStr">
        <is>
          <t>Prorrateo Ha PACKING</t>
        </is>
      </c>
      <c r="V1914" s="232" t="inlineStr">
        <is>
          <t>2026-06-18</t>
        </is>
      </c>
    </row>
    <row r="1915">
      <c r="A1915" s="232" t="inlineStr">
        <is>
          <t>CR-1912</t>
        </is>
      </c>
      <c r="B1915" s="232" t="inlineStr">
        <is>
          <t>2026/27</t>
        </is>
      </c>
      <c r="C1915" s="233" t="n">
        <v>46056</v>
      </c>
      <c r="D1915" s="232" t="inlineStr">
        <is>
          <t>237225</t>
        </is>
      </c>
      <c r="E1915" s="232" t="inlineStr">
        <is>
          <t>PRORRATEO</t>
        </is>
      </c>
      <c r="F1915" s="232" t="inlineStr">
        <is>
          <t>Santa Catalina</t>
        </is>
      </c>
      <c r="G1915" s="232" t="inlineStr">
        <is>
          <t>mant eureka 2,5 ha</t>
        </is>
      </c>
      <c r="H1915" s="232" t="inlineStr">
        <is>
          <t>Limon</t>
        </is>
      </c>
      <c r="I1915" s="232" t="inlineStr">
        <is>
          <t>Eureka</t>
        </is>
      </c>
      <c r="J1915" s="232" t="inlineStr">
        <is>
          <t>MATERIALES COSECHA</t>
        </is>
      </c>
      <c r="K1915" s="232" t="inlineStr">
        <is>
          <t>INSUMOS PACKING</t>
        </is>
      </c>
      <c r="L1915" s="232" t="inlineStr">
        <is>
          <t>[PRORRATEO 1.7% 2.5há/148.3há] O/001347 PLUMERO PV</t>
        </is>
      </c>
      <c r="M1915" s="232" t="inlineStr"/>
      <c r="N1915" s="232" t="inlineStr">
        <is>
          <t>.   .   -</t>
        </is>
      </c>
      <c r="O1915" s="232" t="inlineStr">
        <is>
          <t>FEBRERO</t>
        </is>
      </c>
      <c r="P1915" s="232" t="n">
        <v>5</v>
      </c>
      <c r="Q1915" s="234" t="n">
        <v>46</v>
      </c>
      <c r="R1915" s="232" t="inlineStr"/>
      <c r="S1915" s="234" t="n">
        <v>46</v>
      </c>
      <c r="T1915" s="232" t="inlineStr">
        <is>
          <t>CLP</t>
        </is>
      </c>
      <c r="U1915" s="232" t="inlineStr">
        <is>
          <t>Prorrateo Ha PACKING</t>
        </is>
      </c>
      <c r="V1915" s="232" t="inlineStr">
        <is>
          <t>2026-06-18</t>
        </is>
      </c>
    </row>
    <row r="1916">
      <c r="A1916" s="232" t="inlineStr">
        <is>
          <t>CR-1913</t>
        </is>
      </c>
      <c r="B1916" s="232" t="inlineStr">
        <is>
          <t>2026/27</t>
        </is>
      </c>
      <c r="C1916" s="233" t="n">
        <v>46056</v>
      </c>
      <c r="D1916" s="232" t="inlineStr">
        <is>
          <t>237225</t>
        </is>
      </c>
      <c r="E1916" s="232" t="inlineStr">
        <is>
          <t>PRORRATEO</t>
        </is>
      </c>
      <c r="F1916" s="232" t="inlineStr">
        <is>
          <t>Siberia</t>
        </is>
      </c>
      <c r="G1916" s="232" t="inlineStr">
        <is>
          <t>S. Celebration 7,14</t>
        </is>
      </c>
      <c r="H1916" s="232" t="inlineStr">
        <is>
          <t>Uvas</t>
        </is>
      </c>
      <c r="I1916" s="232" t="inlineStr">
        <is>
          <t>S. celebration</t>
        </is>
      </c>
      <c r="J1916" s="232" t="inlineStr">
        <is>
          <t>MATERIALES COSECHA</t>
        </is>
      </c>
      <c r="K1916" s="232" t="inlineStr">
        <is>
          <t>INSUMOS PACKING</t>
        </is>
      </c>
      <c r="L1916" s="232" t="inlineStr">
        <is>
          <t>[PRORRATEO 4.8% 7.14há/148.3há] O/001347 PLUMERO PV</t>
        </is>
      </c>
      <c r="M1916" s="232" t="inlineStr"/>
      <c r="N1916" s="232" t="inlineStr">
        <is>
          <t>.   .   -</t>
        </is>
      </c>
      <c r="O1916" s="232" t="inlineStr">
        <is>
          <t>FEBRERO</t>
        </is>
      </c>
      <c r="P1916" s="232" t="n">
        <v>5</v>
      </c>
      <c r="Q1916" s="234" t="n">
        <v>132</v>
      </c>
      <c r="R1916" s="232" t="inlineStr"/>
      <c r="S1916" s="234" t="n">
        <v>132</v>
      </c>
      <c r="T1916" s="232" t="inlineStr">
        <is>
          <t>CLP</t>
        </is>
      </c>
      <c r="U1916" s="232" t="inlineStr">
        <is>
          <t>Prorrateo Ha PACKING</t>
        </is>
      </c>
      <c r="V1916" s="232" t="inlineStr">
        <is>
          <t>2026-06-18</t>
        </is>
      </c>
    </row>
    <row r="1917">
      <c r="A1917" s="232" t="inlineStr">
        <is>
          <t>CR-1914</t>
        </is>
      </c>
      <c r="B1917" s="232" t="inlineStr">
        <is>
          <t>2026/27</t>
        </is>
      </c>
      <c r="C1917" s="233" t="n">
        <v>46056</v>
      </c>
      <c r="D1917" s="232" t="inlineStr">
        <is>
          <t>237225</t>
        </is>
      </c>
      <c r="E1917" s="232" t="inlineStr">
        <is>
          <t>PRORRATEO</t>
        </is>
      </c>
      <c r="F1917" s="232" t="inlineStr">
        <is>
          <t>Siberia</t>
        </is>
      </c>
      <c r="G1917" s="232" t="inlineStr">
        <is>
          <t>Timpson 7,1</t>
        </is>
      </c>
      <c r="H1917" s="232" t="inlineStr">
        <is>
          <t>Uvas</t>
        </is>
      </c>
      <c r="I1917" s="232" t="inlineStr">
        <is>
          <t>Timpson</t>
        </is>
      </c>
      <c r="J1917" s="232" t="inlineStr">
        <is>
          <t>MATERIALES COSECHA</t>
        </is>
      </c>
      <c r="K1917" s="232" t="inlineStr">
        <is>
          <t>INSUMOS PACKING</t>
        </is>
      </c>
      <c r="L1917" s="232" t="inlineStr">
        <is>
          <t>[PRORRATEO 4.8% 7.1há/148.3há] O/001347 PLUMERO PV</t>
        </is>
      </c>
      <c r="M1917" s="232" t="inlineStr"/>
      <c r="N1917" s="232" t="inlineStr">
        <is>
          <t>.   .   -</t>
        </is>
      </c>
      <c r="O1917" s="232" t="inlineStr">
        <is>
          <t>FEBRERO</t>
        </is>
      </c>
      <c r="P1917" s="232" t="n">
        <v>5</v>
      </c>
      <c r="Q1917" s="234" t="n">
        <v>131</v>
      </c>
      <c r="R1917" s="232" t="inlineStr"/>
      <c r="S1917" s="234" t="n">
        <v>131</v>
      </c>
      <c r="T1917" s="232" t="inlineStr">
        <is>
          <t>CLP</t>
        </is>
      </c>
      <c r="U1917" s="232" t="inlineStr">
        <is>
          <t>Prorrateo Ha PACKING</t>
        </is>
      </c>
      <c r="V1917" s="232" t="inlineStr">
        <is>
          <t>2026-06-18</t>
        </is>
      </c>
    </row>
    <row r="1918">
      <c r="A1918" s="232" t="inlineStr">
        <is>
          <t>CR-1915</t>
        </is>
      </c>
      <c r="B1918" s="232" t="inlineStr">
        <is>
          <t>2026/27</t>
        </is>
      </c>
      <c r="C1918" s="233" t="n">
        <v>46056</v>
      </c>
      <c r="D1918" s="232" t="inlineStr">
        <is>
          <t>237225</t>
        </is>
      </c>
      <c r="E1918" s="232" t="inlineStr">
        <is>
          <t>PRORRATEO</t>
        </is>
      </c>
      <c r="F1918" s="232" t="inlineStr">
        <is>
          <t>Asmara</t>
        </is>
      </c>
      <c r="G1918" s="232" t="inlineStr">
        <is>
          <t>w. murcott 19,8 ha</t>
        </is>
      </c>
      <c r="H1918" s="232" t="inlineStr">
        <is>
          <t>Mandarina</t>
        </is>
      </c>
      <c r="I1918" s="232" t="inlineStr">
        <is>
          <t>W. murcott</t>
        </is>
      </c>
      <c r="J1918" s="232" t="inlineStr">
        <is>
          <t>MATERIALES COSECHA</t>
        </is>
      </c>
      <c r="K1918" s="232" t="inlineStr">
        <is>
          <t>INSUMOS PACKING</t>
        </is>
      </c>
      <c r="L1918" s="232" t="inlineStr">
        <is>
          <t>[PRORRATEO 13.4% 19.8há/148.3há] O/001347 LAPIZ PAST</t>
        </is>
      </c>
      <c r="M1918" s="232" t="inlineStr"/>
      <c r="N1918" s="232" t="inlineStr">
        <is>
          <t>.   .   -</t>
        </is>
      </c>
      <c r="O1918" s="232" t="inlineStr">
        <is>
          <t>FEBRERO</t>
        </is>
      </c>
      <c r="P1918" s="232" t="n">
        <v>5</v>
      </c>
      <c r="Q1918" s="234" t="n">
        <v>2110</v>
      </c>
      <c r="R1918" s="232" t="inlineStr"/>
      <c r="S1918" s="234" t="n">
        <v>2110</v>
      </c>
      <c r="T1918" s="232" t="inlineStr">
        <is>
          <t>CLP</t>
        </is>
      </c>
      <c r="U1918" s="232" t="inlineStr">
        <is>
          <t>Prorrateo Ha PACKING</t>
        </is>
      </c>
      <c r="V1918" s="232" t="inlineStr">
        <is>
          <t>2026-06-18</t>
        </is>
      </c>
    </row>
    <row r="1919">
      <c r="A1919" s="232" t="inlineStr">
        <is>
          <t>CR-1916</t>
        </is>
      </c>
      <c r="B1919" s="232" t="inlineStr">
        <is>
          <t>2026/27</t>
        </is>
      </c>
      <c r="C1919" s="233" t="n">
        <v>46056</v>
      </c>
      <c r="D1919" s="232" t="inlineStr">
        <is>
          <t>237225</t>
        </is>
      </c>
      <c r="E1919" s="232" t="inlineStr">
        <is>
          <t>PRORRATEO</t>
        </is>
      </c>
      <c r="F1919" s="232" t="inlineStr">
        <is>
          <t>Asmara</t>
        </is>
      </c>
      <c r="G1919" s="232" t="inlineStr">
        <is>
          <t>w. murcott 4,9 ha</t>
        </is>
      </c>
      <c r="H1919" s="232" t="inlineStr">
        <is>
          <t>Mandarina</t>
        </is>
      </c>
      <c r="I1919" s="232" t="inlineStr">
        <is>
          <t>W. murcott</t>
        </is>
      </c>
      <c r="J1919" s="232" t="inlineStr">
        <is>
          <t>MATERIALES COSECHA</t>
        </is>
      </c>
      <c r="K1919" s="232" t="inlineStr">
        <is>
          <t>INSUMOS PACKING</t>
        </is>
      </c>
      <c r="L1919" s="232" t="inlineStr">
        <is>
          <t>[PRORRATEO 3.3% 4.9há/148.3há] O/001347 LAPIZ PAST</t>
        </is>
      </c>
      <c r="M1919" s="232" t="inlineStr"/>
      <c r="N1919" s="232" t="inlineStr">
        <is>
          <t>.   .   -</t>
        </is>
      </c>
      <c r="O1919" s="232" t="inlineStr">
        <is>
          <t>FEBRERO</t>
        </is>
      </c>
      <c r="P1919" s="232" t="n">
        <v>5</v>
      </c>
      <c r="Q1919" s="234" t="n">
        <v>522</v>
      </c>
      <c r="R1919" s="232" t="inlineStr"/>
      <c r="S1919" s="234" t="n">
        <v>522</v>
      </c>
      <c r="T1919" s="232" t="inlineStr">
        <is>
          <t>CLP</t>
        </is>
      </c>
      <c r="U1919" s="232" t="inlineStr">
        <is>
          <t>Prorrateo Ha PACKING</t>
        </is>
      </c>
      <c r="V1919" s="232" t="inlineStr">
        <is>
          <t>2026-06-18</t>
        </is>
      </c>
    </row>
    <row r="1920">
      <c r="A1920" s="232" t="inlineStr">
        <is>
          <t>CR-1917</t>
        </is>
      </c>
      <c r="B1920" s="232" t="inlineStr">
        <is>
          <t>2026/27</t>
        </is>
      </c>
      <c r="C1920" s="233" t="n">
        <v>46056</v>
      </c>
      <c r="D1920" s="232" t="inlineStr">
        <is>
          <t>237225</t>
        </is>
      </c>
      <c r="E1920" s="232" t="inlineStr">
        <is>
          <t>PRORRATEO</t>
        </is>
      </c>
      <c r="F1920" s="232" t="inlineStr">
        <is>
          <t>El Molle</t>
        </is>
      </c>
      <c r="G1920" s="232" t="inlineStr">
        <is>
          <t>Wonderful 5,25 ha</t>
        </is>
      </c>
      <c r="H1920" s="232" t="inlineStr">
        <is>
          <t>Granados</t>
        </is>
      </c>
      <c r="I1920" s="232" t="inlineStr">
        <is>
          <t>Wonderfull</t>
        </is>
      </c>
      <c r="J1920" s="232" t="inlineStr">
        <is>
          <t>MATERIALES COSECHA</t>
        </is>
      </c>
      <c r="K1920" s="232" t="inlineStr">
        <is>
          <t>INSUMOS PACKING</t>
        </is>
      </c>
      <c r="L1920" s="232" t="inlineStr">
        <is>
          <t>[PRORRATEO 3.5% 5.24há/148.3há] O/001347 LAPIZ PAST</t>
        </is>
      </c>
      <c r="M1920" s="232" t="inlineStr"/>
      <c r="N1920" s="232" t="inlineStr">
        <is>
          <t>.   .   -</t>
        </is>
      </c>
      <c r="O1920" s="232" t="inlineStr">
        <is>
          <t>FEBRERO</t>
        </is>
      </c>
      <c r="P1920" s="232" t="n">
        <v>5</v>
      </c>
      <c r="Q1920" s="234" t="n">
        <v>558</v>
      </c>
      <c r="R1920" s="232" t="inlineStr"/>
      <c r="S1920" s="234" t="n">
        <v>558</v>
      </c>
      <c r="T1920" s="232" t="inlineStr">
        <is>
          <t>CLP</t>
        </is>
      </c>
      <c r="U1920" s="232" t="inlineStr">
        <is>
          <t>Prorrateo Ha PACKING</t>
        </is>
      </c>
      <c r="V1920" s="232" t="inlineStr">
        <is>
          <t>2026-06-18</t>
        </is>
      </c>
    </row>
    <row r="1921">
      <c r="A1921" s="232" t="inlineStr">
        <is>
          <t>CR-1918</t>
        </is>
      </c>
      <c r="B1921" s="232" t="inlineStr">
        <is>
          <t>2026/27</t>
        </is>
      </c>
      <c r="C1921" s="233" t="n">
        <v>46056</v>
      </c>
      <c r="D1921" s="232" t="inlineStr">
        <is>
          <t>237225</t>
        </is>
      </c>
      <c r="E1921" s="232" t="inlineStr">
        <is>
          <t>PRORRATEO</t>
        </is>
      </c>
      <c r="F1921" s="232" t="inlineStr">
        <is>
          <t>El Molle</t>
        </is>
      </c>
      <c r="G1921" s="232" t="inlineStr">
        <is>
          <t>arrufatinas 5,74 ha</t>
        </is>
      </c>
      <c r="H1921" s="232" t="inlineStr">
        <is>
          <t>Clementinas</t>
        </is>
      </c>
      <c r="I1921" s="232" t="inlineStr">
        <is>
          <t>Arrufatinas</t>
        </is>
      </c>
      <c r="J1921" s="232" t="inlineStr">
        <is>
          <t>MATERIALES COSECHA</t>
        </is>
      </c>
      <c r="K1921" s="232" t="inlineStr">
        <is>
          <t>INSUMOS PACKING</t>
        </is>
      </c>
      <c r="L1921" s="232" t="inlineStr">
        <is>
          <t>[PRORRATEO 3.9% 5.74há/148.3há] O/001347 LAPIZ PAST</t>
        </is>
      </c>
      <c r="M1921" s="232" t="inlineStr"/>
      <c r="N1921" s="232" t="inlineStr">
        <is>
          <t>.   .   -</t>
        </is>
      </c>
      <c r="O1921" s="232" t="inlineStr">
        <is>
          <t>FEBRERO</t>
        </is>
      </c>
      <c r="P1921" s="232" t="n">
        <v>5</v>
      </c>
      <c r="Q1921" s="234" t="n">
        <v>612</v>
      </c>
      <c r="R1921" s="232" t="inlineStr"/>
      <c r="S1921" s="234" t="n">
        <v>612</v>
      </c>
      <c r="T1921" s="232" t="inlineStr">
        <is>
          <t>CLP</t>
        </is>
      </c>
      <c r="U1921" s="232" t="inlineStr">
        <is>
          <t>Prorrateo Ha PACKING</t>
        </is>
      </c>
      <c r="V1921" s="232" t="inlineStr">
        <is>
          <t>2026-06-18</t>
        </is>
      </c>
    </row>
    <row r="1922">
      <c r="A1922" s="232" t="inlineStr">
        <is>
          <t>CR-1919</t>
        </is>
      </c>
      <c r="B1922" s="232" t="inlineStr">
        <is>
          <t>2026/27</t>
        </is>
      </c>
      <c r="C1922" s="233" t="n">
        <v>46056</v>
      </c>
      <c r="D1922" s="232" t="inlineStr">
        <is>
          <t>237225</t>
        </is>
      </c>
      <c r="E1922" s="232" t="inlineStr">
        <is>
          <t>PRORRATEO</t>
        </is>
      </c>
      <c r="F1922" s="232" t="inlineStr">
        <is>
          <t>El Molle</t>
        </is>
      </c>
      <c r="G1922" s="232" t="inlineStr">
        <is>
          <t>orogrande 8,11 ha</t>
        </is>
      </c>
      <c r="H1922" s="232" t="inlineStr">
        <is>
          <t>Clementinas</t>
        </is>
      </c>
      <c r="I1922" s="232" t="inlineStr">
        <is>
          <t>Orogrande</t>
        </is>
      </c>
      <c r="J1922" s="232" t="inlineStr">
        <is>
          <t>MATERIALES COSECHA</t>
        </is>
      </c>
      <c r="K1922" s="232" t="inlineStr">
        <is>
          <t>INSUMOS PACKING</t>
        </is>
      </c>
      <c r="L1922" s="232" t="inlineStr">
        <is>
          <t>[PRORRATEO 5.5% 8.11há/148.3há] O/001347 LAPIZ PAST</t>
        </is>
      </c>
      <c r="M1922" s="232" t="inlineStr"/>
      <c r="N1922" s="232" t="inlineStr">
        <is>
          <t>.   .   -</t>
        </is>
      </c>
      <c r="O1922" s="232" t="inlineStr">
        <is>
          <t>FEBRERO</t>
        </is>
      </c>
      <c r="P1922" s="232" t="n">
        <v>5</v>
      </c>
      <c r="Q1922" s="234" t="n">
        <v>864</v>
      </c>
      <c r="R1922" s="232" t="inlineStr"/>
      <c r="S1922" s="234" t="n">
        <v>864</v>
      </c>
      <c r="T1922" s="232" t="inlineStr">
        <is>
          <t>CLP</t>
        </is>
      </c>
      <c r="U1922" s="232" t="inlineStr">
        <is>
          <t>Prorrateo Ha PACKING</t>
        </is>
      </c>
      <c r="V1922" s="232" t="inlineStr">
        <is>
          <t>2026-06-18</t>
        </is>
      </c>
    </row>
    <row r="1923">
      <c r="A1923" s="232" t="inlineStr">
        <is>
          <t>CR-1920</t>
        </is>
      </c>
      <c r="B1923" s="232" t="inlineStr">
        <is>
          <t>2026/27</t>
        </is>
      </c>
      <c r="C1923" s="233" t="n">
        <v>46056</v>
      </c>
      <c r="D1923" s="232" t="inlineStr">
        <is>
          <t>237225</t>
        </is>
      </c>
      <c r="E1923" s="232" t="inlineStr">
        <is>
          <t>PRORRATEO</t>
        </is>
      </c>
      <c r="F1923" s="232" t="inlineStr">
        <is>
          <t>El Molle</t>
        </is>
      </c>
      <c r="G1923" s="232" t="inlineStr">
        <is>
          <t>oronules 5,35 ha</t>
        </is>
      </c>
      <c r="H1923" s="232" t="inlineStr">
        <is>
          <t>Clementinas</t>
        </is>
      </c>
      <c r="I1923" s="232" t="inlineStr">
        <is>
          <t>Oronules</t>
        </is>
      </c>
      <c r="J1923" s="232" t="inlineStr">
        <is>
          <t>MATERIALES COSECHA</t>
        </is>
      </c>
      <c r="K1923" s="232" t="inlineStr">
        <is>
          <t>INSUMOS PACKING</t>
        </is>
      </c>
      <c r="L1923" s="232" t="inlineStr">
        <is>
          <t>[PRORRATEO 3.6% 5.35há/148.3há] O/001347 LAPIZ PAST</t>
        </is>
      </c>
      <c r="M1923" s="232" t="inlineStr"/>
      <c r="N1923" s="232" t="inlineStr">
        <is>
          <t>.   .   -</t>
        </is>
      </c>
      <c r="O1923" s="232" t="inlineStr">
        <is>
          <t>FEBRERO</t>
        </is>
      </c>
      <c r="P1923" s="232" t="n">
        <v>5</v>
      </c>
      <c r="Q1923" s="234" t="n">
        <v>570</v>
      </c>
      <c r="R1923" s="232" t="inlineStr"/>
      <c r="S1923" s="234" t="n">
        <v>570</v>
      </c>
      <c r="T1923" s="232" t="inlineStr">
        <is>
          <t>CLP</t>
        </is>
      </c>
      <c r="U1923" s="232" t="inlineStr">
        <is>
          <t>Prorrateo Ha PACKING</t>
        </is>
      </c>
      <c r="V1923" s="232" t="inlineStr">
        <is>
          <t>2026-06-18</t>
        </is>
      </c>
    </row>
    <row r="1924">
      <c r="A1924" s="232" t="inlineStr">
        <is>
          <t>CR-1921</t>
        </is>
      </c>
      <c r="B1924" s="232" t="inlineStr">
        <is>
          <t>2026/27</t>
        </is>
      </c>
      <c r="C1924" s="233" t="n">
        <v>46056</v>
      </c>
      <c r="D1924" s="232" t="inlineStr">
        <is>
          <t>237225</t>
        </is>
      </c>
      <c r="E1924" s="232" t="inlineStr">
        <is>
          <t>PRORRATEO</t>
        </is>
      </c>
      <c r="F1924" s="232" t="inlineStr">
        <is>
          <t>Santa Catalina</t>
        </is>
      </c>
      <c r="G1924" s="232" t="inlineStr">
        <is>
          <t>Fino 49 7,7 ha</t>
        </is>
      </c>
      <c r="H1924" s="232" t="inlineStr">
        <is>
          <t>Limon</t>
        </is>
      </c>
      <c r="I1924" s="232" t="inlineStr">
        <is>
          <t>Fino 49</t>
        </is>
      </c>
      <c r="J1924" s="232" t="inlineStr">
        <is>
          <t>MATERIALES COSECHA</t>
        </is>
      </c>
      <c r="K1924" s="232" t="inlineStr">
        <is>
          <t>INSUMOS PACKING</t>
        </is>
      </c>
      <c r="L1924" s="232" t="inlineStr">
        <is>
          <t>[PRORRATEO 5.2% 7.7há/148.3há] O/001347 LAPIZ PAST</t>
        </is>
      </c>
      <c r="M1924" s="232" t="inlineStr"/>
      <c r="N1924" s="232" t="inlineStr">
        <is>
          <t>.   .   -</t>
        </is>
      </c>
      <c r="O1924" s="232" t="inlineStr">
        <is>
          <t>FEBRERO</t>
        </is>
      </c>
      <c r="P1924" s="232" t="n">
        <v>5</v>
      </c>
      <c r="Q1924" s="234" t="n">
        <v>821</v>
      </c>
      <c r="R1924" s="232" t="inlineStr"/>
      <c r="S1924" s="234" t="n">
        <v>821</v>
      </c>
      <c r="T1924" s="232" t="inlineStr">
        <is>
          <t>CLP</t>
        </is>
      </c>
      <c r="U1924" s="232" t="inlineStr">
        <is>
          <t>Prorrateo Ha PACKING</t>
        </is>
      </c>
      <c r="V1924" s="232" t="inlineStr">
        <is>
          <t>2026-06-18</t>
        </is>
      </c>
    </row>
    <row r="1925">
      <c r="A1925" s="232" t="inlineStr">
        <is>
          <t>CR-1922</t>
        </is>
      </c>
      <c r="B1925" s="232" t="inlineStr">
        <is>
          <t>2026/27</t>
        </is>
      </c>
      <c r="C1925" s="233" t="n">
        <v>46056</v>
      </c>
      <c r="D1925" s="232" t="inlineStr">
        <is>
          <t>237225</t>
        </is>
      </c>
      <c r="E1925" s="232" t="inlineStr">
        <is>
          <t>PRORRATEO</t>
        </is>
      </c>
      <c r="F1925" s="232" t="inlineStr">
        <is>
          <t>Santa Catalina</t>
        </is>
      </c>
      <c r="G1925" s="232" t="inlineStr">
        <is>
          <t>W. murcott 21 ha</t>
        </is>
      </c>
      <c r="H1925" s="232" t="inlineStr">
        <is>
          <t>Mandarina</t>
        </is>
      </c>
      <c r="I1925" s="232" t="inlineStr">
        <is>
          <t>W. murcott</t>
        </is>
      </c>
      <c r="J1925" s="232" t="inlineStr">
        <is>
          <t>MATERIALES COSECHA</t>
        </is>
      </c>
      <c r="K1925" s="232" t="inlineStr">
        <is>
          <t>INSUMOS PACKING</t>
        </is>
      </c>
      <c r="L1925" s="232" t="inlineStr">
        <is>
          <t>[PRORRATEO 14.2% 21.0há/148.3há] O/001347 LAPIZ PAST</t>
        </is>
      </c>
      <c r="M1925" s="232" t="inlineStr"/>
      <c r="N1925" s="232" t="inlineStr">
        <is>
          <t>.   .   -</t>
        </is>
      </c>
      <c r="O1925" s="232" t="inlineStr">
        <is>
          <t>FEBRERO</t>
        </is>
      </c>
      <c r="P1925" s="232" t="n">
        <v>5</v>
      </c>
      <c r="Q1925" s="234" t="n">
        <v>2238</v>
      </c>
      <c r="R1925" s="232" t="inlineStr"/>
      <c r="S1925" s="234" t="n">
        <v>2238</v>
      </c>
      <c r="T1925" s="232" t="inlineStr">
        <is>
          <t>CLP</t>
        </is>
      </c>
      <c r="U1925" s="232" t="inlineStr">
        <is>
          <t>Prorrateo Ha PACKING</t>
        </is>
      </c>
      <c r="V1925" s="232" t="inlineStr">
        <is>
          <t>2026-06-18</t>
        </is>
      </c>
    </row>
    <row r="1926">
      <c r="A1926" s="232" t="inlineStr">
        <is>
          <t>CR-1923</t>
        </is>
      </c>
      <c r="B1926" s="232" t="inlineStr">
        <is>
          <t>2026/27</t>
        </is>
      </c>
      <c r="C1926" s="233" t="n">
        <v>46056</v>
      </c>
      <c r="D1926" s="232" t="inlineStr">
        <is>
          <t>237225</t>
        </is>
      </c>
      <c r="E1926" s="232" t="inlineStr">
        <is>
          <t>PRORRATEO</t>
        </is>
      </c>
      <c r="F1926" s="232" t="inlineStr">
        <is>
          <t>Santa Catalina</t>
        </is>
      </c>
      <c r="G1926" s="232" t="inlineStr">
        <is>
          <t>cambria 4,2 ha</t>
        </is>
      </c>
      <c r="H1926" s="232" t="inlineStr">
        <is>
          <t>Naranjas</t>
        </is>
      </c>
      <c r="I1926" s="232" t="inlineStr">
        <is>
          <t>Cambria</t>
        </is>
      </c>
      <c r="J1926" s="232" t="inlineStr">
        <is>
          <t>MATERIALES COSECHA</t>
        </is>
      </c>
      <c r="K1926" s="232" t="inlineStr">
        <is>
          <t>INSUMOS PACKING</t>
        </is>
      </c>
      <c r="L1926" s="232" t="inlineStr">
        <is>
          <t>[PRORRATEO 2.8% 4.2há/148.3há] O/001347 LAPIZ PAST</t>
        </is>
      </c>
      <c r="M1926" s="232" t="inlineStr"/>
      <c r="N1926" s="232" t="inlineStr">
        <is>
          <t>.   .   -</t>
        </is>
      </c>
      <c r="O1926" s="232" t="inlineStr">
        <is>
          <t>FEBRERO</t>
        </is>
      </c>
      <c r="P1926" s="232" t="n">
        <v>5</v>
      </c>
      <c r="Q1926" s="234" t="n">
        <v>448</v>
      </c>
      <c r="R1926" s="232" t="inlineStr"/>
      <c r="S1926" s="234" t="n">
        <v>448</v>
      </c>
      <c r="T1926" s="232" t="inlineStr">
        <is>
          <t>CLP</t>
        </is>
      </c>
      <c r="U1926" s="232" t="inlineStr">
        <is>
          <t>Prorrateo Ha PACKING</t>
        </is>
      </c>
      <c r="V1926" s="232" t="inlineStr">
        <is>
          <t>2026-06-18</t>
        </is>
      </c>
    </row>
    <row r="1927">
      <c r="A1927" s="232" t="inlineStr">
        <is>
          <t>CR-1924</t>
        </is>
      </c>
      <c r="B1927" s="232" t="inlineStr">
        <is>
          <t>2026/27</t>
        </is>
      </c>
      <c r="C1927" s="233" t="n">
        <v>46056</v>
      </c>
      <c r="D1927" s="232" t="inlineStr">
        <is>
          <t>237225</t>
        </is>
      </c>
      <c r="E1927" s="232" t="inlineStr">
        <is>
          <t>PRORRATEO</t>
        </is>
      </c>
      <c r="F1927" s="232" t="inlineStr">
        <is>
          <t>Santa Catalina</t>
        </is>
      </c>
      <c r="G1927" s="232" t="inlineStr">
        <is>
          <t>eureka 10,6 ha</t>
        </is>
      </c>
      <c r="H1927" s="232" t="inlineStr">
        <is>
          <t>Limon</t>
        </is>
      </c>
      <c r="I1927" s="232" t="inlineStr">
        <is>
          <t>Eureka</t>
        </is>
      </c>
      <c r="J1927" s="232" t="inlineStr">
        <is>
          <t>MATERIALES COSECHA</t>
        </is>
      </c>
      <c r="K1927" s="232" t="inlineStr">
        <is>
          <t>INSUMOS PACKING</t>
        </is>
      </c>
      <c r="L1927" s="232" t="inlineStr">
        <is>
          <t>[PRORRATEO 7.1% 10.6há/148.3há] O/001347 LAPIZ PAST</t>
        </is>
      </c>
      <c r="M1927" s="232" t="inlineStr"/>
      <c r="N1927" s="232" t="inlineStr">
        <is>
          <t>.   .   -</t>
        </is>
      </c>
      <c r="O1927" s="232" t="inlineStr">
        <is>
          <t>FEBRERO</t>
        </is>
      </c>
      <c r="P1927" s="232" t="n">
        <v>5</v>
      </c>
      <c r="Q1927" s="234" t="n">
        <v>1130</v>
      </c>
      <c r="R1927" s="232" t="inlineStr"/>
      <c r="S1927" s="234" t="n">
        <v>1130</v>
      </c>
      <c r="T1927" s="232" t="inlineStr">
        <is>
          <t>CLP</t>
        </is>
      </c>
      <c r="U1927" s="232" t="inlineStr">
        <is>
          <t>Prorrateo Ha PACKING</t>
        </is>
      </c>
      <c r="V1927" s="232" t="inlineStr">
        <is>
          <t>2026-06-18</t>
        </is>
      </c>
    </row>
    <row r="1928">
      <c r="A1928" s="232" t="inlineStr">
        <is>
          <t>CR-1925</t>
        </is>
      </c>
      <c r="B1928" s="232" t="inlineStr">
        <is>
          <t>2026/27</t>
        </is>
      </c>
      <c r="C1928" s="233" t="n">
        <v>46056</v>
      </c>
      <c r="D1928" s="232" t="inlineStr">
        <is>
          <t>237225</t>
        </is>
      </c>
      <c r="E1928" s="232" t="inlineStr">
        <is>
          <t>PRORRATEO</t>
        </is>
      </c>
      <c r="F1928" s="232" t="inlineStr">
        <is>
          <t>Santa Catalina</t>
        </is>
      </c>
      <c r="G1928" s="232" t="inlineStr">
        <is>
          <t>eureka 14,4 ha</t>
        </is>
      </c>
      <c r="H1928" s="232" t="inlineStr">
        <is>
          <t>Limon</t>
        </is>
      </c>
      <c r="I1928" s="232" t="inlineStr">
        <is>
          <t>Eureka</t>
        </is>
      </c>
      <c r="J1928" s="232" t="inlineStr">
        <is>
          <t>MATERIALES COSECHA</t>
        </is>
      </c>
      <c r="K1928" s="232" t="inlineStr">
        <is>
          <t>INSUMOS PACKING</t>
        </is>
      </c>
      <c r="L1928" s="232" t="inlineStr">
        <is>
          <t>[PRORRATEO 9.7% 14.4há/148.3há] O/001347 LAPIZ PAST</t>
        </is>
      </c>
      <c r="M1928" s="232" t="inlineStr"/>
      <c r="N1928" s="232" t="inlineStr">
        <is>
          <t>.   .   -</t>
        </is>
      </c>
      <c r="O1928" s="232" t="inlineStr">
        <is>
          <t>FEBRERO</t>
        </is>
      </c>
      <c r="P1928" s="232" t="n">
        <v>5</v>
      </c>
      <c r="Q1928" s="234" t="n">
        <v>1535</v>
      </c>
      <c r="R1928" s="232" t="inlineStr"/>
      <c r="S1928" s="234" t="n">
        <v>1535</v>
      </c>
      <c r="T1928" s="232" t="inlineStr">
        <is>
          <t>CLP</t>
        </is>
      </c>
      <c r="U1928" s="232" t="inlineStr">
        <is>
          <t>Prorrateo Ha PACKING</t>
        </is>
      </c>
      <c r="V1928" s="232" t="inlineStr">
        <is>
          <t>2026-06-18</t>
        </is>
      </c>
    </row>
    <row r="1929">
      <c r="A1929" s="232" t="inlineStr">
        <is>
          <t>CR-1926</t>
        </is>
      </c>
      <c r="B1929" s="232" t="inlineStr">
        <is>
          <t>2026/27</t>
        </is>
      </c>
      <c r="C1929" s="233" t="n">
        <v>46056</v>
      </c>
      <c r="D1929" s="232" t="inlineStr">
        <is>
          <t>237225</t>
        </is>
      </c>
      <c r="E1929" s="232" t="inlineStr">
        <is>
          <t>PRORRATEO</t>
        </is>
      </c>
      <c r="F1929" s="232" t="inlineStr">
        <is>
          <t>Santa Catalina</t>
        </is>
      </c>
      <c r="G1929" s="232" t="inlineStr">
        <is>
          <t>eureka 22,55</t>
        </is>
      </c>
      <c r="H1929" s="232" t="inlineStr">
        <is>
          <t>Limon</t>
        </is>
      </c>
      <c r="I1929" s="232" t="inlineStr">
        <is>
          <t>Eureka</t>
        </is>
      </c>
      <c r="J1929" s="232" t="inlineStr">
        <is>
          <t>MATERIALES COSECHA</t>
        </is>
      </c>
      <c r="K1929" s="232" t="inlineStr">
        <is>
          <t>INSUMOS PACKING</t>
        </is>
      </c>
      <c r="L1929" s="232" t="inlineStr">
        <is>
          <t>[PRORRATEO 15.2% 22.55há/148.3há] O/001347 LAPIZ PAST</t>
        </is>
      </c>
      <c r="M1929" s="232" t="inlineStr"/>
      <c r="N1929" s="232" t="inlineStr">
        <is>
          <t>.   .   -</t>
        </is>
      </c>
      <c r="O1929" s="232" t="inlineStr">
        <is>
          <t>FEBRERO</t>
        </is>
      </c>
      <c r="P1929" s="232" t="n">
        <v>5</v>
      </c>
      <c r="Q1929" s="234" t="n">
        <v>2403</v>
      </c>
      <c r="R1929" s="232" t="inlineStr"/>
      <c r="S1929" s="234" t="n">
        <v>2403</v>
      </c>
      <c r="T1929" s="232" t="inlineStr">
        <is>
          <t>CLP</t>
        </is>
      </c>
      <c r="U1929" s="232" t="inlineStr">
        <is>
          <t>Prorrateo Ha PACKING</t>
        </is>
      </c>
      <c r="V1929" s="232" t="inlineStr">
        <is>
          <t>2026-06-18</t>
        </is>
      </c>
    </row>
    <row r="1930">
      <c r="A1930" s="232" t="inlineStr">
        <is>
          <t>CR-1927</t>
        </is>
      </c>
      <c r="B1930" s="232" t="inlineStr">
        <is>
          <t>2026/27</t>
        </is>
      </c>
      <c r="C1930" s="233" t="n">
        <v>46056</v>
      </c>
      <c r="D1930" s="232" t="inlineStr">
        <is>
          <t>237225</t>
        </is>
      </c>
      <c r="E1930" s="232" t="inlineStr">
        <is>
          <t>PRORRATEO</t>
        </is>
      </c>
      <c r="F1930" s="232" t="inlineStr">
        <is>
          <t>Santa Catalina</t>
        </is>
      </c>
      <c r="G1930" s="232" t="inlineStr">
        <is>
          <t>form benjamin 1,93 ha</t>
        </is>
      </c>
      <c r="H1930" s="232" t="inlineStr">
        <is>
          <t>Limon</t>
        </is>
      </c>
      <c r="I1930" s="232" t="inlineStr">
        <is>
          <t>Benjamin andes</t>
        </is>
      </c>
      <c r="J1930" s="232" t="inlineStr">
        <is>
          <t>MATERIALES COSECHA</t>
        </is>
      </c>
      <c r="K1930" s="232" t="inlineStr">
        <is>
          <t>INSUMOS PACKING</t>
        </is>
      </c>
      <c r="L1930" s="232" t="inlineStr">
        <is>
          <t>[PRORRATEO 1.3% 1.93há/148.3há] O/001347 LAPIZ PAST</t>
        </is>
      </c>
      <c r="M1930" s="232" t="inlineStr"/>
      <c r="N1930" s="232" t="inlineStr">
        <is>
          <t>.   .   -</t>
        </is>
      </c>
      <c r="O1930" s="232" t="inlineStr">
        <is>
          <t>FEBRERO</t>
        </is>
      </c>
      <c r="P1930" s="232" t="n">
        <v>5</v>
      </c>
      <c r="Q1930" s="234" t="n">
        <v>206</v>
      </c>
      <c r="R1930" s="232" t="inlineStr"/>
      <c r="S1930" s="234" t="n">
        <v>206</v>
      </c>
      <c r="T1930" s="232" t="inlineStr">
        <is>
          <t>CLP</t>
        </is>
      </c>
      <c r="U1930" s="232" t="inlineStr">
        <is>
          <t>Prorrateo Ha PACKING</t>
        </is>
      </c>
      <c r="V1930" s="232" t="inlineStr">
        <is>
          <t>2026-06-18</t>
        </is>
      </c>
    </row>
    <row r="1931">
      <c r="A1931" s="232" t="inlineStr">
        <is>
          <t>CR-1928</t>
        </is>
      </c>
      <c r="B1931" s="232" t="inlineStr">
        <is>
          <t>2026/27</t>
        </is>
      </c>
      <c r="C1931" s="233" t="n">
        <v>46056</v>
      </c>
      <c r="D1931" s="232" t="inlineStr">
        <is>
          <t>237225</t>
        </is>
      </c>
      <c r="E1931" s="232" t="inlineStr">
        <is>
          <t>PRORRATEO</t>
        </is>
      </c>
      <c r="F1931" s="232" t="inlineStr">
        <is>
          <t>Santa Catalina</t>
        </is>
      </c>
      <c r="G1931" s="232" t="inlineStr">
        <is>
          <t>mant eureka 2,5 ha</t>
        </is>
      </c>
      <c r="H1931" s="232" t="inlineStr">
        <is>
          <t>Limon</t>
        </is>
      </c>
      <c r="I1931" s="232" t="inlineStr">
        <is>
          <t>Eureka</t>
        </is>
      </c>
      <c r="J1931" s="232" t="inlineStr">
        <is>
          <t>MATERIALES COSECHA</t>
        </is>
      </c>
      <c r="K1931" s="232" t="inlineStr">
        <is>
          <t>INSUMOS PACKING</t>
        </is>
      </c>
      <c r="L1931" s="232" t="inlineStr">
        <is>
          <t>[PRORRATEO 1.7% 2.5há/148.3há] O/001347 LAPIZ PAST</t>
        </is>
      </c>
      <c r="M1931" s="232" t="inlineStr"/>
      <c r="N1931" s="232" t="inlineStr">
        <is>
          <t>.   .   -</t>
        </is>
      </c>
      <c r="O1931" s="232" t="inlineStr">
        <is>
          <t>FEBRERO</t>
        </is>
      </c>
      <c r="P1931" s="232" t="n">
        <v>5</v>
      </c>
      <c r="Q1931" s="234" t="n">
        <v>266</v>
      </c>
      <c r="R1931" s="232" t="inlineStr"/>
      <c r="S1931" s="234" t="n">
        <v>266</v>
      </c>
      <c r="T1931" s="232" t="inlineStr">
        <is>
          <t>CLP</t>
        </is>
      </c>
      <c r="U1931" s="232" t="inlineStr">
        <is>
          <t>Prorrateo Ha PACKING</t>
        </is>
      </c>
      <c r="V1931" s="232" t="inlineStr">
        <is>
          <t>2026-06-18</t>
        </is>
      </c>
    </row>
    <row r="1932">
      <c r="A1932" s="232" t="inlineStr">
        <is>
          <t>CR-1929</t>
        </is>
      </c>
      <c r="B1932" s="232" t="inlineStr">
        <is>
          <t>2026/27</t>
        </is>
      </c>
      <c r="C1932" s="233" t="n">
        <v>46056</v>
      </c>
      <c r="D1932" s="232" t="inlineStr">
        <is>
          <t>237225</t>
        </is>
      </c>
      <c r="E1932" s="232" t="inlineStr">
        <is>
          <t>PRORRATEO</t>
        </is>
      </c>
      <c r="F1932" s="232" t="inlineStr">
        <is>
          <t>Siberia</t>
        </is>
      </c>
      <c r="G1932" s="232" t="inlineStr">
        <is>
          <t>S. Celebration 7,14</t>
        </is>
      </c>
      <c r="H1932" s="232" t="inlineStr">
        <is>
          <t>Uvas</t>
        </is>
      </c>
      <c r="I1932" s="232" t="inlineStr">
        <is>
          <t>S. celebration</t>
        </is>
      </c>
      <c r="J1932" s="232" t="inlineStr">
        <is>
          <t>MATERIALES COSECHA</t>
        </is>
      </c>
      <c r="K1932" s="232" t="inlineStr">
        <is>
          <t>INSUMOS PACKING</t>
        </is>
      </c>
      <c r="L1932" s="232" t="inlineStr">
        <is>
          <t>[PRORRATEO 4.8% 7.14há/148.3há] O/001347 LAPIZ PAST</t>
        </is>
      </c>
      <c r="M1932" s="232" t="inlineStr"/>
      <c r="N1932" s="232" t="inlineStr">
        <is>
          <t>.   .   -</t>
        </is>
      </c>
      <c r="O1932" s="232" t="inlineStr">
        <is>
          <t>FEBRERO</t>
        </is>
      </c>
      <c r="P1932" s="232" t="n">
        <v>5</v>
      </c>
      <c r="Q1932" s="234" t="n">
        <v>761</v>
      </c>
      <c r="R1932" s="232" t="inlineStr"/>
      <c r="S1932" s="234" t="n">
        <v>761</v>
      </c>
      <c r="T1932" s="232" t="inlineStr">
        <is>
          <t>CLP</t>
        </is>
      </c>
      <c r="U1932" s="232" t="inlineStr">
        <is>
          <t>Prorrateo Ha PACKING</t>
        </is>
      </c>
      <c r="V1932" s="232" t="inlineStr">
        <is>
          <t>2026-06-18</t>
        </is>
      </c>
    </row>
    <row r="1933">
      <c r="A1933" s="232" t="inlineStr">
        <is>
          <t>CR-1930</t>
        </is>
      </c>
      <c r="B1933" s="232" t="inlineStr">
        <is>
          <t>2026/27</t>
        </is>
      </c>
      <c r="C1933" s="233" t="n">
        <v>46056</v>
      </c>
      <c r="D1933" s="232" t="inlineStr">
        <is>
          <t>237225</t>
        </is>
      </c>
      <c r="E1933" s="232" t="inlineStr">
        <is>
          <t>PRORRATEO</t>
        </is>
      </c>
      <c r="F1933" s="232" t="inlineStr">
        <is>
          <t>Siberia</t>
        </is>
      </c>
      <c r="G1933" s="232" t="inlineStr">
        <is>
          <t>Timpson 7,1</t>
        </is>
      </c>
      <c r="H1933" s="232" t="inlineStr">
        <is>
          <t>Uvas</t>
        </is>
      </c>
      <c r="I1933" s="232" t="inlineStr">
        <is>
          <t>Timpson</t>
        </is>
      </c>
      <c r="J1933" s="232" t="inlineStr">
        <is>
          <t>MATERIALES COSECHA</t>
        </is>
      </c>
      <c r="K1933" s="232" t="inlineStr">
        <is>
          <t>INSUMOS PACKING</t>
        </is>
      </c>
      <c r="L1933" s="232" t="inlineStr">
        <is>
          <t>[PRORRATEO 4.8% 7.1há/148.3há] O/001347 LAPIZ PAST</t>
        </is>
      </c>
      <c r="M1933" s="232" t="inlineStr"/>
      <c r="N1933" s="232" t="inlineStr">
        <is>
          <t>.   .   -</t>
        </is>
      </c>
      <c r="O1933" s="232" t="inlineStr">
        <is>
          <t>FEBRERO</t>
        </is>
      </c>
      <c r="P1933" s="232" t="n">
        <v>5</v>
      </c>
      <c r="Q1933" s="234" t="n">
        <v>757</v>
      </c>
      <c r="R1933" s="232" t="inlineStr"/>
      <c r="S1933" s="234" t="n">
        <v>757</v>
      </c>
      <c r="T1933" s="232" t="inlineStr">
        <is>
          <t>CLP</t>
        </is>
      </c>
      <c r="U1933" s="232" t="inlineStr">
        <is>
          <t>Prorrateo Ha PACKING</t>
        </is>
      </c>
      <c r="V1933" s="232" t="inlineStr">
        <is>
          <t>2026-06-18</t>
        </is>
      </c>
    </row>
    <row r="1934">
      <c r="A1934" s="232" t="inlineStr">
        <is>
          <t>CR-1931</t>
        </is>
      </c>
      <c r="B1934" s="232" t="inlineStr">
        <is>
          <t>2026/27</t>
        </is>
      </c>
      <c r="C1934" s="233" t="n">
        <v>46056</v>
      </c>
      <c r="D1934" s="232" t="inlineStr">
        <is>
          <t>237225</t>
        </is>
      </c>
      <c r="E1934" s="232" t="inlineStr">
        <is>
          <t>PRORRATEO</t>
        </is>
      </c>
      <c r="F1934" s="232" t="inlineStr">
        <is>
          <t>Asmara</t>
        </is>
      </c>
      <c r="G1934" s="232" t="inlineStr">
        <is>
          <t>w. murcott 19,8 ha</t>
        </is>
      </c>
      <c r="H1934" s="232" t="inlineStr">
        <is>
          <t>Mandarina</t>
        </is>
      </c>
      <c r="I1934" s="232" t="inlineStr">
        <is>
          <t>W. murcott</t>
        </is>
      </c>
      <c r="J1934" s="232" t="inlineStr">
        <is>
          <t>MATERIALES COSECHA</t>
        </is>
      </c>
      <c r="K1934" s="232" t="inlineStr">
        <is>
          <t>INSUMOS PACKING</t>
        </is>
      </c>
      <c r="L1934" s="232" t="inlineStr">
        <is>
          <t>[PRORRATEO 13.4% 19.8há/148.3há] O/001347 PAÃ‘O MULT</t>
        </is>
      </c>
      <c r="M1934" s="232" t="inlineStr"/>
      <c r="N1934" s="232" t="inlineStr">
        <is>
          <t>.   .   -</t>
        </is>
      </c>
      <c r="O1934" s="232" t="inlineStr">
        <is>
          <t>FEBRERO</t>
        </is>
      </c>
      <c r="P1934" s="232" t="n">
        <v>5</v>
      </c>
      <c r="Q1934" s="234" t="n">
        <v>4434</v>
      </c>
      <c r="R1934" s="232" t="inlineStr"/>
      <c r="S1934" s="234" t="n">
        <v>4434</v>
      </c>
      <c r="T1934" s="232" t="inlineStr">
        <is>
          <t>CLP</t>
        </is>
      </c>
      <c r="U1934" s="232" t="inlineStr">
        <is>
          <t>Prorrateo Ha PACKING</t>
        </is>
      </c>
      <c r="V1934" s="232" t="inlineStr">
        <is>
          <t>2026-06-18</t>
        </is>
      </c>
    </row>
    <row r="1935">
      <c r="A1935" s="232" t="inlineStr">
        <is>
          <t>CR-1932</t>
        </is>
      </c>
      <c r="B1935" s="232" t="inlineStr">
        <is>
          <t>2026/27</t>
        </is>
      </c>
      <c r="C1935" s="233" t="n">
        <v>46056</v>
      </c>
      <c r="D1935" s="232" t="inlineStr">
        <is>
          <t>237225</t>
        </is>
      </c>
      <c r="E1935" s="232" t="inlineStr">
        <is>
          <t>PRORRATEO</t>
        </is>
      </c>
      <c r="F1935" s="232" t="inlineStr">
        <is>
          <t>Asmara</t>
        </is>
      </c>
      <c r="G1935" s="232" t="inlineStr">
        <is>
          <t>w. murcott 4,9 ha</t>
        </is>
      </c>
      <c r="H1935" s="232" t="inlineStr">
        <is>
          <t>Mandarina</t>
        </is>
      </c>
      <c r="I1935" s="232" t="inlineStr">
        <is>
          <t>W. murcott</t>
        </is>
      </c>
      <c r="J1935" s="232" t="inlineStr">
        <is>
          <t>MATERIALES COSECHA</t>
        </is>
      </c>
      <c r="K1935" s="232" t="inlineStr">
        <is>
          <t>INSUMOS PACKING</t>
        </is>
      </c>
      <c r="L1935" s="232" t="inlineStr">
        <is>
          <t>[PRORRATEO 3.3% 4.9há/148.3há] O/001347 PAÃ‘O MULT</t>
        </is>
      </c>
      <c r="M1935" s="232" t="inlineStr"/>
      <c r="N1935" s="232" t="inlineStr">
        <is>
          <t>.   .   -</t>
        </is>
      </c>
      <c r="O1935" s="232" t="inlineStr">
        <is>
          <t>FEBRERO</t>
        </is>
      </c>
      <c r="P1935" s="232" t="n">
        <v>5</v>
      </c>
      <c r="Q1935" s="234" t="n">
        <v>1097</v>
      </c>
      <c r="R1935" s="232" t="inlineStr"/>
      <c r="S1935" s="234" t="n">
        <v>1097</v>
      </c>
      <c r="T1935" s="232" t="inlineStr">
        <is>
          <t>CLP</t>
        </is>
      </c>
      <c r="U1935" s="232" t="inlineStr">
        <is>
          <t>Prorrateo Ha PACKING</t>
        </is>
      </c>
      <c r="V1935" s="232" t="inlineStr">
        <is>
          <t>2026-06-18</t>
        </is>
      </c>
    </row>
    <row r="1936">
      <c r="A1936" s="232" t="inlineStr">
        <is>
          <t>CR-1933</t>
        </is>
      </c>
      <c r="B1936" s="232" t="inlineStr">
        <is>
          <t>2026/27</t>
        </is>
      </c>
      <c r="C1936" s="233" t="n">
        <v>46056</v>
      </c>
      <c r="D1936" s="232" t="inlineStr">
        <is>
          <t>237225</t>
        </is>
      </c>
      <c r="E1936" s="232" t="inlineStr">
        <is>
          <t>PRORRATEO</t>
        </is>
      </c>
      <c r="F1936" s="232" t="inlineStr">
        <is>
          <t>El Molle</t>
        </is>
      </c>
      <c r="G1936" s="232" t="inlineStr">
        <is>
          <t>Wonderful 5,25 ha</t>
        </is>
      </c>
      <c r="H1936" s="232" t="inlineStr">
        <is>
          <t>Granados</t>
        </is>
      </c>
      <c r="I1936" s="232" t="inlineStr">
        <is>
          <t>Wonderfull</t>
        </is>
      </c>
      <c r="J1936" s="232" t="inlineStr">
        <is>
          <t>MATERIALES COSECHA</t>
        </is>
      </c>
      <c r="K1936" s="232" t="inlineStr">
        <is>
          <t>INSUMOS PACKING</t>
        </is>
      </c>
      <c r="L1936" s="232" t="inlineStr">
        <is>
          <t>[PRORRATEO 3.5% 5.24há/148.3há] O/001347 PAÃ‘O MULT</t>
        </is>
      </c>
      <c r="M1936" s="232" t="inlineStr"/>
      <c r="N1936" s="232" t="inlineStr">
        <is>
          <t>.   .   -</t>
        </is>
      </c>
      <c r="O1936" s="232" t="inlineStr">
        <is>
          <t>FEBRERO</t>
        </is>
      </c>
      <c r="P1936" s="232" t="n">
        <v>5</v>
      </c>
      <c r="Q1936" s="234" t="n">
        <v>1173</v>
      </c>
      <c r="R1936" s="232" t="inlineStr"/>
      <c r="S1936" s="234" t="n">
        <v>1173</v>
      </c>
      <c r="T1936" s="232" t="inlineStr">
        <is>
          <t>CLP</t>
        </is>
      </c>
      <c r="U1936" s="232" t="inlineStr">
        <is>
          <t>Prorrateo Ha PACKING</t>
        </is>
      </c>
      <c r="V1936" s="232" t="inlineStr">
        <is>
          <t>2026-06-18</t>
        </is>
      </c>
    </row>
    <row r="1937">
      <c r="A1937" s="232" t="inlineStr">
        <is>
          <t>CR-1934</t>
        </is>
      </c>
      <c r="B1937" s="232" t="inlineStr">
        <is>
          <t>2026/27</t>
        </is>
      </c>
      <c r="C1937" s="233" t="n">
        <v>46056</v>
      </c>
      <c r="D1937" s="232" t="inlineStr">
        <is>
          <t>237225</t>
        </is>
      </c>
      <c r="E1937" s="232" t="inlineStr">
        <is>
          <t>PRORRATEO</t>
        </is>
      </c>
      <c r="F1937" s="232" t="inlineStr">
        <is>
          <t>El Molle</t>
        </is>
      </c>
      <c r="G1937" s="232" t="inlineStr">
        <is>
          <t>arrufatinas 5,74 ha</t>
        </is>
      </c>
      <c r="H1937" s="232" t="inlineStr">
        <is>
          <t>Clementinas</t>
        </is>
      </c>
      <c r="I1937" s="232" t="inlineStr">
        <is>
          <t>Arrufatinas</t>
        </is>
      </c>
      <c r="J1937" s="232" t="inlineStr">
        <is>
          <t>MATERIALES COSECHA</t>
        </is>
      </c>
      <c r="K1937" s="232" t="inlineStr">
        <is>
          <t>INSUMOS PACKING</t>
        </is>
      </c>
      <c r="L1937" s="232" t="inlineStr">
        <is>
          <t>[PRORRATEO 3.9% 5.74há/148.3há] O/001347 PAÃ‘O MULT</t>
        </is>
      </c>
      <c r="M1937" s="232" t="inlineStr"/>
      <c r="N1937" s="232" t="inlineStr">
        <is>
          <t>.   .   -</t>
        </is>
      </c>
      <c r="O1937" s="232" t="inlineStr">
        <is>
          <t>FEBRERO</t>
        </is>
      </c>
      <c r="P1937" s="232" t="n">
        <v>5</v>
      </c>
      <c r="Q1937" s="234" t="n">
        <v>1285</v>
      </c>
      <c r="R1937" s="232" t="inlineStr"/>
      <c r="S1937" s="234" t="n">
        <v>1285</v>
      </c>
      <c r="T1937" s="232" t="inlineStr">
        <is>
          <t>CLP</t>
        </is>
      </c>
      <c r="U1937" s="232" t="inlineStr">
        <is>
          <t>Prorrateo Ha PACKING</t>
        </is>
      </c>
      <c r="V1937" s="232" t="inlineStr">
        <is>
          <t>2026-06-18</t>
        </is>
      </c>
    </row>
    <row r="1938">
      <c r="A1938" s="232" t="inlineStr">
        <is>
          <t>CR-1935</t>
        </is>
      </c>
      <c r="B1938" s="232" t="inlineStr">
        <is>
          <t>2026/27</t>
        </is>
      </c>
      <c r="C1938" s="233" t="n">
        <v>46056</v>
      </c>
      <c r="D1938" s="232" t="inlineStr">
        <is>
          <t>237225</t>
        </is>
      </c>
      <c r="E1938" s="232" t="inlineStr">
        <is>
          <t>PRORRATEO</t>
        </is>
      </c>
      <c r="F1938" s="232" t="inlineStr">
        <is>
          <t>El Molle</t>
        </is>
      </c>
      <c r="G1938" s="232" t="inlineStr">
        <is>
          <t>orogrande 8,11 ha</t>
        </is>
      </c>
      <c r="H1938" s="232" t="inlineStr">
        <is>
          <t>Clementinas</t>
        </is>
      </c>
      <c r="I1938" s="232" t="inlineStr">
        <is>
          <t>Orogrande</t>
        </is>
      </c>
      <c r="J1938" s="232" t="inlineStr">
        <is>
          <t>MATERIALES COSECHA</t>
        </is>
      </c>
      <c r="K1938" s="232" t="inlineStr">
        <is>
          <t>INSUMOS PACKING</t>
        </is>
      </c>
      <c r="L1938" s="232" t="inlineStr">
        <is>
          <t>[PRORRATEO 5.5% 8.11há/148.3há] O/001347 PAÃ‘O MULT</t>
        </is>
      </c>
      <c r="M1938" s="232" t="inlineStr"/>
      <c r="N1938" s="232" t="inlineStr">
        <is>
          <t>.   .   -</t>
        </is>
      </c>
      <c r="O1938" s="232" t="inlineStr">
        <is>
          <t>FEBRERO</t>
        </is>
      </c>
      <c r="P1938" s="232" t="n">
        <v>5</v>
      </c>
      <c r="Q1938" s="234" t="n">
        <v>1816</v>
      </c>
      <c r="R1938" s="232" t="inlineStr"/>
      <c r="S1938" s="234" t="n">
        <v>1816</v>
      </c>
      <c r="T1938" s="232" t="inlineStr">
        <is>
          <t>CLP</t>
        </is>
      </c>
      <c r="U1938" s="232" t="inlineStr">
        <is>
          <t>Prorrateo Ha PACKING</t>
        </is>
      </c>
      <c r="V1938" s="232" t="inlineStr">
        <is>
          <t>2026-06-18</t>
        </is>
      </c>
    </row>
    <row r="1939">
      <c r="A1939" s="232" t="inlineStr">
        <is>
          <t>CR-1936</t>
        </is>
      </c>
      <c r="B1939" s="232" t="inlineStr">
        <is>
          <t>2026/27</t>
        </is>
      </c>
      <c r="C1939" s="233" t="n">
        <v>46056</v>
      </c>
      <c r="D1939" s="232" t="inlineStr">
        <is>
          <t>237225</t>
        </is>
      </c>
      <c r="E1939" s="232" t="inlineStr">
        <is>
          <t>PRORRATEO</t>
        </is>
      </c>
      <c r="F1939" s="232" t="inlineStr">
        <is>
          <t>El Molle</t>
        </is>
      </c>
      <c r="G1939" s="232" t="inlineStr">
        <is>
          <t>oronules 5,35 ha</t>
        </is>
      </c>
      <c r="H1939" s="232" t="inlineStr">
        <is>
          <t>Clementinas</t>
        </is>
      </c>
      <c r="I1939" s="232" t="inlineStr">
        <is>
          <t>Oronules</t>
        </is>
      </c>
      <c r="J1939" s="232" t="inlineStr">
        <is>
          <t>MATERIALES COSECHA</t>
        </is>
      </c>
      <c r="K1939" s="232" t="inlineStr">
        <is>
          <t>INSUMOS PACKING</t>
        </is>
      </c>
      <c r="L1939" s="232" t="inlineStr">
        <is>
          <t>[PRORRATEO 3.6% 5.35há/148.3há] O/001347 PAÃ‘O MULT</t>
        </is>
      </c>
      <c r="M1939" s="232" t="inlineStr"/>
      <c r="N1939" s="232" t="inlineStr">
        <is>
          <t>.   .   -</t>
        </is>
      </c>
      <c r="O1939" s="232" t="inlineStr">
        <is>
          <t>FEBRERO</t>
        </is>
      </c>
      <c r="P1939" s="232" t="n">
        <v>5</v>
      </c>
      <c r="Q1939" s="234" t="n">
        <v>1198</v>
      </c>
      <c r="R1939" s="232" t="inlineStr"/>
      <c r="S1939" s="234" t="n">
        <v>1198</v>
      </c>
      <c r="T1939" s="232" t="inlineStr">
        <is>
          <t>CLP</t>
        </is>
      </c>
      <c r="U1939" s="232" t="inlineStr">
        <is>
          <t>Prorrateo Ha PACKING</t>
        </is>
      </c>
      <c r="V1939" s="232" t="inlineStr">
        <is>
          <t>2026-06-18</t>
        </is>
      </c>
    </row>
    <row r="1940">
      <c r="A1940" s="232" t="inlineStr">
        <is>
          <t>CR-1937</t>
        </is>
      </c>
      <c r="B1940" s="232" t="inlineStr">
        <is>
          <t>2026/27</t>
        </is>
      </c>
      <c r="C1940" s="233" t="n">
        <v>46056</v>
      </c>
      <c r="D1940" s="232" t="inlineStr">
        <is>
          <t>237225</t>
        </is>
      </c>
      <c r="E1940" s="232" t="inlineStr">
        <is>
          <t>PRORRATEO</t>
        </is>
      </c>
      <c r="F1940" s="232" t="inlineStr">
        <is>
          <t>Santa Catalina</t>
        </is>
      </c>
      <c r="G1940" s="232" t="inlineStr">
        <is>
          <t>Fino 49 7,7 ha</t>
        </is>
      </c>
      <c r="H1940" s="232" t="inlineStr">
        <is>
          <t>Limon</t>
        </is>
      </c>
      <c r="I1940" s="232" t="inlineStr">
        <is>
          <t>Fino 49</t>
        </is>
      </c>
      <c r="J1940" s="232" t="inlineStr">
        <is>
          <t>MATERIALES COSECHA</t>
        </is>
      </c>
      <c r="K1940" s="232" t="inlineStr">
        <is>
          <t>INSUMOS PACKING</t>
        </is>
      </c>
      <c r="L1940" s="232" t="inlineStr">
        <is>
          <t>[PRORRATEO 5.2% 7.7há/148.3há] O/001347 PAÃ‘O MULT</t>
        </is>
      </c>
      <c r="M1940" s="232" t="inlineStr"/>
      <c r="N1940" s="232" t="inlineStr">
        <is>
          <t>.   .   -</t>
        </is>
      </c>
      <c r="O1940" s="232" t="inlineStr">
        <is>
          <t>FEBRERO</t>
        </is>
      </c>
      <c r="P1940" s="232" t="n">
        <v>5</v>
      </c>
      <c r="Q1940" s="234" t="n">
        <v>1724</v>
      </c>
      <c r="R1940" s="232" t="inlineStr"/>
      <c r="S1940" s="234" t="n">
        <v>1724</v>
      </c>
      <c r="T1940" s="232" t="inlineStr">
        <is>
          <t>CLP</t>
        </is>
      </c>
      <c r="U1940" s="232" t="inlineStr">
        <is>
          <t>Prorrateo Ha PACKING</t>
        </is>
      </c>
      <c r="V1940" s="232" t="inlineStr">
        <is>
          <t>2026-06-18</t>
        </is>
      </c>
    </row>
    <row r="1941">
      <c r="A1941" s="232" t="inlineStr">
        <is>
          <t>CR-1938</t>
        </is>
      </c>
      <c r="B1941" s="232" t="inlineStr">
        <is>
          <t>2026/27</t>
        </is>
      </c>
      <c r="C1941" s="233" t="n">
        <v>46056</v>
      </c>
      <c r="D1941" s="232" t="inlineStr">
        <is>
          <t>237225</t>
        </is>
      </c>
      <c r="E1941" s="232" t="inlineStr">
        <is>
          <t>PRORRATEO</t>
        </is>
      </c>
      <c r="F1941" s="232" t="inlineStr">
        <is>
          <t>Santa Catalina</t>
        </is>
      </c>
      <c r="G1941" s="232" t="inlineStr">
        <is>
          <t>W. murcott 21 ha</t>
        </is>
      </c>
      <c r="H1941" s="232" t="inlineStr">
        <is>
          <t>Mandarina</t>
        </is>
      </c>
      <c r="I1941" s="232" t="inlineStr">
        <is>
          <t>W. murcott</t>
        </is>
      </c>
      <c r="J1941" s="232" t="inlineStr">
        <is>
          <t>MATERIALES COSECHA</t>
        </is>
      </c>
      <c r="K1941" s="232" t="inlineStr">
        <is>
          <t>INSUMOS PACKING</t>
        </is>
      </c>
      <c r="L1941" s="232" t="inlineStr">
        <is>
          <t>[PRORRATEO 14.2% 21.0há/148.3há] O/001347 PAÃ‘O MULT</t>
        </is>
      </c>
      <c r="M1941" s="232" t="inlineStr"/>
      <c r="N1941" s="232" t="inlineStr">
        <is>
          <t>.   .   -</t>
        </is>
      </c>
      <c r="O1941" s="232" t="inlineStr">
        <is>
          <t>FEBRERO</t>
        </is>
      </c>
      <c r="P1941" s="232" t="n">
        <v>5</v>
      </c>
      <c r="Q1941" s="234" t="n">
        <v>4703</v>
      </c>
      <c r="R1941" s="232" t="inlineStr"/>
      <c r="S1941" s="234" t="n">
        <v>4703</v>
      </c>
      <c r="T1941" s="232" t="inlineStr">
        <is>
          <t>CLP</t>
        </is>
      </c>
      <c r="U1941" s="232" t="inlineStr">
        <is>
          <t>Prorrateo Ha PACKING</t>
        </is>
      </c>
      <c r="V1941" s="232" t="inlineStr">
        <is>
          <t>2026-06-18</t>
        </is>
      </c>
    </row>
    <row r="1942">
      <c r="A1942" s="232" t="inlineStr">
        <is>
          <t>CR-1939</t>
        </is>
      </c>
      <c r="B1942" s="232" t="inlineStr">
        <is>
          <t>2026/27</t>
        </is>
      </c>
      <c r="C1942" s="233" t="n">
        <v>46056</v>
      </c>
      <c r="D1942" s="232" t="inlineStr">
        <is>
          <t>237225</t>
        </is>
      </c>
      <c r="E1942" s="232" t="inlineStr">
        <is>
          <t>PRORRATEO</t>
        </is>
      </c>
      <c r="F1942" s="232" t="inlineStr">
        <is>
          <t>Santa Catalina</t>
        </is>
      </c>
      <c r="G1942" s="232" t="inlineStr">
        <is>
          <t>cambria 4,2 ha</t>
        </is>
      </c>
      <c r="H1942" s="232" t="inlineStr">
        <is>
          <t>Naranjas</t>
        </is>
      </c>
      <c r="I1942" s="232" t="inlineStr">
        <is>
          <t>Cambria</t>
        </is>
      </c>
      <c r="J1942" s="232" t="inlineStr">
        <is>
          <t>MATERIALES COSECHA</t>
        </is>
      </c>
      <c r="K1942" s="232" t="inlineStr">
        <is>
          <t>INSUMOS PACKING</t>
        </is>
      </c>
      <c r="L1942" s="232" t="inlineStr">
        <is>
          <t>[PRORRATEO 2.8% 4.2há/148.3há] O/001347 PAÃ‘O MULT</t>
        </is>
      </c>
      <c r="M1942" s="232" t="inlineStr"/>
      <c r="N1942" s="232" t="inlineStr">
        <is>
          <t>.   .   -</t>
        </is>
      </c>
      <c r="O1942" s="232" t="inlineStr">
        <is>
          <t>FEBRERO</t>
        </is>
      </c>
      <c r="P1942" s="232" t="n">
        <v>5</v>
      </c>
      <c r="Q1942" s="234" t="n">
        <v>941</v>
      </c>
      <c r="R1942" s="232" t="inlineStr"/>
      <c r="S1942" s="234" t="n">
        <v>941</v>
      </c>
      <c r="T1942" s="232" t="inlineStr">
        <is>
          <t>CLP</t>
        </is>
      </c>
      <c r="U1942" s="232" t="inlineStr">
        <is>
          <t>Prorrateo Ha PACKING</t>
        </is>
      </c>
      <c r="V1942" s="232" t="inlineStr">
        <is>
          <t>2026-06-18</t>
        </is>
      </c>
    </row>
    <row r="1943">
      <c r="A1943" s="232" t="inlineStr">
        <is>
          <t>CR-1940</t>
        </is>
      </c>
      <c r="B1943" s="232" t="inlineStr">
        <is>
          <t>2026/27</t>
        </is>
      </c>
      <c r="C1943" s="233" t="n">
        <v>46056</v>
      </c>
      <c r="D1943" s="232" t="inlineStr">
        <is>
          <t>237225</t>
        </is>
      </c>
      <c r="E1943" s="232" t="inlineStr">
        <is>
          <t>PRORRATEO</t>
        </is>
      </c>
      <c r="F1943" s="232" t="inlineStr">
        <is>
          <t>Santa Catalina</t>
        </is>
      </c>
      <c r="G1943" s="232" t="inlineStr">
        <is>
          <t>eureka 10,6 ha</t>
        </is>
      </c>
      <c r="H1943" s="232" t="inlineStr">
        <is>
          <t>Limon</t>
        </is>
      </c>
      <c r="I1943" s="232" t="inlineStr">
        <is>
          <t>Eureka</t>
        </is>
      </c>
      <c r="J1943" s="232" t="inlineStr">
        <is>
          <t>MATERIALES COSECHA</t>
        </is>
      </c>
      <c r="K1943" s="232" t="inlineStr">
        <is>
          <t>INSUMOS PACKING</t>
        </is>
      </c>
      <c r="L1943" s="232" t="inlineStr">
        <is>
          <t>[PRORRATEO 7.1% 10.6há/148.3há] O/001347 PAÃ‘O MULT</t>
        </is>
      </c>
      <c r="M1943" s="232" t="inlineStr"/>
      <c r="N1943" s="232" t="inlineStr">
        <is>
          <t>.   .   -</t>
        </is>
      </c>
      <c r="O1943" s="232" t="inlineStr">
        <is>
          <t>FEBRERO</t>
        </is>
      </c>
      <c r="P1943" s="232" t="n">
        <v>5</v>
      </c>
      <c r="Q1943" s="234" t="n">
        <v>2374</v>
      </c>
      <c r="R1943" s="232" t="inlineStr"/>
      <c r="S1943" s="234" t="n">
        <v>2374</v>
      </c>
      <c r="T1943" s="232" t="inlineStr">
        <is>
          <t>CLP</t>
        </is>
      </c>
      <c r="U1943" s="232" t="inlineStr">
        <is>
          <t>Prorrateo Ha PACKING</t>
        </is>
      </c>
      <c r="V1943" s="232" t="inlineStr">
        <is>
          <t>2026-06-18</t>
        </is>
      </c>
    </row>
    <row r="1944">
      <c r="A1944" s="232" t="inlineStr">
        <is>
          <t>CR-1941</t>
        </is>
      </c>
      <c r="B1944" s="232" t="inlineStr">
        <is>
          <t>2026/27</t>
        </is>
      </c>
      <c r="C1944" s="233" t="n">
        <v>46056</v>
      </c>
      <c r="D1944" s="232" t="inlineStr">
        <is>
          <t>237225</t>
        </is>
      </c>
      <c r="E1944" s="232" t="inlineStr">
        <is>
          <t>PRORRATEO</t>
        </is>
      </c>
      <c r="F1944" s="232" t="inlineStr">
        <is>
          <t>Santa Catalina</t>
        </is>
      </c>
      <c r="G1944" s="232" t="inlineStr">
        <is>
          <t>eureka 14,4 ha</t>
        </is>
      </c>
      <c r="H1944" s="232" t="inlineStr">
        <is>
          <t>Limon</t>
        </is>
      </c>
      <c r="I1944" s="232" t="inlineStr">
        <is>
          <t>Eureka</t>
        </is>
      </c>
      <c r="J1944" s="232" t="inlineStr">
        <is>
          <t>MATERIALES COSECHA</t>
        </is>
      </c>
      <c r="K1944" s="232" t="inlineStr">
        <is>
          <t>INSUMOS PACKING</t>
        </is>
      </c>
      <c r="L1944" s="232" t="inlineStr">
        <is>
          <t>[PRORRATEO 9.7% 14.4há/148.3há] O/001347 PAÃ‘O MULT</t>
        </is>
      </c>
      <c r="M1944" s="232" t="inlineStr"/>
      <c r="N1944" s="232" t="inlineStr">
        <is>
          <t>.   .   -</t>
        </is>
      </c>
      <c r="O1944" s="232" t="inlineStr">
        <is>
          <t>FEBRERO</t>
        </is>
      </c>
      <c r="P1944" s="232" t="n">
        <v>5</v>
      </c>
      <c r="Q1944" s="234" t="n">
        <v>3225</v>
      </c>
      <c r="R1944" s="232" t="inlineStr"/>
      <c r="S1944" s="234" t="n">
        <v>3225</v>
      </c>
      <c r="T1944" s="232" t="inlineStr">
        <is>
          <t>CLP</t>
        </is>
      </c>
      <c r="U1944" s="232" t="inlineStr">
        <is>
          <t>Prorrateo Ha PACKING</t>
        </is>
      </c>
      <c r="V1944" s="232" t="inlineStr">
        <is>
          <t>2026-06-18</t>
        </is>
      </c>
    </row>
    <row r="1945">
      <c r="A1945" s="232" t="inlineStr">
        <is>
          <t>CR-1942</t>
        </is>
      </c>
      <c r="B1945" s="232" t="inlineStr">
        <is>
          <t>2026/27</t>
        </is>
      </c>
      <c r="C1945" s="233" t="n">
        <v>46056</v>
      </c>
      <c r="D1945" s="232" t="inlineStr">
        <is>
          <t>237225</t>
        </is>
      </c>
      <c r="E1945" s="232" t="inlineStr">
        <is>
          <t>PRORRATEO</t>
        </is>
      </c>
      <c r="F1945" s="232" t="inlineStr">
        <is>
          <t>Santa Catalina</t>
        </is>
      </c>
      <c r="G1945" s="232" t="inlineStr">
        <is>
          <t>eureka 22,55</t>
        </is>
      </c>
      <c r="H1945" s="232" t="inlineStr">
        <is>
          <t>Limon</t>
        </is>
      </c>
      <c r="I1945" s="232" t="inlineStr">
        <is>
          <t>Eureka</t>
        </is>
      </c>
      <c r="J1945" s="232" t="inlineStr">
        <is>
          <t>MATERIALES COSECHA</t>
        </is>
      </c>
      <c r="K1945" s="232" t="inlineStr">
        <is>
          <t>INSUMOS PACKING</t>
        </is>
      </c>
      <c r="L1945" s="232" t="inlineStr">
        <is>
          <t>[PRORRATEO 15.2% 22.55há/148.3há] O/001347 PAÃ‘O MULT</t>
        </is>
      </c>
      <c r="M1945" s="232" t="inlineStr"/>
      <c r="N1945" s="232" t="inlineStr">
        <is>
          <t>.   .   -</t>
        </is>
      </c>
      <c r="O1945" s="232" t="inlineStr">
        <is>
          <t>FEBRERO</t>
        </is>
      </c>
      <c r="P1945" s="232" t="n">
        <v>5</v>
      </c>
      <c r="Q1945" s="234" t="n">
        <v>5050</v>
      </c>
      <c r="R1945" s="232" t="inlineStr"/>
      <c r="S1945" s="234" t="n">
        <v>5050</v>
      </c>
      <c r="T1945" s="232" t="inlineStr">
        <is>
          <t>CLP</t>
        </is>
      </c>
      <c r="U1945" s="232" t="inlineStr">
        <is>
          <t>Prorrateo Ha PACKING</t>
        </is>
      </c>
      <c r="V1945" s="232" t="inlineStr">
        <is>
          <t>2026-06-18</t>
        </is>
      </c>
    </row>
    <row r="1946">
      <c r="A1946" s="232" t="inlineStr">
        <is>
          <t>CR-1943</t>
        </is>
      </c>
      <c r="B1946" s="232" t="inlineStr">
        <is>
          <t>2026/27</t>
        </is>
      </c>
      <c r="C1946" s="233" t="n">
        <v>46056</v>
      </c>
      <c r="D1946" s="232" t="inlineStr">
        <is>
          <t>237225</t>
        </is>
      </c>
      <c r="E1946" s="232" t="inlineStr">
        <is>
          <t>PRORRATEO</t>
        </is>
      </c>
      <c r="F1946" s="232" t="inlineStr">
        <is>
          <t>Santa Catalina</t>
        </is>
      </c>
      <c r="G1946" s="232" t="inlineStr">
        <is>
          <t>form benjamin 1,93 ha</t>
        </is>
      </c>
      <c r="H1946" s="232" t="inlineStr">
        <is>
          <t>Limon</t>
        </is>
      </c>
      <c r="I1946" s="232" t="inlineStr">
        <is>
          <t>Benjamin andes</t>
        </is>
      </c>
      <c r="J1946" s="232" t="inlineStr">
        <is>
          <t>MATERIALES COSECHA</t>
        </is>
      </c>
      <c r="K1946" s="232" t="inlineStr">
        <is>
          <t>INSUMOS PACKING</t>
        </is>
      </c>
      <c r="L1946" s="232" t="inlineStr">
        <is>
          <t>[PRORRATEO 1.3% 1.93há/148.3há] O/001347 PAÃ‘O MULT</t>
        </is>
      </c>
      <c r="M1946" s="232" t="inlineStr"/>
      <c r="N1946" s="232" t="inlineStr">
        <is>
          <t>.   .   -</t>
        </is>
      </c>
      <c r="O1946" s="232" t="inlineStr">
        <is>
          <t>FEBRERO</t>
        </is>
      </c>
      <c r="P1946" s="232" t="n">
        <v>5</v>
      </c>
      <c r="Q1946" s="234" t="n">
        <v>432</v>
      </c>
      <c r="R1946" s="232" t="inlineStr"/>
      <c r="S1946" s="234" t="n">
        <v>432</v>
      </c>
      <c r="T1946" s="232" t="inlineStr">
        <is>
          <t>CLP</t>
        </is>
      </c>
      <c r="U1946" s="232" t="inlineStr">
        <is>
          <t>Prorrateo Ha PACKING</t>
        </is>
      </c>
      <c r="V1946" s="232" t="inlineStr">
        <is>
          <t>2026-06-18</t>
        </is>
      </c>
    </row>
    <row r="1947">
      <c r="A1947" s="232" t="inlineStr">
        <is>
          <t>CR-1944</t>
        </is>
      </c>
      <c r="B1947" s="232" t="inlineStr">
        <is>
          <t>2026/27</t>
        </is>
      </c>
      <c r="C1947" s="233" t="n">
        <v>46056</v>
      </c>
      <c r="D1947" s="232" t="inlineStr">
        <is>
          <t>237225</t>
        </is>
      </c>
      <c r="E1947" s="232" t="inlineStr">
        <is>
          <t>PRORRATEO</t>
        </is>
      </c>
      <c r="F1947" s="232" t="inlineStr">
        <is>
          <t>Santa Catalina</t>
        </is>
      </c>
      <c r="G1947" s="232" t="inlineStr">
        <is>
          <t>mant eureka 2,5 ha</t>
        </is>
      </c>
      <c r="H1947" s="232" t="inlineStr">
        <is>
          <t>Limon</t>
        </is>
      </c>
      <c r="I1947" s="232" t="inlineStr">
        <is>
          <t>Eureka</t>
        </is>
      </c>
      <c r="J1947" s="232" t="inlineStr">
        <is>
          <t>MATERIALES COSECHA</t>
        </is>
      </c>
      <c r="K1947" s="232" t="inlineStr">
        <is>
          <t>INSUMOS PACKING</t>
        </is>
      </c>
      <c r="L1947" s="232" t="inlineStr">
        <is>
          <t>[PRORRATEO 1.7% 2.5há/148.3há] O/001347 PAÃ‘O MULT</t>
        </is>
      </c>
      <c r="M1947" s="232" t="inlineStr"/>
      <c r="N1947" s="232" t="inlineStr">
        <is>
          <t>.   .   -</t>
        </is>
      </c>
      <c r="O1947" s="232" t="inlineStr">
        <is>
          <t>FEBRERO</t>
        </is>
      </c>
      <c r="P1947" s="232" t="n">
        <v>5</v>
      </c>
      <c r="Q1947" s="234" t="n">
        <v>560</v>
      </c>
      <c r="R1947" s="232" t="inlineStr"/>
      <c r="S1947" s="234" t="n">
        <v>560</v>
      </c>
      <c r="T1947" s="232" t="inlineStr">
        <is>
          <t>CLP</t>
        </is>
      </c>
      <c r="U1947" s="232" t="inlineStr">
        <is>
          <t>Prorrateo Ha PACKING</t>
        </is>
      </c>
      <c r="V1947" s="232" t="inlineStr">
        <is>
          <t>2026-06-18</t>
        </is>
      </c>
    </row>
    <row r="1948">
      <c r="A1948" s="232" t="inlineStr">
        <is>
          <t>CR-1945</t>
        </is>
      </c>
      <c r="B1948" s="232" t="inlineStr">
        <is>
          <t>2026/27</t>
        </is>
      </c>
      <c r="C1948" s="233" t="n">
        <v>46056</v>
      </c>
      <c r="D1948" s="232" t="inlineStr">
        <is>
          <t>237225</t>
        </is>
      </c>
      <c r="E1948" s="232" t="inlineStr">
        <is>
          <t>PRORRATEO</t>
        </is>
      </c>
      <c r="F1948" s="232" t="inlineStr">
        <is>
          <t>Siberia</t>
        </is>
      </c>
      <c r="G1948" s="232" t="inlineStr">
        <is>
          <t>S. Celebration 7,14</t>
        </is>
      </c>
      <c r="H1948" s="232" t="inlineStr">
        <is>
          <t>Uvas</t>
        </is>
      </c>
      <c r="I1948" s="232" t="inlineStr">
        <is>
          <t>S. celebration</t>
        </is>
      </c>
      <c r="J1948" s="232" t="inlineStr">
        <is>
          <t>MATERIALES COSECHA</t>
        </is>
      </c>
      <c r="K1948" s="232" t="inlineStr">
        <is>
          <t>INSUMOS PACKING</t>
        </is>
      </c>
      <c r="L1948" s="232" t="inlineStr">
        <is>
          <t>[PRORRATEO 4.8% 7.14há/148.3há] O/001347 PAÃ‘O MULT</t>
        </is>
      </c>
      <c r="M1948" s="232" t="inlineStr"/>
      <c r="N1948" s="232" t="inlineStr">
        <is>
          <t>.   .   -</t>
        </is>
      </c>
      <c r="O1948" s="232" t="inlineStr">
        <is>
          <t>FEBRERO</t>
        </is>
      </c>
      <c r="P1948" s="232" t="n">
        <v>5</v>
      </c>
      <c r="Q1948" s="234" t="n">
        <v>1599</v>
      </c>
      <c r="R1948" s="232" t="inlineStr"/>
      <c r="S1948" s="234" t="n">
        <v>1599</v>
      </c>
      <c r="T1948" s="232" t="inlineStr">
        <is>
          <t>CLP</t>
        </is>
      </c>
      <c r="U1948" s="232" t="inlineStr">
        <is>
          <t>Prorrateo Ha PACKING</t>
        </is>
      </c>
      <c r="V1948" s="232" t="inlineStr">
        <is>
          <t>2026-06-18</t>
        </is>
      </c>
    </row>
    <row r="1949">
      <c r="A1949" s="232" t="inlineStr">
        <is>
          <t>CR-1946</t>
        </is>
      </c>
      <c r="B1949" s="232" t="inlineStr">
        <is>
          <t>2026/27</t>
        </is>
      </c>
      <c r="C1949" s="233" t="n">
        <v>46056</v>
      </c>
      <c r="D1949" s="232" t="inlineStr">
        <is>
          <t>237225</t>
        </is>
      </c>
      <c r="E1949" s="232" t="inlineStr">
        <is>
          <t>PRORRATEO</t>
        </is>
      </c>
      <c r="F1949" s="232" t="inlineStr">
        <is>
          <t>Siberia</t>
        </is>
      </c>
      <c r="G1949" s="232" t="inlineStr">
        <is>
          <t>Timpson 7,1</t>
        </is>
      </c>
      <c r="H1949" s="232" t="inlineStr">
        <is>
          <t>Uvas</t>
        </is>
      </c>
      <c r="I1949" s="232" t="inlineStr">
        <is>
          <t>Timpson</t>
        </is>
      </c>
      <c r="J1949" s="232" t="inlineStr">
        <is>
          <t>MATERIALES COSECHA</t>
        </is>
      </c>
      <c r="K1949" s="232" t="inlineStr">
        <is>
          <t>INSUMOS PACKING</t>
        </is>
      </c>
      <c r="L1949" s="232" t="inlineStr">
        <is>
          <t>[PRORRATEO 4.8% 7.1há/148.3há] O/001347 PAÃ‘O MULT</t>
        </is>
      </c>
      <c r="M1949" s="232" t="inlineStr"/>
      <c r="N1949" s="232" t="inlineStr">
        <is>
          <t>.   .   -</t>
        </is>
      </c>
      <c r="O1949" s="232" t="inlineStr">
        <is>
          <t>FEBRERO</t>
        </is>
      </c>
      <c r="P1949" s="232" t="n">
        <v>5</v>
      </c>
      <c r="Q1949" s="234" t="n">
        <v>1590</v>
      </c>
      <c r="R1949" s="232" t="inlineStr"/>
      <c r="S1949" s="234" t="n">
        <v>1590</v>
      </c>
      <c r="T1949" s="232" t="inlineStr">
        <is>
          <t>CLP</t>
        </is>
      </c>
      <c r="U1949" s="232" t="inlineStr">
        <is>
          <t>Prorrateo Ha PACKING</t>
        </is>
      </c>
      <c r="V1949" s="232" t="inlineStr">
        <is>
          <t>2026-06-18</t>
        </is>
      </c>
    </row>
    <row r="1950">
      <c r="A1950" s="232" t="inlineStr">
        <is>
          <t>CR-1947</t>
        </is>
      </c>
      <c r="B1950" s="232" t="inlineStr">
        <is>
          <t>2026/27</t>
        </is>
      </c>
      <c r="C1950" s="233" t="n">
        <v>46056</v>
      </c>
      <c r="D1950" s="232" t="inlineStr">
        <is>
          <t>237225</t>
        </is>
      </c>
      <c r="E1950" s="232" t="inlineStr">
        <is>
          <t>PRORRATEO</t>
        </is>
      </c>
      <c r="F1950" s="232" t="inlineStr">
        <is>
          <t>Asmara</t>
        </is>
      </c>
      <c r="G1950" s="232" t="inlineStr">
        <is>
          <t>w. murcott 19,8 ha</t>
        </is>
      </c>
      <c r="H1950" s="232" t="inlineStr">
        <is>
          <t>Mandarina</t>
        </is>
      </c>
      <c r="I1950" s="232" t="inlineStr">
        <is>
          <t>W. murcott</t>
        </is>
      </c>
      <c r="J1950" s="232" t="inlineStr">
        <is>
          <t>MATERIALES COSECHA</t>
        </is>
      </c>
      <c r="K1950" s="232" t="inlineStr">
        <is>
          <t>INSUMOS PACKING</t>
        </is>
      </c>
      <c r="L1950" s="232" t="inlineStr">
        <is>
          <t>[PRORRATEO 13.4% 19.8há/148.3há] O/001347 CUADERNO U</t>
        </is>
      </c>
      <c r="M1950" s="232" t="inlineStr"/>
      <c r="N1950" s="232" t="inlineStr">
        <is>
          <t>.   .   -</t>
        </is>
      </c>
      <c r="O1950" s="232" t="inlineStr">
        <is>
          <t>FEBRERO</t>
        </is>
      </c>
      <c r="P1950" s="232" t="n">
        <v>5</v>
      </c>
      <c r="Q1950" s="234" t="n">
        <v>871</v>
      </c>
      <c r="R1950" s="232" t="inlineStr"/>
      <c r="S1950" s="234" t="n">
        <v>871</v>
      </c>
      <c r="T1950" s="232" t="inlineStr">
        <is>
          <t>CLP</t>
        </is>
      </c>
      <c r="U1950" s="232" t="inlineStr">
        <is>
          <t>Prorrateo Ha PACKING</t>
        </is>
      </c>
      <c r="V1950" s="232" t="inlineStr">
        <is>
          <t>2026-06-18</t>
        </is>
      </c>
    </row>
    <row r="1951">
      <c r="A1951" s="232" t="inlineStr">
        <is>
          <t>CR-1948</t>
        </is>
      </c>
      <c r="B1951" s="232" t="inlineStr">
        <is>
          <t>2026/27</t>
        </is>
      </c>
      <c r="C1951" s="233" t="n">
        <v>46056</v>
      </c>
      <c r="D1951" s="232" t="inlineStr">
        <is>
          <t>237225</t>
        </is>
      </c>
      <c r="E1951" s="232" t="inlineStr">
        <is>
          <t>PRORRATEO</t>
        </is>
      </c>
      <c r="F1951" s="232" t="inlineStr">
        <is>
          <t>Asmara</t>
        </is>
      </c>
      <c r="G1951" s="232" t="inlineStr">
        <is>
          <t>w. murcott 4,9 ha</t>
        </is>
      </c>
      <c r="H1951" s="232" t="inlineStr">
        <is>
          <t>Mandarina</t>
        </is>
      </c>
      <c r="I1951" s="232" t="inlineStr">
        <is>
          <t>W. murcott</t>
        </is>
      </c>
      <c r="J1951" s="232" t="inlineStr">
        <is>
          <t>MATERIALES COSECHA</t>
        </is>
      </c>
      <c r="K1951" s="232" t="inlineStr">
        <is>
          <t>INSUMOS PACKING</t>
        </is>
      </c>
      <c r="L1951" s="232" t="inlineStr">
        <is>
          <t>[PRORRATEO 3.3% 4.9há/148.3há] O/001347 CUADERNO U</t>
        </is>
      </c>
      <c r="M1951" s="232" t="inlineStr"/>
      <c r="N1951" s="232" t="inlineStr">
        <is>
          <t>.   .   -</t>
        </is>
      </c>
      <c r="O1951" s="232" t="inlineStr">
        <is>
          <t>FEBRERO</t>
        </is>
      </c>
      <c r="P1951" s="232" t="n">
        <v>5</v>
      </c>
      <c r="Q1951" s="234" t="n">
        <v>216</v>
      </c>
      <c r="R1951" s="232" t="inlineStr"/>
      <c r="S1951" s="234" t="n">
        <v>216</v>
      </c>
      <c r="T1951" s="232" t="inlineStr">
        <is>
          <t>CLP</t>
        </is>
      </c>
      <c r="U1951" s="232" t="inlineStr">
        <is>
          <t>Prorrateo Ha PACKING</t>
        </is>
      </c>
      <c r="V1951" s="232" t="inlineStr">
        <is>
          <t>2026-06-18</t>
        </is>
      </c>
    </row>
    <row r="1952">
      <c r="A1952" s="232" t="inlineStr">
        <is>
          <t>CR-1949</t>
        </is>
      </c>
      <c r="B1952" s="232" t="inlineStr">
        <is>
          <t>2026/27</t>
        </is>
      </c>
      <c r="C1952" s="233" t="n">
        <v>46056</v>
      </c>
      <c r="D1952" s="232" t="inlineStr">
        <is>
          <t>237225</t>
        </is>
      </c>
      <c r="E1952" s="232" t="inlineStr">
        <is>
          <t>PRORRATEO</t>
        </is>
      </c>
      <c r="F1952" s="232" t="inlineStr">
        <is>
          <t>El Molle</t>
        </is>
      </c>
      <c r="G1952" s="232" t="inlineStr">
        <is>
          <t>Wonderful 5,25 ha</t>
        </is>
      </c>
      <c r="H1952" s="232" t="inlineStr">
        <is>
          <t>Granados</t>
        </is>
      </c>
      <c r="I1952" s="232" t="inlineStr">
        <is>
          <t>Wonderfull</t>
        </is>
      </c>
      <c r="J1952" s="232" t="inlineStr">
        <is>
          <t>MATERIALES COSECHA</t>
        </is>
      </c>
      <c r="K1952" s="232" t="inlineStr">
        <is>
          <t>INSUMOS PACKING</t>
        </is>
      </c>
      <c r="L1952" s="232" t="inlineStr">
        <is>
          <t>[PRORRATEO 3.5% 5.24há/148.3há] O/001347 CUADERNO U</t>
        </is>
      </c>
      <c r="M1952" s="232" t="inlineStr"/>
      <c r="N1952" s="232" t="inlineStr">
        <is>
          <t>.   .   -</t>
        </is>
      </c>
      <c r="O1952" s="232" t="inlineStr">
        <is>
          <t>FEBRERO</t>
        </is>
      </c>
      <c r="P1952" s="232" t="n">
        <v>5</v>
      </c>
      <c r="Q1952" s="234" t="n">
        <v>231</v>
      </c>
      <c r="R1952" s="232" t="inlineStr"/>
      <c r="S1952" s="234" t="n">
        <v>231</v>
      </c>
      <c r="T1952" s="232" t="inlineStr">
        <is>
          <t>CLP</t>
        </is>
      </c>
      <c r="U1952" s="232" t="inlineStr">
        <is>
          <t>Prorrateo Ha PACKING</t>
        </is>
      </c>
      <c r="V1952" s="232" t="inlineStr">
        <is>
          <t>2026-06-18</t>
        </is>
      </c>
    </row>
    <row r="1953">
      <c r="A1953" s="232" t="inlineStr">
        <is>
          <t>CR-1950</t>
        </is>
      </c>
      <c r="B1953" s="232" t="inlineStr">
        <is>
          <t>2026/27</t>
        </is>
      </c>
      <c r="C1953" s="233" t="n">
        <v>46056</v>
      </c>
      <c r="D1953" s="232" t="inlineStr">
        <is>
          <t>237225</t>
        </is>
      </c>
      <c r="E1953" s="232" t="inlineStr">
        <is>
          <t>PRORRATEO</t>
        </is>
      </c>
      <c r="F1953" s="232" t="inlineStr">
        <is>
          <t>El Molle</t>
        </is>
      </c>
      <c r="G1953" s="232" t="inlineStr">
        <is>
          <t>arrufatinas 5,74 ha</t>
        </is>
      </c>
      <c r="H1953" s="232" t="inlineStr">
        <is>
          <t>Clementinas</t>
        </is>
      </c>
      <c r="I1953" s="232" t="inlineStr">
        <is>
          <t>Arrufatinas</t>
        </is>
      </c>
      <c r="J1953" s="232" t="inlineStr">
        <is>
          <t>MATERIALES COSECHA</t>
        </is>
      </c>
      <c r="K1953" s="232" t="inlineStr">
        <is>
          <t>INSUMOS PACKING</t>
        </is>
      </c>
      <c r="L1953" s="232" t="inlineStr">
        <is>
          <t>[PRORRATEO 3.9% 5.74há/148.3há] O/001347 CUADERNO U</t>
        </is>
      </c>
      <c r="M1953" s="232" t="inlineStr"/>
      <c r="N1953" s="232" t="inlineStr">
        <is>
          <t>.   .   -</t>
        </is>
      </c>
      <c r="O1953" s="232" t="inlineStr">
        <is>
          <t>FEBRERO</t>
        </is>
      </c>
      <c r="P1953" s="232" t="n">
        <v>5</v>
      </c>
      <c r="Q1953" s="234" t="n">
        <v>253</v>
      </c>
      <c r="R1953" s="232" t="inlineStr"/>
      <c r="S1953" s="234" t="n">
        <v>253</v>
      </c>
      <c r="T1953" s="232" t="inlineStr">
        <is>
          <t>CLP</t>
        </is>
      </c>
      <c r="U1953" s="232" t="inlineStr">
        <is>
          <t>Prorrateo Ha PACKING</t>
        </is>
      </c>
      <c r="V1953" s="232" t="inlineStr">
        <is>
          <t>2026-06-18</t>
        </is>
      </c>
    </row>
    <row r="1954">
      <c r="A1954" s="232" t="inlineStr">
        <is>
          <t>CR-1951</t>
        </is>
      </c>
      <c r="B1954" s="232" t="inlineStr">
        <is>
          <t>2026/27</t>
        </is>
      </c>
      <c r="C1954" s="233" t="n">
        <v>46056</v>
      </c>
      <c r="D1954" s="232" t="inlineStr">
        <is>
          <t>237225</t>
        </is>
      </c>
      <c r="E1954" s="232" t="inlineStr">
        <is>
          <t>PRORRATEO</t>
        </is>
      </c>
      <c r="F1954" s="232" t="inlineStr">
        <is>
          <t>El Molle</t>
        </is>
      </c>
      <c r="G1954" s="232" t="inlineStr">
        <is>
          <t>orogrande 8,11 ha</t>
        </is>
      </c>
      <c r="H1954" s="232" t="inlineStr">
        <is>
          <t>Clementinas</t>
        </is>
      </c>
      <c r="I1954" s="232" t="inlineStr">
        <is>
          <t>Orogrande</t>
        </is>
      </c>
      <c r="J1954" s="232" t="inlineStr">
        <is>
          <t>MATERIALES COSECHA</t>
        </is>
      </c>
      <c r="K1954" s="232" t="inlineStr">
        <is>
          <t>INSUMOS PACKING</t>
        </is>
      </c>
      <c r="L1954" s="232" t="inlineStr">
        <is>
          <t>[PRORRATEO 5.5% 8.11há/148.3há] O/001347 CUADERNO U</t>
        </is>
      </c>
      <c r="M1954" s="232" t="inlineStr"/>
      <c r="N1954" s="232" t="inlineStr">
        <is>
          <t>.   .   -</t>
        </is>
      </c>
      <c r="O1954" s="232" t="inlineStr">
        <is>
          <t>FEBRERO</t>
        </is>
      </c>
      <c r="P1954" s="232" t="n">
        <v>5</v>
      </c>
      <c r="Q1954" s="234" t="n">
        <v>357</v>
      </c>
      <c r="R1954" s="232" t="inlineStr"/>
      <c r="S1954" s="234" t="n">
        <v>357</v>
      </c>
      <c r="T1954" s="232" t="inlineStr">
        <is>
          <t>CLP</t>
        </is>
      </c>
      <c r="U1954" s="232" t="inlineStr">
        <is>
          <t>Prorrateo Ha PACKING</t>
        </is>
      </c>
      <c r="V1954" s="232" t="inlineStr">
        <is>
          <t>2026-06-18</t>
        </is>
      </c>
    </row>
    <row r="1955">
      <c r="A1955" s="232" t="inlineStr">
        <is>
          <t>CR-1952</t>
        </is>
      </c>
      <c r="B1955" s="232" t="inlineStr">
        <is>
          <t>2026/27</t>
        </is>
      </c>
      <c r="C1955" s="233" t="n">
        <v>46056</v>
      </c>
      <c r="D1955" s="232" t="inlineStr">
        <is>
          <t>237225</t>
        </is>
      </c>
      <c r="E1955" s="232" t="inlineStr">
        <is>
          <t>PRORRATEO</t>
        </is>
      </c>
      <c r="F1955" s="232" t="inlineStr">
        <is>
          <t>El Molle</t>
        </is>
      </c>
      <c r="G1955" s="232" t="inlineStr">
        <is>
          <t>oronules 5,35 ha</t>
        </is>
      </c>
      <c r="H1955" s="232" t="inlineStr">
        <is>
          <t>Clementinas</t>
        </is>
      </c>
      <c r="I1955" s="232" t="inlineStr">
        <is>
          <t>Oronules</t>
        </is>
      </c>
      <c r="J1955" s="232" t="inlineStr">
        <is>
          <t>MATERIALES COSECHA</t>
        </is>
      </c>
      <c r="K1955" s="232" t="inlineStr">
        <is>
          <t>INSUMOS PACKING</t>
        </is>
      </c>
      <c r="L1955" s="232" t="inlineStr">
        <is>
          <t>[PRORRATEO 3.6% 5.35há/148.3há] O/001347 CUADERNO U</t>
        </is>
      </c>
      <c r="M1955" s="232" t="inlineStr"/>
      <c r="N1955" s="232" t="inlineStr">
        <is>
          <t>.   .   -</t>
        </is>
      </c>
      <c r="O1955" s="232" t="inlineStr">
        <is>
          <t>FEBRERO</t>
        </is>
      </c>
      <c r="P1955" s="232" t="n">
        <v>5</v>
      </c>
      <c r="Q1955" s="234" t="n">
        <v>235</v>
      </c>
      <c r="R1955" s="232" t="inlineStr"/>
      <c r="S1955" s="234" t="n">
        <v>235</v>
      </c>
      <c r="T1955" s="232" t="inlineStr">
        <is>
          <t>CLP</t>
        </is>
      </c>
      <c r="U1955" s="232" t="inlineStr">
        <is>
          <t>Prorrateo Ha PACKING</t>
        </is>
      </c>
      <c r="V1955" s="232" t="inlineStr">
        <is>
          <t>2026-06-18</t>
        </is>
      </c>
    </row>
    <row r="1956">
      <c r="A1956" s="232" t="inlineStr">
        <is>
          <t>CR-1953</t>
        </is>
      </c>
      <c r="B1956" s="232" t="inlineStr">
        <is>
          <t>2026/27</t>
        </is>
      </c>
      <c r="C1956" s="233" t="n">
        <v>46056</v>
      </c>
      <c r="D1956" s="232" t="inlineStr">
        <is>
          <t>237225</t>
        </is>
      </c>
      <c r="E1956" s="232" t="inlineStr">
        <is>
          <t>PRORRATEO</t>
        </is>
      </c>
      <c r="F1956" s="232" t="inlineStr">
        <is>
          <t>Santa Catalina</t>
        </is>
      </c>
      <c r="G1956" s="232" t="inlineStr">
        <is>
          <t>Fino 49 7,7 ha</t>
        </is>
      </c>
      <c r="H1956" s="232" t="inlineStr">
        <is>
          <t>Limon</t>
        </is>
      </c>
      <c r="I1956" s="232" t="inlineStr">
        <is>
          <t>Fino 49</t>
        </is>
      </c>
      <c r="J1956" s="232" t="inlineStr">
        <is>
          <t>MATERIALES COSECHA</t>
        </is>
      </c>
      <c r="K1956" s="232" t="inlineStr">
        <is>
          <t>INSUMOS PACKING</t>
        </is>
      </c>
      <c r="L1956" s="232" t="inlineStr">
        <is>
          <t>[PRORRATEO 5.2% 7.7há/148.3há] O/001347 CUADERNO U</t>
        </is>
      </c>
      <c r="M1956" s="232" t="inlineStr"/>
      <c r="N1956" s="232" t="inlineStr">
        <is>
          <t>.   .   -</t>
        </is>
      </c>
      <c r="O1956" s="232" t="inlineStr">
        <is>
          <t>FEBRERO</t>
        </is>
      </c>
      <c r="P1956" s="232" t="n">
        <v>5</v>
      </c>
      <c r="Q1956" s="234" t="n">
        <v>339</v>
      </c>
      <c r="R1956" s="232" t="inlineStr"/>
      <c r="S1956" s="234" t="n">
        <v>339</v>
      </c>
      <c r="T1956" s="232" t="inlineStr">
        <is>
          <t>CLP</t>
        </is>
      </c>
      <c r="U1956" s="232" t="inlineStr">
        <is>
          <t>Prorrateo Ha PACKING</t>
        </is>
      </c>
      <c r="V1956" s="232" t="inlineStr">
        <is>
          <t>2026-06-18</t>
        </is>
      </c>
    </row>
    <row r="1957">
      <c r="A1957" s="232" t="inlineStr">
        <is>
          <t>CR-1954</t>
        </is>
      </c>
      <c r="B1957" s="232" t="inlineStr">
        <is>
          <t>2026/27</t>
        </is>
      </c>
      <c r="C1957" s="233" t="n">
        <v>46056</v>
      </c>
      <c r="D1957" s="232" t="inlineStr">
        <is>
          <t>237225</t>
        </is>
      </c>
      <c r="E1957" s="232" t="inlineStr">
        <is>
          <t>PRORRATEO</t>
        </is>
      </c>
      <c r="F1957" s="232" t="inlineStr">
        <is>
          <t>Santa Catalina</t>
        </is>
      </c>
      <c r="G1957" s="232" t="inlineStr">
        <is>
          <t>W. murcott 21 ha</t>
        </is>
      </c>
      <c r="H1957" s="232" t="inlineStr">
        <is>
          <t>Mandarina</t>
        </is>
      </c>
      <c r="I1957" s="232" t="inlineStr">
        <is>
          <t>W. murcott</t>
        </is>
      </c>
      <c r="J1957" s="232" t="inlineStr">
        <is>
          <t>MATERIALES COSECHA</t>
        </is>
      </c>
      <c r="K1957" s="232" t="inlineStr">
        <is>
          <t>INSUMOS PACKING</t>
        </is>
      </c>
      <c r="L1957" s="232" t="inlineStr">
        <is>
          <t>[PRORRATEO 14.2% 21.0há/148.3há] O/001347 CUADERNO U</t>
        </is>
      </c>
      <c r="M1957" s="232" t="inlineStr"/>
      <c r="N1957" s="232" t="inlineStr">
        <is>
          <t>.   .   -</t>
        </is>
      </c>
      <c r="O1957" s="232" t="inlineStr">
        <is>
          <t>FEBRERO</t>
        </is>
      </c>
      <c r="P1957" s="232" t="n">
        <v>5</v>
      </c>
      <c r="Q1957" s="234" t="n">
        <v>924</v>
      </c>
      <c r="R1957" s="232" t="inlineStr"/>
      <c r="S1957" s="234" t="n">
        <v>924</v>
      </c>
      <c r="T1957" s="232" t="inlineStr">
        <is>
          <t>CLP</t>
        </is>
      </c>
      <c r="U1957" s="232" t="inlineStr">
        <is>
          <t>Prorrateo Ha PACKING</t>
        </is>
      </c>
      <c r="V1957" s="232" t="inlineStr">
        <is>
          <t>2026-06-18</t>
        </is>
      </c>
    </row>
    <row r="1958">
      <c r="A1958" s="232" t="inlineStr">
        <is>
          <t>CR-1955</t>
        </is>
      </c>
      <c r="B1958" s="232" t="inlineStr">
        <is>
          <t>2026/27</t>
        </is>
      </c>
      <c r="C1958" s="233" t="n">
        <v>46056</v>
      </c>
      <c r="D1958" s="232" t="inlineStr">
        <is>
          <t>237225</t>
        </is>
      </c>
      <c r="E1958" s="232" t="inlineStr">
        <is>
          <t>PRORRATEO</t>
        </is>
      </c>
      <c r="F1958" s="232" t="inlineStr">
        <is>
          <t>Santa Catalina</t>
        </is>
      </c>
      <c r="G1958" s="232" t="inlineStr">
        <is>
          <t>cambria 4,2 ha</t>
        </is>
      </c>
      <c r="H1958" s="232" t="inlineStr">
        <is>
          <t>Naranjas</t>
        </is>
      </c>
      <c r="I1958" s="232" t="inlineStr">
        <is>
          <t>Cambria</t>
        </is>
      </c>
      <c r="J1958" s="232" t="inlineStr">
        <is>
          <t>MATERIALES COSECHA</t>
        </is>
      </c>
      <c r="K1958" s="232" t="inlineStr">
        <is>
          <t>INSUMOS PACKING</t>
        </is>
      </c>
      <c r="L1958" s="232" t="inlineStr">
        <is>
          <t>[PRORRATEO 2.8% 4.2há/148.3há] O/001347 CUADERNO U</t>
        </is>
      </c>
      <c r="M1958" s="232" t="inlineStr"/>
      <c r="N1958" s="232" t="inlineStr">
        <is>
          <t>.   .   -</t>
        </is>
      </c>
      <c r="O1958" s="232" t="inlineStr">
        <is>
          <t>FEBRERO</t>
        </is>
      </c>
      <c r="P1958" s="232" t="n">
        <v>5</v>
      </c>
      <c r="Q1958" s="234" t="n">
        <v>185</v>
      </c>
      <c r="R1958" s="232" t="inlineStr"/>
      <c r="S1958" s="234" t="n">
        <v>185</v>
      </c>
      <c r="T1958" s="232" t="inlineStr">
        <is>
          <t>CLP</t>
        </is>
      </c>
      <c r="U1958" s="232" t="inlineStr">
        <is>
          <t>Prorrateo Ha PACKING</t>
        </is>
      </c>
      <c r="V1958" s="232" t="inlineStr">
        <is>
          <t>2026-06-18</t>
        </is>
      </c>
    </row>
    <row r="1959">
      <c r="A1959" s="232" t="inlineStr">
        <is>
          <t>CR-1956</t>
        </is>
      </c>
      <c r="B1959" s="232" t="inlineStr">
        <is>
          <t>2026/27</t>
        </is>
      </c>
      <c r="C1959" s="233" t="n">
        <v>46056</v>
      </c>
      <c r="D1959" s="232" t="inlineStr">
        <is>
          <t>237225</t>
        </is>
      </c>
      <c r="E1959" s="232" t="inlineStr">
        <is>
          <t>PRORRATEO</t>
        </is>
      </c>
      <c r="F1959" s="232" t="inlineStr">
        <is>
          <t>Santa Catalina</t>
        </is>
      </c>
      <c r="G1959" s="232" t="inlineStr">
        <is>
          <t>eureka 10,6 ha</t>
        </is>
      </c>
      <c r="H1959" s="232" t="inlineStr">
        <is>
          <t>Limon</t>
        </is>
      </c>
      <c r="I1959" s="232" t="inlineStr">
        <is>
          <t>Eureka</t>
        </is>
      </c>
      <c r="J1959" s="232" t="inlineStr">
        <is>
          <t>MATERIALES COSECHA</t>
        </is>
      </c>
      <c r="K1959" s="232" t="inlineStr">
        <is>
          <t>INSUMOS PACKING</t>
        </is>
      </c>
      <c r="L1959" s="232" t="inlineStr">
        <is>
          <t>[PRORRATEO 7.1% 10.6há/148.3há] O/001347 CUADERNO U</t>
        </is>
      </c>
      <c r="M1959" s="232" t="inlineStr"/>
      <c r="N1959" s="232" t="inlineStr">
        <is>
          <t>.   .   -</t>
        </is>
      </c>
      <c r="O1959" s="232" t="inlineStr">
        <is>
          <t>FEBRERO</t>
        </is>
      </c>
      <c r="P1959" s="232" t="n">
        <v>5</v>
      </c>
      <c r="Q1959" s="234" t="n">
        <v>466</v>
      </c>
      <c r="R1959" s="232" t="inlineStr"/>
      <c r="S1959" s="234" t="n">
        <v>466</v>
      </c>
      <c r="T1959" s="232" t="inlineStr">
        <is>
          <t>CLP</t>
        </is>
      </c>
      <c r="U1959" s="232" t="inlineStr">
        <is>
          <t>Prorrateo Ha PACKING</t>
        </is>
      </c>
      <c r="V1959" s="232" t="inlineStr">
        <is>
          <t>2026-06-18</t>
        </is>
      </c>
    </row>
    <row r="1960">
      <c r="A1960" s="232" t="inlineStr">
        <is>
          <t>CR-1957</t>
        </is>
      </c>
      <c r="B1960" s="232" t="inlineStr">
        <is>
          <t>2026/27</t>
        </is>
      </c>
      <c r="C1960" s="233" t="n">
        <v>46056</v>
      </c>
      <c r="D1960" s="232" t="inlineStr">
        <is>
          <t>237225</t>
        </is>
      </c>
      <c r="E1960" s="232" t="inlineStr">
        <is>
          <t>PRORRATEO</t>
        </is>
      </c>
      <c r="F1960" s="232" t="inlineStr">
        <is>
          <t>Santa Catalina</t>
        </is>
      </c>
      <c r="G1960" s="232" t="inlineStr">
        <is>
          <t>eureka 14,4 ha</t>
        </is>
      </c>
      <c r="H1960" s="232" t="inlineStr">
        <is>
          <t>Limon</t>
        </is>
      </c>
      <c r="I1960" s="232" t="inlineStr">
        <is>
          <t>Eureka</t>
        </is>
      </c>
      <c r="J1960" s="232" t="inlineStr">
        <is>
          <t>MATERIALES COSECHA</t>
        </is>
      </c>
      <c r="K1960" s="232" t="inlineStr">
        <is>
          <t>INSUMOS PACKING</t>
        </is>
      </c>
      <c r="L1960" s="232" t="inlineStr">
        <is>
          <t>[PRORRATEO 9.7% 14.4há/148.3há] O/001347 CUADERNO U</t>
        </is>
      </c>
      <c r="M1960" s="232" t="inlineStr"/>
      <c r="N1960" s="232" t="inlineStr">
        <is>
          <t>.   .   -</t>
        </is>
      </c>
      <c r="O1960" s="232" t="inlineStr">
        <is>
          <t>FEBRERO</t>
        </is>
      </c>
      <c r="P1960" s="232" t="n">
        <v>5</v>
      </c>
      <c r="Q1960" s="234" t="n">
        <v>633</v>
      </c>
      <c r="R1960" s="232" t="inlineStr"/>
      <c r="S1960" s="234" t="n">
        <v>633</v>
      </c>
      <c r="T1960" s="232" t="inlineStr">
        <is>
          <t>CLP</t>
        </is>
      </c>
      <c r="U1960" s="232" t="inlineStr">
        <is>
          <t>Prorrateo Ha PACKING</t>
        </is>
      </c>
      <c r="V1960" s="232" t="inlineStr">
        <is>
          <t>2026-06-18</t>
        </is>
      </c>
    </row>
    <row r="1961">
      <c r="A1961" s="232" t="inlineStr">
        <is>
          <t>CR-1958</t>
        </is>
      </c>
      <c r="B1961" s="232" t="inlineStr">
        <is>
          <t>2026/27</t>
        </is>
      </c>
      <c r="C1961" s="233" t="n">
        <v>46056</v>
      </c>
      <c r="D1961" s="232" t="inlineStr">
        <is>
          <t>237225</t>
        </is>
      </c>
      <c r="E1961" s="232" t="inlineStr">
        <is>
          <t>PRORRATEO</t>
        </is>
      </c>
      <c r="F1961" s="232" t="inlineStr">
        <is>
          <t>Santa Catalina</t>
        </is>
      </c>
      <c r="G1961" s="232" t="inlineStr">
        <is>
          <t>eureka 22,55</t>
        </is>
      </c>
      <c r="H1961" s="232" t="inlineStr">
        <is>
          <t>Limon</t>
        </is>
      </c>
      <c r="I1961" s="232" t="inlineStr">
        <is>
          <t>Eureka</t>
        </is>
      </c>
      <c r="J1961" s="232" t="inlineStr">
        <is>
          <t>MATERIALES COSECHA</t>
        </is>
      </c>
      <c r="K1961" s="232" t="inlineStr">
        <is>
          <t>INSUMOS PACKING</t>
        </is>
      </c>
      <c r="L1961" s="232" t="inlineStr">
        <is>
          <t>[PRORRATEO 15.2% 22.55há/148.3há] O/001347 CUADERNO U</t>
        </is>
      </c>
      <c r="M1961" s="232" t="inlineStr"/>
      <c r="N1961" s="232" t="inlineStr">
        <is>
          <t>.   .   -</t>
        </is>
      </c>
      <c r="O1961" s="232" t="inlineStr">
        <is>
          <t>FEBRERO</t>
        </is>
      </c>
      <c r="P1961" s="232" t="n">
        <v>5</v>
      </c>
      <c r="Q1961" s="234" t="n">
        <v>992</v>
      </c>
      <c r="R1961" s="232" t="inlineStr"/>
      <c r="S1961" s="234" t="n">
        <v>992</v>
      </c>
      <c r="T1961" s="232" t="inlineStr">
        <is>
          <t>CLP</t>
        </is>
      </c>
      <c r="U1961" s="232" t="inlineStr">
        <is>
          <t>Prorrateo Ha PACKING</t>
        </is>
      </c>
      <c r="V1961" s="232" t="inlineStr">
        <is>
          <t>2026-06-18</t>
        </is>
      </c>
    </row>
    <row r="1962">
      <c r="A1962" s="232" t="inlineStr">
        <is>
          <t>CR-1959</t>
        </is>
      </c>
      <c r="B1962" s="232" t="inlineStr">
        <is>
          <t>2026/27</t>
        </is>
      </c>
      <c r="C1962" s="233" t="n">
        <v>46056</v>
      </c>
      <c r="D1962" s="232" t="inlineStr">
        <is>
          <t>237225</t>
        </is>
      </c>
      <c r="E1962" s="232" t="inlineStr">
        <is>
          <t>PRORRATEO</t>
        </is>
      </c>
      <c r="F1962" s="232" t="inlineStr">
        <is>
          <t>Santa Catalina</t>
        </is>
      </c>
      <c r="G1962" s="232" t="inlineStr">
        <is>
          <t>form benjamin 1,93 ha</t>
        </is>
      </c>
      <c r="H1962" s="232" t="inlineStr">
        <is>
          <t>Limon</t>
        </is>
      </c>
      <c r="I1962" s="232" t="inlineStr">
        <is>
          <t>Benjamin andes</t>
        </is>
      </c>
      <c r="J1962" s="232" t="inlineStr">
        <is>
          <t>MATERIALES COSECHA</t>
        </is>
      </c>
      <c r="K1962" s="232" t="inlineStr">
        <is>
          <t>INSUMOS PACKING</t>
        </is>
      </c>
      <c r="L1962" s="232" t="inlineStr">
        <is>
          <t>[PRORRATEO 1.3% 1.93há/148.3há] O/001347 CUADERNO U</t>
        </is>
      </c>
      <c r="M1962" s="232" t="inlineStr"/>
      <c r="N1962" s="232" t="inlineStr">
        <is>
          <t>.   .   -</t>
        </is>
      </c>
      <c r="O1962" s="232" t="inlineStr">
        <is>
          <t>FEBRERO</t>
        </is>
      </c>
      <c r="P1962" s="232" t="n">
        <v>5</v>
      </c>
      <c r="Q1962" s="234" t="n">
        <v>85</v>
      </c>
      <c r="R1962" s="232" t="inlineStr"/>
      <c r="S1962" s="234" t="n">
        <v>85</v>
      </c>
      <c r="T1962" s="232" t="inlineStr">
        <is>
          <t>CLP</t>
        </is>
      </c>
      <c r="U1962" s="232" t="inlineStr">
        <is>
          <t>Prorrateo Ha PACKING</t>
        </is>
      </c>
      <c r="V1962" s="232" t="inlineStr">
        <is>
          <t>2026-06-18</t>
        </is>
      </c>
    </row>
    <row r="1963">
      <c r="A1963" s="232" t="inlineStr">
        <is>
          <t>CR-1960</t>
        </is>
      </c>
      <c r="B1963" s="232" t="inlineStr">
        <is>
          <t>2026/27</t>
        </is>
      </c>
      <c r="C1963" s="233" t="n">
        <v>46056</v>
      </c>
      <c r="D1963" s="232" t="inlineStr">
        <is>
          <t>237225</t>
        </is>
      </c>
      <c r="E1963" s="232" t="inlineStr">
        <is>
          <t>PRORRATEO</t>
        </is>
      </c>
      <c r="F1963" s="232" t="inlineStr">
        <is>
          <t>Santa Catalina</t>
        </is>
      </c>
      <c r="G1963" s="232" t="inlineStr">
        <is>
          <t>mant eureka 2,5 ha</t>
        </is>
      </c>
      <c r="H1963" s="232" t="inlineStr">
        <is>
          <t>Limon</t>
        </is>
      </c>
      <c r="I1963" s="232" t="inlineStr">
        <is>
          <t>Eureka</t>
        </is>
      </c>
      <c r="J1963" s="232" t="inlineStr">
        <is>
          <t>MATERIALES COSECHA</t>
        </is>
      </c>
      <c r="K1963" s="232" t="inlineStr">
        <is>
          <t>INSUMOS PACKING</t>
        </is>
      </c>
      <c r="L1963" s="232" t="inlineStr">
        <is>
          <t>[PRORRATEO 1.7% 2.5há/148.3há] O/001347 CUADERNO U</t>
        </is>
      </c>
      <c r="M1963" s="232" t="inlineStr"/>
      <c r="N1963" s="232" t="inlineStr">
        <is>
          <t>.   .   -</t>
        </is>
      </c>
      <c r="O1963" s="232" t="inlineStr">
        <is>
          <t>FEBRERO</t>
        </is>
      </c>
      <c r="P1963" s="232" t="n">
        <v>5</v>
      </c>
      <c r="Q1963" s="234" t="n">
        <v>110</v>
      </c>
      <c r="R1963" s="232" t="inlineStr"/>
      <c r="S1963" s="234" t="n">
        <v>110</v>
      </c>
      <c r="T1963" s="232" t="inlineStr">
        <is>
          <t>CLP</t>
        </is>
      </c>
      <c r="U1963" s="232" t="inlineStr">
        <is>
          <t>Prorrateo Ha PACKING</t>
        </is>
      </c>
      <c r="V1963" s="232" t="inlineStr">
        <is>
          <t>2026-06-18</t>
        </is>
      </c>
    </row>
    <row r="1964">
      <c r="A1964" s="232" t="inlineStr">
        <is>
          <t>CR-1961</t>
        </is>
      </c>
      <c r="B1964" s="232" t="inlineStr">
        <is>
          <t>2026/27</t>
        </is>
      </c>
      <c r="C1964" s="233" t="n">
        <v>46056</v>
      </c>
      <c r="D1964" s="232" t="inlineStr">
        <is>
          <t>237225</t>
        </is>
      </c>
      <c r="E1964" s="232" t="inlineStr">
        <is>
          <t>PRORRATEO</t>
        </is>
      </c>
      <c r="F1964" s="232" t="inlineStr">
        <is>
          <t>Siberia</t>
        </is>
      </c>
      <c r="G1964" s="232" t="inlineStr">
        <is>
          <t>S. Celebration 7,14</t>
        </is>
      </c>
      <c r="H1964" s="232" t="inlineStr">
        <is>
          <t>Uvas</t>
        </is>
      </c>
      <c r="I1964" s="232" t="inlineStr">
        <is>
          <t>S. celebration</t>
        </is>
      </c>
      <c r="J1964" s="232" t="inlineStr">
        <is>
          <t>MATERIALES COSECHA</t>
        </is>
      </c>
      <c r="K1964" s="232" t="inlineStr">
        <is>
          <t>INSUMOS PACKING</t>
        </is>
      </c>
      <c r="L1964" s="232" t="inlineStr">
        <is>
          <t>[PRORRATEO 4.8% 7.14há/148.3há] O/001347 CUADERNO U</t>
        </is>
      </c>
      <c r="M1964" s="232" t="inlineStr"/>
      <c r="N1964" s="232" t="inlineStr">
        <is>
          <t>.   .   -</t>
        </is>
      </c>
      <c r="O1964" s="232" t="inlineStr">
        <is>
          <t>FEBRERO</t>
        </is>
      </c>
      <c r="P1964" s="232" t="n">
        <v>5</v>
      </c>
      <c r="Q1964" s="234" t="n">
        <v>314</v>
      </c>
      <c r="R1964" s="232" t="inlineStr"/>
      <c r="S1964" s="234" t="n">
        <v>314</v>
      </c>
      <c r="T1964" s="232" t="inlineStr">
        <is>
          <t>CLP</t>
        </is>
      </c>
      <c r="U1964" s="232" t="inlineStr">
        <is>
          <t>Prorrateo Ha PACKING</t>
        </is>
      </c>
      <c r="V1964" s="232" t="inlineStr">
        <is>
          <t>2026-06-18</t>
        </is>
      </c>
    </row>
    <row r="1965">
      <c r="A1965" s="232" t="inlineStr">
        <is>
          <t>CR-1962</t>
        </is>
      </c>
      <c r="B1965" s="232" t="inlineStr">
        <is>
          <t>2026/27</t>
        </is>
      </c>
      <c r="C1965" s="233" t="n">
        <v>46056</v>
      </c>
      <c r="D1965" s="232" t="inlineStr">
        <is>
          <t>237225</t>
        </is>
      </c>
      <c r="E1965" s="232" t="inlineStr">
        <is>
          <t>PRORRATEO</t>
        </is>
      </c>
      <c r="F1965" s="232" t="inlineStr">
        <is>
          <t>Siberia</t>
        </is>
      </c>
      <c r="G1965" s="232" t="inlineStr">
        <is>
          <t>Timpson 7,1</t>
        </is>
      </c>
      <c r="H1965" s="232" t="inlineStr">
        <is>
          <t>Uvas</t>
        </is>
      </c>
      <c r="I1965" s="232" t="inlineStr">
        <is>
          <t>Timpson</t>
        </is>
      </c>
      <c r="J1965" s="232" t="inlineStr">
        <is>
          <t>MATERIALES COSECHA</t>
        </is>
      </c>
      <c r="K1965" s="232" t="inlineStr">
        <is>
          <t>INSUMOS PACKING</t>
        </is>
      </c>
      <c r="L1965" s="232" t="inlineStr">
        <is>
          <t>[PRORRATEO 4.8% 7.1há/148.3há] O/001347 CUADERNO U</t>
        </is>
      </c>
      <c r="M1965" s="232" t="inlineStr"/>
      <c r="N1965" s="232" t="inlineStr">
        <is>
          <t>.   .   -</t>
        </is>
      </c>
      <c r="O1965" s="232" t="inlineStr">
        <is>
          <t>FEBRERO</t>
        </is>
      </c>
      <c r="P1965" s="232" t="n">
        <v>5</v>
      </c>
      <c r="Q1965" s="234" t="n">
        <v>312</v>
      </c>
      <c r="R1965" s="232" t="inlineStr"/>
      <c r="S1965" s="234" t="n">
        <v>312</v>
      </c>
      <c r="T1965" s="232" t="inlineStr">
        <is>
          <t>CLP</t>
        </is>
      </c>
      <c r="U1965" s="232" t="inlineStr">
        <is>
          <t>Prorrateo Ha PACKING</t>
        </is>
      </c>
      <c r="V1965" s="232" t="inlineStr">
        <is>
          <t>2026-06-18</t>
        </is>
      </c>
    </row>
    <row r="1966">
      <c r="A1966" s="232" t="inlineStr">
        <is>
          <t>CR-1963</t>
        </is>
      </c>
      <c r="B1966" s="232" t="inlineStr">
        <is>
          <t>2026/27</t>
        </is>
      </c>
      <c r="C1966" s="233" t="n">
        <v>46056</v>
      </c>
      <c r="D1966" s="232" t="inlineStr">
        <is>
          <t>237225</t>
        </is>
      </c>
      <c r="E1966" s="232" t="inlineStr">
        <is>
          <t>PRORRATEO</t>
        </is>
      </c>
      <c r="F1966" s="232" t="inlineStr">
        <is>
          <t>Asmara</t>
        </is>
      </c>
      <c r="G1966" s="232" t="inlineStr">
        <is>
          <t>w. murcott 19,8 ha</t>
        </is>
      </c>
      <c r="H1966" s="232" t="inlineStr">
        <is>
          <t>Mandarina</t>
        </is>
      </c>
      <c r="I1966" s="232" t="inlineStr">
        <is>
          <t>W. murcott</t>
        </is>
      </c>
      <c r="J1966" s="232" t="inlineStr">
        <is>
          <t>GASTOS GENERALES</t>
        </is>
      </c>
      <c r="K1966" s="232" t="inlineStr">
        <is>
          <t>INSUMOS DE ASEO</t>
        </is>
      </c>
      <c r="L1966" s="232" t="inlineStr">
        <is>
          <t>[PRORRATEO 13.4% 19.8há/148.3há] O/001347 LIMPIADOR</t>
        </is>
      </c>
      <c r="M1966" s="232" t="inlineStr"/>
      <c r="N1966" s="232" t="inlineStr">
        <is>
          <t>.   .   -</t>
        </is>
      </c>
      <c r="O1966" s="232" t="inlineStr">
        <is>
          <t>FEBRERO</t>
        </is>
      </c>
      <c r="P1966" s="232" t="n">
        <v>5</v>
      </c>
      <c r="Q1966" s="234" t="n">
        <v>6102</v>
      </c>
      <c r="R1966" s="232" t="inlineStr"/>
      <c r="S1966" s="234" t="n">
        <v>6102</v>
      </c>
      <c r="T1966" s="232" t="inlineStr">
        <is>
          <t>CLP</t>
        </is>
      </c>
      <c r="U1966" s="232" t="inlineStr">
        <is>
          <t>Prorrateo Ha PACKING</t>
        </is>
      </c>
      <c r="V1966" s="232" t="inlineStr">
        <is>
          <t>2026-06-18</t>
        </is>
      </c>
    </row>
    <row r="1967">
      <c r="A1967" s="232" t="inlineStr">
        <is>
          <t>CR-1964</t>
        </is>
      </c>
      <c r="B1967" s="232" t="inlineStr">
        <is>
          <t>2026/27</t>
        </is>
      </c>
      <c r="C1967" s="233" t="n">
        <v>46056</v>
      </c>
      <c r="D1967" s="232" t="inlineStr">
        <is>
          <t>237225</t>
        </is>
      </c>
      <c r="E1967" s="232" t="inlineStr">
        <is>
          <t>PRORRATEO</t>
        </is>
      </c>
      <c r="F1967" s="232" t="inlineStr">
        <is>
          <t>Asmara</t>
        </is>
      </c>
      <c r="G1967" s="232" t="inlineStr">
        <is>
          <t>w. murcott 4,9 ha</t>
        </is>
      </c>
      <c r="H1967" s="232" t="inlineStr">
        <is>
          <t>Mandarina</t>
        </is>
      </c>
      <c r="I1967" s="232" t="inlineStr">
        <is>
          <t>W. murcott</t>
        </is>
      </c>
      <c r="J1967" s="232" t="inlineStr">
        <is>
          <t>GASTOS GENERALES</t>
        </is>
      </c>
      <c r="K1967" s="232" t="inlineStr">
        <is>
          <t>INSUMOS DE ASEO</t>
        </is>
      </c>
      <c r="L1967" s="232" t="inlineStr">
        <is>
          <t>[PRORRATEO 3.3% 4.9há/148.3há] O/001347 LIMPIADOR</t>
        </is>
      </c>
      <c r="M1967" s="232" t="inlineStr"/>
      <c r="N1967" s="232" t="inlineStr">
        <is>
          <t>.   .   -</t>
        </is>
      </c>
      <c r="O1967" s="232" t="inlineStr">
        <is>
          <t>FEBRERO</t>
        </is>
      </c>
      <c r="P1967" s="232" t="n">
        <v>5</v>
      </c>
      <c r="Q1967" s="234" t="n">
        <v>1510</v>
      </c>
      <c r="R1967" s="232" t="inlineStr"/>
      <c r="S1967" s="234" t="n">
        <v>1510</v>
      </c>
      <c r="T1967" s="232" t="inlineStr">
        <is>
          <t>CLP</t>
        </is>
      </c>
      <c r="U1967" s="232" t="inlineStr">
        <is>
          <t>Prorrateo Ha PACKING</t>
        </is>
      </c>
      <c r="V1967" s="232" t="inlineStr">
        <is>
          <t>2026-06-18</t>
        </is>
      </c>
    </row>
    <row r="1968">
      <c r="A1968" s="232" t="inlineStr">
        <is>
          <t>CR-1965</t>
        </is>
      </c>
      <c r="B1968" s="232" t="inlineStr">
        <is>
          <t>2026/27</t>
        </is>
      </c>
      <c r="C1968" s="233" t="n">
        <v>46056</v>
      </c>
      <c r="D1968" s="232" t="inlineStr">
        <is>
          <t>237225</t>
        </is>
      </c>
      <c r="E1968" s="232" t="inlineStr">
        <is>
          <t>PRORRATEO</t>
        </is>
      </c>
      <c r="F1968" s="232" t="inlineStr">
        <is>
          <t>El Molle</t>
        </is>
      </c>
      <c r="G1968" s="232" t="inlineStr">
        <is>
          <t>Wonderful 5,25 ha</t>
        </is>
      </c>
      <c r="H1968" s="232" t="inlineStr">
        <is>
          <t>Granados</t>
        </is>
      </c>
      <c r="I1968" s="232" t="inlineStr">
        <is>
          <t>Wonderfull</t>
        </is>
      </c>
      <c r="J1968" s="232" t="inlineStr">
        <is>
          <t>GASTOS GENERALES</t>
        </is>
      </c>
      <c r="K1968" s="232" t="inlineStr">
        <is>
          <t>INSUMOS DE ASEO</t>
        </is>
      </c>
      <c r="L1968" s="232" t="inlineStr">
        <is>
          <t>[PRORRATEO 3.5% 5.24há/148.3há] O/001347 LIMPIADOR</t>
        </is>
      </c>
      <c r="M1968" s="232" t="inlineStr"/>
      <c r="N1968" s="232" t="inlineStr">
        <is>
          <t>.   .   -</t>
        </is>
      </c>
      <c r="O1968" s="232" t="inlineStr">
        <is>
          <t>FEBRERO</t>
        </is>
      </c>
      <c r="P1968" s="232" t="n">
        <v>5</v>
      </c>
      <c r="Q1968" s="234" t="n">
        <v>1615</v>
      </c>
      <c r="R1968" s="232" t="inlineStr"/>
      <c r="S1968" s="234" t="n">
        <v>1615</v>
      </c>
      <c r="T1968" s="232" t="inlineStr">
        <is>
          <t>CLP</t>
        </is>
      </c>
      <c r="U1968" s="232" t="inlineStr">
        <is>
          <t>Prorrateo Ha PACKING</t>
        </is>
      </c>
      <c r="V1968" s="232" t="inlineStr">
        <is>
          <t>2026-06-18</t>
        </is>
      </c>
    </row>
    <row r="1969">
      <c r="A1969" s="232" t="inlineStr">
        <is>
          <t>CR-1966</t>
        </is>
      </c>
      <c r="B1969" s="232" t="inlineStr">
        <is>
          <t>2026/27</t>
        </is>
      </c>
      <c r="C1969" s="233" t="n">
        <v>46056</v>
      </c>
      <c r="D1969" s="232" t="inlineStr">
        <is>
          <t>237225</t>
        </is>
      </c>
      <c r="E1969" s="232" t="inlineStr">
        <is>
          <t>PRORRATEO</t>
        </is>
      </c>
      <c r="F1969" s="232" t="inlineStr">
        <is>
          <t>El Molle</t>
        </is>
      </c>
      <c r="G1969" s="232" t="inlineStr">
        <is>
          <t>arrufatinas 5,74 ha</t>
        </is>
      </c>
      <c r="H1969" s="232" t="inlineStr">
        <is>
          <t>Clementinas</t>
        </is>
      </c>
      <c r="I1969" s="232" t="inlineStr">
        <is>
          <t>Arrufatinas</t>
        </is>
      </c>
      <c r="J1969" s="232" t="inlineStr">
        <is>
          <t>GASTOS GENERALES</t>
        </is>
      </c>
      <c r="K1969" s="232" t="inlineStr">
        <is>
          <t>INSUMOS DE ASEO</t>
        </is>
      </c>
      <c r="L1969" s="232" t="inlineStr">
        <is>
          <t>[PRORRATEO 3.9% 5.74há/148.3há] O/001347 LIMPIADOR</t>
        </is>
      </c>
      <c r="M1969" s="232" t="inlineStr"/>
      <c r="N1969" s="232" t="inlineStr">
        <is>
          <t>.   .   -</t>
        </is>
      </c>
      <c r="O1969" s="232" t="inlineStr">
        <is>
          <t>FEBRERO</t>
        </is>
      </c>
      <c r="P1969" s="232" t="n">
        <v>5</v>
      </c>
      <c r="Q1969" s="234" t="n">
        <v>1769</v>
      </c>
      <c r="R1969" s="232" t="inlineStr"/>
      <c r="S1969" s="234" t="n">
        <v>1769</v>
      </c>
      <c r="T1969" s="232" t="inlineStr">
        <is>
          <t>CLP</t>
        </is>
      </c>
      <c r="U1969" s="232" t="inlineStr">
        <is>
          <t>Prorrateo Ha PACKING</t>
        </is>
      </c>
      <c r="V1969" s="232" t="inlineStr">
        <is>
          <t>2026-06-18</t>
        </is>
      </c>
    </row>
    <row r="1970">
      <c r="A1970" s="232" t="inlineStr">
        <is>
          <t>CR-1967</t>
        </is>
      </c>
      <c r="B1970" s="232" t="inlineStr">
        <is>
          <t>2026/27</t>
        </is>
      </c>
      <c r="C1970" s="233" t="n">
        <v>46056</v>
      </c>
      <c r="D1970" s="232" t="inlineStr">
        <is>
          <t>237225</t>
        </is>
      </c>
      <c r="E1970" s="232" t="inlineStr">
        <is>
          <t>PRORRATEO</t>
        </is>
      </c>
      <c r="F1970" s="232" t="inlineStr">
        <is>
          <t>El Molle</t>
        </is>
      </c>
      <c r="G1970" s="232" t="inlineStr">
        <is>
          <t>orogrande 8,11 ha</t>
        </is>
      </c>
      <c r="H1970" s="232" t="inlineStr">
        <is>
          <t>Clementinas</t>
        </is>
      </c>
      <c r="I1970" s="232" t="inlineStr">
        <is>
          <t>Orogrande</t>
        </is>
      </c>
      <c r="J1970" s="232" t="inlineStr">
        <is>
          <t>GASTOS GENERALES</t>
        </is>
      </c>
      <c r="K1970" s="232" t="inlineStr">
        <is>
          <t>INSUMOS DE ASEO</t>
        </is>
      </c>
      <c r="L1970" s="232" t="inlineStr">
        <is>
          <t>[PRORRATEO 5.5% 8.11há/148.3há] O/001347 LIMPIADOR</t>
        </is>
      </c>
      <c r="M1970" s="232" t="inlineStr"/>
      <c r="N1970" s="232" t="inlineStr">
        <is>
          <t>.   .   -</t>
        </is>
      </c>
      <c r="O1970" s="232" t="inlineStr">
        <is>
          <t>FEBRERO</t>
        </is>
      </c>
      <c r="P1970" s="232" t="n">
        <v>5</v>
      </c>
      <c r="Q1970" s="234" t="n">
        <v>2499</v>
      </c>
      <c r="R1970" s="232" t="inlineStr"/>
      <c r="S1970" s="234" t="n">
        <v>2499</v>
      </c>
      <c r="T1970" s="232" t="inlineStr">
        <is>
          <t>CLP</t>
        </is>
      </c>
      <c r="U1970" s="232" t="inlineStr">
        <is>
          <t>Prorrateo Ha PACKING</t>
        </is>
      </c>
      <c r="V1970" s="232" t="inlineStr">
        <is>
          <t>2026-06-18</t>
        </is>
      </c>
    </row>
    <row r="1971">
      <c r="A1971" s="232" t="inlineStr">
        <is>
          <t>CR-1968</t>
        </is>
      </c>
      <c r="B1971" s="232" t="inlineStr">
        <is>
          <t>2026/27</t>
        </is>
      </c>
      <c r="C1971" s="233" t="n">
        <v>46056</v>
      </c>
      <c r="D1971" s="232" t="inlineStr">
        <is>
          <t>237225</t>
        </is>
      </c>
      <c r="E1971" s="232" t="inlineStr">
        <is>
          <t>PRORRATEO</t>
        </is>
      </c>
      <c r="F1971" s="232" t="inlineStr">
        <is>
          <t>El Molle</t>
        </is>
      </c>
      <c r="G1971" s="232" t="inlineStr">
        <is>
          <t>oronules 5,35 ha</t>
        </is>
      </c>
      <c r="H1971" s="232" t="inlineStr">
        <is>
          <t>Clementinas</t>
        </is>
      </c>
      <c r="I1971" s="232" t="inlineStr">
        <is>
          <t>Oronules</t>
        </is>
      </c>
      <c r="J1971" s="232" t="inlineStr">
        <is>
          <t>GASTOS GENERALES</t>
        </is>
      </c>
      <c r="K1971" s="232" t="inlineStr">
        <is>
          <t>INSUMOS DE ASEO</t>
        </is>
      </c>
      <c r="L1971" s="232" t="inlineStr">
        <is>
          <t>[PRORRATEO 3.6% 5.35há/148.3há] O/001347 LIMPIADOR</t>
        </is>
      </c>
      <c r="M1971" s="232" t="inlineStr"/>
      <c r="N1971" s="232" t="inlineStr">
        <is>
          <t>.   .   -</t>
        </is>
      </c>
      <c r="O1971" s="232" t="inlineStr">
        <is>
          <t>FEBRERO</t>
        </is>
      </c>
      <c r="P1971" s="232" t="n">
        <v>5</v>
      </c>
      <c r="Q1971" s="234" t="n">
        <v>1649</v>
      </c>
      <c r="R1971" s="232" t="inlineStr"/>
      <c r="S1971" s="234" t="n">
        <v>1649</v>
      </c>
      <c r="T1971" s="232" t="inlineStr">
        <is>
          <t>CLP</t>
        </is>
      </c>
      <c r="U1971" s="232" t="inlineStr">
        <is>
          <t>Prorrateo Ha PACKING</t>
        </is>
      </c>
      <c r="V1971" s="232" t="inlineStr">
        <is>
          <t>2026-06-18</t>
        </is>
      </c>
    </row>
    <row r="1972">
      <c r="A1972" s="232" t="inlineStr">
        <is>
          <t>CR-1969</t>
        </is>
      </c>
      <c r="B1972" s="232" t="inlineStr">
        <is>
          <t>2026/27</t>
        </is>
      </c>
      <c r="C1972" s="233" t="n">
        <v>46056</v>
      </c>
      <c r="D1972" s="232" t="inlineStr">
        <is>
          <t>237225</t>
        </is>
      </c>
      <c r="E1972" s="232" t="inlineStr">
        <is>
          <t>PRORRATEO</t>
        </is>
      </c>
      <c r="F1972" s="232" t="inlineStr">
        <is>
          <t>Santa Catalina</t>
        </is>
      </c>
      <c r="G1972" s="232" t="inlineStr">
        <is>
          <t>Fino 49 7,7 ha</t>
        </is>
      </c>
      <c r="H1972" s="232" t="inlineStr">
        <is>
          <t>Limon</t>
        </is>
      </c>
      <c r="I1972" s="232" t="inlineStr">
        <is>
          <t>Fino 49</t>
        </is>
      </c>
      <c r="J1972" s="232" t="inlineStr">
        <is>
          <t>GASTOS GENERALES</t>
        </is>
      </c>
      <c r="K1972" s="232" t="inlineStr">
        <is>
          <t>INSUMOS DE ASEO</t>
        </is>
      </c>
      <c r="L1972" s="232" t="inlineStr">
        <is>
          <t>[PRORRATEO 5.2% 7.7há/148.3há] O/001347 LIMPIADOR</t>
        </is>
      </c>
      <c r="M1972" s="232" t="inlineStr"/>
      <c r="N1972" s="232" t="inlineStr">
        <is>
          <t>.   .   -</t>
        </is>
      </c>
      <c r="O1972" s="232" t="inlineStr">
        <is>
          <t>FEBRERO</t>
        </is>
      </c>
      <c r="P1972" s="232" t="n">
        <v>5</v>
      </c>
      <c r="Q1972" s="234" t="n">
        <v>2373</v>
      </c>
      <c r="R1972" s="232" t="inlineStr"/>
      <c r="S1972" s="234" t="n">
        <v>2373</v>
      </c>
      <c r="T1972" s="232" t="inlineStr">
        <is>
          <t>CLP</t>
        </is>
      </c>
      <c r="U1972" s="232" t="inlineStr">
        <is>
          <t>Prorrateo Ha PACKING</t>
        </is>
      </c>
      <c r="V1972" s="232" t="inlineStr">
        <is>
          <t>2026-06-18</t>
        </is>
      </c>
    </row>
    <row r="1973">
      <c r="A1973" s="232" t="inlineStr">
        <is>
          <t>CR-1970</t>
        </is>
      </c>
      <c r="B1973" s="232" t="inlineStr">
        <is>
          <t>2026/27</t>
        </is>
      </c>
      <c r="C1973" s="233" t="n">
        <v>46056</v>
      </c>
      <c r="D1973" s="232" t="inlineStr">
        <is>
          <t>237225</t>
        </is>
      </c>
      <c r="E1973" s="232" t="inlineStr">
        <is>
          <t>PRORRATEO</t>
        </is>
      </c>
      <c r="F1973" s="232" t="inlineStr">
        <is>
          <t>Santa Catalina</t>
        </is>
      </c>
      <c r="G1973" s="232" t="inlineStr">
        <is>
          <t>W. murcott 21 ha</t>
        </is>
      </c>
      <c r="H1973" s="232" t="inlineStr">
        <is>
          <t>Mandarina</t>
        </is>
      </c>
      <c r="I1973" s="232" t="inlineStr">
        <is>
          <t>W. murcott</t>
        </is>
      </c>
      <c r="J1973" s="232" t="inlineStr">
        <is>
          <t>GASTOS GENERALES</t>
        </is>
      </c>
      <c r="K1973" s="232" t="inlineStr">
        <is>
          <t>INSUMOS DE ASEO</t>
        </is>
      </c>
      <c r="L1973" s="232" t="inlineStr">
        <is>
          <t>[PRORRATEO 14.2% 21.0há/148.3há] O/001347 LIMPIADOR</t>
        </is>
      </c>
      <c r="M1973" s="232" t="inlineStr"/>
      <c r="N1973" s="232" t="inlineStr">
        <is>
          <t>.   .   -</t>
        </is>
      </c>
      <c r="O1973" s="232" t="inlineStr">
        <is>
          <t>FEBRERO</t>
        </is>
      </c>
      <c r="P1973" s="232" t="n">
        <v>5</v>
      </c>
      <c r="Q1973" s="234" t="n">
        <v>6472</v>
      </c>
      <c r="R1973" s="232" t="inlineStr"/>
      <c r="S1973" s="234" t="n">
        <v>6472</v>
      </c>
      <c r="T1973" s="232" t="inlineStr">
        <is>
          <t>CLP</t>
        </is>
      </c>
      <c r="U1973" s="232" t="inlineStr">
        <is>
          <t>Prorrateo Ha PACKING</t>
        </is>
      </c>
      <c r="V1973" s="232" t="inlineStr">
        <is>
          <t>2026-06-18</t>
        </is>
      </c>
    </row>
    <row r="1974">
      <c r="A1974" s="232" t="inlineStr">
        <is>
          <t>CR-1971</t>
        </is>
      </c>
      <c r="B1974" s="232" t="inlineStr">
        <is>
          <t>2026/27</t>
        </is>
      </c>
      <c r="C1974" s="233" t="n">
        <v>46056</v>
      </c>
      <c r="D1974" s="232" t="inlineStr">
        <is>
          <t>237225</t>
        </is>
      </c>
      <c r="E1974" s="232" t="inlineStr">
        <is>
          <t>PRORRATEO</t>
        </is>
      </c>
      <c r="F1974" s="232" t="inlineStr">
        <is>
          <t>Santa Catalina</t>
        </is>
      </c>
      <c r="G1974" s="232" t="inlineStr">
        <is>
          <t>cambria 4,2 ha</t>
        </is>
      </c>
      <c r="H1974" s="232" t="inlineStr">
        <is>
          <t>Naranjas</t>
        </is>
      </c>
      <c r="I1974" s="232" t="inlineStr">
        <is>
          <t>Cambria</t>
        </is>
      </c>
      <c r="J1974" s="232" t="inlineStr">
        <is>
          <t>GASTOS GENERALES</t>
        </is>
      </c>
      <c r="K1974" s="232" t="inlineStr">
        <is>
          <t>INSUMOS DE ASEO</t>
        </is>
      </c>
      <c r="L1974" s="232" t="inlineStr">
        <is>
          <t>[PRORRATEO 2.8% 4.2há/148.3há] O/001347 LIMPIADOR</t>
        </is>
      </c>
      <c r="M1974" s="232" t="inlineStr"/>
      <c r="N1974" s="232" t="inlineStr">
        <is>
          <t>.   .   -</t>
        </is>
      </c>
      <c r="O1974" s="232" t="inlineStr">
        <is>
          <t>FEBRERO</t>
        </is>
      </c>
      <c r="P1974" s="232" t="n">
        <v>5</v>
      </c>
      <c r="Q1974" s="234" t="n">
        <v>1294</v>
      </c>
      <c r="R1974" s="232" t="inlineStr"/>
      <c r="S1974" s="234" t="n">
        <v>1294</v>
      </c>
      <c r="T1974" s="232" t="inlineStr">
        <is>
          <t>CLP</t>
        </is>
      </c>
      <c r="U1974" s="232" t="inlineStr">
        <is>
          <t>Prorrateo Ha PACKING</t>
        </is>
      </c>
      <c r="V1974" s="232" t="inlineStr">
        <is>
          <t>2026-06-18</t>
        </is>
      </c>
    </row>
    <row r="1975">
      <c r="A1975" s="232" t="inlineStr">
        <is>
          <t>CR-1972</t>
        </is>
      </c>
      <c r="B1975" s="232" t="inlineStr">
        <is>
          <t>2026/27</t>
        </is>
      </c>
      <c r="C1975" s="233" t="n">
        <v>46056</v>
      </c>
      <c r="D1975" s="232" t="inlineStr">
        <is>
          <t>237225</t>
        </is>
      </c>
      <c r="E1975" s="232" t="inlineStr">
        <is>
          <t>PRORRATEO</t>
        </is>
      </c>
      <c r="F1975" s="232" t="inlineStr">
        <is>
          <t>Santa Catalina</t>
        </is>
      </c>
      <c r="G1975" s="232" t="inlineStr">
        <is>
          <t>eureka 10,6 ha</t>
        </is>
      </c>
      <c r="H1975" s="232" t="inlineStr">
        <is>
          <t>Limon</t>
        </is>
      </c>
      <c r="I1975" s="232" t="inlineStr">
        <is>
          <t>Eureka</t>
        </is>
      </c>
      <c r="J1975" s="232" t="inlineStr">
        <is>
          <t>GASTOS GENERALES</t>
        </is>
      </c>
      <c r="K1975" s="232" t="inlineStr">
        <is>
          <t>INSUMOS DE ASEO</t>
        </is>
      </c>
      <c r="L1975" s="232" t="inlineStr">
        <is>
          <t>[PRORRATEO 7.1% 10.6há/148.3há] O/001347 LIMPIADOR</t>
        </is>
      </c>
      <c r="M1975" s="232" t="inlineStr"/>
      <c r="N1975" s="232" t="inlineStr">
        <is>
          <t>.   .   -</t>
        </is>
      </c>
      <c r="O1975" s="232" t="inlineStr">
        <is>
          <t>FEBRERO</t>
        </is>
      </c>
      <c r="P1975" s="232" t="n">
        <v>5</v>
      </c>
      <c r="Q1975" s="234" t="n">
        <v>3267</v>
      </c>
      <c r="R1975" s="232" t="inlineStr"/>
      <c r="S1975" s="234" t="n">
        <v>3267</v>
      </c>
      <c r="T1975" s="232" t="inlineStr">
        <is>
          <t>CLP</t>
        </is>
      </c>
      <c r="U1975" s="232" t="inlineStr">
        <is>
          <t>Prorrateo Ha PACKING</t>
        </is>
      </c>
      <c r="V1975" s="232" t="inlineStr">
        <is>
          <t>2026-06-18</t>
        </is>
      </c>
    </row>
    <row r="1976">
      <c r="A1976" s="232" t="inlineStr">
        <is>
          <t>CR-1973</t>
        </is>
      </c>
      <c r="B1976" s="232" t="inlineStr">
        <is>
          <t>2026/27</t>
        </is>
      </c>
      <c r="C1976" s="233" t="n">
        <v>46056</v>
      </c>
      <c r="D1976" s="232" t="inlineStr">
        <is>
          <t>237225</t>
        </is>
      </c>
      <c r="E1976" s="232" t="inlineStr">
        <is>
          <t>PRORRATEO</t>
        </is>
      </c>
      <c r="F1976" s="232" t="inlineStr">
        <is>
          <t>Santa Catalina</t>
        </is>
      </c>
      <c r="G1976" s="232" t="inlineStr">
        <is>
          <t>eureka 14,4 ha</t>
        </is>
      </c>
      <c r="H1976" s="232" t="inlineStr">
        <is>
          <t>Limon</t>
        </is>
      </c>
      <c r="I1976" s="232" t="inlineStr">
        <is>
          <t>Eureka</t>
        </is>
      </c>
      <c r="J1976" s="232" t="inlineStr">
        <is>
          <t>GASTOS GENERALES</t>
        </is>
      </c>
      <c r="K1976" s="232" t="inlineStr">
        <is>
          <t>INSUMOS DE ASEO</t>
        </is>
      </c>
      <c r="L1976" s="232" t="inlineStr">
        <is>
          <t>[PRORRATEO 9.7% 14.4há/148.3há] O/001347 LIMPIADOR</t>
        </is>
      </c>
      <c r="M1976" s="232" t="inlineStr"/>
      <c r="N1976" s="232" t="inlineStr">
        <is>
          <t>.   .   -</t>
        </is>
      </c>
      <c r="O1976" s="232" t="inlineStr">
        <is>
          <t>FEBRERO</t>
        </is>
      </c>
      <c r="P1976" s="232" t="n">
        <v>5</v>
      </c>
      <c r="Q1976" s="234" t="n">
        <v>4438</v>
      </c>
      <c r="R1976" s="232" t="inlineStr"/>
      <c r="S1976" s="234" t="n">
        <v>4438</v>
      </c>
      <c r="T1976" s="232" t="inlineStr">
        <is>
          <t>CLP</t>
        </is>
      </c>
      <c r="U1976" s="232" t="inlineStr">
        <is>
          <t>Prorrateo Ha PACKING</t>
        </is>
      </c>
      <c r="V1976" s="232" t="inlineStr">
        <is>
          <t>2026-06-18</t>
        </is>
      </c>
    </row>
    <row r="1977">
      <c r="A1977" s="232" t="inlineStr">
        <is>
          <t>CR-1974</t>
        </is>
      </c>
      <c r="B1977" s="232" t="inlineStr">
        <is>
          <t>2026/27</t>
        </is>
      </c>
      <c r="C1977" s="233" t="n">
        <v>46056</v>
      </c>
      <c r="D1977" s="232" t="inlineStr">
        <is>
          <t>237225</t>
        </is>
      </c>
      <c r="E1977" s="232" t="inlineStr">
        <is>
          <t>PRORRATEO</t>
        </is>
      </c>
      <c r="F1977" s="232" t="inlineStr">
        <is>
          <t>Santa Catalina</t>
        </is>
      </c>
      <c r="G1977" s="232" t="inlineStr">
        <is>
          <t>eureka 22,55</t>
        </is>
      </c>
      <c r="H1977" s="232" t="inlineStr">
        <is>
          <t>Limon</t>
        </is>
      </c>
      <c r="I1977" s="232" t="inlineStr">
        <is>
          <t>Eureka</t>
        </is>
      </c>
      <c r="J1977" s="232" t="inlineStr">
        <is>
          <t>GASTOS GENERALES</t>
        </is>
      </c>
      <c r="K1977" s="232" t="inlineStr">
        <is>
          <t>INSUMOS DE ASEO</t>
        </is>
      </c>
      <c r="L1977" s="232" t="inlineStr">
        <is>
          <t>[PRORRATEO 15.2% 22.55há/148.3há] O/001347 LIMPIADOR</t>
        </is>
      </c>
      <c r="M1977" s="232" t="inlineStr"/>
      <c r="N1977" s="232" t="inlineStr">
        <is>
          <t>.   .   -</t>
        </is>
      </c>
      <c r="O1977" s="232" t="inlineStr">
        <is>
          <t>FEBRERO</t>
        </is>
      </c>
      <c r="P1977" s="232" t="n">
        <v>5</v>
      </c>
      <c r="Q1977" s="234" t="n">
        <v>6950</v>
      </c>
      <c r="R1977" s="232" t="inlineStr"/>
      <c r="S1977" s="234" t="n">
        <v>6950</v>
      </c>
      <c r="T1977" s="232" t="inlineStr">
        <is>
          <t>CLP</t>
        </is>
      </c>
      <c r="U1977" s="232" t="inlineStr">
        <is>
          <t>Prorrateo Ha PACKING</t>
        </is>
      </c>
      <c r="V1977" s="232" t="inlineStr">
        <is>
          <t>2026-06-18</t>
        </is>
      </c>
    </row>
    <row r="1978">
      <c r="A1978" s="232" t="inlineStr">
        <is>
          <t>CR-1975</t>
        </is>
      </c>
      <c r="B1978" s="232" t="inlineStr">
        <is>
          <t>2026/27</t>
        </is>
      </c>
      <c r="C1978" s="233" t="n">
        <v>46056</v>
      </c>
      <c r="D1978" s="232" t="inlineStr">
        <is>
          <t>237225</t>
        </is>
      </c>
      <c r="E1978" s="232" t="inlineStr">
        <is>
          <t>PRORRATEO</t>
        </is>
      </c>
      <c r="F1978" s="232" t="inlineStr">
        <is>
          <t>Santa Catalina</t>
        </is>
      </c>
      <c r="G1978" s="232" t="inlineStr">
        <is>
          <t>form benjamin 1,93 ha</t>
        </is>
      </c>
      <c r="H1978" s="232" t="inlineStr">
        <is>
          <t>Limon</t>
        </is>
      </c>
      <c r="I1978" s="232" t="inlineStr">
        <is>
          <t>Benjamin andes</t>
        </is>
      </c>
      <c r="J1978" s="232" t="inlineStr">
        <is>
          <t>GASTOS GENERALES</t>
        </is>
      </c>
      <c r="K1978" s="232" t="inlineStr">
        <is>
          <t>INSUMOS DE ASEO</t>
        </is>
      </c>
      <c r="L1978" s="232" t="inlineStr">
        <is>
          <t>[PRORRATEO 1.3% 1.93há/148.3há] O/001347 LIMPIADOR</t>
        </is>
      </c>
      <c r="M1978" s="232" t="inlineStr"/>
      <c r="N1978" s="232" t="inlineStr">
        <is>
          <t>.   .   -</t>
        </is>
      </c>
      <c r="O1978" s="232" t="inlineStr">
        <is>
          <t>FEBRERO</t>
        </is>
      </c>
      <c r="P1978" s="232" t="n">
        <v>5</v>
      </c>
      <c r="Q1978" s="234" t="n">
        <v>595</v>
      </c>
      <c r="R1978" s="232" t="inlineStr"/>
      <c r="S1978" s="234" t="n">
        <v>595</v>
      </c>
      <c r="T1978" s="232" t="inlineStr">
        <is>
          <t>CLP</t>
        </is>
      </c>
      <c r="U1978" s="232" t="inlineStr">
        <is>
          <t>Prorrateo Ha PACKING</t>
        </is>
      </c>
      <c r="V1978" s="232" t="inlineStr">
        <is>
          <t>2026-06-18</t>
        </is>
      </c>
    </row>
    <row r="1979">
      <c r="A1979" s="232" t="inlineStr">
        <is>
          <t>CR-1976</t>
        </is>
      </c>
      <c r="B1979" s="232" t="inlineStr">
        <is>
          <t>2026/27</t>
        </is>
      </c>
      <c r="C1979" s="233" t="n">
        <v>46056</v>
      </c>
      <c r="D1979" s="232" t="inlineStr">
        <is>
          <t>237225</t>
        </is>
      </c>
      <c r="E1979" s="232" t="inlineStr">
        <is>
          <t>PRORRATEO</t>
        </is>
      </c>
      <c r="F1979" s="232" t="inlineStr">
        <is>
          <t>Santa Catalina</t>
        </is>
      </c>
      <c r="G1979" s="232" t="inlineStr">
        <is>
          <t>mant eureka 2,5 ha</t>
        </is>
      </c>
      <c r="H1979" s="232" t="inlineStr">
        <is>
          <t>Limon</t>
        </is>
      </c>
      <c r="I1979" s="232" t="inlineStr">
        <is>
          <t>Eureka</t>
        </is>
      </c>
      <c r="J1979" s="232" t="inlineStr">
        <is>
          <t>GASTOS GENERALES</t>
        </is>
      </c>
      <c r="K1979" s="232" t="inlineStr">
        <is>
          <t>INSUMOS DE ASEO</t>
        </is>
      </c>
      <c r="L1979" s="232" t="inlineStr">
        <is>
          <t>[PRORRATEO 1.7% 2.5há/148.3há] O/001347 LIMPIADOR</t>
        </is>
      </c>
      <c r="M1979" s="232" t="inlineStr"/>
      <c r="N1979" s="232" t="inlineStr">
        <is>
          <t>.   .   -</t>
        </is>
      </c>
      <c r="O1979" s="232" t="inlineStr">
        <is>
          <t>FEBRERO</t>
        </is>
      </c>
      <c r="P1979" s="232" t="n">
        <v>5</v>
      </c>
      <c r="Q1979" s="234" t="n">
        <v>770</v>
      </c>
      <c r="R1979" s="232" t="inlineStr"/>
      <c r="S1979" s="234" t="n">
        <v>770</v>
      </c>
      <c r="T1979" s="232" t="inlineStr">
        <is>
          <t>CLP</t>
        </is>
      </c>
      <c r="U1979" s="232" t="inlineStr">
        <is>
          <t>Prorrateo Ha PACKING</t>
        </is>
      </c>
      <c r="V1979" s="232" t="inlineStr">
        <is>
          <t>2026-06-18</t>
        </is>
      </c>
    </row>
    <row r="1980">
      <c r="A1980" s="232" t="inlineStr">
        <is>
          <t>CR-1977</t>
        </is>
      </c>
      <c r="B1980" s="232" t="inlineStr">
        <is>
          <t>2026/27</t>
        </is>
      </c>
      <c r="C1980" s="233" t="n">
        <v>46056</v>
      </c>
      <c r="D1980" s="232" t="inlineStr">
        <is>
          <t>237225</t>
        </is>
      </c>
      <c r="E1980" s="232" t="inlineStr">
        <is>
          <t>PRORRATEO</t>
        </is>
      </c>
      <c r="F1980" s="232" t="inlineStr">
        <is>
          <t>Siberia</t>
        </is>
      </c>
      <c r="G1980" s="232" t="inlineStr">
        <is>
          <t>S. Celebration 7,14</t>
        </is>
      </c>
      <c r="H1980" s="232" t="inlineStr">
        <is>
          <t>Uvas</t>
        </is>
      </c>
      <c r="I1980" s="232" t="inlineStr">
        <is>
          <t>S. celebration</t>
        </is>
      </c>
      <c r="J1980" s="232" t="inlineStr">
        <is>
          <t>GASTOS GENERALES</t>
        </is>
      </c>
      <c r="K1980" s="232" t="inlineStr">
        <is>
          <t>INSUMOS DE ASEO</t>
        </is>
      </c>
      <c r="L1980" s="232" t="inlineStr">
        <is>
          <t>[PRORRATEO 4.8% 7.14há/148.3há] O/001347 LIMPIADOR</t>
        </is>
      </c>
      <c r="M1980" s="232" t="inlineStr"/>
      <c r="N1980" s="232" t="inlineStr">
        <is>
          <t>.   .   -</t>
        </is>
      </c>
      <c r="O1980" s="232" t="inlineStr">
        <is>
          <t>FEBRERO</t>
        </is>
      </c>
      <c r="P1980" s="232" t="n">
        <v>5</v>
      </c>
      <c r="Q1980" s="234" t="n">
        <v>2201</v>
      </c>
      <c r="R1980" s="232" t="inlineStr"/>
      <c r="S1980" s="234" t="n">
        <v>2201</v>
      </c>
      <c r="T1980" s="232" t="inlineStr">
        <is>
          <t>CLP</t>
        </is>
      </c>
      <c r="U1980" s="232" t="inlineStr">
        <is>
          <t>Prorrateo Ha PACKING</t>
        </is>
      </c>
      <c r="V1980" s="232" t="inlineStr">
        <is>
          <t>2026-06-18</t>
        </is>
      </c>
    </row>
    <row r="1981">
      <c r="A1981" s="232" t="inlineStr">
        <is>
          <t>CR-1978</t>
        </is>
      </c>
      <c r="B1981" s="232" t="inlineStr">
        <is>
          <t>2026/27</t>
        </is>
      </c>
      <c r="C1981" s="233" t="n">
        <v>46056</v>
      </c>
      <c r="D1981" s="232" t="inlineStr">
        <is>
          <t>237225</t>
        </is>
      </c>
      <c r="E1981" s="232" t="inlineStr">
        <is>
          <t>PRORRATEO</t>
        </is>
      </c>
      <c r="F1981" s="232" t="inlineStr">
        <is>
          <t>Siberia</t>
        </is>
      </c>
      <c r="G1981" s="232" t="inlineStr">
        <is>
          <t>Timpson 7,1</t>
        </is>
      </c>
      <c r="H1981" s="232" t="inlineStr">
        <is>
          <t>Uvas</t>
        </is>
      </c>
      <c r="I1981" s="232" t="inlineStr">
        <is>
          <t>Timpson</t>
        </is>
      </c>
      <c r="J1981" s="232" t="inlineStr">
        <is>
          <t>GASTOS GENERALES</t>
        </is>
      </c>
      <c r="K1981" s="232" t="inlineStr">
        <is>
          <t>INSUMOS DE ASEO</t>
        </is>
      </c>
      <c r="L1981" s="232" t="inlineStr">
        <is>
          <t>[PRORRATEO 4.8% 7.1há/148.3há] O/001347 LIMPIADOR</t>
        </is>
      </c>
      <c r="M1981" s="232" t="inlineStr"/>
      <c r="N1981" s="232" t="inlineStr">
        <is>
          <t>.   .   -</t>
        </is>
      </c>
      <c r="O1981" s="232" t="inlineStr">
        <is>
          <t>FEBRERO</t>
        </is>
      </c>
      <c r="P1981" s="232" t="n">
        <v>5</v>
      </c>
      <c r="Q1981" s="234" t="n">
        <v>2188</v>
      </c>
      <c r="R1981" s="232" t="inlineStr"/>
      <c r="S1981" s="234" t="n">
        <v>2188</v>
      </c>
      <c r="T1981" s="232" t="inlineStr">
        <is>
          <t>CLP</t>
        </is>
      </c>
      <c r="U1981" s="232" t="inlineStr">
        <is>
          <t>Prorrateo Ha PACKING</t>
        </is>
      </c>
      <c r="V1981" s="232" t="inlineStr">
        <is>
          <t>2026-06-18</t>
        </is>
      </c>
    </row>
    <row r="1982">
      <c r="A1982" s="232" t="inlineStr">
        <is>
          <t>CR-1979</t>
        </is>
      </c>
      <c r="B1982" s="232" t="inlineStr">
        <is>
          <t>2026/27</t>
        </is>
      </c>
      <c r="C1982" s="233" t="n">
        <v>46062</v>
      </c>
      <c r="D1982" s="232" t="inlineStr">
        <is>
          <t>102775</t>
        </is>
      </c>
      <c r="E1982" s="232" t="inlineStr">
        <is>
          <t>PRORRATEO</t>
        </is>
      </c>
      <c r="F1982" s="232" t="inlineStr">
        <is>
          <t>Asmara</t>
        </is>
      </c>
      <c r="G1982" s="232" t="inlineStr">
        <is>
          <t>w. murcott 19,8 ha</t>
        </is>
      </c>
      <c r="H1982" s="232" t="inlineStr">
        <is>
          <t>Mandarina</t>
        </is>
      </c>
      <c r="I1982" s="232" t="inlineStr">
        <is>
          <t>W. murcott</t>
        </is>
      </c>
      <c r="J1982" s="232" t="inlineStr">
        <is>
          <t>MANTENCION MAQUINARIAS</t>
        </is>
      </c>
      <c r="K1982" s="232" t="inlineStr">
        <is>
          <t>SIBE. COLOSO 1 (16.010)</t>
        </is>
      </c>
      <c r="L1982" s="232" t="inlineStr">
        <is>
          <t>[PRORRATEO 13.4% 19.8há/148.3há] O/001354 CAMARA ARO</t>
        </is>
      </c>
      <c r="M1982" s="232" t="inlineStr"/>
      <c r="N1982" s="232" t="inlineStr">
        <is>
          <t>.   .   -</t>
        </is>
      </c>
      <c r="O1982" s="232" t="inlineStr">
        <is>
          <t>FEBRERO</t>
        </is>
      </c>
      <c r="P1982" s="232" t="n">
        <v>6</v>
      </c>
      <c r="Q1982" s="234" t="n">
        <v>1841</v>
      </c>
      <c r="R1982" s="232" t="inlineStr"/>
      <c r="S1982" s="234" t="n">
        <v>1841</v>
      </c>
      <c r="T1982" s="232" t="inlineStr">
        <is>
          <t>CLP</t>
        </is>
      </c>
      <c r="U1982" s="232" t="inlineStr">
        <is>
          <t>Prorrateo Ha BODEGA</t>
        </is>
      </c>
      <c r="V1982" s="232" t="inlineStr">
        <is>
          <t>2026-06-18</t>
        </is>
      </c>
    </row>
    <row r="1983">
      <c r="A1983" s="232" t="inlineStr">
        <is>
          <t>CR-1980</t>
        </is>
      </c>
      <c r="B1983" s="232" t="inlineStr">
        <is>
          <t>2026/27</t>
        </is>
      </c>
      <c r="C1983" s="233" t="n">
        <v>46062</v>
      </c>
      <c r="D1983" s="232" t="inlineStr">
        <is>
          <t>102775</t>
        </is>
      </c>
      <c r="E1983" s="232" t="inlineStr">
        <is>
          <t>PRORRATEO</t>
        </is>
      </c>
      <c r="F1983" s="232" t="inlineStr">
        <is>
          <t>Asmara</t>
        </is>
      </c>
      <c r="G1983" s="232" t="inlineStr">
        <is>
          <t>w. murcott 4,9 ha</t>
        </is>
      </c>
      <c r="H1983" s="232" t="inlineStr">
        <is>
          <t>Mandarina</t>
        </is>
      </c>
      <c r="I1983" s="232" t="inlineStr">
        <is>
          <t>W. murcott</t>
        </is>
      </c>
      <c r="J1983" s="232" t="inlineStr">
        <is>
          <t>MANTENCION MAQUINARIAS</t>
        </is>
      </c>
      <c r="K1983" s="232" t="inlineStr">
        <is>
          <t>SIBE. COLOSO 1 (16.010)</t>
        </is>
      </c>
      <c r="L1983" s="232" t="inlineStr">
        <is>
          <t>[PRORRATEO 3.3% 4.9há/148.3há] O/001354 CAMARA ARO</t>
        </is>
      </c>
      <c r="M1983" s="232" t="inlineStr"/>
      <c r="N1983" s="232" t="inlineStr">
        <is>
          <t>.   .   -</t>
        </is>
      </c>
      <c r="O1983" s="232" t="inlineStr">
        <is>
          <t>FEBRERO</t>
        </is>
      </c>
      <c r="P1983" s="232" t="n">
        <v>6</v>
      </c>
      <c r="Q1983" s="234" t="n">
        <v>455</v>
      </c>
      <c r="R1983" s="232" t="inlineStr"/>
      <c r="S1983" s="234" t="n">
        <v>455</v>
      </c>
      <c r="T1983" s="232" t="inlineStr">
        <is>
          <t>CLP</t>
        </is>
      </c>
      <c r="U1983" s="232" t="inlineStr">
        <is>
          <t>Prorrateo Ha BODEGA</t>
        </is>
      </c>
      <c r="V1983" s="232" t="inlineStr">
        <is>
          <t>2026-06-18</t>
        </is>
      </c>
    </row>
    <row r="1984">
      <c r="A1984" s="232" t="inlineStr">
        <is>
          <t>CR-1981</t>
        </is>
      </c>
      <c r="B1984" s="232" t="inlineStr">
        <is>
          <t>2026/27</t>
        </is>
      </c>
      <c r="C1984" s="233" t="n">
        <v>46062</v>
      </c>
      <c r="D1984" s="232" t="inlineStr">
        <is>
          <t>102775</t>
        </is>
      </c>
      <c r="E1984" s="232" t="inlineStr">
        <is>
          <t>PRORRATEO</t>
        </is>
      </c>
      <c r="F1984" s="232" t="inlineStr">
        <is>
          <t>El Molle</t>
        </is>
      </c>
      <c r="G1984" s="232" t="inlineStr">
        <is>
          <t>Wonderful 5,25 ha</t>
        </is>
      </c>
      <c r="H1984" s="232" t="inlineStr">
        <is>
          <t>Granados</t>
        </is>
      </c>
      <c r="I1984" s="232" t="inlineStr">
        <is>
          <t>Wonderfull</t>
        </is>
      </c>
      <c r="J1984" s="232" t="inlineStr">
        <is>
          <t>MANTENCION MAQUINARIAS</t>
        </is>
      </c>
      <c r="K1984" s="232" t="inlineStr">
        <is>
          <t>SIBE. COLOSO 1 (16.010)</t>
        </is>
      </c>
      <c r="L1984" s="232" t="inlineStr">
        <is>
          <t>[PRORRATEO 3.5% 5.24há/148.3há] O/001354 CAMARA ARO</t>
        </is>
      </c>
      <c r="M1984" s="232" t="inlineStr"/>
      <c r="N1984" s="232" t="inlineStr">
        <is>
          <t>.   .   -</t>
        </is>
      </c>
      <c r="O1984" s="232" t="inlineStr">
        <is>
          <t>FEBRERO</t>
        </is>
      </c>
      <c r="P1984" s="232" t="n">
        <v>6</v>
      </c>
      <c r="Q1984" s="234" t="n">
        <v>487</v>
      </c>
      <c r="R1984" s="232" t="inlineStr"/>
      <c r="S1984" s="234" t="n">
        <v>487</v>
      </c>
      <c r="T1984" s="232" t="inlineStr">
        <is>
          <t>CLP</t>
        </is>
      </c>
      <c r="U1984" s="232" t="inlineStr">
        <is>
          <t>Prorrateo Ha BODEGA</t>
        </is>
      </c>
      <c r="V1984" s="232" t="inlineStr">
        <is>
          <t>2026-06-18</t>
        </is>
      </c>
    </row>
    <row r="1985">
      <c r="A1985" s="232" t="inlineStr">
        <is>
          <t>CR-1982</t>
        </is>
      </c>
      <c r="B1985" s="232" t="inlineStr">
        <is>
          <t>2026/27</t>
        </is>
      </c>
      <c r="C1985" s="233" t="n">
        <v>46062</v>
      </c>
      <c r="D1985" s="232" t="inlineStr">
        <is>
          <t>102775</t>
        </is>
      </c>
      <c r="E1985" s="232" t="inlineStr">
        <is>
          <t>PRORRATEO</t>
        </is>
      </c>
      <c r="F1985" s="232" t="inlineStr">
        <is>
          <t>El Molle</t>
        </is>
      </c>
      <c r="G1985" s="232" t="inlineStr">
        <is>
          <t>arrufatinas 5,74 ha</t>
        </is>
      </c>
      <c r="H1985" s="232" t="inlineStr">
        <is>
          <t>Clementinas</t>
        </is>
      </c>
      <c r="I1985" s="232" t="inlineStr">
        <is>
          <t>Arrufatinas</t>
        </is>
      </c>
      <c r="J1985" s="232" t="inlineStr">
        <is>
          <t>MANTENCION MAQUINARIAS</t>
        </is>
      </c>
      <c r="K1985" s="232" t="inlineStr">
        <is>
          <t>SIBE. COLOSO 1 (16.010)</t>
        </is>
      </c>
      <c r="L1985" s="232" t="inlineStr">
        <is>
          <t>[PRORRATEO 3.9% 5.74há/148.3há] O/001354 CAMARA ARO</t>
        </is>
      </c>
      <c r="M1985" s="232" t="inlineStr"/>
      <c r="N1985" s="232" t="inlineStr">
        <is>
          <t>.   .   -</t>
        </is>
      </c>
      <c r="O1985" s="232" t="inlineStr">
        <is>
          <t>FEBRERO</t>
        </is>
      </c>
      <c r="P1985" s="232" t="n">
        <v>6</v>
      </c>
      <c r="Q1985" s="234" t="n">
        <v>534</v>
      </c>
      <c r="R1985" s="232" t="inlineStr"/>
      <c r="S1985" s="234" t="n">
        <v>534</v>
      </c>
      <c r="T1985" s="232" t="inlineStr">
        <is>
          <t>CLP</t>
        </is>
      </c>
      <c r="U1985" s="232" t="inlineStr">
        <is>
          <t>Prorrateo Ha BODEGA</t>
        </is>
      </c>
      <c r="V1985" s="232" t="inlineStr">
        <is>
          <t>2026-06-18</t>
        </is>
      </c>
    </row>
    <row r="1986">
      <c r="A1986" s="232" t="inlineStr">
        <is>
          <t>CR-1983</t>
        </is>
      </c>
      <c r="B1986" s="232" t="inlineStr">
        <is>
          <t>2026/27</t>
        </is>
      </c>
      <c r="C1986" s="233" t="n">
        <v>46062</v>
      </c>
      <c r="D1986" s="232" t="inlineStr">
        <is>
          <t>102775</t>
        </is>
      </c>
      <c r="E1986" s="232" t="inlineStr">
        <is>
          <t>PRORRATEO</t>
        </is>
      </c>
      <c r="F1986" s="232" t="inlineStr">
        <is>
          <t>El Molle</t>
        </is>
      </c>
      <c r="G1986" s="232" t="inlineStr">
        <is>
          <t>orogrande 8,11 ha</t>
        </is>
      </c>
      <c r="H1986" s="232" t="inlineStr">
        <is>
          <t>Clementinas</t>
        </is>
      </c>
      <c r="I1986" s="232" t="inlineStr">
        <is>
          <t>Orogrande</t>
        </is>
      </c>
      <c r="J1986" s="232" t="inlineStr">
        <is>
          <t>MANTENCION MAQUINARIAS</t>
        </is>
      </c>
      <c r="K1986" s="232" t="inlineStr">
        <is>
          <t>SIBE. COLOSO 1 (16.010)</t>
        </is>
      </c>
      <c r="L1986" s="232" t="inlineStr">
        <is>
          <t>[PRORRATEO 5.5% 8.11há/148.3há] O/001354 CAMARA ARO</t>
        </is>
      </c>
      <c r="M1986" s="232" t="inlineStr"/>
      <c r="N1986" s="232" t="inlineStr">
        <is>
          <t>.   .   -</t>
        </is>
      </c>
      <c r="O1986" s="232" t="inlineStr">
        <is>
          <t>FEBRERO</t>
        </is>
      </c>
      <c r="P1986" s="232" t="n">
        <v>6</v>
      </c>
      <c r="Q1986" s="234" t="n">
        <v>754</v>
      </c>
      <c r="R1986" s="232" t="inlineStr"/>
      <c r="S1986" s="234" t="n">
        <v>754</v>
      </c>
      <c r="T1986" s="232" t="inlineStr">
        <is>
          <t>CLP</t>
        </is>
      </c>
      <c r="U1986" s="232" t="inlineStr">
        <is>
          <t>Prorrateo Ha BODEGA</t>
        </is>
      </c>
      <c r="V1986" s="232" t="inlineStr">
        <is>
          <t>2026-06-18</t>
        </is>
      </c>
    </row>
    <row r="1987">
      <c r="A1987" s="232" t="inlineStr">
        <is>
          <t>CR-1984</t>
        </is>
      </c>
      <c r="B1987" s="232" t="inlineStr">
        <is>
          <t>2026/27</t>
        </is>
      </c>
      <c r="C1987" s="233" t="n">
        <v>46062</v>
      </c>
      <c r="D1987" s="232" t="inlineStr">
        <is>
          <t>102775</t>
        </is>
      </c>
      <c r="E1987" s="232" t="inlineStr">
        <is>
          <t>PRORRATEO</t>
        </is>
      </c>
      <c r="F1987" s="232" t="inlineStr">
        <is>
          <t>El Molle</t>
        </is>
      </c>
      <c r="G1987" s="232" t="inlineStr">
        <is>
          <t>oronules 5,35 ha</t>
        </is>
      </c>
      <c r="H1987" s="232" t="inlineStr">
        <is>
          <t>Clementinas</t>
        </is>
      </c>
      <c r="I1987" s="232" t="inlineStr">
        <is>
          <t>Oronules</t>
        </is>
      </c>
      <c r="J1987" s="232" t="inlineStr">
        <is>
          <t>MANTENCION MAQUINARIAS</t>
        </is>
      </c>
      <c r="K1987" s="232" t="inlineStr">
        <is>
          <t>SIBE. COLOSO 1 (16.010)</t>
        </is>
      </c>
      <c r="L1987" s="232" t="inlineStr">
        <is>
          <t>[PRORRATEO 3.6% 5.35há/148.3há] O/001354 CAMARA ARO</t>
        </is>
      </c>
      <c r="M1987" s="232" t="inlineStr"/>
      <c r="N1987" s="232" t="inlineStr">
        <is>
          <t>.   .   -</t>
        </is>
      </c>
      <c r="O1987" s="232" t="inlineStr">
        <is>
          <t>FEBRERO</t>
        </is>
      </c>
      <c r="P1987" s="232" t="n">
        <v>6</v>
      </c>
      <c r="Q1987" s="234" t="n">
        <v>497</v>
      </c>
      <c r="R1987" s="232" t="inlineStr"/>
      <c r="S1987" s="234" t="n">
        <v>497</v>
      </c>
      <c r="T1987" s="232" t="inlineStr">
        <is>
          <t>CLP</t>
        </is>
      </c>
      <c r="U1987" s="232" t="inlineStr">
        <is>
          <t>Prorrateo Ha BODEGA</t>
        </is>
      </c>
      <c r="V1987" s="232" t="inlineStr">
        <is>
          <t>2026-06-18</t>
        </is>
      </c>
    </row>
    <row r="1988">
      <c r="A1988" s="232" t="inlineStr">
        <is>
          <t>CR-1985</t>
        </is>
      </c>
      <c r="B1988" s="232" t="inlineStr">
        <is>
          <t>2026/27</t>
        </is>
      </c>
      <c r="C1988" s="233" t="n">
        <v>46062</v>
      </c>
      <c r="D1988" s="232" t="inlineStr">
        <is>
          <t>102775</t>
        </is>
      </c>
      <c r="E1988" s="232" t="inlineStr">
        <is>
          <t>PRORRATEO</t>
        </is>
      </c>
      <c r="F1988" s="232" t="inlineStr">
        <is>
          <t>Santa Catalina</t>
        </is>
      </c>
      <c r="G1988" s="232" t="inlineStr">
        <is>
          <t>Fino 49 7,7 ha</t>
        </is>
      </c>
      <c r="H1988" s="232" t="inlineStr">
        <is>
          <t>Limon</t>
        </is>
      </c>
      <c r="I1988" s="232" t="inlineStr">
        <is>
          <t>Fino 49</t>
        </is>
      </c>
      <c r="J1988" s="232" t="inlineStr">
        <is>
          <t>MANTENCION MAQUINARIAS</t>
        </is>
      </c>
      <c r="K1988" s="232" t="inlineStr">
        <is>
          <t>SIBE. COLOSO 1 (16.010)</t>
        </is>
      </c>
      <c r="L1988" s="232" t="inlineStr">
        <is>
          <t>[PRORRATEO 5.2% 7.7há/148.3há] O/001354 CAMARA ARO</t>
        </is>
      </c>
      <c r="M1988" s="232" t="inlineStr"/>
      <c r="N1988" s="232" t="inlineStr">
        <is>
          <t>.   .   -</t>
        </is>
      </c>
      <c r="O1988" s="232" t="inlineStr">
        <is>
          <t>FEBRERO</t>
        </is>
      </c>
      <c r="P1988" s="232" t="n">
        <v>6</v>
      </c>
      <c r="Q1988" s="234" t="n">
        <v>716</v>
      </c>
      <c r="R1988" s="232" t="inlineStr"/>
      <c r="S1988" s="234" t="n">
        <v>716</v>
      </c>
      <c r="T1988" s="232" t="inlineStr">
        <is>
          <t>CLP</t>
        </is>
      </c>
      <c r="U1988" s="232" t="inlineStr">
        <is>
          <t>Prorrateo Ha BODEGA</t>
        </is>
      </c>
      <c r="V1988" s="232" t="inlineStr">
        <is>
          <t>2026-06-18</t>
        </is>
      </c>
    </row>
    <row r="1989">
      <c r="A1989" s="232" t="inlineStr">
        <is>
          <t>CR-1986</t>
        </is>
      </c>
      <c r="B1989" s="232" t="inlineStr">
        <is>
          <t>2026/27</t>
        </is>
      </c>
      <c r="C1989" s="233" t="n">
        <v>46062</v>
      </c>
      <c r="D1989" s="232" t="inlineStr">
        <is>
          <t>102775</t>
        </is>
      </c>
      <c r="E1989" s="232" t="inlineStr">
        <is>
          <t>PRORRATEO</t>
        </is>
      </c>
      <c r="F1989" s="232" t="inlineStr">
        <is>
          <t>Santa Catalina</t>
        </is>
      </c>
      <c r="G1989" s="232" t="inlineStr">
        <is>
          <t>W. murcott 21 ha</t>
        </is>
      </c>
      <c r="H1989" s="232" t="inlineStr">
        <is>
          <t>Mandarina</t>
        </is>
      </c>
      <c r="I1989" s="232" t="inlineStr">
        <is>
          <t>W. murcott</t>
        </is>
      </c>
      <c r="J1989" s="232" t="inlineStr">
        <is>
          <t>MANTENCION MAQUINARIAS</t>
        </is>
      </c>
      <c r="K1989" s="232" t="inlineStr">
        <is>
          <t>SIBE. COLOSO 1 (16.010)</t>
        </is>
      </c>
      <c r="L1989" s="232" t="inlineStr">
        <is>
          <t>[PRORRATEO 14.2% 21.0há/148.3há] O/001354 CAMARA ARO</t>
        </is>
      </c>
      <c r="M1989" s="232" t="inlineStr"/>
      <c r="N1989" s="232" t="inlineStr">
        <is>
          <t>.   .   -</t>
        </is>
      </c>
      <c r="O1989" s="232" t="inlineStr">
        <is>
          <t>FEBRERO</t>
        </is>
      </c>
      <c r="P1989" s="232" t="n">
        <v>6</v>
      </c>
      <c r="Q1989" s="234" t="n">
        <v>1952</v>
      </c>
      <c r="R1989" s="232" t="inlineStr"/>
      <c r="S1989" s="234" t="n">
        <v>1952</v>
      </c>
      <c r="T1989" s="232" t="inlineStr">
        <is>
          <t>CLP</t>
        </is>
      </c>
      <c r="U1989" s="232" t="inlineStr">
        <is>
          <t>Prorrateo Ha BODEGA</t>
        </is>
      </c>
      <c r="V1989" s="232" t="inlineStr">
        <is>
          <t>2026-06-18</t>
        </is>
      </c>
    </row>
    <row r="1990">
      <c r="A1990" s="232" t="inlineStr">
        <is>
          <t>CR-1987</t>
        </is>
      </c>
      <c r="B1990" s="232" t="inlineStr">
        <is>
          <t>2026/27</t>
        </is>
      </c>
      <c r="C1990" s="233" t="n">
        <v>46062</v>
      </c>
      <c r="D1990" s="232" t="inlineStr">
        <is>
          <t>102775</t>
        </is>
      </c>
      <c r="E1990" s="232" t="inlineStr">
        <is>
          <t>PRORRATEO</t>
        </is>
      </c>
      <c r="F1990" s="232" t="inlineStr">
        <is>
          <t>Santa Catalina</t>
        </is>
      </c>
      <c r="G1990" s="232" t="inlineStr">
        <is>
          <t>cambria 4,2 ha</t>
        </is>
      </c>
      <c r="H1990" s="232" t="inlineStr">
        <is>
          <t>Naranjas</t>
        </is>
      </c>
      <c r="I1990" s="232" t="inlineStr">
        <is>
          <t>Cambria</t>
        </is>
      </c>
      <c r="J1990" s="232" t="inlineStr">
        <is>
          <t>MANTENCION MAQUINARIAS</t>
        </is>
      </c>
      <c r="K1990" s="232" t="inlineStr">
        <is>
          <t>SIBE. COLOSO 1 (16.010)</t>
        </is>
      </c>
      <c r="L1990" s="232" t="inlineStr">
        <is>
          <t>[PRORRATEO 2.8% 4.2há/148.3há] O/001354 CAMARA ARO</t>
        </is>
      </c>
      <c r="M1990" s="232" t="inlineStr"/>
      <c r="N1990" s="232" t="inlineStr">
        <is>
          <t>.   .   -</t>
        </is>
      </c>
      <c r="O1990" s="232" t="inlineStr">
        <is>
          <t>FEBRERO</t>
        </is>
      </c>
      <c r="P1990" s="232" t="n">
        <v>6</v>
      </c>
      <c r="Q1990" s="234" t="n">
        <v>390</v>
      </c>
      <c r="R1990" s="232" t="inlineStr"/>
      <c r="S1990" s="234" t="n">
        <v>390</v>
      </c>
      <c r="T1990" s="232" t="inlineStr">
        <is>
          <t>CLP</t>
        </is>
      </c>
      <c r="U1990" s="232" t="inlineStr">
        <is>
          <t>Prorrateo Ha BODEGA</t>
        </is>
      </c>
      <c r="V1990" s="232" t="inlineStr">
        <is>
          <t>2026-06-18</t>
        </is>
      </c>
    </row>
    <row r="1991">
      <c r="A1991" s="232" t="inlineStr">
        <is>
          <t>CR-1988</t>
        </is>
      </c>
      <c r="B1991" s="232" t="inlineStr">
        <is>
          <t>2026/27</t>
        </is>
      </c>
      <c r="C1991" s="233" t="n">
        <v>46062</v>
      </c>
      <c r="D1991" s="232" t="inlineStr">
        <is>
          <t>102775</t>
        </is>
      </c>
      <c r="E1991" s="232" t="inlineStr">
        <is>
          <t>PRORRATEO</t>
        </is>
      </c>
      <c r="F1991" s="232" t="inlineStr">
        <is>
          <t>Santa Catalina</t>
        </is>
      </c>
      <c r="G1991" s="232" t="inlineStr">
        <is>
          <t>eureka 10,6 ha</t>
        </is>
      </c>
      <c r="H1991" s="232" t="inlineStr">
        <is>
          <t>Limon</t>
        </is>
      </c>
      <c r="I1991" s="232" t="inlineStr">
        <is>
          <t>Eureka</t>
        </is>
      </c>
      <c r="J1991" s="232" t="inlineStr">
        <is>
          <t>MANTENCION MAQUINARIAS</t>
        </is>
      </c>
      <c r="K1991" s="232" t="inlineStr">
        <is>
          <t>SIBE. COLOSO 1 (16.010)</t>
        </is>
      </c>
      <c r="L1991" s="232" t="inlineStr">
        <is>
          <t>[PRORRATEO 7.1% 10.6há/148.3há] O/001354 CAMARA ARO</t>
        </is>
      </c>
      <c r="M1991" s="232" t="inlineStr"/>
      <c r="N1991" s="232" t="inlineStr">
        <is>
          <t>.   .   -</t>
        </is>
      </c>
      <c r="O1991" s="232" t="inlineStr">
        <is>
          <t>FEBRERO</t>
        </is>
      </c>
      <c r="P1991" s="232" t="n">
        <v>6</v>
      </c>
      <c r="Q1991" s="234" t="n">
        <v>985</v>
      </c>
      <c r="R1991" s="232" t="inlineStr"/>
      <c r="S1991" s="234" t="n">
        <v>985</v>
      </c>
      <c r="T1991" s="232" t="inlineStr">
        <is>
          <t>CLP</t>
        </is>
      </c>
      <c r="U1991" s="232" t="inlineStr">
        <is>
          <t>Prorrateo Ha BODEGA</t>
        </is>
      </c>
      <c r="V1991" s="232" t="inlineStr">
        <is>
          <t>2026-06-18</t>
        </is>
      </c>
    </row>
    <row r="1992">
      <c r="A1992" s="232" t="inlineStr">
        <is>
          <t>CR-1989</t>
        </is>
      </c>
      <c r="B1992" s="232" t="inlineStr">
        <is>
          <t>2026/27</t>
        </is>
      </c>
      <c r="C1992" s="233" t="n">
        <v>46062</v>
      </c>
      <c r="D1992" s="232" t="inlineStr">
        <is>
          <t>102775</t>
        </is>
      </c>
      <c r="E1992" s="232" t="inlineStr">
        <is>
          <t>PRORRATEO</t>
        </is>
      </c>
      <c r="F1992" s="232" t="inlineStr">
        <is>
          <t>Santa Catalina</t>
        </is>
      </c>
      <c r="G1992" s="232" t="inlineStr">
        <is>
          <t>eureka 14,4 ha</t>
        </is>
      </c>
      <c r="H1992" s="232" t="inlineStr">
        <is>
          <t>Limon</t>
        </is>
      </c>
      <c r="I1992" s="232" t="inlineStr">
        <is>
          <t>Eureka</t>
        </is>
      </c>
      <c r="J1992" s="232" t="inlineStr">
        <is>
          <t>MANTENCION MAQUINARIAS</t>
        </is>
      </c>
      <c r="K1992" s="232" t="inlineStr">
        <is>
          <t>SIBE. COLOSO 1 (16.010)</t>
        </is>
      </c>
      <c r="L1992" s="232" t="inlineStr">
        <is>
          <t>[PRORRATEO 9.7% 14.4há/148.3há] O/001354 CAMARA ARO</t>
        </is>
      </c>
      <c r="M1992" s="232" t="inlineStr"/>
      <c r="N1992" s="232" t="inlineStr">
        <is>
          <t>.   .   -</t>
        </is>
      </c>
      <c r="O1992" s="232" t="inlineStr">
        <is>
          <t>FEBRERO</t>
        </is>
      </c>
      <c r="P1992" s="232" t="n">
        <v>6</v>
      </c>
      <c r="Q1992" s="234" t="n">
        <v>1339</v>
      </c>
      <c r="R1992" s="232" t="inlineStr"/>
      <c r="S1992" s="234" t="n">
        <v>1339</v>
      </c>
      <c r="T1992" s="232" t="inlineStr">
        <is>
          <t>CLP</t>
        </is>
      </c>
      <c r="U1992" s="232" t="inlineStr">
        <is>
          <t>Prorrateo Ha BODEGA</t>
        </is>
      </c>
      <c r="V1992" s="232" t="inlineStr">
        <is>
          <t>2026-06-18</t>
        </is>
      </c>
    </row>
    <row r="1993">
      <c r="A1993" s="232" t="inlineStr">
        <is>
          <t>CR-1990</t>
        </is>
      </c>
      <c r="B1993" s="232" t="inlineStr">
        <is>
          <t>2026/27</t>
        </is>
      </c>
      <c r="C1993" s="233" t="n">
        <v>46062</v>
      </c>
      <c r="D1993" s="232" t="inlineStr">
        <is>
          <t>102775</t>
        </is>
      </c>
      <c r="E1993" s="232" t="inlineStr">
        <is>
          <t>PRORRATEO</t>
        </is>
      </c>
      <c r="F1993" s="232" t="inlineStr">
        <is>
          <t>Santa Catalina</t>
        </is>
      </c>
      <c r="G1993" s="232" t="inlineStr">
        <is>
          <t>eureka 22,55</t>
        </is>
      </c>
      <c r="H1993" s="232" t="inlineStr">
        <is>
          <t>Limon</t>
        </is>
      </c>
      <c r="I1993" s="232" t="inlineStr">
        <is>
          <t>Eureka</t>
        </is>
      </c>
      <c r="J1993" s="232" t="inlineStr">
        <is>
          <t>MANTENCION MAQUINARIAS</t>
        </is>
      </c>
      <c r="K1993" s="232" t="inlineStr">
        <is>
          <t>SIBE. COLOSO 1 (16.010)</t>
        </is>
      </c>
      <c r="L1993" s="232" t="inlineStr">
        <is>
          <t>[PRORRATEO 15.2% 22.55há/148.3há] O/001354 CAMARA ARO</t>
        </is>
      </c>
      <c r="M1993" s="232" t="inlineStr"/>
      <c r="N1993" s="232" t="inlineStr">
        <is>
          <t>.   .   -</t>
        </is>
      </c>
      <c r="O1993" s="232" t="inlineStr">
        <is>
          <t>FEBRERO</t>
        </is>
      </c>
      <c r="P1993" s="232" t="n">
        <v>6</v>
      </c>
      <c r="Q1993" s="234" t="n">
        <v>2096</v>
      </c>
      <c r="R1993" s="232" t="inlineStr"/>
      <c r="S1993" s="234" t="n">
        <v>2096</v>
      </c>
      <c r="T1993" s="232" t="inlineStr">
        <is>
          <t>CLP</t>
        </is>
      </c>
      <c r="U1993" s="232" t="inlineStr">
        <is>
          <t>Prorrateo Ha BODEGA</t>
        </is>
      </c>
      <c r="V1993" s="232" t="inlineStr">
        <is>
          <t>2026-06-18</t>
        </is>
      </c>
    </row>
    <row r="1994">
      <c r="A1994" s="232" t="inlineStr">
        <is>
          <t>CR-1991</t>
        </is>
      </c>
      <c r="B1994" s="232" t="inlineStr">
        <is>
          <t>2026/27</t>
        </is>
      </c>
      <c r="C1994" s="233" t="n">
        <v>46062</v>
      </c>
      <c r="D1994" s="232" t="inlineStr">
        <is>
          <t>102775</t>
        </is>
      </c>
      <c r="E1994" s="232" t="inlineStr">
        <is>
          <t>PRORRATEO</t>
        </is>
      </c>
      <c r="F1994" s="232" t="inlineStr">
        <is>
          <t>Santa Catalina</t>
        </is>
      </c>
      <c r="G1994" s="232" t="inlineStr">
        <is>
          <t>form benjamin 1,93 ha</t>
        </is>
      </c>
      <c r="H1994" s="232" t="inlineStr">
        <is>
          <t>Limon</t>
        </is>
      </c>
      <c r="I1994" s="232" t="inlineStr">
        <is>
          <t>Benjamin andes</t>
        </is>
      </c>
      <c r="J1994" s="232" t="inlineStr">
        <is>
          <t>MANTENCION MAQUINARIAS</t>
        </is>
      </c>
      <c r="K1994" s="232" t="inlineStr">
        <is>
          <t>SIBE. COLOSO 1 (16.010)</t>
        </is>
      </c>
      <c r="L1994" s="232" t="inlineStr">
        <is>
          <t>[PRORRATEO 1.3% 1.93há/148.3há] O/001354 CAMARA ARO</t>
        </is>
      </c>
      <c r="M1994" s="232" t="inlineStr"/>
      <c r="N1994" s="232" t="inlineStr">
        <is>
          <t>.   .   -</t>
        </is>
      </c>
      <c r="O1994" s="232" t="inlineStr">
        <is>
          <t>FEBRERO</t>
        </is>
      </c>
      <c r="P1994" s="232" t="n">
        <v>6</v>
      </c>
      <c r="Q1994" s="234" t="n">
        <v>179</v>
      </c>
      <c r="R1994" s="232" t="inlineStr"/>
      <c r="S1994" s="234" t="n">
        <v>179</v>
      </c>
      <c r="T1994" s="232" t="inlineStr">
        <is>
          <t>CLP</t>
        </is>
      </c>
      <c r="U1994" s="232" t="inlineStr">
        <is>
          <t>Prorrateo Ha BODEGA</t>
        </is>
      </c>
      <c r="V1994" s="232" t="inlineStr">
        <is>
          <t>2026-06-18</t>
        </is>
      </c>
    </row>
    <row r="1995">
      <c r="A1995" s="232" t="inlineStr">
        <is>
          <t>CR-1992</t>
        </is>
      </c>
      <c r="B1995" s="232" t="inlineStr">
        <is>
          <t>2026/27</t>
        </is>
      </c>
      <c r="C1995" s="233" t="n">
        <v>46062</v>
      </c>
      <c r="D1995" s="232" t="inlineStr">
        <is>
          <t>102775</t>
        </is>
      </c>
      <c r="E1995" s="232" t="inlineStr">
        <is>
          <t>PRORRATEO</t>
        </is>
      </c>
      <c r="F1995" s="232" t="inlineStr">
        <is>
          <t>Santa Catalina</t>
        </is>
      </c>
      <c r="G1995" s="232" t="inlineStr">
        <is>
          <t>mant eureka 2,5 ha</t>
        </is>
      </c>
      <c r="H1995" s="232" t="inlineStr">
        <is>
          <t>Limon</t>
        </is>
      </c>
      <c r="I1995" s="232" t="inlineStr">
        <is>
          <t>Eureka</t>
        </is>
      </c>
      <c r="J1995" s="232" t="inlineStr">
        <is>
          <t>MANTENCION MAQUINARIAS</t>
        </is>
      </c>
      <c r="K1995" s="232" t="inlineStr">
        <is>
          <t>SIBE. COLOSO 1 (16.010)</t>
        </is>
      </c>
      <c r="L1995" s="232" t="inlineStr">
        <is>
          <t>[PRORRATEO 1.7% 2.5há/148.3há] O/001354 CAMARA ARO</t>
        </is>
      </c>
      <c r="M1995" s="232" t="inlineStr"/>
      <c r="N1995" s="232" t="inlineStr">
        <is>
          <t>.   .   -</t>
        </is>
      </c>
      <c r="O1995" s="232" t="inlineStr">
        <is>
          <t>FEBRERO</t>
        </is>
      </c>
      <c r="P1995" s="232" t="n">
        <v>6</v>
      </c>
      <c r="Q1995" s="234" t="n">
        <v>232</v>
      </c>
      <c r="R1995" s="232" t="inlineStr"/>
      <c r="S1995" s="234" t="n">
        <v>232</v>
      </c>
      <c r="T1995" s="232" t="inlineStr">
        <is>
          <t>CLP</t>
        </is>
      </c>
      <c r="U1995" s="232" t="inlineStr">
        <is>
          <t>Prorrateo Ha BODEGA</t>
        </is>
      </c>
      <c r="V1995" s="232" t="inlineStr">
        <is>
          <t>2026-06-18</t>
        </is>
      </c>
    </row>
    <row r="1996">
      <c r="A1996" s="232" t="inlineStr">
        <is>
          <t>CR-1993</t>
        </is>
      </c>
      <c r="B1996" s="232" t="inlineStr">
        <is>
          <t>2026/27</t>
        </is>
      </c>
      <c r="C1996" s="233" t="n">
        <v>46062</v>
      </c>
      <c r="D1996" s="232" t="inlineStr">
        <is>
          <t>102775</t>
        </is>
      </c>
      <c r="E1996" s="232" t="inlineStr">
        <is>
          <t>PRORRATEO</t>
        </is>
      </c>
      <c r="F1996" s="232" t="inlineStr">
        <is>
          <t>Siberia</t>
        </is>
      </c>
      <c r="G1996" s="232" t="inlineStr">
        <is>
          <t>S. Celebration 7,14</t>
        </is>
      </c>
      <c r="H1996" s="232" t="inlineStr">
        <is>
          <t>Uvas</t>
        </is>
      </c>
      <c r="I1996" s="232" t="inlineStr">
        <is>
          <t>S. celebration</t>
        </is>
      </c>
      <c r="J1996" s="232" t="inlineStr">
        <is>
          <t>MANTENCION MAQUINARIAS</t>
        </is>
      </c>
      <c r="K1996" s="232" t="inlineStr">
        <is>
          <t>SIBE. COLOSO 1 (16.010)</t>
        </is>
      </c>
      <c r="L1996" s="232" t="inlineStr">
        <is>
          <t>[PRORRATEO 4.8% 7.14há/148.3há] O/001354 CAMARA ARO</t>
        </is>
      </c>
      <c r="M1996" s="232" t="inlineStr"/>
      <c r="N1996" s="232" t="inlineStr">
        <is>
          <t>.   .   -</t>
        </is>
      </c>
      <c r="O1996" s="232" t="inlineStr">
        <is>
          <t>FEBRERO</t>
        </is>
      </c>
      <c r="P1996" s="232" t="n">
        <v>6</v>
      </c>
      <c r="Q1996" s="234" t="n">
        <v>664</v>
      </c>
      <c r="R1996" s="232" t="inlineStr"/>
      <c r="S1996" s="234" t="n">
        <v>664</v>
      </c>
      <c r="T1996" s="232" t="inlineStr">
        <is>
          <t>CLP</t>
        </is>
      </c>
      <c r="U1996" s="232" t="inlineStr">
        <is>
          <t>Prorrateo Ha BODEGA</t>
        </is>
      </c>
      <c r="V1996" s="232" t="inlineStr">
        <is>
          <t>2026-06-18</t>
        </is>
      </c>
    </row>
    <row r="1997">
      <c r="A1997" s="232" t="inlineStr">
        <is>
          <t>CR-1994</t>
        </is>
      </c>
      <c r="B1997" s="232" t="inlineStr">
        <is>
          <t>2026/27</t>
        </is>
      </c>
      <c r="C1997" s="233" t="n">
        <v>46062</v>
      </c>
      <c r="D1997" s="232" t="inlineStr">
        <is>
          <t>102775</t>
        </is>
      </c>
      <c r="E1997" s="232" t="inlineStr">
        <is>
          <t>PRORRATEO</t>
        </is>
      </c>
      <c r="F1997" s="232" t="inlineStr">
        <is>
          <t>Siberia</t>
        </is>
      </c>
      <c r="G1997" s="232" t="inlineStr">
        <is>
          <t>Timpson 7,1</t>
        </is>
      </c>
      <c r="H1997" s="232" t="inlineStr">
        <is>
          <t>Uvas</t>
        </is>
      </c>
      <c r="I1997" s="232" t="inlineStr">
        <is>
          <t>Timpson</t>
        </is>
      </c>
      <c r="J1997" s="232" t="inlineStr">
        <is>
          <t>MANTENCION MAQUINARIAS</t>
        </is>
      </c>
      <c r="K1997" s="232" t="inlineStr">
        <is>
          <t>SIBE. COLOSO 1 (16.010)</t>
        </is>
      </c>
      <c r="L1997" s="232" t="inlineStr">
        <is>
          <t>[PRORRATEO 4.8% 7.1há/148.3há] O/001354 CAMARA ARO</t>
        </is>
      </c>
      <c r="M1997" s="232" t="inlineStr"/>
      <c r="N1997" s="232" t="inlineStr">
        <is>
          <t>.   .   -</t>
        </is>
      </c>
      <c r="O1997" s="232" t="inlineStr">
        <is>
          <t>FEBRERO</t>
        </is>
      </c>
      <c r="P1997" s="232" t="n">
        <v>6</v>
      </c>
      <c r="Q1997" s="234" t="n">
        <v>660</v>
      </c>
      <c r="R1997" s="232" t="inlineStr"/>
      <c r="S1997" s="234" t="n">
        <v>660</v>
      </c>
      <c r="T1997" s="232" t="inlineStr">
        <is>
          <t>CLP</t>
        </is>
      </c>
      <c r="U1997" s="232" t="inlineStr">
        <is>
          <t>Prorrateo Ha BODEGA</t>
        </is>
      </c>
      <c r="V1997" s="232" t="inlineStr">
        <is>
          <t>2026-06-18</t>
        </is>
      </c>
    </row>
    <row r="1998">
      <c r="A1998" s="232" t="inlineStr">
        <is>
          <t>CR-1995</t>
        </is>
      </c>
      <c r="B1998" s="232" t="inlineStr">
        <is>
          <t>2026/27</t>
        </is>
      </c>
      <c r="C1998" s="233" t="n">
        <v>46063</v>
      </c>
      <c r="D1998" s="232" t="inlineStr">
        <is>
          <t>287</t>
        </is>
      </c>
      <c r="E1998" s="232" t="inlineStr">
        <is>
          <t>PRORRATEO</t>
        </is>
      </c>
      <c r="F1998" s="232" t="inlineStr">
        <is>
          <t>Asmara</t>
        </is>
      </c>
      <c r="G1998" s="232" t="inlineStr">
        <is>
          <t>w. murcott 19,8 ha</t>
        </is>
      </c>
      <c r="H1998" s="232" t="inlineStr">
        <is>
          <t>Mandarina</t>
        </is>
      </c>
      <c r="I1998" s="232" t="inlineStr">
        <is>
          <t>W. murcott</t>
        </is>
      </c>
      <c r="J1998" s="232" t="inlineStr">
        <is>
          <t>MANT. Y REP. CONSTRUCCIONES</t>
        </is>
      </c>
      <c r="K1998" s="232" t="inlineStr">
        <is>
          <t>MANTENCION ELECTRICA</t>
        </is>
      </c>
      <c r="L1998" s="232" t="inlineStr">
        <is>
          <t>[PRORRATEO 13.4% 19.8há/148.3há] O/001379 MANTENCION</t>
        </is>
      </c>
      <c r="M1998" s="232" t="inlineStr"/>
      <c r="N1998" s="232" t="inlineStr">
        <is>
          <t>.   .   -</t>
        </is>
      </c>
      <c r="O1998" s="232" t="inlineStr">
        <is>
          <t>FEBRERO</t>
        </is>
      </c>
      <c r="P1998" s="232" t="n">
        <v>6</v>
      </c>
      <c r="Q1998" s="234" t="n">
        <v>36676</v>
      </c>
      <c r="R1998" s="232" t="inlineStr"/>
      <c r="S1998" s="234" t="n">
        <v>36676</v>
      </c>
      <c r="T1998" s="232" t="inlineStr">
        <is>
          <t>CLP</t>
        </is>
      </c>
      <c r="U1998" s="232" t="inlineStr">
        <is>
          <t>Prorrateo Ha PACKING</t>
        </is>
      </c>
      <c r="V1998" s="232" t="inlineStr">
        <is>
          <t>2026-06-18</t>
        </is>
      </c>
    </row>
    <row r="1999">
      <c r="A1999" s="232" t="inlineStr">
        <is>
          <t>CR-1996</t>
        </is>
      </c>
      <c r="B1999" s="232" t="inlineStr">
        <is>
          <t>2026/27</t>
        </is>
      </c>
      <c r="C1999" s="233" t="n">
        <v>46063</v>
      </c>
      <c r="D1999" s="232" t="inlineStr">
        <is>
          <t>287</t>
        </is>
      </c>
      <c r="E1999" s="232" t="inlineStr">
        <is>
          <t>PRORRATEO</t>
        </is>
      </c>
      <c r="F1999" s="232" t="inlineStr">
        <is>
          <t>Asmara</t>
        </is>
      </c>
      <c r="G1999" s="232" t="inlineStr">
        <is>
          <t>w. murcott 4,9 ha</t>
        </is>
      </c>
      <c r="H1999" s="232" t="inlineStr">
        <is>
          <t>Mandarina</t>
        </is>
      </c>
      <c r="I1999" s="232" t="inlineStr">
        <is>
          <t>W. murcott</t>
        </is>
      </c>
      <c r="J1999" s="232" t="inlineStr">
        <is>
          <t>MANT. Y REP. CONSTRUCCIONES</t>
        </is>
      </c>
      <c r="K1999" s="232" t="inlineStr">
        <is>
          <t>MANTENCION ELECTRICA</t>
        </is>
      </c>
      <c r="L1999" s="232" t="inlineStr">
        <is>
          <t>[PRORRATEO 3.3% 4.9há/148.3há] O/001379 MANTENCION</t>
        </is>
      </c>
      <c r="M1999" s="232" t="inlineStr"/>
      <c r="N1999" s="232" t="inlineStr">
        <is>
          <t>.   .   -</t>
        </is>
      </c>
      <c r="O1999" s="232" t="inlineStr">
        <is>
          <t>FEBRERO</t>
        </is>
      </c>
      <c r="P1999" s="232" t="n">
        <v>6</v>
      </c>
      <c r="Q1999" s="234" t="n">
        <v>9076</v>
      </c>
      <c r="R1999" s="232" t="inlineStr"/>
      <c r="S1999" s="234" t="n">
        <v>9076</v>
      </c>
      <c r="T1999" s="232" t="inlineStr">
        <is>
          <t>CLP</t>
        </is>
      </c>
      <c r="U1999" s="232" t="inlineStr">
        <is>
          <t>Prorrateo Ha PACKING</t>
        </is>
      </c>
      <c r="V1999" s="232" t="inlineStr">
        <is>
          <t>2026-06-18</t>
        </is>
      </c>
    </row>
    <row r="2000">
      <c r="A2000" s="232" t="inlineStr">
        <is>
          <t>CR-1997</t>
        </is>
      </c>
      <c r="B2000" s="232" t="inlineStr">
        <is>
          <t>2026/27</t>
        </is>
      </c>
      <c r="C2000" s="233" t="n">
        <v>46063</v>
      </c>
      <c r="D2000" s="232" t="inlineStr">
        <is>
          <t>287</t>
        </is>
      </c>
      <c r="E2000" s="232" t="inlineStr">
        <is>
          <t>PRORRATEO</t>
        </is>
      </c>
      <c r="F2000" s="232" t="inlineStr">
        <is>
          <t>El Molle</t>
        </is>
      </c>
      <c r="G2000" s="232" t="inlineStr">
        <is>
          <t>Wonderful 5,25 ha</t>
        </is>
      </c>
      <c r="H2000" s="232" t="inlineStr">
        <is>
          <t>Granados</t>
        </is>
      </c>
      <c r="I2000" s="232" t="inlineStr">
        <is>
          <t>Wonderfull</t>
        </is>
      </c>
      <c r="J2000" s="232" t="inlineStr">
        <is>
          <t>MANT. Y REP. CONSTRUCCIONES</t>
        </is>
      </c>
      <c r="K2000" s="232" t="inlineStr">
        <is>
          <t>MANTENCION ELECTRICA</t>
        </is>
      </c>
      <c r="L2000" s="232" t="inlineStr">
        <is>
          <t>[PRORRATEO 3.5% 5.24há/148.3há] O/001379 MANTENCION</t>
        </is>
      </c>
      <c r="M2000" s="232" t="inlineStr"/>
      <c r="N2000" s="232" t="inlineStr">
        <is>
          <t>.   .   -</t>
        </is>
      </c>
      <c r="O2000" s="232" t="inlineStr">
        <is>
          <t>FEBRERO</t>
        </is>
      </c>
      <c r="P2000" s="232" t="n">
        <v>6</v>
      </c>
      <c r="Q2000" s="234" t="n">
        <v>9706</v>
      </c>
      <c r="R2000" s="232" t="inlineStr"/>
      <c r="S2000" s="234" t="n">
        <v>9706</v>
      </c>
      <c r="T2000" s="232" t="inlineStr">
        <is>
          <t>CLP</t>
        </is>
      </c>
      <c r="U2000" s="232" t="inlineStr">
        <is>
          <t>Prorrateo Ha PACKING</t>
        </is>
      </c>
      <c r="V2000" s="232" t="inlineStr">
        <is>
          <t>2026-06-18</t>
        </is>
      </c>
    </row>
    <row r="2001">
      <c r="A2001" s="232" t="inlineStr">
        <is>
          <t>CR-1998</t>
        </is>
      </c>
      <c r="B2001" s="232" t="inlineStr">
        <is>
          <t>2026/27</t>
        </is>
      </c>
      <c r="C2001" s="233" t="n">
        <v>46063</v>
      </c>
      <c r="D2001" s="232" t="inlineStr">
        <is>
          <t>287</t>
        </is>
      </c>
      <c r="E2001" s="232" t="inlineStr">
        <is>
          <t>PRORRATEO</t>
        </is>
      </c>
      <c r="F2001" s="232" t="inlineStr">
        <is>
          <t>El Molle</t>
        </is>
      </c>
      <c r="G2001" s="232" t="inlineStr">
        <is>
          <t>arrufatinas 5,74 ha</t>
        </is>
      </c>
      <c r="H2001" s="232" t="inlineStr">
        <is>
          <t>Clementinas</t>
        </is>
      </c>
      <c r="I2001" s="232" t="inlineStr">
        <is>
          <t>Arrufatinas</t>
        </is>
      </c>
      <c r="J2001" s="232" t="inlineStr">
        <is>
          <t>MANT. Y REP. CONSTRUCCIONES</t>
        </is>
      </c>
      <c r="K2001" s="232" t="inlineStr">
        <is>
          <t>MANTENCION ELECTRICA</t>
        </is>
      </c>
      <c r="L2001" s="232" t="inlineStr">
        <is>
          <t>[PRORRATEO 3.9% 5.74há/148.3há] O/001379 MANTENCION</t>
        </is>
      </c>
      <c r="M2001" s="232" t="inlineStr"/>
      <c r="N2001" s="232" t="inlineStr">
        <is>
          <t>.   .   -</t>
        </is>
      </c>
      <c r="O2001" s="232" t="inlineStr">
        <is>
          <t>FEBRERO</t>
        </is>
      </c>
      <c r="P2001" s="232" t="n">
        <v>6</v>
      </c>
      <c r="Q2001" s="234" t="n">
        <v>10632</v>
      </c>
      <c r="R2001" s="232" t="inlineStr"/>
      <c r="S2001" s="234" t="n">
        <v>10632</v>
      </c>
      <c r="T2001" s="232" t="inlineStr">
        <is>
          <t>CLP</t>
        </is>
      </c>
      <c r="U2001" s="232" t="inlineStr">
        <is>
          <t>Prorrateo Ha PACKING</t>
        </is>
      </c>
      <c r="V2001" s="232" t="inlineStr">
        <is>
          <t>2026-06-18</t>
        </is>
      </c>
    </row>
    <row r="2002">
      <c r="A2002" s="232" t="inlineStr">
        <is>
          <t>CR-1999</t>
        </is>
      </c>
      <c r="B2002" s="232" t="inlineStr">
        <is>
          <t>2026/27</t>
        </is>
      </c>
      <c r="C2002" s="233" t="n">
        <v>46063</v>
      </c>
      <c r="D2002" s="232" t="inlineStr">
        <is>
          <t>287</t>
        </is>
      </c>
      <c r="E2002" s="232" t="inlineStr">
        <is>
          <t>PRORRATEO</t>
        </is>
      </c>
      <c r="F2002" s="232" t="inlineStr">
        <is>
          <t>El Molle</t>
        </is>
      </c>
      <c r="G2002" s="232" t="inlineStr">
        <is>
          <t>orogrande 8,11 ha</t>
        </is>
      </c>
      <c r="H2002" s="232" t="inlineStr">
        <is>
          <t>Clementinas</t>
        </is>
      </c>
      <c r="I2002" s="232" t="inlineStr">
        <is>
          <t>Orogrande</t>
        </is>
      </c>
      <c r="J2002" s="232" t="inlineStr">
        <is>
          <t>MANT. Y REP. CONSTRUCCIONES</t>
        </is>
      </c>
      <c r="K2002" s="232" t="inlineStr">
        <is>
          <t>MANTENCION ELECTRICA</t>
        </is>
      </c>
      <c r="L2002" s="232" t="inlineStr">
        <is>
          <t>[PRORRATEO 5.5% 8.11há/148.3há] O/001379 MANTENCION</t>
        </is>
      </c>
      <c r="M2002" s="232" t="inlineStr"/>
      <c r="N2002" s="232" t="inlineStr">
        <is>
          <t>.   .   -</t>
        </is>
      </c>
      <c r="O2002" s="232" t="inlineStr">
        <is>
          <t>FEBRERO</t>
        </is>
      </c>
      <c r="P2002" s="232" t="n">
        <v>6</v>
      </c>
      <c r="Q2002" s="234" t="n">
        <v>15022</v>
      </c>
      <c r="R2002" s="232" t="inlineStr"/>
      <c r="S2002" s="234" t="n">
        <v>15022</v>
      </c>
      <c r="T2002" s="232" t="inlineStr">
        <is>
          <t>CLP</t>
        </is>
      </c>
      <c r="U2002" s="232" t="inlineStr">
        <is>
          <t>Prorrateo Ha PACKING</t>
        </is>
      </c>
      <c r="V2002" s="232" t="inlineStr">
        <is>
          <t>2026-06-18</t>
        </is>
      </c>
    </row>
    <row r="2003">
      <c r="A2003" s="232" t="inlineStr">
        <is>
          <t>CR-2000</t>
        </is>
      </c>
      <c r="B2003" s="232" t="inlineStr">
        <is>
          <t>2026/27</t>
        </is>
      </c>
      <c r="C2003" s="233" t="n">
        <v>46063</v>
      </c>
      <c r="D2003" s="232" t="inlineStr">
        <is>
          <t>287</t>
        </is>
      </c>
      <c r="E2003" s="232" t="inlineStr">
        <is>
          <t>PRORRATEO</t>
        </is>
      </c>
      <c r="F2003" s="232" t="inlineStr">
        <is>
          <t>El Molle</t>
        </is>
      </c>
      <c r="G2003" s="232" t="inlineStr">
        <is>
          <t>oronules 5,35 ha</t>
        </is>
      </c>
      <c r="H2003" s="232" t="inlineStr">
        <is>
          <t>Clementinas</t>
        </is>
      </c>
      <c r="I2003" s="232" t="inlineStr">
        <is>
          <t>Oronules</t>
        </is>
      </c>
      <c r="J2003" s="232" t="inlineStr">
        <is>
          <t>MANT. Y REP. CONSTRUCCIONES</t>
        </is>
      </c>
      <c r="K2003" s="232" t="inlineStr">
        <is>
          <t>MANTENCION ELECTRICA</t>
        </is>
      </c>
      <c r="L2003" s="232" t="inlineStr">
        <is>
          <t>[PRORRATEO 3.6% 5.35há/148.3há] O/001379 MANTENCION</t>
        </is>
      </c>
      <c r="M2003" s="232" t="inlineStr"/>
      <c r="N2003" s="232" t="inlineStr">
        <is>
          <t>.   .   -</t>
        </is>
      </c>
      <c r="O2003" s="232" t="inlineStr">
        <is>
          <t>FEBRERO</t>
        </is>
      </c>
      <c r="P2003" s="232" t="n">
        <v>6</v>
      </c>
      <c r="Q2003" s="234" t="n">
        <v>9910</v>
      </c>
      <c r="R2003" s="232" t="inlineStr"/>
      <c r="S2003" s="234" t="n">
        <v>9910</v>
      </c>
      <c r="T2003" s="232" t="inlineStr">
        <is>
          <t>CLP</t>
        </is>
      </c>
      <c r="U2003" s="232" t="inlineStr">
        <is>
          <t>Prorrateo Ha PACKING</t>
        </is>
      </c>
      <c r="V2003" s="232" t="inlineStr">
        <is>
          <t>2026-06-18</t>
        </is>
      </c>
    </row>
    <row r="2004">
      <c r="A2004" s="232" t="inlineStr">
        <is>
          <t>CR-2001</t>
        </is>
      </c>
      <c r="B2004" s="232" t="inlineStr">
        <is>
          <t>2026/27</t>
        </is>
      </c>
      <c r="C2004" s="233" t="n">
        <v>46063</v>
      </c>
      <c r="D2004" s="232" t="inlineStr">
        <is>
          <t>287</t>
        </is>
      </c>
      <c r="E2004" s="232" t="inlineStr">
        <is>
          <t>PRORRATEO</t>
        </is>
      </c>
      <c r="F2004" s="232" t="inlineStr">
        <is>
          <t>Santa Catalina</t>
        </is>
      </c>
      <c r="G2004" s="232" t="inlineStr">
        <is>
          <t>Fino 49 7,7 ha</t>
        </is>
      </c>
      <c r="H2004" s="232" t="inlineStr">
        <is>
          <t>Limon</t>
        </is>
      </c>
      <c r="I2004" s="232" t="inlineStr">
        <is>
          <t>Fino 49</t>
        </is>
      </c>
      <c r="J2004" s="232" t="inlineStr">
        <is>
          <t>MANT. Y REP. CONSTRUCCIONES</t>
        </is>
      </c>
      <c r="K2004" s="232" t="inlineStr">
        <is>
          <t>MANTENCION ELECTRICA</t>
        </is>
      </c>
      <c r="L2004" s="232" t="inlineStr">
        <is>
          <t>[PRORRATEO 5.2% 7.7há/148.3há] O/001379 MANTENCION</t>
        </is>
      </c>
      <c r="M2004" s="232" t="inlineStr"/>
      <c r="N2004" s="232" t="inlineStr">
        <is>
          <t>.   .   -</t>
        </is>
      </c>
      <c r="O2004" s="232" t="inlineStr">
        <is>
          <t>FEBRERO</t>
        </is>
      </c>
      <c r="P2004" s="232" t="n">
        <v>6</v>
      </c>
      <c r="Q2004" s="234" t="n">
        <v>14263</v>
      </c>
      <c r="R2004" s="232" t="inlineStr"/>
      <c r="S2004" s="234" t="n">
        <v>14263</v>
      </c>
      <c r="T2004" s="232" t="inlineStr">
        <is>
          <t>CLP</t>
        </is>
      </c>
      <c r="U2004" s="232" t="inlineStr">
        <is>
          <t>Prorrateo Ha PACKING</t>
        </is>
      </c>
      <c r="V2004" s="232" t="inlineStr">
        <is>
          <t>2026-06-18</t>
        </is>
      </c>
    </row>
    <row r="2005">
      <c r="A2005" s="232" t="inlineStr">
        <is>
          <t>CR-2002</t>
        </is>
      </c>
      <c r="B2005" s="232" t="inlineStr">
        <is>
          <t>2026/27</t>
        </is>
      </c>
      <c r="C2005" s="233" t="n">
        <v>46063</v>
      </c>
      <c r="D2005" s="232" t="inlineStr">
        <is>
          <t>287</t>
        </is>
      </c>
      <c r="E2005" s="232" t="inlineStr">
        <is>
          <t>PRORRATEO</t>
        </is>
      </c>
      <c r="F2005" s="232" t="inlineStr">
        <is>
          <t>Santa Catalina</t>
        </is>
      </c>
      <c r="G2005" s="232" t="inlineStr">
        <is>
          <t>W. murcott 21 ha</t>
        </is>
      </c>
      <c r="H2005" s="232" t="inlineStr">
        <is>
          <t>Mandarina</t>
        </is>
      </c>
      <c r="I2005" s="232" t="inlineStr">
        <is>
          <t>W. murcott</t>
        </is>
      </c>
      <c r="J2005" s="232" t="inlineStr">
        <is>
          <t>MANT. Y REP. CONSTRUCCIONES</t>
        </is>
      </c>
      <c r="K2005" s="232" t="inlineStr">
        <is>
          <t>MANTENCION ELECTRICA</t>
        </is>
      </c>
      <c r="L2005" s="232" t="inlineStr">
        <is>
          <t>[PRORRATEO 14.2% 21.0há/148.3há] O/001379 MANTENCION</t>
        </is>
      </c>
      <c r="M2005" s="232" t="inlineStr"/>
      <c r="N2005" s="232" t="inlineStr">
        <is>
          <t>.   .   -</t>
        </is>
      </c>
      <c r="O2005" s="232" t="inlineStr">
        <is>
          <t>FEBRERO</t>
        </is>
      </c>
      <c r="P2005" s="232" t="n">
        <v>6</v>
      </c>
      <c r="Q2005" s="234" t="n">
        <v>38898</v>
      </c>
      <c r="R2005" s="232" t="inlineStr"/>
      <c r="S2005" s="234" t="n">
        <v>38898</v>
      </c>
      <c r="T2005" s="232" t="inlineStr">
        <is>
          <t>CLP</t>
        </is>
      </c>
      <c r="U2005" s="232" t="inlineStr">
        <is>
          <t>Prorrateo Ha PACKING</t>
        </is>
      </c>
      <c r="V2005" s="232" t="inlineStr">
        <is>
          <t>2026-06-18</t>
        </is>
      </c>
    </row>
    <row r="2006">
      <c r="A2006" s="232" t="inlineStr">
        <is>
          <t>CR-2003</t>
        </is>
      </c>
      <c r="B2006" s="232" t="inlineStr">
        <is>
          <t>2026/27</t>
        </is>
      </c>
      <c r="C2006" s="233" t="n">
        <v>46063</v>
      </c>
      <c r="D2006" s="232" t="inlineStr">
        <is>
          <t>287</t>
        </is>
      </c>
      <c r="E2006" s="232" t="inlineStr">
        <is>
          <t>PRORRATEO</t>
        </is>
      </c>
      <c r="F2006" s="232" t="inlineStr">
        <is>
          <t>Santa Catalina</t>
        </is>
      </c>
      <c r="G2006" s="232" t="inlineStr">
        <is>
          <t>cambria 4,2 ha</t>
        </is>
      </c>
      <c r="H2006" s="232" t="inlineStr">
        <is>
          <t>Naranjas</t>
        </is>
      </c>
      <c r="I2006" s="232" t="inlineStr">
        <is>
          <t>Cambria</t>
        </is>
      </c>
      <c r="J2006" s="232" t="inlineStr">
        <is>
          <t>MANT. Y REP. CONSTRUCCIONES</t>
        </is>
      </c>
      <c r="K2006" s="232" t="inlineStr">
        <is>
          <t>MANTENCION ELECTRICA</t>
        </is>
      </c>
      <c r="L2006" s="232" t="inlineStr">
        <is>
          <t>[PRORRATEO 2.8% 4.2há/148.3há] O/001379 MANTENCION</t>
        </is>
      </c>
      <c r="M2006" s="232" t="inlineStr"/>
      <c r="N2006" s="232" t="inlineStr">
        <is>
          <t>.   .   -</t>
        </is>
      </c>
      <c r="O2006" s="232" t="inlineStr">
        <is>
          <t>FEBRERO</t>
        </is>
      </c>
      <c r="P2006" s="232" t="n">
        <v>6</v>
      </c>
      <c r="Q2006" s="234" t="n">
        <v>7780</v>
      </c>
      <c r="R2006" s="232" t="inlineStr"/>
      <c r="S2006" s="234" t="n">
        <v>7780</v>
      </c>
      <c r="T2006" s="232" t="inlineStr">
        <is>
          <t>CLP</t>
        </is>
      </c>
      <c r="U2006" s="232" t="inlineStr">
        <is>
          <t>Prorrateo Ha PACKING</t>
        </is>
      </c>
      <c r="V2006" s="232" t="inlineStr">
        <is>
          <t>2026-06-18</t>
        </is>
      </c>
    </row>
    <row r="2007">
      <c r="A2007" s="232" t="inlineStr">
        <is>
          <t>CR-2004</t>
        </is>
      </c>
      <c r="B2007" s="232" t="inlineStr">
        <is>
          <t>2026/27</t>
        </is>
      </c>
      <c r="C2007" s="233" t="n">
        <v>46063</v>
      </c>
      <c r="D2007" s="232" t="inlineStr">
        <is>
          <t>287</t>
        </is>
      </c>
      <c r="E2007" s="232" t="inlineStr">
        <is>
          <t>PRORRATEO</t>
        </is>
      </c>
      <c r="F2007" s="232" t="inlineStr">
        <is>
          <t>Santa Catalina</t>
        </is>
      </c>
      <c r="G2007" s="232" t="inlineStr">
        <is>
          <t>eureka 10,6 ha</t>
        </is>
      </c>
      <c r="H2007" s="232" t="inlineStr">
        <is>
          <t>Limon</t>
        </is>
      </c>
      <c r="I2007" s="232" t="inlineStr">
        <is>
          <t>Eureka</t>
        </is>
      </c>
      <c r="J2007" s="232" t="inlineStr">
        <is>
          <t>MANT. Y REP. CONSTRUCCIONES</t>
        </is>
      </c>
      <c r="K2007" s="232" t="inlineStr">
        <is>
          <t>MANTENCION ELECTRICA</t>
        </is>
      </c>
      <c r="L2007" s="232" t="inlineStr">
        <is>
          <t>[PRORRATEO 7.1% 10.6há/148.3há] O/001379 MANTENCION</t>
        </is>
      </c>
      <c r="M2007" s="232" t="inlineStr"/>
      <c r="N2007" s="232" t="inlineStr">
        <is>
          <t>.   .   -</t>
        </is>
      </c>
      <c r="O2007" s="232" t="inlineStr">
        <is>
          <t>FEBRERO</t>
        </is>
      </c>
      <c r="P2007" s="232" t="n">
        <v>6</v>
      </c>
      <c r="Q2007" s="234" t="n">
        <v>19634</v>
      </c>
      <c r="R2007" s="232" t="inlineStr"/>
      <c r="S2007" s="234" t="n">
        <v>19634</v>
      </c>
      <c r="T2007" s="232" t="inlineStr">
        <is>
          <t>CLP</t>
        </is>
      </c>
      <c r="U2007" s="232" t="inlineStr">
        <is>
          <t>Prorrateo Ha PACKING</t>
        </is>
      </c>
      <c r="V2007" s="232" t="inlineStr">
        <is>
          <t>2026-06-18</t>
        </is>
      </c>
    </row>
    <row r="2008">
      <c r="A2008" s="232" t="inlineStr">
        <is>
          <t>CR-2005</t>
        </is>
      </c>
      <c r="B2008" s="232" t="inlineStr">
        <is>
          <t>2026/27</t>
        </is>
      </c>
      <c r="C2008" s="233" t="n">
        <v>46063</v>
      </c>
      <c r="D2008" s="232" t="inlineStr">
        <is>
          <t>287</t>
        </is>
      </c>
      <c r="E2008" s="232" t="inlineStr">
        <is>
          <t>PRORRATEO</t>
        </is>
      </c>
      <c r="F2008" s="232" t="inlineStr">
        <is>
          <t>Santa Catalina</t>
        </is>
      </c>
      <c r="G2008" s="232" t="inlineStr">
        <is>
          <t>eureka 14,4 ha</t>
        </is>
      </c>
      <c r="H2008" s="232" t="inlineStr">
        <is>
          <t>Limon</t>
        </is>
      </c>
      <c r="I2008" s="232" t="inlineStr">
        <is>
          <t>Eureka</t>
        </is>
      </c>
      <c r="J2008" s="232" t="inlineStr">
        <is>
          <t>MANT. Y REP. CONSTRUCCIONES</t>
        </is>
      </c>
      <c r="K2008" s="232" t="inlineStr">
        <is>
          <t>MANTENCION ELECTRICA</t>
        </is>
      </c>
      <c r="L2008" s="232" t="inlineStr">
        <is>
          <t>[PRORRATEO 9.7% 14.4há/148.3há] O/001379 MANTENCION</t>
        </is>
      </c>
      <c r="M2008" s="232" t="inlineStr"/>
      <c r="N2008" s="232" t="inlineStr">
        <is>
          <t>.   .   -</t>
        </is>
      </c>
      <c r="O2008" s="232" t="inlineStr">
        <is>
          <t>FEBRERO</t>
        </is>
      </c>
      <c r="P2008" s="232" t="n">
        <v>6</v>
      </c>
      <c r="Q2008" s="234" t="n">
        <v>26673</v>
      </c>
      <c r="R2008" s="232" t="inlineStr"/>
      <c r="S2008" s="234" t="n">
        <v>26673</v>
      </c>
      <c r="T2008" s="232" t="inlineStr">
        <is>
          <t>CLP</t>
        </is>
      </c>
      <c r="U2008" s="232" t="inlineStr">
        <is>
          <t>Prorrateo Ha PACKING</t>
        </is>
      </c>
      <c r="V2008" s="232" t="inlineStr">
        <is>
          <t>2026-06-18</t>
        </is>
      </c>
    </row>
    <row r="2009">
      <c r="A2009" s="232" t="inlineStr">
        <is>
          <t>CR-2006</t>
        </is>
      </c>
      <c r="B2009" s="232" t="inlineStr">
        <is>
          <t>2026/27</t>
        </is>
      </c>
      <c r="C2009" s="233" t="n">
        <v>46063</v>
      </c>
      <c r="D2009" s="232" t="inlineStr">
        <is>
          <t>287</t>
        </is>
      </c>
      <c r="E2009" s="232" t="inlineStr">
        <is>
          <t>PRORRATEO</t>
        </is>
      </c>
      <c r="F2009" s="232" t="inlineStr">
        <is>
          <t>Santa Catalina</t>
        </is>
      </c>
      <c r="G2009" s="232" t="inlineStr">
        <is>
          <t>eureka 22,55</t>
        </is>
      </c>
      <c r="H2009" s="232" t="inlineStr">
        <is>
          <t>Limon</t>
        </is>
      </c>
      <c r="I2009" s="232" t="inlineStr">
        <is>
          <t>Eureka</t>
        </is>
      </c>
      <c r="J2009" s="232" t="inlineStr">
        <is>
          <t>MANT. Y REP. CONSTRUCCIONES</t>
        </is>
      </c>
      <c r="K2009" s="232" t="inlineStr">
        <is>
          <t>MANTENCION ELECTRICA</t>
        </is>
      </c>
      <c r="L2009" s="232" t="inlineStr">
        <is>
          <t>[PRORRATEO 15.2% 22.55há/148.3há] O/001379 MANTENCION</t>
        </is>
      </c>
      <c r="M2009" s="232" t="inlineStr"/>
      <c r="N2009" s="232" t="inlineStr">
        <is>
          <t>.   .   -</t>
        </is>
      </c>
      <c r="O2009" s="232" t="inlineStr">
        <is>
          <t>FEBRERO</t>
        </is>
      </c>
      <c r="P2009" s="232" t="n">
        <v>6</v>
      </c>
      <c r="Q2009" s="234" t="n">
        <v>41769</v>
      </c>
      <c r="R2009" s="232" t="inlineStr"/>
      <c r="S2009" s="234" t="n">
        <v>41769</v>
      </c>
      <c r="T2009" s="232" t="inlineStr">
        <is>
          <t>CLP</t>
        </is>
      </c>
      <c r="U2009" s="232" t="inlineStr">
        <is>
          <t>Prorrateo Ha PACKING</t>
        </is>
      </c>
      <c r="V2009" s="232" t="inlineStr">
        <is>
          <t>2026-06-18</t>
        </is>
      </c>
    </row>
    <row r="2010">
      <c r="A2010" s="232" t="inlineStr">
        <is>
          <t>CR-2007</t>
        </is>
      </c>
      <c r="B2010" s="232" t="inlineStr">
        <is>
          <t>2026/27</t>
        </is>
      </c>
      <c r="C2010" s="233" t="n">
        <v>46063</v>
      </c>
      <c r="D2010" s="232" t="inlineStr">
        <is>
          <t>287</t>
        </is>
      </c>
      <c r="E2010" s="232" t="inlineStr">
        <is>
          <t>PRORRATEO</t>
        </is>
      </c>
      <c r="F2010" s="232" t="inlineStr">
        <is>
          <t>Santa Catalina</t>
        </is>
      </c>
      <c r="G2010" s="232" t="inlineStr">
        <is>
          <t>form benjamin 1,93 ha</t>
        </is>
      </c>
      <c r="H2010" s="232" t="inlineStr">
        <is>
          <t>Limon</t>
        </is>
      </c>
      <c r="I2010" s="232" t="inlineStr">
        <is>
          <t>Benjamin andes</t>
        </is>
      </c>
      <c r="J2010" s="232" t="inlineStr">
        <is>
          <t>MANT. Y REP. CONSTRUCCIONES</t>
        </is>
      </c>
      <c r="K2010" s="232" t="inlineStr">
        <is>
          <t>MANTENCION ELECTRICA</t>
        </is>
      </c>
      <c r="L2010" s="232" t="inlineStr">
        <is>
          <t>[PRORRATEO 1.3% 1.93há/148.3há] O/001379 MANTENCION</t>
        </is>
      </c>
      <c r="M2010" s="232" t="inlineStr"/>
      <c r="N2010" s="232" t="inlineStr">
        <is>
          <t>.   .   -</t>
        </is>
      </c>
      <c r="O2010" s="232" t="inlineStr">
        <is>
          <t>FEBRERO</t>
        </is>
      </c>
      <c r="P2010" s="232" t="n">
        <v>6</v>
      </c>
      <c r="Q2010" s="234" t="n">
        <v>3575</v>
      </c>
      <c r="R2010" s="232" t="inlineStr"/>
      <c r="S2010" s="234" t="n">
        <v>3575</v>
      </c>
      <c r="T2010" s="232" t="inlineStr">
        <is>
          <t>CLP</t>
        </is>
      </c>
      <c r="U2010" s="232" t="inlineStr">
        <is>
          <t>Prorrateo Ha PACKING</t>
        </is>
      </c>
      <c r="V2010" s="232" t="inlineStr">
        <is>
          <t>2026-06-18</t>
        </is>
      </c>
    </row>
    <row r="2011">
      <c r="A2011" s="232" t="inlineStr">
        <is>
          <t>CR-2008</t>
        </is>
      </c>
      <c r="B2011" s="232" t="inlineStr">
        <is>
          <t>2026/27</t>
        </is>
      </c>
      <c r="C2011" s="233" t="n">
        <v>46063</v>
      </c>
      <c r="D2011" s="232" t="inlineStr">
        <is>
          <t>287</t>
        </is>
      </c>
      <c r="E2011" s="232" t="inlineStr">
        <is>
          <t>PRORRATEO</t>
        </is>
      </c>
      <c r="F2011" s="232" t="inlineStr">
        <is>
          <t>Santa Catalina</t>
        </is>
      </c>
      <c r="G2011" s="232" t="inlineStr">
        <is>
          <t>mant eureka 2,5 ha</t>
        </is>
      </c>
      <c r="H2011" s="232" t="inlineStr">
        <is>
          <t>Limon</t>
        </is>
      </c>
      <c r="I2011" s="232" t="inlineStr">
        <is>
          <t>Eureka</t>
        </is>
      </c>
      <c r="J2011" s="232" t="inlineStr">
        <is>
          <t>MANT. Y REP. CONSTRUCCIONES</t>
        </is>
      </c>
      <c r="K2011" s="232" t="inlineStr">
        <is>
          <t>MANTENCION ELECTRICA</t>
        </is>
      </c>
      <c r="L2011" s="232" t="inlineStr">
        <is>
          <t>[PRORRATEO 1.7% 2.5há/148.3há] O/001379 MANTENCION</t>
        </is>
      </c>
      <c r="M2011" s="232" t="inlineStr"/>
      <c r="N2011" s="232" t="inlineStr">
        <is>
          <t>.   .   -</t>
        </is>
      </c>
      <c r="O2011" s="232" t="inlineStr">
        <is>
          <t>FEBRERO</t>
        </is>
      </c>
      <c r="P2011" s="232" t="n">
        <v>6</v>
      </c>
      <c r="Q2011" s="234" t="n">
        <v>4631</v>
      </c>
      <c r="R2011" s="232" t="inlineStr"/>
      <c r="S2011" s="234" t="n">
        <v>4631</v>
      </c>
      <c r="T2011" s="232" t="inlineStr">
        <is>
          <t>CLP</t>
        </is>
      </c>
      <c r="U2011" s="232" t="inlineStr">
        <is>
          <t>Prorrateo Ha PACKING</t>
        </is>
      </c>
      <c r="V2011" s="232" t="inlineStr">
        <is>
          <t>2026-06-18</t>
        </is>
      </c>
    </row>
    <row r="2012">
      <c r="A2012" s="232" t="inlineStr">
        <is>
          <t>CR-2009</t>
        </is>
      </c>
      <c r="B2012" s="232" t="inlineStr">
        <is>
          <t>2026/27</t>
        </is>
      </c>
      <c r="C2012" s="233" t="n">
        <v>46063</v>
      </c>
      <c r="D2012" s="232" t="inlineStr">
        <is>
          <t>287</t>
        </is>
      </c>
      <c r="E2012" s="232" t="inlineStr">
        <is>
          <t>PRORRATEO</t>
        </is>
      </c>
      <c r="F2012" s="232" t="inlineStr">
        <is>
          <t>Siberia</t>
        </is>
      </c>
      <c r="G2012" s="232" t="inlineStr">
        <is>
          <t>S. Celebration 7,14</t>
        </is>
      </c>
      <c r="H2012" s="232" t="inlineStr">
        <is>
          <t>Uvas</t>
        </is>
      </c>
      <c r="I2012" s="232" t="inlineStr">
        <is>
          <t>S. celebration</t>
        </is>
      </c>
      <c r="J2012" s="232" t="inlineStr">
        <is>
          <t>MANT. Y REP. CONSTRUCCIONES</t>
        </is>
      </c>
      <c r="K2012" s="232" t="inlineStr">
        <is>
          <t>MANTENCION ELECTRICA</t>
        </is>
      </c>
      <c r="L2012" s="232" t="inlineStr">
        <is>
          <t>[PRORRATEO 4.8% 7.14há/148.3há] O/001379 MANTENCION</t>
        </is>
      </c>
      <c r="M2012" s="232" t="inlineStr"/>
      <c r="N2012" s="232" t="inlineStr">
        <is>
          <t>.   .   -</t>
        </is>
      </c>
      <c r="O2012" s="232" t="inlineStr">
        <is>
          <t>FEBRERO</t>
        </is>
      </c>
      <c r="P2012" s="232" t="n">
        <v>6</v>
      </c>
      <c r="Q2012" s="234" t="n">
        <v>13225</v>
      </c>
      <c r="R2012" s="232" t="inlineStr"/>
      <c r="S2012" s="234" t="n">
        <v>13225</v>
      </c>
      <c r="T2012" s="232" t="inlineStr">
        <is>
          <t>CLP</t>
        </is>
      </c>
      <c r="U2012" s="232" t="inlineStr">
        <is>
          <t>Prorrateo Ha PACKING</t>
        </is>
      </c>
      <c r="V2012" s="232" t="inlineStr">
        <is>
          <t>2026-06-18</t>
        </is>
      </c>
    </row>
    <row r="2013">
      <c r="A2013" s="232" t="inlineStr">
        <is>
          <t>CR-2010</t>
        </is>
      </c>
      <c r="B2013" s="232" t="inlineStr">
        <is>
          <t>2026/27</t>
        </is>
      </c>
      <c r="C2013" s="233" t="n">
        <v>46063</v>
      </c>
      <c r="D2013" s="232" t="inlineStr">
        <is>
          <t>287</t>
        </is>
      </c>
      <c r="E2013" s="232" t="inlineStr">
        <is>
          <t>PRORRATEO</t>
        </is>
      </c>
      <c r="F2013" s="232" t="inlineStr">
        <is>
          <t>Siberia</t>
        </is>
      </c>
      <c r="G2013" s="232" t="inlineStr">
        <is>
          <t>Timpson 7,1</t>
        </is>
      </c>
      <c r="H2013" s="232" t="inlineStr">
        <is>
          <t>Uvas</t>
        </is>
      </c>
      <c r="I2013" s="232" t="inlineStr">
        <is>
          <t>Timpson</t>
        </is>
      </c>
      <c r="J2013" s="232" t="inlineStr">
        <is>
          <t>MANT. Y REP. CONSTRUCCIONES</t>
        </is>
      </c>
      <c r="K2013" s="232" t="inlineStr">
        <is>
          <t>MANTENCION ELECTRICA</t>
        </is>
      </c>
      <c r="L2013" s="232" t="inlineStr">
        <is>
          <t>[PRORRATEO 4.8% 7.1há/148.3há] O/001379 MANTENCION</t>
        </is>
      </c>
      <c r="M2013" s="232" t="inlineStr"/>
      <c r="N2013" s="232" t="inlineStr">
        <is>
          <t>.   .   -</t>
        </is>
      </c>
      <c r="O2013" s="232" t="inlineStr">
        <is>
          <t>FEBRERO</t>
        </is>
      </c>
      <c r="P2013" s="232" t="n">
        <v>6</v>
      </c>
      <c r="Q2013" s="234" t="n">
        <v>13151</v>
      </c>
      <c r="R2013" s="232" t="inlineStr"/>
      <c r="S2013" s="234" t="n">
        <v>13151</v>
      </c>
      <c r="T2013" s="232" t="inlineStr">
        <is>
          <t>CLP</t>
        </is>
      </c>
      <c r="U2013" s="232" t="inlineStr">
        <is>
          <t>Prorrateo Ha PACKING</t>
        </is>
      </c>
      <c r="V2013" s="232" t="inlineStr">
        <is>
          <t>2026-06-18</t>
        </is>
      </c>
    </row>
    <row r="2014">
      <c r="A2014" s="232" t="inlineStr">
        <is>
          <t>CR-2011</t>
        </is>
      </c>
      <c r="B2014" s="232" t="inlineStr">
        <is>
          <t>2026/27</t>
        </is>
      </c>
      <c r="C2014" s="233" t="n">
        <v>46064</v>
      </c>
      <c r="D2014" s="232" t="inlineStr">
        <is>
          <t>89651</t>
        </is>
      </c>
      <c r="E2014" s="232" t="inlineStr">
        <is>
          <t>PRORRATEO</t>
        </is>
      </c>
      <c r="F2014" s="232" t="inlineStr">
        <is>
          <t>Asmara</t>
        </is>
      </c>
      <c r="G2014" s="232" t="inlineStr">
        <is>
          <t>w. murcott 19,8 ha</t>
        </is>
      </c>
      <c r="H2014" s="232" t="inlineStr">
        <is>
          <t>Mandarina</t>
        </is>
      </c>
      <c r="I2014" s="232" t="inlineStr">
        <is>
          <t>W. murcott</t>
        </is>
      </c>
      <c r="J2014" s="232" t="inlineStr">
        <is>
          <t>COMBUSTIBLE</t>
        </is>
      </c>
      <c r="K2014" s="232" t="inlineStr">
        <is>
          <t>SIB. GRUA HORQUILLA ARRIENDO</t>
        </is>
      </c>
      <c r="L2014" s="232" t="inlineStr">
        <is>
          <t>[PRORRATEO 13.4% 19.8há/148.3há] O/001392 GAS ENV. 1</t>
        </is>
      </c>
      <c r="M2014" s="232" t="inlineStr"/>
      <c r="N2014" s="232" t="inlineStr">
        <is>
          <t>.   .   -</t>
        </is>
      </c>
      <c r="O2014" s="232" t="inlineStr">
        <is>
          <t>FEBRERO</t>
        </is>
      </c>
      <c r="P2014" s="232" t="n">
        <v>6</v>
      </c>
      <c r="Q2014" s="234" t="n">
        <v>8401</v>
      </c>
      <c r="R2014" s="232" t="inlineStr"/>
      <c r="S2014" s="234" t="n">
        <v>8401</v>
      </c>
      <c r="T2014" s="232" t="inlineStr">
        <is>
          <t>CLP</t>
        </is>
      </c>
      <c r="U2014" s="232" t="inlineStr">
        <is>
          <t>Prorrateo Ha PACKING</t>
        </is>
      </c>
      <c r="V2014" s="232" t="inlineStr">
        <is>
          <t>2026-06-18</t>
        </is>
      </c>
    </row>
    <row r="2015">
      <c r="A2015" s="232" t="inlineStr">
        <is>
          <t>CR-2012</t>
        </is>
      </c>
      <c r="B2015" s="232" t="inlineStr">
        <is>
          <t>2026/27</t>
        </is>
      </c>
      <c r="C2015" s="233" t="n">
        <v>46064</v>
      </c>
      <c r="D2015" s="232" t="inlineStr">
        <is>
          <t>89651</t>
        </is>
      </c>
      <c r="E2015" s="232" t="inlineStr">
        <is>
          <t>PRORRATEO</t>
        </is>
      </c>
      <c r="F2015" s="232" t="inlineStr">
        <is>
          <t>Asmara</t>
        </is>
      </c>
      <c r="G2015" s="232" t="inlineStr">
        <is>
          <t>w. murcott 4,9 ha</t>
        </is>
      </c>
      <c r="H2015" s="232" t="inlineStr">
        <is>
          <t>Mandarina</t>
        </is>
      </c>
      <c r="I2015" s="232" t="inlineStr">
        <is>
          <t>W. murcott</t>
        </is>
      </c>
      <c r="J2015" s="232" t="inlineStr">
        <is>
          <t>COMBUSTIBLE</t>
        </is>
      </c>
      <c r="K2015" s="232" t="inlineStr">
        <is>
          <t>SIB. GRUA HORQUILLA ARRIENDO</t>
        </is>
      </c>
      <c r="L2015" s="232" t="inlineStr">
        <is>
          <t>[PRORRATEO 3.3% 4.9há/148.3há] O/001392 GAS ENV. 1</t>
        </is>
      </c>
      <c r="M2015" s="232" t="inlineStr"/>
      <c r="N2015" s="232" t="inlineStr">
        <is>
          <t>.   .   -</t>
        </is>
      </c>
      <c r="O2015" s="232" t="inlineStr">
        <is>
          <t>FEBRERO</t>
        </is>
      </c>
      <c r="P2015" s="232" t="n">
        <v>6</v>
      </c>
      <c r="Q2015" s="234" t="n">
        <v>2079</v>
      </c>
      <c r="R2015" s="232" t="inlineStr"/>
      <c r="S2015" s="234" t="n">
        <v>2079</v>
      </c>
      <c r="T2015" s="232" t="inlineStr">
        <is>
          <t>CLP</t>
        </is>
      </c>
      <c r="U2015" s="232" t="inlineStr">
        <is>
          <t>Prorrateo Ha PACKING</t>
        </is>
      </c>
      <c r="V2015" s="232" t="inlineStr">
        <is>
          <t>2026-06-18</t>
        </is>
      </c>
    </row>
    <row r="2016">
      <c r="A2016" s="232" t="inlineStr">
        <is>
          <t>CR-2013</t>
        </is>
      </c>
      <c r="B2016" s="232" t="inlineStr">
        <is>
          <t>2026/27</t>
        </is>
      </c>
      <c r="C2016" s="233" t="n">
        <v>46064</v>
      </c>
      <c r="D2016" s="232" t="inlineStr">
        <is>
          <t>89651</t>
        </is>
      </c>
      <c r="E2016" s="232" t="inlineStr">
        <is>
          <t>PRORRATEO</t>
        </is>
      </c>
      <c r="F2016" s="232" t="inlineStr">
        <is>
          <t>El Molle</t>
        </is>
      </c>
      <c r="G2016" s="232" t="inlineStr">
        <is>
          <t>Wonderful 5,25 ha</t>
        </is>
      </c>
      <c r="H2016" s="232" t="inlineStr">
        <is>
          <t>Granados</t>
        </is>
      </c>
      <c r="I2016" s="232" t="inlineStr">
        <is>
          <t>Wonderfull</t>
        </is>
      </c>
      <c r="J2016" s="232" t="inlineStr">
        <is>
          <t>COMBUSTIBLE</t>
        </is>
      </c>
      <c r="K2016" s="232" t="inlineStr">
        <is>
          <t>SIB. GRUA HORQUILLA ARRIENDO</t>
        </is>
      </c>
      <c r="L2016" s="232" t="inlineStr">
        <is>
          <t>[PRORRATEO 3.5% 5.24há/148.3há] O/001392 GAS ENV. 1</t>
        </is>
      </c>
      <c r="M2016" s="232" t="inlineStr"/>
      <c r="N2016" s="232" t="inlineStr">
        <is>
          <t>.   .   -</t>
        </is>
      </c>
      <c r="O2016" s="232" t="inlineStr">
        <is>
          <t>FEBRERO</t>
        </is>
      </c>
      <c r="P2016" s="232" t="n">
        <v>6</v>
      </c>
      <c r="Q2016" s="234" t="n">
        <v>2223</v>
      </c>
      <c r="R2016" s="232" t="inlineStr"/>
      <c r="S2016" s="234" t="n">
        <v>2223</v>
      </c>
      <c r="T2016" s="232" t="inlineStr">
        <is>
          <t>CLP</t>
        </is>
      </c>
      <c r="U2016" s="232" t="inlineStr">
        <is>
          <t>Prorrateo Ha PACKING</t>
        </is>
      </c>
      <c r="V2016" s="232" t="inlineStr">
        <is>
          <t>2026-06-18</t>
        </is>
      </c>
    </row>
    <row r="2017">
      <c r="A2017" s="232" t="inlineStr">
        <is>
          <t>CR-2014</t>
        </is>
      </c>
      <c r="B2017" s="232" t="inlineStr">
        <is>
          <t>2026/27</t>
        </is>
      </c>
      <c r="C2017" s="233" t="n">
        <v>46064</v>
      </c>
      <c r="D2017" s="232" t="inlineStr">
        <is>
          <t>89651</t>
        </is>
      </c>
      <c r="E2017" s="232" t="inlineStr">
        <is>
          <t>PRORRATEO</t>
        </is>
      </c>
      <c r="F2017" s="232" t="inlineStr">
        <is>
          <t>El Molle</t>
        </is>
      </c>
      <c r="G2017" s="232" t="inlineStr">
        <is>
          <t>arrufatinas 5,74 ha</t>
        </is>
      </c>
      <c r="H2017" s="232" t="inlineStr">
        <is>
          <t>Clementinas</t>
        </is>
      </c>
      <c r="I2017" s="232" t="inlineStr">
        <is>
          <t>Arrufatinas</t>
        </is>
      </c>
      <c r="J2017" s="232" t="inlineStr">
        <is>
          <t>COMBUSTIBLE</t>
        </is>
      </c>
      <c r="K2017" s="232" t="inlineStr">
        <is>
          <t>SIB. GRUA HORQUILLA ARRIENDO</t>
        </is>
      </c>
      <c r="L2017" s="232" t="inlineStr">
        <is>
          <t>[PRORRATEO 3.9% 5.74há/148.3há] O/001392 GAS ENV. 1</t>
        </is>
      </c>
      <c r="M2017" s="232" t="inlineStr"/>
      <c r="N2017" s="232" t="inlineStr">
        <is>
          <t>.   .   -</t>
        </is>
      </c>
      <c r="O2017" s="232" t="inlineStr">
        <is>
          <t>FEBRERO</t>
        </is>
      </c>
      <c r="P2017" s="232" t="n">
        <v>6</v>
      </c>
      <c r="Q2017" s="234" t="n">
        <v>2435</v>
      </c>
      <c r="R2017" s="232" t="inlineStr"/>
      <c r="S2017" s="234" t="n">
        <v>2435</v>
      </c>
      <c r="T2017" s="232" t="inlineStr">
        <is>
          <t>CLP</t>
        </is>
      </c>
      <c r="U2017" s="232" t="inlineStr">
        <is>
          <t>Prorrateo Ha PACKING</t>
        </is>
      </c>
      <c r="V2017" s="232" t="inlineStr">
        <is>
          <t>2026-06-18</t>
        </is>
      </c>
    </row>
    <row r="2018">
      <c r="A2018" s="232" t="inlineStr">
        <is>
          <t>CR-2015</t>
        </is>
      </c>
      <c r="B2018" s="232" t="inlineStr">
        <is>
          <t>2026/27</t>
        </is>
      </c>
      <c r="C2018" s="233" t="n">
        <v>46064</v>
      </c>
      <c r="D2018" s="232" t="inlineStr">
        <is>
          <t>89651</t>
        </is>
      </c>
      <c r="E2018" s="232" t="inlineStr">
        <is>
          <t>PRORRATEO</t>
        </is>
      </c>
      <c r="F2018" s="232" t="inlineStr">
        <is>
          <t>El Molle</t>
        </is>
      </c>
      <c r="G2018" s="232" t="inlineStr">
        <is>
          <t>orogrande 8,11 ha</t>
        </is>
      </c>
      <c r="H2018" s="232" t="inlineStr">
        <is>
          <t>Clementinas</t>
        </is>
      </c>
      <c r="I2018" s="232" t="inlineStr">
        <is>
          <t>Orogrande</t>
        </is>
      </c>
      <c r="J2018" s="232" t="inlineStr">
        <is>
          <t>COMBUSTIBLE</t>
        </is>
      </c>
      <c r="K2018" s="232" t="inlineStr">
        <is>
          <t>SIB. GRUA HORQUILLA ARRIENDO</t>
        </is>
      </c>
      <c r="L2018" s="232" t="inlineStr">
        <is>
          <t>[PRORRATEO 5.5% 8.11há/148.3há] O/001392 GAS ENV. 1</t>
        </is>
      </c>
      <c r="M2018" s="232" t="inlineStr"/>
      <c r="N2018" s="232" t="inlineStr">
        <is>
          <t>.   .   -</t>
        </is>
      </c>
      <c r="O2018" s="232" t="inlineStr">
        <is>
          <t>FEBRERO</t>
        </is>
      </c>
      <c r="P2018" s="232" t="n">
        <v>6</v>
      </c>
      <c r="Q2018" s="234" t="n">
        <v>3441</v>
      </c>
      <c r="R2018" s="232" t="inlineStr"/>
      <c r="S2018" s="234" t="n">
        <v>3441</v>
      </c>
      <c r="T2018" s="232" t="inlineStr">
        <is>
          <t>CLP</t>
        </is>
      </c>
      <c r="U2018" s="232" t="inlineStr">
        <is>
          <t>Prorrateo Ha PACKING</t>
        </is>
      </c>
      <c r="V2018" s="232" t="inlineStr">
        <is>
          <t>2026-06-18</t>
        </is>
      </c>
    </row>
    <row r="2019">
      <c r="A2019" s="232" t="inlineStr">
        <is>
          <t>CR-2016</t>
        </is>
      </c>
      <c r="B2019" s="232" t="inlineStr">
        <is>
          <t>2026/27</t>
        </is>
      </c>
      <c r="C2019" s="233" t="n">
        <v>46064</v>
      </c>
      <c r="D2019" s="232" t="inlineStr">
        <is>
          <t>89651</t>
        </is>
      </c>
      <c r="E2019" s="232" t="inlineStr">
        <is>
          <t>PRORRATEO</t>
        </is>
      </c>
      <c r="F2019" s="232" t="inlineStr">
        <is>
          <t>El Molle</t>
        </is>
      </c>
      <c r="G2019" s="232" t="inlineStr">
        <is>
          <t>oronules 5,35 ha</t>
        </is>
      </c>
      <c r="H2019" s="232" t="inlineStr">
        <is>
          <t>Clementinas</t>
        </is>
      </c>
      <c r="I2019" s="232" t="inlineStr">
        <is>
          <t>Oronules</t>
        </is>
      </c>
      <c r="J2019" s="232" t="inlineStr">
        <is>
          <t>COMBUSTIBLE</t>
        </is>
      </c>
      <c r="K2019" s="232" t="inlineStr">
        <is>
          <t>SIB. GRUA HORQUILLA ARRIENDO</t>
        </is>
      </c>
      <c r="L2019" s="232" t="inlineStr">
        <is>
          <t>[PRORRATEO 3.6% 5.35há/148.3há] O/001392 GAS ENV. 1</t>
        </is>
      </c>
      <c r="M2019" s="232" t="inlineStr"/>
      <c r="N2019" s="232" t="inlineStr">
        <is>
          <t>.   .   -</t>
        </is>
      </c>
      <c r="O2019" s="232" t="inlineStr">
        <is>
          <t>FEBRERO</t>
        </is>
      </c>
      <c r="P2019" s="232" t="n">
        <v>6</v>
      </c>
      <c r="Q2019" s="234" t="n">
        <v>2270</v>
      </c>
      <c r="R2019" s="232" t="inlineStr"/>
      <c r="S2019" s="234" t="n">
        <v>2270</v>
      </c>
      <c r="T2019" s="232" t="inlineStr">
        <is>
          <t>CLP</t>
        </is>
      </c>
      <c r="U2019" s="232" t="inlineStr">
        <is>
          <t>Prorrateo Ha PACKING</t>
        </is>
      </c>
      <c r="V2019" s="232" t="inlineStr">
        <is>
          <t>2026-06-18</t>
        </is>
      </c>
    </row>
    <row r="2020">
      <c r="A2020" s="232" t="inlineStr">
        <is>
          <t>CR-2017</t>
        </is>
      </c>
      <c r="B2020" s="232" t="inlineStr">
        <is>
          <t>2026/27</t>
        </is>
      </c>
      <c r="C2020" s="233" t="n">
        <v>46064</v>
      </c>
      <c r="D2020" s="232" t="inlineStr">
        <is>
          <t>89651</t>
        </is>
      </c>
      <c r="E2020" s="232" t="inlineStr">
        <is>
          <t>PRORRATEO</t>
        </is>
      </c>
      <c r="F2020" s="232" t="inlineStr">
        <is>
          <t>Santa Catalina</t>
        </is>
      </c>
      <c r="G2020" s="232" t="inlineStr">
        <is>
          <t>Fino 49 7,7 ha</t>
        </is>
      </c>
      <c r="H2020" s="232" t="inlineStr">
        <is>
          <t>Limon</t>
        </is>
      </c>
      <c r="I2020" s="232" t="inlineStr">
        <is>
          <t>Fino 49</t>
        </is>
      </c>
      <c r="J2020" s="232" t="inlineStr">
        <is>
          <t>COMBUSTIBLE</t>
        </is>
      </c>
      <c r="K2020" s="232" t="inlineStr">
        <is>
          <t>SIB. GRUA HORQUILLA ARRIENDO</t>
        </is>
      </c>
      <c r="L2020" s="232" t="inlineStr">
        <is>
          <t>[PRORRATEO 5.2% 7.7há/148.3há] O/001392 GAS ENV. 1</t>
        </is>
      </c>
      <c r="M2020" s="232" t="inlineStr"/>
      <c r="N2020" s="232" t="inlineStr">
        <is>
          <t>.   .   -</t>
        </is>
      </c>
      <c r="O2020" s="232" t="inlineStr">
        <is>
          <t>FEBRERO</t>
        </is>
      </c>
      <c r="P2020" s="232" t="n">
        <v>6</v>
      </c>
      <c r="Q2020" s="234" t="n">
        <v>3267</v>
      </c>
      <c r="R2020" s="232" t="inlineStr"/>
      <c r="S2020" s="234" t="n">
        <v>3267</v>
      </c>
      <c r="T2020" s="232" t="inlineStr">
        <is>
          <t>CLP</t>
        </is>
      </c>
      <c r="U2020" s="232" t="inlineStr">
        <is>
          <t>Prorrateo Ha PACKING</t>
        </is>
      </c>
      <c r="V2020" s="232" t="inlineStr">
        <is>
          <t>2026-06-18</t>
        </is>
      </c>
    </row>
    <row r="2021">
      <c r="A2021" s="232" t="inlineStr">
        <is>
          <t>CR-2018</t>
        </is>
      </c>
      <c r="B2021" s="232" t="inlineStr">
        <is>
          <t>2026/27</t>
        </is>
      </c>
      <c r="C2021" s="233" t="n">
        <v>46064</v>
      </c>
      <c r="D2021" s="232" t="inlineStr">
        <is>
          <t>89651</t>
        </is>
      </c>
      <c r="E2021" s="232" t="inlineStr">
        <is>
          <t>PRORRATEO</t>
        </is>
      </c>
      <c r="F2021" s="232" t="inlineStr">
        <is>
          <t>Santa Catalina</t>
        </is>
      </c>
      <c r="G2021" s="232" t="inlineStr">
        <is>
          <t>W. murcott 21 ha</t>
        </is>
      </c>
      <c r="H2021" s="232" t="inlineStr">
        <is>
          <t>Mandarina</t>
        </is>
      </c>
      <c r="I2021" s="232" t="inlineStr">
        <is>
          <t>W. murcott</t>
        </is>
      </c>
      <c r="J2021" s="232" t="inlineStr">
        <is>
          <t>COMBUSTIBLE</t>
        </is>
      </c>
      <c r="K2021" s="232" t="inlineStr">
        <is>
          <t>SIB. GRUA HORQUILLA ARRIENDO</t>
        </is>
      </c>
      <c r="L2021" s="232" t="inlineStr">
        <is>
          <t>[PRORRATEO 14.2% 21.0há/148.3há] O/001392 GAS ENV. 1</t>
        </is>
      </c>
      <c r="M2021" s="232" t="inlineStr"/>
      <c r="N2021" s="232" t="inlineStr">
        <is>
          <t>.   .   -</t>
        </is>
      </c>
      <c r="O2021" s="232" t="inlineStr">
        <is>
          <t>FEBRERO</t>
        </is>
      </c>
      <c r="P2021" s="232" t="n">
        <v>6</v>
      </c>
      <c r="Q2021" s="234" t="n">
        <v>8910</v>
      </c>
      <c r="R2021" s="232" t="inlineStr"/>
      <c r="S2021" s="234" t="n">
        <v>8910</v>
      </c>
      <c r="T2021" s="232" t="inlineStr">
        <is>
          <t>CLP</t>
        </is>
      </c>
      <c r="U2021" s="232" t="inlineStr">
        <is>
          <t>Prorrateo Ha PACKING</t>
        </is>
      </c>
      <c r="V2021" s="232" t="inlineStr">
        <is>
          <t>2026-06-18</t>
        </is>
      </c>
    </row>
    <row r="2022">
      <c r="A2022" s="232" t="inlineStr">
        <is>
          <t>CR-2019</t>
        </is>
      </c>
      <c r="B2022" s="232" t="inlineStr">
        <is>
          <t>2026/27</t>
        </is>
      </c>
      <c r="C2022" s="233" t="n">
        <v>46064</v>
      </c>
      <c r="D2022" s="232" t="inlineStr">
        <is>
          <t>89651</t>
        </is>
      </c>
      <c r="E2022" s="232" t="inlineStr">
        <is>
          <t>PRORRATEO</t>
        </is>
      </c>
      <c r="F2022" s="232" t="inlineStr">
        <is>
          <t>Santa Catalina</t>
        </is>
      </c>
      <c r="G2022" s="232" t="inlineStr">
        <is>
          <t>cambria 4,2 ha</t>
        </is>
      </c>
      <c r="H2022" s="232" t="inlineStr">
        <is>
          <t>Naranjas</t>
        </is>
      </c>
      <c r="I2022" s="232" t="inlineStr">
        <is>
          <t>Cambria</t>
        </is>
      </c>
      <c r="J2022" s="232" t="inlineStr">
        <is>
          <t>COMBUSTIBLE</t>
        </is>
      </c>
      <c r="K2022" s="232" t="inlineStr">
        <is>
          <t>SIB. GRUA HORQUILLA ARRIENDO</t>
        </is>
      </c>
      <c r="L2022" s="232" t="inlineStr">
        <is>
          <t>[PRORRATEO 2.8% 4.2há/148.3há] O/001392 GAS ENV. 1</t>
        </is>
      </c>
      <c r="M2022" s="232" t="inlineStr"/>
      <c r="N2022" s="232" t="inlineStr">
        <is>
          <t>.   .   -</t>
        </is>
      </c>
      <c r="O2022" s="232" t="inlineStr">
        <is>
          <t>FEBRERO</t>
        </is>
      </c>
      <c r="P2022" s="232" t="n">
        <v>6</v>
      </c>
      <c r="Q2022" s="234" t="n">
        <v>1782</v>
      </c>
      <c r="R2022" s="232" t="inlineStr"/>
      <c r="S2022" s="234" t="n">
        <v>1782</v>
      </c>
      <c r="T2022" s="232" t="inlineStr">
        <is>
          <t>CLP</t>
        </is>
      </c>
      <c r="U2022" s="232" t="inlineStr">
        <is>
          <t>Prorrateo Ha PACKING</t>
        </is>
      </c>
      <c r="V2022" s="232" t="inlineStr">
        <is>
          <t>2026-06-18</t>
        </is>
      </c>
    </row>
    <row r="2023">
      <c r="A2023" s="232" t="inlineStr">
        <is>
          <t>CR-2020</t>
        </is>
      </c>
      <c r="B2023" s="232" t="inlineStr">
        <is>
          <t>2026/27</t>
        </is>
      </c>
      <c r="C2023" s="233" t="n">
        <v>46064</v>
      </c>
      <c r="D2023" s="232" t="inlineStr">
        <is>
          <t>89651</t>
        </is>
      </c>
      <c r="E2023" s="232" t="inlineStr">
        <is>
          <t>PRORRATEO</t>
        </is>
      </c>
      <c r="F2023" s="232" t="inlineStr">
        <is>
          <t>Santa Catalina</t>
        </is>
      </c>
      <c r="G2023" s="232" t="inlineStr">
        <is>
          <t>eureka 10,6 ha</t>
        </is>
      </c>
      <c r="H2023" s="232" t="inlineStr">
        <is>
          <t>Limon</t>
        </is>
      </c>
      <c r="I2023" s="232" t="inlineStr">
        <is>
          <t>Eureka</t>
        </is>
      </c>
      <c r="J2023" s="232" t="inlineStr">
        <is>
          <t>COMBUSTIBLE</t>
        </is>
      </c>
      <c r="K2023" s="232" t="inlineStr">
        <is>
          <t>SIB. GRUA HORQUILLA ARRIENDO</t>
        </is>
      </c>
      <c r="L2023" s="232" t="inlineStr">
        <is>
          <t>[PRORRATEO 7.1% 10.6há/148.3há] O/001392 GAS ENV. 1</t>
        </is>
      </c>
      <c r="M2023" s="232" t="inlineStr"/>
      <c r="N2023" s="232" t="inlineStr">
        <is>
          <t>.   .   -</t>
        </is>
      </c>
      <c r="O2023" s="232" t="inlineStr">
        <is>
          <t>FEBRERO</t>
        </is>
      </c>
      <c r="P2023" s="232" t="n">
        <v>6</v>
      </c>
      <c r="Q2023" s="234" t="n">
        <v>4497</v>
      </c>
      <c r="R2023" s="232" t="inlineStr"/>
      <c r="S2023" s="234" t="n">
        <v>4497</v>
      </c>
      <c r="T2023" s="232" t="inlineStr">
        <is>
          <t>CLP</t>
        </is>
      </c>
      <c r="U2023" s="232" t="inlineStr">
        <is>
          <t>Prorrateo Ha PACKING</t>
        </is>
      </c>
      <c r="V2023" s="232" t="inlineStr">
        <is>
          <t>2026-06-18</t>
        </is>
      </c>
    </row>
    <row r="2024">
      <c r="A2024" s="232" t="inlineStr">
        <is>
          <t>CR-2021</t>
        </is>
      </c>
      <c r="B2024" s="232" t="inlineStr">
        <is>
          <t>2026/27</t>
        </is>
      </c>
      <c r="C2024" s="233" t="n">
        <v>46064</v>
      </c>
      <c r="D2024" s="232" t="inlineStr">
        <is>
          <t>89651</t>
        </is>
      </c>
      <c r="E2024" s="232" t="inlineStr">
        <is>
          <t>PRORRATEO</t>
        </is>
      </c>
      <c r="F2024" s="232" t="inlineStr">
        <is>
          <t>Santa Catalina</t>
        </is>
      </c>
      <c r="G2024" s="232" t="inlineStr">
        <is>
          <t>eureka 14,4 ha</t>
        </is>
      </c>
      <c r="H2024" s="232" t="inlineStr">
        <is>
          <t>Limon</t>
        </is>
      </c>
      <c r="I2024" s="232" t="inlineStr">
        <is>
          <t>Eureka</t>
        </is>
      </c>
      <c r="J2024" s="232" t="inlineStr">
        <is>
          <t>COMBUSTIBLE</t>
        </is>
      </c>
      <c r="K2024" s="232" t="inlineStr">
        <is>
          <t>SIB. GRUA HORQUILLA ARRIENDO</t>
        </is>
      </c>
      <c r="L2024" s="232" t="inlineStr">
        <is>
          <t>[PRORRATEO 9.7% 14.4há/148.3há] O/001392 GAS ENV. 1</t>
        </is>
      </c>
      <c r="M2024" s="232" t="inlineStr"/>
      <c r="N2024" s="232" t="inlineStr">
        <is>
          <t>.   .   -</t>
        </is>
      </c>
      <c r="O2024" s="232" t="inlineStr">
        <is>
          <t>FEBRERO</t>
        </is>
      </c>
      <c r="P2024" s="232" t="n">
        <v>6</v>
      </c>
      <c r="Q2024" s="234" t="n">
        <v>6110</v>
      </c>
      <c r="R2024" s="232" t="inlineStr"/>
      <c r="S2024" s="234" t="n">
        <v>6110</v>
      </c>
      <c r="T2024" s="232" t="inlineStr">
        <is>
          <t>CLP</t>
        </is>
      </c>
      <c r="U2024" s="232" t="inlineStr">
        <is>
          <t>Prorrateo Ha PACKING</t>
        </is>
      </c>
      <c r="V2024" s="232" t="inlineStr">
        <is>
          <t>2026-06-18</t>
        </is>
      </c>
    </row>
    <row r="2025">
      <c r="A2025" s="232" t="inlineStr">
        <is>
          <t>CR-2022</t>
        </is>
      </c>
      <c r="B2025" s="232" t="inlineStr">
        <is>
          <t>2026/27</t>
        </is>
      </c>
      <c r="C2025" s="233" t="n">
        <v>46064</v>
      </c>
      <c r="D2025" s="232" t="inlineStr">
        <is>
          <t>89651</t>
        </is>
      </c>
      <c r="E2025" s="232" t="inlineStr">
        <is>
          <t>PRORRATEO</t>
        </is>
      </c>
      <c r="F2025" s="232" t="inlineStr">
        <is>
          <t>Santa Catalina</t>
        </is>
      </c>
      <c r="G2025" s="232" t="inlineStr">
        <is>
          <t>eureka 22,55</t>
        </is>
      </c>
      <c r="H2025" s="232" t="inlineStr">
        <is>
          <t>Limon</t>
        </is>
      </c>
      <c r="I2025" s="232" t="inlineStr">
        <is>
          <t>Eureka</t>
        </is>
      </c>
      <c r="J2025" s="232" t="inlineStr">
        <is>
          <t>COMBUSTIBLE</t>
        </is>
      </c>
      <c r="K2025" s="232" t="inlineStr">
        <is>
          <t>SIB. GRUA HORQUILLA ARRIENDO</t>
        </is>
      </c>
      <c r="L2025" s="232" t="inlineStr">
        <is>
          <t>[PRORRATEO 15.2% 22.55há/148.3há] O/001392 GAS ENV. 1</t>
        </is>
      </c>
      <c r="M2025" s="232" t="inlineStr"/>
      <c r="N2025" s="232" t="inlineStr">
        <is>
          <t>.   .   -</t>
        </is>
      </c>
      <c r="O2025" s="232" t="inlineStr">
        <is>
          <t>FEBRERO</t>
        </is>
      </c>
      <c r="P2025" s="232" t="n">
        <v>6</v>
      </c>
      <c r="Q2025" s="234" t="n">
        <v>9568</v>
      </c>
      <c r="R2025" s="232" t="inlineStr"/>
      <c r="S2025" s="234" t="n">
        <v>9568</v>
      </c>
      <c r="T2025" s="232" t="inlineStr">
        <is>
          <t>CLP</t>
        </is>
      </c>
      <c r="U2025" s="232" t="inlineStr">
        <is>
          <t>Prorrateo Ha PACKING</t>
        </is>
      </c>
      <c r="V2025" s="232" t="inlineStr">
        <is>
          <t>2026-06-18</t>
        </is>
      </c>
    </row>
    <row r="2026">
      <c r="A2026" s="232" t="inlineStr">
        <is>
          <t>CR-2023</t>
        </is>
      </c>
      <c r="B2026" s="232" t="inlineStr">
        <is>
          <t>2026/27</t>
        </is>
      </c>
      <c r="C2026" s="233" t="n">
        <v>46064</v>
      </c>
      <c r="D2026" s="232" t="inlineStr">
        <is>
          <t>89651</t>
        </is>
      </c>
      <c r="E2026" s="232" t="inlineStr">
        <is>
          <t>PRORRATEO</t>
        </is>
      </c>
      <c r="F2026" s="232" t="inlineStr">
        <is>
          <t>Santa Catalina</t>
        </is>
      </c>
      <c r="G2026" s="232" t="inlineStr">
        <is>
          <t>form benjamin 1,93 ha</t>
        </is>
      </c>
      <c r="H2026" s="232" t="inlineStr">
        <is>
          <t>Limon</t>
        </is>
      </c>
      <c r="I2026" s="232" t="inlineStr">
        <is>
          <t>Benjamin andes</t>
        </is>
      </c>
      <c r="J2026" s="232" t="inlineStr">
        <is>
          <t>COMBUSTIBLE</t>
        </is>
      </c>
      <c r="K2026" s="232" t="inlineStr">
        <is>
          <t>SIB. GRUA HORQUILLA ARRIENDO</t>
        </is>
      </c>
      <c r="L2026" s="232" t="inlineStr">
        <is>
          <t>[PRORRATEO 1.3% 1.93há/148.3há] O/001392 GAS ENV. 1</t>
        </is>
      </c>
      <c r="M2026" s="232" t="inlineStr"/>
      <c r="N2026" s="232" t="inlineStr">
        <is>
          <t>.   .   -</t>
        </is>
      </c>
      <c r="O2026" s="232" t="inlineStr">
        <is>
          <t>FEBRERO</t>
        </is>
      </c>
      <c r="P2026" s="232" t="n">
        <v>6</v>
      </c>
      <c r="Q2026" s="234" t="n">
        <v>819</v>
      </c>
      <c r="R2026" s="232" t="inlineStr"/>
      <c r="S2026" s="234" t="n">
        <v>819</v>
      </c>
      <c r="T2026" s="232" t="inlineStr">
        <is>
          <t>CLP</t>
        </is>
      </c>
      <c r="U2026" s="232" t="inlineStr">
        <is>
          <t>Prorrateo Ha PACKING</t>
        </is>
      </c>
      <c r="V2026" s="232" t="inlineStr">
        <is>
          <t>2026-06-18</t>
        </is>
      </c>
    </row>
    <row r="2027">
      <c r="A2027" s="232" t="inlineStr">
        <is>
          <t>CR-2024</t>
        </is>
      </c>
      <c r="B2027" s="232" t="inlineStr">
        <is>
          <t>2026/27</t>
        </is>
      </c>
      <c r="C2027" s="233" t="n">
        <v>46064</v>
      </c>
      <c r="D2027" s="232" t="inlineStr">
        <is>
          <t>89651</t>
        </is>
      </c>
      <c r="E2027" s="232" t="inlineStr">
        <is>
          <t>PRORRATEO</t>
        </is>
      </c>
      <c r="F2027" s="232" t="inlineStr">
        <is>
          <t>Santa Catalina</t>
        </is>
      </c>
      <c r="G2027" s="232" t="inlineStr">
        <is>
          <t>mant eureka 2,5 ha</t>
        </is>
      </c>
      <c r="H2027" s="232" t="inlineStr">
        <is>
          <t>Limon</t>
        </is>
      </c>
      <c r="I2027" s="232" t="inlineStr">
        <is>
          <t>Eureka</t>
        </is>
      </c>
      <c r="J2027" s="232" t="inlineStr">
        <is>
          <t>COMBUSTIBLE</t>
        </is>
      </c>
      <c r="K2027" s="232" t="inlineStr">
        <is>
          <t>SIB. GRUA HORQUILLA ARRIENDO</t>
        </is>
      </c>
      <c r="L2027" s="232" t="inlineStr">
        <is>
          <t>[PRORRATEO 1.7% 2.5há/148.3há] O/001392 GAS ENV. 1</t>
        </is>
      </c>
      <c r="M2027" s="232" t="inlineStr"/>
      <c r="N2027" s="232" t="inlineStr">
        <is>
          <t>.   .   -</t>
        </is>
      </c>
      <c r="O2027" s="232" t="inlineStr">
        <is>
          <t>FEBRERO</t>
        </is>
      </c>
      <c r="P2027" s="232" t="n">
        <v>6</v>
      </c>
      <c r="Q2027" s="234" t="n">
        <v>1061</v>
      </c>
      <c r="R2027" s="232" t="inlineStr"/>
      <c r="S2027" s="234" t="n">
        <v>1061</v>
      </c>
      <c r="T2027" s="232" t="inlineStr">
        <is>
          <t>CLP</t>
        </is>
      </c>
      <c r="U2027" s="232" t="inlineStr">
        <is>
          <t>Prorrateo Ha PACKING</t>
        </is>
      </c>
      <c r="V2027" s="232" t="inlineStr">
        <is>
          <t>2026-06-18</t>
        </is>
      </c>
    </row>
    <row r="2028">
      <c r="A2028" s="232" t="inlineStr">
        <is>
          <t>CR-2025</t>
        </is>
      </c>
      <c r="B2028" s="232" t="inlineStr">
        <is>
          <t>2026/27</t>
        </is>
      </c>
      <c r="C2028" s="233" t="n">
        <v>46064</v>
      </c>
      <c r="D2028" s="232" t="inlineStr">
        <is>
          <t>89651</t>
        </is>
      </c>
      <c r="E2028" s="232" t="inlineStr">
        <is>
          <t>PRORRATEO</t>
        </is>
      </c>
      <c r="F2028" s="232" t="inlineStr">
        <is>
          <t>Siberia</t>
        </is>
      </c>
      <c r="G2028" s="232" t="inlineStr">
        <is>
          <t>S. Celebration 7,14</t>
        </is>
      </c>
      <c r="H2028" s="232" t="inlineStr">
        <is>
          <t>Uvas</t>
        </is>
      </c>
      <c r="I2028" s="232" t="inlineStr">
        <is>
          <t>S. celebration</t>
        </is>
      </c>
      <c r="J2028" s="232" t="inlineStr">
        <is>
          <t>COMBUSTIBLE</t>
        </is>
      </c>
      <c r="K2028" s="232" t="inlineStr">
        <is>
          <t>SIB. GRUA HORQUILLA ARRIENDO</t>
        </is>
      </c>
      <c r="L2028" s="232" t="inlineStr">
        <is>
          <t>[PRORRATEO 4.8% 7.14há/148.3há] O/001392 GAS ENV. 1</t>
        </is>
      </c>
      <c r="M2028" s="232" t="inlineStr"/>
      <c r="N2028" s="232" t="inlineStr">
        <is>
          <t>.   .   -</t>
        </is>
      </c>
      <c r="O2028" s="232" t="inlineStr">
        <is>
          <t>FEBRERO</t>
        </is>
      </c>
      <c r="P2028" s="232" t="n">
        <v>6</v>
      </c>
      <c r="Q2028" s="234" t="n">
        <v>3029</v>
      </c>
      <c r="R2028" s="232" t="inlineStr"/>
      <c r="S2028" s="234" t="n">
        <v>3029</v>
      </c>
      <c r="T2028" s="232" t="inlineStr">
        <is>
          <t>CLP</t>
        </is>
      </c>
      <c r="U2028" s="232" t="inlineStr">
        <is>
          <t>Prorrateo Ha PACKING</t>
        </is>
      </c>
      <c r="V2028" s="232" t="inlineStr">
        <is>
          <t>2026-06-18</t>
        </is>
      </c>
    </row>
    <row r="2029">
      <c r="A2029" s="232" t="inlineStr">
        <is>
          <t>CR-2026</t>
        </is>
      </c>
      <c r="B2029" s="232" t="inlineStr">
        <is>
          <t>2026/27</t>
        </is>
      </c>
      <c r="C2029" s="233" t="n">
        <v>46064</v>
      </c>
      <c r="D2029" s="232" t="inlineStr">
        <is>
          <t>89651</t>
        </is>
      </c>
      <c r="E2029" s="232" t="inlineStr">
        <is>
          <t>PRORRATEO</t>
        </is>
      </c>
      <c r="F2029" s="232" t="inlineStr">
        <is>
          <t>Siberia</t>
        </is>
      </c>
      <c r="G2029" s="232" t="inlineStr">
        <is>
          <t>Timpson 7,1</t>
        </is>
      </c>
      <c r="H2029" s="232" t="inlineStr">
        <is>
          <t>Uvas</t>
        </is>
      </c>
      <c r="I2029" s="232" t="inlineStr">
        <is>
          <t>Timpson</t>
        </is>
      </c>
      <c r="J2029" s="232" t="inlineStr">
        <is>
          <t>COMBUSTIBLE</t>
        </is>
      </c>
      <c r="K2029" s="232" t="inlineStr">
        <is>
          <t>SIB. GRUA HORQUILLA ARRIENDO</t>
        </is>
      </c>
      <c r="L2029" s="232" t="inlineStr">
        <is>
          <t>[PRORRATEO 4.8% 7.1há/148.3há] O/001392 GAS ENV. 1</t>
        </is>
      </c>
      <c r="M2029" s="232" t="inlineStr"/>
      <c r="N2029" s="232" t="inlineStr">
        <is>
          <t>.   .   -</t>
        </is>
      </c>
      <c r="O2029" s="232" t="inlineStr">
        <is>
          <t>FEBRERO</t>
        </is>
      </c>
      <c r="P2029" s="232" t="n">
        <v>6</v>
      </c>
      <c r="Q2029" s="234" t="n">
        <v>3012</v>
      </c>
      <c r="R2029" s="232" t="inlineStr"/>
      <c r="S2029" s="234" t="n">
        <v>3012</v>
      </c>
      <c r="T2029" s="232" t="inlineStr">
        <is>
          <t>CLP</t>
        </is>
      </c>
      <c r="U2029" s="232" t="inlineStr">
        <is>
          <t>Prorrateo Ha PACKING</t>
        </is>
      </c>
      <c r="V2029" s="232" t="inlineStr">
        <is>
          <t>2026-06-18</t>
        </is>
      </c>
    </row>
    <row r="2030">
      <c r="A2030" s="232" t="inlineStr">
        <is>
          <t>CR-2027</t>
        </is>
      </c>
      <c r="B2030" s="232" t="inlineStr">
        <is>
          <t>2026/27</t>
        </is>
      </c>
      <c r="C2030" s="233" t="n">
        <v>46069</v>
      </c>
      <c r="D2030" s="232" t="inlineStr">
        <is>
          <t>1719</t>
        </is>
      </c>
      <c r="E2030" s="232" t="inlineStr">
        <is>
          <t>PRORRATEO</t>
        </is>
      </c>
      <c r="F2030" s="232" t="inlineStr">
        <is>
          <t>Asmara</t>
        </is>
      </c>
      <c r="G2030" s="232" t="inlineStr">
        <is>
          <t>w. murcott 19,8 ha</t>
        </is>
      </c>
      <c r="H2030" s="232" t="inlineStr">
        <is>
          <t>Mandarina</t>
        </is>
      </c>
      <c r="I2030" s="232" t="inlineStr">
        <is>
          <t>W. murcott</t>
        </is>
      </c>
      <c r="J2030" s="232" t="inlineStr">
        <is>
          <t>MATERIALES EMBALAJE</t>
        </is>
      </c>
      <c r="K2030" s="232" t="inlineStr">
        <is>
          <t>DOSIGAS-MINIGAS</t>
        </is>
      </c>
      <c r="L2030" s="232" t="inlineStr">
        <is>
          <t>[PRORRATEO 13.4% 19.8há/148.3há] O/001314 DOSIGAS-MI</t>
        </is>
      </c>
      <c r="M2030" s="232" t="inlineStr"/>
      <c r="N2030" s="232" t="inlineStr">
        <is>
          <t>.   .   -</t>
        </is>
      </c>
      <c r="O2030" s="232" t="inlineStr">
        <is>
          <t>FEBRERO</t>
        </is>
      </c>
      <c r="P2030" s="232" t="n">
        <v>7</v>
      </c>
      <c r="Q2030" s="234" t="n">
        <v>118859</v>
      </c>
      <c r="R2030" s="232" t="inlineStr"/>
      <c r="S2030" s="234" t="n">
        <v>118859</v>
      </c>
      <c r="T2030" s="232" t="inlineStr">
        <is>
          <t>CLP</t>
        </is>
      </c>
      <c r="U2030" s="232" t="inlineStr">
        <is>
          <t>Prorrateo Ha PACKING</t>
        </is>
      </c>
      <c r="V2030" s="232" t="inlineStr">
        <is>
          <t>2026-06-18</t>
        </is>
      </c>
    </row>
    <row r="2031">
      <c r="A2031" s="232" t="inlineStr">
        <is>
          <t>CR-2028</t>
        </is>
      </c>
      <c r="B2031" s="232" t="inlineStr">
        <is>
          <t>2026/27</t>
        </is>
      </c>
      <c r="C2031" s="233" t="n">
        <v>46069</v>
      </c>
      <c r="D2031" s="232" t="inlineStr">
        <is>
          <t>1719</t>
        </is>
      </c>
      <c r="E2031" s="232" t="inlineStr">
        <is>
          <t>PRORRATEO</t>
        </is>
      </c>
      <c r="F2031" s="232" t="inlineStr">
        <is>
          <t>Asmara</t>
        </is>
      </c>
      <c r="G2031" s="232" t="inlineStr">
        <is>
          <t>w. murcott 4,9 ha</t>
        </is>
      </c>
      <c r="H2031" s="232" t="inlineStr">
        <is>
          <t>Mandarina</t>
        </is>
      </c>
      <c r="I2031" s="232" t="inlineStr">
        <is>
          <t>W. murcott</t>
        </is>
      </c>
      <c r="J2031" s="232" t="inlineStr">
        <is>
          <t>MATERIALES EMBALAJE</t>
        </is>
      </c>
      <c r="K2031" s="232" t="inlineStr">
        <is>
          <t>DOSIGAS-MINIGAS</t>
        </is>
      </c>
      <c r="L2031" s="232" t="inlineStr">
        <is>
          <t>[PRORRATEO 3.3% 4.9há/148.3há] O/001314 DOSIGAS-MI</t>
        </is>
      </c>
      <c r="M2031" s="232" t="inlineStr"/>
      <c r="N2031" s="232" t="inlineStr">
        <is>
          <t>.   .   -</t>
        </is>
      </c>
      <c r="O2031" s="232" t="inlineStr">
        <is>
          <t>FEBRERO</t>
        </is>
      </c>
      <c r="P2031" s="232" t="n">
        <v>7</v>
      </c>
      <c r="Q2031" s="234" t="n">
        <v>29415</v>
      </c>
      <c r="R2031" s="232" t="inlineStr"/>
      <c r="S2031" s="234" t="n">
        <v>29415</v>
      </c>
      <c r="T2031" s="232" t="inlineStr">
        <is>
          <t>CLP</t>
        </is>
      </c>
      <c r="U2031" s="232" t="inlineStr">
        <is>
          <t>Prorrateo Ha PACKING</t>
        </is>
      </c>
      <c r="V2031" s="232" t="inlineStr">
        <is>
          <t>2026-06-18</t>
        </is>
      </c>
    </row>
    <row r="2032">
      <c r="A2032" s="232" t="inlineStr">
        <is>
          <t>CR-2029</t>
        </is>
      </c>
      <c r="B2032" s="232" t="inlineStr">
        <is>
          <t>2026/27</t>
        </is>
      </c>
      <c r="C2032" s="233" t="n">
        <v>46069</v>
      </c>
      <c r="D2032" s="232" t="inlineStr">
        <is>
          <t>1719</t>
        </is>
      </c>
      <c r="E2032" s="232" t="inlineStr">
        <is>
          <t>PRORRATEO</t>
        </is>
      </c>
      <c r="F2032" s="232" t="inlineStr">
        <is>
          <t>El Molle</t>
        </is>
      </c>
      <c r="G2032" s="232" t="inlineStr">
        <is>
          <t>Wonderful 5,25 ha</t>
        </is>
      </c>
      <c r="H2032" s="232" t="inlineStr">
        <is>
          <t>Granados</t>
        </is>
      </c>
      <c r="I2032" s="232" t="inlineStr">
        <is>
          <t>Wonderfull</t>
        </is>
      </c>
      <c r="J2032" s="232" t="inlineStr">
        <is>
          <t>MATERIALES EMBALAJE</t>
        </is>
      </c>
      <c r="K2032" s="232" t="inlineStr">
        <is>
          <t>DOSIGAS-MINIGAS</t>
        </is>
      </c>
      <c r="L2032" s="232" t="inlineStr">
        <is>
          <t>[PRORRATEO 3.5% 5.24há/148.3há] O/001314 DOSIGAS-MI</t>
        </is>
      </c>
      <c r="M2032" s="232" t="inlineStr"/>
      <c r="N2032" s="232" t="inlineStr">
        <is>
          <t>.   .   -</t>
        </is>
      </c>
      <c r="O2032" s="232" t="inlineStr">
        <is>
          <t>FEBRERO</t>
        </is>
      </c>
      <c r="P2032" s="232" t="n">
        <v>7</v>
      </c>
      <c r="Q2032" s="234" t="n">
        <v>31456</v>
      </c>
      <c r="R2032" s="232" t="inlineStr"/>
      <c r="S2032" s="234" t="n">
        <v>31456</v>
      </c>
      <c r="T2032" s="232" t="inlineStr">
        <is>
          <t>CLP</t>
        </is>
      </c>
      <c r="U2032" s="232" t="inlineStr">
        <is>
          <t>Prorrateo Ha PACKING</t>
        </is>
      </c>
      <c r="V2032" s="232" t="inlineStr">
        <is>
          <t>2026-06-18</t>
        </is>
      </c>
    </row>
    <row r="2033">
      <c r="A2033" s="232" t="inlineStr">
        <is>
          <t>CR-2030</t>
        </is>
      </c>
      <c r="B2033" s="232" t="inlineStr">
        <is>
          <t>2026/27</t>
        </is>
      </c>
      <c r="C2033" s="233" t="n">
        <v>46069</v>
      </c>
      <c r="D2033" s="232" t="inlineStr">
        <is>
          <t>1719</t>
        </is>
      </c>
      <c r="E2033" s="232" t="inlineStr">
        <is>
          <t>PRORRATEO</t>
        </is>
      </c>
      <c r="F2033" s="232" t="inlineStr">
        <is>
          <t>El Molle</t>
        </is>
      </c>
      <c r="G2033" s="232" t="inlineStr">
        <is>
          <t>arrufatinas 5,74 ha</t>
        </is>
      </c>
      <c r="H2033" s="232" t="inlineStr">
        <is>
          <t>Clementinas</t>
        </is>
      </c>
      <c r="I2033" s="232" t="inlineStr">
        <is>
          <t>Arrufatinas</t>
        </is>
      </c>
      <c r="J2033" s="232" t="inlineStr">
        <is>
          <t>MATERIALES EMBALAJE</t>
        </is>
      </c>
      <c r="K2033" s="232" t="inlineStr">
        <is>
          <t>DOSIGAS-MINIGAS</t>
        </is>
      </c>
      <c r="L2033" s="232" t="inlineStr">
        <is>
          <t>[PRORRATEO 3.9% 5.74há/148.3há] O/001314 DOSIGAS-MI</t>
        </is>
      </c>
      <c r="M2033" s="232" t="inlineStr"/>
      <c r="N2033" s="232" t="inlineStr">
        <is>
          <t>.   .   -</t>
        </is>
      </c>
      <c r="O2033" s="232" t="inlineStr">
        <is>
          <t>FEBRERO</t>
        </is>
      </c>
      <c r="P2033" s="232" t="n">
        <v>7</v>
      </c>
      <c r="Q2033" s="234" t="n">
        <v>34457</v>
      </c>
      <c r="R2033" s="232" t="inlineStr"/>
      <c r="S2033" s="234" t="n">
        <v>34457</v>
      </c>
      <c r="T2033" s="232" t="inlineStr">
        <is>
          <t>CLP</t>
        </is>
      </c>
      <c r="U2033" s="232" t="inlineStr">
        <is>
          <t>Prorrateo Ha PACKING</t>
        </is>
      </c>
      <c r="V2033" s="232" t="inlineStr">
        <is>
          <t>2026-06-18</t>
        </is>
      </c>
    </row>
    <row r="2034">
      <c r="A2034" s="232" t="inlineStr">
        <is>
          <t>CR-2031</t>
        </is>
      </c>
      <c r="B2034" s="232" t="inlineStr">
        <is>
          <t>2026/27</t>
        </is>
      </c>
      <c r="C2034" s="233" t="n">
        <v>46069</v>
      </c>
      <c r="D2034" s="232" t="inlineStr">
        <is>
          <t>1719</t>
        </is>
      </c>
      <c r="E2034" s="232" t="inlineStr">
        <is>
          <t>PRORRATEO</t>
        </is>
      </c>
      <c r="F2034" s="232" t="inlineStr">
        <is>
          <t>El Molle</t>
        </is>
      </c>
      <c r="G2034" s="232" t="inlineStr">
        <is>
          <t>orogrande 8,11 ha</t>
        </is>
      </c>
      <c r="H2034" s="232" t="inlineStr">
        <is>
          <t>Clementinas</t>
        </is>
      </c>
      <c r="I2034" s="232" t="inlineStr">
        <is>
          <t>Orogrande</t>
        </is>
      </c>
      <c r="J2034" s="232" t="inlineStr">
        <is>
          <t>MATERIALES EMBALAJE</t>
        </is>
      </c>
      <c r="K2034" s="232" t="inlineStr">
        <is>
          <t>DOSIGAS-MINIGAS</t>
        </is>
      </c>
      <c r="L2034" s="232" t="inlineStr">
        <is>
          <t>[PRORRATEO 5.5% 8.11há/148.3há] O/001314 DOSIGAS-MI</t>
        </is>
      </c>
      <c r="M2034" s="232" t="inlineStr"/>
      <c r="N2034" s="232" t="inlineStr">
        <is>
          <t>.   .   -</t>
        </is>
      </c>
      <c r="O2034" s="232" t="inlineStr">
        <is>
          <t>FEBRERO</t>
        </is>
      </c>
      <c r="P2034" s="232" t="n">
        <v>7</v>
      </c>
      <c r="Q2034" s="234" t="n">
        <v>48684</v>
      </c>
      <c r="R2034" s="232" t="inlineStr"/>
      <c r="S2034" s="234" t="n">
        <v>48684</v>
      </c>
      <c r="T2034" s="232" t="inlineStr">
        <is>
          <t>CLP</t>
        </is>
      </c>
      <c r="U2034" s="232" t="inlineStr">
        <is>
          <t>Prorrateo Ha PACKING</t>
        </is>
      </c>
      <c r="V2034" s="232" t="inlineStr">
        <is>
          <t>2026-06-18</t>
        </is>
      </c>
    </row>
    <row r="2035">
      <c r="A2035" s="232" t="inlineStr">
        <is>
          <t>CR-2032</t>
        </is>
      </c>
      <c r="B2035" s="232" t="inlineStr">
        <is>
          <t>2026/27</t>
        </is>
      </c>
      <c r="C2035" s="233" t="n">
        <v>46069</v>
      </c>
      <c r="D2035" s="232" t="inlineStr">
        <is>
          <t>1719</t>
        </is>
      </c>
      <c r="E2035" s="232" t="inlineStr">
        <is>
          <t>PRORRATEO</t>
        </is>
      </c>
      <c r="F2035" s="232" t="inlineStr">
        <is>
          <t>El Molle</t>
        </is>
      </c>
      <c r="G2035" s="232" t="inlineStr">
        <is>
          <t>oronules 5,35 ha</t>
        </is>
      </c>
      <c r="H2035" s="232" t="inlineStr">
        <is>
          <t>Clementinas</t>
        </is>
      </c>
      <c r="I2035" s="232" t="inlineStr">
        <is>
          <t>Oronules</t>
        </is>
      </c>
      <c r="J2035" s="232" t="inlineStr">
        <is>
          <t>MATERIALES EMBALAJE</t>
        </is>
      </c>
      <c r="K2035" s="232" t="inlineStr">
        <is>
          <t>DOSIGAS-MINIGAS</t>
        </is>
      </c>
      <c r="L2035" s="232" t="inlineStr">
        <is>
          <t>[PRORRATEO 3.6% 5.35há/148.3há] O/001314 DOSIGAS-MI</t>
        </is>
      </c>
      <c r="M2035" s="232" t="inlineStr"/>
      <c r="N2035" s="232" t="inlineStr">
        <is>
          <t>.   .   -</t>
        </is>
      </c>
      <c r="O2035" s="232" t="inlineStr">
        <is>
          <t>FEBRERO</t>
        </is>
      </c>
      <c r="P2035" s="232" t="n">
        <v>7</v>
      </c>
      <c r="Q2035" s="234" t="n">
        <v>32116</v>
      </c>
      <c r="R2035" s="232" t="inlineStr"/>
      <c r="S2035" s="234" t="n">
        <v>32116</v>
      </c>
      <c r="T2035" s="232" t="inlineStr">
        <is>
          <t>CLP</t>
        </is>
      </c>
      <c r="U2035" s="232" t="inlineStr">
        <is>
          <t>Prorrateo Ha PACKING</t>
        </is>
      </c>
      <c r="V2035" s="232" t="inlineStr">
        <is>
          <t>2026-06-18</t>
        </is>
      </c>
    </row>
    <row r="2036">
      <c r="A2036" s="232" t="inlineStr">
        <is>
          <t>CR-2033</t>
        </is>
      </c>
      <c r="B2036" s="232" t="inlineStr">
        <is>
          <t>2026/27</t>
        </is>
      </c>
      <c r="C2036" s="233" t="n">
        <v>46069</v>
      </c>
      <c r="D2036" s="232" t="inlineStr">
        <is>
          <t>1719</t>
        </is>
      </c>
      <c r="E2036" s="232" t="inlineStr">
        <is>
          <t>PRORRATEO</t>
        </is>
      </c>
      <c r="F2036" s="232" t="inlineStr">
        <is>
          <t>Santa Catalina</t>
        </is>
      </c>
      <c r="G2036" s="232" t="inlineStr">
        <is>
          <t>Fino 49 7,7 ha</t>
        </is>
      </c>
      <c r="H2036" s="232" t="inlineStr">
        <is>
          <t>Limon</t>
        </is>
      </c>
      <c r="I2036" s="232" t="inlineStr">
        <is>
          <t>Fino 49</t>
        </is>
      </c>
      <c r="J2036" s="232" t="inlineStr">
        <is>
          <t>MATERIALES EMBALAJE</t>
        </is>
      </c>
      <c r="K2036" s="232" t="inlineStr">
        <is>
          <t>DOSIGAS-MINIGAS</t>
        </is>
      </c>
      <c r="L2036" s="232" t="inlineStr">
        <is>
          <t>[PRORRATEO 5.2% 7.7há/148.3há] O/001314 DOSIGAS-MI</t>
        </is>
      </c>
      <c r="M2036" s="232" t="inlineStr"/>
      <c r="N2036" s="232" t="inlineStr">
        <is>
          <t>.   .   -</t>
        </is>
      </c>
      <c r="O2036" s="232" t="inlineStr">
        <is>
          <t>FEBRERO</t>
        </is>
      </c>
      <c r="P2036" s="232" t="n">
        <v>7</v>
      </c>
      <c r="Q2036" s="234" t="n">
        <v>46223</v>
      </c>
      <c r="R2036" s="232" t="inlineStr"/>
      <c r="S2036" s="234" t="n">
        <v>46223</v>
      </c>
      <c r="T2036" s="232" t="inlineStr">
        <is>
          <t>CLP</t>
        </is>
      </c>
      <c r="U2036" s="232" t="inlineStr">
        <is>
          <t>Prorrateo Ha PACKING</t>
        </is>
      </c>
      <c r="V2036" s="232" t="inlineStr">
        <is>
          <t>2026-06-18</t>
        </is>
      </c>
    </row>
    <row r="2037">
      <c r="A2037" s="232" t="inlineStr">
        <is>
          <t>CR-2034</t>
        </is>
      </c>
      <c r="B2037" s="232" t="inlineStr">
        <is>
          <t>2026/27</t>
        </is>
      </c>
      <c r="C2037" s="233" t="n">
        <v>46069</v>
      </c>
      <c r="D2037" s="232" t="inlineStr">
        <is>
          <t>1719</t>
        </is>
      </c>
      <c r="E2037" s="232" t="inlineStr">
        <is>
          <t>PRORRATEO</t>
        </is>
      </c>
      <c r="F2037" s="232" t="inlineStr">
        <is>
          <t>Santa Catalina</t>
        </is>
      </c>
      <c r="G2037" s="232" t="inlineStr">
        <is>
          <t>W. murcott 21 ha</t>
        </is>
      </c>
      <c r="H2037" s="232" t="inlineStr">
        <is>
          <t>Mandarina</t>
        </is>
      </c>
      <c r="I2037" s="232" t="inlineStr">
        <is>
          <t>W. murcott</t>
        </is>
      </c>
      <c r="J2037" s="232" t="inlineStr">
        <is>
          <t>MATERIALES EMBALAJE</t>
        </is>
      </c>
      <c r="K2037" s="232" t="inlineStr">
        <is>
          <t>DOSIGAS-MINIGAS</t>
        </is>
      </c>
      <c r="L2037" s="232" t="inlineStr">
        <is>
          <t>[PRORRATEO 14.2% 21.0há/148.3há] O/001314 DOSIGAS-MI</t>
        </is>
      </c>
      <c r="M2037" s="232" t="inlineStr"/>
      <c r="N2037" s="232" t="inlineStr">
        <is>
          <t>.   .   -</t>
        </is>
      </c>
      <c r="O2037" s="232" t="inlineStr">
        <is>
          <t>FEBRERO</t>
        </is>
      </c>
      <c r="P2037" s="232" t="n">
        <v>7</v>
      </c>
      <c r="Q2037" s="234" t="n">
        <v>126062</v>
      </c>
      <c r="R2037" s="232" t="inlineStr"/>
      <c r="S2037" s="234" t="n">
        <v>126062</v>
      </c>
      <c r="T2037" s="232" t="inlineStr">
        <is>
          <t>CLP</t>
        </is>
      </c>
      <c r="U2037" s="232" t="inlineStr">
        <is>
          <t>Prorrateo Ha PACKING</t>
        </is>
      </c>
      <c r="V2037" s="232" t="inlineStr">
        <is>
          <t>2026-06-18</t>
        </is>
      </c>
    </row>
    <row r="2038">
      <c r="A2038" s="232" t="inlineStr">
        <is>
          <t>CR-2035</t>
        </is>
      </c>
      <c r="B2038" s="232" t="inlineStr">
        <is>
          <t>2026/27</t>
        </is>
      </c>
      <c r="C2038" s="233" t="n">
        <v>46069</v>
      </c>
      <c r="D2038" s="232" t="inlineStr">
        <is>
          <t>1719</t>
        </is>
      </c>
      <c r="E2038" s="232" t="inlineStr">
        <is>
          <t>PRORRATEO</t>
        </is>
      </c>
      <c r="F2038" s="232" t="inlineStr">
        <is>
          <t>Santa Catalina</t>
        </is>
      </c>
      <c r="G2038" s="232" t="inlineStr">
        <is>
          <t>cambria 4,2 ha</t>
        </is>
      </c>
      <c r="H2038" s="232" t="inlineStr">
        <is>
          <t>Naranjas</t>
        </is>
      </c>
      <c r="I2038" s="232" t="inlineStr">
        <is>
          <t>Cambria</t>
        </is>
      </c>
      <c r="J2038" s="232" t="inlineStr">
        <is>
          <t>MATERIALES EMBALAJE</t>
        </is>
      </c>
      <c r="K2038" s="232" t="inlineStr">
        <is>
          <t>DOSIGAS-MINIGAS</t>
        </is>
      </c>
      <c r="L2038" s="232" t="inlineStr">
        <is>
          <t>[PRORRATEO 2.8% 4.2há/148.3há] O/001314 DOSIGAS-MI</t>
        </is>
      </c>
      <c r="M2038" s="232" t="inlineStr"/>
      <c r="N2038" s="232" t="inlineStr">
        <is>
          <t>.   .   -</t>
        </is>
      </c>
      <c r="O2038" s="232" t="inlineStr">
        <is>
          <t>FEBRERO</t>
        </is>
      </c>
      <c r="P2038" s="232" t="n">
        <v>7</v>
      </c>
      <c r="Q2038" s="234" t="n">
        <v>25212</v>
      </c>
      <c r="R2038" s="232" t="inlineStr"/>
      <c r="S2038" s="234" t="n">
        <v>25212</v>
      </c>
      <c r="T2038" s="232" t="inlineStr">
        <is>
          <t>CLP</t>
        </is>
      </c>
      <c r="U2038" s="232" t="inlineStr">
        <is>
          <t>Prorrateo Ha PACKING</t>
        </is>
      </c>
      <c r="V2038" s="232" t="inlineStr">
        <is>
          <t>2026-06-18</t>
        </is>
      </c>
    </row>
    <row r="2039">
      <c r="A2039" s="232" t="inlineStr">
        <is>
          <t>CR-2036</t>
        </is>
      </c>
      <c r="B2039" s="232" t="inlineStr">
        <is>
          <t>2026/27</t>
        </is>
      </c>
      <c r="C2039" s="233" t="n">
        <v>46069</v>
      </c>
      <c r="D2039" s="232" t="inlineStr">
        <is>
          <t>1719</t>
        </is>
      </c>
      <c r="E2039" s="232" t="inlineStr">
        <is>
          <t>PRORRATEO</t>
        </is>
      </c>
      <c r="F2039" s="232" t="inlineStr">
        <is>
          <t>Santa Catalina</t>
        </is>
      </c>
      <c r="G2039" s="232" t="inlineStr">
        <is>
          <t>eureka 10,6 ha</t>
        </is>
      </c>
      <c r="H2039" s="232" t="inlineStr">
        <is>
          <t>Limon</t>
        </is>
      </c>
      <c r="I2039" s="232" t="inlineStr">
        <is>
          <t>Eureka</t>
        </is>
      </c>
      <c r="J2039" s="232" t="inlineStr">
        <is>
          <t>MATERIALES EMBALAJE</t>
        </is>
      </c>
      <c r="K2039" s="232" t="inlineStr">
        <is>
          <t>DOSIGAS-MINIGAS</t>
        </is>
      </c>
      <c r="L2039" s="232" t="inlineStr">
        <is>
          <t>[PRORRATEO 7.1% 10.6há/148.3há] O/001314 DOSIGAS-MI</t>
        </is>
      </c>
      <c r="M2039" s="232" t="inlineStr"/>
      <c r="N2039" s="232" t="inlineStr">
        <is>
          <t>.   .   -</t>
        </is>
      </c>
      <c r="O2039" s="232" t="inlineStr">
        <is>
          <t>FEBRERO</t>
        </is>
      </c>
      <c r="P2039" s="232" t="n">
        <v>7</v>
      </c>
      <c r="Q2039" s="234" t="n">
        <v>63631</v>
      </c>
      <c r="R2039" s="232" t="inlineStr"/>
      <c r="S2039" s="234" t="n">
        <v>63631</v>
      </c>
      <c r="T2039" s="232" t="inlineStr">
        <is>
          <t>CLP</t>
        </is>
      </c>
      <c r="U2039" s="232" t="inlineStr">
        <is>
          <t>Prorrateo Ha PACKING</t>
        </is>
      </c>
      <c r="V2039" s="232" t="inlineStr">
        <is>
          <t>2026-06-18</t>
        </is>
      </c>
    </row>
    <row r="2040">
      <c r="A2040" s="232" t="inlineStr">
        <is>
          <t>CR-2037</t>
        </is>
      </c>
      <c r="B2040" s="232" t="inlineStr">
        <is>
          <t>2026/27</t>
        </is>
      </c>
      <c r="C2040" s="233" t="n">
        <v>46069</v>
      </c>
      <c r="D2040" s="232" t="inlineStr">
        <is>
          <t>1719</t>
        </is>
      </c>
      <c r="E2040" s="232" t="inlineStr">
        <is>
          <t>PRORRATEO</t>
        </is>
      </c>
      <c r="F2040" s="232" t="inlineStr">
        <is>
          <t>Santa Catalina</t>
        </is>
      </c>
      <c r="G2040" s="232" t="inlineStr">
        <is>
          <t>eureka 14,4 ha</t>
        </is>
      </c>
      <c r="H2040" s="232" t="inlineStr">
        <is>
          <t>Limon</t>
        </is>
      </c>
      <c r="I2040" s="232" t="inlineStr">
        <is>
          <t>Eureka</t>
        </is>
      </c>
      <c r="J2040" s="232" t="inlineStr">
        <is>
          <t>MATERIALES EMBALAJE</t>
        </is>
      </c>
      <c r="K2040" s="232" t="inlineStr">
        <is>
          <t>DOSIGAS-MINIGAS</t>
        </is>
      </c>
      <c r="L2040" s="232" t="inlineStr">
        <is>
          <t>[PRORRATEO 9.7% 14.4há/148.3há] O/001314 DOSIGAS-MI</t>
        </is>
      </c>
      <c r="M2040" s="232" t="inlineStr"/>
      <c r="N2040" s="232" t="inlineStr">
        <is>
          <t>.   .   -</t>
        </is>
      </c>
      <c r="O2040" s="232" t="inlineStr">
        <is>
          <t>FEBRERO</t>
        </is>
      </c>
      <c r="P2040" s="232" t="n">
        <v>7</v>
      </c>
      <c r="Q2040" s="234" t="n">
        <v>86443</v>
      </c>
      <c r="R2040" s="232" t="inlineStr"/>
      <c r="S2040" s="234" t="n">
        <v>86443</v>
      </c>
      <c r="T2040" s="232" t="inlineStr">
        <is>
          <t>CLP</t>
        </is>
      </c>
      <c r="U2040" s="232" t="inlineStr">
        <is>
          <t>Prorrateo Ha PACKING</t>
        </is>
      </c>
      <c r="V2040" s="232" t="inlineStr">
        <is>
          <t>2026-06-18</t>
        </is>
      </c>
    </row>
    <row r="2041">
      <c r="A2041" s="232" t="inlineStr">
        <is>
          <t>CR-2038</t>
        </is>
      </c>
      <c r="B2041" s="232" t="inlineStr">
        <is>
          <t>2026/27</t>
        </is>
      </c>
      <c r="C2041" s="233" t="n">
        <v>46069</v>
      </c>
      <c r="D2041" s="232" t="inlineStr">
        <is>
          <t>1719</t>
        </is>
      </c>
      <c r="E2041" s="232" t="inlineStr">
        <is>
          <t>PRORRATEO</t>
        </is>
      </c>
      <c r="F2041" s="232" t="inlineStr">
        <is>
          <t>Santa Catalina</t>
        </is>
      </c>
      <c r="G2041" s="232" t="inlineStr">
        <is>
          <t>eureka 22,55</t>
        </is>
      </c>
      <c r="H2041" s="232" t="inlineStr">
        <is>
          <t>Limon</t>
        </is>
      </c>
      <c r="I2041" s="232" t="inlineStr">
        <is>
          <t>Eureka</t>
        </is>
      </c>
      <c r="J2041" s="232" t="inlineStr">
        <is>
          <t>MATERIALES EMBALAJE</t>
        </is>
      </c>
      <c r="K2041" s="232" t="inlineStr">
        <is>
          <t>DOSIGAS-MINIGAS</t>
        </is>
      </c>
      <c r="L2041" s="232" t="inlineStr">
        <is>
          <t>[PRORRATEO 15.2% 22.55há/148.3há] O/001314 DOSIGAS-MI</t>
        </is>
      </c>
      <c r="M2041" s="232" t="inlineStr"/>
      <c r="N2041" s="232" t="inlineStr">
        <is>
          <t>.   .   -</t>
        </is>
      </c>
      <c r="O2041" s="232" t="inlineStr">
        <is>
          <t>FEBRERO</t>
        </is>
      </c>
      <c r="P2041" s="232" t="n">
        <v>7</v>
      </c>
      <c r="Q2041" s="234" t="n">
        <v>135367</v>
      </c>
      <c r="R2041" s="232" t="inlineStr"/>
      <c r="S2041" s="234" t="n">
        <v>135367</v>
      </c>
      <c r="T2041" s="232" t="inlineStr">
        <is>
          <t>CLP</t>
        </is>
      </c>
      <c r="U2041" s="232" t="inlineStr">
        <is>
          <t>Prorrateo Ha PACKING</t>
        </is>
      </c>
      <c r="V2041" s="232" t="inlineStr">
        <is>
          <t>2026-06-18</t>
        </is>
      </c>
    </row>
    <row r="2042">
      <c r="A2042" s="232" t="inlineStr">
        <is>
          <t>CR-2039</t>
        </is>
      </c>
      <c r="B2042" s="232" t="inlineStr">
        <is>
          <t>2026/27</t>
        </is>
      </c>
      <c r="C2042" s="233" t="n">
        <v>46069</v>
      </c>
      <c r="D2042" s="232" t="inlineStr">
        <is>
          <t>1719</t>
        </is>
      </c>
      <c r="E2042" s="232" t="inlineStr">
        <is>
          <t>PRORRATEO</t>
        </is>
      </c>
      <c r="F2042" s="232" t="inlineStr">
        <is>
          <t>Santa Catalina</t>
        </is>
      </c>
      <c r="G2042" s="232" t="inlineStr">
        <is>
          <t>form benjamin 1,93 ha</t>
        </is>
      </c>
      <c r="H2042" s="232" t="inlineStr">
        <is>
          <t>Limon</t>
        </is>
      </c>
      <c r="I2042" s="232" t="inlineStr">
        <is>
          <t>Benjamin andes</t>
        </is>
      </c>
      <c r="J2042" s="232" t="inlineStr">
        <is>
          <t>MATERIALES EMBALAJE</t>
        </is>
      </c>
      <c r="K2042" s="232" t="inlineStr">
        <is>
          <t>DOSIGAS-MINIGAS</t>
        </is>
      </c>
      <c r="L2042" s="232" t="inlineStr">
        <is>
          <t>[PRORRATEO 1.3% 1.93há/148.3há] O/001314 DOSIGAS-MI</t>
        </is>
      </c>
      <c r="M2042" s="232" t="inlineStr"/>
      <c r="N2042" s="232" t="inlineStr">
        <is>
          <t>.   .   -</t>
        </is>
      </c>
      <c r="O2042" s="232" t="inlineStr">
        <is>
          <t>FEBRERO</t>
        </is>
      </c>
      <c r="P2042" s="232" t="n">
        <v>7</v>
      </c>
      <c r="Q2042" s="234" t="n">
        <v>11586</v>
      </c>
      <c r="R2042" s="232" t="inlineStr"/>
      <c r="S2042" s="234" t="n">
        <v>11586</v>
      </c>
      <c r="T2042" s="232" t="inlineStr">
        <is>
          <t>CLP</t>
        </is>
      </c>
      <c r="U2042" s="232" t="inlineStr">
        <is>
          <t>Prorrateo Ha PACKING</t>
        </is>
      </c>
      <c r="V2042" s="232" t="inlineStr">
        <is>
          <t>2026-06-18</t>
        </is>
      </c>
    </row>
    <row r="2043">
      <c r="A2043" s="232" t="inlineStr">
        <is>
          <t>CR-2040</t>
        </is>
      </c>
      <c r="B2043" s="232" t="inlineStr">
        <is>
          <t>2026/27</t>
        </is>
      </c>
      <c r="C2043" s="233" t="n">
        <v>46069</v>
      </c>
      <c r="D2043" s="232" t="inlineStr">
        <is>
          <t>1719</t>
        </is>
      </c>
      <c r="E2043" s="232" t="inlineStr">
        <is>
          <t>PRORRATEO</t>
        </is>
      </c>
      <c r="F2043" s="232" t="inlineStr">
        <is>
          <t>Santa Catalina</t>
        </is>
      </c>
      <c r="G2043" s="232" t="inlineStr">
        <is>
          <t>mant eureka 2,5 ha</t>
        </is>
      </c>
      <c r="H2043" s="232" t="inlineStr">
        <is>
          <t>Limon</t>
        </is>
      </c>
      <c r="I2043" s="232" t="inlineStr">
        <is>
          <t>Eureka</t>
        </is>
      </c>
      <c r="J2043" s="232" t="inlineStr">
        <is>
          <t>MATERIALES EMBALAJE</t>
        </is>
      </c>
      <c r="K2043" s="232" t="inlineStr">
        <is>
          <t>DOSIGAS-MINIGAS</t>
        </is>
      </c>
      <c r="L2043" s="232" t="inlineStr">
        <is>
          <t>[PRORRATEO 1.7% 2.5há/148.3há] O/001314 DOSIGAS-MI</t>
        </is>
      </c>
      <c r="M2043" s="232" t="inlineStr"/>
      <c r="N2043" s="232" t="inlineStr">
        <is>
          <t>.   .   -</t>
        </is>
      </c>
      <c r="O2043" s="232" t="inlineStr">
        <is>
          <t>FEBRERO</t>
        </is>
      </c>
      <c r="P2043" s="232" t="n">
        <v>7</v>
      </c>
      <c r="Q2043" s="234" t="n">
        <v>15007</v>
      </c>
      <c r="R2043" s="232" t="inlineStr"/>
      <c r="S2043" s="234" t="n">
        <v>15007</v>
      </c>
      <c r="T2043" s="232" t="inlineStr">
        <is>
          <t>CLP</t>
        </is>
      </c>
      <c r="U2043" s="232" t="inlineStr">
        <is>
          <t>Prorrateo Ha PACKING</t>
        </is>
      </c>
      <c r="V2043" s="232" t="inlineStr">
        <is>
          <t>2026-06-18</t>
        </is>
      </c>
    </row>
    <row r="2044">
      <c r="A2044" s="232" t="inlineStr">
        <is>
          <t>CR-2041</t>
        </is>
      </c>
      <c r="B2044" s="232" t="inlineStr">
        <is>
          <t>2026/27</t>
        </is>
      </c>
      <c r="C2044" s="233" t="n">
        <v>46069</v>
      </c>
      <c r="D2044" s="232" t="inlineStr">
        <is>
          <t>1719</t>
        </is>
      </c>
      <c r="E2044" s="232" t="inlineStr">
        <is>
          <t>PRORRATEO</t>
        </is>
      </c>
      <c r="F2044" s="232" t="inlineStr">
        <is>
          <t>Siberia</t>
        </is>
      </c>
      <c r="G2044" s="232" t="inlineStr">
        <is>
          <t>S. Celebration 7,14</t>
        </is>
      </c>
      <c r="H2044" s="232" t="inlineStr">
        <is>
          <t>Uvas</t>
        </is>
      </c>
      <c r="I2044" s="232" t="inlineStr">
        <is>
          <t>S. celebration</t>
        </is>
      </c>
      <c r="J2044" s="232" t="inlineStr">
        <is>
          <t>MATERIALES EMBALAJE</t>
        </is>
      </c>
      <c r="K2044" s="232" t="inlineStr">
        <is>
          <t>DOSIGAS-MINIGAS</t>
        </is>
      </c>
      <c r="L2044" s="232" t="inlineStr">
        <is>
          <t>[PRORRATEO 4.8% 7.14há/148.3há] O/001314 DOSIGAS-MI</t>
        </is>
      </c>
      <c r="M2044" s="232" t="inlineStr"/>
      <c r="N2044" s="232" t="inlineStr">
        <is>
          <t>.   .   -</t>
        </is>
      </c>
      <c r="O2044" s="232" t="inlineStr">
        <is>
          <t>FEBRERO</t>
        </is>
      </c>
      <c r="P2044" s="232" t="n">
        <v>7</v>
      </c>
      <c r="Q2044" s="234" t="n">
        <v>42861</v>
      </c>
      <c r="R2044" s="232" t="inlineStr"/>
      <c r="S2044" s="234" t="n">
        <v>42861</v>
      </c>
      <c r="T2044" s="232" t="inlineStr">
        <is>
          <t>CLP</t>
        </is>
      </c>
      <c r="U2044" s="232" t="inlineStr">
        <is>
          <t>Prorrateo Ha PACKING</t>
        </is>
      </c>
      <c r="V2044" s="232" t="inlineStr">
        <is>
          <t>2026-06-18</t>
        </is>
      </c>
    </row>
    <row r="2045">
      <c r="A2045" s="232" t="inlineStr">
        <is>
          <t>CR-2042</t>
        </is>
      </c>
      <c r="B2045" s="232" t="inlineStr">
        <is>
          <t>2026/27</t>
        </is>
      </c>
      <c r="C2045" s="233" t="n">
        <v>46069</v>
      </c>
      <c r="D2045" s="232" t="inlineStr">
        <is>
          <t>1719</t>
        </is>
      </c>
      <c r="E2045" s="232" t="inlineStr">
        <is>
          <t>PRORRATEO</t>
        </is>
      </c>
      <c r="F2045" s="232" t="inlineStr">
        <is>
          <t>Siberia</t>
        </is>
      </c>
      <c r="G2045" s="232" t="inlineStr">
        <is>
          <t>Timpson 7,1</t>
        </is>
      </c>
      <c r="H2045" s="232" t="inlineStr">
        <is>
          <t>Uvas</t>
        </is>
      </c>
      <c r="I2045" s="232" t="inlineStr">
        <is>
          <t>Timpson</t>
        </is>
      </c>
      <c r="J2045" s="232" t="inlineStr">
        <is>
          <t>MATERIALES EMBALAJE</t>
        </is>
      </c>
      <c r="K2045" s="232" t="inlineStr">
        <is>
          <t>DOSIGAS-MINIGAS</t>
        </is>
      </c>
      <c r="L2045" s="232" t="inlineStr">
        <is>
          <t>[PRORRATEO 4.8% 7.1há/148.3há] O/001314 DOSIGAS-MI</t>
        </is>
      </c>
      <c r="M2045" s="232" t="inlineStr"/>
      <c r="N2045" s="232" t="inlineStr">
        <is>
          <t>.   .   -</t>
        </is>
      </c>
      <c r="O2045" s="232" t="inlineStr">
        <is>
          <t>FEBRERO</t>
        </is>
      </c>
      <c r="P2045" s="232" t="n">
        <v>7</v>
      </c>
      <c r="Q2045" s="234" t="n">
        <v>42621</v>
      </c>
      <c r="R2045" s="232" t="inlineStr"/>
      <c r="S2045" s="234" t="n">
        <v>42621</v>
      </c>
      <c r="T2045" s="232" t="inlineStr">
        <is>
          <t>CLP</t>
        </is>
      </c>
      <c r="U2045" s="232" t="inlineStr">
        <is>
          <t>Prorrateo Ha PACKING</t>
        </is>
      </c>
      <c r="V2045" s="232" t="inlineStr">
        <is>
          <t>2026-06-18</t>
        </is>
      </c>
    </row>
    <row r="2046">
      <c r="A2046" s="232" t="inlineStr">
        <is>
          <t>CR-2043</t>
        </is>
      </c>
      <c r="B2046" s="232" t="inlineStr">
        <is>
          <t>2026/27</t>
        </is>
      </c>
      <c r="C2046" s="233" t="n">
        <v>46069</v>
      </c>
      <c r="D2046" s="232" t="inlineStr">
        <is>
          <t>914663</t>
        </is>
      </c>
      <c r="E2046" s="232" t="inlineStr">
        <is>
          <t>PRORRATEO</t>
        </is>
      </c>
      <c r="F2046" s="232" t="inlineStr">
        <is>
          <t>Asmara</t>
        </is>
      </c>
      <c r="G2046" s="232" t="inlineStr">
        <is>
          <t>w. murcott 19,8 ha</t>
        </is>
      </c>
      <c r="H2046" s="232" t="inlineStr">
        <is>
          <t>Mandarina</t>
        </is>
      </c>
      <c r="I2046" s="232" t="inlineStr">
        <is>
          <t>W. murcott</t>
        </is>
      </c>
      <c r="J2046" s="232" t="inlineStr">
        <is>
          <t>UNIFORME Y EPP</t>
        </is>
      </c>
      <c r="K2046" s="232" t="inlineStr">
        <is>
          <t>EPP</t>
        </is>
      </c>
      <c r="L2046" s="232" t="inlineStr">
        <is>
          <t>[PRORRATEO 13.4% 19.8há/148.3há] O/001372 PROTECTOR</t>
        </is>
      </c>
      <c r="M2046" s="232" t="inlineStr"/>
      <c r="N2046" s="232" t="inlineStr">
        <is>
          <t>.   .   -</t>
        </is>
      </c>
      <c r="O2046" s="232" t="inlineStr">
        <is>
          <t>FEBRERO</t>
        </is>
      </c>
      <c r="P2046" s="232" t="n">
        <v>7</v>
      </c>
      <c r="Q2046" s="234" t="n">
        <v>8398</v>
      </c>
      <c r="R2046" s="232" t="inlineStr"/>
      <c r="S2046" s="234" t="n">
        <v>8398</v>
      </c>
      <c r="T2046" s="232" t="inlineStr">
        <is>
          <t>CLP</t>
        </is>
      </c>
      <c r="U2046" s="232" t="inlineStr">
        <is>
          <t>Prorrateo Ha BODEGA</t>
        </is>
      </c>
      <c r="V2046" s="232" t="inlineStr">
        <is>
          <t>2026-06-18</t>
        </is>
      </c>
    </row>
    <row r="2047">
      <c r="A2047" s="232" t="inlineStr">
        <is>
          <t>CR-2044</t>
        </is>
      </c>
      <c r="B2047" s="232" t="inlineStr">
        <is>
          <t>2026/27</t>
        </is>
      </c>
      <c r="C2047" s="233" t="n">
        <v>46069</v>
      </c>
      <c r="D2047" s="232" t="inlineStr">
        <is>
          <t>914663</t>
        </is>
      </c>
      <c r="E2047" s="232" t="inlineStr">
        <is>
          <t>PRORRATEO</t>
        </is>
      </c>
      <c r="F2047" s="232" t="inlineStr">
        <is>
          <t>Asmara</t>
        </is>
      </c>
      <c r="G2047" s="232" t="inlineStr">
        <is>
          <t>w. murcott 4,9 ha</t>
        </is>
      </c>
      <c r="H2047" s="232" t="inlineStr">
        <is>
          <t>Mandarina</t>
        </is>
      </c>
      <c r="I2047" s="232" t="inlineStr">
        <is>
          <t>W. murcott</t>
        </is>
      </c>
      <c r="J2047" s="232" t="inlineStr">
        <is>
          <t>UNIFORME Y EPP</t>
        </is>
      </c>
      <c r="K2047" s="232" t="inlineStr">
        <is>
          <t>EPP</t>
        </is>
      </c>
      <c r="L2047" s="232" t="inlineStr">
        <is>
          <t>[PRORRATEO 3.3% 4.9há/148.3há] O/001372 PROTECTOR</t>
        </is>
      </c>
      <c r="M2047" s="232" t="inlineStr"/>
      <c r="N2047" s="232" t="inlineStr">
        <is>
          <t>.   .   -</t>
        </is>
      </c>
      <c r="O2047" s="232" t="inlineStr">
        <is>
          <t>FEBRERO</t>
        </is>
      </c>
      <c r="P2047" s="232" t="n">
        <v>7</v>
      </c>
      <c r="Q2047" s="234" t="n">
        <v>2078</v>
      </c>
      <c r="R2047" s="232" t="inlineStr"/>
      <c r="S2047" s="234" t="n">
        <v>2078</v>
      </c>
      <c r="T2047" s="232" t="inlineStr">
        <is>
          <t>CLP</t>
        </is>
      </c>
      <c r="U2047" s="232" t="inlineStr">
        <is>
          <t>Prorrateo Ha BODEGA</t>
        </is>
      </c>
      <c r="V2047" s="232" t="inlineStr">
        <is>
          <t>2026-06-18</t>
        </is>
      </c>
    </row>
    <row r="2048">
      <c r="A2048" s="232" t="inlineStr">
        <is>
          <t>CR-2045</t>
        </is>
      </c>
      <c r="B2048" s="232" t="inlineStr">
        <is>
          <t>2026/27</t>
        </is>
      </c>
      <c r="C2048" s="233" t="n">
        <v>46069</v>
      </c>
      <c r="D2048" s="232" t="inlineStr">
        <is>
          <t>914663</t>
        </is>
      </c>
      <c r="E2048" s="232" t="inlineStr">
        <is>
          <t>PRORRATEO</t>
        </is>
      </c>
      <c r="F2048" s="232" t="inlineStr">
        <is>
          <t>El Molle</t>
        </is>
      </c>
      <c r="G2048" s="232" t="inlineStr">
        <is>
          <t>Wonderful 5,25 ha</t>
        </is>
      </c>
      <c r="H2048" s="232" t="inlineStr">
        <is>
          <t>Granados</t>
        </is>
      </c>
      <c r="I2048" s="232" t="inlineStr">
        <is>
          <t>Wonderfull</t>
        </is>
      </c>
      <c r="J2048" s="232" t="inlineStr">
        <is>
          <t>UNIFORME Y EPP</t>
        </is>
      </c>
      <c r="K2048" s="232" t="inlineStr">
        <is>
          <t>EPP</t>
        </is>
      </c>
      <c r="L2048" s="232" t="inlineStr">
        <is>
          <t>[PRORRATEO 3.5% 5.24há/148.3há] O/001372 PROTECTOR</t>
        </is>
      </c>
      <c r="M2048" s="232" t="inlineStr"/>
      <c r="N2048" s="232" t="inlineStr">
        <is>
          <t>.   .   -</t>
        </is>
      </c>
      <c r="O2048" s="232" t="inlineStr">
        <is>
          <t>FEBRERO</t>
        </is>
      </c>
      <c r="P2048" s="232" t="n">
        <v>7</v>
      </c>
      <c r="Q2048" s="234" t="n">
        <v>2222</v>
      </c>
      <c r="R2048" s="232" t="inlineStr"/>
      <c r="S2048" s="234" t="n">
        <v>2222</v>
      </c>
      <c r="T2048" s="232" t="inlineStr">
        <is>
          <t>CLP</t>
        </is>
      </c>
      <c r="U2048" s="232" t="inlineStr">
        <is>
          <t>Prorrateo Ha BODEGA</t>
        </is>
      </c>
      <c r="V2048" s="232" t="inlineStr">
        <is>
          <t>2026-06-18</t>
        </is>
      </c>
    </row>
    <row r="2049">
      <c r="A2049" s="232" t="inlineStr">
        <is>
          <t>CR-2046</t>
        </is>
      </c>
      <c r="B2049" s="232" t="inlineStr">
        <is>
          <t>2026/27</t>
        </is>
      </c>
      <c r="C2049" s="233" t="n">
        <v>46069</v>
      </c>
      <c r="D2049" s="232" t="inlineStr">
        <is>
          <t>914663</t>
        </is>
      </c>
      <c r="E2049" s="232" t="inlineStr">
        <is>
          <t>PRORRATEO</t>
        </is>
      </c>
      <c r="F2049" s="232" t="inlineStr">
        <is>
          <t>El Molle</t>
        </is>
      </c>
      <c r="G2049" s="232" t="inlineStr">
        <is>
          <t>arrufatinas 5,74 ha</t>
        </is>
      </c>
      <c r="H2049" s="232" t="inlineStr">
        <is>
          <t>Clementinas</t>
        </is>
      </c>
      <c r="I2049" s="232" t="inlineStr">
        <is>
          <t>Arrufatinas</t>
        </is>
      </c>
      <c r="J2049" s="232" t="inlineStr">
        <is>
          <t>UNIFORME Y EPP</t>
        </is>
      </c>
      <c r="K2049" s="232" t="inlineStr">
        <is>
          <t>EPP</t>
        </is>
      </c>
      <c r="L2049" s="232" t="inlineStr">
        <is>
          <t>[PRORRATEO 3.9% 5.74há/148.3há] O/001372 PROTECTOR</t>
        </is>
      </c>
      <c r="M2049" s="232" t="inlineStr"/>
      <c r="N2049" s="232" t="inlineStr">
        <is>
          <t>.   .   -</t>
        </is>
      </c>
      <c r="O2049" s="232" t="inlineStr">
        <is>
          <t>FEBRERO</t>
        </is>
      </c>
      <c r="P2049" s="232" t="n">
        <v>7</v>
      </c>
      <c r="Q2049" s="234" t="n">
        <v>2434</v>
      </c>
      <c r="R2049" s="232" t="inlineStr"/>
      <c r="S2049" s="234" t="n">
        <v>2434</v>
      </c>
      <c r="T2049" s="232" t="inlineStr">
        <is>
          <t>CLP</t>
        </is>
      </c>
      <c r="U2049" s="232" t="inlineStr">
        <is>
          <t>Prorrateo Ha BODEGA</t>
        </is>
      </c>
      <c r="V2049" s="232" t="inlineStr">
        <is>
          <t>2026-06-18</t>
        </is>
      </c>
    </row>
    <row r="2050">
      <c r="A2050" s="232" t="inlineStr">
        <is>
          <t>CR-2047</t>
        </is>
      </c>
      <c r="B2050" s="232" t="inlineStr">
        <is>
          <t>2026/27</t>
        </is>
      </c>
      <c r="C2050" s="233" t="n">
        <v>46069</v>
      </c>
      <c r="D2050" s="232" t="inlineStr">
        <is>
          <t>914663</t>
        </is>
      </c>
      <c r="E2050" s="232" t="inlineStr">
        <is>
          <t>PRORRATEO</t>
        </is>
      </c>
      <c r="F2050" s="232" t="inlineStr">
        <is>
          <t>El Molle</t>
        </is>
      </c>
      <c r="G2050" s="232" t="inlineStr">
        <is>
          <t>orogrande 8,11 ha</t>
        </is>
      </c>
      <c r="H2050" s="232" t="inlineStr">
        <is>
          <t>Clementinas</t>
        </is>
      </c>
      <c r="I2050" s="232" t="inlineStr">
        <is>
          <t>Orogrande</t>
        </is>
      </c>
      <c r="J2050" s="232" t="inlineStr">
        <is>
          <t>UNIFORME Y EPP</t>
        </is>
      </c>
      <c r="K2050" s="232" t="inlineStr">
        <is>
          <t>EPP</t>
        </is>
      </c>
      <c r="L2050" s="232" t="inlineStr">
        <is>
          <t>[PRORRATEO 5.5% 8.11há/148.3há] O/001372 PROTECTOR</t>
        </is>
      </c>
      <c r="M2050" s="232" t="inlineStr"/>
      <c r="N2050" s="232" t="inlineStr">
        <is>
          <t>.   .   -</t>
        </is>
      </c>
      <c r="O2050" s="232" t="inlineStr">
        <is>
          <t>FEBRERO</t>
        </is>
      </c>
      <c r="P2050" s="232" t="n">
        <v>7</v>
      </c>
      <c r="Q2050" s="234" t="n">
        <v>3440</v>
      </c>
      <c r="R2050" s="232" t="inlineStr"/>
      <c r="S2050" s="234" t="n">
        <v>3440</v>
      </c>
      <c r="T2050" s="232" t="inlineStr">
        <is>
          <t>CLP</t>
        </is>
      </c>
      <c r="U2050" s="232" t="inlineStr">
        <is>
          <t>Prorrateo Ha BODEGA</t>
        </is>
      </c>
      <c r="V2050" s="232" t="inlineStr">
        <is>
          <t>2026-06-18</t>
        </is>
      </c>
    </row>
    <row r="2051">
      <c r="A2051" s="232" t="inlineStr">
        <is>
          <t>CR-2048</t>
        </is>
      </c>
      <c r="B2051" s="232" t="inlineStr">
        <is>
          <t>2026/27</t>
        </is>
      </c>
      <c r="C2051" s="233" t="n">
        <v>46069</v>
      </c>
      <c r="D2051" s="232" t="inlineStr">
        <is>
          <t>914663</t>
        </is>
      </c>
      <c r="E2051" s="232" t="inlineStr">
        <is>
          <t>PRORRATEO</t>
        </is>
      </c>
      <c r="F2051" s="232" t="inlineStr">
        <is>
          <t>El Molle</t>
        </is>
      </c>
      <c r="G2051" s="232" t="inlineStr">
        <is>
          <t>oronules 5,35 ha</t>
        </is>
      </c>
      <c r="H2051" s="232" t="inlineStr">
        <is>
          <t>Clementinas</t>
        </is>
      </c>
      <c r="I2051" s="232" t="inlineStr">
        <is>
          <t>Oronules</t>
        </is>
      </c>
      <c r="J2051" s="232" t="inlineStr">
        <is>
          <t>UNIFORME Y EPP</t>
        </is>
      </c>
      <c r="K2051" s="232" t="inlineStr">
        <is>
          <t>EPP</t>
        </is>
      </c>
      <c r="L2051" s="232" t="inlineStr">
        <is>
          <t>[PRORRATEO 3.6% 5.35há/148.3há] O/001372 PROTECTOR</t>
        </is>
      </c>
      <c r="M2051" s="232" t="inlineStr"/>
      <c r="N2051" s="232" t="inlineStr">
        <is>
          <t>.   .   -</t>
        </is>
      </c>
      <c r="O2051" s="232" t="inlineStr">
        <is>
          <t>FEBRERO</t>
        </is>
      </c>
      <c r="P2051" s="232" t="n">
        <v>7</v>
      </c>
      <c r="Q2051" s="234" t="n">
        <v>2269</v>
      </c>
      <c r="R2051" s="232" t="inlineStr"/>
      <c r="S2051" s="234" t="n">
        <v>2269</v>
      </c>
      <c r="T2051" s="232" t="inlineStr">
        <is>
          <t>CLP</t>
        </is>
      </c>
      <c r="U2051" s="232" t="inlineStr">
        <is>
          <t>Prorrateo Ha BODEGA</t>
        </is>
      </c>
      <c r="V2051" s="232" t="inlineStr">
        <is>
          <t>2026-06-18</t>
        </is>
      </c>
    </row>
    <row r="2052">
      <c r="A2052" s="232" t="inlineStr">
        <is>
          <t>CR-2049</t>
        </is>
      </c>
      <c r="B2052" s="232" t="inlineStr">
        <is>
          <t>2026/27</t>
        </is>
      </c>
      <c r="C2052" s="233" t="n">
        <v>46069</v>
      </c>
      <c r="D2052" s="232" t="inlineStr">
        <is>
          <t>914663</t>
        </is>
      </c>
      <c r="E2052" s="232" t="inlineStr">
        <is>
          <t>PRORRATEO</t>
        </is>
      </c>
      <c r="F2052" s="232" t="inlineStr">
        <is>
          <t>Santa Catalina</t>
        </is>
      </c>
      <c r="G2052" s="232" t="inlineStr">
        <is>
          <t>Fino 49 7,7 ha</t>
        </is>
      </c>
      <c r="H2052" s="232" t="inlineStr">
        <is>
          <t>Limon</t>
        </is>
      </c>
      <c r="I2052" s="232" t="inlineStr">
        <is>
          <t>Fino 49</t>
        </is>
      </c>
      <c r="J2052" s="232" t="inlineStr">
        <is>
          <t>UNIFORME Y EPP</t>
        </is>
      </c>
      <c r="K2052" s="232" t="inlineStr">
        <is>
          <t>EPP</t>
        </is>
      </c>
      <c r="L2052" s="232" t="inlineStr">
        <is>
          <t>[PRORRATEO 5.2% 7.7há/148.3há] O/001372 PROTECTOR</t>
        </is>
      </c>
      <c r="M2052" s="232" t="inlineStr"/>
      <c r="N2052" s="232" t="inlineStr">
        <is>
          <t>.   .   -</t>
        </is>
      </c>
      <c r="O2052" s="232" t="inlineStr">
        <is>
          <t>FEBRERO</t>
        </is>
      </c>
      <c r="P2052" s="232" t="n">
        <v>7</v>
      </c>
      <c r="Q2052" s="234" t="n">
        <v>3266</v>
      </c>
      <c r="R2052" s="232" t="inlineStr"/>
      <c r="S2052" s="234" t="n">
        <v>3266</v>
      </c>
      <c r="T2052" s="232" t="inlineStr">
        <is>
          <t>CLP</t>
        </is>
      </c>
      <c r="U2052" s="232" t="inlineStr">
        <is>
          <t>Prorrateo Ha BODEGA</t>
        </is>
      </c>
      <c r="V2052" s="232" t="inlineStr">
        <is>
          <t>2026-06-18</t>
        </is>
      </c>
    </row>
    <row r="2053">
      <c r="A2053" s="232" t="inlineStr">
        <is>
          <t>CR-2050</t>
        </is>
      </c>
      <c r="B2053" s="232" t="inlineStr">
        <is>
          <t>2026/27</t>
        </is>
      </c>
      <c r="C2053" s="233" t="n">
        <v>46069</v>
      </c>
      <c r="D2053" s="232" t="inlineStr">
        <is>
          <t>914663</t>
        </is>
      </c>
      <c r="E2053" s="232" t="inlineStr">
        <is>
          <t>PRORRATEO</t>
        </is>
      </c>
      <c r="F2053" s="232" t="inlineStr">
        <is>
          <t>Santa Catalina</t>
        </is>
      </c>
      <c r="G2053" s="232" t="inlineStr">
        <is>
          <t>W. murcott 21 ha</t>
        </is>
      </c>
      <c r="H2053" s="232" t="inlineStr">
        <is>
          <t>Mandarina</t>
        </is>
      </c>
      <c r="I2053" s="232" t="inlineStr">
        <is>
          <t>W. murcott</t>
        </is>
      </c>
      <c r="J2053" s="232" t="inlineStr">
        <is>
          <t>UNIFORME Y EPP</t>
        </is>
      </c>
      <c r="K2053" s="232" t="inlineStr">
        <is>
          <t>EPP</t>
        </is>
      </c>
      <c r="L2053" s="232" t="inlineStr">
        <is>
          <t>[PRORRATEO 14.2% 21.0há/148.3há] O/001372 PROTECTOR</t>
        </is>
      </c>
      <c r="M2053" s="232" t="inlineStr"/>
      <c r="N2053" s="232" t="inlineStr">
        <is>
          <t>.   .   -</t>
        </is>
      </c>
      <c r="O2053" s="232" t="inlineStr">
        <is>
          <t>FEBRERO</t>
        </is>
      </c>
      <c r="P2053" s="232" t="n">
        <v>7</v>
      </c>
      <c r="Q2053" s="234" t="n">
        <v>8907</v>
      </c>
      <c r="R2053" s="232" t="inlineStr"/>
      <c r="S2053" s="234" t="n">
        <v>8907</v>
      </c>
      <c r="T2053" s="232" t="inlineStr">
        <is>
          <t>CLP</t>
        </is>
      </c>
      <c r="U2053" s="232" t="inlineStr">
        <is>
          <t>Prorrateo Ha BODEGA</t>
        </is>
      </c>
      <c r="V2053" s="232" t="inlineStr">
        <is>
          <t>2026-06-18</t>
        </is>
      </c>
    </row>
    <row r="2054">
      <c r="A2054" s="232" t="inlineStr">
        <is>
          <t>CR-2051</t>
        </is>
      </c>
      <c r="B2054" s="232" t="inlineStr">
        <is>
          <t>2026/27</t>
        </is>
      </c>
      <c r="C2054" s="233" t="n">
        <v>46069</v>
      </c>
      <c r="D2054" s="232" t="inlineStr">
        <is>
          <t>914663</t>
        </is>
      </c>
      <c r="E2054" s="232" t="inlineStr">
        <is>
          <t>PRORRATEO</t>
        </is>
      </c>
      <c r="F2054" s="232" t="inlineStr">
        <is>
          <t>Santa Catalina</t>
        </is>
      </c>
      <c r="G2054" s="232" t="inlineStr">
        <is>
          <t>cambria 4,2 ha</t>
        </is>
      </c>
      <c r="H2054" s="232" t="inlineStr">
        <is>
          <t>Naranjas</t>
        </is>
      </c>
      <c r="I2054" s="232" t="inlineStr">
        <is>
          <t>Cambria</t>
        </is>
      </c>
      <c r="J2054" s="232" t="inlineStr">
        <is>
          <t>UNIFORME Y EPP</t>
        </is>
      </c>
      <c r="K2054" s="232" t="inlineStr">
        <is>
          <t>EPP</t>
        </is>
      </c>
      <c r="L2054" s="232" t="inlineStr">
        <is>
          <t>[PRORRATEO 2.8% 4.2há/148.3há] O/001372 PROTECTOR</t>
        </is>
      </c>
      <c r="M2054" s="232" t="inlineStr"/>
      <c r="N2054" s="232" t="inlineStr">
        <is>
          <t>.   .   -</t>
        </is>
      </c>
      <c r="O2054" s="232" t="inlineStr">
        <is>
          <t>FEBRERO</t>
        </is>
      </c>
      <c r="P2054" s="232" t="n">
        <v>7</v>
      </c>
      <c r="Q2054" s="234" t="n">
        <v>1781</v>
      </c>
      <c r="R2054" s="232" t="inlineStr"/>
      <c r="S2054" s="234" t="n">
        <v>1781</v>
      </c>
      <c r="T2054" s="232" t="inlineStr">
        <is>
          <t>CLP</t>
        </is>
      </c>
      <c r="U2054" s="232" t="inlineStr">
        <is>
          <t>Prorrateo Ha BODEGA</t>
        </is>
      </c>
      <c r="V2054" s="232" t="inlineStr">
        <is>
          <t>2026-06-18</t>
        </is>
      </c>
    </row>
    <row r="2055">
      <c r="A2055" s="232" t="inlineStr">
        <is>
          <t>CR-2052</t>
        </is>
      </c>
      <c r="B2055" s="232" t="inlineStr">
        <is>
          <t>2026/27</t>
        </is>
      </c>
      <c r="C2055" s="233" t="n">
        <v>46069</v>
      </c>
      <c r="D2055" s="232" t="inlineStr">
        <is>
          <t>914663</t>
        </is>
      </c>
      <c r="E2055" s="232" t="inlineStr">
        <is>
          <t>PRORRATEO</t>
        </is>
      </c>
      <c r="F2055" s="232" t="inlineStr">
        <is>
          <t>Santa Catalina</t>
        </is>
      </c>
      <c r="G2055" s="232" t="inlineStr">
        <is>
          <t>eureka 10,6 ha</t>
        </is>
      </c>
      <c r="H2055" s="232" t="inlineStr">
        <is>
          <t>Limon</t>
        </is>
      </c>
      <c r="I2055" s="232" t="inlineStr">
        <is>
          <t>Eureka</t>
        </is>
      </c>
      <c r="J2055" s="232" t="inlineStr">
        <is>
          <t>UNIFORME Y EPP</t>
        </is>
      </c>
      <c r="K2055" s="232" t="inlineStr">
        <is>
          <t>EPP</t>
        </is>
      </c>
      <c r="L2055" s="232" t="inlineStr">
        <is>
          <t>[PRORRATEO 7.1% 10.6há/148.3há] O/001372 PROTECTOR</t>
        </is>
      </c>
      <c r="M2055" s="232" t="inlineStr"/>
      <c r="N2055" s="232" t="inlineStr">
        <is>
          <t>.   .   -</t>
        </is>
      </c>
      <c r="O2055" s="232" t="inlineStr">
        <is>
          <t>FEBRERO</t>
        </is>
      </c>
      <c r="P2055" s="232" t="n">
        <v>7</v>
      </c>
      <c r="Q2055" s="234" t="n">
        <v>4496</v>
      </c>
      <c r="R2055" s="232" t="inlineStr"/>
      <c r="S2055" s="234" t="n">
        <v>4496</v>
      </c>
      <c r="T2055" s="232" t="inlineStr">
        <is>
          <t>CLP</t>
        </is>
      </c>
      <c r="U2055" s="232" t="inlineStr">
        <is>
          <t>Prorrateo Ha BODEGA</t>
        </is>
      </c>
      <c r="V2055" s="232" t="inlineStr">
        <is>
          <t>2026-06-18</t>
        </is>
      </c>
    </row>
    <row r="2056">
      <c r="A2056" s="232" t="inlineStr">
        <is>
          <t>CR-2053</t>
        </is>
      </c>
      <c r="B2056" s="232" t="inlineStr">
        <is>
          <t>2026/27</t>
        </is>
      </c>
      <c r="C2056" s="233" t="n">
        <v>46069</v>
      </c>
      <c r="D2056" s="232" t="inlineStr">
        <is>
          <t>914663</t>
        </is>
      </c>
      <c r="E2056" s="232" t="inlineStr">
        <is>
          <t>PRORRATEO</t>
        </is>
      </c>
      <c r="F2056" s="232" t="inlineStr">
        <is>
          <t>Santa Catalina</t>
        </is>
      </c>
      <c r="G2056" s="232" t="inlineStr">
        <is>
          <t>eureka 14,4 ha</t>
        </is>
      </c>
      <c r="H2056" s="232" t="inlineStr">
        <is>
          <t>Limon</t>
        </is>
      </c>
      <c r="I2056" s="232" t="inlineStr">
        <is>
          <t>Eureka</t>
        </is>
      </c>
      <c r="J2056" s="232" t="inlineStr">
        <is>
          <t>UNIFORME Y EPP</t>
        </is>
      </c>
      <c r="K2056" s="232" t="inlineStr">
        <is>
          <t>EPP</t>
        </is>
      </c>
      <c r="L2056" s="232" t="inlineStr">
        <is>
          <t>[PRORRATEO 9.7% 14.4há/148.3há] O/001372 PROTECTOR</t>
        </is>
      </c>
      <c r="M2056" s="232" t="inlineStr"/>
      <c r="N2056" s="232" t="inlineStr">
        <is>
          <t>.   .   -</t>
        </is>
      </c>
      <c r="O2056" s="232" t="inlineStr">
        <is>
          <t>FEBRERO</t>
        </is>
      </c>
      <c r="P2056" s="232" t="n">
        <v>7</v>
      </c>
      <c r="Q2056" s="234" t="n">
        <v>6107</v>
      </c>
      <c r="R2056" s="232" t="inlineStr"/>
      <c r="S2056" s="234" t="n">
        <v>6107</v>
      </c>
      <c r="T2056" s="232" t="inlineStr">
        <is>
          <t>CLP</t>
        </is>
      </c>
      <c r="U2056" s="232" t="inlineStr">
        <is>
          <t>Prorrateo Ha BODEGA</t>
        </is>
      </c>
      <c r="V2056" s="232" t="inlineStr">
        <is>
          <t>2026-06-18</t>
        </is>
      </c>
    </row>
    <row r="2057">
      <c r="A2057" s="232" t="inlineStr">
        <is>
          <t>CR-2054</t>
        </is>
      </c>
      <c r="B2057" s="232" t="inlineStr">
        <is>
          <t>2026/27</t>
        </is>
      </c>
      <c r="C2057" s="233" t="n">
        <v>46069</v>
      </c>
      <c r="D2057" s="232" t="inlineStr">
        <is>
          <t>914663</t>
        </is>
      </c>
      <c r="E2057" s="232" t="inlineStr">
        <is>
          <t>PRORRATEO</t>
        </is>
      </c>
      <c r="F2057" s="232" t="inlineStr">
        <is>
          <t>Santa Catalina</t>
        </is>
      </c>
      <c r="G2057" s="232" t="inlineStr">
        <is>
          <t>eureka 22,55</t>
        </is>
      </c>
      <c r="H2057" s="232" t="inlineStr">
        <is>
          <t>Limon</t>
        </is>
      </c>
      <c r="I2057" s="232" t="inlineStr">
        <is>
          <t>Eureka</t>
        </is>
      </c>
      <c r="J2057" s="232" t="inlineStr">
        <is>
          <t>UNIFORME Y EPP</t>
        </is>
      </c>
      <c r="K2057" s="232" t="inlineStr">
        <is>
          <t>EPP</t>
        </is>
      </c>
      <c r="L2057" s="232" t="inlineStr">
        <is>
          <t>[PRORRATEO 15.2% 22.55há/148.3há] O/001372 PROTECTOR</t>
        </is>
      </c>
      <c r="M2057" s="232" t="inlineStr"/>
      <c r="N2057" s="232" t="inlineStr">
        <is>
          <t>.   .   -</t>
        </is>
      </c>
      <c r="O2057" s="232" t="inlineStr">
        <is>
          <t>FEBRERO</t>
        </is>
      </c>
      <c r="P2057" s="232" t="n">
        <v>7</v>
      </c>
      <c r="Q2057" s="234" t="n">
        <v>9564</v>
      </c>
      <c r="R2057" s="232" t="inlineStr"/>
      <c r="S2057" s="234" t="n">
        <v>9564</v>
      </c>
      <c r="T2057" s="232" t="inlineStr">
        <is>
          <t>CLP</t>
        </is>
      </c>
      <c r="U2057" s="232" t="inlineStr">
        <is>
          <t>Prorrateo Ha BODEGA</t>
        </is>
      </c>
      <c r="V2057" s="232" t="inlineStr">
        <is>
          <t>2026-06-18</t>
        </is>
      </c>
    </row>
    <row r="2058">
      <c r="A2058" s="232" t="inlineStr">
        <is>
          <t>CR-2055</t>
        </is>
      </c>
      <c r="B2058" s="232" t="inlineStr">
        <is>
          <t>2026/27</t>
        </is>
      </c>
      <c r="C2058" s="233" t="n">
        <v>46069</v>
      </c>
      <c r="D2058" s="232" t="inlineStr">
        <is>
          <t>914663</t>
        </is>
      </c>
      <c r="E2058" s="232" t="inlineStr">
        <is>
          <t>PRORRATEO</t>
        </is>
      </c>
      <c r="F2058" s="232" t="inlineStr">
        <is>
          <t>Santa Catalina</t>
        </is>
      </c>
      <c r="G2058" s="232" t="inlineStr">
        <is>
          <t>form benjamin 1,93 ha</t>
        </is>
      </c>
      <c r="H2058" s="232" t="inlineStr">
        <is>
          <t>Limon</t>
        </is>
      </c>
      <c r="I2058" s="232" t="inlineStr">
        <is>
          <t>Benjamin andes</t>
        </is>
      </c>
      <c r="J2058" s="232" t="inlineStr">
        <is>
          <t>UNIFORME Y EPP</t>
        </is>
      </c>
      <c r="K2058" s="232" t="inlineStr">
        <is>
          <t>EPP</t>
        </is>
      </c>
      <c r="L2058" s="232" t="inlineStr">
        <is>
          <t>[PRORRATEO 1.3% 1.93há/148.3há] O/001372 PROTECTOR</t>
        </is>
      </c>
      <c r="M2058" s="232" t="inlineStr"/>
      <c r="N2058" s="232" t="inlineStr">
        <is>
          <t>.   .   -</t>
        </is>
      </c>
      <c r="O2058" s="232" t="inlineStr">
        <is>
          <t>FEBRERO</t>
        </is>
      </c>
      <c r="P2058" s="232" t="n">
        <v>7</v>
      </c>
      <c r="Q2058" s="234" t="n">
        <v>819</v>
      </c>
      <c r="R2058" s="232" t="inlineStr"/>
      <c r="S2058" s="234" t="n">
        <v>819</v>
      </c>
      <c r="T2058" s="232" t="inlineStr">
        <is>
          <t>CLP</t>
        </is>
      </c>
      <c r="U2058" s="232" t="inlineStr">
        <is>
          <t>Prorrateo Ha BODEGA</t>
        </is>
      </c>
      <c r="V2058" s="232" t="inlineStr">
        <is>
          <t>2026-06-18</t>
        </is>
      </c>
    </row>
    <row r="2059">
      <c r="A2059" s="232" t="inlineStr">
        <is>
          <t>CR-2056</t>
        </is>
      </c>
      <c r="B2059" s="232" t="inlineStr">
        <is>
          <t>2026/27</t>
        </is>
      </c>
      <c r="C2059" s="233" t="n">
        <v>46069</v>
      </c>
      <c r="D2059" s="232" t="inlineStr">
        <is>
          <t>914663</t>
        </is>
      </c>
      <c r="E2059" s="232" t="inlineStr">
        <is>
          <t>PRORRATEO</t>
        </is>
      </c>
      <c r="F2059" s="232" t="inlineStr">
        <is>
          <t>Santa Catalina</t>
        </is>
      </c>
      <c r="G2059" s="232" t="inlineStr">
        <is>
          <t>mant eureka 2,5 ha</t>
        </is>
      </c>
      <c r="H2059" s="232" t="inlineStr">
        <is>
          <t>Limon</t>
        </is>
      </c>
      <c r="I2059" s="232" t="inlineStr">
        <is>
          <t>Eureka</t>
        </is>
      </c>
      <c r="J2059" s="232" t="inlineStr">
        <is>
          <t>UNIFORME Y EPP</t>
        </is>
      </c>
      <c r="K2059" s="232" t="inlineStr">
        <is>
          <t>EPP</t>
        </is>
      </c>
      <c r="L2059" s="232" t="inlineStr">
        <is>
          <t>[PRORRATEO 1.7% 2.5há/148.3há] O/001372 PROTECTOR</t>
        </is>
      </c>
      <c r="M2059" s="232" t="inlineStr"/>
      <c r="N2059" s="232" t="inlineStr">
        <is>
          <t>.   .   -</t>
        </is>
      </c>
      <c r="O2059" s="232" t="inlineStr">
        <is>
          <t>FEBRERO</t>
        </is>
      </c>
      <c r="P2059" s="232" t="n">
        <v>7</v>
      </c>
      <c r="Q2059" s="234" t="n">
        <v>1060</v>
      </c>
      <c r="R2059" s="232" t="inlineStr"/>
      <c r="S2059" s="234" t="n">
        <v>1060</v>
      </c>
      <c r="T2059" s="232" t="inlineStr">
        <is>
          <t>CLP</t>
        </is>
      </c>
      <c r="U2059" s="232" t="inlineStr">
        <is>
          <t>Prorrateo Ha BODEGA</t>
        </is>
      </c>
      <c r="V2059" s="232" t="inlineStr">
        <is>
          <t>2026-06-18</t>
        </is>
      </c>
    </row>
    <row r="2060">
      <c r="A2060" s="232" t="inlineStr">
        <is>
          <t>CR-2057</t>
        </is>
      </c>
      <c r="B2060" s="232" t="inlineStr">
        <is>
          <t>2026/27</t>
        </is>
      </c>
      <c r="C2060" s="233" t="n">
        <v>46069</v>
      </c>
      <c r="D2060" s="232" t="inlineStr">
        <is>
          <t>914663</t>
        </is>
      </c>
      <c r="E2060" s="232" t="inlineStr">
        <is>
          <t>PRORRATEO</t>
        </is>
      </c>
      <c r="F2060" s="232" t="inlineStr">
        <is>
          <t>Siberia</t>
        </is>
      </c>
      <c r="G2060" s="232" t="inlineStr">
        <is>
          <t>S. Celebration 7,14</t>
        </is>
      </c>
      <c r="H2060" s="232" t="inlineStr">
        <is>
          <t>Uvas</t>
        </is>
      </c>
      <c r="I2060" s="232" t="inlineStr">
        <is>
          <t>S. celebration</t>
        </is>
      </c>
      <c r="J2060" s="232" t="inlineStr">
        <is>
          <t>UNIFORME Y EPP</t>
        </is>
      </c>
      <c r="K2060" s="232" t="inlineStr">
        <is>
          <t>EPP</t>
        </is>
      </c>
      <c r="L2060" s="232" t="inlineStr">
        <is>
          <t>[PRORRATEO 4.8% 7.14há/148.3há] O/001372 PROTECTOR</t>
        </is>
      </c>
      <c r="M2060" s="232" t="inlineStr"/>
      <c r="N2060" s="232" t="inlineStr">
        <is>
          <t>.   .   -</t>
        </is>
      </c>
      <c r="O2060" s="232" t="inlineStr">
        <is>
          <t>FEBRERO</t>
        </is>
      </c>
      <c r="P2060" s="232" t="n">
        <v>7</v>
      </c>
      <c r="Q2060" s="234" t="n">
        <v>3028</v>
      </c>
      <c r="R2060" s="232" t="inlineStr"/>
      <c r="S2060" s="234" t="n">
        <v>3028</v>
      </c>
      <c r="T2060" s="232" t="inlineStr">
        <is>
          <t>CLP</t>
        </is>
      </c>
      <c r="U2060" s="232" t="inlineStr">
        <is>
          <t>Prorrateo Ha BODEGA</t>
        </is>
      </c>
      <c r="V2060" s="232" t="inlineStr">
        <is>
          <t>2026-06-18</t>
        </is>
      </c>
    </row>
    <row r="2061">
      <c r="A2061" s="232" t="inlineStr">
        <is>
          <t>CR-2058</t>
        </is>
      </c>
      <c r="B2061" s="232" t="inlineStr">
        <is>
          <t>2026/27</t>
        </is>
      </c>
      <c r="C2061" s="233" t="n">
        <v>46069</v>
      </c>
      <c r="D2061" s="232" t="inlineStr">
        <is>
          <t>914663</t>
        </is>
      </c>
      <c r="E2061" s="232" t="inlineStr">
        <is>
          <t>PRORRATEO</t>
        </is>
      </c>
      <c r="F2061" s="232" t="inlineStr">
        <is>
          <t>Siberia</t>
        </is>
      </c>
      <c r="G2061" s="232" t="inlineStr">
        <is>
          <t>Timpson 7,1</t>
        </is>
      </c>
      <c r="H2061" s="232" t="inlineStr">
        <is>
          <t>Uvas</t>
        </is>
      </c>
      <c r="I2061" s="232" t="inlineStr">
        <is>
          <t>Timpson</t>
        </is>
      </c>
      <c r="J2061" s="232" t="inlineStr">
        <is>
          <t>UNIFORME Y EPP</t>
        </is>
      </c>
      <c r="K2061" s="232" t="inlineStr">
        <is>
          <t>EPP</t>
        </is>
      </c>
      <c r="L2061" s="232" t="inlineStr">
        <is>
          <t>[PRORRATEO 4.8% 7.1há/148.3há] O/001372 PROTECTOR</t>
        </is>
      </c>
      <c r="M2061" s="232" t="inlineStr"/>
      <c r="N2061" s="232" t="inlineStr">
        <is>
          <t>.   .   -</t>
        </is>
      </c>
      <c r="O2061" s="232" t="inlineStr">
        <is>
          <t>FEBRERO</t>
        </is>
      </c>
      <c r="P2061" s="232" t="n">
        <v>7</v>
      </c>
      <c r="Q2061" s="234" t="n">
        <v>3011</v>
      </c>
      <c r="R2061" s="232" t="inlineStr"/>
      <c r="S2061" s="234" t="n">
        <v>3011</v>
      </c>
      <c r="T2061" s="232" t="inlineStr">
        <is>
          <t>CLP</t>
        </is>
      </c>
      <c r="U2061" s="232" t="inlineStr">
        <is>
          <t>Prorrateo Ha BODEGA</t>
        </is>
      </c>
      <c r="V2061" s="232" t="inlineStr">
        <is>
          <t>2026-06-18</t>
        </is>
      </c>
    </row>
    <row r="2062">
      <c r="A2062" s="232" t="inlineStr">
        <is>
          <t>CR-2059</t>
        </is>
      </c>
      <c r="B2062" s="232" t="inlineStr">
        <is>
          <t>2026/27</t>
        </is>
      </c>
      <c r="C2062" s="233" t="n">
        <v>46069</v>
      </c>
      <c r="D2062" s="232" t="inlineStr">
        <is>
          <t>914663</t>
        </is>
      </c>
      <c r="E2062" s="232" t="inlineStr">
        <is>
          <t>PRORRATEO</t>
        </is>
      </c>
      <c r="F2062" s="232" t="inlineStr">
        <is>
          <t>Asmara</t>
        </is>
      </c>
      <c r="G2062" s="232" t="inlineStr">
        <is>
          <t>w. murcott 19,8 ha</t>
        </is>
      </c>
      <c r="H2062" s="232" t="inlineStr">
        <is>
          <t>Mandarina</t>
        </is>
      </c>
      <c r="I2062" s="232" t="inlineStr">
        <is>
          <t>W. murcott</t>
        </is>
      </c>
      <c r="J2062" s="232" t="inlineStr">
        <is>
          <t>UNIFORME Y EPP</t>
        </is>
      </c>
      <c r="K2062" s="232" t="inlineStr">
        <is>
          <t>EPP</t>
        </is>
      </c>
      <c r="L2062" s="232" t="inlineStr">
        <is>
          <t>[PRORRATEO 13.4% 19.8há/148.3há] O/001372 RESPIRADOR</t>
        </is>
      </c>
      <c r="M2062" s="232" t="inlineStr"/>
      <c r="N2062" s="232" t="inlineStr">
        <is>
          <t>.   .   -</t>
        </is>
      </c>
      <c r="O2062" s="232" t="inlineStr">
        <is>
          <t>FEBRERO</t>
        </is>
      </c>
      <c r="P2062" s="232" t="n">
        <v>7</v>
      </c>
      <c r="Q2062" s="234" t="n">
        <v>3806</v>
      </c>
      <c r="R2062" s="232" t="inlineStr"/>
      <c r="S2062" s="234" t="n">
        <v>3806</v>
      </c>
      <c r="T2062" s="232" t="inlineStr">
        <is>
          <t>CLP</t>
        </is>
      </c>
      <c r="U2062" s="232" t="inlineStr">
        <is>
          <t>Prorrateo Ha BODEGA</t>
        </is>
      </c>
      <c r="V2062" s="232" t="inlineStr">
        <is>
          <t>2026-06-18</t>
        </is>
      </c>
    </row>
    <row r="2063">
      <c r="A2063" s="232" t="inlineStr">
        <is>
          <t>CR-2060</t>
        </is>
      </c>
      <c r="B2063" s="232" t="inlineStr">
        <is>
          <t>2026/27</t>
        </is>
      </c>
      <c r="C2063" s="233" t="n">
        <v>46069</v>
      </c>
      <c r="D2063" s="232" t="inlineStr">
        <is>
          <t>914663</t>
        </is>
      </c>
      <c r="E2063" s="232" t="inlineStr">
        <is>
          <t>PRORRATEO</t>
        </is>
      </c>
      <c r="F2063" s="232" t="inlineStr">
        <is>
          <t>Asmara</t>
        </is>
      </c>
      <c r="G2063" s="232" t="inlineStr">
        <is>
          <t>w. murcott 4,9 ha</t>
        </is>
      </c>
      <c r="H2063" s="232" t="inlineStr">
        <is>
          <t>Mandarina</t>
        </is>
      </c>
      <c r="I2063" s="232" t="inlineStr">
        <is>
          <t>W. murcott</t>
        </is>
      </c>
      <c r="J2063" s="232" t="inlineStr">
        <is>
          <t>UNIFORME Y EPP</t>
        </is>
      </c>
      <c r="K2063" s="232" t="inlineStr">
        <is>
          <t>EPP</t>
        </is>
      </c>
      <c r="L2063" s="232" t="inlineStr">
        <is>
          <t>[PRORRATEO 3.3% 4.9há/148.3há] O/001372 RESPIRADOR</t>
        </is>
      </c>
      <c r="M2063" s="232" t="inlineStr"/>
      <c r="N2063" s="232" t="inlineStr">
        <is>
          <t>.   .   -</t>
        </is>
      </c>
      <c r="O2063" s="232" t="inlineStr">
        <is>
          <t>FEBRERO</t>
        </is>
      </c>
      <c r="P2063" s="232" t="n">
        <v>7</v>
      </c>
      <c r="Q2063" s="234" t="n">
        <v>942</v>
      </c>
      <c r="R2063" s="232" t="inlineStr"/>
      <c r="S2063" s="234" t="n">
        <v>942</v>
      </c>
      <c r="T2063" s="232" t="inlineStr">
        <is>
          <t>CLP</t>
        </is>
      </c>
      <c r="U2063" s="232" t="inlineStr">
        <is>
          <t>Prorrateo Ha BODEGA</t>
        </is>
      </c>
      <c r="V2063" s="232" t="inlineStr">
        <is>
          <t>2026-06-18</t>
        </is>
      </c>
    </row>
    <row r="2064">
      <c r="A2064" s="232" t="inlineStr">
        <is>
          <t>CR-2061</t>
        </is>
      </c>
      <c r="B2064" s="232" t="inlineStr">
        <is>
          <t>2026/27</t>
        </is>
      </c>
      <c r="C2064" s="233" t="n">
        <v>46069</v>
      </c>
      <c r="D2064" s="232" t="inlineStr">
        <is>
          <t>914663</t>
        </is>
      </c>
      <c r="E2064" s="232" t="inlineStr">
        <is>
          <t>PRORRATEO</t>
        </is>
      </c>
      <c r="F2064" s="232" t="inlineStr">
        <is>
          <t>El Molle</t>
        </is>
      </c>
      <c r="G2064" s="232" t="inlineStr">
        <is>
          <t>Wonderful 5,25 ha</t>
        </is>
      </c>
      <c r="H2064" s="232" t="inlineStr">
        <is>
          <t>Granados</t>
        </is>
      </c>
      <c r="I2064" s="232" t="inlineStr">
        <is>
          <t>Wonderfull</t>
        </is>
      </c>
      <c r="J2064" s="232" t="inlineStr">
        <is>
          <t>UNIFORME Y EPP</t>
        </is>
      </c>
      <c r="K2064" s="232" t="inlineStr">
        <is>
          <t>EPP</t>
        </is>
      </c>
      <c r="L2064" s="232" t="inlineStr">
        <is>
          <t>[PRORRATEO 3.5% 5.24há/148.3há] O/001372 RESPIRADOR</t>
        </is>
      </c>
      <c r="M2064" s="232" t="inlineStr"/>
      <c r="N2064" s="232" t="inlineStr">
        <is>
          <t>.   .   -</t>
        </is>
      </c>
      <c r="O2064" s="232" t="inlineStr">
        <is>
          <t>FEBRERO</t>
        </is>
      </c>
      <c r="P2064" s="232" t="n">
        <v>7</v>
      </c>
      <c r="Q2064" s="234" t="n">
        <v>1007</v>
      </c>
      <c r="R2064" s="232" t="inlineStr"/>
      <c r="S2064" s="234" t="n">
        <v>1007</v>
      </c>
      <c r="T2064" s="232" t="inlineStr">
        <is>
          <t>CLP</t>
        </is>
      </c>
      <c r="U2064" s="232" t="inlineStr">
        <is>
          <t>Prorrateo Ha BODEGA</t>
        </is>
      </c>
      <c r="V2064" s="232" t="inlineStr">
        <is>
          <t>2026-06-18</t>
        </is>
      </c>
    </row>
    <row r="2065">
      <c r="A2065" s="232" t="inlineStr">
        <is>
          <t>CR-2062</t>
        </is>
      </c>
      <c r="B2065" s="232" t="inlineStr">
        <is>
          <t>2026/27</t>
        </is>
      </c>
      <c r="C2065" s="233" t="n">
        <v>46069</v>
      </c>
      <c r="D2065" s="232" t="inlineStr">
        <is>
          <t>914663</t>
        </is>
      </c>
      <c r="E2065" s="232" t="inlineStr">
        <is>
          <t>PRORRATEO</t>
        </is>
      </c>
      <c r="F2065" s="232" t="inlineStr">
        <is>
          <t>El Molle</t>
        </is>
      </c>
      <c r="G2065" s="232" t="inlineStr">
        <is>
          <t>arrufatinas 5,74 ha</t>
        </is>
      </c>
      <c r="H2065" s="232" t="inlineStr">
        <is>
          <t>Clementinas</t>
        </is>
      </c>
      <c r="I2065" s="232" t="inlineStr">
        <is>
          <t>Arrufatinas</t>
        </is>
      </c>
      <c r="J2065" s="232" t="inlineStr">
        <is>
          <t>UNIFORME Y EPP</t>
        </is>
      </c>
      <c r="K2065" s="232" t="inlineStr">
        <is>
          <t>EPP</t>
        </is>
      </c>
      <c r="L2065" s="232" t="inlineStr">
        <is>
          <t>[PRORRATEO 3.9% 5.74há/148.3há] O/001372 RESPIRADOR</t>
        </is>
      </c>
      <c r="M2065" s="232" t="inlineStr"/>
      <c r="N2065" s="232" t="inlineStr">
        <is>
          <t>.   .   -</t>
        </is>
      </c>
      <c r="O2065" s="232" t="inlineStr">
        <is>
          <t>FEBRERO</t>
        </is>
      </c>
      <c r="P2065" s="232" t="n">
        <v>7</v>
      </c>
      <c r="Q2065" s="234" t="n">
        <v>1103</v>
      </c>
      <c r="R2065" s="232" t="inlineStr"/>
      <c r="S2065" s="234" t="n">
        <v>1103</v>
      </c>
      <c r="T2065" s="232" t="inlineStr">
        <is>
          <t>CLP</t>
        </is>
      </c>
      <c r="U2065" s="232" t="inlineStr">
        <is>
          <t>Prorrateo Ha BODEGA</t>
        </is>
      </c>
      <c r="V2065" s="232" t="inlineStr">
        <is>
          <t>2026-06-18</t>
        </is>
      </c>
    </row>
    <row r="2066">
      <c r="A2066" s="232" t="inlineStr">
        <is>
          <t>CR-2063</t>
        </is>
      </c>
      <c r="B2066" s="232" t="inlineStr">
        <is>
          <t>2026/27</t>
        </is>
      </c>
      <c r="C2066" s="233" t="n">
        <v>46069</v>
      </c>
      <c r="D2066" s="232" t="inlineStr">
        <is>
          <t>914663</t>
        </is>
      </c>
      <c r="E2066" s="232" t="inlineStr">
        <is>
          <t>PRORRATEO</t>
        </is>
      </c>
      <c r="F2066" s="232" t="inlineStr">
        <is>
          <t>El Molle</t>
        </is>
      </c>
      <c r="G2066" s="232" t="inlineStr">
        <is>
          <t>orogrande 8,11 ha</t>
        </is>
      </c>
      <c r="H2066" s="232" t="inlineStr">
        <is>
          <t>Clementinas</t>
        </is>
      </c>
      <c r="I2066" s="232" t="inlineStr">
        <is>
          <t>Orogrande</t>
        </is>
      </c>
      <c r="J2066" s="232" t="inlineStr">
        <is>
          <t>UNIFORME Y EPP</t>
        </is>
      </c>
      <c r="K2066" s="232" t="inlineStr">
        <is>
          <t>EPP</t>
        </is>
      </c>
      <c r="L2066" s="232" t="inlineStr">
        <is>
          <t>[PRORRATEO 5.5% 8.11há/148.3há] O/001372 RESPIRADOR</t>
        </is>
      </c>
      <c r="M2066" s="232" t="inlineStr"/>
      <c r="N2066" s="232" t="inlineStr">
        <is>
          <t>.   .   -</t>
        </is>
      </c>
      <c r="O2066" s="232" t="inlineStr">
        <is>
          <t>FEBRERO</t>
        </is>
      </c>
      <c r="P2066" s="232" t="n">
        <v>7</v>
      </c>
      <c r="Q2066" s="234" t="n">
        <v>1559</v>
      </c>
      <c r="R2066" s="232" t="inlineStr"/>
      <c r="S2066" s="234" t="n">
        <v>1559</v>
      </c>
      <c r="T2066" s="232" t="inlineStr">
        <is>
          <t>CLP</t>
        </is>
      </c>
      <c r="U2066" s="232" t="inlineStr">
        <is>
          <t>Prorrateo Ha BODEGA</t>
        </is>
      </c>
      <c r="V2066" s="232" t="inlineStr">
        <is>
          <t>2026-06-18</t>
        </is>
      </c>
    </row>
    <row r="2067">
      <c r="A2067" s="232" t="inlineStr">
        <is>
          <t>CR-2064</t>
        </is>
      </c>
      <c r="B2067" s="232" t="inlineStr">
        <is>
          <t>2026/27</t>
        </is>
      </c>
      <c r="C2067" s="233" t="n">
        <v>46069</v>
      </c>
      <c r="D2067" s="232" t="inlineStr">
        <is>
          <t>914663</t>
        </is>
      </c>
      <c r="E2067" s="232" t="inlineStr">
        <is>
          <t>PRORRATEO</t>
        </is>
      </c>
      <c r="F2067" s="232" t="inlineStr">
        <is>
          <t>El Molle</t>
        </is>
      </c>
      <c r="G2067" s="232" t="inlineStr">
        <is>
          <t>oronules 5,35 ha</t>
        </is>
      </c>
      <c r="H2067" s="232" t="inlineStr">
        <is>
          <t>Clementinas</t>
        </is>
      </c>
      <c r="I2067" s="232" t="inlineStr">
        <is>
          <t>Oronules</t>
        </is>
      </c>
      <c r="J2067" s="232" t="inlineStr">
        <is>
          <t>UNIFORME Y EPP</t>
        </is>
      </c>
      <c r="K2067" s="232" t="inlineStr">
        <is>
          <t>EPP</t>
        </is>
      </c>
      <c r="L2067" s="232" t="inlineStr">
        <is>
          <t>[PRORRATEO 3.6% 5.35há/148.3há] O/001372 RESPIRADOR</t>
        </is>
      </c>
      <c r="M2067" s="232" t="inlineStr"/>
      <c r="N2067" s="232" t="inlineStr">
        <is>
          <t>.   .   -</t>
        </is>
      </c>
      <c r="O2067" s="232" t="inlineStr">
        <is>
          <t>FEBRERO</t>
        </is>
      </c>
      <c r="P2067" s="232" t="n">
        <v>7</v>
      </c>
      <c r="Q2067" s="234" t="n">
        <v>1028</v>
      </c>
      <c r="R2067" s="232" t="inlineStr"/>
      <c r="S2067" s="234" t="n">
        <v>1028</v>
      </c>
      <c r="T2067" s="232" t="inlineStr">
        <is>
          <t>CLP</t>
        </is>
      </c>
      <c r="U2067" s="232" t="inlineStr">
        <is>
          <t>Prorrateo Ha BODEGA</t>
        </is>
      </c>
      <c r="V2067" s="232" t="inlineStr">
        <is>
          <t>2026-06-18</t>
        </is>
      </c>
    </row>
    <row r="2068">
      <c r="A2068" s="232" t="inlineStr">
        <is>
          <t>CR-2065</t>
        </is>
      </c>
      <c r="B2068" s="232" t="inlineStr">
        <is>
          <t>2026/27</t>
        </is>
      </c>
      <c r="C2068" s="233" t="n">
        <v>46069</v>
      </c>
      <c r="D2068" s="232" t="inlineStr">
        <is>
          <t>914663</t>
        </is>
      </c>
      <c r="E2068" s="232" t="inlineStr">
        <is>
          <t>PRORRATEO</t>
        </is>
      </c>
      <c r="F2068" s="232" t="inlineStr">
        <is>
          <t>Santa Catalina</t>
        </is>
      </c>
      <c r="G2068" s="232" t="inlineStr">
        <is>
          <t>Fino 49 7,7 ha</t>
        </is>
      </c>
      <c r="H2068" s="232" t="inlineStr">
        <is>
          <t>Limon</t>
        </is>
      </c>
      <c r="I2068" s="232" t="inlineStr">
        <is>
          <t>Fino 49</t>
        </is>
      </c>
      <c r="J2068" s="232" t="inlineStr">
        <is>
          <t>UNIFORME Y EPP</t>
        </is>
      </c>
      <c r="K2068" s="232" t="inlineStr">
        <is>
          <t>EPP</t>
        </is>
      </c>
      <c r="L2068" s="232" t="inlineStr">
        <is>
          <t>[PRORRATEO 5.2% 7.7há/148.3há] O/001372 RESPIRADOR</t>
        </is>
      </c>
      <c r="M2068" s="232" t="inlineStr"/>
      <c r="N2068" s="232" t="inlineStr">
        <is>
          <t>.   .   -</t>
        </is>
      </c>
      <c r="O2068" s="232" t="inlineStr">
        <is>
          <t>FEBRERO</t>
        </is>
      </c>
      <c r="P2068" s="232" t="n">
        <v>7</v>
      </c>
      <c r="Q2068" s="234" t="n">
        <v>1480</v>
      </c>
      <c r="R2068" s="232" t="inlineStr"/>
      <c r="S2068" s="234" t="n">
        <v>1480</v>
      </c>
      <c r="T2068" s="232" t="inlineStr">
        <is>
          <t>CLP</t>
        </is>
      </c>
      <c r="U2068" s="232" t="inlineStr">
        <is>
          <t>Prorrateo Ha BODEGA</t>
        </is>
      </c>
      <c r="V2068" s="232" t="inlineStr">
        <is>
          <t>2026-06-18</t>
        </is>
      </c>
    </row>
    <row r="2069">
      <c r="A2069" s="232" t="inlineStr">
        <is>
          <t>CR-2066</t>
        </is>
      </c>
      <c r="B2069" s="232" t="inlineStr">
        <is>
          <t>2026/27</t>
        </is>
      </c>
      <c r="C2069" s="233" t="n">
        <v>46069</v>
      </c>
      <c r="D2069" s="232" t="inlineStr">
        <is>
          <t>914663</t>
        </is>
      </c>
      <c r="E2069" s="232" t="inlineStr">
        <is>
          <t>PRORRATEO</t>
        </is>
      </c>
      <c r="F2069" s="232" t="inlineStr">
        <is>
          <t>Santa Catalina</t>
        </is>
      </c>
      <c r="G2069" s="232" t="inlineStr">
        <is>
          <t>W. murcott 21 ha</t>
        </is>
      </c>
      <c r="H2069" s="232" t="inlineStr">
        <is>
          <t>Mandarina</t>
        </is>
      </c>
      <c r="I2069" s="232" t="inlineStr">
        <is>
          <t>W. murcott</t>
        </is>
      </c>
      <c r="J2069" s="232" t="inlineStr">
        <is>
          <t>UNIFORME Y EPP</t>
        </is>
      </c>
      <c r="K2069" s="232" t="inlineStr">
        <is>
          <t>EPP</t>
        </is>
      </c>
      <c r="L2069" s="232" t="inlineStr">
        <is>
          <t>[PRORRATEO 14.2% 21.0há/148.3há] O/001372 RESPIRADOR</t>
        </is>
      </c>
      <c r="M2069" s="232" t="inlineStr"/>
      <c r="N2069" s="232" t="inlineStr">
        <is>
          <t>.   .   -</t>
        </is>
      </c>
      <c r="O2069" s="232" t="inlineStr">
        <is>
          <t>FEBRERO</t>
        </is>
      </c>
      <c r="P2069" s="232" t="n">
        <v>7</v>
      </c>
      <c r="Q2069" s="234" t="n">
        <v>4037</v>
      </c>
      <c r="R2069" s="232" t="inlineStr"/>
      <c r="S2069" s="234" t="n">
        <v>4037</v>
      </c>
      <c r="T2069" s="232" t="inlineStr">
        <is>
          <t>CLP</t>
        </is>
      </c>
      <c r="U2069" s="232" t="inlineStr">
        <is>
          <t>Prorrateo Ha BODEGA</t>
        </is>
      </c>
      <c r="V2069" s="232" t="inlineStr">
        <is>
          <t>2026-06-18</t>
        </is>
      </c>
    </row>
    <row r="2070">
      <c r="A2070" s="232" t="inlineStr">
        <is>
          <t>CR-2067</t>
        </is>
      </c>
      <c r="B2070" s="232" t="inlineStr">
        <is>
          <t>2026/27</t>
        </is>
      </c>
      <c r="C2070" s="233" t="n">
        <v>46069</v>
      </c>
      <c r="D2070" s="232" t="inlineStr">
        <is>
          <t>914663</t>
        </is>
      </c>
      <c r="E2070" s="232" t="inlineStr">
        <is>
          <t>PRORRATEO</t>
        </is>
      </c>
      <c r="F2070" s="232" t="inlineStr">
        <is>
          <t>Santa Catalina</t>
        </is>
      </c>
      <c r="G2070" s="232" t="inlineStr">
        <is>
          <t>cambria 4,2 ha</t>
        </is>
      </c>
      <c r="H2070" s="232" t="inlineStr">
        <is>
          <t>Naranjas</t>
        </is>
      </c>
      <c r="I2070" s="232" t="inlineStr">
        <is>
          <t>Cambria</t>
        </is>
      </c>
      <c r="J2070" s="232" t="inlineStr">
        <is>
          <t>UNIFORME Y EPP</t>
        </is>
      </c>
      <c r="K2070" s="232" t="inlineStr">
        <is>
          <t>EPP</t>
        </is>
      </c>
      <c r="L2070" s="232" t="inlineStr">
        <is>
          <t>[PRORRATEO 2.8% 4.2há/148.3há] O/001372 RESPIRADOR</t>
        </is>
      </c>
      <c r="M2070" s="232" t="inlineStr"/>
      <c r="N2070" s="232" t="inlineStr">
        <is>
          <t>.   .   -</t>
        </is>
      </c>
      <c r="O2070" s="232" t="inlineStr">
        <is>
          <t>FEBRERO</t>
        </is>
      </c>
      <c r="P2070" s="232" t="n">
        <v>7</v>
      </c>
      <c r="Q2070" s="234" t="n">
        <v>807</v>
      </c>
      <c r="R2070" s="232" t="inlineStr"/>
      <c r="S2070" s="234" t="n">
        <v>807</v>
      </c>
      <c r="T2070" s="232" t="inlineStr">
        <is>
          <t>CLP</t>
        </is>
      </c>
      <c r="U2070" s="232" t="inlineStr">
        <is>
          <t>Prorrateo Ha BODEGA</t>
        </is>
      </c>
      <c r="V2070" s="232" t="inlineStr">
        <is>
          <t>2026-06-18</t>
        </is>
      </c>
    </row>
    <row r="2071">
      <c r="A2071" s="232" t="inlineStr">
        <is>
          <t>CR-2068</t>
        </is>
      </c>
      <c r="B2071" s="232" t="inlineStr">
        <is>
          <t>2026/27</t>
        </is>
      </c>
      <c r="C2071" s="233" t="n">
        <v>46069</v>
      </c>
      <c r="D2071" s="232" t="inlineStr">
        <is>
          <t>914663</t>
        </is>
      </c>
      <c r="E2071" s="232" t="inlineStr">
        <is>
          <t>PRORRATEO</t>
        </is>
      </c>
      <c r="F2071" s="232" t="inlineStr">
        <is>
          <t>Santa Catalina</t>
        </is>
      </c>
      <c r="G2071" s="232" t="inlineStr">
        <is>
          <t>eureka 10,6 ha</t>
        </is>
      </c>
      <c r="H2071" s="232" t="inlineStr">
        <is>
          <t>Limon</t>
        </is>
      </c>
      <c r="I2071" s="232" t="inlineStr">
        <is>
          <t>Eureka</t>
        </is>
      </c>
      <c r="J2071" s="232" t="inlineStr">
        <is>
          <t>UNIFORME Y EPP</t>
        </is>
      </c>
      <c r="K2071" s="232" t="inlineStr">
        <is>
          <t>EPP</t>
        </is>
      </c>
      <c r="L2071" s="232" t="inlineStr">
        <is>
          <t>[PRORRATEO 7.1% 10.6há/148.3há] O/001372 RESPIRADOR</t>
        </is>
      </c>
      <c r="M2071" s="232" t="inlineStr"/>
      <c r="N2071" s="232" t="inlineStr">
        <is>
          <t>.   .   -</t>
        </is>
      </c>
      <c r="O2071" s="232" t="inlineStr">
        <is>
          <t>FEBRERO</t>
        </is>
      </c>
      <c r="P2071" s="232" t="n">
        <v>7</v>
      </c>
      <c r="Q2071" s="234" t="n">
        <v>2038</v>
      </c>
      <c r="R2071" s="232" t="inlineStr"/>
      <c r="S2071" s="234" t="n">
        <v>2038</v>
      </c>
      <c r="T2071" s="232" t="inlineStr">
        <is>
          <t>CLP</t>
        </is>
      </c>
      <c r="U2071" s="232" t="inlineStr">
        <is>
          <t>Prorrateo Ha BODEGA</t>
        </is>
      </c>
      <c r="V2071" s="232" t="inlineStr">
        <is>
          <t>2026-06-18</t>
        </is>
      </c>
    </row>
    <row r="2072">
      <c r="A2072" s="232" t="inlineStr">
        <is>
          <t>CR-2069</t>
        </is>
      </c>
      <c r="B2072" s="232" t="inlineStr">
        <is>
          <t>2026/27</t>
        </is>
      </c>
      <c r="C2072" s="233" t="n">
        <v>46069</v>
      </c>
      <c r="D2072" s="232" t="inlineStr">
        <is>
          <t>914663</t>
        </is>
      </c>
      <c r="E2072" s="232" t="inlineStr">
        <is>
          <t>PRORRATEO</t>
        </is>
      </c>
      <c r="F2072" s="232" t="inlineStr">
        <is>
          <t>Santa Catalina</t>
        </is>
      </c>
      <c r="G2072" s="232" t="inlineStr">
        <is>
          <t>eureka 14,4 ha</t>
        </is>
      </c>
      <c r="H2072" s="232" t="inlineStr">
        <is>
          <t>Limon</t>
        </is>
      </c>
      <c r="I2072" s="232" t="inlineStr">
        <is>
          <t>Eureka</t>
        </is>
      </c>
      <c r="J2072" s="232" t="inlineStr">
        <is>
          <t>UNIFORME Y EPP</t>
        </is>
      </c>
      <c r="K2072" s="232" t="inlineStr">
        <is>
          <t>EPP</t>
        </is>
      </c>
      <c r="L2072" s="232" t="inlineStr">
        <is>
          <t>[PRORRATEO 9.7% 14.4há/148.3há] O/001372 RESPIRADOR</t>
        </is>
      </c>
      <c r="M2072" s="232" t="inlineStr"/>
      <c r="N2072" s="232" t="inlineStr">
        <is>
          <t>.   .   -</t>
        </is>
      </c>
      <c r="O2072" s="232" t="inlineStr">
        <is>
          <t>FEBRERO</t>
        </is>
      </c>
      <c r="P2072" s="232" t="n">
        <v>7</v>
      </c>
      <c r="Q2072" s="234" t="n">
        <v>2768</v>
      </c>
      <c r="R2072" s="232" t="inlineStr"/>
      <c r="S2072" s="234" t="n">
        <v>2768</v>
      </c>
      <c r="T2072" s="232" t="inlineStr">
        <is>
          <t>CLP</t>
        </is>
      </c>
      <c r="U2072" s="232" t="inlineStr">
        <is>
          <t>Prorrateo Ha BODEGA</t>
        </is>
      </c>
      <c r="V2072" s="232" t="inlineStr">
        <is>
          <t>2026-06-18</t>
        </is>
      </c>
    </row>
    <row r="2073">
      <c r="A2073" s="232" t="inlineStr">
        <is>
          <t>CR-2070</t>
        </is>
      </c>
      <c r="B2073" s="232" t="inlineStr">
        <is>
          <t>2026/27</t>
        </is>
      </c>
      <c r="C2073" s="233" t="n">
        <v>46069</v>
      </c>
      <c r="D2073" s="232" t="inlineStr">
        <is>
          <t>914663</t>
        </is>
      </c>
      <c r="E2073" s="232" t="inlineStr">
        <is>
          <t>PRORRATEO</t>
        </is>
      </c>
      <c r="F2073" s="232" t="inlineStr">
        <is>
          <t>Santa Catalina</t>
        </is>
      </c>
      <c r="G2073" s="232" t="inlineStr">
        <is>
          <t>eureka 22,55</t>
        </is>
      </c>
      <c r="H2073" s="232" t="inlineStr">
        <is>
          <t>Limon</t>
        </is>
      </c>
      <c r="I2073" s="232" t="inlineStr">
        <is>
          <t>Eureka</t>
        </is>
      </c>
      <c r="J2073" s="232" t="inlineStr">
        <is>
          <t>UNIFORME Y EPP</t>
        </is>
      </c>
      <c r="K2073" s="232" t="inlineStr">
        <is>
          <t>EPP</t>
        </is>
      </c>
      <c r="L2073" s="232" t="inlineStr">
        <is>
          <t>[PRORRATEO 15.2% 22.55há/148.3há] O/001372 RESPIRADOR</t>
        </is>
      </c>
      <c r="M2073" s="232" t="inlineStr"/>
      <c r="N2073" s="232" t="inlineStr">
        <is>
          <t>.   .   -</t>
        </is>
      </c>
      <c r="O2073" s="232" t="inlineStr">
        <is>
          <t>FEBRERO</t>
        </is>
      </c>
      <c r="P2073" s="232" t="n">
        <v>7</v>
      </c>
      <c r="Q2073" s="234" t="n">
        <v>4335</v>
      </c>
      <c r="R2073" s="232" t="inlineStr"/>
      <c r="S2073" s="234" t="n">
        <v>4335</v>
      </c>
      <c r="T2073" s="232" t="inlineStr">
        <is>
          <t>CLP</t>
        </is>
      </c>
      <c r="U2073" s="232" t="inlineStr">
        <is>
          <t>Prorrateo Ha BODEGA</t>
        </is>
      </c>
      <c r="V2073" s="232" t="inlineStr">
        <is>
          <t>2026-06-18</t>
        </is>
      </c>
    </row>
    <row r="2074">
      <c r="A2074" s="232" t="inlineStr">
        <is>
          <t>CR-2071</t>
        </is>
      </c>
      <c r="B2074" s="232" t="inlineStr">
        <is>
          <t>2026/27</t>
        </is>
      </c>
      <c r="C2074" s="233" t="n">
        <v>46069</v>
      </c>
      <c r="D2074" s="232" t="inlineStr">
        <is>
          <t>914663</t>
        </is>
      </c>
      <c r="E2074" s="232" t="inlineStr">
        <is>
          <t>PRORRATEO</t>
        </is>
      </c>
      <c r="F2074" s="232" t="inlineStr">
        <is>
          <t>Santa Catalina</t>
        </is>
      </c>
      <c r="G2074" s="232" t="inlineStr">
        <is>
          <t>form benjamin 1,93 ha</t>
        </is>
      </c>
      <c r="H2074" s="232" t="inlineStr">
        <is>
          <t>Limon</t>
        </is>
      </c>
      <c r="I2074" s="232" t="inlineStr">
        <is>
          <t>Benjamin andes</t>
        </is>
      </c>
      <c r="J2074" s="232" t="inlineStr">
        <is>
          <t>UNIFORME Y EPP</t>
        </is>
      </c>
      <c r="K2074" s="232" t="inlineStr">
        <is>
          <t>EPP</t>
        </is>
      </c>
      <c r="L2074" s="232" t="inlineStr">
        <is>
          <t>[PRORRATEO 1.3% 1.93há/148.3há] O/001372 RESPIRADOR</t>
        </is>
      </c>
      <c r="M2074" s="232" t="inlineStr"/>
      <c r="N2074" s="232" t="inlineStr">
        <is>
          <t>.   .   -</t>
        </is>
      </c>
      <c r="O2074" s="232" t="inlineStr">
        <is>
          <t>FEBRERO</t>
        </is>
      </c>
      <c r="P2074" s="232" t="n">
        <v>7</v>
      </c>
      <c r="Q2074" s="234" t="n">
        <v>371</v>
      </c>
      <c r="R2074" s="232" t="inlineStr"/>
      <c r="S2074" s="234" t="n">
        <v>371</v>
      </c>
      <c r="T2074" s="232" t="inlineStr">
        <is>
          <t>CLP</t>
        </is>
      </c>
      <c r="U2074" s="232" t="inlineStr">
        <is>
          <t>Prorrateo Ha BODEGA</t>
        </is>
      </c>
      <c r="V2074" s="232" t="inlineStr">
        <is>
          <t>2026-06-18</t>
        </is>
      </c>
    </row>
    <row r="2075">
      <c r="A2075" s="232" t="inlineStr">
        <is>
          <t>CR-2072</t>
        </is>
      </c>
      <c r="B2075" s="232" t="inlineStr">
        <is>
          <t>2026/27</t>
        </is>
      </c>
      <c r="C2075" s="233" t="n">
        <v>46069</v>
      </c>
      <c r="D2075" s="232" t="inlineStr">
        <is>
          <t>914663</t>
        </is>
      </c>
      <c r="E2075" s="232" t="inlineStr">
        <is>
          <t>PRORRATEO</t>
        </is>
      </c>
      <c r="F2075" s="232" t="inlineStr">
        <is>
          <t>Santa Catalina</t>
        </is>
      </c>
      <c r="G2075" s="232" t="inlineStr">
        <is>
          <t>mant eureka 2,5 ha</t>
        </is>
      </c>
      <c r="H2075" s="232" t="inlineStr">
        <is>
          <t>Limon</t>
        </is>
      </c>
      <c r="I2075" s="232" t="inlineStr">
        <is>
          <t>Eureka</t>
        </is>
      </c>
      <c r="J2075" s="232" t="inlineStr">
        <is>
          <t>UNIFORME Y EPP</t>
        </is>
      </c>
      <c r="K2075" s="232" t="inlineStr">
        <is>
          <t>EPP</t>
        </is>
      </c>
      <c r="L2075" s="232" t="inlineStr">
        <is>
          <t>[PRORRATEO 1.7% 2.5há/148.3há] O/001372 RESPIRADOR</t>
        </is>
      </c>
      <c r="M2075" s="232" t="inlineStr"/>
      <c r="N2075" s="232" t="inlineStr">
        <is>
          <t>.   .   -</t>
        </is>
      </c>
      <c r="O2075" s="232" t="inlineStr">
        <is>
          <t>FEBRERO</t>
        </is>
      </c>
      <c r="P2075" s="232" t="n">
        <v>7</v>
      </c>
      <c r="Q2075" s="234" t="n">
        <v>481</v>
      </c>
      <c r="R2075" s="232" t="inlineStr"/>
      <c r="S2075" s="234" t="n">
        <v>481</v>
      </c>
      <c r="T2075" s="232" t="inlineStr">
        <is>
          <t>CLP</t>
        </is>
      </c>
      <c r="U2075" s="232" t="inlineStr">
        <is>
          <t>Prorrateo Ha BODEGA</t>
        </is>
      </c>
      <c r="V2075" s="232" t="inlineStr">
        <is>
          <t>2026-06-18</t>
        </is>
      </c>
    </row>
    <row r="2076">
      <c r="A2076" s="232" t="inlineStr">
        <is>
          <t>CR-2073</t>
        </is>
      </c>
      <c r="B2076" s="232" t="inlineStr">
        <is>
          <t>2026/27</t>
        </is>
      </c>
      <c r="C2076" s="233" t="n">
        <v>46069</v>
      </c>
      <c r="D2076" s="232" t="inlineStr">
        <is>
          <t>914663</t>
        </is>
      </c>
      <c r="E2076" s="232" t="inlineStr">
        <is>
          <t>PRORRATEO</t>
        </is>
      </c>
      <c r="F2076" s="232" t="inlineStr">
        <is>
          <t>Siberia</t>
        </is>
      </c>
      <c r="G2076" s="232" t="inlineStr">
        <is>
          <t>S. Celebration 7,14</t>
        </is>
      </c>
      <c r="H2076" s="232" t="inlineStr">
        <is>
          <t>Uvas</t>
        </is>
      </c>
      <c r="I2076" s="232" t="inlineStr">
        <is>
          <t>S. celebration</t>
        </is>
      </c>
      <c r="J2076" s="232" t="inlineStr">
        <is>
          <t>UNIFORME Y EPP</t>
        </is>
      </c>
      <c r="K2076" s="232" t="inlineStr">
        <is>
          <t>EPP</t>
        </is>
      </c>
      <c r="L2076" s="232" t="inlineStr">
        <is>
          <t>[PRORRATEO 4.8% 7.14há/148.3há] O/001372 RESPIRADOR</t>
        </is>
      </c>
      <c r="M2076" s="232" t="inlineStr"/>
      <c r="N2076" s="232" t="inlineStr">
        <is>
          <t>.   .   -</t>
        </is>
      </c>
      <c r="O2076" s="232" t="inlineStr">
        <is>
          <t>FEBRERO</t>
        </is>
      </c>
      <c r="P2076" s="232" t="n">
        <v>7</v>
      </c>
      <c r="Q2076" s="234" t="n">
        <v>1373</v>
      </c>
      <c r="R2076" s="232" t="inlineStr"/>
      <c r="S2076" s="234" t="n">
        <v>1373</v>
      </c>
      <c r="T2076" s="232" t="inlineStr">
        <is>
          <t>CLP</t>
        </is>
      </c>
      <c r="U2076" s="232" t="inlineStr">
        <is>
          <t>Prorrateo Ha BODEGA</t>
        </is>
      </c>
      <c r="V2076" s="232" t="inlineStr">
        <is>
          <t>2026-06-18</t>
        </is>
      </c>
    </row>
    <row r="2077">
      <c r="A2077" s="232" t="inlineStr">
        <is>
          <t>CR-2074</t>
        </is>
      </c>
      <c r="B2077" s="232" t="inlineStr">
        <is>
          <t>2026/27</t>
        </is>
      </c>
      <c r="C2077" s="233" t="n">
        <v>46069</v>
      </c>
      <c r="D2077" s="232" t="inlineStr">
        <is>
          <t>914663</t>
        </is>
      </c>
      <c r="E2077" s="232" t="inlineStr">
        <is>
          <t>PRORRATEO</t>
        </is>
      </c>
      <c r="F2077" s="232" t="inlineStr">
        <is>
          <t>Siberia</t>
        </is>
      </c>
      <c r="G2077" s="232" t="inlineStr">
        <is>
          <t>Timpson 7,1</t>
        </is>
      </c>
      <c r="H2077" s="232" t="inlineStr">
        <is>
          <t>Uvas</t>
        </is>
      </c>
      <c r="I2077" s="232" t="inlineStr">
        <is>
          <t>Timpson</t>
        </is>
      </c>
      <c r="J2077" s="232" t="inlineStr">
        <is>
          <t>UNIFORME Y EPP</t>
        </is>
      </c>
      <c r="K2077" s="232" t="inlineStr">
        <is>
          <t>EPP</t>
        </is>
      </c>
      <c r="L2077" s="232" t="inlineStr">
        <is>
          <t>[PRORRATEO 4.8% 7.1há/148.3há] O/001372 RESPIRADOR</t>
        </is>
      </c>
      <c r="M2077" s="232" t="inlineStr"/>
      <c r="N2077" s="232" t="inlineStr">
        <is>
          <t>.   .   -</t>
        </is>
      </c>
      <c r="O2077" s="232" t="inlineStr">
        <is>
          <t>FEBRERO</t>
        </is>
      </c>
      <c r="P2077" s="232" t="n">
        <v>7</v>
      </c>
      <c r="Q2077" s="234" t="n">
        <v>1365</v>
      </c>
      <c r="R2077" s="232" t="inlineStr"/>
      <c r="S2077" s="234" t="n">
        <v>1365</v>
      </c>
      <c r="T2077" s="232" t="inlineStr">
        <is>
          <t>CLP</t>
        </is>
      </c>
      <c r="U2077" s="232" t="inlineStr">
        <is>
          <t>Prorrateo Ha BODEGA</t>
        </is>
      </c>
      <c r="V2077" s="232" t="inlineStr">
        <is>
          <t>2026-06-18</t>
        </is>
      </c>
    </row>
    <row r="2078">
      <c r="A2078" s="232" t="inlineStr">
        <is>
          <t>CR-2075</t>
        </is>
      </c>
      <c r="B2078" s="232" t="inlineStr">
        <is>
          <t>2026/27</t>
        </is>
      </c>
      <c r="C2078" s="233" t="n">
        <v>46070</v>
      </c>
      <c r="D2078" s="232" t="inlineStr">
        <is>
          <t>879647</t>
        </is>
      </c>
      <c r="E2078" s="232" t="inlineStr">
        <is>
          <t>PRORRATEO</t>
        </is>
      </c>
      <c r="F2078" s="232" t="inlineStr">
        <is>
          <t>Asmara</t>
        </is>
      </c>
      <c r="G2078" s="232" t="inlineStr">
        <is>
          <t>w. murcott 19,8 ha</t>
        </is>
      </c>
      <c r="H2078" s="232" t="inlineStr">
        <is>
          <t>Mandarina</t>
        </is>
      </c>
      <c r="I2078" s="232" t="inlineStr">
        <is>
          <t>W. murcott</t>
        </is>
      </c>
      <c r="J2078" s="232" t="inlineStr">
        <is>
          <t>MANT. Y REP. CONSTRUCCIONES</t>
        </is>
      </c>
      <c r="K2078" s="232" t="inlineStr">
        <is>
          <t>MANTENCION INFRAESTRUCTURA</t>
        </is>
      </c>
      <c r="L2078" s="232" t="inlineStr">
        <is>
          <t>[PRORRATEO 13.4% 19.8há/148.3há] O/001400 CALEFON JU</t>
        </is>
      </c>
      <c r="M2078" s="232" t="inlineStr"/>
      <c r="N2078" s="232" t="inlineStr">
        <is>
          <t>.   .   -</t>
        </is>
      </c>
      <c r="O2078" s="232" t="inlineStr">
        <is>
          <t>FEBRERO</t>
        </is>
      </c>
      <c r="P2078" s="232" t="n">
        <v>7</v>
      </c>
      <c r="Q2078" s="234" t="n">
        <v>13463</v>
      </c>
      <c r="R2078" s="232" t="inlineStr"/>
      <c r="S2078" s="234" t="n">
        <v>13463</v>
      </c>
      <c r="T2078" s="232" t="inlineStr">
        <is>
          <t>CLP</t>
        </is>
      </c>
      <c r="U2078" s="232" t="inlineStr">
        <is>
          <t>Prorrateo Ha BODEGA</t>
        </is>
      </c>
      <c r="V2078" s="232" t="inlineStr">
        <is>
          <t>2026-06-18</t>
        </is>
      </c>
    </row>
    <row r="2079">
      <c r="A2079" s="232" t="inlineStr">
        <is>
          <t>CR-2076</t>
        </is>
      </c>
      <c r="B2079" s="232" t="inlineStr">
        <is>
          <t>2026/27</t>
        </is>
      </c>
      <c r="C2079" s="233" t="n">
        <v>46070</v>
      </c>
      <c r="D2079" s="232" t="inlineStr">
        <is>
          <t>879647</t>
        </is>
      </c>
      <c r="E2079" s="232" t="inlineStr">
        <is>
          <t>PRORRATEO</t>
        </is>
      </c>
      <c r="F2079" s="232" t="inlineStr">
        <is>
          <t>Asmara</t>
        </is>
      </c>
      <c r="G2079" s="232" t="inlineStr">
        <is>
          <t>w. murcott 4,9 ha</t>
        </is>
      </c>
      <c r="H2079" s="232" t="inlineStr">
        <is>
          <t>Mandarina</t>
        </is>
      </c>
      <c r="I2079" s="232" t="inlineStr">
        <is>
          <t>W. murcott</t>
        </is>
      </c>
      <c r="J2079" s="232" t="inlineStr">
        <is>
          <t>MANT. Y REP. CONSTRUCCIONES</t>
        </is>
      </c>
      <c r="K2079" s="232" t="inlineStr">
        <is>
          <t>MANTENCION INFRAESTRUCTURA</t>
        </is>
      </c>
      <c r="L2079" s="232" t="inlineStr">
        <is>
          <t>[PRORRATEO 3.3% 4.9há/148.3há] O/001400 CALEFON JU</t>
        </is>
      </c>
      <c r="M2079" s="232" t="inlineStr"/>
      <c r="N2079" s="232" t="inlineStr">
        <is>
          <t>.   .   -</t>
        </is>
      </c>
      <c r="O2079" s="232" t="inlineStr">
        <is>
          <t>FEBRERO</t>
        </is>
      </c>
      <c r="P2079" s="232" t="n">
        <v>7</v>
      </c>
      <c r="Q2079" s="234" t="n">
        <v>3332</v>
      </c>
      <c r="R2079" s="232" t="inlineStr"/>
      <c r="S2079" s="234" t="n">
        <v>3332</v>
      </c>
      <c r="T2079" s="232" t="inlineStr">
        <is>
          <t>CLP</t>
        </is>
      </c>
      <c r="U2079" s="232" t="inlineStr">
        <is>
          <t>Prorrateo Ha BODEGA</t>
        </is>
      </c>
      <c r="V2079" s="232" t="inlineStr">
        <is>
          <t>2026-06-18</t>
        </is>
      </c>
    </row>
    <row r="2080">
      <c r="A2080" s="232" t="inlineStr">
        <is>
          <t>CR-2077</t>
        </is>
      </c>
      <c r="B2080" s="232" t="inlineStr">
        <is>
          <t>2026/27</t>
        </is>
      </c>
      <c r="C2080" s="233" t="n">
        <v>46070</v>
      </c>
      <c r="D2080" s="232" t="inlineStr">
        <is>
          <t>879647</t>
        </is>
      </c>
      <c r="E2080" s="232" t="inlineStr">
        <is>
          <t>PRORRATEO</t>
        </is>
      </c>
      <c r="F2080" s="232" t="inlineStr">
        <is>
          <t>El Molle</t>
        </is>
      </c>
      <c r="G2080" s="232" t="inlineStr">
        <is>
          <t>Wonderful 5,25 ha</t>
        </is>
      </c>
      <c r="H2080" s="232" t="inlineStr">
        <is>
          <t>Granados</t>
        </is>
      </c>
      <c r="I2080" s="232" t="inlineStr">
        <is>
          <t>Wonderfull</t>
        </is>
      </c>
      <c r="J2080" s="232" t="inlineStr">
        <is>
          <t>MANT. Y REP. CONSTRUCCIONES</t>
        </is>
      </c>
      <c r="K2080" s="232" t="inlineStr">
        <is>
          <t>MANTENCION INFRAESTRUCTURA</t>
        </is>
      </c>
      <c r="L2080" s="232" t="inlineStr">
        <is>
          <t>[PRORRATEO 3.5% 5.24há/148.3há] O/001400 CALEFON JU</t>
        </is>
      </c>
      <c r="M2080" s="232" t="inlineStr"/>
      <c r="N2080" s="232" t="inlineStr">
        <is>
          <t>.   .   -</t>
        </is>
      </c>
      <c r="O2080" s="232" t="inlineStr">
        <is>
          <t>FEBRERO</t>
        </is>
      </c>
      <c r="P2080" s="232" t="n">
        <v>7</v>
      </c>
      <c r="Q2080" s="234" t="n">
        <v>3563</v>
      </c>
      <c r="R2080" s="232" t="inlineStr"/>
      <c r="S2080" s="234" t="n">
        <v>3563</v>
      </c>
      <c r="T2080" s="232" t="inlineStr">
        <is>
          <t>CLP</t>
        </is>
      </c>
      <c r="U2080" s="232" t="inlineStr">
        <is>
          <t>Prorrateo Ha BODEGA</t>
        </is>
      </c>
      <c r="V2080" s="232" t="inlineStr">
        <is>
          <t>2026-06-18</t>
        </is>
      </c>
    </row>
    <row r="2081">
      <c r="A2081" s="232" t="inlineStr">
        <is>
          <t>CR-2078</t>
        </is>
      </c>
      <c r="B2081" s="232" t="inlineStr">
        <is>
          <t>2026/27</t>
        </is>
      </c>
      <c r="C2081" s="233" t="n">
        <v>46070</v>
      </c>
      <c r="D2081" s="232" t="inlineStr">
        <is>
          <t>879647</t>
        </is>
      </c>
      <c r="E2081" s="232" t="inlineStr">
        <is>
          <t>PRORRATEO</t>
        </is>
      </c>
      <c r="F2081" s="232" t="inlineStr">
        <is>
          <t>El Molle</t>
        </is>
      </c>
      <c r="G2081" s="232" t="inlineStr">
        <is>
          <t>arrufatinas 5,74 ha</t>
        </is>
      </c>
      <c r="H2081" s="232" t="inlineStr">
        <is>
          <t>Clementinas</t>
        </is>
      </c>
      <c r="I2081" s="232" t="inlineStr">
        <is>
          <t>Arrufatinas</t>
        </is>
      </c>
      <c r="J2081" s="232" t="inlineStr">
        <is>
          <t>MANT. Y REP. CONSTRUCCIONES</t>
        </is>
      </c>
      <c r="K2081" s="232" t="inlineStr">
        <is>
          <t>MANTENCION INFRAESTRUCTURA</t>
        </is>
      </c>
      <c r="L2081" s="232" t="inlineStr">
        <is>
          <t>[PRORRATEO 3.9% 5.74há/148.3há] O/001400 CALEFON JU</t>
        </is>
      </c>
      <c r="M2081" s="232" t="inlineStr"/>
      <c r="N2081" s="232" t="inlineStr">
        <is>
          <t>.   .   -</t>
        </is>
      </c>
      <c r="O2081" s="232" t="inlineStr">
        <is>
          <t>FEBRERO</t>
        </is>
      </c>
      <c r="P2081" s="232" t="n">
        <v>7</v>
      </c>
      <c r="Q2081" s="234" t="n">
        <v>3903</v>
      </c>
      <c r="R2081" s="232" t="inlineStr"/>
      <c r="S2081" s="234" t="n">
        <v>3903</v>
      </c>
      <c r="T2081" s="232" t="inlineStr">
        <is>
          <t>CLP</t>
        </is>
      </c>
      <c r="U2081" s="232" t="inlineStr">
        <is>
          <t>Prorrateo Ha BODEGA</t>
        </is>
      </c>
      <c r="V2081" s="232" t="inlineStr">
        <is>
          <t>2026-06-18</t>
        </is>
      </c>
    </row>
    <row r="2082">
      <c r="A2082" s="232" t="inlineStr">
        <is>
          <t>CR-2079</t>
        </is>
      </c>
      <c r="B2082" s="232" t="inlineStr">
        <is>
          <t>2026/27</t>
        </is>
      </c>
      <c r="C2082" s="233" t="n">
        <v>46070</v>
      </c>
      <c r="D2082" s="232" t="inlineStr">
        <is>
          <t>879647</t>
        </is>
      </c>
      <c r="E2082" s="232" t="inlineStr">
        <is>
          <t>PRORRATEO</t>
        </is>
      </c>
      <c r="F2082" s="232" t="inlineStr">
        <is>
          <t>El Molle</t>
        </is>
      </c>
      <c r="G2082" s="232" t="inlineStr">
        <is>
          <t>orogrande 8,11 ha</t>
        </is>
      </c>
      <c r="H2082" s="232" t="inlineStr">
        <is>
          <t>Clementinas</t>
        </is>
      </c>
      <c r="I2082" s="232" t="inlineStr">
        <is>
          <t>Orogrande</t>
        </is>
      </c>
      <c r="J2082" s="232" t="inlineStr">
        <is>
          <t>MANT. Y REP. CONSTRUCCIONES</t>
        </is>
      </c>
      <c r="K2082" s="232" t="inlineStr">
        <is>
          <t>MANTENCION INFRAESTRUCTURA</t>
        </is>
      </c>
      <c r="L2082" s="232" t="inlineStr">
        <is>
          <t>[PRORRATEO 5.5% 8.11há/148.3há] O/001400 CALEFON JU</t>
        </is>
      </c>
      <c r="M2082" s="232" t="inlineStr"/>
      <c r="N2082" s="232" t="inlineStr">
        <is>
          <t>.   .   -</t>
        </is>
      </c>
      <c r="O2082" s="232" t="inlineStr">
        <is>
          <t>FEBRERO</t>
        </is>
      </c>
      <c r="P2082" s="232" t="n">
        <v>7</v>
      </c>
      <c r="Q2082" s="234" t="n">
        <v>5514</v>
      </c>
      <c r="R2082" s="232" t="inlineStr"/>
      <c r="S2082" s="234" t="n">
        <v>5514</v>
      </c>
      <c r="T2082" s="232" t="inlineStr">
        <is>
          <t>CLP</t>
        </is>
      </c>
      <c r="U2082" s="232" t="inlineStr">
        <is>
          <t>Prorrateo Ha BODEGA</t>
        </is>
      </c>
      <c r="V2082" s="232" t="inlineStr">
        <is>
          <t>2026-06-18</t>
        </is>
      </c>
    </row>
    <row r="2083">
      <c r="A2083" s="232" t="inlineStr">
        <is>
          <t>CR-2080</t>
        </is>
      </c>
      <c r="B2083" s="232" t="inlineStr">
        <is>
          <t>2026/27</t>
        </is>
      </c>
      <c r="C2083" s="233" t="n">
        <v>46070</v>
      </c>
      <c r="D2083" s="232" t="inlineStr">
        <is>
          <t>879647</t>
        </is>
      </c>
      <c r="E2083" s="232" t="inlineStr">
        <is>
          <t>PRORRATEO</t>
        </is>
      </c>
      <c r="F2083" s="232" t="inlineStr">
        <is>
          <t>El Molle</t>
        </is>
      </c>
      <c r="G2083" s="232" t="inlineStr">
        <is>
          <t>oronules 5,35 ha</t>
        </is>
      </c>
      <c r="H2083" s="232" t="inlineStr">
        <is>
          <t>Clementinas</t>
        </is>
      </c>
      <c r="I2083" s="232" t="inlineStr">
        <is>
          <t>Oronules</t>
        </is>
      </c>
      <c r="J2083" s="232" t="inlineStr">
        <is>
          <t>MANT. Y REP. CONSTRUCCIONES</t>
        </is>
      </c>
      <c r="K2083" s="232" t="inlineStr">
        <is>
          <t>MANTENCION INFRAESTRUCTURA</t>
        </is>
      </c>
      <c r="L2083" s="232" t="inlineStr">
        <is>
          <t>[PRORRATEO 3.6% 5.35há/148.3há] O/001400 CALEFON JU</t>
        </is>
      </c>
      <c r="M2083" s="232" t="inlineStr"/>
      <c r="N2083" s="232" t="inlineStr">
        <is>
          <t>.   .   -</t>
        </is>
      </c>
      <c r="O2083" s="232" t="inlineStr">
        <is>
          <t>FEBRERO</t>
        </is>
      </c>
      <c r="P2083" s="232" t="n">
        <v>7</v>
      </c>
      <c r="Q2083" s="234" t="n">
        <v>3638</v>
      </c>
      <c r="R2083" s="232" t="inlineStr"/>
      <c r="S2083" s="234" t="n">
        <v>3638</v>
      </c>
      <c r="T2083" s="232" t="inlineStr">
        <is>
          <t>CLP</t>
        </is>
      </c>
      <c r="U2083" s="232" t="inlineStr">
        <is>
          <t>Prorrateo Ha BODEGA</t>
        </is>
      </c>
      <c r="V2083" s="232" t="inlineStr">
        <is>
          <t>2026-06-18</t>
        </is>
      </c>
    </row>
    <row r="2084">
      <c r="A2084" s="232" t="inlineStr">
        <is>
          <t>CR-2081</t>
        </is>
      </c>
      <c r="B2084" s="232" t="inlineStr">
        <is>
          <t>2026/27</t>
        </is>
      </c>
      <c r="C2084" s="233" t="n">
        <v>46070</v>
      </c>
      <c r="D2084" s="232" t="inlineStr">
        <is>
          <t>879647</t>
        </is>
      </c>
      <c r="E2084" s="232" t="inlineStr">
        <is>
          <t>PRORRATEO</t>
        </is>
      </c>
      <c r="F2084" s="232" t="inlineStr">
        <is>
          <t>Santa Catalina</t>
        </is>
      </c>
      <c r="G2084" s="232" t="inlineStr">
        <is>
          <t>Fino 49 7,7 ha</t>
        </is>
      </c>
      <c r="H2084" s="232" t="inlineStr">
        <is>
          <t>Limon</t>
        </is>
      </c>
      <c r="I2084" s="232" t="inlineStr">
        <is>
          <t>Fino 49</t>
        </is>
      </c>
      <c r="J2084" s="232" t="inlineStr">
        <is>
          <t>MANT. Y REP. CONSTRUCCIONES</t>
        </is>
      </c>
      <c r="K2084" s="232" t="inlineStr">
        <is>
          <t>MANTENCION INFRAESTRUCTURA</t>
        </is>
      </c>
      <c r="L2084" s="232" t="inlineStr">
        <is>
          <t>[PRORRATEO 5.2% 7.7há/148.3há] O/001400 CALEFON JU</t>
        </is>
      </c>
      <c r="M2084" s="232" t="inlineStr"/>
      <c r="N2084" s="232" t="inlineStr">
        <is>
          <t>.   .   -</t>
        </is>
      </c>
      <c r="O2084" s="232" t="inlineStr">
        <is>
          <t>FEBRERO</t>
        </is>
      </c>
      <c r="P2084" s="232" t="n">
        <v>7</v>
      </c>
      <c r="Q2084" s="234" t="n">
        <v>5235</v>
      </c>
      <c r="R2084" s="232" t="inlineStr"/>
      <c r="S2084" s="234" t="n">
        <v>5235</v>
      </c>
      <c r="T2084" s="232" t="inlineStr">
        <is>
          <t>CLP</t>
        </is>
      </c>
      <c r="U2084" s="232" t="inlineStr">
        <is>
          <t>Prorrateo Ha BODEGA</t>
        </is>
      </c>
      <c r="V2084" s="232" t="inlineStr">
        <is>
          <t>2026-06-18</t>
        </is>
      </c>
    </row>
    <row r="2085">
      <c r="A2085" s="232" t="inlineStr">
        <is>
          <t>CR-2082</t>
        </is>
      </c>
      <c r="B2085" s="232" t="inlineStr">
        <is>
          <t>2026/27</t>
        </is>
      </c>
      <c r="C2085" s="233" t="n">
        <v>46070</v>
      </c>
      <c r="D2085" s="232" t="inlineStr">
        <is>
          <t>879647</t>
        </is>
      </c>
      <c r="E2085" s="232" t="inlineStr">
        <is>
          <t>PRORRATEO</t>
        </is>
      </c>
      <c r="F2085" s="232" t="inlineStr">
        <is>
          <t>Santa Catalina</t>
        </is>
      </c>
      <c r="G2085" s="232" t="inlineStr">
        <is>
          <t>W. murcott 21 ha</t>
        </is>
      </c>
      <c r="H2085" s="232" t="inlineStr">
        <is>
          <t>Mandarina</t>
        </is>
      </c>
      <c r="I2085" s="232" t="inlineStr">
        <is>
          <t>W. murcott</t>
        </is>
      </c>
      <c r="J2085" s="232" t="inlineStr">
        <is>
          <t>MANT. Y REP. CONSTRUCCIONES</t>
        </is>
      </c>
      <c r="K2085" s="232" t="inlineStr">
        <is>
          <t>MANTENCION INFRAESTRUCTURA</t>
        </is>
      </c>
      <c r="L2085" s="232" t="inlineStr">
        <is>
          <t>[PRORRATEO 14.2% 21.0há/148.3há] O/001400 CALEFON JU</t>
        </is>
      </c>
      <c r="M2085" s="232" t="inlineStr"/>
      <c r="N2085" s="232" t="inlineStr">
        <is>
          <t>.   .   -</t>
        </is>
      </c>
      <c r="O2085" s="232" t="inlineStr">
        <is>
          <t>FEBRERO</t>
        </is>
      </c>
      <c r="P2085" s="232" t="n">
        <v>7</v>
      </c>
      <c r="Q2085" s="234" t="n">
        <v>14279</v>
      </c>
      <c r="R2085" s="232" t="inlineStr"/>
      <c r="S2085" s="234" t="n">
        <v>14279</v>
      </c>
      <c r="T2085" s="232" t="inlineStr">
        <is>
          <t>CLP</t>
        </is>
      </c>
      <c r="U2085" s="232" t="inlineStr">
        <is>
          <t>Prorrateo Ha BODEGA</t>
        </is>
      </c>
      <c r="V2085" s="232" t="inlineStr">
        <is>
          <t>2026-06-18</t>
        </is>
      </c>
    </row>
    <row r="2086">
      <c r="A2086" s="232" t="inlineStr">
        <is>
          <t>CR-2083</t>
        </is>
      </c>
      <c r="B2086" s="232" t="inlineStr">
        <is>
          <t>2026/27</t>
        </is>
      </c>
      <c r="C2086" s="233" t="n">
        <v>46070</v>
      </c>
      <c r="D2086" s="232" t="inlineStr">
        <is>
          <t>879647</t>
        </is>
      </c>
      <c r="E2086" s="232" t="inlineStr">
        <is>
          <t>PRORRATEO</t>
        </is>
      </c>
      <c r="F2086" s="232" t="inlineStr">
        <is>
          <t>Santa Catalina</t>
        </is>
      </c>
      <c r="G2086" s="232" t="inlineStr">
        <is>
          <t>cambria 4,2 ha</t>
        </is>
      </c>
      <c r="H2086" s="232" t="inlineStr">
        <is>
          <t>Naranjas</t>
        </is>
      </c>
      <c r="I2086" s="232" t="inlineStr">
        <is>
          <t>Cambria</t>
        </is>
      </c>
      <c r="J2086" s="232" t="inlineStr">
        <is>
          <t>MANT. Y REP. CONSTRUCCIONES</t>
        </is>
      </c>
      <c r="K2086" s="232" t="inlineStr">
        <is>
          <t>MANTENCION INFRAESTRUCTURA</t>
        </is>
      </c>
      <c r="L2086" s="232" t="inlineStr">
        <is>
          <t>[PRORRATEO 2.8% 4.2há/148.3há] O/001400 CALEFON JU</t>
        </is>
      </c>
      <c r="M2086" s="232" t="inlineStr"/>
      <c r="N2086" s="232" t="inlineStr">
        <is>
          <t>.   .   -</t>
        </is>
      </c>
      <c r="O2086" s="232" t="inlineStr">
        <is>
          <t>FEBRERO</t>
        </is>
      </c>
      <c r="P2086" s="232" t="n">
        <v>7</v>
      </c>
      <c r="Q2086" s="234" t="n">
        <v>2856</v>
      </c>
      <c r="R2086" s="232" t="inlineStr"/>
      <c r="S2086" s="234" t="n">
        <v>2856</v>
      </c>
      <c r="T2086" s="232" t="inlineStr">
        <is>
          <t>CLP</t>
        </is>
      </c>
      <c r="U2086" s="232" t="inlineStr">
        <is>
          <t>Prorrateo Ha BODEGA</t>
        </is>
      </c>
      <c r="V2086" s="232" t="inlineStr">
        <is>
          <t>2026-06-18</t>
        </is>
      </c>
    </row>
    <row r="2087">
      <c r="A2087" s="232" t="inlineStr">
        <is>
          <t>CR-2084</t>
        </is>
      </c>
      <c r="B2087" s="232" t="inlineStr">
        <is>
          <t>2026/27</t>
        </is>
      </c>
      <c r="C2087" s="233" t="n">
        <v>46070</v>
      </c>
      <c r="D2087" s="232" t="inlineStr">
        <is>
          <t>879647</t>
        </is>
      </c>
      <c r="E2087" s="232" t="inlineStr">
        <is>
          <t>PRORRATEO</t>
        </is>
      </c>
      <c r="F2087" s="232" t="inlineStr">
        <is>
          <t>Santa Catalina</t>
        </is>
      </c>
      <c r="G2087" s="232" t="inlineStr">
        <is>
          <t>eureka 10,6 ha</t>
        </is>
      </c>
      <c r="H2087" s="232" t="inlineStr">
        <is>
          <t>Limon</t>
        </is>
      </c>
      <c r="I2087" s="232" t="inlineStr">
        <is>
          <t>Eureka</t>
        </is>
      </c>
      <c r="J2087" s="232" t="inlineStr">
        <is>
          <t>MANT. Y REP. CONSTRUCCIONES</t>
        </is>
      </c>
      <c r="K2087" s="232" t="inlineStr">
        <is>
          <t>MANTENCION INFRAESTRUCTURA</t>
        </is>
      </c>
      <c r="L2087" s="232" t="inlineStr">
        <is>
          <t>[PRORRATEO 7.1% 10.6há/148.3há] O/001400 CALEFON JU</t>
        </is>
      </c>
      <c r="M2087" s="232" t="inlineStr"/>
      <c r="N2087" s="232" t="inlineStr">
        <is>
          <t>.   .   -</t>
        </is>
      </c>
      <c r="O2087" s="232" t="inlineStr">
        <is>
          <t>FEBRERO</t>
        </is>
      </c>
      <c r="P2087" s="232" t="n">
        <v>7</v>
      </c>
      <c r="Q2087" s="234" t="n">
        <v>7207</v>
      </c>
      <c r="R2087" s="232" t="inlineStr"/>
      <c r="S2087" s="234" t="n">
        <v>7207</v>
      </c>
      <c r="T2087" s="232" t="inlineStr">
        <is>
          <t>CLP</t>
        </is>
      </c>
      <c r="U2087" s="232" t="inlineStr">
        <is>
          <t>Prorrateo Ha BODEGA</t>
        </is>
      </c>
      <c r="V2087" s="232" t="inlineStr">
        <is>
          <t>2026-06-18</t>
        </is>
      </c>
    </row>
    <row r="2088">
      <c r="A2088" s="232" t="inlineStr">
        <is>
          <t>CR-2085</t>
        </is>
      </c>
      <c r="B2088" s="232" t="inlineStr">
        <is>
          <t>2026/27</t>
        </is>
      </c>
      <c r="C2088" s="233" t="n">
        <v>46070</v>
      </c>
      <c r="D2088" s="232" t="inlineStr">
        <is>
          <t>879647</t>
        </is>
      </c>
      <c r="E2088" s="232" t="inlineStr">
        <is>
          <t>PRORRATEO</t>
        </is>
      </c>
      <c r="F2088" s="232" t="inlineStr">
        <is>
          <t>Santa Catalina</t>
        </is>
      </c>
      <c r="G2088" s="232" t="inlineStr">
        <is>
          <t>eureka 14,4 ha</t>
        </is>
      </c>
      <c r="H2088" s="232" t="inlineStr">
        <is>
          <t>Limon</t>
        </is>
      </c>
      <c r="I2088" s="232" t="inlineStr">
        <is>
          <t>Eureka</t>
        </is>
      </c>
      <c r="J2088" s="232" t="inlineStr">
        <is>
          <t>MANT. Y REP. CONSTRUCCIONES</t>
        </is>
      </c>
      <c r="K2088" s="232" t="inlineStr">
        <is>
          <t>MANTENCION INFRAESTRUCTURA</t>
        </is>
      </c>
      <c r="L2088" s="232" t="inlineStr">
        <is>
          <t>[PRORRATEO 9.7% 14.4há/148.3há] O/001400 CALEFON JU</t>
        </is>
      </c>
      <c r="M2088" s="232" t="inlineStr"/>
      <c r="N2088" s="232" t="inlineStr">
        <is>
          <t>.   .   -</t>
        </is>
      </c>
      <c r="O2088" s="232" t="inlineStr">
        <is>
          <t>FEBRERO</t>
        </is>
      </c>
      <c r="P2088" s="232" t="n">
        <v>7</v>
      </c>
      <c r="Q2088" s="234" t="n">
        <v>9791</v>
      </c>
      <c r="R2088" s="232" t="inlineStr"/>
      <c r="S2088" s="234" t="n">
        <v>9791</v>
      </c>
      <c r="T2088" s="232" t="inlineStr">
        <is>
          <t>CLP</t>
        </is>
      </c>
      <c r="U2088" s="232" t="inlineStr">
        <is>
          <t>Prorrateo Ha BODEGA</t>
        </is>
      </c>
      <c r="V2088" s="232" t="inlineStr">
        <is>
          <t>2026-06-18</t>
        </is>
      </c>
    </row>
    <row r="2089">
      <c r="A2089" s="232" t="inlineStr">
        <is>
          <t>CR-2086</t>
        </is>
      </c>
      <c r="B2089" s="232" t="inlineStr">
        <is>
          <t>2026/27</t>
        </is>
      </c>
      <c r="C2089" s="233" t="n">
        <v>46070</v>
      </c>
      <c r="D2089" s="232" t="inlineStr">
        <is>
          <t>879647</t>
        </is>
      </c>
      <c r="E2089" s="232" t="inlineStr">
        <is>
          <t>PRORRATEO</t>
        </is>
      </c>
      <c r="F2089" s="232" t="inlineStr">
        <is>
          <t>Santa Catalina</t>
        </is>
      </c>
      <c r="G2089" s="232" t="inlineStr">
        <is>
          <t>eureka 22,55</t>
        </is>
      </c>
      <c r="H2089" s="232" t="inlineStr">
        <is>
          <t>Limon</t>
        </is>
      </c>
      <c r="I2089" s="232" t="inlineStr">
        <is>
          <t>Eureka</t>
        </is>
      </c>
      <c r="J2089" s="232" t="inlineStr">
        <is>
          <t>MANT. Y REP. CONSTRUCCIONES</t>
        </is>
      </c>
      <c r="K2089" s="232" t="inlineStr">
        <is>
          <t>MANTENCION INFRAESTRUCTURA</t>
        </is>
      </c>
      <c r="L2089" s="232" t="inlineStr">
        <is>
          <t>[PRORRATEO 15.2% 22.55há/148.3há] O/001400 CALEFON JU</t>
        </is>
      </c>
      <c r="M2089" s="232" t="inlineStr"/>
      <c r="N2089" s="232" t="inlineStr">
        <is>
          <t>.   .   -</t>
        </is>
      </c>
      <c r="O2089" s="232" t="inlineStr">
        <is>
          <t>FEBRERO</t>
        </is>
      </c>
      <c r="P2089" s="232" t="n">
        <v>7</v>
      </c>
      <c r="Q2089" s="234" t="n">
        <v>15333</v>
      </c>
      <c r="R2089" s="232" t="inlineStr"/>
      <c r="S2089" s="234" t="n">
        <v>15333</v>
      </c>
      <c r="T2089" s="232" t="inlineStr">
        <is>
          <t>CLP</t>
        </is>
      </c>
      <c r="U2089" s="232" t="inlineStr">
        <is>
          <t>Prorrateo Ha BODEGA</t>
        </is>
      </c>
      <c r="V2089" s="232" t="inlineStr">
        <is>
          <t>2026-06-18</t>
        </is>
      </c>
    </row>
    <row r="2090">
      <c r="A2090" s="232" t="inlineStr">
        <is>
          <t>CR-2087</t>
        </is>
      </c>
      <c r="B2090" s="232" t="inlineStr">
        <is>
          <t>2026/27</t>
        </is>
      </c>
      <c r="C2090" s="233" t="n">
        <v>46070</v>
      </c>
      <c r="D2090" s="232" t="inlineStr">
        <is>
          <t>879647</t>
        </is>
      </c>
      <c r="E2090" s="232" t="inlineStr">
        <is>
          <t>PRORRATEO</t>
        </is>
      </c>
      <c r="F2090" s="232" t="inlineStr">
        <is>
          <t>Santa Catalina</t>
        </is>
      </c>
      <c r="G2090" s="232" t="inlineStr">
        <is>
          <t>form benjamin 1,93 ha</t>
        </is>
      </c>
      <c r="H2090" s="232" t="inlineStr">
        <is>
          <t>Limon</t>
        </is>
      </c>
      <c r="I2090" s="232" t="inlineStr">
        <is>
          <t>Benjamin andes</t>
        </is>
      </c>
      <c r="J2090" s="232" t="inlineStr">
        <is>
          <t>MANT. Y REP. CONSTRUCCIONES</t>
        </is>
      </c>
      <c r="K2090" s="232" t="inlineStr">
        <is>
          <t>MANTENCION INFRAESTRUCTURA</t>
        </is>
      </c>
      <c r="L2090" s="232" t="inlineStr">
        <is>
          <t>[PRORRATEO 1.3% 1.93há/148.3há] O/001400 CALEFON JU</t>
        </is>
      </c>
      <c r="M2090" s="232" t="inlineStr"/>
      <c r="N2090" s="232" t="inlineStr">
        <is>
          <t>.   .   -</t>
        </is>
      </c>
      <c r="O2090" s="232" t="inlineStr">
        <is>
          <t>FEBRERO</t>
        </is>
      </c>
      <c r="P2090" s="232" t="n">
        <v>7</v>
      </c>
      <c r="Q2090" s="234" t="n">
        <v>1312</v>
      </c>
      <c r="R2090" s="232" t="inlineStr"/>
      <c r="S2090" s="234" t="n">
        <v>1312</v>
      </c>
      <c r="T2090" s="232" t="inlineStr">
        <is>
          <t>CLP</t>
        </is>
      </c>
      <c r="U2090" s="232" t="inlineStr">
        <is>
          <t>Prorrateo Ha BODEGA</t>
        </is>
      </c>
      <c r="V2090" s="232" t="inlineStr">
        <is>
          <t>2026-06-18</t>
        </is>
      </c>
    </row>
    <row r="2091">
      <c r="A2091" s="232" t="inlineStr">
        <is>
          <t>CR-2088</t>
        </is>
      </c>
      <c r="B2091" s="232" t="inlineStr">
        <is>
          <t>2026/27</t>
        </is>
      </c>
      <c r="C2091" s="233" t="n">
        <v>46070</v>
      </c>
      <c r="D2091" s="232" t="inlineStr">
        <is>
          <t>879647</t>
        </is>
      </c>
      <c r="E2091" s="232" t="inlineStr">
        <is>
          <t>PRORRATEO</t>
        </is>
      </c>
      <c r="F2091" s="232" t="inlineStr">
        <is>
          <t>Santa Catalina</t>
        </is>
      </c>
      <c r="G2091" s="232" t="inlineStr">
        <is>
          <t>mant eureka 2,5 ha</t>
        </is>
      </c>
      <c r="H2091" s="232" t="inlineStr">
        <is>
          <t>Limon</t>
        </is>
      </c>
      <c r="I2091" s="232" t="inlineStr">
        <is>
          <t>Eureka</t>
        </is>
      </c>
      <c r="J2091" s="232" t="inlineStr">
        <is>
          <t>MANT. Y REP. CONSTRUCCIONES</t>
        </is>
      </c>
      <c r="K2091" s="232" t="inlineStr">
        <is>
          <t>MANTENCION INFRAESTRUCTURA</t>
        </is>
      </c>
      <c r="L2091" s="232" t="inlineStr">
        <is>
          <t>[PRORRATEO 1.7% 2.5há/148.3há] O/001400 CALEFON JU</t>
        </is>
      </c>
      <c r="M2091" s="232" t="inlineStr"/>
      <c r="N2091" s="232" t="inlineStr">
        <is>
          <t>.   .   -</t>
        </is>
      </c>
      <c r="O2091" s="232" t="inlineStr">
        <is>
          <t>FEBRERO</t>
        </is>
      </c>
      <c r="P2091" s="232" t="n">
        <v>7</v>
      </c>
      <c r="Q2091" s="234" t="n">
        <v>1700</v>
      </c>
      <c r="R2091" s="232" t="inlineStr"/>
      <c r="S2091" s="234" t="n">
        <v>1700</v>
      </c>
      <c r="T2091" s="232" t="inlineStr">
        <is>
          <t>CLP</t>
        </is>
      </c>
      <c r="U2091" s="232" t="inlineStr">
        <is>
          <t>Prorrateo Ha BODEGA</t>
        </is>
      </c>
      <c r="V2091" s="232" t="inlineStr">
        <is>
          <t>2026-06-18</t>
        </is>
      </c>
    </row>
    <row r="2092">
      <c r="A2092" s="232" t="inlineStr">
        <is>
          <t>CR-2089</t>
        </is>
      </c>
      <c r="B2092" s="232" t="inlineStr">
        <is>
          <t>2026/27</t>
        </is>
      </c>
      <c r="C2092" s="233" t="n">
        <v>46070</v>
      </c>
      <c r="D2092" s="232" t="inlineStr">
        <is>
          <t>879647</t>
        </is>
      </c>
      <c r="E2092" s="232" t="inlineStr">
        <is>
          <t>PRORRATEO</t>
        </is>
      </c>
      <c r="F2092" s="232" t="inlineStr">
        <is>
          <t>Siberia</t>
        </is>
      </c>
      <c r="G2092" s="232" t="inlineStr">
        <is>
          <t>S. Celebration 7,14</t>
        </is>
      </c>
      <c r="H2092" s="232" t="inlineStr">
        <is>
          <t>Uvas</t>
        </is>
      </c>
      <c r="I2092" s="232" t="inlineStr">
        <is>
          <t>S. celebration</t>
        </is>
      </c>
      <c r="J2092" s="232" t="inlineStr">
        <is>
          <t>MANT. Y REP. CONSTRUCCIONES</t>
        </is>
      </c>
      <c r="K2092" s="232" t="inlineStr">
        <is>
          <t>MANTENCION INFRAESTRUCTURA</t>
        </is>
      </c>
      <c r="L2092" s="232" t="inlineStr">
        <is>
          <t>[PRORRATEO 4.8% 7.14há/148.3há] O/001400 CALEFON JU</t>
        </is>
      </c>
      <c r="M2092" s="232" t="inlineStr"/>
      <c r="N2092" s="232" t="inlineStr">
        <is>
          <t>.   .   -</t>
        </is>
      </c>
      <c r="O2092" s="232" t="inlineStr">
        <is>
          <t>FEBRERO</t>
        </is>
      </c>
      <c r="P2092" s="232" t="n">
        <v>7</v>
      </c>
      <c r="Q2092" s="234" t="n">
        <v>4855</v>
      </c>
      <c r="R2092" s="232" t="inlineStr"/>
      <c r="S2092" s="234" t="n">
        <v>4855</v>
      </c>
      <c r="T2092" s="232" t="inlineStr">
        <is>
          <t>CLP</t>
        </is>
      </c>
      <c r="U2092" s="232" t="inlineStr">
        <is>
          <t>Prorrateo Ha BODEGA</t>
        </is>
      </c>
      <c r="V2092" s="232" t="inlineStr">
        <is>
          <t>2026-06-18</t>
        </is>
      </c>
    </row>
    <row r="2093">
      <c r="A2093" s="232" t="inlineStr">
        <is>
          <t>CR-2090</t>
        </is>
      </c>
      <c r="B2093" s="232" t="inlineStr">
        <is>
          <t>2026/27</t>
        </is>
      </c>
      <c r="C2093" s="233" t="n">
        <v>46070</v>
      </c>
      <c r="D2093" s="232" t="inlineStr">
        <is>
          <t>879647</t>
        </is>
      </c>
      <c r="E2093" s="232" t="inlineStr">
        <is>
          <t>PRORRATEO</t>
        </is>
      </c>
      <c r="F2093" s="232" t="inlineStr">
        <is>
          <t>Siberia</t>
        </is>
      </c>
      <c r="G2093" s="232" t="inlineStr">
        <is>
          <t>Timpson 7,1</t>
        </is>
      </c>
      <c r="H2093" s="232" t="inlineStr">
        <is>
          <t>Uvas</t>
        </is>
      </c>
      <c r="I2093" s="232" t="inlineStr">
        <is>
          <t>Timpson</t>
        </is>
      </c>
      <c r="J2093" s="232" t="inlineStr">
        <is>
          <t>MANT. Y REP. CONSTRUCCIONES</t>
        </is>
      </c>
      <c r="K2093" s="232" t="inlineStr">
        <is>
          <t>MANTENCION INFRAESTRUCTURA</t>
        </is>
      </c>
      <c r="L2093" s="232" t="inlineStr">
        <is>
          <t>[PRORRATEO 4.8% 7.1há/148.3há] O/001400 CALEFON JU</t>
        </is>
      </c>
      <c r="M2093" s="232" t="inlineStr"/>
      <c r="N2093" s="232" t="inlineStr">
        <is>
          <t>.   .   -</t>
        </is>
      </c>
      <c r="O2093" s="232" t="inlineStr">
        <is>
          <t>FEBRERO</t>
        </is>
      </c>
      <c r="P2093" s="232" t="n">
        <v>7</v>
      </c>
      <c r="Q2093" s="234" t="n">
        <v>4828</v>
      </c>
      <c r="R2093" s="232" t="inlineStr"/>
      <c r="S2093" s="234" t="n">
        <v>4828</v>
      </c>
      <c r="T2093" s="232" t="inlineStr">
        <is>
          <t>CLP</t>
        </is>
      </c>
      <c r="U2093" s="232" t="inlineStr">
        <is>
          <t>Prorrateo Ha BODEGA</t>
        </is>
      </c>
      <c r="V2093" s="232" t="inlineStr">
        <is>
          <t>2026-06-18</t>
        </is>
      </c>
    </row>
    <row r="2094">
      <c r="A2094" s="232" t="inlineStr">
        <is>
          <t>CR-2091</t>
        </is>
      </c>
      <c r="B2094" s="232" t="inlineStr">
        <is>
          <t>2026/27</t>
        </is>
      </c>
      <c r="C2094" s="233" t="n">
        <v>46070</v>
      </c>
      <c r="D2094" s="232" t="inlineStr">
        <is>
          <t>879647</t>
        </is>
      </c>
      <c r="E2094" s="232" t="inlineStr">
        <is>
          <t>PRORRATEO</t>
        </is>
      </c>
      <c r="F2094" s="232" t="inlineStr">
        <is>
          <t>Asmara</t>
        </is>
      </c>
      <c r="G2094" s="232" t="inlineStr">
        <is>
          <t>w. murcott 19,8 ha</t>
        </is>
      </c>
      <c r="H2094" s="232" t="inlineStr">
        <is>
          <t>Mandarina</t>
        </is>
      </c>
      <c r="I2094" s="232" t="inlineStr">
        <is>
          <t>W. murcott</t>
        </is>
      </c>
      <c r="J2094" s="232" t="inlineStr">
        <is>
          <t>MANT. Y REP. CONSTRUCCIONES</t>
        </is>
      </c>
      <c r="K2094" s="232" t="inlineStr">
        <is>
          <t>MANTENCION INFRAESTRUCTURA</t>
        </is>
      </c>
      <c r="L2094" s="232" t="inlineStr">
        <is>
          <t>[PRORRATEO 13.4% 19.8há/148.3há] O/001400 PROYECTOR</t>
        </is>
      </c>
      <c r="M2094" s="232" t="inlineStr"/>
      <c r="N2094" s="232" t="inlineStr">
        <is>
          <t>.   .   -</t>
        </is>
      </c>
      <c r="O2094" s="232" t="inlineStr">
        <is>
          <t>FEBRERO</t>
        </is>
      </c>
      <c r="P2094" s="232" t="n">
        <v>7</v>
      </c>
      <c r="Q2094" s="234" t="n">
        <v>3121</v>
      </c>
      <c r="R2094" s="232" t="inlineStr"/>
      <c r="S2094" s="234" t="n">
        <v>3121</v>
      </c>
      <c r="T2094" s="232" t="inlineStr">
        <is>
          <t>CLP</t>
        </is>
      </c>
      <c r="U2094" s="232" t="inlineStr">
        <is>
          <t>Prorrateo Ha BODEGA</t>
        </is>
      </c>
      <c r="V2094" s="232" t="inlineStr">
        <is>
          <t>2026-06-18</t>
        </is>
      </c>
    </row>
    <row r="2095">
      <c r="A2095" s="232" t="inlineStr">
        <is>
          <t>CR-2092</t>
        </is>
      </c>
      <c r="B2095" s="232" t="inlineStr">
        <is>
          <t>2026/27</t>
        </is>
      </c>
      <c r="C2095" s="233" t="n">
        <v>46070</v>
      </c>
      <c r="D2095" s="232" t="inlineStr">
        <is>
          <t>879647</t>
        </is>
      </c>
      <c r="E2095" s="232" t="inlineStr">
        <is>
          <t>PRORRATEO</t>
        </is>
      </c>
      <c r="F2095" s="232" t="inlineStr">
        <is>
          <t>Asmara</t>
        </is>
      </c>
      <c r="G2095" s="232" t="inlineStr">
        <is>
          <t>w. murcott 4,9 ha</t>
        </is>
      </c>
      <c r="H2095" s="232" t="inlineStr">
        <is>
          <t>Mandarina</t>
        </is>
      </c>
      <c r="I2095" s="232" t="inlineStr">
        <is>
          <t>W. murcott</t>
        </is>
      </c>
      <c r="J2095" s="232" t="inlineStr">
        <is>
          <t>MANT. Y REP. CONSTRUCCIONES</t>
        </is>
      </c>
      <c r="K2095" s="232" t="inlineStr">
        <is>
          <t>MANTENCION INFRAESTRUCTURA</t>
        </is>
      </c>
      <c r="L2095" s="232" t="inlineStr">
        <is>
          <t>[PRORRATEO 3.3% 4.9há/148.3há] O/001400 PROYECTOR</t>
        </is>
      </c>
      <c r="M2095" s="232" t="inlineStr"/>
      <c r="N2095" s="232" t="inlineStr">
        <is>
          <t>.   .   -</t>
        </is>
      </c>
      <c r="O2095" s="232" t="inlineStr">
        <is>
          <t>FEBRERO</t>
        </is>
      </c>
      <c r="P2095" s="232" t="n">
        <v>7</v>
      </c>
      <c r="Q2095" s="234" t="n">
        <v>772</v>
      </c>
      <c r="R2095" s="232" t="inlineStr"/>
      <c r="S2095" s="234" t="n">
        <v>772</v>
      </c>
      <c r="T2095" s="232" t="inlineStr">
        <is>
          <t>CLP</t>
        </is>
      </c>
      <c r="U2095" s="232" t="inlineStr">
        <is>
          <t>Prorrateo Ha BODEGA</t>
        </is>
      </c>
      <c r="V2095" s="232" t="inlineStr">
        <is>
          <t>2026-06-18</t>
        </is>
      </c>
    </row>
    <row r="2096">
      <c r="A2096" s="232" t="inlineStr">
        <is>
          <t>CR-2093</t>
        </is>
      </c>
      <c r="B2096" s="232" t="inlineStr">
        <is>
          <t>2026/27</t>
        </is>
      </c>
      <c r="C2096" s="233" t="n">
        <v>46070</v>
      </c>
      <c r="D2096" s="232" t="inlineStr">
        <is>
          <t>879647</t>
        </is>
      </c>
      <c r="E2096" s="232" t="inlineStr">
        <is>
          <t>PRORRATEO</t>
        </is>
      </c>
      <c r="F2096" s="232" t="inlineStr">
        <is>
          <t>El Molle</t>
        </is>
      </c>
      <c r="G2096" s="232" t="inlineStr">
        <is>
          <t>Wonderful 5,25 ha</t>
        </is>
      </c>
      <c r="H2096" s="232" t="inlineStr">
        <is>
          <t>Granados</t>
        </is>
      </c>
      <c r="I2096" s="232" t="inlineStr">
        <is>
          <t>Wonderfull</t>
        </is>
      </c>
      <c r="J2096" s="232" t="inlineStr">
        <is>
          <t>MANT. Y REP. CONSTRUCCIONES</t>
        </is>
      </c>
      <c r="K2096" s="232" t="inlineStr">
        <is>
          <t>MANTENCION INFRAESTRUCTURA</t>
        </is>
      </c>
      <c r="L2096" s="232" t="inlineStr">
        <is>
          <t>[PRORRATEO 3.5% 5.24há/148.3há] O/001400 PROYECTOR</t>
        </is>
      </c>
      <c r="M2096" s="232" t="inlineStr"/>
      <c r="N2096" s="232" t="inlineStr">
        <is>
          <t>.   .   -</t>
        </is>
      </c>
      <c r="O2096" s="232" t="inlineStr">
        <is>
          <t>FEBRERO</t>
        </is>
      </c>
      <c r="P2096" s="232" t="n">
        <v>7</v>
      </c>
      <c r="Q2096" s="234" t="n">
        <v>826</v>
      </c>
      <c r="R2096" s="232" t="inlineStr"/>
      <c r="S2096" s="234" t="n">
        <v>826</v>
      </c>
      <c r="T2096" s="232" t="inlineStr">
        <is>
          <t>CLP</t>
        </is>
      </c>
      <c r="U2096" s="232" t="inlineStr">
        <is>
          <t>Prorrateo Ha BODEGA</t>
        </is>
      </c>
      <c r="V2096" s="232" t="inlineStr">
        <is>
          <t>2026-06-18</t>
        </is>
      </c>
    </row>
    <row r="2097">
      <c r="A2097" s="232" t="inlineStr">
        <is>
          <t>CR-2094</t>
        </is>
      </c>
      <c r="B2097" s="232" t="inlineStr">
        <is>
          <t>2026/27</t>
        </is>
      </c>
      <c r="C2097" s="233" t="n">
        <v>46070</v>
      </c>
      <c r="D2097" s="232" t="inlineStr">
        <is>
          <t>879647</t>
        </is>
      </c>
      <c r="E2097" s="232" t="inlineStr">
        <is>
          <t>PRORRATEO</t>
        </is>
      </c>
      <c r="F2097" s="232" t="inlineStr">
        <is>
          <t>El Molle</t>
        </is>
      </c>
      <c r="G2097" s="232" t="inlineStr">
        <is>
          <t>arrufatinas 5,74 ha</t>
        </is>
      </c>
      <c r="H2097" s="232" t="inlineStr">
        <is>
          <t>Clementinas</t>
        </is>
      </c>
      <c r="I2097" s="232" t="inlineStr">
        <is>
          <t>Arrufatinas</t>
        </is>
      </c>
      <c r="J2097" s="232" t="inlineStr">
        <is>
          <t>MANT. Y REP. CONSTRUCCIONES</t>
        </is>
      </c>
      <c r="K2097" s="232" t="inlineStr">
        <is>
          <t>MANTENCION INFRAESTRUCTURA</t>
        </is>
      </c>
      <c r="L2097" s="232" t="inlineStr">
        <is>
          <t>[PRORRATEO 3.9% 5.74há/148.3há] O/001400 PROYECTOR</t>
        </is>
      </c>
      <c r="M2097" s="232" t="inlineStr"/>
      <c r="N2097" s="232" t="inlineStr">
        <is>
          <t>.   .   -</t>
        </is>
      </c>
      <c r="O2097" s="232" t="inlineStr">
        <is>
          <t>FEBRERO</t>
        </is>
      </c>
      <c r="P2097" s="232" t="n">
        <v>7</v>
      </c>
      <c r="Q2097" s="234" t="n">
        <v>905</v>
      </c>
      <c r="R2097" s="232" t="inlineStr"/>
      <c r="S2097" s="234" t="n">
        <v>905</v>
      </c>
      <c r="T2097" s="232" t="inlineStr">
        <is>
          <t>CLP</t>
        </is>
      </c>
      <c r="U2097" s="232" t="inlineStr">
        <is>
          <t>Prorrateo Ha BODEGA</t>
        </is>
      </c>
      <c r="V2097" s="232" t="inlineStr">
        <is>
          <t>2026-06-18</t>
        </is>
      </c>
    </row>
    <row r="2098">
      <c r="A2098" s="232" t="inlineStr">
        <is>
          <t>CR-2095</t>
        </is>
      </c>
      <c r="B2098" s="232" t="inlineStr">
        <is>
          <t>2026/27</t>
        </is>
      </c>
      <c r="C2098" s="233" t="n">
        <v>46070</v>
      </c>
      <c r="D2098" s="232" t="inlineStr">
        <is>
          <t>879647</t>
        </is>
      </c>
      <c r="E2098" s="232" t="inlineStr">
        <is>
          <t>PRORRATEO</t>
        </is>
      </c>
      <c r="F2098" s="232" t="inlineStr">
        <is>
          <t>El Molle</t>
        </is>
      </c>
      <c r="G2098" s="232" t="inlineStr">
        <is>
          <t>orogrande 8,11 ha</t>
        </is>
      </c>
      <c r="H2098" s="232" t="inlineStr">
        <is>
          <t>Clementinas</t>
        </is>
      </c>
      <c r="I2098" s="232" t="inlineStr">
        <is>
          <t>Orogrande</t>
        </is>
      </c>
      <c r="J2098" s="232" t="inlineStr">
        <is>
          <t>MANT. Y REP. CONSTRUCCIONES</t>
        </is>
      </c>
      <c r="K2098" s="232" t="inlineStr">
        <is>
          <t>MANTENCION INFRAESTRUCTURA</t>
        </is>
      </c>
      <c r="L2098" s="232" t="inlineStr">
        <is>
          <t>[PRORRATEO 5.5% 8.11há/148.3há] O/001400 PROYECTOR</t>
        </is>
      </c>
      <c r="M2098" s="232" t="inlineStr"/>
      <c r="N2098" s="232" t="inlineStr">
        <is>
          <t>.   .   -</t>
        </is>
      </c>
      <c r="O2098" s="232" t="inlineStr">
        <is>
          <t>FEBRERO</t>
        </is>
      </c>
      <c r="P2098" s="232" t="n">
        <v>7</v>
      </c>
      <c r="Q2098" s="234" t="n">
        <v>1278</v>
      </c>
      <c r="R2098" s="232" t="inlineStr"/>
      <c r="S2098" s="234" t="n">
        <v>1278</v>
      </c>
      <c r="T2098" s="232" t="inlineStr">
        <is>
          <t>CLP</t>
        </is>
      </c>
      <c r="U2098" s="232" t="inlineStr">
        <is>
          <t>Prorrateo Ha BODEGA</t>
        </is>
      </c>
      <c r="V2098" s="232" t="inlineStr">
        <is>
          <t>2026-06-18</t>
        </is>
      </c>
    </row>
    <row r="2099">
      <c r="A2099" s="232" t="inlineStr">
        <is>
          <t>CR-2096</t>
        </is>
      </c>
      <c r="B2099" s="232" t="inlineStr">
        <is>
          <t>2026/27</t>
        </is>
      </c>
      <c r="C2099" s="233" t="n">
        <v>46070</v>
      </c>
      <c r="D2099" s="232" t="inlineStr">
        <is>
          <t>879647</t>
        </is>
      </c>
      <c r="E2099" s="232" t="inlineStr">
        <is>
          <t>PRORRATEO</t>
        </is>
      </c>
      <c r="F2099" s="232" t="inlineStr">
        <is>
          <t>El Molle</t>
        </is>
      </c>
      <c r="G2099" s="232" t="inlineStr">
        <is>
          <t>oronules 5,35 ha</t>
        </is>
      </c>
      <c r="H2099" s="232" t="inlineStr">
        <is>
          <t>Clementinas</t>
        </is>
      </c>
      <c r="I2099" s="232" t="inlineStr">
        <is>
          <t>Oronules</t>
        </is>
      </c>
      <c r="J2099" s="232" t="inlineStr">
        <is>
          <t>MANT. Y REP. CONSTRUCCIONES</t>
        </is>
      </c>
      <c r="K2099" s="232" t="inlineStr">
        <is>
          <t>MANTENCION INFRAESTRUCTURA</t>
        </is>
      </c>
      <c r="L2099" s="232" t="inlineStr">
        <is>
          <t>[PRORRATEO 3.6% 5.35há/148.3há] O/001400 PROYECTOR</t>
        </is>
      </c>
      <c r="M2099" s="232" t="inlineStr"/>
      <c r="N2099" s="232" t="inlineStr">
        <is>
          <t>.   .   -</t>
        </is>
      </c>
      <c r="O2099" s="232" t="inlineStr">
        <is>
          <t>FEBRERO</t>
        </is>
      </c>
      <c r="P2099" s="232" t="n">
        <v>7</v>
      </c>
      <c r="Q2099" s="234" t="n">
        <v>843</v>
      </c>
      <c r="R2099" s="232" t="inlineStr"/>
      <c r="S2099" s="234" t="n">
        <v>843</v>
      </c>
      <c r="T2099" s="232" t="inlineStr">
        <is>
          <t>CLP</t>
        </is>
      </c>
      <c r="U2099" s="232" t="inlineStr">
        <is>
          <t>Prorrateo Ha BODEGA</t>
        </is>
      </c>
      <c r="V2099" s="232" t="inlineStr">
        <is>
          <t>2026-06-18</t>
        </is>
      </c>
    </row>
    <row r="2100">
      <c r="A2100" s="232" t="inlineStr">
        <is>
          <t>CR-2097</t>
        </is>
      </c>
      <c r="B2100" s="232" t="inlineStr">
        <is>
          <t>2026/27</t>
        </is>
      </c>
      <c r="C2100" s="233" t="n">
        <v>46070</v>
      </c>
      <c r="D2100" s="232" t="inlineStr">
        <is>
          <t>879647</t>
        </is>
      </c>
      <c r="E2100" s="232" t="inlineStr">
        <is>
          <t>PRORRATEO</t>
        </is>
      </c>
      <c r="F2100" s="232" t="inlineStr">
        <is>
          <t>Santa Catalina</t>
        </is>
      </c>
      <c r="G2100" s="232" t="inlineStr">
        <is>
          <t>Fino 49 7,7 ha</t>
        </is>
      </c>
      <c r="H2100" s="232" t="inlineStr">
        <is>
          <t>Limon</t>
        </is>
      </c>
      <c r="I2100" s="232" t="inlineStr">
        <is>
          <t>Fino 49</t>
        </is>
      </c>
      <c r="J2100" s="232" t="inlineStr">
        <is>
          <t>MANT. Y REP. CONSTRUCCIONES</t>
        </is>
      </c>
      <c r="K2100" s="232" t="inlineStr">
        <is>
          <t>MANTENCION INFRAESTRUCTURA</t>
        </is>
      </c>
      <c r="L2100" s="232" t="inlineStr">
        <is>
          <t>[PRORRATEO 5.2% 7.7há/148.3há] O/001400 PROYECTOR</t>
        </is>
      </c>
      <c r="M2100" s="232" t="inlineStr"/>
      <c r="N2100" s="232" t="inlineStr">
        <is>
          <t>.   .   -</t>
        </is>
      </c>
      <c r="O2100" s="232" t="inlineStr">
        <is>
          <t>FEBRERO</t>
        </is>
      </c>
      <c r="P2100" s="232" t="n">
        <v>7</v>
      </c>
      <c r="Q2100" s="234" t="n">
        <v>1214</v>
      </c>
      <c r="R2100" s="232" t="inlineStr"/>
      <c r="S2100" s="234" t="n">
        <v>1214</v>
      </c>
      <c r="T2100" s="232" t="inlineStr">
        <is>
          <t>CLP</t>
        </is>
      </c>
      <c r="U2100" s="232" t="inlineStr">
        <is>
          <t>Prorrateo Ha BODEGA</t>
        </is>
      </c>
      <c r="V2100" s="232" t="inlineStr">
        <is>
          <t>2026-06-18</t>
        </is>
      </c>
    </row>
    <row r="2101">
      <c r="A2101" s="232" t="inlineStr">
        <is>
          <t>CR-2098</t>
        </is>
      </c>
      <c r="B2101" s="232" t="inlineStr">
        <is>
          <t>2026/27</t>
        </is>
      </c>
      <c r="C2101" s="233" t="n">
        <v>46070</v>
      </c>
      <c r="D2101" s="232" t="inlineStr">
        <is>
          <t>879647</t>
        </is>
      </c>
      <c r="E2101" s="232" t="inlineStr">
        <is>
          <t>PRORRATEO</t>
        </is>
      </c>
      <c r="F2101" s="232" t="inlineStr">
        <is>
          <t>Santa Catalina</t>
        </is>
      </c>
      <c r="G2101" s="232" t="inlineStr">
        <is>
          <t>W. murcott 21 ha</t>
        </is>
      </c>
      <c r="H2101" s="232" t="inlineStr">
        <is>
          <t>Mandarina</t>
        </is>
      </c>
      <c r="I2101" s="232" t="inlineStr">
        <is>
          <t>W. murcott</t>
        </is>
      </c>
      <c r="J2101" s="232" t="inlineStr">
        <is>
          <t>MANT. Y REP. CONSTRUCCIONES</t>
        </is>
      </c>
      <c r="K2101" s="232" t="inlineStr">
        <is>
          <t>MANTENCION INFRAESTRUCTURA</t>
        </is>
      </c>
      <c r="L2101" s="232" t="inlineStr">
        <is>
          <t>[PRORRATEO 14.2% 21.0há/148.3há] O/001400 PROYECTOR</t>
        </is>
      </c>
      <c r="M2101" s="232" t="inlineStr"/>
      <c r="N2101" s="232" t="inlineStr">
        <is>
          <t>.   .   -</t>
        </is>
      </c>
      <c r="O2101" s="232" t="inlineStr">
        <is>
          <t>FEBRERO</t>
        </is>
      </c>
      <c r="P2101" s="232" t="n">
        <v>7</v>
      </c>
      <c r="Q2101" s="234" t="n">
        <v>3310</v>
      </c>
      <c r="R2101" s="232" t="inlineStr"/>
      <c r="S2101" s="234" t="n">
        <v>3310</v>
      </c>
      <c r="T2101" s="232" t="inlineStr">
        <is>
          <t>CLP</t>
        </is>
      </c>
      <c r="U2101" s="232" t="inlineStr">
        <is>
          <t>Prorrateo Ha BODEGA</t>
        </is>
      </c>
      <c r="V2101" s="232" t="inlineStr">
        <is>
          <t>2026-06-18</t>
        </is>
      </c>
    </row>
    <row r="2102">
      <c r="A2102" s="232" t="inlineStr">
        <is>
          <t>CR-2099</t>
        </is>
      </c>
      <c r="B2102" s="232" t="inlineStr">
        <is>
          <t>2026/27</t>
        </is>
      </c>
      <c r="C2102" s="233" t="n">
        <v>46070</v>
      </c>
      <c r="D2102" s="232" t="inlineStr">
        <is>
          <t>879647</t>
        </is>
      </c>
      <c r="E2102" s="232" t="inlineStr">
        <is>
          <t>PRORRATEO</t>
        </is>
      </c>
      <c r="F2102" s="232" t="inlineStr">
        <is>
          <t>Santa Catalina</t>
        </is>
      </c>
      <c r="G2102" s="232" t="inlineStr">
        <is>
          <t>cambria 4,2 ha</t>
        </is>
      </c>
      <c r="H2102" s="232" t="inlineStr">
        <is>
          <t>Naranjas</t>
        </is>
      </c>
      <c r="I2102" s="232" t="inlineStr">
        <is>
          <t>Cambria</t>
        </is>
      </c>
      <c r="J2102" s="232" t="inlineStr">
        <is>
          <t>MANT. Y REP. CONSTRUCCIONES</t>
        </is>
      </c>
      <c r="K2102" s="232" t="inlineStr">
        <is>
          <t>MANTENCION INFRAESTRUCTURA</t>
        </is>
      </c>
      <c r="L2102" s="232" t="inlineStr">
        <is>
          <t>[PRORRATEO 2.8% 4.2há/148.3há] O/001400 PROYECTOR</t>
        </is>
      </c>
      <c r="M2102" s="232" t="inlineStr"/>
      <c r="N2102" s="232" t="inlineStr">
        <is>
          <t>.   .   -</t>
        </is>
      </c>
      <c r="O2102" s="232" t="inlineStr">
        <is>
          <t>FEBRERO</t>
        </is>
      </c>
      <c r="P2102" s="232" t="n">
        <v>7</v>
      </c>
      <c r="Q2102" s="234" t="n">
        <v>662</v>
      </c>
      <c r="R2102" s="232" t="inlineStr"/>
      <c r="S2102" s="234" t="n">
        <v>662</v>
      </c>
      <c r="T2102" s="232" t="inlineStr">
        <is>
          <t>CLP</t>
        </is>
      </c>
      <c r="U2102" s="232" t="inlineStr">
        <is>
          <t>Prorrateo Ha BODEGA</t>
        </is>
      </c>
      <c r="V2102" s="232" t="inlineStr">
        <is>
          <t>2026-06-18</t>
        </is>
      </c>
    </row>
    <row r="2103">
      <c r="A2103" s="232" t="inlineStr">
        <is>
          <t>CR-2100</t>
        </is>
      </c>
      <c r="B2103" s="232" t="inlineStr">
        <is>
          <t>2026/27</t>
        </is>
      </c>
      <c r="C2103" s="233" t="n">
        <v>46070</v>
      </c>
      <c r="D2103" s="232" t="inlineStr">
        <is>
          <t>879647</t>
        </is>
      </c>
      <c r="E2103" s="232" t="inlineStr">
        <is>
          <t>PRORRATEO</t>
        </is>
      </c>
      <c r="F2103" s="232" t="inlineStr">
        <is>
          <t>Santa Catalina</t>
        </is>
      </c>
      <c r="G2103" s="232" t="inlineStr">
        <is>
          <t>eureka 10,6 ha</t>
        </is>
      </c>
      <c r="H2103" s="232" t="inlineStr">
        <is>
          <t>Limon</t>
        </is>
      </c>
      <c r="I2103" s="232" t="inlineStr">
        <is>
          <t>Eureka</t>
        </is>
      </c>
      <c r="J2103" s="232" t="inlineStr">
        <is>
          <t>MANT. Y REP. CONSTRUCCIONES</t>
        </is>
      </c>
      <c r="K2103" s="232" t="inlineStr">
        <is>
          <t>MANTENCION INFRAESTRUCTURA</t>
        </is>
      </c>
      <c r="L2103" s="232" t="inlineStr">
        <is>
          <t>[PRORRATEO 7.1% 10.6há/148.3há] O/001400 PROYECTOR</t>
        </is>
      </c>
      <c r="M2103" s="232" t="inlineStr"/>
      <c r="N2103" s="232" t="inlineStr">
        <is>
          <t>.   .   -</t>
        </is>
      </c>
      <c r="O2103" s="232" t="inlineStr">
        <is>
          <t>FEBRERO</t>
        </is>
      </c>
      <c r="P2103" s="232" t="n">
        <v>7</v>
      </c>
      <c r="Q2103" s="234" t="n">
        <v>1671</v>
      </c>
      <c r="R2103" s="232" t="inlineStr"/>
      <c r="S2103" s="234" t="n">
        <v>1671</v>
      </c>
      <c r="T2103" s="232" t="inlineStr">
        <is>
          <t>CLP</t>
        </is>
      </c>
      <c r="U2103" s="232" t="inlineStr">
        <is>
          <t>Prorrateo Ha BODEGA</t>
        </is>
      </c>
      <c r="V2103" s="232" t="inlineStr">
        <is>
          <t>2026-06-18</t>
        </is>
      </c>
    </row>
    <row r="2104">
      <c r="A2104" s="232" t="inlineStr">
        <is>
          <t>CR-2101</t>
        </is>
      </c>
      <c r="B2104" s="232" t="inlineStr">
        <is>
          <t>2026/27</t>
        </is>
      </c>
      <c r="C2104" s="233" t="n">
        <v>46070</v>
      </c>
      <c r="D2104" s="232" t="inlineStr">
        <is>
          <t>879647</t>
        </is>
      </c>
      <c r="E2104" s="232" t="inlineStr">
        <is>
          <t>PRORRATEO</t>
        </is>
      </c>
      <c r="F2104" s="232" t="inlineStr">
        <is>
          <t>Santa Catalina</t>
        </is>
      </c>
      <c r="G2104" s="232" t="inlineStr">
        <is>
          <t>eureka 14,4 ha</t>
        </is>
      </c>
      <c r="H2104" s="232" t="inlineStr">
        <is>
          <t>Limon</t>
        </is>
      </c>
      <c r="I2104" s="232" t="inlineStr">
        <is>
          <t>Eureka</t>
        </is>
      </c>
      <c r="J2104" s="232" t="inlineStr">
        <is>
          <t>MANT. Y REP. CONSTRUCCIONES</t>
        </is>
      </c>
      <c r="K2104" s="232" t="inlineStr">
        <is>
          <t>MANTENCION INFRAESTRUCTURA</t>
        </is>
      </c>
      <c r="L2104" s="232" t="inlineStr">
        <is>
          <t>[PRORRATEO 9.7% 14.4há/148.3há] O/001400 PROYECTOR</t>
        </is>
      </c>
      <c r="M2104" s="232" t="inlineStr"/>
      <c r="N2104" s="232" t="inlineStr">
        <is>
          <t>.   .   -</t>
        </is>
      </c>
      <c r="O2104" s="232" t="inlineStr">
        <is>
          <t>FEBRERO</t>
        </is>
      </c>
      <c r="P2104" s="232" t="n">
        <v>7</v>
      </c>
      <c r="Q2104" s="234" t="n">
        <v>2270</v>
      </c>
      <c r="R2104" s="232" t="inlineStr"/>
      <c r="S2104" s="234" t="n">
        <v>2270</v>
      </c>
      <c r="T2104" s="232" t="inlineStr">
        <is>
          <t>CLP</t>
        </is>
      </c>
      <c r="U2104" s="232" t="inlineStr">
        <is>
          <t>Prorrateo Ha BODEGA</t>
        </is>
      </c>
      <c r="V2104" s="232" t="inlineStr">
        <is>
          <t>2026-06-18</t>
        </is>
      </c>
    </row>
    <row r="2105">
      <c r="A2105" s="232" t="inlineStr">
        <is>
          <t>CR-2102</t>
        </is>
      </c>
      <c r="B2105" s="232" t="inlineStr">
        <is>
          <t>2026/27</t>
        </is>
      </c>
      <c r="C2105" s="233" t="n">
        <v>46070</v>
      </c>
      <c r="D2105" s="232" t="inlineStr">
        <is>
          <t>879647</t>
        </is>
      </c>
      <c r="E2105" s="232" t="inlineStr">
        <is>
          <t>PRORRATEO</t>
        </is>
      </c>
      <c r="F2105" s="232" t="inlineStr">
        <is>
          <t>Santa Catalina</t>
        </is>
      </c>
      <c r="G2105" s="232" t="inlineStr">
        <is>
          <t>eureka 22,55</t>
        </is>
      </c>
      <c r="H2105" s="232" t="inlineStr">
        <is>
          <t>Limon</t>
        </is>
      </c>
      <c r="I2105" s="232" t="inlineStr">
        <is>
          <t>Eureka</t>
        </is>
      </c>
      <c r="J2105" s="232" t="inlineStr">
        <is>
          <t>MANT. Y REP. CONSTRUCCIONES</t>
        </is>
      </c>
      <c r="K2105" s="232" t="inlineStr">
        <is>
          <t>MANTENCION INFRAESTRUCTURA</t>
        </is>
      </c>
      <c r="L2105" s="232" t="inlineStr">
        <is>
          <t>[PRORRATEO 15.2% 22.55há/148.3há] O/001400 PROYECTOR</t>
        </is>
      </c>
      <c r="M2105" s="232" t="inlineStr"/>
      <c r="N2105" s="232" t="inlineStr">
        <is>
          <t>.   .   -</t>
        </is>
      </c>
      <c r="O2105" s="232" t="inlineStr">
        <is>
          <t>FEBRERO</t>
        </is>
      </c>
      <c r="P2105" s="232" t="n">
        <v>7</v>
      </c>
      <c r="Q2105" s="234" t="n">
        <v>3554</v>
      </c>
      <c r="R2105" s="232" t="inlineStr"/>
      <c r="S2105" s="234" t="n">
        <v>3554</v>
      </c>
      <c r="T2105" s="232" t="inlineStr">
        <is>
          <t>CLP</t>
        </is>
      </c>
      <c r="U2105" s="232" t="inlineStr">
        <is>
          <t>Prorrateo Ha BODEGA</t>
        </is>
      </c>
      <c r="V2105" s="232" t="inlineStr">
        <is>
          <t>2026-06-18</t>
        </is>
      </c>
    </row>
    <row r="2106">
      <c r="A2106" s="232" t="inlineStr">
        <is>
          <t>CR-2103</t>
        </is>
      </c>
      <c r="B2106" s="232" t="inlineStr">
        <is>
          <t>2026/27</t>
        </is>
      </c>
      <c r="C2106" s="233" t="n">
        <v>46070</v>
      </c>
      <c r="D2106" s="232" t="inlineStr">
        <is>
          <t>879647</t>
        </is>
      </c>
      <c r="E2106" s="232" t="inlineStr">
        <is>
          <t>PRORRATEO</t>
        </is>
      </c>
      <c r="F2106" s="232" t="inlineStr">
        <is>
          <t>Santa Catalina</t>
        </is>
      </c>
      <c r="G2106" s="232" t="inlineStr">
        <is>
          <t>form benjamin 1,93 ha</t>
        </is>
      </c>
      <c r="H2106" s="232" t="inlineStr">
        <is>
          <t>Limon</t>
        </is>
      </c>
      <c r="I2106" s="232" t="inlineStr">
        <is>
          <t>Benjamin andes</t>
        </is>
      </c>
      <c r="J2106" s="232" t="inlineStr">
        <is>
          <t>MANT. Y REP. CONSTRUCCIONES</t>
        </is>
      </c>
      <c r="K2106" s="232" t="inlineStr">
        <is>
          <t>MANTENCION INFRAESTRUCTURA</t>
        </is>
      </c>
      <c r="L2106" s="232" t="inlineStr">
        <is>
          <t>[PRORRATEO 1.3% 1.93há/148.3há] O/001400 PROYECTOR</t>
        </is>
      </c>
      <c r="M2106" s="232" t="inlineStr"/>
      <c r="N2106" s="232" t="inlineStr">
        <is>
          <t>.   .   -</t>
        </is>
      </c>
      <c r="O2106" s="232" t="inlineStr">
        <is>
          <t>FEBRERO</t>
        </is>
      </c>
      <c r="P2106" s="232" t="n">
        <v>7</v>
      </c>
      <c r="Q2106" s="234" t="n">
        <v>304</v>
      </c>
      <c r="R2106" s="232" t="inlineStr"/>
      <c r="S2106" s="234" t="n">
        <v>304</v>
      </c>
      <c r="T2106" s="232" t="inlineStr">
        <is>
          <t>CLP</t>
        </is>
      </c>
      <c r="U2106" s="232" t="inlineStr">
        <is>
          <t>Prorrateo Ha BODEGA</t>
        </is>
      </c>
      <c r="V2106" s="232" t="inlineStr">
        <is>
          <t>2026-06-18</t>
        </is>
      </c>
    </row>
    <row r="2107">
      <c r="A2107" s="232" t="inlineStr">
        <is>
          <t>CR-2104</t>
        </is>
      </c>
      <c r="B2107" s="232" t="inlineStr">
        <is>
          <t>2026/27</t>
        </is>
      </c>
      <c r="C2107" s="233" t="n">
        <v>46070</v>
      </c>
      <c r="D2107" s="232" t="inlineStr">
        <is>
          <t>879647</t>
        </is>
      </c>
      <c r="E2107" s="232" t="inlineStr">
        <is>
          <t>PRORRATEO</t>
        </is>
      </c>
      <c r="F2107" s="232" t="inlineStr">
        <is>
          <t>Santa Catalina</t>
        </is>
      </c>
      <c r="G2107" s="232" t="inlineStr">
        <is>
          <t>mant eureka 2,5 ha</t>
        </is>
      </c>
      <c r="H2107" s="232" t="inlineStr">
        <is>
          <t>Limon</t>
        </is>
      </c>
      <c r="I2107" s="232" t="inlineStr">
        <is>
          <t>Eureka</t>
        </is>
      </c>
      <c r="J2107" s="232" t="inlineStr">
        <is>
          <t>MANT. Y REP. CONSTRUCCIONES</t>
        </is>
      </c>
      <c r="K2107" s="232" t="inlineStr">
        <is>
          <t>MANTENCION INFRAESTRUCTURA</t>
        </is>
      </c>
      <c r="L2107" s="232" t="inlineStr">
        <is>
          <t>[PRORRATEO 1.7% 2.5há/148.3há] O/001400 PROYECTOR</t>
        </is>
      </c>
      <c r="M2107" s="232" t="inlineStr"/>
      <c r="N2107" s="232" t="inlineStr">
        <is>
          <t>.   .   -</t>
        </is>
      </c>
      <c r="O2107" s="232" t="inlineStr">
        <is>
          <t>FEBRERO</t>
        </is>
      </c>
      <c r="P2107" s="232" t="n">
        <v>7</v>
      </c>
      <c r="Q2107" s="234" t="n">
        <v>394</v>
      </c>
      <c r="R2107" s="232" t="inlineStr"/>
      <c r="S2107" s="234" t="n">
        <v>394</v>
      </c>
      <c r="T2107" s="232" t="inlineStr">
        <is>
          <t>CLP</t>
        </is>
      </c>
      <c r="U2107" s="232" t="inlineStr">
        <is>
          <t>Prorrateo Ha BODEGA</t>
        </is>
      </c>
      <c r="V2107" s="232" t="inlineStr">
        <is>
          <t>2026-06-18</t>
        </is>
      </c>
    </row>
    <row r="2108">
      <c r="A2108" s="232" t="inlineStr">
        <is>
          <t>CR-2105</t>
        </is>
      </c>
      <c r="B2108" s="232" t="inlineStr">
        <is>
          <t>2026/27</t>
        </is>
      </c>
      <c r="C2108" s="233" t="n">
        <v>46070</v>
      </c>
      <c r="D2108" s="232" t="inlineStr">
        <is>
          <t>879647</t>
        </is>
      </c>
      <c r="E2108" s="232" t="inlineStr">
        <is>
          <t>PRORRATEO</t>
        </is>
      </c>
      <c r="F2108" s="232" t="inlineStr">
        <is>
          <t>Siberia</t>
        </is>
      </c>
      <c r="G2108" s="232" t="inlineStr">
        <is>
          <t>S. Celebration 7,14</t>
        </is>
      </c>
      <c r="H2108" s="232" t="inlineStr">
        <is>
          <t>Uvas</t>
        </is>
      </c>
      <c r="I2108" s="232" t="inlineStr">
        <is>
          <t>S. celebration</t>
        </is>
      </c>
      <c r="J2108" s="232" t="inlineStr">
        <is>
          <t>MANT. Y REP. CONSTRUCCIONES</t>
        </is>
      </c>
      <c r="K2108" s="232" t="inlineStr">
        <is>
          <t>MANTENCION INFRAESTRUCTURA</t>
        </is>
      </c>
      <c r="L2108" s="232" t="inlineStr">
        <is>
          <t>[PRORRATEO 4.8% 7.14há/148.3há] O/001400 PROYECTOR</t>
        </is>
      </c>
      <c r="M2108" s="232" t="inlineStr"/>
      <c r="N2108" s="232" t="inlineStr">
        <is>
          <t>.   .   -</t>
        </is>
      </c>
      <c r="O2108" s="232" t="inlineStr">
        <is>
          <t>FEBRERO</t>
        </is>
      </c>
      <c r="P2108" s="232" t="n">
        <v>7</v>
      </c>
      <c r="Q2108" s="234" t="n">
        <v>1125</v>
      </c>
      <c r="R2108" s="232" t="inlineStr"/>
      <c r="S2108" s="234" t="n">
        <v>1125</v>
      </c>
      <c r="T2108" s="232" t="inlineStr">
        <is>
          <t>CLP</t>
        </is>
      </c>
      <c r="U2108" s="232" t="inlineStr">
        <is>
          <t>Prorrateo Ha BODEGA</t>
        </is>
      </c>
      <c r="V2108" s="232" t="inlineStr">
        <is>
          <t>2026-06-18</t>
        </is>
      </c>
    </row>
    <row r="2109">
      <c r="A2109" s="232" t="inlineStr">
        <is>
          <t>CR-2106</t>
        </is>
      </c>
      <c r="B2109" s="232" t="inlineStr">
        <is>
          <t>2026/27</t>
        </is>
      </c>
      <c r="C2109" s="233" t="n">
        <v>46070</v>
      </c>
      <c r="D2109" s="232" t="inlineStr">
        <is>
          <t>879647</t>
        </is>
      </c>
      <c r="E2109" s="232" t="inlineStr">
        <is>
          <t>PRORRATEO</t>
        </is>
      </c>
      <c r="F2109" s="232" t="inlineStr">
        <is>
          <t>Siberia</t>
        </is>
      </c>
      <c r="G2109" s="232" t="inlineStr">
        <is>
          <t>Timpson 7,1</t>
        </is>
      </c>
      <c r="H2109" s="232" t="inlineStr">
        <is>
          <t>Uvas</t>
        </is>
      </c>
      <c r="I2109" s="232" t="inlineStr">
        <is>
          <t>Timpson</t>
        </is>
      </c>
      <c r="J2109" s="232" t="inlineStr">
        <is>
          <t>MANT. Y REP. CONSTRUCCIONES</t>
        </is>
      </c>
      <c r="K2109" s="232" t="inlineStr">
        <is>
          <t>MANTENCION INFRAESTRUCTURA</t>
        </is>
      </c>
      <c r="L2109" s="232" t="inlineStr">
        <is>
          <t>[PRORRATEO 4.8% 7.1há/148.3há] O/001400 PROYECTOR</t>
        </is>
      </c>
      <c r="M2109" s="232" t="inlineStr"/>
      <c r="N2109" s="232" t="inlineStr">
        <is>
          <t>.   .   -</t>
        </is>
      </c>
      <c r="O2109" s="232" t="inlineStr">
        <is>
          <t>FEBRERO</t>
        </is>
      </c>
      <c r="P2109" s="232" t="n">
        <v>7</v>
      </c>
      <c r="Q2109" s="234" t="n">
        <v>1119</v>
      </c>
      <c r="R2109" s="232" t="inlineStr"/>
      <c r="S2109" s="234" t="n">
        <v>1119</v>
      </c>
      <c r="T2109" s="232" t="inlineStr">
        <is>
          <t>CLP</t>
        </is>
      </c>
      <c r="U2109" s="232" t="inlineStr">
        <is>
          <t>Prorrateo Ha BODEGA</t>
        </is>
      </c>
      <c r="V2109" s="232" t="inlineStr">
        <is>
          <t>2026-06-18</t>
        </is>
      </c>
    </row>
    <row r="2110">
      <c r="A2110" s="232" t="inlineStr">
        <is>
          <t>CR-2107</t>
        </is>
      </c>
      <c r="B2110" s="232" t="inlineStr">
        <is>
          <t>2026/27</t>
        </is>
      </c>
      <c r="C2110" s="233" t="n">
        <v>46070</v>
      </c>
      <c r="D2110" s="232" t="inlineStr">
        <is>
          <t>879711</t>
        </is>
      </c>
      <c r="E2110" s="232" t="inlineStr">
        <is>
          <t>PRORRATEO</t>
        </is>
      </c>
      <c r="F2110" s="232" t="inlineStr">
        <is>
          <t>Asmara</t>
        </is>
      </c>
      <c r="G2110" s="232" t="inlineStr">
        <is>
          <t>w. murcott 19,8 ha</t>
        </is>
      </c>
      <c r="H2110" s="232" t="inlineStr">
        <is>
          <t>Mandarina</t>
        </is>
      </c>
      <c r="I2110" s="232" t="inlineStr">
        <is>
          <t>W. murcott</t>
        </is>
      </c>
      <c r="J2110" s="232" t="inlineStr">
        <is>
          <t>MANT. Y REP. PLANTACIONES</t>
        </is>
      </c>
      <c r="K2110" s="232" t="inlineStr">
        <is>
          <t>MANTENCION HUERTO</t>
        </is>
      </c>
      <c r="L2110" s="232" t="inlineStr">
        <is>
          <t>[PRORRATEO 13.4% 19.8há/148.3há] O/001404 PROYECTOR</t>
        </is>
      </c>
      <c r="M2110" s="232" t="inlineStr"/>
      <c r="N2110" s="232" t="inlineStr">
        <is>
          <t>.   .   -</t>
        </is>
      </c>
      <c r="O2110" s="232" t="inlineStr">
        <is>
          <t>FEBRERO</t>
        </is>
      </c>
      <c r="P2110" s="232" t="n">
        <v>7</v>
      </c>
      <c r="Q2110" s="234" t="n">
        <v>6241</v>
      </c>
      <c r="R2110" s="232" t="inlineStr"/>
      <c r="S2110" s="234" t="n">
        <v>6241</v>
      </c>
      <c r="T2110" s="232" t="inlineStr">
        <is>
          <t>CLP</t>
        </is>
      </c>
      <c r="U2110" s="232" t="inlineStr">
        <is>
          <t>Prorrateo Ha BODEGA</t>
        </is>
      </c>
      <c r="V2110" s="232" t="inlineStr">
        <is>
          <t>2026-06-18</t>
        </is>
      </c>
    </row>
    <row r="2111">
      <c r="A2111" s="232" t="inlineStr">
        <is>
          <t>CR-2108</t>
        </is>
      </c>
      <c r="B2111" s="232" t="inlineStr">
        <is>
          <t>2026/27</t>
        </is>
      </c>
      <c r="C2111" s="233" t="n">
        <v>46070</v>
      </c>
      <c r="D2111" s="232" t="inlineStr">
        <is>
          <t>879711</t>
        </is>
      </c>
      <c r="E2111" s="232" t="inlineStr">
        <is>
          <t>PRORRATEO</t>
        </is>
      </c>
      <c r="F2111" s="232" t="inlineStr">
        <is>
          <t>Asmara</t>
        </is>
      </c>
      <c r="G2111" s="232" t="inlineStr">
        <is>
          <t>w. murcott 4,9 ha</t>
        </is>
      </c>
      <c r="H2111" s="232" t="inlineStr">
        <is>
          <t>Mandarina</t>
        </is>
      </c>
      <c r="I2111" s="232" t="inlineStr">
        <is>
          <t>W. murcott</t>
        </is>
      </c>
      <c r="J2111" s="232" t="inlineStr">
        <is>
          <t>MANT. Y REP. PLANTACIONES</t>
        </is>
      </c>
      <c r="K2111" s="232" t="inlineStr">
        <is>
          <t>MANTENCION HUERTO</t>
        </is>
      </c>
      <c r="L2111" s="232" t="inlineStr">
        <is>
          <t>[PRORRATEO 3.3% 4.9há/148.3há] O/001404 PROYECTOR</t>
        </is>
      </c>
      <c r="M2111" s="232" t="inlineStr"/>
      <c r="N2111" s="232" t="inlineStr">
        <is>
          <t>.   .   -</t>
        </is>
      </c>
      <c r="O2111" s="232" t="inlineStr">
        <is>
          <t>FEBRERO</t>
        </is>
      </c>
      <c r="P2111" s="232" t="n">
        <v>7</v>
      </c>
      <c r="Q2111" s="234" t="n">
        <v>1545</v>
      </c>
      <c r="R2111" s="232" t="inlineStr"/>
      <c r="S2111" s="234" t="n">
        <v>1545</v>
      </c>
      <c r="T2111" s="232" t="inlineStr">
        <is>
          <t>CLP</t>
        </is>
      </c>
      <c r="U2111" s="232" t="inlineStr">
        <is>
          <t>Prorrateo Ha BODEGA</t>
        </is>
      </c>
      <c r="V2111" s="232" t="inlineStr">
        <is>
          <t>2026-06-18</t>
        </is>
      </c>
    </row>
    <row r="2112">
      <c r="A2112" s="232" t="inlineStr">
        <is>
          <t>CR-2109</t>
        </is>
      </c>
      <c r="B2112" s="232" t="inlineStr">
        <is>
          <t>2026/27</t>
        </is>
      </c>
      <c r="C2112" s="233" t="n">
        <v>46070</v>
      </c>
      <c r="D2112" s="232" t="inlineStr">
        <is>
          <t>879711</t>
        </is>
      </c>
      <c r="E2112" s="232" t="inlineStr">
        <is>
          <t>PRORRATEO</t>
        </is>
      </c>
      <c r="F2112" s="232" t="inlineStr">
        <is>
          <t>El Molle</t>
        </is>
      </c>
      <c r="G2112" s="232" t="inlineStr">
        <is>
          <t>Wonderful 5,25 ha</t>
        </is>
      </c>
      <c r="H2112" s="232" t="inlineStr">
        <is>
          <t>Granados</t>
        </is>
      </c>
      <c r="I2112" s="232" t="inlineStr">
        <is>
          <t>Wonderfull</t>
        </is>
      </c>
      <c r="J2112" s="232" t="inlineStr">
        <is>
          <t>MANT. Y REP. PLANTACIONES</t>
        </is>
      </c>
      <c r="K2112" s="232" t="inlineStr">
        <is>
          <t>MANTENCION HUERTO</t>
        </is>
      </c>
      <c r="L2112" s="232" t="inlineStr">
        <is>
          <t>[PRORRATEO 3.5% 5.24há/148.3há] O/001404 PROYECTOR</t>
        </is>
      </c>
      <c r="M2112" s="232" t="inlineStr"/>
      <c r="N2112" s="232" t="inlineStr">
        <is>
          <t>.   .   -</t>
        </is>
      </c>
      <c r="O2112" s="232" t="inlineStr">
        <is>
          <t>FEBRERO</t>
        </is>
      </c>
      <c r="P2112" s="232" t="n">
        <v>7</v>
      </c>
      <c r="Q2112" s="234" t="n">
        <v>1652</v>
      </c>
      <c r="R2112" s="232" t="inlineStr"/>
      <c r="S2112" s="234" t="n">
        <v>1652</v>
      </c>
      <c r="T2112" s="232" t="inlineStr">
        <is>
          <t>CLP</t>
        </is>
      </c>
      <c r="U2112" s="232" t="inlineStr">
        <is>
          <t>Prorrateo Ha BODEGA</t>
        </is>
      </c>
      <c r="V2112" s="232" t="inlineStr">
        <is>
          <t>2026-06-18</t>
        </is>
      </c>
    </row>
    <row r="2113">
      <c r="A2113" s="232" t="inlineStr">
        <is>
          <t>CR-2110</t>
        </is>
      </c>
      <c r="B2113" s="232" t="inlineStr">
        <is>
          <t>2026/27</t>
        </is>
      </c>
      <c r="C2113" s="233" t="n">
        <v>46070</v>
      </c>
      <c r="D2113" s="232" t="inlineStr">
        <is>
          <t>879711</t>
        </is>
      </c>
      <c r="E2113" s="232" t="inlineStr">
        <is>
          <t>PRORRATEO</t>
        </is>
      </c>
      <c r="F2113" s="232" t="inlineStr">
        <is>
          <t>El Molle</t>
        </is>
      </c>
      <c r="G2113" s="232" t="inlineStr">
        <is>
          <t>arrufatinas 5,74 ha</t>
        </is>
      </c>
      <c r="H2113" s="232" t="inlineStr">
        <is>
          <t>Clementinas</t>
        </is>
      </c>
      <c r="I2113" s="232" t="inlineStr">
        <is>
          <t>Arrufatinas</t>
        </is>
      </c>
      <c r="J2113" s="232" t="inlineStr">
        <is>
          <t>MANT. Y REP. PLANTACIONES</t>
        </is>
      </c>
      <c r="K2113" s="232" t="inlineStr">
        <is>
          <t>MANTENCION HUERTO</t>
        </is>
      </c>
      <c r="L2113" s="232" t="inlineStr">
        <is>
          <t>[PRORRATEO 3.9% 5.74há/148.3há] O/001404 PROYECTOR</t>
        </is>
      </c>
      <c r="M2113" s="232" t="inlineStr"/>
      <c r="N2113" s="232" t="inlineStr">
        <is>
          <t>.   .   -</t>
        </is>
      </c>
      <c r="O2113" s="232" t="inlineStr">
        <is>
          <t>FEBRERO</t>
        </is>
      </c>
      <c r="P2113" s="232" t="n">
        <v>7</v>
      </c>
      <c r="Q2113" s="234" t="n">
        <v>1809</v>
      </c>
      <c r="R2113" s="232" t="inlineStr"/>
      <c r="S2113" s="234" t="n">
        <v>1809</v>
      </c>
      <c r="T2113" s="232" t="inlineStr">
        <is>
          <t>CLP</t>
        </is>
      </c>
      <c r="U2113" s="232" t="inlineStr">
        <is>
          <t>Prorrateo Ha BODEGA</t>
        </is>
      </c>
      <c r="V2113" s="232" t="inlineStr">
        <is>
          <t>2026-06-18</t>
        </is>
      </c>
    </row>
    <row r="2114">
      <c r="A2114" s="232" t="inlineStr">
        <is>
          <t>CR-2111</t>
        </is>
      </c>
      <c r="B2114" s="232" t="inlineStr">
        <is>
          <t>2026/27</t>
        </is>
      </c>
      <c r="C2114" s="233" t="n">
        <v>46070</v>
      </c>
      <c r="D2114" s="232" t="inlineStr">
        <is>
          <t>879711</t>
        </is>
      </c>
      <c r="E2114" s="232" t="inlineStr">
        <is>
          <t>PRORRATEO</t>
        </is>
      </c>
      <c r="F2114" s="232" t="inlineStr">
        <is>
          <t>El Molle</t>
        </is>
      </c>
      <c r="G2114" s="232" t="inlineStr">
        <is>
          <t>orogrande 8,11 ha</t>
        </is>
      </c>
      <c r="H2114" s="232" t="inlineStr">
        <is>
          <t>Clementinas</t>
        </is>
      </c>
      <c r="I2114" s="232" t="inlineStr">
        <is>
          <t>Orogrande</t>
        </is>
      </c>
      <c r="J2114" s="232" t="inlineStr">
        <is>
          <t>MANT. Y REP. PLANTACIONES</t>
        </is>
      </c>
      <c r="K2114" s="232" t="inlineStr">
        <is>
          <t>MANTENCION HUERTO</t>
        </is>
      </c>
      <c r="L2114" s="232" t="inlineStr">
        <is>
          <t>[PRORRATEO 5.5% 8.11há/148.3há] O/001404 PROYECTOR</t>
        </is>
      </c>
      <c r="M2114" s="232" t="inlineStr"/>
      <c r="N2114" s="232" t="inlineStr">
        <is>
          <t>.   .   -</t>
        </is>
      </c>
      <c r="O2114" s="232" t="inlineStr">
        <is>
          <t>FEBRERO</t>
        </is>
      </c>
      <c r="P2114" s="232" t="n">
        <v>7</v>
      </c>
      <c r="Q2114" s="234" t="n">
        <v>2556</v>
      </c>
      <c r="R2114" s="232" t="inlineStr"/>
      <c r="S2114" s="234" t="n">
        <v>2556</v>
      </c>
      <c r="T2114" s="232" t="inlineStr">
        <is>
          <t>CLP</t>
        </is>
      </c>
      <c r="U2114" s="232" t="inlineStr">
        <is>
          <t>Prorrateo Ha BODEGA</t>
        </is>
      </c>
      <c r="V2114" s="232" t="inlineStr">
        <is>
          <t>2026-06-18</t>
        </is>
      </c>
    </row>
    <row r="2115">
      <c r="A2115" s="232" t="inlineStr">
        <is>
          <t>CR-2112</t>
        </is>
      </c>
      <c r="B2115" s="232" t="inlineStr">
        <is>
          <t>2026/27</t>
        </is>
      </c>
      <c r="C2115" s="233" t="n">
        <v>46070</v>
      </c>
      <c r="D2115" s="232" t="inlineStr">
        <is>
          <t>879711</t>
        </is>
      </c>
      <c r="E2115" s="232" t="inlineStr">
        <is>
          <t>PRORRATEO</t>
        </is>
      </c>
      <c r="F2115" s="232" t="inlineStr">
        <is>
          <t>El Molle</t>
        </is>
      </c>
      <c r="G2115" s="232" t="inlineStr">
        <is>
          <t>oronules 5,35 ha</t>
        </is>
      </c>
      <c r="H2115" s="232" t="inlineStr">
        <is>
          <t>Clementinas</t>
        </is>
      </c>
      <c r="I2115" s="232" t="inlineStr">
        <is>
          <t>Oronules</t>
        </is>
      </c>
      <c r="J2115" s="232" t="inlineStr">
        <is>
          <t>MANT. Y REP. PLANTACIONES</t>
        </is>
      </c>
      <c r="K2115" s="232" t="inlineStr">
        <is>
          <t>MANTENCION HUERTO</t>
        </is>
      </c>
      <c r="L2115" s="232" t="inlineStr">
        <is>
          <t>[PRORRATEO 3.6% 5.35há/148.3há] O/001404 PROYECTOR</t>
        </is>
      </c>
      <c r="M2115" s="232" t="inlineStr"/>
      <c r="N2115" s="232" t="inlineStr">
        <is>
          <t>.   .   -</t>
        </is>
      </c>
      <c r="O2115" s="232" t="inlineStr">
        <is>
          <t>FEBRERO</t>
        </is>
      </c>
      <c r="P2115" s="232" t="n">
        <v>7</v>
      </c>
      <c r="Q2115" s="234" t="n">
        <v>1686</v>
      </c>
      <c r="R2115" s="232" t="inlineStr"/>
      <c r="S2115" s="234" t="n">
        <v>1686</v>
      </c>
      <c r="T2115" s="232" t="inlineStr">
        <is>
          <t>CLP</t>
        </is>
      </c>
      <c r="U2115" s="232" t="inlineStr">
        <is>
          <t>Prorrateo Ha BODEGA</t>
        </is>
      </c>
      <c r="V2115" s="232" t="inlineStr">
        <is>
          <t>2026-06-18</t>
        </is>
      </c>
    </row>
    <row r="2116">
      <c r="A2116" s="232" t="inlineStr">
        <is>
          <t>CR-2113</t>
        </is>
      </c>
      <c r="B2116" s="232" t="inlineStr">
        <is>
          <t>2026/27</t>
        </is>
      </c>
      <c r="C2116" s="233" t="n">
        <v>46070</v>
      </c>
      <c r="D2116" s="232" t="inlineStr">
        <is>
          <t>879711</t>
        </is>
      </c>
      <c r="E2116" s="232" t="inlineStr">
        <is>
          <t>PRORRATEO</t>
        </is>
      </c>
      <c r="F2116" s="232" t="inlineStr">
        <is>
          <t>Santa Catalina</t>
        </is>
      </c>
      <c r="G2116" s="232" t="inlineStr">
        <is>
          <t>Fino 49 7,7 ha</t>
        </is>
      </c>
      <c r="H2116" s="232" t="inlineStr">
        <is>
          <t>Limon</t>
        </is>
      </c>
      <c r="I2116" s="232" t="inlineStr">
        <is>
          <t>Fino 49</t>
        </is>
      </c>
      <c r="J2116" s="232" t="inlineStr">
        <is>
          <t>MANT. Y REP. PLANTACIONES</t>
        </is>
      </c>
      <c r="K2116" s="232" t="inlineStr">
        <is>
          <t>MANTENCION HUERTO</t>
        </is>
      </c>
      <c r="L2116" s="232" t="inlineStr">
        <is>
          <t>[PRORRATEO 5.2% 7.7há/148.3há] O/001404 PROYECTOR</t>
        </is>
      </c>
      <c r="M2116" s="232" t="inlineStr"/>
      <c r="N2116" s="232" t="inlineStr">
        <is>
          <t>.   .   -</t>
        </is>
      </c>
      <c r="O2116" s="232" t="inlineStr">
        <is>
          <t>FEBRERO</t>
        </is>
      </c>
      <c r="P2116" s="232" t="n">
        <v>7</v>
      </c>
      <c r="Q2116" s="234" t="n">
        <v>2427</v>
      </c>
      <c r="R2116" s="232" t="inlineStr"/>
      <c r="S2116" s="234" t="n">
        <v>2427</v>
      </c>
      <c r="T2116" s="232" t="inlineStr">
        <is>
          <t>CLP</t>
        </is>
      </c>
      <c r="U2116" s="232" t="inlineStr">
        <is>
          <t>Prorrateo Ha BODEGA</t>
        </is>
      </c>
      <c r="V2116" s="232" t="inlineStr">
        <is>
          <t>2026-06-18</t>
        </is>
      </c>
    </row>
    <row r="2117">
      <c r="A2117" s="232" t="inlineStr">
        <is>
          <t>CR-2114</t>
        </is>
      </c>
      <c r="B2117" s="232" t="inlineStr">
        <is>
          <t>2026/27</t>
        </is>
      </c>
      <c r="C2117" s="233" t="n">
        <v>46070</v>
      </c>
      <c r="D2117" s="232" t="inlineStr">
        <is>
          <t>879711</t>
        </is>
      </c>
      <c r="E2117" s="232" t="inlineStr">
        <is>
          <t>PRORRATEO</t>
        </is>
      </c>
      <c r="F2117" s="232" t="inlineStr">
        <is>
          <t>Santa Catalina</t>
        </is>
      </c>
      <c r="G2117" s="232" t="inlineStr">
        <is>
          <t>W. murcott 21 ha</t>
        </is>
      </c>
      <c r="H2117" s="232" t="inlineStr">
        <is>
          <t>Mandarina</t>
        </is>
      </c>
      <c r="I2117" s="232" t="inlineStr">
        <is>
          <t>W. murcott</t>
        </is>
      </c>
      <c r="J2117" s="232" t="inlineStr">
        <is>
          <t>MANT. Y REP. PLANTACIONES</t>
        </is>
      </c>
      <c r="K2117" s="232" t="inlineStr">
        <is>
          <t>MANTENCION HUERTO</t>
        </is>
      </c>
      <c r="L2117" s="232" t="inlineStr">
        <is>
          <t>[PRORRATEO 14.2% 21.0há/148.3há] O/001404 PROYECTOR</t>
        </is>
      </c>
      <c r="M2117" s="232" t="inlineStr"/>
      <c r="N2117" s="232" t="inlineStr">
        <is>
          <t>.   .   -</t>
        </is>
      </c>
      <c r="O2117" s="232" t="inlineStr">
        <is>
          <t>FEBRERO</t>
        </is>
      </c>
      <c r="P2117" s="232" t="n">
        <v>7</v>
      </c>
      <c r="Q2117" s="234" t="n">
        <v>6620</v>
      </c>
      <c r="R2117" s="232" t="inlineStr"/>
      <c r="S2117" s="234" t="n">
        <v>6620</v>
      </c>
      <c r="T2117" s="232" t="inlineStr">
        <is>
          <t>CLP</t>
        </is>
      </c>
      <c r="U2117" s="232" t="inlineStr">
        <is>
          <t>Prorrateo Ha BODEGA</t>
        </is>
      </c>
      <c r="V2117" s="232" t="inlineStr">
        <is>
          <t>2026-06-18</t>
        </is>
      </c>
    </row>
    <row r="2118">
      <c r="A2118" s="232" t="inlineStr">
        <is>
          <t>CR-2115</t>
        </is>
      </c>
      <c r="B2118" s="232" t="inlineStr">
        <is>
          <t>2026/27</t>
        </is>
      </c>
      <c r="C2118" s="233" t="n">
        <v>46070</v>
      </c>
      <c r="D2118" s="232" t="inlineStr">
        <is>
          <t>879711</t>
        </is>
      </c>
      <c r="E2118" s="232" t="inlineStr">
        <is>
          <t>PRORRATEO</t>
        </is>
      </c>
      <c r="F2118" s="232" t="inlineStr">
        <is>
          <t>Santa Catalina</t>
        </is>
      </c>
      <c r="G2118" s="232" t="inlineStr">
        <is>
          <t>cambria 4,2 ha</t>
        </is>
      </c>
      <c r="H2118" s="232" t="inlineStr">
        <is>
          <t>Naranjas</t>
        </is>
      </c>
      <c r="I2118" s="232" t="inlineStr">
        <is>
          <t>Cambria</t>
        </is>
      </c>
      <c r="J2118" s="232" t="inlineStr">
        <is>
          <t>MANT. Y REP. PLANTACIONES</t>
        </is>
      </c>
      <c r="K2118" s="232" t="inlineStr">
        <is>
          <t>MANTENCION HUERTO</t>
        </is>
      </c>
      <c r="L2118" s="232" t="inlineStr">
        <is>
          <t>[PRORRATEO 2.8% 4.2há/148.3há] O/001404 PROYECTOR</t>
        </is>
      </c>
      <c r="M2118" s="232" t="inlineStr"/>
      <c r="N2118" s="232" t="inlineStr">
        <is>
          <t>.   .   -</t>
        </is>
      </c>
      <c r="O2118" s="232" t="inlineStr">
        <is>
          <t>FEBRERO</t>
        </is>
      </c>
      <c r="P2118" s="232" t="n">
        <v>7</v>
      </c>
      <c r="Q2118" s="234" t="n">
        <v>1324</v>
      </c>
      <c r="R2118" s="232" t="inlineStr"/>
      <c r="S2118" s="234" t="n">
        <v>1324</v>
      </c>
      <c r="T2118" s="232" t="inlineStr">
        <is>
          <t>CLP</t>
        </is>
      </c>
      <c r="U2118" s="232" t="inlineStr">
        <is>
          <t>Prorrateo Ha BODEGA</t>
        </is>
      </c>
      <c r="V2118" s="232" t="inlineStr">
        <is>
          <t>2026-06-18</t>
        </is>
      </c>
    </row>
    <row r="2119">
      <c r="A2119" s="232" t="inlineStr">
        <is>
          <t>CR-2116</t>
        </is>
      </c>
      <c r="B2119" s="232" t="inlineStr">
        <is>
          <t>2026/27</t>
        </is>
      </c>
      <c r="C2119" s="233" t="n">
        <v>46070</v>
      </c>
      <c r="D2119" s="232" t="inlineStr">
        <is>
          <t>879711</t>
        </is>
      </c>
      <c r="E2119" s="232" t="inlineStr">
        <is>
          <t>PRORRATEO</t>
        </is>
      </c>
      <c r="F2119" s="232" t="inlineStr">
        <is>
          <t>Santa Catalina</t>
        </is>
      </c>
      <c r="G2119" s="232" t="inlineStr">
        <is>
          <t>eureka 10,6 ha</t>
        </is>
      </c>
      <c r="H2119" s="232" t="inlineStr">
        <is>
          <t>Limon</t>
        </is>
      </c>
      <c r="I2119" s="232" t="inlineStr">
        <is>
          <t>Eureka</t>
        </is>
      </c>
      <c r="J2119" s="232" t="inlineStr">
        <is>
          <t>MANT. Y REP. PLANTACIONES</t>
        </is>
      </c>
      <c r="K2119" s="232" t="inlineStr">
        <is>
          <t>MANTENCION HUERTO</t>
        </is>
      </c>
      <c r="L2119" s="232" t="inlineStr">
        <is>
          <t>[PRORRATEO 7.1% 10.6há/148.3há] O/001404 PROYECTOR</t>
        </is>
      </c>
      <c r="M2119" s="232" t="inlineStr"/>
      <c r="N2119" s="232" t="inlineStr">
        <is>
          <t>.   .   -</t>
        </is>
      </c>
      <c r="O2119" s="232" t="inlineStr">
        <is>
          <t>FEBRERO</t>
        </is>
      </c>
      <c r="P2119" s="232" t="n">
        <v>7</v>
      </c>
      <c r="Q2119" s="234" t="n">
        <v>3341</v>
      </c>
      <c r="R2119" s="232" t="inlineStr"/>
      <c r="S2119" s="234" t="n">
        <v>3341</v>
      </c>
      <c r="T2119" s="232" t="inlineStr">
        <is>
          <t>CLP</t>
        </is>
      </c>
      <c r="U2119" s="232" t="inlineStr">
        <is>
          <t>Prorrateo Ha BODEGA</t>
        </is>
      </c>
      <c r="V2119" s="232" t="inlineStr">
        <is>
          <t>2026-06-18</t>
        </is>
      </c>
    </row>
    <row r="2120">
      <c r="A2120" s="232" t="inlineStr">
        <is>
          <t>CR-2117</t>
        </is>
      </c>
      <c r="B2120" s="232" t="inlineStr">
        <is>
          <t>2026/27</t>
        </is>
      </c>
      <c r="C2120" s="233" t="n">
        <v>46070</v>
      </c>
      <c r="D2120" s="232" t="inlineStr">
        <is>
          <t>879711</t>
        </is>
      </c>
      <c r="E2120" s="232" t="inlineStr">
        <is>
          <t>PRORRATEO</t>
        </is>
      </c>
      <c r="F2120" s="232" t="inlineStr">
        <is>
          <t>Santa Catalina</t>
        </is>
      </c>
      <c r="G2120" s="232" t="inlineStr">
        <is>
          <t>eureka 14,4 ha</t>
        </is>
      </c>
      <c r="H2120" s="232" t="inlineStr">
        <is>
          <t>Limon</t>
        </is>
      </c>
      <c r="I2120" s="232" t="inlineStr">
        <is>
          <t>Eureka</t>
        </is>
      </c>
      <c r="J2120" s="232" t="inlineStr">
        <is>
          <t>MANT. Y REP. PLANTACIONES</t>
        </is>
      </c>
      <c r="K2120" s="232" t="inlineStr">
        <is>
          <t>MANTENCION HUERTO</t>
        </is>
      </c>
      <c r="L2120" s="232" t="inlineStr">
        <is>
          <t>[PRORRATEO 9.7% 14.4há/148.3há] O/001404 PROYECTOR</t>
        </is>
      </c>
      <c r="M2120" s="232" t="inlineStr"/>
      <c r="N2120" s="232" t="inlineStr">
        <is>
          <t>.   .   -</t>
        </is>
      </c>
      <c r="O2120" s="232" t="inlineStr">
        <is>
          <t>FEBRERO</t>
        </is>
      </c>
      <c r="P2120" s="232" t="n">
        <v>7</v>
      </c>
      <c r="Q2120" s="234" t="n">
        <v>4539</v>
      </c>
      <c r="R2120" s="232" t="inlineStr"/>
      <c r="S2120" s="234" t="n">
        <v>4539</v>
      </c>
      <c r="T2120" s="232" t="inlineStr">
        <is>
          <t>CLP</t>
        </is>
      </c>
      <c r="U2120" s="232" t="inlineStr">
        <is>
          <t>Prorrateo Ha BODEGA</t>
        </is>
      </c>
      <c r="V2120" s="232" t="inlineStr">
        <is>
          <t>2026-06-18</t>
        </is>
      </c>
    </row>
    <row r="2121">
      <c r="A2121" s="232" t="inlineStr">
        <is>
          <t>CR-2118</t>
        </is>
      </c>
      <c r="B2121" s="232" t="inlineStr">
        <is>
          <t>2026/27</t>
        </is>
      </c>
      <c r="C2121" s="233" t="n">
        <v>46070</v>
      </c>
      <c r="D2121" s="232" t="inlineStr">
        <is>
          <t>879711</t>
        </is>
      </c>
      <c r="E2121" s="232" t="inlineStr">
        <is>
          <t>PRORRATEO</t>
        </is>
      </c>
      <c r="F2121" s="232" t="inlineStr">
        <is>
          <t>Santa Catalina</t>
        </is>
      </c>
      <c r="G2121" s="232" t="inlineStr">
        <is>
          <t>eureka 22,55</t>
        </is>
      </c>
      <c r="H2121" s="232" t="inlineStr">
        <is>
          <t>Limon</t>
        </is>
      </c>
      <c r="I2121" s="232" t="inlineStr">
        <is>
          <t>Eureka</t>
        </is>
      </c>
      <c r="J2121" s="232" t="inlineStr">
        <is>
          <t>MANT. Y REP. PLANTACIONES</t>
        </is>
      </c>
      <c r="K2121" s="232" t="inlineStr">
        <is>
          <t>MANTENCION HUERTO</t>
        </is>
      </c>
      <c r="L2121" s="232" t="inlineStr">
        <is>
          <t>[PRORRATEO 15.2% 22.55há/148.3há] O/001404 PROYECTOR</t>
        </is>
      </c>
      <c r="M2121" s="232" t="inlineStr"/>
      <c r="N2121" s="232" t="inlineStr">
        <is>
          <t>.   .   -</t>
        </is>
      </c>
      <c r="O2121" s="232" t="inlineStr">
        <is>
          <t>FEBRERO</t>
        </is>
      </c>
      <c r="P2121" s="232" t="n">
        <v>7</v>
      </c>
      <c r="Q2121" s="234" t="n">
        <v>7108</v>
      </c>
      <c r="R2121" s="232" t="inlineStr"/>
      <c r="S2121" s="234" t="n">
        <v>7108</v>
      </c>
      <c r="T2121" s="232" t="inlineStr">
        <is>
          <t>CLP</t>
        </is>
      </c>
      <c r="U2121" s="232" t="inlineStr">
        <is>
          <t>Prorrateo Ha BODEGA</t>
        </is>
      </c>
      <c r="V2121" s="232" t="inlineStr">
        <is>
          <t>2026-06-18</t>
        </is>
      </c>
    </row>
    <row r="2122">
      <c r="A2122" s="232" t="inlineStr">
        <is>
          <t>CR-2119</t>
        </is>
      </c>
      <c r="B2122" s="232" t="inlineStr">
        <is>
          <t>2026/27</t>
        </is>
      </c>
      <c r="C2122" s="233" t="n">
        <v>46070</v>
      </c>
      <c r="D2122" s="232" t="inlineStr">
        <is>
          <t>879711</t>
        </is>
      </c>
      <c r="E2122" s="232" t="inlineStr">
        <is>
          <t>PRORRATEO</t>
        </is>
      </c>
      <c r="F2122" s="232" t="inlineStr">
        <is>
          <t>Santa Catalina</t>
        </is>
      </c>
      <c r="G2122" s="232" t="inlineStr">
        <is>
          <t>form benjamin 1,93 ha</t>
        </is>
      </c>
      <c r="H2122" s="232" t="inlineStr">
        <is>
          <t>Limon</t>
        </is>
      </c>
      <c r="I2122" s="232" t="inlineStr">
        <is>
          <t>Benjamin andes</t>
        </is>
      </c>
      <c r="J2122" s="232" t="inlineStr">
        <is>
          <t>MANT. Y REP. PLANTACIONES</t>
        </is>
      </c>
      <c r="K2122" s="232" t="inlineStr">
        <is>
          <t>MANTENCION HUERTO</t>
        </is>
      </c>
      <c r="L2122" s="232" t="inlineStr">
        <is>
          <t>[PRORRATEO 1.3% 1.93há/148.3há] O/001404 PROYECTOR</t>
        </is>
      </c>
      <c r="M2122" s="232" t="inlineStr"/>
      <c r="N2122" s="232" t="inlineStr">
        <is>
          <t>.   .   -</t>
        </is>
      </c>
      <c r="O2122" s="232" t="inlineStr">
        <is>
          <t>FEBRERO</t>
        </is>
      </c>
      <c r="P2122" s="232" t="n">
        <v>7</v>
      </c>
      <c r="Q2122" s="234" t="n">
        <v>608</v>
      </c>
      <c r="R2122" s="232" t="inlineStr"/>
      <c r="S2122" s="234" t="n">
        <v>608</v>
      </c>
      <c r="T2122" s="232" t="inlineStr">
        <is>
          <t>CLP</t>
        </is>
      </c>
      <c r="U2122" s="232" t="inlineStr">
        <is>
          <t>Prorrateo Ha BODEGA</t>
        </is>
      </c>
      <c r="V2122" s="232" t="inlineStr">
        <is>
          <t>2026-06-18</t>
        </is>
      </c>
    </row>
    <row r="2123">
      <c r="A2123" s="232" t="inlineStr">
        <is>
          <t>CR-2120</t>
        </is>
      </c>
      <c r="B2123" s="232" t="inlineStr">
        <is>
          <t>2026/27</t>
        </is>
      </c>
      <c r="C2123" s="233" t="n">
        <v>46070</v>
      </c>
      <c r="D2123" s="232" t="inlineStr">
        <is>
          <t>879711</t>
        </is>
      </c>
      <c r="E2123" s="232" t="inlineStr">
        <is>
          <t>PRORRATEO</t>
        </is>
      </c>
      <c r="F2123" s="232" t="inlineStr">
        <is>
          <t>Santa Catalina</t>
        </is>
      </c>
      <c r="G2123" s="232" t="inlineStr">
        <is>
          <t>mant eureka 2,5 ha</t>
        </is>
      </c>
      <c r="H2123" s="232" t="inlineStr">
        <is>
          <t>Limon</t>
        </is>
      </c>
      <c r="I2123" s="232" t="inlineStr">
        <is>
          <t>Eureka</t>
        </is>
      </c>
      <c r="J2123" s="232" t="inlineStr">
        <is>
          <t>MANT. Y REP. PLANTACIONES</t>
        </is>
      </c>
      <c r="K2123" s="232" t="inlineStr">
        <is>
          <t>MANTENCION HUERTO</t>
        </is>
      </c>
      <c r="L2123" s="232" t="inlineStr">
        <is>
          <t>[PRORRATEO 1.7% 2.5há/148.3há] O/001404 PROYECTOR</t>
        </is>
      </c>
      <c r="M2123" s="232" t="inlineStr"/>
      <c r="N2123" s="232" t="inlineStr">
        <is>
          <t>.   .   -</t>
        </is>
      </c>
      <c r="O2123" s="232" t="inlineStr">
        <is>
          <t>FEBRERO</t>
        </is>
      </c>
      <c r="P2123" s="232" t="n">
        <v>7</v>
      </c>
      <c r="Q2123" s="234" t="n">
        <v>788</v>
      </c>
      <c r="R2123" s="232" t="inlineStr"/>
      <c r="S2123" s="234" t="n">
        <v>788</v>
      </c>
      <c r="T2123" s="232" t="inlineStr">
        <is>
          <t>CLP</t>
        </is>
      </c>
      <c r="U2123" s="232" t="inlineStr">
        <is>
          <t>Prorrateo Ha BODEGA</t>
        </is>
      </c>
      <c r="V2123" s="232" t="inlineStr">
        <is>
          <t>2026-06-18</t>
        </is>
      </c>
    </row>
    <row r="2124">
      <c r="A2124" s="232" t="inlineStr">
        <is>
          <t>CR-2121</t>
        </is>
      </c>
      <c r="B2124" s="232" t="inlineStr">
        <is>
          <t>2026/27</t>
        </is>
      </c>
      <c r="C2124" s="233" t="n">
        <v>46070</v>
      </c>
      <c r="D2124" s="232" t="inlineStr">
        <is>
          <t>879711</t>
        </is>
      </c>
      <c r="E2124" s="232" t="inlineStr">
        <is>
          <t>PRORRATEO</t>
        </is>
      </c>
      <c r="F2124" s="232" t="inlineStr">
        <is>
          <t>Siberia</t>
        </is>
      </c>
      <c r="G2124" s="232" t="inlineStr">
        <is>
          <t>S. Celebration 7,14</t>
        </is>
      </c>
      <c r="H2124" s="232" t="inlineStr">
        <is>
          <t>Uvas</t>
        </is>
      </c>
      <c r="I2124" s="232" t="inlineStr">
        <is>
          <t>S. celebration</t>
        </is>
      </c>
      <c r="J2124" s="232" t="inlineStr">
        <is>
          <t>MANT. Y REP. PLANTACIONES</t>
        </is>
      </c>
      <c r="K2124" s="232" t="inlineStr">
        <is>
          <t>MANTENCION HUERTO</t>
        </is>
      </c>
      <c r="L2124" s="232" t="inlineStr">
        <is>
          <t>[PRORRATEO 4.8% 7.14há/148.3há] O/001404 PROYECTOR</t>
        </is>
      </c>
      <c r="M2124" s="232" t="inlineStr"/>
      <c r="N2124" s="232" t="inlineStr">
        <is>
          <t>.   .   -</t>
        </is>
      </c>
      <c r="O2124" s="232" t="inlineStr">
        <is>
          <t>FEBRERO</t>
        </is>
      </c>
      <c r="P2124" s="232" t="n">
        <v>7</v>
      </c>
      <c r="Q2124" s="234" t="n">
        <v>2251</v>
      </c>
      <c r="R2124" s="232" t="inlineStr"/>
      <c r="S2124" s="234" t="n">
        <v>2251</v>
      </c>
      <c r="T2124" s="232" t="inlineStr">
        <is>
          <t>CLP</t>
        </is>
      </c>
      <c r="U2124" s="232" t="inlineStr">
        <is>
          <t>Prorrateo Ha BODEGA</t>
        </is>
      </c>
      <c r="V2124" s="232" t="inlineStr">
        <is>
          <t>2026-06-18</t>
        </is>
      </c>
    </row>
    <row r="2125">
      <c r="A2125" s="232" t="inlineStr">
        <is>
          <t>CR-2122</t>
        </is>
      </c>
      <c r="B2125" s="232" t="inlineStr">
        <is>
          <t>2026/27</t>
        </is>
      </c>
      <c r="C2125" s="233" t="n">
        <v>46070</v>
      </c>
      <c r="D2125" s="232" t="inlineStr">
        <is>
          <t>879711</t>
        </is>
      </c>
      <c r="E2125" s="232" t="inlineStr">
        <is>
          <t>PRORRATEO</t>
        </is>
      </c>
      <c r="F2125" s="232" t="inlineStr">
        <is>
          <t>Siberia</t>
        </is>
      </c>
      <c r="G2125" s="232" t="inlineStr">
        <is>
          <t>Timpson 7,1</t>
        </is>
      </c>
      <c r="H2125" s="232" t="inlineStr">
        <is>
          <t>Uvas</t>
        </is>
      </c>
      <c r="I2125" s="232" t="inlineStr">
        <is>
          <t>Timpson</t>
        </is>
      </c>
      <c r="J2125" s="232" t="inlineStr">
        <is>
          <t>MANT. Y REP. PLANTACIONES</t>
        </is>
      </c>
      <c r="K2125" s="232" t="inlineStr">
        <is>
          <t>MANTENCION HUERTO</t>
        </is>
      </c>
      <c r="L2125" s="232" t="inlineStr">
        <is>
          <t>[PRORRATEO 4.8% 7.1há/148.3há] O/001404 PROYECTOR</t>
        </is>
      </c>
      <c r="M2125" s="232" t="inlineStr"/>
      <c r="N2125" s="232" t="inlineStr">
        <is>
          <t>.   .   -</t>
        </is>
      </c>
      <c r="O2125" s="232" t="inlineStr">
        <is>
          <t>FEBRERO</t>
        </is>
      </c>
      <c r="P2125" s="232" t="n">
        <v>7</v>
      </c>
      <c r="Q2125" s="234" t="n">
        <v>2238</v>
      </c>
      <c r="R2125" s="232" t="inlineStr"/>
      <c r="S2125" s="234" t="n">
        <v>2238</v>
      </c>
      <c r="T2125" s="232" t="inlineStr">
        <is>
          <t>CLP</t>
        </is>
      </c>
      <c r="U2125" s="232" t="inlineStr">
        <is>
          <t>Prorrateo Ha BODEGA</t>
        </is>
      </c>
      <c r="V2125" s="232" t="inlineStr">
        <is>
          <t>2026-06-18</t>
        </is>
      </c>
    </row>
    <row r="2126">
      <c r="A2126" s="232" t="inlineStr">
        <is>
          <t>CR-2123</t>
        </is>
      </c>
      <c r="B2126" s="232" t="inlineStr">
        <is>
          <t>2026/27</t>
        </is>
      </c>
      <c r="C2126" s="233" t="n">
        <v>46070</v>
      </c>
      <c r="D2126" s="232" t="inlineStr">
        <is>
          <t>256767</t>
        </is>
      </c>
      <c r="E2126" s="232" t="inlineStr">
        <is>
          <t>PRORRATEO</t>
        </is>
      </c>
      <c r="F2126" s="232" t="inlineStr">
        <is>
          <t>Asmara</t>
        </is>
      </c>
      <c r="G2126" s="232" t="inlineStr">
        <is>
          <t>w. murcott 19,8 ha</t>
        </is>
      </c>
      <c r="H2126" s="232" t="inlineStr">
        <is>
          <t>Mandarina</t>
        </is>
      </c>
      <c r="I2126" s="232" t="inlineStr">
        <is>
          <t>W. murcott</t>
        </is>
      </c>
      <c r="J2126" s="232" t="inlineStr">
        <is>
          <t>MATERIALES COSECHA</t>
        </is>
      </c>
      <c r="K2126" s="232" t="inlineStr">
        <is>
          <t>MATERIAL COSECHA EXPORTACION</t>
        </is>
      </c>
      <c r="L2126" s="232" t="inlineStr">
        <is>
          <t>[PRORRATEO 13.4% 19.8há/148.3há] O/001347 SEPARADOR</t>
        </is>
      </c>
      <c r="M2126" s="232" t="inlineStr"/>
      <c r="N2126" s="232" t="inlineStr">
        <is>
          <t>.   .   -</t>
        </is>
      </c>
      <c r="O2126" s="232" t="inlineStr">
        <is>
          <t>FEBRERO</t>
        </is>
      </c>
      <c r="P2126" s="232" t="n">
        <v>7</v>
      </c>
      <c r="Q2126" s="234" t="n">
        <v>513</v>
      </c>
      <c r="R2126" s="232" t="inlineStr"/>
      <c r="S2126" s="234" t="n">
        <v>513</v>
      </c>
      <c r="T2126" s="232" t="inlineStr">
        <is>
          <t>CLP</t>
        </is>
      </c>
      <c r="U2126" s="232" t="inlineStr">
        <is>
          <t>Prorrateo Ha PACKING</t>
        </is>
      </c>
      <c r="V2126" s="232" t="inlineStr">
        <is>
          <t>2026-06-18</t>
        </is>
      </c>
    </row>
    <row r="2127">
      <c r="A2127" s="232" t="inlineStr">
        <is>
          <t>CR-2124</t>
        </is>
      </c>
      <c r="B2127" s="232" t="inlineStr">
        <is>
          <t>2026/27</t>
        </is>
      </c>
      <c r="C2127" s="233" t="n">
        <v>46070</v>
      </c>
      <c r="D2127" s="232" t="inlineStr">
        <is>
          <t>256767</t>
        </is>
      </c>
      <c r="E2127" s="232" t="inlineStr">
        <is>
          <t>PRORRATEO</t>
        </is>
      </c>
      <c r="F2127" s="232" t="inlineStr">
        <is>
          <t>Asmara</t>
        </is>
      </c>
      <c r="G2127" s="232" t="inlineStr">
        <is>
          <t>w. murcott 4,9 ha</t>
        </is>
      </c>
      <c r="H2127" s="232" t="inlineStr">
        <is>
          <t>Mandarina</t>
        </is>
      </c>
      <c r="I2127" s="232" t="inlineStr">
        <is>
          <t>W. murcott</t>
        </is>
      </c>
      <c r="J2127" s="232" t="inlineStr">
        <is>
          <t>MATERIALES COSECHA</t>
        </is>
      </c>
      <c r="K2127" s="232" t="inlineStr">
        <is>
          <t>MATERIAL COSECHA EXPORTACION</t>
        </is>
      </c>
      <c r="L2127" s="232" t="inlineStr">
        <is>
          <t>[PRORRATEO 3.3% 4.9há/148.3há] O/001347 SEPARADOR</t>
        </is>
      </c>
      <c r="M2127" s="232" t="inlineStr"/>
      <c r="N2127" s="232" t="inlineStr">
        <is>
          <t>.   .   -</t>
        </is>
      </c>
      <c r="O2127" s="232" t="inlineStr">
        <is>
          <t>FEBRERO</t>
        </is>
      </c>
      <c r="P2127" s="232" t="n">
        <v>7</v>
      </c>
      <c r="Q2127" s="234" t="n">
        <v>127</v>
      </c>
      <c r="R2127" s="232" t="inlineStr"/>
      <c r="S2127" s="234" t="n">
        <v>127</v>
      </c>
      <c r="T2127" s="232" t="inlineStr">
        <is>
          <t>CLP</t>
        </is>
      </c>
      <c r="U2127" s="232" t="inlineStr">
        <is>
          <t>Prorrateo Ha PACKING</t>
        </is>
      </c>
      <c r="V2127" s="232" t="inlineStr">
        <is>
          <t>2026-06-18</t>
        </is>
      </c>
    </row>
    <row r="2128">
      <c r="A2128" s="232" t="inlineStr">
        <is>
          <t>CR-2125</t>
        </is>
      </c>
      <c r="B2128" s="232" t="inlineStr">
        <is>
          <t>2026/27</t>
        </is>
      </c>
      <c r="C2128" s="233" t="n">
        <v>46070</v>
      </c>
      <c r="D2128" s="232" t="inlineStr">
        <is>
          <t>256767</t>
        </is>
      </c>
      <c r="E2128" s="232" t="inlineStr">
        <is>
          <t>PRORRATEO</t>
        </is>
      </c>
      <c r="F2128" s="232" t="inlineStr">
        <is>
          <t>El Molle</t>
        </is>
      </c>
      <c r="G2128" s="232" t="inlineStr">
        <is>
          <t>Wonderful 5,25 ha</t>
        </is>
      </c>
      <c r="H2128" s="232" t="inlineStr">
        <is>
          <t>Granados</t>
        </is>
      </c>
      <c r="I2128" s="232" t="inlineStr">
        <is>
          <t>Wonderfull</t>
        </is>
      </c>
      <c r="J2128" s="232" t="inlineStr">
        <is>
          <t>MATERIALES COSECHA</t>
        </is>
      </c>
      <c r="K2128" s="232" t="inlineStr">
        <is>
          <t>MATERIAL COSECHA EXPORTACION</t>
        </is>
      </c>
      <c r="L2128" s="232" t="inlineStr">
        <is>
          <t>[PRORRATEO 3.5% 5.24há/148.3há] O/001347 SEPARADOR</t>
        </is>
      </c>
      <c r="M2128" s="232" t="inlineStr"/>
      <c r="N2128" s="232" t="inlineStr">
        <is>
          <t>.   .   -</t>
        </is>
      </c>
      <c r="O2128" s="232" t="inlineStr">
        <is>
          <t>FEBRERO</t>
        </is>
      </c>
      <c r="P2128" s="232" t="n">
        <v>7</v>
      </c>
      <c r="Q2128" s="234" t="n">
        <v>136</v>
      </c>
      <c r="R2128" s="232" t="inlineStr"/>
      <c r="S2128" s="234" t="n">
        <v>136</v>
      </c>
      <c r="T2128" s="232" t="inlineStr">
        <is>
          <t>CLP</t>
        </is>
      </c>
      <c r="U2128" s="232" t="inlineStr">
        <is>
          <t>Prorrateo Ha PACKING</t>
        </is>
      </c>
      <c r="V2128" s="232" t="inlineStr">
        <is>
          <t>2026-06-18</t>
        </is>
      </c>
    </row>
    <row r="2129">
      <c r="A2129" s="232" t="inlineStr">
        <is>
          <t>CR-2126</t>
        </is>
      </c>
      <c r="B2129" s="232" t="inlineStr">
        <is>
          <t>2026/27</t>
        </is>
      </c>
      <c r="C2129" s="233" t="n">
        <v>46070</v>
      </c>
      <c r="D2129" s="232" t="inlineStr">
        <is>
          <t>256767</t>
        </is>
      </c>
      <c r="E2129" s="232" t="inlineStr">
        <is>
          <t>PRORRATEO</t>
        </is>
      </c>
      <c r="F2129" s="232" t="inlineStr">
        <is>
          <t>El Molle</t>
        </is>
      </c>
      <c r="G2129" s="232" t="inlineStr">
        <is>
          <t>arrufatinas 5,74 ha</t>
        </is>
      </c>
      <c r="H2129" s="232" t="inlineStr">
        <is>
          <t>Clementinas</t>
        </is>
      </c>
      <c r="I2129" s="232" t="inlineStr">
        <is>
          <t>Arrufatinas</t>
        </is>
      </c>
      <c r="J2129" s="232" t="inlineStr">
        <is>
          <t>MATERIALES COSECHA</t>
        </is>
      </c>
      <c r="K2129" s="232" t="inlineStr">
        <is>
          <t>MATERIAL COSECHA EXPORTACION</t>
        </is>
      </c>
      <c r="L2129" s="232" t="inlineStr">
        <is>
          <t>[PRORRATEO 3.9% 5.74há/148.3há] O/001347 SEPARADOR</t>
        </is>
      </c>
      <c r="M2129" s="232" t="inlineStr"/>
      <c r="N2129" s="232" t="inlineStr">
        <is>
          <t>.   .   -</t>
        </is>
      </c>
      <c r="O2129" s="232" t="inlineStr">
        <is>
          <t>FEBRERO</t>
        </is>
      </c>
      <c r="P2129" s="232" t="n">
        <v>7</v>
      </c>
      <c r="Q2129" s="234" t="n">
        <v>149</v>
      </c>
      <c r="R2129" s="232" t="inlineStr"/>
      <c r="S2129" s="234" t="n">
        <v>149</v>
      </c>
      <c r="T2129" s="232" t="inlineStr">
        <is>
          <t>CLP</t>
        </is>
      </c>
      <c r="U2129" s="232" t="inlineStr">
        <is>
          <t>Prorrateo Ha PACKING</t>
        </is>
      </c>
      <c r="V2129" s="232" t="inlineStr">
        <is>
          <t>2026-06-18</t>
        </is>
      </c>
    </row>
    <row r="2130">
      <c r="A2130" s="232" t="inlineStr">
        <is>
          <t>CR-2127</t>
        </is>
      </c>
      <c r="B2130" s="232" t="inlineStr">
        <is>
          <t>2026/27</t>
        </is>
      </c>
      <c r="C2130" s="233" t="n">
        <v>46070</v>
      </c>
      <c r="D2130" s="232" t="inlineStr">
        <is>
          <t>256767</t>
        </is>
      </c>
      <c r="E2130" s="232" t="inlineStr">
        <is>
          <t>PRORRATEO</t>
        </is>
      </c>
      <c r="F2130" s="232" t="inlineStr">
        <is>
          <t>El Molle</t>
        </is>
      </c>
      <c r="G2130" s="232" t="inlineStr">
        <is>
          <t>orogrande 8,11 ha</t>
        </is>
      </c>
      <c r="H2130" s="232" t="inlineStr">
        <is>
          <t>Clementinas</t>
        </is>
      </c>
      <c r="I2130" s="232" t="inlineStr">
        <is>
          <t>Orogrande</t>
        </is>
      </c>
      <c r="J2130" s="232" t="inlineStr">
        <is>
          <t>MATERIALES COSECHA</t>
        </is>
      </c>
      <c r="K2130" s="232" t="inlineStr">
        <is>
          <t>MATERIAL COSECHA EXPORTACION</t>
        </is>
      </c>
      <c r="L2130" s="232" t="inlineStr">
        <is>
          <t>[PRORRATEO 5.5% 8.11há/148.3há] O/001347 SEPARADOR</t>
        </is>
      </c>
      <c r="M2130" s="232" t="inlineStr"/>
      <c r="N2130" s="232" t="inlineStr">
        <is>
          <t>.   .   -</t>
        </is>
      </c>
      <c r="O2130" s="232" t="inlineStr">
        <is>
          <t>FEBRERO</t>
        </is>
      </c>
      <c r="P2130" s="232" t="n">
        <v>7</v>
      </c>
      <c r="Q2130" s="234" t="n">
        <v>210</v>
      </c>
      <c r="R2130" s="232" t="inlineStr"/>
      <c r="S2130" s="234" t="n">
        <v>210</v>
      </c>
      <c r="T2130" s="232" t="inlineStr">
        <is>
          <t>CLP</t>
        </is>
      </c>
      <c r="U2130" s="232" t="inlineStr">
        <is>
          <t>Prorrateo Ha PACKING</t>
        </is>
      </c>
      <c r="V2130" s="232" t="inlineStr">
        <is>
          <t>2026-06-18</t>
        </is>
      </c>
    </row>
    <row r="2131">
      <c r="A2131" s="232" t="inlineStr">
        <is>
          <t>CR-2128</t>
        </is>
      </c>
      <c r="B2131" s="232" t="inlineStr">
        <is>
          <t>2026/27</t>
        </is>
      </c>
      <c r="C2131" s="233" t="n">
        <v>46070</v>
      </c>
      <c r="D2131" s="232" t="inlineStr">
        <is>
          <t>256767</t>
        </is>
      </c>
      <c r="E2131" s="232" t="inlineStr">
        <is>
          <t>PRORRATEO</t>
        </is>
      </c>
      <c r="F2131" s="232" t="inlineStr">
        <is>
          <t>El Molle</t>
        </is>
      </c>
      <c r="G2131" s="232" t="inlineStr">
        <is>
          <t>oronules 5,35 ha</t>
        </is>
      </c>
      <c r="H2131" s="232" t="inlineStr">
        <is>
          <t>Clementinas</t>
        </is>
      </c>
      <c r="I2131" s="232" t="inlineStr">
        <is>
          <t>Oronules</t>
        </is>
      </c>
      <c r="J2131" s="232" t="inlineStr">
        <is>
          <t>MATERIALES COSECHA</t>
        </is>
      </c>
      <c r="K2131" s="232" t="inlineStr">
        <is>
          <t>MATERIAL COSECHA EXPORTACION</t>
        </is>
      </c>
      <c r="L2131" s="232" t="inlineStr">
        <is>
          <t>[PRORRATEO 3.6% 5.35há/148.3há] O/001347 SEPARADOR</t>
        </is>
      </c>
      <c r="M2131" s="232" t="inlineStr"/>
      <c r="N2131" s="232" t="inlineStr">
        <is>
          <t>.   .   -</t>
        </is>
      </c>
      <c r="O2131" s="232" t="inlineStr">
        <is>
          <t>FEBRERO</t>
        </is>
      </c>
      <c r="P2131" s="232" t="n">
        <v>7</v>
      </c>
      <c r="Q2131" s="234" t="n">
        <v>139</v>
      </c>
      <c r="R2131" s="232" t="inlineStr"/>
      <c r="S2131" s="234" t="n">
        <v>139</v>
      </c>
      <c r="T2131" s="232" t="inlineStr">
        <is>
          <t>CLP</t>
        </is>
      </c>
      <c r="U2131" s="232" t="inlineStr">
        <is>
          <t>Prorrateo Ha PACKING</t>
        </is>
      </c>
      <c r="V2131" s="232" t="inlineStr">
        <is>
          <t>2026-06-18</t>
        </is>
      </c>
    </row>
    <row r="2132">
      <c r="A2132" s="232" t="inlineStr">
        <is>
          <t>CR-2129</t>
        </is>
      </c>
      <c r="B2132" s="232" t="inlineStr">
        <is>
          <t>2026/27</t>
        </is>
      </c>
      <c r="C2132" s="233" t="n">
        <v>46070</v>
      </c>
      <c r="D2132" s="232" t="inlineStr">
        <is>
          <t>256767</t>
        </is>
      </c>
      <c r="E2132" s="232" t="inlineStr">
        <is>
          <t>PRORRATEO</t>
        </is>
      </c>
      <c r="F2132" s="232" t="inlineStr">
        <is>
          <t>Santa Catalina</t>
        </is>
      </c>
      <c r="G2132" s="232" t="inlineStr">
        <is>
          <t>Fino 49 7,7 ha</t>
        </is>
      </c>
      <c r="H2132" s="232" t="inlineStr">
        <is>
          <t>Limon</t>
        </is>
      </c>
      <c r="I2132" s="232" t="inlineStr">
        <is>
          <t>Fino 49</t>
        </is>
      </c>
      <c r="J2132" s="232" t="inlineStr">
        <is>
          <t>MATERIALES COSECHA</t>
        </is>
      </c>
      <c r="K2132" s="232" t="inlineStr">
        <is>
          <t>MATERIAL COSECHA EXPORTACION</t>
        </is>
      </c>
      <c r="L2132" s="232" t="inlineStr">
        <is>
          <t>[PRORRATEO 5.2% 7.7há/148.3há] O/001347 SEPARADOR</t>
        </is>
      </c>
      <c r="M2132" s="232" t="inlineStr"/>
      <c r="N2132" s="232" t="inlineStr">
        <is>
          <t>.   .   -</t>
        </is>
      </c>
      <c r="O2132" s="232" t="inlineStr">
        <is>
          <t>FEBRERO</t>
        </is>
      </c>
      <c r="P2132" s="232" t="n">
        <v>7</v>
      </c>
      <c r="Q2132" s="234" t="n">
        <v>199</v>
      </c>
      <c r="R2132" s="232" t="inlineStr"/>
      <c r="S2132" s="234" t="n">
        <v>199</v>
      </c>
      <c r="T2132" s="232" t="inlineStr">
        <is>
          <t>CLP</t>
        </is>
      </c>
      <c r="U2132" s="232" t="inlineStr">
        <is>
          <t>Prorrateo Ha PACKING</t>
        </is>
      </c>
      <c r="V2132" s="232" t="inlineStr">
        <is>
          <t>2026-06-18</t>
        </is>
      </c>
    </row>
    <row r="2133">
      <c r="A2133" s="232" t="inlineStr">
        <is>
          <t>CR-2130</t>
        </is>
      </c>
      <c r="B2133" s="232" t="inlineStr">
        <is>
          <t>2026/27</t>
        </is>
      </c>
      <c r="C2133" s="233" t="n">
        <v>46070</v>
      </c>
      <c r="D2133" s="232" t="inlineStr">
        <is>
          <t>256767</t>
        </is>
      </c>
      <c r="E2133" s="232" t="inlineStr">
        <is>
          <t>PRORRATEO</t>
        </is>
      </c>
      <c r="F2133" s="232" t="inlineStr">
        <is>
          <t>Santa Catalina</t>
        </is>
      </c>
      <c r="G2133" s="232" t="inlineStr">
        <is>
          <t>W. murcott 21 ha</t>
        </is>
      </c>
      <c r="H2133" s="232" t="inlineStr">
        <is>
          <t>Mandarina</t>
        </is>
      </c>
      <c r="I2133" s="232" t="inlineStr">
        <is>
          <t>W. murcott</t>
        </is>
      </c>
      <c r="J2133" s="232" t="inlineStr">
        <is>
          <t>MATERIALES COSECHA</t>
        </is>
      </c>
      <c r="K2133" s="232" t="inlineStr">
        <is>
          <t>MATERIAL COSECHA EXPORTACION</t>
        </is>
      </c>
      <c r="L2133" s="232" t="inlineStr">
        <is>
          <t>[PRORRATEO 14.2% 21.0há/148.3há] O/001347 SEPARADOR</t>
        </is>
      </c>
      <c r="M2133" s="232" t="inlineStr"/>
      <c r="N2133" s="232" t="inlineStr">
        <is>
          <t>.   .   -</t>
        </is>
      </c>
      <c r="O2133" s="232" t="inlineStr">
        <is>
          <t>FEBRERO</t>
        </is>
      </c>
      <c r="P2133" s="232" t="n">
        <v>7</v>
      </c>
      <c r="Q2133" s="234" t="n">
        <v>544</v>
      </c>
      <c r="R2133" s="232" t="inlineStr"/>
      <c r="S2133" s="234" t="n">
        <v>544</v>
      </c>
      <c r="T2133" s="232" t="inlineStr">
        <is>
          <t>CLP</t>
        </is>
      </c>
      <c r="U2133" s="232" t="inlineStr">
        <is>
          <t>Prorrateo Ha PACKING</t>
        </is>
      </c>
      <c r="V2133" s="232" t="inlineStr">
        <is>
          <t>2026-06-18</t>
        </is>
      </c>
    </row>
    <row r="2134">
      <c r="A2134" s="232" t="inlineStr">
        <is>
          <t>CR-2131</t>
        </is>
      </c>
      <c r="B2134" s="232" t="inlineStr">
        <is>
          <t>2026/27</t>
        </is>
      </c>
      <c r="C2134" s="233" t="n">
        <v>46070</v>
      </c>
      <c r="D2134" s="232" t="inlineStr">
        <is>
          <t>256767</t>
        </is>
      </c>
      <c r="E2134" s="232" t="inlineStr">
        <is>
          <t>PRORRATEO</t>
        </is>
      </c>
      <c r="F2134" s="232" t="inlineStr">
        <is>
          <t>Santa Catalina</t>
        </is>
      </c>
      <c r="G2134" s="232" t="inlineStr">
        <is>
          <t>cambria 4,2 ha</t>
        </is>
      </c>
      <c r="H2134" s="232" t="inlineStr">
        <is>
          <t>Naranjas</t>
        </is>
      </c>
      <c r="I2134" s="232" t="inlineStr">
        <is>
          <t>Cambria</t>
        </is>
      </c>
      <c r="J2134" s="232" t="inlineStr">
        <is>
          <t>MATERIALES COSECHA</t>
        </is>
      </c>
      <c r="K2134" s="232" t="inlineStr">
        <is>
          <t>MATERIAL COSECHA EXPORTACION</t>
        </is>
      </c>
      <c r="L2134" s="232" t="inlineStr">
        <is>
          <t>[PRORRATEO 2.8% 4.2há/148.3há] O/001347 SEPARADOR</t>
        </is>
      </c>
      <c r="M2134" s="232" t="inlineStr"/>
      <c r="N2134" s="232" t="inlineStr">
        <is>
          <t>.   .   -</t>
        </is>
      </c>
      <c r="O2134" s="232" t="inlineStr">
        <is>
          <t>FEBRERO</t>
        </is>
      </c>
      <c r="P2134" s="232" t="n">
        <v>7</v>
      </c>
      <c r="Q2134" s="234" t="n">
        <v>109</v>
      </c>
      <c r="R2134" s="232" t="inlineStr"/>
      <c r="S2134" s="234" t="n">
        <v>109</v>
      </c>
      <c r="T2134" s="232" t="inlineStr">
        <is>
          <t>CLP</t>
        </is>
      </c>
      <c r="U2134" s="232" t="inlineStr">
        <is>
          <t>Prorrateo Ha PACKING</t>
        </is>
      </c>
      <c r="V2134" s="232" t="inlineStr">
        <is>
          <t>2026-06-18</t>
        </is>
      </c>
    </row>
    <row r="2135">
      <c r="A2135" s="232" t="inlineStr">
        <is>
          <t>CR-2132</t>
        </is>
      </c>
      <c r="B2135" s="232" t="inlineStr">
        <is>
          <t>2026/27</t>
        </is>
      </c>
      <c r="C2135" s="233" t="n">
        <v>46070</v>
      </c>
      <c r="D2135" s="232" t="inlineStr">
        <is>
          <t>256767</t>
        </is>
      </c>
      <c r="E2135" s="232" t="inlineStr">
        <is>
          <t>PRORRATEO</t>
        </is>
      </c>
      <c r="F2135" s="232" t="inlineStr">
        <is>
          <t>Santa Catalina</t>
        </is>
      </c>
      <c r="G2135" s="232" t="inlineStr">
        <is>
          <t>eureka 10,6 ha</t>
        </is>
      </c>
      <c r="H2135" s="232" t="inlineStr">
        <is>
          <t>Limon</t>
        </is>
      </c>
      <c r="I2135" s="232" t="inlineStr">
        <is>
          <t>Eureka</t>
        </is>
      </c>
      <c r="J2135" s="232" t="inlineStr">
        <is>
          <t>MATERIALES COSECHA</t>
        </is>
      </c>
      <c r="K2135" s="232" t="inlineStr">
        <is>
          <t>MATERIAL COSECHA EXPORTACION</t>
        </is>
      </c>
      <c r="L2135" s="232" t="inlineStr">
        <is>
          <t>[PRORRATEO 7.1% 10.6há/148.3há] O/001347 SEPARADOR</t>
        </is>
      </c>
      <c r="M2135" s="232" t="inlineStr"/>
      <c r="N2135" s="232" t="inlineStr">
        <is>
          <t>.   .   -</t>
        </is>
      </c>
      <c r="O2135" s="232" t="inlineStr">
        <is>
          <t>FEBRERO</t>
        </is>
      </c>
      <c r="P2135" s="232" t="n">
        <v>7</v>
      </c>
      <c r="Q2135" s="234" t="n">
        <v>275</v>
      </c>
      <c r="R2135" s="232" t="inlineStr"/>
      <c r="S2135" s="234" t="n">
        <v>275</v>
      </c>
      <c r="T2135" s="232" t="inlineStr">
        <is>
          <t>CLP</t>
        </is>
      </c>
      <c r="U2135" s="232" t="inlineStr">
        <is>
          <t>Prorrateo Ha PACKING</t>
        </is>
      </c>
      <c r="V2135" s="232" t="inlineStr">
        <is>
          <t>2026-06-18</t>
        </is>
      </c>
    </row>
    <row r="2136">
      <c r="A2136" s="232" t="inlineStr">
        <is>
          <t>CR-2133</t>
        </is>
      </c>
      <c r="B2136" s="232" t="inlineStr">
        <is>
          <t>2026/27</t>
        </is>
      </c>
      <c r="C2136" s="233" t="n">
        <v>46070</v>
      </c>
      <c r="D2136" s="232" t="inlineStr">
        <is>
          <t>256767</t>
        </is>
      </c>
      <c r="E2136" s="232" t="inlineStr">
        <is>
          <t>PRORRATEO</t>
        </is>
      </c>
      <c r="F2136" s="232" t="inlineStr">
        <is>
          <t>Santa Catalina</t>
        </is>
      </c>
      <c r="G2136" s="232" t="inlineStr">
        <is>
          <t>eureka 14,4 ha</t>
        </is>
      </c>
      <c r="H2136" s="232" t="inlineStr">
        <is>
          <t>Limon</t>
        </is>
      </c>
      <c r="I2136" s="232" t="inlineStr">
        <is>
          <t>Eureka</t>
        </is>
      </c>
      <c r="J2136" s="232" t="inlineStr">
        <is>
          <t>MATERIALES COSECHA</t>
        </is>
      </c>
      <c r="K2136" s="232" t="inlineStr">
        <is>
          <t>MATERIAL COSECHA EXPORTACION</t>
        </is>
      </c>
      <c r="L2136" s="232" t="inlineStr">
        <is>
          <t>[PRORRATEO 9.7% 14.4há/148.3há] O/001347 SEPARADOR</t>
        </is>
      </c>
      <c r="M2136" s="232" t="inlineStr"/>
      <c r="N2136" s="232" t="inlineStr">
        <is>
          <t>.   .   -</t>
        </is>
      </c>
      <c r="O2136" s="232" t="inlineStr">
        <is>
          <t>FEBRERO</t>
        </is>
      </c>
      <c r="P2136" s="232" t="n">
        <v>7</v>
      </c>
      <c r="Q2136" s="234" t="n">
        <v>373</v>
      </c>
      <c r="R2136" s="232" t="inlineStr"/>
      <c r="S2136" s="234" t="n">
        <v>373</v>
      </c>
      <c r="T2136" s="232" t="inlineStr">
        <is>
          <t>CLP</t>
        </is>
      </c>
      <c r="U2136" s="232" t="inlineStr">
        <is>
          <t>Prorrateo Ha PACKING</t>
        </is>
      </c>
      <c r="V2136" s="232" t="inlineStr">
        <is>
          <t>2026-06-18</t>
        </is>
      </c>
    </row>
    <row r="2137">
      <c r="A2137" s="232" t="inlineStr">
        <is>
          <t>CR-2134</t>
        </is>
      </c>
      <c r="B2137" s="232" t="inlineStr">
        <is>
          <t>2026/27</t>
        </is>
      </c>
      <c r="C2137" s="233" t="n">
        <v>46070</v>
      </c>
      <c r="D2137" s="232" t="inlineStr">
        <is>
          <t>256767</t>
        </is>
      </c>
      <c r="E2137" s="232" t="inlineStr">
        <is>
          <t>PRORRATEO</t>
        </is>
      </c>
      <c r="F2137" s="232" t="inlineStr">
        <is>
          <t>Santa Catalina</t>
        </is>
      </c>
      <c r="G2137" s="232" t="inlineStr">
        <is>
          <t>eureka 22,55</t>
        </is>
      </c>
      <c r="H2137" s="232" t="inlineStr">
        <is>
          <t>Limon</t>
        </is>
      </c>
      <c r="I2137" s="232" t="inlineStr">
        <is>
          <t>Eureka</t>
        </is>
      </c>
      <c r="J2137" s="232" t="inlineStr">
        <is>
          <t>MATERIALES COSECHA</t>
        </is>
      </c>
      <c r="K2137" s="232" t="inlineStr">
        <is>
          <t>MATERIAL COSECHA EXPORTACION</t>
        </is>
      </c>
      <c r="L2137" s="232" t="inlineStr">
        <is>
          <t>[PRORRATEO 15.2% 22.55há/148.3há] O/001347 SEPARADOR</t>
        </is>
      </c>
      <c r="M2137" s="232" t="inlineStr"/>
      <c r="N2137" s="232" t="inlineStr">
        <is>
          <t>.   .   -</t>
        </is>
      </c>
      <c r="O2137" s="232" t="inlineStr">
        <is>
          <t>FEBRERO</t>
        </is>
      </c>
      <c r="P2137" s="232" t="n">
        <v>7</v>
      </c>
      <c r="Q2137" s="234" t="n">
        <v>584</v>
      </c>
      <c r="R2137" s="232" t="inlineStr"/>
      <c r="S2137" s="234" t="n">
        <v>584</v>
      </c>
      <c r="T2137" s="232" t="inlineStr">
        <is>
          <t>CLP</t>
        </is>
      </c>
      <c r="U2137" s="232" t="inlineStr">
        <is>
          <t>Prorrateo Ha PACKING</t>
        </is>
      </c>
      <c r="V2137" s="232" t="inlineStr">
        <is>
          <t>2026-06-18</t>
        </is>
      </c>
    </row>
    <row r="2138">
      <c r="A2138" s="232" t="inlineStr">
        <is>
          <t>CR-2135</t>
        </is>
      </c>
      <c r="B2138" s="232" t="inlineStr">
        <is>
          <t>2026/27</t>
        </is>
      </c>
      <c r="C2138" s="233" t="n">
        <v>46070</v>
      </c>
      <c r="D2138" s="232" t="inlineStr">
        <is>
          <t>256767</t>
        </is>
      </c>
      <c r="E2138" s="232" t="inlineStr">
        <is>
          <t>PRORRATEO</t>
        </is>
      </c>
      <c r="F2138" s="232" t="inlineStr">
        <is>
          <t>Santa Catalina</t>
        </is>
      </c>
      <c r="G2138" s="232" t="inlineStr">
        <is>
          <t>form benjamin 1,93 ha</t>
        </is>
      </c>
      <c r="H2138" s="232" t="inlineStr">
        <is>
          <t>Limon</t>
        </is>
      </c>
      <c r="I2138" s="232" t="inlineStr">
        <is>
          <t>Benjamin andes</t>
        </is>
      </c>
      <c r="J2138" s="232" t="inlineStr">
        <is>
          <t>MATERIALES COSECHA</t>
        </is>
      </c>
      <c r="K2138" s="232" t="inlineStr">
        <is>
          <t>MATERIAL COSECHA EXPORTACION</t>
        </is>
      </c>
      <c r="L2138" s="232" t="inlineStr">
        <is>
          <t>[PRORRATEO 1.3% 1.93há/148.3há] O/001347 SEPARADOR</t>
        </is>
      </c>
      <c r="M2138" s="232" t="inlineStr"/>
      <c r="N2138" s="232" t="inlineStr">
        <is>
          <t>.   .   -</t>
        </is>
      </c>
      <c r="O2138" s="232" t="inlineStr">
        <is>
          <t>FEBRERO</t>
        </is>
      </c>
      <c r="P2138" s="232" t="n">
        <v>7</v>
      </c>
      <c r="Q2138" s="234" t="n">
        <v>50</v>
      </c>
      <c r="R2138" s="232" t="inlineStr"/>
      <c r="S2138" s="234" t="n">
        <v>50</v>
      </c>
      <c r="T2138" s="232" t="inlineStr">
        <is>
          <t>CLP</t>
        </is>
      </c>
      <c r="U2138" s="232" t="inlineStr">
        <is>
          <t>Prorrateo Ha PACKING</t>
        </is>
      </c>
      <c r="V2138" s="232" t="inlineStr">
        <is>
          <t>2026-06-18</t>
        </is>
      </c>
    </row>
    <row r="2139">
      <c r="A2139" s="232" t="inlineStr">
        <is>
          <t>CR-2136</t>
        </is>
      </c>
      <c r="B2139" s="232" t="inlineStr">
        <is>
          <t>2026/27</t>
        </is>
      </c>
      <c r="C2139" s="233" t="n">
        <v>46070</v>
      </c>
      <c r="D2139" s="232" t="inlineStr">
        <is>
          <t>256767</t>
        </is>
      </c>
      <c r="E2139" s="232" t="inlineStr">
        <is>
          <t>PRORRATEO</t>
        </is>
      </c>
      <c r="F2139" s="232" t="inlineStr">
        <is>
          <t>Santa Catalina</t>
        </is>
      </c>
      <c r="G2139" s="232" t="inlineStr">
        <is>
          <t>mant eureka 2,5 ha</t>
        </is>
      </c>
      <c r="H2139" s="232" t="inlineStr">
        <is>
          <t>Limon</t>
        </is>
      </c>
      <c r="I2139" s="232" t="inlineStr">
        <is>
          <t>Eureka</t>
        </is>
      </c>
      <c r="J2139" s="232" t="inlineStr">
        <is>
          <t>MATERIALES COSECHA</t>
        </is>
      </c>
      <c r="K2139" s="232" t="inlineStr">
        <is>
          <t>MATERIAL COSECHA EXPORTACION</t>
        </is>
      </c>
      <c r="L2139" s="232" t="inlineStr">
        <is>
          <t>[PRORRATEO 1.7% 2.5há/148.3há] O/001347 SEPARADOR</t>
        </is>
      </c>
      <c r="M2139" s="232" t="inlineStr"/>
      <c r="N2139" s="232" t="inlineStr">
        <is>
          <t>.   .   -</t>
        </is>
      </c>
      <c r="O2139" s="232" t="inlineStr">
        <is>
          <t>FEBRERO</t>
        </is>
      </c>
      <c r="P2139" s="232" t="n">
        <v>7</v>
      </c>
      <c r="Q2139" s="234" t="n">
        <v>65</v>
      </c>
      <c r="R2139" s="232" t="inlineStr"/>
      <c r="S2139" s="234" t="n">
        <v>65</v>
      </c>
      <c r="T2139" s="232" t="inlineStr">
        <is>
          <t>CLP</t>
        </is>
      </c>
      <c r="U2139" s="232" t="inlineStr">
        <is>
          <t>Prorrateo Ha PACKING</t>
        </is>
      </c>
      <c r="V2139" s="232" t="inlineStr">
        <is>
          <t>2026-06-18</t>
        </is>
      </c>
    </row>
    <row r="2140">
      <c r="A2140" s="232" t="inlineStr">
        <is>
          <t>CR-2137</t>
        </is>
      </c>
      <c r="B2140" s="232" t="inlineStr">
        <is>
          <t>2026/27</t>
        </is>
      </c>
      <c r="C2140" s="233" t="n">
        <v>46070</v>
      </c>
      <c r="D2140" s="232" t="inlineStr">
        <is>
          <t>256767</t>
        </is>
      </c>
      <c r="E2140" s="232" t="inlineStr">
        <is>
          <t>PRORRATEO</t>
        </is>
      </c>
      <c r="F2140" s="232" t="inlineStr">
        <is>
          <t>Siberia</t>
        </is>
      </c>
      <c r="G2140" s="232" t="inlineStr">
        <is>
          <t>S. Celebration 7,14</t>
        </is>
      </c>
      <c r="H2140" s="232" t="inlineStr">
        <is>
          <t>Uvas</t>
        </is>
      </c>
      <c r="I2140" s="232" t="inlineStr">
        <is>
          <t>S. celebration</t>
        </is>
      </c>
      <c r="J2140" s="232" t="inlineStr">
        <is>
          <t>MATERIALES COSECHA</t>
        </is>
      </c>
      <c r="K2140" s="232" t="inlineStr">
        <is>
          <t>MATERIAL COSECHA EXPORTACION</t>
        </is>
      </c>
      <c r="L2140" s="232" t="inlineStr">
        <is>
          <t>[PRORRATEO 4.8% 7.14há/148.3há] O/001347 SEPARADOR</t>
        </is>
      </c>
      <c r="M2140" s="232" t="inlineStr"/>
      <c r="N2140" s="232" t="inlineStr">
        <is>
          <t>.   .   -</t>
        </is>
      </c>
      <c r="O2140" s="232" t="inlineStr">
        <is>
          <t>FEBRERO</t>
        </is>
      </c>
      <c r="P2140" s="232" t="n">
        <v>7</v>
      </c>
      <c r="Q2140" s="234" t="n">
        <v>185</v>
      </c>
      <c r="R2140" s="232" t="inlineStr"/>
      <c r="S2140" s="234" t="n">
        <v>185</v>
      </c>
      <c r="T2140" s="232" t="inlineStr">
        <is>
          <t>CLP</t>
        </is>
      </c>
      <c r="U2140" s="232" t="inlineStr">
        <is>
          <t>Prorrateo Ha PACKING</t>
        </is>
      </c>
      <c r="V2140" s="232" t="inlineStr">
        <is>
          <t>2026-06-18</t>
        </is>
      </c>
    </row>
    <row r="2141">
      <c r="A2141" s="232" t="inlineStr">
        <is>
          <t>CR-2138</t>
        </is>
      </c>
      <c r="B2141" s="232" t="inlineStr">
        <is>
          <t>2026/27</t>
        </is>
      </c>
      <c r="C2141" s="233" t="n">
        <v>46070</v>
      </c>
      <c r="D2141" s="232" t="inlineStr">
        <is>
          <t>256767</t>
        </is>
      </c>
      <c r="E2141" s="232" t="inlineStr">
        <is>
          <t>PRORRATEO</t>
        </is>
      </c>
      <c r="F2141" s="232" t="inlineStr">
        <is>
          <t>Siberia</t>
        </is>
      </c>
      <c r="G2141" s="232" t="inlineStr">
        <is>
          <t>Timpson 7,1</t>
        </is>
      </c>
      <c r="H2141" s="232" t="inlineStr">
        <is>
          <t>Uvas</t>
        </is>
      </c>
      <c r="I2141" s="232" t="inlineStr">
        <is>
          <t>Timpson</t>
        </is>
      </c>
      <c r="J2141" s="232" t="inlineStr">
        <is>
          <t>MATERIALES COSECHA</t>
        </is>
      </c>
      <c r="K2141" s="232" t="inlineStr">
        <is>
          <t>MATERIAL COSECHA EXPORTACION</t>
        </is>
      </c>
      <c r="L2141" s="232" t="inlineStr">
        <is>
          <t>[PRORRATEO 4.8% 7.1há/148.3há] O/001347 SEPARADOR</t>
        </is>
      </c>
      <c r="M2141" s="232" t="inlineStr"/>
      <c r="N2141" s="232" t="inlineStr">
        <is>
          <t>.   .   -</t>
        </is>
      </c>
      <c r="O2141" s="232" t="inlineStr">
        <is>
          <t>FEBRERO</t>
        </is>
      </c>
      <c r="P2141" s="232" t="n">
        <v>7</v>
      </c>
      <c r="Q2141" s="234" t="n">
        <v>184</v>
      </c>
      <c r="R2141" s="232" t="inlineStr"/>
      <c r="S2141" s="234" t="n">
        <v>184</v>
      </c>
      <c r="T2141" s="232" t="inlineStr">
        <is>
          <t>CLP</t>
        </is>
      </c>
      <c r="U2141" s="232" t="inlineStr">
        <is>
          <t>Prorrateo Ha PACKING</t>
        </is>
      </c>
      <c r="V2141" s="232" t="inlineStr">
        <is>
          <t>2026-06-18</t>
        </is>
      </c>
    </row>
    <row r="2142">
      <c r="A2142" s="232" t="inlineStr">
        <is>
          <t>CR-2139</t>
        </is>
      </c>
      <c r="B2142" s="232" t="inlineStr">
        <is>
          <t>2026/27</t>
        </is>
      </c>
      <c r="C2142" s="233" t="n">
        <v>46071</v>
      </c>
      <c r="D2142" s="232" t="inlineStr">
        <is>
          <t>68895</t>
        </is>
      </c>
      <c r="E2142" s="232" t="inlineStr">
        <is>
          <t>PRORRATEO</t>
        </is>
      </c>
      <c r="F2142" s="232" t="inlineStr">
        <is>
          <t>Asmara</t>
        </is>
      </c>
      <c r="G2142" s="232" t="inlineStr">
        <is>
          <t>w. murcott 19,8 ha</t>
        </is>
      </c>
      <c r="H2142" s="232" t="inlineStr">
        <is>
          <t>Mandarina</t>
        </is>
      </c>
      <c r="I2142" s="232" t="inlineStr">
        <is>
          <t>W. murcott</t>
        </is>
      </c>
      <c r="J2142" s="232" t="inlineStr">
        <is>
          <t>MANT. Y REP. CONSTRUCCIONES</t>
        </is>
      </c>
      <c r="K2142" s="232" t="inlineStr">
        <is>
          <t>MANTENCION INFRAESTRUCTURA</t>
        </is>
      </c>
      <c r="L2142" s="232" t="inlineStr">
        <is>
          <t>[PRORRATEO 13.4% 19.8há/148.3há] O/001401 BISAGRA AN</t>
        </is>
      </c>
      <c r="M2142" s="232" t="inlineStr"/>
      <c r="N2142" s="232" t="inlineStr">
        <is>
          <t>.   .   -</t>
        </is>
      </c>
      <c r="O2142" s="232" t="inlineStr">
        <is>
          <t>FEBRERO</t>
        </is>
      </c>
      <c r="P2142" s="232" t="n">
        <v>7</v>
      </c>
      <c r="Q2142" s="234" t="n">
        <v>131</v>
      </c>
      <c r="R2142" s="232" t="inlineStr"/>
      <c r="S2142" s="234" t="n">
        <v>131</v>
      </c>
      <c r="T2142" s="232" t="inlineStr">
        <is>
          <t>CLP</t>
        </is>
      </c>
      <c r="U2142" s="232" t="inlineStr">
        <is>
          <t>Prorrateo Ha BODEGA</t>
        </is>
      </c>
      <c r="V2142" s="232" t="inlineStr">
        <is>
          <t>2026-06-18</t>
        </is>
      </c>
    </row>
    <row r="2143">
      <c r="A2143" s="232" t="inlineStr">
        <is>
          <t>CR-2140</t>
        </is>
      </c>
      <c r="B2143" s="232" t="inlineStr">
        <is>
          <t>2026/27</t>
        </is>
      </c>
      <c r="C2143" s="233" t="n">
        <v>46071</v>
      </c>
      <c r="D2143" s="232" t="inlineStr">
        <is>
          <t>68895</t>
        </is>
      </c>
      <c r="E2143" s="232" t="inlineStr">
        <is>
          <t>PRORRATEO</t>
        </is>
      </c>
      <c r="F2143" s="232" t="inlineStr">
        <is>
          <t>Asmara</t>
        </is>
      </c>
      <c r="G2143" s="232" t="inlineStr">
        <is>
          <t>w. murcott 4,9 ha</t>
        </is>
      </c>
      <c r="H2143" s="232" t="inlineStr">
        <is>
          <t>Mandarina</t>
        </is>
      </c>
      <c r="I2143" s="232" t="inlineStr">
        <is>
          <t>W. murcott</t>
        </is>
      </c>
      <c r="J2143" s="232" t="inlineStr">
        <is>
          <t>MANT. Y REP. CONSTRUCCIONES</t>
        </is>
      </c>
      <c r="K2143" s="232" t="inlineStr">
        <is>
          <t>MANTENCION INFRAESTRUCTURA</t>
        </is>
      </c>
      <c r="L2143" s="232" t="inlineStr">
        <is>
          <t>[PRORRATEO 3.3% 4.9há/148.3há] O/001401 BISAGRA AN</t>
        </is>
      </c>
      <c r="M2143" s="232" t="inlineStr"/>
      <c r="N2143" s="232" t="inlineStr">
        <is>
          <t>.   .   -</t>
        </is>
      </c>
      <c r="O2143" s="232" t="inlineStr">
        <is>
          <t>FEBRERO</t>
        </is>
      </c>
      <c r="P2143" s="232" t="n">
        <v>7</v>
      </c>
      <c r="Q2143" s="234" t="n">
        <v>33</v>
      </c>
      <c r="R2143" s="232" t="inlineStr"/>
      <c r="S2143" s="234" t="n">
        <v>33</v>
      </c>
      <c r="T2143" s="232" t="inlineStr">
        <is>
          <t>CLP</t>
        </is>
      </c>
      <c r="U2143" s="232" t="inlineStr">
        <is>
          <t>Prorrateo Ha BODEGA</t>
        </is>
      </c>
      <c r="V2143" s="232" t="inlineStr">
        <is>
          <t>2026-06-18</t>
        </is>
      </c>
    </row>
    <row r="2144">
      <c r="A2144" s="232" t="inlineStr">
        <is>
          <t>CR-2141</t>
        </is>
      </c>
      <c r="B2144" s="232" t="inlineStr">
        <is>
          <t>2026/27</t>
        </is>
      </c>
      <c r="C2144" s="233" t="n">
        <v>46071</v>
      </c>
      <c r="D2144" s="232" t="inlineStr">
        <is>
          <t>68895</t>
        </is>
      </c>
      <c r="E2144" s="232" t="inlineStr">
        <is>
          <t>PRORRATEO</t>
        </is>
      </c>
      <c r="F2144" s="232" t="inlineStr">
        <is>
          <t>El Molle</t>
        </is>
      </c>
      <c r="G2144" s="232" t="inlineStr">
        <is>
          <t>Wonderful 5,25 ha</t>
        </is>
      </c>
      <c r="H2144" s="232" t="inlineStr">
        <is>
          <t>Granados</t>
        </is>
      </c>
      <c r="I2144" s="232" t="inlineStr">
        <is>
          <t>Wonderfull</t>
        </is>
      </c>
      <c r="J2144" s="232" t="inlineStr">
        <is>
          <t>MANT. Y REP. CONSTRUCCIONES</t>
        </is>
      </c>
      <c r="K2144" s="232" t="inlineStr">
        <is>
          <t>MANTENCION INFRAESTRUCTURA</t>
        </is>
      </c>
      <c r="L2144" s="232" t="inlineStr">
        <is>
          <t>[PRORRATEO 3.5% 5.24há/148.3há] O/001401 BISAGRA AN</t>
        </is>
      </c>
      <c r="M2144" s="232" t="inlineStr"/>
      <c r="N2144" s="232" t="inlineStr">
        <is>
          <t>.   .   -</t>
        </is>
      </c>
      <c r="O2144" s="232" t="inlineStr">
        <is>
          <t>FEBRERO</t>
        </is>
      </c>
      <c r="P2144" s="232" t="n">
        <v>7</v>
      </c>
      <c r="Q2144" s="234" t="n">
        <v>35</v>
      </c>
      <c r="R2144" s="232" t="inlineStr"/>
      <c r="S2144" s="234" t="n">
        <v>35</v>
      </c>
      <c r="T2144" s="232" t="inlineStr">
        <is>
          <t>CLP</t>
        </is>
      </c>
      <c r="U2144" s="232" t="inlineStr">
        <is>
          <t>Prorrateo Ha BODEGA</t>
        </is>
      </c>
      <c r="V2144" s="232" t="inlineStr">
        <is>
          <t>2026-06-18</t>
        </is>
      </c>
    </row>
    <row r="2145">
      <c r="A2145" s="232" t="inlineStr">
        <is>
          <t>CR-2142</t>
        </is>
      </c>
      <c r="B2145" s="232" t="inlineStr">
        <is>
          <t>2026/27</t>
        </is>
      </c>
      <c r="C2145" s="233" t="n">
        <v>46071</v>
      </c>
      <c r="D2145" s="232" t="inlineStr">
        <is>
          <t>68895</t>
        </is>
      </c>
      <c r="E2145" s="232" t="inlineStr">
        <is>
          <t>PRORRATEO</t>
        </is>
      </c>
      <c r="F2145" s="232" t="inlineStr">
        <is>
          <t>El Molle</t>
        </is>
      </c>
      <c r="G2145" s="232" t="inlineStr">
        <is>
          <t>arrufatinas 5,74 ha</t>
        </is>
      </c>
      <c r="H2145" s="232" t="inlineStr">
        <is>
          <t>Clementinas</t>
        </is>
      </c>
      <c r="I2145" s="232" t="inlineStr">
        <is>
          <t>Arrufatinas</t>
        </is>
      </c>
      <c r="J2145" s="232" t="inlineStr">
        <is>
          <t>MANT. Y REP. CONSTRUCCIONES</t>
        </is>
      </c>
      <c r="K2145" s="232" t="inlineStr">
        <is>
          <t>MANTENCION INFRAESTRUCTURA</t>
        </is>
      </c>
      <c r="L2145" s="232" t="inlineStr">
        <is>
          <t>[PRORRATEO 3.9% 5.74há/148.3há] O/001401 BISAGRA AN</t>
        </is>
      </c>
      <c r="M2145" s="232" t="inlineStr"/>
      <c r="N2145" s="232" t="inlineStr">
        <is>
          <t>.   .   -</t>
        </is>
      </c>
      <c r="O2145" s="232" t="inlineStr">
        <is>
          <t>FEBRERO</t>
        </is>
      </c>
      <c r="P2145" s="232" t="n">
        <v>7</v>
      </c>
      <c r="Q2145" s="234" t="n">
        <v>38</v>
      </c>
      <c r="R2145" s="232" t="inlineStr"/>
      <c r="S2145" s="234" t="n">
        <v>38</v>
      </c>
      <c r="T2145" s="232" t="inlineStr">
        <is>
          <t>CLP</t>
        </is>
      </c>
      <c r="U2145" s="232" t="inlineStr">
        <is>
          <t>Prorrateo Ha BODEGA</t>
        </is>
      </c>
      <c r="V2145" s="232" t="inlineStr">
        <is>
          <t>2026-06-18</t>
        </is>
      </c>
    </row>
    <row r="2146">
      <c r="A2146" s="232" t="inlineStr">
        <is>
          <t>CR-2143</t>
        </is>
      </c>
      <c r="B2146" s="232" t="inlineStr">
        <is>
          <t>2026/27</t>
        </is>
      </c>
      <c r="C2146" s="233" t="n">
        <v>46071</v>
      </c>
      <c r="D2146" s="232" t="inlineStr">
        <is>
          <t>68895</t>
        </is>
      </c>
      <c r="E2146" s="232" t="inlineStr">
        <is>
          <t>PRORRATEO</t>
        </is>
      </c>
      <c r="F2146" s="232" t="inlineStr">
        <is>
          <t>El Molle</t>
        </is>
      </c>
      <c r="G2146" s="232" t="inlineStr">
        <is>
          <t>orogrande 8,11 ha</t>
        </is>
      </c>
      <c r="H2146" s="232" t="inlineStr">
        <is>
          <t>Clementinas</t>
        </is>
      </c>
      <c r="I2146" s="232" t="inlineStr">
        <is>
          <t>Orogrande</t>
        </is>
      </c>
      <c r="J2146" s="232" t="inlineStr">
        <is>
          <t>MANT. Y REP. CONSTRUCCIONES</t>
        </is>
      </c>
      <c r="K2146" s="232" t="inlineStr">
        <is>
          <t>MANTENCION INFRAESTRUCTURA</t>
        </is>
      </c>
      <c r="L2146" s="232" t="inlineStr">
        <is>
          <t>[PRORRATEO 5.5% 8.11há/148.3há] O/001401 BISAGRA AN</t>
        </is>
      </c>
      <c r="M2146" s="232" t="inlineStr"/>
      <c r="N2146" s="232" t="inlineStr">
        <is>
          <t>.   .   -</t>
        </is>
      </c>
      <c r="O2146" s="232" t="inlineStr">
        <is>
          <t>FEBRERO</t>
        </is>
      </c>
      <c r="P2146" s="232" t="n">
        <v>7</v>
      </c>
      <c r="Q2146" s="234" t="n">
        <v>54</v>
      </c>
      <c r="R2146" s="232" t="inlineStr"/>
      <c r="S2146" s="234" t="n">
        <v>54</v>
      </c>
      <c r="T2146" s="232" t="inlineStr">
        <is>
          <t>CLP</t>
        </is>
      </c>
      <c r="U2146" s="232" t="inlineStr">
        <is>
          <t>Prorrateo Ha BODEGA</t>
        </is>
      </c>
      <c r="V2146" s="232" t="inlineStr">
        <is>
          <t>2026-06-18</t>
        </is>
      </c>
    </row>
    <row r="2147">
      <c r="A2147" s="232" t="inlineStr">
        <is>
          <t>CR-2144</t>
        </is>
      </c>
      <c r="B2147" s="232" t="inlineStr">
        <is>
          <t>2026/27</t>
        </is>
      </c>
      <c r="C2147" s="233" t="n">
        <v>46071</v>
      </c>
      <c r="D2147" s="232" t="inlineStr">
        <is>
          <t>68895</t>
        </is>
      </c>
      <c r="E2147" s="232" t="inlineStr">
        <is>
          <t>PRORRATEO</t>
        </is>
      </c>
      <c r="F2147" s="232" t="inlineStr">
        <is>
          <t>El Molle</t>
        </is>
      </c>
      <c r="G2147" s="232" t="inlineStr">
        <is>
          <t>oronules 5,35 ha</t>
        </is>
      </c>
      <c r="H2147" s="232" t="inlineStr">
        <is>
          <t>Clementinas</t>
        </is>
      </c>
      <c r="I2147" s="232" t="inlineStr">
        <is>
          <t>Oronules</t>
        </is>
      </c>
      <c r="J2147" s="232" t="inlineStr">
        <is>
          <t>MANT. Y REP. CONSTRUCCIONES</t>
        </is>
      </c>
      <c r="K2147" s="232" t="inlineStr">
        <is>
          <t>MANTENCION INFRAESTRUCTURA</t>
        </is>
      </c>
      <c r="L2147" s="232" t="inlineStr">
        <is>
          <t>[PRORRATEO 3.6% 5.35há/148.3há] O/001401 BISAGRA AN</t>
        </is>
      </c>
      <c r="M2147" s="232" t="inlineStr"/>
      <c r="N2147" s="232" t="inlineStr">
        <is>
          <t>.   .   -</t>
        </is>
      </c>
      <c r="O2147" s="232" t="inlineStr">
        <is>
          <t>FEBRERO</t>
        </is>
      </c>
      <c r="P2147" s="232" t="n">
        <v>7</v>
      </c>
      <c r="Q2147" s="234" t="n">
        <v>36</v>
      </c>
      <c r="R2147" s="232" t="inlineStr"/>
      <c r="S2147" s="234" t="n">
        <v>36</v>
      </c>
      <c r="T2147" s="232" t="inlineStr">
        <is>
          <t>CLP</t>
        </is>
      </c>
      <c r="U2147" s="232" t="inlineStr">
        <is>
          <t>Prorrateo Ha BODEGA</t>
        </is>
      </c>
      <c r="V2147" s="232" t="inlineStr">
        <is>
          <t>2026-06-18</t>
        </is>
      </c>
    </row>
    <row r="2148">
      <c r="A2148" s="232" t="inlineStr">
        <is>
          <t>CR-2145</t>
        </is>
      </c>
      <c r="B2148" s="232" t="inlineStr">
        <is>
          <t>2026/27</t>
        </is>
      </c>
      <c r="C2148" s="233" t="n">
        <v>46071</v>
      </c>
      <c r="D2148" s="232" t="inlineStr">
        <is>
          <t>68895</t>
        </is>
      </c>
      <c r="E2148" s="232" t="inlineStr">
        <is>
          <t>PRORRATEO</t>
        </is>
      </c>
      <c r="F2148" s="232" t="inlineStr">
        <is>
          <t>Santa Catalina</t>
        </is>
      </c>
      <c r="G2148" s="232" t="inlineStr">
        <is>
          <t>Fino 49 7,7 ha</t>
        </is>
      </c>
      <c r="H2148" s="232" t="inlineStr">
        <is>
          <t>Limon</t>
        </is>
      </c>
      <c r="I2148" s="232" t="inlineStr">
        <is>
          <t>Fino 49</t>
        </is>
      </c>
      <c r="J2148" s="232" t="inlineStr">
        <is>
          <t>MANT. Y REP. CONSTRUCCIONES</t>
        </is>
      </c>
      <c r="K2148" s="232" t="inlineStr">
        <is>
          <t>MANTENCION INFRAESTRUCTURA</t>
        </is>
      </c>
      <c r="L2148" s="232" t="inlineStr">
        <is>
          <t>[PRORRATEO 5.2% 7.7há/148.3há] O/001401 BISAGRA AN</t>
        </is>
      </c>
      <c r="M2148" s="232" t="inlineStr"/>
      <c r="N2148" s="232" t="inlineStr">
        <is>
          <t>.   .   -</t>
        </is>
      </c>
      <c r="O2148" s="232" t="inlineStr">
        <is>
          <t>FEBRERO</t>
        </is>
      </c>
      <c r="P2148" s="232" t="n">
        <v>7</v>
      </c>
      <c r="Q2148" s="234" t="n">
        <v>51</v>
      </c>
      <c r="R2148" s="232" t="inlineStr"/>
      <c r="S2148" s="234" t="n">
        <v>51</v>
      </c>
      <c r="T2148" s="232" t="inlineStr">
        <is>
          <t>CLP</t>
        </is>
      </c>
      <c r="U2148" s="232" t="inlineStr">
        <is>
          <t>Prorrateo Ha BODEGA</t>
        </is>
      </c>
      <c r="V2148" s="232" t="inlineStr">
        <is>
          <t>2026-06-18</t>
        </is>
      </c>
    </row>
    <row r="2149">
      <c r="A2149" s="232" t="inlineStr">
        <is>
          <t>CR-2146</t>
        </is>
      </c>
      <c r="B2149" s="232" t="inlineStr">
        <is>
          <t>2026/27</t>
        </is>
      </c>
      <c r="C2149" s="233" t="n">
        <v>46071</v>
      </c>
      <c r="D2149" s="232" t="inlineStr">
        <is>
          <t>68895</t>
        </is>
      </c>
      <c r="E2149" s="232" t="inlineStr">
        <is>
          <t>PRORRATEO</t>
        </is>
      </c>
      <c r="F2149" s="232" t="inlineStr">
        <is>
          <t>Santa Catalina</t>
        </is>
      </c>
      <c r="G2149" s="232" t="inlineStr">
        <is>
          <t>W. murcott 21 ha</t>
        </is>
      </c>
      <c r="H2149" s="232" t="inlineStr">
        <is>
          <t>Mandarina</t>
        </is>
      </c>
      <c r="I2149" s="232" t="inlineStr">
        <is>
          <t>W. murcott</t>
        </is>
      </c>
      <c r="J2149" s="232" t="inlineStr">
        <is>
          <t>MANT. Y REP. CONSTRUCCIONES</t>
        </is>
      </c>
      <c r="K2149" s="232" t="inlineStr">
        <is>
          <t>MANTENCION INFRAESTRUCTURA</t>
        </is>
      </c>
      <c r="L2149" s="232" t="inlineStr">
        <is>
          <t>[PRORRATEO 14.2% 21.0há/148.3há] O/001401 BISAGRA AN</t>
        </is>
      </c>
      <c r="M2149" s="232" t="inlineStr"/>
      <c r="N2149" s="232" t="inlineStr">
        <is>
          <t>.   .   -</t>
        </is>
      </c>
      <c r="O2149" s="232" t="inlineStr">
        <is>
          <t>FEBRERO</t>
        </is>
      </c>
      <c r="P2149" s="232" t="n">
        <v>7</v>
      </c>
      <c r="Q2149" s="234" t="n">
        <v>139</v>
      </c>
      <c r="R2149" s="232" t="inlineStr"/>
      <c r="S2149" s="234" t="n">
        <v>139</v>
      </c>
      <c r="T2149" s="232" t="inlineStr">
        <is>
          <t>CLP</t>
        </is>
      </c>
      <c r="U2149" s="232" t="inlineStr">
        <is>
          <t>Prorrateo Ha BODEGA</t>
        </is>
      </c>
      <c r="V2149" s="232" t="inlineStr">
        <is>
          <t>2026-06-18</t>
        </is>
      </c>
    </row>
    <row r="2150">
      <c r="A2150" s="232" t="inlineStr">
        <is>
          <t>CR-2147</t>
        </is>
      </c>
      <c r="B2150" s="232" t="inlineStr">
        <is>
          <t>2026/27</t>
        </is>
      </c>
      <c r="C2150" s="233" t="n">
        <v>46071</v>
      </c>
      <c r="D2150" s="232" t="inlineStr">
        <is>
          <t>68895</t>
        </is>
      </c>
      <c r="E2150" s="232" t="inlineStr">
        <is>
          <t>PRORRATEO</t>
        </is>
      </c>
      <c r="F2150" s="232" t="inlineStr">
        <is>
          <t>Santa Catalina</t>
        </is>
      </c>
      <c r="G2150" s="232" t="inlineStr">
        <is>
          <t>cambria 4,2 ha</t>
        </is>
      </c>
      <c r="H2150" s="232" t="inlineStr">
        <is>
          <t>Naranjas</t>
        </is>
      </c>
      <c r="I2150" s="232" t="inlineStr">
        <is>
          <t>Cambria</t>
        </is>
      </c>
      <c r="J2150" s="232" t="inlineStr">
        <is>
          <t>MANT. Y REP. CONSTRUCCIONES</t>
        </is>
      </c>
      <c r="K2150" s="232" t="inlineStr">
        <is>
          <t>MANTENCION INFRAESTRUCTURA</t>
        </is>
      </c>
      <c r="L2150" s="232" t="inlineStr">
        <is>
          <t>[PRORRATEO 2.8% 4.2há/148.3há] O/001401 BISAGRA AN</t>
        </is>
      </c>
      <c r="M2150" s="232" t="inlineStr"/>
      <c r="N2150" s="232" t="inlineStr">
        <is>
          <t>.   .   -</t>
        </is>
      </c>
      <c r="O2150" s="232" t="inlineStr">
        <is>
          <t>FEBRERO</t>
        </is>
      </c>
      <c r="P2150" s="232" t="n">
        <v>7</v>
      </c>
      <c r="Q2150" s="234" t="n">
        <v>28</v>
      </c>
      <c r="R2150" s="232" t="inlineStr"/>
      <c r="S2150" s="234" t="n">
        <v>28</v>
      </c>
      <c r="T2150" s="232" t="inlineStr">
        <is>
          <t>CLP</t>
        </is>
      </c>
      <c r="U2150" s="232" t="inlineStr">
        <is>
          <t>Prorrateo Ha BODEGA</t>
        </is>
      </c>
      <c r="V2150" s="232" t="inlineStr">
        <is>
          <t>2026-06-18</t>
        </is>
      </c>
    </row>
    <row r="2151">
      <c r="A2151" s="232" t="inlineStr">
        <is>
          <t>CR-2148</t>
        </is>
      </c>
      <c r="B2151" s="232" t="inlineStr">
        <is>
          <t>2026/27</t>
        </is>
      </c>
      <c r="C2151" s="233" t="n">
        <v>46071</v>
      </c>
      <c r="D2151" s="232" t="inlineStr">
        <is>
          <t>68895</t>
        </is>
      </c>
      <c r="E2151" s="232" t="inlineStr">
        <is>
          <t>PRORRATEO</t>
        </is>
      </c>
      <c r="F2151" s="232" t="inlineStr">
        <is>
          <t>Santa Catalina</t>
        </is>
      </c>
      <c r="G2151" s="232" t="inlineStr">
        <is>
          <t>eureka 10,6 ha</t>
        </is>
      </c>
      <c r="H2151" s="232" t="inlineStr">
        <is>
          <t>Limon</t>
        </is>
      </c>
      <c r="I2151" s="232" t="inlineStr">
        <is>
          <t>Eureka</t>
        </is>
      </c>
      <c r="J2151" s="232" t="inlineStr">
        <is>
          <t>MANT. Y REP. CONSTRUCCIONES</t>
        </is>
      </c>
      <c r="K2151" s="232" t="inlineStr">
        <is>
          <t>MANTENCION INFRAESTRUCTURA</t>
        </is>
      </c>
      <c r="L2151" s="232" t="inlineStr">
        <is>
          <t>[PRORRATEO 7.1% 10.6há/148.3há] O/001401 BISAGRA AN</t>
        </is>
      </c>
      <c r="M2151" s="232" t="inlineStr"/>
      <c r="N2151" s="232" t="inlineStr">
        <is>
          <t>.   .   -</t>
        </is>
      </c>
      <c r="O2151" s="232" t="inlineStr">
        <is>
          <t>FEBRERO</t>
        </is>
      </c>
      <c r="P2151" s="232" t="n">
        <v>7</v>
      </c>
      <c r="Q2151" s="234" t="n">
        <v>70</v>
      </c>
      <c r="R2151" s="232" t="inlineStr"/>
      <c r="S2151" s="234" t="n">
        <v>70</v>
      </c>
      <c r="T2151" s="232" t="inlineStr">
        <is>
          <t>CLP</t>
        </is>
      </c>
      <c r="U2151" s="232" t="inlineStr">
        <is>
          <t>Prorrateo Ha BODEGA</t>
        </is>
      </c>
      <c r="V2151" s="232" t="inlineStr">
        <is>
          <t>2026-06-18</t>
        </is>
      </c>
    </row>
    <row r="2152">
      <c r="A2152" s="232" t="inlineStr">
        <is>
          <t>CR-2149</t>
        </is>
      </c>
      <c r="B2152" s="232" t="inlineStr">
        <is>
          <t>2026/27</t>
        </is>
      </c>
      <c r="C2152" s="233" t="n">
        <v>46071</v>
      </c>
      <c r="D2152" s="232" t="inlineStr">
        <is>
          <t>68895</t>
        </is>
      </c>
      <c r="E2152" s="232" t="inlineStr">
        <is>
          <t>PRORRATEO</t>
        </is>
      </c>
      <c r="F2152" s="232" t="inlineStr">
        <is>
          <t>Santa Catalina</t>
        </is>
      </c>
      <c r="G2152" s="232" t="inlineStr">
        <is>
          <t>eureka 14,4 ha</t>
        </is>
      </c>
      <c r="H2152" s="232" t="inlineStr">
        <is>
          <t>Limon</t>
        </is>
      </c>
      <c r="I2152" s="232" t="inlineStr">
        <is>
          <t>Eureka</t>
        </is>
      </c>
      <c r="J2152" s="232" t="inlineStr">
        <is>
          <t>MANT. Y REP. CONSTRUCCIONES</t>
        </is>
      </c>
      <c r="K2152" s="232" t="inlineStr">
        <is>
          <t>MANTENCION INFRAESTRUCTURA</t>
        </is>
      </c>
      <c r="L2152" s="232" t="inlineStr">
        <is>
          <t>[PRORRATEO 9.7% 14.4há/148.3há] O/001401 BISAGRA AN</t>
        </is>
      </c>
      <c r="M2152" s="232" t="inlineStr"/>
      <c r="N2152" s="232" t="inlineStr">
        <is>
          <t>.   .   -</t>
        </is>
      </c>
      <c r="O2152" s="232" t="inlineStr">
        <is>
          <t>FEBRERO</t>
        </is>
      </c>
      <c r="P2152" s="232" t="n">
        <v>7</v>
      </c>
      <c r="Q2152" s="234" t="n">
        <v>96</v>
      </c>
      <c r="R2152" s="232" t="inlineStr"/>
      <c r="S2152" s="234" t="n">
        <v>96</v>
      </c>
      <c r="T2152" s="232" t="inlineStr">
        <is>
          <t>CLP</t>
        </is>
      </c>
      <c r="U2152" s="232" t="inlineStr">
        <is>
          <t>Prorrateo Ha BODEGA</t>
        </is>
      </c>
      <c r="V2152" s="232" t="inlineStr">
        <is>
          <t>2026-06-18</t>
        </is>
      </c>
    </row>
    <row r="2153">
      <c r="A2153" s="232" t="inlineStr">
        <is>
          <t>CR-2150</t>
        </is>
      </c>
      <c r="B2153" s="232" t="inlineStr">
        <is>
          <t>2026/27</t>
        </is>
      </c>
      <c r="C2153" s="233" t="n">
        <v>46071</v>
      </c>
      <c r="D2153" s="232" t="inlineStr">
        <is>
          <t>68895</t>
        </is>
      </c>
      <c r="E2153" s="232" t="inlineStr">
        <is>
          <t>PRORRATEO</t>
        </is>
      </c>
      <c r="F2153" s="232" t="inlineStr">
        <is>
          <t>Santa Catalina</t>
        </is>
      </c>
      <c r="G2153" s="232" t="inlineStr">
        <is>
          <t>eureka 22,55</t>
        </is>
      </c>
      <c r="H2153" s="232" t="inlineStr">
        <is>
          <t>Limon</t>
        </is>
      </c>
      <c r="I2153" s="232" t="inlineStr">
        <is>
          <t>Eureka</t>
        </is>
      </c>
      <c r="J2153" s="232" t="inlineStr">
        <is>
          <t>MANT. Y REP. CONSTRUCCIONES</t>
        </is>
      </c>
      <c r="K2153" s="232" t="inlineStr">
        <is>
          <t>MANTENCION INFRAESTRUCTURA</t>
        </is>
      </c>
      <c r="L2153" s="232" t="inlineStr">
        <is>
          <t>[PRORRATEO 15.2% 22.55há/148.3há] O/001401 BISAGRA AN</t>
        </is>
      </c>
      <c r="M2153" s="232" t="inlineStr"/>
      <c r="N2153" s="232" t="inlineStr">
        <is>
          <t>.   .   -</t>
        </is>
      </c>
      <c r="O2153" s="232" t="inlineStr">
        <is>
          <t>FEBRERO</t>
        </is>
      </c>
      <c r="P2153" s="232" t="n">
        <v>7</v>
      </c>
      <c r="Q2153" s="234" t="n">
        <v>150</v>
      </c>
      <c r="R2153" s="232" t="inlineStr"/>
      <c r="S2153" s="234" t="n">
        <v>150</v>
      </c>
      <c r="T2153" s="232" t="inlineStr">
        <is>
          <t>CLP</t>
        </is>
      </c>
      <c r="U2153" s="232" t="inlineStr">
        <is>
          <t>Prorrateo Ha BODEGA</t>
        </is>
      </c>
      <c r="V2153" s="232" t="inlineStr">
        <is>
          <t>2026-06-18</t>
        </is>
      </c>
    </row>
    <row r="2154">
      <c r="A2154" s="232" t="inlineStr">
        <is>
          <t>CR-2151</t>
        </is>
      </c>
      <c r="B2154" s="232" t="inlineStr">
        <is>
          <t>2026/27</t>
        </is>
      </c>
      <c r="C2154" s="233" t="n">
        <v>46071</v>
      </c>
      <c r="D2154" s="232" t="inlineStr">
        <is>
          <t>68895</t>
        </is>
      </c>
      <c r="E2154" s="232" t="inlineStr">
        <is>
          <t>PRORRATEO</t>
        </is>
      </c>
      <c r="F2154" s="232" t="inlineStr">
        <is>
          <t>Santa Catalina</t>
        </is>
      </c>
      <c r="G2154" s="232" t="inlineStr">
        <is>
          <t>form benjamin 1,93 ha</t>
        </is>
      </c>
      <c r="H2154" s="232" t="inlineStr">
        <is>
          <t>Limon</t>
        </is>
      </c>
      <c r="I2154" s="232" t="inlineStr">
        <is>
          <t>Benjamin andes</t>
        </is>
      </c>
      <c r="J2154" s="232" t="inlineStr">
        <is>
          <t>MANT. Y REP. CONSTRUCCIONES</t>
        </is>
      </c>
      <c r="K2154" s="232" t="inlineStr">
        <is>
          <t>MANTENCION INFRAESTRUCTURA</t>
        </is>
      </c>
      <c r="L2154" s="232" t="inlineStr">
        <is>
          <t>[PRORRATEO 1.3% 1.93há/148.3há] O/001401 BISAGRA AN</t>
        </is>
      </c>
      <c r="M2154" s="232" t="inlineStr"/>
      <c r="N2154" s="232" t="inlineStr">
        <is>
          <t>.   .   -</t>
        </is>
      </c>
      <c r="O2154" s="232" t="inlineStr">
        <is>
          <t>FEBRERO</t>
        </is>
      </c>
      <c r="P2154" s="232" t="n">
        <v>7</v>
      </c>
      <c r="Q2154" s="234" t="n">
        <v>13</v>
      </c>
      <c r="R2154" s="232" t="inlineStr"/>
      <c r="S2154" s="234" t="n">
        <v>13</v>
      </c>
      <c r="T2154" s="232" t="inlineStr">
        <is>
          <t>CLP</t>
        </is>
      </c>
      <c r="U2154" s="232" t="inlineStr">
        <is>
          <t>Prorrateo Ha BODEGA</t>
        </is>
      </c>
      <c r="V2154" s="232" t="inlineStr">
        <is>
          <t>2026-06-18</t>
        </is>
      </c>
    </row>
    <row r="2155">
      <c r="A2155" s="232" t="inlineStr">
        <is>
          <t>CR-2152</t>
        </is>
      </c>
      <c r="B2155" s="232" t="inlineStr">
        <is>
          <t>2026/27</t>
        </is>
      </c>
      <c r="C2155" s="233" t="n">
        <v>46071</v>
      </c>
      <c r="D2155" s="232" t="inlineStr">
        <is>
          <t>68895</t>
        </is>
      </c>
      <c r="E2155" s="232" t="inlineStr">
        <is>
          <t>PRORRATEO</t>
        </is>
      </c>
      <c r="F2155" s="232" t="inlineStr">
        <is>
          <t>Santa Catalina</t>
        </is>
      </c>
      <c r="G2155" s="232" t="inlineStr">
        <is>
          <t>mant eureka 2,5 ha</t>
        </is>
      </c>
      <c r="H2155" s="232" t="inlineStr">
        <is>
          <t>Limon</t>
        </is>
      </c>
      <c r="I2155" s="232" t="inlineStr">
        <is>
          <t>Eureka</t>
        </is>
      </c>
      <c r="J2155" s="232" t="inlineStr">
        <is>
          <t>MANT. Y REP. CONSTRUCCIONES</t>
        </is>
      </c>
      <c r="K2155" s="232" t="inlineStr">
        <is>
          <t>MANTENCION INFRAESTRUCTURA</t>
        </is>
      </c>
      <c r="L2155" s="232" t="inlineStr">
        <is>
          <t>[PRORRATEO 1.7% 2.5há/148.3há] O/001401 BISAGRA AN</t>
        </is>
      </c>
      <c r="M2155" s="232" t="inlineStr"/>
      <c r="N2155" s="232" t="inlineStr">
        <is>
          <t>.   .   -</t>
        </is>
      </c>
      <c r="O2155" s="232" t="inlineStr">
        <is>
          <t>FEBRERO</t>
        </is>
      </c>
      <c r="P2155" s="232" t="n">
        <v>7</v>
      </c>
      <c r="Q2155" s="234" t="n">
        <v>17</v>
      </c>
      <c r="R2155" s="232" t="inlineStr"/>
      <c r="S2155" s="234" t="n">
        <v>17</v>
      </c>
      <c r="T2155" s="232" t="inlineStr">
        <is>
          <t>CLP</t>
        </is>
      </c>
      <c r="U2155" s="232" t="inlineStr">
        <is>
          <t>Prorrateo Ha BODEGA</t>
        </is>
      </c>
      <c r="V2155" s="232" t="inlineStr">
        <is>
          <t>2026-06-18</t>
        </is>
      </c>
    </row>
    <row r="2156">
      <c r="A2156" s="232" t="inlineStr">
        <is>
          <t>CR-2153</t>
        </is>
      </c>
      <c r="B2156" s="232" t="inlineStr">
        <is>
          <t>2026/27</t>
        </is>
      </c>
      <c r="C2156" s="233" t="n">
        <v>46071</v>
      </c>
      <c r="D2156" s="232" t="inlineStr">
        <is>
          <t>68895</t>
        </is>
      </c>
      <c r="E2156" s="232" t="inlineStr">
        <is>
          <t>PRORRATEO</t>
        </is>
      </c>
      <c r="F2156" s="232" t="inlineStr">
        <is>
          <t>Siberia</t>
        </is>
      </c>
      <c r="G2156" s="232" t="inlineStr">
        <is>
          <t>S. Celebration 7,14</t>
        </is>
      </c>
      <c r="H2156" s="232" t="inlineStr">
        <is>
          <t>Uvas</t>
        </is>
      </c>
      <c r="I2156" s="232" t="inlineStr">
        <is>
          <t>S. celebration</t>
        </is>
      </c>
      <c r="J2156" s="232" t="inlineStr">
        <is>
          <t>MANT. Y REP. CONSTRUCCIONES</t>
        </is>
      </c>
      <c r="K2156" s="232" t="inlineStr">
        <is>
          <t>MANTENCION INFRAESTRUCTURA</t>
        </is>
      </c>
      <c r="L2156" s="232" t="inlineStr">
        <is>
          <t>[PRORRATEO 4.8% 7.14há/148.3há] O/001401 BISAGRA AN</t>
        </is>
      </c>
      <c r="M2156" s="232" t="inlineStr"/>
      <c r="N2156" s="232" t="inlineStr">
        <is>
          <t>.   .   -</t>
        </is>
      </c>
      <c r="O2156" s="232" t="inlineStr">
        <is>
          <t>FEBRERO</t>
        </is>
      </c>
      <c r="P2156" s="232" t="n">
        <v>7</v>
      </c>
      <c r="Q2156" s="234" t="n">
        <v>47</v>
      </c>
      <c r="R2156" s="232" t="inlineStr"/>
      <c r="S2156" s="234" t="n">
        <v>47</v>
      </c>
      <c r="T2156" s="232" t="inlineStr">
        <is>
          <t>CLP</t>
        </is>
      </c>
      <c r="U2156" s="232" t="inlineStr">
        <is>
          <t>Prorrateo Ha BODEGA</t>
        </is>
      </c>
      <c r="V2156" s="232" t="inlineStr">
        <is>
          <t>2026-06-18</t>
        </is>
      </c>
    </row>
    <row r="2157">
      <c r="A2157" s="232" t="inlineStr">
        <is>
          <t>CR-2154</t>
        </is>
      </c>
      <c r="B2157" s="232" t="inlineStr">
        <is>
          <t>2026/27</t>
        </is>
      </c>
      <c r="C2157" s="233" t="n">
        <v>46071</v>
      </c>
      <c r="D2157" s="232" t="inlineStr">
        <is>
          <t>68895</t>
        </is>
      </c>
      <c r="E2157" s="232" t="inlineStr">
        <is>
          <t>PRORRATEO</t>
        </is>
      </c>
      <c r="F2157" s="232" t="inlineStr">
        <is>
          <t>Siberia</t>
        </is>
      </c>
      <c r="G2157" s="232" t="inlineStr">
        <is>
          <t>Timpson 7,1</t>
        </is>
      </c>
      <c r="H2157" s="232" t="inlineStr">
        <is>
          <t>Uvas</t>
        </is>
      </c>
      <c r="I2157" s="232" t="inlineStr">
        <is>
          <t>Timpson</t>
        </is>
      </c>
      <c r="J2157" s="232" t="inlineStr">
        <is>
          <t>MANT. Y REP. CONSTRUCCIONES</t>
        </is>
      </c>
      <c r="K2157" s="232" t="inlineStr">
        <is>
          <t>MANTENCION INFRAESTRUCTURA</t>
        </is>
      </c>
      <c r="L2157" s="232" t="inlineStr">
        <is>
          <t>[PRORRATEO 4.8% 7.1há/148.3há] O/001401 BISAGRA AN</t>
        </is>
      </c>
      <c r="M2157" s="232" t="inlineStr"/>
      <c r="N2157" s="232" t="inlineStr">
        <is>
          <t>.   .   -</t>
        </is>
      </c>
      <c r="O2157" s="232" t="inlineStr">
        <is>
          <t>FEBRERO</t>
        </is>
      </c>
      <c r="P2157" s="232" t="n">
        <v>7</v>
      </c>
      <c r="Q2157" s="234" t="n">
        <v>47</v>
      </c>
      <c r="R2157" s="232" t="inlineStr"/>
      <c r="S2157" s="234" t="n">
        <v>47</v>
      </c>
      <c r="T2157" s="232" t="inlineStr">
        <is>
          <t>CLP</t>
        </is>
      </c>
      <c r="U2157" s="232" t="inlineStr">
        <is>
          <t>Prorrateo Ha BODEGA</t>
        </is>
      </c>
      <c r="V2157" s="232" t="inlineStr">
        <is>
          <t>2026-06-18</t>
        </is>
      </c>
    </row>
    <row r="2158">
      <c r="A2158" s="232" t="inlineStr">
        <is>
          <t>CR-2155</t>
        </is>
      </c>
      <c r="B2158" s="232" t="inlineStr">
        <is>
          <t>2026/27</t>
        </is>
      </c>
      <c r="C2158" s="233" t="n">
        <v>46071</v>
      </c>
      <c r="D2158" s="232" t="inlineStr">
        <is>
          <t>68895</t>
        </is>
      </c>
      <c r="E2158" s="232" t="inlineStr">
        <is>
          <t>PRORRATEO</t>
        </is>
      </c>
      <c r="F2158" s="232" t="inlineStr">
        <is>
          <t>Asmara</t>
        </is>
      </c>
      <c r="G2158" s="232" t="inlineStr">
        <is>
          <t>w. murcott 19,8 ha</t>
        </is>
      </c>
      <c r="H2158" s="232" t="inlineStr">
        <is>
          <t>Mandarina</t>
        </is>
      </c>
      <c r="I2158" s="232" t="inlineStr">
        <is>
          <t>W. murcott</t>
        </is>
      </c>
      <c r="J2158" s="232" t="inlineStr">
        <is>
          <t>MANT. Y REP. CONSTRUCCIONES</t>
        </is>
      </c>
      <c r="K2158" s="232" t="inlineStr">
        <is>
          <t>MANTENCION INFRAESTRUCTURA</t>
        </is>
      </c>
      <c r="L2158" s="232" t="inlineStr">
        <is>
          <t>[PRORRATEO 13.4% 19.8há/148.3há] O/001401 CODO HIDR.</t>
        </is>
      </c>
      <c r="M2158" s="232" t="inlineStr"/>
      <c r="N2158" s="232" t="inlineStr">
        <is>
          <t>.   .   -</t>
        </is>
      </c>
      <c r="O2158" s="232" t="inlineStr">
        <is>
          <t>FEBRERO</t>
        </is>
      </c>
      <c r="P2158" s="232" t="n">
        <v>7</v>
      </c>
      <c r="Q2158" s="234" t="n">
        <v>49</v>
      </c>
      <c r="R2158" s="232" t="inlineStr"/>
      <c r="S2158" s="234" t="n">
        <v>49</v>
      </c>
      <c r="T2158" s="232" t="inlineStr">
        <is>
          <t>CLP</t>
        </is>
      </c>
      <c r="U2158" s="232" t="inlineStr">
        <is>
          <t>Prorrateo Ha BODEGA</t>
        </is>
      </c>
      <c r="V2158" s="232" t="inlineStr">
        <is>
          <t>2026-06-18</t>
        </is>
      </c>
    </row>
    <row r="2159">
      <c r="A2159" s="232" t="inlineStr">
        <is>
          <t>CR-2156</t>
        </is>
      </c>
      <c r="B2159" s="232" t="inlineStr">
        <is>
          <t>2026/27</t>
        </is>
      </c>
      <c r="C2159" s="233" t="n">
        <v>46071</v>
      </c>
      <c r="D2159" s="232" t="inlineStr">
        <is>
          <t>68895</t>
        </is>
      </c>
      <c r="E2159" s="232" t="inlineStr">
        <is>
          <t>PRORRATEO</t>
        </is>
      </c>
      <c r="F2159" s="232" t="inlineStr">
        <is>
          <t>Asmara</t>
        </is>
      </c>
      <c r="G2159" s="232" t="inlineStr">
        <is>
          <t>w. murcott 4,9 ha</t>
        </is>
      </c>
      <c r="H2159" s="232" t="inlineStr">
        <is>
          <t>Mandarina</t>
        </is>
      </c>
      <c r="I2159" s="232" t="inlineStr">
        <is>
          <t>W. murcott</t>
        </is>
      </c>
      <c r="J2159" s="232" t="inlineStr">
        <is>
          <t>MANT. Y REP. CONSTRUCCIONES</t>
        </is>
      </c>
      <c r="K2159" s="232" t="inlineStr">
        <is>
          <t>MANTENCION INFRAESTRUCTURA</t>
        </is>
      </c>
      <c r="L2159" s="232" t="inlineStr">
        <is>
          <t>[PRORRATEO 3.3% 4.9há/148.3há] O/001401 CODO HIDR.</t>
        </is>
      </c>
      <c r="M2159" s="232" t="inlineStr"/>
      <c r="N2159" s="232" t="inlineStr">
        <is>
          <t>.   .   -</t>
        </is>
      </c>
      <c r="O2159" s="232" t="inlineStr">
        <is>
          <t>FEBRERO</t>
        </is>
      </c>
      <c r="P2159" s="232" t="n">
        <v>7</v>
      </c>
      <c r="Q2159" s="234" t="n">
        <v>12</v>
      </c>
      <c r="R2159" s="232" t="inlineStr"/>
      <c r="S2159" s="234" t="n">
        <v>12</v>
      </c>
      <c r="T2159" s="232" t="inlineStr">
        <is>
          <t>CLP</t>
        </is>
      </c>
      <c r="U2159" s="232" t="inlineStr">
        <is>
          <t>Prorrateo Ha BODEGA</t>
        </is>
      </c>
      <c r="V2159" s="232" t="inlineStr">
        <is>
          <t>2026-06-18</t>
        </is>
      </c>
    </row>
    <row r="2160">
      <c r="A2160" s="232" t="inlineStr">
        <is>
          <t>CR-2157</t>
        </is>
      </c>
      <c r="B2160" s="232" t="inlineStr">
        <is>
          <t>2026/27</t>
        </is>
      </c>
      <c r="C2160" s="233" t="n">
        <v>46071</v>
      </c>
      <c r="D2160" s="232" t="inlineStr">
        <is>
          <t>68895</t>
        </is>
      </c>
      <c r="E2160" s="232" t="inlineStr">
        <is>
          <t>PRORRATEO</t>
        </is>
      </c>
      <c r="F2160" s="232" t="inlineStr">
        <is>
          <t>El Molle</t>
        </is>
      </c>
      <c r="G2160" s="232" t="inlineStr">
        <is>
          <t>Wonderful 5,25 ha</t>
        </is>
      </c>
      <c r="H2160" s="232" t="inlineStr">
        <is>
          <t>Granados</t>
        </is>
      </c>
      <c r="I2160" s="232" t="inlineStr">
        <is>
          <t>Wonderfull</t>
        </is>
      </c>
      <c r="J2160" s="232" t="inlineStr">
        <is>
          <t>MANT. Y REP. CONSTRUCCIONES</t>
        </is>
      </c>
      <c r="K2160" s="232" t="inlineStr">
        <is>
          <t>MANTENCION INFRAESTRUCTURA</t>
        </is>
      </c>
      <c r="L2160" s="232" t="inlineStr">
        <is>
          <t>[PRORRATEO 3.5% 5.24há/148.3há] O/001401 CODO HIDR.</t>
        </is>
      </c>
      <c r="M2160" s="232" t="inlineStr"/>
      <c r="N2160" s="232" t="inlineStr">
        <is>
          <t>.   .   -</t>
        </is>
      </c>
      <c r="O2160" s="232" t="inlineStr">
        <is>
          <t>FEBRERO</t>
        </is>
      </c>
      <c r="P2160" s="232" t="n">
        <v>7</v>
      </c>
      <c r="Q2160" s="234" t="n">
        <v>13</v>
      </c>
      <c r="R2160" s="232" t="inlineStr"/>
      <c r="S2160" s="234" t="n">
        <v>13</v>
      </c>
      <c r="T2160" s="232" t="inlineStr">
        <is>
          <t>CLP</t>
        </is>
      </c>
      <c r="U2160" s="232" t="inlineStr">
        <is>
          <t>Prorrateo Ha BODEGA</t>
        </is>
      </c>
      <c r="V2160" s="232" t="inlineStr">
        <is>
          <t>2026-06-18</t>
        </is>
      </c>
    </row>
    <row r="2161">
      <c r="A2161" s="232" t="inlineStr">
        <is>
          <t>CR-2158</t>
        </is>
      </c>
      <c r="B2161" s="232" t="inlineStr">
        <is>
          <t>2026/27</t>
        </is>
      </c>
      <c r="C2161" s="233" t="n">
        <v>46071</v>
      </c>
      <c r="D2161" s="232" t="inlineStr">
        <is>
          <t>68895</t>
        </is>
      </c>
      <c r="E2161" s="232" t="inlineStr">
        <is>
          <t>PRORRATEO</t>
        </is>
      </c>
      <c r="F2161" s="232" t="inlineStr">
        <is>
          <t>El Molle</t>
        </is>
      </c>
      <c r="G2161" s="232" t="inlineStr">
        <is>
          <t>arrufatinas 5,74 ha</t>
        </is>
      </c>
      <c r="H2161" s="232" t="inlineStr">
        <is>
          <t>Clementinas</t>
        </is>
      </c>
      <c r="I2161" s="232" t="inlineStr">
        <is>
          <t>Arrufatinas</t>
        </is>
      </c>
      <c r="J2161" s="232" t="inlineStr">
        <is>
          <t>MANT. Y REP. CONSTRUCCIONES</t>
        </is>
      </c>
      <c r="K2161" s="232" t="inlineStr">
        <is>
          <t>MANTENCION INFRAESTRUCTURA</t>
        </is>
      </c>
      <c r="L2161" s="232" t="inlineStr">
        <is>
          <t>[PRORRATEO 3.9% 5.74há/148.3há] O/001401 CODO HIDR.</t>
        </is>
      </c>
      <c r="M2161" s="232" t="inlineStr"/>
      <c r="N2161" s="232" t="inlineStr">
        <is>
          <t>.   .   -</t>
        </is>
      </c>
      <c r="O2161" s="232" t="inlineStr">
        <is>
          <t>FEBRERO</t>
        </is>
      </c>
      <c r="P2161" s="232" t="n">
        <v>7</v>
      </c>
      <c r="Q2161" s="234" t="n">
        <v>14</v>
      </c>
      <c r="R2161" s="232" t="inlineStr"/>
      <c r="S2161" s="234" t="n">
        <v>14</v>
      </c>
      <c r="T2161" s="232" t="inlineStr">
        <is>
          <t>CLP</t>
        </is>
      </c>
      <c r="U2161" s="232" t="inlineStr">
        <is>
          <t>Prorrateo Ha BODEGA</t>
        </is>
      </c>
      <c r="V2161" s="232" t="inlineStr">
        <is>
          <t>2026-06-18</t>
        </is>
      </c>
    </row>
    <row r="2162">
      <c r="A2162" s="232" t="inlineStr">
        <is>
          <t>CR-2159</t>
        </is>
      </c>
      <c r="B2162" s="232" t="inlineStr">
        <is>
          <t>2026/27</t>
        </is>
      </c>
      <c r="C2162" s="233" t="n">
        <v>46071</v>
      </c>
      <c r="D2162" s="232" t="inlineStr">
        <is>
          <t>68895</t>
        </is>
      </c>
      <c r="E2162" s="232" t="inlineStr">
        <is>
          <t>PRORRATEO</t>
        </is>
      </c>
      <c r="F2162" s="232" t="inlineStr">
        <is>
          <t>El Molle</t>
        </is>
      </c>
      <c r="G2162" s="232" t="inlineStr">
        <is>
          <t>orogrande 8,11 ha</t>
        </is>
      </c>
      <c r="H2162" s="232" t="inlineStr">
        <is>
          <t>Clementinas</t>
        </is>
      </c>
      <c r="I2162" s="232" t="inlineStr">
        <is>
          <t>Orogrande</t>
        </is>
      </c>
      <c r="J2162" s="232" t="inlineStr">
        <is>
          <t>MANT. Y REP. CONSTRUCCIONES</t>
        </is>
      </c>
      <c r="K2162" s="232" t="inlineStr">
        <is>
          <t>MANTENCION INFRAESTRUCTURA</t>
        </is>
      </c>
      <c r="L2162" s="232" t="inlineStr">
        <is>
          <t>[PRORRATEO 5.5% 8.11há/148.3há] O/001401 CODO HIDR.</t>
        </is>
      </c>
      <c r="M2162" s="232" t="inlineStr"/>
      <c r="N2162" s="232" t="inlineStr">
        <is>
          <t>.   .   -</t>
        </is>
      </c>
      <c r="O2162" s="232" t="inlineStr">
        <is>
          <t>FEBRERO</t>
        </is>
      </c>
      <c r="P2162" s="232" t="n">
        <v>7</v>
      </c>
      <c r="Q2162" s="234" t="n">
        <v>20</v>
      </c>
      <c r="R2162" s="232" t="inlineStr"/>
      <c r="S2162" s="234" t="n">
        <v>20</v>
      </c>
      <c r="T2162" s="232" t="inlineStr">
        <is>
          <t>CLP</t>
        </is>
      </c>
      <c r="U2162" s="232" t="inlineStr">
        <is>
          <t>Prorrateo Ha BODEGA</t>
        </is>
      </c>
      <c r="V2162" s="232" t="inlineStr">
        <is>
          <t>2026-06-18</t>
        </is>
      </c>
    </row>
    <row r="2163">
      <c r="A2163" s="232" t="inlineStr">
        <is>
          <t>CR-2160</t>
        </is>
      </c>
      <c r="B2163" s="232" t="inlineStr">
        <is>
          <t>2026/27</t>
        </is>
      </c>
      <c r="C2163" s="233" t="n">
        <v>46071</v>
      </c>
      <c r="D2163" s="232" t="inlineStr">
        <is>
          <t>68895</t>
        </is>
      </c>
      <c r="E2163" s="232" t="inlineStr">
        <is>
          <t>PRORRATEO</t>
        </is>
      </c>
      <c r="F2163" s="232" t="inlineStr">
        <is>
          <t>El Molle</t>
        </is>
      </c>
      <c r="G2163" s="232" t="inlineStr">
        <is>
          <t>oronules 5,35 ha</t>
        </is>
      </c>
      <c r="H2163" s="232" t="inlineStr">
        <is>
          <t>Clementinas</t>
        </is>
      </c>
      <c r="I2163" s="232" t="inlineStr">
        <is>
          <t>Oronules</t>
        </is>
      </c>
      <c r="J2163" s="232" t="inlineStr">
        <is>
          <t>MANT. Y REP. CONSTRUCCIONES</t>
        </is>
      </c>
      <c r="K2163" s="232" t="inlineStr">
        <is>
          <t>MANTENCION INFRAESTRUCTURA</t>
        </is>
      </c>
      <c r="L2163" s="232" t="inlineStr">
        <is>
          <t>[PRORRATEO 3.6% 5.35há/148.3há] O/001401 CODO HIDR.</t>
        </is>
      </c>
      <c r="M2163" s="232" t="inlineStr"/>
      <c r="N2163" s="232" t="inlineStr">
        <is>
          <t>.   .   -</t>
        </is>
      </c>
      <c r="O2163" s="232" t="inlineStr">
        <is>
          <t>FEBRERO</t>
        </is>
      </c>
      <c r="P2163" s="232" t="n">
        <v>7</v>
      </c>
      <c r="Q2163" s="234" t="n">
        <v>13</v>
      </c>
      <c r="R2163" s="232" t="inlineStr"/>
      <c r="S2163" s="234" t="n">
        <v>13</v>
      </c>
      <c r="T2163" s="232" t="inlineStr">
        <is>
          <t>CLP</t>
        </is>
      </c>
      <c r="U2163" s="232" t="inlineStr">
        <is>
          <t>Prorrateo Ha BODEGA</t>
        </is>
      </c>
      <c r="V2163" s="232" t="inlineStr">
        <is>
          <t>2026-06-18</t>
        </is>
      </c>
    </row>
    <row r="2164">
      <c r="A2164" s="232" t="inlineStr">
        <is>
          <t>CR-2161</t>
        </is>
      </c>
      <c r="B2164" s="232" t="inlineStr">
        <is>
          <t>2026/27</t>
        </is>
      </c>
      <c r="C2164" s="233" t="n">
        <v>46071</v>
      </c>
      <c r="D2164" s="232" t="inlineStr">
        <is>
          <t>68895</t>
        </is>
      </c>
      <c r="E2164" s="232" t="inlineStr">
        <is>
          <t>PRORRATEO</t>
        </is>
      </c>
      <c r="F2164" s="232" t="inlineStr">
        <is>
          <t>Santa Catalina</t>
        </is>
      </c>
      <c r="G2164" s="232" t="inlineStr">
        <is>
          <t>Fino 49 7,7 ha</t>
        </is>
      </c>
      <c r="H2164" s="232" t="inlineStr">
        <is>
          <t>Limon</t>
        </is>
      </c>
      <c r="I2164" s="232" t="inlineStr">
        <is>
          <t>Fino 49</t>
        </is>
      </c>
      <c r="J2164" s="232" t="inlineStr">
        <is>
          <t>MANT. Y REP. CONSTRUCCIONES</t>
        </is>
      </c>
      <c r="K2164" s="232" t="inlineStr">
        <is>
          <t>MANTENCION INFRAESTRUCTURA</t>
        </is>
      </c>
      <c r="L2164" s="232" t="inlineStr">
        <is>
          <t>[PRORRATEO 5.2% 7.7há/148.3há] O/001401 CODO HIDR.</t>
        </is>
      </c>
      <c r="M2164" s="232" t="inlineStr"/>
      <c r="N2164" s="232" t="inlineStr">
        <is>
          <t>.   .   -</t>
        </is>
      </c>
      <c r="O2164" s="232" t="inlineStr">
        <is>
          <t>FEBRERO</t>
        </is>
      </c>
      <c r="P2164" s="232" t="n">
        <v>7</v>
      </c>
      <c r="Q2164" s="234" t="n">
        <v>19</v>
      </c>
      <c r="R2164" s="232" t="inlineStr"/>
      <c r="S2164" s="234" t="n">
        <v>19</v>
      </c>
      <c r="T2164" s="232" t="inlineStr">
        <is>
          <t>CLP</t>
        </is>
      </c>
      <c r="U2164" s="232" t="inlineStr">
        <is>
          <t>Prorrateo Ha BODEGA</t>
        </is>
      </c>
      <c r="V2164" s="232" t="inlineStr">
        <is>
          <t>2026-06-18</t>
        </is>
      </c>
    </row>
    <row r="2165">
      <c r="A2165" s="232" t="inlineStr">
        <is>
          <t>CR-2162</t>
        </is>
      </c>
      <c r="B2165" s="232" t="inlineStr">
        <is>
          <t>2026/27</t>
        </is>
      </c>
      <c r="C2165" s="233" t="n">
        <v>46071</v>
      </c>
      <c r="D2165" s="232" t="inlineStr">
        <is>
          <t>68895</t>
        </is>
      </c>
      <c r="E2165" s="232" t="inlineStr">
        <is>
          <t>PRORRATEO</t>
        </is>
      </c>
      <c r="F2165" s="232" t="inlineStr">
        <is>
          <t>Santa Catalina</t>
        </is>
      </c>
      <c r="G2165" s="232" t="inlineStr">
        <is>
          <t>W. murcott 21 ha</t>
        </is>
      </c>
      <c r="H2165" s="232" t="inlineStr">
        <is>
          <t>Mandarina</t>
        </is>
      </c>
      <c r="I2165" s="232" t="inlineStr">
        <is>
          <t>W. murcott</t>
        </is>
      </c>
      <c r="J2165" s="232" t="inlineStr">
        <is>
          <t>MANT. Y REP. CONSTRUCCIONES</t>
        </is>
      </c>
      <c r="K2165" s="232" t="inlineStr">
        <is>
          <t>MANTENCION INFRAESTRUCTURA</t>
        </is>
      </c>
      <c r="L2165" s="232" t="inlineStr">
        <is>
          <t>[PRORRATEO 14.2% 21.0há/148.3há] O/001401 CODO HIDR.</t>
        </is>
      </c>
      <c r="M2165" s="232" t="inlineStr"/>
      <c r="N2165" s="232" t="inlineStr">
        <is>
          <t>.   .   -</t>
        </is>
      </c>
      <c r="O2165" s="232" t="inlineStr">
        <is>
          <t>FEBRERO</t>
        </is>
      </c>
      <c r="P2165" s="232" t="n">
        <v>7</v>
      </c>
      <c r="Q2165" s="234" t="n">
        <v>52</v>
      </c>
      <c r="R2165" s="232" t="inlineStr"/>
      <c r="S2165" s="234" t="n">
        <v>52</v>
      </c>
      <c r="T2165" s="232" t="inlineStr">
        <is>
          <t>CLP</t>
        </is>
      </c>
      <c r="U2165" s="232" t="inlineStr">
        <is>
          <t>Prorrateo Ha BODEGA</t>
        </is>
      </c>
      <c r="V2165" s="232" t="inlineStr">
        <is>
          <t>2026-06-18</t>
        </is>
      </c>
    </row>
    <row r="2166">
      <c r="A2166" s="232" t="inlineStr">
        <is>
          <t>CR-2163</t>
        </is>
      </c>
      <c r="B2166" s="232" t="inlineStr">
        <is>
          <t>2026/27</t>
        </is>
      </c>
      <c r="C2166" s="233" t="n">
        <v>46071</v>
      </c>
      <c r="D2166" s="232" t="inlineStr">
        <is>
          <t>68895</t>
        </is>
      </c>
      <c r="E2166" s="232" t="inlineStr">
        <is>
          <t>PRORRATEO</t>
        </is>
      </c>
      <c r="F2166" s="232" t="inlineStr">
        <is>
          <t>Santa Catalina</t>
        </is>
      </c>
      <c r="G2166" s="232" t="inlineStr">
        <is>
          <t>cambria 4,2 ha</t>
        </is>
      </c>
      <c r="H2166" s="232" t="inlineStr">
        <is>
          <t>Naranjas</t>
        </is>
      </c>
      <c r="I2166" s="232" t="inlineStr">
        <is>
          <t>Cambria</t>
        </is>
      </c>
      <c r="J2166" s="232" t="inlineStr">
        <is>
          <t>MANT. Y REP. CONSTRUCCIONES</t>
        </is>
      </c>
      <c r="K2166" s="232" t="inlineStr">
        <is>
          <t>MANTENCION INFRAESTRUCTURA</t>
        </is>
      </c>
      <c r="L2166" s="232" t="inlineStr">
        <is>
          <t>[PRORRATEO 2.8% 4.2há/148.3há] O/001401 CODO HIDR.</t>
        </is>
      </c>
      <c r="M2166" s="232" t="inlineStr"/>
      <c r="N2166" s="232" t="inlineStr">
        <is>
          <t>.   .   -</t>
        </is>
      </c>
      <c r="O2166" s="232" t="inlineStr">
        <is>
          <t>FEBRERO</t>
        </is>
      </c>
      <c r="P2166" s="232" t="n">
        <v>7</v>
      </c>
      <c r="Q2166" s="234" t="n">
        <v>10</v>
      </c>
      <c r="R2166" s="232" t="inlineStr"/>
      <c r="S2166" s="234" t="n">
        <v>10</v>
      </c>
      <c r="T2166" s="232" t="inlineStr">
        <is>
          <t>CLP</t>
        </is>
      </c>
      <c r="U2166" s="232" t="inlineStr">
        <is>
          <t>Prorrateo Ha BODEGA</t>
        </is>
      </c>
      <c r="V2166" s="232" t="inlineStr">
        <is>
          <t>2026-06-18</t>
        </is>
      </c>
    </row>
    <row r="2167">
      <c r="A2167" s="232" t="inlineStr">
        <is>
          <t>CR-2164</t>
        </is>
      </c>
      <c r="B2167" s="232" t="inlineStr">
        <is>
          <t>2026/27</t>
        </is>
      </c>
      <c r="C2167" s="233" t="n">
        <v>46071</v>
      </c>
      <c r="D2167" s="232" t="inlineStr">
        <is>
          <t>68895</t>
        </is>
      </c>
      <c r="E2167" s="232" t="inlineStr">
        <is>
          <t>PRORRATEO</t>
        </is>
      </c>
      <c r="F2167" s="232" t="inlineStr">
        <is>
          <t>Santa Catalina</t>
        </is>
      </c>
      <c r="G2167" s="232" t="inlineStr">
        <is>
          <t>eureka 10,6 ha</t>
        </is>
      </c>
      <c r="H2167" s="232" t="inlineStr">
        <is>
          <t>Limon</t>
        </is>
      </c>
      <c r="I2167" s="232" t="inlineStr">
        <is>
          <t>Eureka</t>
        </is>
      </c>
      <c r="J2167" s="232" t="inlineStr">
        <is>
          <t>MANT. Y REP. CONSTRUCCIONES</t>
        </is>
      </c>
      <c r="K2167" s="232" t="inlineStr">
        <is>
          <t>MANTENCION INFRAESTRUCTURA</t>
        </is>
      </c>
      <c r="L2167" s="232" t="inlineStr">
        <is>
          <t>[PRORRATEO 7.1% 10.6há/148.3há] O/001401 CODO HIDR.</t>
        </is>
      </c>
      <c r="M2167" s="232" t="inlineStr"/>
      <c r="N2167" s="232" t="inlineStr">
        <is>
          <t>.   .   -</t>
        </is>
      </c>
      <c r="O2167" s="232" t="inlineStr">
        <is>
          <t>FEBRERO</t>
        </is>
      </c>
      <c r="P2167" s="232" t="n">
        <v>7</v>
      </c>
      <c r="Q2167" s="234" t="n">
        <v>26</v>
      </c>
      <c r="R2167" s="232" t="inlineStr"/>
      <c r="S2167" s="234" t="n">
        <v>26</v>
      </c>
      <c r="T2167" s="232" t="inlineStr">
        <is>
          <t>CLP</t>
        </is>
      </c>
      <c r="U2167" s="232" t="inlineStr">
        <is>
          <t>Prorrateo Ha BODEGA</t>
        </is>
      </c>
      <c r="V2167" s="232" t="inlineStr">
        <is>
          <t>2026-06-18</t>
        </is>
      </c>
    </row>
    <row r="2168">
      <c r="A2168" s="232" t="inlineStr">
        <is>
          <t>CR-2165</t>
        </is>
      </c>
      <c r="B2168" s="232" t="inlineStr">
        <is>
          <t>2026/27</t>
        </is>
      </c>
      <c r="C2168" s="233" t="n">
        <v>46071</v>
      </c>
      <c r="D2168" s="232" t="inlineStr">
        <is>
          <t>68895</t>
        </is>
      </c>
      <c r="E2168" s="232" t="inlineStr">
        <is>
          <t>PRORRATEO</t>
        </is>
      </c>
      <c r="F2168" s="232" t="inlineStr">
        <is>
          <t>Santa Catalina</t>
        </is>
      </c>
      <c r="G2168" s="232" t="inlineStr">
        <is>
          <t>eureka 14,4 ha</t>
        </is>
      </c>
      <c r="H2168" s="232" t="inlineStr">
        <is>
          <t>Limon</t>
        </is>
      </c>
      <c r="I2168" s="232" t="inlineStr">
        <is>
          <t>Eureka</t>
        </is>
      </c>
      <c r="J2168" s="232" t="inlineStr">
        <is>
          <t>MANT. Y REP. CONSTRUCCIONES</t>
        </is>
      </c>
      <c r="K2168" s="232" t="inlineStr">
        <is>
          <t>MANTENCION INFRAESTRUCTURA</t>
        </is>
      </c>
      <c r="L2168" s="232" t="inlineStr">
        <is>
          <t>[PRORRATEO 9.7% 14.4há/148.3há] O/001401 CODO HIDR.</t>
        </is>
      </c>
      <c r="M2168" s="232" t="inlineStr"/>
      <c r="N2168" s="232" t="inlineStr">
        <is>
          <t>.   .   -</t>
        </is>
      </c>
      <c r="O2168" s="232" t="inlineStr">
        <is>
          <t>FEBRERO</t>
        </is>
      </c>
      <c r="P2168" s="232" t="n">
        <v>7</v>
      </c>
      <c r="Q2168" s="234" t="n">
        <v>36</v>
      </c>
      <c r="R2168" s="232" t="inlineStr"/>
      <c r="S2168" s="234" t="n">
        <v>36</v>
      </c>
      <c r="T2168" s="232" t="inlineStr">
        <is>
          <t>CLP</t>
        </is>
      </c>
      <c r="U2168" s="232" t="inlineStr">
        <is>
          <t>Prorrateo Ha BODEGA</t>
        </is>
      </c>
      <c r="V2168" s="232" t="inlineStr">
        <is>
          <t>2026-06-18</t>
        </is>
      </c>
    </row>
    <row r="2169">
      <c r="A2169" s="232" t="inlineStr">
        <is>
          <t>CR-2166</t>
        </is>
      </c>
      <c r="B2169" s="232" t="inlineStr">
        <is>
          <t>2026/27</t>
        </is>
      </c>
      <c r="C2169" s="233" t="n">
        <v>46071</v>
      </c>
      <c r="D2169" s="232" t="inlineStr">
        <is>
          <t>68895</t>
        </is>
      </c>
      <c r="E2169" s="232" t="inlineStr">
        <is>
          <t>PRORRATEO</t>
        </is>
      </c>
      <c r="F2169" s="232" t="inlineStr">
        <is>
          <t>Santa Catalina</t>
        </is>
      </c>
      <c r="G2169" s="232" t="inlineStr">
        <is>
          <t>eureka 22,55</t>
        </is>
      </c>
      <c r="H2169" s="232" t="inlineStr">
        <is>
          <t>Limon</t>
        </is>
      </c>
      <c r="I2169" s="232" t="inlineStr">
        <is>
          <t>Eureka</t>
        </is>
      </c>
      <c r="J2169" s="232" t="inlineStr">
        <is>
          <t>MANT. Y REP. CONSTRUCCIONES</t>
        </is>
      </c>
      <c r="K2169" s="232" t="inlineStr">
        <is>
          <t>MANTENCION INFRAESTRUCTURA</t>
        </is>
      </c>
      <c r="L2169" s="232" t="inlineStr">
        <is>
          <t>[PRORRATEO 15.2% 22.55há/148.3há] O/001401 CODO HIDR.</t>
        </is>
      </c>
      <c r="M2169" s="232" t="inlineStr"/>
      <c r="N2169" s="232" t="inlineStr">
        <is>
          <t>.   .   -</t>
        </is>
      </c>
      <c r="O2169" s="232" t="inlineStr">
        <is>
          <t>FEBRERO</t>
        </is>
      </c>
      <c r="P2169" s="232" t="n">
        <v>7</v>
      </c>
      <c r="Q2169" s="234" t="n">
        <v>56</v>
      </c>
      <c r="R2169" s="232" t="inlineStr"/>
      <c r="S2169" s="234" t="n">
        <v>56</v>
      </c>
      <c r="T2169" s="232" t="inlineStr">
        <is>
          <t>CLP</t>
        </is>
      </c>
      <c r="U2169" s="232" t="inlineStr">
        <is>
          <t>Prorrateo Ha BODEGA</t>
        </is>
      </c>
      <c r="V2169" s="232" t="inlineStr">
        <is>
          <t>2026-06-18</t>
        </is>
      </c>
    </row>
    <row r="2170">
      <c r="A2170" s="232" t="inlineStr">
        <is>
          <t>CR-2167</t>
        </is>
      </c>
      <c r="B2170" s="232" t="inlineStr">
        <is>
          <t>2026/27</t>
        </is>
      </c>
      <c r="C2170" s="233" t="n">
        <v>46071</v>
      </c>
      <c r="D2170" s="232" t="inlineStr">
        <is>
          <t>68895</t>
        </is>
      </c>
      <c r="E2170" s="232" t="inlineStr">
        <is>
          <t>PRORRATEO</t>
        </is>
      </c>
      <c r="F2170" s="232" t="inlineStr">
        <is>
          <t>Santa Catalina</t>
        </is>
      </c>
      <c r="G2170" s="232" t="inlineStr">
        <is>
          <t>form benjamin 1,93 ha</t>
        </is>
      </c>
      <c r="H2170" s="232" t="inlineStr">
        <is>
          <t>Limon</t>
        </is>
      </c>
      <c r="I2170" s="232" t="inlineStr">
        <is>
          <t>Benjamin andes</t>
        </is>
      </c>
      <c r="J2170" s="232" t="inlineStr">
        <is>
          <t>MANT. Y REP. CONSTRUCCIONES</t>
        </is>
      </c>
      <c r="K2170" s="232" t="inlineStr">
        <is>
          <t>MANTENCION INFRAESTRUCTURA</t>
        </is>
      </c>
      <c r="L2170" s="232" t="inlineStr">
        <is>
          <t>[PRORRATEO 1.3% 1.93há/148.3há] O/001401 CODO HIDR.</t>
        </is>
      </c>
      <c r="M2170" s="232" t="inlineStr"/>
      <c r="N2170" s="232" t="inlineStr">
        <is>
          <t>.   .   -</t>
        </is>
      </c>
      <c r="O2170" s="232" t="inlineStr">
        <is>
          <t>FEBRERO</t>
        </is>
      </c>
      <c r="P2170" s="232" t="n">
        <v>7</v>
      </c>
      <c r="Q2170" s="234" t="n">
        <v>5</v>
      </c>
      <c r="R2170" s="232" t="inlineStr"/>
      <c r="S2170" s="234" t="n">
        <v>5</v>
      </c>
      <c r="T2170" s="232" t="inlineStr">
        <is>
          <t>CLP</t>
        </is>
      </c>
      <c r="U2170" s="232" t="inlineStr">
        <is>
          <t>Prorrateo Ha BODEGA</t>
        </is>
      </c>
      <c r="V2170" s="232" t="inlineStr">
        <is>
          <t>2026-06-18</t>
        </is>
      </c>
    </row>
    <row r="2171">
      <c r="A2171" s="232" t="inlineStr">
        <is>
          <t>CR-2168</t>
        </is>
      </c>
      <c r="B2171" s="232" t="inlineStr">
        <is>
          <t>2026/27</t>
        </is>
      </c>
      <c r="C2171" s="233" t="n">
        <v>46071</v>
      </c>
      <c r="D2171" s="232" t="inlineStr">
        <is>
          <t>68895</t>
        </is>
      </c>
      <c r="E2171" s="232" t="inlineStr">
        <is>
          <t>PRORRATEO</t>
        </is>
      </c>
      <c r="F2171" s="232" t="inlineStr">
        <is>
          <t>Santa Catalina</t>
        </is>
      </c>
      <c r="G2171" s="232" t="inlineStr">
        <is>
          <t>mant eureka 2,5 ha</t>
        </is>
      </c>
      <c r="H2171" s="232" t="inlineStr">
        <is>
          <t>Limon</t>
        </is>
      </c>
      <c r="I2171" s="232" t="inlineStr">
        <is>
          <t>Eureka</t>
        </is>
      </c>
      <c r="J2171" s="232" t="inlineStr">
        <is>
          <t>MANT. Y REP. CONSTRUCCIONES</t>
        </is>
      </c>
      <c r="K2171" s="232" t="inlineStr">
        <is>
          <t>MANTENCION INFRAESTRUCTURA</t>
        </is>
      </c>
      <c r="L2171" s="232" t="inlineStr">
        <is>
          <t>[PRORRATEO 1.7% 2.5há/148.3há] O/001401 CODO HIDR.</t>
        </is>
      </c>
      <c r="M2171" s="232" t="inlineStr"/>
      <c r="N2171" s="232" t="inlineStr">
        <is>
          <t>.   .   -</t>
        </is>
      </c>
      <c r="O2171" s="232" t="inlineStr">
        <is>
          <t>FEBRERO</t>
        </is>
      </c>
      <c r="P2171" s="232" t="n">
        <v>7</v>
      </c>
      <c r="Q2171" s="234" t="n">
        <v>6</v>
      </c>
      <c r="R2171" s="232" t="inlineStr"/>
      <c r="S2171" s="234" t="n">
        <v>6</v>
      </c>
      <c r="T2171" s="232" t="inlineStr">
        <is>
          <t>CLP</t>
        </is>
      </c>
      <c r="U2171" s="232" t="inlineStr">
        <is>
          <t>Prorrateo Ha BODEGA</t>
        </is>
      </c>
      <c r="V2171" s="232" t="inlineStr">
        <is>
          <t>2026-06-18</t>
        </is>
      </c>
    </row>
    <row r="2172">
      <c r="A2172" s="232" t="inlineStr">
        <is>
          <t>CR-2169</t>
        </is>
      </c>
      <c r="B2172" s="232" t="inlineStr">
        <is>
          <t>2026/27</t>
        </is>
      </c>
      <c r="C2172" s="233" t="n">
        <v>46071</v>
      </c>
      <c r="D2172" s="232" t="inlineStr">
        <is>
          <t>68895</t>
        </is>
      </c>
      <c r="E2172" s="232" t="inlineStr">
        <is>
          <t>PRORRATEO</t>
        </is>
      </c>
      <c r="F2172" s="232" t="inlineStr">
        <is>
          <t>Siberia</t>
        </is>
      </c>
      <c r="G2172" s="232" t="inlineStr">
        <is>
          <t>S. Celebration 7,14</t>
        </is>
      </c>
      <c r="H2172" s="232" t="inlineStr">
        <is>
          <t>Uvas</t>
        </is>
      </c>
      <c r="I2172" s="232" t="inlineStr">
        <is>
          <t>S. celebration</t>
        </is>
      </c>
      <c r="J2172" s="232" t="inlineStr">
        <is>
          <t>MANT. Y REP. CONSTRUCCIONES</t>
        </is>
      </c>
      <c r="K2172" s="232" t="inlineStr">
        <is>
          <t>MANTENCION INFRAESTRUCTURA</t>
        </is>
      </c>
      <c r="L2172" s="232" t="inlineStr">
        <is>
          <t>[PRORRATEO 4.8% 7.14há/148.3há] O/001401 CODO HIDR.</t>
        </is>
      </c>
      <c r="M2172" s="232" t="inlineStr"/>
      <c r="N2172" s="232" t="inlineStr">
        <is>
          <t>.   .   -</t>
        </is>
      </c>
      <c r="O2172" s="232" t="inlineStr">
        <is>
          <t>FEBRERO</t>
        </is>
      </c>
      <c r="P2172" s="232" t="n">
        <v>7</v>
      </c>
      <c r="Q2172" s="234" t="n">
        <v>18</v>
      </c>
      <c r="R2172" s="232" t="inlineStr"/>
      <c r="S2172" s="234" t="n">
        <v>18</v>
      </c>
      <c r="T2172" s="232" t="inlineStr">
        <is>
          <t>CLP</t>
        </is>
      </c>
      <c r="U2172" s="232" t="inlineStr">
        <is>
          <t>Prorrateo Ha BODEGA</t>
        </is>
      </c>
      <c r="V2172" s="232" t="inlineStr">
        <is>
          <t>2026-06-18</t>
        </is>
      </c>
    </row>
    <row r="2173">
      <c r="A2173" s="232" t="inlineStr">
        <is>
          <t>CR-2170</t>
        </is>
      </c>
      <c r="B2173" s="232" t="inlineStr">
        <is>
          <t>2026/27</t>
        </is>
      </c>
      <c r="C2173" s="233" t="n">
        <v>46071</v>
      </c>
      <c r="D2173" s="232" t="inlineStr">
        <is>
          <t>68895</t>
        </is>
      </c>
      <c r="E2173" s="232" t="inlineStr">
        <is>
          <t>PRORRATEO</t>
        </is>
      </c>
      <c r="F2173" s="232" t="inlineStr">
        <is>
          <t>Siberia</t>
        </is>
      </c>
      <c r="G2173" s="232" t="inlineStr">
        <is>
          <t>Timpson 7,1</t>
        </is>
      </c>
      <c r="H2173" s="232" t="inlineStr">
        <is>
          <t>Uvas</t>
        </is>
      </c>
      <c r="I2173" s="232" t="inlineStr">
        <is>
          <t>Timpson</t>
        </is>
      </c>
      <c r="J2173" s="232" t="inlineStr">
        <is>
          <t>MANT. Y REP. CONSTRUCCIONES</t>
        </is>
      </c>
      <c r="K2173" s="232" t="inlineStr">
        <is>
          <t>MANTENCION INFRAESTRUCTURA</t>
        </is>
      </c>
      <c r="L2173" s="232" t="inlineStr">
        <is>
          <t>[PRORRATEO 4.8% 7.1há/148.3há] O/001401 CODO HIDR.</t>
        </is>
      </c>
      <c r="M2173" s="232" t="inlineStr"/>
      <c r="N2173" s="232" t="inlineStr">
        <is>
          <t>.   .   -</t>
        </is>
      </c>
      <c r="O2173" s="232" t="inlineStr">
        <is>
          <t>FEBRERO</t>
        </is>
      </c>
      <c r="P2173" s="232" t="n">
        <v>7</v>
      </c>
      <c r="Q2173" s="234" t="n">
        <v>18</v>
      </c>
      <c r="R2173" s="232" t="inlineStr"/>
      <c r="S2173" s="234" t="n">
        <v>18</v>
      </c>
      <c r="T2173" s="232" t="inlineStr">
        <is>
          <t>CLP</t>
        </is>
      </c>
      <c r="U2173" s="232" t="inlineStr">
        <is>
          <t>Prorrateo Ha BODEGA</t>
        </is>
      </c>
      <c r="V2173" s="232" t="inlineStr">
        <is>
          <t>2026-06-18</t>
        </is>
      </c>
    </row>
    <row r="2174">
      <c r="A2174" s="232" t="inlineStr">
        <is>
          <t>CR-2171</t>
        </is>
      </c>
      <c r="B2174" s="232" t="inlineStr">
        <is>
          <t>2026/27</t>
        </is>
      </c>
      <c r="C2174" s="233" t="n">
        <v>46071</v>
      </c>
      <c r="D2174" s="232" t="inlineStr">
        <is>
          <t>68895</t>
        </is>
      </c>
      <c r="E2174" s="232" t="inlineStr">
        <is>
          <t>PRORRATEO</t>
        </is>
      </c>
      <c r="F2174" s="232" t="inlineStr">
        <is>
          <t>Asmara</t>
        </is>
      </c>
      <c r="G2174" s="232" t="inlineStr">
        <is>
          <t>w. murcott 19,8 ha</t>
        </is>
      </c>
      <c r="H2174" s="232" t="inlineStr">
        <is>
          <t>Mandarina</t>
        </is>
      </c>
      <c r="I2174" s="232" t="inlineStr">
        <is>
          <t>W. murcott</t>
        </is>
      </c>
      <c r="J2174" s="232" t="inlineStr">
        <is>
          <t>MANT. Y REP. CONSTRUCCIONES</t>
        </is>
      </c>
      <c r="K2174" s="232" t="inlineStr">
        <is>
          <t>MANTENCION INFRAESTRUCTURA</t>
        </is>
      </c>
      <c r="L2174" s="232" t="inlineStr">
        <is>
          <t>[PRORRATEO 13.4% 19.8há/148.3há] O/001401 LLAVE JARD</t>
        </is>
      </c>
      <c r="M2174" s="232" t="inlineStr"/>
      <c r="N2174" s="232" t="inlineStr">
        <is>
          <t>.   .   -</t>
        </is>
      </c>
      <c r="O2174" s="232" t="inlineStr">
        <is>
          <t>FEBRERO</t>
        </is>
      </c>
      <c r="P2174" s="232" t="n">
        <v>7</v>
      </c>
      <c r="Q2174" s="234" t="n">
        <v>395</v>
      </c>
      <c r="R2174" s="232" t="inlineStr"/>
      <c r="S2174" s="234" t="n">
        <v>395</v>
      </c>
      <c r="T2174" s="232" t="inlineStr">
        <is>
          <t>CLP</t>
        </is>
      </c>
      <c r="U2174" s="232" t="inlineStr">
        <is>
          <t>Prorrateo Ha BODEGA</t>
        </is>
      </c>
      <c r="V2174" s="232" t="inlineStr">
        <is>
          <t>2026-06-18</t>
        </is>
      </c>
    </row>
    <row r="2175">
      <c r="A2175" s="232" t="inlineStr">
        <is>
          <t>CR-2172</t>
        </is>
      </c>
      <c r="B2175" s="232" t="inlineStr">
        <is>
          <t>2026/27</t>
        </is>
      </c>
      <c r="C2175" s="233" t="n">
        <v>46071</v>
      </c>
      <c r="D2175" s="232" t="inlineStr">
        <is>
          <t>68895</t>
        </is>
      </c>
      <c r="E2175" s="232" t="inlineStr">
        <is>
          <t>PRORRATEO</t>
        </is>
      </c>
      <c r="F2175" s="232" t="inlineStr">
        <is>
          <t>Asmara</t>
        </is>
      </c>
      <c r="G2175" s="232" t="inlineStr">
        <is>
          <t>w. murcott 4,9 ha</t>
        </is>
      </c>
      <c r="H2175" s="232" t="inlineStr">
        <is>
          <t>Mandarina</t>
        </is>
      </c>
      <c r="I2175" s="232" t="inlineStr">
        <is>
          <t>W. murcott</t>
        </is>
      </c>
      <c r="J2175" s="232" t="inlineStr">
        <is>
          <t>MANT. Y REP. CONSTRUCCIONES</t>
        </is>
      </c>
      <c r="K2175" s="232" t="inlineStr">
        <is>
          <t>MANTENCION INFRAESTRUCTURA</t>
        </is>
      </c>
      <c r="L2175" s="232" t="inlineStr">
        <is>
          <t>[PRORRATEO 3.3% 4.9há/148.3há] O/001401 LLAVE JARD</t>
        </is>
      </c>
      <c r="M2175" s="232" t="inlineStr"/>
      <c r="N2175" s="232" t="inlineStr">
        <is>
          <t>.   .   -</t>
        </is>
      </c>
      <c r="O2175" s="232" t="inlineStr">
        <is>
          <t>FEBRERO</t>
        </is>
      </c>
      <c r="P2175" s="232" t="n">
        <v>7</v>
      </c>
      <c r="Q2175" s="234" t="n">
        <v>98</v>
      </c>
      <c r="R2175" s="232" t="inlineStr"/>
      <c r="S2175" s="234" t="n">
        <v>98</v>
      </c>
      <c r="T2175" s="232" t="inlineStr">
        <is>
          <t>CLP</t>
        </is>
      </c>
      <c r="U2175" s="232" t="inlineStr">
        <is>
          <t>Prorrateo Ha BODEGA</t>
        </is>
      </c>
      <c r="V2175" s="232" t="inlineStr">
        <is>
          <t>2026-06-18</t>
        </is>
      </c>
    </row>
    <row r="2176">
      <c r="A2176" s="232" t="inlineStr">
        <is>
          <t>CR-2173</t>
        </is>
      </c>
      <c r="B2176" s="232" t="inlineStr">
        <is>
          <t>2026/27</t>
        </is>
      </c>
      <c r="C2176" s="233" t="n">
        <v>46071</v>
      </c>
      <c r="D2176" s="232" t="inlineStr">
        <is>
          <t>68895</t>
        </is>
      </c>
      <c r="E2176" s="232" t="inlineStr">
        <is>
          <t>PRORRATEO</t>
        </is>
      </c>
      <c r="F2176" s="232" t="inlineStr">
        <is>
          <t>El Molle</t>
        </is>
      </c>
      <c r="G2176" s="232" t="inlineStr">
        <is>
          <t>Wonderful 5,25 ha</t>
        </is>
      </c>
      <c r="H2176" s="232" t="inlineStr">
        <is>
          <t>Granados</t>
        </is>
      </c>
      <c r="I2176" s="232" t="inlineStr">
        <is>
          <t>Wonderfull</t>
        </is>
      </c>
      <c r="J2176" s="232" t="inlineStr">
        <is>
          <t>MANT. Y REP. CONSTRUCCIONES</t>
        </is>
      </c>
      <c r="K2176" s="232" t="inlineStr">
        <is>
          <t>MANTENCION INFRAESTRUCTURA</t>
        </is>
      </c>
      <c r="L2176" s="232" t="inlineStr">
        <is>
          <t>[PRORRATEO 3.5% 5.24há/148.3há] O/001401 LLAVE JARD</t>
        </is>
      </c>
      <c r="M2176" s="232" t="inlineStr"/>
      <c r="N2176" s="232" t="inlineStr">
        <is>
          <t>.   .   -</t>
        </is>
      </c>
      <c r="O2176" s="232" t="inlineStr">
        <is>
          <t>FEBRERO</t>
        </is>
      </c>
      <c r="P2176" s="232" t="n">
        <v>7</v>
      </c>
      <c r="Q2176" s="234" t="n">
        <v>105</v>
      </c>
      <c r="R2176" s="232" t="inlineStr"/>
      <c r="S2176" s="234" t="n">
        <v>105</v>
      </c>
      <c r="T2176" s="232" t="inlineStr">
        <is>
          <t>CLP</t>
        </is>
      </c>
      <c r="U2176" s="232" t="inlineStr">
        <is>
          <t>Prorrateo Ha BODEGA</t>
        </is>
      </c>
      <c r="V2176" s="232" t="inlineStr">
        <is>
          <t>2026-06-18</t>
        </is>
      </c>
    </row>
    <row r="2177">
      <c r="A2177" s="232" t="inlineStr">
        <is>
          <t>CR-2174</t>
        </is>
      </c>
      <c r="B2177" s="232" t="inlineStr">
        <is>
          <t>2026/27</t>
        </is>
      </c>
      <c r="C2177" s="233" t="n">
        <v>46071</v>
      </c>
      <c r="D2177" s="232" t="inlineStr">
        <is>
          <t>68895</t>
        </is>
      </c>
      <c r="E2177" s="232" t="inlineStr">
        <is>
          <t>PRORRATEO</t>
        </is>
      </c>
      <c r="F2177" s="232" t="inlineStr">
        <is>
          <t>El Molle</t>
        </is>
      </c>
      <c r="G2177" s="232" t="inlineStr">
        <is>
          <t>arrufatinas 5,74 ha</t>
        </is>
      </c>
      <c r="H2177" s="232" t="inlineStr">
        <is>
          <t>Clementinas</t>
        </is>
      </c>
      <c r="I2177" s="232" t="inlineStr">
        <is>
          <t>Arrufatinas</t>
        </is>
      </c>
      <c r="J2177" s="232" t="inlineStr">
        <is>
          <t>MANT. Y REP. CONSTRUCCIONES</t>
        </is>
      </c>
      <c r="K2177" s="232" t="inlineStr">
        <is>
          <t>MANTENCION INFRAESTRUCTURA</t>
        </is>
      </c>
      <c r="L2177" s="232" t="inlineStr">
        <is>
          <t>[PRORRATEO 3.9% 5.74há/148.3há] O/001401 LLAVE JARD</t>
        </is>
      </c>
      <c r="M2177" s="232" t="inlineStr"/>
      <c r="N2177" s="232" t="inlineStr">
        <is>
          <t>.   .   -</t>
        </is>
      </c>
      <c r="O2177" s="232" t="inlineStr">
        <is>
          <t>FEBRERO</t>
        </is>
      </c>
      <c r="P2177" s="232" t="n">
        <v>7</v>
      </c>
      <c r="Q2177" s="234" t="n">
        <v>115</v>
      </c>
      <c r="R2177" s="232" t="inlineStr"/>
      <c r="S2177" s="234" t="n">
        <v>115</v>
      </c>
      <c r="T2177" s="232" t="inlineStr">
        <is>
          <t>CLP</t>
        </is>
      </c>
      <c r="U2177" s="232" t="inlineStr">
        <is>
          <t>Prorrateo Ha BODEGA</t>
        </is>
      </c>
      <c r="V2177" s="232" t="inlineStr">
        <is>
          <t>2026-06-18</t>
        </is>
      </c>
    </row>
    <row r="2178">
      <c r="A2178" s="232" t="inlineStr">
        <is>
          <t>CR-2175</t>
        </is>
      </c>
      <c r="B2178" s="232" t="inlineStr">
        <is>
          <t>2026/27</t>
        </is>
      </c>
      <c r="C2178" s="233" t="n">
        <v>46071</v>
      </c>
      <c r="D2178" s="232" t="inlineStr">
        <is>
          <t>68895</t>
        </is>
      </c>
      <c r="E2178" s="232" t="inlineStr">
        <is>
          <t>PRORRATEO</t>
        </is>
      </c>
      <c r="F2178" s="232" t="inlineStr">
        <is>
          <t>El Molle</t>
        </is>
      </c>
      <c r="G2178" s="232" t="inlineStr">
        <is>
          <t>orogrande 8,11 ha</t>
        </is>
      </c>
      <c r="H2178" s="232" t="inlineStr">
        <is>
          <t>Clementinas</t>
        </is>
      </c>
      <c r="I2178" s="232" t="inlineStr">
        <is>
          <t>Orogrande</t>
        </is>
      </c>
      <c r="J2178" s="232" t="inlineStr">
        <is>
          <t>MANT. Y REP. CONSTRUCCIONES</t>
        </is>
      </c>
      <c r="K2178" s="232" t="inlineStr">
        <is>
          <t>MANTENCION INFRAESTRUCTURA</t>
        </is>
      </c>
      <c r="L2178" s="232" t="inlineStr">
        <is>
          <t>[PRORRATEO 5.5% 8.11há/148.3há] O/001401 LLAVE JARD</t>
        </is>
      </c>
      <c r="M2178" s="232" t="inlineStr"/>
      <c r="N2178" s="232" t="inlineStr">
        <is>
          <t>.   .   -</t>
        </is>
      </c>
      <c r="O2178" s="232" t="inlineStr">
        <is>
          <t>FEBRERO</t>
        </is>
      </c>
      <c r="P2178" s="232" t="n">
        <v>7</v>
      </c>
      <c r="Q2178" s="234" t="n">
        <v>162</v>
      </c>
      <c r="R2178" s="232" t="inlineStr"/>
      <c r="S2178" s="234" t="n">
        <v>162</v>
      </c>
      <c r="T2178" s="232" t="inlineStr">
        <is>
          <t>CLP</t>
        </is>
      </c>
      <c r="U2178" s="232" t="inlineStr">
        <is>
          <t>Prorrateo Ha BODEGA</t>
        </is>
      </c>
      <c r="V2178" s="232" t="inlineStr">
        <is>
          <t>2026-06-18</t>
        </is>
      </c>
    </row>
    <row r="2179">
      <c r="A2179" s="232" t="inlineStr">
        <is>
          <t>CR-2176</t>
        </is>
      </c>
      <c r="B2179" s="232" t="inlineStr">
        <is>
          <t>2026/27</t>
        </is>
      </c>
      <c r="C2179" s="233" t="n">
        <v>46071</v>
      </c>
      <c r="D2179" s="232" t="inlineStr">
        <is>
          <t>68895</t>
        </is>
      </c>
      <c r="E2179" s="232" t="inlineStr">
        <is>
          <t>PRORRATEO</t>
        </is>
      </c>
      <c r="F2179" s="232" t="inlineStr">
        <is>
          <t>El Molle</t>
        </is>
      </c>
      <c r="G2179" s="232" t="inlineStr">
        <is>
          <t>oronules 5,35 ha</t>
        </is>
      </c>
      <c r="H2179" s="232" t="inlineStr">
        <is>
          <t>Clementinas</t>
        </is>
      </c>
      <c r="I2179" s="232" t="inlineStr">
        <is>
          <t>Oronules</t>
        </is>
      </c>
      <c r="J2179" s="232" t="inlineStr">
        <is>
          <t>MANT. Y REP. CONSTRUCCIONES</t>
        </is>
      </c>
      <c r="K2179" s="232" t="inlineStr">
        <is>
          <t>MANTENCION INFRAESTRUCTURA</t>
        </is>
      </c>
      <c r="L2179" s="232" t="inlineStr">
        <is>
          <t>[PRORRATEO 3.6% 5.35há/148.3há] O/001401 LLAVE JARD</t>
        </is>
      </c>
      <c r="M2179" s="232" t="inlineStr"/>
      <c r="N2179" s="232" t="inlineStr">
        <is>
          <t>.   .   -</t>
        </is>
      </c>
      <c r="O2179" s="232" t="inlineStr">
        <is>
          <t>FEBRERO</t>
        </is>
      </c>
      <c r="P2179" s="232" t="n">
        <v>7</v>
      </c>
      <c r="Q2179" s="234" t="n">
        <v>107</v>
      </c>
      <c r="R2179" s="232" t="inlineStr"/>
      <c r="S2179" s="234" t="n">
        <v>107</v>
      </c>
      <c r="T2179" s="232" t="inlineStr">
        <is>
          <t>CLP</t>
        </is>
      </c>
      <c r="U2179" s="232" t="inlineStr">
        <is>
          <t>Prorrateo Ha BODEGA</t>
        </is>
      </c>
      <c r="V2179" s="232" t="inlineStr">
        <is>
          <t>2026-06-18</t>
        </is>
      </c>
    </row>
    <row r="2180">
      <c r="A2180" s="232" t="inlineStr">
        <is>
          <t>CR-2177</t>
        </is>
      </c>
      <c r="B2180" s="232" t="inlineStr">
        <is>
          <t>2026/27</t>
        </is>
      </c>
      <c r="C2180" s="233" t="n">
        <v>46071</v>
      </c>
      <c r="D2180" s="232" t="inlineStr">
        <is>
          <t>68895</t>
        </is>
      </c>
      <c r="E2180" s="232" t="inlineStr">
        <is>
          <t>PRORRATEO</t>
        </is>
      </c>
      <c r="F2180" s="232" t="inlineStr">
        <is>
          <t>Santa Catalina</t>
        </is>
      </c>
      <c r="G2180" s="232" t="inlineStr">
        <is>
          <t>Fino 49 7,7 ha</t>
        </is>
      </c>
      <c r="H2180" s="232" t="inlineStr">
        <is>
          <t>Limon</t>
        </is>
      </c>
      <c r="I2180" s="232" t="inlineStr">
        <is>
          <t>Fino 49</t>
        </is>
      </c>
      <c r="J2180" s="232" t="inlineStr">
        <is>
          <t>MANT. Y REP. CONSTRUCCIONES</t>
        </is>
      </c>
      <c r="K2180" s="232" t="inlineStr">
        <is>
          <t>MANTENCION INFRAESTRUCTURA</t>
        </is>
      </c>
      <c r="L2180" s="232" t="inlineStr">
        <is>
          <t>[PRORRATEO 5.2% 7.7há/148.3há] O/001401 LLAVE JARD</t>
        </is>
      </c>
      <c r="M2180" s="232" t="inlineStr"/>
      <c r="N2180" s="232" t="inlineStr">
        <is>
          <t>.   .   -</t>
        </is>
      </c>
      <c r="O2180" s="232" t="inlineStr">
        <is>
          <t>FEBRERO</t>
        </is>
      </c>
      <c r="P2180" s="232" t="n">
        <v>7</v>
      </c>
      <c r="Q2180" s="234" t="n">
        <v>154</v>
      </c>
      <c r="R2180" s="232" t="inlineStr"/>
      <c r="S2180" s="234" t="n">
        <v>154</v>
      </c>
      <c r="T2180" s="232" t="inlineStr">
        <is>
          <t>CLP</t>
        </is>
      </c>
      <c r="U2180" s="232" t="inlineStr">
        <is>
          <t>Prorrateo Ha BODEGA</t>
        </is>
      </c>
      <c r="V2180" s="232" t="inlineStr">
        <is>
          <t>2026-06-18</t>
        </is>
      </c>
    </row>
    <row r="2181">
      <c r="A2181" s="232" t="inlineStr">
        <is>
          <t>CR-2178</t>
        </is>
      </c>
      <c r="B2181" s="232" t="inlineStr">
        <is>
          <t>2026/27</t>
        </is>
      </c>
      <c r="C2181" s="233" t="n">
        <v>46071</v>
      </c>
      <c r="D2181" s="232" t="inlineStr">
        <is>
          <t>68895</t>
        </is>
      </c>
      <c r="E2181" s="232" t="inlineStr">
        <is>
          <t>PRORRATEO</t>
        </is>
      </c>
      <c r="F2181" s="232" t="inlineStr">
        <is>
          <t>Santa Catalina</t>
        </is>
      </c>
      <c r="G2181" s="232" t="inlineStr">
        <is>
          <t>W. murcott 21 ha</t>
        </is>
      </c>
      <c r="H2181" s="232" t="inlineStr">
        <is>
          <t>Mandarina</t>
        </is>
      </c>
      <c r="I2181" s="232" t="inlineStr">
        <is>
          <t>W. murcott</t>
        </is>
      </c>
      <c r="J2181" s="232" t="inlineStr">
        <is>
          <t>MANT. Y REP. CONSTRUCCIONES</t>
        </is>
      </c>
      <c r="K2181" s="232" t="inlineStr">
        <is>
          <t>MANTENCION INFRAESTRUCTURA</t>
        </is>
      </c>
      <c r="L2181" s="232" t="inlineStr">
        <is>
          <t>[PRORRATEO 14.2% 21.0há/148.3há] O/001401 LLAVE JARD</t>
        </is>
      </c>
      <c r="M2181" s="232" t="inlineStr"/>
      <c r="N2181" s="232" t="inlineStr">
        <is>
          <t>.   .   -</t>
        </is>
      </c>
      <c r="O2181" s="232" t="inlineStr">
        <is>
          <t>FEBRERO</t>
        </is>
      </c>
      <c r="P2181" s="232" t="n">
        <v>7</v>
      </c>
      <c r="Q2181" s="234" t="n">
        <v>419</v>
      </c>
      <c r="R2181" s="232" t="inlineStr"/>
      <c r="S2181" s="234" t="n">
        <v>419</v>
      </c>
      <c r="T2181" s="232" t="inlineStr">
        <is>
          <t>CLP</t>
        </is>
      </c>
      <c r="U2181" s="232" t="inlineStr">
        <is>
          <t>Prorrateo Ha BODEGA</t>
        </is>
      </c>
      <c r="V2181" s="232" t="inlineStr">
        <is>
          <t>2026-06-18</t>
        </is>
      </c>
    </row>
    <row r="2182">
      <c r="A2182" s="232" t="inlineStr">
        <is>
          <t>CR-2179</t>
        </is>
      </c>
      <c r="B2182" s="232" t="inlineStr">
        <is>
          <t>2026/27</t>
        </is>
      </c>
      <c r="C2182" s="233" t="n">
        <v>46071</v>
      </c>
      <c r="D2182" s="232" t="inlineStr">
        <is>
          <t>68895</t>
        </is>
      </c>
      <c r="E2182" s="232" t="inlineStr">
        <is>
          <t>PRORRATEO</t>
        </is>
      </c>
      <c r="F2182" s="232" t="inlineStr">
        <is>
          <t>Santa Catalina</t>
        </is>
      </c>
      <c r="G2182" s="232" t="inlineStr">
        <is>
          <t>cambria 4,2 ha</t>
        </is>
      </c>
      <c r="H2182" s="232" t="inlineStr">
        <is>
          <t>Naranjas</t>
        </is>
      </c>
      <c r="I2182" s="232" t="inlineStr">
        <is>
          <t>Cambria</t>
        </is>
      </c>
      <c r="J2182" s="232" t="inlineStr">
        <is>
          <t>MANT. Y REP. CONSTRUCCIONES</t>
        </is>
      </c>
      <c r="K2182" s="232" t="inlineStr">
        <is>
          <t>MANTENCION INFRAESTRUCTURA</t>
        </is>
      </c>
      <c r="L2182" s="232" t="inlineStr">
        <is>
          <t>[PRORRATEO 2.8% 4.2há/148.3há] O/001401 LLAVE JARD</t>
        </is>
      </c>
      <c r="M2182" s="232" t="inlineStr"/>
      <c r="N2182" s="232" t="inlineStr">
        <is>
          <t>.   .   -</t>
        </is>
      </c>
      <c r="O2182" s="232" t="inlineStr">
        <is>
          <t>FEBRERO</t>
        </is>
      </c>
      <c r="P2182" s="232" t="n">
        <v>7</v>
      </c>
      <c r="Q2182" s="234" t="n">
        <v>84</v>
      </c>
      <c r="R2182" s="232" t="inlineStr"/>
      <c r="S2182" s="234" t="n">
        <v>84</v>
      </c>
      <c r="T2182" s="232" t="inlineStr">
        <is>
          <t>CLP</t>
        </is>
      </c>
      <c r="U2182" s="232" t="inlineStr">
        <is>
          <t>Prorrateo Ha BODEGA</t>
        </is>
      </c>
      <c r="V2182" s="232" t="inlineStr">
        <is>
          <t>2026-06-18</t>
        </is>
      </c>
    </row>
    <row r="2183">
      <c r="A2183" s="232" t="inlineStr">
        <is>
          <t>CR-2180</t>
        </is>
      </c>
      <c r="B2183" s="232" t="inlineStr">
        <is>
          <t>2026/27</t>
        </is>
      </c>
      <c r="C2183" s="233" t="n">
        <v>46071</v>
      </c>
      <c r="D2183" s="232" t="inlineStr">
        <is>
          <t>68895</t>
        </is>
      </c>
      <c r="E2183" s="232" t="inlineStr">
        <is>
          <t>PRORRATEO</t>
        </is>
      </c>
      <c r="F2183" s="232" t="inlineStr">
        <is>
          <t>Santa Catalina</t>
        </is>
      </c>
      <c r="G2183" s="232" t="inlineStr">
        <is>
          <t>eureka 10,6 ha</t>
        </is>
      </c>
      <c r="H2183" s="232" t="inlineStr">
        <is>
          <t>Limon</t>
        </is>
      </c>
      <c r="I2183" s="232" t="inlineStr">
        <is>
          <t>Eureka</t>
        </is>
      </c>
      <c r="J2183" s="232" t="inlineStr">
        <is>
          <t>MANT. Y REP. CONSTRUCCIONES</t>
        </is>
      </c>
      <c r="K2183" s="232" t="inlineStr">
        <is>
          <t>MANTENCION INFRAESTRUCTURA</t>
        </is>
      </c>
      <c r="L2183" s="232" t="inlineStr">
        <is>
          <t>[PRORRATEO 7.1% 10.6há/148.3há] O/001401 LLAVE JARD</t>
        </is>
      </c>
      <c r="M2183" s="232" t="inlineStr"/>
      <c r="N2183" s="232" t="inlineStr">
        <is>
          <t>.   .   -</t>
        </is>
      </c>
      <c r="O2183" s="232" t="inlineStr">
        <is>
          <t>FEBRERO</t>
        </is>
      </c>
      <c r="P2183" s="232" t="n">
        <v>7</v>
      </c>
      <c r="Q2183" s="234" t="n">
        <v>211</v>
      </c>
      <c r="R2183" s="232" t="inlineStr"/>
      <c r="S2183" s="234" t="n">
        <v>211</v>
      </c>
      <c r="T2183" s="232" t="inlineStr">
        <is>
          <t>CLP</t>
        </is>
      </c>
      <c r="U2183" s="232" t="inlineStr">
        <is>
          <t>Prorrateo Ha BODEGA</t>
        </is>
      </c>
      <c r="V2183" s="232" t="inlineStr">
        <is>
          <t>2026-06-18</t>
        </is>
      </c>
    </row>
    <row r="2184">
      <c r="A2184" s="232" t="inlineStr">
        <is>
          <t>CR-2181</t>
        </is>
      </c>
      <c r="B2184" s="232" t="inlineStr">
        <is>
          <t>2026/27</t>
        </is>
      </c>
      <c r="C2184" s="233" t="n">
        <v>46071</v>
      </c>
      <c r="D2184" s="232" t="inlineStr">
        <is>
          <t>68895</t>
        </is>
      </c>
      <c r="E2184" s="232" t="inlineStr">
        <is>
          <t>PRORRATEO</t>
        </is>
      </c>
      <c r="F2184" s="232" t="inlineStr">
        <is>
          <t>Santa Catalina</t>
        </is>
      </c>
      <c r="G2184" s="232" t="inlineStr">
        <is>
          <t>eureka 14,4 ha</t>
        </is>
      </c>
      <c r="H2184" s="232" t="inlineStr">
        <is>
          <t>Limon</t>
        </is>
      </c>
      <c r="I2184" s="232" t="inlineStr">
        <is>
          <t>Eureka</t>
        </is>
      </c>
      <c r="J2184" s="232" t="inlineStr">
        <is>
          <t>MANT. Y REP. CONSTRUCCIONES</t>
        </is>
      </c>
      <c r="K2184" s="232" t="inlineStr">
        <is>
          <t>MANTENCION INFRAESTRUCTURA</t>
        </is>
      </c>
      <c r="L2184" s="232" t="inlineStr">
        <is>
          <t>[PRORRATEO 9.7% 14.4há/148.3há] O/001401 LLAVE JARD</t>
        </is>
      </c>
      <c r="M2184" s="232" t="inlineStr"/>
      <c r="N2184" s="232" t="inlineStr">
        <is>
          <t>.   .   -</t>
        </is>
      </c>
      <c r="O2184" s="232" t="inlineStr">
        <is>
          <t>FEBRERO</t>
        </is>
      </c>
      <c r="P2184" s="232" t="n">
        <v>7</v>
      </c>
      <c r="Q2184" s="234" t="n">
        <v>287</v>
      </c>
      <c r="R2184" s="232" t="inlineStr"/>
      <c r="S2184" s="234" t="n">
        <v>287</v>
      </c>
      <c r="T2184" s="232" t="inlineStr">
        <is>
          <t>CLP</t>
        </is>
      </c>
      <c r="U2184" s="232" t="inlineStr">
        <is>
          <t>Prorrateo Ha BODEGA</t>
        </is>
      </c>
      <c r="V2184" s="232" t="inlineStr">
        <is>
          <t>2026-06-18</t>
        </is>
      </c>
    </row>
    <row r="2185">
      <c r="A2185" s="232" t="inlineStr">
        <is>
          <t>CR-2182</t>
        </is>
      </c>
      <c r="B2185" s="232" t="inlineStr">
        <is>
          <t>2026/27</t>
        </is>
      </c>
      <c r="C2185" s="233" t="n">
        <v>46071</v>
      </c>
      <c r="D2185" s="232" t="inlineStr">
        <is>
          <t>68895</t>
        </is>
      </c>
      <c r="E2185" s="232" t="inlineStr">
        <is>
          <t>PRORRATEO</t>
        </is>
      </c>
      <c r="F2185" s="232" t="inlineStr">
        <is>
          <t>Santa Catalina</t>
        </is>
      </c>
      <c r="G2185" s="232" t="inlineStr">
        <is>
          <t>eureka 22,55</t>
        </is>
      </c>
      <c r="H2185" s="232" t="inlineStr">
        <is>
          <t>Limon</t>
        </is>
      </c>
      <c r="I2185" s="232" t="inlineStr">
        <is>
          <t>Eureka</t>
        </is>
      </c>
      <c r="J2185" s="232" t="inlineStr">
        <is>
          <t>MANT. Y REP. CONSTRUCCIONES</t>
        </is>
      </c>
      <c r="K2185" s="232" t="inlineStr">
        <is>
          <t>MANTENCION INFRAESTRUCTURA</t>
        </is>
      </c>
      <c r="L2185" s="232" t="inlineStr">
        <is>
          <t>[PRORRATEO 15.2% 22.55há/148.3há] O/001401 LLAVE JARD</t>
        </is>
      </c>
      <c r="M2185" s="232" t="inlineStr"/>
      <c r="N2185" s="232" t="inlineStr">
        <is>
          <t>.   .   -</t>
        </is>
      </c>
      <c r="O2185" s="232" t="inlineStr">
        <is>
          <t>FEBRERO</t>
        </is>
      </c>
      <c r="P2185" s="232" t="n">
        <v>7</v>
      </c>
      <c r="Q2185" s="234" t="n">
        <v>450</v>
      </c>
      <c r="R2185" s="232" t="inlineStr"/>
      <c r="S2185" s="234" t="n">
        <v>450</v>
      </c>
      <c r="T2185" s="232" t="inlineStr">
        <is>
          <t>CLP</t>
        </is>
      </c>
      <c r="U2185" s="232" t="inlineStr">
        <is>
          <t>Prorrateo Ha BODEGA</t>
        </is>
      </c>
      <c r="V2185" s="232" t="inlineStr">
        <is>
          <t>2026-06-18</t>
        </is>
      </c>
    </row>
    <row r="2186">
      <c r="A2186" s="232" t="inlineStr">
        <is>
          <t>CR-2183</t>
        </is>
      </c>
      <c r="B2186" s="232" t="inlineStr">
        <is>
          <t>2026/27</t>
        </is>
      </c>
      <c r="C2186" s="233" t="n">
        <v>46071</v>
      </c>
      <c r="D2186" s="232" t="inlineStr">
        <is>
          <t>68895</t>
        </is>
      </c>
      <c r="E2186" s="232" t="inlineStr">
        <is>
          <t>PRORRATEO</t>
        </is>
      </c>
      <c r="F2186" s="232" t="inlineStr">
        <is>
          <t>Santa Catalina</t>
        </is>
      </c>
      <c r="G2186" s="232" t="inlineStr">
        <is>
          <t>form benjamin 1,93 ha</t>
        </is>
      </c>
      <c r="H2186" s="232" t="inlineStr">
        <is>
          <t>Limon</t>
        </is>
      </c>
      <c r="I2186" s="232" t="inlineStr">
        <is>
          <t>Benjamin andes</t>
        </is>
      </c>
      <c r="J2186" s="232" t="inlineStr">
        <is>
          <t>MANT. Y REP. CONSTRUCCIONES</t>
        </is>
      </c>
      <c r="K2186" s="232" t="inlineStr">
        <is>
          <t>MANTENCION INFRAESTRUCTURA</t>
        </is>
      </c>
      <c r="L2186" s="232" t="inlineStr">
        <is>
          <t>[PRORRATEO 1.3% 1.93há/148.3há] O/001401 LLAVE JARD</t>
        </is>
      </c>
      <c r="M2186" s="232" t="inlineStr"/>
      <c r="N2186" s="232" t="inlineStr">
        <is>
          <t>.   .   -</t>
        </is>
      </c>
      <c r="O2186" s="232" t="inlineStr">
        <is>
          <t>FEBRERO</t>
        </is>
      </c>
      <c r="P2186" s="232" t="n">
        <v>7</v>
      </c>
      <c r="Q2186" s="234" t="n">
        <v>39</v>
      </c>
      <c r="R2186" s="232" t="inlineStr"/>
      <c r="S2186" s="234" t="n">
        <v>39</v>
      </c>
      <c r="T2186" s="232" t="inlineStr">
        <is>
          <t>CLP</t>
        </is>
      </c>
      <c r="U2186" s="232" t="inlineStr">
        <is>
          <t>Prorrateo Ha BODEGA</t>
        </is>
      </c>
      <c r="V2186" s="232" t="inlineStr">
        <is>
          <t>2026-06-18</t>
        </is>
      </c>
    </row>
    <row r="2187">
      <c r="A2187" s="232" t="inlineStr">
        <is>
          <t>CR-2184</t>
        </is>
      </c>
      <c r="B2187" s="232" t="inlineStr">
        <is>
          <t>2026/27</t>
        </is>
      </c>
      <c r="C2187" s="233" t="n">
        <v>46071</v>
      </c>
      <c r="D2187" s="232" t="inlineStr">
        <is>
          <t>68895</t>
        </is>
      </c>
      <c r="E2187" s="232" t="inlineStr">
        <is>
          <t>PRORRATEO</t>
        </is>
      </c>
      <c r="F2187" s="232" t="inlineStr">
        <is>
          <t>Santa Catalina</t>
        </is>
      </c>
      <c r="G2187" s="232" t="inlineStr">
        <is>
          <t>mant eureka 2,5 ha</t>
        </is>
      </c>
      <c r="H2187" s="232" t="inlineStr">
        <is>
          <t>Limon</t>
        </is>
      </c>
      <c r="I2187" s="232" t="inlineStr">
        <is>
          <t>Eureka</t>
        </is>
      </c>
      <c r="J2187" s="232" t="inlineStr">
        <is>
          <t>MANT. Y REP. CONSTRUCCIONES</t>
        </is>
      </c>
      <c r="K2187" s="232" t="inlineStr">
        <is>
          <t>MANTENCION INFRAESTRUCTURA</t>
        </is>
      </c>
      <c r="L2187" s="232" t="inlineStr">
        <is>
          <t>[PRORRATEO 1.7% 2.5há/148.3há] O/001401 LLAVE JARD</t>
        </is>
      </c>
      <c r="M2187" s="232" t="inlineStr"/>
      <c r="N2187" s="232" t="inlineStr">
        <is>
          <t>.   .   -</t>
        </is>
      </c>
      <c r="O2187" s="232" t="inlineStr">
        <is>
          <t>FEBRERO</t>
        </is>
      </c>
      <c r="P2187" s="232" t="n">
        <v>7</v>
      </c>
      <c r="Q2187" s="234" t="n">
        <v>50</v>
      </c>
      <c r="R2187" s="232" t="inlineStr"/>
      <c r="S2187" s="234" t="n">
        <v>50</v>
      </c>
      <c r="T2187" s="232" t="inlineStr">
        <is>
          <t>CLP</t>
        </is>
      </c>
      <c r="U2187" s="232" t="inlineStr">
        <is>
          <t>Prorrateo Ha BODEGA</t>
        </is>
      </c>
      <c r="V2187" s="232" t="inlineStr">
        <is>
          <t>2026-06-18</t>
        </is>
      </c>
    </row>
    <row r="2188">
      <c r="A2188" s="232" t="inlineStr">
        <is>
          <t>CR-2185</t>
        </is>
      </c>
      <c r="B2188" s="232" t="inlineStr">
        <is>
          <t>2026/27</t>
        </is>
      </c>
      <c r="C2188" s="233" t="n">
        <v>46071</v>
      </c>
      <c r="D2188" s="232" t="inlineStr">
        <is>
          <t>68895</t>
        </is>
      </c>
      <c r="E2188" s="232" t="inlineStr">
        <is>
          <t>PRORRATEO</t>
        </is>
      </c>
      <c r="F2188" s="232" t="inlineStr">
        <is>
          <t>Siberia</t>
        </is>
      </c>
      <c r="G2188" s="232" t="inlineStr">
        <is>
          <t>S. Celebration 7,14</t>
        </is>
      </c>
      <c r="H2188" s="232" t="inlineStr">
        <is>
          <t>Uvas</t>
        </is>
      </c>
      <c r="I2188" s="232" t="inlineStr">
        <is>
          <t>S. celebration</t>
        </is>
      </c>
      <c r="J2188" s="232" t="inlineStr">
        <is>
          <t>MANT. Y REP. CONSTRUCCIONES</t>
        </is>
      </c>
      <c r="K2188" s="232" t="inlineStr">
        <is>
          <t>MANTENCION INFRAESTRUCTURA</t>
        </is>
      </c>
      <c r="L2188" s="232" t="inlineStr">
        <is>
          <t>[PRORRATEO 4.8% 7.14há/148.3há] O/001401 LLAVE JARD</t>
        </is>
      </c>
      <c r="M2188" s="232" t="inlineStr"/>
      <c r="N2188" s="232" t="inlineStr">
        <is>
          <t>.   .   -</t>
        </is>
      </c>
      <c r="O2188" s="232" t="inlineStr">
        <is>
          <t>FEBRERO</t>
        </is>
      </c>
      <c r="P2188" s="232" t="n">
        <v>7</v>
      </c>
      <c r="Q2188" s="234" t="n">
        <v>142</v>
      </c>
      <c r="R2188" s="232" t="inlineStr"/>
      <c r="S2188" s="234" t="n">
        <v>142</v>
      </c>
      <c r="T2188" s="232" t="inlineStr">
        <is>
          <t>CLP</t>
        </is>
      </c>
      <c r="U2188" s="232" t="inlineStr">
        <is>
          <t>Prorrateo Ha BODEGA</t>
        </is>
      </c>
      <c r="V2188" s="232" t="inlineStr">
        <is>
          <t>2026-06-18</t>
        </is>
      </c>
    </row>
    <row r="2189">
      <c r="A2189" s="232" t="inlineStr">
        <is>
          <t>CR-2186</t>
        </is>
      </c>
      <c r="B2189" s="232" t="inlineStr">
        <is>
          <t>2026/27</t>
        </is>
      </c>
      <c r="C2189" s="233" t="n">
        <v>46071</v>
      </c>
      <c r="D2189" s="232" t="inlineStr">
        <is>
          <t>68895</t>
        </is>
      </c>
      <c r="E2189" s="232" t="inlineStr">
        <is>
          <t>PRORRATEO</t>
        </is>
      </c>
      <c r="F2189" s="232" t="inlineStr">
        <is>
          <t>Siberia</t>
        </is>
      </c>
      <c r="G2189" s="232" t="inlineStr">
        <is>
          <t>Timpson 7,1</t>
        </is>
      </c>
      <c r="H2189" s="232" t="inlineStr">
        <is>
          <t>Uvas</t>
        </is>
      </c>
      <c r="I2189" s="232" t="inlineStr">
        <is>
          <t>Timpson</t>
        </is>
      </c>
      <c r="J2189" s="232" t="inlineStr">
        <is>
          <t>MANT. Y REP. CONSTRUCCIONES</t>
        </is>
      </c>
      <c r="K2189" s="232" t="inlineStr">
        <is>
          <t>MANTENCION INFRAESTRUCTURA</t>
        </is>
      </c>
      <c r="L2189" s="232" t="inlineStr">
        <is>
          <t>[PRORRATEO 4.8% 7.1há/148.3há] O/001401 LLAVE JARD</t>
        </is>
      </c>
      <c r="M2189" s="232" t="inlineStr"/>
      <c r="N2189" s="232" t="inlineStr">
        <is>
          <t>.   .   -</t>
        </is>
      </c>
      <c r="O2189" s="232" t="inlineStr">
        <is>
          <t>FEBRERO</t>
        </is>
      </c>
      <c r="P2189" s="232" t="n">
        <v>7</v>
      </c>
      <c r="Q2189" s="234" t="n">
        <v>142</v>
      </c>
      <c r="R2189" s="232" t="inlineStr"/>
      <c r="S2189" s="234" t="n">
        <v>142</v>
      </c>
      <c r="T2189" s="232" t="inlineStr">
        <is>
          <t>CLP</t>
        </is>
      </c>
      <c r="U2189" s="232" t="inlineStr">
        <is>
          <t>Prorrateo Ha BODEGA</t>
        </is>
      </c>
      <c r="V2189" s="232" t="inlineStr">
        <is>
          <t>2026-06-18</t>
        </is>
      </c>
    </row>
    <row r="2190">
      <c r="A2190" s="232" t="inlineStr">
        <is>
          <t>CR-2187</t>
        </is>
      </c>
      <c r="B2190" s="232" t="inlineStr">
        <is>
          <t>2026/27</t>
        </is>
      </c>
      <c r="C2190" s="233" t="n">
        <v>46071</v>
      </c>
      <c r="D2190" s="232" t="inlineStr">
        <is>
          <t>68895</t>
        </is>
      </c>
      <c r="E2190" s="232" t="inlineStr">
        <is>
          <t>PRORRATEO</t>
        </is>
      </c>
      <c r="F2190" s="232" t="inlineStr">
        <is>
          <t>Asmara</t>
        </is>
      </c>
      <c r="G2190" s="232" t="inlineStr">
        <is>
          <t>w. murcott 19,8 ha</t>
        </is>
      </c>
      <c r="H2190" s="232" t="inlineStr">
        <is>
          <t>Mandarina</t>
        </is>
      </c>
      <c r="I2190" s="232" t="inlineStr">
        <is>
          <t>W. murcott</t>
        </is>
      </c>
      <c r="J2190" s="232" t="inlineStr">
        <is>
          <t>MANT. Y REP. CONSTRUCCIONES</t>
        </is>
      </c>
      <c r="K2190" s="232" t="inlineStr">
        <is>
          <t>MANTENCION INFRAESTRUCTURA</t>
        </is>
      </c>
      <c r="L2190" s="232" t="inlineStr">
        <is>
          <t>[PRORRATEO 13.4% 19.8há/148.3há] O/001401 SIFON L. P</t>
        </is>
      </c>
      <c r="M2190" s="232" t="inlineStr"/>
      <c r="N2190" s="232" t="inlineStr">
        <is>
          <t>.   .   -</t>
        </is>
      </c>
      <c r="O2190" s="232" t="inlineStr">
        <is>
          <t>FEBRERO</t>
        </is>
      </c>
      <c r="P2190" s="232" t="n">
        <v>7</v>
      </c>
      <c r="Q2190" s="234" t="n">
        <v>790</v>
      </c>
      <c r="R2190" s="232" t="inlineStr"/>
      <c r="S2190" s="234" t="n">
        <v>790</v>
      </c>
      <c r="T2190" s="232" t="inlineStr">
        <is>
          <t>CLP</t>
        </is>
      </c>
      <c r="U2190" s="232" t="inlineStr">
        <is>
          <t>Prorrateo Ha BODEGA</t>
        </is>
      </c>
      <c r="V2190" s="232" t="inlineStr">
        <is>
          <t>2026-06-18</t>
        </is>
      </c>
    </row>
    <row r="2191">
      <c r="A2191" s="232" t="inlineStr">
        <is>
          <t>CR-2188</t>
        </is>
      </c>
      <c r="B2191" s="232" t="inlineStr">
        <is>
          <t>2026/27</t>
        </is>
      </c>
      <c r="C2191" s="233" t="n">
        <v>46071</v>
      </c>
      <c r="D2191" s="232" t="inlineStr">
        <is>
          <t>68895</t>
        </is>
      </c>
      <c r="E2191" s="232" t="inlineStr">
        <is>
          <t>PRORRATEO</t>
        </is>
      </c>
      <c r="F2191" s="232" t="inlineStr">
        <is>
          <t>Asmara</t>
        </is>
      </c>
      <c r="G2191" s="232" t="inlineStr">
        <is>
          <t>w. murcott 4,9 ha</t>
        </is>
      </c>
      <c r="H2191" s="232" t="inlineStr">
        <is>
          <t>Mandarina</t>
        </is>
      </c>
      <c r="I2191" s="232" t="inlineStr">
        <is>
          <t>W. murcott</t>
        </is>
      </c>
      <c r="J2191" s="232" t="inlineStr">
        <is>
          <t>MANT. Y REP. CONSTRUCCIONES</t>
        </is>
      </c>
      <c r="K2191" s="232" t="inlineStr">
        <is>
          <t>MANTENCION INFRAESTRUCTURA</t>
        </is>
      </c>
      <c r="L2191" s="232" t="inlineStr">
        <is>
          <t>[PRORRATEO 3.3% 4.9há/148.3há] O/001401 SIFON L. P</t>
        </is>
      </c>
      <c r="M2191" s="232" t="inlineStr"/>
      <c r="N2191" s="232" t="inlineStr">
        <is>
          <t>.   .   -</t>
        </is>
      </c>
      <c r="O2191" s="232" t="inlineStr">
        <is>
          <t>FEBRERO</t>
        </is>
      </c>
      <c r="P2191" s="232" t="n">
        <v>7</v>
      </c>
      <c r="Q2191" s="234" t="n">
        <v>196</v>
      </c>
      <c r="R2191" s="232" t="inlineStr"/>
      <c r="S2191" s="234" t="n">
        <v>196</v>
      </c>
      <c r="T2191" s="232" t="inlineStr">
        <is>
          <t>CLP</t>
        </is>
      </c>
      <c r="U2191" s="232" t="inlineStr">
        <is>
          <t>Prorrateo Ha BODEGA</t>
        </is>
      </c>
      <c r="V2191" s="232" t="inlineStr">
        <is>
          <t>2026-06-18</t>
        </is>
      </c>
    </row>
    <row r="2192">
      <c r="A2192" s="232" t="inlineStr">
        <is>
          <t>CR-2189</t>
        </is>
      </c>
      <c r="B2192" s="232" t="inlineStr">
        <is>
          <t>2026/27</t>
        </is>
      </c>
      <c r="C2192" s="233" t="n">
        <v>46071</v>
      </c>
      <c r="D2192" s="232" t="inlineStr">
        <is>
          <t>68895</t>
        </is>
      </c>
      <c r="E2192" s="232" t="inlineStr">
        <is>
          <t>PRORRATEO</t>
        </is>
      </c>
      <c r="F2192" s="232" t="inlineStr">
        <is>
          <t>El Molle</t>
        </is>
      </c>
      <c r="G2192" s="232" t="inlineStr">
        <is>
          <t>Wonderful 5,25 ha</t>
        </is>
      </c>
      <c r="H2192" s="232" t="inlineStr">
        <is>
          <t>Granados</t>
        </is>
      </c>
      <c r="I2192" s="232" t="inlineStr">
        <is>
          <t>Wonderfull</t>
        </is>
      </c>
      <c r="J2192" s="232" t="inlineStr">
        <is>
          <t>MANT. Y REP. CONSTRUCCIONES</t>
        </is>
      </c>
      <c r="K2192" s="232" t="inlineStr">
        <is>
          <t>MANTENCION INFRAESTRUCTURA</t>
        </is>
      </c>
      <c r="L2192" s="232" t="inlineStr">
        <is>
          <t>[PRORRATEO 3.5% 5.24há/148.3há] O/001401 SIFON L. P</t>
        </is>
      </c>
      <c r="M2192" s="232" t="inlineStr"/>
      <c r="N2192" s="232" t="inlineStr">
        <is>
          <t>.   .   -</t>
        </is>
      </c>
      <c r="O2192" s="232" t="inlineStr">
        <is>
          <t>FEBRERO</t>
        </is>
      </c>
      <c r="P2192" s="232" t="n">
        <v>7</v>
      </c>
      <c r="Q2192" s="234" t="n">
        <v>209</v>
      </c>
      <c r="R2192" s="232" t="inlineStr"/>
      <c r="S2192" s="234" t="n">
        <v>209</v>
      </c>
      <c r="T2192" s="232" t="inlineStr">
        <is>
          <t>CLP</t>
        </is>
      </c>
      <c r="U2192" s="232" t="inlineStr">
        <is>
          <t>Prorrateo Ha BODEGA</t>
        </is>
      </c>
      <c r="V2192" s="232" t="inlineStr">
        <is>
          <t>2026-06-18</t>
        </is>
      </c>
    </row>
    <row r="2193">
      <c r="A2193" s="232" t="inlineStr">
        <is>
          <t>CR-2190</t>
        </is>
      </c>
      <c r="B2193" s="232" t="inlineStr">
        <is>
          <t>2026/27</t>
        </is>
      </c>
      <c r="C2193" s="233" t="n">
        <v>46071</v>
      </c>
      <c r="D2193" s="232" t="inlineStr">
        <is>
          <t>68895</t>
        </is>
      </c>
      <c r="E2193" s="232" t="inlineStr">
        <is>
          <t>PRORRATEO</t>
        </is>
      </c>
      <c r="F2193" s="232" t="inlineStr">
        <is>
          <t>El Molle</t>
        </is>
      </c>
      <c r="G2193" s="232" t="inlineStr">
        <is>
          <t>arrufatinas 5,74 ha</t>
        </is>
      </c>
      <c r="H2193" s="232" t="inlineStr">
        <is>
          <t>Clementinas</t>
        </is>
      </c>
      <c r="I2193" s="232" t="inlineStr">
        <is>
          <t>Arrufatinas</t>
        </is>
      </c>
      <c r="J2193" s="232" t="inlineStr">
        <is>
          <t>MANT. Y REP. CONSTRUCCIONES</t>
        </is>
      </c>
      <c r="K2193" s="232" t="inlineStr">
        <is>
          <t>MANTENCION INFRAESTRUCTURA</t>
        </is>
      </c>
      <c r="L2193" s="232" t="inlineStr">
        <is>
          <t>[PRORRATEO 3.9% 5.74há/148.3há] O/001401 SIFON L. P</t>
        </is>
      </c>
      <c r="M2193" s="232" t="inlineStr"/>
      <c r="N2193" s="232" t="inlineStr">
        <is>
          <t>.   .   -</t>
        </is>
      </c>
      <c r="O2193" s="232" t="inlineStr">
        <is>
          <t>FEBRERO</t>
        </is>
      </c>
      <c r="P2193" s="232" t="n">
        <v>7</v>
      </c>
      <c r="Q2193" s="234" t="n">
        <v>229</v>
      </c>
      <c r="R2193" s="232" t="inlineStr"/>
      <c r="S2193" s="234" t="n">
        <v>229</v>
      </c>
      <c r="T2193" s="232" t="inlineStr">
        <is>
          <t>CLP</t>
        </is>
      </c>
      <c r="U2193" s="232" t="inlineStr">
        <is>
          <t>Prorrateo Ha BODEGA</t>
        </is>
      </c>
      <c r="V2193" s="232" t="inlineStr">
        <is>
          <t>2026-06-18</t>
        </is>
      </c>
    </row>
    <row r="2194">
      <c r="A2194" s="232" t="inlineStr">
        <is>
          <t>CR-2191</t>
        </is>
      </c>
      <c r="B2194" s="232" t="inlineStr">
        <is>
          <t>2026/27</t>
        </is>
      </c>
      <c r="C2194" s="233" t="n">
        <v>46071</v>
      </c>
      <c r="D2194" s="232" t="inlineStr">
        <is>
          <t>68895</t>
        </is>
      </c>
      <c r="E2194" s="232" t="inlineStr">
        <is>
          <t>PRORRATEO</t>
        </is>
      </c>
      <c r="F2194" s="232" t="inlineStr">
        <is>
          <t>El Molle</t>
        </is>
      </c>
      <c r="G2194" s="232" t="inlineStr">
        <is>
          <t>orogrande 8,11 ha</t>
        </is>
      </c>
      <c r="H2194" s="232" t="inlineStr">
        <is>
          <t>Clementinas</t>
        </is>
      </c>
      <c r="I2194" s="232" t="inlineStr">
        <is>
          <t>Orogrande</t>
        </is>
      </c>
      <c r="J2194" s="232" t="inlineStr">
        <is>
          <t>MANT. Y REP. CONSTRUCCIONES</t>
        </is>
      </c>
      <c r="K2194" s="232" t="inlineStr">
        <is>
          <t>MANTENCION INFRAESTRUCTURA</t>
        </is>
      </c>
      <c r="L2194" s="232" t="inlineStr">
        <is>
          <t>[PRORRATEO 5.5% 8.11há/148.3há] O/001401 SIFON L. P</t>
        </is>
      </c>
      <c r="M2194" s="232" t="inlineStr"/>
      <c r="N2194" s="232" t="inlineStr">
        <is>
          <t>.   .   -</t>
        </is>
      </c>
      <c r="O2194" s="232" t="inlineStr">
        <is>
          <t>FEBRERO</t>
        </is>
      </c>
      <c r="P2194" s="232" t="n">
        <v>7</v>
      </c>
      <c r="Q2194" s="234" t="n">
        <v>324</v>
      </c>
      <c r="R2194" s="232" t="inlineStr"/>
      <c r="S2194" s="234" t="n">
        <v>324</v>
      </c>
      <c r="T2194" s="232" t="inlineStr">
        <is>
          <t>CLP</t>
        </is>
      </c>
      <c r="U2194" s="232" t="inlineStr">
        <is>
          <t>Prorrateo Ha BODEGA</t>
        </is>
      </c>
      <c r="V2194" s="232" t="inlineStr">
        <is>
          <t>2026-06-18</t>
        </is>
      </c>
    </row>
    <row r="2195">
      <c r="A2195" s="232" t="inlineStr">
        <is>
          <t>CR-2192</t>
        </is>
      </c>
      <c r="B2195" s="232" t="inlineStr">
        <is>
          <t>2026/27</t>
        </is>
      </c>
      <c r="C2195" s="233" t="n">
        <v>46071</v>
      </c>
      <c r="D2195" s="232" t="inlineStr">
        <is>
          <t>68895</t>
        </is>
      </c>
      <c r="E2195" s="232" t="inlineStr">
        <is>
          <t>PRORRATEO</t>
        </is>
      </c>
      <c r="F2195" s="232" t="inlineStr">
        <is>
          <t>El Molle</t>
        </is>
      </c>
      <c r="G2195" s="232" t="inlineStr">
        <is>
          <t>oronules 5,35 ha</t>
        </is>
      </c>
      <c r="H2195" s="232" t="inlineStr">
        <is>
          <t>Clementinas</t>
        </is>
      </c>
      <c r="I2195" s="232" t="inlineStr">
        <is>
          <t>Oronules</t>
        </is>
      </c>
      <c r="J2195" s="232" t="inlineStr">
        <is>
          <t>MANT. Y REP. CONSTRUCCIONES</t>
        </is>
      </c>
      <c r="K2195" s="232" t="inlineStr">
        <is>
          <t>MANTENCION INFRAESTRUCTURA</t>
        </is>
      </c>
      <c r="L2195" s="232" t="inlineStr">
        <is>
          <t>[PRORRATEO 3.6% 5.35há/148.3há] O/001401 SIFON L. P</t>
        </is>
      </c>
      <c r="M2195" s="232" t="inlineStr"/>
      <c r="N2195" s="232" t="inlineStr">
        <is>
          <t>.   .   -</t>
        </is>
      </c>
      <c r="O2195" s="232" t="inlineStr">
        <is>
          <t>FEBRERO</t>
        </is>
      </c>
      <c r="P2195" s="232" t="n">
        <v>7</v>
      </c>
      <c r="Q2195" s="234" t="n">
        <v>213</v>
      </c>
      <c r="R2195" s="232" t="inlineStr"/>
      <c r="S2195" s="234" t="n">
        <v>213</v>
      </c>
      <c r="T2195" s="232" t="inlineStr">
        <is>
          <t>CLP</t>
        </is>
      </c>
      <c r="U2195" s="232" t="inlineStr">
        <is>
          <t>Prorrateo Ha BODEGA</t>
        </is>
      </c>
      <c r="V2195" s="232" t="inlineStr">
        <is>
          <t>2026-06-18</t>
        </is>
      </c>
    </row>
    <row r="2196">
      <c r="A2196" s="232" t="inlineStr">
        <is>
          <t>CR-2193</t>
        </is>
      </c>
      <c r="B2196" s="232" t="inlineStr">
        <is>
          <t>2026/27</t>
        </is>
      </c>
      <c r="C2196" s="233" t="n">
        <v>46071</v>
      </c>
      <c r="D2196" s="232" t="inlineStr">
        <is>
          <t>68895</t>
        </is>
      </c>
      <c r="E2196" s="232" t="inlineStr">
        <is>
          <t>PRORRATEO</t>
        </is>
      </c>
      <c r="F2196" s="232" t="inlineStr">
        <is>
          <t>Santa Catalina</t>
        </is>
      </c>
      <c r="G2196" s="232" t="inlineStr">
        <is>
          <t>Fino 49 7,7 ha</t>
        </is>
      </c>
      <c r="H2196" s="232" t="inlineStr">
        <is>
          <t>Limon</t>
        </is>
      </c>
      <c r="I2196" s="232" t="inlineStr">
        <is>
          <t>Fino 49</t>
        </is>
      </c>
      <c r="J2196" s="232" t="inlineStr">
        <is>
          <t>MANT. Y REP. CONSTRUCCIONES</t>
        </is>
      </c>
      <c r="K2196" s="232" t="inlineStr">
        <is>
          <t>MANTENCION INFRAESTRUCTURA</t>
        </is>
      </c>
      <c r="L2196" s="232" t="inlineStr">
        <is>
          <t>[PRORRATEO 5.2% 7.7há/148.3há] O/001401 SIFON L. P</t>
        </is>
      </c>
      <c r="M2196" s="232" t="inlineStr"/>
      <c r="N2196" s="232" t="inlineStr">
        <is>
          <t>.   .   -</t>
        </is>
      </c>
      <c r="O2196" s="232" t="inlineStr">
        <is>
          <t>FEBRERO</t>
        </is>
      </c>
      <c r="P2196" s="232" t="n">
        <v>7</v>
      </c>
      <c r="Q2196" s="234" t="n">
        <v>307</v>
      </c>
      <c r="R2196" s="232" t="inlineStr"/>
      <c r="S2196" s="234" t="n">
        <v>307</v>
      </c>
      <c r="T2196" s="232" t="inlineStr">
        <is>
          <t>CLP</t>
        </is>
      </c>
      <c r="U2196" s="232" t="inlineStr">
        <is>
          <t>Prorrateo Ha BODEGA</t>
        </is>
      </c>
      <c r="V2196" s="232" t="inlineStr">
        <is>
          <t>2026-06-18</t>
        </is>
      </c>
    </row>
    <row r="2197">
      <c r="A2197" s="232" t="inlineStr">
        <is>
          <t>CR-2194</t>
        </is>
      </c>
      <c r="B2197" s="232" t="inlineStr">
        <is>
          <t>2026/27</t>
        </is>
      </c>
      <c r="C2197" s="233" t="n">
        <v>46071</v>
      </c>
      <c r="D2197" s="232" t="inlineStr">
        <is>
          <t>68895</t>
        </is>
      </c>
      <c r="E2197" s="232" t="inlineStr">
        <is>
          <t>PRORRATEO</t>
        </is>
      </c>
      <c r="F2197" s="232" t="inlineStr">
        <is>
          <t>Santa Catalina</t>
        </is>
      </c>
      <c r="G2197" s="232" t="inlineStr">
        <is>
          <t>W. murcott 21 ha</t>
        </is>
      </c>
      <c r="H2197" s="232" t="inlineStr">
        <is>
          <t>Mandarina</t>
        </is>
      </c>
      <c r="I2197" s="232" t="inlineStr">
        <is>
          <t>W. murcott</t>
        </is>
      </c>
      <c r="J2197" s="232" t="inlineStr">
        <is>
          <t>MANT. Y REP. CONSTRUCCIONES</t>
        </is>
      </c>
      <c r="K2197" s="232" t="inlineStr">
        <is>
          <t>MANTENCION INFRAESTRUCTURA</t>
        </is>
      </c>
      <c r="L2197" s="232" t="inlineStr">
        <is>
          <t>[PRORRATEO 14.2% 21.0há/148.3há] O/001401 SIFON L. P</t>
        </is>
      </c>
      <c r="M2197" s="232" t="inlineStr"/>
      <c r="N2197" s="232" t="inlineStr">
        <is>
          <t>.   .   -</t>
        </is>
      </c>
      <c r="O2197" s="232" t="inlineStr">
        <is>
          <t>FEBRERO</t>
        </is>
      </c>
      <c r="P2197" s="232" t="n">
        <v>7</v>
      </c>
      <c r="Q2197" s="234" t="n">
        <v>838</v>
      </c>
      <c r="R2197" s="232" t="inlineStr"/>
      <c r="S2197" s="234" t="n">
        <v>838</v>
      </c>
      <c r="T2197" s="232" t="inlineStr">
        <is>
          <t>CLP</t>
        </is>
      </c>
      <c r="U2197" s="232" t="inlineStr">
        <is>
          <t>Prorrateo Ha BODEGA</t>
        </is>
      </c>
      <c r="V2197" s="232" t="inlineStr">
        <is>
          <t>2026-06-18</t>
        </is>
      </c>
    </row>
    <row r="2198">
      <c r="A2198" s="232" t="inlineStr">
        <is>
          <t>CR-2195</t>
        </is>
      </c>
      <c r="B2198" s="232" t="inlineStr">
        <is>
          <t>2026/27</t>
        </is>
      </c>
      <c r="C2198" s="233" t="n">
        <v>46071</v>
      </c>
      <c r="D2198" s="232" t="inlineStr">
        <is>
          <t>68895</t>
        </is>
      </c>
      <c r="E2198" s="232" t="inlineStr">
        <is>
          <t>PRORRATEO</t>
        </is>
      </c>
      <c r="F2198" s="232" t="inlineStr">
        <is>
          <t>Santa Catalina</t>
        </is>
      </c>
      <c r="G2198" s="232" t="inlineStr">
        <is>
          <t>cambria 4,2 ha</t>
        </is>
      </c>
      <c r="H2198" s="232" t="inlineStr">
        <is>
          <t>Naranjas</t>
        </is>
      </c>
      <c r="I2198" s="232" t="inlineStr">
        <is>
          <t>Cambria</t>
        </is>
      </c>
      <c r="J2198" s="232" t="inlineStr">
        <is>
          <t>MANT. Y REP. CONSTRUCCIONES</t>
        </is>
      </c>
      <c r="K2198" s="232" t="inlineStr">
        <is>
          <t>MANTENCION INFRAESTRUCTURA</t>
        </is>
      </c>
      <c r="L2198" s="232" t="inlineStr">
        <is>
          <t>[PRORRATEO 2.8% 4.2há/148.3há] O/001401 SIFON L. P</t>
        </is>
      </c>
      <c r="M2198" s="232" t="inlineStr"/>
      <c r="N2198" s="232" t="inlineStr">
        <is>
          <t>.   .   -</t>
        </is>
      </c>
      <c r="O2198" s="232" t="inlineStr">
        <is>
          <t>FEBRERO</t>
        </is>
      </c>
      <c r="P2198" s="232" t="n">
        <v>7</v>
      </c>
      <c r="Q2198" s="234" t="n">
        <v>168</v>
      </c>
      <c r="R2198" s="232" t="inlineStr"/>
      <c r="S2198" s="234" t="n">
        <v>168</v>
      </c>
      <c r="T2198" s="232" t="inlineStr">
        <is>
          <t>CLP</t>
        </is>
      </c>
      <c r="U2198" s="232" t="inlineStr">
        <is>
          <t>Prorrateo Ha BODEGA</t>
        </is>
      </c>
      <c r="V2198" s="232" t="inlineStr">
        <is>
          <t>2026-06-18</t>
        </is>
      </c>
    </row>
    <row r="2199">
      <c r="A2199" s="232" t="inlineStr">
        <is>
          <t>CR-2196</t>
        </is>
      </c>
      <c r="B2199" s="232" t="inlineStr">
        <is>
          <t>2026/27</t>
        </is>
      </c>
      <c r="C2199" s="233" t="n">
        <v>46071</v>
      </c>
      <c r="D2199" s="232" t="inlineStr">
        <is>
          <t>68895</t>
        </is>
      </c>
      <c r="E2199" s="232" t="inlineStr">
        <is>
          <t>PRORRATEO</t>
        </is>
      </c>
      <c r="F2199" s="232" t="inlineStr">
        <is>
          <t>Santa Catalina</t>
        </is>
      </c>
      <c r="G2199" s="232" t="inlineStr">
        <is>
          <t>eureka 10,6 ha</t>
        </is>
      </c>
      <c r="H2199" s="232" t="inlineStr">
        <is>
          <t>Limon</t>
        </is>
      </c>
      <c r="I2199" s="232" t="inlineStr">
        <is>
          <t>Eureka</t>
        </is>
      </c>
      <c r="J2199" s="232" t="inlineStr">
        <is>
          <t>MANT. Y REP. CONSTRUCCIONES</t>
        </is>
      </c>
      <c r="K2199" s="232" t="inlineStr">
        <is>
          <t>MANTENCION INFRAESTRUCTURA</t>
        </is>
      </c>
      <c r="L2199" s="232" t="inlineStr">
        <is>
          <t>[PRORRATEO 7.1% 10.6há/148.3há] O/001401 SIFON L. P</t>
        </is>
      </c>
      <c r="M2199" s="232" t="inlineStr"/>
      <c r="N2199" s="232" t="inlineStr">
        <is>
          <t>.   .   -</t>
        </is>
      </c>
      <c r="O2199" s="232" t="inlineStr">
        <is>
          <t>FEBRERO</t>
        </is>
      </c>
      <c r="P2199" s="232" t="n">
        <v>7</v>
      </c>
      <c r="Q2199" s="234" t="n">
        <v>423</v>
      </c>
      <c r="R2199" s="232" t="inlineStr"/>
      <c r="S2199" s="234" t="n">
        <v>423</v>
      </c>
      <c r="T2199" s="232" t="inlineStr">
        <is>
          <t>CLP</t>
        </is>
      </c>
      <c r="U2199" s="232" t="inlineStr">
        <is>
          <t>Prorrateo Ha BODEGA</t>
        </is>
      </c>
      <c r="V2199" s="232" t="inlineStr">
        <is>
          <t>2026-06-18</t>
        </is>
      </c>
    </row>
    <row r="2200">
      <c r="A2200" s="232" t="inlineStr">
        <is>
          <t>CR-2197</t>
        </is>
      </c>
      <c r="B2200" s="232" t="inlineStr">
        <is>
          <t>2026/27</t>
        </is>
      </c>
      <c r="C2200" s="233" t="n">
        <v>46071</v>
      </c>
      <c r="D2200" s="232" t="inlineStr">
        <is>
          <t>68895</t>
        </is>
      </c>
      <c r="E2200" s="232" t="inlineStr">
        <is>
          <t>PRORRATEO</t>
        </is>
      </c>
      <c r="F2200" s="232" t="inlineStr">
        <is>
          <t>Santa Catalina</t>
        </is>
      </c>
      <c r="G2200" s="232" t="inlineStr">
        <is>
          <t>eureka 14,4 ha</t>
        </is>
      </c>
      <c r="H2200" s="232" t="inlineStr">
        <is>
          <t>Limon</t>
        </is>
      </c>
      <c r="I2200" s="232" t="inlineStr">
        <is>
          <t>Eureka</t>
        </is>
      </c>
      <c r="J2200" s="232" t="inlineStr">
        <is>
          <t>MANT. Y REP. CONSTRUCCIONES</t>
        </is>
      </c>
      <c r="K2200" s="232" t="inlineStr">
        <is>
          <t>MANTENCION INFRAESTRUCTURA</t>
        </is>
      </c>
      <c r="L2200" s="232" t="inlineStr">
        <is>
          <t>[PRORRATEO 9.7% 14.4há/148.3há] O/001401 SIFON L. P</t>
        </is>
      </c>
      <c r="M2200" s="232" t="inlineStr"/>
      <c r="N2200" s="232" t="inlineStr">
        <is>
          <t>.   .   -</t>
        </is>
      </c>
      <c r="O2200" s="232" t="inlineStr">
        <is>
          <t>FEBRERO</t>
        </is>
      </c>
      <c r="P2200" s="232" t="n">
        <v>7</v>
      </c>
      <c r="Q2200" s="234" t="n">
        <v>575</v>
      </c>
      <c r="R2200" s="232" t="inlineStr"/>
      <c r="S2200" s="234" t="n">
        <v>575</v>
      </c>
      <c r="T2200" s="232" t="inlineStr">
        <is>
          <t>CLP</t>
        </is>
      </c>
      <c r="U2200" s="232" t="inlineStr">
        <is>
          <t>Prorrateo Ha BODEGA</t>
        </is>
      </c>
      <c r="V2200" s="232" t="inlineStr">
        <is>
          <t>2026-06-18</t>
        </is>
      </c>
    </row>
    <row r="2201">
      <c r="A2201" s="232" t="inlineStr">
        <is>
          <t>CR-2198</t>
        </is>
      </c>
      <c r="B2201" s="232" t="inlineStr">
        <is>
          <t>2026/27</t>
        </is>
      </c>
      <c r="C2201" s="233" t="n">
        <v>46071</v>
      </c>
      <c r="D2201" s="232" t="inlineStr">
        <is>
          <t>68895</t>
        </is>
      </c>
      <c r="E2201" s="232" t="inlineStr">
        <is>
          <t>PRORRATEO</t>
        </is>
      </c>
      <c r="F2201" s="232" t="inlineStr">
        <is>
          <t>Santa Catalina</t>
        </is>
      </c>
      <c r="G2201" s="232" t="inlineStr">
        <is>
          <t>eureka 22,55</t>
        </is>
      </c>
      <c r="H2201" s="232" t="inlineStr">
        <is>
          <t>Limon</t>
        </is>
      </c>
      <c r="I2201" s="232" t="inlineStr">
        <is>
          <t>Eureka</t>
        </is>
      </c>
      <c r="J2201" s="232" t="inlineStr">
        <is>
          <t>MANT. Y REP. CONSTRUCCIONES</t>
        </is>
      </c>
      <c r="K2201" s="232" t="inlineStr">
        <is>
          <t>MANTENCION INFRAESTRUCTURA</t>
        </is>
      </c>
      <c r="L2201" s="232" t="inlineStr">
        <is>
          <t>[PRORRATEO 15.2% 22.55há/148.3há] O/001401 SIFON L. P</t>
        </is>
      </c>
      <c r="M2201" s="232" t="inlineStr"/>
      <c r="N2201" s="232" t="inlineStr">
        <is>
          <t>.   .   -</t>
        </is>
      </c>
      <c r="O2201" s="232" t="inlineStr">
        <is>
          <t>FEBRERO</t>
        </is>
      </c>
      <c r="P2201" s="232" t="n">
        <v>7</v>
      </c>
      <c r="Q2201" s="234" t="n">
        <v>900</v>
      </c>
      <c r="R2201" s="232" t="inlineStr"/>
      <c r="S2201" s="234" t="n">
        <v>900</v>
      </c>
      <c r="T2201" s="232" t="inlineStr">
        <is>
          <t>CLP</t>
        </is>
      </c>
      <c r="U2201" s="232" t="inlineStr">
        <is>
          <t>Prorrateo Ha BODEGA</t>
        </is>
      </c>
      <c r="V2201" s="232" t="inlineStr">
        <is>
          <t>2026-06-18</t>
        </is>
      </c>
    </row>
    <row r="2202">
      <c r="A2202" s="232" t="inlineStr">
        <is>
          <t>CR-2199</t>
        </is>
      </c>
      <c r="B2202" s="232" t="inlineStr">
        <is>
          <t>2026/27</t>
        </is>
      </c>
      <c r="C2202" s="233" t="n">
        <v>46071</v>
      </c>
      <c r="D2202" s="232" t="inlineStr">
        <is>
          <t>68895</t>
        </is>
      </c>
      <c r="E2202" s="232" t="inlineStr">
        <is>
          <t>PRORRATEO</t>
        </is>
      </c>
      <c r="F2202" s="232" t="inlineStr">
        <is>
          <t>Santa Catalina</t>
        </is>
      </c>
      <c r="G2202" s="232" t="inlineStr">
        <is>
          <t>form benjamin 1,93 ha</t>
        </is>
      </c>
      <c r="H2202" s="232" t="inlineStr">
        <is>
          <t>Limon</t>
        </is>
      </c>
      <c r="I2202" s="232" t="inlineStr">
        <is>
          <t>Benjamin andes</t>
        </is>
      </c>
      <c r="J2202" s="232" t="inlineStr">
        <is>
          <t>MANT. Y REP. CONSTRUCCIONES</t>
        </is>
      </c>
      <c r="K2202" s="232" t="inlineStr">
        <is>
          <t>MANTENCION INFRAESTRUCTURA</t>
        </is>
      </c>
      <c r="L2202" s="232" t="inlineStr">
        <is>
          <t>[PRORRATEO 1.3% 1.93há/148.3há] O/001401 SIFON L. P</t>
        </is>
      </c>
      <c r="M2202" s="232" t="inlineStr"/>
      <c r="N2202" s="232" t="inlineStr">
        <is>
          <t>.   .   -</t>
        </is>
      </c>
      <c r="O2202" s="232" t="inlineStr">
        <is>
          <t>FEBRERO</t>
        </is>
      </c>
      <c r="P2202" s="232" t="n">
        <v>7</v>
      </c>
      <c r="Q2202" s="234" t="n">
        <v>77</v>
      </c>
      <c r="R2202" s="232" t="inlineStr"/>
      <c r="S2202" s="234" t="n">
        <v>77</v>
      </c>
      <c r="T2202" s="232" t="inlineStr">
        <is>
          <t>CLP</t>
        </is>
      </c>
      <c r="U2202" s="232" t="inlineStr">
        <is>
          <t>Prorrateo Ha BODEGA</t>
        </is>
      </c>
      <c r="V2202" s="232" t="inlineStr">
        <is>
          <t>2026-06-18</t>
        </is>
      </c>
    </row>
    <row r="2203">
      <c r="A2203" s="232" t="inlineStr">
        <is>
          <t>CR-2200</t>
        </is>
      </c>
      <c r="B2203" s="232" t="inlineStr">
        <is>
          <t>2026/27</t>
        </is>
      </c>
      <c r="C2203" s="233" t="n">
        <v>46071</v>
      </c>
      <c r="D2203" s="232" t="inlineStr">
        <is>
          <t>68895</t>
        </is>
      </c>
      <c r="E2203" s="232" t="inlineStr">
        <is>
          <t>PRORRATEO</t>
        </is>
      </c>
      <c r="F2203" s="232" t="inlineStr">
        <is>
          <t>Santa Catalina</t>
        </is>
      </c>
      <c r="G2203" s="232" t="inlineStr">
        <is>
          <t>mant eureka 2,5 ha</t>
        </is>
      </c>
      <c r="H2203" s="232" t="inlineStr">
        <is>
          <t>Limon</t>
        </is>
      </c>
      <c r="I2203" s="232" t="inlineStr">
        <is>
          <t>Eureka</t>
        </is>
      </c>
      <c r="J2203" s="232" t="inlineStr">
        <is>
          <t>MANT. Y REP. CONSTRUCCIONES</t>
        </is>
      </c>
      <c r="K2203" s="232" t="inlineStr">
        <is>
          <t>MANTENCION INFRAESTRUCTURA</t>
        </is>
      </c>
      <c r="L2203" s="232" t="inlineStr">
        <is>
          <t>[PRORRATEO 1.7% 2.5há/148.3há] O/001401 SIFON L. P</t>
        </is>
      </c>
      <c r="M2203" s="232" t="inlineStr"/>
      <c r="N2203" s="232" t="inlineStr">
        <is>
          <t>.   .   -</t>
        </is>
      </c>
      <c r="O2203" s="232" t="inlineStr">
        <is>
          <t>FEBRERO</t>
        </is>
      </c>
      <c r="P2203" s="232" t="n">
        <v>7</v>
      </c>
      <c r="Q2203" s="234" t="n">
        <v>100</v>
      </c>
      <c r="R2203" s="232" t="inlineStr"/>
      <c r="S2203" s="234" t="n">
        <v>100</v>
      </c>
      <c r="T2203" s="232" t="inlineStr">
        <is>
          <t>CLP</t>
        </is>
      </c>
      <c r="U2203" s="232" t="inlineStr">
        <is>
          <t>Prorrateo Ha BODEGA</t>
        </is>
      </c>
      <c r="V2203" s="232" t="inlineStr">
        <is>
          <t>2026-06-18</t>
        </is>
      </c>
    </row>
    <row r="2204">
      <c r="A2204" s="232" t="inlineStr">
        <is>
          <t>CR-2201</t>
        </is>
      </c>
      <c r="B2204" s="232" t="inlineStr">
        <is>
          <t>2026/27</t>
        </is>
      </c>
      <c r="C2204" s="233" t="n">
        <v>46071</v>
      </c>
      <c r="D2204" s="232" t="inlineStr">
        <is>
          <t>68895</t>
        </is>
      </c>
      <c r="E2204" s="232" t="inlineStr">
        <is>
          <t>PRORRATEO</t>
        </is>
      </c>
      <c r="F2204" s="232" t="inlineStr">
        <is>
          <t>Siberia</t>
        </is>
      </c>
      <c r="G2204" s="232" t="inlineStr">
        <is>
          <t>S. Celebration 7,14</t>
        </is>
      </c>
      <c r="H2204" s="232" t="inlineStr">
        <is>
          <t>Uvas</t>
        </is>
      </c>
      <c r="I2204" s="232" t="inlineStr">
        <is>
          <t>S. celebration</t>
        </is>
      </c>
      <c r="J2204" s="232" t="inlineStr">
        <is>
          <t>MANT. Y REP. CONSTRUCCIONES</t>
        </is>
      </c>
      <c r="K2204" s="232" t="inlineStr">
        <is>
          <t>MANTENCION INFRAESTRUCTURA</t>
        </is>
      </c>
      <c r="L2204" s="232" t="inlineStr">
        <is>
          <t>[PRORRATEO 4.8% 7.14há/148.3há] O/001401 SIFON L. P</t>
        </is>
      </c>
      <c r="M2204" s="232" t="inlineStr"/>
      <c r="N2204" s="232" t="inlineStr">
        <is>
          <t>.   .   -</t>
        </is>
      </c>
      <c r="O2204" s="232" t="inlineStr">
        <is>
          <t>FEBRERO</t>
        </is>
      </c>
      <c r="P2204" s="232" t="n">
        <v>7</v>
      </c>
      <c r="Q2204" s="234" t="n">
        <v>285</v>
      </c>
      <c r="R2204" s="232" t="inlineStr"/>
      <c r="S2204" s="234" t="n">
        <v>285</v>
      </c>
      <c r="T2204" s="232" t="inlineStr">
        <is>
          <t>CLP</t>
        </is>
      </c>
      <c r="U2204" s="232" t="inlineStr">
        <is>
          <t>Prorrateo Ha BODEGA</t>
        </is>
      </c>
      <c r="V2204" s="232" t="inlineStr">
        <is>
          <t>2026-06-18</t>
        </is>
      </c>
    </row>
    <row r="2205">
      <c r="A2205" s="232" t="inlineStr">
        <is>
          <t>CR-2202</t>
        </is>
      </c>
      <c r="B2205" s="232" t="inlineStr">
        <is>
          <t>2026/27</t>
        </is>
      </c>
      <c r="C2205" s="233" t="n">
        <v>46071</v>
      </c>
      <c r="D2205" s="232" t="inlineStr">
        <is>
          <t>68895</t>
        </is>
      </c>
      <c r="E2205" s="232" t="inlineStr">
        <is>
          <t>PRORRATEO</t>
        </is>
      </c>
      <c r="F2205" s="232" t="inlineStr">
        <is>
          <t>Siberia</t>
        </is>
      </c>
      <c r="G2205" s="232" t="inlineStr">
        <is>
          <t>Timpson 7,1</t>
        </is>
      </c>
      <c r="H2205" s="232" t="inlineStr">
        <is>
          <t>Uvas</t>
        </is>
      </c>
      <c r="I2205" s="232" t="inlineStr">
        <is>
          <t>Timpson</t>
        </is>
      </c>
      <c r="J2205" s="232" t="inlineStr">
        <is>
          <t>MANT. Y REP. CONSTRUCCIONES</t>
        </is>
      </c>
      <c r="K2205" s="232" t="inlineStr">
        <is>
          <t>MANTENCION INFRAESTRUCTURA</t>
        </is>
      </c>
      <c r="L2205" s="232" t="inlineStr">
        <is>
          <t>[PRORRATEO 4.8% 7.1há/148.3há] O/001401 SIFON L. P</t>
        </is>
      </c>
      <c r="M2205" s="232" t="inlineStr"/>
      <c r="N2205" s="232" t="inlineStr">
        <is>
          <t>.   .   -</t>
        </is>
      </c>
      <c r="O2205" s="232" t="inlineStr">
        <is>
          <t>FEBRERO</t>
        </is>
      </c>
      <c r="P2205" s="232" t="n">
        <v>7</v>
      </c>
      <c r="Q2205" s="234" t="n">
        <v>283</v>
      </c>
      <c r="R2205" s="232" t="inlineStr"/>
      <c r="S2205" s="234" t="n">
        <v>283</v>
      </c>
      <c r="T2205" s="232" t="inlineStr">
        <is>
          <t>CLP</t>
        </is>
      </c>
      <c r="U2205" s="232" t="inlineStr">
        <is>
          <t>Prorrateo Ha BODEGA</t>
        </is>
      </c>
      <c r="V2205" s="232" t="inlineStr">
        <is>
          <t>2026-06-18</t>
        </is>
      </c>
    </row>
    <row r="2206">
      <c r="A2206" s="232" t="inlineStr">
        <is>
          <t>CR-2203</t>
        </is>
      </c>
      <c r="B2206" s="232" t="inlineStr">
        <is>
          <t>2026/27</t>
        </is>
      </c>
      <c r="C2206" s="233" t="n">
        <v>46071</v>
      </c>
      <c r="D2206" s="232" t="inlineStr">
        <is>
          <t>68895</t>
        </is>
      </c>
      <c r="E2206" s="232" t="inlineStr">
        <is>
          <t>PRORRATEO</t>
        </is>
      </c>
      <c r="F2206" s="232" t="inlineStr">
        <is>
          <t>Asmara</t>
        </is>
      </c>
      <c r="G2206" s="232" t="inlineStr">
        <is>
          <t>w. murcott 19,8 ha</t>
        </is>
      </c>
      <c r="H2206" s="232" t="inlineStr">
        <is>
          <t>Mandarina</t>
        </is>
      </c>
      <c r="I2206" s="232" t="inlineStr">
        <is>
          <t>W. murcott</t>
        </is>
      </c>
      <c r="J2206" s="232" t="inlineStr">
        <is>
          <t>MANT. Y REP. CONSTRUCCIONES</t>
        </is>
      </c>
      <c r="K2206" s="232" t="inlineStr">
        <is>
          <t>MANTENCION INFRAESTRUCTURA</t>
        </is>
      </c>
      <c r="L2206" s="232" t="inlineStr">
        <is>
          <t>[PRORRATEO 13.4% 19.8há/148.3há] O/001401 TEE HIDR.</t>
        </is>
      </c>
      <c r="M2206" s="232" t="inlineStr"/>
      <c r="N2206" s="232" t="inlineStr">
        <is>
          <t>.   .   -</t>
        </is>
      </c>
      <c r="O2206" s="232" t="inlineStr">
        <is>
          <t>FEBRERO</t>
        </is>
      </c>
      <c r="P2206" s="232" t="n">
        <v>7</v>
      </c>
      <c r="Q2206" s="234" t="n">
        <v>58</v>
      </c>
      <c r="R2206" s="232" t="inlineStr"/>
      <c r="S2206" s="234" t="n">
        <v>58</v>
      </c>
      <c r="T2206" s="232" t="inlineStr">
        <is>
          <t>CLP</t>
        </is>
      </c>
      <c r="U2206" s="232" t="inlineStr">
        <is>
          <t>Prorrateo Ha BODEGA</t>
        </is>
      </c>
      <c r="V2206" s="232" t="inlineStr">
        <is>
          <t>2026-06-18</t>
        </is>
      </c>
    </row>
    <row r="2207">
      <c r="A2207" s="232" t="inlineStr">
        <is>
          <t>CR-2204</t>
        </is>
      </c>
      <c r="B2207" s="232" t="inlineStr">
        <is>
          <t>2026/27</t>
        </is>
      </c>
      <c r="C2207" s="233" t="n">
        <v>46071</v>
      </c>
      <c r="D2207" s="232" t="inlineStr">
        <is>
          <t>68895</t>
        </is>
      </c>
      <c r="E2207" s="232" t="inlineStr">
        <is>
          <t>PRORRATEO</t>
        </is>
      </c>
      <c r="F2207" s="232" t="inlineStr">
        <is>
          <t>Asmara</t>
        </is>
      </c>
      <c r="G2207" s="232" t="inlineStr">
        <is>
          <t>w. murcott 4,9 ha</t>
        </is>
      </c>
      <c r="H2207" s="232" t="inlineStr">
        <is>
          <t>Mandarina</t>
        </is>
      </c>
      <c r="I2207" s="232" t="inlineStr">
        <is>
          <t>W. murcott</t>
        </is>
      </c>
      <c r="J2207" s="232" t="inlineStr">
        <is>
          <t>MANT. Y REP. CONSTRUCCIONES</t>
        </is>
      </c>
      <c r="K2207" s="232" t="inlineStr">
        <is>
          <t>MANTENCION INFRAESTRUCTURA</t>
        </is>
      </c>
      <c r="L2207" s="232" t="inlineStr">
        <is>
          <t>[PRORRATEO 3.3% 4.9há/148.3há] O/001401 TEE HIDR.</t>
        </is>
      </c>
      <c r="M2207" s="232" t="inlineStr"/>
      <c r="N2207" s="232" t="inlineStr">
        <is>
          <t>.   .   -</t>
        </is>
      </c>
      <c r="O2207" s="232" t="inlineStr">
        <is>
          <t>FEBRERO</t>
        </is>
      </c>
      <c r="P2207" s="232" t="n">
        <v>7</v>
      </c>
      <c r="Q2207" s="234" t="n">
        <v>14</v>
      </c>
      <c r="R2207" s="232" t="inlineStr"/>
      <c r="S2207" s="234" t="n">
        <v>14</v>
      </c>
      <c r="T2207" s="232" t="inlineStr">
        <is>
          <t>CLP</t>
        </is>
      </c>
      <c r="U2207" s="232" t="inlineStr">
        <is>
          <t>Prorrateo Ha BODEGA</t>
        </is>
      </c>
      <c r="V2207" s="232" t="inlineStr">
        <is>
          <t>2026-06-18</t>
        </is>
      </c>
    </row>
    <row r="2208">
      <c r="A2208" s="232" t="inlineStr">
        <is>
          <t>CR-2205</t>
        </is>
      </c>
      <c r="B2208" s="232" t="inlineStr">
        <is>
          <t>2026/27</t>
        </is>
      </c>
      <c r="C2208" s="233" t="n">
        <v>46071</v>
      </c>
      <c r="D2208" s="232" t="inlineStr">
        <is>
          <t>68895</t>
        </is>
      </c>
      <c r="E2208" s="232" t="inlineStr">
        <is>
          <t>PRORRATEO</t>
        </is>
      </c>
      <c r="F2208" s="232" t="inlineStr">
        <is>
          <t>El Molle</t>
        </is>
      </c>
      <c r="G2208" s="232" t="inlineStr">
        <is>
          <t>Wonderful 5,25 ha</t>
        </is>
      </c>
      <c r="H2208" s="232" t="inlineStr">
        <is>
          <t>Granados</t>
        </is>
      </c>
      <c r="I2208" s="232" t="inlineStr">
        <is>
          <t>Wonderfull</t>
        </is>
      </c>
      <c r="J2208" s="232" t="inlineStr">
        <is>
          <t>MANT. Y REP. CONSTRUCCIONES</t>
        </is>
      </c>
      <c r="K2208" s="232" t="inlineStr">
        <is>
          <t>MANTENCION INFRAESTRUCTURA</t>
        </is>
      </c>
      <c r="L2208" s="232" t="inlineStr">
        <is>
          <t>[PRORRATEO 3.5% 5.24há/148.3há] O/001401 TEE HIDR.</t>
        </is>
      </c>
      <c r="M2208" s="232" t="inlineStr"/>
      <c r="N2208" s="232" t="inlineStr">
        <is>
          <t>.   .   -</t>
        </is>
      </c>
      <c r="O2208" s="232" t="inlineStr">
        <is>
          <t>FEBRERO</t>
        </is>
      </c>
      <c r="P2208" s="232" t="n">
        <v>7</v>
      </c>
      <c r="Q2208" s="234" t="n">
        <v>15</v>
      </c>
      <c r="R2208" s="232" t="inlineStr"/>
      <c r="S2208" s="234" t="n">
        <v>15</v>
      </c>
      <c r="T2208" s="232" t="inlineStr">
        <is>
          <t>CLP</t>
        </is>
      </c>
      <c r="U2208" s="232" t="inlineStr">
        <is>
          <t>Prorrateo Ha BODEGA</t>
        </is>
      </c>
      <c r="V2208" s="232" t="inlineStr">
        <is>
          <t>2026-06-18</t>
        </is>
      </c>
    </row>
    <row r="2209">
      <c r="A2209" s="232" t="inlineStr">
        <is>
          <t>CR-2206</t>
        </is>
      </c>
      <c r="B2209" s="232" t="inlineStr">
        <is>
          <t>2026/27</t>
        </is>
      </c>
      <c r="C2209" s="233" t="n">
        <v>46071</v>
      </c>
      <c r="D2209" s="232" t="inlineStr">
        <is>
          <t>68895</t>
        </is>
      </c>
      <c r="E2209" s="232" t="inlineStr">
        <is>
          <t>PRORRATEO</t>
        </is>
      </c>
      <c r="F2209" s="232" t="inlineStr">
        <is>
          <t>El Molle</t>
        </is>
      </c>
      <c r="G2209" s="232" t="inlineStr">
        <is>
          <t>arrufatinas 5,74 ha</t>
        </is>
      </c>
      <c r="H2209" s="232" t="inlineStr">
        <is>
          <t>Clementinas</t>
        </is>
      </c>
      <c r="I2209" s="232" t="inlineStr">
        <is>
          <t>Arrufatinas</t>
        </is>
      </c>
      <c r="J2209" s="232" t="inlineStr">
        <is>
          <t>MANT. Y REP. CONSTRUCCIONES</t>
        </is>
      </c>
      <c r="K2209" s="232" t="inlineStr">
        <is>
          <t>MANTENCION INFRAESTRUCTURA</t>
        </is>
      </c>
      <c r="L2209" s="232" t="inlineStr">
        <is>
          <t>[PRORRATEO 3.9% 5.74há/148.3há] O/001401 TEE HIDR.</t>
        </is>
      </c>
      <c r="M2209" s="232" t="inlineStr"/>
      <c r="N2209" s="232" t="inlineStr">
        <is>
          <t>.   .   -</t>
        </is>
      </c>
      <c r="O2209" s="232" t="inlineStr">
        <is>
          <t>FEBRERO</t>
        </is>
      </c>
      <c r="P2209" s="232" t="n">
        <v>7</v>
      </c>
      <c r="Q2209" s="234" t="n">
        <v>17</v>
      </c>
      <c r="R2209" s="232" t="inlineStr"/>
      <c r="S2209" s="234" t="n">
        <v>17</v>
      </c>
      <c r="T2209" s="232" t="inlineStr">
        <is>
          <t>CLP</t>
        </is>
      </c>
      <c r="U2209" s="232" t="inlineStr">
        <is>
          <t>Prorrateo Ha BODEGA</t>
        </is>
      </c>
      <c r="V2209" s="232" t="inlineStr">
        <is>
          <t>2026-06-18</t>
        </is>
      </c>
    </row>
    <row r="2210">
      <c r="A2210" s="232" t="inlineStr">
        <is>
          <t>CR-2207</t>
        </is>
      </c>
      <c r="B2210" s="232" t="inlineStr">
        <is>
          <t>2026/27</t>
        </is>
      </c>
      <c r="C2210" s="233" t="n">
        <v>46071</v>
      </c>
      <c r="D2210" s="232" t="inlineStr">
        <is>
          <t>68895</t>
        </is>
      </c>
      <c r="E2210" s="232" t="inlineStr">
        <is>
          <t>PRORRATEO</t>
        </is>
      </c>
      <c r="F2210" s="232" t="inlineStr">
        <is>
          <t>El Molle</t>
        </is>
      </c>
      <c r="G2210" s="232" t="inlineStr">
        <is>
          <t>orogrande 8,11 ha</t>
        </is>
      </c>
      <c r="H2210" s="232" t="inlineStr">
        <is>
          <t>Clementinas</t>
        </is>
      </c>
      <c r="I2210" s="232" t="inlineStr">
        <is>
          <t>Orogrande</t>
        </is>
      </c>
      <c r="J2210" s="232" t="inlineStr">
        <is>
          <t>MANT. Y REP. CONSTRUCCIONES</t>
        </is>
      </c>
      <c r="K2210" s="232" t="inlineStr">
        <is>
          <t>MANTENCION INFRAESTRUCTURA</t>
        </is>
      </c>
      <c r="L2210" s="232" t="inlineStr">
        <is>
          <t>[PRORRATEO 5.5% 8.11há/148.3há] O/001401 TEE HIDR.</t>
        </is>
      </c>
      <c r="M2210" s="232" t="inlineStr"/>
      <c r="N2210" s="232" t="inlineStr">
        <is>
          <t>.   .   -</t>
        </is>
      </c>
      <c r="O2210" s="232" t="inlineStr">
        <is>
          <t>FEBRERO</t>
        </is>
      </c>
      <c r="P2210" s="232" t="n">
        <v>7</v>
      </c>
      <c r="Q2210" s="234" t="n">
        <v>24</v>
      </c>
      <c r="R2210" s="232" t="inlineStr"/>
      <c r="S2210" s="234" t="n">
        <v>24</v>
      </c>
      <c r="T2210" s="232" t="inlineStr">
        <is>
          <t>CLP</t>
        </is>
      </c>
      <c r="U2210" s="232" t="inlineStr">
        <is>
          <t>Prorrateo Ha BODEGA</t>
        </is>
      </c>
      <c r="V2210" s="232" t="inlineStr">
        <is>
          <t>2026-06-18</t>
        </is>
      </c>
    </row>
    <row r="2211">
      <c r="A2211" s="232" t="inlineStr">
        <is>
          <t>CR-2208</t>
        </is>
      </c>
      <c r="B2211" s="232" t="inlineStr">
        <is>
          <t>2026/27</t>
        </is>
      </c>
      <c r="C2211" s="233" t="n">
        <v>46071</v>
      </c>
      <c r="D2211" s="232" t="inlineStr">
        <is>
          <t>68895</t>
        </is>
      </c>
      <c r="E2211" s="232" t="inlineStr">
        <is>
          <t>PRORRATEO</t>
        </is>
      </c>
      <c r="F2211" s="232" t="inlineStr">
        <is>
          <t>El Molle</t>
        </is>
      </c>
      <c r="G2211" s="232" t="inlineStr">
        <is>
          <t>oronules 5,35 ha</t>
        </is>
      </c>
      <c r="H2211" s="232" t="inlineStr">
        <is>
          <t>Clementinas</t>
        </is>
      </c>
      <c r="I2211" s="232" t="inlineStr">
        <is>
          <t>Oronules</t>
        </is>
      </c>
      <c r="J2211" s="232" t="inlineStr">
        <is>
          <t>MANT. Y REP. CONSTRUCCIONES</t>
        </is>
      </c>
      <c r="K2211" s="232" t="inlineStr">
        <is>
          <t>MANTENCION INFRAESTRUCTURA</t>
        </is>
      </c>
      <c r="L2211" s="232" t="inlineStr">
        <is>
          <t>[PRORRATEO 3.6% 5.35há/148.3há] O/001401 TEE HIDR.</t>
        </is>
      </c>
      <c r="M2211" s="232" t="inlineStr"/>
      <c r="N2211" s="232" t="inlineStr">
        <is>
          <t>.   .   -</t>
        </is>
      </c>
      <c r="O2211" s="232" t="inlineStr">
        <is>
          <t>FEBRERO</t>
        </is>
      </c>
      <c r="P2211" s="232" t="n">
        <v>7</v>
      </c>
      <c r="Q2211" s="234" t="n">
        <v>16</v>
      </c>
      <c r="R2211" s="232" t="inlineStr"/>
      <c r="S2211" s="234" t="n">
        <v>16</v>
      </c>
      <c r="T2211" s="232" t="inlineStr">
        <is>
          <t>CLP</t>
        </is>
      </c>
      <c r="U2211" s="232" t="inlineStr">
        <is>
          <t>Prorrateo Ha BODEGA</t>
        </is>
      </c>
      <c r="V2211" s="232" t="inlineStr">
        <is>
          <t>2026-06-18</t>
        </is>
      </c>
    </row>
    <row r="2212">
      <c r="A2212" s="232" t="inlineStr">
        <is>
          <t>CR-2209</t>
        </is>
      </c>
      <c r="B2212" s="232" t="inlineStr">
        <is>
          <t>2026/27</t>
        </is>
      </c>
      <c r="C2212" s="233" t="n">
        <v>46071</v>
      </c>
      <c r="D2212" s="232" t="inlineStr">
        <is>
          <t>68895</t>
        </is>
      </c>
      <c r="E2212" s="232" t="inlineStr">
        <is>
          <t>PRORRATEO</t>
        </is>
      </c>
      <c r="F2212" s="232" t="inlineStr">
        <is>
          <t>Santa Catalina</t>
        </is>
      </c>
      <c r="G2212" s="232" t="inlineStr">
        <is>
          <t>Fino 49 7,7 ha</t>
        </is>
      </c>
      <c r="H2212" s="232" t="inlineStr">
        <is>
          <t>Limon</t>
        </is>
      </c>
      <c r="I2212" s="232" t="inlineStr">
        <is>
          <t>Fino 49</t>
        </is>
      </c>
      <c r="J2212" s="232" t="inlineStr">
        <is>
          <t>MANT. Y REP. CONSTRUCCIONES</t>
        </is>
      </c>
      <c r="K2212" s="232" t="inlineStr">
        <is>
          <t>MANTENCION INFRAESTRUCTURA</t>
        </is>
      </c>
      <c r="L2212" s="232" t="inlineStr">
        <is>
          <t>[PRORRATEO 5.2% 7.7há/148.3há] O/001401 TEE HIDR.</t>
        </is>
      </c>
      <c r="M2212" s="232" t="inlineStr"/>
      <c r="N2212" s="232" t="inlineStr">
        <is>
          <t>.   .   -</t>
        </is>
      </c>
      <c r="O2212" s="232" t="inlineStr">
        <is>
          <t>FEBRERO</t>
        </is>
      </c>
      <c r="P2212" s="232" t="n">
        <v>7</v>
      </c>
      <c r="Q2212" s="234" t="n">
        <v>23</v>
      </c>
      <c r="R2212" s="232" t="inlineStr"/>
      <c r="S2212" s="234" t="n">
        <v>23</v>
      </c>
      <c r="T2212" s="232" t="inlineStr">
        <is>
          <t>CLP</t>
        </is>
      </c>
      <c r="U2212" s="232" t="inlineStr">
        <is>
          <t>Prorrateo Ha BODEGA</t>
        </is>
      </c>
      <c r="V2212" s="232" t="inlineStr">
        <is>
          <t>2026-06-18</t>
        </is>
      </c>
    </row>
    <row r="2213">
      <c r="A2213" s="232" t="inlineStr">
        <is>
          <t>CR-2210</t>
        </is>
      </c>
      <c r="B2213" s="232" t="inlineStr">
        <is>
          <t>2026/27</t>
        </is>
      </c>
      <c r="C2213" s="233" t="n">
        <v>46071</v>
      </c>
      <c r="D2213" s="232" t="inlineStr">
        <is>
          <t>68895</t>
        </is>
      </c>
      <c r="E2213" s="232" t="inlineStr">
        <is>
          <t>PRORRATEO</t>
        </is>
      </c>
      <c r="F2213" s="232" t="inlineStr">
        <is>
          <t>Santa Catalina</t>
        </is>
      </c>
      <c r="G2213" s="232" t="inlineStr">
        <is>
          <t>W. murcott 21 ha</t>
        </is>
      </c>
      <c r="H2213" s="232" t="inlineStr">
        <is>
          <t>Mandarina</t>
        </is>
      </c>
      <c r="I2213" s="232" t="inlineStr">
        <is>
          <t>W. murcott</t>
        </is>
      </c>
      <c r="J2213" s="232" t="inlineStr">
        <is>
          <t>MANT. Y REP. CONSTRUCCIONES</t>
        </is>
      </c>
      <c r="K2213" s="232" t="inlineStr">
        <is>
          <t>MANTENCION INFRAESTRUCTURA</t>
        </is>
      </c>
      <c r="L2213" s="232" t="inlineStr">
        <is>
          <t>[PRORRATEO 14.2% 21.0há/148.3há] O/001401 TEE HIDR.</t>
        </is>
      </c>
      <c r="M2213" s="232" t="inlineStr"/>
      <c r="N2213" s="232" t="inlineStr">
        <is>
          <t>.   .   -</t>
        </is>
      </c>
      <c r="O2213" s="232" t="inlineStr">
        <is>
          <t>FEBRERO</t>
        </is>
      </c>
      <c r="P2213" s="232" t="n">
        <v>7</v>
      </c>
      <c r="Q2213" s="234" t="n">
        <v>62</v>
      </c>
      <c r="R2213" s="232" t="inlineStr"/>
      <c r="S2213" s="234" t="n">
        <v>62</v>
      </c>
      <c r="T2213" s="232" t="inlineStr">
        <is>
          <t>CLP</t>
        </is>
      </c>
      <c r="U2213" s="232" t="inlineStr">
        <is>
          <t>Prorrateo Ha BODEGA</t>
        </is>
      </c>
      <c r="V2213" s="232" t="inlineStr">
        <is>
          <t>2026-06-18</t>
        </is>
      </c>
    </row>
    <row r="2214">
      <c r="A2214" s="232" t="inlineStr">
        <is>
          <t>CR-2211</t>
        </is>
      </c>
      <c r="B2214" s="232" t="inlineStr">
        <is>
          <t>2026/27</t>
        </is>
      </c>
      <c r="C2214" s="233" t="n">
        <v>46071</v>
      </c>
      <c r="D2214" s="232" t="inlineStr">
        <is>
          <t>68895</t>
        </is>
      </c>
      <c r="E2214" s="232" t="inlineStr">
        <is>
          <t>PRORRATEO</t>
        </is>
      </c>
      <c r="F2214" s="232" t="inlineStr">
        <is>
          <t>Santa Catalina</t>
        </is>
      </c>
      <c r="G2214" s="232" t="inlineStr">
        <is>
          <t>cambria 4,2 ha</t>
        </is>
      </c>
      <c r="H2214" s="232" t="inlineStr">
        <is>
          <t>Naranjas</t>
        </is>
      </c>
      <c r="I2214" s="232" t="inlineStr">
        <is>
          <t>Cambria</t>
        </is>
      </c>
      <c r="J2214" s="232" t="inlineStr">
        <is>
          <t>MANT. Y REP. CONSTRUCCIONES</t>
        </is>
      </c>
      <c r="K2214" s="232" t="inlineStr">
        <is>
          <t>MANTENCION INFRAESTRUCTURA</t>
        </is>
      </c>
      <c r="L2214" s="232" t="inlineStr">
        <is>
          <t>[PRORRATEO 2.8% 4.2há/148.3há] O/001401 TEE HIDR.</t>
        </is>
      </c>
      <c r="M2214" s="232" t="inlineStr"/>
      <c r="N2214" s="232" t="inlineStr">
        <is>
          <t>.   .   -</t>
        </is>
      </c>
      <c r="O2214" s="232" t="inlineStr">
        <is>
          <t>FEBRERO</t>
        </is>
      </c>
      <c r="P2214" s="232" t="n">
        <v>7</v>
      </c>
      <c r="Q2214" s="234" t="n">
        <v>12</v>
      </c>
      <c r="R2214" s="232" t="inlineStr"/>
      <c r="S2214" s="234" t="n">
        <v>12</v>
      </c>
      <c r="T2214" s="232" t="inlineStr">
        <is>
          <t>CLP</t>
        </is>
      </c>
      <c r="U2214" s="232" t="inlineStr">
        <is>
          <t>Prorrateo Ha BODEGA</t>
        </is>
      </c>
      <c r="V2214" s="232" t="inlineStr">
        <is>
          <t>2026-06-18</t>
        </is>
      </c>
    </row>
    <row r="2215">
      <c r="A2215" s="232" t="inlineStr">
        <is>
          <t>CR-2212</t>
        </is>
      </c>
      <c r="B2215" s="232" t="inlineStr">
        <is>
          <t>2026/27</t>
        </is>
      </c>
      <c r="C2215" s="233" t="n">
        <v>46071</v>
      </c>
      <c r="D2215" s="232" t="inlineStr">
        <is>
          <t>68895</t>
        </is>
      </c>
      <c r="E2215" s="232" t="inlineStr">
        <is>
          <t>PRORRATEO</t>
        </is>
      </c>
      <c r="F2215" s="232" t="inlineStr">
        <is>
          <t>Santa Catalina</t>
        </is>
      </c>
      <c r="G2215" s="232" t="inlineStr">
        <is>
          <t>eureka 10,6 ha</t>
        </is>
      </c>
      <c r="H2215" s="232" t="inlineStr">
        <is>
          <t>Limon</t>
        </is>
      </c>
      <c r="I2215" s="232" t="inlineStr">
        <is>
          <t>Eureka</t>
        </is>
      </c>
      <c r="J2215" s="232" t="inlineStr">
        <is>
          <t>MANT. Y REP. CONSTRUCCIONES</t>
        </is>
      </c>
      <c r="K2215" s="232" t="inlineStr">
        <is>
          <t>MANTENCION INFRAESTRUCTURA</t>
        </is>
      </c>
      <c r="L2215" s="232" t="inlineStr">
        <is>
          <t>[PRORRATEO 7.1% 10.6há/148.3há] O/001401 TEE HIDR.</t>
        </is>
      </c>
      <c r="M2215" s="232" t="inlineStr"/>
      <c r="N2215" s="232" t="inlineStr">
        <is>
          <t>.   .   -</t>
        </is>
      </c>
      <c r="O2215" s="232" t="inlineStr">
        <is>
          <t>FEBRERO</t>
        </is>
      </c>
      <c r="P2215" s="232" t="n">
        <v>7</v>
      </c>
      <c r="Q2215" s="234" t="n">
        <v>31</v>
      </c>
      <c r="R2215" s="232" t="inlineStr"/>
      <c r="S2215" s="234" t="n">
        <v>31</v>
      </c>
      <c r="T2215" s="232" t="inlineStr">
        <is>
          <t>CLP</t>
        </is>
      </c>
      <c r="U2215" s="232" t="inlineStr">
        <is>
          <t>Prorrateo Ha BODEGA</t>
        </is>
      </c>
      <c r="V2215" s="232" t="inlineStr">
        <is>
          <t>2026-06-18</t>
        </is>
      </c>
    </row>
    <row r="2216">
      <c r="A2216" s="232" t="inlineStr">
        <is>
          <t>CR-2213</t>
        </is>
      </c>
      <c r="B2216" s="232" t="inlineStr">
        <is>
          <t>2026/27</t>
        </is>
      </c>
      <c r="C2216" s="233" t="n">
        <v>46071</v>
      </c>
      <c r="D2216" s="232" t="inlineStr">
        <is>
          <t>68895</t>
        </is>
      </c>
      <c r="E2216" s="232" t="inlineStr">
        <is>
          <t>PRORRATEO</t>
        </is>
      </c>
      <c r="F2216" s="232" t="inlineStr">
        <is>
          <t>Santa Catalina</t>
        </is>
      </c>
      <c r="G2216" s="232" t="inlineStr">
        <is>
          <t>eureka 14,4 ha</t>
        </is>
      </c>
      <c r="H2216" s="232" t="inlineStr">
        <is>
          <t>Limon</t>
        </is>
      </c>
      <c r="I2216" s="232" t="inlineStr">
        <is>
          <t>Eureka</t>
        </is>
      </c>
      <c r="J2216" s="232" t="inlineStr">
        <is>
          <t>MANT. Y REP. CONSTRUCCIONES</t>
        </is>
      </c>
      <c r="K2216" s="232" t="inlineStr">
        <is>
          <t>MANTENCION INFRAESTRUCTURA</t>
        </is>
      </c>
      <c r="L2216" s="232" t="inlineStr">
        <is>
          <t>[PRORRATEO 9.7% 14.4há/148.3há] O/001401 TEE HIDR.</t>
        </is>
      </c>
      <c r="M2216" s="232" t="inlineStr"/>
      <c r="N2216" s="232" t="inlineStr">
        <is>
          <t>.   .   -</t>
        </is>
      </c>
      <c r="O2216" s="232" t="inlineStr">
        <is>
          <t>FEBRERO</t>
        </is>
      </c>
      <c r="P2216" s="232" t="n">
        <v>7</v>
      </c>
      <c r="Q2216" s="234" t="n">
        <v>42</v>
      </c>
      <c r="R2216" s="232" t="inlineStr"/>
      <c r="S2216" s="234" t="n">
        <v>42</v>
      </c>
      <c r="T2216" s="232" t="inlineStr">
        <is>
          <t>CLP</t>
        </is>
      </c>
      <c r="U2216" s="232" t="inlineStr">
        <is>
          <t>Prorrateo Ha BODEGA</t>
        </is>
      </c>
      <c r="V2216" s="232" t="inlineStr">
        <is>
          <t>2026-06-18</t>
        </is>
      </c>
    </row>
    <row r="2217">
      <c r="A2217" s="232" t="inlineStr">
        <is>
          <t>CR-2214</t>
        </is>
      </c>
      <c r="B2217" s="232" t="inlineStr">
        <is>
          <t>2026/27</t>
        </is>
      </c>
      <c r="C2217" s="233" t="n">
        <v>46071</v>
      </c>
      <c r="D2217" s="232" t="inlineStr">
        <is>
          <t>68895</t>
        </is>
      </c>
      <c r="E2217" s="232" t="inlineStr">
        <is>
          <t>PRORRATEO</t>
        </is>
      </c>
      <c r="F2217" s="232" t="inlineStr">
        <is>
          <t>Santa Catalina</t>
        </is>
      </c>
      <c r="G2217" s="232" t="inlineStr">
        <is>
          <t>eureka 22,55</t>
        </is>
      </c>
      <c r="H2217" s="232" t="inlineStr">
        <is>
          <t>Limon</t>
        </is>
      </c>
      <c r="I2217" s="232" t="inlineStr">
        <is>
          <t>Eureka</t>
        </is>
      </c>
      <c r="J2217" s="232" t="inlineStr">
        <is>
          <t>MANT. Y REP. CONSTRUCCIONES</t>
        </is>
      </c>
      <c r="K2217" s="232" t="inlineStr">
        <is>
          <t>MANTENCION INFRAESTRUCTURA</t>
        </is>
      </c>
      <c r="L2217" s="232" t="inlineStr">
        <is>
          <t>[PRORRATEO 15.2% 22.55há/148.3há] O/001401 TEE HIDR.</t>
        </is>
      </c>
      <c r="M2217" s="232" t="inlineStr"/>
      <c r="N2217" s="232" t="inlineStr">
        <is>
          <t>.   .   -</t>
        </is>
      </c>
      <c r="O2217" s="232" t="inlineStr">
        <is>
          <t>FEBRERO</t>
        </is>
      </c>
      <c r="P2217" s="232" t="n">
        <v>7</v>
      </c>
      <c r="Q2217" s="234" t="n">
        <v>66</v>
      </c>
      <c r="R2217" s="232" t="inlineStr"/>
      <c r="S2217" s="234" t="n">
        <v>66</v>
      </c>
      <c r="T2217" s="232" t="inlineStr">
        <is>
          <t>CLP</t>
        </is>
      </c>
      <c r="U2217" s="232" t="inlineStr">
        <is>
          <t>Prorrateo Ha BODEGA</t>
        </is>
      </c>
      <c r="V2217" s="232" t="inlineStr">
        <is>
          <t>2026-06-18</t>
        </is>
      </c>
    </row>
    <row r="2218">
      <c r="A2218" s="232" t="inlineStr">
        <is>
          <t>CR-2215</t>
        </is>
      </c>
      <c r="B2218" s="232" t="inlineStr">
        <is>
          <t>2026/27</t>
        </is>
      </c>
      <c r="C2218" s="233" t="n">
        <v>46071</v>
      </c>
      <c r="D2218" s="232" t="inlineStr">
        <is>
          <t>68895</t>
        </is>
      </c>
      <c r="E2218" s="232" t="inlineStr">
        <is>
          <t>PRORRATEO</t>
        </is>
      </c>
      <c r="F2218" s="232" t="inlineStr">
        <is>
          <t>Santa Catalina</t>
        </is>
      </c>
      <c r="G2218" s="232" t="inlineStr">
        <is>
          <t>form benjamin 1,93 ha</t>
        </is>
      </c>
      <c r="H2218" s="232" t="inlineStr">
        <is>
          <t>Limon</t>
        </is>
      </c>
      <c r="I2218" s="232" t="inlineStr">
        <is>
          <t>Benjamin andes</t>
        </is>
      </c>
      <c r="J2218" s="232" t="inlineStr">
        <is>
          <t>MANT. Y REP. CONSTRUCCIONES</t>
        </is>
      </c>
      <c r="K2218" s="232" t="inlineStr">
        <is>
          <t>MANTENCION INFRAESTRUCTURA</t>
        </is>
      </c>
      <c r="L2218" s="232" t="inlineStr">
        <is>
          <t>[PRORRATEO 1.3% 1.93há/148.3há] O/001401 TEE HIDR.</t>
        </is>
      </c>
      <c r="M2218" s="232" t="inlineStr"/>
      <c r="N2218" s="232" t="inlineStr">
        <is>
          <t>.   .   -</t>
        </is>
      </c>
      <c r="O2218" s="232" t="inlineStr">
        <is>
          <t>FEBRERO</t>
        </is>
      </c>
      <c r="P2218" s="232" t="n">
        <v>7</v>
      </c>
      <c r="Q2218" s="234" t="n">
        <v>6</v>
      </c>
      <c r="R2218" s="232" t="inlineStr"/>
      <c r="S2218" s="234" t="n">
        <v>6</v>
      </c>
      <c r="T2218" s="232" t="inlineStr">
        <is>
          <t>CLP</t>
        </is>
      </c>
      <c r="U2218" s="232" t="inlineStr">
        <is>
          <t>Prorrateo Ha BODEGA</t>
        </is>
      </c>
      <c r="V2218" s="232" t="inlineStr">
        <is>
          <t>2026-06-18</t>
        </is>
      </c>
    </row>
    <row r="2219">
      <c r="A2219" s="232" t="inlineStr">
        <is>
          <t>CR-2216</t>
        </is>
      </c>
      <c r="B2219" s="232" t="inlineStr">
        <is>
          <t>2026/27</t>
        </is>
      </c>
      <c r="C2219" s="233" t="n">
        <v>46071</v>
      </c>
      <c r="D2219" s="232" t="inlineStr">
        <is>
          <t>68895</t>
        </is>
      </c>
      <c r="E2219" s="232" t="inlineStr">
        <is>
          <t>PRORRATEO</t>
        </is>
      </c>
      <c r="F2219" s="232" t="inlineStr">
        <is>
          <t>Santa Catalina</t>
        </is>
      </c>
      <c r="G2219" s="232" t="inlineStr">
        <is>
          <t>mant eureka 2,5 ha</t>
        </is>
      </c>
      <c r="H2219" s="232" t="inlineStr">
        <is>
          <t>Limon</t>
        </is>
      </c>
      <c r="I2219" s="232" t="inlineStr">
        <is>
          <t>Eureka</t>
        </is>
      </c>
      <c r="J2219" s="232" t="inlineStr">
        <is>
          <t>MANT. Y REP. CONSTRUCCIONES</t>
        </is>
      </c>
      <c r="K2219" s="232" t="inlineStr">
        <is>
          <t>MANTENCION INFRAESTRUCTURA</t>
        </is>
      </c>
      <c r="L2219" s="232" t="inlineStr">
        <is>
          <t>[PRORRATEO 1.7% 2.5há/148.3há] O/001401 TEE HIDR.</t>
        </is>
      </c>
      <c r="M2219" s="232" t="inlineStr"/>
      <c r="N2219" s="232" t="inlineStr">
        <is>
          <t>.   .   -</t>
        </is>
      </c>
      <c r="O2219" s="232" t="inlineStr">
        <is>
          <t>FEBRERO</t>
        </is>
      </c>
      <c r="P2219" s="232" t="n">
        <v>7</v>
      </c>
      <c r="Q2219" s="234" t="n">
        <v>7</v>
      </c>
      <c r="R2219" s="232" t="inlineStr"/>
      <c r="S2219" s="234" t="n">
        <v>7</v>
      </c>
      <c r="T2219" s="232" t="inlineStr">
        <is>
          <t>CLP</t>
        </is>
      </c>
      <c r="U2219" s="232" t="inlineStr">
        <is>
          <t>Prorrateo Ha BODEGA</t>
        </is>
      </c>
      <c r="V2219" s="232" t="inlineStr">
        <is>
          <t>2026-06-18</t>
        </is>
      </c>
    </row>
    <row r="2220">
      <c r="A2220" s="232" t="inlineStr">
        <is>
          <t>CR-2217</t>
        </is>
      </c>
      <c r="B2220" s="232" t="inlineStr">
        <is>
          <t>2026/27</t>
        </is>
      </c>
      <c r="C2220" s="233" t="n">
        <v>46071</v>
      </c>
      <c r="D2220" s="232" t="inlineStr">
        <is>
          <t>68895</t>
        </is>
      </c>
      <c r="E2220" s="232" t="inlineStr">
        <is>
          <t>PRORRATEO</t>
        </is>
      </c>
      <c r="F2220" s="232" t="inlineStr">
        <is>
          <t>Siberia</t>
        </is>
      </c>
      <c r="G2220" s="232" t="inlineStr">
        <is>
          <t>S. Celebration 7,14</t>
        </is>
      </c>
      <c r="H2220" s="232" t="inlineStr">
        <is>
          <t>Uvas</t>
        </is>
      </c>
      <c r="I2220" s="232" t="inlineStr">
        <is>
          <t>S. celebration</t>
        </is>
      </c>
      <c r="J2220" s="232" t="inlineStr">
        <is>
          <t>MANT. Y REP. CONSTRUCCIONES</t>
        </is>
      </c>
      <c r="K2220" s="232" t="inlineStr">
        <is>
          <t>MANTENCION INFRAESTRUCTURA</t>
        </is>
      </c>
      <c r="L2220" s="232" t="inlineStr">
        <is>
          <t>[PRORRATEO 4.8% 7.14há/148.3há] O/001401 TEE HIDR.</t>
        </is>
      </c>
      <c r="M2220" s="232" t="inlineStr"/>
      <c r="N2220" s="232" t="inlineStr">
        <is>
          <t>.   .   -</t>
        </is>
      </c>
      <c r="O2220" s="232" t="inlineStr">
        <is>
          <t>FEBRERO</t>
        </is>
      </c>
      <c r="P2220" s="232" t="n">
        <v>7</v>
      </c>
      <c r="Q2220" s="234" t="n">
        <v>21</v>
      </c>
      <c r="R2220" s="232" t="inlineStr"/>
      <c r="S2220" s="234" t="n">
        <v>21</v>
      </c>
      <c r="T2220" s="232" t="inlineStr">
        <is>
          <t>CLP</t>
        </is>
      </c>
      <c r="U2220" s="232" t="inlineStr">
        <is>
          <t>Prorrateo Ha BODEGA</t>
        </is>
      </c>
      <c r="V2220" s="232" t="inlineStr">
        <is>
          <t>2026-06-18</t>
        </is>
      </c>
    </row>
    <row r="2221">
      <c r="A2221" s="232" t="inlineStr">
        <is>
          <t>CR-2218</t>
        </is>
      </c>
      <c r="B2221" s="232" t="inlineStr">
        <is>
          <t>2026/27</t>
        </is>
      </c>
      <c r="C2221" s="233" t="n">
        <v>46071</v>
      </c>
      <c r="D2221" s="232" t="inlineStr">
        <is>
          <t>68895</t>
        </is>
      </c>
      <c r="E2221" s="232" t="inlineStr">
        <is>
          <t>PRORRATEO</t>
        </is>
      </c>
      <c r="F2221" s="232" t="inlineStr">
        <is>
          <t>Siberia</t>
        </is>
      </c>
      <c r="G2221" s="232" t="inlineStr">
        <is>
          <t>Timpson 7,1</t>
        </is>
      </c>
      <c r="H2221" s="232" t="inlineStr">
        <is>
          <t>Uvas</t>
        </is>
      </c>
      <c r="I2221" s="232" t="inlineStr">
        <is>
          <t>Timpson</t>
        </is>
      </c>
      <c r="J2221" s="232" t="inlineStr">
        <is>
          <t>MANT. Y REP. CONSTRUCCIONES</t>
        </is>
      </c>
      <c r="K2221" s="232" t="inlineStr">
        <is>
          <t>MANTENCION INFRAESTRUCTURA</t>
        </is>
      </c>
      <c r="L2221" s="232" t="inlineStr">
        <is>
          <t>[PRORRATEO 4.8% 7.1há/148.3há] O/001401 TEE HIDR.</t>
        </is>
      </c>
      <c r="M2221" s="232" t="inlineStr"/>
      <c r="N2221" s="232" t="inlineStr">
        <is>
          <t>.   .   -</t>
        </is>
      </c>
      <c r="O2221" s="232" t="inlineStr">
        <is>
          <t>FEBRERO</t>
        </is>
      </c>
      <c r="P2221" s="232" t="n">
        <v>7</v>
      </c>
      <c r="Q2221" s="234" t="n">
        <v>21</v>
      </c>
      <c r="R2221" s="232" t="inlineStr"/>
      <c r="S2221" s="234" t="n">
        <v>21</v>
      </c>
      <c r="T2221" s="232" t="inlineStr">
        <is>
          <t>CLP</t>
        </is>
      </c>
      <c r="U2221" s="232" t="inlineStr">
        <is>
          <t>Prorrateo Ha BODEGA</t>
        </is>
      </c>
      <c r="V2221" s="232" t="inlineStr">
        <is>
          <t>2026-06-18</t>
        </is>
      </c>
    </row>
    <row r="2222">
      <c r="A2222" s="232" t="inlineStr">
        <is>
          <t>CR-2219</t>
        </is>
      </c>
      <c r="B2222" s="232" t="inlineStr">
        <is>
          <t>2026/27</t>
        </is>
      </c>
      <c r="C2222" s="233" t="n">
        <v>46071</v>
      </c>
      <c r="D2222" s="232" t="inlineStr">
        <is>
          <t>68895</t>
        </is>
      </c>
      <c r="E2222" s="232" t="inlineStr">
        <is>
          <t>PRORRATEO</t>
        </is>
      </c>
      <c r="F2222" s="232" t="inlineStr">
        <is>
          <t>Asmara</t>
        </is>
      </c>
      <c r="G2222" s="232" t="inlineStr">
        <is>
          <t>w. murcott 19,8 ha</t>
        </is>
      </c>
      <c r="H2222" s="232" t="inlineStr">
        <is>
          <t>Mandarina</t>
        </is>
      </c>
      <c r="I2222" s="232" t="inlineStr">
        <is>
          <t>W. murcott</t>
        </is>
      </c>
      <c r="J2222" s="232" t="inlineStr">
        <is>
          <t>MANT. Y REP. CONSTRUCCIONES</t>
        </is>
      </c>
      <c r="K2222" s="232" t="inlineStr">
        <is>
          <t>MANTENCION INFRAESTRUCTURA</t>
        </is>
      </c>
      <c r="L2222" s="232" t="inlineStr">
        <is>
          <t>[PRORRATEO 13.4% 19.8há/148.3há] O/001401 TERMINAL H</t>
        </is>
      </c>
      <c r="M2222" s="232" t="inlineStr"/>
      <c r="N2222" s="232" t="inlineStr">
        <is>
          <t>.   .   -</t>
        </is>
      </c>
      <c r="O2222" s="232" t="inlineStr">
        <is>
          <t>FEBRERO</t>
        </is>
      </c>
      <c r="P2222" s="232" t="n">
        <v>7</v>
      </c>
      <c r="Q2222" s="234" t="n">
        <v>40</v>
      </c>
      <c r="R2222" s="232" t="inlineStr"/>
      <c r="S2222" s="234" t="n">
        <v>40</v>
      </c>
      <c r="T2222" s="232" t="inlineStr">
        <is>
          <t>CLP</t>
        </is>
      </c>
      <c r="U2222" s="232" t="inlineStr">
        <is>
          <t>Prorrateo Ha BODEGA</t>
        </is>
      </c>
      <c r="V2222" s="232" t="inlineStr">
        <is>
          <t>2026-06-18</t>
        </is>
      </c>
    </row>
    <row r="2223">
      <c r="A2223" s="232" t="inlineStr">
        <is>
          <t>CR-2220</t>
        </is>
      </c>
      <c r="B2223" s="232" t="inlineStr">
        <is>
          <t>2026/27</t>
        </is>
      </c>
      <c r="C2223" s="233" t="n">
        <v>46071</v>
      </c>
      <c r="D2223" s="232" t="inlineStr">
        <is>
          <t>68895</t>
        </is>
      </c>
      <c r="E2223" s="232" t="inlineStr">
        <is>
          <t>PRORRATEO</t>
        </is>
      </c>
      <c r="F2223" s="232" t="inlineStr">
        <is>
          <t>Asmara</t>
        </is>
      </c>
      <c r="G2223" s="232" t="inlineStr">
        <is>
          <t>w. murcott 4,9 ha</t>
        </is>
      </c>
      <c r="H2223" s="232" t="inlineStr">
        <is>
          <t>Mandarina</t>
        </is>
      </c>
      <c r="I2223" s="232" t="inlineStr">
        <is>
          <t>W. murcott</t>
        </is>
      </c>
      <c r="J2223" s="232" t="inlineStr">
        <is>
          <t>MANT. Y REP. CONSTRUCCIONES</t>
        </is>
      </c>
      <c r="K2223" s="232" t="inlineStr">
        <is>
          <t>MANTENCION INFRAESTRUCTURA</t>
        </is>
      </c>
      <c r="L2223" s="232" t="inlineStr">
        <is>
          <t>[PRORRATEO 3.3% 4.9há/148.3há] O/001401 TERMINAL H</t>
        </is>
      </c>
      <c r="M2223" s="232" t="inlineStr"/>
      <c r="N2223" s="232" t="inlineStr">
        <is>
          <t>.   .   -</t>
        </is>
      </c>
      <c r="O2223" s="232" t="inlineStr">
        <is>
          <t>FEBRERO</t>
        </is>
      </c>
      <c r="P2223" s="232" t="n">
        <v>7</v>
      </c>
      <c r="Q2223" s="234" t="n">
        <v>10</v>
      </c>
      <c r="R2223" s="232" t="inlineStr"/>
      <c r="S2223" s="234" t="n">
        <v>10</v>
      </c>
      <c r="T2223" s="232" t="inlineStr">
        <is>
          <t>CLP</t>
        </is>
      </c>
      <c r="U2223" s="232" t="inlineStr">
        <is>
          <t>Prorrateo Ha BODEGA</t>
        </is>
      </c>
      <c r="V2223" s="232" t="inlineStr">
        <is>
          <t>2026-06-18</t>
        </is>
      </c>
    </row>
    <row r="2224">
      <c r="A2224" s="232" t="inlineStr">
        <is>
          <t>CR-2221</t>
        </is>
      </c>
      <c r="B2224" s="232" t="inlineStr">
        <is>
          <t>2026/27</t>
        </is>
      </c>
      <c r="C2224" s="233" t="n">
        <v>46071</v>
      </c>
      <c r="D2224" s="232" t="inlineStr">
        <is>
          <t>68895</t>
        </is>
      </c>
      <c r="E2224" s="232" t="inlineStr">
        <is>
          <t>PRORRATEO</t>
        </is>
      </c>
      <c r="F2224" s="232" t="inlineStr">
        <is>
          <t>El Molle</t>
        </is>
      </c>
      <c r="G2224" s="232" t="inlineStr">
        <is>
          <t>Wonderful 5,25 ha</t>
        </is>
      </c>
      <c r="H2224" s="232" t="inlineStr">
        <is>
          <t>Granados</t>
        </is>
      </c>
      <c r="I2224" s="232" t="inlineStr">
        <is>
          <t>Wonderfull</t>
        </is>
      </c>
      <c r="J2224" s="232" t="inlineStr">
        <is>
          <t>MANT. Y REP. CONSTRUCCIONES</t>
        </is>
      </c>
      <c r="K2224" s="232" t="inlineStr">
        <is>
          <t>MANTENCION INFRAESTRUCTURA</t>
        </is>
      </c>
      <c r="L2224" s="232" t="inlineStr">
        <is>
          <t>[PRORRATEO 3.5% 5.24há/148.3há] O/001401 TERMINAL H</t>
        </is>
      </c>
      <c r="M2224" s="232" t="inlineStr"/>
      <c r="N2224" s="232" t="inlineStr">
        <is>
          <t>.   .   -</t>
        </is>
      </c>
      <c r="O2224" s="232" t="inlineStr">
        <is>
          <t>FEBRERO</t>
        </is>
      </c>
      <c r="P2224" s="232" t="n">
        <v>7</v>
      </c>
      <c r="Q2224" s="234" t="n">
        <v>11</v>
      </c>
      <c r="R2224" s="232" t="inlineStr"/>
      <c r="S2224" s="234" t="n">
        <v>11</v>
      </c>
      <c r="T2224" s="232" t="inlineStr">
        <is>
          <t>CLP</t>
        </is>
      </c>
      <c r="U2224" s="232" t="inlineStr">
        <is>
          <t>Prorrateo Ha BODEGA</t>
        </is>
      </c>
      <c r="V2224" s="232" t="inlineStr">
        <is>
          <t>2026-06-18</t>
        </is>
      </c>
    </row>
    <row r="2225">
      <c r="A2225" s="232" t="inlineStr">
        <is>
          <t>CR-2222</t>
        </is>
      </c>
      <c r="B2225" s="232" t="inlineStr">
        <is>
          <t>2026/27</t>
        </is>
      </c>
      <c r="C2225" s="233" t="n">
        <v>46071</v>
      </c>
      <c r="D2225" s="232" t="inlineStr">
        <is>
          <t>68895</t>
        </is>
      </c>
      <c r="E2225" s="232" t="inlineStr">
        <is>
          <t>PRORRATEO</t>
        </is>
      </c>
      <c r="F2225" s="232" t="inlineStr">
        <is>
          <t>El Molle</t>
        </is>
      </c>
      <c r="G2225" s="232" t="inlineStr">
        <is>
          <t>arrufatinas 5,74 ha</t>
        </is>
      </c>
      <c r="H2225" s="232" t="inlineStr">
        <is>
          <t>Clementinas</t>
        </is>
      </c>
      <c r="I2225" s="232" t="inlineStr">
        <is>
          <t>Arrufatinas</t>
        </is>
      </c>
      <c r="J2225" s="232" t="inlineStr">
        <is>
          <t>MANT. Y REP. CONSTRUCCIONES</t>
        </is>
      </c>
      <c r="K2225" s="232" t="inlineStr">
        <is>
          <t>MANTENCION INFRAESTRUCTURA</t>
        </is>
      </c>
      <c r="L2225" s="232" t="inlineStr">
        <is>
          <t>[PRORRATEO 3.9% 5.74há/148.3há] O/001401 TERMINAL H</t>
        </is>
      </c>
      <c r="M2225" s="232" t="inlineStr"/>
      <c r="N2225" s="232" t="inlineStr">
        <is>
          <t>.   .   -</t>
        </is>
      </c>
      <c r="O2225" s="232" t="inlineStr">
        <is>
          <t>FEBRERO</t>
        </is>
      </c>
      <c r="P2225" s="232" t="n">
        <v>7</v>
      </c>
      <c r="Q2225" s="234" t="n">
        <v>12</v>
      </c>
      <c r="R2225" s="232" t="inlineStr"/>
      <c r="S2225" s="234" t="n">
        <v>12</v>
      </c>
      <c r="T2225" s="232" t="inlineStr">
        <is>
          <t>CLP</t>
        </is>
      </c>
      <c r="U2225" s="232" t="inlineStr">
        <is>
          <t>Prorrateo Ha BODEGA</t>
        </is>
      </c>
      <c r="V2225" s="232" t="inlineStr">
        <is>
          <t>2026-06-18</t>
        </is>
      </c>
    </row>
    <row r="2226">
      <c r="A2226" s="232" t="inlineStr">
        <is>
          <t>CR-2223</t>
        </is>
      </c>
      <c r="B2226" s="232" t="inlineStr">
        <is>
          <t>2026/27</t>
        </is>
      </c>
      <c r="C2226" s="233" t="n">
        <v>46071</v>
      </c>
      <c r="D2226" s="232" t="inlineStr">
        <is>
          <t>68895</t>
        </is>
      </c>
      <c r="E2226" s="232" t="inlineStr">
        <is>
          <t>PRORRATEO</t>
        </is>
      </c>
      <c r="F2226" s="232" t="inlineStr">
        <is>
          <t>El Molle</t>
        </is>
      </c>
      <c r="G2226" s="232" t="inlineStr">
        <is>
          <t>orogrande 8,11 ha</t>
        </is>
      </c>
      <c r="H2226" s="232" t="inlineStr">
        <is>
          <t>Clementinas</t>
        </is>
      </c>
      <c r="I2226" s="232" t="inlineStr">
        <is>
          <t>Orogrande</t>
        </is>
      </c>
      <c r="J2226" s="232" t="inlineStr">
        <is>
          <t>MANT. Y REP. CONSTRUCCIONES</t>
        </is>
      </c>
      <c r="K2226" s="232" t="inlineStr">
        <is>
          <t>MANTENCION INFRAESTRUCTURA</t>
        </is>
      </c>
      <c r="L2226" s="232" t="inlineStr">
        <is>
          <t>[PRORRATEO 5.5% 8.11há/148.3há] O/001401 TERMINAL H</t>
        </is>
      </c>
      <c r="M2226" s="232" t="inlineStr"/>
      <c r="N2226" s="232" t="inlineStr">
        <is>
          <t>.   .   -</t>
        </is>
      </c>
      <c r="O2226" s="232" t="inlineStr">
        <is>
          <t>FEBRERO</t>
        </is>
      </c>
      <c r="P2226" s="232" t="n">
        <v>7</v>
      </c>
      <c r="Q2226" s="234" t="n">
        <v>17</v>
      </c>
      <c r="R2226" s="232" t="inlineStr"/>
      <c r="S2226" s="234" t="n">
        <v>17</v>
      </c>
      <c r="T2226" s="232" t="inlineStr">
        <is>
          <t>CLP</t>
        </is>
      </c>
      <c r="U2226" s="232" t="inlineStr">
        <is>
          <t>Prorrateo Ha BODEGA</t>
        </is>
      </c>
      <c r="V2226" s="232" t="inlineStr">
        <is>
          <t>2026-06-18</t>
        </is>
      </c>
    </row>
    <row r="2227">
      <c r="A2227" s="232" t="inlineStr">
        <is>
          <t>CR-2224</t>
        </is>
      </c>
      <c r="B2227" s="232" t="inlineStr">
        <is>
          <t>2026/27</t>
        </is>
      </c>
      <c r="C2227" s="233" t="n">
        <v>46071</v>
      </c>
      <c r="D2227" s="232" t="inlineStr">
        <is>
          <t>68895</t>
        </is>
      </c>
      <c r="E2227" s="232" t="inlineStr">
        <is>
          <t>PRORRATEO</t>
        </is>
      </c>
      <c r="F2227" s="232" t="inlineStr">
        <is>
          <t>El Molle</t>
        </is>
      </c>
      <c r="G2227" s="232" t="inlineStr">
        <is>
          <t>oronules 5,35 ha</t>
        </is>
      </c>
      <c r="H2227" s="232" t="inlineStr">
        <is>
          <t>Clementinas</t>
        </is>
      </c>
      <c r="I2227" s="232" t="inlineStr">
        <is>
          <t>Oronules</t>
        </is>
      </c>
      <c r="J2227" s="232" t="inlineStr">
        <is>
          <t>MANT. Y REP. CONSTRUCCIONES</t>
        </is>
      </c>
      <c r="K2227" s="232" t="inlineStr">
        <is>
          <t>MANTENCION INFRAESTRUCTURA</t>
        </is>
      </c>
      <c r="L2227" s="232" t="inlineStr">
        <is>
          <t>[PRORRATEO 3.6% 5.35há/148.3há] O/001401 TERMINAL H</t>
        </is>
      </c>
      <c r="M2227" s="232" t="inlineStr"/>
      <c r="N2227" s="232" t="inlineStr">
        <is>
          <t>.   .   -</t>
        </is>
      </c>
      <c r="O2227" s="232" t="inlineStr">
        <is>
          <t>FEBRERO</t>
        </is>
      </c>
      <c r="P2227" s="232" t="n">
        <v>7</v>
      </c>
      <c r="Q2227" s="234" t="n">
        <v>11</v>
      </c>
      <c r="R2227" s="232" t="inlineStr"/>
      <c r="S2227" s="234" t="n">
        <v>11</v>
      </c>
      <c r="T2227" s="232" t="inlineStr">
        <is>
          <t>CLP</t>
        </is>
      </c>
      <c r="U2227" s="232" t="inlineStr">
        <is>
          <t>Prorrateo Ha BODEGA</t>
        </is>
      </c>
      <c r="V2227" s="232" t="inlineStr">
        <is>
          <t>2026-06-18</t>
        </is>
      </c>
    </row>
    <row r="2228">
      <c r="A2228" s="232" t="inlineStr">
        <is>
          <t>CR-2225</t>
        </is>
      </c>
      <c r="B2228" s="232" t="inlineStr">
        <is>
          <t>2026/27</t>
        </is>
      </c>
      <c r="C2228" s="233" t="n">
        <v>46071</v>
      </c>
      <c r="D2228" s="232" t="inlineStr">
        <is>
          <t>68895</t>
        </is>
      </c>
      <c r="E2228" s="232" t="inlineStr">
        <is>
          <t>PRORRATEO</t>
        </is>
      </c>
      <c r="F2228" s="232" t="inlineStr">
        <is>
          <t>Santa Catalina</t>
        </is>
      </c>
      <c r="G2228" s="232" t="inlineStr">
        <is>
          <t>Fino 49 7,7 ha</t>
        </is>
      </c>
      <c r="H2228" s="232" t="inlineStr">
        <is>
          <t>Limon</t>
        </is>
      </c>
      <c r="I2228" s="232" t="inlineStr">
        <is>
          <t>Fino 49</t>
        </is>
      </c>
      <c r="J2228" s="232" t="inlineStr">
        <is>
          <t>MANT. Y REP. CONSTRUCCIONES</t>
        </is>
      </c>
      <c r="K2228" s="232" t="inlineStr">
        <is>
          <t>MANTENCION INFRAESTRUCTURA</t>
        </is>
      </c>
      <c r="L2228" s="232" t="inlineStr">
        <is>
          <t>[PRORRATEO 5.2% 7.7há/148.3há] O/001401 TERMINAL H</t>
        </is>
      </c>
      <c r="M2228" s="232" t="inlineStr"/>
      <c r="N2228" s="232" t="inlineStr">
        <is>
          <t>.   .   -</t>
        </is>
      </c>
      <c r="O2228" s="232" t="inlineStr">
        <is>
          <t>FEBRERO</t>
        </is>
      </c>
      <c r="P2228" s="232" t="n">
        <v>7</v>
      </c>
      <c r="Q2228" s="234" t="n">
        <v>16</v>
      </c>
      <c r="R2228" s="232" t="inlineStr"/>
      <c r="S2228" s="234" t="n">
        <v>16</v>
      </c>
      <c r="T2228" s="232" t="inlineStr">
        <is>
          <t>CLP</t>
        </is>
      </c>
      <c r="U2228" s="232" t="inlineStr">
        <is>
          <t>Prorrateo Ha BODEGA</t>
        </is>
      </c>
      <c r="V2228" s="232" t="inlineStr">
        <is>
          <t>2026-06-18</t>
        </is>
      </c>
    </row>
    <row r="2229">
      <c r="A2229" s="232" t="inlineStr">
        <is>
          <t>CR-2226</t>
        </is>
      </c>
      <c r="B2229" s="232" t="inlineStr">
        <is>
          <t>2026/27</t>
        </is>
      </c>
      <c r="C2229" s="233" t="n">
        <v>46071</v>
      </c>
      <c r="D2229" s="232" t="inlineStr">
        <is>
          <t>68895</t>
        </is>
      </c>
      <c r="E2229" s="232" t="inlineStr">
        <is>
          <t>PRORRATEO</t>
        </is>
      </c>
      <c r="F2229" s="232" t="inlineStr">
        <is>
          <t>Santa Catalina</t>
        </is>
      </c>
      <c r="G2229" s="232" t="inlineStr">
        <is>
          <t>W. murcott 21 ha</t>
        </is>
      </c>
      <c r="H2229" s="232" t="inlineStr">
        <is>
          <t>Mandarina</t>
        </is>
      </c>
      <c r="I2229" s="232" t="inlineStr">
        <is>
          <t>W. murcott</t>
        </is>
      </c>
      <c r="J2229" s="232" t="inlineStr">
        <is>
          <t>MANT. Y REP. CONSTRUCCIONES</t>
        </is>
      </c>
      <c r="K2229" s="232" t="inlineStr">
        <is>
          <t>MANTENCION INFRAESTRUCTURA</t>
        </is>
      </c>
      <c r="L2229" s="232" t="inlineStr">
        <is>
          <t>[PRORRATEO 14.2% 21.0há/148.3há] O/001401 TERMINAL H</t>
        </is>
      </c>
      <c r="M2229" s="232" t="inlineStr"/>
      <c r="N2229" s="232" t="inlineStr">
        <is>
          <t>.   .   -</t>
        </is>
      </c>
      <c r="O2229" s="232" t="inlineStr">
        <is>
          <t>FEBRERO</t>
        </is>
      </c>
      <c r="P2229" s="232" t="n">
        <v>7</v>
      </c>
      <c r="Q2229" s="234" t="n">
        <v>43</v>
      </c>
      <c r="R2229" s="232" t="inlineStr"/>
      <c r="S2229" s="234" t="n">
        <v>43</v>
      </c>
      <c r="T2229" s="232" t="inlineStr">
        <is>
          <t>CLP</t>
        </is>
      </c>
      <c r="U2229" s="232" t="inlineStr">
        <is>
          <t>Prorrateo Ha BODEGA</t>
        </is>
      </c>
      <c r="V2229" s="232" t="inlineStr">
        <is>
          <t>2026-06-18</t>
        </is>
      </c>
    </row>
    <row r="2230">
      <c r="A2230" s="232" t="inlineStr">
        <is>
          <t>CR-2227</t>
        </is>
      </c>
      <c r="B2230" s="232" t="inlineStr">
        <is>
          <t>2026/27</t>
        </is>
      </c>
      <c r="C2230" s="233" t="n">
        <v>46071</v>
      </c>
      <c r="D2230" s="232" t="inlineStr">
        <is>
          <t>68895</t>
        </is>
      </c>
      <c r="E2230" s="232" t="inlineStr">
        <is>
          <t>PRORRATEO</t>
        </is>
      </c>
      <c r="F2230" s="232" t="inlineStr">
        <is>
          <t>Santa Catalina</t>
        </is>
      </c>
      <c r="G2230" s="232" t="inlineStr">
        <is>
          <t>cambria 4,2 ha</t>
        </is>
      </c>
      <c r="H2230" s="232" t="inlineStr">
        <is>
          <t>Naranjas</t>
        </is>
      </c>
      <c r="I2230" s="232" t="inlineStr">
        <is>
          <t>Cambria</t>
        </is>
      </c>
      <c r="J2230" s="232" t="inlineStr">
        <is>
          <t>MANT. Y REP. CONSTRUCCIONES</t>
        </is>
      </c>
      <c r="K2230" s="232" t="inlineStr">
        <is>
          <t>MANTENCION INFRAESTRUCTURA</t>
        </is>
      </c>
      <c r="L2230" s="232" t="inlineStr">
        <is>
          <t>[PRORRATEO 2.8% 4.2há/148.3há] O/001401 TERMINAL H</t>
        </is>
      </c>
      <c r="M2230" s="232" t="inlineStr"/>
      <c r="N2230" s="232" t="inlineStr">
        <is>
          <t>.   .   -</t>
        </is>
      </c>
      <c r="O2230" s="232" t="inlineStr">
        <is>
          <t>FEBRERO</t>
        </is>
      </c>
      <c r="P2230" s="232" t="n">
        <v>7</v>
      </c>
      <c r="Q2230" s="234" t="n">
        <v>9</v>
      </c>
      <c r="R2230" s="232" t="inlineStr"/>
      <c r="S2230" s="234" t="n">
        <v>9</v>
      </c>
      <c r="T2230" s="232" t="inlineStr">
        <is>
          <t>CLP</t>
        </is>
      </c>
      <c r="U2230" s="232" t="inlineStr">
        <is>
          <t>Prorrateo Ha BODEGA</t>
        </is>
      </c>
      <c r="V2230" s="232" t="inlineStr">
        <is>
          <t>2026-06-18</t>
        </is>
      </c>
    </row>
    <row r="2231">
      <c r="A2231" s="232" t="inlineStr">
        <is>
          <t>CR-2228</t>
        </is>
      </c>
      <c r="B2231" s="232" t="inlineStr">
        <is>
          <t>2026/27</t>
        </is>
      </c>
      <c r="C2231" s="233" t="n">
        <v>46071</v>
      </c>
      <c r="D2231" s="232" t="inlineStr">
        <is>
          <t>68895</t>
        </is>
      </c>
      <c r="E2231" s="232" t="inlineStr">
        <is>
          <t>PRORRATEO</t>
        </is>
      </c>
      <c r="F2231" s="232" t="inlineStr">
        <is>
          <t>Santa Catalina</t>
        </is>
      </c>
      <c r="G2231" s="232" t="inlineStr">
        <is>
          <t>eureka 10,6 ha</t>
        </is>
      </c>
      <c r="H2231" s="232" t="inlineStr">
        <is>
          <t>Limon</t>
        </is>
      </c>
      <c r="I2231" s="232" t="inlineStr">
        <is>
          <t>Eureka</t>
        </is>
      </c>
      <c r="J2231" s="232" t="inlineStr">
        <is>
          <t>MANT. Y REP. CONSTRUCCIONES</t>
        </is>
      </c>
      <c r="K2231" s="232" t="inlineStr">
        <is>
          <t>MANTENCION INFRAESTRUCTURA</t>
        </is>
      </c>
      <c r="L2231" s="232" t="inlineStr">
        <is>
          <t>[PRORRATEO 7.1% 10.6há/148.3há] O/001401 TERMINAL H</t>
        </is>
      </c>
      <c r="M2231" s="232" t="inlineStr"/>
      <c r="N2231" s="232" t="inlineStr">
        <is>
          <t>.   .   -</t>
        </is>
      </c>
      <c r="O2231" s="232" t="inlineStr">
        <is>
          <t>FEBRERO</t>
        </is>
      </c>
      <c r="P2231" s="232" t="n">
        <v>7</v>
      </c>
      <c r="Q2231" s="234" t="n">
        <v>22</v>
      </c>
      <c r="R2231" s="232" t="inlineStr"/>
      <c r="S2231" s="234" t="n">
        <v>22</v>
      </c>
      <c r="T2231" s="232" t="inlineStr">
        <is>
          <t>CLP</t>
        </is>
      </c>
      <c r="U2231" s="232" t="inlineStr">
        <is>
          <t>Prorrateo Ha BODEGA</t>
        </is>
      </c>
      <c r="V2231" s="232" t="inlineStr">
        <is>
          <t>2026-06-18</t>
        </is>
      </c>
    </row>
    <row r="2232">
      <c r="A2232" s="232" t="inlineStr">
        <is>
          <t>CR-2229</t>
        </is>
      </c>
      <c r="B2232" s="232" t="inlineStr">
        <is>
          <t>2026/27</t>
        </is>
      </c>
      <c r="C2232" s="233" t="n">
        <v>46071</v>
      </c>
      <c r="D2232" s="232" t="inlineStr">
        <is>
          <t>68895</t>
        </is>
      </c>
      <c r="E2232" s="232" t="inlineStr">
        <is>
          <t>PRORRATEO</t>
        </is>
      </c>
      <c r="F2232" s="232" t="inlineStr">
        <is>
          <t>Santa Catalina</t>
        </is>
      </c>
      <c r="G2232" s="232" t="inlineStr">
        <is>
          <t>eureka 14,4 ha</t>
        </is>
      </c>
      <c r="H2232" s="232" t="inlineStr">
        <is>
          <t>Limon</t>
        </is>
      </c>
      <c r="I2232" s="232" t="inlineStr">
        <is>
          <t>Eureka</t>
        </is>
      </c>
      <c r="J2232" s="232" t="inlineStr">
        <is>
          <t>MANT. Y REP. CONSTRUCCIONES</t>
        </is>
      </c>
      <c r="K2232" s="232" t="inlineStr">
        <is>
          <t>MANTENCION INFRAESTRUCTURA</t>
        </is>
      </c>
      <c r="L2232" s="232" t="inlineStr">
        <is>
          <t>[PRORRATEO 9.7% 14.4há/148.3há] O/001401 TERMINAL H</t>
        </is>
      </c>
      <c r="M2232" s="232" t="inlineStr"/>
      <c r="N2232" s="232" t="inlineStr">
        <is>
          <t>.   .   -</t>
        </is>
      </c>
      <c r="O2232" s="232" t="inlineStr">
        <is>
          <t>FEBRERO</t>
        </is>
      </c>
      <c r="P2232" s="232" t="n">
        <v>7</v>
      </c>
      <c r="Q2232" s="234" t="n">
        <v>29</v>
      </c>
      <c r="R2232" s="232" t="inlineStr"/>
      <c r="S2232" s="234" t="n">
        <v>29</v>
      </c>
      <c r="T2232" s="232" t="inlineStr">
        <is>
          <t>CLP</t>
        </is>
      </c>
      <c r="U2232" s="232" t="inlineStr">
        <is>
          <t>Prorrateo Ha BODEGA</t>
        </is>
      </c>
      <c r="V2232" s="232" t="inlineStr">
        <is>
          <t>2026-06-18</t>
        </is>
      </c>
    </row>
    <row r="2233">
      <c r="A2233" s="232" t="inlineStr">
        <is>
          <t>CR-2230</t>
        </is>
      </c>
      <c r="B2233" s="232" t="inlineStr">
        <is>
          <t>2026/27</t>
        </is>
      </c>
      <c r="C2233" s="233" t="n">
        <v>46071</v>
      </c>
      <c r="D2233" s="232" t="inlineStr">
        <is>
          <t>68895</t>
        </is>
      </c>
      <c r="E2233" s="232" t="inlineStr">
        <is>
          <t>PRORRATEO</t>
        </is>
      </c>
      <c r="F2233" s="232" t="inlineStr">
        <is>
          <t>Santa Catalina</t>
        </is>
      </c>
      <c r="G2233" s="232" t="inlineStr">
        <is>
          <t>eureka 22,55</t>
        </is>
      </c>
      <c r="H2233" s="232" t="inlineStr">
        <is>
          <t>Limon</t>
        </is>
      </c>
      <c r="I2233" s="232" t="inlineStr">
        <is>
          <t>Eureka</t>
        </is>
      </c>
      <c r="J2233" s="232" t="inlineStr">
        <is>
          <t>MANT. Y REP. CONSTRUCCIONES</t>
        </is>
      </c>
      <c r="K2233" s="232" t="inlineStr">
        <is>
          <t>MANTENCION INFRAESTRUCTURA</t>
        </is>
      </c>
      <c r="L2233" s="232" t="inlineStr">
        <is>
          <t>[PRORRATEO 15.2% 22.55há/148.3há] O/001401 TERMINAL H</t>
        </is>
      </c>
      <c r="M2233" s="232" t="inlineStr"/>
      <c r="N2233" s="232" t="inlineStr">
        <is>
          <t>.   .   -</t>
        </is>
      </c>
      <c r="O2233" s="232" t="inlineStr">
        <is>
          <t>FEBRERO</t>
        </is>
      </c>
      <c r="P2233" s="232" t="n">
        <v>7</v>
      </c>
      <c r="Q2233" s="234" t="n">
        <v>46</v>
      </c>
      <c r="R2233" s="232" t="inlineStr"/>
      <c r="S2233" s="234" t="n">
        <v>46</v>
      </c>
      <c r="T2233" s="232" t="inlineStr">
        <is>
          <t>CLP</t>
        </is>
      </c>
      <c r="U2233" s="232" t="inlineStr">
        <is>
          <t>Prorrateo Ha BODEGA</t>
        </is>
      </c>
      <c r="V2233" s="232" t="inlineStr">
        <is>
          <t>2026-06-18</t>
        </is>
      </c>
    </row>
    <row r="2234">
      <c r="A2234" s="232" t="inlineStr">
        <is>
          <t>CR-2231</t>
        </is>
      </c>
      <c r="B2234" s="232" t="inlineStr">
        <is>
          <t>2026/27</t>
        </is>
      </c>
      <c r="C2234" s="233" t="n">
        <v>46071</v>
      </c>
      <c r="D2234" s="232" t="inlineStr">
        <is>
          <t>68895</t>
        </is>
      </c>
      <c r="E2234" s="232" t="inlineStr">
        <is>
          <t>PRORRATEO</t>
        </is>
      </c>
      <c r="F2234" s="232" t="inlineStr">
        <is>
          <t>Santa Catalina</t>
        </is>
      </c>
      <c r="G2234" s="232" t="inlineStr">
        <is>
          <t>form benjamin 1,93 ha</t>
        </is>
      </c>
      <c r="H2234" s="232" t="inlineStr">
        <is>
          <t>Limon</t>
        </is>
      </c>
      <c r="I2234" s="232" t="inlineStr">
        <is>
          <t>Benjamin andes</t>
        </is>
      </c>
      <c r="J2234" s="232" t="inlineStr">
        <is>
          <t>MANT. Y REP. CONSTRUCCIONES</t>
        </is>
      </c>
      <c r="K2234" s="232" t="inlineStr">
        <is>
          <t>MANTENCION INFRAESTRUCTURA</t>
        </is>
      </c>
      <c r="L2234" s="232" t="inlineStr">
        <is>
          <t>[PRORRATEO 1.3% 1.93há/148.3há] O/001401 TERMINAL H</t>
        </is>
      </c>
      <c r="M2234" s="232" t="inlineStr"/>
      <c r="N2234" s="232" t="inlineStr">
        <is>
          <t>.   .   -</t>
        </is>
      </c>
      <c r="O2234" s="232" t="inlineStr">
        <is>
          <t>FEBRERO</t>
        </is>
      </c>
      <c r="P2234" s="232" t="n">
        <v>7</v>
      </c>
      <c r="Q2234" s="234" t="n">
        <v>4</v>
      </c>
      <c r="R2234" s="232" t="inlineStr"/>
      <c r="S2234" s="234" t="n">
        <v>4</v>
      </c>
      <c r="T2234" s="232" t="inlineStr">
        <is>
          <t>CLP</t>
        </is>
      </c>
      <c r="U2234" s="232" t="inlineStr">
        <is>
          <t>Prorrateo Ha BODEGA</t>
        </is>
      </c>
      <c r="V2234" s="232" t="inlineStr">
        <is>
          <t>2026-06-18</t>
        </is>
      </c>
    </row>
    <row r="2235">
      <c r="A2235" s="232" t="inlineStr">
        <is>
          <t>CR-2232</t>
        </is>
      </c>
      <c r="B2235" s="232" t="inlineStr">
        <is>
          <t>2026/27</t>
        </is>
      </c>
      <c r="C2235" s="233" t="n">
        <v>46071</v>
      </c>
      <c r="D2235" s="232" t="inlineStr">
        <is>
          <t>68895</t>
        </is>
      </c>
      <c r="E2235" s="232" t="inlineStr">
        <is>
          <t>PRORRATEO</t>
        </is>
      </c>
      <c r="F2235" s="232" t="inlineStr">
        <is>
          <t>Santa Catalina</t>
        </is>
      </c>
      <c r="G2235" s="232" t="inlineStr">
        <is>
          <t>mant eureka 2,5 ha</t>
        </is>
      </c>
      <c r="H2235" s="232" t="inlineStr">
        <is>
          <t>Limon</t>
        </is>
      </c>
      <c r="I2235" s="232" t="inlineStr">
        <is>
          <t>Eureka</t>
        </is>
      </c>
      <c r="J2235" s="232" t="inlineStr">
        <is>
          <t>MANT. Y REP. CONSTRUCCIONES</t>
        </is>
      </c>
      <c r="K2235" s="232" t="inlineStr">
        <is>
          <t>MANTENCION INFRAESTRUCTURA</t>
        </is>
      </c>
      <c r="L2235" s="232" t="inlineStr">
        <is>
          <t>[PRORRATEO 1.7% 2.5há/148.3há] O/001401 TERMINAL H</t>
        </is>
      </c>
      <c r="M2235" s="232" t="inlineStr"/>
      <c r="N2235" s="232" t="inlineStr">
        <is>
          <t>.   .   -</t>
        </is>
      </c>
      <c r="O2235" s="232" t="inlineStr">
        <is>
          <t>FEBRERO</t>
        </is>
      </c>
      <c r="P2235" s="232" t="n">
        <v>7</v>
      </c>
      <c r="Q2235" s="234" t="n">
        <v>5</v>
      </c>
      <c r="R2235" s="232" t="inlineStr"/>
      <c r="S2235" s="234" t="n">
        <v>5</v>
      </c>
      <c r="T2235" s="232" t="inlineStr">
        <is>
          <t>CLP</t>
        </is>
      </c>
      <c r="U2235" s="232" t="inlineStr">
        <is>
          <t>Prorrateo Ha BODEGA</t>
        </is>
      </c>
      <c r="V2235" s="232" t="inlineStr">
        <is>
          <t>2026-06-18</t>
        </is>
      </c>
    </row>
    <row r="2236">
      <c r="A2236" s="232" t="inlineStr">
        <is>
          <t>CR-2233</t>
        </is>
      </c>
      <c r="B2236" s="232" t="inlineStr">
        <is>
          <t>2026/27</t>
        </is>
      </c>
      <c r="C2236" s="233" t="n">
        <v>46071</v>
      </c>
      <c r="D2236" s="232" t="inlineStr">
        <is>
          <t>68895</t>
        </is>
      </c>
      <c r="E2236" s="232" t="inlineStr">
        <is>
          <t>PRORRATEO</t>
        </is>
      </c>
      <c r="F2236" s="232" t="inlineStr">
        <is>
          <t>Siberia</t>
        </is>
      </c>
      <c r="G2236" s="232" t="inlineStr">
        <is>
          <t>S. Celebration 7,14</t>
        </is>
      </c>
      <c r="H2236" s="232" t="inlineStr">
        <is>
          <t>Uvas</t>
        </is>
      </c>
      <c r="I2236" s="232" t="inlineStr">
        <is>
          <t>S. celebration</t>
        </is>
      </c>
      <c r="J2236" s="232" t="inlineStr">
        <is>
          <t>MANT. Y REP. CONSTRUCCIONES</t>
        </is>
      </c>
      <c r="K2236" s="232" t="inlineStr">
        <is>
          <t>MANTENCION INFRAESTRUCTURA</t>
        </is>
      </c>
      <c r="L2236" s="232" t="inlineStr">
        <is>
          <t>[PRORRATEO 4.8% 7.14há/148.3há] O/001401 TERMINAL H</t>
        </is>
      </c>
      <c r="M2236" s="232" t="inlineStr"/>
      <c r="N2236" s="232" t="inlineStr">
        <is>
          <t>.   .   -</t>
        </is>
      </c>
      <c r="O2236" s="232" t="inlineStr">
        <is>
          <t>FEBRERO</t>
        </is>
      </c>
      <c r="P2236" s="232" t="n">
        <v>7</v>
      </c>
      <c r="Q2236" s="234" t="n">
        <v>15</v>
      </c>
      <c r="R2236" s="232" t="inlineStr"/>
      <c r="S2236" s="234" t="n">
        <v>15</v>
      </c>
      <c r="T2236" s="232" t="inlineStr">
        <is>
          <t>CLP</t>
        </is>
      </c>
      <c r="U2236" s="232" t="inlineStr">
        <is>
          <t>Prorrateo Ha BODEGA</t>
        </is>
      </c>
      <c r="V2236" s="232" t="inlineStr">
        <is>
          <t>2026-06-18</t>
        </is>
      </c>
    </row>
    <row r="2237">
      <c r="A2237" s="232" t="inlineStr">
        <is>
          <t>CR-2234</t>
        </is>
      </c>
      <c r="B2237" s="232" t="inlineStr">
        <is>
          <t>2026/27</t>
        </is>
      </c>
      <c r="C2237" s="233" t="n">
        <v>46071</v>
      </c>
      <c r="D2237" s="232" t="inlineStr">
        <is>
          <t>68895</t>
        </is>
      </c>
      <c r="E2237" s="232" t="inlineStr">
        <is>
          <t>PRORRATEO</t>
        </is>
      </c>
      <c r="F2237" s="232" t="inlineStr">
        <is>
          <t>Siberia</t>
        </is>
      </c>
      <c r="G2237" s="232" t="inlineStr">
        <is>
          <t>Timpson 7,1</t>
        </is>
      </c>
      <c r="H2237" s="232" t="inlineStr">
        <is>
          <t>Uvas</t>
        </is>
      </c>
      <c r="I2237" s="232" t="inlineStr">
        <is>
          <t>Timpson</t>
        </is>
      </c>
      <c r="J2237" s="232" t="inlineStr">
        <is>
          <t>MANT. Y REP. CONSTRUCCIONES</t>
        </is>
      </c>
      <c r="K2237" s="232" t="inlineStr">
        <is>
          <t>MANTENCION INFRAESTRUCTURA</t>
        </is>
      </c>
      <c r="L2237" s="232" t="inlineStr">
        <is>
          <t>[PRORRATEO 4.8% 7.1há/148.3há] O/001401 TERMINAL H</t>
        </is>
      </c>
      <c r="M2237" s="232" t="inlineStr"/>
      <c r="N2237" s="232" t="inlineStr">
        <is>
          <t>.   .   -</t>
        </is>
      </c>
      <c r="O2237" s="232" t="inlineStr">
        <is>
          <t>FEBRERO</t>
        </is>
      </c>
      <c r="P2237" s="232" t="n">
        <v>7</v>
      </c>
      <c r="Q2237" s="234" t="n">
        <v>14</v>
      </c>
      <c r="R2237" s="232" t="inlineStr"/>
      <c r="S2237" s="234" t="n">
        <v>14</v>
      </c>
      <c r="T2237" s="232" t="inlineStr">
        <is>
          <t>CLP</t>
        </is>
      </c>
      <c r="U2237" s="232" t="inlineStr">
        <is>
          <t>Prorrateo Ha BODEGA</t>
        </is>
      </c>
      <c r="V2237" s="232" t="inlineStr">
        <is>
          <t>2026-06-18</t>
        </is>
      </c>
    </row>
    <row r="2238">
      <c r="A2238" s="232" t="inlineStr">
        <is>
          <t>CR-2235</t>
        </is>
      </c>
      <c r="B2238" s="232" t="inlineStr">
        <is>
          <t>2026/27</t>
        </is>
      </c>
      <c r="C2238" s="233" t="n">
        <v>46071</v>
      </c>
      <c r="D2238" s="232" t="inlineStr">
        <is>
          <t>68895</t>
        </is>
      </c>
      <c r="E2238" s="232" t="inlineStr">
        <is>
          <t>PRORRATEO</t>
        </is>
      </c>
      <c r="F2238" s="232" t="inlineStr">
        <is>
          <t>Asmara</t>
        </is>
      </c>
      <c r="G2238" s="232" t="inlineStr">
        <is>
          <t>w. murcott 19,8 ha</t>
        </is>
      </c>
      <c r="H2238" s="232" t="inlineStr">
        <is>
          <t>Mandarina</t>
        </is>
      </c>
      <c r="I2238" s="232" t="inlineStr">
        <is>
          <t>W. murcott</t>
        </is>
      </c>
      <c r="J2238" s="232" t="inlineStr">
        <is>
          <t>MANT. Y REP. CONSTRUCCIONES</t>
        </is>
      </c>
      <c r="K2238" s="232" t="inlineStr">
        <is>
          <t>MANTENCION INFRAESTRUCTURA</t>
        </is>
      </c>
      <c r="L2238" s="232" t="inlineStr">
        <is>
          <t>[PRORRATEO 13.4% 19.8há/148.3há] O/001401 TERMINAL H</t>
        </is>
      </c>
      <c r="M2238" s="232" t="inlineStr"/>
      <c r="N2238" s="232" t="inlineStr">
        <is>
          <t>.   .   -</t>
        </is>
      </c>
      <c r="O2238" s="232" t="inlineStr">
        <is>
          <t>FEBRERO</t>
        </is>
      </c>
      <c r="P2238" s="232" t="n">
        <v>7</v>
      </c>
      <c r="Q2238" s="234" t="n">
        <v>16</v>
      </c>
      <c r="R2238" s="232" t="inlineStr"/>
      <c r="S2238" s="234" t="n">
        <v>16</v>
      </c>
      <c r="T2238" s="232" t="inlineStr">
        <is>
          <t>CLP</t>
        </is>
      </c>
      <c r="U2238" s="232" t="inlineStr">
        <is>
          <t>Prorrateo Ha BODEGA</t>
        </is>
      </c>
      <c r="V2238" s="232" t="inlineStr">
        <is>
          <t>2026-06-18</t>
        </is>
      </c>
    </row>
    <row r="2239">
      <c r="A2239" s="232" t="inlineStr">
        <is>
          <t>CR-2236</t>
        </is>
      </c>
      <c r="B2239" s="232" t="inlineStr">
        <is>
          <t>2026/27</t>
        </is>
      </c>
      <c r="C2239" s="233" t="n">
        <v>46071</v>
      </c>
      <c r="D2239" s="232" t="inlineStr">
        <is>
          <t>68895</t>
        </is>
      </c>
      <c r="E2239" s="232" t="inlineStr">
        <is>
          <t>PRORRATEO</t>
        </is>
      </c>
      <c r="F2239" s="232" t="inlineStr">
        <is>
          <t>Asmara</t>
        </is>
      </c>
      <c r="G2239" s="232" t="inlineStr">
        <is>
          <t>w. murcott 4,9 ha</t>
        </is>
      </c>
      <c r="H2239" s="232" t="inlineStr">
        <is>
          <t>Mandarina</t>
        </is>
      </c>
      <c r="I2239" s="232" t="inlineStr">
        <is>
          <t>W. murcott</t>
        </is>
      </c>
      <c r="J2239" s="232" t="inlineStr">
        <is>
          <t>MANT. Y REP. CONSTRUCCIONES</t>
        </is>
      </c>
      <c r="K2239" s="232" t="inlineStr">
        <is>
          <t>MANTENCION INFRAESTRUCTURA</t>
        </is>
      </c>
      <c r="L2239" s="232" t="inlineStr">
        <is>
          <t>[PRORRATEO 3.3% 4.9há/148.3há] O/001401 TERMINAL H</t>
        </is>
      </c>
      <c r="M2239" s="232" t="inlineStr"/>
      <c r="N2239" s="232" t="inlineStr">
        <is>
          <t>.   .   -</t>
        </is>
      </c>
      <c r="O2239" s="232" t="inlineStr">
        <is>
          <t>FEBRERO</t>
        </is>
      </c>
      <c r="P2239" s="232" t="n">
        <v>7</v>
      </c>
      <c r="Q2239" s="234" t="n">
        <v>4</v>
      </c>
      <c r="R2239" s="232" t="inlineStr"/>
      <c r="S2239" s="234" t="n">
        <v>4</v>
      </c>
      <c r="T2239" s="232" t="inlineStr">
        <is>
          <t>CLP</t>
        </is>
      </c>
      <c r="U2239" s="232" t="inlineStr">
        <is>
          <t>Prorrateo Ha BODEGA</t>
        </is>
      </c>
      <c r="V2239" s="232" t="inlineStr">
        <is>
          <t>2026-06-18</t>
        </is>
      </c>
    </row>
    <row r="2240">
      <c r="A2240" s="232" t="inlineStr">
        <is>
          <t>CR-2237</t>
        </is>
      </c>
      <c r="B2240" s="232" t="inlineStr">
        <is>
          <t>2026/27</t>
        </is>
      </c>
      <c r="C2240" s="233" t="n">
        <v>46071</v>
      </c>
      <c r="D2240" s="232" t="inlineStr">
        <is>
          <t>68895</t>
        </is>
      </c>
      <c r="E2240" s="232" t="inlineStr">
        <is>
          <t>PRORRATEO</t>
        </is>
      </c>
      <c r="F2240" s="232" t="inlineStr">
        <is>
          <t>El Molle</t>
        </is>
      </c>
      <c r="G2240" s="232" t="inlineStr">
        <is>
          <t>Wonderful 5,25 ha</t>
        </is>
      </c>
      <c r="H2240" s="232" t="inlineStr">
        <is>
          <t>Granados</t>
        </is>
      </c>
      <c r="I2240" s="232" t="inlineStr">
        <is>
          <t>Wonderfull</t>
        </is>
      </c>
      <c r="J2240" s="232" t="inlineStr">
        <is>
          <t>MANT. Y REP. CONSTRUCCIONES</t>
        </is>
      </c>
      <c r="K2240" s="232" t="inlineStr">
        <is>
          <t>MANTENCION INFRAESTRUCTURA</t>
        </is>
      </c>
      <c r="L2240" s="232" t="inlineStr">
        <is>
          <t>[PRORRATEO 3.5% 5.24há/148.3há] O/001401 TERMINAL H</t>
        </is>
      </c>
      <c r="M2240" s="232" t="inlineStr"/>
      <c r="N2240" s="232" t="inlineStr">
        <is>
          <t>.   .   -</t>
        </is>
      </c>
      <c r="O2240" s="232" t="inlineStr">
        <is>
          <t>FEBRERO</t>
        </is>
      </c>
      <c r="P2240" s="232" t="n">
        <v>7</v>
      </c>
      <c r="Q2240" s="234" t="n">
        <v>4</v>
      </c>
      <c r="R2240" s="232" t="inlineStr"/>
      <c r="S2240" s="234" t="n">
        <v>4</v>
      </c>
      <c r="T2240" s="232" t="inlineStr">
        <is>
          <t>CLP</t>
        </is>
      </c>
      <c r="U2240" s="232" t="inlineStr">
        <is>
          <t>Prorrateo Ha BODEGA</t>
        </is>
      </c>
      <c r="V2240" s="232" t="inlineStr">
        <is>
          <t>2026-06-18</t>
        </is>
      </c>
    </row>
    <row r="2241">
      <c r="A2241" s="232" t="inlineStr">
        <is>
          <t>CR-2238</t>
        </is>
      </c>
      <c r="B2241" s="232" t="inlineStr">
        <is>
          <t>2026/27</t>
        </is>
      </c>
      <c r="C2241" s="233" t="n">
        <v>46071</v>
      </c>
      <c r="D2241" s="232" t="inlineStr">
        <is>
          <t>68895</t>
        </is>
      </c>
      <c r="E2241" s="232" t="inlineStr">
        <is>
          <t>PRORRATEO</t>
        </is>
      </c>
      <c r="F2241" s="232" t="inlineStr">
        <is>
          <t>El Molle</t>
        </is>
      </c>
      <c r="G2241" s="232" t="inlineStr">
        <is>
          <t>arrufatinas 5,74 ha</t>
        </is>
      </c>
      <c r="H2241" s="232" t="inlineStr">
        <is>
          <t>Clementinas</t>
        </is>
      </c>
      <c r="I2241" s="232" t="inlineStr">
        <is>
          <t>Arrufatinas</t>
        </is>
      </c>
      <c r="J2241" s="232" t="inlineStr">
        <is>
          <t>MANT. Y REP. CONSTRUCCIONES</t>
        </is>
      </c>
      <c r="K2241" s="232" t="inlineStr">
        <is>
          <t>MANTENCION INFRAESTRUCTURA</t>
        </is>
      </c>
      <c r="L2241" s="232" t="inlineStr">
        <is>
          <t>[PRORRATEO 3.9% 5.74há/148.3há] O/001401 TERMINAL H</t>
        </is>
      </c>
      <c r="M2241" s="232" t="inlineStr"/>
      <c r="N2241" s="232" t="inlineStr">
        <is>
          <t>.   .   -</t>
        </is>
      </c>
      <c r="O2241" s="232" t="inlineStr">
        <is>
          <t>FEBRERO</t>
        </is>
      </c>
      <c r="P2241" s="232" t="n">
        <v>7</v>
      </c>
      <c r="Q2241" s="234" t="n">
        <v>5</v>
      </c>
      <c r="R2241" s="232" t="inlineStr"/>
      <c r="S2241" s="234" t="n">
        <v>5</v>
      </c>
      <c r="T2241" s="232" t="inlineStr">
        <is>
          <t>CLP</t>
        </is>
      </c>
      <c r="U2241" s="232" t="inlineStr">
        <is>
          <t>Prorrateo Ha BODEGA</t>
        </is>
      </c>
      <c r="V2241" s="232" t="inlineStr">
        <is>
          <t>2026-06-18</t>
        </is>
      </c>
    </row>
    <row r="2242">
      <c r="A2242" s="232" t="inlineStr">
        <is>
          <t>CR-2239</t>
        </is>
      </c>
      <c r="B2242" s="232" t="inlineStr">
        <is>
          <t>2026/27</t>
        </is>
      </c>
      <c r="C2242" s="233" t="n">
        <v>46071</v>
      </c>
      <c r="D2242" s="232" t="inlineStr">
        <is>
          <t>68895</t>
        </is>
      </c>
      <c r="E2242" s="232" t="inlineStr">
        <is>
          <t>PRORRATEO</t>
        </is>
      </c>
      <c r="F2242" s="232" t="inlineStr">
        <is>
          <t>El Molle</t>
        </is>
      </c>
      <c r="G2242" s="232" t="inlineStr">
        <is>
          <t>orogrande 8,11 ha</t>
        </is>
      </c>
      <c r="H2242" s="232" t="inlineStr">
        <is>
          <t>Clementinas</t>
        </is>
      </c>
      <c r="I2242" s="232" t="inlineStr">
        <is>
          <t>Orogrande</t>
        </is>
      </c>
      <c r="J2242" s="232" t="inlineStr">
        <is>
          <t>MANT. Y REP. CONSTRUCCIONES</t>
        </is>
      </c>
      <c r="K2242" s="232" t="inlineStr">
        <is>
          <t>MANTENCION INFRAESTRUCTURA</t>
        </is>
      </c>
      <c r="L2242" s="232" t="inlineStr">
        <is>
          <t>[PRORRATEO 5.5% 8.11há/148.3há] O/001401 TERMINAL H</t>
        </is>
      </c>
      <c r="M2242" s="232" t="inlineStr"/>
      <c r="N2242" s="232" t="inlineStr">
        <is>
          <t>.   .   -</t>
        </is>
      </c>
      <c r="O2242" s="232" t="inlineStr">
        <is>
          <t>FEBRERO</t>
        </is>
      </c>
      <c r="P2242" s="232" t="n">
        <v>7</v>
      </c>
      <c r="Q2242" s="234" t="n">
        <v>6</v>
      </c>
      <c r="R2242" s="232" t="inlineStr"/>
      <c r="S2242" s="234" t="n">
        <v>6</v>
      </c>
      <c r="T2242" s="232" t="inlineStr">
        <is>
          <t>CLP</t>
        </is>
      </c>
      <c r="U2242" s="232" t="inlineStr">
        <is>
          <t>Prorrateo Ha BODEGA</t>
        </is>
      </c>
      <c r="V2242" s="232" t="inlineStr">
        <is>
          <t>2026-06-18</t>
        </is>
      </c>
    </row>
    <row r="2243">
      <c r="A2243" s="232" t="inlineStr">
        <is>
          <t>CR-2240</t>
        </is>
      </c>
      <c r="B2243" s="232" t="inlineStr">
        <is>
          <t>2026/27</t>
        </is>
      </c>
      <c r="C2243" s="233" t="n">
        <v>46071</v>
      </c>
      <c r="D2243" s="232" t="inlineStr">
        <is>
          <t>68895</t>
        </is>
      </c>
      <c r="E2243" s="232" t="inlineStr">
        <is>
          <t>PRORRATEO</t>
        </is>
      </c>
      <c r="F2243" s="232" t="inlineStr">
        <is>
          <t>El Molle</t>
        </is>
      </c>
      <c r="G2243" s="232" t="inlineStr">
        <is>
          <t>oronules 5,35 ha</t>
        </is>
      </c>
      <c r="H2243" s="232" t="inlineStr">
        <is>
          <t>Clementinas</t>
        </is>
      </c>
      <c r="I2243" s="232" t="inlineStr">
        <is>
          <t>Oronules</t>
        </is>
      </c>
      <c r="J2243" s="232" t="inlineStr">
        <is>
          <t>MANT. Y REP. CONSTRUCCIONES</t>
        </is>
      </c>
      <c r="K2243" s="232" t="inlineStr">
        <is>
          <t>MANTENCION INFRAESTRUCTURA</t>
        </is>
      </c>
      <c r="L2243" s="232" t="inlineStr">
        <is>
          <t>[PRORRATEO 3.6% 5.35há/148.3há] O/001401 TERMINAL H</t>
        </is>
      </c>
      <c r="M2243" s="232" t="inlineStr"/>
      <c r="N2243" s="232" t="inlineStr">
        <is>
          <t>.   .   -</t>
        </is>
      </c>
      <c r="O2243" s="232" t="inlineStr">
        <is>
          <t>FEBRERO</t>
        </is>
      </c>
      <c r="P2243" s="232" t="n">
        <v>7</v>
      </c>
      <c r="Q2243" s="234" t="n">
        <v>4</v>
      </c>
      <c r="R2243" s="232" t="inlineStr"/>
      <c r="S2243" s="234" t="n">
        <v>4</v>
      </c>
      <c r="T2243" s="232" t="inlineStr">
        <is>
          <t>CLP</t>
        </is>
      </c>
      <c r="U2243" s="232" t="inlineStr">
        <is>
          <t>Prorrateo Ha BODEGA</t>
        </is>
      </c>
      <c r="V2243" s="232" t="inlineStr">
        <is>
          <t>2026-06-18</t>
        </is>
      </c>
    </row>
    <row r="2244">
      <c r="A2244" s="232" t="inlineStr">
        <is>
          <t>CR-2241</t>
        </is>
      </c>
      <c r="B2244" s="232" t="inlineStr">
        <is>
          <t>2026/27</t>
        </is>
      </c>
      <c r="C2244" s="233" t="n">
        <v>46071</v>
      </c>
      <c r="D2244" s="232" t="inlineStr">
        <is>
          <t>68895</t>
        </is>
      </c>
      <c r="E2244" s="232" t="inlineStr">
        <is>
          <t>PRORRATEO</t>
        </is>
      </c>
      <c r="F2244" s="232" t="inlineStr">
        <is>
          <t>Santa Catalina</t>
        </is>
      </c>
      <c r="G2244" s="232" t="inlineStr">
        <is>
          <t>Fino 49 7,7 ha</t>
        </is>
      </c>
      <c r="H2244" s="232" t="inlineStr">
        <is>
          <t>Limon</t>
        </is>
      </c>
      <c r="I2244" s="232" t="inlineStr">
        <is>
          <t>Fino 49</t>
        </is>
      </c>
      <c r="J2244" s="232" t="inlineStr">
        <is>
          <t>MANT. Y REP. CONSTRUCCIONES</t>
        </is>
      </c>
      <c r="K2244" s="232" t="inlineStr">
        <is>
          <t>MANTENCION INFRAESTRUCTURA</t>
        </is>
      </c>
      <c r="L2244" s="232" t="inlineStr">
        <is>
          <t>[PRORRATEO 5.2% 7.7há/148.3há] O/001401 TERMINAL H</t>
        </is>
      </c>
      <c r="M2244" s="232" t="inlineStr"/>
      <c r="N2244" s="232" t="inlineStr">
        <is>
          <t>.   .   -</t>
        </is>
      </c>
      <c r="O2244" s="232" t="inlineStr">
        <is>
          <t>FEBRERO</t>
        </is>
      </c>
      <c r="P2244" s="232" t="n">
        <v>7</v>
      </c>
      <c r="Q2244" s="234" t="n">
        <v>6</v>
      </c>
      <c r="R2244" s="232" t="inlineStr"/>
      <c r="S2244" s="234" t="n">
        <v>6</v>
      </c>
      <c r="T2244" s="232" t="inlineStr">
        <is>
          <t>CLP</t>
        </is>
      </c>
      <c r="U2244" s="232" t="inlineStr">
        <is>
          <t>Prorrateo Ha BODEGA</t>
        </is>
      </c>
      <c r="V2244" s="232" t="inlineStr">
        <is>
          <t>2026-06-18</t>
        </is>
      </c>
    </row>
    <row r="2245">
      <c r="A2245" s="232" t="inlineStr">
        <is>
          <t>CR-2242</t>
        </is>
      </c>
      <c r="B2245" s="232" t="inlineStr">
        <is>
          <t>2026/27</t>
        </is>
      </c>
      <c r="C2245" s="233" t="n">
        <v>46071</v>
      </c>
      <c r="D2245" s="232" t="inlineStr">
        <is>
          <t>68895</t>
        </is>
      </c>
      <c r="E2245" s="232" t="inlineStr">
        <is>
          <t>PRORRATEO</t>
        </is>
      </c>
      <c r="F2245" s="232" t="inlineStr">
        <is>
          <t>Santa Catalina</t>
        </is>
      </c>
      <c r="G2245" s="232" t="inlineStr">
        <is>
          <t>W. murcott 21 ha</t>
        </is>
      </c>
      <c r="H2245" s="232" t="inlineStr">
        <is>
          <t>Mandarina</t>
        </is>
      </c>
      <c r="I2245" s="232" t="inlineStr">
        <is>
          <t>W. murcott</t>
        </is>
      </c>
      <c r="J2245" s="232" t="inlineStr">
        <is>
          <t>MANT. Y REP. CONSTRUCCIONES</t>
        </is>
      </c>
      <c r="K2245" s="232" t="inlineStr">
        <is>
          <t>MANTENCION INFRAESTRUCTURA</t>
        </is>
      </c>
      <c r="L2245" s="232" t="inlineStr">
        <is>
          <t>[PRORRATEO 14.2% 21.0há/148.3há] O/001401 TERMINAL H</t>
        </is>
      </c>
      <c r="M2245" s="232" t="inlineStr"/>
      <c r="N2245" s="232" t="inlineStr">
        <is>
          <t>.   .   -</t>
        </is>
      </c>
      <c r="O2245" s="232" t="inlineStr">
        <is>
          <t>FEBRERO</t>
        </is>
      </c>
      <c r="P2245" s="232" t="n">
        <v>7</v>
      </c>
      <c r="Q2245" s="234" t="n">
        <v>17</v>
      </c>
      <c r="R2245" s="232" t="inlineStr"/>
      <c r="S2245" s="234" t="n">
        <v>17</v>
      </c>
      <c r="T2245" s="232" t="inlineStr">
        <is>
          <t>CLP</t>
        </is>
      </c>
      <c r="U2245" s="232" t="inlineStr">
        <is>
          <t>Prorrateo Ha BODEGA</t>
        </is>
      </c>
      <c r="V2245" s="232" t="inlineStr">
        <is>
          <t>2026-06-18</t>
        </is>
      </c>
    </row>
    <row r="2246">
      <c r="A2246" s="232" t="inlineStr">
        <is>
          <t>CR-2243</t>
        </is>
      </c>
      <c r="B2246" s="232" t="inlineStr">
        <is>
          <t>2026/27</t>
        </is>
      </c>
      <c r="C2246" s="233" t="n">
        <v>46071</v>
      </c>
      <c r="D2246" s="232" t="inlineStr">
        <is>
          <t>68895</t>
        </is>
      </c>
      <c r="E2246" s="232" t="inlineStr">
        <is>
          <t>PRORRATEO</t>
        </is>
      </c>
      <c r="F2246" s="232" t="inlineStr">
        <is>
          <t>Santa Catalina</t>
        </is>
      </c>
      <c r="G2246" s="232" t="inlineStr">
        <is>
          <t>cambria 4,2 ha</t>
        </is>
      </c>
      <c r="H2246" s="232" t="inlineStr">
        <is>
          <t>Naranjas</t>
        </is>
      </c>
      <c r="I2246" s="232" t="inlineStr">
        <is>
          <t>Cambria</t>
        </is>
      </c>
      <c r="J2246" s="232" t="inlineStr">
        <is>
          <t>MANT. Y REP. CONSTRUCCIONES</t>
        </is>
      </c>
      <c r="K2246" s="232" t="inlineStr">
        <is>
          <t>MANTENCION INFRAESTRUCTURA</t>
        </is>
      </c>
      <c r="L2246" s="232" t="inlineStr">
        <is>
          <t>[PRORRATEO 2.8% 4.2há/148.3há] O/001401 TERMINAL H</t>
        </is>
      </c>
      <c r="M2246" s="232" t="inlineStr"/>
      <c r="N2246" s="232" t="inlineStr">
        <is>
          <t>.   .   -</t>
        </is>
      </c>
      <c r="O2246" s="232" t="inlineStr">
        <is>
          <t>FEBRERO</t>
        </is>
      </c>
      <c r="P2246" s="232" t="n">
        <v>7</v>
      </c>
      <c r="Q2246" s="234" t="n">
        <v>3</v>
      </c>
      <c r="R2246" s="232" t="inlineStr"/>
      <c r="S2246" s="234" t="n">
        <v>3</v>
      </c>
      <c r="T2246" s="232" t="inlineStr">
        <is>
          <t>CLP</t>
        </is>
      </c>
      <c r="U2246" s="232" t="inlineStr">
        <is>
          <t>Prorrateo Ha BODEGA</t>
        </is>
      </c>
      <c r="V2246" s="232" t="inlineStr">
        <is>
          <t>2026-06-18</t>
        </is>
      </c>
    </row>
    <row r="2247">
      <c r="A2247" s="232" t="inlineStr">
        <is>
          <t>CR-2244</t>
        </is>
      </c>
      <c r="B2247" s="232" t="inlineStr">
        <is>
          <t>2026/27</t>
        </is>
      </c>
      <c r="C2247" s="233" t="n">
        <v>46071</v>
      </c>
      <c r="D2247" s="232" t="inlineStr">
        <is>
          <t>68895</t>
        </is>
      </c>
      <c r="E2247" s="232" t="inlineStr">
        <is>
          <t>PRORRATEO</t>
        </is>
      </c>
      <c r="F2247" s="232" t="inlineStr">
        <is>
          <t>Santa Catalina</t>
        </is>
      </c>
      <c r="G2247" s="232" t="inlineStr">
        <is>
          <t>eureka 10,6 ha</t>
        </is>
      </c>
      <c r="H2247" s="232" t="inlineStr">
        <is>
          <t>Limon</t>
        </is>
      </c>
      <c r="I2247" s="232" t="inlineStr">
        <is>
          <t>Eureka</t>
        </is>
      </c>
      <c r="J2247" s="232" t="inlineStr">
        <is>
          <t>MANT. Y REP. CONSTRUCCIONES</t>
        </is>
      </c>
      <c r="K2247" s="232" t="inlineStr">
        <is>
          <t>MANTENCION INFRAESTRUCTURA</t>
        </is>
      </c>
      <c r="L2247" s="232" t="inlineStr">
        <is>
          <t>[PRORRATEO 7.1% 10.6há/148.3há] O/001401 TERMINAL H</t>
        </is>
      </c>
      <c r="M2247" s="232" t="inlineStr"/>
      <c r="N2247" s="232" t="inlineStr">
        <is>
          <t>.   .   -</t>
        </is>
      </c>
      <c r="O2247" s="232" t="inlineStr">
        <is>
          <t>FEBRERO</t>
        </is>
      </c>
      <c r="P2247" s="232" t="n">
        <v>7</v>
      </c>
      <c r="Q2247" s="234" t="n">
        <v>8</v>
      </c>
      <c r="R2247" s="232" t="inlineStr"/>
      <c r="S2247" s="234" t="n">
        <v>8</v>
      </c>
      <c r="T2247" s="232" t="inlineStr">
        <is>
          <t>CLP</t>
        </is>
      </c>
      <c r="U2247" s="232" t="inlineStr">
        <is>
          <t>Prorrateo Ha BODEGA</t>
        </is>
      </c>
      <c r="V2247" s="232" t="inlineStr">
        <is>
          <t>2026-06-18</t>
        </is>
      </c>
    </row>
    <row r="2248">
      <c r="A2248" s="232" t="inlineStr">
        <is>
          <t>CR-2245</t>
        </is>
      </c>
      <c r="B2248" s="232" t="inlineStr">
        <is>
          <t>2026/27</t>
        </is>
      </c>
      <c r="C2248" s="233" t="n">
        <v>46071</v>
      </c>
      <c r="D2248" s="232" t="inlineStr">
        <is>
          <t>68895</t>
        </is>
      </c>
      <c r="E2248" s="232" t="inlineStr">
        <is>
          <t>PRORRATEO</t>
        </is>
      </c>
      <c r="F2248" s="232" t="inlineStr">
        <is>
          <t>Santa Catalina</t>
        </is>
      </c>
      <c r="G2248" s="232" t="inlineStr">
        <is>
          <t>eureka 14,4 ha</t>
        </is>
      </c>
      <c r="H2248" s="232" t="inlineStr">
        <is>
          <t>Limon</t>
        </is>
      </c>
      <c r="I2248" s="232" t="inlineStr">
        <is>
          <t>Eureka</t>
        </is>
      </c>
      <c r="J2248" s="232" t="inlineStr">
        <is>
          <t>MANT. Y REP. CONSTRUCCIONES</t>
        </is>
      </c>
      <c r="K2248" s="232" t="inlineStr">
        <is>
          <t>MANTENCION INFRAESTRUCTURA</t>
        </is>
      </c>
      <c r="L2248" s="232" t="inlineStr">
        <is>
          <t>[PRORRATEO 9.7% 14.4há/148.3há] O/001401 TERMINAL H</t>
        </is>
      </c>
      <c r="M2248" s="232" t="inlineStr"/>
      <c r="N2248" s="232" t="inlineStr">
        <is>
          <t>.   .   -</t>
        </is>
      </c>
      <c r="O2248" s="232" t="inlineStr">
        <is>
          <t>FEBRERO</t>
        </is>
      </c>
      <c r="P2248" s="232" t="n">
        <v>7</v>
      </c>
      <c r="Q2248" s="234" t="n">
        <v>11</v>
      </c>
      <c r="R2248" s="232" t="inlineStr"/>
      <c r="S2248" s="234" t="n">
        <v>11</v>
      </c>
      <c r="T2248" s="232" t="inlineStr">
        <is>
          <t>CLP</t>
        </is>
      </c>
      <c r="U2248" s="232" t="inlineStr">
        <is>
          <t>Prorrateo Ha BODEGA</t>
        </is>
      </c>
      <c r="V2248" s="232" t="inlineStr">
        <is>
          <t>2026-06-18</t>
        </is>
      </c>
    </row>
    <row r="2249">
      <c r="A2249" s="232" t="inlineStr">
        <is>
          <t>CR-2246</t>
        </is>
      </c>
      <c r="B2249" s="232" t="inlineStr">
        <is>
          <t>2026/27</t>
        </is>
      </c>
      <c r="C2249" s="233" t="n">
        <v>46071</v>
      </c>
      <c r="D2249" s="232" t="inlineStr">
        <is>
          <t>68895</t>
        </is>
      </c>
      <c r="E2249" s="232" t="inlineStr">
        <is>
          <t>PRORRATEO</t>
        </is>
      </c>
      <c r="F2249" s="232" t="inlineStr">
        <is>
          <t>Santa Catalina</t>
        </is>
      </c>
      <c r="G2249" s="232" t="inlineStr">
        <is>
          <t>eureka 22,55</t>
        </is>
      </c>
      <c r="H2249" s="232" t="inlineStr">
        <is>
          <t>Limon</t>
        </is>
      </c>
      <c r="I2249" s="232" t="inlineStr">
        <is>
          <t>Eureka</t>
        </is>
      </c>
      <c r="J2249" s="232" t="inlineStr">
        <is>
          <t>MANT. Y REP. CONSTRUCCIONES</t>
        </is>
      </c>
      <c r="K2249" s="232" t="inlineStr">
        <is>
          <t>MANTENCION INFRAESTRUCTURA</t>
        </is>
      </c>
      <c r="L2249" s="232" t="inlineStr">
        <is>
          <t>[PRORRATEO 15.2% 22.55há/148.3há] O/001401 TERMINAL H</t>
        </is>
      </c>
      <c r="M2249" s="232" t="inlineStr"/>
      <c r="N2249" s="232" t="inlineStr">
        <is>
          <t>.   .   -</t>
        </is>
      </c>
      <c r="O2249" s="232" t="inlineStr">
        <is>
          <t>FEBRERO</t>
        </is>
      </c>
      <c r="P2249" s="232" t="n">
        <v>7</v>
      </c>
      <c r="Q2249" s="234" t="n">
        <v>18</v>
      </c>
      <c r="R2249" s="232" t="inlineStr"/>
      <c r="S2249" s="234" t="n">
        <v>18</v>
      </c>
      <c r="T2249" s="232" t="inlineStr">
        <is>
          <t>CLP</t>
        </is>
      </c>
      <c r="U2249" s="232" t="inlineStr">
        <is>
          <t>Prorrateo Ha BODEGA</t>
        </is>
      </c>
      <c r="V2249" s="232" t="inlineStr">
        <is>
          <t>2026-06-18</t>
        </is>
      </c>
    </row>
    <row r="2250">
      <c r="A2250" s="232" t="inlineStr">
        <is>
          <t>CR-2247</t>
        </is>
      </c>
      <c r="B2250" s="232" t="inlineStr">
        <is>
          <t>2026/27</t>
        </is>
      </c>
      <c r="C2250" s="233" t="n">
        <v>46071</v>
      </c>
      <c r="D2250" s="232" t="inlineStr">
        <is>
          <t>68895</t>
        </is>
      </c>
      <c r="E2250" s="232" t="inlineStr">
        <is>
          <t>PRORRATEO</t>
        </is>
      </c>
      <c r="F2250" s="232" t="inlineStr">
        <is>
          <t>Santa Catalina</t>
        </is>
      </c>
      <c r="G2250" s="232" t="inlineStr">
        <is>
          <t>form benjamin 1,93 ha</t>
        </is>
      </c>
      <c r="H2250" s="232" t="inlineStr">
        <is>
          <t>Limon</t>
        </is>
      </c>
      <c r="I2250" s="232" t="inlineStr">
        <is>
          <t>Benjamin andes</t>
        </is>
      </c>
      <c r="J2250" s="232" t="inlineStr">
        <is>
          <t>MANT. Y REP. CONSTRUCCIONES</t>
        </is>
      </c>
      <c r="K2250" s="232" t="inlineStr">
        <is>
          <t>MANTENCION INFRAESTRUCTURA</t>
        </is>
      </c>
      <c r="L2250" s="232" t="inlineStr">
        <is>
          <t>[PRORRATEO 1.3% 1.93há/148.3há] O/001401 TERMINAL H</t>
        </is>
      </c>
      <c r="M2250" s="232" t="inlineStr"/>
      <c r="N2250" s="232" t="inlineStr">
        <is>
          <t>.   .   -</t>
        </is>
      </c>
      <c r="O2250" s="232" t="inlineStr">
        <is>
          <t>FEBRERO</t>
        </is>
      </c>
      <c r="P2250" s="232" t="n">
        <v>7</v>
      </c>
      <c r="Q2250" s="234" t="n">
        <v>2</v>
      </c>
      <c r="R2250" s="232" t="inlineStr"/>
      <c r="S2250" s="234" t="n">
        <v>2</v>
      </c>
      <c r="T2250" s="232" t="inlineStr">
        <is>
          <t>CLP</t>
        </is>
      </c>
      <c r="U2250" s="232" t="inlineStr">
        <is>
          <t>Prorrateo Ha BODEGA</t>
        </is>
      </c>
      <c r="V2250" s="232" t="inlineStr">
        <is>
          <t>2026-06-18</t>
        </is>
      </c>
    </row>
    <row r="2251">
      <c r="A2251" s="232" t="inlineStr">
        <is>
          <t>CR-2248</t>
        </is>
      </c>
      <c r="B2251" s="232" t="inlineStr">
        <is>
          <t>2026/27</t>
        </is>
      </c>
      <c r="C2251" s="233" t="n">
        <v>46071</v>
      </c>
      <c r="D2251" s="232" t="inlineStr">
        <is>
          <t>68895</t>
        </is>
      </c>
      <c r="E2251" s="232" t="inlineStr">
        <is>
          <t>PRORRATEO</t>
        </is>
      </c>
      <c r="F2251" s="232" t="inlineStr">
        <is>
          <t>Santa Catalina</t>
        </is>
      </c>
      <c r="G2251" s="232" t="inlineStr">
        <is>
          <t>mant eureka 2,5 ha</t>
        </is>
      </c>
      <c r="H2251" s="232" t="inlineStr">
        <is>
          <t>Limon</t>
        </is>
      </c>
      <c r="I2251" s="232" t="inlineStr">
        <is>
          <t>Eureka</t>
        </is>
      </c>
      <c r="J2251" s="232" t="inlineStr">
        <is>
          <t>MANT. Y REP. CONSTRUCCIONES</t>
        </is>
      </c>
      <c r="K2251" s="232" t="inlineStr">
        <is>
          <t>MANTENCION INFRAESTRUCTURA</t>
        </is>
      </c>
      <c r="L2251" s="232" t="inlineStr">
        <is>
          <t>[PRORRATEO 1.7% 2.5há/148.3há] O/001401 TERMINAL H</t>
        </is>
      </c>
      <c r="M2251" s="232" t="inlineStr"/>
      <c r="N2251" s="232" t="inlineStr">
        <is>
          <t>.   .   -</t>
        </is>
      </c>
      <c r="O2251" s="232" t="inlineStr">
        <is>
          <t>FEBRERO</t>
        </is>
      </c>
      <c r="P2251" s="232" t="n">
        <v>7</v>
      </c>
      <c r="Q2251" s="234" t="n">
        <v>2</v>
      </c>
      <c r="R2251" s="232" t="inlineStr"/>
      <c r="S2251" s="234" t="n">
        <v>2</v>
      </c>
      <c r="T2251" s="232" t="inlineStr">
        <is>
          <t>CLP</t>
        </is>
      </c>
      <c r="U2251" s="232" t="inlineStr">
        <is>
          <t>Prorrateo Ha BODEGA</t>
        </is>
      </c>
      <c r="V2251" s="232" t="inlineStr">
        <is>
          <t>2026-06-18</t>
        </is>
      </c>
    </row>
    <row r="2252">
      <c r="A2252" s="232" t="inlineStr">
        <is>
          <t>CR-2249</t>
        </is>
      </c>
      <c r="B2252" s="232" t="inlineStr">
        <is>
          <t>2026/27</t>
        </is>
      </c>
      <c r="C2252" s="233" t="n">
        <v>46071</v>
      </c>
      <c r="D2252" s="232" t="inlineStr">
        <is>
          <t>68895</t>
        </is>
      </c>
      <c r="E2252" s="232" t="inlineStr">
        <is>
          <t>PRORRATEO</t>
        </is>
      </c>
      <c r="F2252" s="232" t="inlineStr">
        <is>
          <t>Siberia</t>
        </is>
      </c>
      <c r="G2252" s="232" t="inlineStr">
        <is>
          <t>S. Celebration 7,14</t>
        </is>
      </c>
      <c r="H2252" s="232" t="inlineStr">
        <is>
          <t>Uvas</t>
        </is>
      </c>
      <c r="I2252" s="232" t="inlineStr">
        <is>
          <t>S. celebration</t>
        </is>
      </c>
      <c r="J2252" s="232" t="inlineStr">
        <is>
          <t>MANT. Y REP. CONSTRUCCIONES</t>
        </is>
      </c>
      <c r="K2252" s="232" t="inlineStr">
        <is>
          <t>MANTENCION INFRAESTRUCTURA</t>
        </is>
      </c>
      <c r="L2252" s="232" t="inlineStr">
        <is>
          <t>[PRORRATEO 4.8% 7.14há/148.3há] O/001401 TERMINAL H</t>
        </is>
      </c>
      <c r="M2252" s="232" t="inlineStr"/>
      <c r="N2252" s="232" t="inlineStr">
        <is>
          <t>.   .   -</t>
        </is>
      </c>
      <c r="O2252" s="232" t="inlineStr">
        <is>
          <t>FEBRERO</t>
        </is>
      </c>
      <c r="P2252" s="232" t="n">
        <v>7</v>
      </c>
      <c r="Q2252" s="234" t="n">
        <v>6</v>
      </c>
      <c r="R2252" s="232" t="inlineStr"/>
      <c r="S2252" s="234" t="n">
        <v>6</v>
      </c>
      <c r="T2252" s="232" t="inlineStr">
        <is>
          <t>CLP</t>
        </is>
      </c>
      <c r="U2252" s="232" t="inlineStr">
        <is>
          <t>Prorrateo Ha BODEGA</t>
        </is>
      </c>
      <c r="V2252" s="232" t="inlineStr">
        <is>
          <t>2026-06-18</t>
        </is>
      </c>
    </row>
    <row r="2253">
      <c r="A2253" s="232" t="inlineStr">
        <is>
          <t>CR-2250</t>
        </is>
      </c>
      <c r="B2253" s="232" t="inlineStr">
        <is>
          <t>2026/27</t>
        </is>
      </c>
      <c r="C2253" s="233" t="n">
        <v>46071</v>
      </c>
      <c r="D2253" s="232" t="inlineStr">
        <is>
          <t>68895</t>
        </is>
      </c>
      <c r="E2253" s="232" t="inlineStr">
        <is>
          <t>PRORRATEO</t>
        </is>
      </c>
      <c r="F2253" s="232" t="inlineStr">
        <is>
          <t>Siberia</t>
        </is>
      </c>
      <c r="G2253" s="232" t="inlineStr">
        <is>
          <t>Timpson 7,1</t>
        </is>
      </c>
      <c r="H2253" s="232" t="inlineStr">
        <is>
          <t>Uvas</t>
        </is>
      </c>
      <c r="I2253" s="232" t="inlineStr">
        <is>
          <t>Timpson</t>
        </is>
      </c>
      <c r="J2253" s="232" t="inlineStr">
        <is>
          <t>MANT. Y REP. CONSTRUCCIONES</t>
        </is>
      </c>
      <c r="K2253" s="232" t="inlineStr">
        <is>
          <t>MANTENCION INFRAESTRUCTURA</t>
        </is>
      </c>
      <c r="L2253" s="232" t="inlineStr">
        <is>
          <t>[PRORRATEO 4.8% 7.1há/148.3há] O/001401 TERMINAL H</t>
        </is>
      </c>
      <c r="M2253" s="232" t="inlineStr"/>
      <c r="N2253" s="232" t="inlineStr">
        <is>
          <t>.   .   -</t>
        </is>
      </c>
      <c r="O2253" s="232" t="inlineStr">
        <is>
          <t>FEBRERO</t>
        </is>
      </c>
      <c r="P2253" s="232" t="n">
        <v>7</v>
      </c>
      <c r="Q2253" s="234" t="n">
        <v>6</v>
      </c>
      <c r="R2253" s="232" t="inlineStr"/>
      <c r="S2253" s="234" t="n">
        <v>6</v>
      </c>
      <c r="T2253" s="232" t="inlineStr">
        <is>
          <t>CLP</t>
        </is>
      </c>
      <c r="U2253" s="232" t="inlineStr">
        <is>
          <t>Prorrateo Ha BODEGA</t>
        </is>
      </c>
      <c r="V2253" s="232" t="inlineStr">
        <is>
          <t>2026-06-18</t>
        </is>
      </c>
    </row>
    <row r="2254">
      <c r="A2254" s="232" t="inlineStr">
        <is>
          <t>CR-2251</t>
        </is>
      </c>
      <c r="B2254" s="232" t="inlineStr">
        <is>
          <t>2026/27</t>
        </is>
      </c>
      <c r="C2254" s="233" t="n">
        <v>46071</v>
      </c>
      <c r="D2254" s="232" t="inlineStr">
        <is>
          <t>68895</t>
        </is>
      </c>
      <c r="E2254" s="232" t="inlineStr">
        <is>
          <t>PRORRATEO</t>
        </is>
      </c>
      <c r="F2254" s="232" t="inlineStr">
        <is>
          <t>Asmara</t>
        </is>
      </c>
      <c r="G2254" s="232" t="inlineStr">
        <is>
          <t>w. murcott 19,8 ha</t>
        </is>
      </c>
      <c r="H2254" s="232" t="inlineStr">
        <is>
          <t>Mandarina</t>
        </is>
      </c>
      <c r="I2254" s="232" t="inlineStr">
        <is>
          <t>W. murcott</t>
        </is>
      </c>
      <c r="J2254" s="232" t="inlineStr">
        <is>
          <t>MANT. Y REP. CONSTRUCCIONES</t>
        </is>
      </c>
      <c r="K2254" s="232" t="inlineStr">
        <is>
          <t>MANTENCION INFRAESTRUCTURA</t>
        </is>
      </c>
      <c r="L2254" s="232" t="inlineStr">
        <is>
          <t>[PRORRATEO 13.4% 19.8há/148.3há] O/001401 TOR.VOLC.H</t>
        </is>
      </c>
      <c r="M2254" s="232" t="inlineStr"/>
      <c r="N2254" s="232" t="inlineStr">
        <is>
          <t>.   .   -</t>
        </is>
      </c>
      <c r="O2254" s="232" t="inlineStr">
        <is>
          <t>FEBRERO</t>
        </is>
      </c>
      <c r="P2254" s="232" t="n">
        <v>7</v>
      </c>
      <c r="Q2254" s="234" t="n">
        <v>668</v>
      </c>
      <c r="R2254" s="232" t="inlineStr"/>
      <c r="S2254" s="234" t="n">
        <v>668</v>
      </c>
      <c r="T2254" s="232" t="inlineStr">
        <is>
          <t>CLP</t>
        </is>
      </c>
      <c r="U2254" s="232" t="inlineStr">
        <is>
          <t>Prorrateo Ha BODEGA</t>
        </is>
      </c>
      <c r="V2254" s="232" t="inlineStr">
        <is>
          <t>2026-06-18</t>
        </is>
      </c>
    </row>
    <row r="2255">
      <c r="A2255" s="232" t="inlineStr">
        <is>
          <t>CR-2252</t>
        </is>
      </c>
      <c r="B2255" s="232" t="inlineStr">
        <is>
          <t>2026/27</t>
        </is>
      </c>
      <c r="C2255" s="233" t="n">
        <v>46071</v>
      </c>
      <c r="D2255" s="232" t="inlineStr">
        <is>
          <t>68895</t>
        </is>
      </c>
      <c r="E2255" s="232" t="inlineStr">
        <is>
          <t>PRORRATEO</t>
        </is>
      </c>
      <c r="F2255" s="232" t="inlineStr">
        <is>
          <t>Asmara</t>
        </is>
      </c>
      <c r="G2255" s="232" t="inlineStr">
        <is>
          <t>w. murcott 4,9 ha</t>
        </is>
      </c>
      <c r="H2255" s="232" t="inlineStr">
        <is>
          <t>Mandarina</t>
        </is>
      </c>
      <c r="I2255" s="232" t="inlineStr">
        <is>
          <t>W. murcott</t>
        </is>
      </c>
      <c r="J2255" s="232" t="inlineStr">
        <is>
          <t>MANT. Y REP. CONSTRUCCIONES</t>
        </is>
      </c>
      <c r="K2255" s="232" t="inlineStr">
        <is>
          <t>MANTENCION INFRAESTRUCTURA</t>
        </is>
      </c>
      <c r="L2255" s="232" t="inlineStr">
        <is>
          <t>[PRORRATEO 3.3% 4.9há/148.3há] O/001401 TOR.VOLC.H</t>
        </is>
      </c>
      <c r="M2255" s="232" t="inlineStr"/>
      <c r="N2255" s="232" t="inlineStr">
        <is>
          <t>.   .   -</t>
        </is>
      </c>
      <c r="O2255" s="232" t="inlineStr">
        <is>
          <t>FEBRERO</t>
        </is>
      </c>
      <c r="P2255" s="232" t="n">
        <v>7</v>
      </c>
      <c r="Q2255" s="234" t="n">
        <v>165</v>
      </c>
      <c r="R2255" s="232" t="inlineStr"/>
      <c r="S2255" s="234" t="n">
        <v>165</v>
      </c>
      <c r="T2255" s="232" t="inlineStr">
        <is>
          <t>CLP</t>
        </is>
      </c>
      <c r="U2255" s="232" t="inlineStr">
        <is>
          <t>Prorrateo Ha BODEGA</t>
        </is>
      </c>
      <c r="V2255" s="232" t="inlineStr">
        <is>
          <t>2026-06-18</t>
        </is>
      </c>
    </row>
    <row r="2256">
      <c r="A2256" s="232" t="inlineStr">
        <is>
          <t>CR-2253</t>
        </is>
      </c>
      <c r="B2256" s="232" t="inlineStr">
        <is>
          <t>2026/27</t>
        </is>
      </c>
      <c r="C2256" s="233" t="n">
        <v>46071</v>
      </c>
      <c r="D2256" s="232" t="inlineStr">
        <is>
          <t>68895</t>
        </is>
      </c>
      <c r="E2256" s="232" t="inlineStr">
        <is>
          <t>PRORRATEO</t>
        </is>
      </c>
      <c r="F2256" s="232" t="inlineStr">
        <is>
          <t>El Molle</t>
        </is>
      </c>
      <c r="G2256" s="232" t="inlineStr">
        <is>
          <t>Wonderful 5,25 ha</t>
        </is>
      </c>
      <c r="H2256" s="232" t="inlineStr">
        <is>
          <t>Granados</t>
        </is>
      </c>
      <c r="I2256" s="232" t="inlineStr">
        <is>
          <t>Wonderfull</t>
        </is>
      </c>
      <c r="J2256" s="232" t="inlineStr">
        <is>
          <t>MANT. Y REP. CONSTRUCCIONES</t>
        </is>
      </c>
      <c r="K2256" s="232" t="inlineStr">
        <is>
          <t>MANTENCION INFRAESTRUCTURA</t>
        </is>
      </c>
      <c r="L2256" s="232" t="inlineStr">
        <is>
          <t>[PRORRATEO 3.5% 5.24há/148.3há] O/001401 TOR.VOLC.H</t>
        </is>
      </c>
      <c r="M2256" s="232" t="inlineStr"/>
      <c r="N2256" s="232" t="inlineStr">
        <is>
          <t>.   .   -</t>
        </is>
      </c>
      <c r="O2256" s="232" t="inlineStr">
        <is>
          <t>FEBRERO</t>
        </is>
      </c>
      <c r="P2256" s="232" t="n">
        <v>7</v>
      </c>
      <c r="Q2256" s="234" t="n">
        <v>177</v>
      </c>
      <c r="R2256" s="232" t="inlineStr"/>
      <c r="S2256" s="234" t="n">
        <v>177</v>
      </c>
      <c r="T2256" s="232" t="inlineStr">
        <is>
          <t>CLP</t>
        </is>
      </c>
      <c r="U2256" s="232" t="inlineStr">
        <is>
          <t>Prorrateo Ha BODEGA</t>
        </is>
      </c>
      <c r="V2256" s="232" t="inlineStr">
        <is>
          <t>2026-06-18</t>
        </is>
      </c>
    </row>
    <row r="2257">
      <c r="A2257" s="232" t="inlineStr">
        <is>
          <t>CR-2254</t>
        </is>
      </c>
      <c r="B2257" s="232" t="inlineStr">
        <is>
          <t>2026/27</t>
        </is>
      </c>
      <c r="C2257" s="233" t="n">
        <v>46071</v>
      </c>
      <c r="D2257" s="232" t="inlineStr">
        <is>
          <t>68895</t>
        </is>
      </c>
      <c r="E2257" s="232" t="inlineStr">
        <is>
          <t>PRORRATEO</t>
        </is>
      </c>
      <c r="F2257" s="232" t="inlineStr">
        <is>
          <t>El Molle</t>
        </is>
      </c>
      <c r="G2257" s="232" t="inlineStr">
        <is>
          <t>arrufatinas 5,74 ha</t>
        </is>
      </c>
      <c r="H2257" s="232" t="inlineStr">
        <is>
          <t>Clementinas</t>
        </is>
      </c>
      <c r="I2257" s="232" t="inlineStr">
        <is>
          <t>Arrufatinas</t>
        </is>
      </c>
      <c r="J2257" s="232" t="inlineStr">
        <is>
          <t>MANT. Y REP. CONSTRUCCIONES</t>
        </is>
      </c>
      <c r="K2257" s="232" t="inlineStr">
        <is>
          <t>MANTENCION INFRAESTRUCTURA</t>
        </is>
      </c>
      <c r="L2257" s="232" t="inlineStr">
        <is>
          <t>[PRORRATEO 3.9% 5.74há/148.3há] O/001401 TOR.VOLC.H</t>
        </is>
      </c>
      <c r="M2257" s="232" t="inlineStr"/>
      <c r="N2257" s="232" t="inlineStr">
        <is>
          <t>.   .   -</t>
        </is>
      </c>
      <c r="O2257" s="232" t="inlineStr">
        <is>
          <t>FEBRERO</t>
        </is>
      </c>
      <c r="P2257" s="232" t="n">
        <v>7</v>
      </c>
      <c r="Q2257" s="234" t="n">
        <v>194</v>
      </c>
      <c r="R2257" s="232" t="inlineStr"/>
      <c r="S2257" s="234" t="n">
        <v>194</v>
      </c>
      <c r="T2257" s="232" t="inlineStr">
        <is>
          <t>CLP</t>
        </is>
      </c>
      <c r="U2257" s="232" t="inlineStr">
        <is>
          <t>Prorrateo Ha BODEGA</t>
        </is>
      </c>
      <c r="V2257" s="232" t="inlineStr">
        <is>
          <t>2026-06-18</t>
        </is>
      </c>
    </row>
    <row r="2258">
      <c r="A2258" s="232" t="inlineStr">
        <is>
          <t>CR-2255</t>
        </is>
      </c>
      <c r="B2258" s="232" t="inlineStr">
        <is>
          <t>2026/27</t>
        </is>
      </c>
      <c r="C2258" s="233" t="n">
        <v>46071</v>
      </c>
      <c r="D2258" s="232" t="inlineStr">
        <is>
          <t>68895</t>
        </is>
      </c>
      <c r="E2258" s="232" t="inlineStr">
        <is>
          <t>PRORRATEO</t>
        </is>
      </c>
      <c r="F2258" s="232" t="inlineStr">
        <is>
          <t>El Molle</t>
        </is>
      </c>
      <c r="G2258" s="232" t="inlineStr">
        <is>
          <t>orogrande 8,11 ha</t>
        </is>
      </c>
      <c r="H2258" s="232" t="inlineStr">
        <is>
          <t>Clementinas</t>
        </is>
      </c>
      <c r="I2258" s="232" t="inlineStr">
        <is>
          <t>Orogrande</t>
        </is>
      </c>
      <c r="J2258" s="232" t="inlineStr">
        <is>
          <t>MANT. Y REP. CONSTRUCCIONES</t>
        </is>
      </c>
      <c r="K2258" s="232" t="inlineStr">
        <is>
          <t>MANTENCION INFRAESTRUCTURA</t>
        </is>
      </c>
      <c r="L2258" s="232" t="inlineStr">
        <is>
          <t>[PRORRATEO 5.5% 8.11há/148.3há] O/001401 TOR.VOLC.H</t>
        </is>
      </c>
      <c r="M2258" s="232" t="inlineStr"/>
      <c r="N2258" s="232" t="inlineStr">
        <is>
          <t>.   .   -</t>
        </is>
      </c>
      <c r="O2258" s="232" t="inlineStr">
        <is>
          <t>FEBRERO</t>
        </is>
      </c>
      <c r="P2258" s="232" t="n">
        <v>7</v>
      </c>
      <c r="Q2258" s="234" t="n">
        <v>274</v>
      </c>
      <c r="R2258" s="232" t="inlineStr"/>
      <c r="S2258" s="234" t="n">
        <v>274</v>
      </c>
      <c r="T2258" s="232" t="inlineStr">
        <is>
          <t>CLP</t>
        </is>
      </c>
      <c r="U2258" s="232" t="inlineStr">
        <is>
          <t>Prorrateo Ha BODEGA</t>
        </is>
      </c>
      <c r="V2258" s="232" t="inlineStr">
        <is>
          <t>2026-06-18</t>
        </is>
      </c>
    </row>
    <row r="2259">
      <c r="A2259" s="232" t="inlineStr">
        <is>
          <t>CR-2256</t>
        </is>
      </c>
      <c r="B2259" s="232" t="inlineStr">
        <is>
          <t>2026/27</t>
        </is>
      </c>
      <c r="C2259" s="233" t="n">
        <v>46071</v>
      </c>
      <c r="D2259" s="232" t="inlineStr">
        <is>
          <t>68895</t>
        </is>
      </c>
      <c r="E2259" s="232" t="inlineStr">
        <is>
          <t>PRORRATEO</t>
        </is>
      </c>
      <c r="F2259" s="232" t="inlineStr">
        <is>
          <t>El Molle</t>
        </is>
      </c>
      <c r="G2259" s="232" t="inlineStr">
        <is>
          <t>oronules 5,35 ha</t>
        </is>
      </c>
      <c r="H2259" s="232" t="inlineStr">
        <is>
          <t>Clementinas</t>
        </is>
      </c>
      <c r="I2259" s="232" t="inlineStr">
        <is>
          <t>Oronules</t>
        </is>
      </c>
      <c r="J2259" s="232" t="inlineStr">
        <is>
          <t>MANT. Y REP. CONSTRUCCIONES</t>
        </is>
      </c>
      <c r="K2259" s="232" t="inlineStr">
        <is>
          <t>MANTENCION INFRAESTRUCTURA</t>
        </is>
      </c>
      <c r="L2259" s="232" t="inlineStr">
        <is>
          <t>[PRORRATEO 3.6% 5.35há/148.3há] O/001401 TOR.VOLC.H</t>
        </is>
      </c>
      <c r="M2259" s="232" t="inlineStr"/>
      <c r="N2259" s="232" t="inlineStr">
        <is>
          <t>.   .   -</t>
        </is>
      </c>
      <c r="O2259" s="232" t="inlineStr">
        <is>
          <t>FEBRERO</t>
        </is>
      </c>
      <c r="P2259" s="232" t="n">
        <v>7</v>
      </c>
      <c r="Q2259" s="234" t="n">
        <v>180</v>
      </c>
      <c r="R2259" s="232" t="inlineStr"/>
      <c r="S2259" s="234" t="n">
        <v>180</v>
      </c>
      <c r="T2259" s="232" t="inlineStr">
        <is>
          <t>CLP</t>
        </is>
      </c>
      <c r="U2259" s="232" t="inlineStr">
        <is>
          <t>Prorrateo Ha BODEGA</t>
        </is>
      </c>
      <c r="V2259" s="232" t="inlineStr">
        <is>
          <t>2026-06-18</t>
        </is>
      </c>
    </row>
    <row r="2260">
      <c r="A2260" s="232" t="inlineStr">
        <is>
          <t>CR-2257</t>
        </is>
      </c>
      <c r="B2260" s="232" t="inlineStr">
        <is>
          <t>2026/27</t>
        </is>
      </c>
      <c r="C2260" s="233" t="n">
        <v>46071</v>
      </c>
      <c r="D2260" s="232" t="inlineStr">
        <is>
          <t>68895</t>
        </is>
      </c>
      <c r="E2260" s="232" t="inlineStr">
        <is>
          <t>PRORRATEO</t>
        </is>
      </c>
      <c r="F2260" s="232" t="inlineStr">
        <is>
          <t>Santa Catalina</t>
        </is>
      </c>
      <c r="G2260" s="232" t="inlineStr">
        <is>
          <t>Fino 49 7,7 ha</t>
        </is>
      </c>
      <c r="H2260" s="232" t="inlineStr">
        <is>
          <t>Limon</t>
        </is>
      </c>
      <c r="I2260" s="232" t="inlineStr">
        <is>
          <t>Fino 49</t>
        </is>
      </c>
      <c r="J2260" s="232" t="inlineStr">
        <is>
          <t>MANT. Y REP. CONSTRUCCIONES</t>
        </is>
      </c>
      <c r="K2260" s="232" t="inlineStr">
        <is>
          <t>MANTENCION INFRAESTRUCTURA</t>
        </is>
      </c>
      <c r="L2260" s="232" t="inlineStr">
        <is>
          <t>[PRORRATEO 5.2% 7.7há/148.3há] O/001401 TOR.VOLC.H</t>
        </is>
      </c>
      <c r="M2260" s="232" t="inlineStr"/>
      <c r="N2260" s="232" t="inlineStr">
        <is>
          <t>.   .   -</t>
        </is>
      </c>
      <c r="O2260" s="232" t="inlineStr">
        <is>
          <t>FEBRERO</t>
        </is>
      </c>
      <c r="P2260" s="232" t="n">
        <v>7</v>
      </c>
      <c r="Q2260" s="234" t="n">
        <v>260</v>
      </c>
      <c r="R2260" s="232" t="inlineStr"/>
      <c r="S2260" s="234" t="n">
        <v>260</v>
      </c>
      <c r="T2260" s="232" t="inlineStr">
        <is>
          <t>CLP</t>
        </is>
      </c>
      <c r="U2260" s="232" t="inlineStr">
        <is>
          <t>Prorrateo Ha BODEGA</t>
        </is>
      </c>
      <c r="V2260" s="232" t="inlineStr">
        <is>
          <t>2026-06-18</t>
        </is>
      </c>
    </row>
    <row r="2261">
      <c r="A2261" s="232" t="inlineStr">
        <is>
          <t>CR-2258</t>
        </is>
      </c>
      <c r="B2261" s="232" t="inlineStr">
        <is>
          <t>2026/27</t>
        </is>
      </c>
      <c r="C2261" s="233" t="n">
        <v>46071</v>
      </c>
      <c r="D2261" s="232" t="inlineStr">
        <is>
          <t>68895</t>
        </is>
      </c>
      <c r="E2261" s="232" t="inlineStr">
        <is>
          <t>PRORRATEO</t>
        </is>
      </c>
      <c r="F2261" s="232" t="inlineStr">
        <is>
          <t>Santa Catalina</t>
        </is>
      </c>
      <c r="G2261" s="232" t="inlineStr">
        <is>
          <t>W. murcott 21 ha</t>
        </is>
      </c>
      <c r="H2261" s="232" t="inlineStr">
        <is>
          <t>Mandarina</t>
        </is>
      </c>
      <c r="I2261" s="232" t="inlineStr">
        <is>
          <t>W. murcott</t>
        </is>
      </c>
      <c r="J2261" s="232" t="inlineStr">
        <is>
          <t>MANT. Y REP. CONSTRUCCIONES</t>
        </is>
      </c>
      <c r="K2261" s="232" t="inlineStr">
        <is>
          <t>MANTENCION INFRAESTRUCTURA</t>
        </is>
      </c>
      <c r="L2261" s="232" t="inlineStr">
        <is>
          <t>[PRORRATEO 14.2% 21.0há/148.3há] O/001401 TOR.VOLC.H</t>
        </is>
      </c>
      <c r="M2261" s="232" t="inlineStr"/>
      <c r="N2261" s="232" t="inlineStr">
        <is>
          <t>.   .   -</t>
        </is>
      </c>
      <c r="O2261" s="232" t="inlineStr">
        <is>
          <t>FEBRERO</t>
        </is>
      </c>
      <c r="P2261" s="232" t="n">
        <v>7</v>
      </c>
      <c r="Q2261" s="234" t="n">
        <v>708</v>
      </c>
      <c r="R2261" s="232" t="inlineStr"/>
      <c r="S2261" s="234" t="n">
        <v>708</v>
      </c>
      <c r="T2261" s="232" t="inlineStr">
        <is>
          <t>CLP</t>
        </is>
      </c>
      <c r="U2261" s="232" t="inlineStr">
        <is>
          <t>Prorrateo Ha BODEGA</t>
        </is>
      </c>
      <c r="V2261" s="232" t="inlineStr">
        <is>
          <t>2026-06-18</t>
        </is>
      </c>
    </row>
    <row r="2262">
      <c r="A2262" s="232" t="inlineStr">
        <is>
          <t>CR-2259</t>
        </is>
      </c>
      <c r="B2262" s="232" t="inlineStr">
        <is>
          <t>2026/27</t>
        </is>
      </c>
      <c r="C2262" s="233" t="n">
        <v>46071</v>
      </c>
      <c r="D2262" s="232" t="inlineStr">
        <is>
          <t>68895</t>
        </is>
      </c>
      <c r="E2262" s="232" t="inlineStr">
        <is>
          <t>PRORRATEO</t>
        </is>
      </c>
      <c r="F2262" s="232" t="inlineStr">
        <is>
          <t>Santa Catalina</t>
        </is>
      </c>
      <c r="G2262" s="232" t="inlineStr">
        <is>
          <t>cambria 4,2 ha</t>
        </is>
      </c>
      <c r="H2262" s="232" t="inlineStr">
        <is>
          <t>Naranjas</t>
        </is>
      </c>
      <c r="I2262" s="232" t="inlineStr">
        <is>
          <t>Cambria</t>
        </is>
      </c>
      <c r="J2262" s="232" t="inlineStr">
        <is>
          <t>MANT. Y REP. CONSTRUCCIONES</t>
        </is>
      </c>
      <c r="K2262" s="232" t="inlineStr">
        <is>
          <t>MANTENCION INFRAESTRUCTURA</t>
        </is>
      </c>
      <c r="L2262" s="232" t="inlineStr">
        <is>
          <t>[PRORRATEO 2.8% 4.2há/148.3há] O/001401 TOR.VOLC.H</t>
        </is>
      </c>
      <c r="M2262" s="232" t="inlineStr"/>
      <c r="N2262" s="232" t="inlineStr">
        <is>
          <t>.   .   -</t>
        </is>
      </c>
      <c r="O2262" s="232" t="inlineStr">
        <is>
          <t>FEBRERO</t>
        </is>
      </c>
      <c r="P2262" s="232" t="n">
        <v>7</v>
      </c>
      <c r="Q2262" s="234" t="n">
        <v>142</v>
      </c>
      <c r="R2262" s="232" t="inlineStr"/>
      <c r="S2262" s="234" t="n">
        <v>142</v>
      </c>
      <c r="T2262" s="232" t="inlineStr">
        <is>
          <t>CLP</t>
        </is>
      </c>
      <c r="U2262" s="232" t="inlineStr">
        <is>
          <t>Prorrateo Ha BODEGA</t>
        </is>
      </c>
      <c r="V2262" s="232" t="inlineStr">
        <is>
          <t>2026-06-18</t>
        </is>
      </c>
    </row>
    <row r="2263">
      <c r="A2263" s="232" t="inlineStr">
        <is>
          <t>CR-2260</t>
        </is>
      </c>
      <c r="B2263" s="232" t="inlineStr">
        <is>
          <t>2026/27</t>
        </is>
      </c>
      <c r="C2263" s="233" t="n">
        <v>46071</v>
      </c>
      <c r="D2263" s="232" t="inlineStr">
        <is>
          <t>68895</t>
        </is>
      </c>
      <c r="E2263" s="232" t="inlineStr">
        <is>
          <t>PRORRATEO</t>
        </is>
      </c>
      <c r="F2263" s="232" t="inlineStr">
        <is>
          <t>Santa Catalina</t>
        </is>
      </c>
      <c r="G2263" s="232" t="inlineStr">
        <is>
          <t>eureka 10,6 ha</t>
        </is>
      </c>
      <c r="H2263" s="232" t="inlineStr">
        <is>
          <t>Limon</t>
        </is>
      </c>
      <c r="I2263" s="232" t="inlineStr">
        <is>
          <t>Eureka</t>
        </is>
      </c>
      <c r="J2263" s="232" t="inlineStr">
        <is>
          <t>MANT. Y REP. CONSTRUCCIONES</t>
        </is>
      </c>
      <c r="K2263" s="232" t="inlineStr">
        <is>
          <t>MANTENCION INFRAESTRUCTURA</t>
        </is>
      </c>
      <c r="L2263" s="232" t="inlineStr">
        <is>
          <t>[PRORRATEO 7.1% 10.6há/148.3há] O/001401 TOR.VOLC.H</t>
        </is>
      </c>
      <c r="M2263" s="232" t="inlineStr"/>
      <c r="N2263" s="232" t="inlineStr">
        <is>
          <t>.   .   -</t>
        </is>
      </c>
      <c r="O2263" s="232" t="inlineStr">
        <is>
          <t>FEBRERO</t>
        </is>
      </c>
      <c r="P2263" s="232" t="n">
        <v>7</v>
      </c>
      <c r="Q2263" s="234" t="n">
        <v>357</v>
      </c>
      <c r="R2263" s="232" t="inlineStr"/>
      <c r="S2263" s="234" t="n">
        <v>357</v>
      </c>
      <c r="T2263" s="232" t="inlineStr">
        <is>
          <t>CLP</t>
        </is>
      </c>
      <c r="U2263" s="232" t="inlineStr">
        <is>
          <t>Prorrateo Ha BODEGA</t>
        </is>
      </c>
      <c r="V2263" s="232" t="inlineStr">
        <is>
          <t>2026-06-18</t>
        </is>
      </c>
    </row>
    <row r="2264">
      <c r="A2264" s="232" t="inlineStr">
        <is>
          <t>CR-2261</t>
        </is>
      </c>
      <c r="B2264" s="232" t="inlineStr">
        <is>
          <t>2026/27</t>
        </is>
      </c>
      <c r="C2264" s="233" t="n">
        <v>46071</v>
      </c>
      <c r="D2264" s="232" t="inlineStr">
        <is>
          <t>68895</t>
        </is>
      </c>
      <c r="E2264" s="232" t="inlineStr">
        <is>
          <t>PRORRATEO</t>
        </is>
      </c>
      <c r="F2264" s="232" t="inlineStr">
        <is>
          <t>Santa Catalina</t>
        </is>
      </c>
      <c r="G2264" s="232" t="inlineStr">
        <is>
          <t>eureka 14,4 ha</t>
        </is>
      </c>
      <c r="H2264" s="232" t="inlineStr">
        <is>
          <t>Limon</t>
        </is>
      </c>
      <c r="I2264" s="232" t="inlineStr">
        <is>
          <t>Eureka</t>
        </is>
      </c>
      <c r="J2264" s="232" t="inlineStr">
        <is>
          <t>MANT. Y REP. CONSTRUCCIONES</t>
        </is>
      </c>
      <c r="K2264" s="232" t="inlineStr">
        <is>
          <t>MANTENCION INFRAESTRUCTURA</t>
        </is>
      </c>
      <c r="L2264" s="232" t="inlineStr">
        <is>
          <t>[PRORRATEO 9.7% 14.4há/148.3há] O/001401 TOR.VOLC.H</t>
        </is>
      </c>
      <c r="M2264" s="232" t="inlineStr"/>
      <c r="N2264" s="232" t="inlineStr">
        <is>
          <t>.   .   -</t>
        </is>
      </c>
      <c r="O2264" s="232" t="inlineStr">
        <is>
          <t>FEBRERO</t>
        </is>
      </c>
      <c r="P2264" s="232" t="n">
        <v>7</v>
      </c>
      <c r="Q2264" s="234" t="n">
        <v>486</v>
      </c>
      <c r="R2264" s="232" t="inlineStr"/>
      <c r="S2264" s="234" t="n">
        <v>486</v>
      </c>
      <c r="T2264" s="232" t="inlineStr">
        <is>
          <t>CLP</t>
        </is>
      </c>
      <c r="U2264" s="232" t="inlineStr">
        <is>
          <t>Prorrateo Ha BODEGA</t>
        </is>
      </c>
      <c r="V2264" s="232" t="inlineStr">
        <is>
          <t>2026-06-18</t>
        </is>
      </c>
    </row>
    <row r="2265">
      <c r="A2265" s="232" t="inlineStr">
        <is>
          <t>CR-2262</t>
        </is>
      </c>
      <c r="B2265" s="232" t="inlineStr">
        <is>
          <t>2026/27</t>
        </is>
      </c>
      <c r="C2265" s="233" t="n">
        <v>46071</v>
      </c>
      <c r="D2265" s="232" t="inlineStr">
        <is>
          <t>68895</t>
        </is>
      </c>
      <c r="E2265" s="232" t="inlineStr">
        <is>
          <t>PRORRATEO</t>
        </is>
      </c>
      <c r="F2265" s="232" t="inlineStr">
        <is>
          <t>Santa Catalina</t>
        </is>
      </c>
      <c r="G2265" s="232" t="inlineStr">
        <is>
          <t>eureka 22,55</t>
        </is>
      </c>
      <c r="H2265" s="232" t="inlineStr">
        <is>
          <t>Limon</t>
        </is>
      </c>
      <c r="I2265" s="232" t="inlineStr">
        <is>
          <t>Eureka</t>
        </is>
      </c>
      <c r="J2265" s="232" t="inlineStr">
        <is>
          <t>MANT. Y REP. CONSTRUCCIONES</t>
        </is>
      </c>
      <c r="K2265" s="232" t="inlineStr">
        <is>
          <t>MANTENCION INFRAESTRUCTURA</t>
        </is>
      </c>
      <c r="L2265" s="232" t="inlineStr">
        <is>
          <t>[PRORRATEO 15.2% 22.55há/148.3há] O/001401 TOR.VOLC.H</t>
        </is>
      </c>
      <c r="M2265" s="232" t="inlineStr"/>
      <c r="N2265" s="232" t="inlineStr">
        <is>
          <t>.   .   -</t>
        </is>
      </c>
      <c r="O2265" s="232" t="inlineStr">
        <is>
          <t>FEBRERO</t>
        </is>
      </c>
      <c r="P2265" s="232" t="n">
        <v>7</v>
      </c>
      <c r="Q2265" s="234" t="n">
        <v>760</v>
      </c>
      <c r="R2265" s="232" t="inlineStr"/>
      <c r="S2265" s="234" t="n">
        <v>760</v>
      </c>
      <c r="T2265" s="232" t="inlineStr">
        <is>
          <t>CLP</t>
        </is>
      </c>
      <c r="U2265" s="232" t="inlineStr">
        <is>
          <t>Prorrateo Ha BODEGA</t>
        </is>
      </c>
      <c r="V2265" s="232" t="inlineStr">
        <is>
          <t>2026-06-18</t>
        </is>
      </c>
    </row>
    <row r="2266">
      <c r="A2266" s="232" t="inlineStr">
        <is>
          <t>CR-2263</t>
        </is>
      </c>
      <c r="B2266" s="232" t="inlineStr">
        <is>
          <t>2026/27</t>
        </is>
      </c>
      <c r="C2266" s="233" t="n">
        <v>46071</v>
      </c>
      <c r="D2266" s="232" t="inlineStr">
        <is>
          <t>68895</t>
        </is>
      </c>
      <c r="E2266" s="232" t="inlineStr">
        <is>
          <t>PRORRATEO</t>
        </is>
      </c>
      <c r="F2266" s="232" t="inlineStr">
        <is>
          <t>Santa Catalina</t>
        </is>
      </c>
      <c r="G2266" s="232" t="inlineStr">
        <is>
          <t>form benjamin 1,93 ha</t>
        </is>
      </c>
      <c r="H2266" s="232" t="inlineStr">
        <is>
          <t>Limon</t>
        </is>
      </c>
      <c r="I2266" s="232" t="inlineStr">
        <is>
          <t>Benjamin andes</t>
        </is>
      </c>
      <c r="J2266" s="232" t="inlineStr">
        <is>
          <t>MANT. Y REP. CONSTRUCCIONES</t>
        </is>
      </c>
      <c r="K2266" s="232" t="inlineStr">
        <is>
          <t>MANTENCION INFRAESTRUCTURA</t>
        </is>
      </c>
      <c r="L2266" s="232" t="inlineStr">
        <is>
          <t>[PRORRATEO 1.3% 1.93há/148.3há] O/001401 TOR.VOLC.H</t>
        </is>
      </c>
      <c r="M2266" s="232" t="inlineStr"/>
      <c r="N2266" s="232" t="inlineStr">
        <is>
          <t>.   .   -</t>
        </is>
      </c>
      <c r="O2266" s="232" t="inlineStr">
        <is>
          <t>FEBRERO</t>
        </is>
      </c>
      <c r="P2266" s="232" t="n">
        <v>7</v>
      </c>
      <c r="Q2266" s="234" t="n">
        <v>65</v>
      </c>
      <c r="R2266" s="232" t="inlineStr"/>
      <c r="S2266" s="234" t="n">
        <v>65</v>
      </c>
      <c r="T2266" s="232" t="inlineStr">
        <is>
          <t>CLP</t>
        </is>
      </c>
      <c r="U2266" s="232" t="inlineStr">
        <is>
          <t>Prorrateo Ha BODEGA</t>
        </is>
      </c>
      <c r="V2266" s="232" t="inlineStr">
        <is>
          <t>2026-06-18</t>
        </is>
      </c>
    </row>
    <row r="2267">
      <c r="A2267" s="232" t="inlineStr">
        <is>
          <t>CR-2264</t>
        </is>
      </c>
      <c r="B2267" s="232" t="inlineStr">
        <is>
          <t>2026/27</t>
        </is>
      </c>
      <c r="C2267" s="233" t="n">
        <v>46071</v>
      </c>
      <c r="D2267" s="232" t="inlineStr">
        <is>
          <t>68895</t>
        </is>
      </c>
      <c r="E2267" s="232" t="inlineStr">
        <is>
          <t>PRORRATEO</t>
        </is>
      </c>
      <c r="F2267" s="232" t="inlineStr">
        <is>
          <t>Santa Catalina</t>
        </is>
      </c>
      <c r="G2267" s="232" t="inlineStr">
        <is>
          <t>mant eureka 2,5 ha</t>
        </is>
      </c>
      <c r="H2267" s="232" t="inlineStr">
        <is>
          <t>Limon</t>
        </is>
      </c>
      <c r="I2267" s="232" t="inlineStr">
        <is>
          <t>Eureka</t>
        </is>
      </c>
      <c r="J2267" s="232" t="inlineStr">
        <is>
          <t>MANT. Y REP. CONSTRUCCIONES</t>
        </is>
      </c>
      <c r="K2267" s="232" t="inlineStr">
        <is>
          <t>MANTENCION INFRAESTRUCTURA</t>
        </is>
      </c>
      <c r="L2267" s="232" t="inlineStr">
        <is>
          <t>[PRORRATEO 1.7% 2.5há/148.3há] O/001401 TOR.VOLC.H</t>
        </is>
      </c>
      <c r="M2267" s="232" t="inlineStr"/>
      <c r="N2267" s="232" t="inlineStr">
        <is>
          <t>.   .   -</t>
        </is>
      </c>
      <c r="O2267" s="232" t="inlineStr">
        <is>
          <t>FEBRERO</t>
        </is>
      </c>
      <c r="P2267" s="232" t="n">
        <v>7</v>
      </c>
      <c r="Q2267" s="234" t="n">
        <v>84</v>
      </c>
      <c r="R2267" s="232" t="inlineStr"/>
      <c r="S2267" s="234" t="n">
        <v>84</v>
      </c>
      <c r="T2267" s="232" t="inlineStr">
        <is>
          <t>CLP</t>
        </is>
      </c>
      <c r="U2267" s="232" t="inlineStr">
        <is>
          <t>Prorrateo Ha BODEGA</t>
        </is>
      </c>
      <c r="V2267" s="232" t="inlineStr">
        <is>
          <t>2026-06-18</t>
        </is>
      </c>
    </row>
    <row r="2268">
      <c r="A2268" s="232" t="inlineStr">
        <is>
          <t>CR-2265</t>
        </is>
      </c>
      <c r="B2268" s="232" t="inlineStr">
        <is>
          <t>2026/27</t>
        </is>
      </c>
      <c r="C2268" s="233" t="n">
        <v>46071</v>
      </c>
      <c r="D2268" s="232" t="inlineStr">
        <is>
          <t>68895</t>
        </is>
      </c>
      <c r="E2268" s="232" t="inlineStr">
        <is>
          <t>PRORRATEO</t>
        </is>
      </c>
      <c r="F2268" s="232" t="inlineStr">
        <is>
          <t>Siberia</t>
        </is>
      </c>
      <c r="G2268" s="232" t="inlineStr">
        <is>
          <t>S. Celebration 7,14</t>
        </is>
      </c>
      <c r="H2268" s="232" t="inlineStr">
        <is>
          <t>Uvas</t>
        </is>
      </c>
      <c r="I2268" s="232" t="inlineStr">
        <is>
          <t>S. celebration</t>
        </is>
      </c>
      <c r="J2268" s="232" t="inlineStr">
        <is>
          <t>MANT. Y REP. CONSTRUCCIONES</t>
        </is>
      </c>
      <c r="K2268" s="232" t="inlineStr">
        <is>
          <t>MANTENCION INFRAESTRUCTURA</t>
        </is>
      </c>
      <c r="L2268" s="232" t="inlineStr">
        <is>
          <t>[PRORRATEO 4.8% 7.14há/148.3há] O/001401 TOR.VOLC.H</t>
        </is>
      </c>
      <c r="M2268" s="232" t="inlineStr"/>
      <c r="N2268" s="232" t="inlineStr">
        <is>
          <t>.   .   -</t>
        </is>
      </c>
      <c r="O2268" s="232" t="inlineStr">
        <is>
          <t>FEBRERO</t>
        </is>
      </c>
      <c r="P2268" s="232" t="n">
        <v>7</v>
      </c>
      <c r="Q2268" s="234" t="n">
        <v>241</v>
      </c>
      <c r="R2268" s="232" t="inlineStr"/>
      <c r="S2268" s="234" t="n">
        <v>241</v>
      </c>
      <c r="T2268" s="232" t="inlineStr">
        <is>
          <t>CLP</t>
        </is>
      </c>
      <c r="U2268" s="232" t="inlineStr">
        <is>
          <t>Prorrateo Ha BODEGA</t>
        </is>
      </c>
      <c r="V2268" s="232" t="inlineStr">
        <is>
          <t>2026-06-18</t>
        </is>
      </c>
    </row>
    <row r="2269">
      <c r="A2269" s="232" t="inlineStr">
        <is>
          <t>CR-2266</t>
        </is>
      </c>
      <c r="B2269" s="232" t="inlineStr">
        <is>
          <t>2026/27</t>
        </is>
      </c>
      <c r="C2269" s="233" t="n">
        <v>46071</v>
      </c>
      <c r="D2269" s="232" t="inlineStr">
        <is>
          <t>68895</t>
        </is>
      </c>
      <c r="E2269" s="232" t="inlineStr">
        <is>
          <t>PRORRATEO</t>
        </is>
      </c>
      <c r="F2269" s="232" t="inlineStr">
        <is>
          <t>Siberia</t>
        </is>
      </c>
      <c r="G2269" s="232" t="inlineStr">
        <is>
          <t>Timpson 7,1</t>
        </is>
      </c>
      <c r="H2269" s="232" t="inlineStr">
        <is>
          <t>Uvas</t>
        </is>
      </c>
      <c r="I2269" s="232" t="inlineStr">
        <is>
          <t>Timpson</t>
        </is>
      </c>
      <c r="J2269" s="232" t="inlineStr">
        <is>
          <t>MANT. Y REP. CONSTRUCCIONES</t>
        </is>
      </c>
      <c r="K2269" s="232" t="inlineStr">
        <is>
          <t>MANTENCION INFRAESTRUCTURA</t>
        </is>
      </c>
      <c r="L2269" s="232" t="inlineStr">
        <is>
          <t>[PRORRATEO 4.8% 7.1há/148.3há] O/001401 TOR.VOLC.H</t>
        </is>
      </c>
      <c r="M2269" s="232" t="inlineStr"/>
      <c r="N2269" s="232" t="inlineStr">
        <is>
          <t>.   .   -</t>
        </is>
      </c>
      <c r="O2269" s="232" t="inlineStr">
        <is>
          <t>FEBRERO</t>
        </is>
      </c>
      <c r="P2269" s="232" t="n">
        <v>7</v>
      </c>
      <c r="Q2269" s="234" t="n">
        <v>239</v>
      </c>
      <c r="R2269" s="232" t="inlineStr"/>
      <c r="S2269" s="234" t="n">
        <v>239</v>
      </c>
      <c r="T2269" s="232" t="inlineStr">
        <is>
          <t>CLP</t>
        </is>
      </c>
      <c r="U2269" s="232" t="inlineStr">
        <is>
          <t>Prorrateo Ha BODEGA</t>
        </is>
      </c>
      <c r="V2269" s="232" t="inlineStr">
        <is>
          <t>2026-06-18</t>
        </is>
      </c>
    </row>
    <row r="2270">
      <c r="A2270" s="232" t="inlineStr">
        <is>
          <t>CR-2267</t>
        </is>
      </c>
      <c r="B2270" s="232" t="inlineStr">
        <is>
          <t>2026/27</t>
        </is>
      </c>
      <c r="C2270" s="233" t="n">
        <v>46071</v>
      </c>
      <c r="D2270" s="232" t="inlineStr">
        <is>
          <t>68895</t>
        </is>
      </c>
      <c r="E2270" s="232" t="inlineStr">
        <is>
          <t>PRORRATEO</t>
        </is>
      </c>
      <c r="F2270" s="232" t="inlineStr">
        <is>
          <t>Asmara</t>
        </is>
      </c>
      <c r="G2270" s="232" t="inlineStr">
        <is>
          <t>w. murcott 19,8 ha</t>
        </is>
      </c>
      <c r="H2270" s="232" t="inlineStr">
        <is>
          <t>Mandarina</t>
        </is>
      </c>
      <c r="I2270" s="232" t="inlineStr">
        <is>
          <t>W. murcott</t>
        </is>
      </c>
      <c r="J2270" s="232" t="inlineStr">
        <is>
          <t>MANT. Y REP. CONSTRUCCIONES</t>
        </is>
      </c>
      <c r="K2270" s="232" t="inlineStr">
        <is>
          <t>MANTENCION INFRAESTRUCTURA</t>
        </is>
      </c>
      <c r="L2270" s="232" t="inlineStr">
        <is>
          <t>[PRORRATEO 13.4% 19.8há/148.3há] O/001401 TUBO HID 2</t>
        </is>
      </c>
      <c r="M2270" s="232" t="inlineStr"/>
      <c r="N2270" s="232" t="inlineStr">
        <is>
          <t>.   .   -</t>
        </is>
      </c>
      <c r="O2270" s="232" t="inlineStr">
        <is>
          <t>FEBRERO</t>
        </is>
      </c>
      <c r="P2270" s="232" t="n">
        <v>7</v>
      </c>
      <c r="Q2270" s="234" t="n">
        <v>198</v>
      </c>
      <c r="R2270" s="232" t="inlineStr"/>
      <c r="S2270" s="234" t="n">
        <v>198</v>
      </c>
      <c r="T2270" s="232" t="inlineStr">
        <is>
          <t>CLP</t>
        </is>
      </c>
      <c r="U2270" s="232" t="inlineStr">
        <is>
          <t>Prorrateo Ha BODEGA</t>
        </is>
      </c>
      <c r="V2270" s="232" t="inlineStr">
        <is>
          <t>2026-06-18</t>
        </is>
      </c>
    </row>
    <row r="2271">
      <c r="A2271" s="232" t="inlineStr">
        <is>
          <t>CR-2268</t>
        </is>
      </c>
      <c r="B2271" s="232" t="inlineStr">
        <is>
          <t>2026/27</t>
        </is>
      </c>
      <c r="C2271" s="233" t="n">
        <v>46071</v>
      </c>
      <c r="D2271" s="232" t="inlineStr">
        <is>
          <t>68895</t>
        </is>
      </c>
      <c r="E2271" s="232" t="inlineStr">
        <is>
          <t>PRORRATEO</t>
        </is>
      </c>
      <c r="F2271" s="232" t="inlineStr">
        <is>
          <t>Asmara</t>
        </is>
      </c>
      <c r="G2271" s="232" t="inlineStr">
        <is>
          <t>w. murcott 4,9 ha</t>
        </is>
      </c>
      <c r="H2271" s="232" t="inlineStr">
        <is>
          <t>Mandarina</t>
        </is>
      </c>
      <c r="I2271" s="232" t="inlineStr">
        <is>
          <t>W. murcott</t>
        </is>
      </c>
      <c r="J2271" s="232" t="inlineStr">
        <is>
          <t>MANT. Y REP. CONSTRUCCIONES</t>
        </is>
      </c>
      <c r="K2271" s="232" t="inlineStr">
        <is>
          <t>MANTENCION INFRAESTRUCTURA</t>
        </is>
      </c>
      <c r="L2271" s="232" t="inlineStr">
        <is>
          <t>[PRORRATEO 3.3% 4.9há/148.3há] O/001401 TUBO HID 2</t>
        </is>
      </c>
      <c r="M2271" s="232" t="inlineStr"/>
      <c r="N2271" s="232" t="inlineStr">
        <is>
          <t>.   .   -</t>
        </is>
      </c>
      <c r="O2271" s="232" t="inlineStr">
        <is>
          <t>FEBRERO</t>
        </is>
      </c>
      <c r="P2271" s="232" t="n">
        <v>7</v>
      </c>
      <c r="Q2271" s="234" t="n">
        <v>49</v>
      </c>
      <c r="R2271" s="232" t="inlineStr"/>
      <c r="S2271" s="234" t="n">
        <v>49</v>
      </c>
      <c r="T2271" s="232" t="inlineStr">
        <is>
          <t>CLP</t>
        </is>
      </c>
      <c r="U2271" s="232" t="inlineStr">
        <is>
          <t>Prorrateo Ha BODEGA</t>
        </is>
      </c>
      <c r="V2271" s="232" t="inlineStr">
        <is>
          <t>2026-06-18</t>
        </is>
      </c>
    </row>
    <row r="2272">
      <c r="A2272" s="232" t="inlineStr">
        <is>
          <t>CR-2269</t>
        </is>
      </c>
      <c r="B2272" s="232" t="inlineStr">
        <is>
          <t>2026/27</t>
        </is>
      </c>
      <c r="C2272" s="233" t="n">
        <v>46071</v>
      </c>
      <c r="D2272" s="232" t="inlineStr">
        <is>
          <t>68895</t>
        </is>
      </c>
      <c r="E2272" s="232" t="inlineStr">
        <is>
          <t>PRORRATEO</t>
        </is>
      </c>
      <c r="F2272" s="232" t="inlineStr">
        <is>
          <t>El Molle</t>
        </is>
      </c>
      <c r="G2272" s="232" t="inlineStr">
        <is>
          <t>Wonderful 5,25 ha</t>
        </is>
      </c>
      <c r="H2272" s="232" t="inlineStr">
        <is>
          <t>Granados</t>
        </is>
      </c>
      <c r="I2272" s="232" t="inlineStr">
        <is>
          <t>Wonderfull</t>
        </is>
      </c>
      <c r="J2272" s="232" t="inlineStr">
        <is>
          <t>MANT. Y REP. CONSTRUCCIONES</t>
        </is>
      </c>
      <c r="K2272" s="232" t="inlineStr">
        <is>
          <t>MANTENCION INFRAESTRUCTURA</t>
        </is>
      </c>
      <c r="L2272" s="232" t="inlineStr">
        <is>
          <t>[PRORRATEO 3.5% 5.24há/148.3há] O/001401 TUBO HID 2</t>
        </is>
      </c>
      <c r="M2272" s="232" t="inlineStr"/>
      <c r="N2272" s="232" t="inlineStr">
        <is>
          <t>.   .   -</t>
        </is>
      </c>
      <c r="O2272" s="232" t="inlineStr">
        <is>
          <t>FEBRERO</t>
        </is>
      </c>
      <c r="P2272" s="232" t="n">
        <v>7</v>
      </c>
      <c r="Q2272" s="234" t="n">
        <v>52</v>
      </c>
      <c r="R2272" s="232" t="inlineStr"/>
      <c r="S2272" s="234" t="n">
        <v>52</v>
      </c>
      <c r="T2272" s="232" t="inlineStr">
        <is>
          <t>CLP</t>
        </is>
      </c>
      <c r="U2272" s="232" t="inlineStr">
        <is>
          <t>Prorrateo Ha BODEGA</t>
        </is>
      </c>
      <c r="V2272" s="232" t="inlineStr">
        <is>
          <t>2026-06-18</t>
        </is>
      </c>
    </row>
    <row r="2273">
      <c r="A2273" s="232" t="inlineStr">
        <is>
          <t>CR-2270</t>
        </is>
      </c>
      <c r="B2273" s="232" t="inlineStr">
        <is>
          <t>2026/27</t>
        </is>
      </c>
      <c r="C2273" s="233" t="n">
        <v>46071</v>
      </c>
      <c r="D2273" s="232" t="inlineStr">
        <is>
          <t>68895</t>
        </is>
      </c>
      <c r="E2273" s="232" t="inlineStr">
        <is>
          <t>PRORRATEO</t>
        </is>
      </c>
      <c r="F2273" s="232" t="inlineStr">
        <is>
          <t>El Molle</t>
        </is>
      </c>
      <c r="G2273" s="232" t="inlineStr">
        <is>
          <t>arrufatinas 5,74 ha</t>
        </is>
      </c>
      <c r="H2273" s="232" t="inlineStr">
        <is>
          <t>Clementinas</t>
        </is>
      </c>
      <c r="I2273" s="232" t="inlineStr">
        <is>
          <t>Arrufatinas</t>
        </is>
      </c>
      <c r="J2273" s="232" t="inlineStr">
        <is>
          <t>MANT. Y REP. CONSTRUCCIONES</t>
        </is>
      </c>
      <c r="K2273" s="232" t="inlineStr">
        <is>
          <t>MANTENCION INFRAESTRUCTURA</t>
        </is>
      </c>
      <c r="L2273" s="232" t="inlineStr">
        <is>
          <t>[PRORRATEO 3.9% 5.74há/148.3há] O/001401 TUBO HID 2</t>
        </is>
      </c>
      <c r="M2273" s="232" t="inlineStr"/>
      <c r="N2273" s="232" t="inlineStr">
        <is>
          <t>.   .   -</t>
        </is>
      </c>
      <c r="O2273" s="232" t="inlineStr">
        <is>
          <t>FEBRERO</t>
        </is>
      </c>
      <c r="P2273" s="232" t="n">
        <v>7</v>
      </c>
      <c r="Q2273" s="234" t="n">
        <v>57</v>
      </c>
      <c r="R2273" s="232" t="inlineStr"/>
      <c r="S2273" s="234" t="n">
        <v>57</v>
      </c>
      <c r="T2273" s="232" t="inlineStr">
        <is>
          <t>CLP</t>
        </is>
      </c>
      <c r="U2273" s="232" t="inlineStr">
        <is>
          <t>Prorrateo Ha BODEGA</t>
        </is>
      </c>
      <c r="V2273" s="232" t="inlineStr">
        <is>
          <t>2026-06-18</t>
        </is>
      </c>
    </row>
    <row r="2274">
      <c r="A2274" s="232" t="inlineStr">
        <is>
          <t>CR-2271</t>
        </is>
      </c>
      <c r="B2274" s="232" t="inlineStr">
        <is>
          <t>2026/27</t>
        </is>
      </c>
      <c r="C2274" s="233" t="n">
        <v>46071</v>
      </c>
      <c r="D2274" s="232" t="inlineStr">
        <is>
          <t>68895</t>
        </is>
      </c>
      <c r="E2274" s="232" t="inlineStr">
        <is>
          <t>PRORRATEO</t>
        </is>
      </c>
      <c r="F2274" s="232" t="inlineStr">
        <is>
          <t>El Molle</t>
        </is>
      </c>
      <c r="G2274" s="232" t="inlineStr">
        <is>
          <t>orogrande 8,11 ha</t>
        </is>
      </c>
      <c r="H2274" s="232" t="inlineStr">
        <is>
          <t>Clementinas</t>
        </is>
      </c>
      <c r="I2274" s="232" t="inlineStr">
        <is>
          <t>Orogrande</t>
        </is>
      </c>
      <c r="J2274" s="232" t="inlineStr">
        <is>
          <t>MANT. Y REP. CONSTRUCCIONES</t>
        </is>
      </c>
      <c r="K2274" s="232" t="inlineStr">
        <is>
          <t>MANTENCION INFRAESTRUCTURA</t>
        </is>
      </c>
      <c r="L2274" s="232" t="inlineStr">
        <is>
          <t>[PRORRATEO 5.5% 8.11há/148.3há] O/001401 TUBO HID 2</t>
        </is>
      </c>
      <c r="M2274" s="232" t="inlineStr"/>
      <c r="N2274" s="232" t="inlineStr">
        <is>
          <t>.   .   -</t>
        </is>
      </c>
      <c r="O2274" s="232" t="inlineStr">
        <is>
          <t>FEBRERO</t>
        </is>
      </c>
      <c r="P2274" s="232" t="n">
        <v>7</v>
      </c>
      <c r="Q2274" s="234" t="n">
        <v>81</v>
      </c>
      <c r="R2274" s="232" t="inlineStr"/>
      <c r="S2274" s="234" t="n">
        <v>81</v>
      </c>
      <c r="T2274" s="232" t="inlineStr">
        <is>
          <t>CLP</t>
        </is>
      </c>
      <c r="U2274" s="232" t="inlineStr">
        <is>
          <t>Prorrateo Ha BODEGA</t>
        </is>
      </c>
      <c r="V2274" s="232" t="inlineStr">
        <is>
          <t>2026-06-18</t>
        </is>
      </c>
    </row>
    <row r="2275">
      <c r="A2275" s="232" t="inlineStr">
        <is>
          <t>CR-2272</t>
        </is>
      </c>
      <c r="B2275" s="232" t="inlineStr">
        <is>
          <t>2026/27</t>
        </is>
      </c>
      <c r="C2275" s="233" t="n">
        <v>46071</v>
      </c>
      <c r="D2275" s="232" t="inlineStr">
        <is>
          <t>68895</t>
        </is>
      </c>
      <c r="E2275" s="232" t="inlineStr">
        <is>
          <t>PRORRATEO</t>
        </is>
      </c>
      <c r="F2275" s="232" t="inlineStr">
        <is>
          <t>El Molle</t>
        </is>
      </c>
      <c r="G2275" s="232" t="inlineStr">
        <is>
          <t>oronules 5,35 ha</t>
        </is>
      </c>
      <c r="H2275" s="232" t="inlineStr">
        <is>
          <t>Clementinas</t>
        </is>
      </c>
      <c r="I2275" s="232" t="inlineStr">
        <is>
          <t>Oronules</t>
        </is>
      </c>
      <c r="J2275" s="232" t="inlineStr">
        <is>
          <t>MANT. Y REP. CONSTRUCCIONES</t>
        </is>
      </c>
      <c r="K2275" s="232" t="inlineStr">
        <is>
          <t>MANTENCION INFRAESTRUCTURA</t>
        </is>
      </c>
      <c r="L2275" s="232" t="inlineStr">
        <is>
          <t>[PRORRATEO 3.6% 5.35há/148.3há] O/001401 TUBO HID 2</t>
        </is>
      </c>
      <c r="M2275" s="232" t="inlineStr"/>
      <c r="N2275" s="232" t="inlineStr">
        <is>
          <t>.   .   -</t>
        </is>
      </c>
      <c r="O2275" s="232" t="inlineStr">
        <is>
          <t>FEBRERO</t>
        </is>
      </c>
      <c r="P2275" s="232" t="n">
        <v>7</v>
      </c>
      <c r="Q2275" s="234" t="n">
        <v>54</v>
      </c>
      <c r="R2275" s="232" t="inlineStr"/>
      <c r="S2275" s="234" t="n">
        <v>54</v>
      </c>
      <c r="T2275" s="232" t="inlineStr">
        <is>
          <t>CLP</t>
        </is>
      </c>
      <c r="U2275" s="232" t="inlineStr">
        <is>
          <t>Prorrateo Ha BODEGA</t>
        </is>
      </c>
      <c r="V2275" s="232" t="inlineStr">
        <is>
          <t>2026-06-18</t>
        </is>
      </c>
    </row>
    <row r="2276">
      <c r="A2276" s="232" t="inlineStr">
        <is>
          <t>CR-2273</t>
        </is>
      </c>
      <c r="B2276" s="232" t="inlineStr">
        <is>
          <t>2026/27</t>
        </is>
      </c>
      <c r="C2276" s="233" t="n">
        <v>46071</v>
      </c>
      <c r="D2276" s="232" t="inlineStr">
        <is>
          <t>68895</t>
        </is>
      </c>
      <c r="E2276" s="232" t="inlineStr">
        <is>
          <t>PRORRATEO</t>
        </is>
      </c>
      <c r="F2276" s="232" t="inlineStr">
        <is>
          <t>Santa Catalina</t>
        </is>
      </c>
      <c r="G2276" s="232" t="inlineStr">
        <is>
          <t>Fino 49 7,7 ha</t>
        </is>
      </c>
      <c r="H2276" s="232" t="inlineStr">
        <is>
          <t>Limon</t>
        </is>
      </c>
      <c r="I2276" s="232" t="inlineStr">
        <is>
          <t>Fino 49</t>
        </is>
      </c>
      <c r="J2276" s="232" t="inlineStr">
        <is>
          <t>MANT. Y REP. CONSTRUCCIONES</t>
        </is>
      </c>
      <c r="K2276" s="232" t="inlineStr">
        <is>
          <t>MANTENCION INFRAESTRUCTURA</t>
        </is>
      </c>
      <c r="L2276" s="232" t="inlineStr">
        <is>
          <t>[PRORRATEO 5.2% 7.7há/148.3há] O/001401 TUBO HID 2</t>
        </is>
      </c>
      <c r="M2276" s="232" t="inlineStr"/>
      <c r="N2276" s="232" t="inlineStr">
        <is>
          <t>.   .   -</t>
        </is>
      </c>
      <c r="O2276" s="232" t="inlineStr">
        <is>
          <t>FEBRERO</t>
        </is>
      </c>
      <c r="P2276" s="232" t="n">
        <v>7</v>
      </c>
      <c r="Q2276" s="234" t="n">
        <v>77</v>
      </c>
      <c r="R2276" s="232" t="inlineStr"/>
      <c r="S2276" s="234" t="n">
        <v>77</v>
      </c>
      <c r="T2276" s="232" t="inlineStr">
        <is>
          <t>CLP</t>
        </is>
      </c>
      <c r="U2276" s="232" t="inlineStr">
        <is>
          <t>Prorrateo Ha BODEGA</t>
        </is>
      </c>
      <c r="V2276" s="232" t="inlineStr">
        <is>
          <t>2026-06-18</t>
        </is>
      </c>
    </row>
    <row r="2277">
      <c r="A2277" s="232" t="inlineStr">
        <is>
          <t>CR-2274</t>
        </is>
      </c>
      <c r="B2277" s="232" t="inlineStr">
        <is>
          <t>2026/27</t>
        </is>
      </c>
      <c r="C2277" s="233" t="n">
        <v>46071</v>
      </c>
      <c r="D2277" s="232" t="inlineStr">
        <is>
          <t>68895</t>
        </is>
      </c>
      <c r="E2277" s="232" t="inlineStr">
        <is>
          <t>PRORRATEO</t>
        </is>
      </c>
      <c r="F2277" s="232" t="inlineStr">
        <is>
          <t>Santa Catalina</t>
        </is>
      </c>
      <c r="G2277" s="232" t="inlineStr">
        <is>
          <t>W. murcott 21 ha</t>
        </is>
      </c>
      <c r="H2277" s="232" t="inlineStr">
        <is>
          <t>Mandarina</t>
        </is>
      </c>
      <c r="I2277" s="232" t="inlineStr">
        <is>
          <t>W. murcott</t>
        </is>
      </c>
      <c r="J2277" s="232" t="inlineStr">
        <is>
          <t>MANT. Y REP. CONSTRUCCIONES</t>
        </is>
      </c>
      <c r="K2277" s="232" t="inlineStr">
        <is>
          <t>MANTENCION INFRAESTRUCTURA</t>
        </is>
      </c>
      <c r="L2277" s="232" t="inlineStr">
        <is>
          <t>[PRORRATEO 14.2% 21.0há/148.3há] O/001401 TUBO HID 2</t>
        </is>
      </c>
      <c r="M2277" s="232" t="inlineStr"/>
      <c r="N2277" s="232" t="inlineStr">
        <is>
          <t>.   .   -</t>
        </is>
      </c>
      <c r="O2277" s="232" t="inlineStr">
        <is>
          <t>FEBRERO</t>
        </is>
      </c>
      <c r="P2277" s="232" t="n">
        <v>7</v>
      </c>
      <c r="Q2277" s="234" t="n">
        <v>210</v>
      </c>
      <c r="R2277" s="232" t="inlineStr"/>
      <c r="S2277" s="234" t="n">
        <v>210</v>
      </c>
      <c r="T2277" s="232" t="inlineStr">
        <is>
          <t>CLP</t>
        </is>
      </c>
      <c r="U2277" s="232" t="inlineStr">
        <is>
          <t>Prorrateo Ha BODEGA</t>
        </is>
      </c>
      <c r="V2277" s="232" t="inlineStr">
        <is>
          <t>2026-06-18</t>
        </is>
      </c>
    </row>
    <row r="2278">
      <c r="A2278" s="232" t="inlineStr">
        <is>
          <t>CR-2275</t>
        </is>
      </c>
      <c r="B2278" s="232" t="inlineStr">
        <is>
          <t>2026/27</t>
        </is>
      </c>
      <c r="C2278" s="233" t="n">
        <v>46071</v>
      </c>
      <c r="D2278" s="232" t="inlineStr">
        <is>
          <t>68895</t>
        </is>
      </c>
      <c r="E2278" s="232" t="inlineStr">
        <is>
          <t>PRORRATEO</t>
        </is>
      </c>
      <c r="F2278" s="232" t="inlineStr">
        <is>
          <t>Santa Catalina</t>
        </is>
      </c>
      <c r="G2278" s="232" t="inlineStr">
        <is>
          <t>cambria 4,2 ha</t>
        </is>
      </c>
      <c r="H2278" s="232" t="inlineStr">
        <is>
          <t>Naranjas</t>
        </is>
      </c>
      <c r="I2278" s="232" t="inlineStr">
        <is>
          <t>Cambria</t>
        </is>
      </c>
      <c r="J2278" s="232" t="inlineStr">
        <is>
          <t>MANT. Y REP. CONSTRUCCIONES</t>
        </is>
      </c>
      <c r="K2278" s="232" t="inlineStr">
        <is>
          <t>MANTENCION INFRAESTRUCTURA</t>
        </is>
      </c>
      <c r="L2278" s="232" t="inlineStr">
        <is>
          <t>[PRORRATEO 2.8% 4.2há/148.3há] O/001401 TUBO HID 2</t>
        </is>
      </c>
      <c r="M2278" s="232" t="inlineStr"/>
      <c r="N2278" s="232" t="inlineStr">
        <is>
          <t>.   .   -</t>
        </is>
      </c>
      <c r="O2278" s="232" t="inlineStr">
        <is>
          <t>FEBRERO</t>
        </is>
      </c>
      <c r="P2278" s="232" t="n">
        <v>7</v>
      </c>
      <c r="Q2278" s="234" t="n">
        <v>42</v>
      </c>
      <c r="R2278" s="232" t="inlineStr"/>
      <c r="S2278" s="234" t="n">
        <v>42</v>
      </c>
      <c r="T2278" s="232" t="inlineStr">
        <is>
          <t>CLP</t>
        </is>
      </c>
      <c r="U2278" s="232" t="inlineStr">
        <is>
          <t>Prorrateo Ha BODEGA</t>
        </is>
      </c>
      <c r="V2278" s="232" t="inlineStr">
        <is>
          <t>2026-06-18</t>
        </is>
      </c>
    </row>
    <row r="2279">
      <c r="A2279" s="232" t="inlineStr">
        <is>
          <t>CR-2276</t>
        </is>
      </c>
      <c r="B2279" s="232" t="inlineStr">
        <is>
          <t>2026/27</t>
        </is>
      </c>
      <c r="C2279" s="233" t="n">
        <v>46071</v>
      </c>
      <c r="D2279" s="232" t="inlineStr">
        <is>
          <t>68895</t>
        </is>
      </c>
      <c r="E2279" s="232" t="inlineStr">
        <is>
          <t>PRORRATEO</t>
        </is>
      </c>
      <c r="F2279" s="232" t="inlineStr">
        <is>
          <t>Santa Catalina</t>
        </is>
      </c>
      <c r="G2279" s="232" t="inlineStr">
        <is>
          <t>eureka 10,6 ha</t>
        </is>
      </c>
      <c r="H2279" s="232" t="inlineStr">
        <is>
          <t>Limon</t>
        </is>
      </c>
      <c r="I2279" s="232" t="inlineStr">
        <is>
          <t>Eureka</t>
        </is>
      </c>
      <c r="J2279" s="232" t="inlineStr">
        <is>
          <t>MANT. Y REP. CONSTRUCCIONES</t>
        </is>
      </c>
      <c r="K2279" s="232" t="inlineStr">
        <is>
          <t>MANTENCION INFRAESTRUCTURA</t>
        </is>
      </c>
      <c r="L2279" s="232" t="inlineStr">
        <is>
          <t>[PRORRATEO 7.1% 10.6há/148.3há] O/001401 TUBO HID 2</t>
        </is>
      </c>
      <c r="M2279" s="232" t="inlineStr"/>
      <c r="N2279" s="232" t="inlineStr">
        <is>
          <t>.   .   -</t>
        </is>
      </c>
      <c r="O2279" s="232" t="inlineStr">
        <is>
          <t>FEBRERO</t>
        </is>
      </c>
      <c r="P2279" s="232" t="n">
        <v>7</v>
      </c>
      <c r="Q2279" s="234" t="n">
        <v>106</v>
      </c>
      <c r="R2279" s="232" t="inlineStr"/>
      <c r="S2279" s="234" t="n">
        <v>106</v>
      </c>
      <c r="T2279" s="232" t="inlineStr">
        <is>
          <t>CLP</t>
        </is>
      </c>
      <c r="U2279" s="232" t="inlineStr">
        <is>
          <t>Prorrateo Ha BODEGA</t>
        </is>
      </c>
      <c r="V2279" s="232" t="inlineStr">
        <is>
          <t>2026-06-18</t>
        </is>
      </c>
    </row>
    <row r="2280">
      <c r="A2280" s="232" t="inlineStr">
        <is>
          <t>CR-2277</t>
        </is>
      </c>
      <c r="B2280" s="232" t="inlineStr">
        <is>
          <t>2026/27</t>
        </is>
      </c>
      <c r="C2280" s="233" t="n">
        <v>46071</v>
      </c>
      <c r="D2280" s="232" t="inlineStr">
        <is>
          <t>68895</t>
        </is>
      </c>
      <c r="E2280" s="232" t="inlineStr">
        <is>
          <t>PRORRATEO</t>
        </is>
      </c>
      <c r="F2280" s="232" t="inlineStr">
        <is>
          <t>Santa Catalina</t>
        </is>
      </c>
      <c r="G2280" s="232" t="inlineStr">
        <is>
          <t>eureka 14,4 ha</t>
        </is>
      </c>
      <c r="H2280" s="232" t="inlineStr">
        <is>
          <t>Limon</t>
        </is>
      </c>
      <c r="I2280" s="232" t="inlineStr">
        <is>
          <t>Eureka</t>
        </is>
      </c>
      <c r="J2280" s="232" t="inlineStr">
        <is>
          <t>MANT. Y REP. CONSTRUCCIONES</t>
        </is>
      </c>
      <c r="K2280" s="232" t="inlineStr">
        <is>
          <t>MANTENCION INFRAESTRUCTURA</t>
        </is>
      </c>
      <c r="L2280" s="232" t="inlineStr">
        <is>
          <t>[PRORRATEO 9.7% 14.4há/148.3há] O/001401 TUBO HID 2</t>
        </is>
      </c>
      <c r="M2280" s="232" t="inlineStr"/>
      <c r="N2280" s="232" t="inlineStr">
        <is>
          <t>.   .   -</t>
        </is>
      </c>
      <c r="O2280" s="232" t="inlineStr">
        <is>
          <t>FEBRERO</t>
        </is>
      </c>
      <c r="P2280" s="232" t="n">
        <v>7</v>
      </c>
      <c r="Q2280" s="234" t="n">
        <v>144</v>
      </c>
      <c r="R2280" s="232" t="inlineStr"/>
      <c r="S2280" s="234" t="n">
        <v>144</v>
      </c>
      <c r="T2280" s="232" t="inlineStr">
        <is>
          <t>CLP</t>
        </is>
      </c>
      <c r="U2280" s="232" t="inlineStr">
        <is>
          <t>Prorrateo Ha BODEGA</t>
        </is>
      </c>
      <c r="V2280" s="232" t="inlineStr">
        <is>
          <t>2026-06-18</t>
        </is>
      </c>
    </row>
    <row r="2281">
      <c r="A2281" s="232" t="inlineStr">
        <is>
          <t>CR-2278</t>
        </is>
      </c>
      <c r="B2281" s="232" t="inlineStr">
        <is>
          <t>2026/27</t>
        </is>
      </c>
      <c r="C2281" s="233" t="n">
        <v>46071</v>
      </c>
      <c r="D2281" s="232" t="inlineStr">
        <is>
          <t>68895</t>
        </is>
      </c>
      <c r="E2281" s="232" t="inlineStr">
        <is>
          <t>PRORRATEO</t>
        </is>
      </c>
      <c r="F2281" s="232" t="inlineStr">
        <is>
          <t>Santa Catalina</t>
        </is>
      </c>
      <c r="G2281" s="232" t="inlineStr">
        <is>
          <t>eureka 22,55</t>
        </is>
      </c>
      <c r="H2281" s="232" t="inlineStr">
        <is>
          <t>Limon</t>
        </is>
      </c>
      <c r="I2281" s="232" t="inlineStr">
        <is>
          <t>Eureka</t>
        </is>
      </c>
      <c r="J2281" s="232" t="inlineStr">
        <is>
          <t>MANT. Y REP. CONSTRUCCIONES</t>
        </is>
      </c>
      <c r="K2281" s="232" t="inlineStr">
        <is>
          <t>MANTENCION INFRAESTRUCTURA</t>
        </is>
      </c>
      <c r="L2281" s="232" t="inlineStr">
        <is>
          <t>[PRORRATEO 15.2% 22.55há/148.3há] O/001401 TUBO HID 2</t>
        </is>
      </c>
      <c r="M2281" s="232" t="inlineStr"/>
      <c r="N2281" s="232" t="inlineStr">
        <is>
          <t>.   .   -</t>
        </is>
      </c>
      <c r="O2281" s="232" t="inlineStr">
        <is>
          <t>FEBRERO</t>
        </is>
      </c>
      <c r="P2281" s="232" t="n">
        <v>7</v>
      </c>
      <c r="Q2281" s="234" t="n">
        <v>226</v>
      </c>
      <c r="R2281" s="232" t="inlineStr"/>
      <c r="S2281" s="234" t="n">
        <v>226</v>
      </c>
      <c r="T2281" s="232" t="inlineStr">
        <is>
          <t>CLP</t>
        </is>
      </c>
      <c r="U2281" s="232" t="inlineStr">
        <is>
          <t>Prorrateo Ha BODEGA</t>
        </is>
      </c>
      <c r="V2281" s="232" t="inlineStr">
        <is>
          <t>2026-06-18</t>
        </is>
      </c>
    </row>
    <row r="2282">
      <c r="A2282" s="232" t="inlineStr">
        <is>
          <t>CR-2279</t>
        </is>
      </c>
      <c r="B2282" s="232" t="inlineStr">
        <is>
          <t>2026/27</t>
        </is>
      </c>
      <c r="C2282" s="233" t="n">
        <v>46071</v>
      </c>
      <c r="D2282" s="232" t="inlineStr">
        <is>
          <t>68895</t>
        </is>
      </c>
      <c r="E2282" s="232" t="inlineStr">
        <is>
          <t>PRORRATEO</t>
        </is>
      </c>
      <c r="F2282" s="232" t="inlineStr">
        <is>
          <t>Santa Catalina</t>
        </is>
      </c>
      <c r="G2282" s="232" t="inlineStr">
        <is>
          <t>form benjamin 1,93 ha</t>
        </is>
      </c>
      <c r="H2282" s="232" t="inlineStr">
        <is>
          <t>Limon</t>
        </is>
      </c>
      <c r="I2282" s="232" t="inlineStr">
        <is>
          <t>Benjamin andes</t>
        </is>
      </c>
      <c r="J2282" s="232" t="inlineStr">
        <is>
          <t>MANT. Y REP. CONSTRUCCIONES</t>
        </is>
      </c>
      <c r="K2282" s="232" t="inlineStr">
        <is>
          <t>MANTENCION INFRAESTRUCTURA</t>
        </is>
      </c>
      <c r="L2282" s="232" t="inlineStr">
        <is>
          <t>[PRORRATEO 1.3% 1.93há/148.3há] O/001401 TUBO HID 2</t>
        </is>
      </c>
      <c r="M2282" s="232" t="inlineStr"/>
      <c r="N2282" s="232" t="inlineStr">
        <is>
          <t>.   .   -</t>
        </is>
      </c>
      <c r="O2282" s="232" t="inlineStr">
        <is>
          <t>FEBRERO</t>
        </is>
      </c>
      <c r="P2282" s="232" t="n">
        <v>7</v>
      </c>
      <c r="Q2282" s="234" t="n">
        <v>19</v>
      </c>
      <c r="R2282" s="232" t="inlineStr"/>
      <c r="S2282" s="234" t="n">
        <v>19</v>
      </c>
      <c r="T2282" s="232" t="inlineStr">
        <is>
          <t>CLP</t>
        </is>
      </c>
      <c r="U2282" s="232" t="inlineStr">
        <is>
          <t>Prorrateo Ha BODEGA</t>
        </is>
      </c>
      <c r="V2282" s="232" t="inlineStr">
        <is>
          <t>2026-06-18</t>
        </is>
      </c>
    </row>
    <row r="2283">
      <c r="A2283" s="232" t="inlineStr">
        <is>
          <t>CR-2280</t>
        </is>
      </c>
      <c r="B2283" s="232" t="inlineStr">
        <is>
          <t>2026/27</t>
        </is>
      </c>
      <c r="C2283" s="233" t="n">
        <v>46071</v>
      </c>
      <c r="D2283" s="232" t="inlineStr">
        <is>
          <t>68895</t>
        </is>
      </c>
      <c r="E2283" s="232" t="inlineStr">
        <is>
          <t>PRORRATEO</t>
        </is>
      </c>
      <c r="F2283" s="232" t="inlineStr">
        <is>
          <t>Santa Catalina</t>
        </is>
      </c>
      <c r="G2283" s="232" t="inlineStr">
        <is>
          <t>mant eureka 2,5 ha</t>
        </is>
      </c>
      <c r="H2283" s="232" t="inlineStr">
        <is>
          <t>Limon</t>
        </is>
      </c>
      <c r="I2283" s="232" t="inlineStr">
        <is>
          <t>Eureka</t>
        </is>
      </c>
      <c r="J2283" s="232" t="inlineStr">
        <is>
          <t>MANT. Y REP. CONSTRUCCIONES</t>
        </is>
      </c>
      <c r="K2283" s="232" t="inlineStr">
        <is>
          <t>MANTENCION INFRAESTRUCTURA</t>
        </is>
      </c>
      <c r="L2283" s="232" t="inlineStr">
        <is>
          <t>[PRORRATEO 1.7% 2.5há/148.3há] O/001401 TUBO HID 2</t>
        </is>
      </c>
      <c r="M2283" s="232" t="inlineStr"/>
      <c r="N2283" s="232" t="inlineStr">
        <is>
          <t>.   .   -</t>
        </is>
      </c>
      <c r="O2283" s="232" t="inlineStr">
        <is>
          <t>FEBRERO</t>
        </is>
      </c>
      <c r="P2283" s="232" t="n">
        <v>7</v>
      </c>
      <c r="Q2283" s="234" t="n">
        <v>25</v>
      </c>
      <c r="R2283" s="232" t="inlineStr"/>
      <c r="S2283" s="234" t="n">
        <v>25</v>
      </c>
      <c r="T2283" s="232" t="inlineStr">
        <is>
          <t>CLP</t>
        </is>
      </c>
      <c r="U2283" s="232" t="inlineStr">
        <is>
          <t>Prorrateo Ha BODEGA</t>
        </is>
      </c>
      <c r="V2283" s="232" t="inlineStr">
        <is>
          <t>2026-06-18</t>
        </is>
      </c>
    </row>
    <row r="2284">
      <c r="A2284" s="232" t="inlineStr">
        <is>
          <t>CR-2281</t>
        </is>
      </c>
      <c r="B2284" s="232" t="inlineStr">
        <is>
          <t>2026/27</t>
        </is>
      </c>
      <c r="C2284" s="233" t="n">
        <v>46071</v>
      </c>
      <c r="D2284" s="232" t="inlineStr">
        <is>
          <t>68895</t>
        </is>
      </c>
      <c r="E2284" s="232" t="inlineStr">
        <is>
          <t>PRORRATEO</t>
        </is>
      </c>
      <c r="F2284" s="232" t="inlineStr">
        <is>
          <t>Siberia</t>
        </is>
      </c>
      <c r="G2284" s="232" t="inlineStr">
        <is>
          <t>S. Celebration 7,14</t>
        </is>
      </c>
      <c r="H2284" s="232" t="inlineStr">
        <is>
          <t>Uvas</t>
        </is>
      </c>
      <c r="I2284" s="232" t="inlineStr">
        <is>
          <t>S. celebration</t>
        </is>
      </c>
      <c r="J2284" s="232" t="inlineStr">
        <is>
          <t>MANT. Y REP. CONSTRUCCIONES</t>
        </is>
      </c>
      <c r="K2284" s="232" t="inlineStr">
        <is>
          <t>MANTENCION INFRAESTRUCTURA</t>
        </is>
      </c>
      <c r="L2284" s="232" t="inlineStr">
        <is>
          <t>[PRORRATEO 4.8% 7.14há/148.3há] O/001401 TUBO HID 2</t>
        </is>
      </c>
      <c r="M2284" s="232" t="inlineStr"/>
      <c r="N2284" s="232" t="inlineStr">
        <is>
          <t>.   .   -</t>
        </is>
      </c>
      <c r="O2284" s="232" t="inlineStr">
        <is>
          <t>FEBRERO</t>
        </is>
      </c>
      <c r="P2284" s="232" t="n">
        <v>7</v>
      </c>
      <c r="Q2284" s="234" t="n">
        <v>71</v>
      </c>
      <c r="R2284" s="232" t="inlineStr"/>
      <c r="S2284" s="234" t="n">
        <v>71</v>
      </c>
      <c r="T2284" s="232" t="inlineStr">
        <is>
          <t>CLP</t>
        </is>
      </c>
      <c r="U2284" s="232" t="inlineStr">
        <is>
          <t>Prorrateo Ha BODEGA</t>
        </is>
      </c>
      <c r="V2284" s="232" t="inlineStr">
        <is>
          <t>2026-06-18</t>
        </is>
      </c>
    </row>
    <row r="2285">
      <c r="A2285" s="232" t="inlineStr">
        <is>
          <t>CR-2282</t>
        </is>
      </c>
      <c r="B2285" s="232" t="inlineStr">
        <is>
          <t>2026/27</t>
        </is>
      </c>
      <c r="C2285" s="233" t="n">
        <v>46071</v>
      </c>
      <c r="D2285" s="232" t="inlineStr">
        <is>
          <t>68895</t>
        </is>
      </c>
      <c r="E2285" s="232" t="inlineStr">
        <is>
          <t>PRORRATEO</t>
        </is>
      </c>
      <c r="F2285" s="232" t="inlineStr">
        <is>
          <t>Siberia</t>
        </is>
      </c>
      <c r="G2285" s="232" t="inlineStr">
        <is>
          <t>Timpson 7,1</t>
        </is>
      </c>
      <c r="H2285" s="232" t="inlineStr">
        <is>
          <t>Uvas</t>
        </is>
      </c>
      <c r="I2285" s="232" t="inlineStr">
        <is>
          <t>Timpson</t>
        </is>
      </c>
      <c r="J2285" s="232" t="inlineStr">
        <is>
          <t>MANT. Y REP. CONSTRUCCIONES</t>
        </is>
      </c>
      <c r="K2285" s="232" t="inlineStr">
        <is>
          <t>MANTENCION INFRAESTRUCTURA</t>
        </is>
      </c>
      <c r="L2285" s="232" t="inlineStr">
        <is>
          <t>[PRORRATEO 4.8% 7.1há/148.3há] O/001401 TUBO HID 2</t>
        </is>
      </c>
      <c r="M2285" s="232" t="inlineStr"/>
      <c r="N2285" s="232" t="inlineStr">
        <is>
          <t>.   .   -</t>
        </is>
      </c>
      <c r="O2285" s="232" t="inlineStr">
        <is>
          <t>FEBRERO</t>
        </is>
      </c>
      <c r="P2285" s="232" t="n">
        <v>7</v>
      </c>
      <c r="Q2285" s="234" t="n">
        <v>71</v>
      </c>
      <c r="R2285" s="232" t="inlineStr"/>
      <c r="S2285" s="234" t="n">
        <v>71</v>
      </c>
      <c r="T2285" s="232" t="inlineStr">
        <is>
          <t>CLP</t>
        </is>
      </c>
      <c r="U2285" s="232" t="inlineStr">
        <is>
          <t>Prorrateo Ha BODEGA</t>
        </is>
      </c>
      <c r="V2285" s="232" t="inlineStr">
        <is>
          <t>2026-06-18</t>
        </is>
      </c>
    </row>
    <row r="2286">
      <c r="A2286" s="232" t="inlineStr">
        <is>
          <t>CR-2283</t>
        </is>
      </c>
      <c r="B2286" s="232" t="inlineStr">
        <is>
          <t>2026/27</t>
        </is>
      </c>
      <c r="C2286" s="233" t="n">
        <v>46071</v>
      </c>
      <c r="D2286" s="232" t="inlineStr">
        <is>
          <t>121872</t>
        </is>
      </c>
      <c r="E2286" s="232" t="inlineStr">
        <is>
          <t>PRORRATEO</t>
        </is>
      </c>
      <c r="F2286" s="232" t="inlineStr">
        <is>
          <t>Asmara</t>
        </is>
      </c>
      <c r="G2286" s="232" t="inlineStr">
        <is>
          <t>w. murcott 19,8 ha</t>
        </is>
      </c>
      <c r="H2286" s="232" t="inlineStr">
        <is>
          <t>Mandarina</t>
        </is>
      </c>
      <c r="I2286" s="232" t="inlineStr">
        <is>
          <t>W. murcott</t>
        </is>
      </c>
      <c r="J2286" s="232" t="inlineStr">
        <is>
          <t>COMBUSTIBLE</t>
        </is>
      </c>
      <c r="K2286" s="232" t="inlineStr">
        <is>
          <t>SIB. GRUA HORQUILLA ARRIENDO</t>
        </is>
      </c>
      <c r="L2286" s="232" t="inlineStr">
        <is>
          <t>[PRORRATEO 13.4% 19.8há/148.3há] O/001411 GAS ENV. 1</t>
        </is>
      </c>
      <c r="M2286" s="232" t="inlineStr"/>
      <c r="N2286" s="232" t="inlineStr">
        <is>
          <t>.   .   -</t>
        </is>
      </c>
      <c r="O2286" s="232" t="inlineStr">
        <is>
          <t>FEBRERO</t>
        </is>
      </c>
      <c r="P2286" s="232" t="n">
        <v>7</v>
      </c>
      <c r="Q2286" s="234" t="n">
        <v>11201</v>
      </c>
      <c r="R2286" s="232" t="inlineStr"/>
      <c r="S2286" s="234" t="n">
        <v>11201</v>
      </c>
      <c r="T2286" s="232" t="inlineStr">
        <is>
          <t>CLP</t>
        </is>
      </c>
      <c r="U2286" s="232" t="inlineStr">
        <is>
          <t>Prorrateo Ha PACKING</t>
        </is>
      </c>
      <c r="V2286" s="232" t="inlineStr">
        <is>
          <t>2026-06-18</t>
        </is>
      </c>
    </row>
    <row r="2287">
      <c r="A2287" s="232" t="inlineStr">
        <is>
          <t>CR-2284</t>
        </is>
      </c>
      <c r="B2287" s="232" t="inlineStr">
        <is>
          <t>2026/27</t>
        </is>
      </c>
      <c r="C2287" s="233" t="n">
        <v>46071</v>
      </c>
      <c r="D2287" s="232" t="inlineStr">
        <is>
          <t>121872</t>
        </is>
      </c>
      <c r="E2287" s="232" t="inlineStr">
        <is>
          <t>PRORRATEO</t>
        </is>
      </c>
      <c r="F2287" s="232" t="inlineStr">
        <is>
          <t>Asmara</t>
        </is>
      </c>
      <c r="G2287" s="232" t="inlineStr">
        <is>
          <t>w. murcott 4,9 ha</t>
        </is>
      </c>
      <c r="H2287" s="232" t="inlineStr">
        <is>
          <t>Mandarina</t>
        </is>
      </c>
      <c r="I2287" s="232" t="inlineStr">
        <is>
          <t>W. murcott</t>
        </is>
      </c>
      <c r="J2287" s="232" t="inlineStr">
        <is>
          <t>COMBUSTIBLE</t>
        </is>
      </c>
      <c r="K2287" s="232" t="inlineStr">
        <is>
          <t>SIB. GRUA HORQUILLA ARRIENDO</t>
        </is>
      </c>
      <c r="L2287" s="232" t="inlineStr">
        <is>
          <t>[PRORRATEO 3.3% 4.9há/148.3há] O/001411 GAS ENV. 1</t>
        </is>
      </c>
      <c r="M2287" s="232" t="inlineStr"/>
      <c r="N2287" s="232" t="inlineStr">
        <is>
          <t>.   .   -</t>
        </is>
      </c>
      <c r="O2287" s="232" t="inlineStr">
        <is>
          <t>FEBRERO</t>
        </is>
      </c>
      <c r="P2287" s="232" t="n">
        <v>7</v>
      </c>
      <c r="Q2287" s="234" t="n">
        <v>2772</v>
      </c>
      <c r="R2287" s="232" t="inlineStr"/>
      <c r="S2287" s="234" t="n">
        <v>2772</v>
      </c>
      <c r="T2287" s="232" t="inlineStr">
        <is>
          <t>CLP</t>
        </is>
      </c>
      <c r="U2287" s="232" t="inlineStr">
        <is>
          <t>Prorrateo Ha PACKING</t>
        </is>
      </c>
      <c r="V2287" s="232" t="inlineStr">
        <is>
          <t>2026-06-18</t>
        </is>
      </c>
    </row>
    <row r="2288">
      <c r="A2288" s="232" t="inlineStr">
        <is>
          <t>CR-2285</t>
        </is>
      </c>
      <c r="B2288" s="232" t="inlineStr">
        <is>
          <t>2026/27</t>
        </is>
      </c>
      <c r="C2288" s="233" t="n">
        <v>46071</v>
      </c>
      <c r="D2288" s="232" t="inlineStr">
        <is>
          <t>121872</t>
        </is>
      </c>
      <c r="E2288" s="232" t="inlineStr">
        <is>
          <t>PRORRATEO</t>
        </is>
      </c>
      <c r="F2288" s="232" t="inlineStr">
        <is>
          <t>El Molle</t>
        </is>
      </c>
      <c r="G2288" s="232" t="inlineStr">
        <is>
          <t>Wonderful 5,25 ha</t>
        </is>
      </c>
      <c r="H2288" s="232" t="inlineStr">
        <is>
          <t>Granados</t>
        </is>
      </c>
      <c r="I2288" s="232" t="inlineStr">
        <is>
          <t>Wonderfull</t>
        </is>
      </c>
      <c r="J2288" s="232" t="inlineStr">
        <is>
          <t>COMBUSTIBLE</t>
        </is>
      </c>
      <c r="K2288" s="232" t="inlineStr">
        <is>
          <t>SIB. GRUA HORQUILLA ARRIENDO</t>
        </is>
      </c>
      <c r="L2288" s="232" t="inlineStr">
        <is>
          <t>[PRORRATEO 3.5% 5.24há/148.3há] O/001411 GAS ENV. 1</t>
        </is>
      </c>
      <c r="M2288" s="232" t="inlineStr"/>
      <c r="N2288" s="232" t="inlineStr">
        <is>
          <t>.   .   -</t>
        </is>
      </c>
      <c r="O2288" s="232" t="inlineStr">
        <is>
          <t>FEBRERO</t>
        </is>
      </c>
      <c r="P2288" s="232" t="n">
        <v>7</v>
      </c>
      <c r="Q2288" s="234" t="n">
        <v>2964</v>
      </c>
      <c r="R2288" s="232" t="inlineStr"/>
      <c r="S2288" s="234" t="n">
        <v>2964</v>
      </c>
      <c r="T2288" s="232" t="inlineStr">
        <is>
          <t>CLP</t>
        </is>
      </c>
      <c r="U2288" s="232" t="inlineStr">
        <is>
          <t>Prorrateo Ha PACKING</t>
        </is>
      </c>
      <c r="V2288" s="232" t="inlineStr">
        <is>
          <t>2026-06-18</t>
        </is>
      </c>
    </row>
    <row r="2289">
      <c r="A2289" s="232" t="inlineStr">
        <is>
          <t>CR-2286</t>
        </is>
      </c>
      <c r="B2289" s="232" t="inlineStr">
        <is>
          <t>2026/27</t>
        </is>
      </c>
      <c r="C2289" s="233" t="n">
        <v>46071</v>
      </c>
      <c r="D2289" s="232" t="inlineStr">
        <is>
          <t>121872</t>
        </is>
      </c>
      <c r="E2289" s="232" t="inlineStr">
        <is>
          <t>PRORRATEO</t>
        </is>
      </c>
      <c r="F2289" s="232" t="inlineStr">
        <is>
          <t>El Molle</t>
        </is>
      </c>
      <c r="G2289" s="232" t="inlineStr">
        <is>
          <t>arrufatinas 5,74 ha</t>
        </is>
      </c>
      <c r="H2289" s="232" t="inlineStr">
        <is>
          <t>Clementinas</t>
        </is>
      </c>
      <c r="I2289" s="232" t="inlineStr">
        <is>
          <t>Arrufatinas</t>
        </is>
      </c>
      <c r="J2289" s="232" t="inlineStr">
        <is>
          <t>COMBUSTIBLE</t>
        </is>
      </c>
      <c r="K2289" s="232" t="inlineStr">
        <is>
          <t>SIB. GRUA HORQUILLA ARRIENDO</t>
        </is>
      </c>
      <c r="L2289" s="232" t="inlineStr">
        <is>
          <t>[PRORRATEO 3.9% 5.74há/148.3há] O/001411 GAS ENV. 1</t>
        </is>
      </c>
      <c r="M2289" s="232" t="inlineStr"/>
      <c r="N2289" s="232" t="inlineStr">
        <is>
          <t>.   .   -</t>
        </is>
      </c>
      <c r="O2289" s="232" t="inlineStr">
        <is>
          <t>FEBRERO</t>
        </is>
      </c>
      <c r="P2289" s="232" t="n">
        <v>7</v>
      </c>
      <c r="Q2289" s="234" t="n">
        <v>3247</v>
      </c>
      <c r="R2289" s="232" t="inlineStr"/>
      <c r="S2289" s="234" t="n">
        <v>3247</v>
      </c>
      <c r="T2289" s="232" t="inlineStr">
        <is>
          <t>CLP</t>
        </is>
      </c>
      <c r="U2289" s="232" t="inlineStr">
        <is>
          <t>Prorrateo Ha PACKING</t>
        </is>
      </c>
      <c r="V2289" s="232" t="inlineStr">
        <is>
          <t>2026-06-18</t>
        </is>
      </c>
    </row>
    <row r="2290">
      <c r="A2290" s="232" t="inlineStr">
        <is>
          <t>CR-2287</t>
        </is>
      </c>
      <c r="B2290" s="232" t="inlineStr">
        <is>
          <t>2026/27</t>
        </is>
      </c>
      <c r="C2290" s="233" t="n">
        <v>46071</v>
      </c>
      <c r="D2290" s="232" t="inlineStr">
        <is>
          <t>121872</t>
        </is>
      </c>
      <c r="E2290" s="232" t="inlineStr">
        <is>
          <t>PRORRATEO</t>
        </is>
      </c>
      <c r="F2290" s="232" t="inlineStr">
        <is>
          <t>El Molle</t>
        </is>
      </c>
      <c r="G2290" s="232" t="inlineStr">
        <is>
          <t>orogrande 8,11 ha</t>
        </is>
      </c>
      <c r="H2290" s="232" t="inlineStr">
        <is>
          <t>Clementinas</t>
        </is>
      </c>
      <c r="I2290" s="232" t="inlineStr">
        <is>
          <t>Orogrande</t>
        </is>
      </c>
      <c r="J2290" s="232" t="inlineStr">
        <is>
          <t>COMBUSTIBLE</t>
        </is>
      </c>
      <c r="K2290" s="232" t="inlineStr">
        <is>
          <t>SIB. GRUA HORQUILLA ARRIENDO</t>
        </is>
      </c>
      <c r="L2290" s="232" t="inlineStr">
        <is>
          <t>[PRORRATEO 5.5% 8.11há/148.3há] O/001411 GAS ENV. 1</t>
        </is>
      </c>
      <c r="M2290" s="232" t="inlineStr"/>
      <c r="N2290" s="232" t="inlineStr">
        <is>
          <t>.   .   -</t>
        </is>
      </c>
      <c r="O2290" s="232" t="inlineStr">
        <is>
          <t>FEBRERO</t>
        </is>
      </c>
      <c r="P2290" s="232" t="n">
        <v>7</v>
      </c>
      <c r="Q2290" s="234" t="n">
        <v>4588</v>
      </c>
      <c r="R2290" s="232" t="inlineStr"/>
      <c r="S2290" s="234" t="n">
        <v>4588</v>
      </c>
      <c r="T2290" s="232" t="inlineStr">
        <is>
          <t>CLP</t>
        </is>
      </c>
      <c r="U2290" s="232" t="inlineStr">
        <is>
          <t>Prorrateo Ha PACKING</t>
        </is>
      </c>
      <c r="V2290" s="232" t="inlineStr">
        <is>
          <t>2026-06-18</t>
        </is>
      </c>
    </row>
    <row r="2291">
      <c r="A2291" s="232" t="inlineStr">
        <is>
          <t>CR-2288</t>
        </is>
      </c>
      <c r="B2291" s="232" t="inlineStr">
        <is>
          <t>2026/27</t>
        </is>
      </c>
      <c r="C2291" s="233" t="n">
        <v>46071</v>
      </c>
      <c r="D2291" s="232" t="inlineStr">
        <is>
          <t>121872</t>
        </is>
      </c>
      <c r="E2291" s="232" t="inlineStr">
        <is>
          <t>PRORRATEO</t>
        </is>
      </c>
      <c r="F2291" s="232" t="inlineStr">
        <is>
          <t>El Molle</t>
        </is>
      </c>
      <c r="G2291" s="232" t="inlineStr">
        <is>
          <t>oronules 5,35 ha</t>
        </is>
      </c>
      <c r="H2291" s="232" t="inlineStr">
        <is>
          <t>Clementinas</t>
        </is>
      </c>
      <c r="I2291" s="232" t="inlineStr">
        <is>
          <t>Oronules</t>
        </is>
      </c>
      <c r="J2291" s="232" t="inlineStr">
        <is>
          <t>COMBUSTIBLE</t>
        </is>
      </c>
      <c r="K2291" s="232" t="inlineStr">
        <is>
          <t>SIB. GRUA HORQUILLA ARRIENDO</t>
        </is>
      </c>
      <c r="L2291" s="232" t="inlineStr">
        <is>
          <t>[PRORRATEO 3.6% 5.35há/148.3há] O/001411 GAS ENV. 1</t>
        </is>
      </c>
      <c r="M2291" s="232" t="inlineStr"/>
      <c r="N2291" s="232" t="inlineStr">
        <is>
          <t>.   .   -</t>
        </is>
      </c>
      <c r="O2291" s="232" t="inlineStr">
        <is>
          <t>FEBRERO</t>
        </is>
      </c>
      <c r="P2291" s="232" t="n">
        <v>7</v>
      </c>
      <c r="Q2291" s="234" t="n">
        <v>3027</v>
      </c>
      <c r="R2291" s="232" t="inlineStr"/>
      <c r="S2291" s="234" t="n">
        <v>3027</v>
      </c>
      <c r="T2291" s="232" t="inlineStr">
        <is>
          <t>CLP</t>
        </is>
      </c>
      <c r="U2291" s="232" t="inlineStr">
        <is>
          <t>Prorrateo Ha PACKING</t>
        </is>
      </c>
      <c r="V2291" s="232" t="inlineStr">
        <is>
          <t>2026-06-18</t>
        </is>
      </c>
    </row>
    <row r="2292">
      <c r="A2292" s="232" t="inlineStr">
        <is>
          <t>CR-2289</t>
        </is>
      </c>
      <c r="B2292" s="232" t="inlineStr">
        <is>
          <t>2026/27</t>
        </is>
      </c>
      <c r="C2292" s="233" t="n">
        <v>46071</v>
      </c>
      <c r="D2292" s="232" t="inlineStr">
        <is>
          <t>121872</t>
        </is>
      </c>
      <c r="E2292" s="232" t="inlineStr">
        <is>
          <t>PRORRATEO</t>
        </is>
      </c>
      <c r="F2292" s="232" t="inlineStr">
        <is>
          <t>Santa Catalina</t>
        </is>
      </c>
      <c r="G2292" s="232" t="inlineStr">
        <is>
          <t>Fino 49 7,7 ha</t>
        </is>
      </c>
      <c r="H2292" s="232" t="inlineStr">
        <is>
          <t>Limon</t>
        </is>
      </c>
      <c r="I2292" s="232" t="inlineStr">
        <is>
          <t>Fino 49</t>
        </is>
      </c>
      <c r="J2292" s="232" t="inlineStr">
        <is>
          <t>COMBUSTIBLE</t>
        </is>
      </c>
      <c r="K2292" s="232" t="inlineStr">
        <is>
          <t>SIB. GRUA HORQUILLA ARRIENDO</t>
        </is>
      </c>
      <c r="L2292" s="232" t="inlineStr">
        <is>
          <t>[PRORRATEO 5.2% 7.7há/148.3há] O/001411 GAS ENV. 1</t>
        </is>
      </c>
      <c r="M2292" s="232" t="inlineStr"/>
      <c r="N2292" s="232" t="inlineStr">
        <is>
          <t>.   .   -</t>
        </is>
      </c>
      <c r="O2292" s="232" t="inlineStr">
        <is>
          <t>FEBRERO</t>
        </is>
      </c>
      <c r="P2292" s="232" t="n">
        <v>7</v>
      </c>
      <c r="Q2292" s="234" t="n">
        <v>4356</v>
      </c>
      <c r="R2292" s="232" t="inlineStr"/>
      <c r="S2292" s="234" t="n">
        <v>4356</v>
      </c>
      <c r="T2292" s="232" t="inlineStr">
        <is>
          <t>CLP</t>
        </is>
      </c>
      <c r="U2292" s="232" t="inlineStr">
        <is>
          <t>Prorrateo Ha PACKING</t>
        </is>
      </c>
      <c r="V2292" s="232" t="inlineStr">
        <is>
          <t>2026-06-18</t>
        </is>
      </c>
    </row>
    <row r="2293">
      <c r="A2293" s="232" t="inlineStr">
        <is>
          <t>CR-2290</t>
        </is>
      </c>
      <c r="B2293" s="232" t="inlineStr">
        <is>
          <t>2026/27</t>
        </is>
      </c>
      <c r="C2293" s="233" t="n">
        <v>46071</v>
      </c>
      <c r="D2293" s="232" t="inlineStr">
        <is>
          <t>121872</t>
        </is>
      </c>
      <c r="E2293" s="232" t="inlineStr">
        <is>
          <t>PRORRATEO</t>
        </is>
      </c>
      <c r="F2293" s="232" t="inlineStr">
        <is>
          <t>Santa Catalina</t>
        </is>
      </c>
      <c r="G2293" s="232" t="inlineStr">
        <is>
          <t>W. murcott 21 ha</t>
        </is>
      </c>
      <c r="H2293" s="232" t="inlineStr">
        <is>
          <t>Mandarina</t>
        </is>
      </c>
      <c r="I2293" s="232" t="inlineStr">
        <is>
          <t>W. murcott</t>
        </is>
      </c>
      <c r="J2293" s="232" t="inlineStr">
        <is>
          <t>COMBUSTIBLE</t>
        </is>
      </c>
      <c r="K2293" s="232" t="inlineStr">
        <is>
          <t>SIB. GRUA HORQUILLA ARRIENDO</t>
        </is>
      </c>
      <c r="L2293" s="232" t="inlineStr">
        <is>
          <t>[PRORRATEO 14.2% 21.0há/148.3há] O/001411 GAS ENV. 1</t>
        </is>
      </c>
      <c r="M2293" s="232" t="inlineStr"/>
      <c r="N2293" s="232" t="inlineStr">
        <is>
          <t>.   .   -</t>
        </is>
      </c>
      <c r="O2293" s="232" t="inlineStr">
        <is>
          <t>FEBRERO</t>
        </is>
      </c>
      <c r="P2293" s="232" t="n">
        <v>7</v>
      </c>
      <c r="Q2293" s="234" t="n">
        <v>11880</v>
      </c>
      <c r="R2293" s="232" t="inlineStr"/>
      <c r="S2293" s="234" t="n">
        <v>11880</v>
      </c>
      <c r="T2293" s="232" t="inlineStr">
        <is>
          <t>CLP</t>
        </is>
      </c>
      <c r="U2293" s="232" t="inlineStr">
        <is>
          <t>Prorrateo Ha PACKING</t>
        </is>
      </c>
      <c r="V2293" s="232" t="inlineStr">
        <is>
          <t>2026-06-18</t>
        </is>
      </c>
    </row>
    <row r="2294">
      <c r="A2294" s="232" t="inlineStr">
        <is>
          <t>CR-2291</t>
        </is>
      </c>
      <c r="B2294" s="232" t="inlineStr">
        <is>
          <t>2026/27</t>
        </is>
      </c>
      <c r="C2294" s="233" t="n">
        <v>46071</v>
      </c>
      <c r="D2294" s="232" t="inlineStr">
        <is>
          <t>121872</t>
        </is>
      </c>
      <c r="E2294" s="232" t="inlineStr">
        <is>
          <t>PRORRATEO</t>
        </is>
      </c>
      <c r="F2294" s="232" t="inlineStr">
        <is>
          <t>Santa Catalina</t>
        </is>
      </c>
      <c r="G2294" s="232" t="inlineStr">
        <is>
          <t>cambria 4,2 ha</t>
        </is>
      </c>
      <c r="H2294" s="232" t="inlineStr">
        <is>
          <t>Naranjas</t>
        </is>
      </c>
      <c r="I2294" s="232" t="inlineStr">
        <is>
          <t>Cambria</t>
        </is>
      </c>
      <c r="J2294" s="232" t="inlineStr">
        <is>
          <t>COMBUSTIBLE</t>
        </is>
      </c>
      <c r="K2294" s="232" t="inlineStr">
        <is>
          <t>SIB. GRUA HORQUILLA ARRIENDO</t>
        </is>
      </c>
      <c r="L2294" s="232" t="inlineStr">
        <is>
          <t>[PRORRATEO 2.8% 4.2há/148.3há] O/001411 GAS ENV. 1</t>
        </is>
      </c>
      <c r="M2294" s="232" t="inlineStr"/>
      <c r="N2294" s="232" t="inlineStr">
        <is>
          <t>.   .   -</t>
        </is>
      </c>
      <c r="O2294" s="232" t="inlineStr">
        <is>
          <t>FEBRERO</t>
        </is>
      </c>
      <c r="P2294" s="232" t="n">
        <v>7</v>
      </c>
      <c r="Q2294" s="234" t="n">
        <v>2376</v>
      </c>
      <c r="R2294" s="232" t="inlineStr"/>
      <c r="S2294" s="234" t="n">
        <v>2376</v>
      </c>
      <c r="T2294" s="232" t="inlineStr">
        <is>
          <t>CLP</t>
        </is>
      </c>
      <c r="U2294" s="232" t="inlineStr">
        <is>
          <t>Prorrateo Ha PACKING</t>
        </is>
      </c>
      <c r="V2294" s="232" t="inlineStr">
        <is>
          <t>2026-06-18</t>
        </is>
      </c>
    </row>
    <row r="2295">
      <c r="A2295" s="232" t="inlineStr">
        <is>
          <t>CR-2292</t>
        </is>
      </c>
      <c r="B2295" s="232" t="inlineStr">
        <is>
          <t>2026/27</t>
        </is>
      </c>
      <c r="C2295" s="233" t="n">
        <v>46071</v>
      </c>
      <c r="D2295" s="232" t="inlineStr">
        <is>
          <t>121872</t>
        </is>
      </c>
      <c r="E2295" s="232" t="inlineStr">
        <is>
          <t>PRORRATEO</t>
        </is>
      </c>
      <c r="F2295" s="232" t="inlineStr">
        <is>
          <t>Santa Catalina</t>
        </is>
      </c>
      <c r="G2295" s="232" t="inlineStr">
        <is>
          <t>eureka 10,6 ha</t>
        </is>
      </c>
      <c r="H2295" s="232" t="inlineStr">
        <is>
          <t>Limon</t>
        </is>
      </c>
      <c r="I2295" s="232" t="inlineStr">
        <is>
          <t>Eureka</t>
        </is>
      </c>
      <c r="J2295" s="232" t="inlineStr">
        <is>
          <t>COMBUSTIBLE</t>
        </is>
      </c>
      <c r="K2295" s="232" t="inlineStr">
        <is>
          <t>SIB. GRUA HORQUILLA ARRIENDO</t>
        </is>
      </c>
      <c r="L2295" s="232" t="inlineStr">
        <is>
          <t>[PRORRATEO 7.1% 10.6há/148.3há] O/001411 GAS ENV. 1</t>
        </is>
      </c>
      <c r="M2295" s="232" t="inlineStr"/>
      <c r="N2295" s="232" t="inlineStr">
        <is>
          <t>.   .   -</t>
        </is>
      </c>
      <c r="O2295" s="232" t="inlineStr">
        <is>
          <t>FEBRERO</t>
        </is>
      </c>
      <c r="P2295" s="232" t="n">
        <v>7</v>
      </c>
      <c r="Q2295" s="234" t="n">
        <v>5997</v>
      </c>
      <c r="R2295" s="232" t="inlineStr"/>
      <c r="S2295" s="234" t="n">
        <v>5997</v>
      </c>
      <c r="T2295" s="232" t="inlineStr">
        <is>
          <t>CLP</t>
        </is>
      </c>
      <c r="U2295" s="232" t="inlineStr">
        <is>
          <t>Prorrateo Ha PACKING</t>
        </is>
      </c>
      <c r="V2295" s="232" t="inlineStr">
        <is>
          <t>2026-06-18</t>
        </is>
      </c>
    </row>
    <row r="2296">
      <c r="A2296" s="232" t="inlineStr">
        <is>
          <t>CR-2293</t>
        </is>
      </c>
      <c r="B2296" s="232" t="inlineStr">
        <is>
          <t>2026/27</t>
        </is>
      </c>
      <c r="C2296" s="233" t="n">
        <v>46071</v>
      </c>
      <c r="D2296" s="232" t="inlineStr">
        <is>
          <t>121872</t>
        </is>
      </c>
      <c r="E2296" s="232" t="inlineStr">
        <is>
          <t>PRORRATEO</t>
        </is>
      </c>
      <c r="F2296" s="232" t="inlineStr">
        <is>
          <t>Santa Catalina</t>
        </is>
      </c>
      <c r="G2296" s="232" t="inlineStr">
        <is>
          <t>eureka 14,4 ha</t>
        </is>
      </c>
      <c r="H2296" s="232" t="inlineStr">
        <is>
          <t>Limon</t>
        </is>
      </c>
      <c r="I2296" s="232" t="inlineStr">
        <is>
          <t>Eureka</t>
        </is>
      </c>
      <c r="J2296" s="232" t="inlineStr">
        <is>
          <t>COMBUSTIBLE</t>
        </is>
      </c>
      <c r="K2296" s="232" t="inlineStr">
        <is>
          <t>SIB. GRUA HORQUILLA ARRIENDO</t>
        </is>
      </c>
      <c r="L2296" s="232" t="inlineStr">
        <is>
          <t>[PRORRATEO 9.7% 14.4há/148.3há] O/001411 GAS ENV. 1</t>
        </is>
      </c>
      <c r="M2296" s="232" t="inlineStr"/>
      <c r="N2296" s="232" t="inlineStr">
        <is>
          <t>.   .   -</t>
        </is>
      </c>
      <c r="O2296" s="232" t="inlineStr">
        <is>
          <t>FEBRERO</t>
        </is>
      </c>
      <c r="P2296" s="232" t="n">
        <v>7</v>
      </c>
      <c r="Q2296" s="234" t="n">
        <v>8146</v>
      </c>
      <c r="R2296" s="232" t="inlineStr"/>
      <c r="S2296" s="234" t="n">
        <v>8146</v>
      </c>
      <c r="T2296" s="232" t="inlineStr">
        <is>
          <t>CLP</t>
        </is>
      </c>
      <c r="U2296" s="232" t="inlineStr">
        <is>
          <t>Prorrateo Ha PACKING</t>
        </is>
      </c>
      <c r="V2296" s="232" t="inlineStr">
        <is>
          <t>2026-06-18</t>
        </is>
      </c>
    </row>
    <row r="2297">
      <c r="A2297" s="232" t="inlineStr">
        <is>
          <t>CR-2294</t>
        </is>
      </c>
      <c r="B2297" s="232" t="inlineStr">
        <is>
          <t>2026/27</t>
        </is>
      </c>
      <c r="C2297" s="233" t="n">
        <v>46071</v>
      </c>
      <c r="D2297" s="232" t="inlineStr">
        <is>
          <t>121872</t>
        </is>
      </c>
      <c r="E2297" s="232" t="inlineStr">
        <is>
          <t>PRORRATEO</t>
        </is>
      </c>
      <c r="F2297" s="232" t="inlineStr">
        <is>
          <t>Santa Catalina</t>
        </is>
      </c>
      <c r="G2297" s="232" t="inlineStr">
        <is>
          <t>eureka 22,55</t>
        </is>
      </c>
      <c r="H2297" s="232" t="inlineStr">
        <is>
          <t>Limon</t>
        </is>
      </c>
      <c r="I2297" s="232" t="inlineStr">
        <is>
          <t>Eureka</t>
        </is>
      </c>
      <c r="J2297" s="232" t="inlineStr">
        <is>
          <t>COMBUSTIBLE</t>
        </is>
      </c>
      <c r="K2297" s="232" t="inlineStr">
        <is>
          <t>SIB. GRUA HORQUILLA ARRIENDO</t>
        </is>
      </c>
      <c r="L2297" s="232" t="inlineStr">
        <is>
          <t>[PRORRATEO 15.2% 22.55há/148.3há] O/001411 GAS ENV. 1</t>
        </is>
      </c>
      <c r="M2297" s="232" t="inlineStr"/>
      <c r="N2297" s="232" t="inlineStr">
        <is>
          <t>.   .   -</t>
        </is>
      </c>
      <c r="O2297" s="232" t="inlineStr">
        <is>
          <t>FEBRERO</t>
        </is>
      </c>
      <c r="P2297" s="232" t="n">
        <v>7</v>
      </c>
      <c r="Q2297" s="234" t="n">
        <v>12757</v>
      </c>
      <c r="R2297" s="232" t="inlineStr"/>
      <c r="S2297" s="234" t="n">
        <v>12757</v>
      </c>
      <c r="T2297" s="232" t="inlineStr">
        <is>
          <t>CLP</t>
        </is>
      </c>
      <c r="U2297" s="232" t="inlineStr">
        <is>
          <t>Prorrateo Ha PACKING</t>
        </is>
      </c>
      <c r="V2297" s="232" t="inlineStr">
        <is>
          <t>2026-06-18</t>
        </is>
      </c>
    </row>
    <row r="2298">
      <c r="A2298" s="232" t="inlineStr">
        <is>
          <t>CR-2295</t>
        </is>
      </c>
      <c r="B2298" s="232" t="inlineStr">
        <is>
          <t>2026/27</t>
        </is>
      </c>
      <c r="C2298" s="233" t="n">
        <v>46071</v>
      </c>
      <c r="D2298" s="232" t="inlineStr">
        <is>
          <t>121872</t>
        </is>
      </c>
      <c r="E2298" s="232" t="inlineStr">
        <is>
          <t>PRORRATEO</t>
        </is>
      </c>
      <c r="F2298" s="232" t="inlineStr">
        <is>
          <t>Santa Catalina</t>
        </is>
      </c>
      <c r="G2298" s="232" t="inlineStr">
        <is>
          <t>form benjamin 1,93 ha</t>
        </is>
      </c>
      <c r="H2298" s="232" t="inlineStr">
        <is>
          <t>Limon</t>
        </is>
      </c>
      <c r="I2298" s="232" t="inlineStr">
        <is>
          <t>Benjamin andes</t>
        </is>
      </c>
      <c r="J2298" s="232" t="inlineStr">
        <is>
          <t>COMBUSTIBLE</t>
        </is>
      </c>
      <c r="K2298" s="232" t="inlineStr">
        <is>
          <t>SIB. GRUA HORQUILLA ARRIENDO</t>
        </is>
      </c>
      <c r="L2298" s="232" t="inlineStr">
        <is>
          <t>[PRORRATEO 1.3% 1.93há/148.3há] O/001411 GAS ENV. 1</t>
        </is>
      </c>
      <c r="M2298" s="232" t="inlineStr"/>
      <c r="N2298" s="232" t="inlineStr">
        <is>
          <t>.   .   -</t>
        </is>
      </c>
      <c r="O2298" s="232" t="inlineStr">
        <is>
          <t>FEBRERO</t>
        </is>
      </c>
      <c r="P2298" s="232" t="n">
        <v>7</v>
      </c>
      <c r="Q2298" s="234" t="n">
        <v>1092</v>
      </c>
      <c r="R2298" s="232" t="inlineStr"/>
      <c r="S2298" s="234" t="n">
        <v>1092</v>
      </c>
      <c r="T2298" s="232" t="inlineStr">
        <is>
          <t>CLP</t>
        </is>
      </c>
      <c r="U2298" s="232" t="inlineStr">
        <is>
          <t>Prorrateo Ha PACKING</t>
        </is>
      </c>
      <c r="V2298" s="232" t="inlineStr">
        <is>
          <t>2026-06-18</t>
        </is>
      </c>
    </row>
    <row r="2299">
      <c r="A2299" s="232" t="inlineStr">
        <is>
          <t>CR-2296</t>
        </is>
      </c>
      <c r="B2299" s="232" t="inlineStr">
        <is>
          <t>2026/27</t>
        </is>
      </c>
      <c r="C2299" s="233" t="n">
        <v>46071</v>
      </c>
      <c r="D2299" s="232" t="inlineStr">
        <is>
          <t>121872</t>
        </is>
      </c>
      <c r="E2299" s="232" t="inlineStr">
        <is>
          <t>PRORRATEO</t>
        </is>
      </c>
      <c r="F2299" s="232" t="inlineStr">
        <is>
          <t>Santa Catalina</t>
        </is>
      </c>
      <c r="G2299" s="232" t="inlineStr">
        <is>
          <t>mant eureka 2,5 ha</t>
        </is>
      </c>
      <c r="H2299" s="232" t="inlineStr">
        <is>
          <t>Limon</t>
        </is>
      </c>
      <c r="I2299" s="232" t="inlineStr">
        <is>
          <t>Eureka</t>
        </is>
      </c>
      <c r="J2299" s="232" t="inlineStr">
        <is>
          <t>COMBUSTIBLE</t>
        </is>
      </c>
      <c r="K2299" s="232" t="inlineStr">
        <is>
          <t>SIB. GRUA HORQUILLA ARRIENDO</t>
        </is>
      </c>
      <c r="L2299" s="232" t="inlineStr">
        <is>
          <t>[PRORRATEO 1.7% 2.5há/148.3há] O/001411 GAS ENV. 1</t>
        </is>
      </c>
      <c r="M2299" s="232" t="inlineStr"/>
      <c r="N2299" s="232" t="inlineStr">
        <is>
          <t>.   .   -</t>
        </is>
      </c>
      <c r="O2299" s="232" t="inlineStr">
        <is>
          <t>FEBRERO</t>
        </is>
      </c>
      <c r="P2299" s="232" t="n">
        <v>7</v>
      </c>
      <c r="Q2299" s="234" t="n">
        <v>1414</v>
      </c>
      <c r="R2299" s="232" t="inlineStr"/>
      <c r="S2299" s="234" t="n">
        <v>1414</v>
      </c>
      <c r="T2299" s="232" t="inlineStr">
        <is>
          <t>CLP</t>
        </is>
      </c>
      <c r="U2299" s="232" t="inlineStr">
        <is>
          <t>Prorrateo Ha PACKING</t>
        </is>
      </c>
      <c r="V2299" s="232" t="inlineStr">
        <is>
          <t>2026-06-18</t>
        </is>
      </c>
    </row>
    <row r="2300">
      <c r="A2300" s="232" t="inlineStr">
        <is>
          <t>CR-2297</t>
        </is>
      </c>
      <c r="B2300" s="232" t="inlineStr">
        <is>
          <t>2026/27</t>
        </is>
      </c>
      <c r="C2300" s="233" t="n">
        <v>46071</v>
      </c>
      <c r="D2300" s="232" t="inlineStr">
        <is>
          <t>121872</t>
        </is>
      </c>
      <c r="E2300" s="232" t="inlineStr">
        <is>
          <t>PRORRATEO</t>
        </is>
      </c>
      <c r="F2300" s="232" t="inlineStr">
        <is>
          <t>Siberia</t>
        </is>
      </c>
      <c r="G2300" s="232" t="inlineStr">
        <is>
          <t>S. Celebration 7,14</t>
        </is>
      </c>
      <c r="H2300" s="232" t="inlineStr">
        <is>
          <t>Uvas</t>
        </is>
      </c>
      <c r="I2300" s="232" t="inlineStr">
        <is>
          <t>S. celebration</t>
        </is>
      </c>
      <c r="J2300" s="232" t="inlineStr">
        <is>
          <t>COMBUSTIBLE</t>
        </is>
      </c>
      <c r="K2300" s="232" t="inlineStr">
        <is>
          <t>SIB. GRUA HORQUILLA ARRIENDO</t>
        </is>
      </c>
      <c r="L2300" s="232" t="inlineStr">
        <is>
          <t>[PRORRATEO 4.8% 7.14há/148.3há] O/001411 GAS ENV. 1</t>
        </is>
      </c>
      <c r="M2300" s="232" t="inlineStr"/>
      <c r="N2300" s="232" t="inlineStr">
        <is>
          <t>.   .   -</t>
        </is>
      </c>
      <c r="O2300" s="232" t="inlineStr">
        <is>
          <t>FEBRERO</t>
        </is>
      </c>
      <c r="P2300" s="232" t="n">
        <v>7</v>
      </c>
      <c r="Q2300" s="234" t="n">
        <v>4039</v>
      </c>
      <c r="R2300" s="232" t="inlineStr"/>
      <c r="S2300" s="234" t="n">
        <v>4039</v>
      </c>
      <c r="T2300" s="232" t="inlineStr">
        <is>
          <t>CLP</t>
        </is>
      </c>
      <c r="U2300" s="232" t="inlineStr">
        <is>
          <t>Prorrateo Ha PACKING</t>
        </is>
      </c>
      <c r="V2300" s="232" t="inlineStr">
        <is>
          <t>2026-06-18</t>
        </is>
      </c>
    </row>
    <row r="2301">
      <c r="A2301" s="232" t="inlineStr">
        <is>
          <t>CR-2298</t>
        </is>
      </c>
      <c r="B2301" s="232" t="inlineStr">
        <is>
          <t>2026/27</t>
        </is>
      </c>
      <c r="C2301" s="233" t="n">
        <v>46071</v>
      </c>
      <c r="D2301" s="232" t="inlineStr">
        <is>
          <t>121872</t>
        </is>
      </c>
      <c r="E2301" s="232" t="inlineStr">
        <is>
          <t>PRORRATEO</t>
        </is>
      </c>
      <c r="F2301" s="232" t="inlineStr">
        <is>
          <t>Siberia</t>
        </is>
      </c>
      <c r="G2301" s="232" t="inlineStr">
        <is>
          <t>Timpson 7,1</t>
        </is>
      </c>
      <c r="H2301" s="232" t="inlineStr">
        <is>
          <t>Uvas</t>
        </is>
      </c>
      <c r="I2301" s="232" t="inlineStr">
        <is>
          <t>Timpson</t>
        </is>
      </c>
      <c r="J2301" s="232" t="inlineStr">
        <is>
          <t>COMBUSTIBLE</t>
        </is>
      </c>
      <c r="K2301" s="232" t="inlineStr">
        <is>
          <t>SIB. GRUA HORQUILLA ARRIENDO</t>
        </is>
      </c>
      <c r="L2301" s="232" t="inlineStr">
        <is>
          <t>[PRORRATEO 4.8% 7.1há/148.3há] O/001411 GAS ENV. 1</t>
        </is>
      </c>
      <c r="M2301" s="232" t="inlineStr"/>
      <c r="N2301" s="232" t="inlineStr">
        <is>
          <t>.   .   -</t>
        </is>
      </c>
      <c r="O2301" s="232" t="inlineStr">
        <is>
          <t>FEBRERO</t>
        </is>
      </c>
      <c r="P2301" s="232" t="n">
        <v>7</v>
      </c>
      <c r="Q2301" s="234" t="n">
        <v>4017</v>
      </c>
      <c r="R2301" s="232" t="inlineStr"/>
      <c r="S2301" s="234" t="n">
        <v>4017</v>
      </c>
      <c r="T2301" s="232" t="inlineStr">
        <is>
          <t>CLP</t>
        </is>
      </c>
      <c r="U2301" s="232" t="inlineStr">
        <is>
          <t>Prorrateo Ha PACKING</t>
        </is>
      </c>
      <c r="V2301" s="232" t="inlineStr">
        <is>
          <t>2026-06-18</t>
        </is>
      </c>
    </row>
    <row r="2302">
      <c r="A2302" s="232" t="inlineStr">
        <is>
          <t>CR-2299</t>
        </is>
      </c>
      <c r="B2302" s="232" t="inlineStr">
        <is>
          <t>2026/27</t>
        </is>
      </c>
      <c r="C2302" s="233" t="n">
        <v>46076</v>
      </c>
      <c r="D2302" s="232" t="inlineStr">
        <is>
          <t>110416</t>
        </is>
      </c>
      <c r="E2302" s="232" t="inlineStr">
        <is>
          <t>PRORRATEO</t>
        </is>
      </c>
      <c r="F2302" s="232" t="inlineStr">
        <is>
          <t>Asmara</t>
        </is>
      </c>
      <c r="G2302" s="232" t="inlineStr">
        <is>
          <t>w. murcott 19,8 ha</t>
        </is>
      </c>
      <c r="H2302" s="232" t="inlineStr">
        <is>
          <t>Mandarina</t>
        </is>
      </c>
      <c r="I2302" s="232" t="inlineStr">
        <is>
          <t>W. murcott</t>
        </is>
      </c>
      <c r="J2302" s="232" t="inlineStr">
        <is>
          <t>GASTOS GENERALES</t>
        </is>
      </c>
      <c r="K2302" s="232" t="inlineStr">
        <is>
          <t>AGUA</t>
        </is>
      </c>
      <c r="L2302" s="232" t="inlineStr">
        <is>
          <t>[PRORRATEO 13.4% 19.8há/148.3há] O/001417 RECARGA BO</t>
        </is>
      </c>
      <c r="M2302" s="232" t="inlineStr"/>
      <c r="N2302" s="232" t="inlineStr">
        <is>
          <t>.   .   -</t>
        </is>
      </c>
      <c r="O2302" s="232" t="inlineStr">
        <is>
          <t>FEBRERO</t>
        </is>
      </c>
      <c r="P2302" s="232" t="n">
        <v>8</v>
      </c>
      <c r="Q2302" s="234" t="n">
        <v>1077</v>
      </c>
      <c r="R2302" s="232" t="inlineStr"/>
      <c r="S2302" s="234" t="n">
        <v>1077</v>
      </c>
      <c r="T2302" s="232" t="inlineStr">
        <is>
          <t>CLP</t>
        </is>
      </c>
      <c r="U2302" s="232" t="inlineStr">
        <is>
          <t>Prorrateo Ha PACKING</t>
        </is>
      </c>
      <c r="V2302" s="232" t="inlineStr">
        <is>
          <t>2026-06-18</t>
        </is>
      </c>
    </row>
    <row r="2303">
      <c r="A2303" s="232" t="inlineStr">
        <is>
          <t>CR-2300</t>
        </is>
      </c>
      <c r="B2303" s="232" t="inlineStr">
        <is>
          <t>2026/27</t>
        </is>
      </c>
      <c r="C2303" s="233" t="n">
        <v>46076</v>
      </c>
      <c r="D2303" s="232" t="inlineStr">
        <is>
          <t>110416</t>
        </is>
      </c>
      <c r="E2303" s="232" t="inlineStr">
        <is>
          <t>PRORRATEO</t>
        </is>
      </c>
      <c r="F2303" s="232" t="inlineStr">
        <is>
          <t>Asmara</t>
        </is>
      </c>
      <c r="G2303" s="232" t="inlineStr">
        <is>
          <t>w. murcott 4,9 ha</t>
        </is>
      </c>
      <c r="H2303" s="232" t="inlineStr">
        <is>
          <t>Mandarina</t>
        </is>
      </c>
      <c r="I2303" s="232" t="inlineStr">
        <is>
          <t>W. murcott</t>
        </is>
      </c>
      <c r="J2303" s="232" t="inlineStr">
        <is>
          <t>GASTOS GENERALES</t>
        </is>
      </c>
      <c r="K2303" s="232" t="inlineStr">
        <is>
          <t>AGUA</t>
        </is>
      </c>
      <c r="L2303" s="232" t="inlineStr">
        <is>
          <t>[PRORRATEO 3.3% 4.9há/148.3há] O/001417 RECARGA BO</t>
        </is>
      </c>
      <c r="M2303" s="232" t="inlineStr"/>
      <c r="N2303" s="232" t="inlineStr">
        <is>
          <t>.   .   -</t>
        </is>
      </c>
      <c r="O2303" s="232" t="inlineStr">
        <is>
          <t>FEBRERO</t>
        </is>
      </c>
      <c r="P2303" s="232" t="n">
        <v>8</v>
      </c>
      <c r="Q2303" s="234" t="n">
        <v>267</v>
      </c>
      <c r="R2303" s="232" t="inlineStr"/>
      <c r="S2303" s="234" t="n">
        <v>267</v>
      </c>
      <c r="T2303" s="232" t="inlineStr">
        <is>
          <t>CLP</t>
        </is>
      </c>
      <c r="U2303" s="232" t="inlineStr">
        <is>
          <t>Prorrateo Ha PACKING</t>
        </is>
      </c>
      <c r="V2303" s="232" t="inlineStr">
        <is>
          <t>2026-06-18</t>
        </is>
      </c>
    </row>
    <row r="2304">
      <c r="A2304" s="232" t="inlineStr">
        <is>
          <t>CR-2301</t>
        </is>
      </c>
      <c r="B2304" s="232" t="inlineStr">
        <is>
          <t>2026/27</t>
        </is>
      </c>
      <c r="C2304" s="233" t="n">
        <v>46076</v>
      </c>
      <c r="D2304" s="232" t="inlineStr">
        <is>
          <t>110416</t>
        </is>
      </c>
      <c r="E2304" s="232" t="inlineStr">
        <is>
          <t>PRORRATEO</t>
        </is>
      </c>
      <c r="F2304" s="232" t="inlineStr">
        <is>
          <t>El Molle</t>
        </is>
      </c>
      <c r="G2304" s="232" t="inlineStr">
        <is>
          <t>Wonderful 5,25 ha</t>
        </is>
      </c>
      <c r="H2304" s="232" t="inlineStr">
        <is>
          <t>Granados</t>
        </is>
      </c>
      <c r="I2304" s="232" t="inlineStr">
        <is>
          <t>Wonderfull</t>
        </is>
      </c>
      <c r="J2304" s="232" t="inlineStr">
        <is>
          <t>GASTOS GENERALES</t>
        </is>
      </c>
      <c r="K2304" s="232" t="inlineStr">
        <is>
          <t>AGUA</t>
        </is>
      </c>
      <c r="L2304" s="232" t="inlineStr">
        <is>
          <t>[PRORRATEO 3.5% 5.24há/148.3há] O/001417 RECARGA BO</t>
        </is>
      </c>
      <c r="M2304" s="232" t="inlineStr"/>
      <c r="N2304" s="232" t="inlineStr">
        <is>
          <t>.   .   -</t>
        </is>
      </c>
      <c r="O2304" s="232" t="inlineStr">
        <is>
          <t>FEBRERO</t>
        </is>
      </c>
      <c r="P2304" s="232" t="n">
        <v>8</v>
      </c>
      <c r="Q2304" s="234" t="n">
        <v>285</v>
      </c>
      <c r="R2304" s="232" t="inlineStr"/>
      <c r="S2304" s="234" t="n">
        <v>285</v>
      </c>
      <c r="T2304" s="232" t="inlineStr">
        <is>
          <t>CLP</t>
        </is>
      </c>
      <c r="U2304" s="232" t="inlineStr">
        <is>
          <t>Prorrateo Ha PACKING</t>
        </is>
      </c>
      <c r="V2304" s="232" t="inlineStr">
        <is>
          <t>2026-06-18</t>
        </is>
      </c>
    </row>
    <row r="2305">
      <c r="A2305" s="232" t="inlineStr">
        <is>
          <t>CR-2302</t>
        </is>
      </c>
      <c r="B2305" s="232" t="inlineStr">
        <is>
          <t>2026/27</t>
        </is>
      </c>
      <c r="C2305" s="233" t="n">
        <v>46076</v>
      </c>
      <c r="D2305" s="232" t="inlineStr">
        <is>
          <t>110416</t>
        </is>
      </c>
      <c r="E2305" s="232" t="inlineStr">
        <is>
          <t>PRORRATEO</t>
        </is>
      </c>
      <c r="F2305" s="232" t="inlineStr">
        <is>
          <t>El Molle</t>
        </is>
      </c>
      <c r="G2305" s="232" t="inlineStr">
        <is>
          <t>arrufatinas 5,74 ha</t>
        </is>
      </c>
      <c r="H2305" s="232" t="inlineStr">
        <is>
          <t>Clementinas</t>
        </is>
      </c>
      <c r="I2305" s="232" t="inlineStr">
        <is>
          <t>Arrufatinas</t>
        </is>
      </c>
      <c r="J2305" s="232" t="inlineStr">
        <is>
          <t>GASTOS GENERALES</t>
        </is>
      </c>
      <c r="K2305" s="232" t="inlineStr">
        <is>
          <t>AGUA</t>
        </is>
      </c>
      <c r="L2305" s="232" t="inlineStr">
        <is>
          <t>[PRORRATEO 3.9% 5.74há/148.3há] O/001417 RECARGA BO</t>
        </is>
      </c>
      <c r="M2305" s="232" t="inlineStr"/>
      <c r="N2305" s="232" t="inlineStr">
        <is>
          <t>.   .   -</t>
        </is>
      </c>
      <c r="O2305" s="232" t="inlineStr">
        <is>
          <t>FEBRERO</t>
        </is>
      </c>
      <c r="P2305" s="232" t="n">
        <v>8</v>
      </c>
      <c r="Q2305" s="234" t="n">
        <v>312</v>
      </c>
      <c r="R2305" s="232" t="inlineStr"/>
      <c r="S2305" s="234" t="n">
        <v>312</v>
      </c>
      <c r="T2305" s="232" t="inlineStr">
        <is>
          <t>CLP</t>
        </is>
      </c>
      <c r="U2305" s="232" t="inlineStr">
        <is>
          <t>Prorrateo Ha PACKING</t>
        </is>
      </c>
      <c r="V2305" s="232" t="inlineStr">
        <is>
          <t>2026-06-18</t>
        </is>
      </c>
    </row>
    <row r="2306">
      <c r="A2306" s="232" t="inlineStr">
        <is>
          <t>CR-2303</t>
        </is>
      </c>
      <c r="B2306" s="232" t="inlineStr">
        <is>
          <t>2026/27</t>
        </is>
      </c>
      <c r="C2306" s="233" t="n">
        <v>46076</v>
      </c>
      <c r="D2306" s="232" t="inlineStr">
        <is>
          <t>110416</t>
        </is>
      </c>
      <c r="E2306" s="232" t="inlineStr">
        <is>
          <t>PRORRATEO</t>
        </is>
      </c>
      <c r="F2306" s="232" t="inlineStr">
        <is>
          <t>El Molle</t>
        </is>
      </c>
      <c r="G2306" s="232" t="inlineStr">
        <is>
          <t>orogrande 8,11 ha</t>
        </is>
      </c>
      <c r="H2306" s="232" t="inlineStr">
        <is>
          <t>Clementinas</t>
        </is>
      </c>
      <c r="I2306" s="232" t="inlineStr">
        <is>
          <t>Orogrande</t>
        </is>
      </c>
      <c r="J2306" s="232" t="inlineStr">
        <is>
          <t>GASTOS GENERALES</t>
        </is>
      </c>
      <c r="K2306" s="232" t="inlineStr">
        <is>
          <t>AGUA</t>
        </is>
      </c>
      <c r="L2306" s="232" t="inlineStr">
        <is>
          <t>[PRORRATEO 5.5% 8.11há/148.3há] O/001417 RECARGA BO</t>
        </is>
      </c>
      <c r="M2306" s="232" t="inlineStr"/>
      <c r="N2306" s="232" t="inlineStr">
        <is>
          <t>.   .   -</t>
        </is>
      </c>
      <c r="O2306" s="232" t="inlineStr">
        <is>
          <t>FEBRERO</t>
        </is>
      </c>
      <c r="P2306" s="232" t="n">
        <v>8</v>
      </c>
      <c r="Q2306" s="234" t="n">
        <v>441</v>
      </c>
      <c r="R2306" s="232" t="inlineStr"/>
      <c r="S2306" s="234" t="n">
        <v>441</v>
      </c>
      <c r="T2306" s="232" t="inlineStr">
        <is>
          <t>CLP</t>
        </is>
      </c>
      <c r="U2306" s="232" t="inlineStr">
        <is>
          <t>Prorrateo Ha PACKING</t>
        </is>
      </c>
      <c r="V2306" s="232" t="inlineStr">
        <is>
          <t>2026-06-18</t>
        </is>
      </c>
    </row>
    <row r="2307">
      <c r="A2307" s="232" t="inlineStr">
        <is>
          <t>CR-2304</t>
        </is>
      </c>
      <c r="B2307" s="232" t="inlineStr">
        <is>
          <t>2026/27</t>
        </is>
      </c>
      <c r="C2307" s="233" t="n">
        <v>46076</v>
      </c>
      <c r="D2307" s="232" t="inlineStr">
        <is>
          <t>110416</t>
        </is>
      </c>
      <c r="E2307" s="232" t="inlineStr">
        <is>
          <t>PRORRATEO</t>
        </is>
      </c>
      <c r="F2307" s="232" t="inlineStr">
        <is>
          <t>El Molle</t>
        </is>
      </c>
      <c r="G2307" s="232" t="inlineStr">
        <is>
          <t>oronules 5,35 ha</t>
        </is>
      </c>
      <c r="H2307" s="232" t="inlineStr">
        <is>
          <t>Clementinas</t>
        </is>
      </c>
      <c r="I2307" s="232" t="inlineStr">
        <is>
          <t>Oronules</t>
        </is>
      </c>
      <c r="J2307" s="232" t="inlineStr">
        <is>
          <t>GASTOS GENERALES</t>
        </is>
      </c>
      <c r="K2307" s="232" t="inlineStr">
        <is>
          <t>AGUA</t>
        </is>
      </c>
      <c r="L2307" s="232" t="inlineStr">
        <is>
          <t>[PRORRATEO 3.6% 5.35há/148.3há] O/001417 RECARGA BO</t>
        </is>
      </c>
      <c r="M2307" s="232" t="inlineStr"/>
      <c r="N2307" s="232" t="inlineStr">
        <is>
          <t>.   .   -</t>
        </is>
      </c>
      <c r="O2307" s="232" t="inlineStr">
        <is>
          <t>FEBRERO</t>
        </is>
      </c>
      <c r="P2307" s="232" t="n">
        <v>8</v>
      </c>
      <c r="Q2307" s="234" t="n">
        <v>291</v>
      </c>
      <c r="R2307" s="232" t="inlineStr"/>
      <c r="S2307" s="234" t="n">
        <v>291</v>
      </c>
      <c r="T2307" s="232" t="inlineStr">
        <is>
          <t>CLP</t>
        </is>
      </c>
      <c r="U2307" s="232" t="inlineStr">
        <is>
          <t>Prorrateo Ha PACKING</t>
        </is>
      </c>
      <c r="V2307" s="232" t="inlineStr">
        <is>
          <t>2026-06-18</t>
        </is>
      </c>
    </row>
    <row r="2308">
      <c r="A2308" s="232" t="inlineStr">
        <is>
          <t>CR-2305</t>
        </is>
      </c>
      <c r="B2308" s="232" t="inlineStr">
        <is>
          <t>2026/27</t>
        </is>
      </c>
      <c r="C2308" s="233" t="n">
        <v>46076</v>
      </c>
      <c r="D2308" s="232" t="inlineStr">
        <is>
          <t>110416</t>
        </is>
      </c>
      <c r="E2308" s="232" t="inlineStr">
        <is>
          <t>PRORRATEO</t>
        </is>
      </c>
      <c r="F2308" s="232" t="inlineStr">
        <is>
          <t>Santa Catalina</t>
        </is>
      </c>
      <c r="G2308" s="232" t="inlineStr">
        <is>
          <t>Fino 49 7,7 ha</t>
        </is>
      </c>
      <c r="H2308" s="232" t="inlineStr">
        <is>
          <t>Limon</t>
        </is>
      </c>
      <c r="I2308" s="232" t="inlineStr">
        <is>
          <t>Fino 49</t>
        </is>
      </c>
      <c r="J2308" s="232" t="inlineStr">
        <is>
          <t>GASTOS GENERALES</t>
        </is>
      </c>
      <c r="K2308" s="232" t="inlineStr">
        <is>
          <t>AGUA</t>
        </is>
      </c>
      <c r="L2308" s="232" t="inlineStr">
        <is>
          <t>[PRORRATEO 5.2% 7.7há/148.3há] O/001417 RECARGA BO</t>
        </is>
      </c>
      <c r="M2308" s="232" t="inlineStr"/>
      <c r="N2308" s="232" t="inlineStr">
        <is>
          <t>.   .   -</t>
        </is>
      </c>
      <c r="O2308" s="232" t="inlineStr">
        <is>
          <t>FEBRERO</t>
        </is>
      </c>
      <c r="P2308" s="232" t="n">
        <v>8</v>
      </c>
      <c r="Q2308" s="234" t="n">
        <v>419</v>
      </c>
      <c r="R2308" s="232" t="inlineStr"/>
      <c r="S2308" s="234" t="n">
        <v>419</v>
      </c>
      <c r="T2308" s="232" t="inlineStr">
        <is>
          <t>CLP</t>
        </is>
      </c>
      <c r="U2308" s="232" t="inlineStr">
        <is>
          <t>Prorrateo Ha PACKING</t>
        </is>
      </c>
      <c r="V2308" s="232" t="inlineStr">
        <is>
          <t>2026-06-18</t>
        </is>
      </c>
    </row>
    <row r="2309">
      <c r="A2309" s="232" t="inlineStr">
        <is>
          <t>CR-2306</t>
        </is>
      </c>
      <c r="B2309" s="232" t="inlineStr">
        <is>
          <t>2026/27</t>
        </is>
      </c>
      <c r="C2309" s="233" t="n">
        <v>46076</v>
      </c>
      <c r="D2309" s="232" t="inlineStr">
        <is>
          <t>110416</t>
        </is>
      </c>
      <c r="E2309" s="232" t="inlineStr">
        <is>
          <t>PRORRATEO</t>
        </is>
      </c>
      <c r="F2309" s="232" t="inlineStr">
        <is>
          <t>Santa Catalina</t>
        </is>
      </c>
      <c r="G2309" s="232" t="inlineStr">
        <is>
          <t>W. murcott 21 ha</t>
        </is>
      </c>
      <c r="H2309" s="232" t="inlineStr">
        <is>
          <t>Mandarina</t>
        </is>
      </c>
      <c r="I2309" s="232" t="inlineStr">
        <is>
          <t>W. murcott</t>
        </is>
      </c>
      <c r="J2309" s="232" t="inlineStr">
        <is>
          <t>GASTOS GENERALES</t>
        </is>
      </c>
      <c r="K2309" s="232" t="inlineStr">
        <is>
          <t>AGUA</t>
        </is>
      </c>
      <c r="L2309" s="232" t="inlineStr">
        <is>
          <t>[PRORRATEO 14.2% 21.0há/148.3há] O/001417 RECARGA BO</t>
        </is>
      </c>
      <c r="M2309" s="232" t="inlineStr"/>
      <c r="N2309" s="232" t="inlineStr">
        <is>
          <t>.   .   -</t>
        </is>
      </c>
      <c r="O2309" s="232" t="inlineStr">
        <is>
          <t>FEBRERO</t>
        </is>
      </c>
      <c r="P2309" s="232" t="n">
        <v>8</v>
      </c>
      <c r="Q2309" s="234" t="n">
        <v>1143</v>
      </c>
      <c r="R2309" s="232" t="inlineStr"/>
      <c r="S2309" s="234" t="n">
        <v>1143</v>
      </c>
      <c r="T2309" s="232" t="inlineStr">
        <is>
          <t>CLP</t>
        </is>
      </c>
      <c r="U2309" s="232" t="inlineStr">
        <is>
          <t>Prorrateo Ha PACKING</t>
        </is>
      </c>
      <c r="V2309" s="232" t="inlineStr">
        <is>
          <t>2026-06-18</t>
        </is>
      </c>
    </row>
    <row r="2310">
      <c r="A2310" s="232" t="inlineStr">
        <is>
          <t>CR-2307</t>
        </is>
      </c>
      <c r="B2310" s="232" t="inlineStr">
        <is>
          <t>2026/27</t>
        </is>
      </c>
      <c r="C2310" s="233" t="n">
        <v>46076</v>
      </c>
      <c r="D2310" s="232" t="inlineStr">
        <is>
          <t>110416</t>
        </is>
      </c>
      <c r="E2310" s="232" t="inlineStr">
        <is>
          <t>PRORRATEO</t>
        </is>
      </c>
      <c r="F2310" s="232" t="inlineStr">
        <is>
          <t>Santa Catalina</t>
        </is>
      </c>
      <c r="G2310" s="232" t="inlineStr">
        <is>
          <t>cambria 4,2 ha</t>
        </is>
      </c>
      <c r="H2310" s="232" t="inlineStr">
        <is>
          <t>Naranjas</t>
        </is>
      </c>
      <c r="I2310" s="232" t="inlineStr">
        <is>
          <t>Cambria</t>
        </is>
      </c>
      <c r="J2310" s="232" t="inlineStr">
        <is>
          <t>GASTOS GENERALES</t>
        </is>
      </c>
      <c r="K2310" s="232" t="inlineStr">
        <is>
          <t>AGUA</t>
        </is>
      </c>
      <c r="L2310" s="232" t="inlineStr">
        <is>
          <t>[PRORRATEO 2.8% 4.2há/148.3há] O/001417 RECARGA BO</t>
        </is>
      </c>
      <c r="M2310" s="232" t="inlineStr"/>
      <c r="N2310" s="232" t="inlineStr">
        <is>
          <t>.   .   -</t>
        </is>
      </c>
      <c r="O2310" s="232" t="inlineStr">
        <is>
          <t>FEBRERO</t>
        </is>
      </c>
      <c r="P2310" s="232" t="n">
        <v>8</v>
      </c>
      <c r="Q2310" s="234" t="n">
        <v>229</v>
      </c>
      <c r="R2310" s="232" t="inlineStr"/>
      <c r="S2310" s="234" t="n">
        <v>229</v>
      </c>
      <c r="T2310" s="232" t="inlineStr">
        <is>
          <t>CLP</t>
        </is>
      </c>
      <c r="U2310" s="232" t="inlineStr">
        <is>
          <t>Prorrateo Ha PACKING</t>
        </is>
      </c>
      <c r="V2310" s="232" t="inlineStr">
        <is>
          <t>2026-06-18</t>
        </is>
      </c>
    </row>
    <row r="2311">
      <c r="A2311" s="232" t="inlineStr">
        <is>
          <t>CR-2308</t>
        </is>
      </c>
      <c r="B2311" s="232" t="inlineStr">
        <is>
          <t>2026/27</t>
        </is>
      </c>
      <c r="C2311" s="233" t="n">
        <v>46076</v>
      </c>
      <c r="D2311" s="232" t="inlineStr">
        <is>
          <t>110416</t>
        </is>
      </c>
      <c r="E2311" s="232" t="inlineStr">
        <is>
          <t>PRORRATEO</t>
        </is>
      </c>
      <c r="F2311" s="232" t="inlineStr">
        <is>
          <t>Santa Catalina</t>
        </is>
      </c>
      <c r="G2311" s="232" t="inlineStr">
        <is>
          <t>eureka 10,6 ha</t>
        </is>
      </c>
      <c r="H2311" s="232" t="inlineStr">
        <is>
          <t>Limon</t>
        </is>
      </c>
      <c r="I2311" s="232" t="inlineStr">
        <is>
          <t>Eureka</t>
        </is>
      </c>
      <c r="J2311" s="232" t="inlineStr">
        <is>
          <t>GASTOS GENERALES</t>
        </is>
      </c>
      <c r="K2311" s="232" t="inlineStr">
        <is>
          <t>AGUA</t>
        </is>
      </c>
      <c r="L2311" s="232" t="inlineStr">
        <is>
          <t>[PRORRATEO 7.1% 10.6há/148.3há] O/001417 RECARGA BO</t>
        </is>
      </c>
      <c r="M2311" s="232" t="inlineStr"/>
      <c r="N2311" s="232" t="inlineStr">
        <is>
          <t>.   .   -</t>
        </is>
      </c>
      <c r="O2311" s="232" t="inlineStr">
        <is>
          <t>FEBRERO</t>
        </is>
      </c>
      <c r="P2311" s="232" t="n">
        <v>8</v>
      </c>
      <c r="Q2311" s="234" t="n">
        <v>577</v>
      </c>
      <c r="R2311" s="232" t="inlineStr"/>
      <c r="S2311" s="234" t="n">
        <v>577</v>
      </c>
      <c r="T2311" s="232" t="inlineStr">
        <is>
          <t>CLP</t>
        </is>
      </c>
      <c r="U2311" s="232" t="inlineStr">
        <is>
          <t>Prorrateo Ha PACKING</t>
        </is>
      </c>
      <c r="V2311" s="232" t="inlineStr">
        <is>
          <t>2026-06-18</t>
        </is>
      </c>
    </row>
    <row r="2312">
      <c r="A2312" s="232" t="inlineStr">
        <is>
          <t>CR-2309</t>
        </is>
      </c>
      <c r="B2312" s="232" t="inlineStr">
        <is>
          <t>2026/27</t>
        </is>
      </c>
      <c r="C2312" s="233" t="n">
        <v>46076</v>
      </c>
      <c r="D2312" s="232" t="inlineStr">
        <is>
          <t>110416</t>
        </is>
      </c>
      <c r="E2312" s="232" t="inlineStr">
        <is>
          <t>PRORRATEO</t>
        </is>
      </c>
      <c r="F2312" s="232" t="inlineStr">
        <is>
          <t>Santa Catalina</t>
        </is>
      </c>
      <c r="G2312" s="232" t="inlineStr">
        <is>
          <t>eureka 14,4 ha</t>
        </is>
      </c>
      <c r="H2312" s="232" t="inlineStr">
        <is>
          <t>Limon</t>
        </is>
      </c>
      <c r="I2312" s="232" t="inlineStr">
        <is>
          <t>Eureka</t>
        </is>
      </c>
      <c r="J2312" s="232" t="inlineStr">
        <is>
          <t>GASTOS GENERALES</t>
        </is>
      </c>
      <c r="K2312" s="232" t="inlineStr">
        <is>
          <t>AGUA</t>
        </is>
      </c>
      <c r="L2312" s="232" t="inlineStr">
        <is>
          <t>[PRORRATEO 9.7% 14.4há/148.3há] O/001417 RECARGA BO</t>
        </is>
      </c>
      <c r="M2312" s="232" t="inlineStr"/>
      <c r="N2312" s="232" t="inlineStr">
        <is>
          <t>.   .   -</t>
        </is>
      </c>
      <c r="O2312" s="232" t="inlineStr">
        <is>
          <t>FEBRERO</t>
        </is>
      </c>
      <c r="P2312" s="232" t="n">
        <v>8</v>
      </c>
      <c r="Q2312" s="234" t="n">
        <v>784</v>
      </c>
      <c r="R2312" s="232" t="inlineStr"/>
      <c r="S2312" s="234" t="n">
        <v>784</v>
      </c>
      <c r="T2312" s="232" t="inlineStr">
        <is>
          <t>CLP</t>
        </is>
      </c>
      <c r="U2312" s="232" t="inlineStr">
        <is>
          <t>Prorrateo Ha PACKING</t>
        </is>
      </c>
      <c r="V2312" s="232" t="inlineStr">
        <is>
          <t>2026-06-18</t>
        </is>
      </c>
    </row>
    <row r="2313">
      <c r="A2313" s="232" t="inlineStr">
        <is>
          <t>CR-2310</t>
        </is>
      </c>
      <c r="B2313" s="232" t="inlineStr">
        <is>
          <t>2026/27</t>
        </is>
      </c>
      <c r="C2313" s="233" t="n">
        <v>46076</v>
      </c>
      <c r="D2313" s="232" t="inlineStr">
        <is>
          <t>110416</t>
        </is>
      </c>
      <c r="E2313" s="232" t="inlineStr">
        <is>
          <t>PRORRATEO</t>
        </is>
      </c>
      <c r="F2313" s="232" t="inlineStr">
        <is>
          <t>Santa Catalina</t>
        </is>
      </c>
      <c r="G2313" s="232" t="inlineStr">
        <is>
          <t>eureka 22,55</t>
        </is>
      </c>
      <c r="H2313" s="232" t="inlineStr">
        <is>
          <t>Limon</t>
        </is>
      </c>
      <c r="I2313" s="232" t="inlineStr">
        <is>
          <t>Eureka</t>
        </is>
      </c>
      <c r="J2313" s="232" t="inlineStr">
        <is>
          <t>GASTOS GENERALES</t>
        </is>
      </c>
      <c r="K2313" s="232" t="inlineStr">
        <is>
          <t>AGUA</t>
        </is>
      </c>
      <c r="L2313" s="232" t="inlineStr">
        <is>
          <t>[PRORRATEO 15.2% 22.55há/148.3há] O/001417 RECARGA BO</t>
        </is>
      </c>
      <c r="M2313" s="232" t="inlineStr"/>
      <c r="N2313" s="232" t="inlineStr">
        <is>
          <t>.   .   -</t>
        </is>
      </c>
      <c r="O2313" s="232" t="inlineStr">
        <is>
          <t>FEBRERO</t>
        </is>
      </c>
      <c r="P2313" s="232" t="n">
        <v>8</v>
      </c>
      <c r="Q2313" s="234" t="n">
        <v>1227</v>
      </c>
      <c r="R2313" s="232" t="inlineStr"/>
      <c r="S2313" s="234" t="n">
        <v>1227</v>
      </c>
      <c r="T2313" s="232" t="inlineStr">
        <is>
          <t>CLP</t>
        </is>
      </c>
      <c r="U2313" s="232" t="inlineStr">
        <is>
          <t>Prorrateo Ha PACKING</t>
        </is>
      </c>
      <c r="V2313" s="232" t="inlineStr">
        <is>
          <t>2026-06-18</t>
        </is>
      </c>
    </row>
    <row r="2314">
      <c r="A2314" s="232" t="inlineStr">
        <is>
          <t>CR-2311</t>
        </is>
      </c>
      <c r="B2314" s="232" t="inlineStr">
        <is>
          <t>2026/27</t>
        </is>
      </c>
      <c r="C2314" s="233" t="n">
        <v>46076</v>
      </c>
      <c r="D2314" s="232" t="inlineStr">
        <is>
          <t>110416</t>
        </is>
      </c>
      <c r="E2314" s="232" t="inlineStr">
        <is>
          <t>PRORRATEO</t>
        </is>
      </c>
      <c r="F2314" s="232" t="inlineStr">
        <is>
          <t>Santa Catalina</t>
        </is>
      </c>
      <c r="G2314" s="232" t="inlineStr">
        <is>
          <t>form benjamin 1,93 ha</t>
        </is>
      </c>
      <c r="H2314" s="232" t="inlineStr">
        <is>
          <t>Limon</t>
        </is>
      </c>
      <c r="I2314" s="232" t="inlineStr">
        <is>
          <t>Benjamin andes</t>
        </is>
      </c>
      <c r="J2314" s="232" t="inlineStr">
        <is>
          <t>GASTOS GENERALES</t>
        </is>
      </c>
      <c r="K2314" s="232" t="inlineStr">
        <is>
          <t>AGUA</t>
        </is>
      </c>
      <c r="L2314" s="232" t="inlineStr">
        <is>
          <t>[PRORRATEO 1.3% 1.93há/148.3há] O/001417 RECARGA BO</t>
        </is>
      </c>
      <c r="M2314" s="232" t="inlineStr"/>
      <c r="N2314" s="232" t="inlineStr">
        <is>
          <t>.   .   -</t>
        </is>
      </c>
      <c r="O2314" s="232" t="inlineStr">
        <is>
          <t>FEBRERO</t>
        </is>
      </c>
      <c r="P2314" s="232" t="n">
        <v>8</v>
      </c>
      <c r="Q2314" s="234" t="n">
        <v>105</v>
      </c>
      <c r="R2314" s="232" t="inlineStr"/>
      <c r="S2314" s="234" t="n">
        <v>105</v>
      </c>
      <c r="T2314" s="232" t="inlineStr">
        <is>
          <t>CLP</t>
        </is>
      </c>
      <c r="U2314" s="232" t="inlineStr">
        <is>
          <t>Prorrateo Ha PACKING</t>
        </is>
      </c>
      <c r="V2314" s="232" t="inlineStr">
        <is>
          <t>2026-06-18</t>
        </is>
      </c>
    </row>
    <row r="2315">
      <c r="A2315" s="232" t="inlineStr">
        <is>
          <t>CR-2312</t>
        </is>
      </c>
      <c r="B2315" s="232" t="inlineStr">
        <is>
          <t>2026/27</t>
        </is>
      </c>
      <c r="C2315" s="233" t="n">
        <v>46076</v>
      </c>
      <c r="D2315" s="232" t="inlineStr">
        <is>
          <t>110416</t>
        </is>
      </c>
      <c r="E2315" s="232" t="inlineStr">
        <is>
          <t>PRORRATEO</t>
        </is>
      </c>
      <c r="F2315" s="232" t="inlineStr">
        <is>
          <t>Santa Catalina</t>
        </is>
      </c>
      <c r="G2315" s="232" t="inlineStr">
        <is>
          <t>mant eureka 2,5 ha</t>
        </is>
      </c>
      <c r="H2315" s="232" t="inlineStr">
        <is>
          <t>Limon</t>
        </is>
      </c>
      <c r="I2315" s="232" t="inlineStr">
        <is>
          <t>Eureka</t>
        </is>
      </c>
      <c r="J2315" s="232" t="inlineStr">
        <is>
          <t>GASTOS GENERALES</t>
        </is>
      </c>
      <c r="K2315" s="232" t="inlineStr">
        <is>
          <t>AGUA</t>
        </is>
      </c>
      <c r="L2315" s="232" t="inlineStr">
        <is>
          <t>[PRORRATEO 1.7% 2.5há/148.3há] O/001417 RECARGA BO</t>
        </is>
      </c>
      <c r="M2315" s="232" t="inlineStr"/>
      <c r="N2315" s="232" t="inlineStr">
        <is>
          <t>.   .   -</t>
        </is>
      </c>
      <c r="O2315" s="232" t="inlineStr">
        <is>
          <t>FEBRERO</t>
        </is>
      </c>
      <c r="P2315" s="232" t="n">
        <v>8</v>
      </c>
      <c r="Q2315" s="234" t="n">
        <v>136</v>
      </c>
      <c r="R2315" s="232" t="inlineStr"/>
      <c r="S2315" s="234" t="n">
        <v>136</v>
      </c>
      <c r="T2315" s="232" t="inlineStr">
        <is>
          <t>CLP</t>
        </is>
      </c>
      <c r="U2315" s="232" t="inlineStr">
        <is>
          <t>Prorrateo Ha PACKING</t>
        </is>
      </c>
      <c r="V2315" s="232" t="inlineStr">
        <is>
          <t>2026-06-18</t>
        </is>
      </c>
    </row>
    <row r="2316">
      <c r="A2316" s="232" t="inlineStr">
        <is>
          <t>CR-2313</t>
        </is>
      </c>
      <c r="B2316" s="232" t="inlineStr">
        <is>
          <t>2026/27</t>
        </is>
      </c>
      <c r="C2316" s="233" t="n">
        <v>46076</v>
      </c>
      <c r="D2316" s="232" t="inlineStr">
        <is>
          <t>110416</t>
        </is>
      </c>
      <c r="E2316" s="232" t="inlineStr">
        <is>
          <t>PRORRATEO</t>
        </is>
      </c>
      <c r="F2316" s="232" t="inlineStr">
        <is>
          <t>Siberia</t>
        </is>
      </c>
      <c r="G2316" s="232" t="inlineStr">
        <is>
          <t>S. Celebration 7,14</t>
        </is>
      </c>
      <c r="H2316" s="232" t="inlineStr">
        <is>
          <t>Uvas</t>
        </is>
      </c>
      <c r="I2316" s="232" t="inlineStr">
        <is>
          <t>S. celebration</t>
        </is>
      </c>
      <c r="J2316" s="232" t="inlineStr">
        <is>
          <t>GASTOS GENERALES</t>
        </is>
      </c>
      <c r="K2316" s="232" t="inlineStr">
        <is>
          <t>AGUA</t>
        </is>
      </c>
      <c r="L2316" s="232" t="inlineStr">
        <is>
          <t>[PRORRATEO 4.8% 7.14há/148.3há] O/001417 RECARGA BO</t>
        </is>
      </c>
      <c r="M2316" s="232" t="inlineStr"/>
      <c r="N2316" s="232" t="inlineStr">
        <is>
          <t>.   .   -</t>
        </is>
      </c>
      <c r="O2316" s="232" t="inlineStr">
        <is>
          <t>FEBRERO</t>
        </is>
      </c>
      <c r="P2316" s="232" t="n">
        <v>8</v>
      </c>
      <c r="Q2316" s="234" t="n">
        <v>388</v>
      </c>
      <c r="R2316" s="232" t="inlineStr"/>
      <c r="S2316" s="234" t="n">
        <v>388</v>
      </c>
      <c r="T2316" s="232" t="inlineStr">
        <is>
          <t>CLP</t>
        </is>
      </c>
      <c r="U2316" s="232" t="inlineStr">
        <is>
          <t>Prorrateo Ha PACKING</t>
        </is>
      </c>
      <c r="V2316" s="232" t="inlineStr">
        <is>
          <t>2026-06-18</t>
        </is>
      </c>
    </row>
    <row r="2317">
      <c r="A2317" s="232" t="inlineStr">
        <is>
          <t>CR-2314</t>
        </is>
      </c>
      <c r="B2317" s="232" t="inlineStr">
        <is>
          <t>2026/27</t>
        </is>
      </c>
      <c r="C2317" s="233" t="n">
        <v>46076</v>
      </c>
      <c r="D2317" s="232" t="inlineStr">
        <is>
          <t>110416</t>
        </is>
      </c>
      <c r="E2317" s="232" t="inlineStr">
        <is>
          <t>PRORRATEO</t>
        </is>
      </c>
      <c r="F2317" s="232" t="inlineStr">
        <is>
          <t>Siberia</t>
        </is>
      </c>
      <c r="G2317" s="232" t="inlineStr">
        <is>
          <t>Timpson 7,1</t>
        </is>
      </c>
      <c r="H2317" s="232" t="inlineStr">
        <is>
          <t>Uvas</t>
        </is>
      </c>
      <c r="I2317" s="232" t="inlineStr">
        <is>
          <t>Timpson</t>
        </is>
      </c>
      <c r="J2317" s="232" t="inlineStr">
        <is>
          <t>GASTOS GENERALES</t>
        </is>
      </c>
      <c r="K2317" s="232" t="inlineStr">
        <is>
          <t>AGUA</t>
        </is>
      </c>
      <c r="L2317" s="232" t="inlineStr">
        <is>
          <t>[PRORRATEO 4.8% 7.1há/148.3há] O/001417 RECARGA BO</t>
        </is>
      </c>
      <c r="M2317" s="232" t="inlineStr"/>
      <c r="N2317" s="232" t="inlineStr">
        <is>
          <t>.   .   -</t>
        </is>
      </c>
      <c r="O2317" s="232" t="inlineStr">
        <is>
          <t>FEBRERO</t>
        </is>
      </c>
      <c r="P2317" s="232" t="n">
        <v>8</v>
      </c>
      <c r="Q2317" s="234" t="n">
        <v>386</v>
      </c>
      <c r="R2317" s="232" t="inlineStr"/>
      <c r="S2317" s="234" t="n">
        <v>386</v>
      </c>
      <c r="T2317" s="232" t="inlineStr">
        <is>
          <t>CLP</t>
        </is>
      </c>
      <c r="U2317" s="232" t="inlineStr">
        <is>
          <t>Prorrateo Ha PACKING</t>
        </is>
      </c>
      <c r="V2317" s="232" t="inlineStr">
        <is>
          <t>2026-06-18</t>
        </is>
      </c>
    </row>
    <row r="2318">
      <c r="A2318" s="232" t="inlineStr">
        <is>
          <t>CR-2315</t>
        </is>
      </c>
      <c r="B2318" s="232" t="inlineStr">
        <is>
          <t>2026/27</t>
        </is>
      </c>
      <c r="C2318" s="233" t="n">
        <v>46076</v>
      </c>
      <c r="D2318" s="232" t="inlineStr">
        <is>
          <t>134860</t>
        </is>
      </c>
      <c r="E2318" s="232" t="inlineStr">
        <is>
          <t>PRORRATEO</t>
        </is>
      </c>
      <c r="F2318" s="232" t="inlineStr">
        <is>
          <t>Asmara</t>
        </is>
      </c>
      <c r="G2318" s="232" t="inlineStr">
        <is>
          <t>w. murcott 19,8 ha</t>
        </is>
      </c>
      <c r="H2318" s="232" t="inlineStr">
        <is>
          <t>Mandarina</t>
        </is>
      </c>
      <c r="I2318" s="232" t="inlineStr">
        <is>
          <t>W. murcott</t>
        </is>
      </c>
      <c r="J2318" s="232" t="inlineStr">
        <is>
          <t>COMBUSTIBLE</t>
        </is>
      </c>
      <c r="K2318" s="232" t="inlineStr">
        <is>
          <t>SIB. GRUA HORQUILLA ARRIENDO</t>
        </is>
      </c>
      <c r="L2318" s="232" t="inlineStr">
        <is>
          <t>[PRORRATEO 13.4% 19.8há/148.3há] O/001421 GAS ENV. 1</t>
        </is>
      </c>
      <c r="M2318" s="232" t="inlineStr"/>
      <c r="N2318" s="232" t="inlineStr">
        <is>
          <t>.   .   -</t>
        </is>
      </c>
      <c r="O2318" s="232" t="inlineStr">
        <is>
          <t>FEBRERO</t>
        </is>
      </c>
      <c r="P2318" s="232" t="n">
        <v>8</v>
      </c>
      <c r="Q2318" s="234" t="n">
        <v>8401</v>
      </c>
      <c r="R2318" s="232" t="inlineStr"/>
      <c r="S2318" s="234" t="n">
        <v>8401</v>
      </c>
      <c r="T2318" s="232" t="inlineStr">
        <is>
          <t>CLP</t>
        </is>
      </c>
      <c r="U2318" s="232" t="inlineStr">
        <is>
          <t>Prorrateo Ha PACKING</t>
        </is>
      </c>
      <c r="V2318" s="232" t="inlineStr">
        <is>
          <t>2026-06-18</t>
        </is>
      </c>
    </row>
    <row r="2319">
      <c r="A2319" s="232" t="inlineStr">
        <is>
          <t>CR-2316</t>
        </is>
      </c>
      <c r="B2319" s="232" t="inlineStr">
        <is>
          <t>2026/27</t>
        </is>
      </c>
      <c r="C2319" s="233" t="n">
        <v>46076</v>
      </c>
      <c r="D2319" s="232" t="inlineStr">
        <is>
          <t>134860</t>
        </is>
      </c>
      <c r="E2319" s="232" t="inlineStr">
        <is>
          <t>PRORRATEO</t>
        </is>
      </c>
      <c r="F2319" s="232" t="inlineStr">
        <is>
          <t>Asmara</t>
        </is>
      </c>
      <c r="G2319" s="232" t="inlineStr">
        <is>
          <t>w. murcott 4,9 ha</t>
        </is>
      </c>
      <c r="H2319" s="232" t="inlineStr">
        <is>
          <t>Mandarina</t>
        </is>
      </c>
      <c r="I2319" s="232" t="inlineStr">
        <is>
          <t>W. murcott</t>
        </is>
      </c>
      <c r="J2319" s="232" t="inlineStr">
        <is>
          <t>COMBUSTIBLE</t>
        </is>
      </c>
      <c r="K2319" s="232" t="inlineStr">
        <is>
          <t>SIB. GRUA HORQUILLA ARRIENDO</t>
        </is>
      </c>
      <c r="L2319" s="232" t="inlineStr">
        <is>
          <t>[PRORRATEO 3.3% 4.9há/148.3há] O/001421 GAS ENV. 1</t>
        </is>
      </c>
      <c r="M2319" s="232" t="inlineStr"/>
      <c r="N2319" s="232" t="inlineStr">
        <is>
          <t>.   .   -</t>
        </is>
      </c>
      <c r="O2319" s="232" t="inlineStr">
        <is>
          <t>FEBRERO</t>
        </is>
      </c>
      <c r="P2319" s="232" t="n">
        <v>8</v>
      </c>
      <c r="Q2319" s="234" t="n">
        <v>2079</v>
      </c>
      <c r="R2319" s="232" t="inlineStr"/>
      <c r="S2319" s="234" t="n">
        <v>2079</v>
      </c>
      <c r="T2319" s="232" t="inlineStr">
        <is>
          <t>CLP</t>
        </is>
      </c>
      <c r="U2319" s="232" t="inlineStr">
        <is>
          <t>Prorrateo Ha PACKING</t>
        </is>
      </c>
      <c r="V2319" s="232" t="inlineStr">
        <is>
          <t>2026-06-18</t>
        </is>
      </c>
    </row>
    <row r="2320">
      <c r="A2320" s="232" t="inlineStr">
        <is>
          <t>CR-2317</t>
        </is>
      </c>
      <c r="B2320" s="232" t="inlineStr">
        <is>
          <t>2026/27</t>
        </is>
      </c>
      <c r="C2320" s="233" t="n">
        <v>46076</v>
      </c>
      <c r="D2320" s="232" t="inlineStr">
        <is>
          <t>134860</t>
        </is>
      </c>
      <c r="E2320" s="232" t="inlineStr">
        <is>
          <t>PRORRATEO</t>
        </is>
      </c>
      <c r="F2320" s="232" t="inlineStr">
        <is>
          <t>El Molle</t>
        </is>
      </c>
      <c r="G2320" s="232" t="inlineStr">
        <is>
          <t>Wonderful 5,25 ha</t>
        </is>
      </c>
      <c r="H2320" s="232" t="inlineStr">
        <is>
          <t>Granados</t>
        </is>
      </c>
      <c r="I2320" s="232" t="inlineStr">
        <is>
          <t>Wonderfull</t>
        </is>
      </c>
      <c r="J2320" s="232" t="inlineStr">
        <is>
          <t>COMBUSTIBLE</t>
        </is>
      </c>
      <c r="K2320" s="232" t="inlineStr">
        <is>
          <t>SIB. GRUA HORQUILLA ARRIENDO</t>
        </is>
      </c>
      <c r="L2320" s="232" t="inlineStr">
        <is>
          <t>[PRORRATEO 3.5% 5.24há/148.3há] O/001421 GAS ENV. 1</t>
        </is>
      </c>
      <c r="M2320" s="232" t="inlineStr"/>
      <c r="N2320" s="232" t="inlineStr">
        <is>
          <t>.   .   -</t>
        </is>
      </c>
      <c r="O2320" s="232" t="inlineStr">
        <is>
          <t>FEBRERO</t>
        </is>
      </c>
      <c r="P2320" s="232" t="n">
        <v>8</v>
      </c>
      <c r="Q2320" s="234" t="n">
        <v>2223</v>
      </c>
      <c r="R2320" s="232" t="inlineStr"/>
      <c r="S2320" s="234" t="n">
        <v>2223</v>
      </c>
      <c r="T2320" s="232" t="inlineStr">
        <is>
          <t>CLP</t>
        </is>
      </c>
      <c r="U2320" s="232" t="inlineStr">
        <is>
          <t>Prorrateo Ha PACKING</t>
        </is>
      </c>
      <c r="V2320" s="232" t="inlineStr">
        <is>
          <t>2026-06-18</t>
        </is>
      </c>
    </row>
    <row r="2321">
      <c r="A2321" s="232" t="inlineStr">
        <is>
          <t>CR-2318</t>
        </is>
      </c>
      <c r="B2321" s="232" t="inlineStr">
        <is>
          <t>2026/27</t>
        </is>
      </c>
      <c r="C2321" s="233" t="n">
        <v>46076</v>
      </c>
      <c r="D2321" s="232" t="inlineStr">
        <is>
          <t>134860</t>
        </is>
      </c>
      <c r="E2321" s="232" t="inlineStr">
        <is>
          <t>PRORRATEO</t>
        </is>
      </c>
      <c r="F2321" s="232" t="inlineStr">
        <is>
          <t>El Molle</t>
        </is>
      </c>
      <c r="G2321" s="232" t="inlineStr">
        <is>
          <t>arrufatinas 5,74 ha</t>
        </is>
      </c>
      <c r="H2321" s="232" t="inlineStr">
        <is>
          <t>Clementinas</t>
        </is>
      </c>
      <c r="I2321" s="232" t="inlineStr">
        <is>
          <t>Arrufatinas</t>
        </is>
      </c>
      <c r="J2321" s="232" t="inlineStr">
        <is>
          <t>COMBUSTIBLE</t>
        </is>
      </c>
      <c r="K2321" s="232" t="inlineStr">
        <is>
          <t>SIB. GRUA HORQUILLA ARRIENDO</t>
        </is>
      </c>
      <c r="L2321" s="232" t="inlineStr">
        <is>
          <t>[PRORRATEO 3.9% 5.74há/148.3há] O/001421 GAS ENV. 1</t>
        </is>
      </c>
      <c r="M2321" s="232" t="inlineStr"/>
      <c r="N2321" s="232" t="inlineStr">
        <is>
          <t>.   .   -</t>
        </is>
      </c>
      <c r="O2321" s="232" t="inlineStr">
        <is>
          <t>FEBRERO</t>
        </is>
      </c>
      <c r="P2321" s="232" t="n">
        <v>8</v>
      </c>
      <c r="Q2321" s="234" t="n">
        <v>2435</v>
      </c>
      <c r="R2321" s="232" t="inlineStr"/>
      <c r="S2321" s="234" t="n">
        <v>2435</v>
      </c>
      <c r="T2321" s="232" t="inlineStr">
        <is>
          <t>CLP</t>
        </is>
      </c>
      <c r="U2321" s="232" t="inlineStr">
        <is>
          <t>Prorrateo Ha PACKING</t>
        </is>
      </c>
      <c r="V2321" s="232" t="inlineStr">
        <is>
          <t>2026-06-18</t>
        </is>
      </c>
    </row>
    <row r="2322">
      <c r="A2322" s="232" t="inlineStr">
        <is>
          <t>CR-2319</t>
        </is>
      </c>
      <c r="B2322" s="232" t="inlineStr">
        <is>
          <t>2026/27</t>
        </is>
      </c>
      <c r="C2322" s="233" t="n">
        <v>46076</v>
      </c>
      <c r="D2322" s="232" t="inlineStr">
        <is>
          <t>134860</t>
        </is>
      </c>
      <c r="E2322" s="232" t="inlineStr">
        <is>
          <t>PRORRATEO</t>
        </is>
      </c>
      <c r="F2322" s="232" t="inlineStr">
        <is>
          <t>El Molle</t>
        </is>
      </c>
      <c r="G2322" s="232" t="inlineStr">
        <is>
          <t>orogrande 8,11 ha</t>
        </is>
      </c>
      <c r="H2322" s="232" t="inlineStr">
        <is>
          <t>Clementinas</t>
        </is>
      </c>
      <c r="I2322" s="232" t="inlineStr">
        <is>
          <t>Orogrande</t>
        </is>
      </c>
      <c r="J2322" s="232" t="inlineStr">
        <is>
          <t>COMBUSTIBLE</t>
        </is>
      </c>
      <c r="K2322" s="232" t="inlineStr">
        <is>
          <t>SIB. GRUA HORQUILLA ARRIENDO</t>
        </is>
      </c>
      <c r="L2322" s="232" t="inlineStr">
        <is>
          <t>[PRORRATEO 5.5% 8.11há/148.3há] O/001421 GAS ENV. 1</t>
        </is>
      </c>
      <c r="M2322" s="232" t="inlineStr"/>
      <c r="N2322" s="232" t="inlineStr">
        <is>
          <t>.   .   -</t>
        </is>
      </c>
      <c r="O2322" s="232" t="inlineStr">
        <is>
          <t>FEBRERO</t>
        </is>
      </c>
      <c r="P2322" s="232" t="n">
        <v>8</v>
      </c>
      <c r="Q2322" s="234" t="n">
        <v>3441</v>
      </c>
      <c r="R2322" s="232" t="inlineStr"/>
      <c r="S2322" s="234" t="n">
        <v>3441</v>
      </c>
      <c r="T2322" s="232" t="inlineStr">
        <is>
          <t>CLP</t>
        </is>
      </c>
      <c r="U2322" s="232" t="inlineStr">
        <is>
          <t>Prorrateo Ha PACKING</t>
        </is>
      </c>
      <c r="V2322" s="232" t="inlineStr">
        <is>
          <t>2026-06-18</t>
        </is>
      </c>
    </row>
    <row r="2323">
      <c r="A2323" s="232" t="inlineStr">
        <is>
          <t>CR-2320</t>
        </is>
      </c>
      <c r="B2323" s="232" t="inlineStr">
        <is>
          <t>2026/27</t>
        </is>
      </c>
      <c r="C2323" s="233" t="n">
        <v>46076</v>
      </c>
      <c r="D2323" s="232" t="inlineStr">
        <is>
          <t>134860</t>
        </is>
      </c>
      <c r="E2323" s="232" t="inlineStr">
        <is>
          <t>PRORRATEO</t>
        </is>
      </c>
      <c r="F2323" s="232" t="inlineStr">
        <is>
          <t>El Molle</t>
        </is>
      </c>
      <c r="G2323" s="232" t="inlineStr">
        <is>
          <t>oronules 5,35 ha</t>
        </is>
      </c>
      <c r="H2323" s="232" t="inlineStr">
        <is>
          <t>Clementinas</t>
        </is>
      </c>
      <c r="I2323" s="232" t="inlineStr">
        <is>
          <t>Oronules</t>
        </is>
      </c>
      <c r="J2323" s="232" t="inlineStr">
        <is>
          <t>COMBUSTIBLE</t>
        </is>
      </c>
      <c r="K2323" s="232" t="inlineStr">
        <is>
          <t>SIB. GRUA HORQUILLA ARRIENDO</t>
        </is>
      </c>
      <c r="L2323" s="232" t="inlineStr">
        <is>
          <t>[PRORRATEO 3.6% 5.35há/148.3há] O/001421 GAS ENV. 1</t>
        </is>
      </c>
      <c r="M2323" s="232" t="inlineStr"/>
      <c r="N2323" s="232" t="inlineStr">
        <is>
          <t>.   .   -</t>
        </is>
      </c>
      <c r="O2323" s="232" t="inlineStr">
        <is>
          <t>FEBRERO</t>
        </is>
      </c>
      <c r="P2323" s="232" t="n">
        <v>8</v>
      </c>
      <c r="Q2323" s="234" t="n">
        <v>2270</v>
      </c>
      <c r="R2323" s="232" t="inlineStr"/>
      <c r="S2323" s="234" t="n">
        <v>2270</v>
      </c>
      <c r="T2323" s="232" t="inlineStr">
        <is>
          <t>CLP</t>
        </is>
      </c>
      <c r="U2323" s="232" t="inlineStr">
        <is>
          <t>Prorrateo Ha PACKING</t>
        </is>
      </c>
      <c r="V2323" s="232" t="inlineStr">
        <is>
          <t>2026-06-18</t>
        </is>
      </c>
    </row>
    <row r="2324">
      <c r="A2324" s="232" t="inlineStr">
        <is>
          <t>CR-2321</t>
        </is>
      </c>
      <c r="B2324" s="232" t="inlineStr">
        <is>
          <t>2026/27</t>
        </is>
      </c>
      <c r="C2324" s="233" t="n">
        <v>46076</v>
      </c>
      <c r="D2324" s="232" t="inlineStr">
        <is>
          <t>134860</t>
        </is>
      </c>
      <c r="E2324" s="232" t="inlineStr">
        <is>
          <t>PRORRATEO</t>
        </is>
      </c>
      <c r="F2324" s="232" t="inlineStr">
        <is>
          <t>Santa Catalina</t>
        </is>
      </c>
      <c r="G2324" s="232" t="inlineStr">
        <is>
          <t>Fino 49 7,7 ha</t>
        </is>
      </c>
      <c r="H2324" s="232" t="inlineStr">
        <is>
          <t>Limon</t>
        </is>
      </c>
      <c r="I2324" s="232" t="inlineStr">
        <is>
          <t>Fino 49</t>
        </is>
      </c>
      <c r="J2324" s="232" t="inlineStr">
        <is>
          <t>COMBUSTIBLE</t>
        </is>
      </c>
      <c r="K2324" s="232" t="inlineStr">
        <is>
          <t>SIB. GRUA HORQUILLA ARRIENDO</t>
        </is>
      </c>
      <c r="L2324" s="232" t="inlineStr">
        <is>
          <t>[PRORRATEO 5.2% 7.7há/148.3há] O/001421 GAS ENV. 1</t>
        </is>
      </c>
      <c r="M2324" s="232" t="inlineStr"/>
      <c r="N2324" s="232" t="inlineStr">
        <is>
          <t>.   .   -</t>
        </is>
      </c>
      <c r="O2324" s="232" t="inlineStr">
        <is>
          <t>FEBRERO</t>
        </is>
      </c>
      <c r="P2324" s="232" t="n">
        <v>8</v>
      </c>
      <c r="Q2324" s="234" t="n">
        <v>3267</v>
      </c>
      <c r="R2324" s="232" t="inlineStr"/>
      <c r="S2324" s="234" t="n">
        <v>3267</v>
      </c>
      <c r="T2324" s="232" t="inlineStr">
        <is>
          <t>CLP</t>
        </is>
      </c>
      <c r="U2324" s="232" t="inlineStr">
        <is>
          <t>Prorrateo Ha PACKING</t>
        </is>
      </c>
      <c r="V2324" s="232" t="inlineStr">
        <is>
          <t>2026-06-18</t>
        </is>
      </c>
    </row>
    <row r="2325">
      <c r="A2325" s="232" t="inlineStr">
        <is>
          <t>CR-2322</t>
        </is>
      </c>
      <c r="B2325" s="232" t="inlineStr">
        <is>
          <t>2026/27</t>
        </is>
      </c>
      <c r="C2325" s="233" t="n">
        <v>46076</v>
      </c>
      <c r="D2325" s="232" t="inlineStr">
        <is>
          <t>134860</t>
        </is>
      </c>
      <c r="E2325" s="232" t="inlineStr">
        <is>
          <t>PRORRATEO</t>
        </is>
      </c>
      <c r="F2325" s="232" t="inlineStr">
        <is>
          <t>Santa Catalina</t>
        </is>
      </c>
      <c r="G2325" s="232" t="inlineStr">
        <is>
          <t>W. murcott 21 ha</t>
        </is>
      </c>
      <c r="H2325" s="232" t="inlineStr">
        <is>
          <t>Mandarina</t>
        </is>
      </c>
      <c r="I2325" s="232" t="inlineStr">
        <is>
          <t>W. murcott</t>
        </is>
      </c>
      <c r="J2325" s="232" t="inlineStr">
        <is>
          <t>COMBUSTIBLE</t>
        </is>
      </c>
      <c r="K2325" s="232" t="inlineStr">
        <is>
          <t>SIB. GRUA HORQUILLA ARRIENDO</t>
        </is>
      </c>
      <c r="L2325" s="232" t="inlineStr">
        <is>
          <t>[PRORRATEO 14.2% 21.0há/148.3há] O/001421 GAS ENV. 1</t>
        </is>
      </c>
      <c r="M2325" s="232" t="inlineStr"/>
      <c r="N2325" s="232" t="inlineStr">
        <is>
          <t>.   .   -</t>
        </is>
      </c>
      <c r="O2325" s="232" t="inlineStr">
        <is>
          <t>FEBRERO</t>
        </is>
      </c>
      <c r="P2325" s="232" t="n">
        <v>8</v>
      </c>
      <c r="Q2325" s="234" t="n">
        <v>8910</v>
      </c>
      <c r="R2325" s="232" t="inlineStr"/>
      <c r="S2325" s="234" t="n">
        <v>8910</v>
      </c>
      <c r="T2325" s="232" t="inlineStr">
        <is>
          <t>CLP</t>
        </is>
      </c>
      <c r="U2325" s="232" t="inlineStr">
        <is>
          <t>Prorrateo Ha PACKING</t>
        </is>
      </c>
      <c r="V2325" s="232" t="inlineStr">
        <is>
          <t>2026-06-18</t>
        </is>
      </c>
    </row>
    <row r="2326">
      <c r="A2326" s="232" t="inlineStr">
        <is>
          <t>CR-2323</t>
        </is>
      </c>
      <c r="B2326" s="232" t="inlineStr">
        <is>
          <t>2026/27</t>
        </is>
      </c>
      <c r="C2326" s="233" t="n">
        <v>46076</v>
      </c>
      <c r="D2326" s="232" t="inlineStr">
        <is>
          <t>134860</t>
        </is>
      </c>
      <c r="E2326" s="232" t="inlineStr">
        <is>
          <t>PRORRATEO</t>
        </is>
      </c>
      <c r="F2326" s="232" t="inlineStr">
        <is>
          <t>Santa Catalina</t>
        </is>
      </c>
      <c r="G2326" s="232" t="inlineStr">
        <is>
          <t>cambria 4,2 ha</t>
        </is>
      </c>
      <c r="H2326" s="232" t="inlineStr">
        <is>
          <t>Naranjas</t>
        </is>
      </c>
      <c r="I2326" s="232" t="inlineStr">
        <is>
          <t>Cambria</t>
        </is>
      </c>
      <c r="J2326" s="232" t="inlineStr">
        <is>
          <t>COMBUSTIBLE</t>
        </is>
      </c>
      <c r="K2326" s="232" t="inlineStr">
        <is>
          <t>SIB. GRUA HORQUILLA ARRIENDO</t>
        </is>
      </c>
      <c r="L2326" s="232" t="inlineStr">
        <is>
          <t>[PRORRATEO 2.8% 4.2há/148.3há] O/001421 GAS ENV. 1</t>
        </is>
      </c>
      <c r="M2326" s="232" t="inlineStr"/>
      <c r="N2326" s="232" t="inlineStr">
        <is>
          <t>.   .   -</t>
        </is>
      </c>
      <c r="O2326" s="232" t="inlineStr">
        <is>
          <t>FEBRERO</t>
        </is>
      </c>
      <c r="P2326" s="232" t="n">
        <v>8</v>
      </c>
      <c r="Q2326" s="234" t="n">
        <v>1782</v>
      </c>
      <c r="R2326" s="232" t="inlineStr"/>
      <c r="S2326" s="234" t="n">
        <v>1782</v>
      </c>
      <c r="T2326" s="232" t="inlineStr">
        <is>
          <t>CLP</t>
        </is>
      </c>
      <c r="U2326" s="232" t="inlineStr">
        <is>
          <t>Prorrateo Ha PACKING</t>
        </is>
      </c>
      <c r="V2326" s="232" t="inlineStr">
        <is>
          <t>2026-06-18</t>
        </is>
      </c>
    </row>
    <row r="2327">
      <c r="A2327" s="232" t="inlineStr">
        <is>
          <t>CR-2324</t>
        </is>
      </c>
      <c r="B2327" s="232" t="inlineStr">
        <is>
          <t>2026/27</t>
        </is>
      </c>
      <c r="C2327" s="233" t="n">
        <v>46076</v>
      </c>
      <c r="D2327" s="232" t="inlineStr">
        <is>
          <t>134860</t>
        </is>
      </c>
      <c r="E2327" s="232" t="inlineStr">
        <is>
          <t>PRORRATEO</t>
        </is>
      </c>
      <c r="F2327" s="232" t="inlineStr">
        <is>
          <t>Santa Catalina</t>
        </is>
      </c>
      <c r="G2327" s="232" t="inlineStr">
        <is>
          <t>eureka 10,6 ha</t>
        </is>
      </c>
      <c r="H2327" s="232" t="inlineStr">
        <is>
          <t>Limon</t>
        </is>
      </c>
      <c r="I2327" s="232" t="inlineStr">
        <is>
          <t>Eureka</t>
        </is>
      </c>
      <c r="J2327" s="232" t="inlineStr">
        <is>
          <t>COMBUSTIBLE</t>
        </is>
      </c>
      <c r="K2327" s="232" t="inlineStr">
        <is>
          <t>SIB. GRUA HORQUILLA ARRIENDO</t>
        </is>
      </c>
      <c r="L2327" s="232" t="inlineStr">
        <is>
          <t>[PRORRATEO 7.1% 10.6há/148.3há] O/001421 GAS ENV. 1</t>
        </is>
      </c>
      <c r="M2327" s="232" t="inlineStr"/>
      <c r="N2327" s="232" t="inlineStr">
        <is>
          <t>.   .   -</t>
        </is>
      </c>
      <c r="O2327" s="232" t="inlineStr">
        <is>
          <t>FEBRERO</t>
        </is>
      </c>
      <c r="P2327" s="232" t="n">
        <v>8</v>
      </c>
      <c r="Q2327" s="234" t="n">
        <v>4497</v>
      </c>
      <c r="R2327" s="232" t="inlineStr"/>
      <c r="S2327" s="234" t="n">
        <v>4497</v>
      </c>
      <c r="T2327" s="232" t="inlineStr">
        <is>
          <t>CLP</t>
        </is>
      </c>
      <c r="U2327" s="232" t="inlineStr">
        <is>
          <t>Prorrateo Ha PACKING</t>
        </is>
      </c>
      <c r="V2327" s="232" t="inlineStr">
        <is>
          <t>2026-06-18</t>
        </is>
      </c>
    </row>
    <row r="2328">
      <c r="A2328" s="232" t="inlineStr">
        <is>
          <t>CR-2325</t>
        </is>
      </c>
      <c r="B2328" s="232" t="inlineStr">
        <is>
          <t>2026/27</t>
        </is>
      </c>
      <c r="C2328" s="233" t="n">
        <v>46076</v>
      </c>
      <c r="D2328" s="232" t="inlineStr">
        <is>
          <t>134860</t>
        </is>
      </c>
      <c r="E2328" s="232" t="inlineStr">
        <is>
          <t>PRORRATEO</t>
        </is>
      </c>
      <c r="F2328" s="232" t="inlineStr">
        <is>
          <t>Santa Catalina</t>
        </is>
      </c>
      <c r="G2328" s="232" t="inlineStr">
        <is>
          <t>eureka 14,4 ha</t>
        </is>
      </c>
      <c r="H2328" s="232" t="inlineStr">
        <is>
          <t>Limon</t>
        </is>
      </c>
      <c r="I2328" s="232" t="inlineStr">
        <is>
          <t>Eureka</t>
        </is>
      </c>
      <c r="J2328" s="232" t="inlineStr">
        <is>
          <t>COMBUSTIBLE</t>
        </is>
      </c>
      <c r="K2328" s="232" t="inlineStr">
        <is>
          <t>SIB. GRUA HORQUILLA ARRIENDO</t>
        </is>
      </c>
      <c r="L2328" s="232" t="inlineStr">
        <is>
          <t>[PRORRATEO 9.7% 14.4há/148.3há] O/001421 GAS ENV. 1</t>
        </is>
      </c>
      <c r="M2328" s="232" t="inlineStr"/>
      <c r="N2328" s="232" t="inlineStr">
        <is>
          <t>.   .   -</t>
        </is>
      </c>
      <c r="O2328" s="232" t="inlineStr">
        <is>
          <t>FEBRERO</t>
        </is>
      </c>
      <c r="P2328" s="232" t="n">
        <v>8</v>
      </c>
      <c r="Q2328" s="234" t="n">
        <v>6110</v>
      </c>
      <c r="R2328" s="232" t="inlineStr"/>
      <c r="S2328" s="234" t="n">
        <v>6110</v>
      </c>
      <c r="T2328" s="232" t="inlineStr">
        <is>
          <t>CLP</t>
        </is>
      </c>
      <c r="U2328" s="232" t="inlineStr">
        <is>
          <t>Prorrateo Ha PACKING</t>
        </is>
      </c>
      <c r="V2328" s="232" t="inlineStr">
        <is>
          <t>2026-06-18</t>
        </is>
      </c>
    </row>
    <row r="2329">
      <c r="A2329" s="232" t="inlineStr">
        <is>
          <t>CR-2326</t>
        </is>
      </c>
      <c r="B2329" s="232" t="inlineStr">
        <is>
          <t>2026/27</t>
        </is>
      </c>
      <c r="C2329" s="233" t="n">
        <v>46076</v>
      </c>
      <c r="D2329" s="232" t="inlineStr">
        <is>
          <t>134860</t>
        </is>
      </c>
      <c r="E2329" s="232" t="inlineStr">
        <is>
          <t>PRORRATEO</t>
        </is>
      </c>
      <c r="F2329" s="232" t="inlineStr">
        <is>
          <t>Santa Catalina</t>
        </is>
      </c>
      <c r="G2329" s="232" t="inlineStr">
        <is>
          <t>eureka 22,55</t>
        </is>
      </c>
      <c r="H2329" s="232" t="inlineStr">
        <is>
          <t>Limon</t>
        </is>
      </c>
      <c r="I2329" s="232" t="inlineStr">
        <is>
          <t>Eureka</t>
        </is>
      </c>
      <c r="J2329" s="232" t="inlineStr">
        <is>
          <t>COMBUSTIBLE</t>
        </is>
      </c>
      <c r="K2329" s="232" t="inlineStr">
        <is>
          <t>SIB. GRUA HORQUILLA ARRIENDO</t>
        </is>
      </c>
      <c r="L2329" s="232" t="inlineStr">
        <is>
          <t>[PRORRATEO 15.2% 22.55há/148.3há] O/001421 GAS ENV. 1</t>
        </is>
      </c>
      <c r="M2329" s="232" t="inlineStr"/>
      <c r="N2329" s="232" t="inlineStr">
        <is>
          <t>.   .   -</t>
        </is>
      </c>
      <c r="O2329" s="232" t="inlineStr">
        <is>
          <t>FEBRERO</t>
        </is>
      </c>
      <c r="P2329" s="232" t="n">
        <v>8</v>
      </c>
      <c r="Q2329" s="234" t="n">
        <v>9568</v>
      </c>
      <c r="R2329" s="232" t="inlineStr"/>
      <c r="S2329" s="234" t="n">
        <v>9568</v>
      </c>
      <c r="T2329" s="232" t="inlineStr">
        <is>
          <t>CLP</t>
        </is>
      </c>
      <c r="U2329" s="232" t="inlineStr">
        <is>
          <t>Prorrateo Ha PACKING</t>
        </is>
      </c>
      <c r="V2329" s="232" t="inlineStr">
        <is>
          <t>2026-06-18</t>
        </is>
      </c>
    </row>
    <row r="2330">
      <c r="A2330" s="232" t="inlineStr">
        <is>
          <t>CR-2327</t>
        </is>
      </c>
      <c r="B2330" s="232" t="inlineStr">
        <is>
          <t>2026/27</t>
        </is>
      </c>
      <c r="C2330" s="233" t="n">
        <v>46076</v>
      </c>
      <c r="D2330" s="232" t="inlineStr">
        <is>
          <t>134860</t>
        </is>
      </c>
      <c r="E2330" s="232" t="inlineStr">
        <is>
          <t>PRORRATEO</t>
        </is>
      </c>
      <c r="F2330" s="232" t="inlineStr">
        <is>
          <t>Santa Catalina</t>
        </is>
      </c>
      <c r="G2330" s="232" t="inlineStr">
        <is>
          <t>form benjamin 1,93 ha</t>
        </is>
      </c>
      <c r="H2330" s="232" t="inlineStr">
        <is>
          <t>Limon</t>
        </is>
      </c>
      <c r="I2330" s="232" t="inlineStr">
        <is>
          <t>Benjamin andes</t>
        </is>
      </c>
      <c r="J2330" s="232" t="inlineStr">
        <is>
          <t>COMBUSTIBLE</t>
        </is>
      </c>
      <c r="K2330" s="232" t="inlineStr">
        <is>
          <t>SIB. GRUA HORQUILLA ARRIENDO</t>
        </is>
      </c>
      <c r="L2330" s="232" t="inlineStr">
        <is>
          <t>[PRORRATEO 1.3% 1.93há/148.3há] O/001421 GAS ENV. 1</t>
        </is>
      </c>
      <c r="M2330" s="232" t="inlineStr"/>
      <c r="N2330" s="232" t="inlineStr">
        <is>
          <t>.   .   -</t>
        </is>
      </c>
      <c r="O2330" s="232" t="inlineStr">
        <is>
          <t>FEBRERO</t>
        </is>
      </c>
      <c r="P2330" s="232" t="n">
        <v>8</v>
      </c>
      <c r="Q2330" s="234" t="n">
        <v>819</v>
      </c>
      <c r="R2330" s="232" t="inlineStr"/>
      <c r="S2330" s="234" t="n">
        <v>819</v>
      </c>
      <c r="T2330" s="232" t="inlineStr">
        <is>
          <t>CLP</t>
        </is>
      </c>
      <c r="U2330" s="232" t="inlineStr">
        <is>
          <t>Prorrateo Ha PACKING</t>
        </is>
      </c>
      <c r="V2330" s="232" t="inlineStr">
        <is>
          <t>2026-06-18</t>
        </is>
      </c>
    </row>
    <row r="2331">
      <c r="A2331" s="232" t="inlineStr">
        <is>
          <t>CR-2328</t>
        </is>
      </c>
      <c r="B2331" s="232" t="inlineStr">
        <is>
          <t>2026/27</t>
        </is>
      </c>
      <c r="C2331" s="233" t="n">
        <v>46076</v>
      </c>
      <c r="D2331" s="232" t="inlineStr">
        <is>
          <t>134860</t>
        </is>
      </c>
      <c r="E2331" s="232" t="inlineStr">
        <is>
          <t>PRORRATEO</t>
        </is>
      </c>
      <c r="F2331" s="232" t="inlineStr">
        <is>
          <t>Santa Catalina</t>
        </is>
      </c>
      <c r="G2331" s="232" t="inlineStr">
        <is>
          <t>mant eureka 2,5 ha</t>
        </is>
      </c>
      <c r="H2331" s="232" t="inlineStr">
        <is>
          <t>Limon</t>
        </is>
      </c>
      <c r="I2331" s="232" t="inlineStr">
        <is>
          <t>Eureka</t>
        </is>
      </c>
      <c r="J2331" s="232" t="inlineStr">
        <is>
          <t>COMBUSTIBLE</t>
        </is>
      </c>
      <c r="K2331" s="232" t="inlineStr">
        <is>
          <t>SIB. GRUA HORQUILLA ARRIENDO</t>
        </is>
      </c>
      <c r="L2331" s="232" t="inlineStr">
        <is>
          <t>[PRORRATEO 1.7% 2.5há/148.3há] O/001421 GAS ENV. 1</t>
        </is>
      </c>
      <c r="M2331" s="232" t="inlineStr"/>
      <c r="N2331" s="232" t="inlineStr">
        <is>
          <t>.   .   -</t>
        </is>
      </c>
      <c r="O2331" s="232" t="inlineStr">
        <is>
          <t>FEBRERO</t>
        </is>
      </c>
      <c r="P2331" s="232" t="n">
        <v>8</v>
      </c>
      <c r="Q2331" s="234" t="n">
        <v>1061</v>
      </c>
      <c r="R2331" s="232" t="inlineStr"/>
      <c r="S2331" s="234" t="n">
        <v>1061</v>
      </c>
      <c r="T2331" s="232" t="inlineStr">
        <is>
          <t>CLP</t>
        </is>
      </c>
      <c r="U2331" s="232" t="inlineStr">
        <is>
          <t>Prorrateo Ha PACKING</t>
        </is>
      </c>
      <c r="V2331" s="232" t="inlineStr">
        <is>
          <t>2026-06-18</t>
        </is>
      </c>
    </row>
    <row r="2332">
      <c r="A2332" s="232" t="inlineStr">
        <is>
          <t>CR-2329</t>
        </is>
      </c>
      <c r="B2332" s="232" t="inlineStr">
        <is>
          <t>2026/27</t>
        </is>
      </c>
      <c r="C2332" s="233" t="n">
        <v>46076</v>
      </c>
      <c r="D2332" s="232" t="inlineStr">
        <is>
          <t>134860</t>
        </is>
      </c>
      <c r="E2332" s="232" t="inlineStr">
        <is>
          <t>PRORRATEO</t>
        </is>
      </c>
      <c r="F2332" s="232" t="inlineStr">
        <is>
          <t>Siberia</t>
        </is>
      </c>
      <c r="G2332" s="232" t="inlineStr">
        <is>
          <t>S. Celebration 7,14</t>
        </is>
      </c>
      <c r="H2332" s="232" t="inlineStr">
        <is>
          <t>Uvas</t>
        </is>
      </c>
      <c r="I2332" s="232" t="inlineStr">
        <is>
          <t>S. celebration</t>
        </is>
      </c>
      <c r="J2332" s="232" t="inlineStr">
        <is>
          <t>COMBUSTIBLE</t>
        </is>
      </c>
      <c r="K2332" s="232" t="inlineStr">
        <is>
          <t>SIB. GRUA HORQUILLA ARRIENDO</t>
        </is>
      </c>
      <c r="L2332" s="232" t="inlineStr">
        <is>
          <t>[PRORRATEO 4.8% 7.14há/148.3há] O/001421 GAS ENV. 1</t>
        </is>
      </c>
      <c r="M2332" s="232" t="inlineStr"/>
      <c r="N2332" s="232" t="inlineStr">
        <is>
          <t>.   .   -</t>
        </is>
      </c>
      <c r="O2332" s="232" t="inlineStr">
        <is>
          <t>FEBRERO</t>
        </is>
      </c>
      <c r="P2332" s="232" t="n">
        <v>8</v>
      </c>
      <c r="Q2332" s="234" t="n">
        <v>3029</v>
      </c>
      <c r="R2332" s="232" t="inlineStr"/>
      <c r="S2332" s="234" t="n">
        <v>3029</v>
      </c>
      <c r="T2332" s="232" t="inlineStr">
        <is>
          <t>CLP</t>
        </is>
      </c>
      <c r="U2332" s="232" t="inlineStr">
        <is>
          <t>Prorrateo Ha PACKING</t>
        </is>
      </c>
      <c r="V2332" s="232" t="inlineStr">
        <is>
          <t>2026-06-18</t>
        </is>
      </c>
    </row>
    <row r="2333">
      <c r="A2333" s="232" t="inlineStr">
        <is>
          <t>CR-2330</t>
        </is>
      </c>
      <c r="B2333" s="232" t="inlineStr">
        <is>
          <t>2026/27</t>
        </is>
      </c>
      <c r="C2333" s="233" t="n">
        <v>46076</v>
      </c>
      <c r="D2333" s="232" t="inlineStr">
        <is>
          <t>134860</t>
        </is>
      </c>
      <c r="E2333" s="232" t="inlineStr">
        <is>
          <t>PRORRATEO</t>
        </is>
      </c>
      <c r="F2333" s="232" t="inlineStr">
        <is>
          <t>Siberia</t>
        </is>
      </c>
      <c r="G2333" s="232" t="inlineStr">
        <is>
          <t>Timpson 7,1</t>
        </is>
      </c>
      <c r="H2333" s="232" t="inlineStr">
        <is>
          <t>Uvas</t>
        </is>
      </c>
      <c r="I2333" s="232" t="inlineStr">
        <is>
          <t>Timpson</t>
        </is>
      </c>
      <c r="J2333" s="232" t="inlineStr">
        <is>
          <t>COMBUSTIBLE</t>
        </is>
      </c>
      <c r="K2333" s="232" t="inlineStr">
        <is>
          <t>SIB. GRUA HORQUILLA ARRIENDO</t>
        </is>
      </c>
      <c r="L2333" s="232" t="inlineStr">
        <is>
          <t>[PRORRATEO 4.8% 7.1há/148.3há] O/001421 GAS ENV. 1</t>
        </is>
      </c>
      <c r="M2333" s="232" t="inlineStr"/>
      <c r="N2333" s="232" t="inlineStr">
        <is>
          <t>.   .   -</t>
        </is>
      </c>
      <c r="O2333" s="232" t="inlineStr">
        <is>
          <t>FEBRERO</t>
        </is>
      </c>
      <c r="P2333" s="232" t="n">
        <v>8</v>
      </c>
      <c r="Q2333" s="234" t="n">
        <v>3012</v>
      </c>
      <c r="R2333" s="232" t="inlineStr"/>
      <c r="S2333" s="234" t="n">
        <v>3012</v>
      </c>
      <c r="T2333" s="232" t="inlineStr">
        <is>
          <t>CLP</t>
        </is>
      </c>
      <c r="U2333" s="232" t="inlineStr">
        <is>
          <t>Prorrateo Ha PACKING</t>
        </is>
      </c>
      <c r="V2333" s="232" t="inlineStr">
        <is>
          <t>2026-06-18</t>
        </is>
      </c>
    </row>
    <row r="2334">
      <c r="A2334" s="232" t="inlineStr">
        <is>
          <t>CR-2331</t>
        </is>
      </c>
      <c r="B2334" s="232" t="inlineStr">
        <is>
          <t>2026/27</t>
        </is>
      </c>
      <c r="C2334" s="233" t="n">
        <v>46078</v>
      </c>
      <c r="D2334" s="232" t="inlineStr">
        <is>
          <t>632</t>
        </is>
      </c>
      <c r="E2334" s="232" t="inlineStr">
        <is>
          <t>PRORRATEO</t>
        </is>
      </c>
      <c r="F2334" s="232" t="inlineStr">
        <is>
          <t>Asmara</t>
        </is>
      </c>
      <c r="G2334" s="232" t="inlineStr">
        <is>
          <t>w. murcott 19,8 ha</t>
        </is>
      </c>
      <c r="H2334" s="232" t="inlineStr">
        <is>
          <t>Mandarina</t>
        </is>
      </c>
      <c r="I2334" s="232" t="inlineStr">
        <is>
          <t>W. murcott</t>
        </is>
      </c>
      <c r="J2334" s="232" t="inlineStr">
        <is>
          <t>LABORES OPERACIONALES</t>
        </is>
      </c>
      <c r="K2334" s="232" t="inlineStr">
        <is>
          <t>LAB. PACKING</t>
        </is>
      </c>
      <c r="L2334" s="232" t="inlineStr">
        <is>
          <t>[PRORRATEO 13.4% 19.8há/148.3há] SERV.CONTRATISTA</t>
        </is>
      </c>
      <c r="M2334" s="232" t="inlineStr"/>
      <c r="N2334" s="232" t="inlineStr">
        <is>
          <t>.   .   -</t>
        </is>
      </c>
      <c r="O2334" s="232" t="inlineStr">
        <is>
          <t>FEBRERO</t>
        </is>
      </c>
      <c r="P2334" s="232" t="n">
        <v>8</v>
      </c>
      <c r="Q2334" s="234" t="n">
        <v>792925</v>
      </c>
      <c r="R2334" s="232" t="inlineStr"/>
      <c r="S2334" s="234" t="n">
        <v>792925</v>
      </c>
      <c r="T2334" s="232" t="inlineStr">
        <is>
          <t>CLP</t>
        </is>
      </c>
      <c r="U2334" s="232" t="inlineStr">
        <is>
          <t>Prorrateo Ha PACKING</t>
        </is>
      </c>
      <c r="V2334" s="232" t="inlineStr">
        <is>
          <t>2026-06-18</t>
        </is>
      </c>
    </row>
    <row r="2335">
      <c r="A2335" s="232" t="inlineStr">
        <is>
          <t>CR-2332</t>
        </is>
      </c>
      <c r="B2335" s="232" t="inlineStr">
        <is>
          <t>2026/27</t>
        </is>
      </c>
      <c r="C2335" s="233" t="n">
        <v>46078</v>
      </c>
      <c r="D2335" s="232" t="inlineStr">
        <is>
          <t>632</t>
        </is>
      </c>
      <c r="E2335" s="232" t="inlineStr">
        <is>
          <t>PRORRATEO</t>
        </is>
      </c>
      <c r="F2335" s="232" t="inlineStr">
        <is>
          <t>Asmara</t>
        </is>
      </c>
      <c r="G2335" s="232" t="inlineStr">
        <is>
          <t>w. murcott 4,9 ha</t>
        </is>
      </c>
      <c r="H2335" s="232" t="inlineStr">
        <is>
          <t>Mandarina</t>
        </is>
      </c>
      <c r="I2335" s="232" t="inlineStr">
        <is>
          <t>W. murcott</t>
        </is>
      </c>
      <c r="J2335" s="232" t="inlineStr">
        <is>
          <t>LABORES OPERACIONALES</t>
        </is>
      </c>
      <c r="K2335" s="232" t="inlineStr">
        <is>
          <t>LAB. PACKING</t>
        </is>
      </c>
      <c r="L2335" s="232" t="inlineStr">
        <is>
          <t>[PRORRATEO 3.3% 4.9há/148.3há] SERV.CONTRATISTA</t>
        </is>
      </c>
      <c r="M2335" s="232" t="inlineStr"/>
      <c r="N2335" s="232" t="inlineStr">
        <is>
          <t>.   .   -</t>
        </is>
      </c>
      <c r="O2335" s="232" t="inlineStr">
        <is>
          <t>FEBRERO</t>
        </is>
      </c>
      <c r="P2335" s="232" t="n">
        <v>8</v>
      </c>
      <c r="Q2335" s="234" t="n">
        <v>196229</v>
      </c>
      <c r="R2335" s="232" t="inlineStr"/>
      <c r="S2335" s="234" t="n">
        <v>196229</v>
      </c>
      <c r="T2335" s="232" t="inlineStr">
        <is>
          <t>CLP</t>
        </is>
      </c>
      <c r="U2335" s="232" t="inlineStr">
        <is>
          <t>Prorrateo Ha PACKING</t>
        </is>
      </c>
      <c r="V2335" s="232" t="inlineStr">
        <is>
          <t>2026-06-18</t>
        </is>
      </c>
    </row>
    <row r="2336">
      <c r="A2336" s="232" t="inlineStr">
        <is>
          <t>CR-2333</t>
        </is>
      </c>
      <c r="B2336" s="232" t="inlineStr">
        <is>
          <t>2026/27</t>
        </is>
      </c>
      <c r="C2336" s="233" t="n">
        <v>46078</v>
      </c>
      <c r="D2336" s="232" t="inlineStr">
        <is>
          <t>632</t>
        </is>
      </c>
      <c r="E2336" s="232" t="inlineStr">
        <is>
          <t>PRORRATEO</t>
        </is>
      </c>
      <c r="F2336" s="232" t="inlineStr">
        <is>
          <t>El Molle</t>
        </is>
      </c>
      <c r="G2336" s="232" t="inlineStr">
        <is>
          <t>Wonderful 5,25 ha</t>
        </is>
      </c>
      <c r="H2336" s="232" t="inlineStr">
        <is>
          <t>Granados</t>
        </is>
      </c>
      <c r="I2336" s="232" t="inlineStr">
        <is>
          <t>Wonderfull</t>
        </is>
      </c>
      <c r="J2336" s="232" t="inlineStr">
        <is>
          <t>LABORES OPERACIONALES</t>
        </is>
      </c>
      <c r="K2336" s="232" t="inlineStr">
        <is>
          <t>LAB. PACKING</t>
        </is>
      </c>
      <c r="L2336" s="232" t="inlineStr">
        <is>
          <t>[PRORRATEO 3.5% 5.24há/148.3há] SERV.CONTRATISTA</t>
        </is>
      </c>
      <c r="M2336" s="232" t="inlineStr"/>
      <c r="N2336" s="232" t="inlineStr">
        <is>
          <t>.   .   -</t>
        </is>
      </c>
      <c r="O2336" s="232" t="inlineStr">
        <is>
          <t>FEBRERO</t>
        </is>
      </c>
      <c r="P2336" s="232" t="n">
        <v>8</v>
      </c>
      <c r="Q2336" s="234" t="n">
        <v>209845</v>
      </c>
      <c r="R2336" s="232" t="inlineStr"/>
      <c r="S2336" s="234" t="n">
        <v>209845</v>
      </c>
      <c r="T2336" s="232" t="inlineStr">
        <is>
          <t>CLP</t>
        </is>
      </c>
      <c r="U2336" s="232" t="inlineStr">
        <is>
          <t>Prorrateo Ha PACKING</t>
        </is>
      </c>
      <c r="V2336" s="232" t="inlineStr">
        <is>
          <t>2026-06-18</t>
        </is>
      </c>
    </row>
    <row r="2337">
      <c r="A2337" s="232" t="inlineStr">
        <is>
          <t>CR-2334</t>
        </is>
      </c>
      <c r="B2337" s="232" t="inlineStr">
        <is>
          <t>2026/27</t>
        </is>
      </c>
      <c r="C2337" s="233" t="n">
        <v>46078</v>
      </c>
      <c r="D2337" s="232" t="inlineStr">
        <is>
          <t>632</t>
        </is>
      </c>
      <c r="E2337" s="232" t="inlineStr">
        <is>
          <t>PRORRATEO</t>
        </is>
      </c>
      <c r="F2337" s="232" t="inlineStr">
        <is>
          <t>El Molle</t>
        </is>
      </c>
      <c r="G2337" s="232" t="inlineStr">
        <is>
          <t>arrufatinas 5,74 ha</t>
        </is>
      </c>
      <c r="H2337" s="232" t="inlineStr">
        <is>
          <t>Clementinas</t>
        </is>
      </c>
      <c r="I2337" s="232" t="inlineStr">
        <is>
          <t>Arrufatinas</t>
        </is>
      </c>
      <c r="J2337" s="232" t="inlineStr">
        <is>
          <t>LABORES OPERACIONALES</t>
        </is>
      </c>
      <c r="K2337" s="232" t="inlineStr">
        <is>
          <t>LAB. PACKING</t>
        </is>
      </c>
      <c r="L2337" s="232" t="inlineStr">
        <is>
          <t>[PRORRATEO 3.9% 5.74há/148.3há] SERV.CONTRATISTA</t>
        </is>
      </c>
      <c r="M2337" s="232" t="inlineStr"/>
      <c r="N2337" s="232" t="inlineStr">
        <is>
          <t>.   .   -</t>
        </is>
      </c>
      <c r="O2337" s="232" t="inlineStr">
        <is>
          <t>FEBRERO</t>
        </is>
      </c>
      <c r="P2337" s="232" t="n">
        <v>8</v>
      </c>
      <c r="Q2337" s="234" t="n">
        <v>229868</v>
      </c>
      <c r="R2337" s="232" t="inlineStr"/>
      <c r="S2337" s="234" t="n">
        <v>229868</v>
      </c>
      <c r="T2337" s="232" t="inlineStr">
        <is>
          <t>CLP</t>
        </is>
      </c>
      <c r="U2337" s="232" t="inlineStr">
        <is>
          <t>Prorrateo Ha PACKING</t>
        </is>
      </c>
      <c r="V2337" s="232" t="inlineStr">
        <is>
          <t>2026-06-18</t>
        </is>
      </c>
    </row>
    <row r="2338">
      <c r="A2338" s="232" t="inlineStr">
        <is>
          <t>CR-2335</t>
        </is>
      </c>
      <c r="B2338" s="232" t="inlineStr">
        <is>
          <t>2026/27</t>
        </is>
      </c>
      <c r="C2338" s="233" t="n">
        <v>46078</v>
      </c>
      <c r="D2338" s="232" t="inlineStr">
        <is>
          <t>632</t>
        </is>
      </c>
      <c r="E2338" s="232" t="inlineStr">
        <is>
          <t>PRORRATEO</t>
        </is>
      </c>
      <c r="F2338" s="232" t="inlineStr">
        <is>
          <t>El Molle</t>
        </is>
      </c>
      <c r="G2338" s="232" t="inlineStr">
        <is>
          <t>orogrande 8,11 ha</t>
        </is>
      </c>
      <c r="H2338" s="232" t="inlineStr">
        <is>
          <t>Clementinas</t>
        </is>
      </c>
      <c r="I2338" s="232" t="inlineStr">
        <is>
          <t>Orogrande</t>
        </is>
      </c>
      <c r="J2338" s="232" t="inlineStr">
        <is>
          <t>LABORES OPERACIONALES</t>
        </is>
      </c>
      <c r="K2338" s="232" t="inlineStr">
        <is>
          <t>LAB. PACKING</t>
        </is>
      </c>
      <c r="L2338" s="232" t="inlineStr">
        <is>
          <t>[PRORRATEO 5.5% 8.11há/148.3há] SERV.CONTRATISTA</t>
        </is>
      </c>
      <c r="M2338" s="232" t="inlineStr"/>
      <c r="N2338" s="232" t="inlineStr">
        <is>
          <t>.   .   -</t>
        </is>
      </c>
      <c r="O2338" s="232" t="inlineStr">
        <is>
          <t>FEBRERO</t>
        </is>
      </c>
      <c r="P2338" s="232" t="n">
        <v>8</v>
      </c>
      <c r="Q2338" s="234" t="n">
        <v>324779</v>
      </c>
      <c r="R2338" s="232" t="inlineStr"/>
      <c r="S2338" s="234" t="n">
        <v>324779</v>
      </c>
      <c r="T2338" s="232" t="inlineStr">
        <is>
          <t>CLP</t>
        </is>
      </c>
      <c r="U2338" s="232" t="inlineStr">
        <is>
          <t>Prorrateo Ha PACKING</t>
        </is>
      </c>
      <c r="V2338" s="232" t="inlineStr">
        <is>
          <t>2026-06-18</t>
        </is>
      </c>
    </row>
    <row r="2339">
      <c r="A2339" s="232" t="inlineStr">
        <is>
          <t>CR-2336</t>
        </is>
      </c>
      <c r="B2339" s="232" t="inlineStr">
        <is>
          <t>2026/27</t>
        </is>
      </c>
      <c r="C2339" s="233" t="n">
        <v>46078</v>
      </c>
      <c r="D2339" s="232" t="inlineStr">
        <is>
          <t>632</t>
        </is>
      </c>
      <c r="E2339" s="232" t="inlineStr">
        <is>
          <t>PRORRATEO</t>
        </is>
      </c>
      <c r="F2339" s="232" t="inlineStr">
        <is>
          <t>El Molle</t>
        </is>
      </c>
      <c r="G2339" s="232" t="inlineStr">
        <is>
          <t>oronules 5,35 ha</t>
        </is>
      </c>
      <c r="H2339" s="232" t="inlineStr">
        <is>
          <t>Clementinas</t>
        </is>
      </c>
      <c r="I2339" s="232" t="inlineStr">
        <is>
          <t>Oronules</t>
        </is>
      </c>
      <c r="J2339" s="232" t="inlineStr">
        <is>
          <t>LABORES OPERACIONALES</t>
        </is>
      </c>
      <c r="K2339" s="232" t="inlineStr">
        <is>
          <t>LAB. PACKING</t>
        </is>
      </c>
      <c r="L2339" s="232" t="inlineStr">
        <is>
          <t>[PRORRATEO 3.6% 5.35há/148.3há] SERV.CONTRATISTA</t>
        </is>
      </c>
      <c r="M2339" s="232" t="inlineStr"/>
      <c r="N2339" s="232" t="inlineStr">
        <is>
          <t>.   .   -</t>
        </is>
      </c>
      <c r="O2339" s="232" t="inlineStr">
        <is>
          <t>FEBRERO</t>
        </is>
      </c>
      <c r="P2339" s="232" t="n">
        <v>8</v>
      </c>
      <c r="Q2339" s="234" t="n">
        <v>214250</v>
      </c>
      <c r="R2339" s="232" t="inlineStr"/>
      <c r="S2339" s="234" t="n">
        <v>214250</v>
      </c>
      <c r="T2339" s="232" t="inlineStr">
        <is>
          <t>CLP</t>
        </is>
      </c>
      <c r="U2339" s="232" t="inlineStr">
        <is>
          <t>Prorrateo Ha PACKING</t>
        </is>
      </c>
      <c r="V2339" s="232" t="inlineStr">
        <is>
          <t>2026-06-18</t>
        </is>
      </c>
    </row>
    <row r="2340">
      <c r="A2340" s="232" t="inlineStr">
        <is>
          <t>CR-2337</t>
        </is>
      </c>
      <c r="B2340" s="232" t="inlineStr">
        <is>
          <t>2026/27</t>
        </is>
      </c>
      <c r="C2340" s="233" t="n">
        <v>46078</v>
      </c>
      <c r="D2340" s="232" t="inlineStr">
        <is>
          <t>632</t>
        </is>
      </c>
      <c r="E2340" s="232" t="inlineStr">
        <is>
          <t>PRORRATEO</t>
        </is>
      </c>
      <c r="F2340" s="232" t="inlineStr">
        <is>
          <t>Santa Catalina</t>
        </is>
      </c>
      <c r="G2340" s="232" t="inlineStr">
        <is>
          <t>Fino 49 7,7 ha</t>
        </is>
      </c>
      <c r="H2340" s="232" t="inlineStr">
        <is>
          <t>Limon</t>
        </is>
      </c>
      <c r="I2340" s="232" t="inlineStr">
        <is>
          <t>Fino 49</t>
        </is>
      </c>
      <c r="J2340" s="232" t="inlineStr">
        <is>
          <t>LABORES OPERACIONALES</t>
        </is>
      </c>
      <c r="K2340" s="232" t="inlineStr">
        <is>
          <t>LAB. PACKING</t>
        </is>
      </c>
      <c r="L2340" s="232" t="inlineStr">
        <is>
          <t>[PRORRATEO 5.2% 7.7há/148.3há] SERV.CONTRATISTA</t>
        </is>
      </c>
      <c r="M2340" s="232" t="inlineStr"/>
      <c r="N2340" s="232" t="inlineStr">
        <is>
          <t>.   .   -</t>
        </is>
      </c>
      <c r="O2340" s="232" t="inlineStr">
        <is>
          <t>FEBRERO</t>
        </is>
      </c>
      <c r="P2340" s="232" t="n">
        <v>8</v>
      </c>
      <c r="Q2340" s="234" t="n">
        <v>308360</v>
      </c>
      <c r="R2340" s="232" t="inlineStr"/>
      <c r="S2340" s="234" t="n">
        <v>308360</v>
      </c>
      <c r="T2340" s="232" t="inlineStr">
        <is>
          <t>CLP</t>
        </is>
      </c>
      <c r="U2340" s="232" t="inlineStr">
        <is>
          <t>Prorrateo Ha PACKING</t>
        </is>
      </c>
      <c r="V2340" s="232" t="inlineStr">
        <is>
          <t>2026-06-18</t>
        </is>
      </c>
    </row>
    <row r="2341">
      <c r="A2341" s="232" t="inlineStr">
        <is>
          <t>CR-2338</t>
        </is>
      </c>
      <c r="B2341" s="232" t="inlineStr">
        <is>
          <t>2026/27</t>
        </is>
      </c>
      <c r="C2341" s="233" t="n">
        <v>46078</v>
      </c>
      <c r="D2341" s="232" t="inlineStr">
        <is>
          <t>632</t>
        </is>
      </c>
      <c r="E2341" s="232" t="inlineStr">
        <is>
          <t>PRORRATEO</t>
        </is>
      </c>
      <c r="F2341" s="232" t="inlineStr">
        <is>
          <t>Santa Catalina</t>
        </is>
      </c>
      <c r="G2341" s="232" t="inlineStr">
        <is>
          <t>W. murcott 21 ha</t>
        </is>
      </c>
      <c r="H2341" s="232" t="inlineStr">
        <is>
          <t>Mandarina</t>
        </is>
      </c>
      <c r="I2341" s="232" t="inlineStr">
        <is>
          <t>W. murcott</t>
        </is>
      </c>
      <c r="J2341" s="232" t="inlineStr">
        <is>
          <t>LABORES OPERACIONALES</t>
        </is>
      </c>
      <c r="K2341" s="232" t="inlineStr">
        <is>
          <t>LAB. PACKING</t>
        </is>
      </c>
      <c r="L2341" s="232" t="inlineStr">
        <is>
          <t>[PRORRATEO 14.2% 21.0há/148.3há] SERV.CONTRATISTA</t>
        </is>
      </c>
      <c r="M2341" s="232" t="inlineStr"/>
      <c r="N2341" s="232" t="inlineStr">
        <is>
          <t>.   .   -</t>
        </is>
      </c>
      <c r="O2341" s="232" t="inlineStr">
        <is>
          <t>FEBRERO</t>
        </is>
      </c>
      <c r="P2341" s="232" t="n">
        <v>8</v>
      </c>
      <c r="Q2341" s="234" t="n">
        <v>840982</v>
      </c>
      <c r="R2341" s="232" t="inlineStr"/>
      <c r="S2341" s="234" t="n">
        <v>840982</v>
      </c>
      <c r="T2341" s="232" t="inlineStr">
        <is>
          <t>CLP</t>
        </is>
      </c>
      <c r="U2341" s="232" t="inlineStr">
        <is>
          <t>Prorrateo Ha PACKING</t>
        </is>
      </c>
      <c r="V2341" s="232" t="inlineStr">
        <is>
          <t>2026-06-18</t>
        </is>
      </c>
    </row>
    <row r="2342">
      <c r="A2342" s="232" t="inlineStr">
        <is>
          <t>CR-2339</t>
        </is>
      </c>
      <c r="B2342" s="232" t="inlineStr">
        <is>
          <t>2026/27</t>
        </is>
      </c>
      <c r="C2342" s="233" t="n">
        <v>46078</v>
      </c>
      <c r="D2342" s="232" t="inlineStr">
        <is>
          <t>632</t>
        </is>
      </c>
      <c r="E2342" s="232" t="inlineStr">
        <is>
          <t>PRORRATEO</t>
        </is>
      </c>
      <c r="F2342" s="232" t="inlineStr">
        <is>
          <t>Santa Catalina</t>
        </is>
      </c>
      <c r="G2342" s="232" t="inlineStr">
        <is>
          <t>cambria 4,2 ha</t>
        </is>
      </c>
      <c r="H2342" s="232" t="inlineStr">
        <is>
          <t>Naranjas</t>
        </is>
      </c>
      <c r="I2342" s="232" t="inlineStr">
        <is>
          <t>Cambria</t>
        </is>
      </c>
      <c r="J2342" s="232" t="inlineStr">
        <is>
          <t>LABORES OPERACIONALES</t>
        </is>
      </c>
      <c r="K2342" s="232" t="inlineStr">
        <is>
          <t>LAB. PACKING</t>
        </is>
      </c>
      <c r="L2342" s="232" t="inlineStr">
        <is>
          <t>[PRORRATEO 2.8% 4.2há/148.3há] SERV.CONTRATISTA</t>
        </is>
      </c>
      <c r="M2342" s="232" t="inlineStr"/>
      <c r="N2342" s="232" t="inlineStr">
        <is>
          <t>.   .   -</t>
        </is>
      </c>
      <c r="O2342" s="232" t="inlineStr">
        <is>
          <t>FEBRERO</t>
        </is>
      </c>
      <c r="P2342" s="232" t="n">
        <v>8</v>
      </c>
      <c r="Q2342" s="234" t="n">
        <v>168196</v>
      </c>
      <c r="R2342" s="232" t="inlineStr"/>
      <c r="S2342" s="234" t="n">
        <v>168196</v>
      </c>
      <c r="T2342" s="232" t="inlineStr">
        <is>
          <t>CLP</t>
        </is>
      </c>
      <c r="U2342" s="232" t="inlineStr">
        <is>
          <t>Prorrateo Ha PACKING</t>
        </is>
      </c>
      <c r="V2342" s="232" t="inlineStr">
        <is>
          <t>2026-06-18</t>
        </is>
      </c>
    </row>
    <row r="2343">
      <c r="A2343" s="232" t="inlineStr">
        <is>
          <t>CR-2340</t>
        </is>
      </c>
      <c r="B2343" s="232" t="inlineStr">
        <is>
          <t>2026/27</t>
        </is>
      </c>
      <c r="C2343" s="233" t="n">
        <v>46078</v>
      </c>
      <c r="D2343" s="232" t="inlineStr">
        <is>
          <t>632</t>
        </is>
      </c>
      <c r="E2343" s="232" t="inlineStr">
        <is>
          <t>PRORRATEO</t>
        </is>
      </c>
      <c r="F2343" s="232" t="inlineStr">
        <is>
          <t>Santa Catalina</t>
        </is>
      </c>
      <c r="G2343" s="232" t="inlineStr">
        <is>
          <t>eureka 10,6 ha</t>
        </is>
      </c>
      <c r="H2343" s="232" t="inlineStr">
        <is>
          <t>Limon</t>
        </is>
      </c>
      <c r="I2343" s="232" t="inlineStr">
        <is>
          <t>Eureka</t>
        </is>
      </c>
      <c r="J2343" s="232" t="inlineStr">
        <is>
          <t>LABORES OPERACIONALES</t>
        </is>
      </c>
      <c r="K2343" s="232" t="inlineStr">
        <is>
          <t>LAB. PACKING</t>
        </is>
      </c>
      <c r="L2343" s="232" t="inlineStr">
        <is>
          <t>[PRORRATEO 7.1% 10.6há/148.3há] SERV.CONTRATISTA</t>
        </is>
      </c>
      <c r="M2343" s="232" t="inlineStr"/>
      <c r="N2343" s="232" t="inlineStr">
        <is>
          <t>.   .   -</t>
        </is>
      </c>
      <c r="O2343" s="232" t="inlineStr">
        <is>
          <t>FEBRERO</t>
        </is>
      </c>
      <c r="P2343" s="232" t="n">
        <v>8</v>
      </c>
      <c r="Q2343" s="234" t="n">
        <v>424495</v>
      </c>
      <c r="R2343" s="232" t="inlineStr"/>
      <c r="S2343" s="234" t="n">
        <v>424495</v>
      </c>
      <c r="T2343" s="232" t="inlineStr">
        <is>
          <t>CLP</t>
        </is>
      </c>
      <c r="U2343" s="232" t="inlineStr">
        <is>
          <t>Prorrateo Ha PACKING</t>
        </is>
      </c>
      <c r="V2343" s="232" t="inlineStr">
        <is>
          <t>2026-06-18</t>
        </is>
      </c>
    </row>
    <row r="2344">
      <c r="A2344" s="232" t="inlineStr">
        <is>
          <t>CR-2341</t>
        </is>
      </c>
      <c r="B2344" s="232" t="inlineStr">
        <is>
          <t>2026/27</t>
        </is>
      </c>
      <c r="C2344" s="233" t="n">
        <v>46078</v>
      </c>
      <c r="D2344" s="232" t="inlineStr">
        <is>
          <t>632</t>
        </is>
      </c>
      <c r="E2344" s="232" t="inlineStr">
        <is>
          <t>PRORRATEO</t>
        </is>
      </c>
      <c r="F2344" s="232" t="inlineStr">
        <is>
          <t>Santa Catalina</t>
        </is>
      </c>
      <c r="G2344" s="232" t="inlineStr">
        <is>
          <t>eureka 14,4 ha</t>
        </is>
      </c>
      <c r="H2344" s="232" t="inlineStr">
        <is>
          <t>Limon</t>
        </is>
      </c>
      <c r="I2344" s="232" t="inlineStr">
        <is>
          <t>Eureka</t>
        </is>
      </c>
      <c r="J2344" s="232" t="inlineStr">
        <is>
          <t>LABORES OPERACIONALES</t>
        </is>
      </c>
      <c r="K2344" s="232" t="inlineStr">
        <is>
          <t>LAB. PACKING</t>
        </is>
      </c>
      <c r="L2344" s="232" t="inlineStr">
        <is>
          <t>[PRORRATEO 9.7% 14.4há/148.3há] SERV.CONTRATISTA</t>
        </is>
      </c>
      <c r="M2344" s="232" t="inlineStr"/>
      <c r="N2344" s="232" t="inlineStr">
        <is>
          <t>.   .   -</t>
        </is>
      </c>
      <c r="O2344" s="232" t="inlineStr">
        <is>
          <t>FEBRERO</t>
        </is>
      </c>
      <c r="P2344" s="232" t="n">
        <v>8</v>
      </c>
      <c r="Q2344" s="234" t="n">
        <v>576673</v>
      </c>
      <c r="R2344" s="232" t="inlineStr"/>
      <c r="S2344" s="234" t="n">
        <v>576673</v>
      </c>
      <c r="T2344" s="232" t="inlineStr">
        <is>
          <t>CLP</t>
        </is>
      </c>
      <c r="U2344" s="232" t="inlineStr">
        <is>
          <t>Prorrateo Ha PACKING</t>
        </is>
      </c>
      <c r="V2344" s="232" t="inlineStr">
        <is>
          <t>2026-06-18</t>
        </is>
      </c>
    </row>
    <row r="2345">
      <c r="A2345" s="232" t="inlineStr">
        <is>
          <t>CR-2342</t>
        </is>
      </c>
      <c r="B2345" s="232" t="inlineStr">
        <is>
          <t>2026/27</t>
        </is>
      </c>
      <c r="C2345" s="233" t="n">
        <v>46078</v>
      </c>
      <c r="D2345" s="232" t="inlineStr">
        <is>
          <t>632</t>
        </is>
      </c>
      <c r="E2345" s="232" t="inlineStr">
        <is>
          <t>PRORRATEO</t>
        </is>
      </c>
      <c r="F2345" s="232" t="inlineStr">
        <is>
          <t>Santa Catalina</t>
        </is>
      </c>
      <c r="G2345" s="232" t="inlineStr">
        <is>
          <t>eureka 22,55</t>
        </is>
      </c>
      <c r="H2345" s="232" t="inlineStr">
        <is>
          <t>Limon</t>
        </is>
      </c>
      <c r="I2345" s="232" t="inlineStr">
        <is>
          <t>Eureka</t>
        </is>
      </c>
      <c r="J2345" s="232" t="inlineStr">
        <is>
          <t>LABORES OPERACIONALES</t>
        </is>
      </c>
      <c r="K2345" s="232" t="inlineStr">
        <is>
          <t>LAB. PACKING</t>
        </is>
      </c>
      <c r="L2345" s="232" t="inlineStr">
        <is>
          <t>[PRORRATEO 15.2% 22.55há/148.3há] SERV.CONTRATISTA</t>
        </is>
      </c>
      <c r="M2345" s="232" t="inlineStr"/>
      <c r="N2345" s="232" t="inlineStr">
        <is>
          <t>.   .   -</t>
        </is>
      </c>
      <c r="O2345" s="232" t="inlineStr">
        <is>
          <t>FEBRERO</t>
        </is>
      </c>
      <c r="P2345" s="232" t="n">
        <v>8</v>
      </c>
      <c r="Q2345" s="234" t="n">
        <v>903054</v>
      </c>
      <c r="R2345" s="232" t="inlineStr"/>
      <c r="S2345" s="234" t="n">
        <v>903054</v>
      </c>
      <c r="T2345" s="232" t="inlineStr">
        <is>
          <t>CLP</t>
        </is>
      </c>
      <c r="U2345" s="232" t="inlineStr">
        <is>
          <t>Prorrateo Ha PACKING</t>
        </is>
      </c>
      <c r="V2345" s="232" t="inlineStr">
        <is>
          <t>2026-06-18</t>
        </is>
      </c>
    </row>
    <row r="2346">
      <c r="A2346" s="232" t="inlineStr">
        <is>
          <t>CR-2343</t>
        </is>
      </c>
      <c r="B2346" s="232" t="inlineStr">
        <is>
          <t>2026/27</t>
        </is>
      </c>
      <c r="C2346" s="233" t="n">
        <v>46078</v>
      </c>
      <c r="D2346" s="232" t="inlineStr">
        <is>
          <t>632</t>
        </is>
      </c>
      <c r="E2346" s="232" t="inlineStr">
        <is>
          <t>PRORRATEO</t>
        </is>
      </c>
      <c r="F2346" s="232" t="inlineStr">
        <is>
          <t>Santa Catalina</t>
        </is>
      </c>
      <c r="G2346" s="232" t="inlineStr">
        <is>
          <t>form benjamin 1,93 ha</t>
        </is>
      </c>
      <c r="H2346" s="232" t="inlineStr">
        <is>
          <t>Limon</t>
        </is>
      </c>
      <c r="I2346" s="232" t="inlineStr">
        <is>
          <t>Benjamin andes</t>
        </is>
      </c>
      <c r="J2346" s="232" t="inlineStr">
        <is>
          <t>LABORES OPERACIONALES</t>
        </is>
      </c>
      <c r="K2346" s="232" t="inlineStr">
        <is>
          <t>LAB. PACKING</t>
        </is>
      </c>
      <c r="L2346" s="232" t="inlineStr">
        <is>
          <t>[PRORRATEO 1.3% 1.93há/148.3há] SERV.CONTRATISTA</t>
        </is>
      </c>
      <c r="M2346" s="232" t="inlineStr"/>
      <c r="N2346" s="232" t="inlineStr">
        <is>
          <t>.   .   -</t>
        </is>
      </c>
      <c r="O2346" s="232" t="inlineStr">
        <is>
          <t>FEBRERO</t>
        </is>
      </c>
      <c r="P2346" s="232" t="n">
        <v>8</v>
      </c>
      <c r="Q2346" s="234" t="n">
        <v>77290</v>
      </c>
      <c r="R2346" s="232" t="inlineStr"/>
      <c r="S2346" s="234" t="n">
        <v>77290</v>
      </c>
      <c r="T2346" s="232" t="inlineStr">
        <is>
          <t>CLP</t>
        </is>
      </c>
      <c r="U2346" s="232" t="inlineStr">
        <is>
          <t>Prorrateo Ha PACKING</t>
        </is>
      </c>
      <c r="V2346" s="232" t="inlineStr">
        <is>
          <t>2026-06-18</t>
        </is>
      </c>
    </row>
    <row r="2347">
      <c r="A2347" s="232" t="inlineStr">
        <is>
          <t>CR-2344</t>
        </is>
      </c>
      <c r="B2347" s="232" t="inlineStr">
        <is>
          <t>2026/27</t>
        </is>
      </c>
      <c r="C2347" s="233" t="n">
        <v>46078</v>
      </c>
      <c r="D2347" s="232" t="inlineStr">
        <is>
          <t>632</t>
        </is>
      </c>
      <c r="E2347" s="232" t="inlineStr">
        <is>
          <t>PRORRATEO</t>
        </is>
      </c>
      <c r="F2347" s="232" t="inlineStr">
        <is>
          <t>Santa Catalina</t>
        </is>
      </c>
      <c r="G2347" s="232" t="inlineStr">
        <is>
          <t>mant eureka 2,5 ha</t>
        </is>
      </c>
      <c r="H2347" s="232" t="inlineStr">
        <is>
          <t>Limon</t>
        </is>
      </c>
      <c r="I2347" s="232" t="inlineStr">
        <is>
          <t>Eureka</t>
        </is>
      </c>
      <c r="J2347" s="232" t="inlineStr">
        <is>
          <t>LABORES OPERACIONALES</t>
        </is>
      </c>
      <c r="K2347" s="232" t="inlineStr">
        <is>
          <t>LAB. PACKING</t>
        </is>
      </c>
      <c r="L2347" s="232" t="inlineStr">
        <is>
          <t>[PRORRATEO 1.7% 2.5há/148.3há] SERV.CONTRATISTA</t>
        </is>
      </c>
      <c r="M2347" s="232" t="inlineStr"/>
      <c r="N2347" s="232" t="inlineStr">
        <is>
          <t>.   .   -</t>
        </is>
      </c>
      <c r="O2347" s="232" t="inlineStr">
        <is>
          <t>FEBRERO</t>
        </is>
      </c>
      <c r="P2347" s="232" t="n">
        <v>8</v>
      </c>
      <c r="Q2347" s="234" t="n">
        <v>100117</v>
      </c>
      <c r="R2347" s="232" t="inlineStr"/>
      <c r="S2347" s="234" t="n">
        <v>100117</v>
      </c>
      <c r="T2347" s="232" t="inlineStr">
        <is>
          <t>CLP</t>
        </is>
      </c>
      <c r="U2347" s="232" t="inlineStr">
        <is>
          <t>Prorrateo Ha PACKING</t>
        </is>
      </c>
      <c r="V2347" s="232" t="inlineStr">
        <is>
          <t>2026-06-18</t>
        </is>
      </c>
    </row>
    <row r="2348">
      <c r="A2348" s="232" t="inlineStr">
        <is>
          <t>CR-2345</t>
        </is>
      </c>
      <c r="B2348" s="232" t="inlineStr">
        <is>
          <t>2026/27</t>
        </is>
      </c>
      <c r="C2348" s="233" t="n">
        <v>46078</v>
      </c>
      <c r="D2348" s="232" t="inlineStr">
        <is>
          <t>632</t>
        </is>
      </c>
      <c r="E2348" s="232" t="inlineStr">
        <is>
          <t>PRORRATEO</t>
        </is>
      </c>
      <c r="F2348" s="232" t="inlineStr">
        <is>
          <t>Siberia</t>
        </is>
      </c>
      <c r="G2348" s="232" t="inlineStr">
        <is>
          <t>S. Celebration 7,14</t>
        </is>
      </c>
      <c r="H2348" s="232" t="inlineStr">
        <is>
          <t>Uvas</t>
        </is>
      </c>
      <c r="I2348" s="232" t="inlineStr">
        <is>
          <t>S. celebration</t>
        </is>
      </c>
      <c r="J2348" s="232" t="inlineStr">
        <is>
          <t>LABORES OPERACIONALES</t>
        </is>
      </c>
      <c r="K2348" s="232" t="inlineStr">
        <is>
          <t>LAB. PACKING</t>
        </is>
      </c>
      <c r="L2348" s="232" t="inlineStr">
        <is>
          <t>[PRORRATEO 4.8% 7.14há/148.3há] SERV.CONTRATISTA</t>
        </is>
      </c>
      <c r="M2348" s="232" t="inlineStr"/>
      <c r="N2348" s="232" t="inlineStr">
        <is>
          <t>.   .   -</t>
        </is>
      </c>
      <c r="O2348" s="232" t="inlineStr">
        <is>
          <t>FEBRERO</t>
        </is>
      </c>
      <c r="P2348" s="232" t="n">
        <v>8</v>
      </c>
      <c r="Q2348" s="234" t="n">
        <v>285934</v>
      </c>
      <c r="R2348" s="232" t="inlineStr"/>
      <c r="S2348" s="234" t="n">
        <v>285934</v>
      </c>
      <c r="T2348" s="232" t="inlineStr">
        <is>
          <t>CLP</t>
        </is>
      </c>
      <c r="U2348" s="232" t="inlineStr">
        <is>
          <t>Prorrateo Ha PACKING</t>
        </is>
      </c>
      <c r="V2348" s="232" t="inlineStr">
        <is>
          <t>2026-06-18</t>
        </is>
      </c>
    </row>
    <row r="2349">
      <c r="A2349" s="232" t="inlineStr">
        <is>
          <t>CR-2346</t>
        </is>
      </c>
      <c r="B2349" s="232" t="inlineStr">
        <is>
          <t>2026/27</t>
        </is>
      </c>
      <c r="C2349" s="233" t="n">
        <v>46078</v>
      </c>
      <c r="D2349" s="232" t="inlineStr">
        <is>
          <t>632</t>
        </is>
      </c>
      <c r="E2349" s="232" t="inlineStr">
        <is>
          <t>PRORRATEO</t>
        </is>
      </c>
      <c r="F2349" s="232" t="inlineStr">
        <is>
          <t>Siberia</t>
        </is>
      </c>
      <c r="G2349" s="232" t="inlineStr">
        <is>
          <t>Timpson 7,1</t>
        </is>
      </c>
      <c r="H2349" s="232" t="inlineStr">
        <is>
          <t>Uvas</t>
        </is>
      </c>
      <c r="I2349" s="232" t="inlineStr">
        <is>
          <t>Timpson</t>
        </is>
      </c>
      <c r="J2349" s="232" t="inlineStr">
        <is>
          <t>LABORES OPERACIONALES</t>
        </is>
      </c>
      <c r="K2349" s="232" t="inlineStr">
        <is>
          <t>LAB. PACKING</t>
        </is>
      </c>
      <c r="L2349" s="232" t="inlineStr">
        <is>
          <t>[PRORRATEO 4.8% 7.1há/148.3há] SERV.CONTRATISTA</t>
        </is>
      </c>
      <c r="M2349" s="232" t="inlineStr"/>
      <c r="N2349" s="232" t="inlineStr">
        <is>
          <t>.   .   -</t>
        </is>
      </c>
      <c r="O2349" s="232" t="inlineStr">
        <is>
          <t>FEBRERO</t>
        </is>
      </c>
      <c r="P2349" s="232" t="n">
        <v>8</v>
      </c>
      <c r="Q2349" s="234" t="n">
        <v>284332</v>
      </c>
      <c r="R2349" s="232" t="inlineStr"/>
      <c r="S2349" s="234" t="n">
        <v>284332</v>
      </c>
      <c r="T2349" s="232" t="inlineStr">
        <is>
          <t>CLP</t>
        </is>
      </c>
      <c r="U2349" s="232" t="inlineStr">
        <is>
          <t>Prorrateo Ha PACKING</t>
        </is>
      </c>
      <c r="V2349" s="232" t="inlineStr">
        <is>
          <t>2026-06-18</t>
        </is>
      </c>
    </row>
    <row r="2350">
      <c r="A2350" s="232" t="inlineStr">
        <is>
          <t>CR-2347</t>
        </is>
      </c>
      <c r="B2350" s="232" t="inlineStr">
        <is>
          <t>2026/27</t>
        </is>
      </c>
      <c r="C2350" s="233" t="n">
        <v>46080</v>
      </c>
      <c r="D2350" s="232" t="inlineStr">
        <is>
          <t>4118</t>
        </is>
      </c>
      <c r="E2350" s="232" t="inlineStr">
        <is>
          <t>PRORRATEO</t>
        </is>
      </c>
      <c r="F2350" s="232" t="inlineStr">
        <is>
          <t>Asmara</t>
        </is>
      </c>
      <c r="G2350" s="232" t="inlineStr">
        <is>
          <t>w. murcott 19,8 ha</t>
        </is>
      </c>
      <c r="H2350" s="232" t="inlineStr">
        <is>
          <t>Mandarina</t>
        </is>
      </c>
      <c r="I2350" s="232" t="inlineStr">
        <is>
          <t>W. murcott</t>
        </is>
      </c>
      <c r="J2350" s="232" t="inlineStr">
        <is>
          <t>ARRIENDOS</t>
        </is>
      </c>
      <c r="K2350" s="232" t="inlineStr">
        <is>
          <t>ARRIENDO GRUA HORQUILLA</t>
        </is>
      </c>
      <c r="L2350" s="232" t="inlineStr">
        <is>
          <t>[PRORRATEO 13.4% 19.8há/148.3há] O/001430 ARRIENDO G</t>
        </is>
      </c>
      <c r="M2350" s="232" t="inlineStr"/>
      <c r="N2350" s="232" t="inlineStr">
        <is>
          <t>.   .   -</t>
        </is>
      </c>
      <c r="O2350" s="232" t="inlineStr">
        <is>
          <t>FEBRERO</t>
        </is>
      </c>
      <c r="P2350" s="232" t="n">
        <v>8</v>
      </c>
      <c r="Q2350" s="234" t="n">
        <v>82801</v>
      </c>
      <c r="R2350" s="232" t="inlineStr"/>
      <c r="S2350" s="234" t="n">
        <v>82801</v>
      </c>
      <c r="T2350" s="232" t="inlineStr">
        <is>
          <t>CLP</t>
        </is>
      </c>
      <c r="U2350" s="232" t="inlineStr">
        <is>
          <t>Prorrateo Ha PACKING</t>
        </is>
      </c>
      <c r="V2350" s="232" t="inlineStr">
        <is>
          <t>2026-06-18</t>
        </is>
      </c>
    </row>
    <row r="2351">
      <c r="A2351" s="232" t="inlineStr">
        <is>
          <t>CR-2348</t>
        </is>
      </c>
      <c r="B2351" s="232" t="inlineStr">
        <is>
          <t>2026/27</t>
        </is>
      </c>
      <c r="C2351" s="233" t="n">
        <v>46080</v>
      </c>
      <c r="D2351" s="232" t="inlineStr">
        <is>
          <t>4118</t>
        </is>
      </c>
      <c r="E2351" s="232" t="inlineStr">
        <is>
          <t>PRORRATEO</t>
        </is>
      </c>
      <c r="F2351" s="232" t="inlineStr">
        <is>
          <t>Asmara</t>
        </is>
      </c>
      <c r="G2351" s="232" t="inlineStr">
        <is>
          <t>w. murcott 4,9 ha</t>
        </is>
      </c>
      <c r="H2351" s="232" t="inlineStr">
        <is>
          <t>Mandarina</t>
        </is>
      </c>
      <c r="I2351" s="232" t="inlineStr">
        <is>
          <t>W. murcott</t>
        </is>
      </c>
      <c r="J2351" s="232" t="inlineStr">
        <is>
          <t>ARRIENDOS</t>
        </is>
      </c>
      <c r="K2351" s="232" t="inlineStr">
        <is>
          <t>ARRIENDO GRUA HORQUILLA</t>
        </is>
      </c>
      <c r="L2351" s="232" t="inlineStr">
        <is>
          <t>[PRORRATEO 3.3% 4.9há/148.3há] O/001430 ARRIENDO G</t>
        </is>
      </c>
      <c r="M2351" s="232" t="inlineStr"/>
      <c r="N2351" s="232" t="inlineStr">
        <is>
          <t>.   .   -</t>
        </is>
      </c>
      <c r="O2351" s="232" t="inlineStr">
        <is>
          <t>FEBRERO</t>
        </is>
      </c>
      <c r="P2351" s="232" t="n">
        <v>8</v>
      </c>
      <c r="Q2351" s="234" t="n">
        <v>20491</v>
      </c>
      <c r="R2351" s="232" t="inlineStr"/>
      <c r="S2351" s="234" t="n">
        <v>20491</v>
      </c>
      <c r="T2351" s="232" t="inlineStr">
        <is>
          <t>CLP</t>
        </is>
      </c>
      <c r="U2351" s="232" t="inlineStr">
        <is>
          <t>Prorrateo Ha PACKING</t>
        </is>
      </c>
      <c r="V2351" s="232" t="inlineStr">
        <is>
          <t>2026-06-18</t>
        </is>
      </c>
    </row>
    <row r="2352">
      <c r="A2352" s="232" t="inlineStr">
        <is>
          <t>CR-2349</t>
        </is>
      </c>
      <c r="B2352" s="232" t="inlineStr">
        <is>
          <t>2026/27</t>
        </is>
      </c>
      <c r="C2352" s="233" t="n">
        <v>46080</v>
      </c>
      <c r="D2352" s="232" t="inlineStr">
        <is>
          <t>4118</t>
        </is>
      </c>
      <c r="E2352" s="232" t="inlineStr">
        <is>
          <t>PRORRATEO</t>
        </is>
      </c>
      <c r="F2352" s="232" t="inlineStr">
        <is>
          <t>El Molle</t>
        </is>
      </c>
      <c r="G2352" s="232" t="inlineStr">
        <is>
          <t>Wonderful 5,25 ha</t>
        </is>
      </c>
      <c r="H2352" s="232" t="inlineStr">
        <is>
          <t>Granados</t>
        </is>
      </c>
      <c r="I2352" s="232" t="inlineStr">
        <is>
          <t>Wonderfull</t>
        </is>
      </c>
      <c r="J2352" s="232" t="inlineStr">
        <is>
          <t>ARRIENDOS</t>
        </is>
      </c>
      <c r="K2352" s="232" t="inlineStr">
        <is>
          <t>ARRIENDO GRUA HORQUILLA</t>
        </is>
      </c>
      <c r="L2352" s="232" t="inlineStr">
        <is>
          <t>[PRORRATEO 3.5% 5.24há/148.3há] O/001430 ARRIENDO G</t>
        </is>
      </c>
      <c r="M2352" s="232" t="inlineStr"/>
      <c r="N2352" s="232" t="inlineStr">
        <is>
          <t>.   .   -</t>
        </is>
      </c>
      <c r="O2352" s="232" t="inlineStr">
        <is>
          <t>FEBRERO</t>
        </is>
      </c>
      <c r="P2352" s="232" t="n">
        <v>8</v>
      </c>
      <c r="Q2352" s="234" t="n">
        <v>21913</v>
      </c>
      <c r="R2352" s="232" t="inlineStr"/>
      <c r="S2352" s="234" t="n">
        <v>21913</v>
      </c>
      <c r="T2352" s="232" t="inlineStr">
        <is>
          <t>CLP</t>
        </is>
      </c>
      <c r="U2352" s="232" t="inlineStr">
        <is>
          <t>Prorrateo Ha PACKING</t>
        </is>
      </c>
      <c r="V2352" s="232" t="inlineStr">
        <is>
          <t>2026-06-18</t>
        </is>
      </c>
    </row>
    <row r="2353">
      <c r="A2353" s="232" t="inlineStr">
        <is>
          <t>CR-2350</t>
        </is>
      </c>
      <c r="B2353" s="232" t="inlineStr">
        <is>
          <t>2026/27</t>
        </is>
      </c>
      <c r="C2353" s="233" t="n">
        <v>46080</v>
      </c>
      <c r="D2353" s="232" t="inlineStr">
        <is>
          <t>4118</t>
        </is>
      </c>
      <c r="E2353" s="232" t="inlineStr">
        <is>
          <t>PRORRATEO</t>
        </is>
      </c>
      <c r="F2353" s="232" t="inlineStr">
        <is>
          <t>El Molle</t>
        </is>
      </c>
      <c r="G2353" s="232" t="inlineStr">
        <is>
          <t>arrufatinas 5,74 ha</t>
        </is>
      </c>
      <c r="H2353" s="232" t="inlineStr">
        <is>
          <t>Clementinas</t>
        </is>
      </c>
      <c r="I2353" s="232" t="inlineStr">
        <is>
          <t>Arrufatinas</t>
        </is>
      </c>
      <c r="J2353" s="232" t="inlineStr">
        <is>
          <t>ARRIENDOS</t>
        </is>
      </c>
      <c r="K2353" s="232" t="inlineStr">
        <is>
          <t>ARRIENDO GRUA HORQUILLA</t>
        </is>
      </c>
      <c r="L2353" s="232" t="inlineStr">
        <is>
          <t>[PRORRATEO 3.9% 5.74há/148.3há] O/001430 ARRIENDO G</t>
        </is>
      </c>
      <c r="M2353" s="232" t="inlineStr"/>
      <c r="N2353" s="232" t="inlineStr">
        <is>
          <t>.   .   -</t>
        </is>
      </c>
      <c r="O2353" s="232" t="inlineStr">
        <is>
          <t>FEBRERO</t>
        </is>
      </c>
      <c r="P2353" s="232" t="n">
        <v>8</v>
      </c>
      <c r="Q2353" s="234" t="n">
        <v>24004</v>
      </c>
      <c r="R2353" s="232" t="inlineStr"/>
      <c r="S2353" s="234" t="n">
        <v>24004</v>
      </c>
      <c r="T2353" s="232" t="inlineStr">
        <is>
          <t>CLP</t>
        </is>
      </c>
      <c r="U2353" s="232" t="inlineStr">
        <is>
          <t>Prorrateo Ha PACKING</t>
        </is>
      </c>
      <c r="V2353" s="232" t="inlineStr">
        <is>
          <t>2026-06-18</t>
        </is>
      </c>
    </row>
    <row r="2354">
      <c r="A2354" s="232" t="inlineStr">
        <is>
          <t>CR-2351</t>
        </is>
      </c>
      <c r="B2354" s="232" t="inlineStr">
        <is>
          <t>2026/27</t>
        </is>
      </c>
      <c r="C2354" s="233" t="n">
        <v>46080</v>
      </c>
      <c r="D2354" s="232" t="inlineStr">
        <is>
          <t>4118</t>
        </is>
      </c>
      <c r="E2354" s="232" t="inlineStr">
        <is>
          <t>PRORRATEO</t>
        </is>
      </c>
      <c r="F2354" s="232" t="inlineStr">
        <is>
          <t>El Molle</t>
        </is>
      </c>
      <c r="G2354" s="232" t="inlineStr">
        <is>
          <t>orogrande 8,11 ha</t>
        </is>
      </c>
      <c r="H2354" s="232" t="inlineStr">
        <is>
          <t>Clementinas</t>
        </is>
      </c>
      <c r="I2354" s="232" t="inlineStr">
        <is>
          <t>Orogrande</t>
        </is>
      </c>
      <c r="J2354" s="232" t="inlineStr">
        <is>
          <t>ARRIENDOS</t>
        </is>
      </c>
      <c r="K2354" s="232" t="inlineStr">
        <is>
          <t>ARRIENDO GRUA HORQUILLA</t>
        </is>
      </c>
      <c r="L2354" s="232" t="inlineStr">
        <is>
          <t>[PRORRATEO 5.5% 8.11há/148.3há] O/001430 ARRIENDO G</t>
        </is>
      </c>
      <c r="M2354" s="232" t="inlineStr"/>
      <c r="N2354" s="232" t="inlineStr">
        <is>
          <t>.   .   -</t>
        </is>
      </c>
      <c r="O2354" s="232" t="inlineStr">
        <is>
          <t>FEBRERO</t>
        </is>
      </c>
      <c r="P2354" s="232" t="n">
        <v>8</v>
      </c>
      <c r="Q2354" s="234" t="n">
        <v>33915</v>
      </c>
      <c r="R2354" s="232" t="inlineStr"/>
      <c r="S2354" s="234" t="n">
        <v>33915</v>
      </c>
      <c r="T2354" s="232" t="inlineStr">
        <is>
          <t>CLP</t>
        </is>
      </c>
      <c r="U2354" s="232" t="inlineStr">
        <is>
          <t>Prorrateo Ha PACKING</t>
        </is>
      </c>
      <c r="V2354" s="232" t="inlineStr">
        <is>
          <t>2026-06-18</t>
        </is>
      </c>
    </row>
    <row r="2355">
      <c r="A2355" s="232" t="inlineStr">
        <is>
          <t>CR-2352</t>
        </is>
      </c>
      <c r="B2355" s="232" t="inlineStr">
        <is>
          <t>2026/27</t>
        </is>
      </c>
      <c r="C2355" s="233" t="n">
        <v>46080</v>
      </c>
      <c r="D2355" s="232" t="inlineStr">
        <is>
          <t>4118</t>
        </is>
      </c>
      <c r="E2355" s="232" t="inlineStr">
        <is>
          <t>PRORRATEO</t>
        </is>
      </c>
      <c r="F2355" s="232" t="inlineStr">
        <is>
          <t>El Molle</t>
        </is>
      </c>
      <c r="G2355" s="232" t="inlineStr">
        <is>
          <t>oronules 5,35 ha</t>
        </is>
      </c>
      <c r="H2355" s="232" t="inlineStr">
        <is>
          <t>Clementinas</t>
        </is>
      </c>
      <c r="I2355" s="232" t="inlineStr">
        <is>
          <t>Oronules</t>
        </is>
      </c>
      <c r="J2355" s="232" t="inlineStr">
        <is>
          <t>ARRIENDOS</t>
        </is>
      </c>
      <c r="K2355" s="232" t="inlineStr">
        <is>
          <t>ARRIENDO GRUA HORQUILLA</t>
        </is>
      </c>
      <c r="L2355" s="232" t="inlineStr">
        <is>
          <t>[PRORRATEO 3.6% 5.35há/148.3há] O/001430 ARRIENDO G</t>
        </is>
      </c>
      <c r="M2355" s="232" t="inlineStr"/>
      <c r="N2355" s="232" t="inlineStr">
        <is>
          <t>.   .   -</t>
        </is>
      </c>
      <c r="O2355" s="232" t="inlineStr">
        <is>
          <t>FEBRERO</t>
        </is>
      </c>
      <c r="P2355" s="232" t="n">
        <v>8</v>
      </c>
      <c r="Q2355" s="234" t="n">
        <v>22373</v>
      </c>
      <c r="R2355" s="232" t="inlineStr"/>
      <c r="S2355" s="234" t="n">
        <v>22373</v>
      </c>
      <c r="T2355" s="232" t="inlineStr">
        <is>
          <t>CLP</t>
        </is>
      </c>
      <c r="U2355" s="232" t="inlineStr">
        <is>
          <t>Prorrateo Ha PACKING</t>
        </is>
      </c>
      <c r="V2355" s="232" t="inlineStr">
        <is>
          <t>2026-06-18</t>
        </is>
      </c>
    </row>
    <row r="2356">
      <c r="A2356" s="232" t="inlineStr">
        <is>
          <t>CR-2353</t>
        </is>
      </c>
      <c r="B2356" s="232" t="inlineStr">
        <is>
          <t>2026/27</t>
        </is>
      </c>
      <c r="C2356" s="233" t="n">
        <v>46080</v>
      </c>
      <c r="D2356" s="232" t="inlineStr">
        <is>
          <t>4118</t>
        </is>
      </c>
      <c r="E2356" s="232" t="inlineStr">
        <is>
          <t>PRORRATEO</t>
        </is>
      </c>
      <c r="F2356" s="232" t="inlineStr">
        <is>
          <t>Santa Catalina</t>
        </is>
      </c>
      <c r="G2356" s="232" t="inlineStr">
        <is>
          <t>Fino 49 7,7 ha</t>
        </is>
      </c>
      <c r="H2356" s="232" t="inlineStr">
        <is>
          <t>Limon</t>
        </is>
      </c>
      <c r="I2356" s="232" t="inlineStr">
        <is>
          <t>Fino 49</t>
        </is>
      </c>
      <c r="J2356" s="232" t="inlineStr">
        <is>
          <t>ARRIENDOS</t>
        </is>
      </c>
      <c r="K2356" s="232" t="inlineStr">
        <is>
          <t>ARRIENDO GRUA HORQUILLA</t>
        </is>
      </c>
      <c r="L2356" s="232" t="inlineStr">
        <is>
          <t>[PRORRATEO 5.2% 7.7há/148.3há] O/001430 ARRIENDO G</t>
        </is>
      </c>
      <c r="M2356" s="232" t="inlineStr"/>
      <c r="N2356" s="232" t="inlineStr">
        <is>
          <t>.   .   -</t>
        </is>
      </c>
      <c r="O2356" s="232" t="inlineStr">
        <is>
          <t>FEBRERO</t>
        </is>
      </c>
      <c r="P2356" s="232" t="n">
        <v>8</v>
      </c>
      <c r="Q2356" s="234" t="n">
        <v>32200</v>
      </c>
      <c r="R2356" s="232" t="inlineStr"/>
      <c r="S2356" s="234" t="n">
        <v>32200</v>
      </c>
      <c r="T2356" s="232" t="inlineStr">
        <is>
          <t>CLP</t>
        </is>
      </c>
      <c r="U2356" s="232" t="inlineStr">
        <is>
          <t>Prorrateo Ha PACKING</t>
        </is>
      </c>
      <c r="V2356" s="232" t="inlineStr">
        <is>
          <t>2026-06-18</t>
        </is>
      </c>
    </row>
    <row r="2357">
      <c r="A2357" s="232" t="inlineStr">
        <is>
          <t>CR-2354</t>
        </is>
      </c>
      <c r="B2357" s="232" t="inlineStr">
        <is>
          <t>2026/27</t>
        </is>
      </c>
      <c r="C2357" s="233" t="n">
        <v>46080</v>
      </c>
      <c r="D2357" s="232" t="inlineStr">
        <is>
          <t>4118</t>
        </is>
      </c>
      <c r="E2357" s="232" t="inlineStr">
        <is>
          <t>PRORRATEO</t>
        </is>
      </c>
      <c r="F2357" s="232" t="inlineStr">
        <is>
          <t>Santa Catalina</t>
        </is>
      </c>
      <c r="G2357" s="232" t="inlineStr">
        <is>
          <t>W. murcott 21 ha</t>
        </is>
      </c>
      <c r="H2357" s="232" t="inlineStr">
        <is>
          <t>Mandarina</t>
        </is>
      </c>
      <c r="I2357" s="232" t="inlineStr">
        <is>
          <t>W. murcott</t>
        </is>
      </c>
      <c r="J2357" s="232" t="inlineStr">
        <is>
          <t>ARRIENDOS</t>
        </is>
      </c>
      <c r="K2357" s="232" t="inlineStr">
        <is>
          <t>ARRIENDO GRUA HORQUILLA</t>
        </is>
      </c>
      <c r="L2357" s="232" t="inlineStr">
        <is>
          <t>[PRORRATEO 14.2% 21.0há/148.3há] O/001430 ARRIENDO G</t>
        </is>
      </c>
      <c r="M2357" s="232" t="inlineStr"/>
      <c r="N2357" s="232" t="inlineStr">
        <is>
          <t>.   .   -</t>
        </is>
      </c>
      <c r="O2357" s="232" t="inlineStr">
        <is>
          <t>FEBRERO</t>
        </is>
      </c>
      <c r="P2357" s="232" t="n">
        <v>8</v>
      </c>
      <c r="Q2357" s="234" t="n">
        <v>87819</v>
      </c>
      <c r="R2357" s="232" t="inlineStr"/>
      <c r="S2357" s="234" t="n">
        <v>87819</v>
      </c>
      <c r="T2357" s="232" t="inlineStr">
        <is>
          <t>CLP</t>
        </is>
      </c>
      <c r="U2357" s="232" t="inlineStr">
        <is>
          <t>Prorrateo Ha PACKING</t>
        </is>
      </c>
      <c r="V2357" s="232" t="inlineStr">
        <is>
          <t>2026-06-18</t>
        </is>
      </c>
    </row>
    <row r="2358">
      <c r="A2358" s="232" t="inlineStr">
        <is>
          <t>CR-2355</t>
        </is>
      </c>
      <c r="B2358" s="232" t="inlineStr">
        <is>
          <t>2026/27</t>
        </is>
      </c>
      <c r="C2358" s="233" t="n">
        <v>46080</v>
      </c>
      <c r="D2358" s="232" t="inlineStr">
        <is>
          <t>4118</t>
        </is>
      </c>
      <c r="E2358" s="232" t="inlineStr">
        <is>
          <t>PRORRATEO</t>
        </is>
      </c>
      <c r="F2358" s="232" t="inlineStr">
        <is>
          <t>Santa Catalina</t>
        </is>
      </c>
      <c r="G2358" s="232" t="inlineStr">
        <is>
          <t>cambria 4,2 ha</t>
        </is>
      </c>
      <c r="H2358" s="232" t="inlineStr">
        <is>
          <t>Naranjas</t>
        </is>
      </c>
      <c r="I2358" s="232" t="inlineStr">
        <is>
          <t>Cambria</t>
        </is>
      </c>
      <c r="J2358" s="232" t="inlineStr">
        <is>
          <t>ARRIENDOS</t>
        </is>
      </c>
      <c r="K2358" s="232" t="inlineStr">
        <is>
          <t>ARRIENDO GRUA HORQUILLA</t>
        </is>
      </c>
      <c r="L2358" s="232" t="inlineStr">
        <is>
          <t>[PRORRATEO 2.8% 4.2há/148.3há] O/001430 ARRIENDO G</t>
        </is>
      </c>
      <c r="M2358" s="232" t="inlineStr"/>
      <c r="N2358" s="232" t="inlineStr">
        <is>
          <t>.   .   -</t>
        </is>
      </c>
      <c r="O2358" s="232" t="inlineStr">
        <is>
          <t>FEBRERO</t>
        </is>
      </c>
      <c r="P2358" s="232" t="n">
        <v>8</v>
      </c>
      <c r="Q2358" s="234" t="n">
        <v>17564</v>
      </c>
      <c r="R2358" s="232" t="inlineStr"/>
      <c r="S2358" s="234" t="n">
        <v>17564</v>
      </c>
      <c r="T2358" s="232" t="inlineStr">
        <is>
          <t>CLP</t>
        </is>
      </c>
      <c r="U2358" s="232" t="inlineStr">
        <is>
          <t>Prorrateo Ha PACKING</t>
        </is>
      </c>
      <c r="V2358" s="232" t="inlineStr">
        <is>
          <t>2026-06-18</t>
        </is>
      </c>
    </row>
    <row r="2359">
      <c r="A2359" s="232" t="inlineStr">
        <is>
          <t>CR-2356</t>
        </is>
      </c>
      <c r="B2359" s="232" t="inlineStr">
        <is>
          <t>2026/27</t>
        </is>
      </c>
      <c r="C2359" s="233" t="n">
        <v>46080</v>
      </c>
      <c r="D2359" s="232" t="inlineStr">
        <is>
          <t>4118</t>
        </is>
      </c>
      <c r="E2359" s="232" t="inlineStr">
        <is>
          <t>PRORRATEO</t>
        </is>
      </c>
      <c r="F2359" s="232" t="inlineStr">
        <is>
          <t>Santa Catalina</t>
        </is>
      </c>
      <c r="G2359" s="232" t="inlineStr">
        <is>
          <t>eureka 10,6 ha</t>
        </is>
      </c>
      <c r="H2359" s="232" t="inlineStr">
        <is>
          <t>Limon</t>
        </is>
      </c>
      <c r="I2359" s="232" t="inlineStr">
        <is>
          <t>Eureka</t>
        </is>
      </c>
      <c r="J2359" s="232" t="inlineStr">
        <is>
          <t>ARRIENDOS</t>
        </is>
      </c>
      <c r="K2359" s="232" t="inlineStr">
        <is>
          <t>ARRIENDO GRUA HORQUILLA</t>
        </is>
      </c>
      <c r="L2359" s="232" t="inlineStr">
        <is>
          <t>[PRORRATEO 7.1% 10.6há/148.3há] O/001430 ARRIENDO G</t>
        </is>
      </c>
      <c r="M2359" s="232" t="inlineStr"/>
      <c r="N2359" s="232" t="inlineStr">
        <is>
          <t>.   .   -</t>
        </is>
      </c>
      <c r="O2359" s="232" t="inlineStr">
        <is>
          <t>FEBRERO</t>
        </is>
      </c>
      <c r="P2359" s="232" t="n">
        <v>8</v>
      </c>
      <c r="Q2359" s="234" t="n">
        <v>44328</v>
      </c>
      <c r="R2359" s="232" t="inlineStr"/>
      <c r="S2359" s="234" t="n">
        <v>44328</v>
      </c>
      <c r="T2359" s="232" t="inlineStr">
        <is>
          <t>CLP</t>
        </is>
      </c>
      <c r="U2359" s="232" t="inlineStr">
        <is>
          <t>Prorrateo Ha PACKING</t>
        </is>
      </c>
      <c r="V2359" s="232" t="inlineStr">
        <is>
          <t>2026-06-18</t>
        </is>
      </c>
    </row>
    <row r="2360">
      <c r="A2360" s="232" t="inlineStr">
        <is>
          <t>CR-2357</t>
        </is>
      </c>
      <c r="B2360" s="232" t="inlineStr">
        <is>
          <t>2026/27</t>
        </is>
      </c>
      <c r="C2360" s="233" t="n">
        <v>46080</v>
      </c>
      <c r="D2360" s="232" t="inlineStr">
        <is>
          <t>4118</t>
        </is>
      </c>
      <c r="E2360" s="232" t="inlineStr">
        <is>
          <t>PRORRATEO</t>
        </is>
      </c>
      <c r="F2360" s="232" t="inlineStr">
        <is>
          <t>Santa Catalina</t>
        </is>
      </c>
      <c r="G2360" s="232" t="inlineStr">
        <is>
          <t>eureka 14,4 ha</t>
        </is>
      </c>
      <c r="H2360" s="232" t="inlineStr">
        <is>
          <t>Limon</t>
        </is>
      </c>
      <c r="I2360" s="232" t="inlineStr">
        <is>
          <t>Eureka</t>
        </is>
      </c>
      <c r="J2360" s="232" t="inlineStr">
        <is>
          <t>ARRIENDOS</t>
        </is>
      </c>
      <c r="K2360" s="232" t="inlineStr">
        <is>
          <t>ARRIENDO GRUA HORQUILLA</t>
        </is>
      </c>
      <c r="L2360" s="232" t="inlineStr">
        <is>
          <t>[PRORRATEO 9.7% 14.4há/148.3há] O/001430 ARRIENDO G</t>
        </is>
      </c>
      <c r="M2360" s="232" t="inlineStr"/>
      <c r="N2360" s="232" t="inlineStr">
        <is>
          <t>.   .   -</t>
        </is>
      </c>
      <c r="O2360" s="232" t="inlineStr">
        <is>
          <t>FEBRERO</t>
        </is>
      </c>
      <c r="P2360" s="232" t="n">
        <v>8</v>
      </c>
      <c r="Q2360" s="234" t="n">
        <v>60219</v>
      </c>
      <c r="R2360" s="232" t="inlineStr"/>
      <c r="S2360" s="234" t="n">
        <v>60219</v>
      </c>
      <c r="T2360" s="232" t="inlineStr">
        <is>
          <t>CLP</t>
        </is>
      </c>
      <c r="U2360" s="232" t="inlineStr">
        <is>
          <t>Prorrateo Ha PACKING</t>
        </is>
      </c>
      <c r="V2360" s="232" t="inlineStr">
        <is>
          <t>2026-06-18</t>
        </is>
      </c>
    </row>
    <row r="2361">
      <c r="A2361" s="232" t="inlineStr">
        <is>
          <t>CR-2358</t>
        </is>
      </c>
      <c r="B2361" s="232" t="inlineStr">
        <is>
          <t>2026/27</t>
        </is>
      </c>
      <c r="C2361" s="233" t="n">
        <v>46080</v>
      </c>
      <c r="D2361" s="232" t="inlineStr">
        <is>
          <t>4118</t>
        </is>
      </c>
      <c r="E2361" s="232" t="inlineStr">
        <is>
          <t>PRORRATEO</t>
        </is>
      </c>
      <c r="F2361" s="232" t="inlineStr">
        <is>
          <t>Santa Catalina</t>
        </is>
      </c>
      <c r="G2361" s="232" t="inlineStr">
        <is>
          <t>eureka 22,55</t>
        </is>
      </c>
      <c r="H2361" s="232" t="inlineStr">
        <is>
          <t>Limon</t>
        </is>
      </c>
      <c r="I2361" s="232" t="inlineStr">
        <is>
          <t>Eureka</t>
        </is>
      </c>
      <c r="J2361" s="232" t="inlineStr">
        <is>
          <t>ARRIENDOS</t>
        </is>
      </c>
      <c r="K2361" s="232" t="inlineStr">
        <is>
          <t>ARRIENDO GRUA HORQUILLA</t>
        </is>
      </c>
      <c r="L2361" s="232" t="inlineStr">
        <is>
          <t>[PRORRATEO 15.2% 22.55há/148.3há] O/001430 ARRIENDO G</t>
        </is>
      </c>
      <c r="M2361" s="232" t="inlineStr"/>
      <c r="N2361" s="232" t="inlineStr">
        <is>
          <t>.   .   -</t>
        </is>
      </c>
      <c r="O2361" s="232" t="inlineStr">
        <is>
          <t>FEBRERO</t>
        </is>
      </c>
      <c r="P2361" s="232" t="n">
        <v>8</v>
      </c>
      <c r="Q2361" s="234" t="n">
        <v>94301</v>
      </c>
      <c r="R2361" s="232" t="inlineStr"/>
      <c r="S2361" s="234" t="n">
        <v>94301</v>
      </c>
      <c r="T2361" s="232" t="inlineStr">
        <is>
          <t>CLP</t>
        </is>
      </c>
      <c r="U2361" s="232" t="inlineStr">
        <is>
          <t>Prorrateo Ha PACKING</t>
        </is>
      </c>
      <c r="V2361" s="232" t="inlineStr">
        <is>
          <t>2026-06-18</t>
        </is>
      </c>
    </row>
    <row r="2362">
      <c r="A2362" s="232" t="inlineStr">
        <is>
          <t>CR-2359</t>
        </is>
      </c>
      <c r="B2362" s="232" t="inlineStr">
        <is>
          <t>2026/27</t>
        </is>
      </c>
      <c r="C2362" s="233" t="n">
        <v>46080</v>
      </c>
      <c r="D2362" s="232" t="inlineStr">
        <is>
          <t>4118</t>
        </is>
      </c>
      <c r="E2362" s="232" t="inlineStr">
        <is>
          <t>PRORRATEO</t>
        </is>
      </c>
      <c r="F2362" s="232" t="inlineStr">
        <is>
          <t>Santa Catalina</t>
        </is>
      </c>
      <c r="G2362" s="232" t="inlineStr">
        <is>
          <t>form benjamin 1,93 ha</t>
        </is>
      </c>
      <c r="H2362" s="232" t="inlineStr">
        <is>
          <t>Limon</t>
        </is>
      </c>
      <c r="I2362" s="232" t="inlineStr">
        <is>
          <t>Benjamin andes</t>
        </is>
      </c>
      <c r="J2362" s="232" t="inlineStr">
        <is>
          <t>ARRIENDOS</t>
        </is>
      </c>
      <c r="K2362" s="232" t="inlineStr">
        <is>
          <t>ARRIENDO GRUA HORQUILLA</t>
        </is>
      </c>
      <c r="L2362" s="232" t="inlineStr">
        <is>
          <t>[PRORRATEO 1.3% 1.93há/148.3há] O/001430 ARRIENDO G</t>
        </is>
      </c>
      <c r="M2362" s="232" t="inlineStr"/>
      <c r="N2362" s="232" t="inlineStr">
        <is>
          <t>.   .   -</t>
        </is>
      </c>
      <c r="O2362" s="232" t="inlineStr">
        <is>
          <t>FEBRERO</t>
        </is>
      </c>
      <c r="P2362" s="232" t="n">
        <v>8</v>
      </c>
      <c r="Q2362" s="234" t="n">
        <v>8071</v>
      </c>
      <c r="R2362" s="232" t="inlineStr"/>
      <c r="S2362" s="234" t="n">
        <v>8071</v>
      </c>
      <c r="T2362" s="232" t="inlineStr">
        <is>
          <t>CLP</t>
        </is>
      </c>
      <c r="U2362" s="232" t="inlineStr">
        <is>
          <t>Prorrateo Ha PACKING</t>
        </is>
      </c>
      <c r="V2362" s="232" t="inlineStr">
        <is>
          <t>2026-06-18</t>
        </is>
      </c>
    </row>
    <row r="2363">
      <c r="A2363" s="232" t="inlineStr">
        <is>
          <t>CR-2360</t>
        </is>
      </c>
      <c r="B2363" s="232" t="inlineStr">
        <is>
          <t>2026/27</t>
        </is>
      </c>
      <c r="C2363" s="233" t="n">
        <v>46080</v>
      </c>
      <c r="D2363" s="232" t="inlineStr">
        <is>
          <t>4118</t>
        </is>
      </c>
      <c r="E2363" s="232" t="inlineStr">
        <is>
          <t>PRORRATEO</t>
        </is>
      </c>
      <c r="F2363" s="232" t="inlineStr">
        <is>
          <t>Santa Catalina</t>
        </is>
      </c>
      <c r="G2363" s="232" t="inlineStr">
        <is>
          <t>mant eureka 2,5 ha</t>
        </is>
      </c>
      <c r="H2363" s="232" t="inlineStr">
        <is>
          <t>Limon</t>
        </is>
      </c>
      <c r="I2363" s="232" t="inlineStr">
        <is>
          <t>Eureka</t>
        </is>
      </c>
      <c r="J2363" s="232" t="inlineStr">
        <is>
          <t>ARRIENDOS</t>
        </is>
      </c>
      <c r="K2363" s="232" t="inlineStr">
        <is>
          <t>ARRIENDO GRUA HORQUILLA</t>
        </is>
      </c>
      <c r="L2363" s="232" t="inlineStr">
        <is>
          <t>[PRORRATEO 1.7% 2.5há/148.3há] O/001430 ARRIENDO G</t>
        </is>
      </c>
      <c r="M2363" s="232" t="inlineStr"/>
      <c r="N2363" s="232" t="inlineStr">
        <is>
          <t>.   .   -</t>
        </is>
      </c>
      <c r="O2363" s="232" t="inlineStr">
        <is>
          <t>FEBRERO</t>
        </is>
      </c>
      <c r="P2363" s="232" t="n">
        <v>8</v>
      </c>
      <c r="Q2363" s="234" t="n">
        <v>10455</v>
      </c>
      <c r="R2363" s="232" t="inlineStr"/>
      <c r="S2363" s="234" t="n">
        <v>10455</v>
      </c>
      <c r="T2363" s="232" t="inlineStr">
        <is>
          <t>CLP</t>
        </is>
      </c>
      <c r="U2363" s="232" t="inlineStr">
        <is>
          <t>Prorrateo Ha PACKING</t>
        </is>
      </c>
      <c r="V2363" s="232" t="inlineStr">
        <is>
          <t>2026-06-18</t>
        </is>
      </c>
    </row>
    <row r="2364">
      <c r="A2364" s="232" t="inlineStr">
        <is>
          <t>CR-2361</t>
        </is>
      </c>
      <c r="B2364" s="232" t="inlineStr">
        <is>
          <t>2026/27</t>
        </is>
      </c>
      <c r="C2364" s="233" t="n">
        <v>46080</v>
      </c>
      <c r="D2364" s="232" t="inlineStr">
        <is>
          <t>4118</t>
        </is>
      </c>
      <c r="E2364" s="232" t="inlineStr">
        <is>
          <t>PRORRATEO</t>
        </is>
      </c>
      <c r="F2364" s="232" t="inlineStr">
        <is>
          <t>Siberia</t>
        </is>
      </c>
      <c r="G2364" s="232" t="inlineStr">
        <is>
          <t>S. Celebration 7,14</t>
        </is>
      </c>
      <c r="H2364" s="232" t="inlineStr">
        <is>
          <t>Uvas</t>
        </is>
      </c>
      <c r="I2364" s="232" t="inlineStr">
        <is>
          <t>S. celebration</t>
        </is>
      </c>
      <c r="J2364" s="232" t="inlineStr">
        <is>
          <t>ARRIENDOS</t>
        </is>
      </c>
      <c r="K2364" s="232" t="inlineStr">
        <is>
          <t>ARRIENDO GRUA HORQUILLA</t>
        </is>
      </c>
      <c r="L2364" s="232" t="inlineStr">
        <is>
          <t>[PRORRATEO 4.8% 7.14há/148.3há] O/001430 ARRIENDO G</t>
        </is>
      </c>
      <c r="M2364" s="232" t="inlineStr"/>
      <c r="N2364" s="232" t="inlineStr">
        <is>
          <t>.   .   -</t>
        </is>
      </c>
      <c r="O2364" s="232" t="inlineStr">
        <is>
          <t>FEBRERO</t>
        </is>
      </c>
      <c r="P2364" s="232" t="n">
        <v>8</v>
      </c>
      <c r="Q2364" s="234" t="n">
        <v>29858</v>
      </c>
      <c r="R2364" s="232" t="inlineStr"/>
      <c r="S2364" s="234" t="n">
        <v>29858</v>
      </c>
      <c r="T2364" s="232" t="inlineStr">
        <is>
          <t>CLP</t>
        </is>
      </c>
      <c r="U2364" s="232" t="inlineStr">
        <is>
          <t>Prorrateo Ha PACKING</t>
        </is>
      </c>
      <c r="V2364" s="232" t="inlineStr">
        <is>
          <t>2026-06-18</t>
        </is>
      </c>
    </row>
    <row r="2365">
      <c r="A2365" s="232" t="inlineStr">
        <is>
          <t>CR-2362</t>
        </is>
      </c>
      <c r="B2365" s="232" t="inlineStr">
        <is>
          <t>2026/27</t>
        </is>
      </c>
      <c r="C2365" s="233" t="n">
        <v>46080</v>
      </c>
      <c r="D2365" s="232" t="inlineStr">
        <is>
          <t>4118</t>
        </is>
      </c>
      <c r="E2365" s="232" t="inlineStr">
        <is>
          <t>PRORRATEO</t>
        </is>
      </c>
      <c r="F2365" s="232" t="inlineStr">
        <is>
          <t>Siberia</t>
        </is>
      </c>
      <c r="G2365" s="232" t="inlineStr">
        <is>
          <t>Timpson 7,1</t>
        </is>
      </c>
      <c r="H2365" s="232" t="inlineStr">
        <is>
          <t>Uvas</t>
        </is>
      </c>
      <c r="I2365" s="232" t="inlineStr">
        <is>
          <t>Timpson</t>
        </is>
      </c>
      <c r="J2365" s="232" t="inlineStr">
        <is>
          <t>ARRIENDOS</t>
        </is>
      </c>
      <c r="K2365" s="232" t="inlineStr">
        <is>
          <t>ARRIENDO GRUA HORQUILLA</t>
        </is>
      </c>
      <c r="L2365" s="232" t="inlineStr">
        <is>
          <t>[PRORRATEO 4.8% 7.1há/148.3há] O/001430 ARRIENDO G</t>
        </is>
      </c>
      <c r="M2365" s="232" t="inlineStr"/>
      <c r="N2365" s="232" t="inlineStr">
        <is>
          <t>.   .   -</t>
        </is>
      </c>
      <c r="O2365" s="232" t="inlineStr">
        <is>
          <t>FEBRERO</t>
        </is>
      </c>
      <c r="P2365" s="232" t="n">
        <v>8</v>
      </c>
      <c r="Q2365" s="234" t="n">
        <v>29691</v>
      </c>
      <c r="R2365" s="232" t="inlineStr"/>
      <c r="S2365" s="234" t="n">
        <v>29691</v>
      </c>
      <c r="T2365" s="232" t="inlineStr">
        <is>
          <t>CLP</t>
        </is>
      </c>
      <c r="U2365" s="232" t="inlineStr">
        <is>
          <t>Prorrateo Ha PACKING</t>
        </is>
      </c>
      <c r="V2365" s="232" t="inlineStr">
        <is>
          <t>2026-06-18</t>
        </is>
      </c>
    </row>
    <row r="2366">
      <c r="A2366" s="232" t="inlineStr">
        <is>
          <t>CR-2363</t>
        </is>
      </c>
      <c r="B2366" s="232" t="inlineStr">
        <is>
          <t>2026/27</t>
        </is>
      </c>
      <c r="C2366" s="233" t="n">
        <v>46081</v>
      </c>
      <c r="D2366" s="232" t="inlineStr">
        <is>
          <t>144569</t>
        </is>
      </c>
      <c r="E2366" s="232" t="inlineStr">
        <is>
          <t>PRORRATEO</t>
        </is>
      </c>
      <c r="F2366" s="232" t="inlineStr">
        <is>
          <t>Asmara</t>
        </is>
      </c>
      <c r="G2366" s="232" t="inlineStr">
        <is>
          <t>w. murcott 19,8 ha</t>
        </is>
      </c>
      <c r="H2366" s="232" t="inlineStr">
        <is>
          <t>Mandarina</t>
        </is>
      </c>
      <c r="I2366" s="232" t="inlineStr">
        <is>
          <t>W. murcott</t>
        </is>
      </c>
      <c r="J2366" s="232" t="inlineStr">
        <is>
          <t>COMBUSTIBLE</t>
        </is>
      </c>
      <c r="K2366" s="232" t="inlineStr">
        <is>
          <t>SIB. GRUA HORQUILLA ARRIENDO</t>
        </is>
      </c>
      <c r="L2366" s="232" t="inlineStr">
        <is>
          <t>[PRORRATEO 13.4% 19.8há/148.3há] O/001435 GAS ENV. 1</t>
        </is>
      </c>
      <c r="M2366" s="232" t="inlineStr"/>
      <c r="N2366" s="232" t="inlineStr">
        <is>
          <t>.   .   -</t>
        </is>
      </c>
      <c r="O2366" s="232" t="inlineStr">
        <is>
          <t>FEBRERO</t>
        </is>
      </c>
      <c r="P2366" s="232" t="n">
        <v>8</v>
      </c>
      <c r="Q2366" s="234" t="n">
        <v>8401</v>
      </c>
      <c r="R2366" s="232" t="inlineStr"/>
      <c r="S2366" s="234" t="n">
        <v>8401</v>
      </c>
      <c r="T2366" s="232" t="inlineStr">
        <is>
          <t>CLP</t>
        </is>
      </c>
      <c r="U2366" s="232" t="inlineStr">
        <is>
          <t>Prorrateo Ha PACKING</t>
        </is>
      </c>
      <c r="V2366" s="232" t="inlineStr">
        <is>
          <t>2026-06-18</t>
        </is>
      </c>
    </row>
    <row r="2367">
      <c r="A2367" s="232" t="inlineStr">
        <is>
          <t>CR-2364</t>
        </is>
      </c>
      <c r="B2367" s="232" t="inlineStr">
        <is>
          <t>2026/27</t>
        </is>
      </c>
      <c r="C2367" s="233" t="n">
        <v>46081</v>
      </c>
      <c r="D2367" s="232" t="inlineStr">
        <is>
          <t>144569</t>
        </is>
      </c>
      <c r="E2367" s="232" t="inlineStr">
        <is>
          <t>PRORRATEO</t>
        </is>
      </c>
      <c r="F2367" s="232" t="inlineStr">
        <is>
          <t>Asmara</t>
        </is>
      </c>
      <c r="G2367" s="232" t="inlineStr">
        <is>
          <t>w. murcott 4,9 ha</t>
        </is>
      </c>
      <c r="H2367" s="232" t="inlineStr">
        <is>
          <t>Mandarina</t>
        </is>
      </c>
      <c r="I2367" s="232" t="inlineStr">
        <is>
          <t>W. murcott</t>
        </is>
      </c>
      <c r="J2367" s="232" t="inlineStr">
        <is>
          <t>COMBUSTIBLE</t>
        </is>
      </c>
      <c r="K2367" s="232" t="inlineStr">
        <is>
          <t>SIB. GRUA HORQUILLA ARRIENDO</t>
        </is>
      </c>
      <c r="L2367" s="232" t="inlineStr">
        <is>
          <t>[PRORRATEO 3.3% 4.9há/148.3há] O/001435 GAS ENV. 1</t>
        </is>
      </c>
      <c r="M2367" s="232" t="inlineStr"/>
      <c r="N2367" s="232" t="inlineStr">
        <is>
          <t>.   .   -</t>
        </is>
      </c>
      <c r="O2367" s="232" t="inlineStr">
        <is>
          <t>FEBRERO</t>
        </is>
      </c>
      <c r="P2367" s="232" t="n">
        <v>8</v>
      </c>
      <c r="Q2367" s="234" t="n">
        <v>2079</v>
      </c>
      <c r="R2367" s="232" t="inlineStr"/>
      <c r="S2367" s="234" t="n">
        <v>2079</v>
      </c>
      <c r="T2367" s="232" t="inlineStr">
        <is>
          <t>CLP</t>
        </is>
      </c>
      <c r="U2367" s="232" t="inlineStr">
        <is>
          <t>Prorrateo Ha PACKING</t>
        </is>
      </c>
      <c r="V2367" s="232" t="inlineStr">
        <is>
          <t>2026-06-18</t>
        </is>
      </c>
    </row>
    <row r="2368">
      <c r="A2368" s="232" t="inlineStr">
        <is>
          <t>CR-2365</t>
        </is>
      </c>
      <c r="B2368" s="232" t="inlineStr">
        <is>
          <t>2026/27</t>
        </is>
      </c>
      <c r="C2368" s="233" t="n">
        <v>46081</v>
      </c>
      <c r="D2368" s="232" t="inlineStr">
        <is>
          <t>144569</t>
        </is>
      </c>
      <c r="E2368" s="232" t="inlineStr">
        <is>
          <t>PRORRATEO</t>
        </is>
      </c>
      <c r="F2368" s="232" t="inlineStr">
        <is>
          <t>El Molle</t>
        </is>
      </c>
      <c r="G2368" s="232" t="inlineStr">
        <is>
          <t>Wonderful 5,25 ha</t>
        </is>
      </c>
      <c r="H2368" s="232" t="inlineStr">
        <is>
          <t>Granados</t>
        </is>
      </c>
      <c r="I2368" s="232" t="inlineStr">
        <is>
          <t>Wonderfull</t>
        </is>
      </c>
      <c r="J2368" s="232" t="inlineStr">
        <is>
          <t>COMBUSTIBLE</t>
        </is>
      </c>
      <c r="K2368" s="232" t="inlineStr">
        <is>
          <t>SIB. GRUA HORQUILLA ARRIENDO</t>
        </is>
      </c>
      <c r="L2368" s="232" t="inlineStr">
        <is>
          <t>[PRORRATEO 3.5% 5.24há/148.3há] O/001435 GAS ENV. 1</t>
        </is>
      </c>
      <c r="M2368" s="232" t="inlineStr"/>
      <c r="N2368" s="232" t="inlineStr">
        <is>
          <t>.   .   -</t>
        </is>
      </c>
      <c r="O2368" s="232" t="inlineStr">
        <is>
          <t>FEBRERO</t>
        </is>
      </c>
      <c r="P2368" s="232" t="n">
        <v>8</v>
      </c>
      <c r="Q2368" s="234" t="n">
        <v>2223</v>
      </c>
      <c r="R2368" s="232" t="inlineStr"/>
      <c r="S2368" s="234" t="n">
        <v>2223</v>
      </c>
      <c r="T2368" s="232" t="inlineStr">
        <is>
          <t>CLP</t>
        </is>
      </c>
      <c r="U2368" s="232" t="inlineStr">
        <is>
          <t>Prorrateo Ha PACKING</t>
        </is>
      </c>
      <c r="V2368" s="232" t="inlineStr">
        <is>
          <t>2026-06-18</t>
        </is>
      </c>
    </row>
    <row r="2369">
      <c r="A2369" s="232" t="inlineStr">
        <is>
          <t>CR-2366</t>
        </is>
      </c>
      <c r="B2369" s="232" t="inlineStr">
        <is>
          <t>2026/27</t>
        </is>
      </c>
      <c r="C2369" s="233" t="n">
        <v>46081</v>
      </c>
      <c r="D2369" s="232" t="inlineStr">
        <is>
          <t>144569</t>
        </is>
      </c>
      <c r="E2369" s="232" t="inlineStr">
        <is>
          <t>PRORRATEO</t>
        </is>
      </c>
      <c r="F2369" s="232" t="inlineStr">
        <is>
          <t>El Molle</t>
        </is>
      </c>
      <c r="G2369" s="232" t="inlineStr">
        <is>
          <t>arrufatinas 5,74 ha</t>
        </is>
      </c>
      <c r="H2369" s="232" t="inlineStr">
        <is>
          <t>Clementinas</t>
        </is>
      </c>
      <c r="I2369" s="232" t="inlineStr">
        <is>
          <t>Arrufatinas</t>
        </is>
      </c>
      <c r="J2369" s="232" t="inlineStr">
        <is>
          <t>COMBUSTIBLE</t>
        </is>
      </c>
      <c r="K2369" s="232" t="inlineStr">
        <is>
          <t>SIB. GRUA HORQUILLA ARRIENDO</t>
        </is>
      </c>
      <c r="L2369" s="232" t="inlineStr">
        <is>
          <t>[PRORRATEO 3.9% 5.74há/148.3há] O/001435 GAS ENV. 1</t>
        </is>
      </c>
      <c r="M2369" s="232" t="inlineStr"/>
      <c r="N2369" s="232" t="inlineStr">
        <is>
          <t>.   .   -</t>
        </is>
      </c>
      <c r="O2369" s="232" t="inlineStr">
        <is>
          <t>FEBRERO</t>
        </is>
      </c>
      <c r="P2369" s="232" t="n">
        <v>8</v>
      </c>
      <c r="Q2369" s="234" t="n">
        <v>2435</v>
      </c>
      <c r="R2369" s="232" t="inlineStr"/>
      <c r="S2369" s="234" t="n">
        <v>2435</v>
      </c>
      <c r="T2369" s="232" t="inlineStr">
        <is>
          <t>CLP</t>
        </is>
      </c>
      <c r="U2369" s="232" t="inlineStr">
        <is>
          <t>Prorrateo Ha PACKING</t>
        </is>
      </c>
      <c r="V2369" s="232" t="inlineStr">
        <is>
          <t>2026-06-18</t>
        </is>
      </c>
    </row>
    <row r="2370">
      <c r="A2370" s="232" t="inlineStr">
        <is>
          <t>CR-2367</t>
        </is>
      </c>
      <c r="B2370" s="232" t="inlineStr">
        <is>
          <t>2026/27</t>
        </is>
      </c>
      <c r="C2370" s="233" t="n">
        <v>46081</v>
      </c>
      <c r="D2370" s="232" t="inlineStr">
        <is>
          <t>144569</t>
        </is>
      </c>
      <c r="E2370" s="232" t="inlineStr">
        <is>
          <t>PRORRATEO</t>
        </is>
      </c>
      <c r="F2370" s="232" t="inlineStr">
        <is>
          <t>El Molle</t>
        </is>
      </c>
      <c r="G2370" s="232" t="inlineStr">
        <is>
          <t>orogrande 8,11 ha</t>
        </is>
      </c>
      <c r="H2370" s="232" t="inlineStr">
        <is>
          <t>Clementinas</t>
        </is>
      </c>
      <c r="I2370" s="232" t="inlineStr">
        <is>
          <t>Orogrande</t>
        </is>
      </c>
      <c r="J2370" s="232" t="inlineStr">
        <is>
          <t>COMBUSTIBLE</t>
        </is>
      </c>
      <c r="K2370" s="232" t="inlineStr">
        <is>
          <t>SIB. GRUA HORQUILLA ARRIENDO</t>
        </is>
      </c>
      <c r="L2370" s="232" t="inlineStr">
        <is>
          <t>[PRORRATEO 5.5% 8.11há/148.3há] O/001435 GAS ENV. 1</t>
        </is>
      </c>
      <c r="M2370" s="232" t="inlineStr"/>
      <c r="N2370" s="232" t="inlineStr">
        <is>
          <t>.   .   -</t>
        </is>
      </c>
      <c r="O2370" s="232" t="inlineStr">
        <is>
          <t>FEBRERO</t>
        </is>
      </c>
      <c r="P2370" s="232" t="n">
        <v>8</v>
      </c>
      <c r="Q2370" s="234" t="n">
        <v>3441</v>
      </c>
      <c r="R2370" s="232" t="inlineStr"/>
      <c r="S2370" s="234" t="n">
        <v>3441</v>
      </c>
      <c r="T2370" s="232" t="inlineStr">
        <is>
          <t>CLP</t>
        </is>
      </c>
      <c r="U2370" s="232" t="inlineStr">
        <is>
          <t>Prorrateo Ha PACKING</t>
        </is>
      </c>
      <c r="V2370" s="232" t="inlineStr">
        <is>
          <t>2026-06-18</t>
        </is>
      </c>
    </row>
    <row r="2371">
      <c r="A2371" s="232" t="inlineStr">
        <is>
          <t>CR-2368</t>
        </is>
      </c>
      <c r="B2371" s="232" t="inlineStr">
        <is>
          <t>2026/27</t>
        </is>
      </c>
      <c r="C2371" s="233" t="n">
        <v>46081</v>
      </c>
      <c r="D2371" s="232" t="inlineStr">
        <is>
          <t>144569</t>
        </is>
      </c>
      <c r="E2371" s="232" t="inlineStr">
        <is>
          <t>PRORRATEO</t>
        </is>
      </c>
      <c r="F2371" s="232" t="inlineStr">
        <is>
          <t>El Molle</t>
        </is>
      </c>
      <c r="G2371" s="232" t="inlineStr">
        <is>
          <t>oronules 5,35 ha</t>
        </is>
      </c>
      <c r="H2371" s="232" t="inlineStr">
        <is>
          <t>Clementinas</t>
        </is>
      </c>
      <c r="I2371" s="232" t="inlineStr">
        <is>
          <t>Oronules</t>
        </is>
      </c>
      <c r="J2371" s="232" t="inlineStr">
        <is>
          <t>COMBUSTIBLE</t>
        </is>
      </c>
      <c r="K2371" s="232" t="inlineStr">
        <is>
          <t>SIB. GRUA HORQUILLA ARRIENDO</t>
        </is>
      </c>
      <c r="L2371" s="232" t="inlineStr">
        <is>
          <t>[PRORRATEO 3.6% 5.35há/148.3há] O/001435 GAS ENV. 1</t>
        </is>
      </c>
      <c r="M2371" s="232" t="inlineStr"/>
      <c r="N2371" s="232" t="inlineStr">
        <is>
          <t>.   .   -</t>
        </is>
      </c>
      <c r="O2371" s="232" t="inlineStr">
        <is>
          <t>FEBRERO</t>
        </is>
      </c>
      <c r="P2371" s="232" t="n">
        <v>8</v>
      </c>
      <c r="Q2371" s="234" t="n">
        <v>2270</v>
      </c>
      <c r="R2371" s="232" t="inlineStr"/>
      <c r="S2371" s="234" t="n">
        <v>2270</v>
      </c>
      <c r="T2371" s="232" t="inlineStr">
        <is>
          <t>CLP</t>
        </is>
      </c>
      <c r="U2371" s="232" t="inlineStr">
        <is>
          <t>Prorrateo Ha PACKING</t>
        </is>
      </c>
      <c r="V2371" s="232" t="inlineStr">
        <is>
          <t>2026-06-18</t>
        </is>
      </c>
    </row>
    <row r="2372">
      <c r="A2372" s="232" t="inlineStr">
        <is>
          <t>CR-2369</t>
        </is>
      </c>
      <c r="B2372" s="232" t="inlineStr">
        <is>
          <t>2026/27</t>
        </is>
      </c>
      <c r="C2372" s="233" t="n">
        <v>46081</v>
      </c>
      <c r="D2372" s="232" t="inlineStr">
        <is>
          <t>144569</t>
        </is>
      </c>
      <c r="E2372" s="232" t="inlineStr">
        <is>
          <t>PRORRATEO</t>
        </is>
      </c>
      <c r="F2372" s="232" t="inlineStr">
        <is>
          <t>Santa Catalina</t>
        </is>
      </c>
      <c r="G2372" s="232" t="inlineStr">
        <is>
          <t>Fino 49 7,7 ha</t>
        </is>
      </c>
      <c r="H2372" s="232" t="inlineStr">
        <is>
          <t>Limon</t>
        </is>
      </c>
      <c r="I2372" s="232" t="inlineStr">
        <is>
          <t>Fino 49</t>
        </is>
      </c>
      <c r="J2372" s="232" t="inlineStr">
        <is>
          <t>COMBUSTIBLE</t>
        </is>
      </c>
      <c r="K2372" s="232" t="inlineStr">
        <is>
          <t>SIB. GRUA HORQUILLA ARRIENDO</t>
        </is>
      </c>
      <c r="L2372" s="232" t="inlineStr">
        <is>
          <t>[PRORRATEO 5.2% 7.7há/148.3há] O/001435 GAS ENV. 1</t>
        </is>
      </c>
      <c r="M2372" s="232" t="inlineStr"/>
      <c r="N2372" s="232" t="inlineStr">
        <is>
          <t>.   .   -</t>
        </is>
      </c>
      <c r="O2372" s="232" t="inlineStr">
        <is>
          <t>FEBRERO</t>
        </is>
      </c>
      <c r="P2372" s="232" t="n">
        <v>8</v>
      </c>
      <c r="Q2372" s="234" t="n">
        <v>3267</v>
      </c>
      <c r="R2372" s="232" t="inlineStr"/>
      <c r="S2372" s="234" t="n">
        <v>3267</v>
      </c>
      <c r="T2372" s="232" t="inlineStr">
        <is>
          <t>CLP</t>
        </is>
      </c>
      <c r="U2372" s="232" t="inlineStr">
        <is>
          <t>Prorrateo Ha PACKING</t>
        </is>
      </c>
      <c r="V2372" s="232" t="inlineStr">
        <is>
          <t>2026-06-18</t>
        </is>
      </c>
    </row>
    <row r="2373">
      <c r="A2373" s="232" t="inlineStr">
        <is>
          <t>CR-2370</t>
        </is>
      </c>
      <c r="B2373" s="232" t="inlineStr">
        <is>
          <t>2026/27</t>
        </is>
      </c>
      <c r="C2373" s="233" t="n">
        <v>46081</v>
      </c>
      <c r="D2373" s="232" t="inlineStr">
        <is>
          <t>144569</t>
        </is>
      </c>
      <c r="E2373" s="232" t="inlineStr">
        <is>
          <t>PRORRATEO</t>
        </is>
      </c>
      <c r="F2373" s="232" t="inlineStr">
        <is>
          <t>Santa Catalina</t>
        </is>
      </c>
      <c r="G2373" s="232" t="inlineStr">
        <is>
          <t>W. murcott 21 ha</t>
        </is>
      </c>
      <c r="H2373" s="232" t="inlineStr">
        <is>
          <t>Mandarina</t>
        </is>
      </c>
      <c r="I2373" s="232" t="inlineStr">
        <is>
          <t>W. murcott</t>
        </is>
      </c>
      <c r="J2373" s="232" t="inlineStr">
        <is>
          <t>COMBUSTIBLE</t>
        </is>
      </c>
      <c r="K2373" s="232" t="inlineStr">
        <is>
          <t>SIB. GRUA HORQUILLA ARRIENDO</t>
        </is>
      </c>
      <c r="L2373" s="232" t="inlineStr">
        <is>
          <t>[PRORRATEO 14.2% 21.0há/148.3há] O/001435 GAS ENV. 1</t>
        </is>
      </c>
      <c r="M2373" s="232" t="inlineStr"/>
      <c r="N2373" s="232" t="inlineStr">
        <is>
          <t>.   .   -</t>
        </is>
      </c>
      <c r="O2373" s="232" t="inlineStr">
        <is>
          <t>FEBRERO</t>
        </is>
      </c>
      <c r="P2373" s="232" t="n">
        <v>8</v>
      </c>
      <c r="Q2373" s="234" t="n">
        <v>8910</v>
      </c>
      <c r="R2373" s="232" t="inlineStr"/>
      <c r="S2373" s="234" t="n">
        <v>8910</v>
      </c>
      <c r="T2373" s="232" t="inlineStr">
        <is>
          <t>CLP</t>
        </is>
      </c>
      <c r="U2373" s="232" t="inlineStr">
        <is>
          <t>Prorrateo Ha PACKING</t>
        </is>
      </c>
      <c r="V2373" s="232" t="inlineStr">
        <is>
          <t>2026-06-18</t>
        </is>
      </c>
    </row>
    <row r="2374">
      <c r="A2374" s="232" t="inlineStr">
        <is>
          <t>CR-2371</t>
        </is>
      </c>
      <c r="B2374" s="232" t="inlineStr">
        <is>
          <t>2026/27</t>
        </is>
      </c>
      <c r="C2374" s="233" t="n">
        <v>46081</v>
      </c>
      <c r="D2374" s="232" t="inlineStr">
        <is>
          <t>144569</t>
        </is>
      </c>
      <c r="E2374" s="232" t="inlineStr">
        <is>
          <t>PRORRATEO</t>
        </is>
      </c>
      <c r="F2374" s="232" t="inlineStr">
        <is>
          <t>Santa Catalina</t>
        </is>
      </c>
      <c r="G2374" s="232" t="inlineStr">
        <is>
          <t>cambria 4,2 ha</t>
        </is>
      </c>
      <c r="H2374" s="232" t="inlineStr">
        <is>
          <t>Naranjas</t>
        </is>
      </c>
      <c r="I2374" s="232" t="inlineStr">
        <is>
          <t>Cambria</t>
        </is>
      </c>
      <c r="J2374" s="232" t="inlineStr">
        <is>
          <t>COMBUSTIBLE</t>
        </is>
      </c>
      <c r="K2374" s="232" t="inlineStr">
        <is>
          <t>SIB. GRUA HORQUILLA ARRIENDO</t>
        </is>
      </c>
      <c r="L2374" s="232" t="inlineStr">
        <is>
          <t>[PRORRATEO 2.8% 4.2há/148.3há] O/001435 GAS ENV. 1</t>
        </is>
      </c>
      <c r="M2374" s="232" t="inlineStr"/>
      <c r="N2374" s="232" t="inlineStr">
        <is>
          <t>.   .   -</t>
        </is>
      </c>
      <c r="O2374" s="232" t="inlineStr">
        <is>
          <t>FEBRERO</t>
        </is>
      </c>
      <c r="P2374" s="232" t="n">
        <v>8</v>
      </c>
      <c r="Q2374" s="234" t="n">
        <v>1782</v>
      </c>
      <c r="R2374" s="232" t="inlineStr"/>
      <c r="S2374" s="234" t="n">
        <v>1782</v>
      </c>
      <c r="T2374" s="232" t="inlineStr">
        <is>
          <t>CLP</t>
        </is>
      </c>
      <c r="U2374" s="232" t="inlineStr">
        <is>
          <t>Prorrateo Ha PACKING</t>
        </is>
      </c>
      <c r="V2374" s="232" t="inlineStr">
        <is>
          <t>2026-06-18</t>
        </is>
      </c>
    </row>
    <row r="2375">
      <c r="A2375" s="232" t="inlineStr">
        <is>
          <t>CR-2372</t>
        </is>
      </c>
      <c r="B2375" s="232" t="inlineStr">
        <is>
          <t>2026/27</t>
        </is>
      </c>
      <c r="C2375" s="233" t="n">
        <v>46081</v>
      </c>
      <c r="D2375" s="232" t="inlineStr">
        <is>
          <t>144569</t>
        </is>
      </c>
      <c r="E2375" s="232" t="inlineStr">
        <is>
          <t>PRORRATEO</t>
        </is>
      </c>
      <c r="F2375" s="232" t="inlineStr">
        <is>
          <t>Santa Catalina</t>
        </is>
      </c>
      <c r="G2375" s="232" t="inlineStr">
        <is>
          <t>eureka 10,6 ha</t>
        </is>
      </c>
      <c r="H2375" s="232" t="inlineStr">
        <is>
          <t>Limon</t>
        </is>
      </c>
      <c r="I2375" s="232" t="inlineStr">
        <is>
          <t>Eureka</t>
        </is>
      </c>
      <c r="J2375" s="232" t="inlineStr">
        <is>
          <t>COMBUSTIBLE</t>
        </is>
      </c>
      <c r="K2375" s="232" t="inlineStr">
        <is>
          <t>SIB. GRUA HORQUILLA ARRIENDO</t>
        </is>
      </c>
      <c r="L2375" s="232" t="inlineStr">
        <is>
          <t>[PRORRATEO 7.1% 10.6há/148.3há] O/001435 GAS ENV. 1</t>
        </is>
      </c>
      <c r="M2375" s="232" t="inlineStr"/>
      <c r="N2375" s="232" t="inlineStr">
        <is>
          <t>.   .   -</t>
        </is>
      </c>
      <c r="O2375" s="232" t="inlineStr">
        <is>
          <t>FEBRERO</t>
        </is>
      </c>
      <c r="P2375" s="232" t="n">
        <v>8</v>
      </c>
      <c r="Q2375" s="234" t="n">
        <v>4497</v>
      </c>
      <c r="R2375" s="232" t="inlineStr"/>
      <c r="S2375" s="234" t="n">
        <v>4497</v>
      </c>
      <c r="T2375" s="232" t="inlineStr">
        <is>
          <t>CLP</t>
        </is>
      </c>
      <c r="U2375" s="232" t="inlineStr">
        <is>
          <t>Prorrateo Ha PACKING</t>
        </is>
      </c>
      <c r="V2375" s="232" t="inlineStr">
        <is>
          <t>2026-06-18</t>
        </is>
      </c>
    </row>
    <row r="2376">
      <c r="A2376" s="232" t="inlineStr">
        <is>
          <t>CR-2373</t>
        </is>
      </c>
      <c r="B2376" s="232" t="inlineStr">
        <is>
          <t>2026/27</t>
        </is>
      </c>
      <c r="C2376" s="233" t="n">
        <v>46081</v>
      </c>
      <c r="D2376" s="232" t="inlineStr">
        <is>
          <t>144569</t>
        </is>
      </c>
      <c r="E2376" s="232" t="inlineStr">
        <is>
          <t>PRORRATEO</t>
        </is>
      </c>
      <c r="F2376" s="232" t="inlineStr">
        <is>
          <t>Santa Catalina</t>
        </is>
      </c>
      <c r="G2376" s="232" t="inlineStr">
        <is>
          <t>eureka 14,4 ha</t>
        </is>
      </c>
      <c r="H2376" s="232" t="inlineStr">
        <is>
          <t>Limon</t>
        </is>
      </c>
      <c r="I2376" s="232" t="inlineStr">
        <is>
          <t>Eureka</t>
        </is>
      </c>
      <c r="J2376" s="232" t="inlineStr">
        <is>
          <t>COMBUSTIBLE</t>
        </is>
      </c>
      <c r="K2376" s="232" t="inlineStr">
        <is>
          <t>SIB. GRUA HORQUILLA ARRIENDO</t>
        </is>
      </c>
      <c r="L2376" s="232" t="inlineStr">
        <is>
          <t>[PRORRATEO 9.7% 14.4há/148.3há] O/001435 GAS ENV. 1</t>
        </is>
      </c>
      <c r="M2376" s="232" t="inlineStr"/>
      <c r="N2376" s="232" t="inlineStr">
        <is>
          <t>.   .   -</t>
        </is>
      </c>
      <c r="O2376" s="232" t="inlineStr">
        <is>
          <t>FEBRERO</t>
        </is>
      </c>
      <c r="P2376" s="232" t="n">
        <v>8</v>
      </c>
      <c r="Q2376" s="234" t="n">
        <v>6110</v>
      </c>
      <c r="R2376" s="232" t="inlineStr"/>
      <c r="S2376" s="234" t="n">
        <v>6110</v>
      </c>
      <c r="T2376" s="232" t="inlineStr">
        <is>
          <t>CLP</t>
        </is>
      </c>
      <c r="U2376" s="232" t="inlineStr">
        <is>
          <t>Prorrateo Ha PACKING</t>
        </is>
      </c>
      <c r="V2376" s="232" t="inlineStr">
        <is>
          <t>2026-06-18</t>
        </is>
      </c>
    </row>
    <row r="2377">
      <c r="A2377" s="232" t="inlineStr">
        <is>
          <t>CR-2374</t>
        </is>
      </c>
      <c r="B2377" s="232" t="inlineStr">
        <is>
          <t>2026/27</t>
        </is>
      </c>
      <c r="C2377" s="233" t="n">
        <v>46081</v>
      </c>
      <c r="D2377" s="232" t="inlineStr">
        <is>
          <t>144569</t>
        </is>
      </c>
      <c r="E2377" s="232" t="inlineStr">
        <is>
          <t>PRORRATEO</t>
        </is>
      </c>
      <c r="F2377" s="232" t="inlineStr">
        <is>
          <t>Santa Catalina</t>
        </is>
      </c>
      <c r="G2377" s="232" t="inlineStr">
        <is>
          <t>eureka 22,55</t>
        </is>
      </c>
      <c r="H2377" s="232" t="inlineStr">
        <is>
          <t>Limon</t>
        </is>
      </c>
      <c r="I2377" s="232" t="inlineStr">
        <is>
          <t>Eureka</t>
        </is>
      </c>
      <c r="J2377" s="232" t="inlineStr">
        <is>
          <t>COMBUSTIBLE</t>
        </is>
      </c>
      <c r="K2377" s="232" t="inlineStr">
        <is>
          <t>SIB. GRUA HORQUILLA ARRIENDO</t>
        </is>
      </c>
      <c r="L2377" s="232" t="inlineStr">
        <is>
          <t>[PRORRATEO 15.2% 22.55há/148.3há] O/001435 GAS ENV. 1</t>
        </is>
      </c>
      <c r="M2377" s="232" t="inlineStr"/>
      <c r="N2377" s="232" t="inlineStr">
        <is>
          <t>.   .   -</t>
        </is>
      </c>
      <c r="O2377" s="232" t="inlineStr">
        <is>
          <t>FEBRERO</t>
        </is>
      </c>
      <c r="P2377" s="232" t="n">
        <v>8</v>
      </c>
      <c r="Q2377" s="234" t="n">
        <v>9568</v>
      </c>
      <c r="R2377" s="232" t="inlineStr"/>
      <c r="S2377" s="234" t="n">
        <v>9568</v>
      </c>
      <c r="T2377" s="232" t="inlineStr">
        <is>
          <t>CLP</t>
        </is>
      </c>
      <c r="U2377" s="232" t="inlineStr">
        <is>
          <t>Prorrateo Ha PACKING</t>
        </is>
      </c>
      <c r="V2377" s="232" t="inlineStr">
        <is>
          <t>2026-06-18</t>
        </is>
      </c>
    </row>
    <row r="2378">
      <c r="A2378" s="232" t="inlineStr">
        <is>
          <t>CR-2375</t>
        </is>
      </c>
      <c r="B2378" s="232" t="inlineStr">
        <is>
          <t>2026/27</t>
        </is>
      </c>
      <c r="C2378" s="233" t="n">
        <v>46081</v>
      </c>
      <c r="D2378" s="232" t="inlineStr">
        <is>
          <t>144569</t>
        </is>
      </c>
      <c r="E2378" s="232" t="inlineStr">
        <is>
          <t>PRORRATEO</t>
        </is>
      </c>
      <c r="F2378" s="232" t="inlineStr">
        <is>
          <t>Santa Catalina</t>
        </is>
      </c>
      <c r="G2378" s="232" t="inlineStr">
        <is>
          <t>form benjamin 1,93 ha</t>
        </is>
      </c>
      <c r="H2378" s="232" t="inlineStr">
        <is>
          <t>Limon</t>
        </is>
      </c>
      <c r="I2378" s="232" t="inlineStr">
        <is>
          <t>Benjamin andes</t>
        </is>
      </c>
      <c r="J2378" s="232" t="inlineStr">
        <is>
          <t>COMBUSTIBLE</t>
        </is>
      </c>
      <c r="K2378" s="232" t="inlineStr">
        <is>
          <t>SIB. GRUA HORQUILLA ARRIENDO</t>
        </is>
      </c>
      <c r="L2378" s="232" t="inlineStr">
        <is>
          <t>[PRORRATEO 1.3% 1.93há/148.3há] O/001435 GAS ENV. 1</t>
        </is>
      </c>
      <c r="M2378" s="232" t="inlineStr"/>
      <c r="N2378" s="232" t="inlineStr">
        <is>
          <t>.   .   -</t>
        </is>
      </c>
      <c r="O2378" s="232" t="inlineStr">
        <is>
          <t>FEBRERO</t>
        </is>
      </c>
      <c r="P2378" s="232" t="n">
        <v>8</v>
      </c>
      <c r="Q2378" s="234" t="n">
        <v>819</v>
      </c>
      <c r="R2378" s="232" t="inlineStr"/>
      <c r="S2378" s="234" t="n">
        <v>819</v>
      </c>
      <c r="T2378" s="232" t="inlineStr">
        <is>
          <t>CLP</t>
        </is>
      </c>
      <c r="U2378" s="232" t="inlineStr">
        <is>
          <t>Prorrateo Ha PACKING</t>
        </is>
      </c>
      <c r="V2378" s="232" t="inlineStr">
        <is>
          <t>2026-06-18</t>
        </is>
      </c>
    </row>
    <row r="2379">
      <c r="A2379" s="232" t="inlineStr">
        <is>
          <t>CR-2376</t>
        </is>
      </c>
      <c r="B2379" s="232" t="inlineStr">
        <is>
          <t>2026/27</t>
        </is>
      </c>
      <c r="C2379" s="233" t="n">
        <v>46081</v>
      </c>
      <c r="D2379" s="232" t="inlineStr">
        <is>
          <t>144569</t>
        </is>
      </c>
      <c r="E2379" s="232" t="inlineStr">
        <is>
          <t>PRORRATEO</t>
        </is>
      </c>
      <c r="F2379" s="232" t="inlineStr">
        <is>
          <t>Santa Catalina</t>
        </is>
      </c>
      <c r="G2379" s="232" t="inlineStr">
        <is>
          <t>mant eureka 2,5 ha</t>
        </is>
      </c>
      <c r="H2379" s="232" t="inlineStr">
        <is>
          <t>Limon</t>
        </is>
      </c>
      <c r="I2379" s="232" t="inlineStr">
        <is>
          <t>Eureka</t>
        </is>
      </c>
      <c r="J2379" s="232" t="inlineStr">
        <is>
          <t>COMBUSTIBLE</t>
        </is>
      </c>
      <c r="K2379" s="232" t="inlineStr">
        <is>
          <t>SIB. GRUA HORQUILLA ARRIENDO</t>
        </is>
      </c>
      <c r="L2379" s="232" t="inlineStr">
        <is>
          <t>[PRORRATEO 1.7% 2.5há/148.3há] O/001435 GAS ENV. 1</t>
        </is>
      </c>
      <c r="M2379" s="232" t="inlineStr"/>
      <c r="N2379" s="232" t="inlineStr">
        <is>
          <t>.   .   -</t>
        </is>
      </c>
      <c r="O2379" s="232" t="inlineStr">
        <is>
          <t>FEBRERO</t>
        </is>
      </c>
      <c r="P2379" s="232" t="n">
        <v>8</v>
      </c>
      <c r="Q2379" s="234" t="n">
        <v>1061</v>
      </c>
      <c r="R2379" s="232" t="inlineStr"/>
      <c r="S2379" s="234" t="n">
        <v>1061</v>
      </c>
      <c r="T2379" s="232" t="inlineStr">
        <is>
          <t>CLP</t>
        </is>
      </c>
      <c r="U2379" s="232" t="inlineStr">
        <is>
          <t>Prorrateo Ha PACKING</t>
        </is>
      </c>
      <c r="V2379" s="232" t="inlineStr">
        <is>
          <t>2026-06-18</t>
        </is>
      </c>
    </row>
    <row r="2380">
      <c r="A2380" s="232" t="inlineStr">
        <is>
          <t>CR-2377</t>
        </is>
      </c>
      <c r="B2380" s="232" t="inlineStr">
        <is>
          <t>2026/27</t>
        </is>
      </c>
      <c r="C2380" s="233" t="n">
        <v>46081</v>
      </c>
      <c r="D2380" s="232" t="inlineStr">
        <is>
          <t>144569</t>
        </is>
      </c>
      <c r="E2380" s="232" t="inlineStr">
        <is>
          <t>PRORRATEO</t>
        </is>
      </c>
      <c r="F2380" s="232" t="inlineStr">
        <is>
          <t>Siberia</t>
        </is>
      </c>
      <c r="G2380" s="232" t="inlineStr">
        <is>
          <t>S. Celebration 7,14</t>
        </is>
      </c>
      <c r="H2380" s="232" t="inlineStr">
        <is>
          <t>Uvas</t>
        </is>
      </c>
      <c r="I2380" s="232" t="inlineStr">
        <is>
          <t>S. celebration</t>
        </is>
      </c>
      <c r="J2380" s="232" t="inlineStr">
        <is>
          <t>COMBUSTIBLE</t>
        </is>
      </c>
      <c r="K2380" s="232" t="inlineStr">
        <is>
          <t>SIB. GRUA HORQUILLA ARRIENDO</t>
        </is>
      </c>
      <c r="L2380" s="232" t="inlineStr">
        <is>
          <t>[PRORRATEO 4.8% 7.14há/148.3há] O/001435 GAS ENV. 1</t>
        </is>
      </c>
      <c r="M2380" s="232" t="inlineStr"/>
      <c r="N2380" s="232" t="inlineStr">
        <is>
          <t>.   .   -</t>
        </is>
      </c>
      <c r="O2380" s="232" t="inlineStr">
        <is>
          <t>FEBRERO</t>
        </is>
      </c>
      <c r="P2380" s="232" t="n">
        <v>8</v>
      </c>
      <c r="Q2380" s="234" t="n">
        <v>3029</v>
      </c>
      <c r="R2380" s="232" t="inlineStr"/>
      <c r="S2380" s="234" t="n">
        <v>3029</v>
      </c>
      <c r="T2380" s="232" t="inlineStr">
        <is>
          <t>CLP</t>
        </is>
      </c>
      <c r="U2380" s="232" t="inlineStr">
        <is>
          <t>Prorrateo Ha PACKING</t>
        </is>
      </c>
      <c r="V2380" s="232" t="inlineStr">
        <is>
          <t>2026-06-18</t>
        </is>
      </c>
    </row>
    <row r="2381">
      <c r="A2381" s="232" t="inlineStr">
        <is>
          <t>CR-2378</t>
        </is>
      </c>
      <c r="B2381" s="232" t="inlineStr">
        <is>
          <t>2026/27</t>
        </is>
      </c>
      <c r="C2381" s="233" t="n">
        <v>46081</v>
      </c>
      <c r="D2381" s="232" t="inlineStr">
        <is>
          <t>144569</t>
        </is>
      </c>
      <c r="E2381" s="232" t="inlineStr">
        <is>
          <t>PRORRATEO</t>
        </is>
      </c>
      <c r="F2381" s="232" t="inlineStr">
        <is>
          <t>Siberia</t>
        </is>
      </c>
      <c r="G2381" s="232" t="inlineStr">
        <is>
          <t>Timpson 7,1</t>
        </is>
      </c>
      <c r="H2381" s="232" t="inlineStr">
        <is>
          <t>Uvas</t>
        </is>
      </c>
      <c r="I2381" s="232" t="inlineStr">
        <is>
          <t>Timpson</t>
        </is>
      </c>
      <c r="J2381" s="232" t="inlineStr">
        <is>
          <t>COMBUSTIBLE</t>
        </is>
      </c>
      <c r="K2381" s="232" t="inlineStr">
        <is>
          <t>SIB. GRUA HORQUILLA ARRIENDO</t>
        </is>
      </c>
      <c r="L2381" s="232" t="inlineStr">
        <is>
          <t>[PRORRATEO 4.8% 7.1há/148.3há] O/001435 GAS ENV. 1</t>
        </is>
      </c>
      <c r="M2381" s="232" t="inlineStr"/>
      <c r="N2381" s="232" t="inlineStr">
        <is>
          <t>.   .   -</t>
        </is>
      </c>
      <c r="O2381" s="232" t="inlineStr">
        <is>
          <t>FEBRERO</t>
        </is>
      </c>
      <c r="P2381" s="232" t="n">
        <v>8</v>
      </c>
      <c r="Q2381" s="234" t="n">
        <v>3012</v>
      </c>
      <c r="R2381" s="232" t="inlineStr"/>
      <c r="S2381" s="234" t="n">
        <v>3012</v>
      </c>
      <c r="T2381" s="232" t="inlineStr">
        <is>
          <t>CLP</t>
        </is>
      </c>
      <c r="U2381" s="232" t="inlineStr">
        <is>
          <t>Prorrateo Ha PACKING</t>
        </is>
      </c>
      <c r="V2381" s="232" t="inlineStr">
        <is>
          <t>2026-06-18</t>
        </is>
      </c>
    </row>
    <row r="2382">
      <c r="A2382" s="232" t="inlineStr">
        <is>
          <t>CR-2379</t>
        </is>
      </c>
      <c r="B2382" s="232" t="inlineStr">
        <is>
          <t>2026/27</t>
        </is>
      </c>
      <c r="C2382" s="233" t="n">
        <v>46081</v>
      </c>
      <c r="D2382" s="232" t="inlineStr">
        <is>
          <t>110755</t>
        </is>
      </c>
      <c r="E2382" s="232" t="inlineStr">
        <is>
          <t>PRORRATEO</t>
        </is>
      </c>
      <c r="F2382" s="232" t="inlineStr">
        <is>
          <t>Asmara</t>
        </is>
      </c>
      <c r="G2382" s="232" t="inlineStr">
        <is>
          <t>w. murcott 19,8 ha</t>
        </is>
      </c>
      <c r="H2382" s="232" t="inlineStr">
        <is>
          <t>Mandarina</t>
        </is>
      </c>
      <c r="I2382" s="232" t="inlineStr">
        <is>
          <t>W. murcott</t>
        </is>
      </c>
      <c r="J2382" s="232" t="inlineStr">
        <is>
          <t>GASTOS GENERALES</t>
        </is>
      </c>
      <c r="K2382" s="232" t="inlineStr">
        <is>
          <t>AGUA</t>
        </is>
      </c>
      <c r="L2382" s="232" t="inlineStr">
        <is>
          <t>[PRORRATEO 13.4% 19.8há/148.3há] O/001427 RECARGA BO</t>
        </is>
      </c>
      <c r="M2382" s="232" t="inlineStr"/>
      <c r="N2382" s="232" t="inlineStr">
        <is>
          <t>.   .   -</t>
        </is>
      </c>
      <c r="O2382" s="232" t="inlineStr">
        <is>
          <t>FEBRERO</t>
        </is>
      </c>
      <c r="P2382" s="232" t="n">
        <v>8</v>
      </c>
      <c r="Q2382" s="234" t="n">
        <v>1077</v>
      </c>
      <c r="R2382" s="232" t="inlineStr"/>
      <c r="S2382" s="234" t="n">
        <v>1077</v>
      </c>
      <c r="T2382" s="232" t="inlineStr">
        <is>
          <t>CLP</t>
        </is>
      </c>
      <c r="U2382" s="232" t="inlineStr">
        <is>
          <t>Prorrateo Ha PACKING</t>
        </is>
      </c>
      <c r="V2382" s="232" t="inlineStr">
        <is>
          <t>2026-06-18</t>
        </is>
      </c>
    </row>
    <row r="2383">
      <c r="A2383" s="232" t="inlineStr">
        <is>
          <t>CR-2380</t>
        </is>
      </c>
      <c r="B2383" s="232" t="inlineStr">
        <is>
          <t>2026/27</t>
        </is>
      </c>
      <c r="C2383" s="233" t="n">
        <v>46081</v>
      </c>
      <c r="D2383" s="232" t="inlineStr">
        <is>
          <t>110755</t>
        </is>
      </c>
      <c r="E2383" s="232" t="inlineStr">
        <is>
          <t>PRORRATEO</t>
        </is>
      </c>
      <c r="F2383" s="232" t="inlineStr">
        <is>
          <t>Asmara</t>
        </is>
      </c>
      <c r="G2383" s="232" t="inlineStr">
        <is>
          <t>w. murcott 4,9 ha</t>
        </is>
      </c>
      <c r="H2383" s="232" t="inlineStr">
        <is>
          <t>Mandarina</t>
        </is>
      </c>
      <c r="I2383" s="232" t="inlineStr">
        <is>
          <t>W. murcott</t>
        </is>
      </c>
      <c r="J2383" s="232" t="inlineStr">
        <is>
          <t>GASTOS GENERALES</t>
        </is>
      </c>
      <c r="K2383" s="232" t="inlineStr">
        <is>
          <t>AGUA</t>
        </is>
      </c>
      <c r="L2383" s="232" t="inlineStr">
        <is>
          <t>[PRORRATEO 3.3% 4.9há/148.3há] O/001427 RECARGA BO</t>
        </is>
      </c>
      <c r="M2383" s="232" t="inlineStr"/>
      <c r="N2383" s="232" t="inlineStr">
        <is>
          <t>.   .   -</t>
        </is>
      </c>
      <c r="O2383" s="232" t="inlineStr">
        <is>
          <t>FEBRERO</t>
        </is>
      </c>
      <c r="P2383" s="232" t="n">
        <v>8</v>
      </c>
      <c r="Q2383" s="234" t="n">
        <v>267</v>
      </c>
      <c r="R2383" s="232" t="inlineStr"/>
      <c r="S2383" s="234" t="n">
        <v>267</v>
      </c>
      <c r="T2383" s="232" t="inlineStr">
        <is>
          <t>CLP</t>
        </is>
      </c>
      <c r="U2383" s="232" t="inlineStr">
        <is>
          <t>Prorrateo Ha PACKING</t>
        </is>
      </c>
      <c r="V2383" s="232" t="inlineStr">
        <is>
          <t>2026-06-18</t>
        </is>
      </c>
    </row>
    <row r="2384">
      <c r="A2384" s="232" t="inlineStr">
        <is>
          <t>CR-2381</t>
        </is>
      </c>
      <c r="B2384" s="232" t="inlineStr">
        <is>
          <t>2026/27</t>
        </is>
      </c>
      <c r="C2384" s="233" t="n">
        <v>46081</v>
      </c>
      <c r="D2384" s="232" t="inlineStr">
        <is>
          <t>110755</t>
        </is>
      </c>
      <c r="E2384" s="232" t="inlineStr">
        <is>
          <t>PRORRATEO</t>
        </is>
      </c>
      <c r="F2384" s="232" t="inlineStr">
        <is>
          <t>El Molle</t>
        </is>
      </c>
      <c r="G2384" s="232" t="inlineStr">
        <is>
          <t>Wonderful 5,25 ha</t>
        </is>
      </c>
      <c r="H2384" s="232" t="inlineStr">
        <is>
          <t>Granados</t>
        </is>
      </c>
      <c r="I2384" s="232" t="inlineStr">
        <is>
          <t>Wonderfull</t>
        </is>
      </c>
      <c r="J2384" s="232" t="inlineStr">
        <is>
          <t>GASTOS GENERALES</t>
        </is>
      </c>
      <c r="K2384" s="232" t="inlineStr">
        <is>
          <t>AGUA</t>
        </is>
      </c>
      <c r="L2384" s="232" t="inlineStr">
        <is>
          <t>[PRORRATEO 3.5% 5.24há/148.3há] O/001427 RECARGA BO</t>
        </is>
      </c>
      <c r="M2384" s="232" t="inlineStr"/>
      <c r="N2384" s="232" t="inlineStr">
        <is>
          <t>.   .   -</t>
        </is>
      </c>
      <c r="O2384" s="232" t="inlineStr">
        <is>
          <t>FEBRERO</t>
        </is>
      </c>
      <c r="P2384" s="232" t="n">
        <v>8</v>
      </c>
      <c r="Q2384" s="234" t="n">
        <v>285</v>
      </c>
      <c r="R2384" s="232" t="inlineStr"/>
      <c r="S2384" s="234" t="n">
        <v>285</v>
      </c>
      <c r="T2384" s="232" t="inlineStr">
        <is>
          <t>CLP</t>
        </is>
      </c>
      <c r="U2384" s="232" t="inlineStr">
        <is>
          <t>Prorrateo Ha PACKING</t>
        </is>
      </c>
      <c r="V2384" s="232" t="inlineStr">
        <is>
          <t>2026-06-18</t>
        </is>
      </c>
    </row>
    <row r="2385">
      <c r="A2385" s="232" t="inlineStr">
        <is>
          <t>CR-2382</t>
        </is>
      </c>
      <c r="B2385" s="232" t="inlineStr">
        <is>
          <t>2026/27</t>
        </is>
      </c>
      <c r="C2385" s="233" t="n">
        <v>46081</v>
      </c>
      <c r="D2385" s="232" t="inlineStr">
        <is>
          <t>110755</t>
        </is>
      </c>
      <c r="E2385" s="232" t="inlineStr">
        <is>
          <t>PRORRATEO</t>
        </is>
      </c>
      <c r="F2385" s="232" t="inlineStr">
        <is>
          <t>El Molle</t>
        </is>
      </c>
      <c r="G2385" s="232" t="inlineStr">
        <is>
          <t>arrufatinas 5,74 ha</t>
        </is>
      </c>
      <c r="H2385" s="232" t="inlineStr">
        <is>
          <t>Clementinas</t>
        </is>
      </c>
      <c r="I2385" s="232" t="inlineStr">
        <is>
          <t>Arrufatinas</t>
        </is>
      </c>
      <c r="J2385" s="232" t="inlineStr">
        <is>
          <t>GASTOS GENERALES</t>
        </is>
      </c>
      <c r="K2385" s="232" t="inlineStr">
        <is>
          <t>AGUA</t>
        </is>
      </c>
      <c r="L2385" s="232" t="inlineStr">
        <is>
          <t>[PRORRATEO 3.9% 5.74há/148.3há] O/001427 RECARGA BO</t>
        </is>
      </c>
      <c r="M2385" s="232" t="inlineStr"/>
      <c r="N2385" s="232" t="inlineStr">
        <is>
          <t>.   .   -</t>
        </is>
      </c>
      <c r="O2385" s="232" t="inlineStr">
        <is>
          <t>FEBRERO</t>
        </is>
      </c>
      <c r="P2385" s="232" t="n">
        <v>8</v>
      </c>
      <c r="Q2385" s="234" t="n">
        <v>312</v>
      </c>
      <c r="R2385" s="232" t="inlineStr"/>
      <c r="S2385" s="234" t="n">
        <v>312</v>
      </c>
      <c r="T2385" s="232" t="inlineStr">
        <is>
          <t>CLP</t>
        </is>
      </c>
      <c r="U2385" s="232" t="inlineStr">
        <is>
          <t>Prorrateo Ha PACKING</t>
        </is>
      </c>
      <c r="V2385" s="232" t="inlineStr">
        <is>
          <t>2026-06-18</t>
        </is>
      </c>
    </row>
    <row r="2386">
      <c r="A2386" s="232" t="inlineStr">
        <is>
          <t>CR-2383</t>
        </is>
      </c>
      <c r="B2386" s="232" t="inlineStr">
        <is>
          <t>2026/27</t>
        </is>
      </c>
      <c r="C2386" s="233" t="n">
        <v>46081</v>
      </c>
      <c r="D2386" s="232" t="inlineStr">
        <is>
          <t>110755</t>
        </is>
      </c>
      <c r="E2386" s="232" t="inlineStr">
        <is>
          <t>PRORRATEO</t>
        </is>
      </c>
      <c r="F2386" s="232" t="inlineStr">
        <is>
          <t>El Molle</t>
        </is>
      </c>
      <c r="G2386" s="232" t="inlineStr">
        <is>
          <t>orogrande 8,11 ha</t>
        </is>
      </c>
      <c r="H2386" s="232" t="inlineStr">
        <is>
          <t>Clementinas</t>
        </is>
      </c>
      <c r="I2386" s="232" t="inlineStr">
        <is>
          <t>Orogrande</t>
        </is>
      </c>
      <c r="J2386" s="232" t="inlineStr">
        <is>
          <t>GASTOS GENERALES</t>
        </is>
      </c>
      <c r="K2386" s="232" t="inlineStr">
        <is>
          <t>AGUA</t>
        </is>
      </c>
      <c r="L2386" s="232" t="inlineStr">
        <is>
          <t>[PRORRATEO 5.5% 8.11há/148.3há] O/001427 RECARGA BO</t>
        </is>
      </c>
      <c r="M2386" s="232" t="inlineStr"/>
      <c r="N2386" s="232" t="inlineStr">
        <is>
          <t>.   .   -</t>
        </is>
      </c>
      <c r="O2386" s="232" t="inlineStr">
        <is>
          <t>FEBRERO</t>
        </is>
      </c>
      <c r="P2386" s="232" t="n">
        <v>8</v>
      </c>
      <c r="Q2386" s="234" t="n">
        <v>441</v>
      </c>
      <c r="R2386" s="232" t="inlineStr"/>
      <c r="S2386" s="234" t="n">
        <v>441</v>
      </c>
      <c r="T2386" s="232" t="inlineStr">
        <is>
          <t>CLP</t>
        </is>
      </c>
      <c r="U2386" s="232" t="inlineStr">
        <is>
          <t>Prorrateo Ha PACKING</t>
        </is>
      </c>
      <c r="V2386" s="232" t="inlineStr">
        <is>
          <t>2026-06-18</t>
        </is>
      </c>
    </row>
    <row r="2387">
      <c r="A2387" s="232" t="inlineStr">
        <is>
          <t>CR-2384</t>
        </is>
      </c>
      <c r="B2387" s="232" t="inlineStr">
        <is>
          <t>2026/27</t>
        </is>
      </c>
      <c r="C2387" s="233" t="n">
        <v>46081</v>
      </c>
      <c r="D2387" s="232" t="inlineStr">
        <is>
          <t>110755</t>
        </is>
      </c>
      <c r="E2387" s="232" t="inlineStr">
        <is>
          <t>PRORRATEO</t>
        </is>
      </c>
      <c r="F2387" s="232" t="inlineStr">
        <is>
          <t>El Molle</t>
        </is>
      </c>
      <c r="G2387" s="232" t="inlineStr">
        <is>
          <t>oronules 5,35 ha</t>
        </is>
      </c>
      <c r="H2387" s="232" t="inlineStr">
        <is>
          <t>Clementinas</t>
        </is>
      </c>
      <c r="I2387" s="232" t="inlineStr">
        <is>
          <t>Oronules</t>
        </is>
      </c>
      <c r="J2387" s="232" t="inlineStr">
        <is>
          <t>GASTOS GENERALES</t>
        </is>
      </c>
      <c r="K2387" s="232" t="inlineStr">
        <is>
          <t>AGUA</t>
        </is>
      </c>
      <c r="L2387" s="232" t="inlineStr">
        <is>
          <t>[PRORRATEO 3.6% 5.35há/148.3há] O/001427 RECARGA BO</t>
        </is>
      </c>
      <c r="M2387" s="232" t="inlineStr"/>
      <c r="N2387" s="232" t="inlineStr">
        <is>
          <t>.   .   -</t>
        </is>
      </c>
      <c r="O2387" s="232" t="inlineStr">
        <is>
          <t>FEBRERO</t>
        </is>
      </c>
      <c r="P2387" s="232" t="n">
        <v>8</v>
      </c>
      <c r="Q2387" s="234" t="n">
        <v>291</v>
      </c>
      <c r="R2387" s="232" t="inlineStr"/>
      <c r="S2387" s="234" t="n">
        <v>291</v>
      </c>
      <c r="T2387" s="232" t="inlineStr">
        <is>
          <t>CLP</t>
        </is>
      </c>
      <c r="U2387" s="232" t="inlineStr">
        <is>
          <t>Prorrateo Ha PACKING</t>
        </is>
      </c>
      <c r="V2387" s="232" t="inlineStr">
        <is>
          <t>2026-06-18</t>
        </is>
      </c>
    </row>
    <row r="2388">
      <c r="A2388" s="232" t="inlineStr">
        <is>
          <t>CR-2385</t>
        </is>
      </c>
      <c r="B2388" s="232" t="inlineStr">
        <is>
          <t>2026/27</t>
        </is>
      </c>
      <c r="C2388" s="233" t="n">
        <v>46081</v>
      </c>
      <c r="D2388" s="232" t="inlineStr">
        <is>
          <t>110755</t>
        </is>
      </c>
      <c r="E2388" s="232" t="inlineStr">
        <is>
          <t>PRORRATEO</t>
        </is>
      </c>
      <c r="F2388" s="232" t="inlineStr">
        <is>
          <t>Santa Catalina</t>
        </is>
      </c>
      <c r="G2388" s="232" t="inlineStr">
        <is>
          <t>Fino 49 7,7 ha</t>
        </is>
      </c>
      <c r="H2388" s="232" t="inlineStr">
        <is>
          <t>Limon</t>
        </is>
      </c>
      <c r="I2388" s="232" t="inlineStr">
        <is>
          <t>Fino 49</t>
        </is>
      </c>
      <c r="J2388" s="232" t="inlineStr">
        <is>
          <t>GASTOS GENERALES</t>
        </is>
      </c>
      <c r="K2388" s="232" t="inlineStr">
        <is>
          <t>AGUA</t>
        </is>
      </c>
      <c r="L2388" s="232" t="inlineStr">
        <is>
          <t>[PRORRATEO 5.2% 7.7há/148.3há] O/001427 RECARGA BO</t>
        </is>
      </c>
      <c r="M2388" s="232" t="inlineStr"/>
      <c r="N2388" s="232" t="inlineStr">
        <is>
          <t>.   .   -</t>
        </is>
      </c>
      <c r="O2388" s="232" t="inlineStr">
        <is>
          <t>FEBRERO</t>
        </is>
      </c>
      <c r="P2388" s="232" t="n">
        <v>8</v>
      </c>
      <c r="Q2388" s="234" t="n">
        <v>419</v>
      </c>
      <c r="R2388" s="232" t="inlineStr"/>
      <c r="S2388" s="234" t="n">
        <v>419</v>
      </c>
      <c r="T2388" s="232" t="inlineStr">
        <is>
          <t>CLP</t>
        </is>
      </c>
      <c r="U2388" s="232" t="inlineStr">
        <is>
          <t>Prorrateo Ha PACKING</t>
        </is>
      </c>
      <c r="V2388" s="232" t="inlineStr">
        <is>
          <t>2026-06-18</t>
        </is>
      </c>
    </row>
    <row r="2389">
      <c r="A2389" s="232" t="inlineStr">
        <is>
          <t>CR-2386</t>
        </is>
      </c>
      <c r="B2389" s="232" t="inlineStr">
        <is>
          <t>2026/27</t>
        </is>
      </c>
      <c r="C2389" s="233" t="n">
        <v>46081</v>
      </c>
      <c r="D2389" s="232" t="inlineStr">
        <is>
          <t>110755</t>
        </is>
      </c>
      <c r="E2389" s="232" t="inlineStr">
        <is>
          <t>PRORRATEO</t>
        </is>
      </c>
      <c r="F2389" s="232" t="inlineStr">
        <is>
          <t>Santa Catalina</t>
        </is>
      </c>
      <c r="G2389" s="232" t="inlineStr">
        <is>
          <t>W. murcott 21 ha</t>
        </is>
      </c>
      <c r="H2389" s="232" t="inlineStr">
        <is>
          <t>Mandarina</t>
        </is>
      </c>
      <c r="I2389" s="232" t="inlineStr">
        <is>
          <t>W. murcott</t>
        </is>
      </c>
      <c r="J2389" s="232" t="inlineStr">
        <is>
          <t>GASTOS GENERALES</t>
        </is>
      </c>
      <c r="K2389" s="232" t="inlineStr">
        <is>
          <t>AGUA</t>
        </is>
      </c>
      <c r="L2389" s="232" t="inlineStr">
        <is>
          <t>[PRORRATEO 14.2% 21.0há/148.3há] O/001427 RECARGA BO</t>
        </is>
      </c>
      <c r="M2389" s="232" t="inlineStr"/>
      <c r="N2389" s="232" t="inlineStr">
        <is>
          <t>.   .   -</t>
        </is>
      </c>
      <c r="O2389" s="232" t="inlineStr">
        <is>
          <t>FEBRERO</t>
        </is>
      </c>
      <c r="P2389" s="232" t="n">
        <v>8</v>
      </c>
      <c r="Q2389" s="234" t="n">
        <v>1143</v>
      </c>
      <c r="R2389" s="232" t="inlineStr"/>
      <c r="S2389" s="234" t="n">
        <v>1143</v>
      </c>
      <c r="T2389" s="232" t="inlineStr">
        <is>
          <t>CLP</t>
        </is>
      </c>
      <c r="U2389" s="232" t="inlineStr">
        <is>
          <t>Prorrateo Ha PACKING</t>
        </is>
      </c>
      <c r="V2389" s="232" t="inlineStr">
        <is>
          <t>2026-06-18</t>
        </is>
      </c>
    </row>
    <row r="2390">
      <c r="A2390" s="232" t="inlineStr">
        <is>
          <t>CR-2387</t>
        </is>
      </c>
      <c r="B2390" s="232" t="inlineStr">
        <is>
          <t>2026/27</t>
        </is>
      </c>
      <c r="C2390" s="233" t="n">
        <v>46081</v>
      </c>
      <c r="D2390" s="232" t="inlineStr">
        <is>
          <t>110755</t>
        </is>
      </c>
      <c r="E2390" s="232" t="inlineStr">
        <is>
          <t>PRORRATEO</t>
        </is>
      </c>
      <c r="F2390" s="232" t="inlineStr">
        <is>
          <t>Santa Catalina</t>
        </is>
      </c>
      <c r="G2390" s="232" t="inlineStr">
        <is>
          <t>cambria 4,2 ha</t>
        </is>
      </c>
      <c r="H2390" s="232" t="inlineStr">
        <is>
          <t>Naranjas</t>
        </is>
      </c>
      <c r="I2390" s="232" t="inlineStr">
        <is>
          <t>Cambria</t>
        </is>
      </c>
      <c r="J2390" s="232" t="inlineStr">
        <is>
          <t>GASTOS GENERALES</t>
        </is>
      </c>
      <c r="K2390" s="232" t="inlineStr">
        <is>
          <t>AGUA</t>
        </is>
      </c>
      <c r="L2390" s="232" t="inlineStr">
        <is>
          <t>[PRORRATEO 2.8% 4.2há/148.3há] O/001427 RECARGA BO</t>
        </is>
      </c>
      <c r="M2390" s="232" t="inlineStr"/>
      <c r="N2390" s="232" t="inlineStr">
        <is>
          <t>.   .   -</t>
        </is>
      </c>
      <c r="O2390" s="232" t="inlineStr">
        <is>
          <t>FEBRERO</t>
        </is>
      </c>
      <c r="P2390" s="232" t="n">
        <v>8</v>
      </c>
      <c r="Q2390" s="234" t="n">
        <v>229</v>
      </c>
      <c r="R2390" s="232" t="inlineStr"/>
      <c r="S2390" s="234" t="n">
        <v>229</v>
      </c>
      <c r="T2390" s="232" t="inlineStr">
        <is>
          <t>CLP</t>
        </is>
      </c>
      <c r="U2390" s="232" t="inlineStr">
        <is>
          <t>Prorrateo Ha PACKING</t>
        </is>
      </c>
      <c r="V2390" s="232" t="inlineStr">
        <is>
          <t>2026-06-18</t>
        </is>
      </c>
    </row>
    <row r="2391">
      <c r="A2391" s="232" t="inlineStr">
        <is>
          <t>CR-2388</t>
        </is>
      </c>
      <c r="B2391" s="232" t="inlineStr">
        <is>
          <t>2026/27</t>
        </is>
      </c>
      <c r="C2391" s="233" t="n">
        <v>46081</v>
      </c>
      <c r="D2391" s="232" t="inlineStr">
        <is>
          <t>110755</t>
        </is>
      </c>
      <c r="E2391" s="232" t="inlineStr">
        <is>
          <t>PRORRATEO</t>
        </is>
      </c>
      <c r="F2391" s="232" t="inlineStr">
        <is>
          <t>Santa Catalina</t>
        </is>
      </c>
      <c r="G2391" s="232" t="inlineStr">
        <is>
          <t>eureka 10,6 ha</t>
        </is>
      </c>
      <c r="H2391" s="232" t="inlineStr">
        <is>
          <t>Limon</t>
        </is>
      </c>
      <c r="I2391" s="232" t="inlineStr">
        <is>
          <t>Eureka</t>
        </is>
      </c>
      <c r="J2391" s="232" t="inlineStr">
        <is>
          <t>GASTOS GENERALES</t>
        </is>
      </c>
      <c r="K2391" s="232" t="inlineStr">
        <is>
          <t>AGUA</t>
        </is>
      </c>
      <c r="L2391" s="232" t="inlineStr">
        <is>
          <t>[PRORRATEO 7.1% 10.6há/148.3há] O/001427 RECARGA BO</t>
        </is>
      </c>
      <c r="M2391" s="232" t="inlineStr"/>
      <c r="N2391" s="232" t="inlineStr">
        <is>
          <t>.   .   -</t>
        </is>
      </c>
      <c r="O2391" s="232" t="inlineStr">
        <is>
          <t>FEBRERO</t>
        </is>
      </c>
      <c r="P2391" s="232" t="n">
        <v>8</v>
      </c>
      <c r="Q2391" s="234" t="n">
        <v>577</v>
      </c>
      <c r="R2391" s="232" t="inlineStr"/>
      <c r="S2391" s="234" t="n">
        <v>577</v>
      </c>
      <c r="T2391" s="232" t="inlineStr">
        <is>
          <t>CLP</t>
        </is>
      </c>
      <c r="U2391" s="232" t="inlineStr">
        <is>
          <t>Prorrateo Ha PACKING</t>
        </is>
      </c>
      <c r="V2391" s="232" t="inlineStr">
        <is>
          <t>2026-06-18</t>
        </is>
      </c>
    </row>
    <row r="2392">
      <c r="A2392" s="232" t="inlineStr">
        <is>
          <t>CR-2389</t>
        </is>
      </c>
      <c r="B2392" s="232" t="inlineStr">
        <is>
          <t>2026/27</t>
        </is>
      </c>
      <c r="C2392" s="233" t="n">
        <v>46081</v>
      </c>
      <c r="D2392" s="232" t="inlineStr">
        <is>
          <t>110755</t>
        </is>
      </c>
      <c r="E2392" s="232" t="inlineStr">
        <is>
          <t>PRORRATEO</t>
        </is>
      </c>
      <c r="F2392" s="232" t="inlineStr">
        <is>
          <t>Santa Catalina</t>
        </is>
      </c>
      <c r="G2392" s="232" t="inlineStr">
        <is>
          <t>eureka 14,4 ha</t>
        </is>
      </c>
      <c r="H2392" s="232" t="inlineStr">
        <is>
          <t>Limon</t>
        </is>
      </c>
      <c r="I2392" s="232" t="inlineStr">
        <is>
          <t>Eureka</t>
        </is>
      </c>
      <c r="J2392" s="232" t="inlineStr">
        <is>
          <t>GASTOS GENERALES</t>
        </is>
      </c>
      <c r="K2392" s="232" t="inlineStr">
        <is>
          <t>AGUA</t>
        </is>
      </c>
      <c r="L2392" s="232" t="inlineStr">
        <is>
          <t>[PRORRATEO 9.7% 14.4há/148.3há] O/001427 RECARGA BO</t>
        </is>
      </c>
      <c r="M2392" s="232" t="inlineStr"/>
      <c r="N2392" s="232" t="inlineStr">
        <is>
          <t>.   .   -</t>
        </is>
      </c>
      <c r="O2392" s="232" t="inlineStr">
        <is>
          <t>FEBRERO</t>
        </is>
      </c>
      <c r="P2392" s="232" t="n">
        <v>8</v>
      </c>
      <c r="Q2392" s="234" t="n">
        <v>784</v>
      </c>
      <c r="R2392" s="232" t="inlineStr"/>
      <c r="S2392" s="234" t="n">
        <v>784</v>
      </c>
      <c r="T2392" s="232" t="inlineStr">
        <is>
          <t>CLP</t>
        </is>
      </c>
      <c r="U2392" s="232" t="inlineStr">
        <is>
          <t>Prorrateo Ha PACKING</t>
        </is>
      </c>
      <c r="V2392" s="232" t="inlineStr">
        <is>
          <t>2026-06-18</t>
        </is>
      </c>
    </row>
    <row r="2393">
      <c r="A2393" s="232" t="inlineStr">
        <is>
          <t>CR-2390</t>
        </is>
      </c>
      <c r="B2393" s="232" t="inlineStr">
        <is>
          <t>2026/27</t>
        </is>
      </c>
      <c r="C2393" s="233" t="n">
        <v>46081</v>
      </c>
      <c r="D2393" s="232" t="inlineStr">
        <is>
          <t>110755</t>
        </is>
      </c>
      <c r="E2393" s="232" t="inlineStr">
        <is>
          <t>PRORRATEO</t>
        </is>
      </c>
      <c r="F2393" s="232" t="inlineStr">
        <is>
          <t>Santa Catalina</t>
        </is>
      </c>
      <c r="G2393" s="232" t="inlineStr">
        <is>
          <t>eureka 22,55</t>
        </is>
      </c>
      <c r="H2393" s="232" t="inlineStr">
        <is>
          <t>Limon</t>
        </is>
      </c>
      <c r="I2393" s="232" t="inlineStr">
        <is>
          <t>Eureka</t>
        </is>
      </c>
      <c r="J2393" s="232" t="inlineStr">
        <is>
          <t>GASTOS GENERALES</t>
        </is>
      </c>
      <c r="K2393" s="232" t="inlineStr">
        <is>
          <t>AGUA</t>
        </is>
      </c>
      <c r="L2393" s="232" t="inlineStr">
        <is>
          <t>[PRORRATEO 15.2% 22.55há/148.3há] O/001427 RECARGA BO</t>
        </is>
      </c>
      <c r="M2393" s="232" t="inlineStr"/>
      <c r="N2393" s="232" t="inlineStr">
        <is>
          <t>.   .   -</t>
        </is>
      </c>
      <c r="O2393" s="232" t="inlineStr">
        <is>
          <t>FEBRERO</t>
        </is>
      </c>
      <c r="P2393" s="232" t="n">
        <v>8</v>
      </c>
      <c r="Q2393" s="234" t="n">
        <v>1227</v>
      </c>
      <c r="R2393" s="232" t="inlineStr"/>
      <c r="S2393" s="234" t="n">
        <v>1227</v>
      </c>
      <c r="T2393" s="232" t="inlineStr">
        <is>
          <t>CLP</t>
        </is>
      </c>
      <c r="U2393" s="232" t="inlineStr">
        <is>
          <t>Prorrateo Ha PACKING</t>
        </is>
      </c>
      <c r="V2393" s="232" t="inlineStr">
        <is>
          <t>2026-06-18</t>
        </is>
      </c>
    </row>
    <row r="2394">
      <c r="A2394" s="232" t="inlineStr">
        <is>
          <t>CR-2391</t>
        </is>
      </c>
      <c r="B2394" s="232" t="inlineStr">
        <is>
          <t>2026/27</t>
        </is>
      </c>
      <c r="C2394" s="233" t="n">
        <v>46081</v>
      </c>
      <c r="D2394" s="232" t="inlineStr">
        <is>
          <t>110755</t>
        </is>
      </c>
      <c r="E2394" s="232" t="inlineStr">
        <is>
          <t>PRORRATEO</t>
        </is>
      </c>
      <c r="F2394" s="232" t="inlineStr">
        <is>
          <t>Santa Catalina</t>
        </is>
      </c>
      <c r="G2394" s="232" t="inlineStr">
        <is>
          <t>form benjamin 1,93 ha</t>
        </is>
      </c>
      <c r="H2394" s="232" t="inlineStr">
        <is>
          <t>Limon</t>
        </is>
      </c>
      <c r="I2394" s="232" t="inlineStr">
        <is>
          <t>Benjamin andes</t>
        </is>
      </c>
      <c r="J2394" s="232" t="inlineStr">
        <is>
          <t>GASTOS GENERALES</t>
        </is>
      </c>
      <c r="K2394" s="232" t="inlineStr">
        <is>
          <t>AGUA</t>
        </is>
      </c>
      <c r="L2394" s="232" t="inlineStr">
        <is>
          <t>[PRORRATEO 1.3% 1.93há/148.3há] O/001427 RECARGA BO</t>
        </is>
      </c>
      <c r="M2394" s="232" t="inlineStr"/>
      <c r="N2394" s="232" t="inlineStr">
        <is>
          <t>.   .   -</t>
        </is>
      </c>
      <c r="O2394" s="232" t="inlineStr">
        <is>
          <t>FEBRERO</t>
        </is>
      </c>
      <c r="P2394" s="232" t="n">
        <v>8</v>
      </c>
      <c r="Q2394" s="234" t="n">
        <v>105</v>
      </c>
      <c r="R2394" s="232" t="inlineStr"/>
      <c r="S2394" s="234" t="n">
        <v>105</v>
      </c>
      <c r="T2394" s="232" t="inlineStr">
        <is>
          <t>CLP</t>
        </is>
      </c>
      <c r="U2394" s="232" t="inlineStr">
        <is>
          <t>Prorrateo Ha PACKING</t>
        </is>
      </c>
      <c r="V2394" s="232" t="inlineStr">
        <is>
          <t>2026-06-18</t>
        </is>
      </c>
    </row>
    <row r="2395">
      <c r="A2395" s="232" t="inlineStr">
        <is>
          <t>CR-2392</t>
        </is>
      </c>
      <c r="B2395" s="232" t="inlineStr">
        <is>
          <t>2026/27</t>
        </is>
      </c>
      <c r="C2395" s="233" t="n">
        <v>46081</v>
      </c>
      <c r="D2395" s="232" t="inlineStr">
        <is>
          <t>110755</t>
        </is>
      </c>
      <c r="E2395" s="232" t="inlineStr">
        <is>
          <t>PRORRATEO</t>
        </is>
      </c>
      <c r="F2395" s="232" t="inlineStr">
        <is>
          <t>Santa Catalina</t>
        </is>
      </c>
      <c r="G2395" s="232" t="inlineStr">
        <is>
          <t>mant eureka 2,5 ha</t>
        </is>
      </c>
      <c r="H2395" s="232" t="inlineStr">
        <is>
          <t>Limon</t>
        </is>
      </c>
      <c r="I2395" s="232" t="inlineStr">
        <is>
          <t>Eureka</t>
        </is>
      </c>
      <c r="J2395" s="232" t="inlineStr">
        <is>
          <t>GASTOS GENERALES</t>
        </is>
      </c>
      <c r="K2395" s="232" t="inlineStr">
        <is>
          <t>AGUA</t>
        </is>
      </c>
      <c r="L2395" s="232" t="inlineStr">
        <is>
          <t>[PRORRATEO 1.7% 2.5há/148.3há] O/001427 RECARGA BO</t>
        </is>
      </c>
      <c r="M2395" s="232" t="inlineStr"/>
      <c r="N2395" s="232" t="inlineStr">
        <is>
          <t>.   .   -</t>
        </is>
      </c>
      <c r="O2395" s="232" t="inlineStr">
        <is>
          <t>FEBRERO</t>
        </is>
      </c>
      <c r="P2395" s="232" t="n">
        <v>8</v>
      </c>
      <c r="Q2395" s="234" t="n">
        <v>136</v>
      </c>
      <c r="R2395" s="232" t="inlineStr"/>
      <c r="S2395" s="234" t="n">
        <v>136</v>
      </c>
      <c r="T2395" s="232" t="inlineStr">
        <is>
          <t>CLP</t>
        </is>
      </c>
      <c r="U2395" s="232" t="inlineStr">
        <is>
          <t>Prorrateo Ha PACKING</t>
        </is>
      </c>
      <c r="V2395" s="232" t="inlineStr">
        <is>
          <t>2026-06-18</t>
        </is>
      </c>
    </row>
    <row r="2396">
      <c r="A2396" s="232" t="inlineStr">
        <is>
          <t>CR-2393</t>
        </is>
      </c>
      <c r="B2396" s="232" t="inlineStr">
        <is>
          <t>2026/27</t>
        </is>
      </c>
      <c r="C2396" s="233" t="n">
        <v>46081</v>
      </c>
      <c r="D2396" s="232" t="inlineStr">
        <is>
          <t>110755</t>
        </is>
      </c>
      <c r="E2396" s="232" t="inlineStr">
        <is>
          <t>PRORRATEO</t>
        </is>
      </c>
      <c r="F2396" s="232" t="inlineStr">
        <is>
          <t>Siberia</t>
        </is>
      </c>
      <c r="G2396" s="232" t="inlineStr">
        <is>
          <t>S. Celebration 7,14</t>
        </is>
      </c>
      <c r="H2396" s="232" t="inlineStr">
        <is>
          <t>Uvas</t>
        </is>
      </c>
      <c r="I2396" s="232" t="inlineStr">
        <is>
          <t>S. celebration</t>
        </is>
      </c>
      <c r="J2396" s="232" t="inlineStr">
        <is>
          <t>GASTOS GENERALES</t>
        </is>
      </c>
      <c r="K2396" s="232" t="inlineStr">
        <is>
          <t>AGUA</t>
        </is>
      </c>
      <c r="L2396" s="232" t="inlineStr">
        <is>
          <t>[PRORRATEO 4.8% 7.14há/148.3há] O/001427 RECARGA BO</t>
        </is>
      </c>
      <c r="M2396" s="232" t="inlineStr"/>
      <c r="N2396" s="232" t="inlineStr">
        <is>
          <t>.   .   -</t>
        </is>
      </c>
      <c r="O2396" s="232" t="inlineStr">
        <is>
          <t>FEBRERO</t>
        </is>
      </c>
      <c r="P2396" s="232" t="n">
        <v>8</v>
      </c>
      <c r="Q2396" s="234" t="n">
        <v>388</v>
      </c>
      <c r="R2396" s="232" t="inlineStr"/>
      <c r="S2396" s="234" t="n">
        <v>388</v>
      </c>
      <c r="T2396" s="232" t="inlineStr">
        <is>
          <t>CLP</t>
        </is>
      </c>
      <c r="U2396" s="232" t="inlineStr">
        <is>
          <t>Prorrateo Ha PACKING</t>
        </is>
      </c>
      <c r="V2396" s="232" t="inlineStr">
        <is>
          <t>2026-06-18</t>
        </is>
      </c>
    </row>
    <row r="2397">
      <c r="A2397" s="232" t="inlineStr">
        <is>
          <t>CR-2394</t>
        </is>
      </c>
      <c r="B2397" s="232" t="inlineStr">
        <is>
          <t>2026/27</t>
        </is>
      </c>
      <c r="C2397" s="233" t="n">
        <v>46081</v>
      </c>
      <c r="D2397" s="232" t="inlineStr">
        <is>
          <t>110755</t>
        </is>
      </c>
      <c r="E2397" s="232" t="inlineStr">
        <is>
          <t>PRORRATEO</t>
        </is>
      </c>
      <c r="F2397" s="232" t="inlineStr">
        <is>
          <t>Siberia</t>
        </is>
      </c>
      <c r="G2397" s="232" t="inlineStr">
        <is>
          <t>Timpson 7,1</t>
        </is>
      </c>
      <c r="H2397" s="232" t="inlineStr">
        <is>
          <t>Uvas</t>
        </is>
      </c>
      <c r="I2397" s="232" t="inlineStr">
        <is>
          <t>Timpson</t>
        </is>
      </c>
      <c r="J2397" s="232" t="inlineStr">
        <is>
          <t>GASTOS GENERALES</t>
        </is>
      </c>
      <c r="K2397" s="232" t="inlineStr">
        <is>
          <t>AGUA</t>
        </is>
      </c>
      <c r="L2397" s="232" t="inlineStr">
        <is>
          <t>[PRORRATEO 4.8% 7.1há/148.3há] O/001427 RECARGA BO</t>
        </is>
      </c>
      <c r="M2397" s="232" t="inlineStr"/>
      <c r="N2397" s="232" t="inlineStr">
        <is>
          <t>.   .   -</t>
        </is>
      </c>
      <c r="O2397" s="232" t="inlineStr">
        <is>
          <t>FEBRERO</t>
        </is>
      </c>
      <c r="P2397" s="232" t="n">
        <v>8</v>
      </c>
      <c r="Q2397" s="234" t="n">
        <v>386</v>
      </c>
      <c r="R2397" s="232" t="inlineStr"/>
      <c r="S2397" s="234" t="n">
        <v>386</v>
      </c>
      <c r="T2397" s="232" t="inlineStr">
        <is>
          <t>CLP</t>
        </is>
      </c>
      <c r="U2397" s="232" t="inlineStr">
        <is>
          <t>Prorrateo Ha PACKING</t>
        </is>
      </c>
      <c r="V2397" s="232" t="inlineStr">
        <is>
          <t>2026-06-18</t>
        </is>
      </c>
    </row>
    <row r="2398">
      <c r="A2398" s="232" t="inlineStr">
        <is>
          <t>CR-2395</t>
        </is>
      </c>
      <c r="B2398" s="232" t="inlineStr">
        <is>
          <t>2026/27</t>
        </is>
      </c>
      <c r="C2398" s="233" t="n">
        <v>46084</v>
      </c>
      <c r="D2398" s="232" t="inlineStr">
        <is>
          <t>634</t>
        </is>
      </c>
      <c r="E2398" s="232" t="inlineStr">
        <is>
          <t>PRORRATEO</t>
        </is>
      </c>
      <c r="F2398" s="232" t="inlineStr">
        <is>
          <t>Asmara</t>
        </is>
      </c>
      <c r="G2398" s="232" t="inlineStr">
        <is>
          <t>w. murcott 19,8 ha</t>
        </is>
      </c>
      <c r="H2398" s="232" t="inlineStr">
        <is>
          <t>Mandarina</t>
        </is>
      </c>
      <c r="I2398" s="232" t="inlineStr">
        <is>
          <t>W. murcott</t>
        </is>
      </c>
      <c r="J2398" s="232" t="inlineStr">
        <is>
          <t>LABORES OPERACIONALES</t>
        </is>
      </c>
      <c r="K2398" s="232" t="inlineStr">
        <is>
          <t>LAB. PACKING</t>
        </is>
      </c>
      <c r="L2398" s="232" t="inlineStr">
        <is>
          <t>[PRORRATEO 13.4% 19.8há/148.3há] SERV.CONTRATISTA</t>
        </is>
      </c>
      <c r="M2398" s="232" t="inlineStr"/>
      <c r="N2398" s="232" t="inlineStr">
        <is>
          <t>.   .   -</t>
        </is>
      </c>
      <c r="O2398" s="232" t="inlineStr">
        <is>
          <t>MARZO</t>
        </is>
      </c>
      <c r="P2398" s="232" t="n">
        <v>9</v>
      </c>
      <c r="Q2398" s="234" t="n">
        <v>910692</v>
      </c>
      <c r="R2398" s="232" t="inlineStr"/>
      <c r="S2398" s="234" t="n">
        <v>910692</v>
      </c>
      <c r="T2398" s="232" t="inlineStr">
        <is>
          <t>CLP</t>
        </is>
      </c>
      <c r="U2398" s="232" t="inlineStr">
        <is>
          <t>Prorrateo Ha PACKING</t>
        </is>
      </c>
      <c r="V2398" s="232" t="inlineStr">
        <is>
          <t>2026-06-18</t>
        </is>
      </c>
    </row>
    <row r="2399">
      <c r="A2399" s="232" t="inlineStr">
        <is>
          <t>CR-2396</t>
        </is>
      </c>
      <c r="B2399" s="232" t="inlineStr">
        <is>
          <t>2026/27</t>
        </is>
      </c>
      <c r="C2399" s="233" t="n">
        <v>46084</v>
      </c>
      <c r="D2399" s="232" t="inlineStr">
        <is>
          <t>634</t>
        </is>
      </c>
      <c r="E2399" s="232" t="inlineStr">
        <is>
          <t>PRORRATEO</t>
        </is>
      </c>
      <c r="F2399" s="232" t="inlineStr">
        <is>
          <t>Asmara</t>
        </is>
      </c>
      <c r="G2399" s="232" t="inlineStr">
        <is>
          <t>w. murcott 4,9 ha</t>
        </is>
      </c>
      <c r="H2399" s="232" t="inlineStr">
        <is>
          <t>Mandarina</t>
        </is>
      </c>
      <c r="I2399" s="232" t="inlineStr">
        <is>
          <t>W. murcott</t>
        </is>
      </c>
      <c r="J2399" s="232" t="inlineStr">
        <is>
          <t>LABORES OPERACIONALES</t>
        </is>
      </c>
      <c r="K2399" s="232" t="inlineStr">
        <is>
          <t>LAB. PACKING</t>
        </is>
      </c>
      <c r="L2399" s="232" t="inlineStr">
        <is>
          <t>[PRORRATEO 3.3% 4.9há/148.3há] SERV.CONTRATISTA</t>
        </is>
      </c>
      <c r="M2399" s="232" t="inlineStr"/>
      <c r="N2399" s="232" t="inlineStr">
        <is>
          <t>.   .   -</t>
        </is>
      </c>
      <c r="O2399" s="232" t="inlineStr">
        <is>
          <t>MARZO</t>
        </is>
      </c>
      <c r="P2399" s="232" t="n">
        <v>9</v>
      </c>
      <c r="Q2399" s="234" t="n">
        <v>225373</v>
      </c>
      <c r="R2399" s="232" t="inlineStr"/>
      <c r="S2399" s="234" t="n">
        <v>225373</v>
      </c>
      <c r="T2399" s="232" t="inlineStr">
        <is>
          <t>CLP</t>
        </is>
      </c>
      <c r="U2399" s="232" t="inlineStr">
        <is>
          <t>Prorrateo Ha PACKING</t>
        </is>
      </c>
      <c r="V2399" s="232" t="inlineStr">
        <is>
          <t>2026-06-18</t>
        </is>
      </c>
    </row>
    <row r="2400">
      <c r="A2400" s="232" t="inlineStr">
        <is>
          <t>CR-2397</t>
        </is>
      </c>
      <c r="B2400" s="232" t="inlineStr">
        <is>
          <t>2026/27</t>
        </is>
      </c>
      <c r="C2400" s="233" t="n">
        <v>46084</v>
      </c>
      <c r="D2400" s="232" t="inlineStr">
        <is>
          <t>634</t>
        </is>
      </c>
      <c r="E2400" s="232" t="inlineStr">
        <is>
          <t>PRORRATEO</t>
        </is>
      </c>
      <c r="F2400" s="232" t="inlineStr">
        <is>
          <t>El Molle</t>
        </is>
      </c>
      <c r="G2400" s="232" t="inlineStr">
        <is>
          <t>Wonderful 5,25 ha</t>
        </is>
      </c>
      <c r="H2400" s="232" t="inlineStr">
        <is>
          <t>Granados</t>
        </is>
      </c>
      <c r="I2400" s="232" t="inlineStr">
        <is>
          <t>Wonderfull</t>
        </is>
      </c>
      <c r="J2400" s="232" t="inlineStr">
        <is>
          <t>LABORES OPERACIONALES</t>
        </is>
      </c>
      <c r="K2400" s="232" t="inlineStr">
        <is>
          <t>LAB. PACKING</t>
        </is>
      </c>
      <c r="L2400" s="232" t="inlineStr">
        <is>
          <t>[PRORRATEO 3.5% 5.24há/148.3há] SERV.CONTRATISTA</t>
        </is>
      </c>
      <c r="M2400" s="232" t="inlineStr"/>
      <c r="N2400" s="232" t="inlineStr">
        <is>
          <t>.   .   -</t>
        </is>
      </c>
      <c r="O2400" s="232" t="inlineStr">
        <is>
          <t>MARZO</t>
        </is>
      </c>
      <c r="P2400" s="232" t="n">
        <v>9</v>
      </c>
      <c r="Q2400" s="234" t="n">
        <v>241011</v>
      </c>
      <c r="R2400" s="232" t="inlineStr"/>
      <c r="S2400" s="234" t="n">
        <v>241011</v>
      </c>
      <c r="T2400" s="232" t="inlineStr">
        <is>
          <t>CLP</t>
        </is>
      </c>
      <c r="U2400" s="232" t="inlineStr">
        <is>
          <t>Prorrateo Ha PACKING</t>
        </is>
      </c>
      <c r="V2400" s="232" t="inlineStr">
        <is>
          <t>2026-06-18</t>
        </is>
      </c>
    </row>
    <row r="2401">
      <c r="A2401" s="232" t="inlineStr">
        <is>
          <t>CR-2398</t>
        </is>
      </c>
      <c r="B2401" s="232" t="inlineStr">
        <is>
          <t>2026/27</t>
        </is>
      </c>
      <c r="C2401" s="233" t="n">
        <v>46084</v>
      </c>
      <c r="D2401" s="232" t="inlineStr">
        <is>
          <t>634</t>
        </is>
      </c>
      <c r="E2401" s="232" t="inlineStr">
        <is>
          <t>PRORRATEO</t>
        </is>
      </c>
      <c r="F2401" s="232" t="inlineStr">
        <is>
          <t>El Molle</t>
        </is>
      </c>
      <c r="G2401" s="232" t="inlineStr">
        <is>
          <t>arrufatinas 5,74 ha</t>
        </is>
      </c>
      <c r="H2401" s="232" t="inlineStr">
        <is>
          <t>Clementinas</t>
        </is>
      </c>
      <c r="I2401" s="232" t="inlineStr">
        <is>
          <t>Arrufatinas</t>
        </is>
      </c>
      <c r="J2401" s="232" t="inlineStr">
        <is>
          <t>LABORES OPERACIONALES</t>
        </is>
      </c>
      <c r="K2401" s="232" t="inlineStr">
        <is>
          <t>LAB. PACKING</t>
        </is>
      </c>
      <c r="L2401" s="232" t="inlineStr">
        <is>
          <t>[PRORRATEO 3.9% 5.74há/148.3há] SERV.CONTRATISTA</t>
        </is>
      </c>
      <c r="M2401" s="232" t="inlineStr"/>
      <c r="N2401" s="232" t="inlineStr">
        <is>
          <t>.   .   -</t>
        </is>
      </c>
      <c r="O2401" s="232" t="inlineStr">
        <is>
          <t>MARZO</t>
        </is>
      </c>
      <c r="P2401" s="232" t="n">
        <v>9</v>
      </c>
      <c r="Q2401" s="234" t="n">
        <v>264009</v>
      </c>
      <c r="R2401" s="232" t="inlineStr"/>
      <c r="S2401" s="234" t="n">
        <v>264009</v>
      </c>
      <c r="T2401" s="232" t="inlineStr">
        <is>
          <t>CLP</t>
        </is>
      </c>
      <c r="U2401" s="232" t="inlineStr">
        <is>
          <t>Prorrateo Ha PACKING</t>
        </is>
      </c>
      <c r="V2401" s="232" t="inlineStr">
        <is>
          <t>2026-06-18</t>
        </is>
      </c>
    </row>
    <row r="2402">
      <c r="A2402" s="232" t="inlineStr">
        <is>
          <t>CR-2399</t>
        </is>
      </c>
      <c r="B2402" s="232" t="inlineStr">
        <is>
          <t>2026/27</t>
        </is>
      </c>
      <c r="C2402" s="233" t="n">
        <v>46084</v>
      </c>
      <c r="D2402" s="232" t="inlineStr">
        <is>
          <t>634</t>
        </is>
      </c>
      <c r="E2402" s="232" t="inlineStr">
        <is>
          <t>PRORRATEO</t>
        </is>
      </c>
      <c r="F2402" s="232" t="inlineStr">
        <is>
          <t>El Molle</t>
        </is>
      </c>
      <c r="G2402" s="232" t="inlineStr">
        <is>
          <t>orogrande 8,11 ha</t>
        </is>
      </c>
      <c r="H2402" s="232" t="inlineStr">
        <is>
          <t>Clementinas</t>
        </is>
      </c>
      <c r="I2402" s="232" t="inlineStr">
        <is>
          <t>Orogrande</t>
        </is>
      </c>
      <c r="J2402" s="232" t="inlineStr">
        <is>
          <t>LABORES OPERACIONALES</t>
        </is>
      </c>
      <c r="K2402" s="232" t="inlineStr">
        <is>
          <t>LAB. PACKING</t>
        </is>
      </c>
      <c r="L2402" s="232" t="inlineStr">
        <is>
          <t>[PRORRATEO 5.5% 8.11há/148.3há] SERV.CONTRATISTA</t>
        </is>
      </c>
      <c r="M2402" s="232" t="inlineStr"/>
      <c r="N2402" s="232" t="inlineStr">
        <is>
          <t>.   .   -</t>
        </is>
      </c>
      <c r="O2402" s="232" t="inlineStr">
        <is>
          <t>MARZO</t>
        </is>
      </c>
      <c r="P2402" s="232" t="n">
        <v>9</v>
      </c>
      <c r="Q2402" s="234" t="n">
        <v>373016</v>
      </c>
      <c r="R2402" s="232" t="inlineStr"/>
      <c r="S2402" s="234" t="n">
        <v>373016</v>
      </c>
      <c r="T2402" s="232" t="inlineStr">
        <is>
          <t>CLP</t>
        </is>
      </c>
      <c r="U2402" s="232" t="inlineStr">
        <is>
          <t>Prorrateo Ha PACKING</t>
        </is>
      </c>
      <c r="V2402" s="232" t="inlineStr">
        <is>
          <t>2026-06-18</t>
        </is>
      </c>
    </row>
    <row r="2403">
      <c r="A2403" s="232" t="inlineStr">
        <is>
          <t>CR-2400</t>
        </is>
      </c>
      <c r="B2403" s="232" t="inlineStr">
        <is>
          <t>2026/27</t>
        </is>
      </c>
      <c r="C2403" s="233" t="n">
        <v>46084</v>
      </c>
      <c r="D2403" s="232" t="inlineStr">
        <is>
          <t>634</t>
        </is>
      </c>
      <c r="E2403" s="232" t="inlineStr">
        <is>
          <t>PRORRATEO</t>
        </is>
      </c>
      <c r="F2403" s="232" t="inlineStr">
        <is>
          <t>El Molle</t>
        </is>
      </c>
      <c r="G2403" s="232" t="inlineStr">
        <is>
          <t>oronules 5,35 ha</t>
        </is>
      </c>
      <c r="H2403" s="232" t="inlineStr">
        <is>
          <t>Clementinas</t>
        </is>
      </c>
      <c r="I2403" s="232" t="inlineStr">
        <is>
          <t>Oronules</t>
        </is>
      </c>
      <c r="J2403" s="232" t="inlineStr">
        <is>
          <t>LABORES OPERACIONALES</t>
        </is>
      </c>
      <c r="K2403" s="232" t="inlineStr">
        <is>
          <t>LAB. PACKING</t>
        </is>
      </c>
      <c r="L2403" s="232" t="inlineStr">
        <is>
          <t>[PRORRATEO 3.6% 5.35há/148.3há] SERV.CONTRATISTA</t>
        </is>
      </c>
      <c r="M2403" s="232" t="inlineStr"/>
      <c r="N2403" s="232" t="inlineStr">
        <is>
          <t>.   .   -</t>
        </is>
      </c>
      <c r="O2403" s="232" t="inlineStr">
        <is>
          <t>MARZO</t>
        </is>
      </c>
      <c r="P2403" s="232" t="n">
        <v>9</v>
      </c>
      <c r="Q2403" s="234" t="n">
        <v>246071</v>
      </c>
      <c r="R2403" s="232" t="inlineStr"/>
      <c r="S2403" s="234" t="n">
        <v>246071</v>
      </c>
      <c r="T2403" s="232" t="inlineStr">
        <is>
          <t>CLP</t>
        </is>
      </c>
      <c r="U2403" s="232" t="inlineStr">
        <is>
          <t>Prorrateo Ha PACKING</t>
        </is>
      </c>
      <c r="V2403" s="232" t="inlineStr">
        <is>
          <t>2026-06-18</t>
        </is>
      </c>
    </row>
    <row r="2404">
      <c r="A2404" s="232" t="inlineStr">
        <is>
          <t>CR-2401</t>
        </is>
      </c>
      <c r="B2404" s="232" t="inlineStr">
        <is>
          <t>2026/27</t>
        </is>
      </c>
      <c r="C2404" s="233" t="n">
        <v>46084</v>
      </c>
      <c r="D2404" s="232" t="inlineStr">
        <is>
          <t>634</t>
        </is>
      </c>
      <c r="E2404" s="232" t="inlineStr">
        <is>
          <t>PRORRATEO</t>
        </is>
      </c>
      <c r="F2404" s="232" t="inlineStr">
        <is>
          <t>Santa Catalina</t>
        </is>
      </c>
      <c r="G2404" s="232" t="inlineStr">
        <is>
          <t>Fino 49 7,7 ha</t>
        </is>
      </c>
      <c r="H2404" s="232" t="inlineStr">
        <is>
          <t>Limon</t>
        </is>
      </c>
      <c r="I2404" s="232" t="inlineStr">
        <is>
          <t>Fino 49</t>
        </is>
      </c>
      <c r="J2404" s="232" t="inlineStr">
        <is>
          <t>LABORES OPERACIONALES</t>
        </is>
      </c>
      <c r="K2404" s="232" t="inlineStr">
        <is>
          <t>LAB. PACKING</t>
        </is>
      </c>
      <c r="L2404" s="232" t="inlineStr">
        <is>
          <t>[PRORRATEO 5.2% 7.7há/148.3há] SERV.CONTRATISTA</t>
        </is>
      </c>
      <c r="M2404" s="232" t="inlineStr"/>
      <c r="N2404" s="232" t="inlineStr">
        <is>
          <t>.   .   -</t>
        </is>
      </c>
      <c r="O2404" s="232" t="inlineStr">
        <is>
          <t>MARZO</t>
        </is>
      </c>
      <c r="P2404" s="232" t="n">
        <v>9</v>
      </c>
      <c r="Q2404" s="234" t="n">
        <v>354158</v>
      </c>
      <c r="R2404" s="232" t="inlineStr"/>
      <c r="S2404" s="234" t="n">
        <v>354158</v>
      </c>
      <c r="T2404" s="232" t="inlineStr">
        <is>
          <t>CLP</t>
        </is>
      </c>
      <c r="U2404" s="232" t="inlineStr">
        <is>
          <t>Prorrateo Ha PACKING</t>
        </is>
      </c>
      <c r="V2404" s="232" t="inlineStr">
        <is>
          <t>2026-06-18</t>
        </is>
      </c>
    </row>
    <row r="2405">
      <c r="A2405" s="232" t="inlineStr">
        <is>
          <t>CR-2402</t>
        </is>
      </c>
      <c r="B2405" s="232" t="inlineStr">
        <is>
          <t>2026/27</t>
        </is>
      </c>
      <c r="C2405" s="233" t="n">
        <v>46084</v>
      </c>
      <c r="D2405" s="232" t="inlineStr">
        <is>
          <t>634</t>
        </is>
      </c>
      <c r="E2405" s="232" t="inlineStr">
        <is>
          <t>PRORRATEO</t>
        </is>
      </c>
      <c r="F2405" s="232" t="inlineStr">
        <is>
          <t>Santa Catalina</t>
        </is>
      </c>
      <c r="G2405" s="232" t="inlineStr">
        <is>
          <t>W. murcott 21 ha</t>
        </is>
      </c>
      <c r="H2405" s="232" t="inlineStr">
        <is>
          <t>Mandarina</t>
        </is>
      </c>
      <c r="I2405" s="232" t="inlineStr">
        <is>
          <t>W. murcott</t>
        </is>
      </c>
      <c r="J2405" s="232" t="inlineStr">
        <is>
          <t>LABORES OPERACIONALES</t>
        </is>
      </c>
      <c r="K2405" s="232" t="inlineStr">
        <is>
          <t>LAB. PACKING</t>
        </is>
      </c>
      <c r="L2405" s="232" t="inlineStr">
        <is>
          <t>[PRORRATEO 14.2% 21.0há/148.3há] SERV.CONTRATISTA</t>
        </is>
      </c>
      <c r="M2405" s="232" t="inlineStr"/>
      <c r="N2405" s="232" t="inlineStr">
        <is>
          <t>.   .   -</t>
        </is>
      </c>
      <c r="O2405" s="232" t="inlineStr">
        <is>
          <t>MARZO</t>
        </is>
      </c>
      <c r="P2405" s="232" t="n">
        <v>9</v>
      </c>
      <c r="Q2405" s="234" t="n">
        <v>965885</v>
      </c>
      <c r="R2405" s="232" t="inlineStr"/>
      <c r="S2405" s="234" t="n">
        <v>965885</v>
      </c>
      <c r="T2405" s="232" t="inlineStr">
        <is>
          <t>CLP</t>
        </is>
      </c>
      <c r="U2405" s="232" t="inlineStr">
        <is>
          <t>Prorrateo Ha PACKING</t>
        </is>
      </c>
      <c r="V2405" s="232" t="inlineStr">
        <is>
          <t>2026-06-18</t>
        </is>
      </c>
    </row>
    <row r="2406">
      <c r="A2406" s="232" t="inlineStr">
        <is>
          <t>CR-2403</t>
        </is>
      </c>
      <c r="B2406" s="232" t="inlineStr">
        <is>
          <t>2026/27</t>
        </is>
      </c>
      <c r="C2406" s="233" t="n">
        <v>46084</v>
      </c>
      <c r="D2406" s="232" t="inlineStr">
        <is>
          <t>634</t>
        </is>
      </c>
      <c r="E2406" s="232" t="inlineStr">
        <is>
          <t>PRORRATEO</t>
        </is>
      </c>
      <c r="F2406" s="232" t="inlineStr">
        <is>
          <t>Santa Catalina</t>
        </is>
      </c>
      <c r="G2406" s="232" t="inlineStr">
        <is>
          <t>cambria 4,2 ha</t>
        </is>
      </c>
      <c r="H2406" s="232" t="inlineStr">
        <is>
          <t>Naranjas</t>
        </is>
      </c>
      <c r="I2406" s="232" t="inlineStr">
        <is>
          <t>Cambria</t>
        </is>
      </c>
      <c r="J2406" s="232" t="inlineStr">
        <is>
          <t>LABORES OPERACIONALES</t>
        </is>
      </c>
      <c r="K2406" s="232" t="inlineStr">
        <is>
          <t>LAB. PACKING</t>
        </is>
      </c>
      <c r="L2406" s="232" t="inlineStr">
        <is>
          <t>[PRORRATEO 2.8% 4.2há/148.3há] SERV.CONTRATISTA</t>
        </is>
      </c>
      <c r="M2406" s="232" t="inlineStr"/>
      <c r="N2406" s="232" t="inlineStr">
        <is>
          <t>.   .   -</t>
        </is>
      </c>
      <c r="O2406" s="232" t="inlineStr">
        <is>
          <t>MARZO</t>
        </is>
      </c>
      <c r="P2406" s="232" t="n">
        <v>9</v>
      </c>
      <c r="Q2406" s="234" t="n">
        <v>193177</v>
      </c>
      <c r="R2406" s="232" t="inlineStr"/>
      <c r="S2406" s="234" t="n">
        <v>193177</v>
      </c>
      <c r="T2406" s="232" t="inlineStr">
        <is>
          <t>CLP</t>
        </is>
      </c>
      <c r="U2406" s="232" t="inlineStr">
        <is>
          <t>Prorrateo Ha PACKING</t>
        </is>
      </c>
      <c r="V2406" s="232" t="inlineStr">
        <is>
          <t>2026-06-18</t>
        </is>
      </c>
    </row>
    <row r="2407">
      <c r="A2407" s="232" t="inlineStr">
        <is>
          <t>CR-2404</t>
        </is>
      </c>
      <c r="B2407" s="232" t="inlineStr">
        <is>
          <t>2026/27</t>
        </is>
      </c>
      <c r="C2407" s="233" t="n">
        <v>46084</v>
      </c>
      <c r="D2407" s="232" t="inlineStr">
        <is>
          <t>634</t>
        </is>
      </c>
      <c r="E2407" s="232" t="inlineStr">
        <is>
          <t>PRORRATEO</t>
        </is>
      </c>
      <c r="F2407" s="232" t="inlineStr">
        <is>
          <t>Santa Catalina</t>
        </is>
      </c>
      <c r="G2407" s="232" t="inlineStr">
        <is>
          <t>eureka 10,6 ha</t>
        </is>
      </c>
      <c r="H2407" s="232" t="inlineStr">
        <is>
          <t>Limon</t>
        </is>
      </c>
      <c r="I2407" s="232" t="inlineStr">
        <is>
          <t>Eureka</t>
        </is>
      </c>
      <c r="J2407" s="232" t="inlineStr">
        <is>
          <t>LABORES OPERACIONALES</t>
        </is>
      </c>
      <c r="K2407" s="232" t="inlineStr">
        <is>
          <t>LAB. PACKING</t>
        </is>
      </c>
      <c r="L2407" s="232" t="inlineStr">
        <is>
          <t>[PRORRATEO 7.1% 10.6há/148.3há] SERV.CONTRATISTA</t>
        </is>
      </c>
      <c r="M2407" s="232" t="inlineStr"/>
      <c r="N2407" s="232" t="inlineStr">
        <is>
          <t>.   .   -</t>
        </is>
      </c>
      <c r="O2407" s="232" t="inlineStr">
        <is>
          <t>MARZO</t>
        </is>
      </c>
      <c r="P2407" s="232" t="n">
        <v>9</v>
      </c>
      <c r="Q2407" s="234" t="n">
        <v>487542</v>
      </c>
      <c r="R2407" s="232" t="inlineStr"/>
      <c r="S2407" s="234" t="n">
        <v>487542</v>
      </c>
      <c r="T2407" s="232" t="inlineStr">
        <is>
          <t>CLP</t>
        </is>
      </c>
      <c r="U2407" s="232" t="inlineStr">
        <is>
          <t>Prorrateo Ha PACKING</t>
        </is>
      </c>
      <c r="V2407" s="232" t="inlineStr">
        <is>
          <t>2026-06-18</t>
        </is>
      </c>
    </row>
    <row r="2408">
      <c r="A2408" s="232" t="inlineStr">
        <is>
          <t>CR-2405</t>
        </is>
      </c>
      <c r="B2408" s="232" t="inlineStr">
        <is>
          <t>2026/27</t>
        </is>
      </c>
      <c r="C2408" s="233" t="n">
        <v>46084</v>
      </c>
      <c r="D2408" s="232" t="inlineStr">
        <is>
          <t>634</t>
        </is>
      </c>
      <c r="E2408" s="232" t="inlineStr">
        <is>
          <t>PRORRATEO</t>
        </is>
      </c>
      <c r="F2408" s="232" t="inlineStr">
        <is>
          <t>Santa Catalina</t>
        </is>
      </c>
      <c r="G2408" s="232" t="inlineStr">
        <is>
          <t>eureka 14,4 ha</t>
        </is>
      </c>
      <c r="H2408" s="232" t="inlineStr">
        <is>
          <t>Limon</t>
        </is>
      </c>
      <c r="I2408" s="232" t="inlineStr">
        <is>
          <t>Eureka</t>
        </is>
      </c>
      <c r="J2408" s="232" t="inlineStr">
        <is>
          <t>LABORES OPERACIONALES</t>
        </is>
      </c>
      <c r="K2408" s="232" t="inlineStr">
        <is>
          <t>LAB. PACKING</t>
        </is>
      </c>
      <c r="L2408" s="232" t="inlineStr">
        <is>
          <t>[PRORRATEO 9.7% 14.4há/148.3há] SERV.CONTRATISTA</t>
        </is>
      </c>
      <c r="M2408" s="232" t="inlineStr"/>
      <c r="N2408" s="232" t="inlineStr">
        <is>
          <t>.   .   -</t>
        </is>
      </c>
      <c r="O2408" s="232" t="inlineStr">
        <is>
          <t>MARZO</t>
        </is>
      </c>
      <c r="P2408" s="232" t="n">
        <v>9</v>
      </c>
      <c r="Q2408" s="234" t="n">
        <v>662321</v>
      </c>
      <c r="R2408" s="232" t="inlineStr"/>
      <c r="S2408" s="234" t="n">
        <v>662321</v>
      </c>
      <c r="T2408" s="232" t="inlineStr">
        <is>
          <t>CLP</t>
        </is>
      </c>
      <c r="U2408" s="232" t="inlineStr">
        <is>
          <t>Prorrateo Ha PACKING</t>
        </is>
      </c>
      <c r="V2408" s="232" t="inlineStr">
        <is>
          <t>2026-06-18</t>
        </is>
      </c>
    </row>
    <row r="2409">
      <c r="A2409" s="232" t="inlineStr">
        <is>
          <t>CR-2406</t>
        </is>
      </c>
      <c r="B2409" s="232" t="inlineStr">
        <is>
          <t>2026/27</t>
        </is>
      </c>
      <c r="C2409" s="233" t="n">
        <v>46084</v>
      </c>
      <c r="D2409" s="232" t="inlineStr">
        <is>
          <t>634</t>
        </is>
      </c>
      <c r="E2409" s="232" t="inlineStr">
        <is>
          <t>PRORRATEO</t>
        </is>
      </c>
      <c r="F2409" s="232" t="inlineStr">
        <is>
          <t>Santa Catalina</t>
        </is>
      </c>
      <c r="G2409" s="232" t="inlineStr">
        <is>
          <t>eureka 22,55</t>
        </is>
      </c>
      <c r="H2409" s="232" t="inlineStr">
        <is>
          <t>Limon</t>
        </is>
      </c>
      <c r="I2409" s="232" t="inlineStr">
        <is>
          <t>Eureka</t>
        </is>
      </c>
      <c r="J2409" s="232" t="inlineStr">
        <is>
          <t>LABORES OPERACIONALES</t>
        </is>
      </c>
      <c r="K2409" s="232" t="inlineStr">
        <is>
          <t>LAB. PACKING</t>
        </is>
      </c>
      <c r="L2409" s="232" t="inlineStr">
        <is>
          <t>[PRORRATEO 15.2% 22.55há/148.3há] SERV.CONTRATISTA</t>
        </is>
      </c>
      <c r="M2409" s="232" t="inlineStr"/>
      <c r="N2409" s="232" t="inlineStr">
        <is>
          <t>.   .   -</t>
        </is>
      </c>
      <c r="O2409" s="232" t="inlineStr">
        <is>
          <t>MARZO</t>
        </is>
      </c>
      <c r="P2409" s="232" t="n">
        <v>9</v>
      </c>
      <c r="Q2409" s="234" t="n">
        <v>1037177</v>
      </c>
      <c r="R2409" s="232" t="inlineStr"/>
      <c r="S2409" s="234" t="n">
        <v>1037177</v>
      </c>
      <c r="T2409" s="232" t="inlineStr">
        <is>
          <t>CLP</t>
        </is>
      </c>
      <c r="U2409" s="232" t="inlineStr">
        <is>
          <t>Prorrateo Ha PACKING</t>
        </is>
      </c>
      <c r="V2409" s="232" t="inlineStr">
        <is>
          <t>2026-06-18</t>
        </is>
      </c>
    </row>
    <row r="2410">
      <c r="A2410" s="232" t="inlineStr">
        <is>
          <t>CR-2407</t>
        </is>
      </c>
      <c r="B2410" s="232" t="inlineStr">
        <is>
          <t>2026/27</t>
        </is>
      </c>
      <c r="C2410" s="233" t="n">
        <v>46084</v>
      </c>
      <c r="D2410" s="232" t="inlineStr">
        <is>
          <t>634</t>
        </is>
      </c>
      <c r="E2410" s="232" t="inlineStr">
        <is>
          <t>PRORRATEO</t>
        </is>
      </c>
      <c r="F2410" s="232" t="inlineStr">
        <is>
          <t>Santa Catalina</t>
        </is>
      </c>
      <c r="G2410" s="232" t="inlineStr">
        <is>
          <t>form benjamin 1,93 ha</t>
        </is>
      </c>
      <c r="H2410" s="232" t="inlineStr">
        <is>
          <t>Limon</t>
        </is>
      </c>
      <c r="I2410" s="232" t="inlineStr">
        <is>
          <t>Benjamin andes</t>
        </is>
      </c>
      <c r="J2410" s="232" t="inlineStr">
        <is>
          <t>LABORES OPERACIONALES</t>
        </is>
      </c>
      <c r="K2410" s="232" t="inlineStr">
        <is>
          <t>LAB. PACKING</t>
        </is>
      </c>
      <c r="L2410" s="232" t="inlineStr">
        <is>
          <t>[PRORRATEO 1.3% 1.93há/148.3há] SERV.CONTRATISTA</t>
        </is>
      </c>
      <c r="M2410" s="232" t="inlineStr"/>
      <c r="N2410" s="232" t="inlineStr">
        <is>
          <t>.   .   -</t>
        </is>
      </c>
      <c r="O2410" s="232" t="inlineStr">
        <is>
          <t>MARZO</t>
        </is>
      </c>
      <c r="P2410" s="232" t="n">
        <v>9</v>
      </c>
      <c r="Q2410" s="234" t="n">
        <v>88769</v>
      </c>
      <c r="R2410" s="232" t="inlineStr"/>
      <c r="S2410" s="234" t="n">
        <v>88769</v>
      </c>
      <c r="T2410" s="232" t="inlineStr">
        <is>
          <t>CLP</t>
        </is>
      </c>
      <c r="U2410" s="232" t="inlineStr">
        <is>
          <t>Prorrateo Ha PACKING</t>
        </is>
      </c>
      <c r="V2410" s="232" t="inlineStr">
        <is>
          <t>2026-06-18</t>
        </is>
      </c>
    </row>
    <row r="2411">
      <c r="A2411" s="232" t="inlineStr">
        <is>
          <t>CR-2408</t>
        </is>
      </c>
      <c r="B2411" s="232" t="inlineStr">
        <is>
          <t>2026/27</t>
        </is>
      </c>
      <c r="C2411" s="233" t="n">
        <v>46084</v>
      </c>
      <c r="D2411" s="232" t="inlineStr">
        <is>
          <t>634</t>
        </is>
      </c>
      <c r="E2411" s="232" t="inlineStr">
        <is>
          <t>PRORRATEO</t>
        </is>
      </c>
      <c r="F2411" s="232" t="inlineStr">
        <is>
          <t>Santa Catalina</t>
        </is>
      </c>
      <c r="G2411" s="232" t="inlineStr">
        <is>
          <t>mant eureka 2,5 ha</t>
        </is>
      </c>
      <c r="H2411" s="232" t="inlineStr">
        <is>
          <t>Limon</t>
        </is>
      </c>
      <c r="I2411" s="232" t="inlineStr">
        <is>
          <t>Eureka</t>
        </is>
      </c>
      <c r="J2411" s="232" t="inlineStr">
        <is>
          <t>LABORES OPERACIONALES</t>
        </is>
      </c>
      <c r="K2411" s="232" t="inlineStr">
        <is>
          <t>LAB. PACKING</t>
        </is>
      </c>
      <c r="L2411" s="232" t="inlineStr">
        <is>
          <t>[PRORRATEO 1.7% 2.5há/148.3há] SERV.CONTRATISTA</t>
        </is>
      </c>
      <c r="M2411" s="232" t="inlineStr"/>
      <c r="N2411" s="232" t="inlineStr">
        <is>
          <t>.   .   -</t>
        </is>
      </c>
      <c r="O2411" s="232" t="inlineStr">
        <is>
          <t>MARZO</t>
        </is>
      </c>
      <c r="P2411" s="232" t="n">
        <v>9</v>
      </c>
      <c r="Q2411" s="234" t="n">
        <v>114986</v>
      </c>
      <c r="R2411" s="232" t="inlineStr"/>
      <c r="S2411" s="234" t="n">
        <v>114986</v>
      </c>
      <c r="T2411" s="232" t="inlineStr">
        <is>
          <t>CLP</t>
        </is>
      </c>
      <c r="U2411" s="232" t="inlineStr">
        <is>
          <t>Prorrateo Ha PACKING</t>
        </is>
      </c>
      <c r="V2411" s="232" t="inlineStr">
        <is>
          <t>2026-06-18</t>
        </is>
      </c>
    </row>
    <row r="2412">
      <c r="A2412" s="232" t="inlineStr">
        <is>
          <t>CR-2409</t>
        </is>
      </c>
      <c r="B2412" s="232" t="inlineStr">
        <is>
          <t>2026/27</t>
        </is>
      </c>
      <c r="C2412" s="233" t="n">
        <v>46084</v>
      </c>
      <c r="D2412" s="232" t="inlineStr">
        <is>
          <t>634</t>
        </is>
      </c>
      <c r="E2412" s="232" t="inlineStr">
        <is>
          <t>PRORRATEO</t>
        </is>
      </c>
      <c r="F2412" s="232" t="inlineStr">
        <is>
          <t>Siberia</t>
        </is>
      </c>
      <c r="G2412" s="232" t="inlineStr">
        <is>
          <t>S. Celebration 7,14</t>
        </is>
      </c>
      <c r="H2412" s="232" t="inlineStr">
        <is>
          <t>Uvas</t>
        </is>
      </c>
      <c r="I2412" s="232" t="inlineStr">
        <is>
          <t>S. celebration</t>
        </is>
      </c>
      <c r="J2412" s="232" t="inlineStr">
        <is>
          <t>LABORES OPERACIONALES</t>
        </is>
      </c>
      <c r="K2412" s="232" t="inlineStr">
        <is>
          <t>LAB. PACKING</t>
        </is>
      </c>
      <c r="L2412" s="232" t="inlineStr">
        <is>
          <t>[PRORRATEO 4.8% 7.14há/148.3há] SERV.CONTRATISTA</t>
        </is>
      </c>
      <c r="M2412" s="232" t="inlineStr"/>
      <c r="N2412" s="232" t="inlineStr">
        <is>
          <t>.   .   -</t>
        </is>
      </c>
      <c r="O2412" s="232" t="inlineStr">
        <is>
          <t>MARZO</t>
        </is>
      </c>
      <c r="P2412" s="232" t="n">
        <v>9</v>
      </c>
      <c r="Q2412" s="234" t="n">
        <v>328401</v>
      </c>
      <c r="R2412" s="232" t="inlineStr"/>
      <c r="S2412" s="234" t="n">
        <v>328401</v>
      </c>
      <c r="T2412" s="232" t="inlineStr">
        <is>
          <t>CLP</t>
        </is>
      </c>
      <c r="U2412" s="232" t="inlineStr">
        <is>
          <t>Prorrateo Ha PACKING</t>
        </is>
      </c>
      <c r="V2412" s="232" t="inlineStr">
        <is>
          <t>2026-06-18</t>
        </is>
      </c>
    </row>
    <row r="2413">
      <c r="A2413" s="232" t="inlineStr">
        <is>
          <t>CR-2410</t>
        </is>
      </c>
      <c r="B2413" s="232" t="inlineStr">
        <is>
          <t>2026/27</t>
        </is>
      </c>
      <c r="C2413" s="233" t="n">
        <v>46084</v>
      </c>
      <c r="D2413" s="232" t="inlineStr">
        <is>
          <t>634</t>
        </is>
      </c>
      <c r="E2413" s="232" t="inlineStr">
        <is>
          <t>PRORRATEO</t>
        </is>
      </c>
      <c r="F2413" s="232" t="inlineStr">
        <is>
          <t>Siberia</t>
        </is>
      </c>
      <c r="G2413" s="232" t="inlineStr">
        <is>
          <t>Timpson 7,1</t>
        </is>
      </c>
      <c r="H2413" s="232" t="inlineStr">
        <is>
          <t>Uvas</t>
        </is>
      </c>
      <c r="I2413" s="232" t="inlineStr">
        <is>
          <t>Timpson</t>
        </is>
      </c>
      <c r="J2413" s="232" t="inlineStr">
        <is>
          <t>LABORES OPERACIONALES</t>
        </is>
      </c>
      <c r="K2413" s="232" t="inlineStr">
        <is>
          <t>LAB. PACKING</t>
        </is>
      </c>
      <c r="L2413" s="232" t="inlineStr">
        <is>
          <t>[PRORRATEO 4.8% 7.1há/148.3há] SERV.CONTRATISTA</t>
        </is>
      </c>
      <c r="M2413" s="232" t="inlineStr"/>
      <c r="N2413" s="232" t="inlineStr">
        <is>
          <t>.   .   -</t>
        </is>
      </c>
      <c r="O2413" s="232" t="inlineStr">
        <is>
          <t>MARZO</t>
        </is>
      </c>
      <c r="P2413" s="232" t="n">
        <v>9</v>
      </c>
      <c r="Q2413" s="234" t="n">
        <v>326561</v>
      </c>
      <c r="R2413" s="232" t="inlineStr"/>
      <c r="S2413" s="234" t="n">
        <v>326561</v>
      </c>
      <c r="T2413" s="232" t="inlineStr">
        <is>
          <t>CLP</t>
        </is>
      </c>
      <c r="U2413" s="232" t="inlineStr">
        <is>
          <t>Prorrateo Ha PACKING</t>
        </is>
      </c>
      <c r="V2413" s="232" t="inlineStr">
        <is>
          <t>2026-06-18</t>
        </is>
      </c>
    </row>
    <row r="2414">
      <c r="A2414" s="232" t="inlineStr">
        <is>
          <t>CR-2411</t>
        </is>
      </c>
      <c r="B2414" s="232" t="inlineStr">
        <is>
          <t>2026/27</t>
        </is>
      </c>
      <c r="C2414" s="233" t="n">
        <v>46085</v>
      </c>
      <c r="D2414" s="232" t="inlineStr">
        <is>
          <t>32</t>
        </is>
      </c>
      <c r="E2414" s="232" t="inlineStr">
        <is>
          <t>PRORRATEO</t>
        </is>
      </c>
      <c r="F2414" s="232" t="inlineStr">
        <is>
          <t>Asmara</t>
        </is>
      </c>
      <c r="G2414" s="232" t="inlineStr">
        <is>
          <t>w. murcott 19,8 ha</t>
        </is>
      </c>
      <c r="H2414" s="232" t="inlineStr">
        <is>
          <t>Mandarina</t>
        </is>
      </c>
      <c r="I2414" s="232" t="inlineStr">
        <is>
          <t>W. murcott</t>
        </is>
      </c>
      <c r="J2414" s="232" t="inlineStr">
        <is>
          <t>LABORES OPERACIONALES</t>
        </is>
      </c>
      <c r="K2414" s="232" t="inlineStr">
        <is>
          <t>OTROS SERVICIOS</t>
        </is>
      </c>
      <c r="L2414" s="232" t="inlineStr">
        <is>
          <t>[PRORRATEO 13.4% 19.8há/148.3há] SERV.CONTRATISTA</t>
        </is>
      </c>
      <c r="M2414" s="232" t="inlineStr"/>
      <c r="N2414" s="232" t="inlineStr">
        <is>
          <t>.   .   -</t>
        </is>
      </c>
      <c r="O2414" s="232" t="inlineStr">
        <is>
          <t>MARZO</t>
        </is>
      </c>
      <c r="P2414" s="232" t="n">
        <v>9</v>
      </c>
      <c r="Q2414" s="234" t="n">
        <v>90680</v>
      </c>
      <c r="R2414" s="232" t="inlineStr"/>
      <c r="S2414" s="234" t="n">
        <v>90680</v>
      </c>
      <c r="T2414" s="232" t="inlineStr">
        <is>
          <t>CLP</t>
        </is>
      </c>
      <c r="U2414" s="232" t="inlineStr">
        <is>
          <t>Prorrateo Ha PACKING</t>
        </is>
      </c>
      <c r="V2414" s="232" t="inlineStr">
        <is>
          <t>2026-06-18</t>
        </is>
      </c>
    </row>
    <row r="2415">
      <c r="A2415" s="232" t="inlineStr">
        <is>
          <t>CR-2412</t>
        </is>
      </c>
      <c r="B2415" s="232" t="inlineStr">
        <is>
          <t>2026/27</t>
        </is>
      </c>
      <c r="C2415" s="233" t="n">
        <v>46085</v>
      </c>
      <c r="D2415" s="232" t="inlineStr">
        <is>
          <t>32</t>
        </is>
      </c>
      <c r="E2415" s="232" t="inlineStr">
        <is>
          <t>PRORRATEO</t>
        </is>
      </c>
      <c r="F2415" s="232" t="inlineStr">
        <is>
          <t>Asmara</t>
        </is>
      </c>
      <c r="G2415" s="232" t="inlineStr">
        <is>
          <t>w. murcott 4,9 ha</t>
        </is>
      </c>
      <c r="H2415" s="232" t="inlineStr">
        <is>
          <t>Mandarina</t>
        </is>
      </c>
      <c r="I2415" s="232" t="inlineStr">
        <is>
          <t>W. murcott</t>
        </is>
      </c>
      <c r="J2415" s="232" t="inlineStr">
        <is>
          <t>LABORES OPERACIONALES</t>
        </is>
      </c>
      <c r="K2415" s="232" t="inlineStr">
        <is>
          <t>OTROS SERVICIOS</t>
        </is>
      </c>
      <c r="L2415" s="232" t="inlineStr">
        <is>
          <t>[PRORRATEO 3.3% 4.9há/148.3há] SERV.CONTRATISTA</t>
        </is>
      </c>
      <c r="M2415" s="232" t="inlineStr"/>
      <c r="N2415" s="232" t="inlineStr">
        <is>
          <t>.   .   -</t>
        </is>
      </c>
      <c r="O2415" s="232" t="inlineStr">
        <is>
          <t>MARZO</t>
        </is>
      </c>
      <c r="P2415" s="232" t="n">
        <v>9</v>
      </c>
      <c r="Q2415" s="234" t="n">
        <v>22441</v>
      </c>
      <c r="R2415" s="232" t="inlineStr"/>
      <c r="S2415" s="234" t="n">
        <v>22441</v>
      </c>
      <c r="T2415" s="232" t="inlineStr">
        <is>
          <t>CLP</t>
        </is>
      </c>
      <c r="U2415" s="232" t="inlineStr">
        <is>
          <t>Prorrateo Ha PACKING</t>
        </is>
      </c>
      <c r="V2415" s="232" t="inlineStr">
        <is>
          <t>2026-06-18</t>
        </is>
      </c>
    </row>
    <row r="2416">
      <c r="A2416" s="232" t="inlineStr">
        <is>
          <t>CR-2413</t>
        </is>
      </c>
      <c r="B2416" s="232" t="inlineStr">
        <is>
          <t>2026/27</t>
        </is>
      </c>
      <c r="C2416" s="233" t="n">
        <v>46085</v>
      </c>
      <c r="D2416" s="232" t="inlineStr">
        <is>
          <t>32</t>
        </is>
      </c>
      <c r="E2416" s="232" t="inlineStr">
        <is>
          <t>PRORRATEO</t>
        </is>
      </c>
      <c r="F2416" s="232" t="inlineStr">
        <is>
          <t>El Molle</t>
        </is>
      </c>
      <c r="G2416" s="232" t="inlineStr">
        <is>
          <t>Wonderful 5,25 ha</t>
        </is>
      </c>
      <c r="H2416" s="232" t="inlineStr">
        <is>
          <t>Granados</t>
        </is>
      </c>
      <c r="I2416" s="232" t="inlineStr">
        <is>
          <t>Wonderfull</t>
        </is>
      </c>
      <c r="J2416" s="232" t="inlineStr">
        <is>
          <t>LABORES OPERACIONALES</t>
        </is>
      </c>
      <c r="K2416" s="232" t="inlineStr">
        <is>
          <t>OTROS SERVICIOS</t>
        </is>
      </c>
      <c r="L2416" s="232" t="inlineStr">
        <is>
          <t>[PRORRATEO 3.5% 5.24há/148.3há] SERV.CONTRATISTA</t>
        </is>
      </c>
      <c r="M2416" s="232" t="inlineStr"/>
      <c r="N2416" s="232" t="inlineStr">
        <is>
          <t>.   .   -</t>
        </is>
      </c>
      <c r="O2416" s="232" t="inlineStr">
        <is>
          <t>MARZO</t>
        </is>
      </c>
      <c r="P2416" s="232" t="n">
        <v>9</v>
      </c>
      <c r="Q2416" s="234" t="n">
        <v>23998</v>
      </c>
      <c r="R2416" s="232" t="inlineStr"/>
      <c r="S2416" s="234" t="n">
        <v>23998</v>
      </c>
      <c r="T2416" s="232" t="inlineStr">
        <is>
          <t>CLP</t>
        </is>
      </c>
      <c r="U2416" s="232" t="inlineStr">
        <is>
          <t>Prorrateo Ha PACKING</t>
        </is>
      </c>
      <c r="V2416" s="232" t="inlineStr">
        <is>
          <t>2026-06-18</t>
        </is>
      </c>
    </row>
    <row r="2417">
      <c r="A2417" s="232" t="inlineStr">
        <is>
          <t>CR-2414</t>
        </is>
      </c>
      <c r="B2417" s="232" t="inlineStr">
        <is>
          <t>2026/27</t>
        </is>
      </c>
      <c r="C2417" s="233" t="n">
        <v>46085</v>
      </c>
      <c r="D2417" s="232" t="inlineStr">
        <is>
          <t>32</t>
        </is>
      </c>
      <c r="E2417" s="232" t="inlineStr">
        <is>
          <t>PRORRATEO</t>
        </is>
      </c>
      <c r="F2417" s="232" t="inlineStr">
        <is>
          <t>El Molle</t>
        </is>
      </c>
      <c r="G2417" s="232" t="inlineStr">
        <is>
          <t>arrufatinas 5,74 ha</t>
        </is>
      </c>
      <c r="H2417" s="232" t="inlineStr">
        <is>
          <t>Clementinas</t>
        </is>
      </c>
      <c r="I2417" s="232" t="inlineStr">
        <is>
          <t>Arrufatinas</t>
        </is>
      </c>
      <c r="J2417" s="232" t="inlineStr">
        <is>
          <t>LABORES OPERACIONALES</t>
        </is>
      </c>
      <c r="K2417" s="232" t="inlineStr">
        <is>
          <t>OTROS SERVICIOS</t>
        </is>
      </c>
      <c r="L2417" s="232" t="inlineStr">
        <is>
          <t>[PRORRATEO 3.9% 5.74há/148.3há] SERV.CONTRATISTA</t>
        </is>
      </c>
      <c r="M2417" s="232" t="inlineStr"/>
      <c r="N2417" s="232" t="inlineStr">
        <is>
          <t>.   .   -</t>
        </is>
      </c>
      <c r="O2417" s="232" t="inlineStr">
        <is>
          <t>MARZO</t>
        </is>
      </c>
      <c r="P2417" s="232" t="n">
        <v>9</v>
      </c>
      <c r="Q2417" s="234" t="n">
        <v>26288</v>
      </c>
      <c r="R2417" s="232" t="inlineStr"/>
      <c r="S2417" s="234" t="n">
        <v>26288</v>
      </c>
      <c r="T2417" s="232" t="inlineStr">
        <is>
          <t>CLP</t>
        </is>
      </c>
      <c r="U2417" s="232" t="inlineStr">
        <is>
          <t>Prorrateo Ha PACKING</t>
        </is>
      </c>
      <c r="V2417" s="232" t="inlineStr">
        <is>
          <t>2026-06-18</t>
        </is>
      </c>
    </row>
    <row r="2418">
      <c r="A2418" s="232" t="inlineStr">
        <is>
          <t>CR-2415</t>
        </is>
      </c>
      <c r="B2418" s="232" t="inlineStr">
        <is>
          <t>2026/27</t>
        </is>
      </c>
      <c r="C2418" s="233" t="n">
        <v>46085</v>
      </c>
      <c r="D2418" s="232" t="inlineStr">
        <is>
          <t>32</t>
        </is>
      </c>
      <c r="E2418" s="232" t="inlineStr">
        <is>
          <t>PRORRATEO</t>
        </is>
      </c>
      <c r="F2418" s="232" t="inlineStr">
        <is>
          <t>El Molle</t>
        </is>
      </c>
      <c r="G2418" s="232" t="inlineStr">
        <is>
          <t>orogrande 8,11 ha</t>
        </is>
      </c>
      <c r="H2418" s="232" t="inlineStr">
        <is>
          <t>Clementinas</t>
        </is>
      </c>
      <c r="I2418" s="232" t="inlineStr">
        <is>
          <t>Orogrande</t>
        </is>
      </c>
      <c r="J2418" s="232" t="inlineStr">
        <is>
          <t>LABORES OPERACIONALES</t>
        </is>
      </c>
      <c r="K2418" s="232" t="inlineStr">
        <is>
          <t>OTROS SERVICIOS</t>
        </is>
      </c>
      <c r="L2418" s="232" t="inlineStr">
        <is>
          <t>[PRORRATEO 5.5% 8.11há/148.3há] SERV.CONTRATISTA</t>
        </is>
      </c>
      <c r="M2418" s="232" t="inlineStr"/>
      <c r="N2418" s="232" t="inlineStr">
        <is>
          <t>.   .   -</t>
        </is>
      </c>
      <c r="O2418" s="232" t="inlineStr">
        <is>
          <t>MARZO</t>
        </is>
      </c>
      <c r="P2418" s="232" t="n">
        <v>9</v>
      </c>
      <c r="Q2418" s="234" t="n">
        <v>37142</v>
      </c>
      <c r="R2418" s="232" t="inlineStr"/>
      <c r="S2418" s="234" t="n">
        <v>37142</v>
      </c>
      <c r="T2418" s="232" t="inlineStr">
        <is>
          <t>CLP</t>
        </is>
      </c>
      <c r="U2418" s="232" t="inlineStr">
        <is>
          <t>Prorrateo Ha PACKING</t>
        </is>
      </c>
      <c r="V2418" s="232" t="inlineStr">
        <is>
          <t>2026-06-18</t>
        </is>
      </c>
    </row>
    <row r="2419">
      <c r="A2419" s="232" t="inlineStr">
        <is>
          <t>CR-2416</t>
        </is>
      </c>
      <c r="B2419" s="232" t="inlineStr">
        <is>
          <t>2026/27</t>
        </is>
      </c>
      <c r="C2419" s="233" t="n">
        <v>46085</v>
      </c>
      <c r="D2419" s="232" t="inlineStr">
        <is>
          <t>32</t>
        </is>
      </c>
      <c r="E2419" s="232" t="inlineStr">
        <is>
          <t>PRORRATEO</t>
        </is>
      </c>
      <c r="F2419" s="232" t="inlineStr">
        <is>
          <t>El Molle</t>
        </is>
      </c>
      <c r="G2419" s="232" t="inlineStr">
        <is>
          <t>oronules 5,35 ha</t>
        </is>
      </c>
      <c r="H2419" s="232" t="inlineStr">
        <is>
          <t>Clementinas</t>
        </is>
      </c>
      <c r="I2419" s="232" t="inlineStr">
        <is>
          <t>Oronules</t>
        </is>
      </c>
      <c r="J2419" s="232" t="inlineStr">
        <is>
          <t>LABORES OPERACIONALES</t>
        </is>
      </c>
      <c r="K2419" s="232" t="inlineStr">
        <is>
          <t>OTROS SERVICIOS</t>
        </is>
      </c>
      <c r="L2419" s="232" t="inlineStr">
        <is>
          <t>[PRORRATEO 3.6% 5.35há/148.3há] SERV.CONTRATISTA</t>
        </is>
      </c>
      <c r="M2419" s="232" t="inlineStr"/>
      <c r="N2419" s="232" t="inlineStr">
        <is>
          <t>.   .   -</t>
        </is>
      </c>
      <c r="O2419" s="232" t="inlineStr">
        <is>
          <t>MARZO</t>
        </is>
      </c>
      <c r="P2419" s="232" t="n">
        <v>9</v>
      </c>
      <c r="Q2419" s="234" t="n">
        <v>24502</v>
      </c>
      <c r="R2419" s="232" t="inlineStr"/>
      <c r="S2419" s="234" t="n">
        <v>24502</v>
      </c>
      <c r="T2419" s="232" t="inlineStr">
        <is>
          <t>CLP</t>
        </is>
      </c>
      <c r="U2419" s="232" t="inlineStr">
        <is>
          <t>Prorrateo Ha PACKING</t>
        </is>
      </c>
      <c r="V2419" s="232" t="inlineStr">
        <is>
          <t>2026-06-18</t>
        </is>
      </c>
    </row>
    <row r="2420">
      <c r="A2420" s="232" t="inlineStr">
        <is>
          <t>CR-2417</t>
        </is>
      </c>
      <c r="B2420" s="232" t="inlineStr">
        <is>
          <t>2026/27</t>
        </is>
      </c>
      <c r="C2420" s="233" t="n">
        <v>46085</v>
      </c>
      <c r="D2420" s="232" t="inlineStr">
        <is>
          <t>32</t>
        </is>
      </c>
      <c r="E2420" s="232" t="inlineStr">
        <is>
          <t>PRORRATEO</t>
        </is>
      </c>
      <c r="F2420" s="232" t="inlineStr">
        <is>
          <t>Santa Catalina</t>
        </is>
      </c>
      <c r="G2420" s="232" t="inlineStr">
        <is>
          <t>Fino 49 7,7 ha</t>
        </is>
      </c>
      <c r="H2420" s="232" t="inlineStr">
        <is>
          <t>Limon</t>
        </is>
      </c>
      <c r="I2420" s="232" t="inlineStr">
        <is>
          <t>Fino 49</t>
        </is>
      </c>
      <c r="J2420" s="232" t="inlineStr">
        <is>
          <t>LABORES OPERACIONALES</t>
        </is>
      </c>
      <c r="K2420" s="232" t="inlineStr">
        <is>
          <t>OTROS SERVICIOS</t>
        </is>
      </c>
      <c r="L2420" s="232" t="inlineStr">
        <is>
          <t>[PRORRATEO 5.2% 7.7há/148.3há] SERV.CONTRATISTA</t>
        </is>
      </c>
      <c r="M2420" s="232" t="inlineStr"/>
      <c r="N2420" s="232" t="inlineStr">
        <is>
          <t>.   .   -</t>
        </is>
      </c>
      <c r="O2420" s="232" t="inlineStr">
        <is>
          <t>MARZO</t>
        </is>
      </c>
      <c r="P2420" s="232" t="n">
        <v>9</v>
      </c>
      <c r="Q2420" s="234" t="n">
        <v>35264</v>
      </c>
      <c r="R2420" s="232" t="inlineStr"/>
      <c r="S2420" s="234" t="n">
        <v>35264</v>
      </c>
      <c r="T2420" s="232" t="inlineStr">
        <is>
          <t>CLP</t>
        </is>
      </c>
      <c r="U2420" s="232" t="inlineStr">
        <is>
          <t>Prorrateo Ha PACKING</t>
        </is>
      </c>
      <c r="V2420" s="232" t="inlineStr">
        <is>
          <t>2026-06-18</t>
        </is>
      </c>
    </row>
    <row r="2421">
      <c r="A2421" s="232" t="inlineStr">
        <is>
          <t>CR-2418</t>
        </is>
      </c>
      <c r="B2421" s="232" t="inlineStr">
        <is>
          <t>2026/27</t>
        </is>
      </c>
      <c r="C2421" s="233" t="n">
        <v>46085</v>
      </c>
      <c r="D2421" s="232" t="inlineStr">
        <is>
          <t>32</t>
        </is>
      </c>
      <c r="E2421" s="232" t="inlineStr">
        <is>
          <t>PRORRATEO</t>
        </is>
      </c>
      <c r="F2421" s="232" t="inlineStr">
        <is>
          <t>Santa Catalina</t>
        </is>
      </c>
      <c r="G2421" s="232" t="inlineStr">
        <is>
          <t>W. murcott 21 ha</t>
        </is>
      </c>
      <c r="H2421" s="232" t="inlineStr">
        <is>
          <t>Mandarina</t>
        </is>
      </c>
      <c r="I2421" s="232" t="inlineStr">
        <is>
          <t>W. murcott</t>
        </is>
      </c>
      <c r="J2421" s="232" t="inlineStr">
        <is>
          <t>LABORES OPERACIONALES</t>
        </is>
      </c>
      <c r="K2421" s="232" t="inlineStr">
        <is>
          <t>OTROS SERVICIOS</t>
        </is>
      </c>
      <c r="L2421" s="232" t="inlineStr">
        <is>
          <t>[PRORRATEO 14.2% 21.0há/148.3há] SERV.CONTRATISTA</t>
        </is>
      </c>
      <c r="M2421" s="232" t="inlineStr"/>
      <c r="N2421" s="232" t="inlineStr">
        <is>
          <t>.   .   -</t>
        </is>
      </c>
      <c r="O2421" s="232" t="inlineStr">
        <is>
          <t>MARZO</t>
        </is>
      </c>
      <c r="P2421" s="232" t="n">
        <v>9</v>
      </c>
      <c r="Q2421" s="234" t="n">
        <v>96176</v>
      </c>
      <c r="R2421" s="232" t="inlineStr"/>
      <c r="S2421" s="234" t="n">
        <v>96176</v>
      </c>
      <c r="T2421" s="232" t="inlineStr">
        <is>
          <t>CLP</t>
        </is>
      </c>
      <c r="U2421" s="232" t="inlineStr">
        <is>
          <t>Prorrateo Ha PACKING</t>
        </is>
      </c>
      <c r="V2421" s="232" t="inlineStr">
        <is>
          <t>2026-06-18</t>
        </is>
      </c>
    </row>
    <row r="2422">
      <c r="A2422" s="232" t="inlineStr">
        <is>
          <t>CR-2419</t>
        </is>
      </c>
      <c r="B2422" s="232" t="inlineStr">
        <is>
          <t>2026/27</t>
        </is>
      </c>
      <c r="C2422" s="233" t="n">
        <v>46085</v>
      </c>
      <c r="D2422" s="232" t="inlineStr">
        <is>
          <t>32</t>
        </is>
      </c>
      <c r="E2422" s="232" t="inlineStr">
        <is>
          <t>PRORRATEO</t>
        </is>
      </c>
      <c r="F2422" s="232" t="inlineStr">
        <is>
          <t>Santa Catalina</t>
        </is>
      </c>
      <c r="G2422" s="232" t="inlineStr">
        <is>
          <t>cambria 4,2 ha</t>
        </is>
      </c>
      <c r="H2422" s="232" t="inlineStr">
        <is>
          <t>Naranjas</t>
        </is>
      </c>
      <c r="I2422" s="232" t="inlineStr">
        <is>
          <t>Cambria</t>
        </is>
      </c>
      <c r="J2422" s="232" t="inlineStr">
        <is>
          <t>LABORES OPERACIONALES</t>
        </is>
      </c>
      <c r="K2422" s="232" t="inlineStr">
        <is>
          <t>OTROS SERVICIOS</t>
        </is>
      </c>
      <c r="L2422" s="232" t="inlineStr">
        <is>
          <t>[PRORRATEO 2.8% 4.2há/148.3há] SERV.CONTRATISTA</t>
        </is>
      </c>
      <c r="M2422" s="232" t="inlineStr"/>
      <c r="N2422" s="232" t="inlineStr">
        <is>
          <t>.   .   -</t>
        </is>
      </c>
      <c r="O2422" s="232" t="inlineStr">
        <is>
          <t>MARZO</t>
        </is>
      </c>
      <c r="P2422" s="232" t="n">
        <v>9</v>
      </c>
      <c r="Q2422" s="234" t="n">
        <v>19235</v>
      </c>
      <c r="R2422" s="232" t="inlineStr"/>
      <c r="S2422" s="234" t="n">
        <v>19235</v>
      </c>
      <c r="T2422" s="232" t="inlineStr">
        <is>
          <t>CLP</t>
        </is>
      </c>
      <c r="U2422" s="232" t="inlineStr">
        <is>
          <t>Prorrateo Ha PACKING</t>
        </is>
      </c>
      <c r="V2422" s="232" t="inlineStr">
        <is>
          <t>2026-06-18</t>
        </is>
      </c>
    </row>
    <row r="2423">
      <c r="A2423" s="232" t="inlineStr">
        <is>
          <t>CR-2420</t>
        </is>
      </c>
      <c r="B2423" s="232" t="inlineStr">
        <is>
          <t>2026/27</t>
        </is>
      </c>
      <c r="C2423" s="233" t="n">
        <v>46085</v>
      </c>
      <c r="D2423" s="232" t="inlineStr">
        <is>
          <t>32</t>
        </is>
      </c>
      <c r="E2423" s="232" t="inlineStr">
        <is>
          <t>PRORRATEO</t>
        </is>
      </c>
      <c r="F2423" s="232" t="inlineStr">
        <is>
          <t>Santa Catalina</t>
        </is>
      </c>
      <c r="G2423" s="232" t="inlineStr">
        <is>
          <t>eureka 10,6 ha</t>
        </is>
      </c>
      <c r="H2423" s="232" t="inlineStr">
        <is>
          <t>Limon</t>
        </is>
      </c>
      <c r="I2423" s="232" t="inlineStr">
        <is>
          <t>Eureka</t>
        </is>
      </c>
      <c r="J2423" s="232" t="inlineStr">
        <is>
          <t>LABORES OPERACIONALES</t>
        </is>
      </c>
      <c r="K2423" s="232" t="inlineStr">
        <is>
          <t>OTROS SERVICIOS</t>
        </is>
      </c>
      <c r="L2423" s="232" t="inlineStr">
        <is>
          <t>[PRORRATEO 7.1% 10.6há/148.3há] SERV.CONTRATISTA</t>
        </is>
      </c>
      <c r="M2423" s="232" t="inlineStr"/>
      <c r="N2423" s="232" t="inlineStr">
        <is>
          <t>.   .   -</t>
        </is>
      </c>
      <c r="O2423" s="232" t="inlineStr">
        <is>
          <t>MARZO</t>
        </is>
      </c>
      <c r="P2423" s="232" t="n">
        <v>9</v>
      </c>
      <c r="Q2423" s="234" t="n">
        <v>48546</v>
      </c>
      <c r="R2423" s="232" t="inlineStr"/>
      <c r="S2423" s="234" t="n">
        <v>48546</v>
      </c>
      <c r="T2423" s="232" t="inlineStr">
        <is>
          <t>CLP</t>
        </is>
      </c>
      <c r="U2423" s="232" t="inlineStr">
        <is>
          <t>Prorrateo Ha PACKING</t>
        </is>
      </c>
      <c r="V2423" s="232" t="inlineStr">
        <is>
          <t>2026-06-18</t>
        </is>
      </c>
    </row>
    <row r="2424">
      <c r="A2424" s="232" t="inlineStr">
        <is>
          <t>CR-2421</t>
        </is>
      </c>
      <c r="B2424" s="232" t="inlineStr">
        <is>
          <t>2026/27</t>
        </is>
      </c>
      <c r="C2424" s="233" t="n">
        <v>46085</v>
      </c>
      <c r="D2424" s="232" t="inlineStr">
        <is>
          <t>32</t>
        </is>
      </c>
      <c r="E2424" s="232" t="inlineStr">
        <is>
          <t>PRORRATEO</t>
        </is>
      </c>
      <c r="F2424" s="232" t="inlineStr">
        <is>
          <t>Santa Catalina</t>
        </is>
      </c>
      <c r="G2424" s="232" t="inlineStr">
        <is>
          <t>eureka 14,4 ha</t>
        </is>
      </c>
      <c r="H2424" s="232" t="inlineStr">
        <is>
          <t>Limon</t>
        </is>
      </c>
      <c r="I2424" s="232" t="inlineStr">
        <is>
          <t>Eureka</t>
        </is>
      </c>
      <c r="J2424" s="232" t="inlineStr">
        <is>
          <t>LABORES OPERACIONALES</t>
        </is>
      </c>
      <c r="K2424" s="232" t="inlineStr">
        <is>
          <t>OTROS SERVICIOS</t>
        </is>
      </c>
      <c r="L2424" s="232" t="inlineStr">
        <is>
          <t>[PRORRATEO 9.7% 14.4há/148.3há] SERV.CONTRATISTA</t>
        </is>
      </c>
      <c r="M2424" s="232" t="inlineStr"/>
      <c r="N2424" s="232" t="inlineStr">
        <is>
          <t>.   .   -</t>
        </is>
      </c>
      <c r="O2424" s="232" t="inlineStr">
        <is>
          <t>MARZO</t>
        </is>
      </c>
      <c r="P2424" s="232" t="n">
        <v>9</v>
      </c>
      <c r="Q2424" s="234" t="n">
        <v>65949</v>
      </c>
      <c r="R2424" s="232" t="inlineStr"/>
      <c r="S2424" s="234" t="n">
        <v>65949</v>
      </c>
      <c r="T2424" s="232" t="inlineStr">
        <is>
          <t>CLP</t>
        </is>
      </c>
      <c r="U2424" s="232" t="inlineStr">
        <is>
          <t>Prorrateo Ha PACKING</t>
        </is>
      </c>
      <c r="V2424" s="232" t="inlineStr">
        <is>
          <t>2026-06-18</t>
        </is>
      </c>
    </row>
    <row r="2425">
      <c r="A2425" s="232" t="inlineStr">
        <is>
          <t>CR-2422</t>
        </is>
      </c>
      <c r="B2425" s="232" t="inlineStr">
        <is>
          <t>2026/27</t>
        </is>
      </c>
      <c r="C2425" s="233" t="n">
        <v>46085</v>
      </c>
      <c r="D2425" s="232" t="inlineStr">
        <is>
          <t>32</t>
        </is>
      </c>
      <c r="E2425" s="232" t="inlineStr">
        <is>
          <t>PRORRATEO</t>
        </is>
      </c>
      <c r="F2425" s="232" t="inlineStr">
        <is>
          <t>Santa Catalina</t>
        </is>
      </c>
      <c r="G2425" s="232" t="inlineStr">
        <is>
          <t>eureka 22,55</t>
        </is>
      </c>
      <c r="H2425" s="232" t="inlineStr">
        <is>
          <t>Limon</t>
        </is>
      </c>
      <c r="I2425" s="232" t="inlineStr">
        <is>
          <t>Eureka</t>
        </is>
      </c>
      <c r="J2425" s="232" t="inlineStr">
        <is>
          <t>LABORES OPERACIONALES</t>
        </is>
      </c>
      <c r="K2425" s="232" t="inlineStr">
        <is>
          <t>OTROS SERVICIOS</t>
        </is>
      </c>
      <c r="L2425" s="232" t="inlineStr">
        <is>
          <t>[PRORRATEO 15.2% 22.55há/148.3há] SERV.CONTRATISTA</t>
        </is>
      </c>
      <c r="M2425" s="232" t="inlineStr"/>
      <c r="N2425" s="232" t="inlineStr">
        <is>
          <t>.   .   -</t>
        </is>
      </c>
      <c r="O2425" s="232" t="inlineStr">
        <is>
          <t>MARZO</t>
        </is>
      </c>
      <c r="P2425" s="232" t="n">
        <v>9</v>
      </c>
      <c r="Q2425" s="234" t="n">
        <v>103274</v>
      </c>
      <c r="R2425" s="232" t="inlineStr"/>
      <c r="S2425" s="234" t="n">
        <v>103274</v>
      </c>
      <c r="T2425" s="232" t="inlineStr">
        <is>
          <t>CLP</t>
        </is>
      </c>
      <c r="U2425" s="232" t="inlineStr">
        <is>
          <t>Prorrateo Ha PACKING</t>
        </is>
      </c>
      <c r="V2425" s="232" t="inlineStr">
        <is>
          <t>2026-06-18</t>
        </is>
      </c>
    </row>
    <row r="2426">
      <c r="A2426" s="232" t="inlineStr">
        <is>
          <t>CR-2423</t>
        </is>
      </c>
      <c r="B2426" s="232" t="inlineStr">
        <is>
          <t>2026/27</t>
        </is>
      </c>
      <c r="C2426" s="233" t="n">
        <v>46085</v>
      </c>
      <c r="D2426" s="232" t="inlineStr">
        <is>
          <t>32</t>
        </is>
      </c>
      <c r="E2426" s="232" t="inlineStr">
        <is>
          <t>PRORRATEO</t>
        </is>
      </c>
      <c r="F2426" s="232" t="inlineStr">
        <is>
          <t>Santa Catalina</t>
        </is>
      </c>
      <c r="G2426" s="232" t="inlineStr">
        <is>
          <t>form benjamin 1,93 ha</t>
        </is>
      </c>
      <c r="H2426" s="232" t="inlineStr">
        <is>
          <t>Limon</t>
        </is>
      </c>
      <c r="I2426" s="232" t="inlineStr">
        <is>
          <t>Benjamin andes</t>
        </is>
      </c>
      <c r="J2426" s="232" t="inlineStr">
        <is>
          <t>LABORES OPERACIONALES</t>
        </is>
      </c>
      <c r="K2426" s="232" t="inlineStr">
        <is>
          <t>OTROS SERVICIOS</t>
        </is>
      </c>
      <c r="L2426" s="232" t="inlineStr">
        <is>
          <t>[PRORRATEO 1.3% 1.93há/148.3há] SERV.CONTRATISTA</t>
        </is>
      </c>
      <c r="M2426" s="232" t="inlineStr"/>
      <c r="N2426" s="232" t="inlineStr">
        <is>
          <t>.   .   -</t>
        </is>
      </c>
      <c r="O2426" s="232" t="inlineStr">
        <is>
          <t>MARZO</t>
        </is>
      </c>
      <c r="P2426" s="232" t="n">
        <v>9</v>
      </c>
      <c r="Q2426" s="234" t="n">
        <v>8839</v>
      </c>
      <c r="R2426" s="232" t="inlineStr"/>
      <c r="S2426" s="234" t="n">
        <v>8839</v>
      </c>
      <c r="T2426" s="232" t="inlineStr">
        <is>
          <t>CLP</t>
        </is>
      </c>
      <c r="U2426" s="232" t="inlineStr">
        <is>
          <t>Prorrateo Ha PACKING</t>
        </is>
      </c>
      <c r="V2426" s="232" t="inlineStr">
        <is>
          <t>2026-06-18</t>
        </is>
      </c>
    </row>
    <row r="2427">
      <c r="A2427" s="232" t="inlineStr">
        <is>
          <t>CR-2424</t>
        </is>
      </c>
      <c r="B2427" s="232" t="inlineStr">
        <is>
          <t>2026/27</t>
        </is>
      </c>
      <c r="C2427" s="233" t="n">
        <v>46085</v>
      </c>
      <c r="D2427" s="232" t="inlineStr">
        <is>
          <t>32</t>
        </is>
      </c>
      <c r="E2427" s="232" t="inlineStr">
        <is>
          <t>PRORRATEO</t>
        </is>
      </c>
      <c r="F2427" s="232" t="inlineStr">
        <is>
          <t>Santa Catalina</t>
        </is>
      </c>
      <c r="G2427" s="232" t="inlineStr">
        <is>
          <t>mant eureka 2,5 ha</t>
        </is>
      </c>
      <c r="H2427" s="232" t="inlineStr">
        <is>
          <t>Limon</t>
        </is>
      </c>
      <c r="I2427" s="232" t="inlineStr">
        <is>
          <t>Eureka</t>
        </is>
      </c>
      <c r="J2427" s="232" t="inlineStr">
        <is>
          <t>LABORES OPERACIONALES</t>
        </is>
      </c>
      <c r="K2427" s="232" t="inlineStr">
        <is>
          <t>OTROS SERVICIOS</t>
        </is>
      </c>
      <c r="L2427" s="232" t="inlineStr">
        <is>
          <t>[PRORRATEO 1.7% 2.5há/148.3há] SERV.CONTRATISTA</t>
        </is>
      </c>
      <c r="M2427" s="232" t="inlineStr"/>
      <c r="N2427" s="232" t="inlineStr">
        <is>
          <t>.   .   -</t>
        </is>
      </c>
      <c r="O2427" s="232" t="inlineStr">
        <is>
          <t>MARZO</t>
        </is>
      </c>
      <c r="P2427" s="232" t="n">
        <v>9</v>
      </c>
      <c r="Q2427" s="234" t="n">
        <v>11449</v>
      </c>
      <c r="R2427" s="232" t="inlineStr"/>
      <c r="S2427" s="234" t="n">
        <v>11449</v>
      </c>
      <c r="T2427" s="232" t="inlineStr">
        <is>
          <t>CLP</t>
        </is>
      </c>
      <c r="U2427" s="232" t="inlineStr">
        <is>
          <t>Prorrateo Ha PACKING</t>
        </is>
      </c>
      <c r="V2427" s="232" t="inlineStr">
        <is>
          <t>2026-06-18</t>
        </is>
      </c>
    </row>
    <row r="2428">
      <c r="A2428" s="232" t="inlineStr">
        <is>
          <t>CR-2425</t>
        </is>
      </c>
      <c r="B2428" s="232" t="inlineStr">
        <is>
          <t>2026/27</t>
        </is>
      </c>
      <c r="C2428" s="233" t="n">
        <v>46085</v>
      </c>
      <c r="D2428" s="232" t="inlineStr">
        <is>
          <t>32</t>
        </is>
      </c>
      <c r="E2428" s="232" t="inlineStr">
        <is>
          <t>PRORRATEO</t>
        </is>
      </c>
      <c r="F2428" s="232" t="inlineStr">
        <is>
          <t>Siberia</t>
        </is>
      </c>
      <c r="G2428" s="232" t="inlineStr">
        <is>
          <t>S. Celebration 7,14</t>
        </is>
      </c>
      <c r="H2428" s="232" t="inlineStr">
        <is>
          <t>Uvas</t>
        </is>
      </c>
      <c r="I2428" s="232" t="inlineStr">
        <is>
          <t>S. celebration</t>
        </is>
      </c>
      <c r="J2428" s="232" t="inlineStr">
        <is>
          <t>LABORES OPERACIONALES</t>
        </is>
      </c>
      <c r="K2428" s="232" t="inlineStr">
        <is>
          <t>OTROS SERVICIOS</t>
        </is>
      </c>
      <c r="L2428" s="232" t="inlineStr">
        <is>
          <t>[PRORRATEO 4.8% 7.14há/148.3há] SERV.CONTRATISTA</t>
        </is>
      </c>
      <c r="M2428" s="232" t="inlineStr"/>
      <c r="N2428" s="232" t="inlineStr">
        <is>
          <t>.   .   -</t>
        </is>
      </c>
      <c r="O2428" s="232" t="inlineStr">
        <is>
          <t>MARZO</t>
        </is>
      </c>
      <c r="P2428" s="232" t="n">
        <v>9</v>
      </c>
      <c r="Q2428" s="234" t="n">
        <v>32700</v>
      </c>
      <c r="R2428" s="232" t="inlineStr"/>
      <c r="S2428" s="234" t="n">
        <v>32700</v>
      </c>
      <c r="T2428" s="232" t="inlineStr">
        <is>
          <t>CLP</t>
        </is>
      </c>
      <c r="U2428" s="232" t="inlineStr">
        <is>
          <t>Prorrateo Ha PACKING</t>
        </is>
      </c>
      <c r="V2428" s="232" t="inlineStr">
        <is>
          <t>2026-06-18</t>
        </is>
      </c>
    </row>
    <row r="2429">
      <c r="A2429" s="232" t="inlineStr">
        <is>
          <t>CR-2426</t>
        </is>
      </c>
      <c r="B2429" s="232" t="inlineStr">
        <is>
          <t>2026/27</t>
        </is>
      </c>
      <c r="C2429" s="233" t="n">
        <v>46085</v>
      </c>
      <c r="D2429" s="232" t="inlineStr">
        <is>
          <t>32</t>
        </is>
      </c>
      <c r="E2429" s="232" t="inlineStr">
        <is>
          <t>PRORRATEO</t>
        </is>
      </c>
      <c r="F2429" s="232" t="inlineStr">
        <is>
          <t>Siberia</t>
        </is>
      </c>
      <c r="G2429" s="232" t="inlineStr">
        <is>
          <t>Timpson 7,1</t>
        </is>
      </c>
      <c r="H2429" s="232" t="inlineStr">
        <is>
          <t>Uvas</t>
        </is>
      </c>
      <c r="I2429" s="232" t="inlineStr">
        <is>
          <t>Timpson</t>
        </is>
      </c>
      <c r="J2429" s="232" t="inlineStr">
        <is>
          <t>LABORES OPERACIONALES</t>
        </is>
      </c>
      <c r="K2429" s="232" t="inlineStr">
        <is>
          <t>OTROS SERVICIOS</t>
        </is>
      </c>
      <c r="L2429" s="232" t="inlineStr">
        <is>
          <t>[PRORRATEO 4.8% 7.1há/148.3há] SERV.CONTRATISTA</t>
        </is>
      </c>
      <c r="M2429" s="232" t="inlineStr"/>
      <c r="N2429" s="232" t="inlineStr">
        <is>
          <t>.   .   -</t>
        </is>
      </c>
      <c r="O2429" s="232" t="inlineStr">
        <is>
          <t>MARZO</t>
        </is>
      </c>
      <c r="P2429" s="232" t="n">
        <v>9</v>
      </c>
      <c r="Q2429" s="234" t="n">
        <v>32517</v>
      </c>
      <c r="R2429" s="232" t="inlineStr"/>
      <c r="S2429" s="234" t="n">
        <v>32517</v>
      </c>
      <c r="T2429" s="232" t="inlineStr">
        <is>
          <t>CLP</t>
        </is>
      </c>
      <c r="U2429" s="232" t="inlineStr">
        <is>
          <t>Prorrateo Ha PACKING</t>
        </is>
      </c>
      <c r="V2429" s="232" t="inlineStr">
        <is>
          <t>2026-06-18</t>
        </is>
      </c>
    </row>
    <row r="2430">
      <c r="A2430" s="232" t="inlineStr">
        <is>
          <t>CR-2427</t>
        </is>
      </c>
      <c r="B2430" s="232" t="inlineStr">
        <is>
          <t>2026/27</t>
        </is>
      </c>
      <c r="C2430" s="233" t="n">
        <v>46085</v>
      </c>
      <c r="D2430" s="232" t="inlineStr">
        <is>
          <t>266</t>
        </is>
      </c>
      <c r="E2430" s="232" t="inlineStr">
        <is>
          <t>PRORRATEO</t>
        </is>
      </c>
      <c r="F2430" s="232" t="inlineStr">
        <is>
          <t>Asmara</t>
        </is>
      </c>
      <c r="G2430" s="232" t="inlineStr">
        <is>
          <t>w. murcott 19,8 ha</t>
        </is>
      </c>
      <c r="H2430" s="232" t="inlineStr">
        <is>
          <t>Mandarina</t>
        </is>
      </c>
      <c r="I2430" s="232" t="inlineStr">
        <is>
          <t>W. murcott</t>
        </is>
      </c>
      <c r="J2430" s="232" t="inlineStr">
        <is>
          <t>LABORES OPERACIONALES</t>
        </is>
      </c>
      <c r="K2430" s="232" t="inlineStr">
        <is>
          <t>OTROS SERVICIOS</t>
        </is>
      </c>
      <c r="L2430" s="232" t="inlineStr">
        <is>
          <t>[PRORRATEO 13.4% 19.8há/148.3há] SERV.CONTRATISTA</t>
        </is>
      </c>
      <c r="M2430" s="232" t="inlineStr"/>
      <c r="N2430" s="232" t="inlineStr">
        <is>
          <t>.   .   -</t>
        </is>
      </c>
      <c r="O2430" s="232" t="inlineStr">
        <is>
          <t>MARZO</t>
        </is>
      </c>
      <c r="P2430" s="232" t="n">
        <v>9</v>
      </c>
      <c r="Q2430" s="234" t="n">
        <v>163460</v>
      </c>
      <c r="R2430" s="232" t="inlineStr"/>
      <c r="S2430" s="234" t="n">
        <v>163460</v>
      </c>
      <c r="T2430" s="232" t="inlineStr">
        <is>
          <t>CLP</t>
        </is>
      </c>
      <c r="U2430" s="232" t="inlineStr">
        <is>
          <t>Prorrateo Ha PACKING</t>
        </is>
      </c>
      <c r="V2430" s="232" t="inlineStr">
        <is>
          <t>2026-06-18</t>
        </is>
      </c>
    </row>
    <row r="2431">
      <c r="A2431" s="232" t="inlineStr">
        <is>
          <t>CR-2428</t>
        </is>
      </c>
      <c r="B2431" s="232" t="inlineStr">
        <is>
          <t>2026/27</t>
        </is>
      </c>
      <c r="C2431" s="233" t="n">
        <v>46085</v>
      </c>
      <c r="D2431" s="232" t="inlineStr">
        <is>
          <t>266</t>
        </is>
      </c>
      <c r="E2431" s="232" t="inlineStr">
        <is>
          <t>PRORRATEO</t>
        </is>
      </c>
      <c r="F2431" s="232" t="inlineStr">
        <is>
          <t>Asmara</t>
        </is>
      </c>
      <c r="G2431" s="232" t="inlineStr">
        <is>
          <t>w. murcott 4,9 ha</t>
        </is>
      </c>
      <c r="H2431" s="232" t="inlineStr">
        <is>
          <t>Mandarina</t>
        </is>
      </c>
      <c r="I2431" s="232" t="inlineStr">
        <is>
          <t>W. murcott</t>
        </is>
      </c>
      <c r="J2431" s="232" t="inlineStr">
        <is>
          <t>LABORES OPERACIONALES</t>
        </is>
      </c>
      <c r="K2431" s="232" t="inlineStr">
        <is>
          <t>OTROS SERVICIOS</t>
        </is>
      </c>
      <c r="L2431" s="232" t="inlineStr">
        <is>
          <t>[PRORRATEO 3.3% 4.9há/148.3há] SERV.CONTRATISTA</t>
        </is>
      </c>
      <c r="M2431" s="232" t="inlineStr"/>
      <c r="N2431" s="232" t="inlineStr">
        <is>
          <t>.   .   -</t>
        </is>
      </c>
      <c r="O2431" s="232" t="inlineStr">
        <is>
          <t>MARZO</t>
        </is>
      </c>
      <c r="P2431" s="232" t="n">
        <v>9</v>
      </c>
      <c r="Q2431" s="234" t="n">
        <v>40452</v>
      </c>
      <c r="R2431" s="232" t="inlineStr"/>
      <c r="S2431" s="234" t="n">
        <v>40452</v>
      </c>
      <c r="T2431" s="232" t="inlineStr">
        <is>
          <t>CLP</t>
        </is>
      </c>
      <c r="U2431" s="232" t="inlineStr">
        <is>
          <t>Prorrateo Ha PACKING</t>
        </is>
      </c>
      <c r="V2431" s="232" t="inlineStr">
        <is>
          <t>2026-06-18</t>
        </is>
      </c>
    </row>
    <row r="2432">
      <c r="A2432" s="232" t="inlineStr">
        <is>
          <t>CR-2429</t>
        </is>
      </c>
      <c r="B2432" s="232" t="inlineStr">
        <is>
          <t>2026/27</t>
        </is>
      </c>
      <c r="C2432" s="233" t="n">
        <v>46085</v>
      </c>
      <c r="D2432" s="232" t="inlineStr">
        <is>
          <t>266</t>
        </is>
      </c>
      <c r="E2432" s="232" t="inlineStr">
        <is>
          <t>PRORRATEO</t>
        </is>
      </c>
      <c r="F2432" s="232" t="inlineStr">
        <is>
          <t>El Molle</t>
        </is>
      </c>
      <c r="G2432" s="232" t="inlineStr">
        <is>
          <t>Wonderful 5,25 ha</t>
        </is>
      </c>
      <c r="H2432" s="232" t="inlineStr">
        <is>
          <t>Granados</t>
        </is>
      </c>
      <c r="I2432" s="232" t="inlineStr">
        <is>
          <t>Wonderfull</t>
        </is>
      </c>
      <c r="J2432" s="232" t="inlineStr">
        <is>
          <t>LABORES OPERACIONALES</t>
        </is>
      </c>
      <c r="K2432" s="232" t="inlineStr">
        <is>
          <t>OTROS SERVICIOS</t>
        </is>
      </c>
      <c r="L2432" s="232" t="inlineStr">
        <is>
          <t>[PRORRATEO 3.5% 5.24há/148.3há] SERV.CONTRATISTA</t>
        </is>
      </c>
      <c r="M2432" s="232" t="inlineStr"/>
      <c r="N2432" s="232" t="inlineStr">
        <is>
          <t>.   .   -</t>
        </is>
      </c>
      <c r="O2432" s="232" t="inlineStr">
        <is>
          <t>MARZO</t>
        </is>
      </c>
      <c r="P2432" s="232" t="n">
        <v>9</v>
      </c>
      <c r="Q2432" s="234" t="n">
        <v>43259</v>
      </c>
      <c r="R2432" s="232" t="inlineStr"/>
      <c r="S2432" s="234" t="n">
        <v>43259</v>
      </c>
      <c r="T2432" s="232" t="inlineStr">
        <is>
          <t>CLP</t>
        </is>
      </c>
      <c r="U2432" s="232" t="inlineStr">
        <is>
          <t>Prorrateo Ha PACKING</t>
        </is>
      </c>
      <c r="V2432" s="232" t="inlineStr">
        <is>
          <t>2026-06-18</t>
        </is>
      </c>
    </row>
    <row r="2433">
      <c r="A2433" s="232" t="inlineStr">
        <is>
          <t>CR-2430</t>
        </is>
      </c>
      <c r="B2433" s="232" t="inlineStr">
        <is>
          <t>2026/27</t>
        </is>
      </c>
      <c r="C2433" s="233" t="n">
        <v>46085</v>
      </c>
      <c r="D2433" s="232" t="inlineStr">
        <is>
          <t>266</t>
        </is>
      </c>
      <c r="E2433" s="232" t="inlineStr">
        <is>
          <t>PRORRATEO</t>
        </is>
      </c>
      <c r="F2433" s="232" t="inlineStr">
        <is>
          <t>El Molle</t>
        </is>
      </c>
      <c r="G2433" s="232" t="inlineStr">
        <is>
          <t>arrufatinas 5,74 ha</t>
        </is>
      </c>
      <c r="H2433" s="232" t="inlineStr">
        <is>
          <t>Clementinas</t>
        </is>
      </c>
      <c r="I2433" s="232" t="inlineStr">
        <is>
          <t>Arrufatinas</t>
        </is>
      </c>
      <c r="J2433" s="232" t="inlineStr">
        <is>
          <t>LABORES OPERACIONALES</t>
        </is>
      </c>
      <c r="K2433" s="232" t="inlineStr">
        <is>
          <t>OTROS SERVICIOS</t>
        </is>
      </c>
      <c r="L2433" s="232" t="inlineStr">
        <is>
          <t>[PRORRATEO 3.9% 5.74há/148.3há] SERV.CONTRATISTA</t>
        </is>
      </c>
      <c r="M2433" s="232" t="inlineStr"/>
      <c r="N2433" s="232" t="inlineStr">
        <is>
          <t>.   .   -</t>
        </is>
      </c>
      <c r="O2433" s="232" t="inlineStr">
        <is>
          <t>MARZO</t>
        </is>
      </c>
      <c r="P2433" s="232" t="n">
        <v>9</v>
      </c>
      <c r="Q2433" s="234" t="n">
        <v>47387</v>
      </c>
      <c r="R2433" s="232" t="inlineStr"/>
      <c r="S2433" s="234" t="n">
        <v>47387</v>
      </c>
      <c r="T2433" s="232" t="inlineStr">
        <is>
          <t>CLP</t>
        </is>
      </c>
      <c r="U2433" s="232" t="inlineStr">
        <is>
          <t>Prorrateo Ha PACKING</t>
        </is>
      </c>
      <c r="V2433" s="232" t="inlineStr">
        <is>
          <t>2026-06-18</t>
        </is>
      </c>
    </row>
    <row r="2434">
      <c r="A2434" s="232" t="inlineStr">
        <is>
          <t>CR-2431</t>
        </is>
      </c>
      <c r="B2434" s="232" t="inlineStr">
        <is>
          <t>2026/27</t>
        </is>
      </c>
      <c r="C2434" s="233" t="n">
        <v>46085</v>
      </c>
      <c r="D2434" s="232" t="inlineStr">
        <is>
          <t>266</t>
        </is>
      </c>
      <c r="E2434" s="232" t="inlineStr">
        <is>
          <t>PRORRATEO</t>
        </is>
      </c>
      <c r="F2434" s="232" t="inlineStr">
        <is>
          <t>El Molle</t>
        </is>
      </c>
      <c r="G2434" s="232" t="inlineStr">
        <is>
          <t>orogrande 8,11 ha</t>
        </is>
      </c>
      <c r="H2434" s="232" t="inlineStr">
        <is>
          <t>Clementinas</t>
        </is>
      </c>
      <c r="I2434" s="232" t="inlineStr">
        <is>
          <t>Orogrande</t>
        </is>
      </c>
      <c r="J2434" s="232" t="inlineStr">
        <is>
          <t>LABORES OPERACIONALES</t>
        </is>
      </c>
      <c r="K2434" s="232" t="inlineStr">
        <is>
          <t>OTROS SERVICIOS</t>
        </is>
      </c>
      <c r="L2434" s="232" t="inlineStr">
        <is>
          <t>[PRORRATEO 5.5% 8.11há/148.3há] SERV.CONTRATISTA</t>
        </is>
      </c>
      <c r="M2434" s="232" t="inlineStr"/>
      <c r="N2434" s="232" t="inlineStr">
        <is>
          <t>.   .   -</t>
        </is>
      </c>
      <c r="O2434" s="232" t="inlineStr">
        <is>
          <t>MARZO</t>
        </is>
      </c>
      <c r="P2434" s="232" t="n">
        <v>9</v>
      </c>
      <c r="Q2434" s="234" t="n">
        <v>66952</v>
      </c>
      <c r="R2434" s="232" t="inlineStr"/>
      <c r="S2434" s="234" t="n">
        <v>66952</v>
      </c>
      <c r="T2434" s="232" t="inlineStr">
        <is>
          <t>CLP</t>
        </is>
      </c>
      <c r="U2434" s="232" t="inlineStr">
        <is>
          <t>Prorrateo Ha PACKING</t>
        </is>
      </c>
      <c r="V2434" s="232" t="inlineStr">
        <is>
          <t>2026-06-18</t>
        </is>
      </c>
    </row>
    <row r="2435">
      <c r="A2435" s="232" t="inlineStr">
        <is>
          <t>CR-2432</t>
        </is>
      </c>
      <c r="B2435" s="232" t="inlineStr">
        <is>
          <t>2026/27</t>
        </is>
      </c>
      <c r="C2435" s="233" t="n">
        <v>46085</v>
      </c>
      <c r="D2435" s="232" t="inlineStr">
        <is>
          <t>266</t>
        </is>
      </c>
      <c r="E2435" s="232" t="inlineStr">
        <is>
          <t>PRORRATEO</t>
        </is>
      </c>
      <c r="F2435" s="232" t="inlineStr">
        <is>
          <t>El Molle</t>
        </is>
      </c>
      <c r="G2435" s="232" t="inlineStr">
        <is>
          <t>oronules 5,35 ha</t>
        </is>
      </c>
      <c r="H2435" s="232" t="inlineStr">
        <is>
          <t>Clementinas</t>
        </is>
      </c>
      <c r="I2435" s="232" t="inlineStr">
        <is>
          <t>Oronules</t>
        </is>
      </c>
      <c r="J2435" s="232" t="inlineStr">
        <is>
          <t>LABORES OPERACIONALES</t>
        </is>
      </c>
      <c r="K2435" s="232" t="inlineStr">
        <is>
          <t>OTROS SERVICIOS</t>
        </is>
      </c>
      <c r="L2435" s="232" t="inlineStr">
        <is>
          <t>[PRORRATEO 3.6% 5.35há/148.3há] SERV.CONTRATISTA</t>
        </is>
      </c>
      <c r="M2435" s="232" t="inlineStr"/>
      <c r="N2435" s="232" t="inlineStr">
        <is>
          <t>.   .   -</t>
        </is>
      </c>
      <c r="O2435" s="232" t="inlineStr">
        <is>
          <t>MARZO</t>
        </is>
      </c>
      <c r="P2435" s="232" t="n">
        <v>9</v>
      </c>
      <c r="Q2435" s="234" t="n">
        <v>44167</v>
      </c>
      <c r="R2435" s="232" t="inlineStr"/>
      <c r="S2435" s="234" t="n">
        <v>44167</v>
      </c>
      <c r="T2435" s="232" t="inlineStr">
        <is>
          <t>CLP</t>
        </is>
      </c>
      <c r="U2435" s="232" t="inlineStr">
        <is>
          <t>Prorrateo Ha PACKING</t>
        </is>
      </c>
      <c r="V2435" s="232" t="inlineStr">
        <is>
          <t>2026-06-18</t>
        </is>
      </c>
    </row>
    <row r="2436">
      <c r="A2436" s="232" t="inlineStr">
        <is>
          <t>CR-2433</t>
        </is>
      </c>
      <c r="B2436" s="232" t="inlineStr">
        <is>
          <t>2026/27</t>
        </is>
      </c>
      <c r="C2436" s="233" t="n">
        <v>46085</v>
      </c>
      <c r="D2436" s="232" t="inlineStr">
        <is>
          <t>266</t>
        </is>
      </c>
      <c r="E2436" s="232" t="inlineStr">
        <is>
          <t>PRORRATEO</t>
        </is>
      </c>
      <c r="F2436" s="232" t="inlineStr">
        <is>
          <t>Santa Catalina</t>
        </is>
      </c>
      <c r="G2436" s="232" t="inlineStr">
        <is>
          <t>Fino 49 7,7 ha</t>
        </is>
      </c>
      <c r="H2436" s="232" t="inlineStr">
        <is>
          <t>Limon</t>
        </is>
      </c>
      <c r="I2436" s="232" t="inlineStr">
        <is>
          <t>Fino 49</t>
        </is>
      </c>
      <c r="J2436" s="232" t="inlineStr">
        <is>
          <t>LABORES OPERACIONALES</t>
        </is>
      </c>
      <c r="K2436" s="232" t="inlineStr">
        <is>
          <t>OTROS SERVICIOS</t>
        </is>
      </c>
      <c r="L2436" s="232" t="inlineStr">
        <is>
          <t>[PRORRATEO 5.2% 7.7há/148.3há] SERV.CONTRATISTA</t>
        </is>
      </c>
      <c r="M2436" s="232" t="inlineStr"/>
      <c r="N2436" s="232" t="inlineStr">
        <is>
          <t>.   .   -</t>
        </is>
      </c>
      <c r="O2436" s="232" t="inlineStr">
        <is>
          <t>MARZO</t>
        </is>
      </c>
      <c r="P2436" s="232" t="n">
        <v>9</v>
      </c>
      <c r="Q2436" s="234" t="n">
        <v>63568</v>
      </c>
      <c r="R2436" s="232" t="inlineStr"/>
      <c r="S2436" s="234" t="n">
        <v>63568</v>
      </c>
      <c r="T2436" s="232" t="inlineStr">
        <is>
          <t>CLP</t>
        </is>
      </c>
      <c r="U2436" s="232" t="inlineStr">
        <is>
          <t>Prorrateo Ha PACKING</t>
        </is>
      </c>
      <c r="V2436" s="232" t="inlineStr">
        <is>
          <t>2026-06-18</t>
        </is>
      </c>
    </row>
    <row r="2437">
      <c r="A2437" s="232" t="inlineStr">
        <is>
          <t>CR-2434</t>
        </is>
      </c>
      <c r="B2437" s="232" t="inlineStr">
        <is>
          <t>2026/27</t>
        </is>
      </c>
      <c r="C2437" s="233" t="n">
        <v>46085</v>
      </c>
      <c r="D2437" s="232" t="inlineStr">
        <is>
          <t>266</t>
        </is>
      </c>
      <c r="E2437" s="232" t="inlineStr">
        <is>
          <t>PRORRATEO</t>
        </is>
      </c>
      <c r="F2437" s="232" t="inlineStr">
        <is>
          <t>Santa Catalina</t>
        </is>
      </c>
      <c r="G2437" s="232" t="inlineStr">
        <is>
          <t>W. murcott 21 ha</t>
        </is>
      </c>
      <c r="H2437" s="232" t="inlineStr">
        <is>
          <t>Mandarina</t>
        </is>
      </c>
      <c r="I2437" s="232" t="inlineStr">
        <is>
          <t>W. murcott</t>
        </is>
      </c>
      <c r="J2437" s="232" t="inlineStr">
        <is>
          <t>LABORES OPERACIONALES</t>
        </is>
      </c>
      <c r="K2437" s="232" t="inlineStr">
        <is>
          <t>OTROS SERVICIOS</t>
        </is>
      </c>
      <c r="L2437" s="232" t="inlineStr">
        <is>
          <t>[PRORRATEO 14.2% 21.0há/148.3há] SERV.CONTRATISTA</t>
        </is>
      </c>
      <c r="M2437" s="232" t="inlineStr"/>
      <c r="N2437" s="232" t="inlineStr">
        <is>
          <t>.   .   -</t>
        </is>
      </c>
      <c r="O2437" s="232" t="inlineStr">
        <is>
          <t>MARZO</t>
        </is>
      </c>
      <c r="P2437" s="232" t="n">
        <v>9</v>
      </c>
      <c r="Q2437" s="234" t="n">
        <v>173366</v>
      </c>
      <c r="R2437" s="232" t="inlineStr"/>
      <c r="S2437" s="234" t="n">
        <v>173366</v>
      </c>
      <c r="T2437" s="232" t="inlineStr">
        <is>
          <t>CLP</t>
        </is>
      </c>
      <c r="U2437" s="232" t="inlineStr">
        <is>
          <t>Prorrateo Ha PACKING</t>
        </is>
      </c>
      <c r="V2437" s="232" t="inlineStr">
        <is>
          <t>2026-06-18</t>
        </is>
      </c>
    </row>
    <row r="2438">
      <c r="A2438" s="232" t="inlineStr">
        <is>
          <t>CR-2435</t>
        </is>
      </c>
      <c r="B2438" s="232" t="inlineStr">
        <is>
          <t>2026/27</t>
        </is>
      </c>
      <c r="C2438" s="233" t="n">
        <v>46085</v>
      </c>
      <c r="D2438" s="232" t="inlineStr">
        <is>
          <t>266</t>
        </is>
      </c>
      <c r="E2438" s="232" t="inlineStr">
        <is>
          <t>PRORRATEO</t>
        </is>
      </c>
      <c r="F2438" s="232" t="inlineStr">
        <is>
          <t>Santa Catalina</t>
        </is>
      </c>
      <c r="G2438" s="232" t="inlineStr">
        <is>
          <t>cambria 4,2 ha</t>
        </is>
      </c>
      <c r="H2438" s="232" t="inlineStr">
        <is>
          <t>Naranjas</t>
        </is>
      </c>
      <c r="I2438" s="232" t="inlineStr">
        <is>
          <t>Cambria</t>
        </is>
      </c>
      <c r="J2438" s="232" t="inlineStr">
        <is>
          <t>LABORES OPERACIONALES</t>
        </is>
      </c>
      <c r="K2438" s="232" t="inlineStr">
        <is>
          <t>OTROS SERVICIOS</t>
        </is>
      </c>
      <c r="L2438" s="232" t="inlineStr">
        <is>
          <t>[PRORRATEO 2.8% 4.2há/148.3há] SERV.CONTRATISTA</t>
        </is>
      </c>
      <c r="M2438" s="232" t="inlineStr"/>
      <c r="N2438" s="232" t="inlineStr">
        <is>
          <t>.   .   -</t>
        </is>
      </c>
      <c r="O2438" s="232" t="inlineStr">
        <is>
          <t>MARZO</t>
        </is>
      </c>
      <c r="P2438" s="232" t="n">
        <v>9</v>
      </c>
      <c r="Q2438" s="234" t="n">
        <v>34673</v>
      </c>
      <c r="R2438" s="232" t="inlineStr"/>
      <c r="S2438" s="234" t="n">
        <v>34673</v>
      </c>
      <c r="T2438" s="232" t="inlineStr">
        <is>
          <t>CLP</t>
        </is>
      </c>
      <c r="U2438" s="232" t="inlineStr">
        <is>
          <t>Prorrateo Ha PACKING</t>
        </is>
      </c>
      <c r="V2438" s="232" t="inlineStr">
        <is>
          <t>2026-06-18</t>
        </is>
      </c>
    </row>
    <row r="2439">
      <c r="A2439" s="232" t="inlineStr">
        <is>
          <t>CR-2436</t>
        </is>
      </c>
      <c r="B2439" s="232" t="inlineStr">
        <is>
          <t>2026/27</t>
        </is>
      </c>
      <c r="C2439" s="233" t="n">
        <v>46085</v>
      </c>
      <c r="D2439" s="232" t="inlineStr">
        <is>
          <t>266</t>
        </is>
      </c>
      <c r="E2439" s="232" t="inlineStr">
        <is>
          <t>PRORRATEO</t>
        </is>
      </c>
      <c r="F2439" s="232" t="inlineStr">
        <is>
          <t>Santa Catalina</t>
        </is>
      </c>
      <c r="G2439" s="232" t="inlineStr">
        <is>
          <t>eureka 10,6 ha</t>
        </is>
      </c>
      <c r="H2439" s="232" t="inlineStr">
        <is>
          <t>Limon</t>
        </is>
      </c>
      <c r="I2439" s="232" t="inlineStr">
        <is>
          <t>Eureka</t>
        </is>
      </c>
      <c r="J2439" s="232" t="inlineStr">
        <is>
          <t>LABORES OPERACIONALES</t>
        </is>
      </c>
      <c r="K2439" s="232" t="inlineStr">
        <is>
          <t>OTROS SERVICIOS</t>
        </is>
      </c>
      <c r="L2439" s="232" t="inlineStr">
        <is>
          <t>[PRORRATEO 7.1% 10.6há/148.3há] SERV.CONTRATISTA</t>
        </is>
      </c>
      <c r="M2439" s="232" t="inlineStr"/>
      <c r="N2439" s="232" t="inlineStr">
        <is>
          <t>.   .   -</t>
        </is>
      </c>
      <c r="O2439" s="232" t="inlineStr">
        <is>
          <t>MARZO</t>
        </is>
      </c>
      <c r="P2439" s="232" t="n">
        <v>9</v>
      </c>
      <c r="Q2439" s="234" t="n">
        <v>87509</v>
      </c>
      <c r="R2439" s="232" t="inlineStr"/>
      <c r="S2439" s="234" t="n">
        <v>87509</v>
      </c>
      <c r="T2439" s="232" t="inlineStr">
        <is>
          <t>CLP</t>
        </is>
      </c>
      <c r="U2439" s="232" t="inlineStr">
        <is>
          <t>Prorrateo Ha PACKING</t>
        </is>
      </c>
      <c r="V2439" s="232" t="inlineStr">
        <is>
          <t>2026-06-18</t>
        </is>
      </c>
    </row>
    <row r="2440">
      <c r="A2440" s="232" t="inlineStr">
        <is>
          <t>CR-2437</t>
        </is>
      </c>
      <c r="B2440" s="232" t="inlineStr">
        <is>
          <t>2026/27</t>
        </is>
      </c>
      <c r="C2440" s="233" t="n">
        <v>46085</v>
      </c>
      <c r="D2440" s="232" t="inlineStr">
        <is>
          <t>266</t>
        </is>
      </c>
      <c r="E2440" s="232" t="inlineStr">
        <is>
          <t>PRORRATEO</t>
        </is>
      </c>
      <c r="F2440" s="232" t="inlineStr">
        <is>
          <t>Santa Catalina</t>
        </is>
      </c>
      <c r="G2440" s="232" t="inlineStr">
        <is>
          <t>eureka 14,4 ha</t>
        </is>
      </c>
      <c r="H2440" s="232" t="inlineStr">
        <is>
          <t>Limon</t>
        </is>
      </c>
      <c r="I2440" s="232" t="inlineStr">
        <is>
          <t>Eureka</t>
        </is>
      </c>
      <c r="J2440" s="232" t="inlineStr">
        <is>
          <t>LABORES OPERACIONALES</t>
        </is>
      </c>
      <c r="K2440" s="232" t="inlineStr">
        <is>
          <t>OTROS SERVICIOS</t>
        </is>
      </c>
      <c r="L2440" s="232" t="inlineStr">
        <is>
          <t>[PRORRATEO 9.7% 14.4há/148.3há] SERV.CONTRATISTA</t>
        </is>
      </c>
      <c r="M2440" s="232" t="inlineStr"/>
      <c r="N2440" s="232" t="inlineStr">
        <is>
          <t>.   .   -</t>
        </is>
      </c>
      <c r="O2440" s="232" t="inlineStr">
        <is>
          <t>MARZO</t>
        </is>
      </c>
      <c r="P2440" s="232" t="n">
        <v>9</v>
      </c>
      <c r="Q2440" s="234" t="n">
        <v>118880</v>
      </c>
      <c r="R2440" s="232" t="inlineStr"/>
      <c r="S2440" s="234" t="n">
        <v>118880</v>
      </c>
      <c r="T2440" s="232" t="inlineStr">
        <is>
          <t>CLP</t>
        </is>
      </c>
      <c r="U2440" s="232" t="inlineStr">
        <is>
          <t>Prorrateo Ha PACKING</t>
        </is>
      </c>
      <c r="V2440" s="232" t="inlineStr">
        <is>
          <t>2026-06-18</t>
        </is>
      </c>
    </row>
    <row r="2441">
      <c r="A2441" s="232" t="inlineStr">
        <is>
          <t>CR-2438</t>
        </is>
      </c>
      <c r="B2441" s="232" t="inlineStr">
        <is>
          <t>2026/27</t>
        </is>
      </c>
      <c r="C2441" s="233" t="n">
        <v>46085</v>
      </c>
      <c r="D2441" s="232" t="inlineStr">
        <is>
          <t>266</t>
        </is>
      </c>
      <c r="E2441" s="232" t="inlineStr">
        <is>
          <t>PRORRATEO</t>
        </is>
      </c>
      <c r="F2441" s="232" t="inlineStr">
        <is>
          <t>Santa Catalina</t>
        </is>
      </c>
      <c r="G2441" s="232" t="inlineStr">
        <is>
          <t>eureka 22,55</t>
        </is>
      </c>
      <c r="H2441" s="232" t="inlineStr">
        <is>
          <t>Limon</t>
        </is>
      </c>
      <c r="I2441" s="232" t="inlineStr">
        <is>
          <t>Eureka</t>
        </is>
      </c>
      <c r="J2441" s="232" t="inlineStr">
        <is>
          <t>LABORES OPERACIONALES</t>
        </is>
      </c>
      <c r="K2441" s="232" t="inlineStr">
        <is>
          <t>OTROS SERVICIOS</t>
        </is>
      </c>
      <c r="L2441" s="232" t="inlineStr">
        <is>
          <t>[PRORRATEO 15.2% 22.55há/148.3há] SERV.CONTRATISTA</t>
        </is>
      </c>
      <c r="M2441" s="232" t="inlineStr"/>
      <c r="N2441" s="232" t="inlineStr">
        <is>
          <t>.   .   -</t>
        </is>
      </c>
      <c r="O2441" s="232" t="inlineStr">
        <is>
          <t>MARZO</t>
        </is>
      </c>
      <c r="P2441" s="232" t="n">
        <v>9</v>
      </c>
      <c r="Q2441" s="234" t="n">
        <v>186163</v>
      </c>
      <c r="R2441" s="232" t="inlineStr"/>
      <c r="S2441" s="234" t="n">
        <v>186163</v>
      </c>
      <c r="T2441" s="232" t="inlineStr">
        <is>
          <t>CLP</t>
        </is>
      </c>
      <c r="U2441" s="232" t="inlineStr">
        <is>
          <t>Prorrateo Ha PACKING</t>
        </is>
      </c>
      <c r="V2441" s="232" t="inlineStr">
        <is>
          <t>2026-06-18</t>
        </is>
      </c>
    </row>
    <row r="2442">
      <c r="A2442" s="232" t="inlineStr">
        <is>
          <t>CR-2439</t>
        </is>
      </c>
      <c r="B2442" s="232" t="inlineStr">
        <is>
          <t>2026/27</t>
        </is>
      </c>
      <c r="C2442" s="233" t="n">
        <v>46085</v>
      </c>
      <c r="D2442" s="232" t="inlineStr">
        <is>
          <t>266</t>
        </is>
      </c>
      <c r="E2442" s="232" t="inlineStr">
        <is>
          <t>PRORRATEO</t>
        </is>
      </c>
      <c r="F2442" s="232" t="inlineStr">
        <is>
          <t>Santa Catalina</t>
        </is>
      </c>
      <c r="G2442" s="232" t="inlineStr">
        <is>
          <t>form benjamin 1,93 ha</t>
        </is>
      </c>
      <c r="H2442" s="232" t="inlineStr">
        <is>
          <t>Limon</t>
        </is>
      </c>
      <c r="I2442" s="232" t="inlineStr">
        <is>
          <t>Benjamin andes</t>
        </is>
      </c>
      <c r="J2442" s="232" t="inlineStr">
        <is>
          <t>LABORES OPERACIONALES</t>
        </is>
      </c>
      <c r="K2442" s="232" t="inlineStr">
        <is>
          <t>OTROS SERVICIOS</t>
        </is>
      </c>
      <c r="L2442" s="232" t="inlineStr">
        <is>
          <t>[PRORRATEO 1.3% 1.93há/148.3há] SERV.CONTRATISTA</t>
        </is>
      </c>
      <c r="M2442" s="232" t="inlineStr"/>
      <c r="N2442" s="232" t="inlineStr">
        <is>
          <t>.   .   -</t>
        </is>
      </c>
      <c r="O2442" s="232" t="inlineStr">
        <is>
          <t>MARZO</t>
        </is>
      </c>
      <c r="P2442" s="232" t="n">
        <v>9</v>
      </c>
      <c r="Q2442" s="234" t="n">
        <v>15933</v>
      </c>
      <c r="R2442" s="232" t="inlineStr"/>
      <c r="S2442" s="234" t="n">
        <v>15933</v>
      </c>
      <c r="T2442" s="232" t="inlineStr">
        <is>
          <t>CLP</t>
        </is>
      </c>
      <c r="U2442" s="232" t="inlineStr">
        <is>
          <t>Prorrateo Ha PACKING</t>
        </is>
      </c>
      <c r="V2442" s="232" t="inlineStr">
        <is>
          <t>2026-06-18</t>
        </is>
      </c>
    </row>
    <row r="2443">
      <c r="A2443" s="232" t="inlineStr">
        <is>
          <t>CR-2440</t>
        </is>
      </c>
      <c r="B2443" s="232" t="inlineStr">
        <is>
          <t>2026/27</t>
        </is>
      </c>
      <c r="C2443" s="233" t="n">
        <v>46085</v>
      </c>
      <c r="D2443" s="232" t="inlineStr">
        <is>
          <t>266</t>
        </is>
      </c>
      <c r="E2443" s="232" t="inlineStr">
        <is>
          <t>PRORRATEO</t>
        </is>
      </c>
      <c r="F2443" s="232" t="inlineStr">
        <is>
          <t>Santa Catalina</t>
        </is>
      </c>
      <c r="G2443" s="232" t="inlineStr">
        <is>
          <t>mant eureka 2,5 ha</t>
        </is>
      </c>
      <c r="H2443" s="232" t="inlineStr">
        <is>
          <t>Limon</t>
        </is>
      </c>
      <c r="I2443" s="232" t="inlineStr">
        <is>
          <t>Eureka</t>
        </is>
      </c>
      <c r="J2443" s="232" t="inlineStr">
        <is>
          <t>LABORES OPERACIONALES</t>
        </is>
      </c>
      <c r="K2443" s="232" t="inlineStr">
        <is>
          <t>OTROS SERVICIOS</t>
        </is>
      </c>
      <c r="L2443" s="232" t="inlineStr">
        <is>
          <t>[PRORRATEO 1.7% 2.5há/148.3há] SERV.CONTRATISTA</t>
        </is>
      </c>
      <c r="M2443" s="232" t="inlineStr"/>
      <c r="N2443" s="232" t="inlineStr">
        <is>
          <t>.   .   -</t>
        </is>
      </c>
      <c r="O2443" s="232" t="inlineStr">
        <is>
          <t>MARZO</t>
        </is>
      </c>
      <c r="P2443" s="232" t="n">
        <v>9</v>
      </c>
      <c r="Q2443" s="234" t="n">
        <v>20639</v>
      </c>
      <c r="R2443" s="232" t="inlineStr"/>
      <c r="S2443" s="234" t="n">
        <v>20639</v>
      </c>
      <c r="T2443" s="232" t="inlineStr">
        <is>
          <t>CLP</t>
        </is>
      </c>
      <c r="U2443" s="232" t="inlineStr">
        <is>
          <t>Prorrateo Ha PACKING</t>
        </is>
      </c>
      <c r="V2443" s="232" t="inlineStr">
        <is>
          <t>2026-06-18</t>
        </is>
      </c>
    </row>
    <row r="2444">
      <c r="A2444" s="232" t="inlineStr">
        <is>
          <t>CR-2441</t>
        </is>
      </c>
      <c r="B2444" s="232" t="inlineStr">
        <is>
          <t>2026/27</t>
        </is>
      </c>
      <c r="C2444" s="233" t="n">
        <v>46085</v>
      </c>
      <c r="D2444" s="232" t="inlineStr">
        <is>
          <t>266</t>
        </is>
      </c>
      <c r="E2444" s="232" t="inlineStr">
        <is>
          <t>PRORRATEO</t>
        </is>
      </c>
      <c r="F2444" s="232" t="inlineStr">
        <is>
          <t>Siberia</t>
        </is>
      </c>
      <c r="G2444" s="232" t="inlineStr">
        <is>
          <t>S. Celebration 7,14</t>
        </is>
      </c>
      <c r="H2444" s="232" t="inlineStr">
        <is>
          <t>Uvas</t>
        </is>
      </c>
      <c r="I2444" s="232" t="inlineStr">
        <is>
          <t>S. celebration</t>
        </is>
      </c>
      <c r="J2444" s="232" t="inlineStr">
        <is>
          <t>LABORES OPERACIONALES</t>
        </is>
      </c>
      <c r="K2444" s="232" t="inlineStr">
        <is>
          <t>OTROS SERVICIOS</t>
        </is>
      </c>
      <c r="L2444" s="232" t="inlineStr">
        <is>
          <t>[PRORRATEO 4.8% 7.14há/148.3há] SERV.CONTRATISTA</t>
        </is>
      </c>
      <c r="M2444" s="232" t="inlineStr"/>
      <c r="N2444" s="232" t="inlineStr">
        <is>
          <t>.   .   -</t>
        </is>
      </c>
      <c r="O2444" s="232" t="inlineStr">
        <is>
          <t>MARZO</t>
        </is>
      </c>
      <c r="P2444" s="232" t="n">
        <v>9</v>
      </c>
      <c r="Q2444" s="234" t="n">
        <v>58945</v>
      </c>
      <c r="R2444" s="232" t="inlineStr"/>
      <c r="S2444" s="234" t="n">
        <v>58945</v>
      </c>
      <c r="T2444" s="232" t="inlineStr">
        <is>
          <t>CLP</t>
        </is>
      </c>
      <c r="U2444" s="232" t="inlineStr">
        <is>
          <t>Prorrateo Ha PACKING</t>
        </is>
      </c>
      <c r="V2444" s="232" t="inlineStr">
        <is>
          <t>2026-06-18</t>
        </is>
      </c>
    </row>
    <row r="2445">
      <c r="A2445" s="232" t="inlineStr">
        <is>
          <t>CR-2442</t>
        </is>
      </c>
      <c r="B2445" s="232" t="inlineStr">
        <is>
          <t>2026/27</t>
        </is>
      </c>
      <c r="C2445" s="233" t="n">
        <v>46085</v>
      </c>
      <c r="D2445" s="232" t="inlineStr">
        <is>
          <t>266</t>
        </is>
      </c>
      <c r="E2445" s="232" t="inlineStr">
        <is>
          <t>PRORRATEO</t>
        </is>
      </c>
      <c r="F2445" s="232" t="inlineStr">
        <is>
          <t>Siberia</t>
        </is>
      </c>
      <c r="G2445" s="232" t="inlineStr">
        <is>
          <t>Timpson 7,1</t>
        </is>
      </c>
      <c r="H2445" s="232" t="inlineStr">
        <is>
          <t>Uvas</t>
        </is>
      </c>
      <c r="I2445" s="232" t="inlineStr">
        <is>
          <t>Timpson</t>
        </is>
      </c>
      <c r="J2445" s="232" t="inlineStr">
        <is>
          <t>LABORES OPERACIONALES</t>
        </is>
      </c>
      <c r="K2445" s="232" t="inlineStr">
        <is>
          <t>OTROS SERVICIOS</t>
        </is>
      </c>
      <c r="L2445" s="232" t="inlineStr">
        <is>
          <t>[PRORRATEO 4.8% 7.1há/148.3há] SERV.CONTRATISTA</t>
        </is>
      </c>
      <c r="M2445" s="232" t="inlineStr"/>
      <c r="N2445" s="232" t="inlineStr">
        <is>
          <t>.   .   -</t>
        </is>
      </c>
      <c r="O2445" s="232" t="inlineStr">
        <is>
          <t>MARZO</t>
        </is>
      </c>
      <c r="P2445" s="232" t="n">
        <v>9</v>
      </c>
      <c r="Q2445" s="234" t="n">
        <v>58614</v>
      </c>
      <c r="R2445" s="232" t="inlineStr"/>
      <c r="S2445" s="234" t="n">
        <v>58614</v>
      </c>
      <c r="T2445" s="232" t="inlineStr">
        <is>
          <t>CLP</t>
        </is>
      </c>
      <c r="U2445" s="232" t="inlineStr">
        <is>
          <t>Prorrateo Ha PACKING</t>
        </is>
      </c>
      <c r="V2445" s="232" t="inlineStr">
        <is>
          <t>2026-06-18</t>
        </is>
      </c>
    </row>
    <row r="2446">
      <c r="A2446" s="232" t="inlineStr">
        <is>
          <t>CR-2443</t>
        </is>
      </c>
      <c r="B2446" s="232" t="inlineStr">
        <is>
          <t>2026/27</t>
        </is>
      </c>
      <c r="C2446" s="233" t="n">
        <v>46086</v>
      </c>
      <c r="D2446" s="232" t="inlineStr">
        <is>
          <t>20478</t>
        </is>
      </c>
      <c r="E2446" s="232" t="inlineStr">
        <is>
          <t>PRORRATEO</t>
        </is>
      </c>
      <c r="F2446" s="232" t="inlineStr">
        <is>
          <t>Asmara</t>
        </is>
      </c>
      <c r="G2446" s="232" t="inlineStr">
        <is>
          <t>w. murcott 19,8 ha</t>
        </is>
      </c>
      <c r="H2446" s="232" t="inlineStr">
        <is>
          <t>Mandarina</t>
        </is>
      </c>
      <c r="I2446" s="232" t="inlineStr">
        <is>
          <t>W. murcott</t>
        </is>
      </c>
      <c r="J2446" s="232" t="inlineStr">
        <is>
          <t>MATERIALES COSECHA</t>
        </is>
      </c>
      <c r="K2446" s="232" t="inlineStr">
        <is>
          <t>INSUMOS PACKING</t>
        </is>
      </c>
      <c r="L2446" s="232" t="inlineStr">
        <is>
          <t>[PRORRATEO 13.4% 19.8há/148.3há] O/001440 TACOS</t>
        </is>
      </c>
      <c r="M2446" s="232" t="inlineStr"/>
      <c r="N2446" s="232" t="inlineStr">
        <is>
          <t>.   .   -</t>
        </is>
      </c>
      <c r="O2446" s="232" t="inlineStr">
        <is>
          <t>MARZO</t>
        </is>
      </c>
      <c r="P2446" s="232" t="n">
        <v>9</v>
      </c>
      <c r="Q2446" s="234" t="n">
        <v>3928</v>
      </c>
      <c r="R2446" s="232" t="inlineStr"/>
      <c r="S2446" s="234" t="n">
        <v>3928</v>
      </c>
      <c r="T2446" s="232" t="inlineStr">
        <is>
          <t>CLP</t>
        </is>
      </c>
      <c r="U2446" s="232" t="inlineStr">
        <is>
          <t>Prorrateo Ha PACKING</t>
        </is>
      </c>
      <c r="V2446" s="232" t="inlineStr">
        <is>
          <t>2026-06-18</t>
        </is>
      </c>
    </row>
    <row r="2447">
      <c r="A2447" s="232" t="inlineStr">
        <is>
          <t>CR-2444</t>
        </is>
      </c>
      <c r="B2447" s="232" t="inlineStr">
        <is>
          <t>2026/27</t>
        </is>
      </c>
      <c r="C2447" s="233" t="n">
        <v>46086</v>
      </c>
      <c r="D2447" s="232" t="inlineStr">
        <is>
          <t>20478</t>
        </is>
      </c>
      <c r="E2447" s="232" t="inlineStr">
        <is>
          <t>PRORRATEO</t>
        </is>
      </c>
      <c r="F2447" s="232" t="inlineStr">
        <is>
          <t>Asmara</t>
        </is>
      </c>
      <c r="G2447" s="232" t="inlineStr">
        <is>
          <t>w. murcott 4,9 ha</t>
        </is>
      </c>
      <c r="H2447" s="232" t="inlineStr">
        <is>
          <t>Mandarina</t>
        </is>
      </c>
      <c r="I2447" s="232" t="inlineStr">
        <is>
          <t>W. murcott</t>
        </is>
      </c>
      <c r="J2447" s="232" t="inlineStr">
        <is>
          <t>MATERIALES COSECHA</t>
        </is>
      </c>
      <c r="K2447" s="232" t="inlineStr">
        <is>
          <t>INSUMOS PACKING</t>
        </is>
      </c>
      <c r="L2447" s="232" t="inlineStr">
        <is>
          <t>[PRORRATEO 3.3% 4.9há/148.3há] O/001440 TACOS</t>
        </is>
      </c>
      <c r="M2447" s="232" t="inlineStr"/>
      <c r="N2447" s="232" t="inlineStr">
        <is>
          <t>.   .   -</t>
        </is>
      </c>
      <c r="O2447" s="232" t="inlineStr">
        <is>
          <t>MARZO</t>
        </is>
      </c>
      <c r="P2447" s="232" t="n">
        <v>9</v>
      </c>
      <c r="Q2447" s="234" t="n">
        <v>972</v>
      </c>
      <c r="R2447" s="232" t="inlineStr"/>
      <c r="S2447" s="234" t="n">
        <v>972</v>
      </c>
      <c r="T2447" s="232" t="inlineStr">
        <is>
          <t>CLP</t>
        </is>
      </c>
      <c r="U2447" s="232" t="inlineStr">
        <is>
          <t>Prorrateo Ha PACKING</t>
        </is>
      </c>
      <c r="V2447" s="232" t="inlineStr">
        <is>
          <t>2026-06-18</t>
        </is>
      </c>
    </row>
    <row r="2448">
      <c r="A2448" s="232" t="inlineStr">
        <is>
          <t>CR-2445</t>
        </is>
      </c>
      <c r="B2448" s="232" t="inlineStr">
        <is>
          <t>2026/27</t>
        </is>
      </c>
      <c r="C2448" s="233" t="n">
        <v>46086</v>
      </c>
      <c r="D2448" s="232" t="inlineStr">
        <is>
          <t>20478</t>
        </is>
      </c>
      <c r="E2448" s="232" t="inlineStr">
        <is>
          <t>PRORRATEO</t>
        </is>
      </c>
      <c r="F2448" s="232" t="inlineStr">
        <is>
          <t>El Molle</t>
        </is>
      </c>
      <c r="G2448" s="232" t="inlineStr">
        <is>
          <t>Wonderful 5,25 ha</t>
        </is>
      </c>
      <c r="H2448" s="232" t="inlineStr">
        <is>
          <t>Granados</t>
        </is>
      </c>
      <c r="I2448" s="232" t="inlineStr">
        <is>
          <t>Wonderfull</t>
        </is>
      </c>
      <c r="J2448" s="232" t="inlineStr">
        <is>
          <t>MATERIALES COSECHA</t>
        </is>
      </c>
      <c r="K2448" s="232" t="inlineStr">
        <is>
          <t>INSUMOS PACKING</t>
        </is>
      </c>
      <c r="L2448" s="232" t="inlineStr">
        <is>
          <t>[PRORRATEO 3.5% 5.24há/148.3há] O/001440 TACOS</t>
        </is>
      </c>
      <c r="M2448" s="232" t="inlineStr"/>
      <c r="N2448" s="232" t="inlineStr">
        <is>
          <t>.   .   -</t>
        </is>
      </c>
      <c r="O2448" s="232" t="inlineStr">
        <is>
          <t>MARZO</t>
        </is>
      </c>
      <c r="P2448" s="232" t="n">
        <v>9</v>
      </c>
      <c r="Q2448" s="234" t="n">
        <v>1040</v>
      </c>
      <c r="R2448" s="232" t="inlineStr"/>
      <c r="S2448" s="234" t="n">
        <v>1040</v>
      </c>
      <c r="T2448" s="232" t="inlineStr">
        <is>
          <t>CLP</t>
        </is>
      </c>
      <c r="U2448" s="232" t="inlineStr">
        <is>
          <t>Prorrateo Ha PACKING</t>
        </is>
      </c>
      <c r="V2448" s="232" t="inlineStr">
        <is>
          <t>2026-06-18</t>
        </is>
      </c>
    </row>
    <row r="2449">
      <c r="A2449" s="232" t="inlineStr">
        <is>
          <t>CR-2446</t>
        </is>
      </c>
      <c r="B2449" s="232" t="inlineStr">
        <is>
          <t>2026/27</t>
        </is>
      </c>
      <c r="C2449" s="233" t="n">
        <v>46086</v>
      </c>
      <c r="D2449" s="232" t="inlineStr">
        <is>
          <t>20478</t>
        </is>
      </c>
      <c r="E2449" s="232" t="inlineStr">
        <is>
          <t>PRORRATEO</t>
        </is>
      </c>
      <c r="F2449" s="232" t="inlineStr">
        <is>
          <t>El Molle</t>
        </is>
      </c>
      <c r="G2449" s="232" t="inlineStr">
        <is>
          <t>arrufatinas 5,74 ha</t>
        </is>
      </c>
      <c r="H2449" s="232" t="inlineStr">
        <is>
          <t>Clementinas</t>
        </is>
      </c>
      <c r="I2449" s="232" t="inlineStr">
        <is>
          <t>Arrufatinas</t>
        </is>
      </c>
      <c r="J2449" s="232" t="inlineStr">
        <is>
          <t>MATERIALES COSECHA</t>
        </is>
      </c>
      <c r="K2449" s="232" t="inlineStr">
        <is>
          <t>INSUMOS PACKING</t>
        </is>
      </c>
      <c r="L2449" s="232" t="inlineStr">
        <is>
          <t>[PRORRATEO 3.9% 5.74há/148.3há] O/001440 TACOS</t>
        </is>
      </c>
      <c r="M2449" s="232" t="inlineStr"/>
      <c r="N2449" s="232" t="inlineStr">
        <is>
          <t>.   .   -</t>
        </is>
      </c>
      <c r="O2449" s="232" t="inlineStr">
        <is>
          <t>MARZO</t>
        </is>
      </c>
      <c r="P2449" s="232" t="n">
        <v>9</v>
      </c>
      <c r="Q2449" s="234" t="n">
        <v>1139</v>
      </c>
      <c r="R2449" s="232" t="inlineStr"/>
      <c r="S2449" s="234" t="n">
        <v>1139</v>
      </c>
      <c r="T2449" s="232" t="inlineStr">
        <is>
          <t>CLP</t>
        </is>
      </c>
      <c r="U2449" s="232" t="inlineStr">
        <is>
          <t>Prorrateo Ha PACKING</t>
        </is>
      </c>
      <c r="V2449" s="232" t="inlineStr">
        <is>
          <t>2026-06-18</t>
        </is>
      </c>
    </row>
    <row r="2450">
      <c r="A2450" s="232" t="inlineStr">
        <is>
          <t>CR-2447</t>
        </is>
      </c>
      <c r="B2450" s="232" t="inlineStr">
        <is>
          <t>2026/27</t>
        </is>
      </c>
      <c r="C2450" s="233" t="n">
        <v>46086</v>
      </c>
      <c r="D2450" s="232" t="inlineStr">
        <is>
          <t>20478</t>
        </is>
      </c>
      <c r="E2450" s="232" t="inlineStr">
        <is>
          <t>PRORRATEO</t>
        </is>
      </c>
      <c r="F2450" s="232" t="inlineStr">
        <is>
          <t>El Molle</t>
        </is>
      </c>
      <c r="G2450" s="232" t="inlineStr">
        <is>
          <t>orogrande 8,11 ha</t>
        </is>
      </c>
      <c r="H2450" s="232" t="inlineStr">
        <is>
          <t>Clementinas</t>
        </is>
      </c>
      <c r="I2450" s="232" t="inlineStr">
        <is>
          <t>Orogrande</t>
        </is>
      </c>
      <c r="J2450" s="232" t="inlineStr">
        <is>
          <t>MATERIALES COSECHA</t>
        </is>
      </c>
      <c r="K2450" s="232" t="inlineStr">
        <is>
          <t>INSUMOS PACKING</t>
        </is>
      </c>
      <c r="L2450" s="232" t="inlineStr">
        <is>
          <t>[PRORRATEO 5.5% 8.11há/148.3há] O/001440 TACOS</t>
        </is>
      </c>
      <c r="M2450" s="232" t="inlineStr"/>
      <c r="N2450" s="232" t="inlineStr">
        <is>
          <t>.   .   -</t>
        </is>
      </c>
      <c r="O2450" s="232" t="inlineStr">
        <is>
          <t>MARZO</t>
        </is>
      </c>
      <c r="P2450" s="232" t="n">
        <v>9</v>
      </c>
      <c r="Q2450" s="234" t="n">
        <v>1609</v>
      </c>
      <c r="R2450" s="232" t="inlineStr"/>
      <c r="S2450" s="234" t="n">
        <v>1609</v>
      </c>
      <c r="T2450" s="232" t="inlineStr">
        <is>
          <t>CLP</t>
        </is>
      </c>
      <c r="U2450" s="232" t="inlineStr">
        <is>
          <t>Prorrateo Ha PACKING</t>
        </is>
      </c>
      <c r="V2450" s="232" t="inlineStr">
        <is>
          <t>2026-06-18</t>
        </is>
      </c>
    </row>
    <row r="2451">
      <c r="A2451" s="232" t="inlineStr">
        <is>
          <t>CR-2448</t>
        </is>
      </c>
      <c r="B2451" s="232" t="inlineStr">
        <is>
          <t>2026/27</t>
        </is>
      </c>
      <c r="C2451" s="233" t="n">
        <v>46086</v>
      </c>
      <c r="D2451" s="232" t="inlineStr">
        <is>
          <t>20478</t>
        </is>
      </c>
      <c r="E2451" s="232" t="inlineStr">
        <is>
          <t>PRORRATEO</t>
        </is>
      </c>
      <c r="F2451" s="232" t="inlineStr">
        <is>
          <t>El Molle</t>
        </is>
      </c>
      <c r="G2451" s="232" t="inlineStr">
        <is>
          <t>oronules 5,35 ha</t>
        </is>
      </c>
      <c r="H2451" s="232" t="inlineStr">
        <is>
          <t>Clementinas</t>
        </is>
      </c>
      <c r="I2451" s="232" t="inlineStr">
        <is>
          <t>Oronules</t>
        </is>
      </c>
      <c r="J2451" s="232" t="inlineStr">
        <is>
          <t>MATERIALES COSECHA</t>
        </is>
      </c>
      <c r="K2451" s="232" t="inlineStr">
        <is>
          <t>INSUMOS PACKING</t>
        </is>
      </c>
      <c r="L2451" s="232" t="inlineStr">
        <is>
          <t>[PRORRATEO 3.6% 5.35há/148.3há] O/001440 TACOS</t>
        </is>
      </c>
      <c r="M2451" s="232" t="inlineStr"/>
      <c r="N2451" s="232" t="inlineStr">
        <is>
          <t>.   .   -</t>
        </is>
      </c>
      <c r="O2451" s="232" t="inlineStr">
        <is>
          <t>MARZO</t>
        </is>
      </c>
      <c r="P2451" s="232" t="n">
        <v>9</v>
      </c>
      <c r="Q2451" s="234" t="n">
        <v>1061</v>
      </c>
      <c r="R2451" s="232" t="inlineStr"/>
      <c r="S2451" s="234" t="n">
        <v>1061</v>
      </c>
      <c r="T2451" s="232" t="inlineStr">
        <is>
          <t>CLP</t>
        </is>
      </c>
      <c r="U2451" s="232" t="inlineStr">
        <is>
          <t>Prorrateo Ha PACKING</t>
        </is>
      </c>
      <c r="V2451" s="232" t="inlineStr">
        <is>
          <t>2026-06-18</t>
        </is>
      </c>
    </row>
    <row r="2452">
      <c r="A2452" s="232" t="inlineStr">
        <is>
          <t>CR-2449</t>
        </is>
      </c>
      <c r="B2452" s="232" t="inlineStr">
        <is>
          <t>2026/27</t>
        </is>
      </c>
      <c r="C2452" s="233" t="n">
        <v>46086</v>
      </c>
      <c r="D2452" s="232" t="inlineStr">
        <is>
          <t>20478</t>
        </is>
      </c>
      <c r="E2452" s="232" t="inlineStr">
        <is>
          <t>PRORRATEO</t>
        </is>
      </c>
      <c r="F2452" s="232" t="inlineStr">
        <is>
          <t>Santa Catalina</t>
        </is>
      </c>
      <c r="G2452" s="232" t="inlineStr">
        <is>
          <t>Fino 49 7,7 ha</t>
        </is>
      </c>
      <c r="H2452" s="232" t="inlineStr">
        <is>
          <t>Limon</t>
        </is>
      </c>
      <c r="I2452" s="232" t="inlineStr">
        <is>
          <t>Fino 49</t>
        </is>
      </c>
      <c r="J2452" s="232" t="inlineStr">
        <is>
          <t>MATERIALES COSECHA</t>
        </is>
      </c>
      <c r="K2452" s="232" t="inlineStr">
        <is>
          <t>INSUMOS PACKING</t>
        </is>
      </c>
      <c r="L2452" s="232" t="inlineStr">
        <is>
          <t>[PRORRATEO 5.2% 7.7há/148.3há] O/001440 TACOS</t>
        </is>
      </c>
      <c r="M2452" s="232" t="inlineStr"/>
      <c r="N2452" s="232" t="inlineStr">
        <is>
          <t>.   .   -</t>
        </is>
      </c>
      <c r="O2452" s="232" t="inlineStr">
        <is>
          <t>MARZO</t>
        </is>
      </c>
      <c r="P2452" s="232" t="n">
        <v>9</v>
      </c>
      <c r="Q2452" s="234" t="n">
        <v>1528</v>
      </c>
      <c r="R2452" s="232" t="inlineStr"/>
      <c r="S2452" s="234" t="n">
        <v>1528</v>
      </c>
      <c r="T2452" s="232" t="inlineStr">
        <is>
          <t>CLP</t>
        </is>
      </c>
      <c r="U2452" s="232" t="inlineStr">
        <is>
          <t>Prorrateo Ha PACKING</t>
        </is>
      </c>
      <c r="V2452" s="232" t="inlineStr">
        <is>
          <t>2026-06-18</t>
        </is>
      </c>
    </row>
    <row r="2453">
      <c r="A2453" s="232" t="inlineStr">
        <is>
          <t>CR-2450</t>
        </is>
      </c>
      <c r="B2453" s="232" t="inlineStr">
        <is>
          <t>2026/27</t>
        </is>
      </c>
      <c r="C2453" s="233" t="n">
        <v>46086</v>
      </c>
      <c r="D2453" s="232" t="inlineStr">
        <is>
          <t>20478</t>
        </is>
      </c>
      <c r="E2453" s="232" t="inlineStr">
        <is>
          <t>PRORRATEO</t>
        </is>
      </c>
      <c r="F2453" s="232" t="inlineStr">
        <is>
          <t>Santa Catalina</t>
        </is>
      </c>
      <c r="G2453" s="232" t="inlineStr">
        <is>
          <t>W. murcott 21 ha</t>
        </is>
      </c>
      <c r="H2453" s="232" t="inlineStr">
        <is>
          <t>Mandarina</t>
        </is>
      </c>
      <c r="I2453" s="232" t="inlineStr">
        <is>
          <t>W. murcott</t>
        </is>
      </c>
      <c r="J2453" s="232" t="inlineStr">
        <is>
          <t>MATERIALES COSECHA</t>
        </is>
      </c>
      <c r="K2453" s="232" t="inlineStr">
        <is>
          <t>INSUMOS PACKING</t>
        </is>
      </c>
      <c r="L2453" s="232" t="inlineStr">
        <is>
          <t>[PRORRATEO 14.2% 21.0há/148.3há] O/001440 TACOS</t>
        </is>
      </c>
      <c r="M2453" s="232" t="inlineStr"/>
      <c r="N2453" s="232" t="inlineStr">
        <is>
          <t>.   .   -</t>
        </is>
      </c>
      <c r="O2453" s="232" t="inlineStr">
        <is>
          <t>MARZO</t>
        </is>
      </c>
      <c r="P2453" s="232" t="n">
        <v>9</v>
      </c>
      <c r="Q2453" s="234" t="n">
        <v>4166</v>
      </c>
      <c r="R2453" s="232" t="inlineStr"/>
      <c r="S2453" s="234" t="n">
        <v>4166</v>
      </c>
      <c r="T2453" s="232" t="inlineStr">
        <is>
          <t>CLP</t>
        </is>
      </c>
      <c r="U2453" s="232" t="inlineStr">
        <is>
          <t>Prorrateo Ha PACKING</t>
        </is>
      </c>
      <c r="V2453" s="232" t="inlineStr">
        <is>
          <t>2026-06-18</t>
        </is>
      </c>
    </row>
    <row r="2454">
      <c r="A2454" s="232" t="inlineStr">
        <is>
          <t>CR-2451</t>
        </is>
      </c>
      <c r="B2454" s="232" t="inlineStr">
        <is>
          <t>2026/27</t>
        </is>
      </c>
      <c r="C2454" s="233" t="n">
        <v>46086</v>
      </c>
      <c r="D2454" s="232" t="inlineStr">
        <is>
          <t>20478</t>
        </is>
      </c>
      <c r="E2454" s="232" t="inlineStr">
        <is>
          <t>PRORRATEO</t>
        </is>
      </c>
      <c r="F2454" s="232" t="inlineStr">
        <is>
          <t>Santa Catalina</t>
        </is>
      </c>
      <c r="G2454" s="232" t="inlineStr">
        <is>
          <t>cambria 4,2 ha</t>
        </is>
      </c>
      <c r="H2454" s="232" t="inlineStr">
        <is>
          <t>Naranjas</t>
        </is>
      </c>
      <c r="I2454" s="232" t="inlineStr">
        <is>
          <t>Cambria</t>
        </is>
      </c>
      <c r="J2454" s="232" t="inlineStr">
        <is>
          <t>MATERIALES COSECHA</t>
        </is>
      </c>
      <c r="K2454" s="232" t="inlineStr">
        <is>
          <t>INSUMOS PACKING</t>
        </is>
      </c>
      <c r="L2454" s="232" t="inlineStr">
        <is>
          <t>[PRORRATEO 2.8% 4.2há/148.3há] O/001440 TACOS</t>
        </is>
      </c>
      <c r="M2454" s="232" t="inlineStr"/>
      <c r="N2454" s="232" t="inlineStr">
        <is>
          <t>.   .   -</t>
        </is>
      </c>
      <c r="O2454" s="232" t="inlineStr">
        <is>
          <t>MARZO</t>
        </is>
      </c>
      <c r="P2454" s="232" t="n">
        <v>9</v>
      </c>
      <c r="Q2454" s="234" t="n">
        <v>833</v>
      </c>
      <c r="R2454" s="232" t="inlineStr"/>
      <c r="S2454" s="234" t="n">
        <v>833</v>
      </c>
      <c r="T2454" s="232" t="inlineStr">
        <is>
          <t>CLP</t>
        </is>
      </c>
      <c r="U2454" s="232" t="inlineStr">
        <is>
          <t>Prorrateo Ha PACKING</t>
        </is>
      </c>
      <c r="V2454" s="232" t="inlineStr">
        <is>
          <t>2026-06-18</t>
        </is>
      </c>
    </row>
    <row r="2455">
      <c r="A2455" s="232" t="inlineStr">
        <is>
          <t>CR-2452</t>
        </is>
      </c>
      <c r="B2455" s="232" t="inlineStr">
        <is>
          <t>2026/27</t>
        </is>
      </c>
      <c r="C2455" s="233" t="n">
        <v>46086</v>
      </c>
      <c r="D2455" s="232" t="inlineStr">
        <is>
          <t>20478</t>
        </is>
      </c>
      <c r="E2455" s="232" t="inlineStr">
        <is>
          <t>PRORRATEO</t>
        </is>
      </c>
      <c r="F2455" s="232" t="inlineStr">
        <is>
          <t>Santa Catalina</t>
        </is>
      </c>
      <c r="G2455" s="232" t="inlineStr">
        <is>
          <t>eureka 10,6 ha</t>
        </is>
      </c>
      <c r="H2455" s="232" t="inlineStr">
        <is>
          <t>Limon</t>
        </is>
      </c>
      <c r="I2455" s="232" t="inlineStr">
        <is>
          <t>Eureka</t>
        </is>
      </c>
      <c r="J2455" s="232" t="inlineStr">
        <is>
          <t>MATERIALES COSECHA</t>
        </is>
      </c>
      <c r="K2455" s="232" t="inlineStr">
        <is>
          <t>INSUMOS PACKING</t>
        </is>
      </c>
      <c r="L2455" s="232" t="inlineStr">
        <is>
          <t>[PRORRATEO 7.1% 10.6há/148.3há] O/001440 TACOS</t>
        </is>
      </c>
      <c r="M2455" s="232" t="inlineStr"/>
      <c r="N2455" s="232" t="inlineStr">
        <is>
          <t>.   .   -</t>
        </is>
      </c>
      <c r="O2455" s="232" t="inlineStr">
        <is>
          <t>MARZO</t>
        </is>
      </c>
      <c r="P2455" s="232" t="n">
        <v>9</v>
      </c>
      <c r="Q2455" s="234" t="n">
        <v>2103</v>
      </c>
      <c r="R2455" s="232" t="inlineStr"/>
      <c r="S2455" s="234" t="n">
        <v>2103</v>
      </c>
      <c r="T2455" s="232" t="inlineStr">
        <is>
          <t>CLP</t>
        </is>
      </c>
      <c r="U2455" s="232" t="inlineStr">
        <is>
          <t>Prorrateo Ha PACKING</t>
        </is>
      </c>
      <c r="V2455" s="232" t="inlineStr">
        <is>
          <t>2026-06-18</t>
        </is>
      </c>
    </row>
    <row r="2456">
      <c r="A2456" s="232" t="inlineStr">
        <is>
          <t>CR-2453</t>
        </is>
      </c>
      <c r="B2456" s="232" t="inlineStr">
        <is>
          <t>2026/27</t>
        </is>
      </c>
      <c r="C2456" s="233" t="n">
        <v>46086</v>
      </c>
      <c r="D2456" s="232" t="inlineStr">
        <is>
          <t>20478</t>
        </is>
      </c>
      <c r="E2456" s="232" t="inlineStr">
        <is>
          <t>PRORRATEO</t>
        </is>
      </c>
      <c r="F2456" s="232" t="inlineStr">
        <is>
          <t>Santa Catalina</t>
        </is>
      </c>
      <c r="G2456" s="232" t="inlineStr">
        <is>
          <t>eureka 14,4 ha</t>
        </is>
      </c>
      <c r="H2456" s="232" t="inlineStr">
        <is>
          <t>Limon</t>
        </is>
      </c>
      <c r="I2456" s="232" t="inlineStr">
        <is>
          <t>Eureka</t>
        </is>
      </c>
      <c r="J2456" s="232" t="inlineStr">
        <is>
          <t>MATERIALES COSECHA</t>
        </is>
      </c>
      <c r="K2456" s="232" t="inlineStr">
        <is>
          <t>INSUMOS PACKING</t>
        </is>
      </c>
      <c r="L2456" s="232" t="inlineStr">
        <is>
          <t>[PRORRATEO 9.7% 14.4há/148.3há] O/001440 TACOS</t>
        </is>
      </c>
      <c r="M2456" s="232" t="inlineStr"/>
      <c r="N2456" s="232" t="inlineStr">
        <is>
          <t>.   .   -</t>
        </is>
      </c>
      <c r="O2456" s="232" t="inlineStr">
        <is>
          <t>MARZO</t>
        </is>
      </c>
      <c r="P2456" s="232" t="n">
        <v>9</v>
      </c>
      <c r="Q2456" s="234" t="n">
        <v>2857</v>
      </c>
      <c r="R2456" s="232" t="inlineStr"/>
      <c r="S2456" s="234" t="n">
        <v>2857</v>
      </c>
      <c r="T2456" s="232" t="inlineStr">
        <is>
          <t>CLP</t>
        </is>
      </c>
      <c r="U2456" s="232" t="inlineStr">
        <is>
          <t>Prorrateo Ha PACKING</t>
        </is>
      </c>
      <c r="V2456" s="232" t="inlineStr">
        <is>
          <t>2026-06-18</t>
        </is>
      </c>
    </row>
    <row r="2457">
      <c r="A2457" s="232" t="inlineStr">
        <is>
          <t>CR-2454</t>
        </is>
      </c>
      <c r="B2457" s="232" t="inlineStr">
        <is>
          <t>2026/27</t>
        </is>
      </c>
      <c r="C2457" s="233" t="n">
        <v>46086</v>
      </c>
      <c r="D2457" s="232" t="inlineStr">
        <is>
          <t>20478</t>
        </is>
      </c>
      <c r="E2457" s="232" t="inlineStr">
        <is>
          <t>PRORRATEO</t>
        </is>
      </c>
      <c r="F2457" s="232" t="inlineStr">
        <is>
          <t>Santa Catalina</t>
        </is>
      </c>
      <c r="G2457" s="232" t="inlineStr">
        <is>
          <t>eureka 22,55</t>
        </is>
      </c>
      <c r="H2457" s="232" t="inlineStr">
        <is>
          <t>Limon</t>
        </is>
      </c>
      <c r="I2457" s="232" t="inlineStr">
        <is>
          <t>Eureka</t>
        </is>
      </c>
      <c r="J2457" s="232" t="inlineStr">
        <is>
          <t>MATERIALES COSECHA</t>
        </is>
      </c>
      <c r="K2457" s="232" t="inlineStr">
        <is>
          <t>INSUMOS PACKING</t>
        </is>
      </c>
      <c r="L2457" s="232" t="inlineStr">
        <is>
          <t>[PRORRATEO 15.2% 22.55há/148.3há] O/001440 TACOS</t>
        </is>
      </c>
      <c r="M2457" s="232" t="inlineStr"/>
      <c r="N2457" s="232" t="inlineStr">
        <is>
          <t>.   .   -</t>
        </is>
      </c>
      <c r="O2457" s="232" t="inlineStr">
        <is>
          <t>MARZO</t>
        </is>
      </c>
      <c r="P2457" s="232" t="n">
        <v>9</v>
      </c>
      <c r="Q2457" s="234" t="n">
        <v>4473</v>
      </c>
      <c r="R2457" s="232" t="inlineStr"/>
      <c r="S2457" s="234" t="n">
        <v>4473</v>
      </c>
      <c r="T2457" s="232" t="inlineStr">
        <is>
          <t>CLP</t>
        </is>
      </c>
      <c r="U2457" s="232" t="inlineStr">
        <is>
          <t>Prorrateo Ha PACKING</t>
        </is>
      </c>
      <c r="V2457" s="232" t="inlineStr">
        <is>
          <t>2026-06-18</t>
        </is>
      </c>
    </row>
    <row r="2458">
      <c r="A2458" s="232" t="inlineStr">
        <is>
          <t>CR-2455</t>
        </is>
      </c>
      <c r="B2458" s="232" t="inlineStr">
        <is>
          <t>2026/27</t>
        </is>
      </c>
      <c r="C2458" s="233" t="n">
        <v>46086</v>
      </c>
      <c r="D2458" s="232" t="inlineStr">
        <is>
          <t>20478</t>
        </is>
      </c>
      <c r="E2458" s="232" t="inlineStr">
        <is>
          <t>PRORRATEO</t>
        </is>
      </c>
      <c r="F2458" s="232" t="inlineStr">
        <is>
          <t>Santa Catalina</t>
        </is>
      </c>
      <c r="G2458" s="232" t="inlineStr">
        <is>
          <t>form benjamin 1,93 ha</t>
        </is>
      </c>
      <c r="H2458" s="232" t="inlineStr">
        <is>
          <t>Limon</t>
        </is>
      </c>
      <c r="I2458" s="232" t="inlineStr">
        <is>
          <t>Benjamin andes</t>
        </is>
      </c>
      <c r="J2458" s="232" t="inlineStr">
        <is>
          <t>MATERIALES COSECHA</t>
        </is>
      </c>
      <c r="K2458" s="232" t="inlineStr">
        <is>
          <t>INSUMOS PACKING</t>
        </is>
      </c>
      <c r="L2458" s="232" t="inlineStr">
        <is>
          <t>[PRORRATEO 1.3% 1.93há/148.3há] O/001440 TACOS</t>
        </is>
      </c>
      <c r="M2458" s="232" t="inlineStr"/>
      <c r="N2458" s="232" t="inlineStr">
        <is>
          <t>.   .   -</t>
        </is>
      </c>
      <c r="O2458" s="232" t="inlineStr">
        <is>
          <t>MARZO</t>
        </is>
      </c>
      <c r="P2458" s="232" t="n">
        <v>9</v>
      </c>
      <c r="Q2458" s="234" t="n">
        <v>383</v>
      </c>
      <c r="R2458" s="232" t="inlineStr"/>
      <c r="S2458" s="234" t="n">
        <v>383</v>
      </c>
      <c r="T2458" s="232" t="inlineStr">
        <is>
          <t>CLP</t>
        </is>
      </c>
      <c r="U2458" s="232" t="inlineStr">
        <is>
          <t>Prorrateo Ha PACKING</t>
        </is>
      </c>
      <c r="V2458" s="232" t="inlineStr">
        <is>
          <t>2026-06-18</t>
        </is>
      </c>
    </row>
    <row r="2459">
      <c r="A2459" s="232" t="inlineStr">
        <is>
          <t>CR-2456</t>
        </is>
      </c>
      <c r="B2459" s="232" t="inlineStr">
        <is>
          <t>2026/27</t>
        </is>
      </c>
      <c r="C2459" s="233" t="n">
        <v>46086</v>
      </c>
      <c r="D2459" s="232" t="inlineStr">
        <is>
          <t>20478</t>
        </is>
      </c>
      <c r="E2459" s="232" t="inlineStr">
        <is>
          <t>PRORRATEO</t>
        </is>
      </c>
      <c r="F2459" s="232" t="inlineStr">
        <is>
          <t>Santa Catalina</t>
        </is>
      </c>
      <c r="G2459" s="232" t="inlineStr">
        <is>
          <t>mant eureka 2,5 ha</t>
        </is>
      </c>
      <c r="H2459" s="232" t="inlineStr">
        <is>
          <t>Limon</t>
        </is>
      </c>
      <c r="I2459" s="232" t="inlineStr">
        <is>
          <t>Eureka</t>
        </is>
      </c>
      <c r="J2459" s="232" t="inlineStr">
        <is>
          <t>MATERIALES COSECHA</t>
        </is>
      </c>
      <c r="K2459" s="232" t="inlineStr">
        <is>
          <t>INSUMOS PACKING</t>
        </is>
      </c>
      <c r="L2459" s="232" t="inlineStr">
        <is>
          <t>[PRORRATEO 1.7% 2.5há/148.3há] O/001440 TACOS</t>
        </is>
      </c>
      <c r="M2459" s="232" t="inlineStr"/>
      <c r="N2459" s="232" t="inlineStr">
        <is>
          <t>.   .   -</t>
        </is>
      </c>
      <c r="O2459" s="232" t="inlineStr">
        <is>
          <t>MARZO</t>
        </is>
      </c>
      <c r="P2459" s="232" t="n">
        <v>9</v>
      </c>
      <c r="Q2459" s="234" t="n">
        <v>496</v>
      </c>
      <c r="R2459" s="232" t="inlineStr"/>
      <c r="S2459" s="234" t="n">
        <v>496</v>
      </c>
      <c r="T2459" s="232" t="inlineStr">
        <is>
          <t>CLP</t>
        </is>
      </c>
      <c r="U2459" s="232" t="inlineStr">
        <is>
          <t>Prorrateo Ha PACKING</t>
        </is>
      </c>
      <c r="V2459" s="232" t="inlineStr">
        <is>
          <t>2026-06-18</t>
        </is>
      </c>
    </row>
    <row r="2460">
      <c r="A2460" s="232" t="inlineStr">
        <is>
          <t>CR-2457</t>
        </is>
      </c>
      <c r="B2460" s="232" t="inlineStr">
        <is>
          <t>2026/27</t>
        </is>
      </c>
      <c r="C2460" s="233" t="n">
        <v>46086</v>
      </c>
      <c r="D2460" s="232" t="inlineStr">
        <is>
          <t>20478</t>
        </is>
      </c>
      <c r="E2460" s="232" t="inlineStr">
        <is>
          <t>PRORRATEO</t>
        </is>
      </c>
      <c r="F2460" s="232" t="inlineStr">
        <is>
          <t>Siberia</t>
        </is>
      </c>
      <c r="G2460" s="232" t="inlineStr">
        <is>
          <t>S. Celebration 7,14</t>
        </is>
      </c>
      <c r="H2460" s="232" t="inlineStr">
        <is>
          <t>Uvas</t>
        </is>
      </c>
      <c r="I2460" s="232" t="inlineStr">
        <is>
          <t>S. celebration</t>
        </is>
      </c>
      <c r="J2460" s="232" t="inlineStr">
        <is>
          <t>MATERIALES COSECHA</t>
        </is>
      </c>
      <c r="K2460" s="232" t="inlineStr">
        <is>
          <t>INSUMOS PACKING</t>
        </is>
      </c>
      <c r="L2460" s="232" t="inlineStr">
        <is>
          <t>[PRORRATEO 4.8% 7.14há/148.3há] O/001440 TACOS</t>
        </is>
      </c>
      <c r="M2460" s="232" t="inlineStr"/>
      <c r="N2460" s="232" t="inlineStr">
        <is>
          <t>.   .   -</t>
        </is>
      </c>
      <c r="O2460" s="232" t="inlineStr">
        <is>
          <t>MARZO</t>
        </is>
      </c>
      <c r="P2460" s="232" t="n">
        <v>9</v>
      </c>
      <c r="Q2460" s="234" t="n">
        <v>1416</v>
      </c>
      <c r="R2460" s="232" t="inlineStr"/>
      <c r="S2460" s="234" t="n">
        <v>1416</v>
      </c>
      <c r="T2460" s="232" t="inlineStr">
        <is>
          <t>CLP</t>
        </is>
      </c>
      <c r="U2460" s="232" t="inlineStr">
        <is>
          <t>Prorrateo Ha PACKING</t>
        </is>
      </c>
      <c r="V2460" s="232" t="inlineStr">
        <is>
          <t>2026-06-18</t>
        </is>
      </c>
    </row>
    <row r="2461">
      <c r="A2461" s="232" t="inlineStr">
        <is>
          <t>CR-2458</t>
        </is>
      </c>
      <c r="B2461" s="232" t="inlineStr">
        <is>
          <t>2026/27</t>
        </is>
      </c>
      <c r="C2461" s="233" t="n">
        <v>46086</v>
      </c>
      <c r="D2461" s="232" t="inlineStr">
        <is>
          <t>20478</t>
        </is>
      </c>
      <c r="E2461" s="232" t="inlineStr">
        <is>
          <t>PRORRATEO</t>
        </is>
      </c>
      <c r="F2461" s="232" t="inlineStr">
        <is>
          <t>Siberia</t>
        </is>
      </c>
      <c r="G2461" s="232" t="inlineStr">
        <is>
          <t>Timpson 7,1</t>
        </is>
      </c>
      <c r="H2461" s="232" t="inlineStr">
        <is>
          <t>Uvas</t>
        </is>
      </c>
      <c r="I2461" s="232" t="inlineStr">
        <is>
          <t>Timpson</t>
        </is>
      </c>
      <c r="J2461" s="232" t="inlineStr">
        <is>
          <t>MATERIALES COSECHA</t>
        </is>
      </c>
      <c r="K2461" s="232" t="inlineStr">
        <is>
          <t>INSUMOS PACKING</t>
        </is>
      </c>
      <c r="L2461" s="232" t="inlineStr">
        <is>
          <t>[PRORRATEO 4.8% 7.1há/148.3há] O/001440 TACOS</t>
        </is>
      </c>
      <c r="M2461" s="232" t="inlineStr"/>
      <c r="N2461" s="232" t="inlineStr">
        <is>
          <t>.   .   -</t>
        </is>
      </c>
      <c r="O2461" s="232" t="inlineStr">
        <is>
          <t>MARZO</t>
        </is>
      </c>
      <c r="P2461" s="232" t="n">
        <v>9</v>
      </c>
      <c r="Q2461" s="234" t="n">
        <v>1409</v>
      </c>
      <c r="R2461" s="232" t="inlineStr"/>
      <c r="S2461" s="234" t="n">
        <v>1409</v>
      </c>
      <c r="T2461" s="232" t="inlineStr">
        <is>
          <t>CLP</t>
        </is>
      </c>
      <c r="U2461" s="232" t="inlineStr">
        <is>
          <t>Prorrateo Ha PACKING</t>
        </is>
      </c>
      <c r="V2461" s="232" t="inlineStr">
        <is>
          <t>2026-06-18</t>
        </is>
      </c>
    </row>
    <row r="2462">
      <c r="A2462" s="232" t="inlineStr">
        <is>
          <t>CR-2459</t>
        </is>
      </c>
      <c r="B2462" s="232" t="inlineStr">
        <is>
          <t>2026/27</t>
        </is>
      </c>
      <c r="C2462" s="233" t="n">
        <v>46086</v>
      </c>
      <c r="D2462" s="232" t="inlineStr">
        <is>
          <t>677181</t>
        </is>
      </c>
      <c r="E2462" s="232" t="inlineStr">
        <is>
          <t>PRORRATEO</t>
        </is>
      </c>
      <c r="F2462" s="232" t="inlineStr">
        <is>
          <t>Asmara</t>
        </is>
      </c>
      <c r="G2462" s="232" t="inlineStr">
        <is>
          <t>w. murcott 19,8 ha</t>
        </is>
      </c>
      <c r="H2462" s="232" t="inlineStr">
        <is>
          <t>Mandarina</t>
        </is>
      </c>
      <c r="I2462" s="232" t="inlineStr">
        <is>
          <t>W. murcott</t>
        </is>
      </c>
      <c r="J2462" s="232" t="inlineStr">
        <is>
          <t>MANT. Y REP. PLANTACIONES</t>
        </is>
      </c>
      <c r="K2462" s="232" t="inlineStr">
        <is>
          <t>MANTENCION HUERTO</t>
        </is>
      </c>
      <c r="L2462" s="232" t="inlineStr">
        <is>
          <t>[PRORRATEO 13.4% 19.8há/148.3há] O/001436 TOALLA OVE</t>
        </is>
      </c>
      <c r="M2462" s="232" t="inlineStr"/>
      <c r="N2462" s="232" t="inlineStr">
        <is>
          <t>.   .   -</t>
        </is>
      </c>
      <c r="O2462" s="232" t="inlineStr">
        <is>
          <t>MARZO</t>
        </is>
      </c>
      <c r="P2462" s="232" t="n">
        <v>9</v>
      </c>
      <c r="Q2462" s="234" t="n">
        <v>20179</v>
      </c>
      <c r="R2462" s="232" t="inlineStr"/>
      <c r="S2462" s="234" t="n">
        <v>20179</v>
      </c>
      <c r="T2462" s="232" t="inlineStr">
        <is>
          <t>CLP</t>
        </is>
      </c>
      <c r="U2462" s="232" t="inlineStr">
        <is>
          <t>Prorrateo Ha PACKING</t>
        </is>
      </c>
      <c r="V2462" s="232" t="inlineStr">
        <is>
          <t>2026-06-18</t>
        </is>
      </c>
    </row>
    <row r="2463">
      <c r="A2463" s="232" t="inlineStr">
        <is>
          <t>CR-2460</t>
        </is>
      </c>
      <c r="B2463" s="232" t="inlineStr">
        <is>
          <t>2026/27</t>
        </is>
      </c>
      <c r="C2463" s="233" t="n">
        <v>46086</v>
      </c>
      <c r="D2463" s="232" t="inlineStr">
        <is>
          <t>677181</t>
        </is>
      </c>
      <c r="E2463" s="232" t="inlineStr">
        <is>
          <t>PRORRATEO</t>
        </is>
      </c>
      <c r="F2463" s="232" t="inlineStr">
        <is>
          <t>Asmara</t>
        </is>
      </c>
      <c r="G2463" s="232" t="inlineStr">
        <is>
          <t>w. murcott 4,9 ha</t>
        </is>
      </c>
      <c r="H2463" s="232" t="inlineStr">
        <is>
          <t>Mandarina</t>
        </is>
      </c>
      <c r="I2463" s="232" t="inlineStr">
        <is>
          <t>W. murcott</t>
        </is>
      </c>
      <c r="J2463" s="232" t="inlineStr">
        <is>
          <t>MANT. Y REP. PLANTACIONES</t>
        </is>
      </c>
      <c r="K2463" s="232" t="inlineStr">
        <is>
          <t>MANTENCION HUERTO</t>
        </is>
      </c>
      <c r="L2463" s="232" t="inlineStr">
        <is>
          <t>[PRORRATEO 3.3% 4.9há/148.3há] O/001436 TOALLA OVE</t>
        </is>
      </c>
      <c r="M2463" s="232" t="inlineStr"/>
      <c r="N2463" s="232" t="inlineStr">
        <is>
          <t>.   .   -</t>
        </is>
      </c>
      <c r="O2463" s="232" t="inlineStr">
        <is>
          <t>MARZO</t>
        </is>
      </c>
      <c r="P2463" s="232" t="n">
        <v>9</v>
      </c>
      <c r="Q2463" s="234" t="n">
        <v>4994</v>
      </c>
      <c r="R2463" s="232" t="inlineStr"/>
      <c r="S2463" s="234" t="n">
        <v>4994</v>
      </c>
      <c r="T2463" s="232" t="inlineStr">
        <is>
          <t>CLP</t>
        </is>
      </c>
      <c r="U2463" s="232" t="inlineStr">
        <is>
          <t>Prorrateo Ha PACKING</t>
        </is>
      </c>
      <c r="V2463" s="232" t="inlineStr">
        <is>
          <t>2026-06-18</t>
        </is>
      </c>
    </row>
    <row r="2464">
      <c r="A2464" s="232" t="inlineStr">
        <is>
          <t>CR-2461</t>
        </is>
      </c>
      <c r="B2464" s="232" t="inlineStr">
        <is>
          <t>2026/27</t>
        </is>
      </c>
      <c r="C2464" s="233" t="n">
        <v>46086</v>
      </c>
      <c r="D2464" s="232" t="inlineStr">
        <is>
          <t>677181</t>
        </is>
      </c>
      <c r="E2464" s="232" t="inlineStr">
        <is>
          <t>PRORRATEO</t>
        </is>
      </c>
      <c r="F2464" s="232" t="inlineStr">
        <is>
          <t>El Molle</t>
        </is>
      </c>
      <c r="G2464" s="232" t="inlineStr">
        <is>
          <t>Wonderful 5,25 ha</t>
        </is>
      </c>
      <c r="H2464" s="232" t="inlineStr">
        <is>
          <t>Granados</t>
        </is>
      </c>
      <c r="I2464" s="232" t="inlineStr">
        <is>
          <t>Wonderfull</t>
        </is>
      </c>
      <c r="J2464" s="232" t="inlineStr">
        <is>
          <t>MANT. Y REP. PLANTACIONES</t>
        </is>
      </c>
      <c r="K2464" s="232" t="inlineStr">
        <is>
          <t>MANTENCION HUERTO</t>
        </is>
      </c>
      <c r="L2464" s="232" t="inlineStr">
        <is>
          <t>[PRORRATEO 3.5% 5.24há/148.3há] O/001436 TOALLA OVE</t>
        </is>
      </c>
      <c r="M2464" s="232" t="inlineStr"/>
      <c r="N2464" s="232" t="inlineStr">
        <is>
          <t>.   .   -</t>
        </is>
      </c>
      <c r="O2464" s="232" t="inlineStr">
        <is>
          <t>MARZO</t>
        </is>
      </c>
      <c r="P2464" s="232" t="n">
        <v>9</v>
      </c>
      <c r="Q2464" s="234" t="n">
        <v>5340</v>
      </c>
      <c r="R2464" s="232" t="inlineStr"/>
      <c r="S2464" s="234" t="n">
        <v>5340</v>
      </c>
      <c r="T2464" s="232" t="inlineStr">
        <is>
          <t>CLP</t>
        </is>
      </c>
      <c r="U2464" s="232" t="inlineStr">
        <is>
          <t>Prorrateo Ha PACKING</t>
        </is>
      </c>
      <c r="V2464" s="232" t="inlineStr">
        <is>
          <t>2026-06-18</t>
        </is>
      </c>
    </row>
    <row r="2465">
      <c r="A2465" s="232" t="inlineStr">
        <is>
          <t>CR-2462</t>
        </is>
      </c>
      <c r="B2465" s="232" t="inlineStr">
        <is>
          <t>2026/27</t>
        </is>
      </c>
      <c r="C2465" s="233" t="n">
        <v>46086</v>
      </c>
      <c r="D2465" s="232" t="inlineStr">
        <is>
          <t>677181</t>
        </is>
      </c>
      <c r="E2465" s="232" t="inlineStr">
        <is>
          <t>PRORRATEO</t>
        </is>
      </c>
      <c r="F2465" s="232" t="inlineStr">
        <is>
          <t>El Molle</t>
        </is>
      </c>
      <c r="G2465" s="232" t="inlineStr">
        <is>
          <t>arrufatinas 5,74 ha</t>
        </is>
      </c>
      <c r="H2465" s="232" t="inlineStr">
        <is>
          <t>Clementinas</t>
        </is>
      </c>
      <c r="I2465" s="232" t="inlineStr">
        <is>
          <t>Arrufatinas</t>
        </is>
      </c>
      <c r="J2465" s="232" t="inlineStr">
        <is>
          <t>MANT. Y REP. PLANTACIONES</t>
        </is>
      </c>
      <c r="K2465" s="232" t="inlineStr">
        <is>
          <t>MANTENCION HUERTO</t>
        </is>
      </c>
      <c r="L2465" s="232" t="inlineStr">
        <is>
          <t>[PRORRATEO 3.9% 5.74há/148.3há] O/001436 TOALLA OVE</t>
        </is>
      </c>
      <c r="M2465" s="232" t="inlineStr"/>
      <c r="N2465" s="232" t="inlineStr">
        <is>
          <t>.   .   -</t>
        </is>
      </c>
      <c r="O2465" s="232" t="inlineStr">
        <is>
          <t>MARZO</t>
        </is>
      </c>
      <c r="P2465" s="232" t="n">
        <v>9</v>
      </c>
      <c r="Q2465" s="234" t="n">
        <v>5850</v>
      </c>
      <c r="R2465" s="232" t="inlineStr"/>
      <c r="S2465" s="234" t="n">
        <v>5850</v>
      </c>
      <c r="T2465" s="232" t="inlineStr">
        <is>
          <t>CLP</t>
        </is>
      </c>
      <c r="U2465" s="232" t="inlineStr">
        <is>
          <t>Prorrateo Ha PACKING</t>
        </is>
      </c>
      <c r="V2465" s="232" t="inlineStr">
        <is>
          <t>2026-06-18</t>
        </is>
      </c>
    </row>
    <row r="2466">
      <c r="A2466" s="232" t="inlineStr">
        <is>
          <t>CR-2463</t>
        </is>
      </c>
      <c r="B2466" s="232" t="inlineStr">
        <is>
          <t>2026/27</t>
        </is>
      </c>
      <c r="C2466" s="233" t="n">
        <v>46086</v>
      </c>
      <c r="D2466" s="232" t="inlineStr">
        <is>
          <t>677181</t>
        </is>
      </c>
      <c r="E2466" s="232" t="inlineStr">
        <is>
          <t>PRORRATEO</t>
        </is>
      </c>
      <c r="F2466" s="232" t="inlineStr">
        <is>
          <t>El Molle</t>
        </is>
      </c>
      <c r="G2466" s="232" t="inlineStr">
        <is>
          <t>orogrande 8,11 ha</t>
        </is>
      </c>
      <c r="H2466" s="232" t="inlineStr">
        <is>
          <t>Clementinas</t>
        </is>
      </c>
      <c r="I2466" s="232" t="inlineStr">
        <is>
          <t>Orogrande</t>
        </is>
      </c>
      <c r="J2466" s="232" t="inlineStr">
        <is>
          <t>MANT. Y REP. PLANTACIONES</t>
        </is>
      </c>
      <c r="K2466" s="232" t="inlineStr">
        <is>
          <t>MANTENCION HUERTO</t>
        </is>
      </c>
      <c r="L2466" s="232" t="inlineStr">
        <is>
          <t>[PRORRATEO 5.5% 8.11há/148.3há] O/001436 TOALLA OVE</t>
        </is>
      </c>
      <c r="M2466" s="232" t="inlineStr"/>
      <c r="N2466" s="232" t="inlineStr">
        <is>
          <t>.   .   -</t>
        </is>
      </c>
      <c r="O2466" s="232" t="inlineStr">
        <is>
          <t>MARZO</t>
        </is>
      </c>
      <c r="P2466" s="232" t="n">
        <v>9</v>
      </c>
      <c r="Q2466" s="234" t="n">
        <v>8265</v>
      </c>
      <c r="R2466" s="232" t="inlineStr"/>
      <c r="S2466" s="234" t="n">
        <v>8265</v>
      </c>
      <c r="T2466" s="232" t="inlineStr">
        <is>
          <t>CLP</t>
        </is>
      </c>
      <c r="U2466" s="232" t="inlineStr">
        <is>
          <t>Prorrateo Ha PACKING</t>
        </is>
      </c>
      <c r="V2466" s="232" t="inlineStr">
        <is>
          <t>2026-06-18</t>
        </is>
      </c>
    </row>
    <row r="2467">
      <c r="A2467" s="232" t="inlineStr">
        <is>
          <t>CR-2464</t>
        </is>
      </c>
      <c r="B2467" s="232" t="inlineStr">
        <is>
          <t>2026/27</t>
        </is>
      </c>
      <c r="C2467" s="233" t="n">
        <v>46086</v>
      </c>
      <c r="D2467" s="232" t="inlineStr">
        <is>
          <t>677181</t>
        </is>
      </c>
      <c r="E2467" s="232" t="inlineStr">
        <is>
          <t>PRORRATEO</t>
        </is>
      </c>
      <c r="F2467" s="232" t="inlineStr">
        <is>
          <t>El Molle</t>
        </is>
      </c>
      <c r="G2467" s="232" t="inlineStr">
        <is>
          <t>oronules 5,35 ha</t>
        </is>
      </c>
      <c r="H2467" s="232" t="inlineStr">
        <is>
          <t>Clementinas</t>
        </is>
      </c>
      <c r="I2467" s="232" t="inlineStr">
        <is>
          <t>Oronules</t>
        </is>
      </c>
      <c r="J2467" s="232" t="inlineStr">
        <is>
          <t>MANT. Y REP. PLANTACIONES</t>
        </is>
      </c>
      <c r="K2467" s="232" t="inlineStr">
        <is>
          <t>MANTENCION HUERTO</t>
        </is>
      </c>
      <c r="L2467" s="232" t="inlineStr">
        <is>
          <t>[PRORRATEO 3.6% 5.35há/148.3há] O/001436 TOALLA OVE</t>
        </is>
      </c>
      <c r="M2467" s="232" t="inlineStr"/>
      <c r="N2467" s="232" t="inlineStr">
        <is>
          <t>.   .   -</t>
        </is>
      </c>
      <c r="O2467" s="232" t="inlineStr">
        <is>
          <t>MARZO</t>
        </is>
      </c>
      <c r="P2467" s="232" t="n">
        <v>9</v>
      </c>
      <c r="Q2467" s="234" t="n">
        <v>5452</v>
      </c>
      <c r="R2467" s="232" t="inlineStr"/>
      <c r="S2467" s="234" t="n">
        <v>5452</v>
      </c>
      <c r="T2467" s="232" t="inlineStr">
        <is>
          <t>CLP</t>
        </is>
      </c>
      <c r="U2467" s="232" t="inlineStr">
        <is>
          <t>Prorrateo Ha PACKING</t>
        </is>
      </c>
      <c r="V2467" s="232" t="inlineStr">
        <is>
          <t>2026-06-18</t>
        </is>
      </c>
    </row>
    <row r="2468">
      <c r="A2468" s="232" t="inlineStr">
        <is>
          <t>CR-2465</t>
        </is>
      </c>
      <c r="B2468" s="232" t="inlineStr">
        <is>
          <t>2026/27</t>
        </is>
      </c>
      <c r="C2468" s="233" t="n">
        <v>46086</v>
      </c>
      <c r="D2468" s="232" t="inlineStr">
        <is>
          <t>677181</t>
        </is>
      </c>
      <c r="E2468" s="232" t="inlineStr">
        <is>
          <t>PRORRATEO</t>
        </is>
      </c>
      <c r="F2468" s="232" t="inlineStr">
        <is>
          <t>Santa Catalina</t>
        </is>
      </c>
      <c r="G2468" s="232" t="inlineStr">
        <is>
          <t>Fino 49 7,7 ha</t>
        </is>
      </c>
      <c r="H2468" s="232" t="inlineStr">
        <is>
          <t>Limon</t>
        </is>
      </c>
      <c r="I2468" s="232" t="inlineStr">
        <is>
          <t>Fino 49</t>
        </is>
      </c>
      <c r="J2468" s="232" t="inlineStr">
        <is>
          <t>MANT. Y REP. PLANTACIONES</t>
        </is>
      </c>
      <c r="K2468" s="232" t="inlineStr">
        <is>
          <t>MANTENCION HUERTO</t>
        </is>
      </c>
      <c r="L2468" s="232" t="inlineStr">
        <is>
          <t>[PRORRATEO 5.2% 7.7há/148.3há] O/001436 TOALLA OVE</t>
        </is>
      </c>
      <c r="M2468" s="232" t="inlineStr"/>
      <c r="N2468" s="232" t="inlineStr">
        <is>
          <t>.   .   -</t>
        </is>
      </c>
      <c r="O2468" s="232" t="inlineStr">
        <is>
          <t>MARZO</t>
        </is>
      </c>
      <c r="P2468" s="232" t="n">
        <v>9</v>
      </c>
      <c r="Q2468" s="234" t="n">
        <v>7847</v>
      </c>
      <c r="R2468" s="232" t="inlineStr"/>
      <c r="S2468" s="234" t="n">
        <v>7847</v>
      </c>
      <c r="T2468" s="232" t="inlineStr">
        <is>
          <t>CLP</t>
        </is>
      </c>
      <c r="U2468" s="232" t="inlineStr">
        <is>
          <t>Prorrateo Ha PACKING</t>
        </is>
      </c>
      <c r="V2468" s="232" t="inlineStr">
        <is>
          <t>2026-06-18</t>
        </is>
      </c>
    </row>
    <row r="2469">
      <c r="A2469" s="232" t="inlineStr">
        <is>
          <t>CR-2466</t>
        </is>
      </c>
      <c r="B2469" s="232" t="inlineStr">
        <is>
          <t>2026/27</t>
        </is>
      </c>
      <c r="C2469" s="233" t="n">
        <v>46086</v>
      </c>
      <c r="D2469" s="232" t="inlineStr">
        <is>
          <t>677181</t>
        </is>
      </c>
      <c r="E2469" s="232" t="inlineStr">
        <is>
          <t>PRORRATEO</t>
        </is>
      </c>
      <c r="F2469" s="232" t="inlineStr">
        <is>
          <t>Santa Catalina</t>
        </is>
      </c>
      <c r="G2469" s="232" t="inlineStr">
        <is>
          <t>W. murcott 21 ha</t>
        </is>
      </c>
      <c r="H2469" s="232" t="inlineStr">
        <is>
          <t>Mandarina</t>
        </is>
      </c>
      <c r="I2469" s="232" t="inlineStr">
        <is>
          <t>W. murcott</t>
        </is>
      </c>
      <c r="J2469" s="232" t="inlineStr">
        <is>
          <t>MANT. Y REP. PLANTACIONES</t>
        </is>
      </c>
      <c r="K2469" s="232" t="inlineStr">
        <is>
          <t>MANTENCION HUERTO</t>
        </is>
      </c>
      <c r="L2469" s="232" t="inlineStr">
        <is>
          <t>[PRORRATEO 14.2% 21.0há/148.3há] O/001436 TOALLA OVE</t>
        </is>
      </c>
      <c r="M2469" s="232" t="inlineStr"/>
      <c r="N2469" s="232" t="inlineStr">
        <is>
          <t>.   .   -</t>
        </is>
      </c>
      <c r="O2469" s="232" t="inlineStr">
        <is>
          <t>MARZO</t>
        </is>
      </c>
      <c r="P2469" s="232" t="n">
        <v>9</v>
      </c>
      <c r="Q2469" s="234" t="n">
        <v>21402</v>
      </c>
      <c r="R2469" s="232" t="inlineStr"/>
      <c r="S2469" s="234" t="n">
        <v>21402</v>
      </c>
      <c r="T2469" s="232" t="inlineStr">
        <is>
          <t>CLP</t>
        </is>
      </c>
      <c r="U2469" s="232" t="inlineStr">
        <is>
          <t>Prorrateo Ha PACKING</t>
        </is>
      </c>
      <c r="V2469" s="232" t="inlineStr">
        <is>
          <t>2026-06-18</t>
        </is>
      </c>
    </row>
    <row r="2470">
      <c r="A2470" s="232" t="inlineStr">
        <is>
          <t>CR-2467</t>
        </is>
      </c>
      <c r="B2470" s="232" t="inlineStr">
        <is>
          <t>2026/27</t>
        </is>
      </c>
      <c r="C2470" s="233" t="n">
        <v>46086</v>
      </c>
      <c r="D2470" s="232" t="inlineStr">
        <is>
          <t>677181</t>
        </is>
      </c>
      <c r="E2470" s="232" t="inlineStr">
        <is>
          <t>PRORRATEO</t>
        </is>
      </c>
      <c r="F2470" s="232" t="inlineStr">
        <is>
          <t>Santa Catalina</t>
        </is>
      </c>
      <c r="G2470" s="232" t="inlineStr">
        <is>
          <t>cambria 4,2 ha</t>
        </is>
      </c>
      <c r="H2470" s="232" t="inlineStr">
        <is>
          <t>Naranjas</t>
        </is>
      </c>
      <c r="I2470" s="232" t="inlineStr">
        <is>
          <t>Cambria</t>
        </is>
      </c>
      <c r="J2470" s="232" t="inlineStr">
        <is>
          <t>MANT. Y REP. PLANTACIONES</t>
        </is>
      </c>
      <c r="K2470" s="232" t="inlineStr">
        <is>
          <t>MANTENCION HUERTO</t>
        </is>
      </c>
      <c r="L2470" s="232" t="inlineStr">
        <is>
          <t>[PRORRATEO 2.8% 4.2há/148.3há] O/001436 TOALLA OVE</t>
        </is>
      </c>
      <c r="M2470" s="232" t="inlineStr"/>
      <c r="N2470" s="232" t="inlineStr">
        <is>
          <t>.   .   -</t>
        </is>
      </c>
      <c r="O2470" s="232" t="inlineStr">
        <is>
          <t>MARZO</t>
        </is>
      </c>
      <c r="P2470" s="232" t="n">
        <v>9</v>
      </c>
      <c r="Q2470" s="234" t="n">
        <v>4280</v>
      </c>
      <c r="R2470" s="232" t="inlineStr"/>
      <c r="S2470" s="234" t="n">
        <v>4280</v>
      </c>
      <c r="T2470" s="232" t="inlineStr">
        <is>
          <t>CLP</t>
        </is>
      </c>
      <c r="U2470" s="232" t="inlineStr">
        <is>
          <t>Prorrateo Ha PACKING</t>
        </is>
      </c>
      <c r="V2470" s="232" t="inlineStr">
        <is>
          <t>2026-06-18</t>
        </is>
      </c>
    </row>
    <row r="2471">
      <c r="A2471" s="232" t="inlineStr">
        <is>
          <t>CR-2468</t>
        </is>
      </c>
      <c r="B2471" s="232" t="inlineStr">
        <is>
          <t>2026/27</t>
        </is>
      </c>
      <c r="C2471" s="233" t="n">
        <v>46086</v>
      </c>
      <c r="D2471" s="232" t="inlineStr">
        <is>
          <t>677181</t>
        </is>
      </c>
      <c r="E2471" s="232" t="inlineStr">
        <is>
          <t>PRORRATEO</t>
        </is>
      </c>
      <c r="F2471" s="232" t="inlineStr">
        <is>
          <t>Santa Catalina</t>
        </is>
      </c>
      <c r="G2471" s="232" t="inlineStr">
        <is>
          <t>eureka 10,6 ha</t>
        </is>
      </c>
      <c r="H2471" s="232" t="inlineStr">
        <is>
          <t>Limon</t>
        </is>
      </c>
      <c r="I2471" s="232" t="inlineStr">
        <is>
          <t>Eureka</t>
        </is>
      </c>
      <c r="J2471" s="232" t="inlineStr">
        <is>
          <t>MANT. Y REP. PLANTACIONES</t>
        </is>
      </c>
      <c r="K2471" s="232" t="inlineStr">
        <is>
          <t>MANTENCION HUERTO</t>
        </is>
      </c>
      <c r="L2471" s="232" t="inlineStr">
        <is>
          <t>[PRORRATEO 7.1% 10.6há/148.3há] O/001436 TOALLA OVE</t>
        </is>
      </c>
      <c r="M2471" s="232" t="inlineStr"/>
      <c r="N2471" s="232" t="inlineStr">
        <is>
          <t>.   .   -</t>
        </is>
      </c>
      <c r="O2471" s="232" t="inlineStr">
        <is>
          <t>MARZO</t>
        </is>
      </c>
      <c r="P2471" s="232" t="n">
        <v>9</v>
      </c>
      <c r="Q2471" s="234" t="n">
        <v>10803</v>
      </c>
      <c r="R2471" s="232" t="inlineStr"/>
      <c r="S2471" s="234" t="n">
        <v>10803</v>
      </c>
      <c r="T2471" s="232" t="inlineStr">
        <is>
          <t>CLP</t>
        </is>
      </c>
      <c r="U2471" s="232" t="inlineStr">
        <is>
          <t>Prorrateo Ha PACKING</t>
        </is>
      </c>
      <c r="V2471" s="232" t="inlineStr">
        <is>
          <t>2026-06-18</t>
        </is>
      </c>
    </row>
    <row r="2472">
      <c r="A2472" s="232" t="inlineStr">
        <is>
          <t>CR-2469</t>
        </is>
      </c>
      <c r="B2472" s="232" t="inlineStr">
        <is>
          <t>2026/27</t>
        </is>
      </c>
      <c r="C2472" s="233" t="n">
        <v>46086</v>
      </c>
      <c r="D2472" s="232" t="inlineStr">
        <is>
          <t>677181</t>
        </is>
      </c>
      <c r="E2472" s="232" t="inlineStr">
        <is>
          <t>PRORRATEO</t>
        </is>
      </c>
      <c r="F2472" s="232" t="inlineStr">
        <is>
          <t>Santa Catalina</t>
        </is>
      </c>
      <c r="G2472" s="232" t="inlineStr">
        <is>
          <t>eureka 14,4 ha</t>
        </is>
      </c>
      <c r="H2472" s="232" t="inlineStr">
        <is>
          <t>Limon</t>
        </is>
      </c>
      <c r="I2472" s="232" t="inlineStr">
        <is>
          <t>Eureka</t>
        </is>
      </c>
      <c r="J2472" s="232" t="inlineStr">
        <is>
          <t>MANT. Y REP. PLANTACIONES</t>
        </is>
      </c>
      <c r="K2472" s="232" t="inlineStr">
        <is>
          <t>MANTENCION HUERTO</t>
        </is>
      </c>
      <c r="L2472" s="232" t="inlineStr">
        <is>
          <t>[PRORRATEO 9.7% 14.4há/148.3há] O/001436 TOALLA OVE</t>
        </is>
      </c>
      <c r="M2472" s="232" t="inlineStr"/>
      <c r="N2472" s="232" t="inlineStr">
        <is>
          <t>.   .   -</t>
        </is>
      </c>
      <c r="O2472" s="232" t="inlineStr">
        <is>
          <t>MARZO</t>
        </is>
      </c>
      <c r="P2472" s="232" t="n">
        <v>9</v>
      </c>
      <c r="Q2472" s="234" t="n">
        <v>14676</v>
      </c>
      <c r="R2472" s="232" t="inlineStr"/>
      <c r="S2472" s="234" t="n">
        <v>14676</v>
      </c>
      <c r="T2472" s="232" t="inlineStr">
        <is>
          <t>CLP</t>
        </is>
      </c>
      <c r="U2472" s="232" t="inlineStr">
        <is>
          <t>Prorrateo Ha PACKING</t>
        </is>
      </c>
      <c r="V2472" s="232" t="inlineStr">
        <is>
          <t>2026-06-18</t>
        </is>
      </c>
    </row>
    <row r="2473">
      <c r="A2473" s="232" t="inlineStr">
        <is>
          <t>CR-2470</t>
        </is>
      </c>
      <c r="B2473" s="232" t="inlineStr">
        <is>
          <t>2026/27</t>
        </is>
      </c>
      <c r="C2473" s="233" t="n">
        <v>46086</v>
      </c>
      <c r="D2473" s="232" t="inlineStr">
        <is>
          <t>677181</t>
        </is>
      </c>
      <c r="E2473" s="232" t="inlineStr">
        <is>
          <t>PRORRATEO</t>
        </is>
      </c>
      <c r="F2473" s="232" t="inlineStr">
        <is>
          <t>Santa Catalina</t>
        </is>
      </c>
      <c r="G2473" s="232" t="inlineStr">
        <is>
          <t>eureka 22,55</t>
        </is>
      </c>
      <c r="H2473" s="232" t="inlineStr">
        <is>
          <t>Limon</t>
        </is>
      </c>
      <c r="I2473" s="232" t="inlineStr">
        <is>
          <t>Eureka</t>
        </is>
      </c>
      <c r="J2473" s="232" t="inlineStr">
        <is>
          <t>MANT. Y REP. PLANTACIONES</t>
        </is>
      </c>
      <c r="K2473" s="232" t="inlineStr">
        <is>
          <t>MANTENCION HUERTO</t>
        </is>
      </c>
      <c r="L2473" s="232" t="inlineStr">
        <is>
          <t>[PRORRATEO 15.2% 22.55há/148.3há] O/001436 TOALLA OVE</t>
        </is>
      </c>
      <c r="M2473" s="232" t="inlineStr"/>
      <c r="N2473" s="232" t="inlineStr">
        <is>
          <t>.   .   -</t>
        </is>
      </c>
      <c r="O2473" s="232" t="inlineStr">
        <is>
          <t>MARZO</t>
        </is>
      </c>
      <c r="P2473" s="232" t="n">
        <v>9</v>
      </c>
      <c r="Q2473" s="234" t="n">
        <v>22982</v>
      </c>
      <c r="R2473" s="232" t="inlineStr"/>
      <c r="S2473" s="234" t="n">
        <v>22982</v>
      </c>
      <c r="T2473" s="232" t="inlineStr">
        <is>
          <t>CLP</t>
        </is>
      </c>
      <c r="U2473" s="232" t="inlineStr">
        <is>
          <t>Prorrateo Ha PACKING</t>
        </is>
      </c>
      <c r="V2473" s="232" t="inlineStr">
        <is>
          <t>2026-06-18</t>
        </is>
      </c>
    </row>
    <row r="2474">
      <c r="A2474" s="232" t="inlineStr">
        <is>
          <t>CR-2471</t>
        </is>
      </c>
      <c r="B2474" s="232" t="inlineStr">
        <is>
          <t>2026/27</t>
        </is>
      </c>
      <c r="C2474" s="233" t="n">
        <v>46086</v>
      </c>
      <c r="D2474" s="232" t="inlineStr">
        <is>
          <t>677181</t>
        </is>
      </c>
      <c r="E2474" s="232" t="inlineStr">
        <is>
          <t>PRORRATEO</t>
        </is>
      </c>
      <c r="F2474" s="232" t="inlineStr">
        <is>
          <t>Santa Catalina</t>
        </is>
      </c>
      <c r="G2474" s="232" t="inlineStr">
        <is>
          <t>form benjamin 1,93 ha</t>
        </is>
      </c>
      <c r="H2474" s="232" t="inlineStr">
        <is>
          <t>Limon</t>
        </is>
      </c>
      <c r="I2474" s="232" t="inlineStr">
        <is>
          <t>Benjamin andes</t>
        </is>
      </c>
      <c r="J2474" s="232" t="inlineStr">
        <is>
          <t>MANT. Y REP. PLANTACIONES</t>
        </is>
      </c>
      <c r="K2474" s="232" t="inlineStr">
        <is>
          <t>MANTENCION HUERTO</t>
        </is>
      </c>
      <c r="L2474" s="232" t="inlineStr">
        <is>
          <t>[PRORRATEO 1.3% 1.93há/148.3há] O/001436 TOALLA OVE</t>
        </is>
      </c>
      <c r="M2474" s="232" t="inlineStr"/>
      <c r="N2474" s="232" t="inlineStr">
        <is>
          <t>.   .   -</t>
        </is>
      </c>
      <c r="O2474" s="232" t="inlineStr">
        <is>
          <t>MARZO</t>
        </is>
      </c>
      <c r="P2474" s="232" t="n">
        <v>9</v>
      </c>
      <c r="Q2474" s="234" t="n">
        <v>1967</v>
      </c>
      <c r="R2474" s="232" t="inlineStr"/>
      <c r="S2474" s="234" t="n">
        <v>1967</v>
      </c>
      <c r="T2474" s="232" t="inlineStr">
        <is>
          <t>CLP</t>
        </is>
      </c>
      <c r="U2474" s="232" t="inlineStr">
        <is>
          <t>Prorrateo Ha PACKING</t>
        </is>
      </c>
      <c r="V2474" s="232" t="inlineStr">
        <is>
          <t>2026-06-18</t>
        </is>
      </c>
    </row>
    <row r="2475">
      <c r="A2475" s="232" t="inlineStr">
        <is>
          <t>CR-2472</t>
        </is>
      </c>
      <c r="B2475" s="232" t="inlineStr">
        <is>
          <t>2026/27</t>
        </is>
      </c>
      <c r="C2475" s="233" t="n">
        <v>46086</v>
      </c>
      <c r="D2475" s="232" t="inlineStr">
        <is>
          <t>677181</t>
        </is>
      </c>
      <c r="E2475" s="232" t="inlineStr">
        <is>
          <t>PRORRATEO</t>
        </is>
      </c>
      <c r="F2475" s="232" t="inlineStr">
        <is>
          <t>Santa Catalina</t>
        </is>
      </c>
      <c r="G2475" s="232" t="inlineStr">
        <is>
          <t>mant eureka 2,5 ha</t>
        </is>
      </c>
      <c r="H2475" s="232" t="inlineStr">
        <is>
          <t>Limon</t>
        </is>
      </c>
      <c r="I2475" s="232" t="inlineStr">
        <is>
          <t>Eureka</t>
        </is>
      </c>
      <c r="J2475" s="232" t="inlineStr">
        <is>
          <t>MANT. Y REP. PLANTACIONES</t>
        </is>
      </c>
      <c r="K2475" s="232" t="inlineStr">
        <is>
          <t>MANTENCION HUERTO</t>
        </is>
      </c>
      <c r="L2475" s="232" t="inlineStr">
        <is>
          <t>[PRORRATEO 1.7% 2.5há/148.3há] O/001436 TOALLA OVE</t>
        </is>
      </c>
      <c r="M2475" s="232" t="inlineStr"/>
      <c r="N2475" s="232" t="inlineStr">
        <is>
          <t>.   .   -</t>
        </is>
      </c>
      <c r="O2475" s="232" t="inlineStr">
        <is>
          <t>MARZO</t>
        </is>
      </c>
      <c r="P2475" s="232" t="n">
        <v>9</v>
      </c>
      <c r="Q2475" s="234" t="n">
        <v>2548</v>
      </c>
      <c r="R2475" s="232" t="inlineStr"/>
      <c r="S2475" s="234" t="n">
        <v>2548</v>
      </c>
      <c r="T2475" s="232" t="inlineStr">
        <is>
          <t>CLP</t>
        </is>
      </c>
      <c r="U2475" s="232" t="inlineStr">
        <is>
          <t>Prorrateo Ha PACKING</t>
        </is>
      </c>
      <c r="V2475" s="232" t="inlineStr">
        <is>
          <t>2026-06-18</t>
        </is>
      </c>
    </row>
    <row r="2476">
      <c r="A2476" s="232" t="inlineStr">
        <is>
          <t>CR-2473</t>
        </is>
      </c>
      <c r="B2476" s="232" t="inlineStr">
        <is>
          <t>2026/27</t>
        </is>
      </c>
      <c r="C2476" s="233" t="n">
        <v>46086</v>
      </c>
      <c r="D2476" s="232" t="inlineStr">
        <is>
          <t>677181</t>
        </is>
      </c>
      <c r="E2476" s="232" t="inlineStr">
        <is>
          <t>PRORRATEO</t>
        </is>
      </c>
      <c r="F2476" s="232" t="inlineStr">
        <is>
          <t>Siberia</t>
        </is>
      </c>
      <c r="G2476" s="232" t="inlineStr">
        <is>
          <t>S. Celebration 7,14</t>
        </is>
      </c>
      <c r="H2476" s="232" t="inlineStr">
        <is>
          <t>Uvas</t>
        </is>
      </c>
      <c r="I2476" s="232" t="inlineStr">
        <is>
          <t>S. celebration</t>
        </is>
      </c>
      <c r="J2476" s="232" t="inlineStr">
        <is>
          <t>MANT. Y REP. PLANTACIONES</t>
        </is>
      </c>
      <c r="K2476" s="232" t="inlineStr">
        <is>
          <t>MANTENCION HUERTO</t>
        </is>
      </c>
      <c r="L2476" s="232" t="inlineStr">
        <is>
          <t>[PRORRATEO 4.8% 7.14há/148.3há] O/001436 TOALLA OVE</t>
        </is>
      </c>
      <c r="M2476" s="232" t="inlineStr"/>
      <c r="N2476" s="232" t="inlineStr">
        <is>
          <t>.   .   -</t>
        </is>
      </c>
      <c r="O2476" s="232" t="inlineStr">
        <is>
          <t>MARZO</t>
        </is>
      </c>
      <c r="P2476" s="232" t="n">
        <v>9</v>
      </c>
      <c r="Q2476" s="234" t="n">
        <v>7277</v>
      </c>
      <c r="R2476" s="232" t="inlineStr"/>
      <c r="S2476" s="234" t="n">
        <v>7277</v>
      </c>
      <c r="T2476" s="232" t="inlineStr">
        <is>
          <t>CLP</t>
        </is>
      </c>
      <c r="U2476" s="232" t="inlineStr">
        <is>
          <t>Prorrateo Ha PACKING</t>
        </is>
      </c>
      <c r="V2476" s="232" t="inlineStr">
        <is>
          <t>2026-06-18</t>
        </is>
      </c>
    </row>
    <row r="2477">
      <c r="A2477" s="232" t="inlineStr">
        <is>
          <t>CR-2474</t>
        </is>
      </c>
      <c r="B2477" s="232" t="inlineStr">
        <is>
          <t>2026/27</t>
        </is>
      </c>
      <c r="C2477" s="233" t="n">
        <v>46086</v>
      </c>
      <c r="D2477" s="232" t="inlineStr">
        <is>
          <t>677181</t>
        </is>
      </c>
      <c r="E2477" s="232" t="inlineStr">
        <is>
          <t>PRORRATEO</t>
        </is>
      </c>
      <c r="F2477" s="232" t="inlineStr">
        <is>
          <t>Siberia</t>
        </is>
      </c>
      <c r="G2477" s="232" t="inlineStr">
        <is>
          <t>Timpson 7,1</t>
        </is>
      </c>
      <c r="H2477" s="232" t="inlineStr">
        <is>
          <t>Uvas</t>
        </is>
      </c>
      <c r="I2477" s="232" t="inlineStr">
        <is>
          <t>Timpson</t>
        </is>
      </c>
      <c r="J2477" s="232" t="inlineStr">
        <is>
          <t>MANT. Y REP. PLANTACIONES</t>
        </is>
      </c>
      <c r="K2477" s="232" t="inlineStr">
        <is>
          <t>MANTENCION HUERTO</t>
        </is>
      </c>
      <c r="L2477" s="232" t="inlineStr">
        <is>
          <t>[PRORRATEO 4.8% 7.1há/148.3há] O/001436 TOALLA OVE</t>
        </is>
      </c>
      <c r="M2477" s="232" t="inlineStr"/>
      <c r="N2477" s="232" t="inlineStr">
        <is>
          <t>.   .   -</t>
        </is>
      </c>
      <c r="O2477" s="232" t="inlineStr">
        <is>
          <t>MARZO</t>
        </is>
      </c>
      <c r="P2477" s="232" t="n">
        <v>9</v>
      </c>
      <c r="Q2477" s="234" t="n">
        <v>7236</v>
      </c>
      <c r="R2477" s="232" t="inlineStr"/>
      <c r="S2477" s="234" t="n">
        <v>7236</v>
      </c>
      <c r="T2477" s="232" t="inlineStr">
        <is>
          <t>CLP</t>
        </is>
      </c>
      <c r="U2477" s="232" t="inlineStr">
        <is>
          <t>Prorrateo Ha PACKING</t>
        </is>
      </c>
      <c r="V2477" s="232" t="inlineStr">
        <is>
          <t>2026-06-18</t>
        </is>
      </c>
    </row>
    <row r="2478">
      <c r="A2478" s="232" t="inlineStr">
        <is>
          <t>CR-2475</t>
        </is>
      </c>
      <c r="B2478" s="232" t="inlineStr">
        <is>
          <t>2026/27</t>
        </is>
      </c>
      <c r="C2478" s="233" t="n">
        <v>46091</v>
      </c>
      <c r="D2478" s="232" t="inlineStr">
        <is>
          <t>291926</t>
        </is>
      </c>
      <c r="E2478" s="232" t="inlineStr">
        <is>
          <t>PRORRATEO</t>
        </is>
      </c>
      <c r="F2478" s="232" t="inlineStr">
        <is>
          <t>Asmara</t>
        </is>
      </c>
      <c r="G2478" s="232" t="inlineStr">
        <is>
          <t>w. murcott 19,8 ha</t>
        </is>
      </c>
      <c r="H2478" s="232" t="inlineStr">
        <is>
          <t>Mandarina</t>
        </is>
      </c>
      <c r="I2478" s="232" t="inlineStr">
        <is>
          <t>W. murcott</t>
        </is>
      </c>
      <c r="J2478" s="232" t="inlineStr">
        <is>
          <t>GASTOS GENERALES</t>
        </is>
      </c>
      <c r="K2478" s="232" t="inlineStr">
        <is>
          <t>INSUMOS DE ASEO</t>
        </is>
      </c>
      <c r="L2478" s="232" t="inlineStr">
        <is>
          <t>[PRORRATEO 13.4% 19.8há/148.3há] O/001450 CLORO GEL</t>
        </is>
      </c>
      <c r="M2478" s="232" t="inlineStr"/>
      <c r="N2478" s="232" t="inlineStr">
        <is>
          <t>.   .   -</t>
        </is>
      </c>
      <c r="O2478" s="232" t="inlineStr">
        <is>
          <t>MARZO</t>
        </is>
      </c>
      <c r="P2478" s="232" t="n">
        <v>10</v>
      </c>
      <c r="Q2478" s="234" t="n">
        <v>1234</v>
      </c>
      <c r="R2478" s="232" t="inlineStr"/>
      <c r="S2478" s="234" t="n">
        <v>1234</v>
      </c>
      <c r="T2478" s="232" t="inlineStr">
        <is>
          <t>CLP</t>
        </is>
      </c>
      <c r="U2478" s="232" t="inlineStr">
        <is>
          <t>Prorrateo Ha PACKING</t>
        </is>
      </c>
      <c r="V2478" s="232" t="inlineStr">
        <is>
          <t>2026-06-18</t>
        </is>
      </c>
    </row>
    <row r="2479">
      <c r="A2479" s="232" t="inlineStr">
        <is>
          <t>CR-2476</t>
        </is>
      </c>
      <c r="B2479" s="232" t="inlineStr">
        <is>
          <t>2026/27</t>
        </is>
      </c>
      <c r="C2479" s="233" t="n">
        <v>46091</v>
      </c>
      <c r="D2479" s="232" t="inlineStr">
        <is>
          <t>291926</t>
        </is>
      </c>
      <c r="E2479" s="232" t="inlineStr">
        <is>
          <t>PRORRATEO</t>
        </is>
      </c>
      <c r="F2479" s="232" t="inlineStr">
        <is>
          <t>Asmara</t>
        </is>
      </c>
      <c r="G2479" s="232" t="inlineStr">
        <is>
          <t>w. murcott 4,9 ha</t>
        </is>
      </c>
      <c r="H2479" s="232" t="inlineStr">
        <is>
          <t>Mandarina</t>
        </is>
      </c>
      <c r="I2479" s="232" t="inlineStr">
        <is>
          <t>W. murcott</t>
        </is>
      </c>
      <c r="J2479" s="232" t="inlineStr">
        <is>
          <t>GASTOS GENERALES</t>
        </is>
      </c>
      <c r="K2479" s="232" t="inlineStr">
        <is>
          <t>INSUMOS DE ASEO</t>
        </is>
      </c>
      <c r="L2479" s="232" t="inlineStr">
        <is>
          <t>[PRORRATEO 3.3% 4.9há/148.3há] O/001450 CLORO GEL</t>
        </is>
      </c>
      <c r="M2479" s="232" t="inlineStr"/>
      <c r="N2479" s="232" t="inlineStr">
        <is>
          <t>.   .   -</t>
        </is>
      </c>
      <c r="O2479" s="232" t="inlineStr">
        <is>
          <t>MARZO</t>
        </is>
      </c>
      <c r="P2479" s="232" t="n">
        <v>10</v>
      </c>
      <c r="Q2479" s="234" t="n">
        <v>305</v>
      </c>
      <c r="R2479" s="232" t="inlineStr"/>
      <c r="S2479" s="234" t="n">
        <v>305</v>
      </c>
      <c r="T2479" s="232" t="inlineStr">
        <is>
          <t>CLP</t>
        </is>
      </c>
      <c r="U2479" s="232" t="inlineStr">
        <is>
          <t>Prorrateo Ha PACKING</t>
        </is>
      </c>
      <c r="V2479" s="232" t="inlineStr">
        <is>
          <t>2026-06-18</t>
        </is>
      </c>
    </row>
    <row r="2480">
      <c r="A2480" s="232" t="inlineStr">
        <is>
          <t>CR-2477</t>
        </is>
      </c>
      <c r="B2480" s="232" t="inlineStr">
        <is>
          <t>2026/27</t>
        </is>
      </c>
      <c r="C2480" s="233" t="n">
        <v>46091</v>
      </c>
      <c r="D2480" s="232" t="inlineStr">
        <is>
          <t>291926</t>
        </is>
      </c>
      <c r="E2480" s="232" t="inlineStr">
        <is>
          <t>PRORRATEO</t>
        </is>
      </c>
      <c r="F2480" s="232" t="inlineStr">
        <is>
          <t>El Molle</t>
        </is>
      </c>
      <c r="G2480" s="232" t="inlineStr">
        <is>
          <t>Wonderful 5,25 ha</t>
        </is>
      </c>
      <c r="H2480" s="232" t="inlineStr">
        <is>
          <t>Granados</t>
        </is>
      </c>
      <c r="I2480" s="232" t="inlineStr">
        <is>
          <t>Wonderfull</t>
        </is>
      </c>
      <c r="J2480" s="232" t="inlineStr">
        <is>
          <t>GASTOS GENERALES</t>
        </is>
      </c>
      <c r="K2480" s="232" t="inlineStr">
        <is>
          <t>INSUMOS DE ASEO</t>
        </is>
      </c>
      <c r="L2480" s="232" t="inlineStr">
        <is>
          <t>[PRORRATEO 3.5% 5.24há/148.3há] O/001450 CLORO GEL</t>
        </is>
      </c>
      <c r="M2480" s="232" t="inlineStr"/>
      <c r="N2480" s="232" t="inlineStr">
        <is>
          <t>.   .   -</t>
        </is>
      </c>
      <c r="O2480" s="232" t="inlineStr">
        <is>
          <t>MARZO</t>
        </is>
      </c>
      <c r="P2480" s="232" t="n">
        <v>10</v>
      </c>
      <c r="Q2480" s="234" t="n">
        <v>327</v>
      </c>
      <c r="R2480" s="232" t="inlineStr"/>
      <c r="S2480" s="234" t="n">
        <v>327</v>
      </c>
      <c r="T2480" s="232" t="inlineStr">
        <is>
          <t>CLP</t>
        </is>
      </c>
      <c r="U2480" s="232" t="inlineStr">
        <is>
          <t>Prorrateo Ha PACKING</t>
        </is>
      </c>
      <c r="V2480" s="232" t="inlineStr">
        <is>
          <t>2026-06-18</t>
        </is>
      </c>
    </row>
    <row r="2481">
      <c r="A2481" s="232" t="inlineStr">
        <is>
          <t>CR-2478</t>
        </is>
      </c>
      <c r="B2481" s="232" t="inlineStr">
        <is>
          <t>2026/27</t>
        </is>
      </c>
      <c r="C2481" s="233" t="n">
        <v>46091</v>
      </c>
      <c r="D2481" s="232" t="inlineStr">
        <is>
          <t>291926</t>
        </is>
      </c>
      <c r="E2481" s="232" t="inlineStr">
        <is>
          <t>PRORRATEO</t>
        </is>
      </c>
      <c r="F2481" s="232" t="inlineStr">
        <is>
          <t>El Molle</t>
        </is>
      </c>
      <c r="G2481" s="232" t="inlineStr">
        <is>
          <t>arrufatinas 5,74 ha</t>
        </is>
      </c>
      <c r="H2481" s="232" t="inlineStr">
        <is>
          <t>Clementinas</t>
        </is>
      </c>
      <c r="I2481" s="232" t="inlineStr">
        <is>
          <t>Arrufatinas</t>
        </is>
      </c>
      <c r="J2481" s="232" t="inlineStr">
        <is>
          <t>GASTOS GENERALES</t>
        </is>
      </c>
      <c r="K2481" s="232" t="inlineStr">
        <is>
          <t>INSUMOS DE ASEO</t>
        </is>
      </c>
      <c r="L2481" s="232" t="inlineStr">
        <is>
          <t>[PRORRATEO 3.9% 5.74há/148.3há] O/001450 CLORO GEL</t>
        </is>
      </c>
      <c r="M2481" s="232" t="inlineStr"/>
      <c r="N2481" s="232" t="inlineStr">
        <is>
          <t>.   .   -</t>
        </is>
      </c>
      <c r="O2481" s="232" t="inlineStr">
        <is>
          <t>MARZO</t>
        </is>
      </c>
      <c r="P2481" s="232" t="n">
        <v>10</v>
      </c>
      <c r="Q2481" s="234" t="n">
        <v>358</v>
      </c>
      <c r="R2481" s="232" t="inlineStr"/>
      <c r="S2481" s="234" t="n">
        <v>358</v>
      </c>
      <c r="T2481" s="232" t="inlineStr">
        <is>
          <t>CLP</t>
        </is>
      </c>
      <c r="U2481" s="232" t="inlineStr">
        <is>
          <t>Prorrateo Ha PACKING</t>
        </is>
      </c>
      <c r="V2481" s="232" t="inlineStr">
        <is>
          <t>2026-06-18</t>
        </is>
      </c>
    </row>
    <row r="2482">
      <c r="A2482" s="232" t="inlineStr">
        <is>
          <t>CR-2479</t>
        </is>
      </c>
      <c r="B2482" s="232" t="inlineStr">
        <is>
          <t>2026/27</t>
        </is>
      </c>
      <c r="C2482" s="233" t="n">
        <v>46091</v>
      </c>
      <c r="D2482" s="232" t="inlineStr">
        <is>
          <t>291926</t>
        </is>
      </c>
      <c r="E2482" s="232" t="inlineStr">
        <is>
          <t>PRORRATEO</t>
        </is>
      </c>
      <c r="F2482" s="232" t="inlineStr">
        <is>
          <t>El Molle</t>
        </is>
      </c>
      <c r="G2482" s="232" t="inlineStr">
        <is>
          <t>orogrande 8,11 ha</t>
        </is>
      </c>
      <c r="H2482" s="232" t="inlineStr">
        <is>
          <t>Clementinas</t>
        </is>
      </c>
      <c r="I2482" s="232" t="inlineStr">
        <is>
          <t>Orogrande</t>
        </is>
      </c>
      <c r="J2482" s="232" t="inlineStr">
        <is>
          <t>GASTOS GENERALES</t>
        </is>
      </c>
      <c r="K2482" s="232" t="inlineStr">
        <is>
          <t>INSUMOS DE ASEO</t>
        </is>
      </c>
      <c r="L2482" s="232" t="inlineStr">
        <is>
          <t>[PRORRATEO 5.5% 8.11há/148.3há] O/001450 CLORO GEL</t>
        </is>
      </c>
      <c r="M2482" s="232" t="inlineStr"/>
      <c r="N2482" s="232" t="inlineStr">
        <is>
          <t>.   .   -</t>
        </is>
      </c>
      <c r="O2482" s="232" t="inlineStr">
        <is>
          <t>MARZO</t>
        </is>
      </c>
      <c r="P2482" s="232" t="n">
        <v>10</v>
      </c>
      <c r="Q2482" s="234" t="n">
        <v>505</v>
      </c>
      <c r="R2482" s="232" t="inlineStr"/>
      <c r="S2482" s="234" t="n">
        <v>505</v>
      </c>
      <c r="T2482" s="232" t="inlineStr">
        <is>
          <t>CLP</t>
        </is>
      </c>
      <c r="U2482" s="232" t="inlineStr">
        <is>
          <t>Prorrateo Ha PACKING</t>
        </is>
      </c>
      <c r="V2482" s="232" t="inlineStr">
        <is>
          <t>2026-06-18</t>
        </is>
      </c>
    </row>
    <row r="2483">
      <c r="A2483" s="232" t="inlineStr">
        <is>
          <t>CR-2480</t>
        </is>
      </c>
      <c r="B2483" s="232" t="inlineStr">
        <is>
          <t>2026/27</t>
        </is>
      </c>
      <c r="C2483" s="233" t="n">
        <v>46091</v>
      </c>
      <c r="D2483" s="232" t="inlineStr">
        <is>
          <t>291926</t>
        </is>
      </c>
      <c r="E2483" s="232" t="inlineStr">
        <is>
          <t>PRORRATEO</t>
        </is>
      </c>
      <c r="F2483" s="232" t="inlineStr">
        <is>
          <t>El Molle</t>
        </is>
      </c>
      <c r="G2483" s="232" t="inlineStr">
        <is>
          <t>oronules 5,35 ha</t>
        </is>
      </c>
      <c r="H2483" s="232" t="inlineStr">
        <is>
          <t>Clementinas</t>
        </is>
      </c>
      <c r="I2483" s="232" t="inlineStr">
        <is>
          <t>Oronules</t>
        </is>
      </c>
      <c r="J2483" s="232" t="inlineStr">
        <is>
          <t>GASTOS GENERALES</t>
        </is>
      </c>
      <c r="K2483" s="232" t="inlineStr">
        <is>
          <t>INSUMOS DE ASEO</t>
        </is>
      </c>
      <c r="L2483" s="232" t="inlineStr">
        <is>
          <t>[PRORRATEO 3.6% 5.35há/148.3há] O/001450 CLORO GEL</t>
        </is>
      </c>
      <c r="M2483" s="232" t="inlineStr"/>
      <c r="N2483" s="232" t="inlineStr">
        <is>
          <t>.   .   -</t>
        </is>
      </c>
      <c r="O2483" s="232" t="inlineStr">
        <is>
          <t>MARZO</t>
        </is>
      </c>
      <c r="P2483" s="232" t="n">
        <v>10</v>
      </c>
      <c r="Q2483" s="234" t="n">
        <v>333</v>
      </c>
      <c r="R2483" s="232" t="inlineStr"/>
      <c r="S2483" s="234" t="n">
        <v>333</v>
      </c>
      <c r="T2483" s="232" t="inlineStr">
        <is>
          <t>CLP</t>
        </is>
      </c>
      <c r="U2483" s="232" t="inlineStr">
        <is>
          <t>Prorrateo Ha PACKING</t>
        </is>
      </c>
      <c r="V2483" s="232" t="inlineStr">
        <is>
          <t>2026-06-18</t>
        </is>
      </c>
    </row>
    <row r="2484">
      <c r="A2484" s="232" t="inlineStr">
        <is>
          <t>CR-2481</t>
        </is>
      </c>
      <c r="B2484" s="232" t="inlineStr">
        <is>
          <t>2026/27</t>
        </is>
      </c>
      <c r="C2484" s="233" t="n">
        <v>46091</v>
      </c>
      <c r="D2484" s="232" t="inlineStr">
        <is>
          <t>291926</t>
        </is>
      </c>
      <c r="E2484" s="232" t="inlineStr">
        <is>
          <t>PRORRATEO</t>
        </is>
      </c>
      <c r="F2484" s="232" t="inlineStr">
        <is>
          <t>Santa Catalina</t>
        </is>
      </c>
      <c r="G2484" s="232" t="inlineStr">
        <is>
          <t>Fino 49 7,7 ha</t>
        </is>
      </c>
      <c r="H2484" s="232" t="inlineStr">
        <is>
          <t>Limon</t>
        </is>
      </c>
      <c r="I2484" s="232" t="inlineStr">
        <is>
          <t>Fino 49</t>
        </is>
      </c>
      <c r="J2484" s="232" t="inlineStr">
        <is>
          <t>GASTOS GENERALES</t>
        </is>
      </c>
      <c r="K2484" s="232" t="inlineStr">
        <is>
          <t>INSUMOS DE ASEO</t>
        </is>
      </c>
      <c r="L2484" s="232" t="inlineStr">
        <is>
          <t>[PRORRATEO 5.2% 7.7há/148.3há] O/001450 CLORO GEL</t>
        </is>
      </c>
      <c r="M2484" s="232" t="inlineStr"/>
      <c r="N2484" s="232" t="inlineStr">
        <is>
          <t>.   .   -</t>
        </is>
      </c>
      <c r="O2484" s="232" t="inlineStr">
        <is>
          <t>MARZO</t>
        </is>
      </c>
      <c r="P2484" s="232" t="n">
        <v>10</v>
      </c>
      <c r="Q2484" s="234" t="n">
        <v>480</v>
      </c>
      <c r="R2484" s="232" t="inlineStr"/>
      <c r="S2484" s="234" t="n">
        <v>480</v>
      </c>
      <c r="T2484" s="232" t="inlineStr">
        <is>
          <t>CLP</t>
        </is>
      </c>
      <c r="U2484" s="232" t="inlineStr">
        <is>
          <t>Prorrateo Ha PACKING</t>
        </is>
      </c>
      <c r="V2484" s="232" t="inlineStr">
        <is>
          <t>2026-06-18</t>
        </is>
      </c>
    </row>
    <row r="2485">
      <c r="A2485" s="232" t="inlineStr">
        <is>
          <t>CR-2482</t>
        </is>
      </c>
      <c r="B2485" s="232" t="inlineStr">
        <is>
          <t>2026/27</t>
        </is>
      </c>
      <c r="C2485" s="233" t="n">
        <v>46091</v>
      </c>
      <c r="D2485" s="232" t="inlineStr">
        <is>
          <t>291926</t>
        </is>
      </c>
      <c r="E2485" s="232" t="inlineStr">
        <is>
          <t>PRORRATEO</t>
        </is>
      </c>
      <c r="F2485" s="232" t="inlineStr">
        <is>
          <t>Santa Catalina</t>
        </is>
      </c>
      <c r="G2485" s="232" t="inlineStr">
        <is>
          <t>W. murcott 21 ha</t>
        </is>
      </c>
      <c r="H2485" s="232" t="inlineStr">
        <is>
          <t>Mandarina</t>
        </is>
      </c>
      <c r="I2485" s="232" t="inlineStr">
        <is>
          <t>W. murcott</t>
        </is>
      </c>
      <c r="J2485" s="232" t="inlineStr">
        <is>
          <t>GASTOS GENERALES</t>
        </is>
      </c>
      <c r="K2485" s="232" t="inlineStr">
        <is>
          <t>INSUMOS DE ASEO</t>
        </is>
      </c>
      <c r="L2485" s="232" t="inlineStr">
        <is>
          <t>[PRORRATEO 14.2% 21.0há/148.3há] O/001450 CLORO GEL</t>
        </is>
      </c>
      <c r="M2485" s="232" t="inlineStr"/>
      <c r="N2485" s="232" t="inlineStr">
        <is>
          <t>.   .   -</t>
        </is>
      </c>
      <c r="O2485" s="232" t="inlineStr">
        <is>
          <t>MARZO</t>
        </is>
      </c>
      <c r="P2485" s="232" t="n">
        <v>10</v>
      </c>
      <c r="Q2485" s="234" t="n">
        <v>1309</v>
      </c>
      <c r="R2485" s="232" t="inlineStr"/>
      <c r="S2485" s="234" t="n">
        <v>1309</v>
      </c>
      <c r="T2485" s="232" t="inlineStr">
        <is>
          <t>CLP</t>
        </is>
      </c>
      <c r="U2485" s="232" t="inlineStr">
        <is>
          <t>Prorrateo Ha PACKING</t>
        </is>
      </c>
      <c r="V2485" s="232" t="inlineStr">
        <is>
          <t>2026-06-18</t>
        </is>
      </c>
    </row>
    <row r="2486">
      <c r="A2486" s="232" t="inlineStr">
        <is>
          <t>CR-2483</t>
        </is>
      </c>
      <c r="B2486" s="232" t="inlineStr">
        <is>
          <t>2026/27</t>
        </is>
      </c>
      <c r="C2486" s="233" t="n">
        <v>46091</v>
      </c>
      <c r="D2486" s="232" t="inlineStr">
        <is>
          <t>291926</t>
        </is>
      </c>
      <c r="E2486" s="232" t="inlineStr">
        <is>
          <t>PRORRATEO</t>
        </is>
      </c>
      <c r="F2486" s="232" t="inlineStr">
        <is>
          <t>Santa Catalina</t>
        </is>
      </c>
      <c r="G2486" s="232" t="inlineStr">
        <is>
          <t>cambria 4,2 ha</t>
        </is>
      </c>
      <c r="H2486" s="232" t="inlineStr">
        <is>
          <t>Naranjas</t>
        </is>
      </c>
      <c r="I2486" s="232" t="inlineStr">
        <is>
          <t>Cambria</t>
        </is>
      </c>
      <c r="J2486" s="232" t="inlineStr">
        <is>
          <t>GASTOS GENERALES</t>
        </is>
      </c>
      <c r="K2486" s="232" t="inlineStr">
        <is>
          <t>INSUMOS DE ASEO</t>
        </is>
      </c>
      <c r="L2486" s="232" t="inlineStr">
        <is>
          <t>[PRORRATEO 2.8% 4.2há/148.3há] O/001450 CLORO GEL</t>
        </is>
      </c>
      <c r="M2486" s="232" t="inlineStr"/>
      <c r="N2486" s="232" t="inlineStr">
        <is>
          <t>.   .   -</t>
        </is>
      </c>
      <c r="O2486" s="232" t="inlineStr">
        <is>
          <t>MARZO</t>
        </is>
      </c>
      <c r="P2486" s="232" t="n">
        <v>10</v>
      </c>
      <c r="Q2486" s="234" t="n">
        <v>262</v>
      </c>
      <c r="R2486" s="232" t="inlineStr"/>
      <c r="S2486" s="234" t="n">
        <v>262</v>
      </c>
      <c r="T2486" s="232" t="inlineStr">
        <is>
          <t>CLP</t>
        </is>
      </c>
      <c r="U2486" s="232" t="inlineStr">
        <is>
          <t>Prorrateo Ha PACKING</t>
        </is>
      </c>
      <c r="V2486" s="232" t="inlineStr">
        <is>
          <t>2026-06-18</t>
        </is>
      </c>
    </row>
    <row r="2487">
      <c r="A2487" s="232" t="inlineStr">
        <is>
          <t>CR-2484</t>
        </is>
      </c>
      <c r="B2487" s="232" t="inlineStr">
        <is>
          <t>2026/27</t>
        </is>
      </c>
      <c r="C2487" s="233" t="n">
        <v>46091</v>
      </c>
      <c r="D2487" s="232" t="inlineStr">
        <is>
          <t>291926</t>
        </is>
      </c>
      <c r="E2487" s="232" t="inlineStr">
        <is>
          <t>PRORRATEO</t>
        </is>
      </c>
      <c r="F2487" s="232" t="inlineStr">
        <is>
          <t>Santa Catalina</t>
        </is>
      </c>
      <c r="G2487" s="232" t="inlineStr">
        <is>
          <t>eureka 10,6 ha</t>
        </is>
      </c>
      <c r="H2487" s="232" t="inlineStr">
        <is>
          <t>Limon</t>
        </is>
      </c>
      <c r="I2487" s="232" t="inlineStr">
        <is>
          <t>Eureka</t>
        </is>
      </c>
      <c r="J2487" s="232" t="inlineStr">
        <is>
          <t>GASTOS GENERALES</t>
        </is>
      </c>
      <c r="K2487" s="232" t="inlineStr">
        <is>
          <t>INSUMOS DE ASEO</t>
        </is>
      </c>
      <c r="L2487" s="232" t="inlineStr">
        <is>
          <t>[PRORRATEO 7.1% 10.6há/148.3há] O/001450 CLORO GEL</t>
        </is>
      </c>
      <c r="M2487" s="232" t="inlineStr"/>
      <c r="N2487" s="232" t="inlineStr">
        <is>
          <t>.   .   -</t>
        </is>
      </c>
      <c r="O2487" s="232" t="inlineStr">
        <is>
          <t>MARZO</t>
        </is>
      </c>
      <c r="P2487" s="232" t="n">
        <v>10</v>
      </c>
      <c r="Q2487" s="234" t="n">
        <v>661</v>
      </c>
      <c r="R2487" s="232" t="inlineStr"/>
      <c r="S2487" s="234" t="n">
        <v>661</v>
      </c>
      <c r="T2487" s="232" t="inlineStr">
        <is>
          <t>CLP</t>
        </is>
      </c>
      <c r="U2487" s="232" t="inlineStr">
        <is>
          <t>Prorrateo Ha PACKING</t>
        </is>
      </c>
      <c r="V2487" s="232" t="inlineStr">
        <is>
          <t>2026-06-18</t>
        </is>
      </c>
    </row>
    <row r="2488">
      <c r="A2488" s="232" t="inlineStr">
        <is>
          <t>CR-2485</t>
        </is>
      </c>
      <c r="B2488" s="232" t="inlineStr">
        <is>
          <t>2026/27</t>
        </is>
      </c>
      <c r="C2488" s="233" t="n">
        <v>46091</v>
      </c>
      <c r="D2488" s="232" t="inlineStr">
        <is>
          <t>291926</t>
        </is>
      </c>
      <c r="E2488" s="232" t="inlineStr">
        <is>
          <t>PRORRATEO</t>
        </is>
      </c>
      <c r="F2488" s="232" t="inlineStr">
        <is>
          <t>Santa Catalina</t>
        </is>
      </c>
      <c r="G2488" s="232" t="inlineStr">
        <is>
          <t>eureka 14,4 ha</t>
        </is>
      </c>
      <c r="H2488" s="232" t="inlineStr">
        <is>
          <t>Limon</t>
        </is>
      </c>
      <c r="I2488" s="232" t="inlineStr">
        <is>
          <t>Eureka</t>
        </is>
      </c>
      <c r="J2488" s="232" t="inlineStr">
        <is>
          <t>GASTOS GENERALES</t>
        </is>
      </c>
      <c r="K2488" s="232" t="inlineStr">
        <is>
          <t>INSUMOS DE ASEO</t>
        </is>
      </c>
      <c r="L2488" s="232" t="inlineStr">
        <is>
          <t>[PRORRATEO 9.7% 14.4há/148.3há] O/001450 CLORO GEL</t>
        </is>
      </c>
      <c r="M2488" s="232" t="inlineStr"/>
      <c r="N2488" s="232" t="inlineStr">
        <is>
          <t>.   .   -</t>
        </is>
      </c>
      <c r="O2488" s="232" t="inlineStr">
        <is>
          <t>MARZO</t>
        </is>
      </c>
      <c r="P2488" s="232" t="n">
        <v>10</v>
      </c>
      <c r="Q2488" s="234" t="n">
        <v>897</v>
      </c>
      <c r="R2488" s="232" t="inlineStr"/>
      <c r="S2488" s="234" t="n">
        <v>897</v>
      </c>
      <c r="T2488" s="232" t="inlineStr">
        <is>
          <t>CLP</t>
        </is>
      </c>
      <c r="U2488" s="232" t="inlineStr">
        <is>
          <t>Prorrateo Ha PACKING</t>
        </is>
      </c>
      <c r="V2488" s="232" t="inlineStr">
        <is>
          <t>2026-06-18</t>
        </is>
      </c>
    </row>
    <row r="2489">
      <c r="A2489" s="232" t="inlineStr">
        <is>
          <t>CR-2486</t>
        </is>
      </c>
      <c r="B2489" s="232" t="inlineStr">
        <is>
          <t>2026/27</t>
        </is>
      </c>
      <c r="C2489" s="233" t="n">
        <v>46091</v>
      </c>
      <c r="D2489" s="232" t="inlineStr">
        <is>
          <t>291926</t>
        </is>
      </c>
      <c r="E2489" s="232" t="inlineStr">
        <is>
          <t>PRORRATEO</t>
        </is>
      </c>
      <c r="F2489" s="232" t="inlineStr">
        <is>
          <t>Santa Catalina</t>
        </is>
      </c>
      <c r="G2489" s="232" t="inlineStr">
        <is>
          <t>eureka 22,55</t>
        </is>
      </c>
      <c r="H2489" s="232" t="inlineStr">
        <is>
          <t>Limon</t>
        </is>
      </c>
      <c r="I2489" s="232" t="inlineStr">
        <is>
          <t>Eureka</t>
        </is>
      </c>
      <c r="J2489" s="232" t="inlineStr">
        <is>
          <t>GASTOS GENERALES</t>
        </is>
      </c>
      <c r="K2489" s="232" t="inlineStr">
        <is>
          <t>INSUMOS DE ASEO</t>
        </is>
      </c>
      <c r="L2489" s="232" t="inlineStr">
        <is>
          <t>[PRORRATEO 15.2% 22.55há/148.3há] O/001450 CLORO GEL</t>
        </is>
      </c>
      <c r="M2489" s="232" t="inlineStr"/>
      <c r="N2489" s="232" t="inlineStr">
        <is>
          <t>.   .   -</t>
        </is>
      </c>
      <c r="O2489" s="232" t="inlineStr">
        <is>
          <t>MARZO</t>
        </is>
      </c>
      <c r="P2489" s="232" t="n">
        <v>10</v>
      </c>
      <c r="Q2489" s="234" t="n">
        <v>1405</v>
      </c>
      <c r="R2489" s="232" t="inlineStr"/>
      <c r="S2489" s="234" t="n">
        <v>1405</v>
      </c>
      <c r="T2489" s="232" t="inlineStr">
        <is>
          <t>CLP</t>
        </is>
      </c>
      <c r="U2489" s="232" t="inlineStr">
        <is>
          <t>Prorrateo Ha PACKING</t>
        </is>
      </c>
      <c r="V2489" s="232" t="inlineStr">
        <is>
          <t>2026-06-18</t>
        </is>
      </c>
    </row>
    <row r="2490">
      <c r="A2490" s="232" t="inlineStr">
        <is>
          <t>CR-2487</t>
        </is>
      </c>
      <c r="B2490" s="232" t="inlineStr">
        <is>
          <t>2026/27</t>
        </is>
      </c>
      <c r="C2490" s="233" t="n">
        <v>46091</v>
      </c>
      <c r="D2490" s="232" t="inlineStr">
        <is>
          <t>291926</t>
        </is>
      </c>
      <c r="E2490" s="232" t="inlineStr">
        <is>
          <t>PRORRATEO</t>
        </is>
      </c>
      <c r="F2490" s="232" t="inlineStr">
        <is>
          <t>Santa Catalina</t>
        </is>
      </c>
      <c r="G2490" s="232" t="inlineStr">
        <is>
          <t>form benjamin 1,93 ha</t>
        </is>
      </c>
      <c r="H2490" s="232" t="inlineStr">
        <is>
          <t>Limon</t>
        </is>
      </c>
      <c r="I2490" s="232" t="inlineStr">
        <is>
          <t>Benjamin andes</t>
        </is>
      </c>
      <c r="J2490" s="232" t="inlineStr">
        <is>
          <t>GASTOS GENERALES</t>
        </is>
      </c>
      <c r="K2490" s="232" t="inlineStr">
        <is>
          <t>INSUMOS DE ASEO</t>
        </is>
      </c>
      <c r="L2490" s="232" t="inlineStr">
        <is>
          <t>[PRORRATEO 1.3% 1.93há/148.3há] O/001450 CLORO GEL</t>
        </is>
      </c>
      <c r="M2490" s="232" t="inlineStr"/>
      <c r="N2490" s="232" t="inlineStr">
        <is>
          <t>.   .   -</t>
        </is>
      </c>
      <c r="O2490" s="232" t="inlineStr">
        <is>
          <t>MARZO</t>
        </is>
      </c>
      <c r="P2490" s="232" t="n">
        <v>10</v>
      </c>
      <c r="Q2490" s="234" t="n">
        <v>120</v>
      </c>
      <c r="R2490" s="232" t="inlineStr"/>
      <c r="S2490" s="234" t="n">
        <v>120</v>
      </c>
      <c r="T2490" s="232" t="inlineStr">
        <is>
          <t>CLP</t>
        </is>
      </c>
      <c r="U2490" s="232" t="inlineStr">
        <is>
          <t>Prorrateo Ha PACKING</t>
        </is>
      </c>
      <c r="V2490" s="232" t="inlineStr">
        <is>
          <t>2026-06-18</t>
        </is>
      </c>
    </row>
    <row r="2491">
      <c r="A2491" s="232" t="inlineStr">
        <is>
          <t>CR-2488</t>
        </is>
      </c>
      <c r="B2491" s="232" t="inlineStr">
        <is>
          <t>2026/27</t>
        </is>
      </c>
      <c r="C2491" s="233" t="n">
        <v>46091</v>
      </c>
      <c r="D2491" s="232" t="inlineStr">
        <is>
          <t>291926</t>
        </is>
      </c>
      <c r="E2491" s="232" t="inlineStr">
        <is>
          <t>PRORRATEO</t>
        </is>
      </c>
      <c r="F2491" s="232" t="inlineStr">
        <is>
          <t>Santa Catalina</t>
        </is>
      </c>
      <c r="G2491" s="232" t="inlineStr">
        <is>
          <t>mant eureka 2,5 ha</t>
        </is>
      </c>
      <c r="H2491" s="232" t="inlineStr">
        <is>
          <t>Limon</t>
        </is>
      </c>
      <c r="I2491" s="232" t="inlineStr">
        <is>
          <t>Eureka</t>
        </is>
      </c>
      <c r="J2491" s="232" t="inlineStr">
        <is>
          <t>GASTOS GENERALES</t>
        </is>
      </c>
      <c r="K2491" s="232" t="inlineStr">
        <is>
          <t>INSUMOS DE ASEO</t>
        </is>
      </c>
      <c r="L2491" s="232" t="inlineStr">
        <is>
          <t>[PRORRATEO 1.7% 2.5há/148.3há] O/001450 CLORO GEL</t>
        </is>
      </c>
      <c r="M2491" s="232" t="inlineStr"/>
      <c r="N2491" s="232" t="inlineStr">
        <is>
          <t>.   .   -</t>
        </is>
      </c>
      <c r="O2491" s="232" t="inlineStr">
        <is>
          <t>MARZO</t>
        </is>
      </c>
      <c r="P2491" s="232" t="n">
        <v>10</v>
      </c>
      <c r="Q2491" s="234" t="n">
        <v>156</v>
      </c>
      <c r="R2491" s="232" t="inlineStr"/>
      <c r="S2491" s="234" t="n">
        <v>156</v>
      </c>
      <c r="T2491" s="232" t="inlineStr">
        <is>
          <t>CLP</t>
        </is>
      </c>
      <c r="U2491" s="232" t="inlineStr">
        <is>
          <t>Prorrateo Ha PACKING</t>
        </is>
      </c>
      <c r="V2491" s="232" t="inlineStr">
        <is>
          <t>2026-06-18</t>
        </is>
      </c>
    </row>
    <row r="2492">
      <c r="A2492" s="232" t="inlineStr">
        <is>
          <t>CR-2489</t>
        </is>
      </c>
      <c r="B2492" s="232" t="inlineStr">
        <is>
          <t>2026/27</t>
        </is>
      </c>
      <c r="C2492" s="233" t="n">
        <v>46091</v>
      </c>
      <c r="D2492" s="232" t="inlineStr">
        <is>
          <t>291926</t>
        </is>
      </c>
      <c r="E2492" s="232" t="inlineStr">
        <is>
          <t>PRORRATEO</t>
        </is>
      </c>
      <c r="F2492" s="232" t="inlineStr">
        <is>
          <t>Siberia</t>
        </is>
      </c>
      <c r="G2492" s="232" t="inlineStr">
        <is>
          <t>S. Celebration 7,14</t>
        </is>
      </c>
      <c r="H2492" s="232" t="inlineStr">
        <is>
          <t>Uvas</t>
        </is>
      </c>
      <c r="I2492" s="232" t="inlineStr">
        <is>
          <t>S. celebration</t>
        </is>
      </c>
      <c r="J2492" s="232" t="inlineStr">
        <is>
          <t>GASTOS GENERALES</t>
        </is>
      </c>
      <c r="K2492" s="232" t="inlineStr">
        <is>
          <t>INSUMOS DE ASEO</t>
        </is>
      </c>
      <c r="L2492" s="232" t="inlineStr">
        <is>
          <t>[PRORRATEO 4.8% 7.14há/148.3há] O/001450 CLORO GEL</t>
        </is>
      </c>
      <c r="M2492" s="232" t="inlineStr"/>
      <c r="N2492" s="232" t="inlineStr">
        <is>
          <t>.   .   -</t>
        </is>
      </c>
      <c r="O2492" s="232" t="inlineStr">
        <is>
          <t>MARZO</t>
        </is>
      </c>
      <c r="P2492" s="232" t="n">
        <v>10</v>
      </c>
      <c r="Q2492" s="234" t="n">
        <v>445</v>
      </c>
      <c r="R2492" s="232" t="inlineStr"/>
      <c r="S2492" s="234" t="n">
        <v>445</v>
      </c>
      <c r="T2492" s="232" t="inlineStr">
        <is>
          <t>CLP</t>
        </is>
      </c>
      <c r="U2492" s="232" t="inlineStr">
        <is>
          <t>Prorrateo Ha PACKING</t>
        </is>
      </c>
      <c r="V2492" s="232" t="inlineStr">
        <is>
          <t>2026-06-18</t>
        </is>
      </c>
    </row>
    <row r="2493">
      <c r="A2493" s="232" t="inlineStr">
        <is>
          <t>CR-2490</t>
        </is>
      </c>
      <c r="B2493" s="232" t="inlineStr">
        <is>
          <t>2026/27</t>
        </is>
      </c>
      <c r="C2493" s="233" t="n">
        <v>46091</v>
      </c>
      <c r="D2493" s="232" t="inlineStr">
        <is>
          <t>291926</t>
        </is>
      </c>
      <c r="E2493" s="232" t="inlineStr">
        <is>
          <t>PRORRATEO</t>
        </is>
      </c>
      <c r="F2493" s="232" t="inlineStr">
        <is>
          <t>Siberia</t>
        </is>
      </c>
      <c r="G2493" s="232" t="inlineStr">
        <is>
          <t>Timpson 7,1</t>
        </is>
      </c>
      <c r="H2493" s="232" t="inlineStr">
        <is>
          <t>Uvas</t>
        </is>
      </c>
      <c r="I2493" s="232" t="inlineStr">
        <is>
          <t>Timpson</t>
        </is>
      </c>
      <c r="J2493" s="232" t="inlineStr">
        <is>
          <t>GASTOS GENERALES</t>
        </is>
      </c>
      <c r="K2493" s="232" t="inlineStr">
        <is>
          <t>INSUMOS DE ASEO</t>
        </is>
      </c>
      <c r="L2493" s="232" t="inlineStr">
        <is>
          <t>[PRORRATEO 4.8% 7.1há/148.3há] O/001450 CLORO GEL</t>
        </is>
      </c>
      <c r="M2493" s="232" t="inlineStr"/>
      <c r="N2493" s="232" t="inlineStr">
        <is>
          <t>.   .   -</t>
        </is>
      </c>
      <c r="O2493" s="232" t="inlineStr">
        <is>
          <t>MARZO</t>
        </is>
      </c>
      <c r="P2493" s="232" t="n">
        <v>10</v>
      </c>
      <c r="Q2493" s="234" t="n">
        <v>442</v>
      </c>
      <c r="R2493" s="232" t="inlineStr"/>
      <c r="S2493" s="234" t="n">
        <v>442</v>
      </c>
      <c r="T2493" s="232" t="inlineStr">
        <is>
          <t>CLP</t>
        </is>
      </c>
      <c r="U2493" s="232" t="inlineStr">
        <is>
          <t>Prorrateo Ha PACKING</t>
        </is>
      </c>
      <c r="V2493" s="232" t="inlineStr">
        <is>
          <t>2026-06-18</t>
        </is>
      </c>
    </row>
    <row r="2494">
      <c r="A2494" s="232" t="inlineStr">
        <is>
          <t>CR-2491</t>
        </is>
      </c>
      <c r="B2494" s="232" t="inlineStr">
        <is>
          <t>2026/27</t>
        </is>
      </c>
      <c r="C2494" s="233" t="n">
        <v>46091</v>
      </c>
      <c r="D2494" s="232" t="inlineStr">
        <is>
          <t>291926</t>
        </is>
      </c>
      <c r="E2494" s="232" t="inlineStr">
        <is>
          <t>PRORRATEO</t>
        </is>
      </c>
      <c r="F2494" s="232" t="inlineStr">
        <is>
          <t>Asmara</t>
        </is>
      </c>
      <c r="G2494" s="232" t="inlineStr">
        <is>
          <t>w. murcott 19,8 ha</t>
        </is>
      </c>
      <c r="H2494" s="232" t="inlineStr">
        <is>
          <t>Mandarina</t>
        </is>
      </c>
      <c r="I2494" s="232" t="inlineStr">
        <is>
          <t>W. murcott</t>
        </is>
      </c>
      <c r="J2494" s="232" t="inlineStr">
        <is>
          <t>GASTOS GENERALES</t>
        </is>
      </c>
      <c r="K2494" s="232" t="inlineStr">
        <is>
          <t>ARTICULOS DE OFICINA</t>
        </is>
      </c>
      <c r="L2494" s="232" t="inlineStr">
        <is>
          <t>[PRORRATEO 13.4% 19.8há/148.3há] O/001450 CUADERNO U</t>
        </is>
      </c>
      <c r="M2494" s="232" t="inlineStr"/>
      <c r="N2494" s="232" t="inlineStr">
        <is>
          <t>.   .   -</t>
        </is>
      </c>
      <c r="O2494" s="232" t="inlineStr">
        <is>
          <t>MARZO</t>
        </is>
      </c>
      <c r="P2494" s="232" t="n">
        <v>10</v>
      </c>
      <c r="Q2494" s="234" t="n">
        <v>871</v>
      </c>
      <c r="R2494" s="232" t="inlineStr"/>
      <c r="S2494" s="234" t="n">
        <v>871</v>
      </c>
      <c r="T2494" s="232" t="inlineStr">
        <is>
          <t>CLP</t>
        </is>
      </c>
      <c r="U2494" s="232" t="inlineStr">
        <is>
          <t>Prorrateo Ha PACKING</t>
        </is>
      </c>
      <c r="V2494" s="232" t="inlineStr">
        <is>
          <t>2026-06-18</t>
        </is>
      </c>
    </row>
    <row r="2495">
      <c r="A2495" s="232" t="inlineStr">
        <is>
          <t>CR-2492</t>
        </is>
      </c>
      <c r="B2495" s="232" t="inlineStr">
        <is>
          <t>2026/27</t>
        </is>
      </c>
      <c r="C2495" s="233" t="n">
        <v>46091</v>
      </c>
      <c r="D2495" s="232" t="inlineStr">
        <is>
          <t>291926</t>
        </is>
      </c>
      <c r="E2495" s="232" t="inlineStr">
        <is>
          <t>PRORRATEO</t>
        </is>
      </c>
      <c r="F2495" s="232" t="inlineStr">
        <is>
          <t>Asmara</t>
        </is>
      </c>
      <c r="G2495" s="232" t="inlineStr">
        <is>
          <t>w. murcott 4,9 ha</t>
        </is>
      </c>
      <c r="H2495" s="232" t="inlineStr">
        <is>
          <t>Mandarina</t>
        </is>
      </c>
      <c r="I2495" s="232" t="inlineStr">
        <is>
          <t>W. murcott</t>
        </is>
      </c>
      <c r="J2495" s="232" t="inlineStr">
        <is>
          <t>GASTOS GENERALES</t>
        </is>
      </c>
      <c r="K2495" s="232" t="inlineStr">
        <is>
          <t>ARTICULOS DE OFICINA</t>
        </is>
      </c>
      <c r="L2495" s="232" t="inlineStr">
        <is>
          <t>[PRORRATEO 3.3% 4.9há/148.3há] O/001450 CUADERNO U</t>
        </is>
      </c>
      <c r="M2495" s="232" t="inlineStr"/>
      <c r="N2495" s="232" t="inlineStr">
        <is>
          <t>.   .   -</t>
        </is>
      </c>
      <c r="O2495" s="232" t="inlineStr">
        <is>
          <t>MARZO</t>
        </is>
      </c>
      <c r="P2495" s="232" t="n">
        <v>10</v>
      </c>
      <c r="Q2495" s="234" t="n">
        <v>216</v>
      </c>
      <c r="R2495" s="232" t="inlineStr"/>
      <c r="S2495" s="234" t="n">
        <v>216</v>
      </c>
      <c r="T2495" s="232" t="inlineStr">
        <is>
          <t>CLP</t>
        </is>
      </c>
      <c r="U2495" s="232" t="inlineStr">
        <is>
          <t>Prorrateo Ha PACKING</t>
        </is>
      </c>
      <c r="V2495" s="232" t="inlineStr">
        <is>
          <t>2026-06-18</t>
        </is>
      </c>
    </row>
    <row r="2496">
      <c r="A2496" s="232" t="inlineStr">
        <is>
          <t>CR-2493</t>
        </is>
      </c>
      <c r="B2496" s="232" t="inlineStr">
        <is>
          <t>2026/27</t>
        </is>
      </c>
      <c r="C2496" s="233" t="n">
        <v>46091</v>
      </c>
      <c r="D2496" s="232" t="inlineStr">
        <is>
          <t>291926</t>
        </is>
      </c>
      <c r="E2496" s="232" t="inlineStr">
        <is>
          <t>PRORRATEO</t>
        </is>
      </c>
      <c r="F2496" s="232" t="inlineStr">
        <is>
          <t>El Molle</t>
        </is>
      </c>
      <c r="G2496" s="232" t="inlineStr">
        <is>
          <t>Wonderful 5,25 ha</t>
        </is>
      </c>
      <c r="H2496" s="232" t="inlineStr">
        <is>
          <t>Granados</t>
        </is>
      </c>
      <c r="I2496" s="232" t="inlineStr">
        <is>
          <t>Wonderfull</t>
        </is>
      </c>
      <c r="J2496" s="232" t="inlineStr">
        <is>
          <t>GASTOS GENERALES</t>
        </is>
      </c>
      <c r="K2496" s="232" t="inlineStr">
        <is>
          <t>ARTICULOS DE OFICINA</t>
        </is>
      </c>
      <c r="L2496" s="232" t="inlineStr">
        <is>
          <t>[PRORRATEO 3.5% 5.24há/148.3há] O/001450 CUADERNO U</t>
        </is>
      </c>
      <c r="M2496" s="232" t="inlineStr"/>
      <c r="N2496" s="232" t="inlineStr">
        <is>
          <t>.   .   -</t>
        </is>
      </c>
      <c r="O2496" s="232" t="inlineStr">
        <is>
          <t>MARZO</t>
        </is>
      </c>
      <c r="P2496" s="232" t="n">
        <v>10</v>
      </c>
      <c r="Q2496" s="234" t="n">
        <v>231</v>
      </c>
      <c r="R2496" s="232" t="inlineStr"/>
      <c r="S2496" s="234" t="n">
        <v>231</v>
      </c>
      <c r="T2496" s="232" t="inlineStr">
        <is>
          <t>CLP</t>
        </is>
      </c>
      <c r="U2496" s="232" t="inlineStr">
        <is>
          <t>Prorrateo Ha PACKING</t>
        </is>
      </c>
      <c r="V2496" s="232" t="inlineStr">
        <is>
          <t>2026-06-18</t>
        </is>
      </c>
    </row>
    <row r="2497">
      <c r="A2497" s="232" t="inlineStr">
        <is>
          <t>CR-2494</t>
        </is>
      </c>
      <c r="B2497" s="232" t="inlineStr">
        <is>
          <t>2026/27</t>
        </is>
      </c>
      <c r="C2497" s="233" t="n">
        <v>46091</v>
      </c>
      <c r="D2497" s="232" t="inlineStr">
        <is>
          <t>291926</t>
        </is>
      </c>
      <c r="E2497" s="232" t="inlineStr">
        <is>
          <t>PRORRATEO</t>
        </is>
      </c>
      <c r="F2497" s="232" t="inlineStr">
        <is>
          <t>El Molle</t>
        </is>
      </c>
      <c r="G2497" s="232" t="inlineStr">
        <is>
          <t>arrufatinas 5,74 ha</t>
        </is>
      </c>
      <c r="H2497" s="232" t="inlineStr">
        <is>
          <t>Clementinas</t>
        </is>
      </c>
      <c r="I2497" s="232" t="inlineStr">
        <is>
          <t>Arrufatinas</t>
        </is>
      </c>
      <c r="J2497" s="232" t="inlineStr">
        <is>
          <t>GASTOS GENERALES</t>
        </is>
      </c>
      <c r="K2497" s="232" t="inlineStr">
        <is>
          <t>ARTICULOS DE OFICINA</t>
        </is>
      </c>
      <c r="L2497" s="232" t="inlineStr">
        <is>
          <t>[PRORRATEO 3.9% 5.74há/148.3há] O/001450 CUADERNO U</t>
        </is>
      </c>
      <c r="M2497" s="232" t="inlineStr"/>
      <c r="N2497" s="232" t="inlineStr">
        <is>
          <t>.   .   -</t>
        </is>
      </c>
      <c r="O2497" s="232" t="inlineStr">
        <is>
          <t>MARZO</t>
        </is>
      </c>
      <c r="P2497" s="232" t="n">
        <v>10</v>
      </c>
      <c r="Q2497" s="234" t="n">
        <v>253</v>
      </c>
      <c r="R2497" s="232" t="inlineStr"/>
      <c r="S2497" s="234" t="n">
        <v>253</v>
      </c>
      <c r="T2497" s="232" t="inlineStr">
        <is>
          <t>CLP</t>
        </is>
      </c>
      <c r="U2497" s="232" t="inlineStr">
        <is>
          <t>Prorrateo Ha PACKING</t>
        </is>
      </c>
      <c r="V2497" s="232" t="inlineStr">
        <is>
          <t>2026-06-18</t>
        </is>
      </c>
    </row>
    <row r="2498">
      <c r="A2498" s="232" t="inlineStr">
        <is>
          <t>CR-2495</t>
        </is>
      </c>
      <c r="B2498" s="232" t="inlineStr">
        <is>
          <t>2026/27</t>
        </is>
      </c>
      <c r="C2498" s="233" t="n">
        <v>46091</v>
      </c>
      <c r="D2498" s="232" t="inlineStr">
        <is>
          <t>291926</t>
        </is>
      </c>
      <c r="E2498" s="232" t="inlineStr">
        <is>
          <t>PRORRATEO</t>
        </is>
      </c>
      <c r="F2498" s="232" t="inlineStr">
        <is>
          <t>El Molle</t>
        </is>
      </c>
      <c r="G2498" s="232" t="inlineStr">
        <is>
          <t>orogrande 8,11 ha</t>
        </is>
      </c>
      <c r="H2498" s="232" t="inlineStr">
        <is>
          <t>Clementinas</t>
        </is>
      </c>
      <c r="I2498" s="232" t="inlineStr">
        <is>
          <t>Orogrande</t>
        </is>
      </c>
      <c r="J2498" s="232" t="inlineStr">
        <is>
          <t>GASTOS GENERALES</t>
        </is>
      </c>
      <c r="K2498" s="232" t="inlineStr">
        <is>
          <t>ARTICULOS DE OFICINA</t>
        </is>
      </c>
      <c r="L2498" s="232" t="inlineStr">
        <is>
          <t>[PRORRATEO 5.5% 8.11há/148.3há] O/001450 CUADERNO U</t>
        </is>
      </c>
      <c r="M2498" s="232" t="inlineStr"/>
      <c r="N2498" s="232" t="inlineStr">
        <is>
          <t>.   .   -</t>
        </is>
      </c>
      <c r="O2498" s="232" t="inlineStr">
        <is>
          <t>MARZO</t>
        </is>
      </c>
      <c r="P2498" s="232" t="n">
        <v>10</v>
      </c>
      <c r="Q2498" s="234" t="n">
        <v>357</v>
      </c>
      <c r="R2498" s="232" t="inlineStr"/>
      <c r="S2498" s="234" t="n">
        <v>357</v>
      </c>
      <c r="T2498" s="232" t="inlineStr">
        <is>
          <t>CLP</t>
        </is>
      </c>
      <c r="U2498" s="232" t="inlineStr">
        <is>
          <t>Prorrateo Ha PACKING</t>
        </is>
      </c>
      <c r="V2498" s="232" t="inlineStr">
        <is>
          <t>2026-06-18</t>
        </is>
      </c>
    </row>
    <row r="2499">
      <c r="A2499" s="232" t="inlineStr">
        <is>
          <t>CR-2496</t>
        </is>
      </c>
      <c r="B2499" s="232" t="inlineStr">
        <is>
          <t>2026/27</t>
        </is>
      </c>
      <c r="C2499" s="233" t="n">
        <v>46091</v>
      </c>
      <c r="D2499" s="232" t="inlineStr">
        <is>
          <t>291926</t>
        </is>
      </c>
      <c r="E2499" s="232" t="inlineStr">
        <is>
          <t>PRORRATEO</t>
        </is>
      </c>
      <c r="F2499" s="232" t="inlineStr">
        <is>
          <t>El Molle</t>
        </is>
      </c>
      <c r="G2499" s="232" t="inlineStr">
        <is>
          <t>oronules 5,35 ha</t>
        </is>
      </c>
      <c r="H2499" s="232" t="inlineStr">
        <is>
          <t>Clementinas</t>
        </is>
      </c>
      <c r="I2499" s="232" t="inlineStr">
        <is>
          <t>Oronules</t>
        </is>
      </c>
      <c r="J2499" s="232" t="inlineStr">
        <is>
          <t>GASTOS GENERALES</t>
        </is>
      </c>
      <c r="K2499" s="232" t="inlineStr">
        <is>
          <t>ARTICULOS DE OFICINA</t>
        </is>
      </c>
      <c r="L2499" s="232" t="inlineStr">
        <is>
          <t>[PRORRATEO 3.6% 5.35há/148.3há] O/001450 CUADERNO U</t>
        </is>
      </c>
      <c r="M2499" s="232" t="inlineStr"/>
      <c r="N2499" s="232" t="inlineStr">
        <is>
          <t>.   .   -</t>
        </is>
      </c>
      <c r="O2499" s="232" t="inlineStr">
        <is>
          <t>MARZO</t>
        </is>
      </c>
      <c r="P2499" s="232" t="n">
        <v>10</v>
      </c>
      <c r="Q2499" s="234" t="n">
        <v>235</v>
      </c>
      <c r="R2499" s="232" t="inlineStr"/>
      <c r="S2499" s="234" t="n">
        <v>235</v>
      </c>
      <c r="T2499" s="232" t="inlineStr">
        <is>
          <t>CLP</t>
        </is>
      </c>
      <c r="U2499" s="232" t="inlineStr">
        <is>
          <t>Prorrateo Ha PACKING</t>
        </is>
      </c>
      <c r="V2499" s="232" t="inlineStr">
        <is>
          <t>2026-06-18</t>
        </is>
      </c>
    </row>
    <row r="2500">
      <c r="A2500" s="232" t="inlineStr">
        <is>
          <t>CR-2497</t>
        </is>
      </c>
      <c r="B2500" s="232" t="inlineStr">
        <is>
          <t>2026/27</t>
        </is>
      </c>
      <c r="C2500" s="233" t="n">
        <v>46091</v>
      </c>
      <c r="D2500" s="232" t="inlineStr">
        <is>
          <t>291926</t>
        </is>
      </c>
      <c r="E2500" s="232" t="inlineStr">
        <is>
          <t>PRORRATEO</t>
        </is>
      </c>
      <c r="F2500" s="232" t="inlineStr">
        <is>
          <t>Santa Catalina</t>
        </is>
      </c>
      <c r="G2500" s="232" t="inlineStr">
        <is>
          <t>Fino 49 7,7 ha</t>
        </is>
      </c>
      <c r="H2500" s="232" t="inlineStr">
        <is>
          <t>Limon</t>
        </is>
      </c>
      <c r="I2500" s="232" t="inlineStr">
        <is>
          <t>Fino 49</t>
        </is>
      </c>
      <c r="J2500" s="232" t="inlineStr">
        <is>
          <t>GASTOS GENERALES</t>
        </is>
      </c>
      <c r="K2500" s="232" t="inlineStr">
        <is>
          <t>ARTICULOS DE OFICINA</t>
        </is>
      </c>
      <c r="L2500" s="232" t="inlineStr">
        <is>
          <t>[PRORRATEO 5.2% 7.7há/148.3há] O/001450 CUADERNO U</t>
        </is>
      </c>
      <c r="M2500" s="232" t="inlineStr"/>
      <c r="N2500" s="232" t="inlineStr">
        <is>
          <t>.   .   -</t>
        </is>
      </c>
      <c r="O2500" s="232" t="inlineStr">
        <is>
          <t>MARZO</t>
        </is>
      </c>
      <c r="P2500" s="232" t="n">
        <v>10</v>
      </c>
      <c r="Q2500" s="234" t="n">
        <v>339</v>
      </c>
      <c r="R2500" s="232" t="inlineStr"/>
      <c r="S2500" s="234" t="n">
        <v>339</v>
      </c>
      <c r="T2500" s="232" t="inlineStr">
        <is>
          <t>CLP</t>
        </is>
      </c>
      <c r="U2500" s="232" t="inlineStr">
        <is>
          <t>Prorrateo Ha PACKING</t>
        </is>
      </c>
      <c r="V2500" s="232" t="inlineStr">
        <is>
          <t>2026-06-18</t>
        </is>
      </c>
    </row>
    <row r="2501">
      <c r="A2501" s="232" t="inlineStr">
        <is>
          <t>CR-2498</t>
        </is>
      </c>
      <c r="B2501" s="232" t="inlineStr">
        <is>
          <t>2026/27</t>
        </is>
      </c>
      <c r="C2501" s="233" t="n">
        <v>46091</v>
      </c>
      <c r="D2501" s="232" t="inlineStr">
        <is>
          <t>291926</t>
        </is>
      </c>
      <c r="E2501" s="232" t="inlineStr">
        <is>
          <t>PRORRATEO</t>
        </is>
      </c>
      <c r="F2501" s="232" t="inlineStr">
        <is>
          <t>Santa Catalina</t>
        </is>
      </c>
      <c r="G2501" s="232" t="inlineStr">
        <is>
          <t>W. murcott 21 ha</t>
        </is>
      </c>
      <c r="H2501" s="232" t="inlineStr">
        <is>
          <t>Mandarina</t>
        </is>
      </c>
      <c r="I2501" s="232" t="inlineStr">
        <is>
          <t>W. murcott</t>
        </is>
      </c>
      <c r="J2501" s="232" t="inlineStr">
        <is>
          <t>GASTOS GENERALES</t>
        </is>
      </c>
      <c r="K2501" s="232" t="inlineStr">
        <is>
          <t>ARTICULOS DE OFICINA</t>
        </is>
      </c>
      <c r="L2501" s="232" t="inlineStr">
        <is>
          <t>[PRORRATEO 14.2% 21.0há/148.3há] O/001450 CUADERNO U</t>
        </is>
      </c>
      <c r="M2501" s="232" t="inlineStr"/>
      <c r="N2501" s="232" t="inlineStr">
        <is>
          <t>.   .   -</t>
        </is>
      </c>
      <c r="O2501" s="232" t="inlineStr">
        <is>
          <t>MARZO</t>
        </is>
      </c>
      <c r="P2501" s="232" t="n">
        <v>10</v>
      </c>
      <c r="Q2501" s="234" t="n">
        <v>924</v>
      </c>
      <c r="R2501" s="232" t="inlineStr"/>
      <c r="S2501" s="234" t="n">
        <v>924</v>
      </c>
      <c r="T2501" s="232" t="inlineStr">
        <is>
          <t>CLP</t>
        </is>
      </c>
      <c r="U2501" s="232" t="inlineStr">
        <is>
          <t>Prorrateo Ha PACKING</t>
        </is>
      </c>
      <c r="V2501" s="232" t="inlineStr">
        <is>
          <t>2026-06-18</t>
        </is>
      </c>
    </row>
    <row r="2502">
      <c r="A2502" s="232" t="inlineStr">
        <is>
          <t>CR-2499</t>
        </is>
      </c>
      <c r="B2502" s="232" t="inlineStr">
        <is>
          <t>2026/27</t>
        </is>
      </c>
      <c r="C2502" s="233" t="n">
        <v>46091</v>
      </c>
      <c r="D2502" s="232" t="inlineStr">
        <is>
          <t>291926</t>
        </is>
      </c>
      <c r="E2502" s="232" t="inlineStr">
        <is>
          <t>PRORRATEO</t>
        </is>
      </c>
      <c r="F2502" s="232" t="inlineStr">
        <is>
          <t>Santa Catalina</t>
        </is>
      </c>
      <c r="G2502" s="232" t="inlineStr">
        <is>
          <t>cambria 4,2 ha</t>
        </is>
      </c>
      <c r="H2502" s="232" t="inlineStr">
        <is>
          <t>Naranjas</t>
        </is>
      </c>
      <c r="I2502" s="232" t="inlineStr">
        <is>
          <t>Cambria</t>
        </is>
      </c>
      <c r="J2502" s="232" t="inlineStr">
        <is>
          <t>GASTOS GENERALES</t>
        </is>
      </c>
      <c r="K2502" s="232" t="inlineStr">
        <is>
          <t>ARTICULOS DE OFICINA</t>
        </is>
      </c>
      <c r="L2502" s="232" t="inlineStr">
        <is>
          <t>[PRORRATEO 2.8% 4.2há/148.3há] O/001450 CUADERNO U</t>
        </is>
      </c>
      <c r="M2502" s="232" t="inlineStr"/>
      <c r="N2502" s="232" t="inlineStr">
        <is>
          <t>.   .   -</t>
        </is>
      </c>
      <c r="O2502" s="232" t="inlineStr">
        <is>
          <t>MARZO</t>
        </is>
      </c>
      <c r="P2502" s="232" t="n">
        <v>10</v>
      </c>
      <c r="Q2502" s="234" t="n">
        <v>185</v>
      </c>
      <c r="R2502" s="232" t="inlineStr"/>
      <c r="S2502" s="234" t="n">
        <v>185</v>
      </c>
      <c r="T2502" s="232" t="inlineStr">
        <is>
          <t>CLP</t>
        </is>
      </c>
      <c r="U2502" s="232" t="inlineStr">
        <is>
          <t>Prorrateo Ha PACKING</t>
        </is>
      </c>
      <c r="V2502" s="232" t="inlineStr">
        <is>
          <t>2026-06-18</t>
        </is>
      </c>
    </row>
    <row r="2503">
      <c r="A2503" s="232" t="inlineStr">
        <is>
          <t>CR-2500</t>
        </is>
      </c>
      <c r="B2503" s="232" t="inlineStr">
        <is>
          <t>2026/27</t>
        </is>
      </c>
      <c r="C2503" s="233" t="n">
        <v>46091</v>
      </c>
      <c r="D2503" s="232" t="inlineStr">
        <is>
          <t>291926</t>
        </is>
      </c>
      <c r="E2503" s="232" t="inlineStr">
        <is>
          <t>PRORRATEO</t>
        </is>
      </c>
      <c r="F2503" s="232" t="inlineStr">
        <is>
          <t>Santa Catalina</t>
        </is>
      </c>
      <c r="G2503" s="232" t="inlineStr">
        <is>
          <t>eureka 10,6 ha</t>
        </is>
      </c>
      <c r="H2503" s="232" t="inlineStr">
        <is>
          <t>Limon</t>
        </is>
      </c>
      <c r="I2503" s="232" t="inlineStr">
        <is>
          <t>Eureka</t>
        </is>
      </c>
      <c r="J2503" s="232" t="inlineStr">
        <is>
          <t>GASTOS GENERALES</t>
        </is>
      </c>
      <c r="K2503" s="232" t="inlineStr">
        <is>
          <t>ARTICULOS DE OFICINA</t>
        </is>
      </c>
      <c r="L2503" s="232" t="inlineStr">
        <is>
          <t>[PRORRATEO 7.1% 10.6há/148.3há] O/001450 CUADERNO U</t>
        </is>
      </c>
      <c r="M2503" s="232" t="inlineStr"/>
      <c r="N2503" s="232" t="inlineStr">
        <is>
          <t>.   .   -</t>
        </is>
      </c>
      <c r="O2503" s="232" t="inlineStr">
        <is>
          <t>MARZO</t>
        </is>
      </c>
      <c r="P2503" s="232" t="n">
        <v>10</v>
      </c>
      <c r="Q2503" s="234" t="n">
        <v>466</v>
      </c>
      <c r="R2503" s="232" t="inlineStr"/>
      <c r="S2503" s="234" t="n">
        <v>466</v>
      </c>
      <c r="T2503" s="232" t="inlineStr">
        <is>
          <t>CLP</t>
        </is>
      </c>
      <c r="U2503" s="232" t="inlineStr">
        <is>
          <t>Prorrateo Ha PACKING</t>
        </is>
      </c>
      <c r="V2503" s="232" t="inlineStr">
        <is>
          <t>2026-06-18</t>
        </is>
      </c>
    </row>
    <row r="2504">
      <c r="A2504" s="232" t="inlineStr">
        <is>
          <t>CR-2501</t>
        </is>
      </c>
      <c r="B2504" s="232" t="inlineStr">
        <is>
          <t>2026/27</t>
        </is>
      </c>
      <c r="C2504" s="233" t="n">
        <v>46091</v>
      </c>
      <c r="D2504" s="232" t="inlineStr">
        <is>
          <t>291926</t>
        </is>
      </c>
      <c r="E2504" s="232" t="inlineStr">
        <is>
          <t>PRORRATEO</t>
        </is>
      </c>
      <c r="F2504" s="232" t="inlineStr">
        <is>
          <t>Santa Catalina</t>
        </is>
      </c>
      <c r="G2504" s="232" t="inlineStr">
        <is>
          <t>eureka 14,4 ha</t>
        </is>
      </c>
      <c r="H2504" s="232" t="inlineStr">
        <is>
          <t>Limon</t>
        </is>
      </c>
      <c r="I2504" s="232" t="inlineStr">
        <is>
          <t>Eureka</t>
        </is>
      </c>
      <c r="J2504" s="232" t="inlineStr">
        <is>
          <t>GASTOS GENERALES</t>
        </is>
      </c>
      <c r="K2504" s="232" t="inlineStr">
        <is>
          <t>ARTICULOS DE OFICINA</t>
        </is>
      </c>
      <c r="L2504" s="232" t="inlineStr">
        <is>
          <t>[PRORRATEO 9.7% 14.4há/148.3há] O/001450 CUADERNO U</t>
        </is>
      </c>
      <c r="M2504" s="232" t="inlineStr"/>
      <c r="N2504" s="232" t="inlineStr">
        <is>
          <t>.   .   -</t>
        </is>
      </c>
      <c r="O2504" s="232" t="inlineStr">
        <is>
          <t>MARZO</t>
        </is>
      </c>
      <c r="P2504" s="232" t="n">
        <v>10</v>
      </c>
      <c r="Q2504" s="234" t="n">
        <v>633</v>
      </c>
      <c r="R2504" s="232" t="inlineStr"/>
      <c r="S2504" s="234" t="n">
        <v>633</v>
      </c>
      <c r="T2504" s="232" t="inlineStr">
        <is>
          <t>CLP</t>
        </is>
      </c>
      <c r="U2504" s="232" t="inlineStr">
        <is>
          <t>Prorrateo Ha PACKING</t>
        </is>
      </c>
      <c r="V2504" s="232" t="inlineStr">
        <is>
          <t>2026-06-18</t>
        </is>
      </c>
    </row>
    <row r="2505">
      <c r="A2505" s="232" t="inlineStr">
        <is>
          <t>CR-2502</t>
        </is>
      </c>
      <c r="B2505" s="232" t="inlineStr">
        <is>
          <t>2026/27</t>
        </is>
      </c>
      <c r="C2505" s="233" t="n">
        <v>46091</v>
      </c>
      <c r="D2505" s="232" t="inlineStr">
        <is>
          <t>291926</t>
        </is>
      </c>
      <c r="E2505" s="232" t="inlineStr">
        <is>
          <t>PRORRATEO</t>
        </is>
      </c>
      <c r="F2505" s="232" t="inlineStr">
        <is>
          <t>Santa Catalina</t>
        </is>
      </c>
      <c r="G2505" s="232" t="inlineStr">
        <is>
          <t>eureka 22,55</t>
        </is>
      </c>
      <c r="H2505" s="232" t="inlineStr">
        <is>
          <t>Limon</t>
        </is>
      </c>
      <c r="I2505" s="232" t="inlineStr">
        <is>
          <t>Eureka</t>
        </is>
      </c>
      <c r="J2505" s="232" t="inlineStr">
        <is>
          <t>GASTOS GENERALES</t>
        </is>
      </c>
      <c r="K2505" s="232" t="inlineStr">
        <is>
          <t>ARTICULOS DE OFICINA</t>
        </is>
      </c>
      <c r="L2505" s="232" t="inlineStr">
        <is>
          <t>[PRORRATEO 15.2% 22.55há/148.3há] O/001450 CUADERNO U</t>
        </is>
      </c>
      <c r="M2505" s="232" t="inlineStr"/>
      <c r="N2505" s="232" t="inlineStr">
        <is>
          <t>.   .   -</t>
        </is>
      </c>
      <c r="O2505" s="232" t="inlineStr">
        <is>
          <t>MARZO</t>
        </is>
      </c>
      <c r="P2505" s="232" t="n">
        <v>10</v>
      </c>
      <c r="Q2505" s="234" t="n">
        <v>992</v>
      </c>
      <c r="R2505" s="232" t="inlineStr"/>
      <c r="S2505" s="234" t="n">
        <v>992</v>
      </c>
      <c r="T2505" s="232" t="inlineStr">
        <is>
          <t>CLP</t>
        </is>
      </c>
      <c r="U2505" s="232" t="inlineStr">
        <is>
          <t>Prorrateo Ha PACKING</t>
        </is>
      </c>
      <c r="V2505" s="232" t="inlineStr">
        <is>
          <t>2026-06-18</t>
        </is>
      </c>
    </row>
    <row r="2506">
      <c r="A2506" s="232" t="inlineStr">
        <is>
          <t>CR-2503</t>
        </is>
      </c>
      <c r="B2506" s="232" t="inlineStr">
        <is>
          <t>2026/27</t>
        </is>
      </c>
      <c r="C2506" s="233" t="n">
        <v>46091</v>
      </c>
      <c r="D2506" s="232" t="inlineStr">
        <is>
          <t>291926</t>
        </is>
      </c>
      <c r="E2506" s="232" t="inlineStr">
        <is>
          <t>PRORRATEO</t>
        </is>
      </c>
      <c r="F2506" s="232" t="inlineStr">
        <is>
          <t>Santa Catalina</t>
        </is>
      </c>
      <c r="G2506" s="232" t="inlineStr">
        <is>
          <t>form benjamin 1,93 ha</t>
        </is>
      </c>
      <c r="H2506" s="232" t="inlineStr">
        <is>
          <t>Limon</t>
        </is>
      </c>
      <c r="I2506" s="232" t="inlineStr">
        <is>
          <t>Benjamin andes</t>
        </is>
      </c>
      <c r="J2506" s="232" t="inlineStr">
        <is>
          <t>GASTOS GENERALES</t>
        </is>
      </c>
      <c r="K2506" s="232" t="inlineStr">
        <is>
          <t>ARTICULOS DE OFICINA</t>
        </is>
      </c>
      <c r="L2506" s="232" t="inlineStr">
        <is>
          <t>[PRORRATEO 1.3% 1.93há/148.3há] O/001450 CUADERNO U</t>
        </is>
      </c>
      <c r="M2506" s="232" t="inlineStr"/>
      <c r="N2506" s="232" t="inlineStr">
        <is>
          <t>.   .   -</t>
        </is>
      </c>
      <c r="O2506" s="232" t="inlineStr">
        <is>
          <t>MARZO</t>
        </is>
      </c>
      <c r="P2506" s="232" t="n">
        <v>10</v>
      </c>
      <c r="Q2506" s="234" t="n">
        <v>85</v>
      </c>
      <c r="R2506" s="232" t="inlineStr"/>
      <c r="S2506" s="234" t="n">
        <v>85</v>
      </c>
      <c r="T2506" s="232" t="inlineStr">
        <is>
          <t>CLP</t>
        </is>
      </c>
      <c r="U2506" s="232" t="inlineStr">
        <is>
          <t>Prorrateo Ha PACKING</t>
        </is>
      </c>
      <c r="V2506" s="232" t="inlineStr">
        <is>
          <t>2026-06-18</t>
        </is>
      </c>
    </row>
    <row r="2507">
      <c r="A2507" s="232" t="inlineStr">
        <is>
          <t>CR-2504</t>
        </is>
      </c>
      <c r="B2507" s="232" t="inlineStr">
        <is>
          <t>2026/27</t>
        </is>
      </c>
      <c r="C2507" s="233" t="n">
        <v>46091</v>
      </c>
      <c r="D2507" s="232" t="inlineStr">
        <is>
          <t>291926</t>
        </is>
      </c>
      <c r="E2507" s="232" t="inlineStr">
        <is>
          <t>PRORRATEO</t>
        </is>
      </c>
      <c r="F2507" s="232" t="inlineStr">
        <is>
          <t>Santa Catalina</t>
        </is>
      </c>
      <c r="G2507" s="232" t="inlineStr">
        <is>
          <t>mant eureka 2,5 ha</t>
        </is>
      </c>
      <c r="H2507" s="232" t="inlineStr">
        <is>
          <t>Limon</t>
        </is>
      </c>
      <c r="I2507" s="232" t="inlineStr">
        <is>
          <t>Eureka</t>
        </is>
      </c>
      <c r="J2507" s="232" t="inlineStr">
        <is>
          <t>GASTOS GENERALES</t>
        </is>
      </c>
      <c r="K2507" s="232" t="inlineStr">
        <is>
          <t>ARTICULOS DE OFICINA</t>
        </is>
      </c>
      <c r="L2507" s="232" t="inlineStr">
        <is>
          <t>[PRORRATEO 1.7% 2.5há/148.3há] O/001450 CUADERNO U</t>
        </is>
      </c>
      <c r="M2507" s="232" t="inlineStr"/>
      <c r="N2507" s="232" t="inlineStr">
        <is>
          <t>.   .   -</t>
        </is>
      </c>
      <c r="O2507" s="232" t="inlineStr">
        <is>
          <t>MARZO</t>
        </is>
      </c>
      <c r="P2507" s="232" t="n">
        <v>10</v>
      </c>
      <c r="Q2507" s="234" t="n">
        <v>110</v>
      </c>
      <c r="R2507" s="232" t="inlineStr"/>
      <c r="S2507" s="234" t="n">
        <v>110</v>
      </c>
      <c r="T2507" s="232" t="inlineStr">
        <is>
          <t>CLP</t>
        </is>
      </c>
      <c r="U2507" s="232" t="inlineStr">
        <is>
          <t>Prorrateo Ha PACKING</t>
        </is>
      </c>
      <c r="V2507" s="232" t="inlineStr">
        <is>
          <t>2026-06-18</t>
        </is>
      </c>
    </row>
    <row r="2508">
      <c r="A2508" s="232" t="inlineStr">
        <is>
          <t>CR-2505</t>
        </is>
      </c>
      <c r="B2508" s="232" t="inlineStr">
        <is>
          <t>2026/27</t>
        </is>
      </c>
      <c r="C2508" s="233" t="n">
        <v>46091</v>
      </c>
      <c r="D2508" s="232" t="inlineStr">
        <is>
          <t>291926</t>
        </is>
      </c>
      <c r="E2508" s="232" t="inlineStr">
        <is>
          <t>PRORRATEO</t>
        </is>
      </c>
      <c r="F2508" s="232" t="inlineStr">
        <is>
          <t>Siberia</t>
        </is>
      </c>
      <c r="G2508" s="232" t="inlineStr">
        <is>
          <t>S. Celebration 7,14</t>
        </is>
      </c>
      <c r="H2508" s="232" t="inlineStr">
        <is>
          <t>Uvas</t>
        </is>
      </c>
      <c r="I2508" s="232" t="inlineStr">
        <is>
          <t>S. celebration</t>
        </is>
      </c>
      <c r="J2508" s="232" t="inlineStr">
        <is>
          <t>GASTOS GENERALES</t>
        </is>
      </c>
      <c r="K2508" s="232" t="inlineStr">
        <is>
          <t>ARTICULOS DE OFICINA</t>
        </is>
      </c>
      <c r="L2508" s="232" t="inlineStr">
        <is>
          <t>[PRORRATEO 4.8% 7.14há/148.3há] O/001450 CUADERNO U</t>
        </is>
      </c>
      <c r="M2508" s="232" t="inlineStr"/>
      <c r="N2508" s="232" t="inlineStr">
        <is>
          <t>.   .   -</t>
        </is>
      </c>
      <c r="O2508" s="232" t="inlineStr">
        <is>
          <t>MARZO</t>
        </is>
      </c>
      <c r="P2508" s="232" t="n">
        <v>10</v>
      </c>
      <c r="Q2508" s="234" t="n">
        <v>314</v>
      </c>
      <c r="R2508" s="232" t="inlineStr"/>
      <c r="S2508" s="234" t="n">
        <v>314</v>
      </c>
      <c r="T2508" s="232" t="inlineStr">
        <is>
          <t>CLP</t>
        </is>
      </c>
      <c r="U2508" s="232" t="inlineStr">
        <is>
          <t>Prorrateo Ha PACKING</t>
        </is>
      </c>
      <c r="V2508" s="232" t="inlineStr">
        <is>
          <t>2026-06-18</t>
        </is>
      </c>
    </row>
    <row r="2509">
      <c r="A2509" s="232" t="inlineStr">
        <is>
          <t>CR-2506</t>
        </is>
      </c>
      <c r="B2509" s="232" t="inlineStr">
        <is>
          <t>2026/27</t>
        </is>
      </c>
      <c r="C2509" s="233" t="n">
        <v>46091</v>
      </c>
      <c r="D2509" s="232" t="inlineStr">
        <is>
          <t>291926</t>
        </is>
      </c>
      <c r="E2509" s="232" t="inlineStr">
        <is>
          <t>PRORRATEO</t>
        </is>
      </c>
      <c r="F2509" s="232" t="inlineStr">
        <is>
          <t>Siberia</t>
        </is>
      </c>
      <c r="G2509" s="232" t="inlineStr">
        <is>
          <t>Timpson 7,1</t>
        </is>
      </c>
      <c r="H2509" s="232" t="inlineStr">
        <is>
          <t>Uvas</t>
        </is>
      </c>
      <c r="I2509" s="232" t="inlineStr">
        <is>
          <t>Timpson</t>
        </is>
      </c>
      <c r="J2509" s="232" t="inlineStr">
        <is>
          <t>GASTOS GENERALES</t>
        </is>
      </c>
      <c r="K2509" s="232" t="inlineStr">
        <is>
          <t>ARTICULOS DE OFICINA</t>
        </is>
      </c>
      <c r="L2509" s="232" t="inlineStr">
        <is>
          <t>[PRORRATEO 4.8% 7.1há/148.3há] O/001450 CUADERNO U</t>
        </is>
      </c>
      <c r="M2509" s="232" t="inlineStr"/>
      <c r="N2509" s="232" t="inlineStr">
        <is>
          <t>.   .   -</t>
        </is>
      </c>
      <c r="O2509" s="232" t="inlineStr">
        <is>
          <t>MARZO</t>
        </is>
      </c>
      <c r="P2509" s="232" t="n">
        <v>10</v>
      </c>
      <c r="Q2509" s="234" t="n">
        <v>312</v>
      </c>
      <c r="R2509" s="232" t="inlineStr"/>
      <c r="S2509" s="234" t="n">
        <v>312</v>
      </c>
      <c r="T2509" s="232" t="inlineStr">
        <is>
          <t>CLP</t>
        </is>
      </c>
      <c r="U2509" s="232" t="inlineStr">
        <is>
          <t>Prorrateo Ha PACKING</t>
        </is>
      </c>
      <c r="V2509" s="232" t="inlineStr">
        <is>
          <t>2026-06-18</t>
        </is>
      </c>
    </row>
    <row r="2510">
      <c r="A2510" s="232" t="inlineStr">
        <is>
          <t>CR-2507</t>
        </is>
      </c>
      <c r="B2510" s="232" t="inlineStr">
        <is>
          <t>2026/27</t>
        </is>
      </c>
      <c r="C2510" s="233" t="n">
        <v>46091</v>
      </c>
      <c r="D2510" s="232" t="inlineStr">
        <is>
          <t>291926</t>
        </is>
      </c>
      <c r="E2510" s="232" t="inlineStr">
        <is>
          <t>PRORRATEO</t>
        </is>
      </c>
      <c r="F2510" s="232" t="inlineStr">
        <is>
          <t>Asmara</t>
        </is>
      </c>
      <c r="G2510" s="232" t="inlineStr">
        <is>
          <t>w. murcott 19,8 ha</t>
        </is>
      </c>
      <c r="H2510" s="232" t="inlineStr">
        <is>
          <t>Mandarina</t>
        </is>
      </c>
      <c r="I2510" s="232" t="inlineStr">
        <is>
          <t>W. murcott</t>
        </is>
      </c>
      <c r="J2510" s="232" t="inlineStr">
        <is>
          <t>GASTOS GENERALES</t>
        </is>
      </c>
      <c r="K2510" s="232" t="inlineStr">
        <is>
          <t>INSUMOS DE ASEO</t>
        </is>
      </c>
      <c r="L2510" s="232" t="inlineStr">
        <is>
          <t>[PRORRATEO 13.4% 19.8há/148.3há] O/001450 LAVALOZA L</t>
        </is>
      </c>
      <c r="M2510" s="232" t="inlineStr"/>
      <c r="N2510" s="232" t="inlineStr">
        <is>
          <t>.   .   -</t>
        </is>
      </c>
      <c r="O2510" s="232" t="inlineStr">
        <is>
          <t>MARZO</t>
        </is>
      </c>
      <c r="P2510" s="232" t="n">
        <v>10</v>
      </c>
      <c r="Q2510" s="234" t="n">
        <v>915</v>
      </c>
      <c r="R2510" s="232" t="inlineStr"/>
      <c r="S2510" s="234" t="n">
        <v>915</v>
      </c>
      <c r="T2510" s="232" t="inlineStr">
        <is>
          <t>CLP</t>
        </is>
      </c>
      <c r="U2510" s="232" t="inlineStr">
        <is>
          <t>Prorrateo Ha PACKING</t>
        </is>
      </c>
      <c r="V2510" s="232" t="inlineStr">
        <is>
          <t>2026-06-18</t>
        </is>
      </c>
    </row>
    <row r="2511">
      <c r="A2511" s="232" t="inlineStr">
        <is>
          <t>CR-2508</t>
        </is>
      </c>
      <c r="B2511" s="232" t="inlineStr">
        <is>
          <t>2026/27</t>
        </is>
      </c>
      <c r="C2511" s="233" t="n">
        <v>46091</v>
      </c>
      <c r="D2511" s="232" t="inlineStr">
        <is>
          <t>291926</t>
        </is>
      </c>
      <c r="E2511" s="232" t="inlineStr">
        <is>
          <t>PRORRATEO</t>
        </is>
      </c>
      <c r="F2511" s="232" t="inlineStr">
        <is>
          <t>Asmara</t>
        </is>
      </c>
      <c r="G2511" s="232" t="inlineStr">
        <is>
          <t>w. murcott 4,9 ha</t>
        </is>
      </c>
      <c r="H2511" s="232" t="inlineStr">
        <is>
          <t>Mandarina</t>
        </is>
      </c>
      <c r="I2511" s="232" t="inlineStr">
        <is>
          <t>W. murcott</t>
        </is>
      </c>
      <c r="J2511" s="232" t="inlineStr">
        <is>
          <t>GASTOS GENERALES</t>
        </is>
      </c>
      <c r="K2511" s="232" t="inlineStr">
        <is>
          <t>INSUMOS DE ASEO</t>
        </is>
      </c>
      <c r="L2511" s="232" t="inlineStr">
        <is>
          <t>[PRORRATEO 3.3% 4.9há/148.3há] O/001450 LAVALOZA L</t>
        </is>
      </c>
      <c r="M2511" s="232" t="inlineStr"/>
      <c r="N2511" s="232" t="inlineStr">
        <is>
          <t>.   .   -</t>
        </is>
      </c>
      <c r="O2511" s="232" t="inlineStr">
        <is>
          <t>MARZO</t>
        </is>
      </c>
      <c r="P2511" s="232" t="n">
        <v>10</v>
      </c>
      <c r="Q2511" s="234" t="n">
        <v>226</v>
      </c>
      <c r="R2511" s="232" t="inlineStr"/>
      <c r="S2511" s="234" t="n">
        <v>226</v>
      </c>
      <c r="T2511" s="232" t="inlineStr">
        <is>
          <t>CLP</t>
        </is>
      </c>
      <c r="U2511" s="232" t="inlineStr">
        <is>
          <t>Prorrateo Ha PACKING</t>
        </is>
      </c>
      <c r="V2511" s="232" t="inlineStr">
        <is>
          <t>2026-06-18</t>
        </is>
      </c>
    </row>
    <row r="2512">
      <c r="A2512" s="232" t="inlineStr">
        <is>
          <t>CR-2509</t>
        </is>
      </c>
      <c r="B2512" s="232" t="inlineStr">
        <is>
          <t>2026/27</t>
        </is>
      </c>
      <c r="C2512" s="233" t="n">
        <v>46091</v>
      </c>
      <c r="D2512" s="232" t="inlineStr">
        <is>
          <t>291926</t>
        </is>
      </c>
      <c r="E2512" s="232" t="inlineStr">
        <is>
          <t>PRORRATEO</t>
        </is>
      </c>
      <c r="F2512" s="232" t="inlineStr">
        <is>
          <t>El Molle</t>
        </is>
      </c>
      <c r="G2512" s="232" t="inlineStr">
        <is>
          <t>Wonderful 5,25 ha</t>
        </is>
      </c>
      <c r="H2512" s="232" t="inlineStr">
        <is>
          <t>Granados</t>
        </is>
      </c>
      <c r="I2512" s="232" t="inlineStr">
        <is>
          <t>Wonderfull</t>
        </is>
      </c>
      <c r="J2512" s="232" t="inlineStr">
        <is>
          <t>GASTOS GENERALES</t>
        </is>
      </c>
      <c r="K2512" s="232" t="inlineStr">
        <is>
          <t>INSUMOS DE ASEO</t>
        </is>
      </c>
      <c r="L2512" s="232" t="inlineStr">
        <is>
          <t>[PRORRATEO 3.5% 5.24há/148.3há] O/001450 LAVALOZA L</t>
        </is>
      </c>
      <c r="M2512" s="232" t="inlineStr"/>
      <c r="N2512" s="232" t="inlineStr">
        <is>
          <t>.   .   -</t>
        </is>
      </c>
      <c r="O2512" s="232" t="inlineStr">
        <is>
          <t>MARZO</t>
        </is>
      </c>
      <c r="P2512" s="232" t="n">
        <v>10</v>
      </c>
      <c r="Q2512" s="234" t="n">
        <v>242</v>
      </c>
      <c r="R2512" s="232" t="inlineStr"/>
      <c r="S2512" s="234" t="n">
        <v>242</v>
      </c>
      <c r="T2512" s="232" t="inlineStr">
        <is>
          <t>CLP</t>
        </is>
      </c>
      <c r="U2512" s="232" t="inlineStr">
        <is>
          <t>Prorrateo Ha PACKING</t>
        </is>
      </c>
      <c r="V2512" s="232" t="inlineStr">
        <is>
          <t>2026-06-18</t>
        </is>
      </c>
    </row>
    <row r="2513">
      <c r="A2513" s="232" t="inlineStr">
        <is>
          <t>CR-2510</t>
        </is>
      </c>
      <c r="B2513" s="232" t="inlineStr">
        <is>
          <t>2026/27</t>
        </is>
      </c>
      <c r="C2513" s="233" t="n">
        <v>46091</v>
      </c>
      <c r="D2513" s="232" t="inlineStr">
        <is>
          <t>291926</t>
        </is>
      </c>
      <c r="E2513" s="232" t="inlineStr">
        <is>
          <t>PRORRATEO</t>
        </is>
      </c>
      <c r="F2513" s="232" t="inlineStr">
        <is>
          <t>El Molle</t>
        </is>
      </c>
      <c r="G2513" s="232" t="inlineStr">
        <is>
          <t>arrufatinas 5,74 ha</t>
        </is>
      </c>
      <c r="H2513" s="232" t="inlineStr">
        <is>
          <t>Clementinas</t>
        </is>
      </c>
      <c r="I2513" s="232" t="inlineStr">
        <is>
          <t>Arrufatinas</t>
        </is>
      </c>
      <c r="J2513" s="232" t="inlineStr">
        <is>
          <t>GASTOS GENERALES</t>
        </is>
      </c>
      <c r="K2513" s="232" t="inlineStr">
        <is>
          <t>INSUMOS DE ASEO</t>
        </is>
      </c>
      <c r="L2513" s="232" t="inlineStr">
        <is>
          <t>[PRORRATEO 3.9% 5.74há/148.3há] O/001450 LAVALOZA L</t>
        </is>
      </c>
      <c r="M2513" s="232" t="inlineStr"/>
      <c r="N2513" s="232" t="inlineStr">
        <is>
          <t>.   .   -</t>
        </is>
      </c>
      <c r="O2513" s="232" t="inlineStr">
        <is>
          <t>MARZO</t>
        </is>
      </c>
      <c r="P2513" s="232" t="n">
        <v>10</v>
      </c>
      <c r="Q2513" s="234" t="n">
        <v>265</v>
      </c>
      <c r="R2513" s="232" t="inlineStr"/>
      <c r="S2513" s="234" t="n">
        <v>265</v>
      </c>
      <c r="T2513" s="232" t="inlineStr">
        <is>
          <t>CLP</t>
        </is>
      </c>
      <c r="U2513" s="232" t="inlineStr">
        <is>
          <t>Prorrateo Ha PACKING</t>
        </is>
      </c>
      <c r="V2513" s="232" t="inlineStr">
        <is>
          <t>2026-06-18</t>
        </is>
      </c>
    </row>
    <row r="2514">
      <c r="A2514" s="232" t="inlineStr">
        <is>
          <t>CR-2511</t>
        </is>
      </c>
      <c r="B2514" s="232" t="inlineStr">
        <is>
          <t>2026/27</t>
        </is>
      </c>
      <c r="C2514" s="233" t="n">
        <v>46091</v>
      </c>
      <c r="D2514" s="232" t="inlineStr">
        <is>
          <t>291926</t>
        </is>
      </c>
      <c r="E2514" s="232" t="inlineStr">
        <is>
          <t>PRORRATEO</t>
        </is>
      </c>
      <c r="F2514" s="232" t="inlineStr">
        <is>
          <t>El Molle</t>
        </is>
      </c>
      <c r="G2514" s="232" t="inlineStr">
        <is>
          <t>orogrande 8,11 ha</t>
        </is>
      </c>
      <c r="H2514" s="232" t="inlineStr">
        <is>
          <t>Clementinas</t>
        </is>
      </c>
      <c r="I2514" s="232" t="inlineStr">
        <is>
          <t>Orogrande</t>
        </is>
      </c>
      <c r="J2514" s="232" t="inlineStr">
        <is>
          <t>GASTOS GENERALES</t>
        </is>
      </c>
      <c r="K2514" s="232" t="inlineStr">
        <is>
          <t>INSUMOS DE ASEO</t>
        </is>
      </c>
      <c r="L2514" s="232" t="inlineStr">
        <is>
          <t>[PRORRATEO 5.5% 8.11há/148.3há] O/001450 LAVALOZA L</t>
        </is>
      </c>
      <c r="M2514" s="232" t="inlineStr"/>
      <c r="N2514" s="232" t="inlineStr">
        <is>
          <t>.   .   -</t>
        </is>
      </c>
      <c r="O2514" s="232" t="inlineStr">
        <is>
          <t>MARZO</t>
        </is>
      </c>
      <c r="P2514" s="232" t="n">
        <v>10</v>
      </c>
      <c r="Q2514" s="234" t="n">
        <v>375</v>
      </c>
      <c r="R2514" s="232" t="inlineStr"/>
      <c r="S2514" s="234" t="n">
        <v>375</v>
      </c>
      <c r="T2514" s="232" t="inlineStr">
        <is>
          <t>CLP</t>
        </is>
      </c>
      <c r="U2514" s="232" t="inlineStr">
        <is>
          <t>Prorrateo Ha PACKING</t>
        </is>
      </c>
      <c r="V2514" s="232" t="inlineStr">
        <is>
          <t>2026-06-18</t>
        </is>
      </c>
    </row>
    <row r="2515">
      <c r="A2515" s="232" t="inlineStr">
        <is>
          <t>CR-2512</t>
        </is>
      </c>
      <c r="B2515" s="232" t="inlineStr">
        <is>
          <t>2026/27</t>
        </is>
      </c>
      <c r="C2515" s="233" t="n">
        <v>46091</v>
      </c>
      <c r="D2515" s="232" t="inlineStr">
        <is>
          <t>291926</t>
        </is>
      </c>
      <c r="E2515" s="232" t="inlineStr">
        <is>
          <t>PRORRATEO</t>
        </is>
      </c>
      <c r="F2515" s="232" t="inlineStr">
        <is>
          <t>El Molle</t>
        </is>
      </c>
      <c r="G2515" s="232" t="inlineStr">
        <is>
          <t>oronules 5,35 ha</t>
        </is>
      </c>
      <c r="H2515" s="232" t="inlineStr">
        <is>
          <t>Clementinas</t>
        </is>
      </c>
      <c r="I2515" s="232" t="inlineStr">
        <is>
          <t>Oronules</t>
        </is>
      </c>
      <c r="J2515" s="232" t="inlineStr">
        <is>
          <t>GASTOS GENERALES</t>
        </is>
      </c>
      <c r="K2515" s="232" t="inlineStr">
        <is>
          <t>INSUMOS DE ASEO</t>
        </is>
      </c>
      <c r="L2515" s="232" t="inlineStr">
        <is>
          <t>[PRORRATEO 3.6% 5.35há/148.3há] O/001450 LAVALOZA L</t>
        </is>
      </c>
      <c r="M2515" s="232" t="inlineStr"/>
      <c r="N2515" s="232" t="inlineStr">
        <is>
          <t>.   .   -</t>
        </is>
      </c>
      <c r="O2515" s="232" t="inlineStr">
        <is>
          <t>MARZO</t>
        </is>
      </c>
      <c r="P2515" s="232" t="n">
        <v>10</v>
      </c>
      <c r="Q2515" s="234" t="n">
        <v>247</v>
      </c>
      <c r="R2515" s="232" t="inlineStr"/>
      <c r="S2515" s="234" t="n">
        <v>247</v>
      </c>
      <c r="T2515" s="232" t="inlineStr">
        <is>
          <t>CLP</t>
        </is>
      </c>
      <c r="U2515" s="232" t="inlineStr">
        <is>
          <t>Prorrateo Ha PACKING</t>
        </is>
      </c>
      <c r="V2515" s="232" t="inlineStr">
        <is>
          <t>2026-06-18</t>
        </is>
      </c>
    </row>
    <row r="2516">
      <c r="A2516" s="232" t="inlineStr">
        <is>
          <t>CR-2513</t>
        </is>
      </c>
      <c r="B2516" s="232" t="inlineStr">
        <is>
          <t>2026/27</t>
        </is>
      </c>
      <c r="C2516" s="233" t="n">
        <v>46091</v>
      </c>
      <c r="D2516" s="232" t="inlineStr">
        <is>
          <t>291926</t>
        </is>
      </c>
      <c r="E2516" s="232" t="inlineStr">
        <is>
          <t>PRORRATEO</t>
        </is>
      </c>
      <c r="F2516" s="232" t="inlineStr">
        <is>
          <t>Santa Catalina</t>
        </is>
      </c>
      <c r="G2516" s="232" t="inlineStr">
        <is>
          <t>Fino 49 7,7 ha</t>
        </is>
      </c>
      <c r="H2516" s="232" t="inlineStr">
        <is>
          <t>Limon</t>
        </is>
      </c>
      <c r="I2516" s="232" t="inlineStr">
        <is>
          <t>Fino 49</t>
        </is>
      </c>
      <c r="J2516" s="232" t="inlineStr">
        <is>
          <t>GASTOS GENERALES</t>
        </is>
      </c>
      <c r="K2516" s="232" t="inlineStr">
        <is>
          <t>INSUMOS DE ASEO</t>
        </is>
      </c>
      <c r="L2516" s="232" t="inlineStr">
        <is>
          <t>[PRORRATEO 5.2% 7.7há/148.3há] O/001450 LAVALOZA L</t>
        </is>
      </c>
      <c r="M2516" s="232" t="inlineStr"/>
      <c r="N2516" s="232" t="inlineStr">
        <is>
          <t>.   .   -</t>
        </is>
      </c>
      <c r="O2516" s="232" t="inlineStr">
        <is>
          <t>MARZO</t>
        </is>
      </c>
      <c r="P2516" s="232" t="n">
        <v>10</v>
      </c>
      <c r="Q2516" s="234" t="n">
        <v>356</v>
      </c>
      <c r="R2516" s="232" t="inlineStr"/>
      <c r="S2516" s="234" t="n">
        <v>356</v>
      </c>
      <c r="T2516" s="232" t="inlineStr">
        <is>
          <t>CLP</t>
        </is>
      </c>
      <c r="U2516" s="232" t="inlineStr">
        <is>
          <t>Prorrateo Ha PACKING</t>
        </is>
      </c>
      <c r="V2516" s="232" t="inlineStr">
        <is>
          <t>2026-06-18</t>
        </is>
      </c>
    </row>
    <row r="2517">
      <c r="A2517" s="232" t="inlineStr">
        <is>
          <t>CR-2514</t>
        </is>
      </c>
      <c r="B2517" s="232" t="inlineStr">
        <is>
          <t>2026/27</t>
        </is>
      </c>
      <c r="C2517" s="233" t="n">
        <v>46091</v>
      </c>
      <c r="D2517" s="232" t="inlineStr">
        <is>
          <t>291926</t>
        </is>
      </c>
      <c r="E2517" s="232" t="inlineStr">
        <is>
          <t>PRORRATEO</t>
        </is>
      </c>
      <c r="F2517" s="232" t="inlineStr">
        <is>
          <t>Santa Catalina</t>
        </is>
      </c>
      <c r="G2517" s="232" t="inlineStr">
        <is>
          <t>W. murcott 21 ha</t>
        </is>
      </c>
      <c r="H2517" s="232" t="inlineStr">
        <is>
          <t>Mandarina</t>
        </is>
      </c>
      <c r="I2517" s="232" t="inlineStr">
        <is>
          <t>W. murcott</t>
        </is>
      </c>
      <c r="J2517" s="232" t="inlineStr">
        <is>
          <t>GASTOS GENERALES</t>
        </is>
      </c>
      <c r="K2517" s="232" t="inlineStr">
        <is>
          <t>INSUMOS DE ASEO</t>
        </is>
      </c>
      <c r="L2517" s="232" t="inlineStr">
        <is>
          <t>[PRORRATEO 14.2% 21.0há/148.3há] O/001450 LAVALOZA L</t>
        </is>
      </c>
      <c r="M2517" s="232" t="inlineStr"/>
      <c r="N2517" s="232" t="inlineStr">
        <is>
          <t>.   .   -</t>
        </is>
      </c>
      <c r="O2517" s="232" t="inlineStr">
        <is>
          <t>MARZO</t>
        </is>
      </c>
      <c r="P2517" s="232" t="n">
        <v>10</v>
      </c>
      <c r="Q2517" s="234" t="n">
        <v>971</v>
      </c>
      <c r="R2517" s="232" t="inlineStr"/>
      <c r="S2517" s="234" t="n">
        <v>971</v>
      </c>
      <c r="T2517" s="232" t="inlineStr">
        <is>
          <t>CLP</t>
        </is>
      </c>
      <c r="U2517" s="232" t="inlineStr">
        <is>
          <t>Prorrateo Ha PACKING</t>
        </is>
      </c>
      <c r="V2517" s="232" t="inlineStr">
        <is>
          <t>2026-06-18</t>
        </is>
      </c>
    </row>
    <row r="2518">
      <c r="A2518" s="232" t="inlineStr">
        <is>
          <t>CR-2515</t>
        </is>
      </c>
      <c r="B2518" s="232" t="inlineStr">
        <is>
          <t>2026/27</t>
        </is>
      </c>
      <c r="C2518" s="233" t="n">
        <v>46091</v>
      </c>
      <c r="D2518" s="232" t="inlineStr">
        <is>
          <t>291926</t>
        </is>
      </c>
      <c r="E2518" s="232" t="inlineStr">
        <is>
          <t>PRORRATEO</t>
        </is>
      </c>
      <c r="F2518" s="232" t="inlineStr">
        <is>
          <t>Santa Catalina</t>
        </is>
      </c>
      <c r="G2518" s="232" t="inlineStr">
        <is>
          <t>cambria 4,2 ha</t>
        </is>
      </c>
      <c r="H2518" s="232" t="inlineStr">
        <is>
          <t>Naranjas</t>
        </is>
      </c>
      <c r="I2518" s="232" t="inlineStr">
        <is>
          <t>Cambria</t>
        </is>
      </c>
      <c r="J2518" s="232" t="inlineStr">
        <is>
          <t>GASTOS GENERALES</t>
        </is>
      </c>
      <c r="K2518" s="232" t="inlineStr">
        <is>
          <t>INSUMOS DE ASEO</t>
        </is>
      </c>
      <c r="L2518" s="232" t="inlineStr">
        <is>
          <t>[PRORRATEO 2.8% 4.2há/148.3há] O/001450 LAVALOZA L</t>
        </is>
      </c>
      <c r="M2518" s="232" t="inlineStr"/>
      <c r="N2518" s="232" t="inlineStr">
        <is>
          <t>.   .   -</t>
        </is>
      </c>
      <c r="O2518" s="232" t="inlineStr">
        <is>
          <t>MARZO</t>
        </is>
      </c>
      <c r="P2518" s="232" t="n">
        <v>10</v>
      </c>
      <c r="Q2518" s="234" t="n">
        <v>194</v>
      </c>
      <c r="R2518" s="232" t="inlineStr"/>
      <c r="S2518" s="234" t="n">
        <v>194</v>
      </c>
      <c r="T2518" s="232" t="inlineStr">
        <is>
          <t>CLP</t>
        </is>
      </c>
      <c r="U2518" s="232" t="inlineStr">
        <is>
          <t>Prorrateo Ha PACKING</t>
        </is>
      </c>
      <c r="V2518" s="232" t="inlineStr">
        <is>
          <t>2026-06-18</t>
        </is>
      </c>
    </row>
    <row r="2519">
      <c r="A2519" s="232" t="inlineStr">
        <is>
          <t>CR-2516</t>
        </is>
      </c>
      <c r="B2519" s="232" t="inlineStr">
        <is>
          <t>2026/27</t>
        </is>
      </c>
      <c r="C2519" s="233" t="n">
        <v>46091</v>
      </c>
      <c r="D2519" s="232" t="inlineStr">
        <is>
          <t>291926</t>
        </is>
      </c>
      <c r="E2519" s="232" t="inlineStr">
        <is>
          <t>PRORRATEO</t>
        </is>
      </c>
      <c r="F2519" s="232" t="inlineStr">
        <is>
          <t>Santa Catalina</t>
        </is>
      </c>
      <c r="G2519" s="232" t="inlineStr">
        <is>
          <t>eureka 10,6 ha</t>
        </is>
      </c>
      <c r="H2519" s="232" t="inlineStr">
        <is>
          <t>Limon</t>
        </is>
      </c>
      <c r="I2519" s="232" t="inlineStr">
        <is>
          <t>Eureka</t>
        </is>
      </c>
      <c r="J2519" s="232" t="inlineStr">
        <is>
          <t>GASTOS GENERALES</t>
        </is>
      </c>
      <c r="K2519" s="232" t="inlineStr">
        <is>
          <t>INSUMOS DE ASEO</t>
        </is>
      </c>
      <c r="L2519" s="232" t="inlineStr">
        <is>
          <t>[PRORRATEO 7.1% 10.6há/148.3há] O/001450 LAVALOZA L</t>
        </is>
      </c>
      <c r="M2519" s="232" t="inlineStr"/>
      <c r="N2519" s="232" t="inlineStr">
        <is>
          <t>.   .   -</t>
        </is>
      </c>
      <c r="O2519" s="232" t="inlineStr">
        <is>
          <t>MARZO</t>
        </is>
      </c>
      <c r="P2519" s="232" t="n">
        <v>10</v>
      </c>
      <c r="Q2519" s="234" t="n">
        <v>490</v>
      </c>
      <c r="R2519" s="232" t="inlineStr"/>
      <c r="S2519" s="234" t="n">
        <v>490</v>
      </c>
      <c r="T2519" s="232" t="inlineStr">
        <is>
          <t>CLP</t>
        </is>
      </c>
      <c r="U2519" s="232" t="inlineStr">
        <is>
          <t>Prorrateo Ha PACKING</t>
        </is>
      </c>
      <c r="V2519" s="232" t="inlineStr">
        <is>
          <t>2026-06-18</t>
        </is>
      </c>
    </row>
    <row r="2520">
      <c r="A2520" s="232" t="inlineStr">
        <is>
          <t>CR-2517</t>
        </is>
      </c>
      <c r="B2520" s="232" t="inlineStr">
        <is>
          <t>2026/27</t>
        </is>
      </c>
      <c r="C2520" s="233" t="n">
        <v>46091</v>
      </c>
      <c r="D2520" s="232" t="inlineStr">
        <is>
          <t>291926</t>
        </is>
      </c>
      <c r="E2520" s="232" t="inlineStr">
        <is>
          <t>PRORRATEO</t>
        </is>
      </c>
      <c r="F2520" s="232" t="inlineStr">
        <is>
          <t>Santa Catalina</t>
        </is>
      </c>
      <c r="G2520" s="232" t="inlineStr">
        <is>
          <t>eureka 14,4 ha</t>
        </is>
      </c>
      <c r="H2520" s="232" t="inlineStr">
        <is>
          <t>Limon</t>
        </is>
      </c>
      <c r="I2520" s="232" t="inlineStr">
        <is>
          <t>Eureka</t>
        </is>
      </c>
      <c r="J2520" s="232" t="inlineStr">
        <is>
          <t>GASTOS GENERALES</t>
        </is>
      </c>
      <c r="K2520" s="232" t="inlineStr">
        <is>
          <t>INSUMOS DE ASEO</t>
        </is>
      </c>
      <c r="L2520" s="232" t="inlineStr">
        <is>
          <t>[PRORRATEO 9.7% 14.4há/148.3há] O/001450 LAVALOZA L</t>
        </is>
      </c>
      <c r="M2520" s="232" t="inlineStr"/>
      <c r="N2520" s="232" t="inlineStr">
        <is>
          <t>.   .   -</t>
        </is>
      </c>
      <c r="O2520" s="232" t="inlineStr">
        <is>
          <t>MARZO</t>
        </is>
      </c>
      <c r="P2520" s="232" t="n">
        <v>10</v>
      </c>
      <c r="Q2520" s="234" t="n">
        <v>666</v>
      </c>
      <c r="R2520" s="232" t="inlineStr"/>
      <c r="S2520" s="234" t="n">
        <v>666</v>
      </c>
      <c r="T2520" s="232" t="inlineStr">
        <is>
          <t>CLP</t>
        </is>
      </c>
      <c r="U2520" s="232" t="inlineStr">
        <is>
          <t>Prorrateo Ha PACKING</t>
        </is>
      </c>
      <c r="V2520" s="232" t="inlineStr">
        <is>
          <t>2026-06-18</t>
        </is>
      </c>
    </row>
    <row r="2521">
      <c r="A2521" s="232" t="inlineStr">
        <is>
          <t>CR-2518</t>
        </is>
      </c>
      <c r="B2521" s="232" t="inlineStr">
        <is>
          <t>2026/27</t>
        </is>
      </c>
      <c r="C2521" s="233" t="n">
        <v>46091</v>
      </c>
      <c r="D2521" s="232" t="inlineStr">
        <is>
          <t>291926</t>
        </is>
      </c>
      <c r="E2521" s="232" t="inlineStr">
        <is>
          <t>PRORRATEO</t>
        </is>
      </c>
      <c r="F2521" s="232" t="inlineStr">
        <is>
          <t>Santa Catalina</t>
        </is>
      </c>
      <c r="G2521" s="232" t="inlineStr">
        <is>
          <t>eureka 22,55</t>
        </is>
      </c>
      <c r="H2521" s="232" t="inlineStr">
        <is>
          <t>Limon</t>
        </is>
      </c>
      <c r="I2521" s="232" t="inlineStr">
        <is>
          <t>Eureka</t>
        </is>
      </c>
      <c r="J2521" s="232" t="inlineStr">
        <is>
          <t>GASTOS GENERALES</t>
        </is>
      </c>
      <c r="K2521" s="232" t="inlineStr">
        <is>
          <t>INSUMOS DE ASEO</t>
        </is>
      </c>
      <c r="L2521" s="232" t="inlineStr">
        <is>
          <t>[PRORRATEO 15.2% 22.55há/148.3há] O/001450 LAVALOZA L</t>
        </is>
      </c>
      <c r="M2521" s="232" t="inlineStr"/>
      <c r="N2521" s="232" t="inlineStr">
        <is>
          <t>.   .   -</t>
        </is>
      </c>
      <c r="O2521" s="232" t="inlineStr">
        <is>
          <t>MARZO</t>
        </is>
      </c>
      <c r="P2521" s="232" t="n">
        <v>10</v>
      </c>
      <c r="Q2521" s="234" t="n">
        <v>1042</v>
      </c>
      <c r="R2521" s="232" t="inlineStr"/>
      <c r="S2521" s="234" t="n">
        <v>1042</v>
      </c>
      <c r="T2521" s="232" t="inlineStr">
        <is>
          <t>CLP</t>
        </is>
      </c>
      <c r="U2521" s="232" t="inlineStr">
        <is>
          <t>Prorrateo Ha PACKING</t>
        </is>
      </c>
      <c r="V2521" s="232" t="inlineStr">
        <is>
          <t>2026-06-18</t>
        </is>
      </c>
    </row>
    <row r="2522">
      <c r="A2522" s="232" t="inlineStr">
        <is>
          <t>CR-2519</t>
        </is>
      </c>
      <c r="B2522" s="232" t="inlineStr">
        <is>
          <t>2026/27</t>
        </is>
      </c>
      <c r="C2522" s="233" t="n">
        <v>46091</v>
      </c>
      <c r="D2522" s="232" t="inlineStr">
        <is>
          <t>291926</t>
        </is>
      </c>
      <c r="E2522" s="232" t="inlineStr">
        <is>
          <t>PRORRATEO</t>
        </is>
      </c>
      <c r="F2522" s="232" t="inlineStr">
        <is>
          <t>Santa Catalina</t>
        </is>
      </c>
      <c r="G2522" s="232" t="inlineStr">
        <is>
          <t>form benjamin 1,93 ha</t>
        </is>
      </c>
      <c r="H2522" s="232" t="inlineStr">
        <is>
          <t>Limon</t>
        </is>
      </c>
      <c r="I2522" s="232" t="inlineStr">
        <is>
          <t>Benjamin andes</t>
        </is>
      </c>
      <c r="J2522" s="232" t="inlineStr">
        <is>
          <t>GASTOS GENERALES</t>
        </is>
      </c>
      <c r="K2522" s="232" t="inlineStr">
        <is>
          <t>INSUMOS DE ASEO</t>
        </is>
      </c>
      <c r="L2522" s="232" t="inlineStr">
        <is>
          <t>[PRORRATEO 1.3% 1.93há/148.3há] O/001450 LAVALOZA L</t>
        </is>
      </c>
      <c r="M2522" s="232" t="inlineStr"/>
      <c r="N2522" s="232" t="inlineStr">
        <is>
          <t>.   .   -</t>
        </is>
      </c>
      <c r="O2522" s="232" t="inlineStr">
        <is>
          <t>MARZO</t>
        </is>
      </c>
      <c r="P2522" s="232" t="n">
        <v>10</v>
      </c>
      <c r="Q2522" s="234" t="n">
        <v>89</v>
      </c>
      <c r="R2522" s="232" t="inlineStr"/>
      <c r="S2522" s="234" t="n">
        <v>89</v>
      </c>
      <c r="T2522" s="232" t="inlineStr">
        <is>
          <t>CLP</t>
        </is>
      </c>
      <c r="U2522" s="232" t="inlineStr">
        <is>
          <t>Prorrateo Ha PACKING</t>
        </is>
      </c>
      <c r="V2522" s="232" t="inlineStr">
        <is>
          <t>2026-06-18</t>
        </is>
      </c>
    </row>
    <row r="2523">
      <c r="A2523" s="232" t="inlineStr">
        <is>
          <t>CR-2520</t>
        </is>
      </c>
      <c r="B2523" s="232" t="inlineStr">
        <is>
          <t>2026/27</t>
        </is>
      </c>
      <c r="C2523" s="233" t="n">
        <v>46091</v>
      </c>
      <c r="D2523" s="232" t="inlineStr">
        <is>
          <t>291926</t>
        </is>
      </c>
      <c r="E2523" s="232" t="inlineStr">
        <is>
          <t>PRORRATEO</t>
        </is>
      </c>
      <c r="F2523" s="232" t="inlineStr">
        <is>
          <t>Santa Catalina</t>
        </is>
      </c>
      <c r="G2523" s="232" t="inlineStr">
        <is>
          <t>mant eureka 2,5 ha</t>
        </is>
      </c>
      <c r="H2523" s="232" t="inlineStr">
        <is>
          <t>Limon</t>
        </is>
      </c>
      <c r="I2523" s="232" t="inlineStr">
        <is>
          <t>Eureka</t>
        </is>
      </c>
      <c r="J2523" s="232" t="inlineStr">
        <is>
          <t>GASTOS GENERALES</t>
        </is>
      </c>
      <c r="K2523" s="232" t="inlineStr">
        <is>
          <t>INSUMOS DE ASEO</t>
        </is>
      </c>
      <c r="L2523" s="232" t="inlineStr">
        <is>
          <t>[PRORRATEO 1.7% 2.5há/148.3há] O/001450 LAVALOZA L</t>
        </is>
      </c>
      <c r="M2523" s="232" t="inlineStr"/>
      <c r="N2523" s="232" t="inlineStr">
        <is>
          <t>.   .   -</t>
        </is>
      </c>
      <c r="O2523" s="232" t="inlineStr">
        <is>
          <t>MARZO</t>
        </is>
      </c>
      <c r="P2523" s="232" t="n">
        <v>10</v>
      </c>
      <c r="Q2523" s="234" t="n">
        <v>116</v>
      </c>
      <c r="R2523" s="232" t="inlineStr"/>
      <c r="S2523" s="234" t="n">
        <v>116</v>
      </c>
      <c r="T2523" s="232" t="inlineStr">
        <is>
          <t>CLP</t>
        </is>
      </c>
      <c r="U2523" s="232" t="inlineStr">
        <is>
          <t>Prorrateo Ha PACKING</t>
        </is>
      </c>
      <c r="V2523" s="232" t="inlineStr">
        <is>
          <t>2026-06-18</t>
        </is>
      </c>
    </row>
    <row r="2524">
      <c r="A2524" s="232" t="inlineStr">
        <is>
          <t>CR-2521</t>
        </is>
      </c>
      <c r="B2524" s="232" t="inlineStr">
        <is>
          <t>2026/27</t>
        </is>
      </c>
      <c r="C2524" s="233" t="n">
        <v>46091</v>
      </c>
      <c r="D2524" s="232" t="inlineStr">
        <is>
          <t>291926</t>
        </is>
      </c>
      <c r="E2524" s="232" t="inlineStr">
        <is>
          <t>PRORRATEO</t>
        </is>
      </c>
      <c r="F2524" s="232" t="inlineStr">
        <is>
          <t>Siberia</t>
        </is>
      </c>
      <c r="G2524" s="232" t="inlineStr">
        <is>
          <t>S. Celebration 7,14</t>
        </is>
      </c>
      <c r="H2524" s="232" t="inlineStr">
        <is>
          <t>Uvas</t>
        </is>
      </c>
      <c r="I2524" s="232" t="inlineStr">
        <is>
          <t>S. celebration</t>
        </is>
      </c>
      <c r="J2524" s="232" t="inlineStr">
        <is>
          <t>GASTOS GENERALES</t>
        </is>
      </c>
      <c r="K2524" s="232" t="inlineStr">
        <is>
          <t>INSUMOS DE ASEO</t>
        </is>
      </c>
      <c r="L2524" s="232" t="inlineStr">
        <is>
          <t>[PRORRATEO 4.8% 7.14há/148.3há] O/001450 LAVALOZA L</t>
        </is>
      </c>
      <c r="M2524" s="232" t="inlineStr"/>
      <c r="N2524" s="232" t="inlineStr">
        <is>
          <t>.   .   -</t>
        </is>
      </c>
      <c r="O2524" s="232" t="inlineStr">
        <is>
          <t>MARZO</t>
        </is>
      </c>
      <c r="P2524" s="232" t="n">
        <v>10</v>
      </c>
      <c r="Q2524" s="234" t="n">
        <v>330</v>
      </c>
      <c r="R2524" s="232" t="inlineStr"/>
      <c r="S2524" s="234" t="n">
        <v>330</v>
      </c>
      <c r="T2524" s="232" t="inlineStr">
        <is>
          <t>CLP</t>
        </is>
      </c>
      <c r="U2524" s="232" t="inlineStr">
        <is>
          <t>Prorrateo Ha PACKING</t>
        </is>
      </c>
      <c r="V2524" s="232" t="inlineStr">
        <is>
          <t>2026-06-18</t>
        </is>
      </c>
    </row>
    <row r="2525">
      <c r="A2525" s="232" t="inlineStr">
        <is>
          <t>CR-2522</t>
        </is>
      </c>
      <c r="B2525" s="232" t="inlineStr">
        <is>
          <t>2026/27</t>
        </is>
      </c>
      <c r="C2525" s="233" t="n">
        <v>46091</v>
      </c>
      <c r="D2525" s="232" t="inlineStr">
        <is>
          <t>291926</t>
        </is>
      </c>
      <c r="E2525" s="232" t="inlineStr">
        <is>
          <t>PRORRATEO</t>
        </is>
      </c>
      <c r="F2525" s="232" t="inlineStr">
        <is>
          <t>Siberia</t>
        </is>
      </c>
      <c r="G2525" s="232" t="inlineStr">
        <is>
          <t>Timpson 7,1</t>
        </is>
      </c>
      <c r="H2525" s="232" t="inlineStr">
        <is>
          <t>Uvas</t>
        </is>
      </c>
      <c r="I2525" s="232" t="inlineStr">
        <is>
          <t>Timpson</t>
        </is>
      </c>
      <c r="J2525" s="232" t="inlineStr">
        <is>
          <t>GASTOS GENERALES</t>
        </is>
      </c>
      <c r="K2525" s="232" t="inlineStr">
        <is>
          <t>INSUMOS DE ASEO</t>
        </is>
      </c>
      <c r="L2525" s="232" t="inlineStr">
        <is>
          <t>[PRORRATEO 4.8% 7.1há/148.3há] O/001450 LAVALOZA L</t>
        </is>
      </c>
      <c r="M2525" s="232" t="inlineStr"/>
      <c r="N2525" s="232" t="inlineStr">
        <is>
          <t>.   .   -</t>
        </is>
      </c>
      <c r="O2525" s="232" t="inlineStr">
        <is>
          <t>MARZO</t>
        </is>
      </c>
      <c r="P2525" s="232" t="n">
        <v>10</v>
      </c>
      <c r="Q2525" s="234" t="n">
        <v>328</v>
      </c>
      <c r="R2525" s="232" t="inlineStr"/>
      <c r="S2525" s="234" t="n">
        <v>328</v>
      </c>
      <c r="T2525" s="232" t="inlineStr">
        <is>
          <t>CLP</t>
        </is>
      </c>
      <c r="U2525" s="232" t="inlineStr">
        <is>
          <t>Prorrateo Ha PACKING</t>
        </is>
      </c>
      <c r="V2525" s="232" t="inlineStr">
        <is>
          <t>2026-06-18</t>
        </is>
      </c>
    </row>
    <row r="2526">
      <c r="A2526" s="232" t="inlineStr">
        <is>
          <t>CR-2523</t>
        </is>
      </c>
      <c r="B2526" s="232" t="inlineStr">
        <is>
          <t>2026/27</t>
        </is>
      </c>
      <c r="C2526" s="233" t="n">
        <v>46091</v>
      </c>
      <c r="D2526" s="232" t="inlineStr">
        <is>
          <t>291926</t>
        </is>
      </c>
      <c r="E2526" s="232" t="inlineStr">
        <is>
          <t>PRORRATEO</t>
        </is>
      </c>
      <c r="F2526" s="232" t="inlineStr">
        <is>
          <t>Asmara</t>
        </is>
      </c>
      <c r="G2526" s="232" t="inlineStr">
        <is>
          <t>w. murcott 19,8 ha</t>
        </is>
      </c>
      <c r="H2526" s="232" t="inlineStr">
        <is>
          <t>Mandarina</t>
        </is>
      </c>
      <c r="I2526" s="232" t="inlineStr">
        <is>
          <t>W. murcott</t>
        </is>
      </c>
      <c r="J2526" s="232" t="inlineStr">
        <is>
          <t>GASTOS GENERALES</t>
        </is>
      </c>
      <c r="K2526" s="232" t="inlineStr">
        <is>
          <t>ARTICULOS DE OFICINA</t>
        </is>
      </c>
      <c r="L2526" s="232" t="inlineStr">
        <is>
          <t>[PRORRATEO 13.4% 19.8há/148.3há] O/001450 LIBRO ASIS</t>
        </is>
      </c>
      <c r="M2526" s="232" t="inlineStr"/>
      <c r="N2526" s="232" t="inlineStr">
        <is>
          <t>.   .   -</t>
        </is>
      </c>
      <c r="O2526" s="232" t="inlineStr">
        <is>
          <t>MARZO</t>
        </is>
      </c>
      <c r="P2526" s="232" t="n">
        <v>10</v>
      </c>
      <c r="Q2526" s="234" t="n">
        <v>1339</v>
      </c>
      <c r="R2526" s="232" t="inlineStr"/>
      <c r="S2526" s="234" t="n">
        <v>1339</v>
      </c>
      <c r="T2526" s="232" t="inlineStr">
        <is>
          <t>CLP</t>
        </is>
      </c>
      <c r="U2526" s="232" t="inlineStr">
        <is>
          <t>Prorrateo Ha PACKING</t>
        </is>
      </c>
      <c r="V2526" s="232" t="inlineStr">
        <is>
          <t>2026-06-18</t>
        </is>
      </c>
    </row>
    <row r="2527">
      <c r="A2527" s="232" t="inlineStr">
        <is>
          <t>CR-2524</t>
        </is>
      </c>
      <c r="B2527" s="232" t="inlineStr">
        <is>
          <t>2026/27</t>
        </is>
      </c>
      <c r="C2527" s="233" t="n">
        <v>46091</v>
      </c>
      <c r="D2527" s="232" t="inlineStr">
        <is>
          <t>291926</t>
        </is>
      </c>
      <c r="E2527" s="232" t="inlineStr">
        <is>
          <t>PRORRATEO</t>
        </is>
      </c>
      <c r="F2527" s="232" t="inlineStr">
        <is>
          <t>Asmara</t>
        </is>
      </c>
      <c r="G2527" s="232" t="inlineStr">
        <is>
          <t>w. murcott 4,9 ha</t>
        </is>
      </c>
      <c r="H2527" s="232" t="inlineStr">
        <is>
          <t>Mandarina</t>
        </is>
      </c>
      <c r="I2527" s="232" t="inlineStr">
        <is>
          <t>W. murcott</t>
        </is>
      </c>
      <c r="J2527" s="232" t="inlineStr">
        <is>
          <t>GASTOS GENERALES</t>
        </is>
      </c>
      <c r="K2527" s="232" t="inlineStr">
        <is>
          <t>ARTICULOS DE OFICINA</t>
        </is>
      </c>
      <c r="L2527" s="232" t="inlineStr">
        <is>
          <t>[PRORRATEO 3.3% 4.9há/148.3há] O/001450 LIBRO ASIS</t>
        </is>
      </c>
      <c r="M2527" s="232" t="inlineStr"/>
      <c r="N2527" s="232" t="inlineStr">
        <is>
          <t>.   .   -</t>
        </is>
      </c>
      <c r="O2527" s="232" t="inlineStr">
        <is>
          <t>MARZO</t>
        </is>
      </c>
      <c r="P2527" s="232" t="n">
        <v>10</v>
      </c>
      <c r="Q2527" s="234" t="n">
        <v>331</v>
      </c>
      <c r="R2527" s="232" t="inlineStr"/>
      <c r="S2527" s="234" t="n">
        <v>331</v>
      </c>
      <c r="T2527" s="232" t="inlineStr">
        <is>
          <t>CLP</t>
        </is>
      </c>
      <c r="U2527" s="232" t="inlineStr">
        <is>
          <t>Prorrateo Ha PACKING</t>
        </is>
      </c>
      <c r="V2527" s="232" t="inlineStr">
        <is>
          <t>2026-06-18</t>
        </is>
      </c>
    </row>
    <row r="2528">
      <c r="A2528" s="232" t="inlineStr">
        <is>
          <t>CR-2525</t>
        </is>
      </c>
      <c r="B2528" s="232" t="inlineStr">
        <is>
          <t>2026/27</t>
        </is>
      </c>
      <c r="C2528" s="233" t="n">
        <v>46091</v>
      </c>
      <c r="D2528" s="232" t="inlineStr">
        <is>
          <t>291926</t>
        </is>
      </c>
      <c r="E2528" s="232" t="inlineStr">
        <is>
          <t>PRORRATEO</t>
        </is>
      </c>
      <c r="F2528" s="232" t="inlineStr">
        <is>
          <t>El Molle</t>
        </is>
      </c>
      <c r="G2528" s="232" t="inlineStr">
        <is>
          <t>Wonderful 5,25 ha</t>
        </is>
      </c>
      <c r="H2528" s="232" t="inlineStr">
        <is>
          <t>Granados</t>
        </is>
      </c>
      <c r="I2528" s="232" t="inlineStr">
        <is>
          <t>Wonderfull</t>
        </is>
      </c>
      <c r="J2528" s="232" t="inlineStr">
        <is>
          <t>GASTOS GENERALES</t>
        </is>
      </c>
      <c r="K2528" s="232" t="inlineStr">
        <is>
          <t>ARTICULOS DE OFICINA</t>
        </is>
      </c>
      <c r="L2528" s="232" t="inlineStr">
        <is>
          <t>[PRORRATEO 3.5% 5.24há/148.3há] O/001450 LIBRO ASIS</t>
        </is>
      </c>
      <c r="M2528" s="232" t="inlineStr"/>
      <c r="N2528" s="232" t="inlineStr">
        <is>
          <t>.   .   -</t>
        </is>
      </c>
      <c r="O2528" s="232" t="inlineStr">
        <is>
          <t>MARZO</t>
        </is>
      </c>
      <c r="P2528" s="232" t="n">
        <v>10</v>
      </c>
      <c r="Q2528" s="234" t="n">
        <v>354</v>
      </c>
      <c r="R2528" s="232" t="inlineStr"/>
      <c r="S2528" s="234" t="n">
        <v>354</v>
      </c>
      <c r="T2528" s="232" t="inlineStr">
        <is>
          <t>CLP</t>
        </is>
      </c>
      <c r="U2528" s="232" t="inlineStr">
        <is>
          <t>Prorrateo Ha PACKING</t>
        </is>
      </c>
      <c r="V2528" s="232" t="inlineStr">
        <is>
          <t>2026-06-18</t>
        </is>
      </c>
    </row>
    <row r="2529">
      <c r="A2529" s="232" t="inlineStr">
        <is>
          <t>CR-2526</t>
        </is>
      </c>
      <c r="B2529" s="232" t="inlineStr">
        <is>
          <t>2026/27</t>
        </is>
      </c>
      <c r="C2529" s="233" t="n">
        <v>46091</v>
      </c>
      <c r="D2529" s="232" t="inlineStr">
        <is>
          <t>291926</t>
        </is>
      </c>
      <c r="E2529" s="232" t="inlineStr">
        <is>
          <t>PRORRATEO</t>
        </is>
      </c>
      <c r="F2529" s="232" t="inlineStr">
        <is>
          <t>El Molle</t>
        </is>
      </c>
      <c r="G2529" s="232" t="inlineStr">
        <is>
          <t>arrufatinas 5,74 ha</t>
        </is>
      </c>
      <c r="H2529" s="232" t="inlineStr">
        <is>
          <t>Clementinas</t>
        </is>
      </c>
      <c r="I2529" s="232" t="inlineStr">
        <is>
          <t>Arrufatinas</t>
        </is>
      </c>
      <c r="J2529" s="232" t="inlineStr">
        <is>
          <t>GASTOS GENERALES</t>
        </is>
      </c>
      <c r="K2529" s="232" t="inlineStr">
        <is>
          <t>ARTICULOS DE OFICINA</t>
        </is>
      </c>
      <c r="L2529" s="232" t="inlineStr">
        <is>
          <t>[PRORRATEO 3.9% 5.74há/148.3há] O/001450 LIBRO ASIS</t>
        </is>
      </c>
      <c r="M2529" s="232" t="inlineStr"/>
      <c r="N2529" s="232" t="inlineStr">
        <is>
          <t>.   .   -</t>
        </is>
      </c>
      <c r="O2529" s="232" t="inlineStr">
        <is>
          <t>MARZO</t>
        </is>
      </c>
      <c r="P2529" s="232" t="n">
        <v>10</v>
      </c>
      <c r="Q2529" s="234" t="n">
        <v>388</v>
      </c>
      <c r="R2529" s="232" t="inlineStr"/>
      <c r="S2529" s="234" t="n">
        <v>388</v>
      </c>
      <c r="T2529" s="232" t="inlineStr">
        <is>
          <t>CLP</t>
        </is>
      </c>
      <c r="U2529" s="232" t="inlineStr">
        <is>
          <t>Prorrateo Ha PACKING</t>
        </is>
      </c>
      <c r="V2529" s="232" t="inlineStr">
        <is>
          <t>2026-06-18</t>
        </is>
      </c>
    </row>
    <row r="2530">
      <c r="A2530" s="232" t="inlineStr">
        <is>
          <t>CR-2527</t>
        </is>
      </c>
      <c r="B2530" s="232" t="inlineStr">
        <is>
          <t>2026/27</t>
        </is>
      </c>
      <c r="C2530" s="233" t="n">
        <v>46091</v>
      </c>
      <c r="D2530" s="232" t="inlineStr">
        <is>
          <t>291926</t>
        </is>
      </c>
      <c r="E2530" s="232" t="inlineStr">
        <is>
          <t>PRORRATEO</t>
        </is>
      </c>
      <c r="F2530" s="232" t="inlineStr">
        <is>
          <t>El Molle</t>
        </is>
      </c>
      <c r="G2530" s="232" t="inlineStr">
        <is>
          <t>orogrande 8,11 ha</t>
        </is>
      </c>
      <c r="H2530" s="232" t="inlineStr">
        <is>
          <t>Clementinas</t>
        </is>
      </c>
      <c r="I2530" s="232" t="inlineStr">
        <is>
          <t>Orogrande</t>
        </is>
      </c>
      <c r="J2530" s="232" t="inlineStr">
        <is>
          <t>GASTOS GENERALES</t>
        </is>
      </c>
      <c r="K2530" s="232" t="inlineStr">
        <is>
          <t>ARTICULOS DE OFICINA</t>
        </is>
      </c>
      <c r="L2530" s="232" t="inlineStr">
        <is>
          <t>[PRORRATEO 5.5% 8.11há/148.3há] O/001450 LIBRO ASIS</t>
        </is>
      </c>
      <c r="M2530" s="232" t="inlineStr"/>
      <c r="N2530" s="232" t="inlineStr">
        <is>
          <t>.   .   -</t>
        </is>
      </c>
      <c r="O2530" s="232" t="inlineStr">
        <is>
          <t>MARZO</t>
        </is>
      </c>
      <c r="P2530" s="232" t="n">
        <v>10</v>
      </c>
      <c r="Q2530" s="234" t="n">
        <v>549</v>
      </c>
      <c r="R2530" s="232" t="inlineStr"/>
      <c r="S2530" s="234" t="n">
        <v>549</v>
      </c>
      <c r="T2530" s="232" t="inlineStr">
        <is>
          <t>CLP</t>
        </is>
      </c>
      <c r="U2530" s="232" t="inlineStr">
        <is>
          <t>Prorrateo Ha PACKING</t>
        </is>
      </c>
      <c r="V2530" s="232" t="inlineStr">
        <is>
          <t>2026-06-18</t>
        </is>
      </c>
    </row>
    <row r="2531">
      <c r="A2531" s="232" t="inlineStr">
        <is>
          <t>CR-2528</t>
        </is>
      </c>
      <c r="B2531" s="232" t="inlineStr">
        <is>
          <t>2026/27</t>
        </is>
      </c>
      <c r="C2531" s="233" t="n">
        <v>46091</v>
      </c>
      <c r="D2531" s="232" t="inlineStr">
        <is>
          <t>291926</t>
        </is>
      </c>
      <c r="E2531" s="232" t="inlineStr">
        <is>
          <t>PRORRATEO</t>
        </is>
      </c>
      <c r="F2531" s="232" t="inlineStr">
        <is>
          <t>El Molle</t>
        </is>
      </c>
      <c r="G2531" s="232" t="inlineStr">
        <is>
          <t>oronules 5,35 ha</t>
        </is>
      </c>
      <c r="H2531" s="232" t="inlineStr">
        <is>
          <t>Clementinas</t>
        </is>
      </c>
      <c r="I2531" s="232" t="inlineStr">
        <is>
          <t>Oronules</t>
        </is>
      </c>
      <c r="J2531" s="232" t="inlineStr">
        <is>
          <t>GASTOS GENERALES</t>
        </is>
      </c>
      <c r="K2531" s="232" t="inlineStr">
        <is>
          <t>ARTICULOS DE OFICINA</t>
        </is>
      </c>
      <c r="L2531" s="232" t="inlineStr">
        <is>
          <t>[PRORRATEO 3.6% 5.35há/148.3há] O/001450 LIBRO ASIS</t>
        </is>
      </c>
      <c r="M2531" s="232" t="inlineStr"/>
      <c r="N2531" s="232" t="inlineStr">
        <is>
          <t>.   .   -</t>
        </is>
      </c>
      <c r="O2531" s="232" t="inlineStr">
        <is>
          <t>MARZO</t>
        </is>
      </c>
      <c r="P2531" s="232" t="n">
        <v>10</v>
      </c>
      <c r="Q2531" s="234" t="n">
        <v>362</v>
      </c>
      <c r="R2531" s="232" t="inlineStr"/>
      <c r="S2531" s="234" t="n">
        <v>362</v>
      </c>
      <c r="T2531" s="232" t="inlineStr">
        <is>
          <t>CLP</t>
        </is>
      </c>
      <c r="U2531" s="232" t="inlineStr">
        <is>
          <t>Prorrateo Ha PACKING</t>
        </is>
      </c>
      <c r="V2531" s="232" t="inlineStr">
        <is>
          <t>2026-06-18</t>
        </is>
      </c>
    </row>
    <row r="2532">
      <c r="A2532" s="232" t="inlineStr">
        <is>
          <t>CR-2529</t>
        </is>
      </c>
      <c r="B2532" s="232" t="inlineStr">
        <is>
          <t>2026/27</t>
        </is>
      </c>
      <c r="C2532" s="233" t="n">
        <v>46091</v>
      </c>
      <c r="D2532" s="232" t="inlineStr">
        <is>
          <t>291926</t>
        </is>
      </c>
      <c r="E2532" s="232" t="inlineStr">
        <is>
          <t>PRORRATEO</t>
        </is>
      </c>
      <c r="F2532" s="232" t="inlineStr">
        <is>
          <t>Santa Catalina</t>
        </is>
      </c>
      <c r="G2532" s="232" t="inlineStr">
        <is>
          <t>Fino 49 7,7 ha</t>
        </is>
      </c>
      <c r="H2532" s="232" t="inlineStr">
        <is>
          <t>Limon</t>
        </is>
      </c>
      <c r="I2532" s="232" t="inlineStr">
        <is>
          <t>Fino 49</t>
        </is>
      </c>
      <c r="J2532" s="232" t="inlineStr">
        <is>
          <t>GASTOS GENERALES</t>
        </is>
      </c>
      <c r="K2532" s="232" t="inlineStr">
        <is>
          <t>ARTICULOS DE OFICINA</t>
        </is>
      </c>
      <c r="L2532" s="232" t="inlineStr">
        <is>
          <t>[PRORRATEO 5.2% 7.7há/148.3há] O/001450 LIBRO ASIS</t>
        </is>
      </c>
      <c r="M2532" s="232" t="inlineStr"/>
      <c r="N2532" s="232" t="inlineStr">
        <is>
          <t>.   .   -</t>
        </is>
      </c>
      <c r="O2532" s="232" t="inlineStr">
        <is>
          <t>MARZO</t>
        </is>
      </c>
      <c r="P2532" s="232" t="n">
        <v>10</v>
      </c>
      <c r="Q2532" s="234" t="n">
        <v>521</v>
      </c>
      <c r="R2532" s="232" t="inlineStr"/>
      <c r="S2532" s="234" t="n">
        <v>521</v>
      </c>
      <c r="T2532" s="232" t="inlineStr">
        <is>
          <t>CLP</t>
        </is>
      </c>
      <c r="U2532" s="232" t="inlineStr">
        <is>
          <t>Prorrateo Ha PACKING</t>
        </is>
      </c>
      <c r="V2532" s="232" t="inlineStr">
        <is>
          <t>2026-06-18</t>
        </is>
      </c>
    </row>
    <row r="2533">
      <c r="A2533" s="232" t="inlineStr">
        <is>
          <t>CR-2530</t>
        </is>
      </c>
      <c r="B2533" s="232" t="inlineStr">
        <is>
          <t>2026/27</t>
        </is>
      </c>
      <c r="C2533" s="233" t="n">
        <v>46091</v>
      </c>
      <c r="D2533" s="232" t="inlineStr">
        <is>
          <t>291926</t>
        </is>
      </c>
      <c r="E2533" s="232" t="inlineStr">
        <is>
          <t>PRORRATEO</t>
        </is>
      </c>
      <c r="F2533" s="232" t="inlineStr">
        <is>
          <t>Santa Catalina</t>
        </is>
      </c>
      <c r="G2533" s="232" t="inlineStr">
        <is>
          <t>W. murcott 21 ha</t>
        </is>
      </c>
      <c r="H2533" s="232" t="inlineStr">
        <is>
          <t>Mandarina</t>
        </is>
      </c>
      <c r="I2533" s="232" t="inlineStr">
        <is>
          <t>W. murcott</t>
        </is>
      </c>
      <c r="J2533" s="232" t="inlineStr">
        <is>
          <t>GASTOS GENERALES</t>
        </is>
      </c>
      <c r="K2533" s="232" t="inlineStr">
        <is>
          <t>ARTICULOS DE OFICINA</t>
        </is>
      </c>
      <c r="L2533" s="232" t="inlineStr">
        <is>
          <t>[PRORRATEO 14.2% 21.0há/148.3há] O/001450 LIBRO ASIS</t>
        </is>
      </c>
      <c r="M2533" s="232" t="inlineStr"/>
      <c r="N2533" s="232" t="inlineStr">
        <is>
          <t>.   .   -</t>
        </is>
      </c>
      <c r="O2533" s="232" t="inlineStr">
        <is>
          <t>MARZO</t>
        </is>
      </c>
      <c r="P2533" s="232" t="n">
        <v>10</v>
      </c>
      <c r="Q2533" s="234" t="n">
        <v>1420</v>
      </c>
      <c r="R2533" s="232" t="inlineStr"/>
      <c r="S2533" s="234" t="n">
        <v>1420</v>
      </c>
      <c r="T2533" s="232" t="inlineStr">
        <is>
          <t>CLP</t>
        </is>
      </c>
      <c r="U2533" s="232" t="inlineStr">
        <is>
          <t>Prorrateo Ha PACKING</t>
        </is>
      </c>
      <c r="V2533" s="232" t="inlineStr">
        <is>
          <t>2026-06-18</t>
        </is>
      </c>
    </row>
    <row r="2534">
      <c r="A2534" s="232" t="inlineStr">
        <is>
          <t>CR-2531</t>
        </is>
      </c>
      <c r="B2534" s="232" t="inlineStr">
        <is>
          <t>2026/27</t>
        </is>
      </c>
      <c r="C2534" s="233" t="n">
        <v>46091</v>
      </c>
      <c r="D2534" s="232" t="inlineStr">
        <is>
          <t>291926</t>
        </is>
      </c>
      <c r="E2534" s="232" t="inlineStr">
        <is>
          <t>PRORRATEO</t>
        </is>
      </c>
      <c r="F2534" s="232" t="inlineStr">
        <is>
          <t>Santa Catalina</t>
        </is>
      </c>
      <c r="G2534" s="232" t="inlineStr">
        <is>
          <t>cambria 4,2 ha</t>
        </is>
      </c>
      <c r="H2534" s="232" t="inlineStr">
        <is>
          <t>Naranjas</t>
        </is>
      </c>
      <c r="I2534" s="232" t="inlineStr">
        <is>
          <t>Cambria</t>
        </is>
      </c>
      <c r="J2534" s="232" t="inlineStr">
        <is>
          <t>GASTOS GENERALES</t>
        </is>
      </c>
      <c r="K2534" s="232" t="inlineStr">
        <is>
          <t>ARTICULOS DE OFICINA</t>
        </is>
      </c>
      <c r="L2534" s="232" t="inlineStr">
        <is>
          <t>[PRORRATEO 2.8% 4.2há/148.3há] O/001450 LIBRO ASIS</t>
        </is>
      </c>
      <c r="M2534" s="232" t="inlineStr"/>
      <c r="N2534" s="232" t="inlineStr">
        <is>
          <t>.   .   -</t>
        </is>
      </c>
      <c r="O2534" s="232" t="inlineStr">
        <is>
          <t>MARZO</t>
        </is>
      </c>
      <c r="P2534" s="232" t="n">
        <v>10</v>
      </c>
      <c r="Q2534" s="234" t="n">
        <v>284</v>
      </c>
      <c r="R2534" s="232" t="inlineStr"/>
      <c r="S2534" s="234" t="n">
        <v>284</v>
      </c>
      <c r="T2534" s="232" t="inlineStr">
        <is>
          <t>CLP</t>
        </is>
      </c>
      <c r="U2534" s="232" t="inlineStr">
        <is>
          <t>Prorrateo Ha PACKING</t>
        </is>
      </c>
      <c r="V2534" s="232" t="inlineStr">
        <is>
          <t>2026-06-18</t>
        </is>
      </c>
    </row>
    <row r="2535">
      <c r="A2535" s="232" t="inlineStr">
        <is>
          <t>CR-2532</t>
        </is>
      </c>
      <c r="B2535" s="232" t="inlineStr">
        <is>
          <t>2026/27</t>
        </is>
      </c>
      <c r="C2535" s="233" t="n">
        <v>46091</v>
      </c>
      <c r="D2535" s="232" t="inlineStr">
        <is>
          <t>291926</t>
        </is>
      </c>
      <c r="E2535" s="232" t="inlineStr">
        <is>
          <t>PRORRATEO</t>
        </is>
      </c>
      <c r="F2535" s="232" t="inlineStr">
        <is>
          <t>Santa Catalina</t>
        </is>
      </c>
      <c r="G2535" s="232" t="inlineStr">
        <is>
          <t>eureka 10,6 ha</t>
        </is>
      </c>
      <c r="H2535" s="232" t="inlineStr">
        <is>
          <t>Limon</t>
        </is>
      </c>
      <c r="I2535" s="232" t="inlineStr">
        <is>
          <t>Eureka</t>
        </is>
      </c>
      <c r="J2535" s="232" t="inlineStr">
        <is>
          <t>GASTOS GENERALES</t>
        </is>
      </c>
      <c r="K2535" s="232" t="inlineStr">
        <is>
          <t>ARTICULOS DE OFICINA</t>
        </is>
      </c>
      <c r="L2535" s="232" t="inlineStr">
        <is>
          <t>[PRORRATEO 7.1% 10.6há/148.3há] O/001450 LIBRO ASIS</t>
        </is>
      </c>
      <c r="M2535" s="232" t="inlineStr"/>
      <c r="N2535" s="232" t="inlineStr">
        <is>
          <t>.   .   -</t>
        </is>
      </c>
      <c r="O2535" s="232" t="inlineStr">
        <is>
          <t>MARZO</t>
        </is>
      </c>
      <c r="P2535" s="232" t="n">
        <v>10</v>
      </c>
      <c r="Q2535" s="234" t="n">
        <v>717</v>
      </c>
      <c r="R2535" s="232" t="inlineStr"/>
      <c r="S2535" s="234" t="n">
        <v>717</v>
      </c>
      <c r="T2535" s="232" t="inlineStr">
        <is>
          <t>CLP</t>
        </is>
      </c>
      <c r="U2535" s="232" t="inlineStr">
        <is>
          <t>Prorrateo Ha PACKING</t>
        </is>
      </c>
      <c r="V2535" s="232" t="inlineStr">
        <is>
          <t>2026-06-18</t>
        </is>
      </c>
    </row>
    <row r="2536">
      <c r="A2536" s="232" t="inlineStr">
        <is>
          <t>CR-2533</t>
        </is>
      </c>
      <c r="B2536" s="232" t="inlineStr">
        <is>
          <t>2026/27</t>
        </is>
      </c>
      <c r="C2536" s="233" t="n">
        <v>46091</v>
      </c>
      <c r="D2536" s="232" t="inlineStr">
        <is>
          <t>291926</t>
        </is>
      </c>
      <c r="E2536" s="232" t="inlineStr">
        <is>
          <t>PRORRATEO</t>
        </is>
      </c>
      <c r="F2536" s="232" t="inlineStr">
        <is>
          <t>Santa Catalina</t>
        </is>
      </c>
      <c r="G2536" s="232" t="inlineStr">
        <is>
          <t>eureka 14,4 ha</t>
        </is>
      </c>
      <c r="H2536" s="232" t="inlineStr">
        <is>
          <t>Limon</t>
        </is>
      </c>
      <c r="I2536" s="232" t="inlineStr">
        <is>
          <t>Eureka</t>
        </is>
      </c>
      <c r="J2536" s="232" t="inlineStr">
        <is>
          <t>GASTOS GENERALES</t>
        </is>
      </c>
      <c r="K2536" s="232" t="inlineStr">
        <is>
          <t>ARTICULOS DE OFICINA</t>
        </is>
      </c>
      <c r="L2536" s="232" t="inlineStr">
        <is>
          <t>[PRORRATEO 9.7% 14.4há/148.3há] O/001450 LIBRO ASIS</t>
        </is>
      </c>
      <c r="M2536" s="232" t="inlineStr"/>
      <c r="N2536" s="232" t="inlineStr">
        <is>
          <t>.   .   -</t>
        </is>
      </c>
      <c r="O2536" s="232" t="inlineStr">
        <is>
          <t>MARZO</t>
        </is>
      </c>
      <c r="P2536" s="232" t="n">
        <v>10</v>
      </c>
      <c r="Q2536" s="234" t="n">
        <v>974</v>
      </c>
      <c r="R2536" s="232" t="inlineStr"/>
      <c r="S2536" s="234" t="n">
        <v>974</v>
      </c>
      <c r="T2536" s="232" t="inlineStr">
        <is>
          <t>CLP</t>
        </is>
      </c>
      <c r="U2536" s="232" t="inlineStr">
        <is>
          <t>Prorrateo Ha PACKING</t>
        </is>
      </c>
      <c r="V2536" s="232" t="inlineStr">
        <is>
          <t>2026-06-18</t>
        </is>
      </c>
    </row>
    <row r="2537">
      <c r="A2537" s="232" t="inlineStr">
        <is>
          <t>CR-2534</t>
        </is>
      </c>
      <c r="B2537" s="232" t="inlineStr">
        <is>
          <t>2026/27</t>
        </is>
      </c>
      <c r="C2537" s="233" t="n">
        <v>46091</v>
      </c>
      <c r="D2537" s="232" t="inlineStr">
        <is>
          <t>291926</t>
        </is>
      </c>
      <c r="E2537" s="232" t="inlineStr">
        <is>
          <t>PRORRATEO</t>
        </is>
      </c>
      <c r="F2537" s="232" t="inlineStr">
        <is>
          <t>Santa Catalina</t>
        </is>
      </c>
      <c r="G2537" s="232" t="inlineStr">
        <is>
          <t>eureka 22,55</t>
        </is>
      </c>
      <c r="H2537" s="232" t="inlineStr">
        <is>
          <t>Limon</t>
        </is>
      </c>
      <c r="I2537" s="232" t="inlineStr">
        <is>
          <t>Eureka</t>
        </is>
      </c>
      <c r="J2537" s="232" t="inlineStr">
        <is>
          <t>GASTOS GENERALES</t>
        </is>
      </c>
      <c r="K2537" s="232" t="inlineStr">
        <is>
          <t>ARTICULOS DE OFICINA</t>
        </is>
      </c>
      <c r="L2537" s="232" t="inlineStr">
        <is>
          <t>[PRORRATEO 15.2% 22.55há/148.3há] O/001450 LIBRO ASIS</t>
        </is>
      </c>
      <c r="M2537" s="232" t="inlineStr"/>
      <c r="N2537" s="232" t="inlineStr">
        <is>
          <t>.   .   -</t>
        </is>
      </c>
      <c r="O2537" s="232" t="inlineStr">
        <is>
          <t>MARZO</t>
        </is>
      </c>
      <c r="P2537" s="232" t="n">
        <v>10</v>
      </c>
      <c r="Q2537" s="234" t="n">
        <v>1525</v>
      </c>
      <c r="R2537" s="232" t="inlineStr"/>
      <c r="S2537" s="234" t="n">
        <v>1525</v>
      </c>
      <c r="T2537" s="232" t="inlineStr">
        <is>
          <t>CLP</t>
        </is>
      </c>
      <c r="U2537" s="232" t="inlineStr">
        <is>
          <t>Prorrateo Ha PACKING</t>
        </is>
      </c>
      <c r="V2537" s="232" t="inlineStr">
        <is>
          <t>2026-06-18</t>
        </is>
      </c>
    </row>
    <row r="2538">
      <c r="A2538" s="232" t="inlineStr">
        <is>
          <t>CR-2535</t>
        </is>
      </c>
      <c r="B2538" s="232" t="inlineStr">
        <is>
          <t>2026/27</t>
        </is>
      </c>
      <c r="C2538" s="233" t="n">
        <v>46091</v>
      </c>
      <c r="D2538" s="232" t="inlineStr">
        <is>
          <t>291926</t>
        </is>
      </c>
      <c r="E2538" s="232" t="inlineStr">
        <is>
          <t>PRORRATEO</t>
        </is>
      </c>
      <c r="F2538" s="232" t="inlineStr">
        <is>
          <t>Santa Catalina</t>
        </is>
      </c>
      <c r="G2538" s="232" t="inlineStr">
        <is>
          <t>form benjamin 1,93 ha</t>
        </is>
      </c>
      <c r="H2538" s="232" t="inlineStr">
        <is>
          <t>Limon</t>
        </is>
      </c>
      <c r="I2538" s="232" t="inlineStr">
        <is>
          <t>Benjamin andes</t>
        </is>
      </c>
      <c r="J2538" s="232" t="inlineStr">
        <is>
          <t>GASTOS GENERALES</t>
        </is>
      </c>
      <c r="K2538" s="232" t="inlineStr">
        <is>
          <t>ARTICULOS DE OFICINA</t>
        </is>
      </c>
      <c r="L2538" s="232" t="inlineStr">
        <is>
          <t>[PRORRATEO 1.3% 1.93há/148.3há] O/001450 LIBRO ASIS</t>
        </is>
      </c>
      <c r="M2538" s="232" t="inlineStr"/>
      <c r="N2538" s="232" t="inlineStr">
        <is>
          <t>.   .   -</t>
        </is>
      </c>
      <c r="O2538" s="232" t="inlineStr">
        <is>
          <t>MARZO</t>
        </is>
      </c>
      <c r="P2538" s="232" t="n">
        <v>10</v>
      </c>
      <c r="Q2538" s="234" t="n">
        <v>131</v>
      </c>
      <c r="R2538" s="232" t="inlineStr"/>
      <c r="S2538" s="234" t="n">
        <v>131</v>
      </c>
      <c r="T2538" s="232" t="inlineStr">
        <is>
          <t>CLP</t>
        </is>
      </c>
      <c r="U2538" s="232" t="inlineStr">
        <is>
          <t>Prorrateo Ha PACKING</t>
        </is>
      </c>
      <c r="V2538" s="232" t="inlineStr">
        <is>
          <t>2026-06-18</t>
        </is>
      </c>
    </row>
    <row r="2539">
      <c r="A2539" s="232" t="inlineStr">
        <is>
          <t>CR-2536</t>
        </is>
      </c>
      <c r="B2539" s="232" t="inlineStr">
        <is>
          <t>2026/27</t>
        </is>
      </c>
      <c r="C2539" s="233" t="n">
        <v>46091</v>
      </c>
      <c r="D2539" s="232" t="inlineStr">
        <is>
          <t>291926</t>
        </is>
      </c>
      <c r="E2539" s="232" t="inlineStr">
        <is>
          <t>PRORRATEO</t>
        </is>
      </c>
      <c r="F2539" s="232" t="inlineStr">
        <is>
          <t>Santa Catalina</t>
        </is>
      </c>
      <c r="G2539" s="232" t="inlineStr">
        <is>
          <t>mant eureka 2,5 ha</t>
        </is>
      </c>
      <c r="H2539" s="232" t="inlineStr">
        <is>
          <t>Limon</t>
        </is>
      </c>
      <c r="I2539" s="232" t="inlineStr">
        <is>
          <t>Eureka</t>
        </is>
      </c>
      <c r="J2539" s="232" t="inlineStr">
        <is>
          <t>GASTOS GENERALES</t>
        </is>
      </c>
      <c r="K2539" s="232" t="inlineStr">
        <is>
          <t>ARTICULOS DE OFICINA</t>
        </is>
      </c>
      <c r="L2539" s="232" t="inlineStr">
        <is>
          <t>[PRORRATEO 1.7% 2.5há/148.3há] O/001450 LIBRO ASIS</t>
        </is>
      </c>
      <c r="M2539" s="232" t="inlineStr"/>
      <c r="N2539" s="232" t="inlineStr">
        <is>
          <t>.   .   -</t>
        </is>
      </c>
      <c r="O2539" s="232" t="inlineStr">
        <is>
          <t>MARZO</t>
        </is>
      </c>
      <c r="P2539" s="232" t="n">
        <v>10</v>
      </c>
      <c r="Q2539" s="234" t="n">
        <v>169</v>
      </c>
      <c r="R2539" s="232" t="inlineStr"/>
      <c r="S2539" s="234" t="n">
        <v>169</v>
      </c>
      <c r="T2539" s="232" t="inlineStr">
        <is>
          <t>CLP</t>
        </is>
      </c>
      <c r="U2539" s="232" t="inlineStr">
        <is>
          <t>Prorrateo Ha PACKING</t>
        </is>
      </c>
      <c r="V2539" s="232" t="inlineStr">
        <is>
          <t>2026-06-18</t>
        </is>
      </c>
    </row>
    <row r="2540">
      <c r="A2540" s="232" t="inlineStr">
        <is>
          <t>CR-2537</t>
        </is>
      </c>
      <c r="B2540" s="232" t="inlineStr">
        <is>
          <t>2026/27</t>
        </is>
      </c>
      <c r="C2540" s="233" t="n">
        <v>46091</v>
      </c>
      <c r="D2540" s="232" t="inlineStr">
        <is>
          <t>291926</t>
        </is>
      </c>
      <c r="E2540" s="232" t="inlineStr">
        <is>
          <t>PRORRATEO</t>
        </is>
      </c>
      <c r="F2540" s="232" t="inlineStr">
        <is>
          <t>Siberia</t>
        </is>
      </c>
      <c r="G2540" s="232" t="inlineStr">
        <is>
          <t>S. Celebration 7,14</t>
        </is>
      </c>
      <c r="H2540" s="232" t="inlineStr">
        <is>
          <t>Uvas</t>
        </is>
      </c>
      <c r="I2540" s="232" t="inlineStr">
        <is>
          <t>S. celebration</t>
        </is>
      </c>
      <c r="J2540" s="232" t="inlineStr">
        <is>
          <t>GASTOS GENERALES</t>
        </is>
      </c>
      <c r="K2540" s="232" t="inlineStr">
        <is>
          <t>ARTICULOS DE OFICINA</t>
        </is>
      </c>
      <c r="L2540" s="232" t="inlineStr">
        <is>
          <t>[PRORRATEO 4.8% 7.14há/148.3há] O/001450 LIBRO ASIS</t>
        </is>
      </c>
      <c r="M2540" s="232" t="inlineStr"/>
      <c r="N2540" s="232" t="inlineStr">
        <is>
          <t>.   .   -</t>
        </is>
      </c>
      <c r="O2540" s="232" t="inlineStr">
        <is>
          <t>MARZO</t>
        </is>
      </c>
      <c r="P2540" s="232" t="n">
        <v>10</v>
      </c>
      <c r="Q2540" s="234" t="n">
        <v>483</v>
      </c>
      <c r="R2540" s="232" t="inlineStr"/>
      <c r="S2540" s="234" t="n">
        <v>483</v>
      </c>
      <c r="T2540" s="232" t="inlineStr">
        <is>
          <t>CLP</t>
        </is>
      </c>
      <c r="U2540" s="232" t="inlineStr">
        <is>
          <t>Prorrateo Ha PACKING</t>
        </is>
      </c>
      <c r="V2540" s="232" t="inlineStr">
        <is>
          <t>2026-06-18</t>
        </is>
      </c>
    </row>
    <row r="2541">
      <c r="A2541" s="232" t="inlineStr">
        <is>
          <t>CR-2538</t>
        </is>
      </c>
      <c r="B2541" s="232" t="inlineStr">
        <is>
          <t>2026/27</t>
        </is>
      </c>
      <c r="C2541" s="233" t="n">
        <v>46091</v>
      </c>
      <c r="D2541" s="232" t="inlineStr">
        <is>
          <t>291926</t>
        </is>
      </c>
      <c r="E2541" s="232" t="inlineStr">
        <is>
          <t>PRORRATEO</t>
        </is>
      </c>
      <c r="F2541" s="232" t="inlineStr">
        <is>
          <t>Siberia</t>
        </is>
      </c>
      <c r="G2541" s="232" t="inlineStr">
        <is>
          <t>Timpson 7,1</t>
        </is>
      </c>
      <c r="H2541" s="232" t="inlineStr">
        <is>
          <t>Uvas</t>
        </is>
      </c>
      <c r="I2541" s="232" t="inlineStr">
        <is>
          <t>Timpson</t>
        </is>
      </c>
      <c r="J2541" s="232" t="inlineStr">
        <is>
          <t>GASTOS GENERALES</t>
        </is>
      </c>
      <c r="K2541" s="232" t="inlineStr">
        <is>
          <t>ARTICULOS DE OFICINA</t>
        </is>
      </c>
      <c r="L2541" s="232" t="inlineStr">
        <is>
          <t>[PRORRATEO 4.8% 7.1há/148.3há] O/001450 LIBRO ASIS</t>
        </is>
      </c>
      <c r="M2541" s="232" t="inlineStr"/>
      <c r="N2541" s="232" t="inlineStr">
        <is>
          <t>.   .   -</t>
        </is>
      </c>
      <c r="O2541" s="232" t="inlineStr">
        <is>
          <t>MARZO</t>
        </is>
      </c>
      <c r="P2541" s="232" t="n">
        <v>10</v>
      </c>
      <c r="Q2541" s="234" t="n">
        <v>480</v>
      </c>
      <c r="R2541" s="232" t="inlineStr"/>
      <c r="S2541" s="234" t="n">
        <v>480</v>
      </c>
      <c r="T2541" s="232" t="inlineStr">
        <is>
          <t>CLP</t>
        </is>
      </c>
      <c r="U2541" s="232" t="inlineStr">
        <is>
          <t>Prorrateo Ha PACKING</t>
        </is>
      </c>
      <c r="V2541" s="232" t="inlineStr">
        <is>
          <t>2026-06-18</t>
        </is>
      </c>
    </row>
    <row r="2542">
      <c r="A2542" s="232" t="inlineStr">
        <is>
          <t>CR-2539</t>
        </is>
      </c>
      <c r="B2542" s="232" t="inlineStr">
        <is>
          <t>2026/27</t>
        </is>
      </c>
      <c r="C2542" s="233" t="n">
        <v>46091</v>
      </c>
      <c r="D2542" s="232" t="inlineStr">
        <is>
          <t>291926</t>
        </is>
      </c>
      <c r="E2542" s="232" t="inlineStr">
        <is>
          <t>PRORRATEO</t>
        </is>
      </c>
      <c r="F2542" s="232" t="inlineStr">
        <is>
          <t>Asmara</t>
        </is>
      </c>
      <c r="G2542" s="232" t="inlineStr">
        <is>
          <t>w. murcott 19,8 ha</t>
        </is>
      </c>
      <c r="H2542" s="232" t="inlineStr">
        <is>
          <t>Mandarina</t>
        </is>
      </c>
      <c r="I2542" s="232" t="inlineStr">
        <is>
          <t>W. murcott</t>
        </is>
      </c>
      <c r="J2542" s="232" t="inlineStr">
        <is>
          <t>GASTOS GENERALES</t>
        </is>
      </c>
      <c r="K2542" s="232" t="inlineStr">
        <is>
          <t>ARTICULOS DE OFICINA</t>
        </is>
      </c>
      <c r="L2542" s="232" t="inlineStr">
        <is>
          <t>[PRORRATEO 13.4% 19.8há/148.3há] O/001450 LIBRO ASIS</t>
        </is>
      </c>
      <c r="M2542" s="232" t="inlineStr"/>
      <c r="N2542" s="232" t="inlineStr">
        <is>
          <t>.   .   -</t>
        </is>
      </c>
      <c r="O2542" s="232" t="inlineStr">
        <is>
          <t>MARZO</t>
        </is>
      </c>
      <c r="P2542" s="232" t="n">
        <v>10</v>
      </c>
      <c r="Q2542" s="234" t="n">
        <v>1728</v>
      </c>
      <c r="R2542" s="232" t="inlineStr"/>
      <c r="S2542" s="234" t="n">
        <v>1728</v>
      </c>
      <c r="T2542" s="232" t="inlineStr">
        <is>
          <t>CLP</t>
        </is>
      </c>
      <c r="U2542" s="232" t="inlineStr">
        <is>
          <t>Prorrateo Ha PACKING</t>
        </is>
      </c>
      <c r="V2542" s="232" t="inlineStr">
        <is>
          <t>2026-06-18</t>
        </is>
      </c>
    </row>
    <row r="2543">
      <c r="A2543" s="232" t="inlineStr">
        <is>
          <t>CR-2540</t>
        </is>
      </c>
      <c r="B2543" s="232" t="inlineStr">
        <is>
          <t>2026/27</t>
        </is>
      </c>
      <c r="C2543" s="233" t="n">
        <v>46091</v>
      </c>
      <c r="D2543" s="232" t="inlineStr">
        <is>
          <t>291926</t>
        </is>
      </c>
      <c r="E2543" s="232" t="inlineStr">
        <is>
          <t>PRORRATEO</t>
        </is>
      </c>
      <c r="F2543" s="232" t="inlineStr">
        <is>
          <t>Asmara</t>
        </is>
      </c>
      <c r="G2543" s="232" t="inlineStr">
        <is>
          <t>w. murcott 4,9 ha</t>
        </is>
      </c>
      <c r="H2543" s="232" t="inlineStr">
        <is>
          <t>Mandarina</t>
        </is>
      </c>
      <c r="I2543" s="232" t="inlineStr">
        <is>
          <t>W. murcott</t>
        </is>
      </c>
      <c r="J2543" s="232" t="inlineStr">
        <is>
          <t>GASTOS GENERALES</t>
        </is>
      </c>
      <c r="K2543" s="232" t="inlineStr">
        <is>
          <t>ARTICULOS DE OFICINA</t>
        </is>
      </c>
      <c r="L2543" s="232" t="inlineStr">
        <is>
          <t>[PRORRATEO 3.3% 4.9há/148.3há] O/001450 LIBRO ASIS</t>
        </is>
      </c>
      <c r="M2543" s="232" t="inlineStr"/>
      <c r="N2543" s="232" t="inlineStr">
        <is>
          <t>.   .   -</t>
        </is>
      </c>
      <c r="O2543" s="232" t="inlineStr">
        <is>
          <t>MARZO</t>
        </is>
      </c>
      <c r="P2543" s="232" t="n">
        <v>10</v>
      </c>
      <c r="Q2543" s="234" t="n">
        <v>428</v>
      </c>
      <c r="R2543" s="232" t="inlineStr"/>
      <c r="S2543" s="234" t="n">
        <v>428</v>
      </c>
      <c r="T2543" s="232" t="inlineStr">
        <is>
          <t>CLP</t>
        </is>
      </c>
      <c r="U2543" s="232" t="inlineStr">
        <is>
          <t>Prorrateo Ha PACKING</t>
        </is>
      </c>
      <c r="V2543" s="232" t="inlineStr">
        <is>
          <t>2026-06-18</t>
        </is>
      </c>
    </row>
    <row r="2544">
      <c r="A2544" s="232" t="inlineStr">
        <is>
          <t>CR-2541</t>
        </is>
      </c>
      <c r="B2544" s="232" t="inlineStr">
        <is>
          <t>2026/27</t>
        </is>
      </c>
      <c r="C2544" s="233" t="n">
        <v>46091</v>
      </c>
      <c r="D2544" s="232" t="inlineStr">
        <is>
          <t>291926</t>
        </is>
      </c>
      <c r="E2544" s="232" t="inlineStr">
        <is>
          <t>PRORRATEO</t>
        </is>
      </c>
      <c r="F2544" s="232" t="inlineStr">
        <is>
          <t>El Molle</t>
        </is>
      </c>
      <c r="G2544" s="232" t="inlineStr">
        <is>
          <t>Wonderful 5,25 ha</t>
        </is>
      </c>
      <c r="H2544" s="232" t="inlineStr">
        <is>
          <t>Granados</t>
        </is>
      </c>
      <c r="I2544" s="232" t="inlineStr">
        <is>
          <t>Wonderfull</t>
        </is>
      </c>
      <c r="J2544" s="232" t="inlineStr">
        <is>
          <t>GASTOS GENERALES</t>
        </is>
      </c>
      <c r="K2544" s="232" t="inlineStr">
        <is>
          <t>ARTICULOS DE OFICINA</t>
        </is>
      </c>
      <c r="L2544" s="232" t="inlineStr">
        <is>
          <t>[PRORRATEO 3.5% 5.24há/148.3há] O/001450 LIBRO ASIS</t>
        </is>
      </c>
      <c r="M2544" s="232" t="inlineStr"/>
      <c r="N2544" s="232" t="inlineStr">
        <is>
          <t>.   .   -</t>
        </is>
      </c>
      <c r="O2544" s="232" t="inlineStr">
        <is>
          <t>MARZO</t>
        </is>
      </c>
      <c r="P2544" s="232" t="n">
        <v>10</v>
      </c>
      <c r="Q2544" s="234" t="n">
        <v>457</v>
      </c>
      <c r="R2544" s="232" t="inlineStr"/>
      <c r="S2544" s="234" t="n">
        <v>457</v>
      </c>
      <c r="T2544" s="232" t="inlineStr">
        <is>
          <t>CLP</t>
        </is>
      </c>
      <c r="U2544" s="232" t="inlineStr">
        <is>
          <t>Prorrateo Ha PACKING</t>
        </is>
      </c>
      <c r="V2544" s="232" t="inlineStr">
        <is>
          <t>2026-06-18</t>
        </is>
      </c>
    </row>
    <row r="2545">
      <c r="A2545" s="232" t="inlineStr">
        <is>
          <t>CR-2542</t>
        </is>
      </c>
      <c r="B2545" s="232" t="inlineStr">
        <is>
          <t>2026/27</t>
        </is>
      </c>
      <c r="C2545" s="233" t="n">
        <v>46091</v>
      </c>
      <c r="D2545" s="232" t="inlineStr">
        <is>
          <t>291926</t>
        </is>
      </c>
      <c r="E2545" s="232" t="inlineStr">
        <is>
          <t>PRORRATEO</t>
        </is>
      </c>
      <c r="F2545" s="232" t="inlineStr">
        <is>
          <t>El Molle</t>
        </is>
      </c>
      <c r="G2545" s="232" t="inlineStr">
        <is>
          <t>arrufatinas 5,74 ha</t>
        </is>
      </c>
      <c r="H2545" s="232" t="inlineStr">
        <is>
          <t>Clementinas</t>
        </is>
      </c>
      <c r="I2545" s="232" t="inlineStr">
        <is>
          <t>Arrufatinas</t>
        </is>
      </c>
      <c r="J2545" s="232" t="inlineStr">
        <is>
          <t>GASTOS GENERALES</t>
        </is>
      </c>
      <c r="K2545" s="232" t="inlineStr">
        <is>
          <t>ARTICULOS DE OFICINA</t>
        </is>
      </c>
      <c r="L2545" s="232" t="inlineStr">
        <is>
          <t>[PRORRATEO 3.9% 5.74há/148.3há] O/001450 LIBRO ASIS</t>
        </is>
      </c>
      <c r="M2545" s="232" t="inlineStr"/>
      <c r="N2545" s="232" t="inlineStr">
        <is>
          <t>.   .   -</t>
        </is>
      </c>
      <c r="O2545" s="232" t="inlineStr">
        <is>
          <t>MARZO</t>
        </is>
      </c>
      <c r="P2545" s="232" t="n">
        <v>10</v>
      </c>
      <c r="Q2545" s="234" t="n">
        <v>501</v>
      </c>
      <c r="R2545" s="232" t="inlineStr"/>
      <c r="S2545" s="234" t="n">
        <v>501</v>
      </c>
      <c r="T2545" s="232" t="inlineStr">
        <is>
          <t>CLP</t>
        </is>
      </c>
      <c r="U2545" s="232" t="inlineStr">
        <is>
          <t>Prorrateo Ha PACKING</t>
        </is>
      </c>
      <c r="V2545" s="232" t="inlineStr">
        <is>
          <t>2026-06-18</t>
        </is>
      </c>
    </row>
    <row r="2546">
      <c r="A2546" s="232" t="inlineStr">
        <is>
          <t>CR-2543</t>
        </is>
      </c>
      <c r="B2546" s="232" t="inlineStr">
        <is>
          <t>2026/27</t>
        </is>
      </c>
      <c r="C2546" s="233" t="n">
        <v>46091</v>
      </c>
      <c r="D2546" s="232" t="inlineStr">
        <is>
          <t>291926</t>
        </is>
      </c>
      <c r="E2546" s="232" t="inlineStr">
        <is>
          <t>PRORRATEO</t>
        </is>
      </c>
      <c r="F2546" s="232" t="inlineStr">
        <is>
          <t>El Molle</t>
        </is>
      </c>
      <c r="G2546" s="232" t="inlineStr">
        <is>
          <t>orogrande 8,11 ha</t>
        </is>
      </c>
      <c r="H2546" s="232" t="inlineStr">
        <is>
          <t>Clementinas</t>
        </is>
      </c>
      <c r="I2546" s="232" t="inlineStr">
        <is>
          <t>Orogrande</t>
        </is>
      </c>
      <c r="J2546" s="232" t="inlineStr">
        <is>
          <t>GASTOS GENERALES</t>
        </is>
      </c>
      <c r="K2546" s="232" t="inlineStr">
        <is>
          <t>ARTICULOS DE OFICINA</t>
        </is>
      </c>
      <c r="L2546" s="232" t="inlineStr">
        <is>
          <t>[PRORRATEO 5.5% 8.11há/148.3há] O/001450 LIBRO ASIS</t>
        </is>
      </c>
      <c r="M2546" s="232" t="inlineStr"/>
      <c r="N2546" s="232" t="inlineStr">
        <is>
          <t>.   .   -</t>
        </is>
      </c>
      <c r="O2546" s="232" t="inlineStr">
        <is>
          <t>MARZO</t>
        </is>
      </c>
      <c r="P2546" s="232" t="n">
        <v>10</v>
      </c>
      <c r="Q2546" s="234" t="n">
        <v>708</v>
      </c>
      <c r="R2546" s="232" t="inlineStr"/>
      <c r="S2546" s="234" t="n">
        <v>708</v>
      </c>
      <c r="T2546" s="232" t="inlineStr">
        <is>
          <t>CLP</t>
        </is>
      </c>
      <c r="U2546" s="232" t="inlineStr">
        <is>
          <t>Prorrateo Ha PACKING</t>
        </is>
      </c>
      <c r="V2546" s="232" t="inlineStr">
        <is>
          <t>2026-06-18</t>
        </is>
      </c>
    </row>
    <row r="2547">
      <c r="A2547" s="232" t="inlineStr">
        <is>
          <t>CR-2544</t>
        </is>
      </c>
      <c r="B2547" s="232" t="inlineStr">
        <is>
          <t>2026/27</t>
        </is>
      </c>
      <c r="C2547" s="233" t="n">
        <v>46091</v>
      </c>
      <c r="D2547" s="232" t="inlineStr">
        <is>
          <t>291926</t>
        </is>
      </c>
      <c r="E2547" s="232" t="inlineStr">
        <is>
          <t>PRORRATEO</t>
        </is>
      </c>
      <c r="F2547" s="232" t="inlineStr">
        <is>
          <t>El Molle</t>
        </is>
      </c>
      <c r="G2547" s="232" t="inlineStr">
        <is>
          <t>oronules 5,35 ha</t>
        </is>
      </c>
      <c r="H2547" s="232" t="inlineStr">
        <is>
          <t>Clementinas</t>
        </is>
      </c>
      <c r="I2547" s="232" t="inlineStr">
        <is>
          <t>Oronules</t>
        </is>
      </c>
      <c r="J2547" s="232" t="inlineStr">
        <is>
          <t>GASTOS GENERALES</t>
        </is>
      </c>
      <c r="K2547" s="232" t="inlineStr">
        <is>
          <t>ARTICULOS DE OFICINA</t>
        </is>
      </c>
      <c r="L2547" s="232" t="inlineStr">
        <is>
          <t>[PRORRATEO 3.6% 5.35há/148.3há] O/001450 LIBRO ASIS</t>
        </is>
      </c>
      <c r="M2547" s="232" t="inlineStr"/>
      <c r="N2547" s="232" t="inlineStr">
        <is>
          <t>.   .   -</t>
        </is>
      </c>
      <c r="O2547" s="232" t="inlineStr">
        <is>
          <t>MARZO</t>
        </is>
      </c>
      <c r="P2547" s="232" t="n">
        <v>10</v>
      </c>
      <c r="Q2547" s="234" t="n">
        <v>467</v>
      </c>
      <c r="R2547" s="232" t="inlineStr"/>
      <c r="S2547" s="234" t="n">
        <v>467</v>
      </c>
      <c r="T2547" s="232" t="inlineStr">
        <is>
          <t>CLP</t>
        </is>
      </c>
      <c r="U2547" s="232" t="inlineStr">
        <is>
          <t>Prorrateo Ha PACKING</t>
        </is>
      </c>
      <c r="V2547" s="232" t="inlineStr">
        <is>
          <t>2026-06-18</t>
        </is>
      </c>
    </row>
    <row r="2548">
      <c r="A2548" s="232" t="inlineStr">
        <is>
          <t>CR-2545</t>
        </is>
      </c>
      <c r="B2548" s="232" t="inlineStr">
        <is>
          <t>2026/27</t>
        </is>
      </c>
      <c r="C2548" s="233" t="n">
        <v>46091</v>
      </c>
      <c r="D2548" s="232" t="inlineStr">
        <is>
          <t>291926</t>
        </is>
      </c>
      <c r="E2548" s="232" t="inlineStr">
        <is>
          <t>PRORRATEO</t>
        </is>
      </c>
      <c r="F2548" s="232" t="inlineStr">
        <is>
          <t>Santa Catalina</t>
        </is>
      </c>
      <c r="G2548" s="232" t="inlineStr">
        <is>
          <t>Fino 49 7,7 ha</t>
        </is>
      </c>
      <c r="H2548" s="232" t="inlineStr">
        <is>
          <t>Limon</t>
        </is>
      </c>
      <c r="I2548" s="232" t="inlineStr">
        <is>
          <t>Fino 49</t>
        </is>
      </c>
      <c r="J2548" s="232" t="inlineStr">
        <is>
          <t>GASTOS GENERALES</t>
        </is>
      </c>
      <c r="K2548" s="232" t="inlineStr">
        <is>
          <t>ARTICULOS DE OFICINA</t>
        </is>
      </c>
      <c r="L2548" s="232" t="inlineStr">
        <is>
          <t>[PRORRATEO 5.2% 7.7há/148.3há] O/001450 LIBRO ASIS</t>
        </is>
      </c>
      <c r="M2548" s="232" t="inlineStr"/>
      <c r="N2548" s="232" t="inlineStr">
        <is>
          <t>.   .   -</t>
        </is>
      </c>
      <c r="O2548" s="232" t="inlineStr">
        <is>
          <t>MARZO</t>
        </is>
      </c>
      <c r="P2548" s="232" t="n">
        <v>10</v>
      </c>
      <c r="Q2548" s="234" t="n">
        <v>672</v>
      </c>
      <c r="R2548" s="232" t="inlineStr"/>
      <c r="S2548" s="234" t="n">
        <v>672</v>
      </c>
      <c r="T2548" s="232" t="inlineStr">
        <is>
          <t>CLP</t>
        </is>
      </c>
      <c r="U2548" s="232" t="inlineStr">
        <is>
          <t>Prorrateo Ha PACKING</t>
        </is>
      </c>
      <c r="V2548" s="232" t="inlineStr">
        <is>
          <t>2026-06-18</t>
        </is>
      </c>
    </row>
    <row r="2549">
      <c r="A2549" s="232" t="inlineStr">
        <is>
          <t>CR-2546</t>
        </is>
      </c>
      <c r="B2549" s="232" t="inlineStr">
        <is>
          <t>2026/27</t>
        </is>
      </c>
      <c r="C2549" s="233" t="n">
        <v>46091</v>
      </c>
      <c r="D2549" s="232" t="inlineStr">
        <is>
          <t>291926</t>
        </is>
      </c>
      <c r="E2549" s="232" t="inlineStr">
        <is>
          <t>PRORRATEO</t>
        </is>
      </c>
      <c r="F2549" s="232" t="inlineStr">
        <is>
          <t>Santa Catalina</t>
        </is>
      </c>
      <c r="G2549" s="232" t="inlineStr">
        <is>
          <t>W. murcott 21 ha</t>
        </is>
      </c>
      <c r="H2549" s="232" t="inlineStr">
        <is>
          <t>Mandarina</t>
        </is>
      </c>
      <c r="I2549" s="232" t="inlineStr">
        <is>
          <t>W. murcott</t>
        </is>
      </c>
      <c r="J2549" s="232" t="inlineStr">
        <is>
          <t>GASTOS GENERALES</t>
        </is>
      </c>
      <c r="K2549" s="232" t="inlineStr">
        <is>
          <t>ARTICULOS DE OFICINA</t>
        </is>
      </c>
      <c r="L2549" s="232" t="inlineStr">
        <is>
          <t>[PRORRATEO 14.2% 21.0há/148.3há] O/001450 LIBRO ASIS</t>
        </is>
      </c>
      <c r="M2549" s="232" t="inlineStr"/>
      <c r="N2549" s="232" t="inlineStr">
        <is>
          <t>.   .   -</t>
        </is>
      </c>
      <c r="O2549" s="232" t="inlineStr">
        <is>
          <t>MARZO</t>
        </is>
      </c>
      <c r="P2549" s="232" t="n">
        <v>10</v>
      </c>
      <c r="Q2549" s="234" t="n">
        <v>1832</v>
      </c>
      <c r="R2549" s="232" t="inlineStr"/>
      <c r="S2549" s="234" t="n">
        <v>1832</v>
      </c>
      <c r="T2549" s="232" t="inlineStr">
        <is>
          <t>CLP</t>
        </is>
      </c>
      <c r="U2549" s="232" t="inlineStr">
        <is>
          <t>Prorrateo Ha PACKING</t>
        </is>
      </c>
      <c r="V2549" s="232" t="inlineStr">
        <is>
          <t>2026-06-18</t>
        </is>
      </c>
    </row>
    <row r="2550">
      <c r="A2550" s="232" t="inlineStr">
        <is>
          <t>CR-2547</t>
        </is>
      </c>
      <c r="B2550" s="232" t="inlineStr">
        <is>
          <t>2026/27</t>
        </is>
      </c>
      <c r="C2550" s="233" t="n">
        <v>46091</v>
      </c>
      <c r="D2550" s="232" t="inlineStr">
        <is>
          <t>291926</t>
        </is>
      </c>
      <c r="E2550" s="232" t="inlineStr">
        <is>
          <t>PRORRATEO</t>
        </is>
      </c>
      <c r="F2550" s="232" t="inlineStr">
        <is>
          <t>Santa Catalina</t>
        </is>
      </c>
      <c r="G2550" s="232" t="inlineStr">
        <is>
          <t>cambria 4,2 ha</t>
        </is>
      </c>
      <c r="H2550" s="232" t="inlineStr">
        <is>
          <t>Naranjas</t>
        </is>
      </c>
      <c r="I2550" s="232" t="inlineStr">
        <is>
          <t>Cambria</t>
        </is>
      </c>
      <c r="J2550" s="232" t="inlineStr">
        <is>
          <t>GASTOS GENERALES</t>
        </is>
      </c>
      <c r="K2550" s="232" t="inlineStr">
        <is>
          <t>ARTICULOS DE OFICINA</t>
        </is>
      </c>
      <c r="L2550" s="232" t="inlineStr">
        <is>
          <t>[PRORRATEO 2.8% 4.2há/148.3há] O/001450 LIBRO ASIS</t>
        </is>
      </c>
      <c r="M2550" s="232" t="inlineStr"/>
      <c r="N2550" s="232" t="inlineStr">
        <is>
          <t>.   .   -</t>
        </is>
      </c>
      <c r="O2550" s="232" t="inlineStr">
        <is>
          <t>MARZO</t>
        </is>
      </c>
      <c r="P2550" s="232" t="n">
        <v>10</v>
      </c>
      <c r="Q2550" s="234" t="n">
        <v>366</v>
      </c>
      <c r="R2550" s="232" t="inlineStr"/>
      <c r="S2550" s="234" t="n">
        <v>366</v>
      </c>
      <c r="T2550" s="232" t="inlineStr">
        <is>
          <t>CLP</t>
        </is>
      </c>
      <c r="U2550" s="232" t="inlineStr">
        <is>
          <t>Prorrateo Ha PACKING</t>
        </is>
      </c>
      <c r="V2550" s="232" t="inlineStr">
        <is>
          <t>2026-06-18</t>
        </is>
      </c>
    </row>
    <row r="2551">
      <c r="A2551" s="232" t="inlineStr">
        <is>
          <t>CR-2548</t>
        </is>
      </c>
      <c r="B2551" s="232" t="inlineStr">
        <is>
          <t>2026/27</t>
        </is>
      </c>
      <c r="C2551" s="233" t="n">
        <v>46091</v>
      </c>
      <c r="D2551" s="232" t="inlineStr">
        <is>
          <t>291926</t>
        </is>
      </c>
      <c r="E2551" s="232" t="inlineStr">
        <is>
          <t>PRORRATEO</t>
        </is>
      </c>
      <c r="F2551" s="232" t="inlineStr">
        <is>
          <t>Santa Catalina</t>
        </is>
      </c>
      <c r="G2551" s="232" t="inlineStr">
        <is>
          <t>eureka 10,6 ha</t>
        </is>
      </c>
      <c r="H2551" s="232" t="inlineStr">
        <is>
          <t>Limon</t>
        </is>
      </c>
      <c r="I2551" s="232" t="inlineStr">
        <is>
          <t>Eureka</t>
        </is>
      </c>
      <c r="J2551" s="232" t="inlineStr">
        <is>
          <t>GASTOS GENERALES</t>
        </is>
      </c>
      <c r="K2551" s="232" t="inlineStr">
        <is>
          <t>ARTICULOS DE OFICINA</t>
        </is>
      </c>
      <c r="L2551" s="232" t="inlineStr">
        <is>
          <t>[PRORRATEO 7.1% 10.6há/148.3há] O/001450 LIBRO ASIS</t>
        </is>
      </c>
      <c r="M2551" s="232" t="inlineStr"/>
      <c r="N2551" s="232" t="inlineStr">
        <is>
          <t>.   .   -</t>
        </is>
      </c>
      <c r="O2551" s="232" t="inlineStr">
        <is>
          <t>MARZO</t>
        </is>
      </c>
      <c r="P2551" s="232" t="n">
        <v>10</v>
      </c>
      <c r="Q2551" s="234" t="n">
        <v>925</v>
      </c>
      <c r="R2551" s="232" t="inlineStr"/>
      <c r="S2551" s="234" t="n">
        <v>925</v>
      </c>
      <c r="T2551" s="232" t="inlineStr">
        <is>
          <t>CLP</t>
        </is>
      </c>
      <c r="U2551" s="232" t="inlineStr">
        <is>
          <t>Prorrateo Ha PACKING</t>
        </is>
      </c>
      <c r="V2551" s="232" t="inlineStr">
        <is>
          <t>2026-06-18</t>
        </is>
      </c>
    </row>
    <row r="2552">
      <c r="A2552" s="232" t="inlineStr">
        <is>
          <t>CR-2549</t>
        </is>
      </c>
      <c r="B2552" s="232" t="inlineStr">
        <is>
          <t>2026/27</t>
        </is>
      </c>
      <c r="C2552" s="233" t="n">
        <v>46091</v>
      </c>
      <c r="D2552" s="232" t="inlineStr">
        <is>
          <t>291926</t>
        </is>
      </c>
      <c r="E2552" s="232" t="inlineStr">
        <is>
          <t>PRORRATEO</t>
        </is>
      </c>
      <c r="F2552" s="232" t="inlineStr">
        <is>
          <t>Santa Catalina</t>
        </is>
      </c>
      <c r="G2552" s="232" t="inlineStr">
        <is>
          <t>eureka 14,4 ha</t>
        </is>
      </c>
      <c r="H2552" s="232" t="inlineStr">
        <is>
          <t>Limon</t>
        </is>
      </c>
      <c r="I2552" s="232" t="inlineStr">
        <is>
          <t>Eureka</t>
        </is>
      </c>
      <c r="J2552" s="232" t="inlineStr">
        <is>
          <t>GASTOS GENERALES</t>
        </is>
      </c>
      <c r="K2552" s="232" t="inlineStr">
        <is>
          <t>ARTICULOS DE OFICINA</t>
        </is>
      </c>
      <c r="L2552" s="232" t="inlineStr">
        <is>
          <t>[PRORRATEO 9.7% 14.4há/148.3há] O/001450 LIBRO ASIS</t>
        </is>
      </c>
      <c r="M2552" s="232" t="inlineStr"/>
      <c r="N2552" s="232" t="inlineStr">
        <is>
          <t>.   .   -</t>
        </is>
      </c>
      <c r="O2552" s="232" t="inlineStr">
        <is>
          <t>MARZO</t>
        </is>
      </c>
      <c r="P2552" s="232" t="n">
        <v>10</v>
      </c>
      <c r="Q2552" s="234" t="n">
        <v>1256</v>
      </c>
      <c r="R2552" s="232" t="inlineStr"/>
      <c r="S2552" s="234" t="n">
        <v>1256</v>
      </c>
      <c r="T2552" s="232" t="inlineStr">
        <is>
          <t>CLP</t>
        </is>
      </c>
      <c r="U2552" s="232" t="inlineStr">
        <is>
          <t>Prorrateo Ha PACKING</t>
        </is>
      </c>
      <c r="V2552" s="232" t="inlineStr">
        <is>
          <t>2026-06-18</t>
        </is>
      </c>
    </row>
    <row r="2553">
      <c r="A2553" s="232" t="inlineStr">
        <is>
          <t>CR-2550</t>
        </is>
      </c>
      <c r="B2553" s="232" t="inlineStr">
        <is>
          <t>2026/27</t>
        </is>
      </c>
      <c r="C2553" s="233" t="n">
        <v>46091</v>
      </c>
      <c r="D2553" s="232" t="inlineStr">
        <is>
          <t>291926</t>
        </is>
      </c>
      <c r="E2553" s="232" t="inlineStr">
        <is>
          <t>PRORRATEO</t>
        </is>
      </c>
      <c r="F2553" s="232" t="inlineStr">
        <is>
          <t>Santa Catalina</t>
        </is>
      </c>
      <c r="G2553" s="232" t="inlineStr">
        <is>
          <t>eureka 22,55</t>
        </is>
      </c>
      <c r="H2553" s="232" t="inlineStr">
        <is>
          <t>Limon</t>
        </is>
      </c>
      <c r="I2553" s="232" t="inlineStr">
        <is>
          <t>Eureka</t>
        </is>
      </c>
      <c r="J2553" s="232" t="inlineStr">
        <is>
          <t>GASTOS GENERALES</t>
        </is>
      </c>
      <c r="K2553" s="232" t="inlineStr">
        <is>
          <t>ARTICULOS DE OFICINA</t>
        </is>
      </c>
      <c r="L2553" s="232" t="inlineStr">
        <is>
          <t>[PRORRATEO 15.2% 22.55há/148.3há] O/001450 LIBRO ASIS</t>
        </is>
      </c>
      <c r="M2553" s="232" t="inlineStr"/>
      <c r="N2553" s="232" t="inlineStr">
        <is>
          <t>.   .   -</t>
        </is>
      </c>
      <c r="O2553" s="232" t="inlineStr">
        <is>
          <t>MARZO</t>
        </is>
      </c>
      <c r="P2553" s="232" t="n">
        <v>10</v>
      </c>
      <c r="Q2553" s="234" t="n">
        <v>1968</v>
      </c>
      <c r="R2553" s="232" t="inlineStr"/>
      <c r="S2553" s="234" t="n">
        <v>1968</v>
      </c>
      <c r="T2553" s="232" t="inlineStr">
        <is>
          <t>CLP</t>
        </is>
      </c>
      <c r="U2553" s="232" t="inlineStr">
        <is>
          <t>Prorrateo Ha PACKING</t>
        </is>
      </c>
      <c r="V2553" s="232" t="inlineStr">
        <is>
          <t>2026-06-18</t>
        </is>
      </c>
    </row>
    <row r="2554">
      <c r="A2554" s="232" t="inlineStr">
        <is>
          <t>CR-2551</t>
        </is>
      </c>
      <c r="B2554" s="232" t="inlineStr">
        <is>
          <t>2026/27</t>
        </is>
      </c>
      <c r="C2554" s="233" t="n">
        <v>46091</v>
      </c>
      <c r="D2554" s="232" t="inlineStr">
        <is>
          <t>291926</t>
        </is>
      </c>
      <c r="E2554" s="232" t="inlineStr">
        <is>
          <t>PRORRATEO</t>
        </is>
      </c>
      <c r="F2554" s="232" t="inlineStr">
        <is>
          <t>Santa Catalina</t>
        </is>
      </c>
      <c r="G2554" s="232" t="inlineStr">
        <is>
          <t>form benjamin 1,93 ha</t>
        </is>
      </c>
      <c r="H2554" s="232" t="inlineStr">
        <is>
          <t>Limon</t>
        </is>
      </c>
      <c r="I2554" s="232" t="inlineStr">
        <is>
          <t>Benjamin andes</t>
        </is>
      </c>
      <c r="J2554" s="232" t="inlineStr">
        <is>
          <t>GASTOS GENERALES</t>
        </is>
      </c>
      <c r="K2554" s="232" t="inlineStr">
        <is>
          <t>ARTICULOS DE OFICINA</t>
        </is>
      </c>
      <c r="L2554" s="232" t="inlineStr">
        <is>
          <t>[PRORRATEO 1.3% 1.93há/148.3há] O/001450 LIBRO ASIS</t>
        </is>
      </c>
      <c r="M2554" s="232" t="inlineStr"/>
      <c r="N2554" s="232" t="inlineStr">
        <is>
          <t>.   .   -</t>
        </is>
      </c>
      <c r="O2554" s="232" t="inlineStr">
        <is>
          <t>MARZO</t>
        </is>
      </c>
      <c r="P2554" s="232" t="n">
        <v>10</v>
      </c>
      <c r="Q2554" s="234" t="n">
        <v>168</v>
      </c>
      <c r="R2554" s="232" t="inlineStr"/>
      <c r="S2554" s="234" t="n">
        <v>168</v>
      </c>
      <c r="T2554" s="232" t="inlineStr">
        <is>
          <t>CLP</t>
        </is>
      </c>
      <c r="U2554" s="232" t="inlineStr">
        <is>
          <t>Prorrateo Ha PACKING</t>
        </is>
      </c>
      <c r="V2554" s="232" t="inlineStr">
        <is>
          <t>2026-06-18</t>
        </is>
      </c>
    </row>
    <row r="2555">
      <c r="A2555" s="232" t="inlineStr">
        <is>
          <t>CR-2552</t>
        </is>
      </c>
      <c r="B2555" s="232" t="inlineStr">
        <is>
          <t>2026/27</t>
        </is>
      </c>
      <c r="C2555" s="233" t="n">
        <v>46091</v>
      </c>
      <c r="D2555" s="232" t="inlineStr">
        <is>
          <t>291926</t>
        </is>
      </c>
      <c r="E2555" s="232" t="inlineStr">
        <is>
          <t>PRORRATEO</t>
        </is>
      </c>
      <c r="F2555" s="232" t="inlineStr">
        <is>
          <t>Santa Catalina</t>
        </is>
      </c>
      <c r="G2555" s="232" t="inlineStr">
        <is>
          <t>mant eureka 2,5 ha</t>
        </is>
      </c>
      <c r="H2555" s="232" t="inlineStr">
        <is>
          <t>Limon</t>
        </is>
      </c>
      <c r="I2555" s="232" t="inlineStr">
        <is>
          <t>Eureka</t>
        </is>
      </c>
      <c r="J2555" s="232" t="inlineStr">
        <is>
          <t>GASTOS GENERALES</t>
        </is>
      </c>
      <c r="K2555" s="232" t="inlineStr">
        <is>
          <t>ARTICULOS DE OFICINA</t>
        </is>
      </c>
      <c r="L2555" s="232" t="inlineStr">
        <is>
          <t>[PRORRATEO 1.7% 2.5há/148.3há] O/001450 LIBRO ASIS</t>
        </is>
      </c>
      <c r="M2555" s="232" t="inlineStr"/>
      <c r="N2555" s="232" t="inlineStr">
        <is>
          <t>.   .   -</t>
        </is>
      </c>
      <c r="O2555" s="232" t="inlineStr">
        <is>
          <t>MARZO</t>
        </is>
      </c>
      <c r="P2555" s="232" t="n">
        <v>10</v>
      </c>
      <c r="Q2555" s="234" t="n">
        <v>218</v>
      </c>
      <c r="R2555" s="232" t="inlineStr"/>
      <c r="S2555" s="234" t="n">
        <v>218</v>
      </c>
      <c r="T2555" s="232" t="inlineStr">
        <is>
          <t>CLP</t>
        </is>
      </c>
      <c r="U2555" s="232" t="inlineStr">
        <is>
          <t>Prorrateo Ha PACKING</t>
        </is>
      </c>
      <c r="V2555" s="232" t="inlineStr">
        <is>
          <t>2026-06-18</t>
        </is>
      </c>
    </row>
    <row r="2556">
      <c r="A2556" s="232" t="inlineStr">
        <is>
          <t>CR-2553</t>
        </is>
      </c>
      <c r="B2556" s="232" t="inlineStr">
        <is>
          <t>2026/27</t>
        </is>
      </c>
      <c r="C2556" s="233" t="n">
        <v>46091</v>
      </c>
      <c r="D2556" s="232" t="inlineStr">
        <is>
          <t>291926</t>
        </is>
      </c>
      <c r="E2556" s="232" t="inlineStr">
        <is>
          <t>PRORRATEO</t>
        </is>
      </c>
      <c r="F2556" s="232" t="inlineStr">
        <is>
          <t>Siberia</t>
        </is>
      </c>
      <c r="G2556" s="232" t="inlineStr">
        <is>
          <t>S. Celebration 7,14</t>
        </is>
      </c>
      <c r="H2556" s="232" t="inlineStr">
        <is>
          <t>Uvas</t>
        </is>
      </c>
      <c r="I2556" s="232" t="inlineStr">
        <is>
          <t>S. celebration</t>
        </is>
      </c>
      <c r="J2556" s="232" t="inlineStr">
        <is>
          <t>GASTOS GENERALES</t>
        </is>
      </c>
      <c r="K2556" s="232" t="inlineStr">
        <is>
          <t>ARTICULOS DE OFICINA</t>
        </is>
      </c>
      <c r="L2556" s="232" t="inlineStr">
        <is>
          <t>[PRORRATEO 4.8% 7.14há/148.3há] O/001450 LIBRO ASIS</t>
        </is>
      </c>
      <c r="M2556" s="232" t="inlineStr"/>
      <c r="N2556" s="232" t="inlineStr">
        <is>
          <t>.   .   -</t>
        </is>
      </c>
      <c r="O2556" s="232" t="inlineStr">
        <is>
          <t>MARZO</t>
        </is>
      </c>
      <c r="P2556" s="232" t="n">
        <v>10</v>
      </c>
      <c r="Q2556" s="234" t="n">
        <v>623</v>
      </c>
      <c r="R2556" s="232" t="inlineStr"/>
      <c r="S2556" s="234" t="n">
        <v>623</v>
      </c>
      <c r="T2556" s="232" t="inlineStr">
        <is>
          <t>CLP</t>
        </is>
      </c>
      <c r="U2556" s="232" t="inlineStr">
        <is>
          <t>Prorrateo Ha PACKING</t>
        </is>
      </c>
      <c r="V2556" s="232" t="inlineStr">
        <is>
          <t>2026-06-18</t>
        </is>
      </c>
    </row>
    <row r="2557">
      <c r="A2557" s="232" t="inlineStr">
        <is>
          <t>CR-2554</t>
        </is>
      </c>
      <c r="B2557" s="232" t="inlineStr">
        <is>
          <t>2026/27</t>
        </is>
      </c>
      <c r="C2557" s="233" t="n">
        <v>46091</v>
      </c>
      <c r="D2557" s="232" t="inlineStr">
        <is>
          <t>291926</t>
        </is>
      </c>
      <c r="E2557" s="232" t="inlineStr">
        <is>
          <t>PRORRATEO</t>
        </is>
      </c>
      <c r="F2557" s="232" t="inlineStr">
        <is>
          <t>Siberia</t>
        </is>
      </c>
      <c r="G2557" s="232" t="inlineStr">
        <is>
          <t>Timpson 7,1</t>
        </is>
      </c>
      <c r="H2557" s="232" t="inlineStr">
        <is>
          <t>Uvas</t>
        </is>
      </c>
      <c r="I2557" s="232" t="inlineStr">
        <is>
          <t>Timpson</t>
        </is>
      </c>
      <c r="J2557" s="232" t="inlineStr">
        <is>
          <t>GASTOS GENERALES</t>
        </is>
      </c>
      <c r="K2557" s="232" t="inlineStr">
        <is>
          <t>ARTICULOS DE OFICINA</t>
        </is>
      </c>
      <c r="L2557" s="232" t="inlineStr">
        <is>
          <t>[PRORRATEO 4.8% 7.1há/148.3há] O/001450 LIBRO ASIS</t>
        </is>
      </c>
      <c r="M2557" s="232" t="inlineStr"/>
      <c r="N2557" s="232" t="inlineStr">
        <is>
          <t>.   .   -</t>
        </is>
      </c>
      <c r="O2557" s="232" t="inlineStr">
        <is>
          <t>MARZO</t>
        </is>
      </c>
      <c r="P2557" s="232" t="n">
        <v>10</v>
      </c>
      <c r="Q2557" s="234" t="n">
        <v>619</v>
      </c>
      <c r="R2557" s="232" t="inlineStr"/>
      <c r="S2557" s="234" t="n">
        <v>619</v>
      </c>
      <c r="T2557" s="232" t="inlineStr">
        <is>
          <t>CLP</t>
        </is>
      </c>
      <c r="U2557" s="232" t="inlineStr">
        <is>
          <t>Prorrateo Ha PACKING</t>
        </is>
      </c>
      <c r="V2557" s="232" t="inlineStr">
        <is>
          <t>2026-06-18</t>
        </is>
      </c>
    </row>
    <row r="2558">
      <c r="A2558" s="232" t="inlineStr">
        <is>
          <t>CR-2555</t>
        </is>
      </c>
      <c r="B2558" s="232" t="inlineStr">
        <is>
          <t>2026/27</t>
        </is>
      </c>
      <c r="C2558" s="233" t="n">
        <v>46091</v>
      </c>
      <c r="D2558" s="232" t="inlineStr">
        <is>
          <t>291926</t>
        </is>
      </c>
      <c r="E2558" s="232" t="inlineStr">
        <is>
          <t>PRORRATEO</t>
        </is>
      </c>
      <c r="F2558" s="232" t="inlineStr">
        <is>
          <t>Asmara</t>
        </is>
      </c>
      <c r="G2558" s="232" t="inlineStr">
        <is>
          <t>w. murcott 19,8 ha</t>
        </is>
      </c>
      <c r="H2558" s="232" t="inlineStr">
        <is>
          <t>Mandarina</t>
        </is>
      </c>
      <c r="I2558" s="232" t="inlineStr">
        <is>
          <t>W. murcott</t>
        </is>
      </c>
      <c r="J2558" s="232" t="inlineStr">
        <is>
          <t>GASTOS GENERALES</t>
        </is>
      </c>
      <c r="K2558" s="232" t="inlineStr">
        <is>
          <t>INSUMOS DE ASEO</t>
        </is>
      </c>
      <c r="L2558" s="232" t="inlineStr">
        <is>
          <t>[PRORRATEO 13.4% 19.8há/148.3há] O/001450 LIMPIADOR</t>
        </is>
      </c>
      <c r="M2558" s="232" t="inlineStr"/>
      <c r="N2558" s="232" t="inlineStr">
        <is>
          <t>.   .   -</t>
        </is>
      </c>
      <c r="O2558" s="232" t="inlineStr">
        <is>
          <t>MARZO</t>
        </is>
      </c>
      <c r="P2558" s="232" t="n">
        <v>10</v>
      </c>
      <c r="Q2558" s="234" t="n">
        <v>6102</v>
      </c>
      <c r="R2558" s="232" t="inlineStr"/>
      <c r="S2558" s="234" t="n">
        <v>6102</v>
      </c>
      <c r="T2558" s="232" t="inlineStr">
        <is>
          <t>CLP</t>
        </is>
      </c>
      <c r="U2558" s="232" t="inlineStr">
        <is>
          <t>Prorrateo Ha PACKING</t>
        </is>
      </c>
      <c r="V2558" s="232" t="inlineStr">
        <is>
          <t>2026-06-18</t>
        </is>
      </c>
    </row>
    <row r="2559">
      <c r="A2559" s="232" t="inlineStr">
        <is>
          <t>CR-2556</t>
        </is>
      </c>
      <c r="B2559" s="232" t="inlineStr">
        <is>
          <t>2026/27</t>
        </is>
      </c>
      <c r="C2559" s="233" t="n">
        <v>46091</v>
      </c>
      <c r="D2559" s="232" t="inlineStr">
        <is>
          <t>291926</t>
        </is>
      </c>
      <c r="E2559" s="232" t="inlineStr">
        <is>
          <t>PRORRATEO</t>
        </is>
      </c>
      <c r="F2559" s="232" t="inlineStr">
        <is>
          <t>Asmara</t>
        </is>
      </c>
      <c r="G2559" s="232" t="inlineStr">
        <is>
          <t>w. murcott 4,9 ha</t>
        </is>
      </c>
      <c r="H2559" s="232" t="inlineStr">
        <is>
          <t>Mandarina</t>
        </is>
      </c>
      <c r="I2559" s="232" t="inlineStr">
        <is>
          <t>W. murcott</t>
        </is>
      </c>
      <c r="J2559" s="232" t="inlineStr">
        <is>
          <t>GASTOS GENERALES</t>
        </is>
      </c>
      <c r="K2559" s="232" t="inlineStr">
        <is>
          <t>INSUMOS DE ASEO</t>
        </is>
      </c>
      <c r="L2559" s="232" t="inlineStr">
        <is>
          <t>[PRORRATEO 3.3% 4.9há/148.3há] O/001450 LIMPIADOR</t>
        </is>
      </c>
      <c r="M2559" s="232" t="inlineStr"/>
      <c r="N2559" s="232" t="inlineStr">
        <is>
          <t>.   .   -</t>
        </is>
      </c>
      <c r="O2559" s="232" t="inlineStr">
        <is>
          <t>MARZO</t>
        </is>
      </c>
      <c r="P2559" s="232" t="n">
        <v>10</v>
      </c>
      <c r="Q2559" s="234" t="n">
        <v>1510</v>
      </c>
      <c r="R2559" s="232" t="inlineStr"/>
      <c r="S2559" s="234" t="n">
        <v>1510</v>
      </c>
      <c r="T2559" s="232" t="inlineStr">
        <is>
          <t>CLP</t>
        </is>
      </c>
      <c r="U2559" s="232" t="inlineStr">
        <is>
          <t>Prorrateo Ha PACKING</t>
        </is>
      </c>
      <c r="V2559" s="232" t="inlineStr">
        <is>
          <t>2026-06-18</t>
        </is>
      </c>
    </row>
    <row r="2560">
      <c r="A2560" s="232" t="inlineStr">
        <is>
          <t>CR-2557</t>
        </is>
      </c>
      <c r="B2560" s="232" t="inlineStr">
        <is>
          <t>2026/27</t>
        </is>
      </c>
      <c r="C2560" s="233" t="n">
        <v>46091</v>
      </c>
      <c r="D2560" s="232" t="inlineStr">
        <is>
          <t>291926</t>
        </is>
      </c>
      <c r="E2560" s="232" t="inlineStr">
        <is>
          <t>PRORRATEO</t>
        </is>
      </c>
      <c r="F2560" s="232" t="inlineStr">
        <is>
          <t>El Molle</t>
        </is>
      </c>
      <c r="G2560" s="232" t="inlineStr">
        <is>
          <t>Wonderful 5,25 ha</t>
        </is>
      </c>
      <c r="H2560" s="232" t="inlineStr">
        <is>
          <t>Granados</t>
        </is>
      </c>
      <c r="I2560" s="232" t="inlineStr">
        <is>
          <t>Wonderfull</t>
        </is>
      </c>
      <c r="J2560" s="232" t="inlineStr">
        <is>
          <t>GASTOS GENERALES</t>
        </is>
      </c>
      <c r="K2560" s="232" t="inlineStr">
        <is>
          <t>INSUMOS DE ASEO</t>
        </is>
      </c>
      <c r="L2560" s="232" t="inlineStr">
        <is>
          <t>[PRORRATEO 3.5% 5.24há/148.3há] O/001450 LIMPIADOR</t>
        </is>
      </c>
      <c r="M2560" s="232" t="inlineStr"/>
      <c r="N2560" s="232" t="inlineStr">
        <is>
          <t>.   .   -</t>
        </is>
      </c>
      <c r="O2560" s="232" t="inlineStr">
        <is>
          <t>MARZO</t>
        </is>
      </c>
      <c r="P2560" s="232" t="n">
        <v>10</v>
      </c>
      <c r="Q2560" s="234" t="n">
        <v>1615</v>
      </c>
      <c r="R2560" s="232" t="inlineStr"/>
      <c r="S2560" s="234" t="n">
        <v>1615</v>
      </c>
      <c r="T2560" s="232" t="inlineStr">
        <is>
          <t>CLP</t>
        </is>
      </c>
      <c r="U2560" s="232" t="inlineStr">
        <is>
          <t>Prorrateo Ha PACKING</t>
        </is>
      </c>
      <c r="V2560" s="232" t="inlineStr">
        <is>
          <t>2026-06-18</t>
        </is>
      </c>
    </row>
    <row r="2561">
      <c r="A2561" s="232" t="inlineStr">
        <is>
          <t>CR-2558</t>
        </is>
      </c>
      <c r="B2561" s="232" t="inlineStr">
        <is>
          <t>2026/27</t>
        </is>
      </c>
      <c r="C2561" s="233" t="n">
        <v>46091</v>
      </c>
      <c r="D2561" s="232" t="inlineStr">
        <is>
          <t>291926</t>
        </is>
      </c>
      <c r="E2561" s="232" t="inlineStr">
        <is>
          <t>PRORRATEO</t>
        </is>
      </c>
      <c r="F2561" s="232" t="inlineStr">
        <is>
          <t>El Molle</t>
        </is>
      </c>
      <c r="G2561" s="232" t="inlineStr">
        <is>
          <t>arrufatinas 5,74 ha</t>
        </is>
      </c>
      <c r="H2561" s="232" t="inlineStr">
        <is>
          <t>Clementinas</t>
        </is>
      </c>
      <c r="I2561" s="232" t="inlineStr">
        <is>
          <t>Arrufatinas</t>
        </is>
      </c>
      <c r="J2561" s="232" t="inlineStr">
        <is>
          <t>GASTOS GENERALES</t>
        </is>
      </c>
      <c r="K2561" s="232" t="inlineStr">
        <is>
          <t>INSUMOS DE ASEO</t>
        </is>
      </c>
      <c r="L2561" s="232" t="inlineStr">
        <is>
          <t>[PRORRATEO 3.9% 5.74há/148.3há] O/001450 LIMPIADOR</t>
        </is>
      </c>
      <c r="M2561" s="232" t="inlineStr"/>
      <c r="N2561" s="232" t="inlineStr">
        <is>
          <t>.   .   -</t>
        </is>
      </c>
      <c r="O2561" s="232" t="inlineStr">
        <is>
          <t>MARZO</t>
        </is>
      </c>
      <c r="P2561" s="232" t="n">
        <v>10</v>
      </c>
      <c r="Q2561" s="234" t="n">
        <v>1769</v>
      </c>
      <c r="R2561" s="232" t="inlineStr"/>
      <c r="S2561" s="234" t="n">
        <v>1769</v>
      </c>
      <c r="T2561" s="232" t="inlineStr">
        <is>
          <t>CLP</t>
        </is>
      </c>
      <c r="U2561" s="232" t="inlineStr">
        <is>
          <t>Prorrateo Ha PACKING</t>
        </is>
      </c>
      <c r="V2561" s="232" t="inlineStr">
        <is>
          <t>2026-06-18</t>
        </is>
      </c>
    </row>
    <row r="2562">
      <c r="A2562" s="232" t="inlineStr">
        <is>
          <t>CR-2559</t>
        </is>
      </c>
      <c r="B2562" s="232" t="inlineStr">
        <is>
          <t>2026/27</t>
        </is>
      </c>
      <c r="C2562" s="233" t="n">
        <v>46091</v>
      </c>
      <c r="D2562" s="232" t="inlineStr">
        <is>
          <t>291926</t>
        </is>
      </c>
      <c r="E2562" s="232" t="inlineStr">
        <is>
          <t>PRORRATEO</t>
        </is>
      </c>
      <c r="F2562" s="232" t="inlineStr">
        <is>
          <t>El Molle</t>
        </is>
      </c>
      <c r="G2562" s="232" t="inlineStr">
        <is>
          <t>orogrande 8,11 ha</t>
        </is>
      </c>
      <c r="H2562" s="232" t="inlineStr">
        <is>
          <t>Clementinas</t>
        </is>
      </c>
      <c r="I2562" s="232" t="inlineStr">
        <is>
          <t>Orogrande</t>
        </is>
      </c>
      <c r="J2562" s="232" t="inlineStr">
        <is>
          <t>GASTOS GENERALES</t>
        </is>
      </c>
      <c r="K2562" s="232" t="inlineStr">
        <is>
          <t>INSUMOS DE ASEO</t>
        </is>
      </c>
      <c r="L2562" s="232" t="inlineStr">
        <is>
          <t>[PRORRATEO 5.5% 8.11há/148.3há] O/001450 LIMPIADOR</t>
        </is>
      </c>
      <c r="M2562" s="232" t="inlineStr"/>
      <c r="N2562" s="232" t="inlineStr">
        <is>
          <t>.   .   -</t>
        </is>
      </c>
      <c r="O2562" s="232" t="inlineStr">
        <is>
          <t>MARZO</t>
        </is>
      </c>
      <c r="P2562" s="232" t="n">
        <v>10</v>
      </c>
      <c r="Q2562" s="234" t="n">
        <v>2499</v>
      </c>
      <c r="R2562" s="232" t="inlineStr"/>
      <c r="S2562" s="234" t="n">
        <v>2499</v>
      </c>
      <c r="T2562" s="232" t="inlineStr">
        <is>
          <t>CLP</t>
        </is>
      </c>
      <c r="U2562" s="232" t="inlineStr">
        <is>
          <t>Prorrateo Ha PACKING</t>
        </is>
      </c>
      <c r="V2562" s="232" t="inlineStr">
        <is>
          <t>2026-06-18</t>
        </is>
      </c>
    </row>
    <row r="2563">
      <c r="A2563" s="232" t="inlineStr">
        <is>
          <t>CR-2560</t>
        </is>
      </c>
      <c r="B2563" s="232" t="inlineStr">
        <is>
          <t>2026/27</t>
        </is>
      </c>
      <c r="C2563" s="233" t="n">
        <v>46091</v>
      </c>
      <c r="D2563" s="232" t="inlineStr">
        <is>
          <t>291926</t>
        </is>
      </c>
      <c r="E2563" s="232" t="inlineStr">
        <is>
          <t>PRORRATEO</t>
        </is>
      </c>
      <c r="F2563" s="232" t="inlineStr">
        <is>
          <t>El Molle</t>
        </is>
      </c>
      <c r="G2563" s="232" t="inlineStr">
        <is>
          <t>oronules 5,35 ha</t>
        </is>
      </c>
      <c r="H2563" s="232" t="inlineStr">
        <is>
          <t>Clementinas</t>
        </is>
      </c>
      <c r="I2563" s="232" t="inlineStr">
        <is>
          <t>Oronules</t>
        </is>
      </c>
      <c r="J2563" s="232" t="inlineStr">
        <is>
          <t>GASTOS GENERALES</t>
        </is>
      </c>
      <c r="K2563" s="232" t="inlineStr">
        <is>
          <t>INSUMOS DE ASEO</t>
        </is>
      </c>
      <c r="L2563" s="232" t="inlineStr">
        <is>
          <t>[PRORRATEO 3.6% 5.35há/148.3há] O/001450 LIMPIADOR</t>
        </is>
      </c>
      <c r="M2563" s="232" t="inlineStr"/>
      <c r="N2563" s="232" t="inlineStr">
        <is>
          <t>.   .   -</t>
        </is>
      </c>
      <c r="O2563" s="232" t="inlineStr">
        <is>
          <t>MARZO</t>
        </is>
      </c>
      <c r="P2563" s="232" t="n">
        <v>10</v>
      </c>
      <c r="Q2563" s="234" t="n">
        <v>1649</v>
      </c>
      <c r="R2563" s="232" t="inlineStr"/>
      <c r="S2563" s="234" t="n">
        <v>1649</v>
      </c>
      <c r="T2563" s="232" t="inlineStr">
        <is>
          <t>CLP</t>
        </is>
      </c>
      <c r="U2563" s="232" t="inlineStr">
        <is>
          <t>Prorrateo Ha PACKING</t>
        </is>
      </c>
      <c r="V2563" s="232" t="inlineStr">
        <is>
          <t>2026-06-18</t>
        </is>
      </c>
    </row>
    <row r="2564">
      <c r="A2564" s="232" t="inlineStr">
        <is>
          <t>CR-2561</t>
        </is>
      </c>
      <c r="B2564" s="232" t="inlineStr">
        <is>
          <t>2026/27</t>
        </is>
      </c>
      <c r="C2564" s="233" t="n">
        <v>46091</v>
      </c>
      <c r="D2564" s="232" t="inlineStr">
        <is>
          <t>291926</t>
        </is>
      </c>
      <c r="E2564" s="232" t="inlineStr">
        <is>
          <t>PRORRATEO</t>
        </is>
      </c>
      <c r="F2564" s="232" t="inlineStr">
        <is>
          <t>Santa Catalina</t>
        </is>
      </c>
      <c r="G2564" s="232" t="inlineStr">
        <is>
          <t>Fino 49 7,7 ha</t>
        </is>
      </c>
      <c r="H2564" s="232" t="inlineStr">
        <is>
          <t>Limon</t>
        </is>
      </c>
      <c r="I2564" s="232" t="inlineStr">
        <is>
          <t>Fino 49</t>
        </is>
      </c>
      <c r="J2564" s="232" t="inlineStr">
        <is>
          <t>GASTOS GENERALES</t>
        </is>
      </c>
      <c r="K2564" s="232" t="inlineStr">
        <is>
          <t>INSUMOS DE ASEO</t>
        </is>
      </c>
      <c r="L2564" s="232" t="inlineStr">
        <is>
          <t>[PRORRATEO 5.2% 7.7há/148.3há] O/001450 LIMPIADOR</t>
        </is>
      </c>
      <c r="M2564" s="232" t="inlineStr"/>
      <c r="N2564" s="232" t="inlineStr">
        <is>
          <t>.   .   -</t>
        </is>
      </c>
      <c r="O2564" s="232" t="inlineStr">
        <is>
          <t>MARZO</t>
        </is>
      </c>
      <c r="P2564" s="232" t="n">
        <v>10</v>
      </c>
      <c r="Q2564" s="234" t="n">
        <v>2373</v>
      </c>
      <c r="R2564" s="232" t="inlineStr"/>
      <c r="S2564" s="234" t="n">
        <v>2373</v>
      </c>
      <c r="T2564" s="232" t="inlineStr">
        <is>
          <t>CLP</t>
        </is>
      </c>
      <c r="U2564" s="232" t="inlineStr">
        <is>
          <t>Prorrateo Ha PACKING</t>
        </is>
      </c>
      <c r="V2564" s="232" t="inlineStr">
        <is>
          <t>2026-06-18</t>
        </is>
      </c>
    </row>
    <row r="2565">
      <c r="A2565" s="232" t="inlineStr">
        <is>
          <t>CR-2562</t>
        </is>
      </c>
      <c r="B2565" s="232" t="inlineStr">
        <is>
          <t>2026/27</t>
        </is>
      </c>
      <c r="C2565" s="233" t="n">
        <v>46091</v>
      </c>
      <c r="D2565" s="232" t="inlineStr">
        <is>
          <t>291926</t>
        </is>
      </c>
      <c r="E2565" s="232" t="inlineStr">
        <is>
          <t>PRORRATEO</t>
        </is>
      </c>
      <c r="F2565" s="232" t="inlineStr">
        <is>
          <t>Santa Catalina</t>
        </is>
      </c>
      <c r="G2565" s="232" t="inlineStr">
        <is>
          <t>W. murcott 21 ha</t>
        </is>
      </c>
      <c r="H2565" s="232" t="inlineStr">
        <is>
          <t>Mandarina</t>
        </is>
      </c>
      <c r="I2565" s="232" t="inlineStr">
        <is>
          <t>W. murcott</t>
        </is>
      </c>
      <c r="J2565" s="232" t="inlineStr">
        <is>
          <t>GASTOS GENERALES</t>
        </is>
      </c>
      <c r="K2565" s="232" t="inlineStr">
        <is>
          <t>INSUMOS DE ASEO</t>
        </is>
      </c>
      <c r="L2565" s="232" t="inlineStr">
        <is>
          <t>[PRORRATEO 14.2% 21.0há/148.3há] O/001450 LIMPIADOR</t>
        </is>
      </c>
      <c r="M2565" s="232" t="inlineStr"/>
      <c r="N2565" s="232" t="inlineStr">
        <is>
          <t>.   .   -</t>
        </is>
      </c>
      <c r="O2565" s="232" t="inlineStr">
        <is>
          <t>MARZO</t>
        </is>
      </c>
      <c r="P2565" s="232" t="n">
        <v>10</v>
      </c>
      <c r="Q2565" s="234" t="n">
        <v>6472</v>
      </c>
      <c r="R2565" s="232" t="inlineStr"/>
      <c r="S2565" s="234" t="n">
        <v>6472</v>
      </c>
      <c r="T2565" s="232" t="inlineStr">
        <is>
          <t>CLP</t>
        </is>
      </c>
      <c r="U2565" s="232" t="inlineStr">
        <is>
          <t>Prorrateo Ha PACKING</t>
        </is>
      </c>
      <c r="V2565" s="232" t="inlineStr">
        <is>
          <t>2026-06-18</t>
        </is>
      </c>
    </row>
    <row r="2566">
      <c r="A2566" s="232" t="inlineStr">
        <is>
          <t>CR-2563</t>
        </is>
      </c>
      <c r="B2566" s="232" t="inlineStr">
        <is>
          <t>2026/27</t>
        </is>
      </c>
      <c r="C2566" s="233" t="n">
        <v>46091</v>
      </c>
      <c r="D2566" s="232" t="inlineStr">
        <is>
          <t>291926</t>
        </is>
      </c>
      <c r="E2566" s="232" t="inlineStr">
        <is>
          <t>PRORRATEO</t>
        </is>
      </c>
      <c r="F2566" s="232" t="inlineStr">
        <is>
          <t>Santa Catalina</t>
        </is>
      </c>
      <c r="G2566" s="232" t="inlineStr">
        <is>
          <t>cambria 4,2 ha</t>
        </is>
      </c>
      <c r="H2566" s="232" t="inlineStr">
        <is>
          <t>Naranjas</t>
        </is>
      </c>
      <c r="I2566" s="232" t="inlineStr">
        <is>
          <t>Cambria</t>
        </is>
      </c>
      <c r="J2566" s="232" t="inlineStr">
        <is>
          <t>GASTOS GENERALES</t>
        </is>
      </c>
      <c r="K2566" s="232" t="inlineStr">
        <is>
          <t>INSUMOS DE ASEO</t>
        </is>
      </c>
      <c r="L2566" s="232" t="inlineStr">
        <is>
          <t>[PRORRATEO 2.8% 4.2há/148.3há] O/001450 LIMPIADOR</t>
        </is>
      </c>
      <c r="M2566" s="232" t="inlineStr"/>
      <c r="N2566" s="232" t="inlineStr">
        <is>
          <t>.   .   -</t>
        </is>
      </c>
      <c r="O2566" s="232" t="inlineStr">
        <is>
          <t>MARZO</t>
        </is>
      </c>
      <c r="P2566" s="232" t="n">
        <v>10</v>
      </c>
      <c r="Q2566" s="234" t="n">
        <v>1294</v>
      </c>
      <c r="R2566" s="232" t="inlineStr"/>
      <c r="S2566" s="234" t="n">
        <v>1294</v>
      </c>
      <c r="T2566" s="232" t="inlineStr">
        <is>
          <t>CLP</t>
        </is>
      </c>
      <c r="U2566" s="232" t="inlineStr">
        <is>
          <t>Prorrateo Ha PACKING</t>
        </is>
      </c>
      <c r="V2566" s="232" t="inlineStr">
        <is>
          <t>2026-06-18</t>
        </is>
      </c>
    </row>
    <row r="2567">
      <c r="A2567" s="232" t="inlineStr">
        <is>
          <t>CR-2564</t>
        </is>
      </c>
      <c r="B2567" s="232" t="inlineStr">
        <is>
          <t>2026/27</t>
        </is>
      </c>
      <c r="C2567" s="233" t="n">
        <v>46091</v>
      </c>
      <c r="D2567" s="232" t="inlineStr">
        <is>
          <t>291926</t>
        </is>
      </c>
      <c r="E2567" s="232" t="inlineStr">
        <is>
          <t>PRORRATEO</t>
        </is>
      </c>
      <c r="F2567" s="232" t="inlineStr">
        <is>
          <t>Santa Catalina</t>
        </is>
      </c>
      <c r="G2567" s="232" t="inlineStr">
        <is>
          <t>eureka 10,6 ha</t>
        </is>
      </c>
      <c r="H2567" s="232" t="inlineStr">
        <is>
          <t>Limon</t>
        </is>
      </c>
      <c r="I2567" s="232" t="inlineStr">
        <is>
          <t>Eureka</t>
        </is>
      </c>
      <c r="J2567" s="232" t="inlineStr">
        <is>
          <t>GASTOS GENERALES</t>
        </is>
      </c>
      <c r="K2567" s="232" t="inlineStr">
        <is>
          <t>INSUMOS DE ASEO</t>
        </is>
      </c>
      <c r="L2567" s="232" t="inlineStr">
        <is>
          <t>[PRORRATEO 7.1% 10.6há/148.3há] O/001450 LIMPIADOR</t>
        </is>
      </c>
      <c r="M2567" s="232" t="inlineStr"/>
      <c r="N2567" s="232" t="inlineStr">
        <is>
          <t>.   .   -</t>
        </is>
      </c>
      <c r="O2567" s="232" t="inlineStr">
        <is>
          <t>MARZO</t>
        </is>
      </c>
      <c r="P2567" s="232" t="n">
        <v>10</v>
      </c>
      <c r="Q2567" s="234" t="n">
        <v>3267</v>
      </c>
      <c r="R2567" s="232" t="inlineStr"/>
      <c r="S2567" s="234" t="n">
        <v>3267</v>
      </c>
      <c r="T2567" s="232" t="inlineStr">
        <is>
          <t>CLP</t>
        </is>
      </c>
      <c r="U2567" s="232" t="inlineStr">
        <is>
          <t>Prorrateo Ha PACKING</t>
        </is>
      </c>
      <c r="V2567" s="232" t="inlineStr">
        <is>
          <t>2026-06-18</t>
        </is>
      </c>
    </row>
    <row r="2568">
      <c r="A2568" s="232" t="inlineStr">
        <is>
          <t>CR-2565</t>
        </is>
      </c>
      <c r="B2568" s="232" t="inlineStr">
        <is>
          <t>2026/27</t>
        </is>
      </c>
      <c r="C2568" s="233" t="n">
        <v>46091</v>
      </c>
      <c r="D2568" s="232" t="inlineStr">
        <is>
          <t>291926</t>
        </is>
      </c>
      <c r="E2568" s="232" t="inlineStr">
        <is>
          <t>PRORRATEO</t>
        </is>
      </c>
      <c r="F2568" s="232" t="inlineStr">
        <is>
          <t>Santa Catalina</t>
        </is>
      </c>
      <c r="G2568" s="232" t="inlineStr">
        <is>
          <t>eureka 14,4 ha</t>
        </is>
      </c>
      <c r="H2568" s="232" t="inlineStr">
        <is>
          <t>Limon</t>
        </is>
      </c>
      <c r="I2568" s="232" t="inlineStr">
        <is>
          <t>Eureka</t>
        </is>
      </c>
      <c r="J2568" s="232" t="inlineStr">
        <is>
          <t>GASTOS GENERALES</t>
        </is>
      </c>
      <c r="K2568" s="232" t="inlineStr">
        <is>
          <t>INSUMOS DE ASEO</t>
        </is>
      </c>
      <c r="L2568" s="232" t="inlineStr">
        <is>
          <t>[PRORRATEO 9.7% 14.4há/148.3há] O/001450 LIMPIADOR</t>
        </is>
      </c>
      <c r="M2568" s="232" t="inlineStr"/>
      <c r="N2568" s="232" t="inlineStr">
        <is>
          <t>.   .   -</t>
        </is>
      </c>
      <c r="O2568" s="232" t="inlineStr">
        <is>
          <t>MARZO</t>
        </is>
      </c>
      <c r="P2568" s="232" t="n">
        <v>10</v>
      </c>
      <c r="Q2568" s="234" t="n">
        <v>4438</v>
      </c>
      <c r="R2568" s="232" t="inlineStr"/>
      <c r="S2568" s="234" t="n">
        <v>4438</v>
      </c>
      <c r="T2568" s="232" t="inlineStr">
        <is>
          <t>CLP</t>
        </is>
      </c>
      <c r="U2568" s="232" t="inlineStr">
        <is>
          <t>Prorrateo Ha PACKING</t>
        </is>
      </c>
      <c r="V2568" s="232" t="inlineStr">
        <is>
          <t>2026-06-18</t>
        </is>
      </c>
    </row>
    <row r="2569">
      <c r="A2569" s="232" t="inlineStr">
        <is>
          <t>CR-2566</t>
        </is>
      </c>
      <c r="B2569" s="232" t="inlineStr">
        <is>
          <t>2026/27</t>
        </is>
      </c>
      <c r="C2569" s="233" t="n">
        <v>46091</v>
      </c>
      <c r="D2569" s="232" t="inlineStr">
        <is>
          <t>291926</t>
        </is>
      </c>
      <c r="E2569" s="232" t="inlineStr">
        <is>
          <t>PRORRATEO</t>
        </is>
      </c>
      <c r="F2569" s="232" t="inlineStr">
        <is>
          <t>Santa Catalina</t>
        </is>
      </c>
      <c r="G2569" s="232" t="inlineStr">
        <is>
          <t>eureka 22,55</t>
        </is>
      </c>
      <c r="H2569" s="232" t="inlineStr">
        <is>
          <t>Limon</t>
        </is>
      </c>
      <c r="I2569" s="232" t="inlineStr">
        <is>
          <t>Eureka</t>
        </is>
      </c>
      <c r="J2569" s="232" t="inlineStr">
        <is>
          <t>GASTOS GENERALES</t>
        </is>
      </c>
      <c r="K2569" s="232" t="inlineStr">
        <is>
          <t>INSUMOS DE ASEO</t>
        </is>
      </c>
      <c r="L2569" s="232" t="inlineStr">
        <is>
          <t>[PRORRATEO 15.2% 22.55há/148.3há] O/001450 LIMPIADOR</t>
        </is>
      </c>
      <c r="M2569" s="232" t="inlineStr"/>
      <c r="N2569" s="232" t="inlineStr">
        <is>
          <t>.   .   -</t>
        </is>
      </c>
      <c r="O2569" s="232" t="inlineStr">
        <is>
          <t>MARZO</t>
        </is>
      </c>
      <c r="P2569" s="232" t="n">
        <v>10</v>
      </c>
      <c r="Q2569" s="234" t="n">
        <v>6950</v>
      </c>
      <c r="R2569" s="232" t="inlineStr"/>
      <c r="S2569" s="234" t="n">
        <v>6950</v>
      </c>
      <c r="T2569" s="232" t="inlineStr">
        <is>
          <t>CLP</t>
        </is>
      </c>
      <c r="U2569" s="232" t="inlineStr">
        <is>
          <t>Prorrateo Ha PACKING</t>
        </is>
      </c>
      <c r="V2569" s="232" t="inlineStr">
        <is>
          <t>2026-06-18</t>
        </is>
      </c>
    </row>
    <row r="2570">
      <c r="A2570" s="232" t="inlineStr">
        <is>
          <t>CR-2567</t>
        </is>
      </c>
      <c r="B2570" s="232" t="inlineStr">
        <is>
          <t>2026/27</t>
        </is>
      </c>
      <c r="C2570" s="233" t="n">
        <v>46091</v>
      </c>
      <c r="D2570" s="232" t="inlineStr">
        <is>
          <t>291926</t>
        </is>
      </c>
      <c r="E2570" s="232" t="inlineStr">
        <is>
          <t>PRORRATEO</t>
        </is>
      </c>
      <c r="F2570" s="232" t="inlineStr">
        <is>
          <t>Santa Catalina</t>
        </is>
      </c>
      <c r="G2570" s="232" t="inlineStr">
        <is>
          <t>form benjamin 1,93 ha</t>
        </is>
      </c>
      <c r="H2570" s="232" t="inlineStr">
        <is>
          <t>Limon</t>
        </is>
      </c>
      <c r="I2570" s="232" t="inlineStr">
        <is>
          <t>Benjamin andes</t>
        </is>
      </c>
      <c r="J2570" s="232" t="inlineStr">
        <is>
          <t>GASTOS GENERALES</t>
        </is>
      </c>
      <c r="K2570" s="232" t="inlineStr">
        <is>
          <t>INSUMOS DE ASEO</t>
        </is>
      </c>
      <c r="L2570" s="232" t="inlineStr">
        <is>
          <t>[PRORRATEO 1.3% 1.93há/148.3há] O/001450 LIMPIADOR</t>
        </is>
      </c>
      <c r="M2570" s="232" t="inlineStr"/>
      <c r="N2570" s="232" t="inlineStr">
        <is>
          <t>.   .   -</t>
        </is>
      </c>
      <c r="O2570" s="232" t="inlineStr">
        <is>
          <t>MARZO</t>
        </is>
      </c>
      <c r="P2570" s="232" t="n">
        <v>10</v>
      </c>
      <c r="Q2570" s="234" t="n">
        <v>595</v>
      </c>
      <c r="R2570" s="232" t="inlineStr"/>
      <c r="S2570" s="234" t="n">
        <v>595</v>
      </c>
      <c r="T2570" s="232" t="inlineStr">
        <is>
          <t>CLP</t>
        </is>
      </c>
      <c r="U2570" s="232" t="inlineStr">
        <is>
          <t>Prorrateo Ha PACKING</t>
        </is>
      </c>
      <c r="V2570" s="232" t="inlineStr">
        <is>
          <t>2026-06-18</t>
        </is>
      </c>
    </row>
    <row r="2571">
      <c r="A2571" s="232" t="inlineStr">
        <is>
          <t>CR-2568</t>
        </is>
      </c>
      <c r="B2571" s="232" t="inlineStr">
        <is>
          <t>2026/27</t>
        </is>
      </c>
      <c r="C2571" s="233" t="n">
        <v>46091</v>
      </c>
      <c r="D2571" s="232" t="inlineStr">
        <is>
          <t>291926</t>
        </is>
      </c>
      <c r="E2571" s="232" t="inlineStr">
        <is>
          <t>PRORRATEO</t>
        </is>
      </c>
      <c r="F2571" s="232" t="inlineStr">
        <is>
          <t>Santa Catalina</t>
        </is>
      </c>
      <c r="G2571" s="232" t="inlineStr">
        <is>
          <t>mant eureka 2,5 ha</t>
        </is>
      </c>
      <c r="H2571" s="232" t="inlineStr">
        <is>
          <t>Limon</t>
        </is>
      </c>
      <c r="I2571" s="232" t="inlineStr">
        <is>
          <t>Eureka</t>
        </is>
      </c>
      <c r="J2571" s="232" t="inlineStr">
        <is>
          <t>GASTOS GENERALES</t>
        </is>
      </c>
      <c r="K2571" s="232" t="inlineStr">
        <is>
          <t>INSUMOS DE ASEO</t>
        </is>
      </c>
      <c r="L2571" s="232" t="inlineStr">
        <is>
          <t>[PRORRATEO 1.7% 2.5há/148.3há] O/001450 LIMPIADOR</t>
        </is>
      </c>
      <c r="M2571" s="232" t="inlineStr"/>
      <c r="N2571" s="232" t="inlineStr">
        <is>
          <t>.   .   -</t>
        </is>
      </c>
      <c r="O2571" s="232" t="inlineStr">
        <is>
          <t>MARZO</t>
        </is>
      </c>
      <c r="P2571" s="232" t="n">
        <v>10</v>
      </c>
      <c r="Q2571" s="234" t="n">
        <v>770</v>
      </c>
      <c r="R2571" s="232" t="inlineStr"/>
      <c r="S2571" s="234" t="n">
        <v>770</v>
      </c>
      <c r="T2571" s="232" t="inlineStr">
        <is>
          <t>CLP</t>
        </is>
      </c>
      <c r="U2571" s="232" t="inlineStr">
        <is>
          <t>Prorrateo Ha PACKING</t>
        </is>
      </c>
      <c r="V2571" s="232" t="inlineStr">
        <is>
          <t>2026-06-18</t>
        </is>
      </c>
    </row>
    <row r="2572">
      <c r="A2572" s="232" t="inlineStr">
        <is>
          <t>CR-2569</t>
        </is>
      </c>
      <c r="B2572" s="232" t="inlineStr">
        <is>
          <t>2026/27</t>
        </is>
      </c>
      <c r="C2572" s="233" t="n">
        <v>46091</v>
      </c>
      <c r="D2572" s="232" t="inlineStr">
        <is>
          <t>291926</t>
        </is>
      </c>
      <c r="E2572" s="232" t="inlineStr">
        <is>
          <t>PRORRATEO</t>
        </is>
      </c>
      <c r="F2572" s="232" t="inlineStr">
        <is>
          <t>Siberia</t>
        </is>
      </c>
      <c r="G2572" s="232" t="inlineStr">
        <is>
          <t>S. Celebration 7,14</t>
        </is>
      </c>
      <c r="H2572" s="232" t="inlineStr">
        <is>
          <t>Uvas</t>
        </is>
      </c>
      <c r="I2572" s="232" t="inlineStr">
        <is>
          <t>S. celebration</t>
        </is>
      </c>
      <c r="J2572" s="232" t="inlineStr">
        <is>
          <t>GASTOS GENERALES</t>
        </is>
      </c>
      <c r="K2572" s="232" t="inlineStr">
        <is>
          <t>INSUMOS DE ASEO</t>
        </is>
      </c>
      <c r="L2572" s="232" t="inlineStr">
        <is>
          <t>[PRORRATEO 4.8% 7.14há/148.3há] O/001450 LIMPIADOR</t>
        </is>
      </c>
      <c r="M2572" s="232" t="inlineStr"/>
      <c r="N2572" s="232" t="inlineStr">
        <is>
          <t>.   .   -</t>
        </is>
      </c>
      <c r="O2572" s="232" t="inlineStr">
        <is>
          <t>MARZO</t>
        </is>
      </c>
      <c r="P2572" s="232" t="n">
        <v>10</v>
      </c>
      <c r="Q2572" s="234" t="n">
        <v>2201</v>
      </c>
      <c r="R2572" s="232" t="inlineStr"/>
      <c r="S2572" s="234" t="n">
        <v>2201</v>
      </c>
      <c r="T2572" s="232" t="inlineStr">
        <is>
          <t>CLP</t>
        </is>
      </c>
      <c r="U2572" s="232" t="inlineStr">
        <is>
          <t>Prorrateo Ha PACKING</t>
        </is>
      </c>
      <c r="V2572" s="232" t="inlineStr">
        <is>
          <t>2026-06-18</t>
        </is>
      </c>
    </row>
    <row r="2573">
      <c r="A2573" s="232" t="inlineStr">
        <is>
          <t>CR-2570</t>
        </is>
      </c>
      <c r="B2573" s="232" t="inlineStr">
        <is>
          <t>2026/27</t>
        </is>
      </c>
      <c r="C2573" s="233" t="n">
        <v>46091</v>
      </c>
      <c r="D2573" s="232" t="inlineStr">
        <is>
          <t>291926</t>
        </is>
      </c>
      <c r="E2573" s="232" t="inlineStr">
        <is>
          <t>PRORRATEO</t>
        </is>
      </c>
      <c r="F2573" s="232" t="inlineStr">
        <is>
          <t>Siberia</t>
        </is>
      </c>
      <c r="G2573" s="232" t="inlineStr">
        <is>
          <t>Timpson 7,1</t>
        </is>
      </c>
      <c r="H2573" s="232" t="inlineStr">
        <is>
          <t>Uvas</t>
        </is>
      </c>
      <c r="I2573" s="232" t="inlineStr">
        <is>
          <t>Timpson</t>
        </is>
      </c>
      <c r="J2573" s="232" t="inlineStr">
        <is>
          <t>GASTOS GENERALES</t>
        </is>
      </c>
      <c r="K2573" s="232" t="inlineStr">
        <is>
          <t>INSUMOS DE ASEO</t>
        </is>
      </c>
      <c r="L2573" s="232" t="inlineStr">
        <is>
          <t>[PRORRATEO 4.8% 7.1há/148.3há] O/001450 LIMPIADOR</t>
        </is>
      </c>
      <c r="M2573" s="232" t="inlineStr"/>
      <c r="N2573" s="232" t="inlineStr">
        <is>
          <t>.   .   -</t>
        </is>
      </c>
      <c r="O2573" s="232" t="inlineStr">
        <is>
          <t>MARZO</t>
        </is>
      </c>
      <c r="P2573" s="232" t="n">
        <v>10</v>
      </c>
      <c r="Q2573" s="234" t="n">
        <v>2188</v>
      </c>
      <c r="R2573" s="232" t="inlineStr"/>
      <c r="S2573" s="234" t="n">
        <v>2188</v>
      </c>
      <c r="T2573" s="232" t="inlineStr">
        <is>
          <t>CLP</t>
        </is>
      </c>
      <c r="U2573" s="232" t="inlineStr">
        <is>
          <t>Prorrateo Ha PACKING</t>
        </is>
      </c>
      <c r="V2573" s="232" t="inlineStr">
        <is>
          <t>2026-06-18</t>
        </is>
      </c>
    </row>
    <row r="2574">
      <c r="A2574" s="232" t="inlineStr">
        <is>
          <t>CR-2571</t>
        </is>
      </c>
      <c r="B2574" s="232" t="inlineStr">
        <is>
          <t>2026/27</t>
        </is>
      </c>
      <c r="C2574" s="233" t="n">
        <v>46091</v>
      </c>
      <c r="D2574" s="232" t="inlineStr">
        <is>
          <t>291926</t>
        </is>
      </c>
      <c r="E2574" s="232" t="inlineStr">
        <is>
          <t>PRORRATEO</t>
        </is>
      </c>
      <c r="F2574" s="232" t="inlineStr">
        <is>
          <t>Asmara</t>
        </is>
      </c>
      <c r="G2574" s="232" t="inlineStr">
        <is>
          <t>w. murcott 19,8 ha</t>
        </is>
      </c>
      <c r="H2574" s="232" t="inlineStr">
        <is>
          <t>Mandarina</t>
        </is>
      </c>
      <c r="I2574" s="232" t="inlineStr">
        <is>
          <t>W. murcott</t>
        </is>
      </c>
      <c r="J2574" s="232" t="inlineStr">
        <is>
          <t>GASTOS GENERALES</t>
        </is>
      </c>
      <c r="K2574" s="232" t="inlineStr">
        <is>
          <t>ARTICULOS DE OFICINA</t>
        </is>
      </c>
      <c r="L2574" s="232" t="inlineStr">
        <is>
          <t>[PRORRATEO 13.4% 19.8há/148.3há] O/001450 PAPEL FOTO</t>
        </is>
      </c>
      <c r="M2574" s="232" t="inlineStr"/>
      <c r="N2574" s="232" t="inlineStr">
        <is>
          <t>.   .   -</t>
        </is>
      </c>
      <c r="O2574" s="232" t="inlineStr">
        <is>
          <t>MARZO</t>
        </is>
      </c>
      <c r="P2574" s="232" t="n">
        <v>10</v>
      </c>
      <c r="Q2574" s="234" t="n">
        <v>7591</v>
      </c>
      <c r="R2574" s="232" t="inlineStr"/>
      <c r="S2574" s="234" t="n">
        <v>7591</v>
      </c>
      <c r="T2574" s="232" t="inlineStr">
        <is>
          <t>CLP</t>
        </is>
      </c>
      <c r="U2574" s="232" t="inlineStr">
        <is>
          <t>Prorrateo Ha PACKING</t>
        </is>
      </c>
      <c r="V2574" s="232" t="inlineStr">
        <is>
          <t>2026-06-18</t>
        </is>
      </c>
    </row>
    <row r="2575">
      <c r="A2575" s="232" t="inlineStr">
        <is>
          <t>CR-2572</t>
        </is>
      </c>
      <c r="B2575" s="232" t="inlineStr">
        <is>
          <t>2026/27</t>
        </is>
      </c>
      <c r="C2575" s="233" t="n">
        <v>46091</v>
      </c>
      <c r="D2575" s="232" t="inlineStr">
        <is>
          <t>291926</t>
        </is>
      </c>
      <c r="E2575" s="232" t="inlineStr">
        <is>
          <t>PRORRATEO</t>
        </is>
      </c>
      <c r="F2575" s="232" t="inlineStr">
        <is>
          <t>Asmara</t>
        </is>
      </c>
      <c r="G2575" s="232" t="inlineStr">
        <is>
          <t>w. murcott 4,9 ha</t>
        </is>
      </c>
      <c r="H2575" s="232" t="inlineStr">
        <is>
          <t>Mandarina</t>
        </is>
      </c>
      <c r="I2575" s="232" t="inlineStr">
        <is>
          <t>W. murcott</t>
        </is>
      </c>
      <c r="J2575" s="232" t="inlineStr">
        <is>
          <t>GASTOS GENERALES</t>
        </is>
      </c>
      <c r="K2575" s="232" t="inlineStr">
        <is>
          <t>ARTICULOS DE OFICINA</t>
        </is>
      </c>
      <c r="L2575" s="232" t="inlineStr">
        <is>
          <t>[PRORRATEO 3.3% 4.9há/148.3há] O/001450 PAPEL FOTO</t>
        </is>
      </c>
      <c r="M2575" s="232" t="inlineStr"/>
      <c r="N2575" s="232" t="inlineStr">
        <is>
          <t>.   .   -</t>
        </is>
      </c>
      <c r="O2575" s="232" t="inlineStr">
        <is>
          <t>MARZO</t>
        </is>
      </c>
      <c r="P2575" s="232" t="n">
        <v>10</v>
      </c>
      <c r="Q2575" s="234" t="n">
        <v>1879</v>
      </c>
      <c r="R2575" s="232" t="inlineStr"/>
      <c r="S2575" s="234" t="n">
        <v>1879</v>
      </c>
      <c r="T2575" s="232" t="inlineStr">
        <is>
          <t>CLP</t>
        </is>
      </c>
      <c r="U2575" s="232" t="inlineStr">
        <is>
          <t>Prorrateo Ha PACKING</t>
        </is>
      </c>
      <c r="V2575" s="232" t="inlineStr">
        <is>
          <t>2026-06-18</t>
        </is>
      </c>
    </row>
    <row r="2576">
      <c r="A2576" s="232" t="inlineStr">
        <is>
          <t>CR-2573</t>
        </is>
      </c>
      <c r="B2576" s="232" t="inlineStr">
        <is>
          <t>2026/27</t>
        </is>
      </c>
      <c r="C2576" s="233" t="n">
        <v>46091</v>
      </c>
      <c r="D2576" s="232" t="inlineStr">
        <is>
          <t>291926</t>
        </is>
      </c>
      <c r="E2576" s="232" t="inlineStr">
        <is>
          <t>PRORRATEO</t>
        </is>
      </c>
      <c r="F2576" s="232" t="inlineStr">
        <is>
          <t>El Molle</t>
        </is>
      </c>
      <c r="G2576" s="232" t="inlineStr">
        <is>
          <t>Wonderful 5,25 ha</t>
        </is>
      </c>
      <c r="H2576" s="232" t="inlineStr">
        <is>
          <t>Granados</t>
        </is>
      </c>
      <c r="I2576" s="232" t="inlineStr">
        <is>
          <t>Wonderfull</t>
        </is>
      </c>
      <c r="J2576" s="232" t="inlineStr">
        <is>
          <t>GASTOS GENERALES</t>
        </is>
      </c>
      <c r="K2576" s="232" t="inlineStr">
        <is>
          <t>ARTICULOS DE OFICINA</t>
        </is>
      </c>
      <c r="L2576" s="232" t="inlineStr">
        <is>
          <t>[PRORRATEO 3.5% 5.24há/148.3há] O/001450 PAPEL FOTO</t>
        </is>
      </c>
      <c r="M2576" s="232" t="inlineStr"/>
      <c r="N2576" s="232" t="inlineStr">
        <is>
          <t>.   .   -</t>
        </is>
      </c>
      <c r="O2576" s="232" t="inlineStr">
        <is>
          <t>MARZO</t>
        </is>
      </c>
      <c r="P2576" s="232" t="n">
        <v>10</v>
      </c>
      <c r="Q2576" s="234" t="n">
        <v>2009</v>
      </c>
      <c r="R2576" s="232" t="inlineStr"/>
      <c r="S2576" s="234" t="n">
        <v>2009</v>
      </c>
      <c r="T2576" s="232" t="inlineStr">
        <is>
          <t>CLP</t>
        </is>
      </c>
      <c r="U2576" s="232" t="inlineStr">
        <is>
          <t>Prorrateo Ha PACKING</t>
        </is>
      </c>
      <c r="V2576" s="232" t="inlineStr">
        <is>
          <t>2026-06-18</t>
        </is>
      </c>
    </row>
    <row r="2577">
      <c r="A2577" s="232" t="inlineStr">
        <is>
          <t>CR-2574</t>
        </is>
      </c>
      <c r="B2577" s="232" t="inlineStr">
        <is>
          <t>2026/27</t>
        </is>
      </c>
      <c r="C2577" s="233" t="n">
        <v>46091</v>
      </c>
      <c r="D2577" s="232" t="inlineStr">
        <is>
          <t>291926</t>
        </is>
      </c>
      <c r="E2577" s="232" t="inlineStr">
        <is>
          <t>PRORRATEO</t>
        </is>
      </c>
      <c r="F2577" s="232" t="inlineStr">
        <is>
          <t>El Molle</t>
        </is>
      </c>
      <c r="G2577" s="232" t="inlineStr">
        <is>
          <t>arrufatinas 5,74 ha</t>
        </is>
      </c>
      <c r="H2577" s="232" t="inlineStr">
        <is>
          <t>Clementinas</t>
        </is>
      </c>
      <c r="I2577" s="232" t="inlineStr">
        <is>
          <t>Arrufatinas</t>
        </is>
      </c>
      <c r="J2577" s="232" t="inlineStr">
        <is>
          <t>GASTOS GENERALES</t>
        </is>
      </c>
      <c r="K2577" s="232" t="inlineStr">
        <is>
          <t>ARTICULOS DE OFICINA</t>
        </is>
      </c>
      <c r="L2577" s="232" t="inlineStr">
        <is>
          <t>[PRORRATEO 3.9% 5.74há/148.3há] O/001450 PAPEL FOTO</t>
        </is>
      </c>
      <c r="M2577" s="232" t="inlineStr"/>
      <c r="N2577" s="232" t="inlineStr">
        <is>
          <t>.   .   -</t>
        </is>
      </c>
      <c r="O2577" s="232" t="inlineStr">
        <is>
          <t>MARZO</t>
        </is>
      </c>
      <c r="P2577" s="232" t="n">
        <v>10</v>
      </c>
      <c r="Q2577" s="234" t="n">
        <v>2201</v>
      </c>
      <c r="R2577" s="232" t="inlineStr"/>
      <c r="S2577" s="234" t="n">
        <v>2201</v>
      </c>
      <c r="T2577" s="232" t="inlineStr">
        <is>
          <t>CLP</t>
        </is>
      </c>
      <c r="U2577" s="232" t="inlineStr">
        <is>
          <t>Prorrateo Ha PACKING</t>
        </is>
      </c>
      <c r="V2577" s="232" t="inlineStr">
        <is>
          <t>2026-06-18</t>
        </is>
      </c>
    </row>
    <row r="2578">
      <c r="A2578" s="232" t="inlineStr">
        <is>
          <t>CR-2575</t>
        </is>
      </c>
      <c r="B2578" s="232" t="inlineStr">
        <is>
          <t>2026/27</t>
        </is>
      </c>
      <c r="C2578" s="233" t="n">
        <v>46091</v>
      </c>
      <c r="D2578" s="232" t="inlineStr">
        <is>
          <t>291926</t>
        </is>
      </c>
      <c r="E2578" s="232" t="inlineStr">
        <is>
          <t>PRORRATEO</t>
        </is>
      </c>
      <c r="F2578" s="232" t="inlineStr">
        <is>
          <t>El Molle</t>
        </is>
      </c>
      <c r="G2578" s="232" t="inlineStr">
        <is>
          <t>orogrande 8,11 ha</t>
        </is>
      </c>
      <c r="H2578" s="232" t="inlineStr">
        <is>
          <t>Clementinas</t>
        </is>
      </c>
      <c r="I2578" s="232" t="inlineStr">
        <is>
          <t>Orogrande</t>
        </is>
      </c>
      <c r="J2578" s="232" t="inlineStr">
        <is>
          <t>GASTOS GENERALES</t>
        </is>
      </c>
      <c r="K2578" s="232" t="inlineStr">
        <is>
          <t>ARTICULOS DE OFICINA</t>
        </is>
      </c>
      <c r="L2578" s="232" t="inlineStr">
        <is>
          <t>[PRORRATEO 5.5% 8.11há/148.3há] O/001450 PAPEL FOTO</t>
        </is>
      </c>
      <c r="M2578" s="232" t="inlineStr"/>
      <c r="N2578" s="232" t="inlineStr">
        <is>
          <t>.   .   -</t>
        </is>
      </c>
      <c r="O2578" s="232" t="inlineStr">
        <is>
          <t>MARZO</t>
        </is>
      </c>
      <c r="P2578" s="232" t="n">
        <v>10</v>
      </c>
      <c r="Q2578" s="234" t="n">
        <v>3109</v>
      </c>
      <c r="R2578" s="232" t="inlineStr"/>
      <c r="S2578" s="234" t="n">
        <v>3109</v>
      </c>
      <c r="T2578" s="232" t="inlineStr">
        <is>
          <t>CLP</t>
        </is>
      </c>
      <c r="U2578" s="232" t="inlineStr">
        <is>
          <t>Prorrateo Ha PACKING</t>
        </is>
      </c>
      <c r="V2578" s="232" t="inlineStr">
        <is>
          <t>2026-06-18</t>
        </is>
      </c>
    </row>
    <row r="2579">
      <c r="A2579" s="232" t="inlineStr">
        <is>
          <t>CR-2576</t>
        </is>
      </c>
      <c r="B2579" s="232" t="inlineStr">
        <is>
          <t>2026/27</t>
        </is>
      </c>
      <c r="C2579" s="233" t="n">
        <v>46091</v>
      </c>
      <c r="D2579" s="232" t="inlineStr">
        <is>
          <t>291926</t>
        </is>
      </c>
      <c r="E2579" s="232" t="inlineStr">
        <is>
          <t>PRORRATEO</t>
        </is>
      </c>
      <c r="F2579" s="232" t="inlineStr">
        <is>
          <t>El Molle</t>
        </is>
      </c>
      <c r="G2579" s="232" t="inlineStr">
        <is>
          <t>oronules 5,35 ha</t>
        </is>
      </c>
      <c r="H2579" s="232" t="inlineStr">
        <is>
          <t>Clementinas</t>
        </is>
      </c>
      <c r="I2579" s="232" t="inlineStr">
        <is>
          <t>Oronules</t>
        </is>
      </c>
      <c r="J2579" s="232" t="inlineStr">
        <is>
          <t>GASTOS GENERALES</t>
        </is>
      </c>
      <c r="K2579" s="232" t="inlineStr">
        <is>
          <t>ARTICULOS DE OFICINA</t>
        </is>
      </c>
      <c r="L2579" s="232" t="inlineStr">
        <is>
          <t>[PRORRATEO 3.6% 5.35há/148.3há] O/001450 PAPEL FOTO</t>
        </is>
      </c>
      <c r="M2579" s="232" t="inlineStr"/>
      <c r="N2579" s="232" t="inlineStr">
        <is>
          <t>.   .   -</t>
        </is>
      </c>
      <c r="O2579" s="232" t="inlineStr">
        <is>
          <t>MARZO</t>
        </is>
      </c>
      <c r="P2579" s="232" t="n">
        <v>10</v>
      </c>
      <c r="Q2579" s="234" t="n">
        <v>2051</v>
      </c>
      <c r="R2579" s="232" t="inlineStr"/>
      <c r="S2579" s="234" t="n">
        <v>2051</v>
      </c>
      <c r="T2579" s="232" t="inlineStr">
        <is>
          <t>CLP</t>
        </is>
      </c>
      <c r="U2579" s="232" t="inlineStr">
        <is>
          <t>Prorrateo Ha PACKING</t>
        </is>
      </c>
      <c r="V2579" s="232" t="inlineStr">
        <is>
          <t>2026-06-18</t>
        </is>
      </c>
    </row>
    <row r="2580">
      <c r="A2580" s="232" t="inlineStr">
        <is>
          <t>CR-2577</t>
        </is>
      </c>
      <c r="B2580" s="232" t="inlineStr">
        <is>
          <t>2026/27</t>
        </is>
      </c>
      <c r="C2580" s="233" t="n">
        <v>46091</v>
      </c>
      <c r="D2580" s="232" t="inlineStr">
        <is>
          <t>291926</t>
        </is>
      </c>
      <c r="E2580" s="232" t="inlineStr">
        <is>
          <t>PRORRATEO</t>
        </is>
      </c>
      <c r="F2580" s="232" t="inlineStr">
        <is>
          <t>Santa Catalina</t>
        </is>
      </c>
      <c r="G2580" s="232" t="inlineStr">
        <is>
          <t>Fino 49 7,7 ha</t>
        </is>
      </c>
      <c r="H2580" s="232" t="inlineStr">
        <is>
          <t>Limon</t>
        </is>
      </c>
      <c r="I2580" s="232" t="inlineStr">
        <is>
          <t>Fino 49</t>
        </is>
      </c>
      <c r="J2580" s="232" t="inlineStr">
        <is>
          <t>GASTOS GENERALES</t>
        </is>
      </c>
      <c r="K2580" s="232" t="inlineStr">
        <is>
          <t>ARTICULOS DE OFICINA</t>
        </is>
      </c>
      <c r="L2580" s="232" t="inlineStr">
        <is>
          <t>[PRORRATEO 5.2% 7.7há/148.3há] O/001450 PAPEL FOTO</t>
        </is>
      </c>
      <c r="M2580" s="232" t="inlineStr"/>
      <c r="N2580" s="232" t="inlineStr">
        <is>
          <t>.   .   -</t>
        </is>
      </c>
      <c r="O2580" s="232" t="inlineStr">
        <is>
          <t>MARZO</t>
        </is>
      </c>
      <c r="P2580" s="232" t="n">
        <v>10</v>
      </c>
      <c r="Q2580" s="234" t="n">
        <v>2952</v>
      </c>
      <c r="R2580" s="232" t="inlineStr"/>
      <c r="S2580" s="234" t="n">
        <v>2952</v>
      </c>
      <c r="T2580" s="232" t="inlineStr">
        <is>
          <t>CLP</t>
        </is>
      </c>
      <c r="U2580" s="232" t="inlineStr">
        <is>
          <t>Prorrateo Ha PACKING</t>
        </is>
      </c>
      <c r="V2580" s="232" t="inlineStr">
        <is>
          <t>2026-06-18</t>
        </is>
      </c>
    </row>
    <row r="2581">
      <c r="A2581" s="232" t="inlineStr">
        <is>
          <t>CR-2578</t>
        </is>
      </c>
      <c r="B2581" s="232" t="inlineStr">
        <is>
          <t>2026/27</t>
        </is>
      </c>
      <c r="C2581" s="233" t="n">
        <v>46091</v>
      </c>
      <c r="D2581" s="232" t="inlineStr">
        <is>
          <t>291926</t>
        </is>
      </c>
      <c r="E2581" s="232" t="inlineStr">
        <is>
          <t>PRORRATEO</t>
        </is>
      </c>
      <c r="F2581" s="232" t="inlineStr">
        <is>
          <t>Santa Catalina</t>
        </is>
      </c>
      <c r="G2581" s="232" t="inlineStr">
        <is>
          <t>W. murcott 21 ha</t>
        </is>
      </c>
      <c r="H2581" s="232" t="inlineStr">
        <is>
          <t>Mandarina</t>
        </is>
      </c>
      <c r="I2581" s="232" t="inlineStr">
        <is>
          <t>W. murcott</t>
        </is>
      </c>
      <c r="J2581" s="232" t="inlineStr">
        <is>
          <t>GASTOS GENERALES</t>
        </is>
      </c>
      <c r="K2581" s="232" t="inlineStr">
        <is>
          <t>ARTICULOS DE OFICINA</t>
        </is>
      </c>
      <c r="L2581" s="232" t="inlineStr">
        <is>
          <t>[PRORRATEO 14.2% 21.0há/148.3há] O/001450 PAPEL FOTO</t>
        </is>
      </c>
      <c r="M2581" s="232" t="inlineStr"/>
      <c r="N2581" s="232" t="inlineStr">
        <is>
          <t>.   .   -</t>
        </is>
      </c>
      <c r="O2581" s="232" t="inlineStr">
        <is>
          <t>MARZO</t>
        </is>
      </c>
      <c r="P2581" s="232" t="n">
        <v>10</v>
      </c>
      <c r="Q2581" s="234" t="n">
        <v>8051</v>
      </c>
      <c r="R2581" s="232" t="inlineStr"/>
      <c r="S2581" s="234" t="n">
        <v>8051</v>
      </c>
      <c r="T2581" s="232" t="inlineStr">
        <is>
          <t>CLP</t>
        </is>
      </c>
      <c r="U2581" s="232" t="inlineStr">
        <is>
          <t>Prorrateo Ha PACKING</t>
        </is>
      </c>
      <c r="V2581" s="232" t="inlineStr">
        <is>
          <t>2026-06-18</t>
        </is>
      </c>
    </row>
    <row r="2582">
      <c r="A2582" s="232" t="inlineStr">
        <is>
          <t>CR-2579</t>
        </is>
      </c>
      <c r="B2582" s="232" t="inlineStr">
        <is>
          <t>2026/27</t>
        </is>
      </c>
      <c r="C2582" s="233" t="n">
        <v>46091</v>
      </c>
      <c r="D2582" s="232" t="inlineStr">
        <is>
          <t>291926</t>
        </is>
      </c>
      <c r="E2582" s="232" t="inlineStr">
        <is>
          <t>PRORRATEO</t>
        </is>
      </c>
      <c r="F2582" s="232" t="inlineStr">
        <is>
          <t>Santa Catalina</t>
        </is>
      </c>
      <c r="G2582" s="232" t="inlineStr">
        <is>
          <t>cambria 4,2 ha</t>
        </is>
      </c>
      <c r="H2582" s="232" t="inlineStr">
        <is>
          <t>Naranjas</t>
        </is>
      </c>
      <c r="I2582" s="232" t="inlineStr">
        <is>
          <t>Cambria</t>
        </is>
      </c>
      <c r="J2582" s="232" t="inlineStr">
        <is>
          <t>GASTOS GENERALES</t>
        </is>
      </c>
      <c r="K2582" s="232" t="inlineStr">
        <is>
          <t>ARTICULOS DE OFICINA</t>
        </is>
      </c>
      <c r="L2582" s="232" t="inlineStr">
        <is>
          <t>[PRORRATEO 2.8% 4.2há/148.3há] O/001450 PAPEL FOTO</t>
        </is>
      </c>
      <c r="M2582" s="232" t="inlineStr"/>
      <c r="N2582" s="232" t="inlineStr">
        <is>
          <t>.   .   -</t>
        </is>
      </c>
      <c r="O2582" s="232" t="inlineStr">
        <is>
          <t>MARZO</t>
        </is>
      </c>
      <c r="P2582" s="232" t="n">
        <v>10</v>
      </c>
      <c r="Q2582" s="234" t="n">
        <v>1610</v>
      </c>
      <c r="R2582" s="232" t="inlineStr"/>
      <c r="S2582" s="234" t="n">
        <v>1610</v>
      </c>
      <c r="T2582" s="232" t="inlineStr">
        <is>
          <t>CLP</t>
        </is>
      </c>
      <c r="U2582" s="232" t="inlineStr">
        <is>
          <t>Prorrateo Ha PACKING</t>
        </is>
      </c>
      <c r="V2582" s="232" t="inlineStr">
        <is>
          <t>2026-06-18</t>
        </is>
      </c>
    </row>
    <row r="2583">
      <c r="A2583" s="232" t="inlineStr">
        <is>
          <t>CR-2580</t>
        </is>
      </c>
      <c r="B2583" s="232" t="inlineStr">
        <is>
          <t>2026/27</t>
        </is>
      </c>
      <c r="C2583" s="233" t="n">
        <v>46091</v>
      </c>
      <c r="D2583" s="232" t="inlineStr">
        <is>
          <t>291926</t>
        </is>
      </c>
      <c r="E2583" s="232" t="inlineStr">
        <is>
          <t>PRORRATEO</t>
        </is>
      </c>
      <c r="F2583" s="232" t="inlineStr">
        <is>
          <t>Santa Catalina</t>
        </is>
      </c>
      <c r="G2583" s="232" t="inlineStr">
        <is>
          <t>eureka 10,6 ha</t>
        </is>
      </c>
      <c r="H2583" s="232" t="inlineStr">
        <is>
          <t>Limon</t>
        </is>
      </c>
      <c r="I2583" s="232" t="inlineStr">
        <is>
          <t>Eureka</t>
        </is>
      </c>
      <c r="J2583" s="232" t="inlineStr">
        <is>
          <t>GASTOS GENERALES</t>
        </is>
      </c>
      <c r="K2583" s="232" t="inlineStr">
        <is>
          <t>ARTICULOS DE OFICINA</t>
        </is>
      </c>
      <c r="L2583" s="232" t="inlineStr">
        <is>
          <t>[PRORRATEO 7.1% 10.6há/148.3há] O/001450 PAPEL FOTO</t>
        </is>
      </c>
      <c r="M2583" s="232" t="inlineStr"/>
      <c r="N2583" s="232" t="inlineStr">
        <is>
          <t>.   .   -</t>
        </is>
      </c>
      <c r="O2583" s="232" t="inlineStr">
        <is>
          <t>MARZO</t>
        </is>
      </c>
      <c r="P2583" s="232" t="n">
        <v>10</v>
      </c>
      <c r="Q2583" s="234" t="n">
        <v>4064</v>
      </c>
      <c r="R2583" s="232" t="inlineStr"/>
      <c r="S2583" s="234" t="n">
        <v>4064</v>
      </c>
      <c r="T2583" s="232" t="inlineStr">
        <is>
          <t>CLP</t>
        </is>
      </c>
      <c r="U2583" s="232" t="inlineStr">
        <is>
          <t>Prorrateo Ha PACKING</t>
        </is>
      </c>
      <c r="V2583" s="232" t="inlineStr">
        <is>
          <t>2026-06-18</t>
        </is>
      </c>
    </row>
    <row r="2584">
      <c r="A2584" s="232" t="inlineStr">
        <is>
          <t>CR-2581</t>
        </is>
      </c>
      <c r="B2584" s="232" t="inlineStr">
        <is>
          <t>2026/27</t>
        </is>
      </c>
      <c r="C2584" s="233" t="n">
        <v>46091</v>
      </c>
      <c r="D2584" s="232" t="inlineStr">
        <is>
          <t>291926</t>
        </is>
      </c>
      <c r="E2584" s="232" t="inlineStr">
        <is>
          <t>PRORRATEO</t>
        </is>
      </c>
      <c r="F2584" s="232" t="inlineStr">
        <is>
          <t>Santa Catalina</t>
        </is>
      </c>
      <c r="G2584" s="232" t="inlineStr">
        <is>
          <t>eureka 14,4 ha</t>
        </is>
      </c>
      <c r="H2584" s="232" t="inlineStr">
        <is>
          <t>Limon</t>
        </is>
      </c>
      <c r="I2584" s="232" t="inlineStr">
        <is>
          <t>Eureka</t>
        </is>
      </c>
      <c r="J2584" s="232" t="inlineStr">
        <is>
          <t>GASTOS GENERALES</t>
        </is>
      </c>
      <c r="K2584" s="232" t="inlineStr">
        <is>
          <t>ARTICULOS DE OFICINA</t>
        </is>
      </c>
      <c r="L2584" s="232" t="inlineStr">
        <is>
          <t>[PRORRATEO 9.7% 14.4há/148.3há] O/001450 PAPEL FOTO</t>
        </is>
      </c>
      <c r="M2584" s="232" t="inlineStr"/>
      <c r="N2584" s="232" t="inlineStr">
        <is>
          <t>.   .   -</t>
        </is>
      </c>
      <c r="O2584" s="232" t="inlineStr">
        <is>
          <t>MARZO</t>
        </is>
      </c>
      <c r="P2584" s="232" t="n">
        <v>10</v>
      </c>
      <c r="Q2584" s="234" t="n">
        <v>5521</v>
      </c>
      <c r="R2584" s="232" t="inlineStr"/>
      <c r="S2584" s="234" t="n">
        <v>5521</v>
      </c>
      <c r="T2584" s="232" t="inlineStr">
        <is>
          <t>CLP</t>
        </is>
      </c>
      <c r="U2584" s="232" t="inlineStr">
        <is>
          <t>Prorrateo Ha PACKING</t>
        </is>
      </c>
      <c r="V2584" s="232" t="inlineStr">
        <is>
          <t>2026-06-18</t>
        </is>
      </c>
    </row>
    <row r="2585">
      <c r="A2585" s="232" t="inlineStr">
        <is>
          <t>CR-2582</t>
        </is>
      </c>
      <c r="B2585" s="232" t="inlineStr">
        <is>
          <t>2026/27</t>
        </is>
      </c>
      <c r="C2585" s="233" t="n">
        <v>46091</v>
      </c>
      <c r="D2585" s="232" t="inlineStr">
        <is>
          <t>291926</t>
        </is>
      </c>
      <c r="E2585" s="232" t="inlineStr">
        <is>
          <t>PRORRATEO</t>
        </is>
      </c>
      <c r="F2585" s="232" t="inlineStr">
        <is>
          <t>Santa Catalina</t>
        </is>
      </c>
      <c r="G2585" s="232" t="inlineStr">
        <is>
          <t>eureka 22,55</t>
        </is>
      </c>
      <c r="H2585" s="232" t="inlineStr">
        <is>
          <t>Limon</t>
        </is>
      </c>
      <c r="I2585" s="232" t="inlineStr">
        <is>
          <t>Eureka</t>
        </is>
      </c>
      <c r="J2585" s="232" t="inlineStr">
        <is>
          <t>GASTOS GENERALES</t>
        </is>
      </c>
      <c r="K2585" s="232" t="inlineStr">
        <is>
          <t>ARTICULOS DE OFICINA</t>
        </is>
      </c>
      <c r="L2585" s="232" t="inlineStr">
        <is>
          <t>[PRORRATEO 15.2% 22.55há/148.3há] O/001450 PAPEL FOTO</t>
        </is>
      </c>
      <c r="M2585" s="232" t="inlineStr"/>
      <c r="N2585" s="232" t="inlineStr">
        <is>
          <t>.   .   -</t>
        </is>
      </c>
      <c r="O2585" s="232" t="inlineStr">
        <is>
          <t>MARZO</t>
        </is>
      </c>
      <c r="P2585" s="232" t="n">
        <v>10</v>
      </c>
      <c r="Q2585" s="234" t="n">
        <v>8645</v>
      </c>
      <c r="R2585" s="232" t="inlineStr"/>
      <c r="S2585" s="234" t="n">
        <v>8645</v>
      </c>
      <c r="T2585" s="232" t="inlineStr">
        <is>
          <t>CLP</t>
        </is>
      </c>
      <c r="U2585" s="232" t="inlineStr">
        <is>
          <t>Prorrateo Ha PACKING</t>
        </is>
      </c>
      <c r="V2585" s="232" t="inlineStr">
        <is>
          <t>2026-06-18</t>
        </is>
      </c>
    </row>
    <row r="2586">
      <c r="A2586" s="232" t="inlineStr">
        <is>
          <t>CR-2583</t>
        </is>
      </c>
      <c r="B2586" s="232" t="inlineStr">
        <is>
          <t>2026/27</t>
        </is>
      </c>
      <c r="C2586" s="233" t="n">
        <v>46091</v>
      </c>
      <c r="D2586" s="232" t="inlineStr">
        <is>
          <t>291926</t>
        </is>
      </c>
      <c r="E2586" s="232" t="inlineStr">
        <is>
          <t>PRORRATEO</t>
        </is>
      </c>
      <c r="F2586" s="232" t="inlineStr">
        <is>
          <t>Santa Catalina</t>
        </is>
      </c>
      <c r="G2586" s="232" t="inlineStr">
        <is>
          <t>form benjamin 1,93 ha</t>
        </is>
      </c>
      <c r="H2586" s="232" t="inlineStr">
        <is>
          <t>Limon</t>
        </is>
      </c>
      <c r="I2586" s="232" t="inlineStr">
        <is>
          <t>Benjamin andes</t>
        </is>
      </c>
      <c r="J2586" s="232" t="inlineStr">
        <is>
          <t>GASTOS GENERALES</t>
        </is>
      </c>
      <c r="K2586" s="232" t="inlineStr">
        <is>
          <t>ARTICULOS DE OFICINA</t>
        </is>
      </c>
      <c r="L2586" s="232" t="inlineStr">
        <is>
          <t>[PRORRATEO 1.3% 1.93há/148.3há] O/001450 PAPEL FOTO</t>
        </is>
      </c>
      <c r="M2586" s="232" t="inlineStr"/>
      <c r="N2586" s="232" t="inlineStr">
        <is>
          <t>.   .   -</t>
        </is>
      </c>
      <c r="O2586" s="232" t="inlineStr">
        <is>
          <t>MARZO</t>
        </is>
      </c>
      <c r="P2586" s="232" t="n">
        <v>10</v>
      </c>
      <c r="Q2586" s="234" t="n">
        <v>740</v>
      </c>
      <c r="R2586" s="232" t="inlineStr"/>
      <c r="S2586" s="234" t="n">
        <v>740</v>
      </c>
      <c r="T2586" s="232" t="inlineStr">
        <is>
          <t>CLP</t>
        </is>
      </c>
      <c r="U2586" s="232" t="inlineStr">
        <is>
          <t>Prorrateo Ha PACKING</t>
        </is>
      </c>
      <c r="V2586" s="232" t="inlineStr">
        <is>
          <t>2026-06-18</t>
        </is>
      </c>
    </row>
    <row r="2587">
      <c r="A2587" s="232" t="inlineStr">
        <is>
          <t>CR-2584</t>
        </is>
      </c>
      <c r="B2587" s="232" t="inlineStr">
        <is>
          <t>2026/27</t>
        </is>
      </c>
      <c r="C2587" s="233" t="n">
        <v>46091</v>
      </c>
      <c r="D2587" s="232" t="inlineStr">
        <is>
          <t>291926</t>
        </is>
      </c>
      <c r="E2587" s="232" t="inlineStr">
        <is>
          <t>PRORRATEO</t>
        </is>
      </c>
      <c r="F2587" s="232" t="inlineStr">
        <is>
          <t>Santa Catalina</t>
        </is>
      </c>
      <c r="G2587" s="232" t="inlineStr">
        <is>
          <t>mant eureka 2,5 ha</t>
        </is>
      </c>
      <c r="H2587" s="232" t="inlineStr">
        <is>
          <t>Limon</t>
        </is>
      </c>
      <c r="I2587" s="232" t="inlineStr">
        <is>
          <t>Eureka</t>
        </is>
      </c>
      <c r="J2587" s="232" t="inlineStr">
        <is>
          <t>GASTOS GENERALES</t>
        </is>
      </c>
      <c r="K2587" s="232" t="inlineStr">
        <is>
          <t>ARTICULOS DE OFICINA</t>
        </is>
      </c>
      <c r="L2587" s="232" t="inlineStr">
        <is>
          <t>[PRORRATEO 1.7% 2.5há/148.3há] O/001450 PAPEL FOTO</t>
        </is>
      </c>
      <c r="M2587" s="232" t="inlineStr"/>
      <c r="N2587" s="232" t="inlineStr">
        <is>
          <t>.   .   -</t>
        </is>
      </c>
      <c r="O2587" s="232" t="inlineStr">
        <is>
          <t>MARZO</t>
        </is>
      </c>
      <c r="P2587" s="232" t="n">
        <v>10</v>
      </c>
      <c r="Q2587" s="234" t="n">
        <v>958</v>
      </c>
      <c r="R2587" s="232" t="inlineStr"/>
      <c r="S2587" s="234" t="n">
        <v>958</v>
      </c>
      <c r="T2587" s="232" t="inlineStr">
        <is>
          <t>CLP</t>
        </is>
      </c>
      <c r="U2587" s="232" t="inlineStr">
        <is>
          <t>Prorrateo Ha PACKING</t>
        </is>
      </c>
      <c r="V2587" s="232" t="inlineStr">
        <is>
          <t>2026-06-18</t>
        </is>
      </c>
    </row>
    <row r="2588">
      <c r="A2588" s="232" t="inlineStr">
        <is>
          <t>CR-2585</t>
        </is>
      </c>
      <c r="B2588" s="232" t="inlineStr">
        <is>
          <t>2026/27</t>
        </is>
      </c>
      <c r="C2588" s="233" t="n">
        <v>46091</v>
      </c>
      <c r="D2588" s="232" t="inlineStr">
        <is>
          <t>291926</t>
        </is>
      </c>
      <c r="E2588" s="232" t="inlineStr">
        <is>
          <t>PRORRATEO</t>
        </is>
      </c>
      <c r="F2588" s="232" t="inlineStr">
        <is>
          <t>Siberia</t>
        </is>
      </c>
      <c r="G2588" s="232" t="inlineStr">
        <is>
          <t>S. Celebration 7,14</t>
        </is>
      </c>
      <c r="H2588" s="232" t="inlineStr">
        <is>
          <t>Uvas</t>
        </is>
      </c>
      <c r="I2588" s="232" t="inlineStr">
        <is>
          <t>S. celebration</t>
        </is>
      </c>
      <c r="J2588" s="232" t="inlineStr">
        <is>
          <t>GASTOS GENERALES</t>
        </is>
      </c>
      <c r="K2588" s="232" t="inlineStr">
        <is>
          <t>ARTICULOS DE OFICINA</t>
        </is>
      </c>
      <c r="L2588" s="232" t="inlineStr">
        <is>
          <t>[PRORRATEO 4.8% 7.14há/148.3há] O/001450 PAPEL FOTO</t>
        </is>
      </c>
      <c r="M2588" s="232" t="inlineStr"/>
      <c r="N2588" s="232" t="inlineStr">
        <is>
          <t>.   .   -</t>
        </is>
      </c>
      <c r="O2588" s="232" t="inlineStr">
        <is>
          <t>MARZO</t>
        </is>
      </c>
      <c r="P2588" s="232" t="n">
        <v>10</v>
      </c>
      <c r="Q2588" s="234" t="n">
        <v>2737</v>
      </c>
      <c r="R2588" s="232" t="inlineStr"/>
      <c r="S2588" s="234" t="n">
        <v>2737</v>
      </c>
      <c r="T2588" s="232" t="inlineStr">
        <is>
          <t>CLP</t>
        </is>
      </c>
      <c r="U2588" s="232" t="inlineStr">
        <is>
          <t>Prorrateo Ha PACKING</t>
        </is>
      </c>
      <c r="V2588" s="232" t="inlineStr">
        <is>
          <t>2026-06-18</t>
        </is>
      </c>
    </row>
    <row r="2589">
      <c r="A2589" s="232" t="inlineStr">
        <is>
          <t>CR-2586</t>
        </is>
      </c>
      <c r="B2589" s="232" t="inlineStr">
        <is>
          <t>2026/27</t>
        </is>
      </c>
      <c r="C2589" s="233" t="n">
        <v>46091</v>
      </c>
      <c r="D2589" s="232" t="inlineStr">
        <is>
          <t>291926</t>
        </is>
      </c>
      <c r="E2589" s="232" t="inlineStr">
        <is>
          <t>PRORRATEO</t>
        </is>
      </c>
      <c r="F2589" s="232" t="inlineStr">
        <is>
          <t>Siberia</t>
        </is>
      </c>
      <c r="G2589" s="232" t="inlineStr">
        <is>
          <t>Timpson 7,1</t>
        </is>
      </c>
      <c r="H2589" s="232" t="inlineStr">
        <is>
          <t>Uvas</t>
        </is>
      </c>
      <c r="I2589" s="232" t="inlineStr">
        <is>
          <t>Timpson</t>
        </is>
      </c>
      <c r="J2589" s="232" t="inlineStr">
        <is>
          <t>GASTOS GENERALES</t>
        </is>
      </c>
      <c r="K2589" s="232" t="inlineStr">
        <is>
          <t>ARTICULOS DE OFICINA</t>
        </is>
      </c>
      <c r="L2589" s="232" t="inlineStr">
        <is>
          <t>[PRORRATEO 4.8% 7.1há/148.3há] O/001450 PAPEL FOTO</t>
        </is>
      </c>
      <c r="M2589" s="232" t="inlineStr"/>
      <c r="N2589" s="232" t="inlineStr">
        <is>
          <t>.   .   -</t>
        </is>
      </c>
      <c r="O2589" s="232" t="inlineStr">
        <is>
          <t>MARZO</t>
        </is>
      </c>
      <c r="P2589" s="232" t="n">
        <v>10</v>
      </c>
      <c r="Q2589" s="234" t="n">
        <v>2722</v>
      </c>
      <c r="R2589" s="232" t="inlineStr"/>
      <c r="S2589" s="234" t="n">
        <v>2722</v>
      </c>
      <c r="T2589" s="232" t="inlineStr">
        <is>
          <t>CLP</t>
        </is>
      </c>
      <c r="U2589" s="232" t="inlineStr">
        <is>
          <t>Prorrateo Ha PACKING</t>
        </is>
      </c>
      <c r="V2589" s="232" t="inlineStr">
        <is>
          <t>2026-06-18</t>
        </is>
      </c>
    </row>
    <row r="2590">
      <c r="A2590" s="232" t="inlineStr">
        <is>
          <t>CR-2587</t>
        </is>
      </c>
      <c r="B2590" s="232" t="inlineStr">
        <is>
          <t>2026/27</t>
        </is>
      </c>
      <c r="C2590" s="233" t="n">
        <v>46091</v>
      </c>
      <c r="D2590" s="232" t="inlineStr">
        <is>
          <t>291926</t>
        </is>
      </c>
      <c r="E2590" s="232" t="inlineStr">
        <is>
          <t>PRORRATEO</t>
        </is>
      </c>
      <c r="F2590" s="232" t="inlineStr">
        <is>
          <t>Asmara</t>
        </is>
      </c>
      <c r="G2590" s="232" t="inlineStr">
        <is>
          <t>w. murcott 19,8 ha</t>
        </is>
      </c>
      <c r="H2590" s="232" t="inlineStr">
        <is>
          <t>Mandarina</t>
        </is>
      </c>
      <c r="I2590" s="232" t="inlineStr">
        <is>
          <t>W. murcott</t>
        </is>
      </c>
      <c r="J2590" s="232" t="inlineStr">
        <is>
          <t>GASTOS GENERALES</t>
        </is>
      </c>
      <c r="K2590" s="232" t="inlineStr">
        <is>
          <t>ARTICULOS DE OFICINA</t>
        </is>
      </c>
      <c r="L2590" s="232" t="inlineStr">
        <is>
          <t>[PRORRATEO 13.4% 19.8há/148.3há] O/001450 PAPEL FOTO</t>
        </is>
      </c>
      <c r="M2590" s="232" t="inlineStr"/>
      <c r="N2590" s="232" t="inlineStr">
        <is>
          <t>.   .   -</t>
        </is>
      </c>
      <c r="O2590" s="232" t="inlineStr">
        <is>
          <t>MARZO</t>
        </is>
      </c>
      <c r="P2590" s="232" t="n">
        <v>10</v>
      </c>
      <c r="Q2590" s="234" t="n">
        <v>525</v>
      </c>
      <c r="R2590" s="232" t="inlineStr"/>
      <c r="S2590" s="234" t="n">
        <v>525</v>
      </c>
      <c r="T2590" s="232" t="inlineStr">
        <is>
          <t>CLP</t>
        </is>
      </c>
      <c r="U2590" s="232" t="inlineStr">
        <is>
          <t>Prorrateo Ha PACKING</t>
        </is>
      </c>
      <c r="V2590" s="232" t="inlineStr">
        <is>
          <t>2026-06-18</t>
        </is>
      </c>
    </row>
    <row r="2591">
      <c r="A2591" s="232" t="inlineStr">
        <is>
          <t>CR-2588</t>
        </is>
      </c>
      <c r="B2591" s="232" t="inlineStr">
        <is>
          <t>2026/27</t>
        </is>
      </c>
      <c r="C2591" s="233" t="n">
        <v>46091</v>
      </c>
      <c r="D2591" s="232" t="inlineStr">
        <is>
          <t>291926</t>
        </is>
      </c>
      <c r="E2591" s="232" t="inlineStr">
        <is>
          <t>PRORRATEO</t>
        </is>
      </c>
      <c r="F2591" s="232" t="inlineStr">
        <is>
          <t>Asmara</t>
        </is>
      </c>
      <c r="G2591" s="232" t="inlineStr">
        <is>
          <t>w. murcott 4,9 ha</t>
        </is>
      </c>
      <c r="H2591" s="232" t="inlineStr">
        <is>
          <t>Mandarina</t>
        </is>
      </c>
      <c r="I2591" s="232" t="inlineStr">
        <is>
          <t>W. murcott</t>
        </is>
      </c>
      <c r="J2591" s="232" t="inlineStr">
        <is>
          <t>GASTOS GENERALES</t>
        </is>
      </c>
      <c r="K2591" s="232" t="inlineStr">
        <is>
          <t>ARTICULOS DE OFICINA</t>
        </is>
      </c>
      <c r="L2591" s="232" t="inlineStr">
        <is>
          <t>[PRORRATEO 3.3% 4.9há/148.3há] O/001450 PAPEL FOTO</t>
        </is>
      </c>
      <c r="M2591" s="232" t="inlineStr"/>
      <c r="N2591" s="232" t="inlineStr">
        <is>
          <t>.   .   -</t>
        </is>
      </c>
      <c r="O2591" s="232" t="inlineStr">
        <is>
          <t>MARZO</t>
        </is>
      </c>
      <c r="P2591" s="232" t="n">
        <v>10</v>
      </c>
      <c r="Q2591" s="234" t="n">
        <v>130</v>
      </c>
      <c r="R2591" s="232" t="inlineStr"/>
      <c r="S2591" s="234" t="n">
        <v>130</v>
      </c>
      <c r="T2591" s="232" t="inlineStr">
        <is>
          <t>CLP</t>
        </is>
      </c>
      <c r="U2591" s="232" t="inlineStr">
        <is>
          <t>Prorrateo Ha PACKING</t>
        </is>
      </c>
      <c r="V2591" s="232" t="inlineStr">
        <is>
          <t>2026-06-18</t>
        </is>
      </c>
    </row>
    <row r="2592">
      <c r="A2592" s="232" t="inlineStr">
        <is>
          <t>CR-2589</t>
        </is>
      </c>
      <c r="B2592" s="232" t="inlineStr">
        <is>
          <t>2026/27</t>
        </is>
      </c>
      <c r="C2592" s="233" t="n">
        <v>46091</v>
      </c>
      <c r="D2592" s="232" t="inlineStr">
        <is>
          <t>291926</t>
        </is>
      </c>
      <c r="E2592" s="232" t="inlineStr">
        <is>
          <t>PRORRATEO</t>
        </is>
      </c>
      <c r="F2592" s="232" t="inlineStr">
        <is>
          <t>El Molle</t>
        </is>
      </c>
      <c r="G2592" s="232" t="inlineStr">
        <is>
          <t>Wonderful 5,25 ha</t>
        </is>
      </c>
      <c r="H2592" s="232" t="inlineStr">
        <is>
          <t>Granados</t>
        </is>
      </c>
      <c r="I2592" s="232" t="inlineStr">
        <is>
          <t>Wonderfull</t>
        </is>
      </c>
      <c r="J2592" s="232" t="inlineStr">
        <is>
          <t>GASTOS GENERALES</t>
        </is>
      </c>
      <c r="K2592" s="232" t="inlineStr">
        <is>
          <t>ARTICULOS DE OFICINA</t>
        </is>
      </c>
      <c r="L2592" s="232" t="inlineStr">
        <is>
          <t>[PRORRATEO 3.5% 5.24há/148.3há] O/001450 PAPEL FOTO</t>
        </is>
      </c>
      <c r="M2592" s="232" t="inlineStr"/>
      <c r="N2592" s="232" t="inlineStr">
        <is>
          <t>.   .   -</t>
        </is>
      </c>
      <c r="O2592" s="232" t="inlineStr">
        <is>
          <t>MARZO</t>
        </is>
      </c>
      <c r="P2592" s="232" t="n">
        <v>10</v>
      </c>
      <c r="Q2592" s="234" t="n">
        <v>139</v>
      </c>
      <c r="R2592" s="232" t="inlineStr"/>
      <c r="S2592" s="234" t="n">
        <v>139</v>
      </c>
      <c r="T2592" s="232" t="inlineStr">
        <is>
          <t>CLP</t>
        </is>
      </c>
      <c r="U2592" s="232" t="inlineStr">
        <is>
          <t>Prorrateo Ha PACKING</t>
        </is>
      </c>
      <c r="V2592" s="232" t="inlineStr">
        <is>
          <t>2026-06-18</t>
        </is>
      </c>
    </row>
    <row r="2593">
      <c r="A2593" s="232" t="inlineStr">
        <is>
          <t>CR-2590</t>
        </is>
      </c>
      <c r="B2593" s="232" t="inlineStr">
        <is>
          <t>2026/27</t>
        </is>
      </c>
      <c r="C2593" s="233" t="n">
        <v>46091</v>
      </c>
      <c r="D2593" s="232" t="inlineStr">
        <is>
          <t>291926</t>
        </is>
      </c>
      <c r="E2593" s="232" t="inlineStr">
        <is>
          <t>PRORRATEO</t>
        </is>
      </c>
      <c r="F2593" s="232" t="inlineStr">
        <is>
          <t>El Molle</t>
        </is>
      </c>
      <c r="G2593" s="232" t="inlineStr">
        <is>
          <t>arrufatinas 5,74 ha</t>
        </is>
      </c>
      <c r="H2593" s="232" t="inlineStr">
        <is>
          <t>Clementinas</t>
        </is>
      </c>
      <c r="I2593" s="232" t="inlineStr">
        <is>
          <t>Arrufatinas</t>
        </is>
      </c>
      <c r="J2593" s="232" t="inlineStr">
        <is>
          <t>GASTOS GENERALES</t>
        </is>
      </c>
      <c r="K2593" s="232" t="inlineStr">
        <is>
          <t>ARTICULOS DE OFICINA</t>
        </is>
      </c>
      <c r="L2593" s="232" t="inlineStr">
        <is>
          <t>[PRORRATEO 3.9% 5.74há/148.3há] O/001450 PAPEL FOTO</t>
        </is>
      </c>
      <c r="M2593" s="232" t="inlineStr"/>
      <c r="N2593" s="232" t="inlineStr">
        <is>
          <t>.   .   -</t>
        </is>
      </c>
      <c r="O2593" s="232" t="inlineStr">
        <is>
          <t>MARZO</t>
        </is>
      </c>
      <c r="P2593" s="232" t="n">
        <v>10</v>
      </c>
      <c r="Q2593" s="234" t="n">
        <v>152</v>
      </c>
      <c r="R2593" s="232" t="inlineStr"/>
      <c r="S2593" s="234" t="n">
        <v>152</v>
      </c>
      <c r="T2593" s="232" t="inlineStr">
        <is>
          <t>CLP</t>
        </is>
      </c>
      <c r="U2593" s="232" t="inlineStr">
        <is>
          <t>Prorrateo Ha PACKING</t>
        </is>
      </c>
      <c r="V2593" s="232" t="inlineStr">
        <is>
          <t>2026-06-18</t>
        </is>
      </c>
    </row>
    <row r="2594">
      <c r="A2594" s="232" t="inlineStr">
        <is>
          <t>CR-2591</t>
        </is>
      </c>
      <c r="B2594" s="232" t="inlineStr">
        <is>
          <t>2026/27</t>
        </is>
      </c>
      <c r="C2594" s="233" t="n">
        <v>46091</v>
      </c>
      <c r="D2594" s="232" t="inlineStr">
        <is>
          <t>291926</t>
        </is>
      </c>
      <c r="E2594" s="232" t="inlineStr">
        <is>
          <t>PRORRATEO</t>
        </is>
      </c>
      <c r="F2594" s="232" t="inlineStr">
        <is>
          <t>El Molle</t>
        </is>
      </c>
      <c r="G2594" s="232" t="inlineStr">
        <is>
          <t>orogrande 8,11 ha</t>
        </is>
      </c>
      <c r="H2594" s="232" t="inlineStr">
        <is>
          <t>Clementinas</t>
        </is>
      </c>
      <c r="I2594" s="232" t="inlineStr">
        <is>
          <t>Orogrande</t>
        </is>
      </c>
      <c r="J2594" s="232" t="inlineStr">
        <is>
          <t>GASTOS GENERALES</t>
        </is>
      </c>
      <c r="K2594" s="232" t="inlineStr">
        <is>
          <t>ARTICULOS DE OFICINA</t>
        </is>
      </c>
      <c r="L2594" s="232" t="inlineStr">
        <is>
          <t>[PRORRATEO 5.5% 8.11há/148.3há] O/001450 PAPEL FOTO</t>
        </is>
      </c>
      <c r="M2594" s="232" t="inlineStr"/>
      <c r="N2594" s="232" t="inlineStr">
        <is>
          <t>.   .   -</t>
        </is>
      </c>
      <c r="O2594" s="232" t="inlineStr">
        <is>
          <t>MARZO</t>
        </is>
      </c>
      <c r="P2594" s="232" t="n">
        <v>10</v>
      </c>
      <c r="Q2594" s="234" t="n">
        <v>215</v>
      </c>
      <c r="R2594" s="232" t="inlineStr"/>
      <c r="S2594" s="234" t="n">
        <v>215</v>
      </c>
      <c r="T2594" s="232" t="inlineStr">
        <is>
          <t>CLP</t>
        </is>
      </c>
      <c r="U2594" s="232" t="inlineStr">
        <is>
          <t>Prorrateo Ha PACKING</t>
        </is>
      </c>
      <c r="V2594" s="232" t="inlineStr">
        <is>
          <t>2026-06-18</t>
        </is>
      </c>
    </row>
    <row r="2595">
      <c r="A2595" s="232" t="inlineStr">
        <is>
          <t>CR-2592</t>
        </is>
      </c>
      <c r="B2595" s="232" t="inlineStr">
        <is>
          <t>2026/27</t>
        </is>
      </c>
      <c r="C2595" s="233" t="n">
        <v>46091</v>
      </c>
      <c r="D2595" s="232" t="inlineStr">
        <is>
          <t>291926</t>
        </is>
      </c>
      <c r="E2595" s="232" t="inlineStr">
        <is>
          <t>PRORRATEO</t>
        </is>
      </c>
      <c r="F2595" s="232" t="inlineStr">
        <is>
          <t>El Molle</t>
        </is>
      </c>
      <c r="G2595" s="232" t="inlineStr">
        <is>
          <t>oronules 5,35 ha</t>
        </is>
      </c>
      <c r="H2595" s="232" t="inlineStr">
        <is>
          <t>Clementinas</t>
        </is>
      </c>
      <c r="I2595" s="232" t="inlineStr">
        <is>
          <t>Oronules</t>
        </is>
      </c>
      <c r="J2595" s="232" t="inlineStr">
        <is>
          <t>GASTOS GENERALES</t>
        </is>
      </c>
      <c r="K2595" s="232" t="inlineStr">
        <is>
          <t>ARTICULOS DE OFICINA</t>
        </is>
      </c>
      <c r="L2595" s="232" t="inlineStr">
        <is>
          <t>[PRORRATEO 3.6% 5.35há/148.3há] O/001450 PAPEL FOTO</t>
        </is>
      </c>
      <c r="M2595" s="232" t="inlineStr"/>
      <c r="N2595" s="232" t="inlineStr">
        <is>
          <t>.   .   -</t>
        </is>
      </c>
      <c r="O2595" s="232" t="inlineStr">
        <is>
          <t>MARZO</t>
        </is>
      </c>
      <c r="P2595" s="232" t="n">
        <v>10</v>
      </c>
      <c r="Q2595" s="234" t="n">
        <v>142</v>
      </c>
      <c r="R2595" s="232" t="inlineStr"/>
      <c r="S2595" s="234" t="n">
        <v>142</v>
      </c>
      <c r="T2595" s="232" t="inlineStr">
        <is>
          <t>CLP</t>
        </is>
      </c>
      <c r="U2595" s="232" t="inlineStr">
        <is>
          <t>Prorrateo Ha PACKING</t>
        </is>
      </c>
      <c r="V2595" s="232" t="inlineStr">
        <is>
          <t>2026-06-18</t>
        </is>
      </c>
    </row>
    <row r="2596">
      <c r="A2596" s="232" t="inlineStr">
        <is>
          <t>CR-2593</t>
        </is>
      </c>
      <c r="B2596" s="232" t="inlineStr">
        <is>
          <t>2026/27</t>
        </is>
      </c>
      <c r="C2596" s="233" t="n">
        <v>46091</v>
      </c>
      <c r="D2596" s="232" t="inlineStr">
        <is>
          <t>291926</t>
        </is>
      </c>
      <c r="E2596" s="232" t="inlineStr">
        <is>
          <t>PRORRATEO</t>
        </is>
      </c>
      <c r="F2596" s="232" t="inlineStr">
        <is>
          <t>Santa Catalina</t>
        </is>
      </c>
      <c r="G2596" s="232" t="inlineStr">
        <is>
          <t>Fino 49 7,7 ha</t>
        </is>
      </c>
      <c r="H2596" s="232" t="inlineStr">
        <is>
          <t>Limon</t>
        </is>
      </c>
      <c r="I2596" s="232" t="inlineStr">
        <is>
          <t>Fino 49</t>
        </is>
      </c>
      <c r="J2596" s="232" t="inlineStr">
        <is>
          <t>GASTOS GENERALES</t>
        </is>
      </c>
      <c r="K2596" s="232" t="inlineStr">
        <is>
          <t>ARTICULOS DE OFICINA</t>
        </is>
      </c>
      <c r="L2596" s="232" t="inlineStr">
        <is>
          <t>[PRORRATEO 5.2% 7.7há/148.3há] O/001450 PAPEL FOTO</t>
        </is>
      </c>
      <c r="M2596" s="232" t="inlineStr"/>
      <c r="N2596" s="232" t="inlineStr">
        <is>
          <t>.   .   -</t>
        </is>
      </c>
      <c r="O2596" s="232" t="inlineStr">
        <is>
          <t>MARZO</t>
        </is>
      </c>
      <c r="P2596" s="232" t="n">
        <v>10</v>
      </c>
      <c r="Q2596" s="234" t="n">
        <v>204</v>
      </c>
      <c r="R2596" s="232" t="inlineStr"/>
      <c r="S2596" s="234" t="n">
        <v>204</v>
      </c>
      <c r="T2596" s="232" t="inlineStr">
        <is>
          <t>CLP</t>
        </is>
      </c>
      <c r="U2596" s="232" t="inlineStr">
        <is>
          <t>Prorrateo Ha PACKING</t>
        </is>
      </c>
      <c r="V2596" s="232" t="inlineStr">
        <is>
          <t>2026-06-18</t>
        </is>
      </c>
    </row>
    <row r="2597">
      <c r="A2597" s="232" t="inlineStr">
        <is>
          <t>CR-2594</t>
        </is>
      </c>
      <c r="B2597" s="232" t="inlineStr">
        <is>
          <t>2026/27</t>
        </is>
      </c>
      <c r="C2597" s="233" t="n">
        <v>46091</v>
      </c>
      <c r="D2597" s="232" t="inlineStr">
        <is>
          <t>291926</t>
        </is>
      </c>
      <c r="E2597" s="232" t="inlineStr">
        <is>
          <t>PRORRATEO</t>
        </is>
      </c>
      <c r="F2597" s="232" t="inlineStr">
        <is>
          <t>Santa Catalina</t>
        </is>
      </c>
      <c r="G2597" s="232" t="inlineStr">
        <is>
          <t>W. murcott 21 ha</t>
        </is>
      </c>
      <c r="H2597" s="232" t="inlineStr">
        <is>
          <t>Mandarina</t>
        </is>
      </c>
      <c r="I2597" s="232" t="inlineStr">
        <is>
          <t>W. murcott</t>
        </is>
      </c>
      <c r="J2597" s="232" t="inlineStr">
        <is>
          <t>GASTOS GENERALES</t>
        </is>
      </c>
      <c r="K2597" s="232" t="inlineStr">
        <is>
          <t>ARTICULOS DE OFICINA</t>
        </is>
      </c>
      <c r="L2597" s="232" t="inlineStr">
        <is>
          <t>[PRORRATEO 14.2% 21.0há/148.3há] O/001450 PAPEL FOTO</t>
        </is>
      </c>
      <c r="M2597" s="232" t="inlineStr"/>
      <c r="N2597" s="232" t="inlineStr">
        <is>
          <t>.   .   -</t>
        </is>
      </c>
      <c r="O2597" s="232" t="inlineStr">
        <is>
          <t>MARZO</t>
        </is>
      </c>
      <c r="P2597" s="232" t="n">
        <v>10</v>
      </c>
      <c r="Q2597" s="234" t="n">
        <v>557</v>
      </c>
      <c r="R2597" s="232" t="inlineStr"/>
      <c r="S2597" s="234" t="n">
        <v>557</v>
      </c>
      <c r="T2597" s="232" t="inlineStr">
        <is>
          <t>CLP</t>
        </is>
      </c>
      <c r="U2597" s="232" t="inlineStr">
        <is>
          <t>Prorrateo Ha PACKING</t>
        </is>
      </c>
      <c r="V2597" s="232" t="inlineStr">
        <is>
          <t>2026-06-18</t>
        </is>
      </c>
    </row>
    <row r="2598">
      <c r="A2598" s="232" t="inlineStr">
        <is>
          <t>CR-2595</t>
        </is>
      </c>
      <c r="B2598" s="232" t="inlineStr">
        <is>
          <t>2026/27</t>
        </is>
      </c>
      <c r="C2598" s="233" t="n">
        <v>46091</v>
      </c>
      <c r="D2598" s="232" t="inlineStr">
        <is>
          <t>291926</t>
        </is>
      </c>
      <c r="E2598" s="232" t="inlineStr">
        <is>
          <t>PRORRATEO</t>
        </is>
      </c>
      <c r="F2598" s="232" t="inlineStr">
        <is>
          <t>Santa Catalina</t>
        </is>
      </c>
      <c r="G2598" s="232" t="inlineStr">
        <is>
          <t>cambria 4,2 ha</t>
        </is>
      </c>
      <c r="H2598" s="232" t="inlineStr">
        <is>
          <t>Naranjas</t>
        </is>
      </c>
      <c r="I2598" s="232" t="inlineStr">
        <is>
          <t>Cambria</t>
        </is>
      </c>
      <c r="J2598" s="232" t="inlineStr">
        <is>
          <t>GASTOS GENERALES</t>
        </is>
      </c>
      <c r="K2598" s="232" t="inlineStr">
        <is>
          <t>ARTICULOS DE OFICINA</t>
        </is>
      </c>
      <c r="L2598" s="232" t="inlineStr">
        <is>
          <t>[PRORRATEO 2.8% 4.2há/148.3há] O/001450 PAPEL FOTO</t>
        </is>
      </c>
      <c r="M2598" s="232" t="inlineStr"/>
      <c r="N2598" s="232" t="inlineStr">
        <is>
          <t>.   .   -</t>
        </is>
      </c>
      <c r="O2598" s="232" t="inlineStr">
        <is>
          <t>MARZO</t>
        </is>
      </c>
      <c r="P2598" s="232" t="n">
        <v>10</v>
      </c>
      <c r="Q2598" s="234" t="n">
        <v>111</v>
      </c>
      <c r="R2598" s="232" t="inlineStr"/>
      <c r="S2598" s="234" t="n">
        <v>111</v>
      </c>
      <c r="T2598" s="232" t="inlineStr">
        <is>
          <t>CLP</t>
        </is>
      </c>
      <c r="U2598" s="232" t="inlineStr">
        <is>
          <t>Prorrateo Ha PACKING</t>
        </is>
      </c>
      <c r="V2598" s="232" t="inlineStr">
        <is>
          <t>2026-06-18</t>
        </is>
      </c>
    </row>
    <row r="2599">
      <c r="A2599" s="232" t="inlineStr">
        <is>
          <t>CR-2596</t>
        </is>
      </c>
      <c r="B2599" s="232" t="inlineStr">
        <is>
          <t>2026/27</t>
        </is>
      </c>
      <c r="C2599" s="233" t="n">
        <v>46091</v>
      </c>
      <c r="D2599" s="232" t="inlineStr">
        <is>
          <t>291926</t>
        </is>
      </c>
      <c r="E2599" s="232" t="inlineStr">
        <is>
          <t>PRORRATEO</t>
        </is>
      </c>
      <c r="F2599" s="232" t="inlineStr">
        <is>
          <t>Santa Catalina</t>
        </is>
      </c>
      <c r="G2599" s="232" t="inlineStr">
        <is>
          <t>eureka 10,6 ha</t>
        </is>
      </c>
      <c r="H2599" s="232" t="inlineStr">
        <is>
          <t>Limon</t>
        </is>
      </c>
      <c r="I2599" s="232" t="inlineStr">
        <is>
          <t>Eureka</t>
        </is>
      </c>
      <c r="J2599" s="232" t="inlineStr">
        <is>
          <t>GASTOS GENERALES</t>
        </is>
      </c>
      <c r="K2599" s="232" t="inlineStr">
        <is>
          <t>ARTICULOS DE OFICINA</t>
        </is>
      </c>
      <c r="L2599" s="232" t="inlineStr">
        <is>
          <t>[PRORRATEO 7.1% 10.6há/148.3há] O/001450 PAPEL FOTO</t>
        </is>
      </c>
      <c r="M2599" s="232" t="inlineStr"/>
      <c r="N2599" s="232" t="inlineStr">
        <is>
          <t>.   .   -</t>
        </is>
      </c>
      <c r="O2599" s="232" t="inlineStr">
        <is>
          <t>MARZO</t>
        </is>
      </c>
      <c r="P2599" s="232" t="n">
        <v>10</v>
      </c>
      <c r="Q2599" s="234" t="n">
        <v>281</v>
      </c>
      <c r="R2599" s="232" t="inlineStr"/>
      <c r="S2599" s="234" t="n">
        <v>281</v>
      </c>
      <c r="T2599" s="232" t="inlineStr">
        <is>
          <t>CLP</t>
        </is>
      </c>
      <c r="U2599" s="232" t="inlineStr">
        <is>
          <t>Prorrateo Ha PACKING</t>
        </is>
      </c>
      <c r="V2599" s="232" t="inlineStr">
        <is>
          <t>2026-06-18</t>
        </is>
      </c>
    </row>
    <row r="2600">
      <c r="A2600" s="232" t="inlineStr">
        <is>
          <t>CR-2597</t>
        </is>
      </c>
      <c r="B2600" s="232" t="inlineStr">
        <is>
          <t>2026/27</t>
        </is>
      </c>
      <c r="C2600" s="233" t="n">
        <v>46091</v>
      </c>
      <c r="D2600" s="232" t="inlineStr">
        <is>
          <t>291926</t>
        </is>
      </c>
      <c r="E2600" s="232" t="inlineStr">
        <is>
          <t>PRORRATEO</t>
        </is>
      </c>
      <c r="F2600" s="232" t="inlineStr">
        <is>
          <t>Santa Catalina</t>
        </is>
      </c>
      <c r="G2600" s="232" t="inlineStr">
        <is>
          <t>eureka 14,4 ha</t>
        </is>
      </c>
      <c r="H2600" s="232" t="inlineStr">
        <is>
          <t>Limon</t>
        </is>
      </c>
      <c r="I2600" s="232" t="inlineStr">
        <is>
          <t>Eureka</t>
        </is>
      </c>
      <c r="J2600" s="232" t="inlineStr">
        <is>
          <t>GASTOS GENERALES</t>
        </is>
      </c>
      <c r="K2600" s="232" t="inlineStr">
        <is>
          <t>ARTICULOS DE OFICINA</t>
        </is>
      </c>
      <c r="L2600" s="232" t="inlineStr">
        <is>
          <t>[PRORRATEO 9.7% 14.4há/148.3há] O/001450 PAPEL FOTO</t>
        </is>
      </c>
      <c r="M2600" s="232" t="inlineStr"/>
      <c r="N2600" s="232" t="inlineStr">
        <is>
          <t>.   .   -</t>
        </is>
      </c>
      <c r="O2600" s="232" t="inlineStr">
        <is>
          <t>MARZO</t>
        </is>
      </c>
      <c r="P2600" s="232" t="n">
        <v>10</v>
      </c>
      <c r="Q2600" s="234" t="n">
        <v>382</v>
      </c>
      <c r="R2600" s="232" t="inlineStr"/>
      <c r="S2600" s="234" t="n">
        <v>382</v>
      </c>
      <c r="T2600" s="232" t="inlineStr">
        <is>
          <t>CLP</t>
        </is>
      </c>
      <c r="U2600" s="232" t="inlineStr">
        <is>
          <t>Prorrateo Ha PACKING</t>
        </is>
      </c>
      <c r="V2600" s="232" t="inlineStr">
        <is>
          <t>2026-06-18</t>
        </is>
      </c>
    </row>
    <row r="2601">
      <c r="A2601" s="232" t="inlineStr">
        <is>
          <t>CR-2598</t>
        </is>
      </c>
      <c r="B2601" s="232" t="inlineStr">
        <is>
          <t>2026/27</t>
        </is>
      </c>
      <c r="C2601" s="233" t="n">
        <v>46091</v>
      </c>
      <c r="D2601" s="232" t="inlineStr">
        <is>
          <t>291926</t>
        </is>
      </c>
      <c r="E2601" s="232" t="inlineStr">
        <is>
          <t>PRORRATEO</t>
        </is>
      </c>
      <c r="F2601" s="232" t="inlineStr">
        <is>
          <t>Santa Catalina</t>
        </is>
      </c>
      <c r="G2601" s="232" t="inlineStr">
        <is>
          <t>eureka 22,55</t>
        </is>
      </c>
      <c r="H2601" s="232" t="inlineStr">
        <is>
          <t>Limon</t>
        </is>
      </c>
      <c r="I2601" s="232" t="inlineStr">
        <is>
          <t>Eureka</t>
        </is>
      </c>
      <c r="J2601" s="232" t="inlineStr">
        <is>
          <t>GASTOS GENERALES</t>
        </is>
      </c>
      <c r="K2601" s="232" t="inlineStr">
        <is>
          <t>ARTICULOS DE OFICINA</t>
        </is>
      </c>
      <c r="L2601" s="232" t="inlineStr">
        <is>
          <t>[PRORRATEO 15.2% 22.55há/148.3há] O/001450 PAPEL FOTO</t>
        </is>
      </c>
      <c r="M2601" s="232" t="inlineStr"/>
      <c r="N2601" s="232" t="inlineStr">
        <is>
          <t>.   .   -</t>
        </is>
      </c>
      <c r="O2601" s="232" t="inlineStr">
        <is>
          <t>MARZO</t>
        </is>
      </c>
      <c r="P2601" s="232" t="n">
        <v>10</v>
      </c>
      <c r="Q2601" s="234" t="n">
        <v>598</v>
      </c>
      <c r="R2601" s="232" t="inlineStr"/>
      <c r="S2601" s="234" t="n">
        <v>598</v>
      </c>
      <c r="T2601" s="232" t="inlineStr">
        <is>
          <t>CLP</t>
        </is>
      </c>
      <c r="U2601" s="232" t="inlineStr">
        <is>
          <t>Prorrateo Ha PACKING</t>
        </is>
      </c>
      <c r="V2601" s="232" t="inlineStr">
        <is>
          <t>2026-06-18</t>
        </is>
      </c>
    </row>
    <row r="2602">
      <c r="A2602" s="232" t="inlineStr">
        <is>
          <t>CR-2599</t>
        </is>
      </c>
      <c r="B2602" s="232" t="inlineStr">
        <is>
          <t>2026/27</t>
        </is>
      </c>
      <c r="C2602" s="233" t="n">
        <v>46091</v>
      </c>
      <c r="D2602" s="232" t="inlineStr">
        <is>
          <t>291926</t>
        </is>
      </c>
      <c r="E2602" s="232" t="inlineStr">
        <is>
          <t>PRORRATEO</t>
        </is>
      </c>
      <c r="F2602" s="232" t="inlineStr">
        <is>
          <t>Santa Catalina</t>
        </is>
      </c>
      <c r="G2602" s="232" t="inlineStr">
        <is>
          <t>form benjamin 1,93 ha</t>
        </is>
      </c>
      <c r="H2602" s="232" t="inlineStr">
        <is>
          <t>Limon</t>
        </is>
      </c>
      <c r="I2602" s="232" t="inlineStr">
        <is>
          <t>Benjamin andes</t>
        </is>
      </c>
      <c r="J2602" s="232" t="inlineStr">
        <is>
          <t>GASTOS GENERALES</t>
        </is>
      </c>
      <c r="K2602" s="232" t="inlineStr">
        <is>
          <t>ARTICULOS DE OFICINA</t>
        </is>
      </c>
      <c r="L2602" s="232" t="inlineStr">
        <is>
          <t>[PRORRATEO 1.3% 1.93há/148.3há] O/001450 PAPEL FOTO</t>
        </is>
      </c>
      <c r="M2602" s="232" t="inlineStr"/>
      <c r="N2602" s="232" t="inlineStr">
        <is>
          <t>.   .   -</t>
        </is>
      </c>
      <c r="O2602" s="232" t="inlineStr">
        <is>
          <t>MARZO</t>
        </is>
      </c>
      <c r="P2602" s="232" t="n">
        <v>10</v>
      </c>
      <c r="Q2602" s="234" t="n">
        <v>51</v>
      </c>
      <c r="R2602" s="232" t="inlineStr"/>
      <c r="S2602" s="234" t="n">
        <v>51</v>
      </c>
      <c r="T2602" s="232" t="inlineStr">
        <is>
          <t>CLP</t>
        </is>
      </c>
      <c r="U2602" s="232" t="inlineStr">
        <is>
          <t>Prorrateo Ha PACKING</t>
        </is>
      </c>
      <c r="V2602" s="232" t="inlineStr">
        <is>
          <t>2026-06-18</t>
        </is>
      </c>
    </row>
    <row r="2603">
      <c r="A2603" s="232" t="inlineStr">
        <is>
          <t>CR-2600</t>
        </is>
      </c>
      <c r="B2603" s="232" t="inlineStr">
        <is>
          <t>2026/27</t>
        </is>
      </c>
      <c r="C2603" s="233" t="n">
        <v>46091</v>
      </c>
      <c r="D2603" s="232" t="inlineStr">
        <is>
          <t>291926</t>
        </is>
      </c>
      <c r="E2603" s="232" t="inlineStr">
        <is>
          <t>PRORRATEO</t>
        </is>
      </c>
      <c r="F2603" s="232" t="inlineStr">
        <is>
          <t>Santa Catalina</t>
        </is>
      </c>
      <c r="G2603" s="232" t="inlineStr">
        <is>
          <t>mant eureka 2,5 ha</t>
        </is>
      </c>
      <c r="H2603" s="232" t="inlineStr">
        <is>
          <t>Limon</t>
        </is>
      </c>
      <c r="I2603" s="232" t="inlineStr">
        <is>
          <t>Eureka</t>
        </is>
      </c>
      <c r="J2603" s="232" t="inlineStr">
        <is>
          <t>GASTOS GENERALES</t>
        </is>
      </c>
      <c r="K2603" s="232" t="inlineStr">
        <is>
          <t>ARTICULOS DE OFICINA</t>
        </is>
      </c>
      <c r="L2603" s="232" t="inlineStr">
        <is>
          <t>[PRORRATEO 1.7% 2.5há/148.3há] O/001450 PAPEL FOTO</t>
        </is>
      </c>
      <c r="M2603" s="232" t="inlineStr"/>
      <c r="N2603" s="232" t="inlineStr">
        <is>
          <t>.   .   -</t>
        </is>
      </c>
      <c r="O2603" s="232" t="inlineStr">
        <is>
          <t>MARZO</t>
        </is>
      </c>
      <c r="P2603" s="232" t="n">
        <v>10</v>
      </c>
      <c r="Q2603" s="234" t="n">
        <v>66</v>
      </c>
      <c r="R2603" s="232" t="inlineStr"/>
      <c r="S2603" s="234" t="n">
        <v>66</v>
      </c>
      <c r="T2603" s="232" t="inlineStr">
        <is>
          <t>CLP</t>
        </is>
      </c>
      <c r="U2603" s="232" t="inlineStr">
        <is>
          <t>Prorrateo Ha PACKING</t>
        </is>
      </c>
      <c r="V2603" s="232" t="inlineStr">
        <is>
          <t>2026-06-18</t>
        </is>
      </c>
    </row>
    <row r="2604">
      <c r="A2604" s="232" t="inlineStr">
        <is>
          <t>CR-2601</t>
        </is>
      </c>
      <c r="B2604" s="232" t="inlineStr">
        <is>
          <t>2026/27</t>
        </is>
      </c>
      <c r="C2604" s="233" t="n">
        <v>46091</v>
      </c>
      <c r="D2604" s="232" t="inlineStr">
        <is>
          <t>291926</t>
        </is>
      </c>
      <c r="E2604" s="232" t="inlineStr">
        <is>
          <t>PRORRATEO</t>
        </is>
      </c>
      <c r="F2604" s="232" t="inlineStr">
        <is>
          <t>Siberia</t>
        </is>
      </c>
      <c r="G2604" s="232" t="inlineStr">
        <is>
          <t>S. Celebration 7,14</t>
        </is>
      </c>
      <c r="H2604" s="232" t="inlineStr">
        <is>
          <t>Uvas</t>
        </is>
      </c>
      <c r="I2604" s="232" t="inlineStr">
        <is>
          <t>S. celebration</t>
        </is>
      </c>
      <c r="J2604" s="232" t="inlineStr">
        <is>
          <t>GASTOS GENERALES</t>
        </is>
      </c>
      <c r="K2604" s="232" t="inlineStr">
        <is>
          <t>ARTICULOS DE OFICINA</t>
        </is>
      </c>
      <c r="L2604" s="232" t="inlineStr">
        <is>
          <t>[PRORRATEO 4.8% 7.14há/148.3há] O/001450 PAPEL FOTO</t>
        </is>
      </c>
      <c r="M2604" s="232" t="inlineStr"/>
      <c r="N2604" s="232" t="inlineStr">
        <is>
          <t>.   .   -</t>
        </is>
      </c>
      <c r="O2604" s="232" t="inlineStr">
        <is>
          <t>MARZO</t>
        </is>
      </c>
      <c r="P2604" s="232" t="n">
        <v>10</v>
      </c>
      <c r="Q2604" s="234" t="n">
        <v>189</v>
      </c>
      <c r="R2604" s="232" t="inlineStr"/>
      <c r="S2604" s="234" t="n">
        <v>189</v>
      </c>
      <c r="T2604" s="232" t="inlineStr">
        <is>
          <t>CLP</t>
        </is>
      </c>
      <c r="U2604" s="232" t="inlineStr">
        <is>
          <t>Prorrateo Ha PACKING</t>
        </is>
      </c>
      <c r="V2604" s="232" t="inlineStr">
        <is>
          <t>2026-06-18</t>
        </is>
      </c>
    </row>
    <row r="2605">
      <c r="A2605" s="232" t="inlineStr">
        <is>
          <t>CR-2602</t>
        </is>
      </c>
      <c r="B2605" s="232" t="inlineStr">
        <is>
          <t>2026/27</t>
        </is>
      </c>
      <c r="C2605" s="233" t="n">
        <v>46091</v>
      </c>
      <c r="D2605" s="232" t="inlineStr">
        <is>
          <t>291926</t>
        </is>
      </c>
      <c r="E2605" s="232" t="inlineStr">
        <is>
          <t>PRORRATEO</t>
        </is>
      </c>
      <c r="F2605" s="232" t="inlineStr">
        <is>
          <t>Siberia</t>
        </is>
      </c>
      <c r="G2605" s="232" t="inlineStr">
        <is>
          <t>Timpson 7,1</t>
        </is>
      </c>
      <c r="H2605" s="232" t="inlineStr">
        <is>
          <t>Uvas</t>
        </is>
      </c>
      <c r="I2605" s="232" t="inlineStr">
        <is>
          <t>Timpson</t>
        </is>
      </c>
      <c r="J2605" s="232" t="inlineStr">
        <is>
          <t>GASTOS GENERALES</t>
        </is>
      </c>
      <c r="K2605" s="232" t="inlineStr">
        <is>
          <t>ARTICULOS DE OFICINA</t>
        </is>
      </c>
      <c r="L2605" s="232" t="inlineStr">
        <is>
          <t>[PRORRATEO 4.8% 7.1há/148.3há] O/001450 PAPEL FOTO</t>
        </is>
      </c>
      <c r="M2605" s="232" t="inlineStr"/>
      <c r="N2605" s="232" t="inlineStr">
        <is>
          <t>.   .   -</t>
        </is>
      </c>
      <c r="O2605" s="232" t="inlineStr">
        <is>
          <t>MARZO</t>
        </is>
      </c>
      <c r="P2605" s="232" t="n">
        <v>10</v>
      </c>
      <c r="Q2605" s="234" t="n">
        <v>188</v>
      </c>
      <c r="R2605" s="232" t="inlineStr"/>
      <c r="S2605" s="234" t="n">
        <v>188</v>
      </c>
      <c r="T2605" s="232" t="inlineStr">
        <is>
          <t>CLP</t>
        </is>
      </c>
      <c r="U2605" s="232" t="inlineStr">
        <is>
          <t>Prorrateo Ha PACKING</t>
        </is>
      </c>
      <c r="V2605" s="232" t="inlineStr">
        <is>
          <t>2026-06-18</t>
        </is>
      </c>
    </row>
    <row r="2606">
      <c r="A2606" s="232" t="inlineStr">
        <is>
          <t>CR-2603</t>
        </is>
      </c>
      <c r="B2606" s="232" t="inlineStr">
        <is>
          <t>2026/27</t>
        </is>
      </c>
      <c r="C2606" s="233" t="n">
        <v>46091</v>
      </c>
      <c r="D2606" s="232" t="inlineStr">
        <is>
          <t>291926</t>
        </is>
      </c>
      <c r="E2606" s="232" t="inlineStr">
        <is>
          <t>PRORRATEO</t>
        </is>
      </c>
      <c r="F2606" s="232" t="inlineStr">
        <is>
          <t>Asmara</t>
        </is>
      </c>
      <c r="G2606" s="232" t="inlineStr">
        <is>
          <t>w. murcott 19,8 ha</t>
        </is>
      </c>
      <c r="H2606" s="232" t="inlineStr">
        <is>
          <t>Mandarina</t>
        </is>
      </c>
      <c r="I2606" s="232" t="inlineStr">
        <is>
          <t>W. murcott</t>
        </is>
      </c>
      <c r="J2606" s="232" t="inlineStr">
        <is>
          <t>GASTOS GENERALES</t>
        </is>
      </c>
      <c r="K2606" s="232" t="inlineStr">
        <is>
          <t>INSUMOS DE ASEO</t>
        </is>
      </c>
      <c r="L2606" s="232" t="inlineStr">
        <is>
          <t>[PRORRATEO 13.4% 19.8há/148.3há] O/001450 PAÃ‘O MICR</t>
        </is>
      </c>
      <c r="M2606" s="232" t="inlineStr"/>
      <c r="N2606" s="232" t="inlineStr">
        <is>
          <t>.   .   -</t>
        </is>
      </c>
      <c r="O2606" s="232" t="inlineStr">
        <is>
          <t>MARZO</t>
        </is>
      </c>
      <c r="P2606" s="232" t="n">
        <v>10</v>
      </c>
      <c r="Q2606" s="234" t="n">
        <v>642</v>
      </c>
      <c r="R2606" s="232" t="inlineStr"/>
      <c r="S2606" s="234" t="n">
        <v>642</v>
      </c>
      <c r="T2606" s="232" t="inlineStr">
        <is>
          <t>CLP</t>
        </is>
      </c>
      <c r="U2606" s="232" t="inlineStr">
        <is>
          <t>Prorrateo Ha PACKING</t>
        </is>
      </c>
      <c r="V2606" s="232" t="inlineStr">
        <is>
          <t>2026-06-18</t>
        </is>
      </c>
    </row>
    <row r="2607">
      <c r="A2607" s="232" t="inlineStr">
        <is>
          <t>CR-2604</t>
        </is>
      </c>
      <c r="B2607" s="232" t="inlineStr">
        <is>
          <t>2026/27</t>
        </is>
      </c>
      <c r="C2607" s="233" t="n">
        <v>46091</v>
      </c>
      <c r="D2607" s="232" t="inlineStr">
        <is>
          <t>291926</t>
        </is>
      </c>
      <c r="E2607" s="232" t="inlineStr">
        <is>
          <t>PRORRATEO</t>
        </is>
      </c>
      <c r="F2607" s="232" t="inlineStr">
        <is>
          <t>Asmara</t>
        </is>
      </c>
      <c r="G2607" s="232" t="inlineStr">
        <is>
          <t>w. murcott 4,9 ha</t>
        </is>
      </c>
      <c r="H2607" s="232" t="inlineStr">
        <is>
          <t>Mandarina</t>
        </is>
      </c>
      <c r="I2607" s="232" t="inlineStr">
        <is>
          <t>W. murcott</t>
        </is>
      </c>
      <c r="J2607" s="232" t="inlineStr">
        <is>
          <t>GASTOS GENERALES</t>
        </is>
      </c>
      <c r="K2607" s="232" t="inlineStr">
        <is>
          <t>INSUMOS DE ASEO</t>
        </is>
      </c>
      <c r="L2607" s="232" t="inlineStr">
        <is>
          <t>[PRORRATEO 3.3% 4.9há/148.3há] O/001450 PAÃ‘O MICR</t>
        </is>
      </c>
      <c r="M2607" s="232" t="inlineStr"/>
      <c r="N2607" s="232" t="inlineStr">
        <is>
          <t>.   .   -</t>
        </is>
      </c>
      <c r="O2607" s="232" t="inlineStr">
        <is>
          <t>MARZO</t>
        </is>
      </c>
      <c r="P2607" s="232" t="n">
        <v>10</v>
      </c>
      <c r="Q2607" s="234" t="n">
        <v>159</v>
      </c>
      <c r="R2607" s="232" t="inlineStr"/>
      <c r="S2607" s="234" t="n">
        <v>159</v>
      </c>
      <c r="T2607" s="232" t="inlineStr">
        <is>
          <t>CLP</t>
        </is>
      </c>
      <c r="U2607" s="232" t="inlineStr">
        <is>
          <t>Prorrateo Ha PACKING</t>
        </is>
      </c>
      <c r="V2607" s="232" t="inlineStr">
        <is>
          <t>2026-06-18</t>
        </is>
      </c>
    </row>
    <row r="2608">
      <c r="A2608" s="232" t="inlineStr">
        <is>
          <t>CR-2605</t>
        </is>
      </c>
      <c r="B2608" s="232" t="inlineStr">
        <is>
          <t>2026/27</t>
        </is>
      </c>
      <c r="C2608" s="233" t="n">
        <v>46091</v>
      </c>
      <c r="D2608" s="232" t="inlineStr">
        <is>
          <t>291926</t>
        </is>
      </c>
      <c r="E2608" s="232" t="inlineStr">
        <is>
          <t>PRORRATEO</t>
        </is>
      </c>
      <c r="F2608" s="232" t="inlineStr">
        <is>
          <t>El Molle</t>
        </is>
      </c>
      <c r="G2608" s="232" t="inlineStr">
        <is>
          <t>Wonderful 5,25 ha</t>
        </is>
      </c>
      <c r="H2608" s="232" t="inlineStr">
        <is>
          <t>Granados</t>
        </is>
      </c>
      <c r="I2608" s="232" t="inlineStr">
        <is>
          <t>Wonderfull</t>
        </is>
      </c>
      <c r="J2608" s="232" t="inlineStr">
        <is>
          <t>GASTOS GENERALES</t>
        </is>
      </c>
      <c r="K2608" s="232" t="inlineStr">
        <is>
          <t>INSUMOS DE ASEO</t>
        </is>
      </c>
      <c r="L2608" s="232" t="inlineStr">
        <is>
          <t>[PRORRATEO 3.5% 5.24há/148.3há] O/001450 PAÃ‘O MICR</t>
        </is>
      </c>
      <c r="M2608" s="232" t="inlineStr"/>
      <c r="N2608" s="232" t="inlineStr">
        <is>
          <t>.   .   -</t>
        </is>
      </c>
      <c r="O2608" s="232" t="inlineStr">
        <is>
          <t>MARZO</t>
        </is>
      </c>
      <c r="P2608" s="232" t="n">
        <v>10</v>
      </c>
      <c r="Q2608" s="234" t="n">
        <v>170</v>
      </c>
      <c r="R2608" s="232" t="inlineStr"/>
      <c r="S2608" s="234" t="n">
        <v>170</v>
      </c>
      <c r="T2608" s="232" t="inlineStr">
        <is>
          <t>CLP</t>
        </is>
      </c>
      <c r="U2608" s="232" t="inlineStr">
        <is>
          <t>Prorrateo Ha PACKING</t>
        </is>
      </c>
      <c r="V2608" s="232" t="inlineStr">
        <is>
          <t>2026-06-18</t>
        </is>
      </c>
    </row>
    <row r="2609">
      <c r="A2609" s="232" t="inlineStr">
        <is>
          <t>CR-2606</t>
        </is>
      </c>
      <c r="B2609" s="232" t="inlineStr">
        <is>
          <t>2026/27</t>
        </is>
      </c>
      <c r="C2609" s="233" t="n">
        <v>46091</v>
      </c>
      <c r="D2609" s="232" t="inlineStr">
        <is>
          <t>291926</t>
        </is>
      </c>
      <c r="E2609" s="232" t="inlineStr">
        <is>
          <t>PRORRATEO</t>
        </is>
      </c>
      <c r="F2609" s="232" t="inlineStr">
        <is>
          <t>El Molle</t>
        </is>
      </c>
      <c r="G2609" s="232" t="inlineStr">
        <is>
          <t>arrufatinas 5,74 ha</t>
        </is>
      </c>
      <c r="H2609" s="232" t="inlineStr">
        <is>
          <t>Clementinas</t>
        </is>
      </c>
      <c r="I2609" s="232" t="inlineStr">
        <is>
          <t>Arrufatinas</t>
        </is>
      </c>
      <c r="J2609" s="232" t="inlineStr">
        <is>
          <t>GASTOS GENERALES</t>
        </is>
      </c>
      <c r="K2609" s="232" t="inlineStr">
        <is>
          <t>INSUMOS DE ASEO</t>
        </is>
      </c>
      <c r="L2609" s="232" t="inlineStr">
        <is>
          <t>[PRORRATEO 3.9% 5.74há/148.3há] O/001450 PAÃ‘O MICR</t>
        </is>
      </c>
      <c r="M2609" s="232" t="inlineStr"/>
      <c r="N2609" s="232" t="inlineStr">
        <is>
          <t>.   .   -</t>
        </is>
      </c>
      <c r="O2609" s="232" t="inlineStr">
        <is>
          <t>MARZO</t>
        </is>
      </c>
      <c r="P2609" s="232" t="n">
        <v>10</v>
      </c>
      <c r="Q2609" s="234" t="n">
        <v>186</v>
      </c>
      <c r="R2609" s="232" t="inlineStr"/>
      <c r="S2609" s="234" t="n">
        <v>186</v>
      </c>
      <c r="T2609" s="232" t="inlineStr">
        <is>
          <t>CLP</t>
        </is>
      </c>
      <c r="U2609" s="232" t="inlineStr">
        <is>
          <t>Prorrateo Ha PACKING</t>
        </is>
      </c>
      <c r="V2609" s="232" t="inlineStr">
        <is>
          <t>2026-06-18</t>
        </is>
      </c>
    </row>
    <row r="2610">
      <c r="A2610" s="232" t="inlineStr">
        <is>
          <t>CR-2607</t>
        </is>
      </c>
      <c r="B2610" s="232" t="inlineStr">
        <is>
          <t>2026/27</t>
        </is>
      </c>
      <c r="C2610" s="233" t="n">
        <v>46091</v>
      </c>
      <c r="D2610" s="232" t="inlineStr">
        <is>
          <t>291926</t>
        </is>
      </c>
      <c r="E2610" s="232" t="inlineStr">
        <is>
          <t>PRORRATEO</t>
        </is>
      </c>
      <c r="F2610" s="232" t="inlineStr">
        <is>
          <t>El Molle</t>
        </is>
      </c>
      <c r="G2610" s="232" t="inlineStr">
        <is>
          <t>orogrande 8,11 ha</t>
        </is>
      </c>
      <c r="H2610" s="232" t="inlineStr">
        <is>
          <t>Clementinas</t>
        </is>
      </c>
      <c r="I2610" s="232" t="inlineStr">
        <is>
          <t>Orogrande</t>
        </is>
      </c>
      <c r="J2610" s="232" t="inlineStr">
        <is>
          <t>GASTOS GENERALES</t>
        </is>
      </c>
      <c r="K2610" s="232" t="inlineStr">
        <is>
          <t>INSUMOS DE ASEO</t>
        </is>
      </c>
      <c r="L2610" s="232" t="inlineStr">
        <is>
          <t>[PRORRATEO 5.5% 8.11há/148.3há] O/001450 PAÃ‘O MICR</t>
        </is>
      </c>
      <c r="M2610" s="232" t="inlineStr"/>
      <c r="N2610" s="232" t="inlineStr">
        <is>
          <t>.   .   -</t>
        </is>
      </c>
      <c r="O2610" s="232" t="inlineStr">
        <is>
          <t>MARZO</t>
        </is>
      </c>
      <c r="P2610" s="232" t="n">
        <v>10</v>
      </c>
      <c r="Q2610" s="234" t="n">
        <v>263</v>
      </c>
      <c r="R2610" s="232" t="inlineStr"/>
      <c r="S2610" s="234" t="n">
        <v>263</v>
      </c>
      <c r="T2610" s="232" t="inlineStr">
        <is>
          <t>CLP</t>
        </is>
      </c>
      <c r="U2610" s="232" t="inlineStr">
        <is>
          <t>Prorrateo Ha PACKING</t>
        </is>
      </c>
      <c r="V2610" s="232" t="inlineStr">
        <is>
          <t>2026-06-18</t>
        </is>
      </c>
    </row>
    <row r="2611">
      <c r="A2611" s="232" t="inlineStr">
        <is>
          <t>CR-2608</t>
        </is>
      </c>
      <c r="B2611" s="232" t="inlineStr">
        <is>
          <t>2026/27</t>
        </is>
      </c>
      <c r="C2611" s="233" t="n">
        <v>46091</v>
      </c>
      <c r="D2611" s="232" t="inlineStr">
        <is>
          <t>291926</t>
        </is>
      </c>
      <c r="E2611" s="232" t="inlineStr">
        <is>
          <t>PRORRATEO</t>
        </is>
      </c>
      <c r="F2611" s="232" t="inlineStr">
        <is>
          <t>El Molle</t>
        </is>
      </c>
      <c r="G2611" s="232" t="inlineStr">
        <is>
          <t>oronules 5,35 ha</t>
        </is>
      </c>
      <c r="H2611" s="232" t="inlineStr">
        <is>
          <t>Clementinas</t>
        </is>
      </c>
      <c r="I2611" s="232" t="inlineStr">
        <is>
          <t>Oronules</t>
        </is>
      </c>
      <c r="J2611" s="232" t="inlineStr">
        <is>
          <t>GASTOS GENERALES</t>
        </is>
      </c>
      <c r="K2611" s="232" t="inlineStr">
        <is>
          <t>INSUMOS DE ASEO</t>
        </is>
      </c>
      <c r="L2611" s="232" t="inlineStr">
        <is>
          <t>[PRORRATEO 3.6% 5.35há/148.3há] O/001450 PAÃ‘O MICR</t>
        </is>
      </c>
      <c r="M2611" s="232" t="inlineStr"/>
      <c r="N2611" s="232" t="inlineStr">
        <is>
          <t>.   .   -</t>
        </is>
      </c>
      <c r="O2611" s="232" t="inlineStr">
        <is>
          <t>MARZO</t>
        </is>
      </c>
      <c r="P2611" s="232" t="n">
        <v>10</v>
      </c>
      <c r="Q2611" s="234" t="n">
        <v>174</v>
      </c>
      <c r="R2611" s="232" t="inlineStr"/>
      <c r="S2611" s="234" t="n">
        <v>174</v>
      </c>
      <c r="T2611" s="232" t="inlineStr">
        <is>
          <t>CLP</t>
        </is>
      </c>
      <c r="U2611" s="232" t="inlineStr">
        <is>
          <t>Prorrateo Ha PACKING</t>
        </is>
      </c>
      <c r="V2611" s="232" t="inlineStr">
        <is>
          <t>2026-06-18</t>
        </is>
      </c>
    </row>
    <row r="2612">
      <c r="A2612" s="232" t="inlineStr">
        <is>
          <t>CR-2609</t>
        </is>
      </c>
      <c r="B2612" s="232" t="inlineStr">
        <is>
          <t>2026/27</t>
        </is>
      </c>
      <c r="C2612" s="233" t="n">
        <v>46091</v>
      </c>
      <c r="D2612" s="232" t="inlineStr">
        <is>
          <t>291926</t>
        </is>
      </c>
      <c r="E2612" s="232" t="inlineStr">
        <is>
          <t>PRORRATEO</t>
        </is>
      </c>
      <c r="F2612" s="232" t="inlineStr">
        <is>
          <t>Santa Catalina</t>
        </is>
      </c>
      <c r="G2612" s="232" t="inlineStr">
        <is>
          <t>Fino 49 7,7 ha</t>
        </is>
      </c>
      <c r="H2612" s="232" t="inlineStr">
        <is>
          <t>Limon</t>
        </is>
      </c>
      <c r="I2612" s="232" t="inlineStr">
        <is>
          <t>Fino 49</t>
        </is>
      </c>
      <c r="J2612" s="232" t="inlineStr">
        <is>
          <t>GASTOS GENERALES</t>
        </is>
      </c>
      <c r="K2612" s="232" t="inlineStr">
        <is>
          <t>INSUMOS DE ASEO</t>
        </is>
      </c>
      <c r="L2612" s="232" t="inlineStr">
        <is>
          <t>[PRORRATEO 5.2% 7.7há/148.3há] O/001450 PAÃ‘O MICR</t>
        </is>
      </c>
      <c r="M2612" s="232" t="inlineStr"/>
      <c r="N2612" s="232" t="inlineStr">
        <is>
          <t>.   .   -</t>
        </is>
      </c>
      <c r="O2612" s="232" t="inlineStr">
        <is>
          <t>MARZO</t>
        </is>
      </c>
      <c r="P2612" s="232" t="n">
        <v>10</v>
      </c>
      <c r="Q2612" s="234" t="n">
        <v>250</v>
      </c>
      <c r="R2612" s="232" t="inlineStr"/>
      <c r="S2612" s="234" t="n">
        <v>250</v>
      </c>
      <c r="T2612" s="232" t="inlineStr">
        <is>
          <t>CLP</t>
        </is>
      </c>
      <c r="U2612" s="232" t="inlineStr">
        <is>
          <t>Prorrateo Ha PACKING</t>
        </is>
      </c>
      <c r="V2612" s="232" t="inlineStr">
        <is>
          <t>2026-06-18</t>
        </is>
      </c>
    </row>
    <row r="2613">
      <c r="A2613" s="232" t="inlineStr">
        <is>
          <t>CR-2610</t>
        </is>
      </c>
      <c r="B2613" s="232" t="inlineStr">
        <is>
          <t>2026/27</t>
        </is>
      </c>
      <c r="C2613" s="233" t="n">
        <v>46091</v>
      </c>
      <c r="D2613" s="232" t="inlineStr">
        <is>
          <t>291926</t>
        </is>
      </c>
      <c r="E2613" s="232" t="inlineStr">
        <is>
          <t>PRORRATEO</t>
        </is>
      </c>
      <c r="F2613" s="232" t="inlineStr">
        <is>
          <t>Santa Catalina</t>
        </is>
      </c>
      <c r="G2613" s="232" t="inlineStr">
        <is>
          <t>W. murcott 21 ha</t>
        </is>
      </c>
      <c r="H2613" s="232" t="inlineStr">
        <is>
          <t>Mandarina</t>
        </is>
      </c>
      <c r="I2613" s="232" t="inlineStr">
        <is>
          <t>W. murcott</t>
        </is>
      </c>
      <c r="J2613" s="232" t="inlineStr">
        <is>
          <t>GASTOS GENERALES</t>
        </is>
      </c>
      <c r="K2613" s="232" t="inlineStr">
        <is>
          <t>INSUMOS DE ASEO</t>
        </is>
      </c>
      <c r="L2613" s="232" t="inlineStr">
        <is>
          <t>[PRORRATEO 14.2% 21.0há/148.3há] O/001450 PAÃ‘O MICR</t>
        </is>
      </c>
      <c r="M2613" s="232" t="inlineStr"/>
      <c r="N2613" s="232" t="inlineStr">
        <is>
          <t>.   .   -</t>
        </is>
      </c>
      <c r="O2613" s="232" t="inlineStr">
        <is>
          <t>MARZO</t>
        </is>
      </c>
      <c r="P2613" s="232" t="n">
        <v>10</v>
      </c>
      <c r="Q2613" s="234" t="n">
        <v>681</v>
      </c>
      <c r="R2613" s="232" t="inlineStr"/>
      <c r="S2613" s="234" t="n">
        <v>681</v>
      </c>
      <c r="T2613" s="232" t="inlineStr">
        <is>
          <t>CLP</t>
        </is>
      </c>
      <c r="U2613" s="232" t="inlineStr">
        <is>
          <t>Prorrateo Ha PACKING</t>
        </is>
      </c>
      <c r="V2613" s="232" t="inlineStr">
        <is>
          <t>2026-06-18</t>
        </is>
      </c>
    </row>
    <row r="2614">
      <c r="A2614" s="232" t="inlineStr">
        <is>
          <t>CR-2611</t>
        </is>
      </c>
      <c r="B2614" s="232" t="inlineStr">
        <is>
          <t>2026/27</t>
        </is>
      </c>
      <c r="C2614" s="233" t="n">
        <v>46091</v>
      </c>
      <c r="D2614" s="232" t="inlineStr">
        <is>
          <t>291926</t>
        </is>
      </c>
      <c r="E2614" s="232" t="inlineStr">
        <is>
          <t>PRORRATEO</t>
        </is>
      </c>
      <c r="F2614" s="232" t="inlineStr">
        <is>
          <t>Santa Catalina</t>
        </is>
      </c>
      <c r="G2614" s="232" t="inlineStr">
        <is>
          <t>cambria 4,2 ha</t>
        </is>
      </c>
      <c r="H2614" s="232" t="inlineStr">
        <is>
          <t>Naranjas</t>
        </is>
      </c>
      <c r="I2614" s="232" t="inlineStr">
        <is>
          <t>Cambria</t>
        </is>
      </c>
      <c r="J2614" s="232" t="inlineStr">
        <is>
          <t>GASTOS GENERALES</t>
        </is>
      </c>
      <c r="K2614" s="232" t="inlineStr">
        <is>
          <t>INSUMOS DE ASEO</t>
        </is>
      </c>
      <c r="L2614" s="232" t="inlineStr">
        <is>
          <t>[PRORRATEO 2.8% 4.2há/148.3há] O/001450 PAÃ‘O MICR</t>
        </is>
      </c>
      <c r="M2614" s="232" t="inlineStr"/>
      <c r="N2614" s="232" t="inlineStr">
        <is>
          <t>.   .   -</t>
        </is>
      </c>
      <c r="O2614" s="232" t="inlineStr">
        <is>
          <t>MARZO</t>
        </is>
      </c>
      <c r="P2614" s="232" t="n">
        <v>10</v>
      </c>
      <c r="Q2614" s="234" t="n">
        <v>136</v>
      </c>
      <c r="R2614" s="232" t="inlineStr"/>
      <c r="S2614" s="234" t="n">
        <v>136</v>
      </c>
      <c r="T2614" s="232" t="inlineStr">
        <is>
          <t>CLP</t>
        </is>
      </c>
      <c r="U2614" s="232" t="inlineStr">
        <is>
          <t>Prorrateo Ha PACKING</t>
        </is>
      </c>
      <c r="V2614" s="232" t="inlineStr">
        <is>
          <t>2026-06-18</t>
        </is>
      </c>
    </row>
    <row r="2615">
      <c r="A2615" s="232" t="inlineStr">
        <is>
          <t>CR-2612</t>
        </is>
      </c>
      <c r="B2615" s="232" t="inlineStr">
        <is>
          <t>2026/27</t>
        </is>
      </c>
      <c r="C2615" s="233" t="n">
        <v>46091</v>
      </c>
      <c r="D2615" s="232" t="inlineStr">
        <is>
          <t>291926</t>
        </is>
      </c>
      <c r="E2615" s="232" t="inlineStr">
        <is>
          <t>PRORRATEO</t>
        </is>
      </c>
      <c r="F2615" s="232" t="inlineStr">
        <is>
          <t>Santa Catalina</t>
        </is>
      </c>
      <c r="G2615" s="232" t="inlineStr">
        <is>
          <t>eureka 10,6 ha</t>
        </is>
      </c>
      <c r="H2615" s="232" t="inlineStr">
        <is>
          <t>Limon</t>
        </is>
      </c>
      <c r="I2615" s="232" t="inlineStr">
        <is>
          <t>Eureka</t>
        </is>
      </c>
      <c r="J2615" s="232" t="inlineStr">
        <is>
          <t>GASTOS GENERALES</t>
        </is>
      </c>
      <c r="K2615" s="232" t="inlineStr">
        <is>
          <t>INSUMOS DE ASEO</t>
        </is>
      </c>
      <c r="L2615" s="232" t="inlineStr">
        <is>
          <t>[PRORRATEO 7.1% 10.6há/148.3há] O/001450 PAÃ‘O MICR</t>
        </is>
      </c>
      <c r="M2615" s="232" t="inlineStr"/>
      <c r="N2615" s="232" t="inlineStr">
        <is>
          <t>.   .   -</t>
        </is>
      </c>
      <c r="O2615" s="232" t="inlineStr">
        <is>
          <t>MARZO</t>
        </is>
      </c>
      <c r="P2615" s="232" t="n">
        <v>10</v>
      </c>
      <c r="Q2615" s="234" t="n">
        <v>344</v>
      </c>
      <c r="R2615" s="232" t="inlineStr"/>
      <c r="S2615" s="234" t="n">
        <v>344</v>
      </c>
      <c r="T2615" s="232" t="inlineStr">
        <is>
          <t>CLP</t>
        </is>
      </c>
      <c r="U2615" s="232" t="inlineStr">
        <is>
          <t>Prorrateo Ha PACKING</t>
        </is>
      </c>
      <c r="V2615" s="232" t="inlineStr">
        <is>
          <t>2026-06-18</t>
        </is>
      </c>
    </row>
    <row r="2616">
      <c r="A2616" s="232" t="inlineStr">
        <is>
          <t>CR-2613</t>
        </is>
      </c>
      <c r="B2616" s="232" t="inlineStr">
        <is>
          <t>2026/27</t>
        </is>
      </c>
      <c r="C2616" s="233" t="n">
        <v>46091</v>
      </c>
      <c r="D2616" s="232" t="inlineStr">
        <is>
          <t>291926</t>
        </is>
      </c>
      <c r="E2616" s="232" t="inlineStr">
        <is>
          <t>PRORRATEO</t>
        </is>
      </c>
      <c r="F2616" s="232" t="inlineStr">
        <is>
          <t>Santa Catalina</t>
        </is>
      </c>
      <c r="G2616" s="232" t="inlineStr">
        <is>
          <t>eureka 14,4 ha</t>
        </is>
      </c>
      <c r="H2616" s="232" t="inlineStr">
        <is>
          <t>Limon</t>
        </is>
      </c>
      <c r="I2616" s="232" t="inlineStr">
        <is>
          <t>Eureka</t>
        </is>
      </c>
      <c r="J2616" s="232" t="inlineStr">
        <is>
          <t>GASTOS GENERALES</t>
        </is>
      </c>
      <c r="K2616" s="232" t="inlineStr">
        <is>
          <t>INSUMOS DE ASEO</t>
        </is>
      </c>
      <c r="L2616" s="232" t="inlineStr">
        <is>
          <t>[PRORRATEO 9.7% 14.4há/148.3há] O/001450 PAÃ‘O MICR</t>
        </is>
      </c>
      <c r="M2616" s="232" t="inlineStr"/>
      <c r="N2616" s="232" t="inlineStr">
        <is>
          <t>.   .   -</t>
        </is>
      </c>
      <c r="O2616" s="232" t="inlineStr">
        <is>
          <t>MARZO</t>
        </is>
      </c>
      <c r="P2616" s="232" t="n">
        <v>10</v>
      </c>
      <c r="Q2616" s="234" t="n">
        <v>467</v>
      </c>
      <c r="R2616" s="232" t="inlineStr"/>
      <c r="S2616" s="234" t="n">
        <v>467</v>
      </c>
      <c r="T2616" s="232" t="inlineStr">
        <is>
          <t>CLP</t>
        </is>
      </c>
      <c r="U2616" s="232" t="inlineStr">
        <is>
          <t>Prorrateo Ha PACKING</t>
        </is>
      </c>
      <c r="V2616" s="232" t="inlineStr">
        <is>
          <t>2026-06-18</t>
        </is>
      </c>
    </row>
    <row r="2617">
      <c r="A2617" s="232" t="inlineStr">
        <is>
          <t>CR-2614</t>
        </is>
      </c>
      <c r="B2617" s="232" t="inlineStr">
        <is>
          <t>2026/27</t>
        </is>
      </c>
      <c r="C2617" s="233" t="n">
        <v>46091</v>
      </c>
      <c r="D2617" s="232" t="inlineStr">
        <is>
          <t>291926</t>
        </is>
      </c>
      <c r="E2617" s="232" t="inlineStr">
        <is>
          <t>PRORRATEO</t>
        </is>
      </c>
      <c r="F2617" s="232" t="inlineStr">
        <is>
          <t>Santa Catalina</t>
        </is>
      </c>
      <c r="G2617" s="232" t="inlineStr">
        <is>
          <t>eureka 22,55</t>
        </is>
      </c>
      <c r="H2617" s="232" t="inlineStr">
        <is>
          <t>Limon</t>
        </is>
      </c>
      <c r="I2617" s="232" t="inlineStr">
        <is>
          <t>Eureka</t>
        </is>
      </c>
      <c r="J2617" s="232" t="inlineStr">
        <is>
          <t>GASTOS GENERALES</t>
        </is>
      </c>
      <c r="K2617" s="232" t="inlineStr">
        <is>
          <t>INSUMOS DE ASEO</t>
        </is>
      </c>
      <c r="L2617" s="232" t="inlineStr">
        <is>
          <t>[PRORRATEO 15.2% 22.55há/148.3há] O/001450 PAÃ‘O MICR</t>
        </is>
      </c>
      <c r="M2617" s="232" t="inlineStr"/>
      <c r="N2617" s="232" t="inlineStr">
        <is>
          <t>.   .   -</t>
        </is>
      </c>
      <c r="O2617" s="232" t="inlineStr">
        <is>
          <t>MARZO</t>
        </is>
      </c>
      <c r="P2617" s="232" t="n">
        <v>10</v>
      </c>
      <c r="Q2617" s="234" t="n">
        <v>732</v>
      </c>
      <c r="R2617" s="232" t="inlineStr"/>
      <c r="S2617" s="234" t="n">
        <v>732</v>
      </c>
      <c r="T2617" s="232" t="inlineStr">
        <is>
          <t>CLP</t>
        </is>
      </c>
      <c r="U2617" s="232" t="inlineStr">
        <is>
          <t>Prorrateo Ha PACKING</t>
        </is>
      </c>
      <c r="V2617" s="232" t="inlineStr">
        <is>
          <t>2026-06-18</t>
        </is>
      </c>
    </row>
    <row r="2618">
      <c r="A2618" s="232" t="inlineStr">
        <is>
          <t>CR-2615</t>
        </is>
      </c>
      <c r="B2618" s="232" t="inlineStr">
        <is>
          <t>2026/27</t>
        </is>
      </c>
      <c r="C2618" s="233" t="n">
        <v>46091</v>
      </c>
      <c r="D2618" s="232" t="inlineStr">
        <is>
          <t>291926</t>
        </is>
      </c>
      <c r="E2618" s="232" t="inlineStr">
        <is>
          <t>PRORRATEO</t>
        </is>
      </c>
      <c r="F2618" s="232" t="inlineStr">
        <is>
          <t>Santa Catalina</t>
        </is>
      </c>
      <c r="G2618" s="232" t="inlineStr">
        <is>
          <t>form benjamin 1,93 ha</t>
        </is>
      </c>
      <c r="H2618" s="232" t="inlineStr">
        <is>
          <t>Limon</t>
        </is>
      </c>
      <c r="I2618" s="232" t="inlineStr">
        <is>
          <t>Benjamin andes</t>
        </is>
      </c>
      <c r="J2618" s="232" t="inlineStr">
        <is>
          <t>GASTOS GENERALES</t>
        </is>
      </c>
      <c r="K2618" s="232" t="inlineStr">
        <is>
          <t>INSUMOS DE ASEO</t>
        </is>
      </c>
      <c r="L2618" s="232" t="inlineStr">
        <is>
          <t>[PRORRATEO 1.3% 1.93há/148.3há] O/001450 PAÃ‘O MICR</t>
        </is>
      </c>
      <c r="M2618" s="232" t="inlineStr"/>
      <c r="N2618" s="232" t="inlineStr">
        <is>
          <t>.   .   -</t>
        </is>
      </c>
      <c r="O2618" s="232" t="inlineStr">
        <is>
          <t>MARZO</t>
        </is>
      </c>
      <c r="P2618" s="232" t="n">
        <v>10</v>
      </c>
      <c r="Q2618" s="234" t="n">
        <v>63</v>
      </c>
      <c r="R2618" s="232" t="inlineStr"/>
      <c r="S2618" s="234" t="n">
        <v>63</v>
      </c>
      <c r="T2618" s="232" t="inlineStr">
        <is>
          <t>CLP</t>
        </is>
      </c>
      <c r="U2618" s="232" t="inlineStr">
        <is>
          <t>Prorrateo Ha PACKING</t>
        </is>
      </c>
      <c r="V2618" s="232" t="inlineStr">
        <is>
          <t>2026-06-18</t>
        </is>
      </c>
    </row>
    <row r="2619">
      <c r="A2619" s="232" t="inlineStr">
        <is>
          <t>CR-2616</t>
        </is>
      </c>
      <c r="B2619" s="232" t="inlineStr">
        <is>
          <t>2026/27</t>
        </is>
      </c>
      <c r="C2619" s="233" t="n">
        <v>46091</v>
      </c>
      <c r="D2619" s="232" t="inlineStr">
        <is>
          <t>291926</t>
        </is>
      </c>
      <c r="E2619" s="232" t="inlineStr">
        <is>
          <t>PRORRATEO</t>
        </is>
      </c>
      <c r="F2619" s="232" t="inlineStr">
        <is>
          <t>Santa Catalina</t>
        </is>
      </c>
      <c r="G2619" s="232" t="inlineStr">
        <is>
          <t>mant eureka 2,5 ha</t>
        </is>
      </c>
      <c r="H2619" s="232" t="inlineStr">
        <is>
          <t>Limon</t>
        </is>
      </c>
      <c r="I2619" s="232" t="inlineStr">
        <is>
          <t>Eureka</t>
        </is>
      </c>
      <c r="J2619" s="232" t="inlineStr">
        <is>
          <t>GASTOS GENERALES</t>
        </is>
      </c>
      <c r="K2619" s="232" t="inlineStr">
        <is>
          <t>INSUMOS DE ASEO</t>
        </is>
      </c>
      <c r="L2619" s="232" t="inlineStr">
        <is>
          <t>[PRORRATEO 1.7% 2.5há/148.3há] O/001450 PAÃ‘O MICR</t>
        </is>
      </c>
      <c r="M2619" s="232" t="inlineStr"/>
      <c r="N2619" s="232" t="inlineStr">
        <is>
          <t>.   .   -</t>
        </is>
      </c>
      <c r="O2619" s="232" t="inlineStr">
        <is>
          <t>MARZO</t>
        </is>
      </c>
      <c r="P2619" s="232" t="n">
        <v>10</v>
      </c>
      <c r="Q2619" s="234" t="n">
        <v>81</v>
      </c>
      <c r="R2619" s="232" t="inlineStr"/>
      <c r="S2619" s="234" t="n">
        <v>81</v>
      </c>
      <c r="T2619" s="232" t="inlineStr">
        <is>
          <t>CLP</t>
        </is>
      </c>
      <c r="U2619" s="232" t="inlineStr">
        <is>
          <t>Prorrateo Ha PACKING</t>
        </is>
      </c>
      <c r="V2619" s="232" t="inlineStr">
        <is>
          <t>2026-06-18</t>
        </is>
      </c>
    </row>
    <row r="2620">
      <c r="A2620" s="232" t="inlineStr">
        <is>
          <t>CR-2617</t>
        </is>
      </c>
      <c r="B2620" s="232" t="inlineStr">
        <is>
          <t>2026/27</t>
        </is>
      </c>
      <c r="C2620" s="233" t="n">
        <v>46091</v>
      </c>
      <c r="D2620" s="232" t="inlineStr">
        <is>
          <t>291926</t>
        </is>
      </c>
      <c r="E2620" s="232" t="inlineStr">
        <is>
          <t>PRORRATEO</t>
        </is>
      </c>
      <c r="F2620" s="232" t="inlineStr">
        <is>
          <t>Siberia</t>
        </is>
      </c>
      <c r="G2620" s="232" t="inlineStr">
        <is>
          <t>S. Celebration 7,14</t>
        </is>
      </c>
      <c r="H2620" s="232" t="inlineStr">
        <is>
          <t>Uvas</t>
        </is>
      </c>
      <c r="I2620" s="232" t="inlineStr">
        <is>
          <t>S. celebration</t>
        </is>
      </c>
      <c r="J2620" s="232" t="inlineStr">
        <is>
          <t>GASTOS GENERALES</t>
        </is>
      </c>
      <c r="K2620" s="232" t="inlineStr">
        <is>
          <t>INSUMOS DE ASEO</t>
        </is>
      </c>
      <c r="L2620" s="232" t="inlineStr">
        <is>
          <t>[PRORRATEO 4.8% 7.14há/148.3há] O/001450 PAÃ‘O MICR</t>
        </is>
      </c>
      <c r="M2620" s="232" t="inlineStr"/>
      <c r="N2620" s="232" t="inlineStr">
        <is>
          <t>.   .   -</t>
        </is>
      </c>
      <c r="O2620" s="232" t="inlineStr">
        <is>
          <t>MARZO</t>
        </is>
      </c>
      <c r="P2620" s="232" t="n">
        <v>10</v>
      </c>
      <c r="Q2620" s="234" t="n">
        <v>232</v>
      </c>
      <c r="R2620" s="232" t="inlineStr"/>
      <c r="S2620" s="234" t="n">
        <v>232</v>
      </c>
      <c r="T2620" s="232" t="inlineStr">
        <is>
          <t>CLP</t>
        </is>
      </c>
      <c r="U2620" s="232" t="inlineStr">
        <is>
          <t>Prorrateo Ha PACKING</t>
        </is>
      </c>
      <c r="V2620" s="232" t="inlineStr">
        <is>
          <t>2026-06-18</t>
        </is>
      </c>
    </row>
    <row r="2621">
      <c r="A2621" s="232" t="inlineStr">
        <is>
          <t>CR-2618</t>
        </is>
      </c>
      <c r="B2621" s="232" t="inlineStr">
        <is>
          <t>2026/27</t>
        </is>
      </c>
      <c r="C2621" s="233" t="n">
        <v>46091</v>
      </c>
      <c r="D2621" s="232" t="inlineStr">
        <is>
          <t>291926</t>
        </is>
      </c>
      <c r="E2621" s="232" t="inlineStr">
        <is>
          <t>PRORRATEO</t>
        </is>
      </c>
      <c r="F2621" s="232" t="inlineStr">
        <is>
          <t>Siberia</t>
        </is>
      </c>
      <c r="G2621" s="232" t="inlineStr">
        <is>
          <t>Timpson 7,1</t>
        </is>
      </c>
      <c r="H2621" s="232" t="inlineStr">
        <is>
          <t>Uvas</t>
        </is>
      </c>
      <c r="I2621" s="232" t="inlineStr">
        <is>
          <t>Timpson</t>
        </is>
      </c>
      <c r="J2621" s="232" t="inlineStr">
        <is>
          <t>GASTOS GENERALES</t>
        </is>
      </c>
      <c r="K2621" s="232" t="inlineStr">
        <is>
          <t>INSUMOS DE ASEO</t>
        </is>
      </c>
      <c r="L2621" s="232" t="inlineStr">
        <is>
          <t>[PRORRATEO 4.8% 7.1há/148.3há] O/001450 PAÃ‘O MICR</t>
        </is>
      </c>
      <c r="M2621" s="232" t="inlineStr"/>
      <c r="N2621" s="232" t="inlineStr">
        <is>
          <t>.   .   -</t>
        </is>
      </c>
      <c r="O2621" s="232" t="inlineStr">
        <is>
          <t>MARZO</t>
        </is>
      </c>
      <c r="P2621" s="232" t="n">
        <v>10</v>
      </c>
      <c r="Q2621" s="234" t="n">
        <v>230</v>
      </c>
      <c r="R2621" s="232" t="inlineStr"/>
      <c r="S2621" s="234" t="n">
        <v>230</v>
      </c>
      <c r="T2621" s="232" t="inlineStr">
        <is>
          <t>CLP</t>
        </is>
      </c>
      <c r="U2621" s="232" t="inlineStr">
        <is>
          <t>Prorrateo Ha PACKING</t>
        </is>
      </c>
      <c r="V2621" s="232" t="inlineStr">
        <is>
          <t>2026-06-18</t>
        </is>
      </c>
    </row>
    <row r="2622">
      <c r="A2622" s="232" t="inlineStr">
        <is>
          <t>CR-2619</t>
        </is>
      </c>
      <c r="B2622" s="232" t="inlineStr">
        <is>
          <t>2026/27</t>
        </is>
      </c>
      <c r="C2622" s="233" t="n">
        <v>46091</v>
      </c>
      <c r="D2622" s="232" t="inlineStr">
        <is>
          <t>291926</t>
        </is>
      </c>
      <c r="E2622" s="232" t="inlineStr">
        <is>
          <t>PRORRATEO</t>
        </is>
      </c>
      <c r="F2622" s="232" t="inlineStr">
        <is>
          <t>Asmara</t>
        </is>
      </c>
      <c r="G2622" s="232" t="inlineStr">
        <is>
          <t>w. murcott 19,8 ha</t>
        </is>
      </c>
      <c r="H2622" s="232" t="inlineStr">
        <is>
          <t>Mandarina</t>
        </is>
      </c>
      <c r="I2622" s="232" t="inlineStr">
        <is>
          <t>W. murcott</t>
        </is>
      </c>
      <c r="J2622" s="232" t="inlineStr">
        <is>
          <t>GASTOS GENERALES</t>
        </is>
      </c>
      <c r="K2622" s="232" t="inlineStr">
        <is>
          <t>ARTICULOS DE OFICINA</t>
        </is>
      </c>
      <c r="L2622" s="232" t="inlineStr">
        <is>
          <t>[PRORRATEO 13.4% 19.8há/148.3há] O/001450 PILA ALCAL</t>
        </is>
      </c>
      <c r="M2622" s="232" t="inlineStr"/>
      <c r="N2622" s="232" t="inlineStr">
        <is>
          <t>.   .   -</t>
        </is>
      </c>
      <c r="O2622" s="232" t="inlineStr">
        <is>
          <t>MARZO</t>
        </is>
      </c>
      <c r="P2622" s="232" t="n">
        <v>10</v>
      </c>
      <c r="Q2622" s="234" t="n">
        <v>892</v>
      </c>
      <c r="R2622" s="232" t="inlineStr"/>
      <c r="S2622" s="234" t="n">
        <v>892</v>
      </c>
      <c r="T2622" s="232" t="inlineStr">
        <is>
          <t>CLP</t>
        </is>
      </c>
      <c r="U2622" s="232" t="inlineStr">
        <is>
          <t>Prorrateo Ha PACKING</t>
        </is>
      </c>
      <c r="V2622" s="232" t="inlineStr">
        <is>
          <t>2026-06-18</t>
        </is>
      </c>
    </row>
    <row r="2623">
      <c r="A2623" s="232" t="inlineStr">
        <is>
          <t>CR-2620</t>
        </is>
      </c>
      <c r="B2623" s="232" t="inlineStr">
        <is>
          <t>2026/27</t>
        </is>
      </c>
      <c r="C2623" s="233" t="n">
        <v>46091</v>
      </c>
      <c r="D2623" s="232" t="inlineStr">
        <is>
          <t>291926</t>
        </is>
      </c>
      <c r="E2623" s="232" t="inlineStr">
        <is>
          <t>PRORRATEO</t>
        </is>
      </c>
      <c r="F2623" s="232" t="inlineStr">
        <is>
          <t>Asmara</t>
        </is>
      </c>
      <c r="G2623" s="232" t="inlineStr">
        <is>
          <t>w. murcott 4,9 ha</t>
        </is>
      </c>
      <c r="H2623" s="232" t="inlineStr">
        <is>
          <t>Mandarina</t>
        </is>
      </c>
      <c r="I2623" s="232" t="inlineStr">
        <is>
          <t>W. murcott</t>
        </is>
      </c>
      <c r="J2623" s="232" t="inlineStr">
        <is>
          <t>GASTOS GENERALES</t>
        </is>
      </c>
      <c r="K2623" s="232" t="inlineStr">
        <is>
          <t>ARTICULOS DE OFICINA</t>
        </is>
      </c>
      <c r="L2623" s="232" t="inlineStr">
        <is>
          <t>[PRORRATEO 3.3% 4.9há/148.3há] O/001450 PILA ALCAL</t>
        </is>
      </c>
      <c r="M2623" s="232" t="inlineStr"/>
      <c r="N2623" s="232" t="inlineStr">
        <is>
          <t>.   .   -</t>
        </is>
      </c>
      <c r="O2623" s="232" t="inlineStr">
        <is>
          <t>MARZO</t>
        </is>
      </c>
      <c r="P2623" s="232" t="n">
        <v>10</v>
      </c>
      <c r="Q2623" s="234" t="n">
        <v>221</v>
      </c>
      <c r="R2623" s="232" t="inlineStr"/>
      <c r="S2623" s="234" t="n">
        <v>221</v>
      </c>
      <c r="T2623" s="232" t="inlineStr">
        <is>
          <t>CLP</t>
        </is>
      </c>
      <c r="U2623" s="232" t="inlineStr">
        <is>
          <t>Prorrateo Ha PACKING</t>
        </is>
      </c>
      <c r="V2623" s="232" t="inlineStr">
        <is>
          <t>2026-06-18</t>
        </is>
      </c>
    </row>
    <row r="2624">
      <c r="A2624" s="232" t="inlineStr">
        <is>
          <t>CR-2621</t>
        </is>
      </c>
      <c r="B2624" s="232" t="inlineStr">
        <is>
          <t>2026/27</t>
        </is>
      </c>
      <c r="C2624" s="233" t="n">
        <v>46091</v>
      </c>
      <c r="D2624" s="232" t="inlineStr">
        <is>
          <t>291926</t>
        </is>
      </c>
      <c r="E2624" s="232" t="inlineStr">
        <is>
          <t>PRORRATEO</t>
        </is>
      </c>
      <c r="F2624" s="232" t="inlineStr">
        <is>
          <t>El Molle</t>
        </is>
      </c>
      <c r="G2624" s="232" t="inlineStr">
        <is>
          <t>Wonderful 5,25 ha</t>
        </is>
      </c>
      <c r="H2624" s="232" t="inlineStr">
        <is>
          <t>Granados</t>
        </is>
      </c>
      <c r="I2624" s="232" t="inlineStr">
        <is>
          <t>Wonderfull</t>
        </is>
      </c>
      <c r="J2624" s="232" t="inlineStr">
        <is>
          <t>GASTOS GENERALES</t>
        </is>
      </c>
      <c r="K2624" s="232" t="inlineStr">
        <is>
          <t>ARTICULOS DE OFICINA</t>
        </is>
      </c>
      <c r="L2624" s="232" t="inlineStr">
        <is>
          <t>[PRORRATEO 3.5% 5.24há/148.3há] O/001450 PILA ALCAL</t>
        </is>
      </c>
      <c r="M2624" s="232" t="inlineStr"/>
      <c r="N2624" s="232" t="inlineStr">
        <is>
          <t>.   .   -</t>
        </is>
      </c>
      <c r="O2624" s="232" t="inlineStr">
        <is>
          <t>MARZO</t>
        </is>
      </c>
      <c r="P2624" s="232" t="n">
        <v>10</v>
      </c>
      <c r="Q2624" s="234" t="n">
        <v>236</v>
      </c>
      <c r="R2624" s="232" t="inlineStr"/>
      <c r="S2624" s="234" t="n">
        <v>236</v>
      </c>
      <c r="T2624" s="232" t="inlineStr">
        <is>
          <t>CLP</t>
        </is>
      </c>
      <c r="U2624" s="232" t="inlineStr">
        <is>
          <t>Prorrateo Ha PACKING</t>
        </is>
      </c>
      <c r="V2624" s="232" t="inlineStr">
        <is>
          <t>2026-06-18</t>
        </is>
      </c>
    </row>
    <row r="2625">
      <c r="A2625" s="232" t="inlineStr">
        <is>
          <t>CR-2622</t>
        </is>
      </c>
      <c r="B2625" s="232" t="inlineStr">
        <is>
          <t>2026/27</t>
        </is>
      </c>
      <c r="C2625" s="233" t="n">
        <v>46091</v>
      </c>
      <c r="D2625" s="232" t="inlineStr">
        <is>
          <t>291926</t>
        </is>
      </c>
      <c r="E2625" s="232" t="inlineStr">
        <is>
          <t>PRORRATEO</t>
        </is>
      </c>
      <c r="F2625" s="232" t="inlineStr">
        <is>
          <t>El Molle</t>
        </is>
      </c>
      <c r="G2625" s="232" t="inlineStr">
        <is>
          <t>arrufatinas 5,74 ha</t>
        </is>
      </c>
      <c r="H2625" s="232" t="inlineStr">
        <is>
          <t>Clementinas</t>
        </is>
      </c>
      <c r="I2625" s="232" t="inlineStr">
        <is>
          <t>Arrufatinas</t>
        </is>
      </c>
      <c r="J2625" s="232" t="inlineStr">
        <is>
          <t>GASTOS GENERALES</t>
        </is>
      </c>
      <c r="K2625" s="232" t="inlineStr">
        <is>
          <t>ARTICULOS DE OFICINA</t>
        </is>
      </c>
      <c r="L2625" s="232" t="inlineStr">
        <is>
          <t>[PRORRATEO 3.9% 5.74há/148.3há] O/001450 PILA ALCAL</t>
        </is>
      </c>
      <c r="M2625" s="232" t="inlineStr"/>
      <c r="N2625" s="232" t="inlineStr">
        <is>
          <t>.   .   -</t>
        </is>
      </c>
      <c r="O2625" s="232" t="inlineStr">
        <is>
          <t>MARZO</t>
        </is>
      </c>
      <c r="P2625" s="232" t="n">
        <v>10</v>
      </c>
      <c r="Q2625" s="234" t="n">
        <v>258</v>
      </c>
      <c r="R2625" s="232" t="inlineStr"/>
      <c r="S2625" s="234" t="n">
        <v>258</v>
      </c>
      <c r="T2625" s="232" t="inlineStr">
        <is>
          <t>CLP</t>
        </is>
      </c>
      <c r="U2625" s="232" t="inlineStr">
        <is>
          <t>Prorrateo Ha PACKING</t>
        </is>
      </c>
      <c r="V2625" s="232" t="inlineStr">
        <is>
          <t>2026-06-18</t>
        </is>
      </c>
    </row>
    <row r="2626">
      <c r="A2626" s="232" t="inlineStr">
        <is>
          <t>CR-2623</t>
        </is>
      </c>
      <c r="B2626" s="232" t="inlineStr">
        <is>
          <t>2026/27</t>
        </is>
      </c>
      <c r="C2626" s="233" t="n">
        <v>46091</v>
      </c>
      <c r="D2626" s="232" t="inlineStr">
        <is>
          <t>291926</t>
        </is>
      </c>
      <c r="E2626" s="232" t="inlineStr">
        <is>
          <t>PRORRATEO</t>
        </is>
      </c>
      <c r="F2626" s="232" t="inlineStr">
        <is>
          <t>El Molle</t>
        </is>
      </c>
      <c r="G2626" s="232" t="inlineStr">
        <is>
          <t>orogrande 8,11 ha</t>
        </is>
      </c>
      <c r="H2626" s="232" t="inlineStr">
        <is>
          <t>Clementinas</t>
        </is>
      </c>
      <c r="I2626" s="232" t="inlineStr">
        <is>
          <t>Orogrande</t>
        </is>
      </c>
      <c r="J2626" s="232" t="inlineStr">
        <is>
          <t>GASTOS GENERALES</t>
        </is>
      </c>
      <c r="K2626" s="232" t="inlineStr">
        <is>
          <t>ARTICULOS DE OFICINA</t>
        </is>
      </c>
      <c r="L2626" s="232" t="inlineStr">
        <is>
          <t>[PRORRATEO 5.5% 8.11há/148.3há] O/001450 PILA ALCAL</t>
        </is>
      </c>
      <c r="M2626" s="232" t="inlineStr"/>
      <c r="N2626" s="232" t="inlineStr">
        <is>
          <t>.   .   -</t>
        </is>
      </c>
      <c r="O2626" s="232" t="inlineStr">
        <is>
          <t>MARZO</t>
        </is>
      </c>
      <c r="P2626" s="232" t="n">
        <v>10</v>
      </c>
      <c r="Q2626" s="234" t="n">
        <v>365</v>
      </c>
      <c r="R2626" s="232" t="inlineStr"/>
      <c r="S2626" s="234" t="n">
        <v>365</v>
      </c>
      <c r="T2626" s="232" t="inlineStr">
        <is>
          <t>CLP</t>
        </is>
      </c>
      <c r="U2626" s="232" t="inlineStr">
        <is>
          <t>Prorrateo Ha PACKING</t>
        </is>
      </c>
      <c r="V2626" s="232" t="inlineStr">
        <is>
          <t>2026-06-18</t>
        </is>
      </c>
    </row>
    <row r="2627">
      <c r="A2627" s="232" t="inlineStr">
        <is>
          <t>CR-2624</t>
        </is>
      </c>
      <c r="B2627" s="232" t="inlineStr">
        <is>
          <t>2026/27</t>
        </is>
      </c>
      <c r="C2627" s="233" t="n">
        <v>46091</v>
      </c>
      <c r="D2627" s="232" t="inlineStr">
        <is>
          <t>291926</t>
        </is>
      </c>
      <c r="E2627" s="232" t="inlineStr">
        <is>
          <t>PRORRATEO</t>
        </is>
      </c>
      <c r="F2627" s="232" t="inlineStr">
        <is>
          <t>El Molle</t>
        </is>
      </c>
      <c r="G2627" s="232" t="inlineStr">
        <is>
          <t>oronules 5,35 ha</t>
        </is>
      </c>
      <c r="H2627" s="232" t="inlineStr">
        <is>
          <t>Clementinas</t>
        </is>
      </c>
      <c r="I2627" s="232" t="inlineStr">
        <is>
          <t>Oronules</t>
        </is>
      </c>
      <c r="J2627" s="232" t="inlineStr">
        <is>
          <t>GASTOS GENERALES</t>
        </is>
      </c>
      <c r="K2627" s="232" t="inlineStr">
        <is>
          <t>ARTICULOS DE OFICINA</t>
        </is>
      </c>
      <c r="L2627" s="232" t="inlineStr">
        <is>
          <t>[PRORRATEO 3.6% 5.35há/148.3há] O/001450 PILA ALCAL</t>
        </is>
      </c>
      <c r="M2627" s="232" t="inlineStr"/>
      <c r="N2627" s="232" t="inlineStr">
        <is>
          <t>.   .   -</t>
        </is>
      </c>
      <c r="O2627" s="232" t="inlineStr">
        <is>
          <t>MARZO</t>
        </is>
      </c>
      <c r="P2627" s="232" t="n">
        <v>10</v>
      </c>
      <c r="Q2627" s="234" t="n">
        <v>241</v>
      </c>
      <c r="R2627" s="232" t="inlineStr"/>
      <c r="S2627" s="234" t="n">
        <v>241</v>
      </c>
      <c r="T2627" s="232" t="inlineStr">
        <is>
          <t>CLP</t>
        </is>
      </c>
      <c r="U2627" s="232" t="inlineStr">
        <is>
          <t>Prorrateo Ha PACKING</t>
        </is>
      </c>
      <c r="V2627" s="232" t="inlineStr">
        <is>
          <t>2026-06-18</t>
        </is>
      </c>
    </row>
    <row r="2628">
      <c r="A2628" s="232" t="inlineStr">
        <is>
          <t>CR-2625</t>
        </is>
      </c>
      <c r="B2628" s="232" t="inlineStr">
        <is>
          <t>2026/27</t>
        </is>
      </c>
      <c r="C2628" s="233" t="n">
        <v>46091</v>
      </c>
      <c r="D2628" s="232" t="inlineStr">
        <is>
          <t>291926</t>
        </is>
      </c>
      <c r="E2628" s="232" t="inlineStr">
        <is>
          <t>PRORRATEO</t>
        </is>
      </c>
      <c r="F2628" s="232" t="inlineStr">
        <is>
          <t>Santa Catalina</t>
        </is>
      </c>
      <c r="G2628" s="232" t="inlineStr">
        <is>
          <t>Fino 49 7,7 ha</t>
        </is>
      </c>
      <c r="H2628" s="232" t="inlineStr">
        <is>
          <t>Limon</t>
        </is>
      </c>
      <c r="I2628" s="232" t="inlineStr">
        <is>
          <t>Fino 49</t>
        </is>
      </c>
      <c r="J2628" s="232" t="inlineStr">
        <is>
          <t>GASTOS GENERALES</t>
        </is>
      </c>
      <c r="K2628" s="232" t="inlineStr">
        <is>
          <t>ARTICULOS DE OFICINA</t>
        </is>
      </c>
      <c r="L2628" s="232" t="inlineStr">
        <is>
          <t>[PRORRATEO 5.2% 7.7há/148.3há] O/001450 PILA ALCAL</t>
        </is>
      </c>
      <c r="M2628" s="232" t="inlineStr"/>
      <c r="N2628" s="232" t="inlineStr">
        <is>
          <t>.   .   -</t>
        </is>
      </c>
      <c r="O2628" s="232" t="inlineStr">
        <is>
          <t>MARZO</t>
        </is>
      </c>
      <c r="P2628" s="232" t="n">
        <v>10</v>
      </c>
      <c r="Q2628" s="234" t="n">
        <v>347</v>
      </c>
      <c r="R2628" s="232" t="inlineStr"/>
      <c r="S2628" s="234" t="n">
        <v>347</v>
      </c>
      <c r="T2628" s="232" t="inlineStr">
        <is>
          <t>CLP</t>
        </is>
      </c>
      <c r="U2628" s="232" t="inlineStr">
        <is>
          <t>Prorrateo Ha PACKING</t>
        </is>
      </c>
      <c r="V2628" s="232" t="inlineStr">
        <is>
          <t>2026-06-18</t>
        </is>
      </c>
    </row>
    <row r="2629">
      <c r="A2629" s="232" t="inlineStr">
        <is>
          <t>CR-2626</t>
        </is>
      </c>
      <c r="B2629" s="232" t="inlineStr">
        <is>
          <t>2026/27</t>
        </is>
      </c>
      <c r="C2629" s="233" t="n">
        <v>46091</v>
      </c>
      <c r="D2629" s="232" t="inlineStr">
        <is>
          <t>291926</t>
        </is>
      </c>
      <c r="E2629" s="232" t="inlineStr">
        <is>
          <t>PRORRATEO</t>
        </is>
      </c>
      <c r="F2629" s="232" t="inlineStr">
        <is>
          <t>Santa Catalina</t>
        </is>
      </c>
      <c r="G2629" s="232" t="inlineStr">
        <is>
          <t>W. murcott 21 ha</t>
        </is>
      </c>
      <c r="H2629" s="232" t="inlineStr">
        <is>
          <t>Mandarina</t>
        </is>
      </c>
      <c r="I2629" s="232" t="inlineStr">
        <is>
          <t>W. murcott</t>
        </is>
      </c>
      <c r="J2629" s="232" t="inlineStr">
        <is>
          <t>GASTOS GENERALES</t>
        </is>
      </c>
      <c r="K2629" s="232" t="inlineStr">
        <is>
          <t>ARTICULOS DE OFICINA</t>
        </is>
      </c>
      <c r="L2629" s="232" t="inlineStr">
        <is>
          <t>[PRORRATEO 14.2% 21.0há/148.3há] O/001450 PILA ALCAL</t>
        </is>
      </c>
      <c r="M2629" s="232" t="inlineStr"/>
      <c r="N2629" s="232" t="inlineStr">
        <is>
          <t>.   .   -</t>
        </is>
      </c>
      <c r="O2629" s="232" t="inlineStr">
        <is>
          <t>MARZO</t>
        </is>
      </c>
      <c r="P2629" s="232" t="n">
        <v>10</v>
      </c>
      <c r="Q2629" s="234" t="n">
        <v>946</v>
      </c>
      <c r="R2629" s="232" t="inlineStr"/>
      <c r="S2629" s="234" t="n">
        <v>946</v>
      </c>
      <c r="T2629" s="232" t="inlineStr">
        <is>
          <t>CLP</t>
        </is>
      </c>
      <c r="U2629" s="232" t="inlineStr">
        <is>
          <t>Prorrateo Ha PACKING</t>
        </is>
      </c>
      <c r="V2629" s="232" t="inlineStr">
        <is>
          <t>2026-06-18</t>
        </is>
      </c>
    </row>
    <row r="2630">
      <c r="A2630" s="232" t="inlineStr">
        <is>
          <t>CR-2627</t>
        </is>
      </c>
      <c r="B2630" s="232" t="inlineStr">
        <is>
          <t>2026/27</t>
        </is>
      </c>
      <c r="C2630" s="233" t="n">
        <v>46091</v>
      </c>
      <c r="D2630" s="232" t="inlineStr">
        <is>
          <t>291926</t>
        </is>
      </c>
      <c r="E2630" s="232" t="inlineStr">
        <is>
          <t>PRORRATEO</t>
        </is>
      </c>
      <c r="F2630" s="232" t="inlineStr">
        <is>
          <t>Santa Catalina</t>
        </is>
      </c>
      <c r="G2630" s="232" t="inlineStr">
        <is>
          <t>cambria 4,2 ha</t>
        </is>
      </c>
      <c r="H2630" s="232" t="inlineStr">
        <is>
          <t>Naranjas</t>
        </is>
      </c>
      <c r="I2630" s="232" t="inlineStr">
        <is>
          <t>Cambria</t>
        </is>
      </c>
      <c r="J2630" s="232" t="inlineStr">
        <is>
          <t>GASTOS GENERALES</t>
        </is>
      </c>
      <c r="K2630" s="232" t="inlineStr">
        <is>
          <t>ARTICULOS DE OFICINA</t>
        </is>
      </c>
      <c r="L2630" s="232" t="inlineStr">
        <is>
          <t>[PRORRATEO 2.8% 4.2há/148.3há] O/001450 PILA ALCAL</t>
        </is>
      </c>
      <c r="M2630" s="232" t="inlineStr"/>
      <c r="N2630" s="232" t="inlineStr">
        <is>
          <t>.   .   -</t>
        </is>
      </c>
      <c r="O2630" s="232" t="inlineStr">
        <is>
          <t>MARZO</t>
        </is>
      </c>
      <c r="P2630" s="232" t="n">
        <v>10</v>
      </c>
      <c r="Q2630" s="234" t="n">
        <v>189</v>
      </c>
      <c r="R2630" s="232" t="inlineStr"/>
      <c r="S2630" s="234" t="n">
        <v>189</v>
      </c>
      <c r="T2630" s="232" t="inlineStr">
        <is>
          <t>CLP</t>
        </is>
      </c>
      <c r="U2630" s="232" t="inlineStr">
        <is>
          <t>Prorrateo Ha PACKING</t>
        </is>
      </c>
      <c r="V2630" s="232" t="inlineStr">
        <is>
          <t>2026-06-18</t>
        </is>
      </c>
    </row>
    <row r="2631">
      <c r="A2631" s="232" t="inlineStr">
        <is>
          <t>CR-2628</t>
        </is>
      </c>
      <c r="B2631" s="232" t="inlineStr">
        <is>
          <t>2026/27</t>
        </is>
      </c>
      <c r="C2631" s="233" t="n">
        <v>46091</v>
      </c>
      <c r="D2631" s="232" t="inlineStr">
        <is>
          <t>291926</t>
        </is>
      </c>
      <c r="E2631" s="232" t="inlineStr">
        <is>
          <t>PRORRATEO</t>
        </is>
      </c>
      <c r="F2631" s="232" t="inlineStr">
        <is>
          <t>Santa Catalina</t>
        </is>
      </c>
      <c r="G2631" s="232" t="inlineStr">
        <is>
          <t>eureka 10,6 ha</t>
        </is>
      </c>
      <c r="H2631" s="232" t="inlineStr">
        <is>
          <t>Limon</t>
        </is>
      </c>
      <c r="I2631" s="232" t="inlineStr">
        <is>
          <t>Eureka</t>
        </is>
      </c>
      <c r="J2631" s="232" t="inlineStr">
        <is>
          <t>GASTOS GENERALES</t>
        </is>
      </c>
      <c r="K2631" s="232" t="inlineStr">
        <is>
          <t>ARTICULOS DE OFICINA</t>
        </is>
      </c>
      <c r="L2631" s="232" t="inlineStr">
        <is>
          <t>[PRORRATEO 7.1% 10.6há/148.3há] O/001450 PILA ALCAL</t>
        </is>
      </c>
      <c r="M2631" s="232" t="inlineStr"/>
      <c r="N2631" s="232" t="inlineStr">
        <is>
          <t>.   .   -</t>
        </is>
      </c>
      <c r="O2631" s="232" t="inlineStr">
        <is>
          <t>MARZO</t>
        </is>
      </c>
      <c r="P2631" s="232" t="n">
        <v>10</v>
      </c>
      <c r="Q2631" s="234" t="n">
        <v>477</v>
      </c>
      <c r="R2631" s="232" t="inlineStr"/>
      <c r="S2631" s="234" t="n">
        <v>477</v>
      </c>
      <c r="T2631" s="232" t="inlineStr">
        <is>
          <t>CLP</t>
        </is>
      </c>
      <c r="U2631" s="232" t="inlineStr">
        <is>
          <t>Prorrateo Ha PACKING</t>
        </is>
      </c>
      <c r="V2631" s="232" t="inlineStr">
        <is>
          <t>2026-06-18</t>
        </is>
      </c>
    </row>
    <row r="2632">
      <c r="A2632" s="232" t="inlineStr">
        <is>
          <t>CR-2629</t>
        </is>
      </c>
      <c r="B2632" s="232" t="inlineStr">
        <is>
          <t>2026/27</t>
        </is>
      </c>
      <c r="C2632" s="233" t="n">
        <v>46091</v>
      </c>
      <c r="D2632" s="232" t="inlineStr">
        <is>
          <t>291926</t>
        </is>
      </c>
      <c r="E2632" s="232" t="inlineStr">
        <is>
          <t>PRORRATEO</t>
        </is>
      </c>
      <c r="F2632" s="232" t="inlineStr">
        <is>
          <t>Santa Catalina</t>
        </is>
      </c>
      <c r="G2632" s="232" t="inlineStr">
        <is>
          <t>eureka 14,4 ha</t>
        </is>
      </c>
      <c r="H2632" s="232" t="inlineStr">
        <is>
          <t>Limon</t>
        </is>
      </c>
      <c r="I2632" s="232" t="inlineStr">
        <is>
          <t>Eureka</t>
        </is>
      </c>
      <c r="J2632" s="232" t="inlineStr">
        <is>
          <t>GASTOS GENERALES</t>
        </is>
      </c>
      <c r="K2632" s="232" t="inlineStr">
        <is>
          <t>ARTICULOS DE OFICINA</t>
        </is>
      </c>
      <c r="L2632" s="232" t="inlineStr">
        <is>
          <t>[PRORRATEO 9.7% 14.4há/148.3há] O/001450 PILA ALCAL</t>
        </is>
      </c>
      <c r="M2632" s="232" t="inlineStr"/>
      <c r="N2632" s="232" t="inlineStr">
        <is>
          <t>.   .   -</t>
        </is>
      </c>
      <c r="O2632" s="232" t="inlineStr">
        <is>
          <t>MARZO</t>
        </is>
      </c>
      <c r="P2632" s="232" t="n">
        <v>10</v>
      </c>
      <c r="Q2632" s="234" t="n">
        <v>648</v>
      </c>
      <c r="R2632" s="232" t="inlineStr"/>
      <c r="S2632" s="234" t="n">
        <v>648</v>
      </c>
      <c r="T2632" s="232" t="inlineStr">
        <is>
          <t>CLP</t>
        </is>
      </c>
      <c r="U2632" s="232" t="inlineStr">
        <is>
          <t>Prorrateo Ha PACKING</t>
        </is>
      </c>
      <c r="V2632" s="232" t="inlineStr">
        <is>
          <t>2026-06-18</t>
        </is>
      </c>
    </row>
    <row r="2633">
      <c r="A2633" s="232" t="inlineStr">
        <is>
          <t>CR-2630</t>
        </is>
      </c>
      <c r="B2633" s="232" t="inlineStr">
        <is>
          <t>2026/27</t>
        </is>
      </c>
      <c r="C2633" s="233" t="n">
        <v>46091</v>
      </c>
      <c r="D2633" s="232" t="inlineStr">
        <is>
          <t>291926</t>
        </is>
      </c>
      <c r="E2633" s="232" t="inlineStr">
        <is>
          <t>PRORRATEO</t>
        </is>
      </c>
      <c r="F2633" s="232" t="inlineStr">
        <is>
          <t>Santa Catalina</t>
        </is>
      </c>
      <c r="G2633" s="232" t="inlineStr">
        <is>
          <t>eureka 22,55</t>
        </is>
      </c>
      <c r="H2633" s="232" t="inlineStr">
        <is>
          <t>Limon</t>
        </is>
      </c>
      <c r="I2633" s="232" t="inlineStr">
        <is>
          <t>Eureka</t>
        </is>
      </c>
      <c r="J2633" s="232" t="inlineStr">
        <is>
          <t>GASTOS GENERALES</t>
        </is>
      </c>
      <c r="K2633" s="232" t="inlineStr">
        <is>
          <t>ARTICULOS DE OFICINA</t>
        </is>
      </c>
      <c r="L2633" s="232" t="inlineStr">
        <is>
          <t>[PRORRATEO 15.2% 22.55há/148.3há] O/001450 PILA ALCAL</t>
        </is>
      </c>
      <c r="M2633" s="232" t="inlineStr"/>
      <c r="N2633" s="232" t="inlineStr">
        <is>
          <t>.   .   -</t>
        </is>
      </c>
      <c r="O2633" s="232" t="inlineStr">
        <is>
          <t>MARZO</t>
        </is>
      </c>
      <c r="P2633" s="232" t="n">
        <v>10</v>
      </c>
      <c r="Q2633" s="234" t="n">
        <v>1015</v>
      </c>
      <c r="R2633" s="232" t="inlineStr"/>
      <c r="S2633" s="234" t="n">
        <v>1015</v>
      </c>
      <c r="T2633" s="232" t="inlineStr">
        <is>
          <t>CLP</t>
        </is>
      </c>
      <c r="U2633" s="232" t="inlineStr">
        <is>
          <t>Prorrateo Ha PACKING</t>
        </is>
      </c>
      <c r="V2633" s="232" t="inlineStr">
        <is>
          <t>2026-06-18</t>
        </is>
      </c>
    </row>
    <row r="2634">
      <c r="A2634" s="232" t="inlineStr">
        <is>
          <t>CR-2631</t>
        </is>
      </c>
      <c r="B2634" s="232" t="inlineStr">
        <is>
          <t>2026/27</t>
        </is>
      </c>
      <c r="C2634" s="233" t="n">
        <v>46091</v>
      </c>
      <c r="D2634" s="232" t="inlineStr">
        <is>
          <t>291926</t>
        </is>
      </c>
      <c r="E2634" s="232" t="inlineStr">
        <is>
          <t>PRORRATEO</t>
        </is>
      </c>
      <c r="F2634" s="232" t="inlineStr">
        <is>
          <t>Santa Catalina</t>
        </is>
      </c>
      <c r="G2634" s="232" t="inlineStr">
        <is>
          <t>form benjamin 1,93 ha</t>
        </is>
      </c>
      <c r="H2634" s="232" t="inlineStr">
        <is>
          <t>Limon</t>
        </is>
      </c>
      <c r="I2634" s="232" t="inlineStr">
        <is>
          <t>Benjamin andes</t>
        </is>
      </c>
      <c r="J2634" s="232" t="inlineStr">
        <is>
          <t>GASTOS GENERALES</t>
        </is>
      </c>
      <c r="K2634" s="232" t="inlineStr">
        <is>
          <t>ARTICULOS DE OFICINA</t>
        </is>
      </c>
      <c r="L2634" s="232" t="inlineStr">
        <is>
          <t>[PRORRATEO 1.3% 1.93há/148.3há] O/001450 PILA ALCAL</t>
        </is>
      </c>
      <c r="M2634" s="232" t="inlineStr"/>
      <c r="N2634" s="232" t="inlineStr">
        <is>
          <t>.   .   -</t>
        </is>
      </c>
      <c r="O2634" s="232" t="inlineStr">
        <is>
          <t>MARZO</t>
        </is>
      </c>
      <c r="P2634" s="232" t="n">
        <v>10</v>
      </c>
      <c r="Q2634" s="234" t="n">
        <v>87</v>
      </c>
      <c r="R2634" s="232" t="inlineStr"/>
      <c r="S2634" s="234" t="n">
        <v>87</v>
      </c>
      <c r="T2634" s="232" t="inlineStr">
        <is>
          <t>CLP</t>
        </is>
      </c>
      <c r="U2634" s="232" t="inlineStr">
        <is>
          <t>Prorrateo Ha PACKING</t>
        </is>
      </c>
      <c r="V2634" s="232" t="inlineStr">
        <is>
          <t>2026-06-18</t>
        </is>
      </c>
    </row>
    <row r="2635">
      <c r="A2635" s="232" t="inlineStr">
        <is>
          <t>CR-2632</t>
        </is>
      </c>
      <c r="B2635" s="232" t="inlineStr">
        <is>
          <t>2026/27</t>
        </is>
      </c>
      <c r="C2635" s="233" t="n">
        <v>46091</v>
      </c>
      <c r="D2635" s="232" t="inlineStr">
        <is>
          <t>291926</t>
        </is>
      </c>
      <c r="E2635" s="232" t="inlineStr">
        <is>
          <t>PRORRATEO</t>
        </is>
      </c>
      <c r="F2635" s="232" t="inlineStr">
        <is>
          <t>Santa Catalina</t>
        </is>
      </c>
      <c r="G2635" s="232" t="inlineStr">
        <is>
          <t>mant eureka 2,5 ha</t>
        </is>
      </c>
      <c r="H2635" s="232" t="inlineStr">
        <is>
          <t>Limon</t>
        </is>
      </c>
      <c r="I2635" s="232" t="inlineStr">
        <is>
          <t>Eureka</t>
        </is>
      </c>
      <c r="J2635" s="232" t="inlineStr">
        <is>
          <t>GASTOS GENERALES</t>
        </is>
      </c>
      <c r="K2635" s="232" t="inlineStr">
        <is>
          <t>ARTICULOS DE OFICINA</t>
        </is>
      </c>
      <c r="L2635" s="232" t="inlineStr">
        <is>
          <t>[PRORRATEO 1.7% 2.5há/148.3há] O/001450 PILA ALCAL</t>
        </is>
      </c>
      <c r="M2635" s="232" t="inlineStr"/>
      <c r="N2635" s="232" t="inlineStr">
        <is>
          <t>.   .   -</t>
        </is>
      </c>
      <c r="O2635" s="232" t="inlineStr">
        <is>
          <t>MARZO</t>
        </is>
      </c>
      <c r="P2635" s="232" t="n">
        <v>10</v>
      </c>
      <c r="Q2635" s="234" t="n">
        <v>113</v>
      </c>
      <c r="R2635" s="232" t="inlineStr"/>
      <c r="S2635" s="234" t="n">
        <v>113</v>
      </c>
      <c r="T2635" s="232" t="inlineStr">
        <is>
          <t>CLP</t>
        </is>
      </c>
      <c r="U2635" s="232" t="inlineStr">
        <is>
          <t>Prorrateo Ha PACKING</t>
        </is>
      </c>
      <c r="V2635" s="232" t="inlineStr">
        <is>
          <t>2026-06-18</t>
        </is>
      </c>
    </row>
    <row r="2636">
      <c r="A2636" s="232" t="inlineStr">
        <is>
          <t>CR-2633</t>
        </is>
      </c>
      <c r="B2636" s="232" t="inlineStr">
        <is>
          <t>2026/27</t>
        </is>
      </c>
      <c r="C2636" s="233" t="n">
        <v>46091</v>
      </c>
      <c r="D2636" s="232" t="inlineStr">
        <is>
          <t>291926</t>
        </is>
      </c>
      <c r="E2636" s="232" t="inlineStr">
        <is>
          <t>PRORRATEO</t>
        </is>
      </c>
      <c r="F2636" s="232" t="inlineStr">
        <is>
          <t>Siberia</t>
        </is>
      </c>
      <c r="G2636" s="232" t="inlineStr">
        <is>
          <t>S. Celebration 7,14</t>
        </is>
      </c>
      <c r="H2636" s="232" t="inlineStr">
        <is>
          <t>Uvas</t>
        </is>
      </c>
      <c r="I2636" s="232" t="inlineStr">
        <is>
          <t>S. celebration</t>
        </is>
      </c>
      <c r="J2636" s="232" t="inlineStr">
        <is>
          <t>GASTOS GENERALES</t>
        </is>
      </c>
      <c r="K2636" s="232" t="inlineStr">
        <is>
          <t>ARTICULOS DE OFICINA</t>
        </is>
      </c>
      <c r="L2636" s="232" t="inlineStr">
        <is>
          <t>[PRORRATEO 4.8% 7.14há/148.3há] O/001450 PILA ALCAL</t>
        </is>
      </c>
      <c r="M2636" s="232" t="inlineStr"/>
      <c r="N2636" s="232" t="inlineStr">
        <is>
          <t>.   .   -</t>
        </is>
      </c>
      <c r="O2636" s="232" t="inlineStr">
        <is>
          <t>MARZO</t>
        </is>
      </c>
      <c r="P2636" s="232" t="n">
        <v>10</v>
      </c>
      <c r="Q2636" s="234" t="n">
        <v>322</v>
      </c>
      <c r="R2636" s="232" t="inlineStr"/>
      <c r="S2636" s="234" t="n">
        <v>322</v>
      </c>
      <c r="T2636" s="232" t="inlineStr">
        <is>
          <t>CLP</t>
        </is>
      </c>
      <c r="U2636" s="232" t="inlineStr">
        <is>
          <t>Prorrateo Ha PACKING</t>
        </is>
      </c>
      <c r="V2636" s="232" t="inlineStr">
        <is>
          <t>2026-06-18</t>
        </is>
      </c>
    </row>
    <row r="2637">
      <c r="A2637" s="232" t="inlineStr">
        <is>
          <t>CR-2634</t>
        </is>
      </c>
      <c r="B2637" s="232" t="inlineStr">
        <is>
          <t>2026/27</t>
        </is>
      </c>
      <c r="C2637" s="233" t="n">
        <v>46091</v>
      </c>
      <c r="D2637" s="232" t="inlineStr">
        <is>
          <t>291926</t>
        </is>
      </c>
      <c r="E2637" s="232" t="inlineStr">
        <is>
          <t>PRORRATEO</t>
        </is>
      </c>
      <c r="F2637" s="232" t="inlineStr">
        <is>
          <t>Siberia</t>
        </is>
      </c>
      <c r="G2637" s="232" t="inlineStr">
        <is>
          <t>Timpson 7,1</t>
        </is>
      </c>
      <c r="H2637" s="232" t="inlineStr">
        <is>
          <t>Uvas</t>
        </is>
      </c>
      <c r="I2637" s="232" t="inlineStr">
        <is>
          <t>Timpson</t>
        </is>
      </c>
      <c r="J2637" s="232" t="inlineStr">
        <is>
          <t>GASTOS GENERALES</t>
        </is>
      </c>
      <c r="K2637" s="232" t="inlineStr">
        <is>
          <t>ARTICULOS DE OFICINA</t>
        </is>
      </c>
      <c r="L2637" s="232" t="inlineStr">
        <is>
          <t>[PRORRATEO 4.8% 7.1há/148.3há] O/001450 PILA ALCAL</t>
        </is>
      </c>
      <c r="M2637" s="232" t="inlineStr"/>
      <c r="N2637" s="232" t="inlineStr">
        <is>
          <t>.   .   -</t>
        </is>
      </c>
      <c r="O2637" s="232" t="inlineStr">
        <is>
          <t>MARZO</t>
        </is>
      </c>
      <c r="P2637" s="232" t="n">
        <v>10</v>
      </c>
      <c r="Q2637" s="234" t="n">
        <v>320</v>
      </c>
      <c r="R2637" s="232" t="inlineStr"/>
      <c r="S2637" s="234" t="n">
        <v>320</v>
      </c>
      <c r="T2637" s="232" t="inlineStr">
        <is>
          <t>CLP</t>
        </is>
      </c>
      <c r="U2637" s="232" t="inlineStr">
        <is>
          <t>Prorrateo Ha PACKING</t>
        </is>
      </c>
      <c r="V2637" s="232" t="inlineStr">
        <is>
          <t>2026-06-18</t>
        </is>
      </c>
    </row>
    <row r="2638">
      <c r="A2638" s="232" t="inlineStr">
        <is>
          <t>CR-2635</t>
        </is>
      </c>
      <c r="B2638" s="232" t="inlineStr">
        <is>
          <t>2026/27</t>
        </is>
      </c>
      <c r="C2638" s="233" t="n">
        <v>46091</v>
      </c>
      <c r="D2638" s="232" t="inlineStr">
        <is>
          <t>291926</t>
        </is>
      </c>
      <c r="E2638" s="232" t="inlineStr">
        <is>
          <t>PRORRATEO</t>
        </is>
      </c>
      <c r="F2638" s="232" t="inlineStr">
        <is>
          <t>Asmara</t>
        </is>
      </c>
      <c r="G2638" s="232" t="inlineStr">
        <is>
          <t>w. murcott 19,8 ha</t>
        </is>
      </c>
      <c r="H2638" s="232" t="inlineStr">
        <is>
          <t>Mandarina</t>
        </is>
      </c>
      <c r="I2638" s="232" t="inlineStr">
        <is>
          <t>W. murcott</t>
        </is>
      </c>
      <c r="J2638" s="232" t="inlineStr">
        <is>
          <t>GASTOS GENERALES</t>
        </is>
      </c>
      <c r="K2638" s="232" t="inlineStr">
        <is>
          <t>ARTICULOS DE OFICINA</t>
        </is>
      </c>
      <c r="L2638" s="232" t="inlineStr">
        <is>
          <t>[PRORRATEO 13.4% 19.8há/148.3há] O/001450 PILA ALCAL</t>
        </is>
      </c>
      <c r="M2638" s="232" t="inlineStr"/>
      <c r="N2638" s="232" t="inlineStr">
        <is>
          <t>.   .   -</t>
        </is>
      </c>
      <c r="O2638" s="232" t="inlineStr">
        <is>
          <t>MARZO</t>
        </is>
      </c>
      <c r="P2638" s="232" t="n">
        <v>10</v>
      </c>
      <c r="Q2638" s="234" t="n">
        <v>1072</v>
      </c>
      <c r="R2638" s="232" t="inlineStr"/>
      <c r="S2638" s="234" t="n">
        <v>1072</v>
      </c>
      <c r="T2638" s="232" t="inlineStr">
        <is>
          <t>CLP</t>
        </is>
      </c>
      <c r="U2638" s="232" t="inlineStr">
        <is>
          <t>Prorrateo Ha PACKING</t>
        </is>
      </c>
      <c r="V2638" s="232" t="inlineStr">
        <is>
          <t>2026-06-18</t>
        </is>
      </c>
    </row>
    <row r="2639">
      <c r="A2639" s="232" t="inlineStr">
        <is>
          <t>CR-2636</t>
        </is>
      </c>
      <c r="B2639" s="232" t="inlineStr">
        <is>
          <t>2026/27</t>
        </is>
      </c>
      <c r="C2639" s="233" t="n">
        <v>46091</v>
      </c>
      <c r="D2639" s="232" t="inlineStr">
        <is>
          <t>291926</t>
        </is>
      </c>
      <c r="E2639" s="232" t="inlineStr">
        <is>
          <t>PRORRATEO</t>
        </is>
      </c>
      <c r="F2639" s="232" t="inlineStr">
        <is>
          <t>Asmara</t>
        </is>
      </c>
      <c r="G2639" s="232" t="inlineStr">
        <is>
          <t>w. murcott 4,9 ha</t>
        </is>
      </c>
      <c r="H2639" s="232" t="inlineStr">
        <is>
          <t>Mandarina</t>
        </is>
      </c>
      <c r="I2639" s="232" t="inlineStr">
        <is>
          <t>W. murcott</t>
        </is>
      </c>
      <c r="J2639" s="232" t="inlineStr">
        <is>
          <t>GASTOS GENERALES</t>
        </is>
      </c>
      <c r="K2639" s="232" t="inlineStr">
        <is>
          <t>ARTICULOS DE OFICINA</t>
        </is>
      </c>
      <c r="L2639" s="232" t="inlineStr">
        <is>
          <t>[PRORRATEO 3.3% 4.9há/148.3há] O/001450 PILA ALCAL</t>
        </is>
      </c>
      <c r="M2639" s="232" t="inlineStr"/>
      <c r="N2639" s="232" t="inlineStr">
        <is>
          <t>.   .   -</t>
        </is>
      </c>
      <c r="O2639" s="232" t="inlineStr">
        <is>
          <t>MARZO</t>
        </is>
      </c>
      <c r="P2639" s="232" t="n">
        <v>10</v>
      </c>
      <c r="Q2639" s="234" t="n">
        <v>265</v>
      </c>
      <c r="R2639" s="232" t="inlineStr"/>
      <c r="S2639" s="234" t="n">
        <v>265</v>
      </c>
      <c r="T2639" s="232" t="inlineStr">
        <is>
          <t>CLP</t>
        </is>
      </c>
      <c r="U2639" s="232" t="inlineStr">
        <is>
          <t>Prorrateo Ha PACKING</t>
        </is>
      </c>
      <c r="V2639" s="232" t="inlineStr">
        <is>
          <t>2026-06-18</t>
        </is>
      </c>
    </row>
    <row r="2640">
      <c r="A2640" s="232" t="inlineStr">
        <is>
          <t>CR-2637</t>
        </is>
      </c>
      <c r="B2640" s="232" t="inlineStr">
        <is>
          <t>2026/27</t>
        </is>
      </c>
      <c r="C2640" s="233" t="n">
        <v>46091</v>
      </c>
      <c r="D2640" s="232" t="inlineStr">
        <is>
          <t>291926</t>
        </is>
      </c>
      <c r="E2640" s="232" t="inlineStr">
        <is>
          <t>PRORRATEO</t>
        </is>
      </c>
      <c r="F2640" s="232" t="inlineStr">
        <is>
          <t>El Molle</t>
        </is>
      </c>
      <c r="G2640" s="232" t="inlineStr">
        <is>
          <t>Wonderful 5,25 ha</t>
        </is>
      </c>
      <c r="H2640" s="232" t="inlineStr">
        <is>
          <t>Granados</t>
        </is>
      </c>
      <c r="I2640" s="232" t="inlineStr">
        <is>
          <t>Wonderfull</t>
        </is>
      </c>
      <c r="J2640" s="232" t="inlineStr">
        <is>
          <t>GASTOS GENERALES</t>
        </is>
      </c>
      <c r="K2640" s="232" t="inlineStr">
        <is>
          <t>ARTICULOS DE OFICINA</t>
        </is>
      </c>
      <c r="L2640" s="232" t="inlineStr">
        <is>
          <t>[PRORRATEO 3.5% 5.24há/148.3há] O/001450 PILA ALCAL</t>
        </is>
      </c>
      <c r="M2640" s="232" t="inlineStr"/>
      <c r="N2640" s="232" t="inlineStr">
        <is>
          <t>.   .   -</t>
        </is>
      </c>
      <c r="O2640" s="232" t="inlineStr">
        <is>
          <t>MARZO</t>
        </is>
      </c>
      <c r="P2640" s="232" t="n">
        <v>10</v>
      </c>
      <c r="Q2640" s="234" t="n">
        <v>284</v>
      </c>
      <c r="R2640" s="232" t="inlineStr"/>
      <c r="S2640" s="234" t="n">
        <v>284</v>
      </c>
      <c r="T2640" s="232" t="inlineStr">
        <is>
          <t>CLP</t>
        </is>
      </c>
      <c r="U2640" s="232" t="inlineStr">
        <is>
          <t>Prorrateo Ha PACKING</t>
        </is>
      </c>
      <c r="V2640" s="232" t="inlineStr">
        <is>
          <t>2026-06-18</t>
        </is>
      </c>
    </row>
    <row r="2641">
      <c r="A2641" s="232" t="inlineStr">
        <is>
          <t>CR-2638</t>
        </is>
      </c>
      <c r="B2641" s="232" t="inlineStr">
        <is>
          <t>2026/27</t>
        </is>
      </c>
      <c r="C2641" s="233" t="n">
        <v>46091</v>
      </c>
      <c r="D2641" s="232" t="inlineStr">
        <is>
          <t>291926</t>
        </is>
      </c>
      <c r="E2641" s="232" t="inlineStr">
        <is>
          <t>PRORRATEO</t>
        </is>
      </c>
      <c r="F2641" s="232" t="inlineStr">
        <is>
          <t>El Molle</t>
        </is>
      </c>
      <c r="G2641" s="232" t="inlineStr">
        <is>
          <t>arrufatinas 5,74 ha</t>
        </is>
      </c>
      <c r="H2641" s="232" t="inlineStr">
        <is>
          <t>Clementinas</t>
        </is>
      </c>
      <c r="I2641" s="232" t="inlineStr">
        <is>
          <t>Arrufatinas</t>
        </is>
      </c>
      <c r="J2641" s="232" t="inlineStr">
        <is>
          <t>GASTOS GENERALES</t>
        </is>
      </c>
      <c r="K2641" s="232" t="inlineStr">
        <is>
          <t>ARTICULOS DE OFICINA</t>
        </is>
      </c>
      <c r="L2641" s="232" t="inlineStr">
        <is>
          <t>[PRORRATEO 3.9% 5.74há/148.3há] O/001450 PILA ALCAL</t>
        </is>
      </c>
      <c r="M2641" s="232" t="inlineStr"/>
      <c r="N2641" s="232" t="inlineStr">
        <is>
          <t>.   .   -</t>
        </is>
      </c>
      <c r="O2641" s="232" t="inlineStr">
        <is>
          <t>MARZO</t>
        </is>
      </c>
      <c r="P2641" s="232" t="n">
        <v>10</v>
      </c>
      <c r="Q2641" s="234" t="n">
        <v>311</v>
      </c>
      <c r="R2641" s="232" t="inlineStr"/>
      <c r="S2641" s="234" t="n">
        <v>311</v>
      </c>
      <c r="T2641" s="232" t="inlineStr">
        <is>
          <t>CLP</t>
        </is>
      </c>
      <c r="U2641" s="232" t="inlineStr">
        <is>
          <t>Prorrateo Ha PACKING</t>
        </is>
      </c>
      <c r="V2641" s="232" t="inlineStr">
        <is>
          <t>2026-06-18</t>
        </is>
      </c>
    </row>
    <row r="2642">
      <c r="A2642" s="232" t="inlineStr">
        <is>
          <t>CR-2639</t>
        </is>
      </c>
      <c r="B2642" s="232" t="inlineStr">
        <is>
          <t>2026/27</t>
        </is>
      </c>
      <c r="C2642" s="233" t="n">
        <v>46091</v>
      </c>
      <c r="D2642" s="232" t="inlineStr">
        <is>
          <t>291926</t>
        </is>
      </c>
      <c r="E2642" s="232" t="inlineStr">
        <is>
          <t>PRORRATEO</t>
        </is>
      </c>
      <c r="F2642" s="232" t="inlineStr">
        <is>
          <t>El Molle</t>
        </is>
      </c>
      <c r="G2642" s="232" t="inlineStr">
        <is>
          <t>orogrande 8,11 ha</t>
        </is>
      </c>
      <c r="H2642" s="232" t="inlineStr">
        <is>
          <t>Clementinas</t>
        </is>
      </c>
      <c r="I2642" s="232" t="inlineStr">
        <is>
          <t>Orogrande</t>
        </is>
      </c>
      <c r="J2642" s="232" t="inlineStr">
        <is>
          <t>GASTOS GENERALES</t>
        </is>
      </c>
      <c r="K2642" s="232" t="inlineStr">
        <is>
          <t>ARTICULOS DE OFICINA</t>
        </is>
      </c>
      <c r="L2642" s="232" t="inlineStr">
        <is>
          <t>[PRORRATEO 5.5% 8.11há/148.3há] O/001450 PILA ALCAL</t>
        </is>
      </c>
      <c r="M2642" s="232" t="inlineStr"/>
      <c r="N2642" s="232" t="inlineStr">
        <is>
          <t>.   .   -</t>
        </is>
      </c>
      <c r="O2642" s="232" t="inlineStr">
        <is>
          <t>MARZO</t>
        </is>
      </c>
      <c r="P2642" s="232" t="n">
        <v>10</v>
      </c>
      <c r="Q2642" s="234" t="n">
        <v>439</v>
      </c>
      <c r="R2642" s="232" t="inlineStr"/>
      <c r="S2642" s="234" t="n">
        <v>439</v>
      </c>
      <c r="T2642" s="232" t="inlineStr">
        <is>
          <t>CLP</t>
        </is>
      </c>
      <c r="U2642" s="232" t="inlineStr">
        <is>
          <t>Prorrateo Ha PACKING</t>
        </is>
      </c>
      <c r="V2642" s="232" t="inlineStr">
        <is>
          <t>2026-06-18</t>
        </is>
      </c>
    </row>
    <row r="2643">
      <c r="A2643" s="232" t="inlineStr">
        <is>
          <t>CR-2640</t>
        </is>
      </c>
      <c r="B2643" s="232" t="inlineStr">
        <is>
          <t>2026/27</t>
        </is>
      </c>
      <c r="C2643" s="233" t="n">
        <v>46091</v>
      </c>
      <c r="D2643" s="232" t="inlineStr">
        <is>
          <t>291926</t>
        </is>
      </c>
      <c r="E2643" s="232" t="inlineStr">
        <is>
          <t>PRORRATEO</t>
        </is>
      </c>
      <c r="F2643" s="232" t="inlineStr">
        <is>
          <t>El Molle</t>
        </is>
      </c>
      <c r="G2643" s="232" t="inlineStr">
        <is>
          <t>oronules 5,35 ha</t>
        </is>
      </c>
      <c r="H2643" s="232" t="inlineStr">
        <is>
          <t>Clementinas</t>
        </is>
      </c>
      <c r="I2643" s="232" t="inlineStr">
        <is>
          <t>Oronules</t>
        </is>
      </c>
      <c r="J2643" s="232" t="inlineStr">
        <is>
          <t>GASTOS GENERALES</t>
        </is>
      </c>
      <c r="K2643" s="232" t="inlineStr">
        <is>
          <t>ARTICULOS DE OFICINA</t>
        </is>
      </c>
      <c r="L2643" s="232" t="inlineStr">
        <is>
          <t>[PRORRATEO 3.6% 5.35há/148.3há] O/001450 PILA ALCAL</t>
        </is>
      </c>
      <c r="M2643" s="232" t="inlineStr"/>
      <c r="N2643" s="232" t="inlineStr">
        <is>
          <t>.   .   -</t>
        </is>
      </c>
      <c r="O2643" s="232" t="inlineStr">
        <is>
          <t>MARZO</t>
        </is>
      </c>
      <c r="P2643" s="232" t="n">
        <v>10</v>
      </c>
      <c r="Q2643" s="234" t="n">
        <v>290</v>
      </c>
      <c r="R2643" s="232" t="inlineStr"/>
      <c r="S2643" s="234" t="n">
        <v>290</v>
      </c>
      <c r="T2643" s="232" t="inlineStr">
        <is>
          <t>CLP</t>
        </is>
      </c>
      <c r="U2643" s="232" t="inlineStr">
        <is>
          <t>Prorrateo Ha PACKING</t>
        </is>
      </c>
      <c r="V2643" s="232" t="inlineStr">
        <is>
          <t>2026-06-18</t>
        </is>
      </c>
    </row>
    <row r="2644">
      <c r="A2644" s="232" t="inlineStr">
        <is>
          <t>CR-2641</t>
        </is>
      </c>
      <c r="B2644" s="232" t="inlineStr">
        <is>
          <t>2026/27</t>
        </is>
      </c>
      <c r="C2644" s="233" t="n">
        <v>46091</v>
      </c>
      <c r="D2644" s="232" t="inlineStr">
        <is>
          <t>291926</t>
        </is>
      </c>
      <c r="E2644" s="232" t="inlineStr">
        <is>
          <t>PRORRATEO</t>
        </is>
      </c>
      <c r="F2644" s="232" t="inlineStr">
        <is>
          <t>Santa Catalina</t>
        </is>
      </c>
      <c r="G2644" s="232" t="inlineStr">
        <is>
          <t>Fino 49 7,7 ha</t>
        </is>
      </c>
      <c r="H2644" s="232" t="inlineStr">
        <is>
          <t>Limon</t>
        </is>
      </c>
      <c r="I2644" s="232" t="inlineStr">
        <is>
          <t>Fino 49</t>
        </is>
      </c>
      <c r="J2644" s="232" t="inlineStr">
        <is>
          <t>GASTOS GENERALES</t>
        </is>
      </c>
      <c r="K2644" s="232" t="inlineStr">
        <is>
          <t>ARTICULOS DE OFICINA</t>
        </is>
      </c>
      <c r="L2644" s="232" t="inlineStr">
        <is>
          <t>[PRORRATEO 5.2% 7.7há/148.3há] O/001450 PILA ALCAL</t>
        </is>
      </c>
      <c r="M2644" s="232" t="inlineStr"/>
      <c r="N2644" s="232" t="inlineStr">
        <is>
          <t>.   .   -</t>
        </is>
      </c>
      <c r="O2644" s="232" t="inlineStr">
        <is>
          <t>MARZO</t>
        </is>
      </c>
      <c r="P2644" s="232" t="n">
        <v>10</v>
      </c>
      <c r="Q2644" s="234" t="n">
        <v>417</v>
      </c>
      <c r="R2644" s="232" t="inlineStr"/>
      <c r="S2644" s="234" t="n">
        <v>417</v>
      </c>
      <c r="T2644" s="232" t="inlineStr">
        <is>
          <t>CLP</t>
        </is>
      </c>
      <c r="U2644" s="232" t="inlineStr">
        <is>
          <t>Prorrateo Ha PACKING</t>
        </is>
      </c>
      <c r="V2644" s="232" t="inlineStr">
        <is>
          <t>2026-06-18</t>
        </is>
      </c>
    </row>
    <row r="2645">
      <c r="A2645" s="232" t="inlineStr">
        <is>
          <t>CR-2642</t>
        </is>
      </c>
      <c r="B2645" s="232" t="inlineStr">
        <is>
          <t>2026/27</t>
        </is>
      </c>
      <c r="C2645" s="233" t="n">
        <v>46091</v>
      </c>
      <c r="D2645" s="232" t="inlineStr">
        <is>
          <t>291926</t>
        </is>
      </c>
      <c r="E2645" s="232" t="inlineStr">
        <is>
          <t>PRORRATEO</t>
        </is>
      </c>
      <c r="F2645" s="232" t="inlineStr">
        <is>
          <t>Santa Catalina</t>
        </is>
      </c>
      <c r="G2645" s="232" t="inlineStr">
        <is>
          <t>W. murcott 21 ha</t>
        </is>
      </c>
      <c r="H2645" s="232" t="inlineStr">
        <is>
          <t>Mandarina</t>
        </is>
      </c>
      <c r="I2645" s="232" t="inlineStr">
        <is>
          <t>W. murcott</t>
        </is>
      </c>
      <c r="J2645" s="232" t="inlineStr">
        <is>
          <t>GASTOS GENERALES</t>
        </is>
      </c>
      <c r="K2645" s="232" t="inlineStr">
        <is>
          <t>ARTICULOS DE OFICINA</t>
        </is>
      </c>
      <c r="L2645" s="232" t="inlineStr">
        <is>
          <t>[PRORRATEO 14.2% 21.0há/148.3há] O/001450 PILA ALCAL</t>
        </is>
      </c>
      <c r="M2645" s="232" t="inlineStr"/>
      <c r="N2645" s="232" t="inlineStr">
        <is>
          <t>.   .   -</t>
        </is>
      </c>
      <c r="O2645" s="232" t="inlineStr">
        <is>
          <t>MARZO</t>
        </is>
      </c>
      <c r="P2645" s="232" t="n">
        <v>10</v>
      </c>
      <c r="Q2645" s="234" t="n">
        <v>1137</v>
      </c>
      <c r="R2645" s="232" t="inlineStr"/>
      <c r="S2645" s="234" t="n">
        <v>1137</v>
      </c>
      <c r="T2645" s="232" t="inlineStr">
        <is>
          <t>CLP</t>
        </is>
      </c>
      <c r="U2645" s="232" t="inlineStr">
        <is>
          <t>Prorrateo Ha PACKING</t>
        </is>
      </c>
      <c r="V2645" s="232" t="inlineStr">
        <is>
          <t>2026-06-18</t>
        </is>
      </c>
    </row>
    <row r="2646">
      <c r="A2646" s="232" t="inlineStr">
        <is>
          <t>CR-2643</t>
        </is>
      </c>
      <c r="B2646" s="232" t="inlineStr">
        <is>
          <t>2026/27</t>
        </is>
      </c>
      <c r="C2646" s="233" t="n">
        <v>46091</v>
      </c>
      <c r="D2646" s="232" t="inlineStr">
        <is>
          <t>291926</t>
        </is>
      </c>
      <c r="E2646" s="232" t="inlineStr">
        <is>
          <t>PRORRATEO</t>
        </is>
      </c>
      <c r="F2646" s="232" t="inlineStr">
        <is>
          <t>Santa Catalina</t>
        </is>
      </c>
      <c r="G2646" s="232" t="inlineStr">
        <is>
          <t>cambria 4,2 ha</t>
        </is>
      </c>
      <c r="H2646" s="232" t="inlineStr">
        <is>
          <t>Naranjas</t>
        </is>
      </c>
      <c r="I2646" s="232" t="inlineStr">
        <is>
          <t>Cambria</t>
        </is>
      </c>
      <c r="J2646" s="232" t="inlineStr">
        <is>
          <t>GASTOS GENERALES</t>
        </is>
      </c>
      <c r="K2646" s="232" t="inlineStr">
        <is>
          <t>ARTICULOS DE OFICINA</t>
        </is>
      </c>
      <c r="L2646" s="232" t="inlineStr">
        <is>
          <t>[PRORRATEO 2.8% 4.2há/148.3há] O/001450 PILA ALCAL</t>
        </is>
      </c>
      <c r="M2646" s="232" t="inlineStr"/>
      <c r="N2646" s="232" t="inlineStr">
        <is>
          <t>.   .   -</t>
        </is>
      </c>
      <c r="O2646" s="232" t="inlineStr">
        <is>
          <t>MARZO</t>
        </is>
      </c>
      <c r="P2646" s="232" t="n">
        <v>10</v>
      </c>
      <c r="Q2646" s="234" t="n">
        <v>227</v>
      </c>
      <c r="R2646" s="232" t="inlineStr"/>
      <c r="S2646" s="234" t="n">
        <v>227</v>
      </c>
      <c r="T2646" s="232" t="inlineStr">
        <is>
          <t>CLP</t>
        </is>
      </c>
      <c r="U2646" s="232" t="inlineStr">
        <is>
          <t>Prorrateo Ha PACKING</t>
        </is>
      </c>
      <c r="V2646" s="232" t="inlineStr">
        <is>
          <t>2026-06-18</t>
        </is>
      </c>
    </row>
    <row r="2647">
      <c r="A2647" s="232" t="inlineStr">
        <is>
          <t>CR-2644</t>
        </is>
      </c>
      <c r="B2647" s="232" t="inlineStr">
        <is>
          <t>2026/27</t>
        </is>
      </c>
      <c r="C2647" s="233" t="n">
        <v>46091</v>
      </c>
      <c r="D2647" s="232" t="inlineStr">
        <is>
          <t>291926</t>
        </is>
      </c>
      <c r="E2647" s="232" t="inlineStr">
        <is>
          <t>PRORRATEO</t>
        </is>
      </c>
      <c r="F2647" s="232" t="inlineStr">
        <is>
          <t>Santa Catalina</t>
        </is>
      </c>
      <c r="G2647" s="232" t="inlineStr">
        <is>
          <t>eureka 10,6 ha</t>
        </is>
      </c>
      <c r="H2647" s="232" t="inlineStr">
        <is>
          <t>Limon</t>
        </is>
      </c>
      <c r="I2647" s="232" t="inlineStr">
        <is>
          <t>Eureka</t>
        </is>
      </c>
      <c r="J2647" s="232" t="inlineStr">
        <is>
          <t>GASTOS GENERALES</t>
        </is>
      </c>
      <c r="K2647" s="232" t="inlineStr">
        <is>
          <t>ARTICULOS DE OFICINA</t>
        </is>
      </c>
      <c r="L2647" s="232" t="inlineStr">
        <is>
          <t>[PRORRATEO 7.1% 10.6há/148.3há] O/001450 PILA ALCAL</t>
        </is>
      </c>
      <c r="M2647" s="232" t="inlineStr"/>
      <c r="N2647" s="232" t="inlineStr">
        <is>
          <t>.   .   -</t>
        </is>
      </c>
      <c r="O2647" s="232" t="inlineStr">
        <is>
          <t>MARZO</t>
        </is>
      </c>
      <c r="P2647" s="232" t="n">
        <v>10</v>
      </c>
      <c r="Q2647" s="234" t="n">
        <v>574</v>
      </c>
      <c r="R2647" s="232" t="inlineStr"/>
      <c r="S2647" s="234" t="n">
        <v>574</v>
      </c>
      <c r="T2647" s="232" t="inlineStr">
        <is>
          <t>CLP</t>
        </is>
      </c>
      <c r="U2647" s="232" t="inlineStr">
        <is>
          <t>Prorrateo Ha PACKING</t>
        </is>
      </c>
      <c r="V2647" s="232" t="inlineStr">
        <is>
          <t>2026-06-18</t>
        </is>
      </c>
    </row>
    <row r="2648">
      <c r="A2648" s="232" t="inlineStr">
        <is>
          <t>CR-2645</t>
        </is>
      </c>
      <c r="B2648" s="232" t="inlineStr">
        <is>
          <t>2026/27</t>
        </is>
      </c>
      <c r="C2648" s="233" t="n">
        <v>46091</v>
      </c>
      <c r="D2648" s="232" t="inlineStr">
        <is>
          <t>291926</t>
        </is>
      </c>
      <c r="E2648" s="232" t="inlineStr">
        <is>
          <t>PRORRATEO</t>
        </is>
      </c>
      <c r="F2648" s="232" t="inlineStr">
        <is>
          <t>Santa Catalina</t>
        </is>
      </c>
      <c r="G2648" s="232" t="inlineStr">
        <is>
          <t>eureka 14,4 ha</t>
        </is>
      </c>
      <c r="H2648" s="232" t="inlineStr">
        <is>
          <t>Limon</t>
        </is>
      </c>
      <c r="I2648" s="232" t="inlineStr">
        <is>
          <t>Eureka</t>
        </is>
      </c>
      <c r="J2648" s="232" t="inlineStr">
        <is>
          <t>GASTOS GENERALES</t>
        </is>
      </c>
      <c r="K2648" s="232" t="inlineStr">
        <is>
          <t>ARTICULOS DE OFICINA</t>
        </is>
      </c>
      <c r="L2648" s="232" t="inlineStr">
        <is>
          <t>[PRORRATEO 9.7% 14.4há/148.3há] O/001450 PILA ALCAL</t>
        </is>
      </c>
      <c r="M2648" s="232" t="inlineStr"/>
      <c r="N2648" s="232" t="inlineStr">
        <is>
          <t>.   .   -</t>
        </is>
      </c>
      <c r="O2648" s="232" t="inlineStr">
        <is>
          <t>MARZO</t>
        </is>
      </c>
      <c r="P2648" s="232" t="n">
        <v>10</v>
      </c>
      <c r="Q2648" s="234" t="n">
        <v>779</v>
      </c>
      <c r="R2648" s="232" t="inlineStr"/>
      <c r="S2648" s="234" t="n">
        <v>779</v>
      </c>
      <c r="T2648" s="232" t="inlineStr">
        <is>
          <t>CLP</t>
        </is>
      </c>
      <c r="U2648" s="232" t="inlineStr">
        <is>
          <t>Prorrateo Ha PACKING</t>
        </is>
      </c>
      <c r="V2648" s="232" t="inlineStr">
        <is>
          <t>2026-06-18</t>
        </is>
      </c>
    </row>
    <row r="2649">
      <c r="A2649" s="232" t="inlineStr">
        <is>
          <t>CR-2646</t>
        </is>
      </c>
      <c r="B2649" s="232" t="inlineStr">
        <is>
          <t>2026/27</t>
        </is>
      </c>
      <c r="C2649" s="233" t="n">
        <v>46091</v>
      </c>
      <c r="D2649" s="232" t="inlineStr">
        <is>
          <t>291926</t>
        </is>
      </c>
      <c r="E2649" s="232" t="inlineStr">
        <is>
          <t>PRORRATEO</t>
        </is>
      </c>
      <c r="F2649" s="232" t="inlineStr">
        <is>
          <t>Santa Catalina</t>
        </is>
      </c>
      <c r="G2649" s="232" t="inlineStr">
        <is>
          <t>eureka 22,55</t>
        </is>
      </c>
      <c r="H2649" s="232" t="inlineStr">
        <is>
          <t>Limon</t>
        </is>
      </c>
      <c r="I2649" s="232" t="inlineStr">
        <is>
          <t>Eureka</t>
        </is>
      </c>
      <c r="J2649" s="232" t="inlineStr">
        <is>
          <t>GASTOS GENERALES</t>
        </is>
      </c>
      <c r="K2649" s="232" t="inlineStr">
        <is>
          <t>ARTICULOS DE OFICINA</t>
        </is>
      </c>
      <c r="L2649" s="232" t="inlineStr">
        <is>
          <t>[PRORRATEO 15.2% 22.55há/148.3há] O/001450 PILA ALCAL</t>
        </is>
      </c>
      <c r="M2649" s="232" t="inlineStr"/>
      <c r="N2649" s="232" t="inlineStr">
        <is>
          <t>.   .   -</t>
        </is>
      </c>
      <c r="O2649" s="232" t="inlineStr">
        <is>
          <t>MARZO</t>
        </is>
      </c>
      <c r="P2649" s="232" t="n">
        <v>10</v>
      </c>
      <c r="Q2649" s="234" t="n">
        <v>1220</v>
      </c>
      <c r="R2649" s="232" t="inlineStr"/>
      <c r="S2649" s="234" t="n">
        <v>1220</v>
      </c>
      <c r="T2649" s="232" t="inlineStr">
        <is>
          <t>CLP</t>
        </is>
      </c>
      <c r="U2649" s="232" t="inlineStr">
        <is>
          <t>Prorrateo Ha PACKING</t>
        </is>
      </c>
      <c r="V2649" s="232" t="inlineStr">
        <is>
          <t>2026-06-18</t>
        </is>
      </c>
    </row>
    <row r="2650">
      <c r="A2650" s="232" t="inlineStr">
        <is>
          <t>CR-2647</t>
        </is>
      </c>
      <c r="B2650" s="232" t="inlineStr">
        <is>
          <t>2026/27</t>
        </is>
      </c>
      <c r="C2650" s="233" t="n">
        <v>46091</v>
      </c>
      <c r="D2650" s="232" t="inlineStr">
        <is>
          <t>291926</t>
        </is>
      </c>
      <c r="E2650" s="232" t="inlineStr">
        <is>
          <t>PRORRATEO</t>
        </is>
      </c>
      <c r="F2650" s="232" t="inlineStr">
        <is>
          <t>Santa Catalina</t>
        </is>
      </c>
      <c r="G2650" s="232" t="inlineStr">
        <is>
          <t>form benjamin 1,93 ha</t>
        </is>
      </c>
      <c r="H2650" s="232" t="inlineStr">
        <is>
          <t>Limon</t>
        </is>
      </c>
      <c r="I2650" s="232" t="inlineStr">
        <is>
          <t>Benjamin andes</t>
        </is>
      </c>
      <c r="J2650" s="232" t="inlineStr">
        <is>
          <t>GASTOS GENERALES</t>
        </is>
      </c>
      <c r="K2650" s="232" t="inlineStr">
        <is>
          <t>ARTICULOS DE OFICINA</t>
        </is>
      </c>
      <c r="L2650" s="232" t="inlineStr">
        <is>
          <t>[PRORRATEO 1.3% 1.93há/148.3há] O/001450 PILA ALCAL</t>
        </is>
      </c>
      <c r="M2650" s="232" t="inlineStr"/>
      <c r="N2650" s="232" t="inlineStr">
        <is>
          <t>.   .   -</t>
        </is>
      </c>
      <c r="O2650" s="232" t="inlineStr">
        <is>
          <t>MARZO</t>
        </is>
      </c>
      <c r="P2650" s="232" t="n">
        <v>10</v>
      </c>
      <c r="Q2650" s="234" t="n">
        <v>104</v>
      </c>
      <c r="R2650" s="232" t="inlineStr"/>
      <c r="S2650" s="234" t="n">
        <v>104</v>
      </c>
      <c r="T2650" s="232" t="inlineStr">
        <is>
          <t>CLP</t>
        </is>
      </c>
      <c r="U2650" s="232" t="inlineStr">
        <is>
          <t>Prorrateo Ha PACKING</t>
        </is>
      </c>
      <c r="V2650" s="232" t="inlineStr">
        <is>
          <t>2026-06-18</t>
        </is>
      </c>
    </row>
    <row r="2651">
      <c r="A2651" s="232" t="inlineStr">
        <is>
          <t>CR-2648</t>
        </is>
      </c>
      <c r="B2651" s="232" t="inlineStr">
        <is>
          <t>2026/27</t>
        </is>
      </c>
      <c r="C2651" s="233" t="n">
        <v>46091</v>
      </c>
      <c r="D2651" s="232" t="inlineStr">
        <is>
          <t>291926</t>
        </is>
      </c>
      <c r="E2651" s="232" t="inlineStr">
        <is>
          <t>PRORRATEO</t>
        </is>
      </c>
      <c r="F2651" s="232" t="inlineStr">
        <is>
          <t>Santa Catalina</t>
        </is>
      </c>
      <c r="G2651" s="232" t="inlineStr">
        <is>
          <t>mant eureka 2,5 ha</t>
        </is>
      </c>
      <c r="H2651" s="232" t="inlineStr">
        <is>
          <t>Limon</t>
        </is>
      </c>
      <c r="I2651" s="232" t="inlineStr">
        <is>
          <t>Eureka</t>
        </is>
      </c>
      <c r="J2651" s="232" t="inlineStr">
        <is>
          <t>GASTOS GENERALES</t>
        </is>
      </c>
      <c r="K2651" s="232" t="inlineStr">
        <is>
          <t>ARTICULOS DE OFICINA</t>
        </is>
      </c>
      <c r="L2651" s="232" t="inlineStr">
        <is>
          <t>[PRORRATEO 1.7% 2.5há/148.3há] O/001450 PILA ALCAL</t>
        </is>
      </c>
      <c r="M2651" s="232" t="inlineStr"/>
      <c r="N2651" s="232" t="inlineStr">
        <is>
          <t>.   .   -</t>
        </is>
      </c>
      <c r="O2651" s="232" t="inlineStr">
        <is>
          <t>MARZO</t>
        </is>
      </c>
      <c r="P2651" s="232" t="n">
        <v>10</v>
      </c>
      <c r="Q2651" s="234" t="n">
        <v>135</v>
      </c>
      <c r="R2651" s="232" t="inlineStr"/>
      <c r="S2651" s="234" t="n">
        <v>135</v>
      </c>
      <c r="T2651" s="232" t="inlineStr">
        <is>
          <t>CLP</t>
        </is>
      </c>
      <c r="U2651" s="232" t="inlineStr">
        <is>
          <t>Prorrateo Ha PACKING</t>
        </is>
      </c>
      <c r="V2651" s="232" t="inlineStr">
        <is>
          <t>2026-06-18</t>
        </is>
      </c>
    </row>
    <row r="2652">
      <c r="A2652" s="232" t="inlineStr">
        <is>
          <t>CR-2649</t>
        </is>
      </c>
      <c r="B2652" s="232" t="inlineStr">
        <is>
          <t>2026/27</t>
        </is>
      </c>
      <c r="C2652" s="233" t="n">
        <v>46091</v>
      </c>
      <c r="D2652" s="232" t="inlineStr">
        <is>
          <t>291926</t>
        </is>
      </c>
      <c r="E2652" s="232" t="inlineStr">
        <is>
          <t>PRORRATEO</t>
        </is>
      </c>
      <c r="F2652" s="232" t="inlineStr">
        <is>
          <t>Siberia</t>
        </is>
      </c>
      <c r="G2652" s="232" t="inlineStr">
        <is>
          <t>S. Celebration 7,14</t>
        </is>
      </c>
      <c r="H2652" s="232" t="inlineStr">
        <is>
          <t>Uvas</t>
        </is>
      </c>
      <c r="I2652" s="232" t="inlineStr">
        <is>
          <t>S. celebration</t>
        </is>
      </c>
      <c r="J2652" s="232" t="inlineStr">
        <is>
          <t>GASTOS GENERALES</t>
        </is>
      </c>
      <c r="K2652" s="232" t="inlineStr">
        <is>
          <t>ARTICULOS DE OFICINA</t>
        </is>
      </c>
      <c r="L2652" s="232" t="inlineStr">
        <is>
          <t>[PRORRATEO 4.8% 7.14há/148.3há] O/001450 PILA ALCAL</t>
        </is>
      </c>
      <c r="M2652" s="232" t="inlineStr"/>
      <c r="N2652" s="232" t="inlineStr">
        <is>
          <t>.   .   -</t>
        </is>
      </c>
      <c r="O2652" s="232" t="inlineStr">
        <is>
          <t>MARZO</t>
        </is>
      </c>
      <c r="P2652" s="232" t="n">
        <v>10</v>
      </c>
      <c r="Q2652" s="234" t="n">
        <v>386</v>
      </c>
      <c r="R2652" s="232" t="inlineStr"/>
      <c r="S2652" s="234" t="n">
        <v>386</v>
      </c>
      <c r="T2652" s="232" t="inlineStr">
        <is>
          <t>CLP</t>
        </is>
      </c>
      <c r="U2652" s="232" t="inlineStr">
        <is>
          <t>Prorrateo Ha PACKING</t>
        </is>
      </c>
      <c r="V2652" s="232" t="inlineStr">
        <is>
          <t>2026-06-18</t>
        </is>
      </c>
    </row>
    <row r="2653">
      <c r="A2653" s="232" t="inlineStr">
        <is>
          <t>CR-2650</t>
        </is>
      </c>
      <c r="B2653" s="232" t="inlineStr">
        <is>
          <t>2026/27</t>
        </is>
      </c>
      <c r="C2653" s="233" t="n">
        <v>46091</v>
      </c>
      <c r="D2653" s="232" t="inlineStr">
        <is>
          <t>291926</t>
        </is>
      </c>
      <c r="E2653" s="232" t="inlineStr">
        <is>
          <t>PRORRATEO</t>
        </is>
      </c>
      <c r="F2653" s="232" t="inlineStr">
        <is>
          <t>Siberia</t>
        </is>
      </c>
      <c r="G2653" s="232" t="inlineStr">
        <is>
          <t>Timpson 7,1</t>
        </is>
      </c>
      <c r="H2653" s="232" t="inlineStr">
        <is>
          <t>Uvas</t>
        </is>
      </c>
      <c r="I2653" s="232" t="inlineStr">
        <is>
          <t>Timpson</t>
        </is>
      </c>
      <c r="J2653" s="232" t="inlineStr">
        <is>
          <t>GASTOS GENERALES</t>
        </is>
      </c>
      <c r="K2653" s="232" t="inlineStr">
        <is>
          <t>ARTICULOS DE OFICINA</t>
        </is>
      </c>
      <c r="L2653" s="232" t="inlineStr">
        <is>
          <t>[PRORRATEO 4.8% 7.1há/148.3há] O/001450 PILA ALCAL</t>
        </is>
      </c>
      <c r="M2653" s="232" t="inlineStr"/>
      <c r="N2653" s="232" t="inlineStr">
        <is>
          <t>.   .   -</t>
        </is>
      </c>
      <c r="O2653" s="232" t="inlineStr">
        <is>
          <t>MARZO</t>
        </is>
      </c>
      <c r="P2653" s="232" t="n">
        <v>10</v>
      </c>
      <c r="Q2653" s="234" t="n">
        <v>384</v>
      </c>
      <c r="R2653" s="232" t="inlineStr"/>
      <c r="S2653" s="234" t="n">
        <v>384</v>
      </c>
      <c r="T2653" s="232" t="inlineStr">
        <is>
          <t>CLP</t>
        </is>
      </c>
      <c r="U2653" s="232" t="inlineStr">
        <is>
          <t>Prorrateo Ha PACKING</t>
        </is>
      </c>
      <c r="V2653" s="232" t="inlineStr">
        <is>
          <t>2026-06-18</t>
        </is>
      </c>
    </row>
    <row r="2654">
      <c r="A2654" s="232" t="inlineStr">
        <is>
          <t>CR-2651</t>
        </is>
      </c>
      <c r="B2654" s="232" t="inlineStr">
        <is>
          <t>2026/27</t>
        </is>
      </c>
      <c r="C2654" s="233" t="n">
        <v>46091</v>
      </c>
      <c r="D2654" s="232" t="inlineStr">
        <is>
          <t>291926</t>
        </is>
      </c>
      <c r="E2654" s="232" t="inlineStr">
        <is>
          <t>PRORRATEO</t>
        </is>
      </c>
      <c r="F2654" s="232" t="inlineStr">
        <is>
          <t>Asmara</t>
        </is>
      </c>
      <c r="G2654" s="232" t="inlineStr">
        <is>
          <t>w. murcott 19,8 ha</t>
        </is>
      </c>
      <c r="H2654" s="232" t="inlineStr">
        <is>
          <t>Mandarina</t>
        </is>
      </c>
      <c r="I2654" s="232" t="inlineStr">
        <is>
          <t>W. murcott</t>
        </is>
      </c>
      <c r="J2654" s="232" t="inlineStr">
        <is>
          <t>GASTOS GENERALES</t>
        </is>
      </c>
      <c r="K2654" s="232" t="inlineStr">
        <is>
          <t>ARTICULOS DE OFICINA</t>
        </is>
      </c>
      <c r="L2654" s="232" t="inlineStr">
        <is>
          <t>[PRORRATEO 13.4% 19.8há/148.3há] O/001450 TECLADO+MO</t>
        </is>
      </c>
      <c r="M2654" s="232" t="inlineStr"/>
      <c r="N2654" s="232" t="inlineStr">
        <is>
          <t>.   .   -</t>
        </is>
      </c>
      <c r="O2654" s="232" t="inlineStr">
        <is>
          <t>MARZO</t>
        </is>
      </c>
      <c r="P2654" s="232" t="n">
        <v>10</v>
      </c>
      <c r="Q2654" s="234" t="n">
        <v>3189</v>
      </c>
      <c r="R2654" s="232" t="inlineStr"/>
      <c r="S2654" s="234" t="n">
        <v>3189</v>
      </c>
      <c r="T2654" s="232" t="inlineStr">
        <is>
          <t>CLP</t>
        </is>
      </c>
      <c r="U2654" s="232" t="inlineStr">
        <is>
          <t>Prorrateo Ha PACKING</t>
        </is>
      </c>
      <c r="V2654" s="232" t="inlineStr">
        <is>
          <t>2026-06-18</t>
        </is>
      </c>
    </row>
    <row r="2655">
      <c r="A2655" s="232" t="inlineStr">
        <is>
          <t>CR-2652</t>
        </is>
      </c>
      <c r="B2655" s="232" t="inlineStr">
        <is>
          <t>2026/27</t>
        </is>
      </c>
      <c r="C2655" s="233" t="n">
        <v>46091</v>
      </c>
      <c r="D2655" s="232" t="inlineStr">
        <is>
          <t>291926</t>
        </is>
      </c>
      <c r="E2655" s="232" t="inlineStr">
        <is>
          <t>PRORRATEO</t>
        </is>
      </c>
      <c r="F2655" s="232" t="inlineStr">
        <is>
          <t>Asmara</t>
        </is>
      </c>
      <c r="G2655" s="232" t="inlineStr">
        <is>
          <t>w. murcott 4,9 ha</t>
        </is>
      </c>
      <c r="H2655" s="232" t="inlineStr">
        <is>
          <t>Mandarina</t>
        </is>
      </c>
      <c r="I2655" s="232" t="inlineStr">
        <is>
          <t>W. murcott</t>
        </is>
      </c>
      <c r="J2655" s="232" t="inlineStr">
        <is>
          <t>GASTOS GENERALES</t>
        </is>
      </c>
      <c r="K2655" s="232" t="inlineStr">
        <is>
          <t>ARTICULOS DE OFICINA</t>
        </is>
      </c>
      <c r="L2655" s="232" t="inlineStr">
        <is>
          <t>[PRORRATEO 3.3% 4.9há/148.3há] O/001450 TECLADO+MO</t>
        </is>
      </c>
      <c r="M2655" s="232" t="inlineStr"/>
      <c r="N2655" s="232" t="inlineStr">
        <is>
          <t>.   .   -</t>
        </is>
      </c>
      <c r="O2655" s="232" t="inlineStr">
        <is>
          <t>MARZO</t>
        </is>
      </c>
      <c r="P2655" s="232" t="n">
        <v>10</v>
      </c>
      <c r="Q2655" s="234" t="n">
        <v>789</v>
      </c>
      <c r="R2655" s="232" t="inlineStr"/>
      <c r="S2655" s="234" t="n">
        <v>789</v>
      </c>
      <c r="T2655" s="232" t="inlineStr">
        <is>
          <t>CLP</t>
        </is>
      </c>
      <c r="U2655" s="232" t="inlineStr">
        <is>
          <t>Prorrateo Ha PACKING</t>
        </is>
      </c>
      <c r="V2655" s="232" t="inlineStr">
        <is>
          <t>2026-06-18</t>
        </is>
      </c>
    </row>
    <row r="2656">
      <c r="A2656" s="232" t="inlineStr">
        <is>
          <t>CR-2653</t>
        </is>
      </c>
      <c r="B2656" s="232" t="inlineStr">
        <is>
          <t>2026/27</t>
        </is>
      </c>
      <c r="C2656" s="233" t="n">
        <v>46091</v>
      </c>
      <c r="D2656" s="232" t="inlineStr">
        <is>
          <t>291926</t>
        </is>
      </c>
      <c r="E2656" s="232" t="inlineStr">
        <is>
          <t>PRORRATEO</t>
        </is>
      </c>
      <c r="F2656" s="232" t="inlineStr">
        <is>
          <t>El Molle</t>
        </is>
      </c>
      <c r="G2656" s="232" t="inlineStr">
        <is>
          <t>Wonderful 5,25 ha</t>
        </is>
      </c>
      <c r="H2656" s="232" t="inlineStr">
        <is>
          <t>Granados</t>
        </is>
      </c>
      <c r="I2656" s="232" t="inlineStr">
        <is>
          <t>Wonderfull</t>
        </is>
      </c>
      <c r="J2656" s="232" t="inlineStr">
        <is>
          <t>GASTOS GENERALES</t>
        </is>
      </c>
      <c r="K2656" s="232" t="inlineStr">
        <is>
          <t>ARTICULOS DE OFICINA</t>
        </is>
      </c>
      <c r="L2656" s="232" t="inlineStr">
        <is>
          <t>[PRORRATEO 3.5% 5.24há/148.3há] O/001450 TECLADO+MO</t>
        </is>
      </c>
      <c r="M2656" s="232" t="inlineStr"/>
      <c r="N2656" s="232" t="inlineStr">
        <is>
          <t>.   .   -</t>
        </is>
      </c>
      <c r="O2656" s="232" t="inlineStr">
        <is>
          <t>MARZO</t>
        </is>
      </c>
      <c r="P2656" s="232" t="n">
        <v>10</v>
      </c>
      <c r="Q2656" s="234" t="n">
        <v>844</v>
      </c>
      <c r="R2656" s="232" t="inlineStr"/>
      <c r="S2656" s="234" t="n">
        <v>844</v>
      </c>
      <c r="T2656" s="232" t="inlineStr">
        <is>
          <t>CLP</t>
        </is>
      </c>
      <c r="U2656" s="232" t="inlineStr">
        <is>
          <t>Prorrateo Ha PACKING</t>
        </is>
      </c>
      <c r="V2656" s="232" t="inlineStr">
        <is>
          <t>2026-06-18</t>
        </is>
      </c>
    </row>
    <row r="2657">
      <c r="A2657" s="232" t="inlineStr">
        <is>
          <t>CR-2654</t>
        </is>
      </c>
      <c r="B2657" s="232" t="inlineStr">
        <is>
          <t>2026/27</t>
        </is>
      </c>
      <c r="C2657" s="233" t="n">
        <v>46091</v>
      </c>
      <c r="D2657" s="232" t="inlineStr">
        <is>
          <t>291926</t>
        </is>
      </c>
      <c r="E2657" s="232" t="inlineStr">
        <is>
          <t>PRORRATEO</t>
        </is>
      </c>
      <c r="F2657" s="232" t="inlineStr">
        <is>
          <t>El Molle</t>
        </is>
      </c>
      <c r="G2657" s="232" t="inlineStr">
        <is>
          <t>arrufatinas 5,74 ha</t>
        </is>
      </c>
      <c r="H2657" s="232" t="inlineStr">
        <is>
          <t>Clementinas</t>
        </is>
      </c>
      <c r="I2657" s="232" t="inlineStr">
        <is>
          <t>Arrufatinas</t>
        </is>
      </c>
      <c r="J2657" s="232" t="inlineStr">
        <is>
          <t>GASTOS GENERALES</t>
        </is>
      </c>
      <c r="K2657" s="232" t="inlineStr">
        <is>
          <t>ARTICULOS DE OFICINA</t>
        </is>
      </c>
      <c r="L2657" s="232" t="inlineStr">
        <is>
          <t>[PRORRATEO 3.9% 5.74há/148.3há] O/001450 TECLADO+MO</t>
        </is>
      </c>
      <c r="M2657" s="232" t="inlineStr"/>
      <c r="N2657" s="232" t="inlineStr">
        <is>
          <t>.   .   -</t>
        </is>
      </c>
      <c r="O2657" s="232" t="inlineStr">
        <is>
          <t>MARZO</t>
        </is>
      </c>
      <c r="P2657" s="232" t="n">
        <v>10</v>
      </c>
      <c r="Q2657" s="234" t="n">
        <v>924</v>
      </c>
      <c r="R2657" s="232" t="inlineStr"/>
      <c r="S2657" s="234" t="n">
        <v>924</v>
      </c>
      <c r="T2657" s="232" t="inlineStr">
        <is>
          <t>CLP</t>
        </is>
      </c>
      <c r="U2657" s="232" t="inlineStr">
        <is>
          <t>Prorrateo Ha PACKING</t>
        </is>
      </c>
      <c r="V2657" s="232" t="inlineStr">
        <is>
          <t>2026-06-18</t>
        </is>
      </c>
    </row>
    <row r="2658">
      <c r="A2658" s="232" t="inlineStr">
        <is>
          <t>CR-2655</t>
        </is>
      </c>
      <c r="B2658" s="232" t="inlineStr">
        <is>
          <t>2026/27</t>
        </is>
      </c>
      <c r="C2658" s="233" t="n">
        <v>46091</v>
      </c>
      <c r="D2658" s="232" t="inlineStr">
        <is>
          <t>291926</t>
        </is>
      </c>
      <c r="E2658" s="232" t="inlineStr">
        <is>
          <t>PRORRATEO</t>
        </is>
      </c>
      <c r="F2658" s="232" t="inlineStr">
        <is>
          <t>El Molle</t>
        </is>
      </c>
      <c r="G2658" s="232" t="inlineStr">
        <is>
          <t>orogrande 8,11 ha</t>
        </is>
      </c>
      <c r="H2658" s="232" t="inlineStr">
        <is>
          <t>Clementinas</t>
        </is>
      </c>
      <c r="I2658" s="232" t="inlineStr">
        <is>
          <t>Orogrande</t>
        </is>
      </c>
      <c r="J2658" s="232" t="inlineStr">
        <is>
          <t>GASTOS GENERALES</t>
        </is>
      </c>
      <c r="K2658" s="232" t="inlineStr">
        <is>
          <t>ARTICULOS DE OFICINA</t>
        </is>
      </c>
      <c r="L2658" s="232" t="inlineStr">
        <is>
          <t>[PRORRATEO 5.5% 8.11há/148.3há] O/001450 TECLADO+MO</t>
        </is>
      </c>
      <c r="M2658" s="232" t="inlineStr"/>
      <c r="N2658" s="232" t="inlineStr">
        <is>
          <t>.   .   -</t>
        </is>
      </c>
      <c r="O2658" s="232" t="inlineStr">
        <is>
          <t>MARZO</t>
        </is>
      </c>
      <c r="P2658" s="232" t="n">
        <v>10</v>
      </c>
      <c r="Q2658" s="234" t="n">
        <v>1306</v>
      </c>
      <c r="R2658" s="232" t="inlineStr"/>
      <c r="S2658" s="234" t="n">
        <v>1306</v>
      </c>
      <c r="T2658" s="232" t="inlineStr">
        <is>
          <t>CLP</t>
        </is>
      </c>
      <c r="U2658" s="232" t="inlineStr">
        <is>
          <t>Prorrateo Ha PACKING</t>
        </is>
      </c>
      <c r="V2658" s="232" t="inlineStr">
        <is>
          <t>2026-06-18</t>
        </is>
      </c>
    </row>
    <row r="2659">
      <c r="A2659" s="232" t="inlineStr">
        <is>
          <t>CR-2656</t>
        </is>
      </c>
      <c r="B2659" s="232" t="inlineStr">
        <is>
          <t>2026/27</t>
        </is>
      </c>
      <c r="C2659" s="233" t="n">
        <v>46091</v>
      </c>
      <c r="D2659" s="232" t="inlineStr">
        <is>
          <t>291926</t>
        </is>
      </c>
      <c r="E2659" s="232" t="inlineStr">
        <is>
          <t>PRORRATEO</t>
        </is>
      </c>
      <c r="F2659" s="232" t="inlineStr">
        <is>
          <t>El Molle</t>
        </is>
      </c>
      <c r="G2659" s="232" t="inlineStr">
        <is>
          <t>oronules 5,35 ha</t>
        </is>
      </c>
      <c r="H2659" s="232" t="inlineStr">
        <is>
          <t>Clementinas</t>
        </is>
      </c>
      <c r="I2659" s="232" t="inlineStr">
        <is>
          <t>Oronules</t>
        </is>
      </c>
      <c r="J2659" s="232" t="inlineStr">
        <is>
          <t>GASTOS GENERALES</t>
        </is>
      </c>
      <c r="K2659" s="232" t="inlineStr">
        <is>
          <t>ARTICULOS DE OFICINA</t>
        </is>
      </c>
      <c r="L2659" s="232" t="inlineStr">
        <is>
          <t>[PRORRATEO 3.6% 5.35há/148.3há] O/001450 TECLADO+MO</t>
        </is>
      </c>
      <c r="M2659" s="232" t="inlineStr"/>
      <c r="N2659" s="232" t="inlineStr">
        <is>
          <t>.   .   -</t>
        </is>
      </c>
      <c r="O2659" s="232" t="inlineStr">
        <is>
          <t>MARZO</t>
        </is>
      </c>
      <c r="P2659" s="232" t="n">
        <v>10</v>
      </c>
      <c r="Q2659" s="234" t="n">
        <v>862</v>
      </c>
      <c r="R2659" s="232" t="inlineStr"/>
      <c r="S2659" s="234" t="n">
        <v>862</v>
      </c>
      <c r="T2659" s="232" t="inlineStr">
        <is>
          <t>CLP</t>
        </is>
      </c>
      <c r="U2659" s="232" t="inlineStr">
        <is>
          <t>Prorrateo Ha PACKING</t>
        </is>
      </c>
      <c r="V2659" s="232" t="inlineStr">
        <is>
          <t>2026-06-18</t>
        </is>
      </c>
    </row>
    <row r="2660">
      <c r="A2660" s="232" t="inlineStr">
        <is>
          <t>CR-2657</t>
        </is>
      </c>
      <c r="B2660" s="232" t="inlineStr">
        <is>
          <t>2026/27</t>
        </is>
      </c>
      <c r="C2660" s="233" t="n">
        <v>46091</v>
      </c>
      <c r="D2660" s="232" t="inlineStr">
        <is>
          <t>291926</t>
        </is>
      </c>
      <c r="E2660" s="232" t="inlineStr">
        <is>
          <t>PRORRATEO</t>
        </is>
      </c>
      <c r="F2660" s="232" t="inlineStr">
        <is>
          <t>Santa Catalina</t>
        </is>
      </c>
      <c r="G2660" s="232" t="inlineStr">
        <is>
          <t>Fino 49 7,7 ha</t>
        </is>
      </c>
      <c r="H2660" s="232" t="inlineStr">
        <is>
          <t>Limon</t>
        </is>
      </c>
      <c r="I2660" s="232" t="inlineStr">
        <is>
          <t>Fino 49</t>
        </is>
      </c>
      <c r="J2660" s="232" t="inlineStr">
        <is>
          <t>GASTOS GENERALES</t>
        </is>
      </c>
      <c r="K2660" s="232" t="inlineStr">
        <is>
          <t>ARTICULOS DE OFICINA</t>
        </is>
      </c>
      <c r="L2660" s="232" t="inlineStr">
        <is>
          <t>[PRORRATEO 5.2% 7.7há/148.3há] O/001450 TECLADO+MO</t>
        </is>
      </c>
      <c r="M2660" s="232" t="inlineStr"/>
      <c r="N2660" s="232" t="inlineStr">
        <is>
          <t>.   .   -</t>
        </is>
      </c>
      <c r="O2660" s="232" t="inlineStr">
        <is>
          <t>MARZO</t>
        </is>
      </c>
      <c r="P2660" s="232" t="n">
        <v>10</v>
      </c>
      <c r="Q2660" s="234" t="n">
        <v>1240</v>
      </c>
      <c r="R2660" s="232" t="inlineStr"/>
      <c r="S2660" s="234" t="n">
        <v>1240</v>
      </c>
      <c r="T2660" s="232" t="inlineStr">
        <is>
          <t>CLP</t>
        </is>
      </c>
      <c r="U2660" s="232" t="inlineStr">
        <is>
          <t>Prorrateo Ha PACKING</t>
        </is>
      </c>
      <c r="V2660" s="232" t="inlineStr">
        <is>
          <t>2026-06-18</t>
        </is>
      </c>
    </row>
    <row r="2661">
      <c r="A2661" s="232" t="inlineStr">
        <is>
          <t>CR-2658</t>
        </is>
      </c>
      <c r="B2661" s="232" t="inlineStr">
        <is>
          <t>2026/27</t>
        </is>
      </c>
      <c r="C2661" s="233" t="n">
        <v>46091</v>
      </c>
      <c r="D2661" s="232" t="inlineStr">
        <is>
          <t>291926</t>
        </is>
      </c>
      <c r="E2661" s="232" t="inlineStr">
        <is>
          <t>PRORRATEO</t>
        </is>
      </c>
      <c r="F2661" s="232" t="inlineStr">
        <is>
          <t>Santa Catalina</t>
        </is>
      </c>
      <c r="G2661" s="232" t="inlineStr">
        <is>
          <t>W. murcott 21 ha</t>
        </is>
      </c>
      <c r="H2661" s="232" t="inlineStr">
        <is>
          <t>Mandarina</t>
        </is>
      </c>
      <c r="I2661" s="232" t="inlineStr">
        <is>
          <t>W. murcott</t>
        </is>
      </c>
      <c r="J2661" s="232" t="inlineStr">
        <is>
          <t>GASTOS GENERALES</t>
        </is>
      </c>
      <c r="K2661" s="232" t="inlineStr">
        <is>
          <t>ARTICULOS DE OFICINA</t>
        </is>
      </c>
      <c r="L2661" s="232" t="inlineStr">
        <is>
          <t>[PRORRATEO 14.2% 21.0há/148.3há] O/001450 TECLADO+MO</t>
        </is>
      </c>
      <c r="M2661" s="232" t="inlineStr"/>
      <c r="N2661" s="232" t="inlineStr">
        <is>
          <t>.   .   -</t>
        </is>
      </c>
      <c r="O2661" s="232" t="inlineStr">
        <is>
          <t>MARZO</t>
        </is>
      </c>
      <c r="P2661" s="232" t="n">
        <v>10</v>
      </c>
      <c r="Q2661" s="234" t="n">
        <v>3382</v>
      </c>
      <c r="R2661" s="232" t="inlineStr"/>
      <c r="S2661" s="234" t="n">
        <v>3382</v>
      </c>
      <c r="T2661" s="232" t="inlineStr">
        <is>
          <t>CLP</t>
        </is>
      </c>
      <c r="U2661" s="232" t="inlineStr">
        <is>
          <t>Prorrateo Ha PACKING</t>
        </is>
      </c>
      <c r="V2661" s="232" t="inlineStr">
        <is>
          <t>2026-06-18</t>
        </is>
      </c>
    </row>
    <row r="2662">
      <c r="A2662" s="232" t="inlineStr">
        <is>
          <t>CR-2659</t>
        </is>
      </c>
      <c r="B2662" s="232" t="inlineStr">
        <is>
          <t>2026/27</t>
        </is>
      </c>
      <c r="C2662" s="233" t="n">
        <v>46091</v>
      </c>
      <c r="D2662" s="232" t="inlineStr">
        <is>
          <t>291926</t>
        </is>
      </c>
      <c r="E2662" s="232" t="inlineStr">
        <is>
          <t>PRORRATEO</t>
        </is>
      </c>
      <c r="F2662" s="232" t="inlineStr">
        <is>
          <t>Santa Catalina</t>
        </is>
      </c>
      <c r="G2662" s="232" t="inlineStr">
        <is>
          <t>cambria 4,2 ha</t>
        </is>
      </c>
      <c r="H2662" s="232" t="inlineStr">
        <is>
          <t>Naranjas</t>
        </is>
      </c>
      <c r="I2662" s="232" t="inlineStr">
        <is>
          <t>Cambria</t>
        </is>
      </c>
      <c r="J2662" s="232" t="inlineStr">
        <is>
          <t>GASTOS GENERALES</t>
        </is>
      </c>
      <c r="K2662" s="232" t="inlineStr">
        <is>
          <t>ARTICULOS DE OFICINA</t>
        </is>
      </c>
      <c r="L2662" s="232" t="inlineStr">
        <is>
          <t>[PRORRATEO 2.8% 4.2há/148.3há] O/001450 TECLADO+MO</t>
        </is>
      </c>
      <c r="M2662" s="232" t="inlineStr"/>
      <c r="N2662" s="232" t="inlineStr">
        <is>
          <t>.   .   -</t>
        </is>
      </c>
      <c r="O2662" s="232" t="inlineStr">
        <is>
          <t>MARZO</t>
        </is>
      </c>
      <c r="P2662" s="232" t="n">
        <v>10</v>
      </c>
      <c r="Q2662" s="234" t="n">
        <v>676</v>
      </c>
      <c r="R2662" s="232" t="inlineStr"/>
      <c r="S2662" s="234" t="n">
        <v>676</v>
      </c>
      <c r="T2662" s="232" t="inlineStr">
        <is>
          <t>CLP</t>
        </is>
      </c>
      <c r="U2662" s="232" t="inlineStr">
        <is>
          <t>Prorrateo Ha PACKING</t>
        </is>
      </c>
      <c r="V2662" s="232" t="inlineStr">
        <is>
          <t>2026-06-18</t>
        </is>
      </c>
    </row>
    <row r="2663">
      <c r="A2663" s="232" t="inlineStr">
        <is>
          <t>CR-2660</t>
        </is>
      </c>
      <c r="B2663" s="232" t="inlineStr">
        <is>
          <t>2026/27</t>
        </is>
      </c>
      <c r="C2663" s="233" t="n">
        <v>46091</v>
      </c>
      <c r="D2663" s="232" t="inlineStr">
        <is>
          <t>291926</t>
        </is>
      </c>
      <c r="E2663" s="232" t="inlineStr">
        <is>
          <t>PRORRATEO</t>
        </is>
      </c>
      <c r="F2663" s="232" t="inlineStr">
        <is>
          <t>Santa Catalina</t>
        </is>
      </c>
      <c r="G2663" s="232" t="inlineStr">
        <is>
          <t>eureka 10,6 ha</t>
        </is>
      </c>
      <c r="H2663" s="232" t="inlineStr">
        <is>
          <t>Limon</t>
        </is>
      </c>
      <c r="I2663" s="232" t="inlineStr">
        <is>
          <t>Eureka</t>
        </is>
      </c>
      <c r="J2663" s="232" t="inlineStr">
        <is>
          <t>GASTOS GENERALES</t>
        </is>
      </c>
      <c r="K2663" s="232" t="inlineStr">
        <is>
          <t>ARTICULOS DE OFICINA</t>
        </is>
      </c>
      <c r="L2663" s="232" t="inlineStr">
        <is>
          <t>[PRORRATEO 7.1% 10.6há/148.3há] O/001450 TECLADO+MO</t>
        </is>
      </c>
      <c r="M2663" s="232" t="inlineStr"/>
      <c r="N2663" s="232" t="inlineStr">
        <is>
          <t>.   .   -</t>
        </is>
      </c>
      <c r="O2663" s="232" t="inlineStr">
        <is>
          <t>MARZO</t>
        </is>
      </c>
      <c r="P2663" s="232" t="n">
        <v>10</v>
      </c>
      <c r="Q2663" s="234" t="n">
        <v>1707</v>
      </c>
      <c r="R2663" s="232" t="inlineStr"/>
      <c r="S2663" s="234" t="n">
        <v>1707</v>
      </c>
      <c r="T2663" s="232" t="inlineStr">
        <is>
          <t>CLP</t>
        </is>
      </c>
      <c r="U2663" s="232" t="inlineStr">
        <is>
          <t>Prorrateo Ha PACKING</t>
        </is>
      </c>
      <c r="V2663" s="232" t="inlineStr">
        <is>
          <t>2026-06-18</t>
        </is>
      </c>
    </row>
    <row r="2664">
      <c r="A2664" s="232" t="inlineStr">
        <is>
          <t>CR-2661</t>
        </is>
      </c>
      <c r="B2664" s="232" t="inlineStr">
        <is>
          <t>2026/27</t>
        </is>
      </c>
      <c r="C2664" s="233" t="n">
        <v>46091</v>
      </c>
      <c r="D2664" s="232" t="inlineStr">
        <is>
          <t>291926</t>
        </is>
      </c>
      <c r="E2664" s="232" t="inlineStr">
        <is>
          <t>PRORRATEO</t>
        </is>
      </c>
      <c r="F2664" s="232" t="inlineStr">
        <is>
          <t>Santa Catalina</t>
        </is>
      </c>
      <c r="G2664" s="232" t="inlineStr">
        <is>
          <t>eureka 14,4 ha</t>
        </is>
      </c>
      <c r="H2664" s="232" t="inlineStr">
        <is>
          <t>Limon</t>
        </is>
      </c>
      <c r="I2664" s="232" t="inlineStr">
        <is>
          <t>Eureka</t>
        </is>
      </c>
      <c r="J2664" s="232" t="inlineStr">
        <is>
          <t>GASTOS GENERALES</t>
        </is>
      </c>
      <c r="K2664" s="232" t="inlineStr">
        <is>
          <t>ARTICULOS DE OFICINA</t>
        </is>
      </c>
      <c r="L2664" s="232" t="inlineStr">
        <is>
          <t>[PRORRATEO 9.7% 14.4há/148.3há] O/001450 TECLADO+MO</t>
        </is>
      </c>
      <c r="M2664" s="232" t="inlineStr"/>
      <c r="N2664" s="232" t="inlineStr">
        <is>
          <t>.   .   -</t>
        </is>
      </c>
      <c r="O2664" s="232" t="inlineStr">
        <is>
          <t>MARZO</t>
        </is>
      </c>
      <c r="P2664" s="232" t="n">
        <v>10</v>
      </c>
      <c r="Q2664" s="234" t="n">
        <v>2319</v>
      </c>
      <c r="R2664" s="232" t="inlineStr"/>
      <c r="S2664" s="234" t="n">
        <v>2319</v>
      </c>
      <c r="T2664" s="232" t="inlineStr">
        <is>
          <t>CLP</t>
        </is>
      </c>
      <c r="U2664" s="232" t="inlineStr">
        <is>
          <t>Prorrateo Ha PACKING</t>
        </is>
      </c>
      <c r="V2664" s="232" t="inlineStr">
        <is>
          <t>2026-06-18</t>
        </is>
      </c>
    </row>
    <row r="2665">
      <c r="A2665" s="232" t="inlineStr">
        <is>
          <t>CR-2662</t>
        </is>
      </c>
      <c r="B2665" s="232" t="inlineStr">
        <is>
          <t>2026/27</t>
        </is>
      </c>
      <c r="C2665" s="233" t="n">
        <v>46091</v>
      </c>
      <c r="D2665" s="232" t="inlineStr">
        <is>
          <t>291926</t>
        </is>
      </c>
      <c r="E2665" s="232" t="inlineStr">
        <is>
          <t>PRORRATEO</t>
        </is>
      </c>
      <c r="F2665" s="232" t="inlineStr">
        <is>
          <t>Santa Catalina</t>
        </is>
      </c>
      <c r="G2665" s="232" t="inlineStr">
        <is>
          <t>eureka 22,55</t>
        </is>
      </c>
      <c r="H2665" s="232" t="inlineStr">
        <is>
          <t>Limon</t>
        </is>
      </c>
      <c r="I2665" s="232" t="inlineStr">
        <is>
          <t>Eureka</t>
        </is>
      </c>
      <c r="J2665" s="232" t="inlineStr">
        <is>
          <t>GASTOS GENERALES</t>
        </is>
      </c>
      <c r="K2665" s="232" t="inlineStr">
        <is>
          <t>ARTICULOS DE OFICINA</t>
        </is>
      </c>
      <c r="L2665" s="232" t="inlineStr">
        <is>
          <t>[PRORRATEO 15.2% 22.55há/148.3há] O/001450 TECLADO+MO</t>
        </is>
      </c>
      <c r="M2665" s="232" t="inlineStr"/>
      <c r="N2665" s="232" t="inlineStr">
        <is>
          <t>.   .   -</t>
        </is>
      </c>
      <c r="O2665" s="232" t="inlineStr">
        <is>
          <t>MARZO</t>
        </is>
      </c>
      <c r="P2665" s="232" t="n">
        <v>10</v>
      </c>
      <c r="Q2665" s="234" t="n">
        <v>3632</v>
      </c>
      <c r="R2665" s="232" t="inlineStr"/>
      <c r="S2665" s="234" t="n">
        <v>3632</v>
      </c>
      <c r="T2665" s="232" t="inlineStr">
        <is>
          <t>CLP</t>
        </is>
      </c>
      <c r="U2665" s="232" t="inlineStr">
        <is>
          <t>Prorrateo Ha PACKING</t>
        </is>
      </c>
      <c r="V2665" s="232" t="inlineStr">
        <is>
          <t>2026-06-18</t>
        </is>
      </c>
    </row>
    <row r="2666">
      <c r="A2666" s="232" t="inlineStr">
        <is>
          <t>CR-2663</t>
        </is>
      </c>
      <c r="B2666" s="232" t="inlineStr">
        <is>
          <t>2026/27</t>
        </is>
      </c>
      <c r="C2666" s="233" t="n">
        <v>46091</v>
      </c>
      <c r="D2666" s="232" t="inlineStr">
        <is>
          <t>291926</t>
        </is>
      </c>
      <c r="E2666" s="232" t="inlineStr">
        <is>
          <t>PRORRATEO</t>
        </is>
      </c>
      <c r="F2666" s="232" t="inlineStr">
        <is>
          <t>Santa Catalina</t>
        </is>
      </c>
      <c r="G2666" s="232" t="inlineStr">
        <is>
          <t>form benjamin 1,93 ha</t>
        </is>
      </c>
      <c r="H2666" s="232" t="inlineStr">
        <is>
          <t>Limon</t>
        </is>
      </c>
      <c r="I2666" s="232" t="inlineStr">
        <is>
          <t>Benjamin andes</t>
        </is>
      </c>
      <c r="J2666" s="232" t="inlineStr">
        <is>
          <t>GASTOS GENERALES</t>
        </is>
      </c>
      <c r="K2666" s="232" t="inlineStr">
        <is>
          <t>ARTICULOS DE OFICINA</t>
        </is>
      </c>
      <c r="L2666" s="232" t="inlineStr">
        <is>
          <t>[PRORRATEO 1.3% 1.93há/148.3há] O/001450 TECLADO+MO</t>
        </is>
      </c>
      <c r="M2666" s="232" t="inlineStr"/>
      <c r="N2666" s="232" t="inlineStr">
        <is>
          <t>.   .   -</t>
        </is>
      </c>
      <c r="O2666" s="232" t="inlineStr">
        <is>
          <t>MARZO</t>
        </is>
      </c>
      <c r="P2666" s="232" t="n">
        <v>10</v>
      </c>
      <c r="Q2666" s="234" t="n">
        <v>311</v>
      </c>
      <c r="R2666" s="232" t="inlineStr"/>
      <c r="S2666" s="234" t="n">
        <v>311</v>
      </c>
      <c r="T2666" s="232" t="inlineStr">
        <is>
          <t>CLP</t>
        </is>
      </c>
      <c r="U2666" s="232" t="inlineStr">
        <is>
          <t>Prorrateo Ha PACKING</t>
        </is>
      </c>
      <c r="V2666" s="232" t="inlineStr">
        <is>
          <t>2026-06-18</t>
        </is>
      </c>
    </row>
    <row r="2667">
      <c r="A2667" s="232" t="inlineStr">
        <is>
          <t>CR-2664</t>
        </is>
      </c>
      <c r="B2667" s="232" t="inlineStr">
        <is>
          <t>2026/27</t>
        </is>
      </c>
      <c r="C2667" s="233" t="n">
        <v>46091</v>
      </c>
      <c r="D2667" s="232" t="inlineStr">
        <is>
          <t>291926</t>
        </is>
      </c>
      <c r="E2667" s="232" t="inlineStr">
        <is>
          <t>PRORRATEO</t>
        </is>
      </c>
      <c r="F2667" s="232" t="inlineStr">
        <is>
          <t>Santa Catalina</t>
        </is>
      </c>
      <c r="G2667" s="232" t="inlineStr">
        <is>
          <t>mant eureka 2,5 ha</t>
        </is>
      </c>
      <c r="H2667" s="232" t="inlineStr">
        <is>
          <t>Limon</t>
        </is>
      </c>
      <c r="I2667" s="232" t="inlineStr">
        <is>
          <t>Eureka</t>
        </is>
      </c>
      <c r="J2667" s="232" t="inlineStr">
        <is>
          <t>GASTOS GENERALES</t>
        </is>
      </c>
      <c r="K2667" s="232" t="inlineStr">
        <is>
          <t>ARTICULOS DE OFICINA</t>
        </is>
      </c>
      <c r="L2667" s="232" t="inlineStr">
        <is>
          <t>[PRORRATEO 1.7% 2.5há/148.3há] O/001450 TECLADO+MO</t>
        </is>
      </c>
      <c r="M2667" s="232" t="inlineStr"/>
      <c r="N2667" s="232" t="inlineStr">
        <is>
          <t>.   .   -</t>
        </is>
      </c>
      <c r="O2667" s="232" t="inlineStr">
        <is>
          <t>MARZO</t>
        </is>
      </c>
      <c r="P2667" s="232" t="n">
        <v>10</v>
      </c>
      <c r="Q2667" s="234" t="n">
        <v>403</v>
      </c>
      <c r="R2667" s="232" t="inlineStr"/>
      <c r="S2667" s="234" t="n">
        <v>403</v>
      </c>
      <c r="T2667" s="232" t="inlineStr">
        <is>
          <t>CLP</t>
        </is>
      </c>
      <c r="U2667" s="232" t="inlineStr">
        <is>
          <t>Prorrateo Ha PACKING</t>
        </is>
      </c>
      <c r="V2667" s="232" t="inlineStr">
        <is>
          <t>2026-06-18</t>
        </is>
      </c>
    </row>
    <row r="2668">
      <c r="A2668" s="232" t="inlineStr">
        <is>
          <t>CR-2665</t>
        </is>
      </c>
      <c r="B2668" s="232" t="inlineStr">
        <is>
          <t>2026/27</t>
        </is>
      </c>
      <c r="C2668" s="233" t="n">
        <v>46091</v>
      </c>
      <c r="D2668" s="232" t="inlineStr">
        <is>
          <t>291926</t>
        </is>
      </c>
      <c r="E2668" s="232" t="inlineStr">
        <is>
          <t>PRORRATEO</t>
        </is>
      </c>
      <c r="F2668" s="232" t="inlineStr">
        <is>
          <t>Siberia</t>
        </is>
      </c>
      <c r="G2668" s="232" t="inlineStr">
        <is>
          <t>S. Celebration 7,14</t>
        </is>
      </c>
      <c r="H2668" s="232" t="inlineStr">
        <is>
          <t>Uvas</t>
        </is>
      </c>
      <c r="I2668" s="232" t="inlineStr">
        <is>
          <t>S. celebration</t>
        </is>
      </c>
      <c r="J2668" s="232" t="inlineStr">
        <is>
          <t>GASTOS GENERALES</t>
        </is>
      </c>
      <c r="K2668" s="232" t="inlineStr">
        <is>
          <t>ARTICULOS DE OFICINA</t>
        </is>
      </c>
      <c r="L2668" s="232" t="inlineStr">
        <is>
          <t>[PRORRATEO 4.8% 7.14há/148.3há] O/001450 TECLADO+MO</t>
        </is>
      </c>
      <c r="M2668" s="232" t="inlineStr"/>
      <c r="N2668" s="232" t="inlineStr">
        <is>
          <t>.   .   -</t>
        </is>
      </c>
      <c r="O2668" s="232" t="inlineStr">
        <is>
          <t>MARZO</t>
        </is>
      </c>
      <c r="P2668" s="232" t="n">
        <v>10</v>
      </c>
      <c r="Q2668" s="234" t="n">
        <v>1150</v>
      </c>
      <c r="R2668" s="232" t="inlineStr"/>
      <c r="S2668" s="234" t="n">
        <v>1150</v>
      </c>
      <c r="T2668" s="232" t="inlineStr">
        <is>
          <t>CLP</t>
        </is>
      </c>
      <c r="U2668" s="232" t="inlineStr">
        <is>
          <t>Prorrateo Ha PACKING</t>
        </is>
      </c>
      <c r="V2668" s="232" t="inlineStr">
        <is>
          <t>2026-06-18</t>
        </is>
      </c>
    </row>
    <row r="2669">
      <c r="A2669" s="232" t="inlineStr">
        <is>
          <t>CR-2666</t>
        </is>
      </c>
      <c r="B2669" s="232" t="inlineStr">
        <is>
          <t>2026/27</t>
        </is>
      </c>
      <c r="C2669" s="233" t="n">
        <v>46091</v>
      </c>
      <c r="D2669" s="232" t="inlineStr">
        <is>
          <t>291926</t>
        </is>
      </c>
      <c r="E2669" s="232" t="inlineStr">
        <is>
          <t>PRORRATEO</t>
        </is>
      </c>
      <c r="F2669" s="232" t="inlineStr">
        <is>
          <t>Siberia</t>
        </is>
      </c>
      <c r="G2669" s="232" t="inlineStr">
        <is>
          <t>Timpson 7,1</t>
        </is>
      </c>
      <c r="H2669" s="232" t="inlineStr">
        <is>
          <t>Uvas</t>
        </is>
      </c>
      <c r="I2669" s="232" t="inlineStr">
        <is>
          <t>Timpson</t>
        </is>
      </c>
      <c r="J2669" s="232" t="inlineStr">
        <is>
          <t>GASTOS GENERALES</t>
        </is>
      </c>
      <c r="K2669" s="232" t="inlineStr">
        <is>
          <t>ARTICULOS DE OFICINA</t>
        </is>
      </c>
      <c r="L2669" s="232" t="inlineStr">
        <is>
          <t>[PRORRATEO 4.8% 7.1há/148.3há] O/001450 TECLADO+MO</t>
        </is>
      </c>
      <c r="M2669" s="232" t="inlineStr"/>
      <c r="N2669" s="232" t="inlineStr">
        <is>
          <t>.   .   -</t>
        </is>
      </c>
      <c r="O2669" s="232" t="inlineStr">
        <is>
          <t>MARZO</t>
        </is>
      </c>
      <c r="P2669" s="232" t="n">
        <v>10</v>
      </c>
      <c r="Q2669" s="234" t="n">
        <v>1143</v>
      </c>
      <c r="R2669" s="232" t="inlineStr"/>
      <c r="S2669" s="234" t="n">
        <v>1143</v>
      </c>
      <c r="T2669" s="232" t="inlineStr">
        <is>
          <t>CLP</t>
        </is>
      </c>
      <c r="U2669" s="232" t="inlineStr">
        <is>
          <t>Prorrateo Ha PACKING</t>
        </is>
      </c>
      <c r="V2669" s="232" t="inlineStr">
        <is>
          <t>2026-06-18</t>
        </is>
      </c>
    </row>
    <row r="2670">
      <c r="A2670" s="232" t="inlineStr">
        <is>
          <t>CR-2667</t>
        </is>
      </c>
      <c r="B2670" s="232" t="inlineStr">
        <is>
          <t>2026/27</t>
        </is>
      </c>
      <c r="C2670" s="233" t="n">
        <v>46091</v>
      </c>
      <c r="D2670" s="232" t="inlineStr">
        <is>
          <t>291926</t>
        </is>
      </c>
      <c r="E2670" s="232" t="inlineStr">
        <is>
          <t>PRORRATEO</t>
        </is>
      </c>
      <c r="F2670" s="232" t="inlineStr">
        <is>
          <t>Asmara</t>
        </is>
      </c>
      <c r="G2670" s="232" t="inlineStr">
        <is>
          <t>w. murcott 19,8 ha</t>
        </is>
      </c>
      <c r="H2670" s="232" t="inlineStr">
        <is>
          <t>Mandarina</t>
        </is>
      </c>
      <c r="I2670" s="232" t="inlineStr">
        <is>
          <t>W. murcott</t>
        </is>
      </c>
      <c r="J2670" s="232" t="inlineStr">
        <is>
          <t>GASTOS GENERALES</t>
        </is>
      </c>
      <c r="K2670" s="232" t="inlineStr">
        <is>
          <t>INSUMOS DE ASEO</t>
        </is>
      </c>
      <c r="L2670" s="232" t="inlineStr">
        <is>
          <t>[PRORRATEO 13.4% 19.8há/148.3há] O/001450 TRAPERO DO</t>
        </is>
      </c>
      <c r="M2670" s="232" t="inlineStr"/>
      <c r="N2670" s="232" t="inlineStr">
        <is>
          <t>.   .   -</t>
        </is>
      </c>
      <c r="O2670" s="232" t="inlineStr">
        <is>
          <t>MARZO</t>
        </is>
      </c>
      <c r="P2670" s="232" t="n">
        <v>10</v>
      </c>
      <c r="Q2670" s="234" t="n">
        <v>615</v>
      </c>
      <c r="R2670" s="232" t="inlineStr"/>
      <c r="S2670" s="234" t="n">
        <v>615</v>
      </c>
      <c r="T2670" s="232" t="inlineStr">
        <is>
          <t>CLP</t>
        </is>
      </c>
      <c r="U2670" s="232" t="inlineStr">
        <is>
          <t>Prorrateo Ha PACKING</t>
        </is>
      </c>
      <c r="V2670" s="232" t="inlineStr">
        <is>
          <t>2026-06-18</t>
        </is>
      </c>
    </row>
    <row r="2671">
      <c r="A2671" s="232" t="inlineStr">
        <is>
          <t>CR-2668</t>
        </is>
      </c>
      <c r="B2671" s="232" t="inlineStr">
        <is>
          <t>2026/27</t>
        </is>
      </c>
      <c r="C2671" s="233" t="n">
        <v>46091</v>
      </c>
      <c r="D2671" s="232" t="inlineStr">
        <is>
          <t>291926</t>
        </is>
      </c>
      <c r="E2671" s="232" t="inlineStr">
        <is>
          <t>PRORRATEO</t>
        </is>
      </c>
      <c r="F2671" s="232" t="inlineStr">
        <is>
          <t>Asmara</t>
        </is>
      </c>
      <c r="G2671" s="232" t="inlineStr">
        <is>
          <t>w. murcott 4,9 ha</t>
        </is>
      </c>
      <c r="H2671" s="232" t="inlineStr">
        <is>
          <t>Mandarina</t>
        </is>
      </c>
      <c r="I2671" s="232" t="inlineStr">
        <is>
          <t>W. murcott</t>
        </is>
      </c>
      <c r="J2671" s="232" t="inlineStr">
        <is>
          <t>GASTOS GENERALES</t>
        </is>
      </c>
      <c r="K2671" s="232" t="inlineStr">
        <is>
          <t>INSUMOS DE ASEO</t>
        </is>
      </c>
      <c r="L2671" s="232" t="inlineStr">
        <is>
          <t>[PRORRATEO 3.3% 4.9há/148.3há] O/001450 TRAPERO DO</t>
        </is>
      </c>
      <c r="M2671" s="232" t="inlineStr"/>
      <c r="N2671" s="232" t="inlineStr">
        <is>
          <t>.   .   -</t>
        </is>
      </c>
      <c r="O2671" s="232" t="inlineStr">
        <is>
          <t>MARZO</t>
        </is>
      </c>
      <c r="P2671" s="232" t="n">
        <v>10</v>
      </c>
      <c r="Q2671" s="234" t="n">
        <v>152</v>
      </c>
      <c r="R2671" s="232" t="inlineStr"/>
      <c r="S2671" s="234" t="n">
        <v>152</v>
      </c>
      <c r="T2671" s="232" t="inlineStr">
        <is>
          <t>CLP</t>
        </is>
      </c>
      <c r="U2671" s="232" t="inlineStr">
        <is>
          <t>Prorrateo Ha PACKING</t>
        </is>
      </c>
      <c r="V2671" s="232" t="inlineStr">
        <is>
          <t>2026-06-18</t>
        </is>
      </c>
    </row>
    <row r="2672">
      <c r="A2672" s="232" t="inlineStr">
        <is>
          <t>CR-2669</t>
        </is>
      </c>
      <c r="B2672" s="232" t="inlineStr">
        <is>
          <t>2026/27</t>
        </is>
      </c>
      <c r="C2672" s="233" t="n">
        <v>46091</v>
      </c>
      <c r="D2672" s="232" t="inlineStr">
        <is>
          <t>291926</t>
        </is>
      </c>
      <c r="E2672" s="232" t="inlineStr">
        <is>
          <t>PRORRATEO</t>
        </is>
      </c>
      <c r="F2672" s="232" t="inlineStr">
        <is>
          <t>El Molle</t>
        </is>
      </c>
      <c r="G2672" s="232" t="inlineStr">
        <is>
          <t>Wonderful 5,25 ha</t>
        </is>
      </c>
      <c r="H2672" s="232" t="inlineStr">
        <is>
          <t>Granados</t>
        </is>
      </c>
      <c r="I2672" s="232" t="inlineStr">
        <is>
          <t>Wonderfull</t>
        </is>
      </c>
      <c r="J2672" s="232" t="inlineStr">
        <is>
          <t>GASTOS GENERALES</t>
        </is>
      </c>
      <c r="K2672" s="232" t="inlineStr">
        <is>
          <t>INSUMOS DE ASEO</t>
        </is>
      </c>
      <c r="L2672" s="232" t="inlineStr">
        <is>
          <t>[PRORRATEO 3.5% 5.24há/148.3há] O/001450 TRAPERO DO</t>
        </is>
      </c>
      <c r="M2672" s="232" t="inlineStr"/>
      <c r="N2672" s="232" t="inlineStr">
        <is>
          <t>.   .   -</t>
        </is>
      </c>
      <c r="O2672" s="232" t="inlineStr">
        <is>
          <t>MARZO</t>
        </is>
      </c>
      <c r="P2672" s="232" t="n">
        <v>10</v>
      </c>
      <c r="Q2672" s="234" t="n">
        <v>163</v>
      </c>
      <c r="R2672" s="232" t="inlineStr"/>
      <c r="S2672" s="234" t="n">
        <v>163</v>
      </c>
      <c r="T2672" s="232" t="inlineStr">
        <is>
          <t>CLP</t>
        </is>
      </c>
      <c r="U2672" s="232" t="inlineStr">
        <is>
          <t>Prorrateo Ha PACKING</t>
        </is>
      </c>
      <c r="V2672" s="232" t="inlineStr">
        <is>
          <t>2026-06-18</t>
        </is>
      </c>
    </row>
    <row r="2673">
      <c r="A2673" s="232" t="inlineStr">
        <is>
          <t>CR-2670</t>
        </is>
      </c>
      <c r="B2673" s="232" t="inlineStr">
        <is>
          <t>2026/27</t>
        </is>
      </c>
      <c r="C2673" s="233" t="n">
        <v>46091</v>
      </c>
      <c r="D2673" s="232" t="inlineStr">
        <is>
          <t>291926</t>
        </is>
      </c>
      <c r="E2673" s="232" t="inlineStr">
        <is>
          <t>PRORRATEO</t>
        </is>
      </c>
      <c r="F2673" s="232" t="inlineStr">
        <is>
          <t>El Molle</t>
        </is>
      </c>
      <c r="G2673" s="232" t="inlineStr">
        <is>
          <t>arrufatinas 5,74 ha</t>
        </is>
      </c>
      <c r="H2673" s="232" t="inlineStr">
        <is>
          <t>Clementinas</t>
        </is>
      </c>
      <c r="I2673" s="232" t="inlineStr">
        <is>
          <t>Arrufatinas</t>
        </is>
      </c>
      <c r="J2673" s="232" t="inlineStr">
        <is>
          <t>GASTOS GENERALES</t>
        </is>
      </c>
      <c r="K2673" s="232" t="inlineStr">
        <is>
          <t>INSUMOS DE ASEO</t>
        </is>
      </c>
      <c r="L2673" s="232" t="inlineStr">
        <is>
          <t>[PRORRATEO 3.9% 5.74há/148.3há] O/001450 TRAPERO DO</t>
        </is>
      </c>
      <c r="M2673" s="232" t="inlineStr"/>
      <c r="N2673" s="232" t="inlineStr">
        <is>
          <t>.   .   -</t>
        </is>
      </c>
      <c r="O2673" s="232" t="inlineStr">
        <is>
          <t>MARZO</t>
        </is>
      </c>
      <c r="P2673" s="232" t="n">
        <v>10</v>
      </c>
      <c r="Q2673" s="234" t="n">
        <v>178</v>
      </c>
      <c r="R2673" s="232" t="inlineStr"/>
      <c r="S2673" s="234" t="n">
        <v>178</v>
      </c>
      <c r="T2673" s="232" t="inlineStr">
        <is>
          <t>CLP</t>
        </is>
      </c>
      <c r="U2673" s="232" t="inlineStr">
        <is>
          <t>Prorrateo Ha PACKING</t>
        </is>
      </c>
      <c r="V2673" s="232" t="inlineStr">
        <is>
          <t>2026-06-18</t>
        </is>
      </c>
    </row>
    <row r="2674">
      <c r="A2674" s="232" t="inlineStr">
        <is>
          <t>CR-2671</t>
        </is>
      </c>
      <c r="B2674" s="232" t="inlineStr">
        <is>
          <t>2026/27</t>
        </is>
      </c>
      <c r="C2674" s="233" t="n">
        <v>46091</v>
      </c>
      <c r="D2674" s="232" t="inlineStr">
        <is>
          <t>291926</t>
        </is>
      </c>
      <c r="E2674" s="232" t="inlineStr">
        <is>
          <t>PRORRATEO</t>
        </is>
      </c>
      <c r="F2674" s="232" t="inlineStr">
        <is>
          <t>El Molle</t>
        </is>
      </c>
      <c r="G2674" s="232" t="inlineStr">
        <is>
          <t>orogrande 8,11 ha</t>
        </is>
      </c>
      <c r="H2674" s="232" t="inlineStr">
        <is>
          <t>Clementinas</t>
        </is>
      </c>
      <c r="I2674" s="232" t="inlineStr">
        <is>
          <t>Orogrande</t>
        </is>
      </c>
      <c r="J2674" s="232" t="inlineStr">
        <is>
          <t>GASTOS GENERALES</t>
        </is>
      </c>
      <c r="K2674" s="232" t="inlineStr">
        <is>
          <t>INSUMOS DE ASEO</t>
        </is>
      </c>
      <c r="L2674" s="232" t="inlineStr">
        <is>
          <t>[PRORRATEO 5.5% 8.11há/148.3há] O/001450 TRAPERO DO</t>
        </is>
      </c>
      <c r="M2674" s="232" t="inlineStr"/>
      <c r="N2674" s="232" t="inlineStr">
        <is>
          <t>.   .   -</t>
        </is>
      </c>
      <c r="O2674" s="232" t="inlineStr">
        <is>
          <t>MARZO</t>
        </is>
      </c>
      <c r="P2674" s="232" t="n">
        <v>10</v>
      </c>
      <c r="Q2674" s="234" t="n">
        <v>252</v>
      </c>
      <c r="R2674" s="232" t="inlineStr"/>
      <c r="S2674" s="234" t="n">
        <v>252</v>
      </c>
      <c r="T2674" s="232" t="inlineStr">
        <is>
          <t>CLP</t>
        </is>
      </c>
      <c r="U2674" s="232" t="inlineStr">
        <is>
          <t>Prorrateo Ha PACKING</t>
        </is>
      </c>
      <c r="V2674" s="232" t="inlineStr">
        <is>
          <t>2026-06-18</t>
        </is>
      </c>
    </row>
    <row r="2675">
      <c r="A2675" s="232" t="inlineStr">
        <is>
          <t>CR-2672</t>
        </is>
      </c>
      <c r="B2675" s="232" t="inlineStr">
        <is>
          <t>2026/27</t>
        </is>
      </c>
      <c r="C2675" s="233" t="n">
        <v>46091</v>
      </c>
      <c r="D2675" s="232" t="inlineStr">
        <is>
          <t>291926</t>
        </is>
      </c>
      <c r="E2675" s="232" t="inlineStr">
        <is>
          <t>PRORRATEO</t>
        </is>
      </c>
      <c r="F2675" s="232" t="inlineStr">
        <is>
          <t>El Molle</t>
        </is>
      </c>
      <c r="G2675" s="232" t="inlineStr">
        <is>
          <t>oronules 5,35 ha</t>
        </is>
      </c>
      <c r="H2675" s="232" t="inlineStr">
        <is>
          <t>Clementinas</t>
        </is>
      </c>
      <c r="I2675" s="232" t="inlineStr">
        <is>
          <t>Oronules</t>
        </is>
      </c>
      <c r="J2675" s="232" t="inlineStr">
        <is>
          <t>GASTOS GENERALES</t>
        </is>
      </c>
      <c r="K2675" s="232" t="inlineStr">
        <is>
          <t>INSUMOS DE ASEO</t>
        </is>
      </c>
      <c r="L2675" s="232" t="inlineStr">
        <is>
          <t>[PRORRATEO 3.6% 5.35há/148.3há] O/001450 TRAPERO DO</t>
        </is>
      </c>
      <c r="M2675" s="232" t="inlineStr"/>
      <c r="N2675" s="232" t="inlineStr">
        <is>
          <t>.   .   -</t>
        </is>
      </c>
      <c r="O2675" s="232" t="inlineStr">
        <is>
          <t>MARZO</t>
        </is>
      </c>
      <c r="P2675" s="232" t="n">
        <v>10</v>
      </c>
      <c r="Q2675" s="234" t="n">
        <v>166</v>
      </c>
      <c r="R2675" s="232" t="inlineStr"/>
      <c r="S2675" s="234" t="n">
        <v>166</v>
      </c>
      <c r="T2675" s="232" t="inlineStr">
        <is>
          <t>CLP</t>
        </is>
      </c>
      <c r="U2675" s="232" t="inlineStr">
        <is>
          <t>Prorrateo Ha PACKING</t>
        </is>
      </c>
      <c r="V2675" s="232" t="inlineStr">
        <is>
          <t>2026-06-18</t>
        </is>
      </c>
    </row>
    <row r="2676">
      <c r="A2676" s="232" t="inlineStr">
        <is>
          <t>CR-2673</t>
        </is>
      </c>
      <c r="B2676" s="232" t="inlineStr">
        <is>
          <t>2026/27</t>
        </is>
      </c>
      <c r="C2676" s="233" t="n">
        <v>46091</v>
      </c>
      <c r="D2676" s="232" t="inlineStr">
        <is>
          <t>291926</t>
        </is>
      </c>
      <c r="E2676" s="232" t="inlineStr">
        <is>
          <t>PRORRATEO</t>
        </is>
      </c>
      <c r="F2676" s="232" t="inlineStr">
        <is>
          <t>Santa Catalina</t>
        </is>
      </c>
      <c r="G2676" s="232" t="inlineStr">
        <is>
          <t>Fino 49 7,7 ha</t>
        </is>
      </c>
      <c r="H2676" s="232" t="inlineStr">
        <is>
          <t>Limon</t>
        </is>
      </c>
      <c r="I2676" s="232" t="inlineStr">
        <is>
          <t>Fino 49</t>
        </is>
      </c>
      <c r="J2676" s="232" t="inlineStr">
        <is>
          <t>GASTOS GENERALES</t>
        </is>
      </c>
      <c r="K2676" s="232" t="inlineStr">
        <is>
          <t>INSUMOS DE ASEO</t>
        </is>
      </c>
      <c r="L2676" s="232" t="inlineStr">
        <is>
          <t>[PRORRATEO 5.2% 7.7há/148.3há] O/001450 TRAPERO DO</t>
        </is>
      </c>
      <c r="M2676" s="232" t="inlineStr"/>
      <c r="N2676" s="232" t="inlineStr">
        <is>
          <t>.   .   -</t>
        </is>
      </c>
      <c r="O2676" s="232" t="inlineStr">
        <is>
          <t>MARZO</t>
        </is>
      </c>
      <c r="P2676" s="232" t="n">
        <v>10</v>
      </c>
      <c r="Q2676" s="234" t="n">
        <v>239</v>
      </c>
      <c r="R2676" s="232" t="inlineStr"/>
      <c r="S2676" s="234" t="n">
        <v>239</v>
      </c>
      <c r="T2676" s="232" t="inlineStr">
        <is>
          <t>CLP</t>
        </is>
      </c>
      <c r="U2676" s="232" t="inlineStr">
        <is>
          <t>Prorrateo Ha PACKING</t>
        </is>
      </c>
      <c r="V2676" s="232" t="inlineStr">
        <is>
          <t>2026-06-18</t>
        </is>
      </c>
    </row>
    <row r="2677">
      <c r="A2677" s="232" t="inlineStr">
        <is>
          <t>CR-2674</t>
        </is>
      </c>
      <c r="B2677" s="232" t="inlineStr">
        <is>
          <t>2026/27</t>
        </is>
      </c>
      <c r="C2677" s="233" t="n">
        <v>46091</v>
      </c>
      <c r="D2677" s="232" t="inlineStr">
        <is>
          <t>291926</t>
        </is>
      </c>
      <c r="E2677" s="232" t="inlineStr">
        <is>
          <t>PRORRATEO</t>
        </is>
      </c>
      <c r="F2677" s="232" t="inlineStr">
        <is>
          <t>Santa Catalina</t>
        </is>
      </c>
      <c r="G2677" s="232" t="inlineStr">
        <is>
          <t>W. murcott 21 ha</t>
        </is>
      </c>
      <c r="H2677" s="232" t="inlineStr">
        <is>
          <t>Mandarina</t>
        </is>
      </c>
      <c r="I2677" s="232" t="inlineStr">
        <is>
          <t>W. murcott</t>
        </is>
      </c>
      <c r="J2677" s="232" t="inlineStr">
        <is>
          <t>GASTOS GENERALES</t>
        </is>
      </c>
      <c r="K2677" s="232" t="inlineStr">
        <is>
          <t>INSUMOS DE ASEO</t>
        </is>
      </c>
      <c r="L2677" s="232" t="inlineStr">
        <is>
          <t>[PRORRATEO 14.2% 21.0há/148.3há] O/001450 TRAPERO DO</t>
        </is>
      </c>
      <c r="M2677" s="232" t="inlineStr"/>
      <c r="N2677" s="232" t="inlineStr">
        <is>
          <t>.   .   -</t>
        </is>
      </c>
      <c r="O2677" s="232" t="inlineStr">
        <is>
          <t>MARZO</t>
        </is>
      </c>
      <c r="P2677" s="232" t="n">
        <v>10</v>
      </c>
      <c r="Q2677" s="234" t="n">
        <v>652</v>
      </c>
      <c r="R2677" s="232" t="inlineStr"/>
      <c r="S2677" s="234" t="n">
        <v>652</v>
      </c>
      <c r="T2677" s="232" t="inlineStr">
        <is>
          <t>CLP</t>
        </is>
      </c>
      <c r="U2677" s="232" t="inlineStr">
        <is>
          <t>Prorrateo Ha PACKING</t>
        </is>
      </c>
      <c r="V2677" s="232" t="inlineStr">
        <is>
          <t>2026-06-18</t>
        </is>
      </c>
    </row>
    <row r="2678">
      <c r="A2678" s="232" t="inlineStr">
        <is>
          <t>CR-2675</t>
        </is>
      </c>
      <c r="B2678" s="232" t="inlineStr">
        <is>
          <t>2026/27</t>
        </is>
      </c>
      <c r="C2678" s="233" t="n">
        <v>46091</v>
      </c>
      <c r="D2678" s="232" t="inlineStr">
        <is>
          <t>291926</t>
        </is>
      </c>
      <c r="E2678" s="232" t="inlineStr">
        <is>
          <t>PRORRATEO</t>
        </is>
      </c>
      <c r="F2678" s="232" t="inlineStr">
        <is>
          <t>Santa Catalina</t>
        </is>
      </c>
      <c r="G2678" s="232" t="inlineStr">
        <is>
          <t>cambria 4,2 ha</t>
        </is>
      </c>
      <c r="H2678" s="232" t="inlineStr">
        <is>
          <t>Naranjas</t>
        </is>
      </c>
      <c r="I2678" s="232" t="inlineStr">
        <is>
          <t>Cambria</t>
        </is>
      </c>
      <c r="J2678" s="232" t="inlineStr">
        <is>
          <t>GASTOS GENERALES</t>
        </is>
      </c>
      <c r="K2678" s="232" t="inlineStr">
        <is>
          <t>INSUMOS DE ASEO</t>
        </is>
      </c>
      <c r="L2678" s="232" t="inlineStr">
        <is>
          <t>[PRORRATEO 2.8% 4.2há/148.3há] O/001450 TRAPERO DO</t>
        </is>
      </c>
      <c r="M2678" s="232" t="inlineStr"/>
      <c r="N2678" s="232" t="inlineStr">
        <is>
          <t>.   .   -</t>
        </is>
      </c>
      <c r="O2678" s="232" t="inlineStr">
        <is>
          <t>MARZO</t>
        </is>
      </c>
      <c r="P2678" s="232" t="n">
        <v>10</v>
      </c>
      <c r="Q2678" s="234" t="n">
        <v>130</v>
      </c>
      <c r="R2678" s="232" t="inlineStr"/>
      <c r="S2678" s="234" t="n">
        <v>130</v>
      </c>
      <c r="T2678" s="232" t="inlineStr">
        <is>
          <t>CLP</t>
        </is>
      </c>
      <c r="U2678" s="232" t="inlineStr">
        <is>
          <t>Prorrateo Ha PACKING</t>
        </is>
      </c>
      <c r="V2678" s="232" t="inlineStr">
        <is>
          <t>2026-06-18</t>
        </is>
      </c>
    </row>
    <row r="2679">
      <c r="A2679" s="232" t="inlineStr">
        <is>
          <t>CR-2676</t>
        </is>
      </c>
      <c r="B2679" s="232" t="inlineStr">
        <is>
          <t>2026/27</t>
        </is>
      </c>
      <c r="C2679" s="233" t="n">
        <v>46091</v>
      </c>
      <c r="D2679" s="232" t="inlineStr">
        <is>
          <t>291926</t>
        </is>
      </c>
      <c r="E2679" s="232" t="inlineStr">
        <is>
          <t>PRORRATEO</t>
        </is>
      </c>
      <c r="F2679" s="232" t="inlineStr">
        <is>
          <t>Santa Catalina</t>
        </is>
      </c>
      <c r="G2679" s="232" t="inlineStr">
        <is>
          <t>eureka 10,6 ha</t>
        </is>
      </c>
      <c r="H2679" s="232" t="inlineStr">
        <is>
          <t>Limon</t>
        </is>
      </c>
      <c r="I2679" s="232" t="inlineStr">
        <is>
          <t>Eureka</t>
        </is>
      </c>
      <c r="J2679" s="232" t="inlineStr">
        <is>
          <t>GASTOS GENERALES</t>
        </is>
      </c>
      <c r="K2679" s="232" t="inlineStr">
        <is>
          <t>INSUMOS DE ASEO</t>
        </is>
      </c>
      <c r="L2679" s="232" t="inlineStr">
        <is>
          <t>[PRORRATEO 7.1% 10.6há/148.3há] O/001450 TRAPERO DO</t>
        </is>
      </c>
      <c r="M2679" s="232" t="inlineStr"/>
      <c r="N2679" s="232" t="inlineStr">
        <is>
          <t>.   .   -</t>
        </is>
      </c>
      <c r="O2679" s="232" t="inlineStr">
        <is>
          <t>MARZO</t>
        </is>
      </c>
      <c r="P2679" s="232" t="n">
        <v>10</v>
      </c>
      <c r="Q2679" s="234" t="n">
        <v>329</v>
      </c>
      <c r="R2679" s="232" t="inlineStr"/>
      <c r="S2679" s="234" t="n">
        <v>329</v>
      </c>
      <c r="T2679" s="232" t="inlineStr">
        <is>
          <t>CLP</t>
        </is>
      </c>
      <c r="U2679" s="232" t="inlineStr">
        <is>
          <t>Prorrateo Ha PACKING</t>
        </is>
      </c>
      <c r="V2679" s="232" t="inlineStr">
        <is>
          <t>2026-06-18</t>
        </is>
      </c>
    </row>
    <row r="2680">
      <c r="A2680" s="232" t="inlineStr">
        <is>
          <t>CR-2677</t>
        </is>
      </c>
      <c r="B2680" s="232" t="inlineStr">
        <is>
          <t>2026/27</t>
        </is>
      </c>
      <c r="C2680" s="233" t="n">
        <v>46091</v>
      </c>
      <c r="D2680" s="232" t="inlineStr">
        <is>
          <t>291926</t>
        </is>
      </c>
      <c r="E2680" s="232" t="inlineStr">
        <is>
          <t>PRORRATEO</t>
        </is>
      </c>
      <c r="F2680" s="232" t="inlineStr">
        <is>
          <t>Santa Catalina</t>
        </is>
      </c>
      <c r="G2680" s="232" t="inlineStr">
        <is>
          <t>eureka 14,4 ha</t>
        </is>
      </c>
      <c r="H2680" s="232" t="inlineStr">
        <is>
          <t>Limon</t>
        </is>
      </c>
      <c r="I2680" s="232" t="inlineStr">
        <is>
          <t>Eureka</t>
        </is>
      </c>
      <c r="J2680" s="232" t="inlineStr">
        <is>
          <t>GASTOS GENERALES</t>
        </is>
      </c>
      <c r="K2680" s="232" t="inlineStr">
        <is>
          <t>INSUMOS DE ASEO</t>
        </is>
      </c>
      <c r="L2680" s="232" t="inlineStr">
        <is>
          <t>[PRORRATEO 9.7% 14.4há/148.3há] O/001450 TRAPERO DO</t>
        </is>
      </c>
      <c r="M2680" s="232" t="inlineStr"/>
      <c r="N2680" s="232" t="inlineStr">
        <is>
          <t>.   .   -</t>
        </is>
      </c>
      <c r="O2680" s="232" t="inlineStr">
        <is>
          <t>MARZO</t>
        </is>
      </c>
      <c r="P2680" s="232" t="n">
        <v>10</v>
      </c>
      <c r="Q2680" s="234" t="n">
        <v>447</v>
      </c>
      <c r="R2680" s="232" t="inlineStr"/>
      <c r="S2680" s="234" t="n">
        <v>447</v>
      </c>
      <c r="T2680" s="232" t="inlineStr">
        <is>
          <t>CLP</t>
        </is>
      </c>
      <c r="U2680" s="232" t="inlineStr">
        <is>
          <t>Prorrateo Ha PACKING</t>
        </is>
      </c>
      <c r="V2680" s="232" t="inlineStr">
        <is>
          <t>2026-06-18</t>
        </is>
      </c>
    </row>
    <row r="2681">
      <c r="A2681" s="232" t="inlineStr">
        <is>
          <t>CR-2678</t>
        </is>
      </c>
      <c r="B2681" s="232" t="inlineStr">
        <is>
          <t>2026/27</t>
        </is>
      </c>
      <c r="C2681" s="233" t="n">
        <v>46091</v>
      </c>
      <c r="D2681" s="232" t="inlineStr">
        <is>
          <t>291926</t>
        </is>
      </c>
      <c r="E2681" s="232" t="inlineStr">
        <is>
          <t>PRORRATEO</t>
        </is>
      </c>
      <c r="F2681" s="232" t="inlineStr">
        <is>
          <t>Santa Catalina</t>
        </is>
      </c>
      <c r="G2681" s="232" t="inlineStr">
        <is>
          <t>eureka 22,55</t>
        </is>
      </c>
      <c r="H2681" s="232" t="inlineStr">
        <is>
          <t>Limon</t>
        </is>
      </c>
      <c r="I2681" s="232" t="inlineStr">
        <is>
          <t>Eureka</t>
        </is>
      </c>
      <c r="J2681" s="232" t="inlineStr">
        <is>
          <t>GASTOS GENERALES</t>
        </is>
      </c>
      <c r="K2681" s="232" t="inlineStr">
        <is>
          <t>INSUMOS DE ASEO</t>
        </is>
      </c>
      <c r="L2681" s="232" t="inlineStr">
        <is>
          <t>[PRORRATEO 15.2% 22.55há/148.3há] O/001450 TRAPERO DO</t>
        </is>
      </c>
      <c r="M2681" s="232" t="inlineStr"/>
      <c r="N2681" s="232" t="inlineStr">
        <is>
          <t>.   .   -</t>
        </is>
      </c>
      <c r="O2681" s="232" t="inlineStr">
        <is>
          <t>MARZO</t>
        </is>
      </c>
      <c r="P2681" s="232" t="n">
        <v>10</v>
      </c>
      <c r="Q2681" s="234" t="n">
        <v>700</v>
      </c>
      <c r="R2681" s="232" t="inlineStr"/>
      <c r="S2681" s="234" t="n">
        <v>700</v>
      </c>
      <c r="T2681" s="232" t="inlineStr">
        <is>
          <t>CLP</t>
        </is>
      </c>
      <c r="U2681" s="232" t="inlineStr">
        <is>
          <t>Prorrateo Ha PACKING</t>
        </is>
      </c>
      <c r="V2681" s="232" t="inlineStr">
        <is>
          <t>2026-06-18</t>
        </is>
      </c>
    </row>
    <row r="2682">
      <c r="A2682" s="232" t="inlineStr">
        <is>
          <t>CR-2679</t>
        </is>
      </c>
      <c r="B2682" s="232" t="inlineStr">
        <is>
          <t>2026/27</t>
        </is>
      </c>
      <c r="C2682" s="233" t="n">
        <v>46091</v>
      </c>
      <c r="D2682" s="232" t="inlineStr">
        <is>
          <t>291926</t>
        </is>
      </c>
      <c r="E2682" s="232" t="inlineStr">
        <is>
          <t>PRORRATEO</t>
        </is>
      </c>
      <c r="F2682" s="232" t="inlineStr">
        <is>
          <t>Santa Catalina</t>
        </is>
      </c>
      <c r="G2682" s="232" t="inlineStr">
        <is>
          <t>form benjamin 1,93 ha</t>
        </is>
      </c>
      <c r="H2682" s="232" t="inlineStr">
        <is>
          <t>Limon</t>
        </is>
      </c>
      <c r="I2682" s="232" t="inlineStr">
        <is>
          <t>Benjamin andes</t>
        </is>
      </c>
      <c r="J2682" s="232" t="inlineStr">
        <is>
          <t>GASTOS GENERALES</t>
        </is>
      </c>
      <c r="K2682" s="232" t="inlineStr">
        <is>
          <t>INSUMOS DE ASEO</t>
        </is>
      </c>
      <c r="L2682" s="232" t="inlineStr">
        <is>
          <t>[PRORRATEO 1.3% 1.93há/148.3há] O/001450 TRAPERO DO</t>
        </is>
      </c>
      <c r="M2682" s="232" t="inlineStr"/>
      <c r="N2682" s="232" t="inlineStr">
        <is>
          <t>.   .   -</t>
        </is>
      </c>
      <c r="O2682" s="232" t="inlineStr">
        <is>
          <t>MARZO</t>
        </is>
      </c>
      <c r="P2682" s="232" t="n">
        <v>10</v>
      </c>
      <c r="Q2682" s="234" t="n">
        <v>60</v>
      </c>
      <c r="R2682" s="232" t="inlineStr"/>
      <c r="S2682" s="234" t="n">
        <v>60</v>
      </c>
      <c r="T2682" s="232" t="inlineStr">
        <is>
          <t>CLP</t>
        </is>
      </c>
      <c r="U2682" s="232" t="inlineStr">
        <is>
          <t>Prorrateo Ha PACKING</t>
        </is>
      </c>
      <c r="V2682" s="232" t="inlineStr">
        <is>
          <t>2026-06-18</t>
        </is>
      </c>
    </row>
    <row r="2683">
      <c r="A2683" s="232" t="inlineStr">
        <is>
          <t>CR-2680</t>
        </is>
      </c>
      <c r="B2683" s="232" t="inlineStr">
        <is>
          <t>2026/27</t>
        </is>
      </c>
      <c r="C2683" s="233" t="n">
        <v>46091</v>
      </c>
      <c r="D2683" s="232" t="inlineStr">
        <is>
          <t>291926</t>
        </is>
      </c>
      <c r="E2683" s="232" t="inlineStr">
        <is>
          <t>PRORRATEO</t>
        </is>
      </c>
      <c r="F2683" s="232" t="inlineStr">
        <is>
          <t>Santa Catalina</t>
        </is>
      </c>
      <c r="G2683" s="232" t="inlineStr">
        <is>
          <t>mant eureka 2,5 ha</t>
        </is>
      </c>
      <c r="H2683" s="232" t="inlineStr">
        <is>
          <t>Limon</t>
        </is>
      </c>
      <c r="I2683" s="232" t="inlineStr">
        <is>
          <t>Eureka</t>
        </is>
      </c>
      <c r="J2683" s="232" t="inlineStr">
        <is>
          <t>GASTOS GENERALES</t>
        </is>
      </c>
      <c r="K2683" s="232" t="inlineStr">
        <is>
          <t>INSUMOS DE ASEO</t>
        </is>
      </c>
      <c r="L2683" s="232" t="inlineStr">
        <is>
          <t>[PRORRATEO 1.7% 2.5há/148.3há] O/001450 TRAPERO DO</t>
        </is>
      </c>
      <c r="M2683" s="232" t="inlineStr"/>
      <c r="N2683" s="232" t="inlineStr">
        <is>
          <t>.   .   -</t>
        </is>
      </c>
      <c r="O2683" s="232" t="inlineStr">
        <is>
          <t>MARZO</t>
        </is>
      </c>
      <c r="P2683" s="232" t="n">
        <v>10</v>
      </c>
      <c r="Q2683" s="234" t="n">
        <v>78</v>
      </c>
      <c r="R2683" s="232" t="inlineStr"/>
      <c r="S2683" s="234" t="n">
        <v>78</v>
      </c>
      <c r="T2683" s="232" t="inlineStr">
        <is>
          <t>CLP</t>
        </is>
      </c>
      <c r="U2683" s="232" t="inlineStr">
        <is>
          <t>Prorrateo Ha PACKING</t>
        </is>
      </c>
      <c r="V2683" s="232" t="inlineStr">
        <is>
          <t>2026-06-18</t>
        </is>
      </c>
    </row>
    <row r="2684">
      <c r="A2684" s="232" t="inlineStr">
        <is>
          <t>CR-2681</t>
        </is>
      </c>
      <c r="B2684" s="232" t="inlineStr">
        <is>
          <t>2026/27</t>
        </is>
      </c>
      <c r="C2684" s="233" t="n">
        <v>46091</v>
      </c>
      <c r="D2684" s="232" t="inlineStr">
        <is>
          <t>291926</t>
        </is>
      </c>
      <c r="E2684" s="232" t="inlineStr">
        <is>
          <t>PRORRATEO</t>
        </is>
      </c>
      <c r="F2684" s="232" t="inlineStr">
        <is>
          <t>Siberia</t>
        </is>
      </c>
      <c r="G2684" s="232" t="inlineStr">
        <is>
          <t>S. Celebration 7,14</t>
        </is>
      </c>
      <c r="H2684" s="232" t="inlineStr">
        <is>
          <t>Uvas</t>
        </is>
      </c>
      <c r="I2684" s="232" t="inlineStr">
        <is>
          <t>S. celebration</t>
        </is>
      </c>
      <c r="J2684" s="232" t="inlineStr">
        <is>
          <t>GASTOS GENERALES</t>
        </is>
      </c>
      <c r="K2684" s="232" t="inlineStr">
        <is>
          <t>INSUMOS DE ASEO</t>
        </is>
      </c>
      <c r="L2684" s="232" t="inlineStr">
        <is>
          <t>[PRORRATEO 4.8% 7.14há/148.3há] O/001450 TRAPERO DO</t>
        </is>
      </c>
      <c r="M2684" s="232" t="inlineStr"/>
      <c r="N2684" s="232" t="inlineStr">
        <is>
          <t>.   .   -</t>
        </is>
      </c>
      <c r="O2684" s="232" t="inlineStr">
        <is>
          <t>MARZO</t>
        </is>
      </c>
      <c r="P2684" s="232" t="n">
        <v>10</v>
      </c>
      <c r="Q2684" s="234" t="n">
        <v>222</v>
      </c>
      <c r="R2684" s="232" t="inlineStr"/>
      <c r="S2684" s="234" t="n">
        <v>222</v>
      </c>
      <c r="T2684" s="232" t="inlineStr">
        <is>
          <t>CLP</t>
        </is>
      </c>
      <c r="U2684" s="232" t="inlineStr">
        <is>
          <t>Prorrateo Ha PACKING</t>
        </is>
      </c>
      <c r="V2684" s="232" t="inlineStr">
        <is>
          <t>2026-06-18</t>
        </is>
      </c>
    </row>
    <row r="2685">
      <c r="A2685" s="232" t="inlineStr">
        <is>
          <t>CR-2682</t>
        </is>
      </c>
      <c r="B2685" s="232" t="inlineStr">
        <is>
          <t>2026/27</t>
        </is>
      </c>
      <c r="C2685" s="233" t="n">
        <v>46091</v>
      </c>
      <c r="D2685" s="232" t="inlineStr">
        <is>
          <t>291926</t>
        </is>
      </c>
      <c r="E2685" s="232" t="inlineStr">
        <is>
          <t>PRORRATEO</t>
        </is>
      </c>
      <c r="F2685" s="232" t="inlineStr">
        <is>
          <t>Siberia</t>
        </is>
      </c>
      <c r="G2685" s="232" t="inlineStr">
        <is>
          <t>Timpson 7,1</t>
        </is>
      </c>
      <c r="H2685" s="232" t="inlineStr">
        <is>
          <t>Uvas</t>
        </is>
      </c>
      <c r="I2685" s="232" t="inlineStr">
        <is>
          <t>Timpson</t>
        </is>
      </c>
      <c r="J2685" s="232" t="inlineStr">
        <is>
          <t>GASTOS GENERALES</t>
        </is>
      </c>
      <c r="K2685" s="232" t="inlineStr">
        <is>
          <t>INSUMOS DE ASEO</t>
        </is>
      </c>
      <c r="L2685" s="232" t="inlineStr">
        <is>
          <t>[PRORRATEO 4.8% 7.1há/148.3há] O/001450 TRAPERO DO</t>
        </is>
      </c>
      <c r="M2685" s="232" t="inlineStr"/>
      <c r="N2685" s="232" t="inlineStr">
        <is>
          <t>.   .   -</t>
        </is>
      </c>
      <c r="O2685" s="232" t="inlineStr">
        <is>
          <t>MARZO</t>
        </is>
      </c>
      <c r="P2685" s="232" t="n">
        <v>10</v>
      </c>
      <c r="Q2685" s="234" t="n">
        <v>220</v>
      </c>
      <c r="R2685" s="232" t="inlineStr"/>
      <c r="S2685" s="234" t="n">
        <v>220</v>
      </c>
      <c r="T2685" s="232" t="inlineStr">
        <is>
          <t>CLP</t>
        </is>
      </c>
      <c r="U2685" s="232" t="inlineStr">
        <is>
          <t>Prorrateo Ha PACKING</t>
        </is>
      </c>
      <c r="V2685" s="232" t="inlineStr">
        <is>
          <t>2026-06-18</t>
        </is>
      </c>
    </row>
    <row r="2686">
      <c r="A2686" s="232" t="inlineStr">
        <is>
          <t>CR-2683</t>
        </is>
      </c>
      <c r="B2686" s="232" t="inlineStr">
        <is>
          <t>2026/27</t>
        </is>
      </c>
      <c r="C2686" s="233" t="n">
        <v>46091</v>
      </c>
      <c r="D2686" s="232" t="inlineStr">
        <is>
          <t>638</t>
        </is>
      </c>
      <c r="E2686" s="232" t="inlineStr">
        <is>
          <t>PRORRATEO</t>
        </is>
      </c>
      <c r="F2686" s="232" t="inlineStr">
        <is>
          <t>Asmara</t>
        </is>
      </c>
      <c r="G2686" s="232" t="inlineStr">
        <is>
          <t>w. murcott 19,8 ha</t>
        </is>
      </c>
      <c r="H2686" s="232" t="inlineStr">
        <is>
          <t>Mandarina</t>
        </is>
      </c>
      <c r="I2686" s="232" t="inlineStr">
        <is>
          <t>W. murcott</t>
        </is>
      </c>
      <c r="J2686" s="232" t="inlineStr">
        <is>
          <t>LABORES OPERACIONALES</t>
        </is>
      </c>
      <c r="K2686" s="232" t="inlineStr">
        <is>
          <t>LAB. PACKING</t>
        </is>
      </c>
      <c r="L2686" s="232" t="inlineStr">
        <is>
          <t>[PRORRATEO 13.4% 19.8há/148.3há] SERV.CONTRATISTA</t>
        </is>
      </c>
      <c r="M2686" s="232" t="inlineStr"/>
      <c r="N2686" s="232" t="inlineStr">
        <is>
          <t>.   .   -</t>
        </is>
      </c>
      <c r="O2686" s="232" t="inlineStr">
        <is>
          <t>MARZO</t>
        </is>
      </c>
      <c r="P2686" s="232" t="n">
        <v>10</v>
      </c>
      <c r="Q2686" s="234" t="n">
        <v>839314</v>
      </c>
      <c r="R2686" s="232" t="inlineStr"/>
      <c r="S2686" s="234" t="n">
        <v>839314</v>
      </c>
      <c r="T2686" s="232" t="inlineStr">
        <is>
          <t>CLP</t>
        </is>
      </c>
      <c r="U2686" s="232" t="inlineStr">
        <is>
          <t>Prorrateo Ha PACKING</t>
        </is>
      </c>
      <c r="V2686" s="232" t="inlineStr">
        <is>
          <t>2026-06-18</t>
        </is>
      </c>
    </row>
    <row r="2687">
      <c r="A2687" s="232" t="inlineStr">
        <is>
          <t>CR-2684</t>
        </is>
      </c>
      <c r="B2687" s="232" t="inlineStr">
        <is>
          <t>2026/27</t>
        </is>
      </c>
      <c r="C2687" s="233" t="n">
        <v>46091</v>
      </c>
      <c r="D2687" s="232" t="inlineStr">
        <is>
          <t>638</t>
        </is>
      </c>
      <c r="E2687" s="232" t="inlineStr">
        <is>
          <t>PRORRATEO</t>
        </is>
      </c>
      <c r="F2687" s="232" t="inlineStr">
        <is>
          <t>Asmara</t>
        </is>
      </c>
      <c r="G2687" s="232" t="inlineStr">
        <is>
          <t>w. murcott 4,9 ha</t>
        </is>
      </c>
      <c r="H2687" s="232" t="inlineStr">
        <is>
          <t>Mandarina</t>
        </is>
      </c>
      <c r="I2687" s="232" t="inlineStr">
        <is>
          <t>W. murcott</t>
        </is>
      </c>
      <c r="J2687" s="232" t="inlineStr">
        <is>
          <t>LABORES OPERACIONALES</t>
        </is>
      </c>
      <c r="K2687" s="232" t="inlineStr">
        <is>
          <t>LAB. PACKING</t>
        </is>
      </c>
      <c r="L2687" s="232" t="inlineStr">
        <is>
          <t>[PRORRATEO 3.3% 4.9há/148.3há] SERV.CONTRATISTA</t>
        </is>
      </c>
      <c r="M2687" s="232" t="inlineStr"/>
      <c r="N2687" s="232" t="inlineStr">
        <is>
          <t>.   .   -</t>
        </is>
      </c>
      <c r="O2687" s="232" t="inlineStr">
        <is>
          <t>MARZO</t>
        </is>
      </c>
      <c r="P2687" s="232" t="n">
        <v>10</v>
      </c>
      <c r="Q2687" s="234" t="n">
        <v>207709</v>
      </c>
      <c r="R2687" s="232" t="inlineStr"/>
      <c r="S2687" s="234" t="n">
        <v>207709</v>
      </c>
      <c r="T2687" s="232" t="inlineStr">
        <is>
          <t>CLP</t>
        </is>
      </c>
      <c r="U2687" s="232" t="inlineStr">
        <is>
          <t>Prorrateo Ha PACKING</t>
        </is>
      </c>
      <c r="V2687" s="232" t="inlineStr">
        <is>
          <t>2026-06-18</t>
        </is>
      </c>
    </row>
    <row r="2688">
      <c r="A2688" s="232" t="inlineStr">
        <is>
          <t>CR-2685</t>
        </is>
      </c>
      <c r="B2688" s="232" t="inlineStr">
        <is>
          <t>2026/27</t>
        </is>
      </c>
      <c r="C2688" s="233" t="n">
        <v>46091</v>
      </c>
      <c r="D2688" s="232" t="inlineStr">
        <is>
          <t>638</t>
        </is>
      </c>
      <c r="E2688" s="232" t="inlineStr">
        <is>
          <t>PRORRATEO</t>
        </is>
      </c>
      <c r="F2688" s="232" t="inlineStr">
        <is>
          <t>El Molle</t>
        </is>
      </c>
      <c r="G2688" s="232" t="inlineStr">
        <is>
          <t>Wonderful 5,25 ha</t>
        </is>
      </c>
      <c r="H2688" s="232" t="inlineStr">
        <is>
          <t>Granados</t>
        </is>
      </c>
      <c r="I2688" s="232" t="inlineStr">
        <is>
          <t>Wonderfull</t>
        </is>
      </c>
      <c r="J2688" s="232" t="inlineStr">
        <is>
          <t>LABORES OPERACIONALES</t>
        </is>
      </c>
      <c r="K2688" s="232" t="inlineStr">
        <is>
          <t>LAB. PACKING</t>
        </is>
      </c>
      <c r="L2688" s="232" t="inlineStr">
        <is>
          <t>[PRORRATEO 3.5% 5.24há/148.3há] SERV.CONTRATISTA</t>
        </is>
      </c>
      <c r="M2688" s="232" t="inlineStr"/>
      <c r="N2688" s="232" t="inlineStr">
        <is>
          <t>.   .   -</t>
        </is>
      </c>
      <c r="O2688" s="232" t="inlineStr">
        <is>
          <t>MARZO</t>
        </is>
      </c>
      <c r="P2688" s="232" t="n">
        <v>10</v>
      </c>
      <c r="Q2688" s="234" t="n">
        <v>222121</v>
      </c>
      <c r="R2688" s="232" t="inlineStr"/>
      <c r="S2688" s="234" t="n">
        <v>222121</v>
      </c>
      <c r="T2688" s="232" t="inlineStr">
        <is>
          <t>CLP</t>
        </is>
      </c>
      <c r="U2688" s="232" t="inlineStr">
        <is>
          <t>Prorrateo Ha PACKING</t>
        </is>
      </c>
      <c r="V2688" s="232" t="inlineStr">
        <is>
          <t>2026-06-18</t>
        </is>
      </c>
    </row>
    <row r="2689">
      <c r="A2689" s="232" t="inlineStr">
        <is>
          <t>CR-2686</t>
        </is>
      </c>
      <c r="B2689" s="232" t="inlineStr">
        <is>
          <t>2026/27</t>
        </is>
      </c>
      <c r="C2689" s="233" t="n">
        <v>46091</v>
      </c>
      <c r="D2689" s="232" t="inlineStr">
        <is>
          <t>638</t>
        </is>
      </c>
      <c r="E2689" s="232" t="inlineStr">
        <is>
          <t>PRORRATEO</t>
        </is>
      </c>
      <c r="F2689" s="232" t="inlineStr">
        <is>
          <t>El Molle</t>
        </is>
      </c>
      <c r="G2689" s="232" t="inlineStr">
        <is>
          <t>arrufatinas 5,74 ha</t>
        </is>
      </c>
      <c r="H2689" s="232" t="inlineStr">
        <is>
          <t>Clementinas</t>
        </is>
      </c>
      <c r="I2689" s="232" t="inlineStr">
        <is>
          <t>Arrufatinas</t>
        </is>
      </c>
      <c r="J2689" s="232" t="inlineStr">
        <is>
          <t>LABORES OPERACIONALES</t>
        </is>
      </c>
      <c r="K2689" s="232" t="inlineStr">
        <is>
          <t>LAB. PACKING</t>
        </is>
      </c>
      <c r="L2689" s="232" t="inlineStr">
        <is>
          <t>[PRORRATEO 3.9% 5.74há/148.3há] SERV.CONTRATISTA</t>
        </is>
      </c>
      <c r="M2689" s="232" t="inlineStr"/>
      <c r="N2689" s="232" t="inlineStr">
        <is>
          <t>.   .   -</t>
        </is>
      </c>
      <c r="O2689" s="232" t="inlineStr">
        <is>
          <t>MARZO</t>
        </is>
      </c>
      <c r="P2689" s="232" t="n">
        <v>10</v>
      </c>
      <c r="Q2689" s="234" t="n">
        <v>243316</v>
      </c>
      <c r="R2689" s="232" t="inlineStr"/>
      <c r="S2689" s="234" t="n">
        <v>243316</v>
      </c>
      <c r="T2689" s="232" t="inlineStr">
        <is>
          <t>CLP</t>
        </is>
      </c>
      <c r="U2689" s="232" t="inlineStr">
        <is>
          <t>Prorrateo Ha PACKING</t>
        </is>
      </c>
      <c r="V2689" s="232" t="inlineStr">
        <is>
          <t>2026-06-18</t>
        </is>
      </c>
    </row>
    <row r="2690">
      <c r="A2690" s="232" t="inlineStr">
        <is>
          <t>CR-2687</t>
        </is>
      </c>
      <c r="B2690" s="232" t="inlineStr">
        <is>
          <t>2026/27</t>
        </is>
      </c>
      <c r="C2690" s="233" t="n">
        <v>46091</v>
      </c>
      <c r="D2690" s="232" t="inlineStr">
        <is>
          <t>638</t>
        </is>
      </c>
      <c r="E2690" s="232" t="inlineStr">
        <is>
          <t>PRORRATEO</t>
        </is>
      </c>
      <c r="F2690" s="232" t="inlineStr">
        <is>
          <t>El Molle</t>
        </is>
      </c>
      <c r="G2690" s="232" t="inlineStr">
        <is>
          <t>orogrande 8,11 ha</t>
        </is>
      </c>
      <c r="H2690" s="232" t="inlineStr">
        <is>
          <t>Clementinas</t>
        </is>
      </c>
      <c r="I2690" s="232" t="inlineStr">
        <is>
          <t>Orogrande</t>
        </is>
      </c>
      <c r="J2690" s="232" t="inlineStr">
        <is>
          <t>LABORES OPERACIONALES</t>
        </is>
      </c>
      <c r="K2690" s="232" t="inlineStr">
        <is>
          <t>LAB. PACKING</t>
        </is>
      </c>
      <c r="L2690" s="232" t="inlineStr">
        <is>
          <t>[PRORRATEO 5.5% 8.11há/148.3há] SERV.CONTRATISTA</t>
        </is>
      </c>
      <c r="M2690" s="232" t="inlineStr"/>
      <c r="N2690" s="232" t="inlineStr">
        <is>
          <t>.   .   -</t>
        </is>
      </c>
      <c r="O2690" s="232" t="inlineStr">
        <is>
          <t>MARZO</t>
        </is>
      </c>
      <c r="P2690" s="232" t="n">
        <v>10</v>
      </c>
      <c r="Q2690" s="234" t="n">
        <v>343780</v>
      </c>
      <c r="R2690" s="232" t="inlineStr"/>
      <c r="S2690" s="234" t="n">
        <v>343780</v>
      </c>
      <c r="T2690" s="232" t="inlineStr">
        <is>
          <t>CLP</t>
        </is>
      </c>
      <c r="U2690" s="232" t="inlineStr">
        <is>
          <t>Prorrateo Ha PACKING</t>
        </is>
      </c>
      <c r="V2690" s="232" t="inlineStr">
        <is>
          <t>2026-06-18</t>
        </is>
      </c>
    </row>
    <row r="2691">
      <c r="A2691" s="232" t="inlineStr">
        <is>
          <t>CR-2688</t>
        </is>
      </c>
      <c r="B2691" s="232" t="inlineStr">
        <is>
          <t>2026/27</t>
        </is>
      </c>
      <c r="C2691" s="233" t="n">
        <v>46091</v>
      </c>
      <c r="D2691" s="232" t="inlineStr">
        <is>
          <t>638</t>
        </is>
      </c>
      <c r="E2691" s="232" t="inlineStr">
        <is>
          <t>PRORRATEO</t>
        </is>
      </c>
      <c r="F2691" s="232" t="inlineStr">
        <is>
          <t>El Molle</t>
        </is>
      </c>
      <c r="G2691" s="232" t="inlineStr">
        <is>
          <t>oronules 5,35 ha</t>
        </is>
      </c>
      <c r="H2691" s="232" t="inlineStr">
        <is>
          <t>Clementinas</t>
        </is>
      </c>
      <c r="I2691" s="232" t="inlineStr">
        <is>
          <t>Oronules</t>
        </is>
      </c>
      <c r="J2691" s="232" t="inlineStr">
        <is>
          <t>LABORES OPERACIONALES</t>
        </is>
      </c>
      <c r="K2691" s="232" t="inlineStr">
        <is>
          <t>LAB. PACKING</t>
        </is>
      </c>
      <c r="L2691" s="232" t="inlineStr">
        <is>
          <t>[PRORRATEO 3.6% 5.35há/148.3há] SERV.CONTRATISTA</t>
        </is>
      </c>
      <c r="M2691" s="232" t="inlineStr"/>
      <c r="N2691" s="232" t="inlineStr">
        <is>
          <t>.   .   -</t>
        </is>
      </c>
      <c r="O2691" s="232" t="inlineStr">
        <is>
          <t>MARZO</t>
        </is>
      </c>
      <c r="P2691" s="232" t="n">
        <v>10</v>
      </c>
      <c r="Q2691" s="234" t="n">
        <v>226784</v>
      </c>
      <c r="R2691" s="232" t="inlineStr"/>
      <c r="S2691" s="234" t="n">
        <v>226784</v>
      </c>
      <c r="T2691" s="232" t="inlineStr">
        <is>
          <t>CLP</t>
        </is>
      </c>
      <c r="U2691" s="232" t="inlineStr">
        <is>
          <t>Prorrateo Ha PACKING</t>
        </is>
      </c>
      <c r="V2691" s="232" t="inlineStr">
        <is>
          <t>2026-06-18</t>
        </is>
      </c>
    </row>
    <row r="2692">
      <c r="A2692" s="232" t="inlineStr">
        <is>
          <t>CR-2689</t>
        </is>
      </c>
      <c r="B2692" s="232" t="inlineStr">
        <is>
          <t>2026/27</t>
        </is>
      </c>
      <c r="C2692" s="233" t="n">
        <v>46091</v>
      </c>
      <c r="D2692" s="232" t="inlineStr">
        <is>
          <t>638</t>
        </is>
      </c>
      <c r="E2692" s="232" t="inlineStr">
        <is>
          <t>PRORRATEO</t>
        </is>
      </c>
      <c r="F2692" s="232" t="inlineStr">
        <is>
          <t>Santa Catalina</t>
        </is>
      </c>
      <c r="G2692" s="232" t="inlineStr">
        <is>
          <t>Fino 49 7,7 ha</t>
        </is>
      </c>
      <c r="H2692" s="232" t="inlineStr">
        <is>
          <t>Limon</t>
        </is>
      </c>
      <c r="I2692" s="232" t="inlineStr">
        <is>
          <t>Fino 49</t>
        </is>
      </c>
      <c r="J2692" s="232" t="inlineStr">
        <is>
          <t>LABORES OPERACIONALES</t>
        </is>
      </c>
      <c r="K2692" s="232" t="inlineStr">
        <is>
          <t>LAB. PACKING</t>
        </is>
      </c>
      <c r="L2692" s="232" t="inlineStr">
        <is>
          <t>[PRORRATEO 5.2% 7.7há/148.3há] SERV.CONTRATISTA</t>
        </is>
      </c>
      <c r="M2692" s="232" t="inlineStr"/>
      <c r="N2692" s="232" t="inlineStr">
        <is>
          <t>.   .   -</t>
        </is>
      </c>
      <c r="O2692" s="232" t="inlineStr">
        <is>
          <t>MARZO</t>
        </is>
      </c>
      <c r="P2692" s="232" t="n">
        <v>10</v>
      </c>
      <c r="Q2692" s="234" t="n">
        <v>326400</v>
      </c>
      <c r="R2692" s="232" t="inlineStr"/>
      <c r="S2692" s="234" t="n">
        <v>326400</v>
      </c>
      <c r="T2692" s="232" t="inlineStr">
        <is>
          <t>CLP</t>
        </is>
      </c>
      <c r="U2692" s="232" t="inlineStr">
        <is>
          <t>Prorrateo Ha PACKING</t>
        </is>
      </c>
      <c r="V2692" s="232" t="inlineStr">
        <is>
          <t>2026-06-18</t>
        </is>
      </c>
    </row>
    <row r="2693">
      <c r="A2693" s="232" t="inlineStr">
        <is>
          <t>CR-2690</t>
        </is>
      </c>
      <c r="B2693" s="232" t="inlineStr">
        <is>
          <t>2026/27</t>
        </is>
      </c>
      <c r="C2693" s="233" t="n">
        <v>46091</v>
      </c>
      <c r="D2693" s="232" t="inlineStr">
        <is>
          <t>638</t>
        </is>
      </c>
      <c r="E2693" s="232" t="inlineStr">
        <is>
          <t>PRORRATEO</t>
        </is>
      </c>
      <c r="F2693" s="232" t="inlineStr">
        <is>
          <t>Santa Catalina</t>
        </is>
      </c>
      <c r="G2693" s="232" t="inlineStr">
        <is>
          <t>W. murcott 21 ha</t>
        </is>
      </c>
      <c r="H2693" s="232" t="inlineStr">
        <is>
          <t>Mandarina</t>
        </is>
      </c>
      <c r="I2693" s="232" t="inlineStr">
        <is>
          <t>W. murcott</t>
        </is>
      </c>
      <c r="J2693" s="232" t="inlineStr">
        <is>
          <t>LABORES OPERACIONALES</t>
        </is>
      </c>
      <c r="K2693" s="232" t="inlineStr">
        <is>
          <t>LAB. PACKING</t>
        </is>
      </c>
      <c r="L2693" s="232" t="inlineStr">
        <is>
          <t>[PRORRATEO 14.2% 21.0há/148.3há] SERV.CONTRATISTA</t>
        </is>
      </c>
      <c r="M2693" s="232" t="inlineStr"/>
      <c r="N2693" s="232" t="inlineStr">
        <is>
          <t>.   .   -</t>
        </is>
      </c>
      <c r="O2693" s="232" t="inlineStr">
        <is>
          <t>MARZO</t>
        </is>
      </c>
      <c r="P2693" s="232" t="n">
        <v>10</v>
      </c>
      <c r="Q2693" s="234" t="n">
        <v>890181</v>
      </c>
      <c r="R2693" s="232" t="inlineStr"/>
      <c r="S2693" s="234" t="n">
        <v>890181</v>
      </c>
      <c r="T2693" s="232" t="inlineStr">
        <is>
          <t>CLP</t>
        </is>
      </c>
      <c r="U2693" s="232" t="inlineStr">
        <is>
          <t>Prorrateo Ha PACKING</t>
        </is>
      </c>
      <c r="V2693" s="232" t="inlineStr">
        <is>
          <t>2026-06-18</t>
        </is>
      </c>
    </row>
    <row r="2694">
      <c r="A2694" s="232" t="inlineStr">
        <is>
          <t>CR-2691</t>
        </is>
      </c>
      <c r="B2694" s="232" t="inlineStr">
        <is>
          <t>2026/27</t>
        </is>
      </c>
      <c r="C2694" s="233" t="n">
        <v>46091</v>
      </c>
      <c r="D2694" s="232" t="inlineStr">
        <is>
          <t>638</t>
        </is>
      </c>
      <c r="E2694" s="232" t="inlineStr">
        <is>
          <t>PRORRATEO</t>
        </is>
      </c>
      <c r="F2694" s="232" t="inlineStr">
        <is>
          <t>Santa Catalina</t>
        </is>
      </c>
      <c r="G2694" s="232" t="inlineStr">
        <is>
          <t>cambria 4,2 ha</t>
        </is>
      </c>
      <c r="H2694" s="232" t="inlineStr">
        <is>
          <t>Naranjas</t>
        </is>
      </c>
      <c r="I2694" s="232" t="inlineStr">
        <is>
          <t>Cambria</t>
        </is>
      </c>
      <c r="J2694" s="232" t="inlineStr">
        <is>
          <t>LABORES OPERACIONALES</t>
        </is>
      </c>
      <c r="K2694" s="232" t="inlineStr">
        <is>
          <t>LAB. PACKING</t>
        </is>
      </c>
      <c r="L2694" s="232" t="inlineStr">
        <is>
          <t>[PRORRATEO 2.8% 4.2há/148.3há] SERV.CONTRATISTA</t>
        </is>
      </c>
      <c r="M2694" s="232" t="inlineStr"/>
      <c r="N2694" s="232" t="inlineStr">
        <is>
          <t>.   .   -</t>
        </is>
      </c>
      <c r="O2694" s="232" t="inlineStr">
        <is>
          <t>MARZO</t>
        </is>
      </c>
      <c r="P2694" s="232" t="n">
        <v>10</v>
      </c>
      <c r="Q2694" s="234" t="n">
        <v>178036</v>
      </c>
      <c r="R2694" s="232" t="inlineStr"/>
      <c r="S2694" s="234" t="n">
        <v>178036</v>
      </c>
      <c r="T2694" s="232" t="inlineStr">
        <is>
          <t>CLP</t>
        </is>
      </c>
      <c r="U2694" s="232" t="inlineStr">
        <is>
          <t>Prorrateo Ha PACKING</t>
        </is>
      </c>
      <c r="V2694" s="232" t="inlineStr">
        <is>
          <t>2026-06-18</t>
        </is>
      </c>
    </row>
    <row r="2695">
      <c r="A2695" s="232" t="inlineStr">
        <is>
          <t>CR-2692</t>
        </is>
      </c>
      <c r="B2695" s="232" t="inlineStr">
        <is>
          <t>2026/27</t>
        </is>
      </c>
      <c r="C2695" s="233" t="n">
        <v>46091</v>
      </c>
      <c r="D2695" s="232" t="inlineStr">
        <is>
          <t>638</t>
        </is>
      </c>
      <c r="E2695" s="232" t="inlineStr">
        <is>
          <t>PRORRATEO</t>
        </is>
      </c>
      <c r="F2695" s="232" t="inlineStr">
        <is>
          <t>Santa Catalina</t>
        </is>
      </c>
      <c r="G2695" s="232" t="inlineStr">
        <is>
          <t>eureka 10,6 ha</t>
        </is>
      </c>
      <c r="H2695" s="232" t="inlineStr">
        <is>
          <t>Limon</t>
        </is>
      </c>
      <c r="I2695" s="232" t="inlineStr">
        <is>
          <t>Eureka</t>
        </is>
      </c>
      <c r="J2695" s="232" t="inlineStr">
        <is>
          <t>LABORES OPERACIONALES</t>
        </is>
      </c>
      <c r="K2695" s="232" t="inlineStr">
        <is>
          <t>LAB. PACKING</t>
        </is>
      </c>
      <c r="L2695" s="232" t="inlineStr">
        <is>
          <t>[PRORRATEO 7.1% 10.6há/148.3há] SERV.CONTRATISTA</t>
        </is>
      </c>
      <c r="M2695" s="232" t="inlineStr"/>
      <c r="N2695" s="232" t="inlineStr">
        <is>
          <t>.   .   -</t>
        </is>
      </c>
      <c r="O2695" s="232" t="inlineStr">
        <is>
          <t>MARZO</t>
        </is>
      </c>
      <c r="P2695" s="232" t="n">
        <v>10</v>
      </c>
      <c r="Q2695" s="234" t="n">
        <v>449330</v>
      </c>
      <c r="R2695" s="232" t="inlineStr"/>
      <c r="S2695" s="234" t="n">
        <v>449330</v>
      </c>
      <c r="T2695" s="232" t="inlineStr">
        <is>
          <t>CLP</t>
        </is>
      </c>
      <c r="U2695" s="232" t="inlineStr">
        <is>
          <t>Prorrateo Ha PACKING</t>
        </is>
      </c>
      <c r="V2695" s="232" t="inlineStr">
        <is>
          <t>2026-06-18</t>
        </is>
      </c>
    </row>
    <row r="2696">
      <c r="A2696" s="232" t="inlineStr">
        <is>
          <t>CR-2693</t>
        </is>
      </c>
      <c r="B2696" s="232" t="inlineStr">
        <is>
          <t>2026/27</t>
        </is>
      </c>
      <c r="C2696" s="233" t="n">
        <v>46091</v>
      </c>
      <c r="D2696" s="232" t="inlineStr">
        <is>
          <t>638</t>
        </is>
      </c>
      <c r="E2696" s="232" t="inlineStr">
        <is>
          <t>PRORRATEO</t>
        </is>
      </c>
      <c r="F2696" s="232" t="inlineStr">
        <is>
          <t>Santa Catalina</t>
        </is>
      </c>
      <c r="G2696" s="232" t="inlineStr">
        <is>
          <t>eureka 14,4 ha</t>
        </is>
      </c>
      <c r="H2696" s="232" t="inlineStr">
        <is>
          <t>Limon</t>
        </is>
      </c>
      <c r="I2696" s="232" t="inlineStr">
        <is>
          <t>Eureka</t>
        </is>
      </c>
      <c r="J2696" s="232" t="inlineStr">
        <is>
          <t>LABORES OPERACIONALES</t>
        </is>
      </c>
      <c r="K2696" s="232" t="inlineStr">
        <is>
          <t>LAB. PACKING</t>
        </is>
      </c>
      <c r="L2696" s="232" t="inlineStr">
        <is>
          <t>[PRORRATEO 9.7% 14.4há/148.3há] SERV.CONTRATISTA</t>
        </is>
      </c>
      <c r="M2696" s="232" t="inlineStr"/>
      <c r="N2696" s="232" t="inlineStr">
        <is>
          <t>.   .   -</t>
        </is>
      </c>
      <c r="O2696" s="232" t="inlineStr">
        <is>
          <t>MARZO</t>
        </is>
      </c>
      <c r="P2696" s="232" t="n">
        <v>10</v>
      </c>
      <c r="Q2696" s="234" t="n">
        <v>610410</v>
      </c>
      <c r="R2696" s="232" t="inlineStr"/>
      <c r="S2696" s="234" t="n">
        <v>610410</v>
      </c>
      <c r="T2696" s="232" t="inlineStr">
        <is>
          <t>CLP</t>
        </is>
      </c>
      <c r="U2696" s="232" t="inlineStr">
        <is>
          <t>Prorrateo Ha PACKING</t>
        </is>
      </c>
      <c r="V2696" s="232" t="inlineStr">
        <is>
          <t>2026-06-18</t>
        </is>
      </c>
    </row>
    <row r="2697">
      <c r="A2697" s="232" t="inlineStr">
        <is>
          <t>CR-2694</t>
        </is>
      </c>
      <c r="B2697" s="232" t="inlineStr">
        <is>
          <t>2026/27</t>
        </is>
      </c>
      <c r="C2697" s="233" t="n">
        <v>46091</v>
      </c>
      <c r="D2697" s="232" t="inlineStr">
        <is>
          <t>638</t>
        </is>
      </c>
      <c r="E2697" s="232" t="inlineStr">
        <is>
          <t>PRORRATEO</t>
        </is>
      </c>
      <c r="F2697" s="232" t="inlineStr">
        <is>
          <t>Santa Catalina</t>
        </is>
      </c>
      <c r="G2697" s="232" t="inlineStr">
        <is>
          <t>eureka 22,55</t>
        </is>
      </c>
      <c r="H2697" s="232" t="inlineStr">
        <is>
          <t>Limon</t>
        </is>
      </c>
      <c r="I2697" s="232" t="inlineStr">
        <is>
          <t>Eureka</t>
        </is>
      </c>
      <c r="J2697" s="232" t="inlineStr">
        <is>
          <t>LABORES OPERACIONALES</t>
        </is>
      </c>
      <c r="K2697" s="232" t="inlineStr">
        <is>
          <t>LAB. PACKING</t>
        </is>
      </c>
      <c r="L2697" s="232" t="inlineStr">
        <is>
          <t>[PRORRATEO 15.2% 22.55há/148.3há] SERV.CONTRATISTA</t>
        </is>
      </c>
      <c r="M2697" s="232" t="inlineStr"/>
      <c r="N2697" s="232" t="inlineStr">
        <is>
          <t>.   .   -</t>
        </is>
      </c>
      <c r="O2697" s="232" t="inlineStr">
        <is>
          <t>MARZO</t>
        </is>
      </c>
      <c r="P2697" s="232" t="n">
        <v>10</v>
      </c>
      <c r="Q2697" s="234" t="n">
        <v>955885</v>
      </c>
      <c r="R2697" s="232" t="inlineStr"/>
      <c r="S2697" s="234" t="n">
        <v>955885</v>
      </c>
      <c r="T2697" s="232" t="inlineStr">
        <is>
          <t>CLP</t>
        </is>
      </c>
      <c r="U2697" s="232" t="inlineStr">
        <is>
          <t>Prorrateo Ha PACKING</t>
        </is>
      </c>
      <c r="V2697" s="232" t="inlineStr">
        <is>
          <t>2026-06-18</t>
        </is>
      </c>
    </row>
    <row r="2698">
      <c r="A2698" s="232" t="inlineStr">
        <is>
          <t>CR-2695</t>
        </is>
      </c>
      <c r="B2698" s="232" t="inlineStr">
        <is>
          <t>2026/27</t>
        </is>
      </c>
      <c r="C2698" s="233" t="n">
        <v>46091</v>
      </c>
      <c r="D2698" s="232" t="inlineStr">
        <is>
          <t>638</t>
        </is>
      </c>
      <c r="E2698" s="232" t="inlineStr">
        <is>
          <t>PRORRATEO</t>
        </is>
      </c>
      <c r="F2698" s="232" t="inlineStr">
        <is>
          <t>Santa Catalina</t>
        </is>
      </c>
      <c r="G2698" s="232" t="inlineStr">
        <is>
          <t>form benjamin 1,93 ha</t>
        </is>
      </c>
      <c r="H2698" s="232" t="inlineStr">
        <is>
          <t>Limon</t>
        </is>
      </c>
      <c r="I2698" s="232" t="inlineStr">
        <is>
          <t>Benjamin andes</t>
        </is>
      </c>
      <c r="J2698" s="232" t="inlineStr">
        <is>
          <t>LABORES OPERACIONALES</t>
        </is>
      </c>
      <c r="K2698" s="232" t="inlineStr">
        <is>
          <t>LAB. PACKING</t>
        </is>
      </c>
      <c r="L2698" s="232" t="inlineStr">
        <is>
          <t>[PRORRATEO 1.3% 1.93há/148.3há] SERV.CONTRATISTA</t>
        </is>
      </c>
      <c r="M2698" s="232" t="inlineStr"/>
      <c r="N2698" s="232" t="inlineStr">
        <is>
          <t>.   .   -</t>
        </is>
      </c>
      <c r="O2698" s="232" t="inlineStr">
        <is>
          <t>MARZO</t>
        </is>
      </c>
      <c r="P2698" s="232" t="n">
        <v>10</v>
      </c>
      <c r="Q2698" s="234" t="n">
        <v>81812</v>
      </c>
      <c r="R2698" s="232" t="inlineStr"/>
      <c r="S2698" s="234" t="n">
        <v>81812</v>
      </c>
      <c r="T2698" s="232" t="inlineStr">
        <is>
          <t>CLP</t>
        </is>
      </c>
      <c r="U2698" s="232" t="inlineStr">
        <is>
          <t>Prorrateo Ha PACKING</t>
        </is>
      </c>
      <c r="V2698" s="232" t="inlineStr">
        <is>
          <t>2026-06-18</t>
        </is>
      </c>
    </row>
    <row r="2699">
      <c r="A2699" s="232" t="inlineStr">
        <is>
          <t>CR-2696</t>
        </is>
      </c>
      <c r="B2699" s="232" t="inlineStr">
        <is>
          <t>2026/27</t>
        </is>
      </c>
      <c r="C2699" s="233" t="n">
        <v>46091</v>
      </c>
      <c r="D2699" s="232" t="inlineStr">
        <is>
          <t>638</t>
        </is>
      </c>
      <c r="E2699" s="232" t="inlineStr">
        <is>
          <t>PRORRATEO</t>
        </is>
      </c>
      <c r="F2699" s="232" t="inlineStr">
        <is>
          <t>Santa Catalina</t>
        </is>
      </c>
      <c r="G2699" s="232" t="inlineStr">
        <is>
          <t>mant eureka 2,5 ha</t>
        </is>
      </c>
      <c r="H2699" s="232" t="inlineStr">
        <is>
          <t>Limon</t>
        </is>
      </c>
      <c r="I2699" s="232" t="inlineStr">
        <is>
          <t>Eureka</t>
        </is>
      </c>
      <c r="J2699" s="232" t="inlineStr">
        <is>
          <t>LABORES OPERACIONALES</t>
        </is>
      </c>
      <c r="K2699" s="232" t="inlineStr">
        <is>
          <t>LAB. PACKING</t>
        </is>
      </c>
      <c r="L2699" s="232" t="inlineStr">
        <is>
          <t>[PRORRATEO 1.7% 2.5há/148.3há] SERV.CONTRATISTA</t>
        </is>
      </c>
      <c r="M2699" s="232" t="inlineStr"/>
      <c r="N2699" s="232" t="inlineStr">
        <is>
          <t>.   .   -</t>
        </is>
      </c>
      <c r="O2699" s="232" t="inlineStr">
        <is>
          <t>MARZO</t>
        </is>
      </c>
      <c r="P2699" s="232" t="n">
        <v>10</v>
      </c>
      <c r="Q2699" s="234" t="n">
        <v>105974</v>
      </c>
      <c r="R2699" s="232" t="inlineStr"/>
      <c r="S2699" s="234" t="n">
        <v>105974</v>
      </c>
      <c r="T2699" s="232" t="inlineStr">
        <is>
          <t>CLP</t>
        </is>
      </c>
      <c r="U2699" s="232" t="inlineStr">
        <is>
          <t>Prorrateo Ha PACKING</t>
        </is>
      </c>
      <c r="V2699" s="232" t="inlineStr">
        <is>
          <t>2026-06-18</t>
        </is>
      </c>
    </row>
    <row r="2700">
      <c r="A2700" s="232" t="inlineStr">
        <is>
          <t>CR-2697</t>
        </is>
      </c>
      <c r="B2700" s="232" t="inlineStr">
        <is>
          <t>2026/27</t>
        </is>
      </c>
      <c r="C2700" s="233" t="n">
        <v>46091</v>
      </c>
      <c r="D2700" s="232" t="inlineStr">
        <is>
          <t>638</t>
        </is>
      </c>
      <c r="E2700" s="232" t="inlineStr">
        <is>
          <t>PRORRATEO</t>
        </is>
      </c>
      <c r="F2700" s="232" t="inlineStr">
        <is>
          <t>Siberia</t>
        </is>
      </c>
      <c r="G2700" s="232" t="inlineStr">
        <is>
          <t>S. Celebration 7,14</t>
        </is>
      </c>
      <c r="H2700" s="232" t="inlineStr">
        <is>
          <t>Uvas</t>
        </is>
      </c>
      <c r="I2700" s="232" t="inlineStr">
        <is>
          <t>S. celebration</t>
        </is>
      </c>
      <c r="J2700" s="232" t="inlineStr">
        <is>
          <t>LABORES OPERACIONALES</t>
        </is>
      </c>
      <c r="K2700" s="232" t="inlineStr">
        <is>
          <t>LAB. PACKING</t>
        </is>
      </c>
      <c r="L2700" s="232" t="inlineStr">
        <is>
          <t>[PRORRATEO 4.8% 7.14há/148.3há] SERV.CONTRATISTA</t>
        </is>
      </c>
      <c r="M2700" s="232" t="inlineStr"/>
      <c r="N2700" s="232" t="inlineStr">
        <is>
          <t>.   .   -</t>
        </is>
      </c>
      <c r="O2700" s="232" t="inlineStr">
        <is>
          <t>MARZO</t>
        </is>
      </c>
      <c r="P2700" s="232" t="n">
        <v>10</v>
      </c>
      <c r="Q2700" s="234" t="n">
        <v>302662</v>
      </c>
      <c r="R2700" s="232" t="inlineStr"/>
      <c r="S2700" s="234" t="n">
        <v>302662</v>
      </c>
      <c r="T2700" s="232" t="inlineStr">
        <is>
          <t>CLP</t>
        </is>
      </c>
      <c r="U2700" s="232" t="inlineStr">
        <is>
          <t>Prorrateo Ha PACKING</t>
        </is>
      </c>
      <c r="V2700" s="232" t="inlineStr">
        <is>
          <t>2026-06-18</t>
        </is>
      </c>
    </row>
    <row r="2701">
      <c r="A2701" s="232" t="inlineStr">
        <is>
          <t>CR-2698</t>
        </is>
      </c>
      <c r="B2701" s="232" t="inlineStr">
        <is>
          <t>2026/27</t>
        </is>
      </c>
      <c r="C2701" s="233" t="n">
        <v>46091</v>
      </c>
      <c r="D2701" s="232" t="inlineStr">
        <is>
          <t>638</t>
        </is>
      </c>
      <c r="E2701" s="232" t="inlineStr">
        <is>
          <t>PRORRATEO</t>
        </is>
      </c>
      <c r="F2701" s="232" t="inlineStr">
        <is>
          <t>Siberia</t>
        </is>
      </c>
      <c r="G2701" s="232" t="inlineStr">
        <is>
          <t>Timpson 7,1</t>
        </is>
      </c>
      <c r="H2701" s="232" t="inlineStr">
        <is>
          <t>Uvas</t>
        </is>
      </c>
      <c r="I2701" s="232" t="inlineStr">
        <is>
          <t>Timpson</t>
        </is>
      </c>
      <c r="J2701" s="232" t="inlineStr">
        <is>
          <t>LABORES OPERACIONALES</t>
        </is>
      </c>
      <c r="K2701" s="232" t="inlineStr">
        <is>
          <t>LAB. PACKING</t>
        </is>
      </c>
      <c r="L2701" s="232" t="inlineStr">
        <is>
          <t>[PRORRATEO 4.8% 7.1há/148.3há] SERV.CONTRATISTA</t>
        </is>
      </c>
      <c r="M2701" s="232" t="inlineStr"/>
      <c r="N2701" s="232" t="inlineStr">
        <is>
          <t>.   .   -</t>
        </is>
      </c>
      <c r="O2701" s="232" t="inlineStr">
        <is>
          <t>MARZO</t>
        </is>
      </c>
      <c r="P2701" s="232" t="n">
        <v>10</v>
      </c>
      <c r="Q2701" s="234" t="n">
        <v>300966</v>
      </c>
      <c r="R2701" s="232" t="inlineStr"/>
      <c r="S2701" s="234" t="n">
        <v>300966</v>
      </c>
      <c r="T2701" s="232" t="inlineStr">
        <is>
          <t>CLP</t>
        </is>
      </c>
      <c r="U2701" s="232" t="inlineStr">
        <is>
          <t>Prorrateo Ha PACKING</t>
        </is>
      </c>
      <c r="V2701" s="232" t="inlineStr">
        <is>
          <t>2026-06-18</t>
        </is>
      </c>
    </row>
    <row r="2702">
      <c r="A2702" s="232" t="inlineStr">
        <is>
          <t>CR-2699</t>
        </is>
      </c>
      <c r="B2702" s="232" t="inlineStr">
        <is>
          <t>2026/27</t>
        </is>
      </c>
      <c r="C2702" s="233" t="n">
        <v>46092</v>
      </c>
      <c r="D2702" s="232" t="inlineStr">
        <is>
          <t>111284</t>
        </is>
      </c>
      <c r="E2702" s="232" t="inlineStr">
        <is>
          <t>PRORRATEO</t>
        </is>
      </c>
      <c r="F2702" s="232" t="inlineStr">
        <is>
          <t>Asmara</t>
        </is>
      </c>
      <c r="G2702" s="232" t="inlineStr">
        <is>
          <t>w. murcott 19,8 ha</t>
        </is>
      </c>
      <c r="H2702" s="232" t="inlineStr">
        <is>
          <t>Mandarina</t>
        </is>
      </c>
      <c r="I2702" s="232" t="inlineStr">
        <is>
          <t>W. murcott</t>
        </is>
      </c>
      <c r="J2702" s="232" t="inlineStr">
        <is>
          <t>GASTOS GENERALES</t>
        </is>
      </c>
      <c r="K2702" s="232" t="inlineStr">
        <is>
          <t>AGUA</t>
        </is>
      </c>
      <c r="L2702" s="232" t="inlineStr">
        <is>
          <t>[PRORRATEO 13.4% 19.8há/148.3há] O/001449 RECARGA BO</t>
        </is>
      </c>
      <c r="M2702" s="232" t="inlineStr"/>
      <c r="N2702" s="232" t="inlineStr">
        <is>
          <t>.   .   -</t>
        </is>
      </c>
      <c r="O2702" s="232" t="inlineStr">
        <is>
          <t>MARZO</t>
        </is>
      </c>
      <c r="P2702" s="232" t="n">
        <v>10</v>
      </c>
      <c r="Q2702" s="234" t="n">
        <v>2155</v>
      </c>
      <c r="R2702" s="232" t="inlineStr"/>
      <c r="S2702" s="234" t="n">
        <v>2155</v>
      </c>
      <c r="T2702" s="232" t="inlineStr">
        <is>
          <t>CLP</t>
        </is>
      </c>
      <c r="U2702" s="232" t="inlineStr">
        <is>
          <t>Prorrateo Ha PACKING</t>
        </is>
      </c>
      <c r="V2702" s="232" t="inlineStr">
        <is>
          <t>2026-06-18</t>
        </is>
      </c>
    </row>
    <row r="2703">
      <c r="A2703" s="232" t="inlineStr">
        <is>
          <t>CR-2700</t>
        </is>
      </c>
      <c r="B2703" s="232" t="inlineStr">
        <is>
          <t>2026/27</t>
        </is>
      </c>
      <c r="C2703" s="233" t="n">
        <v>46092</v>
      </c>
      <c r="D2703" s="232" t="inlineStr">
        <is>
          <t>111284</t>
        </is>
      </c>
      <c r="E2703" s="232" t="inlineStr">
        <is>
          <t>PRORRATEO</t>
        </is>
      </c>
      <c r="F2703" s="232" t="inlineStr">
        <is>
          <t>Asmara</t>
        </is>
      </c>
      <c r="G2703" s="232" t="inlineStr">
        <is>
          <t>w. murcott 4,9 ha</t>
        </is>
      </c>
      <c r="H2703" s="232" t="inlineStr">
        <is>
          <t>Mandarina</t>
        </is>
      </c>
      <c r="I2703" s="232" t="inlineStr">
        <is>
          <t>W. murcott</t>
        </is>
      </c>
      <c r="J2703" s="232" t="inlineStr">
        <is>
          <t>GASTOS GENERALES</t>
        </is>
      </c>
      <c r="K2703" s="232" t="inlineStr">
        <is>
          <t>AGUA</t>
        </is>
      </c>
      <c r="L2703" s="232" t="inlineStr">
        <is>
          <t>[PRORRATEO 3.3% 4.9há/148.3há] O/001449 RECARGA BO</t>
        </is>
      </c>
      <c r="M2703" s="232" t="inlineStr"/>
      <c r="N2703" s="232" t="inlineStr">
        <is>
          <t>.   .   -</t>
        </is>
      </c>
      <c r="O2703" s="232" t="inlineStr">
        <is>
          <t>MARZO</t>
        </is>
      </c>
      <c r="P2703" s="232" t="n">
        <v>10</v>
      </c>
      <c r="Q2703" s="234" t="n">
        <v>533</v>
      </c>
      <c r="R2703" s="232" t="inlineStr"/>
      <c r="S2703" s="234" t="n">
        <v>533</v>
      </c>
      <c r="T2703" s="232" t="inlineStr">
        <is>
          <t>CLP</t>
        </is>
      </c>
      <c r="U2703" s="232" t="inlineStr">
        <is>
          <t>Prorrateo Ha PACKING</t>
        </is>
      </c>
      <c r="V2703" s="232" t="inlineStr">
        <is>
          <t>2026-06-18</t>
        </is>
      </c>
    </row>
    <row r="2704">
      <c r="A2704" s="232" t="inlineStr">
        <is>
          <t>CR-2701</t>
        </is>
      </c>
      <c r="B2704" s="232" t="inlineStr">
        <is>
          <t>2026/27</t>
        </is>
      </c>
      <c r="C2704" s="233" t="n">
        <v>46092</v>
      </c>
      <c r="D2704" s="232" t="inlineStr">
        <is>
          <t>111284</t>
        </is>
      </c>
      <c r="E2704" s="232" t="inlineStr">
        <is>
          <t>PRORRATEO</t>
        </is>
      </c>
      <c r="F2704" s="232" t="inlineStr">
        <is>
          <t>El Molle</t>
        </is>
      </c>
      <c r="G2704" s="232" t="inlineStr">
        <is>
          <t>Wonderful 5,25 ha</t>
        </is>
      </c>
      <c r="H2704" s="232" t="inlineStr">
        <is>
          <t>Granados</t>
        </is>
      </c>
      <c r="I2704" s="232" t="inlineStr">
        <is>
          <t>Wonderfull</t>
        </is>
      </c>
      <c r="J2704" s="232" t="inlineStr">
        <is>
          <t>GASTOS GENERALES</t>
        </is>
      </c>
      <c r="K2704" s="232" t="inlineStr">
        <is>
          <t>AGUA</t>
        </is>
      </c>
      <c r="L2704" s="232" t="inlineStr">
        <is>
          <t>[PRORRATEO 3.5% 5.24há/148.3há] O/001449 RECARGA BO</t>
        </is>
      </c>
      <c r="M2704" s="232" t="inlineStr"/>
      <c r="N2704" s="232" t="inlineStr">
        <is>
          <t>.   .   -</t>
        </is>
      </c>
      <c r="O2704" s="232" t="inlineStr">
        <is>
          <t>MARZO</t>
        </is>
      </c>
      <c r="P2704" s="232" t="n">
        <v>10</v>
      </c>
      <c r="Q2704" s="234" t="n">
        <v>570</v>
      </c>
      <c r="R2704" s="232" t="inlineStr"/>
      <c r="S2704" s="234" t="n">
        <v>570</v>
      </c>
      <c r="T2704" s="232" t="inlineStr">
        <is>
          <t>CLP</t>
        </is>
      </c>
      <c r="U2704" s="232" t="inlineStr">
        <is>
          <t>Prorrateo Ha PACKING</t>
        </is>
      </c>
      <c r="V2704" s="232" t="inlineStr">
        <is>
          <t>2026-06-18</t>
        </is>
      </c>
    </row>
    <row r="2705">
      <c r="A2705" s="232" t="inlineStr">
        <is>
          <t>CR-2702</t>
        </is>
      </c>
      <c r="B2705" s="232" t="inlineStr">
        <is>
          <t>2026/27</t>
        </is>
      </c>
      <c r="C2705" s="233" t="n">
        <v>46092</v>
      </c>
      <c r="D2705" s="232" t="inlineStr">
        <is>
          <t>111284</t>
        </is>
      </c>
      <c r="E2705" s="232" t="inlineStr">
        <is>
          <t>PRORRATEO</t>
        </is>
      </c>
      <c r="F2705" s="232" t="inlineStr">
        <is>
          <t>El Molle</t>
        </is>
      </c>
      <c r="G2705" s="232" t="inlineStr">
        <is>
          <t>arrufatinas 5,74 ha</t>
        </is>
      </c>
      <c r="H2705" s="232" t="inlineStr">
        <is>
          <t>Clementinas</t>
        </is>
      </c>
      <c r="I2705" s="232" t="inlineStr">
        <is>
          <t>Arrufatinas</t>
        </is>
      </c>
      <c r="J2705" s="232" t="inlineStr">
        <is>
          <t>GASTOS GENERALES</t>
        </is>
      </c>
      <c r="K2705" s="232" t="inlineStr">
        <is>
          <t>AGUA</t>
        </is>
      </c>
      <c r="L2705" s="232" t="inlineStr">
        <is>
          <t>[PRORRATEO 3.9% 5.74há/148.3há] O/001449 RECARGA BO</t>
        </is>
      </c>
      <c r="M2705" s="232" t="inlineStr"/>
      <c r="N2705" s="232" t="inlineStr">
        <is>
          <t>.   .   -</t>
        </is>
      </c>
      <c r="O2705" s="232" t="inlineStr">
        <is>
          <t>MARZO</t>
        </is>
      </c>
      <c r="P2705" s="232" t="n">
        <v>10</v>
      </c>
      <c r="Q2705" s="234" t="n">
        <v>625</v>
      </c>
      <c r="R2705" s="232" t="inlineStr"/>
      <c r="S2705" s="234" t="n">
        <v>625</v>
      </c>
      <c r="T2705" s="232" t="inlineStr">
        <is>
          <t>CLP</t>
        </is>
      </c>
      <c r="U2705" s="232" t="inlineStr">
        <is>
          <t>Prorrateo Ha PACKING</t>
        </is>
      </c>
      <c r="V2705" s="232" t="inlineStr">
        <is>
          <t>2026-06-18</t>
        </is>
      </c>
    </row>
    <row r="2706">
      <c r="A2706" s="232" t="inlineStr">
        <is>
          <t>CR-2703</t>
        </is>
      </c>
      <c r="B2706" s="232" t="inlineStr">
        <is>
          <t>2026/27</t>
        </is>
      </c>
      <c r="C2706" s="233" t="n">
        <v>46092</v>
      </c>
      <c r="D2706" s="232" t="inlineStr">
        <is>
          <t>111284</t>
        </is>
      </c>
      <c r="E2706" s="232" t="inlineStr">
        <is>
          <t>PRORRATEO</t>
        </is>
      </c>
      <c r="F2706" s="232" t="inlineStr">
        <is>
          <t>El Molle</t>
        </is>
      </c>
      <c r="G2706" s="232" t="inlineStr">
        <is>
          <t>orogrande 8,11 ha</t>
        </is>
      </c>
      <c r="H2706" s="232" t="inlineStr">
        <is>
          <t>Clementinas</t>
        </is>
      </c>
      <c r="I2706" s="232" t="inlineStr">
        <is>
          <t>Orogrande</t>
        </is>
      </c>
      <c r="J2706" s="232" t="inlineStr">
        <is>
          <t>GASTOS GENERALES</t>
        </is>
      </c>
      <c r="K2706" s="232" t="inlineStr">
        <is>
          <t>AGUA</t>
        </is>
      </c>
      <c r="L2706" s="232" t="inlineStr">
        <is>
          <t>[PRORRATEO 5.5% 8.11há/148.3há] O/001449 RECARGA BO</t>
        </is>
      </c>
      <c r="M2706" s="232" t="inlineStr"/>
      <c r="N2706" s="232" t="inlineStr">
        <is>
          <t>.   .   -</t>
        </is>
      </c>
      <c r="O2706" s="232" t="inlineStr">
        <is>
          <t>MARZO</t>
        </is>
      </c>
      <c r="P2706" s="232" t="n">
        <v>10</v>
      </c>
      <c r="Q2706" s="234" t="n">
        <v>883</v>
      </c>
      <c r="R2706" s="232" t="inlineStr"/>
      <c r="S2706" s="234" t="n">
        <v>883</v>
      </c>
      <c r="T2706" s="232" t="inlineStr">
        <is>
          <t>CLP</t>
        </is>
      </c>
      <c r="U2706" s="232" t="inlineStr">
        <is>
          <t>Prorrateo Ha PACKING</t>
        </is>
      </c>
      <c r="V2706" s="232" t="inlineStr">
        <is>
          <t>2026-06-18</t>
        </is>
      </c>
    </row>
    <row r="2707">
      <c r="A2707" s="232" t="inlineStr">
        <is>
          <t>CR-2704</t>
        </is>
      </c>
      <c r="B2707" s="232" t="inlineStr">
        <is>
          <t>2026/27</t>
        </is>
      </c>
      <c r="C2707" s="233" t="n">
        <v>46092</v>
      </c>
      <c r="D2707" s="232" t="inlineStr">
        <is>
          <t>111284</t>
        </is>
      </c>
      <c r="E2707" s="232" t="inlineStr">
        <is>
          <t>PRORRATEO</t>
        </is>
      </c>
      <c r="F2707" s="232" t="inlineStr">
        <is>
          <t>El Molle</t>
        </is>
      </c>
      <c r="G2707" s="232" t="inlineStr">
        <is>
          <t>oronules 5,35 ha</t>
        </is>
      </c>
      <c r="H2707" s="232" t="inlineStr">
        <is>
          <t>Clementinas</t>
        </is>
      </c>
      <c r="I2707" s="232" t="inlineStr">
        <is>
          <t>Oronules</t>
        </is>
      </c>
      <c r="J2707" s="232" t="inlineStr">
        <is>
          <t>GASTOS GENERALES</t>
        </is>
      </c>
      <c r="K2707" s="232" t="inlineStr">
        <is>
          <t>AGUA</t>
        </is>
      </c>
      <c r="L2707" s="232" t="inlineStr">
        <is>
          <t>[PRORRATEO 3.6% 5.35há/148.3há] O/001449 RECARGA BO</t>
        </is>
      </c>
      <c r="M2707" s="232" t="inlineStr"/>
      <c r="N2707" s="232" t="inlineStr">
        <is>
          <t>.   .   -</t>
        </is>
      </c>
      <c r="O2707" s="232" t="inlineStr">
        <is>
          <t>MARZO</t>
        </is>
      </c>
      <c r="P2707" s="232" t="n">
        <v>10</v>
      </c>
      <c r="Q2707" s="234" t="n">
        <v>582</v>
      </c>
      <c r="R2707" s="232" t="inlineStr"/>
      <c r="S2707" s="234" t="n">
        <v>582</v>
      </c>
      <c r="T2707" s="232" t="inlineStr">
        <is>
          <t>CLP</t>
        </is>
      </c>
      <c r="U2707" s="232" t="inlineStr">
        <is>
          <t>Prorrateo Ha PACKING</t>
        </is>
      </c>
      <c r="V2707" s="232" t="inlineStr">
        <is>
          <t>2026-06-18</t>
        </is>
      </c>
    </row>
    <row r="2708">
      <c r="A2708" s="232" t="inlineStr">
        <is>
          <t>CR-2705</t>
        </is>
      </c>
      <c r="B2708" s="232" t="inlineStr">
        <is>
          <t>2026/27</t>
        </is>
      </c>
      <c r="C2708" s="233" t="n">
        <v>46092</v>
      </c>
      <c r="D2708" s="232" t="inlineStr">
        <is>
          <t>111284</t>
        </is>
      </c>
      <c r="E2708" s="232" t="inlineStr">
        <is>
          <t>PRORRATEO</t>
        </is>
      </c>
      <c r="F2708" s="232" t="inlineStr">
        <is>
          <t>Santa Catalina</t>
        </is>
      </c>
      <c r="G2708" s="232" t="inlineStr">
        <is>
          <t>Fino 49 7,7 ha</t>
        </is>
      </c>
      <c r="H2708" s="232" t="inlineStr">
        <is>
          <t>Limon</t>
        </is>
      </c>
      <c r="I2708" s="232" t="inlineStr">
        <is>
          <t>Fino 49</t>
        </is>
      </c>
      <c r="J2708" s="232" t="inlineStr">
        <is>
          <t>GASTOS GENERALES</t>
        </is>
      </c>
      <c r="K2708" s="232" t="inlineStr">
        <is>
          <t>AGUA</t>
        </is>
      </c>
      <c r="L2708" s="232" t="inlineStr">
        <is>
          <t>[PRORRATEO 5.2% 7.7há/148.3há] O/001449 RECARGA BO</t>
        </is>
      </c>
      <c r="M2708" s="232" t="inlineStr"/>
      <c r="N2708" s="232" t="inlineStr">
        <is>
          <t>.   .   -</t>
        </is>
      </c>
      <c r="O2708" s="232" t="inlineStr">
        <is>
          <t>MARZO</t>
        </is>
      </c>
      <c r="P2708" s="232" t="n">
        <v>10</v>
      </c>
      <c r="Q2708" s="234" t="n">
        <v>838</v>
      </c>
      <c r="R2708" s="232" t="inlineStr"/>
      <c r="S2708" s="234" t="n">
        <v>838</v>
      </c>
      <c r="T2708" s="232" t="inlineStr">
        <is>
          <t>CLP</t>
        </is>
      </c>
      <c r="U2708" s="232" t="inlineStr">
        <is>
          <t>Prorrateo Ha PACKING</t>
        </is>
      </c>
      <c r="V2708" s="232" t="inlineStr">
        <is>
          <t>2026-06-18</t>
        </is>
      </c>
    </row>
    <row r="2709">
      <c r="A2709" s="232" t="inlineStr">
        <is>
          <t>CR-2706</t>
        </is>
      </c>
      <c r="B2709" s="232" t="inlineStr">
        <is>
          <t>2026/27</t>
        </is>
      </c>
      <c r="C2709" s="233" t="n">
        <v>46092</v>
      </c>
      <c r="D2709" s="232" t="inlineStr">
        <is>
          <t>111284</t>
        </is>
      </c>
      <c r="E2709" s="232" t="inlineStr">
        <is>
          <t>PRORRATEO</t>
        </is>
      </c>
      <c r="F2709" s="232" t="inlineStr">
        <is>
          <t>Santa Catalina</t>
        </is>
      </c>
      <c r="G2709" s="232" t="inlineStr">
        <is>
          <t>W. murcott 21 ha</t>
        </is>
      </c>
      <c r="H2709" s="232" t="inlineStr">
        <is>
          <t>Mandarina</t>
        </is>
      </c>
      <c r="I2709" s="232" t="inlineStr">
        <is>
          <t>W. murcott</t>
        </is>
      </c>
      <c r="J2709" s="232" t="inlineStr">
        <is>
          <t>GASTOS GENERALES</t>
        </is>
      </c>
      <c r="K2709" s="232" t="inlineStr">
        <is>
          <t>AGUA</t>
        </is>
      </c>
      <c r="L2709" s="232" t="inlineStr">
        <is>
          <t>[PRORRATEO 14.2% 21.0há/148.3há] O/001449 RECARGA BO</t>
        </is>
      </c>
      <c r="M2709" s="232" t="inlineStr"/>
      <c r="N2709" s="232" t="inlineStr">
        <is>
          <t>.   .   -</t>
        </is>
      </c>
      <c r="O2709" s="232" t="inlineStr">
        <is>
          <t>MARZO</t>
        </is>
      </c>
      <c r="P2709" s="232" t="n">
        <v>10</v>
      </c>
      <c r="Q2709" s="234" t="n">
        <v>2285</v>
      </c>
      <c r="R2709" s="232" t="inlineStr"/>
      <c r="S2709" s="234" t="n">
        <v>2285</v>
      </c>
      <c r="T2709" s="232" t="inlineStr">
        <is>
          <t>CLP</t>
        </is>
      </c>
      <c r="U2709" s="232" t="inlineStr">
        <is>
          <t>Prorrateo Ha PACKING</t>
        </is>
      </c>
      <c r="V2709" s="232" t="inlineStr">
        <is>
          <t>2026-06-18</t>
        </is>
      </c>
    </row>
    <row r="2710">
      <c r="A2710" s="232" t="inlineStr">
        <is>
          <t>CR-2707</t>
        </is>
      </c>
      <c r="B2710" s="232" t="inlineStr">
        <is>
          <t>2026/27</t>
        </is>
      </c>
      <c r="C2710" s="233" t="n">
        <v>46092</v>
      </c>
      <c r="D2710" s="232" t="inlineStr">
        <is>
          <t>111284</t>
        </is>
      </c>
      <c r="E2710" s="232" t="inlineStr">
        <is>
          <t>PRORRATEO</t>
        </is>
      </c>
      <c r="F2710" s="232" t="inlineStr">
        <is>
          <t>Santa Catalina</t>
        </is>
      </c>
      <c r="G2710" s="232" t="inlineStr">
        <is>
          <t>cambria 4,2 ha</t>
        </is>
      </c>
      <c r="H2710" s="232" t="inlineStr">
        <is>
          <t>Naranjas</t>
        </is>
      </c>
      <c r="I2710" s="232" t="inlineStr">
        <is>
          <t>Cambria</t>
        </is>
      </c>
      <c r="J2710" s="232" t="inlineStr">
        <is>
          <t>GASTOS GENERALES</t>
        </is>
      </c>
      <c r="K2710" s="232" t="inlineStr">
        <is>
          <t>AGUA</t>
        </is>
      </c>
      <c r="L2710" s="232" t="inlineStr">
        <is>
          <t>[PRORRATEO 2.8% 4.2há/148.3há] O/001449 RECARGA BO</t>
        </is>
      </c>
      <c r="M2710" s="232" t="inlineStr"/>
      <c r="N2710" s="232" t="inlineStr">
        <is>
          <t>.   .   -</t>
        </is>
      </c>
      <c r="O2710" s="232" t="inlineStr">
        <is>
          <t>MARZO</t>
        </is>
      </c>
      <c r="P2710" s="232" t="n">
        <v>10</v>
      </c>
      <c r="Q2710" s="234" t="n">
        <v>457</v>
      </c>
      <c r="R2710" s="232" t="inlineStr"/>
      <c r="S2710" s="234" t="n">
        <v>457</v>
      </c>
      <c r="T2710" s="232" t="inlineStr">
        <is>
          <t>CLP</t>
        </is>
      </c>
      <c r="U2710" s="232" t="inlineStr">
        <is>
          <t>Prorrateo Ha PACKING</t>
        </is>
      </c>
      <c r="V2710" s="232" t="inlineStr">
        <is>
          <t>2026-06-18</t>
        </is>
      </c>
    </row>
    <row r="2711">
      <c r="A2711" s="232" t="inlineStr">
        <is>
          <t>CR-2708</t>
        </is>
      </c>
      <c r="B2711" s="232" t="inlineStr">
        <is>
          <t>2026/27</t>
        </is>
      </c>
      <c r="C2711" s="233" t="n">
        <v>46092</v>
      </c>
      <c r="D2711" s="232" t="inlineStr">
        <is>
          <t>111284</t>
        </is>
      </c>
      <c r="E2711" s="232" t="inlineStr">
        <is>
          <t>PRORRATEO</t>
        </is>
      </c>
      <c r="F2711" s="232" t="inlineStr">
        <is>
          <t>Santa Catalina</t>
        </is>
      </c>
      <c r="G2711" s="232" t="inlineStr">
        <is>
          <t>eureka 10,6 ha</t>
        </is>
      </c>
      <c r="H2711" s="232" t="inlineStr">
        <is>
          <t>Limon</t>
        </is>
      </c>
      <c r="I2711" s="232" t="inlineStr">
        <is>
          <t>Eureka</t>
        </is>
      </c>
      <c r="J2711" s="232" t="inlineStr">
        <is>
          <t>GASTOS GENERALES</t>
        </is>
      </c>
      <c r="K2711" s="232" t="inlineStr">
        <is>
          <t>AGUA</t>
        </is>
      </c>
      <c r="L2711" s="232" t="inlineStr">
        <is>
          <t>[PRORRATEO 7.1% 10.6há/148.3há] O/001449 RECARGA BO</t>
        </is>
      </c>
      <c r="M2711" s="232" t="inlineStr"/>
      <c r="N2711" s="232" t="inlineStr">
        <is>
          <t>.   .   -</t>
        </is>
      </c>
      <c r="O2711" s="232" t="inlineStr">
        <is>
          <t>MARZO</t>
        </is>
      </c>
      <c r="P2711" s="232" t="n">
        <v>10</v>
      </c>
      <c r="Q2711" s="234" t="n">
        <v>1154</v>
      </c>
      <c r="R2711" s="232" t="inlineStr"/>
      <c r="S2711" s="234" t="n">
        <v>1154</v>
      </c>
      <c r="T2711" s="232" t="inlineStr">
        <is>
          <t>CLP</t>
        </is>
      </c>
      <c r="U2711" s="232" t="inlineStr">
        <is>
          <t>Prorrateo Ha PACKING</t>
        </is>
      </c>
      <c r="V2711" s="232" t="inlineStr">
        <is>
          <t>2026-06-18</t>
        </is>
      </c>
    </row>
    <row r="2712">
      <c r="A2712" s="232" t="inlineStr">
        <is>
          <t>CR-2709</t>
        </is>
      </c>
      <c r="B2712" s="232" t="inlineStr">
        <is>
          <t>2026/27</t>
        </is>
      </c>
      <c r="C2712" s="233" t="n">
        <v>46092</v>
      </c>
      <c r="D2712" s="232" t="inlineStr">
        <is>
          <t>111284</t>
        </is>
      </c>
      <c r="E2712" s="232" t="inlineStr">
        <is>
          <t>PRORRATEO</t>
        </is>
      </c>
      <c r="F2712" s="232" t="inlineStr">
        <is>
          <t>Santa Catalina</t>
        </is>
      </c>
      <c r="G2712" s="232" t="inlineStr">
        <is>
          <t>eureka 14,4 ha</t>
        </is>
      </c>
      <c r="H2712" s="232" t="inlineStr">
        <is>
          <t>Limon</t>
        </is>
      </c>
      <c r="I2712" s="232" t="inlineStr">
        <is>
          <t>Eureka</t>
        </is>
      </c>
      <c r="J2712" s="232" t="inlineStr">
        <is>
          <t>GASTOS GENERALES</t>
        </is>
      </c>
      <c r="K2712" s="232" t="inlineStr">
        <is>
          <t>AGUA</t>
        </is>
      </c>
      <c r="L2712" s="232" t="inlineStr">
        <is>
          <t>[PRORRATEO 9.7% 14.4há/148.3há] O/001449 RECARGA BO</t>
        </is>
      </c>
      <c r="M2712" s="232" t="inlineStr"/>
      <c r="N2712" s="232" t="inlineStr">
        <is>
          <t>.   .   -</t>
        </is>
      </c>
      <c r="O2712" s="232" t="inlineStr">
        <is>
          <t>MARZO</t>
        </is>
      </c>
      <c r="P2712" s="232" t="n">
        <v>10</v>
      </c>
      <c r="Q2712" s="234" t="n">
        <v>1567</v>
      </c>
      <c r="R2712" s="232" t="inlineStr"/>
      <c r="S2712" s="234" t="n">
        <v>1567</v>
      </c>
      <c r="T2712" s="232" t="inlineStr">
        <is>
          <t>CLP</t>
        </is>
      </c>
      <c r="U2712" s="232" t="inlineStr">
        <is>
          <t>Prorrateo Ha PACKING</t>
        </is>
      </c>
      <c r="V2712" s="232" t="inlineStr">
        <is>
          <t>2026-06-18</t>
        </is>
      </c>
    </row>
    <row r="2713">
      <c r="A2713" s="232" t="inlineStr">
        <is>
          <t>CR-2710</t>
        </is>
      </c>
      <c r="B2713" s="232" t="inlineStr">
        <is>
          <t>2026/27</t>
        </is>
      </c>
      <c r="C2713" s="233" t="n">
        <v>46092</v>
      </c>
      <c r="D2713" s="232" t="inlineStr">
        <is>
          <t>111284</t>
        </is>
      </c>
      <c r="E2713" s="232" t="inlineStr">
        <is>
          <t>PRORRATEO</t>
        </is>
      </c>
      <c r="F2713" s="232" t="inlineStr">
        <is>
          <t>Santa Catalina</t>
        </is>
      </c>
      <c r="G2713" s="232" t="inlineStr">
        <is>
          <t>eureka 22,55</t>
        </is>
      </c>
      <c r="H2713" s="232" t="inlineStr">
        <is>
          <t>Limon</t>
        </is>
      </c>
      <c r="I2713" s="232" t="inlineStr">
        <is>
          <t>Eureka</t>
        </is>
      </c>
      <c r="J2713" s="232" t="inlineStr">
        <is>
          <t>GASTOS GENERALES</t>
        </is>
      </c>
      <c r="K2713" s="232" t="inlineStr">
        <is>
          <t>AGUA</t>
        </is>
      </c>
      <c r="L2713" s="232" t="inlineStr">
        <is>
          <t>[PRORRATEO 15.2% 22.55há/148.3há] O/001449 RECARGA BO</t>
        </is>
      </c>
      <c r="M2713" s="232" t="inlineStr"/>
      <c r="N2713" s="232" t="inlineStr">
        <is>
          <t>.   .   -</t>
        </is>
      </c>
      <c r="O2713" s="232" t="inlineStr">
        <is>
          <t>MARZO</t>
        </is>
      </c>
      <c r="P2713" s="232" t="n">
        <v>10</v>
      </c>
      <c r="Q2713" s="234" t="n">
        <v>2454</v>
      </c>
      <c r="R2713" s="232" t="inlineStr"/>
      <c r="S2713" s="234" t="n">
        <v>2454</v>
      </c>
      <c r="T2713" s="232" t="inlineStr">
        <is>
          <t>CLP</t>
        </is>
      </c>
      <c r="U2713" s="232" t="inlineStr">
        <is>
          <t>Prorrateo Ha PACKING</t>
        </is>
      </c>
      <c r="V2713" s="232" t="inlineStr">
        <is>
          <t>2026-06-18</t>
        </is>
      </c>
    </row>
    <row r="2714">
      <c r="A2714" s="232" t="inlineStr">
        <is>
          <t>CR-2711</t>
        </is>
      </c>
      <c r="B2714" s="232" t="inlineStr">
        <is>
          <t>2026/27</t>
        </is>
      </c>
      <c r="C2714" s="233" t="n">
        <v>46092</v>
      </c>
      <c r="D2714" s="232" t="inlineStr">
        <is>
          <t>111284</t>
        </is>
      </c>
      <c r="E2714" s="232" t="inlineStr">
        <is>
          <t>PRORRATEO</t>
        </is>
      </c>
      <c r="F2714" s="232" t="inlineStr">
        <is>
          <t>Santa Catalina</t>
        </is>
      </c>
      <c r="G2714" s="232" t="inlineStr">
        <is>
          <t>form benjamin 1,93 ha</t>
        </is>
      </c>
      <c r="H2714" s="232" t="inlineStr">
        <is>
          <t>Limon</t>
        </is>
      </c>
      <c r="I2714" s="232" t="inlineStr">
        <is>
          <t>Benjamin andes</t>
        </is>
      </c>
      <c r="J2714" s="232" t="inlineStr">
        <is>
          <t>GASTOS GENERALES</t>
        </is>
      </c>
      <c r="K2714" s="232" t="inlineStr">
        <is>
          <t>AGUA</t>
        </is>
      </c>
      <c r="L2714" s="232" t="inlineStr">
        <is>
          <t>[PRORRATEO 1.3% 1.93há/148.3há] O/001449 RECARGA BO</t>
        </is>
      </c>
      <c r="M2714" s="232" t="inlineStr"/>
      <c r="N2714" s="232" t="inlineStr">
        <is>
          <t>.   .   -</t>
        </is>
      </c>
      <c r="O2714" s="232" t="inlineStr">
        <is>
          <t>MARZO</t>
        </is>
      </c>
      <c r="P2714" s="232" t="n">
        <v>10</v>
      </c>
      <c r="Q2714" s="234" t="n">
        <v>210</v>
      </c>
      <c r="R2714" s="232" t="inlineStr"/>
      <c r="S2714" s="234" t="n">
        <v>210</v>
      </c>
      <c r="T2714" s="232" t="inlineStr">
        <is>
          <t>CLP</t>
        </is>
      </c>
      <c r="U2714" s="232" t="inlineStr">
        <is>
          <t>Prorrateo Ha PACKING</t>
        </is>
      </c>
      <c r="V2714" s="232" t="inlineStr">
        <is>
          <t>2026-06-18</t>
        </is>
      </c>
    </row>
    <row r="2715">
      <c r="A2715" s="232" t="inlineStr">
        <is>
          <t>CR-2712</t>
        </is>
      </c>
      <c r="B2715" s="232" t="inlineStr">
        <is>
          <t>2026/27</t>
        </is>
      </c>
      <c r="C2715" s="233" t="n">
        <v>46092</v>
      </c>
      <c r="D2715" s="232" t="inlineStr">
        <is>
          <t>111284</t>
        </is>
      </c>
      <c r="E2715" s="232" t="inlineStr">
        <is>
          <t>PRORRATEO</t>
        </is>
      </c>
      <c r="F2715" s="232" t="inlineStr">
        <is>
          <t>Santa Catalina</t>
        </is>
      </c>
      <c r="G2715" s="232" t="inlineStr">
        <is>
          <t>mant eureka 2,5 ha</t>
        </is>
      </c>
      <c r="H2715" s="232" t="inlineStr">
        <is>
          <t>Limon</t>
        </is>
      </c>
      <c r="I2715" s="232" t="inlineStr">
        <is>
          <t>Eureka</t>
        </is>
      </c>
      <c r="J2715" s="232" t="inlineStr">
        <is>
          <t>GASTOS GENERALES</t>
        </is>
      </c>
      <c r="K2715" s="232" t="inlineStr">
        <is>
          <t>AGUA</t>
        </is>
      </c>
      <c r="L2715" s="232" t="inlineStr">
        <is>
          <t>[PRORRATEO 1.7% 2.5há/148.3há] O/001449 RECARGA BO</t>
        </is>
      </c>
      <c r="M2715" s="232" t="inlineStr"/>
      <c r="N2715" s="232" t="inlineStr">
        <is>
          <t>.   .   -</t>
        </is>
      </c>
      <c r="O2715" s="232" t="inlineStr">
        <is>
          <t>MARZO</t>
        </is>
      </c>
      <c r="P2715" s="232" t="n">
        <v>10</v>
      </c>
      <c r="Q2715" s="234" t="n">
        <v>272</v>
      </c>
      <c r="R2715" s="232" t="inlineStr"/>
      <c r="S2715" s="234" t="n">
        <v>272</v>
      </c>
      <c r="T2715" s="232" t="inlineStr">
        <is>
          <t>CLP</t>
        </is>
      </c>
      <c r="U2715" s="232" t="inlineStr">
        <is>
          <t>Prorrateo Ha PACKING</t>
        </is>
      </c>
      <c r="V2715" s="232" t="inlineStr">
        <is>
          <t>2026-06-18</t>
        </is>
      </c>
    </row>
    <row r="2716">
      <c r="A2716" s="232" t="inlineStr">
        <is>
          <t>CR-2713</t>
        </is>
      </c>
      <c r="B2716" s="232" t="inlineStr">
        <is>
          <t>2026/27</t>
        </is>
      </c>
      <c r="C2716" s="233" t="n">
        <v>46092</v>
      </c>
      <c r="D2716" s="232" t="inlineStr">
        <is>
          <t>111284</t>
        </is>
      </c>
      <c r="E2716" s="232" t="inlineStr">
        <is>
          <t>PRORRATEO</t>
        </is>
      </c>
      <c r="F2716" s="232" t="inlineStr">
        <is>
          <t>Siberia</t>
        </is>
      </c>
      <c r="G2716" s="232" t="inlineStr">
        <is>
          <t>S. Celebration 7,14</t>
        </is>
      </c>
      <c r="H2716" s="232" t="inlineStr">
        <is>
          <t>Uvas</t>
        </is>
      </c>
      <c r="I2716" s="232" t="inlineStr">
        <is>
          <t>S. celebration</t>
        </is>
      </c>
      <c r="J2716" s="232" t="inlineStr">
        <is>
          <t>GASTOS GENERALES</t>
        </is>
      </c>
      <c r="K2716" s="232" t="inlineStr">
        <is>
          <t>AGUA</t>
        </is>
      </c>
      <c r="L2716" s="232" t="inlineStr">
        <is>
          <t>[PRORRATEO 4.8% 7.14há/148.3há] O/001449 RECARGA BO</t>
        </is>
      </c>
      <c r="M2716" s="232" t="inlineStr"/>
      <c r="N2716" s="232" t="inlineStr">
        <is>
          <t>.   .   -</t>
        </is>
      </c>
      <c r="O2716" s="232" t="inlineStr">
        <is>
          <t>MARZO</t>
        </is>
      </c>
      <c r="P2716" s="232" t="n">
        <v>10</v>
      </c>
      <c r="Q2716" s="234" t="n">
        <v>777</v>
      </c>
      <c r="R2716" s="232" t="inlineStr"/>
      <c r="S2716" s="234" t="n">
        <v>777</v>
      </c>
      <c r="T2716" s="232" t="inlineStr">
        <is>
          <t>CLP</t>
        </is>
      </c>
      <c r="U2716" s="232" t="inlineStr">
        <is>
          <t>Prorrateo Ha PACKING</t>
        </is>
      </c>
      <c r="V2716" s="232" t="inlineStr">
        <is>
          <t>2026-06-18</t>
        </is>
      </c>
    </row>
    <row r="2717">
      <c r="A2717" s="232" t="inlineStr">
        <is>
          <t>CR-2714</t>
        </is>
      </c>
      <c r="B2717" s="232" t="inlineStr">
        <is>
          <t>2026/27</t>
        </is>
      </c>
      <c r="C2717" s="233" t="n">
        <v>46092</v>
      </c>
      <c r="D2717" s="232" t="inlineStr">
        <is>
          <t>111284</t>
        </is>
      </c>
      <c r="E2717" s="232" t="inlineStr">
        <is>
          <t>PRORRATEO</t>
        </is>
      </c>
      <c r="F2717" s="232" t="inlineStr">
        <is>
          <t>Siberia</t>
        </is>
      </c>
      <c r="G2717" s="232" t="inlineStr">
        <is>
          <t>Timpson 7,1</t>
        </is>
      </c>
      <c r="H2717" s="232" t="inlineStr">
        <is>
          <t>Uvas</t>
        </is>
      </c>
      <c r="I2717" s="232" t="inlineStr">
        <is>
          <t>Timpson</t>
        </is>
      </c>
      <c r="J2717" s="232" t="inlineStr">
        <is>
          <t>GASTOS GENERALES</t>
        </is>
      </c>
      <c r="K2717" s="232" t="inlineStr">
        <is>
          <t>AGUA</t>
        </is>
      </c>
      <c r="L2717" s="232" t="inlineStr">
        <is>
          <t>[PRORRATEO 4.8% 7.1há/148.3há] O/001449 RECARGA BO</t>
        </is>
      </c>
      <c r="M2717" s="232" t="inlineStr"/>
      <c r="N2717" s="232" t="inlineStr">
        <is>
          <t>.   .   -</t>
        </is>
      </c>
      <c r="O2717" s="232" t="inlineStr">
        <is>
          <t>MARZO</t>
        </is>
      </c>
      <c r="P2717" s="232" t="n">
        <v>10</v>
      </c>
      <c r="Q2717" s="234" t="n">
        <v>773</v>
      </c>
      <c r="R2717" s="232" t="inlineStr"/>
      <c r="S2717" s="234" t="n">
        <v>773</v>
      </c>
      <c r="T2717" s="232" t="inlineStr">
        <is>
          <t>CLP</t>
        </is>
      </c>
      <c r="U2717" s="232" t="inlineStr">
        <is>
          <t>Prorrateo Ha PACKING</t>
        </is>
      </c>
      <c r="V2717" s="232" t="inlineStr">
        <is>
          <t>2026-06-18</t>
        </is>
      </c>
    </row>
    <row r="2718">
      <c r="A2718" s="232" t="inlineStr">
        <is>
          <t>CR-2715</t>
        </is>
      </c>
      <c r="B2718" s="232" t="inlineStr">
        <is>
          <t>2026/27</t>
        </is>
      </c>
      <c r="C2718" s="233" t="n">
        <v>46092</v>
      </c>
      <c r="D2718" s="232" t="inlineStr">
        <is>
          <t>      </t>
        </is>
      </c>
      <c r="E2718" s="232" t="inlineStr">
        <is>
          <t>PRORRATEO</t>
        </is>
      </c>
      <c r="F2718" s="232" t="inlineStr">
        <is>
          <t>Asmara</t>
        </is>
      </c>
      <c r="G2718" s="232" t="inlineStr">
        <is>
          <t>w. murcott 19,8 ha</t>
        </is>
      </c>
      <c r="H2718" s="232" t="inlineStr">
        <is>
          <t>Mandarina</t>
        </is>
      </c>
      <c r="I2718" s="232" t="inlineStr">
        <is>
          <t>W. murcott</t>
        </is>
      </c>
      <c r="J2718" s="232" t="inlineStr">
        <is>
          <t>FLETES</t>
        </is>
      </c>
      <c r="K2718" s="232" t="inlineStr">
        <is>
          <t>FLETE FRUTA</t>
        </is>
      </c>
      <c r="L2718" s="232" t="inlineStr">
        <is>
          <t>[PRORRATEO 13.4% 19.8há/148.3há] TRASLADO DE FRUTA</t>
        </is>
      </c>
      <c r="M2718" s="232" t="inlineStr"/>
      <c r="N2718" s="232" t="inlineStr">
        <is>
          <t>.   .   -</t>
        </is>
      </c>
      <c r="O2718" s="232" t="inlineStr">
        <is>
          <t>MARZO</t>
        </is>
      </c>
      <c r="P2718" s="232" t="n">
        <v>10</v>
      </c>
      <c r="Q2718" s="234" t="n">
        <v>398644</v>
      </c>
      <c r="R2718" s="232" t="inlineStr"/>
      <c r="S2718" s="234" t="n">
        <v>398644</v>
      </c>
      <c r="T2718" s="232" t="inlineStr">
        <is>
          <t>CLP</t>
        </is>
      </c>
      <c r="U2718" s="232" t="inlineStr">
        <is>
          <t>Prorrateo Ha PACKING</t>
        </is>
      </c>
      <c r="V2718" s="232" t="inlineStr">
        <is>
          <t>2026-06-18</t>
        </is>
      </c>
    </row>
    <row r="2719">
      <c r="A2719" s="232" t="inlineStr">
        <is>
          <t>CR-2716</t>
        </is>
      </c>
      <c r="B2719" s="232" t="inlineStr">
        <is>
          <t>2026/27</t>
        </is>
      </c>
      <c r="C2719" s="233" t="n">
        <v>46092</v>
      </c>
      <c r="D2719" s="232" t="inlineStr">
        <is>
          <t>      </t>
        </is>
      </c>
      <c r="E2719" s="232" t="inlineStr">
        <is>
          <t>PRORRATEO</t>
        </is>
      </c>
      <c r="F2719" s="232" t="inlineStr">
        <is>
          <t>Asmara</t>
        </is>
      </c>
      <c r="G2719" s="232" t="inlineStr">
        <is>
          <t>w. murcott 4,9 ha</t>
        </is>
      </c>
      <c r="H2719" s="232" t="inlineStr">
        <is>
          <t>Mandarina</t>
        </is>
      </c>
      <c r="I2719" s="232" t="inlineStr">
        <is>
          <t>W. murcott</t>
        </is>
      </c>
      <c r="J2719" s="232" t="inlineStr">
        <is>
          <t>FLETES</t>
        </is>
      </c>
      <c r="K2719" s="232" t="inlineStr">
        <is>
          <t>FLETE FRUTA</t>
        </is>
      </c>
      <c r="L2719" s="232" t="inlineStr">
        <is>
          <t>[PRORRATEO 3.3% 4.9há/148.3há] TRASLADO DE FRUTA</t>
        </is>
      </c>
      <c r="M2719" s="232" t="inlineStr"/>
      <c r="N2719" s="232" t="inlineStr">
        <is>
          <t>.   .   -</t>
        </is>
      </c>
      <c r="O2719" s="232" t="inlineStr">
        <is>
          <t>MARZO</t>
        </is>
      </c>
      <c r="P2719" s="232" t="n">
        <v>10</v>
      </c>
      <c r="Q2719" s="234" t="n">
        <v>98654</v>
      </c>
      <c r="R2719" s="232" t="inlineStr"/>
      <c r="S2719" s="234" t="n">
        <v>98654</v>
      </c>
      <c r="T2719" s="232" t="inlineStr">
        <is>
          <t>CLP</t>
        </is>
      </c>
      <c r="U2719" s="232" t="inlineStr">
        <is>
          <t>Prorrateo Ha PACKING</t>
        </is>
      </c>
      <c r="V2719" s="232" t="inlineStr">
        <is>
          <t>2026-06-18</t>
        </is>
      </c>
    </row>
    <row r="2720">
      <c r="A2720" s="232" t="inlineStr">
        <is>
          <t>CR-2717</t>
        </is>
      </c>
      <c r="B2720" s="232" t="inlineStr">
        <is>
          <t>2026/27</t>
        </is>
      </c>
      <c r="C2720" s="233" t="n">
        <v>46092</v>
      </c>
      <c r="D2720" s="232" t="inlineStr">
        <is>
          <t>      </t>
        </is>
      </c>
      <c r="E2720" s="232" t="inlineStr">
        <is>
          <t>PRORRATEO</t>
        </is>
      </c>
      <c r="F2720" s="232" t="inlineStr">
        <is>
          <t>El Molle</t>
        </is>
      </c>
      <c r="G2720" s="232" t="inlineStr">
        <is>
          <t>Wonderful 5,25 ha</t>
        </is>
      </c>
      <c r="H2720" s="232" t="inlineStr">
        <is>
          <t>Granados</t>
        </is>
      </c>
      <c r="I2720" s="232" t="inlineStr">
        <is>
          <t>Wonderfull</t>
        </is>
      </c>
      <c r="J2720" s="232" t="inlineStr">
        <is>
          <t>FLETES</t>
        </is>
      </c>
      <c r="K2720" s="232" t="inlineStr">
        <is>
          <t>FLETE FRUTA</t>
        </is>
      </c>
      <c r="L2720" s="232" t="inlineStr">
        <is>
          <t>[PRORRATEO 3.5% 5.24há/148.3há] TRASLADO DE FRUTA</t>
        </is>
      </c>
      <c r="M2720" s="232" t="inlineStr"/>
      <c r="N2720" s="232" t="inlineStr">
        <is>
          <t>.   .   -</t>
        </is>
      </c>
      <c r="O2720" s="232" t="inlineStr">
        <is>
          <t>MARZO</t>
        </is>
      </c>
      <c r="P2720" s="232" t="n">
        <v>10</v>
      </c>
      <c r="Q2720" s="234" t="n">
        <v>105500</v>
      </c>
      <c r="R2720" s="232" t="inlineStr"/>
      <c r="S2720" s="234" t="n">
        <v>105500</v>
      </c>
      <c r="T2720" s="232" t="inlineStr">
        <is>
          <t>CLP</t>
        </is>
      </c>
      <c r="U2720" s="232" t="inlineStr">
        <is>
          <t>Prorrateo Ha PACKING</t>
        </is>
      </c>
      <c r="V2720" s="232" t="inlineStr">
        <is>
          <t>2026-06-18</t>
        </is>
      </c>
    </row>
    <row r="2721">
      <c r="A2721" s="232" t="inlineStr">
        <is>
          <t>CR-2718</t>
        </is>
      </c>
      <c r="B2721" s="232" t="inlineStr">
        <is>
          <t>2026/27</t>
        </is>
      </c>
      <c r="C2721" s="233" t="n">
        <v>46092</v>
      </c>
      <c r="D2721" s="232" t="inlineStr">
        <is>
          <t>      </t>
        </is>
      </c>
      <c r="E2721" s="232" t="inlineStr">
        <is>
          <t>PRORRATEO</t>
        </is>
      </c>
      <c r="F2721" s="232" t="inlineStr">
        <is>
          <t>El Molle</t>
        </is>
      </c>
      <c r="G2721" s="232" t="inlineStr">
        <is>
          <t>arrufatinas 5,74 ha</t>
        </is>
      </c>
      <c r="H2721" s="232" t="inlineStr">
        <is>
          <t>Clementinas</t>
        </is>
      </c>
      <c r="I2721" s="232" t="inlineStr">
        <is>
          <t>Arrufatinas</t>
        </is>
      </c>
      <c r="J2721" s="232" t="inlineStr">
        <is>
          <t>FLETES</t>
        </is>
      </c>
      <c r="K2721" s="232" t="inlineStr">
        <is>
          <t>FLETE FRUTA</t>
        </is>
      </c>
      <c r="L2721" s="232" t="inlineStr">
        <is>
          <t>[PRORRATEO 3.9% 5.74há/148.3há] TRASLADO DE FRUTA</t>
        </is>
      </c>
      <c r="M2721" s="232" t="inlineStr"/>
      <c r="N2721" s="232" t="inlineStr">
        <is>
          <t>.   .   -</t>
        </is>
      </c>
      <c r="O2721" s="232" t="inlineStr">
        <is>
          <t>MARZO</t>
        </is>
      </c>
      <c r="P2721" s="232" t="n">
        <v>10</v>
      </c>
      <c r="Q2721" s="234" t="n">
        <v>115567</v>
      </c>
      <c r="R2721" s="232" t="inlineStr"/>
      <c r="S2721" s="234" t="n">
        <v>115567</v>
      </c>
      <c r="T2721" s="232" t="inlineStr">
        <is>
          <t>CLP</t>
        </is>
      </c>
      <c r="U2721" s="232" t="inlineStr">
        <is>
          <t>Prorrateo Ha PACKING</t>
        </is>
      </c>
      <c r="V2721" s="232" t="inlineStr">
        <is>
          <t>2026-06-18</t>
        </is>
      </c>
    </row>
    <row r="2722">
      <c r="A2722" s="232" t="inlineStr">
        <is>
          <t>CR-2719</t>
        </is>
      </c>
      <c r="B2722" s="232" t="inlineStr">
        <is>
          <t>2026/27</t>
        </is>
      </c>
      <c r="C2722" s="233" t="n">
        <v>46092</v>
      </c>
      <c r="D2722" s="232" t="inlineStr">
        <is>
          <t>      </t>
        </is>
      </c>
      <c r="E2722" s="232" t="inlineStr">
        <is>
          <t>PRORRATEO</t>
        </is>
      </c>
      <c r="F2722" s="232" t="inlineStr">
        <is>
          <t>El Molle</t>
        </is>
      </c>
      <c r="G2722" s="232" t="inlineStr">
        <is>
          <t>orogrande 8,11 ha</t>
        </is>
      </c>
      <c r="H2722" s="232" t="inlineStr">
        <is>
          <t>Clementinas</t>
        </is>
      </c>
      <c r="I2722" s="232" t="inlineStr">
        <is>
          <t>Orogrande</t>
        </is>
      </c>
      <c r="J2722" s="232" t="inlineStr">
        <is>
          <t>FLETES</t>
        </is>
      </c>
      <c r="K2722" s="232" t="inlineStr">
        <is>
          <t>FLETE FRUTA</t>
        </is>
      </c>
      <c r="L2722" s="232" t="inlineStr">
        <is>
          <t>[PRORRATEO 5.5% 8.11há/148.3há] TRASLADO DE FRUTA</t>
        </is>
      </c>
      <c r="M2722" s="232" t="inlineStr"/>
      <c r="N2722" s="232" t="inlineStr">
        <is>
          <t>.   .   -</t>
        </is>
      </c>
      <c r="O2722" s="232" t="inlineStr">
        <is>
          <t>MARZO</t>
        </is>
      </c>
      <c r="P2722" s="232" t="n">
        <v>10</v>
      </c>
      <c r="Q2722" s="234" t="n">
        <v>163283</v>
      </c>
      <c r="R2722" s="232" t="inlineStr"/>
      <c r="S2722" s="234" t="n">
        <v>163283</v>
      </c>
      <c r="T2722" s="232" t="inlineStr">
        <is>
          <t>CLP</t>
        </is>
      </c>
      <c r="U2722" s="232" t="inlineStr">
        <is>
          <t>Prorrateo Ha PACKING</t>
        </is>
      </c>
      <c r="V2722" s="232" t="inlineStr">
        <is>
          <t>2026-06-18</t>
        </is>
      </c>
    </row>
    <row r="2723">
      <c r="A2723" s="232" t="inlineStr">
        <is>
          <t>CR-2720</t>
        </is>
      </c>
      <c r="B2723" s="232" t="inlineStr">
        <is>
          <t>2026/27</t>
        </is>
      </c>
      <c r="C2723" s="233" t="n">
        <v>46092</v>
      </c>
      <c r="D2723" s="232" t="inlineStr">
        <is>
          <t>      </t>
        </is>
      </c>
      <c r="E2723" s="232" t="inlineStr">
        <is>
          <t>PRORRATEO</t>
        </is>
      </c>
      <c r="F2723" s="232" t="inlineStr">
        <is>
          <t>El Molle</t>
        </is>
      </c>
      <c r="G2723" s="232" t="inlineStr">
        <is>
          <t>oronules 5,35 ha</t>
        </is>
      </c>
      <c r="H2723" s="232" t="inlineStr">
        <is>
          <t>Clementinas</t>
        </is>
      </c>
      <c r="I2723" s="232" t="inlineStr">
        <is>
          <t>Oronules</t>
        </is>
      </c>
      <c r="J2723" s="232" t="inlineStr">
        <is>
          <t>FLETES</t>
        </is>
      </c>
      <c r="K2723" s="232" t="inlineStr">
        <is>
          <t>FLETE FRUTA</t>
        </is>
      </c>
      <c r="L2723" s="232" t="inlineStr">
        <is>
          <t>[PRORRATEO 3.6% 5.35há/148.3há] TRASLADO DE FRUTA</t>
        </is>
      </c>
      <c r="M2723" s="232" t="inlineStr"/>
      <c r="N2723" s="232" t="inlineStr">
        <is>
          <t>.   .   -</t>
        </is>
      </c>
      <c r="O2723" s="232" t="inlineStr">
        <is>
          <t>MARZO</t>
        </is>
      </c>
      <c r="P2723" s="232" t="n">
        <v>10</v>
      </c>
      <c r="Q2723" s="234" t="n">
        <v>107714</v>
      </c>
      <c r="R2723" s="232" t="inlineStr"/>
      <c r="S2723" s="234" t="n">
        <v>107714</v>
      </c>
      <c r="T2723" s="232" t="inlineStr">
        <is>
          <t>CLP</t>
        </is>
      </c>
      <c r="U2723" s="232" t="inlineStr">
        <is>
          <t>Prorrateo Ha PACKING</t>
        </is>
      </c>
      <c r="V2723" s="232" t="inlineStr">
        <is>
          <t>2026-06-18</t>
        </is>
      </c>
    </row>
    <row r="2724">
      <c r="A2724" s="232" t="inlineStr">
        <is>
          <t>CR-2721</t>
        </is>
      </c>
      <c r="B2724" s="232" t="inlineStr">
        <is>
          <t>2026/27</t>
        </is>
      </c>
      <c r="C2724" s="233" t="n">
        <v>46092</v>
      </c>
      <c r="D2724" s="232" t="inlineStr">
        <is>
          <t>      </t>
        </is>
      </c>
      <c r="E2724" s="232" t="inlineStr">
        <is>
          <t>PRORRATEO</t>
        </is>
      </c>
      <c r="F2724" s="232" t="inlineStr">
        <is>
          <t>Santa Catalina</t>
        </is>
      </c>
      <c r="G2724" s="232" t="inlineStr">
        <is>
          <t>Fino 49 7,7 ha</t>
        </is>
      </c>
      <c r="H2724" s="232" t="inlineStr">
        <is>
          <t>Limon</t>
        </is>
      </c>
      <c r="I2724" s="232" t="inlineStr">
        <is>
          <t>Fino 49</t>
        </is>
      </c>
      <c r="J2724" s="232" t="inlineStr">
        <is>
          <t>FLETES</t>
        </is>
      </c>
      <c r="K2724" s="232" t="inlineStr">
        <is>
          <t>FLETE FRUTA</t>
        </is>
      </c>
      <c r="L2724" s="232" t="inlineStr">
        <is>
          <t>[PRORRATEO 5.2% 7.7há/148.3há] TRASLADO DE FRUTA</t>
        </is>
      </c>
      <c r="M2724" s="232" t="inlineStr"/>
      <c r="N2724" s="232" t="inlineStr">
        <is>
          <t>.   .   -</t>
        </is>
      </c>
      <c r="O2724" s="232" t="inlineStr">
        <is>
          <t>MARZO</t>
        </is>
      </c>
      <c r="P2724" s="232" t="n">
        <v>10</v>
      </c>
      <c r="Q2724" s="234" t="n">
        <v>155028</v>
      </c>
      <c r="R2724" s="232" t="inlineStr"/>
      <c r="S2724" s="234" t="n">
        <v>155028</v>
      </c>
      <c r="T2724" s="232" t="inlineStr">
        <is>
          <t>CLP</t>
        </is>
      </c>
      <c r="U2724" s="232" t="inlineStr">
        <is>
          <t>Prorrateo Ha PACKING</t>
        </is>
      </c>
      <c r="V2724" s="232" t="inlineStr">
        <is>
          <t>2026-06-18</t>
        </is>
      </c>
    </row>
    <row r="2725">
      <c r="A2725" s="232" t="inlineStr">
        <is>
          <t>CR-2722</t>
        </is>
      </c>
      <c r="B2725" s="232" t="inlineStr">
        <is>
          <t>2026/27</t>
        </is>
      </c>
      <c r="C2725" s="233" t="n">
        <v>46092</v>
      </c>
      <c r="D2725" s="232" t="inlineStr">
        <is>
          <t>      </t>
        </is>
      </c>
      <c r="E2725" s="232" t="inlineStr">
        <is>
          <t>PRORRATEO</t>
        </is>
      </c>
      <c r="F2725" s="232" t="inlineStr">
        <is>
          <t>Santa Catalina</t>
        </is>
      </c>
      <c r="G2725" s="232" t="inlineStr">
        <is>
          <t>W. murcott 21 ha</t>
        </is>
      </c>
      <c r="H2725" s="232" t="inlineStr">
        <is>
          <t>Mandarina</t>
        </is>
      </c>
      <c r="I2725" s="232" t="inlineStr">
        <is>
          <t>W. murcott</t>
        </is>
      </c>
      <c r="J2725" s="232" t="inlineStr">
        <is>
          <t>FLETES</t>
        </is>
      </c>
      <c r="K2725" s="232" t="inlineStr">
        <is>
          <t>FLETE FRUTA</t>
        </is>
      </c>
      <c r="L2725" s="232" t="inlineStr">
        <is>
          <t>[PRORRATEO 14.2% 21.0há/148.3há] TRASLADO DE FRUTA</t>
        </is>
      </c>
      <c r="M2725" s="232" t="inlineStr"/>
      <c r="N2725" s="232" t="inlineStr">
        <is>
          <t>.   .   -</t>
        </is>
      </c>
      <c r="O2725" s="232" t="inlineStr">
        <is>
          <t>MARZO</t>
        </is>
      </c>
      <c r="P2725" s="232" t="n">
        <v>10</v>
      </c>
      <c r="Q2725" s="234" t="n">
        <v>422805</v>
      </c>
      <c r="R2725" s="232" t="inlineStr"/>
      <c r="S2725" s="234" t="n">
        <v>422805</v>
      </c>
      <c r="T2725" s="232" t="inlineStr">
        <is>
          <t>CLP</t>
        </is>
      </c>
      <c r="U2725" s="232" t="inlineStr">
        <is>
          <t>Prorrateo Ha PACKING</t>
        </is>
      </c>
      <c r="V2725" s="232" t="inlineStr">
        <is>
          <t>2026-06-18</t>
        </is>
      </c>
    </row>
    <row r="2726">
      <c r="A2726" s="232" t="inlineStr">
        <is>
          <t>CR-2723</t>
        </is>
      </c>
      <c r="B2726" s="232" t="inlineStr">
        <is>
          <t>2026/27</t>
        </is>
      </c>
      <c r="C2726" s="233" t="n">
        <v>46092</v>
      </c>
      <c r="D2726" s="232" t="inlineStr">
        <is>
          <t>      </t>
        </is>
      </c>
      <c r="E2726" s="232" t="inlineStr">
        <is>
          <t>PRORRATEO</t>
        </is>
      </c>
      <c r="F2726" s="232" t="inlineStr">
        <is>
          <t>Santa Catalina</t>
        </is>
      </c>
      <c r="G2726" s="232" t="inlineStr">
        <is>
          <t>cambria 4,2 ha</t>
        </is>
      </c>
      <c r="H2726" s="232" t="inlineStr">
        <is>
          <t>Naranjas</t>
        </is>
      </c>
      <c r="I2726" s="232" t="inlineStr">
        <is>
          <t>Cambria</t>
        </is>
      </c>
      <c r="J2726" s="232" t="inlineStr">
        <is>
          <t>FLETES</t>
        </is>
      </c>
      <c r="K2726" s="232" t="inlineStr">
        <is>
          <t>FLETE FRUTA</t>
        </is>
      </c>
      <c r="L2726" s="232" t="inlineStr">
        <is>
          <t>[PRORRATEO 2.8% 4.2há/148.3há] TRASLADO DE FRUTA</t>
        </is>
      </c>
      <c r="M2726" s="232" t="inlineStr"/>
      <c r="N2726" s="232" t="inlineStr">
        <is>
          <t>.   .   -</t>
        </is>
      </c>
      <c r="O2726" s="232" t="inlineStr">
        <is>
          <t>MARZO</t>
        </is>
      </c>
      <c r="P2726" s="232" t="n">
        <v>10</v>
      </c>
      <c r="Q2726" s="234" t="n">
        <v>84561</v>
      </c>
      <c r="R2726" s="232" t="inlineStr"/>
      <c r="S2726" s="234" t="n">
        <v>84561</v>
      </c>
      <c r="T2726" s="232" t="inlineStr">
        <is>
          <t>CLP</t>
        </is>
      </c>
      <c r="U2726" s="232" t="inlineStr">
        <is>
          <t>Prorrateo Ha PACKING</t>
        </is>
      </c>
      <c r="V2726" s="232" t="inlineStr">
        <is>
          <t>2026-06-18</t>
        </is>
      </c>
    </row>
    <row r="2727">
      <c r="A2727" s="232" t="inlineStr">
        <is>
          <t>CR-2724</t>
        </is>
      </c>
      <c r="B2727" s="232" t="inlineStr">
        <is>
          <t>2026/27</t>
        </is>
      </c>
      <c r="C2727" s="233" t="n">
        <v>46092</v>
      </c>
      <c r="D2727" s="232" t="inlineStr">
        <is>
          <t>      </t>
        </is>
      </c>
      <c r="E2727" s="232" t="inlineStr">
        <is>
          <t>PRORRATEO</t>
        </is>
      </c>
      <c r="F2727" s="232" t="inlineStr">
        <is>
          <t>Santa Catalina</t>
        </is>
      </c>
      <c r="G2727" s="232" t="inlineStr">
        <is>
          <t>eureka 10,6 ha</t>
        </is>
      </c>
      <c r="H2727" s="232" t="inlineStr">
        <is>
          <t>Limon</t>
        </is>
      </c>
      <c r="I2727" s="232" t="inlineStr">
        <is>
          <t>Eureka</t>
        </is>
      </c>
      <c r="J2727" s="232" t="inlineStr">
        <is>
          <t>FLETES</t>
        </is>
      </c>
      <c r="K2727" s="232" t="inlineStr">
        <is>
          <t>FLETE FRUTA</t>
        </is>
      </c>
      <c r="L2727" s="232" t="inlineStr">
        <is>
          <t>[PRORRATEO 7.1% 10.6há/148.3há] TRASLADO DE FRUTA</t>
        </is>
      </c>
      <c r="M2727" s="232" t="inlineStr"/>
      <c r="N2727" s="232" t="inlineStr">
        <is>
          <t>.   .   -</t>
        </is>
      </c>
      <c r="O2727" s="232" t="inlineStr">
        <is>
          <t>MARZO</t>
        </is>
      </c>
      <c r="P2727" s="232" t="n">
        <v>10</v>
      </c>
      <c r="Q2727" s="234" t="n">
        <v>213416</v>
      </c>
      <c r="R2727" s="232" t="inlineStr"/>
      <c r="S2727" s="234" t="n">
        <v>213416</v>
      </c>
      <c r="T2727" s="232" t="inlineStr">
        <is>
          <t>CLP</t>
        </is>
      </c>
      <c r="U2727" s="232" t="inlineStr">
        <is>
          <t>Prorrateo Ha PACKING</t>
        </is>
      </c>
      <c r="V2727" s="232" t="inlineStr">
        <is>
          <t>2026-06-18</t>
        </is>
      </c>
    </row>
    <row r="2728">
      <c r="A2728" s="232" t="inlineStr">
        <is>
          <t>CR-2725</t>
        </is>
      </c>
      <c r="B2728" s="232" t="inlineStr">
        <is>
          <t>2026/27</t>
        </is>
      </c>
      <c r="C2728" s="233" t="n">
        <v>46092</v>
      </c>
      <c r="D2728" s="232" t="inlineStr">
        <is>
          <t>      </t>
        </is>
      </c>
      <c r="E2728" s="232" t="inlineStr">
        <is>
          <t>PRORRATEO</t>
        </is>
      </c>
      <c r="F2728" s="232" t="inlineStr">
        <is>
          <t>Santa Catalina</t>
        </is>
      </c>
      <c r="G2728" s="232" t="inlineStr">
        <is>
          <t>eureka 14,4 ha</t>
        </is>
      </c>
      <c r="H2728" s="232" t="inlineStr">
        <is>
          <t>Limon</t>
        </is>
      </c>
      <c r="I2728" s="232" t="inlineStr">
        <is>
          <t>Eureka</t>
        </is>
      </c>
      <c r="J2728" s="232" t="inlineStr">
        <is>
          <t>FLETES</t>
        </is>
      </c>
      <c r="K2728" s="232" t="inlineStr">
        <is>
          <t>FLETE FRUTA</t>
        </is>
      </c>
      <c r="L2728" s="232" t="inlineStr">
        <is>
          <t>[PRORRATEO 9.7% 14.4há/148.3há] TRASLADO DE FRUTA</t>
        </is>
      </c>
      <c r="M2728" s="232" t="inlineStr"/>
      <c r="N2728" s="232" t="inlineStr">
        <is>
          <t>.   .   -</t>
        </is>
      </c>
      <c r="O2728" s="232" t="inlineStr">
        <is>
          <t>MARZO</t>
        </is>
      </c>
      <c r="P2728" s="232" t="n">
        <v>10</v>
      </c>
      <c r="Q2728" s="234" t="n">
        <v>289923</v>
      </c>
      <c r="R2728" s="232" t="inlineStr"/>
      <c r="S2728" s="234" t="n">
        <v>289923</v>
      </c>
      <c r="T2728" s="232" t="inlineStr">
        <is>
          <t>CLP</t>
        </is>
      </c>
      <c r="U2728" s="232" t="inlineStr">
        <is>
          <t>Prorrateo Ha PACKING</t>
        </is>
      </c>
      <c r="V2728" s="232" t="inlineStr">
        <is>
          <t>2026-06-18</t>
        </is>
      </c>
    </row>
    <row r="2729">
      <c r="A2729" s="232" t="inlineStr">
        <is>
          <t>CR-2726</t>
        </is>
      </c>
      <c r="B2729" s="232" t="inlineStr">
        <is>
          <t>2026/27</t>
        </is>
      </c>
      <c r="C2729" s="233" t="n">
        <v>46092</v>
      </c>
      <c r="D2729" s="232" t="inlineStr">
        <is>
          <t>      </t>
        </is>
      </c>
      <c r="E2729" s="232" t="inlineStr">
        <is>
          <t>PRORRATEO</t>
        </is>
      </c>
      <c r="F2729" s="232" t="inlineStr">
        <is>
          <t>Santa Catalina</t>
        </is>
      </c>
      <c r="G2729" s="232" t="inlineStr">
        <is>
          <t>eureka 22,55</t>
        </is>
      </c>
      <c r="H2729" s="232" t="inlineStr">
        <is>
          <t>Limon</t>
        </is>
      </c>
      <c r="I2729" s="232" t="inlineStr">
        <is>
          <t>Eureka</t>
        </is>
      </c>
      <c r="J2729" s="232" t="inlineStr">
        <is>
          <t>FLETES</t>
        </is>
      </c>
      <c r="K2729" s="232" t="inlineStr">
        <is>
          <t>FLETE FRUTA</t>
        </is>
      </c>
      <c r="L2729" s="232" t="inlineStr">
        <is>
          <t>[PRORRATEO 15.2% 22.55há/148.3há] TRASLADO DE FRUTA</t>
        </is>
      </c>
      <c r="M2729" s="232" t="inlineStr"/>
      <c r="N2729" s="232" t="inlineStr">
        <is>
          <t>.   .   -</t>
        </is>
      </c>
      <c r="O2729" s="232" t="inlineStr">
        <is>
          <t>MARZO</t>
        </is>
      </c>
      <c r="P2729" s="232" t="n">
        <v>10</v>
      </c>
      <c r="Q2729" s="234" t="n">
        <v>454012</v>
      </c>
      <c r="R2729" s="232" t="inlineStr"/>
      <c r="S2729" s="234" t="n">
        <v>454012</v>
      </c>
      <c r="T2729" s="232" t="inlineStr">
        <is>
          <t>CLP</t>
        </is>
      </c>
      <c r="U2729" s="232" t="inlineStr">
        <is>
          <t>Prorrateo Ha PACKING</t>
        </is>
      </c>
      <c r="V2729" s="232" t="inlineStr">
        <is>
          <t>2026-06-18</t>
        </is>
      </c>
    </row>
    <row r="2730">
      <c r="A2730" s="232" t="inlineStr">
        <is>
          <t>CR-2727</t>
        </is>
      </c>
      <c r="B2730" s="232" t="inlineStr">
        <is>
          <t>2026/27</t>
        </is>
      </c>
      <c r="C2730" s="233" t="n">
        <v>46092</v>
      </c>
      <c r="D2730" s="232" t="inlineStr">
        <is>
          <t>      </t>
        </is>
      </c>
      <c r="E2730" s="232" t="inlineStr">
        <is>
          <t>PRORRATEO</t>
        </is>
      </c>
      <c r="F2730" s="232" t="inlineStr">
        <is>
          <t>Santa Catalina</t>
        </is>
      </c>
      <c r="G2730" s="232" t="inlineStr">
        <is>
          <t>form benjamin 1,93 ha</t>
        </is>
      </c>
      <c r="H2730" s="232" t="inlineStr">
        <is>
          <t>Limon</t>
        </is>
      </c>
      <c r="I2730" s="232" t="inlineStr">
        <is>
          <t>Benjamin andes</t>
        </is>
      </c>
      <c r="J2730" s="232" t="inlineStr">
        <is>
          <t>FLETES</t>
        </is>
      </c>
      <c r="K2730" s="232" t="inlineStr">
        <is>
          <t>FLETE FRUTA</t>
        </is>
      </c>
      <c r="L2730" s="232" t="inlineStr">
        <is>
          <t>[PRORRATEO 1.3% 1.93há/148.3há] TRASLADO DE FRUTA</t>
        </is>
      </c>
      <c r="M2730" s="232" t="inlineStr"/>
      <c r="N2730" s="232" t="inlineStr">
        <is>
          <t>.   .   -</t>
        </is>
      </c>
      <c r="O2730" s="232" t="inlineStr">
        <is>
          <t>MARZO</t>
        </is>
      </c>
      <c r="P2730" s="232" t="n">
        <v>10</v>
      </c>
      <c r="Q2730" s="234" t="n">
        <v>38858</v>
      </c>
      <c r="R2730" s="232" t="inlineStr"/>
      <c r="S2730" s="234" t="n">
        <v>38858</v>
      </c>
      <c r="T2730" s="232" t="inlineStr">
        <is>
          <t>CLP</t>
        </is>
      </c>
      <c r="U2730" s="232" t="inlineStr">
        <is>
          <t>Prorrateo Ha PACKING</t>
        </is>
      </c>
      <c r="V2730" s="232" t="inlineStr">
        <is>
          <t>2026-06-18</t>
        </is>
      </c>
    </row>
    <row r="2731">
      <c r="A2731" s="232" t="inlineStr">
        <is>
          <t>CR-2728</t>
        </is>
      </c>
      <c r="B2731" s="232" t="inlineStr">
        <is>
          <t>2026/27</t>
        </is>
      </c>
      <c r="C2731" s="233" t="n">
        <v>46092</v>
      </c>
      <c r="D2731" s="232" t="inlineStr">
        <is>
          <t>      </t>
        </is>
      </c>
      <c r="E2731" s="232" t="inlineStr">
        <is>
          <t>PRORRATEO</t>
        </is>
      </c>
      <c r="F2731" s="232" t="inlineStr">
        <is>
          <t>Santa Catalina</t>
        </is>
      </c>
      <c r="G2731" s="232" t="inlineStr">
        <is>
          <t>mant eureka 2,5 ha</t>
        </is>
      </c>
      <c r="H2731" s="232" t="inlineStr">
        <is>
          <t>Limon</t>
        </is>
      </c>
      <c r="I2731" s="232" t="inlineStr">
        <is>
          <t>Eureka</t>
        </is>
      </c>
      <c r="J2731" s="232" t="inlineStr">
        <is>
          <t>FLETES</t>
        </is>
      </c>
      <c r="K2731" s="232" t="inlineStr">
        <is>
          <t>FLETE FRUTA</t>
        </is>
      </c>
      <c r="L2731" s="232" t="inlineStr">
        <is>
          <t>[PRORRATEO 1.7% 2.5há/148.3há] TRASLADO DE FRUTA</t>
        </is>
      </c>
      <c r="M2731" s="232" t="inlineStr"/>
      <c r="N2731" s="232" t="inlineStr">
        <is>
          <t>.   .   -</t>
        </is>
      </c>
      <c r="O2731" s="232" t="inlineStr">
        <is>
          <t>MARZO</t>
        </is>
      </c>
      <c r="P2731" s="232" t="n">
        <v>10</v>
      </c>
      <c r="Q2731" s="234" t="n">
        <v>50334</v>
      </c>
      <c r="R2731" s="232" t="inlineStr"/>
      <c r="S2731" s="234" t="n">
        <v>50334</v>
      </c>
      <c r="T2731" s="232" t="inlineStr">
        <is>
          <t>CLP</t>
        </is>
      </c>
      <c r="U2731" s="232" t="inlineStr">
        <is>
          <t>Prorrateo Ha PACKING</t>
        </is>
      </c>
      <c r="V2731" s="232" t="inlineStr">
        <is>
          <t>2026-06-18</t>
        </is>
      </c>
    </row>
    <row r="2732">
      <c r="A2732" s="232" t="inlineStr">
        <is>
          <t>CR-2729</t>
        </is>
      </c>
      <c r="B2732" s="232" t="inlineStr">
        <is>
          <t>2026/27</t>
        </is>
      </c>
      <c r="C2732" s="233" t="n">
        <v>46092</v>
      </c>
      <c r="D2732" s="232" t="inlineStr">
        <is>
          <t>      </t>
        </is>
      </c>
      <c r="E2732" s="232" t="inlineStr">
        <is>
          <t>PRORRATEO</t>
        </is>
      </c>
      <c r="F2732" s="232" t="inlineStr">
        <is>
          <t>Siberia</t>
        </is>
      </c>
      <c r="G2732" s="232" t="inlineStr">
        <is>
          <t>S. Celebration 7,14</t>
        </is>
      </c>
      <c r="H2732" s="232" t="inlineStr">
        <is>
          <t>Uvas</t>
        </is>
      </c>
      <c r="I2732" s="232" t="inlineStr">
        <is>
          <t>S. celebration</t>
        </is>
      </c>
      <c r="J2732" s="232" t="inlineStr">
        <is>
          <t>FLETES</t>
        </is>
      </c>
      <c r="K2732" s="232" t="inlineStr">
        <is>
          <t>FLETE FRUTA</t>
        </is>
      </c>
      <c r="L2732" s="232" t="inlineStr">
        <is>
          <t>[PRORRATEO 4.8% 7.14há/148.3há] TRASLADO DE FRUTA</t>
        </is>
      </c>
      <c r="M2732" s="232" t="inlineStr"/>
      <c r="N2732" s="232" t="inlineStr">
        <is>
          <t>.   .   -</t>
        </is>
      </c>
      <c r="O2732" s="232" t="inlineStr">
        <is>
          <t>MARZO</t>
        </is>
      </c>
      <c r="P2732" s="232" t="n">
        <v>10</v>
      </c>
      <c r="Q2732" s="234" t="n">
        <v>143754</v>
      </c>
      <c r="R2732" s="232" t="inlineStr"/>
      <c r="S2732" s="234" t="n">
        <v>143754</v>
      </c>
      <c r="T2732" s="232" t="inlineStr">
        <is>
          <t>CLP</t>
        </is>
      </c>
      <c r="U2732" s="232" t="inlineStr">
        <is>
          <t>Prorrateo Ha PACKING</t>
        </is>
      </c>
      <c r="V2732" s="232" t="inlineStr">
        <is>
          <t>2026-06-18</t>
        </is>
      </c>
    </row>
    <row r="2733">
      <c r="A2733" s="232" t="inlineStr">
        <is>
          <t>CR-2730</t>
        </is>
      </c>
      <c r="B2733" s="232" t="inlineStr">
        <is>
          <t>2026/27</t>
        </is>
      </c>
      <c r="C2733" s="233" t="n">
        <v>46092</v>
      </c>
      <c r="D2733" s="232" t="inlineStr">
        <is>
          <t>      </t>
        </is>
      </c>
      <c r="E2733" s="232" t="inlineStr">
        <is>
          <t>PRORRATEO</t>
        </is>
      </c>
      <c r="F2733" s="232" t="inlineStr">
        <is>
          <t>Siberia</t>
        </is>
      </c>
      <c r="G2733" s="232" t="inlineStr">
        <is>
          <t>Timpson 7,1</t>
        </is>
      </c>
      <c r="H2733" s="232" t="inlineStr">
        <is>
          <t>Uvas</t>
        </is>
      </c>
      <c r="I2733" s="232" t="inlineStr">
        <is>
          <t>Timpson</t>
        </is>
      </c>
      <c r="J2733" s="232" t="inlineStr">
        <is>
          <t>FLETES</t>
        </is>
      </c>
      <c r="K2733" s="232" t="inlineStr">
        <is>
          <t>FLETE FRUTA</t>
        </is>
      </c>
      <c r="L2733" s="232" t="inlineStr">
        <is>
          <t>[PRORRATEO 4.8% 7.1há/148.3há] TRASLADO DE FRUTA</t>
        </is>
      </c>
      <c r="M2733" s="232" t="inlineStr"/>
      <c r="N2733" s="232" t="inlineStr">
        <is>
          <t>.   .   -</t>
        </is>
      </c>
      <c r="O2733" s="232" t="inlineStr">
        <is>
          <t>MARZO</t>
        </is>
      </c>
      <c r="P2733" s="232" t="n">
        <v>10</v>
      </c>
      <c r="Q2733" s="234" t="n">
        <v>142948</v>
      </c>
      <c r="R2733" s="232" t="inlineStr"/>
      <c r="S2733" s="234" t="n">
        <v>142948</v>
      </c>
      <c r="T2733" s="232" t="inlineStr">
        <is>
          <t>CLP</t>
        </is>
      </c>
      <c r="U2733" s="232" t="inlineStr">
        <is>
          <t>Prorrateo Ha PACKING</t>
        </is>
      </c>
      <c r="V2733" s="232" t="inlineStr">
        <is>
          <t>2026-06-18</t>
        </is>
      </c>
    </row>
    <row r="2734">
      <c r="A2734" s="232" t="inlineStr">
        <is>
          <t>CR-2731</t>
        </is>
      </c>
      <c r="B2734" s="232" t="inlineStr">
        <is>
          <t>2026/27</t>
        </is>
      </c>
      <c r="C2734" s="233" t="n">
        <v>46092</v>
      </c>
      <c r="D2734" s="232" t="inlineStr">
        <is>
          <t>8418</t>
        </is>
      </c>
      <c r="E2734" s="232" t="inlineStr">
        <is>
          <t>PRORRATEO</t>
        </is>
      </c>
      <c r="F2734" s="232" t="inlineStr">
        <is>
          <t>Asmara</t>
        </is>
      </c>
      <c r="G2734" s="232" t="inlineStr">
        <is>
          <t>w. murcott 19,8 ha</t>
        </is>
      </c>
      <c r="H2734" s="232" t="inlineStr">
        <is>
          <t>Mandarina</t>
        </is>
      </c>
      <c r="I2734" s="232" t="inlineStr">
        <is>
          <t>W. murcott</t>
        </is>
      </c>
      <c r="J2734" s="232" t="inlineStr">
        <is>
          <t>FLETES</t>
        </is>
      </c>
      <c r="K2734" s="232" t="inlineStr">
        <is>
          <t>FLETE FRUTA</t>
        </is>
      </c>
      <c r="L2734" s="232" t="inlineStr">
        <is>
          <t>[PRORRATEO 13.4% 19.8há/148.3há] O/001466 FLETE</t>
        </is>
      </c>
      <c r="M2734" s="232" t="inlineStr"/>
      <c r="N2734" s="232" t="inlineStr">
        <is>
          <t>.   .   -</t>
        </is>
      </c>
      <c r="O2734" s="232" t="inlineStr">
        <is>
          <t>MARZO</t>
        </is>
      </c>
      <c r="P2734" s="232" t="n">
        <v>10</v>
      </c>
      <c r="Q2734" s="234" t="n">
        <v>377276</v>
      </c>
      <c r="R2734" s="232" t="inlineStr"/>
      <c r="S2734" s="234" t="n">
        <v>377276</v>
      </c>
      <c r="T2734" s="232" t="inlineStr">
        <is>
          <t>CLP</t>
        </is>
      </c>
      <c r="U2734" s="232" t="inlineStr">
        <is>
          <t>Prorrateo Ha PACKING</t>
        </is>
      </c>
      <c r="V2734" s="232" t="inlineStr">
        <is>
          <t>2026-06-18</t>
        </is>
      </c>
    </row>
    <row r="2735">
      <c r="A2735" s="232" t="inlineStr">
        <is>
          <t>CR-2732</t>
        </is>
      </c>
      <c r="B2735" s="232" t="inlineStr">
        <is>
          <t>2026/27</t>
        </is>
      </c>
      <c r="C2735" s="233" t="n">
        <v>46092</v>
      </c>
      <c r="D2735" s="232" t="inlineStr">
        <is>
          <t>8418</t>
        </is>
      </c>
      <c r="E2735" s="232" t="inlineStr">
        <is>
          <t>PRORRATEO</t>
        </is>
      </c>
      <c r="F2735" s="232" t="inlineStr">
        <is>
          <t>Asmara</t>
        </is>
      </c>
      <c r="G2735" s="232" t="inlineStr">
        <is>
          <t>w. murcott 4,9 ha</t>
        </is>
      </c>
      <c r="H2735" s="232" t="inlineStr">
        <is>
          <t>Mandarina</t>
        </is>
      </c>
      <c r="I2735" s="232" t="inlineStr">
        <is>
          <t>W. murcott</t>
        </is>
      </c>
      <c r="J2735" s="232" t="inlineStr">
        <is>
          <t>FLETES</t>
        </is>
      </c>
      <c r="K2735" s="232" t="inlineStr">
        <is>
          <t>FLETE FRUTA</t>
        </is>
      </c>
      <c r="L2735" s="232" t="inlineStr">
        <is>
          <t>[PRORRATEO 3.3% 4.9há/148.3há] O/001466 FLETE</t>
        </is>
      </c>
      <c r="M2735" s="232" t="inlineStr"/>
      <c r="N2735" s="232" t="inlineStr">
        <is>
          <t>.   .   -</t>
        </is>
      </c>
      <c r="O2735" s="232" t="inlineStr">
        <is>
          <t>MARZO</t>
        </is>
      </c>
      <c r="P2735" s="232" t="n">
        <v>10</v>
      </c>
      <c r="Q2735" s="234" t="n">
        <v>93366</v>
      </c>
      <c r="R2735" s="232" t="inlineStr"/>
      <c r="S2735" s="234" t="n">
        <v>93366</v>
      </c>
      <c r="T2735" s="232" t="inlineStr">
        <is>
          <t>CLP</t>
        </is>
      </c>
      <c r="U2735" s="232" t="inlineStr">
        <is>
          <t>Prorrateo Ha PACKING</t>
        </is>
      </c>
      <c r="V2735" s="232" t="inlineStr">
        <is>
          <t>2026-06-18</t>
        </is>
      </c>
    </row>
    <row r="2736">
      <c r="A2736" s="232" t="inlineStr">
        <is>
          <t>CR-2733</t>
        </is>
      </c>
      <c r="B2736" s="232" t="inlineStr">
        <is>
          <t>2026/27</t>
        </is>
      </c>
      <c r="C2736" s="233" t="n">
        <v>46092</v>
      </c>
      <c r="D2736" s="232" t="inlineStr">
        <is>
          <t>8418</t>
        </is>
      </c>
      <c r="E2736" s="232" t="inlineStr">
        <is>
          <t>PRORRATEO</t>
        </is>
      </c>
      <c r="F2736" s="232" t="inlineStr">
        <is>
          <t>El Molle</t>
        </is>
      </c>
      <c r="G2736" s="232" t="inlineStr">
        <is>
          <t>Wonderful 5,25 ha</t>
        </is>
      </c>
      <c r="H2736" s="232" t="inlineStr">
        <is>
          <t>Granados</t>
        </is>
      </c>
      <c r="I2736" s="232" t="inlineStr">
        <is>
          <t>Wonderfull</t>
        </is>
      </c>
      <c r="J2736" s="232" t="inlineStr">
        <is>
          <t>FLETES</t>
        </is>
      </c>
      <c r="K2736" s="232" t="inlineStr">
        <is>
          <t>FLETE FRUTA</t>
        </is>
      </c>
      <c r="L2736" s="232" t="inlineStr">
        <is>
          <t>[PRORRATEO 3.5% 5.24há/148.3há] O/001466 FLETE</t>
        </is>
      </c>
      <c r="M2736" s="232" t="inlineStr"/>
      <c r="N2736" s="232" t="inlineStr">
        <is>
          <t>.   .   -</t>
        </is>
      </c>
      <c r="O2736" s="232" t="inlineStr">
        <is>
          <t>MARZO</t>
        </is>
      </c>
      <c r="P2736" s="232" t="n">
        <v>10</v>
      </c>
      <c r="Q2736" s="234" t="n">
        <v>99845</v>
      </c>
      <c r="R2736" s="232" t="inlineStr"/>
      <c r="S2736" s="234" t="n">
        <v>99845</v>
      </c>
      <c r="T2736" s="232" t="inlineStr">
        <is>
          <t>CLP</t>
        </is>
      </c>
      <c r="U2736" s="232" t="inlineStr">
        <is>
          <t>Prorrateo Ha PACKING</t>
        </is>
      </c>
      <c r="V2736" s="232" t="inlineStr">
        <is>
          <t>2026-06-18</t>
        </is>
      </c>
    </row>
    <row r="2737">
      <c r="A2737" s="232" t="inlineStr">
        <is>
          <t>CR-2734</t>
        </is>
      </c>
      <c r="B2737" s="232" t="inlineStr">
        <is>
          <t>2026/27</t>
        </is>
      </c>
      <c r="C2737" s="233" t="n">
        <v>46092</v>
      </c>
      <c r="D2737" s="232" t="inlineStr">
        <is>
          <t>8418</t>
        </is>
      </c>
      <c r="E2737" s="232" t="inlineStr">
        <is>
          <t>PRORRATEO</t>
        </is>
      </c>
      <c r="F2737" s="232" t="inlineStr">
        <is>
          <t>El Molle</t>
        </is>
      </c>
      <c r="G2737" s="232" t="inlineStr">
        <is>
          <t>arrufatinas 5,74 ha</t>
        </is>
      </c>
      <c r="H2737" s="232" t="inlineStr">
        <is>
          <t>Clementinas</t>
        </is>
      </c>
      <c r="I2737" s="232" t="inlineStr">
        <is>
          <t>Arrufatinas</t>
        </is>
      </c>
      <c r="J2737" s="232" t="inlineStr">
        <is>
          <t>FLETES</t>
        </is>
      </c>
      <c r="K2737" s="232" t="inlineStr">
        <is>
          <t>FLETE FRUTA</t>
        </is>
      </c>
      <c r="L2737" s="232" t="inlineStr">
        <is>
          <t>[PRORRATEO 3.9% 5.74há/148.3há] O/001466 FLETE</t>
        </is>
      </c>
      <c r="M2737" s="232" t="inlineStr"/>
      <c r="N2737" s="232" t="inlineStr">
        <is>
          <t>.   .   -</t>
        </is>
      </c>
      <c r="O2737" s="232" t="inlineStr">
        <is>
          <t>MARZO</t>
        </is>
      </c>
      <c r="P2737" s="232" t="n">
        <v>10</v>
      </c>
      <c r="Q2737" s="234" t="n">
        <v>109372</v>
      </c>
      <c r="R2737" s="232" t="inlineStr"/>
      <c r="S2737" s="234" t="n">
        <v>109372</v>
      </c>
      <c r="T2737" s="232" t="inlineStr">
        <is>
          <t>CLP</t>
        </is>
      </c>
      <c r="U2737" s="232" t="inlineStr">
        <is>
          <t>Prorrateo Ha PACKING</t>
        </is>
      </c>
      <c r="V2737" s="232" t="inlineStr">
        <is>
          <t>2026-06-18</t>
        </is>
      </c>
    </row>
    <row r="2738">
      <c r="A2738" s="232" t="inlineStr">
        <is>
          <t>CR-2735</t>
        </is>
      </c>
      <c r="B2738" s="232" t="inlineStr">
        <is>
          <t>2026/27</t>
        </is>
      </c>
      <c r="C2738" s="233" t="n">
        <v>46092</v>
      </c>
      <c r="D2738" s="232" t="inlineStr">
        <is>
          <t>8418</t>
        </is>
      </c>
      <c r="E2738" s="232" t="inlineStr">
        <is>
          <t>PRORRATEO</t>
        </is>
      </c>
      <c r="F2738" s="232" t="inlineStr">
        <is>
          <t>El Molle</t>
        </is>
      </c>
      <c r="G2738" s="232" t="inlineStr">
        <is>
          <t>orogrande 8,11 ha</t>
        </is>
      </c>
      <c r="H2738" s="232" t="inlineStr">
        <is>
          <t>Clementinas</t>
        </is>
      </c>
      <c r="I2738" s="232" t="inlineStr">
        <is>
          <t>Orogrande</t>
        </is>
      </c>
      <c r="J2738" s="232" t="inlineStr">
        <is>
          <t>FLETES</t>
        </is>
      </c>
      <c r="K2738" s="232" t="inlineStr">
        <is>
          <t>FLETE FRUTA</t>
        </is>
      </c>
      <c r="L2738" s="232" t="inlineStr">
        <is>
          <t>[PRORRATEO 5.5% 8.11há/148.3há] O/001466 FLETE</t>
        </is>
      </c>
      <c r="M2738" s="232" t="inlineStr"/>
      <c r="N2738" s="232" t="inlineStr">
        <is>
          <t>.   .   -</t>
        </is>
      </c>
      <c r="O2738" s="232" t="inlineStr">
        <is>
          <t>MARZO</t>
        </is>
      </c>
      <c r="P2738" s="232" t="n">
        <v>10</v>
      </c>
      <c r="Q2738" s="234" t="n">
        <v>154531</v>
      </c>
      <c r="R2738" s="232" t="inlineStr"/>
      <c r="S2738" s="234" t="n">
        <v>154531</v>
      </c>
      <c r="T2738" s="232" t="inlineStr">
        <is>
          <t>CLP</t>
        </is>
      </c>
      <c r="U2738" s="232" t="inlineStr">
        <is>
          <t>Prorrateo Ha PACKING</t>
        </is>
      </c>
      <c r="V2738" s="232" t="inlineStr">
        <is>
          <t>2026-06-18</t>
        </is>
      </c>
    </row>
    <row r="2739">
      <c r="A2739" s="232" t="inlineStr">
        <is>
          <t>CR-2736</t>
        </is>
      </c>
      <c r="B2739" s="232" t="inlineStr">
        <is>
          <t>2026/27</t>
        </is>
      </c>
      <c r="C2739" s="233" t="n">
        <v>46092</v>
      </c>
      <c r="D2739" s="232" t="inlineStr">
        <is>
          <t>8418</t>
        </is>
      </c>
      <c r="E2739" s="232" t="inlineStr">
        <is>
          <t>PRORRATEO</t>
        </is>
      </c>
      <c r="F2739" s="232" t="inlineStr">
        <is>
          <t>El Molle</t>
        </is>
      </c>
      <c r="G2739" s="232" t="inlineStr">
        <is>
          <t>oronules 5,35 ha</t>
        </is>
      </c>
      <c r="H2739" s="232" t="inlineStr">
        <is>
          <t>Clementinas</t>
        </is>
      </c>
      <c r="I2739" s="232" t="inlineStr">
        <is>
          <t>Oronules</t>
        </is>
      </c>
      <c r="J2739" s="232" t="inlineStr">
        <is>
          <t>FLETES</t>
        </is>
      </c>
      <c r="K2739" s="232" t="inlineStr">
        <is>
          <t>FLETE FRUTA</t>
        </is>
      </c>
      <c r="L2739" s="232" t="inlineStr">
        <is>
          <t>[PRORRATEO 3.6% 5.35há/148.3há] O/001466 FLETE</t>
        </is>
      </c>
      <c r="M2739" s="232" t="inlineStr"/>
      <c r="N2739" s="232" t="inlineStr">
        <is>
          <t>.   .   -</t>
        </is>
      </c>
      <c r="O2739" s="232" t="inlineStr">
        <is>
          <t>MARZO</t>
        </is>
      </c>
      <c r="P2739" s="232" t="n">
        <v>10</v>
      </c>
      <c r="Q2739" s="234" t="n">
        <v>101941</v>
      </c>
      <c r="R2739" s="232" t="inlineStr"/>
      <c r="S2739" s="234" t="n">
        <v>101941</v>
      </c>
      <c r="T2739" s="232" t="inlineStr">
        <is>
          <t>CLP</t>
        </is>
      </c>
      <c r="U2739" s="232" t="inlineStr">
        <is>
          <t>Prorrateo Ha PACKING</t>
        </is>
      </c>
      <c r="V2739" s="232" t="inlineStr">
        <is>
          <t>2026-06-18</t>
        </is>
      </c>
    </row>
    <row r="2740">
      <c r="A2740" s="232" t="inlineStr">
        <is>
          <t>CR-2737</t>
        </is>
      </c>
      <c r="B2740" s="232" t="inlineStr">
        <is>
          <t>2026/27</t>
        </is>
      </c>
      <c r="C2740" s="233" t="n">
        <v>46092</v>
      </c>
      <c r="D2740" s="232" t="inlineStr">
        <is>
          <t>8418</t>
        </is>
      </c>
      <c r="E2740" s="232" t="inlineStr">
        <is>
          <t>PRORRATEO</t>
        </is>
      </c>
      <c r="F2740" s="232" t="inlineStr">
        <is>
          <t>Santa Catalina</t>
        </is>
      </c>
      <c r="G2740" s="232" t="inlineStr">
        <is>
          <t>Fino 49 7,7 ha</t>
        </is>
      </c>
      <c r="H2740" s="232" t="inlineStr">
        <is>
          <t>Limon</t>
        </is>
      </c>
      <c r="I2740" s="232" t="inlineStr">
        <is>
          <t>Fino 49</t>
        </is>
      </c>
      <c r="J2740" s="232" t="inlineStr">
        <is>
          <t>FLETES</t>
        </is>
      </c>
      <c r="K2740" s="232" t="inlineStr">
        <is>
          <t>FLETE FRUTA</t>
        </is>
      </c>
      <c r="L2740" s="232" t="inlineStr">
        <is>
          <t>[PRORRATEO 5.2% 7.7há/148.3há] O/001466 FLETE</t>
        </is>
      </c>
      <c r="M2740" s="232" t="inlineStr"/>
      <c r="N2740" s="232" t="inlineStr">
        <is>
          <t>.   .   -</t>
        </is>
      </c>
      <c r="O2740" s="232" t="inlineStr">
        <is>
          <t>MARZO</t>
        </is>
      </c>
      <c r="P2740" s="232" t="n">
        <v>10</v>
      </c>
      <c r="Q2740" s="234" t="n">
        <v>146719</v>
      </c>
      <c r="R2740" s="232" t="inlineStr"/>
      <c r="S2740" s="234" t="n">
        <v>146719</v>
      </c>
      <c r="T2740" s="232" t="inlineStr">
        <is>
          <t>CLP</t>
        </is>
      </c>
      <c r="U2740" s="232" t="inlineStr">
        <is>
          <t>Prorrateo Ha PACKING</t>
        </is>
      </c>
      <c r="V2740" s="232" t="inlineStr">
        <is>
          <t>2026-06-18</t>
        </is>
      </c>
    </row>
    <row r="2741">
      <c r="A2741" s="232" t="inlineStr">
        <is>
          <t>CR-2738</t>
        </is>
      </c>
      <c r="B2741" s="232" t="inlineStr">
        <is>
          <t>2026/27</t>
        </is>
      </c>
      <c r="C2741" s="233" t="n">
        <v>46092</v>
      </c>
      <c r="D2741" s="232" t="inlineStr">
        <is>
          <t>8418</t>
        </is>
      </c>
      <c r="E2741" s="232" t="inlineStr">
        <is>
          <t>PRORRATEO</t>
        </is>
      </c>
      <c r="F2741" s="232" t="inlineStr">
        <is>
          <t>Santa Catalina</t>
        </is>
      </c>
      <c r="G2741" s="232" t="inlineStr">
        <is>
          <t>W. murcott 21 ha</t>
        </is>
      </c>
      <c r="H2741" s="232" t="inlineStr">
        <is>
          <t>Mandarina</t>
        </is>
      </c>
      <c r="I2741" s="232" t="inlineStr">
        <is>
          <t>W. murcott</t>
        </is>
      </c>
      <c r="J2741" s="232" t="inlineStr">
        <is>
          <t>FLETES</t>
        </is>
      </c>
      <c r="K2741" s="232" t="inlineStr">
        <is>
          <t>FLETE FRUTA</t>
        </is>
      </c>
      <c r="L2741" s="232" t="inlineStr">
        <is>
          <t>[PRORRATEO 14.2% 21.0há/148.3há] O/001466 FLETE</t>
        </is>
      </c>
      <c r="M2741" s="232" t="inlineStr"/>
      <c r="N2741" s="232" t="inlineStr">
        <is>
          <t>.   .   -</t>
        </is>
      </c>
      <c r="O2741" s="232" t="inlineStr">
        <is>
          <t>MARZO</t>
        </is>
      </c>
      <c r="P2741" s="232" t="n">
        <v>10</v>
      </c>
      <c r="Q2741" s="234" t="n">
        <v>400142</v>
      </c>
      <c r="R2741" s="232" t="inlineStr"/>
      <c r="S2741" s="234" t="n">
        <v>400142</v>
      </c>
      <c r="T2741" s="232" t="inlineStr">
        <is>
          <t>CLP</t>
        </is>
      </c>
      <c r="U2741" s="232" t="inlineStr">
        <is>
          <t>Prorrateo Ha PACKING</t>
        </is>
      </c>
      <c r="V2741" s="232" t="inlineStr">
        <is>
          <t>2026-06-18</t>
        </is>
      </c>
    </row>
    <row r="2742">
      <c r="A2742" s="232" t="inlineStr">
        <is>
          <t>CR-2739</t>
        </is>
      </c>
      <c r="B2742" s="232" t="inlineStr">
        <is>
          <t>2026/27</t>
        </is>
      </c>
      <c r="C2742" s="233" t="n">
        <v>46092</v>
      </c>
      <c r="D2742" s="232" t="inlineStr">
        <is>
          <t>8418</t>
        </is>
      </c>
      <c r="E2742" s="232" t="inlineStr">
        <is>
          <t>PRORRATEO</t>
        </is>
      </c>
      <c r="F2742" s="232" t="inlineStr">
        <is>
          <t>Santa Catalina</t>
        </is>
      </c>
      <c r="G2742" s="232" t="inlineStr">
        <is>
          <t>cambria 4,2 ha</t>
        </is>
      </c>
      <c r="H2742" s="232" t="inlineStr">
        <is>
          <t>Naranjas</t>
        </is>
      </c>
      <c r="I2742" s="232" t="inlineStr">
        <is>
          <t>Cambria</t>
        </is>
      </c>
      <c r="J2742" s="232" t="inlineStr">
        <is>
          <t>FLETES</t>
        </is>
      </c>
      <c r="K2742" s="232" t="inlineStr">
        <is>
          <t>FLETE FRUTA</t>
        </is>
      </c>
      <c r="L2742" s="232" t="inlineStr">
        <is>
          <t>[PRORRATEO 2.8% 4.2há/148.3há] O/001466 FLETE</t>
        </is>
      </c>
      <c r="M2742" s="232" t="inlineStr"/>
      <c r="N2742" s="232" t="inlineStr">
        <is>
          <t>.   .   -</t>
        </is>
      </c>
      <c r="O2742" s="232" t="inlineStr">
        <is>
          <t>MARZO</t>
        </is>
      </c>
      <c r="P2742" s="232" t="n">
        <v>10</v>
      </c>
      <c r="Q2742" s="234" t="n">
        <v>80028</v>
      </c>
      <c r="R2742" s="232" t="inlineStr"/>
      <c r="S2742" s="234" t="n">
        <v>80028</v>
      </c>
      <c r="T2742" s="232" t="inlineStr">
        <is>
          <t>CLP</t>
        </is>
      </c>
      <c r="U2742" s="232" t="inlineStr">
        <is>
          <t>Prorrateo Ha PACKING</t>
        </is>
      </c>
      <c r="V2742" s="232" t="inlineStr">
        <is>
          <t>2026-06-18</t>
        </is>
      </c>
    </row>
    <row r="2743">
      <c r="A2743" s="232" t="inlineStr">
        <is>
          <t>CR-2740</t>
        </is>
      </c>
      <c r="B2743" s="232" t="inlineStr">
        <is>
          <t>2026/27</t>
        </is>
      </c>
      <c r="C2743" s="233" t="n">
        <v>46092</v>
      </c>
      <c r="D2743" s="232" t="inlineStr">
        <is>
          <t>8418</t>
        </is>
      </c>
      <c r="E2743" s="232" t="inlineStr">
        <is>
          <t>PRORRATEO</t>
        </is>
      </c>
      <c r="F2743" s="232" t="inlineStr">
        <is>
          <t>Santa Catalina</t>
        </is>
      </c>
      <c r="G2743" s="232" t="inlineStr">
        <is>
          <t>eureka 10,6 ha</t>
        </is>
      </c>
      <c r="H2743" s="232" t="inlineStr">
        <is>
          <t>Limon</t>
        </is>
      </c>
      <c r="I2743" s="232" t="inlineStr">
        <is>
          <t>Eureka</t>
        </is>
      </c>
      <c r="J2743" s="232" t="inlineStr">
        <is>
          <t>FLETES</t>
        </is>
      </c>
      <c r="K2743" s="232" t="inlineStr">
        <is>
          <t>FLETE FRUTA</t>
        </is>
      </c>
      <c r="L2743" s="232" t="inlineStr">
        <is>
          <t>[PRORRATEO 7.1% 10.6há/148.3há] O/001466 FLETE</t>
        </is>
      </c>
      <c r="M2743" s="232" t="inlineStr"/>
      <c r="N2743" s="232" t="inlineStr">
        <is>
          <t>.   .   -</t>
        </is>
      </c>
      <c r="O2743" s="232" t="inlineStr">
        <is>
          <t>MARZO</t>
        </is>
      </c>
      <c r="P2743" s="232" t="n">
        <v>10</v>
      </c>
      <c r="Q2743" s="234" t="n">
        <v>201976</v>
      </c>
      <c r="R2743" s="232" t="inlineStr"/>
      <c r="S2743" s="234" t="n">
        <v>201976</v>
      </c>
      <c r="T2743" s="232" t="inlineStr">
        <is>
          <t>CLP</t>
        </is>
      </c>
      <c r="U2743" s="232" t="inlineStr">
        <is>
          <t>Prorrateo Ha PACKING</t>
        </is>
      </c>
      <c r="V2743" s="232" t="inlineStr">
        <is>
          <t>2026-06-18</t>
        </is>
      </c>
    </row>
    <row r="2744">
      <c r="A2744" s="232" t="inlineStr">
        <is>
          <t>CR-2741</t>
        </is>
      </c>
      <c r="B2744" s="232" t="inlineStr">
        <is>
          <t>2026/27</t>
        </is>
      </c>
      <c r="C2744" s="233" t="n">
        <v>46092</v>
      </c>
      <c r="D2744" s="232" t="inlineStr">
        <is>
          <t>8418</t>
        </is>
      </c>
      <c r="E2744" s="232" t="inlineStr">
        <is>
          <t>PRORRATEO</t>
        </is>
      </c>
      <c r="F2744" s="232" t="inlineStr">
        <is>
          <t>Santa Catalina</t>
        </is>
      </c>
      <c r="G2744" s="232" t="inlineStr">
        <is>
          <t>eureka 14,4 ha</t>
        </is>
      </c>
      <c r="H2744" s="232" t="inlineStr">
        <is>
          <t>Limon</t>
        </is>
      </c>
      <c r="I2744" s="232" t="inlineStr">
        <is>
          <t>Eureka</t>
        </is>
      </c>
      <c r="J2744" s="232" t="inlineStr">
        <is>
          <t>FLETES</t>
        </is>
      </c>
      <c r="K2744" s="232" t="inlineStr">
        <is>
          <t>FLETE FRUTA</t>
        </is>
      </c>
      <c r="L2744" s="232" t="inlineStr">
        <is>
          <t>[PRORRATEO 9.7% 14.4há/148.3há] O/001466 FLETE</t>
        </is>
      </c>
      <c r="M2744" s="232" t="inlineStr"/>
      <c r="N2744" s="232" t="inlineStr">
        <is>
          <t>.   .   -</t>
        </is>
      </c>
      <c r="O2744" s="232" t="inlineStr">
        <is>
          <t>MARZO</t>
        </is>
      </c>
      <c r="P2744" s="232" t="n">
        <v>10</v>
      </c>
      <c r="Q2744" s="234" t="n">
        <v>274383</v>
      </c>
      <c r="R2744" s="232" t="inlineStr"/>
      <c r="S2744" s="234" t="n">
        <v>274383</v>
      </c>
      <c r="T2744" s="232" t="inlineStr">
        <is>
          <t>CLP</t>
        </is>
      </c>
      <c r="U2744" s="232" t="inlineStr">
        <is>
          <t>Prorrateo Ha PACKING</t>
        </is>
      </c>
      <c r="V2744" s="232" t="inlineStr">
        <is>
          <t>2026-06-18</t>
        </is>
      </c>
    </row>
    <row r="2745">
      <c r="A2745" s="232" t="inlineStr">
        <is>
          <t>CR-2742</t>
        </is>
      </c>
      <c r="B2745" s="232" t="inlineStr">
        <is>
          <t>2026/27</t>
        </is>
      </c>
      <c r="C2745" s="233" t="n">
        <v>46092</v>
      </c>
      <c r="D2745" s="232" t="inlineStr">
        <is>
          <t>8418</t>
        </is>
      </c>
      <c r="E2745" s="232" t="inlineStr">
        <is>
          <t>PRORRATEO</t>
        </is>
      </c>
      <c r="F2745" s="232" t="inlineStr">
        <is>
          <t>Santa Catalina</t>
        </is>
      </c>
      <c r="G2745" s="232" t="inlineStr">
        <is>
          <t>eureka 22,55</t>
        </is>
      </c>
      <c r="H2745" s="232" t="inlineStr">
        <is>
          <t>Limon</t>
        </is>
      </c>
      <c r="I2745" s="232" t="inlineStr">
        <is>
          <t>Eureka</t>
        </is>
      </c>
      <c r="J2745" s="232" t="inlineStr">
        <is>
          <t>FLETES</t>
        </is>
      </c>
      <c r="K2745" s="232" t="inlineStr">
        <is>
          <t>FLETE FRUTA</t>
        </is>
      </c>
      <c r="L2745" s="232" t="inlineStr">
        <is>
          <t>[PRORRATEO 15.2% 22.55há/148.3há] O/001466 FLETE</t>
        </is>
      </c>
      <c r="M2745" s="232" t="inlineStr"/>
      <c r="N2745" s="232" t="inlineStr">
        <is>
          <t>.   .   -</t>
        </is>
      </c>
      <c r="O2745" s="232" t="inlineStr">
        <is>
          <t>MARZO</t>
        </is>
      </c>
      <c r="P2745" s="232" t="n">
        <v>10</v>
      </c>
      <c r="Q2745" s="234" t="n">
        <v>429676</v>
      </c>
      <c r="R2745" s="232" t="inlineStr"/>
      <c r="S2745" s="234" t="n">
        <v>429676</v>
      </c>
      <c r="T2745" s="232" t="inlineStr">
        <is>
          <t>CLP</t>
        </is>
      </c>
      <c r="U2745" s="232" t="inlineStr">
        <is>
          <t>Prorrateo Ha PACKING</t>
        </is>
      </c>
      <c r="V2745" s="232" t="inlineStr">
        <is>
          <t>2026-06-18</t>
        </is>
      </c>
    </row>
    <row r="2746">
      <c r="A2746" s="232" t="inlineStr">
        <is>
          <t>CR-2743</t>
        </is>
      </c>
      <c r="B2746" s="232" t="inlineStr">
        <is>
          <t>2026/27</t>
        </is>
      </c>
      <c r="C2746" s="233" t="n">
        <v>46092</v>
      </c>
      <c r="D2746" s="232" t="inlineStr">
        <is>
          <t>8418</t>
        </is>
      </c>
      <c r="E2746" s="232" t="inlineStr">
        <is>
          <t>PRORRATEO</t>
        </is>
      </c>
      <c r="F2746" s="232" t="inlineStr">
        <is>
          <t>Santa Catalina</t>
        </is>
      </c>
      <c r="G2746" s="232" t="inlineStr">
        <is>
          <t>form benjamin 1,93 ha</t>
        </is>
      </c>
      <c r="H2746" s="232" t="inlineStr">
        <is>
          <t>Limon</t>
        </is>
      </c>
      <c r="I2746" s="232" t="inlineStr">
        <is>
          <t>Benjamin andes</t>
        </is>
      </c>
      <c r="J2746" s="232" t="inlineStr">
        <is>
          <t>FLETES</t>
        </is>
      </c>
      <c r="K2746" s="232" t="inlineStr">
        <is>
          <t>FLETE FRUTA</t>
        </is>
      </c>
      <c r="L2746" s="232" t="inlineStr">
        <is>
          <t>[PRORRATEO 1.3% 1.93há/148.3há] O/001466 FLETE</t>
        </is>
      </c>
      <c r="M2746" s="232" t="inlineStr"/>
      <c r="N2746" s="232" t="inlineStr">
        <is>
          <t>.   .   -</t>
        </is>
      </c>
      <c r="O2746" s="232" t="inlineStr">
        <is>
          <t>MARZO</t>
        </is>
      </c>
      <c r="P2746" s="232" t="n">
        <v>10</v>
      </c>
      <c r="Q2746" s="234" t="n">
        <v>36775</v>
      </c>
      <c r="R2746" s="232" t="inlineStr"/>
      <c r="S2746" s="234" t="n">
        <v>36775</v>
      </c>
      <c r="T2746" s="232" t="inlineStr">
        <is>
          <t>CLP</t>
        </is>
      </c>
      <c r="U2746" s="232" t="inlineStr">
        <is>
          <t>Prorrateo Ha PACKING</t>
        </is>
      </c>
      <c r="V2746" s="232" t="inlineStr">
        <is>
          <t>2026-06-18</t>
        </is>
      </c>
    </row>
    <row r="2747">
      <c r="A2747" s="232" t="inlineStr">
        <is>
          <t>CR-2744</t>
        </is>
      </c>
      <c r="B2747" s="232" t="inlineStr">
        <is>
          <t>2026/27</t>
        </is>
      </c>
      <c r="C2747" s="233" t="n">
        <v>46092</v>
      </c>
      <c r="D2747" s="232" t="inlineStr">
        <is>
          <t>8418</t>
        </is>
      </c>
      <c r="E2747" s="232" t="inlineStr">
        <is>
          <t>PRORRATEO</t>
        </is>
      </c>
      <c r="F2747" s="232" t="inlineStr">
        <is>
          <t>Santa Catalina</t>
        </is>
      </c>
      <c r="G2747" s="232" t="inlineStr">
        <is>
          <t>mant eureka 2,5 ha</t>
        </is>
      </c>
      <c r="H2747" s="232" t="inlineStr">
        <is>
          <t>Limon</t>
        </is>
      </c>
      <c r="I2747" s="232" t="inlineStr">
        <is>
          <t>Eureka</t>
        </is>
      </c>
      <c r="J2747" s="232" t="inlineStr">
        <is>
          <t>FLETES</t>
        </is>
      </c>
      <c r="K2747" s="232" t="inlineStr">
        <is>
          <t>FLETE FRUTA</t>
        </is>
      </c>
      <c r="L2747" s="232" t="inlineStr">
        <is>
          <t>[PRORRATEO 1.7% 2.5há/148.3há] O/001466 FLETE</t>
        </is>
      </c>
      <c r="M2747" s="232" t="inlineStr"/>
      <c r="N2747" s="232" t="inlineStr">
        <is>
          <t>.   .   -</t>
        </is>
      </c>
      <c r="O2747" s="232" t="inlineStr">
        <is>
          <t>MARZO</t>
        </is>
      </c>
      <c r="P2747" s="232" t="n">
        <v>10</v>
      </c>
      <c r="Q2747" s="234" t="n">
        <v>47636</v>
      </c>
      <c r="R2747" s="232" t="inlineStr"/>
      <c r="S2747" s="234" t="n">
        <v>47636</v>
      </c>
      <c r="T2747" s="232" t="inlineStr">
        <is>
          <t>CLP</t>
        </is>
      </c>
      <c r="U2747" s="232" t="inlineStr">
        <is>
          <t>Prorrateo Ha PACKING</t>
        </is>
      </c>
      <c r="V2747" s="232" t="inlineStr">
        <is>
          <t>2026-06-18</t>
        </is>
      </c>
    </row>
    <row r="2748">
      <c r="A2748" s="232" t="inlineStr">
        <is>
          <t>CR-2745</t>
        </is>
      </c>
      <c r="B2748" s="232" t="inlineStr">
        <is>
          <t>2026/27</t>
        </is>
      </c>
      <c r="C2748" s="233" t="n">
        <v>46092</v>
      </c>
      <c r="D2748" s="232" t="inlineStr">
        <is>
          <t>8418</t>
        </is>
      </c>
      <c r="E2748" s="232" t="inlineStr">
        <is>
          <t>PRORRATEO</t>
        </is>
      </c>
      <c r="F2748" s="232" t="inlineStr">
        <is>
          <t>Siberia</t>
        </is>
      </c>
      <c r="G2748" s="232" t="inlineStr">
        <is>
          <t>S. Celebration 7,14</t>
        </is>
      </c>
      <c r="H2748" s="232" t="inlineStr">
        <is>
          <t>Uvas</t>
        </is>
      </c>
      <c r="I2748" s="232" t="inlineStr">
        <is>
          <t>S. celebration</t>
        </is>
      </c>
      <c r="J2748" s="232" t="inlineStr">
        <is>
          <t>FLETES</t>
        </is>
      </c>
      <c r="K2748" s="232" t="inlineStr">
        <is>
          <t>FLETE FRUTA</t>
        </is>
      </c>
      <c r="L2748" s="232" t="inlineStr">
        <is>
          <t>[PRORRATEO 4.8% 7.14há/148.3há] O/001466 FLETE</t>
        </is>
      </c>
      <c r="M2748" s="232" t="inlineStr"/>
      <c r="N2748" s="232" t="inlineStr">
        <is>
          <t>.   .   -</t>
        </is>
      </c>
      <c r="O2748" s="232" t="inlineStr">
        <is>
          <t>MARZO</t>
        </is>
      </c>
      <c r="P2748" s="232" t="n">
        <v>10</v>
      </c>
      <c r="Q2748" s="234" t="n">
        <v>136048</v>
      </c>
      <c r="R2748" s="232" t="inlineStr"/>
      <c r="S2748" s="234" t="n">
        <v>136048</v>
      </c>
      <c r="T2748" s="232" t="inlineStr">
        <is>
          <t>CLP</t>
        </is>
      </c>
      <c r="U2748" s="232" t="inlineStr">
        <is>
          <t>Prorrateo Ha PACKING</t>
        </is>
      </c>
      <c r="V2748" s="232" t="inlineStr">
        <is>
          <t>2026-06-18</t>
        </is>
      </c>
    </row>
    <row r="2749">
      <c r="A2749" s="232" t="inlineStr">
        <is>
          <t>CR-2746</t>
        </is>
      </c>
      <c r="B2749" s="232" t="inlineStr">
        <is>
          <t>2026/27</t>
        </is>
      </c>
      <c r="C2749" s="233" t="n">
        <v>46092</v>
      </c>
      <c r="D2749" s="232" t="inlineStr">
        <is>
          <t>8418</t>
        </is>
      </c>
      <c r="E2749" s="232" t="inlineStr">
        <is>
          <t>PRORRATEO</t>
        </is>
      </c>
      <c r="F2749" s="232" t="inlineStr">
        <is>
          <t>Siberia</t>
        </is>
      </c>
      <c r="G2749" s="232" t="inlineStr">
        <is>
          <t>Timpson 7,1</t>
        </is>
      </c>
      <c r="H2749" s="232" t="inlineStr">
        <is>
          <t>Uvas</t>
        </is>
      </c>
      <c r="I2749" s="232" t="inlineStr">
        <is>
          <t>Timpson</t>
        </is>
      </c>
      <c r="J2749" s="232" t="inlineStr">
        <is>
          <t>FLETES</t>
        </is>
      </c>
      <c r="K2749" s="232" t="inlineStr">
        <is>
          <t>FLETE FRUTA</t>
        </is>
      </c>
      <c r="L2749" s="232" t="inlineStr">
        <is>
          <t>[PRORRATEO 4.8% 7.1há/148.3há] O/001466 FLETE</t>
        </is>
      </c>
      <c r="M2749" s="232" t="inlineStr"/>
      <c r="N2749" s="232" t="inlineStr">
        <is>
          <t>.   .   -</t>
        </is>
      </c>
      <c r="O2749" s="232" t="inlineStr">
        <is>
          <t>MARZO</t>
        </is>
      </c>
      <c r="P2749" s="232" t="n">
        <v>10</v>
      </c>
      <c r="Q2749" s="234" t="n">
        <v>135286</v>
      </c>
      <c r="R2749" s="232" t="inlineStr"/>
      <c r="S2749" s="234" t="n">
        <v>135286</v>
      </c>
      <c r="T2749" s="232" t="inlineStr">
        <is>
          <t>CLP</t>
        </is>
      </c>
      <c r="U2749" s="232" t="inlineStr">
        <is>
          <t>Prorrateo Ha PACKING</t>
        </is>
      </c>
      <c r="V2749" s="232" t="inlineStr">
        <is>
          <t>2026-06-18</t>
        </is>
      </c>
    </row>
    <row r="2750">
      <c r="A2750" s="232" t="inlineStr">
        <is>
          <t>CR-2747</t>
        </is>
      </c>
      <c r="B2750" s="232" t="inlineStr">
        <is>
          <t>2026/27</t>
        </is>
      </c>
      <c r="C2750" s="233" t="n">
        <v>46092</v>
      </c>
      <c r="D2750" s="232" t="inlineStr">
        <is>
          <t>8418</t>
        </is>
      </c>
      <c r="E2750" s="232" t="inlineStr">
        <is>
          <t>PRORRATEO</t>
        </is>
      </c>
      <c r="F2750" s="232" t="inlineStr">
        <is>
          <t>Asmara</t>
        </is>
      </c>
      <c r="G2750" s="232" t="inlineStr">
        <is>
          <t>w. murcott 19,8 ha</t>
        </is>
      </c>
      <c r="H2750" s="232" t="inlineStr">
        <is>
          <t>Mandarina</t>
        </is>
      </c>
      <c r="I2750" s="232" t="inlineStr">
        <is>
          <t>W. murcott</t>
        </is>
      </c>
      <c r="J2750" s="232" t="inlineStr">
        <is>
          <t>FLETES</t>
        </is>
      </c>
      <c r="K2750" s="232" t="inlineStr">
        <is>
          <t>FLETE TRASLADO MATERIALES</t>
        </is>
      </c>
      <c r="L2750" s="232" t="inlineStr">
        <is>
          <t>[PRORRATEO 13.4% 19.8há/148.3há] O/001466 FLETE</t>
        </is>
      </c>
      <c r="M2750" s="232" t="inlineStr"/>
      <c r="N2750" s="232" t="inlineStr">
        <is>
          <t>.   .   -</t>
        </is>
      </c>
      <c r="O2750" s="232" t="inlineStr">
        <is>
          <t>MARZO</t>
        </is>
      </c>
      <c r="P2750" s="232" t="n">
        <v>10</v>
      </c>
      <c r="Q2750" s="234" t="n">
        <v>21368</v>
      </c>
      <c r="R2750" s="232" t="inlineStr"/>
      <c r="S2750" s="234" t="n">
        <v>21368</v>
      </c>
      <c r="T2750" s="232" t="inlineStr">
        <is>
          <t>CLP</t>
        </is>
      </c>
      <c r="U2750" s="232" t="inlineStr">
        <is>
          <t>Prorrateo Ha PACKING</t>
        </is>
      </c>
      <c r="V2750" s="232" t="inlineStr">
        <is>
          <t>2026-06-18</t>
        </is>
      </c>
    </row>
    <row r="2751">
      <c r="A2751" s="232" t="inlineStr">
        <is>
          <t>CR-2748</t>
        </is>
      </c>
      <c r="B2751" s="232" t="inlineStr">
        <is>
          <t>2026/27</t>
        </is>
      </c>
      <c r="C2751" s="233" t="n">
        <v>46092</v>
      </c>
      <c r="D2751" s="232" t="inlineStr">
        <is>
          <t>8418</t>
        </is>
      </c>
      <c r="E2751" s="232" t="inlineStr">
        <is>
          <t>PRORRATEO</t>
        </is>
      </c>
      <c r="F2751" s="232" t="inlineStr">
        <is>
          <t>Asmara</t>
        </is>
      </c>
      <c r="G2751" s="232" t="inlineStr">
        <is>
          <t>w. murcott 4,9 ha</t>
        </is>
      </c>
      <c r="H2751" s="232" t="inlineStr">
        <is>
          <t>Mandarina</t>
        </is>
      </c>
      <c r="I2751" s="232" t="inlineStr">
        <is>
          <t>W. murcott</t>
        </is>
      </c>
      <c r="J2751" s="232" t="inlineStr">
        <is>
          <t>FLETES</t>
        </is>
      </c>
      <c r="K2751" s="232" t="inlineStr">
        <is>
          <t>FLETE TRASLADO MATERIALES</t>
        </is>
      </c>
      <c r="L2751" s="232" t="inlineStr">
        <is>
          <t>[PRORRATEO 3.3% 4.9há/148.3há] O/001466 FLETE</t>
        </is>
      </c>
      <c r="M2751" s="232" t="inlineStr"/>
      <c r="N2751" s="232" t="inlineStr">
        <is>
          <t>.   .   -</t>
        </is>
      </c>
      <c r="O2751" s="232" t="inlineStr">
        <is>
          <t>MARZO</t>
        </is>
      </c>
      <c r="P2751" s="232" t="n">
        <v>10</v>
      </c>
      <c r="Q2751" s="234" t="n">
        <v>5288</v>
      </c>
      <c r="R2751" s="232" t="inlineStr"/>
      <c r="S2751" s="234" t="n">
        <v>5288</v>
      </c>
      <c r="T2751" s="232" t="inlineStr">
        <is>
          <t>CLP</t>
        </is>
      </c>
      <c r="U2751" s="232" t="inlineStr">
        <is>
          <t>Prorrateo Ha PACKING</t>
        </is>
      </c>
      <c r="V2751" s="232" t="inlineStr">
        <is>
          <t>2026-06-18</t>
        </is>
      </c>
    </row>
    <row r="2752">
      <c r="A2752" s="232" t="inlineStr">
        <is>
          <t>CR-2749</t>
        </is>
      </c>
      <c r="B2752" s="232" t="inlineStr">
        <is>
          <t>2026/27</t>
        </is>
      </c>
      <c r="C2752" s="233" t="n">
        <v>46092</v>
      </c>
      <c r="D2752" s="232" t="inlineStr">
        <is>
          <t>8418</t>
        </is>
      </c>
      <c r="E2752" s="232" t="inlineStr">
        <is>
          <t>PRORRATEO</t>
        </is>
      </c>
      <c r="F2752" s="232" t="inlineStr">
        <is>
          <t>El Molle</t>
        </is>
      </c>
      <c r="G2752" s="232" t="inlineStr">
        <is>
          <t>Wonderful 5,25 ha</t>
        </is>
      </c>
      <c r="H2752" s="232" t="inlineStr">
        <is>
          <t>Granados</t>
        </is>
      </c>
      <c r="I2752" s="232" t="inlineStr">
        <is>
          <t>Wonderfull</t>
        </is>
      </c>
      <c r="J2752" s="232" t="inlineStr">
        <is>
          <t>FLETES</t>
        </is>
      </c>
      <c r="K2752" s="232" t="inlineStr">
        <is>
          <t>FLETE TRASLADO MATERIALES</t>
        </is>
      </c>
      <c r="L2752" s="232" t="inlineStr">
        <is>
          <t>[PRORRATEO 3.5% 5.24há/148.3há] O/001466 FLETE</t>
        </is>
      </c>
      <c r="M2752" s="232" t="inlineStr"/>
      <c r="N2752" s="232" t="inlineStr">
        <is>
          <t>.   .   -</t>
        </is>
      </c>
      <c r="O2752" s="232" t="inlineStr">
        <is>
          <t>MARZO</t>
        </is>
      </c>
      <c r="P2752" s="232" t="n">
        <v>10</v>
      </c>
      <c r="Q2752" s="234" t="n">
        <v>5655</v>
      </c>
      <c r="R2752" s="232" t="inlineStr"/>
      <c r="S2752" s="234" t="n">
        <v>5655</v>
      </c>
      <c r="T2752" s="232" t="inlineStr">
        <is>
          <t>CLP</t>
        </is>
      </c>
      <c r="U2752" s="232" t="inlineStr">
        <is>
          <t>Prorrateo Ha PACKING</t>
        </is>
      </c>
      <c r="V2752" s="232" t="inlineStr">
        <is>
          <t>2026-06-18</t>
        </is>
      </c>
    </row>
    <row r="2753">
      <c r="A2753" s="232" t="inlineStr">
        <is>
          <t>CR-2750</t>
        </is>
      </c>
      <c r="B2753" s="232" t="inlineStr">
        <is>
          <t>2026/27</t>
        </is>
      </c>
      <c r="C2753" s="233" t="n">
        <v>46092</v>
      </c>
      <c r="D2753" s="232" t="inlineStr">
        <is>
          <t>8418</t>
        </is>
      </c>
      <c r="E2753" s="232" t="inlineStr">
        <is>
          <t>PRORRATEO</t>
        </is>
      </c>
      <c r="F2753" s="232" t="inlineStr">
        <is>
          <t>El Molle</t>
        </is>
      </c>
      <c r="G2753" s="232" t="inlineStr">
        <is>
          <t>arrufatinas 5,74 ha</t>
        </is>
      </c>
      <c r="H2753" s="232" t="inlineStr">
        <is>
          <t>Clementinas</t>
        </is>
      </c>
      <c r="I2753" s="232" t="inlineStr">
        <is>
          <t>Arrufatinas</t>
        </is>
      </c>
      <c r="J2753" s="232" t="inlineStr">
        <is>
          <t>FLETES</t>
        </is>
      </c>
      <c r="K2753" s="232" t="inlineStr">
        <is>
          <t>FLETE TRASLADO MATERIALES</t>
        </is>
      </c>
      <c r="L2753" s="232" t="inlineStr">
        <is>
          <t>[PRORRATEO 3.9% 5.74há/148.3há] O/001466 FLETE</t>
        </is>
      </c>
      <c r="M2753" s="232" t="inlineStr"/>
      <c r="N2753" s="232" t="inlineStr">
        <is>
          <t>.   .   -</t>
        </is>
      </c>
      <c r="O2753" s="232" t="inlineStr">
        <is>
          <t>MARZO</t>
        </is>
      </c>
      <c r="P2753" s="232" t="n">
        <v>10</v>
      </c>
      <c r="Q2753" s="234" t="n">
        <v>6195</v>
      </c>
      <c r="R2753" s="232" t="inlineStr"/>
      <c r="S2753" s="234" t="n">
        <v>6195</v>
      </c>
      <c r="T2753" s="232" t="inlineStr">
        <is>
          <t>CLP</t>
        </is>
      </c>
      <c r="U2753" s="232" t="inlineStr">
        <is>
          <t>Prorrateo Ha PACKING</t>
        </is>
      </c>
      <c r="V2753" s="232" t="inlineStr">
        <is>
          <t>2026-06-18</t>
        </is>
      </c>
    </row>
    <row r="2754">
      <c r="A2754" s="232" t="inlineStr">
        <is>
          <t>CR-2751</t>
        </is>
      </c>
      <c r="B2754" s="232" t="inlineStr">
        <is>
          <t>2026/27</t>
        </is>
      </c>
      <c r="C2754" s="233" t="n">
        <v>46092</v>
      </c>
      <c r="D2754" s="232" t="inlineStr">
        <is>
          <t>8418</t>
        </is>
      </c>
      <c r="E2754" s="232" t="inlineStr">
        <is>
          <t>PRORRATEO</t>
        </is>
      </c>
      <c r="F2754" s="232" t="inlineStr">
        <is>
          <t>El Molle</t>
        </is>
      </c>
      <c r="G2754" s="232" t="inlineStr">
        <is>
          <t>orogrande 8,11 ha</t>
        </is>
      </c>
      <c r="H2754" s="232" t="inlineStr">
        <is>
          <t>Clementinas</t>
        </is>
      </c>
      <c r="I2754" s="232" t="inlineStr">
        <is>
          <t>Orogrande</t>
        </is>
      </c>
      <c r="J2754" s="232" t="inlineStr">
        <is>
          <t>FLETES</t>
        </is>
      </c>
      <c r="K2754" s="232" t="inlineStr">
        <is>
          <t>FLETE TRASLADO MATERIALES</t>
        </is>
      </c>
      <c r="L2754" s="232" t="inlineStr">
        <is>
          <t>[PRORRATEO 5.5% 8.11há/148.3há] O/001466 FLETE</t>
        </is>
      </c>
      <c r="M2754" s="232" t="inlineStr"/>
      <c r="N2754" s="232" t="inlineStr">
        <is>
          <t>.   .   -</t>
        </is>
      </c>
      <c r="O2754" s="232" t="inlineStr">
        <is>
          <t>MARZO</t>
        </is>
      </c>
      <c r="P2754" s="232" t="n">
        <v>10</v>
      </c>
      <c r="Q2754" s="234" t="n">
        <v>8752</v>
      </c>
      <c r="R2754" s="232" t="inlineStr"/>
      <c r="S2754" s="234" t="n">
        <v>8752</v>
      </c>
      <c r="T2754" s="232" t="inlineStr">
        <is>
          <t>CLP</t>
        </is>
      </c>
      <c r="U2754" s="232" t="inlineStr">
        <is>
          <t>Prorrateo Ha PACKING</t>
        </is>
      </c>
      <c r="V2754" s="232" t="inlineStr">
        <is>
          <t>2026-06-18</t>
        </is>
      </c>
    </row>
    <row r="2755">
      <c r="A2755" s="232" t="inlineStr">
        <is>
          <t>CR-2752</t>
        </is>
      </c>
      <c r="B2755" s="232" t="inlineStr">
        <is>
          <t>2026/27</t>
        </is>
      </c>
      <c r="C2755" s="233" t="n">
        <v>46092</v>
      </c>
      <c r="D2755" s="232" t="inlineStr">
        <is>
          <t>8418</t>
        </is>
      </c>
      <c r="E2755" s="232" t="inlineStr">
        <is>
          <t>PRORRATEO</t>
        </is>
      </c>
      <c r="F2755" s="232" t="inlineStr">
        <is>
          <t>El Molle</t>
        </is>
      </c>
      <c r="G2755" s="232" t="inlineStr">
        <is>
          <t>oronules 5,35 ha</t>
        </is>
      </c>
      <c r="H2755" s="232" t="inlineStr">
        <is>
          <t>Clementinas</t>
        </is>
      </c>
      <c r="I2755" s="232" t="inlineStr">
        <is>
          <t>Oronules</t>
        </is>
      </c>
      <c r="J2755" s="232" t="inlineStr">
        <is>
          <t>FLETES</t>
        </is>
      </c>
      <c r="K2755" s="232" t="inlineStr">
        <is>
          <t>FLETE TRASLADO MATERIALES</t>
        </is>
      </c>
      <c r="L2755" s="232" t="inlineStr">
        <is>
          <t>[PRORRATEO 3.6% 5.35há/148.3há] O/001466 FLETE</t>
        </is>
      </c>
      <c r="M2755" s="232" t="inlineStr"/>
      <c r="N2755" s="232" t="inlineStr">
        <is>
          <t>.   .   -</t>
        </is>
      </c>
      <c r="O2755" s="232" t="inlineStr">
        <is>
          <t>MARZO</t>
        </is>
      </c>
      <c r="P2755" s="232" t="n">
        <v>10</v>
      </c>
      <c r="Q2755" s="234" t="n">
        <v>5774</v>
      </c>
      <c r="R2755" s="232" t="inlineStr"/>
      <c r="S2755" s="234" t="n">
        <v>5774</v>
      </c>
      <c r="T2755" s="232" t="inlineStr">
        <is>
          <t>CLP</t>
        </is>
      </c>
      <c r="U2755" s="232" t="inlineStr">
        <is>
          <t>Prorrateo Ha PACKING</t>
        </is>
      </c>
      <c r="V2755" s="232" t="inlineStr">
        <is>
          <t>2026-06-18</t>
        </is>
      </c>
    </row>
    <row r="2756">
      <c r="A2756" s="232" t="inlineStr">
        <is>
          <t>CR-2753</t>
        </is>
      </c>
      <c r="B2756" s="232" t="inlineStr">
        <is>
          <t>2026/27</t>
        </is>
      </c>
      <c r="C2756" s="233" t="n">
        <v>46092</v>
      </c>
      <c r="D2756" s="232" t="inlineStr">
        <is>
          <t>8418</t>
        </is>
      </c>
      <c r="E2756" s="232" t="inlineStr">
        <is>
          <t>PRORRATEO</t>
        </is>
      </c>
      <c r="F2756" s="232" t="inlineStr">
        <is>
          <t>Santa Catalina</t>
        </is>
      </c>
      <c r="G2756" s="232" t="inlineStr">
        <is>
          <t>Fino 49 7,7 ha</t>
        </is>
      </c>
      <c r="H2756" s="232" t="inlineStr">
        <is>
          <t>Limon</t>
        </is>
      </c>
      <c r="I2756" s="232" t="inlineStr">
        <is>
          <t>Fino 49</t>
        </is>
      </c>
      <c r="J2756" s="232" t="inlineStr">
        <is>
          <t>FLETES</t>
        </is>
      </c>
      <c r="K2756" s="232" t="inlineStr">
        <is>
          <t>FLETE TRASLADO MATERIALES</t>
        </is>
      </c>
      <c r="L2756" s="232" t="inlineStr">
        <is>
          <t>[PRORRATEO 5.2% 7.7há/148.3há] O/001466 FLETE</t>
        </is>
      </c>
      <c r="M2756" s="232" t="inlineStr"/>
      <c r="N2756" s="232" t="inlineStr">
        <is>
          <t>.   .   -</t>
        </is>
      </c>
      <c r="O2756" s="232" t="inlineStr">
        <is>
          <t>MARZO</t>
        </is>
      </c>
      <c r="P2756" s="232" t="n">
        <v>10</v>
      </c>
      <c r="Q2756" s="234" t="n">
        <v>8310</v>
      </c>
      <c r="R2756" s="232" t="inlineStr"/>
      <c r="S2756" s="234" t="n">
        <v>8310</v>
      </c>
      <c r="T2756" s="232" t="inlineStr">
        <is>
          <t>CLP</t>
        </is>
      </c>
      <c r="U2756" s="232" t="inlineStr">
        <is>
          <t>Prorrateo Ha PACKING</t>
        </is>
      </c>
      <c r="V2756" s="232" t="inlineStr">
        <is>
          <t>2026-06-18</t>
        </is>
      </c>
    </row>
    <row r="2757">
      <c r="A2757" s="232" t="inlineStr">
        <is>
          <t>CR-2754</t>
        </is>
      </c>
      <c r="B2757" s="232" t="inlineStr">
        <is>
          <t>2026/27</t>
        </is>
      </c>
      <c r="C2757" s="233" t="n">
        <v>46092</v>
      </c>
      <c r="D2757" s="232" t="inlineStr">
        <is>
          <t>8418</t>
        </is>
      </c>
      <c r="E2757" s="232" t="inlineStr">
        <is>
          <t>PRORRATEO</t>
        </is>
      </c>
      <c r="F2757" s="232" t="inlineStr">
        <is>
          <t>Santa Catalina</t>
        </is>
      </c>
      <c r="G2757" s="232" t="inlineStr">
        <is>
          <t>W. murcott 21 ha</t>
        </is>
      </c>
      <c r="H2757" s="232" t="inlineStr">
        <is>
          <t>Mandarina</t>
        </is>
      </c>
      <c r="I2757" s="232" t="inlineStr">
        <is>
          <t>W. murcott</t>
        </is>
      </c>
      <c r="J2757" s="232" t="inlineStr">
        <is>
          <t>FLETES</t>
        </is>
      </c>
      <c r="K2757" s="232" t="inlineStr">
        <is>
          <t>FLETE TRASLADO MATERIALES</t>
        </is>
      </c>
      <c r="L2757" s="232" t="inlineStr">
        <is>
          <t>[PRORRATEO 14.2% 21.0há/148.3há] O/001466 FLETE</t>
        </is>
      </c>
      <c r="M2757" s="232" t="inlineStr"/>
      <c r="N2757" s="232" t="inlineStr">
        <is>
          <t>.   .   -</t>
        </is>
      </c>
      <c r="O2757" s="232" t="inlineStr">
        <is>
          <t>MARZO</t>
        </is>
      </c>
      <c r="P2757" s="232" t="n">
        <v>10</v>
      </c>
      <c r="Q2757" s="234" t="n">
        <v>22663</v>
      </c>
      <c r="R2757" s="232" t="inlineStr"/>
      <c r="S2757" s="234" t="n">
        <v>22663</v>
      </c>
      <c r="T2757" s="232" t="inlineStr">
        <is>
          <t>CLP</t>
        </is>
      </c>
      <c r="U2757" s="232" t="inlineStr">
        <is>
          <t>Prorrateo Ha PACKING</t>
        </is>
      </c>
      <c r="V2757" s="232" t="inlineStr">
        <is>
          <t>2026-06-18</t>
        </is>
      </c>
    </row>
    <row r="2758">
      <c r="A2758" s="232" t="inlineStr">
        <is>
          <t>CR-2755</t>
        </is>
      </c>
      <c r="B2758" s="232" t="inlineStr">
        <is>
          <t>2026/27</t>
        </is>
      </c>
      <c r="C2758" s="233" t="n">
        <v>46092</v>
      </c>
      <c r="D2758" s="232" t="inlineStr">
        <is>
          <t>8418</t>
        </is>
      </c>
      <c r="E2758" s="232" t="inlineStr">
        <is>
          <t>PRORRATEO</t>
        </is>
      </c>
      <c r="F2758" s="232" t="inlineStr">
        <is>
          <t>Santa Catalina</t>
        </is>
      </c>
      <c r="G2758" s="232" t="inlineStr">
        <is>
          <t>cambria 4,2 ha</t>
        </is>
      </c>
      <c r="H2758" s="232" t="inlineStr">
        <is>
          <t>Naranjas</t>
        </is>
      </c>
      <c r="I2758" s="232" t="inlineStr">
        <is>
          <t>Cambria</t>
        </is>
      </c>
      <c r="J2758" s="232" t="inlineStr">
        <is>
          <t>FLETES</t>
        </is>
      </c>
      <c r="K2758" s="232" t="inlineStr">
        <is>
          <t>FLETE TRASLADO MATERIALES</t>
        </is>
      </c>
      <c r="L2758" s="232" t="inlineStr">
        <is>
          <t>[PRORRATEO 2.8% 4.2há/148.3há] O/001466 FLETE</t>
        </is>
      </c>
      <c r="M2758" s="232" t="inlineStr"/>
      <c r="N2758" s="232" t="inlineStr">
        <is>
          <t>.   .   -</t>
        </is>
      </c>
      <c r="O2758" s="232" t="inlineStr">
        <is>
          <t>MARZO</t>
        </is>
      </c>
      <c r="P2758" s="232" t="n">
        <v>10</v>
      </c>
      <c r="Q2758" s="234" t="n">
        <v>4533</v>
      </c>
      <c r="R2758" s="232" t="inlineStr"/>
      <c r="S2758" s="234" t="n">
        <v>4533</v>
      </c>
      <c r="T2758" s="232" t="inlineStr">
        <is>
          <t>CLP</t>
        </is>
      </c>
      <c r="U2758" s="232" t="inlineStr">
        <is>
          <t>Prorrateo Ha PACKING</t>
        </is>
      </c>
      <c r="V2758" s="232" t="inlineStr">
        <is>
          <t>2026-06-18</t>
        </is>
      </c>
    </row>
    <row r="2759">
      <c r="A2759" s="232" t="inlineStr">
        <is>
          <t>CR-2756</t>
        </is>
      </c>
      <c r="B2759" s="232" t="inlineStr">
        <is>
          <t>2026/27</t>
        </is>
      </c>
      <c r="C2759" s="233" t="n">
        <v>46092</v>
      </c>
      <c r="D2759" s="232" t="inlineStr">
        <is>
          <t>8418</t>
        </is>
      </c>
      <c r="E2759" s="232" t="inlineStr">
        <is>
          <t>PRORRATEO</t>
        </is>
      </c>
      <c r="F2759" s="232" t="inlineStr">
        <is>
          <t>Santa Catalina</t>
        </is>
      </c>
      <c r="G2759" s="232" t="inlineStr">
        <is>
          <t>eureka 10,6 ha</t>
        </is>
      </c>
      <c r="H2759" s="232" t="inlineStr">
        <is>
          <t>Limon</t>
        </is>
      </c>
      <c r="I2759" s="232" t="inlineStr">
        <is>
          <t>Eureka</t>
        </is>
      </c>
      <c r="J2759" s="232" t="inlineStr">
        <is>
          <t>FLETES</t>
        </is>
      </c>
      <c r="K2759" s="232" t="inlineStr">
        <is>
          <t>FLETE TRASLADO MATERIALES</t>
        </is>
      </c>
      <c r="L2759" s="232" t="inlineStr">
        <is>
          <t>[PRORRATEO 7.1% 10.6há/148.3há] O/001466 FLETE</t>
        </is>
      </c>
      <c r="M2759" s="232" t="inlineStr"/>
      <c r="N2759" s="232" t="inlineStr">
        <is>
          <t>.   .   -</t>
        </is>
      </c>
      <c r="O2759" s="232" t="inlineStr">
        <is>
          <t>MARZO</t>
        </is>
      </c>
      <c r="P2759" s="232" t="n">
        <v>10</v>
      </c>
      <c r="Q2759" s="234" t="n">
        <v>11439</v>
      </c>
      <c r="R2759" s="232" t="inlineStr"/>
      <c r="S2759" s="234" t="n">
        <v>11439</v>
      </c>
      <c r="T2759" s="232" t="inlineStr">
        <is>
          <t>CLP</t>
        </is>
      </c>
      <c r="U2759" s="232" t="inlineStr">
        <is>
          <t>Prorrateo Ha PACKING</t>
        </is>
      </c>
      <c r="V2759" s="232" t="inlineStr">
        <is>
          <t>2026-06-18</t>
        </is>
      </c>
    </row>
    <row r="2760">
      <c r="A2760" s="232" t="inlineStr">
        <is>
          <t>CR-2757</t>
        </is>
      </c>
      <c r="B2760" s="232" t="inlineStr">
        <is>
          <t>2026/27</t>
        </is>
      </c>
      <c r="C2760" s="233" t="n">
        <v>46092</v>
      </c>
      <c r="D2760" s="232" t="inlineStr">
        <is>
          <t>8418</t>
        </is>
      </c>
      <c r="E2760" s="232" t="inlineStr">
        <is>
          <t>PRORRATEO</t>
        </is>
      </c>
      <c r="F2760" s="232" t="inlineStr">
        <is>
          <t>Santa Catalina</t>
        </is>
      </c>
      <c r="G2760" s="232" t="inlineStr">
        <is>
          <t>eureka 14,4 ha</t>
        </is>
      </c>
      <c r="H2760" s="232" t="inlineStr">
        <is>
          <t>Limon</t>
        </is>
      </c>
      <c r="I2760" s="232" t="inlineStr">
        <is>
          <t>Eureka</t>
        </is>
      </c>
      <c r="J2760" s="232" t="inlineStr">
        <is>
          <t>FLETES</t>
        </is>
      </c>
      <c r="K2760" s="232" t="inlineStr">
        <is>
          <t>FLETE TRASLADO MATERIALES</t>
        </is>
      </c>
      <c r="L2760" s="232" t="inlineStr">
        <is>
          <t>[PRORRATEO 9.7% 14.4há/148.3há] O/001466 FLETE</t>
        </is>
      </c>
      <c r="M2760" s="232" t="inlineStr"/>
      <c r="N2760" s="232" t="inlineStr">
        <is>
          <t>.   .   -</t>
        </is>
      </c>
      <c r="O2760" s="232" t="inlineStr">
        <is>
          <t>MARZO</t>
        </is>
      </c>
      <c r="P2760" s="232" t="n">
        <v>10</v>
      </c>
      <c r="Q2760" s="234" t="n">
        <v>15540</v>
      </c>
      <c r="R2760" s="232" t="inlineStr"/>
      <c r="S2760" s="234" t="n">
        <v>15540</v>
      </c>
      <c r="T2760" s="232" t="inlineStr">
        <is>
          <t>CLP</t>
        </is>
      </c>
      <c r="U2760" s="232" t="inlineStr">
        <is>
          <t>Prorrateo Ha PACKING</t>
        </is>
      </c>
      <c r="V2760" s="232" t="inlineStr">
        <is>
          <t>2026-06-18</t>
        </is>
      </c>
    </row>
    <row r="2761">
      <c r="A2761" s="232" t="inlineStr">
        <is>
          <t>CR-2758</t>
        </is>
      </c>
      <c r="B2761" s="232" t="inlineStr">
        <is>
          <t>2026/27</t>
        </is>
      </c>
      <c r="C2761" s="233" t="n">
        <v>46092</v>
      </c>
      <c r="D2761" s="232" t="inlineStr">
        <is>
          <t>8418</t>
        </is>
      </c>
      <c r="E2761" s="232" t="inlineStr">
        <is>
          <t>PRORRATEO</t>
        </is>
      </c>
      <c r="F2761" s="232" t="inlineStr">
        <is>
          <t>Santa Catalina</t>
        </is>
      </c>
      <c r="G2761" s="232" t="inlineStr">
        <is>
          <t>eureka 22,55</t>
        </is>
      </c>
      <c r="H2761" s="232" t="inlineStr">
        <is>
          <t>Limon</t>
        </is>
      </c>
      <c r="I2761" s="232" t="inlineStr">
        <is>
          <t>Eureka</t>
        </is>
      </c>
      <c r="J2761" s="232" t="inlineStr">
        <is>
          <t>FLETES</t>
        </is>
      </c>
      <c r="K2761" s="232" t="inlineStr">
        <is>
          <t>FLETE TRASLADO MATERIALES</t>
        </is>
      </c>
      <c r="L2761" s="232" t="inlineStr">
        <is>
          <t>[PRORRATEO 15.2% 22.55há/148.3há] O/001466 FLETE</t>
        </is>
      </c>
      <c r="M2761" s="232" t="inlineStr"/>
      <c r="N2761" s="232" t="inlineStr">
        <is>
          <t>.   .   -</t>
        </is>
      </c>
      <c r="O2761" s="232" t="inlineStr">
        <is>
          <t>MARZO</t>
        </is>
      </c>
      <c r="P2761" s="232" t="n">
        <v>10</v>
      </c>
      <c r="Q2761" s="234" t="n">
        <v>24336</v>
      </c>
      <c r="R2761" s="232" t="inlineStr"/>
      <c r="S2761" s="234" t="n">
        <v>24336</v>
      </c>
      <c r="T2761" s="232" t="inlineStr">
        <is>
          <t>CLP</t>
        </is>
      </c>
      <c r="U2761" s="232" t="inlineStr">
        <is>
          <t>Prorrateo Ha PACKING</t>
        </is>
      </c>
      <c r="V2761" s="232" t="inlineStr">
        <is>
          <t>2026-06-18</t>
        </is>
      </c>
    </row>
    <row r="2762">
      <c r="A2762" s="232" t="inlineStr">
        <is>
          <t>CR-2759</t>
        </is>
      </c>
      <c r="B2762" s="232" t="inlineStr">
        <is>
          <t>2026/27</t>
        </is>
      </c>
      <c r="C2762" s="233" t="n">
        <v>46092</v>
      </c>
      <c r="D2762" s="232" t="inlineStr">
        <is>
          <t>8418</t>
        </is>
      </c>
      <c r="E2762" s="232" t="inlineStr">
        <is>
          <t>PRORRATEO</t>
        </is>
      </c>
      <c r="F2762" s="232" t="inlineStr">
        <is>
          <t>Santa Catalina</t>
        </is>
      </c>
      <c r="G2762" s="232" t="inlineStr">
        <is>
          <t>form benjamin 1,93 ha</t>
        </is>
      </c>
      <c r="H2762" s="232" t="inlineStr">
        <is>
          <t>Limon</t>
        </is>
      </c>
      <c r="I2762" s="232" t="inlineStr">
        <is>
          <t>Benjamin andes</t>
        </is>
      </c>
      <c r="J2762" s="232" t="inlineStr">
        <is>
          <t>FLETES</t>
        </is>
      </c>
      <c r="K2762" s="232" t="inlineStr">
        <is>
          <t>FLETE TRASLADO MATERIALES</t>
        </is>
      </c>
      <c r="L2762" s="232" t="inlineStr">
        <is>
          <t>[PRORRATEO 1.3% 1.93há/148.3há] O/001466 FLETE</t>
        </is>
      </c>
      <c r="M2762" s="232" t="inlineStr"/>
      <c r="N2762" s="232" t="inlineStr">
        <is>
          <t>.   .   -</t>
        </is>
      </c>
      <c r="O2762" s="232" t="inlineStr">
        <is>
          <t>MARZO</t>
        </is>
      </c>
      <c r="P2762" s="232" t="n">
        <v>10</v>
      </c>
      <c r="Q2762" s="234" t="n">
        <v>2083</v>
      </c>
      <c r="R2762" s="232" t="inlineStr"/>
      <c r="S2762" s="234" t="n">
        <v>2083</v>
      </c>
      <c r="T2762" s="232" t="inlineStr">
        <is>
          <t>CLP</t>
        </is>
      </c>
      <c r="U2762" s="232" t="inlineStr">
        <is>
          <t>Prorrateo Ha PACKING</t>
        </is>
      </c>
      <c r="V2762" s="232" t="inlineStr">
        <is>
          <t>2026-06-18</t>
        </is>
      </c>
    </row>
    <row r="2763">
      <c r="A2763" s="232" t="inlineStr">
        <is>
          <t>CR-2760</t>
        </is>
      </c>
      <c r="B2763" s="232" t="inlineStr">
        <is>
          <t>2026/27</t>
        </is>
      </c>
      <c r="C2763" s="233" t="n">
        <v>46092</v>
      </c>
      <c r="D2763" s="232" t="inlineStr">
        <is>
          <t>8418</t>
        </is>
      </c>
      <c r="E2763" s="232" t="inlineStr">
        <is>
          <t>PRORRATEO</t>
        </is>
      </c>
      <c r="F2763" s="232" t="inlineStr">
        <is>
          <t>Santa Catalina</t>
        </is>
      </c>
      <c r="G2763" s="232" t="inlineStr">
        <is>
          <t>mant eureka 2,5 ha</t>
        </is>
      </c>
      <c r="H2763" s="232" t="inlineStr">
        <is>
          <t>Limon</t>
        </is>
      </c>
      <c r="I2763" s="232" t="inlineStr">
        <is>
          <t>Eureka</t>
        </is>
      </c>
      <c r="J2763" s="232" t="inlineStr">
        <is>
          <t>FLETES</t>
        </is>
      </c>
      <c r="K2763" s="232" t="inlineStr">
        <is>
          <t>FLETE TRASLADO MATERIALES</t>
        </is>
      </c>
      <c r="L2763" s="232" t="inlineStr">
        <is>
          <t>[PRORRATEO 1.7% 2.5há/148.3há] O/001466 FLETE</t>
        </is>
      </c>
      <c r="M2763" s="232" t="inlineStr"/>
      <c r="N2763" s="232" t="inlineStr">
        <is>
          <t>.   .   -</t>
        </is>
      </c>
      <c r="O2763" s="232" t="inlineStr">
        <is>
          <t>MARZO</t>
        </is>
      </c>
      <c r="P2763" s="232" t="n">
        <v>10</v>
      </c>
      <c r="Q2763" s="234" t="n">
        <v>2698</v>
      </c>
      <c r="R2763" s="232" t="inlineStr"/>
      <c r="S2763" s="234" t="n">
        <v>2698</v>
      </c>
      <c r="T2763" s="232" t="inlineStr">
        <is>
          <t>CLP</t>
        </is>
      </c>
      <c r="U2763" s="232" t="inlineStr">
        <is>
          <t>Prorrateo Ha PACKING</t>
        </is>
      </c>
      <c r="V2763" s="232" t="inlineStr">
        <is>
          <t>2026-06-18</t>
        </is>
      </c>
    </row>
    <row r="2764">
      <c r="A2764" s="232" t="inlineStr">
        <is>
          <t>CR-2761</t>
        </is>
      </c>
      <c r="B2764" s="232" t="inlineStr">
        <is>
          <t>2026/27</t>
        </is>
      </c>
      <c r="C2764" s="233" t="n">
        <v>46092</v>
      </c>
      <c r="D2764" s="232" t="inlineStr">
        <is>
          <t>8418</t>
        </is>
      </c>
      <c r="E2764" s="232" t="inlineStr">
        <is>
          <t>PRORRATEO</t>
        </is>
      </c>
      <c r="F2764" s="232" t="inlineStr">
        <is>
          <t>Siberia</t>
        </is>
      </c>
      <c r="G2764" s="232" t="inlineStr">
        <is>
          <t>S. Celebration 7,14</t>
        </is>
      </c>
      <c r="H2764" s="232" t="inlineStr">
        <is>
          <t>Uvas</t>
        </is>
      </c>
      <c r="I2764" s="232" t="inlineStr">
        <is>
          <t>S. celebration</t>
        </is>
      </c>
      <c r="J2764" s="232" t="inlineStr">
        <is>
          <t>FLETES</t>
        </is>
      </c>
      <c r="K2764" s="232" t="inlineStr">
        <is>
          <t>FLETE TRASLADO MATERIALES</t>
        </is>
      </c>
      <c r="L2764" s="232" t="inlineStr">
        <is>
          <t>[PRORRATEO 4.8% 7.14há/148.3há] O/001466 FLETE</t>
        </is>
      </c>
      <c r="M2764" s="232" t="inlineStr"/>
      <c r="N2764" s="232" t="inlineStr">
        <is>
          <t>.   .   -</t>
        </is>
      </c>
      <c r="O2764" s="232" t="inlineStr">
        <is>
          <t>MARZO</t>
        </is>
      </c>
      <c r="P2764" s="232" t="n">
        <v>10</v>
      </c>
      <c r="Q2764" s="234" t="n">
        <v>7705</v>
      </c>
      <c r="R2764" s="232" t="inlineStr"/>
      <c r="S2764" s="234" t="n">
        <v>7705</v>
      </c>
      <c r="T2764" s="232" t="inlineStr">
        <is>
          <t>CLP</t>
        </is>
      </c>
      <c r="U2764" s="232" t="inlineStr">
        <is>
          <t>Prorrateo Ha PACKING</t>
        </is>
      </c>
      <c r="V2764" s="232" t="inlineStr">
        <is>
          <t>2026-06-18</t>
        </is>
      </c>
    </row>
    <row r="2765">
      <c r="A2765" s="232" t="inlineStr">
        <is>
          <t>CR-2762</t>
        </is>
      </c>
      <c r="B2765" s="232" t="inlineStr">
        <is>
          <t>2026/27</t>
        </is>
      </c>
      <c r="C2765" s="233" t="n">
        <v>46092</v>
      </c>
      <c r="D2765" s="232" t="inlineStr">
        <is>
          <t>8418</t>
        </is>
      </c>
      <c r="E2765" s="232" t="inlineStr">
        <is>
          <t>PRORRATEO</t>
        </is>
      </c>
      <c r="F2765" s="232" t="inlineStr">
        <is>
          <t>Siberia</t>
        </is>
      </c>
      <c r="G2765" s="232" t="inlineStr">
        <is>
          <t>Timpson 7,1</t>
        </is>
      </c>
      <c r="H2765" s="232" t="inlineStr">
        <is>
          <t>Uvas</t>
        </is>
      </c>
      <c r="I2765" s="232" t="inlineStr">
        <is>
          <t>Timpson</t>
        </is>
      </c>
      <c r="J2765" s="232" t="inlineStr">
        <is>
          <t>FLETES</t>
        </is>
      </c>
      <c r="K2765" s="232" t="inlineStr">
        <is>
          <t>FLETE TRASLADO MATERIALES</t>
        </is>
      </c>
      <c r="L2765" s="232" t="inlineStr">
        <is>
          <t>[PRORRATEO 4.8% 7.1há/148.3há] O/001466 FLETE</t>
        </is>
      </c>
      <c r="M2765" s="232" t="inlineStr"/>
      <c r="N2765" s="232" t="inlineStr">
        <is>
          <t>.   .   -</t>
        </is>
      </c>
      <c r="O2765" s="232" t="inlineStr">
        <is>
          <t>MARZO</t>
        </is>
      </c>
      <c r="P2765" s="232" t="n">
        <v>10</v>
      </c>
      <c r="Q2765" s="234" t="n">
        <v>7662</v>
      </c>
      <c r="R2765" s="232" t="inlineStr"/>
      <c r="S2765" s="234" t="n">
        <v>7662</v>
      </c>
      <c r="T2765" s="232" t="inlineStr">
        <is>
          <t>CLP</t>
        </is>
      </c>
      <c r="U2765" s="232" t="inlineStr">
        <is>
          <t>Prorrateo Ha PACKING</t>
        </is>
      </c>
      <c r="V2765" s="232" t="inlineStr">
        <is>
          <t>2026-06-18</t>
        </is>
      </c>
    </row>
    <row r="2766">
      <c r="A2766" s="232" t="inlineStr">
        <is>
          <t>CR-2763</t>
        </is>
      </c>
      <c r="B2766" s="232" t="inlineStr">
        <is>
          <t>2026/27</t>
        </is>
      </c>
      <c r="C2766" s="233" t="n">
        <v>46093</v>
      </c>
      <c r="D2766" s="232" t="inlineStr">
        <is>
          <t>162410</t>
        </is>
      </c>
      <c r="E2766" s="232" t="inlineStr">
        <is>
          <t>PRORRATEO</t>
        </is>
      </c>
      <c r="F2766" s="232" t="inlineStr">
        <is>
          <t>Asmara</t>
        </is>
      </c>
      <c r="G2766" s="232" t="inlineStr">
        <is>
          <t>w. murcott 19,8 ha</t>
        </is>
      </c>
      <c r="H2766" s="232" t="inlineStr">
        <is>
          <t>Mandarina</t>
        </is>
      </c>
      <c r="I2766" s="232" t="inlineStr">
        <is>
          <t>W. murcott</t>
        </is>
      </c>
      <c r="J2766" s="232" t="inlineStr">
        <is>
          <t>COMBUSTIBLE</t>
        </is>
      </c>
      <c r="K2766" s="232" t="inlineStr">
        <is>
          <t>SIB. GRUA HORQUILLA ARRIENDO</t>
        </is>
      </c>
      <c r="L2766" s="232" t="inlineStr">
        <is>
          <t>[PRORRATEO 13.4% 19.8há/148.3há] O/001472 GAS ENV. 1</t>
        </is>
      </c>
      <c r="M2766" s="232" t="inlineStr"/>
      <c r="N2766" s="232" t="inlineStr">
        <is>
          <t>.   .   -</t>
        </is>
      </c>
      <c r="O2766" s="232" t="inlineStr">
        <is>
          <t>MARZO</t>
        </is>
      </c>
      <c r="P2766" s="232" t="n">
        <v>10</v>
      </c>
      <c r="Q2766" s="234" t="n">
        <v>8441</v>
      </c>
      <c r="R2766" s="232" t="inlineStr"/>
      <c r="S2766" s="234" t="n">
        <v>8441</v>
      </c>
      <c r="T2766" s="232" t="inlineStr">
        <is>
          <t>CLP</t>
        </is>
      </c>
      <c r="U2766" s="232" t="inlineStr">
        <is>
          <t>Prorrateo Ha PACKING</t>
        </is>
      </c>
      <c r="V2766" s="232" t="inlineStr">
        <is>
          <t>2026-06-18</t>
        </is>
      </c>
    </row>
    <row r="2767">
      <c r="A2767" s="232" t="inlineStr">
        <is>
          <t>CR-2764</t>
        </is>
      </c>
      <c r="B2767" s="232" t="inlineStr">
        <is>
          <t>2026/27</t>
        </is>
      </c>
      <c r="C2767" s="233" t="n">
        <v>46093</v>
      </c>
      <c r="D2767" s="232" t="inlineStr">
        <is>
          <t>162410</t>
        </is>
      </c>
      <c r="E2767" s="232" t="inlineStr">
        <is>
          <t>PRORRATEO</t>
        </is>
      </c>
      <c r="F2767" s="232" t="inlineStr">
        <is>
          <t>Asmara</t>
        </is>
      </c>
      <c r="G2767" s="232" t="inlineStr">
        <is>
          <t>w. murcott 4,9 ha</t>
        </is>
      </c>
      <c r="H2767" s="232" t="inlineStr">
        <is>
          <t>Mandarina</t>
        </is>
      </c>
      <c r="I2767" s="232" t="inlineStr">
        <is>
          <t>W. murcott</t>
        </is>
      </c>
      <c r="J2767" s="232" t="inlineStr">
        <is>
          <t>COMBUSTIBLE</t>
        </is>
      </c>
      <c r="K2767" s="232" t="inlineStr">
        <is>
          <t>SIB. GRUA HORQUILLA ARRIENDO</t>
        </is>
      </c>
      <c r="L2767" s="232" t="inlineStr">
        <is>
          <t>[PRORRATEO 3.3% 4.9há/148.3há] O/001472 GAS ENV. 1</t>
        </is>
      </c>
      <c r="M2767" s="232" t="inlineStr"/>
      <c r="N2767" s="232" t="inlineStr">
        <is>
          <t>.   .   -</t>
        </is>
      </c>
      <c r="O2767" s="232" t="inlineStr">
        <is>
          <t>MARZO</t>
        </is>
      </c>
      <c r="P2767" s="232" t="n">
        <v>10</v>
      </c>
      <c r="Q2767" s="234" t="n">
        <v>2089</v>
      </c>
      <c r="R2767" s="232" t="inlineStr"/>
      <c r="S2767" s="234" t="n">
        <v>2089</v>
      </c>
      <c r="T2767" s="232" t="inlineStr">
        <is>
          <t>CLP</t>
        </is>
      </c>
      <c r="U2767" s="232" t="inlineStr">
        <is>
          <t>Prorrateo Ha PACKING</t>
        </is>
      </c>
      <c r="V2767" s="232" t="inlineStr">
        <is>
          <t>2026-06-18</t>
        </is>
      </c>
    </row>
    <row r="2768">
      <c r="A2768" s="232" t="inlineStr">
        <is>
          <t>CR-2765</t>
        </is>
      </c>
      <c r="B2768" s="232" t="inlineStr">
        <is>
          <t>2026/27</t>
        </is>
      </c>
      <c r="C2768" s="233" t="n">
        <v>46093</v>
      </c>
      <c r="D2768" s="232" t="inlineStr">
        <is>
          <t>162410</t>
        </is>
      </c>
      <c r="E2768" s="232" t="inlineStr">
        <is>
          <t>PRORRATEO</t>
        </is>
      </c>
      <c r="F2768" s="232" t="inlineStr">
        <is>
          <t>El Molle</t>
        </is>
      </c>
      <c r="G2768" s="232" t="inlineStr">
        <is>
          <t>Wonderful 5,25 ha</t>
        </is>
      </c>
      <c r="H2768" s="232" t="inlineStr">
        <is>
          <t>Granados</t>
        </is>
      </c>
      <c r="I2768" s="232" t="inlineStr">
        <is>
          <t>Wonderfull</t>
        </is>
      </c>
      <c r="J2768" s="232" t="inlineStr">
        <is>
          <t>COMBUSTIBLE</t>
        </is>
      </c>
      <c r="K2768" s="232" t="inlineStr">
        <is>
          <t>SIB. GRUA HORQUILLA ARRIENDO</t>
        </is>
      </c>
      <c r="L2768" s="232" t="inlineStr">
        <is>
          <t>[PRORRATEO 3.5% 5.24há/148.3há] O/001472 GAS ENV. 1</t>
        </is>
      </c>
      <c r="M2768" s="232" t="inlineStr"/>
      <c r="N2768" s="232" t="inlineStr">
        <is>
          <t>.   .   -</t>
        </is>
      </c>
      <c r="O2768" s="232" t="inlineStr">
        <is>
          <t>MARZO</t>
        </is>
      </c>
      <c r="P2768" s="232" t="n">
        <v>10</v>
      </c>
      <c r="Q2768" s="234" t="n">
        <v>2234</v>
      </c>
      <c r="R2768" s="232" t="inlineStr"/>
      <c r="S2768" s="234" t="n">
        <v>2234</v>
      </c>
      <c r="T2768" s="232" t="inlineStr">
        <is>
          <t>CLP</t>
        </is>
      </c>
      <c r="U2768" s="232" t="inlineStr">
        <is>
          <t>Prorrateo Ha PACKING</t>
        </is>
      </c>
      <c r="V2768" s="232" t="inlineStr">
        <is>
          <t>2026-06-18</t>
        </is>
      </c>
    </row>
    <row r="2769">
      <c r="A2769" s="232" t="inlineStr">
        <is>
          <t>CR-2766</t>
        </is>
      </c>
      <c r="B2769" s="232" t="inlineStr">
        <is>
          <t>2026/27</t>
        </is>
      </c>
      <c r="C2769" s="233" t="n">
        <v>46093</v>
      </c>
      <c r="D2769" s="232" t="inlineStr">
        <is>
          <t>162410</t>
        </is>
      </c>
      <c r="E2769" s="232" t="inlineStr">
        <is>
          <t>PRORRATEO</t>
        </is>
      </c>
      <c r="F2769" s="232" t="inlineStr">
        <is>
          <t>El Molle</t>
        </is>
      </c>
      <c r="G2769" s="232" t="inlineStr">
        <is>
          <t>arrufatinas 5,74 ha</t>
        </is>
      </c>
      <c r="H2769" s="232" t="inlineStr">
        <is>
          <t>Clementinas</t>
        </is>
      </c>
      <c r="I2769" s="232" t="inlineStr">
        <is>
          <t>Arrufatinas</t>
        </is>
      </c>
      <c r="J2769" s="232" t="inlineStr">
        <is>
          <t>COMBUSTIBLE</t>
        </is>
      </c>
      <c r="K2769" s="232" t="inlineStr">
        <is>
          <t>SIB. GRUA HORQUILLA ARRIENDO</t>
        </is>
      </c>
      <c r="L2769" s="232" t="inlineStr">
        <is>
          <t>[PRORRATEO 3.9% 5.74há/148.3há] O/001472 GAS ENV. 1</t>
        </is>
      </c>
      <c r="M2769" s="232" t="inlineStr"/>
      <c r="N2769" s="232" t="inlineStr">
        <is>
          <t>.   .   -</t>
        </is>
      </c>
      <c r="O2769" s="232" t="inlineStr">
        <is>
          <t>MARZO</t>
        </is>
      </c>
      <c r="P2769" s="232" t="n">
        <v>10</v>
      </c>
      <c r="Q2769" s="234" t="n">
        <v>2447</v>
      </c>
      <c r="R2769" s="232" t="inlineStr"/>
      <c r="S2769" s="234" t="n">
        <v>2447</v>
      </c>
      <c r="T2769" s="232" t="inlineStr">
        <is>
          <t>CLP</t>
        </is>
      </c>
      <c r="U2769" s="232" t="inlineStr">
        <is>
          <t>Prorrateo Ha PACKING</t>
        </is>
      </c>
      <c r="V2769" s="232" t="inlineStr">
        <is>
          <t>2026-06-18</t>
        </is>
      </c>
    </row>
    <row r="2770">
      <c r="A2770" s="232" t="inlineStr">
        <is>
          <t>CR-2767</t>
        </is>
      </c>
      <c r="B2770" s="232" t="inlineStr">
        <is>
          <t>2026/27</t>
        </is>
      </c>
      <c r="C2770" s="233" t="n">
        <v>46093</v>
      </c>
      <c r="D2770" s="232" t="inlineStr">
        <is>
          <t>162410</t>
        </is>
      </c>
      <c r="E2770" s="232" t="inlineStr">
        <is>
          <t>PRORRATEO</t>
        </is>
      </c>
      <c r="F2770" s="232" t="inlineStr">
        <is>
          <t>El Molle</t>
        </is>
      </c>
      <c r="G2770" s="232" t="inlineStr">
        <is>
          <t>orogrande 8,11 ha</t>
        </is>
      </c>
      <c r="H2770" s="232" t="inlineStr">
        <is>
          <t>Clementinas</t>
        </is>
      </c>
      <c r="I2770" s="232" t="inlineStr">
        <is>
          <t>Orogrande</t>
        </is>
      </c>
      <c r="J2770" s="232" t="inlineStr">
        <is>
          <t>COMBUSTIBLE</t>
        </is>
      </c>
      <c r="K2770" s="232" t="inlineStr">
        <is>
          <t>SIB. GRUA HORQUILLA ARRIENDO</t>
        </is>
      </c>
      <c r="L2770" s="232" t="inlineStr">
        <is>
          <t>[PRORRATEO 5.5% 8.11há/148.3há] O/001472 GAS ENV. 1</t>
        </is>
      </c>
      <c r="M2770" s="232" t="inlineStr"/>
      <c r="N2770" s="232" t="inlineStr">
        <is>
          <t>.   .   -</t>
        </is>
      </c>
      <c r="O2770" s="232" t="inlineStr">
        <is>
          <t>MARZO</t>
        </is>
      </c>
      <c r="P2770" s="232" t="n">
        <v>10</v>
      </c>
      <c r="Q2770" s="234" t="n">
        <v>3457</v>
      </c>
      <c r="R2770" s="232" t="inlineStr"/>
      <c r="S2770" s="234" t="n">
        <v>3457</v>
      </c>
      <c r="T2770" s="232" t="inlineStr">
        <is>
          <t>CLP</t>
        </is>
      </c>
      <c r="U2770" s="232" t="inlineStr">
        <is>
          <t>Prorrateo Ha PACKING</t>
        </is>
      </c>
      <c r="V2770" s="232" t="inlineStr">
        <is>
          <t>2026-06-18</t>
        </is>
      </c>
    </row>
    <row r="2771">
      <c r="A2771" s="232" t="inlineStr">
        <is>
          <t>CR-2768</t>
        </is>
      </c>
      <c r="B2771" s="232" t="inlineStr">
        <is>
          <t>2026/27</t>
        </is>
      </c>
      <c r="C2771" s="233" t="n">
        <v>46093</v>
      </c>
      <c r="D2771" s="232" t="inlineStr">
        <is>
          <t>162410</t>
        </is>
      </c>
      <c r="E2771" s="232" t="inlineStr">
        <is>
          <t>PRORRATEO</t>
        </is>
      </c>
      <c r="F2771" s="232" t="inlineStr">
        <is>
          <t>El Molle</t>
        </is>
      </c>
      <c r="G2771" s="232" t="inlineStr">
        <is>
          <t>oronules 5,35 ha</t>
        </is>
      </c>
      <c r="H2771" s="232" t="inlineStr">
        <is>
          <t>Clementinas</t>
        </is>
      </c>
      <c r="I2771" s="232" t="inlineStr">
        <is>
          <t>Oronules</t>
        </is>
      </c>
      <c r="J2771" s="232" t="inlineStr">
        <is>
          <t>COMBUSTIBLE</t>
        </is>
      </c>
      <c r="K2771" s="232" t="inlineStr">
        <is>
          <t>SIB. GRUA HORQUILLA ARRIENDO</t>
        </is>
      </c>
      <c r="L2771" s="232" t="inlineStr">
        <is>
          <t>[PRORRATEO 3.6% 5.35há/148.3há] O/001472 GAS ENV. 1</t>
        </is>
      </c>
      <c r="M2771" s="232" t="inlineStr"/>
      <c r="N2771" s="232" t="inlineStr">
        <is>
          <t>.   .   -</t>
        </is>
      </c>
      <c r="O2771" s="232" t="inlineStr">
        <is>
          <t>MARZO</t>
        </is>
      </c>
      <c r="P2771" s="232" t="n">
        <v>10</v>
      </c>
      <c r="Q2771" s="234" t="n">
        <v>2281</v>
      </c>
      <c r="R2771" s="232" t="inlineStr"/>
      <c r="S2771" s="234" t="n">
        <v>2281</v>
      </c>
      <c r="T2771" s="232" t="inlineStr">
        <is>
          <t>CLP</t>
        </is>
      </c>
      <c r="U2771" s="232" t="inlineStr">
        <is>
          <t>Prorrateo Ha PACKING</t>
        </is>
      </c>
      <c r="V2771" s="232" t="inlineStr">
        <is>
          <t>2026-06-18</t>
        </is>
      </c>
    </row>
    <row r="2772">
      <c r="A2772" s="232" t="inlineStr">
        <is>
          <t>CR-2769</t>
        </is>
      </c>
      <c r="B2772" s="232" t="inlineStr">
        <is>
          <t>2026/27</t>
        </is>
      </c>
      <c r="C2772" s="233" t="n">
        <v>46093</v>
      </c>
      <c r="D2772" s="232" t="inlineStr">
        <is>
          <t>162410</t>
        </is>
      </c>
      <c r="E2772" s="232" t="inlineStr">
        <is>
          <t>PRORRATEO</t>
        </is>
      </c>
      <c r="F2772" s="232" t="inlineStr">
        <is>
          <t>Santa Catalina</t>
        </is>
      </c>
      <c r="G2772" s="232" t="inlineStr">
        <is>
          <t>Fino 49 7,7 ha</t>
        </is>
      </c>
      <c r="H2772" s="232" t="inlineStr">
        <is>
          <t>Limon</t>
        </is>
      </c>
      <c r="I2772" s="232" t="inlineStr">
        <is>
          <t>Fino 49</t>
        </is>
      </c>
      <c r="J2772" s="232" t="inlineStr">
        <is>
          <t>COMBUSTIBLE</t>
        </is>
      </c>
      <c r="K2772" s="232" t="inlineStr">
        <is>
          <t>SIB. GRUA HORQUILLA ARRIENDO</t>
        </is>
      </c>
      <c r="L2772" s="232" t="inlineStr">
        <is>
          <t>[PRORRATEO 5.2% 7.7há/148.3há] O/001472 GAS ENV. 1</t>
        </is>
      </c>
      <c r="M2772" s="232" t="inlineStr"/>
      <c r="N2772" s="232" t="inlineStr">
        <is>
          <t>.   .   -</t>
        </is>
      </c>
      <c r="O2772" s="232" t="inlineStr">
        <is>
          <t>MARZO</t>
        </is>
      </c>
      <c r="P2772" s="232" t="n">
        <v>10</v>
      </c>
      <c r="Q2772" s="234" t="n">
        <v>3283</v>
      </c>
      <c r="R2772" s="232" t="inlineStr"/>
      <c r="S2772" s="234" t="n">
        <v>3283</v>
      </c>
      <c r="T2772" s="232" t="inlineStr">
        <is>
          <t>CLP</t>
        </is>
      </c>
      <c r="U2772" s="232" t="inlineStr">
        <is>
          <t>Prorrateo Ha PACKING</t>
        </is>
      </c>
      <c r="V2772" s="232" t="inlineStr">
        <is>
          <t>2026-06-18</t>
        </is>
      </c>
    </row>
    <row r="2773">
      <c r="A2773" s="232" t="inlineStr">
        <is>
          <t>CR-2770</t>
        </is>
      </c>
      <c r="B2773" s="232" t="inlineStr">
        <is>
          <t>2026/27</t>
        </is>
      </c>
      <c r="C2773" s="233" t="n">
        <v>46093</v>
      </c>
      <c r="D2773" s="232" t="inlineStr">
        <is>
          <t>162410</t>
        </is>
      </c>
      <c r="E2773" s="232" t="inlineStr">
        <is>
          <t>PRORRATEO</t>
        </is>
      </c>
      <c r="F2773" s="232" t="inlineStr">
        <is>
          <t>Santa Catalina</t>
        </is>
      </c>
      <c r="G2773" s="232" t="inlineStr">
        <is>
          <t>W. murcott 21 ha</t>
        </is>
      </c>
      <c r="H2773" s="232" t="inlineStr">
        <is>
          <t>Mandarina</t>
        </is>
      </c>
      <c r="I2773" s="232" t="inlineStr">
        <is>
          <t>W. murcott</t>
        </is>
      </c>
      <c r="J2773" s="232" t="inlineStr">
        <is>
          <t>COMBUSTIBLE</t>
        </is>
      </c>
      <c r="K2773" s="232" t="inlineStr">
        <is>
          <t>SIB. GRUA HORQUILLA ARRIENDO</t>
        </is>
      </c>
      <c r="L2773" s="232" t="inlineStr">
        <is>
          <t>[PRORRATEO 14.2% 21.0há/148.3há] O/001472 GAS ENV. 1</t>
        </is>
      </c>
      <c r="M2773" s="232" t="inlineStr"/>
      <c r="N2773" s="232" t="inlineStr">
        <is>
          <t>.   .   -</t>
        </is>
      </c>
      <c r="O2773" s="232" t="inlineStr">
        <is>
          <t>MARZO</t>
        </is>
      </c>
      <c r="P2773" s="232" t="n">
        <v>10</v>
      </c>
      <c r="Q2773" s="234" t="n">
        <v>8953</v>
      </c>
      <c r="R2773" s="232" t="inlineStr"/>
      <c r="S2773" s="234" t="n">
        <v>8953</v>
      </c>
      <c r="T2773" s="232" t="inlineStr">
        <is>
          <t>CLP</t>
        </is>
      </c>
      <c r="U2773" s="232" t="inlineStr">
        <is>
          <t>Prorrateo Ha PACKING</t>
        </is>
      </c>
      <c r="V2773" s="232" t="inlineStr">
        <is>
          <t>2026-06-18</t>
        </is>
      </c>
    </row>
    <row r="2774">
      <c r="A2774" s="232" t="inlineStr">
        <is>
          <t>CR-2771</t>
        </is>
      </c>
      <c r="B2774" s="232" t="inlineStr">
        <is>
          <t>2026/27</t>
        </is>
      </c>
      <c r="C2774" s="233" t="n">
        <v>46093</v>
      </c>
      <c r="D2774" s="232" t="inlineStr">
        <is>
          <t>162410</t>
        </is>
      </c>
      <c r="E2774" s="232" t="inlineStr">
        <is>
          <t>PRORRATEO</t>
        </is>
      </c>
      <c r="F2774" s="232" t="inlineStr">
        <is>
          <t>Santa Catalina</t>
        </is>
      </c>
      <c r="G2774" s="232" t="inlineStr">
        <is>
          <t>cambria 4,2 ha</t>
        </is>
      </c>
      <c r="H2774" s="232" t="inlineStr">
        <is>
          <t>Naranjas</t>
        </is>
      </c>
      <c r="I2774" s="232" t="inlineStr">
        <is>
          <t>Cambria</t>
        </is>
      </c>
      <c r="J2774" s="232" t="inlineStr">
        <is>
          <t>COMBUSTIBLE</t>
        </is>
      </c>
      <c r="K2774" s="232" t="inlineStr">
        <is>
          <t>SIB. GRUA HORQUILLA ARRIENDO</t>
        </is>
      </c>
      <c r="L2774" s="232" t="inlineStr">
        <is>
          <t>[PRORRATEO 2.8% 4.2há/148.3há] O/001472 GAS ENV. 1</t>
        </is>
      </c>
      <c r="M2774" s="232" t="inlineStr"/>
      <c r="N2774" s="232" t="inlineStr">
        <is>
          <t>.   .   -</t>
        </is>
      </c>
      <c r="O2774" s="232" t="inlineStr">
        <is>
          <t>MARZO</t>
        </is>
      </c>
      <c r="P2774" s="232" t="n">
        <v>10</v>
      </c>
      <c r="Q2774" s="234" t="n">
        <v>1791</v>
      </c>
      <c r="R2774" s="232" t="inlineStr"/>
      <c r="S2774" s="234" t="n">
        <v>1791</v>
      </c>
      <c r="T2774" s="232" t="inlineStr">
        <is>
          <t>CLP</t>
        </is>
      </c>
      <c r="U2774" s="232" t="inlineStr">
        <is>
          <t>Prorrateo Ha PACKING</t>
        </is>
      </c>
      <c r="V2774" s="232" t="inlineStr">
        <is>
          <t>2026-06-18</t>
        </is>
      </c>
    </row>
    <row r="2775">
      <c r="A2775" s="232" t="inlineStr">
        <is>
          <t>CR-2772</t>
        </is>
      </c>
      <c r="B2775" s="232" t="inlineStr">
        <is>
          <t>2026/27</t>
        </is>
      </c>
      <c r="C2775" s="233" t="n">
        <v>46093</v>
      </c>
      <c r="D2775" s="232" t="inlineStr">
        <is>
          <t>162410</t>
        </is>
      </c>
      <c r="E2775" s="232" t="inlineStr">
        <is>
          <t>PRORRATEO</t>
        </is>
      </c>
      <c r="F2775" s="232" t="inlineStr">
        <is>
          <t>Santa Catalina</t>
        </is>
      </c>
      <c r="G2775" s="232" t="inlineStr">
        <is>
          <t>eureka 10,6 ha</t>
        </is>
      </c>
      <c r="H2775" s="232" t="inlineStr">
        <is>
          <t>Limon</t>
        </is>
      </c>
      <c r="I2775" s="232" t="inlineStr">
        <is>
          <t>Eureka</t>
        </is>
      </c>
      <c r="J2775" s="232" t="inlineStr">
        <is>
          <t>COMBUSTIBLE</t>
        </is>
      </c>
      <c r="K2775" s="232" t="inlineStr">
        <is>
          <t>SIB. GRUA HORQUILLA ARRIENDO</t>
        </is>
      </c>
      <c r="L2775" s="232" t="inlineStr">
        <is>
          <t>[PRORRATEO 7.1% 10.6há/148.3há] O/001472 GAS ENV. 1</t>
        </is>
      </c>
      <c r="M2775" s="232" t="inlineStr"/>
      <c r="N2775" s="232" t="inlineStr">
        <is>
          <t>.   .   -</t>
        </is>
      </c>
      <c r="O2775" s="232" t="inlineStr">
        <is>
          <t>MARZO</t>
        </is>
      </c>
      <c r="P2775" s="232" t="n">
        <v>10</v>
      </c>
      <c r="Q2775" s="234" t="n">
        <v>4519</v>
      </c>
      <c r="R2775" s="232" t="inlineStr"/>
      <c r="S2775" s="234" t="n">
        <v>4519</v>
      </c>
      <c r="T2775" s="232" t="inlineStr">
        <is>
          <t>CLP</t>
        </is>
      </c>
      <c r="U2775" s="232" t="inlineStr">
        <is>
          <t>Prorrateo Ha PACKING</t>
        </is>
      </c>
      <c r="V2775" s="232" t="inlineStr">
        <is>
          <t>2026-06-18</t>
        </is>
      </c>
    </row>
    <row r="2776">
      <c r="A2776" s="232" t="inlineStr">
        <is>
          <t>CR-2773</t>
        </is>
      </c>
      <c r="B2776" s="232" t="inlineStr">
        <is>
          <t>2026/27</t>
        </is>
      </c>
      <c r="C2776" s="233" t="n">
        <v>46093</v>
      </c>
      <c r="D2776" s="232" t="inlineStr">
        <is>
          <t>162410</t>
        </is>
      </c>
      <c r="E2776" s="232" t="inlineStr">
        <is>
          <t>PRORRATEO</t>
        </is>
      </c>
      <c r="F2776" s="232" t="inlineStr">
        <is>
          <t>Santa Catalina</t>
        </is>
      </c>
      <c r="G2776" s="232" t="inlineStr">
        <is>
          <t>eureka 14,4 ha</t>
        </is>
      </c>
      <c r="H2776" s="232" t="inlineStr">
        <is>
          <t>Limon</t>
        </is>
      </c>
      <c r="I2776" s="232" t="inlineStr">
        <is>
          <t>Eureka</t>
        </is>
      </c>
      <c r="J2776" s="232" t="inlineStr">
        <is>
          <t>COMBUSTIBLE</t>
        </is>
      </c>
      <c r="K2776" s="232" t="inlineStr">
        <is>
          <t>SIB. GRUA HORQUILLA ARRIENDO</t>
        </is>
      </c>
      <c r="L2776" s="232" t="inlineStr">
        <is>
          <t>[PRORRATEO 9.7% 14.4há/148.3há] O/001472 GAS ENV. 1</t>
        </is>
      </c>
      <c r="M2776" s="232" t="inlineStr"/>
      <c r="N2776" s="232" t="inlineStr">
        <is>
          <t>.   .   -</t>
        </is>
      </c>
      <c r="O2776" s="232" t="inlineStr">
        <is>
          <t>MARZO</t>
        </is>
      </c>
      <c r="P2776" s="232" t="n">
        <v>10</v>
      </c>
      <c r="Q2776" s="234" t="n">
        <v>6139</v>
      </c>
      <c r="R2776" s="232" t="inlineStr"/>
      <c r="S2776" s="234" t="n">
        <v>6139</v>
      </c>
      <c r="T2776" s="232" t="inlineStr">
        <is>
          <t>CLP</t>
        </is>
      </c>
      <c r="U2776" s="232" t="inlineStr">
        <is>
          <t>Prorrateo Ha PACKING</t>
        </is>
      </c>
      <c r="V2776" s="232" t="inlineStr">
        <is>
          <t>2026-06-18</t>
        </is>
      </c>
    </row>
    <row r="2777">
      <c r="A2777" s="232" t="inlineStr">
        <is>
          <t>CR-2774</t>
        </is>
      </c>
      <c r="B2777" s="232" t="inlineStr">
        <is>
          <t>2026/27</t>
        </is>
      </c>
      <c r="C2777" s="233" t="n">
        <v>46093</v>
      </c>
      <c r="D2777" s="232" t="inlineStr">
        <is>
          <t>162410</t>
        </is>
      </c>
      <c r="E2777" s="232" t="inlineStr">
        <is>
          <t>PRORRATEO</t>
        </is>
      </c>
      <c r="F2777" s="232" t="inlineStr">
        <is>
          <t>Santa Catalina</t>
        </is>
      </c>
      <c r="G2777" s="232" t="inlineStr">
        <is>
          <t>eureka 22,55</t>
        </is>
      </c>
      <c r="H2777" s="232" t="inlineStr">
        <is>
          <t>Limon</t>
        </is>
      </c>
      <c r="I2777" s="232" t="inlineStr">
        <is>
          <t>Eureka</t>
        </is>
      </c>
      <c r="J2777" s="232" t="inlineStr">
        <is>
          <t>COMBUSTIBLE</t>
        </is>
      </c>
      <c r="K2777" s="232" t="inlineStr">
        <is>
          <t>SIB. GRUA HORQUILLA ARRIENDO</t>
        </is>
      </c>
      <c r="L2777" s="232" t="inlineStr">
        <is>
          <t>[PRORRATEO 15.2% 22.55há/148.3há] O/001472 GAS ENV. 1</t>
        </is>
      </c>
      <c r="M2777" s="232" t="inlineStr"/>
      <c r="N2777" s="232" t="inlineStr">
        <is>
          <t>.   .   -</t>
        </is>
      </c>
      <c r="O2777" s="232" t="inlineStr">
        <is>
          <t>MARZO</t>
        </is>
      </c>
      <c r="P2777" s="232" t="n">
        <v>10</v>
      </c>
      <c r="Q2777" s="234" t="n">
        <v>9614</v>
      </c>
      <c r="R2777" s="232" t="inlineStr"/>
      <c r="S2777" s="234" t="n">
        <v>9614</v>
      </c>
      <c r="T2777" s="232" t="inlineStr">
        <is>
          <t>CLP</t>
        </is>
      </c>
      <c r="U2777" s="232" t="inlineStr">
        <is>
          <t>Prorrateo Ha PACKING</t>
        </is>
      </c>
      <c r="V2777" s="232" t="inlineStr">
        <is>
          <t>2026-06-18</t>
        </is>
      </c>
    </row>
    <row r="2778">
      <c r="A2778" s="232" t="inlineStr">
        <is>
          <t>CR-2775</t>
        </is>
      </c>
      <c r="B2778" s="232" t="inlineStr">
        <is>
          <t>2026/27</t>
        </is>
      </c>
      <c r="C2778" s="233" t="n">
        <v>46093</v>
      </c>
      <c r="D2778" s="232" t="inlineStr">
        <is>
          <t>162410</t>
        </is>
      </c>
      <c r="E2778" s="232" t="inlineStr">
        <is>
          <t>PRORRATEO</t>
        </is>
      </c>
      <c r="F2778" s="232" t="inlineStr">
        <is>
          <t>Santa Catalina</t>
        </is>
      </c>
      <c r="G2778" s="232" t="inlineStr">
        <is>
          <t>form benjamin 1,93 ha</t>
        </is>
      </c>
      <c r="H2778" s="232" t="inlineStr">
        <is>
          <t>Limon</t>
        </is>
      </c>
      <c r="I2778" s="232" t="inlineStr">
        <is>
          <t>Benjamin andes</t>
        </is>
      </c>
      <c r="J2778" s="232" t="inlineStr">
        <is>
          <t>COMBUSTIBLE</t>
        </is>
      </c>
      <c r="K2778" s="232" t="inlineStr">
        <is>
          <t>SIB. GRUA HORQUILLA ARRIENDO</t>
        </is>
      </c>
      <c r="L2778" s="232" t="inlineStr">
        <is>
          <t>[PRORRATEO 1.3% 1.93há/148.3há] O/001472 GAS ENV. 1</t>
        </is>
      </c>
      <c r="M2778" s="232" t="inlineStr"/>
      <c r="N2778" s="232" t="inlineStr">
        <is>
          <t>.   .   -</t>
        </is>
      </c>
      <c r="O2778" s="232" t="inlineStr">
        <is>
          <t>MARZO</t>
        </is>
      </c>
      <c r="P2778" s="232" t="n">
        <v>10</v>
      </c>
      <c r="Q2778" s="234" t="n">
        <v>823</v>
      </c>
      <c r="R2778" s="232" t="inlineStr"/>
      <c r="S2778" s="234" t="n">
        <v>823</v>
      </c>
      <c r="T2778" s="232" t="inlineStr">
        <is>
          <t>CLP</t>
        </is>
      </c>
      <c r="U2778" s="232" t="inlineStr">
        <is>
          <t>Prorrateo Ha PACKING</t>
        </is>
      </c>
      <c r="V2778" s="232" t="inlineStr">
        <is>
          <t>2026-06-18</t>
        </is>
      </c>
    </row>
    <row r="2779">
      <c r="A2779" s="232" t="inlineStr">
        <is>
          <t>CR-2776</t>
        </is>
      </c>
      <c r="B2779" s="232" t="inlineStr">
        <is>
          <t>2026/27</t>
        </is>
      </c>
      <c r="C2779" s="233" t="n">
        <v>46093</v>
      </c>
      <c r="D2779" s="232" t="inlineStr">
        <is>
          <t>162410</t>
        </is>
      </c>
      <c r="E2779" s="232" t="inlineStr">
        <is>
          <t>PRORRATEO</t>
        </is>
      </c>
      <c r="F2779" s="232" t="inlineStr">
        <is>
          <t>Santa Catalina</t>
        </is>
      </c>
      <c r="G2779" s="232" t="inlineStr">
        <is>
          <t>mant eureka 2,5 ha</t>
        </is>
      </c>
      <c r="H2779" s="232" t="inlineStr">
        <is>
          <t>Limon</t>
        </is>
      </c>
      <c r="I2779" s="232" t="inlineStr">
        <is>
          <t>Eureka</t>
        </is>
      </c>
      <c r="J2779" s="232" t="inlineStr">
        <is>
          <t>COMBUSTIBLE</t>
        </is>
      </c>
      <c r="K2779" s="232" t="inlineStr">
        <is>
          <t>SIB. GRUA HORQUILLA ARRIENDO</t>
        </is>
      </c>
      <c r="L2779" s="232" t="inlineStr">
        <is>
          <t>[PRORRATEO 1.7% 2.5há/148.3há] O/001472 GAS ENV. 1</t>
        </is>
      </c>
      <c r="M2779" s="232" t="inlineStr"/>
      <c r="N2779" s="232" t="inlineStr">
        <is>
          <t>.   .   -</t>
        </is>
      </c>
      <c r="O2779" s="232" t="inlineStr">
        <is>
          <t>MARZO</t>
        </is>
      </c>
      <c r="P2779" s="232" t="n">
        <v>10</v>
      </c>
      <c r="Q2779" s="234" t="n">
        <v>1066</v>
      </c>
      <c r="R2779" s="232" t="inlineStr"/>
      <c r="S2779" s="234" t="n">
        <v>1066</v>
      </c>
      <c r="T2779" s="232" t="inlineStr">
        <is>
          <t>CLP</t>
        </is>
      </c>
      <c r="U2779" s="232" t="inlineStr">
        <is>
          <t>Prorrateo Ha PACKING</t>
        </is>
      </c>
      <c r="V2779" s="232" t="inlineStr">
        <is>
          <t>2026-06-18</t>
        </is>
      </c>
    </row>
    <row r="2780">
      <c r="A2780" s="232" t="inlineStr">
        <is>
          <t>CR-2777</t>
        </is>
      </c>
      <c r="B2780" s="232" t="inlineStr">
        <is>
          <t>2026/27</t>
        </is>
      </c>
      <c r="C2780" s="233" t="n">
        <v>46093</v>
      </c>
      <c r="D2780" s="232" t="inlineStr">
        <is>
          <t>162410</t>
        </is>
      </c>
      <c r="E2780" s="232" t="inlineStr">
        <is>
          <t>PRORRATEO</t>
        </is>
      </c>
      <c r="F2780" s="232" t="inlineStr">
        <is>
          <t>Siberia</t>
        </is>
      </c>
      <c r="G2780" s="232" t="inlineStr">
        <is>
          <t>S. Celebration 7,14</t>
        </is>
      </c>
      <c r="H2780" s="232" t="inlineStr">
        <is>
          <t>Uvas</t>
        </is>
      </c>
      <c r="I2780" s="232" t="inlineStr">
        <is>
          <t>S. celebration</t>
        </is>
      </c>
      <c r="J2780" s="232" t="inlineStr">
        <is>
          <t>COMBUSTIBLE</t>
        </is>
      </c>
      <c r="K2780" s="232" t="inlineStr">
        <is>
          <t>SIB. GRUA HORQUILLA ARRIENDO</t>
        </is>
      </c>
      <c r="L2780" s="232" t="inlineStr">
        <is>
          <t>[PRORRATEO 4.8% 7.14há/148.3há] O/001472 GAS ENV. 1</t>
        </is>
      </c>
      <c r="M2780" s="232" t="inlineStr"/>
      <c r="N2780" s="232" t="inlineStr">
        <is>
          <t>.   .   -</t>
        </is>
      </c>
      <c r="O2780" s="232" t="inlineStr">
        <is>
          <t>MARZO</t>
        </is>
      </c>
      <c r="P2780" s="232" t="n">
        <v>10</v>
      </c>
      <c r="Q2780" s="234" t="n">
        <v>3044</v>
      </c>
      <c r="R2780" s="232" t="inlineStr"/>
      <c r="S2780" s="234" t="n">
        <v>3044</v>
      </c>
      <c r="T2780" s="232" t="inlineStr">
        <is>
          <t>CLP</t>
        </is>
      </c>
      <c r="U2780" s="232" t="inlineStr">
        <is>
          <t>Prorrateo Ha PACKING</t>
        </is>
      </c>
      <c r="V2780" s="232" t="inlineStr">
        <is>
          <t>2026-06-18</t>
        </is>
      </c>
    </row>
    <row r="2781">
      <c r="A2781" s="232" t="inlineStr">
        <is>
          <t>CR-2778</t>
        </is>
      </c>
      <c r="B2781" s="232" t="inlineStr">
        <is>
          <t>2026/27</t>
        </is>
      </c>
      <c r="C2781" s="233" t="n">
        <v>46093</v>
      </c>
      <c r="D2781" s="232" t="inlineStr">
        <is>
          <t>162410</t>
        </is>
      </c>
      <c r="E2781" s="232" t="inlineStr">
        <is>
          <t>PRORRATEO</t>
        </is>
      </c>
      <c r="F2781" s="232" t="inlineStr">
        <is>
          <t>Siberia</t>
        </is>
      </c>
      <c r="G2781" s="232" t="inlineStr">
        <is>
          <t>Timpson 7,1</t>
        </is>
      </c>
      <c r="H2781" s="232" t="inlineStr">
        <is>
          <t>Uvas</t>
        </is>
      </c>
      <c r="I2781" s="232" t="inlineStr">
        <is>
          <t>Timpson</t>
        </is>
      </c>
      <c r="J2781" s="232" t="inlineStr">
        <is>
          <t>COMBUSTIBLE</t>
        </is>
      </c>
      <c r="K2781" s="232" t="inlineStr">
        <is>
          <t>SIB. GRUA HORQUILLA ARRIENDO</t>
        </is>
      </c>
      <c r="L2781" s="232" t="inlineStr">
        <is>
          <t>[PRORRATEO 4.8% 7.1há/148.3há] O/001472 GAS ENV. 1</t>
        </is>
      </c>
      <c r="M2781" s="232" t="inlineStr"/>
      <c r="N2781" s="232" t="inlineStr">
        <is>
          <t>.   .   -</t>
        </is>
      </c>
      <c r="O2781" s="232" t="inlineStr">
        <is>
          <t>MARZO</t>
        </is>
      </c>
      <c r="P2781" s="232" t="n">
        <v>10</v>
      </c>
      <c r="Q2781" s="234" t="n">
        <v>3027</v>
      </c>
      <c r="R2781" s="232" t="inlineStr"/>
      <c r="S2781" s="234" t="n">
        <v>3027</v>
      </c>
      <c r="T2781" s="232" t="inlineStr">
        <is>
          <t>CLP</t>
        </is>
      </c>
      <c r="U2781" s="232" t="inlineStr">
        <is>
          <t>Prorrateo Ha PACKING</t>
        </is>
      </c>
      <c r="V2781" s="232" t="inlineStr">
        <is>
          <t>2026-06-18</t>
        </is>
      </c>
    </row>
    <row r="2782">
      <c r="A2782" s="232" t="inlineStr">
        <is>
          <t>CR-2779</t>
        </is>
      </c>
      <c r="B2782" s="232" t="inlineStr">
        <is>
          <t>2026/27</t>
        </is>
      </c>
      <c r="C2782" s="233" t="n">
        <v>46097</v>
      </c>
      <c r="D2782" s="232" t="inlineStr">
        <is>
          <t>268</t>
        </is>
      </c>
      <c r="E2782" s="232" t="inlineStr">
        <is>
          <t>PRORRATEO</t>
        </is>
      </c>
      <c r="F2782" s="232" t="inlineStr">
        <is>
          <t>Asmara</t>
        </is>
      </c>
      <c r="G2782" s="232" t="inlineStr">
        <is>
          <t>w. murcott 19,8 ha</t>
        </is>
      </c>
      <c r="H2782" s="232" t="inlineStr">
        <is>
          <t>Mandarina</t>
        </is>
      </c>
      <c r="I2782" s="232" t="inlineStr">
        <is>
          <t>W. murcott</t>
        </is>
      </c>
      <c r="J2782" s="232" t="inlineStr">
        <is>
          <t>LABORES OPERACIONALES</t>
        </is>
      </c>
      <c r="K2782" s="232" t="inlineStr">
        <is>
          <t>OTROS SERVICIOS</t>
        </is>
      </c>
      <c r="L2782" s="232" t="inlineStr">
        <is>
          <t>[PRORRATEO 13.4% 19.8há/148.3há] SERV.CONTRATISTA</t>
        </is>
      </c>
      <c r="M2782" s="232" t="inlineStr"/>
      <c r="N2782" s="232" t="inlineStr">
        <is>
          <t>.   .   -</t>
        </is>
      </c>
      <c r="O2782" s="232" t="inlineStr">
        <is>
          <t>MARZO</t>
        </is>
      </c>
      <c r="P2782" s="232" t="n">
        <v>11</v>
      </c>
      <c r="Q2782" s="234" t="n">
        <v>170480</v>
      </c>
      <c r="R2782" s="232" t="inlineStr"/>
      <c r="S2782" s="234" t="n">
        <v>170480</v>
      </c>
      <c r="T2782" s="232" t="inlineStr">
        <is>
          <t>CLP</t>
        </is>
      </c>
      <c r="U2782" s="232" t="inlineStr">
        <is>
          <t>Prorrateo Ha PACKING</t>
        </is>
      </c>
      <c r="V2782" s="232" t="inlineStr">
        <is>
          <t>2026-06-18</t>
        </is>
      </c>
    </row>
    <row r="2783">
      <c r="A2783" s="232" t="inlineStr">
        <is>
          <t>CR-2780</t>
        </is>
      </c>
      <c r="B2783" s="232" t="inlineStr">
        <is>
          <t>2026/27</t>
        </is>
      </c>
      <c r="C2783" s="233" t="n">
        <v>46097</v>
      </c>
      <c r="D2783" s="232" t="inlineStr">
        <is>
          <t>268</t>
        </is>
      </c>
      <c r="E2783" s="232" t="inlineStr">
        <is>
          <t>PRORRATEO</t>
        </is>
      </c>
      <c r="F2783" s="232" t="inlineStr">
        <is>
          <t>Asmara</t>
        </is>
      </c>
      <c r="G2783" s="232" t="inlineStr">
        <is>
          <t>w. murcott 4,9 ha</t>
        </is>
      </c>
      <c r="H2783" s="232" t="inlineStr">
        <is>
          <t>Mandarina</t>
        </is>
      </c>
      <c r="I2783" s="232" t="inlineStr">
        <is>
          <t>W. murcott</t>
        </is>
      </c>
      <c r="J2783" s="232" t="inlineStr">
        <is>
          <t>LABORES OPERACIONALES</t>
        </is>
      </c>
      <c r="K2783" s="232" t="inlineStr">
        <is>
          <t>OTROS SERVICIOS</t>
        </is>
      </c>
      <c r="L2783" s="232" t="inlineStr">
        <is>
          <t>[PRORRATEO 3.3% 4.9há/148.3há] SERV.CONTRATISTA</t>
        </is>
      </c>
      <c r="M2783" s="232" t="inlineStr"/>
      <c r="N2783" s="232" t="inlineStr">
        <is>
          <t>.   .   -</t>
        </is>
      </c>
      <c r="O2783" s="232" t="inlineStr">
        <is>
          <t>MARZO</t>
        </is>
      </c>
      <c r="P2783" s="232" t="n">
        <v>11</v>
      </c>
      <c r="Q2783" s="234" t="n">
        <v>42189</v>
      </c>
      <c r="R2783" s="232" t="inlineStr"/>
      <c r="S2783" s="234" t="n">
        <v>42189</v>
      </c>
      <c r="T2783" s="232" t="inlineStr">
        <is>
          <t>CLP</t>
        </is>
      </c>
      <c r="U2783" s="232" t="inlineStr">
        <is>
          <t>Prorrateo Ha PACKING</t>
        </is>
      </c>
      <c r="V2783" s="232" t="inlineStr">
        <is>
          <t>2026-06-18</t>
        </is>
      </c>
    </row>
    <row r="2784">
      <c r="A2784" s="232" t="inlineStr">
        <is>
          <t>CR-2781</t>
        </is>
      </c>
      <c r="B2784" s="232" t="inlineStr">
        <is>
          <t>2026/27</t>
        </is>
      </c>
      <c r="C2784" s="233" t="n">
        <v>46097</v>
      </c>
      <c r="D2784" s="232" t="inlineStr">
        <is>
          <t>268</t>
        </is>
      </c>
      <c r="E2784" s="232" t="inlineStr">
        <is>
          <t>PRORRATEO</t>
        </is>
      </c>
      <c r="F2784" s="232" t="inlineStr">
        <is>
          <t>El Molle</t>
        </is>
      </c>
      <c r="G2784" s="232" t="inlineStr">
        <is>
          <t>Wonderful 5,25 ha</t>
        </is>
      </c>
      <c r="H2784" s="232" t="inlineStr">
        <is>
          <t>Granados</t>
        </is>
      </c>
      <c r="I2784" s="232" t="inlineStr">
        <is>
          <t>Wonderfull</t>
        </is>
      </c>
      <c r="J2784" s="232" t="inlineStr">
        <is>
          <t>LABORES OPERACIONALES</t>
        </is>
      </c>
      <c r="K2784" s="232" t="inlineStr">
        <is>
          <t>OTROS SERVICIOS</t>
        </is>
      </c>
      <c r="L2784" s="232" t="inlineStr">
        <is>
          <t>[PRORRATEO 3.5% 5.24há/148.3há] SERV.CONTRATISTA</t>
        </is>
      </c>
      <c r="M2784" s="232" t="inlineStr"/>
      <c r="N2784" s="232" t="inlineStr">
        <is>
          <t>.   .   -</t>
        </is>
      </c>
      <c r="O2784" s="232" t="inlineStr">
        <is>
          <t>MARZO</t>
        </is>
      </c>
      <c r="P2784" s="232" t="n">
        <v>11</v>
      </c>
      <c r="Q2784" s="234" t="n">
        <v>45117</v>
      </c>
      <c r="R2784" s="232" t="inlineStr"/>
      <c r="S2784" s="234" t="n">
        <v>45117</v>
      </c>
      <c r="T2784" s="232" t="inlineStr">
        <is>
          <t>CLP</t>
        </is>
      </c>
      <c r="U2784" s="232" t="inlineStr">
        <is>
          <t>Prorrateo Ha PACKING</t>
        </is>
      </c>
      <c r="V2784" s="232" t="inlineStr">
        <is>
          <t>2026-06-18</t>
        </is>
      </c>
    </row>
    <row r="2785">
      <c r="A2785" s="232" t="inlineStr">
        <is>
          <t>CR-2782</t>
        </is>
      </c>
      <c r="B2785" s="232" t="inlineStr">
        <is>
          <t>2026/27</t>
        </is>
      </c>
      <c r="C2785" s="233" t="n">
        <v>46097</v>
      </c>
      <c r="D2785" s="232" t="inlineStr">
        <is>
          <t>268</t>
        </is>
      </c>
      <c r="E2785" s="232" t="inlineStr">
        <is>
          <t>PRORRATEO</t>
        </is>
      </c>
      <c r="F2785" s="232" t="inlineStr">
        <is>
          <t>El Molle</t>
        </is>
      </c>
      <c r="G2785" s="232" t="inlineStr">
        <is>
          <t>arrufatinas 5,74 ha</t>
        </is>
      </c>
      <c r="H2785" s="232" t="inlineStr">
        <is>
          <t>Clementinas</t>
        </is>
      </c>
      <c r="I2785" s="232" t="inlineStr">
        <is>
          <t>Arrufatinas</t>
        </is>
      </c>
      <c r="J2785" s="232" t="inlineStr">
        <is>
          <t>LABORES OPERACIONALES</t>
        </is>
      </c>
      <c r="K2785" s="232" t="inlineStr">
        <is>
          <t>OTROS SERVICIOS</t>
        </is>
      </c>
      <c r="L2785" s="232" t="inlineStr">
        <is>
          <t>[PRORRATEO 3.9% 5.74há/148.3há] SERV.CONTRATISTA</t>
        </is>
      </c>
      <c r="M2785" s="232" t="inlineStr"/>
      <c r="N2785" s="232" t="inlineStr">
        <is>
          <t>.   .   -</t>
        </is>
      </c>
      <c r="O2785" s="232" t="inlineStr">
        <is>
          <t>MARZO</t>
        </is>
      </c>
      <c r="P2785" s="232" t="n">
        <v>11</v>
      </c>
      <c r="Q2785" s="234" t="n">
        <v>49422</v>
      </c>
      <c r="R2785" s="232" t="inlineStr"/>
      <c r="S2785" s="234" t="n">
        <v>49422</v>
      </c>
      <c r="T2785" s="232" t="inlineStr">
        <is>
          <t>CLP</t>
        </is>
      </c>
      <c r="U2785" s="232" t="inlineStr">
        <is>
          <t>Prorrateo Ha PACKING</t>
        </is>
      </c>
      <c r="V2785" s="232" t="inlineStr">
        <is>
          <t>2026-06-18</t>
        </is>
      </c>
    </row>
    <row r="2786">
      <c r="A2786" s="232" t="inlineStr">
        <is>
          <t>CR-2783</t>
        </is>
      </c>
      <c r="B2786" s="232" t="inlineStr">
        <is>
          <t>2026/27</t>
        </is>
      </c>
      <c r="C2786" s="233" t="n">
        <v>46097</v>
      </c>
      <c r="D2786" s="232" t="inlineStr">
        <is>
          <t>268</t>
        </is>
      </c>
      <c r="E2786" s="232" t="inlineStr">
        <is>
          <t>PRORRATEO</t>
        </is>
      </c>
      <c r="F2786" s="232" t="inlineStr">
        <is>
          <t>El Molle</t>
        </is>
      </c>
      <c r="G2786" s="232" t="inlineStr">
        <is>
          <t>orogrande 8,11 ha</t>
        </is>
      </c>
      <c r="H2786" s="232" t="inlineStr">
        <is>
          <t>Clementinas</t>
        </is>
      </c>
      <c r="I2786" s="232" t="inlineStr">
        <is>
          <t>Orogrande</t>
        </is>
      </c>
      <c r="J2786" s="232" t="inlineStr">
        <is>
          <t>LABORES OPERACIONALES</t>
        </is>
      </c>
      <c r="K2786" s="232" t="inlineStr">
        <is>
          <t>OTROS SERVICIOS</t>
        </is>
      </c>
      <c r="L2786" s="232" t="inlineStr">
        <is>
          <t>[PRORRATEO 5.5% 8.11há/148.3há] SERV.CONTRATISTA</t>
        </is>
      </c>
      <c r="M2786" s="232" t="inlineStr"/>
      <c r="N2786" s="232" t="inlineStr">
        <is>
          <t>.   .   -</t>
        </is>
      </c>
      <c r="O2786" s="232" t="inlineStr">
        <is>
          <t>MARZO</t>
        </is>
      </c>
      <c r="P2786" s="232" t="n">
        <v>11</v>
      </c>
      <c r="Q2786" s="234" t="n">
        <v>69828</v>
      </c>
      <c r="R2786" s="232" t="inlineStr"/>
      <c r="S2786" s="234" t="n">
        <v>69828</v>
      </c>
      <c r="T2786" s="232" t="inlineStr">
        <is>
          <t>CLP</t>
        </is>
      </c>
      <c r="U2786" s="232" t="inlineStr">
        <is>
          <t>Prorrateo Ha PACKING</t>
        </is>
      </c>
      <c r="V2786" s="232" t="inlineStr">
        <is>
          <t>2026-06-18</t>
        </is>
      </c>
    </row>
    <row r="2787">
      <c r="A2787" s="232" t="inlineStr">
        <is>
          <t>CR-2784</t>
        </is>
      </c>
      <c r="B2787" s="232" t="inlineStr">
        <is>
          <t>2026/27</t>
        </is>
      </c>
      <c r="C2787" s="233" t="n">
        <v>46097</v>
      </c>
      <c r="D2787" s="232" t="inlineStr">
        <is>
          <t>268</t>
        </is>
      </c>
      <c r="E2787" s="232" t="inlineStr">
        <is>
          <t>PRORRATEO</t>
        </is>
      </c>
      <c r="F2787" s="232" t="inlineStr">
        <is>
          <t>El Molle</t>
        </is>
      </c>
      <c r="G2787" s="232" t="inlineStr">
        <is>
          <t>oronules 5,35 ha</t>
        </is>
      </c>
      <c r="H2787" s="232" t="inlineStr">
        <is>
          <t>Clementinas</t>
        </is>
      </c>
      <c r="I2787" s="232" t="inlineStr">
        <is>
          <t>Oronules</t>
        </is>
      </c>
      <c r="J2787" s="232" t="inlineStr">
        <is>
          <t>LABORES OPERACIONALES</t>
        </is>
      </c>
      <c r="K2787" s="232" t="inlineStr">
        <is>
          <t>OTROS SERVICIOS</t>
        </is>
      </c>
      <c r="L2787" s="232" t="inlineStr">
        <is>
          <t>[PRORRATEO 3.6% 5.35há/148.3há] SERV.CONTRATISTA</t>
        </is>
      </c>
      <c r="M2787" s="232" t="inlineStr"/>
      <c r="N2787" s="232" t="inlineStr">
        <is>
          <t>.   .   -</t>
        </is>
      </c>
      <c r="O2787" s="232" t="inlineStr">
        <is>
          <t>MARZO</t>
        </is>
      </c>
      <c r="P2787" s="232" t="n">
        <v>11</v>
      </c>
      <c r="Q2787" s="234" t="n">
        <v>46064</v>
      </c>
      <c r="R2787" s="232" t="inlineStr"/>
      <c r="S2787" s="234" t="n">
        <v>46064</v>
      </c>
      <c r="T2787" s="232" t="inlineStr">
        <is>
          <t>CLP</t>
        </is>
      </c>
      <c r="U2787" s="232" t="inlineStr">
        <is>
          <t>Prorrateo Ha PACKING</t>
        </is>
      </c>
      <c r="V2787" s="232" t="inlineStr">
        <is>
          <t>2026-06-18</t>
        </is>
      </c>
    </row>
    <row r="2788">
      <c r="A2788" s="232" t="inlineStr">
        <is>
          <t>CR-2785</t>
        </is>
      </c>
      <c r="B2788" s="232" t="inlineStr">
        <is>
          <t>2026/27</t>
        </is>
      </c>
      <c r="C2788" s="233" t="n">
        <v>46097</v>
      </c>
      <c r="D2788" s="232" t="inlineStr">
        <is>
          <t>268</t>
        </is>
      </c>
      <c r="E2788" s="232" t="inlineStr">
        <is>
          <t>PRORRATEO</t>
        </is>
      </c>
      <c r="F2788" s="232" t="inlineStr">
        <is>
          <t>Santa Catalina</t>
        </is>
      </c>
      <c r="G2788" s="232" t="inlineStr">
        <is>
          <t>Fino 49 7,7 ha</t>
        </is>
      </c>
      <c r="H2788" s="232" t="inlineStr">
        <is>
          <t>Limon</t>
        </is>
      </c>
      <c r="I2788" s="232" t="inlineStr">
        <is>
          <t>Fino 49</t>
        </is>
      </c>
      <c r="J2788" s="232" t="inlineStr">
        <is>
          <t>LABORES OPERACIONALES</t>
        </is>
      </c>
      <c r="K2788" s="232" t="inlineStr">
        <is>
          <t>OTROS SERVICIOS</t>
        </is>
      </c>
      <c r="L2788" s="232" t="inlineStr">
        <is>
          <t>[PRORRATEO 5.2% 7.7há/148.3há] SERV.CONTRATISTA</t>
        </is>
      </c>
      <c r="M2788" s="232" t="inlineStr"/>
      <c r="N2788" s="232" t="inlineStr">
        <is>
          <t>.   .   -</t>
        </is>
      </c>
      <c r="O2788" s="232" t="inlineStr">
        <is>
          <t>MARZO</t>
        </is>
      </c>
      <c r="P2788" s="232" t="n">
        <v>11</v>
      </c>
      <c r="Q2788" s="234" t="n">
        <v>66298</v>
      </c>
      <c r="R2788" s="232" t="inlineStr"/>
      <c r="S2788" s="234" t="n">
        <v>66298</v>
      </c>
      <c r="T2788" s="232" t="inlineStr">
        <is>
          <t>CLP</t>
        </is>
      </c>
      <c r="U2788" s="232" t="inlineStr">
        <is>
          <t>Prorrateo Ha PACKING</t>
        </is>
      </c>
      <c r="V2788" s="232" t="inlineStr">
        <is>
          <t>2026-06-18</t>
        </is>
      </c>
    </row>
    <row r="2789">
      <c r="A2789" s="232" t="inlineStr">
        <is>
          <t>CR-2786</t>
        </is>
      </c>
      <c r="B2789" s="232" t="inlineStr">
        <is>
          <t>2026/27</t>
        </is>
      </c>
      <c r="C2789" s="233" t="n">
        <v>46097</v>
      </c>
      <c r="D2789" s="232" t="inlineStr">
        <is>
          <t>268</t>
        </is>
      </c>
      <c r="E2789" s="232" t="inlineStr">
        <is>
          <t>PRORRATEO</t>
        </is>
      </c>
      <c r="F2789" s="232" t="inlineStr">
        <is>
          <t>Santa Catalina</t>
        </is>
      </c>
      <c r="G2789" s="232" t="inlineStr">
        <is>
          <t>W. murcott 21 ha</t>
        </is>
      </c>
      <c r="H2789" s="232" t="inlineStr">
        <is>
          <t>Mandarina</t>
        </is>
      </c>
      <c r="I2789" s="232" t="inlineStr">
        <is>
          <t>W. murcott</t>
        </is>
      </c>
      <c r="J2789" s="232" t="inlineStr">
        <is>
          <t>LABORES OPERACIONALES</t>
        </is>
      </c>
      <c r="K2789" s="232" t="inlineStr">
        <is>
          <t>OTROS SERVICIOS</t>
        </is>
      </c>
      <c r="L2789" s="232" t="inlineStr">
        <is>
          <t>[PRORRATEO 14.2% 21.0há/148.3há] SERV.CONTRATISTA</t>
        </is>
      </c>
      <c r="M2789" s="232" t="inlineStr"/>
      <c r="N2789" s="232" t="inlineStr">
        <is>
          <t>.   .   -</t>
        </is>
      </c>
      <c r="O2789" s="232" t="inlineStr">
        <is>
          <t>MARZO</t>
        </is>
      </c>
      <c r="P2789" s="232" t="n">
        <v>11</v>
      </c>
      <c r="Q2789" s="234" t="n">
        <v>180812</v>
      </c>
      <c r="R2789" s="232" t="inlineStr"/>
      <c r="S2789" s="234" t="n">
        <v>180812</v>
      </c>
      <c r="T2789" s="232" t="inlineStr">
        <is>
          <t>CLP</t>
        </is>
      </c>
      <c r="U2789" s="232" t="inlineStr">
        <is>
          <t>Prorrateo Ha PACKING</t>
        </is>
      </c>
      <c r="V2789" s="232" t="inlineStr">
        <is>
          <t>2026-06-18</t>
        </is>
      </c>
    </row>
    <row r="2790">
      <c r="A2790" s="232" t="inlineStr">
        <is>
          <t>CR-2787</t>
        </is>
      </c>
      <c r="B2790" s="232" t="inlineStr">
        <is>
          <t>2026/27</t>
        </is>
      </c>
      <c r="C2790" s="233" t="n">
        <v>46097</v>
      </c>
      <c r="D2790" s="232" t="inlineStr">
        <is>
          <t>268</t>
        </is>
      </c>
      <c r="E2790" s="232" t="inlineStr">
        <is>
          <t>PRORRATEO</t>
        </is>
      </c>
      <c r="F2790" s="232" t="inlineStr">
        <is>
          <t>Santa Catalina</t>
        </is>
      </c>
      <c r="G2790" s="232" t="inlineStr">
        <is>
          <t>cambria 4,2 ha</t>
        </is>
      </c>
      <c r="H2790" s="232" t="inlineStr">
        <is>
          <t>Naranjas</t>
        </is>
      </c>
      <c r="I2790" s="232" t="inlineStr">
        <is>
          <t>Cambria</t>
        </is>
      </c>
      <c r="J2790" s="232" t="inlineStr">
        <is>
          <t>LABORES OPERACIONALES</t>
        </is>
      </c>
      <c r="K2790" s="232" t="inlineStr">
        <is>
          <t>OTROS SERVICIOS</t>
        </is>
      </c>
      <c r="L2790" s="232" t="inlineStr">
        <is>
          <t>[PRORRATEO 2.8% 4.2há/148.3há] SERV.CONTRATISTA</t>
        </is>
      </c>
      <c r="M2790" s="232" t="inlineStr"/>
      <c r="N2790" s="232" t="inlineStr">
        <is>
          <t>.   .   -</t>
        </is>
      </c>
      <c r="O2790" s="232" t="inlineStr">
        <is>
          <t>MARZO</t>
        </is>
      </c>
      <c r="P2790" s="232" t="n">
        <v>11</v>
      </c>
      <c r="Q2790" s="234" t="n">
        <v>36162</v>
      </c>
      <c r="R2790" s="232" t="inlineStr"/>
      <c r="S2790" s="234" t="n">
        <v>36162</v>
      </c>
      <c r="T2790" s="232" t="inlineStr">
        <is>
          <t>CLP</t>
        </is>
      </c>
      <c r="U2790" s="232" t="inlineStr">
        <is>
          <t>Prorrateo Ha PACKING</t>
        </is>
      </c>
      <c r="V2790" s="232" t="inlineStr">
        <is>
          <t>2026-06-18</t>
        </is>
      </c>
    </row>
    <row r="2791">
      <c r="A2791" s="232" t="inlineStr">
        <is>
          <t>CR-2788</t>
        </is>
      </c>
      <c r="B2791" s="232" t="inlineStr">
        <is>
          <t>2026/27</t>
        </is>
      </c>
      <c r="C2791" s="233" t="n">
        <v>46097</v>
      </c>
      <c r="D2791" s="232" t="inlineStr">
        <is>
          <t>268</t>
        </is>
      </c>
      <c r="E2791" s="232" t="inlineStr">
        <is>
          <t>PRORRATEO</t>
        </is>
      </c>
      <c r="F2791" s="232" t="inlineStr">
        <is>
          <t>Santa Catalina</t>
        </is>
      </c>
      <c r="G2791" s="232" t="inlineStr">
        <is>
          <t>eureka 10,6 ha</t>
        </is>
      </c>
      <c r="H2791" s="232" t="inlineStr">
        <is>
          <t>Limon</t>
        </is>
      </c>
      <c r="I2791" s="232" t="inlineStr">
        <is>
          <t>Eureka</t>
        </is>
      </c>
      <c r="J2791" s="232" t="inlineStr">
        <is>
          <t>LABORES OPERACIONALES</t>
        </is>
      </c>
      <c r="K2791" s="232" t="inlineStr">
        <is>
          <t>OTROS SERVICIOS</t>
        </is>
      </c>
      <c r="L2791" s="232" t="inlineStr">
        <is>
          <t>[PRORRATEO 7.1% 10.6há/148.3há] SERV.CONTRATISTA</t>
        </is>
      </c>
      <c r="M2791" s="232" t="inlineStr"/>
      <c r="N2791" s="232" t="inlineStr">
        <is>
          <t>.   .   -</t>
        </is>
      </c>
      <c r="O2791" s="232" t="inlineStr">
        <is>
          <t>MARZO</t>
        </is>
      </c>
      <c r="P2791" s="232" t="n">
        <v>11</v>
      </c>
      <c r="Q2791" s="234" t="n">
        <v>91267</v>
      </c>
      <c r="R2791" s="232" t="inlineStr"/>
      <c r="S2791" s="234" t="n">
        <v>91267</v>
      </c>
      <c r="T2791" s="232" t="inlineStr">
        <is>
          <t>CLP</t>
        </is>
      </c>
      <c r="U2791" s="232" t="inlineStr">
        <is>
          <t>Prorrateo Ha PACKING</t>
        </is>
      </c>
      <c r="V2791" s="232" t="inlineStr">
        <is>
          <t>2026-06-18</t>
        </is>
      </c>
    </row>
    <row r="2792">
      <c r="A2792" s="232" t="inlineStr">
        <is>
          <t>CR-2789</t>
        </is>
      </c>
      <c r="B2792" s="232" t="inlineStr">
        <is>
          <t>2026/27</t>
        </is>
      </c>
      <c r="C2792" s="233" t="n">
        <v>46097</v>
      </c>
      <c r="D2792" s="232" t="inlineStr">
        <is>
          <t>268</t>
        </is>
      </c>
      <c r="E2792" s="232" t="inlineStr">
        <is>
          <t>PRORRATEO</t>
        </is>
      </c>
      <c r="F2792" s="232" t="inlineStr">
        <is>
          <t>Santa Catalina</t>
        </is>
      </c>
      <c r="G2792" s="232" t="inlineStr">
        <is>
          <t>eureka 14,4 ha</t>
        </is>
      </c>
      <c r="H2792" s="232" t="inlineStr">
        <is>
          <t>Limon</t>
        </is>
      </c>
      <c r="I2792" s="232" t="inlineStr">
        <is>
          <t>Eureka</t>
        </is>
      </c>
      <c r="J2792" s="232" t="inlineStr">
        <is>
          <t>LABORES OPERACIONALES</t>
        </is>
      </c>
      <c r="K2792" s="232" t="inlineStr">
        <is>
          <t>OTROS SERVICIOS</t>
        </is>
      </c>
      <c r="L2792" s="232" t="inlineStr">
        <is>
          <t>[PRORRATEO 9.7% 14.4há/148.3há] SERV.CONTRATISTA</t>
        </is>
      </c>
      <c r="M2792" s="232" t="inlineStr"/>
      <c r="N2792" s="232" t="inlineStr">
        <is>
          <t>.   .   -</t>
        </is>
      </c>
      <c r="O2792" s="232" t="inlineStr">
        <is>
          <t>MARZO</t>
        </is>
      </c>
      <c r="P2792" s="232" t="n">
        <v>11</v>
      </c>
      <c r="Q2792" s="234" t="n">
        <v>123985</v>
      </c>
      <c r="R2792" s="232" t="inlineStr"/>
      <c r="S2792" s="234" t="n">
        <v>123985</v>
      </c>
      <c r="T2792" s="232" t="inlineStr">
        <is>
          <t>CLP</t>
        </is>
      </c>
      <c r="U2792" s="232" t="inlineStr">
        <is>
          <t>Prorrateo Ha PACKING</t>
        </is>
      </c>
      <c r="V2792" s="232" t="inlineStr">
        <is>
          <t>2026-06-18</t>
        </is>
      </c>
    </row>
    <row r="2793">
      <c r="A2793" s="232" t="inlineStr">
        <is>
          <t>CR-2790</t>
        </is>
      </c>
      <c r="B2793" s="232" t="inlineStr">
        <is>
          <t>2026/27</t>
        </is>
      </c>
      <c r="C2793" s="233" t="n">
        <v>46097</v>
      </c>
      <c r="D2793" s="232" t="inlineStr">
        <is>
          <t>268</t>
        </is>
      </c>
      <c r="E2793" s="232" t="inlineStr">
        <is>
          <t>PRORRATEO</t>
        </is>
      </c>
      <c r="F2793" s="232" t="inlineStr">
        <is>
          <t>Santa Catalina</t>
        </is>
      </c>
      <c r="G2793" s="232" t="inlineStr">
        <is>
          <t>eureka 22,55</t>
        </is>
      </c>
      <c r="H2793" s="232" t="inlineStr">
        <is>
          <t>Limon</t>
        </is>
      </c>
      <c r="I2793" s="232" t="inlineStr">
        <is>
          <t>Eureka</t>
        </is>
      </c>
      <c r="J2793" s="232" t="inlineStr">
        <is>
          <t>LABORES OPERACIONALES</t>
        </is>
      </c>
      <c r="K2793" s="232" t="inlineStr">
        <is>
          <t>OTROS SERVICIOS</t>
        </is>
      </c>
      <c r="L2793" s="232" t="inlineStr">
        <is>
          <t>[PRORRATEO 15.2% 22.55há/148.3há] SERV.CONTRATISTA</t>
        </is>
      </c>
      <c r="M2793" s="232" t="inlineStr"/>
      <c r="N2793" s="232" t="inlineStr">
        <is>
          <t>.   .   -</t>
        </is>
      </c>
      <c r="O2793" s="232" t="inlineStr">
        <is>
          <t>MARZO</t>
        </is>
      </c>
      <c r="P2793" s="232" t="n">
        <v>11</v>
      </c>
      <c r="Q2793" s="234" t="n">
        <v>194157</v>
      </c>
      <c r="R2793" s="232" t="inlineStr"/>
      <c r="S2793" s="234" t="n">
        <v>194157</v>
      </c>
      <c r="T2793" s="232" t="inlineStr">
        <is>
          <t>CLP</t>
        </is>
      </c>
      <c r="U2793" s="232" t="inlineStr">
        <is>
          <t>Prorrateo Ha PACKING</t>
        </is>
      </c>
      <c r="V2793" s="232" t="inlineStr">
        <is>
          <t>2026-06-18</t>
        </is>
      </c>
    </row>
    <row r="2794">
      <c r="A2794" s="232" t="inlineStr">
        <is>
          <t>CR-2791</t>
        </is>
      </c>
      <c r="B2794" s="232" t="inlineStr">
        <is>
          <t>2026/27</t>
        </is>
      </c>
      <c r="C2794" s="233" t="n">
        <v>46097</v>
      </c>
      <c r="D2794" s="232" t="inlineStr">
        <is>
          <t>268</t>
        </is>
      </c>
      <c r="E2794" s="232" t="inlineStr">
        <is>
          <t>PRORRATEO</t>
        </is>
      </c>
      <c r="F2794" s="232" t="inlineStr">
        <is>
          <t>Santa Catalina</t>
        </is>
      </c>
      <c r="G2794" s="232" t="inlineStr">
        <is>
          <t>form benjamin 1,93 ha</t>
        </is>
      </c>
      <c r="H2794" s="232" t="inlineStr">
        <is>
          <t>Limon</t>
        </is>
      </c>
      <c r="I2794" s="232" t="inlineStr">
        <is>
          <t>Benjamin andes</t>
        </is>
      </c>
      <c r="J2794" s="232" t="inlineStr">
        <is>
          <t>LABORES OPERACIONALES</t>
        </is>
      </c>
      <c r="K2794" s="232" t="inlineStr">
        <is>
          <t>OTROS SERVICIOS</t>
        </is>
      </c>
      <c r="L2794" s="232" t="inlineStr">
        <is>
          <t>[PRORRATEO 1.3% 1.93há/148.3há] SERV.CONTRATISTA</t>
        </is>
      </c>
      <c r="M2794" s="232" t="inlineStr"/>
      <c r="N2794" s="232" t="inlineStr">
        <is>
          <t>.   .   -</t>
        </is>
      </c>
      <c r="O2794" s="232" t="inlineStr">
        <is>
          <t>MARZO</t>
        </is>
      </c>
      <c r="P2794" s="232" t="n">
        <v>11</v>
      </c>
      <c r="Q2794" s="234" t="n">
        <v>16617</v>
      </c>
      <c r="R2794" s="232" t="inlineStr"/>
      <c r="S2794" s="234" t="n">
        <v>16617</v>
      </c>
      <c r="T2794" s="232" t="inlineStr">
        <is>
          <t>CLP</t>
        </is>
      </c>
      <c r="U2794" s="232" t="inlineStr">
        <is>
          <t>Prorrateo Ha PACKING</t>
        </is>
      </c>
      <c r="V2794" s="232" t="inlineStr">
        <is>
          <t>2026-06-18</t>
        </is>
      </c>
    </row>
    <row r="2795">
      <c r="A2795" s="232" t="inlineStr">
        <is>
          <t>CR-2792</t>
        </is>
      </c>
      <c r="B2795" s="232" t="inlineStr">
        <is>
          <t>2026/27</t>
        </is>
      </c>
      <c r="C2795" s="233" t="n">
        <v>46097</v>
      </c>
      <c r="D2795" s="232" t="inlineStr">
        <is>
          <t>268</t>
        </is>
      </c>
      <c r="E2795" s="232" t="inlineStr">
        <is>
          <t>PRORRATEO</t>
        </is>
      </c>
      <c r="F2795" s="232" t="inlineStr">
        <is>
          <t>Santa Catalina</t>
        </is>
      </c>
      <c r="G2795" s="232" t="inlineStr">
        <is>
          <t>mant eureka 2,5 ha</t>
        </is>
      </c>
      <c r="H2795" s="232" t="inlineStr">
        <is>
          <t>Limon</t>
        </is>
      </c>
      <c r="I2795" s="232" t="inlineStr">
        <is>
          <t>Eureka</t>
        </is>
      </c>
      <c r="J2795" s="232" t="inlineStr">
        <is>
          <t>LABORES OPERACIONALES</t>
        </is>
      </c>
      <c r="K2795" s="232" t="inlineStr">
        <is>
          <t>OTROS SERVICIOS</t>
        </is>
      </c>
      <c r="L2795" s="232" t="inlineStr">
        <is>
          <t>[PRORRATEO 1.7% 2.5há/148.3há] SERV.CONTRATISTA</t>
        </is>
      </c>
      <c r="M2795" s="232" t="inlineStr"/>
      <c r="N2795" s="232" t="inlineStr">
        <is>
          <t>.   .   -</t>
        </is>
      </c>
      <c r="O2795" s="232" t="inlineStr">
        <is>
          <t>MARZO</t>
        </is>
      </c>
      <c r="P2795" s="232" t="n">
        <v>11</v>
      </c>
      <c r="Q2795" s="234" t="n">
        <v>21525</v>
      </c>
      <c r="R2795" s="232" t="inlineStr"/>
      <c r="S2795" s="234" t="n">
        <v>21525</v>
      </c>
      <c r="T2795" s="232" t="inlineStr">
        <is>
          <t>CLP</t>
        </is>
      </c>
      <c r="U2795" s="232" t="inlineStr">
        <is>
          <t>Prorrateo Ha PACKING</t>
        </is>
      </c>
      <c r="V2795" s="232" t="inlineStr">
        <is>
          <t>2026-06-18</t>
        </is>
      </c>
    </row>
    <row r="2796">
      <c r="A2796" s="232" t="inlineStr">
        <is>
          <t>CR-2793</t>
        </is>
      </c>
      <c r="B2796" s="232" t="inlineStr">
        <is>
          <t>2026/27</t>
        </is>
      </c>
      <c r="C2796" s="233" t="n">
        <v>46097</v>
      </c>
      <c r="D2796" s="232" t="inlineStr">
        <is>
          <t>268</t>
        </is>
      </c>
      <c r="E2796" s="232" t="inlineStr">
        <is>
          <t>PRORRATEO</t>
        </is>
      </c>
      <c r="F2796" s="232" t="inlineStr">
        <is>
          <t>Siberia</t>
        </is>
      </c>
      <c r="G2796" s="232" t="inlineStr">
        <is>
          <t>S. Celebration 7,14</t>
        </is>
      </c>
      <c r="H2796" s="232" t="inlineStr">
        <is>
          <t>Uvas</t>
        </is>
      </c>
      <c r="I2796" s="232" t="inlineStr">
        <is>
          <t>S. celebration</t>
        </is>
      </c>
      <c r="J2796" s="232" t="inlineStr">
        <is>
          <t>LABORES OPERACIONALES</t>
        </is>
      </c>
      <c r="K2796" s="232" t="inlineStr">
        <is>
          <t>OTROS SERVICIOS</t>
        </is>
      </c>
      <c r="L2796" s="232" t="inlineStr">
        <is>
          <t>[PRORRATEO 4.8% 7.14há/148.3há] SERV.CONTRATISTA</t>
        </is>
      </c>
      <c r="M2796" s="232" t="inlineStr"/>
      <c r="N2796" s="232" t="inlineStr">
        <is>
          <t>.   .   -</t>
        </is>
      </c>
      <c r="O2796" s="232" t="inlineStr">
        <is>
          <t>MARZO</t>
        </is>
      </c>
      <c r="P2796" s="232" t="n">
        <v>11</v>
      </c>
      <c r="Q2796" s="234" t="n">
        <v>61476</v>
      </c>
      <c r="R2796" s="232" t="inlineStr"/>
      <c r="S2796" s="234" t="n">
        <v>61476</v>
      </c>
      <c r="T2796" s="232" t="inlineStr">
        <is>
          <t>CLP</t>
        </is>
      </c>
      <c r="U2796" s="232" t="inlineStr">
        <is>
          <t>Prorrateo Ha PACKING</t>
        </is>
      </c>
      <c r="V2796" s="232" t="inlineStr">
        <is>
          <t>2026-06-18</t>
        </is>
      </c>
    </row>
    <row r="2797">
      <c r="A2797" s="232" t="inlineStr">
        <is>
          <t>CR-2794</t>
        </is>
      </c>
      <c r="B2797" s="232" t="inlineStr">
        <is>
          <t>2026/27</t>
        </is>
      </c>
      <c r="C2797" s="233" t="n">
        <v>46097</v>
      </c>
      <c r="D2797" s="232" t="inlineStr">
        <is>
          <t>268</t>
        </is>
      </c>
      <c r="E2797" s="232" t="inlineStr">
        <is>
          <t>PRORRATEO</t>
        </is>
      </c>
      <c r="F2797" s="232" t="inlineStr">
        <is>
          <t>Siberia</t>
        </is>
      </c>
      <c r="G2797" s="232" t="inlineStr">
        <is>
          <t>Timpson 7,1</t>
        </is>
      </c>
      <c r="H2797" s="232" t="inlineStr">
        <is>
          <t>Uvas</t>
        </is>
      </c>
      <c r="I2797" s="232" t="inlineStr">
        <is>
          <t>Timpson</t>
        </is>
      </c>
      <c r="J2797" s="232" t="inlineStr">
        <is>
          <t>LABORES OPERACIONALES</t>
        </is>
      </c>
      <c r="K2797" s="232" t="inlineStr">
        <is>
          <t>OTROS SERVICIOS</t>
        </is>
      </c>
      <c r="L2797" s="232" t="inlineStr">
        <is>
          <t>[PRORRATEO 4.8% 7.1há/148.3há] SERV.CONTRATISTA</t>
        </is>
      </c>
      <c r="M2797" s="232" t="inlineStr"/>
      <c r="N2797" s="232" t="inlineStr">
        <is>
          <t>.   .   -</t>
        </is>
      </c>
      <c r="O2797" s="232" t="inlineStr">
        <is>
          <t>MARZO</t>
        </is>
      </c>
      <c r="P2797" s="232" t="n">
        <v>11</v>
      </c>
      <c r="Q2797" s="234" t="n">
        <v>61132</v>
      </c>
      <c r="R2797" s="232" t="inlineStr"/>
      <c r="S2797" s="234" t="n">
        <v>61132</v>
      </c>
      <c r="T2797" s="232" t="inlineStr">
        <is>
          <t>CLP</t>
        </is>
      </c>
      <c r="U2797" s="232" t="inlineStr">
        <is>
          <t>Prorrateo Ha PACKING</t>
        </is>
      </c>
      <c r="V2797" s="232" t="inlineStr">
        <is>
          <t>2026-06-18</t>
        </is>
      </c>
    </row>
    <row r="2798">
      <c r="A2798" s="232" t="inlineStr">
        <is>
          <t>CR-2795</t>
        </is>
      </c>
      <c r="B2798" s="232" t="inlineStr">
        <is>
          <t>2026/27</t>
        </is>
      </c>
      <c r="C2798" s="233" t="n">
        <v>46098</v>
      </c>
      <c r="D2798" s="232" t="inlineStr">
        <is>
          <t>640</t>
        </is>
      </c>
      <c r="E2798" s="232" t="inlineStr">
        <is>
          <t>PRORRATEO</t>
        </is>
      </c>
      <c r="F2798" s="232" t="inlineStr">
        <is>
          <t>Asmara</t>
        </is>
      </c>
      <c r="G2798" s="232" t="inlineStr">
        <is>
          <t>w. murcott 19,8 ha</t>
        </is>
      </c>
      <c r="H2798" s="232" t="inlineStr">
        <is>
          <t>Mandarina</t>
        </is>
      </c>
      <c r="I2798" s="232" t="inlineStr">
        <is>
          <t>W. murcott</t>
        </is>
      </c>
      <c r="J2798" s="232" t="inlineStr">
        <is>
          <t>LABORES OPERACIONALES</t>
        </is>
      </c>
      <c r="K2798" s="232" t="inlineStr">
        <is>
          <t>LAB. PACKING</t>
        </is>
      </c>
      <c r="L2798" s="232" t="inlineStr">
        <is>
          <t>[PRORRATEO 13.4% 19.8há/148.3há] SERV.CONTRATISTA</t>
        </is>
      </c>
      <c r="M2798" s="232" t="inlineStr"/>
      <c r="N2798" s="232" t="inlineStr">
        <is>
          <t>.   .   -</t>
        </is>
      </c>
      <c r="O2798" s="232" t="inlineStr">
        <is>
          <t>MARZO</t>
        </is>
      </c>
      <c r="P2798" s="232" t="n">
        <v>11</v>
      </c>
      <c r="Q2798" s="234" t="n">
        <v>968306</v>
      </c>
      <c r="R2798" s="232" t="inlineStr"/>
      <c r="S2798" s="234" t="n">
        <v>968306</v>
      </c>
      <c r="T2798" s="232" t="inlineStr">
        <is>
          <t>CLP</t>
        </is>
      </c>
      <c r="U2798" s="232" t="inlineStr">
        <is>
          <t>Prorrateo Ha PACKING</t>
        </is>
      </c>
      <c r="V2798" s="232" t="inlineStr">
        <is>
          <t>2026-06-18</t>
        </is>
      </c>
    </row>
    <row r="2799">
      <c r="A2799" s="232" t="inlineStr">
        <is>
          <t>CR-2796</t>
        </is>
      </c>
      <c r="B2799" s="232" t="inlineStr">
        <is>
          <t>2026/27</t>
        </is>
      </c>
      <c r="C2799" s="233" t="n">
        <v>46098</v>
      </c>
      <c r="D2799" s="232" t="inlineStr">
        <is>
          <t>640</t>
        </is>
      </c>
      <c r="E2799" s="232" t="inlineStr">
        <is>
          <t>PRORRATEO</t>
        </is>
      </c>
      <c r="F2799" s="232" t="inlineStr">
        <is>
          <t>Asmara</t>
        </is>
      </c>
      <c r="G2799" s="232" t="inlineStr">
        <is>
          <t>w. murcott 4,9 ha</t>
        </is>
      </c>
      <c r="H2799" s="232" t="inlineStr">
        <is>
          <t>Mandarina</t>
        </is>
      </c>
      <c r="I2799" s="232" t="inlineStr">
        <is>
          <t>W. murcott</t>
        </is>
      </c>
      <c r="J2799" s="232" t="inlineStr">
        <is>
          <t>LABORES OPERACIONALES</t>
        </is>
      </c>
      <c r="K2799" s="232" t="inlineStr">
        <is>
          <t>LAB. PACKING</t>
        </is>
      </c>
      <c r="L2799" s="232" t="inlineStr">
        <is>
          <t>[PRORRATEO 3.3% 4.9há/148.3há] SERV.CONTRATISTA</t>
        </is>
      </c>
      <c r="M2799" s="232" t="inlineStr"/>
      <c r="N2799" s="232" t="inlineStr">
        <is>
          <t>.   .   -</t>
        </is>
      </c>
      <c r="O2799" s="232" t="inlineStr">
        <is>
          <t>MARZO</t>
        </is>
      </c>
      <c r="P2799" s="232" t="n">
        <v>11</v>
      </c>
      <c r="Q2799" s="234" t="n">
        <v>239631</v>
      </c>
      <c r="R2799" s="232" t="inlineStr"/>
      <c r="S2799" s="234" t="n">
        <v>239631</v>
      </c>
      <c r="T2799" s="232" t="inlineStr">
        <is>
          <t>CLP</t>
        </is>
      </c>
      <c r="U2799" s="232" t="inlineStr">
        <is>
          <t>Prorrateo Ha PACKING</t>
        </is>
      </c>
      <c r="V2799" s="232" t="inlineStr">
        <is>
          <t>2026-06-18</t>
        </is>
      </c>
    </row>
    <row r="2800">
      <c r="A2800" s="232" t="inlineStr">
        <is>
          <t>CR-2797</t>
        </is>
      </c>
      <c r="B2800" s="232" t="inlineStr">
        <is>
          <t>2026/27</t>
        </is>
      </c>
      <c r="C2800" s="233" t="n">
        <v>46098</v>
      </c>
      <c r="D2800" s="232" t="inlineStr">
        <is>
          <t>640</t>
        </is>
      </c>
      <c r="E2800" s="232" t="inlineStr">
        <is>
          <t>PRORRATEO</t>
        </is>
      </c>
      <c r="F2800" s="232" t="inlineStr">
        <is>
          <t>El Molle</t>
        </is>
      </c>
      <c r="G2800" s="232" t="inlineStr">
        <is>
          <t>Wonderful 5,25 ha</t>
        </is>
      </c>
      <c r="H2800" s="232" t="inlineStr">
        <is>
          <t>Granados</t>
        </is>
      </c>
      <c r="I2800" s="232" t="inlineStr">
        <is>
          <t>Wonderfull</t>
        </is>
      </c>
      <c r="J2800" s="232" t="inlineStr">
        <is>
          <t>LABORES OPERACIONALES</t>
        </is>
      </c>
      <c r="K2800" s="232" t="inlineStr">
        <is>
          <t>LAB. PACKING</t>
        </is>
      </c>
      <c r="L2800" s="232" t="inlineStr">
        <is>
          <t>[PRORRATEO 3.5% 5.24há/148.3há] SERV.CONTRATISTA</t>
        </is>
      </c>
      <c r="M2800" s="232" t="inlineStr"/>
      <c r="N2800" s="232" t="inlineStr">
        <is>
          <t>.   .   -</t>
        </is>
      </c>
      <c r="O2800" s="232" t="inlineStr">
        <is>
          <t>MARZO</t>
        </is>
      </c>
      <c r="P2800" s="232" t="n">
        <v>11</v>
      </c>
      <c r="Q2800" s="234" t="n">
        <v>256259</v>
      </c>
      <c r="R2800" s="232" t="inlineStr"/>
      <c r="S2800" s="234" t="n">
        <v>256259</v>
      </c>
      <c r="T2800" s="232" t="inlineStr">
        <is>
          <t>CLP</t>
        </is>
      </c>
      <c r="U2800" s="232" t="inlineStr">
        <is>
          <t>Prorrateo Ha PACKING</t>
        </is>
      </c>
      <c r="V2800" s="232" t="inlineStr">
        <is>
          <t>2026-06-18</t>
        </is>
      </c>
    </row>
    <row r="2801">
      <c r="A2801" s="232" t="inlineStr">
        <is>
          <t>CR-2798</t>
        </is>
      </c>
      <c r="B2801" s="232" t="inlineStr">
        <is>
          <t>2026/27</t>
        </is>
      </c>
      <c r="C2801" s="233" t="n">
        <v>46098</v>
      </c>
      <c r="D2801" s="232" t="inlineStr">
        <is>
          <t>640</t>
        </is>
      </c>
      <c r="E2801" s="232" t="inlineStr">
        <is>
          <t>PRORRATEO</t>
        </is>
      </c>
      <c r="F2801" s="232" t="inlineStr">
        <is>
          <t>El Molle</t>
        </is>
      </c>
      <c r="G2801" s="232" t="inlineStr">
        <is>
          <t>arrufatinas 5,74 ha</t>
        </is>
      </c>
      <c r="H2801" s="232" t="inlineStr">
        <is>
          <t>Clementinas</t>
        </is>
      </c>
      <c r="I2801" s="232" t="inlineStr">
        <is>
          <t>Arrufatinas</t>
        </is>
      </c>
      <c r="J2801" s="232" t="inlineStr">
        <is>
          <t>LABORES OPERACIONALES</t>
        </is>
      </c>
      <c r="K2801" s="232" t="inlineStr">
        <is>
          <t>LAB. PACKING</t>
        </is>
      </c>
      <c r="L2801" s="232" t="inlineStr">
        <is>
          <t>[PRORRATEO 3.9% 5.74há/148.3há] SERV.CONTRATISTA</t>
        </is>
      </c>
      <c r="M2801" s="232" t="inlineStr"/>
      <c r="N2801" s="232" t="inlineStr">
        <is>
          <t>.   .   -</t>
        </is>
      </c>
      <c r="O2801" s="232" t="inlineStr">
        <is>
          <t>MARZO</t>
        </is>
      </c>
      <c r="P2801" s="232" t="n">
        <v>11</v>
      </c>
      <c r="Q2801" s="234" t="n">
        <v>280711</v>
      </c>
      <c r="R2801" s="232" t="inlineStr"/>
      <c r="S2801" s="234" t="n">
        <v>280711</v>
      </c>
      <c r="T2801" s="232" t="inlineStr">
        <is>
          <t>CLP</t>
        </is>
      </c>
      <c r="U2801" s="232" t="inlineStr">
        <is>
          <t>Prorrateo Ha PACKING</t>
        </is>
      </c>
      <c r="V2801" s="232" t="inlineStr">
        <is>
          <t>2026-06-18</t>
        </is>
      </c>
    </row>
    <row r="2802">
      <c r="A2802" s="232" t="inlineStr">
        <is>
          <t>CR-2799</t>
        </is>
      </c>
      <c r="B2802" s="232" t="inlineStr">
        <is>
          <t>2026/27</t>
        </is>
      </c>
      <c r="C2802" s="233" t="n">
        <v>46098</v>
      </c>
      <c r="D2802" s="232" t="inlineStr">
        <is>
          <t>640</t>
        </is>
      </c>
      <c r="E2802" s="232" t="inlineStr">
        <is>
          <t>PRORRATEO</t>
        </is>
      </c>
      <c r="F2802" s="232" t="inlineStr">
        <is>
          <t>El Molle</t>
        </is>
      </c>
      <c r="G2802" s="232" t="inlineStr">
        <is>
          <t>orogrande 8,11 ha</t>
        </is>
      </c>
      <c r="H2802" s="232" t="inlineStr">
        <is>
          <t>Clementinas</t>
        </is>
      </c>
      <c r="I2802" s="232" t="inlineStr">
        <is>
          <t>Orogrande</t>
        </is>
      </c>
      <c r="J2802" s="232" t="inlineStr">
        <is>
          <t>LABORES OPERACIONALES</t>
        </is>
      </c>
      <c r="K2802" s="232" t="inlineStr">
        <is>
          <t>LAB. PACKING</t>
        </is>
      </c>
      <c r="L2802" s="232" t="inlineStr">
        <is>
          <t>[PRORRATEO 5.5% 8.11há/148.3há] SERV.CONTRATISTA</t>
        </is>
      </c>
      <c r="M2802" s="232" t="inlineStr"/>
      <c r="N2802" s="232" t="inlineStr">
        <is>
          <t>.   .   -</t>
        </is>
      </c>
      <c r="O2802" s="232" t="inlineStr">
        <is>
          <t>MARZO</t>
        </is>
      </c>
      <c r="P2802" s="232" t="n">
        <v>11</v>
      </c>
      <c r="Q2802" s="234" t="n">
        <v>396614</v>
      </c>
      <c r="R2802" s="232" t="inlineStr"/>
      <c r="S2802" s="234" t="n">
        <v>396614</v>
      </c>
      <c r="T2802" s="232" t="inlineStr">
        <is>
          <t>CLP</t>
        </is>
      </c>
      <c r="U2802" s="232" t="inlineStr">
        <is>
          <t>Prorrateo Ha PACKING</t>
        </is>
      </c>
      <c r="V2802" s="232" t="inlineStr">
        <is>
          <t>2026-06-18</t>
        </is>
      </c>
    </row>
    <row r="2803">
      <c r="A2803" s="232" t="inlineStr">
        <is>
          <t>CR-2800</t>
        </is>
      </c>
      <c r="B2803" s="232" t="inlineStr">
        <is>
          <t>2026/27</t>
        </is>
      </c>
      <c r="C2803" s="233" t="n">
        <v>46098</v>
      </c>
      <c r="D2803" s="232" t="inlineStr">
        <is>
          <t>640</t>
        </is>
      </c>
      <c r="E2803" s="232" t="inlineStr">
        <is>
          <t>PRORRATEO</t>
        </is>
      </c>
      <c r="F2803" s="232" t="inlineStr">
        <is>
          <t>El Molle</t>
        </is>
      </c>
      <c r="G2803" s="232" t="inlineStr">
        <is>
          <t>oronules 5,35 ha</t>
        </is>
      </c>
      <c r="H2803" s="232" t="inlineStr">
        <is>
          <t>Clementinas</t>
        </is>
      </c>
      <c r="I2803" s="232" t="inlineStr">
        <is>
          <t>Oronules</t>
        </is>
      </c>
      <c r="J2803" s="232" t="inlineStr">
        <is>
          <t>LABORES OPERACIONALES</t>
        </is>
      </c>
      <c r="K2803" s="232" t="inlineStr">
        <is>
          <t>LAB. PACKING</t>
        </is>
      </c>
      <c r="L2803" s="232" t="inlineStr">
        <is>
          <t>[PRORRATEO 3.6% 5.35há/148.3há] SERV.CONTRATISTA</t>
        </is>
      </c>
      <c r="M2803" s="232" t="inlineStr"/>
      <c r="N2803" s="232" t="inlineStr">
        <is>
          <t>.   .   -</t>
        </is>
      </c>
      <c r="O2803" s="232" t="inlineStr">
        <is>
          <t>MARZO</t>
        </is>
      </c>
      <c r="P2803" s="232" t="n">
        <v>11</v>
      </c>
      <c r="Q2803" s="234" t="n">
        <v>261638</v>
      </c>
      <c r="R2803" s="232" t="inlineStr"/>
      <c r="S2803" s="234" t="n">
        <v>261638</v>
      </c>
      <c r="T2803" s="232" t="inlineStr">
        <is>
          <t>CLP</t>
        </is>
      </c>
      <c r="U2803" s="232" t="inlineStr">
        <is>
          <t>Prorrateo Ha PACKING</t>
        </is>
      </c>
      <c r="V2803" s="232" t="inlineStr">
        <is>
          <t>2026-06-18</t>
        </is>
      </c>
    </row>
    <row r="2804">
      <c r="A2804" s="232" t="inlineStr">
        <is>
          <t>CR-2801</t>
        </is>
      </c>
      <c r="B2804" s="232" t="inlineStr">
        <is>
          <t>2026/27</t>
        </is>
      </c>
      <c r="C2804" s="233" t="n">
        <v>46098</v>
      </c>
      <c r="D2804" s="232" t="inlineStr">
        <is>
          <t>640</t>
        </is>
      </c>
      <c r="E2804" s="232" t="inlineStr">
        <is>
          <t>PRORRATEO</t>
        </is>
      </c>
      <c r="F2804" s="232" t="inlineStr">
        <is>
          <t>Santa Catalina</t>
        </is>
      </c>
      <c r="G2804" s="232" t="inlineStr">
        <is>
          <t>Fino 49 7,7 ha</t>
        </is>
      </c>
      <c r="H2804" s="232" t="inlineStr">
        <is>
          <t>Limon</t>
        </is>
      </c>
      <c r="I2804" s="232" t="inlineStr">
        <is>
          <t>Fino 49</t>
        </is>
      </c>
      <c r="J2804" s="232" t="inlineStr">
        <is>
          <t>LABORES OPERACIONALES</t>
        </is>
      </c>
      <c r="K2804" s="232" t="inlineStr">
        <is>
          <t>LAB. PACKING</t>
        </is>
      </c>
      <c r="L2804" s="232" t="inlineStr">
        <is>
          <t>[PRORRATEO 5.2% 7.7há/148.3há] SERV.CONTRATISTA</t>
        </is>
      </c>
      <c r="M2804" s="232" t="inlineStr"/>
      <c r="N2804" s="232" t="inlineStr">
        <is>
          <t>.   .   -</t>
        </is>
      </c>
      <c r="O2804" s="232" t="inlineStr">
        <is>
          <t>MARZO</t>
        </is>
      </c>
      <c r="P2804" s="232" t="n">
        <v>11</v>
      </c>
      <c r="Q2804" s="234" t="n">
        <v>376563</v>
      </c>
      <c r="R2804" s="232" t="inlineStr"/>
      <c r="S2804" s="234" t="n">
        <v>376563</v>
      </c>
      <c r="T2804" s="232" t="inlineStr">
        <is>
          <t>CLP</t>
        </is>
      </c>
      <c r="U2804" s="232" t="inlineStr">
        <is>
          <t>Prorrateo Ha PACKING</t>
        </is>
      </c>
      <c r="V2804" s="232" t="inlineStr">
        <is>
          <t>2026-06-18</t>
        </is>
      </c>
    </row>
    <row r="2805">
      <c r="A2805" s="232" t="inlineStr">
        <is>
          <t>CR-2802</t>
        </is>
      </c>
      <c r="B2805" s="232" t="inlineStr">
        <is>
          <t>2026/27</t>
        </is>
      </c>
      <c r="C2805" s="233" t="n">
        <v>46098</v>
      </c>
      <c r="D2805" s="232" t="inlineStr">
        <is>
          <t>640</t>
        </is>
      </c>
      <c r="E2805" s="232" t="inlineStr">
        <is>
          <t>PRORRATEO</t>
        </is>
      </c>
      <c r="F2805" s="232" t="inlineStr">
        <is>
          <t>Santa Catalina</t>
        </is>
      </c>
      <c r="G2805" s="232" t="inlineStr">
        <is>
          <t>W. murcott 21 ha</t>
        </is>
      </c>
      <c r="H2805" s="232" t="inlineStr">
        <is>
          <t>Mandarina</t>
        </is>
      </c>
      <c r="I2805" s="232" t="inlineStr">
        <is>
          <t>W. murcott</t>
        </is>
      </c>
      <c r="J2805" s="232" t="inlineStr">
        <is>
          <t>LABORES OPERACIONALES</t>
        </is>
      </c>
      <c r="K2805" s="232" t="inlineStr">
        <is>
          <t>LAB. PACKING</t>
        </is>
      </c>
      <c r="L2805" s="232" t="inlineStr">
        <is>
          <t>[PRORRATEO 14.2% 21.0há/148.3há] SERV.CONTRATISTA</t>
        </is>
      </c>
      <c r="M2805" s="232" t="inlineStr"/>
      <c r="N2805" s="232" t="inlineStr">
        <is>
          <t>.   .   -</t>
        </is>
      </c>
      <c r="O2805" s="232" t="inlineStr">
        <is>
          <t>MARZO</t>
        </is>
      </c>
      <c r="P2805" s="232" t="n">
        <v>11</v>
      </c>
      <c r="Q2805" s="234" t="n">
        <v>1026991</v>
      </c>
      <c r="R2805" s="232" t="inlineStr"/>
      <c r="S2805" s="234" t="n">
        <v>1026991</v>
      </c>
      <c r="T2805" s="232" t="inlineStr">
        <is>
          <t>CLP</t>
        </is>
      </c>
      <c r="U2805" s="232" t="inlineStr">
        <is>
          <t>Prorrateo Ha PACKING</t>
        </is>
      </c>
      <c r="V2805" s="232" t="inlineStr">
        <is>
          <t>2026-06-18</t>
        </is>
      </c>
    </row>
    <row r="2806">
      <c r="A2806" s="232" t="inlineStr">
        <is>
          <t>CR-2803</t>
        </is>
      </c>
      <c r="B2806" s="232" t="inlineStr">
        <is>
          <t>2026/27</t>
        </is>
      </c>
      <c r="C2806" s="233" t="n">
        <v>46098</v>
      </c>
      <c r="D2806" s="232" t="inlineStr">
        <is>
          <t>640</t>
        </is>
      </c>
      <c r="E2806" s="232" t="inlineStr">
        <is>
          <t>PRORRATEO</t>
        </is>
      </c>
      <c r="F2806" s="232" t="inlineStr">
        <is>
          <t>Santa Catalina</t>
        </is>
      </c>
      <c r="G2806" s="232" t="inlineStr">
        <is>
          <t>cambria 4,2 ha</t>
        </is>
      </c>
      <c r="H2806" s="232" t="inlineStr">
        <is>
          <t>Naranjas</t>
        </is>
      </c>
      <c r="I2806" s="232" t="inlineStr">
        <is>
          <t>Cambria</t>
        </is>
      </c>
      <c r="J2806" s="232" t="inlineStr">
        <is>
          <t>LABORES OPERACIONALES</t>
        </is>
      </c>
      <c r="K2806" s="232" t="inlineStr">
        <is>
          <t>LAB. PACKING</t>
        </is>
      </c>
      <c r="L2806" s="232" t="inlineStr">
        <is>
          <t>[PRORRATEO 2.8% 4.2há/148.3há] SERV.CONTRATISTA</t>
        </is>
      </c>
      <c r="M2806" s="232" t="inlineStr"/>
      <c r="N2806" s="232" t="inlineStr">
        <is>
          <t>.   .   -</t>
        </is>
      </c>
      <c r="O2806" s="232" t="inlineStr">
        <is>
          <t>MARZO</t>
        </is>
      </c>
      <c r="P2806" s="232" t="n">
        <v>11</v>
      </c>
      <c r="Q2806" s="234" t="n">
        <v>205398</v>
      </c>
      <c r="R2806" s="232" t="inlineStr"/>
      <c r="S2806" s="234" t="n">
        <v>205398</v>
      </c>
      <c r="T2806" s="232" t="inlineStr">
        <is>
          <t>CLP</t>
        </is>
      </c>
      <c r="U2806" s="232" t="inlineStr">
        <is>
          <t>Prorrateo Ha PACKING</t>
        </is>
      </c>
      <c r="V2806" s="232" t="inlineStr">
        <is>
          <t>2026-06-18</t>
        </is>
      </c>
    </row>
    <row r="2807">
      <c r="A2807" s="232" t="inlineStr">
        <is>
          <t>CR-2804</t>
        </is>
      </c>
      <c r="B2807" s="232" t="inlineStr">
        <is>
          <t>2026/27</t>
        </is>
      </c>
      <c r="C2807" s="233" t="n">
        <v>46098</v>
      </c>
      <c r="D2807" s="232" t="inlineStr">
        <is>
          <t>640</t>
        </is>
      </c>
      <c r="E2807" s="232" t="inlineStr">
        <is>
          <t>PRORRATEO</t>
        </is>
      </c>
      <c r="F2807" s="232" t="inlineStr">
        <is>
          <t>Santa Catalina</t>
        </is>
      </c>
      <c r="G2807" s="232" t="inlineStr">
        <is>
          <t>eureka 10,6 ha</t>
        </is>
      </c>
      <c r="H2807" s="232" t="inlineStr">
        <is>
          <t>Limon</t>
        </is>
      </c>
      <c r="I2807" s="232" t="inlineStr">
        <is>
          <t>Eureka</t>
        </is>
      </c>
      <c r="J2807" s="232" t="inlineStr">
        <is>
          <t>LABORES OPERACIONALES</t>
        </is>
      </c>
      <c r="K2807" s="232" t="inlineStr">
        <is>
          <t>LAB. PACKING</t>
        </is>
      </c>
      <c r="L2807" s="232" t="inlineStr">
        <is>
          <t>[PRORRATEO 7.1% 10.6há/148.3há] SERV.CONTRATISTA</t>
        </is>
      </c>
      <c r="M2807" s="232" t="inlineStr"/>
      <c r="N2807" s="232" t="inlineStr">
        <is>
          <t>.   .   -</t>
        </is>
      </c>
      <c r="O2807" s="232" t="inlineStr">
        <is>
          <t>MARZO</t>
        </is>
      </c>
      <c r="P2807" s="232" t="n">
        <v>11</v>
      </c>
      <c r="Q2807" s="234" t="n">
        <v>518386</v>
      </c>
      <c r="R2807" s="232" t="inlineStr"/>
      <c r="S2807" s="234" t="n">
        <v>518386</v>
      </c>
      <c r="T2807" s="232" t="inlineStr">
        <is>
          <t>CLP</t>
        </is>
      </c>
      <c r="U2807" s="232" t="inlineStr">
        <is>
          <t>Prorrateo Ha PACKING</t>
        </is>
      </c>
      <c r="V2807" s="232" t="inlineStr">
        <is>
          <t>2026-06-18</t>
        </is>
      </c>
    </row>
    <row r="2808">
      <c r="A2808" s="232" t="inlineStr">
        <is>
          <t>CR-2805</t>
        </is>
      </c>
      <c r="B2808" s="232" t="inlineStr">
        <is>
          <t>2026/27</t>
        </is>
      </c>
      <c r="C2808" s="233" t="n">
        <v>46098</v>
      </c>
      <c r="D2808" s="232" t="inlineStr">
        <is>
          <t>640</t>
        </is>
      </c>
      <c r="E2808" s="232" t="inlineStr">
        <is>
          <t>PRORRATEO</t>
        </is>
      </c>
      <c r="F2808" s="232" t="inlineStr">
        <is>
          <t>Santa Catalina</t>
        </is>
      </c>
      <c r="G2808" s="232" t="inlineStr">
        <is>
          <t>eureka 14,4 ha</t>
        </is>
      </c>
      <c r="H2808" s="232" t="inlineStr">
        <is>
          <t>Limon</t>
        </is>
      </c>
      <c r="I2808" s="232" t="inlineStr">
        <is>
          <t>Eureka</t>
        </is>
      </c>
      <c r="J2808" s="232" t="inlineStr">
        <is>
          <t>LABORES OPERACIONALES</t>
        </is>
      </c>
      <c r="K2808" s="232" t="inlineStr">
        <is>
          <t>LAB. PACKING</t>
        </is>
      </c>
      <c r="L2808" s="232" t="inlineStr">
        <is>
          <t>[PRORRATEO 9.7% 14.4há/148.3há] SERV.CONTRATISTA</t>
        </is>
      </c>
      <c r="M2808" s="232" t="inlineStr"/>
      <c r="N2808" s="232" t="inlineStr">
        <is>
          <t>.   .   -</t>
        </is>
      </c>
      <c r="O2808" s="232" t="inlineStr">
        <is>
          <t>MARZO</t>
        </is>
      </c>
      <c r="P2808" s="232" t="n">
        <v>11</v>
      </c>
      <c r="Q2808" s="234" t="n">
        <v>704222</v>
      </c>
      <c r="R2808" s="232" t="inlineStr"/>
      <c r="S2808" s="234" t="n">
        <v>704222</v>
      </c>
      <c r="T2808" s="232" t="inlineStr">
        <is>
          <t>CLP</t>
        </is>
      </c>
      <c r="U2808" s="232" t="inlineStr">
        <is>
          <t>Prorrateo Ha PACKING</t>
        </is>
      </c>
      <c r="V2808" s="232" t="inlineStr">
        <is>
          <t>2026-06-18</t>
        </is>
      </c>
    </row>
    <row r="2809">
      <c r="A2809" s="232" t="inlineStr">
        <is>
          <t>CR-2806</t>
        </is>
      </c>
      <c r="B2809" s="232" t="inlineStr">
        <is>
          <t>2026/27</t>
        </is>
      </c>
      <c r="C2809" s="233" t="n">
        <v>46098</v>
      </c>
      <c r="D2809" s="232" t="inlineStr">
        <is>
          <t>640</t>
        </is>
      </c>
      <c r="E2809" s="232" t="inlineStr">
        <is>
          <t>PRORRATEO</t>
        </is>
      </c>
      <c r="F2809" s="232" t="inlineStr">
        <is>
          <t>Santa Catalina</t>
        </is>
      </c>
      <c r="G2809" s="232" t="inlineStr">
        <is>
          <t>eureka 22,55</t>
        </is>
      </c>
      <c r="H2809" s="232" t="inlineStr">
        <is>
          <t>Limon</t>
        </is>
      </c>
      <c r="I2809" s="232" t="inlineStr">
        <is>
          <t>Eureka</t>
        </is>
      </c>
      <c r="J2809" s="232" t="inlineStr">
        <is>
          <t>LABORES OPERACIONALES</t>
        </is>
      </c>
      <c r="K2809" s="232" t="inlineStr">
        <is>
          <t>LAB. PACKING</t>
        </is>
      </c>
      <c r="L2809" s="232" t="inlineStr">
        <is>
          <t>[PRORRATEO 15.2% 22.55há/148.3há] SERV.CONTRATISTA</t>
        </is>
      </c>
      <c r="M2809" s="232" t="inlineStr"/>
      <c r="N2809" s="232" t="inlineStr">
        <is>
          <t>.   .   -</t>
        </is>
      </c>
      <c r="O2809" s="232" t="inlineStr">
        <is>
          <t>MARZO</t>
        </is>
      </c>
      <c r="P2809" s="232" t="n">
        <v>11</v>
      </c>
      <c r="Q2809" s="234" t="n">
        <v>1102792</v>
      </c>
      <c r="R2809" s="232" t="inlineStr"/>
      <c r="S2809" s="234" t="n">
        <v>1102792</v>
      </c>
      <c r="T2809" s="232" t="inlineStr">
        <is>
          <t>CLP</t>
        </is>
      </c>
      <c r="U2809" s="232" t="inlineStr">
        <is>
          <t>Prorrateo Ha PACKING</t>
        </is>
      </c>
      <c r="V2809" s="232" t="inlineStr">
        <is>
          <t>2026-06-18</t>
        </is>
      </c>
    </row>
    <row r="2810">
      <c r="A2810" s="232" t="inlineStr">
        <is>
          <t>CR-2807</t>
        </is>
      </c>
      <c r="B2810" s="232" t="inlineStr">
        <is>
          <t>2026/27</t>
        </is>
      </c>
      <c r="C2810" s="233" t="n">
        <v>46098</v>
      </c>
      <c r="D2810" s="232" t="inlineStr">
        <is>
          <t>640</t>
        </is>
      </c>
      <c r="E2810" s="232" t="inlineStr">
        <is>
          <t>PRORRATEO</t>
        </is>
      </c>
      <c r="F2810" s="232" t="inlineStr">
        <is>
          <t>Santa Catalina</t>
        </is>
      </c>
      <c r="G2810" s="232" t="inlineStr">
        <is>
          <t>form benjamin 1,93 ha</t>
        </is>
      </c>
      <c r="H2810" s="232" t="inlineStr">
        <is>
          <t>Limon</t>
        </is>
      </c>
      <c r="I2810" s="232" t="inlineStr">
        <is>
          <t>Benjamin andes</t>
        </is>
      </c>
      <c r="J2810" s="232" t="inlineStr">
        <is>
          <t>LABORES OPERACIONALES</t>
        </is>
      </c>
      <c r="K2810" s="232" t="inlineStr">
        <is>
          <t>LAB. PACKING</t>
        </is>
      </c>
      <c r="L2810" s="232" t="inlineStr">
        <is>
          <t>[PRORRATEO 1.3% 1.93há/148.3há] SERV.CONTRATISTA</t>
        </is>
      </c>
      <c r="M2810" s="232" t="inlineStr"/>
      <c r="N2810" s="232" t="inlineStr">
        <is>
          <t>.   .   -</t>
        </is>
      </c>
      <c r="O2810" s="232" t="inlineStr">
        <is>
          <t>MARZO</t>
        </is>
      </c>
      <c r="P2810" s="232" t="n">
        <v>11</v>
      </c>
      <c r="Q2810" s="234" t="n">
        <v>94385</v>
      </c>
      <c r="R2810" s="232" t="inlineStr"/>
      <c r="S2810" s="234" t="n">
        <v>94385</v>
      </c>
      <c r="T2810" s="232" t="inlineStr">
        <is>
          <t>CLP</t>
        </is>
      </c>
      <c r="U2810" s="232" t="inlineStr">
        <is>
          <t>Prorrateo Ha PACKING</t>
        </is>
      </c>
      <c r="V2810" s="232" t="inlineStr">
        <is>
          <t>2026-06-18</t>
        </is>
      </c>
    </row>
    <row r="2811">
      <c r="A2811" s="232" t="inlineStr">
        <is>
          <t>CR-2808</t>
        </is>
      </c>
      <c r="B2811" s="232" t="inlineStr">
        <is>
          <t>2026/27</t>
        </is>
      </c>
      <c r="C2811" s="233" t="n">
        <v>46098</v>
      </c>
      <c r="D2811" s="232" t="inlineStr">
        <is>
          <t>640</t>
        </is>
      </c>
      <c r="E2811" s="232" t="inlineStr">
        <is>
          <t>PRORRATEO</t>
        </is>
      </c>
      <c r="F2811" s="232" t="inlineStr">
        <is>
          <t>Santa Catalina</t>
        </is>
      </c>
      <c r="G2811" s="232" t="inlineStr">
        <is>
          <t>mant eureka 2,5 ha</t>
        </is>
      </c>
      <c r="H2811" s="232" t="inlineStr">
        <is>
          <t>Limon</t>
        </is>
      </c>
      <c r="I2811" s="232" t="inlineStr">
        <is>
          <t>Eureka</t>
        </is>
      </c>
      <c r="J2811" s="232" t="inlineStr">
        <is>
          <t>LABORES OPERACIONALES</t>
        </is>
      </c>
      <c r="K2811" s="232" t="inlineStr">
        <is>
          <t>LAB. PACKING</t>
        </is>
      </c>
      <c r="L2811" s="232" t="inlineStr">
        <is>
          <t>[PRORRATEO 1.7% 2.5há/148.3há] SERV.CONTRATISTA</t>
        </is>
      </c>
      <c r="M2811" s="232" t="inlineStr"/>
      <c r="N2811" s="232" t="inlineStr">
        <is>
          <t>.   .   -</t>
        </is>
      </c>
      <c r="O2811" s="232" t="inlineStr">
        <is>
          <t>MARZO</t>
        </is>
      </c>
      <c r="P2811" s="232" t="n">
        <v>11</v>
      </c>
      <c r="Q2811" s="234" t="n">
        <v>122261</v>
      </c>
      <c r="R2811" s="232" t="inlineStr"/>
      <c r="S2811" s="234" t="n">
        <v>122261</v>
      </c>
      <c r="T2811" s="232" t="inlineStr">
        <is>
          <t>CLP</t>
        </is>
      </c>
      <c r="U2811" s="232" t="inlineStr">
        <is>
          <t>Prorrateo Ha PACKING</t>
        </is>
      </c>
      <c r="V2811" s="232" t="inlineStr">
        <is>
          <t>2026-06-18</t>
        </is>
      </c>
    </row>
    <row r="2812">
      <c r="A2812" s="232" t="inlineStr">
        <is>
          <t>CR-2809</t>
        </is>
      </c>
      <c r="B2812" s="232" t="inlineStr">
        <is>
          <t>2026/27</t>
        </is>
      </c>
      <c r="C2812" s="233" t="n">
        <v>46098</v>
      </c>
      <c r="D2812" s="232" t="inlineStr">
        <is>
          <t>640</t>
        </is>
      </c>
      <c r="E2812" s="232" t="inlineStr">
        <is>
          <t>PRORRATEO</t>
        </is>
      </c>
      <c r="F2812" s="232" t="inlineStr">
        <is>
          <t>Siberia</t>
        </is>
      </c>
      <c r="G2812" s="232" t="inlineStr">
        <is>
          <t>S. Celebration 7,14</t>
        </is>
      </c>
      <c r="H2812" s="232" t="inlineStr">
        <is>
          <t>Uvas</t>
        </is>
      </c>
      <c r="I2812" s="232" t="inlineStr">
        <is>
          <t>S. celebration</t>
        </is>
      </c>
      <c r="J2812" s="232" t="inlineStr">
        <is>
          <t>LABORES OPERACIONALES</t>
        </is>
      </c>
      <c r="K2812" s="232" t="inlineStr">
        <is>
          <t>LAB. PACKING</t>
        </is>
      </c>
      <c r="L2812" s="232" t="inlineStr">
        <is>
          <t>[PRORRATEO 4.8% 7.14há/148.3há] SERV.CONTRATISTA</t>
        </is>
      </c>
      <c r="M2812" s="232" t="inlineStr"/>
      <c r="N2812" s="232" t="inlineStr">
        <is>
          <t>.   .   -</t>
        </is>
      </c>
      <c r="O2812" s="232" t="inlineStr">
        <is>
          <t>MARZO</t>
        </is>
      </c>
      <c r="P2812" s="232" t="n">
        <v>11</v>
      </c>
      <c r="Q2812" s="234" t="n">
        <v>349177</v>
      </c>
      <c r="R2812" s="232" t="inlineStr"/>
      <c r="S2812" s="234" t="n">
        <v>349177</v>
      </c>
      <c r="T2812" s="232" t="inlineStr">
        <is>
          <t>CLP</t>
        </is>
      </c>
      <c r="U2812" s="232" t="inlineStr">
        <is>
          <t>Prorrateo Ha PACKING</t>
        </is>
      </c>
      <c r="V2812" s="232" t="inlineStr">
        <is>
          <t>2026-06-18</t>
        </is>
      </c>
    </row>
    <row r="2813">
      <c r="A2813" s="232" t="inlineStr">
        <is>
          <t>CR-2810</t>
        </is>
      </c>
      <c r="B2813" s="232" t="inlineStr">
        <is>
          <t>2026/27</t>
        </is>
      </c>
      <c r="C2813" s="233" t="n">
        <v>46098</v>
      </c>
      <c r="D2813" s="232" t="inlineStr">
        <is>
          <t>640</t>
        </is>
      </c>
      <c r="E2813" s="232" t="inlineStr">
        <is>
          <t>PRORRATEO</t>
        </is>
      </c>
      <c r="F2813" s="232" t="inlineStr">
        <is>
          <t>Siberia</t>
        </is>
      </c>
      <c r="G2813" s="232" t="inlineStr">
        <is>
          <t>Timpson 7,1</t>
        </is>
      </c>
      <c r="H2813" s="232" t="inlineStr">
        <is>
          <t>Uvas</t>
        </is>
      </c>
      <c r="I2813" s="232" t="inlineStr">
        <is>
          <t>Timpson</t>
        </is>
      </c>
      <c r="J2813" s="232" t="inlineStr">
        <is>
          <t>LABORES OPERACIONALES</t>
        </is>
      </c>
      <c r="K2813" s="232" t="inlineStr">
        <is>
          <t>LAB. PACKING</t>
        </is>
      </c>
      <c r="L2813" s="232" t="inlineStr">
        <is>
          <t>[PRORRATEO 4.8% 7.1há/148.3há] SERV.CONTRATISTA</t>
        </is>
      </c>
      <c r="M2813" s="232" t="inlineStr"/>
      <c r="N2813" s="232" t="inlineStr">
        <is>
          <t>.   .   -</t>
        </is>
      </c>
      <c r="O2813" s="232" t="inlineStr">
        <is>
          <t>MARZO</t>
        </is>
      </c>
      <c r="P2813" s="232" t="n">
        <v>11</v>
      </c>
      <c r="Q2813" s="234" t="n">
        <v>347221</v>
      </c>
      <c r="R2813" s="232" t="inlineStr"/>
      <c r="S2813" s="234" t="n">
        <v>347221</v>
      </c>
      <c r="T2813" s="232" t="inlineStr">
        <is>
          <t>CLP</t>
        </is>
      </c>
      <c r="U2813" s="232" t="inlineStr">
        <is>
          <t>Prorrateo Ha PACKING</t>
        </is>
      </c>
      <c r="V2813" s="232" t="inlineStr">
        <is>
          <t>2026-06-18</t>
        </is>
      </c>
    </row>
    <row r="2814">
      <c r="A2814" s="232" t="inlineStr">
        <is>
          <t>CR-2811</t>
        </is>
      </c>
      <c r="B2814" s="232" t="inlineStr">
        <is>
          <t>2026/27</t>
        </is>
      </c>
      <c r="C2814" s="233" t="n">
        <v>46105</v>
      </c>
      <c r="D2814" s="232" t="inlineStr">
        <is>
          <t>642</t>
        </is>
      </c>
      <c r="E2814" s="232" t="inlineStr">
        <is>
          <t>PRORRATEO</t>
        </is>
      </c>
      <c r="F2814" s="232" t="inlineStr">
        <is>
          <t>Asmara</t>
        </is>
      </c>
      <c r="G2814" s="232" t="inlineStr">
        <is>
          <t>w. murcott 19,8 ha</t>
        </is>
      </c>
      <c r="H2814" s="232" t="inlineStr">
        <is>
          <t>Mandarina</t>
        </is>
      </c>
      <c r="I2814" s="232" t="inlineStr">
        <is>
          <t>W. murcott</t>
        </is>
      </c>
      <c r="J2814" s="232" t="inlineStr">
        <is>
          <t>LABORES OPERACIONALES</t>
        </is>
      </c>
      <c r="K2814" s="232" t="inlineStr">
        <is>
          <t>LAB. PACKING</t>
        </is>
      </c>
      <c r="L2814" s="232" t="inlineStr">
        <is>
          <t>[PRORRATEO 13.4% 19.8há/148.3há] SERV.CONTRATISTA</t>
        </is>
      </c>
      <c r="M2814" s="232" t="inlineStr"/>
      <c r="N2814" s="232" t="inlineStr">
        <is>
          <t>.   .   -</t>
        </is>
      </c>
      <c r="O2814" s="232" t="inlineStr">
        <is>
          <t>MARZO</t>
        </is>
      </c>
      <c r="P2814" s="232" t="n">
        <v>12</v>
      </c>
      <c r="Q2814" s="234" t="n">
        <v>694723</v>
      </c>
      <c r="R2814" s="232" t="inlineStr"/>
      <c r="S2814" s="234" t="n">
        <v>694723</v>
      </c>
      <c r="T2814" s="232" t="inlineStr">
        <is>
          <t>CLP</t>
        </is>
      </c>
      <c r="U2814" s="232" t="inlineStr">
        <is>
          <t>Prorrateo Ha PACKING</t>
        </is>
      </c>
      <c r="V2814" s="232" t="inlineStr">
        <is>
          <t>2026-06-18</t>
        </is>
      </c>
    </row>
    <row r="2815">
      <c r="A2815" s="232" t="inlineStr">
        <is>
          <t>CR-2812</t>
        </is>
      </c>
      <c r="B2815" s="232" t="inlineStr">
        <is>
          <t>2026/27</t>
        </is>
      </c>
      <c r="C2815" s="233" t="n">
        <v>46105</v>
      </c>
      <c r="D2815" s="232" t="inlineStr">
        <is>
          <t>642</t>
        </is>
      </c>
      <c r="E2815" s="232" t="inlineStr">
        <is>
          <t>PRORRATEO</t>
        </is>
      </c>
      <c r="F2815" s="232" t="inlineStr">
        <is>
          <t>Asmara</t>
        </is>
      </c>
      <c r="G2815" s="232" t="inlineStr">
        <is>
          <t>w. murcott 4,9 ha</t>
        </is>
      </c>
      <c r="H2815" s="232" t="inlineStr">
        <is>
          <t>Mandarina</t>
        </is>
      </c>
      <c r="I2815" s="232" t="inlineStr">
        <is>
          <t>W. murcott</t>
        </is>
      </c>
      <c r="J2815" s="232" t="inlineStr">
        <is>
          <t>LABORES OPERACIONALES</t>
        </is>
      </c>
      <c r="K2815" s="232" t="inlineStr">
        <is>
          <t>LAB. PACKING</t>
        </is>
      </c>
      <c r="L2815" s="232" t="inlineStr">
        <is>
          <t>[PRORRATEO 3.3% 4.9há/148.3há] SERV.CONTRATISTA</t>
        </is>
      </c>
      <c r="M2815" s="232" t="inlineStr"/>
      <c r="N2815" s="232" t="inlineStr">
        <is>
          <t>.   .   -</t>
        </is>
      </c>
      <c r="O2815" s="232" t="inlineStr">
        <is>
          <t>MARZO</t>
        </is>
      </c>
      <c r="P2815" s="232" t="n">
        <v>12</v>
      </c>
      <c r="Q2815" s="234" t="n">
        <v>171926</v>
      </c>
      <c r="R2815" s="232" t="inlineStr"/>
      <c r="S2815" s="234" t="n">
        <v>171926</v>
      </c>
      <c r="T2815" s="232" t="inlineStr">
        <is>
          <t>CLP</t>
        </is>
      </c>
      <c r="U2815" s="232" t="inlineStr">
        <is>
          <t>Prorrateo Ha PACKING</t>
        </is>
      </c>
      <c r="V2815" s="232" t="inlineStr">
        <is>
          <t>2026-06-18</t>
        </is>
      </c>
    </row>
    <row r="2816">
      <c r="A2816" s="232" t="inlineStr">
        <is>
          <t>CR-2813</t>
        </is>
      </c>
      <c r="B2816" s="232" t="inlineStr">
        <is>
          <t>2026/27</t>
        </is>
      </c>
      <c r="C2816" s="233" t="n">
        <v>46105</v>
      </c>
      <c r="D2816" s="232" t="inlineStr">
        <is>
          <t>642</t>
        </is>
      </c>
      <c r="E2816" s="232" t="inlineStr">
        <is>
          <t>PRORRATEO</t>
        </is>
      </c>
      <c r="F2816" s="232" t="inlineStr">
        <is>
          <t>El Molle</t>
        </is>
      </c>
      <c r="G2816" s="232" t="inlineStr">
        <is>
          <t>Wonderful 5,25 ha</t>
        </is>
      </c>
      <c r="H2816" s="232" t="inlineStr">
        <is>
          <t>Granados</t>
        </is>
      </c>
      <c r="I2816" s="232" t="inlineStr">
        <is>
          <t>Wonderfull</t>
        </is>
      </c>
      <c r="J2816" s="232" t="inlineStr">
        <is>
          <t>LABORES OPERACIONALES</t>
        </is>
      </c>
      <c r="K2816" s="232" t="inlineStr">
        <is>
          <t>LAB. PACKING</t>
        </is>
      </c>
      <c r="L2816" s="232" t="inlineStr">
        <is>
          <t>[PRORRATEO 3.5% 5.24há/148.3há] SERV.CONTRATISTA</t>
        </is>
      </c>
      <c r="M2816" s="232" t="inlineStr"/>
      <c r="N2816" s="232" t="inlineStr">
        <is>
          <t>.   .   -</t>
        </is>
      </c>
      <c r="O2816" s="232" t="inlineStr">
        <is>
          <t>MARZO</t>
        </is>
      </c>
      <c r="P2816" s="232" t="n">
        <v>12</v>
      </c>
      <c r="Q2816" s="234" t="n">
        <v>183856</v>
      </c>
      <c r="R2816" s="232" t="inlineStr"/>
      <c r="S2816" s="234" t="n">
        <v>183856</v>
      </c>
      <c r="T2816" s="232" t="inlineStr">
        <is>
          <t>CLP</t>
        </is>
      </c>
      <c r="U2816" s="232" t="inlineStr">
        <is>
          <t>Prorrateo Ha PACKING</t>
        </is>
      </c>
      <c r="V2816" s="232" t="inlineStr">
        <is>
          <t>2026-06-18</t>
        </is>
      </c>
    </row>
    <row r="2817">
      <c r="A2817" s="232" t="inlineStr">
        <is>
          <t>CR-2814</t>
        </is>
      </c>
      <c r="B2817" s="232" t="inlineStr">
        <is>
          <t>2026/27</t>
        </is>
      </c>
      <c r="C2817" s="233" t="n">
        <v>46105</v>
      </c>
      <c r="D2817" s="232" t="inlineStr">
        <is>
          <t>642</t>
        </is>
      </c>
      <c r="E2817" s="232" t="inlineStr">
        <is>
          <t>PRORRATEO</t>
        </is>
      </c>
      <c r="F2817" s="232" t="inlineStr">
        <is>
          <t>El Molle</t>
        </is>
      </c>
      <c r="G2817" s="232" t="inlineStr">
        <is>
          <t>arrufatinas 5,74 ha</t>
        </is>
      </c>
      <c r="H2817" s="232" t="inlineStr">
        <is>
          <t>Clementinas</t>
        </is>
      </c>
      <c r="I2817" s="232" t="inlineStr">
        <is>
          <t>Arrufatinas</t>
        </is>
      </c>
      <c r="J2817" s="232" t="inlineStr">
        <is>
          <t>LABORES OPERACIONALES</t>
        </is>
      </c>
      <c r="K2817" s="232" t="inlineStr">
        <is>
          <t>LAB. PACKING</t>
        </is>
      </c>
      <c r="L2817" s="232" t="inlineStr">
        <is>
          <t>[PRORRATEO 3.9% 5.74há/148.3há] SERV.CONTRATISTA</t>
        </is>
      </c>
      <c r="M2817" s="232" t="inlineStr"/>
      <c r="N2817" s="232" t="inlineStr">
        <is>
          <t>.   .   -</t>
        </is>
      </c>
      <c r="O2817" s="232" t="inlineStr">
        <is>
          <t>MARZO</t>
        </is>
      </c>
      <c r="P2817" s="232" t="n">
        <v>12</v>
      </c>
      <c r="Q2817" s="234" t="n">
        <v>201399</v>
      </c>
      <c r="R2817" s="232" t="inlineStr"/>
      <c r="S2817" s="234" t="n">
        <v>201399</v>
      </c>
      <c r="T2817" s="232" t="inlineStr">
        <is>
          <t>CLP</t>
        </is>
      </c>
      <c r="U2817" s="232" t="inlineStr">
        <is>
          <t>Prorrateo Ha PACKING</t>
        </is>
      </c>
      <c r="V2817" s="232" t="inlineStr">
        <is>
          <t>2026-06-18</t>
        </is>
      </c>
    </row>
    <row r="2818">
      <c r="A2818" s="232" t="inlineStr">
        <is>
          <t>CR-2815</t>
        </is>
      </c>
      <c r="B2818" s="232" t="inlineStr">
        <is>
          <t>2026/27</t>
        </is>
      </c>
      <c r="C2818" s="233" t="n">
        <v>46105</v>
      </c>
      <c r="D2818" s="232" t="inlineStr">
        <is>
          <t>642</t>
        </is>
      </c>
      <c r="E2818" s="232" t="inlineStr">
        <is>
          <t>PRORRATEO</t>
        </is>
      </c>
      <c r="F2818" s="232" t="inlineStr">
        <is>
          <t>El Molle</t>
        </is>
      </c>
      <c r="G2818" s="232" t="inlineStr">
        <is>
          <t>orogrande 8,11 ha</t>
        </is>
      </c>
      <c r="H2818" s="232" t="inlineStr">
        <is>
          <t>Clementinas</t>
        </is>
      </c>
      <c r="I2818" s="232" t="inlineStr">
        <is>
          <t>Orogrande</t>
        </is>
      </c>
      <c r="J2818" s="232" t="inlineStr">
        <is>
          <t>LABORES OPERACIONALES</t>
        </is>
      </c>
      <c r="K2818" s="232" t="inlineStr">
        <is>
          <t>LAB. PACKING</t>
        </is>
      </c>
      <c r="L2818" s="232" t="inlineStr">
        <is>
          <t>[PRORRATEO 5.5% 8.11há/148.3há] SERV.CONTRATISTA</t>
        </is>
      </c>
      <c r="M2818" s="232" t="inlineStr"/>
      <c r="N2818" s="232" t="inlineStr">
        <is>
          <t>.   .   -</t>
        </is>
      </c>
      <c r="O2818" s="232" t="inlineStr">
        <is>
          <t>MARZO</t>
        </is>
      </c>
      <c r="P2818" s="232" t="n">
        <v>12</v>
      </c>
      <c r="Q2818" s="234" t="n">
        <v>284556</v>
      </c>
      <c r="R2818" s="232" t="inlineStr"/>
      <c r="S2818" s="234" t="n">
        <v>284556</v>
      </c>
      <c r="T2818" s="232" t="inlineStr">
        <is>
          <t>CLP</t>
        </is>
      </c>
      <c r="U2818" s="232" t="inlineStr">
        <is>
          <t>Prorrateo Ha PACKING</t>
        </is>
      </c>
      <c r="V2818" s="232" t="inlineStr">
        <is>
          <t>2026-06-18</t>
        </is>
      </c>
    </row>
    <row r="2819">
      <c r="A2819" s="232" t="inlineStr">
        <is>
          <t>CR-2816</t>
        </is>
      </c>
      <c r="B2819" s="232" t="inlineStr">
        <is>
          <t>2026/27</t>
        </is>
      </c>
      <c r="C2819" s="233" t="n">
        <v>46105</v>
      </c>
      <c r="D2819" s="232" t="inlineStr">
        <is>
          <t>642</t>
        </is>
      </c>
      <c r="E2819" s="232" t="inlineStr">
        <is>
          <t>PRORRATEO</t>
        </is>
      </c>
      <c r="F2819" s="232" t="inlineStr">
        <is>
          <t>El Molle</t>
        </is>
      </c>
      <c r="G2819" s="232" t="inlineStr">
        <is>
          <t>oronules 5,35 ha</t>
        </is>
      </c>
      <c r="H2819" s="232" t="inlineStr">
        <is>
          <t>Clementinas</t>
        </is>
      </c>
      <c r="I2819" s="232" t="inlineStr">
        <is>
          <t>Oronules</t>
        </is>
      </c>
      <c r="J2819" s="232" t="inlineStr">
        <is>
          <t>LABORES OPERACIONALES</t>
        </is>
      </c>
      <c r="K2819" s="232" t="inlineStr">
        <is>
          <t>LAB. PACKING</t>
        </is>
      </c>
      <c r="L2819" s="232" t="inlineStr">
        <is>
          <t>[PRORRATEO 3.6% 5.35há/148.3há] SERV.CONTRATISTA</t>
        </is>
      </c>
      <c r="M2819" s="232" t="inlineStr"/>
      <c r="N2819" s="232" t="inlineStr">
        <is>
          <t>.   .   -</t>
        </is>
      </c>
      <c r="O2819" s="232" t="inlineStr">
        <is>
          <t>MARZO</t>
        </is>
      </c>
      <c r="P2819" s="232" t="n">
        <v>12</v>
      </c>
      <c r="Q2819" s="234" t="n">
        <v>187715</v>
      </c>
      <c r="R2819" s="232" t="inlineStr"/>
      <c r="S2819" s="234" t="n">
        <v>187715</v>
      </c>
      <c r="T2819" s="232" t="inlineStr">
        <is>
          <t>CLP</t>
        </is>
      </c>
      <c r="U2819" s="232" t="inlineStr">
        <is>
          <t>Prorrateo Ha PACKING</t>
        </is>
      </c>
      <c r="V2819" s="232" t="inlineStr">
        <is>
          <t>2026-06-18</t>
        </is>
      </c>
    </row>
    <row r="2820">
      <c r="A2820" s="232" t="inlineStr">
        <is>
          <t>CR-2817</t>
        </is>
      </c>
      <c r="B2820" s="232" t="inlineStr">
        <is>
          <t>2026/27</t>
        </is>
      </c>
      <c r="C2820" s="233" t="n">
        <v>46105</v>
      </c>
      <c r="D2820" s="232" t="inlineStr">
        <is>
          <t>642</t>
        </is>
      </c>
      <c r="E2820" s="232" t="inlineStr">
        <is>
          <t>PRORRATEO</t>
        </is>
      </c>
      <c r="F2820" s="232" t="inlineStr">
        <is>
          <t>Santa Catalina</t>
        </is>
      </c>
      <c r="G2820" s="232" t="inlineStr">
        <is>
          <t>Fino 49 7,7 ha</t>
        </is>
      </c>
      <c r="H2820" s="232" t="inlineStr">
        <is>
          <t>Limon</t>
        </is>
      </c>
      <c r="I2820" s="232" t="inlineStr">
        <is>
          <t>Fino 49</t>
        </is>
      </c>
      <c r="J2820" s="232" t="inlineStr">
        <is>
          <t>LABORES OPERACIONALES</t>
        </is>
      </c>
      <c r="K2820" s="232" t="inlineStr">
        <is>
          <t>LAB. PACKING</t>
        </is>
      </c>
      <c r="L2820" s="232" t="inlineStr">
        <is>
          <t>[PRORRATEO 5.2% 7.7há/148.3há] SERV.CONTRATISTA</t>
        </is>
      </c>
      <c r="M2820" s="232" t="inlineStr"/>
      <c r="N2820" s="232" t="inlineStr">
        <is>
          <t>.   .   -</t>
        </is>
      </c>
      <c r="O2820" s="232" t="inlineStr">
        <is>
          <t>MARZO</t>
        </is>
      </c>
      <c r="P2820" s="232" t="n">
        <v>12</v>
      </c>
      <c r="Q2820" s="234" t="n">
        <v>270170</v>
      </c>
      <c r="R2820" s="232" t="inlineStr"/>
      <c r="S2820" s="234" t="n">
        <v>270170</v>
      </c>
      <c r="T2820" s="232" t="inlineStr">
        <is>
          <t>CLP</t>
        </is>
      </c>
      <c r="U2820" s="232" t="inlineStr">
        <is>
          <t>Prorrateo Ha PACKING</t>
        </is>
      </c>
      <c r="V2820" s="232" t="inlineStr">
        <is>
          <t>2026-06-18</t>
        </is>
      </c>
    </row>
    <row r="2821">
      <c r="A2821" s="232" t="inlineStr">
        <is>
          <t>CR-2818</t>
        </is>
      </c>
      <c r="B2821" s="232" t="inlineStr">
        <is>
          <t>2026/27</t>
        </is>
      </c>
      <c r="C2821" s="233" t="n">
        <v>46105</v>
      </c>
      <c r="D2821" s="232" t="inlineStr">
        <is>
          <t>642</t>
        </is>
      </c>
      <c r="E2821" s="232" t="inlineStr">
        <is>
          <t>PRORRATEO</t>
        </is>
      </c>
      <c r="F2821" s="232" t="inlineStr">
        <is>
          <t>Santa Catalina</t>
        </is>
      </c>
      <c r="G2821" s="232" t="inlineStr">
        <is>
          <t>W. murcott 21 ha</t>
        </is>
      </c>
      <c r="H2821" s="232" t="inlineStr">
        <is>
          <t>Mandarina</t>
        </is>
      </c>
      <c r="I2821" s="232" t="inlineStr">
        <is>
          <t>W. murcott</t>
        </is>
      </c>
      <c r="J2821" s="232" t="inlineStr">
        <is>
          <t>LABORES OPERACIONALES</t>
        </is>
      </c>
      <c r="K2821" s="232" t="inlineStr">
        <is>
          <t>LAB. PACKING</t>
        </is>
      </c>
      <c r="L2821" s="232" t="inlineStr">
        <is>
          <t>[PRORRATEO 14.2% 21.0há/148.3há] SERV.CONTRATISTA</t>
        </is>
      </c>
      <c r="M2821" s="232" t="inlineStr"/>
      <c r="N2821" s="232" t="inlineStr">
        <is>
          <t>.   .   -</t>
        </is>
      </c>
      <c r="O2821" s="232" t="inlineStr">
        <is>
          <t>MARZO</t>
        </is>
      </c>
      <c r="P2821" s="232" t="n">
        <v>12</v>
      </c>
      <c r="Q2821" s="234" t="n">
        <v>736827</v>
      </c>
      <c r="R2821" s="232" t="inlineStr"/>
      <c r="S2821" s="234" t="n">
        <v>736827</v>
      </c>
      <c r="T2821" s="232" t="inlineStr">
        <is>
          <t>CLP</t>
        </is>
      </c>
      <c r="U2821" s="232" t="inlineStr">
        <is>
          <t>Prorrateo Ha PACKING</t>
        </is>
      </c>
      <c r="V2821" s="232" t="inlineStr">
        <is>
          <t>2026-06-18</t>
        </is>
      </c>
    </row>
    <row r="2822">
      <c r="A2822" s="232" t="inlineStr">
        <is>
          <t>CR-2819</t>
        </is>
      </c>
      <c r="B2822" s="232" t="inlineStr">
        <is>
          <t>2026/27</t>
        </is>
      </c>
      <c r="C2822" s="233" t="n">
        <v>46105</v>
      </c>
      <c r="D2822" s="232" t="inlineStr">
        <is>
          <t>642</t>
        </is>
      </c>
      <c r="E2822" s="232" t="inlineStr">
        <is>
          <t>PRORRATEO</t>
        </is>
      </c>
      <c r="F2822" s="232" t="inlineStr">
        <is>
          <t>Santa Catalina</t>
        </is>
      </c>
      <c r="G2822" s="232" t="inlineStr">
        <is>
          <t>cambria 4,2 ha</t>
        </is>
      </c>
      <c r="H2822" s="232" t="inlineStr">
        <is>
          <t>Naranjas</t>
        </is>
      </c>
      <c r="I2822" s="232" t="inlineStr">
        <is>
          <t>Cambria</t>
        </is>
      </c>
      <c r="J2822" s="232" t="inlineStr">
        <is>
          <t>LABORES OPERACIONALES</t>
        </is>
      </c>
      <c r="K2822" s="232" t="inlineStr">
        <is>
          <t>LAB. PACKING</t>
        </is>
      </c>
      <c r="L2822" s="232" t="inlineStr">
        <is>
          <t>[PRORRATEO 2.8% 4.2há/148.3há] SERV.CONTRATISTA</t>
        </is>
      </c>
      <c r="M2822" s="232" t="inlineStr"/>
      <c r="N2822" s="232" t="inlineStr">
        <is>
          <t>.   .   -</t>
        </is>
      </c>
      <c r="O2822" s="232" t="inlineStr">
        <is>
          <t>MARZO</t>
        </is>
      </c>
      <c r="P2822" s="232" t="n">
        <v>12</v>
      </c>
      <c r="Q2822" s="234" t="n">
        <v>147365</v>
      </c>
      <c r="R2822" s="232" t="inlineStr"/>
      <c r="S2822" s="234" t="n">
        <v>147365</v>
      </c>
      <c r="T2822" s="232" t="inlineStr">
        <is>
          <t>CLP</t>
        </is>
      </c>
      <c r="U2822" s="232" t="inlineStr">
        <is>
          <t>Prorrateo Ha PACKING</t>
        </is>
      </c>
      <c r="V2822" s="232" t="inlineStr">
        <is>
          <t>2026-06-18</t>
        </is>
      </c>
    </row>
    <row r="2823">
      <c r="A2823" s="232" t="inlineStr">
        <is>
          <t>CR-2820</t>
        </is>
      </c>
      <c r="B2823" s="232" t="inlineStr">
        <is>
          <t>2026/27</t>
        </is>
      </c>
      <c r="C2823" s="233" t="n">
        <v>46105</v>
      </c>
      <c r="D2823" s="232" t="inlineStr">
        <is>
          <t>642</t>
        </is>
      </c>
      <c r="E2823" s="232" t="inlineStr">
        <is>
          <t>PRORRATEO</t>
        </is>
      </c>
      <c r="F2823" s="232" t="inlineStr">
        <is>
          <t>Santa Catalina</t>
        </is>
      </c>
      <c r="G2823" s="232" t="inlineStr">
        <is>
          <t>eureka 10,6 ha</t>
        </is>
      </c>
      <c r="H2823" s="232" t="inlineStr">
        <is>
          <t>Limon</t>
        </is>
      </c>
      <c r="I2823" s="232" t="inlineStr">
        <is>
          <t>Eureka</t>
        </is>
      </c>
      <c r="J2823" s="232" t="inlineStr">
        <is>
          <t>LABORES OPERACIONALES</t>
        </is>
      </c>
      <c r="K2823" s="232" t="inlineStr">
        <is>
          <t>LAB. PACKING</t>
        </is>
      </c>
      <c r="L2823" s="232" t="inlineStr">
        <is>
          <t>[PRORRATEO 7.1% 10.6há/148.3há] SERV.CONTRATISTA</t>
        </is>
      </c>
      <c r="M2823" s="232" t="inlineStr"/>
      <c r="N2823" s="232" t="inlineStr">
        <is>
          <t>.   .   -</t>
        </is>
      </c>
      <c r="O2823" s="232" t="inlineStr">
        <is>
          <t>MARZO</t>
        </is>
      </c>
      <c r="P2823" s="232" t="n">
        <v>12</v>
      </c>
      <c r="Q2823" s="234" t="n">
        <v>371922</v>
      </c>
      <c r="R2823" s="232" t="inlineStr"/>
      <c r="S2823" s="234" t="n">
        <v>371922</v>
      </c>
      <c r="T2823" s="232" t="inlineStr">
        <is>
          <t>CLP</t>
        </is>
      </c>
      <c r="U2823" s="232" t="inlineStr">
        <is>
          <t>Prorrateo Ha PACKING</t>
        </is>
      </c>
      <c r="V2823" s="232" t="inlineStr">
        <is>
          <t>2026-06-18</t>
        </is>
      </c>
    </row>
    <row r="2824">
      <c r="A2824" s="232" t="inlineStr">
        <is>
          <t>CR-2821</t>
        </is>
      </c>
      <c r="B2824" s="232" t="inlineStr">
        <is>
          <t>2026/27</t>
        </is>
      </c>
      <c r="C2824" s="233" t="n">
        <v>46105</v>
      </c>
      <c r="D2824" s="232" t="inlineStr">
        <is>
          <t>642</t>
        </is>
      </c>
      <c r="E2824" s="232" t="inlineStr">
        <is>
          <t>PRORRATEO</t>
        </is>
      </c>
      <c r="F2824" s="232" t="inlineStr">
        <is>
          <t>Santa Catalina</t>
        </is>
      </c>
      <c r="G2824" s="232" t="inlineStr">
        <is>
          <t>eureka 14,4 ha</t>
        </is>
      </c>
      <c r="H2824" s="232" t="inlineStr">
        <is>
          <t>Limon</t>
        </is>
      </c>
      <c r="I2824" s="232" t="inlineStr">
        <is>
          <t>Eureka</t>
        </is>
      </c>
      <c r="J2824" s="232" t="inlineStr">
        <is>
          <t>LABORES OPERACIONALES</t>
        </is>
      </c>
      <c r="K2824" s="232" t="inlineStr">
        <is>
          <t>LAB. PACKING</t>
        </is>
      </c>
      <c r="L2824" s="232" t="inlineStr">
        <is>
          <t>[PRORRATEO 9.7% 14.4há/148.3há] SERV.CONTRATISTA</t>
        </is>
      </c>
      <c r="M2824" s="232" t="inlineStr"/>
      <c r="N2824" s="232" t="inlineStr">
        <is>
          <t>.   .   -</t>
        </is>
      </c>
      <c r="O2824" s="232" t="inlineStr">
        <is>
          <t>MARZO</t>
        </is>
      </c>
      <c r="P2824" s="232" t="n">
        <v>12</v>
      </c>
      <c r="Q2824" s="234" t="n">
        <v>505253</v>
      </c>
      <c r="R2824" s="232" t="inlineStr"/>
      <c r="S2824" s="234" t="n">
        <v>505253</v>
      </c>
      <c r="T2824" s="232" t="inlineStr">
        <is>
          <t>CLP</t>
        </is>
      </c>
      <c r="U2824" s="232" t="inlineStr">
        <is>
          <t>Prorrateo Ha PACKING</t>
        </is>
      </c>
      <c r="V2824" s="232" t="inlineStr">
        <is>
          <t>2026-06-18</t>
        </is>
      </c>
    </row>
    <row r="2825">
      <c r="A2825" s="232" t="inlineStr">
        <is>
          <t>CR-2822</t>
        </is>
      </c>
      <c r="B2825" s="232" t="inlineStr">
        <is>
          <t>2026/27</t>
        </is>
      </c>
      <c r="C2825" s="233" t="n">
        <v>46105</v>
      </c>
      <c r="D2825" s="232" t="inlineStr">
        <is>
          <t>642</t>
        </is>
      </c>
      <c r="E2825" s="232" t="inlineStr">
        <is>
          <t>PRORRATEO</t>
        </is>
      </c>
      <c r="F2825" s="232" t="inlineStr">
        <is>
          <t>Santa Catalina</t>
        </is>
      </c>
      <c r="G2825" s="232" t="inlineStr">
        <is>
          <t>eureka 22,55</t>
        </is>
      </c>
      <c r="H2825" s="232" t="inlineStr">
        <is>
          <t>Limon</t>
        </is>
      </c>
      <c r="I2825" s="232" t="inlineStr">
        <is>
          <t>Eureka</t>
        </is>
      </c>
      <c r="J2825" s="232" t="inlineStr">
        <is>
          <t>LABORES OPERACIONALES</t>
        </is>
      </c>
      <c r="K2825" s="232" t="inlineStr">
        <is>
          <t>LAB. PACKING</t>
        </is>
      </c>
      <c r="L2825" s="232" t="inlineStr">
        <is>
          <t>[PRORRATEO 15.2% 22.55há/148.3há] SERV.CONTRATISTA</t>
        </is>
      </c>
      <c r="M2825" s="232" t="inlineStr"/>
      <c r="N2825" s="232" t="inlineStr">
        <is>
          <t>.   .   -</t>
        </is>
      </c>
      <c r="O2825" s="232" t="inlineStr">
        <is>
          <t>MARZO</t>
        </is>
      </c>
      <c r="P2825" s="232" t="n">
        <v>12</v>
      </c>
      <c r="Q2825" s="234" t="n">
        <v>791212</v>
      </c>
      <c r="R2825" s="232" t="inlineStr"/>
      <c r="S2825" s="234" t="n">
        <v>791212</v>
      </c>
      <c r="T2825" s="232" t="inlineStr">
        <is>
          <t>CLP</t>
        </is>
      </c>
      <c r="U2825" s="232" t="inlineStr">
        <is>
          <t>Prorrateo Ha PACKING</t>
        </is>
      </c>
      <c r="V2825" s="232" t="inlineStr">
        <is>
          <t>2026-06-18</t>
        </is>
      </c>
    </row>
    <row r="2826">
      <c r="A2826" s="232" t="inlineStr">
        <is>
          <t>CR-2823</t>
        </is>
      </c>
      <c r="B2826" s="232" t="inlineStr">
        <is>
          <t>2026/27</t>
        </is>
      </c>
      <c r="C2826" s="233" t="n">
        <v>46105</v>
      </c>
      <c r="D2826" s="232" t="inlineStr">
        <is>
          <t>642</t>
        </is>
      </c>
      <c r="E2826" s="232" t="inlineStr">
        <is>
          <t>PRORRATEO</t>
        </is>
      </c>
      <c r="F2826" s="232" t="inlineStr">
        <is>
          <t>Santa Catalina</t>
        </is>
      </c>
      <c r="G2826" s="232" t="inlineStr">
        <is>
          <t>form benjamin 1,93 ha</t>
        </is>
      </c>
      <c r="H2826" s="232" t="inlineStr">
        <is>
          <t>Limon</t>
        </is>
      </c>
      <c r="I2826" s="232" t="inlineStr">
        <is>
          <t>Benjamin andes</t>
        </is>
      </c>
      <c r="J2826" s="232" t="inlineStr">
        <is>
          <t>LABORES OPERACIONALES</t>
        </is>
      </c>
      <c r="K2826" s="232" t="inlineStr">
        <is>
          <t>LAB. PACKING</t>
        </is>
      </c>
      <c r="L2826" s="232" t="inlineStr">
        <is>
          <t>[PRORRATEO 1.3% 1.93há/148.3há] SERV.CONTRATISTA</t>
        </is>
      </c>
      <c r="M2826" s="232" t="inlineStr"/>
      <c r="N2826" s="232" t="inlineStr">
        <is>
          <t>.   .   -</t>
        </is>
      </c>
      <c r="O2826" s="232" t="inlineStr">
        <is>
          <t>MARZO</t>
        </is>
      </c>
      <c r="P2826" s="232" t="n">
        <v>12</v>
      </c>
      <c r="Q2826" s="234" t="n">
        <v>67718</v>
      </c>
      <c r="R2826" s="232" t="inlineStr"/>
      <c r="S2826" s="234" t="n">
        <v>67718</v>
      </c>
      <c r="T2826" s="232" t="inlineStr">
        <is>
          <t>CLP</t>
        </is>
      </c>
      <c r="U2826" s="232" t="inlineStr">
        <is>
          <t>Prorrateo Ha PACKING</t>
        </is>
      </c>
      <c r="V2826" s="232" t="inlineStr">
        <is>
          <t>2026-06-18</t>
        </is>
      </c>
    </row>
    <row r="2827">
      <c r="A2827" s="232" t="inlineStr">
        <is>
          <t>CR-2824</t>
        </is>
      </c>
      <c r="B2827" s="232" t="inlineStr">
        <is>
          <t>2026/27</t>
        </is>
      </c>
      <c r="C2827" s="233" t="n">
        <v>46105</v>
      </c>
      <c r="D2827" s="232" t="inlineStr">
        <is>
          <t>642</t>
        </is>
      </c>
      <c r="E2827" s="232" t="inlineStr">
        <is>
          <t>PRORRATEO</t>
        </is>
      </c>
      <c r="F2827" s="232" t="inlineStr">
        <is>
          <t>Santa Catalina</t>
        </is>
      </c>
      <c r="G2827" s="232" t="inlineStr">
        <is>
          <t>mant eureka 2,5 ha</t>
        </is>
      </c>
      <c r="H2827" s="232" t="inlineStr">
        <is>
          <t>Limon</t>
        </is>
      </c>
      <c r="I2827" s="232" t="inlineStr">
        <is>
          <t>Eureka</t>
        </is>
      </c>
      <c r="J2827" s="232" t="inlineStr">
        <is>
          <t>LABORES OPERACIONALES</t>
        </is>
      </c>
      <c r="K2827" s="232" t="inlineStr">
        <is>
          <t>LAB. PACKING</t>
        </is>
      </c>
      <c r="L2827" s="232" t="inlineStr">
        <is>
          <t>[PRORRATEO 1.7% 2.5há/148.3há] SERV.CONTRATISTA</t>
        </is>
      </c>
      <c r="M2827" s="232" t="inlineStr"/>
      <c r="N2827" s="232" t="inlineStr">
        <is>
          <t>.   .   -</t>
        </is>
      </c>
      <c r="O2827" s="232" t="inlineStr">
        <is>
          <t>MARZO</t>
        </is>
      </c>
      <c r="P2827" s="232" t="n">
        <v>12</v>
      </c>
      <c r="Q2827" s="234" t="n">
        <v>87718</v>
      </c>
      <c r="R2827" s="232" t="inlineStr"/>
      <c r="S2827" s="234" t="n">
        <v>87718</v>
      </c>
      <c r="T2827" s="232" t="inlineStr">
        <is>
          <t>CLP</t>
        </is>
      </c>
      <c r="U2827" s="232" t="inlineStr">
        <is>
          <t>Prorrateo Ha PACKING</t>
        </is>
      </c>
      <c r="V2827" s="232" t="inlineStr">
        <is>
          <t>2026-06-18</t>
        </is>
      </c>
    </row>
    <row r="2828">
      <c r="A2828" s="232" t="inlineStr">
        <is>
          <t>CR-2825</t>
        </is>
      </c>
      <c r="B2828" s="232" t="inlineStr">
        <is>
          <t>2026/27</t>
        </is>
      </c>
      <c r="C2828" s="233" t="n">
        <v>46105</v>
      </c>
      <c r="D2828" s="232" t="inlineStr">
        <is>
          <t>642</t>
        </is>
      </c>
      <c r="E2828" s="232" t="inlineStr">
        <is>
          <t>PRORRATEO</t>
        </is>
      </c>
      <c r="F2828" s="232" t="inlineStr">
        <is>
          <t>Siberia</t>
        </is>
      </c>
      <c r="G2828" s="232" t="inlineStr">
        <is>
          <t>S. Celebration 7,14</t>
        </is>
      </c>
      <c r="H2828" s="232" t="inlineStr">
        <is>
          <t>Uvas</t>
        </is>
      </c>
      <c r="I2828" s="232" t="inlineStr">
        <is>
          <t>S. celebration</t>
        </is>
      </c>
      <c r="J2828" s="232" t="inlineStr">
        <is>
          <t>LABORES OPERACIONALES</t>
        </is>
      </c>
      <c r="K2828" s="232" t="inlineStr">
        <is>
          <t>LAB. PACKING</t>
        </is>
      </c>
      <c r="L2828" s="232" t="inlineStr">
        <is>
          <t>[PRORRATEO 4.8% 7.14há/148.3há] SERV.CONTRATISTA</t>
        </is>
      </c>
      <c r="M2828" s="232" t="inlineStr"/>
      <c r="N2828" s="232" t="inlineStr">
        <is>
          <t>.   .   -</t>
        </is>
      </c>
      <c r="O2828" s="232" t="inlineStr">
        <is>
          <t>MARZO</t>
        </is>
      </c>
      <c r="P2828" s="232" t="n">
        <v>12</v>
      </c>
      <c r="Q2828" s="234" t="n">
        <v>250521</v>
      </c>
      <c r="R2828" s="232" t="inlineStr"/>
      <c r="S2828" s="234" t="n">
        <v>250521</v>
      </c>
      <c r="T2828" s="232" t="inlineStr">
        <is>
          <t>CLP</t>
        </is>
      </c>
      <c r="U2828" s="232" t="inlineStr">
        <is>
          <t>Prorrateo Ha PACKING</t>
        </is>
      </c>
      <c r="V2828" s="232" t="inlineStr">
        <is>
          <t>2026-06-18</t>
        </is>
      </c>
    </row>
    <row r="2829">
      <c r="A2829" s="232" t="inlineStr">
        <is>
          <t>CR-2826</t>
        </is>
      </c>
      <c r="B2829" s="232" t="inlineStr">
        <is>
          <t>2026/27</t>
        </is>
      </c>
      <c r="C2829" s="233" t="n">
        <v>46105</v>
      </c>
      <c r="D2829" s="232" t="inlineStr">
        <is>
          <t>642</t>
        </is>
      </c>
      <c r="E2829" s="232" t="inlineStr">
        <is>
          <t>PRORRATEO</t>
        </is>
      </c>
      <c r="F2829" s="232" t="inlineStr">
        <is>
          <t>Siberia</t>
        </is>
      </c>
      <c r="G2829" s="232" t="inlineStr">
        <is>
          <t>Timpson 7,1</t>
        </is>
      </c>
      <c r="H2829" s="232" t="inlineStr">
        <is>
          <t>Uvas</t>
        </is>
      </c>
      <c r="I2829" s="232" t="inlineStr">
        <is>
          <t>Timpson</t>
        </is>
      </c>
      <c r="J2829" s="232" t="inlineStr">
        <is>
          <t>LABORES OPERACIONALES</t>
        </is>
      </c>
      <c r="K2829" s="232" t="inlineStr">
        <is>
          <t>LAB. PACKING</t>
        </is>
      </c>
      <c r="L2829" s="232" t="inlineStr">
        <is>
          <t>[PRORRATEO 4.8% 7.1há/148.3há] SERV.CONTRATISTA</t>
        </is>
      </c>
      <c r="M2829" s="232" t="inlineStr"/>
      <c r="N2829" s="232" t="inlineStr">
        <is>
          <t>.   .   -</t>
        </is>
      </c>
      <c r="O2829" s="232" t="inlineStr">
        <is>
          <t>MARZO</t>
        </is>
      </c>
      <c r="P2829" s="232" t="n">
        <v>12</v>
      </c>
      <c r="Q2829" s="234" t="n">
        <v>249118</v>
      </c>
      <c r="R2829" s="232" t="inlineStr"/>
      <c r="S2829" s="234" t="n">
        <v>249118</v>
      </c>
      <c r="T2829" s="232" t="inlineStr">
        <is>
          <t>CLP</t>
        </is>
      </c>
      <c r="U2829" s="232" t="inlineStr">
        <is>
          <t>Prorrateo Ha PACKING</t>
        </is>
      </c>
      <c r="V2829" s="232" t="inlineStr">
        <is>
          <t>2026-06-18</t>
        </is>
      </c>
    </row>
    <row r="2830">
      <c r="A2830" s="232" t="inlineStr">
        <is>
          <t>CR-2827</t>
        </is>
      </c>
      <c r="B2830" s="232" t="inlineStr">
        <is>
          <t>2026/27</t>
        </is>
      </c>
      <c r="C2830" s="233" t="n">
        <v>46111</v>
      </c>
      <c r="D2830" s="232" t="inlineStr">
        <is>
          <t>175947</t>
        </is>
      </c>
      <c r="E2830" s="232" t="inlineStr">
        <is>
          <t>PRORRATEO</t>
        </is>
      </c>
      <c r="F2830" s="232" t="inlineStr">
        <is>
          <t>Asmara</t>
        </is>
      </c>
      <c r="G2830" s="232" t="inlineStr">
        <is>
          <t>w. murcott 19,8 ha</t>
        </is>
      </c>
      <c r="H2830" s="232" t="inlineStr">
        <is>
          <t>Mandarina</t>
        </is>
      </c>
      <c r="I2830" s="232" t="inlineStr">
        <is>
          <t>W. murcott</t>
        </is>
      </c>
      <c r="J2830" s="232" t="inlineStr">
        <is>
          <t>FLETES</t>
        </is>
      </c>
      <c r="K2830" s="232" t="inlineStr">
        <is>
          <t>FLETE TRASLADO MATERIALES</t>
        </is>
      </c>
      <c r="L2830" s="232" t="inlineStr">
        <is>
          <t>[PRORRATEO 13.4% 19.8há/148.3há] O/001545 FLETE</t>
        </is>
      </c>
      <c r="M2830" s="232" t="inlineStr"/>
      <c r="N2830" s="232" t="inlineStr">
        <is>
          <t>.   .   -</t>
        </is>
      </c>
      <c r="O2830" s="232" t="inlineStr">
        <is>
          <t>MARZO</t>
        </is>
      </c>
      <c r="P2830" s="232" t="n">
        <v>13</v>
      </c>
      <c r="Q2830" s="234" t="n">
        <v>35489</v>
      </c>
      <c r="R2830" s="232" t="inlineStr"/>
      <c r="S2830" s="234" t="n">
        <v>35489</v>
      </c>
      <c r="T2830" s="232" t="inlineStr">
        <is>
          <t>CLP</t>
        </is>
      </c>
      <c r="U2830" s="232" t="inlineStr">
        <is>
          <t>Prorrateo Ha BODEGA</t>
        </is>
      </c>
      <c r="V2830" s="232" t="inlineStr">
        <is>
          <t>2026-06-18</t>
        </is>
      </c>
    </row>
    <row r="2831">
      <c r="A2831" s="232" t="inlineStr">
        <is>
          <t>CR-2828</t>
        </is>
      </c>
      <c r="B2831" s="232" t="inlineStr">
        <is>
          <t>2026/27</t>
        </is>
      </c>
      <c r="C2831" s="233" t="n">
        <v>46111</v>
      </c>
      <c r="D2831" s="232" t="inlineStr">
        <is>
          <t>175947</t>
        </is>
      </c>
      <c r="E2831" s="232" t="inlineStr">
        <is>
          <t>PRORRATEO</t>
        </is>
      </c>
      <c r="F2831" s="232" t="inlineStr">
        <is>
          <t>Asmara</t>
        </is>
      </c>
      <c r="G2831" s="232" t="inlineStr">
        <is>
          <t>w. murcott 4,9 ha</t>
        </is>
      </c>
      <c r="H2831" s="232" t="inlineStr">
        <is>
          <t>Mandarina</t>
        </is>
      </c>
      <c r="I2831" s="232" t="inlineStr">
        <is>
          <t>W. murcott</t>
        </is>
      </c>
      <c r="J2831" s="232" t="inlineStr">
        <is>
          <t>FLETES</t>
        </is>
      </c>
      <c r="K2831" s="232" t="inlineStr">
        <is>
          <t>FLETE TRASLADO MATERIALES</t>
        </is>
      </c>
      <c r="L2831" s="232" t="inlineStr">
        <is>
          <t>[PRORRATEO 3.3% 4.9há/148.3há] O/001545 FLETE</t>
        </is>
      </c>
      <c r="M2831" s="232" t="inlineStr"/>
      <c r="N2831" s="232" t="inlineStr">
        <is>
          <t>.   .   -</t>
        </is>
      </c>
      <c r="O2831" s="232" t="inlineStr">
        <is>
          <t>MARZO</t>
        </is>
      </c>
      <c r="P2831" s="232" t="n">
        <v>13</v>
      </c>
      <c r="Q2831" s="234" t="n">
        <v>8783</v>
      </c>
      <c r="R2831" s="232" t="inlineStr"/>
      <c r="S2831" s="234" t="n">
        <v>8783</v>
      </c>
      <c r="T2831" s="232" t="inlineStr">
        <is>
          <t>CLP</t>
        </is>
      </c>
      <c r="U2831" s="232" t="inlineStr">
        <is>
          <t>Prorrateo Ha BODEGA</t>
        </is>
      </c>
      <c r="V2831" s="232" t="inlineStr">
        <is>
          <t>2026-06-18</t>
        </is>
      </c>
    </row>
    <row r="2832">
      <c r="A2832" s="232" t="inlineStr">
        <is>
          <t>CR-2829</t>
        </is>
      </c>
      <c r="B2832" s="232" t="inlineStr">
        <is>
          <t>2026/27</t>
        </is>
      </c>
      <c r="C2832" s="233" t="n">
        <v>46111</v>
      </c>
      <c r="D2832" s="232" t="inlineStr">
        <is>
          <t>175947</t>
        </is>
      </c>
      <c r="E2832" s="232" t="inlineStr">
        <is>
          <t>PRORRATEO</t>
        </is>
      </c>
      <c r="F2832" s="232" t="inlineStr">
        <is>
          <t>El Molle</t>
        </is>
      </c>
      <c r="G2832" s="232" t="inlineStr">
        <is>
          <t>Wonderful 5,25 ha</t>
        </is>
      </c>
      <c r="H2832" s="232" t="inlineStr">
        <is>
          <t>Granados</t>
        </is>
      </c>
      <c r="I2832" s="232" t="inlineStr">
        <is>
          <t>Wonderfull</t>
        </is>
      </c>
      <c r="J2832" s="232" t="inlineStr">
        <is>
          <t>FLETES</t>
        </is>
      </c>
      <c r="K2832" s="232" t="inlineStr">
        <is>
          <t>FLETE TRASLADO MATERIALES</t>
        </is>
      </c>
      <c r="L2832" s="232" t="inlineStr">
        <is>
          <t>[PRORRATEO 3.5% 5.24há/148.3há] O/001545 FLETE</t>
        </is>
      </c>
      <c r="M2832" s="232" t="inlineStr"/>
      <c r="N2832" s="232" t="inlineStr">
        <is>
          <t>.   .   -</t>
        </is>
      </c>
      <c r="O2832" s="232" t="inlineStr">
        <is>
          <t>MARZO</t>
        </is>
      </c>
      <c r="P2832" s="232" t="n">
        <v>13</v>
      </c>
      <c r="Q2832" s="234" t="n">
        <v>9392</v>
      </c>
      <c r="R2832" s="232" t="inlineStr"/>
      <c r="S2832" s="234" t="n">
        <v>9392</v>
      </c>
      <c r="T2832" s="232" t="inlineStr">
        <is>
          <t>CLP</t>
        </is>
      </c>
      <c r="U2832" s="232" t="inlineStr">
        <is>
          <t>Prorrateo Ha BODEGA</t>
        </is>
      </c>
      <c r="V2832" s="232" t="inlineStr">
        <is>
          <t>2026-06-18</t>
        </is>
      </c>
    </row>
    <row r="2833">
      <c r="A2833" s="232" t="inlineStr">
        <is>
          <t>CR-2830</t>
        </is>
      </c>
      <c r="B2833" s="232" t="inlineStr">
        <is>
          <t>2026/27</t>
        </is>
      </c>
      <c r="C2833" s="233" t="n">
        <v>46111</v>
      </c>
      <c r="D2833" s="232" t="inlineStr">
        <is>
          <t>175947</t>
        </is>
      </c>
      <c r="E2833" s="232" t="inlineStr">
        <is>
          <t>PRORRATEO</t>
        </is>
      </c>
      <c r="F2833" s="232" t="inlineStr">
        <is>
          <t>El Molle</t>
        </is>
      </c>
      <c r="G2833" s="232" t="inlineStr">
        <is>
          <t>arrufatinas 5,74 ha</t>
        </is>
      </c>
      <c r="H2833" s="232" t="inlineStr">
        <is>
          <t>Clementinas</t>
        </is>
      </c>
      <c r="I2833" s="232" t="inlineStr">
        <is>
          <t>Arrufatinas</t>
        </is>
      </c>
      <c r="J2833" s="232" t="inlineStr">
        <is>
          <t>FLETES</t>
        </is>
      </c>
      <c r="K2833" s="232" t="inlineStr">
        <is>
          <t>FLETE TRASLADO MATERIALES</t>
        </is>
      </c>
      <c r="L2833" s="232" t="inlineStr">
        <is>
          <t>[PRORRATEO 3.9% 5.74há/148.3há] O/001545 FLETE</t>
        </is>
      </c>
      <c r="M2833" s="232" t="inlineStr"/>
      <c r="N2833" s="232" t="inlineStr">
        <is>
          <t>.   .   -</t>
        </is>
      </c>
      <c r="O2833" s="232" t="inlineStr">
        <is>
          <t>MARZO</t>
        </is>
      </c>
      <c r="P2833" s="232" t="n">
        <v>13</v>
      </c>
      <c r="Q2833" s="234" t="n">
        <v>10288</v>
      </c>
      <c r="R2833" s="232" t="inlineStr"/>
      <c r="S2833" s="234" t="n">
        <v>10288</v>
      </c>
      <c r="T2833" s="232" t="inlineStr">
        <is>
          <t>CLP</t>
        </is>
      </c>
      <c r="U2833" s="232" t="inlineStr">
        <is>
          <t>Prorrateo Ha BODEGA</t>
        </is>
      </c>
      <c r="V2833" s="232" t="inlineStr">
        <is>
          <t>2026-06-18</t>
        </is>
      </c>
    </row>
    <row r="2834">
      <c r="A2834" s="232" t="inlineStr">
        <is>
          <t>CR-2831</t>
        </is>
      </c>
      <c r="B2834" s="232" t="inlineStr">
        <is>
          <t>2026/27</t>
        </is>
      </c>
      <c r="C2834" s="233" t="n">
        <v>46111</v>
      </c>
      <c r="D2834" s="232" t="inlineStr">
        <is>
          <t>175947</t>
        </is>
      </c>
      <c r="E2834" s="232" t="inlineStr">
        <is>
          <t>PRORRATEO</t>
        </is>
      </c>
      <c r="F2834" s="232" t="inlineStr">
        <is>
          <t>El Molle</t>
        </is>
      </c>
      <c r="G2834" s="232" t="inlineStr">
        <is>
          <t>orogrande 8,11 ha</t>
        </is>
      </c>
      <c r="H2834" s="232" t="inlineStr">
        <is>
          <t>Clementinas</t>
        </is>
      </c>
      <c r="I2834" s="232" t="inlineStr">
        <is>
          <t>Orogrande</t>
        </is>
      </c>
      <c r="J2834" s="232" t="inlineStr">
        <is>
          <t>FLETES</t>
        </is>
      </c>
      <c r="K2834" s="232" t="inlineStr">
        <is>
          <t>FLETE TRASLADO MATERIALES</t>
        </is>
      </c>
      <c r="L2834" s="232" t="inlineStr">
        <is>
          <t>[PRORRATEO 5.5% 8.11há/148.3há] O/001545 FLETE</t>
        </is>
      </c>
      <c r="M2834" s="232" t="inlineStr"/>
      <c r="N2834" s="232" t="inlineStr">
        <is>
          <t>.   .   -</t>
        </is>
      </c>
      <c r="O2834" s="232" t="inlineStr">
        <is>
          <t>MARZO</t>
        </is>
      </c>
      <c r="P2834" s="232" t="n">
        <v>13</v>
      </c>
      <c r="Q2834" s="234" t="n">
        <v>14536</v>
      </c>
      <c r="R2834" s="232" t="inlineStr"/>
      <c r="S2834" s="234" t="n">
        <v>14536</v>
      </c>
      <c r="T2834" s="232" t="inlineStr">
        <is>
          <t>CLP</t>
        </is>
      </c>
      <c r="U2834" s="232" t="inlineStr">
        <is>
          <t>Prorrateo Ha BODEGA</t>
        </is>
      </c>
      <c r="V2834" s="232" t="inlineStr">
        <is>
          <t>2026-06-18</t>
        </is>
      </c>
    </row>
    <row r="2835">
      <c r="A2835" s="232" t="inlineStr">
        <is>
          <t>CR-2832</t>
        </is>
      </c>
      <c r="B2835" s="232" t="inlineStr">
        <is>
          <t>2026/27</t>
        </is>
      </c>
      <c r="C2835" s="233" t="n">
        <v>46111</v>
      </c>
      <c r="D2835" s="232" t="inlineStr">
        <is>
          <t>175947</t>
        </is>
      </c>
      <c r="E2835" s="232" t="inlineStr">
        <is>
          <t>PRORRATEO</t>
        </is>
      </c>
      <c r="F2835" s="232" t="inlineStr">
        <is>
          <t>El Molle</t>
        </is>
      </c>
      <c r="G2835" s="232" t="inlineStr">
        <is>
          <t>oronules 5,35 ha</t>
        </is>
      </c>
      <c r="H2835" s="232" t="inlineStr">
        <is>
          <t>Clementinas</t>
        </is>
      </c>
      <c r="I2835" s="232" t="inlineStr">
        <is>
          <t>Oronules</t>
        </is>
      </c>
      <c r="J2835" s="232" t="inlineStr">
        <is>
          <t>FLETES</t>
        </is>
      </c>
      <c r="K2835" s="232" t="inlineStr">
        <is>
          <t>FLETE TRASLADO MATERIALES</t>
        </is>
      </c>
      <c r="L2835" s="232" t="inlineStr">
        <is>
          <t>[PRORRATEO 3.6% 5.35há/148.3há] O/001545 FLETE</t>
        </is>
      </c>
      <c r="M2835" s="232" t="inlineStr"/>
      <c r="N2835" s="232" t="inlineStr">
        <is>
          <t>.   .   -</t>
        </is>
      </c>
      <c r="O2835" s="232" t="inlineStr">
        <is>
          <t>MARZO</t>
        </is>
      </c>
      <c r="P2835" s="232" t="n">
        <v>13</v>
      </c>
      <c r="Q2835" s="234" t="n">
        <v>9589</v>
      </c>
      <c r="R2835" s="232" t="inlineStr"/>
      <c r="S2835" s="234" t="n">
        <v>9589</v>
      </c>
      <c r="T2835" s="232" t="inlineStr">
        <is>
          <t>CLP</t>
        </is>
      </c>
      <c r="U2835" s="232" t="inlineStr">
        <is>
          <t>Prorrateo Ha BODEGA</t>
        </is>
      </c>
      <c r="V2835" s="232" t="inlineStr">
        <is>
          <t>2026-06-18</t>
        </is>
      </c>
    </row>
    <row r="2836">
      <c r="A2836" s="232" t="inlineStr">
        <is>
          <t>CR-2833</t>
        </is>
      </c>
      <c r="B2836" s="232" t="inlineStr">
        <is>
          <t>2026/27</t>
        </is>
      </c>
      <c r="C2836" s="233" t="n">
        <v>46111</v>
      </c>
      <c r="D2836" s="232" t="inlineStr">
        <is>
          <t>175947</t>
        </is>
      </c>
      <c r="E2836" s="232" t="inlineStr">
        <is>
          <t>PRORRATEO</t>
        </is>
      </c>
      <c r="F2836" s="232" t="inlineStr">
        <is>
          <t>Santa Catalina</t>
        </is>
      </c>
      <c r="G2836" s="232" t="inlineStr">
        <is>
          <t>Fino 49 7,7 ha</t>
        </is>
      </c>
      <c r="H2836" s="232" t="inlineStr">
        <is>
          <t>Limon</t>
        </is>
      </c>
      <c r="I2836" s="232" t="inlineStr">
        <is>
          <t>Fino 49</t>
        </is>
      </c>
      <c r="J2836" s="232" t="inlineStr">
        <is>
          <t>FLETES</t>
        </is>
      </c>
      <c r="K2836" s="232" t="inlineStr">
        <is>
          <t>FLETE TRASLADO MATERIALES</t>
        </is>
      </c>
      <c r="L2836" s="232" t="inlineStr">
        <is>
          <t>[PRORRATEO 5.2% 7.7há/148.3há] O/001545 FLETE</t>
        </is>
      </c>
      <c r="M2836" s="232" t="inlineStr"/>
      <c r="N2836" s="232" t="inlineStr">
        <is>
          <t>.   .   -</t>
        </is>
      </c>
      <c r="O2836" s="232" t="inlineStr">
        <is>
          <t>MARZO</t>
        </is>
      </c>
      <c r="P2836" s="232" t="n">
        <v>13</v>
      </c>
      <c r="Q2836" s="234" t="n">
        <v>13801</v>
      </c>
      <c r="R2836" s="232" t="inlineStr"/>
      <c r="S2836" s="234" t="n">
        <v>13801</v>
      </c>
      <c r="T2836" s="232" t="inlineStr">
        <is>
          <t>CLP</t>
        </is>
      </c>
      <c r="U2836" s="232" t="inlineStr">
        <is>
          <t>Prorrateo Ha BODEGA</t>
        </is>
      </c>
      <c r="V2836" s="232" t="inlineStr">
        <is>
          <t>2026-06-18</t>
        </is>
      </c>
    </row>
    <row r="2837">
      <c r="A2837" s="232" t="inlineStr">
        <is>
          <t>CR-2834</t>
        </is>
      </c>
      <c r="B2837" s="232" t="inlineStr">
        <is>
          <t>2026/27</t>
        </is>
      </c>
      <c r="C2837" s="233" t="n">
        <v>46111</v>
      </c>
      <c r="D2837" s="232" t="inlineStr">
        <is>
          <t>175947</t>
        </is>
      </c>
      <c r="E2837" s="232" t="inlineStr">
        <is>
          <t>PRORRATEO</t>
        </is>
      </c>
      <c r="F2837" s="232" t="inlineStr">
        <is>
          <t>Santa Catalina</t>
        </is>
      </c>
      <c r="G2837" s="232" t="inlineStr">
        <is>
          <t>W. murcott 21 ha</t>
        </is>
      </c>
      <c r="H2837" s="232" t="inlineStr">
        <is>
          <t>Mandarina</t>
        </is>
      </c>
      <c r="I2837" s="232" t="inlineStr">
        <is>
          <t>W. murcott</t>
        </is>
      </c>
      <c r="J2837" s="232" t="inlineStr">
        <is>
          <t>FLETES</t>
        </is>
      </c>
      <c r="K2837" s="232" t="inlineStr">
        <is>
          <t>FLETE TRASLADO MATERIALES</t>
        </is>
      </c>
      <c r="L2837" s="232" t="inlineStr">
        <is>
          <t>[PRORRATEO 14.2% 21.0há/148.3há] O/001545 FLETE</t>
        </is>
      </c>
      <c r="M2837" s="232" t="inlineStr"/>
      <c r="N2837" s="232" t="inlineStr">
        <is>
          <t>.   .   -</t>
        </is>
      </c>
      <c r="O2837" s="232" t="inlineStr">
        <is>
          <t>MARZO</t>
        </is>
      </c>
      <c r="P2837" s="232" t="n">
        <v>13</v>
      </c>
      <c r="Q2837" s="234" t="n">
        <v>37640</v>
      </c>
      <c r="R2837" s="232" t="inlineStr"/>
      <c r="S2837" s="234" t="n">
        <v>37640</v>
      </c>
      <c r="T2837" s="232" t="inlineStr">
        <is>
          <t>CLP</t>
        </is>
      </c>
      <c r="U2837" s="232" t="inlineStr">
        <is>
          <t>Prorrateo Ha BODEGA</t>
        </is>
      </c>
      <c r="V2837" s="232" t="inlineStr">
        <is>
          <t>2026-06-18</t>
        </is>
      </c>
    </row>
    <row r="2838">
      <c r="A2838" s="232" t="inlineStr">
        <is>
          <t>CR-2835</t>
        </is>
      </c>
      <c r="B2838" s="232" t="inlineStr">
        <is>
          <t>2026/27</t>
        </is>
      </c>
      <c r="C2838" s="233" t="n">
        <v>46111</v>
      </c>
      <c r="D2838" s="232" t="inlineStr">
        <is>
          <t>175947</t>
        </is>
      </c>
      <c r="E2838" s="232" t="inlineStr">
        <is>
          <t>PRORRATEO</t>
        </is>
      </c>
      <c r="F2838" s="232" t="inlineStr">
        <is>
          <t>Santa Catalina</t>
        </is>
      </c>
      <c r="G2838" s="232" t="inlineStr">
        <is>
          <t>cambria 4,2 ha</t>
        </is>
      </c>
      <c r="H2838" s="232" t="inlineStr">
        <is>
          <t>Naranjas</t>
        </is>
      </c>
      <c r="I2838" s="232" t="inlineStr">
        <is>
          <t>Cambria</t>
        </is>
      </c>
      <c r="J2838" s="232" t="inlineStr">
        <is>
          <t>FLETES</t>
        </is>
      </c>
      <c r="K2838" s="232" t="inlineStr">
        <is>
          <t>FLETE TRASLADO MATERIALES</t>
        </is>
      </c>
      <c r="L2838" s="232" t="inlineStr">
        <is>
          <t>[PRORRATEO 2.8% 4.2há/148.3há] O/001545 FLETE</t>
        </is>
      </c>
      <c r="M2838" s="232" t="inlineStr"/>
      <c r="N2838" s="232" t="inlineStr">
        <is>
          <t>.   .   -</t>
        </is>
      </c>
      <c r="O2838" s="232" t="inlineStr">
        <is>
          <t>MARZO</t>
        </is>
      </c>
      <c r="P2838" s="232" t="n">
        <v>13</v>
      </c>
      <c r="Q2838" s="234" t="n">
        <v>7528</v>
      </c>
      <c r="R2838" s="232" t="inlineStr"/>
      <c r="S2838" s="234" t="n">
        <v>7528</v>
      </c>
      <c r="T2838" s="232" t="inlineStr">
        <is>
          <t>CLP</t>
        </is>
      </c>
      <c r="U2838" s="232" t="inlineStr">
        <is>
          <t>Prorrateo Ha BODEGA</t>
        </is>
      </c>
      <c r="V2838" s="232" t="inlineStr">
        <is>
          <t>2026-06-18</t>
        </is>
      </c>
    </row>
    <row r="2839">
      <c r="A2839" s="232" t="inlineStr">
        <is>
          <t>CR-2836</t>
        </is>
      </c>
      <c r="B2839" s="232" t="inlineStr">
        <is>
          <t>2026/27</t>
        </is>
      </c>
      <c r="C2839" s="233" t="n">
        <v>46111</v>
      </c>
      <c r="D2839" s="232" t="inlineStr">
        <is>
          <t>175947</t>
        </is>
      </c>
      <c r="E2839" s="232" t="inlineStr">
        <is>
          <t>PRORRATEO</t>
        </is>
      </c>
      <c r="F2839" s="232" t="inlineStr">
        <is>
          <t>Santa Catalina</t>
        </is>
      </c>
      <c r="G2839" s="232" t="inlineStr">
        <is>
          <t>eureka 10,6 ha</t>
        </is>
      </c>
      <c r="H2839" s="232" t="inlineStr">
        <is>
          <t>Limon</t>
        </is>
      </c>
      <c r="I2839" s="232" t="inlineStr">
        <is>
          <t>Eureka</t>
        </is>
      </c>
      <c r="J2839" s="232" t="inlineStr">
        <is>
          <t>FLETES</t>
        </is>
      </c>
      <c r="K2839" s="232" t="inlineStr">
        <is>
          <t>FLETE TRASLADO MATERIALES</t>
        </is>
      </c>
      <c r="L2839" s="232" t="inlineStr">
        <is>
          <t>[PRORRATEO 7.1% 10.6há/148.3há] O/001545 FLETE</t>
        </is>
      </c>
      <c r="M2839" s="232" t="inlineStr"/>
      <c r="N2839" s="232" t="inlineStr">
        <is>
          <t>.   .   -</t>
        </is>
      </c>
      <c r="O2839" s="232" t="inlineStr">
        <is>
          <t>MARZO</t>
        </is>
      </c>
      <c r="P2839" s="232" t="n">
        <v>13</v>
      </c>
      <c r="Q2839" s="234" t="n">
        <v>18999</v>
      </c>
      <c r="R2839" s="232" t="inlineStr"/>
      <c r="S2839" s="234" t="n">
        <v>18999</v>
      </c>
      <c r="T2839" s="232" t="inlineStr">
        <is>
          <t>CLP</t>
        </is>
      </c>
      <c r="U2839" s="232" t="inlineStr">
        <is>
          <t>Prorrateo Ha BODEGA</t>
        </is>
      </c>
      <c r="V2839" s="232" t="inlineStr">
        <is>
          <t>2026-06-18</t>
        </is>
      </c>
    </row>
    <row r="2840">
      <c r="A2840" s="232" t="inlineStr">
        <is>
          <t>CR-2837</t>
        </is>
      </c>
      <c r="B2840" s="232" t="inlineStr">
        <is>
          <t>2026/27</t>
        </is>
      </c>
      <c r="C2840" s="233" t="n">
        <v>46111</v>
      </c>
      <c r="D2840" s="232" t="inlineStr">
        <is>
          <t>175947</t>
        </is>
      </c>
      <c r="E2840" s="232" t="inlineStr">
        <is>
          <t>PRORRATEO</t>
        </is>
      </c>
      <c r="F2840" s="232" t="inlineStr">
        <is>
          <t>Santa Catalina</t>
        </is>
      </c>
      <c r="G2840" s="232" t="inlineStr">
        <is>
          <t>eureka 14,4 ha</t>
        </is>
      </c>
      <c r="H2840" s="232" t="inlineStr">
        <is>
          <t>Limon</t>
        </is>
      </c>
      <c r="I2840" s="232" t="inlineStr">
        <is>
          <t>Eureka</t>
        </is>
      </c>
      <c r="J2840" s="232" t="inlineStr">
        <is>
          <t>FLETES</t>
        </is>
      </c>
      <c r="K2840" s="232" t="inlineStr">
        <is>
          <t>FLETE TRASLADO MATERIALES</t>
        </is>
      </c>
      <c r="L2840" s="232" t="inlineStr">
        <is>
          <t>[PRORRATEO 9.7% 14.4há/148.3há] O/001545 FLETE</t>
        </is>
      </c>
      <c r="M2840" s="232" t="inlineStr"/>
      <c r="N2840" s="232" t="inlineStr">
        <is>
          <t>.   .   -</t>
        </is>
      </c>
      <c r="O2840" s="232" t="inlineStr">
        <is>
          <t>MARZO</t>
        </is>
      </c>
      <c r="P2840" s="232" t="n">
        <v>13</v>
      </c>
      <c r="Q2840" s="234" t="n">
        <v>25811</v>
      </c>
      <c r="R2840" s="232" t="inlineStr"/>
      <c r="S2840" s="234" t="n">
        <v>25811</v>
      </c>
      <c r="T2840" s="232" t="inlineStr">
        <is>
          <t>CLP</t>
        </is>
      </c>
      <c r="U2840" s="232" t="inlineStr">
        <is>
          <t>Prorrateo Ha BODEGA</t>
        </is>
      </c>
      <c r="V2840" s="232" t="inlineStr">
        <is>
          <t>2026-06-18</t>
        </is>
      </c>
    </row>
    <row r="2841">
      <c r="A2841" s="232" t="inlineStr">
        <is>
          <t>CR-2838</t>
        </is>
      </c>
      <c r="B2841" s="232" t="inlineStr">
        <is>
          <t>2026/27</t>
        </is>
      </c>
      <c r="C2841" s="233" t="n">
        <v>46111</v>
      </c>
      <c r="D2841" s="232" t="inlineStr">
        <is>
          <t>175947</t>
        </is>
      </c>
      <c r="E2841" s="232" t="inlineStr">
        <is>
          <t>PRORRATEO</t>
        </is>
      </c>
      <c r="F2841" s="232" t="inlineStr">
        <is>
          <t>Santa Catalina</t>
        </is>
      </c>
      <c r="G2841" s="232" t="inlineStr">
        <is>
          <t>eureka 22,55</t>
        </is>
      </c>
      <c r="H2841" s="232" t="inlineStr">
        <is>
          <t>Limon</t>
        </is>
      </c>
      <c r="I2841" s="232" t="inlineStr">
        <is>
          <t>Eureka</t>
        </is>
      </c>
      <c r="J2841" s="232" t="inlineStr">
        <is>
          <t>FLETES</t>
        </is>
      </c>
      <c r="K2841" s="232" t="inlineStr">
        <is>
          <t>FLETE TRASLADO MATERIALES</t>
        </is>
      </c>
      <c r="L2841" s="232" t="inlineStr">
        <is>
          <t>[PRORRATEO 15.2% 22.55há/148.3há] O/001545 FLETE</t>
        </is>
      </c>
      <c r="M2841" s="232" t="inlineStr"/>
      <c r="N2841" s="232" t="inlineStr">
        <is>
          <t>.   .   -</t>
        </is>
      </c>
      <c r="O2841" s="232" t="inlineStr">
        <is>
          <t>MARZO</t>
        </is>
      </c>
      <c r="P2841" s="232" t="n">
        <v>13</v>
      </c>
      <c r="Q2841" s="234" t="n">
        <v>40419</v>
      </c>
      <c r="R2841" s="232" t="inlineStr"/>
      <c r="S2841" s="234" t="n">
        <v>40419</v>
      </c>
      <c r="T2841" s="232" t="inlineStr">
        <is>
          <t>CLP</t>
        </is>
      </c>
      <c r="U2841" s="232" t="inlineStr">
        <is>
          <t>Prorrateo Ha BODEGA</t>
        </is>
      </c>
      <c r="V2841" s="232" t="inlineStr">
        <is>
          <t>2026-06-18</t>
        </is>
      </c>
    </row>
    <row r="2842">
      <c r="A2842" s="232" t="inlineStr">
        <is>
          <t>CR-2839</t>
        </is>
      </c>
      <c r="B2842" s="232" t="inlineStr">
        <is>
          <t>2026/27</t>
        </is>
      </c>
      <c r="C2842" s="233" t="n">
        <v>46111</v>
      </c>
      <c r="D2842" s="232" t="inlineStr">
        <is>
          <t>175947</t>
        </is>
      </c>
      <c r="E2842" s="232" t="inlineStr">
        <is>
          <t>PRORRATEO</t>
        </is>
      </c>
      <c r="F2842" s="232" t="inlineStr">
        <is>
          <t>Santa Catalina</t>
        </is>
      </c>
      <c r="G2842" s="232" t="inlineStr">
        <is>
          <t>form benjamin 1,93 ha</t>
        </is>
      </c>
      <c r="H2842" s="232" t="inlineStr">
        <is>
          <t>Limon</t>
        </is>
      </c>
      <c r="I2842" s="232" t="inlineStr">
        <is>
          <t>Benjamin andes</t>
        </is>
      </c>
      <c r="J2842" s="232" t="inlineStr">
        <is>
          <t>FLETES</t>
        </is>
      </c>
      <c r="K2842" s="232" t="inlineStr">
        <is>
          <t>FLETE TRASLADO MATERIALES</t>
        </is>
      </c>
      <c r="L2842" s="232" t="inlineStr">
        <is>
          <t>[PRORRATEO 1.3% 1.93há/148.3há] O/001545 FLETE</t>
        </is>
      </c>
      <c r="M2842" s="232" t="inlineStr"/>
      <c r="N2842" s="232" t="inlineStr">
        <is>
          <t>.   .   -</t>
        </is>
      </c>
      <c r="O2842" s="232" t="inlineStr">
        <is>
          <t>MARZO</t>
        </is>
      </c>
      <c r="P2842" s="232" t="n">
        <v>13</v>
      </c>
      <c r="Q2842" s="234" t="n">
        <v>3459</v>
      </c>
      <c r="R2842" s="232" t="inlineStr"/>
      <c r="S2842" s="234" t="n">
        <v>3459</v>
      </c>
      <c r="T2842" s="232" t="inlineStr">
        <is>
          <t>CLP</t>
        </is>
      </c>
      <c r="U2842" s="232" t="inlineStr">
        <is>
          <t>Prorrateo Ha BODEGA</t>
        </is>
      </c>
      <c r="V2842" s="232" t="inlineStr">
        <is>
          <t>2026-06-18</t>
        </is>
      </c>
    </row>
    <row r="2843">
      <c r="A2843" s="232" t="inlineStr">
        <is>
          <t>CR-2840</t>
        </is>
      </c>
      <c r="B2843" s="232" t="inlineStr">
        <is>
          <t>2026/27</t>
        </is>
      </c>
      <c r="C2843" s="233" t="n">
        <v>46111</v>
      </c>
      <c r="D2843" s="232" t="inlineStr">
        <is>
          <t>175947</t>
        </is>
      </c>
      <c r="E2843" s="232" t="inlineStr">
        <is>
          <t>PRORRATEO</t>
        </is>
      </c>
      <c r="F2843" s="232" t="inlineStr">
        <is>
          <t>Santa Catalina</t>
        </is>
      </c>
      <c r="G2843" s="232" t="inlineStr">
        <is>
          <t>mant eureka 2,5 ha</t>
        </is>
      </c>
      <c r="H2843" s="232" t="inlineStr">
        <is>
          <t>Limon</t>
        </is>
      </c>
      <c r="I2843" s="232" t="inlineStr">
        <is>
          <t>Eureka</t>
        </is>
      </c>
      <c r="J2843" s="232" t="inlineStr">
        <is>
          <t>FLETES</t>
        </is>
      </c>
      <c r="K2843" s="232" t="inlineStr">
        <is>
          <t>FLETE TRASLADO MATERIALES</t>
        </is>
      </c>
      <c r="L2843" s="232" t="inlineStr">
        <is>
          <t>[PRORRATEO 1.7% 2.5há/148.3há] O/001545 FLETE</t>
        </is>
      </c>
      <c r="M2843" s="232" t="inlineStr"/>
      <c r="N2843" s="232" t="inlineStr">
        <is>
          <t>.   .   -</t>
        </is>
      </c>
      <c r="O2843" s="232" t="inlineStr">
        <is>
          <t>MARZO</t>
        </is>
      </c>
      <c r="P2843" s="232" t="n">
        <v>13</v>
      </c>
      <c r="Q2843" s="234" t="n">
        <v>4481</v>
      </c>
      <c r="R2843" s="232" t="inlineStr"/>
      <c r="S2843" s="234" t="n">
        <v>4481</v>
      </c>
      <c r="T2843" s="232" t="inlineStr">
        <is>
          <t>CLP</t>
        </is>
      </c>
      <c r="U2843" s="232" t="inlineStr">
        <is>
          <t>Prorrateo Ha BODEGA</t>
        </is>
      </c>
      <c r="V2843" s="232" t="inlineStr">
        <is>
          <t>2026-06-18</t>
        </is>
      </c>
    </row>
    <row r="2844">
      <c r="A2844" s="232" t="inlineStr">
        <is>
          <t>CR-2841</t>
        </is>
      </c>
      <c r="B2844" s="232" t="inlineStr">
        <is>
          <t>2026/27</t>
        </is>
      </c>
      <c r="C2844" s="233" t="n">
        <v>46111</v>
      </c>
      <c r="D2844" s="232" t="inlineStr">
        <is>
          <t>175947</t>
        </is>
      </c>
      <c r="E2844" s="232" t="inlineStr">
        <is>
          <t>PRORRATEO</t>
        </is>
      </c>
      <c r="F2844" s="232" t="inlineStr">
        <is>
          <t>Siberia</t>
        </is>
      </c>
      <c r="G2844" s="232" t="inlineStr">
        <is>
          <t>S. Celebration 7,14</t>
        </is>
      </c>
      <c r="H2844" s="232" t="inlineStr">
        <is>
          <t>Uvas</t>
        </is>
      </c>
      <c r="I2844" s="232" t="inlineStr">
        <is>
          <t>S. celebration</t>
        </is>
      </c>
      <c r="J2844" s="232" t="inlineStr">
        <is>
          <t>FLETES</t>
        </is>
      </c>
      <c r="K2844" s="232" t="inlineStr">
        <is>
          <t>FLETE TRASLADO MATERIALES</t>
        </is>
      </c>
      <c r="L2844" s="232" t="inlineStr">
        <is>
          <t>[PRORRATEO 4.8% 7.14há/148.3há] O/001545 FLETE</t>
        </is>
      </c>
      <c r="M2844" s="232" t="inlineStr"/>
      <c r="N2844" s="232" t="inlineStr">
        <is>
          <t>.   .   -</t>
        </is>
      </c>
      <c r="O2844" s="232" t="inlineStr">
        <is>
          <t>MARZO</t>
        </is>
      </c>
      <c r="P2844" s="232" t="n">
        <v>13</v>
      </c>
      <c r="Q2844" s="234" t="n">
        <v>12798</v>
      </c>
      <c r="R2844" s="232" t="inlineStr"/>
      <c r="S2844" s="234" t="n">
        <v>12798</v>
      </c>
      <c r="T2844" s="232" t="inlineStr">
        <is>
          <t>CLP</t>
        </is>
      </c>
      <c r="U2844" s="232" t="inlineStr">
        <is>
          <t>Prorrateo Ha BODEGA</t>
        </is>
      </c>
      <c r="V2844" s="232" t="inlineStr">
        <is>
          <t>2026-06-18</t>
        </is>
      </c>
    </row>
    <row r="2845">
      <c r="A2845" s="232" t="inlineStr">
        <is>
          <t>CR-2842</t>
        </is>
      </c>
      <c r="B2845" s="232" t="inlineStr">
        <is>
          <t>2026/27</t>
        </is>
      </c>
      <c r="C2845" s="233" t="n">
        <v>46111</v>
      </c>
      <c r="D2845" s="232" t="inlineStr">
        <is>
          <t>175947</t>
        </is>
      </c>
      <c r="E2845" s="232" t="inlineStr">
        <is>
          <t>PRORRATEO</t>
        </is>
      </c>
      <c r="F2845" s="232" t="inlineStr">
        <is>
          <t>Siberia</t>
        </is>
      </c>
      <c r="G2845" s="232" t="inlineStr">
        <is>
          <t>Timpson 7,1</t>
        </is>
      </c>
      <c r="H2845" s="232" t="inlineStr">
        <is>
          <t>Uvas</t>
        </is>
      </c>
      <c r="I2845" s="232" t="inlineStr">
        <is>
          <t>Timpson</t>
        </is>
      </c>
      <c r="J2845" s="232" t="inlineStr">
        <is>
          <t>FLETES</t>
        </is>
      </c>
      <c r="K2845" s="232" t="inlineStr">
        <is>
          <t>FLETE TRASLADO MATERIALES</t>
        </is>
      </c>
      <c r="L2845" s="232" t="inlineStr">
        <is>
          <t>[PRORRATEO 4.8% 7.1há/148.3há] O/001545 FLETE</t>
        </is>
      </c>
      <c r="M2845" s="232" t="inlineStr"/>
      <c r="N2845" s="232" t="inlineStr">
        <is>
          <t>.   .   -</t>
        </is>
      </c>
      <c r="O2845" s="232" t="inlineStr">
        <is>
          <t>MARZO</t>
        </is>
      </c>
      <c r="P2845" s="232" t="n">
        <v>13</v>
      </c>
      <c r="Q2845" s="234" t="n">
        <v>12726</v>
      </c>
      <c r="R2845" s="232" t="inlineStr"/>
      <c r="S2845" s="234" t="n">
        <v>12726</v>
      </c>
      <c r="T2845" s="232" t="inlineStr">
        <is>
          <t>CLP</t>
        </is>
      </c>
      <c r="U2845" s="232" t="inlineStr">
        <is>
          <t>Prorrateo Ha BODEGA</t>
        </is>
      </c>
      <c r="V2845" s="232" t="inlineStr">
        <is>
          <t>2026-06-18</t>
        </is>
      </c>
    </row>
    <row r="2846">
      <c r="A2846" s="232" t="inlineStr">
        <is>
          <t>CR-2843</t>
        </is>
      </c>
      <c r="B2846" s="232" t="inlineStr">
        <is>
          <t>2026/27</t>
        </is>
      </c>
      <c r="C2846" s="233" t="n">
        <v>46111</v>
      </c>
      <c r="D2846" s="232" t="inlineStr">
        <is>
          <t>8438</t>
        </is>
      </c>
      <c r="E2846" s="232" t="inlineStr">
        <is>
          <t>PRORRATEO</t>
        </is>
      </c>
      <c r="F2846" s="232" t="inlineStr">
        <is>
          <t>Asmara</t>
        </is>
      </c>
      <c r="G2846" s="232" t="inlineStr">
        <is>
          <t>w. murcott 19,8 ha</t>
        </is>
      </c>
      <c r="H2846" s="232" t="inlineStr">
        <is>
          <t>Mandarina</t>
        </is>
      </c>
      <c r="I2846" s="232" t="inlineStr">
        <is>
          <t>W. murcott</t>
        </is>
      </c>
      <c r="J2846" s="232" t="inlineStr">
        <is>
          <t>FLETES</t>
        </is>
      </c>
      <c r="K2846" s="232" t="inlineStr">
        <is>
          <t>FLETE FRUTA</t>
        </is>
      </c>
      <c r="L2846" s="232" t="inlineStr">
        <is>
          <t>[PRORRATEO 13.4% 19.8há/148.3há] O/001546 FLETE</t>
        </is>
      </c>
      <c r="M2846" s="232" t="inlineStr"/>
      <c r="N2846" s="232" t="inlineStr">
        <is>
          <t>.   .   -</t>
        </is>
      </c>
      <c r="O2846" s="232" t="inlineStr">
        <is>
          <t>MARZO</t>
        </is>
      </c>
      <c r="P2846" s="232" t="n">
        <v>13</v>
      </c>
      <c r="Q2846" s="234" t="n">
        <v>264093</v>
      </c>
      <c r="R2846" s="232" t="inlineStr"/>
      <c r="S2846" s="234" t="n">
        <v>264093</v>
      </c>
      <c r="T2846" s="232" t="inlineStr">
        <is>
          <t>CLP</t>
        </is>
      </c>
      <c r="U2846" s="232" t="inlineStr">
        <is>
          <t>Prorrateo Ha PACKING</t>
        </is>
      </c>
      <c r="V2846" s="232" t="inlineStr">
        <is>
          <t>2026-06-18</t>
        </is>
      </c>
    </row>
    <row r="2847">
      <c r="A2847" s="232" t="inlineStr">
        <is>
          <t>CR-2844</t>
        </is>
      </c>
      <c r="B2847" s="232" t="inlineStr">
        <is>
          <t>2026/27</t>
        </is>
      </c>
      <c r="C2847" s="233" t="n">
        <v>46111</v>
      </c>
      <c r="D2847" s="232" t="inlineStr">
        <is>
          <t>8438</t>
        </is>
      </c>
      <c r="E2847" s="232" t="inlineStr">
        <is>
          <t>PRORRATEO</t>
        </is>
      </c>
      <c r="F2847" s="232" t="inlineStr">
        <is>
          <t>Asmara</t>
        </is>
      </c>
      <c r="G2847" s="232" t="inlineStr">
        <is>
          <t>w. murcott 4,9 ha</t>
        </is>
      </c>
      <c r="H2847" s="232" t="inlineStr">
        <is>
          <t>Mandarina</t>
        </is>
      </c>
      <c r="I2847" s="232" t="inlineStr">
        <is>
          <t>W. murcott</t>
        </is>
      </c>
      <c r="J2847" s="232" t="inlineStr">
        <is>
          <t>FLETES</t>
        </is>
      </c>
      <c r="K2847" s="232" t="inlineStr">
        <is>
          <t>FLETE FRUTA</t>
        </is>
      </c>
      <c r="L2847" s="232" t="inlineStr">
        <is>
          <t>[PRORRATEO 3.3% 4.9há/148.3há] O/001546 FLETE</t>
        </is>
      </c>
      <c r="M2847" s="232" t="inlineStr"/>
      <c r="N2847" s="232" t="inlineStr">
        <is>
          <t>.   .   -</t>
        </is>
      </c>
      <c r="O2847" s="232" t="inlineStr">
        <is>
          <t>MARZO</t>
        </is>
      </c>
      <c r="P2847" s="232" t="n">
        <v>13</v>
      </c>
      <c r="Q2847" s="234" t="n">
        <v>65356</v>
      </c>
      <c r="R2847" s="232" t="inlineStr"/>
      <c r="S2847" s="234" t="n">
        <v>65356</v>
      </c>
      <c r="T2847" s="232" t="inlineStr">
        <is>
          <t>CLP</t>
        </is>
      </c>
      <c r="U2847" s="232" t="inlineStr">
        <is>
          <t>Prorrateo Ha PACKING</t>
        </is>
      </c>
      <c r="V2847" s="232" t="inlineStr">
        <is>
          <t>2026-06-18</t>
        </is>
      </c>
    </row>
    <row r="2848">
      <c r="A2848" s="232" t="inlineStr">
        <is>
          <t>CR-2845</t>
        </is>
      </c>
      <c r="B2848" s="232" t="inlineStr">
        <is>
          <t>2026/27</t>
        </is>
      </c>
      <c r="C2848" s="233" t="n">
        <v>46111</v>
      </c>
      <c r="D2848" s="232" t="inlineStr">
        <is>
          <t>8438</t>
        </is>
      </c>
      <c r="E2848" s="232" t="inlineStr">
        <is>
          <t>PRORRATEO</t>
        </is>
      </c>
      <c r="F2848" s="232" t="inlineStr">
        <is>
          <t>El Molle</t>
        </is>
      </c>
      <c r="G2848" s="232" t="inlineStr">
        <is>
          <t>Wonderful 5,25 ha</t>
        </is>
      </c>
      <c r="H2848" s="232" t="inlineStr">
        <is>
          <t>Granados</t>
        </is>
      </c>
      <c r="I2848" s="232" t="inlineStr">
        <is>
          <t>Wonderfull</t>
        </is>
      </c>
      <c r="J2848" s="232" t="inlineStr">
        <is>
          <t>FLETES</t>
        </is>
      </c>
      <c r="K2848" s="232" t="inlineStr">
        <is>
          <t>FLETE FRUTA</t>
        </is>
      </c>
      <c r="L2848" s="232" t="inlineStr">
        <is>
          <t>[PRORRATEO 3.5% 5.24há/148.3há] O/001546 FLETE</t>
        </is>
      </c>
      <c r="M2848" s="232" t="inlineStr"/>
      <c r="N2848" s="232" t="inlineStr">
        <is>
          <t>.   .   -</t>
        </is>
      </c>
      <c r="O2848" s="232" t="inlineStr">
        <is>
          <t>MARZO</t>
        </is>
      </c>
      <c r="P2848" s="232" t="n">
        <v>13</v>
      </c>
      <c r="Q2848" s="234" t="n">
        <v>69891</v>
      </c>
      <c r="R2848" s="232" t="inlineStr"/>
      <c r="S2848" s="234" t="n">
        <v>69891</v>
      </c>
      <c r="T2848" s="232" t="inlineStr">
        <is>
          <t>CLP</t>
        </is>
      </c>
      <c r="U2848" s="232" t="inlineStr">
        <is>
          <t>Prorrateo Ha PACKING</t>
        </is>
      </c>
      <c r="V2848" s="232" t="inlineStr">
        <is>
          <t>2026-06-18</t>
        </is>
      </c>
    </row>
    <row r="2849">
      <c r="A2849" s="232" t="inlineStr">
        <is>
          <t>CR-2846</t>
        </is>
      </c>
      <c r="B2849" s="232" t="inlineStr">
        <is>
          <t>2026/27</t>
        </is>
      </c>
      <c r="C2849" s="233" t="n">
        <v>46111</v>
      </c>
      <c r="D2849" s="232" t="inlineStr">
        <is>
          <t>8438</t>
        </is>
      </c>
      <c r="E2849" s="232" t="inlineStr">
        <is>
          <t>PRORRATEO</t>
        </is>
      </c>
      <c r="F2849" s="232" t="inlineStr">
        <is>
          <t>El Molle</t>
        </is>
      </c>
      <c r="G2849" s="232" t="inlineStr">
        <is>
          <t>arrufatinas 5,74 ha</t>
        </is>
      </c>
      <c r="H2849" s="232" t="inlineStr">
        <is>
          <t>Clementinas</t>
        </is>
      </c>
      <c r="I2849" s="232" t="inlineStr">
        <is>
          <t>Arrufatinas</t>
        </is>
      </c>
      <c r="J2849" s="232" t="inlineStr">
        <is>
          <t>FLETES</t>
        </is>
      </c>
      <c r="K2849" s="232" t="inlineStr">
        <is>
          <t>FLETE FRUTA</t>
        </is>
      </c>
      <c r="L2849" s="232" t="inlineStr">
        <is>
          <t>[PRORRATEO 3.9% 5.74há/148.3há] O/001546 FLETE</t>
        </is>
      </c>
      <c r="M2849" s="232" t="inlineStr"/>
      <c r="N2849" s="232" t="inlineStr">
        <is>
          <t>.   .   -</t>
        </is>
      </c>
      <c r="O2849" s="232" t="inlineStr">
        <is>
          <t>MARZO</t>
        </is>
      </c>
      <c r="P2849" s="232" t="n">
        <v>13</v>
      </c>
      <c r="Q2849" s="234" t="n">
        <v>76560</v>
      </c>
      <c r="R2849" s="232" t="inlineStr"/>
      <c r="S2849" s="234" t="n">
        <v>76560</v>
      </c>
      <c r="T2849" s="232" t="inlineStr">
        <is>
          <t>CLP</t>
        </is>
      </c>
      <c r="U2849" s="232" t="inlineStr">
        <is>
          <t>Prorrateo Ha PACKING</t>
        </is>
      </c>
      <c r="V2849" s="232" t="inlineStr">
        <is>
          <t>2026-06-18</t>
        </is>
      </c>
    </row>
    <row r="2850">
      <c r="A2850" s="232" t="inlineStr">
        <is>
          <t>CR-2847</t>
        </is>
      </c>
      <c r="B2850" s="232" t="inlineStr">
        <is>
          <t>2026/27</t>
        </is>
      </c>
      <c r="C2850" s="233" t="n">
        <v>46111</v>
      </c>
      <c r="D2850" s="232" t="inlineStr">
        <is>
          <t>8438</t>
        </is>
      </c>
      <c r="E2850" s="232" t="inlineStr">
        <is>
          <t>PRORRATEO</t>
        </is>
      </c>
      <c r="F2850" s="232" t="inlineStr">
        <is>
          <t>El Molle</t>
        </is>
      </c>
      <c r="G2850" s="232" t="inlineStr">
        <is>
          <t>orogrande 8,11 ha</t>
        </is>
      </c>
      <c r="H2850" s="232" t="inlineStr">
        <is>
          <t>Clementinas</t>
        </is>
      </c>
      <c r="I2850" s="232" t="inlineStr">
        <is>
          <t>Orogrande</t>
        </is>
      </c>
      <c r="J2850" s="232" t="inlineStr">
        <is>
          <t>FLETES</t>
        </is>
      </c>
      <c r="K2850" s="232" t="inlineStr">
        <is>
          <t>FLETE FRUTA</t>
        </is>
      </c>
      <c r="L2850" s="232" t="inlineStr">
        <is>
          <t>[PRORRATEO 5.5% 8.11há/148.3há] O/001546 FLETE</t>
        </is>
      </c>
      <c r="M2850" s="232" t="inlineStr"/>
      <c r="N2850" s="232" t="inlineStr">
        <is>
          <t>.   .   -</t>
        </is>
      </c>
      <c r="O2850" s="232" t="inlineStr">
        <is>
          <t>MARZO</t>
        </is>
      </c>
      <c r="P2850" s="232" t="n">
        <v>13</v>
      </c>
      <c r="Q2850" s="234" t="n">
        <v>108172</v>
      </c>
      <c r="R2850" s="232" t="inlineStr"/>
      <c r="S2850" s="234" t="n">
        <v>108172</v>
      </c>
      <c r="T2850" s="232" t="inlineStr">
        <is>
          <t>CLP</t>
        </is>
      </c>
      <c r="U2850" s="232" t="inlineStr">
        <is>
          <t>Prorrateo Ha PACKING</t>
        </is>
      </c>
      <c r="V2850" s="232" t="inlineStr">
        <is>
          <t>2026-06-18</t>
        </is>
      </c>
    </row>
    <row r="2851">
      <c r="A2851" s="232" t="inlineStr">
        <is>
          <t>CR-2848</t>
        </is>
      </c>
      <c r="B2851" s="232" t="inlineStr">
        <is>
          <t>2026/27</t>
        </is>
      </c>
      <c r="C2851" s="233" t="n">
        <v>46111</v>
      </c>
      <c r="D2851" s="232" t="inlineStr">
        <is>
          <t>8438</t>
        </is>
      </c>
      <c r="E2851" s="232" t="inlineStr">
        <is>
          <t>PRORRATEO</t>
        </is>
      </c>
      <c r="F2851" s="232" t="inlineStr">
        <is>
          <t>El Molle</t>
        </is>
      </c>
      <c r="G2851" s="232" t="inlineStr">
        <is>
          <t>oronules 5,35 ha</t>
        </is>
      </c>
      <c r="H2851" s="232" t="inlineStr">
        <is>
          <t>Clementinas</t>
        </is>
      </c>
      <c r="I2851" s="232" t="inlineStr">
        <is>
          <t>Oronules</t>
        </is>
      </c>
      <c r="J2851" s="232" t="inlineStr">
        <is>
          <t>FLETES</t>
        </is>
      </c>
      <c r="K2851" s="232" t="inlineStr">
        <is>
          <t>FLETE FRUTA</t>
        </is>
      </c>
      <c r="L2851" s="232" t="inlineStr">
        <is>
          <t>[PRORRATEO 3.6% 5.35há/148.3há] O/001546 FLETE</t>
        </is>
      </c>
      <c r="M2851" s="232" t="inlineStr"/>
      <c r="N2851" s="232" t="inlineStr">
        <is>
          <t>.   .   -</t>
        </is>
      </c>
      <c r="O2851" s="232" t="inlineStr">
        <is>
          <t>MARZO</t>
        </is>
      </c>
      <c r="P2851" s="232" t="n">
        <v>13</v>
      </c>
      <c r="Q2851" s="234" t="n">
        <v>71359</v>
      </c>
      <c r="R2851" s="232" t="inlineStr"/>
      <c r="S2851" s="234" t="n">
        <v>71359</v>
      </c>
      <c r="T2851" s="232" t="inlineStr">
        <is>
          <t>CLP</t>
        </is>
      </c>
      <c r="U2851" s="232" t="inlineStr">
        <is>
          <t>Prorrateo Ha PACKING</t>
        </is>
      </c>
      <c r="V2851" s="232" t="inlineStr">
        <is>
          <t>2026-06-18</t>
        </is>
      </c>
    </row>
    <row r="2852">
      <c r="A2852" s="232" t="inlineStr">
        <is>
          <t>CR-2849</t>
        </is>
      </c>
      <c r="B2852" s="232" t="inlineStr">
        <is>
          <t>2026/27</t>
        </is>
      </c>
      <c r="C2852" s="233" t="n">
        <v>46111</v>
      </c>
      <c r="D2852" s="232" t="inlineStr">
        <is>
          <t>8438</t>
        </is>
      </c>
      <c r="E2852" s="232" t="inlineStr">
        <is>
          <t>PRORRATEO</t>
        </is>
      </c>
      <c r="F2852" s="232" t="inlineStr">
        <is>
          <t>Santa Catalina</t>
        </is>
      </c>
      <c r="G2852" s="232" t="inlineStr">
        <is>
          <t>Fino 49 7,7 ha</t>
        </is>
      </c>
      <c r="H2852" s="232" t="inlineStr">
        <is>
          <t>Limon</t>
        </is>
      </c>
      <c r="I2852" s="232" t="inlineStr">
        <is>
          <t>Fino 49</t>
        </is>
      </c>
      <c r="J2852" s="232" t="inlineStr">
        <is>
          <t>FLETES</t>
        </is>
      </c>
      <c r="K2852" s="232" t="inlineStr">
        <is>
          <t>FLETE FRUTA</t>
        </is>
      </c>
      <c r="L2852" s="232" t="inlineStr">
        <is>
          <t>[PRORRATEO 5.2% 7.7há/148.3há] O/001546 FLETE</t>
        </is>
      </c>
      <c r="M2852" s="232" t="inlineStr"/>
      <c r="N2852" s="232" t="inlineStr">
        <is>
          <t>.   .   -</t>
        </is>
      </c>
      <c r="O2852" s="232" t="inlineStr">
        <is>
          <t>MARZO</t>
        </is>
      </c>
      <c r="P2852" s="232" t="n">
        <v>13</v>
      </c>
      <c r="Q2852" s="234" t="n">
        <v>102703</v>
      </c>
      <c r="R2852" s="232" t="inlineStr"/>
      <c r="S2852" s="234" t="n">
        <v>102703</v>
      </c>
      <c r="T2852" s="232" t="inlineStr">
        <is>
          <t>CLP</t>
        </is>
      </c>
      <c r="U2852" s="232" t="inlineStr">
        <is>
          <t>Prorrateo Ha PACKING</t>
        </is>
      </c>
      <c r="V2852" s="232" t="inlineStr">
        <is>
          <t>2026-06-18</t>
        </is>
      </c>
    </row>
    <row r="2853">
      <c r="A2853" s="232" t="inlineStr">
        <is>
          <t>CR-2850</t>
        </is>
      </c>
      <c r="B2853" s="232" t="inlineStr">
        <is>
          <t>2026/27</t>
        </is>
      </c>
      <c r="C2853" s="233" t="n">
        <v>46111</v>
      </c>
      <c r="D2853" s="232" t="inlineStr">
        <is>
          <t>8438</t>
        </is>
      </c>
      <c r="E2853" s="232" t="inlineStr">
        <is>
          <t>PRORRATEO</t>
        </is>
      </c>
      <c r="F2853" s="232" t="inlineStr">
        <is>
          <t>Santa Catalina</t>
        </is>
      </c>
      <c r="G2853" s="232" t="inlineStr">
        <is>
          <t>W. murcott 21 ha</t>
        </is>
      </c>
      <c r="H2853" s="232" t="inlineStr">
        <is>
          <t>Mandarina</t>
        </is>
      </c>
      <c r="I2853" s="232" t="inlineStr">
        <is>
          <t>W. murcott</t>
        </is>
      </c>
      <c r="J2853" s="232" t="inlineStr">
        <is>
          <t>FLETES</t>
        </is>
      </c>
      <c r="K2853" s="232" t="inlineStr">
        <is>
          <t>FLETE FRUTA</t>
        </is>
      </c>
      <c r="L2853" s="232" t="inlineStr">
        <is>
          <t>[PRORRATEO 14.2% 21.0há/148.3há] O/001546 FLETE</t>
        </is>
      </c>
      <c r="M2853" s="232" t="inlineStr"/>
      <c r="N2853" s="232" t="inlineStr">
        <is>
          <t>.   .   -</t>
        </is>
      </c>
      <c r="O2853" s="232" t="inlineStr">
        <is>
          <t>MARZO</t>
        </is>
      </c>
      <c r="P2853" s="232" t="n">
        <v>13</v>
      </c>
      <c r="Q2853" s="234" t="n">
        <v>280099</v>
      </c>
      <c r="R2853" s="232" t="inlineStr"/>
      <c r="S2853" s="234" t="n">
        <v>280099</v>
      </c>
      <c r="T2853" s="232" t="inlineStr">
        <is>
          <t>CLP</t>
        </is>
      </c>
      <c r="U2853" s="232" t="inlineStr">
        <is>
          <t>Prorrateo Ha PACKING</t>
        </is>
      </c>
      <c r="V2853" s="232" t="inlineStr">
        <is>
          <t>2026-06-18</t>
        </is>
      </c>
    </row>
    <row r="2854">
      <c r="A2854" s="232" t="inlineStr">
        <is>
          <t>CR-2851</t>
        </is>
      </c>
      <c r="B2854" s="232" t="inlineStr">
        <is>
          <t>2026/27</t>
        </is>
      </c>
      <c r="C2854" s="233" t="n">
        <v>46111</v>
      </c>
      <c r="D2854" s="232" t="inlineStr">
        <is>
          <t>8438</t>
        </is>
      </c>
      <c r="E2854" s="232" t="inlineStr">
        <is>
          <t>PRORRATEO</t>
        </is>
      </c>
      <c r="F2854" s="232" t="inlineStr">
        <is>
          <t>Santa Catalina</t>
        </is>
      </c>
      <c r="G2854" s="232" t="inlineStr">
        <is>
          <t>cambria 4,2 ha</t>
        </is>
      </c>
      <c r="H2854" s="232" t="inlineStr">
        <is>
          <t>Naranjas</t>
        </is>
      </c>
      <c r="I2854" s="232" t="inlineStr">
        <is>
          <t>Cambria</t>
        </is>
      </c>
      <c r="J2854" s="232" t="inlineStr">
        <is>
          <t>FLETES</t>
        </is>
      </c>
      <c r="K2854" s="232" t="inlineStr">
        <is>
          <t>FLETE FRUTA</t>
        </is>
      </c>
      <c r="L2854" s="232" t="inlineStr">
        <is>
          <t>[PRORRATEO 2.8% 4.2há/148.3há] O/001546 FLETE</t>
        </is>
      </c>
      <c r="M2854" s="232" t="inlineStr"/>
      <c r="N2854" s="232" t="inlineStr">
        <is>
          <t>.   .   -</t>
        </is>
      </c>
      <c r="O2854" s="232" t="inlineStr">
        <is>
          <t>MARZO</t>
        </is>
      </c>
      <c r="P2854" s="232" t="n">
        <v>13</v>
      </c>
      <c r="Q2854" s="234" t="n">
        <v>56020</v>
      </c>
      <c r="R2854" s="232" t="inlineStr"/>
      <c r="S2854" s="234" t="n">
        <v>56020</v>
      </c>
      <c r="T2854" s="232" t="inlineStr">
        <is>
          <t>CLP</t>
        </is>
      </c>
      <c r="U2854" s="232" t="inlineStr">
        <is>
          <t>Prorrateo Ha PACKING</t>
        </is>
      </c>
      <c r="V2854" s="232" t="inlineStr">
        <is>
          <t>2026-06-18</t>
        </is>
      </c>
    </row>
    <row r="2855">
      <c r="A2855" s="232" t="inlineStr">
        <is>
          <t>CR-2852</t>
        </is>
      </c>
      <c r="B2855" s="232" t="inlineStr">
        <is>
          <t>2026/27</t>
        </is>
      </c>
      <c r="C2855" s="233" t="n">
        <v>46111</v>
      </c>
      <c r="D2855" s="232" t="inlineStr">
        <is>
          <t>8438</t>
        </is>
      </c>
      <c r="E2855" s="232" t="inlineStr">
        <is>
          <t>PRORRATEO</t>
        </is>
      </c>
      <c r="F2855" s="232" t="inlineStr">
        <is>
          <t>Santa Catalina</t>
        </is>
      </c>
      <c r="G2855" s="232" t="inlineStr">
        <is>
          <t>eureka 10,6 ha</t>
        </is>
      </c>
      <c r="H2855" s="232" t="inlineStr">
        <is>
          <t>Limon</t>
        </is>
      </c>
      <c r="I2855" s="232" t="inlineStr">
        <is>
          <t>Eureka</t>
        </is>
      </c>
      <c r="J2855" s="232" t="inlineStr">
        <is>
          <t>FLETES</t>
        </is>
      </c>
      <c r="K2855" s="232" t="inlineStr">
        <is>
          <t>FLETE FRUTA</t>
        </is>
      </c>
      <c r="L2855" s="232" t="inlineStr">
        <is>
          <t>[PRORRATEO 7.1% 10.6há/148.3há] O/001546 FLETE</t>
        </is>
      </c>
      <c r="M2855" s="232" t="inlineStr"/>
      <c r="N2855" s="232" t="inlineStr">
        <is>
          <t>.   .   -</t>
        </is>
      </c>
      <c r="O2855" s="232" t="inlineStr">
        <is>
          <t>MARZO</t>
        </is>
      </c>
      <c r="P2855" s="232" t="n">
        <v>13</v>
      </c>
      <c r="Q2855" s="234" t="n">
        <v>141383</v>
      </c>
      <c r="R2855" s="232" t="inlineStr"/>
      <c r="S2855" s="234" t="n">
        <v>141383</v>
      </c>
      <c r="T2855" s="232" t="inlineStr">
        <is>
          <t>CLP</t>
        </is>
      </c>
      <c r="U2855" s="232" t="inlineStr">
        <is>
          <t>Prorrateo Ha PACKING</t>
        </is>
      </c>
      <c r="V2855" s="232" t="inlineStr">
        <is>
          <t>2026-06-18</t>
        </is>
      </c>
    </row>
    <row r="2856">
      <c r="A2856" s="232" t="inlineStr">
        <is>
          <t>CR-2853</t>
        </is>
      </c>
      <c r="B2856" s="232" t="inlineStr">
        <is>
          <t>2026/27</t>
        </is>
      </c>
      <c r="C2856" s="233" t="n">
        <v>46111</v>
      </c>
      <c r="D2856" s="232" t="inlineStr">
        <is>
          <t>8438</t>
        </is>
      </c>
      <c r="E2856" s="232" t="inlineStr">
        <is>
          <t>PRORRATEO</t>
        </is>
      </c>
      <c r="F2856" s="232" t="inlineStr">
        <is>
          <t>Santa Catalina</t>
        </is>
      </c>
      <c r="G2856" s="232" t="inlineStr">
        <is>
          <t>eureka 14,4 ha</t>
        </is>
      </c>
      <c r="H2856" s="232" t="inlineStr">
        <is>
          <t>Limon</t>
        </is>
      </c>
      <c r="I2856" s="232" t="inlineStr">
        <is>
          <t>Eureka</t>
        </is>
      </c>
      <c r="J2856" s="232" t="inlineStr">
        <is>
          <t>FLETES</t>
        </is>
      </c>
      <c r="K2856" s="232" t="inlineStr">
        <is>
          <t>FLETE FRUTA</t>
        </is>
      </c>
      <c r="L2856" s="232" t="inlineStr">
        <is>
          <t>[PRORRATEO 9.7% 14.4há/148.3há] O/001546 FLETE</t>
        </is>
      </c>
      <c r="M2856" s="232" t="inlineStr"/>
      <c r="N2856" s="232" t="inlineStr">
        <is>
          <t>.   .   -</t>
        </is>
      </c>
      <c r="O2856" s="232" t="inlineStr">
        <is>
          <t>MARZO</t>
        </is>
      </c>
      <c r="P2856" s="232" t="n">
        <v>13</v>
      </c>
      <c r="Q2856" s="234" t="n">
        <v>192068</v>
      </c>
      <c r="R2856" s="232" t="inlineStr"/>
      <c r="S2856" s="234" t="n">
        <v>192068</v>
      </c>
      <c r="T2856" s="232" t="inlineStr">
        <is>
          <t>CLP</t>
        </is>
      </c>
      <c r="U2856" s="232" t="inlineStr">
        <is>
          <t>Prorrateo Ha PACKING</t>
        </is>
      </c>
      <c r="V2856" s="232" t="inlineStr">
        <is>
          <t>2026-06-18</t>
        </is>
      </c>
    </row>
    <row r="2857">
      <c r="A2857" s="232" t="inlineStr">
        <is>
          <t>CR-2854</t>
        </is>
      </c>
      <c r="B2857" s="232" t="inlineStr">
        <is>
          <t>2026/27</t>
        </is>
      </c>
      <c r="C2857" s="233" t="n">
        <v>46111</v>
      </c>
      <c r="D2857" s="232" t="inlineStr">
        <is>
          <t>8438</t>
        </is>
      </c>
      <c r="E2857" s="232" t="inlineStr">
        <is>
          <t>PRORRATEO</t>
        </is>
      </c>
      <c r="F2857" s="232" t="inlineStr">
        <is>
          <t>Santa Catalina</t>
        </is>
      </c>
      <c r="G2857" s="232" t="inlineStr">
        <is>
          <t>eureka 22,55</t>
        </is>
      </c>
      <c r="H2857" s="232" t="inlineStr">
        <is>
          <t>Limon</t>
        </is>
      </c>
      <c r="I2857" s="232" t="inlineStr">
        <is>
          <t>Eureka</t>
        </is>
      </c>
      <c r="J2857" s="232" t="inlineStr">
        <is>
          <t>FLETES</t>
        </is>
      </c>
      <c r="K2857" s="232" t="inlineStr">
        <is>
          <t>FLETE FRUTA</t>
        </is>
      </c>
      <c r="L2857" s="232" t="inlineStr">
        <is>
          <t>[PRORRATEO 15.2% 22.55há/148.3há] O/001546 FLETE</t>
        </is>
      </c>
      <c r="M2857" s="232" t="inlineStr"/>
      <c r="N2857" s="232" t="inlineStr">
        <is>
          <t>.   .   -</t>
        </is>
      </c>
      <c r="O2857" s="232" t="inlineStr">
        <is>
          <t>MARZO</t>
        </is>
      </c>
      <c r="P2857" s="232" t="n">
        <v>13</v>
      </c>
      <c r="Q2857" s="234" t="n">
        <v>300773</v>
      </c>
      <c r="R2857" s="232" t="inlineStr"/>
      <c r="S2857" s="234" t="n">
        <v>300773</v>
      </c>
      <c r="T2857" s="232" t="inlineStr">
        <is>
          <t>CLP</t>
        </is>
      </c>
      <c r="U2857" s="232" t="inlineStr">
        <is>
          <t>Prorrateo Ha PACKING</t>
        </is>
      </c>
      <c r="V2857" s="232" t="inlineStr">
        <is>
          <t>2026-06-18</t>
        </is>
      </c>
    </row>
    <row r="2858">
      <c r="A2858" s="232" t="inlineStr">
        <is>
          <t>CR-2855</t>
        </is>
      </c>
      <c r="B2858" s="232" t="inlineStr">
        <is>
          <t>2026/27</t>
        </is>
      </c>
      <c r="C2858" s="233" t="n">
        <v>46111</v>
      </c>
      <c r="D2858" s="232" t="inlineStr">
        <is>
          <t>8438</t>
        </is>
      </c>
      <c r="E2858" s="232" t="inlineStr">
        <is>
          <t>PRORRATEO</t>
        </is>
      </c>
      <c r="F2858" s="232" t="inlineStr">
        <is>
          <t>Santa Catalina</t>
        </is>
      </c>
      <c r="G2858" s="232" t="inlineStr">
        <is>
          <t>form benjamin 1,93 ha</t>
        </is>
      </c>
      <c r="H2858" s="232" t="inlineStr">
        <is>
          <t>Limon</t>
        </is>
      </c>
      <c r="I2858" s="232" t="inlineStr">
        <is>
          <t>Benjamin andes</t>
        </is>
      </c>
      <c r="J2858" s="232" t="inlineStr">
        <is>
          <t>FLETES</t>
        </is>
      </c>
      <c r="K2858" s="232" t="inlineStr">
        <is>
          <t>FLETE FRUTA</t>
        </is>
      </c>
      <c r="L2858" s="232" t="inlineStr">
        <is>
          <t>[PRORRATEO 1.3% 1.93há/148.3há] O/001546 FLETE</t>
        </is>
      </c>
      <c r="M2858" s="232" t="inlineStr"/>
      <c r="N2858" s="232" t="inlineStr">
        <is>
          <t>.   .   -</t>
        </is>
      </c>
      <c r="O2858" s="232" t="inlineStr">
        <is>
          <t>MARZO</t>
        </is>
      </c>
      <c r="P2858" s="232" t="n">
        <v>13</v>
      </c>
      <c r="Q2858" s="234" t="n">
        <v>25742</v>
      </c>
      <c r="R2858" s="232" t="inlineStr"/>
      <c r="S2858" s="234" t="n">
        <v>25742</v>
      </c>
      <c r="T2858" s="232" t="inlineStr">
        <is>
          <t>CLP</t>
        </is>
      </c>
      <c r="U2858" s="232" t="inlineStr">
        <is>
          <t>Prorrateo Ha PACKING</t>
        </is>
      </c>
      <c r="V2858" s="232" t="inlineStr">
        <is>
          <t>2026-06-18</t>
        </is>
      </c>
    </row>
    <row r="2859">
      <c r="A2859" s="232" t="inlineStr">
        <is>
          <t>CR-2856</t>
        </is>
      </c>
      <c r="B2859" s="232" t="inlineStr">
        <is>
          <t>2026/27</t>
        </is>
      </c>
      <c r="C2859" s="233" t="n">
        <v>46111</v>
      </c>
      <c r="D2859" s="232" t="inlineStr">
        <is>
          <t>8438</t>
        </is>
      </c>
      <c r="E2859" s="232" t="inlineStr">
        <is>
          <t>PRORRATEO</t>
        </is>
      </c>
      <c r="F2859" s="232" t="inlineStr">
        <is>
          <t>Santa Catalina</t>
        </is>
      </c>
      <c r="G2859" s="232" t="inlineStr">
        <is>
          <t>mant eureka 2,5 ha</t>
        </is>
      </c>
      <c r="H2859" s="232" t="inlineStr">
        <is>
          <t>Limon</t>
        </is>
      </c>
      <c r="I2859" s="232" t="inlineStr">
        <is>
          <t>Eureka</t>
        </is>
      </c>
      <c r="J2859" s="232" t="inlineStr">
        <is>
          <t>FLETES</t>
        </is>
      </c>
      <c r="K2859" s="232" t="inlineStr">
        <is>
          <t>FLETE FRUTA</t>
        </is>
      </c>
      <c r="L2859" s="232" t="inlineStr">
        <is>
          <t>[PRORRATEO 1.7% 2.5há/148.3há] O/001546 FLETE</t>
        </is>
      </c>
      <c r="M2859" s="232" t="inlineStr"/>
      <c r="N2859" s="232" t="inlineStr">
        <is>
          <t>.   .   -</t>
        </is>
      </c>
      <c r="O2859" s="232" t="inlineStr">
        <is>
          <t>MARZO</t>
        </is>
      </c>
      <c r="P2859" s="232" t="n">
        <v>13</v>
      </c>
      <c r="Q2859" s="234" t="n">
        <v>33345</v>
      </c>
      <c r="R2859" s="232" t="inlineStr"/>
      <c r="S2859" s="234" t="n">
        <v>33345</v>
      </c>
      <c r="T2859" s="232" t="inlineStr">
        <is>
          <t>CLP</t>
        </is>
      </c>
      <c r="U2859" s="232" t="inlineStr">
        <is>
          <t>Prorrateo Ha PACKING</t>
        </is>
      </c>
      <c r="V2859" s="232" t="inlineStr">
        <is>
          <t>2026-06-18</t>
        </is>
      </c>
    </row>
    <row r="2860">
      <c r="A2860" s="232" t="inlineStr">
        <is>
          <t>CR-2857</t>
        </is>
      </c>
      <c r="B2860" s="232" t="inlineStr">
        <is>
          <t>2026/27</t>
        </is>
      </c>
      <c r="C2860" s="233" t="n">
        <v>46111</v>
      </c>
      <c r="D2860" s="232" t="inlineStr">
        <is>
          <t>8438</t>
        </is>
      </c>
      <c r="E2860" s="232" t="inlineStr">
        <is>
          <t>PRORRATEO</t>
        </is>
      </c>
      <c r="F2860" s="232" t="inlineStr">
        <is>
          <t>Siberia</t>
        </is>
      </c>
      <c r="G2860" s="232" t="inlineStr">
        <is>
          <t>S. Celebration 7,14</t>
        </is>
      </c>
      <c r="H2860" s="232" t="inlineStr">
        <is>
          <t>Uvas</t>
        </is>
      </c>
      <c r="I2860" s="232" t="inlineStr">
        <is>
          <t>S. celebration</t>
        </is>
      </c>
      <c r="J2860" s="232" t="inlineStr">
        <is>
          <t>FLETES</t>
        </is>
      </c>
      <c r="K2860" s="232" t="inlineStr">
        <is>
          <t>FLETE FRUTA</t>
        </is>
      </c>
      <c r="L2860" s="232" t="inlineStr">
        <is>
          <t>[PRORRATEO 4.8% 7.14há/148.3há] O/001546 FLETE</t>
        </is>
      </c>
      <c r="M2860" s="232" t="inlineStr"/>
      <c r="N2860" s="232" t="inlineStr">
        <is>
          <t>.   .   -</t>
        </is>
      </c>
      <c r="O2860" s="232" t="inlineStr">
        <is>
          <t>MARZO</t>
        </is>
      </c>
      <c r="P2860" s="232" t="n">
        <v>13</v>
      </c>
      <c r="Q2860" s="234" t="n">
        <v>95234</v>
      </c>
      <c r="R2860" s="232" t="inlineStr"/>
      <c r="S2860" s="234" t="n">
        <v>95234</v>
      </c>
      <c r="T2860" s="232" t="inlineStr">
        <is>
          <t>CLP</t>
        </is>
      </c>
      <c r="U2860" s="232" t="inlineStr">
        <is>
          <t>Prorrateo Ha PACKING</t>
        </is>
      </c>
      <c r="V2860" s="232" t="inlineStr">
        <is>
          <t>2026-06-18</t>
        </is>
      </c>
    </row>
    <row r="2861">
      <c r="A2861" s="232" t="inlineStr">
        <is>
          <t>CR-2858</t>
        </is>
      </c>
      <c r="B2861" s="232" t="inlineStr">
        <is>
          <t>2026/27</t>
        </is>
      </c>
      <c r="C2861" s="233" t="n">
        <v>46111</v>
      </c>
      <c r="D2861" s="232" t="inlineStr">
        <is>
          <t>8438</t>
        </is>
      </c>
      <c r="E2861" s="232" t="inlineStr">
        <is>
          <t>PRORRATEO</t>
        </is>
      </c>
      <c r="F2861" s="232" t="inlineStr">
        <is>
          <t>Siberia</t>
        </is>
      </c>
      <c r="G2861" s="232" t="inlineStr">
        <is>
          <t>Timpson 7,1</t>
        </is>
      </c>
      <c r="H2861" s="232" t="inlineStr">
        <is>
          <t>Uvas</t>
        </is>
      </c>
      <c r="I2861" s="232" t="inlineStr">
        <is>
          <t>Timpson</t>
        </is>
      </c>
      <c r="J2861" s="232" t="inlineStr">
        <is>
          <t>FLETES</t>
        </is>
      </c>
      <c r="K2861" s="232" t="inlineStr">
        <is>
          <t>FLETE FRUTA</t>
        </is>
      </c>
      <c r="L2861" s="232" t="inlineStr">
        <is>
          <t>[PRORRATEO 4.8% 7.1há/148.3há] O/001546 FLETE</t>
        </is>
      </c>
      <c r="M2861" s="232" t="inlineStr"/>
      <c r="N2861" s="232" t="inlineStr">
        <is>
          <t>.   .   -</t>
        </is>
      </c>
      <c r="O2861" s="232" t="inlineStr">
        <is>
          <t>MARZO</t>
        </is>
      </c>
      <c r="P2861" s="232" t="n">
        <v>13</v>
      </c>
      <c r="Q2861" s="234" t="n">
        <v>94700</v>
      </c>
      <c r="R2861" s="232" t="inlineStr"/>
      <c r="S2861" s="234" t="n">
        <v>94700</v>
      </c>
      <c r="T2861" s="232" t="inlineStr">
        <is>
          <t>CLP</t>
        </is>
      </c>
      <c r="U2861" s="232" t="inlineStr">
        <is>
          <t>Prorrateo Ha PACKING</t>
        </is>
      </c>
      <c r="V2861" s="232" t="inlineStr">
        <is>
          <t>2026-06-18</t>
        </is>
      </c>
    </row>
    <row r="2862">
      <c r="A2862" s="232" t="inlineStr">
        <is>
          <t>CR-2859</t>
        </is>
      </c>
      <c r="B2862" s="232" t="inlineStr">
        <is>
          <t>2026/27</t>
        </is>
      </c>
      <c r="C2862" s="233" t="n">
        <v>46111</v>
      </c>
      <c r="D2862" s="232" t="inlineStr">
        <is>
          <t>8438</t>
        </is>
      </c>
      <c r="E2862" s="232" t="inlineStr">
        <is>
          <t>PRORRATEO</t>
        </is>
      </c>
      <c r="F2862" s="232" t="inlineStr">
        <is>
          <t>Asmara</t>
        </is>
      </c>
      <c r="G2862" s="232" t="inlineStr">
        <is>
          <t>w. murcott 19,8 ha</t>
        </is>
      </c>
      <c r="H2862" s="232" t="inlineStr">
        <is>
          <t>Mandarina</t>
        </is>
      </c>
      <c r="I2862" s="232" t="inlineStr">
        <is>
          <t>W. murcott</t>
        </is>
      </c>
      <c r="J2862" s="232" t="inlineStr">
        <is>
          <t>FLETES</t>
        </is>
      </c>
      <c r="K2862" s="232" t="inlineStr">
        <is>
          <t>FLETE FRUTA</t>
        </is>
      </c>
      <c r="L2862" s="232" t="inlineStr">
        <is>
          <t>[PRORRATEO 13.4% 19.8há/148.3há] O/001546 FLETE</t>
        </is>
      </c>
      <c r="M2862" s="232" t="inlineStr"/>
      <c r="N2862" s="232" t="inlineStr">
        <is>
          <t>.   .   -</t>
        </is>
      </c>
      <c r="O2862" s="232" t="inlineStr">
        <is>
          <t>MARZO</t>
        </is>
      </c>
      <c r="P2862" s="232" t="n">
        <v>13</v>
      </c>
      <c r="Q2862" s="234" t="n">
        <v>46659</v>
      </c>
      <c r="R2862" s="232" t="inlineStr"/>
      <c r="S2862" s="234" t="n">
        <v>46659</v>
      </c>
      <c r="T2862" s="232" t="inlineStr">
        <is>
          <t>CLP</t>
        </is>
      </c>
      <c r="U2862" s="232" t="inlineStr">
        <is>
          <t>Prorrateo Ha PACKING</t>
        </is>
      </c>
      <c r="V2862" s="232" t="inlineStr">
        <is>
          <t>2026-06-18</t>
        </is>
      </c>
    </row>
    <row r="2863">
      <c r="A2863" s="232" t="inlineStr">
        <is>
          <t>CR-2860</t>
        </is>
      </c>
      <c r="B2863" s="232" t="inlineStr">
        <is>
          <t>2026/27</t>
        </is>
      </c>
      <c r="C2863" s="233" t="n">
        <v>46111</v>
      </c>
      <c r="D2863" s="232" t="inlineStr">
        <is>
          <t>8438</t>
        </is>
      </c>
      <c r="E2863" s="232" t="inlineStr">
        <is>
          <t>PRORRATEO</t>
        </is>
      </c>
      <c r="F2863" s="232" t="inlineStr">
        <is>
          <t>Asmara</t>
        </is>
      </c>
      <c r="G2863" s="232" t="inlineStr">
        <is>
          <t>w. murcott 4,9 ha</t>
        </is>
      </c>
      <c r="H2863" s="232" t="inlineStr">
        <is>
          <t>Mandarina</t>
        </is>
      </c>
      <c r="I2863" s="232" t="inlineStr">
        <is>
          <t>W. murcott</t>
        </is>
      </c>
      <c r="J2863" s="232" t="inlineStr">
        <is>
          <t>FLETES</t>
        </is>
      </c>
      <c r="K2863" s="232" t="inlineStr">
        <is>
          <t>FLETE FRUTA</t>
        </is>
      </c>
      <c r="L2863" s="232" t="inlineStr">
        <is>
          <t>[PRORRATEO 3.3% 4.9há/148.3há] O/001546 FLETE</t>
        </is>
      </c>
      <c r="M2863" s="232" t="inlineStr"/>
      <c r="N2863" s="232" t="inlineStr">
        <is>
          <t>.   .   -</t>
        </is>
      </c>
      <c r="O2863" s="232" t="inlineStr">
        <is>
          <t>MARZO</t>
        </is>
      </c>
      <c r="P2863" s="232" t="n">
        <v>13</v>
      </c>
      <c r="Q2863" s="234" t="n">
        <v>11547</v>
      </c>
      <c r="R2863" s="232" t="inlineStr"/>
      <c r="S2863" s="234" t="n">
        <v>11547</v>
      </c>
      <c r="T2863" s="232" t="inlineStr">
        <is>
          <t>CLP</t>
        </is>
      </c>
      <c r="U2863" s="232" t="inlineStr">
        <is>
          <t>Prorrateo Ha PACKING</t>
        </is>
      </c>
      <c r="V2863" s="232" t="inlineStr">
        <is>
          <t>2026-06-18</t>
        </is>
      </c>
    </row>
    <row r="2864">
      <c r="A2864" s="232" t="inlineStr">
        <is>
          <t>CR-2861</t>
        </is>
      </c>
      <c r="B2864" s="232" t="inlineStr">
        <is>
          <t>2026/27</t>
        </is>
      </c>
      <c r="C2864" s="233" t="n">
        <v>46111</v>
      </c>
      <c r="D2864" s="232" t="inlineStr">
        <is>
          <t>8438</t>
        </is>
      </c>
      <c r="E2864" s="232" t="inlineStr">
        <is>
          <t>PRORRATEO</t>
        </is>
      </c>
      <c r="F2864" s="232" t="inlineStr">
        <is>
          <t>El Molle</t>
        </is>
      </c>
      <c r="G2864" s="232" t="inlineStr">
        <is>
          <t>Wonderful 5,25 ha</t>
        </is>
      </c>
      <c r="H2864" s="232" t="inlineStr">
        <is>
          <t>Granados</t>
        </is>
      </c>
      <c r="I2864" s="232" t="inlineStr">
        <is>
          <t>Wonderfull</t>
        </is>
      </c>
      <c r="J2864" s="232" t="inlineStr">
        <is>
          <t>FLETES</t>
        </is>
      </c>
      <c r="K2864" s="232" t="inlineStr">
        <is>
          <t>FLETE FRUTA</t>
        </is>
      </c>
      <c r="L2864" s="232" t="inlineStr">
        <is>
          <t>[PRORRATEO 3.5% 5.24há/148.3há] O/001546 FLETE</t>
        </is>
      </c>
      <c r="M2864" s="232" t="inlineStr"/>
      <c r="N2864" s="232" t="inlineStr">
        <is>
          <t>.   .   -</t>
        </is>
      </c>
      <c r="O2864" s="232" t="inlineStr">
        <is>
          <t>MARZO</t>
        </is>
      </c>
      <c r="P2864" s="232" t="n">
        <v>13</v>
      </c>
      <c r="Q2864" s="234" t="n">
        <v>12348</v>
      </c>
      <c r="R2864" s="232" t="inlineStr"/>
      <c r="S2864" s="234" t="n">
        <v>12348</v>
      </c>
      <c r="T2864" s="232" t="inlineStr">
        <is>
          <t>CLP</t>
        </is>
      </c>
      <c r="U2864" s="232" t="inlineStr">
        <is>
          <t>Prorrateo Ha PACKING</t>
        </is>
      </c>
      <c r="V2864" s="232" t="inlineStr">
        <is>
          <t>2026-06-18</t>
        </is>
      </c>
    </row>
    <row r="2865">
      <c r="A2865" s="232" t="inlineStr">
        <is>
          <t>CR-2862</t>
        </is>
      </c>
      <c r="B2865" s="232" t="inlineStr">
        <is>
          <t>2026/27</t>
        </is>
      </c>
      <c r="C2865" s="233" t="n">
        <v>46111</v>
      </c>
      <c r="D2865" s="232" t="inlineStr">
        <is>
          <t>8438</t>
        </is>
      </c>
      <c r="E2865" s="232" t="inlineStr">
        <is>
          <t>PRORRATEO</t>
        </is>
      </c>
      <c r="F2865" s="232" t="inlineStr">
        <is>
          <t>El Molle</t>
        </is>
      </c>
      <c r="G2865" s="232" t="inlineStr">
        <is>
          <t>arrufatinas 5,74 ha</t>
        </is>
      </c>
      <c r="H2865" s="232" t="inlineStr">
        <is>
          <t>Clementinas</t>
        </is>
      </c>
      <c r="I2865" s="232" t="inlineStr">
        <is>
          <t>Arrufatinas</t>
        </is>
      </c>
      <c r="J2865" s="232" t="inlineStr">
        <is>
          <t>FLETES</t>
        </is>
      </c>
      <c r="K2865" s="232" t="inlineStr">
        <is>
          <t>FLETE FRUTA</t>
        </is>
      </c>
      <c r="L2865" s="232" t="inlineStr">
        <is>
          <t>[PRORRATEO 3.9% 5.74há/148.3há] O/001546 FLETE</t>
        </is>
      </c>
      <c r="M2865" s="232" t="inlineStr"/>
      <c r="N2865" s="232" t="inlineStr">
        <is>
          <t>.   .   -</t>
        </is>
      </c>
      <c r="O2865" s="232" t="inlineStr">
        <is>
          <t>MARZO</t>
        </is>
      </c>
      <c r="P2865" s="232" t="n">
        <v>13</v>
      </c>
      <c r="Q2865" s="234" t="n">
        <v>13526</v>
      </c>
      <c r="R2865" s="232" t="inlineStr"/>
      <c r="S2865" s="234" t="n">
        <v>13526</v>
      </c>
      <c r="T2865" s="232" t="inlineStr">
        <is>
          <t>CLP</t>
        </is>
      </c>
      <c r="U2865" s="232" t="inlineStr">
        <is>
          <t>Prorrateo Ha PACKING</t>
        </is>
      </c>
      <c r="V2865" s="232" t="inlineStr">
        <is>
          <t>2026-06-18</t>
        </is>
      </c>
    </row>
    <row r="2866">
      <c r="A2866" s="232" t="inlineStr">
        <is>
          <t>CR-2863</t>
        </is>
      </c>
      <c r="B2866" s="232" t="inlineStr">
        <is>
          <t>2026/27</t>
        </is>
      </c>
      <c r="C2866" s="233" t="n">
        <v>46111</v>
      </c>
      <c r="D2866" s="232" t="inlineStr">
        <is>
          <t>8438</t>
        </is>
      </c>
      <c r="E2866" s="232" t="inlineStr">
        <is>
          <t>PRORRATEO</t>
        </is>
      </c>
      <c r="F2866" s="232" t="inlineStr">
        <is>
          <t>El Molle</t>
        </is>
      </c>
      <c r="G2866" s="232" t="inlineStr">
        <is>
          <t>orogrande 8,11 ha</t>
        </is>
      </c>
      <c r="H2866" s="232" t="inlineStr">
        <is>
          <t>Clementinas</t>
        </is>
      </c>
      <c r="I2866" s="232" t="inlineStr">
        <is>
          <t>Orogrande</t>
        </is>
      </c>
      <c r="J2866" s="232" t="inlineStr">
        <is>
          <t>FLETES</t>
        </is>
      </c>
      <c r="K2866" s="232" t="inlineStr">
        <is>
          <t>FLETE FRUTA</t>
        </is>
      </c>
      <c r="L2866" s="232" t="inlineStr">
        <is>
          <t>[PRORRATEO 5.5% 8.11há/148.3há] O/001546 FLETE</t>
        </is>
      </c>
      <c r="M2866" s="232" t="inlineStr"/>
      <c r="N2866" s="232" t="inlineStr">
        <is>
          <t>.   .   -</t>
        </is>
      </c>
      <c r="O2866" s="232" t="inlineStr">
        <is>
          <t>MARZO</t>
        </is>
      </c>
      <c r="P2866" s="232" t="n">
        <v>13</v>
      </c>
      <c r="Q2866" s="234" t="n">
        <v>19111</v>
      </c>
      <c r="R2866" s="232" t="inlineStr"/>
      <c r="S2866" s="234" t="n">
        <v>19111</v>
      </c>
      <c r="T2866" s="232" t="inlineStr">
        <is>
          <t>CLP</t>
        </is>
      </c>
      <c r="U2866" s="232" t="inlineStr">
        <is>
          <t>Prorrateo Ha PACKING</t>
        </is>
      </c>
      <c r="V2866" s="232" t="inlineStr">
        <is>
          <t>2026-06-18</t>
        </is>
      </c>
    </row>
    <row r="2867">
      <c r="A2867" s="232" t="inlineStr">
        <is>
          <t>CR-2864</t>
        </is>
      </c>
      <c r="B2867" s="232" t="inlineStr">
        <is>
          <t>2026/27</t>
        </is>
      </c>
      <c r="C2867" s="233" t="n">
        <v>46111</v>
      </c>
      <c r="D2867" s="232" t="inlineStr">
        <is>
          <t>8438</t>
        </is>
      </c>
      <c r="E2867" s="232" t="inlineStr">
        <is>
          <t>PRORRATEO</t>
        </is>
      </c>
      <c r="F2867" s="232" t="inlineStr">
        <is>
          <t>El Molle</t>
        </is>
      </c>
      <c r="G2867" s="232" t="inlineStr">
        <is>
          <t>oronules 5,35 ha</t>
        </is>
      </c>
      <c r="H2867" s="232" t="inlineStr">
        <is>
          <t>Clementinas</t>
        </is>
      </c>
      <c r="I2867" s="232" t="inlineStr">
        <is>
          <t>Oronules</t>
        </is>
      </c>
      <c r="J2867" s="232" t="inlineStr">
        <is>
          <t>FLETES</t>
        </is>
      </c>
      <c r="K2867" s="232" t="inlineStr">
        <is>
          <t>FLETE FRUTA</t>
        </is>
      </c>
      <c r="L2867" s="232" t="inlineStr">
        <is>
          <t>[PRORRATEO 3.6% 5.35há/148.3há] O/001546 FLETE</t>
        </is>
      </c>
      <c r="M2867" s="232" t="inlineStr"/>
      <c r="N2867" s="232" t="inlineStr">
        <is>
          <t>.   .   -</t>
        </is>
      </c>
      <c r="O2867" s="232" t="inlineStr">
        <is>
          <t>MARZO</t>
        </is>
      </c>
      <c r="P2867" s="232" t="n">
        <v>13</v>
      </c>
      <c r="Q2867" s="234" t="n">
        <v>12607</v>
      </c>
      <c r="R2867" s="232" t="inlineStr"/>
      <c r="S2867" s="234" t="n">
        <v>12607</v>
      </c>
      <c r="T2867" s="232" t="inlineStr">
        <is>
          <t>CLP</t>
        </is>
      </c>
      <c r="U2867" s="232" t="inlineStr">
        <is>
          <t>Prorrateo Ha PACKING</t>
        </is>
      </c>
      <c r="V2867" s="232" t="inlineStr">
        <is>
          <t>2026-06-18</t>
        </is>
      </c>
    </row>
    <row r="2868">
      <c r="A2868" s="232" t="inlineStr">
        <is>
          <t>CR-2865</t>
        </is>
      </c>
      <c r="B2868" s="232" t="inlineStr">
        <is>
          <t>2026/27</t>
        </is>
      </c>
      <c r="C2868" s="233" t="n">
        <v>46111</v>
      </c>
      <c r="D2868" s="232" t="inlineStr">
        <is>
          <t>8438</t>
        </is>
      </c>
      <c r="E2868" s="232" t="inlineStr">
        <is>
          <t>PRORRATEO</t>
        </is>
      </c>
      <c r="F2868" s="232" t="inlineStr">
        <is>
          <t>Santa Catalina</t>
        </is>
      </c>
      <c r="G2868" s="232" t="inlineStr">
        <is>
          <t>Fino 49 7,7 ha</t>
        </is>
      </c>
      <c r="H2868" s="232" t="inlineStr">
        <is>
          <t>Limon</t>
        </is>
      </c>
      <c r="I2868" s="232" t="inlineStr">
        <is>
          <t>Fino 49</t>
        </is>
      </c>
      <c r="J2868" s="232" t="inlineStr">
        <is>
          <t>FLETES</t>
        </is>
      </c>
      <c r="K2868" s="232" t="inlineStr">
        <is>
          <t>FLETE FRUTA</t>
        </is>
      </c>
      <c r="L2868" s="232" t="inlineStr">
        <is>
          <t>[PRORRATEO 5.2% 7.7há/148.3há] O/001546 FLETE</t>
        </is>
      </c>
      <c r="M2868" s="232" t="inlineStr"/>
      <c r="N2868" s="232" t="inlineStr">
        <is>
          <t>.   .   -</t>
        </is>
      </c>
      <c r="O2868" s="232" t="inlineStr">
        <is>
          <t>MARZO</t>
        </is>
      </c>
      <c r="P2868" s="232" t="n">
        <v>13</v>
      </c>
      <c r="Q2868" s="234" t="n">
        <v>18145</v>
      </c>
      <c r="R2868" s="232" t="inlineStr"/>
      <c r="S2868" s="234" t="n">
        <v>18145</v>
      </c>
      <c r="T2868" s="232" t="inlineStr">
        <is>
          <t>CLP</t>
        </is>
      </c>
      <c r="U2868" s="232" t="inlineStr">
        <is>
          <t>Prorrateo Ha PACKING</t>
        </is>
      </c>
      <c r="V2868" s="232" t="inlineStr">
        <is>
          <t>2026-06-18</t>
        </is>
      </c>
    </row>
    <row r="2869">
      <c r="A2869" s="232" t="inlineStr">
        <is>
          <t>CR-2866</t>
        </is>
      </c>
      <c r="B2869" s="232" t="inlineStr">
        <is>
          <t>2026/27</t>
        </is>
      </c>
      <c r="C2869" s="233" t="n">
        <v>46111</v>
      </c>
      <c r="D2869" s="232" t="inlineStr">
        <is>
          <t>8438</t>
        </is>
      </c>
      <c r="E2869" s="232" t="inlineStr">
        <is>
          <t>PRORRATEO</t>
        </is>
      </c>
      <c r="F2869" s="232" t="inlineStr">
        <is>
          <t>Santa Catalina</t>
        </is>
      </c>
      <c r="G2869" s="232" t="inlineStr">
        <is>
          <t>W. murcott 21 ha</t>
        </is>
      </c>
      <c r="H2869" s="232" t="inlineStr">
        <is>
          <t>Mandarina</t>
        </is>
      </c>
      <c r="I2869" s="232" t="inlineStr">
        <is>
          <t>W. murcott</t>
        </is>
      </c>
      <c r="J2869" s="232" t="inlineStr">
        <is>
          <t>FLETES</t>
        </is>
      </c>
      <c r="K2869" s="232" t="inlineStr">
        <is>
          <t>FLETE FRUTA</t>
        </is>
      </c>
      <c r="L2869" s="232" t="inlineStr">
        <is>
          <t>[PRORRATEO 14.2% 21.0há/148.3há] O/001546 FLETE</t>
        </is>
      </c>
      <c r="M2869" s="232" t="inlineStr"/>
      <c r="N2869" s="232" t="inlineStr">
        <is>
          <t>.   .   -</t>
        </is>
      </c>
      <c r="O2869" s="232" t="inlineStr">
        <is>
          <t>MARZO</t>
        </is>
      </c>
      <c r="P2869" s="232" t="n">
        <v>13</v>
      </c>
      <c r="Q2869" s="234" t="n">
        <v>49487</v>
      </c>
      <c r="R2869" s="232" t="inlineStr"/>
      <c r="S2869" s="234" t="n">
        <v>49487</v>
      </c>
      <c r="T2869" s="232" t="inlineStr">
        <is>
          <t>CLP</t>
        </is>
      </c>
      <c r="U2869" s="232" t="inlineStr">
        <is>
          <t>Prorrateo Ha PACKING</t>
        </is>
      </c>
      <c r="V2869" s="232" t="inlineStr">
        <is>
          <t>2026-06-18</t>
        </is>
      </c>
    </row>
    <row r="2870">
      <c r="A2870" s="232" t="inlineStr">
        <is>
          <t>CR-2867</t>
        </is>
      </c>
      <c r="B2870" s="232" t="inlineStr">
        <is>
          <t>2026/27</t>
        </is>
      </c>
      <c r="C2870" s="233" t="n">
        <v>46111</v>
      </c>
      <c r="D2870" s="232" t="inlineStr">
        <is>
          <t>8438</t>
        </is>
      </c>
      <c r="E2870" s="232" t="inlineStr">
        <is>
          <t>PRORRATEO</t>
        </is>
      </c>
      <c r="F2870" s="232" t="inlineStr">
        <is>
          <t>Santa Catalina</t>
        </is>
      </c>
      <c r="G2870" s="232" t="inlineStr">
        <is>
          <t>cambria 4,2 ha</t>
        </is>
      </c>
      <c r="H2870" s="232" t="inlineStr">
        <is>
          <t>Naranjas</t>
        </is>
      </c>
      <c r="I2870" s="232" t="inlineStr">
        <is>
          <t>Cambria</t>
        </is>
      </c>
      <c r="J2870" s="232" t="inlineStr">
        <is>
          <t>FLETES</t>
        </is>
      </c>
      <c r="K2870" s="232" t="inlineStr">
        <is>
          <t>FLETE FRUTA</t>
        </is>
      </c>
      <c r="L2870" s="232" t="inlineStr">
        <is>
          <t>[PRORRATEO 2.8% 4.2há/148.3há] O/001546 FLETE</t>
        </is>
      </c>
      <c r="M2870" s="232" t="inlineStr"/>
      <c r="N2870" s="232" t="inlineStr">
        <is>
          <t>.   .   -</t>
        </is>
      </c>
      <c r="O2870" s="232" t="inlineStr">
        <is>
          <t>MARZO</t>
        </is>
      </c>
      <c r="P2870" s="232" t="n">
        <v>13</v>
      </c>
      <c r="Q2870" s="234" t="n">
        <v>9897</v>
      </c>
      <c r="R2870" s="232" t="inlineStr"/>
      <c r="S2870" s="234" t="n">
        <v>9897</v>
      </c>
      <c r="T2870" s="232" t="inlineStr">
        <is>
          <t>CLP</t>
        </is>
      </c>
      <c r="U2870" s="232" t="inlineStr">
        <is>
          <t>Prorrateo Ha PACKING</t>
        </is>
      </c>
      <c r="V2870" s="232" t="inlineStr">
        <is>
          <t>2026-06-18</t>
        </is>
      </c>
    </row>
    <row r="2871">
      <c r="A2871" s="232" t="inlineStr">
        <is>
          <t>CR-2868</t>
        </is>
      </c>
      <c r="B2871" s="232" t="inlineStr">
        <is>
          <t>2026/27</t>
        </is>
      </c>
      <c r="C2871" s="233" t="n">
        <v>46111</v>
      </c>
      <c r="D2871" s="232" t="inlineStr">
        <is>
          <t>8438</t>
        </is>
      </c>
      <c r="E2871" s="232" t="inlineStr">
        <is>
          <t>PRORRATEO</t>
        </is>
      </c>
      <c r="F2871" s="232" t="inlineStr">
        <is>
          <t>Santa Catalina</t>
        </is>
      </c>
      <c r="G2871" s="232" t="inlineStr">
        <is>
          <t>eureka 10,6 ha</t>
        </is>
      </c>
      <c r="H2871" s="232" t="inlineStr">
        <is>
          <t>Limon</t>
        </is>
      </c>
      <c r="I2871" s="232" t="inlineStr">
        <is>
          <t>Eureka</t>
        </is>
      </c>
      <c r="J2871" s="232" t="inlineStr">
        <is>
          <t>FLETES</t>
        </is>
      </c>
      <c r="K2871" s="232" t="inlineStr">
        <is>
          <t>FLETE FRUTA</t>
        </is>
      </c>
      <c r="L2871" s="232" t="inlineStr">
        <is>
          <t>[PRORRATEO 7.1% 10.6há/148.3há] O/001546 FLETE</t>
        </is>
      </c>
      <c r="M2871" s="232" t="inlineStr"/>
      <c r="N2871" s="232" t="inlineStr">
        <is>
          <t>.   .   -</t>
        </is>
      </c>
      <c r="O2871" s="232" t="inlineStr">
        <is>
          <t>MARZO</t>
        </is>
      </c>
      <c r="P2871" s="232" t="n">
        <v>13</v>
      </c>
      <c r="Q2871" s="234" t="n">
        <v>24979</v>
      </c>
      <c r="R2871" s="232" t="inlineStr"/>
      <c r="S2871" s="234" t="n">
        <v>24979</v>
      </c>
      <c r="T2871" s="232" t="inlineStr">
        <is>
          <t>CLP</t>
        </is>
      </c>
      <c r="U2871" s="232" t="inlineStr">
        <is>
          <t>Prorrateo Ha PACKING</t>
        </is>
      </c>
      <c r="V2871" s="232" t="inlineStr">
        <is>
          <t>2026-06-18</t>
        </is>
      </c>
    </row>
    <row r="2872">
      <c r="A2872" s="232" t="inlineStr">
        <is>
          <t>CR-2869</t>
        </is>
      </c>
      <c r="B2872" s="232" t="inlineStr">
        <is>
          <t>2026/27</t>
        </is>
      </c>
      <c r="C2872" s="233" t="n">
        <v>46111</v>
      </c>
      <c r="D2872" s="232" t="inlineStr">
        <is>
          <t>8438</t>
        </is>
      </c>
      <c r="E2872" s="232" t="inlineStr">
        <is>
          <t>PRORRATEO</t>
        </is>
      </c>
      <c r="F2872" s="232" t="inlineStr">
        <is>
          <t>Santa Catalina</t>
        </is>
      </c>
      <c r="G2872" s="232" t="inlineStr">
        <is>
          <t>eureka 14,4 ha</t>
        </is>
      </c>
      <c r="H2872" s="232" t="inlineStr">
        <is>
          <t>Limon</t>
        </is>
      </c>
      <c r="I2872" s="232" t="inlineStr">
        <is>
          <t>Eureka</t>
        </is>
      </c>
      <c r="J2872" s="232" t="inlineStr">
        <is>
          <t>FLETES</t>
        </is>
      </c>
      <c r="K2872" s="232" t="inlineStr">
        <is>
          <t>FLETE FRUTA</t>
        </is>
      </c>
      <c r="L2872" s="232" t="inlineStr">
        <is>
          <t>[PRORRATEO 9.7% 14.4há/148.3há] O/001546 FLETE</t>
        </is>
      </c>
      <c r="M2872" s="232" t="inlineStr"/>
      <c r="N2872" s="232" t="inlineStr">
        <is>
          <t>.   .   -</t>
        </is>
      </c>
      <c r="O2872" s="232" t="inlineStr">
        <is>
          <t>MARZO</t>
        </is>
      </c>
      <c r="P2872" s="232" t="n">
        <v>13</v>
      </c>
      <c r="Q2872" s="234" t="n">
        <v>33934</v>
      </c>
      <c r="R2872" s="232" t="inlineStr"/>
      <c r="S2872" s="234" t="n">
        <v>33934</v>
      </c>
      <c r="T2872" s="232" t="inlineStr">
        <is>
          <t>CLP</t>
        </is>
      </c>
      <c r="U2872" s="232" t="inlineStr">
        <is>
          <t>Prorrateo Ha PACKING</t>
        </is>
      </c>
      <c r="V2872" s="232" t="inlineStr">
        <is>
          <t>2026-06-18</t>
        </is>
      </c>
    </row>
    <row r="2873">
      <c r="A2873" s="232" t="inlineStr">
        <is>
          <t>CR-2870</t>
        </is>
      </c>
      <c r="B2873" s="232" t="inlineStr">
        <is>
          <t>2026/27</t>
        </is>
      </c>
      <c r="C2873" s="233" t="n">
        <v>46111</v>
      </c>
      <c r="D2873" s="232" t="inlineStr">
        <is>
          <t>8438</t>
        </is>
      </c>
      <c r="E2873" s="232" t="inlineStr">
        <is>
          <t>PRORRATEO</t>
        </is>
      </c>
      <c r="F2873" s="232" t="inlineStr">
        <is>
          <t>Santa Catalina</t>
        </is>
      </c>
      <c r="G2873" s="232" t="inlineStr">
        <is>
          <t>eureka 22,55</t>
        </is>
      </c>
      <c r="H2873" s="232" t="inlineStr">
        <is>
          <t>Limon</t>
        </is>
      </c>
      <c r="I2873" s="232" t="inlineStr">
        <is>
          <t>Eureka</t>
        </is>
      </c>
      <c r="J2873" s="232" t="inlineStr">
        <is>
          <t>FLETES</t>
        </is>
      </c>
      <c r="K2873" s="232" t="inlineStr">
        <is>
          <t>FLETE FRUTA</t>
        </is>
      </c>
      <c r="L2873" s="232" t="inlineStr">
        <is>
          <t>[PRORRATEO 15.2% 22.55há/148.3há] O/001546 FLETE</t>
        </is>
      </c>
      <c r="M2873" s="232" t="inlineStr"/>
      <c r="N2873" s="232" t="inlineStr">
        <is>
          <t>.   .   -</t>
        </is>
      </c>
      <c r="O2873" s="232" t="inlineStr">
        <is>
          <t>MARZO</t>
        </is>
      </c>
      <c r="P2873" s="232" t="n">
        <v>13</v>
      </c>
      <c r="Q2873" s="234" t="n">
        <v>53139</v>
      </c>
      <c r="R2873" s="232" t="inlineStr"/>
      <c r="S2873" s="234" t="n">
        <v>53139</v>
      </c>
      <c r="T2873" s="232" t="inlineStr">
        <is>
          <t>CLP</t>
        </is>
      </c>
      <c r="U2873" s="232" t="inlineStr">
        <is>
          <t>Prorrateo Ha PACKING</t>
        </is>
      </c>
      <c r="V2873" s="232" t="inlineStr">
        <is>
          <t>2026-06-18</t>
        </is>
      </c>
    </row>
    <row r="2874">
      <c r="A2874" s="232" t="inlineStr">
        <is>
          <t>CR-2871</t>
        </is>
      </c>
      <c r="B2874" s="232" t="inlineStr">
        <is>
          <t>2026/27</t>
        </is>
      </c>
      <c r="C2874" s="233" t="n">
        <v>46111</v>
      </c>
      <c r="D2874" s="232" t="inlineStr">
        <is>
          <t>8438</t>
        </is>
      </c>
      <c r="E2874" s="232" t="inlineStr">
        <is>
          <t>PRORRATEO</t>
        </is>
      </c>
      <c r="F2874" s="232" t="inlineStr">
        <is>
          <t>Santa Catalina</t>
        </is>
      </c>
      <c r="G2874" s="232" t="inlineStr">
        <is>
          <t>form benjamin 1,93 ha</t>
        </is>
      </c>
      <c r="H2874" s="232" t="inlineStr">
        <is>
          <t>Limon</t>
        </is>
      </c>
      <c r="I2874" s="232" t="inlineStr">
        <is>
          <t>Benjamin andes</t>
        </is>
      </c>
      <c r="J2874" s="232" t="inlineStr">
        <is>
          <t>FLETES</t>
        </is>
      </c>
      <c r="K2874" s="232" t="inlineStr">
        <is>
          <t>FLETE FRUTA</t>
        </is>
      </c>
      <c r="L2874" s="232" t="inlineStr">
        <is>
          <t>[PRORRATEO 1.3% 1.93há/148.3há] O/001546 FLETE</t>
        </is>
      </c>
      <c r="M2874" s="232" t="inlineStr"/>
      <c r="N2874" s="232" t="inlineStr">
        <is>
          <t>.   .   -</t>
        </is>
      </c>
      <c r="O2874" s="232" t="inlineStr">
        <is>
          <t>MARZO</t>
        </is>
      </c>
      <c r="P2874" s="232" t="n">
        <v>13</v>
      </c>
      <c r="Q2874" s="234" t="n">
        <v>4548</v>
      </c>
      <c r="R2874" s="232" t="inlineStr"/>
      <c r="S2874" s="234" t="n">
        <v>4548</v>
      </c>
      <c r="T2874" s="232" t="inlineStr">
        <is>
          <t>CLP</t>
        </is>
      </c>
      <c r="U2874" s="232" t="inlineStr">
        <is>
          <t>Prorrateo Ha PACKING</t>
        </is>
      </c>
      <c r="V2874" s="232" t="inlineStr">
        <is>
          <t>2026-06-18</t>
        </is>
      </c>
    </row>
    <row r="2875">
      <c r="A2875" s="232" t="inlineStr">
        <is>
          <t>CR-2872</t>
        </is>
      </c>
      <c r="B2875" s="232" t="inlineStr">
        <is>
          <t>2026/27</t>
        </is>
      </c>
      <c r="C2875" s="233" t="n">
        <v>46111</v>
      </c>
      <c r="D2875" s="232" t="inlineStr">
        <is>
          <t>8438</t>
        </is>
      </c>
      <c r="E2875" s="232" t="inlineStr">
        <is>
          <t>PRORRATEO</t>
        </is>
      </c>
      <c r="F2875" s="232" t="inlineStr">
        <is>
          <t>Santa Catalina</t>
        </is>
      </c>
      <c r="G2875" s="232" t="inlineStr">
        <is>
          <t>mant eureka 2,5 ha</t>
        </is>
      </c>
      <c r="H2875" s="232" t="inlineStr">
        <is>
          <t>Limon</t>
        </is>
      </c>
      <c r="I2875" s="232" t="inlineStr">
        <is>
          <t>Eureka</t>
        </is>
      </c>
      <c r="J2875" s="232" t="inlineStr">
        <is>
          <t>FLETES</t>
        </is>
      </c>
      <c r="K2875" s="232" t="inlineStr">
        <is>
          <t>FLETE FRUTA</t>
        </is>
      </c>
      <c r="L2875" s="232" t="inlineStr">
        <is>
          <t>[PRORRATEO 1.7% 2.5há/148.3há] O/001546 FLETE</t>
        </is>
      </c>
      <c r="M2875" s="232" t="inlineStr"/>
      <c r="N2875" s="232" t="inlineStr">
        <is>
          <t>.   .   -</t>
        </is>
      </c>
      <c r="O2875" s="232" t="inlineStr">
        <is>
          <t>MARZO</t>
        </is>
      </c>
      <c r="P2875" s="232" t="n">
        <v>13</v>
      </c>
      <c r="Q2875" s="234" t="n">
        <v>5891</v>
      </c>
      <c r="R2875" s="232" t="inlineStr"/>
      <c r="S2875" s="234" t="n">
        <v>5891</v>
      </c>
      <c r="T2875" s="232" t="inlineStr">
        <is>
          <t>CLP</t>
        </is>
      </c>
      <c r="U2875" s="232" t="inlineStr">
        <is>
          <t>Prorrateo Ha PACKING</t>
        </is>
      </c>
      <c r="V2875" s="232" t="inlineStr">
        <is>
          <t>2026-06-18</t>
        </is>
      </c>
    </row>
    <row r="2876">
      <c r="A2876" s="232" t="inlineStr">
        <is>
          <t>CR-2873</t>
        </is>
      </c>
      <c r="B2876" s="232" t="inlineStr">
        <is>
          <t>2026/27</t>
        </is>
      </c>
      <c r="C2876" s="233" t="n">
        <v>46111</v>
      </c>
      <c r="D2876" s="232" t="inlineStr">
        <is>
          <t>8438</t>
        </is>
      </c>
      <c r="E2876" s="232" t="inlineStr">
        <is>
          <t>PRORRATEO</t>
        </is>
      </c>
      <c r="F2876" s="232" t="inlineStr">
        <is>
          <t>Siberia</t>
        </is>
      </c>
      <c r="G2876" s="232" t="inlineStr">
        <is>
          <t>S. Celebration 7,14</t>
        </is>
      </c>
      <c r="H2876" s="232" t="inlineStr">
        <is>
          <t>Uvas</t>
        </is>
      </c>
      <c r="I2876" s="232" t="inlineStr">
        <is>
          <t>S. celebration</t>
        </is>
      </c>
      <c r="J2876" s="232" t="inlineStr">
        <is>
          <t>FLETES</t>
        </is>
      </c>
      <c r="K2876" s="232" t="inlineStr">
        <is>
          <t>FLETE FRUTA</t>
        </is>
      </c>
      <c r="L2876" s="232" t="inlineStr">
        <is>
          <t>[PRORRATEO 4.8% 7.14há/148.3há] O/001546 FLETE</t>
        </is>
      </c>
      <c r="M2876" s="232" t="inlineStr"/>
      <c r="N2876" s="232" t="inlineStr">
        <is>
          <t>.   .   -</t>
        </is>
      </c>
      <c r="O2876" s="232" t="inlineStr">
        <is>
          <t>MARZO</t>
        </is>
      </c>
      <c r="P2876" s="232" t="n">
        <v>13</v>
      </c>
      <c r="Q2876" s="234" t="n">
        <v>16825</v>
      </c>
      <c r="R2876" s="232" t="inlineStr"/>
      <c r="S2876" s="234" t="n">
        <v>16825</v>
      </c>
      <c r="T2876" s="232" t="inlineStr">
        <is>
          <t>CLP</t>
        </is>
      </c>
      <c r="U2876" s="232" t="inlineStr">
        <is>
          <t>Prorrateo Ha PACKING</t>
        </is>
      </c>
      <c r="V2876" s="232" t="inlineStr">
        <is>
          <t>2026-06-18</t>
        </is>
      </c>
    </row>
    <row r="2877">
      <c r="A2877" s="232" t="inlineStr">
        <is>
          <t>CR-2874</t>
        </is>
      </c>
      <c r="B2877" s="232" t="inlineStr">
        <is>
          <t>2026/27</t>
        </is>
      </c>
      <c r="C2877" s="233" t="n">
        <v>46111</v>
      </c>
      <c r="D2877" s="232" t="inlineStr">
        <is>
          <t>8438</t>
        </is>
      </c>
      <c r="E2877" s="232" t="inlineStr">
        <is>
          <t>PRORRATEO</t>
        </is>
      </c>
      <c r="F2877" s="232" t="inlineStr">
        <is>
          <t>Siberia</t>
        </is>
      </c>
      <c r="G2877" s="232" t="inlineStr">
        <is>
          <t>Timpson 7,1</t>
        </is>
      </c>
      <c r="H2877" s="232" t="inlineStr">
        <is>
          <t>Uvas</t>
        </is>
      </c>
      <c r="I2877" s="232" t="inlineStr">
        <is>
          <t>Timpson</t>
        </is>
      </c>
      <c r="J2877" s="232" t="inlineStr">
        <is>
          <t>FLETES</t>
        </is>
      </c>
      <c r="K2877" s="232" t="inlineStr">
        <is>
          <t>FLETE FRUTA</t>
        </is>
      </c>
      <c r="L2877" s="232" t="inlineStr">
        <is>
          <t>[PRORRATEO 4.8% 7.1há/148.3há] O/001546 FLETE</t>
        </is>
      </c>
      <c r="M2877" s="232" t="inlineStr"/>
      <c r="N2877" s="232" t="inlineStr">
        <is>
          <t>.   .   -</t>
        </is>
      </c>
      <c r="O2877" s="232" t="inlineStr">
        <is>
          <t>MARZO</t>
        </is>
      </c>
      <c r="P2877" s="232" t="n">
        <v>13</v>
      </c>
      <c r="Q2877" s="234" t="n">
        <v>16731</v>
      </c>
      <c r="R2877" s="232" t="inlineStr"/>
      <c r="S2877" s="234" t="n">
        <v>16731</v>
      </c>
      <c r="T2877" s="232" t="inlineStr">
        <is>
          <t>CLP</t>
        </is>
      </c>
      <c r="U2877" s="232" t="inlineStr">
        <is>
          <t>Prorrateo Ha PACKING</t>
        </is>
      </c>
      <c r="V2877" s="232" t="inlineStr">
        <is>
          <t>2026-06-18</t>
        </is>
      </c>
    </row>
    <row r="2878">
      <c r="A2878" s="232" t="inlineStr">
        <is>
          <t>CR-2875</t>
        </is>
      </c>
      <c r="B2878" s="232" t="inlineStr">
        <is>
          <t>2026/27</t>
        </is>
      </c>
      <c r="C2878" s="233" t="n">
        <v>46111</v>
      </c>
      <c r="D2878" s="232" t="inlineStr">
        <is>
          <t>8438</t>
        </is>
      </c>
      <c r="E2878" s="232" t="inlineStr">
        <is>
          <t>PRORRATEO</t>
        </is>
      </c>
      <c r="F2878" s="232" t="inlineStr">
        <is>
          <t>Asmara</t>
        </is>
      </c>
      <c r="G2878" s="232" t="inlineStr">
        <is>
          <t>w. murcott 19,8 ha</t>
        </is>
      </c>
      <c r="H2878" s="232" t="inlineStr">
        <is>
          <t>Mandarina</t>
        </is>
      </c>
      <c r="I2878" s="232" t="inlineStr">
        <is>
          <t>W. murcott</t>
        </is>
      </c>
      <c r="J2878" s="232" t="inlineStr">
        <is>
          <t>FLETES</t>
        </is>
      </c>
      <c r="K2878" s="232" t="inlineStr">
        <is>
          <t>FLETE FRUTA</t>
        </is>
      </c>
      <c r="L2878" s="232" t="inlineStr">
        <is>
          <t>[PRORRATEO 13.4% 19.8há/148.3há] O/001546 FLETE</t>
        </is>
      </c>
      <c r="M2878" s="232" t="inlineStr"/>
      <c r="N2878" s="232" t="inlineStr">
        <is>
          <t>.   .   -</t>
        </is>
      </c>
      <c r="O2878" s="232" t="inlineStr">
        <is>
          <t>MARZO</t>
        </is>
      </c>
      <c r="P2878" s="232" t="n">
        <v>13</v>
      </c>
      <c r="Q2878" s="234" t="n">
        <v>36426</v>
      </c>
      <c r="R2878" s="232" t="inlineStr"/>
      <c r="S2878" s="234" t="n">
        <v>36426</v>
      </c>
      <c r="T2878" s="232" t="inlineStr">
        <is>
          <t>CLP</t>
        </is>
      </c>
      <c r="U2878" s="232" t="inlineStr">
        <is>
          <t>Prorrateo Ha PACKING</t>
        </is>
      </c>
      <c r="V2878" s="232" t="inlineStr">
        <is>
          <t>2026-06-18</t>
        </is>
      </c>
    </row>
    <row r="2879">
      <c r="A2879" s="232" t="inlineStr">
        <is>
          <t>CR-2876</t>
        </is>
      </c>
      <c r="B2879" s="232" t="inlineStr">
        <is>
          <t>2026/27</t>
        </is>
      </c>
      <c r="C2879" s="233" t="n">
        <v>46111</v>
      </c>
      <c r="D2879" s="232" t="inlineStr">
        <is>
          <t>8438</t>
        </is>
      </c>
      <c r="E2879" s="232" t="inlineStr">
        <is>
          <t>PRORRATEO</t>
        </is>
      </c>
      <c r="F2879" s="232" t="inlineStr">
        <is>
          <t>Asmara</t>
        </is>
      </c>
      <c r="G2879" s="232" t="inlineStr">
        <is>
          <t>w. murcott 4,9 ha</t>
        </is>
      </c>
      <c r="H2879" s="232" t="inlineStr">
        <is>
          <t>Mandarina</t>
        </is>
      </c>
      <c r="I2879" s="232" t="inlineStr">
        <is>
          <t>W. murcott</t>
        </is>
      </c>
      <c r="J2879" s="232" t="inlineStr">
        <is>
          <t>FLETES</t>
        </is>
      </c>
      <c r="K2879" s="232" t="inlineStr">
        <is>
          <t>FLETE FRUTA</t>
        </is>
      </c>
      <c r="L2879" s="232" t="inlineStr">
        <is>
          <t>[PRORRATEO 3.3% 4.9há/148.3há] O/001546 FLETE</t>
        </is>
      </c>
      <c r="M2879" s="232" t="inlineStr"/>
      <c r="N2879" s="232" t="inlineStr">
        <is>
          <t>.   .   -</t>
        </is>
      </c>
      <c r="O2879" s="232" t="inlineStr">
        <is>
          <t>MARZO</t>
        </is>
      </c>
      <c r="P2879" s="232" t="n">
        <v>13</v>
      </c>
      <c r="Q2879" s="234" t="n">
        <v>9014</v>
      </c>
      <c r="R2879" s="232" t="inlineStr"/>
      <c r="S2879" s="234" t="n">
        <v>9014</v>
      </c>
      <c r="T2879" s="232" t="inlineStr">
        <is>
          <t>CLP</t>
        </is>
      </c>
      <c r="U2879" s="232" t="inlineStr">
        <is>
          <t>Prorrateo Ha PACKING</t>
        </is>
      </c>
      <c r="V2879" s="232" t="inlineStr">
        <is>
          <t>2026-06-18</t>
        </is>
      </c>
    </row>
    <row r="2880">
      <c r="A2880" s="232" t="inlineStr">
        <is>
          <t>CR-2877</t>
        </is>
      </c>
      <c r="B2880" s="232" t="inlineStr">
        <is>
          <t>2026/27</t>
        </is>
      </c>
      <c r="C2880" s="233" t="n">
        <v>46111</v>
      </c>
      <c r="D2880" s="232" t="inlineStr">
        <is>
          <t>8438</t>
        </is>
      </c>
      <c r="E2880" s="232" t="inlineStr">
        <is>
          <t>PRORRATEO</t>
        </is>
      </c>
      <c r="F2880" s="232" t="inlineStr">
        <is>
          <t>El Molle</t>
        </is>
      </c>
      <c r="G2880" s="232" t="inlineStr">
        <is>
          <t>Wonderful 5,25 ha</t>
        </is>
      </c>
      <c r="H2880" s="232" t="inlineStr">
        <is>
          <t>Granados</t>
        </is>
      </c>
      <c r="I2880" s="232" t="inlineStr">
        <is>
          <t>Wonderfull</t>
        </is>
      </c>
      <c r="J2880" s="232" t="inlineStr">
        <is>
          <t>FLETES</t>
        </is>
      </c>
      <c r="K2880" s="232" t="inlineStr">
        <is>
          <t>FLETE FRUTA</t>
        </is>
      </c>
      <c r="L2880" s="232" t="inlineStr">
        <is>
          <t>[PRORRATEO 3.5% 5.24há/148.3há] O/001546 FLETE</t>
        </is>
      </c>
      <c r="M2880" s="232" t="inlineStr"/>
      <c r="N2880" s="232" t="inlineStr">
        <is>
          <t>.   .   -</t>
        </is>
      </c>
      <c r="O2880" s="232" t="inlineStr">
        <is>
          <t>MARZO</t>
        </is>
      </c>
      <c r="P2880" s="232" t="n">
        <v>13</v>
      </c>
      <c r="Q2880" s="234" t="n">
        <v>9640</v>
      </c>
      <c r="R2880" s="232" t="inlineStr"/>
      <c r="S2880" s="234" t="n">
        <v>9640</v>
      </c>
      <c r="T2880" s="232" t="inlineStr">
        <is>
          <t>CLP</t>
        </is>
      </c>
      <c r="U2880" s="232" t="inlineStr">
        <is>
          <t>Prorrateo Ha PACKING</t>
        </is>
      </c>
      <c r="V2880" s="232" t="inlineStr">
        <is>
          <t>2026-06-18</t>
        </is>
      </c>
    </row>
    <row r="2881">
      <c r="A2881" s="232" t="inlineStr">
        <is>
          <t>CR-2878</t>
        </is>
      </c>
      <c r="B2881" s="232" t="inlineStr">
        <is>
          <t>2026/27</t>
        </is>
      </c>
      <c r="C2881" s="233" t="n">
        <v>46111</v>
      </c>
      <c r="D2881" s="232" t="inlineStr">
        <is>
          <t>8438</t>
        </is>
      </c>
      <c r="E2881" s="232" t="inlineStr">
        <is>
          <t>PRORRATEO</t>
        </is>
      </c>
      <c r="F2881" s="232" t="inlineStr">
        <is>
          <t>El Molle</t>
        </is>
      </c>
      <c r="G2881" s="232" t="inlineStr">
        <is>
          <t>arrufatinas 5,74 ha</t>
        </is>
      </c>
      <c r="H2881" s="232" t="inlineStr">
        <is>
          <t>Clementinas</t>
        </is>
      </c>
      <c r="I2881" s="232" t="inlineStr">
        <is>
          <t>Arrufatinas</t>
        </is>
      </c>
      <c r="J2881" s="232" t="inlineStr">
        <is>
          <t>FLETES</t>
        </is>
      </c>
      <c r="K2881" s="232" t="inlineStr">
        <is>
          <t>FLETE FRUTA</t>
        </is>
      </c>
      <c r="L2881" s="232" t="inlineStr">
        <is>
          <t>[PRORRATEO 3.9% 5.74há/148.3há] O/001546 FLETE</t>
        </is>
      </c>
      <c r="M2881" s="232" t="inlineStr"/>
      <c r="N2881" s="232" t="inlineStr">
        <is>
          <t>.   .   -</t>
        </is>
      </c>
      <c r="O2881" s="232" t="inlineStr">
        <is>
          <t>MARZO</t>
        </is>
      </c>
      <c r="P2881" s="232" t="n">
        <v>13</v>
      </c>
      <c r="Q2881" s="234" t="n">
        <v>10560</v>
      </c>
      <c r="R2881" s="232" t="inlineStr"/>
      <c r="S2881" s="234" t="n">
        <v>10560</v>
      </c>
      <c r="T2881" s="232" t="inlineStr">
        <is>
          <t>CLP</t>
        </is>
      </c>
      <c r="U2881" s="232" t="inlineStr">
        <is>
          <t>Prorrateo Ha PACKING</t>
        </is>
      </c>
      <c r="V2881" s="232" t="inlineStr">
        <is>
          <t>2026-06-18</t>
        </is>
      </c>
    </row>
    <row r="2882">
      <c r="A2882" s="232" t="inlineStr">
        <is>
          <t>CR-2879</t>
        </is>
      </c>
      <c r="B2882" s="232" t="inlineStr">
        <is>
          <t>2026/27</t>
        </is>
      </c>
      <c r="C2882" s="233" t="n">
        <v>46111</v>
      </c>
      <c r="D2882" s="232" t="inlineStr">
        <is>
          <t>8438</t>
        </is>
      </c>
      <c r="E2882" s="232" t="inlineStr">
        <is>
          <t>PRORRATEO</t>
        </is>
      </c>
      <c r="F2882" s="232" t="inlineStr">
        <is>
          <t>El Molle</t>
        </is>
      </c>
      <c r="G2882" s="232" t="inlineStr">
        <is>
          <t>orogrande 8,11 ha</t>
        </is>
      </c>
      <c r="H2882" s="232" t="inlineStr">
        <is>
          <t>Clementinas</t>
        </is>
      </c>
      <c r="I2882" s="232" t="inlineStr">
        <is>
          <t>Orogrande</t>
        </is>
      </c>
      <c r="J2882" s="232" t="inlineStr">
        <is>
          <t>FLETES</t>
        </is>
      </c>
      <c r="K2882" s="232" t="inlineStr">
        <is>
          <t>FLETE FRUTA</t>
        </is>
      </c>
      <c r="L2882" s="232" t="inlineStr">
        <is>
          <t>[PRORRATEO 5.5% 8.11há/148.3há] O/001546 FLETE</t>
        </is>
      </c>
      <c r="M2882" s="232" t="inlineStr"/>
      <c r="N2882" s="232" t="inlineStr">
        <is>
          <t>.   .   -</t>
        </is>
      </c>
      <c r="O2882" s="232" t="inlineStr">
        <is>
          <t>MARZO</t>
        </is>
      </c>
      <c r="P2882" s="232" t="n">
        <v>13</v>
      </c>
      <c r="Q2882" s="234" t="n">
        <v>14920</v>
      </c>
      <c r="R2882" s="232" t="inlineStr"/>
      <c r="S2882" s="234" t="n">
        <v>14920</v>
      </c>
      <c r="T2882" s="232" t="inlineStr">
        <is>
          <t>CLP</t>
        </is>
      </c>
      <c r="U2882" s="232" t="inlineStr">
        <is>
          <t>Prorrateo Ha PACKING</t>
        </is>
      </c>
      <c r="V2882" s="232" t="inlineStr">
        <is>
          <t>2026-06-18</t>
        </is>
      </c>
    </row>
    <row r="2883">
      <c r="A2883" s="232" t="inlineStr">
        <is>
          <t>CR-2880</t>
        </is>
      </c>
      <c r="B2883" s="232" t="inlineStr">
        <is>
          <t>2026/27</t>
        </is>
      </c>
      <c r="C2883" s="233" t="n">
        <v>46111</v>
      </c>
      <c r="D2883" s="232" t="inlineStr">
        <is>
          <t>8438</t>
        </is>
      </c>
      <c r="E2883" s="232" t="inlineStr">
        <is>
          <t>PRORRATEO</t>
        </is>
      </c>
      <c r="F2883" s="232" t="inlineStr">
        <is>
          <t>El Molle</t>
        </is>
      </c>
      <c r="G2883" s="232" t="inlineStr">
        <is>
          <t>oronules 5,35 ha</t>
        </is>
      </c>
      <c r="H2883" s="232" t="inlineStr">
        <is>
          <t>Clementinas</t>
        </is>
      </c>
      <c r="I2883" s="232" t="inlineStr">
        <is>
          <t>Oronules</t>
        </is>
      </c>
      <c r="J2883" s="232" t="inlineStr">
        <is>
          <t>FLETES</t>
        </is>
      </c>
      <c r="K2883" s="232" t="inlineStr">
        <is>
          <t>FLETE FRUTA</t>
        </is>
      </c>
      <c r="L2883" s="232" t="inlineStr">
        <is>
          <t>[PRORRATEO 3.6% 5.35há/148.3há] O/001546 FLETE</t>
        </is>
      </c>
      <c r="M2883" s="232" t="inlineStr"/>
      <c r="N2883" s="232" t="inlineStr">
        <is>
          <t>.   .   -</t>
        </is>
      </c>
      <c r="O2883" s="232" t="inlineStr">
        <is>
          <t>MARZO</t>
        </is>
      </c>
      <c r="P2883" s="232" t="n">
        <v>13</v>
      </c>
      <c r="Q2883" s="234" t="n">
        <v>9842</v>
      </c>
      <c r="R2883" s="232" t="inlineStr"/>
      <c r="S2883" s="234" t="n">
        <v>9842</v>
      </c>
      <c r="T2883" s="232" t="inlineStr">
        <is>
          <t>CLP</t>
        </is>
      </c>
      <c r="U2883" s="232" t="inlineStr">
        <is>
          <t>Prorrateo Ha PACKING</t>
        </is>
      </c>
      <c r="V2883" s="232" t="inlineStr">
        <is>
          <t>2026-06-18</t>
        </is>
      </c>
    </row>
    <row r="2884">
      <c r="A2884" s="232" t="inlineStr">
        <is>
          <t>CR-2881</t>
        </is>
      </c>
      <c r="B2884" s="232" t="inlineStr">
        <is>
          <t>2026/27</t>
        </is>
      </c>
      <c r="C2884" s="233" t="n">
        <v>46111</v>
      </c>
      <c r="D2884" s="232" t="inlineStr">
        <is>
          <t>8438</t>
        </is>
      </c>
      <c r="E2884" s="232" t="inlineStr">
        <is>
          <t>PRORRATEO</t>
        </is>
      </c>
      <c r="F2884" s="232" t="inlineStr">
        <is>
          <t>Santa Catalina</t>
        </is>
      </c>
      <c r="G2884" s="232" t="inlineStr">
        <is>
          <t>Fino 49 7,7 ha</t>
        </is>
      </c>
      <c r="H2884" s="232" t="inlineStr">
        <is>
          <t>Limon</t>
        </is>
      </c>
      <c r="I2884" s="232" t="inlineStr">
        <is>
          <t>Fino 49</t>
        </is>
      </c>
      <c r="J2884" s="232" t="inlineStr">
        <is>
          <t>FLETES</t>
        </is>
      </c>
      <c r="K2884" s="232" t="inlineStr">
        <is>
          <t>FLETE FRUTA</t>
        </is>
      </c>
      <c r="L2884" s="232" t="inlineStr">
        <is>
          <t>[PRORRATEO 5.2% 7.7há/148.3há] O/001546 FLETE</t>
        </is>
      </c>
      <c r="M2884" s="232" t="inlineStr"/>
      <c r="N2884" s="232" t="inlineStr">
        <is>
          <t>.   .   -</t>
        </is>
      </c>
      <c r="O2884" s="232" t="inlineStr">
        <is>
          <t>MARZO</t>
        </is>
      </c>
      <c r="P2884" s="232" t="n">
        <v>13</v>
      </c>
      <c r="Q2884" s="234" t="n">
        <v>14165</v>
      </c>
      <c r="R2884" s="232" t="inlineStr"/>
      <c r="S2884" s="234" t="n">
        <v>14165</v>
      </c>
      <c r="T2884" s="232" t="inlineStr">
        <is>
          <t>CLP</t>
        </is>
      </c>
      <c r="U2884" s="232" t="inlineStr">
        <is>
          <t>Prorrateo Ha PACKING</t>
        </is>
      </c>
      <c r="V2884" s="232" t="inlineStr">
        <is>
          <t>2026-06-18</t>
        </is>
      </c>
    </row>
    <row r="2885">
      <c r="A2885" s="232" t="inlineStr">
        <is>
          <t>CR-2882</t>
        </is>
      </c>
      <c r="B2885" s="232" t="inlineStr">
        <is>
          <t>2026/27</t>
        </is>
      </c>
      <c r="C2885" s="233" t="n">
        <v>46111</v>
      </c>
      <c r="D2885" s="232" t="inlineStr">
        <is>
          <t>8438</t>
        </is>
      </c>
      <c r="E2885" s="232" t="inlineStr">
        <is>
          <t>PRORRATEO</t>
        </is>
      </c>
      <c r="F2885" s="232" t="inlineStr">
        <is>
          <t>Santa Catalina</t>
        </is>
      </c>
      <c r="G2885" s="232" t="inlineStr">
        <is>
          <t>W. murcott 21 ha</t>
        </is>
      </c>
      <c r="H2885" s="232" t="inlineStr">
        <is>
          <t>Mandarina</t>
        </is>
      </c>
      <c r="I2885" s="232" t="inlineStr">
        <is>
          <t>W. murcott</t>
        </is>
      </c>
      <c r="J2885" s="232" t="inlineStr">
        <is>
          <t>FLETES</t>
        </is>
      </c>
      <c r="K2885" s="232" t="inlineStr">
        <is>
          <t>FLETE FRUTA</t>
        </is>
      </c>
      <c r="L2885" s="232" t="inlineStr">
        <is>
          <t>[PRORRATEO 14.2% 21.0há/148.3há] O/001546 FLETE</t>
        </is>
      </c>
      <c r="M2885" s="232" t="inlineStr"/>
      <c r="N2885" s="232" t="inlineStr">
        <is>
          <t>.   .   -</t>
        </is>
      </c>
      <c r="O2885" s="232" t="inlineStr">
        <is>
          <t>MARZO</t>
        </is>
      </c>
      <c r="P2885" s="232" t="n">
        <v>13</v>
      </c>
      <c r="Q2885" s="234" t="n">
        <v>38633</v>
      </c>
      <c r="R2885" s="232" t="inlineStr"/>
      <c r="S2885" s="234" t="n">
        <v>38633</v>
      </c>
      <c r="T2885" s="232" t="inlineStr">
        <is>
          <t>CLP</t>
        </is>
      </c>
      <c r="U2885" s="232" t="inlineStr">
        <is>
          <t>Prorrateo Ha PACKING</t>
        </is>
      </c>
      <c r="V2885" s="232" t="inlineStr">
        <is>
          <t>2026-06-18</t>
        </is>
      </c>
    </row>
    <row r="2886">
      <c r="A2886" s="232" t="inlineStr">
        <is>
          <t>CR-2883</t>
        </is>
      </c>
      <c r="B2886" s="232" t="inlineStr">
        <is>
          <t>2026/27</t>
        </is>
      </c>
      <c r="C2886" s="233" t="n">
        <v>46111</v>
      </c>
      <c r="D2886" s="232" t="inlineStr">
        <is>
          <t>8438</t>
        </is>
      </c>
      <c r="E2886" s="232" t="inlineStr">
        <is>
          <t>PRORRATEO</t>
        </is>
      </c>
      <c r="F2886" s="232" t="inlineStr">
        <is>
          <t>Santa Catalina</t>
        </is>
      </c>
      <c r="G2886" s="232" t="inlineStr">
        <is>
          <t>cambria 4,2 ha</t>
        </is>
      </c>
      <c r="H2886" s="232" t="inlineStr">
        <is>
          <t>Naranjas</t>
        </is>
      </c>
      <c r="I2886" s="232" t="inlineStr">
        <is>
          <t>Cambria</t>
        </is>
      </c>
      <c r="J2886" s="232" t="inlineStr">
        <is>
          <t>FLETES</t>
        </is>
      </c>
      <c r="K2886" s="232" t="inlineStr">
        <is>
          <t>FLETE FRUTA</t>
        </is>
      </c>
      <c r="L2886" s="232" t="inlineStr">
        <is>
          <t>[PRORRATEO 2.8% 4.2há/148.3há] O/001546 FLETE</t>
        </is>
      </c>
      <c r="M2886" s="232" t="inlineStr"/>
      <c r="N2886" s="232" t="inlineStr">
        <is>
          <t>.   .   -</t>
        </is>
      </c>
      <c r="O2886" s="232" t="inlineStr">
        <is>
          <t>MARZO</t>
        </is>
      </c>
      <c r="P2886" s="232" t="n">
        <v>13</v>
      </c>
      <c r="Q2886" s="234" t="n">
        <v>7727</v>
      </c>
      <c r="R2886" s="232" t="inlineStr"/>
      <c r="S2886" s="234" t="n">
        <v>7727</v>
      </c>
      <c r="T2886" s="232" t="inlineStr">
        <is>
          <t>CLP</t>
        </is>
      </c>
      <c r="U2886" s="232" t="inlineStr">
        <is>
          <t>Prorrateo Ha PACKING</t>
        </is>
      </c>
      <c r="V2886" s="232" t="inlineStr">
        <is>
          <t>2026-06-18</t>
        </is>
      </c>
    </row>
    <row r="2887">
      <c r="A2887" s="232" t="inlineStr">
        <is>
          <t>CR-2884</t>
        </is>
      </c>
      <c r="B2887" s="232" t="inlineStr">
        <is>
          <t>2026/27</t>
        </is>
      </c>
      <c r="C2887" s="233" t="n">
        <v>46111</v>
      </c>
      <c r="D2887" s="232" t="inlineStr">
        <is>
          <t>8438</t>
        </is>
      </c>
      <c r="E2887" s="232" t="inlineStr">
        <is>
          <t>PRORRATEO</t>
        </is>
      </c>
      <c r="F2887" s="232" t="inlineStr">
        <is>
          <t>Santa Catalina</t>
        </is>
      </c>
      <c r="G2887" s="232" t="inlineStr">
        <is>
          <t>eureka 10,6 ha</t>
        </is>
      </c>
      <c r="H2887" s="232" t="inlineStr">
        <is>
          <t>Limon</t>
        </is>
      </c>
      <c r="I2887" s="232" t="inlineStr">
        <is>
          <t>Eureka</t>
        </is>
      </c>
      <c r="J2887" s="232" t="inlineStr">
        <is>
          <t>FLETES</t>
        </is>
      </c>
      <c r="K2887" s="232" t="inlineStr">
        <is>
          <t>FLETE FRUTA</t>
        </is>
      </c>
      <c r="L2887" s="232" t="inlineStr">
        <is>
          <t>[PRORRATEO 7.1% 10.6há/148.3há] O/001546 FLETE</t>
        </is>
      </c>
      <c r="M2887" s="232" t="inlineStr"/>
      <c r="N2887" s="232" t="inlineStr">
        <is>
          <t>.   .   -</t>
        </is>
      </c>
      <c r="O2887" s="232" t="inlineStr">
        <is>
          <t>MARZO</t>
        </is>
      </c>
      <c r="P2887" s="232" t="n">
        <v>13</v>
      </c>
      <c r="Q2887" s="234" t="n">
        <v>19501</v>
      </c>
      <c r="R2887" s="232" t="inlineStr"/>
      <c r="S2887" s="234" t="n">
        <v>19501</v>
      </c>
      <c r="T2887" s="232" t="inlineStr">
        <is>
          <t>CLP</t>
        </is>
      </c>
      <c r="U2887" s="232" t="inlineStr">
        <is>
          <t>Prorrateo Ha PACKING</t>
        </is>
      </c>
      <c r="V2887" s="232" t="inlineStr">
        <is>
          <t>2026-06-18</t>
        </is>
      </c>
    </row>
    <row r="2888">
      <c r="A2888" s="232" t="inlineStr">
        <is>
          <t>CR-2885</t>
        </is>
      </c>
      <c r="B2888" s="232" t="inlineStr">
        <is>
          <t>2026/27</t>
        </is>
      </c>
      <c r="C2888" s="233" t="n">
        <v>46111</v>
      </c>
      <c r="D2888" s="232" t="inlineStr">
        <is>
          <t>8438</t>
        </is>
      </c>
      <c r="E2888" s="232" t="inlineStr">
        <is>
          <t>PRORRATEO</t>
        </is>
      </c>
      <c r="F2888" s="232" t="inlineStr">
        <is>
          <t>Santa Catalina</t>
        </is>
      </c>
      <c r="G2888" s="232" t="inlineStr">
        <is>
          <t>eureka 14,4 ha</t>
        </is>
      </c>
      <c r="H2888" s="232" t="inlineStr">
        <is>
          <t>Limon</t>
        </is>
      </c>
      <c r="I2888" s="232" t="inlineStr">
        <is>
          <t>Eureka</t>
        </is>
      </c>
      <c r="J2888" s="232" t="inlineStr">
        <is>
          <t>FLETES</t>
        </is>
      </c>
      <c r="K2888" s="232" t="inlineStr">
        <is>
          <t>FLETE FRUTA</t>
        </is>
      </c>
      <c r="L2888" s="232" t="inlineStr">
        <is>
          <t>[PRORRATEO 9.7% 14.4há/148.3há] O/001546 FLETE</t>
        </is>
      </c>
      <c r="M2888" s="232" t="inlineStr"/>
      <c r="N2888" s="232" t="inlineStr">
        <is>
          <t>.   .   -</t>
        </is>
      </c>
      <c r="O2888" s="232" t="inlineStr">
        <is>
          <t>MARZO</t>
        </is>
      </c>
      <c r="P2888" s="232" t="n">
        <v>13</v>
      </c>
      <c r="Q2888" s="234" t="n">
        <v>26491</v>
      </c>
      <c r="R2888" s="232" t="inlineStr"/>
      <c r="S2888" s="234" t="n">
        <v>26491</v>
      </c>
      <c r="T2888" s="232" t="inlineStr">
        <is>
          <t>CLP</t>
        </is>
      </c>
      <c r="U2888" s="232" t="inlineStr">
        <is>
          <t>Prorrateo Ha PACKING</t>
        </is>
      </c>
      <c r="V2888" s="232" t="inlineStr">
        <is>
          <t>2026-06-18</t>
        </is>
      </c>
    </row>
    <row r="2889">
      <c r="A2889" s="232" t="inlineStr">
        <is>
          <t>CR-2886</t>
        </is>
      </c>
      <c r="B2889" s="232" t="inlineStr">
        <is>
          <t>2026/27</t>
        </is>
      </c>
      <c r="C2889" s="233" t="n">
        <v>46111</v>
      </c>
      <c r="D2889" s="232" t="inlineStr">
        <is>
          <t>8438</t>
        </is>
      </c>
      <c r="E2889" s="232" t="inlineStr">
        <is>
          <t>PRORRATEO</t>
        </is>
      </c>
      <c r="F2889" s="232" t="inlineStr">
        <is>
          <t>Santa Catalina</t>
        </is>
      </c>
      <c r="G2889" s="232" t="inlineStr">
        <is>
          <t>eureka 22,55</t>
        </is>
      </c>
      <c r="H2889" s="232" t="inlineStr">
        <is>
          <t>Limon</t>
        </is>
      </c>
      <c r="I2889" s="232" t="inlineStr">
        <is>
          <t>Eureka</t>
        </is>
      </c>
      <c r="J2889" s="232" t="inlineStr">
        <is>
          <t>FLETES</t>
        </is>
      </c>
      <c r="K2889" s="232" t="inlineStr">
        <is>
          <t>FLETE FRUTA</t>
        </is>
      </c>
      <c r="L2889" s="232" t="inlineStr">
        <is>
          <t>[PRORRATEO 15.2% 22.55há/148.3há] O/001546 FLETE</t>
        </is>
      </c>
      <c r="M2889" s="232" t="inlineStr"/>
      <c r="N2889" s="232" t="inlineStr">
        <is>
          <t>.   .   -</t>
        </is>
      </c>
      <c r="O2889" s="232" t="inlineStr">
        <is>
          <t>MARZO</t>
        </is>
      </c>
      <c r="P2889" s="232" t="n">
        <v>13</v>
      </c>
      <c r="Q2889" s="234" t="n">
        <v>41485</v>
      </c>
      <c r="R2889" s="232" t="inlineStr"/>
      <c r="S2889" s="234" t="n">
        <v>41485</v>
      </c>
      <c r="T2889" s="232" t="inlineStr">
        <is>
          <t>CLP</t>
        </is>
      </c>
      <c r="U2889" s="232" t="inlineStr">
        <is>
          <t>Prorrateo Ha PACKING</t>
        </is>
      </c>
      <c r="V2889" s="232" t="inlineStr">
        <is>
          <t>2026-06-18</t>
        </is>
      </c>
    </row>
    <row r="2890">
      <c r="A2890" s="232" t="inlineStr">
        <is>
          <t>CR-2887</t>
        </is>
      </c>
      <c r="B2890" s="232" t="inlineStr">
        <is>
          <t>2026/27</t>
        </is>
      </c>
      <c r="C2890" s="233" t="n">
        <v>46111</v>
      </c>
      <c r="D2890" s="232" t="inlineStr">
        <is>
          <t>8438</t>
        </is>
      </c>
      <c r="E2890" s="232" t="inlineStr">
        <is>
          <t>PRORRATEO</t>
        </is>
      </c>
      <c r="F2890" s="232" t="inlineStr">
        <is>
          <t>Santa Catalina</t>
        </is>
      </c>
      <c r="G2890" s="232" t="inlineStr">
        <is>
          <t>form benjamin 1,93 ha</t>
        </is>
      </c>
      <c r="H2890" s="232" t="inlineStr">
        <is>
          <t>Limon</t>
        </is>
      </c>
      <c r="I2890" s="232" t="inlineStr">
        <is>
          <t>Benjamin andes</t>
        </is>
      </c>
      <c r="J2890" s="232" t="inlineStr">
        <is>
          <t>FLETES</t>
        </is>
      </c>
      <c r="K2890" s="232" t="inlineStr">
        <is>
          <t>FLETE FRUTA</t>
        </is>
      </c>
      <c r="L2890" s="232" t="inlineStr">
        <is>
          <t>[PRORRATEO 1.3% 1.93há/148.3há] O/001546 FLETE</t>
        </is>
      </c>
      <c r="M2890" s="232" t="inlineStr"/>
      <c r="N2890" s="232" t="inlineStr">
        <is>
          <t>.   .   -</t>
        </is>
      </c>
      <c r="O2890" s="232" t="inlineStr">
        <is>
          <t>MARZO</t>
        </is>
      </c>
      <c r="P2890" s="232" t="n">
        <v>13</v>
      </c>
      <c r="Q2890" s="234" t="n">
        <v>3551</v>
      </c>
      <c r="R2890" s="232" t="inlineStr"/>
      <c r="S2890" s="234" t="n">
        <v>3551</v>
      </c>
      <c r="T2890" s="232" t="inlineStr">
        <is>
          <t>CLP</t>
        </is>
      </c>
      <c r="U2890" s="232" t="inlineStr">
        <is>
          <t>Prorrateo Ha PACKING</t>
        </is>
      </c>
      <c r="V2890" s="232" t="inlineStr">
        <is>
          <t>2026-06-18</t>
        </is>
      </c>
    </row>
    <row r="2891">
      <c r="A2891" s="232" t="inlineStr">
        <is>
          <t>CR-2888</t>
        </is>
      </c>
      <c r="B2891" s="232" t="inlineStr">
        <is>
          <t>2026/27</t>
        </is>
      </c>
      <c r="C2891" s="233" t="n">
        <v>46111</v>
      </c>
      <c r="D2891" s="232" t="inlineStr">
        <is>
          <t>8438</t>
        </is>
      </c>
      <c r="E2891" s="232" t="inlineStr">
        <is>
          <t>PRORRATEO</t>
        </is>
      </c>
      <c r="F2891" s="232" t="inlineStr">
        <is>
          <t>Santa Catalina</t>
        </is>
      </c>
      <c r="G2891" s="232" t="inlineStr">
        <is>
          <t>mant eureka 2,5 ha</t>
        </is>
      </c>
      <c r="H2891" s="232" t="inlineStr">
        <is>
          <t>Limon</t>
        </is>
      </c>
      <c r="I2891" s="232" t="inlineStr">
        <is>
          <t>Eureka</t>
        </is>
      </c>
      <c r="J2891" s="232" t="inlineStr">
        <is>
          <t>FLETES</t>
        </is>
      </c>
      <c r="K2891" s="232" t="inlineStr">
        <is>
          <t>FLETE FRUTA</t>
        </is>
      </c>
      <c r="L2891" s="232" t="inlineStr">
        <is>
          <t>[PRORRATEO 1.7% 2.5há/148.3há] O/001546 FLETE</t>
        </is>
      </c>
      <c r="M2891" s="232" t="inlineStr"/>
      <c r="N2891" s="232" t="inlineStr">
        <is>
          <t>.   .   -</t>
        </is>
      </c>
      <c r="O2891" s="232" t="inlineStr">
        <is>
          <t>MARZO</t>
        </is>
      </c>
      <c r="P2891" s="232" t="n">
        <v>13</v>
      </c>
      <c r="Q2891" s="234" t="n">
        <v>4599</v>
      </c>
      <c r="R2891" s="232" t="inlineStr"/>
      <c r="S2891" s="234" t="n">
        <v>4599</v>
      </c>
      <c r="T2891" s="232" t="inlineStr">
        <is>
          <t>CLP</t>
        </is>
      </c>
      <c r="U2891" s="232" t="inlineStr">
        <is>
          <t>Prorrateo Ha PACKING</t>
        </is>
      </c>
      <c r="V2891" s="232" t="inlineStr">
        <is>
          <t>2026-06-18</t>
        </is>
      </c>
    </row>
    <row r="2892">
      <c r="A2892" s="232" t="inlineStr">
        <is>
          <t>CR-2889</t>
        </is>
      </c>
      <c r="B2892" s="232" t="inlineStr">
        <is>
          <t>2026/27</t>
        </is>
      </c>
      <c r="C2892" s="233" t="n">
        <v>46111</v>
      </c>
      <c r="D2892" s="232" t="inlineStr">
        <is>
          <t>8438</t>
        </is>
      </c>
      <c r="E2892" s="232" t="inlineStr">
        <is>
          <t>PRORRATEO</t>
        </is>
      </c>
      <c r="F2892" s="232" t="inlineStr">
        <is>
          <t>Siberia</t>
        </is>
      </c>
      <c r="G2892" s="232" t="inlineStr">
        <is>
          <t>S. Celebration 7,14</t>
        </is>
      </c>
      <c r="H2892" s="232" t="inlineStr">
        <is>
          <t>Uvas</t>
        </is>
      </c>
      <c r="I2892" s="232" t="inlineStr">
        <is>
          <t>S. celebration</t>
        </is>
      </c>
      <c r="J2892" s="232" t="inlineStr">
        <is>
          <t>FLETES</t>
        </is>
      </c>
      <c r="K2892" s="232" t="inlineStr">
        <is>
          <t>FLETE FRUTA</t>
        </is>
      </c>
      <c r="L2892" s="232" t="inlineStr">
        <is>
          <t>[PRORRATEO 4.8% 7.14há/148.3há] O/001546 FLETE</t>
        </is>
      </c>
      <c r="M2892" s="232" t="inlineStr"/>
      <c r="N2892" s="232" t="inlineStr">
        <is>
          <t>.   .   -</t>
        </is>
      </c>
      <c r="O2892" s="232" t="inlineStr">
        <is>
          <t>MARZO</t>
        </is>
      </c>
      <c r="P2892" s="232" t="n">
        <v>13</v>
      </c>
      <c r="Q2892" s="234" t="n">
        <v>13135</v>
      </c>
      <c r="R2892" s="232" t="inlineStr"/>
      <c r="S2892" s="234" t="n">
        <v>13135</v>
      </c>
      <c r="T2892" s="232" t="inlineStr">
        <is>
          <t>CLP</t>
        </is>
      </c>
      <c r="U2892" s="232" t="inlineStr">
        <is>
          <t>Prorrateo Ha PACKING</t>
        </is>
      </c>
      <c r="V2892" s="232" t="inlineStr">
        <is>
          <t>2026-06-18</t>
        </is>
      </c>
    </row>
    <row r="2893">
      <c r="A2893" s="232" t="inlineStr">
        <is>
          <t>CR-2890</t>
        </is>
      </c>
      <c r="B2893" s="232" t="inlineStr">
        <is>
          <t>2026/27</t>
        </is>
      </c>
      <c r="C2893" s="233" t="n">
        <v>46111</v>
      </c>
      <c r="D2893" s="232" t="inlineStr">
        <is>
          <t>8438</t>
        </is>
      </c>
      <c r="E2893" s="232" t="inlineStr">
        <is>
          <t>PRORRATEO</t>
        </is>
      </c>
      <c r="F2893" s="232" t="inlineStr">
        <is>
          <t>Siberia</t>
        </is>
      </c>
      <c r="G2893" s="232" t="inlineStr">
        <is>
          <t>Timpson 7,1</t>
        </is>
      </c>
      <c r="H2893" s="232" t="inlineStr">
        <is>
          <t>Uvas</t>
        </is>
      </c>
      <c r="I2893" s="232" t="inlineStr">
        <is>
          <t>Timpson</t>
        </is>
      </c>
      <c r="J2893" s="232" t="inlineStr">
        <is>
          <t>FLETES</t>
        </is>
      </c>
      <c r="K2893" s="232" t="inlineStr">
        <is>
          <t>FLETE FRUTA</t>
        </is>
      </c>
      <c r="L2893" s="232" t="inlineStr">
        <is>
          <t>[PRORRATEO 4.8% 7.1há/148.3há] O/001546 FLETE</t>
        </is>
      </c>
      <c r="M2893" s="232" t="inlineStr"/>
      <c r="N2893" s="232" t="inlineStr">
        <is>
          <t>.   .   -</t>
        </is>
      </c>
      <c r="O2893" s="232" t="inlineStr">
        <is>
          <t>MARZO</t>
        </is>
      </c>
      <c r="P2893" s="232" t="n">
        <v>13</v>
      </c>
      <c r="Q2893" s="234" t="n">
        <v>13062</v>
      </c>
      <c r="R2893" s="232" t="inlineStr"/>
      <c r="S2893" s="234" t="n">
        <v>13062</v>
      </c>
      <c r="T2893" s="232" t="inlineStr">
        <is>
          <t>CLP</t>
        </is>
      </c>
      <c r="U2893" s="232" t="inlineStr">
        <is>
          <t>Prorrateo Ha PACKING</t>
        </is>
      </c>
      <c r="V2893" s="232" t="inlineStr">
        <is>
          <t>2026-06-18</t>
        </is>
      </c>
    </row>
    <row r="2894">
      <c r="A2894" s="232" t="inlineStr">
        <is>
          <t>CR-2891</t>
        </is>
      </c>
      <c r="B2894" s="232" t="inlineStr">
        <is>
          <t>2026/27</t>
        </is>
      </c>
      <c r="C2894" s="233" t="n">
        <v>46111</v>
      </c>
      <c r="D2894" s="232" t="inlineStr">
        <is>
          <t>8438</t>
        </is>
      </c>
      <c r="E2894" s="232" t="inlineStr">
        <is>
          <t>PRORRATEO</t>
        </is>
      </c>
      <c r="F2894" s="232" t="inlineStr">
        <is>
          <t>Asmara</t>
        </is>
      </c>
      <c r="G2894" s="232" t="inlineStr">
        <is>
          <t>w. murcott 19,8 ha</t>
        </is>
      </c>
      <c r="H2894" s="232" t="inlineStr">
        <is>
          <t>Mandarina</t>
        </is>
      </c>
      <c r="I2894" s="232" t="inlineStr">
        <is>
          <t>W. murcott</t>
        </is>
      </c>
      <c r="J2894" s="232" t="inlineStr">
        <is>
          <t>FLETES</t>
        </is>
      </c>
      <c r="K2894" s="232" t="inlineStr">
        <is>
          <t>FLETE FRUTA</t>
        </is>
      </c>
      <c r="L2894" s="232" t="inlineStr">
        <is>
          <t>[PRORRATEO 13.4% 19.8há/148.3há] O/001546 FLETE</t>
        </is>
      </c>
      <c r="M2894" s="232" t="inlineStr"/>
      <c r="N2894" s="232" t="inlineStr">
        <is>
          <t>.   .   -</t>
        </is>
      </c>
      <c r="O2894" s="232" t="inlineStr">
        <is>
          <t>MARZO</t>
        </is>
      </c>
      <c r="P2894" s="232" t="n">
        <v>13</v>
      </c>
      <c r="Q2894" s="234" t="n">
        <v>35073</v>
      </c>
      <c r="R2894" s="232" t="inlineStr"/>
      <c r="S2894" s="234" t="n">
        <v>35073</v>
      </c>
      <c r="T2894" s="232" t="inlineStr">
        <is>
          <t>CLP</t>
        </is>
      </c>
      <c r="U2894" s="232" t="inlineStr">
        <is>
          <t>Prorrateo Ha PACKING</t>
        </is>
      </c>
      <c r="V2894" s="232" t="inlineStr">
        <is>
          <t>2026-06-18</t>
        </is>
      </c>
    </row>
    <row r="2895">
      <c r="A2895" s="232" t="inlineStr">
        <is>
          <t>CR-2892</t>
        </is>
      </c>
      <c r="B2895" s="232" t="inlineStr">
        <is>
          <t>2026/27</t>
        </is>
      </c>
      <c r="C2895" s="233" t="n">
        <v>46111</v>
      </c>
      <c r="D2895" s="232" t="inlineStr">
        <is>
          <t>8438</t>
        </is>
      </c>
      <c r="E2895" s="232" t="inlineStr">
        <is>
          <t>PRORRATEO</t>
        </is>
      </c>
      <c r="F2895" s="232" t="inlineStr">
        <is>
          <t>Asmara</t>
        </is>
      </c>
      <c r="G2895" s="232" t="inlineStr">
        <is>
          <t>w. murcott 4,9 ha</t>
        </is>
      </c>
      <c r="H2895" s="232" t="inlineStr">
        <is>
          <t>Mandarina</t>
        </is>
      </c>
      <c r="I2895" s="232" t="inlineStr">
        <is>
          <t>W. murcott</t>
        </is>
      </c>
      <c r="J2895" s="232" t="inlineStr">
        <is>
          <t>FLETES</t>
        </is>
      </c>
      <c r="K2895" s="232" t="inlineStr">
        <is>
          <t>FLETE FRUTA</t>
        </is>
      </c>
      <c r="L2895" s="232" t="inlineStr">
        <is>
          <t>[PRORRATEO 3.3% 4.9há/148.3há] O/001546 FLETE</t>
        </is>
      </c>
      <c r="M2895" s="232" t="inlineStr"/>
      <c r="N2895" s="232" t="inlineStr">
        <is>
          <t>.   .   -</t>
        </is>
      </c>
      <c r="O2895" s="232" t="inlineStr">
        <is>
          <t>MARZO</t>
        </is>
      </c>
      <c r="P2895" s="232" t="n">
        <v>13</v>
      </c>
      <c r="Q2895" s="234" t="n">
        <v>8680</v>
      </c>
      <c r="R2895" s="232" t="inlineStr"/>
      <c r="S2895" s="234" t="n">
        <v>8680</v>
      </c>
      <c r="T2895" s="232" t="inlineStr">
        <is>
          <t>CLP</t>
        </is>
      </c>
      <c r="U2895" s="232" t="inlineStr">
        <is>
          <t>Prorrateo Ha PACKING</t>
        </is>
      </c>
      <c r="V2895" s="232" t="inlineStr">
        <is>
          <t>2026-06-18</t>
        </is>
      </c>
    </row>
    <row r="2896">
      <c r="A2896" s="232" t="inlineStr">
        <is>
          <t>CR-2893</t>
        </is>
      </c>
      <c r="B2896" s="232" t="inlineStr">
        <is>
          <t>2026/27</t>
        </is>
      </c>
      <c r="C2896" s="233" t="n">
        <v>46111</v>
      </c>
      <c r="D2896" s="232" t="inlineStr">
        <is>
          <t>8438</t>
        </is>
      </c>
      <c r="E2896" s="232" t="inlineStr">
        <is>
          <t>PRORRATEO</t>
        </is>
      </c>
      <c r="F2896" s="232" t="inlineStr">
        <is>
          <t>El Molle</t>
        </is>
      </c>
      <c r="G2896" s="232" t="inlineStr">
        <is>
          <t>Wonderful 5,25 ha</t>
        </is>
      </c>
      <c r="H2896" s="232" t="inlineStr">
        <is>
          <t>Granados</t>
        </is>
      </c>
      <c r="I2896" s="232" t="inlineStr">
        <is>
          <t>Wonderfull</t>
        </is>
      </c>
      <c r="J2896" s="232" t="inlineStr">
        <is>
          <t>FLETES</t>
        </is>
      </c>
      <c r="K2896" s="232" t="inlineStr">
        <is>
          <t>FLETE FRUTA</t>
        </is>
      </c>
      <c r="L2896" s="232" t="inlineStr">
        <is>
          <t>[PRORRATEO 3.5% 5.24há/148.3há] O/001546 FLETE</t>
        </is>
      </c>
      <c r="M2896" s="232" t="inlineStr"/>
      <c r="N2896" s="232" t="inlineStr">
        <is>
          <t>.   .   -</t>
        </is>
      </c>
      <c r="O2896" s="232" t="inlineStr">
        <is>
          <t>MARZO</t>
        </is>
      </c>
      <c r="P2896" s="232" t="n">
        <v>13</v>
      </c>
      <c r="Q2896" s="234" t="n">
        <v>9282</v>
      </c>
      <c r="R2896" s="232" t="inlineStr"/>
      <c r="S2896" s="234" t="n">
        <v>9282</v>
      </c>
      <c r="T2896" s="232" t="inlineStr">
        <is>
          <t>CLP</t>
        </is>
      </c>
      <c r="U2896" s="232" t="inlineStr">
        <is>
          <t>Prorrateo Ha PACKING</t>
        </is>
      </c>
      <c r="V2896" s="232" t="inlineStr">
        <is>
          <t>2026-06-18</t>
        </is>
      </c>
    </row>
    <row r="2897">
      <c r="A2897" s="232" t="inlineStr">
        <is>
          <t>CR-2894</t>
        </is>
      </c>
      <c r="B2897" s="232" t="inlineStr">
        <is>
          <t>2026/27</t>
        </is>
      </c>
      <c r="C2897" s="233" t="n">
        <v>46111</v>
      </c>
      <c r="D2897" s="232" t="inlineStr">
        <is>
          <t>8438</t>
        </is>
      </c>
      <c r="E2897" s="232" t="inlineStr">
        <is>
          <t>PRORRATEO</t>
        </is>
      </c>
      <c r="F2897" s="232" t="inlineStr">
        <is>
          <t>El Molle</t>
        </is>
      </c>
      <c r="G2897" s="232" t="inlineStr">
        <is>
          <t>arrufatinas 5,74 ha</t>
        </is>
      </c>
      <c r="H2897" s="232" t="inlineStr">
        <is>
          <t>Clementinas</t>
        </is>
      </c>
      <c r="I2897" s="232" t="inlineStr">
        <is>
          <t>Arrufatinas</t>
        </is>
      </c>
      <c r="J2897" s="232" t="inlineStr">
        <is>
          <t>FLETES</t>
        </is>
      </c>
      <c r="K2897" s="232" t="inlineStr">
        <is>
          <t>FLETE FRUTA</t>
        </is>
      </c>
      <c r="L2897" s="232" t="inlineStr">
        <is>
          <t>[PRORRATEO 3.9% 5.74há/148.3há] O/001546 FLETE</t>
        </is>
      </c>
      <c r="M2897" s="232" t="inlineStr"/>
      <c r="N2897" s="232" t="inlineStr">
        <is>
          <t>.   .   -</t>
        </is>
      </c>
      <c r="O2897" s="232" t="inlineStr">
        <is>
          <t>MARZO</t>
        </is>
      </c>
      <c r="P2897" s="232" t="n">
        <v>13</v>
      </c>
      <c r="Q2897" s="234" t="n">
        <v>10168</v>
      </c>
      <c r="R2897" s="232" t="inlineStr"/>
      <c r="S2897" s="234" t="n">
        <v>10168</v>
      </c>
      <c r="T2897" s="232" t="inlineStr">
        <is>
          <t>CLP</t>
        </is>
      </c>
      <c r="U2897" s="232" t="inlineStr">
        <is>
          <t>Prorrateo Ha PACKING</t>
        </is>
      </c>
      <c r="V2897" s="232" t="inlineStr">
        <is>
          <t>2026-06-18</t>
        </is>
      </c>
    </row>
    <row r="2898">
      <c r="A2898" s="232" t="inlineStr">
        <is>
          <t>CR-2895</t>
        </is>
      </c>
      <c r="B2898" s="232" t="inlineStr">
        <is>
          <t>2026/27</t>
        </is>
      </c>
      <c r="C2898" s="233" t="n">
        <v>46111</v>
      </c>
      <c r="D2898" s="232" t="inlineStr">
        <is>
          <t>8438</t>
        </is>
      </c>
      <c r="E2898" s="232" t="inlineStr">
        <is>
          <t>PRORRATEO</t>
        </is>
      </c>
      <c r="F2898" s="232" t="inlineStr">
        <is>
          <t>El Molle</t>
        </is>
      </c>
      <c r="G2898" s="232" t="inlineStr">
        <is>
          <t>orogrande 8,11 ha</t>
        </is>
      </c>
      <c r="H2898" s="232" t="inlineStr">
        <is>
          <t>Clementinas</t>
        </is>
      </c>
      <c r="I2898" s="232" t="inlineStr">
        <is>
          <t>Orogrande</t>
        </is>
      </c>
      <c r="J2898" s="232" t="inlineStr">
        <is>
          <t>FLETES</t>
        </is>
      </c>
      <c r="K2898" s="232" t="inlineStr">
        <is>
          <t>FLETE FRUTA</t>
        </is>
      </c>
      <c r="L2898" s="232" t="inlineStr">
        <is>
          <t>[PRORRATEO 5.5% 8.11há/148.3há] O/001546 FLETE</t>
        </is>
      </c>
      <c r="M2898" s="232" t="inlineStr"/>
      <c r="N2898" s="232" t="inlineStr">
        <is>
          <t>.   .   -</t>
        </is>
      </c>
      <c r="O2898" s="232" t="inlineStr">
        <is>
          <t>MARZO</t>
        </is>
      </c>
      <c r="P2898" s="232" t="n">
        <v>13</v>
      </c>
      <c r="Q2898" s="234" t="n">
        <v>14366</v>
      </c>
      <c r="R2898" s="232" t="inlineStr"/>
      <c r="S2898" s="234" t="n">
        <v>14366</v>
      </c>
      <c r="T2898" s="232" t="inlineStr">
        <is>
          <t>CLP</t>
        </is>
      </c>
      <c r="U2898" s="232" t="inlineStr">
        <is>
          <t>Prorrateo Ha PACKING</t>
        </is>
      </c>
      <c r="V2898" s="232" t="inlineStr">
        <is>
          <t>2026-06-18</t>
        </is>
      </c>
    </row>
    <row r="2899">
      <c r="A2899" s="232" t="inlineStr">
        <is>
          <t>CR-2896</t>
        </is>
      </c>
      <c r="B2899" s="232" t="inlineStr">
        <is>
          <t>2026/27</t>
        </is>
      </c>
      <c r="C2899" s="233" t="n">
        <v>46111</v>
      </c>
      <c r="D2899" s="232" t="inlineStr">
        <is>
          <t>8438</t>
        </is>
      </c>
      <c r="E2899" s="232" t="inlineStr">
        <is>
          <t>PRORRATEO</t>
        </is>
      </c>
      <c r="F2899" s="232" t="inlineStr">
        <is>
          <t>El Molle</t>
        </is>
      </c>
      <c r="G2899" s="232" t="inlineStr">
        <is>
          <t>oronules 5,35 ha</t>
        </is>
      </c>
      <c r="H2899" s="232" t="inlineStr">
        <is>
          <t>Clementinas</t>
        </is>
      </c>
      <c r="I2899" s="232" t="inlineStr">
        <is>
          <t>Oronules</t>
        </is>
      </c>
      <c r="J2899" s="232" t="inlineStr">
        <is>
          <t>FLETES</t>
        </is>
      </c>
      <c r="K2899" s="232" t="inlineStr">
        <is>
          <t>FLETE FRUTA</t>
        </is>
      </c>
      <c r="L2899" s="232" t="inlineStr">
        <is>
          <t>[PRORRATEO 3.6% 5.35há/148.3há] O/001546 FLETE</t>
        </is>
      </c>
      <c r="M2899" s="232" t="inlineStr"/>
      <c r="N2899" s="232" t="inlineStr">
        <is>
          <t>.   .   -</t>
        </is>
      </c>
      <c r="O2899" s="232" t="inlineStr">
        <is>
          <t>MARZO</t>
        </is>
      </c>
      <c r="P2899" s="232" t="n">
        <v>13</v>
      </c>
      <c r="Q2899" s="234" t="n">
        <v>9477</v>
      </c>
      <c r="R2899" s="232" t="inlineStr"/>
      <c r="S2899" s="234" t="n">
        <v>9477</v>
      </c>
      <c r="T2899" s="232" t="inlineStr">
        <is>
          <t>CLP</t>
        </is>
      </c>
      <c r="U2899" s="232" t="inlineStr">
        <is>
          <t>Prorrateo Ha PACKING</t>
        </is>
      </c>
      <c r="V2899" s="232" t="inlineStr">
        <is>
          <t>2026-06-18</t>
        </is>
      </c>
    </row>
    <row r="2900">
      <c r="A2900" s="232" t="inlineStr">
        <is>
          <t>CR-2897</t>
        </is>
      </c>
      <c r="B2900" s="232" t="inlineStr">
        <is>
          <t>2026/27</t>
        </is>
      </c>
      <c r="C2900" s="233" t="n">
        <v>46111</v>
      </c>
      <c r="D2900" s="232" t="inlineStr">
        <is>
          <t>8438</t>
        </is>
      </c>
      <c r="E2900" s="232" t="inlineStr">
        <is>
          <t>PRORRATEO</t>
        </is>
      </c>
      <c r="F2900" s="232" t="inlineStr">
        <is>
          <t>Santa Catalina</t>
        </is>
      </c>
      <c r="G2900" s="232" t="inlineStr">
        <is>
          <t>Fino 49 7,7 ha</t>
        </is>
      </c>
      <c r="H2900" s="232" t="inlineStr">
        <is>
          <t>Limon</t>
        </is>
      </c>
      <c r="I2900" s="232" t="inlineStr">
        <is>
          <t>Fino 49</t>
        </is>
      </c>
      <c r="J2900" s="232" t="inlineStr">
        <is>
          <t>FLETES</t>
        </is>
      </c>
      <c r="K2900" s="232" t="inlineStr">
        <is>
          <t>FLETE FRUTA</t>
        </is>
      </c>
      <c r="L2900" s="232" t="inlineStr">
        <is>
          <t>[PRORRATEO 5.2% 7.7há/148.3há] O/001546 FLETE</t>
        </is>
      </c>
      <c r="M2900" s="232" t="inlineStr"/>
      <c r="N2900" s="232" t="inlineStr">
        <is>
          <t>.   .   -</t>
        </is>
      </c>
      <c r="O2900" s="232" t="inlineStr">
        <is>
          <t>MARZO</t>
        </is>
      </c>
      <c r="P2900" s="232" t="n">
        <v>13</v>
      </c>
      <c r="Q2900" s="234" t="n">
        <v>13640</v>
      </c>
      <c r="R2900" s="232" t="inlineStr"/>
      <c r="S2900" s="234" t="n">
        <v>13640</v>
      </c>
      <c r="T2900" s="232" t="inlineStr">
        <is>
          <t>CLP</t>
        </is>
      </c>
      <c r="U2900" s="232" t="inlineStr">
        <is>
          <t>Prorrateo Ha PACKING</t>
        </is>
      </c>
      <c r="V2900" s="232" t="inlineStr">
        <is>
          <t>2026-06-18</t>
        </is>
      </c>
    </row>
    <row r="2901">
      <c r="A2901" s="232" t="inlineStr">
        <is>
          <t>CR-2898</t>
        </is>
      </c>
      <c r="B2901" s="232" t="inlineStr">
        <is>
          <t>2026/27</t>
        </is>
      </c>
      <c r="C2901" s="233" t="n">
        <v>46111</v>
      </c>
      <c r="D2901" s="232" t="inlineStr">
        <is>
          <t>8438</t>
        </is>
      </c>
      <c r="E2901" s="232" t="inlineStr">
        <is>
          <t>PRORRATEO</t>
        </is>
      </c>
      <c r="F2901" s="232" t="inlineStr">
        <is>
          <t>Santa Catalina</t>
        </is>
      </c>
      <c r="G2901" s="232" t="inlineStr">
        <is>
          <t>W. murcott 21 ha</t>
        </is>
      </c>
      <c r="H2901" s="232" t="inlineStr">
        <is>
          <t>Mandarina</t>
        </is>
      </c>
      <c r="I2901" s="232" t="inlineStr">
        <is>
          <t>W. murcott</t>
        </is>
      </c>
      <c r="J2901" s="232" t="inlineStr">
        <is>
          <t>FLETES</t>
        </is>
      </c>
      <c r="K2901" s="232" t="inlineStr">
        <is>
          <t>FLETE FRUTA</t>
        </is>
      </c>
      <c r="L2901" s="232" t="inlineStr">
        <is>
          <t>[PRORRATEO 14.2% 21.0há/148.3há] O/001546 FLETE</t>
        </is>
      </c>
      <c r="M2901" s="232" t="inlineStr"/>
      <c r="N2901" s="232" t="inlineStr">
        <is>
          <t>.   .   -</t>
        </is>
      </c>
      <c r="O2901" s="232" t="inlineStr">
        <is>
          <t>MARZO</t>
        </is>
      </c>
      <c r="P2901" s="232" t="n">
        <v>13</v>
      </c>
      <c r="Q2901" s="234" t="n">
        <v>37199</v>
      </c>
      <c r="R2901" s="232" t="inlineStr"/>
      <c r="S2901" s="234" t="n">
        <v>37199</v>
      </c>
      <c r="T2901" s="232" t="inlineStr">
        <is>
          <t>CLP</t>
        </is>
      </c>
      <c r="U2901" s="232" t="inlineStr">
        <is>
          <t>Prorrateo Ha PACKING</t>
        </is>
      </c>
      <c r="V2901" s="232" t="inlineStr">
        <is>
          <t>2026-06-18</t>
        </is>
      </c>
    </row>
    <row r="2902">
      <c r="A2902" s="232" t="inlineStr">
        <is>
          <t>CR-2899</t>
        </is>
      </c>
      <c r="B2902" s="232" t="inlineStr">
        <is>
          <t>2026/27</t>
        </is>
      </c>
      <c r="C2902" s="233" t="n">
        <v>46111</v>
      </c>
      <c r="D2902" s="232" t="inlineStr">
        <is>
          <t>8438</t>
        </is>
      </c>
      <c r="E2902" s="232" t="inlineStr">
        <is>
          <t>PRORRATEO</t>
        </is>
      </c>
      <c r="F2902" s="232" t="inlineStr">
        <is>
          <t>Santa Catalina</t>
        </is>
      </c>
      <c r="G2902" s="232" t="inlineStr">
        <is>
          <t>cambria 4,2 ha</t>
        </is>
      </c>
      <c r="H2902" s="232" t="inlineStr">
        <is>
          <t>Naranjas</t>
        </is>
      </c>
      <c r="I2902" s="232" t="inlineStr">
        <is>
          <t>Cambria</t>
        </is>
      </c>
      <c r="J2902" s="232" t="inlineStr">
        <is>
          <t>FLETES</t>
        </is>
      </c>
      <c r="K2902" s="232" t="inlineStr">
        <is>
          <t>FLETE FRUTA</t>
        </is>
      </c>
      <c r="L2902" s="232" t="inlineStr">
        <is>
          <t>[PRORRATEO 2.8% 4.2há/148.3há] O/001546 FLETE</t>
        </is>
      </c>
      <c r="M2902" s="232" t="inlineStr"/>
      <c r="N2902" s="232" t="inlineStr">
        <is>
          <t>.   .   -</t>
        </is>
      </c>
      <c r="O2902" s="232" t="inlineStr">
        <is>
          <t>MARZO</t>
        </is>
      </c>
      <c r="P2902" s="232" t="n">
        <v>13</v>
      </c>
      <c r="Q2902" s="234" t="n">
        <v>7440</v>
      </c>
      <c r="R2902" s="232" t="inlineStr"/>
      <c r="S2902" s="234" t="n">
        <v>7440</v>
      </c>
      <c r="T2902" s="232" t="inlineStr">
        <is>
          <t>CLP</t>
        </is>
      </c>
      <c r="U2902" s="232" t="inlineStr">
        <is>
          <t>Prorrateo Ha PACKING</t>
        </is>
      </c>
      <c r="V2902" s="232" t="inlineStr">
        <is>
          <t>2026-06-18</t>
        </is>
      </c>
    </row>
    <row r="2903">
      <c r="A2903" s="232" t="inlineStr">
        <is>
          <t>CR-2900</t>
        </is>
      </c>
      <c r="B2903" s="232" t="inlineStr">
        <is>
          <t>2026/27</t>
        </is>
      </c>
      <c r="C2903" s="233" t="n">
        <v>46111</v>
      </c>
      <c r="D2903" s="232" t="inlineStr">
        <is>
          <t>8438</t>
        </is>
      </c>
      <c r="E2903" s="232" t="inlineStr">
        <is>
          <t>PRORRATEO</t>
        </is>
      </c>
      <c r="F2903" s="232" t="inlineStr">
        <is>
          <t>Santa Catalina</t>
        </is>
      </c>
      <c r="G2903" s="232" t="inlineStr">
        <is>
          <t>eureka 10,6 ha</t>
        </is>
      </c>
      <c r="H2903" s="232" t="inlineStr">
        <is>
          <t>Limon</t>
        </is>
      </c>
      <c r="I2903" s="232" t="inlineStr">
        <is>
          <t>Eureka</t>
        </is>
      </c>
      <c r="J2903" s="232" t="inlineStr">
        <is>
          <t>FLETES</t>
        </is>
      </c>
      <c r="K2903" s="232" t="inlineStr">
        <is>
          <t>FLETE FRUTA</t>
        </is>
      </c>
      <c r="L2903" s="232" t="inlineStr">
        <is>
          <t>[PRORRATEO 7.1% 10.6há/148.3há] O/001546 FLETE</t>
        </is>
      </c>
      <c r="M2903" s="232" t="inlineStr"/>
      <c r="N2903" s="232" t="inlineStr">
        <is>
          <t>.   .   -</t>
        </is>
      </c>
      <c r="O2903" s="232" t="inlineStr">
        <is>
          <t>MARZO</t>
        </is>
      </c>
      <c r="P2903" s="232" t="n">
        <v>13</v>
      </c>
      <c r="Q2903" s="234" t="n">
        <v>18777</v>
      </c>
      <c r="R2903" s="232" t="inlineStr"/>
      <c r="S2903" s="234" t="n">
        <v>18777</v>
      </c>
      <c r="T2903" s="232" t="inlineStr">
        <is>
          <t>CLP</t>
        </is>
      </c>
      <c r="U2903" s="232" t="inlineStr">
        <is>
          <t>Prorrateo Ha PACKING</t>
        </is>
      </c>
      <c r="V2903" s="232" t="inlineStr">
        <is>
          <t>2026-06-18</t>
        </is>
      </c>
    </row>
    <row r="2904">
      <c r="A2904" s="232" t="inlineStr">
        <is>
          <t>CR-2901</t>
        </is>
      </c>
      <c r="B2904" s="232" t="inlineStr">
        <is>
          <t>2026/27</t>
        </is>
      </c>
      <c r="C2904" s="233" t="n">
        <v>46111</v>
      </c>
      <c r="D2904" s="232" t="inlineStr">
        <is>
          <t>8438</t>
        </is>
      </c>
      <c r="E2904" s="232" t="inlineStr">
        <is>
          <t>PRORRATEO</t>
        </is>
      </c>
      <c r="F2904" s="232" t="inlineStr">
        <is>
          <t>Santa Catalina</t>
        </is>
      </c>
      <c r="G2904" s="232" t="inlineStr">
        <is>
          <t>eureka 14,4 ha</t>
        </is>
      </c>
      <c r="H2904" s="232" t="inlineStr">
        <is>
          <t>Limon</t>
        </is>
      </c>
      <c r="I2904" s="232" t="inlineStr">
        <is>
          <t>Eureka</t>
        </is>
      </c>
      <c r="J2904" s="232" t="inlineStr">
        <is>
          <t>FLETES</t>
        </is>
      </c>
      <c r="K2904" s="232" t="inlineStr">
        <is>
          <t>FLETE FRUTA</t>
        </is>
      </c>
      <c r="L2904" s="232" t="inlineStr">
        <is>
          <t>[PRORRATEO 9.7% 14.4há/148.3há] O/001546 FLETE</t>
        </is>
      </c>
      <c r="M2904" s="232" t="inlineStr"/>
      <c r="N2904" s="232" t="inlineStr">
        <is>
          <t>.   .   -</t>
        </is>
      </c>
      <c r="O2904" s="232" t="inlineStr">
        <is>
          <t>MARZO</t>
        </is>
      </c>
      <c r="P2904" s="232" t="n">
        <v>13</v>
      </c>
      <c r="Q2904" s="234" t="n">
        <v>25508</v>
      </c>
      <c r="R2904" s="232" t="inlineStr"/>
      <c r="S2904" s="234" t="n">
        <v>25508</v>
      </c>
      <c r="T2904" s="232" t="inlineStr">
        <is>
          <t>CLP</t>
        </is>
      </c>
      <c r="U2904" s="232" t="inlineStr">
        <is>
          <t>Prorrateo Ha PACKING</t>
        </is>
      </c>
      <c r="V2904" s="232" t="inlineStr">
        <is>
          <t>2026-06-18</t>
        </is>
      </c>
    </row>
    <row r="2905">
      <c r="A2905" s="232" t="inlineStr">
        <is>
          <t>CR-2902</t>
        </is>
      </c>
      <c r="B2905" s="232" t="inlineStr">
        <is>
          <t>2026/27</t>
        </is>
      </c>
      <c r="C2905" s="233" t="n">
        <v>46111</v>
      </c>
      <c r="D2905" s="232" t="inlineStr">
        <is>
          <t>8438</t>
        </is>
      </c>
      <c r="E2905" s="232" t="inlineStr">
        <is>
          <t>PRORRATEO</t>
        </is>
      </c>
      <c r="F2905" s="232" t="inlineStr">
        <is>
          <t>Santa Catalina</t>
        </is>
      </c>
      <c r="G2905" s="232" t="inlineStr">
        <is>
          <t>eureka 22,55</t>
        </is>
      </c>
      <c r="H2905" s="232" t="inlineStr">
        <is>
          <t>Limon</t>
        </is>
      </c>
      <c r="I2905" s="232" t="inlineStr">
        <is>
          <t>Eureka</t>
        </is>
      </c>
      <c r="J2905" s="232" t="inlineStr">
        <is>
          <t>FLETES</t>
        </is>
      </c>
      <c r="K2905" s="232" t="inlineStr">
        <is>
          <t>FLETE FRUTA</t>
        </is>
      </c>
      <c r="L2905" s="232" t="inlineStr">
        <is>
          <t>[PRORRATEO 15.2% 22.55há/148.3há] O/001546 FLETE</t>
        </is>
      </c>
      <c r="M2905" s="232" t="inlineStr"/>
      <c r="N2905" s="232" t="inlineStr">
        <is>
          <t>.   .   -</t>
        </is>
      </c>
      <c r="O2905" s="232" t="inlineStr">
        <is>
          <t>MARZO</t>
        </is>
      </c>
      <c r="P2905" s="232" t="n">
        <v>13</v>
      </c>
      <c r="Q2905" s="234" t="n">
        <v>39945</v>
      </c>
      <c r="R2905" s="232" t="inlineStr"/>
      <c r="S2905" s="234" t="n">
        <v>39945</v>
      </c>
      <c r="T2905" s="232" t="inlineStr">
        <is>
          <t>CLP</t>
        </is>
      </c>
      <c r="U2905" s="232" t="inlineStr">
        <is>
          <t>Prorrateo Ha PACKING</t>
        </is>
      </c>
      <c r="V2905" s="232" t="inlineStr">
        <is>
          <t>2026-06-18</t>
        </is>
      </c>
    </row>
    <row r="2906">
      <c r="A2906" s="232" t="inlineStr">
        <is>
          <t>CR-2903</t>
        </is>
      </c>
      <c r="B2906" s="232" t="inlineStr">
        <is>
          <t>2026/27</t>
        </is>
      </c>
      <c r="C2906" s="233" t="n">
        <v>46111</v>
      </c>
      <c r="D2906" s="232" t="inlineStr">
        <is>
          <t>8438</t>
        </is>
      </c>
      <c r="E2906" s="232" t="inlineStr">
        <is>
          <t>PRORRATEO</t>
        </is>
      </c>
      <c r="F2906" s="232" t="inlineStr">
        <is>
          <t>Santa Catalina</t>
        </is>
      </c>
      <c r="G2906" s="232" t="inlineStr">
        <is>
          <t>form benjamin 1,93 ha</t>
        </is>
      </c>
      <c r="H2906" s="232" t="inlineStr">
        <is>
          <t>Limon</t>
        </is>
      </c>
      <c r="I2906" s="232" t="inlineStr">
        <is>
          <t>Benjamin andes</t>
        </is>
      </c>
      <c r="J2906" s="232" t="inlineStr">
        <is>
          <t>FLETES</t>
        </is>
      </c>
      <c r="K2906" s="232" t="inlineStr">
        <is>
          <t>FLETE FRUTA</t>
        </is>
      </c>
      <c r="L2906" s="232" t="inlineStr">
        <is>
          <t>[PRORRATEO 1.3% 1.93há/148.3há] O/001546 FLETE</t>
        </is>
      </c>
      <c r="M2906" s="232" t="inlineStr"/>
      <c r="N2906" s="232" t="inlineStr">
        <is>
          <t>.   .   -</t>
        </is>
      </c>
      <c r="O2906" s="232" t="inlineStr">
        <is>
          <t>MARZO</t>
        </is>
      </c>
      <c r="P2906" s="232" t="n">
        <v>13</v>
      </c>
      <c r="Q2906" s="234" t="n">
        <v>3419</v>
      </c>
      <c r="R2906" s="232" t="inlineStr"/>
      <c r="S2906" s="234" t="n">
        <v>3419</v>
      </c>
      <c r="T2906" s="232" t="inlineStr">
        <is>
          <t>CLP</t>
        </is>
      </c>
      <c r="U2906" s="232" t="inlineStr">
        <is>
          <t>Prorrateo Ha PACKING</t>
        </is>
      </c>
      <c r="V2906" s="232" t="inlineStr">
        <is>
          <t>2026-06-18</t>
        </is>
      </c>
    </row>
    <row r="2907">
      <c r="A2907" s="232" t="inlineStr">
        <is>
          <t>CR-2904</t>
        </is>
      </c>
      <c r="B2907" s="232" t="inlineStr">
        <is>
          <t>2026/27</t>
        </is>
      </c>
      <c r="C2907" s="233" t="n">
        <v>46111</v>
      </c>
      <c r="D2907" s="232" t="inlineStr">
        <is>
          <t>8438</t>
        </is>
      </c>
      <c r="E2907" s="232" t="inlineStr">
        <is>
          <t>PRORRATEO</t>
        </is>
      </c>
      <c r="F2907" s="232" t="inlineStr">
        <is>
          <t>Santa Catalina</t>
        </is>
      </c>
      <c r="G2907" s="232" t="inlineStr">
        <is>
          <t>mant eureka 2,5 ha</t>
        </is>
      </c>
      <c r="H2907" s="232" t="inlineStr">
        <is>
          <t>Limon</t>
        </is>
      </c>
      <c r="I2907" s="232" t="inlineStr">
        <is>
          <t>Eureka</t>
        </is>
      </c>
      <c r="J2907" s="232" t="inlineStr">
        <is>
          <t>FLETES</t>
        </is>
      </c>
      <c r="K2907" s="232" t="inlineStr">
        <is>
          <t>FLETE FRUTA</t>
        </is>
      </c>
      <c r="L2907" s="232" t="inlineStr">
        <is>
          <t>[PRORRATEO 1.7% 2.5há/148.3há] O/001546 FLETE</t>
        </is>
      </c>
      <c r="M2907" s="232" t="inlineStr"/>
      <c r="N2907" s="232" t="inlineStr">
        <is>
          <t>.   .   -</t>
        </is>
      </c>
      <c r="O2907" s="232" t="inlineStr">
        <is>
          <t>MARZO</t>
        </is>
      </c>
      <c r="P2907" s="232" t="n">
        <v>13</v>
      </c>
      <c r="Q2907" s="234" t="n">
        <v>4428</v>
      </c>
      <c r="R2907" s="232" t="inlineStr"/>
      <c r="S2907" s="234" t="n">
        <v>4428</v>
      </c>
      <c r="T2907" s="232" t="inlineStr">
        <is>
          <t>CLP</t>
        </is>
      </c>
      <c r="U2907" s="232" t="inlineStr">
        <is>
          <t>Prorrateo Ha PACKING</t>
        </is>
      </c>
      <c r="V2907" s="232" t="inlineStr">
        <is>
          <t>2026-06-18</t>
        </is>
      </c>
    </row>
    <row r="2908">
      <c r="A2908" s="232" t="inlineStr">
        <is>
          <t>CR-2905</t>
        </is>
      </c>
      <c r="B2908" s="232" t="inlineStr">
        <is>
          <t>2026/27</t>
        </is>
      </c>
      <c r="C2908" s="233" t="n">
        <v>46111</v>
      </c>
      <c r="D2908" s="232" t="inlineStr">
        <is>
          <t>8438</t>
        </is>
      </c>
      <c r="E2908" s="232" t="inlineStr">
        <is>
          <t>PRORRATEO</t>
        </is>
      </c>
      <c r="F2908" s="232" t="inlineStr">
        <is>
          <t>Siberia</t>
        </is>
      </c>
      <c r="G2908" s="232" t="inlineStr">
        <is>
          <t>S. Celebration 7,14</t>
        </is>
      </c>
      <c r="H2908" s="232" t="inlineStr">
        <is>
          <t>Uvas</t>
        </is>
      </c>
      <c r="I2908" s="232" t="inlineStr">
        <is>
          <t>S. celebration</t>
        </is>
      </c>
      <c r="J2908" s="232" t="inlineStr">
        <is>
          <t>FLETES</t>
        </is>
      </c>
      <c r="K2908" s="232" t="inlineStr">
        <is>
          <t>FLETE FRUTA</t>
        </is>
      </c>
      <c r="L2908" s="232" t="inlineStr">
        <is>
          <t>[PRORRATEO 4.8% 7.14há/148.3há] O/001546 FLETE</t>
        </is>
      </c>
      <c r="M2908" s="232" t="inlineStr"/>
      <c r="N2908" s="232" t="inlineStr">
        <is>
          <t>.   .   -</t>
        </is>
      </c>
      <c r="O2908" s="232" t="inlineStr">
        <is>
          <t>MARZO</t>
        </is>
      </c>
      <c r="P2908" s="232" t="n">
        <v>13</v>
      </c>
      <c r="Q2908" s="234" t="n">
        <v>12648</v>
      </c>
      <c r="R2908" s="232" t="inlineStr"/>
      <c r="S2908" s="234" t="n">
        <v>12648</v>
      </c>
      <c r="T2908" s="232" t="inlineStr">
        <is>
          <t>CLP</t>
        </is>
      </c>
      <c r="U2908" s="232" t="inlineStr">
        <is>
          <t>Prorrateo Ha PACKING</t>
        </is>
      </c>
      <c r="V2908" s="232" t="inlineStr">
        <is>
          <t>2026-06-18</t>
        </is>
      </c>
    </row>
    <row r="2909">
      <c r="A2909" s="232" t="inlineStr">
        <is>
          <t>CR-2906</t>
        </is>
      </c>
      <c r="B2909" s="232" t="inlineStr">
        <is>
          <t>2026/27</t>
        </is>
      </c>
      <c r="C2909" s="233" t="n">
        <v>46111</v>
      </c>
      <c r="D2909" s="232" t="inlineStr">
        <is>
          <t>8438</t>
        </is>
      </c>
      <c r="E2909" s="232" t="inlineStr">
        <is>
          <t>PRORRATEO</t>
        </is>
      </c>
      <c r="F2909" s="232" t="inlineStr">
        <is>
          <t>Siberia</t>
        </is>
      </c>
      <c r="G2909" s="232" t="inlineStr">
        <is>
          <t>Timpson 7,1</t>
        </is>
      </c>
      <c r="H2909" s="232" t="inlineStr">
        <is>
          <t>Uvas</t>
        </is>
      </c>
      <c r="I2909" s="232" t="inlineStr">
        <is>
          <t>Timpson</t>
        </is>
      </c>
      <c r="J2909" s="232" t="inlineStr">
        <is>
          <t>FLETES</t>
        </is>
      </c>
      <c r="K2909" s="232" t="inlineStr">
        <is>
          <t>FLETE FRUTA</t>
        </is>
      </c>
      <c r="L2909" s="232" t="inlineStr">
        <is>
          <t>[PRORRATEO 4.8% 7.1há/148.3há] O/001546 FLETE</t>
        </is>
      </c>
      <c r="M2909" s="232" t="inlineStr"/>
      <c r="N2909" s="232" t="inlineStr">
        <is>
          <t>.   .   -</t>
        </is>
      </c>
      <c r="O2909" s="232" t="inlineStr">
        <is>
          <t>MARZO</t>
        </is>
      </c>
      <c r="P2909" s="232" t="n">
        <v>13</v>
      </c>
      <c r="Q2909" s="234" t="n">
        <v>12577</v>
      </c>
      <c r="R2909" s="232" t="inlineStr"/>
      <c r="S2909" s="234" t="n">
        <v>12577</v>
      </c>
      <c r="T2909" s="232" t="inlineStr">
        <is>
          <t>CLP</t>
        </is>
      </c>
      <c r="U2909" s="232" t="inlineStr">
        <is>
          <t>Prorrateo Ha PACKING</t>
        </is>
      </c>
      <c r="V2909" s="232" t="inlineStr">
        <is>
          <t>2026-06-18</t>
        </is>
      </c>
    </row>
    <row r="2910">
      <c r="A2910" s="232" t="inlineStr">
        <is>
          <t>CR-2907</t>
        </is>
      </c>
      <c r="B2910" s="232" t="inlineStr">
        <is>
          <t>2026/27</t>
        </is>
      </c>
      <c r="C2910" s="233" t="n">
        <v>46111</v>
      </c>
      <c r="D2910" s="232" t="inlineStr">
        <is>
          <t>8438</t>
        </is>
      </c>
      <c r="E2910" s="232" t="inlineStr">
        <is>
          <t>PRORRATEO</t>
        </is>
      </c>
      <c r="F2910" s="232" t="inlineStr">
        <is>
          <t>Asmara</t>
        </is>
      </c>
      <c r="G2910" s="232" t="inlineStr">
        <is>
          <t>w. murcott 19,8 ha</t>
        </is>
      </c>
      <c r="H2910" s="232" t="inlineStr">
        <is>
          <t>Mandarina</t>
        </is>
      </c>
      <c r="I2910" s="232" t="inlineStr">
        <is>
          <t>W. murcott</t>
        </is>
      </c>
      <c r="J2910" s="232" t="inlineStr">
        <is>
          <t>FLETES</t>
        </is>
      </c>
      <c r="K2910" s="232" t="inlineStr">
        <is>
          <t>FLETE FRUTA</t>
        </is>
      </c>
      <c r="L2910" s="232" t="inlineStr">
        <is>
          <t>[PRORRATEO 13.4% 19.8há/148.3há] O/001546 FLETE</t>
        </is>
      </c>
      <c r="M2910" s="232" t="inlineStr"/>
      <c r="N2910" s="232" t="inlineStr">
        <is>
          <t>.   .   -</t>
        </is>
      </c>
      <c r="O2910" s="232" t="inlineStr">
        <is>
          <t>MARZO</t>
        </is>
      </c>
      <c r="P2910" s="232" t="n">
        <v>13</v>
      </c>
      <c r="Q2910" s="234" t="n">
        <v>21368</v>
      </c>
      <c r="R2910" s="232" t="inlineStr"/>
      <c r="S2910" s="234" t="n">
        <v>21368</v>
      </c>
      <c r="T2910" s="232" t="inlineStr">
        <is>
          <t>CLP</t>
        </is>
      </c>
      <c r="U2910" s="232" t="inlineStr">
        <is>
          <t>Prorrateo Ha PACKING</t>
        </is>
      </c>
      <c r="V2910" s="232" t="inlineStr">
        <is>
          <t>2026-06-18</t>
        </is>
      </c>
    </row>
    <row r="2911">
      <c r="A2911" s="232" t="inlineStr">
        <is>
          <t>CR-2908</t>
        </is>
      </c>
      <c r="B2911" s="232" t="inlineStr">
        <is>
          <t>2026/27</t>
        </is>
      </c>
      <c r="C2911" s="233" t="n">
        <v>46111</v>
      </c>
      <c r="D2911" s="232" t="inlineStr">
        <is>
          <t>8438</t>
        </is>
      </c>
      <c r="E2911" s="232" t="inlineStr">
        <is>
          <t>PRORRATEO</t>
        </is>
      </c>
      <c r="F2911" s="232" t="inlineStr">
        <is>
          <t>Asmara</t>
        </is>
      </c>
      <c r="G2911" s="232" t="inlineStr">
        <is>
          <t>w. murcott 4,9 ha</t>
        </is>
      </c>
      <c r="H2911" s="232" t="inlineStr">
        <is>
          <t>Mandarina</t>
        </is>
      </c>
      <c r="I2911" s="232" t="inlineStr">
        <is>
          <t>W. murcott</t>
        </is>
      </c>
      <c r="J2911" s="232" t="inlineStr">
        <is>
          <t>FLETES</t>
        </is>
      </c>
      <c r="K2911" s="232" t="inlineStr">
        <is>
          <t>FLETE FRUTA</t>
        </is>
      </c>
      <c r="L2911" s="232" t="inlineStr">
        <is>
          <t>[PRORRATEO 3.3% 4.9há/148.3há] O/001546 FLETE</t>
        </is>
      </c>
      <c r="M2911" s="232" t="inlineStr"/>
      <c r="N2911" s="232" t="inlineStr">
        <is>
          <t>.   .   -</t>
        </is>
      </c>
      <c r="O2911" s="232" t="inlineStr">
        <is>
          <t>MARZO</t>
        </is>
      </c>
      <c r="P2911" s="232" t="n">
        <v>13</v>
      </c>
      <c r="Q2911" s="234" t="n">
        <v>5288</v>
      </c>
      <c r="R2911" s="232" t="inlineStr"/>
      <c r="S2911" s="234" t="n">
        <v>5288</v>
      </c>
      <c r="T2911" s="232" t="inlineStr">
        <is>
          <t>CLP</t>
        </is>
      </c>
      <c r="U2911" s="232" t="inlineStr">
        <is>
          <t>Prorrateo Ha PACKING</t>
        </is>
      </c>
      <c r="V2911" s="232" t="inlineStr">
        <is>
          <t>2026-06-18</t>
        </is>
      </c>
    </row>
    <row r="2912">
      <c r="A2912" s="232" t="inlineStr">
        <is>
          <t>CR-2909</t>
        </is>
      </c>
      <c r="B2912" s="232" t="inlineStr">
        <is>
          <t>2026/27</t>
        </is>
      </c>
      <c r="C2912" s="233" t="n">
        <v>46111</v>
      </c>
      <c r="D2912" s="232" t="inlineStr">
        <is>
          <t>8438</t>
        </is>
      </c>
      <c r="E2912" s="232" t="inlineStr">
        <is>
          <t>PRORRATEO</t>
        </is>
      </c>
      <c r="F2912" s="232" t="inlineStr">
        <is>
          <t>El Molle</t>
        </is>
      </c>
      <c r="G2912" s="232" t="inlineStr">
        <is>
          <t>Wonderful 5,25 ha</t>
        </is>
      </c>
      <c r="H2912" s="232" t="inlineStr">
        <is>
          <t>Granados</t>
        </is>
      </c>
      <c r="I2912" s="232" t="inlineStr">
        <is>
          <t>Wonderfull</t>
        </is>
      </c>
      <c r="J2912" s="232" t="inlineStr">
        <is>
          <t>FLETES</t>
        </is>
      </c>
      <c r="K2912" s="232" t="inlineStr">
        <is>
          <t>FLETE FRUTA</t>
        </is>
      </c>
      <c r="L2912" s="232" t="inlineStr">
        <is>
          <t>[PRORRATEO 3.5% 5.24há/148.3há] O/001546 FLETE</t>
        </is>
      </c>
      <c r="M2912" s="232" t="inlineStr"/>
      <c r="N2912" s="232" t="inlineStr">
        <is>
          <t>.   .   -</t>
        </is>
      </c>
      <c r="O2912" s="232" t="inlineStr">
        <is>
          <t>MARZO</t>
        </is>
      </c>
      <c r="P2912" s="232" t="n">
        <v>13</v>
      </c>
      <c r="Q2912" s="234" t="n">
        <v>5655</v>
      </c>
      <c r="R2912" s="232" t="inlineStr"/>
      <c r="S2912" s="234" t="n">
        <v>5655</v>
      </c>
      <c r="T2912" s="232" t="inlineStr">
        <is>
          <t>CLP</t>
        </is>
      </c>
      <c r="U2912" s="232" t="inlineStr">
        <is>
          <t>Prorrateo Ha PACKING</t>
        </is>
      </c>
      <c r="V2912" s="232" t="inlineStr">
        <is>
          <t>2026-06-18</t>
        </is>
      </c>
    </row>
    <row r="2913">
      <c r="A2913" s="232" t="inlineStr">
        <is>
          <t>CR-2910</t>
        </is>
      </c>
      <c r="B2913" s="232" t="inlineStr">
        <is>
          <t>2026/27</t>
        </is>
      </c>
      <c r="C2913" s="233" t="n">
        <v>46111</v>
      </c>
      <c r="D2913" s="232" t="inlineStr">
        <is>
          <t>8438</t>
        </is>
      </c>
      <c r="E2913" s="232" t="inlineStr">
        <is>
          <t>PRORRATEO</t>
        </is>
      </c>
      <c r="F2913" s="232" t="inlineStr">
        <is>
          <t>El Molle</t>
        </is>
      </c>
      <c r="G2913" s="232" t="inlineStr">
        <is>
          <t>arrufatinas 5,74 ha</t>
        </is>
      </c>
      <c r="H2913" s="232" t="inlineStr">
        <is>
          <t>Clementinas</t>
        </is>
      </c>
      <c r="I2913" s="232" t="inlineStr">
        <is>
          <t>Arrufatinas</t>
        </is>
      </c>
      <c r="J2913" s="232" t="inlineStr">
        <is>
          <t>FLETES</t>
        </is>
      </c>
      <c r="K2913" s="232" t="inlineStr">
        <is>
          <t>FLETE FRUTA</t>
        </is>
      </c>
      <c r="L2913" s="232" t="inlineStr">
        <is>
          <t>[PRORRATEO 3.9% 5.74há/148.3há] O/001546 FLETE</t>
        </is>
      </c>
      <c r="M2913" s="232" t="inlineStr"/>
      <c r="N2913" s="232" t="inlineStr">
        <is>
          <t>.   .   -</t>
        </is>
      </c>
      <c r="O2913" s="232" t="inlineStr">
        <is>
          <t>MARZO</t>
        </is>
      </c>
      <c r="P2913" s="232" t="n">
        <v>13</v>
      </c>
      <c r="Q2913" s="234" t="n">
        <v>6195</v>
      </c>
      <c r="R2913" s="232" t="inlineStr"/>
      <c r="S2913" s="234" t="n">
        <v>6195</v>
      </c>
      <c r="T2913" s="232" t="inlineStr">
        <is>
          <t>CLP</t>
        </is>
      </c>
      <c r="U2913" s="232" t="inlineStr">
        <is>
          <t>Prorrateo Ha PACKING</t>
        </is>
      </c>
      <c r="V2913" s="232" t="inlineStr">
        <is>
          <t>2026-06-18</t>
        </is>
      </c>
    </row>
    <row r="2914">
      <c r="A2914" s="232" t="inlineStr">
        <is>
          <t>CR-2911</t>
        </is>
      </c>
      <c r="B2914" s="232" t="inlineStr">
        <is>
          <t>2026/27</t>
        </is>
      </c>
      <c r="C2914" s="233" t="n">
        <v>46111</v>
      </c>
      <c r="D2914" s="232" t="inlineStr">
        <is>
          <t>8438</t>
        </is>
      </c>
      <c r="E2914" s="232" t="inlineStr">
        <is>
          <t>PRORRATEO</t>
        </is>
      </c>
      <c r="F2914" s="232" t="inlineStr">
        <is>
          <t>El Molle</t>
        </is>
      </c>
      <c r="G2914" s="232" t="inlineStr">
        <is>
          <t>orogrande 8,11 ha</t>
        </is>
      </c>
      <c r="H2914" s="232" t="inlineStr">
        <is>
          <t>Clementinas</t>
        </is>
      </c>
      <c r="I2914" s="232" t="inlineStr">
        <is>
          <t>Orogrande</t>
        </is>
      </c>
      <c r="J2914" s="232" t="inlineStr">
        <is>
          <t>FLETES</t>
        </is>
      </c>
      <c r="K2914" s="232" t="inlineStr">
        <is>
          <t>FLETE FRUTA</t>
        </is>
      </c>
      <c r="L2914" s="232" t="inlineStr">
        <is>
          <t>[PRORRATEO 5.5% 8.11há/148.3há] O/001546 FLETE</t>
        </is>
      </c>
      <c r="M2914" s="232" t="inlineStr"/>
      <c r="N2914" s="232" t="inlineStr">
        <is>
          <t>.   .   -</t>
        </is>
      </c>
      <c r="O2914" s="232" t="inlineStr">
        <is>
          <t>MARZO</t>
        </is>
      </c>
      <c r="P2914" s="232" t="n">
        <v>13</v>
      </c>
      <c r="Q2914" s="234" t="n">
        <v>8752</v>
      </c>
      <c r="R2914" s="232" t="inlineStr"/>
      <c r="S2914" s="234" t="n">
        <v>8752</v>
      </c>
      <c r="T2914" s="232" t="inlineStr">
        <is>
          <t>CLP</t>
        </is>
      </c>
      <c r="U2914" s="232" t="inlineStr">
        <is>
          <t>Prorrateo Ha PACKING</t>
        </is>
      </c>
      <c r="V2914" s="232" t="inlineStr">
        <is>
          <t>2026-06-18</t>
        </is>
      </c>
    </row>
    <row r="2915">
      <c r="A2915" s="232" t="inlineStr">
        <is>
          <t>CR-2912</t>
        </is>
      </c>
      <c r="B2915" s="232" t="inlineStr">
        <is>
          <t>2026/27</t>
        </is>
      </c>
      <c r="C2915" s="233" t="n">
        <v>46111</v>
      </c>
      <c r="D2915" s="232" t="inlineStr">
        <is>
          <t>8438</t>
        </is>
      </c>
      <c r="E2915" s="232" t="inlineStr">
        <is>
          <t>PRORRATEO</t>
        </is>
      </c>
      <c r="F2915" s="232" t="inlineStr">
        <is>
          <t>El Molle</t>
        </is>
      </c>
      <c r="G2915" s="232" t="inlineStr">
        <is>
          <t>oronules 5,35 ha</t>
        </is>
      </c>
      <c r="H2915" s="232" t="inlineStr">
        <is>
          <t>Clementinas</t>
        </is>
      </c>
      <c r="I2915" s="232" t="inlineStr">
        <is>
          <t>Oronules</t>
        </is>
      </c>
      <c r="J2915" s="232" t="inlineStr">
        <is>
          <t>FLETES</t>
        </is>
      </c>
      <c r="K2915" s="232" t="inlineStr">
        <is>
          <t>FLETE FRUTA</t>
        </is>
      </c>
      <c r="L2915" s="232" t="inlineStr">
        <is>
          <t>[PRORRATEO 3.6% 5.35há/148.3há] O/001546 FLETE</t>
        </is>
      </c>
      <c r="M2915" s="232" t="inlineStr"/>
      <c r="N2915" s="232" t="inlineStr">
        <is>
          <t>.   .   -</t>
        </is>
      </c>
      <c r="O2915" s="232" t="inlineStr">
        <is>
          <t>MARZO</t>
        </is>
      </c>
      <c r="P2915" s="232" t="n">
        <v>13</v>
      </c>
      <c r="Q2915" s="234" t="n">
        <v>5774</v>
      </c>
      <c r="R2915" s="232" t="inlineStr"/>
      <c r="S2915" s="234" t="n">
        <v>5774</v>
      </c>
      <c r="T2915" s="232" t="inlineStr">
        <is>
          <t>CLP</t>
        </is>
      </c>
      <c r="U2915" s="232" t="inlineStr">
        <is>
          <t>Prorrateo Ha PACKING</t>
        </is>
      </c>
      <c r="V2915" s="232" t="inlineStr">
        <is>
          <t>2026-06-18</t>
        </is>
      </c>
    </row>
    <row r="2916">
      <c r="A2916" s="232" t="inlineStr">
        <is>
          <t>CR-2913</t>
        </is>
      </c>
      <c r="B2916" s="232" t="inlineStr">
        <is>
          <t>2026/27</t>
        </is>
      </c>
      <c r="C2916" s="233" t="n">
        <v>46111</v>
      </c>
      <c r="D2916" s="232" t="inlineStr">
        <is>
          <t>8438</t>
        </is>
      </c>
      <c r="E2916" s="232" t="inlineStr">
        <is>
          <t>PRORRATEO</t>
        </is>
      </c>
      <c r="F2916" s="232" t="inlineStr">
        <is>
          <t>Santa Catalina</t>
        </is>
      </c>
      <c r="G2916" s="232" t="inlineStr">
        <is>
          <t>Fino 49 7,7 ha</t>
        </is>
      </c>
      <c r="H2916" s="232" t="inlineStr">
        <is>
          <t>Limon</t>
        </is>
      </c>
      <c r="I2916" s="232" t="inlineStr">
        <is>
          <t>Fino 49</t>
        </is>
      </c>
      <c r="J2916" s="232" t="inlineStr">
        <is>
          <t>FLETES</t>
        </is>
      </c>
      <c r="K2916" s="232" t="inlineStr">
        <is>
          <t>FLETE FRUTA</t>
        </is>
      </c>
      <c r="L2916" s="232" t="inlineStr">
        <is>
          <t>[PRORRATEO 5.2% 7.7há/148.3há] O/001546 FLETE</t>
        </is>
      </c>
      <c r="M2916" s="232" t="inlineStr"/>
      <c r="N2916" s="232" t="inlineStr">
        <is>
          <t>.   .   -</t>
        </is>
      </c>
      <c r="O2916" s="232" t="inlineStr">
        <is>
          <t>MARZO</t>
        </is>
      </c>
      <c r="P2916" s="232" t="n">
        <v>13</v>
      </c>
      <c r="Q2916" s="234" t="n">
        <v>8310</v>
      </c>
      <c r="R2916" s="232" t="inlineStr"/>
      <c r="S2916" s="234" t="n">
        <v>8310</v>
      </c>
      <c r="T2916" s="232" t="inlineStr">
        <is>
          <t>CLP</t>
        </is>
      </c>
      <c r="U2916" s="232" t="inlineStr">
        <is>
          <t>Prorrateo Ha PACKING</t>
        </is>
      </c>
      <c r="V2916" s="232" t="inlineStr">
        <is>
          <t>2026-06-18</t>
        </is>
      </c>
    </row>
    <row r="2917">
      <c r="A2917" s="232" t="inlineStr">
        <is>
          <t>CR-2914</t>
        </is>
      </c>
      <c r="B2917" s="232" t="inlineStr">
        <is>
          <t>2026/27</t>
        </is>
      </c>
      <c r="C2917" s="233" t="n">
        <v>46111</v>
      </c>
      <c r="D2917" s="232" t="inlineStr">
        <is>
          <t>8438</t>
        </is>
      </c>
      <c r="E2917" s="232" t="inlineStr">
        <is>
          <t>PRORRATEO</t>
        </is>
      </c>
      <c r="F2917" s="232" t="inlineStr">
        <is>
          <t>Santa Catalina</t>
        </is>
      </c>
      <c r="G2917" s="232" t="inlineStr">
        <is>
          <t>W. murcott 21 ha</t>
        </is>
      </c>
      <c r="H2917" s="232" t="inlineStr">
        <is>
          <t>Mandarina</t>
        </is>
      </c>
      <c r="I2917" s="232" t="inlineStr">
        <is>
          <t>W. murcott</t>
        </is>
      </c>
      <c r="J2917" s="232" t="inlineStr">
        <is>
          <t>FLETES</t>
        </is>
      </c>
      <c r="K2917" s="232" t="inlineStr">
        <is>
          <t>FLETE FRUTA</t>
        </is>
      </c>
      <c r="L2917" s="232" t="inlineStr">
        <is>
          <t>[PRORRATEO 14.2% 21.0há/148.3há] O/001546 FLETE</t>
        </is>
      </c>
      <c r="M2917" s="232" t="inlineStr"/>
      <c r="N2917" s="232" t="inlineStr">
        <is>
          <t>.   .   -</t>
        </is>
      </c>
      <c r="O2917" s="232" t="inlineStr">
        <is>
          <t>MARZO</t>
        </is>
      </c>
      <c r="P2917" s="232" t="n">
        <v>13</v>
      </c>
      <c r="Q2917" s="234" t="n">
        <v>22663</v>
      </c>
      <c r="R2917" s="232" t="inlineStr"/>
      <c r="S2917" s="234" t="n">
        <v>22663</v>
      </c>
      <c r="T2917" s="232" t="inlineStr">
        <is>
          <t>CLP</t>
        </is>
      </c>
      <c r="U2917" s="232" t="inlineStr">
        <is>
          <t>Prorrateo Ha PACKING</t>
        </is>
      </c>
      <c r="V2917" s="232" t="inlineStr">
        <is>
          <t>2026-06-18</t>
        </is>
      </c>
    </row>
    <row r="2918">
      <c r="A2918" s="232" t="inlineStr">
        <is>
          <t>CR-2915</t>
        </is>
      </c>
      <c r="B2918" s="232" t="inlineStr">
        <is>
          <t>2026/27</t>
        </is>
      </c>
      <c r="C2918" s="233" t="n">
        <v>46111</v>
      </c>
      <c r="D2918" s="232" t="inlineStr">
        <is>
          <t>8438</t>
        </is>
      </c>
      <c r="E2918" s="232" t="inlineStr">
        <is>
          <t>PRORRATEO</t>
        </is>
      </c>
      <c r="F2918" s="232" t="inlineStr">
        <is>
          <t>Santa Catalina</t>
        </is>
      </c>
      <c r="G2918" s="232" t="inlineStr">
        <is>
          <t>cambria 4,2 ha</t>
        </is>
      </c>
      <c r="H2918" s="232" t="inlineStr">
        <is>
          <t>Naranjas</t>
        </is>
      </c>
      <c r="I2918" s="232" t="inlineStr">
        <is>
          <t>Cambria</t>
        </is>
      </c>
      <c r="J2918" s="232" t="inlineStr">
        <is>
          <t>FLETES</t>
        </is>
      </c>
      <c r="K2918" s="232" t="inlineStr">
        <is>
          <t>FLETE FRUTA</t>
        </is>
      </c>
      <c r="L2918" s="232" t="inlineStr">
        <is>
          <t>[PRORRATEO 2.8% 4.2há/148.3há] O/001546 FLETE</t>
        </is>
      </c>
      <c r="M2918" s="232" t="inlineStr"/>
      <c r="N2918" s="232" t="inlineStr">
        <is>
          <t>.   .   -</t>
        </is>
      </c>
      <c r="O2918" s="232" t="inlineStr">
        <is>
          <t>MARZO</t>
        </is>
      </c>
      <c r="P2918" s="232" t="n">
        <v>13</v>
      </c>
      <c r="Q2918" s="234" t="n">
        <v>4533</v>
      </c>
      <c r="R2918" s="232" t="inlineStr"/>
      <c r="S2918" s="234" t="n">
        <v>4533</v>
      </c>
      <c r="T2918" s="232" t="inlineStr">
        <is>
          <t>CLP</t>
        </is>
      </c>
      <c r="U2918" s="232" t="inlineStr">
        <is>
          <t>Prorrateo Ha PACKING</t>
        </is>
      </c>
      <c r="V2918" s="232" t="inlineStr">
        <is>
          <t>2026-06-18</t>
        </is>
      </c>
    </row>
    <row r="2919">
      <c r="A2919" s="232" t="inlineStr">
        <is>
          <t>CR-2916</t>
        </is>
      </c>
      <c r="B2919" s="232" t="inlineStr">
        <is>
          <t>2026/27</t>
        </is>
      </c>
      <c r="C2919" s="233" t="n">
        <v>46111</v>
      </c>
      <c r="D2919" s="232" t="inlineStr">
        <is>
          <t>8438</t>
        </is>
      </c>
      <c r="E2919" s="232" t="inlineStr">
        <is>
          <t>PRORRATEO</t>
        </is>
      </c>
      <c r="F2919" s="232" t="inlineStr">
        <is>
          <t>Santa Catalina</t>
        </is>
      </c>
      <c r="G2919" s="232" t="inlineStr">
        <is>
          <t>eureka 10,6 ha</t>
        </is>
      </c>
      <c r="H2919" s="232" t="inlineStr">
        <is>
          <t>Limon</t>
        </is>
      </c>
      <c r="I2919" s="232" t="inlineStr">
        <is>
          <t>Eureka</t>
        </is>
      </c>
      <c r="J2919" s="232" t="inlineStr">
        <is>
          <t>FLETES</t>
        </is>
      </c>
      <c r="K2919" s="232" t="inlineStr">
        <is>
          <t>FLETE FRUTA</t>
        </is>
      </c>
      <c r="L2919" s="232" t="inlineStr">
        <is>
          <t>[PRORRATEO 7.1% 10.6há/148.3há] O/001546 FLETE</t>
        </is>
      </c>
      <c r="M2919" s="232" t="inlineStr"/>
      <c r="N2919" s="232" t="inlineStr">
        <is>
          <t>.   .   -</t>
        </is>
      </c>
      <c r="O2919" s="232" t="inlineStr">
        <is>
          <t>MARZO</t>
        </is>
      </c>
      <c r="P2919" s="232" t="n">
        <v>13</v>
      </c>
      <c r="Q2919" s="234" t="n">
        <v>11439</v>
      </c>
      <c r="R2919" s="232" t="inlineStr"/>
      <c r="S2919" s="234" t="n">
        <v>11439</v>
      </c>
      <c r="T2919" s="232" t="inlineStr">
        <is>
          <t>CLP</t>
        </is>
      </c>
      <c r="U2919" s="232" t="inlineStr">
        <is>
          <t>Prorrateo Ha PACKING</t>
        </is>
      </c>
      <c r="V2919" s="232" t="inlineStr">
        <is>
          <t>2026-06-18</t>
        </is>
      </c>
    </row>
    <row r="2920">
      <c r="A2920" s="232" t="inlineStr">
        <is>
          <t>CR-2917</t>
        </is>
      </c>
      <c r="B2920" s="232" t="inlineStr">
        <is>
          <t>2026/27</t>
        </is>
      </c>
      <c r="C2920" s="233" t="n">
        <v>46111</v>
      </c>
      <c r="D2920" s="232" t="inlineStr">
        <is>
          <t>8438</t>
        </is>
      </c>
      <c r="E2920" s="232" t="inlineStr">
        <is>
          <t>PRORRATEO</t>
        </is>
      </c>
      <c r="F2920" s="232" t="inlineStr">
        <is>
          <t>Santa Catalina</t>
        </is>
      </c>
      <c r="G2920" s="232" t="inlineStr">
        <is>
          <t>eureka 14,4 ha</t>
        </is>
      </c>
      <c r="H2920" s="232" t="inlineStr">
        <is>
          <t>Limon</t>
        </is>
      </c>
      <c r="I2920" s="232" t="inlineStr">
        <is>
          <t>Eureka</t>
        </is>
      </c>
      <c r="J2920" s="232" t="inlineStr">
        <is>
          <t>FLETES</t>
        </is>
      </c>
      <c r="K2920" s="232" t="inlineStr">
        <is>
          <t>FLETE FRUTA</t>
        </is>
      </c>
      <c r="L2920" s="232" t="inlineStr">
        <is>
          <t>[PRORRATEO 9.7% 14.4há/148.3há] O/001546 FLETE</t>
        </is>
      </c>
      <c r="M2920" s="232" t="inlineStr"/>
      <c r="N2920" s="232" t="inlineStr">
        <is>
          <t>.   .   -</t>
        </is>
      </c>
      <c r="O2920" s="232" t="inlineStr">
        <is>
          <t>MARZO</t>
        </is>
      </c>
      <c r="P2920" s="232" t="n">
        <v>13</v>
      </c>
      <c r="Q2920" s="234" t="n">
        <v>15540</v>
      </c>
      <c r="R2920" s="232" t="inlineStr"/>
      <c r="S2920" s="234" t="n">
        <v>15540</v>
      </c>
      <c r="T2920" s="232" t="inlineStr">
        <is>
          <t>CLP</t>
        </is>
      </c>
      <c r="U2920" s="232" t="inlineStr">
        <is>
          <t>Prorrateo Ha PACKING</t>
        </is>
      </c>
      <c r="V2920" s="232" t="inlineStr">
        <is>
          <t>2026-06-18</t>
        </is>
      </c>
    </row>
    <row r="2921">
      <c r="A2921" s="232" t="inlineStr">
        <is>
          <t>CR-2918</t>
        </is>
      </c>
      <c r="B2921" s="232" t="inlineStr">
        <is>
          <t>2026/27</t>
        </is>
      </c>
      <c r="C2921" s="233" t="n">
        <v>46111</v>
      </c>
      <c r="D2921" s="232" t="inlineStr">
        <is>
          <t>8438</t>
        </is>
      </c>
      <c r="E2921" s="232" t="inlineStr">
        <is>
          <t>PRORRATEO</t>
        </is>
      </c>
      <c r="F2921" s="232" t="inlineStr">
        <is>
          <t>Santa Catalina</t>
        </is>
      </c>
      <c r="G2921" s="232" t="inlineStr">
        <is>
          <t>eureka 22,55</t>
        </is>
      </c>
      <c r="H2921" s="232" t="inlineStr">
        <is>
          <t>Limon</t>
        </is>
      </c>
      <c r="I2921" s="232" t="inlineStr">
        <is>
          <t>Eureka</t>
        </is>
      </c>
      <c r="J2921" s="232" t="inlineStr">
        <is>
          <t>FLETES</t>
        </is>
      </c>
      <c r="K2921" s="232" t="inlineStr">
        <is>
          <t>FLETE FRUTA</t>
        </is>
      </c>
      <c r="L2921" s="232" t="inlineStr">
        <is>
          <t>[PRORRATEO 15.2% 22.55há/148.3há] O/001546 FLETE</t>
        </is>
      </c>
      <c r="M2921" s="232" t="inlineStr"/>
      <c r="N2921" s="232" t="inlineStr">
        <is>
          <t>.   .   -</t>
        </is>
      </c>
      <c r="O2921" s="232" t="inlineStr">
        <is>
          <t>MARZO</t>
        </is>
      </c>
      <c r="P2921" s="232" t="n">
        <v>13</v>
      </c>
      <c r="Q2921" s="234" t="n">
        <v>24336</v>
      </c>
      <c r="R2921" s="232" t="inlineStr"/>
      <c r="S2921" s="234" t="n">
        <v>24336</v>
      </c>
      <c r="T2921" s="232" t="inlineStr">
        <is>
          <t>CLP</t>
        </is>
      </c>
      <c r="U2921" s="232" t="inlineStr">
        <is>
          <t>Prorrateo Ha PACKING</t>
        </is>
      </c>
      <c r="V2921" s="232" t="inlineStr">
        <is>
          <t>2026-06-18</t>
        </is>
      </c>
    </row>
    <row r="2922">
      <c r="A2922" s="232" t="inlineStr">
        <is>
          <t>CR-2919</t>
        </is>
      </c>
      <c r="B2922" s="232" t="inlineStr">
        <is>
          <t>2026/27</t>
        </is>
      </c>
      <c r="C2922" s="233" t="n">
        <v>46111</v>
      </c>
      <c r="D2922" s="232" t="inlineStr">
        <is>
          <t>8438</t>
        </is>
      </c>
      <c r="E2922" s="232" t="inlineStr">
        <is>
          <t>PRORRATEO</t>
        </is>
      </c>
      <c r="F2922" s="232" t="inlineStr">
        <is>
          <t>Santa Catalina</t>
        </is>
      </c>
      <c r="G2922" s="232" t="inlineStr">
        <is>
          <t>form benjamin 1,93 ha</t>
        </is>
      </c>
      <c r="H2922" s="232" t="inlineStr">
        <is>
          <t>Limon</t>
        </is>
      </c>
      <c r="I2922" s="232" t="inlineStr">
        <is>
          <t>Benjamin andes</t>
        </is>
      </c>
      <c r="J2922" s="232" t="inlineStr">
        <is>
          <t>FLETES</t>
        </is>
      </c>
      <c r="K2922" s="232" t="inlineStr">
        <is>
          <t>FLETE FRUTA</t>
        </is>
      </c>
      <c r="L2922" s="232" t="inlineStr">
        <is>
          <t>[PRORRATEO 1.3% 1.93há/148.3há] O/001546 FLETE</t>
        </is>
      </c>
      <c r="M2922" s="232" t="inlineStr"/>
      <c r="N2922" s="232" t="inlineStr">
        <is>
          <t>.   .   -</t>
        </is>
      </c>
      <c r="O2922" s="232" t="inlineStr">
        <is>
          <t>MARZO</t>
        </is>
      </c>
      <c r="P2922" s="232" t="n">
        <v>13</v>
      </c>
      <c r="Q2922" s="234" t="n">
        <v>2083</v>
      </c>
      <c r="R2922" s="232" t="inlineStr"/>
      <c r="S2922" s="234" t="n">
        <v>2083</v>
      </c>
      <c r="T2922" s="232" t="inlineStr">
        <is>
          <t>CLP</t>
        </is>
      </c>
      <c r="U2922" s="232" t="inlineStr">
        <is>
          <t>Prorrateo Ha PACKING</t>
        </is>
      </c>
      <c r="V2922" s="232" t="inlineStr">
        <is>
          <t>2026-06-18</t>
        </is>
      </c>
    </row>
    <row r="2923">
      <c r="A2923" s="232" t="inlineStr">
        <is>
          <t>CR-2920</t>
        </is>
      </c>
      <c r="B2923" s="232" t="inlineStr">
        <is>
          <t>2026/27</t>
        </is>
      </c>
      <c r="C2923" s="233" t="n">
        <v>46111</v>
      </c>
      <c r="D2923" s="232" t="inlineStr">
        <is>
          <t>8438</t>
        </is>
      </c>
      <c r="E2923" s="232" t="inlineStr">
        <is>
          <t>PRORRATEO</t>
        </is>
      </c>
      <c r="F2923" s="232" t="inlineStr">
        <is>
          <t>Santa Catalina</t>
        </is>
      </c>
      <c r="G2923" s="232" t="inlineStr">
        <is>
          <t>mant eureka 2,5 ha</t>
        </is>
      </c>
      <c r="H2923" s="232" t="inlineStr">
        <is>
          <t>Limon</t>
        </is>
      </c>
      <c r="I2923" s="232" t="inlineStr">
        <is>
          <t>Eureka</t>
        </is>
      </c>
      <c r="J2923" s="232" t="inlineStr">
        <is>
          <t>FLETES</t>
        </is>
      </c>
      <c r="K2923" s="232" t="inlineStr">
        <is>
          <t>FLETE FRUTA</t>
        </is>
      </c>
      <c r="L2923" s="232" t="inlineStr">
        <is>
          <t>[PRORRATEO 1.7% 2.5há/148.3há] O/001546 FLETE</t>
        </is>
      </c>
      <c r="M2923" s="232" t="inlineStr"/>
      <c r="N2923" s="232" t="inlineStr">
        <is>
          <t>.   .   -</t>
        </is>
      </c>
      <c r="O2923" s="232" t="inlineStr">
        <is>
          <t>MARZO</t>
        </is>
      </c>
      <c r="P2923" s="232" t="n">
        <v>13</v>
      </c>
      <c r="Q2923" s="234" t="n">
        <v>2698</v>
      </c>
      <c r="R2923" s="232" t="inlineStr"/>
      <c r="S2923" s="234" t="n">
        <v>2698</v>
      </c>
      <c r="T2923" s="232" t="inlineStr">
        <is>
          <t>CLP</t>
        </is>
      </c>
      <c r="U2923" s="232" t="inlineStr">
        <is>
          <t>Prorrateo Ha PACKING</t>
        </is>
      </c>
      <c r="V2923" s="232" t="inlineStr">
        <is>
          <t>2026-06-18</t>
        </is>
      </c>
    </row>
    <row r="2924">
      <c r="A2924" s="232" t="inlineStr">
        <is>
          <t>CR-2921</t>
        </is>
      </c>
      <c r="B2924" s="232" t="inlineStr">
        <is>
          <t>2026/27</t>
        </is>
      </c>
      <c r="C2924" s="233" t="n">
        <v>46111</v>
      </c>
      <c r="D2924" s="232" t="inlineStr">
        <is>
          <t>8438</t>
        </is>
      </c>
      <c r="E2924" s="232" t="inlineStr">
        <is>
          <t>PRORRATEO</t>
        </is>
      </c>
      <c r="F2924" s="232" t="inlineStr">
        <is>
          <t>Siberia</t>
        </is>
      </c>
      <c r="G2924" s="232" t="inlineStr">
        <is>
          <t>S. Celebration 7,14</t>
        </is>
      </c>
      <c r="H2924" s="232" t="inlineStr">
        <is>
          <t>Uvas</t>
        </is>
      </c>
      <c r="I2924" s="232" t="inlineStr">
        <is>
          <t>S. celebration</t>
        </is>
      </c>
      <c r="J2924" s="232" t="inlineStr">
        <is>
          <t>FLETES</t>
        </is>
      </c>
      <c r="K2924" s="232" t="inlineStr">
        <is>
          <t>FLETE FRUTA</t>
        </is>
      </c>
      <c r="L2924" s="232" t="inlineStr">
        <is>
          <t>[PRORRATEO 4.8% 7.14há/148.3há] O/001546 FLETE</t>
        </is>
      </c>
      <c r="M2924" s="232" t="inlineStr"/>
      <c r="N2924" s="232" t="inlineStr">
        <is>
          <t>.   .   -</t>
        </is>
      </c>
      <c r="O2924" s="232" t="inlineStr">
        <is>
          <t>MARZO</t>
        </is>
      </c>
      <c r="P2924" s="232" t="n">
        <v>13</v>
      </c>
      <c r="Q2924" s="234" t="n">
        <v>7705</v>
      </c>
      <c r="R2924" s="232" t="inlineStr"/>
      <c r="S2924" s="234" t="n">
        <v>7705</v>
      </c>
      <c r="T2924" s="232" t="inlineStr">
        <is>
          <t>CLP</t>
        </is>
      </c>
      <c r="U2924" s="232" t="inlineStr">
        <is>
          <t>Prorrateo Ha PACKING</t>
        </is>
      </c>
      <c r="V2924" s="232" t="inlineStr">
        <is>
          <t>2026-06-18</t>
        </is>
      </c>
    </row>
    <row r="2925">
      <c r="A2925" s="232" t="inlineStr">
        <is>
          <t>CR-2922</t>
        </is>
      </c>
      <c r="B2925" s="232" t="inlineStr">
        <is>
          <t>2026/27</t>
        </is>
      </c>
      <c r="C2925" s="233" t="n">
        <v>46111</v>
      </c>
      <c r="D2925" s="232" t="inlineStr">
        <is>
          <t>8438</t>
        </is>
      </c>
      <c r="E2925" s="232" t="inlineStr">
        <is>
          <t>PRORRATEO</t>
        </is>
      </c>
      <c r="F2925" s="232" t="inlineStr">
        <is>
          <t>Siberia</t>
        </is>
      </c>
      <c r="G2925" s="232" t="inlineStr">
        <is>
          <t>Timpson 7,1</t>
        </is>
      </c>
      <c r="H2925" s="232" t="inlineStr">
        <is>
          <t>Uvas</t>
        </is>
      </c>
      <c r="I2925" s="232" t="inlineStr">
        <is>
          <t>Timpson</t>
        </is>
      </c>
      <c r="J2925" s="232" t="inlineStr">
        <is>
          <t>FLETES</t>
        </is>
      </c>
      <c r="K2925" s="232" t="inlineStr">
        <is>
          <t>FLETE FRUTA</t>
        </is>
      </c>
      <c r="L2925" s="232" t="inlineStr">
        <is>
          <t>[PRORRATEO 4.8% 7.1há/148.3há] O/001546 FLETE</t>
        </is>
      </c>
      <c r="M2925" s="232" t="inlineStr"/>
      <c r="N2925" s="232" t="inlineStr">
        <is>
          <t>.   .   -</t>
        </is>
      </c>
      <c r="O2925" s="232" t="inlineStr">
        <is>
          <t>MARZO</t>
        </is>
      </c>
      <c r="P2925" s="232" t="n">
        <v>13</v>
      </c>
      <c r="Q2925" s="234" t="n">
        <v>7662</v>
      </c>
      <c r="R2925" s="232" t="inlineStr"/>
      <c r="S2925" s="234" t="n">
        <v>7662</v>
      </c>
      <c r="T2925" s="232" t="inlineStr">
        <is>
          <t>CLP</t>
        </is>
      </c>
      <c r="U2925" s="232" t="inlineStr">
        <is>
          <t>Prorrateo Ha PACKING</t>
        </is>
      </c>
      <c r="V2925" s="232" t="inlineStr">
        <is>
          <t>2026-06-18</t>
        </is>
      </c>
    </row>
    <row r="2926">
      <c r="A2926" s="232" t="inlineStr">
        <is>
          <t>CR-2923</t>
        </is>
      </c>
      <c r="B2926" s="232" t="inlineStr">
        <is>
          <t>2026/27</t>
        </is>
      </c>
      <c r="C2926" s="233" t="n">
        <v>46111</v>
      </c>
      <c r="D2926" s="232" t="inlineStr">
        <is>
          <t>173384</t>
        </is>
      </c>
      <c r="E2926" s="232" t="inlineStr">
        <is>
          <t>PRORRATEO</t>
        </is>
      </c>
      <c r="F2926" s="232" t="inlineStr">
        <is>
          <t>Asmara</t>
        </is>
      </c>
      <c r="G2926" s="232" t="inlineStr">
        <is>
          <t>w. murcott 19,8 ha</t>
        </is>
      </c>
      <c r="H2926" s="232" t="inlineStr">
        <is>
          <t>Mandarina</t>
        </is>
      </c>
      <c r="I2926" s="232" t="inlineStr">
        <is>
          <t>W. murcott</t>
        </is>
      </c>
      <c r="J2926" s="232" t="inlineStr">
        <is>
          <t>COMBUSTIBLE</t>
        </is>
      </c>
      <c r="K2926" s="232" t="inlineStr">
        <is>
          <t>SIB. GRUA HORQUILLA ARRIENDO</t>
        </is>
      </c>
      <c r="L2926" s="232" t="inlineStr">
        <is>
          <t>[PRORRATEO 13.4% 19.8há/148.3há] O/001551 GAS ENV. 1</t>
        </is>
      </c>
      <c r="M2926" s="232" t="inlineStr"/>
      <c r="N2926" s="232" t="inlineStr">
        <is>
          <t>.   .   -</t>
        </is>
      </c>
      <c r="O2926" s="232" t="inlineStr">
        <is>
          <t>MARZO</t>
        </is>
      </c>
      <c r="P2926" s="232" t="n">
        <v>13</v>
      </c>
      <c r="Q2926" s="234" t="n">
        <v>8441</v>
      </c>
      <c r="R2926" s="232" t="inlineStr"/>
      <c r="S2926" s="234" t="n">
        <v>8441</v>
      </c>
      <c r="T2926" s="232" t="inlineStr">
        <is>
          <t>CLP</t>
        </is>
      </c>
      <c r="U2926" s="232" t="inlineStr">
        <is>
          <t>Prorrateo Ha PACKING</t>
        </is>
      </c>
      <c r="V2926" s="232" t="inlineStr">
        <is>
          <t>2026-06-18</t>
        </is>
      </c>
    </row>
    <row r="2927">
      <c r="A2927" s="232" t="inlineStr">
        <is>
          <t>CR-2924</t>
        </is>
      </c>
      <c r="B2927" s="232" t="inlineStr">
        <is>
          <t>2026/27</t>
        </is>
      </c>
      <c r="C2927" s="233" t="n">
        <v>46111</v>
      </c>
      <c r="D2927" s="232" t="inlineStr">
        <is>
          <t>173384</t>
        </is>
      </c>
      <c r="E2927" s="232" t="inlineStr">
        <is>
          <t>PRORRATEO</t>
        </is>
      </c>
      <c r="F2927" s="232" t="inlineStr">
        <is>
          <t>Asmara</t>
        </is>
      </c>
      <c r="G2927" s="232" t="inlineStr">
        <is>
          <t>w. murcott 4,9 ha</t>
        </is>
      </c>
      <c r="H2927" s="232" t="inlineStr">
        <is>
          <t>Mandarina</t>
        </is>
      </c>
      <c r="I2927" s="232" t="inlineStr">
        <is>
          <t>W. murcott</t>
        </is>
      </c>
      <c r="J2927" s="232" t="inlineStr">
        <is>
          <t>COMBUSTIBLE</t>
        </is>
      </c>
      <c r="K2927" s="232" t="inlineStr">
        <is>
          <t>SIB. GRUA HORQUILLA ARRIENDO</t>
        </is>
      </c>
      <c r="L2927" s="232" t="inlineStr">
        <is>
          <t>[PRORRATEO 3.3% 4.9há/148.3há] O/001551 GAS ENV. 1</t>
        </is>
      </c>
      <c r="M2927" s="232" t="inlineStr"/>
      <c r="N2927" s="232" t="inlineStr">
        <is>
          <t>.   .   -</t>
        </is>
      </c>
      <c r="O2927" s="232" t="inlineStr">
        <is>
          <t>MARZO</t>
        </is>
      </c>
      <c r="P2927" s="232" t="n">
        <v>13</v>
      </c>
      <c r="Q2927" s="234" t="n">
        <v>2089</v>
      </c>
      <c r="R2927" s="232" t="inlineStr"/>
      <c r="S2927" s="234" t="n">
        <v>2089</v>
      </c>
      <c r="T2927" s="232" t="inlineStr">
        <is>
          <t>CLP</t>
        </is>
      </c>
      <c r="U2927" s="232" t="inlineStr">
        <is>
          <t>Prorrateo Ha PACKING</t>
        </is>
      </c>
      <c r="V2927" s="232" t="inlineStr">
        <is>
          <t>2026-06-18</t>
        </is>
      </c>
    </row>
    <row r="2928">
      <c r="A2928" s="232" t="inlineStr">
        <is>
          <t>CR-2925</t>
        </is>
      </c>
      <c r="B2928" s="232" t="inlineStr">
        <is>
          <t>2026/27</t>
        </is>
      </c>
      <c r="C2928" s="233" t="n">
        <v>46111</v>
      </c>
      <c r="D2928" s="232" t="inlineStr">
        <is>
          <t>173384</t>
        </is>
      </c>
      <c r="E2928" s="232" t="inlineStr">
        <is>
          <t>PRORRATEO</t>
        </is>
      </c>
      <c r="F2928" s="232" t="inlineStr">
        <is>
          <t>El Molle</t>
        </is>
      </c>
      <c r="G2928" s="232" t="inlineStr">
        <is>
          <t>Wonderful 5,25 ha</t>
        </is>
      </c>
      <c r="H2928" s="232" t="inlineStr">
        <is>
          <t>Granados</t>
        </is>
      </c>
      <c r="I2928" s="232" t="inlineStr">
        <is>
          <t>Wonderfull</t>
        </is>
      </c>
      <c r="J2928" s="232" t="inlineStr">
        <is>
          <t>COMBUSTIBLE</t>
        </is>
      </c>
      <c r="K2928" s="232" t="inlineStr">
        <is>
          <t>SIB. GRUA HORQUILLA ARRIENDO</t>
        </is>
      </c>
      <c r="L2928" s="232" t="inlineStr">
        <is>
          <t>[PRORRATEO 3.5% 5.24há/148.3há] O/001551 GAS ENV. 1</t>
        </is>
      </c>
      <c r="M2928" s="232" t="inlineStr"/>
      <c r="N2928" s="232" t="inlineStr">
        <is>
          <t>.   .   -</t>
        </is>
      </c>
      <c r="O2928" s="232" t="inlineStr">
        <is>
          <t>MARZO</t>
        </is>
      </c>
      <c r="P2928" s="232" t="n">
        <v>13</v>
      </c>
      <c r="Q2928" s="234" t="n">
        <v>2234</v>
      </c>
      <c r="R2928" s="232" t="inlineStr"/>
      <c r="S2928" s="234" t="n">
        <v>2234</v>
      </c>
      <c r="T2928" s="232" t="inlineStr">
        <is>
          <t>CLP</t>
        </is>
      </c>
      <c r="U2928" s="232" t="inlineStr">
        <is>
          <t>Prorrateo Ha PACKING</t>
        </is>
      </c>
      <c r="V2928" s="232" t="inlineStr">
        <is>
          <t>2026-06-18</t>
        </is>
      </c>
    </row>
    <row r="2929">
      <c r="A2929" s="232" t="inlineStr">
        <is>
          <t>CR-2926</t>
        </is>
      </c>
      <c r="B2929" s="232" t="inlineStr">
        <is>
          <t>2026/27</t>
        </is>
      </c>
      <c r="C2929" s="233" t="n">
        <v>46111</v>
      </c>
      <c r="D2929" s="232" t="inlineStr">
        <is>
          <t>173384</t>
        </is>
      </c>
      <c r="E2929" s="232" t="inlineStr">
        <is>
          <t>PRORRATEO</t>
        </is>
      </c>
      <c r="F2929" s="232" t="inlineStr">
        <is>
          <t>El Molle</t>
        </is>
      </c>
      <c r="G2929" s="232" t="inlineStr">
        <is>
          <t>arrufatinas 5,74 ha</t>
        </is>
      </c>
      <c r="H2929" s="232" t="inlineStr">
        <is>
          <t>Clementinas</t>
        </is>
      </c>
      <c r="I2929" s="232" t="inlineStr">
        <is>
          <t>Arrufatinas</t>
        </is>
      </c>
      <c r="J2929" s="232" t="inlineStr">
        <is>
          <t>COMBUSTIBLE</t>
        </is>
      </c>
      <c r="K2929" s="232" t="inlineStr">
        <is>
          <t>SIB. GRUA HORQUILLA ARRIENDO</t>
        </is>
      </c>
      <c r="L2929" s="232" t="inlineStr">
        <is>
          <t>[PRORRATEO 3.9% 5.74há/148.3há] O/001551 GAS ENV. 1</t>
        </is>
      </c>
      <c r="M2929" s="232" t="inlineStr"/>
      <c r="N2929" s="232" t="inlineStr">
        <is>
          <t>.   .   -</t>
        </is>
      </c>
      <c r="O2929" s="232" t="inlineStr">
        <is>
          <t>MARZO</t>
        </is>
      </c>
      <c r="P2929" s="232" t="n">
        <v>13</v>
      </c>
      <c r="Q2929" s="234" t="n">
        <v>2447</v>
      </c>
      <c r="R2929" s="232" t="inlineStr"/>
      <c r="S2929" s="234" t="n">
        <v>2447</v>
      </c>
      <c r="T2929" s="232" t="inlineStr">
        <is>
          <t>CLP</t>
        </is>
      </c>
      <c r="U2929" s="232" t="inlineStr">
        <is>
          <t>Prorrateo Ha PACKING</t>
        </is>
      </c>
      <c r="V2929" s="232" t="inlineStr">
        <is>
          <t>2026-06-18</t>
        </is>
      </c>
    </row>
    <row r="2930">
      <c r="A2930" s="232" t="inlineStr">
        <is>
          <t>CR-2927</t>
        </is>
      </c>
      <c r="B2930" s="232" t="inlineStr">
        <is>
          <t>2026/27</t>
        </is>
      </c>
      <c r="C2930" s="233" t="n">
        <v>46111</v>
      </c>
      <c r="D2930" s="232" t="inlineStr">
        <is>
          <t>173384</t>
        </is>
      </c>
      <c r="E2930" s="232" t="inlineStr">
        <is>
          <t>PRORRATEO</t>
        </is>
      </c>
      <c r="F2930" s="232" t="inlineStr">
        <is>
          <t>El Molle</t>
        </is>
      </c>
      <c r="G2930" s="232" t="inlineStr">
        <is>
          <t>orogrande 8,11 ha</t>
        </is>
      </c>
      <c r="H2930" s="232" t="inlineStr">
        <is>
          <t>Clementinas</t>
        </is>
      </c>
      <c r="I2930" s="232" t="inlineStr">
        <is>
          <t>Orogrande</t>
        </is>
      </c>
      <c r="J2930" s="232" t="inlineStr">
        <is>
          <t>COMBUSTIBLE</t>
        </is>
      </c>
      <c r="K2930" s="232" t="inlineStr">
        <is>
          <t>SIB. GRUA HORQUILLA ARRIENDO</t>
        </is>
      </c>
      <c r="L2930" s="232" t="inlineStr">
        <is>
          <t>[PRORRATEO 5.5% 8.11há/148.3há] O/001551 GAS ENV. 1</t>
        </is>
      </c>
      <c r="M2930" s="232" t="inlineStr"/>
      <c r="N2930" s="232" t="inlineStr">
        <is>
          <t>.   .   -</t>
        </is>
      </c>
      <c r="O2930" s="232" t="inlineStr">
        <is>
          <t>MARZO</t>
        </is>
      </c>
      <c r="P2930" s="232" t="n">
        <v>13</v>
      </c>
      <c r="Q2930" s="234" t="n">
        <v>3457</v>
      </c>
      <c r="R2930" s="232" t="inlineStr"/>
      <c r="S2930" s="234" t="n">
        <v>3457</v>
      </c>
      <c r="T2930" s="232" t="inlineStr">
        <is>
          <t>CLP</t>
        </is>
      </c>
      <c r="U2930" s="232" t="inlineStr">
        <is>
          <t>Prorrateo Ha PACKING</t>
        </is>
      </c>
      <c r="V2930" s="232" t="inlineStr">
        <is>
          <t>2026-06-18</t>
        </is>
      </c>
    </row>
    <row r="2931">
      <c r="A2931" s="232" t="inlineStr">
        <is>
          <t>CR-2928</t>
        </is>
      </c>
      <c r="B2931" s="232" t="inlineStr">
        <is>
          <t>2026/27</t>
        </is>
      </c>
      <c r="C2931" s="233" t="n">
        <v>46111</v>
      </c>
      <c r="D2931" s="232" t="inlineStr">
        <is>
          <t>173384</t>
        </is>
      </c>
      <c r="E2931" s="232" t="inlineStr">
        <is>
          <t>PRORRATEO</t>
        </is>
      </c>
      <c r="F2931" s="232" t="inlineStr">
        <is>
          <t>El Molle</t>
        </is>
      </c>
      <c r="G2931" s="232" t="inlineStr">
        <is>
          <t>oronules 5,35 ha</t>
        </is>
      </c>
      <c r="H2931" s="232" t="inlineStr">
        <is>
          <t>Clementinas</t>
        </is>
      </c>
      <c r="I2931" s="232" t="inlineStr">
        <is>
          <t>Oronules</t>
        </is>
      </c>
      <c r="J2931" s="232" t="inlineStr">
        <is>
          <t>COMBUSTIBLE</t>
        </is>
      </c>
      <c r="K2931" s="232" t="inlineStr">
        <is>
          <t>SIB. GRUA HORQUILLA ARRIENDO</t>
        </is>
      </c>
      <c r="L2931" s="232" t="inlineStr">
        <is>
          <t>[PRORRATEO 3.6% 5.35há/148.3há] O/001551 GAS ENV. 1</t>
        </is>
      </c>
      <c r="M2931" s="232" t="inlineStr"/>
      <c r="N2931" s="232" t="inlineStr">
        <is>
          <t>.   .   -</t>
        </is>
      </c>
      <c r="O2931" s="232" t="inlineStr">
        <is>
          <t>MARZO</t>
        </is>
      </c>
      <c r="P2931" s="232" t="n">
        <v>13</v>
      </c>
      <c r="Q2931" s="234" t="n">
        <v>2281</v>
      </c>
      <c r="R2931" s="232" t="inlineStr"/>
      <c r="S2931" s="234" t="n">
        <v>2281</v>
      </c>
      <c r="T2931" s="232" t="inlineStr">
        <is>
          <t>CLP</t>
        </is>
      </c>
      <c r="U2931" s="232" t="inlineStr">
        <is>
          <t>Prorrateo Ha PACKING</t>
        </is>
      </c>
      <c r="V2931" s="232" t="inlineStr">
        <is>
          <t>2026-06-18</t>
        </is>
      </c>
    </row>
    <row r="2932">
      <c r="A2932" s="232" t="inlineStr">
        <is>
          <t>CR-2929</t>
        </is>
      </c>
      <c r="B2932" s="232" t="inlineStr">
        <is>
          <t>2026/27</t>
        </is>
      </c>
      <c r="C2932" s="233" t="n">
        <v>46111</v>
      </c>
      <c r="D2932" s="232" t="inlineStr">
        <is>
          <t>173384</t>
        </is>
      </c>
      <c r="E2932" s="232" t="inlineStr">
        <is>
          <t>PRORRATEO</t>
        </is>
      </c>
      <c r="F2932" s="232" t="inlineStr">
        <is>
          <t>Santa Catalina</t>
        </is>
      </c>
      <c r="G2932" s="232" t="inlineStr">
        <is>
          <t>Fino 49 7,7 ha</t>
        </is>
      </c>
      <c r="H2932" s="232" t="inlineStr">
        <is>
          <t>Limon</t>
        </is>
      </c>
      <c r="I2932" s="232" t="inlineStr">
        <is>
          <t>Fino 49</t>
        </is>
      </c>
      <c r="J2932" s="232" t="inlineStr">
        <is>
          <t>COMBUSTIBLE</t>
        </is>
      </c>
      <c r="K2932" s="232" t="inlineStr">
        <is>
          <t>SIB. GRUA HORQUILLA ARRIENDO</t>
        </is>
      </c>
      <c r="L2932" s="232" t="inlineStr">
        <is>
          <t>[PRORRATEO 5.2% 7.7há/148.3há] O/001551 GAS ENV. 1</t>
        </is>
      </c>
      <c r="M2932" s="232" t="inlineStr"/>
      <c r="N2932" s="232" t="inlineStr">
        <is>
          <t>.   .   -</t>
        </is>
      </c>
      <c r="O2932" s="232" t="inlineStr">
        <is>
          <t>MARZO</t>
        </is>
      </c>
      <c r="P2932" s="232" t="n">
        <v>13</v>
      </c>
      <c r="Q2932" s="234" t="n">
        <v>3283</v>
      </c>
      <c r="R2932" s="232" t="inlineStr"/>
      <c r="S2932" s="234" t="n">
        <v>3283</v>
      </c>
      <c r="T2932" s="232" t="inlineStr">
        <is>
          <t>CLP</t>
        </is>
      </c>
      <c r="U2932" s="232" t="inlineStr">
        <is>
          <t>Prorrateo Ha PACKING</t>
        </is>
      </c>
      <c r="V2932" s="232" t="inlineStr">
        <is>
          <t>2026-06-18</t>
        </is>
      </c>
    </row>
    <row r="2933">
      <c r="A2933" s="232" t="inlineStr">
        <is>
          <t>CR-2930</t>
        </is>
      </c>
      <c r="B2933" s="232" t="inlineStr">
        <is>
          <t>2026/27</t>
        </is>
      </c>
      <c r="C2933" s="233" t="n">
        <v>46111</v>
      </c>
      <c r="D2933" s="232" t="inlineStr">
        <is>
          <t>173384</t>
        </is>
      </c>
      <c r="E2933" s="232" t="inlineStr">
        <is>
          <t>PRORRATEO</t>
        </is>
      </c>
      <c r="F2933" s="232" t="inlineStr">
        <is>
          <t>Santa Catalina</t>
        </is>
      </c>
      <c r="G2933" s="232" t="inlineStr">
        <is>
          <t>W. murcott 21 ha</t>
        </is>
      </c>
      <c r="H2933" s="232" t="inlineStr">
        <is>
          <t>Mandarina</t>
        </is>
      </c>
      <c r="I2933" s="232" t="inlineStr">
        <is>
          <t>W. murcott</t>
        </is>
      </c>
      <c r="J2933" s="232" t="inlineStr">
        <is>
          <t>COMBUSTIBLE</t>
        </is>
      </c>
      <c r="K2933" s="232" t="inlineStr">
        <is>
          <t>SIB. GRUA HORQUILLA ARRIENDO</t>
        </is>
      </c>
      <c r="L2933" s="232" t="inlineStr">
        <is>
          <t>[PRORRATEO 14.2% 21.0há/148.3há] O/001551 GAS ENV. 1</t>
        </is>
      </c>
      <c r="M2933" s="232" t="inlineStr"/>
      <c r="N2933" s="232" t="inlineStr">
        <is>
          <t>.   .   -</t>
        </is>
      </c>
      <c r="O2933" s="232" t="inlineStr">
        <is>
          <t>MARZO</t>
        </is>
      </c>
      <c r="P2933" s="232" t="n">
        <v>13</v>
      </c>
      <c r="Q2933" s="234" t="n">
        <v>8953</v>
      </c>
      <c r="R2933" s="232" t="inlineStr"/>
      <c r="S2933" s="234" t="n">
        <v>8953</v>
      </c>
      <c r="T2933" s="232" t="inlineStr">
        <is>
          <t>CLP</t>
        </is>
      </c>
      <c r="U2933" s="232" t="inlineStr">
        <is>
          <t>Prorrateo Ha PACKING</t>
        </is>
      </c>
      <c r="V2933" s="232" t="inlineStr">
        <is>
          <t>2026-06-18</t>
        </is>
      </c>
    </row>
    <row r="2934">
      <c r="A2934" s="232" t="inlineStr">
        <is>
          <t>CR-2931</t>
        </is>
      </c>
      <c r="B2934" s="232" t="inlineStr">
        <is>
          <t>2026/27</t>
        </is>
      </c>
      <c r="C2934" s="233" t="n">
        <v>46111</v>
      </c>
      <c r="D2934" s="232" t="inlineStr">
        <is>
          <t>173384</t>
        </is>
      </c>
      <c r="E2934" s="232" t="inlineStr">
        <is>
          <t>PRORRATEO</t>
        </is>
      </c>
      <c r="F2934" s="232" t="inlineStr">
        <is>
          <t>Santa Catalina</t>
        </is>
      </c>
      <c r="G2934" s="232" t="inlineStr">
        <is>
          <t>cambria 4,2 ha</t>
        </is>
      </c>
      <c r="H2934" s="232" t="inlineStr">
        <is>
          <t>Naranjas</t>
        </is>
      </c>
      <c r="I2934" s="232" t="inlineStr">
        <is>
          <t>Cambria</t>
        </is>
      </c>
      <c r="J2934" s="232" t="inlineStr">
        <is>
          <t>COMBUSTIBLE</t>
        </is>
      </c>
      <c r="K2934" s="232" t="inlineStr">
        <is>
          <t>SIB. GRUA HORQUILLA ARRIENDO</t>
        </is>
      </c>
      <c r="L2934" s="232" t="inlineStr">
        <is>
          <t>[PRORRATEO 2.8% 4.2há/148.3há] O/001551 GAS ENV. 1</t>
        </is>
      </c>
      <c r="M2934" s="232" t="inlineStr"/>
      <c r="N2934" s="232" t="inlineStr">
        <is>
          <t>.   .   -</t>
        </is>
      </c>
      <c r="O2934" s="232" t="inlineStr">
        <is>
          <t>MARZO</t>
        </is>
      </c>
      <c r="P2934" s="232" t="n">
        <v>13</v>
      </c>
      <c r="Q2934" s="234" t="n">
        <v>1791</v>
      </c>
      <c r="R2934" s="232" t="inlineStr"/>
      <c r="S2934" s="234" t="n">
        <v>1791</v>
      </c>
      <c r="T2934" s="232" t="inlineStr">
        <is>
          <t>CLP</t>
        </is>
      </c>
      <c r="U2934" s="232" t="inlineStr">
        <is>
          <t>Prorrateo Ha PACKING</t>
        </is>
      </c>
      <c r="V2934" s="232" t="inlineStr">
        <is>
          <t>2026-06-18</t>
        </is>
      </c>
    </row>
    <row r="2935">
      <c r="A2935" s="232" t="inlineStr">
        <is>
          <t>CR-2932</t>
        </is>
      </c>
      <c r="B2935" s="232" t="inlineStr">
        <is>
          <t>2026/27</t>
        </is>
      </c>
      <c r="C2935" s="233" t="n">
        <v>46111</v>
      </c>
      <c r="D2935" s="232" t="inlineStr">
        <is>
          <t>173384</t>
        </is>
      </c>
      <c r="E2935" s="232" t="inlineStr">
        <is>
          <t>PRORRATEO</t>
        </is>
      </c>
      <c r="F2935" s="232" t="inlineStr">
        <is>
          <t>Santa Catalina</t>
        </is>
      </c>
      <c r="G2935" s="232" t="inlineStr">
        <is>
          <t>eureka 10,6 ha</t>
        </is>
      </c>
      <c r="H2935" s="232" t="inlineStr">
        <is>
          <t>Limon</t>
        </is>
      </c>
      <c r="I2935" s="232" t="inlineStr">
        <is>
          <t>Eureka</t>
        </is>
      </c>
      <c r="J2935" s="232" t="inlineStr">
        <is>
          <t>COMBUSTIBLE</t>
        </is>
      </c>
      <c r="K2935" s="232" t="inlineStr">
        <is>
          <t>SIB. GRUA HORQUILLA ARRIENDO</t>
        </is>
      </c>
      <c r="L2935" s="232" t="inlineStr">
        <is>
          <t>[PRORRATEO 7.1% 10.6há/148.3há] O/001551 GAS ENV. 1</t>
        </is>
      </c>
      <c r="M2935" s="232" t="inlineStr"/>
      <c r="N2935" s="232" t="inlineStr">
        <is>
          <t>.   .   -</t>
        </is>
      </c>
      <c r="O2935" s="232" t="inlineStr">
        <is>
          <t>MARZO</t>
        </is>
      </c>
      <c r="P2935" s="232" t="n">
        <v>13</v>
      </c>
      <c r="Q2935" s="234" t="n">
        <v>4519</v>
      </c>
      <c r="R2935" s="232" t="inlineStr"/>
      <c r="S2935" s="234" t="n">
        <v>4519</v>
      </c>
      <c r="T2935" s="232" t="inlineStr">
        <is>
          <t>CLP</t>
        </is>
      </c>
      <c r="U2935" s="232" t="inlineStr">
        <is>
          <t>Prorrateo Ha PACKING</t>
        </is>
      </c>
      <c r="V2935" s="232" t="inlineStr">
        <is>
          <t>2026-06-18</t>
        </is>
      </c>
    </row>
    <row r="2936">
      <c r="A2936" s="232" t="inlineStr">
        <is>
          <t>CR-2933</t>
        </is>
      </c>
      <c r="B2936" s="232" t="inlineStr">
        <is>
          <t>2026/27</t>
        </is>
      </c>
      <c r="C2936" s="233" t="n">
        <v>46111</v>
      </c>
      <c r="D2936" s="232" t="inlineStr">
        <is>
          <t>173384</t>
        </is>
      </c>
      <c r="E2936" s="232" t="inlineStr">
        <is>
          <t>PRORRATEO</t>
        </is>
      </c>
      <c r="F2936" s="232" t="inlineStr">
        <is>
          <t>Santa Catalina</t>
        </is>
      </c>
      <c r="G2936" s="232" t="inlineStr">
        <is>
          <t>eureka 14,4 ha</t>
        </is>
      </c>
      <c r="H2936" s="232" t="inlineStr">
        <is>
          <t>Limon</t>
        </is>
      </c>
      <c r="I2936" s="232" t="inlineStr">
        <is>
          <t>Eureka</t>
        </is>
      </c>
      <c r="J2936" s="232" t="inlineStr">
        <is>
          <t>COMBUSTIBLE</t>
        </is>
      </c>
      <c r="K2936" s="232" t="inlineStr">
        <is>
          <t>SIB. GRUA HORQUILLA ARRIENDO</t>
        </is>
      </c>
      <c r="L2936" s="232" t="inlineStr">
        <is>
          <t>[PRORRATEO 9.7% 14.4há/148.3há] O/001551 GAS ENV. 1</t>
        </is>
      </c>
      <c r="M2936" s="232" t="inlineStr"/>
      <c r="N2936" s="232" t="inlineStr">
        <is>
          <t>.   .   -</t>
        </is>
      </c>
      <c r="O2936" s="232" t="inlineStr">
        <is>
          <t>MARZO</t>
        </is>
      </c>
      <c r="P2936" s="232" t="n">
        <v>13</v>
      </c>
      <c r="Q2936" s="234" t="n">
        <v>6139</v>
      </c>
      <c r="R2936" s="232" t="inlineStr"/>
      <c r="S2936" s="234" t="n">
        <v>6139</v>
      </c>
      <c r="T2936" s="232" t="inlineStr">
        <is>
          <t>CLP</t>
        </is>
      </c>
      <c r="U2936" s="232" t="inlineStr">
        <is>
          <t>Prorrateo Ha PACKING</t>
        </is>
      </c>
      <c r="V2936" s="232" t="inlineStr">
        <is>
          <t>2026-06-18</t>
        </is>
      </c>
    </row>
    <row r="2937">
      <c r="A2937" s="232" t="inlineStr">
        <is>
          <t>CR-2934</t>
        </is>
      </c>
      <c r="B2937" s="232" t="inlineStr">
        <is>
          <t>2026/27</t>
        </is>
      </c>
      <c r="C2937" s="233" t="n">
        <v>46111</v>
      </c>
      <c r="D2937" s="232" t="inlineStr">
        <is>
          <t>173384</t>
        </is>
      </c>
      <c r="E2937" s="232" t="inlineStr">
        <is>
          <t>PRORRATEO</t>
        </is>
      </c>
      <c r="F2937" s="232" t="inlineStr">
        <is>
          <t>Santa Catalina</t>
        </is>
      </c>
      <c r="G2937" s="232" t="inlineStr">
        <is>
          <t>eureka 22,55</t>
        </is>
      </c>
      <c r="H2937" s="232" t="inlineStr">
        <is>
          <t>Limon</t>
        </is>
      </c>
      <c r="I2937" s="232" t="inlineStr">
        <is>
          <t>Eureka</t>
        </is>
      </c>
      <c r="J2937" s="232" t="inlineStr">
        <is>
          <t>COMBUSTIBLE</t>
        </is>
      </c>
      <c r="K2937" s="232" t="inlineStr">
        <is>
          <t>SIB. GRUA HORQUILLA ARRIENDO</t>
        </is>
      </c>
      <c r="L2937" s="232" t="inlineStr">
        <is>
          <t>[PRORRATEO 15.2% 22.55há/148.3há] O/001551 GAS ENV. 1</t>
        </is>
      </c>
      <c r="M2937" s="232" t="inlineStr"/>
      <c r="N2937" s="232" t="inlineStr">
        <is>
          <t>.   .   -</t>
        </is>
      </c>
      <c r="O2937" s="232" t="inlineStr">
        <is>
          <t>MARZO</t>
        </is>
      </c>
      <c r="P2937" s="232" t="n">
        <v>13</v>
      </c>
      <c r="Q2937" s="234" t="n">
        <v>9614</v>
      </c>
      <c r="R2937" s="232" t="inlineStr"/>
      <c r="S2937" s="234" t="n">
        <v>9614</v>
      </c>
      <c r="T2937" s="232" t="inlineStr">
        <is>
          <t>CLP</t>
        </is>
      </c>
      <c r="U2937" s="232" t="inlineStr">
        <is>
          <t>Prorrateo Ha PACKING</t>
        </is>
      </c>
      <c r="V2937" s="232" t="inlineStr">
        <is>
          <t>2026-06-18</t>
        </is>
      </c>
    </row>
    <row r="2938">
      <c r="A2938" s="232" t="inlineStr">
        <is>
          <t>CR-2935</t>
        </is>
      </c>
      <c r="B2938" s="232" t="inlineStr">
        <is>
          <t>2026/27</t>
        </is>
      </c>
      <c r="C2938" s="233" t="n">
        <v>46111</v>
      </c>
      <c r="D2938" s="232" t="inlineStr">
        <is>
          <t>173384</t>
        </is>
      </c>
      <c r="E2938" s="232" t="inlineStr">
        <is>
          <t>PRORRATEO</t>
        </is>
      </c>
      <c r="F2938" s="232" t="inlineStr">
        <is>
          <t>Santa Catalina</t>
        </is>
      </c>
      <c r="G2938" s="232" t="inlineStr">
        <is>
          <t>form benjamin 1,93 ha</t>
        </is>
      </c>
      <c r="H2938" s="232" t="inlineStr">
        <is>
          <t>Limon</t>
        </is>
      </c>
      <c r="I2938" s="232" t="inlineStr">
        <is>
          <t>Benjamin andes</t>
        </is>
      </c>
      <c r="J2938" s="232" t="inlineStr">
        <is>
          <t>COMBUSTIBLE</t>
        </is>
      </c>
      <c r="K2938" s="232" t="inlineStr">
        <is>
          <t>SIB. GRUA HORQUILLA ARRIENDO</t>
        </is>
      </c>
      <c r="L2938" s="232" t="inlineStr">
        <is>
          <t>[PRORRATEO 1.3% 1.93há/148.3há] O/001551 GAS ENV. 1</t>
        </is>
      </c>
      <c r="M2938" s="232" t="inlineStr"/>
      <c r="N2938" s="232" t="inlineStr">
        <is>
          <t>.   .   -</t>
        </is>
      </c>
      <c r="O2938" s="232" t="inlineStr">
        <is>
          <t>MARZO</t>
        </is>
      </c>
      <c r="P2938" s="232" t="n">
        <v>13</v>
      </c>
      <c r="Q2938" s="234" t="n">
        <v>823</v>
      </c>
      <c r="R2938" s="232" t="inlineStr"/>
      <c r="S2938" s="234" t="n">
        <v>823</v>
      </c>
      <c r="T2938" s="232" t="inlineStr">
        <is>
          <t>CLP</t>
        </is>
      </c>
      <c r="U2938" s="232" t="inlineStr">
        <is>
          <t>Prorrateo Ha PACKING</t>
        </is>
      </c>
      <c r="V2938" s="232" t="inlineStr">
        <is>
          <t>2026-06-18</t>
        </is>
      </c>
    </row>
    <row r="2939">
      <c r="A2939" s="232" t="inlineStr">
        <is>
          <t>CR-2936</t>
        </is>
      </c>
      <c r="B2939" s="232" t="inlineStr">
        <is>
          <t>2026/27</t>
        </is>
      </c>
      <c r="C2939" s="233" t="n">
        <v>46111</v>
      </c>
      <c r="D2939" s="232" t="inlineStr">
        <is>
          <t>173384</t>
        </is>
      </c>
      <c r="E2939" s="232" t="inlineStr">
        <is>
          <t>PRORRATEO</t>
        </is>
      </c>
      <c r="F2939" s="232" t="inlineStr">
        <is>
          <t>Santa Catalina</t>
        </is>
      </c>
      <c r="G2939" s="232" t="inlineStr">
        <is>
          <t>mant eureka 2,5 ha</t>
        </is>
      </c>
      <c r="H2939" s="232" t="inlineStr">
        <is>
          <t>Limon</t>
        </is>
      </c>
      <c r="I2939" s="232" t="inlineStr">
        <is>
          <t>Eureka</t>
        </is>
      </c>
      <c r="J2939" s="232" t="inlineStr">
        <is>
          <t>COMBUSTIBLE</t>
        </is>
      </c>
      <c r="K2939" s="232" t="inlineStr">
        <is>
          <t>SIB. GRUA HORQUILLA ARRIENDO</t>
        </is>
      </c>
      <c r="L2939" s="232" t="inlineStr">
        <is>
          <t>[PRORRATEO 1.7% 2.5há/148.3há] O/001551 GAS ENV. 1</t>
        </is>
      </c>
      <c r="M2939" s="232" t="inlineStr"/>
      <c r="N2939" s="232" t="inlineStr">
        <is>
          <t>.   .   -</t>
        </is>
      </c>
      <c r="O2939" s="232" t="inlineStr">
        <is>
          <t>MARZO</t>
        </is>
      </c>
      <c r="P2939" s="232" t="n">
        <v>13</v>
      </c>
      <c r="Q2939" s="234" t="n">
        <v>1066</v>
      </c>
      <c r="R2939" s="232" t="inlineStr"/>
      <c r="S2939" s="234" t="n">
        <v>1066</v>
      </c>
      <c r="T2939" s="232" t="inlineStr">
        <is>
          <t>CLP</t>
        </is>
      </c>
      <c r="U2939" s="232" t="inlineStr">
        <is>
          <t>Prorrateo Ha PACKING</t>
        </is>
      </c>
      <c r="V2939" s="232" t="inlineStr">
        <is>
          <t>2026-06-18</t>
        </is>
      </c>
    </row>
    <row r="2940">
      <c r="A2940" s="232" t="inlineStr">
        <is>
          <t>CR-2937</t>
        </is>
      </c>
      <c r="B2940" s="232" t="inlineStr">
        <is>
          <t>2026/27</t>
        </is>
      </c>
      <c r="C2940" s="233" t="n">
        <v>46111</v>
      </c>
      <c r="D2940" s="232" t="inlineStr">
        <is>
          <t>173384</t>
        </is>
      </c>
      <c r="E2940" s="232" t="inlineStr">
        <is>
          <t>PRORRATEO</t>
        </is>
      </c>
      <c r="F2940" s="232" t="inlineStr">
        <is>
          <t>Siberia</t>
        </is>
      </c>
      <c r="G2940" s="232" t="inlineStr">
        <is>
          <t>S. Celebration 7,14</t>
        </is>
      </c>
      <c r="H2940" s="232" t="inlineStr">
        <is>
          <t>Uvas</t>
        </is>
      </c>
      <c r="I2940" s="232" t="inlineStr">
        <is>
          <t>S. celebration</t>
        </is>
      </c>
      <c r="J2940" s="232" t="inlineStr">
        <is>
          <t>COMBUSTIBLE</t>
        </is>
      </c>
      <c r="K2940" s="232" t="inlineStr">
        <is>
          <t>SIB. GRUA HORQUILLA ARRIENDO</t>
        </is>
      </c>
      <c r="L2940" s="232" t="inlineStr">
        <is>
          <t>[PRORRATEO 4.8% 7.14há/148.3há] O/001551 GAS ENV. 1</t>
        </is>
      </c>
      <c r="M2940" s="232" t="inlineStr"/>
      <c r="N2940" s="232" t="inlineStr">
        <is>
          <t>.   .   -</t>
        </is>
      </c>
      <c r="O2940" s="232" t="inlineStr">
        <is>
          <t>MARZO</t>
        </is>
      </c>
      <c r="P2940" s="232" t="n">
        <v>13</v>
      </c>
      <c r="Q2940" s="234" t="n">
        <v>3044</v>
      </c>
      <c r="R2940" s="232" t="inlineStr"/>
      <c r="S2940" s="234" t="n">
        <v>3044</v>
      </c>
      <c r="T2940" s="232" t="inlineStr">
        <is>
          <t>CLP</t>
        </is>
      </c>
      <c r="U2940" s="232" t="inlineStr">
        <is>
          <t>Prorrateo Ha PACKING</t>
        </is>
      </c>
      <c r="V2940" s="232" t="inlineStr">
        <is>
          <t>2026-06-18</t>
        </is>
      </c>
    </row>
    <row r="2941">
      <c r="A2941" s="232" t="inlineStr">
        <is>
          <t>CR-2938</t>
        </is>
      </c>
      <c r="B2941" s="232" t="inlineStr">
        <is>
          <t>2026/27</t>
        </is>
      </c>
      <c r="C2941" s="233" t="n">
        <v>46111</v>
      </c>
      <c r="D2941" s="232" t="inlineStr">
        <is>
          <t>173384</t>
        </is>
      </c>
      <c r="E2941" s="232" t="inlineStr">
        <is>
          <t>PRORRATEO</t>
        </is>
      </c>
      <c r="F2941" s="232" t="inlineStr">
        <is>
          <t>Siberia</t>
        </is>
      </c>
      <c r="G2941" s="232" t="inlineStr">
        <is>
          <t>Timpson 7,1</t>
        </is>
      </c>
      <c r="H2941" s="232" t="inlineStr">
        <is>
          <t>Uvas</t>
        </is>
      </c>
      <c r="I2941" s="232" t="inlineStr">
        <is>
          <t>Timpson</t>
        </is>
      </c>
      <c r="J2941" s="232" t="inlineStr">
        <is>
          <t>COMBUSTIBLE</t>
        </is>
      </c>
      <c r="K2941" s="232" t="inlineStr">
        <is>
          <t>SIB. GRUA HORQUILLA ARRIENDO</t>
        </is>
      </c>
      <c r="L2941" s="232" t="inlineStr">
        <is>
          <t>[PRORRATEO 4.8% 7.1há/148.3há] O/001551 GAS ENV. 1</t>
        </is>
      </c>
      <c r="M2941" s="232" t="inlineStr"/>
      <c r="N2941" s="232" t="inlineStr">
        <is>
          <t>.   .   -</t>
        </is>
      </c>
      <c r="O2941" s="232" t="inlineStr">
        <is>
          <t>MARZO</t>
        </is>
      </c>
      <c r="P2941" s="232" t="n">
        <v>13</v>
      </c>
      <c r="Q2941" s="234" t="n">
        <v>3027</v>
      </c>
      <c r="R2941" s="232" t="inlineStr"/>
      <c r="S2941" s="234" t="n">
        <v>3027</v>
      </c>
      <c r="T2941" s="232" t="inlineStr">
        <is>
          <t>CLP</t>
        </is>
      </c>
      <c r="U2941" s="232" t="inlineStr">
        <is>
          <t>Prorrateo Ha PACKING</t>
        </is>
      </c>
      <c r="V2941" s="232" t="inlineStr">
        <is>
          <t>2026-06-18</t>
        </is>
      </c>
    </row>
    <row r="2942">
      <c r="A2942" s="232" t="inlineStr">
        <is>
          <t>CR-2939</t>
        </is>
      </c>
      <c r="B2942" s="232" t="inlineStr">
        <is>
          <t>2026/27</t>
        </is>
      </c>
      <c r="C2942" s="233" t="n">
        <v>46111</v>
      </c>
      <c r="D2942" s="232" t="inlineStr">
        <is>
          <t>190145</t>
        </is>
      </c>
      <c r="E2942" s="232" t="inlineStr">
        <is>
          <t>PRORRATEO</t>
        </is>
      </c>
      <c r="F2942" s="232" t="inlineStr">
        <is>
          <t>Asmara</t>
        </is>
      </c>
      <c r="G2942" s="232" t="inlineStr">
        <is>
          <t>w. murcott 19,8 ha</t>
        </is>
      </c>
      <c r="H2942" s="232" t="inlineStr">
        <is>
          <t>Mandarina</t>
        </is>
      </c>
      <c r="I2942" s="232" t="inlineStr">
        <is>
          <t>W. murcott</t>
        </is>
      </c>
      <c r="J2942" s="232" t="inlineStr">
        <is>
          <t>COMBUSTIBLE</t>
        </is>
      </c>
      <c r="K2942" s="232" t="inlineStr">
        <is>
          <t>SIB. GRUA HORQUILLA ARRIENDO</t>
        </is>
      </c>
      <c r="L2942" s="232" t="inlineStr">
        <is>
          <t>[PRORRATEO 13.4% 19.8há/148.3há] O/001552 GAS ENV. 1</t>
        </is>
      </c>
      <c r="M2942" s="232" t="inlineStr"/>
      <c r="N2942" s="232" t="inlineStr">
        <is>
          <t>.   .   -</t>
        </is>
      </c>
      <c r="O2942" s="232" t="inlineStr">
        <is>
          <t>MARZO</t>
        </is>
      </c>
      <c r="P2942" s="232" t="n">
        <v>13</v>
      </c>
      <c r="Q2942" s="234" t="n">
        <v>8441</v>
      </c>
      <c r="R2942" s="232" t="inlineStr"/>
      <c r="S2942" s="234" t="n">
        <v>8441</v>
      </c>
      <c r="T2942" s="232" t="inlineStr">
        <is>
          <t>CLP</t>
        </is>
      </c>
      <c r="U2942" s="232" t="inlineStr">
        <is>
          <t>Prorrateo Ha PACKING</t>
        </is>
      </c>
      <c r="V2942" s="232" t="inlineStr">
        <is>
          <t>2026-06-18</t>
        </is>
      </c>
    </row>
    <row r="2943">
      <c r="A2943" s="232" t="inlineStr">
        <is>
          <t>CR-2940</t>
        </is>
      </c>
      <c r="B2943" s="232" t="inlineStr">
        <is>
          <t>2026/27</t>
        </is>
      </c>
      <c r="C2943" s="233" t="n">
        <v>46111</v>
      </c>
      <c r="D2943" s="232" t="inlineStr">
        <is>
          <t>190145</t>
        </is>
      </c>
      <c r="E2943" s="232" t="inlineStr">
        <is>
          <t>PRORRATEO</t>
        </is>
      </c>
      <c r="F2943" s="232" t="inlineStr">
        <is>
          <t>Asmara</t>
        </is>
      </c>
      <c r="G2943" s="232" t="inlineStr">
        <is>
          <t>w. murcott 4,9 ha</t>
        </is>
      </c>
      <c r="H2943" s="232" t="inlineStr">
        <is>
          <t>Mandarina</t>
        </is>
      </c>
      <c r="I2943" s="232" t="inlineStr">
        <is>
          <t>W. murcott</t>
        </is>
      </c>
      <c r="J2943" s="232" t="inlineStr">
        <is>
          <t>COMBUSTIBLE</t>
        </is>
      </c>
      <c r="K2943" s="232" t="inlineStr">
        <is>
          <t>SIB. GRUA HORQUILLA ARRIENDO</t>
        </is>
      </c>
      <c r="L2943" s="232" t="inlineStr">
        <is>
          <t>[PRORRATEO 3.3% 4.9há/148.3há] O/001552 GAS ENV. 1</t>
        </is>
      </c>
      <c r="M2943" s="232" t="inlineStr"/>
      <c r="N2943" s="232" t="inlineStr">
        <is>
          <t>.   .   -</t>
        </is>
      </c>
      <c r="O2943" s="232" t="inlineStr">
        <is>
          <t>MARZO</t>
        </is>
      </c>
      <c r="P2943" s="232" t="n">
        <v>13</v>
      </c>
      <c r="Q2943" s="234" t="n">
        <v>2089</v>
      </c>
      <c r="R2943" s="232" t="inlineStr"/>
      <c r="S2943" s="234" t="n">
        <v>2089</v>
      </c>
      <c r="T2943" s="232" t="inlineStr">
        <is>
          <t>CLP</t>
        </is>
      </c>
      <c r="U2943" s="232" t="inlineStr">
        <is>
          <t>Prorrateo Ha PACKING</t>
        </is>
      </c>
      <c r="V2943" s="232" t="inlineStr">
        <is>
          <t>2026-06-18</t>
        </is>
      </c>
    </row>
    <row r="2944">
      <c r="A2944" s="232" t="inlineStr">
        <is>
          <t>CR-2941</t>
        </is>
      </c>
      <c r="B2944" s="232" t="inlineStr">
        <is>
          <t>2026/27</t>
        </is>
      </c>
      <c r="C2944" s="233" t="n">
        <v>46111</v>
      </c>
      <c r="D2944" s="232" t="inlineStr">
        <is>
          <t>190145</t>
        </is>
      </c>
      <c r="E2944" s="232" t="inlineStr">
        <is>
          <t>PRORRATEO</t>
        </is>
      </c>
      <c r="F2944" s="232" t="inlineStr">
        <is>
          <t>El Molle</t>
        </is>
      </c>
      <c r="G2944" s="232" t="inlineStr">
        <is>
          <t>Wonderful 5,25 ha</t>
        </is>
      </c>
      <c r="H2944" s="232" t="inlineStr">
        <is>
          <t>Granados</t>
        </is>
      </c>
      <c r="I2944" s="232" t="inlineStr">
        <is>
          <t>Wonderfull</t>
        </is>
      </c>
      <c r="J2944" s="232" t="inlineStr">
        <is>
          <t>COMBUSTIBLE</t>
        </is>
      </c>
      <c r="K2944" s="232" t="inlineStr">
        <is>
          <t>SIB. GRUA HORQUILLA ARRIENDO</t>
        </is>
      </c>
      <c r="L2944" s="232" t="inlineStr">
        <is>
          <t>[PRORRATEO 3.5% 5.24há/148.3há] O/001552 GAS ENV. 1</t>
        </is>
      </c>
      <c r="M2944" s="232" t="inlineStr"/>
      <c r="N2944" s="232" t="inlineStr">
        <is>
          <t>.   .   -</t>
        </is>
      </c>
      <c r="O2944" s="232" t="inlineStr">
        <is>
          <t>MARZO</t>
        </is>
      </c>
      <c r="P2944" s="232" t="n">
        <v>13</v>
      </c>
      <c r="Q2944" s="234" t="n">
        <v>2234</v>
      </c>
      <c r="R2944" s="232" t="inlineStr"/>
      <c r="S2944" s="234" t="n">
        <v>2234</v>
      </c>
      <c r="T2944" s="232" t="inlineStr">
        <is>
          <t>CLP</t>
        </is>
      </c>
      <c r="U2944" s="232" t="inlineStr">
        <is>
          <t>Prorrateo Ha PACKING</t>
        </is>
      </c>
      <c r="V2944" s="232" t="inlineStr">
        <is>
          <t>2026-06-18</t>
        </is>
      </c>
    </row>
    <row r="2945">
      <c r="A2945" s="232" t="inlineStr">
        <is>
          <t>CR-2942</t>
        </is>
      </c>
      <c r="B2945" s="232" t="inlineStr">
        <is>
          <t>2026/27</t>
        </is>
      </c>
      <c r="C2945" s="233" t="n">
        <v>46111</v>
      </c>
      <c r="D2945" s="232" t="inlineStr">
        <is>
          <t>190145</t>
        </is>
      </c>
      <c r="E2945" s="232" t="inlineStr">
        <is>
          <t>PRORRATEO</t>
        </is>
      </c>
      <c r="F2945" s="232" t="inlineStr">
        <is>
          <t>El Molle</t>
        </is>
      </c>
      <c r="G2945" s="232" t="inlineStr">
        <is>
          <t>arrufatinas 5,74 ha</t>
        </is>
      </c>
      <c r="H2945" s="232" t="inlineStr">
        <is>
          <t>Clementinas</t>
        </is>
      </c>
      <c r="I2945" s="232" t="inlineStr">
        <is>
          <t>Arrufatinas</t>
        </is>
      </c>
      <c r="J2945" s="232" t="inlineStr">
        <is>
          <t>COMBUSTIBLE</t>
        </is>
      </c>
      <c r="K2945" s="232" t="inlineStr">
        <is>
          <t>SIB. GRUA HORQUILLA ARRIENDO</t>
        </is>
      </c>
      <c r="L2945" s="232" t="inlineStr">
        <is>
          <t>[PRORRATEO 3.9% 5.74há/148.3há] O/001552 GAS ENV. 1</t>
        </is>
      </c>
      <c r="M2945" s="232" t="inlineStr"/>
      <c r="N2945" s="232" t="inlineStr">
        <is>
          <t>.   .   -</t>
        </is>
      </c>
      <c r="O2945" s="232" t="inlineStr">
        <is>
          <t>MARZO</t>
        </is>
      </c>
      <c r="P2945" s="232" t="n">
        <v>13</v>
      </c>
      <c r="Q2945" s="234" t="n">
        <v>2447</v>
      </c>
      <c r="R2945" s="232" t="inlineStr"/>
      <c r="S2945" s="234" t="n">
        <v>2447</v>
      </c>
      <c r="T2945" s="232" t="inlineStr">
        <is>
          <t>CLP</t>
        </is>
      </c>
      <c r="U2945" s="232" t="inlineStr">
        <is>
          <t>Prorrateo Ha PACKING</t>
        </is>
      </c>
      <c r="V2945" s="232" t="inlineStr">
        <is>
          <t>2026-06-18</t>
        </is>
      </c>
    </row>
    <row r="2946">
      <c r="A2946" s="232" t="inlineStr">
        <is>
          <t>CR-2943</t>
        </is>
      </c>
      <c r="B2946" s="232" t="inlineStr">
        <is>
          <t>2026/27</t>
        </is>
      </c>
      <c r="C2946" s="233" t="n">
        <v>46111</v>
      </c>
      <c r="D2946" s="232" t="inlineStr">
        <is>
          <t>190145</t>
        </is>
      </c>
      <c r="E2946" s="232" t="inlineStr">
        <is>
          <t>PRORRATEO</t>
        </is>
      </c>
      <c r="F2946" s="232" t="inlineStr">
        <is>
          <t>El Molle</t>
        </is>
      </c>
      <c r="G2946" s="232" t="inlineStr">
        <is>
          <t>orogrande 8,11 ha</t>
        </is>
      </c>
      <c r="H2946" s="232" t="inlineStr">
        <is>
          <t>Clementinas</t>
        </is>
      </c>
      <c r="I2946" s="232" t="inlineStr">
        <is>
          <t>Orogrande</t>
        </is>
      </c>
      <c r="J2946" s="232" t="inlineStr">
        <is>
          <t>COMBUSTIBLE</t>
        </is>
      </c>
      <c r="K2946" s="232" t="inlineStr">
        <is>
          <t>SIB. GRUA HORQUILLA ARRIENDO</t>
        </is>
      </c>
      <c r="L2946" s="232" t="inlineStr">
        <is>
          <t>[PRORRATEO 5.5% 8.11há/148.3há] O/001552 GAS ENV. 1</t>
        </is>
      </c>
      <c r="M2946" s="232" t="inlineStr"/>
      <c r="N2946" s="232" t="inlineStr">
        <is>
          <t>.   .   -</t>
        </is>
      </c>
      <c r="O2946" s="232" t="inlineStr">
        <is>
          <t>MARZO</t>
        </is>
      </c>
      <c r="P2946" s="232" t="n">
        <v>13</v>
      </c>
      <c r="Q2946" s="234" t="n">
        <v>3457</v>
      </c>
      <c r="R2946" s="232" t="inlineStr"/>
      <c r="S2946" s="234" t="n">
        <v>3457</v>
      </c>
      <c r="T2946" s="232" t="inlineStr">
        <is>
          <t>CLP</t>
        </is>
      </c>
      <c r="U2946" s="232" t="inlineStr">
        <is>
          <t>Prorrateo Ha PACKING</t>
        </is>
      </c>
      <c r="V2946" s="232" t="inlineStr">
        <is>
          <t>2026-06-18</t>
        </is>
      </c>
    </row>
    <row r="2947">
      <c r="A2947" s="232" t="inlineStr">
        <is>
          <t>CR-2944</t>
        </is>
      </c>
      <c r="B2947" s="232" t="inlineStr">
        <is>
          <t>2026/27</t>
        </is>
      </c>
      <c r="C2947" s="233" t="n">
        <v>46111</v>
      </c>
      <c r="D2947" s="232" t="inlineStr">
        <is>
          <t>190145</t>
        </is>
      </c>
      <c r="E2947" s="232" t="inlineStr">
        <is>
          <t>PRORRATEO</t>
        </is>
      </c>
      <c r="F2947" s="232" t="inlineStr">
        <is>
          <t>El Molle</t>
        </is>
      </c>
      <c r="G2947" s="232" t="inlineStr">
        <is>
          <t>oronules 5,35 ha</t>
        </is>
      </c>
      <c r="H2947" s="232" t="inlineStr">
        <is>
          <t>Clementinas</t>
        </is>
      </c>
      <c r="I2947" s="232" t="inlineStr">
        <is>
          <t>Oronules</t>
        </is>
      </c>
      <c r="J2947" s="232" t="inlineStr">
        <is>
          <t>COMBUSTIBLE</t>
        </is>
      </c>
      <c r="K2947" s="232" t="inlineStr">
        <is>
          <t>SIB. GRUA HORQUILLA ARRIENDO</t>
        </is>
      </c>
      <c r="L2947" s="232" t="inlineStr">
        <is>
          <t>[PRORRATEO 3.6% 5.35há/148.3há] O/001552 GAS ENV. 1</t>
        </is>
      </c>
      <c r="M2947" s="232" t="inlineStr"/>
      <c r="N2947" s="232" t="inlineStr">
        <is>
          <t>.   .   -</t>
        </is>
      </c>
      <c r="O2947" s="232" t="inlineStr">
        <is>
          <t>MARZO</t>
        </is>
      </c>
      <c r="P2947" s="232" t="n">
        <v>13</v>
      </c>
      <c r="Q2947" s="234" t="n">
        <v>2281</v>
      </c>
      <c r="R2947" s="232" t="inlineStr"/>
      <c r="S2947" s="234" t="n">
        <v>2281</v>
      </c>
      <c r="T2947" s="232" t="inlineStr">
        <is>
          <t>CLP</t>
        </is>
      </c>
      <c r="U2947" s="232" t="inlineStr">
        <is>
          <t>Prorrateo Ha PACKING</t>
        </is>
      </c>
      <c r="V2947" s="232" t="inlineStr">
        <is>
          <t>2026-06-18</t>
        </is>
      </c>
    </row>
    <row r="2948">
      <c r="A2948" s="232" t="inlineStr">
        <is>
          <t>CR-2945</t>
        </is>
      </c>
      <c r="B2948" s="232" t="inlineStr">
        <is>
          <t>2026/27</t>
        </is>
      </c>
      <c r="C2948" s="233" t="n">
        <v>46111</v>
      </c>
      <c r="D2948" s="232" t="inlineStr">
        <is>
          <t>190145</t>
        </is>
      </c>
      <c r="E2948" s="232" t="inlineStr">
        <is>
          <t>PRORRATEO</t>
        </is>
      </c>
      <c r="F2948" s="232" t="inlineStr">
        <is>
          <t>Santa Catalina</t>
        </is>
      </c>
      <c r="G2948" s="232" t="inlineStr">
        <is>
          <t>Fino 49 7,7 ha</t>
        </is>
      </c>
      <c r="H2948" s="232" t="inlineStr">
        <is>
          <t>Limon</t>
        </is>
      </c>
      <c r="I2948" s="232" t="inlineStr">
        <is>
          <t>Fino 49</t>
        </is>
      </c>
      <c r="J2948" s="232" t="inlineStr">
        <is>
          <t>COMBUSTIBLE</t>
        </is>
      </c>
      <c r="K2948" s="232" t="inlineStr">
        <is>
          <t>SIB. GRUA HORQUILLA ARRIENDO</t>
        </is>
      </c>
      <c r="L2948" s="232" t="inlineStr">
        <is>
          <t>[PRORRATEO 5.2% 7.7há/148.3há] O/001552 GAS ENV. 1</t>
        </is>
      </c>
      <c r="M2948" s="232" t="inlineStr"/>
      <c r="N2948" s="232" t="inlineStr">
        <is>
          <t>.   .   -</t>
        </is>
      </c>
      <c r="O2948" s="232" t="inlineStr">
        <is>
          <t>MARZO</t>
        </is>
      </c>
      <c r="P2948" s="232" t="n">
        <v>13</v>
      </c>
      <c r="Q2948" s="234" t="n">
        <v>3283</v>
      </c>
      <c r="R2948" s="232" t="inlineStr"/>
      <c r="S2948" s="234" t="n">
        <v>3283</v>
      </c>
      <c r="T2948" s="232" t="inlineStr">
        <is>
          <t>CLP</t>
        </is>
      </c>
      <c r="U2948" s="232" t="inlineStr">
        <is>
          <t>Prorrateo Ha PACKING</t>
        </is>
      </c>
      <c r="V2948" s="232" t="inlineStr">
        <is>
          <t>2026-06-18</t>
        </is>
      </c>
    </row>
    <row r="2949">
      <c r="A2949" s="232" t="inlineStr">
        <is>
          <t>CR-2946</t>
        </is>
      </c>
      <c r="B2949" s="232" t="inlineStr">
        <is>
          <t>2026/27</t>
        </is>
      </c>
      <c r="C2949" s="233" t="n">
        <v>46111</v>
      </c>
      <c r="D2949" s="232" t="inlineStr">
        <is>
          <t>190145</t>
        </is>
      </c>
      <c r="E2949" s="232" t="inlineStr">
        <is>
          <t>PRORRATEO</t>
        </is>
      </c>
      <c r="F2949" s="232" t="inlineStr">
        <is>
          <t>Santa Catalina</t>
        </is>
      </c>
      <c r="G2949" s="232" t="inlineStr">
        <is>
          <t>W. murcott 21 ha</t>
        </is>
      </c>
      <c r="H2949" s="232" t="inlineStr">
        <is>
          <t>Mandarina</t>
        </is>
      </c>
      <c r="I2949" s="232" t="inlineStr">
        <is>
          <t>W. murcott</t>
        </is>
      </c>
      <c r="J2949" s="232" t="inlineStr">
        <is>
          <t>COMBUSTIBLE</t>
        </is>
      </c>
      <c r="K2949" s="232" t="inlineStr">
        <is>
          <t>SIB. GRUA HORQUILLA ARRIENDO</t>
        </is>
      </c>
      <c r="L2949" s="232" t="inlineStr">
        <is>
          <t>[PRORRATEO 14.2% 21.0há/148.3há] O/001552 GAS ENV. 1</t>
        </is>
      </c>
      <c r="M2949" s="232" t="inlineStr"/>
      <c r="N2949" s="232" t="inlineStr">
        <is>
          <t>.   .   -</t>
        </is>
      </c>
      <c r="O2949" s="232" t="inlineStr">
        <is>
          <t>MARZO</t>
        </is>
      </c>
      <c r="P2949" s="232" t="n">
        <v>13</v>
      </c>
      <c r="Q2949" s="234" t="n">
        <v>8953</v>
      </c>
      <c r="R2949" s="232" t="inlineStr"/>
      <c r="S2949" s="234" t="n">
        <v>8953</v>
      </c>
      <c r="T2949" s="232" t="inlineStr">
        <is>
          <t>CLP</t>
        </is>
      </c>
      <c r="U2949" s="232" t="inlineStr">
        <is>
          <t>Prorrateo Ha PACKING</t>
        </is>
      </c>
      <c r="V2949" s="232" t="inlineStr">
        <is>
          <t>2026-06-18</t>
        </is>
      </c>
    </row>
    <row r="2950">
      <c r="A2950" s="232" t="inlineStr">
        <is>
          <t>CR-2947</t>
        </is>
      </c>
      <c r="B2950" s="232" t="inlineStr">
        <is>
          <t>2026/27</t>
        </is>
      </c>
      <c r="C2950" s="233" t="n">
        <v>46111</v>
      </c>
      <c r="D2950" s="232" t="inlineStr">
        <is>
          <t>190145</t>
        </is>
      </c>
      <c r="E2950" s="232" t="inlineStr">
        <is>
          <t>PRORRATEO</t>
        </is>
      </c>
      <c r="F2950" s="232" t="inlineStr">
        <is>
          <t>Santa Catalina</t>
        </is>
      </c>
      <c r="G2950" s="232" t="inlineStr">
        <is>
          <t>cambria 4,2 ha</t>
        </is>
      </c>
      <c r="H2950" s="232" t="inlineStr">
        <is>
          <t>Naranjas</t>
        </is>
      </c>
      <c r="I2950" s="232" t="inlineStr">
        <is>
          <t>Cambria</t>
        </is>
      </c>
      <c r="J2950" s="232" t="inlineStr">
        <is>
          <t>COMBUSTIBLE</t>
        </is>
      </c>
      <c r="K2950" s="232" t="inlineStr">
        <is>
          <t>SIB. GRUA HORQUILLA ARRIENDO</t>
        </is>
      </c>
      <c r="L2950" s="232" t="inlineStr">
        <is>
          <t>[PRORRATEO 2.8% 4.2há/148.3há] O/001552 GAS ENV. 1</t>
        </is>
      </c>
      <c r="M2950" s="232" t="inlineStr"/>
      <c r="N2950" s="232" t="inlineStr">
        <is>
          <t>.   .   -</t>
        </is>
      </c>
      <c r="O2950" s="232" t="inlineStr">
        <is>
          <t>MARZO</t>
        </is>
      </c>
      <c r="P2950" s="232" t="n">
        <v>13</v>
      </c>
      <c r="Q2950" s="234" t="n">
        <v>1791</v>
      </c>
      <c r="R2950" s="232" t="inlineStr"/>
      <c r="S2950" s="234" t="n">
        <v>1791</v>
      </c>
      <c r="T2950" s="232" t="inlineStr">
        <is>
          <t>CLP</t>
        </is>
      </c>
      <c r="U2950" s="232" t="inlineStr">
        <is>
          <t>Prorrateo Ha PACKING</t>
        </is>
      </c>
      <c r="V2950" s="232" t="inlineStr">
        <is>
          <t>2026-06-18</t>
        </is>
      </c>
    </row>
    <row r="2951">
      <c r="A2951" s="232" t="inlineStr">
        <is>
          <t>CR-2948</t>
        </is>
      </c>
      <c r="B2951" s="232" t="inlineStr">
        <is>
          <t>2026/27</t>
        </is>
      </c>
      <c r="C2951" s="233" t="n">
        <v>46111</v>
      </c>
      <c r="D2951" s="232" t="inlineStr">
        <is>
          <t>190145</t>
        </is>
      </c>
      <c r="E2951" s="232" t="inlineStr">
        <is>
          <t>PRORRATEO</t>
        </is>
      </c>
      <c r="F2951" s="232" t="inlineStr">
        <is>
          <t>Santa Catalina</t>
        </is>
      </c>
      <c r="G2951" s="232" t="inlineStr">
        <is>
          <t>eureka 10,6 ha</t>
        </is>
      </c>
      <c r="H2951" s="232" t="inlineStr">
        <is>
          <t>Limon</t>
        </is>
      </c>
      <c r="I2951" s="232" t="inlineStr">
        <is>
          <t>Eureka</t>
        </is>
      </c>
      <c r="J2951" s="232" t="inlineStr">
        <is>
          <t>COMBUSTIBLE</t>
        </is>
      </c>
      <c r="K2951" s="232" t="inlineStr">
        <is>
          <t>SIB. GRUA HORQUILLA ARRIENDO</t>
        </is>
      </c>
      <c r="L2951" s="232" t="inlineStr">
        <is>
          <t>[PRORRATEO 7.1% 10.6há/148.3há] O/001552 GAS ENV. 1</t>
        </is>
      </c>
      <c r="M2951" s="232" t="inlineStr"/>
      <c r="N2951" s="232" t="inlineStr">
        <is>
          <t>.   .   -</t>
        </is>
      </c>
      <c r="O2951" s="232" t="inlineStr">
        <is>
          <t>MARZO</t>
        </is>
      </c>
      <c r="P2951" s="232" t="n">
        <v>13</v>
      </c>
      <c r="Q2951" s="234" t="n">
        <v>4519</v>
      </c>
      <c r="R2951" s="232" t="inlineStr"/>
      <c r="S2951" s="234" t="n">
        <v>4519</v>
      </c>
      <c r="T2951" s="232" t="inlineStr">
        <is>
          <t>CLP</t>
        </is>
      </c>
      <c r="U2951" s="232" t="inlineStr">
        <is>
          <t>Prorrateo Ha PACKING</t>
        </is>
      </c>
      <c r="V2951" s="232" t="inlineStr">
        <is>
          <t>2026-06-18</t>
        </is>
      </c>
    </row>
    <row r="2952">
      <c r="A2952" s="232" t="inlineStr">
        <is>
          <t>CR-2949</t>
        </is>
      </c>
      <c r="B2952" s="232" t="inlineStr">
        <is>
          <t>2026/27</t>
        </is>
      </c>
      <c r="C2952" s="233" t="n">
        <v>46111</v>
      </c>
      <c r="D2952" s="232" t="inlineStr">
        <is>
          <t>190145</t>
        </is>
      </c>
      <c r="E2952" s="232" t="inlineStr">
        <is>
          <t>PRORRATEO</t>
        </is>
      </c>
      <c r="F2952" s="232" t="inlineStr">
        <is>
          <t>Santa Catalina</t>
        </is>
      </c>
      <c r="G2952" s="232" t="inlineStr">
        <is>
          <t>eureka 14,4 ha</t>
        </is>
      </c>
      <c r="H2952" s="232" t="inlineStr">
        <is>
          <t>Limon</t>
        </is>
      </c>
      <c r="I2952" s="232" t="inlineStr">
        <is>
          <t>Eureka</t>
        </is>
      </c>
      <c r="J2952" s="232" t="inlineStr">
        <is>
          <t>COMBUSTIBLE</t>
        </is>
      </c>
      <c r="K2952" s="232" t="inlineStr">
        <is>
          <t>SIB. GRUA HORQUILLA ARRIENDO</t>
        </is>
      </c>
      <c r="L2952" s="232" t="inlineStr">
        <is>
          <t>[PRORRATEO 9.7% 14.4há/148.3há] O/001552 GAS ENV. 1</t>
        </is>
      </c>
      <c r="M2952" s="232" t="inlineStr"/>
      <c r="N2952" s="232" t="inlineStr">
        <is>
          <t>.   .   -</t>
        </is>
      </c>
      <c r="O2952" s="232" t="inlineStr">
        <is>
          <t>MARZO</t>
        </is>
      </c>
      <c r="P2952" s="232" t="n">
        <v>13</v>
      </c>
      <c r="Q2952" s="234" t="n">
        <v>6139</v>
      </c>
      <c r="R2952" s="232" t="inlineStr"/>
      <c r="S2952" s="234" t="n">
        <v>6139</v>
      </c>
      <c r="T2952" s="232" t="inlineStr">
        <is>
          <t>CLP</t>
        </is>
      </c>
      <c r="U2952" s="232" t="inlineStr">
        <is>
          <t>Prorrateo Ha PACKING</t>
        </is>
      </c>
      <c r="V2952" s="232" t="inlineStr">
        <is>
          <t>2026-06-18</t>
        </is>
      </c>
    </row>
    <row r="2953">
      <c r="A2953" s="232" t="inlineStr">
        <is>
          <t>CR-2950</t>
        </is>
      </c>
      <c r="B2953" s="232" t="inlineStr">
        <is>
          <t>2026/27</t>
        </is>
      </c>
      <c r="C2953" s="233" t="n">
        <v>46111</v>
      </c>
      <c r="D2953" s="232" t="inlineStr">
        <is>
          <t>190145</t>
        </is>
      </c>
      <c r="E2953" s="232" t="inlineStr">
        <is>
          <t>PRORRATEO</t>
        </is>
      </c>
      <c r="F2953" s="232" t="inlineStr">
        <is>
          <t>Santa Catalina</t>
        </is>
      </c>
      <c r="G2953" s="232" t="inlineStr">
        <is>
          <t>eureka 22,55</t>
        </is>
      </c>
      <c r="H2953" s="232" t="inlineStr">
        <is>
          <t>Limon</t>
        </is>
      </c>
      <c r="I2953" s="232" t="inlineStr">
        <is>
          <t>Eureka</t>
        </is>
      </c>
      <c r="J2953" s="232" t="inlineStr">
        <is>
          <t>COMBUSTIBLE</t>
        </is>
      </c>
      <c r="K2953" s="232" t="inlineStr">
        <is>
          <t>SIB. GRUA HORQUILLA ARRIENDO</t>
        </is>
      </c>
      <c r="L2953" s="232" t="inlineStr">
        <is>
          <t>[PRORRATEO 15.2% 22.55há/148.3há] O/001552 GAS ENV. 1</t>
        </is>
      </c>
      <c r="M2953" s="232" t="inlineStr"/>
      <c r="N2953" s="232" t="inlineStr">
        <is>
          <t>.   .   -</t>
        </is>
      </c>
      <c r="O2953" s="232" t="inlineStr">
        <is>
          <t>MARZO</t>
        </is>
      </c>
      <c r="P2953" s="232" t="n">
        <v>13</v>
      </c>
      <c r="Q2953" s="234" t="n">
        <v>9614</v>
      </c>
      <c r="R2953" s="232" t="inlineStr"/>
      <c r="S2953" s="234" t="n">
        <v>9614</v>
      </c>
      <c r="T2953" s="232" t="inlineStr">
        <is>
          <t>CLP</t>
        </is>
      </c>
      <c r="U2953" s="232" t="inlineStr">
        <is>
          <t>Prorrateo Ha PACKING</t>
        </is>
      </c>
      <c r="V2953" s="232" t="inlineStr">
        <is>
          <t>2026-06-18</t>
        </is>
      </c>
    </row>
    <row r="2954">
      <c r="A2954" s="232" t="inlineStr">
        <is>
          <t>CR-2951</t>
        </is>
      </c>
      <c r="B2954" s="232" t="inlineStr">
        <is>
          <t>2026/27</t>
        </is>
      </c>
      <c r="C2954" s="233" t="n">
        <v>46111</v>
      </c>
      <c r="D2954" s="232" t="inlineStr">
        <is>
          <t>190145</t>
        </is>
      </c>
      <c r="E2954" s="232" t="inlineStr">
        <is>
          <t>PRORRATEO</t>
        </is>
      </c>
      <c r="F2954" s="232" t="inlineStr">
        <is>
          <t>Santa Catalina</t>
        </is>
      </c>
      <c r="G2954" s="232" t="inlineStr">
        <is>
          <t>form benjamin 1,93 ha</t>
        </is>
      </c>
      <c r="H2954" s="232" t="inlineStr">
        <is>
          <t>Limon</t>
        </is>
      </c>
      <c r="I2954" s="232" t="inlineStr">
        <is>
          <t>Benjamin andes</t>
        </is>
      </c>
      <c r="J2954" s="232" t="inlineStr">
        <is>
          <t>COMBUSTIBLE</t>
        </is>
      </c>
      <c r="K2954" s="232" t="inlineStr">
        <is>
          <t>SIB. GRUA HORQUILLA ARRIENDO</t>
        </is>
      </c>
      <c r="L2954" s="232" t="inlineStr">
        <is>
          <t>[PRORRATEO 1.3% 1.93há/148.3há] O/001552 GAS ENV. 1</t>
        </is>
      </c>
      <c r="M2954" s="232" t="inlineStr"/>
      <c r="N2954" s="232" t="inlineStr">
        <is>
          <t>.   .   -</t>
        </is>
      </c>
      <c r="O2954" s="232" t="inlineStr">
        <is>
          <t>MARZO</t>
        </is>
      </c>
      <c r="P2954" s="232" t="n">
        <v>13</v>
      </c>
      <c r="Q2954" s="234" t="n">
        <v>823</v>
      </c>
      <c r="R2954" s="232" t="inlineStr"/>
      <c r="S2954" s="234" t="n">
        <v>823</v>
      </c>
      <c r="T2954" s="232" t="inlineStr">
        <is>
          <t>CLP</t>
        </is>
      </c>
      <c r="U2954" s="232" t="inlineStr">
        <is>
          <t>Prorrateo Ha PACKING</t>
        </is>
      </c>
      <c r="V2954" s="232" t="inlineStr">
        <is>
          <t>2026-06-18</t>
        </is>
      </c>
    </row>
    <row r="2955">
      <c r="A2955" s="232" t="inlineStr">
        <is>
          <t>CR-2952</t>
        </is>
      </c>
      <c r="B2955" s="232" t="inlineStr">
        <is>
          <t>2026/27</t>
        </is>
      </c>
      <c r="C2955" s="233" t="n">
        <v>46111</v>
      </c>
      <c r="D2955" s="232" t="inlineStr">
        <is>
          <t>190145</t>
        </is>
      </c>
      <c r="E2955" s="232" t="inlineStr">
        <is>
          <t>PRORRATEO</t>
        </is>
      </c>
      <c r="F2955" s="232" t="inlineStr">
        <is>
          <t>Santa Catalina</t>
        </is>
      </c>
      <c r="G2955" s="232" t="inlineStr">
        <is>
          <t>mant eureka 2,5 ha</t>
        </is>
      </c>
      <c r="H2955" s="232" t="inlineStr">
        <is>
          <t>Limon</t>
        </is>
      </c>
      <c r="I2955" s="232" t="inlineStr">
        <is>
          <t>Eureka</t>
        </is>
      </c>
      <c r="J2955" s="232" t="inlineStr">
        <is>
          <t>COMBUSTIBLE</t>
        </is>
      </c>
      <c r="K2955" s="232" t="inlineStr">
        <is>
          <t>SIB. GRUA HORQUILLA ARRIENDO</t>
        </is>
      </c>
      <c r="L2955" s="232" t="inlineStr">
        <is>
          <t>[PRORRATEO 1.7% 2.5há/148.3há] O/001552 GAS ENV. 1</t>
        </is>
      </c>
      <c r="M2955" s="232" t="inlineStr"/>
      <c r="N2955" s="232" t="inlineStr">
        <is>
          <t>.   .   -</t>
        </is>
      </c>
      <c r="O2955" s="232" t="inlineStr">
        <is>
          <t>MARZO</t>
        </is>
      </c>
      <c r="P2955" s="232" t="n">
        <v>13</v>
      </c>
      <c r="Q2955" s="234" t="n">
        <v>1066</v>
      </c>
      <c r="R2955" s="232" t="inlineStr"/>
      <c r="S2955" s="234" t="n">
        <v>1066</v>
      </c>
      <c r="T2955" s="232" t="inlineStr">
        <is>
          <t>CLP</t>
        </is>
      </c>
      <c r="U2955" s="232" t="inlineStr">
        <is>
          <t>Prorrateo Ha PACKING</t>
        </is>
      </c>
      <c r="V2955" s="232" t="inlineStr">
        <is>
          <t>2026-06-18</t>
        </is>
      </c>
    </row>
    <row r="2956">
      <c r="A2956" s="232" t="inlineStr">
        <is>
          <t>CR-2953</t>
        </is>
      </c>
      <c r="B2956" s="232" t="inlineStr">
        <is>
          <t>2026/27</t>
        </is>
      </c>
      <c r="C2956" s="233" t="n">
        <v>46111</v>
      </c>
      <c r="D2956" s="232" t="inlineStr">
        <is>
          <t>190145</t>
        </is>
      </c>
      <c r="E2956" s="232" t="inlineStr">
        <is>
          <t>PRORRATEO</t>
        </is>
      </c>
      <c r="F2956" s="232" t="inlineStr">
        <is>
          <t>Siberia</t>
        </is>
      </c>
      <c r="G2956" s="232" t="inlineStr">
        <is>
          <t>S. Celebration 7,14</t>
        </is>
      </c>
      <c r="H2956" s="232" t="inlineStr">
        <is>
          <t>Uvas</t>
        </is>
      </c>
      <c r="I2956" s="232" t="inlineStr">
        <is>
          <t>S. celebration</t>
        </is>
      </c>
      <c r="J2956" s="232" t="inlineStr">
        <is>
          <t>COMBUSTIBLE</t>
        </is>
      </c>
      <c r="K2956" s="232" t="inlineStr">
        <is>
          <t>SIB. GRUA HORQUILLA ARRIENDO</t>
        </is>
      </c>
      <c r="L2956" s="232" t="inlineStr">
        <is>
          <t>[PRORRATEO 4.8% 7.14há/148.3há] O/001552 GAS ENV. 1</t>
        </is>
      </c>
      <c r="M2956" s="232" t="inlineStr"/>
      <c r="N2956" s="232" t="inlineStr">
        <is>
          <t>.   .   -</t>
        </is>
      </c>
      <c r="O2956" s="232" t="inlineStr">
        <is>
          <t>MARZO</t>
        </is>
      </c>
      <c r="P2956" s="232" t="n">
        <v>13</v>
      </c>
      <c r="Q2956" s="234" t="n">
        <v>3044</v>
      </c>
      <c r="R2956" s="232" t="inlineStr"/>
      <c r="S2956" s="234" t="n">
        <v>3044</v>
      </c>
      <c r="T2956" s="232" t="inlineStr">
        <is>
          <t>CLP</t>
        </is>
      </c>
      <c r="U2956" s="232" t="inlineStr">
        <is>
          <t>Prorrateo Ha PACKING</t>
        </is>
      </c>
      <c r="V2956" s="232" t="inlineStr">
        <is>
          <t>2026-06-18</t>
        </is>
      </c>
    </row>
    <row r="2957">
      <c r="A2957" s="232" t="inlineStr">
        <is>
          <t>CR-2954</t>
        </is>
      </c>
      <c r="B2957" s="232" t="inlineStr">
        <is>
          <t>2026/27</t>
        </is>
      </c>
      <c r="C2957" s="233" t="n">
        <v>46111</v>
      </c>
      <c r="D2957" s="232" t="inlineStr">
        <is>
          <t>190145</t>
        </is>
      </c>
      <c r="E2957" s="232" t="inlineStr">
        <is>
          <t>PRORRATEO</t>
        </is>
      </c>
      <c r="F2957" s="232" t="inlineStr">
        <is>
          <t>Siberia</t>
        </is>
      </c>
      <c r="G2957" s="232" t="inlineStr">
        <is>
          <t>Timpson 7,1</t>
        </is>
      </c>
      <c r="H2957" s="232" t="inlineStr">
        <is>
          <t>Uvas</t>
        </is>
      </c>
      <c r="I2957" s="232" t="inlineStr">
        <is>
          <t>Timpson</t>
        </is>
      </c>
      <c r="J2957" s="232" t="inlineStr">
        <is>
          <t>COMBUSTIBLE</t>
        </is>
      </c>
      <c r="K2957" s="232" t="inlineStr">
        <is>
          <t>SIB. GRUA HORQUILLA ARRIENDO</t>
        </is>
      </c>
      <c r="L2957" s="232" t="inlineStr">
        <is>
          <t>[PRORRATEO 4.8% 7.1há/148.3há] O/001552 GAS ENV. 1</t>
        </is>
      </c>
      <c r="M2957" s="232" t="inlineStr"/>
      <c r="N2957" s="232" t="inlineStr">
        <is>
          <t>.   .   -</t>
        </is>
      </c>
      <c r="O2957" s="232" t="inlineStr">
        <is>
          <t>MARZO</t>
        </is>
      </c>
      <c r="P2957" s="232" t="n">
        <v>13</v>
      </c>
      <c r="Q2957" s="234" t="n">
        <v>3027</v>
      </c>
      <c r="R2957" s="232" t="inlineStr"/>
      <c r="S2957" s="234" t="n">
        <v>3027</v>
      </c>
      <c r="T2957" s="232" t="inlineStr">
        <is>
          <t>CLP</t>
        </is>
      </c>
      <c r="U2957" s="232" t="inlineStr">
        <is>
          <t>Prorrateo Ha PACKING</t>
        </is>
      </c>
      <c r="V2957" s="232" t="inlineStr">
        <is>
          <t>2026-06-18</t>
        </is>
      </c>
    </row>
    <row r="2958">
      <c r="A2958" s="232" t="inlineStr">
        <is>
          <t>CR-2955</t>
        </is>
      </c>
      <c r="B2958" s="232" t="inlineStr">
        <is>
          <t>2026/27</t>
        </is>
      </c>
      <c r="C2958" s="233" t="n">
        <v>46111</v>
      </c>
      <c r="D2958" s="232" t="inlineStr">
        <is>
          <t>411447</t>
        </is>
      </c>
      <c r="E2958" s="232" t="inlineStr">
        <is>
          <t>PRORRATEO</t>
        </is>
      </c>
      <c r="F2958" s="232" t="inlineStr">
        <is>
          <t>Asmara</t>
        </is>
      </c>
      <c r="G2958" s="232" t="inlineStr">
        <is>
          <t>w. murcott 19,8 ha</t>
        </is>
      </c>
      <c r="H2958" s="232" t="inlineStr">
        <is>
          <t>Mandarina</t>
        </is>
      </c>
      <c r="I2958" s="232" t="inlineStr">
        <is>
          <t>W. murcott</t>
        </is>
      </c>
      <c r="J2958" s="232" t="inlineStr">
        <is>
          <t>COMBUSTIBLE</t>
        </is>
      </c>
      <c r="K2958" s="232" t="inlineStr">
        <is>
          <t>SIB. GRUA HORQUILLA ARRIENDO</t>
        </is>
      </c>
      <c r="L2958" s="232" t="inlineStr">
        <is>
          <t>[PRORRATEO 13.4% 19.8há/148.3há] O/001553 GAS ENV. 1</t>
        </is>
      </c>
      <c r="M2958" s="232" t="inlineStr"/>
      <c r="N2958" s="232" t="inlineStr">
        <is>
          <t>.   .   -</t>
        </is>
      </c>
      <c r="O2958" s="232" t="inlineStr">
        <is>
          <t>MARZO</t>
        </is>
      </c>
      <c r="P2958" s="232" t="n">
        <v>13</v>
      </c>
      <c r="Q2958" s="234" t="n">
        <v>8441</v>
      </c>
      <c r="R2958" s="232" t="inlineStr"/>
      <c r="S2958" s="234" t="n">
        <v>8441</v>
      </c>
      <c r="T2958" s="232" t="inlineStr">
        <is>
          <t>CLP</t>
        </is>
      </c>
      <c r="U2958" s="232" t="inlineStr">
        <is>
          <t>Prorrateo Ha PACKING</t>
        </is>
      </c>
      <c r="V2958" s="232" t="inlineStr">
        <is>
          <t>2026-06-18</t>
        </is>
      </c>
    </row>
    <row r="2959">
      <c r="A2959" s="232" t="inlineStr">
        <is>
          <t>CR-2956</t>
        </is>
      </c>
      <c r="B2959" s="232" t="inlineStr">
        <is>
          <t>2026/27</t>
        </is>
      </c>
      <c r="C2959" s="233" t="n">
        <v>46111</v>
      </c>
      <c r="D2959" s="232" t="inlineStr">
        <is>
          <t>411447</t>
        </is>
      </c>
      <c r="E2959" s="232" t="inlineStr">
        <is>
          <t>PRORRATEO</t>
        </is>
      </c>
      <c r="F2959" s="232" t="inlineStr">
        <is>
          <t>Asmara</t>
        </is>
      </c>
      <c r="G2959" s="232" t="inlineStr">
        <is>
          <t>w. murcott 4,9 ha</t>
        </is>
      </c>
      <c r="H2959" s="232" t="inlineStr">
        <is>
          <t>Mandarina</t>
        </is>
      </c>
      <c r="I2959" s="232" t="inlineStr">
        <is>
          <t>W. murcott</t>
        </is>
      </c>
      <c r="J2959" s="232" t="inlineStr">
        <is>
          <t>COMBUSTIBLE</t>
        </is>
      </c>
      <c r="K2959" s="232" t="inlineStr">
        <is>
          <t>SIB. GRUA HORQUILLA ARRIENDO</t>
        </is>
      </c>
      <c r="L2959" s="232" t="inlineStr">
        <is>
          <t>[PRORRATEO 3.3% 4.9há/148.3há] O/001553 GAS ENV. 1</t>
        </is>
      </c>
      <c r="M2959" s="232" t="inlineStr"/>
      <c r="N2959" s="232" t="inlineStr">
        <is>
          <t>.   .   -</t>
        </is>
      </c>
      <c r="O2959" s="232" t="inlineStr">
        <is>
          <t>MARZO</t>
        </is>
      </c>
      <c r="P2959" s="232" t="n">
        <v>13</v>
      </c>
      <c r="Q2959" s="234" t="n">
        <v>2089</v>
      </c>
      <c r="R2959" s="232" t="inlineStr"/>
      <c r="S2959" s="234" t="n">
        <v>2089</v>
      </c>
      <c r="T2959" s="232" t="inlineStr">
        <is>
          <t>CLP</t>
        </is>
      </c>
      <c r="U2959" s="232" t="inlineStr">
        <is>
          <t>Prorrateo Ha PACKING</t>
        </is>
      </c>
      <c r="V2959" s="232" t="inlineStr">
        <is>
          <t>2026-06-18</t>
        </is>
      </c>
    </row>
    <row r="2960">
      <c r="A2960" s="232" t="inlineStr">
        <is>
          <t>CR-2957</t>
        </is>
      </c>
      <c r="B2960" s="232" t="inlineStr">
        <is>
          <t>2026/27</t>
        </is>
      </c>
      <c r="C2960" s="233" t="n">
        <v>46111</v>
      </c>
      <c r="D2960" s="232" t="inlineStr">
        <is>
          <t>411447</t>
        </is>
      </c>
      <c r="E2960" s="232" t="inlineStr">
        <is>
          <t>PRORRATEO</t>
        </is>
      </c>
      <c r="F2960" s="232" t="inlineStr">
        <is>
          <t>El Molle</t>
        </is>
      </c>
      <c r="G2960" s="232" t="inlineStr">
        <is>
          <t>Wonderful 5,25 ha</t>
        </is>
      </c>
      <c r="H2960" s="232" t="inlineStr">
        <is>
          <t>Granados</t>
        </is>
      </c>
      <c r="I2960" s="232" t="inlineStr">
        <is>
          <t>Wonderfull</t>
        </is>
      </c>
      <c r="J2960" s="232" t="inlineStr">
        <is>
          <t>COMBUSTIBLE</t>
        </is>
      </c>
      <c r="K2960" s="232" t="inlineStr">
        <is>
          <t>SIB. GRUA HORQUILLA ARRIENDO</t>
        </is>
      </c>
      <c r="L2960" s="232" t="inlineStr">
        <is>
          <t>[PRORRATEO 3.5% 5.24há/148.3há] O/001553 GAS ENV. 1</t>
        </is>
      </c>
      <c r="M2960" s="232" t="inlineStr"/>
      <c r="N2960" s="232" t="inlineStr">
        <is>
          <t>.   .   -</t>
        </is>
      </c>
      <c r="O2960" s="232" t="inlineStr">
        <is>
          <t>MARZO</t>
        </is>
      </c>
      <c r="P2960" s="232" t="n">
        <v>13</v>
      </c>
      <c r="Q2960" s="234" t="n">
        <v>2234</v>
      </c>
      <c r="R2960" s="232" t="inlineStr"/>
      <c r="S2960" s="234" t="n">
        <v>2234</v>
      </c>
      <c r="T2960" s="232" t="inlineStr">
        <is>
          <t>CLP</t>
        </is>
      </c>
      <c r="U2960" s="232" t="inlineStr">
        <is>
          <t>Prorrateo Ha PACKING</t>
        </is>
      </c>
      <c r="V2960" s="232" t="inlineStr">
        <is>
          <t>2026-06-18</t>
        </is>
      </c>
    </row>
    <row r="2961">
      <c r="A2961" s="232" t="inlineStr">
        <is>
          <t>CR-2958</t>
        </is>
      </c>
      <c r="B2961" s="232" t="inlineStr">
        <is>
          <t>2026/27</t>
        </is>
      </c>
      <c r="C2961" s="233" t="n">
        <v>46111</v>
      </c>
      <c r="D2961" s="232" t="inlineStr">
        <is>
          <t>411447</t>
        </is>
      </c>
      <c r="E2961" s="232" t="inlineStr">
        <is>
          <t>PRORRATEO</t>
        </is>
      </c>
      <c r="F2961" s="232" t="inlineStr">
        <is>
          <t>El Molle</t>
        </is>
      </c>
      <c r="G2961" s="232" t="inlineStr">
        <is>
          <t>arrufatinas 5,74 ha</t>
        </is>
      </c>
      <c r="H2961" s="232" t="inlineStr">
        <is>
          <t>Clementinas</t>
        </is>
      </c>
      <c r="I2961" s="232" t="inlineStr">
        <is>
          <t>Arrufatinas</t>
        </is>
      </c>
      <c r="J2961" s="232" t="inlineStr">
        <is>
          <t>COMBUSTIBLE</t>
        </is>
      </c>
      <c r="K2961" s="232" t="inlineStr">
        <is>
          <t>SIB. GRUA HORQUILLA ARRIENDO</t>
        </is>
      </c>
      <c r="L2961" s="232" t="inlineStr">
        <is>
          <t>[PRORRATEO 3.9% 5.74há/148.3há] O/001553 GAS ENV. 1</t>
        </is>
      </c>
      <c r="M2961" s="232" t="inlineStr"/>
      <c r="N2961" s="232" t="inlineStr">
        <is>
          <t>.   .   -</t>
        </is>
      </c>
      <c r="O2961" s="232" t="inlineStr">
        <is>
          <t>MARZO</t>
        </is>
      </c>
      <c r="P2961" s="232" t="n">
        <v>13</v>
      </c>
      <c r="Q2961" s="234" t="n">
        <v>2447</v>
      </c>
      <c r="R2961" s="232" t="inlineStr"/>
      <c r="S2961" s="234" t="n">
        <v>2447</v>
      </c>
      <c r="T2961" s="232" t="inlineStr">
        <is>
          <t>CLP</t>
        </is>
      </c>
      <c r="U2961" s="232" t="inlineStr">
        <is>
          <t>Prorrateo Ha PACKING</t>
        </is>
      </c>
      <c r="V2961" s="232" t="inlineStr">
        <is>
          <t>2026-06-18</t>
        </is>
      </c>
    </row>
    <row r="2962">
      <c r="A2962" s="232" t="inlineStr">
        <is>
          <t>CR-2959</t>
        </is>
      </c>
      <c r="B2962" s="232" t="inlineStr">
        <is>
          <t>2026/27</t>
        </is>
      </c>
      <c r="C2962" s="233" t="n">
        <v>46111</v>
      </c>
      <c r="D2962" s="232" t="inlineStr">
        <is>
          <t>411447</t>
        </is>
      </c>
      <c r="E2962" s="232" t="inlineStr">
        <is>
          <t>PRORRATEO</t>
        </is>
      </c>
      <c r="F2962" s="232" t="inlineStr">
        <is>
          <t>El Molle</t>
        </is>
      </c>
      <c r="G2962" s="232" t="inlineStr">
        <is>
          <t>orogrande 8,11 ha</t>
        </is>
      </c>
      <c r="H2962" s="232" t="inlineStr">
        <is>
          <t>Clementinas</t>
        </is>
      </c>
      <c r="I2962" s="232" t="inlineStr">
        <is>
          <t>Orogrande</t>
        </is>
      </c>
      <c r="J2962" s="232" t="inlineStr">
        <is>
          <t>COMBUSTIBLE</t>
        </is>
      </c>
      <c r="K2962" s="232" t="inlineStr">
        <is>
          <t>SIB. GRUA HORQUILLA ARRIENDO</t>
        </is>
      </c>
      <c r="L2962" s="232" t="inlineStr">
        <is>
          <t>[PRORRATEO 5.5% 8.11há/148.3há] O/001553 GAS ENV. 1</t>
        </is>
      </c>
      <c r="M2962" s="232" t="inlineStr"/>
      <c r="N2962" s="232" t="inlineStr">
        <is>
          <t>.   .   -</t>
        </is>
      </c>
      <c r="O2962" s="232" t="inlineStr">
        <is>
          <t>MARZO</t>
        </is>
      </c>
      <c r="P2962" s="232" t="n">
        <v>13</v>
      </c>
      <c r="Q2962" s="234" t="n">
        <v>3457</v>
      </c>
      <c r="R2962" s="232" t="inlineStr"/>
      <c r="S2962" s="234" t="n">
        <v>3457</v>
      </c>
      <c r="T2962" s="232" t="inlineStr">
        <is>
          <t>CLP</t>
        </is>
      </c>
      <c r="U2962" s="232" t="inlineStr">
        <is>
          <t>Prorrateo Ha PACKING</t>
        </is>
      </c>
      <c r="V2962" s="232" t="inlineStr">
        <is>
          <t>2026-06-18</t>
        </is>
      </c>
    </row>
    <row r="2963">
      <c r="A2963" s="232" t="inlineStr">
        <is>
          <t>CR-2960</t>
        </is>
      </c>
      <c r="B2963" s="232" t="inlineStr">
        <is>
          <t>2026/27</t>
        </is>
      </c>
      <c r="C2963" s="233" t="n">
        <v>46111</v>
      </c>
      <c r="D2963" s="232" t="inlineStr">
        <is>
          <t>411447</t>
        </is>
      </c>
      <c r="E2963" s="232" t="inlineStr">
        <is>
          <t>PRORRATEO</t>
        </is>
      </c>
      <c r="F2963" s="232" t="inlineStr">
        <is>
          <t>El Molle</t>
        </is>
      </c>
      <c r="G2963" s="232" t="inlineStr">
        <is>
          <t>oronules 5,35 ha</t>
        </is>
      </c>
      <c r="H2963" s="232" t="inlineStr">
        <is>
          <t>Clementinas</t>
        </is>
      </c>
      <c r="I2963" s="232" t="inlineStr">
        <is>
          <t>Oronules</t>
        </is>
      </c>
      <c r="J2963" s="232" t="inlineStr">
        <is>
          <t>COMBUSTIBLE</t>
        </is>
      </c>
      <c r="K2963" s="232" t="inlineStr">
        <is>
          <t>SIB. GRUA HORQUILLA ARRIENDO</t>
        </is>
      </c>
      <c r="L2963" s="232" t="inlineStr">
        <is>
          <t>[PRORRATEO 3.6% 5.35há/148.3há] O/001553 GAS ENV. 1</t>
        </is>
      </c>
      <c r="M2963" s="232" t="inlineStr"/>
      <c r="N2963" s="232" t="inlineStr">
        <is>
          <t>.   .   -</t>
        </is>
      </c>
      <c r="O2963" s="232" t="inlineStr">
        <is>
          <t>MARZO</t>
        </is>
      </c>
      <c r="P2963" s="232" t="n">
        <v>13</v>
      </c>
      <c r="Q2963" s="234" t="n">
        <v>2281</v>
      </c>
      <c r="R2963" s="232" t="inlineStr"/>
      <c r="S2963" s="234" t="n">
        <v>2281</v>
      </c>
      <c r="T2963" s="232" t="inlineStr">
        <is>
          <t>CLP</t>
        </is>
      </c>
      <c r="U2963" s="232" t="inlineStr">
        <is>
          <t>Prorrateo Ha PACKING</t>
        </is>
      </c>
      <c r="V2963" s="232" t="inlineStr">
        <is>
          <t>2026-06-18</t>
        </is>
      </c>
    </row>
    <row r="2964">
      <c r="A2964" s="232" t="inlineStr">
        <is>
          <t>CR-2961</t>
        </is>
      </c>
      <c r="B2964" s="232" t="inlineStr">
        <is>
          <t>2026/27</t>
        </is>
      </c>
      <c r="C2964" s="233" t="n">
        <v>46111</v>
      </c>
      <c r="D2964" s="232" t="inlineStr">
        <is>
          <t>411447</t>
        </is>
      </c>
      <c r="E2964" s="232" t="inlineStr">
        <is>
          <t>PRORRATEO</t>
        </is>
      </c>
      <c r="F2964" s="232" t="inlineStr">
        <is>
          <t>Santa Catalina</t>
        </is>
      </c>
      <c r="G2964" s="232" t="inlineStr">
        <is>
          <t>Fino 49 7,7 ha</t>
        </is>
      </c>
      <c r="H2964" s="232" t="inlineStr">
        <is>
          <t>Limon</t>
        </is>
      </c>
      <c r="I2964" s="232" t="inlineStr">
        <is>
          <t>Fino 49</t>
        </is>
      </c>
      <c r="J2964" s="232" t="inlineStr">
        <is>
          <t>COMBUSTIBLE</t>
        </is>
      </c>
      <c r="K2964" s="232" t="inlineStr">
        <is>
          <t>SIB. GRUA HORQUILLA ARRIENDO</t>
        </is>
      </c>
      <c r="L2964" s="232" t="inlineStr">
        <is>
          <t>[PRORRATEO 5.2% 7.7há/148.3há] O/001553 GAS ENV. 1</t>
        </is>
      </c>
      <c r="M2964" s="232" t="inlineStr"/>
      <c r="N2964" s="232" t="inlineStr">
        <is>
          <t>.   .   -</t>
        </is>
      </c>
      <c r="O2964" s="232" t="inlineStr">
        <is>
          <t>MARZO</t>
        </is>
      </c>
      <c r="P2964" s="232" t="n">
        <v>13</v>
      </c>
      <c r="Q2964" s="234" t="n">
        <v>3283</v>
      </c>
      <c r="R2964" s="232" t="inlineStr"/>
      <c r="S2964" s="234" t="n">
        <v>3283</v>
      </c>
      <c r="T2964" s="232" t="inlineStr">
        <is>
          <t>CLP</t>
        </is>
      </c>
      <c r="U2964" s="232" t="inlineStr">
        <is>
          <t>Prorrateo Ha PACKING</t>
        </is>
      </c>
      <c r="V2964" s="232" t="inlineStr">
        <is>
          <t>2026-06-18</t>
        </is>
      </c>
    </row>
    <row r="2965">
      <c r="A2965" s="232" t="inlineStr">
        <is>
          <t>CR-2962</t>
        </is>
      </c>
      <c r="B2965" s="232" t="inlineStr">
        <is>
          <t>2026/27</t>
        </is>
      </c>
      <c r="C2965" s="233" t="n">
        <v>46111</v>
      </c>
      <c r="D2965" s="232" t="inlineStr">
        <is>
          <t>411447</t>
        </is>
      </c>
      <c r="E2965" s="232" t="inlineStr">
        <is>
          <t>PRORRATEO</t>
        </is>
      </c>
      <c r="F2965" s="232" t="inlineStr">
        <is>
          <t>Santa Catalina</t>
        </is>
      </c>
      <c r="G2965" s="232" t="inlineStr">
        <is>
          <t>W. murcott 21 ha</t>
        </is>
      </c>
      <c r="H2965" s="232" t="inlineStr">
        <is>
          <t>Mandarina</t>
        </is>
      </c>
      <c r="I2965" s="232" t="inlineStr">
        <is>
          <t>W. murcott</t>
        </is>
      </c>
      <c r="J2965" s="232" t="inlineStr">
        <is>
          <t>COMBUSTIBLE</t>
        </is>
      </c>
      <c r="K2965" s="232" t="inlineStr">
        <is>
          <t>SIB. GRUA HORQUILLA ARRIENDO</t>
        </is>
      </c>
      <c r="L2965" s="232" t="inlineStr">
        <is>
          <t>[PRORRATEO 14.2% 21.0há/148.3há] O/001553 GAS ENV. 1</t>
        </is>
      </c>
      <c r="M2965" s="232" t="inlineStr"/>
      <c r="N2965" s="232" t="inlineStr">
        <is>
          <t>.   .   -</t>
        </is>
      </c>
      <c r="O2965" s="232" t="inlineStr">
        <is>
          <t>MARZO</t>
        </is>
      </c>
      <c r="P2965" s="232" t="n">
        <v>13</v>
      </c>
      <c r="Q2965" s="234" t="n">
        <v>8953</v>
      </c>
      <c r="R2965" s="232" t="inlineStr"/>
      <c r="S2965" s="234" t="n">
        <v>8953</v>
      </c>
      <c r="T2965" s="232" t="inlineStr">
        <is>
          <t>CLP</t>
        </is>
      </c>
      <c r="U2965" s="232" t="inlineStr">
        <is>
          <t>Prorrateo Ha PACKING</t>
        </is>
      </c>
      <c r="V2965" s="232" t="inlineStr">
        <is>
          <t>2026-06-18</t>
        </is>
      </c>
    </row>
    <row r="2966">
      <c r="A2966" s="232" t="inlineStr">
        <is>
          <t>CR-2963</t>
        </is>
      </c>
      <c r="B2966" s="232" t="inlineStr">
        <is>
          <t>2026/27</t>
        </is>
      </c>
      <c r="C2966" s="233" t="n">
        <v>46111</v>
      </c>
      <c r="D2966" s="232" t="inlineStr">
        <is>
          <t>411447</t>
        </is>
      </c>
      <c r="E2966" s="232" t="inlineStr">
        <is>
          <t>PRORRATEO</t>
        </is>
      </c>
      <c r="F2966" s="232" t="inlineStr">
        <is>
          <t>Santa Catalina</t>
        </is>
      </c>
      <c r="G2966" s="232" t="inlineStr">
        <is>
          <t>cambria 4,2 ha</t>
        </is>
      </c>
      <c r="H2966" s="232" t="inlineStr">
        <is>
          <t>Naranjas</t>
        </is>
      </c>
      <c r="I2966" s="232" t="inlineStr">
        <is>
          <t>Cambria</t>
        </is>
      </c>
      <c r="J2966" s="232" t="inlineStr">
        <is>
          <t>COMBUSTIBLE</t>
        </is>
      </c>
      <c r="K2966" s="232" t="inlineStr">
        <is>
          <t>SIB. GRUA HORQUILLA ARRIENDO</t>
        </is>
      </c>
      <c r="L2966" s="232" t="inlineStr">
        <is>
          <t>[PRORRATEO 2.8% 4.2há/148.3há] O/001553 GAS ENV. 1</t>
        </is>
      </c>
      <c r="M2966" s="232" t="inlineStr"/>
      <c r="N2966" s="232" t="inlineStr">
        <is>
          <t>.   .   -</t>
        </is>
      </c>
      <c r="O2966" s="232" t="inlineStr">
        <is>
          <t>MARZO</t>
        </is>
      </c>
      <c r="P2966" s="232" t="n">
        <v>13</v>
      </c>
      <c r="Q2966" s="234" t="n">
        <v>1791</v>
      </c>
      <c r="R2966" s="232" t="inlineStr"/>
      <c r="S2966" s="234" t="n">
        <v>1791</v>
      </c>
      <c r="T2966" s="232" t="inlineStr">
        <is>
          <t>CLP</t>
        </is>
      </c>
      <c r="U2966" s="232" t="inlineStr">
        <is>
          <t>Prorrateo Ha PACKING</t>
        </is>
      </c>
      <c r="V2966" s="232" t="inlineStr">
        <is>
          <t>2026-06-18</t>
        </is>
      </c>
    </row>
    <row r="2967">
      <c r="A2967" s="232" t="inlineStr">
        <is>
          <t>CR-2964</t>
        </is>
      </c>
      <c r="B2967" s="232" t="inlineStr">
        <is>
          <t>2026/27</t>
        </is>
      </c>
      <c r="C2967" s="233" t="n">
        <v>46111</v>
      </c>
      <c r="D2967" s="232" t="inlineStr">
        <is>
          <t>411447</t>
        </is>
      </c>
      <c r="E2967" s="232" t="inlineStr">
        <is>
          <t>PRORRATEO</t>
        </is>
      </c>
      <c r="F2967" s="232" t="inlineStr">
        <is>
          <t>Santa Catalina</t>
        </is>
      </c>
      <c r="G2967" s="232" t="inlineStr">
        <is>
          <t>eureka 10,6 ha</t>
        </is>
      </c>
      <c r="H2967" s="232" t="inlineStr">
        <is>
          <t>Limon</t>
        </is>
      </c>
      <c r="I2967" s="232" t="inlineStr">
        <is>
          <t>Eureka</t>
        </is>
      </c>
      <c r="J2967" s="232" t="inlineStr">
        <is>
          <t>COMBUSTIBLE</t>
        </is>
      </c>
      <c r="K2967" s="232" t="inlineStr">
        <is>
          <t>SIB. GRUA HORQUILLA ARRIENDO</t>
        </is>
      </c>
      <c r="L2967" s="232" t="inlineStr">
        <is>
          <t>[PRORRATEO 7.1% 10.6há/148.3há] O/001553 GAS ENV. 1</t>
        </is>
      </c>
      <c r="M2967" s="232" t="inlineStr"/>
      <c r="N2967" s="232" t="inlineStr">
        <is>
          <t>.   .   -</t>
        </is>
      </c>
      <c r="O2967" s="232" t="inlineStr">
        <is>
          <t>MARZO</t>
        </is>
      </c>
      <c r="P2967" s="232" t="n">
        <v>13</v>
      </c>
      <c r="Q2967" s="234" t="n">
        <v>4519</v>
      </c>
      <c r="R2967" s="232" t="inlineStr"/>
      <c r="S2967" s="234" t="n">
        <v>4519</v>
      </c>
      <c r="T2967" s="232" t="inlineStr">
        <is>
          <t>CLP</t>
        </is>
      </c>
      <c r="U2967" s="232" t="inlineStr">
        <is>
          <t>Prorrateo Ha PACKING</t>
        </is>
      </c>
      <c r="V2967" s="232" t="inlineStr">
        <is>
          <t>2026-06-18</t>
        </is>
      </c>
    </row>
    <row r="2968">
      <c r="A2968" s="232" t="inlineStr">
        <is>
          <t>CR-2965</t>
        </is>
      </c>
      <c r="B2968" s="232" t="inlineStr">
        <is>
          <t>2026/27</t>
        </is>
      </c>
      <c r="C2968" s="233" t="n">
        <v>46111</v>
      </c>
      <c r="D2968" s="232" t="inlineStr">
        <is>
          <t>411447</t>
        </is>
      </c>
      <c r="E2968" s="232" t="inlineStr">
        <is>
          <t>PRORRATEO</t>
        </is>
      </c>
      <c r="F2968" s="232" t="inlineStr">
        <is>
          <t>Santa Catalina</t>
        </is>
      </c>
      <c r="G2968" s="232" t="inlineStr">
        <is>
          <t>eureka 14,4 ha</t>
        </is>
      </c>
      <c r="H2968" s="232" t="inlineStr">
        <is>
          <t>Limon</t>
        </is>
      </c>
      <c r="I2968" s="232" t="inlineStr">
        <is>
          <t>Eureka</t>
        </is>
      </c>
      <c r="J2968" s="232" t="inlineStr">
        <is>
          <t>COMBUSTIBLE</t>
        </is>
      </c>
      <c r="K2968" s="232" t="inlineStr">
        <is>
          <t>SIB. GRUA HORQUILLA ARRIENDO</t>
        </is>
      </c>
      <c r="L2968" s="232" t="inlineStr">
        <is>
          <t>[PRORRATEO 9.7% 14.4há/148.3há] O/001553 GAS ENV. 1</t>
        </is>
      </c>
      <c r="M2968" s="232" t="inlineStr"/>
      <c r="N2968" s="232" t="inlineStr">
        <is>
          <t>.   .   -</t>
        </is>
      </c>
      <c r="O2968" s="232" t="inlineStr">
        <is>
          <t>MARZO</t>
        </is>
      </c>
      <c r="P2968" s="232" t="n">
        <v>13</v>
      </c>
      <c r="Q2968" s="234" t="n">
        <v>6139</v>
      </c>
      <c r="R2968" s="232" t="inlineStr"/>
      <c r="S2968" s="234" t="n">
        <v>6139</v>
      </c>
      <c r="T2968" s="232" t="inlineStr">
        <is>
          <t>CLP</t>
        </is>
      </c>
      <c r="U2968" s="232" t="inlineStr">
        <is>
          <t>Prorrateo Ha PACKING</t>
        </is>
      </c>
      <c r="V2968" s="232" t="inlineStr">
        <is>
          <t>2026-06-18</t>
        </is>
      </c>
    </row>
    <row r="2969">
      <c r="A2969" s="232" t="inlineStr">
        <is>
          <t>CR-2966</t>
        </is>
      </c>
      <c r="B2969" s="232" t="inlineStr">
        <is>
          <t>2026/27</t>
        </is>
      </c>
      <c r="C2969" s="233" t="n">
        <v>46111</v>
      </c>
      <c r="D2969" s="232" t="inlineStr">
        <is>
          <t>411447</t>
        </is>
      </c>
      <c r="E2969" s="232" t="inlineStr">
        <is>
          <t>PRORRATEO</t>
        </is>
      </c>
      <c r="F2969" s="232" t="inlineStr">
        <is>
          <t>Santa Catalina</t>
        </is>
      </c>
      <c r="G2969" s="232" t="inlineStr">
        <is>
          <t>eureka 22,55</t>
        </is>
      </c>
      <c r="H2969" s="232" t="inlineStr">
        <is>
          <t>Limon</t>
        </is>
      </c>
      <c r="I2969" s="232" t="inlineStr">
        <is>
          <t>Eureka</t>
        </is>
      </c>
      <c r="J2969" s="232" t="inlineStr">
        <is>
          <t>COMBUSTIBLE</t>
        </is>
      </c>
      <c r="K2969" s="232" t="inlineStr">
        <is>
          <t>SIB. GRUA HORQUILLA ARRIENDO</t>
        </is>
      </c>
      <c r="L2969" s="232" t="inlineStr">
        <is>
          <t>[PRORRATEO 15.2% 22.55há/148.3há] O/001553 GAS ENV. 1</t>
        </is>
      </c>
      <c r="M2969" s="232" t="inlineStr"/>
      <c r="N2969" s="232" t="inlineStr">
        <is>
          <t>.   .   -</t>
        </is>
      </c>
      <c r="O2969" s="232" t="inlineStr">
        <is>
          <t>MARZO</t>
        </is>
      </c>
      <c r="P2969" s="232" t="n">
        <v>13</v>
      </c>
      <c r="Q2969" s="234" t="n">
        <v>9614</v>
      </c>
      <c r="R2969" s="232" t="inlineStr"/>
      <c r="S2969" s="234" t="n">
        <v>9614</v>
      </c>
      <c r="T2969" s="232" t="inlineStr">
        <is>
          <t>CLP</t>
        </is>
      </c>
      <c r="U2969" s="232" t="inlineStr">
        <is>
          <t>Prorrateo Ha PACKING</t>
        </is>
      </c>
      <c r="V2969" s="232" t="inlineStr">
        <is>
          <t>2026-06-18</t>
        </is>
      </c>
    </row>
    <row r="2970">
      <c r="A2970" s="232" t="inlineStr">
        <is>
          <t>CR-2967</t>
        </is>
      </c>
      <c r="B2970" s="232" t="inlineStr">
        <is>
          <t>2026/27</t>
        </is>
      </c>
      <c r="C2970" s="233" t="n">
        <v>46111</v>
      </c>
      <c r="D2970" s="232" t="inlineStr">
        <is>
          <t>411447</t>
        </is>
      </c>
      <c r="E2970" s="232" t="inlineStr">
        <is>
          <t>PRORRATEO</t>
        </is>
      </c>
      <c r="F2970" s="232" t="inlineStr">
        <is>
          <t>Santa Catalina</t>
        </is>
      </c>
      <c r="G2970" s="232" t="inlineStr">
        <is>
          <t>form benjamin 1,93 ha</t>
        </is>
      </c>
      <c r="H2970" s="232" t="inlineStr">
        <is>
          <t>Limon</t>
        </is>
      </c>
      <c r="I2970" s="232" t="inlineStr">
        <is>
          <t>Benjamin andes</t>
        </is>
      </c>
      <c r="J2970" s="232" t="inlineStr">
        <is>
          <t>COMBUSTIBLE</t>
        </is>
      </c>
      <c r="K2970" s="232" t="inlineStr">
        <is>
          <t>SIB. GRUA HORQUILLA ARRIENDO</t>
        </is>
      </c>
      <c r="L2970" s="232" t="inlineStr">
        <is>
          <t>[PRORRATEO 1.3% 1.93há/148.3há] O/001553 GAS ENV. 1</t>
        </is>
      </c>
      <c r="M2970" s="232" t="inlineStr"/>
      <c r="N2970" s="232" t="inlineStr">
        <is>
          <t>.   .   -</t>
        </is>
      </c>
      <c r="O2970" s="232" t="inlineStr">
        <is>
          <t>MARZO</t>
        </is>
      </c>
      <c r="P2970" s="232" t="n">
        <v>13</v>
      </c>
      <c r="Q2970" s="234" t="n">
        <v>823</v>
      </c>
      <c r="R2970" s="232" t="inlineStr"/>
      <c r="S2970" s="234" t="n">
        <v>823</v>
      </c>
      <c r="T2970" s="232" t="inlineStr">
        <is>
          <t>CLP</t>
        </is>
      </c>
      <c r="U2970" s="232" t="inlineStr">
        <is>
          <t>Prorrateo Ha PACKING</t>
        </is>
      </c>
      <c r="V2970" s="232" t="inlineStr">
        <is>
          <t>2026-06-18</t>
        </is>
      </c>
    </row>
    <row r="2971">
      <c r="A2971" s="232" t="inlineStr">
        <is>
          <t>CR-2968</t>
        </is>
      </c>
      <c r="B2971" s="232" t="inlineStr">
        <is>
          <t>2026/27</t>
        </is>
      </c>
      <c r="C2971" s="233" t="n">
        <v>46111</v>
      </c>
      <c r="D2971" s="232" t="inlineStr">
        <is>
          <t>411447</t>
        </is>
      </c>
      <c r="E2971" s="232" t="inlineStr">
        <is>
          <t>PRORRATEO</t>
        </is>
      </c>
      <c r="F2971" s="232" t="inlineStr">
        <is>
          <t>Santa Catalina</t>
        </is>
      </c>
      <c r="G2971" s="232" t="inlineStr">
        <is>
          <t>mant eureka 2,5 ha</t>
        </is>
      </c>
      <c r="H2971" s="232" t="inlineStr">
        <is>
          <t>Limon</t>
        </is>
      </c>
      <c r="I2971" s="232" t="inlineStr">
        <is>
          <t>Eureka</t>
        </is>
      </c>
      <c r="J2971" s="232" t="inlineStr">
        <is>
          <t>COMBUSTIBLE</t>
        </is>
      </c>
      <c r="K2971" s="232" t="inlineStr">
        <is>
          <t>SIB. GRUA HORQUILLA ARRIENDO</t>
        </is>
      </c>
      <c r="L2971" s="232" t="inlineStr">
        <is>
          <t>[PRORRATEO 1.7% 2.5há/148.3há] O/001553 GAS ENV. 1</t>
        </is>
      </c>
      <c r="M2971" s="232" t="inlineStr"/>
      <c r="N2971" s="232" t="inlineStr">
        <is>
          <t>.   .   -</t>
        </is>
      </c>
      <c r="O2971" s="232" t="inlineStr">
        <is>
          <t>MARZO</t>
        </is>
      </c>
      <c r="P2971" s="232" t="n">
        <v>13</v>
      </c>
      <c r="Q2971" s="234" t="n">
        <v>1066</v>
      </c>
      <c r="R2971" s="232" t="inlineStr"/>
      <c r="S2971" s="234" t="n">
        <v>1066</v>
      </c>
      <c r="T2971" s="232" t="inlineStr">
        <is>
          <t>CLP</t>
        </is>
      </c>
      <c r="U2971" s="232" t="inlineStr">
        <is>
          <t>Prorrateo Ha PACKING</t>
        </is>
      </c>
      <c r="V2971" s="232" t="inlineStr">
        <is>
          <t>2026-06-18</t>
        </is>
      </c>
    </row>
    <row r="2972">
      <c r="A2972" s="232" t="inlineStr">
        <is>
          <t>CR-2969</t>
        </is>
      </c>
      <c r="B2972" s="232" t="inlineStr">
        <is>
          <t>2026/27</t>
        </is>
      </c>
      <c r="C2972" s="233" t="n">
        <v>46111</v>
      </c>
      <c r="D2972" s="232" t="inlineStr">
        <is>
          <t>411447</t>
        </is>
      </c>
      <c r="E2972" s="232" t="inlineStr">
        <is>
          <t>PRORRATEO</t>
        </is>
      </c>
      <c r="F2972" s="232" t="inlineStr">
        <is>
          <t>Siberia</t>
        </is>
      </c>
      <c r="G2972" s="232" t="inlineStr">
        <is>
          <t>S. Celebration 7,14</t>
        </is>
      </c>
      <c r="H2972" s="232" t="inlineStr">
        <is>
          <t>Uvas</t>
        </is>
      </c>
      <c r="I2972" s="232" t="inlineStr">
        <is>
          <t>S. celebration</t>
        </is>
      </c>
      <c r="J2972" s="232" t="inlineStr">
        <is>
          <t>COMBUSTIBLE</t>
        </is>
      </c>
      <c r="K2972" s="232" t="inlineStr">
        <is>
          <t>SIB. GRUA HORQUILLA ARRIENDO</t>
        </is>
      </c>
      <c r="L2972" s="232" t="inlineStr">
        <is>
          <t>[PRORRATEO 4.8% 7.14há/148.3há] O/001553 GAS ENV. 1</t>
        </is>
      </c>
      <c r="M2972" s="232" t="inlineStr"/>
      <c r="N2972" s="232" t="inlineStr">
        <is>
          <t>.   .   -</t>
        </is>
      </c>
      <c r="O2972" s="232" t="inlineStr">
        <is>
          <t>MARZO</t>
        </is>
      </c>
      <c r="P2972" s="232" t="n">
        <v>13</v>
      </c>
      <c r="Q2972" s="234" t="n">
        <v>3044</v>
      </c>
      <c r="R2972" s="232" t="inlineStr"/>
      <c r="S2972" s="234" t="n">
        <v>3044</v>
      </c>
      <c r="T2972" s="232" t="inlineStr">
        <is>
          <t>CLP</t>
        </is>
      </c>
      <c r="U2972" s="232" t="inlineStr">
        <is>
          <t>Prorrateo Ha PACKING</t>
        </is>
      </c>
      <c r="V2972" s="232" t="inlineStr">
        <is>
          <t>2026-06-18</t>
        </is>
      </c>
    </row>
    <row r="2973">
      <c r="A2973" s="232" t="inlineStr">
        <is>
          <t>CR-2970</t>
        </is>
      </c>
      <c r="B2973" s="232" t="inlineStr">
        <is>
          <t>2026/27</t>
        </is>
      </c>
      <c r="C2973" s="233" t="n">
        <v>46111</v>
      </c>
      <c r="D2973" s="232" t="inlineStr">
        <is>
          <t>411447</t>
        </is>
      </c>
      <c r="E2973" s="232" t="inlineStr">
        <is>
          <t>PRORRATEO</t>
        </is>
      </c>
      <c r="F2973" s="232" t="inlineStr">
        <is>
          <t>Siberia</t>
        </is>
      </c>
      <c r="G2973" s="232" t="inlineStr">
        <is>
          <t>Timpson 7,1</t>
        </is>
      </c>
      <c r="H2973" s="232" t="inlineStr">
        <is>
          <t>Uvas</t>
        </is>
      </c>
      <c r="I2973" s="232" t="inlineStr">
        <is>
          <t>Timpson</t>
        </is>
      </c>
      <c r="J2973" s="232" t="inlineStr">
        <is>
          <t>COMBUSTIBLE</t>
        </is>
      </c>
      <c r="K2973" s="232" t="inlineStr">
        <is>
          <t>SIB. GRUA HORQUILLA ARRIENDO</t>
        </is>
      </c>
      <c r="L2973" s="232" t="inlineStr">
        <is>
          <t>[PRORRATEO 4.8% 7.1há/148.3há] O/001553 GAS ENV. 1</t>
        </is>
      </c>
      <c r="M2973" s="232" t="inlineStr"/>
      <c r="N2973" s="232" t="inlineStr">
        <is>
          <t>.   .   -</t>
        </is>
      </c>
      <c r="O2973" s="232" t="inlineStr">
        <is>
          <t>MARZO</t>
        </is>
      </c>
      <c r="P2973" s="232" t="n">
        <v>13</v>
      </c>
      <c r="Q2973" s="234" t="n">
        <v>3027</v>
      </c>
      <c r="R2973" s="232" t="inlineStr"/>
      <c r="S2973" s="234" t="n">
        <v>3027</v>
      </c>
      <c r="T2973" s="232" t="inlineStr">
        <is>
          <t>CLP</t>
        </is>
      </c>
      <c r="U2973" s="232" t="inlineStr">
        <is>
          <t>Prorrateo Ha PACKING</t>
        </is>
      </c>
      <c r="V2973" s="232" t="inlineStr">
        <is>
          <t>2026-06-18</t>
        </is>
      </c>
    </row>
    <row r="2974">
      <c r="A2974" s="232" t="inlineStr">
        <is>
          <t>CR-2971</t>
        </is>
      </c>
      <c r="B2974" s="232" t="inlineStr">
        <is>
          <t>2026/27</t>
        </is>
      </c>
      <c r="C2974" s="233" t="n">
        <v>46112</v>
      </c>
      <c r="D2974" s="232" t="inlineStr">
        <is>
          <t>442852</t>
        </is>
      </c>
      <c r="E2974" s="232" t="inlineStr">
        <is>
          <t>PRORRATEO</t>
        </is>
      </c>
      <c r="F2974" s="232" t="inlineStr">
        <is>
          <t>Asmara</t>
        </is>
      </c>
      <c r="G2974" s="232" t="inlineStr">
        <is>
          <t>w. murcott 19,8 ha</t>
        </is>
      </c>
      <c r="H2974" s="232" t="inlineStr">
        <is>
          <t>Mandarina</t>
        </is>
      </c>
      <c r="I2974" s="232" t="inlineStr">
        <is>
          <t>W. murcott</t>
        </is>
      </c>
      <c r="J2974" s="232" t="inlineStr">
        <is>
          <t>MANT. Y REP. PLANTACIONES</t>
        </is>
      </c>
      <c r="K2974" s="232" t="inlineStr">
        <is>
          <t>MANTENCION HUERTO</t>
        </is>
      </c>
      <c r="L2974" s="232" t="inlineStr">
        <is>
          <t>[PRORRATEO 13.4% 19.8há/148.3há] O/001547 RASCHEL 90</t>
        </is>
      </c>
      <c r="M2974" s="232" t="inlineStr"/>
      <c r="N2974" s="232" t="inlineStr">
        <is>
          <t>.   .   -</t>
        </is>
      </c>
      <c r="O2974" s="232" t="inlineStr">
        <is>
          <t>MARZO</t>
        </is>
      </c>
      <c r="P2974" s="232" t="n">
        <v>13</v>
      </c>
      <c r="Q2974" s="234" t="n">
        <v>23270</v>
      </c>
      <c r="R2974" s="232" t="inlineStr"/>
      <c r="S2974" s="234" t="n">
        <v>23270</v>
      </c>
      <c r="T2974" s="232" t="inlineStr">
        <is>
          <t>CLP</t>
        </is>
      </c>
      <c r="U2974" s="232" t="inlineStr">
        <is>
          <t>Prorrateo Ha PACKING</t>
        </is>
      </c>
      <c r="V2974" s="232" t="inlineStr">
        <is>
          <t>2026-06-18</t>
        </is>
      </c>
    </row>
    <row r="2975">
      <c r="A2975" s="232" t="inlineStr">
        <is>
          <t>CR-2972</t>
        </is>
      </c>
      <c r="B2975" s="232" t="inlineStr">
        <is>
          <t>2026/27</t>
        </is>
      </c>
      <c r="C2975" s="233" t="n">
        <v>46112</v>
      </c>
      <c r="D2975" s="232" t="inlineStr">
        <is>
          <t>442852</t>
        </is>
      </c>
      <c r="E2975" s="232" t="inlineStr">
        <is>
          <t>PRORRATEO</t>
        </is>
      </c>
      <c r="F2975" s="232" t="inlineStr">
        <is>
          <t>Asmara</t>
        </is>
      </c>
      <c r="G2975" s="232" t="inlineStr">
        <is>
          <t>w. murcott 4,9 ha</t>
        </is>
      </c>
      <c r="H2975" s="232" t="inlineStr">
        <is>
          <t>Mandarina</t>
        </is>
      </c>
      <c r="I2975" s="232" t="inlineStr">
        <is>
          <t>W. murcott</t>
        </is>
      </c>
      <c r="J2975" s="232" t="inlineStr">
        <is>
          <t>MANT. Y REP. PLANTACIONES</t>
        </is>
      </c>
      <c r="K2975" s="232" t="inlineStr">
        <is>
          <t>MANTENCION HUERTO</t>
        </is>
      </c>
      <c r="L2975" s="232" t="inlineStr">
        <is>
          <t>[PRORRATEO 3.3% 4.9há/148.3há] O/001547 RASCHEL 90</t>
        </is>
      </c>
      <c r="M2975" s="232" t="inlineStr"/>
      <c r="N2975" s="232" t="inlineStr">
        <is>
          <t>.   .   -</t>
        </is>
      </c>
      <c r="O2975" s="232" t="inlineStr">
        <is>
          <t>MARZO</t>
        </is>
      </c>
      <c r="P2975" s="232" t="n">
        <v>13</v>
      </c>
      <c r="Q2975" s="234" t="n">
        <v>5759</v>
      </c>
      <c r="R2975" s="232" t="inlineStr"/>
      <c r="S2975" s="234" t="n">
        <v>5759</v>
      </c>
      <c r="T2975" s="232" t="inlineStr">
        <is>
          <t>CLP</t>
        </is>
      </c>
      <c r="U2975" s="232" t="inlineStr">
        <is>
          <t>Prorrateo Ha PACKING</t>
        </is>
      </c>
      <c r="V2975" s="232" t="inlineStr">
        <is>
          <t>2026-06-18</t>
        </is>
      </c>
    </row>
    <row r="2976">
      <c r="A2976" s="232" t="inlineStr">
        <is>
          <t>CR-2973</t>
        </is>
      </c>
      <c r="B2976" s="232" t="inlineStr">
        <is>
          <t>2026/27</t>
        </is>
      </c>
      <c r="C2976" s="233" t="n">
        <v>46112</v>
      </c>
      <c r="D2976" s="232" t="inlineStr">
        <is>
          <t>442852</t>
        </is>
      </c>
      <c r="E2976" s="232" t="inlineStr">
        <is>
          <t>PRORRATEO</t>
        </is>
      </c>
      <c r="F2976" s="232" t="inlineStr">
        <is>
          <t>El Molle</t>
        </is>
      </c>
      <c r="G2976" s="232" t="inlineStr">
        <is>
          <t>Wonderful 5,25 ha</t>
        </is>
      </c>
      <c r="H2976" s="232" t="inlineStr">
        <is>
          <t>Granados</t>
        </is>
      </c>
      <c r="I2976" s="232" t="inlineStr">
        <is>
          <t>Wonderfull</t>
        </is>
      </c>
      <c r="J2976" s="232" t="inlineStr">
        <is>
          <t>MANT. Y REP. PLANTACIONES</t>
        </is>
      </c>
      <c r="K2976" s="232" t="inlineStr">
        <is>
          <t>MANTENCION HUERTO</t>
        </is>
      </c>
      <c r="L2976" s="232" t="inlineStr">
        <is>
          <t>[PRORRATEO 3.5% 5.24há/148.3há] O/001547 RASCHEL 90</t>
        </is>
      </c>
      <c r="M2976" s="232" t="inlineStr"/>
      <c r="N2976" s="232" t="inlineStr">
        <is>
          <t>.   .   -</t>
        </is>
      </c>
      <c r="O2976" s="232" t="inlineStr">
        <is>
          <t>MARZO</t>
        </is>
      </c>
      <c r="P2976" s="232" t="n">
        <v>13</v>
      </c>
      <c r="Q2976" s="234" t="n">
        <v>6158</v>
      </c>
      <c r="R2976" s="232" t="inlineStr"/>
      <c r="S2976" s="234" t="n">
        <v>6158</v>
      </c>
      <c r="T2976" s="232" t="inlineStr">
        <is>
          <t>CLP</t>
        </is>
      </c>
      <c r="U2976" s="232" t="inlineStr">
        <is>
          <t>Prorrateo Ha PACKING</t>
        </is>
      </c>
      <c r="V2976" s="232" t="inlineStr">
        <is>
          <t>2026-06-18</t>
        </is>
      </c>
    </row>
    <row r="2977">
      <c r="A2977" s="232" t="inlineStr">
        <is>
          <t>CR-2974</t>
        </is>
      </c>
      <c r="B2977" s="232" t="inlineStr">
        <is>
          <t>2026/27</t>
        </is>
      </c>
      <c r="C2977" s="233" t="n">
        <v>46112</v>
      </c>
      <c r="D2977" s="232" t="inlineStr">
        <is>
          <t>442852</t>
        </is>
      </c>
      <c r="E2977" s="232" t="inlineStr">
        <is>
          <t>PRORRATEO</t>
        </is>
      </c>
      <c r="F2977" s="232" t="inlineStr">
        <is>
          <t>El Molle</t>
        </is>
      </c>
      <c r="G2977" s="232" t="inlineStr">
        <is>
          <t>arrufatinas 5,74 ha</t>
        </is>
      </c>
      <c r="H2977" s="232" t="inlineStr">
        <is>
          <t>Clementinas</t>
        </is>
      </c>
      <c r="I2977" s="232" t="inlineStr">
        <is>
          <t>Arrufatinas</t>
        </is>
      </c>
      <c r="J2977" s="232" t="inlineStr">
        <is>
          <t>MANT. Y REP. PLANTACIONES</t>
        </is>
      </c>
      <c r="K2977" s="232" t="inlineStr">
        <is>
          <t>MANTENCION HUERTO</t>
        </is>
      </c>
      <c r="L2977" s="232" t="inlineStr">
        <is>
          <t>[PRORRATEO 3.9% 5.74há/148.3há] O/001547 RASCHEL 90</t>
        </is>
      </c>
      <c r="M2977" s="232" t="inlineStr"/>
      <c r="N2977" s="232" t="inlineStr">
        <is>
          <t>.   .   -</t>
        </is>
      </c>
      <c r="O2977" s="232" t="inlineStr">
        <is>
          <t>MARZO</t>
        </is>
      </c>
      <c r="P2977" s="232" t="n">
        <v>13</v>
      </c>
      <c r="Q2977" s="234" t="n">
        <v>6746</v>
      </c>
      <c r="R2977" s="232" t="inlineStr"/>
      <c r="S2977" s="234" t="n">
        <v>6746</v>
      </c>
      <c r="T2977" s="232" t="inlineStr">
        <is>
          <t>CLP</t>
        </is>
      </c>
      <c r="U2977" s="232" t="inlineStr">
        <is>
          <t>Prorrateo Ha PACKING</t>
        </is>
      </c>
      <c r="V2977" s="232" t="inlineStr">
        <is>
          <t>2026-06-18</t>
        </is>
      </c>
    </row>
    <row r="2978">
      <c r="A2978" s="232" t="inlineStr">
        <is>
          <t>CR-2975</t>
        </is>
      </c>
      <c r="B2978" s="232" t="inlineStr">
        <is>
          <t>2026/27</t>
        </is>
      </c>
      <c r="C2978" s="233" t="n">
        <v>46112</v>
      </c>
      <c r="D2978" s="232" t="inlineStr">
        <is>
          <t>442852</t>
        </is>
      </c>
      <c r="E2978" s="232" t="inlineStr">
        <is>
          <t>PRORRATEO</t>
        </is>
      </c>
      <c r="F2978" s="232" t="inlineStr">
        <is>
          <t>El Molle</t>
        </is>
      </c>
      <c r="G2978" s="232" t="inlineStr">
        <is>
          <t>orogrande 8,11 ha</t>
        </is>
      </c>
      <c r="H2978" s="232" t="inlineStr">
        <is>
          <t>Clementinas</t>
        </is>
      </c>
      <c r="I2978" s="232" t="inlineStr">
        <is>
          <t>Orogrande</t>
        </is>
      </c>
      <c r="J2978" s="232" t="inlineStr">
        <is>
          <t>MANT. Y REP. PLANTACIONES</t>
        </is>
      </c>
      <c r="K2978" s="232" t="inlineStr">
        <is>
          <t>MANTENCION HUERTO</t>
        </is>
      </c>
      <c r="L2978" s="232" t="inlineStr">
        <is>
          <t>[PRORRATEO 5.5% 8.11há/148.3há] O/001547 RASCHEL 90</t>
        </is>
      </c>
      <c r="M2978" s="232" t="inlineStr"/>
      <c r="N2978" s="232" t="inlineStr">
        <is>
          <t>.   .   -</t>
        </is>
      </c>
      <c r="O2978" s="232" t="inlineStr">
        <is>
          <t>MARZO</t>
        </is>
      </c>
      <c r="P2978" s="232" t="n">
        <v>13</v>
      </c>
      <c r="Q2978" s="234" t="n">
        <v>9531</v>
      </c>
      <c r="R2978" s="232" t="inlineStr"/>
      <c r="S2978" s="234" t="n">
        <v>9531</v>
      </c>
      <c r="T2978" s="232" t="inlineStr">
        <is>
          <t>CLP</t>
        </is>
      </c>
      <c r="U2978" s="232" t="inlineStr">
        <is>
          <t>Prorrateo Ha PACKING</t>
        </is>
      </c>
      <c r="V2978" s="232" t="inlineStr">
        <is>
          <t>2026-06-18</t>
        </is>
      </c>
    </row>
    <row r="2979">
      <c r="A2979" s="232" t="inlineStr">
        <is>
          <t>CR-2976</t>
        </is>
      </c>
      <c r="B2979" s="232" t="inlineStr">
        <is>
          <t>2026/27</t>
        </is>
      </c>
      <c r="C2979" s="233" t="n">
        <v>46112</v>
      </c>
      <c r="D2979" s="232" t="inlineStr">
        <is>
          <t>442852</t>
        </is>
      </c>
      <c r="E2979" s="232" t="inlineStr">
        <is>
          <t>PRORRATEO</t>
        </is>
      </c>
      <c r="F2979" s="232" t="inlineStr">
        <is>
          <t>El Molle</t>
        </is>
      </c>
      <c r="G2979" s="232" t="inlineStr">
        <is>
          <t>oronules 5,35 ha</t>
        </is>
      </c>
      <c r="H2979" s="232" t="inlineStr">
        <is>
          <t>Clementinas</t>
        </is>
      </c>
      <c r="I2979" s="232" t="inlineStr">
        <is>
          <t>Oronules</t>
        </is>
      </c>
      <c r="J2979" s="232" t="inlineStr">
        <is>
          <t>MANT. Y REP. PLANTACIONES</t>
        </is>
      </c>
      <c r="K2979" s="232" t="inlineStr">
        <is>
          <t>MANTENCION HUERTO</t>
        </is>
      </c>
      <c r="L2979" s="232" t="inlineStr">
        <is>
          <t>[PRORRATEO 3.6% 5.35há/148.3há] O/001547 RASCHEL 90</t>
        </is>
      </c>
      <c r="M2979" s="232" t="inlineStr"/>
      <c r="N2979" s="232" t="inlineStr">
        <is>
          <t>.   .   -</t>
        </is>
      </c>
      <c r="O2979" s="232" t="inlineStr">
        <is>
          <t>MARZO</t>
        </is>
      </c>
      <c r="P2979" s="232" t="n">
        <v>13</v>
      </c>
      <c r="Q2979" s="234" t="n">
        <v>6288</v>
      </c>
      <c r="R2979" s="232" t="inlineStr"/>
      <c r="S2979" s="234" t="n">
        <v>6288</v>
      </c>
      <c r="T2979" s="232" t="inlineStr">
        <is>
          <t>CLP</t>
        </is>
      </c>
      <c r="U2979" s="232" t="inlineStr">
        <is>
          <t>Prorrateo Ha PACKING</t>
        </is>
      </c>
      <c r="V2979" s="232" t="inlineStr">
        <is>
          <t>2026-06-18</t>
        </is>
      </c>
    </row>
    <row r="2980">
      <c r="A2980" s="232" t="inlineStr">
        <is>
          <t>CR-2977</t>
        </is>
      </c>
      <c r="B2980" s="232" t="inlineStr">
        <is>
          <t>2026/27</t>
        </is>
      </c>
      <c r="C2980" s="233" t="n">
        <v>46112</v>
      </c>
      <c r="D2980" s="232" t="inlineStr">
        <is>
          <t>442852</t>
        </is>
      </c>
      <c r="E2980" s="232" t="inlineStr">
        <is>
          <t>PRORRATEO</t>
        </is>
      </c>
      <c r="F2980" s="232" t="inlineStr">
        <is>
          <t>Santa Catalina</t>
        </is>
      </c>
      <c r="G2980" s="232" t="inlineStr">
        <is>
          <t>Fino 49 7,7 ha</t>
        </is>
      </c>
      <c r="H2980" s="232" t="inlineStr">
        <is>
          <t>Limon</t>
        </is>
      </c>
      <c r="I2980" s="232" t="inlineStr">
        <is>
          <t>Fino 49</t>
        </is>
      </c>
      <c r="J2980" s="232" t="inlineStr">
        <is>
          <t>MANT. Y REP. PLANTACIONES</t>
        </is>
      </c>
      <c r="K2980" s="232" t="inlineStr">
        <is>
          <t>MANTENCION HUERTO</t>
        </is>
      </c>
      <c r="L2980" s="232" t="inlineStr">
        <is>
          <t>[PRORRATEO 5.2% 7.7há/148.3há] O/001547 RASCHEL 90</t>
        </is>
      </c>
      <c r="M2980" s="232" t="inlineStr"/>
      <c r="N2980" s="232" t="inlineStr">
        <is>
          <t>.   .   -</t>
        </is>
      </c>
      <c r="O2980" s="232" t="inlineStr">
        <is>
          <t>MARZO</t>
        </is>
      </c>
      <c r="P2980" s="232" t="n">
        <v>13</v>
      </c>
      <c r="Q2980" s="234" t="n">
        <v>9049</v>
      </c>
      <c r="R2980" s="232" t="inlineStr"/>
      <c r="S2980" s="234" t="n">
        <v>9049</v>
      </c>
      <c r="T2980" s="232" t="inlineStr">
        <is>
          <t>CLP</t>
        </is>
      </c>
      <c r="U2980" s="232" t="inlineStr">
        <is>
          <t>Prorrateo Ha PACKING</t>
        </is>
      </c>
      <c r="V2980" s="232" t="inlineStr">
        <is>
          <t>2026-06-18</t>
        </is>
      </c>
    </row>
    <row r="2981">
      <c r="A2981" s="232" t="inlineStr">
        <is>
          <t>CR-2978</t>
        </is>
      </c>
      <c r="B2981" s="232" t="inlineStr">
        <is>
          <t>2026/27</t>
        </is>
      </c>
      <c r="C2981" s="233" t="n">
        <v>46112</v>
      </c>
      <c r="D2981" s="232" t="inlineStr">
        <is>
          <t>442852</t>
        </is>
      </c>
      <c r="E2981" s="232" t="inlineStr">
        <is>
          <t>PRORRATEO</t>
        </is>
      </c>
      <c r="F2981" s="232" t="inlineStr">
        <is>
          <t>Santa Catalina</t>
        </is>
      </c>
      <c r="G2981" s="232" t="inlineStr">
        <is>
          <t>W. murcott 21 ha</t>
        </is>
      </c>
      <c r="H2981" s="232" t="inlineStr">
        <is>
          <t>Mandarina</t>
        </is>
      </c>
      <c r="I2981" s="232" t="inlineStr">
        <is>
          <t>W. murcott</t>
        </is>
      </c>
      <c r="J2981" s="232" t="inlineStr">
        <is>
          <t>MANT. Y REP. PLANTACIONES</t>
        </is>
      </c>
      <c r="K2981" s="232" t="inlineStr">
        <is>
          <t>MANTENCION HUERTO</t>
        </is>
      </c>
      <c r="L2981" s="232" t="inlineStr">
        <is>
          <t>[PRORRATEO 14.2% 21.0há/148.3há] O/001547 RASCHEL 90</t>
        </is>
      </c>
      <c r="M2981" s="232" t="inlineStr"/>
      <c r="N2981" s="232" t="inlineStr">
        <is>
          <t>.   .   -</t>
        </is>
      </c>
      <c r="O2981" s="232" t="inlineStr">
        <is>
          <t>MARZO</t>
        </is>
      </c>
      <c r="P2981" s="232" t="n">
        <v>13</v>
      </c>
      <c r="Q2981" s="234" t="n">
        <v>24680</v>
      </c>
      <c r="R2981" s="232" t="inlineStr"/>
      <c r="S2981" s="234" t="n">
        <v>24680</v>
      </c>
      <c r="T2981" s="232" t="inlineStr">
        <is>
          <t>CLP</t>
        </is>
      </c>
      <c r="U2981" s="232" t="inlineStr">
        <is>
          <t>Prorrateo Ha PACKING</t>
        </is>
      </c>
      <c r="V2981" s="232" t="inlineStr">
        <is>
          <t>2026-06-18</t>
        </is>
      </c>
    </row>
    <row r="2982">
      <c r="A2982" s="232" t="inlineStr">
        <is>
          <t>CR-2979</t>
        </is>
      </c>
      <c r="B2982" s="232" t="inlineStr">
        <is>
          <t>2026/27</t>
        </is>
      </c>
      <c r="C2982" s="233" t="n">
        <v>46112</v>
      </c>
      <c r="D2982" s="232" t="inlineStr">
        <is>
          <t>442852</t>
        </is>
      </c>
      <c r="E2982" s="232" t="inlineStr">
        <is>
          <t>PRORRATEO</t>
        </is>
      </c>
      <c r="F2982" s="232" t="inlineStr">
        <is>
          <t>Santa Catalina</t>
        </is>
      </c>
      <c r="G2982" s="232" t="inlineStr">
        <is>
          <t>cambria 4,2 ha</t>
        </is>
      </c>
      <c r="H2982" s="232" t="inlineStr">
        <is>
          <t>Naranjas</t>
        </is>
      </c>
      <c r="I2982" s="232" t="inlineStr">
        <is>
          <t>Cambria</t>
        </is>
      </c>
      <c r="J2982" s="232" t="inlineStr">
        <is>
          <t>MANT. Y REP. PLANTACIONES</t>
        </is>
      </c>
      <c r="K2982" s="232" t="inlineStr">
        <is>
          <t>MANTENCION HUERTO</t>
        </is>
      </c>
      <c r="L2982" s="232" t="inlineStr">
        <is>
          <t>[PRORRATEO 2.8% 4.2há/148.3há] O/001547 RASCHEL 90</t>
        </is>
      </c>
      <c r="M2982" s="232" t="inlineStr"/>
      <c r="N2982" s="232" t="inlineStr">
        <is>
          <t>.   .   -</t>
        </is>
      </c>
      <c r="O2982" s="232" t="inlineStr">
        <is>
          <t>MARZO</t>
        </is>
      </c>
      <c r="P2982" s="232" t="n">
        <v>13</v>
      </c>
      <c r="Q2982" s="234" t="n">
        <v>4936</v>
      </c>
      <c r="R2982" s="232" t="inlineStr"/>
      <c r="S2982" s="234" t="n">
        <v>4936</v>
      </c>
      <c r="T2982" s="232" t="inlineStr">
        <is>
          <t>CLP</t>
        </is>
      </c>
      <c r="U2982" s="232" t="inlineStr">
        <is>
          <t>Prorrateo Ha PACKING</t>
        </is>
      </c>
      <c r="V2982" s="232" t="inlineStr">
        <is>
          <t>2026-06-18</t>
        </is>
      </c>
    </row>
    <row r="2983">
      <c r="A2983" s="232" t="inlineStr">
        <is>
          <t>CR-2980</t>
        </is>
      </c>
      <c r="B2983" s="232" t="inlineStr">
        <is>
          <t>2026/27</t>
        </is>
      </c>
      <c r="C2983" s="233" t="n">
        <v>46112</v>
      </c>
      <c r="D2983" s="232" t="inlineStr">
        <is>
          <t>442852</t>
        </is>
      </c>
      <c r="E2983" s="232" t="inlineStr">
        <is>
          <t>PRORRATEO</t>
        </is>
      </c>
      <c r="F2983" s="232" t="inlineStr">
        <is>
          <t>Santa Catalina</t>
        </is>
      </c>
      <c r="G2983" s="232" t="inlineStr">
        <is>
          <t>eureka 10,6 ha</t>
        </is>
      </c>
      <c r="H2983" s="232" t="inlineStr">
        <is>
          <t>Limon</t>
        </is>
      </c>
      <c r="I2983" s="232" t="inlineStr">
        <is>
          <t>Eureka</t>
        </is>
      </c>
      <c r="J2983" s="232" t="inlineStr">
        <is>
          <t>MANT. Y REP. PLANTACIONES</t>
        </is>
      </c>
      <c r="K2983" s="232" t="inlineStr">
        <is>
          <t>MANTENCION HUERTO</t>
        </is>
      </c>
      <c r="L2983" s="232" t="inlineStr">
        <is>
          <t>[PRORRATEO 7.1% 10.6há/148.3há] O/001547 RASCHEL 90</t>
        </is>
      </c>
      <c r="M2983" s="232" t="inlineStr"/>
      <c r="N2983" s="232" t="inlineStr">
        <is>
          <t>.   .   -</t>
        </is>
      </c>
      <c r="O2983" s="232" t="inlineStr">
        <is>
          <t>MARZO</t>
        </is>
      </c>
      <c r="P2983" s="232" t="n">
        <v>13</v>
      </c>
      <c r="Q2983" s="234" t="n">
        <v>12458</v>
      </c>
      <c r="R2983" s="232" t="inlineStr"/>
      <c r="S2983" s="234" t="n">
        <v>12458</v>
      </c>
      <c r="T2983" s="232" t="inlineStr">
        <is>
          <t>CLP</t>
        </is>
      </c>
      <c r="U2983" s="232" t="inlineStr">
        <is>
          <t>Prorrateo Ha PACKING</t>
        </is>
      </c>
      <c r="V2983" s="232" t="inlineStr">
        <is>
          <t>2026-06-18</t>
        </is>
      </c>
    </row>
    <row r="2984">
      <c r="A2984" s="232" t="inlineStr">
        <is>
          <t>CR-2981</t>
        </is>
      </c>
      <c r="B2984" s="232" t="inlineStr">
        <is>
          <t>2026/27</t>
        </is>
      </c>
      <c r="C2984" s="233" t="n">
        <v>46112</v>
      </c>
      <c r="D2984" s="232" t="inlineStr">
        <is>
          <t>442852</t>
        </is>
      </c>
      <c r="E2984" s="232" t="inlineStr">
        <is>
          <t>PRORRATEO</t>
        </is>
      </c>
      <c r="F2984" s="232" t="inlineStr">
        <is>
          <t>Santa Catalina</t>
        </is>
      </c>
      <c r="G2984" s="232" t="inlineStr">
        <is>
          <t>eureka 14,4 ha</t>
        </is>
      </c>
      <c r="H2984" s="232" t="inlineStr">
        <is>
          <t>Limon</t>
        </is>
      </c>
      <c r="I2984" s="232" t="inlineStr">
        <is>
          <t>Eureka</t>
        </is>
      </c>
      <c r="J2984" s="232" t="inlineStr">
        <is>
          <t>MANT. Y REP. PLANTACIONES</t>
        </is>
      </c>
      <c r="K2984" s="232" t="inlineStr">
        <is>
          <t>MANTENCION HUERTO</t>
        </is>
      </c>
      <c r="L2984" s="232" t="inlineStr">
        <is>
          <t>[PRORRATEO 9.7% 14.4há/148.3há] O/001547 RASCHEL 90</t>
        </is>
      </c>
      <c r="M2984" s="232" t="inlineStr"/>
      <c r="N2984" s="232" t="inlineStr">
        <is>
          <t>.   .   -</t>
        </is>
      </c>
      <c r="O2984" s="232" t="inlineStr">
        <is>
          <t>MARZO</t>
        </is>
      </c>
      <c r="P2984" s="232" t="n">
        <v>13</v>
      </c>
      <c r="Q2984" s="234" t="n">
        <v>16924</v>
      </c>
      <c r="R2984" s="232" t="inlineStr"/>
      <c r="S2984" s="234" t="n">
        <v>16924</v>
      </c>
      <c r="T2984" s="232" t="inlineStr">
        <is>
          <t>CLP</t>
        </is>
      </c>
      <c r="U2984" s="232" t="inlineStr">
        <is>
          <t>Prorrateo Ha PACKING</t>
        </is>
      </c>
      <c r="V2984" s="232" t="inlineStr">
        <is>
          <t>2026-06-18</t>
        </is>
      </c>
    </row>
    <row r="2985">
      <c r="A2985" s="232" t="inlineStr">
        <is>
          <t>CR-2982</t>
        </is>
      </c>
      <c r="B2985" s="232" t="inlineStr">
        <is>
          <t>2026/27</t>
        </is>
      </c>
      <c r="C2985" s="233" t="n">
        <v>46112</v>
      </c>
      <c r="D2985" s="232" t="inlineStr">
        <is>
          <t>442852</t>
        </is>
      </c>
      <c r="E2985" s="232" t="inlineStr">
        <is>
          <t>PRORRATEO</t>
        </is>
      </c>
      <c r="F2985" s="232" t="inlineStr">
        <is>
          <t>Santa Catalina</t>
        </is>
      </c>
      <c r="G2985" s="232" t="inlineStr">
        <is>
          <t>eureka 22,55</t>
        </is>
      </c>
      <c r="H2985" s="232" t="inlineStr">
        <is>
          <t>Limon</t>
        </is>
      </c>
      <c r="I2985" s="232" t="inlineStr">
        <is>
          <t>Eureka</t>
        </is>
      </c>
      <c r="J2985" s="232" t="inlineStr">
        <is>
          <t>MANT. Y REP. PLANTACIONES</t>
        </is>
      </c>
      <c r="K2985" s="232" t="inlineStr">
        <is>
          <t>MANTENCION HUERTO</t>
        </is>
      </c>
      <c r="L2985" s="232" t="inlineStr">
        <is>
          <t>[PRORRATEO 15.2% 22.55há/148.3há] O/001547 RASCHEL 90</t>
        </is>
      </c>
      <c r="M2985" s="232" t="inlineStr"/>
      <c r="N2985" s="232" t="inlineStr">
        <is>
          <t>.   .   -</t>
        </is>
      </c>
      <c r="O2985" s="232" t="inlineStr">
        <is>
          <t>MARZO</t>
        </is>
      </c>
      <c r="P2985" s="232" t="n">
        <v>13</v>
      </c>
      <c r="Q2985" s="234" t="n">
        <v>26502</v>
      </c>
      <c r="R2985" s="232" t="inlineStr"/>
      <c r="S2985" s="234" t="n">
        <v>26502</v>
      </c>
      <c r="T2985" s="232" t="inlineStr">
        <is>
          <t>CLP</t>
        </is>
      </c>
      <c r="U2985" s="232" t="inlineStr">
        <is>
          <t>Prorrateo Ha PACKING</t>
        </is>
      </c>
      <c r="V2985" s="232" t="inlineStr">
        <is>
          <t>2026-06-18</t>
        </is>
      </c>
    </row>
    <row r="2986">
      <c r="A2986" s="232" t="inlineStr">
        <is>
          <t>CR-2983</t>
        </is>
      </c>
      <c r="B2986" s="232" t="inlineStr">
        <is>
          <t>2026/27</t>
        </is>
      </c>
      <c r="C2986" s="233" t="n">
        <v>46112</v>
      </c>
      <c r="D2986" s="232" t="inlineStr">
        <is>
          <t>442852</t>
        </is>
      </c>
      <c r="E2986" s="232" t="inlineStr">
        <is>
          <t>PRORRATEO</t>
        </is>
      </c>
      <c r="F2986" s="232" t="inlineStr">
        <is>
          <t>Santa Catalina</t>
        </is>
      </c>
      <c r="G2986" s="232" t="inlineStr">
        <is>
          <t>form benjamin 1,93 ha</t>
        </is>
      </c>
      <c r="H2986" s="232" t="inlineStr">
        <is>
          <t>Limon</t>
        </is>
      </c>
      <c r="I2986" s="232" t="inlineStr">
        <is>
          <t>Benjamin andes</t>
        </is>
      </c>
      <c r="J2986" s="232" t="inlineStr">
        <is>
          <t>MANT. Y REP. PLANTACIONES</t>
        </is>
      </c>
      <c r="K2986" s="232" t="inlineStr">
        <is>
          <t>MANTENCION HUERTO</t>
        </is>
      </c>
      <c r="L2986" s="232" t="inlineStr">
        <is>
          <t>[PRORRATEO 1.3% 1.93há/148.3há] O/001547 RASCHEL 90</t>
        </is>
      </c>
      <c r="M2986" s="232" t="inlineStr"/>
      <c r="N2986" s="232" t="inlineStr">
        <is>
          <t>.   .   -</t>
        </is>
      </c>
      <c r="O2986" s="232" t="inlineStr">
        <is>
          <t>MARZO</t>
        </is>
      </c>
      <c r="P2986" s="232" t="n">
        <v>13</v>
      </c>
      <c r="Q2986" s="234" t="n">
        <v>2268</v>
      </c>
      <c r="R2986" s="232" t="inlineStr"/>
      <c r="S2986" s="234" t="n">
        <v>2268</v>
      </c>
      <c r="T2986" s="232" t="inlineStr">
        <is>
          <t>CLP</t>
        </is>
      </c>
      <c r="U2986" s="232" t="inlineStr">
        <is>
          <t>Prorrateo Ha PACKING</t>
        </is>
      </c>
      <c r="V2986" s="232" t="inlineStr">
        <is>
          <t>2026-06-18</t>
        </is>
      </c>
    </row>
    <row r="2987">
      <c r="A2987" s="232" t="inlineStr">
        <is>
          <t>CR-2984</t>
        </is>
      </c>
      <c r="B2987" s="232" t="inlineStr">
        <is>
          <t>2026/27</t>
        </is>
      </c>
      <c r="C2987" s="233" t="n">
        <v>46112</v>
      </c>
      <c r="D2987" s="232" t="inlineStr">
        <is>
          <t>442852</t>
        </is>
      </c>
      <c r="E2987" s="232" t="inlineStr">
        <is>
          <t>PRORRATEO</t>
        </is>
      </c>
      <c r="F2987" s="232" t="inlineStr">
        <is>
          <t>Santa Catalina</t>
        </is>
      </c>
      <c r="G2987" s="232" t="inlineStr">
        <is>
          <t>mant eureka 2,5 ha</t>
        </is>
      </c>
      <c r="H2987" s="232" t="inlineStr">
        <is>
          <t>Limon</t>
        </is>
      </c>
      <c r="I2987" s="232" t="inlineStr">
        <is>
          <t>Eureka</t>
        </is>
      </c>
      <c r="J2987" s="232" t="inlineStr">
        <is>
          <t>MANT. Y REP. PLANTACIONES</t>
        </is>
      </c>
      <c r="K2987" s="232" t="inlineStr">
        <is>
          <t>MANTENCION HUERTO</t>
        </is>
      </c>
      <c r="L2987" s="232" t="inlineStr">
        <is>
          <t>[PRORRATEO 1.7% 2.5há/148.3há] O/001547 RASCHEL 90</t>
        </is>
      </c>
      <c r="M2987" s="232" t="inlineStr"/>
      <c r="N2987" s="232" t="inlineStr">
        <is>
          <t>.   .   -</t>
        </is>
      </c>
      <c r="O2987" s="232" t="inlineStr">
        <is>
          <t>MARZO</t>
        </is>
      </c>
      <c r="P2987" s="232" t="n">
        <v>13</v>
      </c>
      <c r="Q2987" s="234" t="n">
        <v>2938</v>
      </c>
      <c r="R2987" s="232" t="inlineStr"/>
      <c r="S2987" s="234" t="n">
        <v>2938</v>
      </c>
      <c r="T2987" s="232" t="inlineStr">
        <is>
          <t>CLP</t>
        </is>
      </c>
      <c r="U2987" s="232" t="inlineStr">
        <is>
          <t>Prorrateo Ha PACKING</t>
        </is>
      </c>
      <c r="V2987" s="232" t="inlineStr">
        <is>
          <t>2026-06-18</t>
        </is>
      </c>
    </row>
    <row r="2988">
      <c r="A2988" s="232" t="inlineStr">
        <is>
          <t>CR-2985</t>
        </is>
      </c>
      <c r="B2988" s="232" t="inlineStr">
        <is>
          <t>2026/27</t>
        </is>
      </c>
      <c r="C2988" s="233" t="n">
        <v>46112</v>
      </c>
      <c r="D2988" s="232" t="inlineStr">
        <is>
          <t>442852</t>
        </is>
      </c>
      <c r="E2988" s="232" t="inlineStr">
        <is>
          <t>PRORRATEO</t>
        </is>
      </c>
      <c r="F2988" s="232" t="inlineStr">
        <is>
          <t>Siberia</t>
        </is>
      </c>
      <c r="G2988" s="232" t="inlineStr">
        <is>
          <t>S. Celebration 7,14</t>
        </is>
      </c>
      <c r="H2988" s="232" t="inlineStr">
        <is>
          <t>Uvas</t>
        </is>
      </c>
      <c r="I2988" s="232" t="inlineStr">
        <is>
          <t>S. celebration</t>
        </is>
      </c>
      <c r="J2988" s="232" t="inlineStr">
        <is>
          <t>MANT. Y REP. PLANTACIONES</t>
        </is>
      </c>
      <c r="K2988" s="232" t="inlineStr">
        <is>
          <t>MANTENCION HUERTO</t>
        </is>
      </c>
      <c r="L2988" s="232" t="inlineStr">
        <is>
          <t>[PRORRATEO 4.8% 7.14há/148.3há] O/001547 RASCHEL 90</t>
        </is>
      </c>
      <c r="M2988" s="232" t="inlineStr"/>
      <c r="N2988" s="232" t="inlineStr">
        <is>
          <t>.   .   -</t>
        </is>
      </c>
      <c r="O2988" s="232" t="inlineStr">
        <is>
          <t>MARZO</t>
        </is>
      </c>
      <c r="P2988" s="232" t="n">
        <v>13</v>
      </c>
      <c r="Q2988" s="234" t="n">
        <v>8391</v>
      </c>
      <c r="R2988" s="232" t="inlineStr"/>
      <c r="S2988" s="234" t="n">
        <v>8391</v>
      </c>
      <c r="T2988" s="232" t="inlineStr">
        <is>
          <t>CLP</t>
        </is>
      </c>
      <c r="U2988" s="232" t="inlineStr">
        <is>
          <t>Prorrateo Ha PACKING</t>
        </is>
      </c>
      <c r="V2988" s="232" t="inlineStr">
        <is>
          <t>2026-06-18</t>
        </is>
      </c>
    </row>
    <row r="2989">
      <c r="A2989" s="232" t="inlineStr">
        <is>
          <t>CR-2986</t>
        </is>
      </c>
      <c r="B2989" s="232" t="inlineStr">
        <is>
          <t>2026/27</t>
        </is>
      </c>
      <c r="C2989" s="233" t="n">
        <v>46112</v>
      </c>
      <c r="D2989" s="232" t="inlineStr">
        <is>
          <t>442852</t>
        </is>
      </c>
      <c r="E2989" s="232" t="inlineStr">
        <is>
          <t>PRORRATEO</t>
        </is>
      </c>
      <c r="F2989" s="232" t="inlineStr">
        <is>
          <t>Siberia</t>
        </is>
      </c>
      <c r="G2989" s="232" t="inlineStr">
        <is>
          <t>Timpson 7,1</t>
        </is>
      </c>
      <c r="H2989" s="232" t="inlineStr">
        <is>
          <t>Uvas</t>
        </is>
      </c>
      <c r="I2989" s="232" t="inlineStr">
        <is>
          <t>Timpson</t>
        </is>
      </c>
      <c r="J2989" s="232" t="inlineStr">
        <is>
          <t>MANT. Y REP. PLANTACIONES</t>
        </is>
      </c>
      <c r="K2989" s="232" t="inlineStr">
        <is>
          <t>MANTENCION HUERTO</t>
        </is>
      </c>
      <c r="L2989" s="232" t="inlineStr">
        <is>
          <t>[PRORRATEO 4.8% 7.1há/148.3há] O/001547 RASCHEL 90</t>
        </is>
      </c>
      <c r="M2989" s="232" t="inlineStr"/>
      <c r="N2989" s="232" t="inlineStr">
        <is>
          <t>.   .   -</t>
        </is>
      </c>
      <c r="O2989" s="232" t="inlineStr">
        <is>
          <t>MARZO</t>
        </is>
      </c>
      <c r="P2989" s="232" t="n">
        <v>13</v>
      </c>
      <c r="Q2989" s="234" t="n">
        <v>8344</v>
      </c>
      <c r="R2989" s="232" t="inlineStr"/>
      <c r="S2989" s="234" t="n">
        <v>8344</v>
      </c>
      <c r="T2989" s="232" t="inlineStr">
        <is>
          <t>CLP</t>
        </is>
      </c>
      <c r="U2989" s="232" t="inlineStr">
        <is>
          <t>Prorrateo Ha PACKING</t>
        </is>
      </c>
      <c r="V2989" s="232" t="inlineStr">
        <is>
          <t>2026-06-18</t>
        </is>
      </c>
    </row>
    <row r="2990">
      <c r="A2990" s="232" t="inlineStr">
        <is>
          <t>CR-2987</t>
        </is>
      </c>
      <c r="B2990" s="232" t="inlineStr">
        <is>
          <t>2026/27</t>
        </is>
      </c>
      <c r="C2990" s="233" t="n">
        <v>46112</v>
      </c>
      <c r="D2990" s="232" t="inlineStr">
        <is>
          <t>442881</t>
        </is>
      </c>
      <c r="E2990" s="232" t="inlineStr">
        <is>
          <t>PRORRATEO</t>
        </is>
      </c>
      <c r="F2990" s="232" t="inlineStr">
        <is>
          <t>Asmara</t>
        </is>
      </c>
      <c r="G2990" s="232" t="inlineStr">
        <is>
          <t>w. murcott 19,8 ha</t>
        </is>
      </c>
      <c r="H2990" s="232" t="inlineStr">
        <is>
          <t>Mandarina</t>
        </is>
      </c>
      <c r="I2990" s="232" t="inlineStr">
        <is>
          <t>W. murcott</t>
        </is>
      </c>
      <c r="J2990" s="232" t="inlineStr">
        <is>
          <t>MANT. Y REP. PLANTACIONES</t>
        </is>
      </c>
      <c r="K2990" s="232" t="inlineStr">
        <is>
          <t>MANTENCION HUERTO</t>
        </is>
      </c>
      <c r="L2990" s="232" t="inlineStr">
        <is>
          <t>[PRORRATEO 13.4% 19.8há/148.3há] O/001549 CORDEL COS</t>
        </is>
      </c>
      <c r="M2990" s="232" t="inlineStr"/>
      <c r="N2990" s="232" t="inlineStr">
        <is>
          <t>.   .   -</t>
        </is>
      </c>
      <c r="O2990" s="232" t="inlineStr">
        <is>
          <t>MARZO</t>
        </is>
      </c>
      <c r="P2990" s="232" t="n">
        <v>13</v>
      </c>
      <c r="Q2990" s="234" t="n">
        <v>5490</v>
      </c>
      <c r="R2990" s="232" t="inlineStr"/>
      <c r="S2990" s="234" t="n">
        <v>5490</v>
      </c>
      <c r="T2990" s="232" t="inlineStr">
        <is>
          <t>CLP</t>
        </is>
      </c>
      <c r="U2990" s="232" t="inlineStr">
        <is>
          <t>Prorrateo Ha PACKING</t>
        </is>
      </c>
      <c r="V2990" s="232" t="inlineStr">
        <is>
          <t>2026-06-18</t>
        </is>
      </c>
    </row>
    <row r="2991">
      <c r="A2991" s="232" t="inlineStr">
        <is>
          <t>CR-2988</t>
        </is>
      </c>
      <c r="B2991" s="232" t="inlineStr">
        <is>
          <t>2026/27</t>
        </is>
      </c>
      <c r="C2991" s="233" t="n">
        <v>46112</v>
      </c>
      <c r="D2991" s="232" t="inlineStr">
        <is>
          <t>442881</t>
        </is>
      </c>
      <c r="E2991" s="232" t="inlineStr">
        <is>
          <t>PRORRATEO</t>
        </is>
      </c>
      <c r="F2991" s="232" t="inlineStr">
        <is>
          <t>Asmara</t>
        </is>
      </c>
      <c r="G2991" s="232" t="inlineStr">
        <is>
          <t>w. murcott 4,9 ha</t>
        </is>
      </c>
      <c r="H2991" s="232" t="inlineStr">
        <is>
          <t>Mandarina</t>
        </is>
      </c>
      <c r="I2991" s="232" t="inlineStr">
        <is>
          <t>W. murcott</t>
        </is>
      </c>
      <c r="J2991" s="232" t="inlineStr">
        <is>
          <t>MANT. Y REP. PLANTACIONES</t>
        </is>
      </c>
      <c r="K2991" s="232" t="inlineStr">
        <is>
          <t>MANTENCION HUERTO</t>
        </is>
      </c>
      <c r="L2991" s="232" t="inlineStr">
        <is>
          <t>[PRORRATEO 3.3% 4.9há/148.3há] O/001549 CORDEL COS</t>
        </is>
      </c>
      <c r="M2991" s="232" t="inlineStr"/>
      <c r="N2991" s="232" t="inlineStr">
        <is>
          <t>.   .   -</t>
        </is>
      </c>
      <c r="O2991" s="232" t="inlineStr">
        <is>
          <t>MARZO</t>
        </is>
      </c>
      <c r="P2991" s="232" t="n">
        <v>13</v>
      </c>
      <c r="Q2991" s="234" t="n">
        <v>1359</v>
      </c>
      <c r="R2991" s="232" t="inlineStr"/>
      <c r="S2991" s="234" t="n">
        <v>1359</v>
      </c>
      <c r="T2991" s="232" t="inlineStr">
        <is>
          <t>CLP</t>
        </is>
      </c>
      <c r="U2991" s="232" t="inlineStr">
        <is>
          <t>Prorrateo Ha PACKING</t>
        </is>
      </c>
      <c r="V2991" s="232" t="inlineStr">
        <is>
          <t>2026-06-18</t>
        </is>
      </c>
    </row>
    <row r="2992">
      <c r="A2992" s="232" t="inlineStr">
        <is>
          <t>CR-2989</t>
        </is>
      </c>
      <c r="B2992" s="232" t="inlineStr">
        <is>
          <t>2026/27</t>
        </is>
      </c>
      <c r="C2992" s="233" t="n">
        <v>46112</v>
      </c>
      <c r="D2992" s="232" t="inlineStr">
        <is>
          <t>442881</t>
        </is>
      </c>
      <c r="E2992" s="232" t="inlineStr">
        <is>
          <t>PRORRATEO</t>
        </is>
      </c>
      <c r="F2992" s="232" t="inlineStr">
        <is>
          <t>El Molle</t>
        </is>
      </c>
      <c r="G2992" s="232" t="inlineStr">
        <is>
          <t>Wonderful 5,25 ha</t>
        </is>
      </c>
      <c r="H2992" s="232" t="inlineStr">
        <is>
          <t>Granados</t>
        </is>
      </c>
      <c r="I2992" s="232" t="inlineStr">
        <is>
          <t>Wonderfull</t>
        </is>
      </c>
      <c r="J2992" s="232" t="inlineStr">
        <is>
          <t>MANT. Y REP. PLANTACIONES</t>
        </is>
      </c>
      <c r="K2992" s="232" t="inlineStr">
        <is>
          <t>MANTENCION HUERTO</t>
        </is>
      </c>
      <c r="L2992" s="232" t="inlineStr">
        <is>
          <t>[PRORRATEO 3.5% 5.24há/148.3há] O/001549 CORDEL COS</t>
        </is>
      </c>
      <c r="M2992" s="232" t="inlineStr"/>
      <c r="N2992" s="232" t="inlineStr">
        <is>
          <t>.   .   -</t>
        </is>
      </c>
      <c r="O2992" s="232" t="inlineStr">
        <is>
          <t>MARZO</t>
        </is>
      </c>
      <c r="P2992" s="232" t="n">
        <v>13</v>
      </c>
      <c r="Q2992" s="234" t="n">
        <v>1453</v>
      </c>
      <c r="R2992" s="232" t="inlineStr"/>
      <c r="S2992" s="234" t="n">
        <v>1453</v>
      </c>
      <c r="T2992" s="232" t="inlineStr">
        <is>
          <t>CLP</t>
        </is>
      </c>
      <c r="U2992" s="232" t="inlineStr">
        <is>
          <t>Prorrateo Ha PACKING</t>
        </is>
      </c>
      <c r="V2992" s="232" t="inlineStr">
        <is>
          <t>2026-06-18</t>
        </is>
      </c>
    </row>
    <row r="2993">
      <c r="A2993" s="232" t="inlineStr">
        <is>
          <t>CR-2990</t>
        </is>
      </c>
      <c r="B2993" s="232" t="inlineStr">
        <is>
          <t>2026/27</t>
        </is>
      </c>
      <c r="C2993" s="233" t="n">
        <v>46112</v>
      </c>
      <c r="D2993" s="232" t="inlineStr">
        <is>
          <t>442881</t>
        </is>
      </c>
      <c r="E2993" s="232" t="inlineStr">
        <is>
          <t>PRORRATEO</t>
        </is>
      </c>
      <c r="F2993" s="232" t="inlineStr">
        <is>
          <t>El Molle</t>
        </is>
      </c>
      <c r="G2993" s="232" t="inlineStr">
        <is>
          <t>arrufatinas 5,74 ha</t>
        </is>
      </c>
      <c r="H2993" s="232" t="inlineStr">
        <is>
          <t>Clementinas</t>
        </is>
      </c>
      <c r="I2993" s="232" t="inlineStr">
        <is>
          <t>Arrufatinas</t>
        </is>
      </c>
      <c r="J2993" s="232" t="inlineStr">
        <is>
          <t>MANT. Y REP. PLANTACIONES</t>
        </is>
      </c>
      <c r="K2993" s="232" t="inlineStr">
        <is>
          <t>MANTENCION HUERTO</t>
        </is>
      </c>
      <c r="L2993" s="232" t="inlineStr">
        <is>
          <t>[PRORRATEO 3.9% 5.74há/148.3há] O/001549 CORDEL COS</t>
        </is>
      </c>
      <c r="M2993" s="232" t="inlineStr"/>
      <c r="N2993" s="232" t="inlineStr">
        <is>
          <t>.   .   -</t>
        </is>
      </c>
      <c r="O2993" s="232" t="inlineStr">
        <is>
          <t>MARZO</t>
        </is>
      </c>
      <c r="P2993" s="232" t="n">
        <v>13</v>
      </c>
      <c r="Q2993" s="234" t="n">
        <v>1591</v>
      </c>
      <c r="R2993" s="232" t="inlineStr"/>
      <c r="S2993" s="234" t="n">
        <v>1591</v>
      </c>
      <c r="T2993" s="232" t="inlineStr">
        <is>
          <t>CLP</t>
        </is>
      </c>
      <c r="U2993" s="232" t="inlineStr">
        <is>
          <t>Prorrateo Ha PACKING</t>
        </is>
      </c>
      <c r="V2993" s="232" t="inlineStr">
        <is>
          <t>2026-06-18</t>
        </is>
      </c>
    </row>
    <row r="2994">
      <c r="A2994" s="232" t="inlineStr">
        <is>
          <t>CR-2991</t>
        </is>
      </c>
      <c r="B2994" s="232" t="inlineStr">
        <is>
          <t>2026/27</t>
        </is>
      </c>
      <c r="C2994" s="233" t="n">
        <v>46112</v>
      </c>
      <c r="D2994" s="232" t="inlineStr">
        <is>
          <t>442881</t>
        </is>
      </c>
      <c r="E2994" s="232" t="inlineStr">
        <is>
          <t>PRORRATEO</t>
        </is>
      </c>
      <c r="F2994" s="232" t="inlineStr">
        <is>
          <t>El Molle</t>
        </is>
      </c>
      <c r="G2994" s="232" t="inlineStr">
        <is>
          <t>orogrande 8,11 ha</t>
        </is>
      </c>
      <c r="H2994" s="232" t="inlineStr">
        <is>
          <t>Clementinas</t>
        </is>
      </c>
      <c r="I2994" s="232" t="inlineStr">
        <is>
          <t>Orogrande</t>
        </is>
      </c>
      <c r="J2994" s="232" t="inlineStr">
        <is>
          <t>MANT. Y REP. PLANTACIONES</t>
        </is>
      </c>
      <c r="K2994" s="232" t="inlineStr">
        <is>
          <t>MANTENCION HUERTO</t>
        </is>
      </c>
      <c r="L2994" s="232" t="inlineStr">
        <is>
          <t>[PRORRATEO 5.5% 8.11há/148.3há] O/001549 CORDEL COS</t>
        </is>
      </c>
      <c r="M2994" s="232" t="inlineStr"/>
      <c r="N2994" s="232" t="inlineStr">
        <is>
          <t>.   .   -</t>
        </is>
      </c>
      <c r="O2994" s="232" t="inlineStr">
        <is>
          <t>MARZO</t>
        </is>
      </c>
      <c r="P2994" s="232" t="n">
        <v>13</v>
      </c>
      <c r="Q2994" s="234" t="n">
        <v>2249</v>
      </c>
      <c r="R2994" s="232" t="inlineStr"/>
      <c r="S2994" s="234" t="n">
        <v>2249</v>
      </c>
      <c r="T2994" s="232" t="inlineStr">
        <is>
          <t>CLP</t>
        </is>
      </c>
      <c r="U2994" s="232" t="inlineStr">
        <is>
          <t>Prorrateo Ha PACKING</t>
        </is>
      </c>
      <c r="V2994" s="232" t="inlineStr">
        <is>
          <t>2026-06-18</t>
        </is>
      </c>
    </row>
    <row r="2995">
      <c r="A2995" s="232" t="inlineStr">
        <is>
          <t>CR-2992</t>
        </is>
      </c>
      <c r="B2995" s="232" t="inlineStr">
        <is>
          <t>2026/27</t>
        </is>
      </c>
      <c r="C2995" s="233" t="n">
        <v>46112</v>
      </c>
      <c r="D2995" s="232" t="inlineStr">
        <is>
          <t>442881</t>
        </is>
      </c>
      <c r="E2995" s="232" t="inlineStr">
        <is>
          <t>PRORRATEO</t>
        </is>
      </c>
      <c r="F2995" s="232" t="inlineStr">
        <is>
          <t>El Molle</t>
        </is>
      </c>
      <c r="G2995" s="232" t="inlineStr">
        <is>
          <t>oronules 5,35 ha</t>
        </is>
      </c>
      <c r="H2995" s="232" t="inlineStr">
        <is>
          <t>Clementinas</t>
        </is>
      </c>
      <c r="I2995" s="232" t="inlineStr">
        <is>
          <t>Oronules</t>
        </is>
      </c>
      <c r="J2995" s="232" t="inlineStr">
        <is>
          <t>MANT. Y REP. PLANTACIONES</t>
        </is>
      </c>
      <c r="K2995" s="232" t="inlineStr">
        <is>
          <t>MANTENCION HUERTO</t>
        </is>
      </c>
      <c r="L2995" s="232" t="inlineStr">
        <is>
          <t>[PRORRATEO 3.6% 5.35há/148.3há] O/001549 CORDEL COS</t>
        </is>
      </c>
      <c r="M2995" s="232" t="inlineStr"/>
      <c r="N2995" s="232" t="inlineStr">
        <is>
          <t>.   .   -</t>
        </is>
      </c>
      <c r="O2995" s="232" t="inlineStr">
        <is>
          <t>MARZO</t>
        </is>
      </c>
      <c r="P2995" s="232" t="n">
        <v>13</v>
      </c>
      <c r="Q2995" s="234" t="n">
        <v>1483</v>
      </c>
      <c r="R2995" s="232" t="inlineStr"/>
      <c r="S2995" s="234" t="n">
        <v>1483</v>
      </c>
      <c r="T2995" s="232" t="inlineStr">
        <is>
          <t>CLP</t>
        </is>
      </c>
      <c r="U2995" s="232" t="inlineStr">
        <is>
          <t>Prorrateo Ha PACKING</t>
        </is>
      </c>
      <c r="V2995" s="232" t="inlineStr">
        <is>
          <t>2026-06-18</t>
        </is>
      </c>
    </row>
    <row r="2996">
      <c r="A2996" s="232" t="inlineStr">
        <is>
          <t>CR-2993</t>
        </is>
      </c>
      <c r="B2996" s="232" t="inlineStr">
        <is>
          <t>2026/27</t>
        </is>
      </c>
      <c r="C2996" s="233" t="n">
        <v>46112</v>
      </c>
      <c r="D2996" s="232" t="inlineStr">
        <is>
          <t>442881</t>
        </is>
      </c>
      <c r="E2996" s="232" t="inlineStr">
        <is>
          <t>PRORRATEO</t>
        </is>
      </c>
      <c r="F2996" s="232" t="inlineStr">
        <is>
          <t>Santa Catalina</t>
        </is>
      </c>
      <c r="G2996" s="232" t="inlineStr">
        <is>
          <t>Fino 49 7,7 ha</t>
        </is>
      </c>
      <c r="H2996" s="232" t="inlineStr">
        <is>
          <t>Limon</t>
        </is>
      </c>
      <c r="I2996" s="232" t="inlineStr">
        <is>
          <t>Fino 49</t>
        </is>
      </c>
      <c r="J2996" s="232" t="inlineStr">
        <is>
          <t>MANT. Y REP. PLANTACIONES</t>
        </is>
      </c>
      <c r="K2996" s="232" t="inlineStr">
        <is>
          <t>MANTENCION HUERTO</t>
        </is>
      </c>
      <c r="L2996" s="232" t="inlineStr">
        <is>
          <t>[PRORRATEO 5.2% 7.7há/148.3há] O/001549 CORDEL COS</t>
        </is>
      </c>
      <c r="M2996" s="232" t="inlineStr"/>
      <c r="N2996" s="232" t="inlineStr">
        <is>
          <t>.   .   -</t>
        </is>
      </c>
      <c r="O2996" s="232" t="inlineStr">
        <is>
          <t>MARZO</t>
        </is>
      </c>
      <c r="P2996" s="232" t="n">
        <v>13</v>
      </c>
      <c r="Q2996" s="234" t="n">
        <v>2135</v>
      </c>
      <c r="R2996" s="232" t="inlineStr"/>
      <c r="S2996" s="234" t="n">
        <v>2135</v>
      </c>
      <c r="T2996" s="232" t="inlineStr">
        <is>
          <t>CLP</t>
        </is>
      </c>
      <c r="U2996" s="232" t="inlineStr">
        <is>
          <t>Prorrateo Ha PACKING</t>
        </is>
      </c>
      <c r="V2996" s="232" t="inlineStr">
        <is>
          <t>2026-06-18</t>
        </is>
      </c>
    </row>
    <row r="2997">
      <c r="A2997" s="232" t="inlineStr">
        <is>
          <t>CR-2994</t>
        </is>
      </c>
      <c r="B2997" s="232" t="inlineStr">
        <is>
          <t>2026/27</t>
        </is>
      </c>
      <c r="C2997" s="233" t="n">
        <v>46112</v>
      </c>
      <c r="D2997" s="232" t="inlineStr">
        <is>
          <t>442881</t>
        </is>
      </c>
      <c r="E2997" s="232" t="inlineStr">
        <is>
          <t>PRORRATEO</t>
        </is>
      </c>
      <c r="F2997" s="232" t="inlineStr">
        <is>
          <t>Santa Catalina</t>
        </is>
      </c>
      <c r="G2997" s="232" t="inlineStr">
        <is>
          <t>W. murcott 21 ha</t>
        </is>
      </c>
      <c r="H2997" s="232" t="inlineStr">
        <is>
          <t>Mandarina</t>
        </is>
      </c>
      <c r="I2997" s="232" t="inlineStr">
        <is>
          <t>W. murcott</t>
        </is>
      </c>
      <c r="J2997" s="232" t="inlineStr">
        <is>
          <t>MANT. Y REP. PLANTACIONES</t>
        </is>
      </c>
      <c r="K2997" s="232" t="inlineStr">
        <is>
          <t>MANTENCION HUERTO</t>
        </is>
      </c>
      <c r="L2997" s="232" t="inlineStr">
        <is>
          <t>[PRORRATEO 14.2% 21.0há/148.3há] O/001549 CORDEL COS</t>
        </is>
      </c>
      <c r="M2997" s="232" t="inlineStr"/>
      <c r="N2997" s="232" t="inlineStr">
        <is>
          <t>.   .   -</t>
        </is>
      </c>
      <c r="O2997" s="232" t="inlineStr">
        <is>
          <t>MARZO</t>
        </is>
      </c>
      <c r="P2997" s="232" t="n">
        <v>13</v>
      </c>
      <c r="Q2997" s="234" t="n">
        <v>5823</v>
      </c>
      <c r="R2997" s="232" t="inlineStr"/>
      <c r="S2997" s="234" t="n">
        <v>5823</v>
      </c>
      <c r="T2997" s="232" t="inlineStr">
        <is>
          <t>CLP</t>
        </is>
      </c>
      <c r="U2997" s="232" t="inlineStr">
        <is>
          <t>Prorrateo Ha PACKING</t>
        </is>
      </c>
      <c r="V2997" s="232" t="inlineStr">
        <is>
          <t>2026-06-18</t>
        </is>
      </c>
    </row>
    <row r="2998">
      <c r="A2998" s="232" t="inlineStr">
        <is>
          <t>CR-2995</t>
        </is>
      </c>
      <c r="B2998" s="232" t="inlineStr">
        <is>
          <t>2026/27</t>
        </is>
      </c>
      <c r="C2998" s="233" t="n">
        <v>46112</v>
      </c>
      <c r="D2998" s="232" t="inlineStr">
        <is>
          <t>442881</t>
        </is>
      </c>
      <c r="E2998" s="232" t="inlineStr">
        <is>
          <t>PRORRATEO</t>
        </is>
      </c>
      <c r="F2998" s="232" t="inlineStr">
        <is>
          <t>Santa Catalina</t>
        </is>
      </c>
      <c r="G2998" s="232" t="inlineStr">
        <is>
          <t>cambria 4,2 ha</t>
        </is>
      </c>
      <c r="H2998" s="232" t="inlineStr">
        <is>
          <t>Naranjas</t>
        </is>
      </c>
      <c r="I2998" s="232" t="inlineStr">
        <is>
          <t>Cambria</t>
        </is>
      </c>
      <c r="J2998" s="232" t="inlineStr">
        <is>
          <t>MANT. Y REP. PLANTACIONES</t>
        </is>
      </c>
      <c r="K2998" s="232" t="inlineStr">
        <is>
          <t>MANTENCION HUERTO</t>
        </is>
      </c>
      <c r="L2998" s="232" t="inlineStr">
        <is>
          <t>[PRORRATEO 2.8% 4.2há/148.3há] O/001549 CORDEL COS</t>
        </is>
      </c>
      <c r="M2998" s="232" t="inlineStr"/>
      <c r="N2998" s="232" t="inlineStr">
        <is>
          <t>.   .   -</t>
        </is>
      </c>
      <c r="O2998" s="232" t="inlineStr">
        <is>
          <t>MARZO</t>
        </is>
      </c>
      <c r="P2998" s="232" t="n">
        <v>13</v>
      </c>
      <c r="Q2998" s="234" t="n">
        <v>1165</v>
      </c>
      <c r="R2998" s="232" t="inlineStr"/>
      <c r="S2998" s="234" t="n">
        <v>1165</v>
      </c>
      <c r="T2998" s="232" t="inlineStr">
        <is>
          <t>CLP</t>
        </is>
      </c>
      <c r="U2998" s="232" t="inlineStr">
        <is>
          <t>Prorrateo Ha PACKING</t>
        </is>
      </c>
      <c r="V2998" s="232" t="inlineStr">
        <is>
          <t>2026-06-18</t>
        </is>
      </c>
    </row>
    <row r="2999">
      <c r="A2999" s="232" t="inlineStr">
        <is>
          <t>CR-2996</t>
        </is>
      </c>
      <c r="B2999" s="232" t="inlineStr">
        <is>
          <t>2026/27</t>
        </is>
      </c>
      <c r="C2999" s="233" t="n">
        <v>46112</v>
      </c>
      <c r="D2999" s="232" t="inlineStr">
        <is>
          <t>442881</t>
        </is>
      </c>
      <c r="E2999" s="232" t="inlineStr">
        <is>
          <t>PRORRATEO</t>
        </is>
      </c>
      <c r="F2999" s="232" t="inlineStr">
        <is>
          <t>Santa Catalina</t>
        </is>
      </c>
      <c r="G2999" s="232" t="inlineStr">
        <is>
          <t>eureka 10,6 ha</t>
        </is>
      </c>
      <c r="H2999" s="232" t="inlineStr">
        <is>
          <t>Limon</t>
        </is>
      </c>
      <c r="I2999" s="232" t="inlineStr">
        <is>
          <t>Eureka</t>
        </is>
      </c>
      <c r="J2999" s="232" t="inlineStr">
        <is>
          <t>MANT. Y REP. PLANTACIONES</t>
        </is>
      </c>
      <c r="K2999" s="232" t="inlineStr">
        <is>
          <t>MANTENCION HUERTO</t>
        </is>
      </c>
      <c r="L2999" s="232" t="inlineStr">
        <is>
          <t>[PRORRATEO 7.1% 10.6há/148.3há] O/001549 CORDEL COS</t>
        </is>
      </c>
      <c r="M2999" s="232" t="inlineStr"/>
      <c r="N2999" s="232" t="inlineStr">
        <is>
          <t>.   .   -</t>
        </is>
      </c>
      <c r="O2999" s="232" t="inlineStr">
        <is>
          <t>MARZO</t>
        </is>
      </c>
      <c r="P2999" s="232" t="n">
        <v>13</v>
      </c>
      <c r="Q2999" s="234" t="n">
        <v>2939</v>
      </c>
      <c r="R2999" s="232" t="inlineStr"/>
      <c r="S2999" s="234" t="n">
        <v>2939</v>
      </c>
      <c r="T2999" s="232" t="inlineStr">
        <is>
          <t>CLP</t>
        </is>
      </c>
      <c r="U2999" s="232" t="inlineStr">
        <is>
          <t>Prorrateo Ha PACKING</t>
        </is>
      </c>
      <c r="V2999" s="232" t="inlineStr">
        <is>
          <t>2026-06-18</t>
        </is>
      </c>
    </row>
    <row r="3000">
      <c r="A3000" s="232" t="inlineStr">
        <is>
          <t>CR-2997</t>
        </is>
      </c>
      <c r="B3000" s="232" t="inlineStr">
        <is>
          <t>2026/27</t>
        </is>
      </c>
      <c r="C3000" s="233" t="n">
        <v>46112</v>
      </c>
      <c r="D3000" s="232" t="inlineStr">
        <is>
          <t>442881</t>
        </is>
      </c>
      <c r="E3000" s="232" t="inlineStr">
        <is>
          <t>PRORRATEO</t>
        </is>
      </c>
      <c r="F3000" s="232" t="inlineStr">
        <is>
          <t>Santa Catalina</t>
        </is>
      </c>
      <c r="G3000" s="232" t="inlineStr">
        <is>
          <t>eureka 14,4 ha</t>
        </is>
      </c>
      <c r="H3000" s="232" t="inlineStr">
        <is>
          <t>Limon</t>
        </is>
      </c>
      <c r="I3000" s="232" t="inlineStr">
        <is>
          <t>Eureka</t>
        </is>
      </c>
      <c r="J3000" s="232" t="inlineStr">
        <is>
          <t>MANT. Y REP. PLANTACIONES</t>
        </is>
      </c>
      <c r="K3000" s="232" t="inlineStr">
        <is>
          <t>MANTENCION HUERTO</t>
        </is>
      </c>
      <c r="L3000" s="232" t="inlineStr">
        <is>
          <t>[PRORRATEO 9.7% 14.4há/148.3há] O/001549 CORDEL COS</t>
        </is>
      </c>
      <c r="M3000" s="232" t="inlineStr"/>
      <c r="N3000" s="232" t="inlineStr">
        <is>
          <t>.   .   -</t>
        </is>
      </c>
      <c r="O3000" s="232" t="inlineStr">
        <is>
          <t>MARZO</t>
        </is>
      </c>
      <c r="P3000" s="232" t="n">
        <v>13</v>
      </c>
      <c r="Q3000" s="234" t="n">
        <v>3993</v>
      </c>
      <c r="R3000" s="232" t="inlineStr"/>
      <c r="S3000" s="234" t="n">
        <v>3993</v>
      </c>
      <c r="T3000" s="232" t="inlineStr">
        <is>
          <t>CLP</t>
        </is>
      </c>
      <c r="U3000" s="232" t="inlineStr">
        <is>
          <t>Prorrateo Ha PACKING</t>
        </is>
      </c>
      <c r="V3000" s="232" t="inlineStr">
        <is>
          <t>2026-06-18</t>
        </is>
      </c>
    </row>
    <row r="3001">
      <c r="A3001" s="232" t="inlineStr">
        <is>
          <t>CR-2998</t>
        </is>
      </c>
      <c r="B3001" s="232" t="inlineStr">
        <is>
          <t>2026/27</t>
        </is>
      </c>
      <c r="C3001" s="233" t="n">
        <v>46112</v>
      </c>
      <c r="D3001" s="232" t="inlineStr">
        <is>
          <t>442881</t>
        </is>
      </c>
      <c r="E3001" s="232" t="inlineStr">
        <is>
          <t>PRORRATEO</t>
        </is>
      </c>
      <c r="F3001" s="232" t="inlineStr">
        <is>
          <t>Santa Catalina</t>
        </is>
      </c>
      <c r="G3001" s="232" t="inlineStr">
        <is>
          <t>eureka 22,55</t>
        </is>
      </c>
      <c r="H3001" s="232" t="inlineStr">
        <is>
          <t>Limon</t>
        </is>
      </c>
      <c r="I3001" s="232" t="inlineStr">
        <is>
          <t>Eureka</t>
        </is>
      </c>
      <c r="J3001" s="232" t="inlineStr">
        <is>
          <t>MANT. Y REP. PLANTACIONES</t>
        </is>
      </c>
      <c r="K3001" s="232" t="inlineStr">
        <is>
          <t>MANTENCION HUERTO</t>
        </is>
      </c>
      <c r="L3001" s="232" t="inlineStr">
        <is>
          <t>[PRORRATEO 15.2% 22.55há/148.3há] O/001549 CORDEL COS</t>
        </is>
      </c>
      <c r="M3001" s="232" t="inlineStr"/>
      <c r="N3001" s="232" t="inlineStr">
        <is>
          <t>.   .   -</t>
        </is>
      </c>
      <c r="O3001" s="232" t="inlineStr">
        <is>
          <t>MARZO</t>
        </is>
      </c>
      <c r="P3001" s="232" t="n">
        <v>13</v>
      </c>
      <c r="Q3001" s="234" t="n">
        <v>6252</v>
      </c>
      <c r="R3001" s="232" t="inlineStr"/>
      <c r="S3001" s="234" t="n">
        <v>6252</v>
      </c>
      <c r="T3001" s="232" t="inlineStr">
        <is>
          <t>CLP</t>
        </is>
      </c>
      <c r="U3001" s="232" t="inlineStr">
        <is>
          <t>Prorrateo Ha PACKING</t>
        </is>
      </c>
      <c r="V3001" s="232" t="inlineStr">
        <is>
          <t>2026-06-18</t>
        </is>
      </c>
    </row>
    <row r="3002">
      <c r="A3002" s="232" t="inlineStr">
        <is>
          <t>CR-2999</t>
        </is>
      </c>
      <c r="B3002" s="232" t="inlineStr">
        <is>
          <t>2026/27</t>
        </is>
      </c>
      <c r="C3002" s="233" t="n">
        <v>46112</v>
      </c>
      <c r="D3002" s="232" t="inlineStr">
        <is>
          <t>442881</t>
        </is>
      </c>
      <c r="E3002" s="232" t="inlineStr">
        <is>
          <t>PRORRATEO</t>
        </is>
      </c>
      <c r="F3002" s="232" t="inlineStr">
        <is>
          <t>Santa Catalina</t>
        </is>
      </c>
      <c r="G3002" s="232" t="inlineStr">
        <is>
          <t>form benjamin 1,93 ha</t>
        </is>
      </c>
      <c r="H3002" s="232" t="inlineStr">
        <is>
          <t>Limon</t>
        </is>
      </c>
      <c r="I3002" s="232" t="inlineStr">
        <is>
          <t>Benjamin andes</t>
        </is>
      </c>
      <c r="J3002" s="232" t="inlineStr">
        <is>
          <t>MANT. Y REP. PLANTACIONES</t>
        </is>
      </c>
      <c r="K3002" s="232" t="inlineStr">
        <is>
          <t>MANTENCION HUERTO</t>
        </is>
      </c>
      <c r="L3002" s="232" t="inlineStr">
        <is>
          <t>[PRORRATEO 1.3% 1.93há/148.3há] O/001549 CORDEL COS</t>
        </is>
      </c>
      <c r="M3002" s="232" t="inlineStr"/>
      <c r="N3002" s="232" t="inlineStr">
        <is>
          <t>.   .   -</t>
        </is>
      </c>
      <c r="O3002" s="232" t="inlineStr">
        <is>
          <t>MARZO</t>
        </is>
      </c>
      <c r="P3002" s="232" t="n">
        <v>13</v>
      </c>
      <c r="Q3002" s="234" t="n">
        <v>535</v>
      </c>
      <c r="R3002" s="232" t="inlineStr"/>
      <c r="S3002" s="234" t="n">
        <v>535</v>
      </c>
      <c r="T3002" s="232" t="inlineStr">
        <is>
          <t>CLP</t>
        </is>
      </c>
      <c r="U3002" s="232" t="inlineStr">
        <is>
          <t>Prorrateo Ha PACKING</t>
        </is>
      </c>
      <c r="V3002" s="232" t="inlineStr">
        <is>
          <t>2026-06-18</t>
        </is>
      </c>
    </row>
    <row r="3003">
      <c r="A3003" s="232" t="inlineStr">
        <is>
          <t>CR-3000</t>
        </is>
      </c>
      <c r="B3003" s="232" t="inlineStr">
        <is>
          <t>2026/27</t>
        </is>
      </c>
      <c r="C3003" s="233" t="n">
        <v>46112</v>
      </c>
      <c r="D3003" s="232" t="inlineStr">
        <is>
          <t>442881</t>
        </is>
      </c>
      <c r="E3003" s="232" t="inlineStr">
        <is>
          <t>PRORRATEO</t>
        </is>
      </c>
      <c r="F3003" s="232" t="inlineStr">
        <is>
          <t>Santa Catalina</t>
        </is>
      </c>
      <c r="G3003" s="232" t="inlineStr">
        <is>
          <t>mant eureka 2,5 ha</t>
        </is>
      </c>
      <c r="H3003" s="232" t="inlineStr">
        <is>
          <t>Limon</t>
        </is>
      </c>
      <c r="I3003" s="232" t="inlineStr">
        <is>
          <t>Eureka</t>
        </is>
      </c>
      <c r="J3003" s="232" t="inlineStr">
        <is>
          <t>MANT. Y REP. PLANTACIONES</t>
        </is>
      </c>
      <c r="K3003" s="232" t="inlineStr">
        <is>
          <t>MANTENCION HUERTO</t>
        </is>
      </c>
      <c r="L3003" s="232" t="inlineStr">
        <is>
          <t>[PRORRATEO 1.7% 2.5há/148.3há] O/001549 CORDEL COS</t>
        </is>
      </c>
      <c r="M3003" s="232" t="inlineStr"/>
      <c r="N3003" s="232" t="inlineStr">
        <is>
          <t>.   .   -</t>
        </is>
      </c>
      <c r="O3003" s="232" t="inlineStr">
        <is>
          <t>MARZO</t>
        </is>
      </c>
      <c r="P3003" s="232" t="n">
        <v>13</v>
      </c>
      <c r="Q3003" s="234" t="n">
        <v>693</v>
      </c>
      <c r="R3003" s="232" t="inlineStr"/>
      <c r="S3003" s="234" t="n">
        <v>693</v>
      </c>
      <c r="T3003" s="232" t="inlineStr">
        <is>
          <t>CLP</t>
        </is>
      </c>
      <c r="U3003" s="232" t="inlineStr">
        <is>
          <t>Prorrateo Ha PACKING</t>
        </is>
      </c>
      <c r="V3003" s="232" t="inlineStr">
        <is>
          <t>2026-06-18</t>
        </is>
      </c>
    </row>
    <row r="3004">
      <c r="A3004" s="232" t="inlineStr">
        <is>
          <t>CR-3001</t>
        </is>
      </c>
      <c r="B3004" s="232" t="inlineStr">
        <is>
          <t>2026/27</t>
        </is>
      </c>
      <c r="C3004" s="233" t="n">
        <v>46112</v>
      </c>
      <c r="D3004" s="232" t="inlineStr">
        <is>
          <t>442881</t>
        </is>
      </c>
      <c r="E3004" s="232" t="inlineStr">
        <is>
          <t>PRORRATEO</t>
        </is>
      </c>
      <c r="F3004" s="232" t="inlineStr">
        <is>
          <t>Siberia</t>
        </is>
      </c>
      <c r="G3004" s="232" t="inlineStr">
        <is>
          <t>S. Celebration 7,14</t>
        </is>
      </c>
      <c r="H3004" s="232" t="inlineStr">
        <is>
          <t>Uvas</t>
        </is>
      </c>
      <c r="I3004" s="232" t="inlineStr">
        <is>
          <t>S. celebration</t>
        </is>
      </c>
      <c r="J3004" s="232" t="inlineStr">
        <is>
          <t>MANT. Y REP. PLANTACIONES</t>
        </is>
      </c>
      <c r="K3004" s="232" t="inlineStr">
        <is>
          <t>MANTENCION HUERTO</t>
        </is>
      </c>
      <c r="L3004" s="232" t="inlineStr">
        <is>
          <t>[PRORRATEO 4.8% 7.14há/148.3há] O/001549 CORDEL COS</t>
        </is>
      </c>
      <c r="M3004" s="232" t="inlineStr"/>
      <c r="N3004" s="232" t="inlineStr">
        <is>
          <t>.   .   -</t>
        </is>
      </c>
      <c r="O3004" s="232" t="inlineStr">
        <is>
          <t>MARZO</t>
        </is>
      </c>
      <c r="P3004" s="232" t="n">
        <v>13</v>
      </c>
      <c r="Q3004" s="234" t="n">
        <v>1980</v>
      </c>
      <c r="R3004" s="232" t="inlineStr"/>
      <c r="S3004" s="234" t="n">
        <v>1980</v>
      </c>
      <c r="T3004" s="232" t="inlineStr">
        <is>
          <t>CLP</t>
        </is>
      </c>
      <c r="U3004" s="232" t="inlineStr">
        <is>
          <t>Prorrateo Ha PACKING</t>
        </is>
      </c>
      <c r="V3004" s="232" t="inlineStr">
        <is>
          <t>2026-06-18</t>
        </is>
      </c>
    </row>
    <row r="3005">
      <c r="A3005" s="232" t="inlineStr">
        <is>
          <t>CR-3002</t>
        </is>
      </c>
      <c r="B3005" s="232" t="inlineStr">
        <is>
          <t>2026/27</t>
        </is>
      </c>
      <c r="C3005" s="233" t="n">
        <v>46112</v>
      </c>
      <c r="D3005" s="232" t="inlineStr">
        <is>
          <t>442881</t>
        </is>
      </c>
      <c r="E3005" s="232" t="inlineStr">
        <is>
          <t>PRORRATEO</t>
        </is>
      </c>
      <c r="F3005" s="232" t="inlineStr">
        <is>
          <t>Siberia</t>
        </is>
      </c>
      <c r="G3005" s="232" t="inlineStr">
        <is>
          <t>Timpson 7,1</t>
        </is>
      </c>
      <c r="H3005" s="232" t="inlineStr">
        <is>
          <t>Uvas</t>
        </is>
      </c>
      <c r="I3005" s="232" t="inlineStr">
        <is>
          <t>Timpson</t>
        </is>
      </c>
      <c r="J3005" s="232" t="inlineStr">
        <is>
          <t>MANT. Y REP. PLANTACIONES</t>
        </is>
      </c>
      <c r="K3005" s="232" t="inlineStr">
        <is>
          <t>MANTENCION HUERTO</t>
        </is>
      </c>
      <c r="L3005" s="232" t="inlineStr">
        <is>
          <t>[PRORRATEO 4.8% 7.1há/148.3há] O/001549 CORDEL COS</t>
        </is>
      </c>
      <c r="M3005" s="232" t="inlineStr"/>
      <c r="N3005" s="232" t="inlineStr">
        <is>
          <t>.   .   -</t>
        </is>
      </c>
      <c r="O3005" s="232" t="inlineStr">
        <is>
          <t>MARZO</t>
        </is>
      </c>
      <c r="P3005" s="232" t="n">
        <v>13</v>
      </c>
      <c r="Q3005" s="234" t="n">
        <v>1969</v>
      </c>
      <c r="R3005" s="232" t="inlineStr"/>
      <c r="S3005" s="234" t="n">
        <v>1969</v>
      </c>
      <c r="T3005" s="232" t="inlineStr">
        <is>
          <t>CLP</t>
        </is>
      </c>
      <c r="U3005" s="232" t="inlineStr">
        <is>
          <t>Prorrateo Ha PACKING</t>
        </is>
      </c>
      <c r="V3005" s="232" t="inlineStr">
        <is>
          <t>2026-06-18</t>
        </is>
      </c>
    </row>
    <row r="3006">
      <c r="A3006" s="232" t="inlineStr">
        <is>
          <t>CR-3003</t>
        </is>
      </c>
      <c r="B3006" s="232" t="inlineStr">
        <is>
          <t>2026/27</t>
        </is>
      </c>
      <c r="C3006" s="233" t="n">
        <v>46112</v>
      </c>
      <c r="D3006" s="232" t="inlineStr">
        <is>
          <t>4171</t>
        </is>
      </c>
      <c r="E3006" s="232" t="inlineStr">
        <is>
          <t>PRORRATEO</t>
        </is>
      </c>
      <c r="F3006" s="232" t="inlineStr">
        <is>
          <t>Asmara</t>
        </is>
      </c>
      <c r="G3006" s="232" t="inlineStr">
        <is>
          <t>w. murcott 19,8 ha</t>
        </is>
      </c>
      <c r="H3006" s="232" t="inlineStr">
        <is>
          <t>Mandarina</t>
        </is>
      </c>
      <c r="I3006" s="232" t="inlineStr">
        <is>
          <t>W. murcott</t>
        </is>
      </c>
      <c r="J3006" s="232" t="inlineStr">
        <is>
          <t>ARRIENDOS</t>
        </is>
      </c>
      <c r="K3006" s="232" t="inlineStr">
        <is>
          <t>ARRIENDO GRUA HORQUILLA</t>
        </is>
      </c>
      <c r="L3006" s="232" t="inlineStr">
        <is>
          <t>[PRORRATEO 13.4% 19.8há/148.3há] O/001565 ARRIENDO G</t>
        </is>
      </c>
      <c r="M3006" s="232" t="inlineStr"/>
      <c r="N3006" s="232" t="inlineStr">
        <is>
          <t>.   .   -</t>
        </is>
      </c>
      <c r="O3006" s="232" t="inlineStr">
        <is>
          <t>MARZO</t>
        </is>
      </c>
      <c r="P3006" s="232" t="n">
        <v>13</v>
      </c>
      <c r="Q3006" s="234" t="n">
        <v>82801</v>
      </c>
      <c r="R3006" s="232" t="inlineStr"/>
      <c r="S3006" s="234" t="n">
        <v>82801</v>
      </c>
      <c r="T3006" s="232" t="inlineStr">
        <is>
          <t>CLP</t>
        </is>
      </c>
      <c r="U3006" s="232" t="inlineStr">
        <is>
          <t>Prorrateo Ha PACKING</t>
        </is>
      </c>
      <c r="V3006" s="232" t="inlineStr">
        <is>
          <t>2026-06-18</t>
        </is>
      </c>
    </row>
    <row r="3007">
      <c r="A3007" s="232" t="inlineStr">
        <is>
          <t>CR-3004</t>
        </is>
      </c>
      <c r="B3007" s="232" t="inlineStr">
        <is>
          <t>2026/27</t>
        </is>
      </c>
      <c r="C3007" s="233" t="n">
        <v>46112</v>
      </c>
      <c r="D3007" s="232" t="inlineStr">
        <is>
          <t>4171</t>
        </is>
      </c>
      <c r="E3007" s="232" t="inlineStr">
        <is>
          <t>PRORRATEO</t>
        </is>
      </c>
      <c r="F3007" s="232" t="inlineStr">
        <is>
          <t>Asmara</t>
        </is>
      </c>
      <c r="G3007" s="232" t="inlineStr">
        <is>
          <t>w. murcott 4,9 ha</t>
        </is>
      </c>
      <c r="H3007" s="232" t="inlineStr">
        <is>
          <t>Mandarina</t>
        </is>
      </c>
      <c r="I3007" s="232" t="inlineStr">
        <is>
          <t>W. murcott</t>
        </is>
      </c>
      <c r="J3007" s="232" t="inlineStr">
        <is>
          <t>ARRIENDOS</t>
        </is>
      </c>
      <c r="K3007" s="232" t="inlineStr">
        <is>
          <t>ARRIENDO GRUA HORQUILLA</t>
        </is>
      </c>
      <c r="L3007" s="232" t="inlineStr">
        <is>
          <t>[PRORRATEO 3.3% 4.9há/148.3há] O/001565 ARRIENDO G</t>
        </is>
      </c>
      <c r="M3007" s="232" t="inlineStr"/>
      <c r="N3007" s="232" t="inlineStr">
        <is>
          <t>.   .   -</t>
        </is>
      </c>
      <c r="O3007" s="232" t="inlineStr">
        <is>
          <t>MARZO</t>
        </is>
      </c>
      <c r="P3007" s="232" t="n">
        <v>13</v>
      </c>
      <c r="Q3007" s="234" t="n">
        <v>20491</v>
      </c>
      <c r="R3007" s="232" t="inlineStr"/>
      <c r="S3007" s="234" t="n">
        <v>20491</v>
      </c>
      <c r="T3007" s="232" t="inlineStr">
        <is>
          <t>CLP</t>
        </is>
      </c>
      <c r="U3007" s="232" t="inlineStr">
        <is>
          <t>Prorrateo Ha PACKING</t>
        </is>
      </c>
      <c r="V3007" s="232" t="inlineStr">
        <is>
          <t>2026-06-18</t>
        </is>
      </c>
    </row>
    <row r="3008">
      <c r="A3008" s="232" t="inlineStr">
        <is>
          <t>CR-3005</t>
        </is>
      </c>
      <c r="B3008" s="232" t="inlineStr">
        <is>
          <t>2026/27</t>
        </is>
      </c>
      <c r="C3008" s="233" t="n">
        <v>46112</v>
      </c>
      <c r="D3008" s="232" t="inlineStr">
        <is>
          <t>4171</t>
        </is>
      </c>
      <c r="E3008" s="232" t="inlineStr">
        <is>
          <t>PRORRATEO</t>
        </is>
      </c>
      <c r="F3008" s="232" t="inlineStr">
        <is>
          <t>El Molle</t>
        </is>
      </c>
      <c r="G3008" s="232" t="inlineStr">
        <is>
          <t>Wonderful 5,25 ha</t>
        </is>
      </c>
      <c r="H3008" s="232" t="inlineStr">
        <is>
          <t>Granados</t>
        </is>
      </c>
      <c r="I3008" s="232" t="inlineStr">
        <is>
          <t>Wonderfull</t>
        </is>
      </c>
      <c r="J3008" s="232" t="inlineStr">
        <is>
          <t>ARRIENDOS</t>
        </is>
      </c>
      <c r="K3008" s="232" t="inlineStr">
        <is>
          <t>ARRIENDO GRUA HORQUILLA</t>
        </is>
      </c>
      <c r="L3008" s="232" t="inlineStr">
        <is>
          <t>[PRORRATEO 3.5% 5.24há/148.3há] O/001565 ARRIENDO G</t>
        </is>
      </c>
      <c r="M3008" s="232" t="inlineStr"/>
      <c r="N3008" s="232" t="inlineStr">
        <is>
          <t>.   .   -</t>
        </is>
      </c>
      <c r="O3008" s="232" t="inlineStr">
        <is>
          <t>MARZO</t>
        </is>
      </c>
      <c r="P3008" s="232" t="n">
        <v>13</v>
      </c>
      <c r="Q3008" s="234" t="n">
        <v>21913</v>
      </c>
      <c r="R3008" s="232" t="inlineStr"/>
      <c r="S3008" s="234" t="n">
        <v>21913</v>
      </c>
      <c r="T3008" s="232" t="inlineStr">
        <is>
          <t>CLP</t>
        </is>
      </c>
      <c r="U3008" s="232" t="inlineStr">
        <is>
          <t>Prorrateo Ha PACKING</t>
        </is>
      </c>
      <c r="V3008" s="232" t="inlineStr">
        <is>
          <t>2026-06-18</t>
        </is>
      </c>
    </row>
    <row r="3009">
      <c r="A3009" s="232" t="inlineStr">
        <is>
          <t>CR-3006</t>
        </is>
      </c>
      <c r="B3009" s="232" t="inlineStr">
        <is>
          <t>2026/27</t>
        </is>
      </c>
      <c r="C3009" s="233" t="n">
        <v>46112</v>
      </c>
      <c r="D3009" s="232" t="inlineStr">
        <is>
          <t>4171</t>
        </is>
      </c>
      <c r="E3009" s="232" t="inlineStr">
        <is>
          <t>PRORRATEO</t>
        </is>
      </c>
      <c r="F3009" s="232" t="inlineStr">
        <is>
          <t>El Molle</t>
        </is>
      </c>
      <c r="G3009" s="232" t="inlineStr">
        <is>
          <t>arrufatinas 5,74 ha</t>
        </is>
      </c>
      <c r="H3009" s="232" t="inlineStr">
        <is>
          <t>Clementinas</t>
        </is>
      </c>
      <c r="I3009" s="232" t="inlineStr">
        <is>
          <t>Arrufatinas</t>
        </is>
      </c>
      <c r="J3009" s="232" t="inlineStr">
        <is>
          <t>ARRIENDOS</t>
        </is>
      </c>
      <c r="K3009" s="232" t="inlineStr">
        <is>
          <t>ARRIENDO GRUA HORQUILLA</t>
        </is>
      </c>
      <c r="L3009" s="232" t="inlineStr">
        <is>
          <t>[PRORRATEO 3.9% 5.74há/148.3há] O/001565 ARRIENDO G</t>
        </is>
      </c>
      <c r="M3009" s="232" t="inlineStr"/>
      <c r="N3009" s="232" t="inlineStr">
        <is>
          <t>.   .   -</t>
        </is>
      </c>
      <c r="O3009" s="232" t="inlineStr">
        <is>
          <t>MARZO</t>
        </is>
      </c>
      <c r="P3009" s="232" t="n">
        <v>13</v>
      </c>
      <c r="Q3009" s="234" t="n">
        <v>24004</v>
      </c>
      <c r="R3009" s="232" t="inlineStr"/>
      <c r="S3009" s="234" t="n">
        <v>24004</v>
      </c>
      <c r="T3009" s="232" t="inlineStr">
        <is>
          <t>CLP</t>
        </is>
      </c>
      <c r="U3009" s="232" t="inlineStr">
        <is>
          <t>Prorrateo Ha PACKING</t>
        </is>
      </c>
      <c r="V3009" s="232" t="inlineStr">
        <is>
          <t>2026-06-18</t>
        </is>
      </c>
    </row>
    <row r="3010">
      <c r="A3010" s="232" t="inlineStr">
        <is>
          <t>CR-3007</t>
        </is>
      </c>
      <c r="B3010" s="232" t="inlineStr">
        <is>
          <t>2026/27</t>
        </is>
      </c>
      <c r="C3010" s="233" t="n">
        <v>46112</v>
      </c>
      <c r="D3010" s="232" t="inlineStr">
        <is>
          <t>4171</t>
        </is>
      </c>
      <c r="E3010" s="232" t="inlineStr">
        <is>
          <t>PRORRATEO</t>
        </is>
      </c>
      <c r="F3010" s="232" t="inlineStr">
        <is>
          <t>El Molle</t>
        </is>
      </c>
      <c r="G3010" s="232" t="inlineStr">
        <is>
          <t>orogrande 8,11 ha</t>
        </is>
      </c>
      <c r="H3010" s="232" t="inlineStr">
        <is>
          <t>Clementinas</t>
        </is>
      </c>
      <c r="I3010" s="232" t="inlineStr">
        <is>
          <t>Orogrande</t>
        </is>
      </c>
      <c r="J3010" s="232" t="inlineStr">
        <is>
          <t>ARRIENDOS</t>
        </is>
      </c>
      <c r="K3010" s="232" t="inlineStr">
        <is>
          <t>ARRIENDO GRUA HORQUILLA</t>
        </is>
      </c>
      <c r="L3010" s="232" t="inlineStr">
        <is>
          <t>[PRORRATEO 5.5% 8.11há/148.3há] O/001565 ARRIENDO G</t>
        </is>
      </c>
      <c r="M3010" s="232" t="inlineStr"/>
      <c r="N3010" s="232" t="inlineStr">
        <is>
          <t>.   .   -</t>
        </is>
      </c>
      <c r="O3010" s="232" t="inlineStr">
        <is>
          <t>MARZO</t>
        </is>
      </c>
      <c r="P3010" s="232" t="n">
        <v>13</v>
      </c>
      <c r="Q3010" s="234" t="n">
        <v>33915</v>
      </c>
      <c r="R3010" s="232" t="inlineStr"/>
      <c r="S3010" s="234" t="n">
        <v>33915</v>
      </c>
      <c r="T3010" s="232" t="inlineStr">
        <is>
          <t>CLP</t>
        </is>
      </c>
      <c r="U3010" s="232" t="inlineStr">
        <is>
          <t>Prorrateo Ha PACKING</t>
        </is>
      </c>
      <c r="V3010" s="232" t="inlineStr">
        <is>
          <t>2026-06-18</t>
        </is>
      </c>
    </row>
    <row r="3011">
      <c r="A3011" s="232" t="inlineStr">
        <is>
          <t>CR-3008</t>
        </is>
      </c>
      <c r="B3011" s="232" t="inlineStr">
        <is>
          <t>2026/27</t>
        </is>
      </c>
      <c r="C3011" s="233" t="n">
        <v>46112</v>
      </c>
      <c r="D3011" s="232" t="inlineStr">
        <is>
          <t>4171</t>
        </is>
      </c>
      <c r="E3011" s="232" t="inlineStr">
        <is>
          <t>PRORRATEO</t>
        </is>
      </c>
      <c r="F3011" s="232" t="inlineStr">
        <is>
          <t>El Molle</t>
        </is>
      </c>
      <c r="G3011" s="232" t="inlineStr">
        <is>
          <t>oronules 5,35 ha</t>
        </is>
      </c>
      <c r="H3011" s="232" t="inlineStr">
        <is>
          <t>Clementinas</t>
        </is>
      </c>
      <c r="I3011" s="232" t="inlineStr">
        <is>
          <t>Oronules</t>
        </is>
      </c>
      <c r="J3011" s="232" t="inlineStr">
        <is>
          <t>ARRIENDOS</t>
        </is>
      </c>
      <c r="K3011" s="232" t="inlineStr">
        <is>
          <t>ARRIENDO GRUA HORQUILLA</t>
        </is>
      </c>
      <c r="L3011" s="232" t="inlineStr">
        <is>
          <t>[PRORRATEO 3.6% 5.35há/148.3há] O/001565 ARRIENDO G</t>
        </is>
      </c>
      <c r="M3011" s="232" t="inlineStr"/>
      <c r="N3011" s="232" t="inlineStr">
        <is>
          <t>.   .   -</t>
        </is>
      </c>
      <c r="O3011" s="232" t="inlineStr">
        <is>
          <t>MARZO</t>
        </is>
      </c>
      <c r="P3011" s="232" t="n">
        <v>13</v>
      </c>
      <c r="Q3011" s="234" t="n">
        <v>22373</v>
      </c>
      <c r="R3011" s="232" t="inlineStr"/>
      <c r="S3011" s="234" t="n">
        <v>22373</v>
      </c>
      <c r="T3011" s="232" t="inlineStr">
        <is>
          <t>CLP</t>
        </is>
      </c>
      <c r="U3011" s="232" t="inlineStr">
        <is>
          <t>Prorrateo Ha PACKING</t>
        </is>
      </c>
      <c r="V3011" s="232" t="inlineStr">
        <is>
          <t>2026-06-18</t>
        </is>
      </c>
    </row>
    <row r="3012">
      <c r="A3012" s="232" t="inlineStr">
        <is>
          <t>CR-3009</t>
        </is>
      </c>
      <c r="B3012" s="232" t="inlineStr">
        <is>
          <t>2026/27</t>
        </is>
      </c>
      <c r="C3012" s="233" t="n">
        <v>46112</v>
      </c>
      <c r="D3012" s="232" t="inlineStr">
        <is>
          <t>4171</t>
        </is>
      </c>
      <c r="E3012" s="232" t="inlineStr">
        <is>
          <t>PRORRATEO</t>
        </is>
      </c>
      <c r="F3012" s="232" t="inlineStr">
        <is>
          <t>Santa Catalina</t>
        </is>
      </c>
      <c r="G3012" s="232" t="inlineStr">
        <is>
          <t>Fino 49 7,7 ha</t>
        </is>
      </c>
      <c r="H3012" s="232" t="inlineStr">
        <is>
          <t>Limon</t>
        </is>
      </c>
      <c r="I3012" s="232" t="inlineStr">
        <is>
          <t>Fino 49</t>
        </is>
      </c>
      <c r="J3012" s="232" t="inlineStr">
        <is>
          <t>ARRIENDOS</t>
        </is>
      </c>
      <c r="K3012" s="232" t="inlineStr">
        <is>
          <t>ARRIENDO GRUA HORQUILLA</t>
        </is>
      </c>
      <c r="L3012" s="232" t="inlineStr">
        <is>
          <t>[PRORRATEO 5.2% 7.7há/148.3há] O/001565 ARRIENDO G</t>
        </is>
      </c>
      <c r="M3012" s="232" t="inlineStr"/>
      <c r="N3012" s="232" t="inlineStr">
        <is>
          <t>.   .   -</t>
        </is>
      </c>
      <c r="O3012" s="232" t="inlineStr">
        <is>
          <t>MARZO</t>
        </is>
      </c>
      <c r="P3012" s="232" t="n">
        <v>13</v>
      </c>
      <c r="Q3012" s="234" t="n">
        <v>32200</v>
      </c>
      <c r="R3012" s="232" t="inlineStr"/>
      <c r="S3012" s="234" t="n">
        <v>32200</v>
      </c>
      <c r="T3012" s="232" t="inlineStr">
        <is>
          <t>CLP</t>
        </is>
      </c>
      <c r="U3012" s="232" t="inlineStr">
        <is>
          <t>Prorrateo Ha PACKING</t>
        </is>
      </c>
      <c r="V3012" s="232" t="inlineStr">
        <is>
          <t>2026-06-18</t>
        </is>
      </c>
    </row>
    <row r="3013">
      <c r="A3013" s="232" t="inlineStr">
        <is>
          <t>CR-3010</t>
        </is>
      </c>
      <c r="B3013" s="232" t="inlineStr">
        <is>
          <t>2026/27</t>
        </is>
      </c>
      <c r="C3013" s="233" t="n">
        <v>46112</v>
      </c>
      <c r="D3013" s="232" t="inlineStr">
        <is>
          <t>4171</t>
        </is>
      </c>
      <c r="E3013" s="232" t="inlineStr">
        <is>
          <t>PRORRATEO</t>
        </is>
      </c>
      <c r="F3013" s="232" t="inlineStr">
        <is>
          <t>Santa Catalina</t>
        </is>
      </c>
      <c r="G3013" s="232" t="inlineStr">
        <is>
          <t>W. murcott 21 ha</t>
        </is>
      </c>
      <c r="H3013" s="232" t="inlineStr">
        <is>
          <t>Mandarina</t>
        </is>
      </c>
      <c r="I3013" s="232" t="inlineStr">
        <is>
          <t>W. murcott</t>
        </is>
      </c>
      <c r="J3013" s="232" t="inlineStr">
        <is>
          <t>ARRIENDOS</t>
        </is>
      </c>
      <c r="K3013" s="232" t="inlineStr">
        <is>
          <t>ARRIENDO GRUA HORQUILLA</t>
        </is>
      </c>
      <c r="L3013" s="232" t="inlineStr">
        <is>
          <t>[PRORRATEO 14.2% 21.0há/148.3há] O/001565 ARRIENDO G</t>
        </is>
      </c>
      <c r="M3013" s="232" t="inlineStr"/>
      <c r="N3013" s="232" t="inlineStr">
        <is>
          <t>.   .   -</t>
        </is>
      </c>
      <c r="O3013" s="232" t="inlineStr">
        <is>
          <t>MARZO</t>
        </is>
      </c>
      <c r="P3013" s="232" t="n">
        <v>13</v>
      </c>
      <c r="Q3013" s="234" t="n">
        <v>87819</v>
      </c>
      <c r="R3013" s="232" t="inlineStr"/>
      <c r="S3013" s="234" t="n">
        <v>87819</v>
      </c>
      <c r="T3013" s="232" t="inlineStr">
        <is>
          <t>CLP</t>
        </is>
      </c>
      <c r="U3013" s="232" t="inlineStr">
        <is>
          <t>Prorrateo Ha PACKING</t>
        </is>
      </c>
      <c r="V3013" s="232" t="inlineStr">
        <is>
          <t>2026-06-18</t>
        </is>
      </c>
    </row>
    <row r="3014">
      <c r="A3014" s="232" t="inlineStr">
        <is>
          <t>CR-3011</t>
        </is>
      </c>
      <c r="B3014" s="232" t="inlineStr">
        <is>
          <t>2026/27</t>
        </is>
      </c>
      <c r="C3014" s="233" t="n">
        <v>46112</v>
      </c>
      <c r="D3014" s="232" t="inlineStr">
        <is>
          <t>4171</t>
        </is>
      </c>
      <c r="E3014" s="232" t="inlineStr">
        <is>
          <t>PRORRATEO</t>
        </is>
      </c>
      <c r="F3014" s="232" t="inlineStr">
        <is>
          <t>Santa Catalina</t>
        </is>
      </c>
      <c r="G3014" s="232" t="inlineStr">
        <is>
          <t>cambria 4,2 ha</t>
        </is>
      </c>
      <c r="H3014" s="232" t="inlineStr">
        <is>
          <t>Naranjas</t>
        </is>
      </c>
      <c r="I3014" s="232" t="inlineStr">
        <is>
          <t>Cambria</t>
        </is>
      </c>
      <c r="J3014" s="232" t="inlineStr">
        <is>
          <t>ARRIENDOS</t>
        </is>
      </c>
      <c r="K3014" s="232" t="inlineStr">
        <is>
          <t>ARRIENDO GRUA HORQUILLA</t>
        </is>
      </c>
      <c r="L3014" s="232" t="inlineStr">
        <is>
          <t>[PRORRATEO 2.8% 4.2há/148.3há] O/001565 ARRIENDO G</t>
        </is>
      </c>
      <c r="M3014" s="232" t="inlineStr"/>
      <c r="N3014" s="232" t="inlineStr">
        <is>
          <t>.   .   -</t>
        </is>
      </c>
      <c r="O3014" s="232" t="inlineStr">
        <is>
          <t>MARZO</t>
        </is>
      </c>
      <c r="P3014" s="232" t="n">
        <v>13</v>
      </c>
      <c r="Q3014" s="234" t="n">
        <v>17564</v>
      </c>
      <c r="R3014" s="232" t="inlineStr"/>
      <c r="S3014" s="234" t="n">
        <v>17564</v>
      </c>
      <c r="T3014" s="232" t="inlineStr">
        <is>
          <t>CLP</t>
        </is>
      </c>
      <c r="U3014" s="232" t="inlineStr">
        <is>
          <t>Prorrateo Ha PACKING</t>
        </is>
      </c>
      <c r="V3014" s="232" t="inlineStr">
        <is>
          <t>2026-06-18</t>
        </is>
      </c>
    </row>
    <row r="3015">
      <c r="A3015" s="232" t="inlineStr">
        <is>
          <t>CR-3012</t>
        </is>
      </c>
      <c r="B3015" s="232" t="inlineStr">
        <is>
          <t>2026/27</t>
        </is>
      </c>
      <c r="C3015" s="233" t="n">
        <v>46112</v>
      </c>
      <c r="D3015" s="232" t="inlineStr">
        <is>
          <t>4171</t>
        </is>
      </c>
      <c r="E3015" s="232" t="inlineStr">
        <is>
          <t>PRORRATEO</t>
        </is>
      </c>
      <c r="F3015" s="232" t="inlineStr">
        <is>
          <t>Santa Catalina</t>
        </is>
      </c>
      <c r="G3015" s="232" t="inlineStr">
        <is>
          <t>eureka 10,6 ha</t>
        </is>
      </c>
      <c r="H3015" s="232" t="inlineStr">
        <is>
          <t>Limon</t>
        </is>
      </c>
      <c r="I3015" s="232" t="inlineStr">
        <is>
          <t>Eureka</t>
        </is>
      </c>
      <c r="J3015" s="232" t="inlineStr">
        <is>
          <t>ARRIENDOS</t>
        </is>
      </c>
      <c r="K3015" s="232" t="inlineStr">
        <is>
          <t>ARRIENDO GRUA HORQUILLA</t>
        </is>
      </c>
      <c r="L3015" s="232" t="inlineStr">
        <is>
          <t>[PRORRATEO 7.1% 10.6há/148.3há] O/001565 ARRIENDO G</t>
        </is>
      </c>
      <c r="M3015" s="232" t="inlineStr"/>
      <c r="N3015" s="232" t="inlineStr">
        <is>
          <t>.   .   -</t>
        </is>
      </c>
      <c r="O3015" s="232" t="inlineStr">
        <is>
          <t>MARZO</t>
        </is>
      </c>
      <c r="P3015" s="232" t="n">
        <v>13</v>
      </c>
      <c r="Q3015" s="234" t="n">
        <v>44328</v>
      </c>
      <c r="R3015" s="232" t="inlineStr"/>
      <c r="S3015" s="234" t="n">
        <v>44328</v>
      </c>
      <c r="T3015" s="232" t="inlineStr">
        <is>
          <t>CLP</t>
        </is>
      </c>
      <c r="U3015" s="232" t="inlineStr">
        <is>
          <t>Prorrateo Ha PACKING</t>
        </is>
      </c>
      <c r="V3015" s="232" t="inlineStr">
        <is>
          <t>2026-06-18</t>
        </is>
      </c>
    </row>
    <row r="3016">
      <c r="A3016" s="232" t="inlineStr">
        <is>
          <t>CR-3013</t>
        </is>
      </c>
      <c r="B3016" s="232" t="inlineStr">
        <is>
          <t>2026/27</t>
        </is>
      </c>
      <c r="C3016" s="233" t="n">
        <v>46112</v>
      </c>
      <c r="D3016" s="232" t="inlineStr">
        <is>
          <t>4171</t>
        </is>
      </c>
      <c r="E3016" s="232" t="inlineStr">
        <is>
          <t>PRORRATEO</t>
        </is>
      </c>
      <c r="F3016" s="232" t="inlineStr">
        <is>
          <t>Santa Catalina</t>
        </is>
      </c>
      <c r="G3016" s="232" t="inlineStr">
        <is>
          <t>eureka 14,4 ha</t>
        </is>
      </c>
      <c r="H3016" s="232" t="inlineStr">
        <is>
          <t>Limon</t>
        </is>
      </c>
      <c r="I3016" s="232" t="inlineStr">
        <is>
          <t>Eureka</t>
        </is>
      </c>
      <c r="J3016" s="232" t="inlineStr">
        <is>
          <t>ARRIENDOS</t>
        </is>
      </c>
      <c r="K3016" s="232" t="inlineStr">
        <is>
          <t>ARRIENDO GRUA HORQUILLA</t>
        </is>
      </c>
      <c r="L3016" s="232" t="inlineStr">
        <is>
          <t>[PRORRATEO 9.7% 14.4há/148.3há] O/001565 ARRIENDO G</t>
        </is>
      </c>
      <c r="M3016" s="232" t="inlineStr"/>
      <c r="N3016" s="232" t="inlineStr">
        <is>
          <t>.   .   -</t>
        </is>
      </c>
      <c r="O3016" s="232" t="inlineStr">
        <is>
          <t>MARZO</t>
        </is>
      </c>
      <c r="P3016" s="232" t="n">
        <v>13</v>
      </c>
      <c r="Q3016" s="234" t="n">
        <v>60219</v>
      </c>
      <c r="R3016" s="232" t="inlineStr"/>
      <c r="S3016" s="234" t="n">
        <v>60219</v>
      </c>
      <c r="T3016" s="232" t="inlineStr">
        <is>
          <t>CLP</t>
        </is>
      </c>
      <c r="U3016" s="232" t="inlineStr">
        <is>
          <t>Prorrateo Ha PACKING</t>
        </is>
      </c>
      <c r="V3016" s="232" t="inlineStr">
        <is>
          <t>2026-06-18</t>
        </is>
      </c>
    </row>
    <row r="3017">
      <c r="A3017" s="232" t="inlineStr">
        <is>
          <t>CR-3014</t>
        </is>
      </c>
      <c r="B3017" s="232" t="inlineStr">
        <is>
          <t>2026/27</t>
        </is>
      </c>
      <c r="C3017" s="233" t="n">
        <v>46112</v>
      </c>
      <c r="D3017" s="232" t="inlineStr">
        <is>
          <t>4171</t>
        </is>
      </c>
      <c r="E3017" s="232" t="inlineStr">
        <is>
          <t>PRORRATEO</t>
        </is>
      </c>
      <c r="F3017" s="232" t="inlineStr">
        <is>
          <t>Santa Catalina</t>
        </is>
      </c>
      <c r="G3017" s="232" t="inlineStr">
        <is>
          <t>eureka 22,55</t>
        </is>
      </c>
      <c r="H3017" s="232" t="inlineStr">
        <is>
          <t>Limon</t>
        </is>
      </c>
      <c r="I3017" s="232" t="inlineStr">
        <is>
          <t>Eureka</t>
        </is>
      </c>
      <c r="J3017" s="232" t="inlineStr">
        <is>
          <t>ARRIENDOS</t>
        </is>
      </c>
      <c r="K3017" s="232" t="inlineStr">
        <is>
          <t>ARRIENDO GRUA HORQUILLA</t>
        </is>
      </c>
      <c r="L3017" s="232" t="inlineStr">
        <is>
          <t>[PRORRATEO 15.2% 22.55há/148.3há] O/001565 ARRIENDO G</t>
        </is>
      </c>
      <c r="M3017" s="232" t="inlineStr"/>
      <c r="N3017" s="232" t="inlineStr">
        <is>
          <t>.   .   -</t>
        </is>
      </c>
      <c r="O3017" s="232" t="inlineStr">
        <is>
          <t>MARZO</t>
        </is>
      </c>
      <c r="P3017" s="232" t="n">
        <v>13</v>
      </c>
      <c r="Q3017" s="234" t="n">
        <v>94301</v>
      </c>
      <c r="R3017" s="232" t="inlineStr"/>
      <c r="S3017" s="234" t="n">
        <v>94301</v>
      </c>
      <c r="T3017" s="232" t="inlineStr">
        <is>
          <t>CLP</t>
        </is>
      </c>
      <c r="U3017" s="232" t="inlineStr">
        <is>
          <t>Prorrateo Ha PACKING</t>
        </is>
      </c>
      <c r="V3017" s="232" t="inlineStr">
        <is>
          <t>2026-06-18</t>
        </is>
      </c>
    </row>
    <row r="3018">
      <c r="A3018" s="232" t="inlineStr">
        <is>
          <t>CR-3015</t>
        </is>
      </c>
      <c r="B3018" s="232" t="inlineStr">
        <is>
          <t>2026/27</t>
        </is>
      </c>
      <c r="C3018" s="233" t="n">
        <v>46112</v>
      </c>
      <c r="D3018" s="232" t="inlineStr">
        <is>
          <t>4171</t>
        </is>
      </c>
      <c r="E3018" s="232" t="inlineStr">
        <is>
          <t>PRORRATEO</t>
        </is>
      </c>
      <c r="F3018" s="232" t="inlineStr">
        <is>
          <t>Santa Catalina</t>
        </is>
      </c>
      <c r="G3018" s="232" t="inlineStr">
        <is>
          <t>form benjamin 1,93 ha</t>
        </is>
      </c>
      <c r="H3018" s="232" t="inlineStr">
        <is>
          <t>Limon</t>
        </is>
      </c>
      <c r="I3018" s="232" t="inlineStr">
        <is>
          <t>Benjamin andes</t>
        </is>
      </c>
      <c r="J3018" s="232" t="inlineStr">
        <is>
          <t>ARRIENDOS</t>
        </is>
      </c>
      <c r="K3018" s="232" t="inlineStr">
        <is>
          <t>ARRIENDO GRUA HORQUILLA</t>
        </is>
      </c>
      <c r="L3018" s="232" t="inlineStr">
        <is>
          <t>[PRORRATEO 1.3% 1.93há/148.3há] O/001565 ARRIENDO G</t>
        </is>
      </c>
      <c r="M3018" s="232" t="inlineStr"/>
      <c r="N3018" s="232" t="inlineStr">
        <is>
          <t>.   .   -</t>
        </is>
      </c>
      <c r="O3018" s="232" t="inlineStr">
        <is>
          <t>MARZO</t>
        </is>
      </c>
      <c r="P3018" s="232" t="n">
        <v>13</v>
      </c>
      <c r="Q3018" s="234" t="n">
        <v>8071</v>
      </c>
      <c r="R3018" s="232" t="inlineStr"/>
      <c r="S3018" s="234" t="n">
        <v>8071</v>
      </c>
      <c r="T3018" s="232" t="inlineStr">
        <is>
          <t>CLP</t>
        </is>
      </c>
      <c r="U3018" s="232" t="inlineStr">
        <is>
          <t>Prorrateo Ha PACKING</t>
        </is>
      </c>
      <c r="V3018" s="232" t="inlineStr">
        <is>
          <t>2026-06-18</t>
        </is>
      </c>
    </row>
    <row r="3019">
      <c r="A3019" s="232" t="inlineStr">
        <is>
          <t>CR-3016</t>
        </is>
      </c>
      <c r="B3019" s="232" t="inlineStr">
        <is>
          <t>2026/27</t>
        </is>
      </c>
      <c r="C3019" s="233" t="n">
        <v>46112</v>
      </c>
      <c r="D3019" s="232" t="inlineStr">
        <is>
          <t>4171</t>
        </is>
      </c>
      <c r="E3019" s="232" t="inlineStr">
        <is>
          <t>PRORRATEO</t>
        </is>
      </c>
      <c r="F3019" s="232" t="inlineStr">
        <is>
          <t>Santa Catalina</t>
        </is>
      </c>
      <c r="G3019" s="232" t="inlineStr">
        <is>
          <t>mant eureka 2,5 ha</t>
        </is>
      </c>
      <c r="H3019" s="232" t="inlineStr">
        <is>
          <t>Limon</t>
        </is>
      </c>
      <c r="I3019" s="232" t="inlineStr">
        <is>
          <t>Eureka</t>
        </is>
      </c>
      <c r="J3019" s="232" t="inlineStr">
        <is>
          <t>ARRIENDOS</t>
        </is>
      </c>
      <c r="K3019" s="232" t="inlineStr">
        <is>
          <t>ARRIENDO GRUA HORQUILLA</t>
        </is>
      </c>
      <c r="L3019" s="232" t="inlineStr">
        <is>
          <t>[PRORRATEO 1.7% 2.5há/148.3há] O/001565 ARRIENDO G</t>
        </is>
      </c>
      <c r="M3019" s="232" t="inlineStr"/>
      <c r="N3019" s="232" t="inlineStr">
        <is>
          <t>.   .   -</t>
        </is>
      </c>
      <c r="O3019" s="232" t="inlineStr">
        <is>
          <t>MARZO</t>
        </is>
      </c>
      <c r="P3019" s="232" t="n">
        <v>13</v>
      </c>
      <c r="Q3019" s="234" t="n">
        <v>10455</v>
      </c>
      <c r="R3019" s="232" t="inlineStr"/>
      <c r="S3019" s="234" t="n">
        <v>10455</v>
      </c>
      <c r="T3019" s="232" t="inlineStr">
        <is>
          <t>CLP</t>
        </is>
      </c>
      <c r="U3019" s="232" t="inlineStr">
        <is>
          <t>Prorrateo Ha PACKING</t>
        </is>
      </c>
      <c r="V3019" s="232" t="inlineStr">
        <is>
          <t>2026-06-18</t>
        </is>
      </c>
    </row>
    <row r="3020">
      <c r="A3020" s="232" t="inlineStr">
        <is>
          <t>CR-3017</t>
        </is>
      </c>
      <c r="B3020" s="232" t="inlineStr">
        <is>
          <t>2026/27</t>
        </is>
      </c>
      <c r="C3020" s="233" t="n">
        <v>46112</v>
      </c>
      <c r="D3020" s="232" t="inlineStr">
        <is>
          <t>4171</t>
        </is>
      </c>
      <c r="E3020" s="232" t="inlineStr">
        <is>
          <t>PRORRATEO</t>
        </is>
      </c>
      <c r="F3020" s="232" t="inlineStr">
        <is>
          <t>Siberia</t>
        </is>
      </c>
      <c r="G3020" s="232" t="inlineStr">
        <is>
          <t>S. Celebration 7,14</t>
        </is>
      </c>
      <c r="H3020" s="232" t="inlineStr">
        <is>
          <t>Uvas</t>
        </is>
      </c>
      <c r="I3020" s="232" t="inlineStr">
        <is>
          <t>S. celebration</t>
        </is>
      </c>
      <c r="J3020" s="232" t="inlineStr">
        <is>
          <t>ARRIENDOS</t>
        </is>
      </c>
      <c r="K3020" s="232" t="inlineStr">
        <is>
          <t>ARRIENDO GRUA HORQUILLA</t>
        </is>
      </c>
      <c r="L3020" s="232" t="inlineStr">
        <is>
          <t>[PRORRATEO 4.8% 7.14há/148.3há] O/001565 ARRIENDO G</t>
        </is>
      </c>
      <c r="M3020" s="232" t="inlineStr"/>
      <c r="N3020" s="232" t="inlineStr">
        <is>
          <t>.   .   -</t>
        </is>
      </c>
      <c r="O3020" s="232" t="inlineStr">
        <is>
          <t>MARZO</t>
        </is>
      </c>
      <c r="P3020" s="232" t="n">
        <v>13</v>
      </c>
      <c r="Q3020" s="234" t="n">
        <v>29858</v>
      </c>
      <c r="R3020" s="232" t="inlineStr"/>
      <c r="S3020" s="234" t="n">
        <v>29858</v>
      </c>
      <c r="T3020" s="232" t="inlineStr">
        <is>
          <t>CLP</t>
        </is>
      </c>
      <c r="U3020" s="232" t="inlineStr">
        <is>
          <t>Prorrateo Ha PACKING</t>
        </is>
      </c>
      <c r="V3020" s="232" t="inlineStr">
        <is>
          <t>2026-06-18</t>
        </is>
      </c>
    </row>
    <row r="3021">
      <c r="A3021" s="232" t="inlineStr">
        <is>
          <t>CR-3018</t>
        </is>
      </c>
      <c r="B3021" s="232" t="inlineStr">
        <is>
          <t>2026/27</t>
        </is>
      </c>
      <c r="C3021" s="233" t="n">
        <v>46112</v>
      </c>
      <c r="D3021" s="232" t="inlineStr">
        <is>
          <t>4171</t>
        </is>
      </c>
      <c r="E3021" s="232" t="inlineStr">
        <is>
          <t>PRORRATEO</t>
        </is>
      </c>
      <c r="F3021" s="232" t="inlineStr">
        <is>
          <t>Siberia</t>
        </is>
      </c>
      <c r="G3021" s="232" t="inlineStr">
        <is>
          <t>Timpson 7,1</t>
        </is>
      </c>
      <c r="H3021" s="232" t="inlineStr">
        <is>
          <t>Uvas</t>
        </is>
      </c>
      <c r="I3021" s="232" t="inlineStr">
        <is>
          <t>Timpson</t>
        </is>
      </c>
      <c r="J3021" s="232" t="inlineStr">
        <is>
          <t>ARRIENDOS</t>
        </is>
      </c>
      <c r="K3021" s="232" t="inlineStr">
        <is>
          <t>ARRIENDO GRUA HORQUILLA</t>
        </is>
      </c>
      <c r="L3021" s="232" t="inlineStr">
        <is>
          <t>[PRORRATEO 4.8% 7.1há/148.3há] O/001565 ARRIENDO G</t>
        </is>
      </c>
      <c r="M3021" s="232" t="inlineStr"/>
      <c r="N3021" s="232" t="inlineStr">
        <is>
          <t>.   .   -</t>
        </is>
      </c>
      <c r="O3021" s="232" t="inlineStr">
        <is>
          <t>MARZO</t>
        </is>
      </c>
      <c r="P3021" s="232" t="n">
        <v>13</v>
      </c>
      <c r="Q3021" s="234" t="n">
        <v>29691</v>
      </c>
      <c r="R3021" s="232" t="inlineStr"/>
      <c r="S3021" s="234" t="n">
        <v>29691</v>
      </c>
      <c r="T3021" s="232" t="inlineStr">
        <is>
          <t>CLP</t>
        </is>
      </c>
      <c r="U3021" s="232" t="inlineStr">
        <is>
          <t>Prorrateo Ha PACKING</t>
        </is>
      </c>
      <c r="V3021" s="232" t="inlineStr">
        <is>
          <t>2026-06-18</t>
        </is>
      </c>
    </row>
    <row r="3022">
      <c r="A3022" s="232" t="inlineStr">
        <is>
          <t>CR-3019</t>
        </is>
      </c>
      <c r="B3022" s="232" t="inlineStr">
        <is>
          <t>2026/27</t>
        </is>
      </c>
      <c r="C3022" s="233" t="n">
        <v>46112</v>
      </c>
      <c r="D3022" s="232" t="inlineStr">
        <is>
          <t>112168</t>
        </is>
      </c>
      <c r="E3022" s="232" t="inlineStr">
        <is>
          <t>PRORRATEO</t>
        </is>
      </c>
      <c r="F3022" s="232" t="inlineStr">
        <is>
          <t>Asmara</t>
        </is>
      </c>
      <c r="G3022" s="232" t="inlineStr">
        <is>
          <t>w. murcott 19,8 ha</t>
        </is>
      </c>
      <c r="H3022" s="232" t="inlineStr">
        <is>
          <t>Mandarina</t>
        </is>
      </c>
      <c r="I3022" s="232" t="inlineStr">
        <is>
          <t>W. murcott</t>
        </is>
      </c>
      <c r="J3022" s="232" t="inlineStr">
        <is>
          <t>MATERIALES COSECHA</t>
        </is>
      </c>
      <c r="K3022" s="232" t="inlineStr">
        <is>
          <t>MATERIAL COSECHA EXPORTACION</t>
        </is>
      </c>
      <c r="L3022" s="232" t="inlineStr">
        <is>
          <t>[PRORRATEO 13.4% 19.8há/148.3há] O/001523 ACOPLE HEM</t>
        </is>
      </c>
      <c r="M3022" s="232" t="inlineStr"/>
      <c r="N3022" s="232" t="inlineStr">
        <is>
          <t>.   .   -</t>
        </is>
      </c>
      <c r="O3022" s="232" t="inlineStr">
        <is>
          <t>MARZO</t>
        </is>
      </c>
      <c r="P3022" s="232" t="n">
        <v>13</v>
      </c>
      <c r="Q3022" s="234" t="n">
        <v>898</v>
      </c>
      <c r="R3022" s="232" t="inlineStr"/>
      <c r="S3022" s="234" t="n">
        <v>898</v>
      </c>
      <c r="T3022" s="232" t="inlineStr">
        <is>
          <t>CLP</t>
        </is>
      </c>
      <c r="U3022" s="232" t="inlineStr">
        <is>
          <t>Prorrateo Ha PACKING</t>
        </is>
      </c>
      <c r="V3022" s="232" t="inlineStr">
        <is>
          <t>2026-06-18</t>
        </is>
      </c>
    </row>
    <row r="3023">
      <c r="A3023" s="232" t="inlineStr">
        <is>
          <t>CR-3020</t>
        </is>
      </c>
      <c r="B3023" s="232" t="inlineStr">
        <is>
          <t>2026/27</t>
        </is>
      </c>
      <c r="C3023" s="233" t="n">
        <v>46112</v>
      </c>
      <c r="D3023" s="232" t="inlineStr">
        <is>
          <t>112168</t>
        </is>
      </c>
      <c r="E3023" s="232" t="inlineStr">
        <is>
          <t>PRORRATEO</t>
        </is>
      </c>
      <c r="F3023" s="232" t="inlineStr">
        <is>
          <t>Asmara</t>
        </is>
      </c>
      <c r="G3023" s="232" t="inlineStr">
        <is>
          <t>w. murcott 4,9 ha</t>
        </is>
      </c>
      <c r="H3023" s="232" t="inlineStr">
        <is>
          <t>Mandarina</t>
        </is>
      </c>
      <c r="I3023" s="232" t="inlineStr">
        <is>
          <t>W. murcott</t>
        </is>
      </c>
      <c r="J3023" s="232" t="inlineStr">
        <is>
          <t>MATERIALES COSECHA</t>
        </is>
      </c>
      <c r="K3023" s="232" t="inlineStr">
        <is>
          <t>MATERIAL COSECHA EXPORTACION</t>
        </is>
      </c>
      <c r="L3023" s="232" t="inlineStr">
        <is>
          <t>[PRORRATEO 3.3% 4.9há/148.3há] O/001523 ACOPLE HEM</t>
        </is>
      </c>
      <c r="M3023" s="232" t="inlineStr"/>
      <c r="N3023" s="232" t="inlineStr">
        <is>
          <t>.   .   -</t>
        </is>
      </c>
      <c r="O3023" s="232" t="inlineStr">
        <is>
          <t>MARZO</t>
        </is>
      </c>
      <c r="P3023" s="232" t="n">
        <v>13</v>
      </c>
      <c r="Q3023" s="234" t="n">
        <v>222</v>
      </c>
      <c r="R3023" s="232" t="inlineStr"/>
      <c r="S3023" s="234" t="n">
        <v>222</v>
      </c>
      <c r="T3023" s="232" t="inlineStr">
        <is>
          <t>CLP</t>
        </is>
      </c>
      <c r="U3023" s="232" t="inlineStr">
        <is>
          <t>Prorrateo Ha PACKING</t>
        </is>
      </c>
      <c r="V3023" s="232" t="inlineStr">
        <is>
          <t>2026-06-18</t>
        </is>
      </c>
    </row>
    <row r="3024">
      <c r="A3024" s="232" t="inlineStr">
        <is>
          <t>CR-3021</t>
        </is>
      </c>
      <c r="B3024" s="232" t="inlineStr">
        <is>
          <t>2026/27</t>
        </is>
      </c>
      <c r="C3024" s="233" t="n">
        <v>46112</v>
      </c>
      <c r="D3024" s="232" t="inlineStr">
        <is>
          <t>112168</t>
        </is>
      </c>
      <c r="E3024" s="232" t="inlineStr">
        <is>
          <t>PRORRATEO</t>
        </is>
      </c>
      <c r="F3024" s="232" t="inlineStr">
        <is>
          <t>El Molle</t>
        </is>
      </c>
      <c r="G3024" s="232" t="inlineStr">
        <is>
          <t>Wonderful 5,25 ha</t>
        </is>
      </c>
      <c r="H3024" s="232" t="inlineStr">
        <is>
          <t>Granados</t>
        </is>
      </c>
      <c r="I3024" s="232" t="inlineStr">
        <is>
          <t>Wonderfull</t>
        </is>
      </c>
      <c r="J3024" s="232" t="inlineStr">
        <is>
          <t>MATERIALES COSECHA</t>
        </is>
      </c>
      <c r="K3024" s="232" t="inlineStr">
        <is>
          <t>MATERIAL COSECHA EXPORTACION</t>
        </is>
      </c>
      <c r="L3024" s="232" t="inlineStr">
        <is>
          <t>[PRORRATEO 3.5% 5.24há/148.3há] O/001523 ACOPLE HEM</t>
        </is>
      </c>
      <c r="M3024" s="232" t="inlineStr"/>
      <c r="N3024" s="232" t="inlineStr">
        <is>
          <t>.   .   -</t>
        </is>
      </c>
      <c r="O3024" s="232" t="inlineStr">
        <is>
          <t>MARZO</t>
        </is>
      </c>
      <c r="P3024" s="232" t="n">
        <v>13</v>
      </c>
      <c r="Q3024" s="234" t="n">
        <v>238</v>
      </c>
      <c r="R3024" s="232" t="inlineStr"/>
      <c r="S3024" s="234" t="n">
        <v>238</v>
      </c>
      <c r="T3024" s="232" t="inlineStr">
        <is>
          <t>CLP</t>
        </is>
      </c>
      <c r="U3024" s="232" t="inlineStr">
        <is>
          <t>Prorrateo Ha PACKING</t>
        </is>
      </c>
      <c r="V3024" s="232" t="inlineStr">
        <is>
          <t>2026-06-18</t>
        </is>
      </c>
    </row>
    <row r="3025">
      <c r="A3025" s="232" t="inlineStr">
        <is>
          <t>CR-3022</t>
        </is>
      </c>
      <c r="B3025" s="232" t="inlineStr">
        <is>
          <t>2026/27</t>
        </is>
      </c>
      <c r="C3025" s="233" t="n">
        <v>46112</v>
      </c>
      <c r="D3025" s="232" t="inlineStr">
        <is>
          <t>112168</t>
        </is>
      </c>
      <c r="E3025" s="232" t="inlineStr">
        <is>
          <t>PRORRATEO</t>
        </is>
      </c>
      <c r="F3025" s="232" t="inlineStr">
        <is>
          <t>El Molle</t>
        </is>
      </c>
      <c r="G3025" s="232" t="inlineStr">
        <is>
          <t>arrufatinas 5,74 ha</t>
        </is>
      </c>
      <c r="H3025" s="232" t="inlineStr">
        <is>
          <t>Clementinas</t>
        </is>
      </c>
      <c r="I3025" s="232" t="inlineStr">
        <is>
          <t>Arrufatinas</t>
        </is>
      </c>
      <c r="J3025" s="232" t="inlineStr">
        <is>
          <t>MATERIALES COSECHA</t>
        </is>
      </c>
      <c r="K3025" s="232" t="inlineStr">
        <is>
          <t>MATERIAL COSECHA EXPORTACION</t>
        </is>
      </c>
      <c r="L3025" s="232" t="inlineStr">
        <is>
          <t>[PRORRATEO 3.9% 5.74há/148.3há] O/001523 ACOPLE HEM</t>
        </is>
      </c>
      <c r="M3025" s="232" t="inlineStr"/>
      <c r="N3025" s="232" t="inlineStr">
        <is>
          <t>.   .   -</t>
        </is>
      </c>
      <c r="O3025" s="232" t="inlineStr">
        <is>
          <t>MARZO</t>
        </is>
      </c>
      <c r="P3025" s="232" t="n">
        <v>13</v>
      </c>
      <c r="Q3025" s="234" t="n">
        <v>260</v>
      </c>
      <c r="R3025" s="232" t="inlineStr"/>
      <c r="S3025" s="234" t="n">
        <v>260</v>
      </c>
      <c r="T3025" s="232" t="inlineStr">
        <is>
          <t>CLP</t>
        </is>
      </c>
      <c r="U3025" s="232" t="inlineStr">
        <is>
          <t>Prorrateo Ha PACKING</t>
        </is>
      </c>
      <c r="V3025" s="232" t="inlineStr">
        <is>
          <t>2026-06-18</t>
        </is>
      </c>
    </row>
    <row r="3026">
      <c r="A3026" s="232" t="inlineStr">
        <is>
          <t>CR-3023</t>
        </is>
      </c>
      <c r="B3026" s="232" t="inlineStr">
        <is>
          <t>2026/27</t>
        </is>
      </c>
      <c r="C3026" s="233" t="n">
        <v>46112</v>
      </c>
      <c r="D3026" s="232" t="inlineStr">
        <is>
          <t>112168</t>
        </is>
      </c>
      <c r="E3026" s="232" t="inlineStr">
        <is>
          <t>PRORRATEO</t>
        </is>
      </c>
      <c r="F3026" s="232" t="inlineStr">
        <is>
          <t>El Molle</t>
        </is>
      </c>
      <c r="G3026" s="232" t="inlineStr">
        <is>
          <t>orogrande 8,11 ha</t>
        </is>
      </c>
      <c r="H3026" s="232" t="inlineStr">
        <is>
          <t>Clementinas</t>
        </is>
      </c>
      <c r="I3026" s="232" t="inlineStr">
        <is>
          <t>Orogrande</t>
        </is>
      </c>
      <c r="J3026" s="232" t="inlineStr">
        <is>
          <t>MATERIALES COSECHA</t>
        </is>
      </c>
      <c r="K3026" s="232" t="inlineStr">
        <is>
          <t>MATERIAL COSECHA EXPORTACION</t>
        </is>
      </c>
      <c r="L3026" s="232" t="inlineStr">
        <is>
          <t>[PRORRATEO 5.5% 8.11há/148.3há] O/001523 ACOPLE HEM</t>
        </is>
      </c>
      <c r="M3026" s="232" t="inlineStr"/>
      <c r="N3026" s="232" t="inlineStr">
        <is>
          <t>.   .   -</t>
        </is>
      </c>
      <c r="O3026" s="232" t="inlineStr">
        <is>
          <t>MARZO</t>
        </is>
      </c>
      <c r="P3026" s="232" t="n">
        <v>13</v>
      </c>
      <c r="Q3026" s="234" t="n">
        <v>368</v>
      </c>
      <c r="R3026" s="232" t="inlineStr"/>
      <c r="S3026" s="234" t="n">
        <v>368</v>
      </c>
      <c r="T3026" s="232" t="inlineStr">
        <is>
          <t>CLP</t>
        </is>
      </c>
      <c r="U3026" s="232" t="inlineStr">
        <is>
          <t>Prorrateo Ha PACKING</t>
        </is>
      </c>
      <c r="V3026" s="232" t="inlineStr">
        <is>
          <t>2026-06-18</t>
        </is>
      </c>
    </row>
    <row r="3027">
      <c r="A3027" s="232" t="inlineStr">
        <is>
          <t>CR-3024</t>
        </is>
      </c>
      <c r="B3027" s="232" t="inlineStr">
        <is>
          <t>2026/27</t>
        </is>
      </c>
      <c r="C3027" s="233" t="n">
        <v>46112</v>
      </c>
      <c r="D3027" s="232" t="inlineStr">
        <is>
          <t>112168</t>
        </is>
      </c>
      <c r="E3027" s="232" t="inlineStr">
        <is>
          <t>PRORRATEO</t>
        </is>
      </c>
      <c r="F3027" s="232" t="inlineStr">
        <is>
          <t>El Molle</t>
        </is>
      </c>
      <c r="G3027" s="232" t="inlineStr">
        <is>
          <t>oronules 5,35 ha</t>
        </is>
      </c>
      <c r="H3027" s="232" t="inlineStr">
        <is>
          <t>Clementinas</t>
        </is>
      </c>
      <c r="I3027" s="232" t="inlineStr">
        <is>
          <t>Oronules</t>
        </is>
      </c>
      <c r="J3027" s="232" t="inlineStr">
        <is>
          <t>MATERIALES COSECHA</t>
        </is>
      </c>
      <c r="K3027" s="232" t="inlineStr">
        <is>
          <t>MATERIAL COSECHA EXPORTACION</t>
        </is>
      </c>
      <c r="L3027" s="232" t="inlineStr">
        <is>
          <t>[PRORRATEO 3.6% 5.35há/148.3há] O/001523 ACOPLE HEM</t>
        </is>
      </c>
      <c r="M3027" s="232" t="inlineStr"/>
      <c r="N3027" s="232" t="inlineStr">
        <is>
          <t>.   .   -</t>
        </is>
      </c>
      <c r="O3027" s="232" t="inlineStr">
        <is>
          <t>MARZO</t>
        </is>
      </c>
      <c r="P3027" s="232" t="n">
        <v>13</v>
      </c>
      <c r="Q3027" s="234" t="n">
        <v>243</v>
      </c>
      <c r="R3027" s="232" t="inlineStr"/>
      <c r="S3027" s="234" t="n">
        <v>243</v>
      </c>
      <c r="T3027" s="232" t="inlineStr">
        <is>
          <t>CLP</t>
        </is>
      </c>
      <c r="U3027" s="232" t="inlineStr">
        <is>
          <t>Prorrateo Ha PACKING</t>
        </is>
      </c>
      <c r="V3027" s="232" t="inlineStr">
        <is>
          <t>2026-06-18</t>
        </is>
      </c>
    </row>
    <row r="3028">
      <c r="A3028" s="232" t="inlineStr">
        <is>
          <t>CR-3025</t>
        </is>
      </c>
      <c r="B3028" s="232" t="inlineStr">
        <is>
          <t>2026/27</t>
        </is>
      </c>
      <c r="C3028" s="233" t="n">
        <v>46112</v>
      </c>
      <c r="D3028" s="232" t="inlineStr">
        <is>
          <t>112168</t>
        </is>
      </c>
      <c r="E3028" s="232" t="inlineStr">
        <is>
          <t>PRORRATEO</t>
        </is>
      </c>
      <c r="F3028" s="232" t="inlineStr">
        <is>
          <t>Santa Catalina</t>
        </is>
      </c>
      <c r="G3028" s="232" t="inlineStr">
        <is>
          <t>Fino 49 7,7 ha</t>
        </is>
      </c>
      <c r="H3028" s="232" t="inlineStr">
        <is>
          <t>Limon</t>
        </is>
      </c>
      <c r="I3028" s="232" t="inlineStr">
        <is>
          <t>Fino 49</t>
        </is>
      </c>
      <c r="J3028" s="232" t="inlineStr">
        <is>
          <t>MATERIALES COSECHA</t>
        </is>
      </c>
      <c r="K3028" s="232" t="inlineStr">
        <is>
          <t>MATERIAL COSECHA EXPORTACION</t>
        </is>
      </c>
      <c r="L3028" s="232" t="inlineStr">
        <is>
          <t>[PRORRATEO 5.2% 7.7há/148.3há] O/001523 ACOPLE HEM</t>
        </is>
      </c>
      <c r="M3028" s="232" t="inlineStr"/>
      <c r="N3028" s="232" t="inlineStr">
        <is>
          <t>.   .   -</t>
        </is>
      </c>
      <c r="O3028" s="232" t="inlineStr">
        <is>
          <t>MARZO</t>
        </is>
      </c>
      <c r="P3028" s="232" t="n">
        <v>13</v>
      </c>
      <c r="Q3028" s="234" t="n">
        <v>349</v>
      </c>
      <c r="R3028" s="232" t="inlineStr"/>
      <c r="S3028" s="234" t="n">
        <v>349</v>
      </c>
      <c r="T3028" s="232" t="inlineStr">
        <is>
          <t>CLP</t>
        </is>
      </c>
      <c r="U3028" s="232" t="inlineStr">
        <is>
          <t>Prorrateo Ha PACKING</t>
        </is>
      </c>
      <c r="V3028" s="232" t="inlineStr">
        <is>
          <t>2026-06-18</t>
        </is>
      </c>
    </row>
    <row r="3029">
      <c r="A3029" s="232" t="inlineStr">
        <is>
          <t>CR-3026</t>
        </is>
      </c>
      <c r="B3029" s="232" t="inlineStr">
        <is>
          <t>2026/27</t>
        </is>
      </c>
      <c r="C3029" s="233" t="n">
        <v>46112</v>
      </c>
      <c r="D3029" s="232" t="inlineStr">
        <is>
          <t>112168</t>
        </is>
      </c>
      <c r="E3029" s="232" t="inlineStr">
        <is>
          <t>PRORRATEO</t>
        </is>
      </c>
      <c r="F3029" s="232" t="inlineStr">
        <is>
          <t>Santa Catalina</t>
        </is>
      </c>
      <c r="G3029" s="232" t="inlineStr">
        <is>
          <t>W. murcott 21 ha</t>
        </is>
      </c>
      <c r="H3029" s="232" t="inlineStr">
        <is>
          <t>Mandarina</t>
        </is>
      </c>
      <c r="I3029" s="232" t="inlineStr">
        <is>
          <t>W. murcott</t>
        </is>
      </c>
      <c r="J3029" s="232" t="inlineStr">
        <is>
          <t>MATERIALES COSECHA</t>
        </is>
      </c>
      <c r="K3029" s="232" t="inlineStr">
        <is>
          <t>MATERIAL COSECHA EXPORTACION</t>
        </is>
      </c>
      <c r="L3029" s="232" t="inlineStr">
        <is>
          <t>[PRORRATEO 14.2% 21.0há/148.3há] O/001523 ACOPLE HEM</t>
        </is>
      </c>
      <c r="M3029" s="232" t="inlineStr"/>
      <c r="N3029" s="232" t="inlineStr">
        <is>
          <t>.   .   -</t>
        </is>
      </c>
      <c r="O3029" s="232" t="inlineStr">
        <is>
          <t>MARZO</t>
        </is>
      </c>
      <c r="P3029" s="232" t="n">
        <v>13</v>
      </c>
      <c r="Q3029" s="234" t="n">
        <v>952</v>
      </c>
      <c r="R3029" s="232" t="inlineStr"/>
      <c r="S3029" s="234" t="n">
        <v>952</v>
      </c>
      <c r="T3029" s="232" t="inlineStr">
        <is>
          <t>CLP</t>
        </is>
      </c>
      <c r="U3029" s="232" t="inlineStr">
        <is>
          <t>Prorrateo Ha PACKING</t>
        </is>
      </c>
      <c r="V3029" s="232" t="inlineStr">
        <is>
          <t>2026-06-18</t>
        </is>
      </c>
    </row>
    <row r="3030">
      <c r="A3030" s="232" t="inlineStr">
        <is>
          <t>CR-3027</t>
        </is>
      </c>
      <c r="B3030" s="232" t="inlineStr">
        <is>
          <t>2026/27</t>
        </is>
      </c>
      <c r="C3030" s="233" t="n">
        <v>46112</v>
      </c>
      <c r="D3030" s="232" t="inlineStr">
        <is>
          <t>112168</t>
        </is>
      </c>
      <c r="E3030" s="232" t="inlineStr">
        <is>
          <t>PRORRATEO</t>
        </is>
      </c>
      <c r="F3030" s="232" t="inlineStr">
        <is>
          <t>Santa Catalina</t>
        </is>
      </c>
      <c r="G3030" s="232" t="inlineStr">
        <is>
          <t>cambria 4,2 ha</t>
        </is>
      </c>
      <c r="H3030" s="232" t="inlineStr">
        <is>
          <t>Naranjas</t>
        </is>
      </c>
      <c r="I3030" s="232" t="inlineStr">
        <is>
          <t>Cambria</t>
        </is>
      </c>
      <c r="J3030" s="232" t="inlineStr">
        <is>
          <t>MATERIALES COSECHA</t>
        </is>
      </c>
      <c r="K3030" s="232" t="inlineStr">
        <is>
          <t>MATERIAL COSECHA EXPORTACION</t>
        </is>
      </c>
      <c r="L3030" s="232" t="inlineStr">
        <is>
          <t>[PRORRATEO 2.8% 4.2há/148.3há] O/001523 ACOPLE HEM</t>
        </is>
      </c>
      <c r="M3030" s="232" t="inlineStr"/>
      <c r="N3030" s="232" t="inlineStr">
        <is>
          <t>.   .   -</t>
        </is>
      </c>
      <c r="O3030" s="232" t="inlineStr">
        <is>
          <t>MARZO</t>
        </is>
      </c>
      <c r="P3030" s="232" t="n">
        <v>13</v>
      </c>
      <c r="Q3030" s="234" t="n">
        <v>190</v>
      </c>
      <c r="R3030" s="232" t="inlineStr"/>
      <c r="S3030" s="234" t="n">
        <v>190</v>
      </c>
      <c r="T3030" s="232" t="inlineStr">
        <is>
          <t>CLP</t>
        </is>
      </c>
      <c r="U3030" s="232" t="inlineStr">
        <is>
          <t>Prorrateo Ha PACKING</t>
        </is>
      </c>
      <c r="V3030" s="232" t="inlineStr">
        <is>
          <t>2026-06-18</t>
        </is>
      </c>
    </row>
    <row r="3031">
      <c r="A3031" s="232" t="inlineStr">
        <is>
          <t>CR-3028</t>
        </is>
      </c>
      <c r="B3031" s="232" t="inlineStr">
        <is>
          <t>2026/27</t>
        </is>
      </c>
      <c r="C3031" s="233" t="n">
        <v>46112</v>
      </c>
      <c r="D3031" s="232" t="inlineStr">
        <is>
          <t>112168</t>
        </is>
      </c>
      <c r="E3031" s="232" t="inlineStr">
        <is>
          <t>PRORRATEO</t>
        </is>
      </c>
      <c r="F3031" s="232" t="inlineStr">
        <is>
          <t>Santa Catalina</t>
        </is>
      </c>
      <c r="G3031" s="232" t="inlineStr">
        <is>
          <t>eureka 10,6 ha</t>
        </is>
      </c>
      <c r="H3031" s="232" t="inlineStr">
        <is>
          <t>Limon</t>
        </is>
      </c>
      <c r="I3031" s="232" t="inlineStr">
        <is>
          <t>Eureka</t>
        </is>
      </c>
      <c r="J3031" s="232" t="inlineStr">
        <is>
          <t>MATERIALES COSECHA</t>
        </is>
      </c>
      <c r="K3031" s="232" t="inlineStr">
        <is>
          <t>MATERIAL COSECHA EXPORTACION</t>
        </is>
      </c>
      <c r="L3031" s="232" t="inlineStr">
        <is>
          <t>[PRORRATEO 7.1% 10.6há/148.3há] O/001523 ACOPLE HEM</t>
        </is>
      </c>
      <c r="M3031" s="232" t="inlineStr"/>
      <c r="N3031" s="232" t="inlineStr">
        <is>
          <t>.   .   -</t>
        </is>
      </c>
      <c r="O3031" s="232" t="inlineStr">
        <is>
          <t>MARZO</t>
        </is>
      </c>
      <c r="P3031" s="232" t="n">
        <v>13</v>
      </c>
      <c r="Q3031" s="234" t="n">
        <v>481</v>
      </c>
      <c r="R3031" s="232" t="inlineStr"/>
      <c r="S3031" s="234" t="n">
        <v>481</v>
      </c>
      <c r="T3031" s="232" t="inlineStr">
        <is>
          <t>CLP</t>
        </is>
      </c>
      <c r="U3031" s="232" t="inlineStr">
        <is>
          <t>Prorrateo Ha PACKING</t>
        </is>
      </c>
      <c r="V3031" s="232" t="inlineStr">
        <is>
          <t>2026-06-18</t>
        </is>
      </c>
    </row>
    <row r="3032">
      <c r="A3032" s="232" t="inlineStr">
        <is>
          <t>CR-3029</t>
        </is>
      </c>
      <c r="B3032" s="232" t="inlineStr">
        <is>
          <t>2026/27</t>
        </is>
      </c>
      <c r="C3032" s="233" t="n">
        <v>46112</v>
      </c>
      <c r="D3032" s="232" t="inlineStr">
        <is>
          <t>112168</t>
        </is>
      </c>
      <c r="E3032" s="232" t="inlineStr">
        <is>
          <t>PRORRATEO</t>
        </is>
      </c>
      <c r="F3032" s="232" t="inlineStr">
        <is>
          <t>Santa Catalina</t>
        </is>
      </c>
      <c r="G3032" s="232" t="inlineStr">
        <is>
          <t>eureka 14,4 ha</t>
        </is>
      </c>
      <c r="H3032" s="232" t="inlineStr">
        <is>
          <t>Limon</t>
        </is>
      </c>
      <c r="I3032" s="232" t="inlineStr">
        <is>
          <t>Eureka</t>
        </is>
      </c>
      <c r="J3032" s="232" t="inlineStr">
        <is>
          <t>MATERIALES COSECHA</t>
        </is>
      </c>
      <c r="K3032" s="232" t="inlineStr">
        <is>
          <t>MATERIAL COSECHA EXPORTACION</t>
        </is>
      </c>
      <c r="L3032" s="232" t="inlineStr">
        <is>
          <t>[PRORRATEO 9.7% 14.4há/148.3há] O/001523 ACOPLE HEM</t>
        </is>
      </c>
      <c r="M3032" s="232" t="inlineStr"/>
      <c r="N3032" s="232" t="inlineStr">
        <is>
          <t>.   .   -</t>
        </is>
      </c>
      <c r="O3032" s="232" t="inlineStr">
        <is>
          <t>MARZO</t>
        </is>
      </c>
      <c r="P3032" s="232" t="n">
        <v>13</v>
      </c>
      <c r="Q3032" s="234" t="n">
        <v>653</v>
      </c>
      <c r="R3032" s="232" t="inlineStr"/>
      <c r="S3032" s="234" t="n">
        <v>653</v>
      </c>
      <c r="T3032" s="232" t="inlineStr">
        <is>
          <t>CLP</t>
        </is>
      </c>
      <c r="U3032" s="232" t="inlineStr">
        <is>
          <t>Prorrateo Ha PACKING</t>
        </is>
      </c>
      <c r="V3032" s="232" t="inlineStr">
        <is>
          <t>2026-06-18</t>
        </is>
      </c>
    </row>
    <row r="3033">
      <c r="A3033" s="232" t="inlineStr">
        <is>
          <t>CR-3030</t>
        </is>
      </c>
      <c r="B3033" s="232" t="inlineStr">
        <is>
          <t>2026/27</t>
        </is>
      </c>
      <c r="C3033" s="233" t="n">
        <v>46112</v>
      </c>
      <c r="D3033" s="232" t="inlineStr">
        <is>
          <t>112168</t>
        </is>
      </c>
      <c r="E3033" s="232" t="inlineStr">
        <is>
          <t>PRORRATEO</t>
        </is>
      </c>
      <c r="F3033" s="232" t="inlineStr">
        <is>
          <t>Santa Catalina</t>
        </is>
      </c>
      <c r="G3033" s="232" t="inlineStr">
        <is>
          <t>eureka 22,55</t>
        </is>
      </c>
      <c r="H3033" s="232" t="inlineStr">
        <is>
          <t>Limon</t>
        </is>
      </c>
      <c r="I3033" s="232" t="inlineStr">
        <is>
          <t>Eureka</t>
        </is>
      </c>
      <c r="J3033" s="232" t="inlineStr">
        <is>
          <t>MATERIALES COSECHA</t>
        </is>
      </c>
      <c r="K3033" s="232" t="inlineStr">
        <is>
          <t>MATERIAL COSECHA EXPORTACION</t>
        </is>
      </c>
      <c r="L3033" s="232" t="inlineStr">
        <is>
          <t>[PRORRATEO 15.2% 22.55há/148.3há] O/001523 ACOPLE HEM</t>
        </is>
      </c>
      <c r="M3033" s="232" t="inlineStr"/>
      <c r="N3033" s="232" t="inlineStr">
        <is>
          <t>.   .   -</t>
        </is>
      </c>
      <c r="O3033" s="232" t="inlineStr">
        <is>
          <t>MARZO</t>
        </is>
      </c>
      <c r="P3033" s="232" t="n">
        <v>13</v>
      </c>
      <c r="Q3033" s="234" t="n">
        <v>1023</v>
      </c>
      <c r="R3033" s="232" t="inlineStr"/>
      <c r="S3033" s="234" t="n">
        <v>1023</v>
      </c>
      <c r="T3033" s="232" t="inlineStr">
        <is>
          <t>CLP</t>
        </is>
      </c>
      <c r="U3033" s="232" t="inlineStr">
        <is>
          <t>Prorrateo Ha PACKING</t>
        </is>
      </c>
      <c r="V3033" s="232" t="inlineStr">
        <is>
          <t>2026-06-18</t>
        </is>
      </c>
    </row>
    <row r="3034">
      <c r="A3034" s="232" t="inlineStr">
        <is>
          <t>CR-3031</t>
        </is>
      </c>
      <c r="B3034" s="232" t="inlineStr">
        <is>
          <t>2026/27</t>
        </is>
      </c>
      <c r="C3034" s="233" t="n">
        <v>46112</v>
      </c>
      <c r="D3034" s="232" t="inlineStr">
        <is>
          <t>112168</t>
        </is>
      </c>
      <c r="E3034" s="232" t="inlineStr">
        <is>
          <t>PRORRATEO</t>
        </is>
      </c>
      <c r="F3034" s="232" t="inlineStr">
        <is>
          <t>Santa Catalina</t>
        </is>
      </c>
      <c r="G3034" s="232" t="inlineStr">
        <is>
          <t>form benjamin 1,93 ha</t>
        </is>
      </c>
      <c r="H3034" s="232" t="inlineStr">
        <is>
          <t>Limon</t>
        </is>
      </c>
      <c r="I3034" s="232" t="inlineStr">
        <is>
          <t>Benjamin andes</t>
        </is>
      </c>
      <c r="J3034" s="232" t="inlineStr">
        <is>
          <t>MATERIALES COSECHA</t>
        </is>
      </c>
      <c r="K3034" s="232" t="inlineStr">
        <is>
          <t>MATERIAL COSECHA EXPORTACION</t>
        </is>
      </c>
      <c r="L3034" s="232" t="inlineStr">
        <is>
          <t>[PRORRATEO 1.3% 1.93há/148.3há] O/001523 ACOPLE HEM</t>
        </is>
      </c>
      <c r="M3034" s="232" t="inlineStr"/>
      <c r="N3034" s="232" t="inlineStr">
        <is>
          <t>.   .   -</t>
        </is>
      </c>
      <c r="O3034" s="232" t="inlineStr">
        <is>
          <t>MARZO</t>
        </is>
      </c>
      <c r="P3034" s="232" t="n">
        <v>13</v>
      </c>
      <c r="Q3034" s="234" t="n">
        <v>88</v>
      </c>
      <c r="R3034" s="232" t="inlineStr"/>
      <c r="S3034" s="234" t="n">
        <v>88</v>
      </c>
      <c r="T3034" s="232" t="inlineStr">
        <is>
          <t>CLP</t>
        </is>
      </c>
      <c r="U3034" s="232" t="inlineStr">
        <is>
          <t>Prorrateo Ha PACKING</t>
        </is>
      </c>
      <c r="V3034" s="232" t="inlineStr">
        <is>
          <t>2026-06-18</t>
        </is>
      </c>
    </row>
    <row r="3035">
      <c r="A3035" s="232" t="inlineStr">
        <is>
          <t>CR-3032</t>
        </is>
      </c>
      <c r="B3035" s="232" t="inlineStr">
        <is>
          <t>2026/27</t>
        </is>
      </c>
      <c r="C3035" s="233" t="n">
        <v>46112</v>
      </c>
      <c r="D3035" s="232" t="inlineStr">
        <is>
          <t>112168</t>
        </is>
      </c>
      <c r="E3035" s="232" t="inlineStr">
        <is>
          <t>PRORRATEO</t>
        </is>
      </c>
      <c r="F3035" s="232" t="inlineStr">
        <is>
          <t>Santa Catalina</t>
        </is>
      </c>
      <c r="G3035" s="232" t="inlineStr">
        <is>
          <t>mant eureka 2,5 ha</t>
        </is>
      </c>
      <c r="H3035" s="232" t="inlineStr">
        <is>
          <t>Limon</t>
        </is>
      </c>
      <c r="I3035" s="232" t="inlineStr">
        <is>
          <t>Eureka</t>
        </is>
      </c>
      <c r="J3035" s="232" t="inlineStr">
        <is>
          <t>MATERIALES COSECHA</t>
        </is>
      </c>
      <c r="K3035" s="232" t="inlineStr">
        <is>
          <t>MATERIAL COSECHA EXPORTACION</t>
        </is>
      </c>
      <c r="L3035" s="232" t="inlineStr">
        <is>
          <t>[PRORRATEO 1.7% 2.5há/148.3há] O/001523 ACOPLE HEM</t>
        </is>
      </c>
      <c r="M3035" s="232" t="inlineStr"/>
      <c r="N3035" s="232" t="inlineStr">
        <is>
          <t>.   .   -</t>
        </is>
      </c>
      <c r="O3035" s="232" t="inlineStr">
        <is>
          <t>MARZO</t>
        </is>
      </c>
      <c r="P3035" s="232" t="n">
        <v>13</v>
      </c>
      <c r="Q3035" s="234" t="n">
        <v>113</v>
      </c>
      <c r="R3035" s="232" t="inlineStr"/>
      <c r="S3035" s="234" t="n">
        <v>113</v>
      </c>
      <c r="T3035" s="232" t="inlineStr">
        <is>
          <t>CLP</t>
        </is>
      </c>
      <c r="U3035" s="232" t="inlineStr">
        <is>
          <t>Prorrateo Ha PACKING</t>
        </is>
      </c>
      <c r="V3035" s="232" t="inlineStr">
        <is>
          <t>2026-06-18</t>
        </is>
      </c>
    </row>
    <row r="3036">
      <c r="A3036" s="232" t="inlineStr">
        <is>
          <t>CR-3033</t>
        </is>
      </c>
      <c r="B3036" s="232" t="inlineStr">
        <is>
          <t>2026/27</t>
        </is>
      </c>
      <c r="C3036" s="233" t="n">
        <v>46112</v>
      </c>
      <c r="D3036" s="232" t="inlineStr">
        <is>
          <t>112168</t>
        </is>
      </c>
      <c r="E3036" s="232" t="inlineStr">
        <is>
          <t>PRORRATEO</t>
        </is>
      </c>
      <c r="F3036" s="232" t="inlineStr">
        <is>
          <t>Siberia</t>
        </is>
      </c>
      <c r="G3036" s="232" t="inlineStr">
        <is>
          <t>S. Celebration 7,14</t>
        </is>
      </c>
      <c r="H3036" s="232" t="inlineStr">
        <is>
          <t>Uvas</t>
        </is>
      </c>
      <c r="I3036" s="232" t="inlineStr">
        <is>
          <t>S. celebration</t>
        </is>
      </c>
      <c r="J3036" s="232" t="inlineStr">
        <is>
          <t>MATERIALES COSECHA</t>
        </is>
      </c>
      <c r="K3036" s="232" t="inlineStr">
        <is>
          <t>MATERIAL COSECHA EXPORTACION</t>
        </is>
      </c>
      <c r="L3036" s="232" t="inlineStr">
        <is>
          <t>[PRORRATEO 4.8% 7.14há/148.3há] O/001523 ACOPLE HEM</t>
        </is>
      </c>
      <c r="M3036" s="232" t="inlineStr"/>
      <c r="N3036" s="232" t="inlineStr">
        <is>
          <t>.   .   -</t>
        </is>
      </c>
      <c r="O3036" s="232" t="inlineStr">
        <is>
          <t>MARZO</t>
        </is>
      </c>
      <c r="P3036" s="232" t="n">
        <v>13</v>
      </c>
      <c r="Q3036" s="234" t="n">
        <v>324</v>
      </c>
      <c r="R3036" s="232" t="inlineStr"/>
      <c r="S3036" s="234" t="n">
        <v>324</v>
      </c>
      <c r="T3036" s="232" t="inlineStr">
        <is>
          <t>CLP</t>
        </is>
      </c>
      <c r="U3036" s="232" t="inlineStr">
        <is>
          <t>Prorrateo Ha PACKING</t>
        </is>
      </c>
      <c r="V3036" s="232" t="inlineStr">
        <is>
          <t>2026-06-18</t>
        </is>
      </c>
    </row>
    <row r="3037">
      <c r="A3037" s="232" t="inlineStr">
        <is>
          <t>CR-3034</t>
        </is>
      </c>
      <c r="B3037" s="232" t="inlineStr">
        <is>
          <t>2026/27</t>
        </is>
      </c>
      <c r="C3037" s="233" t="n">
        <v>46112</v>
      </c>
      <c r="D3037" s="232" t="inlineStr">
        <is>
          <t>112168</t>
        </is>
      </c>
      <c r="E3037" s="232" t="inlineStr">
        <is>
          <t>PRORRATEO</t>
        </is>
      </c>
      <c r="F3037" s="232" t="inlineStr">
        <is>
          <t>Siberia</t>
        </is>
      </c>
      <c r="G3037" s="232" t="inlineStr">
        <is>
          <t>Timpson 7,1</t>
        </is>
      </c>
      <c r="H3037" s="232" t="inlineStr">
        <is>
          <t>Uvas</t>
        </is>
      </c>
      <c r="I3037" s="232" t="inlineStr">
        <is>
          <t>Timpson</t>
        </is>
      </c>
      <c r="J3037" s="232" t="inlineStr">
        <is>
          <t>MATERIALES COSECHA</t>
        </is>
      </c>
      <c r="K3037" s="232" t="inlineStr">
        <is>
          <t>MATERIAL COSECHA EXPORTACION</t>
        </is>
      </c>
      <c r="L3037" s="232" t="inlineStr">
        <is>
          <t>[PRORRATEO 4.8% 7.1há/148.3há] O/001523 ACOPLE HEM</t>
        </is>
      </c>
      <c r="M3037" s="232" t="inlineStr"/>
      <c r="N3037" s="232" t="inlineStr">
        <is>
          <t>.   .   -</t>
        </is>
      </c>
      <c r="O3037" s="232" t="inlineStr">
        <is>
          <t>MARZO</t>
        </is>
      </c>
      <c r="P3037" s="232" t="n">
        <v>13</v>
      </c>
      <c r="Q3037" s="234" t="n">
        <v>322</v>
      </c>
      <c r="R3037" s="232" t="inlineStr"/>
      <c r="S3037" s="234" t="n">
        <v>322</v>
      </c>
      <c r="T3037" s="232" t="inlineStr">
        <is>
          <t>CLP</t>
        </is>
      </c>
      <c r="U3037" s="232" t="inlineStr">
        <is>
          <t>Prorrateo Ha PACKING</t>
        </is>
      </c>
      <c r="V3037" s="232" t="inlineStr">
        <is>
          <t>2026-06-18</t>
        </is>
      </c>
    </row>
    <row r="3038">
      <c r="A3038" s="232" t="inlineStr">
        <is>
          <t>CR-3035</t>
        </is>
      </c>
      <c r="B3038" s="232" t="inlineStr">
        <is>
          <t>2026/27</t>
        </is>
      </c>
      <c r="C3038" s="233" t="n">
        <v>46112</v>
      </c>
      <c r="D3038" s="232" t="inlineStr">
        <is>
          <t>112168</t>
        </is>
      </c>
      <c r="E3038" s="232" t="inlineStr">
        <is>
          <t>PRORRATEO</t>
        </is>
      </c>
      <c r="F3038" s="232" t="inlineStr">
        <is>
          <t>Asmara</t>
        </is>
      </c>
      <c r="G3038" s="232" t="inlineStr">
        <is>
          <t>w. murcott 19,8 ha</t>
        </is>
      </c>
      <c r="H3038" s="232" t="inlineStr">
        <is>
          <t>Mandarina</t>
        </is>
      </c>
      <c r="I3038" s="232" t="inlineStr">
        <is>
          <t>W. murcott</t>
        </is>
      </c>
      <c r="J3038" s="232" t="inlineStr">
        <is>
          <t>MATERIALES COSECHA</t>
        </is>
      </c>
      <c r="K3038" s="232" t="inlineStr">
        <is>
          <t>MATERIAL COSECHA EXPORTACION</t>
        </is>
      </c>
      <c r="L3038" s="232" t="inlineStr">
        <is>
          <t>[PRORRATEO 13.4% 19.8há/148.3há] O/001523 ACOPLE MAC</t>
        </is>
      </c>
      <c r="M3038" s="232" t="inlineStr"/>
      <c r="N3038" s="232" t="inlineStr">
        <is>
          <t>.   .   -</t>
        </is>
      </c>
      <c r="O3038" s="232" t="inlineStr">
        <is>
          <t>MARZO</t>
        </is>
      </c>
      <c r="P3038" s="232" t="n">
        <v>13</v>
      </c>
      <c r="Q3038" s="234" t="n">
        <v>4152</v>
      </c>
      <c r="R3038" s="232" t="inlineStr"/>
      <c r="S3038" s="234" t="n">
        <v>4152</v>
      </c>
      <c r="T3038" s="232" t="inlineStr">
        <is>
          <t>CLP</t>
        </is>
      </c>
      <c r="U3038" s="232" t="inlineStr">
        <is>
          <t>Prorrateo Ha PACKING</t>
        </is>
      </c>
      <c r="V3038" s="232" t="inlineStr">
        <is>
          <t>2026-06-18</t>
        </is>
      </c>
    </row>
    <row r="3039">
      <c r="A3039" s="232" t="inlineStr">
        <is>
          <t>CR-3036</t>
        </is>
      </c>
      <c r="B3039" s="232" t="inlineStr">
        <is>
          <t>2026/27</t>
        </is>
      </c>
      <c r="C3039" s="233" t="n">
        <v>46112</v>
      </c>
      <c r="D3039" s="232" t="inlineStr">
        <is>
          <t>112168</t>
        </is>
      </c>
      <c r="E3039" s="232" t="inlineStr">
        <is>
          <t>PRORRATEO</t>
        </is>
      </c>
      <c r="F3039" s="232" t="inlineStr">
        <is>
          <t>Asmara</t>
        </is>
      </c>
      <c r="G3039" s="232" t="inlineStr">
        <is>
          <t>w. murcott 4,9 ha</t>
        </is>
      </c>
      <c r="H3039" s="232" t="inlineStr">
        <is>
          <t>Mandarina</t>
        </is>
      </c>
      <c r="I3039" s="232" t="inlineStr">
        <is>
          <t>W. murcott</t>
        </is>
      </c>
      <c r="J3039" s="232" t="inlineStr">
        <is>
          <t>MATERIALES COSECHA</t>
        </is>
      </c>
      <c r="K3039" s="232" t="inlineStr">
        <is>
          <t>MATERIAL COSECHA EXPORTACION</t>
        </is>
      </c>
      <c r="L3039" s="232" t="inlineStr">
        <is>
          <t>[PRORRATEO 3.3% 4.9há/148.3há] O/001523 ACOPLE MAC</t>
        </is>
      </c>
      <c r="M3039" s="232" t="inlineStr"/>
      <c r="N3039" s="232" t="inlineStr">
        <is>
          <t>.   .   -</t>
        </is>
      </c>
      <c r="O3039" s="232" t="inlineStr">
        <is>
          <t>MARZO</t>
        </is>
      </c>
      <c r="P3039" s="232" t="n">
        <v>13</v>
      </c>
      <c r="Q3039" s="234" t="n">
        <v>1028</v>
      </c>
      <c r="R3039" s="232" t="inlineStr"/>
      <c r="S3039" s="234" t="n">
        <v>1028</v>
      </c>
      <c r="T3039" s="232" t="inlineStr">
        <is>
          <t>CLP</t>
        </is>
      </c>
      <c r="U3039" s="232" t="inlineStr">
        <is>
          <t>Prorrateo Ha PACKING</t>
        </is>
      </c>
      <c r="V3039" s="232" t="inlineStr">
        <is>
          <t>2026-06-18</t>
        </is>
      </c>
    </row>
    <row r="3040">
      <c r="A3040" s="232" t="inlineStr">
        <is>
          <t>CR-3037</t>
        </is>
      </c>
      <c r="B3040" s="232" t="inlineStr">
        <is>
          <t>2026/27</t>
        </is>
      </c>
      <c r="C3040" s="233" t="n">
        <v>46112</v>
      </c>
      <c r="D3040" s="232" t="inlineStr">
        <is>
          <t>112168</t>
        </is>
      </c>
      <c r="E3040" s="232" t="inlineStr">
        <is>
          <t>PRORRATEO</t>
        </is>
      </c>
      <c r="F3040" s="232" t="inlineStr">
        <is>
          <t>El Molle</t>
        </is>
      </c>
      <c r="G3040" s="232" t="inlineStr">
        <is>
          <t>Wonderful 5,25 ha</t>
        </is>
      </c>
      <c r="H3040" s="232" t="inlineStr">
        <is>
          <t>Granados</t>
        </is>
      </c>
      <c r="I3040" s="232" t="inlineStr">
        <is>
          <t>Wonderfull</t>
        </is>
      </c>
      <c r="J3040" s="232" t="inlineStr">
        <is>
          <t>MATERIALES COSECHA</t>
        </is>
      </c>
      <c r="K3040" s="232" t="inlineStr">
        <is>
          <t>MATERIAL COSECHA EXPORTACION</t>
        </is>
      </c>
      <c r="L3040" s="232" t="inlineStr">
        <is>
          <t>[PRORRATEO 3.5% 5.24há/148.3há] O/001523 ACOPLE MAC</t>
        </is>
      </c>
      <c r="M3040" s="232" t="inlineStr"/>
      <c r="N3040" s="232" t="inlineStr">
        <is>
          <t>.   .   -</t>
        </is>
      </c>
      <c r="O3040" s="232" t="inlineStr">
        <is>
          <t>MARZO</t>
        </is>
      </c>
      <c r="P3040" s="232" t="n">
        <v>13</v>
      </c>
      <c r="Q3040" s="234" t="n">
        <v>1099</v>
      </c>
      <c r="R3040" s="232" t="inlineStr"/>
      <c r="S3040" s="234" t="n">
        <v>1099</v>
      </c>
      <c r="T3040" s="232" t="inlineStr">
        <is>
          <t>CLP</t>
        </is>
      </c>
      <c r="U3040" s="232" t="inlineStr">
        <is>
          <t>Prorrateo Ha PACKING</t>
        </is>
      </c>
      <c r="V3040" s="232" t="inlineStr">
        <is>
          <t>2026-06-18</t>
        </is>
      </c>
    </row>
    <row r="3041">
      <c r="A3041" s="232" t="inlineStr">
        <is>
          <t>CR-3038</t>
        </is>
      </c>
      <c r="B3041" s="232" t="inlineStr">
        <is>
          <t>2026/27</t>
        </is>
      </c>
      <c r="C3041" s="233" t="n">
        <v>46112</v>
      </c>
      <c r="D3041" s="232" t="inlineStr">
        <is>
          <t>112168</t>
        </is>
      </c>
      <c r="E3041" s="232" t="inlineStr">
        <is>
          <t>PRORRATEO</t>
        </is>
      </c>
      <c r="F3041" s="232" t="inlineStr">
        <is>
          <t>El Molle</t>
        </is>
      </c>
      <c r="G3041" s="232" t="inlineStr">
        <is>
          <t>arrufatinas 5,74 ha</t>
        </is>
      </c>
      <c r="H3041" s="232" t="inlineStr">
        <is>
          <t>Clementinas</t>
        </is>
      </c>
      <c r="I3041" s="232" t="inlineStr">
        <is>
          <t>Arrufatinas</t>
        </is>
      </c>
      <c r="J3041" s="232" t="inlineStr">
        <is>
          <t>MATERIALES COSECHA</t>
        </is>
      </c>
      <c r="K3041" s="232" t="inlineStr">
        <is>
          <t>MATERIAL COSECHA EXPORTACION</t>
        </is>
      </c>
      <c r="L3041" s="232" t="inlineStr">
        <is>
          <t>[PRORRATEO 3.9% 5.74há/148.3há] O/001523 ACOPLE MAC</t>
        </is>
      </c>
      <c r="M3041" s="232" t="inlineStr"/>
      <c r="N3041" s="232" t="inlineStr">
        <is>
          <t>.   .   -</t>
        </is>
      </c>
      <c r="O3041" s="232" t="inlineStr">
        <is>
          <t>MARZO</t>
        </is>
      </c>
      <c r="P3041" s="232" t="n">
        <v>13</v>
      </c>
      <c r="Q3041" s="234" t="n">
        <v>1204</v>
      </c>
      <c r="R3041" s="232" t="inlineStr"/>
      <c r="S3041" s="234" t="n">
        <v>1204</v>
      </c>
      <c r="T3041" s="232" t="inlineStr">
        <is>
          <t>CLP</t>
        </is>
      </c>
      <c r="U3041" s="232" t="inlineStr">
        <is>
          <t>Prorrateo Ha PACKING</t>
        </is>
      </c>
      <c r="V3041" s="232" t="inlineStr">
        <is>
          <t>2026-06-18</t>
        </is>
      </c>
    </row>
    <row r="3042">
      <c r="A3042" s="232" t="inlineStr">
        <is>
          <t>CR-3039</t>
        </is>
      </c>
      <c r="B3042" s="232" t="inlineStr">
        <is>
          <t>2026/27</t>
        </is>
      </c>
      <c r="C3042" s="233" t="n">
        <v>46112</v>
      </c>
      <c r="D3042" s="232" t="inlineStr">
        <is>
          <t>112168</t>
        </is>
      </c>
      <c r="E3042" s="232" t="inlineStr">
        <is>
          <t>PRORRATEO</t>
        </is>
      </c>
      <c r="F3042" s="232" t="inlineStr">
        <is>
          <t>El Molle</t>
        </is>
      </c>
      <c r="G3042" s="232" t="inlineStr">
        <is>
          <t>orogrande 8,11 ha</t>
        </is>
      </c>
      <c r="H3042" s="232" t="inlineStr">
        <is>
          <t>Clementinas</t>
        </is>
      </c>
      <c r="I3042" s="232" t="inlineStr">
        <is>
          <t>Orogrande</t>
        </is>
      </c>
      <c r="J3042" s="232" t="inlineStr">
        <is>
          <t>MATERIALES COSECHA</t>
        </is>
      </c>
      <c r="K3042" s="232" t="inlineStr">
        <is>
          <t>MATERIAL COSECHA EXPORTACION</t>
        </is>
      </c>
      <c r="L3042" s="232" t="inlineStr">
        <is>
          <t>[PRORRATEO 5.5% 8.11há/148.3há] O/001523 ACOPLE MAC</t>
        </is>
      </c>
      <c r="M3042" s="232" t="inlineStr"/>
      <c r="N3042" s="232" t="inlineStr">
        <is>
          <t>.   .   -</t>
        </is>
      </c>
      <c r="O3042" s="232" t="inlineStr">
        <is>
          <t>MARZO</t>
        </is>
      </c>
      <c r="P3042" s="232" t="n">
        <v>13</v>
      </c>
      <c r="Q3042" s="234" t="n">
        <v>1701</v>
      </c>
      <c r="R3042" s="232" t="inlineStr"/>
      <c r="S3042" s="234" t="n">
        <v>1701</v>
      </c>
      <c r="T3042" s="232" t="inlineStr">
        <is>
          <t>CLP</t>
        </is>
      </c>
      <c r="U3042" s="232" t="inlineStr">
        <is>
          <t>Prorrateo Ha PACKING</t>
        </is>
      </c>
      <c r="V3042" s="232" t="inlineStr">
        <is>
          <t>2026-06-18</t>
        </is>
      </c>
    </row>
    <row r="3043">
      <c r="A3043" s="232" t="inlineStr">
        <is>
          <t>CR-3040</t>
        </is>
      </c>
      <c r="B3043" s="232" t="inlineStr">
        <is>
          <t>2026/27</t>
        </is>
      </c>
      <c r="C3043" s="233" t="n">
        <v>46112</v>
      </c>
      <c r="D3043" s="232" t="inlineStr">
        <is>
          <t>112168</t>
        </is>
      </c>
      <c r="E3043" s="232" t="inlineStr">
        <is>
          <t>PRORRATEO</t>
        </is>
      </c>
      <c r="F3043" s="232" t="inlineStr">
        <is>
          <t>El Molle</t>
        </is>
      </c>
      <c r="G3043" s="232" t="inlineStr">
        <is>
          <t>oronules 5,35 ha</t>
        </is>
      </c>
      <c r="H3043" s="232" t="inlineStr">
        <is>
          <t>Clementinas</t>
        </is>
      </c>
      <c r="I3043" s="232" t="inlineStr">
        <is>
          <t>Oronules</t>
        </is>
      </c>
      <c r="J3043" s="232" t="inlineStr">
        <is>
          <t>MATERIALES COSECHA</t>
        </is>
      </c>
      <c r="K3043" s="232" t="inlineStr">
        <is>
          <t>MATERIAL COSECHA EXPORTACION</t>
        </is>
      </c>
      <c r="L3043" s="232" t="inlineStr">
        <is>
          <t>[PRORRATEO 3.6% 5.35há/148.3há] O/001523 ACOPLE MAC</t>
        </is>
      </c>
      <c r="M3043" s="232" t="inlineStr"/>
      <c r="N3043" s="232" t="inlineStr">
        <is>
          <t>.   .   -</t>
        </is>
      </c>
      <c r="O3043" s="232" t="inlineStr">
        <is>
          <t>MARZO</t>
        </is>
      </c>
      <c r="P3043" s="232" t="n">
        <v>13</v>
      </c>
      <c r="Q3043" s="234" t="n">
        <v>1122</v>
      </c>
      <c r="R3043" s="232" t="inlineStr"/>
      <c r="S3043" s="234" t="n">
        <v>1122</v>
      </c>
      <c r="T3043" s="232" t="inlineStr">
        <is>
          <t>CLP</t>
        </is>
      </c>
      <c r="U3043" s="232" t="inlineStr">
        <is>
          <t>Prorrateo Ha PACKING</t>
        </is>
      </c>
      <c r="V3043" s="232" t="inlineStr">
        <is>
          <t>2026-06-18</t>
        </is>
      </c>
    </row>
    <row r="3044">
      <c r="A3044" s="232" t="inlineStr">
        <is>
          <t>CR-3041</t>
        </is>
      </c>
      <c r="B3044" s="232" t="inlineStr">
        <is>
          <t>2026/27</t>
        </is>
      </c>
      <c r="C3044" s="233" t="n">
        <v>46112</v>
      </c>
      <c r="D3044" s="232" t="inlineStr">
        <is>
          <t>112168</t>
        </is>
      </c>
      <c r="E3044" s="232" t="inlineStr">
        <is>
          <t>PRORRATEO</t>
        </is>
      </c>
      <c r="F3044" s="232" t="inlineStr">
        <is>
          <t>Santa Catalina</t>
        </is>
      </c>
      <c r="G3044" s="232" t="inlineStr">
        <is>
          <t>Fino 49 7,7 ha</t>
        </is>
      </c>
      <c r="H3044" s="232" t="inlineStr">
        <is>
          <t>Limon</t>
        </is>
      </c>
      <c r="I3044" s="232" t="inlineStr">
        <is>
          <t>Fino 49</t>
        </is>
      </c>
      <c r="J3044" s="232" t="inlineStr">
        <is>
          <t>MATERIALES COSECHA</t>
        </is>
      </c>
      <c r="K3044" s="232" t="inlineStr">
        <is>
          <t>MATERIAL COSECHA EXPORTACION</t>
        </is>
      </c>
      <c r="L3044" s="232" t="inlineStr">
        <is>
          <t>[PRORRATEO 5.2% 7.7há/148.3há] O/001523 ACOPLE MAC</t>
        </is>
      </c>
      <c r="M3044" s="232" t="inlineStr"/>
      <c r="N3044" s="232" t="inlineStr">
        <is>
          <t>.   .   -</t>
        </is>
      </c>
      <c r="O3044" s="232" t="inlineStr">
        <is>
          <t>MARZO</t>
        </is>
      </c>
      <c r="P3044" s="232" t="n">
        <v>13</v>
      </c>
      <c r="Q3044" s="234" t="n">
        <v>1615</v>
      </c>
      <c r="R3044" s="232" t="inlineStr"/>
      <c r="S3044" s="234" t="n">
        <v>1615</v>
      </c>
      <c r="T3044" s="232" t="inlineStr">
        <is>
          <t>CLP</t>
        </is>
      </c>
      <c r="U3044" s="232" t="inlineStr">
        <is>
          <t>Prorrateo Ha PACKING</t>
        </is>
      </c>
      <c r="V3044" s="232" t="inlineStr">
        <is>
          <t>2026-06-18</t>
        </is>
      </c>
    </row>
    <row r="3045">
      <c r="A3045" s="232" t="inlineStr">
        <is>
          <t>CR-3042</t>
        </is>
      </c>
      <c r="B3045" s="232" t="inlineStr">
        <is>
          <t>2026/27</t>
        </is>
      </c>
      <c r="C3045" s="233" t="n">
        <v>46112</v>
      </c>
      <c r="D3045" s="232" t="inlineStr">
        <is>
          <t>112168</t>
        </is>
      </c>
      <c r="E3045" s="232" t="inlineStr">
        <is>
          <t>PRORRATEO</t>
        </is>
      </c>
      <c r="F3045" s="232" t="inlineStr">
        <is>
          <t>Santa Catalina</t>
        </is>
      </c>
      <c r="G3045" s="232" t="inlineStr">
        <is>
          <t>W. murcott 21 ha</t>
        </is>
      </c>
      <c r="H3045" s="232" t="inlineStr">
        <is>
          <t>Mandarina</t>
        </is>
      </c>
      <c r="I3045" s="232" t="inlineStr">
        <is>
          <t>W. murcott</t>
        </is>
      </c>
      <c r="J3045" s="232" t="inlineStr">
        <is>
          <t>MATERIALES COSECHA</t>
        </is>
      </c>
      <c r="K3045" s="232" t="inlineStr">
        <is>
          <t>MATERIAL COSECHA EXPORTACION</t>
        </is>
      </c>
      <c r="L3045" s="232" t="inlineStr">
        <is>
          <t>[PRORRATEO 14.2% 21.0há/148.3há] O/001523 ACOPLE MAC</t>
        </is>
      </c>
      <c r="M3045" s="232" t="inlineStr"/>
      <c r="N3045" s="232" t="inlineStr">
        <is>
          <t>.   .   -</t>
        </is>
      </c>
      <c r="O3045" s="232" t="inlineStr">
        <is>
          <t>MARZO</t>
        </is>
      </c>
      <c r="P3045" s="232" t="n">
        <v>13</v>
      </c>
      <c r="Q3045" s="234" t="n">
        <v>4404</v>
      </c>
      <c r="R3045" s="232" t="inlineStr"/>
      <c r="S3045" s="234" t="n">
        <v>4404</v>
      </c>
      <c r="T3045" s="232" t="inlineStr">
        <is>
          <t>CLP</t>
        </is>
      </c>
      <c r="U3045" s="232" t="inlineStr">
        <is>
          <t>Prorrateo Ha PACKING</t>
        </is>
      </c>
      <c r="V3045" s="232" t="inlineStr">
        <is>
          <t>2026-06-18</t>
        </is>
      </c>
    </row>
    <row r="3046">
      <c r="A3046" s="232" t="inlineStr">
        <is>
          <t>CR-3043</t>
        </is>
      </c>
      <c r="B3046" s="232" t="inlineStr">
        <is>
          <t>2026/27</t>
        </is>
      </c>
      <c r="C3046" s="233" t="n">
        <v>46112</v>
      </c>
      <c r="D3046" s="232" t="inlineStr">
        <is>
          <t>112168</t>
        </is>
      </c>
      <c r="E3046" s="232" t="inlineStr">
        <is>
          <t>PRORRATEO</t>
        </is>
      </c>
      <c r="F3046" s="232" t="inlineStr">
        <is>
          <t>Santa Catalina</t>
        </is>
      </c>
      <c r="G3046" s="232" t="inlineStr">
        <is>
          <t>cambria 4,2 ha</t>
        </is>
      </c>
      <c r="H3046" s="232" t="inlineStr">
        <is>
          <t>Naranjas</t>
        </is>
      </c>
      <c r="I3046" s="232" t="inlineStr">
        <is>
          <t>Cambria</t>
        </is>
      </c>
      <c r="J3046" s="232" t="inlineStr">
        <is>
          <t>MATERIALES COSECHA</t>
        </is>
      </c>
      <c r="K3046" s="232" t="inlineStr">
        <is>
          <t>MATERIAL COSECHA EXPORTACION</t>
        </is>
      </c>
      <c r="L3046" s="232" t="inlineStr">
        <is>
          <t>[PRORRATEO 2.8% 4.2há/148.3há] O/001523 ACOPLE MAC</t>
        </is>
      </c>
      <c r="M3046" s="232" t="inlineStr"/>
      <c r="N3046" s="232" t="inlineStr">
        <is>
          <t>.   .   -</t>
        </is>
      </c>
      <c r="O3046" s="232" t="inlineStr">
        <is>
          <t>MARZO</t>
        </is>
      </c>
      <c r="P3046" s="232" t="n">
        <v>13</v>
      </c>
      <c r="Q3046" s="234" t="n">
        <v>881</v>
      </c>
      <c r="R3046" s="232" t="inlineStr"/>
      <c r="S3046" s="234" t="n">
        <v>881</v>
      </c>
      <c r="T3046" s="232" t="inlineStr">
        <is>
          <t>CLP</t>
        </is>
      </c>
      <c r="U3046" s="232" t="inlineStr">
        <is>
          <t>Prorrateo Ha PACKING</t>
        </is>
      </c>
      <c r="V3046" s="232" t="inlineStr">
        <is>
          <t>2026-06-18</t>
        </is>
      </c>
    </row>
    <row r="3047">
      <c r="A3047" s="232" t="inlineStr">
        <is>
          <t>CR-3044</t>
        </is>
      </c>
      <c r="B3047" s="232" t="inlineStr">
        <is>
          <t>2026/27</t>
        </is>
      </c>
      <c r="C3047" s="233" t="n">
        <v>46112</v>
      </c>
      <c r="D3047" s="232" t="inlineStr">
        <is>
          <t>112168</t>
        </is>
      </c>
      <c r="E3047" s="232" t="inlineStr">
        <is>
          <t>PRORRATEO</t>
        </is>
      </c>
      <c r="F3047" s="232" t="inlineStr">
        <is>
          <t>Santa Catalina</t>
        </is>
      </c>
      <c r="G3047" s="232" t="inlineStr">
        <is>
          <t>eureka 10,6 ha</t>
        </is>
      </c>
      <c r="H3047" s="232" t="inlineStr">
        <is>
          <t>Limon</t>
        </is>
      </c>
      <c r="I3047" s="232" t="inlineStr">
        <is>
          <t>Eureka</t>
        </is>
      </c>
      <c r="J3047" s="232" t="inlineStr">
        <is>
          <t>MATERIALES COSECHA</t>
        </is>
      </c>
      <c r="K3047" s="232" t="inlineStr">
        <is>
          <t>MATERIAL COSECHA EXPORTACION</t>
        </is>
      </c>
      <c r="L3047" s="232" t="inlineStr">
        <is>
          <t>[PRORRATEO 7.1% 10.6há/148.3há] O/001523 ACOPLE MAC</t>
        </is>
      </c>
      <c r="M3047" s="232" t="inlineStr"/>
      <c r="N3047" s="232" t="inlineStr">
        <is>
          <t>.   .   -</t>
        </is>
      </c>
      <c r="O3047" s="232" t="inlineStr">
        <is>
          <t>MARZO</t>
        </is>
      </c>
      <c r="P3047" s="232" t="n">
        <v>13</v>
      </c>
      <c r="Q3047" s="234" t="n">
        <v>2223</v>
      </c>
      <c r="R3047" s="232" t="inlineStr"/>
      <c r="S3047" s="234" t="n">
        <v>2223</v>
      </c>
      <c r="T3047" s="232" t="inlineStr">
        <is>
          <t>CLP</t>
        </is>
      </c>
      <c r="U3047" s="232" t="inlineStr">
        <is>
          <t>Prorrateo Ha PACKING</t>
        </is>
      </c>
      <c r="V3047" s="232" t="inlineStr">
        <is>
          <t>2026-06-18</t>
        </is>
      </c>
    </row>
    <row r="3048">
      <c r="A3048" s="232" t="inlineStr">
        <is>
          <t>CR-3045</t>
        </is>
      </c>
      <c r="B3048" s="232" t="inlineStr">
        <is>
          <t>2026/27</t>
        </is>
      </c>
      <c r="C3048" s="233" t="n">
        <v>46112</v>
      </c>
      <c r="D3048" s="232" t="inlineStr">
        <is>
          <t>112168</t>
        </is>
      </c>
      <c r="E3048" s="232" t="inlineStr">
        <is>
          <t>PRORRATEO</t>
        </is>
      </c>
      <c r="F3048" s="232" t="inlineStr">
        <is>
          <t>Santa Catalina</t>
        </is>
      </c>
      <c r="G3048" s="232" t="inlineStr">
        <is>
          <t>eureka 14,4 ha</t>
        </is>
      </c>
      <c r="H3048" s="232" t="inlineStr">
        <is>
          <t>Limon</t>
        </is>
      </c>
      <c r="I3048" s="232" t="inlineStr">
        <is>
          <t>Eureka</t>
        </is>
      </c>
      <c r="J3048" s="232" t="inlineStr">
        <is>
          <t>MATERIALES COSECHA</t>
        </is>
      </c>
      <c r="K3048" s="232" t="inlineStr">
        <is>
          <t>MATERIAL COSECHA EXPORTACION</t>
        </is>
      </c>
      <c r="L3048" s="232" t="inlineStr">
        <is>
          <t>[PRORRATEO 9.7% 14.4há/148.3há] O/001523 ACOPLE MAC</t>
        </is>
      </c>
      <c r="M3048" s="232" t="inlineStr"/>
      <c r="N3048" s="232" t="inlineStr">
        <is>
          <t>.   .   -</t>
        </is>
      </c>
      <c r="O3048" s="232" t="inlineStr">
        <is>
          <t>MARZO</t>
        </is>
      </c>
      <c r="P3048" s="232" t="n">
        <v>13</v>
      </c>
      <c r="Q3048" s="234" t="n">
        <v>3020</v>
      </c>
      <c r="R3048" s="232" t="inlineStr"/>
      <c r="S3048" s="234" t="n">
        <v>3020</v>
      </c>
      <c r="T3048" s="232" t="inlineStr">
        <is>
          <t>CLP</t>
        </is>
      </c>
      <c r="U3048" s="232" t="inlineStr">
        <is>
          <t>Prorrateo Ha PACKING</t>
        </is>
      </c>
      <c r="V3048" s="232" t="inlineStr">
        <is>
          <t>2026-06-18</t>
        </is>
      </c>
    </row>
    <row r="3049">
      <c r="A3049" s="232" t="inlineStr">
        <is>
          <t>CR-3046</t>
        </is>
      </c>
      <c r="B3049" s="232" t="inlineStr">
        <is>
          <t>2026/27</t>
        </is>
      </c>
      <c r="C3049" s="233" t="n">
        <v>46112</v>
      </c>
      <c r="D3049" s="232" t="inlineStr">
        <is>
          <t>112168</t>
        </is>
      </c>
      <c r="E3049" s="232" t="inlineStr">
        <is>
          <t>PRORRATEO</t>
        </is>
      </c>
      <c r="F3049" s="232" t="inlineStr">
        <is>
          <t>Santa Catalina</t>
        </is>
      </c>
      <c r="G3049" s="232" t="inlineStr">
        <is>
          <t>eureka 22,55</t>
        </is>
      </c>
      <c r="H3049" s="232" t="inlineStr">
        <is>
          <t>Limon</t>
        </is>
      </c>
      <c r="I3049" s="232" t="inlineStr">
        <is>
          <t>Eureka</t>
        </is>
      </c>
      <c r="J3049" s="232" t="inlineStr">
        <is>
          <t>MATERIALES COSECHA</t>
        </is>
      </c>
      <c r="K3049" s="232" t="inlineStr">
        <is>
          <t>MATERIAL COSECHA EXPORTACION</t>
        </is>
      </c>
      <c r="L3049" s="232" t="inlineStr">
        <is>
          <t>[PRORRATEO 15.2% 22.55há/148.3há] O/001523 ACOPLE MAC</t>
        </is>
      </c>
      <c r="M3049" s="232" t="inlineStr"/>
      <c r="N3049" s="232" t="inlineStr">
        <is>
          <t>.   .   -</t>
        </is>
      </c>
      <c r="O3049" s="232" t="inlineStr">
        <is>
          <t>MARZO</t>
        </is>
      </c>
      <c r="P3049" s="232" t="n">
        <v>13</v>
      </c>
      <c r="Q3049" s="234" t="n">
        <v>4729</v>
      </c>
      <c r="R3049" s="232" t="inlineStr"/>
      <c r="S3049" s="234" t="n">
        <v>4729</v>
      </c>
      <c r="T3049" s="232" t="inlineStr">
        <is>
          <t>CLP</t>
        </is>
      </c>
      <c r="U3049" s="232" t="inlineStr">
        <is>
          <t>Prorrateo Ha PACKING</t>
        </is>
      </c>
      <c r="V3049" s="232" t="inlineStr">
        <is>
          <t>2026-06-18</t>
        </is>
      </c>
    </row>
    <row r="3050">
      <c r="A3050" s="232" t="inlineStr">
        <is>
          <t>CR-3047</t>
        </is>
      </c>
      <c r="B3050" s="232" t="inlineStr">
        <is>
          <t>2026/27</t>
        </is>
      </c>
      <c r="C3050" s="233" t="n">
        <v>46112</v>
      </c>
      <c r="D3050" s="232" t="inlineStr">
        <is>
          <t>112168</t>
        </is>
      </c>
      <c r="E3050" s="232" t="inlineStr">
        <is>
          <t>PRORRATEO</t>
        </is>
      </c>
      <c r="F3050" s="232" t="inlineStr">
        <is>
          <t>Santa Catalina</t>
        </is>
      </c>
      <c r="G3050" s="232" t="inlineStr">
        <is>
          <t>form benjamin 1,93 ha</t>
        </is>
      </c>
      <c r="H3050" s="232" t="inlineStr">
        <is>
          <t>Limon</t>
        </is>
      </c>
      <c r="I3050" s="232" t="inlineStr">
        <is>
          <t>Benjamin andes</t>
        </is>
      </c>
      <c r="J3050" s="232" t="inlineStr">
        <is>
          <t>MATERIALES COSECHA</t>
        </is>
      </c>
      <c r="K3050" s="232" t="inlineStr">
        <is>
          <t>MATERIAL COSECHA EXPORTACION</t>
        </is>
      </c>
      <c r="L3050" s="232" t="inlineStr">
        <is>
          <t>[PRORRATEO 1.3% 1.93há/148.3há] O/001523 ACOPLE MAC</t>
        </is>
      </c>
      <c r="M3050" s="232" t="inlineStr"/>
      <c r="N3050" s="232" t="inlineStr">
        <is>
          <t>.   .   -</t>
        </is>
      </c>
      <c r="O3050" s="232" t="inlineStr">
        <is>
          <t>MARZO</t>
        </is>
      </c>
      <c r="P3050" s="232" t="n">
        <v>13</v>
      </c>
      <c r="Q3050" s="234" t="n">
        <v>405</v>
      </c>
      <c r="R3050" s="232" t="inlineStr"/>
      <c r="S3050" s="234" t="n">
        <v>405</v>
      </c>
      <c r="T3050" s="232" t="inlineStr">
        <is>
          <t>CLP</t>
        </is>
      </c>
      <c r="U3050" s="232" t="inlineStr">
        <is>
          <t>Prorrateo Ha PACKING</t>
        </is>
      </c>
      <c r="V3050" s="232" t="inlineStr">
        <is>
          <t>2026-06-18</t>
        </is>
      </c>
    </row>
    <row r="3051">
      <c r="A3051" s="232" t="inlineStr">
        <is>
          <t>CR-3048</t>
        </is>
      </c>
      <c r="B3051" s="232" t="inlineStr">
        <is>
          <t>2026/27</t>
        </is>
      </c>
      <c r="C3051" s="233" t="n">
        <v>46112</v>
      </c>
      <c r="D3051" s="232" t="inlineStr">
        <is>
          <t>112168</t>
        </is>
      </c>
      <c r="E3051" s="232" t="inlineStr">
        <is>
          <t>PRORRATEO</t>
        </is>
      </c>
      <c r="F3051" s="232" t="inlineStr">
        <is>
          <t>Santa Catalina</t>
        </is>
      </c>
      <c r="G3051" s="232" t="inlineStr">
        <is>
          <t>mant eureka 2,5 ha</t>
        </is>
      </c>
      <c r="H3051" s="232" t="inlineStr">
        <is>
          <t>Limon</t>
        </is>
      </c>
      <c r="I3051" s="232" t="inlineStr">
        <is>
          <t>Eureka</t>
        </is>
      </c>
      <c r="J3051" s="232" t="inlineStr">
        <is>
          <t>MATERIALES COSECHA</t>
        </is>
      </c>
      <c r="K3051" s="232" t="inlineStr">
        <is>
          <t>MATERIAL COSECHA EXPORTACION</t>
        </is>
      </c>
      <c r="L3051" s="232" t="inlineStr">
        <is>
          <t>[PRORRATEO 1.7% 2.5há/148.3há] O/001523 ACOPLE MAC</t>
        </is>
      </c>
      <c r="M3051" s="232" t="inlineStr"/>
      <c r="N3051" s="232" t="inlineStr">
        <is>
          <t>.   .   -</t>
        </is>
      </c>
      <c r="O3051" s="232" t="inlineStr">
        <is>
          <t>MARZO</t>
        </is>
      </c>
      <c r="P3051" s="232" t="n">
        <v>13</v>
      </c>
      <c r="Q3051" s="234" t="n">
        <v>524</v>
      </c>
      <c r="R3051" s="232" t="inlineStr"/>
      <c r="S3051" s="234" t="n">
        <v>524</v>
      </c>
      <c r="T3051" s="232" t="inlineStr">
        <is>
          <t>CLP</t>
        </is>
      </c>
      <c r="U3051" s="232" t="inlineStr">
        <is>
          <t>Prorrateo Ha PACKING</t>
        </is>
      </c>
      <c r="V3051" s="232" t="inlineStr">
        <is>
          <t>2026-06-18</t>
        </is>
      </c>
    </row>
    <row r="3052">
      <c r="A3052" s="232" t="inlineStr">
        <is>
          <t>CR-3049</t>
        </is>
      </c>
      <c r="B3052" s="232" t="inlineStr">
        <is>
          <t>2026/27</t>
        </is>
      </c>
      <c r="C3052" s="233" t="n">
        <v>46112</v>
      </c>
      <c r="D3052" s="232" t="inlineStr">
        <is>
          <t>112168</t>
        </is>
      </c>
      <c r="E3052" s="232" t="inlineStr">
        <is>
          <t>PRORRATEO</t>
        </is>
      </c>
      <c r="F3052" s="232" t="inlineStr">
        <is>
          <t>Siberia</t>
        </is>
      </c>
      <c r="G3052" s="232" t="inlineStr">
        <is>
          <t>S. Celebration 7,14</t>
        </is>
      </c>
      <c r="H3052" s="232" t="inlineStr">
        <is>
          <t>Uvas</t>
        </is>
      </c>
      <c r="I3052" s="232" t="inlineStr">
        <is>
          <t>S. celebration</t>
        </is>
      </c>
      <c r="J3052" s="232" t="inlineStr">
        <is>
          <t>MATERIALES COSECHA</t>
        </is>
      </c>
      <c r="K3052" s="232" t="inlineStr">
        <is>
          <t>MATERIAL COSECHA EXPORTACION</t>
        </is>
      </c>
      <c r="L3052" s="232" t="inlineStr">
        <is>
          <t>[PRORRATEO 4.8% 7.14há/148.3há] O/001523 ACOPLE MAC</t>
        </is>
      </c>
      <c r="M3052" s="232" t="inlineStr"/>
      <c r="N3052" s="232" t="inlineStr">
        <is>
          <t>.   .   -</t>
        </is>
      </c>
      <c r="O3052" s="232" t="inlineStr">
        <is>
          <t>MARZO</t>
        </is>
      </c>
      <c r="P3052" s="232" t="n">
        <v>13</v>
      </c>
      <c r="Q3052" s="234" t="n">
        <v>1497</v>
      </c>
      <c r="R3052" s="232" t="inlineStr"/>
      <c r="S3052" s="234" t="n">
        <v>1497</v>
      </c>
      <c r="T3052" s="232" t="inlineStr">
        <is>
          <t>CLP</t>
        </is>
      </c>
      <c r="U3052" s="232" t="inlineStr">
        <is>
          <t>Prorrateo Ha PACKING</t>
        </is>
      </c>
      <c r="V3052" s="232" t="inlineStr">
        <is>
          <t>2026-06-18</t>
        </is>
      </c>
    </row>
    <row r="3053">
      <c r="A3053" s="232" t="inlineStr">
        <is>
          <t>CR-3050</t>
        </is>
      </c>
      <c r="B3053" s="232" t="inlineStr">
        <is>
          <t>2026/27</t>
        </is>
      </c>
      <c r="C3053" s="233" t="n">
        <v>46112</v>
      </c>
      <c r="D3053" s="232" t="inlineStr">
        <is>
          <t>112168</t>
        </is>
      </c>
      <c r="E3053" s="232" t="inlineStr">
        <is>
          <t>PRORRATEO</t>
        </is>
      </c>
      <c r="F3053" s="232" t="inlineStr">
        <is>
          <t>Siberia</t>
        </is>
      </c>
      <c r="G3053" s="232" t="inlineStr">
        <is>
          <t>Timpson 7,1</t>
        </is>
      </c>
      <c r="H3053" s="232" t="inlineStr">
        <is>
          <t>Uvas</t>
        </is>
      </c>
      <c r="I3053" s="232" t="inlineStr">
        <is>
          <t>Timpson</t>
        </is>
      </c>
      <c r="J3053" s="232" t="inlineStr">
        <is>
          <t>MATERIALES COSECHA</t>
        </is>
      </c>
      <c r="K3053" s="232" t="inlineStr">
        <is>
          <t>MATERIAL COSECHA EXPORTACION</t>
        </is>
      </c>
      <c r="L3053" s="232" t="inlineStr">
        <is>
          <t>[PRORRATEO 4.8% 7.1há/148.3há] O/001523 ACOPLE MAC</t>
        </is>
      </c>
      <c r="M3053" s="232" t="inlineStr"/>
      <c r="N3053" s="232" t="inlineStr">
        <is>
          <t>.   .   -</t>
        </is>
      </c>
      <c r="O3053" s="232" t="inlineStr">
        <is>
          <t>MARZO</t>
        </is>
      </c>
      <c r="P3053" s="232" t="n">
        <v>13</v>
      </c>
      <c r="Q3053" s="234" t="n">
        <v>1489</v>
      </c>
      <c r="R3053" s="232" t="inlineStr"/>
      <c r="S3053" s="234" t="n">
        <v>1489</v>
      </c>
      <c r="T3053" s="232" t="inlineStr">
        <is>
          <t>CLP</t>
        </is>
      </c>
      <c r="U3053" s="232" t="inlineStr">
        <is>
          <t>Prorrateo Ha PACKING</t>
        </is>
      </c>
      <c r="V3053" s="232" t="inlineStr">
        <is>
          <t>2026-06-18</t>
        </is>
      </c>
    </row>
    <row r="3054">
      <c r="A3054" s="232" t="inlineStr">
        <is>
          <t>CR-3051</t>
        </is>
      </c>
      <c r="B3054" s="232" t="inlineStr">
        <is>
          <t>2026/27</t>
        </is>
      </c>
      <c r="C3054" s="233" t="n">
        <v>46112</v>
      </c>
      <c r="D3054" s="232" t="inlineStr">
        <is>
          <t>112168</t>
        </is>
      </c>
      <c r="E3054" s="232" t="inlineStr">
        <is>
          <t>PRORRATEO</t>
        </is>
      </c>
      <c r="F3054" s="232" t="inlineStr">
        <is>
          <t>Asmara</t>
        </is>
      </c>
      <c r="G3054" s="232" t="inlineStr">
        <is>
          <t>w. murcott 19,8 ha</t>
        </is>
      </c>
      <c r="H3054" s="232" t="inlineStr">
        <is>
          <t>Mandarina</t>
        </is>
      </c>
      <c r="I3054" s="232" t="inlineStr">
        <is>
          <t>W. murcott</t>
        </is>
      </c>
      <c r="J3054" s="232" t="inlineStr">
        <is>
          <t>MATERIALES COSECHA</t>
        </is>
      </c>
      <c r="K3054" s="232" t="inlineStr">
        <is>
          <t>MATERIAL COSECHA EXPORTACION</t>
        </is>
      </c>
      <c r="L3054" s="232" t="inlineStr">
        <is>
          <t>[PRORRATEO 13.4% 19.8há/148.3há] O/001523 MANGUERA E</t>
        </is>
      </c>
      <c r="M3054" s="232" t="inlineStr"/>
      <c r="N3054" s="232" t="inlineStr">
        <is>
          <t>.   .   -</t>
        </is>
      </c>
      <c r="O3054" s="232" t="inlineStr">
        <is>
          <t>MARZO</t>
        </is>
      </c>
      <c r="P3054" s="232" t="n">
        <v>13</v>
      </c>
      <c r="Q3054" s="234" t="n">
        <v>7744</v>
      </c>
      <c r="R3054" s="232" t="inlineStr"/>
      <c r="S3054" s="234" t="n">
        <v>7744</v>
      </c>
      <c r="T3054" s="232" t="inlineStr">
        <is>
          <t>CLP</t>
        </is>
      </c>
      <c r="U3054" s="232" t="inlineStr">
        <is>
          <t>Prorrateo Ha PACKING</t>
        </is>
      </c>
      <c r="V3054" s="232" t="inlineStr">
        <is>
          <t>2026-06-18</t>
        </is>
      </c>
    </row>
    <row r="3055">
      <c r="A3055" s="232" t="inlineStr">
        <is>
          <t>CR-3052</t>
        </is>
      </c>
      <c r="B3055" s="232" t="inlineStr">
        <is>
          <t>2026/27</t>
        </is>
      </c>
      <c r="C3055" s="233" t="n">
        <v>46112</v>
      </c>
      <c r="D3055" s="232" t="inlineStr">
        <is>
          <t>112168</t>
        </is>
      </c>
      <c r="E3055" s="232" t="inlineStr">
        <is>
          <t>PRORRATEO</t>
        </is>
      </c>
      <c r="F3055" s="232" t="inlineStr">
        <is>
          <t>Asmara</t>
        </is>
      </c>
      <c r="G3055" s="232" t="inlineStr">
        <is>
          <t>w. murcott 4,9 ha</t>
        </is>
      </c>
      <c r="H3055" s="232" t="inlineStr">
        <is>
          <t>Mandarina</t>
        </is>
      </c>
      <c r="I3055" s="232" t="inlineStr">
        <is>
          <t>W. murcott</t>
        </is>
      </c>
      <c r="J3055" s="232" t="inlineStr">
        <is>
          <t>MATERIALES COSECHA</t>
        </is>
      </c>
      <c r="K3055" s="232" t="inlineStr">
        <is>
          <t>MATERIAL COSECHA EXPORTACION</t>
        </is>
      </c>
      <c r="L3055" s="232" t="inlineStr">
        <is>
          <t>[PRORRATEO 3.3% 4.9há/148.3há] O/001523 MANGUERA E</t>
        </is>
      </c>
      <c r="M3055" s="232" t="inlineStr"/>
      <c r="N3055" s="232" t="inlineStr">
        <is>
          <t>.   .   -</t>
        </is>
      </c>
      <c r="O3055" s="232" t="inlineStr">
        <is>
          <t>MARZO</t>
        </is>
      </c>
      <c r="P3055" s="232" t="n">
        <v>13</v>
      </c>
      <c r="Q3055" s="234" t="n">
        <v>1916</v>
      </c>
      <c r="R3055" s="232" t="inlineStr"/>
      <c r="S3055" s="234" t="n">
        <v>1916</v>
      </c>
      <c r="T3055" s="232" t="inlineStr">
        <is>
          <t>CLP</t>
        </is>
      </c>
      <c r="U3055" s="232" t="inlineStr">
        <is>
          <t>Prorrateo Ha PACKING</t>
        </is>
      </c>
      <c r="V3055" s="232" t="inlineStr">
        <is>
          <t>2026-06-18</t>
        </is>
      </c>
    </row>
    <row r="3056">
      <c r="A3056" s="232" t="inlineStr">
        <is>
          <t>CR-3053</t>
        </is>
      </c>
      <c r="B3056" s="232" t="inlineStr">
        <is>
          <t>2026/27</t>
        </is>
      </c>
      <c r="C3056" s="233" t="n">
        <v>46112</v>
      </c>
      <c r="D3056" s="232" t="inlineStr">
        <is>
          <t>112168</t>
        </is>
      </c>
      <c r="E3056" s="232" t="inlineStr">
        <is>
          <t>PRORRATEO</t>
        </is>
      </c>
      <c r="F3056" s="232" t="inlineStr">
        <is>
          <t>El Molle</t>
        </is>
      </c>
      <c r="G3056" s="232" t="inlineStr">
        <is>
          <t>Wonderful 5,25 ha</t>
        </is>
      </c>
      <c r="H3056" s="232" t="inlineStr">
        <is>
          <t>Granados</t>
        </is>
      </c>
      <c r="I3056" s="232" t="inlineStr">
        <is>
          <t>Wonderfull</t>
        </is>
      </c>
      <c r="J3056" s="232" t="inlineStr">
        <is>
          <t>MATERIALES COSECHA</t>
        </is>
      </c>
      <c r="K3056" s="232" t="inlineStr">
        <is>
          <t>MATERIAL COSECHA EXPORTACION</t>
        </is>
      </c>
      <c r="L3056" s="232" t="inlineStr">
        <is>
          <t>[PRORRATEO 3.5% 5.24há/148.3há] O/001523 MANGUERA E</t>
        </is>
      </c>
      <c r="M3056" s="232" t="inlineStr"/>
      <c r="N3056" s="232" t="inlineStr">
        <is>
          <t>.   .   -</t>
        </is>
      </c>
      <c r="O3056" s="232" t="inlineStr">
        <is>
          <t>MARZO</t>
        </is>
      </c>
      <c r="P3056" s="232" t="n">
        <v>13</v>
      </c>
      <c r="Q3056" s="234" t="n">
        <v>2049</v>
      </c>
      <c r="R3056" s="232" t="inlineStr"/>
      <c r="S3056" s="234" t="n">
        <v>2049</v>
      </c>
      <c r="T3056" s="232" t="inlineStr">
        <is>
          <t>CLP</t>
        </is>
      </c>
      <c r="U3056" s="232" t="inlineStr">
        <is>
          <t>Prorrateo Ha PACKING</t>
        </is>
      </c>
      <c r="V3056" s="232" t="inlineStr">
        <is>
          <t>2026-06-18</t>
        </is>
      </c>
    </row>
    <row r="3057">
      <c r="A3057" s="232" t="inlineStr">
        <is>
          <t>CR-3054</t>
        </is>
      </c>
      <c r="B3057" s="232" t="inlineStr">
        <is>
          <t>2026/27</t>
        </is>
      </c>
      <c r="C3057" s="233" t="n">
        <v>46112</v>
      </c>
      <c r="D3057" s="232" t="inlineStr">
        <is>
          <t>112168</t>
        </is>
      </c>
      <c r="E3057" s="232" t="inlineStr">
        <is>
          <t>PRORRATEO</t>
        </is>
      </c>
      <c r="F3057" s="232" t="inlineStr">
        <is>
          <t>El Molle</t>
        </is>
      </c>
      <c r="G3057" s="232" t="inlineStr">
        <is>
          <t>arrufatinas 5,74 ha</t>
        </is>
      </c>
      <c r="H3057" s="232" t="inlineStr">
        <is>
          <t>Clementinas</t>
        </is>
      </c>
      <c r="I3057" s="232" t="inlineStr">
        <is>
          <t>Arrufatinas</t>
        </is>
      </c>
      <c r="J3057" s="232" t="inlineStr">
        <is>
          <t>MATERIALES COSECHA</t>
        </is>
      </c>
      <c r="K3057" s="232" t="inlineStr">
        <is>
          <t>MATERIAL COSECHA EXPORTACION</t>
        </is>
      </c>
      <c r="L3057" s="232" t="inlineStr">
        <is>
          <t>[PRORRATEO 3.9% 5.74há/148.3há] O/001523 MANGUERA E</t>
        </is>
      </c>
      <c r="M3057" s="232" t="inlineStr"/>
      <c r="N3057" s="232" t="inlineStr">
        <is>
          <t>.   .   -</t>
        </is>
      </c>
      <c r="O3057" s="232" t="inlineStr">
        <is>
          <t>MARZO</t>
        </is>
      </c>
      <c r="P3057" s="232" t="n">
        <v>13</v>
      </c>
      <c r="Q3057" s="234" t="n">
        <v>2245</v>
      </c>
      <c r="R3057" s="232" t="inlineStr"/>
      <c r="S3057" s="234" t="n">
        <v>2245</v>
      </c>
      <c r="T3057" s="232" t="inlineStr">
        <is>
          <t>CLP</t>
        </is>
      </c>
      <c r="U3057" s="232" t="inlineStr">
        <is>
          <t>Prorrateo Ha PACKING</t>
        </is>
      </c>
      <c r="V3057" s="232" t="inlineStr">
        <is>
          <t>2026-06-18</t>
        </is>
      </c>
    </row>
    <row r="3058">
      <c r="A3058" s="232" t="inlineStr">
        <is>
          <t>CR-3055</t>
        </is>
      </c>
      <c r="B3058" s="232" t="inlineStr">
        <is>
          <t>2026/27</t>
        </is>
      </c>
      <c r="C3058" s="233" t="n">
        <v>46112</v>
      </c>
      <c r="D3058" s="232" t="inlineStr">
        <is>
          <t>112168</t>
        </is>
      </c>
      <c r="E3058" s="232" t="inlineStr">
        <is>
          <t>PRORRATEO</t>
        </is>
      </c>
      <c r="F3058" s="232" t="inlineStr">
        <is>
          <t>El Molle</t>
        </is>
      </c>
      <c r="G3058" s="232" t="inlineStr">
        <is>
          <t>orogrande 8,11 ha</t>
        </is>
      </c>
      <c r="H3058" s="232" t="inlineStr">
        <is>
          <t>Clementinas</t>
        </is>
      </c>
      <c r="I3058" s="232" t="inlineStr">
        <is>
          <t>Orogrande</t>
        </is>
      </c>
      <c r="J3058" s="232" t="inlineStr">
        <is>
          <t>MATERIALES COSECHA</t>
        </is>
      </c>
      <c r="K3058" s="232" t="inlineStr">
        <is>
          <t>MATERIAL COSECHA EXPORTACION</t>
        </is>
      </c>
      <c r="L3058" s="232" t="inlineStr">
        <is>
          <t>[PRORRATEO 5.5% 8.11há/148.3há] O/001523 MANGUERA E</t>
        </is>
      </c>
      <c r="M3058" s="232" t="inlineStr"/>
      <c r="N3058" s="232" t="inlineStr">
        <is>
          <t>.   .   -</t>
        </is>
      </c>
      <c r="O3058" s="232" t="inlineStr">
        <is>
          <t>MARZO</t>
        </is>
      </c>
      <c r="P3058" s="232" t="n">
        <v>13</v>
      </c>
      <c r="Q3058" s="234" t="n">
        <v>3172</v>
      </c>
      <c r="R3058" s="232" t="inlineStr"/>
      <c r="S3058" s="234" t="n">
        <v>3172</v>
      </c>
      <c r="T3058" s="232" t="inlineStr">
        <is>
          <t>CLP</t>
        </is>
      </c>
      <c r="U3058" s="232" t="inlineStr">
        <is>
          <t>Prorrateo Ha PACKING</t>
        </is>
      </c>
      <c r="V3058" s="232" t="inlineStr">
        <is>
          <t>2026-06-18</t>
        </is>
      </c>
    </row>
    <row r="3059">
      <c r="A3059" s="232" t="inlineStr">
        <is>
          <t>CR-3056</t>
        </is>
      </c>
      <c r="B3059" s="232" t="inlineStr">
        <is>
          <t>2026/27</t>
        </is>
      </c>
      <c r="C3059" s="233" t="n">
        <v>46112</v>
      </c>
      <c r="D3059" s="232" t="inlineStr">
        <is>
          <t>112168</t>
        </is>
      </c>
      <c r="E3059" s="232" t="inlineStr">
        <is>
          <t>PRORRATEO</t>
        </is>
      </c>
      <c r="F3059" s="232" t="inlineStr">
        <is>
          <t>El Molle</t>
        </is>
      </c>
      <c r="G3059" s="232" t="inlineStr">
        <is>
          <t>oronules 5,35 ha</t>
        </is>
      </c>
      <c r="H3059" s="232" t="inlineStr">
        <is>
          <t>Clementinas</t>
        </is>
      </c>
      <c r="I3059" s="232" t="inlineStr">
        <is>
          <t>Oronules</t>
        </is>
      </c>
      <c r="J3059" s="232" t="inlineStr">
        <is>
          <t>MATERIALES COSECHA</t>
        </is>
      </c>
      <c r="K3059" s="232" t="inlineStr">
        <is>
          <t>MATERIAL COSECHA EXPORTACION</t>
        </is>
      </c>
      <c r="L3059" s="232" t="inlineStr">
        <is>
          <t>[PRORRATEO 3.6% 5.35há/148.3há] O/001523 MANGUERA E</t>
        </is>
      </c>
      <c r="M3059" s="232" t="inlineStr"/>
      <c r="N3059" s="232" t="inlineStr">
        <is>
          <t>.   .   -</t>
        </is>
      </c>
      <c r="O3059" s="232" t="inlineStr">
        <is>
          <t>MARZO</t>
        </is>
      </c>
      <c r="P3059" s="232" t="n">
        <v>13</v>
      </c>
      <c r="Q3059" s="234" t="n">
        <v>2092</v>
      </c>
      <c r="R3059" s="232" t="inlineStr"/>
      <c r="S3059" s="234" t="n">
        <v>2092</v>
      </c>
      <c r="T3059" s="232" t="inlineStr">
        <is>
          <t>CLP</t>
        </is>
      </c>
      <c r="U3059" s="232" t="inlineStr">
        <is>
          <t>Prorrateo Ha PACKING</t>
        </is>
      </c>
      <c r="V3059" s="232" t="inlineStr">
        <is>
          <t>2026-06-18</t>
        </is>
      </c>
    </row>
    <row r="3060">
      <c r="A3060" s="232" t="inlineStr">
        <is>
          <t>CR-3057</t>
        </is>
      </c>
      <c r="B3060" s="232" t="inlineStr">
        <is>
          <t>2026/27</t>
        </is>
      </c>
      <c r="C3060" s="233" t="n">
        <v>46112</v>
      </c>
      <c r="D3060" s="232" t="inlineStr">
        <is>
          <t>112168</t>
        </is>
      </c>
      <c r="E3060" s="232" t="inlineStr">
        <is>
          <t>PRORRATEO</t>
        </is>
      </c>
      <c r="F3060" s="232" t="inlineStr">
        <is>
          <t>Santa Catalina</t>
        </is>
      </c>
      <c r="G3060" s="232" t="inlineStr">
        <is>
          <t>Fino 49 7,7 ha</t>
        </is>
      </c>
      <c r="H3060" s="232" t="inlineStr">
        <is>
          <t>Limon</t>
        </is>
      </c>
      <c r="I3060" s="232" t="inlineStr">
        <is>
          <t>Fino 49</t>
        </is>
      </c>
      <c r="J3060" s="232" t="inlineStr">
        <is>
          <t>MATERIALES COSECHA</t>
        </is>
      </c>
      <c r="K3060" s="232" t="inlineStr">
        <is>
          <t>MATERIAL COSECHA EXPORTACION</t>
        </is>
      </c>
      <c r="L3060" s="232" t="inlineStr">
        <is>
          <t>[PRORRATEO 5.2% 7.7há/148.3há] O/001523 MANGUERA E</t>
        </is>
      </c>
      <c r="M3060" s="232" t="inlineStr"/>
      <c r="N3060" s="232" t="inlineStr">
        <is>
          <t>.   .   -</t>
        </is>
      </c>
      <c r="O3060" s="232" t="inlineStr">
        <is>
          <t>MARZO</t>
        </is>
      </c>
      <c r="P3060" s="232" t="n">
        <v>13</v>
      </c>
      <c r="Q3060" s="234" t="n">
        <v>3011</v>
      </c>
      <c r="R3060" s="232" t="inlineStr"/>
      <c r="S3060" s="234" t="n">
        <v>3011</v>
      </c>
      <c r="T3060" s="232" t="inlineStr">
        <is>
          <t>CLP</t>
        </is>
      </c>
      <c r="U3060" s="232" t="inlineStr">
        <is>
          <t>Prorrateo Ha PACKING</t>
        </is>
      </c>
      <c r="V3060" s="232" t="inlineStr">
        <is>
          <t>2026-06-18</t>
        </is>
      </c>
    </row>
    <row r="3061">
      <c r="A3061" s="232" t="inlineStr">
        <is>
          <t>CR-3058</t>
        </is>
      </c>
      <c r="B3061" s="232" t="inlineStr">
        <is>
          <t>2026/27</t>
        </is>
      </c>
      <c r="C3061" s="233" t="n">
        <v>46112</v>
      </c>
      <c r="D3061" s="232" t="inlineStr">
        <is>
          <t>112168</t>
        </is>
      </c>
      <c r="E3061" s="232" t="inlineStr">
        <is>
          <t>PRORRATEO</t>
        </is>
      </c>
      <c r="F3061" s="232" t="inlineStr">
        <is>
          <t>Santa Catalina</t>
        </is>
      </c>
      <c r="G3061" s="232" t="inlineStr">
        <is>
          <t>W. murcott 21 ha</t>
        </is>
      </c>
      <c r="H3061" s="232" t="inlineStr">
        <is>
          <t>Mandarina</t>
        </is>
      </c>
      <c r="I3061" s="232" t="inlineStr">
        <is>
          <t>W. murcott</t>
        </is>
      </c>
      <c r="J3061" s="232" t="inlineStr">
        <is>
          <t>MATERIALES COSECHA</t>
        </is>
      </c>
      <c r="K3061" s="232" t="inlineStr">
        <is>
          <t>MATERIAL COSECHA EXPORTACION</t>
        </is>
      </c>
      <c r="L3061" s="232" t="inlineStr">
        <is>
          <t>[PRORRATEO 14.2% 21.0há/148.3há] O/001523 MANGUERA E</t>
        </is>
      </c>
      <c r="M3061" s="232" t="inlineStr"/>
      <c r="N3061" s="232" t="inlineStr">
        <is>
          <t>.   .   -</t>
        </is>
      </c>
      <c r="O3061" s="232" t="inlineStr">
        <is>
          <t>MARZO</t>
        </is>
      </c>
      <c r="P3061" s="232" t="n">
        <v>13</v>
      </c>
      <c r="Q3061" s="234" t="n">
        <v>8213</v>
      </c>
      <c r="R3061" s="232" t="inlineStr"/>
      <c r="S3061" s="234" t="n">
        <v>8213</v>
      </c>
      <c r="T3061" s="232" t="inlineStr">
        <is>
          <t>CLP</t>
        </is>
      </c>
      <c r="U3061" s="232" t="inlineStr">
        <is>
          <t>Prorrateo Ha PACKING</t>
        </is>
      </c>
      <c r="V3061" s="232" t="inlineStr">
        <is>
          <t>2026-06-18</t>
        </is>
      </c>
    </row>
    <row r="3062">
      <c r="A3062" s="232" t="inlineStr">
        <is>
          <t>CR-3059</t>
        </is>
      </c>
      <c r="B3062" s="232" t="inlineStr">
        <is>
          <t>2026/27</t>
        </is>
      </c>
      <c r="C3062" s="233" t="n">
        <v>46112</v>
      </c>
      <c r="D3062" s="232" t="inlineStr">
        <is>
          <t>112168</t>
        </is>
      </c>
      <c r="E3062" s="232" t="inlineStr">
        <is>
          <t>PRORRATEO</t>
        </is>
      </c>
      <c r="F3062" s="232" t="inlineStr">
        <is>
          <t>Santa Catalina</t>
        </is>
      </c>
      <c r="G3062" s="232" t="inlineStr">
        <is>
          <t>cambria 4,2 ha</t>
        </is>
      </c>
      <c r="H3062" s="232" t="inlineStr">
        <is>
          <t>Naranjas</t>
        </is>
      </c>
      <c r="I3062" s="232" t="inlineStr">
        <is>
          <t>Cambria</t>
        </is>
      </c>
      <c r="J3062" s="232" t="inlineStr">
        <is>
          <t>MATERIALES COSECHA</t>
        </is>
      </c>
      <c r="K3062" s="232" t="inlineStr">
        <is>
          <t>MATERIAL COSECHA EXPORTACION</t>
        </is>
      </c>
      <c r="L3062" s="232" t="inlineStr">
        <is>
          <t>[PRORRATEO 2.8% 4.2há/148.3há] O/001523 MANGUERA E</t>
        </is>
      </c>
      <c r="M3062" s="232" t="inlineStr"/>
      <c r="N3062" s="232" t="inlineStr">
        <is>
          <t>.   .   -</t>
        </is>
      </c>
      <c r="O3062" s="232" t="inlineStr">
        <is>
          <t>MARZO</t>
        </is>
      </c>
      <c r="P3062" s="232" t="n">
        <v>13</v>
      </c>
      <c r="Q3062" s="234" t="n">
        <v>1643</v>
      </c>
      <c r="R3062" s="232" t="inlineStr"/>
      <c r="S3062" s="234" t="n">
        <v>1643</v>
      </c>
      <c r="T3062" s="232" t="inlineStr">
        <is>
          <t>CLP</t>
        </is>
      </c>
      <c r="U3062" s="232" t="inlineStr">
        <is>
          <t>Prorrateo Ha PACKING</t>
        </is>
      </c>
      <c r="V3062" s="232" t="inlineStr">
        <is>
          <t>2026-06-18</t>
        </is>
      </c>
    </row>
    <row r="3063">
      <c r="A3063" s="232" t="inlineStr">
        <is>
          <t>CR-3060</t>
        </is>
      </c>
      <c r="B3063" s="232" t="inlineStr">
        <is>
          <t>2026/27</t>
        </is>
      </c>
      <c r="C3063" s="233" t="n">
        <v>46112</v>
      </c>
      <c r="D3063" s="232" t="inlineStr">
        <is>
          <t>112168</t>
        </is>
      </c>
      <c r="E3063" s="232" t="inlineStr">
        <is>
          <t>PRORRATEO</t>
        </is>
      </c>
      <c r="F3063" s="232" t="inlineStr">
        <is>
          <t>Santa Catalina</t>
        </is>
      </c>
      <c r="G3063" s="232" t="inlineStr">
        <is>
          <t>eureka 10,6 ha</t>
        </is>
      </c>
      <c r="H3063" s="232" t="inlineStr">
        <is>
          <t>Limon</t>
        </is>
      </c>
      <c r="I3063" s="232" t="inlineStr">
        <is>
          <t>Eureka</t>
        </is>
      </c>
      <c r="J3063" s="232" t="inlineStr">
        <is>
          <t>MATERIALES COSECHA</t>
        </is>
      </c>
      <c r="K3063" s="232" t="inlineStr">
        <is>
          <t>MATERIAL COSECHA EXPORTACION</t>
        </is>
      </c>
      <c r="L3063" s="232" t="inlineStr">
        <is>
          <t>[PRORRATEO 7.1% 10.6há/148.3há] O/001523 MANGUERA E</t>
        </is>
      </c>
      <c r="M3063" s="232" t="inlineStr"/>
      <c r="N3063" s="232" t="inlineStr">
        <is>
          <t>.   .   -</t>
        </is>
      </c>
      <c r="O3063" s="232" t="inlineStr">
        <is>
          <t>MARZO</t>
        </is>
      </c>
      <c r="P3063" s="232" t="n">
        <v>13</v>
      </c>
      <c r="Q3063" s="234" t="n">
        <v>4146</v>
      </c>
      <c r="R3063" s="232" t="inlineStr"/>
      <c r="S3063" s="234" t="n">
        <v>4146</v>
      </c>
      <c r="T3063" s="232" t="inlineStr">
        <is>
          <t>CLP</t>
        </is>
      </c>
      <c r="U3063" s="232" t="inlineStr">
        <is>
          <t>Prorrateo Ha PACKING</t>
        </is>
      </c>
      <c r="V3063" s="232" t="inlineStr">
        <is>
          <t>2026-06-18</t>
        </is>
      </c>
    </row>
    <row r="3064">
      <c r="A3064" s="232" t="inlineStr">
        <is>
          <t>CR-3061</t>
        </is>
      </c>
      <c r="B3064" s="232" t="inlineStr">
        <is>
          <t>2026/27</t>
        </is>
      </c>
      <c r="C3064" s="233" t="n">
        <v>46112</v>
      </c>
      <c r="D3064" s="232" t="inlineStr">
        <is>
          <t>112168</t>
        </is>
      </c>
      <c r="E3064" s="232" t="inlineStr">
        <is>
          <t>PRORRATEO</t>
        </is>
      </c>
      <c r="F3064" s="232" t="inlineStr">
        <is>
          <t>Santa Catalina</t>
        </is>
      </c>
      <c r="G3064" s="232" t="inlineStr">
        <is>
          <t>eureka 14,4 ha</t>
        </is>
      </c>
      <c r="H3064" s="232" t="inlineStr">
        <is>
          <t>Limon</t>
        </is>
      </c>
      <c r="I3064" s="232" t="inlineStr">
        <is>
          <t>Eureka</t>
        </is>
      </c>
      <c r="J3064" s="232" t="inlineStr">
        <is>
          <t>MATERIALES COSECHA</t>
        </is>
      </c>
      <c r="K3064" s="232" t="inlineStr">
        <is>
          <t>MATERIAL COSECHA EXPORTACION</t>
        </is>
      </c>
      <c r="L3064" s="232" t="inlineStr">
        <is>
          <t>[PRORRATEO 9.7% 14.4há/148.3há] O/001523 MANGUERA E</t>
        </is>
      </c>
      <c r="M3064" s="232" t="inlineStr"/>
      <c r="N3064" s="232" t="inlineStr">
        <is>
          <t>.   .   -</t>
        </is>
      </c>
      <c r="O3064" s="232" t="inlineStr">
        <is>
          <t>MARZO</t>
        </is>
      </c>
      <c r="P3064" s="232" t="n">
        <v>13</v>
      </c>
      <c r="Q3064" s="234" t="n">
        <v>5632</v>
      </c>
      <c r="R3064" s="232" t="inlineStr"/>
      <c r="S3064" s="234" t="n">
        <v>5632</v>
      </c>
      <c r="T3064" s="232" t="inlineStr">
        <is>
          <t>CLP</t>
        </is>
      </c>
      <c r="U3064" s="232" t="inlineStr">
        <is>
          <t>Prorrateo Ha PACKING</t>
        </is>
      </c>
      <c r="V3064" s="232" t="inlineStr">
        <is>
          <t>2026-06-18</t>
        </is>
      </c>
    </row>
    <row r="3065">
      <c r="A3065" s="232" t="inlineStr">
        <is>
          <t>CR-3062</t>
        </is>
      </c>
      <c r="B3065" s="232" t="inlineStr">
        <is>
          <t>2026/27</t>
        </is>
      </c>
      <c r="C3065" s="233" t="n">
        <v>46112</v>
      </c>
      <c r="D3065" s="232" t="inlineStr">
        <is>
          <t>112168</t>
        </is>
      </c>
      <c r="E3065" s="232" t="inlineStr">
        <is>
          <t>PRORRATEO</t>
        </is>
      </c>
      <c r="F3065" s="232" t="inlineStr">
        <is>
          <t>Santa Catalina</t>
        </is>
      </c>
      <c r="G3065" s="232" t="inlineStr">
        <is>
          <t>eureka 22,55</t>
        </is>
      </c>
      <c r="H3065" s="232" t="inlineStr">
        <is>
          <t>Limon</t>
        </is>
      </c>
      <c r="I3065" s="232" t="inlineStr">
        <is>
          <t>Eureka</t>
        </is>
      </c>
      <c r="J3065" s="232" t="inlineStr">
        <is>
          <t>MATERIALES COSECHA</t>
        </is>
      </c>
      <c r="K3065" s="232" t="inlineStr">
        <is>
          <t>MATERIAL COSECHA EXPORTACION</t>
        </is>
      </c>
      <c r="L3065" s="232" t="inlineStr">
        <is>
          <t>[PRORRATEO 15.2% 22.55há/148.3há] O/001523 MANGUERA E</t>
        </is>
      </c>
      <c r="M3065" s="232" t="inlineStr"/>
      <c r="N3065" s="232" t="inlineStr">
        <is>
          <t>.   .   -</t>
        </is>
      </c>
      <c r="O3065" s="232" t="inlineStr">
        <is>
          <t>MARZO</t>
        </is>
      </c>
      <c r="P3065" s="232" t="n">
        <v>13</v>
      </c>
      <c r="Q3065" s="234" t="n">
        <v>8819</v>
      </c>
      <c r="R3065" s="232" t="inlineStr"/>
      <c r="S3065" s="234" t="n">
        <v>8819</v>
      </c>
      <c r="T3065" s="232" t="inlineStr">
        <is>
          <t>CLP</t>
        </is>
      </c>
      <c r="U3065" s="232" t="inlineStr">
        <is>
          <t>Prorrateo Ha PACKING</t>
        </is>
      </c>
      <c r="V3065" s="232" t="inlineStr">
        <is>
          <t>2026-06-18</t>
        </is>
      </c>
    </row>
    <row r="3066">
      <c r="A3066" s="232" t="inlineStr">
        <is>
          <t>CR-3063</t>
        </is>
      </c>
      <c r="B3066" s="232" t="inlineStr">
        <is>
          <t>2026/27</t>
        </is>
      </c>
      <c r="C3066" s="233" t="n">
        <v>46112</v>
      </c>
      <c r="D3066" s="232" t="inlineStr">
        <is>
          <t>112168</t>
        </is>
      </c>
      <c r="E3066" s="232" t="inlineStr">
        <is>
          <t>PRORRATEO</t>
        </is>
      </c>
      <c r="F3066" s="232" t="inlineStr">
        <is>
          <t>Santa Catalina</t>
        </is>
      </c>
      <c r="G3066" s="232" t="inlineStr">
        <is>
          <t>form benjamin 1,93 ha</t>
        </is>
      </c>
      <c r="H3066" s="232" t="inlineStr">
        <is>
          <t>Limon</t>
        </is>
      </c>
      <c r="I3066" s="232" t="inlineStr">
        <is>
          <t>Benjamin andes</t>
        </is>
      </c>
      <c r="J3066" s="232" t="inlineStr">
        <is>
          <t>MATERIALES COSECHA</t>
        </is>
      </c>
      <c r="K3066" s="232" t="inlineStr">
        <is>
          <t>MATERIAL COSECHA EXPORTACION</t>
        </is>
      </c>
      <c r="L3066" s="232" t="inlineStr">
        <is>
          <t>[PRORRATEO 1.3% 1.93há/148.3há] O/001523 MANGUERA E</t>
        </is>
      </c>
      <c r="M3066" s="232" t="inlineStr"/>
      <c r="N3066" s="232" t="inlineStr">
        <is>
          <t>.   .   -</t>
        </is>
      </c>
      <c r="O3066" s="232" t="inlineStr">
        <is>
          <t>MARZO</t>
        </is>
      </c>
      <c r="P3066" s="232" t="n">
        <v>13</v>
      </c>
      <c r="Q3066" s="234" t="n">
        <v>755</v>
      </c>
      <c r="R3066" s="232" t="inlineStr"/>
      <c r="S3066" s="234" t="n">
        <v>755</v>
      </c>
      <c r="T3066" s="232" t="inlineStr">
        <is>
          <t>CLP</t>
        </is>
      </c>
      <c r="U3066" s="232" t="inlineStr">
        <is>
          <t>Prorrateo Ha PACKING</t>
        </is>
      </c>
      <c r="V3066" s="232" t="inlineStr">
        <is>
          <t>2026-06-18</t>
        </is>
      </c>
    </row>
    <row r="3067">
      <c r="A3067" s="232" t="inlineStr">
        <is>
          <t>CR-3064</t>
        </is>
      </c>
      <c r="B3067" s="232" t="inlineStr">
        <is>
          <t>2026/27</t>
        </is>
      </c>
      <c r="C3067" s="233" t="n">
        <v>46112</v>
      </c>
      <c r="D3067" s="232" t="inlineStr">
        <is>
          <t>112168</t>
        </is>
      </c>
      <c r="E3067" s="232" t="inlineStr">
        <is>
          <t>PRORRATEO</t>
        </is>
      </c>
      <c r="F3067" s="232" t="inlineStr">
        <is>
          <t>Santa Catalina</t>
        </is>
      </c>
      <c r="G3067" s="232" t="inlineStr">
        <is>
          <t>mant eureka 2,5 ha</t>
        </is>
      </c>
      <c r="H3067" s="232" t="inlineStr">
        <is>
          <t>Limon</t>
        </is>
      </c>
      <c r="I3067" s="232" t="inlineStr">
        <is>
          <t>Eureka</t>
        </is>
      </c>
      <c r="J3067" s="232" t="inlineStr">
        <is>
          <t>MATERIALES COSECHA</t>
        </is>
      </c>
      <c r="K3067" s="232" t="inlineStr">
        <is>
          <t>MATERIAL COSECHA EXPORTACION</t>
        </is>
      </c>
      <c r="L3067" s="232" t="inlineStr">
        <is>
          <t>[PRORRATEO 1.7% 2.5há/148.3há] O/001523 MANGUERA E</t>
        </is>
      </c>
      <c r="M3067" s="232" t="inlineStr"/>
      <c r="N3067" s="232" t="inlineStr">
        <is>
          <t>.   .   -</t>
        </is>
      </c>
      <c r="O3067" s="232" t="inlineStr">
        <is>
          <t>MARZO</t>
        </is>
      </c>
      <c r="P3067" s="232" t="n">
        <v>13</v>
      </c>
      <c r="Q3067" s="234" t="n">
        <v>978</v>
      </c>
      <c r="R3067" s="232" t="inlineStr"/>
      <c r="S3067" s="234" t="n">
        <v>978</v>
      </c>
      <c r="T3067" s="232" t="inlineStr">
        <is>
          <t>CLP</t>
        </is>
      </c>
      <c r="U3067" s="232" t="inlineStr">
        <is>
          <t>Prorrateo Ha PACKING</t>
        </is>
      </c>
      <c r="V3067" s="232" t="inlineStr">
        <is>
          <t>2026-06-18</t>
        </is>
      </c>
    </row>
    <row r="3068">
      <c r="A3068" s="232" t="inlineStr">
        <is>
          <t>CR-3065</t>
        </is>
      </c>
      <c r="B3068" s="232" t="inlineStr">
        <is>
          <t>2026/27</t>
        </is>
      </c>
      <c r="C3068" s="233" t="n">
        <v>46112</v>
      </c>
      <c r="D3068" s="232" t="inlineStr">
        <is>
          <t>112168</t>
        </is>
      </c>
      <c r="E3068" s="232" t="inlineStr">
        <is>
          <t>PRORRATEO</t>
        </is>
      </c>
      <c r="F3068" s="232" t="inlineStr">
        <is>
          <t>Siberia</t>
        </is>
      </c>
      <c r="G3068" s="232" t="inlineStr">
        <is>
          <t>S. Celebration 7,14</t>
        </is>
      </c>
      <c r="H3068" s="232" t="inlineStr">
        <is>
          <t>Uvas</t>
        </is>
      </c>
      <c r="I3068" s="232" t="inlineStr">
        <is>
          <t>S. celebration</t>
        </is>
      </c>
      <c r="J3068" s="232" t="inlineStr">
        <is>
          <t>MATERIALES COSECHA</t>
        </is>
      </c>
      <c r="K3068" s="232" t="inlineStr">
        <is>
          <t>MATERIAL COSECHA EXPORTACION</t>
        </is>
      </c>
      <c r="L3068" s="232" t="inlineStr">
        <is>
          <t>[PRORRATEO 4.8% 7.14há/148.3há] O/001523 MANGUERA E</t>
        </is>
      </c>
      <c r="M3068" s="232" t="inlineStr"/>
      <c r="N3068" s="232" t="inlineStr">
        <is>
          <t>.   .   -</t>
        </is>
      </c>
      <c r="O3068" s="232" t="inlineStr">
        <is>
          <t>MARZO</t>
        </is>
      </c>
      <c r="P3068" s="232" t="n">
        <v>13</v>
      </c>
      <c r="Q3068" s="234" t="n">
        <v>2792</v>
      </c>
      <c r="R3068" s="232" t="inlineStr"/>
      <c r="S3068" s="234" t="n">
        <v>2792</v>
      </c>
      <c r="T3068" s="232" t="inlineStr">
        <is>
          <t>CLP</t>
        </is>
      </c>
      <c r="U3068" s="232" t="inlineStr">
        <is>
          <t>Prorrateo Ha PACKING</t>
        </is>
      </c>
      <c r="V3068" s="232" t="inlineStr">
        <is>
          <t>2026-06-18</t>
        </is>
      </c>
    </row>
    <row r="3069">
      <c r="A3069" s="232" t="inlineStr">
        <is>
          <t>CR-3066</t>
        </is>
      </c>
      <c r="B3069" s="232" t="inlineStr">
        <is>
          <t>2026/27</t>
        </is>
      </c>
      <c r="C3069" s="233" t="n">
        <v>46112</v>
      </c>
      <c r="D3069" s="232" t="inlineStr">
        <is>
          <t>112168</t>
        </is>
      </c>
      <c r="E3069" s="232" t="inlineStr">
        <is>
          <t>PRORRATEO</t>
        </is>
      </c>
      <c r="F3069" s="232" t="inlineStr">
        <is>
          <t>Siberia</t>
        </is>
      </c>
      <c r="G3069" s="232" t="inlineStr">
        <is>
          <t>Timpson 7,1</t>
        </is>
      </c>
      <c r="H3069" s="232" t="inlineStr">
        <is>
          <t>Uvas</t>
        </is>
      </c>
      <c r="I3069" s="232" t="inlineStr">
        <is>
          <t>Timpson</t>
        </is>
      </c>
      <c r="J3069" s="232" t="inlineStr">
        <is>
          <t>MATERIALES COSECHA</t>
        </is>
      </c>
      <c r="K3069" s="232" t="inlineStr">
        <is>
          <t>MATERIAL COSECHA EXPORTACION</t>
        </is>
      </c>
      <c r="L3069" s="232" t="inlineStr">
        <is>
          <t>[PRORRATEO 4.8% 7.1há/148.3há] O/001523 MANGUERA E</t>
        </is>
      </c>
      <c r="M3069" s="232" t="inlineStr"/>
      <c r="N3069" s="232" t="inlineStr">
        <is>
          <t>.   .   -</t>
        </is>
      </c>
      <c r="O3069" s="232" t="inlineStr">
        <is>
          <t>MARZO</t>
        </is>
      </c>
      <c r="P3069" s="232" t="n">
        <v>13</v>
      </c>
      <c r="Q3069" s="234" t="n">
        <v>2777</v>
      </c>
      <c r="R3069" s="232" t="inlineStr"/>
      <c r="S3069" s="234" t="n">
        <v>2777</v>
      </c>
      <c r="T3069" s="232" t="inlineStr">
        <is>
          <t>CLP</t>
        </is>
      </c>
      <c r="U3069" s="232" t="inlineStr">
        <is>
          <t>Prorrateo Ha PACKING</t>
        </is>
      </c>
      <c r="V3069" s="232" t="inlineStr">
        <is>
          <t>2026-06-18</t>
        </is>
      </c>
    </row>
    <row r="3070">
      <c r="A3070" s="232" t="inlineStr">
        <is>
          <t>CR-3067</t>
        </is>
      </c>
      <c r="B3070" s="232" t="inlineStr">
        <is>
          <t>2026/27</t>
        </is>
      </c>
      <c r="C3070" s="233" t="n">
        <v>46112</v>
      </c>
      <c r="D3070" s="232" t="inlineStr">
        <is>
          <t>112168</t>
        </is>
      </c>
      <c r="E3070" s="232" t="inlineStr">
        <is>
          <t>PRORRATEO</t>
        </is>
      </c>
      <c r="F3070" s="232" t="inlineStr">
        <is>
          <t>Asmara</t>
        </is>
      </c>
      <c r="G3070" s="232" t="inlineStr">
        <is>
          <t>w. murcott 19,8 ha</t>
        </is>
      </c>
      <c r="H3070" s="232" t="inlineStr">
        <is>
          <t>Mandarina</t>
        </is>
      </c>
      <c r="I3070" s="232" t="inlineStr">
        <is>
          <t>W. murcott</t>
        </is>
      </c>
      <c r="J3070" s="232" t="inlineStr">
        <is>
          <t>MATERIALES COSECHA</t>
        </is>
      </c>
      <c r="K3070" s="232" t="inlineStr">
        <is>
          <t>MATERIAL COSECHA EXPORTACION</t>
        </is>
      </c>
      <c r="L3070" s="232" t="inlineStr">
        <is>
          <t>[PRORRATEO 13.4% 19.8há/148.3há] O/001523 PISTOLA MU</t>
        </is>
      </c>
      <c r="M3070" s="232" t="inlineStr"/>
      <c r="N3070" s="232" t="inlineStr">
        <is>
          <t>.   .   -</t>
        </is>
      </c>
      <c r="O3070" s="232" t="inlineStr">
        <is>
          <t>MARZO</t>
        </is>
      </c>
      <c r="P3070" s="232" t="n">
        <v>13</v>
      </c>
      <c r="Q3070" s="234" t="n">
        <v>7183</v>
      </c>
      <c r="R3070" s="232" t="inlineStr"/>
      <c r="S3070" s="234" t="n">
        <v>7183</v>
      </c>
      <c r="T3070" s="232" t="inlineStr">
        <is>
          <t>CLP</t>
        </is>
      </c>
      <c r="U3070" s="232" t="inlineStr">
        <is>
          <t>Prorrateo Ha PACKING</t>
        </is>
      </c>
      <c r="V3070" s="232" t="inlineStr">
        <is>
          <t>2026-06-18</t>
        </is>
      </c>
    </row>
    <row r="3071">
      <c r="A3071" s="232" t="inlineStr">
        <is>
          <t>CR-3068</t>
        </is>
      </c>
      <c r="B3071" s="232" t="inlineStr">
        <is>
          <t>2026/27</t>
        </is>
      </c>
      <c r="C3071" s="233" t="n">
        <v>46112</v>
      </c>
      <c r="D3071" s="232" t="inlineStr">
        <is>
          <t>112168</t>
        </is>
      </c>
      <c r="E3071" s="232" t="inlineStr">
        <is>
          <t>PRORRATEO</t>
        </is>
      </c>
      <c r="F3071" s="232" t="inlineStr">
        <is>
          <t>Asmara</t>
        </is>
      </c>
      <c r="G3071" s="232" t="inlineStr">
        <is>
          <t>w. murcott 4,9 ha</t>
        </is>
      </c>
      <c r="H3071" s="232" t="inlineStr">
        <is>
          <t>Mandarina</t>
        </is>
      </c>
      <c r="I3071" s="232" t="inlineStr">
        <is>
          <t>W. murcott</t>
        </is>
      </c>
      <c r="J3071" s="232" t="inlineStr">
        <is>
          <t>MATERIALES COSECHA</t>
        </is>
      </c>
      <c r="K3071" s="232" t="inlineStr">
        <is>
          <t>MATERIAL COSECHA EXPORTACION</t>
        </is>
      </c>
      <c r="L3071" s="232" t="inlineStr">
        <is>
          <t>[PRORRATEO 3.3% 4.9há/148.3há] O/001523 PISTOLA MU</t>
        </is>
      </c>
      <c r="M3071" s="232" t="inlineStr"/>
      <c r="N3071" s="232" t="inlineStr">
        <is>
          <t>.   .   -</t>
        </is>
      </c>
      <c r="O3071" s="232" t="inlineStr">
        <is>
          <t>MARZO</t>
        </is>
      </c>
      <c r="P3071" s="232" t="n">
        <v>13</v>
      </c>
      <c r="Q3071" s="234" t="n">
        <v>1778</v>
      </c>
      <c r="R3071" s="232" t="inlineStr"/>
      <c r="S3071" s="234" t="n">
        <v>1778</v>
      </c>
      <c r="T3071" s="232" t="inlineStr">
        <is>
          <t>CLP</t>
        </is>
      </c>
      <c r="U3071" s="232" t="inlineStr">
        <is>
          <t>Prorrateo Ha PACKING</t>
        </is>
      </c>
      <c r="V3071" s="232" t="inlineStr">
        <is>
          <t>2026-06-18</t>
        </is>
      </c>
    </row>
    <row r="3072">
      <c r="A3072" s="232" t="inlineStr">
        <is>
          <t>CR-3069</t>
        </is>
      </c>
      <c r="B3072" s="232" t="inlineStr">
        <is>
          <t>2026/27</t>
        </is>
      </c>
      <c r="C3072" s="233" t="n">
        <v>46112</v>
      </c>
      <c r="D3072" s="232" t="inlineStr">
        <is>
          <t>112168</t>
        </is>
      </c>
      <c r="E3072" s="232" t="inlineStr">
        <is>
          <t>PRORRATEO</t>
        </is>
      </c>
      <c r="F3072" s="232" t="inlineStr">
        <is>
          <t>El Molle</t>
        </is>
      </c>
      <c r="G3072" s="232" t="inlineStr">
        <is>
          <t>Wonderful 5,25 ha</t>
        </is>
      </c>
      <c r="H3072" s="232" t="inlineStr">
        <is>
          <t>Granados</t>
        </is>
      </c>
      <c r="I3072" s="232" t="inlineStr">
        <is>
          <t>Wonderfull</t>
        </is>
      </c>
      <c r="J3072" s="232" t="inlineStr">
        <is>
          <t>MATERIALES COSECHA</t>
        </is>
      </c>
      <c r="K3072" s="232" t="inlineStr">
        <is>
          <t>MATERIAL COSECHA EXPORTACION</t>
        </is>
      </c>
      <c r="L3072" s="232" t="inlineStr">
        <is>
          <t>[PRORRATEO 3.5% 5.24há/148.3há] O/001523 PISTOLA MU</t>
        </is>
      </c>
      <c r="M3072" s="232" t="inlineStr"/>
      <c r="N3072" s="232" t="inlineStr">
        <is>
          <t>.   .   -</t>
        </is>
      </c>
      <c r="O3072" s="232" t="inlineStr">
        <is>
          <t>MARZO</t>
        </is>
      </c>
      <c r="P3072" s="232" t="n">
        <v>13</v>
      </c>
      <c r="Q3072" s="234" t="n">
        <v>1901</v>
      </c>
      <c r="R3072" s="232" t="inlineStr"/>
      <c r="S3072" s="234" t="n">
        <v>1901</v>
      </c>
      <c r="T3072" s="232" t="inlineStr">
        <is>
          <t>CLP</t>
        </is>
      </c>
      <c r="U3072" s="232" t="inlineStr">
        <is>
          <t>Prorrateo Ha PACKING</t>
        </is>
      </c>
      <c r="V3072" s="232" t="inlineStr">
        <is>
          <t>2026-06-18</t>
        </is>
      </c>
    </row>
    <row r="3073">
      <c r="A3073" s="232" t="inlineStr">
        <is>
          <t>CR-3070</t>
        </is>
      </c>
      <c r="B3073" s="232" t="inlineStr">
        <is>
          <t>2026/27</t>
        </is>
      </c>
      <c r="C3073" s="233" t="n">
        <v>46112</v>
      </c>
      <c r="D3073" s="232" t="inlineStr">
        <is>
          <t>112168</t>
        </is>
      </c>
      <c r="E3073" s="232" t="inlineStr">
        <is>
          <t>PRORRATEO</t>
        </is>
      </c>
      <c r="F3073" s="232" t="inlineStr">
        <is>
          <t>El Molle</t>
        </is>
      </c>
      <c r="G3073" s="232" t="inlineStr">
        <is>
          <t>arrufatinas 5,74 ha</t>
        </is>
      </c>
      <c r="H3073" s="232" t="inlineStr">
        <is>
          <t>Clementinas</t>
        </is>
      </c>
      <c r="I3073" s="232" t="inlineStr">
        <is>
          <t>Arrufatinas</t>
        </is>
      </c>
      <c r="J3073" s="232" t="inlineStr">
        <is>
          <t>MATERIALES COSECHA</t>
        </is>
      </c>
      <c r="K3073" s="232" t="inlineStr">
        <is>
          <t>MATERIAL COSECHA EXPORTACION</t>
        </is>
      </c>
      <c r="L3073" s="232" t="inlineStr">
        <is>
          <t>[PRORRATEO 3.9% 5.74há/148.3há] O/001523 PISTOLA MU</t>
        </is>
      </c>
      <c r="M3073" s="232" t="inlineStr"/>
      <c r="N3073" s="232" t="inlineStr">
        <is>
          <t>.   .   -</t>
        </is>
      </c>
      <c r="O3073" s="232" t="inlineStr">
        <is>
          <t>MARZO</t>
        </is>
      </c>
      <c r="P3073" s="232" t="n">
        <v>13</v>
      </c>
      <c r="Q3073" s="234" t="n">
        <v>2082</v>
      </c>
      <c r="R3073" s="232" t="inlineStr"/>
      <c r="S3073" s="234" t="n">
        <v>2082</v>
      </c>
      <c r="T3073" s="232" t="inlineStr">
        <is>
          <t>CLP</t>
        </is>
      </c>
      <c r="U3073" s="232" t="inlineStr">
        <is>
          <t>Prorrateo Ha PACKING</t>
        </is>
      </c>
      <c r="V3073" s="232" t="inlineStr">
        <is>
          <t>2026-06-18</t>
        </is>
      </c>
    </row>
    <row r="3074">
      <c r="A3074" s="232" t="inlineStr">
        <is>
          <t>CR-3071</t>
        </is>
      </c>
      <c r="B3074" s="232" t="inlineStr">
        <is>
          <t>2026/27</t>
        </is>
      </c>
      <c r="C3074" s="233" t="n">
        <v>46112</v>
      </c>
      <c r="D3074" s="232" t="inlineStr">
        <is>
          <t>112168</t>
        </is>
      </c>
      <c r="E3074" s="232" t="inlineStr">
        <is>
          <t>PRORRATEO</t>
        </is>
      </c>
      <c r="F3074" s="232" t="inlineStr">
        <is>
          <t>El Molle</t>
        </is>
      </c>
      <c r="G3074" s="232" t="inlineStr">
        <is>
          <t>orogrande 8,11 ha</t>
        </is>
      </c>
      <c r="H3074" s="232" t="inlineStr">
        <is>
          <t>Clementinas</t>
        </is>
      </c>
      <c r="I3074" s="232" t="inlineStr">
        <is>
          <t>Orogrande</t>
        </is>
      </c>
      <c r="J3074" s="232" t="inlineStr">
        <is>
          <t>MATERIALES COSECHA</t>
        </is>
      </c>
      <c r="K3074" s="232" t="inlineStr">
        <is>
          <t>MATERIAL COSECHA EXPORTACION</t>
        </is>
      </c>
      <c r="L3074" s="232" t="inlineStr">
        <is>
          <t>[PRORRATEO 5.5% 8.11há/148.3há] O/001523 PISTOLA MU</t>
        </is>
      </c>
      <c r="M3074" s="232" t="inlineStr"/>
      <c r="N3074" s="232" t="inlineStr">
        <is>
          <t>.   .   -</t>
        </is>
      </c>
      <c r="O3074" s="232" t="inlineStr">
        <is>
          <t>MARZO</t>
        </is>
      </c>
      <c r="P3074" s="232" t="n">
        <v>13</v>
      </c>
      <c r="Q3074" s="234" t="n">
        <v>2942</v>
      </c>
      <c r="R3074" s="232" t="inlineStr"/>
      <c r="S3074" s="234" t="n">
        <v>2942</v>
      </c>
      <c r="T3074" s="232" t="inlineStr">
        <is>
          <t>CLP</t>
        </is>
      </c>
      <c r="U3074" s="232" t="inlineStr">
        <is>
          <t>Prorrateo Ha PACKING</t>
        </is>
      </c>
      <c r="V3074" s="232" t="inlineStr">
        <is>
          <t>2026-06-18</t>
        </is>
      </c>
    </row>
    <row r="3075">
      <c r="A3075" s="232" t="inlineStr">
        <is>
          <t>CR-3072</t>
        </is>
      </c>
      <c r="B3075" s="232" t="inlineStr">
        <is>
          <t>2026/27</t>
        </is>
      </c>
      <c r="C3075" s="233" t="n">
        <v>46112</v>
      </c>
      <c r="D3075" s="232" t="inlineStr">
        <is>
          <t>112168</t>
        </is>
      </c>
      <c r="E3075" s="232" t="inlineStr">
        <is>
          <t>PRORRATEO</t>
        </is>
      </c>
      <c r="F3075" s="232" t="inlineStr">
        <is>
          <t>El Molle</t>
        </is>
      </c>
      <c r="G3075" s="232" t="inlineStr">
        <is>
          <t>oronules 5,35 ha</t>
        </is>
      </c>
      <c r="H3075" s="232" t="inlineStr">
        <is>
          <t>Clementinas</t>
        </is>
      </c>
      <c r="I3075" s="232" t="inlineStr">
        <is>
          <t>Oronules</t>
        </is>
      </c>
      <c r="J3075" s="232" t="inlineStr">
        <is>
          <t>MATERIALES COSECHA</t>
        </is>
      </c>
      <c r="K3075" s="232" t="inlineStr">
        <is>
          <t>MATERIAL COSECHA EXPORTACION</t>
        </is>
      </c>
      <c r="L3075" s="232" t="inlineStr">
        <is>
          <t>[PRORRATEO 3.6% 5.35há/148.3há] O/001523 PISTOLA MU</t>
        </is>
      </c>
      <c r="M3075" s="232" t="inlineStr"/>
      <c r="N3075" s="232" t="inlineStr">
        <is>
          <t>.   .   -</t>
        </is>
      </c>
      <c r="O3075" s="232" t="inlineStr">
        <is>
          <t>MARZO</t>
        </is>
      </c>
      <c r="P3075" s="232" t="n">
        <v>13</v>
      </c>
      <c r="Q3075" s="234" t="n">
        <v>1941</v>
      </c>
      <c r="R3075" s="232" t="inlineStr"/>
      <c r="S3075" s="234" t="n">
        <v>1941</v>
      </c>
      <c r="T3075" s="232" t="inlineStr">
        <is>
          <t>CLP</t>
        </is>
      </c>
      <c r="U3075" s="232" t="inlineStr">
        <is>
          <t>Prorrateo Ha PACKING</t>
        </is>
      </c>
      <c r="V3075" s="232" t="inlineStr">
        <is>
          <t>2026-06-18</t>
        </is>
      </c>
    </row>
    <row r="3076">
      <c r="A3076" s="232" t="inlineStr">
        <is>
          <t>CR-3073</t>
        </is>
      </c>
      <c r="B3076" s="232" t="inlineStr">
        <is>
          <t>2026/27</t>
        </is>
      </c>
      <c r="C3076" s="233" t="n">
        <v>46112</v>
      </c>
      <c r="D3076" s="232" t="inlineStr">
        <is>
          <t>112168</t>
        </is>
      </c>
      <c r="E3076" s="232" t="inlineStr">
        <is>
          <t>PRORRATEO</t>
        </is>
      </c>
      <c r="F3076" s="232" t="inlineStr">
        <is>
          <t>Santa Catalina</t>
        </is>
      </c>
      <c r="G3076" s="232" t="inlineStr">
        <is>
          <t>Fino 49 7,7 ha</t>
        </is>
      </c>
      <c r="H3076" s="232" t="inlineStr">
        <is>
          <t>Limon</t>
        </is>
      </c>
      <c r="I3076" s="232" t="inlineStr">
        <is>
          <t>Fino 49</t>
        </is>
      </c>
      <c r="J3076" s="232" t="inlineStr">
        <is>
          <t>MATERIALES COSECHA</t>
        </is>
      </c>
      <c r="K3076" s="232" t="inlineStr">
        <is>
          <t>MATERIAL COSECHA EXPORTACION</t>
        </is>
      </c>
      <c r="L3076" s="232" t="inlineStr">
        <is>
          <t>[PRORRATEO 5.2% 7.7há/148.3há] O/001523 PISTOLA MU</t>
        </is>
      </c>
      <c r="M3076" s="232" t="inlineStr"/>
      <c r="N3076" s="232" t="inlineStr">
        <is>
          <t>.   .   -</t>
        </is>
      </c>
      <c r="O3076" s="232" t="inlineStr">
        <is>
          <t>MARZO</t>
        </is>
      </c>
      <c r="P3076" s="232" t="n">
        <v>13</v>
      </c>
      <c r="Q3076" s="234" t="n">
        <v>2793</v>
      </c>
      <c r="R3076" s="232" t="inlineStr"/>
      <c r="S3076" s="234" t="n">
        <v>2793</v>
      </c>
      <c r="T3076" s="232" t="inlineStr">
        <is>
          <t>CLP</t>
        </is>
      </c>
      <c r="U3076" s="232" t="inlineStr">
        <is>
          <t>Prorrateo Ha PACKING</t>
        </is>
      </c>
      <c r="V3076" s="232" t="inlineStr">
        <is>
          <t>2026-06-18</t>
        </is>
      </c>
    </row>
    <row r="3077">
      <c r="A3077" s="232" t="inlineStr">
        <is>
          <t>CR-3074</t>
        </is>
      </c>
      <c r="B3077" s="232" t="inlineStr">
        <is>
          <t>2026/27</t>
        </is>
      </c>
      <c r="C3077" s="233" t="n">
        <v>46112</v>
      </c>
      <c r="D3077" s="232" t="inlineStr">
        <is>
          <t>112168</t>
        </is>
      </c>
      <c r="E3077" s="232" t="inlineStr">
        <is>
          <t>PRORRATEO</t>
        </is>
      </c>
      <c r="F3077" s="232" t="inlineStr">
        <is>
          <t>Santa Catalina</t>
        </is>
      </c>
      <c r="G3077" s="232" t="inlineStr">
        <is>
          <t>W. murcott 21 ha</t>
        </is>
      </c>
      <c r="H3077" s="232" t="inlineStr">
        <is>
          <t>Mandarina</t>
        </is>
      </c>
      <c r="I3077" s="232" t="inlineStr">
        <is>
          <t>W. murcott</t>
        </is>
      </c>
      <c r="J3077" s="232" t="inlineStr">
        <is>
          <t>MATERIALES COSECHA</t>
        </is>
      </c>
      <c r="K3077" s="232" t="inlineStr">
        <is>
          <t>MATERIAL COSECHA EXPORTACION</t>
        </is>
      </c>
      <c r="L3077" s="232" t="inlineStr">
        <is>
          <t>[PRORRATEO 14.2% 21.0há/148.3há] O/001523 PISTOLA MU</t>
        </is>
      </c>
      <c r="M3077" s="232" t="inlineStr"/>
      <c r="N3077" s="232" t="inlineStr">
        <is>
          <t>.   .   -</t>
        </is>
      </c>
      <c r="O3077" s="232" t="inlineStr">
        <is>
          <t>MARZO</t>
        </is>
      </c>
      <c r="P3077" s="232" t="n">
        <v>13</v>
      </c>
      <c r="Q3077" s="234" t="n">
        <v>7618</v>
      </c>
      <c r="R3077" s="232" t="inlineStr"/>
      <c r="S3077" s="234" t="n">
        <v>7618</v>
      </c>
      <c r="T3077" s="232" t="inlineStr">
        <is>
          <t>CLP</t>
        </is>
      </c>
      <c r="U3077" s="232" t="inlineStr">
        <is>
          <t>Prorrateo Ha PACKING</t>
        </is>
      </c>
      <c r="V3077" s="232" t="inlineStr">
        <is>
          <t>2026-06-18</t>
        </is>
      </c>
    </row>
    <row r="3078">
      <c r="A3078" s="232" t="inlineStr">
        <is>
          <t>CR-3075</t>
        </is>
      </c>
      <c r="B3078" s="232" t="inlineStr">
        <is>
          <t>2026/27</t>
        </is>
      </c>
      <c r="C3078" s="233" t="n">
        <v>46112</v>
      </c>
      <c r="D3078" s="232" t="inlineStr">
        <is>
          <t>112168</t>
        </is>
      </c>
      <c r="E3078" s="232" t="inlineStr">
        <is>
          <t>PRORRATEO</t>
        </is>
      </c>
      <c r="F3078" s="232" t="inlineStr">
        <is>
          <t>Santa Catalina</t>
        </is>
      </c>
      <c r="G3078" s="232" t="inlineStr">
        <is>
          <t>cambria 4,2 ha</t>
        </is>
      </c>
      <c r="H3078" s="232" t="inlineStr">
        <is>
          <t>Naranjas</t>
        </is>
      </c>
      <c r="I3078" s="232" t="inlineStr">
        <is>
          <t>Cambria</t>
        </is>
      </c>
      <c r="J3078" s="232" t="inlineStr">
        <is>
          <t>MATERIALES COSECHA</t>
        </is>
      </c>
      <c r="K3078" s="232" t="inlineStr">
        <is>
          <t>MATERIAL COSECHA EXPORTACION</t>
        </is>
      </c>
      <c r="L3078" s="232" t="inlineStr">
        <is>
          <t>[PRORRATEO 2.8% 4.2há/148.3há] O/001523 PISTOLA MU</t>
        </is>
      </c>
      <c r="M3078" s="232" t="inlineStr"/>
      <c r="N3078" s="232" t="inlineStr">
        <is>
          <t>.   .   -</t>
        </is>
      </c>
      <c r="O3078" s="232" t="inlineStr">
        <is>
          <t>MARZO</t>
        </is>
      </c>
      <c r="P3078" s="232" t="n">
        <v>13</v>
      </c>
      <c r="Q3078" s="234" t="n">
        <v>1524</v>
      </c>
      <c r="R3078" s="232" t="inlineStr"/>
      <c r="S3078" s="234" t="n">
        <v>1524</v>
      </c>
      <c r="T3078" s="232" t="inlineStr">
        <is>
          <t>CLP</t>
        </is>
      </c>
      <c r="U3078" s="232" t="inlineStr">
        <is>
          <t>Prorrateo Ha PACKING</t>
        </is>
      </c>
      <c r="V3078" s="232" t="inlineStr">
        <is>
          <t>2026-06-18</t>
        </is>
      </c>
    </row>
    <row r="3079">
      <c r="A3079" s="232" t="inlineStr">
        <is>
          <t>CR-3076</t>
        </is>
      </c>
      <c r="B3079" s="232" t="inlineStr">
        <is>
          <t>2026/27</t>
        </is>
      </c>
      <c r="C3079" s="233" t="n">
        <v>46112</v>
      </c>
      <c r="D3079" s="232" t="inlineStr">
        <is>
          <t>112168</t>
        </is>
      </c>
      <c r="E3079" s="232" t="inlineStr">
        <is>
          <t>PRORRATEO</t>
        </is>
      </c>
      <c r="F3079" s="232" t="inlineStr">
        <is>
          <t>Santa Catalina</t>
        </is>
      </c>
      <c r="G3079" s="232" t="inlineStr">
        <is>
          <t>eureka 10,6 ha</t>
        </is>
      </c>
      <c r="H3079" s="232" t="inlineStr">
        <is>
          <t>Limon</t>
        </is>
      </c>
      <c r="I3079" s="232" t="inlineStr">
        <is>
          <t>Eureka</t>
        </is>
      </c>
      <c r="J3079" s="232" t="inlineStr">
        <is>
          <t>MATERIALES COSECHA</t>
        </is>
      </c>
      <c r="K3079" s="232" t="inlineStr">
        <is>
          <t>MATERIAL COSECHA EXPORTACION</t>
        </is>
      </c>
      <c r="L3079" s="232" t="inlineStr">
        <is>
          <t>[PRORRATEO 7.1% 10.6há/148.3há] O/001523 PISTOLA MU</t>
        </is>
      </c>
      <c r="M3079" s="232" t="inlineStr"/>
      <c r="N3079" s="232" t="inlineStr">
        <is>
          <t>.   .   -</t>
        </is>
      </c>
      <c r="O3079" s="232" t="inlineStr">
        <is>
          <t>MARZO</t>
        </is>
      </c>
      <c r="P3079" s="232" t="n">
        <v>13</v>
      </c>
      <c r="Q3079" s="234" t="n">
        <v>3845</v>
      </c>
      <c r="R3079" s="232" t="inlineStr"/>
      <c r="S3079" s="234" t="n">
        <v>3845</v>
      </c>
      <c r="T3079" s="232" t="inlineStr">
        <is>
          <t>CLP</t>
        </is>
      </c>
      <c r="U3079" s="232" t="inlineStr">
        <is>
          <t>Prorrateo Ha PACKING</t>
        </is>
      </c>
      <c r="V3079" s="232" t="inlineStr">
        <is>
          <t>2026-06-18</t>
        </is>
      </c>
    </row>
    <row r="3080">
      <c r="A3080" s="232" t="inlineStr">
        <is>
          <t>CR-3077</t>
        </is>
      </c>
      <c r="B3080" s="232" t="inlineStr">
        <is>
          <t>2026/27</t>
        </is>
      </c>
      <c r="C3080" s="233" t="n">
        <v>46112</v>
      </c>
      <c r="D3080" s="232" t="inlineStr">
        <is>
          <t>112168</t>
        </is>
      </c>
      <c r="E3080" s="232" t="inlineStr">
        <is>
          <t>PRORRATEO</t>
        </is>
      </c>
      <c r="F3080" s="232" t="inlineStr">
        <is>
          <t>Santa Catalina</t>
        </is>
      </c>
      <c r="G3080" s="232" t="inlineStr">
        <is>
          <t>eureka 14,4 ha</t>
        </is>
      </c>
      <c r="H3080" s="232" t="inlineStr">
        <is>
          <t>Limon</t>
        </is>
      </c>
      <c r="I3080" s="232" t="inlineStr">
        <is>
          <t>Eureka</t>
        </is>
      </c>
      <c r="J3080" s="232" t="inlineStr">
        <is>
          <t>MATERIALES COSECHA</t>
        </is>
      </c>
      <c r="K3080" s="232" t="inlineStr">
        <is>
          <t>MATERIAL COSECHA EXPORTACION</t>
        </is>
      </c>
      <c r="L3080" s="232" t="inlineStr">
        <is>
          <t>[PRORRATEO 9.7% 14.4há/148.3há] O/001523 PISTOLA MU</t>
        </is>
      </c>
      <c r="M3080" s="232" t="inlineStr"/>
      <c r="N3080" s="232" t="inlineStr">
        <is>
          <t>.   .   -</t>
        </is>
      </c>
      <c r="O3080" s="232" t="inlineStr">
        <is>
          <t>MARZO</t>
        </is>
      </c>
      <c r="P3080" s="232" t="n">
        <v>13</v>
      </c>
      <c r="Q3080" s="234" t="n">
        <v>5224</v>
      </c>
      <c r="R3080" s="232" t="inlineStr"/>
      <c r="S3080" s="234" t="n">
        <v>5224</v>
      </c>
      <c r="T3080" s="232" t="inlineStr">
        <is>
          <t>CLP</t>
        </is>
      </c>
      <c r="U3080" s="232" t="inlineStr">
        <is>
          <t>Prorrateo Ha PACKING</t>
        </is>
      </c>
      <c r="V3080" s="232" t="inlineStr">
        <is>
          <t>2026-06-18</t>
        </is>
      </c>
    </row>
    <row r="3081">
      <c r="A3081" s="232" t="inlineStr">
        <is>
          <t>CR-3078</t>
        </is>
      </c>
      <c r="B3081" s="232" t="inlineStr">
        <is>
          <t>2026/27</t>
        </is>
      </c>
      <c r="C3081" s="233" t="n">
        <v>46112</v>
      </c>
      <c r="D3081" s="232" t="inlineStr">
        <is>
          <t>112168</t>
        </is>
      </c>
      <c r="E3081" s="232" t="inlineStr">
        <is>
          <t>PRORRATEO</t>
        </is>
      </c>
      <c r="F3081" s="232" t="inlineStr">
        <is>
          <t>Santa Catalina</t>
        </is>
      </c>
      <c r="G3081" s="232" t="inlineStr">
        <is>
          <t>eureka 22,55</t>
        </is>
      </c>
      <c r="H3081" s="232" t="inlineStr">
        <is>
          <t>Limon</t>
        </is>
      </c>
      <c r="I3081" s="232" t="inlineStr">
        <is>
          <t>Eureka</t>
        </is>
      </c>
      <c r="J3081" s="232" t="inlineStr">
        <is>
          <t>MATERIALES COSECHA</t>
        </is>
      </c>
      <c r="K3081" s="232" t="inlineStr">
        <is>
          <t>MATERIAL COSECHA EXPORTACION</t>
        </is>
      </c>
      <c r="L3081" s="232" t="inlineStr">
        <is>
          <t>[PRORRATEO 15.2% 22.55há/148.3há] O/001523 PISTOLA MU</t>
        </is>
      </c>
      <c r="M3081" s="232" t="inlineStr"/>
      <c r="N3081" s="232" t="inlineStr">
        <is>
          <t>.   .   -</t>
        </is>
      </c>
      <c r="O3081" s="232" t="inlineStr">
        <is>
          <t>MARZO</t>
        </is>
      </c>
      <c r="P3081" s="232" t="n">
        <v>13</v>
      </c>
      <c r="Q3081" s="234" t="n">
        <v>8180</v>
      </c>
      <c r="R3081" s="232" t="inlineStr"/>
      <c r="S3081" s="234" t="n">
        <v>8180</v>
      </c>
      <c r="T3081" s="232" t="inlineStr">
        <is>
          <t>CLP</t>
        </is>
      </c>
      <c r="U3081" s="232" t="inlineStr">
        <is>
          <t>Prorrateo Ha PACKING</t>
        </is>
      </c>
      <c r="V3081" s="232" t="inlineStr">
        <is>
          <t>2026-06-18</t>
        </is>
      </c>
    </row>
    <row r="3082">
      <c r="A3082" s="232" t="inlineStr">
        <is>
          <t>CR-3079</t>
        </is>
      </c>
      <c r="B3082" s="232" t="inlineStr">
        <is>
          <t>2026/27</t>
        </is>
      </c>
      <c r="C3082" s="233" t="n">
        <v>46112</v>
      </c>
      <c r="D3082" s="232" t="inlineStr">
        <is>
          <t>112168</t>
        </is>
      </c>
      <c r="E3082" s="232" t="inlineStr">
        <is>
          <t>PRORRATEO</t>
        </is>
      </c>
      <c r="F3082" s="232" t="inlineStr">
        <is>
          <t>Santa Catalina</t>
        </is>
      </c>
      <c r="G3082" s="232" t="inlineStr">
        <is>
          <t>form benjamin 1,93 ha</t>
        </is>
      </c>
      <c r="H3082" s="232" t="inlineStr">
        <is>
          <t>Limon</t>
        </is>
      </c>
      <c r="I3082" s="232" t="inlineStr">
        <is>
          <t>Benjamin andes</t>
        </is>
      </c>
      <c r="J3082" s="232" t="inlineStr">
        <is>
          <t>MATERIALES COSECHA</t>
        </is>
      </c>
      <c r="K3082" s="232" t="inlineStr">
        <is>
          <t>MATERIAL COSECHA EXPORTACION</t>
        </is>
      </c>
      <c r="L3082" s="232" t="inlineStr">
        <is>
          <t>[PRORRATEO 1.3% 1.93há/148.3há] O/001523 PISTOLA MU</t>
        </is>
      </c>
      <c r="M3082" s="232" t="inlineStr"/>
      <c r="N3082" s="232" t="inlineStr">
        <is>
          <t>.   .   -</t>
        </is>
      </c>
      <c r="O3082" s="232" t="inlineStr">
        <is>
          <t>MARZO</t>
        </is>
      </c>
      <c r="P3082" s="232" t="n">
        <v>13</v>
      </c>
      <c r="Q3082" s="234" t="n">
        <v>700</v>
      </c>
      <c r="R3082" s="232" t="inlineStr"/>
      <c r="S3082" s="234" t="n">
        <v>700</v>
      </c>
      <c r="T3082" s="232" t="inlineStr">
        <is>
          <t>CLP</t>
        </is>
      </c>
      <c r="U3082" s="232" t="inlineStr">
        <is>
          <t>Prorrateo Ha PACKING</t>
        </is>
      </c>
      <c r="V3082" s="232" t="inlineStr">
        <is>
          <t>2026-06-18</t>
        </is>
      </c>
    </row>
    <row r="3083">
      <c r="A3083" s="232" t="inlineStr">
        <is>
          <t>CR-3080</t>
        </is>
      </c>
      <c r="B3083" s="232" t="inlineStr">
        <is>
          <t>2026/27</t>
        </is>
      </c>
      <c r="C3083" s="233" t="n">
        <v>46112</v>
      </c>
      <c r="D3083" s="232" t="inlineStr">
        <is>
          <t>112168</t>
        </is>
      </c>
      <c r="E3083" s="232" t="inlineStr">
        <is>
          <t>PRORRATEO</t>
        </is>
      </c>
      <c r="F3083" s="232" t="inlineStr">
        <is>
          <t>Santa Catalina</t>
        </is>
      </c>
      <c r="G3083" s="232" t="inlineStr">
        <is>
          <t>mant eureka 2,5 ha</t>
        </is>
      </c>
      <c r="H3083" s="232" t="inlineStr">
        <is>
          <t>Limon</t>
        </is>
      </c>
      <c r="I3083" s="232" t="inlineStr">
        <is>
          <t>Eureka</t>
        </is>
      </c>
      <c r="J3083" s="232" t="inlineStr">
        <is>
          <t>MATERIALES COSECHA</t>
        </is>
      </c>
      <c r="K3083" s="232" t="inlineStr">
        <is>
          <t>MATERIAL COSECHA EXPORTACION</t>
        </is>
      </c>
      <c r="L3083" s="232" t="inlineStr">
        <is>
          <t>[PRORRATEO 1.7% 2.5há/148.3há] O/001523 PISTOLA MU</t>
        </is>
      </c>
      <c r="M3083" s="232" t="inlineStr"/>
      <c r="N3083" s="232" t="inlineStr">
        <is>
          <t>.   .   -</t>
        </is>
      </c>
      <c r="O3083" s="232" t="inlineStr">
        <is>
          <t>MARZO</t>
        </is>
      </c>
      <c r="P3083" s="232" t="n">
        <v>13</v>
      </c>
      <c r="Q3083" s="234" t="n">
        <v>907</v>
      </c>
      <c r="R3083" s="232" t="inlineStr"/>
      <c r="S3083" s="234" t="n">
        <v>907</v>
      </c>
      <c r="T3083" s="232" t="inlineStr">
        <is>
          <t>CLP</t>
        </is>
      </c>
      <c r="U3083" s="232" t="inlineStr">
        <is>
          <t>Prorrateo Ha PACKING</t>
        </is>
      </c>
      <c r="V3083" s="232" t="inlineStr">
        <is>
          <t>2026-06-18</t>
        </is>
      </c>
    </row>
    <row r="3084">
      <c r="A3084" s="232" t="inlineStr">
        <is>
          <t>CR-3081</t>
        </is>
      </c>
      <c r="B3084" s="232" t="inlineStr">
        <is>
          <t>2026/27</t>
        </is>
      </c>
      <c r="C3084" s="233" t="n">
        <v>46112</v>
      </c>
      <c r="D3084" s="232" t="inlineStr">
        <is>
          <t>112168</t>
        </is>
      </c>
      <c r="E3084" s="232" t="inlineStr">
        <is>
          <t>PRORRATEO</t>
        </is>
      </c>
      <c r="F3084" s="232" t="inlineStr">
        <is>
          <t>Siberia</t>
        </is>
      </c>
      <c r="G3084" s="232" t="inlineStr">
        <is>
          <t>S. Celebration 7,14</t>
        </is>
      </c>
      <c r="H3084" s="232" t="inlineStr">
        <is>
          <t>Uvas</t>
        </is>
      </c>
      <c r="I3084" s="232" t="inlineStr">
        <is>
          <t>S. celebration</t>
        </is>
      </c>
      <c r="J3084" s="232" t="inlineStr">
        <is>
          <t>MATERIALES COSECHA</t>
        </is>
      </c>
      <c r="K3084" s="232" t="inlineStr">
        <is>
          <t>MATERIAL COSECHA EXPORTACION</t>
        </is>
      </c>
      <c r="L3084" s="232" t="inlineStr">
        <is>
          <t>[PRORRATEO 4.8% 7.14há/148.3há] O/001523 PISTOLA MU</t>
        </is>
      </c>
      <c r="M3084" s="232" t="inlineStr"/>
      <c r="N3084" s="232" t="inlineStr">
        <is>
          <t>.   .   -</t>
        </is>
      </c>
      <c r="O3084" s="232" t="inlineStr">
        <is>
          <t>MARZO</t>
        </is>
      </c>
      <c r="P3084" s="232" t="n">
        <v>13</v>
      </c>
      <c r="Q3084" s="234" t="n">
        <v>2590</v>
      </c>
      <c r="R3084" s="232" t="inlineStr"/>
      <c r="S3084" s="234" t="n">
        <v>2590</v>
      </c>
      <c r="T3084" s="232" t="inlineStr">
        <is>
          <t>CLP</t>
        </is>
      </c>
      <c r="U3084" s="232" t="inlineStr">
        <is>
          <t>Prorrateo Ha PACKING</t>
        </is>
      </c>
      <c r="V3084" s="232" t="inlineStr">
        <is>
          <t>2026-06-18</t>
        </is>
      </c>
    </row>
    <row r="3085">
      <c r="A3085" s="232" t="inlineStr">
        <is>
          <t>CR-3082</t>
        </is>
      </c>
      <c r="B3085" s="232" t="inlineStr">
        <is>
          <t>2026/27</t>
        </is>
      </c>
      <c r="C3085" s="233" t="n">
        <v>46112</v>
      </c>
      <c r="D3085" s="232" t="inlineStr">
        <is>
          <t>112168</t>
        </is>
      </c>
      <c r="E3085" s="232" t="inlineStr">
        <is>
          <t>PRORRATEO</t>
        </is>
      </c>
      <c r="F3085" s="232" t="inlineStr">
        <is>
          <t>Siberia</t>
        </is>
      </c>
      <c r="G3085" s="232" t="inlineStr">
        <is>
          <t>Timpson 7,1</t>
        </is>
      </c>
      <c r="H3085" s="232" t="inlineStr">
        <is>
          <t>Uvas</t>
        </is>
      </c>
      <c r="I3085" s="232" t="inlineStr">
        <is>
          <t>Timpson</t>
        </is>
      </c>
      <c r="J3085" s="232" t="inlineStr">
        <is>
          <t>MATERIALES COSECHA</t>
        </is>
      </c>
      <c r="K3085" s="232" t="inlineStr">
        <is>
          <t>MATERIAL COSECHA EXPORTACION</t>
        </is>
      </c>
      <c r="L3085" s="232" t="inlineStr">
        <is>
          <t>[PRORRATEO 4.8% 7.1há/148.3há] O/001523 PISTOLA MU</t>
        </is>
      </c>
      <c r="M3085" s="232" t="inlineStr"/>
      <c r="N3085" s="232" t="inlineStr">
        <is>
          <t>.   .   -</t>
        </is>
      </c>
      <c r="O3085" s="232" t="inlineStr">
        <is>
          <t>MARZO</t>
        </is>
      </c>
      <c r="P3085" s="232" t="n">
        <v>13</v>
      </c>
      <c r="Q3085" s="234" t="n">
        <v>2576</v>
      </c>
      <c r="R3085" s="232" t="inlineStr"/>
      <c r="S3085" s="234" t="n">
        <v>2576</v>
      </c>
      <c r="T3085" s="232" t="inlineStr">
        <is>
          <t>CLP</t>
        </is>
      </c>
      <c r="U3085" s="232" t="inlineStr">
        <is>
          <t>Prorrateo Ha PACKING</t>
        </is>
      </c>
      <c r="V3085" s="232" t="inlineStr">
        <is>
          <t>2026-06-18</t>
        </is>
      </c>
    </row>
    <row r="3086">
      <c r="A3086" s="232" t="inlineStr">
        <is>
          <t>CR-3083</t>
        </is>
      </c>
      <c r="B3086" s="232" t="inlineStr">
        <is>
          <t>2026/27</t>
        </is>
      </c>
      <c r="C3086" s="233" t="n">
        <v>46112</v>
      </c>
      <c r="D3086" s="232" t="inlineStr">
        <is>
          <t>112168</t>
        </is>
      </c>
      <c r="E3086" s="232" t="inlineStr">
        <is>
          <t>PRORRATEO</t>
        </is>
      </c>
      <c r="F3086" s="232" t="inlineStr">
        <is>
          <t>Asmara</t>
        </is>
      </c>
      <c r="G3086" s="232" t="inlineStr">
        <is>
          <t>w. murcott 19,8 ha</t>
        </is>
      </c>
      <c r="H3086" s="232" t="inlineStr">
        <is>
          <t>Mandarina</t>
        </is>
      </c>
      <c r="I3086" s="232" t="inlineStr">
        <is>
          <t>W. murcott</t>
        </is>
      </c>
      <c r="J3086" s="232" t="inlineStr">
        <is>
          <t>MATERIALES COSECHA</t>
        </is>
      </c>
      <c r="K3086" s="232" t="inlineStr">
        <is>
          <t>MATERIAL COSECHA EXPORTACION</t>
        </is>
      </c>
      <c r="L3086" s="232" t="inlineStr">
        <is>
          <t>[PRORRATEO 13.4% 19.8há/148.3há] O/001523 UNION HEMB</t>
        </is>
      </c>
      <c r="M3086" s="232" t="inlineStr"/>
      <c r="N3086" s="232" t="inlineStr">
        <is>
          <t>.   .   -</t>
        </is>
      </c>
      <c r="O3086" s="232" t="inlineStr">
        <is>
          <t>MARZO</t>
        </is>
      </c>
      <c r="P3086" s="232" t="n">
        <v>13</v>
      </c>
      <c r="Q3086" s="234" t="n">
        <v>4601</v>
      </c>
      <c r="R3086" s="232" t="inlineStr"/>
      <c r="S3086" s="234" t="n">
        <v>4601</v>
      </c>
      <c r="T3086" s="232" t="inlineStr">
        <is>
          <t>CLP</t>
        </is>
      </c>
      <c r="U3086" s="232" t="inlineStr">
        <is>
          <t>Prorrateo Ha PACKING</t>
        </is>
      </c>
      <c r="V3086" s="232" t="inlineStr">
        <is>
          <t>2026-06-18</t>
        </is>
      </c>
    </row>
    <row r="3087">
      <c r="A3087" s="232" t="inlineStr">
        <is>
          <t>CR-3084</t>
        </is>
      </c>
      <c r="B3087" s="232" t="inlineStr">
        <is>
          <t>2026/27</t>
        </is>
      </c>
      <c r="C3087" s="233" t="n">
        <v>46112</v>
      </c>
      <c r="D3087" s="232" t="inlineStr">
        <is>
          <t>112168</t>
        </is>
      </c>
      <c r="E3087" s="232" t="inlineStr">
        <is>
          <t>PRORRATEO</t>
        </is>
      </c>
      <c r="F3087" s="232" t="inlineStr">
        <is>
          <t>Asmara</t>
        </is>
      </c>
      <c r="G3087" s="232" t="inlineStr">
        <is>
          <t>w. murcott 4,9 ha</t>
        </is>
      </c>
      <c r="H3087" s="232" t="inlineStr">
        <is>
          <t>Mandarina</t>
        </is>
      </c>
      <c r="I3087" s="232" t="inlineStr">
        <is>
          <t>W. murcott</t>
        </is>
      </c>
      <c r="J3087" s="232" t="inlineStr">
        <is>
          <t>MATERIALES COSECHA</t>
        </is>
      </c>
      <c r="K3087" s="232" t="inlineStr">
        <is>
          <t>MATERIAL COSECHA EXPORTACION</t>
        </is>
      </c>
      <c r="L3087" s="232" t="inlineStr">
        <is>
          <t>[PRORRATEO 3.3% 4.9há/148.3há] O/001523 UNION HEMB</t>
        </is>
      </c>
      <c r="M3087" s="232" t="inlineStr"/>
      <c r="N3087" s="232" t="inlineStr">
        <is>
          <t>.   .   -</t>
        </is>
      </c>
      <c r="O3087" s="232" t="inlineStr">
        <is>
          <t>MARZO</t>
        </is>
      </c>
      <c r="P3087" s="232" t="n">
        <v>13</v>
      </c>
      <c r="Q3087" s="234" t="n">
        <v>1139</v>
      </c>
      <c r="R3087" s="232" t="inlineStr"/>
      <c r="S3087" s="234" t="n">
        <v>1139</v>
      </c>
      <c r="T3087" s="232" t="inlineStr">
        <is>
          <t>CLP</t>
        </is>
      </c>
      <c r="U3087" s="232" t="inlineStr">
        <is>
          <t>Prorrateo Ha PACKING</t>
        </is>
      </c>
      <c r="V3087" s="232" t="inlineStr">
        <is>
          <t>2026-06-18</t>
        </is>
      </c>
    </row>
    <row r="3088">
      <c r="A3088" s="232" t="inlineStr">
        <is>
          <t>CR-3085</t>
        </is>
      </c>
      <c r="B3088" s="232" t="inlineStr">
        <is>
          <t>2026/27</t>
        </is>
      </c>
      <c r="C3088" s="233" t="n">
        <v>46112</v>
      </c>
      <c r="D3088" s="232" t="inlineStr">
        <is>
          <t>112168</t>
        </is>
      </c>
      <c r="E3088" s="232" t="inlineStr">
        <is>
          <t>PRORRATEO</t>
        </is>
      </c>
      <c r="F3088" s="232" t="inlineStr">
        <is>
          <t>El Molle</t>
        </is>
      </c>
      <c r="G3088" s="232" t="inlineStr">
        <is>
          <t>Wonderful 5,25 ha</t>
        </is>
      </c>
      <c r="H3088" s="232" t="inlineStr">
        <is>
          <t>Granados</t>
        </is>
      </c>
      <c r="I3088" s="232" t="inlineStr">
        <is>
          <t>Wonderfull</t>
        </is>
      </c>
      <c r="J3088" s="232" t="inlineStr">
        <is>
          <t>MATERIALES COSECHA</t>
        </is>
      </c>
      <c r="K3088" s="232" t="inlineStr">
        <is>
          <t>MATERIAL COSECHA EXPORTACION</t>
        </is>
      </c>
      <c r="L3088" s="232" t="inlineStr">
        <is>
          <t>[PRORRATEO 3.5% 5.24há/148.3há] O/001523 UNION HEMB</t>
        </is>
      </c>
      <c r="M3088" s="232" t="inlineStr"/>
      <c r="N3088" s="232" t="inlineStr">
        <is>
          <t>.   .   -</t>
        </is>
      </c>
      <c r="O3088" s="232" t="inlineStr">
        <is>
          <t>MARZO</t>
        </is>
      </c>
      <c r="P3088" s="232" t="n">
        <v>13</v>
      </c>
      <c r="Q3088" s="234" t="n">
        <v>1218</v>
      </c>
      <c r="R3088" s="232" t="inlineStr"/>
      <c r="S3088" s="234" t="n">
        <v>1218</v>
      </c>
      <c r="T3088" s="232" t="inlineStr">
        <is>
          <t>CLP</t>
        </is>
      </c>
      <c r="U3088" s="232" t="inlineStr">
        <is>
          <t>Prorrateo Ha PACKING</t>
        </is>
      </c>
      <c r="V3088" s="232" t="inlineStr">
        <is>
          <t>2026-06-18</t>
        </is>
      </c>
    </row>
    <row r="3089">
      <c r="A3089" s="232" t="inlineStr">
        <is>
          <t>CR-3086</t>
        </is>
      </c>
      <c r="B3089" s="232" t="inlineStr">
        <is>
          <t>2026/27</t>
        </is>
      </c>
      <c r="C3089" s="233" t="n">
        <v>46112</v>
      </c>
      <c r="D3089" s="232" t="inlineStr">
        <is>
          <t>112168</t>
        </is>
      </c>
      <c r="E3089" s="232" t="inlineStr">
        <is>
          <t>PRORRATEO</t>
        </is>
      </c>
      <c r="F3089" s="232" t="inlineStr">
        <is>
          <t>El Molle</t>
        </is>
      </c>
      <c r="G3089" s="232" t="inlineStr">
        <is>
          <t>arrufatinas 5,74 ha</t>
        </is>
      </c>
      <c r="H3089" s="232" t="inlineStr">
        <is>
          <t>Clementinas</t>
        </is>
      </c>
      <c r="I3089" s="232" t="inlineStr">
        <is>
          <t>Arrufatinas</t>
        </is>
      </c>
      <c r="J3089" s="232" t="inlineStr">
        <is>
          <t>MATERIALES COSECHA</t>
        </is>
      </c>
      <c r="K3089" s="232" t="inlineStr">
        <is>
          <t>MATERIAL COSECHA EXPORTACION</t>
        </is>
      </c>
      <c r="L3089" s="232" t="inlineStr">
        <is>
          <t>[PRORRATEO 3.9% 5.74há/148.3há] O/001523 UNION HEMB</t>
        </is>
      </c>
      <c r="M3089" s="232" t="inlineStr"/>
      <c r="N3089" s="232" t="inlineStr">
        <is>
          <t>.   .   -</t>
        </is>
      </c>
      <c r="O3089" s="232" t="inlineStr">
        <is>
          <t>MARZO</t>
        </is>
      </c>
      <c r="P3089" s="232" t="n">
        <v>13</v>
      </c>
      <c r="Q3089" s="234" t="n">
        <v>1334</v>
      </c>
      <c r="R3089" s="232" t="inlineStr"/>
      <c r="S3089" s="234" t="n">
        <v>1334</v>
      </c>
      <c r="T3089" s="232" t="inlineStr">
        <is>
          <t>CLP</t>
        </is>
      </c>
      <c r="U3089" s="232" t="inlineStr">
        <is>
          <t>Prorrateo Ha PACKING</t>
        </is>
      </c>
      <c r="V3089" s="232" t="inlineStr">
        <is>
          <t>2026-06-18</t>
        </is>
      </c>
    </row>
    <row r="3090">
      <c r="A3090" s="232" t="inlineStr">
        <is>
          <t>CR-3087</t>
        </is>
      </c>
      <c r="B3090" s="232" t="inlineStr">
        <is>
          <t>2026/27</t>
        </is>
      </c>
      <c r="C3090" s="233" t="n">
        <v>46112</v>
      </c>
      <c r="D3090" s="232" t="inlineStr">
        <is>
          <t>112168</t>
        </is>
      </c>
      <c r="E3090" s="232" t="inlineStr">
        <is>
          <t>PRORRATEO</t>
        </is>
      </c>
      <c r="F3090" s="232" t="inlineStr">
        <is>
          <t>El Molle</t>
        </is>
      </c>
      <c r="G3090" s="232" t="inlineStr">
        <is>
          <t>orogrande 8,11 ha</t>
        </is>
      </c>
      <c r="H3090" s="232" t="inlineStr">
        <is>
          <t>Clementinas</t>
        </is>
      </c>
      <c r="I3090" s="232" t="inlineStr">
        <is>
          <t>Orogrande</t>
        </is>
      </c>
      <c r="J3090" s="232" t="inlineStr">
        <is>
          <t>MATERIALES COSECHA</t>
        </is>
      </c>
      <c r="K3090" s="232" t="inlineStr">
        <is>
          <t>MATERIAL COSECHA EXPORTACION</t>
        </is>
      </c>
      <c r="L3090" s="232" t="inlineStr">
        <is>
          <t>[PRORRATEO 5.5% 8.11há/148.3há] O/001523 UNION HEMB</t>
        </is>
      </c>
      <c r="M3090" s="232" t="inlineStr"/>
      <c r="N3090" s="232" t="inlineStr">
        <is>
          <t>.   .   -</t>
        </is>
      </c>
      <c r="O3090" s="232" t="inlineStr">
        <is>
          <t>MARZO</t>
        </is>
      </c>
      <c r="P3090" s="232" t="n">
        <v>13</v>
      </c>
      <c r="Q3090" s="234" t="n">
        <v>1885</v>
      </c>
      <c r="R3090" s="232" t="inlineStr"/>
      <c r="S3090" s="234" t="n">
        <v>1885</v>
      </c>
      <c r="T3090" s="232" t="inlineStr">
        <is>
          <t>CLP</t>
        </is>
      </c>
      <c r="U3090" s="232" t="inlineStr">
        <is>
          <t>Prorrateo Ha PACKING</t>
        </is>
      </c>
      <c r="V3090" s="232" t="inlineStr">
        <is>
          <t>2026-06-18</t>
        </is>
      </c>
    </row>
    <row r="3091">
      <c r="A3091" s="232" t="inlineStr">
        <is>
          <t>CR-3088</t>
        </is>
      </c>
      <c r="B3091" s="232" t="inlineStr">
        <is>
          <t>2026/27</t>
        </is>
      </c>
      <c r="C3091" s="233" t="n">
        <v>46112</v>
      </c>
      <c r="D3091" s="232" t="inlineStr">
        <is>
          <t>112168</t>
        </is>
      </c>
      <c r="E3091" s="232" t="inlineStr">
        <is>
          <t>PRORRATEO</t>
        </is>
      </c>
      <c r="F3091" s="232" t="inlineStr">
        <is>
          <t>El Molle</t>
        </is>
      </c>
      <c r="G3091" s="232" t="inlineStr">
        <is>
          <t>oronules 5,35 ha</t>
        </is>
      </c>
      <c r="H3091" s="232" t="inlineStr">
        <is>
          <t>Clementinas</t>
        </is>
      </c>
      <c r="I3091" s="232" t="inlineStr">
        <is>
          <t>Oronules</t>
        </is>
      </c>
      <c r="J3091" s="232" t="inlineStr">
        <is>
          <t>MATERIALES COSECHA</t>
        </is>
      </c>
      <c r="K3091" s="232" t="inlineStr">
        <is>
          <t>MATERIAL COSECHA EXPORTACION</t>
        </is>
      </c>
      <c r="L3091" s="232" t="inlineStr">
        <is>
          <t>[PRORRATEO 3.6% 5.35há/148.3há] O/001523 UNION HEMB</t>
        </is>
      </c>
      <c r="M3091" s="232" t="inlineStr"/>
      <c r="N3091" s="232" t="inlineStr">
        <is>
          <t>.   .   -</t>
        </is>
      </c>
      <c r="O3091" s="232" t="inlineStr">
        <is>
          <t>MARZO</t>
        </is>
      </c>
      <c r="P3091" s="232" t="n">
        <v>13</v>
      </c>
      <c r="Q3091" s="234" t="n">
        <v>1243</v>
      </c>
      <c r="R3091" s="232" t="inlineStr"/>
      <c r="S3091" s="234" t="n">
        <v>1243</v>
      </c>
      <c r="T3091" s="232" t="inlineStr">
        <is>
          <t>CLP</t>
        </is>
      </c>
      <c r="U3091" s="232" t="inlineStr">
        <is>
          <t>Prorrateo Ha PACKING</t>
        </is>
      </c>
      <c r="V3091" s="232" t="inlineStr">
        <is>
          <t>2026-06-18</t>
        </is>
      </c>
    </row>
    <row r="3092">
      <c r="A3092" s="232" t="inlineStr">
        <is>
          <t>CR-3089</t>
        </is>
      </c>
      <c r="B3092" s="232" t="inlineStr">
        <is>
          <t>2026/27</t>
        </is>
      </c>
      <c r="C3092" s="233" t="n">
        <v>46112</v>
      </c>
      <c r="D3092" s="232" t="inlineStr">
        <is>
          <t>112168</t>
        </is>
      </c>
      <c r="E3092" s="232" t="inlineStr">
        <is>
          <t>PRORRATEO</t>
        </is>
      </c>
      <c r="F3092" s="232" t="inlineStr">
        <is>
          <t>Santa Catalina</t>
        </is>
      </c>
      <c r="G3092" s="232" t="inlineStr">
        <is>
          <t>Fino 49 7,7 ha</t>
        </is>
      </c>
      <c r="H3092" s="232" t="inlineStr">
        <is>
          <t>Limon</t>
        </is>
      </c>
      <c r="I3092" s="232" t="inlineStr">
        <is>
          <t>Fino 49</t>
        </is>
      </c>
      <c r="J3092" s="232" t="inlineStr">
        <is>
          <t>MATERIALES COSECHA</t>
        </is>
      </c>
      <c r="K3092" s="232" t="inlineStr">
        <is>
          <t>MATERIAL COSECHA EXPORTACION</t>
        </is>
      </c>
      <c r="L3092" s="232" t="inlineStr">
        <is>
          <t>[PRORRATEO 5.2% 7.7há/148.3há] O/001523 UNION HEMB</t>
        </is>
      </c>
      <c r="M3092" s="232" t="inlineStr"/>
      <c r="N3092" s="232" t="inlineStr">
        <is>
          <t>.   .   -</t>
        </is>
      </c>
      <c r="O3092" s="232" t="inlineStr">
        <is>
          <t>MARZO</t>
        </is>
      </c>
      <c r="P3092" s="232" t="n">
        <v>13</v>
      </c>
      <c r="Q3092" s="234" t="n">
        <v>1789</v>
      </c>
      <c r="R3092" s="232" t="inlineStr"/>
      <c r="S3092" s="234" t="n">
        <v>1789</v>
      </c>
      <c r="T3092" s="232" t="inlineStr">
        <is>
          <t>CLP</t>
        </is>
      </c>
      <c r="U3092" s="232" t="inlineStr">
        <is>
          <t>Prorrateo Ha PACKING</t>
        </is>
      </c>
      <c r="V3092" s="232" t="inlineStr">
        <is>
          <t>2026-06-18</t>
        </is>
      </c>
    </row>
    <row r="3093">
      <c r="A3093" s="232" t="inlineStr">
        <is>
          <t>CR-3090</t>
        </is>
      </c>
      <c r="B3093" s="232" t="inlineStr">
        <is>
          <t>2026/27</t>
        </is>
      </c>
      <c r="C3093" s="233" t="n">
        <v>46112</v>
      </c>
      <c r="D3093" s="232" t="inlineStr">
        <is>
          <t>112168</t>
        </is>
      </c>
      <c r="E3093" s="232" t="inlineStr">
        <is>
          <t>PRORRATEO</t>
        </is>
      </c>
      <c r="F3093" s="232" t="inlineStr">
        <is>
          <t>Santa Catalina</t>
        </is>
      </c>
      <c r="G3093" s="232" t="inlineStr">
        <is>
          <t>W. murcott 21 ha</t>
        </is>
      </c>
      <c r="H3093" s="232" t="inlineStr">
        <is>
          <t>Mandarina</t>
        </is>
      </c>
      <c r="I3093" s="232" t="inlineStr">
        <is>
          <t>W. murcott</t>
        </is>
      </c>
      <c r="J3093" s="232" t="inlineStr">
        <is>
          <t>MATERIALES COSECHA</t>
        </is>
      </c>
      <c r="K3093" s="232" t="inlineStr">
        <is>
          <t>MATERIAL COSECHA EXPORTACION</t>
        </is>
      </c>
      <c r="L3093" s="232" t="inlineStr">
        <is>
          <t>[PRORRATEO 14.2% 21.0há/148.3há] O/001523 UNION HEMB</t>
        </is>
      </c>
      <c r="M3093" s="232" t="inlineStr"/>
      <c r="N3093" s="232" t="inlineStr">
        <is>
          <t>.   .   -</t>
        </is>
      </c>
      <c r="O3093" s="232" t="inlineStr">
        <is>
          <t>MARZO</t>
        </is>
      </c>
      <c r="P3093" s="232" t="n">
        <v>13</v>
      </c>
      <c r="Q3093" s="234" t="n">
        <v>4880</v>
      </c>
      <c r="R3093" s="232" t="inlineStr"/>
      <c r="S3093" s="234" t="n">
        <v>4880</v>
      </c>
      <c r="T3093" s="232" t="inlineStr">
        <is>
          <t>CLP</t>
        </is>
      </c>
      <c r="U3093" s="232" t="inlineStr">
        <is>
          <t>Prorrateo Ha PACKING</t>
        </is>
      </c>
      <c r="V3093" s="232" t="inlineStr">
        <is>
          <t>2026-06-18</t>
        </is>
      </c>
    </row>
    <row r="3094">
      <c r="A3094" s="232" t="inlineStr">
        <is>
          <t>CR-3091</t>
        </is>
      </c>
      <c r="B3094" s="232" t="inlineStr">
        <is>
          <t>2026/27</t>
        </is>
      </c>
      <c r="C3094" s="233" t="n">
        <v>46112</v>
      </c>
      <c r="D3094" s="232" t="inlineStr">
        <is>
          <t>112168</t>
        </is>
      </c>
      <c r="E3094" s="232" t="inlineStr">
        <is>
          <t>PRORRATEO</t>
        </is>
      </c>
      <c r="F3094" s="232" t="inlineStr">
        <is>
          <t>Santa Catalina</t>
        </is>
      </c>
      <c r="G3094" s="232" t="inlineStr">
        <is>
          <t>cambria 4,2 ha</t>
        </is>
      </c>
      <c r="H3094" s="232" t="inlineStr">
        <is>
          <t>Naranjas</t>
        </is>
      </c>
      <c r="I3094" s="232" t="inlineStr">
        <is>
          <t>Cambria</t>
        </is>
      </c>
      <c r="J3094" s="232" t="inlineStr">
        <is>
          <t>MATERIALES COSECHA</t>
        </is>
      </c>
      <c r="K3094" s="232" t="inlineStr">
        <is>
          <t>MATERIAL COSECHA EXPORTACION</t>
        </is>
      </c>
      <c r="L3094" s="232" t="inlineStr">
        <is>
          <t>[PRORRATEO 2.8% 4.2há/148.3há] O/001523 UNION HEMB</t>
        </is>
      </c>
      <c r="M3094" s="232" t="inlineStr"/>
      <c r="N3094" s="232" t="inlineStr">
        <is>
          <t>.   .   -</t>
        </is>
      </c>
      <c r="O3094" s="232" t="inlineStr">
        <is>
          <t>MARZO</t>
        </is>
      </c>
      <c r="P3094" s="232" t="n">
        <v>13</v>
      </c>
      <c r="Q3094" s="234" t="n">
        <v>976</v>
      </c>
      <c r="R3094" s="232" t="inlineStr"/>
      <c r="S3094" s="234" t="n">
        <v>976</v>
      </c>
      <c r="T3094" s="232" t="inlineStr">
        <is>
          <t>CLP</t>
        </is>
      </c>
      <c r="U3094" s="232" t="inlineStr">
        <is>
          <t>Prorrateo Ha PACKING</t>
        </is>
      </c>
      <c r="V3094" s="232" t="inlineStr">
        <is>
          <t>2026-06-18</t>
        </is>
      </c>
    </row>
    <row r="3095">
      <c r="A3095" s="232" t="inlineStr">
        <is>
          <t>CR-3092</t>
        </is>
      </c>
      <c r="B3095" s="232" t="inlineStr">
        <is>
          <t>2026/27</t>
        </is>
      </c>
      <c r="C3095" s="233" t="n">
        <v>46112</v>
      </c>
      <c r="D3095" s="232" t="inlineStr">
        <is>
          <t>112168</t>
        </is>
      </c>
      <c r="E3095" s="232" t="inlineStr">
        <is>
          <t>PRORRATEO</t>
        </is>
      </c>
      <c r="F3095" s="232" t="inlineStr">
        <is>
          <t>Santa Catalina</t>
        </is>
      </c>
      <c r="G3095" s="232" t="inlineStr">
        <is>
          <t>eureka 10,6 ha</t>
        </is>
      </c>
      <c r="H3095" s="232" t="inlineStr">
        <is>
          <t>Limon</t>
        </is>
      </c>
      <c r="I3095" s="232" t="inlineStr">
        <is>
          <t>Eureka</t>
        </is>
      </c>
      <c r="J3095" s="232" t="inlineStr">
        <is>
          <t>MATERIALES COSECHA</t>
        </is>
      </c>
      <c r="K3095" s="232" t="inlineStr">
        <is>
          <t>MATERIAL COSECHA EXPORTACION</t>
        </is>
      </c>
      <c r="L3095" s="232" t="inlineStr">
        <is>
          <t>[PRORRATEO 7.1% 10.6há/148.3há] O/001523 UNION HEMB</t>
        </is>
      </c>
      <c r="M3095" s="232" t="inlineStr"/>
      <c r="N3095" s="232" t="inlineStr">
        <is>
          <t>.   .   -</t>
        </is>
      </c>
      <c r="O3095" s="232" t="inlineStr">
        <is>
          <t>MARZO</t>
        </is>
      </c>
      <c r="P3095" s="232" t="n">
        <v>13</v>
      </c>
      <c r="Q3095" s="234" t="n">
        <v>2463</v>
      </c>
      <c r="R3095" s="232" t="inlineStr"/>
      <c r="S3095" s="234" t="n">
        <v>2463</v>
      </c>
      <c r="T3095" s="232" t="inlineStr">
        <is>
          <t>CLP</t>
        </is>
      </c>
      <c r="U3095" s="232" t="inlineStr">
        <is>
          <t>Prorrateo Ha PACKING</t>
        </is>
      </c>
      <c r="V3095" s="232" t="inlineStr">
        <is>
          <t>2026-06-18</t>
        </is>
      </c>
    </row>
    <row r="3096">
      <c r="A3096" s="232" t="inlineStr">
        <is>
          <t>CR-3093</t>
        </is>
      </c>
      <c r="B3096" s="232" t="inlineStr">
        <is>
          <t>2026/27</t>
        </is>
      </c>
      <c r="C3096" s="233" t="n">
        <v>46112</v>
      </c>
      <c r="D3096" s="232" t="inlineStr">
        <is>
          <t>112168</t>
        </is>
      </c>
      <c r="E3096" s="232" t="inlineStr">
        <is>
          <t>PRORRATEO</t>
        </is>
      </c>
      <c r="F3096" s="232" t="inlineStr">
        <is>
          <t>Santa Catalina</t>
        </is>
      </c>
      <c r="G3096" s="232" t="inlineStr">
        <is>
          <t>eureka 14,4 ha</t>
        </is>
      </c>
      <c r="H3096" s="232" t="inlineStr">
        <is>
          <t>Limon</t>
        </is>
      </c>
      <c r="I3096" s="232" t="inlineStr">
        <is>
          <t>Eureka</t>
        </is>
      </c>
      <c r="J3096" s="232" t="inlineStr">
        <is>
          <t>MATERIALES COSECHA</t>
        </is>
      </c>
      <c r="K3096" s="232" t="inlineStr">
        <is>
          <t>MATERIAL COSECHA EXPORTACION</t>
        </is>
      </c>
      <c r="L3096" s="232" t="inlineStr">
        <is>
          <t>[PRORRATEO 9.7% 14.4há/148.3há] O/001523 UNION HEMB</t>
        </is>
      </c>
      <c r="M3096" s="232" t="inlineStr"/>
      <c r="N3096" s="232" t="inlineStr">
        <is>
          <t>.   .   -</t>
        </is>
      </c>
      <c r="O3096" s="232" t="inlineStr">
        <is>
          <t>MARZO</t>
        </is>
      </c>
      <c r="P3096" s="232" t="n">
        <v>13</v>
      </c>
      <c r="Q3096" s="234" t="n">
        <v>3346</v>
      </c>
      <c r="R3096" s="232" t="inlineStr"/>
      <c r="S3096" s="234" t="n">
        <v>3346</v>
      </c>
      <c r="T3096" s="232" t="inlineStr">
        <is>
          <t>CLP</t>
        </is>
      </c>
      <c r="U3096" s="232" t="inlineStr">
        <is>
          <t>Prorrateo Ha PACKING</t>
        </is>
      </c>
      <c r="V3096" s="232" t="inlineStr">
        <is>
          <t>2026-06-18</t>
        </is>
      </c>
    </row>
    <row r="3097">
      <c r="A3097" s="232" t="inlineStr">
        <is>
          <t>CR-3094</t>
        </is>
      </c>
      <c r="B3097" s="232" t="inlineStr">
        <is>
          <t>2026/27</t>
        </is>
      </c>
      <c r="C3097" s="233" t="n">
        <v>46112</v>
      </c>
      <c r="D3097" s="232" t="inlineStr">
        <is>
          <t>112168</t>
        </is>
      </c>
      <c r="E3097" s="232" t="inlineStr">
        <is>
          <t>PRORRATEO</t>
        </is>
      </c>
      <c r="F3097" s="232" t="inlineStr">
        <is>
          <t>Santa Catalina</t>
        </is>
      </c>
      <c r="G3097" s="232" t="inlineStr">
        <is>
          <t>eureka 22,55</t>
        </is>
      </c>
      <c r="H3097" s="232" t="inlineStr">
        <is>
          <t>Limon</t>
        </is>
      </c>
      <c r="I3097" s="232" t="inlineStr">
        <is>
          <t>Eureka</t>
        </is>
      </c>
      <c r="J3097" s="232" t="inlineStr">
        <is>
          <t>MATERIALES COSECHA</t>
        </is>
      </c>
      <c r="K3097" s="232" t="inlineStr">
        <is>
          <t>MATERIAL COSECHA EXPORTACION</t>
        </is>
      </c>
      <c r="L3097" s="232" t="inlineStr">
        <is>
          <t>[PRORRATEO 15.2% 22.55há/148.3há] O/001523 UNION HEMB</t>
        </is>
      </c>
      <c r="M3097" s="232" t="inlineStr"/>
      <c r="N3097" s="232" t="inlineStr">
        <is>
          <t>.   .   -</t>
        </is>
      </c>
      <c r="O3097" s="232" t="inlineStr">
        <is>
          <t>MARZO</t>
        </is>
      </c>
      <c r="P3097" s="232" t="n">
        <v>13</v>
      </c>
      <c r="Q3097" s="234" t="n">
        <v>5240</v>
      </c>
      <c r="R3097" s="232" t="inlineStr"/>
      <c r="S3097" s="234" t="n">
        <v>5240</v>
      </c>
      <c r="T3097" s="232" t="inlineStr">
        <is>
          <t>CLP</t>
        </is>
      </c>
      <c r="U3097" s="232" t="inlineStr">
        <is>
          <t>Prorrateo Ha PACKING</t>
        </is>
      </c>
      <c r="V3097" s="232" t="inlineStr">
        <is>
          <t>2026-06-18</t>
        </is>
      </c>
    </row>
    <row r="3098">
      <c r="A3098" s="232" t="inlineStr">
        <is>
          <t>CR-3095</t>
        </is>
      </c>
      <c r="B3098" s="232" t="inlineStr">
        <is>
          <t>2026/27</t>
        </is>
      </c>
      <c r="C3098" s="233" t="n">
        <v>46112</v>
      </c>
      <c r="D3098" s="232" t="inlineStr">
        <is>
          <t>112168</t>
        </is>
      </c>
      <c r="E3098" s="232" t="inlineStr">
        <is>
          <t>PRORRATEO</t>
        </is>
      </c>
      <c r="F3098" s="232" t="inlineStr">
        <is>
          <t>Santa Catalina</t>
        </is>
      </c>
      <c r="G3098" s="232" t="inlineStr">
        <is>
          <t>form benjamin 1,93 ha</t>
        </is>
      </c>
      <c r="H3098" s="232" t="inlineStr">
        <is>
          <t>Limon</t>
        </is>
      </c>
      <c r="I3098" s="232" t="inlineStr">
        <is>
          <t>Benjamin andes</t>
        </is>
      </c>
      <c r="J3098" s="232" t="inlineStr">
        <is>
          <t>MATERIALES COSECHA</t>
        </is>
      </c>
      <c r="K3098" s="232" t="inlineStr">
        <is>
          <t>MATERIAL COSECHA EXPORTACION</t>
        </is>
      </c>
      <c r="L3098" s="232" t="inlineStr">
        <is>
          <t>[PRORRATEO 1.3% 1.93há/148.3há] O/001523 UNION HEMB</t>
        </is>
      </c>
      <c r="M3098" s="232" t="inlineStr"/>
      <c r="N3098" s="232" t="inlineStr">
        <is>
          <t>.   .   -</t>
        </is>
      </c>
      <c r="O3098" s="232" t="inlineStr">
        <is>
          <t>MARZO</t>
        </is>
      </c>
      <c r="P3098" s="232" t="n">
        <v>13</v>
      </c>
      <c r="Q3098" s="234" t="n">
        <v>448</v>
      </c>
      <c r="R3098" s="232" t="inlineStr"/>
      <c r="S3098" s="234" t="n">
        <v>448</v>
      </c>
      <c r="T3098" s="232" t="inlineStr">
        <is>
          <t>CLP</t>
        </is>
      </c>
      <c r="U3098" s="232" t="inlineStr">
        <is>
          <t>Prorrateo Ha PACKING</t>
        </is>
      </c>
      <c r="V3098" s="232" t="inlineStr">
        <is>
          <t>2026-06-18</t>
        </is>
      </c>
    </row>
    <row r="3099">
      <c r="A3099" s="232" t="inlineStr">
        <is>
          <t>CR-3096</t>
        </is>
      </c>
      <c r="B3099" s="232" t="inlineStr">
        <is>
          <t>2026/27</t>
        </is>
      </c>
      <c r="C3099" s="233" t="n">
        <v>46112</v>
      </c>
      <c r="D3099" s="232" t="inlineStr">
        <is>
          <t>112168</t>
        </is>
      </c>
      <c r="E3099" s="232" t="inlineStr">
        <is>
          <t>PRORRATEO</t>
        </is>
      </c>
      <c r="F3099" s="232" t="inlineStr">
        <is>
          <t>Santa Catalina</t>
        </is>
      </c>
      <c r="G3099" s="232" t="inlineStr">
        <is>
          <t>mant eureka 2,5 ha</t>
        </is>
      </c>
      <c r="H3099" s="232" t="inlineStr">
        <is>
          <t>Limon</t>
        </is>
      </c>
      <c r="I3099" s="232" t="inlineStr">
        <is>
          <t>Eureka</t>
        </is>
      </c>
      <c r="J3099" s="232" t="inlineStr">
        <is>
          <t>MATERIALES COSECHA</t>
        </is>
      </c>
      <c r="K3099" s="232" t="inlineStr">
        <is>
          <t>MATERIAL COSECHA EXPORTACION</t>
        </is>
      </c>
      <c r="L3099" s="232" t="inlineStr">
        <is>
          <t>[PRORRATEO 1.7% 2.5há/148.3há] O/001523 UNION HEMB</t>
        </is>
      </c>
      <c r="M3099" s="232" t="inlineStr"/>
      <c r="N3099" s="232" t="inlineStr">
        <is>
          <t>.   .   -</t>
        </is>
      </c>
      <c r="O3099" s="232" t="inlineStr">
        <is>
          <t>MARZO</t>
        </is>
      </c>
      <c r="P3099" s="232" t="n">
        <v>13</v>
      </c>
      <c r="Q3099" s="234" t="n">
        <v>581</v>
      </c>
      <c r="R3099" s="232" t="inlineStr"/>
      <c r="S3099" s="234" t="n">
        <v>581</v>
      </c>
      <c r="T3099" s="232" t="inlineStr">
        <is>
          <t>CLP</t>
        </is>
      </c>
      <c r="U3099" s="232" t="inlineStr">
        <is>
          <t>Prorrateo Ha PACKING</t>
        </is>
      </c>
      <c r="V3099" s="232" t="inlineStr">
        <is>
          <t>2026-06-18</t>
        </is>
      </c>
    </row>
    <row r="3100">
      <c r="A3100" s="232" t="inlineStr">
        <is>
          <t>CR-3097</t>
        </is>
      </c>
      <c r="B3100" s="232" t="inlineStr">
        <is>
          <t>2026/27</t>
        </is>
      </c>
      <c r="C3100" s="233" t="n">
        <v>46112</v>
      </c>
      <c r="D3100" s="232" t="inlineStr">
        <is>
          <t>112168</t>
        </is>
      </c>
      <c r="E3100" s="232" t="inlineStr">
        <is>
          <t>PRORRATEO</t>
        </is>
      </c>
      <c r="F3100" s="232" t="inlineStr">
        <is>
          <t>Siberia</t>
        </is>
      </c>
      <c r="G3100" s="232" t="inlineStr">
        <is>
          <t>S. Celebration 7,14</t>
        </is>
      </c>
      <c r="H3100" s="232" t="inlineStr">
        <is>
          <t>Uvas</t>
        </is>
      </c>
      <c r="I3100" s="232" t="inlineStr">
        <is>
          <t>S. celebration</t>
        </is>
      </c>
      <c r="J3100" s="232" t="inlineStr">
        <is>
          <t>MATERIALES COSECHA</t>
        </is>
      </c>
      <c r="K3100" s="232" t="inlineStr">
        <is>
          <t>MATERIAL COSECHA EXPORTACION</t>
        </is>
      </c>
      <c r="L3100" s="232" t="inlineStr">
        <is>
          <t>[PRORRATEO 4.8% 7.14há/148.3há] O/001523 UNION HEMB</t>
        </is>
      </c>
      <c r="M3100" s="232" t="inlineStr"/>
      <c r="N3100" s="232" t="inlineStr">
        <is>
          <t>.   .   -</t>
        </is>
      </c>
      <c r="O3100" s="232" t="inlineStr">
        <is>
          <t>MARZO</t>
        </is>
      </c>
      <c r="P3100" s="232" t="n">
        <v>13</v>
      </c>
      <c r="Q3100" s="234" t="n">
        <v>1659</v>
      </c>
      <c r="R3100" s="232" t="inlineStr"/>
      <c r="S3100" s="234" t="n">
        <v>1659</v>
      </c>
      <c r="T3100" s="232" t="inlineStr">
        <is>
          <t>CLP</t>
        </is>
      </c>
      <c r="U3100" s="232" t="inlineStr">
        <is>
          <t>Prorrateo Ha PACKING</t>
        </is>
      </c>
      <c r="V3100" s="232" t="inlineStr">
        <is>
          <t>2026-06-18</t>
        </is>
      </c>
    </row>
    <row r="3101">
      <c r="A3101" s="232" t="inlineStr">
        <is>
          <t>CR-3098</t>
        </is>
      </c>
      <c r="B3101" s="232" t="inlineStr">
        <is>
          <t>2026/27</t>
        </is>
      </c>
      <c r="C3101" s="233" t="n">
        <v>46112</v>
      </c>
      <c r="D3101" s="232" t="inlineStr">
        <is>
          <t>112168</t>
        </is>
      </c>
      <c r="E3101" s="232" t="inlineStr">
        <is>
          <t>PRORRATEO</t>
        </is>
      </c>
      <c r="F3101" s="232" t="inlineStr">
        <is>
          <t>Siberia</t>
        </is>
      </c>
      <c r="G3101" s="232" t="inlineStr">
        <is>
          <t>Timpson 7,1</t>
        </is>
      </c>
      <c r="H3101" s="232" t="inlineStr">
        <is>
          <t>Uvas</t>
        </is>
      </c>
      <c r="I3101" s="232" t="inlineStr">
        <is>
          <t>Timpson</t>
        </is>
      </c>
      <c r="J3101" s="232" t="inlineStr">
        <is>
          <t>MATERIALES COSECHA</t>
        </is>
      </c>
      <c r="K3101" s="232" t="inlineStr">
        <is>
          <t>MATERIAL COSECHA EXPORTACION</t>
        </is>
      </c>
      <c r="L3101" s="232" t="inlineStr">
        <is>
          <t>[PRORRATEO 4.8% 7.1há/148.3há] O/001523 UNION HEMB</t>
        </is>
      </c>
      <c r="M3101" s="232" t="inlineStr"/>
      <c r="N3101" s="232" t="inlineStr">
        <is>
          <t>.   .   -</t>
        </is>
      </c>
      <c r="O3101" s="232" t="inlineStr">
        <is>
          <t>MARZO</t>
        </is>
      </c>
      <c r="P3101" s="232" t="n">
        <v>13</v>
      </c>
      <c r="Q3101" s="234" t="n">
        <v>1650</v>
      </c>
      <c r="R3101" s="232" t="inlineStr"/>
      <c r="S3101" s="234" t="n">
        <v>1650</v>
      </c>
      <c r="T3101" s="232" t="inlineStr">
        <is>
          <t>CLP</t>
        </is>
      </c>
      <c r="U3101" s="232" t="inlineStr">
        <is>
          <t>Prorrateo Ha PACKING</t>
        </is>
      </c>
      <c r="V3101" s="232" t="inlineStr">
        <is>
          <t>2026-06-18</t>
        </is>
      </c>
    </row>
    <row r="3102">
      <c r="A3102" s="232" t="inlineStr">
        <is>
          <t>CR-3099</t>
        </is>
      </c>
      <c r="B3102" s="232" t="inlineStr">
        <is>
          <t>2026/27</t>
        </is>
      </c>
      <c r="C3102" s="233" t="n">
        <v>46112</v>
      </c>
      <c r="D3102" s="232" t="inlineStr">
        <is>
          <t>442913</t>
        </is>
      </c>
      <c r="E3102" s="232" t="inlineStr">
        <is>
          <t>PRORRATEO</t>
        </is>
      </c>
      <c r="F3102" s="232" t="inlineStr">
        <is>
          <t>Asmara</t>
        </is>
      </c>
      <c r="G3102" s="232" t="inlineStr">
        <is>
          <t>w. murcott 19,8 ha</t>
        </is>
      </c>
      <c r="H3102" s="232" t="inlineStr">
        <is>
          <t>Mandarina</t>
        </is>
      </c>
      <c r="I3102" s="232" t="inlineStr">
        <is>
          <t>W. murcott</t>
        </is>
      </c>
      <c r="J3102" s="232" t="inlineStr">
        <is>
          <t>MANT. Y REP. PLANTACIONES</t>
        </is>
      </c>
      <c r="K3102" s="232" t="inlineStr">
        <is>
          <t>MANTENCION HUERTO</t>
        </is>
      </c>
      <c r="L3102" s="232" t="inlineStr">
        <is>
          <t>[PRORRATEO 13.4% 19.8há/148.3há] O/001549 RASCHEL 90</t>
        </is>
      </c>
      <c r="M3102" s="232" t="inlineStr"/>
      <c r="N3102" s="232" t="inlineStr">
        <is>
          <t>.   .   -</t>
        </is>
      </c>
      <c r="O3102" s="232" t="inlineStr">
        <is>
          <t>MARZO</t>
        </is>
      </c>
      <c r="P3102" s="232" t="n">
        <v>13</v>
      </c>
      <c r="Q3102" s="234" t="n">
        <v>23270</v>
      </c>
      <c r="R3102" s="232" t="inlineStr"/>
      <c r="S3102" s="234" t="n">
        <v>23270</v>
      </c>
      <c r="T3102" s="232" t="inlineStr">
        <is>
          <t>CLP</t>
        </is>
      </c>
      <c r="U3102" s="232" t="inlineStr">
        <is>
          <t>Prorrateo Ha PACKING</t>
        </is>
      </c>
      <c r="V3102" s="232" t="inlineStr">
        <is>
          <t>2026-06-18</t>
        </is>
      </c>
    </row>
    <row r="3103">
      <c r="A3103" s="232" t="inlineStr">
        <is>
          <t>CR-3100</t>
        </is>
      </c>
      <c r="B3103" s="232" t="inlineStr">
        <is>
          <t>2026/27</t>
        </is>
      </c>
      <c r="C3103" s="233" t="n">
        <v>46112</v>
      </c>
      <c r="D3103" s="232" t="inlineStr">
        <is>
          <t>442913</t>
        </is>
      </c>
      <c r="E3103" s="232" t="inlineStr">
        <is>
          <t>PRORRATEO</t>
        </is>
      </c>
      <c r="F3103" s="232" t="inlineStr">
        <is>
          <t>Asmara</t>
        </is>
      </c>
      <c r="G3103" s="232" t="inlineStr">
        <is>
          <t>w. murcott 4,9 ha</t>
        </is>
      </c>
      <c r="H3103" s="232" t="inlineStr">
        <is>
          <t>Mandarina</t>
        </is>
      </c>
      <c r="I3103" s="232" t="inlineStr">
        <is>
          <t>W. murcott</t>
        </is>
      </c>
      <c r="J3103" s="232" t="inlineStr">
        <is>
          <t>MANT. Y REP. PLANTACIONES</t>
        </is>
      </c>
      <c r="K3103" s="232" t="inlineStr">
        <is>
          <t>MANTENCION HUERTO</t>
        </is>
      </c>
      <c r="L3103" s="232" t="inlineStr">
        <is>
          <t>[PRORRATEO 3.3% 4.9há/148.3há] O/001549 RASCHEL 90</t>
        </is>
      </c>
      <c r="M3103" s="232" t="inlineStr"/>
      <c r="N3103" s="232" t="inlineStr">
        <is>
          <t>.   .   -</t>
        </is>
      </c>
      <c r="O3103" s="232" t="inlineStr">
        <is>
          <t>MARZO</t>
        </is>
      </c>
      <c r="P3103" s="232" t="n">
        <v>13</v>
      </c>
      <c r="Q3103" s="234" t="n">
        <v>5759</v>
      </c>
      <c r="R3103" s="232" t="inlineStr"/>
      <c r="S3103" s="234" t="n">
        <v>5759</v>
      </c>
      <c r="T3103" s="232" t="inlineStr">
        <is>
          <t>CLP</t>
        </is>
      </c>
      <c r="U3103" s="232" t="inlineStr">
        <is>
          <t>Prorrateo Ha PACKING</t>
        </is>
      </c>
      <c r="V3103" s="232" t="inlineStr">
        <is>
          <t>2026-06-18</t>
        </is>
      </c>
    </row>
    <row r="3104">
      <c r="A3104" s="232" t="inlineStr">
        <is>
          <t>CR-3101</t>
        </is>
      </c>
      <c r="B3104" s="232" t="inlineStr">
        <is>
          <t>2026/27</t>
        </is>
      </c>
      <c r="C3104" s="233" t="n">
        <v>46112</v>
      </c>
      <c r="D3104" s="232" t="inlineStr">
        <is>
          <t>442913</t>
        </is>
      </c>
      <c r="E3104" s="232" t="inlineStr">
        <is>
          <t>PRORRATEO</t>
        </is>
      </c>
      <c r="F3104" s="232" t="inlineStr">
        <is>
          <t>El Molle</t>
        </is>
      </c>
      <c r="G3104" s="232" t="inlineStr">
        <is>
          <t>Wonderful 5,25 ha</t>
        </is>
      </c>
      <c r="H3104" s="232" t="inlineStr">
        <is>
          <t>Granados</t>
        </is>
      </c>
      <c r="I3104" s="232" t="inlineStr">
        <is>
          <t>Wonderfull</t>
        </is>
      </c>
      <c r="J3104" s="232" t="inlineStr">
        <is>
          <t>MANT. Y REP. PLANTACIONES</t>
        </is>
      </c>
      <c r="K3104" s="232" t="inlineStr">
        <is>
          <t>MANTENCION HUERTO</t>
        </is>
      </c>
      <c r="L3104" s="232" t="inlineStr">
        <is>
          <t>[PRORRATEO 3.5% 5.24há/148.3há] O/001549 RASCHEL 90</t>
        </is>
      </c>
      <c r="M3104" s="232" t="inlineStr"/>
      <c r="N3104" s="232" t="inlineStr">
        <is>
          <t>.   .   -</t>
        </is>
      </c>
      <c r="O3104" s="232" t="inlineStr">
        <is>
          <t>MARZO</t>
        </is>
      </c>
      <c r="P3104" s="232" t="n">
        <v>13</v>
      </c>
      <c r="Q3104" s="234" t="n">
        <v>6158</v>
      </c>
      <c r="R3104" s="232" t="inlineStr"/>
      <c r="S3104" s="234" t="n">
        <v>6158</v>
      </c>
      <c r="T3104" s="232" t="inlineStr">
        <is>
          <t>CLP</t>
        </is>
      </c>
      <c r="U3104" s="232" t="inlineStr">
        <is>
          <t>Prorrateo Ha PACKING</t>
        </is>
      </c>
      <c r="V3104" s="232" t="inlineStr">
        <is>
          <t>2026-06-18</t>
        </is>
      </c>
    </row>
    <row r="3105">
      <c r="A3105" s="232" t="inlineStr">
        <is>
          <t>CR-3102</t>
        </is>
      </c>
      <c r="B3105" s="232" t="inlineStr">
        <is>
          <t>2026/27</t>
        </is>
      </c>
      <c r="C3105" s="233" t="n">
        <v>46112</v>
      </c>
      <c r="D3105" s="232" t="inlineStr">
        <is>
          <t>442913</t>
        </is>
      </c>
      <c r="E3105" s="232" t="inlineStr">
        <is>
          <t>PRORRATEO</t>
        </is>
      </c>
      <c r="F3105" s="232" t="inlineStr">
        <is>
          <t>El Molle</t>
        </is>
      </c>
      <c r="G3105" s="232" t="inlineStr">
        <is>
          <t>arrufatinas 5,74 ha</t>
        </is>
      </c>
      <c r="H3105" s="232" t="inlineStr">
        <is>
          <t>Clementinas</t>
        </is>
      </c>
      <c r="I3105" s="232" t="inlineStr">
        <is>
          <t>Arrufatinas</t>
        </is>
      </c>
      <c r="J3105" s="232" t="inlineStr">
        <is>
          <t>MANT. Y REP. PLANTACIONES</t>
        </is>
      </c>
      <c r="K3105" s="232" t="inlineStr">
        <is>
          <t>MANTENCION HUERTO</t>
        </is>
      </c>
      <c r="L3105" s="232" t="inlineStr">
        <is>
          <t>[PRORRATEO 3.9% 5.74há/148.3há] O/001549 RASCHEL 90</t>
        </is>
      </c>
      <c r="M3105" s="232" t="inlineStr"/>
      <c r="N3105" s="232" t="inlineStr">
        <is>
          <t>.   .   -</t>
        </is>
      </c>
      <c r="O3105" s="232" t="inlineStr">
        <is>
          <t>MARZO</t>
        </is>
      </c>
      <c r="P3105" s="232" t="n">
        <v>13</v>
      </c>
      <c r="Q3105" s="234" t="n">
        <v>6746</v>
      </c>
      <c r="R3105" s="232" t="inlineStr"/>
      <c r="S3105" s="234" t="n">
        <v>6746</v>
      </c>
      <c r="T3105" s="232" t="inlineStr">
        <is>
          <t>CLP</t>
        </is>
      </c>
      <c r="U3105" s="232" t="inlineStr">
        <is>
          <t>Prorrateo Ha PACKING</t>
        </is>
      </c>
      <c r="V3105" s="232" t="inlineStr">
        <is>
          <t>2026-06-18</t>
        </is>
      </c>
    </row>
    <row r="3106">
      <c r="A3106" s="232" t="inlineStr">
        <is>
          <t>CR-3103</t>
        </is>
      </c>
      <c r="B3106" s="232" t="inlineStr">
        <is>
          <t>2026/27</t>
        </is>
      </c>
      <c r="C3106" s="233" t="n">
        <v>46112</v>
      </c>
      <c r="D3106" s="232" t="inlineStr">
        <is>
          <t>442913</t>
        </is>
      </c>
      <c r="E3106" s="232" t="inlineStr">
        <is>
          <t>PRORRATEO</t>
        </is>
      </c>
      <c r="F3106" s="232" t="inlineStr">
        <is>
          <t>El Molle</t>
        </is>
      </c>
      <c r="G3106" s="232" t="inlineStr">
        <is>
          <t>orogrande 8,11 ha</t>
        </is>
      </c>
      <c r="H3106" s="232" t="inlineStr">
        <is>
          <t>Clementinas</t>
        </is>
      </c>
      <c r="I3106" s="232" t="inlineStr">
        <is>
          <t>Orogrande</t>
        </is>
      </c>
      <c r="J3106" s="232" t="inlineStr">
        <is>
          <t>MANT. Y REP. PLANTACIONES</t>
        </is>
      </c>
      <c r="K3106" s="232" t="inlineStr">
        <is>
          <t>MANTENCION HUERTO</t>
        </is>
      </c>
      <c r="L3106" s="232" t="inlineStr">
        <is>
          <t>[PRORRATEO 5.5% 8.11há/148.3há] O/001549 RASCHEL 90</t>
        </is>
      </c>
      <c r="M3106" s="232" t="inlineStr"/>
      <c r="N3106" s="232" t="inlineStr">
        <is>
          <t>.   .   -</t>
        </is>
      </c>
      <c r="O3106" s="232" t="inlineStr">
        <is>
          <t>MARZO</t>
        </is>
      </c>
      <c r="P3106" s="232" t="n">
        <v>13</v>
      </c>
      <c r="Q3106" s="234" t="n">
        <v>9531</v>
      </c>
      <c r="R3106" s="232" t="inlineStr"/>
      <c r="S3106" s="234" t="n">
        <v>9531</v>
      </c>
      <c r="T3106" s="232" t="inlineStr">
        <is>
          <t>CLP</t>
        </is>
      </c>
      <c r="U3106" s="232" t="inlineStr">
        <is>
          <t>Prorrateo Ha PACKING</t>
        </is>
      </c>
      <c r="V3106" s="232" t="inlineStr">
        <is>
          <t>2026-06-18</t>
        </is>
      </c>
    </row>
    <row r="3107">
      <c r="A3107" s="232" t="inlineStr">
        <is>
          <t>CR-3104</t>
        </is>
      </c>
      <c r="B3107" s="232" t="inlineStr">
        <is>
          <t>2026/27</t>
        </is>
      </c>
      <c r="C3107" s="233" t="n">
        <v>46112</v>
      </c>
      <c r="D3107" s="232" t="inlineStr">
        <is>
          <t>442913</t>
        </is>
      </c>
      <c r="E3107" s="232" t="inlineStr">
        <is>
          <t>PRORRATEO</t>
        </is>
      </c>
      <c r="F3107" s="232" t="inlineStr">
        <is>
          <t>El Molle</t>
        </is>
      </c>
      <c r="G3107" s="232" t="inlineStr">
        <is>
          <t>oronules 5,35 ha</t>
        </is>
      </c>
      <c r="H3107" s="232" t="inlineStr">
        <is>
          <t>Clementinas</t>
        </is>
      </c>
      <c r="I3107" s="232" t="inlineStr">
        <is>
          <t>Oronules</t>
        </is>
      </c>
      <c r="J3107" s="232" t="inlineStr">
        <is>
          <t>MANT. Y REP. PLANTACIONES</t>
        </is>
      </c>
      <c r="K3107" s="232" t="inlineStr">
        <is>
          <t>MANTENCION HUERTO</t>
        </is>
      </c>
      <c r="L3107" s="232" t="inlineStr">
        <is>
          <t>[PRORRATEO 3.6% 5.35há/148.3há] O/001549 RASCHEL 90</t>
        </is>
      </c>
      <c r="M3107" s="232" t="inlineStr"/>
      <c r="N3107" s="232" t="inlineStr">
        <is>
          <t>.   .   -</t>
        </is>
      </c>
      <c r="O3107" s="232" t="inlineStr">
        <is>
          <t>MARZO</t>
        </is>
      </c>
      <c r="P3107" s="232" t="n">
        <v>13</v>
      </c>
      <c r="Q3107" s="234" t="n">
        <v>6288</v>
      </c>
      <c r="R3107" s="232" t="inlineStr"/>
      <c r="S3107" s="234" t="n">
        <v>6288</v>
      </c>
      <c r="T3107" s="232" t="inlineStr">
        <is>
          <t>CLP</t>
        </is>
      </c>
      <c r="U3107" s="232" t="inlineStr">
        <is>
          <t>Prorrateo Ha PACKING</t>
        </is>
      </c>
      <c r="V3107" s="232" t="inlineStr">
        <is>
          <t>2026-06-18</t>
        </is>
      </c>
    </row>
    <row r="3108">
      <c r="A3108" s="232" t="inlineStr">
        <is>
          <t>CR-3105</t>
        </is>
      </c>
      <c r="B3108" s="232" t="inlineStr">
        <is>
          <t>2026/27</t>
        </is>
      </c>
      <c r="C3108" s="233" t="n">
        <v>46112</v>
      </c>
      <c r="D3108" s="232" t="inlineStr">
        <is>
          <t>442913</t>
        </is>
      </c>
      <c r="E3108" s="232" t="inlineStr">
        <is>
          <t>PRORRATEO</t>
        </is>
      </c>
      <c r="F3108" s="232" t="inlineStr">
        <is>
          <t>Santa Catalina</t>
        </is>
      </c>
      <c r="G3108" s="232" t="inlineStr">
        <is>
          <t>Fino 49 7,7 ha</t>
        </is>
      </c>
      <c r="H3108" s="232" t="inlineStr">
        <is>
          <t>Limon</t>
        </is>
      </c>
      <c r="I3108" s="232" t="inlineStr">
        <is>
          <t>Fino 49</t>
        </is>
      </c>
      <c r="J3108" s="232" t="inlineStr">
        <is>
          <t>MANT. Y REP. PLANTACIONES</t>
        </is>
      </c>
      <c r="K3108" s="232" t="inlineStr">
        <is>
          <t>MANTENCION HUERTO</t>
        </is>
      </c>
      <c r="L3108" s="232" t="inlineStr">
        <is>
          <t>[PRORRATEO 5.2% 7.7há/148.3há] O/001549 RASCHEL 90</t>
        </is>
      </c>
      <c r="M3108" s="232" t="inlineStr"/>
      <c r="N3108" s="232" t="inlineStr">
        <is>
          <t>.   .   -</t>
        </is>
      </c>
      <c r="O3108" s="232" t="inlineStr">
        <is>
          <t>MARZO</t>
        </is>
      </c>
      <c r="P3108" s="232" t="n">
        <v>13</v>
      </c>
      <c r="Q3108" s="234" t="n">
        <v>9049</v>
      </c>
      <c r="R3108" s="232" t="inlineStr"/>
      <c r="S3108" s="234" t="n">
        <v>9049</v>
      </c>
      <c r="T3108" s="232" t="inlineStr">
        <is>
          <t>CLP</t>
        </is>
      </c>
      <c r="U3108" s="232" t="inlineStr">
        <is>
          <t>Prorrateo Ha PACKING</t>
        </is>
      </c>
      <c r="V3108" s="232" t="inlineStr">
        <is>
          <t>2026-06-18</t>
        </is>
      </c>
    </row>
    <row r="3109">
      <c r="A3109" s="232" t="inlineStr">
        <is>
          <t>CR-3106</t>
        </is>
      </c>
      <c r="B3109" s="232" t="inlineStr">
        <is>
          <t>2026/27</t>
        </is>
      </c>
      <c r="C3109" s="233" t="n">
        <v>46112</v>
      </c>
      <c r="D3109" s="232" t="inlineStr">
        <is>
          <t>442913</t>
        </is>
      </c>
      <c r="E3109" s="232" t="inlineStr">
        <is>
          <t>PRORRATEO</t>
        </is>
      </c>
      <c r="F3109" s="232" t="inlineStr">
        <is>
          <t>Santa Catalina</t>
        </is>
      </c>
      <c r="G3109" s="232" t="inlineStr">
        <is>
          <t>W. murcott 21 ha</t>
        </is>
      </c>
      <c r="H3109" s="232" t="inlineStr">
        <is>
          <t>Mandarina</t>
        </is>
      </c>
      <c r="I3109" s="232" t="inlineStr">
        <is>
          <t>W. murcott</t>
        </is>
      </c>
      <c r="J3109" s="232" t="inlineStr">
        <is>
          <t>MANT. Y REP. PLANTACIONES</t>
        </is>
      </c>
      <c r="K3109" s="232" t="inlineStr">
        <is>
          <t>MANTENCION HUERTO</t>
        </is>
      </c>
      <c r="L3109" s="232" t="inlineStr">
        <is>
          <t>[PRORRATEO 14.2% 21.0há/148.3há] O/001549 RASCHEL 90</t>
        </is>
      </c>
      <c r="M3109" s="232" t="inlineStr"/>
      <c r="N3109" s="232" t="inlineStr">
        <is>
          <t>.   .   -</t>
        </is>
      </c>
      <c r="O3109" s="232" t="inlineStr">
        <is>
          <t>MARZO</t>
        </is>
      </c>
      <c r="P3109" s="232" t="n">
        <v>13</v>
      </c>
      <c r="Q3109" s="234" t="n">
        <v>24680</v>
      </c>
      <c r="R3109" s="232" t="inlineStr"/>
      <c r="S3109" s="234" t="n">
        <v>24680</v>
      </c>
      <c r="T3109" s="232" t="inlineStr">
        <is>
          <t>CLP</t>
        </is>
      </c>
      <c r="U3109" s="232" t="inlineStr">
        <is>
          <t>Prorrateo Ha PACKING</t>
        </is>
      </c>
      <c r="V3109" s="232" t="inlineStr">
        <is>
          <t>2026-06-18</t>
        </is>
      </c>
    </row>
    <row r="3110">
      <c r="A3110" s="232" t="inlineStr">
        <is>
          <t>CR-3107</t>
        </is>
      </c>
      <c r="B3110" s="232" t="inlineStr">
        <is>
          <t>2026/27</t>
        </is>
      </c>
      <c r="C3110" s="233" t="n">
        <v>46112</v>
      </c>
      <c r="D3110" s="232" t="inlineStr">
        <is>
          <t>442913</t>
        </is>
      </c>
      <c r="E3110" s="232" t="inlineStr">
        <is>
          <t>PRORRATEO</t>
        </is>
      </c>
      <c r="F3110" s="232" t="inlineStr">
        <is>
          <t>Santa Catalina</t>
        </is>
      </c>
      <c r="G3110" s="232" t="inlineStr">
        <is>
          <t>cambria 4,2 ha</t>
        </is>
      </c>
      <c r="H3110" s="232" t="inlineStr">
        <is>
          <t>Naranjas</t>
        </is>
      </c>
      <c r="I3110" s="232" t="inlineStr">
        <is>
          <t>Cambria</t>
        </is>
      </c>
      <c r="J3110" s="232" t="inlineStr">
        <is>
          <t>MANT. Y REP. PLANTACIONES</t>
        </is>
      </c>
      <c r="K3110" s="232" t="inlineStr">
        <is>
          <t>MANTENCION HUERTO</t>
        </is>
      </c>
      <c r="L3110" s="232" t="inlineStr">
        <is>
          <t>[PRORRATEO 2.8% 4.2há/148.3há] O/001549 RASCHEL 90</t>
        </is>
      </c>
      <c r="M3110" s="232" t="inlineStr"/>
      <c r="N3110" s="232" t="inlineStr">
        <is>
          <t>.   .   -</t>
        </is>
      </c>
      <c r="O3110" s="232" t="inlineStr">
        <is>
          <t>MARZO</t>
        </is>
      </c>
      <c r="P3110" s="232" t="n">
        <v>13</v>
      </c>
      <c r="Q3110" s="234" t="n">
        <v>4936</v>
      </c>
      <c r="R3110" s="232" t="inlineStr"/>
      <c r="S3110" s="234" t="n">
        <v>4936</v>
      </c>
      <c r="T3110" s="232" t="inlineStr">
        <is>
          <t>CLP</t>
        </is>
      </c>
      <c r="U3110" s="232" t="inlineStr">
        <is>
          <t>Prorrateo Ha PACKING</t>
        </is>
      </c>
      <c r="V3110" s="232" t="inlineStr">
        <is>
          <t>2026-06-18</t>
        </is>
      </c>
    </row>
    <row r="3111">
      <c r="A3111" s="232" t="inlineStr">
        <is>
          <t>CR-3108</t>
        </is>
      </c>
      <c r="B3111" s="232" t="inlineStr">
        <is>
          <t>2026/27</t>
        </is>
      </c>
      <c r="C3111" s="233" t="n">
        <v>46112</v>
      </c>
      <c r="D3111" s="232" t="inlineStr">
        <is>
          <t>442913</t>
        </is>
      </c>
      <c r="E3111" s="232" t="inlineStr">
        <is>
          <t>PRORRATEO</t>
        </is>
      </c>
      <c r="F3111" s="232" t="inlineStr">
        <is>
          <t>Santa Catalina</t>
        </is>
      </c>
      <c r="G3111" s="232" t="inlineStr">
        <is>
          <t>eureka 10,6 ha</t>
        </is>
      </c>
      <c r="H3111" s="232" t="inlineStr">
        <is>
          <t>Limon</t>
        </is>
      </c>
      <c r="I3111" s="232" t="inlineStr">
        <is>
          <t>Eureka</t>
        </is>
      </c>
      <c r="J3111" s="232" t="inlineStr">
        <is>
          <t>MANT. Y REP. PLANTACIONES</t>
        </is>
      </c>
      <c r="K3111" s="232" t="inlineStr">
        <is>
          <t>MANTENCION HUERTO</t>
        </is>
      </c>
      <c r="L3111" s="232" t="inlineStr">
        <is>
          <t>[PRORRATEO 7.1% 10.6há/148.3há] O/001549 RASCHEL 90</t>
        </is>
      </c>
      <c r="M3111" s="232" t="inlineStr"/>
      <c r="N3111" s="232" t="inlineStr">
        <is>
          <t>.   .   -</t>
        </is>
      </c>
      <c r="O3111" s="232" t="inlineStr">
        <is>
          <t>MARZO</t>
        </is>
      </c>
      <c r="P3111" s="232" t="n">
        <v>13</v>
      </c>
      <c r="Q3111" s="234" t="n">
        <v>12458</v>
      </c>
      <c r="R3111" s="232" t="inlineStr"/>
      <c r="S3111" s="234" t="n">
        <v>12458</v>
      </c>
      <c r="T3111" s="232" t="inlineStr">
        <is>
          <t>CLP</t>
        </is>
      </c>
      <c r="U3111" s="232" t="inlineStr">
        <is>
          <t>Prorrateo Ha PACKING</t>
        </is>
      </c>
      <c r="V3111" s="232" t="inlineStr">
        <is>
          <t>2026-06-18</t>
        </is>
      </c>
    </row>
    <row r="3112">
      <c r="A3112" s="232" t="inlineStr">
        <is>
          <t>CR-3109</t>
        </is>
      </c>
      <c r="B3112" s="232" t="inlineStr">
        <is>
          <t>2026/27</t>
        </is>
      </c>
      <c r="C3112" s="233" t="n">
        <v>46112</v>
      </c>
      <c r="D3112" s="232" t="inlineStr">
        <is>
          <t>442913</t>
        </is>
      </c>
      <c r="E3112" s="232" t="inlineStr">
        <is>
          <t>PRORRATEO</t>
        </is>
      </c>
      <c r="F3112" s="232" t="inlineStr">
        <is>
          <t>Santa Catalina</t>
        </is>
      </c>
      <c r="G3112" s="232" t="inlineStr">
        <is>
          <t>eureka 14,4 ha</t>
        </is>
      </c>
      <c r="H3112" s="232" t="inlineStr">
        <is>
          <t>Limon</t>
        </is>
      </c>
      <c r="I3112" s="232" t="inlineStr">
        <is>
          <t>Eureka</t>
        </is>
      </c>
      <c r="J3112" s="232" t="inlineStr">
        <is>
          <t>MANT. Y REP. PLANTACIONES</t>
        </is>
      </c>
      <c r="K3112" s="232" t="inlineStr">
        <is>
          <t>MANTENCION HUERTO</t>
        </is>
      </c>
      <c r="L3112" s="232" t="inlineStr">
        <is>
          <t>[PRORRATEO 9.7% 14.4há/148.3há] O/001549 RASCHEL 90</t>
        </is>
      </c>
      <c r="M3112" s="232" t="inlineStr"/>
      <c r="N3112" s="232" t="inlineStr">
        <is>
          <t>.   .   -</t>
        </is>
      </c>
      <c r="O3112" s="232" t="inlineStr">
        <is>
          <t>MARZO</t>
        </is>
      </c>
      <c r="P3112" s="232" t="n">
        <v>13</v>
      </c>
      <c r="Q3112" s="234" t="n">
        <v>16924</v>
      </c>
      <c r="R3112" s="232" t="inlineStr"/>
      <c r="S3112" s="234" t="n">
        <v>16924</v>
      </c>
      <c r="T3112" s="232" t="inlineStr">
        <is>
          <t>CLP</t>
        </is>
      </c>
      <c r="U3112" s="232" t="inlineStr">
        <is>
          <t>Prorrateo Ha PACKING</t>
        </is>
      </c>
      <c r="V3112" s="232" t="inlineStr">
        <is>
          <t>2026-06-18</t>
        </is>
      </c>
    </row>
    <row r="3113">
      <c r="A3113" s="232" t="inlineStr">
        <is>
          <t>CR-3110</t>
        </is>
      </c>
      <c r="B3113" s="232" t="inlineStr">
        <is>
          <t>2026/27</t>
        </is>
      </c>
      <c r="C3113" s="233" t="n">
        <v>46112</v>
      </c>
      <c r="D3113" s="232" t="inlineStr">
        <is>
          <t>442913</t>
        </is>
      </c>
      <c r="E3113" s="232" t="inlineStr">
        <is>
          <t>PRORRATEO</t>
        </is>
      </c>
      <c r="F3113" s="232" t="inlineStr">
        <is>
          <t>Santa Catalina</t>
        </is>
      </c>
      <c r="G3113" s="232" t="inlineStr">
        <is>
          <t>eureka 22,55</t>
        </is>
      </c>
      <c r="H3113" s="232" t="inlineStr">
        <is>
          <t>Limon</t>
        </is>
      </c>
      <c r="I3113" s="232" t="inlineStr">
        <is>
          <t>Eureka</t>
        </is>
      </c>
      <c r="J3113" s="232" t="inlineStr">
        <is>
          <t>MANT. Y REP. PLANTACIONES</t>
        </is>
      </c>
      <c r="K3113" s="232" t="inlineStr">
        <is>
          <t>MANTENCION HUERTO</t>
        </is>
      </c>
      <c r="L3113" s="232" t="inlineStr">
        <is>
          <t>[PRORRATEO 15.2% 22.55há/148.3há] O/001549 RASCHEL 90</t>
        </is>
      </c>
      <c r="M3113" s="232" t="inlineStr"/>
      <c r="N3113" s="232" t="inlineStr">
        <is>
          <t>.   .   -</t>
        </is>
      </c>
      <c r="O3113" s="232" t="inlineStr">
        <is>
          <t>MARZO</t>
        </is>
      </c>
      <c r="P3113" s="232" t="n">
        <v>13</v>
      </c>
      <c r="Q3113" s="234" t="n">
        <v>26502</v>
      </c>
      <c r="R3113" s="232" t="inlineStr"/>
      <c r="S3113" s="234" t="n">
        <v>26502</v>
      </c>
      <c r="T3113" s="232" t="inlineStr">
        <is>
          <t>CLP</t>
        </is>
      </c>
      <c r="U3113" s="232" t="inlineStr">
        <is>
          <t>Prorrateo Ha PACKING</t>
        </is>
      </c>
      <c r="V3113" s="232" t="inlineStr">
        <is>
          <t>2026-06-18</t>
        </is>
      </c>
    </row>
    <row r="3114">
      <c r="A3114" s="232" t="inlineStr">
        <is>
          <t>CR-3111</t>
        </is>
      </c>
      <c r="B3114" s="232" t="inlineStr">
        <is>
          <t>2026/27</t>
        </is>
      </c>
      <c r="C3114" s="233" t="n">
        <v>46112</v>
      </c>
      <c r="D3114" s="232" t="inlineStr">
        <is>
          <t>442913</t>
        </is>
      </c>
      <c r="E3114" s="232" t="inlineStr">
        <is>
          <t>PRORRATEO</t>
        </is>
      </c>
      <c r="F3114" s="232" t="inlineStr">
        <is>
          <t>Santa Catalina</t>
        </is>
      </c>
      <c r="G3114" s="232" t="inlineStr">
        <is>
          <t>form benjamin 1,93 ha</t>
        </is>
      </c>
      <c r="H3114" s="232" t="inlineStr">
        <is>
          <t>Limon</t>
        </is>
      </c>
      <c r="I3114" s="232" t="inlineStr">
        <is>
          <t>Benjamin andes</t>
        </is>
      </c>
      <c r="J3114" s="232" t="inlineStr">
        <is>
          <t>MANT. Y REP. PLANTACIONES</t>
        </is>
      </c>
      <c r="K3114" s="232" t="inlineStr">
        <is>
          <t>MANTENCION HUERTO</t>
        </is>
      </c>
      <c r="L3114" s="232" t="inlineStr">
        <is>
          <t>[PRORRATEO 1.3% 1.93há/148.3há] O/001549 RASCHEL 90</t>
        </is>
      </c>
      <c r="M3114" s="232" t="inlineStr"/>
      <c r="N3114" s="232" t="inlineStr">
        <is>
          <t>.   .   -</t>
        </is>
      </c>
      <c r="O3114" s="232" t="inlineStr">
        <is>
          <t>MARZO</t>
        </is>
      </c>
      <c r="P3114" s="232" t="n">
        <v>13</v>
      </c>
      <c r="Q3114" s="234" t="n">
        <v>2268</v>
      </c>
      <c r="R3114" s="232" t="inlineStr"/>
      <c r="S3114" s="234" t="n">
        <v>2268</v>
      </c>
      <c r="T3114" s="232" t="inlineStr">
        <is>
          <t>CLP</t>
        </is>
      </c>
      <c r="U3114" s="232" t="inlineStr">
        <is>
          <t>Prorrateo Ha PACKING</t>
        </is>
      </c>
      <c r="V3114" s="232" t="inlineStr">
        <is>
          <t>2026-06-18</t>
        </is>
      </c>
    </row>
    <row r="3115">
      <c r="A3115" s="232" t="inlineStr">
        <is>
          <t>CR-3112</t>
        </is>
      </c>
      <c r="B3115" s="232" t="inlineStr">
        <is>
          <t>2026/27</t>
        </is>
      </c>
      <c r="C3115" s="233" t="n">
        <v>46112</v>
      </c>
      <c r="D3115" s="232" t="inlineStr">
        <is>
          <t>442913</t>
        </is>
      </c>
      <c r="E3115" s="232" t="inlineStr">
        <is>
          <t>PRORRATEO</t>
        </is>
      </c>
      <c r="F3115" s="232" t="inlineStr">
        <is>
          <t>Santa Catalina</t>
        </is>
      </c>
      <c r="G3115" s="232" t="inlineStr">
        <is>
          <t>mant eureka 2,5 ha</t>
        </is>
      </c>
      <c r="H3115" s="232" t="inlineStr">
        <is>
          <t>Limon</t>
        </is>
      </c>
      <c r="I3115" s="232" t="inlineStr">
        <is>
          <t>Eureka</t>
        </is>
      </c>
      <c r="J3115" s="232" t="inlineStr">
        <is>
          <t>MANT. Y REP. PLANTACIONES</t>
        </is>
      </c>
      <c r="K3115" s="232" t="inlineStr">
        <is>
          <t>MANTENCION HUERTO</t>
        </is>
      </c>
      <c r="L3115" s="232" t="inlineStr">
        <is>
          <t>[PRORRATEO 1.7% 2.5há/148.3há] O/001549 RASCHEL 90</t>
        </is>
      </c>
      <c r="M3115" s="232" t="inlineStr"/>
      <c r="N3115" s="232" t="inlineStr">
        <is>
          <t>.   .   -</t>
        </is>
      </c>
      <c r="O3115" s="232" t="inlineStr">
        <is>
          <t>MARZO</t>
        </is>
      </c>
      <c r="P3115" s="232" t="n">
        <v>13</v>
      </c>
      <c r="Q3115" s="234" t="n">
        <v>2938</v>
      </c>
      <c r="R3115" s="232" t="inlineStr"/>
      <c r="S3115" s="234" t="n">
        <v>2938</v>
      </c>
      <c r="T3115" s="232" t="inlineStr">
        <is>
          <t>CLP</t>
        </is>
      </c>
      <c r="U3115" s="232" t="inlineStr">
        <is>
          <t>Prorrateo Ha PACKING</t>
        </is>
      </c>
      <c r="V3115" s="232" t="inlineStr">
        <is>
          <t>2026-06-18</t>
        </is>
      </c>
    </row>
    <row r="3116">
      <c r="A3116" s="232" t="inlineStr">
        <is>
          <t>CR-3113</t>
        </is>
      </c>
      <c r="B3116" s="232" t="inlineStr">
        <is>
          <t>2026/27</t>
        </is>
      </c>
      <c r="C3116" s="233" t="n">
        <v>46112</v>
      </c>
      <c r="D3116" s="232" t="inlineStr">
        <is>
          <t>442913</t>
        </is>
      </c>
      <c r="E3116" s="232" t="inlineStr">
        <is>
          <t>PRORRATEO</t>
        </is>
      </c>
      <c r="F3116" s="232" t="inlineStr">
        <is>
          <t>Siberia</t>
        </is>
      </c>
      <c r="G3116" s="232" t="inlineStr">
        <is>
          <t>S. Celebration 7,14</t>
        </is>
      </c>
      <c r="H3116" s="232" t="inlineStr">
        <is>
          <t>Uvas</t>
        </is>
      </c>
      <c r="I3116" s="232" t="inlineStr">
        <is>
          <t>S. celebration</t>
        </is>
      </c>
      <c r="J3116" s="232" t="inlineStr">
        <is>
          <t>MANT. Y REP. PLANTACIONES</t>
        </is>
      </c>
      <c r="K3116" s="232" t="inlineStr">
        <is>
          <t>MANTENCION HUERTO</t>
        </is>
      </c>
      <c r="L3116" s="232" t="inlineStr">
        <is>
          <t>[PRORRATEO 4.8% 7.14há/148.3há] O/001549 RASCHEL 90</t>
        </is>
      </c>
      <c r="M3116" s="232" t="inlineStr"/>
      <c r="N3116" s="232" t="inlineStr">
        <is>
          <t>.   .   -</t>
        </is>
      </c>
      <c r="O3116" s="232" t="inlineStr">
        <is>
          <t>MARZO</t>
        </is>
      </c>
      <c r="P3116" s="232" t="n">
        <v>13</v>
      </c>
      <c r="Q3116" s="234" t="n">
        <v>8391</v>
      </c>
      <c r="R3116" s="232" t="inlineStr"/>
      <c r="S3116" s="234" t="n">
        <v>8391</v>
      </c>
      <c r="T3116" s="232" t="inlineStr">
        <is>
          <t>CLP</t>
        </is>
      </c>
      <c r="U3116" s="232" t="inlineStr">
        <is>
          <t>Prorrateo Ha PACKING</t>
        </is>
      </c>
      <c r="V3116" s="232" t="inlineStr">
        <is>
          <t>2026-06-18</t>
        </is>
      </c>
    </row>
    <row r="3117">
      <c r="A3117" s="232" t="inlineStr">
        <is>
          <t>CR-3114</t>
        </is>
      </c>
      <c r="B3117" s="232" t="inlineStr">
        <is>
          <t>2026/27</t>
        </is>
      </c>
      <c r="C3117" s="233" t="n">
        <v>46112</v>
      </c>
      <c r="D3117" s="232" t="inlineStr">
        <is>
          <t>442913</t>
        </is>
      </c>
      <c r="E3117" s="232" t="inlineStr">
        <is>
          <t>PRORRATEO</t>
        </is>
      </c>
      <c r="F3117" s="232" t="inlineStr">
        <is>
          <t>Siberia</t>
        </is>
      </c>
      <c r="G3117" s="232" t="inlineStr">
        <is>
          <t>Timpson 7,1</t>
        </is>
      </c>
      <c r="H3117" s="232" t="inlineStr">
        <is>
          <t>Uvas</t>
        </is>
      </c>
      <c r="I3117" s="232" t="inlineStr">
        <is>
          <t>Timpson</t>
        </is>
      </c>
      <c r="J3117" s="232" t="inlineStr">
        <is>
          <t>MANT. Y REP. PLANTACIONES</t>
        </is>
      </c>
      <c r="K3117" s="232" t="inlineStr">
        <is>
          <t>MANTENCION HUERTO</t>
        </is>
      </c>
      <c r="L3117" s="232" t="inlineStr">
        <is>
          <t>[PRORRATEO 4.8% 7.1há/148.3há] O/001549 RASCHEL 90</t>
        </is>
      </c>
      <c r="M3117" s="232" t="inlineStr"/>
      <c r="N3117" s="232" t="inlineStr">
        <is>
          <t>.   .   -</t>
        </is>
      </c>
      <c r="O3117" s="232" t="inlineStr">
        <is>
          <t>MARZO</t>
        </is>
      </c>
      <c r="P3117" s="232" t="n">
        <v>13</v>
      </c>
      <c r="Q3117" s="234" t="n">
        <v>8344</v>
      </c>
      <c r="R3117" s="232" t="inlineStr"/>
      <c r="S3117" s="234" t="n">
        <v>8344</v>
      </c>
      <c r="T3117" s="232" t="inlineStr">
        <is>
          <t>CLP</t>
        </is>
      </c>
      <c r="U3117" s="232" t="inlineStr">
        <is>
          <t>Prorrateo Ha PACKING</t>
        </is>
      </c>
      <c r="V3117" s="232" t="inlineStr">
        <is>
          <t>2026-06-18</t>
        </is>
      </c>
    </row>
    <row r="3118">
      <c r="A3118" s="232" t="inlineStr">
        <is>
          <t>CR-3115</t>
        </is>
      </c>
      <c r="B3118" s="232" t="inlineStr">
        <is>
          <t>2026/27</t>
        </is>
      </c>
      <c r="C3118" s="233" t="n">
        <v>46112</v>
      </c>
      <c r="D3118" s="232" t="inlineStr">
        <is>
          <t>269</t>
        </is>
      </c>
      <c r="E3118" s="232" t="inlineStr">
        <is>
          <t>PRORRATEO</t>
        </is>
      </c>
      <c r="F3118" s="232" t="inlineStr">
        <is>
          <t>Asmara</t>
        </is>
      </c>
      <c r="G3118" s="232" t="inlineStr">
        <is>
          <t>w. murcott 19,8 ha</t>
        </is>
      </c>
      <c r="H3118" s="232" t="inlineStr">
        <is>
          <t>Mandarina</t>
        </is>
      </c>
      <c r="I3118" s="232" t="inlineStr">
        <is>
          <t>W. murcott</t>
        </is>
      </c>
      <c r="J3118" s="232" t="inlineStr">
        <is>
          <t>LABORES OPERACIONALES</t>
        </is>
      </c>
      <c r="K3118" s="232" t="inlineStr">
        <is>
          <t>OTROS SERVICIOS</t>
        </is>
      </c>
      <c r="L3118" s="232" t="inlineStr">
        <is>
          <t>[PRORRATEO 13.4% 19.8há/148.3há] SERV.CONTRATISTA</t>
        </is>
      </c>
      <c r="M3118" s="232" t="inlineStr"/>
      <c r="N3118" s="232" t="inlineStr">
        <is>
          <t>.   .   -</t>
        </is>
      </c>
      <c r="O3118" s="232" t="inlineStr">
        <is>
          <t>MARZO</t>
        </is>
      </c>
      <c r="P3118" s="232" t="n">
        <v>13</v>
      </c>
      <c r="Q3118" s="234" t="n">
        <v>65183</v>
      </c>
      <c r="R3118" s="232" t="inlineStr"/>
      <c r="S3118" s="234" t="n">
        <v>65183</v>
      </c>
      <c r="T3118" s="232" t="inlineStr">
        <is>
          <t>CLP</t>
        </is>
      </c>
      <c r="U3118" s="232" t="inlineStr">
        <is>
          <t>Prorrateo Ha PACKING</t>
        </is>
      </c>
      <c r="V3118" s="232" t="inlineStr">
        <is>
          <t>2026-06-18</t>
        </is>
      </c>
    </row>
    <row r="3119">
      <c r="A3119" s="232" t="inlineStr">
        <is>
          <t>CR-3116</t>
        </is>
      </c>
      <c r="B3119" s="232" t="inlineStr">
        <is>
          <t>2026/27</t>
        </is>
      </c>
      <c r="C3119" s="233" t="n">
        <v>46112</v>
      </c>
      <c r="D3119" s="232" t="inlineStr">
        <is>
          <t>269</t>
        </is>
      </c>
      <c r="E3119" s="232" t="inlineStr">
        <is>
          <t>PRORRATEO</t>
        </is>
      </c>
      <c r="F3119" s="232" t="inlineStr">
        <is>
          <t>Asmara</t>
        </is>
      </c>
      <c r="G3119" s="232" t="inlineStr">
        <is>
          <t>w. murcott 4,9 ha</t>
        </is>
      </c>
      <c r="H3119" s="232" t="inlineStr">
        <is>
          <t>Mandarina</t>
        </is>
      </c>
      <c r="I3119" s="232" t="inlineStr">
        <is>
          <t>W. murcott</t>
        </is>
      </c>
      <c r="J3119" s="232" t="inlineStr">
        <is>
          <t>LABORES OPERACIONALES</t>
        </is>
      </c>
      <c r="K3119" s="232" t="inlineStr">
        <is>
          <t>OTROS SERVICIOS</t>
        </is>
      </c>
      <c r="L3119" s="232" t="inlineStr">
        <is>
          <t>[PRORRATEO 3.3% 4.9há/148.3há] SERV.CONTRATISTA</t>
        </is>
      </c>
      <c r="M3119" s="232" t="inlineStr"/>
      <c r="N3119" s="232" t="inlineStr">
        <is>
          <t>.   .   -</t>
        </is>
      </c>
      <c r="O3119" s="232" t="inlineStr">
        <is>
          <t>MARZO</t>
        </is>
      </c>
      <c r="P3119" s="232" t="n">
        <v>13</v>
      </c>
      <c r="Q3119" s="234" t="n">
        <v>16131</v>
      </c>
      <c r="R3119" s="232" t="inlineStr"/>
      <c r="S3119" s="234" t="n">
        <v>16131</v>
      </c>
      <c r="T3119" s="232" t="inlineStr">
        <is>
          <t>CLP</t>
        </is>
      </c>
      <c r="U3119" s="232" t="inlineStr">
        <is>
          <t>Prorrateo Ha PACKING</t>
        </is>
      </c>
      <c r="V3119" s="232" t="inlineStr">
        <is>
          <t>2026-06-18</t>
        </is>
      </c>
    </row>
    <row r="3120">
      <c r="A3120" s="232" t="inlineStr">
        <is>
          <t>CR-3117</t>
        </is>
      </c>
      <c r="B3120" s="232" t="inlineStr">
        <is>
          <t>2026/27</t>
        </is>
      </c>
      <c r="C3120" s="233" t="n">
        <v>46112</v>
      </c>
      <c r="D3120" s="232" t="inlineStr">
        <is>
          <t>269</t>
        </is>
      </c>
      <c r="E3120" s="232" t="inlineStr">
        <is>
          <t>PRORRATEO</t>
        </is>
      </c>
      <c r="F3120" s="232" t="inlineStr">
        <is>
          <t>El Molle</t>
        </is>
      </c>
      <c r="G3120" s="232" t="inlineStr">
        <is>
          <t>Wonderful 5,25 ha</t>
        </is>
      </c>
      <c r="H3120" s="232" t="inlineStr">
        <is>
          <t>Granados</t>
        </is>
      </c>
      <c r="I3120" s="232" t="inlineStr">
        <is>
          <t>Wonderfull</t>
        </is>
      </c>
      <c r="J3120" s="232" t="inlineStr">
        <is>
          <t>LABORES OPERACIONALES</t>
        </is>
      </c>
      <c r="K3120" s="232" t="inlineStr">
        <is>
          <t>OTROS SERVICIOS</t>
        </is>
      </c>
      <c r="L3120" s="232" t="inlineStr">
        <is>
          <t>[PRORRATEO 3.5% 5.24há/148.3há] SERV.CONTRATISTA</t>
        </is>
      </c>
      <c r="M3120" s="232" t="inlineStr"/>
      <c r="N3120" s="232" t="inlineStr">
        <is>
          <t>.   .   -</t>
        </is>
      </c>
      <c r="O3120" s="232" t="inlineStr">
        <is>
          <t>MARZO</t>
        </is>
      </c>
      <c r="P3120" s="232" t="n">
        <v>13</v>
      </c>
      <c r="Q3120" s="234" t="n">
        <v>17251</v>
      </c>
      <c r="R3120" s="232" t="inlineStr"/>
      <c r="S3120" s="234" t="n">
        <v>17251</v>
      </c>
      <c r="T3120" s="232" t="inlineStr">
        <is>
          <t>CLP</t>
        </is>
      </c>
      <c r="U3120" s="232" t="inlineStr">
        <is>
          <t>Prorrateo Ha PACKING</t>
        </is>
      </c>
      <c r="V3120" s="232" t="inlineStr">
        <is>
          <t>2026-06-18</t>
        </is>
      </c>
    </row>
    <row r="3121">
      <c r="A3121" s="232" t="inlineStr">
        <is>
          <t>CR-3118</t>
        </is>
      </c>
      <c r="B3121" s="232" t="inlineStr">
        <is>
          <t>2026/27</t>
        </is>
      </c>
      <c r="C3121" s="233" t="n">
        <v>46112</v>
      </c>
      <c r="D3121" s="232" t="inlineStr">
        <is>
          <t>269</t>
        </is>
      </c>
      <c r="E3121" s="232" t="inlineStr">
        <is>
          <t>PRORRATEO</t>
        </is>
      </c>
      <c r="F3121" s="232" t="inlineStr">
        <is>
          <t>El Molle</t>
        </is>
      </c>
      <c r="G3121" s="232" t="inlineStr">
        <is>
          <t>arrufatinas 5,74 ha</t>
        </is>
      </c>
      <c r="H3121" s="232" t="inlineStr">
        <is>
          <t>Clementinas</t>
        </is>
      </c>
      <c r="I3121" s="232" t="inlineStr">
        <is>
          <t>Arrufatinas</t>
        </is>
      </c>
      <c r="J3121" s="232" t="inlineStr">
        <is>
          <t>LABORES OPERACIONALES</t>
        </is>
      </c>
      <c r="K3121" s="232" t="inlineStr">
        <is>
          <t>OTROS SERVICIOS</t>
        </is>
      </c>
      <c r="L3121" s="232" t="inlineStr">
        <is>
          <t>[PRORRATEO 3.9% 5.74há/148.3há] SERV.CONTRATISTA</t>
        </is>
      </c>
      <c r="M3121" s="232" t="inlineStr"/>
      <c r="N3121" s="232" t="inlineStr">
        <is>
          <t>.   .   -</t>
        </is>
      </c>
      <c r="O3121" s="232" t="inlineStr">
        <is>
          <t>MARZO</t>
        </is>
      </c>
      <c r="P3121" s="232" t="n">
        <v>13</v>
      </c>
      <c r="Q3121" s="234" t="n">
        <v>18897</v>
      </c>
      <c r="R3121" s="232" t="inlineStr"/>
      <c r="S3121" s="234" t="n">
        <v>18897</v>
      </c>
      <c r="T3121" s="232" t="inlineStr">
        <is>
          <t>CLP</t>
        </is>
      </c>
      <c r="U3121" s="232" t="inlineStr">
        <is>
          <t>Prorrateo Ha PACKING</t>
        </is>
      </c>
      <c r="V3121" s="232" t="inlineStr">
        <is>
          <t>2026-06-18</t>
        </is>
      </c>
    </row>
    <row r="3122">
      <c r="A3122" s="232" t="inlineStr">
        <is>
          <t>CR-3119</t>
        </is>
      </c>
      <c r="B3122" s="232" t="inlineStr">
        <is>
          <t>2026/27</t>
        </is>
      </c>
      <c r="C3122" s="233" t="n">
        <v>46112</v>
      </c>
      <c r="D3122" s="232" t="inlineStr">
        <is>
          <t>269</t>
        </is>
      </c>
      <c r="E3122" s="232" t="inlineStr">
        <is>
          <t>PRORRATEO</t>
        </is>
      </c>
      <c r="F3122" s="232" t="inlineStr">
        <is>
          <t>El Molle</t>
        </is>
      </c>
      <c r="G3122" s="232" t="inlineStr">
        <is>
          <t>orogrande 8,11 ha</t>
        </is>
      </c>
      <c r="H3122" s="232" t="inlineStr">
        <is>
          <t>Clementinas</t>
        </is>
      </c>
      <c r="I3122" s="232" t="inlineStr">
        <is>
          <t>Orogrande</t>
        </is>
      </c>
      <c r="J3122" s="232" t="inlineStr">
        <is>
          <t>LABORES OPERACIONALES</t>
        </is>
      </c>
      <c r="K3122" s="232" t="inlineStr">
        <is>
          <t>OTROS SERVICIOS</t>
        </is>
      </c>
      <c r="L3122" s="232" t="inlineStr">
        <is>
          <t>[PRORRATEO 5.5% 8.11há/148.3há] SERV.CONTRATISTA</t>
        </is>
      </c>
      <c r="M3122" s="232" t="inlineStr"/>
      <c r="N3122" s="232" t="inlineStr">
        <is>
          <t>.   .   -</t>
        </is>
      </c>
      <c r="O3122" s="232" t="inlineStr">
        <is>
          <t>MARZO</t>
        </is>
      </c>
      <c r="P3122" s="232" t="n">
        <v>13</v>
      </c>
      <c r="Q3122" s="234" t="n">
        <v>26699</v>
      </c>
      <c r="R3122" s="232" t="inlineStr"/>
      <c r="S3122" s="234" t="n">
        <v>26699</v>
      </c>
      <c r="T3122" s="232" t="inlineStr">
        <is>
          <t>CLP</t>
        </is>
      </c>
      <c r="U3122" s="232" t="inlineStr">
        <is>
          <t>Prorrateo Ha PACKING</t>
        </is>
      </c>
      <c r="V3122" s="232" t="inlineStr">
        <is>
          <t>2026-06-18</t>
        </is>
      </c>
    </row>
    <row r="3123">
      <c r="A3123" s="232" t="inlineStr">
        <is>
          <t>CR-3120</t>
        </is>
      </c>
      <c r="B3123" s="232" t="inlineStr">
        <is>
          <t>2026/27</t>
        </is>
      </c>
      <c r="C3123" s="233" t="n">
        <v>46112</v>
      </c>
      <c r="D3123" s="232" t="inlineStr">
        <is>
          <t>269</t>
        </is>
      </c>
      <c r="E3123" s="232" t="inlineStr">
        <is>
          <t>PRORRATEO</t>
        </is>
      </c>
      <c r="F3123" s="232" t="inlineStr">
        <is>
          <t>El Molle</t>
        </is>
      </c>
      <c r="G3123" s="232" t="inlineStr">
        <is>
          <t>oronules 5,35 ha</t>
        </is>
      </c>
      <c r="H3123" s="232" t="inlineStr">
        <is>
          <t>Clementinas</t>
        </is>
      </c>
      <c r="I3123" s="232" t="inlineStr">
        <is>
          <t>Oronules</t>
        </is>
      </c>
      <c r="J3123" s="232" t="inlineStr">
        <is>
          <t>LABORES OPERACIONALES</t>
        </is>
      </c>
      <c r="K3123" s="232" t="inlineStr">
        <is>
          <t>OTROS SERVICIOS</t>
        </is>
      </c>
      <c r="L3123" s="232" t="inlineStr">
        <is>
          <t>[PRORRATEO 3.6% 5.35há/148.3há] SERV.CONTRATISTA</t>
        </is>
      </c>
      <c r="M3123" s="232" t="inlineStr"/>
      <c r="N3123" s="232" t="inlineStr">
        <is>
          <t>.   .   -</t>
        </is>
      </c>
      <c r="O3123" s="232" t="inlineStr">
        <is>
          <t>MARZO</t>
        </is>
      </c>
      <c r="P3123" s="232" t="n">
        <v>13</v>
      </c>
      <c r="Q3123" s="234" t="n">
        <v>17613</v>
      </c>
      <c r="R3123" s="232" t="inlineStr"/>
      <c r="S3123" s="234" t="n">
        <v>17613</v>
      </c>
      <c r="T3123" s="232" t="inlineStr">
        <is>
          <t>CLP</t>
        </is>
      </c>
      <c r="U3123" s="232" t="inlineStr">
        <is>
          <t>Prorrateo Ha PACKING</t>
        </is>
      </c>
      <c r="V3123" s="232" t="inlineStr">
        <is>
          <t>2026-06-18</t>
        </is>
      </c>
    </row>
    <row r="3124">
      <c r="A3124" s="232" t="inlineStr">
        <is>
          <t>CR-3121</t>
        </is>
      </c>
      <c r="B3124" s="232" t="inlineStr">
        <is>
          <t>2026/27</t>
        </is>
      </c>
      <c r="C3124" s="233" t="n">
        <v>46112</v>
      </c>
      <c r="D3124" s="232" t="inlineStr">
        <is>
          <t>269</t>
        </is>
      </c>
      <c r="E3124" s="232" t="inlineStr">
        <is>
          <t>PRORRATEO</t>
        </is>
      </c>
      <c r="F3124" s="232" t="inlineStr">
        <is>
          <t>Santa Catalina</t>
        </is>
      </c>
      <c r="G3124" s="232" t="inlineStr">
        <is>
          <t>Fino 49 7,7 ha</t>
        </is>
      </c>
      <c r="H3124" s="232" t="inlineStr">
        <is>
          <t>Limon</t>
        </is>
      </c>
      <c r="I3124" s="232" t="inlineStr">
        <is>
          <t>Fino 49</t>
        </is>
      </c>
      <c r="J3124" s="232" t="inlineStr">
        <is>
          <t>LABORES OPERACIONALES</t>
        </is>
      </c>
      <c r="K3124" s="232" t="inlineStr">
        <is>
          <t>OTROS SERVICIOS</t>
        </is>
      </c>
      <c r="L3124" s="232" t="inlineStr">
        <is>
          <t>[PRORRATEO 5.2% 7.7há/148.3há] SERV.CONTRATISTA</t>
        </is>
      </c>
      <c r="M3124" s="232" t="inlineStr"/>
      <c r="N3124" s="232" t="inlineStr">
        <is>
          <t>.   .   -</t>
        </is>
      </c>
      <c r="O3124" s="232" t="inlineStr">
        <is>
          <t>MARZO</t>
        </is>
      </c>
      <c r="P3124" s="232" t="n">
        <v>13</v>
      </c>
      <c r="Q3124" s="234" t="n">
        <v>25349</v>
      </c>
      <c r="R3124" s="232" t="inlineStr"/>
      <c r="S3124" s="234" t="n">
        <v>25349</v>
      </c>
      <c r="T3124" s="232" t="inlineStr">
        <is>
          <t>CLP</t>
        </is>
      </c>
      <c r="U3124" s="232" t="inlineStr">
        <is>
          <t>Prorrateo Ha PACKING</t>
        </is>
      </c>
      <c r="V3124" s="232" t="inlineStr">
        <is>
          <t>2026-06-18</t>
        </is>
      </c>
    </row>
    <row r="3125">
      <c r="A3125" s="232" t="inlineStr">
        <is>
          <t>CR-3122</t>
        </is>
      </c>
      <c r="B3125" s="232" t="inlineStr">
        <is>
          <t>2026/27</t>
        </is>
      </c>
      <c r="C3125" s="233" t="n">
        <v>46112</v>
      </c>
      <c r="D3125" s="232" t="inlineStr">
        <is>
          <t>269</t>
        </is>
      </c>
      <c r="E3125" s="232" t="inlineStr">
        <is>
          <t>PRORRATEO</t>
        </is>
      </c>
      <c r="F3125" s="232" t="inlineStr">
        <is>
          <t>Santa Catalina</t>
        </is>
      </c>
      <c r="G3125" s="232" t="inlineStr">
        <is>
          <t>W. murcott 21 ha</t>
        </is>
      </c>
      <c r="H3125" s="232" t="inlineStr">
        <is>
          <t>Mandarina</t>
        </is>
      </c>
      <c r="I3125" s="232" t="inlineStr">
        <is>
          <t>W. murcott</t>
        </is>
      </c>
      <c r="J3125" s="232" t="inlineStr">
        <is>
          <t>LABORES OPERACIONALES</t>
        </is>
      </c>
      <c r="K3125" s="232" t="inlineStr">
        <is>
          <t>OTROS SERVICIOS</t>
        </is>
      </c>
      <c r="L3125" s="232" t="inlineStr">
        <is>
          <t>[PRORRATEO 14.2% 21.0há/148.3há] SERV.CONTRATISTA</t>
        </is>
      </c>
      <c r="M3125" s="232" t="inlineStr"/>
      <c r="N3125" s="232" t="inlineStr">
        <is>
          <t>.   .   -</t>
        </is>
      </c>
      <c r="O3125" s="232" t="inlineStr">
        <is>
          <t>MARZO</t>
        </is>
      </c>
      <c r="P3125" s="232" t="n">
        <v>13</v>
      </c>
      <c r="Q3125" s="234" t="n">
        <v>69134</v>
      </c>
      <c r="R3125" s="232" t="inlineStr"/>
      <c r="S3125" s="234" t="n">
        <v>69134</v>
      </c>
      <c r="T3125" s="232" t="inlineStr">
        <is>
          <t>CLP</t>
        </is>
      </c>
      <c r="U3125" s="232" t="inlineStr">
        <is>
          <t>Prorrateo Ha PACKING</t>
        </is>
      </c>
      <c r="V3125" s="232" t="inlineStr">
        <is>
          <t>2026-06-18</t>
        </is>
      </c>
    </row>
    <row r="3126">
      <c r="A3126" s="232" t="inlineStr">
        <is>
          <t>CR-3123</t>
        </is>
      </c>
      <c r="B3126" s="232" t="inlineStr">
        <is>
          <t>2026/27</t>
        </is>
      </c>
      <c r="C3126" s="233" t="n">
        <v>46112</v>
      </c>
      <c r="D3126" s="232" t="inlineStr">
        <is>
          <t>269</t>
        </is>
      </c>
      <c r="E3126" s="232" t="inlineStr">
        <is>
          <t>PRORRATEO</t>
        </is>
      </c>
      <c r="F3126" s="232" t="inlineStr">
        <is>
          <t>Santa Catalina</t>
        </is>
      </c>
      <c r="G3126" s="232" t="inlineStr">
        <is>
          <t>cambria 4,2 ha</t>
        </is>
      </c>
      <c r="H3126" s="232" t="inlineStr">
        <is>
          <t>Naranjas</t>
        </is>
      </c>
      <c r="I3126" s="232" t="inlineStr">
        <is>
          <t>Cambria</t>
        </is>
      </c>
      <c r="J3126" s="232" t="inlineStr">
        <is>
          <t>LABORES OPERACIONALES</t>
        </is>
      </c>
      <c r="K3126" s="232" t="inlineStr">
        <is>
          <t>OTROS SERVICIOS</t>
        </is>
      </c>
      <c r="L3126" s="232" t="inlineStr">
        <is>
          <t>[PRORRATEO 2.8% 4.2há/148.3há] SERV.CONTRATISTA</t>
        </is>
      </c>
      <c r="M3126" s="232" t="inlineStr"/>
      <c r="N3126" s="232" t="inlineStr">
        <is>
          <t>.   .   -</t>
        </is>
      </c>
      <c r="O3126" s="232" t="inlineStr">
        <is>
          <t>MARZO</t>
        </is>
      </c>
      <c r="P3126" s="232" t="n">
        <v>13</v>
      </c>
      <c r="Q3126" s="234" t="n">
        <v>13827</v>
      </c>
      <c r="R3126" s="232" t="inlineStr"/>
      <c r="S3126" s="234" t="n">
        <v>13827</v>
      </c>
      <c r="T3126" s="232" t="inlineStr">
        <is>
          <t>CLP</t>
        </is>
      </c>
      <c r="U3126" s="232" t="inlineStr">
        <is>
          <t>Prorrateo Ha PACKING</t>
        </is>
      </c>
      <c r="V3126" s="232" t="inlineStr">
        <is>
          <t>2026-06-18</t>
        </is>
      </c>
    </row>
    <row r="3127">
      <c r="A3127" s="232" t="inlineStr">
        <is>
          <t>CR-3124</t>
        </is>
      </c>
      <c r="B3127" s="232" t="inlineStr">
        <is>
          <t>2026/27</t>
        </is>
      </c>
      <c r="C3127" s="233" t="n">
        <v>46112</v>
      </c>
      <c r="D3127" s="232" t="inlineStr">
        <is>
          <t>269</t>
        </is>
      </c>
      <c r="E3127" s="232" t="inlineStr">
        <is>
          <t>PRORRATEO</t>
        </is>
      </c>
      <c r="F3127" s="232" t="inlineStr">
        <is>
          <t>Santa Catalina</t>
        </is>
      </c>
      <c r="G3127" s="232" t="inlineStr">
        <is>
          <t>eureka 10,6 ha</t>
        </is>
      </c>
      <c r="H3127" s="232" t="inlineStr">
        <is>
          <t>Limon</t>
        </is>
      </c>
      <c r="I3127" s="232" t="inlineStr">
        <is>
          <t>Eureka</t>
        </is>
      </c>
      <c r="J3127" s="232" t="inlineStr">
        <is>
          <t>LABORES OPERACIONALES</t>
        </is>
      </c>
      <c r="K3127" s="232" t="inlineStr">
        <is>
          <t>OTROS SERVICIOS</t>
        </is>
      </c>
      <c r="L3127" s="232" t="inlineStr">
        <is>
          <t>[PRORRATEO 7.1% 10.6há/148.3há] SERV.CONTRATISTA</t>
        </is>
      </c>
      <c r="M3127" s="232" t="inlineStr"/>
      <c r="N3127" s="232" t="inlineStr">
        <is>
          <t>.   .   -</t>
        </is>
      </c>
      <c r="O3127" s="232" t="inlineStr">
        <is>
          <t>MARZO</t>
        </is>
      </c>
      <c r="P3127" s="232" t="n">
        <v>13</v>
      </c>
      <c r="Q3127" s="234" t="n">
        <v>34896</v>
      </c>
      <c r="R3127" s="232" t="inlineStr"/>
      <c r="S3127" s="234" t="n">
        <v>34896</v>
      </c>
      <c r="T3127" s="232" t="inlineStr">
        <is>
          <t>CLP</t>
        </is>
      </c>
      <c r="U3127" s="232" t="inlineStr">
        <is>
          <t>Prorrateo Ha PACKING</t>
        </is>
      </c>
      <c r="V3127" s="232" t="inlineStr">
        <is>
          <t>2026-06-18</t>
        </is>
      </c>
    </row>
    <row r="3128">
      <c r="A3128" s="232" t="inlineStr">
        <is>
          <t>CR-3125</t>
        </is>
      </c>
      <c r="B3128" s="232" t="inlineStr">
        <is>
          <t>2026/27</t>
        </is>
      </c>
      <c r="C3128" s="233" t="n">
        <v>46112</v>
      </c>
      <c r="D3128" s="232" t="inlineStr">
        <is>
          <t>269</t>
        </is>
      </c>
      <c r="E3128" s="232" t="inlineStr">
        <is>
          <t>PRORRATEO</t>
        </is>
      </c>
      <c r="F3128" s="232" t="inlineStr">
        <is>
          <t>Santa Catalina</t>
        </is>
      </c>
      <c r="G3128" s="232" t="inlineStr">
        <is>
          <t>eureka 14,4 ha</t>
        </is>
      </c>
      <c r="H3128" s="232" t="inlineStr">
        <is>
          <t>Limon</t>
        </is>
      </c>
      <c r="I3128" s="232" t="inlineStr">
        <is>
          <t>Eureka</t>
        </is>
      </c>
      <c r="J3128" s="232" t="inlineStr">
        <is>
          <t>LABORES OPERACIONALES</t>
        </is>
      </c>
      <c r="K3128" s="232" t="inlineStr">
        <is>
          <t>OTROS SERVICIOS</t>
        </is>
      </c>
      <c r="L3128" s="232" t="inlineStr">
        <is>
          <t>[PRORRATEO 9.7% 14.4há/148.3há] SERV.CONTRATISTA</t>
        </is>
      </c>
      <c r="M3128" s="232" t="inlineStr"/>
      <c r="N3128" s="232" t="inlineStr">
        <is>
          <t>.   .   -</t>
        </is>
      </c>
      <c r="O3128" s="232" t="inlineStr">
        <is>
          <t>MARZO</t>
        </is>
      </c>
      <c r="P3128" s="232" t="n">
        <v>13</v>
      </c>
      <c r="Q3128" s="234" t="n">
        <v>47406</v>
      </c>
      <c r="R3128" s="232" t="inlineStr"/>
      <c r="S3128" s="234" t="n">
        <v>47406</v>
      </c>
      <c r="T3128" s="232" t="inlineStr">
        <is>
          <t>CLP</t>
        </is>
      </c>
      <c r="U3128" s="232" t="inlineStr">
        <is>
          <t>Prorrateo Ha PACKING</t>
        </is>
      </c>
      <c r="V3128" s="232" t="inlineStr">
        <is>
          <t>2026-06-18</t>
        </is>
      </c>
    </row>
    <row r="3129">
      <c r="A3129" s="232" t="inlineStr">
        <is>
          <t>CR-3126</t>
        </is>
      </c>
      <c r="B3129" s="232" t="inlineStr">
        <is>
          <t>2026/27</t>
        </is>
      </c>
      <c r="C3129" s="233" t="n">
        <v>46112</v>
      </c>
      <c r="D3129" s="232" t="inlineStr">
        <is>
          <t>269</t>
        </is>
      </c>
      <c r="E3129" s="232" t="inlineStr">
        <is>
          <t>PRORRATEO</t>
        </is>
      </c>
      <c r="F3129" s="232" t="inlineStr">
        <is>
          <t>Santa Catalina</t>
        </is>
      </c>
      <c r="G3129" s="232" t="inlineStr">
        <is>
          <t>eureka 22,55</t>
        </is>
      </c>
      <c r="H3129" s="232" t="inlineStr">
        <is>
          <t>Limon</t>
        </is>
      </c>
      <c r="I3129" s="232" t="inlineStr">
        <is>
          <t>Eureka</t>
        </is>
      </c>
      <c r="J3129" s="232" t="inlineStr">
        <is>
          <t>LABORES OPERACIONALES</t>
        </is>
      </c>
      <c r="K3129" s="232" t="inlineStr">
        <is>
          <t>OTROS SERVICIOS</t>
        </is>
      </c>
      <c r="L3129" s="232" t="inlineStr">
        <is>
          <t>[PRORRATEO 15.2% 22.55há/148.3há] SERV.CONTRATISTA</t>
        </is>
      </c>
      <c r="M3129" s="232" t="inlineStr"/>
      <c r="N3129" s="232" t="inlineStr">
        <is>
          <t>.   .   -</t>
        </is>
      </c>
      <c r="O3129" s="232" t="inlineStr">
        <is>
          <t>MARZO</t>
        </is>
      </c>
      <c r="P3129" s="232" t="n">
        <v>13</v>
      </c>
      <c r="Q3129" s="234" t="n">
        <v>74237</v>
      </c>
      <c r="R3129" s="232" t="inlineStr"/>
      <c r="S3129" s="234" t="n">
        <v>74237</v>
      </c>
      <c r="T3129" s="232" t="inlineStr">
        <is>
          <t>CLP</t>
        </is>
      </c>
      <c r="U3129" s="232" t="inlineStr">
        <is>
          <t>Prorrateo Ha PACKING</t>
        </is>
      </c>
      <c r="V3129" s="232" t="inlineStr">
        <is>
          <t>2026-06-18</t>
        </is>
      </c>
    </row>
    <row r="3130">
      <c r="A3130" s="232" t="inlineStr">
        <is>
          <t>CR-3127</t>
        </is>
      </c>
      <c r="B3130" s="232" t="inlineStr">
        <is>
          <t>2026/27</t>
        </is>
      </c>
      <c r="C3130" s="233" t="n">
        <v>46112</v>
      </c>
      <c r="D3130" s="232" t="inlineStr">
        <is>
          <t>269</t>
        </is>
      </c>
      <c r="E3130" s="232" t="inlineStr">
        <is>
          <t>PRORRATEO</t>
        </is>
      </c>
      <c r="F3130" s="232" t="inlineStr">
        <is>
          <t>Santa Catalina</t>
        </is>
      </c>
      <c r="G3130" s="232" t="inlineStr">
        <is>
          <t>form benjamin 1,93 ha</t>
        </is>
      </c>
      <c r="H3130" s="232" t="inlineStr">
        <is>
          <t>Limon</t>
        </is>
      </c>
      <c r="I3130" s="232" t="inlineStr">
        <is>
          <t>Benjamin andes</t>
        </is>
      </c>
      <c r="J3130" s="232" t="inlineStr">
        <is>
          <t>LABORES OPERACIONALES</t>
        </is>
      </c>
      <c r="K3130" s="232" t="inlineStr">
        <is>
          <t>OTROS SERVICIOS</t>
        </is>
      </c>
      <c r="L3130" s="232" t="inlineStr">
        <is>
          <t>[PRORRATEO 1.3% 1.93há/148.3há] SERV.CONTRATISTA</t>
        </is>
      </c>
      <c r="M3130" s="232" t="inlineStr"/>
      <c r="N3130" s="232" t="inlineStr">
        <is>
          <t>.   .   -</t>
        </is>
      </c>
      <c r="O3130" s="232" t="inlineStr">
        <is>
          <t>MARZO</t>
        </is>
      </c>
      <c r="P3130" s="232" t="n">
        <v>13</v>
      </c>
      <c r="Q3130" s="234" t="n">
        <v>6354</v>
      </c>
      <c r="R3130" s="232" t="inlineStr"/>
      <c r="S3130" s="234" t="n">
        <v>6354</v>
      </c>
      <c r="T3130" s="232" t="inlineStr">
        <is>
          <t>CLP</t>
        </is>
      </c>
      <c r="U3130" s="232" t="inlineStr">
        <is>
          <t>Prorrateo Ha PACKING</t>
        </is>
      </c>
      <c r="V3130" s="232" t="inlineStr">
        <is>
          <t>2026-06-18</t>
        </is>
      </c>
    </row>
    <row r="3131">
      <c r="A3131" s="232" t="inlineStr">
        <is>
          <t>CR-3128</t>
        </is>
      </c>
      <c r="B3131" s="232" t="inlineStr">
        <is>
          <t>2026/27</t>
        </is>
      </c>
      <c r="C3131" s="233" t="n">
        <v>46112</v>
      </c>
      <c r="D3131" s="232" t="inlineStr">
        <is>
          <t>269</t>
        </is>
      </c>
      <c r="E3131" s="232" t="inlineStr">
        <is>
          <t>PRORRATEO</t>
        </is>
      </c>
      <c r="F3131" s="232" t="inlineStr">
        <is>
          <t>Santa Catalina</t>
        </is>
      </c>
      <c r="G3131" s="232" t="inlineStr">
        <is>
          <t>mant eureka 2,5 ha</t>
        </is>
      </c>
      <c r="H3131" s="232" t="inlineStr">
        <is>
          <t>Limon</t>
        </is>
      </c>
      <c r="I3131" s="232" t="inlineStr">
        <is>
          <t>Eureka</t>
        </is>
      </c>
      <c r="J3131" s="232" t="inlineStr">
        <is>
          <t>LABORES OPERACIONALES</t>
        </is>
      </c>
      <c r="K3131" s="232" t="inlineStr">
        <is>
          <t>OTROS SERVICIOS</t>
        </is>
      </c>
      <c r="L3131" s="232" t="inlineStr">
        <is>
          <t>[PRORRATEO 1.7% 2.5há/148.3há] SERV.CONTRATISTA</t>
        </is>
      </c>
      <c r="M3131" s="232" t="inlineStr"/>
      <c r="N3131" s="232" t="inlineStr">
        <is>
          <t>.   .   -</t>
        </is>
      </c>
      <c r="O3131" s="232" t="inlineStr">
        <is>
          <t>MARZO</t>
        </is>
      </c>
      <c r="P3131" s="232" t="n">
        <v>13</v>
      </c>
      <c r="Q3131" s="234" t="n">
        <v>8230</v>
      </c>
      <c r="R3131" s="232" t="inlineStr"/>
      <c r="S3131" s="234" t="n">
        <v>8230</v>
      </c>
      <c r="T3131" s="232" t="inlineStr">
        <is>
          <t>CLP</t>
        </is>
      </c>
      <c r="U3131" s="232" t="inlineStr">
        <is>
          <t>Prorrateo Ha PACKING</t>
        </is>
      </c>
      <c r="V3131" s="232" t="inlineStr">
        <is>
          <t>2026-06-18</t>
        </is>
      </c>
    </row>
    <row r="3132">
      <c r="A3132" s="232" t="inlineStr">
        <is>
          <t>CR-3129</t>
        </is>
      </c>
      <c r="B3132" s="232" t="inlineStr">
        <is>
          <t>2026/27</t>
        </is>
      </c>
      <c r="C3132" s="233" t="n">
        <v>46112</v>
      </c>
      <c r="D3132" s="232" t="inlineStr">
        <is>
          <t>269</t>
        </is>
      </c>
      <c r="E3132" s="232" t="inlineStr">
        <is>
          <t>PRORRATEO</t>
        </is>
      </c>
      <c r="F3132" s="232" t="inlineStr">
        <is>
          <t>Siberia</t>
        </is>
      </c>
      <c r="G3132" s="232" t="inlineStr">
        <is>
          <t>S. Celebration 7,14</t>
        </is>
      </c>
      <c r="H3132" s="232" t="inlineStr">
        <is>
          <t>Uvas</t>
        </is>
      </c>
      <c r="I3132" s="232" t="inlineStr">
        <is>
          <t>S. celebration</t>
        </is>
      </c>
      <c r="J3132" s="232" t="inlineStr">
        <is>
          <t>LABORES OPERACIONALES</t>
        </is>
      </c>
      <c r="K3132" s="232" t="inlineStr">
        <is>
          <t>OTROS SERVICIOS</t>
        </is>
      </c>
      <c r="L3132" s="232" t="inlineStr">
        <is>
          <t>[PRORRATEO 4.8% 7.14há/148.3há] SERV.CONTRATISTA</t>
        </is>
      </c>
      <c r="M3132" s="232" t="inlineStr"/>
      <c r="N3132" s="232" t="inlineStr">
        <is>
          <t>.   .   -</t>
        </is>
      </c>
      <c r="O3132" s="232" t="inlineStr">
        <is>
          <t>MARZO</t>
        </is>
      </c>
      <c r="P3132" s="232" t="n">
        <v>13</v>
      </c>
      <c r="Q3132" s="234" t="n">
        <v>23506</v>
      </c>
      <c r="R3132" s="232" t="inlineStr"/>
      <c r="S3132" s="234" t="n">
        <v>23506</v>
      </c>
      <c r="T3132" s="232" t="inlineStr">
        <is>
          <t>CLP</t>
        </is>
      </c>
      <c r="U3132" s="232" t="inlineStr">
        <is>
          <t>Prorrateo Ha PACKING</t>
        </is>
      </c>
      <c r="V3132" s="232" t="inlineStr">
        <is>
          <t>2026-06-18</t>
        </is>
      </c>
    </row>
    <row r="3133">
      <c r="A3133" s="232" t="inlineStr">
        <is>
          <t>CR-3130</t>
        </is>
      </c>
      <c r="B3133" s="232" t="inlineStr">
        <is>
          <t>2026/27</t>
        </is>
      </c>
      <c r="C3133" s="233" t="n">
        <v>46112</v>
      </c>
      <c r="D3133" s="232" t="inlineStr">
        <is>
          <t>269</t>
        </is>
      </c>
      <c r="E3133" s="232" t="inlineStr">
        <is>
          <t>PRORRATEO</t>
        </is>
      </c>
      <c r="F3133" s="232" t="inlineStr">
        <is>
          <t>Siberia</t>
        </is>
      </c>
      <c r="G3133" s="232" t="inlineStr">
        <is>
          <t>Timpson 7,1</t>
        </is>
      </c>
      <c r="H3133" s="232" t="inlineStr">
        <is>
          <t>Uvas</t>
        </is>
      </c>
      <c r="I3133" s="232" t="inlineStr">
        <is>
          <t>Timpson</t>
        </is>
      </c>
      <c r="J3133" s="232" t="inlineStr">
        <is>
          <t>LABORES OPERACIONALES</t>
        </is>
      </c>
      <c r="K3133" s="232" t="inlineStr">
        <is>
          <t>OTROS SERVICIOS</t>
        </is>
      </c>
      <c r="L3133" s="232" t="inlineStr">
        <is>
          <t>[PRORRATEO 4.8% 7.1há/148.3há] SERV.CONTRATISTA</t>
        </is>
      </c>
      <c r="M3133" s="232" t="inlineStr"/>
      <c r="N3133" s="232" t="inlineStr">
        <is>
          <t>.   .   -</t>
        </is>
      </c>
      <c r="O3133" s="232" t="inlineStr">
        <is>
          <t>MARZO</t>
        </is>
      </c>
      <c r="P3133" s="232" t="n">
        <v>13</v>
      </c>
      <c r="Q3133" s="234" t="n">
        <v>23374</v>
      </c>
      <c r="R3133" s="232" t="inlineStr"/>
      <c r="S3133" s="234" t="n">
        <v>23374</v>
      </c>
      <c r="T3133" s="232" t="inlineStr">
        <is>
          <t>CLP</t>
        </is>
      </c>
      <c r="U3133" s="232" t="inlineStr">
        <is>
          <t>Prorrateo Ha PACKING</t>
        </is>
      </c>
      <c r="V3133" s="232" t="inlineStr">
        <is>
          <t>2026-06-18</t>
        </is>
      </c>
    </row>
    <row r="3134">
      <c r="A3134" s="232" t="inlineStr">
        <is>
          <t>CR-3131</t>
        </is>
      </c>
      <c r="B3134" s="232" t="inlineStr">
        <is>
          <t>2026/27</t>
        </is>
      </c>
      <c r="C3134" s="233" t="n">
        <v>46118</v>
      </c>
      <c r="D3134" s="232" t="inlineStr">
        <is>
          <t>38</t>
        </is>
      </c>
      <c r="E3134" s="232" t="inlineStr">
        <is>
          <t>PRORRATEO</t>
        </is>
      </c>
      <c r="F3134" s="232" t="inlineStr">
        <is>
          <t>Asmara</t>
        </is>
      </c>
      <c r="G3134" s="232" t="inlineStr">
        <is>
          <t>w. murcott 19,8 ha</t>
        </is>
      </c>
      <c r="H3134" s="232" t="inlineStr">
        <is>
          <t>Mandarina</t>
        </is>
      </c>
      <c r="I3134" s="232" t="inlineStr">
        <is>
          <t>W. murcott</t>
        </is>
      </c>
      <c r="J3134" s="232" t="inlineStr">
        <is>
          <t>LABORES OPERACIONALES</t>
        </is>
      </c>
      <c r="K3134" s="232" t="inlineStr">
        <is>
          <t>OTROS SERVICIOS</t>
        </is>
      </c>
      <c r="L3134" s="232" t="inlineStr">
        <is>
          <t>[PRORRATEO 13.4% 19.8há/148.3há] SERV.CONTRATISTA</t>
        </is>
      </c>
      <c r="M3134" s="232" t="inlineStr"/>
      <c r="N3134" s="232" t="inlineStr">
        <is>
          <t>.   .   -</t>
        </is>
      </c>
      <c r="O3134" s="232" t="inlineStr">
        <is>
          <t>ABRIL</t>
        </is>
      </c>
      <c r="P3134" s="232" t="n">
        <v>13</v>
      </c>
      <c r="Q3134" s="234" t="n">
        <v>126952</v>
      </c>
      <c r="R3134" s="232" t="inlineStr"/>
      <c r="S3134" s="234" t="n">
        <v>126952</v>
      </c>
      <c r="T3134" s="232" t="inlineStr">
        <is>
          <t>CLP</t>
        </is>
      </c>
      <c r="U3134" s="232" t="inlineStr">
        <is>
          <t>Prorrateo Ha PACKING</t>
        </is>
      </c>
      <c r="V3134" s="232" t="inlineStr">
        <is>
          <t>2026-06-18</t>
        </is>
      </c>
    </row>
    <row r="3135">
      <c r="A3135" s="232" t="inlineStr">
        <is>
          <t>CR-3132</t>
        </is>
      </c>
      <c r="B3135" s="232" t="inlineStr">
        <is>
          <t>2026/27</t>
        </is>
      </c>
      <c r="C3135" s="233" t="n">
        <v>46118</v>
      </c>
      <c r="D3135" s="232" t="inlineStr">
        <is>
          <t>38</t>
        </is>
      </c>
      <c r="E3135" s="232" t="inlineStr">
        <is>
          <t>PRORRATEO</t>
        </is>
      </c>
      <c r="F3135" s="232" t="inlineStr">
        <is>
          <t>Asmara</t>
        </is>
      </c>
      <c r="G3135" s="232" t="inlineStr">
        <is>
          <t>w. murcott 4,9 ha</t>
        </is>
      </c>
      <c r="H3135" s="232" t="inlineStr">
        <is>
          <t>Mandarina</t>
        </is>
      </c>
      <c r="I3135" s="232" t="inlineStr">
        <is>
          <t>W. murcott</t>
        </is>
      </c>
      <c r="J3135" s="232" t="inlineStr">
        <is>
          <t>LABORES OPERACIONALES</t>
        </is>
      </c>
      <c r="K3135" s="232" t="inlineStr">
        <is>
          <t>OTROS SERVICIOS</t>
        </is>
      </c>
      <c r="L3135" s="232" t="inlineStr">
        <is>
          <t>[PRORRATEO 3.3% 4.9há/148.3há] SERV.CONTRATISTA</t>
        </is>
      </c>
      <c r="M3135" s="232" t="inlineStr"/>
      <c r="N3135" s="232" t="inlineStr">
        <is>
          <t>.   .   -</t>
        </is>
      </c>
      <c r="O3135" s="232" t="inlineStr">
        <is>
          <t>ABRIL</t>
        </is>
      </c>
      <c r="P3135" s="232" t="n">
        <v>13</v>
      </c>
      <c r="Q3135" s="234" t="n">
        <v>31417</v>
      </c>
      <c r="R3135" s="232" t="inlineStr"/>
      <c r="S3135" s="234" t="n">
        <v>31417</v>
      </c>
      <c r="T3135" s="232" t="inlineStr">
        <is>
          <t>CLP</t>
        </is>
      </c>
      <c r="U3135" s="232" t="inlineStr">
        <is>
          <t>Prorrateo Ha PACKING</t>
        </is>
      </c>
      <c r="V3135" s="232" t="inlineStr">
        <is>
          <t>2026-06-18</t>
        </is>
      </c>
    </row>
    <row r="3136">
      <c r="A3136" s="232" t="inlineStr">
        <is>
          <t>CR-3133</t>
        </is>
      </c>
      <c r="B3136" s="232" t="inlineStr">
        <is>
          <t>2026/27</t>
        </is>
      </c>
      <c r="C3136" s="233" t="n">
        <v>46118</v>
      </c>
      <c r="D3136" s="232" t="inlineStr">
        <is>
          <t>38</t>
        </is>
      </c>
      <c r="E3136" s="232" t="inlineStr">
        <is>
          <t>PRORRATEO</t>
        </is>
      </c>
      <c r="F3136" s="232" t="inlineStr">
        <is>
          <t>El Molle</t>
        </is>
      </c>
      <c r="G3136" s="232" t="inlineStr">
        <is>
          <t>Wonderful 5,25 ha</t>
        </is>
      </c>
      <c r="H3136" s="232" t="inlineStr">
        <is>
          <t>Granados</t>
        </is>
      </c>
      <c r="I3136" s="232" t="inlineStr">
        <is>
          <t>Wonderfull</t>
        </is>
      </c>
      <c r="J3136" s="232" t="inlineStr">
        <is>
          <t>LABORES OPERACIONALES</t>
        </is>
      </c>
      <c r="K3136" s="232" t="inlineStr">
        <is>
          <t>OTROS SERVICIOS</t>
        </is>
      </c>
      <c r="L3136" s="232" t="inlineStr">
        <is>
          <t>[PRORRATEO 3.5% 5.24há/148.3há] SERV.CONTRATISTA</t>
        </is>
      </c>
      <c r="M3136" s="232" t="inlineStr"/>
      <c r="N3136" s="232" t="inlineStr">
        <is>
          <t>.   .   -</t>
        </is>
      </c>
      <c r="O3136" s="232" t="inlineStr">
        <is>
          <t>ABRIL</t>
        </is>
      </c>
      <c r="P3136" s="232" t="n">
        <v>13</v>
      </c>
      <c r="Q3136" s="234" t="n">
        <v>33597</v>
      </c>
      <c r="R3136" s="232" t="inlineStr"/>
      <c r="S3136" s="234" t="n">
        <v>33597</v>
      </c>
      <c r="T3136" s="232" t="inlineStr">
        <is>
          <t>CLP</t>
        </is>
      </c>
      <c r="U3136" s="232" t="inlineStr">
        <is>
          <t>Prorrateo Ha PACKING</t>
        </is>
      </c>
      <c r="V3136" s="232" t="inlineStr">
        <is>
          <t>2026-06-18</t>
        </is>
      </c>
    </row>
    <row r="3137">
      <c r="A3137" s="232" t="inlineStr">
        <is>
          <t>CR-3134</t>
        </is>
      </c>
      <c r="B3137" s="232" t="inlineStr">
        <is>
          <t>2026/27</t>
        </is>
      </c>
      <c r="C3137" s="233" t="n">
        <v>46118</v>
      </c>
      <c r="D3137" s="232" t="inlineStr">
        <is>
          <t>38</t>
        </is>
      </c>
      <c r="E3137" s="232" t="inlineStr">
        <is>
          <t>PRORRATEO</t>
        </is>
      </c>
      <c r="F3137" s="232" t="inlineStr">
        <is>
          <t>El Molle</t>
        </is>
      </c>
      <c r="G3137" s="232" t="inlineStr">
        <is>
          <t>arrufatinas 5,74 ha</t>
        </is>
      </c>
      <c r="H3137" s="232" t="inlineStr">
        <is>
          <t>Clementinas</t>
        </is>
      </c>
      <c r="I3137" s="232" t="inlineStr">
        <is>
          <t>Arrufatinas</t>
        </is>
      </c>
      <c r="J3137" s="232" t="inlineStr">
        <is>
          <t>LABORES OPERACIONALES</t>
        </is>
      </c>
      <c r="K3137" s="232" t="inlineStr">
        <is>
          <t>OTROS SERVICIOS</t>
        </is>
      </c>
      <c r="L3137" s="232" t="inlineStr">
        <is>
          <t>[PRORRATEO 3.9% 5.74há/148.3há] SERV.CONTRATISTA</t>
        </is>
      </c>
      <c r="M3137" s="232" t="inlineStr"/>
      <c r="N3137" s="232" t="inlineStr">
        <is>
          <t>.   .   -</t>
        </is>
      </c>
      <c r="O3137" s="232" t="inlineStr">
        <is>
          <t>ABRIL</t>
        </is>
      </c>
      <c r="P3137" s="232" t="n">
        <v>13</v>
      </c>
      <c r="Q3137" s="234" t="n">
        <v>36803</v>
      </c>
      <c r="R3137" s="232" t="inlineStr"/>
      <c r="S3137" s="234" t="n">
        <v>36803</v>
      </c>
      <c r="T3137" s="232" t="inlineStr">
        <is>
          <t>CLP</t>
        </is>
      </c>
      <c r="U3137" s="232" t="inlineStr">
        <is>
          <t>Prorrateo Ha PACKING</t>
        </is>
      </c>
      <c r="V3137" s="232" t="inlineStr">
        <is>
          <t>2026-06-18</t>
        </is>
      </c>
    </row>
    <row r="3138">
      <c r="A3138" s="232" t="inlineStr">
        <is>
          <t>CR-3135</t>
        </is>
      </c>
      <c r="B3138" s="232" t="inlineStr">
        <is>
          <t>2026/27</t>
        </is>
      </c>
      <c r="C3138" s="233" t="n">
        <v>46118</v>
      </c>
      <c r="D3138" s="232" t="inlineStr">
        <is>
          <t>38</t>
        </is>
      </c>
      <c r="E3138" s="232" t="inlineStr">
        <is>
          <t>PRORRATEO</t>
        </is>
      </c>
      <c r="F3138" s="232" t="inlineStr">
        <is>
          <t>El Molle</t>
        </is>
      </c>
      <c r="G3138" s="232" t="inlineStr">
        <is>
          <t>orogrande 8,11 ha</t>
        </is>
      </c>
      <c r="H3138" s="232" t="inlineStr">
        <is>
          <t>Clementinas</t>
        </is>
      </c>
      <c r="I3138" s="232" t="inlineStr">
        <is>
          <t>Orogrande</t>
        </is>
      </c>
      <c r="J3138" s="232" t="inlineStr">
        <is>
          <t>LABORES OPERACIONALES</t>
        </is>
      </c>
      <c r="K3138" s="232" t="inlineStr">
        <is>
          <t>OTROS SERVICIOS</t>
        </is>
      </c>
      <c r="L3138" s="232" t="inlineStr">
        <is>
          <t>[PRORRATEO 5.5% 8.11há/148.3há] SERV.CONTRATISTA</t>
        </is>
      </c>
      <c r="M3138" s="232" t="inlineStr"/>
      <c r="N3138" s="232" t="inlineStr">
        <is>
          <t>.   .   -</t>
        </is>
      </c>
      <c r="O3138" s="232" t="inlineStr">
        <is>
          <t>ABRIL</t>
        </is>
      </c>
      <c r="P3138" s="232" t="n">
        <v>13</v>
      </c>
      <c r="Q3138" s="234" t="n">
        <v>51999</v>
      </c>
      <c r="R3138" s="232" t="inlineStr"/>
      <c r="S3138" s="234" t="n">
        <v>51999</v>
      </c>
      <c r="T3138" s="232" t="inlineStr">
        <is>
          <t>CLP</t>
        </is>
      </c>
      <c r="U3138" s="232" t="inlineStr">
        <is>
          <t>Prorrateo Ha PACKING</t>
        </is>
      </c>
      <c r="V3138" s="232" t="inlineStr">
        <is>
          <t>2026-06-18</t>
        </is>
      </c>
    </row>
    <row r="3139">
      <c r="A3139" s="232" t="inlineStr">
        <is>
          <t>CR-3136</t>
        </is>
      </c>
      <c r="B3139" s="232" t="inlineStr">
        <is>
          <t>2026/27</t>
        </is>
      </c>
      <c r="C3139" s="233" t="n">
        <v>46118</v>
      </c>
      <c r="D3139" s="232" t="inlineStr">
        <is>
          <t>38</t>
        </is>
      </c>
      <c r="E3139" s="232" t="inlineStr">
        <is>
          <t>PRORRATEO</t>
        </is>
      </c>
      <c r="F3139" s="232" t="inlineStr">
        <is>
          <t>El Molle</t>
        </is>
      </c>
      <c r="G3139" s="232" t="inlineStr">
        <is>
          <t>oronules 5,35 ha</t>
        </is>
      </c>
      <c r="H3139" s="232" t="inlineStr">
        <is>
          <t>Clementinas</t>
        </is>
      </c>
      <c r="I3139" s="232" t="inlineStr">
        <is>
          <t>Oronules</t>
        </is>
      </c>
      <c r="J3139" s="232" t="inlineStr">
        <is>
          <t>LABORES OPERACIONALES</t>
        </is>
      </c>
      <c r="K3139" s="232" t="inlineStr">
        <is>
          <t>OTROS SERVICIOS</t>
        </is>
      </c>
      <c r="L3139" s="232" t="inlineStr">
        <is>
          <t>[PRORRATEO 3.6% 5.35há/148.3há] SERV.CONTRATISTA</t>
        </is>
      </c>
      <c r="M3139" s="232" t="inlineStr"/>
      <c r="N3139" s="232" t="inlineStr">
        <is>
          <t>.   .   -</t>
        </is>
      </c>
      <c r="O3139" s="232" t="inlineStr">
        <is>
          <t>ABRIL</t>
        </is>
      </c>
      <c r="P3139" s="232" t="n">
        <v>13</v>
      </c>
      <c r="Q3139" s="234" t="n">
        <v>34303</v>
      </c>
      <c r="R3139" s="232" t="inlineStr"/>
      <c r="S3139" s="234" t="n">
        <v>34303</v>
      </c>
      <c r="T3139" s="232" t="inlineStr">
        <is>
          <t>CLP</t>
        </is>
      </c>
      <c r="U3139" s="232" t="inlineStr">
        <is>
          <t>Prorrateo Ha PACKING</t>
        </is>
      </c>
      <c r="V3139" s="232" t="inlineStr">
        <is>
          <t>2026-06-18</t>
        </is>
      </c>
    </row>
    <row r="3140">
      <c r="A3140" s="232" t="inlineStr">
        <is>
          <t>CR-3137</t>
        </is>
      </c>
      <c r="B3140" s="232" t="inlineStr">
        <is>
          <t>2026/27</t>
        </is>
      </c>
      <c r="C3140" s="233" t="n">
        <v>46118</v>
      </c>
      <c r="D3140" s="232" t="inlineStr">
        <is>
          <t>38</t>
        </is>
      </c>
      <c r="E3140" s="232" t="inlineStr">
        <is>
          <t>PRORRATEO</t>
        </is>
      </c>
      <c r="F3140" s="232" t="inlineStr">
        <is>
          <t>Santa Catalina</t>
        </is>
      </c>
      <c r="G3140" s="232" t="inlineStr">
        <is>
          <t>Fino 49 7,7 ha</t>
        </is>
      </c>
      <c r="H3140" s="232" t="inlineStr">
        <is>
          <t>Limon</t>
        </is>
      </c>
      <c r="I3140" s="232" t="inlineStr">
        <is>
          <t>Fino 49</t>
        </is>
      </c>
      <c r="J3140" s="232" t="inlineStr">
        <is>
          <t>LABORES OPERACIONALES</t>
        </is>
      </c>
      <c r="K3140" s="232" t="inlineStr">
        <is>
          <t>OTROS SERVICIOS</t>
        </is>
      </c>
      <c r="L3140" s="232" t="inlineStr">
        <is>
          <t>[PRORRATEO 5.2% 7.7há/148.3há] SERV.CONTRATISTA</t>
        </is>
      </c>
      <c r="M3140" s="232" t="inlineStr"/>
      <c r="N3140" s="232" t="inlineStr">
        <is>
          <t>.   .   -</t>
        </is>
      </c>
      <c r="O3140" s="232" t="inlineStr">
        <is>
          <t>ABRIL</t>
        </is>
      </c>
      <c r="P3140" s="232" t="n">
        <v>13</v>
      </c>
      <c r="Q3140" s="234" t="n">
        <v>49370</v>
      </c>
      <c r="R3140" s="232" t="inlineStr"/>
      <c r="S3140" s="234" t="n">
        <v>49370</v>
      </c>
      <c r="T3140" s="232" t="inlineStr">
        <is>
          <t>CLP</t>
        </is>
      </c>
      <c r="U3140" s="232" t="inlineStr">
        <is>
          <t>Prorrateo Ha PACKING</t>
        </is>
      </c>
      <c r="V3140" s="232" t="inlineStr">
        <is>
          <t>2026-06-18</t>
        </is>
      </c>
    </row>
    <row r="3141">
      <c r="A3141" s="232" t="inlineStr">
        <is>
          <t>CR-3138</t>
        </is>
      </c>
      <c r="B3141" s="232" t="inlineStr">
        <is>
          <t>2026/27</t>
        </is>
      </c>
      <c r="C3141" s="233" t="n">
        <v>46118</v>
      </c>
      <c r="D3141" s="232" t="inlineStr">
        <is>
          <t>38</t>
        </is>
      </c>
      <c r="E3141" s="232" t="inlineStr">
        <is>
          <t>PRORRATEO</t>
        </is>
      </c>
      <c r="F3141" s="232" t="inlineStr">
        <is>
          <t>Santa Catalina</t>
        </is>
      </c>
      <c r="G3141" s="232" t="inlineStr">
        <is>
          <t>W. murcott 21 ha</t>
        </is>
      </c>
      <c r="H3141" s="232" t="inlineStr">
        <is>
          <t>Mandarina</t>
        </is>
      </c>
      <c r="I3141" s="232" t="inlineStr">
        <is>
          <t>W. murcott</t>
        </is>
      </c>
      <c r="J3141" s="232" t="inlineStr">
        <is>
          <t>LABORES OPERACIONALES</t>
        </is>
      </c>
      <c r="K3141" s="232" t="inlineStr">
        <is>
          <t>OTROS SERVICIOS</t>
        </is>
      </c>
      <c r="L3141" s="232" t="inlineStr">
        <is>
          <t>[PRORRATEO 14.2% 21.0há/148.3há] SERV.CONTRATISTA</t>
        </is>
      </c>
      <c r="M3141" s="232" t="inlineStr"/>
      <c r="N3141" s="232" t="inlineStr">
        <is>
          <t>.   .   -</t>
        </is>
      </c>
      <c r="O3141" s="232" t="inlineStr">
        <is>
          <t>ABRIL</t>
        </is>
      </c>
      <c r="P3141" s="232" t="n">
        <v>13</v>
      </c>
      <c r="Q3141" s="234" t="n">
        <v>134646</v>
      </c>
      <c r="R3141" s="232" t="inlineStr"/>
      <c r="S3141" s="234" t="n">
        <v>134646</v>
      </c>
      <c r="T3141" s="232" t="inlineStr">
        <is>
          <t>CLP</t>
        </is>
      </c>
      <c r="U3141" s="232" t="inlineStr">
        <is>
          <t>Prorrateo Ha PACKING</t>
        </is>
      </c>
      <c r="V3141" s="232" t="inlineStr">
        <is>
          <t>2026-06-18</t>
        </is>
      </c>
    </row>
    <row r="3142">
      <c r="A3142" s="232" t="inlineStr">
        <is>
          <t>CR-3139</t>
        </is>
      </c>
      <c r="B3142" s="232" t="inlineStr">
        <is>
          <t>2026/27</t>
        </is>
      </c>
      <c r="C3142" s="233" t="n">
        <v>46118</v>
      </c>
      <c r="D3142" s="232" t="inlineStr">
        <is>
          <t>38</t>
        </is>
      </c>
      <c r="E3142" s="232" t="inlineStr">
        <is>
          <t>PRORRATEO</t>
        </is>
      </c>
      <c r="F3142" s="232" t="inlineStr">
        <is>
          <t>Santa Catalina</t>
        </is>
      </c>
      <c r="G3142" s="232" t="inlineStr">
        <is>
          <t>cambria 4,2 ha</t>
        </is>
      </c>
      <c r="H3142" s="232" t="inlineStr">
        <is>
          <t>Naranjas</t>
        </is>
      </c>
      <c r="I3142" s="232" t="inlineStr">
        <is>
          <t>Cambria</t>
        </is>
      </c>
      <c r="J3142" s="232" t="inlineStr">
        <is>
          <t>LABORES OPERACIONALES</t>
        </is>
      </c>
      <c r="K3142" s="232" t="inlineStr">
        <is>
          <t>OTROS SERVICIOS</t>
        </is>
      </c>
      <c r="L3142" s="232" t="inlineStr">
        <is>
          <t>[PRORRATEO 2.8% 4.2há/148.3há] SERV.CONTRATISTA</t>
        </is>
      </c>
      <c r="M3142" s="232" t="inlineStr"/>
      <c r="N3142" s="232" t="inlineStr">
        <is>
          <t>.   .   -</t>
        </is>
      </c>
      <c r="O3142" s="232" t="inlineStr">
        <is>
          <t>ABRIL</t>
        </is>
      </c>
      <c r="P3142" s="232" t="n">
        <v>13</v>
      </c>
      <c r="Q3142" s="234" t="n">
        <v>26929</v>
      </c>
      <c r="R3142" s="232" t="inlineStr"/>
      <c r="S3142" s="234" t="n">
        <v>26929</v>
      </c>
      <c r="T3142" s="232" t="inlineStr">
        <is>
          <t>CLP</t>
        </is>
      </c>
      <c r="U3142" s="232" t="inlineStr">
        <is>
          <t>Prorrateo Ha PACKING</t>
        </is>
      </c>
      <c r="V3142" s="232" t="inlineStr">
        <is>
          <t>2026-06-18</t>
        </is>
      </c>
    </row>
    <row r="3143">
      <c r="A3143" s="232" t="inlineStr">
        <is>
          <t>CR-3140</t>
        </is>
      </c>
      <c r="B3143" s="232" t="inlineStr">
        <is>
          <t>2026/27</t>
        </is>
      </c>
      <c r="C3143" s="233" t="n">
        <v>46118</v>
      </c>
      <c r="D3143" s="232" t="inlineStr">
        <is>
          <t>38</t>
        </is>
      </c>
      <c r="E3143" s="232" t="inlineStr">
        <is>
          <t>PRORRATEO</t>
        </is>
      </c>
      <c r="F3143" s="232" t="inlineStr">
        <is>
          <t>Santa Catalina</t>
        </is>
      </c>
      <c r="G3143" s="232" t="inlineStr">
        <is>
          <t>eureka 10,6 ha</t>
        </is>
      </c>
      <c r="H3143" s="232" t="inlineStr">
        <is>
          <t>Limon</t>
        </is>
      </c>
      <c r="I3143" s="232" t="inlineStr">
        <is>
          <t>Eureka</t>
        </is>
      </c>
      <c r="J3143" s="232" t="inlineStr">
        <is>
          <t>LABORES OPERACIONALES</t>
        </is>
      </c>
      <c r="K3143" s="232" t="inlineStr">
        <is>
          <t>OTROS SERVICIOS</t>
        </is>
      </c>
      <c r="L3143" s="232" t="inlineStr">
        <is>
          <t>[PRORRATEO 7.1% 10.6há/148.3há] SERV.CONTRATISTA</t>
        </is>
      </c>
      <c r="M3143" s="232" t="inlineStr"/>
      <c r="N3143" s="232" t="inlineStr">
        <is>
          <t>.   .   -</t>
        </is>
      </c>
      <c r="O3143" s="232" t="inlineStr">
        <is>
          <t>ABRIL</t>
        </is>
      </c>
      <c r="P3143" s="232" t="n">
        <v>13</v>
      </c>
      <c r="Q3143" s="234" t="n">
        <v>67964</v>
      </c>
      <c r="R3143" s="232" t="inlineStr"/>
      <c r="S3143" s="234" t="n">
        <v>67964</v>
      </c>
      <c r="T3143" s="232" t="inlineStr">
        <is>
          <t>CLP</t>
        </is>
      </c>
      <c r="U3143" s="232" t="inlineStr">
        <is>
          <t>Prorrateo Ha PACKING</t>
        </is>
      </c>
      <c r="V3143" s="232" t="inlineStr">
        <is>
          <t>2026-06-18</t>
        </is>
      </c>
    </row>
    <row r="3144">
      <c r="A3144" s="232" t="inlineStr">
        <is>
          <t>CR-3141</t>
        </is>
      </c>
      <c r="B3144" s="232" t="inlineStr">
        <is>
          <t>2026/27</t>
        </is>
      </c>
      <c r="C3144" s="233" t="n">
        <v>46118</v>
      </c>
      <c r="D3144" s="232" t="inlineStr">
        <is>
          <t>38</t>
        </is>
      </c>
      <c r="E3144" s="232" t="inlineStr">
        <is>
          <t>PRORRATEO</t>
        </is>
      </c>
      <c r="F3144" s="232" t="inlineStr">
        <is>
          <t>Santa Catalina</t>
        </is>
      </c>
      <c r="G3144" s="232" t="inlineStr">
        <is>
          <t>eureka 14,4 ha</t>
        </is>
      </c>
      <c r="H3144" s="232" t="inlineStr">
        <is>
          <t>Limon</t>
        </is>
      </c>
      <c r="I3144" s="232" t="inlineStr">
        <is>
          <t>Eureka</t>
        </is>
      </c>
      <c r="J3144" s="232" t="inlineStr">
        <is>
          <t>LABORES OPERACIONALES</t>
        </is>
      </c>
      <c r="K3144" s="232" t="inlineStr">
        <is>
          <t>OTROS SERVICIOS</t>
        </is>
      </c>
      <c r="L3144" s="232" t="inlineStr">
        <is>
          <t>[PRORRATEO 9.7% 14.4há/148.3há] SERV.CONTRATISTA</t>
        </is>
      </c>
      <c r="M3144" s="232" t="inlineStr"/>
      <c r="N3144" s="232" t="inlineStr">
        <is>
          <t>.   .   -</t>
        </is>
      </c>
      <c r="O3144" s="232" t="inlineStr">
        <is>
          <t>ABRIL</t>
        </is>
      </c>
      <c r="P3144" s="232" t="n">
        <v>13</v>
      </c>
      <c r="Q3144" s="234" t="n">
        <v>92329</v>
      </c>
      <c r="R3144" s="232" t="inlineStr"/>
      <c r="S3144" s="234" t="n">
        <v>92329</v>
      </c>
      <c r="T3144" s="232" t="inlineStr">
        <is>
          <t>CLP</t>
        </is>
      </c>
      <c r="U3144" s="232" t="inlineStr">
        <is>
          <t>Prorrateo Ha PACKING</t>
        </is>
      </c>
      <c r="V3144" s="232" t="inlineStr">
        <is>
          <t>2026-06-18</t>
        </is>
      </c>
    </row>
    <row r="3145">
      <c r="A3145" s="232" t="inlineStr">
        <is>
          <t>CR-3142</t>
        </is>
      </c>
      <c r="B3145" s="232" t="inlineStr">
        <is>
          <t>2026/27</t>
        </is>
      </c>
      <c r="C3145" s="233" t="n">
        <v>46118</v>
      </c>
      <c r="D3145" s="232" t="inlineStr">
        <is>
          <t>38</t>
        </is>
      </c>
      <c r="E3145" s="232" t="inlineStr">
        <is>
          <t>PRORRATEO</t>
        </is>
      </c>
      <c r="F3145" s="232" t="inlineStr">
        <is>
          <t>Santa Catalina</t>
        </is>
      </c>
      <c r="G3145" s="232" t="inlineStr">
        <is>
          <t>eureka 22,55</t>
        </is>
      </c>
      <c r="H3145" s="232" t="inlineStr">
        <is>
          <t>Limon</t>
        </is>
      </c>
      <c r="I3145" s="232" t="inlineStr">
        <is>
          <t>Eureka</t>
        </is>
      </c>
      <c r="J3145" s="232" t="inlineStr">
        <is>
          <t>LABORES OPERACIONALES</t>
        </is>
      </c>
      <c r="K3145" s="232" t="inlineStr">
        <is>
          <t>OTROS SERVICIOS</t>
        </is>
      </c>
      <c r="L3145" s="232" t="inlineStr">
        <is>
          <t>[PRORRATEO 15.2% 22.55há/148.3há] SERV.CONTRATISTA</t>
        </is>
      </c>
      <c r="M3145" s="232" t="inlineStr"/>
      <c r="N3145" s="232" t="inlineStr">
        <is>
          <t>.   .   -</t>
        </is>
      </c>
      <c r="O3145" s="232" t="inlineStr">
        <is>
          <t>ABRIL</t>
        </is>
      </c>
      <c r="P3145" s="232" t="n">
        <v>13</v>
      </c>
      <c r="Q3145" s="234" t="n">
        <v>144584</v>
      </c>
      <c r="R3145" s="232" t="inlineStr"/>
      <c r="S3145" s="234" t="n">
        <v>144584</v>
      </c>
      <c r="T3145" s="232" t="inlineStr">
        <is>
          <t>CLP</t>
        </is>
      </c>
      <c r="U3145" s="232" t="inlineStr">
        <is>
          <t>Prorrateo Ha PACKING</t>
        </is>
      </c>
      <c r="V3145" s="232" t="inlineStr">
        <is>
          <t>2026-06-18</t>
        </is>
      </c>
    </row>
    <row r="3146">
      <c r="A3146" s="232" t="inlineStr">
        <is>
          <t>CR-3143</t>
        </is>
      </c>
      <c r="B3146" s="232" t="inlineStr">
        <is>
          <t>2026/27</t>
        </is>
      </c>
      <c r="C3146" s="233" t="n">
        <v>46118</v>
      </c>
      <c r="D3146" s="232" t="inlineStr">
        <is>
          <t>38</t>
        </is>
      </c>
      <c r="E3146" s="232" t="inlineStr">
        <is>
          <t>PRORRATEO</t>
        </is>
      </c>
      <c r="F3146" s="232" t="inlineStr">
        <is>
          <t>Santa Catalina</t>
        </is>
      </c>
      <c r="G3146" s="232" t="inlineStr">
        <is>
          <t>form benjamin 1,93 ha</t>
        </is>
      </c>
      <c r="H3146" s="232" t="inlineStr">
        <is>
          <t>Limon</t>
        </is>
      </c>
      <c r="I3146" s="232" t="inlineStr">
        <is>
          <t>Benjamin andes</t>
        </is>
      </c>
      <c r="J3146" s="232" t="inlineStr">
        <is>
          <t>LABORES OPERACIONALES</t>
        </is>
      </c>
      <c r="K3146" s="232" t="inlineStr">
        <is>
          <t>OTROS SERVICIOS</t>
        </is>
      </c>
      <c r="L3146" s="232" t="inlineStr">
        <is>
          <t>[PRORRATEO 1.3% 1.93há/148.3há] SERV.CONTRATISTA</t>
        </is>
      </c>
      <c r="M3146" s="232" t="inlineStr"/>
      <c r="N3146" s="232" t="inlineStr">
        <is>
          <t>.   .   -</t>
        </is>
      </c>
      <c r="O3146" s="232" t="inlineStr">
        <is>
          <t>ABRIL</t>
        </is>
      </c>
      <c r="P3146" s="232" t="n">
        <v>13</v>
      </c>
      <c r="Q3146" s="234" t="n">
        <v>12375</v>
      </c>
      <c r="R3146" s="232" t="inlineStr"/>
      <c r="S3146" s="234" t="n">
        <v>12375</v>
      </c>
      <c r="T3146" s="232" t="inlineStr">
        <is>
          <t>CLP</t>
        </is>
      </c>
      <c r="U3146" s="232" t="inlineStr">
        <is>
          <t>Prorrateo Ha PACKING</t>
        </is>
      </c>
      <c r="V3146" s="232" t="inlineStr">
        <is>
          <t>2026-06-18</t>
        </is>
      </c>
    </row>
    <row r="3147">
      <c r="A3147" s="232" t="inlineStr">
        <is>
          <t>CR-3144</t>
        </is>
      </c>
      <c r="B3147" s="232" t="inlineStr">
        <is>
          <t>2026/27</t>
        </is>
      </c>
      <c r="C3147" s="233" t="n">
        <v>46118</v>
      </c>
      <c r="D3147" s="232" t="inlineStr">
        <is>
          <t>38</t>
        </is>
      </c>
      <c r="E3147" s="232" t="inlineStr">
        <is>
          <t>PRORRATEO</t>
        </is>
      </c>
      <c r="F3147" s="232" t="inlineStr">
        <is>
          <t>Santa Catalina</t>
        </is>
      </c>
      <c r="G3147" s="232" t="inlineStr">
        <is>
          <t>mant eureka 2,5 ha</t>
        </is>
      </c>
      <c r="H3147" s="232" t="inlineStr">
        <is>
          <t>Limon</t>
        </is>
      </c>
      <c r="I3147" s="232" t="inlineStr">
        <is>
          <t>Eureka</t>
        </is>
      </c>
      <c r="J3147" s="232" t="inlineStr">
        <is>
          <t>LABORES OPERACIONALES</t>
        </is>
      </c>
      <c r="K3147" s="232" t="inlineStr">
        <is>
          <t>OTROS SERVICIOS</t>
        </is>
      </c>
      <c r="L3147" s="232" t="inlineStr">
        <is>
          <t>[PRORRATEO 1.7% 2.5há/148.3há] SERV.CONTRATISTA</t>
        </is>
      </c>
      <c r="M3147" s="232" t="inlineStr"/>
      <c r="N3147" s="232" t="inlineStr">
        <is>
          <t>.   .   -</t>
        </is>
      </c>
      <c r="O3147" s="232" t="inlineStr">
        <is>
          <t>ABRIL</t>
        </is>
      </c>
      <c r="P3147" s="232" t="n">
        <v>13</v>
      </c>
      <c r="Q3147" s="234" t="n">
        <v>16029</v>
      </c>
      <c r="R3147" s="232" t="inlineStr"/>
      <c r="S3147" s="234" t="n">
        <v>16029</v>
      </c>
      <c r="T3147" s="232" t="inlineStr">
        <is>
          <t>CLP</t>
        </is>
      </c>
      <c r="U3147" s="232" t="inlineStr">
        <is>
          <t>Prorrateo Ha PACKING</t>
        </is>
      </c>
      <c r="V3147" s="232" t="inlineStr">
        <is>
          <t>2026-06-18</t>
        </is>
      </c>
    </row>
    <row r="3148">
      <c r="A3148" s="232" t="inlineStr">
        <is>
          <t>CR-3145</t>
        </is>
      </c>
      <c r="B3148" s="232" t="inlineStr">
        <is>
          <t>2026/27</t>
        </is>
      </c>
      <c r="C3148" s="233" t="n">
        <v>46118</v>
      </c>
      <c r="D3148" s="232" t="inlineStr">
        <is>
          <t>38</t>
        </is>
      </c>
      <c r="E3148" s="232" t="inlineStr">
        <is>
          <t>PRORRATEO</t>
        </is>
      </c>
      <c r="F3148" s="232" t="inlineStr">
        <is>
          <t>Siberia</t>
        </is>
      </c>
      <c r="G3148" s="232" t="inlineStr">
        <is>
          <t>S. Celebration 7,14</t>
        </is>
      </c>
      <c r="H3148" s="232" t="inlineStr">
        <is>
          <t>Uvas</t>
        </is>
      </c>
      <c r="I3148" s="232" t="inlineStr">
        <is>
          <t>S. celebration</t>
        </is>
      </c>
      <c r="J3148" s="232" t="inlineStr">
        <is>
          <t>LABORES OPERACIONALES</t>
        </is>
      </c>
      <c r="K3148" s="232" t="inlineStr">
        <is>
          <t>OTROS SERVICIOS</t>
        </is>
      </c>
      <c r="L3148" s="232" t="inlineStr">
        <is>
          <t>[PRORRATEO 4.8% 7.14há/148.3há] SERV.CONTRATISTA</t>
        </is>
      </c>
      <c r="M3148" s="232" t="inlineStr"/>
      <c r="N3148" s="232" t="inlineStr">
        <is>
          <t>.   .   -</t>
        </is>
      </c>
      <c r="O3148" s="232" t="inlineStr">
        <is>
          <t>ABRIL</t>
        </is>
      </c>
      <c r="P3148" s="232" t="n">
        <v>13</v>
      </c>
      <c r="Q3148" s="234" t="n">
        <v>45780</v>
      </c>
      <c r="R3148" s="232" t="inlineStr"/>
      <c r="S3148" s="234" t="n">
        <v>45780</v>
      </c>
      <c r="T3148" s="232" t="inlineStr">
        <is>
          <t>CLP</t>
        </is>
      </c>
      <c r="U3148" s="232" t="inlineStr">
        <is>
          <t>Prorrateo Ha PACKING</t>
        </is>
      </c>
      <c r="V3148" s="232" t="inlineStr">
        <is>
          <t>2026-06-18</t>
        </is>
      </c>
    </row>
    <row r="3149">
      <c r="A3149" s="232" t="inlineStr">
        <is>
          <t>CR-3146</t>
        </is>
      </c>
      <c r="B3149" s="232" t="inlineStr">
        <is>
          <t>2026/27</t>
        </is>
      </c>
      <c r="C3149" s="233" t="n">
        <v>46118</v>
      </c>
      <c r="D3149" s="232" t="inlineStr">
        <is>
          <t>38</t>
        </is>
      </c>
      <c r="E3149" s="232" t="inlineStr">
        <is>
          <t>PRORRATEO</t>
        </is>
      </c>
      <c r="F3149" s="232" t="inlineStr">
        <is>
          <t>Siberia</t>
        </is>
      </c>
      <c r="G3149" s="232" t="inlineStr">
        <is>
          <t>Timpson 7,1</t>
        </is>
      </c>
      <c r="H3149" s="232" t="inlineStr">
        <is>
          <t>Uvas</t>
        </is>
      </c>
      <c r="I3149" s="232" t="inlineStr">
        <is>
          <t>Timpson</t>
        </is>
      </c>
      <c r="J3149" s="232" t="inlineStr">
        <is>
          <t>LABORES OPERACIONALES</t>
        </is>
      </c>
      <c r="K3149" s="232" t="inlineStr">
        <is>
          <t>OTROS SERVICIOS</t>
        </is>
      </c>
      <c r="L3149" s="232" t="inlineStr">
        <is>
          <t>[PRORRATEO 4.8% 7.1há/148.3há] SERV.CONTRATISTA</t>
        </is>
      </c>
      <c r="M3149" s="232" t="inlineStr"/>
      <c r="N3149" s="232" t="inlineStr">
        <is>
          <t>.   .   -</t>
        </is>
      </c>
      <c r="O3149" s="232" t="inlineStr">
        <is>
          <t>ABRIL</t>
        </is>
      </c>
      <c r="P3149" s="232" t="n">
        <v>13</v>
      </c>
      <c r="Q3149" s="234" t="n">
        <v>45523</v>
      </c>
      <c r="R3149" s="232" t="inlineStr"/>
      <c r="S3149" s="234" t="n">
        <v>45523</v>
      </c>
      <c r="T3149" s="232" t="inlineStr">
        <is>
          <t>CLP</t>
        </is>
      </c>
      <c r="U3149" s="232" t="inlineStr">
        <is>
          <t>Prorrateo Ha PACKING</t>
        </is>
      </c>
      <c r="V3149" s="232" t="inlineStr">
        <is>
          <t>2026-06-18</t>
        </is>
      </c>
    </row>
    <row r="3150">
      <c r="A3150" s="232" t="inlineStr">
        <is>
          <t>CR-3147</t>
        </is>
      </c>
      <c r="B3150" s="232" t="inlineStr">
        <is>
          <t>2026/27</t>
        </is>
      </c>
      <c r="C3150" s="233" t="n">
        <v>46120</v>
      </c>
      <c r="D3150" s="232" t="inlineStr">
        <is>
          <t>443147</t>
        </is>
      </c>
      <c r="E3150" s="232" t="inlineStr">
        <is>
          <t>PRORRATEO</t>
        </is>
      </c>
      <c r="F3150" s="232" t="inlineStr">
        <is>
          <t>Asmara</t>
        </is>
      </c>
      <c r="G3150" s="232" t="inlineStr">
        <is>
          <t>w. murcott 19,8 ha</t>
        </is>
      </c>
      <c r="H3150" s="232" t="inlineStr">
        <is>
          <t>Mandarina</t>
        </is>
      </c>
      <c r="I3150" s="232" t="inlineStr">
        <is>
          <t>W. murcott</t>
        </is>
      </c>
      <c r="J3150" s="232" t="inlineStr">
        <is>
          <t>MANT. Y REP. PLANTACIONES</t>
        </is>
      </c>
      <c r="K3150" s="232" t="inlineStr">
        <is>
          <t>MANTENCION HUERTO</t>
        </is>
      </c>
      <c r="L3150" s="232" t="inlineStr">
        <is>
          <t>[PRORRATEO 13.4% 19.8há/148.3há] O/001560 RASCHEL 80</t>
        </is>
      </c>
      <c r="M3150" s="232" t="inlineStr"/>
      <c r="N3150" s="232" t="inlineStr">
        <is>
          <t>.   .   -</t>
        </is>
      </c>
      <c r="O3150" s="232" t="inlineStr">
        <is>
          <t>ABRIL</t>
        </is>
      </c>
      <c r="P3150" s="232" t="n">
        <v>14</v>
      </c>
      <c r="Q3150" s="234" t="n">
        <v>15150</v>
      </c>
      <c r="R3150" s="232" t="inlineStr"/>
      <c r="S3150" s="234" t="n">
        <v>15150</v>
      </c>
      <c r="T3150" s="232" t="inlineStr">
        <is>
          <t>CLP</t>
        </is>
      </c>
      <c r="U3150" s="232" t="inlineStr">
        <is>
          <t>Prorrateo Ha BODEGA</t>
        </is>
      </c>
      <c r="V3150" s="232" t="inlineStr">
        <is>
          <t>2026-06-18</t>
        </is>
      </c>
    </row>
    <row r="3151">
      <c r="A3151" s="232" t="inlineStr">
        <is>
          <t>CR-3148</t>
        </is>
      </c>
      <c r="B3151" s="232" t="inlineStr">
        <is>
          <t>2026/27</t>
        </is>
      </c>
      <c r="C3151" s="233" t="n">
        <v>46120</v>
      </c>
      <c r="D3151" s="232" t="inlineStr">
        <is>
          <t>443147</t>
        </is>
      </c>
      <c r="E3151" s="232" t="inlineStr">
        <is>
          <t>PRORRATEO</t>
        </is>
      </c>
      <c r="F3151" s="232" t="inlineStr">
        <is>
          <t>Asmara</t>
        </is>
      </c>
      <c r="G3151" s="232" t="inlineStr">
        <is>
          <t>w. murcott 4,9 ha</t>
        </is>
      </c>
      <c r="H3151" s="232" t="inlineStr">
        <is>
          <t>Mandarina</t>
        </is>
      </c>
      <c r="I3151" s="232" t="inlineStr">
        <is>
          <t>W. murcott</t>
        </is>
      </c>
      <c r="J3151" s="232" t="inlineStr">
        <is>
          <t>MANT. Y REP. PLANTACIONES</t>
        </is>
      </c>
      <c r="K3151" s="232" t="inlineStr">
        <is>
          <t>MANTENCION HUERTO</t>
        </is>
      </c>
      <c r="L3151" s="232" t="inlineStr">
        <is>
          <t>[PRORRATEO 3.3% 4.9há/148.3há] O/001560 RASCHEL 80</t>
        </is>
      </c>
      <c r="M3151" s="232" t="inlineStr"/>
      <c r="N3151" s="232" t="inlineStr">
        <is>
          <t>.   .   -</t>
        </is>
      </c>
      <c r="O3151" s="232" t="inlineStr">
        <is>
          <t>ABRIL</t>
        </is>
      </c>
      <c r="P3151" s="232" t="n">
        <v>14</v>
      </c>
      <c r="Q3151" s="234" t="n">
        <v>3749</v>
      </c>
      <c r="R3151" s="232" t="inlineStr"/>
      <c r="S3151" s="234" t="n">
        <v>3749</v>
      </c>
      <c r="T3151" s="232" t="inlineStr">
        <is>
          <t>CLP</t>
        </is>
      </c>
      <c r="U3151" s="232" t="inlineStr">
        <is>
          <t>Prorrateo Ha BODEGA</t>
        </is>
      </c>
      <c r="V3151" s="232" t="inlineStr">
        <is>
          <t>2026-06-18</t>
        </is>
      </c>
    </row>
    <row r="3152">
      <c r="A3152" s="232" t="inlineStr">
        <is>
          <t>CR-3149</t>
        </is>
      </c>
      <c r="B3152" s="232" t="inlineStr">
        <is>
          <t>2026/27</t>
        </is>
      </c>
      <c r="C3152" s="233" t="n">
        <v>46120</v>
      </c>
      <c r="D3152" s="232" t="inlineStr">
        <is>
          <t>443147</t>
        </is>
      </c>
      <c r="E3152" s="232" t="inlineStr">
        <is>
          <t>PRORRATEO</t>
        </is>
      </c>
      <c r="F3152" s="232" t="inlineStr">
        <is>
          <t>El Molle</t>
        </is>
      </c>
      <c r="G3152" s="232" t="inlineStr">
        <is>
          <t>Wonderful 5,25 ha</t>
        </is>
      </c>
      <c r="H3152" s="232" t="inlineStr">
        <is>
          <t>Granados</t>
        </is>
      </c>
      <c r="I3152" s="232" t="inlineStr">
        <is>
          <t>Wonderfull</t>
        </is>
      </c>
      <c r="J3152" s="232" t="inlineStr">
        <is>
          <t>MANT. Y REP. PLANTACIONES</t>
        </is>
      </c>
      <c r="K3152" s="232" t="inlineStr">
        <is>
          <t>MANTENCION HUERTO</t>
        </is>
      </c>
      <c r="L3152" s="232" t="inlineStr">
        <is>
          <t>[PRORRATEO 3.5% 5.24há/148.3há] O/001560 RASCHEL 80</t>
        </is>
      </c>
      <c r="M3152" s="232" t="inlineStr"/>
      <c r="N3152" s="232" t="inlineStr">
        <is>
          <t>.   .   -</t>
        </is>
      </c>
      <c r="O3152" s="232" t="inlineStr">
        <is>
          <t>ABRIL</t>
        </is>
      </c>
      <c r="P3152" s="232" t="n">
        <v>14</v>
      </c>
      <c r="Q3152" s="234" t="n">
        <v>4010</v>
      </c>
      <c r="R3152" s="232" t="inlineStr"/>
      <c r="S3152" s="234" t="n">
        <v>4010</v>
      </c>
      <c r="T3152" s="232" t="inlineStr">
        <is>
          <t>CLP</t>
        </is>
      </c>
      <c r="U3152" s="232" t="inlineStr">
        <is>
          <t>Prorrateo Ha BODEGA</t>
        </is>
      </c>
      <c r="V3152" s="232" t="inlineStr">
        <is>
          <t>2026-06-18</t>
        </is>
      </c>
    </row>
    <row r="3153">
      <c r="A3153" s="232" t="inlineStr">
        <is>
          <t>CR-3150</t>
        </is>
      </c>
      <c r="B3153" s="232" t="inlineStr">
        <is>
          <t>2026/27</t>
        </is>
      </c>
      <c r="C3153" s="233" t="n">
        <v>46120</v>
      </c>
      <c r="D3153" s="232" t="inlineStr">
        <is>
          <t>443147</t>
        </is>
      </c>
      <c r="E3153" s="232" t="inlineStr">
        <is>
          <t>PRORRATEO</t>
        </is>
      </c>
      <c r="F3153" s="232" t="inlineStr">
        <is>
          <t>El Molle</t>
        </is>
      </c>
      <c r="G3153" s="232" t="inlineStr">
        <is>
          <t>arrufatinas 5,74 ha</t>
        </is>
      </c>
      <c r="H3153" s="232" t="inlineStr">
        <is>
          <t>Clementinas</t>
        </is>
      </c>
      <c r="I3153" s="232" t="inlineStr">
        <is>
          <t>Arrufatinas</t>
        </is>
      </c>
      <c r="J3153" s="232" t="inlineStr">
        <is>
          <t>MANT. Y REP. PLANTACIONES</t>
        </is>
      </c>
      <c r="K3153" s="232" t="inlineStr">
        <is>
          <t>MANTENCION HUERTO</t>
        </is>
      </c>
      <c r="L3153" s="232" t="inlineStr">
        <is>
          <t>[PRORRATEO 3.9% 5.74há/148.3há] O/001560 RASCHEL 80</t>
        </is>
      </c>
      <c r="M3153" s="232" t="inlineStr"/>
      <c r="N3153" s="232" t="inlineStr">
        <is>
          <t>.   .   -</t>
        </is>
      </c>
      <c r="O3153" s="232" t="inlineStr">
        <is>
          <t>ABRIL</t>
        </is>
      </c>
      <c r="P3153" s="232" t="n">
        <v>14</v>
      </c>
      <c r="Q3153" s="234" t="n">
        <v>4392</v>
      </c>
      <c r="R3153" s="232" t="inlineStr"/>
      <c r="S3153" s="234" t="n">
        <v>4392</v>
      </c>
      <c r="T3153" s="232" t="inlineStr">
        <is>
          <t>CLP</t>
        </is>
      </c>
      <c r="U3153" s="232" t="inlineStr">
        <is>
          <t>Prorrateo Ha BODEGA</t>
        </is>
      </c>
      <c r="V3153" s="232" t="inlineStr">
        <is>
          <t>2026-06-18</t>
        </is>
      </c>
    </row>
    <row r="3154">
      <c r="A3154" s="232" t="inlineStr">
        <is>
          <t>CR-3151</t>
        </is>
      </c>
      <c r="B3154" s="232" t="inlineStr">
        <is>
          <t>2026/27</t>
        </is>
      </c>
      <c r="C3154" s="233" t="n">
        <v>46120</v>
      </c>
      <c r="D3154" s="232" t="inlineStr">
        <is>
          <t>443147</t>
        </is>
      </c>
      <c r="E3154" s="232" t="inlineStr">
        <is>
          <t>PRORRATEO</t>
        </is>
      </c>
      <c r="F3154" s="232" t="inlineStr">
        <is>
          <t>El Molle</t>
        </is>
      </c>
      <c r="G3154" s="232" t="inlineStr">
        <is>
          <t>orogrande 8,11 ha</t>
        </is>
      </c>
      <c r="H3154" s="232" t="inlineStr">
        <is>
          <t>Clementinas</t>
        </is>
      </c>
      <c r="I3154" s="232" t="inlineStr">
        <is>
          <t>Orogrande</t>
        </is>
      </c>
      <c r="J3154" s="232" t="inlineStr">
        <is>
          <t>MANT. Y REP. PLANTACIONES</t>
        </is>
      </c>
      <c r="K3154" s="232" t="inlineStr">
        <is>
          <t>MANTENCION HUERTO</t>
        </is>
      </c>
      <c r="L3154" s="232" t="inlineStr">
        <is>
          <t>[PRORRATEO 5.5% 8.11há/148.3há] O/001560 RASCHEL 80</t>
        </is>
      </c>
      <c r="M3154" s="232" t="inlineStr"/>
      <c r="N3154" s="232" t="inlineStr">
        <is>
          <t>.   .   -</t>
        </is>
      </c>
      <c r="O3154" s="232" t="inlineStr">
        <is>
          <t>ABRIL</t>
        </is>
      </c>
      <c r="P3154" s="232" t="n">
        <v>14</v>
      </c>
      <c r="Q3154" s="234" t="n">
        <v>6206</v>
      </c>
      <c r="R3154" s="232" t="inlineStr"/>
      <c r="S3154" s="234" t="n">
        <v>6206</v>
      </c>
      <c r="T3154" s="232" t="inlineStr">
        <is>
          <t>CLP</t>
        </is>
      </c>
      <c r="U3154" s="232" t="inlineStr">
        <is>
          <t>Prorrateo Ha BODEGA</t>
        </is>
      </c>
      <c r="V3154" s="232" t="inlineStr">
        <is>
          <t>2026-06-18</t>
        </is>
      </c>
    </row>
    <row r="3155">
      <c r="A3155" s="232" t="inlineStr">
        <is>
          <t>CR-3152</t>
        </is>
      </c>
      <c r="B3155" s="232" t="inlineStr">
        <is>
          <t>2026/27</t>
        </is>
      </c>
      <c r="C3155" s="233" t="n">
        <v>46120</v>
      </c>
      <c r="D3155" s="232" t="inlineStr">
        <is>
          <t>443147</t>
        </is>
      </c>
      <c r="E3155" s="232" t="inlineStr">
        <is>
          <t>PRORRATEO</t>
        </is>
      </c>
      <c r="F3155" s="232" t="inlineStr">
        <is>
          <t>El Molle</t>
        </is>
      </c>
      <c r="G3155" s="232" t="inlineStr">
        <is>
          <t>oronules 5,35 ha</t>
        </is>
      </c>
      <c r="H3155" s="232" t="inlineStr">
        <is>
          <t>Clementinas</t>
        </is>
      </c>
      <c r="I3155" s="232" t="inlineStr">
        <is>
          <t>Oronules</t>
        </is>
      </c>
      <c r="J3155" s="232" t="inlineStr">
        <is>
          <t>MANT. Y REP. PLANTACIONES</t>
        </is>
      </c>
      <c r="K3155" s="232" t="inlineStr">
        <is>
          <t>MANTENCION HUERTO</t>
        </is>
      </c>
      <c r="L3155" s="232" t="inlineStr">
        <is>
          <t>[PRORRATEO 3.6% 5.35há/148.3há] O/001560 RASCHEL 80</t>
        </is>
      </c>
      <c r="M3155" s="232" t="inlineStr"/>
      <c r="N3155" s="232" t="inlineStr">
        <is>
          <t>.   .   -</t>
        </is>
      </c>
      <c r="O3155" s="232" t="inlineStr">
        <is>
          <t>ABRIL</t>
        </is>
      </c>
      <c r="P3155" s="232" t="n">
        <v>14</v>
      </c>
      <c r="Q3155" s="234" t="n">
        <v>4094</v>
      </c>
      <c r="R3155" s="232" t="inlineStr"/>
      <c r="S3155" s="234" t="n">
        <v>4094</v>
      </c>
      <c r="T3155" s="232" t="inlineStr">
        <is>
          <t>CLP</t>
        </is>
      </c>
      <c r="U3155" s="232" t="inlineStr">
        <is>
          <t>Prorrateo Ha BODEGA</t>
        </is>
      </c>
      <c r="V3155" s="232" t="inlineStr">
        <is>
          <t>2026-06-18</t>
        </is>
      </c>
    </row>
    <row r="3156">
      <c r="A3156" s="232" t="inlineStr">
        <is>
          <t>CR-3153</t>
        </is>
      </c>
      <c r="B3156" s="232" t="inlineStr">
        <is>
          <t>2026/27</t>
        </is>
      </c>
      <c r="C3156" s="233" t="n">
        <v>46120</v>
      </c>
      <c r="D3156" s="232" t="inlineStr">
        <is>
          <t>443147</t>
        </is>
      </c>
      <c r="E3156" s="232" t="inlineStr">
        <is>
          <t>PRORRATEO</t>
        </is>
      </c>
      <c r="F3156" s="232" t="inlineStr">
        <is>
          <t>Santa Catalina</t>
        </is>
      </c>
      <c r="G3156" s="232" t="inlineStr">
        <is>
          <t>Fino 49 7,7 ha</t>
        </is>
      </c>
      <c r="H3156" s="232" t="inlineStr">
        <is>
          <t>Limon</t>
        </is>
      </c>
      <c r="I3156" s="232" t="inlineStr">
        <is>
          <t>Fino 49</t>
        </is>
      </c>
      <c r="J3156" s="232" t="inlineStr">
        <is>
          <t>MANT. Y REP. PLANTACIONES</t>
        </is>
      </c>
      <c r="K3156" s="232" t="inlineStr">
        <is>
          <t>MANTENCION HUERTO</t>
        </is>
      </c>
      <c r="L3156" s="232" t="inlineStr">
        <is>
          <t>[PRORRATEO 5.2% 7.7há/148.3há] O/001560 RASCHEL 80</t>
        </is>
      </c>
      <c r="M3156" s="232" t="inlineStr"/>
      <c r="N3156" s="232" t="inlineStr">
        <is>
          <t>.   .   -</t>
        </is>
      </c>
      <c r="O3156" s="232" t="inlineStr">
        <is>
          <t>ABRIL</t>
        </is>
      </c>
      <c r="P3156" s="232" t="n">
        <v>14</v>
      </c>
      <c r="Q3156" s="234" t="n">
        <v>5892</v>
      </c>
      <c r="R3156" s="232" t="inlineStr"/>
      <c r="S3156" s="234" t="n">
        <v>5892</v>
      </c>
      <c r="T3156" s="232" t="inlineStr">
        <is>
          <t>CLP</t>
        </is>
      </c>
      <c r="U3156" s="232" t="inlineStr">
        <is>
          <t>Prorrateo Ha BODEGA</t>
        </is>
      </c>
      <c r="V3156" s="232" t="inlineStr">
        <is>
          <t>2026-06-18</t>
        </is>
      </c>
    </row>
    <row r="3157">
      <c r="A3157" s="232" t="inlineStr">
        <is>
          <t>CR-3154</t>
        </is>
      </c>
      <c r="B3157" s="232" t="inlineStr">
        <is>
          <t>2026/27</t>
        </is>
      </c>
      <c r="C3157" s="233" t="n">
        <v>46120</v>
      </c>
      <c r="D3157" s="232" t="inlineStr">
        <is>
          <t>443147</t>
        </is>
      </c>
      <c r="E3157" s="232" t="inlineStr">
        <is>
          <t>PRORRATEO</t>
        </is>
      </c>
      <c r="F3157" s="232" t="inlineStr">
        <is>
          <t>Santa Catalina</t>
        </is>
      </c>
      <c r="G3157" s="232" t="inlineStr">
        <is>
          <t>W. murcott 21 ha</t>
        </is>
      </c>
      <c r="H3157" s="232" t="inlineStr">
        <is>
          <t>Mandarina</t>
        </is>
      </c>
      <c r="I3157" s="232" t="inlineStr">
        <is>
          <t>W. murcott</t>
        </is>
      </c>
      <c r="J3157" s="232" t="inlineStr">
        <is>
          <t>MANT. Y REP. PLANTACIONES</t>
        </is>
      </c>
      <c r="K3157" s="232" t="inlineStr">
        <is>
          <t>MANTENCION HUERTO</t>
        </is>
      </c>
      <c r="L3157" s="232" t="inlineStr">
        <is>
          <t>[PRORRATEO 14.2% 21.0há/148.3há] O/001560 RASCHEL 80</t>
        </is>
      </c>
      <c r="M3157" s="232" t="inlineStr"/>
      <c r="N3157" s="232" t="inlineStr">
        <is>
          <t>.   .   -</t>
        </is>
      </c>
      <c r="O3157" s="232" t="inlineStr">
        <is>
          <t>ABRIL</t>
        </is>
      </c>
      <c r="P3157" s="232" t="n">
        <v>14</v>
      </c>
      <c r="Q3157" s="234" t="n">
        <v>16069</v>
      </c>
      <c r="R3157" s="232" t="inlineStr"/>
      <c r="S3157" s="234" t="n">
        <v>16069</v>
      </c>
      <c r="T3157" s="232" t="inlineStr">
        <is>
          <t>CLP</t>
        </is>
      </c>
      <c r="U3157" s="232" t="inlineStr">
        <is>
          <t>Prorrateo Ha BODEGA</t>
        </is>
      </c>
      <c r="V3157" s="232" t="inlineStr">
        <is>
          <t>2026-06-18</t>
        </is>
      </c>
    </row>
    <row r="3158">
      <c r="A3158" s="232" t="inlineStr">
        <is>
          <t>CR-3155</t>
        </is>
      </c>
      <c r="B3158" s="232" t="inlineStr">
        <is>
          <t>2026/27</t>
        </is>
      </c>
      <c r="C3158" s="233" t="n">
        <v>46120</v>
      </c>
      <c r="D3158" s="232" t="inlineStr">
        <is>
          <t>443147</t>
        </is>
      </c>
      <c r="E3158" s="232" t="inlineStr">
        <is>
          <t>PRORRATEO</t>
        </is>
      </c>
      <c r="F3158" s="232" t="inlineStr">
        <is>
          <t>Santa Catalina</t>
        </is>
      </c>
      <c r="G3158" s="232" t="inlineStr">
        <is>
          <t>cambria 4,2 ha</t>
        </is>
      </c>
      <c r="H3158" s="232" t="inlineStr">
        <is>
          <t>Naranjas</t>
        </is>
      </c>
      <c r="I3158" s="232" t="inlineStr">
        <is>
          <t>Cambria</t>
        </is>
      </c>
      <c r="J3158" s="232" t="inlineStr">
        <is>
          <t>MANT. Y REP. PLANTACIONES</t>
        </is>
      </c>
      <c r="K3158" s="232" t="inlineStr">
        <is>
          <t>MANTENCION HUERTO</t>
        </is>
      </c>
      <c r="L3158" s="232" t="inlineStr">
        <is>
          <t>[PRORRATEO 2.8% 4.2há/148.3há] O/001560 RASCHEL 80</t>
        </is>
      </c>
      <c r="M3158" s="232" t="inlineStr"/>
      <c r="N3158" s="232" t="inlineStr">
        <is>
          <t>.   .   -</t>
        </is>
      </c>
      <c r="O3158" s="232" t="inlineStr">
        <is>
          <t>ABRIL</t>
        </is>
      </c>
      <c r="P3158" s="232" t="n">
        <v>14</v>
      </c>
      <c r="Q3158" s="234" t="n">
        <v>3214</v>
      </c>
      <c r="R3158" s="232" t="inlineStr"/>
      <c r="S3158" s="234" t="n">
        <v>3214</v>
      </c>
      <c r="T3158" s="232" t="inlineStr">
        <is>
          <t>CLP</t>
        </is>
      </c>
      <c r="U3158" s="232" t="inlineStr">
        <is>
          <t>Prorrateo Ha BODEGA</t>
        </is>
      </c>
      <c r="V3158" s="232" t="inlineStr">
        <is>
          <t>2026-06-18</t>
        </is>
      </c>
    </row>
    <row r="3159">
      <c r="A3159" s="232" t="inlineStr">
        <is>
          <t>CR-3156</t>
        </is>
      </c>
      <c r="B3159" s="232" t="inlineStr">
        <is>
          <t>2026/27</t>
        </is>
      </c>
      <c r="C3159" s="233" t="n">
        <v>46120</v>
      </c>
      <c r="D3159" s="232" t="inlineStr">
        <is>
          <t>443147</t>
        </is>
      </c>
      <c r="E3159" s="232" t="inlineStr">
        <is>
          <t>PRORRATEO</t>
        </is>
      </c>
      <c r="F3159" s="232" t="inlineStr">
        <is>
          <t>Santa Catalina</t>
        </is>
      </c>
      <c r="G3159" s="232" t="inlineStr">
        <is>
          <t>eureka 10,6 ha</t>
        </is>
      </c>
      <c r="H3159" s="232" t="inlineStr">
        <is>
          <t>Limon</t>
        </is>
      </c>
      <c r="I3159" s="232" t="inlineStr">
        <is>
          <t>Eureka</t>
        </is>
      </c>
      <c r="J3159" s="232" t="inlineStr">
        <is>
          <t>MANT. Y REP. PLANTACIONES</t>
        </is>
      </c>
      <c r="K3159" s="232" t="inlineStr">
        <is>
          <t>MANTENCION HUERTO</t>
        </is>
      </c>
      <c r="L3159" s="232" t="inlineStr">
        <is>
          <t>[PRORRATEO 7.1% 10.6há/148.3há] O/001560 RASCHEL 80</t>
        </is>
      </c>
      <c r="M3159" s="232" t="inlineStr"/>
      <c r="N3159" s="232" t="inlineStr">
        <is>
          <t>.   .   -</t>
        </is>
      </c>
      <c r="O3159" s="232" t="inlineStr">
        <is>
          <t>ABRIL</t>
        </is>
      </c>
      <c r="P3159" s="232" t="n">
        <v>14</v>
      </c>
      <c r="Q3159" s="234" t="n">
        <v>8111</v>
      </c>
      <c r="R3159" s="232" t="inlineStr"/>
      <c r="S3159" s="234" t="n">
        <v>8111</v>
      </c>
      <c r="T3159" s="232" t="inlineStr">
        <is>
          <t>CLP</t>
        </is>
      </c>
      <c r="U3159" s="232" t="inlineStr">
        <is>
          <t>Prorrateo Ha BODEGA</t>
        </is>
      </c>
      <c r="V3159" s="232" t="inlineStr">
        <is>
          <t>2026-06-18</t>
        </is>
      </c>
    </row>
    <row r="3160">
      <c r="A3160" s="232" t="inlineStr">
        <is>
          <t>CR-3157</t>
        </is>
      </c>
      <c r="B3160" s="232" t="inlineStr">
        <is>
          <t>2026/27</t>
        </is>
      </c>
      <c r="C3160" s="233" t="n">
        <v>46120</v>
      </c>
      <c r="D3160" s="232" t="inlineStr">
        <is>
          <t>443147</t>
        </is>
      </c>
      <c r="E3160" s="232" t="inlineStr">
        <is>
          <t>PRORRATEO</t>
        </is>
      </c>
      <c r="F3160" s="232" t="inlineStr">
        <is>
          <t>Santa Catalina</t>
        </is>
      </c>
      <c r="G3160" s="232" t="inlineStr">
        <is>
          <t>eureka 14,4 ha</t>
        </is>
      </c>
      <c r="H3160" s="232" t="inlineStr">
        <is>
          <t>Limon</t>
        </is>
      </c>
      <c r="I3160" s="232" t="inlineStr">
        <is>
          <t>Eureka</t>
        </is>
      </c>
      <c r="J3160" s="232" t="inlineStr">
        <is>
          <t>MANT. Y REP. PLANTACIONES</t>
        </is>
      </c>
      <c r="K3160" s="232" t="inlineStr">
        <is>
          <t>MANTENCION HUERTO</t>
        </is>
      </c>
      <c r="L3160" s="232" t="inlineStr">
        <is>
          <t>[PRORRATEO 9.7% 14.4há/148.3há] O/001560 RASCHEL 80</t>
        </is>
      </c>
      <c r="M3160" s="232" t="inlineStr"/>
      <c r="N3160" s="232" t="inlineStr">
        <is>
          <t>.   .   -</t>
        </is>
      </c>
      <c r="O3160" s="232" t="inlineStr">
        <is>
          <t>ABRIL</t>
        </is>
      </c>
      <c r="P3160" s="232" t="n">
        <v>14</v>
      </c>
      <c r="Q3160" s="234" t="n">
        <v>11019</v>
      </c>
      <c r="R3160" s="232" t="inlineStr"/>
      <c r="S3160" s="234" t="n">
        <v>11019</v>
      </c>
      <c r="T3160" s="232" t="inlineStr">
        <is>
          <t>CLP</t>
        </is>
      </c>
      <c r="U3160" s="232" t="inlineStr">
        <is>
          <t>Prorrateo Ha BODEGA</t>
        </is>
      </c>
      <c r="V3160" s="232" t="inlineStr">
        <is>
          <t>2026-06-18</t>
        </is>
      </c>
    </row>
    <row r="3161">
      <c r="A3161" s="232" t="inlineStr">
        <is>
          <t>CR-3158</t>
        </is>
      </c>
      <c r="B3161" s="232" t="inlineStr">
        <is>
          <t>2026/27</t>
        </is>
      </c>
      <c r="C3161" s="233" t="n">
        <v>46120</v>
      </c>
      <c r="D3161" s="232" t="inlineStr">
        <is>
          <t>443147</t>
        </is>
      </c>
      <c r="E3161" s="232" t="inlineStr">
        <is>
          <t>PRORRATEO</t>
        </is>
      </c>
      <c r="F3161" s="232" t="inlineStr">
        <is>
          <t>Santa Catalina</t>
        </is>
      </c>
      <c r="G3161" s="232" t="inlineStr">
        <is>
          <t>eureka 22,55</t>
        </is>
      </c>
      <c r="H3161" s="232" t="inlineStr">
        <is>
          <t>Limon</t>
        </is>
      </c>
      <c r="I3161" s="232" t="inlineStr">
        <is>
          <t>Eureka</t>
        </is>
      </c>
      <c r="J3161" s="232" t="inlineStr">
        <is>
          <t>MANT. Y REP. PLANTACIONES</t>
        </is>
      </c>
      <c r="K3161" s="232" t="inlineStr">
        <is>
          <t>MANTENCION HUERTO</t>
        </is>
      </c>
      <c r="L3161" s="232" t="inlineStr">
        <is>
          <t>[PRORRATEO 15.2% 22.55há/148.3há] O/001560 RASCHEL 80</t>
        </is>
      </c>
      <c r="M3161" s="232" t="inlineStr"/>
      <c r="N3161" s="232" t="inlineStr">
        <is>
          <t>.   .   -</t>
        </is>
      </c>
      <c r="O3161" s="232" t="inlineStr">
        <is>
          <t>ABRIL</t>
        </is>
      </c>
      <c r="P3161" s="232" t="n">
        <v>14</v>
      </c>
      <c r="Q3161" s="234" t="n">
        <v>17255</v>
      </c>
      <c r="R3161" s="232" t="inlineStr"/>
      <c r="S3161" s="234" t="n">
        <v>17255</v>
      </c>
      <c r="T3161" s="232" t="inlineStr">
        <is>
          <t>CLP</t>
        </is>
      </c>
      <c r="U3161" s="232" t="inlineStr">
        <is>
          <t>Prorrateo Ha BODEGA</t>
        </is>
      </c>
      <c r="V3161" s="232" t="inlineStr">
        <is>
          <t>2026-06-18</t>
        </is>
      </c>
    </row>
    <row r="3162">
      <c r="A3162" s="232" t="inlineStr">
        <is>
          <t>CR-3159</t>
        </is>
      </c>
      <c r="B3162" s="232" t="inlineStr">
        <is>
          <t>2026/27</t>
        </is>
      </c>
      <c r="C3162" s="233" t="n">
        <v>46120</v>
      </c>
      <c r="D3162" s="232" t="inlineStr">
        <is>
          <t>443147</t>
        </is>
      </c>
      <c r="E3162" s="232" t="inlineStr">
        <is>
          <t>PRORRATEO</t>
        </is>
      </c>
      <c r="F3162" s="232" t="inlineStr">
        <is>
          <t>Santa Catalina</t>
        </is>
      </c>
      <c r="G3162" s="232" t="inlineStr">
        <is>
          <t>form benjamin 1,93 ha</t>
        </is>
      </c>
      <c r="H3162" s="232" t="inlineStr">
        <is>
          <t>Limon</t>
        </is>
      </c>
      <c r="I3162" s="232" t="inlineStr">
        <is>
          <t>Benjamin andes</t>
        </is>
      </c>
      <c r="J3162" s="232" t="inlineStr">
        <is>
          <t>MANT. Y REP. PLANTACIONES</t>
        </is>
      </c>
      <c r="K3162" s="232" t="inlineStr">
        <is>
          <t>MANTENCION HUERTO</t>
        </is>
      </c>
      <c r="L3162" s="232" t="inlineStr">
        <is>
          <t>[PRORRATEO 1.3% 1.93há/148.3há] O/001560 RASCHEL 80</t>
        </is>
      </c>
      <c r="M3162" s="232" t="inlineStr"/>
      <c r="N3162" s="232" t="inlineStr">
        <is>
          <t>.   .   -</t>
        </is>
      </c>
      <c r="O3162" s="232" t="inlineStr">
        <is>
          <t>ABRIL</t>
        </is>
      </c>
      <c r="P3162" s="232" t="n">
        <v>14</v>
      </c>
      <c r="Q3162" s="234" t="n">
        <v>1477</v>
      </c>
      <c r="R3162" s="232" t="inlineStr"/>
      <c r="S3162" s="234" t="n">
        <v>1477</v>
      </c>
      <c r="T3162" s="232" t="inlineStr">
        <is>
          <t>CLP</t>
        </is>
      </c>
      <c r="U3162" s="232" t="inlineStr">
        <is>
          <t>Prorrateo Ha BODEGA</t>
        </is>
      </c>
      <c r="V3162" s="232" t="inlineStr">
        <is>
          <t>2026-06-18</t>
        </is>
      </c>
    </row>
    <row r="3163">
      <c r="A3163" s="232" t="inlineStr">
        <is>
          <t>CR-3160</t>
        </is>
      </c>
      <c r="B3163" s="232" t="inlineStr">
        <is>
          <t>2026/27</t>
        </is>
      </c>
      <c r="C3163" s="233" t="n">
        <v>46120</v>
      </c>
      <c r="D3163" s="232" t="inlineStr">
        <is>
          <t>443147</t>
        </is>
      </c>
      <c r="E3163" s="232" t="inlineStr">
        <is>
          <t>PRORRATEO</t>
        </is>
      </c>
      <c r="F3163" s="232" t="inlineStr">
        <is>
          <t>Santa Catalina</t>
        </is>
      </c>
      <c r="G3163" s="232" t="inlineStr">
        <is>
          <t>mant eureka 2,5 ha</t>
        </is>
      </c>
      <c r="H3163" s="232" t="inlineStr">
        <is>
          <t>Limon</t>
        </is>
      </c>
      <c r="I3163" s="232" t="inlineStr">
        <is>
          <t>Eureka</t>
        </is>
      </c>
      <c r="J3163" s="232" t="inlineStr">
        <is>
          <t>MANT. Y REP. PLANTACIONES</t>
        </is>
      </c>
      <c r="K3163" s="232" t="inlineStr">
        <is>
          <t>MANTENCION HUERTO</t>
        </is>
      </c>
      <c r="L3163" s="232" t="inlineStr">
        <is>
          <t>[PRORRATEO 1.7% 2.5há/148.3há] O/001560 RASCHEL 80</t>
        </is>
      </c>
      <c r="M3163" s="232" t="inlineStr"/>
      <c r="N3163" s="232" t="inlineStr">
        <is>
          <t>.   .   -</t>
        </is>
      </c>
      <c r="O3163" s="232" t="inlineStr">
        <is>
          <t>ABRIL</t>
        </is>
      </c>
      <c r="P3163" s="232" t="n">
        <v>14</v>
      </c>
      <c r="Q3163" s="234" t="n">
        <v>1913</v>
      </c>
      <c r="R3163" s="232" t="inlineStr"/>
      <c r="S3163" s="234" t="n">
        <v>1913</v>
      </c>
      <c r="T3163" s="232" t="inlineStr">
        <is>
          <t>CLP</t>
        </is>
      </c>
      <c r="U3163" s="232" t="inlineStr">
        <is>
          <t>Prorrateo Ha BODEGA</t>
        </is>
      </c>
      <c r="V3163" s="232" t="inlineStr">
        <is>
          <t>2026-06-18</t>
        </is>
      </c>
    </row>
    <row r="3164">
      <c r="A3164" s="232" t="inlineStr">
        <is>
          <t>CR-3161</t>
        </is>
      </c>
      <c r="B3164" s="232" t="inlineStr">
        <is>
          <t>2026/27</t>
        </is>
      </c>
      <c r="C3164" s="233" t="n">
        <v>46120</v>
      </c>
      <c r="D3164" s="232" t="inlineStr">
        <is>
          <t>443147</t>
        </is>
      </c>
      <c r="E3164" s="232" t="inlineStr">
        <is>
          <t>PRORRATEO</t>
        </is>
      </c>
      <c r="F3164" s="232" t="inlineStr">
        <is>
          <t>Siberia</t>
        </is>
      </c>
      <c r="G3164" s="232" t="inlineStr">
        <is>
          <t>S. Celebration 7,14</t>
        </is>
      </c>
      <c r="H3164" s="232" t="inlineStr">
        <is>
          <t>Uvas</t>
        </is>
      </c>
      <c r="I3164" s="232" t="inlineStr">
        <is>
          <t>S. celebration</t>
        </is>
      </c>
      <c r="J3164" s="232" t="inlineStr">
        <is>
          <t>MANT. Y REP. PLANTACIONES</t>
        </is>
      </c>
      <c r="K3164" s="232" t="inlineStr">
        <is>
          <t>MANTENCION HUERTO</t>
        </is>
      </c>
      <c r="L3164" s="232" t="inlineStr">
        <is>
          <t>[PRORRATEO 4.8% 7.14há/148.3há] O/001560 RASCHEL 80</t>
        </is>
      </c>
      <c r="M3164" s="232" t="inlineStr"/>
      <c r="N3164" s="232" t="inlineStr">
        <is>
          <t>.   .   -</t>
        </is>
      </c>
      <c r="O3164" s="232" t="inlineStr">
        <is>
          <t>ABRIL</t>
        </is>
      </c>
      <c r="P3164" s="232" t="n">
        <v>14</v>
      </c>
      <c r="Q3164" s="234" t="n">
        <v>5463</v>
      </c>
      <c r="R3164" s="232" t="inlineStr"/>
      <c r="S3164" s="234" t="n">
        <v>5463</v>
      </c>
      <c r="T3164" s="232" t="inlineStr">
        <is>
          <t>CLP</t>
        </is>
      </c>
      <c r="U3164" s="232" t="inlineStr">
        <is>
          <t>Prorrateo Ha BODEGA</t>
        </is>
      </c>
      <c r="V3164" s="232" t="inlineStr">
        <is>
          <t>2026-06-18</t>
        </is>
      </c>
    </row>
    <row r="3165">
      <c r="A3165" s="232" t="inlineStr">
        <is>
          <t>CR-3162</t>
        </is>
      </c>
      <c r="B3165" s="232" t="inlineStr">
        <is>
          <t>2026/27</t>
        </is>
      </c>
      <c r="C3165" s="233" t="n">
        <v>46120</v>
      </c>
      <c r="D3165" s="232" t="inlineStr">
        <is>
          <t>443147</t>
        </is>
      </c>
      <c r="E3165" s="232" t="inlineStr">
        <is>
          <t>PRORRATEO</t>
        </is>
      </c>
      <c r="F3165" s="232" t="inlineStr">
        <is>
          <t>Siberia</t>
        </is>
      </c>
      <c r="G3165" s="232" t="inlineStr">
        <is>
          <t>Timpson 7,1</t>
        </is>
      </c>
      <c r="H3165" s="232" t="inlineStr">
        <is>
          <t>Uvas</t>
        </is>
      </c>
      <c r="I3165" s="232" t="inlineStr">
        <is>
          <t>Timpson</t>
        </is>
      </c>
      <c r="J3165" s="232" t="inlineStr">
        <is>
          <t>MANT. Y REP. PLANTACIONES</t>
        </is>
      </c>
      <c r="K3165" s="232" t="inlineStr">
        <is>
          <t>MANTENCION HUERTO</t>
        </is>
      </c>
      <c r="L3165" s="232" t="inlineStr">
        <is>
          <t>[PRORRATEO 4.8% 7.1há/148.3há] O/001560 RASCHEL 80</t>
        </is>
      </c>
      <c r="M3165" s="232" t="inlineStr"/>
      <c r="N3165" s="232" t="inlineStr">
        <is>
          <t>.   .   -</t>
        </is>
      </c>
      <c r="O3165" s="232" t="inlineStr">
        <is>
          <t>ABRIL</t>
        </is>
      </c>
      <c r="P3165" s="232" t="n">
        <v>14</v>
      </c>
      <c r="Q3165" s="234" t="n">
        <v>5433</v>
      </c>
      <c r="R3165" s="232" t="inlineStr"/>
      <c r="S3165" s="234" t="n">
        <v>5433</v>
      </c>
      <c r="T3165" s="232" t="inlineStr">
        <is>
          <t>CLP</t>
        </is>
      </c>
      <c r="U3165" s="232" t="inlineStr">
        <is>
          <t>Prorrateo Ha BODEGA</t>
        </is>
      </c>
      <c r="V3165" s="232" t="inlineStr">
        <is>
          <t>2026-06-18</t>
        </is>
      </c>
    </row>
    <row r="3166">
      <c r="A3166" s="232" t="inlineStr">
        <is>
          <t>CR-3163</t>
        </is>
      </c>
      <c r="B3166" s="232" t="inlineStr">
        <is>
          <t>2026/27</t>
        </is>
      </c>
      <c r="C3166" s="233" t="n">
        <v>46120</v>
      </c>
      <c r="D3166" s="232" t="inlineStr">
        <is>
          <t>8463</t>
        </is>
      </c>
      <c r="E3166" s="232" t="inlineStr">
        <is>
          <t>PRORRATEO</t>
        </is>
      </c>
      <c r="F3166" s="232" t="inlineStr">
        <is>
          <t>Asmara</t>
        </is>
      </c>
      <c r="G3166" s="232" t="inlineStr">
        <is>
          <t>w. murcott 19,8 ha</t>
        </is>
      </c>
      <c r="H3166" s="232" t="inlineStr">
        <is>
          <t>Mandarina</t>
        </is>
      </c>
      <c r="I3166" s="232" t="inlineStr">
        <is>
          <t>W. murcott</t>
        </is>
      </c>
      <c r="J3166" s="232" t="inlineStr">
        <is>
          <t>FLETES</t>
        </is>
      </c>
      <c r="K3166" s="232" t="inlineStr">
        <is>
          <t>FLETE FRUTA</t>
        </is>
      </c>
      <c r="L3166" s="232" t="inlineStr">
        <is>
          <t>[PRORRATEO 13.4% 19.8há/148.3há] O/001577 FLETE</t>
        </is>
      </c>
      <c r="M3166" s="232" t="inlineStr"/>
      <c r="N3166" s="232" t="inlineStr">
        <is>
          <t>.   .   -</t>
        </is>
      </c>
      <c r="O3166" s="232" t="inlineStr">
        <is>
          <t>ABRIL</t>
        </is>
      </c>
      <c r="P3166" s="232" t="n">
        <v>14</v>
      </c>
      <c r="Q3166" s="234" t="n">
        <v>75455</v>
      </c>
      <c r="R3166" s="232" t="inlineStr"/>
      <c r="S3166" s="234" t="n">
        <v>75455</v>
      </c>
      <c r="T3166" s="232" t="inlineStr">
        <is>
          <t>CLP</t>
        </is>
      </c>
      <c r="U3166" s="232" t="inlineStr">
        <is>
          <t>Prorrateo Ha PACKING</t>
        </is>
      </c>
      <c r="V3166" s="232" t="inlineStr">
        <is>
          <t>2026-06-18</t>
        </is>
      </c>
    </row>
    <row r="3167">
      <c r="A3167" s="232" t="inlineStr">
        <is>
          <t>CR-3164</t>
        </is>
      </c>
      <c r="B3167" s="232" t="inlineStr">
        <is>
          <t>2026/27</t>
        </is>
      </c>
      <c r="C3167" s="233" t="n">
        <v>46120</v>
      </c>
      <c r="D3167" s="232" t="inlineStr">
        <is>
          <t>8463</t>
        </is>
      </c>
      <c r="E3167" s="232" t="inlineStr">
        <is>
          <t>PRORRATEO</t>
        </is>
      </c>
      <c r="F3167" s="232" t="inlineStr">
        <is>
          <t>Asmara</t>
        </is>
      </c>
      <c r="G3167" s="232" t="inlineStr">
        <is>
          <t>w. murcott 4,9 ha</t>
        </is>
      </c>
      <c r="H3167" s="232" t="inlineStr">
        <is>
          <t>Mandarina</t>
        </is>
      </c>
      <c r="I3167" s="232" t="inlineStr">
        <is>
          <t>W. murcott</t>
        </is>
      </c>
      <c r="J3167" s="232" t="inlineStr">
        <is>
          <t>FLETES</t>
        </is>
      </c>
      <c r="K3167" s="232" t="inlineStr">
        <is>
          <t>FLETE FRUTA</t>
        </is>
      </c>
      <c r="L3167" s="232" t="inlineStr">
        <is>
          <t>[PRORRATEO 3.3% 4.9há/148.3há] O/001577 FLETE</t>
        </is>
      </c>
      <c r="M3167" s="232" t="inlineStr"/>
      <c r="N3167" s="232" t="inlineStr">
        <is>
          <t>.   .   -</t>
        </is>
      </c>
      <c r="O3167" s="232" t="inlineStr">
        <is>
          <t>ABRIL</t>
        </is>
      </c>
      <c r="P3167" s="232" t="n">
        <v>14</v>
      </c>
      <c r="Q3167" s="234" t="n">
        <v>18673</v>
      </c>
      <c r="R3167" s="232" t="inlineStr"/>
      <c r="S3167" s="234" t="n">
        <v>18673</v>
      </c>
      <c r="T3167" s="232" t="inlineStr">
        <is>
          <t>CLP</t>
        </is>
      </c>
      <c r="U3167" s="232" t="inlineStr">
        <is>
          <t>Prorrateo Ha PACKING</t>
        </is>
      </c>
      <c r="V3167" s="232" t="inlineStr">
        <is>
          <t>2026-06-18</t>
        </is>
      </c>
    </row>
    <row r="3168">
      <c r="A3168" s="232" t="inlineStr">
        <is>
          <t>CR-3165</t>
        </is>
      </c>
      <c r="B3168" s="232" t="inlineStr">
        <is>
          <t>2026/27</t>
        </is>
      </c>
      <c r="C3168" s="233" t="n">
        <v>46120</v>
      </c>
      <c r="D3168" s="232" t="inlineStr">
        <is>
          <t>8463</t>
        </is>
      </c>
      <c r="E3168" s="232" t="inlineStr">
        <is>
          <t>PRORRATEO</t>
        </is>
      </c>
      <c r="F3168" s="232" t="inlineStr">
        <is>
          <t>El Molle</t>
        </is>
      </c>
      <c r="G3168" s="232" t="inlineStr">
        <is>
          <t>Wonderful 5,25 ha</t>
        </is>
      </c>
      <c r="H3168" s="232" t="inlineStr">
        <is>
          <t>Granados</t>
        </is>
      </c>
      <c r="I3168" s="232" t="inlineStr">
        <is>
          <t>Wonderfull</t>
        </is>
      </c>
      <c r="J3168" s="232" t="inlineStr">
        <is>
          <t>FLETES</t>
        </is>
      </c>
      <c r="K3168" s="232" t="inlineStr">
        <is>
          <t>FLETE FRUTA</t>
        </is>
      </c>
      <c r="L3168" s="232" t="inlineStr">
        <is>
          <t>[PRORRATEO 3.5% 5.24há/148.3há] O/001577 FLETE</t>
        </is>
      </c>
      <c r="M3168" s="232" t="inlineStr"/>
      <c r="N3168" s="232" t="inlineStr">
        <is>
          <t>.   .   -</t>
        </is>
      </c>
      <c r="O3168" s="232" t="inlineStr">
        <is>
          <t>ABRIL</t>
        </is>
      </c>
      <c r="P3168" s="232" t="n">
        <v>14</v>
      </c>
      <c r="Q3168" s="234" t="n">
        <v>19969</v>
      </c>
      <c r="R3168" s="232" t="inlineStr"/>
      <c r="S3168" s="234" t="n">
        <v>19969</v>
      </c>
      <c r="T3168" s="232" t="inlineStr">
        <is>
          <t>CLP</t>
        </is>
      </c>
      <c r="U3168" s="232" t="inlineStr">
        <is>
          <t>Prorrateo Ha PACKING</t>
        </is>
      </c>
      <c r="V3168" s="232" t="inlineStr">
        <is>
          <t>2026-06-18</t>
        </is>
      </c>
    </row>
    <row r="3169">
      <c r="A3169" s="232" t="inlineStr">
        <is>
          <t>CR-3166</t>
        </is>
      </c>
      <c r="B3169" s="232" t="inlineStr">
        <is>
          <t>2026/27</t>
        </is>
      </c>
      <c r="C3169" s="233" t="n">
        <v>46120</v>
      </c>
      <c r="D3169" s="232" t="inlineStr">
        <is>
          <t>8463</t>
        </is>
      </c>
      <c r="E3169" s="232" t="inlineStr">
        <is>
          <t>PRORRATEO</t>
        </is>
      </c>
      <c r="F3169" s="232" t="inlineStr">
        <is>
          <t>El Molle</t>
        </is>
      </c>
      <c r="G3169" s="232" t="inlineStr">
        <is>
          <t>arrufatinas 5,74 ha</t>
        </is>
      </c>
      <c r="H3169" s="232" t="inlineStr">
        <is>
          <t>Clementinas</t>
        </is>
      </c>
      <c r="I3169" s="232" t="inlineStr">
        <is>
          <t>Arrufatinas</t>
        </is>
      </c>
      <c r="J3169" s="232" t="inlineStr">
        <is>
          <t>FLETES</t>
        </is>
      </c>
      <c r="K3169" s="232" t="inlineStr">
        <is>
          <t>FLETE FRUTA</t>
        </is>
      </c>
      <c r="L3169" s="232" t="inlineStr">
        <is>
          <t>[PRORRATEO 3.9% 5.74há/148.3há] O/001577 FLETE</t>
        </is>
      </c>
      <c r="M3169" s="232" t="inlineStr"/>
      <c r="N3169" s="232" t="inlineStr">
        <is>
          <t>.   .   -</t>
        </is>
      </c>
      <c r="O3169" s="232" t="inlineStr">
        <is>
          <t>ABRIL</t>
        </is>
      </c>
      <c r="P3169" s="232" t="n">
        <v>14</v>
      </c>
      <c r="Q3169" s="234" t="n">
        <v>21874</v>
      </c>
      <c r="R3169" s="232" t="inlineStr"/>
      <c r="S3169" s="234" t="n">
        <v>21874</v>
      </c>
      <c r="T3169" s="232" t="inlineStr">
        <is>
          <t>CLP</t>
        </is>
      </c>
      <c r="U3169" s="232" t="inlineStr">
        <is>
          <t>Prorrateo Ha PACKING</t>
        </is>
      </c>
      <c r="V3169" s="232" t="inlineStr">
        <is>
          <t>2026-06-18</t>
        </is>
      </c>
    </row>
    <row r="3170">
      <c r="A3170" s="232" t="inlineStr">
        <is>
          <t>CR-3167</t>
        </is>
      </c>
      <c r="B3170" s="232" t="inlineStr">
        <is>
          <t>2026/27</t>
        </is>
      </c>
      <c r="C3170" s="233" t="n">
        <v>46120</v>
      </c>
      <c r="D3170" s="232" t="inlineStr">
        <is>
          <t>8463</t>
        </is>
      </c>
      <c r="E3170" s="232" t="inlineStr">
        <is>
          <t>PRORRATEO</t>
        </is>
      </c>
      <c r="F3170" s="232" t="inlineStr">
        <is>
          <t>El Molle</t>
        </is>
      </c>
      <c r="G3170" s="232" t="inlineStr">
        <is>
          <t>orogrande 8,11 ha</t>
        </is>
      </c>
      <c r="H3170" s="232" t="inlineStr">
        <is>
          <t>Clementinas</t>
        </is>
      </c>
      <c r="I3170" s="232" t="inlineStr">
        <is>
          <t>Orogrande</t>
        </is>
      </c>
      <c r="J3170" s="232" t="inlineStr">
        <is>
          <t>FLETES</t>
        </is>
      </c>
      <c r="K3170" s="232" t="inlineStr">
        <is>
          <t>FLETE FRUTA</t>
        </is>
      </c>
      <c r="L3170" s="232" t="inlineStr">
        <is>
          <t>[PRORRATEO 5.5% 8.11há/148.3há] O/001577 FLETE</t>
        </is>
      </c>
      <c r="M3170" s="232" t="inlineStr"/>
      <c r="N3170" s="232" t="inlineStr">
        <is>
          <t>.   .   -</t>
        </is>
      </c>
      <c r="O3170" s="232" t="inlineStr">
        <is>
          <t>ABRIL</t>
        </is>
      </c>
      <c r="P3170" s="232" t="n">
        <v>14</v>
      </c>
      <c r="Q3170" s="234" t="n">
        <v>30906</v>
      </c>
      <c r="R3170" s="232" t="inlineStr"/>
      <c r="S3170" s="234" t="n">
        <v>30906</v>
      </c>
      <c r="T3170" s="232" t="inlineStr">
        <is>
          <t>CLP</t>
        </is>
      </c>
      <c r="U3170" s="232" t="inlineStr">
        <is>
          <t>Prorrateo Ha PACKING</t>
        </is>
      </c>
      <c r="V3170" s="232" t="inlineStr">
        <is>
          <t>2026-06-18</t>
        </is>
      </c>
    </row>
    <row r="3171">
      <c r="A3171" s="232" t="inlineStr">
        <is>
          <t>CR-3168</t>
        </is>
      </c>
      <c r="B3171" s="232" t="inlineStr">
        <is>
          <t>2026/27</t>
        </is>
      </c>
      <c r="C3171" s="233" t="n">
        <v>46120</v>
      </c>
      <c r="D3171" s="232" t="inlineStr">
        <is>
          <t>8463</t>
        </is>
      </c>
      <c r="E3171" s="232" t="inlineStr">
        <is>
          <t>PRORRATEO</t>
        </is>
      </c>
      <c r="F3171" s="232" t="inlineStr">
        <is>
          <t>El Molle</t>
        </is>
      </c>
      <c r="G3171" s="232" t="inlineStr">
        <is>
          <t>oronules 5,35 ha</t>
        </is>
      </c>
      <c r="H3171" s="232" t="inlineStr">
        <is>
          <t>Clementinas</t>
        </is>
      </c>
      <c r="I3171" s="232" t="inlineStr">
        <is>
          <t>Oronules</t>
        </is>
      </c>
      <c r="J3171" s="232" t="inlineStr">
        <is>
          <t>FLETES</t>
        </is>
      </c>
      <c r="K3171" s="232" t="inlineStr">
        <is>
          <t>FLETE FRUTA</t>
        </is>
      </c>
      <c r="L3171" s="232" t="inlineStr">
        <is>
          <t>[PRORRATEO 3.6% 5.35há/148.3há] O/001577 FLETE</t>
        </is>
      </c>
      <c r="M3171" s="232" t="inlineStr"/>
      <c r="N3171" s="232" t="inlineStr">
        <is>
          <t>.   .   -</t>
        </is>
      </c>
      <c r="O3171" s="232" t="inlineStr">
        <is>
          <t>ABRIL</t>
        </is>
      </c>
      <c r="P3171" s="232" t="n">
        <v>14</v>
      </c>
      <c r="Q3171" s="234" t="n">
        <v>20388</v>
      </c>
      <c r="R3171" s="232" t="inlineStr"/>
      <c r="S3171" s="234" t="n">
        <v>20388</v>
      </c>
      <c r="T3171" s="232" t="inlineStr">
        <is>
          <t>CLP</t>
        </is>
      </c>
      <c r="U3171" s="232" t="inlineStr">
        <is>
          <t>Prorrateo Ha PACKING</t>
        </is>
      </c>
      <c r="V3171" s="232" t="inlineStr">
        <is>
          <t>2026-06-18</t>
        </is>
      </c>
    </row>
    <row r="3172">
      <c r="A3172" s="232" t="inlineStr">
        <is>
          <t>CR-3169</t>
        </is>
      </c>
      <c r="B3172" s="232" t="inlineStr">
        <is>
          <t>2026/27</t>
        </is>
      </c>
      <c r="C3172" s="233" t="n">
        <v>46120</v>
      </c>
      <c r="D3172" s="232" t="inlineStr">
        <is>
          <t>8463</t>
        </is>
      </c>
      <c r="E3172" s="232" t="inlineStr">
        <is>
          <t>PRORRATEO</t>
        </is>
      </c>
      <c r="F3172" s="232" t="inlineStr">
        <is>
          <t>Santa Catalina</t>
        </is>
      </c>
      <c r="G3172" s="232" t="inlineStr">
        <is>
          <t>Fino 49 7,7 ha</t>
        </is>
      </c>
      <c r="H3172" s="232" t="inlineStr">
        <is>
          <t>Limon</t>
        </is>
      </c>
      <c r="I3172" s="232" t="inlineStr">
        <is>
          <t>Fino 49</t>
        </is>
      </c>
      <c r="J3172" s="232" t="inlineStr">
        <is>
          <t>FLETES</t>
        </is>
      </c>
      <c r="K3172" s="232" t="inlineStr">
        <is>
          <t>FLETE FRUTA</t>
        </is>
      </c>
      <c r="L3172" s="232" t="inlineStr">
        <is>
          <t>[PRORRATEO 5.2% 7.7há/148.3há] O/001577 FLETE</t>
        </is>
      </c>
      <c r="M3172" s="232" t="inlineStr"/>
      <c r="N3172" s="232" t="inlineStr">
        <is>
          <t>.   .   -</t>
        </is>
      </c>
      <c r="O3172" s="232" t="inlineStr">
        <is>
          <t>ABRIL</t>
        </is>
      </c>
      <c r="P3172" s="232" t="n">
        <v>14</v>
      </c>
      <c r="Q3172" s="234" t="n">
        <v>29344</v>
      </c>
      <c r="R3172" s="232" t="inlineStr"/>
      <c r="S3172" s="234" t="n">
        <v>29344</v>
      </c>
      <c r="T3172" s="232" t="inlineStr">
        <is>
          <t>CLP</t>
        </is>
      </c>
      <c r="U3172" s="232" t="inlineStr">
        <is>
          <t>Prorrateo Ha PACKING</t>
        </is>
      </c>
      <c r="V3172" s="232" t="inlineStr">
        <is>
          <t>2026-06-18</t>
        </is>
      </c>
    </row>
    <row r="3173">
      <c r="A3173" s="232" t="inlineStr">
        <is>
          <t>CR-3170</t>
        </is>
      </c>
      <c r="B3173" s="232" t="inlineStr">
        <is>
          <t>2026/27</t>
        </is>
      </c>
      <c r="C3173" s="233" t="n">
        <v>46120</v>
      </c>
      <c r="D3173" s="232" t="inlineStr">
        <is>
          <t>8463</t>
        </is>
      </c>
      <c r="E3173" s="232" t="inlineStr">
        <is>
          <t>PRORRATEO</t>
        </is>
      </c>
      <c r="F3173" s="232" t="inlineStr">
        <is>
          <t>Santa Catalina</t>
        </is>
      </c>
      <c r="G3173" s="232" t="inlineStr">
        <is>
          <t>W. murcott 21 ha</t>
        </is>
      </c>
      <c r="H3173" s="232" t="inlineStr">
        <is>
          <t>Mandarina</t>
        </is>
      </c>
      <c r="I3173" s="232" t="inlineStr">
        <is>
          <t>W. murcott</t>
        </is>
      </c>
      <c r="J3173" s="232" t="inlineStr">
        <is>
          <t>FLETES</t>
        </is>
      </c>
      <c r="K3173" s="232" t="inlineStr">
        <is>
          <t>FLETE FRUTA</t>
        </is>
      </c>
      <c r="L3173" s="232" t="inlineStr">
        <is>
          <t>[PRORRATEO 14.2% 21.0há/148.3há] O/001577 FLETE</t>
        </is>
      </c>
      <c r="M3173" s="232" t="inlineStr"/>
      <c r="N3173" s="232" t="inlineStr">
        <is>
          <t>.   .   -</t>
        </is>
      </c>
      <c r="O3173" s="232" t="inlineStr">
        <is>
          <t>ABRIL</t>
        </is>
      </c>
      <c r="P3173" s="232" t="n">
        <v>14</v>
      </c>
      <c r="Q3173" s="234" t="n">
        <v>80028</v>
      </c>
      <c r="R3173" s="232" t="inlineStr"/>
      <c r="S3173" s="234" t="n">
        <v>80028</v>
      </c>
      <c r="T3173" s="232" t="inlineStr">
        <is>
          <t>CLP</t>
        </is>
      </c>
      <c r="U3173" s="232" t="inlineStr">
        <is>
          <t>Prorrateo Ha PACKING</t>
        </is>
      </c>
      <c r="V3173" s="232" t="inlineStr">
        <is>
          <t>2026-06-18</t>
        </is>
      </c>
    </row>
    <row r="3174">
      <c r="A3174" s="232" t="inlineStr">
        <is>
          <t>CR-3171</t>
        </is>
      </c>
      <c r="B3174" s="232" t="inlineStr">
        <is>
          <t>2026/27</t>
        </is>
      </c>
      <c r="C3174" s="233" t="n">
        <v>46120</v>
      </c>
      <c r="D3174" s="232" t="inlineStr">
        <is>
          <t>8463</t>
        </is>
      </c>
      <c r="E3174" s="232" t="inlineStr">
        <is>
          <t>PRORRATEO</t>
        </is>
      </c>
      <c r="F3174" s="232" t="inlineStr">
        <is>
          <t>Santa Catalina</t>
        </is>
      </c>
      <c r="G3174" s="232" t="inlineStr">
        <is>
          <t>cambria 4,2 ha</t>
        </is>
      </c>
      <c r="H3174" s="232" t="inlineStr">
        <is>
          <t>Naranjas</t>
        </is>
      </c>
      <c r="I3174" s="232" t="inlineStr">
        <is>
          <t>Cambria</t>
        </is>
      </c>
      <c r="J3174" s="232" t="inlineStr">
        <is>
          <t>FLETES</t>
        </is>
      </c>
      <c r="K3174" s="232" t="inlineStr">
        <is>
          <t>FLETE FRUTA</t>
        </is>
      </c>
      <c r="L3174" s="232" t="inlineStr">
        <is>
          <t>[PRORRATEO 2.8% 4.2há/148.3há] O/001577 FLETE</t>
        </is>
      </c>
      <c r="M3174" s="232" t="inlineStr"/>
      <c r="N3174" s="232" t="inlineStr">
        <is>
          <t>.   .   -</t>
        </is>
      </c>
      <c r="O3174" s="232" t="inlineStr">
        <is>
          <t>ABRIL</t>
        </is>
      </c>
      <c r="P3174" s="232" t="n">
        <v>14</v>
      </c>
      <c r="Q3174" s="234" t="n">
        <v>16006</v>
      </c>
      <c r="R3174" s="232" t="inlineStr"/>
      <c r="S3174" s="234" t="n">
        <v>16006</v>
      </c>
      <c r="T3174" s="232" t="inlineStr">
        <is>
          <t>CLP</t>
        </is>
      </c>
      <c r="U3174" s="232" t="inlineStr">
        <is>
          <t>Prorrateo Ha PACKING</t>
        </is>
      </c>
      <c r="V3174" s="232" t="inlineStr">
        <is>
          <t>2026-06-18</t>
        </is>
      </c>
    </row>
    <row r="3175">
      <c r="A3175" s="232" t="inlineStr">
        <is>
          <t>CR-3172</t>
        </is>
      </c>
      <c r="B3175" s="232" t="inlineStr">
        <is>
          <t>2026/27</t>
        </is>
      </c>
      <c r="C3175" s="233" t="n">
        <v>46120</v>
      </c>
      <c r="D3175" s="232" t="inlineStr">
        <is>
          <t>8463</t>
        </is>
      </c>
      <c r="E3175" s="232" t="inlineStr">
        <is>
          <t>PRORRATEO</t>
        </is>
      </c>
      <c r="F3175" s="232" t="inlineStr">
        <is>
          <t>Santa Catalina</t>
        </is>
      </c>
      <c r="G3175" s="232" t="inlineStr">
        <is>
          <t>eureka 10,6 ha</t>
        </is>
      </c>
      <c r="H3175" s="232" t="inlineStr">
        <is>
          <t>Limon</t>
        </is>
      </c>
      <c r="I3175" s="232" t="inlineStr">
        <is>
          <t>Eureka</t>
        </is>
      </c>
      <c r="J3175" s="232" t="inlineStr">
        <is>
          <t>FLETES</t>
        </is>
      </c>
      <c r="K3175" s="232" t="inlineStr">
        <is>
          <t>FLETE FRUTA</t>
        </is>
      </c>
      <c r="L3175" s="232" t="inlineStr">
        <is>
          <t>[PRORRATEO 7.1% 10.6há/148.3há] O/001577 FLETE</t>
        </is>
      </c>
      <c r="M3175" s="232" t="inlineStr"/>
      <c r="N3175" s="232" t="inlineStr">
        <is>
          <t>.   .   -</t>
        </is>
      </c>
      <c r="O3175" s="232" t="inlineStr">
        <is>
          <t>ABRIL</t>
        </is>
      </c>
      <c r="P3175" s="232" t="n">
        <v>14</v>
      </c>
      <c r="Q3175" s="234" t="n">
        <v>40395</v>
      </c>
      <c r="R3175" s="232" t="inlineStr"/>
      <c r="S3175" s="234" t="n">
        <v>40395</v>
      </c>
      <c r="T3175" s="232" t="inlineStr">
        <is>
          <t>CLP</t>
        </is>
      </c>
      <c r="U3175" s="232" t="inlineStr">
        <is>
          <t>Prorrateo Ha PACKING</t>
        </is>
      </c>
      <c r="V3175" s="232" t="inlineStr">
        <is>
          <t>2026-06-18</t>
        </is>
      </c>
    </row>
    <row r="3176">
      <c r="A3176" s="232" t="inlineStr">
        <is>
          <t>CR-3173</t>
        </is>
      </c>
      <c r="B3176" s="232" t="inlineStr">
        <is>
          <t>2026/27</t>
        </is>
      </c>
      <c r="C3176" s="233" t="n">
        <v>46120</v>
      </c>
      <c r="D3176" s="232" t="inlineStr">
        <is>
          <t>8463</t>
        </is>
      </c>
      <c r="E3176" s="232" t="inlineStr">
        <is>
          <t>PRORRATEO</t>
        </is>
      </c>
      <c r="F3176" s="232" t="inlineStr">
        <is>
          <t>Santa Catalina</t>
        </is>
      </c>
      <c r="G3176" s="232" t="inlineStr">
        <is>
          <t>eureka 14,4 ha</t>
        </is>
      </c>
      <c r="H3176" s="232" t="inlineStr">
        <is>
          <t>Limon</t>
        </is>
      </c>
      <c r="I3176" s="232" t="inlineStr">
        <is>
          <t>Eureka</t>
        </is>
      </c>
      <c r="J3176" s="232" t="inlineStr">
        <is>
          <t>FLETES</t>
        </is>
      </c>
      <c r="K3176" s="232" t="inlineStr">
        <is>
          <t>FLETE FRUTA</t>
        </is>
      </c>
      <c r="L3176" s="232" t="inlineStr">
        <is>
          <t>[PRORRATEO 9.7% 14.4há/148.3há] O/001577 FLETE</t>
        </is>
      </c>
      <c r="M3176" s="232" t="inlineStr"/>
      <c r="N3176" s="232" t="inlineStr">
        <is>
          <t>.   .   -</t>
        </is>
      </c>
      <c r="O3176" s="232" t="inlineStr">
        <is>
          <t>ABRIL</t>
        </is>
      </c>
      <c r="P3176" s="232" t="n">
        <v>14</v>
      </c>
      <c r="Q3176" s="234" t="n">
        <v>54877</v>
      </c>
      <c r="R3176" s="232" t="inlineStr"/>
      <c r="S3176" s="234" t="n">
        <v>54877</v>
      </c>
      <c r="T3176" s="232" t="inlineStr">
        <is>
          <t>CLP</t>
        </is>
      </c>
      <c r="U3176" s="232" t="inlineStr">
        <is>
          <t>Prorrateo Ha PACKING</t>
        </is>
      </c>
      <c r="V3176" s="232" t="inlineStr">
        <is>
          <t>2026-06-18</t>
        </is>
      </c>
    </row>
    <row r="3177">
      <c r="A3177" s="232" t="inlineStr">
        <is>
          <t>CR-3174</t>
        </is>
      </c>
      <c r="B3177" s="232" t="inlineStr">
        <is>
          <t>2026/27</t>
        </is>
      </c>
      <c r="C3177" s="233" t="n">
        <v>46120</v>
      </c>
      <c r="D3177" s="232" t="inlineStr">
        <is>
          <t>8463</t>
        </is>
      </c>
      <c r="E3177" s="232" t="inlineStr">
        <is>
          <t>PRORRATEO</t>
        </is>
      </c>
      <c r="F3177" s="232" t="inlineStr">
        <is>
          <t>Santa Catalina</t>
        </is>
      </c>
      <c r="G3177" s="232" t="inlineStr">
        <is>
          <t>eureka 22,55</t>
        </is>
      </c>
      <c r="H3177" s="232" t="inlineStr">
        <is>
          <t>Limon</t>
        </is>
      </c>
      <c r="I3177" s="232" t="inlineStr">
        <is>
          <t>Eureka</t>
        </is>
      </c>
      <c r="J3177" s="232" t="inlineStr">
        <is>
          <t>FLETES</t>
        </is>
      </c>
      <c r="K3177" s="232" t="inlineStr">
        <is>
          <t>FLETE FRUTA</t>
        </is>
      </c>
      <c r="L3177" s="232" t="inlineStr">
        <is>
          <t>[PRORRATEO 15.2% 22.55há/148.3há] O/001577 FLETE</t>
        </is>
      </c>
      <c r="M3177" s="232" t="inlineStr"/>
      <c r="N3177" s="232" t="inlineStr">
        <is>
          <t>.   .   -</t>
        </is>
      </c>
      <c r="O3177" s="232" t="inlineStr">
        <is>
          <t>ABRIL</t>
        </is>
      </c>
      <c r="P3177" s="232" t="n">
        <v>14</v>
      </c>
      <c r="Q3177" s="234" t="n">
        <v>85935</v>
      </c>
      <c r="R3177" s="232" t="inlineStr"/>
      <c r="S3177" s="234" t="n">
        <v>85935</v>
      </c>
      <c r="T3177" s="232" t="inlineStr">
        <is>
          <t>CLP</t>
        </is>
      </c>
      <c r="U3177" s="232" t="inlineStr">
        <is>
          <t>Prorrateo Ha PACKING</t>
        </is>
      </c>
      <c r="V3177" s="232" t="inlineStr">
        <is>
          <t>2026-06-18</t>
        </is>
      </c>
    </row>
    <row r="3178">
      <c r="A3178" s="232" t="inlineStr">
        <is>
          <t>CR-3175</t>
        </is>
      </c>
      <c r="B3178" s="232" t="inlineStr">
        <is>
          <t>2026/27</t>
        </is>
      </c>
      <c r="C3178" s="233" t="n">
        <v>46120</v>
      </c>
      <c r="D3178" s="232" t="inlineStr">
        <is>
          <t>8463</t>
        </is>
      </c>
      <c r="E3178" s="232" t="inlineStr">
        <is>
          <t>PRORRATEO</t>
        </is>
      </c>
      <c r="F3178" s="232" t="inlineStr">
        <is>
          <t>Santa Catalina</t>
        </is>
      </c>
      <c r="G3178" s="232" t="inlineStr">
        <is>
          <t>form benjamin 1,93 ha</t>
        </is>
      </c>
      <c r="H3178" s="232" t="inlineStr">
        <is>
          <t>Limon</t>
        </is>
      </c>
      <c r="I3178" s="232" t="inlineStr">
        <is>
          <t>Benjamin andes</t>
        </is>
      </c>
      <c r="J3178" s="232" t="inlineStr">
        <is>
          <t>FLETES</t>
        </is>
      </c>
      <c r="K3178" s="232" t="inlineStr">
        <is>
          <t>FLETE FRUTA</t>
        </is>
      </c>
      <c r="L3178" s="232" t="inlineStr">
        <is>
          <t>[PRORRATEO 1.3% 1.93há/148.3há] O/001577 FLETE</t>
        </is>
      </c>
      <c r="M3178" s="232" t="inlineStr"/>
      <c r="N3178" s="232" t="inlineStr">
        <is>
          <t>.   .   -</t>
        </is>
      </c>
      <c r="O3178" s="232" t="inlineStr">
        <is>
          <t>ABRIL</t>
        </is>
      </c>
      <c r="P3178" s="232" t="n">
        <v>14</v>
      </c>
      <c r="Q3178" s="234" t="n">
        <v>7355</v>
      </c>
      <c r="R3178" s="232" t="inlineStr"/>
      <c r="S3178" s="234" t="n">
        <v>7355</v>
      </c>
      <c r="T3178" s="232" t="inlineStr">
        <is>
          <t>CLP</t>
        </is>
      </c>
      <c r="U3178" s="232" t="inlineStr">
        <is>
          <t>Prorrateo Ha PACKING</t>
        </is>
      </c>
      <c r="V3178" s="232" t="inlineStr">
        <is>
          <t>2026-06-18</t>
        </is>
      </c>
    </row>
    <row r="3179">
      <c r="A3179" s="232" t="inlineStr">
        <is>
          <t>CR-3176</t>
        </is>
      </c>
      <c r="B3179" s="232" t="inlineStr">
        <is>
          <t>2026/27</t>
        </is>
      </c>
      <c r="C3179" s="233" t="n">
        <v>46120</v>
      </c>
      <c r="D3179" s="232" t="inlineStr">
        <is>
          <t>8463</t>
        </is>
      </c>
      <c r="E3179" s="232" t="inlineStr">
        <is>
          <t>PRORRATEO</t>
        </is>
      </c>
      <c r="F3179" s="232" t="inlineStr">
        <is>
          <t>Santa Catalina</t>
        </is>
      </c>
      <c r="G3179" s="232" t="inlineStr">
        <is>
          <t>mant eureka 2,5 ha</t>
        </is>
      </c>
      <c r="H3179" s="232" t="inlineStr">
        <is>
          <t>Limon</t>
        </is>
      </c>
      <c r="I3179" s="232" t="inlineStr">
        <is>
          <t>Eureka</t>
        </is>
      </c>
      <c r="J3179" s="232" t="inlineStr">
        <is>
          <t>FLETES</t>
        </is>
      </c>
      <c r="K3179" s="232" t="inlineStr">
        <is>
          <t>FLETE FRUTA</t>
        </is>
      </c>
      <c r="L3179" s="232" t="inlineStr">
        <is>
          <t>[PRORRATEO 1.7% 2.5há/148.3há] O/001577 FLETE</t>
        </is>
      </c>
      <c r="M3179" s="232" t="inlineStr"/>
      <c r="N3179" s="232" t="inlineStr">
        <is>
          <t>.   .   -</t>
        </is>
      </c>
      <c r="O3179" s="232" t="inlineStr">
        <is>
          <t>ABRIL</t>
        </is>
      </c>
      <c r="P3179" s="232" t="n">
        <v>14</v>
      </c>
      <c r="Q3179" s="234" t="n">
        <v>9527</v>
      </c>
      <c r="R3179" s="232" t="inlineStr"/>
      <c r="S3179" s="234" t="n">
        <v>9527</v>
      </c>
      <c r="T3179" s="232" t="inlineStr">
        <is>
          <t>CLP</t>
        </is>
      </c>
      <c r="U3179" s="232" t="inlineStr">
        <is>
          <t>Prorrateo Ha PACKING</t>
        </is>
      </c>
      <c r="V3179" s="232" t="inlineStr">
        <is>
          <t>2026-06-18</t>
        </is>
      </c>
    </row>
    <row r="3180">
      <c r="A3180" s="232" t="inlineStr">
        <is>
          <t>CR-3177</t>
        </is>
      </c>
      <c r="B3180" s="232" t="inlineStr">
        <is>
          <t>2026/27</t>
        </is>
      </c>
      <c r="C3180" s="233" t="n">
        <v>46120</v>
      </c>
      <c r="D3180" s="232" t="inlineStr">
        <is>
          <t>8463</t>
        </is>
      </c>
      <c r="E3180" s="232" t="inlineStr">
        <is>
          <t>PRORRATEO</t>
        </is>
      </c>
      <c r="F3180" s="232" t="inlineStr">
        <is>
          <t>Siberia</t>
        </is>
      </c>
      <c r="G3180" s="232" t="inlineStr">
        <is>
          <t>S. Celebration 7,14</t>
        </is>
      </c>
      <c r="H3180" s="232" t="inlineStr">
        <is>
          <t>Uvas</t>
        </is>
      </c>
      <c r="I3180" s="232" t="inlineStr">
        <is>
          <t>S. celebration</t>
        </is>
      </c>
      <c r="J3180" s="232" t="inlineStr">
        <is>
          <t>FLETES</t>
        </is>
      </c>
      <c r="K3180" s="232" t="inlineStr">
        <is>
          <t>FLETE FRUTA</t>
        </is>
      </c>
      <c r="L3180" s="232" t="inlineStr">
        <is>
          <t>[PRORRATEO 4.8% 7.14há/148.3há] O/001577 FLETE</t>
        </is>
      </c>
      <c r="M3180" s="232" t="inlineStr"/>
      <c r="N3180" s="232" t="inlineStr">
        <is>
          <t>.   .   -</t>
        </is>
      </c>
      <c r="O3180" s="232" t="inlineStr">
        <is>
          <t>ABRIL</t>
        </is>
      </c>
      <c r="P3180" s="232" t="n">
        <v>14</v>
      </c>
      <c r="Q3180" s="234" t="n">
        <v>27210</v>
      </c>
      <c r="R3180" s="232" t="inlineStr"/>
      <c r="S3180" s="234" t="n">
        <v>27210</v>
      </c>
      <c r="T3180" s="232" t="inlineStr">
        <is>
          <t>CLP</t>
        </is>
      </c>
      <c r="U3180" s="232" t="inlineStr">
        <is>
          <t>Prorrateo Ha PACKING</t>
        </is>
      </c>
      <c r="V3180" s="232" t="inlineStr">
        <is>
          <t>2026-06-18</t>
        </is>
      </c>
    </row>
    <row r="3181">
      <c r="A3181" s="232" t="inlineStr">
        <is>
          <t>CR-3178</t>
        </is>
      </c>
      <c r="B3181" s="232" t="inlineStr">
        <is>
          <t>2026/27</t>
        </is>
      </c>
      <c r="C3181" s="233" t="n">
        <v>46120</v>
      </c>
      <c r="D3181" s="232" t="inlineStr">
        <is>
          <t>8463</t>
        </is>
      </c>
      <c r="E3181" s="232" t="inlineStr">
        <is>
          <t>PRORRATEO</t>
        </is>
      </c>
      <c r="F3181" s="232" t="inlineStr">
        <is>
          <t>Siberia</t>
        </is>
      </c>
      <c r="G3181" s="232" t="inlineStr">
        <is>
          <t>Timpson 7,1</t>
        </is>
      </c>
      <c r="H3181" s="232" t="inlineStr">
        <is>
          <t>Uvas</t>
        </is>
      </c>
      <c r="I3181" s="232" t="inlineStr">
        <is>
          <t>Timpson</t>
        </is>
      </c>
      <c r="J3181" s="232" t="inlineStr">
        <is>
          <t>FLETES</t>
        </is>
      </c>
      <c r="K3181" s="232" t="inlineStr">
        <is>
          <t>FLETE FRUTA</t>
        </is>
      </c>
      <c r="L3181" s="232" t="inlineStr">
        <is>
          <t>[PRORRATEO 4.8% 7.1há/148.3há] O/001577 FLETE</t>
        </is>
      </c>
      <c r="M3181" s="232" t="inlineStr"/>
      <c r="N3181" s="232" t="inlineStr">
        <is>
          <t>.   .   -</t>
        </is>
      </c>
      <c r="O3181" s="232" t="inlineStr">
        <is>
          <t>ABRIL</t>
        </is>
      </c>
      <c r="P3181" s="232" t="n">
        <v>14</v>
      </c>
      <c r="Q3181" s="234" t="n">
        <v>27057</v>
      </c>
      <c r="R3181" s="232" t="inlineStr"/>
      <c r="S3181" s="234" t="n">
        <v>27057</v>
      </c>
      <c r="T3181" s="232" t="inlineStr">
        <is>
          <t>CLP</t>
        </is>
      </c>
      <c r="U3181" s="232" t="inlineStr">
        <is>
          <t>Prorrateo Ha PACKING</t>
        </is>
      </c>
      <c r="V3181" s="232" t="inlineStr">
        <is>
          <t>2026-06-18</t>
        </is>
      </c>
    </row>
    <row r="3182">
      <c r="A3182" s="232" t="inlineStr">
        <is>
          <t>CR-3179</t>
        </is>
      </c>
      <c r="B3182" s="232" t="inlineStr">
        <is>
          <t>2026/27</t>
        </is>
      </c>
      <c r="C3182" s="233" t="n">
        <v>46120</v>
      </c>
      <c r="D3182" s="232" t="inlineStr">
        <is>
          <t>8463</t>
        </is>
      </c>
      <c r="E3182" s="232" t="inlineStr">
        <is>
          <t>PRORRATEO</t>
        </is>
      </c>
      <c r="F3182" s="232" t="inlineStr">
        <is>
          <t>Asmara</t>
        </is>
      </c>
      <c r="G3182" s="232" t="inlineStr">
        <is>
          <t>w. murcott 19,8 ha</t>
        </is>
      </c>
      <c r="H3182" s="232" t="inlineStr">
        <is>
          <t>Mandarina</t>
        </is>
      </c>
      <c r="I3182" s="232" t="inlineStr">
        <is>
          <t>W. murcott</t>
        </is>
      </c>
      <c r="J3182" s="232" t="inlineStr">
        <is>
          <t>FLETES</t>
        </is>
      </c>
      <c r="K3182" s="232" t="inlineStr">
        <is>
          <t>FLETE FRUTA</t>
        </is>
      </c>
      <c r="L3182" s="232" t="inlineStr">
        <is>
          <t>[PRORRATEO 13.4% 19.8há/148.3há] O/001577 FLETE</t>
        </is>
      </c>
      <c r="M3182" s="232" t="inlineStr"/>
      <c r="N3182" s="232" t="inlineStr">
        <is>
          <t>.   .   -</t>
        </is>
      </c>
      <c r="O3182" s="232" t="inlineStr">
        <is>
          <t>ABRIL</t>
        </is>
      </c>
      <c r="P3182" s="232" t="n">
        <v>14</v>
      </c>
      <c r="Q3182" s="234" t="n">
        <v>40799</v>
      </c>
      <c r="R3182" s="232" t="inlineStr"/>
      <c r="S3182" s="234" t="n">
        <v>40799</v>
      </c>
      <c r="T3182" s="232" t="inlineStr">
        <is>
          <t>CLP</t>
        </is>
      </c>
      <c r="U3182" s="232" t="inlineStr">
        <is>
          <t>Prorrateo Ha PACKING</t>
        </is>
      </c>
      <c r="V3182" s="232" t="inlineStr">
        <is>
          <t>2026-06-18</t>
        </is>
      </c>
    </row>
    <row r="3183">
      <c r="A3183" s="232" t="inlineStr">
        <is>
          <t>CR-3180</t>
        </is>
      </c>
      <c r="B3183" s="232" t="inlineStr">
        <is>
          <t>2026/27</t>
        </is>
      </c>
      <c r="C3183" s="233" t="n">
        <v>46120</v>
      </c>
      <c r="D3183" s="232" t="inlineStr">
        <is>
          <t>8463</t>
        </is>
      </c>
      <c r="E3183" s="232" t="inlineStr">
        <is>
          <t>PRORRATEO</t>
        </is>
      </c>
      <c r="F3183" s="232" t="inlineStr">
        <is>
          <t>Asmara</t>
        </is>
      </c>
      <c r="G3183" s="232" t="inlineStr">
        <is>
          <t>w. murcott 4,9 ha</t>
        </is>
      </c>
      <c r="H3183" s="232" t="inlineStr">
        <is>
          <t>Mandarina</t>
        </is>
      </c>
      <c r="I3183" s="232" t="inlineStr">
        <is>
          <t>W. murcott</t>
        </is>
      </c>
      <c r="J3183" s="232" t="inlineStr">
        <is>
          <t>FLETES</t>
        </is>
      </c>
      <c r="K3183" s="232" t="inlineStr">
        <is>
          <t>FLETE FRUTA</t>
        </is>
      </c>
      <c r="L3183" s="232" t="inlineStr">
        <is>
          <t>[PRORRATEO 3.3% 4.9há/148.3há] O/001577 FLETE</t>
        </is>
      </c>
      <c r="M3183" s="232" t="inlineStr"/>
      <c r="N3183" s="232" t="inlineStr">
        <is>
          <t>.   .   -</t>
        </is>
      </c>
      <c r="O3183" s="232" t="inlineStr">
        <is>
          <t>ABRIL</t>
        </is>
      </c>
      <c r="P3183" s="232" t="n">
        <v>14</v>
      </c>
      <c r="Q3183" s="234" t="n">
        <v>10097</v>
      </c>
      <c r="R3183" s="232" t="inlineStr"/>
      <c r="S3183" s="234" t="n">
        <v>10097</v>
      </c>
      <c r="T3183" s="232" t="inlineStr">
        <is>
          <t>CLP</t>
        </is>
      </c>
      <c r="U3183" s="232" t="inlineStr">
        <is>
          <t>Prorrateo Ha PACKING</t>
        </is>
      </c>
      <c r="V3183" s="232" t="inlineStr">
        <is>
          <t>2026-06-18</t>
        </is>
      </c>
    </row>
    <row r="3184">
      <c r="A3184" s="232" t="inlineStr">
        <is>
          <t>CR-3181</t>
        </is>
      </c>
      <c r="B3184" s="232" t="inlineStr">
        <is>
          <t>2026/27</t>
        </is>
      </c>
      <c r="C3184" s="233" t="n">
        <v>46120</v>
      </c>
      <c r="D3184" s="232" t="inlineStr">
        <is>
          <t>8463</t>
        </is>
      </c>
      <c r="E3184" s="232" t="inlineStr">
        <is>
          <t>PRORRATEO</t>
        </is>
      </c>
      <c r="F3184" s="232" t="inlineStr">
        <is>
          <t>El Molle</t>
        </is>
      </c>
      <c r="G3184" s="232" t="inlineStr">
        <is>
          <t>Wonderful 5,25 ha</t>
        </is>
      </c>
      <c r="H3184" s="232" t="inlineStr">
        <is>
          <t>Granados</t>
        </is>
      </c>
      <c r="I3184" s="232" t="inlineStr">
        <is>
          <t>Wonderfull</t>
        </is>
      </c>
      <c r="J3184" s="232" t="inlineStr">
        <is>
          <t>FLETES</t>
        </is>
      </c>
      <c r="K3184" s="232" t="inlineStr">
        <is>
          <t>FLETE FRUTA</t>
        </is>
      </c>
      <c r="L3184" s="232" t="inlineStr">
        <is>
          <t>[PRORRATEO 3.5% 5.24há/148.3há] O/001577 FLETE</t>
        </is>
      </c>
      <c r="M3184" s="232" t="inlineStr"/>
      <c r="N3184" s="232" t="inlineStr">
        <is>
          <t>.   .   -</t>
        </is>
      </c>
      <c r="O3184" s="232" t="inlineStr">
        <is>
          <t>ABRIL</t>
        </is>
      </c>
      <c r="P3184" s="232" t="n">
        <v>14</v>
      </c>
      <c r="Q3184" s="234" t="n">
        <v>10797</v>
      </c>
      <c r="R3184" s="232" t="inlineStr"/>
      <c r="S3184" s="234" t="n">
        <v>10797</v>
      </c>
      <c r="T3184" s="232" t="inlineStr">
        <is>
          <t>CLP</t>
        </is>
      </c>
      <c r="U3184" s="232" t="inlineStr">
        <is>
          <t>Prorrateo Ha PACKING</t>
        </is>
      </c>
      <c r="V3184" s="232" t="inlineStr">
        <is>
          <t>2026-06-18</t>
        </is>
      </c>
    </row>
    <row r="3185">
      <c r="A3185" s="232" t="inlineStr">
        <is>
          <t>CR-3182</t>
        </is>
      </c>
      <c r="B3185" s="232" t="inlineStr">
        <is>
          <t>2026/27</t>
        </is>
      </c>
      <c r="C3185" s="233" t="n">
        <v>46120</v>
      </c>
      <c r="D3185" s="232" t="inlineStr">
        <is>
          <t>8463</t>
        </is>
      </c>
      <c r="E3185" s="232" t="inlineStr">
        <is>
          <t>PRORRATEO</t>
        </is>
      </c>
      <c r="F3185" s="232" t="inlineStr">
        <is>
          <t>El Molle</t>
        </is>
      </c>
      <c r="G3185" s="232" t="inlineStr">
        <is>
          <t>arrufatinas 5,74 ha</t>
        </is>
      </c>
      <c r="H3185" s="232" t="inlineStr">
        <is>
          <t>Clementinas</t>
        </is>
      </c>
      <c r="I3185" s="232" t="inlineStr">
        <is>
          <t>Arrufatinas</t>
        </is>
      </c>
      <c r="J3185" s="232" t="inlineStr">
        <is>
          <t>FLETES</t>
        </is>
      </c>
      <c r="K3185" s="232" t="inlineStr">
        <is>
          <t>FLETE FRUTA</t>
        </is>
      </c>
      <c r="L3185" s="232" t="inlineStr">
        <is>
          <t>[PRORRATEO 3.9% 5.74há/148.3há] O/001577 FLETE</t>
        </is>
      </c>
      <c r="M3185" s="232" t="inlineStr"/>
      <c r="N3185" s="232" t="inlineStr">
        <is>
          <t>.   .   -</t>
        </is>
      </c>
      <c r="O3185" s="232" t="inlineStr">
        <is>
          <t>ABRIL</t>
        </is>
      </c>
      <c r="P3185" s="232" t="n">
        <v>14</v>
      </c>
      <c r="Q3185" s="234" t="n">
        <v>11828</v>
      </c>
      <c r="R3185" s="232" t="inlineStr"/>
      <c r="S3185" s="234" t="n">
        <v>11828</v>
      </c>
      <c r="T3185" s="232" t="inlineStr">
        <is>
          <t>CLP</t>
        </is>
      </c>
      <c r="U3185" s="232" t="inlineStr">
        <is>
          <t>Prorrateo Ha PACKING</t>
        </is>
      </c>
      <c r="V3185" s="232" t="inlineStr">
        <is>
          <t>2026-06-18</t>
        </is>
      </c>
    </row>
    <row r="3186">
      <c r="A3186" s="232" t="inlineStr">
        <is>
          <t>CR-3183</t>
        </is>
      </c>
      <c r="B3186" s="232" t="inlineStr">
        <is>
          <t>2026/27</t>
        </is>
      </c>
      <c r="C3186" s="233" t="n">
        <v>46120</v>
      </c>
      <c r="D3186" s="232" t="inlineStr">
        <is>
          <t>8463</t>
        </is>
      </c>
      <c r="E3186" s="232" t="inlineStr">
        <is>
          <t>PRORRATEO</t>
        </is>
      </c>
      <c r="F3186" s="232" t="inlineStr">
        <is>
          <t>El Molle</t>
        </is>
      </c>
      <c r="G3186" s="232" t="inlineStr">
        <is>
          <t>orogrande 8,11 ha</t>
        </is>
      </c>
      <c r="H3186" s="232" t="inlineStr">
        <is>
          <t>Clementinas</t>
        </is>
      </c>
      <c r="I3186" s="232" t="inlineStr">
        <is>
          <t>Orogrande</t>
        </is>
      </c>
      <c r="J3186" s="232" t="inlineStr">
        <is>
          <t>FLETES</t>
        </is>
      </c>
      <c r="K3186" s="232" t="inlineStr">
        <is>
          <t>FLETE FRUTA</t>
        </is>
      </c>
      <c r="L3186" s="232" t="inlineStr">
        <is>
          <t>[PRORRATEO 5.5% 8.11há/148.3há] O/001577 FLETE</t>
        </is>
      </c>
      <c r="M3186" s="232" t="inlineStr"/>
      <c r="N3186" s="232" t="inlineStr">
        <is>
          <t>.   .   -</t>
        </is>
      </c>
      <c r="O3186" s="232" t="inlineStr">
        <is>
          <t>ABRIL</t>
        </is>
      </c>
      <c r="P3186" s="232" t="n">
        <v>14</v>
      </c>
      <c r="Q3186" s="234" t="n">
        <v>16711</v>
      </c>
      <c r="R3186" s="232" t="inlineStr"/>
      <c r="S3186" s="234" t="n">
        <v>16711</v>
      </c>
      <c r="T3186" s="232" t="inlineStr">
        <is>
          <t>CLP</t>
        </is>
      </c>
      <c r="U3186" s="232" t="inlineStr">
        <is>
          <t>Prorrateo Ha PACKING</t>
        </is>
      </c>
      <c r="V3186" s="232" t="inlineStr">
        <is>
          <t>2026-06-18</t>
        </is>
      </c>
    </row>
    <row r="3187">
      <c r="A3187" s="232" t="inlineStr">
        <is>
          <t>CR-3184</t>
        </is>
      </c>
      <c r="B3187" s="232" t="inlineStr">
        <is>
          <t>2026/27</t>
        </is>
      </c>
      <c r="C3187" s="233" t="n">
        <v>46120</v>
      </c>
      <c r="D3187" s="232" t="inlineStr">
        <is>
          <t>8463</t>
        </is>
      </c>
      <c r="E3187" s="232" t="inlineStr">
        <is>
          <t>PRORRATEO</t>
        </is>
      </c>
      <c r="F3187" s="232" t="inlineStr">
        <is>
          <t>El Molle</t>
        </is>
      </c>
      <c r="G3187" s="232" t="inlineStr">
        <is>
          <t>oronules 5,35 ha</t>
        </is>
      </c>
      <c r="H3187" s="232" t="inlineStr">
        <is>
          <t>Clementinas</t>
        </is>
      </c>
      <c r="I3187" s="232" t="inlineStr">
        <is>
          <t>Oronules</t>
        </is>
      </c>
      <c r="J3187" s="232" t="inlineStr">
        <is>
          <t>FLETES</t>
        </is>
      </c>
      <c r="K3187" s="232" t="inlineStr">
        <is>
          <t>FLETE FRUTA</t>
        </is>
      </c>
      <c r="L3187" s="232" t="inlineStr">
        <is>
          <t>[PRORRATEO 3.6% 5.35há/148.3há] O/001577 FLETE</t>
        </is>
      </c>
      <c r="M3187" s="232" t="inlineStr"/>
      <c r="N3187" s="232" t="inlineStr">
        <is>
          <t>.   .   -</t>
        </is>
      </c>
      <c r="O3187" s="232" t="inlineStr">
        <is>
          <t>ABRIL</t>
        </is>
      </c>
      <c r="P3187" s="232" t="n">
        <v>14</v>
      </c>
      <c r="Q3187" s="234" t="n">
        <v>11024</v>
      </c>
      <c r="R3187" s="232" t="inlineStr"/>
      <c r="S3187" s="234" t="n">
        <v>11024</v>
      </c>
      <c r="T3187" s="232" t="inlineStr">
        <is>
          <t>CLP</t>
        </is>
      </c>
      <c r="U3187" s="232" t="inlineStr">
        <is>
          <t>Prorrateo Ha PACKING</t>
        </is>
      </c>
      <c r="V3187" s="232" t="inlineStr">
        <is>
          <t>2026-06-18</t>
        </is>
      </c>
    </row>
    <row r="3188">
      <c r="A3188" s="232" t="inlineStr">
        <is>
          <t>CR-3185</t>
        </is>
      </c>
      <c r="B3188" s="232" t="inlineStr">
        <is>
          <t>2026/27</t>
        </is>
      </c>
      <c r="C3188" s="233" t="n">
        <v>46120</v>
      </c>
      <c r="D3188" s="232" t="inlineStr">
        <is>
          <t>8463</t>
        </is>
      </c>
      <c r="E3188" s="232" t="inlineStr">
        <is>
          <t>PRORRATEO</t>
        </is>
      </c>
      <c r="F3188" s="232" t="inlineStr">
        <is>
          <t>Santa Catalina</t>
        </is>
      </c>
      <c r="G3188" s="232" t="inlineStr">
        <is>
          <t>Fino 49 7,7 ha</t>
        </is>
      </c>
      <c r="H3188" s="232" t="inlineStr">
        <is>
          <t>Limon</t>
        </is>
      </c>
      <c r="I3188" s="232" t="inlineStr">
        <is>
          <t>Fino 49</t>
        </is>
      </c>
      <c r="J3188" s="232" t="inlineStr">
        <is>
          <t>FLETES</t>
        </is>
      </c>
      <c r="K3188" s="232" t="inlineStr">
        <is>
          <t>FLETE FRUTA</t>
        </is>
      </c>
      <c r="L3188" s="232" t="inlineStr">
        <is>
          <t>[PRORRATEO 5.2% 7.7há/148.3há] O/001577 FLETE</t>
        </is>
      </c>
      <c r="M3188" s="232" t="inlineStr"/>
      <c r="N3188" s="232" t="inlineStr">
        <is>
          <t>.   .   -</t>
        </is>
      </c>
      <c r="O3188" s="232" t="inlineStr">
        <is>
          <t>ABRIL</t>
        </is>
      </c>
      <c r="P3188" s="232" t="n">
        <v>14</v>
      </c>
      <c r="Q3188" s="234" t="n">
        <v>15866</v>
      </c>
      <c r="R3188" s="232" t="inlineStr"/>
      <c r="S3188" s="234" t="n">
        <v>15866</v>
      </c>
      <c r="T3188" s="232" t="inlineStr">
        <is>
          <t>CLP</t>
        </is>
      </c>
      <c r="U3188" s="232" t="inlineStr">
        <is>
          <t>Prorrateo Ha PACKING</t>
        </is>
      </c>
      <c r="V3188" s="232" t="inlineStr">
        <is>
          <t>2026-06-18</t>
        </is>
      </c>
    </row>
    <row r="3189">
      <c r="A3189" s="232" t="inlineStr">
        <is>
          <t>CR-3186</t>
        </is>
      </c>
      <c r="B3189" s="232" t="inlineStr">
        <is>
          <t>2026/27</t>
        </is>
      </c>
      <c r="C3189" s="233" t="n">
        <v>46120</v>
      </c>
      <c r="D3189" s="232" t="inlineStr">
        <is>
          <t>8463</t>
        </is>
      </c>
      <c r="E3189" s="232" t="inlineStr">
        <is>
          <t>PRORRATEO</t>
        </is>
      </c>
      <c r="F3189" s="232" t="inlineStr">
        <is>
          <t>Santa Catalina</t>
        </is>
      </c>
      <c r="G3189" s="232" t="inlineStr">
        <is>
          <t>W. murcott 21 ha</t>
        </is>
      </c>
      <c r="H3189" s="232" t="inlineStr">
        <is>
          <t>Mandarina</t>
        </is>
      </c>
      <c r="I3189" s="232" t="inlineStr">
        <is>
          <t>W. murcott</t>
        </is>
      </c>
      <c r="J3189" s="232" t="inlineStr">
        <is>
          <t>FLETES</t>
        </is>
      </c>
      <c r="K3189" s="232" t="inlineStr">
        <is>
          <t>FLETE FRUTA</t>
        </is>
      </c>
      <c r="L3189" s="232" t="inlineStr">
        <is>
          <t>[PRORRATEO 14.2% 21.0há/148.3há] O/001577 FLETE</t>
        </is>
      </c>
      <c r="M3189" s="232" t="inlineStr"/>
      <c r="N3189" s="232" t="inlineStr">
        <is>
          <t>.   .   -</t>
        </is>
      </c>
      <c r="O3189" s="232" t="inlineStr">
        <is>
          <t>ABRIL</t>
        </is>
      </c>
      <c r="P3189" s="232" t="n">
        <v>14</v>
      </c>
      <c r="Q3189" s="234" t="n">
        <v>43272</v>
      </c>
      <c r="R3189" s="232" t="inlineStr"/>
      <c r="S3189" s="234" t="n">
        <v>43272</v>
      </c>
      <c r="T3189" s="232" t="inlineStr">
        <is>
          <t>CLP</t>
        </is>
      </c>
      <c r="U3189" s="232" t="inlineStr">
        <is>
          <t>Prorrateo Ha PACKING</t>
        </is>
      </c>
      <c r="V3189" s="232" t="inlineStr">
        <is>
          <t>2026-06-18</t>
        </is>
      </c>
    </row>
    <row r="3190">
      <c r="A3190" s="232" t="inlineStr">
        <is>
          <t>CR-3187</t>
        </is>
      </c>
      <c r="B3190" s="232" t="inlineStr">
        <is>
          <t>2026/27</t>
        </is>
      </c>
      <c r="C3190" s="233" t="n">
        <v>46120</v>
      </c>
      <c r="D3190" s="232" t="inlineStr">
        <is>
          <t>8463</t>
        </is>
      </c>
      <c r="E3190" s="232" t="inlineStr">
        <is>
          <t>PRORRATEO</t>
        </is>
      </c>
      <c r="F3190" s="232" t="inlineStr">
        <is>
          <t>Santa Catalina</t>
        </is>
      </c>
      <c r="G3190" s="232" t="inlineStr">
        <is>
          <t>cambria 4,2 ha</t>
        </is>
      </c>
      <c r="H3190" s="232" t="inlineStr">
        <is>
          <t>Naranjas</t>
        </is>
      </c>
      <c r="I3190" s="232" t="inlineStr">
        <is>
          <t>Cambria</t>
        </is>
      </c>
      <c r="J3190" s="232" t="inlineStr">
        <is>
          <t>FLETES</t>
        </is>
      </c>
      <c r="K3190" s="232" t="inlineStr">
        <is>
          <t>FLETE FRUTA</t>
        </is>
      </c>
      <c r="L3190" s="232" t="inlineStr">
        <is>
          <t>[PRORRATEO 2.8% 4.2há/148.3há] O/001577 FLETE</t>
        </is>
      </c>
      <c r="M3190" s="232" t="inlineStr"/>
      <c r="N3190" s="232" t="inlineStr">
        <is>
          <t>.   .   -</t>
        </is>
      </c>
      <c r="O3190" s="232" t="inlineStr">
        <is>
          <t>ABRIL</t>
        </is>
      </c>
      <c r="P3190" s="232" t="n">
        <v>14</v>
      </c>
      <c r="Q3190" s="234" t="n">
        <v>8654</v>
      </c>
      <c r="R3190" s="232" t="inlineStr"/>
      <c r="S3190" s="234" t="n">
        <v>8654</v>
      </c>
      <c r="T3190" s="232" t="inlineStr">
        <is>
          <t>CLP</t>
        </is>
      </c>
      <c r="U3190" s="232" t="inlineStr">
        <is>
          <t>Prorrateo Ha PACKING</t>
        </is>
      </c>
      <c r="V3190" s="232" t="inlineStr">
        <is>
          <t>2026-06-18</t>
        </is>
      </c>
    </row>
    <row r="3191">
      <c r="A3191" s="232" t="inlineStr">
        <is>
          <t>CR-3188</t>
        </is>
      </c>
      <c r="B3191" s="232" t="inlineStr">
        <is>
          <t>2026/27</t>
        </is>
      </c>
      <c r="C3191" s="233" t="n">
        <v>46120</v>
      </c>
      <c r="D3191" s="232" t="inlineStr">
        <is>
          <t>8463</t>
        </is>
      </c>
      <c r="E3191" s="232" t="inlineStr">
        <is>
          <t>PRORRATEO</t>
        </is>
      </c>
      <c r="F3191" s="232" t="inlineStr">
        <is>
          <t>Santa Catalina</t>
        </is>
      </c>
      <c r="G3191" s="232" t="inlineStr">
        <is>
          <t>eureka 10,6 ha</t>
        </is>
      </c>
      <c r="H3191" s="232" t="inlineStr">
        <is>
          <t>Limon</t>
        </is>
      </c>
      <c r="I3191" s="232" t="inlineStr">
        <is>
          <t>Eureka</t>
        </is>
      </c>
      <c r="J3191" s="232" t="inlineStr">
        <is>
          <t>FLETES</t>
        </is>
      </c>
      <c r="K3191" s="232" t="inlineStr">
        <is>
          <t>FLETE FRUTA</t>
        </is>
      </c>
      <c r="L3191" s="232" t="inlineStr">
        <is>
          <t>[PRORRATEO 7.1% 10.6há/148.3há] O/001577 FLETE</t>
        </is>
      </c>
      <c r="M3191" s="232" t="inlineStr"/>
      <c r="N3191" s="232" t="inlineStr">
        <is>
          <t>.   .   -</t>
        </is>
      </c>
      <c r="O3191" s="232" t="inlineStr">
        <is>
          <t>ABRIL</t>
        </is>
      </c>
      <c r="P3191" s="232" t="n">
        <v>14</v>
      </c>
      <c r="Q3191" s="234" t="n">
        <v>21842</v>
      </c>
      <c r="R3191" s="232" t="inlineStr"/>
      <c r="S3191" s="234" t="n">
        <v>21842</v>
      </c>
      <c r="T3191" s="232" t="inlineStr">
        <is>
          <t>CLP</t>
        </is>
      </c>
      <c r="U3191" s="232" t="inlineStr">
        <is>
          <t>Prorrateo Ha PACKING</t>
        </is>
      </c>
      <c r="V3191" s="232" t="inlineStr">
        <is>
          <t>2026-06-18</t>
        </is>
      </c>
    </row>
    <row r="3192">
      <c r="A3192" s="232" t="inlineStr">
        <is>
          <t>CR-3189</t>
        </is>
      </c>
      <c r="B3192" s="232" t="inlineStr">
        <is>
          <t>2026/27</t>
        </is>
      </c>
      <c r="C3192" s="233" t="n">
        <v>46120</v>
      </c>
      <c r="D3192" s="232" t="inlineStr">
        <is>
          <t>8463</t>
        </is>
      </c>
      <c r="E3192" s="232" t="inlineStr">
        <is>
          <t>PRORRATEO</t>
        </is>
      </c>
      <c r="F3192" s="232" t="inlineStr">
        <is>
          <t>Santa Catalina</t>
        </is>
      </c>
      <c r="G3192" s="232" t="inlineStr">
        <is>
          <t>eureka 14,4 ha</t>
        </is>
      </c>
      <c r="H3192" s="232" t="inlineStr">
        <is>
          <t>Limon</t>
        </is>
      </c>
      <c r="I3192" s="232" t="inlineStr">
        <is>
          <t>Eureka</t>
        </is>
      </c>
      <c r="J3192" s="232" t="inlineStr">
        <is>
          <t>FLETES</t>
        </is>
      </c>
      <c r="K3192" s="232" t="inlineStr">
        <is>
          <t>FLETE FRUTA</t>
        </is>
      </c>
      <c r="L3192" s="232" t="inlineStr">
        <is>
          <t>[PRORRATEO 9.7% 14.4há/148.3há] O/001577 FLETE</t>
        </is>
      </c>
      <c r="M3192" s="232" t="inlineStr"/>
      <c r="N3192" s="232" t="inlineStr">
        <is>
          <t>.   .   -</t>
        </is>
      </c>
      <c r="O3192" s="232" t="inlineStr">
        <is>
          <t>ABRIL</t>
        </is>
      </c>
      <c r="P3192" s="232" t="n">
        <v>14</v>
      </c>
      <c r="Q3192" s="234" t="n">
        <v>29672</v>
      </c>
      <c r="R3192" s="232" t="inlineStr"/>
      <c r="S3192" s="234" t="n">
        <v>29672</v>
      </c>
      <c r="T3192" s="232" t="inlineStr">
        <is>
          <t>CLP</t>
        </is>
      </c>
      <c r="U3192" s="232" t="inlineStr">
        <is>
          <t>Prorrateo Ha PACKING</t>
        </is>
      </c>
      <c r="V3192" s="232" t="inlineStr">
        <is>
          <t>2026-06-18</t>
        </is>
      </c>
    </row>
    <row r="3193">
      <c r="A3193" s="232" t="inlineStr">
        <is>
          <t>CR-3190</t>
        </is>
      </c>
      <c r="B3193" s="232" t="inlineStr">
        <is>
          <t>2026/27</t>
        </is>
      </c>
      <c r="C3193" s="233" t="n">
        <v>46120</v>
      </c>
      <c r="D3193" s="232" t="inlineStr">
        <is>
          <t>8463</t>
        </is>
      </c>
      <c r="E3193" s="232" t="inlineStr">
        <is>
          <t>PRORRATEO</t>
        </is>
      </c>
      <c r="F3193" s="232" t="inlineStr">
        <is>
          <t>Santa Catalina</t>
        </is>
      </c>
      <c r="G3193" s="232" t="inlineStr">
        <is>
          <t>eureka 22,55</t>
        </is>
      </c>
      <c r="H3193" s="232" t="inlineStr">
        <is>
          <t>Limon</t>
        </is>
      </c>
      <c r="I3193" s="232" t="inlineStr">
        <is>
          <t>Eureka</t>
        </is>
      </c>
      <c r="J3193" s="232" t="inlineStr">
        <is>
          <t>FLETES</t>
        </is>
      </c>
      <c r="K3193" s="232" t="inlineStr">
        <is>
          <t>FLETE FRUTA</t>
        </is>
      </c>
      <c r="L3193" s="232" t="inlineStr">
        <is>
          <t>[PRORRATEO 15.2% 22.55há/148.3há] O/001577 FLETE</t>
        </is>
      </c>
      <c r="M3193" s="232" t="inlineStr"/>
      <c r="N3193" s="232" t="inlineStr">
        <is>
          <t>.   .   -</t>
        </is>
      </c>
      <c r="O3193" s="232" t="inlineStr">
        <is>
          <t>ABRIL</t>
        </is>
      </c>
      <c r="P3193" s="232" t="n">
        <v>14</v>
      </c>
      <c r="Q3193" s="234" t="n">
        <v>46466</v>
      </c>
      <c r="R3193" s="232" t="inlineStr"/>
      <c r="S3193" s="234" t="n">
        <v>46466</v>
      </c>
      <c r="T3193" s="232" t="inlineStr">
        <is>
          <t>CLP</t>
        </is>
      </c>
      <c r="U3193" s="232" t="inlineStr">
        <is>
          <t>Prorrateo Ha PACKING</t>
        </is>
      </c>
      <c r="V3193" s="232" t="inlineStr">
        <is>
          <t>2026-06-18</t>
        </is>
      </c>
    </row>
    <row r="3194">
      <c r="A3194" s="232" t="inlineStr">
        <is>
          <t>CR-3191</t>
        </is>
      </c>
      <c r="B3194" s="232" t="inlineStr">
        <is>
          <t>2026/27</t>
        </is>
      </c>
      <c r="C3194" s="233" t="n">
        <v>46120</v>
      </c>
      <c r="D3194" s="232" t="inlineStr">
        <is>
          <t>8463</t>
        </is>
      </c>
      <c r="E3194" s="232" t="inlineStr">
        <is>
          <t>PRORRATEO</t>
        </is>
      </c>
      <c r="F3194" s="232" t="inlineStr">
        <is>
          <t>Santa Catalina</t>
        </is>
      </c>
      <c r="G3194" s="232" t="inlineStr">
        <is>
          <t>form benjamin 1,93 ha</t>
        </is>
      </c>
      <c r="H3194" s="232" t="inlineStr">
        <is>
          <t>Limon</t>
        </is>
      </c>
      <c r="I3194" s="232" t="inlineStr">
        <is>
          <t>Benjamin andes</t>
        </is>
      </c>
      <c r="J3194" s="232" t="inlineStr">
        <is>
          <t>FLETES</t>
        </is>
      </c>
      <c r="K3194" s="232" t="inlineStr">
        <is>
          <t>FLETE FRUTA</t>
        </is>
      </c>
      <c r="L3194" s="232" t="inlineStr">
        <is>
          <t>[PRORRATEO 1.3% 1.93há/148.3há] O/001577 FLETE</t>
        </is>
      </c>
      <c r="M3194" s="232" t="inlineStr"/>
      <c r="N3194" s="232" t="inlineStr">
        <is>
          <t>.   .   -</t>
        </is>
      </c>
      <c r="O3194" s="232" t="inlineStr">
        <is>
          <t>ABRIL</t>
        </is>
      </c>
      <c r="P3194" s="232" t="n">
        <v>14</v>
      </c>
      <c r="Q3194" s="234" t="n">
        <v>3977</v>
      </c>
      <c r="R3194" s="232" t="inlineStr"/>
      <c r="S3194" s="234" t="n">
        <v>3977</v>
      </c>
      <c r="T3194" s="232" t="inlineStr">
        <is>
          <t>CLP</t>
        </is>
      </c>
      <c r="U3194" s="232" t="inlineStr">
        <is>
          <t>Prorrateo Ha PACKING</t>
        </is>
      </c>
      <c r="V3194" s="232" t="inlineStr">
        <is>
          <t>2026-06-18</t>
        </is>
      </c>
    </row>
    <row r="3195">
      <c r="A3195" s="232" t="inlineStr">
        <is>
          <t>CR-3192</t>
        </is>
      </c>
      <c r="B3195" s="232" t="inlineStr">
        <is>
          <t>2026/27</t>
        </is>
      </c>
      <c r="C3195" s="233" t="n">
        <v>46120</v>
      </c>
      <c r="D3195" s="232" t="inlineStr">
        <is>
          <t>8463</t>
        </is>
      </c>
      <c r="E3195" s="232" t="inlineStr">
        <is>
          <t>PRORRATEO</t>
        </is>
      </c>
      <c r="F3195" s="232" t="inlineStr">
        <is>
          <t>Santa Catalina</t>
        </is>
      </c>
      <c r="G3195" s="232" t="inlineStr">
        <is>
          <t>mant eureka 2,5 ha</t>
        </is>
      </c>
      <c r="H3195" s="232" t="inlineStr">
        <is>
          <t>Limon</t>
        </is>
      </c>
      <c r="I3195" s="232" t="inlineStr">
        <is>
          <t>Eureka</t>
        </is>
      </c>
      <c r="J3195" s="232" t="inlineStr">
        <is>
          <t>FLETES</t>
        </is>
      </c>
      <c r="K3195" s="232" t="inlineStr">
        <is>
          <t>FLETE FRUTA</t>
        </is>
      </c>
      <c r="L3195" s="232" t="inlineStr">
        <is>
          <t>[PRORRATEO 1.7% 2.5há/148.3há] O/001577 FLETE</t>
        </is>
      </c>
      <c r="M3195" s="232" t="inlineStr"/>
      <c r="N3195" s="232" t="inlineStr">
        <is>
          <t>.   .   -</t>
        </is>
      </c>
      <c r="O3195" s="232" t="inlineStr">
        <is>
          <t>ABRIL</t>
        </is>
      </c>
      <c r="P3195" s="232" t="n">
        <v>14</v>
      </c>
      <c r="Q3195" s="234" t="n">
        <v>5151</v>
      </c>
      <c r="R3195" s="232" t="inlineStr"/>
      <c r="S3195" s="234" t="n">
        <v>5151</v>
      </c>
      <c r="T3195" s="232" t="inlineStr">
        <is>
          <t>CLP</t>
        </is>
      </c>
      <c r="U3195" s="232" t="inlineStr">
        <is>
          <t>Prorrateo Ha PACKING</t>
        </is>
      </c>
      <c r="V3195" s="232" t="inlineStr">
        <is>
          <t>2026-06-18</t>
        </is>
      </c>
    </row>
    <row r="3196">
      <c r="A3196" s="232" t="inlineStr">
        <is>
          <t>CR-3193</t>
        </is>
      </c>
      <c r="B3196" s="232" t="inlineStr">
        <is>
          <t>2026/27</t>
        </is>
      </c>
      <c r="C3196" s="233" t="n">
        <v>46120</v>
      </c>
      <c r="D3196" s="232" t="inlineStr">
        <is>
          <t>8463</t>
        </is>
      </c>
      <c r="E3196" s="232" t="inlineStr">
        <is>
          <t>PRORRATEO</t>
        </is>
      </c>
      <c r="F3196" s="232" t="inlineStr">
        <is>
          <t>Siberia</t>
        </is>
      </c>
      <c r="G3196" s="232" t="inlineStr">
        <is>
          <t>S. Celebration 7,14</t>
        </is>
      </c>
      <c r="H3196" s="232" t="inlineStr">
        <is>
          <t>Uvas</t>
        </is>
      </c>
      <c r="I3196" s="232" t="inlineStr">
        <is>
          <t>S. celebration</t>
        </is>
      </c>
      <c r="J3196" s="232" t="inlineStr">
        <is>
          <t>FLETES</t>
        </is>
      </c>
      <c r="K3196" s="232" t="inlineStr">
        <is>
          <t>FLETE FRUTA</t>
        </is>
      </c>
      <c r="L3196" s="232" t="inlineStr">
        <is>
          <t>[PRORRATEO 4.8% 7.14há/148.3há] O/001577 FLETE</t>
        </is>
      </c>
      <c r="M3196" s="232" t="inlineStr"/>
      <c r="N3196" s="232" t="inlineStr">
        <is>
          <t>.   .   -</t>
        </is>
      </c>
      <c r="O3196" s="232" t="inlineStr">
        <is>
          <t>ABRIL</t>
        </is>
      </c>
      <c r="P3196" s="232" t="n">
        <v>14</v>
      </c>
      <c r="Q3196" s="234" t="n">
        <v>14712</v>
      </c>
      <c r="R3196" s="232" t="inlineStr"/>
      <c r="S3196" s="234" t="n">
        <v>14712</v>
      </c>
      <c r="T3196" s="232" t="inlineStr">
        <is>
          <t>CLP</t>
        </is>
      </c>
      <c r="U3196" s="232" t="inlineStr">
        <is>
          <t>Prorrateo Ha PACKING</t>
        </is>
      </c>
      <c r="V3196" s="232" t="inlineStr">
        <is>
          <t>2026-06-18</t>
        </is>
      </c>
    </row>
    <row r="3197">
      <c r="A3197" s="232" t="inlineStr">
        <is>
          <t>CR-3194</t>
        </is>
      </c>
      <c r="B3197" s="232" t="inlineStr">
        <is>
          <t>2026/27</t>
        </is>
      </c>
      <c r="C3197" s="233" t="n">
        <v>46120</v>
      </c>
      <c r="D3197" s="232" t="inlineStr">
        <is>
          <t>8463</t>
        </is>
      </c>
      <c r="E3197" s="232" t="inlineStr">
        <is>
          <t>PRORRATEO</t>
        </is>
      </c>
      <c r="F3197" s="232" t="inlineStr">
        <is>
          <t>Siberia</t>
        </is>
      </c>
      <c r="G3197" s="232" t="inlineStr">
        <is>
          <t>Timpson 7,1</t>
        </is>
      </c>
      <c r="H3197" s="232" t="inlineStr">
        <is>
          <t>Uvas</t>
        </is>
      </c>
      <c r="I3197" s="232" t="inlineStr">
        <is>
          <t>Timpson</t>
        </is>
      </c>
      <c r="J3197" s="232" t="inlineStr">
        <is>
          <t>FLETES</t>
        </is>
      </c>
      <c r="K3197" s="232" t="inlineStr">
        <is>
          <t>FLETE FRUTA</t>
        </is>
      </c>
      <c r="L3197" s="232" t="inlineStr">
        <is>
          <t>[PRORRATEO 4.8% 7.1há/148.3há] O/001577 FLETE</t>
        </is>
      </c>
      <c r="M3197" s="232" t="inlineStr"/>
      <c r="N3197" s="232" t="inlineStr">
        <is>
          <t>.   .   -</t>
        </is>
      </c>
      <c r="O3197" s="232" t="inlineStr">
        <is>
          <t>ABRIL</t>
        </is>
      </c>
      <c r="P3197" s="232" t="n">
        <v>14</v>
      </c>
      <c r="Q3197" s="234" t="n">
        <v>14630</v>
      </c>
      <c r="R3197" s="232" t="inlineStr"/>
      <c r="S3197" s="234" t="n">
        <v>14630</v>
      </c>
      <c r="T3197" s="232" t="inlineStr">
        <is>
          <t>CLP</t>
        </is>
      </c>
      <c r="U3197" s="232" t="inlineStr">
        <is>
          <t>Prorrateo Ha PACKING</t>
        </is>
      </c>
      <c r="V3197" s="232" t="inlineStr">
        <is>
          <t>2026-06-18</t>
        </is>
      </c>
    </row>
    <row r="3198">
      <c r="A3198" s="232" t="inlineStr">
        <is>
          <t>CR-3195</t>
        </is>
      </c>
      <c r="B3198" s="232" t="inlineStr">
        <is>
          <t>2026/27</t>
        </is>
      </c>
      <c r="C3198" s="233" t="n">
        <v>46120</v>
      </c>
      <c r="D3198" s="232" t="inlineStr">
        <is>
          <t>8463</t>
        </is>
      </c>
      <c r="E3198" s="232" t="inlineStr">
        <is>
          <t>PRORRATEO</t>
        </is>
      </c>
      <c r="F3198" s="232" t="inlineStr">
        <is>
          <t>Asmara</t>
        </is>
      </c>
      <c r="G3198" s="232" t="inlineStr">
        <is>
          <t>w. murcott 19,8 ha</t>
        </is>
      </c>
      <c r="H3198" s="232" t="inlineStr">
        <is>
          <t>Mandarina</t>
        </is>
      </c>
      <c r="I3198" s="232" t="inlineStr">
        <is>
          <t>W. murcott</t>
        </is>
      </c>
      <c r="J3198" s="232" t="inlineStr">
        <is>
          <t>FLETES</t>
        </is>
      </c>
      <c r="K3198" s="232" t="inlineStr">
        <is>
          <t>FLETE FRUTA</t>
        </is>
      </c>
      <c r="L3198" s="232" t="inlineStr">
        <is>
          <t>[PRORRATEO 13.4% 19.8há/148.3há] O/001577 FLETE</t>
        </is>
      </c>
      <c r="M3198" s="232" t="inlineStr"/>
      <c r="N3198" s="232" t="inlineStr">
        <is>
          <t>.   .   -</t>
        </is>
      </c>
      <c r="O3198" s="232" t="inlineStr">
        <is>
          <t>ABRIL</t>
        </is>
      </c>
      <c r="P3198" s="232" t="n">
        <v>14</v>
      </c>
      <c r="Q3198" s="234" t="n">
        <v>44272</v>
      </c>
      <c r="R3198" s="232" t="inlineStr"/>
      <c r="S3198" s="234" t="n">
        <v>44272</v>
      </c>
      <c r="T3198" s="232" t="inlineStr">
        <is>
          <t>CLP</t>
        </is>
      </c>
      <c r="U3198" s="232" t="inlineStr">
        <is>
          <t>Prorrateo Ha PACKING</t>
        </is>
      </c>
      <c r="V3198" s="232" t="inlineStr">
        <is>
          <t>2026-06-18</t>
        </is>
      </c>
    </row>
    <row r="3199">
      <c r="A3199" s="232" t="inlineStr">
        <is>
          <t>CR-3196</t>
        </is>
      </c>
      <c r="B3199" s="232" t="inlineStr">
        <is>
          <t>2026/27</t>
        </is>
      </c>
      <c r="C3199" s="233" t="n">
        <v>46120</v>
      </c>
      <c r="D3199" s="232" t="inlineStr">
        <is>
          <t>8463</t>
        </is>
      </c>
      <c r="E3199" s="232" t="inlineStr">
        <is>
          <t>PRORRATEO</t>
        </is>
      </c>
      <c r="F3199" s="232" t="inlineStr">
        <is>
          <t>Asmara</t>
        </is>
      </c>
      <c r="G3199" s="232" t="inlineStr">
        <is>
          <t>w. murcott 4,9 ha</t>
        </is>
      </c>
      <c r="H3199" s="232" t="inlineStr">
        <is>
          <t>Mandarina</t>
        </is>
      </c>
      <c r="I3199" s="232" t="inlineStr">
        <is>
          <t>W. murcott</t>
        </is>
      </c>
      <c r="J3199" s="232" t="inlineStr">
        <is>
          <t>FLETES</t>
        </is>
      </c>
      <c r="K3199" s="232" t="inlineStr">
        <is>
          <t>FLETE FRUTA</t>
        </is>
      </c>
      <c r="L3199" s="232" t="inlineStr">
        <is>
          <t>[PRORRATEO 3.3% 4.9há/148.3há] O/001577 FLETE</t>
        </is>
      </c>
      <c r="M3199" s="232" t="inlineStr"/>
      <c r="N3199" s="232" t="inlineStr">
        <is>
          <t>.   .   -</t>
        </is>
      </c>
      <c r="O3199" s="232" t="inlineStr">
        <is>
          <t>ABRIL</t>
        </is>
      </c>
      <c r="P3199" s="232" t="n">
        <v>14</v>
      </c>
      <c r="Q3199" s="234" t="n">
        <v>10956</v>
      </c>
      <c r="R3199" s="232" t="inlineStr"/>
      <c r="S3199" s="234" t="n">
        <v>10956</v>
      </c>
      <c r="T3199" s="232" t="inlineStr">
        <is>
          <t>CLP</t>
        </is>
      </c>
      <c r="U3199" s="232" t="inlineStr">
        <is>
          <t>Prorrateo Ha PACKING</t>
        </is>
      </c>
      <c r="V3199" s="232" t="inlineStr">
        <is>
          <t>2026-06-18</t>
        </is>
      </c>
    </row>
    <row r="3200">
      <c r="A3200" s="232" t="inlineStr">
        <is>
          <t>CR-3197</t>
        </is>
      </c>
      <c r="B3200" s="232" t="inlineStr">
        <is>
          <t>2026/27</t>
        </is>
      </c>
      <c r="C3200" s="233" t="n">
        <v>46120</v>
      </c>
      <c r="D3200" s="232" t="inlineStr">
        <is>
          <t>8463</t>
        </is>
      </c>
      <c r="E3200" s="232" t="inlineStr">
        <is>
          <t>PRORRATEO</t>
        </is>
      </c>
      <c r="F3200" s="232" t="inlineStr">
        <is>
          <t>El Molle</t>
        </is>
      </c>
      <c r="G3200" s="232" t="inlineStr">
        <is>
          <t>Wonderful 5,25 ha</t>
        </is>
      </c>
      <c r="H3200" s="232" t="inlineStr">
        <is>
          <t>Granados</t>
        </is>
      </c>
      <c r="I3200" s="232" t="inlineStr">
        <is>
          <t>Wonderfull</t>
        </is>
      </c>
      <c r="J3200" s="232" t="inlineStr">
        <is>
          <t>FLETES</t>
        </is>
      </c>
      <c r="K3200" s="232" t="inlineStr">
        <is>
          <t>FLETE FRUTA</t>
        </is>
      </c>
      <c r="L3200" s="232" t="inlineStr">
        <is>
          <t>[PRORRATEO 3.5% 5.24há/148.3há] O/001577 FLETE</t>
        </is>
      </c>
      <c r="M3200" s="232" t="inlineStr"/>
      <c r="N3200" s="232" t="inlineStr">
        <is>
          <t>.   .   -</t>
        </is>
      </c>
      <c r="O3200" s="232" t="inlineStr">
        <is>
          <t>ABRIL</t>
        </is>
      </c>
      <c r="P3200" s="232" t="n">
        <v>14</v>
      </c>
      <c r="Q3200" s="234" t="n">
        <v>11716</v>
      </c>
      <c r="R3200" s="232" t="inlineStr"/>
      <c r="S3200" s="234" t="n">
        <v>11716</v>
      </c>
      <c r="T3200" s="232" t="inlineStr">
        <is>
          <t>CLP</t>
        </is>
      </c>
      <c r="U3200" s="232" t="inlineStr">
        <is>
          <t>Prorrateo Ha PACKING</t>
        </is>
      </c>
      <c r="V3200" s="232" t="inlineStr">
        <is>
          <t>2026-06-18</t>
        </is>
      </c>
    </row>
    <row r="3201">
      <c r="A3201" s="232" t="inlineStr">
        <is>
          <t>CR-3198</t>
        </is>
      </c>
      <c r="B3201" s="232" t="inlineStr">
        <is>
          <t>2026/27</t>
        </is>
      </c>
      <c r="C3201" s="233" t="n">
        <v>46120</v>
      </c>
      <c r="D3201" s="232" t="inlineStr">
        <is>
          <t>8463</t>
        </is>
      </c>
      <c r="E3201" s="232" t="inlineStr">
        <is>
          <t>PRORRATEO</t>
        </is>
      </c>
      <c r="F3201" s="232" t="inlineStr">
        <is>
          <t>El Molle</t>
        </is>
      </c>
      <c r="G3201" s="232" t="inlineStr">
        <is>
          <t>arrufatinas 5,74 ha</t>
        </is>
      </c>
      <c r="H3201" s="232" t="inlineStr">
        <is>
          <t>Clementinas</t>
        </is>
      </c>
      <c r="I3201" s="232" t="inlineStr">
        <is>
          <t>Arrufatinas</t>
        </is>
      </c>
      <c r="J3201" s="232" t="inlineStr">
        <is>
          <t>FLETES</t>
        </is>
      </c>
      <c r="K3201" s="232" t="inlineStr">
        <is>
          <t>FLETE FRUTA</t>
        </is>
      </c>
      <c r="L3201" s="232" t="inlineStr">
        <is>
          <t>[PRORRATEO 3.9% 5.74há/148.3há] O/001577 FLETE</t>
        </is>
      </c>
      <c r="M3201" s="232" t="inlineStr"/>
      <c r="N3201" s="232" t="inlineStr">
        <is>
          <t>.   .   -</t>
        </is>
      </c>
      <c r="O3201" s="232" t="inlineStr">
        <is>
          <t>ABRIL</t>
        </is>
      </c>
      <c r="P3201" s="232" t="n">
        <v>14</v>
      </c>
      <c r="Q3201" s="234" t="n">
        <v>12834</v>
      </c>
      <c r="R3201" s="232" t="inlineStr"/>
      <c r="S3201" s="234" t="n">
        <v>12834</v>
      </c>
      <c r="T3201" s="232" t="inlineStr">
        <is>
          <t>CLP</t>
        </is>
      </c>
      <c r="U3201" s="232" t="inlineStr">
        <is>
          <t>Prorrateo Ha PACKING</t>
        </is>
      </c>
      <c r="V3201" s="232" t="inlineStr">
        <is>
          <t>2026-06-18</t>
        </is>
      </c>
    </row>
    <row r="3202">
      <c r="A3202" s="232" t="inlineStr">
        <is>
          <t>CR-3199</t>
        </is>
      </c>
      <c r="B3202" s="232" t="inlineStr">
        <is>
          <t>2026/27</t>
        </is>
      </c>
      <c r="C3202" s="233" t="n">
        <v>46120</v>
      </c>
      <c r="D3202" s="232" t="inlineStr">
        <is>
          <t>8463</t>
        </is>
      </c>
      <c r="E3202" s="232" t="inlineStr">
        <is>
          <t>PRORRATEO</t>
        </is>
      </c>
      <c r="F3202" s="232" t="inlineStr">
        <is>
          <t>El Molle</t>
        </is>
      </c>
      <c r="G3202" s="232" t="inlineStr">
        <is>
          <t>orogrande 8,11 ha</t>
        </is>
      </c>
      <c r="H3202" s="232" t="inlineStr">
        <is>
          <t>Clementinas</t>
        </is>
      </c>
      <c r="I3202" s="232" t="inlineStr">
        <is>
          <t>Orogrande</t>
        </is>
      </c>
      <c r="J3202" s="232" t="inlineStr">
        <is>
          <t>FLETES</t>
        </is>
      </c>
      <c r="K3202" s="232" t="inlineStr">
        <is>
          <t>FLETE FRUTA</t>
        </is>
      </c>
      <c r="L3202" s="232" t="inlineStr">
        <is>
          <t>[PRORRATEO 5.5% 8.11há/148.3há] O/001577 FLETE</t>
        </is>
      </c>
      <c r="M3202" s="232" t="inlineStr"/>
      <c r="N3202" s="232" t="inlineStr">
        <is>
          <t>.   .   -</t>
        </is>
      </c>
      <c r="O3202" s="232" t="inlineStr">
        <is>
          <t>ABRIL</t>
        </is>
      </c>
      <c r="P3202" s="232" t="n">
        <v>14</v>
      </c>
      <c r="Q3202" s="234" t="n">
        <v>18133</v>
      </c>
      <c r="R3202" s="232" t="inlineStr"/>
      <c r="S3202" s="234" t="n">
        <v>18133</v>
      </c>
      <c r="T3202" s="232" t="inlineStr">
        <is>
          <t>CLP</t>
        </is>
      </c>
      <c r="U3202" s="232" t="inlineStr">
        <is>
          <t>Prorrateo Ha PACKING</t>
        </is>
      </c>
      <c r="V3202" s="232" t="inlineStr">
        <is>
          <t>2026-06-18</t>
        </is>
      </c>
    </row>
    <row r="3203">
      <c r="A3203" s="232" t="inlineStr">
        <is>
          <t>CR-3200</t>
        </is>
      </c>
      <c r="B3203" s="232" t="inlineStr">
        <is>
          <t>2026/27</t>
        </is>
      </c>
      <c r="C3203" s="233" t="n">
        <v>46120</v>
      </c>
      <c r="D3203" s="232" t="inlineStr">
        <is>
          <t>8463</t>
        </is>
      </c>
      <c r="E3203" s="232" t="inlineStr">
        <is>
          <t>PRORRATEO</t>
        </is>
      </c>
      <c r="F3203" s="232" t="inlineStr">
        <is>
          <t>El Molle</t>
        </is>
      </c>
      <c r="G3203" s="232" t="inlineStr">
        <is>
          <t>oronules 5,35 ha</t>
        </is>
      </c>
      <c r="H3203" s="232" t="inlineStr">
        <is>
          <t>Clementinas</t>
        </is>
      </c>
      <c r="I3203" s="232" t="inlineStr">
        <is>
          <t>Oronules</t>
        </is>
      </c>
      <c r="J3203" s="232" t="inlineStr">
        <is>
          <t>FLETES</t>
        </is>
      </c>
      <c r="K3203" s="232" t="inlineStr">
        <is>
          <t>FLETE FRUTA</t>
        </is>
      </c>
      <c r="L3203" s="232" t="inlineStr">
        <is>
          <t>[PRORRATEO 3.6% 5.35há/148.3há] O/001577 FLETE</t>
        </is>
      </c>
      <c r="M3203" s="232" t="inlineStr"/>
      <c r="N3203" s="232" t="inlineStr">
        <is>
          <t>.   .   -</t>
        </is>
      </c>
      <c r="O3203" s="232" t="inlineStr">
        <is>
          <t>ABRIL</t>
        </is>
      </c>
      <c r="P3203" s="232" t="n">
        <v>14</v>
      </c>
      <c r="Q3203" s="234" t="n">
        <v>11962</v>
      </c>
      <c r="R3203" s="232" t="inlineStr"/>
      <c r="S3203" s="234" t="n">
        <v>11962</v>
      </c>
      <c r="T3203" s="232" t="inlineStr">
        <is>
          <t>CLP</t>
        </is>
      </c>
      <c r="U3203" s="232" t="inlineStr">
        <is>
          <t>Prorrateo Ha PACKING</t>
        </is>
      </c>
      <c r="V3203" s="232" t="inlineStr">
        <is>
          <t>2026-06-18</t>
        </is>
      </c>
    </row>
    <row r="3204">
      <c r="A3204" s="232" t="inlineStr">
        <is>
          <t>CR-3201</t>
        </is>
      </c>
      <c r="B3204" s="232" t="inlineStr">
        <is>
          <t>2026/27</t>
        </is>
      </c>
      <c r="C3204" s="233" t="n">
        <v>46120</v>
      </c>
      <c r="D3204" s="232" t="inlineStr">
        <is>
          <t>8463</t>
        </is>
      </c>
      <c r="E3204" s="232" t="inlineStr">
        <is>
          <t>PRORRATEO</t>
        </is>
      </c>
      <c r="F3204" s="232" t="inlineStr">
        <is>
          <t>Santa Catalina</t>
        </is>
      </c>
      <c r="G3204" s="232" t="inlineStr">
        <is>
          <t>Fino 49 7,7 ha</t>
        </is>
      </c>
      <c r="H3204" s="232" t="inlineStr">
        <is>
          <t>Limon</t>
        </is>
      </c>
      <c r="I3204" s="232" t="inlineStr">
        <is>
          <t>Fino 49</t>
        </is>
      </c>
      <c r="J3204" s="232" t="inlineStr">
        <is>
          <t>FLETES</t>
        </is>
      </c>
      <c r="K3204" s="232" t="inlineStr">
        <is>
          <t>FLETE FRUTA</t>
        </is>
      </c>
      <c r="L3204" s="232" t="inlineStr">
        <is>
          <t>[PRORRATEO 5.2% 7.7há/148.3há] O/001577 FLETE</t>
        </is>
      </c>
      <c r="M3204" s="232" t="inlineStr"/>
      <c r="N3204" s="232" t="inlineStr">
        <is>
          <t>.   .   -</t>
        </is>
      </c>
      <c r="O3204" s="232" t="inlineStr">
        <is>
          <t>ABRIL</t>
        </is>
      </c>
      <c r="P3204" s="232" t="n">
        <v>14</v>
      </c>
      <c r="Q3204" s="234" t="n">
        <v>17217</v>
      </c>
      <c r="R3204" s="232" t="inlineStr"/>
      <c r="S3204" s="234" t="n">
        <v>17217</v>
      </c>
      <c r="T3204" s="232" t="inlineStr">
        <is>
          <t>CLP</t>
        </is>
      </c>
      <c r="U3204" s="232" t="inlineStr">
        <is>
          <t>Prorrateo Ha PACKING</t>
        </is>
      </c>
      <c r="V3204" s="232" t="inlineStr">
        <is>
          <t>2026-06-18</t>
        </is>
      </c>
    </row>
    <row r="3205">
      <c r="A3205" s="232" t="inlineStr">
        <is>
          <t>CR-3202</t>
        </is>
      </c>
      <c r="B3205" s="232" t="inlineStr">
        <is>
          <t>2026/27</t>
        </is>
      </c>
      <c r="C3205" s="233" t="n">
        <v>46120</v>
      </c>
      <c r="D3205" s="232" t="inlineStr">
        <is>
          <t>8463</t>
        </is>
      </c>
      <c r="E3205" s="232" t="inlineStr">
        <is>
          <t>PRORRATEO</t>
        </is>
      </c>
      <c r="F3205" s="232" t="inlineStr">
        <is>
          <t>Santa Catalina</t>
        </is>
      </c>
      <c r="G3205" s="232" t="inlineStr">
        <is>
          <t>W. murcott 21 ha</t>
        </is>
      </c>
      <c r="H3205" s="232" t="inlineStr">
        <is>
          <t>Mandarina</t>
        </is>
      </c>
      <c r="I3205" s="232" t="inlineStr">
        <is>
          <t>W. murcott</t>
        </is>
      </c>
      <c r="J3205" s="232" t="inlineStr">
        <is>
          <t>FLETES</t>
        </is>
      </c>
      <c r="K3205" s="232" t="inlineStr">
        <is>
          <t>FLETE FRUTA</t>
        </is>
      </c>
      <c r="L3205" s="232" t="inlineStr">
        <is>
          <t>[PRORRATEO 14.2% 21.0há/148.3há] O/001577 FLETE</t>
        </is>
      </c>
      <c r="M3205" s="232" t="inlineStr"/>
      <c r="N3205" s="232" t="inlineStr">
        <is>
          <t>.   .   -</t>
        </is>
      </c>
      <c r="O3205" s="232" t="inlineStr">
        <is>
          <t>ABRIL</t>
        </is>
      </c>
      <c r="P3205" s="232" t="n">
        <v>14</v>
      </c>
      <c r="Q3205" s="234" t="n">
        <v>46955</v>
      </c>
      <c r="R3205" s="232" t="inlineStr"/>
      <c r="S3205" s="234" t="n">
        <v>46955</v>
      </c>
      <c r="T3205" s="232" t="inlineStr">
        <is>
          <t>CLP</t>
        </is>
      </c>
      <c r="U3205" s="232" t="inlineStr">
        <is>
          <t>Prorrateo Ha PACKING</t>
        </is>
      </c>
      <c r="V3205" s="232" t="inlineStr">
        <is>
          <t>2026-06-18</t>
        </is>
      </c>
    </row>
    <row r="3206">
      <c r="A3206" s="232" t="inlineStr">
        <is>
          <t>CR-3203</t>
        </is>
      </c>
      <c r="B3206" s="232" t="inlineStr">
        <is>
          <t>2026/27</t>
        </is>
      </c>
      <c r="C3206" s="233" t="n">
        <v>46120</v>
      </c>
      <c r="D3206" s="232" t="inlineStr">
        <is>
          <t>8463</t>
        </is>
      </c>
      <c r="E3206" s="232" t="inlineStr">
        <is>
          <t>PRORRATEO</t>
        </is>
      </c>
      <c r="F3206" s="232" t="inlineStr">
        <is>
          <t>Santa Catalina</t>
        </is>
      </c>
      <c r="G3206" s="232" t="inlineStr">
        <is>
          <t>cambria 4,2 ha</t>
        </is>
      </c>
      <c r="H3206" s="232" t="inlineStr">
        <is>
          <t>Naranjas</t>
        </is>
      </c>
      <c r="I3206" s="232" t="inlineStr">
        <is>
          <t>Cambria</t>
        </is>
      </c>
      <c r="J3206" s="232" t="inlineStr">
        <is>
          <t>FLETES</t>
        </is>
      </c>
      <c r="K3206" s="232" t="inlineStr">
        <is>
          <t>FLETE FRUTA</t>
        </is>
      </c>
      <c r="L3206" s="232" t="inlineStr">
        <is>
          <t>[PRORRATEO 2.8% 4.2há/148.3há] O/001577 FLETE</t>
        </is>
      </c>
      <c r="M3206" s="232" t="inlineStr"/>
      <c r="N3206" s="232" t="inlineStr">
        <is>
          <t>.   .   -</t>
        </is>
      </c>
      <c r="O3206" s="232" t="inlineStr">
        <is>
          <t>ABRIL</t>
        </is>
      </c>
      <c r="P3206" s="232" t="n">
        <v>14</v>
      </c>
      <c r="Q3206" s="234" t="n">
        <v>9391</v>
      </c>
      <c r="R3206" s="232" t="inlineStr"/>
      <c r="S3206" s="234" t="n">
        <v>9391</v>
      </c>
      <c r="T3206" s="232" t="inlineStr">
        <is>
          <t>CLP</t>
        </is>
      </c>
      <c r="U3206" s="232" t="inlineStr">
        <is>
          <t>Prorrateo Ha PACKING</t>
        </is>
      </c>
      <c r="V3206" s="232" t="inlineStr">
        <is>
          <t>2026-06-18</t>
        </is>
      </c>
    </row>
    <row r="3207">
      <c r="A3207" s="232" t="inlineStr">
        <is>
          <t>CR-3204</t>
        </is>
      </c>
      <c r="B3207" s="232" t="inlineStr">
        <is>
          <t>2026/27</t>
        </is>
      </c>
      <c r="C3207" s="233" t="n">
        <v>46120</v>
      </c>
      <c r="D3207" s="232" t="inlineStr">
        <is>
          <t>8463</t>
        </is>
      </c>
      <c r="E3207" s="232" t="inlineStr">
        <is>
          <t>PRORRATEO</t>
        </is>
      </c>
      <c r="F3207" s="232" t="inlineStr">
        <is>
          <t>Santa Catalina</t>
        </is>
      </c>
      <c r="G3207" s="232" t="inlineStr">
        <is>
          <t>eureka 10,6 ha</t>
        </is>
      </c>
      <c r="H3207" s="232" t="inlineStr">
        <is>
          <t>Limon</t>
        </is>
      </c>
      <c r="I3207" s="232" t="inlineStr">
        <is>
          <t>Eureka</t>
        </is>
      </c>
      <c r="J3207" s="232" t="inlineStr">
        <is>
          <t>FLETES</t>
        </is>
      </c>
      <c r="K3207" s="232" t="inlineStr">
        <is>
          <t>FLETE FRUTA</t>
        </is>
      </c>
      <c r="L3207" s="232" t="inlineStr">
        <is>
          <t>[PRORRATEO 7.1% 10.6há/148.3há] O/001577 FLETE</t>
        </is>
      </c>
      <c r="M3207" s="232" t="inlineStr"/>
      <c r="N3207" s="232" t="inlineStr">
        <is>
          <t>.   .   -</t>
        </is>
      </c>
      <c r="O3207" s="232" t="inlineStr">
        <is>
          <t>ABRIL</t>
        </is>
      </c>
      <c r="P3207" s="232" t="n">
        <v>14</v>
      </c>
      <c r="Q3207" s="234" t="n">
        <v>23701</v>
      </c>
      <c r="R3207" s="232" t="inlineStr"/>
      <c r="S3207" s="234" t="n">
        <v>23701</v>
      </c>
      <c r="T3207" s="232" t="inlineStr">
        <is>
          <t>CLP</t>
        </is>
      </c>
      <c r="U3207" s="232" t="inlineStr">
        <is>
          <t>Prorrateo Ha PACKING</t>
        </is>
      </c>
      <c r="V3207" s="232" t="inlineStr">
        <is>
          <t>2026-06-18</t>
        </is>
      </c>
    </row>
    <row r="3208">
      <c r="A3208" s="232" t="inlineStr">
        <is>
          <t>CR-3205</t>
        </is>
      </c>
      <c r="B3208" s="232" t="inlineStr">
        <is>
          <t>2026/27</t>
        </is>
      </c>
      <c r="C3208" s="233" t="n">
        <v>46120</v>
      </c>
      <c r="D3208" s="232" t="inlineStr">
        <is>
          <t>8463</t>
        </is>
      </c>
      <c r="E3208" s="232" t="inlineStr">
        <is>
          <t>PRORRATEO</t>
        </is>
      </c>
      <c r="F3208" s="232" t="inlineStr">
        <is>
          <t>Santa Catalina</t>
        </is>
      </c>
      <c r="G3208" s="232" t="inlineStr">
        <is>
          <t>eureka 14,4 ha</t>
        </is>
      </c>
      <c r="H3208" s="232" t="inlineStr">
        <is>
          <t>Limon</t>
        </is>
      </c>
      <c r="I3208" s="232" t="inlineStr">
        <is>
          <t>Eureka</t>
        </is>
      </c>
      <c r="J3208" s="232" t="inlineStr">
        <is>
          <t>FLETES</t>
        </is>
      </c>
      <c r="K3208" s="232" t="inlineStr">
        <is>
          <t>FLETE FRUTA</t>
        </is>
      </c>
      <c r="L3208" s="232" t="inlineStr">
        <is>
          <t>[PRORRATEO 9.7% 14.4há/148.3há] O/001577 FLETE</t>
        </is>
      </c>
      <c r="M3208" s="232" t="inlineStr"/>
      <c r="N3208" s="232" t="inlineStr">
        <is>
          <t>.   .   -</t>
        </is>
      </c>
      <c r="O3208" s="232" t="inlineStr">
        <is>
          <t>ABRIL</t>
        </is>
      </c>
      <c r="P3208" s="232" t="n">
        <v>14</v>
      </c>
      <c r="Q3208" s="234" t="n">
        <v>32197</v>
      </c>
      <c r="R3208" s="232" t="inlineStr"/>
      <c r="S3208" s="234" t="n">
        <v>32197</v>
      </c>
      <c r="T3208" s="232" t="inlineStr">
        <is>
          <t>CLP</t>
        </is>
      </c>
      <c r="U3208" s="232" t="inlineStr">
        <is>
          <t>Prorrateo Ha PACKING</t>
        </is>
      </c>
      <c r="V3208" s="232" t="inlineStr">
        <is>
          <t>2026-06-18</t>
        </is>
      </c>
    </row>
    <row r="3209">
      <c r="A3209" s="232" t="inlineStr">
        <is>
          <t>CR-3206</t>
        </is>
      </c>
      <c r="B3209" s="232" t="inlineStr">
        <is>
          <t>2026/27</t>
        </is>
      </c>
      <c r="C3209" s="233" t="n">
        <v>46120</v>
      </c>
      <c r="D3209" s="232" t="inlineStr">
        <is>
          <t>8463</t>
        </is>
      </c>
      <c r="E3209" s="232" t="inlineStr">
        <is>
          <t>PRORRATEO</t>
        </is>
      </c>
      <c r="F3209" s="232" t="inlineStr">
        <is>
          <t>Santa Catalina</t>
        </is>
      </c>
      <c r="G3209" s="232" t="inlineStr">
        <is>
          <t>eureka 22,55</t>
        </is>
      </c>
      <c r="H3209" s="232" t="inlineStr">
        <is>
          <t>Limon</t>
        </is>
      </c>
      <c r="I3209" s="232" t="inlineStr">
        <is>
          <t>Eureka</t>
        </is>
      </c>
      <c r="J3209" s="232" t="inlineStr">
        <is>
          <t>FLETES</t>
        </is>
      </c>
      <c r="K3209" s="232" t="inlineStr">
        <is>
          <t>FLETE FRUTA</t>
        </is>
      </c>
      <c r="L3209" s="232" t="inlineStr">
        <is>
          <t>[PRORRATEO 15.2% 22.55há/148.3há] O/001577 FLETE</t>
        </is>
      </c>
      <c r="M3209" s="232" t="inlineStr"/>
      <c r="N3209" s="232" t="inlineStr">
        <is>
          <t>.   .   -</t>
        </is>
      </c>
      <c r="O3209" s="232" t="inlineStr">
        <is>
          <t>ABRIL</t>
        </is>
      </c>
      <c r="P3209" s="232" t="n">
        <v>14</v>
      </c>
      <c r="Q3209" s="234" t="n">
        <v>50420</v>
      </c>
      <c r="R3209" s="232" t="inlineStr"/>
      <c r="S3209" s="234" t="n">
        <v>50420</v>
      </c>
      <c r="T3209" s="232" t="inlineStr">
        <is>
          <t>CLP</t>
        </is>
      </c>
      <c r="U3209" s="232" t="inlineStr">
        <is>
          <t>Prorrateo Ha PACKING</t>
        </is>
      </c>
      <c r="V3209" s="232" t="inlineStr">
        <is>
          <t>2026-06-18</t>
        </is>
      </c>
    </row>
    <row r="3210">
      <c r="A3210" s="232" t="inlineStr">
        <is>
          <t>CR-3207</t>
        </is>
      </c>
      <c r="B3210" s="232" t="inlineStr">
        <is>
          <t>2026/27</t>
        </is>
      </c>
      <c r="C3210" s="233" t="n">
        <v>46120</v>
      </c>
      <c r="D3210" s="232" t="inlineStr">
        <is>
          <t>8463</t>
        </is>
      </c>
      <c r="E3210" s="232" t="inlineStr">
        <is>
          <t>PRORRATEO</t>
        </is>
      </c>
      <c r="F3210" s="232" t="inlineStr">
        <is>
          <t>Santa Catalina</t>
        </is>
      </c>
      <c r="G3210" s="232" t="inlineStr">
        <is>
          <t>form benjamin 1,93 ha</t>
        </is>
      </c>
      <c r="H3210" s="232" t="inlineStr">
        <is>
          <t>Limon</t>
        </is>
      </c>
      <c r="I3210" s="232" t="inlineStr">
        <is>
          <t>Benjamin andes</t>
        </is>
      </c>
      <c r="J3210" s="232" t="inlineStr">
        <is>
          <t>FLETES</t>
        </is>
      </c>
      <c r="K3210" s="232" t="inlineStr">
        <is>
          <t>FLETE FRUTA</t>
        </is>
      </c>
      <c r="L3210" s="232" t="inlineStr">
        <is>
          <t>[PRORRATEO 1.3% 1.93há/148.3há] O/001577 FLETE</t>
        </is>
      </c>
      <c r="M3210" s="232" t="inlineStr"/>
      <c r="N3210" s="232" t="inlineStr">
        <is>
          <t>.   .   -</t>
        </is>
      </c>
      <c r="O3210" s="232" t="inlineStr">
        <is>
          <t>ABRIL</t>
        </is>
      </c>
      <c r="P3210" s="232" t="n">
        <v>14</v>
      </c>
      <c r="Q3210" s="234" t="n">
        <v>4315</v>
      </c>
      <c r="R3210" s="232" t="inlineStr"/>
      <c r="S3210" s="234" t="n">
        <v>4315</v>
      </c>
      <c r="T3210" s="232" t="inlineStr">
        <is>
          <t>CLP</t>
        </is>
      </c>
      <c r="U3210" s="232" t="inlineStr">
        <is>
          <t>Prorrateo Ha PACKING</t>
        </is>
      </c>
      <c r="V3210" s="232" t="inlineStr">
        <is>
          <t>2026-06-18</t>
        </is>
      </c>
    </row>
    <row r="3211">
      <c r="A3211" s="232" t="inlineStr">
        <is>
          <t>CR-3208</t>
        </is>
      </c>
      <c r="B3211" s="232" t="inlineStr">
        <is>
          <t>2026/27</t>
        </is>
      </c>
      <c r="C3211" s="233" t="n">
        <v>46120</v>
      </c>
      <c r="D3211" s="232" t="inlineStr">
        <is>
          <t>8463</t>
        </is>
      </c>
      <c r="E3211" s="232" t="inlineStr">
        <is>
          <t>PRORRATEO</t>
        </is>
      </c>
      <c r="F3211" s="232" t="inlineStr">
        <is>
          <t>Santa Catalina</t>
        </is>
      </c>
      <c r="G3211" s="232" t="inlineStr">
        <is>
          <t>mant eureka 2,5 ha</t>
        </is>
      </c>
      <c r="H3211" s="232" t="inlineStr">
        <is>
          <t>Limon</t>
        </is>
      </c>
      <c r="I3211" s="232" t="inlineStr">
        <is>
          <t>Eureka</t>
        </is>
      </c>
      <c r="J3211" s="232" t="inlineStr">
        <is>
          <t>FLETES</t>
        </is>
      </c>
      <c r="K3211" s="232" t="inlineStr">
        <is>
          <t>FLETE FRUTA</t>
        </is>
      </c>
      <c r="L3211" s="232" t="inlineStr">
        <is>
          <t>[PRORRATEO 1.7% 2.5há/148.3há] O/001577 FLETE</t>
        </is>
      </c>
      <c r="M3211" s="232" t="inlineStr"/>
      <c r="N3211" s="232" t="inlineStr">
        <is>
          <t>.   .   -</t>
        </is>
      </c>
      <c r="O3211" s="232" t="inlineStr">
        <is>
          <t>ABRIL</t>
        </is>
      </c>
      <c r="P3211" s="232" t="n">
        <v>14</v>
      </c>
      <c r="Q3211" s="234" t="n">
        <v>5590</v>
      </c>
      <c r="R3211" s="232" t="inlineStr"/>
      <c r="S3211" s="234" t="n">
        <v>5590</v>
      </c>
      <c r="T3211" s="232" t="inlineStr">
        <is>
          <t>CLP</t>
        </is>
      </c>
      <c r="U3211" s="232" t="inlineStr">
        <is>
          <t>Prorrateo Ha PACKING</t>
        </is>
      </c>
      <c r="V3211" s="232" t="inlineStr">
        <is>
          <t>2026-06-18</t>
        </is>
      </c>
    </row>
    <row r="3212">
      <c r="A3212" s="232" t="inlineStr">
        <is>
          <t>CR-3209</t>
        </is>
      </c>
      <c r="B3212" s="232" t="inlineStr">
        <is>
          <t>2026/27</t>
        </is>
      </c>
      <c r="C3212" s="233" t="n">
        <v>46120</v>
      </c>
      <c r="D3212" s="232" t="inlineStr">
        <is>
          <t>8463</t>
        </is>
      </c>
      <c r="E3212" s="232" t="inlineStr">
        <is>
          <t>PRORRATEO</t>
        </is>
      </c>
      <c r="F3212" s="232" t="inlineStr">
        <is>
          <t>Siberia</t>
        </is>
      </c>
      <c r="G3212" s="232" t="inlineStr">
        <is>
          <t>S. Celebration 7,14</t>
        </is>
      </c>
      <c r="H3212" s="232" t="inlineStr">
        <is>
          <t>Uvas</t>
        </is>
      </c>
      <c r="I3212" s="232" t="inlineStr">
        <is>
          <t>S. celebration</t>
        </is>
      </c>
      <c r="J3212" s="232" t="inlineStr">
        <is>
          <t>FLETES</t>
        </is>
      </c>
      <c r="K3212" s="232" t="inlineStr">
        <is>
          <t>FLETE FRUTA</t>
        </is>
      </c>
      <c r="L3212" s="232" t="inlineStr">
        <is>
          <t>[PRORRATEO 4.8% 7.14há/148.3há] O/001577 FLETE</t>
        </is>
      </c>
      <c r="M3212" s="232" t="inlineStr"/>
      <c r="N3212" s="232" t="inlineStr">
        <is>
          <t>.   .   -</t>
        </is>
      </c>
      <c r="O3212" s="232" t="inlineStr">
        <is>
          <t>ABRIL</t>
        </is>
      </c>
      <c r="P3212" s="232" t="n">
        <v>14</v>
      </c>
      <c r="Q3212" s="234" t="n">
        <v>15965</v>
      </c>
      <c r="R3212" s="232" t="inlineStr"/>
      <c r="S3212" s="234" t="n">
        <v>15965</v>
      </c>
      <c r="T3212" s="232" t="inlineStr">
        <is>
          <t>CLP</t>
        </is>
      </c>
      <c r="U3212" s="232" t="inlineStr">
        <is>
          <t>Prorrateo Ha PACKING</t>
        </is>
      </c>
      <c r="V3212" s="232" t="inlineStr">
        <is>
          <t>2026-06-18</t>
        </is>
      </c>
    </row>
    <row r="3213">
      <c r="A3213" s="232" t="inlineStr">
        <is>
          <t>CR-3210</t>
        </is>
      </c>
      <c r="B3213" s="232" t="inlineStr">
        <is>
          <t>2026/27</t>
        </is>
      </c>
      <c r="C3213" s="233" t="n">
        <v>46120</v>
      </c>
      <c r="D3213" s="232" t="inlineStr">
        <is>
          <t>8463</t>
        </is>
      </c>
      <c r="E3213" s="232" t="inlineStr">
        <is>
          <t>PRORRATEO</t>
        </is>
      </c>
      <c r="F3213" s="232" t="inlineStr">
        <is>
          <t>Siberia</t>
        </is>
      </c>
      <c r="G3213" s="232" t="inlineStr">
        <is>
          <t>Timpson 7,1</t>
        </is>
      </c>
      <c r="H3213" s="232" t="inlineStr">
        <is>
          <t>Uvas</t>
        </is>
      </c>
      <c r="I3213" s="232" t="inlineStr">
        <is>
          <t>Timpson</t>
        </is>
      </c>
      <c r="J3213" s="232" t="inlineStr">
        <is>
          <t>FLETES</t>
        </is>
      </c>
      <c r="K3213" s="232" t="inlineStr">
        <is>
          <t>FLETE FRUTA</t>
        </is>
      </c>
      <c r="L3213" s="232" t="inlineStr">
        <is>
          <t>[PRORRATEO 4.8% 7.1há/148.3há] O/001577 FLETE</t>
        </is>
      </c>
      <c r="M3213" s="232" t="inlineStr"/>
      <c r="N3213" s="232" t="inlineStr">
        <is>
          <t>.   .   -</t>
        </is>
      </c>
      <c r="O3213" s="232" t="inlineStr">
        <is>
          <t>ABRIL</t>
        </is>
      </c>
      <c r="P3213" s="232" t="n">
        <v>14</v>
      </c>
      <c r="Q3213" s="234" t="n">
        <v>15875</v>
      </c>
      <c r="R3213" s="232" t="inlineStr"/>
      <c r="S3213" s="234" t="n">
        <v>15875</v>
      </c>
      <c r="T3213" s="232" t="inlineStr">
        <is>
          <t>CLP</t>
        </is>
      </c>
      <c r="U3213" s="232" t="inlineStr">
        <is>
          <t>Prorrateo Ha PACKING</t>
        </is>
      </c>
      <c r="V3213" s="232" t="inlineStr">
        <is>
          <t>2026-06-18</t>
        </is>
      </c>
    </row>
    <row r="3214">
      <c r="A3214" s="232" t="inlineStr">
        <is>
          <t>CR-3211</t>
        </is>
      </c>
      <c r="B3214" s="232" t="inlineStr">
        <is>
          <t>2026/27</t>
        </is>
      </c>
      <c r="C3214" s="233" t="n">
        <v>46120</v>
      </c>
      <c r="D3214" s="232" t="inlineStr">
        <is>
          <t>8463</t>
        </is>
      </c>
      <c r="E3214" s="232" t="inlineStr">
        <is>
          <t>PRORRATEO</t>
        </is>
      </c>
      <c r="F3214" s="232" t="inlineStr">
        <is>
          <t>Asmara</t>
        </is>
      </c>
      <c r="G3214" s="232" t="inlineStr">
        <is>
          <t>w. murcott 19,8 ha</t>
        </is>
      </c>
      <c r="H3214" s="232" t="inlineStr">
        <is>
          <t>Mandarina</t>
        </is>
      </c>
      <c r="I3214" s="232" t="inlineStr">
        <is>
          <t>W. murcott</t>
        </is>
      </c>
      <c r="J3214" s="232" t="inlineStr">
        <is>
          <t>FLETES</t>
        </is>
      </c>
      <c r="K3214" s="232" t="inlineStr">
        <is>
          <t>FLETE FRUTA</t>
        </is>
      </c>
      <c r="L3214" s="232" t="inlineStr">
        <is>
          <t>[PRORRATEO 13.4% 19.8há/148.3há] O/001577 FLETE</t>
        </is>
      </c>
      <c r="M3214" s="232" t="inlineStr"/>
      <c r="N3214" s="232" t="inlineStr">
        <is>
          <t>.   .   -</t>
        </is>
      </c>
      <c r="O3214" s="232" t="inlineStr">
        <is>
          <t>ABRIL</t>
        </is>
      </c>
      <c r="P3214" s="232" t="n">
        <v>14</v>
      </c>
      <c r="Q3214" s="234" t="n">
        <v>10684</v>
      </c>
      <c r="R3214" s="232" t="inlineStr"/>
      <c r="S3214" s="234" t="n">
        <v>10684</v>
      </c>
      <c r="T3214" s="232" t="inlineStr">
        <is>
          <t>CLP</t>
        </is>
      </c>
      <c r="U3214" s="232" t="inlineStr">
        <is>
          <t>Prorrateo Ha PACKING</t>
        </is>
      </c>
      <c r="V3214" s="232" t="inlineStr">
        <is>
          <t>2026-06-18</t>
        </is>
      </c>
    </row>
    <row r="3215">
      <c r="A3215" s="232" t="inlineStr">
        <is>
          <t>CR-3212</t>
        </is>
      </c>
      <c r="B3215" s="232" t="inlineStr">
        <is>
          <t>2026/27</t>
        </is>
      </c>
      <c r="C3215" s="233" t="n">
        <v>46120</v>
      </c>
      <c r="D3215" s="232" t="inlineStr">
        <is>
          <t>8463</t>
        </is>
      </c>
      <c r="E3215" s="232" t="inlineStr">
        <is>
          <t>PRORRATEO</t>
        </is>
      </c>
      <c r="F3215" s="232" t="inlineStr">
        <is>
          <t>Asmara</t>
        </is>
      </c>
      <c r="G3215" s="232" t="inlineStr">
        <is>
          <t>w. murcott 4,9 ha</t>
        </is>
      </c>
      <c r="H3215" s="232" t="inlineStr">
        <is>
          <t>Mandarina</t>
        </is>
      </c>
      <c r="I3215" s="232" t="inlineStr">
        <is>
          <t>W. murcott</t>
        </is>
      </c>
      <c r="J3215" s="232" t="inlineStr">
        <is>
          <t>FLETES</t>
        </is>
      </c>
      <c r="K3215" s="232" t="inlineStr">
        <is>
          <t>FLETE FRUTA</t>
        </is>
      </c>
      <c r="L3215" s="232" t="inlineStr">
        <is>
          <t>[PRORRATEO 3.3% 4.9há/148.3há] O/001577 FLETE</t>
        </is>
      </c>
      <c r="M3215" s="232" t="inlineStr"/>
      <c r="N3215" s="232" t="inlineStr">
        <is>
          <t>.   .   -</t>
        </is>
      </c>
      <c r="O3215" s="232" t="inlineStr">
        <is>
          <t>ABRIL</t>
        </is>
      </c>
      <c r="P3215" s="232" t="n">
        <v>14</v>
      </c>
      <c r="Q3215" s="234" t="n">
        <v>2644</v>
      </c>
      <c r="R3215" s="232" t="inlineStr"/>
      <c r="S3215" s="234" t="n">
        <v>2644</v>
      </c>
      <c r="T3215" s="232" t="inlineStr">
        <is>
          <t>CLP</t>
        </is>
      </c>
      <c r="U3215" s="232" t="inlineStr">
        <is>
          <t>Prorrateo Ha PACKING</t>
        </is>
      </c>
      <c r="V3215" s="232" t="inlineStr">
        <is>
          <t>2026-06-18</t>
        </is>
      </c>
    </row>
    <row r="3216">
      <c r="A3216" s="232" t="inlineStr">
        <is>
          <t>CR-3213</t>
        </is>
      </c>
      <c r="B3216" s="232" t="inlineStr">
        <is>
          <t>2026/27</t>
        </is>
      </c>
      <c r="C3216" s="233" t="n">
        <v>46120</v>
      </c>
      <c r="D3216" s="232" t="inlineStr">
        <is>
          <t>8463</t>
        </is>
      </c>
      <c r="E3216" s="232" t="inlineStr">
        <is>
          <t>PRORRATEO</t>
        </is>
      </c>
      <c r="F3216" s="232" t="inlineStr">
        <is>
          <t>El Molle</t>
        </is>
      </c>
      <c r="G3216" s="232" t="inlineStr">
        <is>
          <t>Wonderful 5,25 ha</t>
        </is>
      </c>
      <c r="H3216" s="232" t="inlineStr">
        <is>
          <t>Granados</t>
        </is>
      </c>
      <c r="I3216" s="232" t="inlineStr">
        <is>
          <t>Wonderfull</t>
        </is>
      </c>
      <c r="J3216" s="232" t="inlineStr">
        <is>
          <t>FLETES</t>
        </is>
      </c>
      <c r="K3216" s="232" t="inlineStr">
        <is>
          <t>FLETE FRUTA</t>
        </is>
      </c>
      <c r="L3216" s="232" t="inlineStr">
        <is>
          <t>[PRORRATEO 3.5% 5.24há/148.3há] O/001577 FLETE</t>
        </is>
      </c>
      <c r="M3216" s="232" t="inlineStr"/>
      <c r="N3216" s="232" t="inlineStr">
        <is>
          <t>.   .   -</t>
        </is>
      </c>
      <c r="O3216" s="232" t="inlineStr">
        <is>
          <t>ABRIL</t>
        </is>
      </c>
      <c r="P3216" s="232" t="n">
        <v>14</v>
      </c>
      <c r="Q3216" s="234" t="n">
        <v>2827</v>
      </c>
      <c r="R3216" s="232" t="inlineStr"/>
      <c r="S3216" s="234" t="n">
        <v>2827</v>
      </c>
      <c r="T3216" s="232" t="inlineStr">
        <is>
          <t>CLP</t>
        </is>
      </c>
      <c r="U3216" s="232" t="inlineStr">
        <is>
          <t>Prorrateo Ha PACKING</t>
        </is>
      </c>
      <c r="V3216" s="232" t="inlineStr">
        <is>
          <t>2026-06-18</t>
        </is>
      </c>
    </row>
    <row r="3217">
      <c r="A3217" s="232" t="inlineStr">
        <is>
          <t>CR-3214</t>
        </is>
      </c>
      <c r="B3217" s="232" t="inlineStr">
        <is>
          <t>2026/27</t>
        </is>
      </c>
      <c r="C3217" s="233" t="n">
        <v>46120</v>
      </c>
      <c r="D3217" s="232" t="inlineStr">
        <is>
          <t>8463</t>
        </is>
      </c>
      <c r="E3217" s="232" t="inlineStr">
        <is>
          <t>PRORRATEO</t>
        </is>
      </c>
      <c r="F3217" s="232" t="inlineStr">
        <is>
          <t>El Molle</t>
        </is>
      </c>
      <c r="G3217" s="232" t="inlineStr">
        <is>
          <t>arrufatinas 5,74 ha</t>
        </is>
      </c>
      <c r="H3217" s="232" t="inlineStr">
        <is>
          <t>Clementinas</t>
        </is>
      </c>
      <c r="I3217" s="232" t="inlineStr">
        <is>
          <t>Arrufatinas</t>
        </is>
      </c>
      <c r="J3217" s="232" t="inlineStr">
        <is>
          <t>FLETES</t>
        </is>
      </c>
      <c r="K3217" s="232" t="inlineStr">
        <is>
          <t>FLETE FRUTA</t>
        </is>
      </c>
      <c r="L3217" s="232" t="inlineStr">
        <is>
          <t>[PRORRATEO 3.9% 5.74há/148.3há] O/001577 FLETE</t>
        </is>
      </c>
      <c r="M3217" s="232" t="inlineStr"/>
      <c r="N3217" s="232" t="inlineStr">
        <is>
          <t>.   .   -</t>
        </is>
      </c>
      <c r="O3217" s="232" t="inlineStr">
        <is>
          <t>ABRIL</t>
        </is>
      </c>
      <c r="P3217" s="232" t="n">
        <v>14</v>
      </c>
      <c r="Q3217" s="234" t="n">
        <v>3097</v>
      </c>
      <c r="R3217" s="232" t="inlineStr"/>
      <c r="S3217" s="234" t="n">
        <v>3097</v>
      </c>
      <c r="T3217" s="232" t="inlineStr">
        <is>
          <t>CLP</t>
        </is>
      </c>
      <c r="U3217" s="232" t="inlineStr">
        <is>
          <t>Prorrateo Ha PACKING</t>
        </is>
      </c>
      <c r="V3217" s="232" t="inlineStr">
        <is>
          <t>2026-06-18</t>
        </is>
      </c>
    </row>
    <row r="3218">
      <c r="A3218" s="232" t="inlineStr">
        <is>
          <t>CR-3215</t>
        </is>
      </c>
      <c r="B3218" s="232" t="inlineStr">
        <is>
          <t>2026/27</t>
        </is>
      </c>
      <c r="C3218" s="233" t="n">
        <v>46120</v>
      </c>
      <c r="D3218" s="232" t="inlineStr">
        <is>
          <t>8463</t>
        </is>
      </c>
      <c r="E3218" s="232" t="inlineStr">
        <is>
          <t>PRORRATEO</t>
        </is>
      </c>
      <c r="F3218" s="232" t="inlineStr">
        <is>
          <t>El Molle</t>
        </is>
      </c>
      <c r="G3218" s="232" t="inlineStr">
        <is>
          <t>orogrande 8,11 ha</t>
        </is>
      </c>
      <c r="H3218" s="232" t="inlineStr">
        <is>
          <t>Clementinas</t>
        </is>
      </c>
      <c r="I3218" s="232" t="inlineStr">
        <is>
          <t>Orogrande</t>
        </is>
      </c>
      <c r="J3218" s="232" t="inlineStr">
        <is>
          <t>FLETES</t>
        </is>
      </c>
      <c r="K3218" s="232" t="inlineStr">
        <is>
          <t>FLETE FRUTA</t>
        </is>
      </c>
      <c r="L3218" s="232" t="inlineStr">
        <is>
          <t>[PRORRATEO 5.5% 8.11há/148.3há] O/001577 FLETE</t>
        </is>
      </c>
      <c r="M3218" s="232" t="inlineStr"/>
      <c r="N3218" s="232" t="inlineStr">
        <is>
          <t>.   .   -</t>
        </is>
      </c>
      <c r="O3218" s="232" t="inlineStr">
        <is>
          <t>ABRIL</t>
        </is>
      </c>
      <c r="P3218" s="232" t="n">
        <v>14</v>
      </c>
      <c r="Q3218" s="234" t="n">
        <v>4376</v>
      </c>
      <c r="R3218" s="232" t="inlineStr"/>
      <c r="S3218" s="234" t="n">
        <v>4376</v>
      </c>
      <c r="T3218" s="232" t="inlineStr">
        <is>
          <t>CLP</t>
        </is>
      </c>
      <c r="U3218" s="232" t="inlineStr">
        <is>
          <t>Prorrateo Ha PACKING</t>
        </is>
      </c>
      <c r="V3218" s="232" t="inlineStr">
        <is>
          <t>2026-06-18</t>
        </is>
      </c>
    </row>
    <row r="3219">
      <c r="A3219" s="232" t="inlineStr">
        <is>
          <t>CR-3216</t>
        </is>
      </c>
      <c r="B3219" s="232" t="inlineStr">
        <is>
          <t>2026/27</t>
        </is>
      </c>
      <c r="C3219" s="233" t="n">
        <v>46120</v>
      </c>
      <c r="D3219" s="232" t="inlineStr">
        <is>
          <t>8463</t>
        </is>
      </c>
      <c r="E3219" s="232" t="inlineStr">
        <is>
          <t>PRORRATEO</t>
        </is>
      </c>
      <c r="F3219" s="232" t="inlineStr">
        <is>
          <t>El Molle</t>
        </is>
      </c>
      <c r="G3219" s="232" t="inlineStr">
        <is>
          <t>oronules 5,35 ha</t>
        </is>
      </c>
      <c r="H3219" s="232" t="inlineStr">
        <is>
          <t>Clementinas</t>
        </is>
      </c>
      <c r="I3219" s="232" t="inlineStr">
        <is>
          <t>Oronules</t>
        </is>
      </c>
      <c r="J3219" s="232" t="inlineStr">
        <is>
          <t>FLETES</t>
        </is>
      </c>
      <c r="K3219" s="232" t="inlineStr">
        <is>
          <t>FLETE FRUTA</t>
        </is>
      </c>
      <c r="L3219" s="232" t="inlineStr">
        <is>
          <t>[PRORRATEO 3.6% 5.35há/148.3há] O/001577 FLETE</t>
        </is>
      </c>
      <c r="M3219" s="232" t="inlineStr"/>
      <c r="N3219" s="232" t="inlineStr">
        <is>
          <t>.   .   -</t>
        </is>
      </c>
      <c r="O3219" s="232" t="inlineStr">
        <is>
          <t>ABRIL</t>
        </is>
      </c>
      <c r="P3219" s="232" t="n">
        <v>14</v>
      </c>
      <c r="Q3219" s="234" t="n">
        <v>2887</v>
      </c>
      <c r="R3219" s="232" t="inlineStr"/>
      <c r="S3219" s="234" t="n">
        <v>2887</v>
      </c>
      <c r="T3219" s="232" t="inlineStr">
        <is>
          <t>CLP</t>
        </is>
      </c>
      <c r="U3219" s="232" t="inlineStr">
        <is>
          <t>Prorrateo Ha PACKING</t>
        </is>
      </c>
      <c r="V3219" s="232" t="inlineStr">
        <is>
          <t>2026-06-18</t>
        </is>
      </c>
    </row>
    <row r="3220">
      <c r="A3220" s="232" t="inlineStr">
        <is>
          <t>CR-3217</t>
        </is>
      </c>
      <c r="B3220" s="232" t="inlineStr">
        <is>
          <t>2026/27</t>
        </is>
      </c>
      <c r="C3220" s="233" t="n">
        <v>46120</v>
      </c>
      <c r="D3220" s="232" t="inlineStr">
        <is>
          <t>8463</t>
        </is>
      </c>
      <c r="E3220" s="232" t="inlineStr">
        <is>
          <t>PRORRATEO</t>
        </is>
      </c>
      <c r="F3220" s="232" t="inlineStr">
        <is>
          <t>Santa Catalina</t>
        </is>
      </c>
      <c r="G3220" s="232" t="inlineStr">
        <is>
          <t>Fino 49 7,7 ha</t>
        </is>
      </c>
      <c r="H3220" s="232" t="inlineStr">
        <is>
          <t>Limon</t>
        </is>
      </c>
      <c r="I3220" s="232" t="inlineStr">
        <is>
          <t>Fino 49</t>
        </is>
      </c>
      <c r="J3220" s="232" t="inlineStr">
        <is>
          <t>FLETES</t>
        </is>
      </c>
      <c r="K3220" s="232" t="inlineStr">
        <is>
          <t>FLETE FRUTA</t>
        </is>
      </c>
      <c r="L3220" s="232" t="inlineStr">
        <is>
          <t>[PRORRATEO 5.2% 7.7há/148.3há] O/001577 FLETE</t>
        </is>
      </c>
      <c r="M3220" s="232" t="inlineStr"/>
      <c r="N3220" s="232" t="inlineStr">
        <is>
          <t>.   .   -</t>
        </is>
      </c>
      <c r="O3220" s="232" t="inlineStr">
        <is>
          <t>ABRIL</t>
        </is>
      </c>
      <c r="P3220" s="232" t="n">
        <v>14</v>
      </c>
      <c r="Q3220" s="234" t="n">
        <v>4155</v>
      </c>
      <c r="R3220" s="232" t="inlineStr"/>
      <c r="S3220" s="234" t="n">
        <v>4155</v>
      </c>
      <c r="T3220" s="232" t="inlineStr">
        <is>
          <t>CLP</t>
        </is>
      </c>
      <c r="U3220" s="232" t="inlineStr">
        <is>
          <t>Prorrateo Ha PACKING</t>
        </is>
      </c>
      <c r="V3220" s="232" t="inlineStr">
        <is>
          <t>2026-06-18</t>
        </is>
      </c>
    </row>
    <row r="3221">
      <c r="A3221" s="232" t="inlineStr">
        <is>
          <t>CR-3218</t>
        </is>
      </c>
      <c r="B3221" s="232" t="inlineStr">
        <is>
          <t>2026/27</t>
        </is>
      </c>
      <c r="C3221" s="233" t="n">
        <v>46120</v>
      </c>
      <c r="D3221" s="232" t="inlineStr">
        <is>
          <t>8463</t>
        </is>
      </c>
      <c r="E3221" s="232" t="inlineStr">
        <is>
          <t>PRORRATEO</t>
        </is>
      </c>
      <c r="F3221" s="232" t="inlineStr">
        <is>
          <t>Santa Catalina</t>
        </is>
      </c>
      <c r="G3221" s="232" t="inlineStr">
        <is>
          <t>W. murcott 21 ha</t>
        </is>
      </c>
      <c r="H3221" s="232" t="inlineStr">
        <is>
          <t>Mandarina</t>
        </is>
      </c>
      <c r="I3221" s="232" t="inlineStr">
        <is>
          <t>W. murcott</t>
        </is>
      </c>
      <c r="J3221" s="232" t="inlineStr">
        <is>
          <t>FLETES</t>
        </is>
      </c>
      <c r="K3221" s="232" t="inlineStr">
        <is>
          <t>FLETE FRUTA</t>
        </is>
      </c>
      <c r="L3221" s="232" t="inlineStr">
        <is>
          <t>[PRORRATEO 14.2% 21.0há/148.3há] O/001577 FLETE</t>
        </is>
      </c>
      <c r="M3221" s="232" t="inlineStr"/>
      <c r="N3221" s="232" t="inlineStr">
        <is>
          <t>.   .   -</t>
        </is>
      </c>
      <c r="O3221" s="232" t="inlineStr">
        <is>
          <t>ABRIL</t>
        </is>
      </c>
      <c r="P3221" s="232" t="n">
        <v>14</v>
      </c>
      <c r="Q3221" s="234" t="n">
        <v>11331</v>
      </c>
      <c r="R3221" s="232" t="inlineStr"/>
      <c r="S3221" s="234" t="n">
        <v>11331</v>
      </c>
      <c r="T3221" s="232" t="inlineStr">
        <is>
          <t>CLP</t>
        </is>
      </c>
      <c r="U3221" s="232" t="inlineStr">
        <is>
          <t>Prorrateo Ha PACKING</t>
        </is>
      </c>
      <c r="V3221" s="232" t="inlineStr">
        <is>
          <t>2026-06-18</t>
        </is>
      </c>
    </row>
    <row r="3222">
      <c r="A3222" s="232" t="inlineStr">
        <is>
          <t>CR-3219</t>
        </is>
      </c>
      <c r="B3222" s="232" t="inlineStr">
        <is>
          <t>2026/27</t>
        </is>
      </c>
      <c r="C3222" s="233" t="n">
        <v>46120</v>
      </c>
      <c r="D3222" s="232" t="inlineStr">
        <is>
          <t>8463</t>
        </is>
      </c>
      <c r="E3222" s="232" t="inlineStr">
        <is>
          <t>PRORRATEO</t>
        </is>
      </c>
      <c r="F3222" s="232" t="inlineStr">
        <is>
          <t>Santa Catalina</t>
        </is>
      </c>
      <c r="G3222" s="232" t="inlineStr">
        <is>
          <t>cambria 4,2 ha</t>
        </is>
      </c>
      <c r="H3222" s="232" t="inlineStr">
        <is>
          <t>Naranjas</t>
        </is>
      </c>
      <c r="I3222" s="232" t="inlineStr">
        <is>
          <t>Cambria</t>
        </is>
      </c>
      <c r="J3222" s="232" t="inlineStr">
        <is>
          <t>FLETES</t>
        </is>
      </c>
      <c r="K3222" s="232" t="inlineStr">
        <is>
          <t>FLETE FRUTA</t>
        </is>
      </c>
      <c r="L3222" s="232" t="inlineStr">
        <is>
          <t>[PRORRATEO 2.8% 4.2há/148.3há] O/001577 FLETE</t>
        </is>
      </c>
      <c r="M3222" s="232" t="inlineStr"/>
      <c r="N3222" s="232" t="inlineStr">
        <is>
          <t>.   .   -</t>
        </is>
      </c>
      <c r="O3222" s="232" t="inlineStr">
        <is>
          <t>ABRIL</t>
        </is>
      </c>
      <c r="P3222" s="232" t="n">
        <v>14</v>
      </c>
      <c r="Q3222" s="234" t="n">
        <v>2266</v>
      </c>
      <c r="R3222" s="232" t="inlineStr"/>
      <c r="S3222" s="234" t="n">
        <v>2266</v>
      </c>
      <c r="T3222" s="232" t="inlineStr">
        <is>
          <t>CLP</t>
        </is>
      </c>
      <c r="U3222" s="232" t="inlineStr">
        <is>
          <t>Prorrateo Ha PACKING</t>
        </is>
      </c>
      <c r="V3222" s="232" t="inlineStr">
        <is>
          <t>2026-06-18</t>
        </is>
      </c>
    </row>
    <row r="3223">
      <c r="A3223" s="232" t="inlineStr">
        <is>
          <t>CR-3220</t>
        </is>
      </c>
      <c r="B3223" s="232" t="inlineStr">
        <is>
          <t>2026/27</t>
        </is>
      </c>
      <c r="C3223" s="233" t="n">
        <v>46120</v>
      </c>
      <c r="D3223" s="232" t="inlineStr">
        <is>
          <t>8463</t>
        </is>
      </c>
      <c r="E3223" s="232" t="inlineStr">
        <is>
          <t>PRORRATEO</t>
        </is>
      </c>
      <c r="F3223" s="232" t="inlineStr">
        <is>
          <t>Santa Catalina</t>
        </is>
      </c>
      <c r="G3223" s="232" t="inlineStr">
        <is>
          <t>eureka 10,6 ha</t>
        </is>
      </c>
      <c r="H3223" s="232" t="inlineStr">
        <is>
          <t>Limon</t>
        </is>
      </c>
      <c r="I3223" s="232" t="inlineStr">
        <is>
          <t>Eureka</t>
        </is>
      </c>
      <c r="J3223" s="232" t="inlineStr">
        <is>
          <t>FLETES</t>
        </is>
      </c>
      <c r="K3223" s="232" t="inlineStr">
        <is>
          <t>FLETE FRUTA</t>
        </is>
      </c>
      <c r="L3223" s="232" t="inlineStr">
        <is>
          <t>[PRORRATEO 7.1% 10.6há/148.3há] O/001577 FLETE</t>
        </is>
      </c>
      <c r="M3223" s="232" t="inlineStr"/>
      <c r="N3223" s="232" t="inlineStr">
        <is>
          <t>.   .   -</t>
        </is>
      </c>
      <c r="O3223" s="232" t="inlineStr">
        <is>
          <t>ABRIL</t>
        </is>
      </c>
      <c r="P3223" s="232" t="n">
        <v>14</v>
      </c>
      <c r="Q3223" s="234" t="n">
        <v>5720</v>
      </c>
      <c r="R3223" s="232" t="inlineStr"/>
      <c r="S3223" s="234" t="n">
        <v>5720</v>
      </c>
      <c r="T3223" s="232" t="inlineStr">
        <is>
          <t>CLP</t>
        </is>
      </c>
      <c r="U3223" s="232" t="inlineStr">
        <is>
          <t>Prorrateo Ha PACKING</t>
        </is>
      </c>
      <c r="V3223" s="232" t="inlineStr">
        <is>
          <t>2026-06-18</t>
        </is>
      </c>
    </row>
    <row r="3224">
      <c r="A3224" s="232" t="inlineStr">
        <is>
          <t>CR-3221</t>
        </is>
      </c>
      <c r="B3224" s="232" t="inlineStr">
        <is>
          <t>2026/27</t>
        </is>
      </c>
      <c r="C3224" s="233" t="n">
        <v>46120</v>
      </c>
      <c r="D3224" s="232" t="inlineStr">
        <is>
          <t>8463</t>
        </is>
      </c>
      <c r="E3224" s="232" t="inlineStr">
        <is>
          <t>PRORRATEO</t>
        </is>
      </c>
      <c r="F3224" s="232" t="inlineStr">
        <is>
          <t>Santa Catalina</t>
        </is>
      </c>
      <c r="G3224" s="232" t="inlineStr">
        <is>
          <t>eureka 14,4 ha</t>
        </is>
      </c>
      <c r="H3224" s="232" t="inlineStr">
        <is>
          <t>Limon</t>
        </is>
      </c>
      <c r="I3224" s="232" t="inlineStr">
        <is>
          <t>Eureka</t>
        </is>
      </c>
      <c r="J3224" s="232" t="inlineStr">
        <is>
          <t>FLETES</t>
        </is>
      </c>
      <c r="K3224" s="232" t="inlineStr">
        <is>
          <t>FLETE FRUTA</t>
        </is>
      </c>
      <c r="L3224" s="232" t="inlineStr">
        <is>
          <t>[PRORRATEO 9.7% 14.4há/148.3há] O/001577 FLETE</t>
        </is>
      </c>
      <c r="M3224" s="232" t="inlineStr"/>
      <c r="N3224" s="232" t="inlineStr">
        <is>
          <t>.   .   -</t>
        </is>
      </c>
      <c r="O3224" s="232" t="inlineStr">
        <is>
          <t>ABRIL</t>
        </is>
      </c>
      <c r="P3224" s="232" t="n">
        <v>14</v>
      </c>
      <c r="Q3224" s="234" t="n">
        <v>7770</v>
      </c>
      <c r="R3224" s="232" t="inlineStr"/>
      <c r="S3224" s="234" t="n">
        <v>7770</v>
      </c>
      <c r="T3224" s="232" t="inlineStr">
        <is>
          <t>CLP</t>
        </is>
      </c>
      <c r="U3224" s="232" t="inlineStr">
        <is>
          <t>Prorrateo Ha PACKING</t>
        </is>
      </c>
      <c r="V3224" s="232" t="inlineStr">
        <is>
          <t>2026-06-18</t>
        </is>
      </c>
    </row>
    <row r="3225">
      <c r="A3225" s="232" t="inlineStr">
        <is>
          <t>CR-3222</t>
        </is>
      </c>
      <c r="B3225" s="232" t="inlineStr">
        <is>
          <t>2026/27</t>
        </is>
      </c>
      <c r="C3225" s="233" t="n">
        <v>46120</v>
      </c>
      <c r="D3225" s="232" t="inlineStr">
        <is>
          <t>8463</t>
        </is>
      </c>
      <c r="E3225" s="232" t="inlineStr">
        <is>
          <t>PRORRATEO</t>
        </is>
      </c>
      <c r="F3225" s="232" t="inlineStr">
        <is>
          <t>Santa Catalina</t>
        </is>
      </c>
      <c r="G3225" s="232" t="inlineStr">
        <is>
          <t>eureka 22,55</t>
        </is>
      </c>
      <c r="H3225" s="232" t="inlineStr">
        <is>
          <t>Limon</t>
        </is>
      </c>
      <c r="I3225" s="232" t="inlineStr">
        <is>
          <t>Eureka</t>
        </is>
      </c>
      <c r="J3225" s="232" t="inlineStr">
        <is>
          <t>FLETES</t>
        </is>
      </c>
      <c r="K3225" s="232" t="inlineStr">
        <is>
          <t>FLETE FRUTA</t>
        </is>
      </c>
      <c r="L3225" s="232" t="inlineStr">
        <is>
          <t>[PRORRATEO 15.2% 22.55há/148.3há] O/001577 FLETE</t>
        </is>
      </c>
      <c r="M3225" s="232" t="inlineStr"/>
      <c r="N3225" s="232" t="inlineStr">
        <is>
          <t>.   .   -</t>
        </is>
      </c>
      <c r="O3225" s="232" t="inlineStr">
        <is>
          <t>ABRIL</t>
        </is>
      </c>
      <c r="P3225" s="232" t="n">
        <v>14</v>
      </c>
      <c r="Q3225" s="234" t="n">
        <v>12168</v>
      </c>
      <c r="R3225" s="232" t="inlineStr"/>
      <c r="S3225" s="234" t="n">
        <v>12168</v>
      </c>
      <c r="T3225" s="232" t="inlineStr">
        <is>
          <t>CLP</t>
        </is>
      </c>
      <c r="U3225" s="232" t="inlineStr">
        <is>
          <t>Prorrateo Ha PACKING</t>
        </is>
      </c>
      <c r="V3225" s="232" t="inlineStr">
        <is>
          <t>2026-06-18</t>
        </is>
      </c>
    </row>
    <row r="3226">
      <c r="A3226" s="232" t="inlineStr">
        <is>
          <t>CR-3223</t>
        </is>
      </c>
      <c r="B3226" s="232" t="inlineStr">
        <is>
          <t>2026/27</t>
        </is>
      </c>
      <c r="C3226" s="233" t="n">
        <v>46120</v>
      </c>
      <c r="D3226" s="232" t="inlineStr">
        <is>
          <t>8463</t>
        </is>
      </c>
      <c r="E3226" s="232" t="inlineStr">
        <is>
          <t>PRORRATEO</t>
        </is>
      </c>
      <c r="F3226" s="232" t="inlineStr">
        <is>
          <t>Santa Catalina</t>
        </is>
      </c>
      <c r="G3226" s="232" t="inlineStr">
        <is>
          <t>form benjamin 1,93 ha</t>
        </is>
      </c>
      <c r="H3226" s="232" t="inlineStr">
        <is>
          <t>Limon</t>
        </is>
      </c>
      <c r="I3226" s="232" t="inlineStr">
        <is>
          <t>Benjamin andes</t>
        </is>
      </c>
      <c r="J3226" s="232" t="inlineStr">
        <is>
          <t>FLETES</t>
        </is>
      </c>
      <c r="K3226" s="232" t="inlineStr">
        <is>
          <t>FLETE FRUTA</t>
        </is>
      </c>
      <c r="L3226" s="232" t="inlineStr">
        <is>
          <t>[PRORRATEO 1.3% 1.93há/148.3há] O/001577 FLETE</t>
        </is>
      </c>
      <c r="M3226" s="232" t="inlineStr"/>
      <c r="N3226" s="232" t="inlineStr">
        <is>
          <t>.   .   -</t>
        </is>
      </c>
      <c r="O3226" s="232" t="inlineStr">
        <is>
          <t>ABRIL</t>
        </is>
      </c>
      <c r="P3226" s="232" t="n">
        <v>14</v>
      </c>
      <c r="Q3226" s="234" t="n">
        <v>1041</v>
      </c>
      <c r="R3226" s="232" t="inlineStr"/>
      <c r="S3226" s="234" t="n">
        <v>1041</v>
      </c>
      <c r="T3226" s="232" t="inlineStr">
        <is>
          <t>CLP</t>
        </is>
      </c>
      <c r="U3226" s="232" t="inlineStr">
        <is>
          <t>Prorrateo Ha PACKING</t>
        </is>
      </c>
      <c r="V3226" s="232" t="inlineStr">
        <is>
          <t>2026-06-18</t>
        </is>
      </c>
    </row>
    <row r="3227">
      <c r="A3227" s="232" t="inlineStr">
        <is>
          <t>CR-3224</t>
        </is>
      </c>
      <c r="B3227" s="232" t="inlineStr">
        <is>
          <t>2026/27</t>
        </is>
      </c>
      <c r="C3227" s="233" t="n">
        <v>46120</v>
      </c>
      <c r="D3227" s="232" t="inlineStr">
        <is>
          <t>8463</t>
        </is>
      </c>
      <c r="E3227" s="232" t="inlineStr">
        <is>
          <t>PRORRATEO</t>
        </is>
      </c>
      <c r="F3227" s="232" t="inlineStr">
        <is>
          <t>Santa Catalina</t>
        </is>
      </c>
      <c r="G3227" s="232" t="inlineStr">
        <is>
          <t>mant eureka 2,5 ha</t>
        </is>
      </c>
      <c r="H3227" s="232" t="inlineStr">
        <is>
          <t>Limon</t>
        </is>
      </c>
      <c r="I3227" s="232" t="inlineStr">
        <is>
          <t>Eureka</t>
        </is>
      </c>
      <c r="J3227" s="232" t="inlineStr">
        <is>
          <t>FLETES</t>
        </is>
      </c>
      <c r="K3227" s="232" t="inlineStr">
        <is>
          <t>FLETE FRUTA</t>
        </is>
      </c>
      <c r="L3227" s="232" t="inlineStr">
        <is>
          <t>[PRORRATEO 1.7% 2.5há/148.3há] O/001577 FLETE</t>
        </is>
      </c>
      <c r="M3227" s="232" t="inlineStr"/>
      <c r="N3227" s="232" t="inlineStr">
        <is>
          <t>.   .   -</t>
        </is>
      </c>
      <c r="O3227" s="232" t="inlineStr">
        <is>
          <t>ABRIL</t>
        </is>
      </c>
      <c r="P3227" s="232" t="n">
        <v>14</v>
      </c>
      <c r="Q3227" s="234" t="n">
        <v>1349</v>
      </c>
      <c r="R3227" s="232" t="inlineStr"/>
      <c r="S3227" s="234" t="n">
        <v>1349</v>
      </c>
      <c r="T3227" s="232" t="inlineStr">
        <is>
          <t>CLP</t>
        </is>
      </c>
      <c r="U3227" s="232" t="inlineStr">
        <is>
          <t>Prorrateo Ha PACKING</t>
        </is>
      </c>
      <c r="V3227" s="232" t="inlineStr">
        <is>
          <t>2026-06-18</t>
        </is>
      </c>
    </row>
    <row r="3228">
      <c r="A3228" s="232" t="inlineStr">
        <is>
          <t>CR-3225</t>
        </is>
      </c>
      <c r="B3228" s="232" t="inlineStr">
        <is>
          <t>2026/27</t>
        </is>
      </c>
      <c r="C3228" s="233" t="n">
        <v>46120</v>
      </c>
      <c r="D3228" s="232" t="inlineStr">
        <is>
          <t>8463</t>
        </is>
      </c>
      <c r="E3228" s="232" t="inlineStr">
        <is>
          <t>PRORRATEO</t>
        </is>
      </c>
      <c r="F3228" s="232" t="inlineStr">
        <is>
          <t>Siberia</t>
        </is>
      </c>
      <c r="G3228" s="232" t="inlineStr">
        <is>
          <t>S. Celebration 7,14</t>
        </is>
      </c>
      <c r="H3228" s="232" t="inlineStr">
        <is>
          <t>Uvas</t>
        </is>
      </c>
      <c r="I3228" s="232" t="inlineStr">
        <is>
          <t>S. celebration</t>
        </is>
      </c>
      <c r="J3228" s="232" t="inlineStr">
        <is>
          <t>FLETES</t>
        </is>
      </c>
      <c r="K3228" s="232" t="inlineStr">
        <is>
          <t>FLETE FRUTA</t>
        </is>
      </c>
      <c r="L3228" s="232" t="inlineStr">
        <is>
          <t>[PRORRATEO 4.8% 7.14há/148.3há] O/001577 FLETE</t>
        </is>
      </c>
      <c r="M3228" s="232" t="inlineStr"/>
      <c r="N3228" s="232" t="inlineStr">
        <is>
          <t>.   .   -</t>
        </is>
      </c>
      <c r="O3228" s="232" t="inlineStr">
        <is>
          <t>ABRIL</t>
        </is>
      </c>
      <c r="P3228" s="232" t="n">
        <v>14</v>
      </c>
      <c r="Q3228" s="234" t="n">
        <v>3853</v>
      </c>
      <c r="R3228" s="232" t="inlineStr"/>
      <c r="S3228" s="234" t="n">
        <v>3853</v>
      </c>
      <c r="T3228" s="232" t="inlineStr">
        <is>
          <t>CLP</t>
        </is>
      </c>
      <c r="U3228" s="232" t="inlineStr">
        <is>
          <t>Prorrateo Ha PACKING</t>
        </is>
      </c>
      <c r="V3228" s="232" t="inlineStr">
        <is>
          <t>2026-06-18</t>
        </is>
      </c>
    </row>
    <row r="3229">
      <c r="A3229" s="232" t="inlineStr">
        <is>
          <t>CR-3226</t>
        </is>
      </c>
      <c r="B3229" s="232" t="inlineStr">
        <is>
          <t>2026/27</t>
        </is>
      </c>
      <c r="C3229" s="233" t="n">
        <v>46120</v>
      </c>
      <c r="D3229" s="232" t="inlineStr">
        <is>
          <t>8463</t>
        </is>
      </c>
      <c r="E3229" s="232" t="inlineStr">
        <is>
          <t>PRORRATEO</t>
        </is>
      </c>
      <c r="F3229" s="232" t="inlineStr">
        <is>
          <t>Siberia</t>
        </is>
      </c>
      <c r="G3229" s="232" t="inlineStr">
        <is>
          <t>Timpson 7,1</t>
        </is>
      </c>
      <c r="H3229" s="232" t="inlineStr">
        <is>
          <t>Uvas</t>
        </is>
      </c>
      <c r="I3229" s="232" t="inlineStr">
        <is>
          <t>Timpson</t>
        </is>
      </c>
      <c r="J3229" s="232" t="inlineStr">
        <is>
          <t>FLETES</t>
        </is>
      </c>
      <c r="K3229" s="232" t="inlineStr">
        <is>
          <t>FLETE FRUTA</t>
        </is>
      </c>
      <c r="L3229" s="232" t="inlineStr">
        <is>
          <t>[PRORRATEO 4.8% 7.1há/148.3há] O/001577 FLETE</t>
        </is>
      </c>
      <c r="M3229" s="232" t="inlineStr"/>
      <c r="N3229" s="232" t="inlineStr">
        <is>
          <t>.   .   -</t>
        </is>
      </c>
      <c r="O3229" s="232" t="inlineStr">
        <is>
          <t>ABRIL</t>
        </is>
      </c>
      <c r="P3229" s="232" t="n">
        <v>14</v>
      </c>
      <c r="Q3229" s="234" t="n">
        <v>3831</v>
      </c>
      <c r="R3229" s="232" t="inlineStr"/>
      <c r="S3229" s="234" t="n">
        <v>3831</v>
      </c>
      <c r="T3229" s="232" t="inlineStr">
        <is>
          <t>CLP</t>
        </is>
      </c>
      <c r="U3229" s="232" t="inlineStr">
        <is>
          <t>Prorrateo Ha PACKING</t>
        </is>
      </c>
      <c r="V3229" s="232" t="inlineStr">
        <is>
          <t>2026-06-18</t>
        </is>
      </c>
    </row>
    <row r="3230">
      <c r="A3230" s="232" t="inlineStr">
        <is>
          <t>CR-3227</t>
        </is>
      </c>
      <c r="B3230" s="232" t="inlineStr">
        <is>
          <t>2026/27</t>
        </is>
      </c>
      <c r="C3230" s="233" t="n">
        <v>46122</v>
      </c>
      <c r="D3230" s="232" t="inlineStr">
        <is>
          <t>452617</t>
        </is>
      </c>
      <c r="E3230" s="232" t="inlineStr">
        <is>
          <t>PRORRATEO</t>
        </is>
      </c>
      <c r="F3230" s="232" t="inlineStr">
        <is>
          <t>Asmara</t>
        </is>
      </c>
      <c r="G3230" s="232" t="inlineStr">
        <is>
          <t>w. murcott 19,8 ha</t>
        </is>
      </c>
      <c r="H3230" s="232" t="inlineStr">
        <is>
          <t>Mandarina</t>
        </is>
      </c>
      <c r="I3230" s="232" t="inlineStr">
        <is>
          <t>W. murcott</t>
        </is>
      </c>
      <c r="J3230" s="232" t="inlineStr">
        <is>
          <t>COMBUSTIBLE</t>
        </is>
      </c>
      <c r="K3230" s="232" t="inlineStr">
        <is>
          <t>MOLLE GRUA HORQUILLA</t>
        </is>
      </c>
      <c r="L3230" s="232" t="inlineStr">
        <is>
          <t>[PRORRATEO 13.4% 19.8há/148.3há] O/001593 GAS ENV. 1</t>
        </is>
      </c>
      <c r="M3230" s="232" t="inlineStr"/>
      <c r="N3230" s="232" t="inlineStr">
        <is>
          <t>.   .   -</t>
        </is>
      </c>
      <c r="O3230" s="232" t="inlineStr">
        <is>
          <t>ABRIL</t>
        </is>
      </c>
      <c r="P3230" s="232" t="n">
        <v>14</v>
      </c>
      <c r="Q3230" s="234" t="n">
        <v>5996</v>
      </c>
      <c r="R3230" s="232" t="inlineStr"/>
      <c r="S3230" s="234" t="n">
        <v>5996</v>
      </c>
      <c r="T3230" s="232" t="inlineStr">
        <is>
          <t>CLP</t>
        </is>
      </c>
      <c r="U3230" s="232" t="inlineStr">
        <is>
          <t>Prorrateo Ha PACKING</t>
        </is>
      </c>
      <c r="V3230" s="232" t="inlineStr">
        <is>
          <t>2026-06-18</t>
        </is>
      </c>
    </row>
    <row r="3231">
      <c r="A3231" s="232" t="inlineStr">
        <is>
          <t>CR-3228</t>
        </is>
      </c>
      <c r="B3231" s="232" t="inlineStr">
        <is>
          <t>2026/27</t>
        </is>
      </c>
      <c r="C3231" s="233" t="n">
        <v>46122</v>
      </c>
      <c r="D3231" s="232" t="inlineStr">
        <is>
          <t>452617</t>
        </is>
      </c>
      <c r="E3231" s="232" t="inlineStr">
        <is>
          <t>PRORRATEO</t>
        </is>
      </c>
      <c r="F3231" s="232" t="inlineStr">
        <is>
          <t>Asmara</t>
        </is>
      </c>
      <c r="G3231" s="232" t="inlineStr">
        <is>
          <t>w. murcott 4,9 ha</t>
        </is>
      </c>
      <c r="H3231" s="232" t="inlineStr">
        <is>
          <t>Mandarina</t>
        </is>
      </c>
      <c r="I3231" s="232" t="inlineStr">
        <is>
          <t>W. murcott</t>
        </is>
      </c>
      <c r="J3231" s="232" t="inlineStr">
        <is>
          <t>COMBUSTIBLE</t>
        </is>
      </c>
      <c r="K3231" s="232" t="inlineStr">
        <is>
          <t>MOLLE GRUA HORQUILLA</t>
        </is>
      </c>
      <c r="L3231" s="232" t="inlineStr">
        <is>
          <t>[PRORRATEO 3.3% 4.9há/148.3há] O/001593 GAS ENV. 1</t>
        </is>
      </c>
      <c r="M3231" s="232" t="inlineStr"/>
      <c r="N3231" s="232" t="inlineStr">
        <is>
          <t>.   .   -</t>
        </is>
      </c>
      <c r="O3231" s="232" t="inlineStr">
        <is>
          <t>ABRIL</t>
        </is>
      </c>
      <c r="P3231" s="232" t="n">
        <v>14</v>
      </c>
      <c r="Q3231" s="234" t="n">
        <v>1484</v>
      </c>
      <c r="R3231" s="232" t="inlineStr"/>
      <c r="S3231" s="234" t="n">
        <v>1484</v>
      </c>
      <c r="T3231" s="232" t="inlineStr">
        <is>
          <t>CLP</t>
        </is>
      </c>
      <c r="U3231" s="232" t="inlineStr">
        <is>
          <t>Prorrateo Ha PACKING</t>
        </is>
      </c>
      <c r="V3231" s="232" t="inlineStr">
        <is>
          <t>2026-06-18</t>
        </is>
      </c>
    </row>
    <row r="3232">
      <c r="A3232" s="232" t="inlineStr">
        <is>
          <t>CR-3229</t>
        </is>
      </c>
      <c r="B3232" s="232" t="inlineStr">
        <is>
          <t>2026/27</t>
        </is>
      </c>
      <c r="C3232" s="233" t="n">
        <v>46122</v>
      </c>
      <c r="D3232" s="232" t="inlineStr">
        <is>
          <t>452617</t>
        </is>
      </c>
      <c r="E3232" s="232" t="inlineStr">
        <is>
          <t>PRORRATEO</t>
        </is>
      </c>
      <c r="F3232" s="232" t="inlineStr">
        <is>
          <t>El Molle</t>
        </is>
      </c>
      <c r="G3232" s="232" t="inlineStr">
        <is>
          <t>Wonderful 5,25 ha</t>
        </is>
      </c>
      <c r="H3232" s="232" t="inlineStr">
        <is>
          <t>Granados</t>
        </is>
      </c>
      <c r="I3232" s="232" t="inlineStr">
        <is>
          <t>Wonderfull</t>
        </is>
      </c>
      <c r="J3232" s="232" t="inlineStr">
        <is>
          <t>COMBUSTIBLE</t>
        </is>
      </c>
      <c r="K3232" s="232" t="inlineStr">
        <is>
          <t>MOLLE GRUA HORQUILLA</t>
        </is>
      </c>
      <c r="L3232" s="232" t="inlineStr">
        <is>
          <t>[PRORRATEO 3.5% 5.24há/148.3há] O/001593 GAS ENV. 1</t>
        </is>
      </c>
      <c r="M3232" s="232" t="inlineStr"/>
      <c r="N3232" s="232" t="inlineStr">
        <is>
          <t>.   .   -</t>
        </is>
      </c>
      <c r="O3232" s="232" t="inlineStr">
        <is>
          <t>ABRIL</t>
        </is>
      </c>
      <c r="P3232" s="232" t="n">
        <v>14</v>
      </c>
      <c r="Q3232" s="234" t="n">
        <v>1587</v>
      </c>
      <c r="R3232" s="232" t="inlineStr"/>
      <c r="S3232" s="234" t="n">
        <v>1587</v>
      </c>
      <c r="T3232" s="232" t="inlineStr">
        <is>
          <t>CLP</t>
        </is>
      </c>
      <c r="U3232" s="232" t="inlineStr">
        <is>
          <t>Prorrateo Ha PACKING</t>
        </is>
      </c>
      <c r="V3232" s="232" t="inlineStr">
        <is>
          <t>2026-06-18</t>
        </is>
      </c>
    </row>
    <row r="3233">
      <c r="A3233" s="232" t="inlineStr">
        <is>
          <t>CR-3230</t>
        </is>
      </c>
      <c r="B3233" s="232" t="inlineStr">
        <is>
          <t>2026/27</t>
        </is>
      </c>
      <c r="C3233" s="233" t="n">
        <v>46122</v>
      </c>
      <c r="D3233" s="232" t="inlineStr">
        <is>
          <t>452617</t>
        </is>
      </c>
      <c r="E3233" s="232" t="inlineStr">
        <is>
          <t>PRORRATEO</t>
        </is>
      </c>
      <c r="F3233" s="232" t="inlineStr">
        <is>
          <t>El Molle</t>
        </is>
      </c>
      <c r="G3233" s="232" t="inlineStr">
        <is>
          <t>arrufatinas 5,74 ha</t>
        </is>
      </c>
      <c r="H3233" s="232" t="inlineStr">
        <is>
          <t>Clementinas</t>
        </is>
      </c>
      <c r="I3233" s="232" t="inlineStr">
        <is>
          <t>Arrufatinas</t>
        </is>
      </c>
      <c r="J3233" s="232" t="inlineStr">
        <is>
          <t>COMBUSTIBLE</t>
        </is>
      </c>
      <c r="K3233" s="232" t="inlineStr">
        <is>
          <t>MOLLE GRUA HORQUILLA</t>
        </is>
      </c>
      <c r="L3233" s="232" t="inlineStr">
        <is>
          <t>[PRORRATEO 3.9% 5.74há/148.3há] O/001593 GAS ENV. 1</t>
        </is>
      </c>
      <c r="M3233" s="232" t="inlineStr"/>
      <c r="N3233" s="232" t="inlineStr">
        <is>
          <t>.   .   -</t>
        </is>
      </c>
      <c r="O3233" s="232" t="inlineStr">
        <is>
          <t>ABRIL</t>
        </is>
      </c>
      <c r="P3233" s="232" t="n">
        <v>14</v>
      </c>
      <c r="Q3233" s="234" t="n">
        <v>1738</v>
      </c>
      <c r="R3233" s="232" t="inlineStr"/>
      <c r="S3233" s="234" t="n">
        <v>1738</v>
      </c>
      <c r="T3233" s="232" t="inlineStr">
        <is>
          <t>CLP</t>
        </is>
      </c>
      <c r="U3233" s="232" t="inlineStr">
        <is>
          <t>Prorrateo Ha PACKING</t>
        </is>
      </c>
      <c r="V3233" s="232" t="inlineStr">
        <is>
          <t>2026-06-18</t>
        </is>
      </c>
    </row>
    <row r="3234">
      <c r="A3234" s="232" t="inlineStr">
        <is>
          <t>CR-3231</t>
        </is>
      </c>
      <c r="B3234" s="232" t="inlineStr">
        <is>
          <t>2026/27</t>
        </is>
      </c>
      <c r="C3234" s="233" t="n">
        <v>46122</v>
      </c>
      <c r="D3234" s="232" t="inlineStr">
        <is>
          <t>452617</t>
        </is>
      </c>
      <c r="E3234" s="232" t="inlineStr">
        <is>
          <t>PRORRATEO</t>
        </is>
      </c>
      <c r="F3234" s="232" t="inlineStr">
        <is>
          <t>El Molle</t>
        </is>
      </c>
      <c r="G3234" s="232" t="inlineStr">
        <is>
          <t>orogrande 8,11 ha</t>
        </is>
      </c>
      <c r="H3234" s="232" t="inlineStr">
        <is>
          <t>Clementinas</t>
        </is>
      </c>
      <c r="I3234" s="232" t="inlineStr">
        <is>
          <t>Orogrande</t>
        </is>
      </c>
      <c r="J3234" s="232" t="inlineStr">
        <is>
          <t>COMBUSTIBLE</t>
        </is>
      </c>
      <c r="K3234" s="232" t="inlineStr">
        <is>
          <t>MOLLE GRUA HORQUILLA</t>
        </is>
      </c>
      <c r="L3234" s="232" t="inlineStr">
        <is>
          <t>[PRORRATEO 5.5% 8.11há/148.3há] O/001593 GAS ENV. 1</t>
        </is>
      </c>
      <c r="M3234" s="232" t="inlineStr"/>
      <c r="N3234" s="232" t="inlineStr">
        <is>
          <t>.   .   -</t>
        </is>
      </c>
      <c r="O3234" s="232" t="inlineStr">
        <is>
          <t>ABRIL</t>
        </is>
      </c>
      <c r="P3234" s="232" t="n">
        <v>14</v>
      </c>
      <c r="Q3234" s="234" t="n">
        <v>2456</v>
      </c>
      <c r="R3234" s="232" t="inlineStr"/>
      <c r="S3234" s="234" t="n">
        <v>2456</v>
      </c>
      <c r="T3234" s="232" t="inlineStr">
        <is>
          <t>CLP</t>
        </is>
      </c>
      <c r="U3234" s="232" t="inlineStr">
        <is>
          <t>Prorrateo Ha PACKING</t>
        </is>
      </c>
      <c r="V3234" s="232" t="inlineStr">
        <is>
          <t>2026-06-18</t>
        </is>
      </c>
    </row>
    <row r="3235">
      <c r="A3235" s="232" t="inlineStr">
        <is>
          <t>CR-3232</t>
        </is>
      </c>
      <c r="B3235" s="232" t="inlineStr">
        <is>
          <t>2026/27</t>
        </is>
      </c>
      <c r="C3235" s="233" t="n">
        <v>46122</v>
      </c>
      <c r="D3235" s="232" t="inlineStr">
        <is>
          <t>452617</t>
        </is>
      </c>
      <c r="E3235" s="232" t="inlineStr">
        <is>
          <t>PRORRATEO</t>
        </is>
      </c>
      <c r="F3235" s="232" t="inlineStr">
        <is>
          <t>El Molle</t>
        </is>
      </c>
      <c r="G3235" s="232" t="inlineStr">
        <is>
          <t>oronules 5,35 ha</t>
        </is>
      </c>
      <c r="H3235" s="232" t="inlineStr">
        <is>
          <t>Clementinas</t>
        </is>
      </c>
      <c r="I3235" s="232" t="inlineStr">
        <is>
          <t>Oronules</t>
        </is>
      </c>
      <c r="J3235" s="232" t="inlineStr">
        <is>
          <t>COMBUSTIBLE</t>
        </is>
      </c>
      <c r="K3235" s="232" t="inlineStr">
        <is>
          <t>MOLLE GRUA HORQUILLA</t>
        </is>
      </c>
      <c r="L3235" s="232" t="inlineStr">
        <is>
          <t>[PRORRATEO 3.6% 5.35há/148.3há] O/001593 GAS ENV. 1</t>
        </is>
      </c>
      <c r="M3235" s="232" t="inlineStr"/>
      <c r="N3235" s="232" t="inlineStr">
        <is>
          <t>.   .   -</t>
        </is>
      </c>
      <c r="O3235" s="232" t="inlineStr">
        <is>
          <t>ABRIL</t>
        </is>
      </c>
      <c r="P3235" s="232" t="n">
        <v>14</v>
      </c>
      <c r="Q3235" s="234" t="n">
        <v>1620</v>
      </c>
      <c r="R3235" s="232" t="inlineStr"/>
      <c r="S3235" s="234" t="n">
        <v>1620</v>
      </c>
      <c r="T3235" s="232" t="inlineStr">
        <is>
          <t>CLP</t>
        </is>
      </c>
      <c r="U3235" s="232" t="inlineStr">
        <is>
          <t>Prorrateo Ha PACKING</t>
        </is>
      </c>
      <c r="V3235" s="232" t="inlineStr">
        <is>
          <t>2026-06-18</t>
        </is>
      </c>
    </row>
    <row r="3236">
      <c r="A3236" s="232" t="inlineStr">
        <is>
          <t>CR-3233</t>
        </is>
      </c>
      <c r="B3236" s="232" t="inlineStr">
        <is>
          <t>2026/27</t>
        </is>
      </c>
      <c r="C3236" s="233" t="n">
        <v>46122</v>
      </c>
      <c r="D3236" s="232" t="inlineStr">
        <is>
          <t>452617</t>
        </is>
      </c>
      <c r="E3236" s="232" t="inlineStr">
        <is>
          <t>PRORRATEO</t>
        </is>
      </c>
      <c r="F3236" s="232" t="inlineStr">
        <is>
          <t>Santa Catalina</t>
        </is>
      </c>
      <c r="G3236" s="232" t="inlineStr">
        <is>
          <t>Fino 49 7,7 ha</t>
        </is>
      </c>
      <c r="H3236" s="232" t="inlineStr">
        <is>
          <t>Limon</t>
        </is>
      </c>
      <c r="I3236" s="232" t="inlineStr">
        <is>
          <t>Fino 49</t>
        </is>
      </c>
      <c r="J3236" s="232" t="inlineStr">
        <is>
          <t>COMBUSTIBLE</t>
        </is>
      </c>
      <c r="K3236" s="232" t="inlineStr">
        <is>
          <t>MOLLE GRUA HORQUILLA</t>
        </is>
      </c>
      <c r="L3236" s="232" t="inlineStr">
        <is>
          <t>[PRORRATEO 5.2% 7.7há/148.3há] O/001593 GAS ENV. 1</t>
        </is>
      </c>
      <c r="M3236" s="232" t="inlineStr"/>
      <c r="N3236" s="232" t="inlineStr">
        <is>
          <t>.   .   -</t>
        </is>
      </c>
      <c r="O3236" s="232" t="inlineStr">
        <is>
          <t>ABRIL</t>
        </is>
      </c>
      <c r="P3236" s="232" t="n">
        <v>14</v>
      </c>
      <c r="Q3236" s="234" t="n">
        <v>2332</v>
      </c>
      <c r="R3236" s="232" t="inlineStr"/>
      <c r="S3236" s="234" t="n">
        <v>2332</v>
      </c>
      <c r="T3236" s="232" t="inlineStr">
        <is>
          <t>CLP</t>
        </is>
      </c>
      <c r="U3236" s="232" t="inlineStr">
        <is>
          <t>Prorrateo Ha PACKING</t>
        </is>
      </c>
      <c r="V3236" s="232" t="inlineStr">
        <is>
          <t>2026-06-18</t>
        </is>
      </c>
    </row>
    <row r="3237">
      <c r="A3237" s="232" t="inlineStr">
        <is>
          <t>CR-3234</t>
        </is>
      </c>
      <c r="B3237" s="232" t="inlineStr">
        <is>
          <t>2026/27</t>
        </is>
      </c>
      <c r="C3237" s="233" t="n">
        <v>46122</v>
      </c>
      <c r="D3237" s="232" t="inlineStr">
        <is>
          <t>452617</t>
        </is>
      </c>
      <c r="E3237" s="232" t="inlineStr">
        <is>
          <t>PRORRATEO</t>
        </is>
      </c>
      <c r="F3237" s="232" t="inlineStr">
        <is>
          <t>Santa Catalina</t>
        </is>
      </c>
      <c r="G3237" s="232" t="inlineStr">
        <is>
          <t>W. murcott 21 ha</t>
        </is>
      </c>
      <c r="H3237" s="232" t="inlineStr">
        <is>
          <t>Mandarina</t>
        </is>
      </c>
      <c r="I3237" s="232" t="inlineStr">
        <is>
          <t>W. murcott</t>
        </is>
      </c>
      <c r="J3237" s="232" t="inlineStr">
        <is>
          <t>COMBUSTIBLE</t>
        </is>
      </c>
      <c r="K3237" s="232" t="inlineStr">
        <is>
          <t>MOLLE GRUA HORQUILLA</t>
        </is>
      </c>
      <c r="L3237" s="232" t="inlineStr">
        <is>
          <t>[PRORRATEO 14.2% 21.0há/148.3há] O/001593 GAS ENV. 1</t>
        </is>
      </c>
      <c r="M3237" s="232" t="inlineStr"/>
      <c r="N3237" s="232" t="inlineStr">
        <is>
          <t>.   .   -</t>
        </is>
      </c>
      <c r="O3237" s="232" t="inlineStr">
        <is>
          <t>ABRIL</t>
        </is>
      </c>
      <c r="P3237" s="232" t="n">
        <v>14</v>
      </c>
      <c r="Q3237" s="234" t="n">
        <v>6359</v>
      </c>
      <c r="R3237" s="232" t="inlineStr"/>
      <c r="S3237" s="234" t="n">
        <v>6359</v>
      </c>
      <c r="T3237" s="232" t="inlineStr">
        <is>
          <t>CLP</t>
        </is>
      </c>
      <c r="U3237" s="232" t="inlineStr">
        <is>
          <t>Prorrateo Ha PACKING</t>
        </is>
      </c>
      <c r="V3237" s="232" t="inlineStr">
        <is>
          <t>2026-06-18</t>
        </is>
      </c>
    </row>
    <row r="3238">
      <c r="A3238" s="232" t="inlineStr">
        <is>
          <t>CR-3235</t>
        </is>
      </c>
      <c r="B3238" s="232" t="inlineStr">
        <is>
          <t>2026/27</t>
        </is>
      </c>
      <c r="C3238" s="233" t="n">
        <v>46122</v>
      </c>
      <c r="D3238" s="232" t="inlineStr">
        <is>
          <t>452617</t>
        </is>
      </c>
      <c r="E3238" s="232" t="inlineStr">
        <is>
          <t>PRORRATEO</t>
        </is>
      </c>
      <c r="F3238" s="232" t="inlineStr">
        <is>
          <t>Santa Catalina</t>
        </is>
      </c>
      <c r="G3238" s="232" t="inlineStr">
        <is>
          <t>cambria 4,2 ha</t>
        </is>
      </c>
      <c r="H3238" s="232" t="inlineStr">
        <is>
          <t>Naranjas</t>
        </is>
      </c>
      <c r="I3238" s="232" t="inlineStr">
        <is>
          <t>Cambria</t>
        </is>
      </c>
      <c r="J3238" s="232" t="inlineStr">
        <is>
          <t>COMBUSTIBLE</t>
        </is>
      </c>
      <c r="K3238" s="232" t="inlineStr">
        <is>
          <t>MOLLE GRUA HORQUILLA</t>
        </is>
      </c>
      <c r="L3238" s="232" t="inlineStr">
        <is>
          <t>[PRORRATEO 2.8% 4.2há/148.3há] O/001593 GAS ENV. 1</t>
        </is>
      </c>
      <c r="M3238" s="232" t="inlineStr"/>
      <c r="N3238" s="232" t="inlineStr">
        <is>
          <t>.   .   -</t>
        </is>
      </c>
      <c r="O3238" s="232" t="inlineStr">
        <is>
          <t>ABRIL</t>
        </is>
      </c>
      <c r="P3238" s="232" t="n">
        <v>14</v>
      </c>
      <c r="Q3238" s="234" t="n">
        <v>1272</v>
      </c>
      <c r="R3238" s="232" t="inlineStr"/>
      <c r="S3238" s="234" t="n">
        <v>1272</v>
      </c>
      <c r="T3238" s="232" t="inlineStr">
        <is>
          <t>CLP</t>
        </is>
      </c>
      <c r="U3238" s="232" t="inlineStr">
        <is>
          <t>Prorrateo Ha PACKING</t>
        </is>
      </c>
      <c r="V3238" s="232" t="inlineStr">
        <is>
          <t>2026-06-18</t>
        </is>
      </c>
    </row>
    <row r="3239">
      <c r="A3239" s="232" t="inlineStr">
        <is>
          <t>CR-3236</t>
        </is>
      </c>
      <c r="B3239" s="232" t="inlineStr">
        <is>
          <t>2026/27</t>
        </is>
      </c>
      <c r="C3239" s="233" t="n">
        <v>46122</v>
      </c>
      <c r="D3239" s="232" t="inlineStr">
        <is>
          <t>452617</t>
        </is>
      </c>
      <c r="E3239" s="232" t="inlineStr">
        <is>
          <t>PRORRATEO</t>
        </is>
      </c>
      <c r="F3239" s="232" t="inlineStr">
        <is>
          <t>Santa Catalina</t>
        </is>
      </c>
      <c r="G3239" s="232" t="inlineStr">
        <is>
          <t>eureka 10,6 ha</t>
        </is>
      </c>
      <c r="H3239" s="232" t="inlineStr">
        <is>
          <t>Limon</t>
        </is>
      </c>
      <c r="I3239" s="232" t="inlineStr">
        <is>
          <t>Eureka</t>
        </is>
      </c>
      <c r="J3239" s="232" t="inlineStr">
        <is>
          <t>COMBUSTIBLE</t>
        </is>
      </c>
      <c r="K3239" s="232" t="inlineStr">
        <is>
          <t>MOLLE GRUA HORQUILLA</t>
        </is>
      </c>
      <c r="L3239" s="232" t="inlineStr">
        <is>
          <t>[PRORRATEO 7.1% 10.6há/148.3há] O/001593 GAS ENV. 1</t>
        </is>
      </c>
      <c r="M3239" s="232" t="inlineStr"/>
      <c r="N3239" s="232" t="inlineStr">
        <is>
          <t>.   .   -</t>
        </is>
      </c>
      <c r="O3239" s="232" t="inlineStr">
        <is>
          <t>ABRIL</t>
        </is>
      </c>
      <c r="P3239" s="232" t="n">
        <v>14</v>
      </c>
      <c r="Q3239" s="234" t="n">
        <v>3210</v>
      </c>
      <c r="R3239" s="232" t="inlineStr"/>
      <c r="S3239" s="234" t="n">
        <v>3210</v>
      </c>
      <c r="T3239" s="232" t="inlineStr">
        <is>
          <t>CLP</t>
        </is>
      </c>
      <c r="U3239" s="232" t="inlineStr">
        <is>
          <t>Prorrateo Ha PACKING</t>
        </is>
      </c>
      <c r="V3239" s="232" t="inlineStr">
        <is>
          <t>2026-06-18</t>
        </is>
      </c>
    </row>
    <row r="3240">
      <c r="A3240" s="232" t="inlineStr">
        <is>
          <t>CR-3237</t>
        </is>
      </c>
      <c r="B3240" s="232" t="inlineStr">
        <is>
          <t>2026/27</t>
        </is>
      </c>
      <c r="C3240" s="233" t="n">
        <v>46122</v>
      </c>
      <c r="D3240" s="232" t="inlineStr">
        <is>
          <t>452617</t>
        </is>
      </c>
      <c r="E3240" s="232" t="inlineStr">
        <is>
          <t>PRORRATEO</t>
        </is>
      </c>
      <c r="F3240" s="232" t="inlineStr">
        <is>
          <t>Santa Catalina</t>
        </is>
      </c>
      <c r="G3240" s="232" t="inlineStr">
        <is>
          <t>eureka 14,4 ha</t>
        </is>
      </c>
      <c r="H3240" s="232" t="inlineStr">
        <is>
          <t>Limon</t>
        </is>
      </c>
      <c r="I3240" s="232" t="inlineStr">
        <is>
          <t>Eureka</t>
        </is>
      </c>
      <c r="J3240" s="232" t="inlineStr">
        <is>
          <t>COMBUSTIBLE</t>
        </is>
      </c>
      <c r="K3240" s="232" t="inlineStr">
        <is>
          <t>MOLLE GRUA HORQUILLA</t>
        </is>
      </c>
      <c r="L3240" s="232" t="inlineStr">
        <is>
          <t>[PRORRATEO 9.7% 14.4há/148.3há] O/001593 GAS ENV. 1</t>
        </is>
      </c>
      <c r="M3240" s="232" t="inlineStr"/>
      <c r="N3240" s="232" t="inlineStr">
        <is>
          <t>.   .   -</t>
        </is>
      </c>
      <c r="O3240" s="232" t="inlineStr">
        <is>
          <t>ABRIL</t>
        </is>
      </c>
      <c r="P3240" s="232" t="n">
        <v>14</v>
      </c>
      <c r="Q3240" s="234" t="n">
        <v>4360</v>
      </c>
      <c r="R3240" s="232" t="inlineStr"/>
      <c r="S3240" s="234" t="n">
        <v>4360</v>
      </c>
      <c r="T3240" s="232" t="inlineStr">
        <is>
          <t>CLP</t>
        </is>
      </c>
      <c r="U3240" s="232" t="inlineStr">
        <is>
          <t>Prorrateo Ha PACKING</t>
        </is>
      </c>
      <c r="V3240" s="232" t="inlineStr">
        <is>
          <t>2026-06-18</t>
        </is>
      </c>
    </row>
    <row r="3241">
      <c r="A3241" s="232" t="inlineStr">
        <is>
          <t>CR-3238</t>
        </is>
      </c>
      <c r="B3241" s="232" t="inlineStr">
        <is>
          <t>2026/27</t>
        </is>
      </c>
      <c r="C3241" s="233" t="n">
        <v>46122</v>
      </c>
      <c r="D3241" s="232" t="inlineStr">
        <is>
          <t>452617</t>
        </is>
      </c>
      <c r="E3241" s="232" t="inlineStr">
        <is>
          <t>PRORRATEO</t>
        </is>
      </c>
      <c r="F3241" s="232" t="inlineStr">
        <is>
          <t>Santa Catalina</t>
        </is>
      </c>
      <c r="G3241" s="232" t="inlineStr">
        <is>
          <t>eureka 22,55</t>
        </is>
      </c>
      <c r="H3241" s="232" t="inlineStr">
        <is>
          <t>Limon</t>
        </is>
      </c>
      <c r="I3241" s="232" t="inlineStr">
        <is>
          <t>Eureka</t>
        </is>
      </c>
      <c r="J3241" s="232" t="inlineStr">
        <is>
          <t>COMBUSTIBLE</t>
        </is>
      </c>
      <c r="K3241" s="232" t="inlineStr">
        <is>
          <t>MOLLE GRUA HORQUILLA</t>
        </is>
      </c>
      <c r="L3241" s="232" t="inlineStr">
        <is>
          <t>[PRORRATEO 15.2% 22.55há/148.3há] O/001593 GAS ENV. 1</t>
        </is>
      </c>
      <c r="M3241" s="232" t="inlineStr"/>
      <c r="N3241" s="232" t="inlineStr">
        <is>
          <t>.   .   -</t>
        </is>
      </c>
      <c r="O3241" s="232" t="inlineStr">
        <is>
          <t>ABRIL</t>
        </is>
      </c>
      <c r="P3241" s="232" t="n">
        <v>14</v>
      </c>
      <c r="Q3241" s="234" t="n">
        <v>6828</v>
      </c>
      <c r="R3241" s="232" t="inlineStr"/>
      <c r="S3241" s="234" t="n">
        <v>6828</v>
      </c>
      <c r="T3241" s="232" t="inlineStr">
        <is>
          <t>CLP</t>
        </is>
      </c>
      <c r="U3241" s="232" t="inlineStr">
        <is>
          <t>Prorrateo Ha PACKING</t>
        </is>
      </c>
      <c r="V3241" s="232" t="inlineStr">
        <is>
          <t>2026-06-18</t>
        </is>
      </c>
    </row>
    <row r="3242">
      <c r="A3242" s="232" t="inlineStr">
        <is>
          <t>CR-3239</t>
        </is>
      </c>
      <c r="B3242" s="232" t="inlineStr">
        <is>
          <t>2026/27</t>
        </is>
      </c>
      <c r="C3242" s="233" t="n">
        <v>46122</v>
      </c>
      <c r="D3242" s="232" t="inlineStr">
        <is>
          <t>452617</t>
        </is>
      </c>
      <c r="E3242" s="232" t="inlineStr">
        <is>
          <t>PRORRATEO</t>
        </is>
      </c>
      <c r="F3242" s="232" t="inlineStr">
        <is>
          <t>Santa Catalina</t>
        </is>
      </c>
      <c r="G3242" s="232" t="inlineStr">
        <is>
          <t>form benjamin 1,93 ha</t>
        </is>
      </c>
      <c r="H3242" s="232" t="inlineStr">
        <is>
          <t>Limon</t>
        </is>
      </c>
      <c r="I3242" s="232" t="inlineStr">
        <is>
          <t>Benjamin andes</t>
        </is>
      </c>
      <c r="J3242" s="232" t="inlineStr">
        <is>
          <t>COMBUSTIBLE</t>
        </is>
      </c>
      <c r="K3242" s="232" t="inlineStr">
        <is>
          <t>MOLLE GRUA HORQUILLA</t>
        </is>
      </c>
      <c r="L3242" s="232" t="inlineStr">
        <is>
          <t>[PRORRATEO 1.3% 1.93há/148.3há] O/001593 GAS ENV. 1</t>
        </is>
      </c>
      <c r="M3242" s="232" t="inlineStr"/>
      <c r="N3242" s="232" t="inlineStr">
        <is>
          <t>.   .   -</t>
        </is>
      </c>
      <c r="O3242" s="232" t="inlineStr">
        <is>
          <t>ABRIL</t>
        </is>
      </c>
      <c r="P3242" s="232" t="n">
        <v>14</v>
      </c>
      <c r="Q3242" s="234" t="n">
        <v>584</v>
      </c>
      <c r="R3242" s="232" t="inlineStr"/>
      <c r="S3242" s="234" t="n">
        <v>584</v>
      </c>
      <c r="T3242" s="232" t="inlineStr">
        <is>
          <t>CLP</t>
        </is>
      </c>
      <c r="U3242" s="232" t="inlineStr">
        <is>
          <t>Prorrateo Ha PACKING</t>
        </is>
      </c>
      <c r="V3242" s="232" t="inlineStr">
        <is>
          <t>2026-06-18</t>
        </is>
      </c>
    </row>
    <row r="3243">
      <c r="A3243" s="232" t="inlineStr">
        <is>
          <t>CR-3240</t>
        </is>
      </c>
      <c r="B3243" s="232" t="inlineStr">
        <is>
          <t>2026/27</t>
        </is>
      </c>
      <c r="C3243" s="233" t="n">
        <v>46122</v>
      </c>
      <c r="D3243" s="232" t="inlineStr">
        <is>
          <t>452617</t>
        </is>
      </c>
      <c r="E3243" s="232" t="inlineStr">
        <is>
          <t>PRORRATEO</t>
        </is>
      </c>
      <c r="F3243" s="232" t="inlineStr">
        <is>
          <t>Santa Catalina</t>
        </is>
      </c>
      <c r="G3243" s="232" t="inlineStr">
        <is>
          <t>mant eureka 2,5 ha</t>
        </is>
      </c>
      <c r="H3243" s="232" t="inlineStr">
        <is>
          <t>Limon</t>
        </is>
      </c>
      <c r="I3243" s="232" t="inlineStr">
        <is>
          <t>Eureka</t>
        </is>
      </c>
      <c r="J3243" s="232" t="inlineStr">
        <is>
          <t>COMBUSTIBLE</t>
        </is>
      </c>
      <c r="K3243" s="232" t="inlineStr">
        <is>
          <t>MOLLE GRUA HORQUILLA</t>
        </is>
      </c>
      <c r="L3243" s="232" t="inlineStr">
        <is>
          <t>[PRORRATEO 1.7% 2.5há/148.3há] O/001593 GAS ENV. 1</t>
        </is>
      </c>
      <c r="M3243" s="232" t="inlineStr"/>
      <c r="N3243" s="232" t="inlineStr">
        <is>
          <t>.   .   -</t>
        </is>
      </c>
      <c r="O3243" s="232" t="inlineStr">
        <is>
          <t>ABRIL</t>
        </is>
      </c>
      <c r="P3243" s="232" t="n">
        <v>14</v>
      </c>
      <c r="Q3243" s="234" t="n">
        <v>757</v>
      </c>
      <c r="R3243" s="232" t="inlineStr"/>
      <c r="S3243" s="234" t="n">
        <v>757</v>
      </c>
      <c r="T3243" s="232" t="inlineStr">
        <is>
          <t>CLP</t>
        </is>
      </c>
      <c r="U3243" s="232" t="inlineStr">
        <is>
          <t>Prorrateo Ha PACKING</t>
        </is>
      </c>
      <c r="V3243" s="232" t="inlineStr">
        <is>
          <t>2026-06-18</t>
        </is>
      </c>
    </row>
    <row r="3244">
      <c r="A3244" s="232" t="inlineStr">
        <is>
          <t>CR-3241</t>
        </is>
      </c>
      <c r="B3244" s="232" t="inlineStr">
        <is>
          <t>2026/27</t>
        </is>
      </c>
      <c r="C3244" s="233" t="n">
        <v>46122</v>
      </c>
      <c r="D3244" s="232" t="inlineStr">
        <is>
          <t>452617</t>
        </is>
      </c>
      <c r="E3244" s="232" t="inlineStr">
        <is>
          <t>PRORRATEO</t>
        </is>
      </c>
      <c r="F3244" s="232" t="inlineStr">
        <is>
          <t>Siberia</t>
        </is>
      </c>
      <c r="G3244" s="232" t="inlineStr">
        <is>
          <t>S. Celebration 7,14</t>
        </is>
      </c>
      <c r="H3244" s="232" t="inlineStr">
        <is>
          <t>Uvas</t>
        </is>
      </c>
      <c r="I3244" s="232" t="inlineStr">
        <is>
          <t>S. celebration</t>
        </is>
      </c>
      <c r="J3244" s="232" t="inlineStr">
        <is>
          <t>COMBUSTIBLE</t>
        </is>
      </c>
      <c r="K3244" s="232" t="inlineStr">
        <is>
          <t>MOLLE GRUA HORQUILLA</t>
        </is>
      </c>
      <c r="L3244" s="232" t="inlineStr">
        <is>
          <t>[PRORRATEO 4.8% 7.14há/148.3há] O/001593 GAS ENV. 1</t>
        </is>
      </c>
      <c r="M3244" s="232" t="inlineStr"/>
      <c r="N3244" s="232" t="inlineStr">
        <is>
          <t>.   .   -</t>
        </is>
      </c>
      <c r="O3244" s="232" t="inlineStr">
        <is>
          <t>ABRIL</t>
        </is>
      </c>
      <c r="P3244" s="232" t="n">
        <v>14</v>
      </c>
      <c r="Q3244" s="234" t="n">
        <v>2162</v>
      </c>
      <c r="R3244" s="232" t="inlineStr"/>
      <c r="S3244" s="234" t="n">
        <v>2162</v>
      </c>
      <c r="T3244" s="232" t="inlineStr">
        <is>
          <t>CLP</t>
        </is>
      </c>
      <c r="U3244" s="232" t="inlineStr">
        <is>
          <t>Prorrateo Ha PACKING</t>
        </is>
      </c>
      <c r="V3244" s="232" t="inlineStr">
        <is>
          <t>2026-06-18</t>
        </is>
      </c>
    </row>
    <row r="3245">
      <c r="A3245" s="232" t="inlineStr">
        <is>
          <t>CR-3242</t>
        </is>
      </c>
      <c r="B3245" s="232" t="inlineStr">
        <is>
          <t>2026/27</t>
        </is>
      </c>
      <c r="C3245" s="233" t="n">
        <v>46122</v>
      </c>
      <c r="D3245" s="232" t="inlineStr">
        <is>
          <t>452617</t>
        </is>
      </c>
      <c r="E3245" s="232" t="inlineStr">
        <is>
          <t>PRORRATEO</t>
        </is>
      </c>
      <c r="F3245" s="232" t="inlineStr">
        <is>
          <t>Siberia</t>
        </is>
      </c>
      <c r="G3245" s="232" t="inlineStr">
        <is>
          <t>Timpson 7,1</t>
        </is>
      </c>
      <c r="H3245" s="232" t="inlineStr">
        <is>
          <t>Uvas</t>
        </is>
      </c>
      <c r="I3245" s="232" t="inlineStr">
        <is>
          <t>Timpson</t>
        </is>
      </c>
      <c r="J3245" s="232" t="inlineStr">
        <is>
          <t>COMBUSTIBLE</t>
        </is>
      </c>
      <c r="K3245" s="232" t="inlineStr">
        <is>
          <t>MOLLE GRUA HORQUILLA</t>
        </is>
      </c>
      <c r="L3245" s="232" t="inlineStr">
        <is>
          <t>[PRORRATEO 4.8% 7.1há/148.3há] O/001593 GAS ENV. 1</t>
        </is>
      </c>
      <c r="M3245" s="232" t="inlineStr"/>
      <c r="N3245" s="232" t="inlineStr">
        <is>
          <t>.   .   -</t>
        </is>
      </c>
      <c r="O3245" s="232" t="inlineStr">
        <is>
          <t>ABRIL</t>
        </is>
      </c>
      <c r="P3245" s="232" t="n">
        <v>14</v>
      </c>
      <c r="Q3245" s="234" t="n">
        <v>2150</v>
      </c>
      <c r="R3245" s="232" t="inlineStr"/>
      <c r="S3245" s="234" t="n">
        <v>2150</v>
      </c>
      <c r="T3245" s="232" t="inlineStr">
        <is>
          <t>CLP</t>
        </is>
      </c>
      <c r="U3245" s="232" t="inlineStr">
        <is>
          <t>Prorrateo Ha PACKING</t>
        </is>
      </c>
      <c r="V3245" s="232" t="inlineStr">
        <is>
          <t>2026-06-18</t>
        </is>
      </c>
    </row>
    <row r="3246">
      <c r="A3246" s="232" t="inlineStr">
        <is>
          <t>CR-3243</t>
        </is>
      </c>
      <c r="B3246" s="232" t="inlineStr">
        <is>
          <t>2026/27</t>
        </is>
      </c>
      <c r="C3246" s="233" t="n">
        <v>46125</v>
      </c>
      <c r="D3246" s="232" t="inlineStr">
        <is>
          <t>309</t>
        </is>
      </c>
      <c r="E3246" s="232" t="inlineStr">
        <is>
          <t>PRORRATEO</t>
        </is>
      </c>
      <c r="F3246" s="232" t="inlineStr">
        <is>
          <t>Asmara</t>
        </is>
      </c>
      <c r="G3246" s="232" t="inlineStr">
        <is>
          <t>w. murcott 19,8 ha</t>
        </is>
      </c>
      <c r="H3246" s="232" t="inlineStr">
        <is>
          <t>Mandarina</t>
        </is>
      </c>
      <c r="I3246" s="232" t="inlineStr">
        <is>
          <t>W. murcott</t>
        </is>
      </c>
      <c r="J3246" s="232" t="inlineStr">
        <is>
          <t>MANT. Y REP. CONSTRUCCIONES</t>
        </is>
      </c>
      <c r="K3246" s="232" t="inlineStr">
        <is>
          <t>MANTENCION ELECTRICA</t>
        </is>
      </c>
      <c r="L3246" s="232" t="inlineStr">
        <is>
          <t>[PRORRATEO 13.4% 19.8há/148.3há] O/001583 MANTENCION</t>
        </is>
      </c>
      <c r="M3246" s="232" t="inlineStr"/>
      <c r="N3246" s="232" t="inlineStr">
        <is>
          <t>.   .   -</t>
        </is>
      </c>
      <c r="O3246" s="232" t="inlineStr">
        <is>
          <t>ABRIL</t>
        </is>
      </c>
      <c r="P3246" s="232" t="n">
        <v>14</v>
      </c>
      <c r="Q3246" s="234" t="n">
        <v>111647</v>
      </c>
      <c r="R3246" s="232" t="inlineStr"/>
      <c r="S3246" s="234" t="n">
        <v>111647</v>
      </c>
      <c r="T3246" s="232" t="inlineStr">
        <is>
          <t>CLP</t>
        </is>
      </c>
      <c r="U3246" s="232" t="inlineStr">
        <is>
          <t>Prorrateo Ha PACKING</t>
        </is>
      </c>
      <c r="V3246" s="232" t="inlineStr">
        <is>
          <t>2026-06-18</t>
        </is>
      </c>
    </row>
    <row r="3247">
      <c r="A3247" s="232" t="inlineStr">
        <is>
          <t>CR-3244</t>
        </is>
      </c>
      <c r="B3247" s="232" t="inlineStr">
        <is>
          <t>2026/27</t>
        </is>
      </c>
      <c r="C3247" s="233" t="n">
        <v>46125</v>
      </c>
      <c r="D3247" s="232" t="inlineStr">
        <is>
          <t>309</t>
        </is>
      </c>
      <c r="E3247" s="232" t="inlineStr">
        <is>
          <t>PRORRATEO</t>
        </is>
      </c>
      <c r="F3247" s="232" t="inlineStr">
        <is>
          <t>Asmara</t>
        </is>
      </c>
      <c r="G3247" s="232" t="inlineStr">
        <is>
          <t>w. murcott 4,9 ha</t>
        </is>
      </c>
      <c r="H3247" s="232" t="inlineStr">
        <is>
          <t>Mandarina</t>
        </is>
      </c>
      <c r="I3247" s="232" t="inlineStr">
        <is>
          <t>W. murcott</t>
        </is>
      </c>
      <c r="J3247" s="232" t="inlineStr">
        <is>
          <t>MANT. Y REP. CONSTRUCCIONES</t>
        </is>
      </c>
      <c r="K3247" s="232" t="inlineStr">
        <is>
          <t>MANTENCION ELECTRICA</t>
        </is>
      </c>
      <c r="L3247" s="232" t="inlineStr">
        <is>
          <t>[PRORRATEO 3.3% 4.9há/148.3há] O/001583 MANTENCION</t>
        </is>
      </c>
      <c r="M3247" s="232" t="inlineStr"/>
      <c r="N3247" s="232" t="inlineStr">
        <is>
          <t>.   .   -</t>
        </is>
      </c>
      <c r="O3247" s="232" t="inlineStr">
        <is>
          <t>ABRIL</t>
        </is>
      </c>
      <c r="P3247" s="232" t="n">
        <v>14</v>
      </c>
      <c r="Q3247" s="234" t="n">
        <v>27630</v>
      </c>
      <c r="R3247" s="232" t="inlineStr"/>
      <c r="S3247" s="234" t="n">
        <v>27630</v>
      </c>
      <c r="T3247" s="232" t="inlineStr">
        <is>
          <t>CLP</t>
        </is>
      </c>
      <c r="U3247" s="232" t="inlineStr">
        <is>
          <t>Prorrateo Ha PACKING</t>
        </is>
      </c>
      <c r="V3247" s="232" t="inlineStr">
        <is>
          <t>2026-06-18</t>
        </is>
      </c>
    </row>
    <row r="3248">
      <c r="A3248" s="232" t="inlineStr">
        <is>
          <t>CR-3245</t>
        </is>
      </c>
      <c r="B3248" s="232" t="inlineStr">
        <is>
          <t>2026/27</t>
        </is>
      </c>
      <c r="C3248" s="233" t="n">
        <v>46125</v>
      </c>
      <c r="D3248" s="232" t="inlineStr">
        <is>
          <t>309</t>
        </is>
      </c>
      <c r="E3248" s="232" t="inlineStr">
        <is>
          <t>PRORRATEO</t>
        </is>
      </c>
      <c r="F3248" s="232" t="inlineStr">
        <is>
          <t>El Molle</t>
        </is>
      </c>
      <c r="G3248" s="232" t="inlineStr">
        <is>
          <t>Wonderful 5,25 ha</t>
        </is>
      </c>
      <c r="H3248" s="232" t="inlineStr">
        <is>
          <t>Granados</t>
        </is>
      </c>
      <c r="I3248" s="232" t="inlineStr">
        <is>
          <t>Wonderfull</t>
        </is>
      </c>
      <c r="J3248" s="232" t="inlineStr">
        <is>
          <t>MANT. Y REP. CONSTRUCCIONES</t>
        </is>
      </c>
      <c r="K3248" s="232" t="inlineStr">
        <is>
          <t>MANTENCION ELECTRICA</t>
        </is>
      </c>
      <c r="L3248" s="232" t="inlineStr">
        <is>
          <t>[PRORRATEO 3.5% 5.24há/148.3há] O/001583 MANTENCION</t>
        </is>
      </c>
      <c r="M3248" s="232" t="inlineStr"/>
      <c r="N3248" s="232" t="inlineStr">
        <is>
          <t>.   .   -</t>
        </is>
      </c>
      <c r="O3248" s="232" t="inlineStr">
        <is>
          <t>ABRIL</t>
        </is>
      </c>
      <c r="P3248" s="232" t="n">
        <v>14</v>
      </c>
      <c r="Q3248" s="234" t="n">
        <v>29547</v>
      </c>
      <c r="R3248" s="232" t="inlineStr"/>
      <c r="S3248" s="234" t="n">
        <v>29547</v>
      </c>
      <c r="T3248" s="232" t="inlineStr">
        <is>
          <t>CLP</t>
        </is>
      </c>
      <c r="U3248" s="232" t="inlineStr">
        <is>
          <t>Prorrateo Ha PACKING</t>
        </is>
      </c>
      <c r="V3248" s="232" t="inlineStr">
        <is>
          <t>2026-06-18</t>
        </is>
      </c>
    </row>
    <row r="3249">
      <c r="A3249" s="232" t="inlineStr">
        <is>
          <t>CR-3246</t>
        </is>
      </c>
      <c r="B3249" s="232" t="inlineStr">
        <is>
          <t>2026/27</t>
        </is>
      </c>
      <c r="C3249" s="233" t="n">
        <v>46125</v>
      </c>
      <c r="D3249" s="232" t="inlineStr">
        <is>
          <t>309</t>
        </is>
      </c>
      <c r="E3249" s="232" t="inlineStr">
        <is>
          <t>PRORRATEO</t>
        </is>
      </c>
      <c r="F3249" s="232" t="inlineStr">
        <is>
          <t>El Molle</t>
        </is>
      </c>
      <c r="G3249" s="232" t="inlineStr">
        <is>
          <t>arrufatinas 5,74 ha</t>
        </is>
      </c>
      <c r="H3249" s="232" t="inlineStr">
        <is>
          <t>Clementinas</t>
        </is>
      </c>
      <c r="I3249" s="232" t="inlineStr">
        <is>
          <t>Arrufatinas</t>
        </is>
      </c>
      <c r="J3249" s="232" t="inlineStr">
        <is>
          <t>MANT. Y REP. CONSTRUCCIONES</t>
        </is>
      </c>
      <c r="K3249" s="232" t="inlineStr">
        <is>
          <t>MANTENCION ELECTRICA</t>
        </is>
      </c>
      <c r="L3249" s="232" t="inlineStr">
        <is>
          <t>[PRORRATEO 3.9% 5.74há/148.3há] O/001583 MANTENCION</t>
        </is>
      </c>
      <c r="M3249" s="232" t="inlineStr"/>
      <c r="N3249" s="232" t="inlineStr">
        <is>
          <t>.   .   -</t>
        </is>
      </c>
      <c r="O3249" s="232" t="inlineStr">
        <is>
          <t>ABRIL</t>
        </is>
      </c>
      <c r="P3249" s="232" t="n">
        <v>14</v>
      </c>
      <c r="Q3249" s="234" t="n">
        <v>32366</v>
      </c>
      <c r="R3249" s="232" t="inlineStr"/>
      <c r="S3249" s="234" t="n">
        <v>32366</v>
      </c>
      <c r="T3249" s="232" t="inlineStr">
        <is>
          <t>CLP</t>
        </is>
      </c>
      <c r="U3249" s="232" t="inlineStr">
        <is>
          <t>Prorrateo Ha PACKING</t>
        </is>
      </c>
      <c r="V3249" s="232" t="inlineStr">
        <is>
          <t>2026-06-18</t>
        </is>
      </c>
    </row>
    <row r="3250">
      <c r="A3250" s="232" t="inlineStr">
        <is>
          <t>CR-3247</t>
        </is>
      </c>
      <c r="B3250" s="232" t="inlineStr">
        <is>
          <t>2026/27</t>
        </is>
      </c>
      <c r="C3250" s="233" t="n">
        <v>46125</v>
      </c>
      <c r="D3250" s="232" t="inlineStr">
        <is>
          <t>309</t>
        </is>
      </c>
      <c r="E3250" s="232" t="inlineStr">
        <is>
          <t>PRORRATEO</t>
        </is>
      </c>
      <c r="F3250" s="232" t="inlineStr">
        <is>
          <t>El Molle</t>
        </is>
      </c>
      <c r="G3250" s="232" t="inlineStr">
        <is>
          <t>orogrande 8,11 ha</t>
        </is>
      </c>
      <c r="H3250" s="232" t="inlineStr">
        <is>
          <t>Clementinas</t>
        </is>
      </c>
      <c r="I3250" s="232" t="inlineStr">
        <is>
          <t>Orogrande</t>
        </is>
      </c>
      <c r="J3250" s="232" t="inlineStr">
        <is>
          <t>MANT. Y REP. CONSTRUCCIONES</t>
        </is>
      </c>
      <c r="K3250" s="232" t="inlineStr">
        <is>
          <t>MANTENCION ELECTRICA</t>
        </is>
      </c>
      <c r="L3250" s="232" t="inlineStr">
        <is>
          <t>[PRORRATEO 5.5% 8.11há/148.3há] O/001583 MANTENCION</t>
        </is>
      </c>
      <c r="M3250" s="232" t="inlineStr"/>
      <c r="N3250" s="232" t="inlineStr">
        <is>
          <t>.   .   -</t>
        </is>
      </c>
      <c r="O3250" s="232" t="inlineStr">
        <is>
          <t>ABRIL</t>
        </is>
      </c>
      <c r="P3250" s="232" t="n">
        <v>14</v>
      </c>
      <c r="Q3250" s="234" t="n">
        <v>45730</v>
      </c>
      <c r="R3250" s="232" t="inlineStr"/>
      <c r="S3250" s="234" t="n">
        <v>45730</v>
      </c>
      <c r="T3250" s="232" t="inlineStr">
        <is>
          <t>CLP</t>
        </is>
      </c>
      <c r="U3250" s="232" t="inlineStr">
        <is>
          <t>Prorrateo Ha PACKING</t>
        </is>
      </c>
      <c r="V3250" s="232" t="inlineStr">
        <is>
          <t>2026-06-18</t>
        </is>
      </c>
    </row>
    <row r="3251">
      <c r="A3251" s="232" t="inlineStr">
        <is>
          <t>CR-3248</t>
        </is>
      </c>
      <c r="B3251" s="232" t="inlineStr">
        <is>
          <t>2026/27</t>
        </is>
      </c>
      <c r="C3251" s="233" t="n">
        <v>46125</v>
      </c>
      <c r="D3251" s="232" t="inlineStr">
        <is>
          <t>309</t>
        </is>
      </c>
      <c r="E3251" s="232" t="inlineStr">
        <is>
          <t>PRORRATEO</t>
        </is>
      </c>
      <c r="F3251" s="232" t="inlineStr">
        <is>
          <t>El Molle</t>
        </is>
      </c>
      <c r="G3251" s="232" t="inlineStr">
        <is>
          <t>oronules 5,35 ha</t>
        </is>
      </c>
      <c r="H3251" s="232" t="inlineStr">
        <is>
          <t>Clementinas</t>
        </is>
      </c>
      <c r="I3251" s="232" t="inlineStr">
        <is>
          <t>Oronules</t>
        </is>
      </c>
      <c r="J3251" s="232" t="inlineStr">
        <is>
          <t>MANT. Y REP. CONSTRUCCIONES</t>
        </is>
      </c>
      <c r="K3251" s="232" t="inlineStr">
        <is>
          <t>MANTENCION ELECTRICA</t>
        </is>
      </c>
      <c r="L3251" s="232" t="inlineStr">
        <is>
          <t>[PRORRATEO 3.6% 5.35há/148.3há] O/001583 MANTENCION</t>
        </is>
      </c>
      <c r="M3251" s="232" t="inlineStr"/>
      <c r="N3251" s="232" t="inlineStr">
        <is>
          <t>.   .   -</t>
        </is>
      </c>
      <c r="O3251" s="232" t="inlineStr">
        <is>
          <t>ABRIL</t>
        </is>
      </c>
      <c r="P3251" s="232" t="n">
        <v>14</v>
      </c>
      <c r="Q3251" s="234" t="n">
        <v>30167</v>
      </c>
      <c r="R3251" s="232" t="inlineStr"/>
      <c r="S3251" s="234" t="n">
        <v>30167</v>
      </c>
      <c r="T3251" s="232" t="inlineStr">
        <is>
          <t>CLP</t>
        </is>
      </c>
      <c r="U3251" s="232" t="inlineStr">
        <is>
          <t>Prorrateo Ha PACKING</t>
        </is>
      </c>
      <c r="V3251" s="232" t="inlineStr">
        <is>
          <t>2026-06-18</t>
        </is>
      </c>
    </row>
    <row r="3252">
      <c r="A3252" s="232" t="inlineStr">
        <is>
          <t>CR-3249</t>
        </is>
      </c>
      <c r="B3252" s="232" t="inlineStr">
        <is>
          <t>2026/27</t>
        </is>
      </c>
      <c r="C3252" s="233" t="n">
        <v>46125</v>
      </c>
      <c r="D3252" s="232" t="inlineStr">
        <is>
          <t>309</t>
        </is>
      </c>
      <c r="E3252" s="232" t="inlineStr">
        <is>
          <t>PRORRATEO</t>
        </is>
      </c>
      <c r="F3252" s="232" t="inlineStr">
        <is>
          <t>Santa Catalina</t>
        </is>
      </c>
      <c r="G3252" s="232" t="inlineStr">
        <is>
          <t>Fino 49 7,7 ha</t>
        </is>
      </c>
      <c r="H3252" s="232" t="inlineStr">
        <is>
          <t>Limon</t>
        </is>
      </c>
      <c r="I3252" s="232" t="inlineStr">
        <is>
          <t>Fino 49</t>
        </is>
      </c>
      <c r="J3252" s="232" t="inlineStr">
        <is>
          <t>MANT. Y REP. CONSTRUCCIONES</t>
        </is>
      </c>
      <c r="K3252" s="232" t="inlineStr">
        <is>
          <t>MANTENCION ELECTRICA</t>
        </is>
      </c>
      <c r="L3252" s="232" t="inlineStr">
        <is>
          <t>[PRORRATEO 5.2% 7.7há/148.3há] O/001583 MANTENCION</t>
        </is>
      </c>
      <c r="M3252" s="232" t="inlineStr"/>
      <c r="N3252" s="232" t="inlineStr">
        <is>
          <t>.   .   -</t>
        </is>
      </c>
      <c r="O3252" s="232" t="inlineStr">
        <is>
          <t>ABRIL</t>
        </is>
      </c>
      <c r="P3252" s="232" t="n">
        <v>14</v>
      </c>
      <c r="Q3252" s="234" t="n">
        <v>43418</v>
      </c>
      <c r="R3252" s="232" t="inlineStr"/>
      <c r="S3252" s="234" t="n">
        <v>43418</v>
      </c>
      <c r="T3252" s="232" t="inlineStr">
        <is>
          <t>CLP</t>
        </is>
      </c>
      <c r="U3252" s="232" t="inlineStr">
        <is>
          <t>Prorrateo Ha PACKING</t>
        </is>
      </c>
      <c r="V3252" s="232" t="inlineStr">
        <is>
          <t>2026-06-18</t>
        </is>
      </c>
    </row>
    <row r="3253">
      <c r="A3253" s="232" t="inlineStr">
        <is>
          <t>CR-3250</t>
        </is>
      </c>
      <c r="B3253" s="232" t="inlineStr">
        <is>
          <t>2026/27</t>
        </is>
      </c>
      <c r="C3253" s="233" t="n">
        <v>46125</v>
      </c>
      <c r="D3253" s="232" t="inlineStr">
        <is>
          <t>309</t>
        </is>
      </c>
      <c r="E3253" s="232" t="inlineStr">
        <is>
          <t>PRORRATEO</t>
        </is>
      </c>
      <c r="F3253" s="232" t="inlineStr">
        <is>
          <t>Santa Catalina</t>
        </is>
      </c>
      <c r="G3253" s="232" t="inlineStr">
        <is>
          <t>W. murcott 21 ha</t>
        </is>
      </c>
      <c r="H3253" s="232" t="inlineStr">
        <is>
          <t>Mandarina</t>
        </is>
      </c>
      <c r="I3253" s="232" t="inlineStr">
        <is>
          <t>W. murcott</t>
        </is>
      </c>
      <c r="J3253" s="232" t="inlineStr">
        <is>
          <t>MANT. Y REP. CONSTRUCCIONES</t>
        </is>
      </c>
      <c r="K3253" s="232" t="inlineStr">
        <is>
          <t>MANTENCION ELECTRICA</t>
        </is>
      </c>
      <c r="L3253" s="232" t="inlineStr">
        <is>
          <t>[PRORRATEO 14.2% 21.0há/148.3há] O/001583 MANTENCION</t>
        </is>
      </c>
      <c r="M3253" s="232" t="inlineStr"/>
      <c r="N3253" s="232" t="inlineStr">
        <is>
          <t>.   .   -</t>
        </is>
      </c>
      <c r="O3253" s="232" t="inlineStr">
        <is>
          <t>ABRIL</t>
        </is>
      </c>
      <c r="P3253" s="232" t="n">
        <v>14</v>
      </c>
      <c r="Q3253" s="234" t="n">
        <v>118414</v>
      </c>
      <c r="R3253" s="232" t="inlineStr"/>
      <c r="S3253" s="234" t="n">
        <v>118414</v>
      </c>
      <c r="T3253" s="232" t="inlineStr">
        <is>
          <t>CLP</t>
        </is>
      </c>
      <c r="U3253" s="232" t="inlineStr">
        <is>
          <t>Prorrateo Ha PACKING</t>
        </is>
      </c>
      <c r="V3253" s="232" t="inlineStr">
        <is>
          <t>2026-06-18</t>
        </is>
      </c>
    </row>
    <row r="3254">
      <c r="A3254" s="232" t="inlineStr">
        <is>
          <t>CR-3251</t>
        </is>
      </c>
      <c r="B3254" s="232" t="inlineStr">
        <is>
          <t>2026/27</t>
        </is>
      </c>
      <c r="C3254" s="233" t="n">
        <v>46125</v>
      </c>
      <c r="D3254" s="232" t="inlineStr">
        <is>
          <t>309</t>
        </is>
      </c>
      <c r="E3254" s="232" t="inlineStr">
        <is>
          <t>PRORRATEO</t>
        </is>
      </c>
      <c r="F3254" s="232" t="inlineStr">
        <is>
          <t>Santa Catalina</t>
        </is>
      </c>
      <c r="G3254" s="232" t="inlineStr">
        <is>
          <t>cambria 4,2 ha</t>
        </is>
      </c>
      <c r="H3254" s="232" t="inlineStr">
        <is>
          <t>Naranjas</t>
        </is>
      </c>
      <c r="I3254" s="232" t="inlineStr">
        <is>
          <t>Cambria</t>
        </is>
      </c>
      <c r="J3254" s="232" t="inlineStr">
        <is>
          <t>MANT. Y REP. CONSTRUCCIONES</t>
        </is>
      </c>
      <c r="K3254" s="232" t="inlineStr">
        <is>
          <t>MANTENCION ELECTRICA</t>
        </is>
      </c>
      <c r="L3254" s="232" t="inlineStr">
        <is>
          <t>[PRORRATEO 2.8% 4.2há/148.3há] O/001583 MANTENCION</t>
        </is>
      </c>
      <c r="M3254" s="232" t="inlineStr"/>
      <c r="N3254" s="232" t="inlineStr">
        <is>
          <t>.   .   -</t>
        </is>
      </c>
      <c r="O3254" s="232" t="inlineStr">
        <is>
          <t>ABRIL</t>
        </is>
      </c>
      <c r="P3254" s="232" t="n">
        <v>14</v>
      </c>
      <c r="Q3254" s="234" t="n">
        <v>23683</v>
      </c>
      <c r="R3254" s="232" t="inlineStr"/>
      <c r="S3254" s="234" t="n">
        <v>23683</v>
      </c>
      <c r="T3254" s="232" t="inlineStr">
        <is>
          <t>CLP</t>
        </is>
      </c>
      <c r="U3254" s="232" t="inlineStr">
        <is>
          <t>Prorrateo Ha PACKING</t>
        </is>
      </c>
      <c r="V3254" s="232" t="inlineStr">
        <is>
          <t>2026-06-18</t>
        </is>
      </c>
    </row>
    <row r="3255">
      <c r="A3255" s="232" t="inlineStr">
        <is>
          <t>CR-3252</t>
        </is>
      </c>
      <c r="B3255" s="232" t="inlineStr">
        <is>
          <t>2026/27</t>
        </is>
      </c>
      <c r="C3255" s="233" t="n">
        <v>46125</v>
      </c>
      <c r="D3255" s="232" t="inlineStr">
        <is>
          <t>309</t>
        </is>
      </c>
      <c r="E3255" s="232" t="inlineStr">
        <is>
          <t>PRORRATEO</t>
        </is>
      </c>
      <c r="F3255" s="232" t="inlineStr">
        <is>
          <t>Santa Catalina</t>
        </is>
      </c>
      <c r="G3255" s="232" t="inlineStr">
        <is>
          <t>eureka 10,6 ha</t>
        </is>
      </c>
      <c r="H3255" s="232" t="inlineStr">
        <is>
          <t>Limon</t>
        </is>
      </c>
      <c r="I3255" s="232" t="inlineStr">
        <is>
          <t>Eureka</t>
        </is>
      </c>
      <c r="J3255" s="232" t="inlineStr">
        <is>
          <t>MANT. Y REP. CONSTRUCCIONES</t>
        </is>
      </c>
      <c r="K3255" s="232" t="inlineStr">
        <is>
          <t>MANTENCION ELECTRICA</t>
        </is>
      </c>
      <c r="L3255" s="232" t="inlineStr">
        <is>
          <t>[PRORRATEO 7.1% 10.6há/148.3há] O/001583 MANTENCION</t>
        </is>
      </c>
      <c r="M3255" s="232" t="inlineStr"/>
      <c r="N3255" s="232" t="inlineStr">
        <is>
          <t>.   .   -</t>
        </is>
      </c>
      <c r="O3255" s="232" t="inlineStr">
        <is>
          <t>ABRIL</t>
        </is>
      </c>
      <c r="P3255" s="232" t="n">
        <v>14</v>
      </c>
      <c r="Q3255" s="234" t="n">
        <v>59771</v>
      </c>
      <c r="R3255" s="232" t="inlineStr"/>
      <c r="S3255" s="234" t="n">
        <v>59771</v>
      </c>
      <c r="T3255" s="232" t="inlineStr">
        <is>
          <t>CLP</t>
        </is>
      </c>
      <c r="U3255" s="232" t="inlineStr">
        <is>
          <t>Prorrateo Ha PACKING</t>
        </is>
      </c>
      <c r="V3255" s="232" t="inlineStr">
        <is>
          <t>2026-06-18</t>
        </is>
      </c>
    </row>
    <row r="3256">
      <c r="A3256" s="232" t="inlineStr">
        <is>
          <t>CR-3253</t>
        </is>
      </c>
      <c r="B3256" s="232" t="inlineStr">
        <is>
          <t>2026/27</t>
        </is>
      </c>
      <c r="C3256" s="233" t="n">
        <v>46125</v>
      </c>
      <c r="D3256" s="232" t="inlineStr">
        <is>
          <t>309</t>
        </is>
      </c>
      <c r="E3256" s="232" t="inlineStr">
        <is>
          <t>PRORRATEO</t>
        </is>
      </c>
      <c r="F3256" s="232" t="inlineStr">
        <is>
          <t>Santa Catalina</t>
        </is>
      </c>
      <c r="G3256" s="232" t="inlineStr">
        <is>
          <t>eureka 14,4 ha</t>
        </is>
      </c>
      <c r="H3256" s="232" t="inlineStr">
        <is>
          <t>Limon</t>
        </is>
      </c>
      <c r="I3256" s="232" t="inlineStr">
        <is>
          <t>Eureka</t>
        </is>
      </c>
      <c r="J3256" s="232" t="inlineStr">
        <is>
          <t>MANT. Y REP. CONSTRUCCIONES</t>
        </is>
      </c>
      <c r="K3256" s="232" t="inlineStr">
        <is>
          <t>MANTENCION ELECTRICA</t>
        </is>
      </c>
      <c r="L3256" s="232" t="inlineStr">
        <is>
          <t>[PRORRATEO 9.7% 14.4há/148.3há] O/001583 MANTENCION</t>
        </is>
      </c>
      <c r="M3256" s="232" t="inlineStr"/>
      <c r="N3256" s="232" t="inlineStr">
        <is>
          <t>.   .   -</t>
        </is>
      </c>
      <c r="O3256" s="232" t="inlineStr">
        <is>
          <t>ABRIL</t>
        </is>
      </c>
      <c r="P3256" s="232" t="n">
        <v>14</v>
      </c>
      <c r="Q3256" s="234" t="n">
        <v>81198</v>
      </c>
      <c r="R3256" s="232" t="inlineStr"/>
      <c r="S3256" s="234" t="n">
        <v>81198</v>
      </c>
      <c r="T3256" s="232" t="inlineStr">
        <is>
          <t>CLP</t>
        </is>
      </c>
      <c r="U3256" s="232" t="inlineStr">
        <is>
          <t>Prorrateo Ha PACKING</t>
        </is>
      </c>
      <c r="V3256" s="232" t="inlineStr">
        <is>
          <t>2026-06-18</t>
        </is>
      </c>
    </row>
    <row r="3257">
      <c r="A3257" s="232" t="inlineStr">
        <is>
          <t>CR-3254</t>
        </is>
      </c>
      <c r="B3257" s="232" t="inlineStr">
        <is>
          <t>2026/27</t>
        </is>
      </c>
      <c r="C3257" s="233" t="n">
        <v>46125</v>
      </c>
      <c r="D3257" s="232" t="inlineStr">
        <is>
          <t>309</t>
        </is>
      </c>
      <c r="E3257" s="232" t="inlineStr">
        <is>
          <t>PRORRATEO</t>
        </is>
      </c>
      <c r="F3257" s="232" t="inlineStr">
        <is>
          <t>Santa Catalina</t>
        </is>
      </c>
      <c r="G3257" s="232" t="inlineStr">
        <is>
          <t>eureka 22,55</t>
        </is>
      </c>
      <c r="H3257" s="232" t="inlineStr">
        <is>
          <t>Limon</t>
        </is>
      </c>
      <c r="I3257" s="232" t="inlineStr">
        <is>
          <t>Eureka</t>
        </is>
      </c>
      <c r="J3257" s="232" t="inlineStr">
        <is>
          <t>MANT. Y REP. CONSTRUCCIONES</t>
        </is>
      </c>
      <c r="K3257" s="232" t="inlineStr">
        <is>
          <t>MANTENCION ELECTRICA</t>
        </is>
      </c>
      <c r="L3257" s="232" t="inlineStr">
        <is>
          <t>[PRORRATEO 15.2% 22.55há/148.3há] O/001583 MANTENCION</t>
        </is>
      </c>
      <c r="M3257" s="232" t="inlineStr"/>
      <c r="N3257" s="232" t="inlineStr">
        <is>
          <t>.   .   -</t>
        </is>
      </c>
      <c r="O3257" s="232" t="inlineStr">
        <is>
          <t>ABRIL</t>
        </is>
      </c>
      <c r="P3257" s="232" t="n">
        <v>14</v>
      </c>
      <c r="Q3257" s="234" t="n">
        <v>127154</v>
      </c>
      <c r="R3257" s="232" t="inlineStr"/>
      <c r="S3257" s="234" t="n">
        <v>127154</v>
      </c>
      <c r="T3257" s="232" t="inlineStr">
        <is>
          <t>CLP</t>
        </is>
      </c>
      <c r="U3257" s="232" t="inlineStr">
        <is>
          <t>Prorrateo Ha PACKING</t>
        </is>
      </c>
      <c r="V3257" s="232" t="inlineStr">
        <is>
          <t>2026-06-18</t>
        </is>
      </c>
    </row>
    <row r="3258">
      <c r="A3258" s="232" t="inlineStr">
        <is>
          <t>CR-3255</t>
        </is>
      </c>
      <c r="B3258" s="232" t="inlineStr">
        <is>
          <t>2026/27</t>
        </is>
      </c>
      <c r="C3258" s="233" t="n">
        <v>46125</v>
      </c>
      <c r="D3258" s="232" t="inlineStr">
        <is>
          <t>309</t>
        </is>
      </c>
      <c r="E3258" s="232" t="inlineStr">
        <is>
          <t>PRORRATEO</t>
        </is>
      </c>
      <c r="F3258" s="232" t="inlineStr">
        <is>
          <t>Santa Catalina</t>
        </is>
      </c>
      <c r="G3258" s="232" t="inlineStr">
        <is>
          <t>form benjamin 1,93 ha</t>
        </is>
      </c>
      <c r="H3258" s="232" t="inlineStr">
        <is>
          <t>Limon</t>
        </is>
      </c>
      <c r="I3258" s="232" t="inlineStr">
        <is>
          <t>Benjamin andes</t>
        </is>
      </c>
      <c r="J3258" s="232" t="inlineStr">
        <is>
          <t>MANT. Y REP. CONSTRUCCIONES</t>
        </is>
      </c>
      <c r="K3258" s="232" t="inlineStr">
        <is>
          <t>MANTENCION ELECTRICA</t>
        </is>
      </c>
      <c r="L3258" s="232" t="inlineStr">
        <is>
          <t>[PRORRATEO 1.3% 1.93há/148.3há] O/001583 MANTENCION</t>
        </is>
      </c>
      <c r="M3258" s="232" t="inlineStr"/>
      <c r="N3258" s="232" t="inlineStr">
        <is>
          <t>.   .   -</t>
        </is>
      </c>
      <c r="O3258" s="232" t="inlineStr">
        <is>
          <t>ABRIL</t>
        </is>
      </c>
      <c r="P3258" s="232" t="n">
        <v>14</v>
      </c>
      <c r="Q3258" s="234" t="n">
        <v>10883</v>
      </c>
      <c r="R3258" s="232" t="inlineStr"/>
      <c r="S3258" s="234" t="n">
        <v>10883</v>
      </c>
      <c r="T3258" s="232" t="inlineStr">
        <is>
          <t>CLP</t>
        </is>
      </c>
      <c r="U3258" s="232" t="inlineStr">
        <is>
          <t>Prorrateo Ha PACKING</t>
        </is>
      </c>
      <c r="V3258" s="232" t="inlineStr">
        <is>
          <t>2026-06-18</t>
        </is>
      </c>
    </row>
    <row r="3259">
      <c r="A3259" s="232" t="inlineStr">
        <is>
          <t>CR-3256</t>
        </is>
      </c>
      <c r="B3259" s="232" t="inlineStr">
        <is>
          <t>2026/27</t>
        </is>
      </c>
      <c r="C3259" s="233" t="n">
        <v>46125</v>
      </c>
      <c r="D3259" s="232" t="inlineStr">
        <is>
          <t>309</t>
        </is>
      </c>
      <c r="E3259" s="232" t="inlineStr">
        <is>
          <t>PRORRATEO</t>
        </is>
      </c>
      <c r="F3259" s="232" t="inlineStr">
        <is>
          <t>Santa Catalina</t>
        </is>
      </c>
      <c r="G3259" s="232" t="inlineStr">
        <is>
          <t>mant eureka 2,5 ha</t>
        </is>
      </c>
      <c r="H3259" s="232" t="inlineStr">
        <is>
          <t>Limon</t>
        </is>
      </c>
      <c r="I3259" s="232" t="inlineStr">
        <is>
          <t>Eureka</t>
        </is>
      </c>
      <c r="J3259" s="232" t="inlineStr">
        <is>
          <t>MANT. Y REP. CONSTRUCCIONES</t>
        </is>
      </c>
      <c r="K3259" s="232" t="inlineStr">
        <is>
          <t>MANTENCION ELECTRICA</t>
        </is>
      </c>
      <c r="L3259" s="232" t="inlineStr">
        <is>
          <t>[PRORRATEO 1.7% 2.5há/148.3há] O/001583 MANTENCION</t>
        </is>
      </c>
      <c r="M3259" s="232" t="inlineStr"/>
      <c r="N3259" s="232" t="inlineStr">
        <is>
          <t>.   .   -</t>
        </is>
      </c>
      <c r="O3259" s="232" t="inlineStr">
        <is>
          <t>ABRIL</t>
        </is>
      </c>
      <c r="P3259" s="232" t="n">
        <v>14</v>
      </c>
      <c r="Q3259" s="234" t="n">
        <v>14097</v>
      </c>
      <c r="R3259" s="232" t="inlineStr"/>
      <c r="S3259" s="234" t="n">
        <v>14097</v>
      </c>
      <c r="T3259" s="232" t="inlineStr">
        <is>
          <t>CLP</t>
        </is>
      </c>
      <c r="U3259" s="232" t="inlineStr">
        <is>
          <t>Prorrateo Ha PACKING</t>
        </is>
      </c>
      <c r="V3259" s="232" t="inlineStr">
        <is>
          <t>2026-06-18</t>
        </is>
      </c>
    </row>
    <row r="3260">
      <c r="A3260" s="232" t="inlineStr">
        <is>
          <t>CR-3257</t>
        </is>
      </c>
      <c r="B3260" s="232" t="inlineStr">
        <is>
          <t>2026/27</t>
        </is>
      </c>
      <c r="C3260" s="233" t="n">
        <v>46125</v>
      </c>
      <c r="D3260" s="232" t="inlineStr">
        <is>
          <t>309</t>
        </is>
      </c>
      <c r="E3260" s="232" t="inlineStr">
        <is>
          <t>PRORRATEO</t>
        </is>
      </c>
      <c r="F3260" s="232" t="inlineStr">
        <is>
          <t>Siberia</t>
        </is>
      </c>
      <c r="G3260" s="232" t="inlineStr">
        <is>
          <t>S. Celebration 7,14</t>
        </is>
      </c>
      <c r="H3260" s="232" t="inlineStr">
        <is>
          <t>Uvas</t>
        </is>
      </c>
      <c r="I3260" s="232" t="inlineStr">
        <is>
          <t>S. celebration</t>
        </is>
      </c>
      <c r="J3260" s="232" t="inlineStr">
        <is>
          <t>MANT. Y REP. CONSTRUCCIONES</t>
        </is>
      </c>
      <c r="K3260" s="232" t="inlineStr">
        <is>
          <t>MANTENCION ELECTRICA</t>
        </is>
      </c>
      <c r="L3260" s="232" t="inlineStr">
        <is>
          <t>[PRORRATEO 4.8% 7.14há/148.3há] O/001583 MANTENCION</t>
        </is>
      </c>
      <c r="M3260" s="232" t="inlineStr"/>
      <c r="N3260" s="232" t="inlineStr">
        <is>
          <t>.   .   -</t>
        </is>
      </c>
      <c r="O3260" s="232" t="inlineStr">
        <is>
          <t>ABRIL</t>
        </is>
      </c>
      <c r="P3260" s="232" t="n">
        <v>14</v>
      </c>
      <c r="Q3260" s="234" t="n">
        <v>40261</v>
      </c>
      <c r="R3260" s="232" t="inlineStr"/>
      <c r="S3260" s="234" t="n">
        <v>40261</v>
      </c>
      <c r="T3260" s="232" t="inlineStr">
        <is>
          <t>CLP</t>
        </is>
      </c>
      <c r="U3260" s="232" t="inlineStr">
        <is>
          <t>Prorrateo Ha PACKING</t>
        </is>
      </c>
      <c r="V3260" s="232" t="inlineStr">
        <is>
          <t>2026-06-18</t>
        </is>
      </c>
    </row>
    <row r="3261">
      <c r="A3261" s="232" t="inlineStr">
        <is>
          <t>CR-3258</t>
        </is>
      </c>
      <c r="B3261" s="232" t="inlineStr">
        <is>
          <t>2026/27</t>
        </is>
      </c>
      <c r="C3261" s="233" t="n">
        <v>46125</v>
      </c>
      <c r="D3261" s="232" t="inlineStr">
        <is>
          <t>309</t>
        </is>
      </c>
      <c r="E3261" s="232" t="inlineStr">
        <is>
          <t>PRORRATEO</t>
        </is>
      </c>
      <c r="F3261" s="232" t="inlineStr">
        <is>
          <t>Siberia</t>
        </is>
      </c>
      <c r="G3261" s="232" t="inlineStr">
        <is>
          <t>Timpson 7,1</t>
        </is>
      </c>
      <c r="H3261" s="232" t="inlineStr">
        <is>
          <t>Uvas</t>
        </is>
      </c>
      <c r="I3261" s="232" t="inlineStr">
        <is>
          <t>Timpson</t>
        </is>
      </c>
      <c r="J3261" s="232" t="inlineStr">
        <is>
          <t>MANT. Y REP. CONSTRUCCIONES</t>
        </is>
      </c>
      <c r="K3261" s="232" t="inlineStr">
        <is>
          <t>MANTENCION ELECTRICA</t>
        </is>
      </c>
      <c r="L3261" s="232" t="inlineStr">
        <is>
          <t>[PRORRATEO 4.8% 7.1há/148.3há] O/001583 MANTENCION</t>
        </is>
      </c>
      <c r="M3261" s="232" t="inlineStr"/>
      <c r="N3261" s="232" t="inlineStr">
        <is>
          <t>.   .   -</t>
        </is>
      </c>
      <c r="O3261" s="232" t="inlineStr">
        <is>
          <t>ABRIL</t>
        </is>
      </c>
      <c r="P3261" s="232" t="n">
        <v>14</v>
      </c>
      <c r="Q3261" s="234" t="n">
        <v>40035</v>
      </c>
      <c r="R3261" s="232" t="inlineStr"/>
      <c r="S3261" s="234" t="n">
        <v>40035</v>
      </c>
      <c r="T3261" s="232" t="inlineStr">
        <is>
          <t>CLP</t>
        </is>
      </c>
      <c r="U3261" s="232" t="inlineStr">
        <is>
          <t>Prorrateo Ha PACKING</t>
        </is>
      </c>
      <c r="V3261" s="232" t="inlineStr">
        <is>
          <t>2026-06-18</t>
        </is>
      </c>
    </row>
    <row r="3262">
      <c r="A3262" s="232" t="inlineStr">
        <is>
          <t>CR-3259</t>
        </is>
      </c>
      <c r="B3262" s="232" t="inlineStr">
        <is>
          <t>2026/27</t>
        </is>
      </c>
      <c r="C3262" s="233" t="n">
        <v>46126</v>
      </c>
      <c r="D3262" s="232" t="inlineStr">
        <is>
          <t>962666</t>
        </is>
      </c>
      <c r="E3262" s="232" t="inlineStr">
        <is>
          <t>PRORRATEO</t>
        </is>
      </c>
      <c r="F3262" s="232" t="inlineStr">
        <is>
          <t>Asmara</t>
        </is>
      </c>
      <c r="G3262" s="232" t="inlineStr">
        <is>
          <t>w. murcott 19,8 ha</t>
        </is>
      </c>
      <c r="H3262" s="232" t="inlineStr">
        <is>
          <t>Mandarina</t>
        </is>
      </c>
      <c r="I3262" s="232" t="inlineStr">
        <is>
          <t>W. murcott</t>
        </is>
      </c>
      <c r="J3262" s="232" t="inlineStr">
        <is>
          <t>UNIFORME Y EPP</t>
        </is>
      </c>
      <c r="K3262" s="232" t="inlineStr">
        <is>
          <t>EPP</t>
        </is>
      </c>
      <c r="L3262" s="232" t="inlineStr">
        <is>
          <t>[PRORRATEO 13.4% 19.8há/148.3há] O/001572 BUZO ACTIV</t>
        </is>
      </c>
      <c r="M3262" s="232" t="inlineStr"/>
      <c r="N3262" s="232" t="inlineStr">
        <is>
          <t>.   .   -</t>
        </is>
      </c>
      <c r="O3262" s="232" t="inlineStr">
        <is>
          <t>ABRIL</t>
        </is>
      </c>
      <c r="P3262" s="232" t="n">
        <v>14</v>
      </c>
      <c r="Q3262" s="234" t="n">
        <v>4648</v>
      </c>
      <c r="R3262" s="232" t="inlineStr"/>
      <c r="S3262" s="234" t="n">
        <v>4648</v>
      </c>
      <c r="T3262" s="232" t="inlineStr">
        <is>
          <t>CLP</t>
        </is>
      </c>
      <c r="U3262" s="232" t="inlineStr">
        <is>
          <t>Prorrateo Ha BODEGA</t>
        </is>
      </c>
      <c r="V3262" s="232" t="inlineStr">
        <is>
          <t>2026-06-18</t>
        </is>
      </c>
    </row>
    <row r="3263">
      <c r="A3263" s="232" t="inlineStr">
        <is>
          <t>CR-3260</t>
        </is>
      </c>
      <c r="B3263" s="232" t="inlineStr">
        <is>
          <t>2026/27</t>
        </is>
      </c>
      <c r="C3263" s="233" t="n">
        <v>46126</v>
      </c>
      <c r="D3263" s="232" t="inlineStr">
        <is>
          <t>962666</t>
        </is>
      </c>
      <c r="E3263" s="232" t="inlineStr">
        <is>
          <t>PRORRATEO</t>
        </is>
      </c>
      <c r="F3263" s="232" t="inlineStr">
        <is>
          <t>Asmara</t>
        </is>
      </c>
      <c r="G3263" s="232" t="inlineStr">
        <is>
          <t>w. murcott 4,9 ha</t>
        </is>
      </c>
      <c r="H3263" s="232" t="inlineStr">
        <is>
          <t>Mandarina</t>
        </is>
      </c>
      <c r="I3263" s="232" t="inlineStr">
        <is>
          <t>W. murcott</t>
        </is>
      </c>
      <c r="J3263" s="232" t="inlineStr">
        <is>
          <t>UNIFORME Y EPP</t>
        </is>
      </c>
      <c r="K3263" s="232" t="inlineStr">
        <is>
          <t>EPP</t>
        </is>
      </c>
      <c r="L3263" s="232" t="inlineStr">
        <is>
          <t>[PRORRATEO 3.3% 4.9há/148.3há] O/001572 BUZO ACTIV</t>
        </is>
      </c>
      <c r="M3263" s="232" t="inlineStr"/>
      <c r="N3263" s="232" t="inlineStr">
        <is>
          <t>.   .   -</t>
        </is>
      </c>
      <c r="O3263" s="232" t="inlineStr">
        <is>
          <t>ABRIL</t>
        </is>
      </c>
      <c r="P3263" s="232" t="n">
        <v>14</v>
      </c>
      <c r="Q3263" s="234" t="n">
        <v>1150</v>
      </c>
      <c r="R3263" s="232" t="inlineStr"/>
      <c r="S3263" s="234" t="n">
        <v>1150</v>
      </c>
      <c r="T3263" s="232" t="inlineStr">
        <is>
          <t>CLP</t>
        </is>
      </c>
      <c r="U3263" s="232" t="inlineStr">
        <is>
          <t>Prorrateo Ha BODEGA</t>
        </is>
      </c>
      <c r="V3263" s="232" t="inlineStr">
        <is>
          <t>2026-06-18</t>
        </is>
      </c>
    </row>
    <row r="3264">
      <c r="A3264" s="232" t="inlineStr">
        <is>
          <t>CR-3261</t>
        </is>
      </c>
      <c r="B3264" s="232" t="inlineStr">
        <is>
          <t>2026/27</t>
        </is>
      </c>
      <c r="C3264" s="233" t="n">
        <v>46126</v>
      </c>
      <c r="D3264" s="232" t="inlineStr">
        <is>
          <t>962666</t>
        </is>
      </c>
      <c r="E3264" s="232" t="inlineStr">
        <is>
          <t>PRORRATEO</t>
        </is>
      </c>
      <c r="F3264" s="232" t="inlineStr">
        <is>
          <t>El Molle</t>
        </is>
      </c>
      <c r="G3264" s="232" t="inlineStr">
        <is>
          <t>Wonderful 5,25 ha</t>
        </is>
      </c>
      <c r="H3264" s="232" t="inlineStr">
        <is>
          <t>Granados</t>
        </is>
      </c>
      <c r="I3264" s="232" t="inlineStr">
        <is>
          <t>Wonderfull</t>
        </is>
      </c>
      <c r="J3264" s="232" t="inlineStr">
        <is>
          <t>UNIFORME Y EPP</t>
        </is>
      </c>
      <c r="K3264" s="232" t="inlineStr">
        <is>
          <t>EPP</t>
        </is>
      </c>
      <c r="L3264" s="232" t="inlineStr">
        <is>
          <t>[PRORRATEO 3.5% 5.24há/148.3há] O/001572 BUZO ACTIV</t>
        </is>
      </c>
      <c r="M3264" s="232" t="inlineStr"/>
      <c r="N3264" s="232" t="inlineStr">
        <is>
          <t>.   .   -</t>
        </is>
      </c>
      <c r="O3264" s="232" t="inlineStr">
        <is>
          <t>ABRIL</t>
        </is>
      </c>
      <c r="P3264" s="232" t="n">
        <v>14</v>
      </c>
      <c r="Q3264" s="234" t="n">
        <v>1230</v>
      </c>
      <c r="R3264" s="232" t="inlineStr"/>
      <c r="S3264" s="234" t="n">
        <v>1230</v>
      </c>
      <c r="T3264" s="232" t="inlineStr">
        <is>
          <t>CLP</t>
        </is>
      </c>
      <c r="U3264" s="232" t="inlineStr">
        <is>
          <t>Prorrateo Ha BODEGA</t>
        </is>
      </c>
      <c r="V3264" s="232" t="inlineStr">
        <is>
          <t>2026-06-18</t>
        </is>
      </c>
    </row>
    <row r="3265">
      <c r="A3265" s="232" t="inlineStr">
        <is>
          <t>CR-3262</t>
        </is>
      </c>
      <c r="B3265" s="232" t="inlineStr">
        <is>
          <t>2026/27</t>
        </is>
      </c>
      <c r="C3265" s="233" t="n">
        <v>46126</v>
      </c>
      <c r="D3265" s="232" t="inlineStr">
        <is>
          <t>962666</t>
        </is>
      </c>
      <c r="E3265" s="232" t="inlineStr">
        <is>
          <t>PRORRATEO</t>
        </is>
      </c>
      <c r="F3265" s="232" t="inlineStr">
        <is>
          <t>El Molle</t>
        </is>
      </c>
      <c r="G3265" s="232" t="inlineStr">
        <is>
          <t>arrufatinas 5,74 ha</t>
        </is>
      </c>
      <c r="H3265" s="232" t="inlineStr">
        <is>
          <t>Clementinas</t>
        </is>
      </c>
      <c r="I3265" s="232" t="inlineStr">
        <is>
          <t>Arrufatinas</t>
        </is>
      </c>
      <c r="J3265" s="232" t="inlineStr">
        <is>
          <t>UNIFORME Y EPP</t>
        </is>
      </c>
      <c r="K3265" s="232" t="inlineStr">
        <is>
          <t>EPP</t>
        </is>
      </c>
      <c r="L3265" s="232" t="inlineStr">
        <is>
          <t>[PRORRATEO 3.9% 5.74há/148.3há] O/001572 BUZO ACTIV</t>
        </is>
      </c>
      <c r="M3265" s="232" t="inlineStr"/>
      <c r="N3265" s="232" t="inlineStr">
        <is>
          <t>.   .   -</t>
        </is>
      </c>
      <c r="O3265" s="232" t="inlineStr">
        <is>
          <t>ABRIL</t>
        </is>
      </c>
      <c r="P3265" s="232" t="n">
        <v>14</v>
      </c>
      <c r="Q3265" s="234" t="n">
        <v>1347</v>
      </c>
      <c r="R3265" s="232" t="inlineStr"/>
      <c r="S3265" s="234" t="n">
        <v>1347</v>
      </c>
      <c r="T3265" s="232" t="inlineStr">
        <is>
          <t>CLP</t>
        </is>
      </c>
      <c r="U3265" s="232" t="inlineStr">
        <is>
          <t>Prorrateo Ha BODEGA</t>
        </is>
      </c>
      <c r="V3265" s="232" t="inlineStr">
        <is>
          <t>2026-06-18</t>
        </is>
      </c>
    </row>
    <row r="3266">
      <c r="A3266" s="232" t="inlineStr">
        <is>
          <t>CR-3263</t>
        </is>
      </c>
      <c r="B3266" s="232" t="inlineStr">
        <is>
          <t>2026/27</t>
        </is>
      </c>
      <c r="C3266" s="233" t="n">
        <v>46126</v>
      </c>
      <c r="D3266" s="232" t="inlineStr">
        <is>
          <t>962666</t>
        </is>
      </c>
      <c r="E3266" s="232" t="inlineStr">
        <is>
          <t>PRORRATEO</t>
        </is>
      </c>
      <c r="F3266" s="232" t="inlineStr">
        <is>
          <t>El Molle</t>
        </is>
      </c>
      <c r="G3266" s="232" t="inlineStr">
        <is>
          <t>orogrande 8,11 ha</t>
        </is>
      </c>
      <c r="H3266" s="232" t="inlineStr">
        <is>
          <t>Clementinas</t>
        </is>
      </c>
      <c r="I3266" s="232" t="inlineStr">
        <is>
          <t>Orogrande</t>
        </is>
      </c>
      <c r="J3266" s="232" t="inlineStr">
        <is>
          <t>UNIFORME Y EPP</t>
        </is>
      </c>
      <c r="K3266" s="232" t="inlineStr">
        <is>
          <t>EPP</t>
        </is>
      </c>
      <c r="L3266" s="232" t="inlineStr">
        <is>
          <t>[PRORRATEO 5.5% 8.11há/148.3há] O/001572 BUZO ACTIV</t>
        </is>
      </c>
      <c r="M3266" s="232" t="inlineStr"/>
      <c r="N3266" s="232" t="inlineStr">
        <is>
          <t>.   .   -</t>
        </is>
      </c>
      <c r="O3266" s="232" t="inlineStr">
        <is>
          <t>ABRIL</t>
        </is>
      </c>
      <c r="P3266" s="232" t="n">
        <v>14</v>
      </c>
      <c r="Q3266" s="234" t="n">
        <v>1904</v>
      </c>
      <c r="R3266" s="232" t="inlineStr"/>
      <c r="S3266" s="234" t="n">
        <v>1904</v>
      </c>
      <c r="T3266" s="232" t="inlineStr">
        <is>
          <t>CLP</t>
        </is>
      </c>
      <c r="U3266" s="232" t="inlineStr">
        <is>
          <t>Prorrateo Ha BODEGA</t>
        </is>
      </c>
      <c r="V3266" s="232" t="inlineStr">
        <is>
          <t>2026-06-18</t>
        </is>
      </c>
    </row>
    <row r="3267">
      <c r="A3267" s="232" t="inlineStr">
        <is>
          <t>CR-3264</t>
        </is>
      </c>
      <c r="B3267" s="232" t="inlineStr">
        <is>
          <t>2026/27</t>
        </is>
      </c>
      <c r="C3267" s="233" t="n">
        <v>46126</v>
      </c>
      <c r="D3267" s="232" t="inlineStr">
        <is>
          <t>962666</t>
        </is>
      </c>
      <c r="E3267" s="232" t="inlineStr">
        <is>
          <t>PRORRATEO</t>
        </is>
      </c>
      <c r="F3267" s="232" t="inlineStr">
        <is>
          <t>El Molle</t>
        </is>
      </c>
      <c r="G3267" s="232" t="inlineStr">
        <is>
          <t>oronules 5,35 ha</t>
        </is>
      </c>
      <c r="H3267" s="232" t="inlineStr">
        <is>
          <t>Clementinas</t>
        </is>
      </c>
      <c r="I3267" s="232" t="inlineStr">
        <is>
          <t>Oronules</t>
        </is>
      </c>
      <c r="J3267" s="232" t="inlineStr">
        <is>
          <t>UNIFORME Y EPP</t>
        </is>
      </c>
      <c r="K3267" s="232" t="inlineStr">
        <is>
          <t>EPP</t>
        </is>
      </c>
      <c r="L3267" s="232" t="inlineStr">
        <is>
          <t>[PRORRATEO 3.6% 5.35há/148.3há] O/001572 BUZO ACTIV</t>
        </is>
      </c>
      <c r="M3267" s="232" t="inlineStr"/>
      <c r="N3267" s="232" t="inlineStr">
        <is>
          <t>.   .   -</t>
        </is>
      </c>
      <c r="O3267" s="232" t="inlineStr">
        <is>
          <t>ABRIL</t>
        </is>
      </c>
      <c r="P3267" s="232" t="n">
        <v>14</v>
      </c>
      <c r="Q3267" s="234" t="n">
        <v>1256</v>
      </c>
      <c r="R3267" s="232" t="inlineStr"/>
      <c r="S3267" s="234" t="n">
        <v>1256</v>
      </c>
      <c r="T3267" s="232" t="inlineStr">
        <is>
          <t>CLP</t>
        </is>
      </c>
      <c r="U3267" s="232" t="inlineStr">
        <is>
          <t>Prorrateo Ha BODEGA</t>
        </is>
      </c>
      <c r="V3267" s="232" t="inlineStr">
        <is>
          <t>2026-06-18</t>
        </is>
      </c>
    </row>
    <row r="3268">
      <c r="A3268" s="232" t="inlineStr">
        <is>
          <t>CR-3265</t>
        </is>
      </c>
      <c r="B3268" s="232" t="inlineStr">
        <is>
          <t>2026/27</t>
        </is>
      </c>
      <c r="C3268" s="233" t="n">
        <v>46126</v>
      </c>
      <c r="D3268" s="232" t="inlineStr">
        <is>
          <t>962666</t>
        </is>
      </c>
      <c r="E3268" s="232" t="inlineStr">
        <is>
          <t>PRORRATEO</t>
        </is>
      </c>
      <c r="F3268" s="232" t="inlineStr">
        <is>
          <t>Santa Catalina</t>
        </is>
      </c>
      <c r="G3268" s="232" t="inlineStr">
        <is>
          <t>Fino 49 7,7 ha</t>
        </is>
      </c>
      <c r="H3268" s="232" t="inlineStr">
        <is>
          <t>Limon</t>
        </is>
      </c>
      <c r="I3268" s="232" t="inlineStr">
        <is>
          <t>Fino 49</t>
        </is>
      </c>
      <c r="J3268" s="232" t="inlineStr">
        <is>
          <t>UNIFORME Y EPP</t>
        </is>
      </c>
      <c r="K3268" s="232" t="inlineStr">
        <is>
          <t>EPP</t>
        </is>
      </c>
      <c r="L3268" s="232" t="inlineStr">
        <is>
          <t>[PRORRATEO 5.2% 7.7há/148.3há] O/001572 BUZO ACTIV</t>
        </is>
      </c>
      <c r="M3268" s="232" t="inlineStr"/>
      <c r="N3268" s="232" t="inlineStr">
        <is>
          <t>.   .   -</t>
        </is>
      </c>
      <c r="O3268" s="232" t="inlineStr">
        <is>
          <t>ABRIL</t>
        </is>
      </c>
      <c r="P3268" s="232" t="n">
        <v>14</v>
      </c>
      <c r="Q3268" s="234" t="n">
        <v>1807</v>
      </c>
      <c r="R3268" s="232" t="inlineStr"/>
      <c r="S3268" s="234" t="n">
        <v>1807</v>
      </c>
      <c r="T3268" s="232" t="inlineStr">
        <is>
          <t>CLP</t>
        </is>
      </c>
      <c r="U3268" s="232" t="inlineStr">
        <is>
          <t>Prorrateo Ha BODEGA</t>
        </is>
      </c>
      <c r="V3268" s="232" t="inlineStr">
        <is>
          <t>2026-06-18</t>
        </is>
      </c>
    </row>
    <row r="3269">
      <c r="A3269" s="232" t="inlineStr">
        <is>
          <t>CR-3266</t>
        </is>
      </c>
      <c r="B3269" s="232" t="inlineStr">
        <is>
          <t>2026/27</t>
        </is>
      </c>
      <c r="C3269" s="233" t="n">
        <v>46126</v>
      </c>
      <c r="D3269" s="232" t="inlineStr">
        <is>
          <t>962666</t>
        </is>
      </c>
      <c r="E3269" s="232" t="inlineStr">
        <is>
          <t>PRORRATEO</t>
        </is>
      </c>
      <c r="F3269" s="232" t="inlineStr">
        <is>
          <t>Santa Catalina</t>
        </is>
      </c>
      <c r="G3269" s="232" t="inlineStr">
        <is>
          <t>W. murcott 21 ha</t>
        </is>
      </c>
      <c r="H3269" s="232" t="inlineStr">
        <is>
          <t>Mandarina</t>
        </is>
      </c>
      <c r="I3269" s="232" t="inlineStr">
        <is>
          <t>W. murcott</t>
        </is>
      </c>
      <c r="J3269" s="232" t="inlineStr">
        <is>
          <t>UNIFORME Y EPP</t>
        </is>
      </c>
      <c r="K3269" s="232" t="inlineStr">
        <is>
          <t>EPP</t>
        </is>
      </c>
      <c r="L3269" s="232" t="inlineStr">
        <is>
          <t>[PRORRATEO 14.2% 21.0há/148.3há] O/001572 BUZO ACTIV</t>
        </is>
      </c>
      <c r="M3269" s="232" t="inlineStr"/>
      <c r="N3269" s="232" t="inlineStr">
        <is>
          <t>.   .   -</t>
        </is>
      </c>
      <c r="O3269" s="232" t="inlineStr">
        <is>
          <t>ABRIL</t>
        </is>
      </c>
      <c r="P3269" s="232" t="n">
        <v>14</v>
      </c>
      <c r="Q3269" s="234" t="n">
        <v>4929</v>
      </c>
      <c r="R3269" s="232" t="inlineStr"/>
      <c r="S3269" s="234" t="n">
        <v>4929</v>
      </c>
      <c r="T3269" s="232" t="inlineStr">
        <is>
          <t>CLP</t>
        </is>
      </c>
      <c r="U3269" s="232" t="inlineStr">
        <is>
          <t>Prorrateo Ha BODEGA</t>
        </is>
      </c>
      <c r="V3269" s="232" t="inlineStr">
        <is>
          <t>2026-06-18</t>
        </is>
      </c>
    </row>
    <row r="3270">
      <c r="A3270" s="232" t="inlineStr">
        <is>
          <t>CR-3267</t>
        </is>
      </c>
      <c r="B3270" s="232" t="inlineStr">
        <is>
          <t>2026/27</t>
        </is>
      </c>
      <c r="C3270" s="233" t="n">
        <v>46126</v>
      </c>
      <c r="D3270" s="232" t="inlineStr">
        <is>
          <t>962666</t>
        </is>
      </c>
      <c r="E3270" s="232" t="inlineStr">
        <is>
          <t>PRORRATEO</t>
        </is>
      </c>
      <c r="F3270" s="232" t="inlineStr">
        <is>
          <t>Santa Catalina</t>
        </is>
      </c>
      <c r="G3270" s="232" t="inlineStr">
        <is>
          <t>cambria 4,2 ha</t>
        </is>
      </c>
      <c r="H3270" s="232" t="inlineStr">
        <is>
          <t>Naranjas</t>
        </is>
      </c>
      <c r="I3270" s="232" t="inlineStr">
        <is>
          <t>Cambria</t>
        </is>
      </c>
      <c r="J3270" s="232" t="inlineStr">
        <is>
          <t>UNIFORME Y EPP</t>
        </is>
      </c>
      <c r="K3270" s="232" t="inlineStr">
        <is>
          <t>EPP</t>
        </is>
      </c>
      <c r="L3270" s="232" t="inlineStr">
        <is>
          <t>[PRORRATEO 2.8% 4.2há/148.3há] O/001572 BUZO ACTIV</t>
        </is>
      </c>
      <c r="M3270" s="232" t="inlineStr"/>
      <c r="N3270" s="232" t="inlineStr">
        <is>
          <t>.   .   -</t>
        </is>
      </c>
      <c r="O3270" s="232" t="inlineStr">
        <is>
          <t>ABRIL</t>
        </is>
      </c>
      <c r="P3270" s="232" t="n">
        <v>14</v>
      </c>
      <c r="Q3270" s="234" t="n">
        <v>986</v>
      </c>
      <c r="R3270" s="232" t="inlineStr"/>
      <c r="S3270" s="234" t="n">
        <v>986</v>
      </c>
      <c r="T3270" s="232" t="inlineStr">
        <is>
          <t>CLP</t>
        </is>
      </c>
      <c r="U3270" s="232" t="inlineStr">
        <is>
          <t>Prorrateo Ha BODEGA</t>
        </is>
      </c>
      <c r="V3270" s="232" t="inlineStr">
        <is>
          <t>2026-06-18</t>
        </is>
      </c>
    </row>
    <row r="3271">
      <c r="A3271" s="232" t="inlineStr">
        <is>
          <t>CR-3268</t>
        </is>
      </c>
      <c r="B3271" s="232" t="inlineStr">
        <is>
          <t>2026/27</t>
        </is>
      </c>
      <c r="C3271" s="233" t="n">
        <v>46126</v>
      </c>
      <c r="D3271" s="232" t="inlineStr">
        <is>
          <t>962666</t>
        </is>
      </c>
      <c r="E3271" s="232" t="inlineStr">
        <is>
          <t>PRORRATEO</t>
        </is>
      </c>
      <c r="F3271" s="232" t="inlineStr">
        <is>
          <t>Santa Catalina</t>
        </is>
      </c>
      <c r="G3271" s="232" t="inlineStr">
        <is>
          <t>eureka 10,6 ha</t>
        </is>
      </c>
      <c r="H3271" s="232" t="inlineStr">
        <is>
          <t>Limon</t>
        </is>
      </c>
      <c r="I3271" s="232" t="inlineStr">
        <is>
          <t>Eureka</t>
        </is>
      </c>
      <c r="J3271" s="232" t="inlineStr">
        <is>
          <t>UNIFORME Y EPP</t>
        </is>
      </c>
      <c r="K3271" s="232" t="inlineStr">
        <is>
          <t>EPP</t>
        </is>
      </c>
      <c r="L3271" s="232" t="inlineStr">
        <is>
          <t>[PRORRATEO 7.1% 10.6há/148.3há] O/001572 BUZO ACTIV</t>
        </is>
      </c>
      <c r="M3271" s="232" t="inlineStr"/>
      <c r="N3271" s="232" t="inlineStr">
        <is>
          <t>.   .   -</t>
        </is>
      </c>
      <c r="O3271" s="232" t="inlineStr">
        <is>
          <t>ABRIL</t>
        </is>
      </c>
      <c r="P3271" s="232" t="n">
        <v>14</v>
      </c>
      <c r="Q3271" s="234" t="n">
        <v>2488</v>
      </c>
      <c r="R3271" s="232" t="inlineStr"/>
      <c r="S3271" s="234" t="n">
        <v>2488</v>
      </c>
      <c r="T3271" s="232" t="inlineStr">
        <is>
          <t>CLP</t>
        </is>
      </c>
      <c r="U3271" s="232" t="inlineStr">
        <is>
          <t>Prorrateo Ha BODEGA</t>
        </is>
      </c>
      <c r="V3271" s="232" t="inlineStr">
        <is>
          <t>2026-06-18</t>
        </is>
      </c>
    </row>
    <row r="3272">
      <c r="A3272" s="232" t="inlineStr">
        <is>
          <t>CR-3269</t>
        </is>
      </c>
      <c r="B3272" s="232" t="inlineStr">
        <is>
          <t>2026/27</t>
        </is>
      </c>
      <c r="C3272" s="233" t="n">
        <v>46126</v>
      </c>
      <c r="D3272" s="232" t="inlineStr">
        <is>
          <t>962666</t>
        </is>
      </c>
      <c r="E3272" s="232" t="inlineStr">
        <is>
          <t>PRORRATEO</t>
        </is>
      </c>
      <c r="F3272" s="232" t="inlineStr">
        <is>
          <t>Santa Catalina</t>
        </is>
      </c>
      <c r="G3272" s="232" t="inlineStr">
        <is>
          <t>eureka 14,4 ha</t>
        </is>
      </c>
      <c r="H3272" s="232" t="inlineStr">
        <is>
          <t>Limon</t>
        </is>
      </c>
      <c r="I3272" s="232" t="inlineStr">
        <is>
          <t>Eureka</t>
        </is>
      </c>
      <c r="J3272" s="232" t="inlineStr">
        <is>
          <t>UNIFORME Y EPP</t>
        </is>
      </c>
      <c r="K3272" s="232" t="inlineStr">
        <is>
          <t>EPP</t>
        </is>
      </c>
      <c r="L3272" s="232" t="inlineStr">
        <is>
          <t>[PRORRATEO 9.7% 14.4há/148.3há] O/001572 BUZO ACTIV</t>
        </is>
      </c>
      <c r="M3272" s="232" t="inlineStr"/>
      <c r="N3272" s="232" t="inlineStr">
        <is>
          <t>.   .   -</t>
        </is>
      </c>
      <c r="O3272" s="232" t="inlineStr">
        <is>
          <t>ABRIL</t>
        </is>
      </c>
      <c r="P3272" s="232" t="n">
        <v>14</v>
      </c>
      <c r="Q3272" s="234" t="n">
        <v>3380</v>
      </c>
      <c r="R3272" s="232" t="inlineStr"/>
      <c r="S3272" s="234" t="n">
        <v>3380</v>
      </c>
      <c r="T3272" s="232" t="inlineStr">
        <is>
          <t>CLP</t>
        </is>
      </c>
      <c r="U3272" s="232" t="inlineStr">
        <is>
          <t>Prorrateo Ha BODEGA</t>
        </is>
      </c>
      <c r="V3272" s="232" t="inlineStr">
        <is>
          <t>2026-06-18</t>
        </is>
      </c>
    </row>
    <row r="3273">
      <c r="A3273" s="232" t="inlineStr">
        <is>
          <t>CR-3270</t>
        </is>
      </c>
      <c r="B3273" s="232" t="inlineStr">
        <is>
          <t>2026/27</t>
        </is>
      </c>
      <c r="C3273" s="233" t="n">
        <v>46126</v>
      </c>
      <c r="D3273" s="232" t="inlineStr">
        <is>
          <t>962666</t>
        </is>
      </c>
      <c r="E3273" s="232" t="inlineStr">
        <is>
          <t>PRORRATEO</t>
        </is>
      </c>
      <c r="F3273" s="232" t="inlineStr">
        <is>
          <t>Santa Catalina</t>
        </is>
      </c>
      <c r="G3273" s="232" t="inlineStr">
        <is>
          <t>eureka 22,55</t>
        </is>
      </c>
      <c r="H3273" s="232" t="inlineStr">
        <is>
          <t>Limon</t>
        </is>
      </c>
      <c r="I3273" s="232" t="inlineStr">
        <is>
          <t>Eureka</t>
        </is>
      </c>
      <c r="J3273" s="232" t="inlineStr">
        <is>
          <t>UNIFORME Y EPP</t>
        </is>
      </c>
      <c r="K3273" s="232" t="inlineStr">
        <is>
          <t>EPP</t>
        </is>
      </c>
      <c r="L3273" s="232" t="inlineStr">
        <is>
          <t>[PRORRATEO 15.2% 22.55há/148.3há] O/001572 BUZO ACTIV</t>
        </is>
      </c>
      <c r="M3273" s="232" t="inlineStr"/>
      <c r="N3273" s="232" t="inlineStr">
        <is>
          <t>.   .   -</t>
        </is>
      </c>
      <c r="O3273" s="232" t="inlineStr">
        <is>
          <t>ABRIL</t>
        </is>
      </c>
      <c r="P3273" s="232" t="n">
        <v>14</v>
      </c>
      <c r="Q3273" s="234" t="n">
        <v>5293</v>
      </c>
      <c r="R3273" s="232" t="inlineStr"/>
      <c r="S3273" s="234" t="n">
        <v>5293</v>
      </c>
      <c r="T3273" s="232" t="inlineStr">
        <is>
          <t>CLP</t>
        </is>
      </c>
      <c r="U3273" s="232" t="inlineStr">
        <is>
          <t>Prorrateo Ha BODEGA</t>
        </is>
      </c>
      <c r="V3273" s="232" t="inlineStr">
        <is>
          <t>2026-06-18</t>
        </is>
      </c>
    </row>
    <row r="3274">
      <c r="A3274" s="232" t="inlineStr">
        <is>
          <t>CR-3271</t>
        </is>
      </c>
      <c r="B3274" s="232" t="inlineStr">
        <is>
          <t>2026/27</t>
        </is>
      </c>
      <c r="C3274" s="233" t="n">
        <v>46126</v>
      </c>
      <c r="D3274" s="232" t="inlineStr">
        <is>
          <t>962666</t>
        </is>
      </c>
      <c r="E3274" s="232" t="inlineStr">
        <is>
          <t>PRORRATEO</t>
        </is>
      </c>
      <c r="F3274" s="232" t="inlineStr">
        <is>
          <t>Santa Catalina</t>
        </is>
      </c>
      <c r="G3274" s="232" t="inlineStr">
        <is>
          <t>form benjamin 1,93 ha</t>
        </is>
      </c>
      <c r="H3274" s="232" t="inlineStr">
        <is>
          <t>Limon</t>
        </is>
      </c>
      <c r="I3274" s="232" t="inlineStr">
        <is>
          <t>Benjamin andes</t>
        </is>
      </c>
      <c r="J3274" s="232" t="inlineStr">
        <is>
          <t>UNIFORME Y EPP</t>
        </is>
      </c>
      <c r="K3274" s="232" t="inlineStr">
        <is>
          <t>EPP</t>
        </is>
      </c>
      <c r="L3274" s="232" t="inlineStr">
        <is>
          <t>[PRORRATEO 1.3% 1.93há/148.3há] O/001572 BUZO ACTIV</t>
        </is>
      </c>
      <c r="M3274" s="232" t="inlineStr"/>
      <c r="N3274" s="232" t="inlineStr">
        <is>
          <t>.   .   -</t>
        </is>
      </c>
      <c r="O3274" s="232" t="inlineStr">
        <is>
          <t>ABRIL</t>
        </is>
      </c>
      <c r="P3274" s="232" t="n">
        <v>14</v>
      </c>
      <c r="Q3274" s="234" t="n">
        <v>453</v>
      </c>
      <c r="R3274" s="232" t="inlineStr"/>
      <c r="S3274" s="234" t="n">
        <v>453</v>
      </c>
      <c r="T3274" s="232" t="inlineStr">
        <is>
          <t>CLP</t>
        </is>
      </c>
      <c r="U3274" s="232" t="inlineStr">
        <is>
          <t>Prorrateo Ha BODEGA</t>
        </is>
      </c>
      <c r="V3274" s="232" t="inlineStr">
        <is>
          <t>2026-06-18</t>
        </is>
      </c>
    </row>
    <row r="3275">
      <c r="A3275" s="232" t="inlineStr">
        <is>
          <t>CR-3272</t>
        </is>
      </c>
      <c r="B3275" s="232" t="inlineStr">
        <is>
          <t>2026/27</t>
        </is>
      </c>
      <c r="C3275" s="233" t="n">
        <v>46126</v>
      </c>
      <c r="D3275" s="232" t="inlineStr">
        <is>
          <t>962666</t>
        </is>
      </c>
      <c r="E3275" s="232" t="inlineStr">
        <is>
          <t>PRORRATEO</t>
        </is>
      </c>
      <c r="F3275" s="232" t="inlineStr">
        <is>
          <t>Santa Catalina</t>
        </is>
      </c>
      <c r="G3275" s="232" t="inlineStr">
        <is>
          <t>mant eureka 2,5 ha</t>
        </is>
      </c>
      <c r="H3275" s="232" t="inlineStr">
        <is>
          <t>Limon</t>
        </is>
      </c>
      <c r="I3275" s="232" t="inlineStr">
        <is>
          <t>Eureka</t>
        </is>
      </c>
      <c r="J3275" s="232" t="inlineStr">
        <is>
          <t>UNIFORME Y EPP</t>
        </is>
      </c>
      <c r="K3275" s="232" t="inlineStr">
        <is>
          <t>EPP</t>
        </is>
      </c>
      <c r="L3275" s="232" t="inlineStr">
        <is>
          <t>[PRORRATEO 1.7% 2.5há/148.3há] O/001572 BUZO ACTIV</t>
        </is>
      </c>
      <c r="M3275" s="232" t="inlineStr"/>
      <c r="N3275" s="232" t="inlineStr">
        <is>
          <t>.   .   -</t>
        </is>
      </c>
      <c r="O3275" s="232" t="inlineStr">
        <is>
          <t>ABRIL</t>
        </is>
      </c>
      <c r="P3275" s="232" t="n">
        <v>14</v>
      </c>
      <c r="Q3275" s="234" t="n">
        <v>587</v>
      </c>
      <c r="R3275" s="232" t="inlineStr"/>
      <c r="S3275" s="234" t="n">
        <v>587</v>
      </c>
      <c r="T3275" s="232" t="inlineStr">
        <is>
          <t>CLP</t>
        </is>
      </c>
      <c r="U3275" s="232" t="inlineStr">
        <is>
          <t>Prorrateo Ha BODEGA</t>
        </is>
      </c>
      <c r="V3275" s="232" t="inlineStr">
        <is>
          <t>2026-06-18</t>
        </is>
      </c>
    </row>
    <row r="3276">
      <c r="A3276" s="232" t="inlineStr">
        <is>
          <t>CR-3273</t>
        </is>
      </c>
      <c r="B3276" s="232" t="inlineStr">
        <is>
          <t>2026/27</t>
        </is>
      </c>
      <c r="C3276" s="233" t="n">
        <v>46126</v>
      </c>
      <c r="D3276" s="232" t="inlineStr">
        <is>
          <t>962666</t>
        </is>
      </c>
      <c r="E3276" s="232" t="inlineStr">
        <is>
          <t>PRORRATEO</t>
        </is>
      </c>
      <c r="F3276" s="232" t="inlineStr">
        <is>
          <t>Siberia</t>
        </is>
      </c>
      <c r="G3276" s="232" t="inlineStr">
        <is>
          <t>S. Celebration 7,14</t>
        </is>
      </c>
      <c r="H3276" s="232" t="inlineStr">
        <is>
          <t>Uvas</t>
        </is>
      </c>
      <c r="I3276" s="232" t="inlineStr">
        <is>
          <t>S. celebration</t>
        </is>
      </c>
      <c r="J3276" s="232" t="inlineStr">
        <is>
          <t>UNIFORME Y EPP</t>
        </is>
      </c>
      <c r="K3276" s="232" t="inlineStr">
        <is>
          <t>EPP</t>
        </is>
      </c>
      <c r="L3276" s="232" t="inlineStr">
        <is>
          <t>[PRORRATEO 4.8% 7.14há/148.3há] O/001572 BUZO ACTIV</t>
        </is>
      </c>
      <c r="M3276" s="232" t="inlineStr"/>
      <c r="N3276" s="232" t="inlineStr">
        <is>
          <t>.   .   -</t>
        </is>
      </c>
      <c r="O3276" s="232" t="inlineStr">
        <is>
          <t>ABRIL</t>
        </is>
      </c>
      <c r="P3276" s="232" t="n">
        <v>14</v>
      </c>
      <c r="Q3276" s="234" t="n">
        <v>1676</v>
      </c>
      <c r="R3276" s="232" t="inlineStr"/>
      <c r="S3276" s="234" t="n">
        <v>1676</v>
      </c>
      <c r="T3276" s="232" t="inlineStr">
        <is>
          <t>CLP</t>
        </is>
      </c>
      <c r="U3276" s="232" t="inlineStr">
        <is>
          <t>Prorrateo Ha BODEGA</t>
        </is>
      </c>
      <c r="V3276" s="232" t="inlineStr">
        <is>
          <t>2026-06-18</t>
        </is>
      </c>
    </row>
    <row r="3277">
      <c r="A3277" s="232" t="inlineStr">
        <is>
          <t>CR-3274</t>
        </is>
      </c>
      <c r="B3277" s="232" t="inlineStr">
        <is>
          <t>2026/27</t>
        </is>
      </c>
      <c r="C3277" s="233" t="n">
        <v>46126</v>
      </c>
      <c r="D3277" s="232" t="inlineStr">
        <is>
          <t>962666</t>
        </is>
      </c>
      <c r="E3277" s="232" t="inlineStr">
        <is>
          <t>PRORRATEO</t>
        </is>
      </c>
      <c r="F3277" s="232" t="inlineStr">
        <is>
          <t>Siberia</t>
        </is>
      </c>
      <c r="G3277" s="232" t="inlineStr">
        <is>
          <t>Timpson 7,1</t>
        </is>
      </c>
      <c r="H3277" s="232" t="inlineStr">
        <is>
          <t>Uvas</t>
        </is>
      </c>
      <c r="I3277" s="232" t="inlineStr">
        <is>
          <t>Timpson</t>
        </is>
      </c>
      <c r="J3277" s="232" t="inlineStr">
        <is>
          <t>UNIFORME Y EPP</t>
        </is>
      </c>
      <c r="K3277" s="232" t="inlineStr">
        <is>
          <t>EPP</t>
        </is>
      </c>
      <c r="L3277" s="232" t="inlineStr">
        <is>
          <t>[PRORRATEO 4.8% 7.1há/148.3há] O/001572 BUZO ACTIV</t>
        </is>
      </c>
      <c r="M3277" s="232" t="inlineStr"/>
      <c r="N3277" s="232" t="inlineStr">
        <is>
          <t>.   .   -</t>
        </is>
      </c>
      <c r="O3277" s="232" t="inlineStr">
        <is>
          <t>ABRIL</t>
        </is>
      </c>
      <c r="P3277" s="232" t="n">
        <v>14</v>
      </c>
      <c r="Q3277" s="234" t="n">
        <v>1667</v>
      </c>
      <c r="R3277" s="232" t="inlineStr"/>
      <c r="S3277" s="234" t="n">
        <v>1667</v>
      </c>
      <c r="T3277" s="232" t="inlineStr">
        <is>
          <t>CLP</t>
        </is>
      </c>
      <c r="U3277" s="232" t="inlineStr">
        <is>
          <t>Prorrateo Ha BODEGA</t>
        </is>
      </c>
      <c r="V3277" s="232" t="inlineStr">
        <is>
          <t>2026-06-18</t>
        </is>
      </c>
    </row>
    <row r="3278">
      <c r="A3278" s="232" t="inlineStr">
        <is>
          <t>CR-3275</t>
        </is>
      </c>
      <c r="B3278" s="232" t="inlineStr">
        <is>
          <t>2026/27</t>
        </is>
      </c>
      <c r="C3278" s="233" t="n">
        <v>46128</v>
      </c>
      <c r="D3278" s="232" t="inlineStr">
        <is>
          <t>373</t>
        </is>
      </c>
      <c r="E3278" s="232" t="inlineStr">
        <is>
          <t>PRORRATEO</t>
        </is>
      </c>
      <c r="F3278" s="232" t="inlineStr">
        <is>
          <t>Asmara</t>
        </is>
      </c>
      <c r="G3278" s="232" t="inlineStr">
        <is>
          <t>w. murcott 19,8 ha</t>
        </is>
      </c>
      <c r="H3278" s="232" t="inlineStr">
        <is>
          <t>Mandarina</t>
        </is>
      </c>
      <c r="I3278" s="232" t="inlineStr">
        <is>
          <t>W. murcott</t>
        </is>
      </c>
      <c r="J3278" s="232" t="inlineStr">
        <is>
          <t>LABORES OPERACIONALES</t>
        </is>
      </c>
      <c r="K3278" s="232" t="inlineStr">
        <is>
          <t>LAB. PACKING</t>
        </is>
      </c>
      <c r="L3278" s="232" t="inlineStr">
        <is>
          <t>[PRORRATEO 13.4% 19.8há/148.3há] SERV.CONTRATISTA</t>
        </is>
      </c>
      <c r="M3278" s="232" t="inlineStr"/>
      <c r="N3278" s="232" t="inlineStr">
        <is>
          <t>.   .   -</t>
        </is>
      </c>
      <c r="O3278" s="232" t="inlineStr">
        <is>
          <t>ABRIL</t>
        </is>
      </c>
      <c r="P3278" s="232" t="n">
        <v>15</v>
      </c>
      <c r="Q3278" s="234" t="n">
        <v>351328</v>
      </c>
      <c r="R3278" s="232" t="inlineStr"/>
      <c r="S3278" s="234" t="n">
        <v>351328</v>
      </c>
      <c r="T3278" s="232" t="inlineStr">
        <is>
          <t>CLP</t>
        </is>
      </c>
      <c r="U3278" s="232" t="inlineStr">
        <is>
          <t>Prorrateo Ha PACKING</t>
        </is>
      </c>
      <c r="V3278" s="232" t="inlineStr">
        <is>
          <t>2026-06-18</t>
        </is>
      </c>
    </row>
    <row r="3279">
      <c r="A3279" s="232" t="inlineStr">
        <is>
          <t>CR-3276</t>
        </is>
      </c>
      <c r="B3279" s="232" t="inlineStr">
        <is>
          <t>2026/27</t>
        </is>
      </c>
      <c r="C3279" s="233" t="n">
        <v>46128</v>
      </c>
      <c r="D3279" s="232" t="inlineStr">
        <is>
          <t>373</t>
        </is>
      </c>
      <c r="E3279" s="232" t="inlineStr">
        <is>
          <t>PRORRATEO</t>
        </is>
      </c>
      <c r="F3279" s="232" t="inlineStr">
        <is>
          <t>Asmara</t>
        </is>
      </c>
      <c r="G3279" s="232" t="inlineStr">
        <is>
          <t>w. murcott 4,9 ha</t>
        </is>
      </c>
      <c r="H3279" s="232" t="inlineStr">
        <is>
          <t>Mandarina</t>
        </is>
      </c>
      <c r="I3279" s="232" t="inlineStr">
        <is>
          <t>W. murcott</t>
        </is>
      </c>
      <c r="J3279" s="232" t="inlineStr">
        <is>
          <t>LABORES OPERACIONALES</t>
        </is>
      </c>
      <c r="K3279" s="232" t="inlineStr">
        <is>
          <t>LAB. PACKING</t>
        </is>
      </c>
      <c r="L3279" s="232" t="inlineStr">
        <is>
          <t>[PRORRATEO 3.3% 4.9há/148.3há] SERV.CONTRATISTA</t>
        </is>
      </c>
      <c r="M3279" s="232" t="inlineStr"/>
      <c r="N3279" s="232" t="inlineStr">
        <is>
          <t>.   .   -</t>
        </is>
      </c>
      <c r="O3279" s="232" t="inlineStr">
        <is>
          <t>ABRIL</t>
        </is>
      </c>
      <c r="P3279" s="232" t="n">
        <v>15</v>
      </c>
      <c r="Q3279" s="234" t="n">
        <v>86945</v>
      </c>
      <c r="R3279" s="232" t="inlineStr"/>
      <c r="S3279" s="234" t="n">
        <v>86945</v>
      </c>
      <c r="T3279" s="232" t="inlineStr">
        <is>
          <t>CLP</t>
        </is>
      </c>
      <c r="U3279" s="232" t="inlineStr">
        <is>
          <t>Prorrateo Ha PACKING</t>
        </is>
      </c>
      <c r="V3279" s="232" t="inlineStr">
        <is>
          <t>2026-06-18</t>
        </is>
      </c>
    </row>
    <row r="3280">
      <c r="A3280" s="232" t="inlineStr">
        <is>
          <t>CR-3277</t>
        </is>
      </c>
      <c r="B3280" s="232" t="inlineStr">
        <is>
          <t>2026/27</t>
        </is>
      </c>
      <c r="C3280" s="233" t="n">
        <v>46128</v>
      </c>
      <c r="D3280" s="232" t="inlineStr">
        <is>
          <t>373</t>
        </is>
      </c>
      <c r="E3280" s="232" t="inlineStr">
        <is>
          <t>PRORRATEO</t>
        </is>
      </c>
      <c r="F3280" s="232" t="inlineStr">
        <is>
          <t>El Molle</t>
        </is>
      </c>
      <c r="G3280" s="232" t="inlineStr">
        <is>
          <t>Wonderful 5,25 ha</t>
        </is>
      </c>
      <c r="H3280" s="232" t="inlineStr">
        <is>
          <t>Granados</t>
        </is>
      </c>
      <c r="I3280" s="232" t="inlineStr">
        <is>
          <t>Wonderfull</t>
        </is>
      </c>
      <c r="J3280" s="232" t="inlineStr">
        <is>
          <t>LABORES OPERACIONALES</t>
        </is>
      </c>
      <c r="K3280" s="232" t="inlineStr">
        <is>
          <t>LAB. PACKING</t>
        </is>
      </c>
      <c r="L3280" s="232" t="inlineStr">
        <is>
          <t>[PRORRATEO 3.5% 5.24há/148.3há] SERV.CONTRATISTA</t>
        </is>
      </c>
      <c r="M3280" s="232" t="inlineStr"/>
      <c r="N3280" s="232" t="inlineStr">
        <is>
          <t>.   .   -</t>
        </is>
      </c>
      <c r="O3280" s="232" t="inlineStr">
        <is>
          <t>ABRIL</t>
        </is>
      </c>
      <c r="P3280" s="232" t="n">
        <v>15</v>
      </c>
      <c r="Q3280" s="234" t="n">
        <v>92978</v>
      </c>
      <c r="R3280" s="232" t="inlineStr"/>
      <c r="S3280" s="234" t="n">
        <v>92978</v>
      </c>
      <c r="T3280" s="232" t="inlineStr">
        <is>
          <t>CLP</t>
        </is>
      </c>
      <c r="U3280" s="232" t="inlineStr">
        <is>
          <t>Prorrateo Ha PACKING</t>
        </is>
      </c>
      <c r="V3280" s="232" t="inlineStr">
        <is>
          <t>2026-06-18</t>
        </is>
      </c>
    </row>
    <row r="3281">
      <c r="A3281" s="232" t="inlineStr">
        <is>
          <t>CR-3278</t>
        </is>
      </c>
      <c r="B3281" s="232" t="inlineStr">
        <is>
          <t>2026/27</t>
        </is>
      </c>
      <c r="C3281" s="233" t="n">
        <v>46128</v>
      </c>
      <c r="D3281" s="232" t="inlineStr">
        <is>
          <t>373</t>
        </is>
      </c>
      <c r="E3281" s="232" t="inlineStr">
        <is>
          <t>PRORRATEO</t>
        </is>
      </c>
      <c r="F3281" s="232" t="inlineStr">
        <is>
          <t>El Molle</t>
        </is>
      </c>
      <c r="G3281" s="232" t="inlineStr">
        <is>
          <t>arrufatinas 5,74 ha</t>
        </is>
      </c>
      <c r="H3281" s="232" t="inlineStr">
        <is>
          <t>Clementinas</t>
        </is>
      </c>
      <c r="I3281" s="232" t="inlineStr">
        <is>
          <t>Arrufatinas</t>
        </is>
      </c>
      <c r="J3281" s="232" t="inlineStr">
        <is>
          <t>LABORES OPERACIONALES</t>
        </is>
      </c>
      <c r="K3281" s="232" t="inlineStr">
        <is>
          <t>LAB. PACKING</t>
        </is>
      </c>
      <c r="L3281" s="232" t="inlineStr">
        <is>
          <t>[PRORRATEO 3.9% 5.74há/148.3há] SERV.CONTRATISTA</t>
        </is>
      </c>
      <c r="M3281" s="232" t="inlineStr"/>
      <c r="N3281" s="232" t="inlineStr">
        <is>
          <t>.   .   -</t>
        </is>
      </c>
      <c r="O3281" s="232" t="inlineStr">
        <is>
          <t>ABRIL</t>
        </is>
      </c>
      <c r="P3281" s="232" t="n">
        <v>15</v>
      </c>
      <c r="Q3281" s="234" t="n">
        <v>101850</v>
      </c>
      <c r="R3281" s="232" t="inlineStr"/>
      <c r="S3281" s="234" t="n">
        <v>101850</v>
      </c>
      <c r="T3281" s="232" t="inlineStr">
        <is>
          <t>CLP</t>
        </is>
      </c>
      <c r="U3281" s="232" t="inlineStr">
        <is>
          <t>Prorrateo Ha PACKING</t>
        </is>
      </c>
      <c r="V3281" s="232" t="inlineStr">
        <is>
          <t>2026-06-18</t>
        </is>
      </c>
    </row>
    <row r="3282">
      <c r="A3282" s="232" t="inlineStr">
        <is>
          <t>CR-3279</t>
        </is>
      </c>
      <c r="B3282" s="232" t="inlineStr">
        <is>
          <t>2026/27</t>
        </is>
      </c>
      <c r="C3282" s="233" t="n">
        <v>46128</v>
      </c>
      <c r="D3282" s="232" t="inlineStr">
        <is>
          <t>373</t>
        </is>
      </c>
      <c r="E3282" s="232" t="inlineStr">
        <is>
          <t>PRORRATEO</t>
        </is>
      </c>
      <c r="F3282" s="232" t="inlineStr">
        <is>
          <t>El Molle</t>
        </is>
      </c>
      <c r="G3282" s="232" t="inlineStr">
        <is>
          <t>orogrande 8,11 ha</t>
        </is>
      </c>
      <c r="H3282" s="232" t="inlineStr">
        <is>
          <t>Clementinas</t>
        </is>
      </c>
      <c r="I3282" s="232" t="inlineStr">
        <is>
          <t>Orogrande</t>
        </is>
      </c>
      <c r="J3282" s="232" t="inlineStr">
        <is>
          <t>LABORES OPERACIONALES</t>
        </is>
      </c>
      <c r="K3282" s="232" t="inlineStr">
        <is>
          <t>LAB. PACKING</t>
        </is>
      </c>
      <c r="L3282" s="232" t="inlineStr">
        <is>
          <t>[PRORRATEO 5.5% 8.11há/148.3há] SERV.CONTRATISTA</t>
        </is>
      </c>
      <c r="M3282" s="232" t="inlineStr"/>
      <c r="N3282" s="232" t="inlineStr">
        <is>
          <t>.   .   -</t>
        </is>
      </c>
      <c r="O3282" s="232" t="inlineStr">
        <is>
          <t>ABRIL</t>
        </is>
      </c>
      <c r="P3282" s="232" t="n">
        <v>15</v>
      </c>
      <c r="Q3282" s="234" t="n">
        <v>143902</v>
      </c>
      <c r="R3282" s="232" t="inlineStr"/>
      <c r="S3282" s="234" t="n">
        <v>143902</v>
      </c>
      <c r="T3282" s="232" t="inlineStr">
        <is>
          <t>CLP</t>
        </is>
      </c>
      <c r="U3282" s="232" t="inlineStr">
        <is>
          <t>Prorrateo Ha PACKING</t>
        </is>
      </c>
      <c r="V3282" s="232" t="inlineStr">
        <is>
          <t>2026-06-18</t>
        </is>
      </c>
    </row>
    <row r="3283">
      <c r="A3283" s="232" t="inlineStr">
        <is>
          <t>CR-3280</t>
        </is>
      </c>
      <c r="B3283" s="232" t="inlineStr">
        <is>
          <t>2026/27</t>
        </is>
      </c>
      <c r="C3283" s="233" t="n">
        <v>46128</v>
      </c>
      <c r="D3283" s="232" t="inlineStr">
        <is>
          <t>373</t>
        </is>
      </c>
      <c r="E3283" s="232" t="inlineStr">
        <is>
          <t>PRORRATEO</t>
        </is>
      </c>
      <c r="F3283" s="232" t="inlineStr">
        <is>
          <t>El Molle</t>
        </is>
      </c>
      <c r="G3283" s="232" t="inlineStr">
        <is>
          <t>oronules 5,35 ha</t>
        </is>
      </c>
      <c r="H3283" s="232" t="inlineStr">
        <is>
          <t>Clementinas</t>
        </is>
      </c>
      <c r="I3283" s="232" t="inlineStr">
        <is>
          <t>Oronules</t>
        </is>
      </c>
      <c r="J3283" s="232" t="inlineStr">
        <is>
          <t>LABORES OPERACIONALES</t>
        </is>
      </c>
      <c r="K3283" s="232" t="inlineStr">
        <is>
          <t>LAB. PACKING</t>
        </is>
      </c>
      <c r="L3283" s="232" t="inlineStr">
        <is>
          <t>[PRORRATEO 3.6% 5.35há/148.3há] SERV.CONTRATISTA</t>
        </is>
      </c>
      <c r="M3283" s="232" t="inlineStr"/>
      <c r="N3283" s="232" t="inlineStr">
        <is>
          <t>.   .   -</t>
        </is>
      </c>
      <c r="O3283" s="232" t="inlineStr">
        <is>
          <t>ABRIL</t>
        </is>
      </c>
      <c r="P3283" s="232" t="n">
        <v>15</v>
      </c>
      <c r="Q3283" s="234" t="n">
        <v>94929</v>
      </c>
      <c r="R3283" s="232" t="inlineStr"/>
      <c r="S3283" s="234" t="n">
        <v>94929</v>
      </c>
      <c r="T3283" s="232" t="inlineStr">
        <is>
          <t>CLP</t>
        </is>
      </c>
      <c r="U3283" s="232" t="inlineStr">
        <is>
          <t>Prorrateo Ha PACKING</t>
        </is>
      </c>
      <c r="V3283" s="232" t="inlineStr">
        <is>
          <t>2026-06-18</t>
        </is>
      </c>
    </row>
    <row r="3284">
      <c r="A3284" s="232" t="inlineStr">
        <is>
          <t>CR-3281</t>
        </is>
      </c>
      <c r="B3284" s="232" t="inlineStr">
        <is>
          <t>2026/27</t>
        </is>
      </c>
      <c r="C3284" s="233" t="n">
        <v>46128</v>
      </c>
      <c r="D3284" s="232" t="inlineStr">
        <is>
          <t>373</t>
        </is>
      </c>
      <c r="E3284" s="232" t="inlineStr">
        <is>
          <t>PRORRATEO</t>
        </is>
      </c>
      <c r="F3284" s="232" t="inlineStr">
        <is>
          <t>Santa Catalina</t>
        </is>
      </c>
      <c r="G3284" s="232" t="inlineStr">
        <is>
          <t>Fino 49 7,7 ha</t>
        </is>
      </c>
      <c r="H3284" s="232" t="inlineStr">
        <is>
          <t>Limon</t>
        </is>
      </c>
      <c r="I3284" s="232" t="inlineStr">
        <is>
          <t>Fino 49</t>
        </is>
      </c>
      <c r="J3284" s="232" t="inlineStr">
        <is>
          <t>LABORES OPERACIONALES</t>
        </is>
      </c>
      <c r="K3284" s="232" t="inlineStr">
        <is>
          <t>LAB. PACKING</t>
        </is>
      </c>
      <c r="L3284" s="232" t="inlineStr">
        <is>
          <t>[PRORRATEO 5.2% 7.7há/148.3há] SERV.CONTRATISTA</t>
        </is>
      </c>
      <c r="M3284" s="232" t="inlineStr"/>
      <c r="N3284" s="232" t="inlineStr">
        <is>
          <t>.   .   -</t>
        </is>
      </c>
      <c r="O3284" s="232" t="inlineStr">
        <is>
          <t>ABRIL</t>
        </is>
      </c>
      <c r="P3284" s="232" t="n">
        <v>15</v>
      </c>
      <c r="Q3284" s="234" t="n">
        <v>136627</v>
      </c>
      <c r="R3284" s="232" t="inlineStr"/>
      <c r="S3284" s="234" t="n">
        <v>136627</v>
      </c>
      <c r="T3284" s="232" t="inlineStr">
        <is>
          <t>CLP</t>
        </is>
      </c>
      <c r="U3284" s="232" t="inlineStr">
        <is>
          <t>Prorrateo Ha PACKING</t>
        </is>
      </c>
      <c r="V3284" s="232" t="inlineStr">
        <is>
          <t>2026-06-18</t>
        </is>
      </c>
    </row>
    <row r="3285">
      <c r="A3285" s="232" t="inlineStr">
        <is>
          <t>CR-3282</t>
        </is>
      </c>
      <c r="B3285" s="232" t="inlineStr">
        <is>
          <t>2026/27</t>
        </is>
      </c>
      <c r="C3285" s="233" t="n">
        <v>46128</v>
      </c>
      <c r="D3285" s="232" t="inlineStr">
        <is>
          <t>373</t>
        </is>
      </c>
      <c r="E3285" s="232" t="inlineStr">
        <is>
          <t>PRORRATEO</t>
        </is>
      </c>
      <c r="F3285" s="232" t="inlineStr">
        <is>
          <t>Santa Catalina</t>
        </is>
      </c>
      <c r="G3285" s="232" t="inlineStr">
        <is>
          <t>W. murcott 21 ha</t>
        </is>
      </c>
      <c r="H3285" s="232" t="inlineStr">
        <is>
          <t>Mandarina</t>
        </is>
      </c>
      <c r="I3285" s="232" t="inlineStr">
        <is>
          <t>W. murcott</t>
        </is>
      </c>
      <c r="J3285" s="232" t="inlineStr">
        <is>
          <t>LABORES OPERACIONALES</t>
        </is>
      </c>
      <c r="K3285" s="232" t="inlineStr">
        <is>
          <t>LAB. PACKING</t>
        </is>
      </c>
      <c r="L3285" s="232" t="inlineStr">
        <is>
          <t>[PRORRATEO 14.2% 21.0há/148.3há] SERV.CONTRATISTA</t>
        </is>
      </c>
      <c r="M3285" s="232" t="inlineStr"/>
      <c r="N3285" s="232" t="inlineStr">
        <is>
          <t>.   .   -</t>
        </is>
      </c>
      <c r="O3285" s="232" t="inlineStr">
        <is>
          <t>ABRIL</t>
        </is>
      </c>
      <c r="P3285" s="232" t="n">
        <v>15</v>
      </c>
      <c r="Q3285" s="234" t="n">
        <v>372620</v>
      </c>
      <c r="R3285" s="232" t="inlineStr"/>
      <c r="S3285" s="234" t="n">
        <v>372620</v>
      </c>
      <c r="T3285" s="232" t="inlineStr">
        <is>
          <t>CLP</t>
        </is>
      </c>
      <c r="U3285" s="232" t="inlineStr">
        <is>
          <t>Prorrateo Ha PACKING</t>
        </is>
      </c>
      <c r="V3285" s="232" t="inlineStr">
        <is>
          <t>2026-06-18</t>
        </is>
      </c>
    </row>
    <row r="3286">
      <c r="A3286" s="232" t="inlineStr">
        <is>
          <t>CR-3283</t>
        </is>
      </c>
      <c r="B3286" s="232" t="inlineStr">
        <is>
          <t>2026/27</t>
        </is>
      </c>
      <c r="C3286" s="233" t="n">
        <v>46128</v>
      </c>
      <c r="D3286" s="232" t="inlineStr">
        <is>
          <t>373</t>
        </is>
      </c>
      <c r="E3286" s="232" t="inlineStr">
        <is>
          <t>PRORRATEO</t>
        </is>
      </c>
      <c r="F3286" s="232" t="inlineStr">
        <is>
          <t>Santa Catalina</t>
        </is>
      </c>
      <c r="G3286" s="232" t="inlineStr">
        <is>
          <t>cambria 4,2 ha</t>
        </is>
      </c>
      <c r="H3286" s="232" t="inlineStr">
        <is>
          <t>Naranjas</t>
        </is>
      </c>
      <c r="I3286" s="232" t="inlineStr">
        <is>
          <t>Cambria</t>
        </is>
      </c>
      <c r="J3286" s="232" t="inlineStr">
        <is>
          <t>LABORES OPERACIONALES</t>
        </is>
      </c>
      <c r="K3286" s="232" t="inlineStr">
        <is>
          <t>LAB. PACKING</t>
        </is>
      </c>
      <c r="L3286" s="232" t="inlineStr">
        <is>
          <t>[PRORRATEO 2.8% 4.2há/148.3há] SERV.CONTRATISTA</t>
        </is>
      </c>
      <c r="M3286" s="232" t="inlineStr"/>
      <c r="N3286" s="232" t="inlineStr">
        <is>
          <t>.   .   -</t>
        </is>
      </c>
      <c r="O3286" s="232" t="inlineStr">
        <is>
          <t>ABRIL</t>
        </is>
      </c>
      <c r="P3286" s="232" t="n">
        <v>15</v>
      </c>
      <c r="Q3286" s="234" t="n">
        <v>74524</v>
      </c>
      <c r="R3286" s="232" t="inlineStr"/>
      <c r="S3286" s="234" t="n">
        <v>74524</v>
      </c>
      <c r="T3286" s="232" t="inlineStr">
        <is>
          <t>CLP</t>
        </is>
      </c>
      <c r="U3286" s="232" t="inlineStr">
        <is>
          <t>Prorrateo Ha PACKING</t>
        </is>
      </c>
      <c r="V3286" s="232" t="inlineStr">
        <is>
          <t>2026-06-18</t>
        </is>
      </c>
    </row>
    <row r="3287">
      <c r="A3287" s="232" t="inlineStr">
        <is>
          <t>CR-3284</t>
        </is>
      </c>
      <c r="B3287" s="232" t="inlineStr">
        <is>
          <t>2026/27</t>
        </is>
      </c>
      <c r="C3287" s="233" t="n">
        <v>46128</v>
      </c>
      <c r="D3287" s="232" t="inlineStr">
        <is>
          <t>373</t>
        </is>
      </c>
      <c r="E3287" s="232" t="inlineStr">
        <is>
          <t>PRORRATEO</t>
        </is>
      </c>
      <c r="F3287" s="232" t="inlineStr">
        <is>
          <t>Santa Catalina</t>
        </is>
      </c>
      <c r="G3287" s="232" t="inlineStr">
        <is>
          <t>eureka 10,6 ha</t>
        </is>
      </c>
      <c r="H3287" s="232" t="inlineStr">
        <is>
          <t>Limon</t>
        </is>
      </c>
      <c r="I3287" s="232" t="inlineStr">
        <is>
          <t>Eureka</t>
        </is>
      </c>
      <c r="J3287" s="232" t="inlineStr">
        <is>
          <t>LABORES OPERACIONALES</t>
        </is>
      </c>
      <c r="K3287" s="232" t="inlineStr">
        <is>
          <t>LAB. PACKING</t>
        </is>
      </c>
      <c r="L3287" s="232" t="inlineStr">
        <is>
          <t>[PRORRATEO 7.1% 10.6há/148.3há] SERV.CONTRATISTA</t>
        </is>
      </c>
      <c r="M3287" s="232" t="inlineStr"/>
      <c r="N3287" s="232" t="inlineStr">
        <is>
          <t>.   .   -</t>
        </is>
      </c>
      <c r="O3287" s="232" t="inlineStr">
        <is>
          <t>ABRIL</t>
        </is>
      </c>
      <c r="P3287" s="232" t="n">
        <v>15</v>
      </c>
      <c r="Q3287" s="234" t="n">
        <v>188085</v>
      </c>
      <c r="R3287" s="232" t="inlineStr"/>
      <c r="S3287" s="234" t="n">
        <v>188085</v>
      </c>
      <c r="T3287" s="232" t="inlineStr">
        <is>
          <t>CLP</t>
        </is>
      </c>
      <c r="U3287" s="232" t="inlineStr">
        <is>
          <t>Prorrateo Ha PACKING</t>
        </is>
      </c>
      <c r="V3287" s="232" t="inlineStr">
        <is>
          <t>2026-06-18</t>
        </is>
      </c>
    </row>
    <row r="3288">
      <c r="A3288" s="232" t="inlineStr">
        <is>
          <t>CR-3285</t>
        </is>
      </c>
      <c r="B3288" s="232" t="inlineStr">
        <is>
          <t>2026/27</t>
        </is>
      </c>
      <c r="C3288" s="233" t="n">
        <v>46128</v>
      </c>
      <c r="D3288" s="232" t="inlineStr">
        <is>
          <t>373</t>
        </is>
      </c>
      <c r="E3288" s="232" t="inlineStr">
        <is>
          <t>PRORRATEO</t>
        </is>
      </c>
      <c r="F3288" s="232" t="inlineStr">
        <is>
          <t>Santa Catalina</t>
        </is>
      </c>
      <c r="G3288" s="232" t="inlineStr">
        <is>
          <t>eureka 14,4 ha</t>
        </is>
      </c>
      <c r="H3288" s="232" t="inlineStr">
        <is>
          <t>Limon</t>
        </is>
      </c>
      <c r="I3288" s="232" t="inlineStr">
        <is>
          <t>Eureka</t>
        </is>
      </c>
      <c r="J3288" s="232" t="inlineStr">
        <is>
          <t>LABORES OPERACIONALES</t>
        </is>
      </c>
      <c r="K3288" s="232" t="inlineStr">
        <is>
          <t>LAB. PACKING</t>
        </is>
      </c>
      <c r="L3288" s="232" t="inlineStr">
        <is>
          <t>[PRORRATEO 9.7% 14.4há/148.3há] SERV.CONTRATISTA</t>
        </is>
      </c>
      <c r="M3288" s="232" t="inlineStr"/>
      <c r="N3288" s="232" t="inlineStr">
        <is>
          <t>.   .   -</t>
        </is>
      </c>
      <c r="O3288" s="232" t="inlineStr">
        <is>
          <t>ABRIL</t>
        </is>
      </c>
      <c r="P3288" s="232" t="n">
        <v>15</v>
      </c>
      <c r="Q3288" s="234" t="n">
        <v>255511</v>
      </c>
      <c r="R3288" s="232" t="inlineStr"/>
      <c r="S3288" s="234" t="n">
        <v>255511</v>
      </c>
      <c r="T3288" s="232" t="inlineStr">
        <is>
          <t>CLP</t>
        </is>
      </c>
      <c r="U3288" s="232" t="inlineStr">
        <is>
          <t>Prorrateo Ha PACKING</t>
        </is>
      </c>
      <c r="V3288" s="232" t="inlineStr">
        <is>
          <t>2026-06-18</t>
        </is>
      </c>
    </row>
    <row r="3289">
      <c r="A3289" s="232" t="inlineStr">
        <is>
          <t>CR-3286</t>
        </is>
      </c>
      <c r="B3289" s="232" t="inlineStr">
        <is>
          <t>2026/27</t>
        </is>
      </c>
      <c r="C3289" s="233" t="n">
        <v>46128</v>
      </c>
      <c r="D3289" s="232" t="inlineStr">
        <is>
          <t>373</t>
        </is>
      </c>
      <c r="E3289" s="232" t="inlineStr">
        <is>
          <t>PRORRATEO</t>
        </is>
      </c>
      <c r="F3289" s="232" t="inlineStr">
        <is>
          <t>Santa Catalina</t>
        </is>
      </c>
      <c r="G3289" s="232" t="inlineStr">
        <is>
          <t>eureka 22,55</t>
        </is>
      </c>
      <c r="H3289" s="232" t="inlineStr">
        <is>
          <t>Limon</t>
        </is>
      </c>
      <c r="I3289" s="232" t="inlineStr">
        <is>
          <t>Eureka</t>
        </is>
      </c>
      <c r="J3289" s="232" t="inlineStr">
        <is>
          <t>LABORES OPERACIONALES</t>
        </is>
      </c>
      <c r="K3289" s="232" t="inlineStr">
        <is>
          <t>LAB. PACKING</t>
        </is>
      </c>
      <c r="L3289" s="232" t="inlineStr">
        <is>
          <t>[PRORRATEO 15.2% 22.55há/148.3há] SERV.CONTRATISTA</t>
        </is>
      </c>
      <c r="M3289" s="232" t="inlineStr"/>
      <c r="N3289" s="232" t="inlineStr">
        <is>
          <t>.   .   -</t>
        </is>
      </c>
      <c r="O3289" s="232" t="inlineStr">
        <is>
          <t>ABRIL</t>
        </is>
      </c>
      <c r="P3289" s="232" t="n">
        <v>15</v>
      </c>
      <c r="Q3289" s="234" t="n">
        <v>400123</v>
      </c>
      <c r="R3289" s="232" t="inlineStr"/>
      <c r="S3289" s="234" t="n">
        <v>400123</v>
      </c>
      <c r="T3289" s="232" t="inlineStr">
        <is>
          <t>CLP</t>
        </is>
      </c>
      <c r="U3289" s="232" t="inlineStr">
        <is>
          <t>Prorrateo Ha PACKING</t>
        </is>
      </c>
      <c r="V3289" s="232" t="inlineStr">
        <is>
          <t>2026-06-18</t>
        </is>
      </c>
    </row>
    <row r="3290">
      <c r="A3290" s="232" t="inlineStr">
        <is>
          <t>CR-3287</t>
        </is>
      </c>
      <c r="B3290" s="232" t="inlineStr">
        <is>
          <t>2026/27</t>
        </is>
      </c>
      <c r="C3290" s="233" t="n">
        <v>46128</v>
      </c>
      <c r="D3290" s="232" t="inlineStr">
        <is>
          <t>373</t>
        </is>
      </c>
      <c r="E3290" s="232" t="inlineStr">
        <is>
          <t>PRORRATEO</t>
        </is>
      </c>
      <c r="F3290" s="232" t="inlineStr">
        <is>
          <t>Santa Catalina</t>
        </is>
      </c>
      <c r="G3290" s="232" t="inlineStr">
        <is>
          <t>form benjamin 1,93 ha</t>
        </is>
      </c>
      <c r="H3290" s="232" t="inlineStr">
        <is>
          <t>Limon</t>
        </is>
      </c>
      <c r="I3290" s="232" t="inlineStr">
        <is>
          <t>Benjamin andes</t>
        </is>
      </c>
      <c r="J3290" s="232" t="inlineStr">
        <is>
          <t>LABORES OPERACIONALES</t>
        </is>
      </c>
      <c r="K3290" s="232" t="inlineStr">
        <is>
          <t>LAB. PACKING</t>
        </is>
      </c>
      <c r="L3290" s="232" t="inlineStr">
        <is>
          <t>[PRORRATEO 1.3% 1.93há/148.3há] SERV.CONTRATISTA</t>
        </is>
      </c>
      <c r="M3290" s="232" t="inlineStr"/>
      <c r="N3290" s="232" t="inlineStr">
        <is>
          <t>.   .   -</t>
        </is>
      </c>
      <c r="O3290" s="232" t="inlineStr">
        <is>
          <t>ABRIL</t>
        </is>
      </c>
      <c r="P3290" s="232" t="n">
        <v>15</v>
      </c>
      <c r="Q3290" s="234" t="n">
        <v>34246</v>
      </c>
      <c r="R3290" s="232" t="inlineStr"/>
      <c r="S3290" s="234" t="n">
        <v>34246</v>
      </c>
      <c r="T3290" s="232" t="inlineStr">
        <is>
          <t>CLP</t>
        </is>
      </c>
      <c r="U3290" s="232" t="inlineStr">
        <is>
          <t>Prorrateo Ha PACKING</t>
        </is>
      </c>
      <c r="V3290" s="232" t="inlineStr">
        <is>
          <t>2026-06-18</t>
        </is>
      </c>
    </row>
    <row r="3291">
      <c r="A3291" s="232" t="inlineStr">
        <is>
          <t>CR-3288</t>
        </is>
      </c>
      <c r="B3291" s="232" t="inlineStr">
        <is>
          <t>2026/27</t>
        </is>
      </c>
      <c r="C3291" s="233" t="n">
        <v>46128</v>
      </c>
      <c r="D3291" s="232" t="inlineStr">
        <is>
          <t>373</t>
        </is>
      </c>
      <c r="E3291" s="232" t="inlineStr">
        <is>
          <t>PRORRATEO</t>
        </is>
      </c>
      <c r="F3291" s="232" t="inlineStr">
        <is>
          <t>Santa Catalina</t>
        </is>
      </c>
      <c r="G3291" s="232" t="inlineStr">
        <is>
          <t>mant eureka 2,5 ha</t>
        </is>
      </c>
      <c r="H3291" s="232" t="inlineStr">
        <is>
          <t>Limon</t>
        </is>
      </c>
      <c r="I3291" s="232" t="inlineStr">
        <is>
          <t>Eureka</t>
        </is>
      </c>
      <c r="J3291" s="232" t="inlineStr">
        <is>
          <t>LABORES OPERACIONALES</t>
        </is>
      </c>
      <c r="K3291" s="232" t="inlineStr">
        <is>
          <t>LAB. PACKING</t>
        </is>
      </c>
      <c r="L3291" s="232" t="inlineStr">
        <is>
          <t>[PRORRATEO 1.7% 2.5há/148.3há] SERV.CONTRATISTA</t>
        </is>
      </c>
      <c r="M3291" s="232" t="inlineStr"/>
      <c r="N3291" s="232" t="inlineStr">
        <is>
          <t>.   .   -</t>
        </is>
      </c>
      <c r="O3291" s="232" t="inlineStr">
        <is>
          <t>ABRIL</t>
        </is>
      </c>
      <c r="P3291" s="232" t="n">
        <v>15</v>
      </c>
      <c r="Q3291" s="234" t="n">
        <v>44360</v>
      </c>
      <c r="R3291" s="232" t="inlineStr"/>
      <c r="S3291" s="234" t="n">
        <v>44360</v>
      </c>
      <c r="T3291" s="232" t="inlineStr">
        <is>
          <t>CLP</t>
        </is>
      </c>
      <c r="U3291" s="232" t="inlineStr">
        <is>
          <t>Prorrateo Ha PACKING</t>
        </is>
      </c>
      <c r="V3291" s="232" t="inlineStr">
        <is>
          <t>2026-06-18</t>
        </is>
      </c>
    </row>
    <row r="3292">
      <c r="A3292" s="232" t="inlineStr">
        <is>
          <t>CR-3289</t>
        </is>
      </c>
      <c r="B3292" s="232" t="inlineStr">
        <is>
          <t>2026/27</t>
        </is>
      </c>
      <c r="C3292" s="233" t="n">
        <v>46128</v>
      </c>
      <c r="D3292" s="232" t="inlineStr">
        <is>
          <t>373</t>
        </is>
      </c>
      <c r="E3292" s="232" t="inlineStr">
        <is>
          <t>PRORRATEO</t>
        </is>
      </c>
      <c r="F3292" s="232" t="inlineStr">
        <is>
          <t>Siberia</t>
        </is>
      </c>
      <c r="G3292" s="232" t="inlineStr">
        <is>
          <t>S. Celebration 7,14</t>
        </is>
      </c>
      <c r="H3292" s="232" t="inlineStr">
        <is>
          <t>Uvas</t>
        </is>
      </c>
      <c r="I3292" s="232" t="inlineStr">
        <is>
          <t>S. celebration</t>
        </is>
      </c>
      <c r="J3292" s="232" t="inlineStr">
        <is>
          <t>LABORES OPERACIONALES</t>
        </is>
      </c>
      <c r="K3292" s="232" t="inlineStr">
        <is>
          <t>LAB. PACKING</t>
        </is>
      </c>
      <c r="L3292" s="232" t="inlineStr">
        <is>
          <t>[PRORRATEO 4.8% 7.14há/148.3há] SERV.CONTRATISTA</t>
        </is>
      </c>
      <c r="M3292" s="232" t="inlineStr"/>
      <c r="N3292" s="232" t="inlineStr">
        <is>
          <t>.   .   -</t>
        </is>
      </c>
      <c r="O3292" s="232" t="inlineStr">
        <is>
          <t>ABRIL</t>
        </is>
      </c>
      <c r="P3292" s="232" t="n">
        <v>15</v>
      </c>
      <c r="Q3292" s="234" t="n">
        <v>126691</v>
      </c>
      <c r="R3292" s="232" t="inlineStr"/>
      <c r="S3292" s="234" t="n">
        <v>126691</v>
      </c>
      <c r="T3292" s="232" t="inlineStr">
        <is>
          <t>CLP</t>
        </is>
      </c>
      <c r="U3292" s="232" t="inlineStr">
        <is>
          <t>Prorrateo Ha PACKING</t>
        </is>
      </c>
      <c r="V3292" s="232" t="inlineStr">
        <is>
          <t>2026-06-18</t>
        </is>
      </c>
    </row>
    <row r="3293">
      <c r="A3293" s="232" t="inlineStr">
        <is>
          <t>CR-3290</t>
        </is>
      </c>
      <c r="B3293" s="232" t="inlineStr">
        <is>
          <t>2026/27</t>
        </is>
      </c>
      <c r="C3293" s="233" t="n">
        <v>46128</v>
      </c>
      <c r="D3293" s="232" t="inlineStr">
        <is>
          <t>373</t>
        </is>
      </c>
      <c r="E3293" s="232" t="inlineStr">
        <is>
          <t>PRORRATEO</t>
        </is>
      </c>
      <c r="F3293" s="232" t="inlineStr">
        <is>
          <t>Siberia</t>
        </is>
      </c>
      <c r="G3293" s="232" t="inlineStr">
        <is>
          <t>Timpson 7,1</t>
        </is>
      </c>
      <c r="H3293" s="232" t="inlineStr">
        <is>
          <t>Uvas</t>
        </is>
      </c>
      <c r="I3293" s="232" t="inlineStr">
        <is>
          <t>Timpson</t>
        </is>
      </c>
      <c r="J3293" s="232" t="inlineStr">
        <is>
          <t>LABORES OPERACIONALES</t>
        </is>
      </c>
      <c r="K3293" s="232" t="inlineStr">
        <is>
          <t>LAB. PACKING</t>
        </is>
      </c>
      <c r="L3293" s="232" t="inlineStr">
        <is>
          <t>[PRORRATEO 4.8% 7.1há/148.3há] SERV.CONTRATISTA</t>
        </is>
      </c>
      <c r="M3293" s="232" t="inlineStr"/>
      <c r="N3293" s="232" t="inlineStr">
        <is>
          <t>.   .   -</t>
        </is>
      </c>
      <c r="O3293" s="232" t="inlineStr">
        <is>
          <t>ABRIL</t>
        </is>
      </c>
      <c r="P3293" s="232" t="n">
        <v>15</v>
      </c>
      <c r="Q3293" s="234" t="n">
        <v>125981</v>
      </c>
      <c r="R3293" s="232" t="inlineStr"/>
      <c r="S3293" s="234" t="n">
        <v>125981</v>
      </c>
      <c r="T3293" s="232" t="inlineStr">
        <is>
          <t>CLP</t>
        </is>
      </c>
      <c r="U3293" s="232" t="inlineStr">
        <is>
          <t>Prorrateo Ha PACKING</t>
        </is>
      </c>
      <c r="V3293" s="232" t="inlineStr">
        <is>
          <t>2026-06-18</t>
        </is>
      </c>
    </row>
    <row r="3294">
      <c r="A3294" s="232" t="inlineStr">
        <is>
          <t>CR-3291</t>
        </is>
      </c>
      <c r="B3294" s="232" t="inlineStr">
        <is>
          <t>2026/27</t>
        </is>
      </c>
      <c r="C3294" s="233" t="n">
        <v>46126</v>
      </c>
      <c r="D3294" s="232" t="inlineStr">
        <is>
          <t>461158</t>
        </is>
      </c>
      <c r="E3294" s="232" t="inlineStr">
        <is>
          <t>PRORRATEO</t>
        </is>
      </c>
      <c r="F3294" s="232" t="inlineStr">
        <is>
          <t>Asmara</t>
        </is>
      </c>
      <c r="G3294" s="232" t="inlineStr">
        <is>
          <t>w. murcott 19,8 ha</t>
        </is>
      </c>
      <c r="H3294" s="232" t="inlineStr">
        <is>
          <t>Mandarina</t>
        </is>
      </c>
      <c r="I3294" s="232" t="inlineStr">
        <is>
          <t>W. murcott</t>
        </is>
      </c>
      <c r="J3294" s="232" t="inlineStr">
        <is>
          <t>COMBUSTIBLE</t>
        </is>
      </c>
      <c r="K3294" s="232" t="inlineStr">
        <is>
          <t>MOLLE GRUA HORQUILLA</t>
        </is>
      </c>
      <c r="L3294" s="232" t="inlineStr">
        <is>
          <t>[PRORRATEO 13.4% 19.8há/148.3há] O/001601 GAS ENV. 1</t>
        </is>
      </c>
      <c r="M3294" s="232" t="inlineStr"/>
      <c r="N3294" s="232" t="inlineStr">
        <is>
          <t>.   .   -</t>
        </is>
      </c>
      <c r="O3294" s="232" t="inlineStr">
        <is>
          <t>ABRIL</t>
        </is>
      </c>
      <c r="P3294" s="232" t="n">
        <v>14</v>
      </c>
      <c r="Q3294" s="234" t="n">
        <v>5996</v>
      </c>
      <c r="R3294" s="232" t="inlineStr"/>
      <c r="S3294" s="234" t="n">
        <v>5996</v>
      </c>
      <c r="T3294" s="232" t="inlineStr">
        <is>
          <t>CLP</t>
        </is>
      </c>
      <c r="U3294" s="232" t="inlineStr">
        <is>
          <t>Prorrateo Ha PACKING</t>
        </is>
      </c>
      <c r="V3294" s="232" t="inlineStr">
        <is>
          <t>2026-06-18</t>
        </is>
      </c>
    </row>
    <row r="3295">
      <c r="A3295" s="232" t="inlineStr">
        <is>
          <t>CR-3292</t>
        </is>
      </c>
      <c r="B3295" s="232" t="inlineStr">
        <is>
          <t>2026/27</t>
        </is>
      </c>
      <c r="C3295" s="233" t="n">
        <v>46126</v>
      </c>
      <c r="D3295" s="232" t="inlineStr">
        <is>
          <t>461158</t>
        </is>
      </c>
      <c r="E3295" s="232" t="inlineStr">
        <is>
          <t>PRORRATEO</t>
        </is>
      </c>
      <c r="F3295" s="232" t="inlineStr">
        <is>
          <t>Asmara</t>
        </is>
      </c>
      <c r="G3295" s="232" t="inlineStr">
        <is>
          <t>w. murcott 4,9 ha</t>
        </is>
      </c>
      <c r="H3295" s="232" t="inlineStr">
        <is>
          <t>Mandarina</t>
        </is>
      </c>
      <c r="I3295" s="232" t="inlineStr">
        <is>
          <t>W. murcott</t>
        </is>
      </c>
      <c r="J3295" s="232" t="inlineStr">
        <is>
          <t>COMBUSTIBLE</t>
        </is>
      </c>
      <c r="K3295" s="232" t="inlineStr">
        <is>
          <t>MOLLE GRUA HORQUILLA</t>
        </is>
      </c>
      <c r="L3295" s="232" t="inlineStr">
        <is>
          <t>[PRORRATEO 3.3% 4.9há/148.3há] O/001601 GAS ENV. 1</t>
        </is>
      </c>
      <c r="M3295" s="232" t="inlineStr"/>
      <c r="N3295" s="232" t="inlineStr">
        <is>
          <t>.   .   -</t>
        </is>
      </c>
      <c r="O3295" s="232" t="inlineStr">
        <is>
          <t>ABRIL</t>
        </is>
      </c>
      <c r="P3295" s="232" t="n">
        <v>14</v>
      </c>
      <c r="Q3295" s="234" t="n">
        <v>1484</v>
      </c>
      <c r="R3295" s="232" t="inlineStr"/>
      <c r="S3295" s="234" t="n">
        <v>1484</v>
      </c>
      <c r="T3295" s="232" t="inlineStr">
        <is>
          <t>CLP</t>
        </is>
      </c>
      <c r="U3295" s="232" t="inlineStr">
        <is>
          <t>Prorrateo Ha PACKING</t>
        </is>
      </c>
      <c r="V3295" s="232" t="inlineStr">
        <is>
          <t>2026-06-18</t>
        </is>
      </c>
    </row>
    <row r="3296">
      <c r="A3296" s="232" t="inlineStr">
        <is>
          <t>CR-3293</t>
        </is>
      </c>
      <c r="B3296" s="232" t="inlineStr">
        <is>
          <t>2026/27</t>
        </is>
      </c>
      <c r="C3296" s="233" t="n">
        <v>46126</v>
      </c>
      <c r="D3296" s="232" t="inlineStr">
        <is>
          <t>461158</t>
        </is>
      </c>
      <c r="E3296" s="232" t="inlineStr">
        <is>
          <t>PRORRATEO</t>
        </is>
      </c>
      <c r="F3296" s="232" t="inlineStr">
        <is>
          <t>El Molle</t>
        </is>
      </c>
      <c r="G3296" s="232" t="inlineStr">
        <is>
          <t>Wonderful 5,25 ha</t>
        </is>
      </c>
      <c r="H3296" s="232" t="inlineStr">
        <is>
          <t>Granados</t>
        </is>
      </c>
      <c r="I3296" s="232" t="inlineStr">
        <is>
          <t>Wonderfull</t>
        </is>
      </c>
      <c r="J3296" s="232" t="inlineStr">
        <is>
          <t>COMBUSTIBLE</t>
        </is>
      </c>
      <c r="K3296" s="232" t="inlineStr">
        <is>
          <t>MOLLE GRUA HORQUILLA</t>
        </is>
      </c>
      <c r="L3296" s="232" t="inlineStr">
        <is>
          <t>[PRORRATEO 3.5% 5.24há/148.3há] O/001601 GAS ENV. 1</t>
        </is>
      </c>
      <c r="M3296" s="232" t="inlineStr"/>
      <c r="N3296" s="232" t="inlineStr">
        <is>
          <t>.   .   -</t>
        </is>
      </c>
      <c r="O3296" s="232" t="inlineStr">
        <is>
          <t>ABRIL</t>
        </is>
      </c>
      <c r="P3296" s="232" t="n">
        <v>14</v>
      </c>
      <c r="Q3296" s="234" t="n">
        <v>1587</v>
      </c>
      <c r="R3296" s="232" t="inlineStr"/>
      <c r="S3296" s="234" t="n">
        <v>1587</v>
      </c>
      <c r="T3296" s="232" t="inlineStr">
        <is>
          <t>CLP</t>
        </is>
      </c>
      <c r="U3296" s="232" t="inlineStr">
        <is>
          <t>Prorrateo Ha PACKING</t>
        </is>
      </c>
      <c r="V3296" s="232" t="inlineStr">
        <is>
          <t>2026-06-18</t>
        </is>
      </c>
    </row>
    <row r="3297">
      <c r="A3297" s="232" t="inlineStr">
        <is>
          <t>CR-3294</t>
        </is>
      </c>
      <c r="B3297" s="232" t="inlineStr">
        <is>
          <t>2026/27</t>
        </is>
      </c>
      <c r="C3297" s="233" t="n">
        <v>46126</v>
      </c>
      <c r="D3297" s="232" t="inlineStr">
        <is>
          <t>461158</t>
        </is>
      </c>
      <c r="E3297" s="232" t="inlineStr">
        <is>
          <t>PRORRATEO</t>
        </is>
      </c>
      <c r="F3297" s="232" t="inlineStr">
        <is>
          <t>El Molle</t>
        </is>
      </c>
      <c r="G3297" s="232" t="inlineStr">
        <is>
          <t>arrufatinas 5,74 ha</t>
        </is>
      </c>
      <c r="H3297" s="232" t="inlineStr">
        <is>
          <t>Clementinas</t>
        </is>
      </c>
      <c r="I3297" s="232" t="inlineStr">
        <is>
          <t>Arrufatinas</t>
        </is>
      </c>
      <c r="J3297" s="232" t="inlineStr">
        <is>
          <t>COMBUSTIBLE</t>
        </is>
      </c>
      <c r="K3297" s="232" t="inlineStr">
        <is>
          <t>MOLLE GRUA HORQUILLA</t>
        </is>
      </c>
      <c r="L3297" s="232" t="inlineStr">
        <is>
          <t>[PRORRATEO 3.9% 5.74há/148.3há] O/001601 GAS ENV. 1</t>
        </is>
      </c>
      <c r="M3297" s="232" t="inlineStr"/>
      <c r="N3297" s="232" t="inlineStr">
        <is>
          <t>.   .   -</t>
        </is>
      </c>
      <c r="O3297" s="232" t="inlineStr">
        <is>
          <t>ABRIL</t>
        </is>
      </c>
      <c r="P3297" s="232" t="n">
        <v>14</v>
      </c>
      <c r="Q3297" s="234" t="n">
        <v>1738</v>
      </c>
      <c r="R3297" s="232" t="inlineStr"/>
      <c r="S3297" s="234" t="n">
        <v>1738</v>
      </c>
      <c r="T3297" s="232" t="inlineStr">
        <is>
          <t>CLP</t>
        </is>
      </c>
      <c r="U3297" s="232" t="inlineStr">
        <is>
          <t>Prorrateo Ha PACKING</t>
        </is>
      </c>
      <c r="V3297" s="232" t="inlineStr">
        <is>
          <t>2026-06-18</t>
        </is>
      </c>
    </row>
    <row r="3298">
      <c r="A3298" s="232" t="inlineStr">
        <is>
          <t>CR-3295</t>
        </is>
      </c>
      <c r="B3298" s="232" t="inlineStr">
        <is>
          <t>2026/27</t>
        </is>
      </c>
      <c r="C3298" s="233" t="n">
        <v>46126</v>
      </c>
      <c r="D3298" s="232" t="inlineStr">
        <is>
          <t>461158</t>
        </is>
      </c>
      <c r="E3298" s="232" t="inlineStr">
        <is>
          <t>PRORRATEO</t>
        </is>
      </c>
      <c r="F3298" s="232" t="inlineStr">
        <is>
          <t>El Molle</t>
        </is>
      </c>
      <c r="G3298" s="232" t="inlineStr">
        <is>
          <t>orogrande 8,11 ha</t>
        </is>
      </c>
      <c r="H3298" s="232" t="inlineStr">
        <is>
          <t>Clementinas</t>
        </is>
      </c>
      <c r="I3298" s="232" t="inlineStr">
        <is>
          <t>Orogrande</t>
        </is>
      </c>
      <c r="J3298" s="232" t="inlineStr">
        <is>
          <t>COMBUSTIBLE</t>
        </is>
      </c>
      <c r="K3298" s="232" t="inlineStr">
        <is>
          <t>MOLLE GRUA HORQUILLA</t>
        </is>
      </c>
      <c r="L3298" s="232" t="inlineStr">
        <is>
          <t>[PRORRATEO 5.5% 8.11há/148.3há] O/001601 GAS ENV. 1</t>
        </is>
      </c>
      <c r="M3298" s="232" t="inlineStr"/>
      <c r="N3298" s="232" t="inlineStr">
        <is>
          <t>.   .   -</t>
        </is>
      </c>
      <c r="O3298" s="232" t="inlineStr">
        <is>
          <t>ABRIL</t>
        </is>
      </c>
      <c r="P3298" s="232" t="n">
        <v>14</v>
      </c>
      <c r="Q3298" s="234" t="n">
        <v>2456</v>
      </c>
      <c r="R3298" s="232" t="inlineStr"/>
      <c r="S3298" s="234" t="n">
        <v>2456</v>
      </c>
      <c r="T3298" s="232" t="inlineStr">
        <is>
          <t>CLP</t>
        </is>
      </c>
      <c r="U3298" s="232" t="inlineStr">
        <is>
          <t>Prorrateo Ha PACKING</t>
        </is>
      </c>
      <c r="V3298" s="232" t="inlineStr">
        <is>
          <t>2026-06-18</t>
        </is>
      </c>
    </row>
    <row r="3299">
      <c r="A3299" s="232" t="inlineStr">
        <is>
          <t>CR-3296</t>
        </is>
      </c>
      <c r="B3299" s="232" t="inlineStr">
        <is>
          <t>2026/27</t>
        </is>
      </c>
      <c r="C3299" s="233" t="n">
        <v>46126</v>
      </c>
      <c r="D3299" s="232" t="inlineStr">
        <is>
          <t>461158</t>
        </is>
      </c>
      <c r="E3299" s="232" t="inlineStr">
        <is>
          <t>PRORRATEO</t>
        </is>
      </c>
      <c r="F3299" s="232" t="inlineStr">
        <is>
          <t>El Molle</t>
        </is>
      </c>
      <c r="G3299" s="232" t="inlineStr">
        <is>
          <t>oronules 5,35 ha</t>
        </is>
      </c>
      <c r="H3299" s="232" t="inlineStr">
        <is>
          <t>Clementinas</t>
        </is>
      </c>
      <c r="I3299" s="232" t="inlineStr">
        <is>
          <t>Oronules</t>
        </is>
      </c>
      <c r="J3299" s="232" t="inlineStr">
        <is>
          <t>COMBUSTIBLE</t>
        </is>
      </c>
      <c r="K3299" s="232" t="inlineStr">
        <is>
          <t>MOLLE GRUA HORQUILLA</t>
        </is>
      </c>
      <c r="L3299" s="232" t="inlineStr">
        <is>
          <t>[PRORRATEO 3.6% 5.35há/148.3há] O/001601 GAS ENV. 1</t>
        </is>
      </c>
      <c r="M3299" s="232" t="inlineStr"/>
      <c r="N3299" s="232" t="inlineStr">
        <is>
          <t>.   .   -</t>
        </is>
      </c>
      <c r="O3299" s="232" t="inlineStr">
        <is>
          <t>ABRIL</t>
        </is>
      </c>
      <c r="P3299" s="232" t="n">
        <v>14</v>
      </c>
      <c r="Q3299" s="234" t="n">
        <v>1620</v>
      </c>
      <c r="R3299" s="232" t="inlineStr"/>
      <c r="S3299" s="234" t="n">
        <v>1620</v>
      </c>
      <c r="T3299" s="232" t="inlineStr">
        <is>
          <t>CLP</t>
        </is>
      </c>
      <c r="U3299" s="232" t="inlineStr">
        <is>
          <t>Prorrateo Ha PACKING</t>
        </is>
      </c>
      <c r="V3299" s="232" t="inlineStr">
        <is>
          <t>2026-06-18</t>
        </is>
      </c>
    </row>
    <row r="3300">
      <c r="A3300" s="232" t="inlineStr">
        <is>
          <t>CR-3297</t>
        </is>
      </c>
      <c r="B3300" s="232" t="inlineStr">
        <is>
          <t>2026/27</t>
        </is>
      </c>
      <c r="C3300" s="233" t="n">
        <v>46126</v>
      </c>
      <c r="D3300" s="232" t="inlineStr">
        <is>
          <t>461158</t>
        </is>
      </c>
      <c r="E3300" s="232" t="inlineStr">
        <is>
          <t>PRORRATEO</t>
        </is>
      </c>
      <c r="F3300" s="232" t="inlineStr">
        <is>
          <t>Santa Catalina</t>
        </is>
      </c>
      <c r="G3300" s="232" t="inlineStr">
        <is>
          <t>Fino 49 7,7 ha</t>
        </is>
      </c>
      <c r="H3300" s="232" t="inlineStr">
        <is>
          <t>Limon</t>
        </is>
      </c>
      <c r="I3300" s="232" t="inlineStr">
        <is>
          <t>Fino 49</t>
        </is>
      </c>
      <c r="J3300" s="232" t="inlineStr">
        <is>
          <t>COMBUSTIBLE</t>
        </is>
      </c>
      <c r="K3300" s="232" t="inlineStr">
        <is>
          <t>MOLLE GRUA HORQUILLA</t>
        </is>
      </c>
      <c r="L3300" s="232" t="inlineStr">
        <is>
          <t>[PRORRATEO 5.2% 7.7há/148.3há] O/001601 GAS ENV. 1</t>
        </is>
      </c>
      <c r="M3300" s="232" t="inlineStr"/>
      <c r="N3300" s="232" t="inlineStr">
        <is>
          <t>.   .   -</t>
        </is>
      </c>
      <c r="O3300" s="232" t="inlineStr">
        <is>
          <t>ABRIL</t>
        </is>
      </c>
      <c r="P3300" s="232" t="n">
        <v>14</v>
      </c>
      <c r="Q3300" s="234" t="n">
        <v>2332</v>
      </c>
      <c r="R3300" s="232" t="inlineStr"/>
      <c r="S3300" s="234" t="n">
        <v>2332</v>
      </c>
      <c r="T3300" s="232" t="inlineStr">
        <is>
          <t>CLP</t>
        </is>
      </c>
      <c r="U3300" s="232" t="inlineStr">
        <is>
          <t>Prorrateo Ha PACKING</t>
        </is>
      </c>
      <c r="V3300" s="232" t="inlineStr">
        <is>
          <t>2026-06-18</t>
        </is>
      </c>
    </row>
    <row r="3301">
      <c r="A3301" s="232" t="inlineStr">
        <is>
          <t>CR-3298</t>
        </is>
      </c>
      <c r="B3301" s="232" t="inlineStr">
        <is>
          <t>2026/27</t>
        </is>
      </c>
      <c r="C3301" s="233" t="n">
        <v>46126</v>
      </c>
      <c r="D3301" s="232" t="inlineStr">
        <is>
          <t>461158</t>
        </is>
      </c>
      <c r="E3301" s="232" t="inlineStr">
        <is>
          <t>PRORRATEO</t>
        </is>
      </c>
      <c r="F3301" s="232" t="inlineStr">
        <is>
          <t>Santa Catalina</t>
        </is>
      </c>
      <c r="G3301" s="232" t="inlineStr">
        <is>
          <t>W. murcott 21 ha</t>
        </is>
      </c>
      <c r="H3301" s="232" t="inlineStr">
        <is>
          <t>Mandarina</t>
        </is>
      </c>
      <c r="I3301" s="232" t="inlineStr">
        <is>
          <t>W. murcott</t>
        </is>
      </c>
      <c r="J3301" s="232" t="inlineStr">
        <is>
          <t>COMBUSTIBLE</t>
        </is>
      </c>
      <c r="K3301" s="232" t="inlineStr">
        <is>
          <t>MOLLE GRUA HORQUILLA</t>
        </is>
      </c>
      <c r="L3301" s="232" t="inlineStr">
        <is>
          <t>[PRORRATEO 14.2% 21.0há/148.3há] O/001601 GAS ENV. 1</t>
        </is>
      </c>
      <c r="M3301" s="232" t="inlineStr"/>
      <c r="N3301" s="232" t="inlineStr">
        <is>
          <t>.   .   -</t>
        </is>
      </c>
      <c r="O3301" s="232" t="inlineStr">
        <is>
          <t>ABRIL</t>
        </is>
      </c>
      <c r="P3301" s="232" t="n">
        <v>14</v>
      </c>
      <c r="Q3301" s="234" t="n">
        <v>6359</v>
      </c>
      <c r="R3301" s="232" t="inlineStr"/>
      <c r="S3301" s="234" t="n">
        <v>6359</v>
      </c>
      <c r="T3301" s="232" t="inlineStr">
        <is>
          <t>CLP</t>
        </is>
      </c>
      <c r="U3301" s="232" t="inlineStr">
        <is>
          <t>Prorrateo Ha PACKING</t>
        </is>
      </c>
      <c r="V3301" s="232" t="inlineStr">
        <is>
          <t>2026-06-18</t>
        </is>
      </c>
    </row>
    <row r="3302">
      <c r="A3302" s="232" t="inlineStr">
        <is>
          <t>CR-3299</t>
        </is>
      </c>
      <c r="B3302" s="232" t="inlineStr">
        <is>
          <t>2026/27</t>
        </is>
      </c>
      <c r="C3302" s="233" t="n">
        <v>46126</v>
      </c>
      <c r="D3302" s="232" t="inlineStr">
        <is>
          <t>461158</t>
        </is>
      </c>
      <c r="E3302" s="232" t="inlineStr">
        <is>
          <t>PRORRATEO</t>
        </is>
      </c>
      <c r="F3302" s="232" t="inlineStr">
        <is>
          <t>Santa Catalina</t>
        </is>
      </c>
      <c r="G3302" s="232" t="inlineStr">
        <is>
          <t>cambria 4,2 ha</t>
        </is>
      </c>
      <c r="H3302" s="232" t="inlineStr">
        <is>
          <t>Naranjas</t>
        </is>
      </c>
      <c r="I3302" s="232" t="inlineStr">
        <is>
          <t>Cambria</t>
        </is>
      </c>
      <c r="J3302" s="232" t="inlineStr">
        <is>
          <t>COMBUSTIBLE</t>
        </is>
      </c>
      <c r="K3302" s="232" t="inlineStr">
        <is>
          <t>MOLLE GRUA HORQUILLA</t>
        </is>
      </c>
      <c r="L3302" s="232" t="inlineStr">
        <is>
          <t>[PRORRATEO 2.8% 4.2há/148.3há] O/001601 GAS ENV. 1</t>
        </is>
      </c>
      <c r="M3302" s="232" t="inlineStr"/>
      <c r="N3302" s="232" t="inlineStr">
        <is>
          <t>.   .   -</t>
        </is>
      </c>
      <c r="O3302" s="232" t="inlineStr">
        <is>
          <t>ABRIL</t>
        </is>
      </c>
      <c r="P3302" s="232" t="n">
        <v>14</v>
      </c>
      <c r="Q3302" s="234" t="n">
        <v>1272</v>
      </c>
      <c r="R3302" s="232" t="inlineStr"/>
      <c r="S3302" s="234" t="n">
        <v>1272</v>
      </c>
      <c r="T3302" s="232" t="inlineStr">
        <is>
          <t>CLP</t>
        </is>
      </c>
      <c r="U3302" s="232" t="inlineStr">
        <is>
          <t>Prorrateo Ha PACKING</t>
        </is>
      </c>
      <c r="V3302" s="232" t="inlineStr">
        <is>
          <t>2026-06-18</t>
        </is>
      </c>
    </row>
    <row r="3303">
      <c r="A3303" s="232" t="inlineStr">
        <is>
          <t>CR-3300</t>
        </is>
      </c>
      <c r="B3303" s="232" t="inlineStr">
        <is>
          <t>2026/27</t>
        </is>
      </c>
      <c r="C3303" s="233" t="n">
        <v>46126</v>
      </c>
      <c r="D3303" s="232" t="inlineStr">
        <is>
          <t>461158</t>
        </is>
      </c>
      <c r="E3303" s="232" t="inlineStr">
        <is>
          <t>PRORRATEO</t>
        </is>
      </c>
      <c r="F3303" s="232" t="inlineStr">
        <is>
          <t>Santa Catalina</t>
        </is>
      </c>
      <c r="G3303" s="232" t="inlineStr">
        <is>
          <t>eureka 10,6 ha</t>
        </is>
      </c>
      <c r="H3303" s="232" t="inlineStr">
        <is>
          <t>Limon</t>
        </is>
      </c>
      <c r="I3303" s="232" t="inlineStr">
        <is>
          <t>Eureka</t>
        </is>
      </c>
      <c r="J3303" s="232" t="inlineStr">
        <is>
          <t>COMBUSTIBLE</t>
        </is>
      </c>
      <c r="K3303" s="232" t="inlineStr">
        <is>
          <t>MOLLE GRUA HORQUILLA</t>
        </is>
      </c>
      <c r="L3303" s="232" t="inlineStr">
        <is>
          <t>[PRORRATEO 7.1% 10.6há/148.3há] O/001601 GAS ENV. 1</t>
        </is>
      </c>
      <c r="M3303" s="232" t="inlineStr"/>
      <c r="N3303" s="232" t="inlineStr">
        <is>
          <t>.   .   -</t>
        </is>
      </c>
      <c r="O3303" s="232" t="inlineStr">
        <is>
          <t>ABRIL</t>
        </is>
      </c>
      <c r="P3303" s="232" t="n">
        <v>14</v>
      </c>
      <c r="Q3303" s="234" t="n">
        <v>3210</v>
      </c>
      <c r="R3303" s="232" t="inlineStr"/>
      <c r="S3303" s="234" t="n">
        <v>3210</v>
      </c>
      <c r="T3303" s="232" t="inlineStr">
        <is>
          <t>CLP</t>
        </is>
      </c>
      <c r="U3303" s="232" t="inlineStr">
        <is>
          <t>Prorrateo Ha PACKING</t>
        </is>
      </c>
      <c r="V3303" s="232" t="inlineStr">
        <is>
          <t>2026-06-18</t>
        </is>
      </c>
    </row>
    <row r="3304">
      <c r="A3304" s="232" t="inlineStr">
        <is>
          <t>CR-3301</t>
        </is>
      </c>
      <c r="B3304" s="232" t="inlineStr">
        <is>
          <t>2026/27</t>
        </is>
      </c>
      <c r="C3304" s="233" t="n">
        <v>46126</v>
      </c>
      <c r="D3304" s="232" t="inlineStr">
        <is>
          <t>461158</t>
        </is>
      </c>
      <c r="E3304" s="232" t="inlineStr">
        <is>
          <t>PRORRATEO</t>
        </is>
      </c>
      <c r="F3304" s="232" t="inlineStr">
        <is>
          <t>Santa Catalina</t>
        </is>
      </c>
      <c r="G3304" s="232" t="inlineStr">
        <is>
          <t>eureka 14,4 ha</t>
        </is>
      </c>
      <c r="H3304" s="232" t="inlineStr">
        <is>
          <t>Limon</t>
        </is>
      </c>
      <c r="I3304" s="232" t="inlineStr">
        <is>
          <t>Eureka</t>
        </is>
      </c>
      <c r="J3304" s="232" t="inlineStr">
        <is>
          <t>COMBUSTIBLE</t>
        </is>
      </c>
      <c r="K3304" s="232" t="inlineStr">
        <is>
          <t>MOLLE GRUA HORQUILLA</t>
        </is>
      </c>
      <c r="L3304" s="232" t="inlineStr">
        <is>
          <t>[PRORRATEO 9.7% 14.4há/148.3há] O/001601 GAS ENV. 1</t>
        </is>
      </c>
      <c r="M3304" s="232" t="inlineStr"/>
      <c r="N3304" s="232" t="inlineStr">
        <is>
          <t>.   .   -</t>
        </is>
      </c>
      <c r="O3304" s="232" t="inlineStr">
        <is>
          <t>ABRIL</t>
        </is>
      </c>
      <c r="P3304" s="232" t="n">
        <v>14</v>
      </c>
      <c r="Q3304" s="234" t="n">
        <v>4360</v>
      </c>
      <c r="R3304" s="232" t="inlineStr"/>
      <c r="S3304" s="234" t="n">
        <v>4360</v>
      </c>
      <c r="T3304" s="232" t="inlineStr">
        <is>
          <t>CLP</t>
        </is>
      </c>
      <c r="U3304" s="232" t="inlineStr">
        <is>
          <t>Prorrateo Ha PACKING</t>
        </is>
      </c>
      <c r="V3304" s="232" t="inlineStr">
        <is>
          <t>2026-06-18</t>
        </is>
      </c>
    </row>
    <row r="3305">
      <c r="A3305" s="232" t="inlineStr">
        <is>
          <t>CR-3302</t>
        </is>
      </c>
      <c r="B3305" s="232" t="inlineStr">
        <is>
          <t>2026/27</t>
        </is>
      </c>
      <c r="C3305" s="233" t="n">
        <v>46126</v>
      </c>
      <c r="D3305" s="232" t="inlineStr">
        <is>
          <t>461158</t>
        </is>
      </c>
      <c r="E3305" s="232" t="inlineStr">
        <is>
          <t>PRORRATEO</t>
        </is>
      </c>
      <c r="F3305" s="232" t="inlineStr">
        <is>
          <t>Santa Catalina</t>
        </is>
      </c>
      <c r="G3305" s="232" t="inlineStr">
        <is>
          <t>eureka 22,55</t>
        </is>
      </c>
      <c r="H3305" s="232" t="inlineStr">
        <is>
          <t>Limon</t>
        </is>
      </c>
      <c r="I3305" s="232" t="inlineStr">
        <is>
          <t>Eureka</t>
        </is>
      </c>
      <c r="J3305" s="232" t="inlineStr">
        <is>
          <t>COMBUSTIBLE</t>
        </is>
      </c>
      <c r="K3305" s="232" t="inlineStr">
        <is>
          <t>MOLLE GRUA HORQUILLA</t>
        </is>
      </c>
      <c r="L3305" s="232" t="inlineStr">
        <is>
          <t>[PRORRATEO 15.2% 22.55há/148.3há] O/001601 GAS ENV. 1</t>
        </is>
      </c>
      <c r="M3305" s="232" t="inlineStr"/>
      <c r="N3305" s="232" t="inlineStr">
        <is>
          <t>.   .   -</t>
        </is>
      </c>
      <c r="O3305" s="232" t="inlineStr">
        <is>
          <t>ABRIL</t>
        </is>
      </c>
      <c r="P3305" s="232" t="n">
        <v>14</v>
      </c>
      <c r="Q3305" s="234" t="n">
        <v>6828</v>
      </c>
      <c r="R3305" s="232" t="inlineStr"/>
      <c r="S3305" s="234" t="n">
        <v>6828</v>
      </c>
      <c r="T3305" s="232" t="inlineStr">
        <is>
          <t>CLP</t>
        </is>
      </c>
      <c r="U3305" s="232" t="inlineStr">
        <is>
          <t>Prorrateo Ha PACKING</t>
        </is>
      </c>
      <c r="V3305" s="232" t="inlineStr">
        <is>
          <t>2026-06-18</t>
        </is>
      </c>
    </row>
    <row r="3306">
      <c r="A3306" s="232" t="inlineStr">
        <is>
          <t>CR-3303</t>
        </is>
      </c>
      <c r="B3306" s="232" t="inlineStr">
        <is>
          <t>2026/27</t>
        </is>
      </c>
      <c r="C3306" s="233" t="n">
        <v>46126</v>
      </c>
      <c r="D3306" s="232" t="inlineStr">
        <is>
          <t>461158</t>
        </is>
      </c>
      <c r="E3306" s="232" t="inlineStr">
        <is>
          <t>PRORRATEO</t>
        </is>
      </c>
      <c r="F3306" s="232" t="inlineStr">
        <is>
          <t>Santa Catalina</t>
        </is>
      </c>
      <c r="G3306" s="232" t="inlineStr">
        <is>
          <t>form benjamin 1,93 ha</t>
        </is>
      </c>
      <c r="H3306" s="232" t="inlineStr">
        <is>
          <t>Limon</t>
        </is>
      </c>
      <c r="I3306" s="232" t="inlineStr">
        <is>
          <t>Benjamin andes</t>
        </is>
      </c>
      <c r="J3306" s="232" t="inlineStr">
        <is>
          <t>COMBUSTIBLE</t>
        </is>
      </c>
      <c r="K3306" s="232" t="inlineStr">
        <is>
          <t>MOLLE GRUA HORQUILLA</t>
        </is>
      </c>
      <c r="L3306" s="232" t="inlineStr">
        <is>
          <t>[PRORRATEO 1.3% 1.93há/148.3há] O/001601 GAS ENV. 1</t>
        </is>
      </c>
      <c r="M3306" s="232" t="inlineStr"/>
      <c r="N3306" s="232" t="inlineStr">
        <is>
          <t>.   .   -</t>
        </is>
      </c>
      <c r="O3306" s="232" t="inlineStr">
        <is>
          <t>ABRIL</t>
        </is>
      </c>
      <c r="P3306" s="232" t="n">
        <v>14</v>
      </c>
      <c r="Q3306" s="234" t="n">
        <v>584</v>
      </c>
      <c r="R3306" s="232" t="inlineStr"/>
      <c r="S3306" s="234" t="n">
        <v>584</v>
      </c>
      <c r="T3306" s="232" t="inlineStr">
        <is>
          <t>CLP</t>
        </is>
      </c>
      <c r="U3306" s="232" t="inlineStr">
        <is>
          <t>Prorrateo Ha PACKING</t>
        </is>
      </c>
      <c r="V3306" s="232" t="inlineStr">
        <is>
          <t>2026-06-18</t>
        </is>
      </c>
    </row>
    <row r="3307">
      <c r="A3307" s="232" t="inlineStr">
        <is>
          <t>CR-3304</t>
        </is>
      </c>
      <c r="B3307" s="232" t="inlineStr">
        <is>
          <t>2026/27</t>
        </is>
      </c>
      <c r="C3307" s="233" t="n">
        <v>46126</v>
      </c>
      <c r="D3307" s="232" t="inlineStr">
        <is>
          <t>461158</t>
        </is>
      </c>
      <c r="E3307" s="232" t="inlineStr">
        <is>
          <t>PRORRATEO</t>
        </is>
      </c>
      <c r="F3307" s="232" t="inlineStr">
        <is>
          <t>Santa Catalina</t>
        </is>
      </c>
      <c r="G3307" s="232" t="inlineStr">
        <is>
          <t>mant eureka 2,5 ha</t>
        </is>
      </c>
      <c r="H3307" s="232" t="inlineStr">
        <is>
          <t>Limon</t>
        </is>
      </c>
      <c r="I3307" s="232" t="inlineStr">
        <is>
          <t>Eureka</t>
        </is>
      </c>
      <c r="J3307" s="232" t="inlineStr">
        <is>
          <t>COMBUSTIBLE</t>
        </is>
      </c>
      <c r="K3307" s="232" t="inlineStr">
        <is>
          <t>MOLLE GRUA HORQUILLA</t>
        </is>
      </c>
      <c r="L3307" s="232" t="inlineStr">
        <is>
          <t>[PRORRATEO 1.7% 2.5há/148.3há] O/001601 GAS ENV. 1</t>
        </is>
      </c>
      <c r="M3307" s="232" t="inlineStr"/>
      <c r="N3307" s="232" t="inlineStr">
        <is>
          <t>.   .   -</t>
        </is>
      </c>
      <c r="O3307" s="232" t="inlineStr">
        <is>
          <t>ABRIL</t>
        </is>
      </c>
      <c r="P3307" s="232" t="n">
        <v>14</v>
      </c>
      <c r="Q3307" s="234" t="n">
        <v>757</v>
      </c>
      <c r="R3307" s="232" t="inlineStr"/>
      <c r="S3307" s="234" t="n">
        <v>757</v>
      </c>
      <c r="T3307" s="232" t="inlineStr">
        <is>
          <t>CLP</t>
        </is>
      </c>
      <c r="U3307" s="232" t="inlineStr">
        <is>
          <t>Prorrateo Ha PACKING</t>
        </is>
      </c>
      <c r="V3307" s="232" t="inlineStr">
        <is>
          <t>2026-06-18</t>
        </is>
      </c>
    </row>
    <row r="3308">
      <c r="A3308" s="232" t="inlineStr">
        <is>
          <t>CR-3305</t>
        </is>
      </c>
      <c r="B3308" s="232" t="inlineStr">
        <is>
          <t>2026/27</t>
        </is>
      </c>
      <c r="C3308" s="233" t="n">
        <v>46126</v>
      </c>
      <c r="D3308" s="232" t="inlineStr">
        <is>
          <t>461158</t>
        </is>
      </c>
      <c r="E3308" s="232" t="inlineStr">
        <is>
          <t>PRORRATEO</t>
        </is>
      </c>
      <c r="F3308" s="232" t="inlineStr">
        <is>
          <t>Siberia</t>
        </is>
      </c>
      <c r="G3308" s="232" t="inlineStr">
        <is>
          <t>S. Celebration 7,14</t>
        </is>
      </c>
      <c r="H3308" s="232" t="inlineStr">
        <is>
          <t>Uvas</t>
        </is>
      </c>
      <c r="I3308" s="232" t="inlineStr">
        <is>
          <t>S. celebration</t>
        </is>
      </c>
      <c r="J3308" s="232" t="inlineStr">
        <is>
          <t>COMBUSTIBLE</t>
        </is>
      </c>
      <c r="K3308" s="232" t="inlineStr">
        <is>
          <t>MOLLE GRUA HORQUILLA</t>
        </is>
      </c>
      <c r="L3308" s="232" t="inlineStr">
        <is>
          <t>[PRORRATEO 4.8% 7.14há/148.3há] O/001601 GAS ENV. 1</t>
        </is>
      </c>
      <c r="M3308" s="232" t="inlineStr"/>
      <c r="N3308" s="232" t="inlineStr">
        <is>
          <t>.   .   -</t>
        </is>
      </c>
      <c r="O3308" s="232" t="inlineStr">
        <is>
          <t>ABRIL</t>
        </is>
      </c>
      <c r="P3308" s="232" t="n">
        <v>14</v>
      </c>
      <c r="Q3308" s="234" t="n">
        <v>2162</v>
      </c>
      <c r="R3308" s="232" t="inlineStr"/>
      <c r="S3308" s="234" t="n">
        <v>2162</v>
      </c>
      <c r="T3308" s="232" t="inlineStr">
        <is>
          <t>CLP</t>
        </is>
      </c>
      <c r="U3308" s="232" t="inlineStr">
        <is>
          <t>Prorrateo Ha PACKING</t>
        </is>
      </c>
      <c r="V3308" s="232" t="inlineStr">
        <is>
          <t>2026-06-18</t>
        </is>
      </c>
    </row>
    <row r="3309">
      <c r="A3309" s="232" t="inlineStr">
        <is>
          <t>CR-3306</t>
        </is>
      </c>
      <c r="B3309" s="232" t="inlineStr">
        <is>
          <t>2026/27</t>
        </is>
      </c>
      <c r="C3309" s="233" t="n">
        <v>46126</v>
      </c>
      <c r="D3309" s="232" t="inlineStr">
        <is>
          <t>461158</t>
        </is>
      </c>
      <c r="E3309" s="232" t="inlineStr">
        <is>
          <t>PRORRATEO</t>
        </is>
      </c>
      <c r="F3309" s="232" t="inlineStr">
        <is>
          <t>Siberia</t>
        </is>
      </c>
      <c r="G3309" s="232" t="inlineStr">
        <is>
          <t>Timpson 7,1</t>
        </is>
      </c>
      <c r="H3309" s="232" t="inlineStr">
        <is>
          <t>Uvas</t>
        </is>
      </c>
      <c r="I3309" s="232" t="inlineStr">
        <is>
          <t>Timpson</t>
        </is>
      </c>
      <c r="J3309" s="232" t="inlineStr">
        <is>
          <t>COMBUSTIBLE</t>
        </is>
      </c>
      <c r="K3309" s="232" t="inlineStr">
        <is>
          <t>MOLLE GRUA HORQUILLA</t>
        </is>
      </c>
      <c r="L3309" s="232" t="inlineStr">
        <is>
          <t>[PRORRATEO 4.8% 7.1há/148.3há] O/001601 GAS ENV. 1</t>
        </is>
      </c>
      <c r="M3309" s="232" t="inlineStr"/>
      <c r="N3309" s="232" t="inlineStr">
        <is>
          <t>.   .   -</t>
        </is>
      </c>
      <c r="O3309" s="232" t="inlineStr">
        <is>
          <t>ABRIL</t>
        </is>
      </c>
      <c r="P3309" s="232" t="n">
        <v>14</v>
      </c>
      <c r="Q3309" s="234" t="n">
        <v>2150</v>
      </c>
      <c r="R3309" s="232" t="inlineStr"/>
      <c r="S3309" s="234" t="n">
        <v>2150</v>
      </c>
      <c r="T3309" s="232" t="inlineStr">
        <is>
          <t>CLP</t>
        </is>
      </c>
      <c r="U3309" s="232" t="inlineStr">
        <is>
          <t>Prorrateo Ha PACKING</t>
        </is>
      </c>
      <c r="V3309" s="232" t="inlineStr">
        <is>
          <t>2026-06-18</t>
        </is>
      </c>
    </row>
    <row r="3310">
      <c r="A3310" s="232" t="inlineStr">
        <is>
          <t>CR-3307</t>
        </is>
      </c>
      <c r="B3310" s="232" t="inlineStr">
        <is>
          <t>2026/27</t>
        </is>
      </c>
      <c r="C3310" s="233" t="n">
        <v>46126</v>
      </c>
      <c r="D3310" s="232" t="inlineStr">
        <is>
          <t>371</t>
        </is>
      </c>
      <c r="E3310" s="232" t="inlineStr">
        <is>
          <t>PRORRATEO</t>
        </is>
      </c>
      <c r="F3310" s="232" t="inlineStr">
        <is>
          <t>Asmara</t>
        </is>
      </c>
      <c r="G3310" s="232" t="inlineStr">
        <is>
          <t>w. murcott 19,8 ha</t>
        </is>
      </c>
      <c r="H3310" s="232" t="inlineStr">
        <is>
          <t>Mandarina</t>
        </is>
      </c>
      <c r="I3310" s="232" t="inlineStr">
        <is>
          <t>W. murcott</t>
        </is>
      </c>
      <c r="J3310" s="232" t="inlineStr">
        <is>
          <t>MANO DE OBRA CONTRATISTA</t>
        </is>
      </c>
      <c r="K3310" s="232" t="inlineStr">
        <is>
          <t>M.O. CONTRATISTA</t>
        </is>
      </c>
      <c r="L3310" s="232" t="inlineStr">
        <is>
          <t>[PRORRATEO 13.4% 19.8há/148.3há] O/001607 M.O. CONTR</t>
        </is>
      </c>
      <c r="M3310" s="232" t="inlineStr"/>
      <c r="N3310" s="232" t="inlineStr">
        <is>
          <t>.   .   -</t>
        </is>
      </c>
      <c r="O3310" s="232" t="inlineStr">
        <is>
          <t>ABRIL</t>
        </is>
      </c>
      <c r="P3310" s="232" t="n">
        <v>14</v>
      </c>
      <c r="Q3310" s="234" t="n">
        <v>1002420</v>
      </c>
      <c r="R3310" s="232" t="inlineStr"/>
      <c r="S3310" s="234" t="n">
        <v>1002420</v>
      </c>
      <c r="T3310" s="232" t="inlineStr">
        <is>
          <t>CLP</t>
        </is>
      </c>
      <c r="U3310" s="232" t="inlineStr">
        <is>
          <t>Prorrateo Ha PACKING</t>
        </is>
      </c>
      <c r="V3310" s="232" t="inlineStr">
        <is>
          <t>2026-06-18</t>
        </is>
      </c>
    </row>
    <row r="3311">
      <c r="A3311" s="232" t="inlineStr">
        <is>
          <t>CR-3308</t>
        </is>
      </c>
      <c r="B3311" s="232" t="inlineStr">
        <is>
          <t>2026/27</t>
        </is>
      </c>
      <c r="C3311" s="233" t="n">
        <v>46126</v>
      </c>
      <c r="D3311" s="232" t="inlineStr">
        <is>
          <t>371</t>
        </is>
      </c>
      <c r="E3311" s="232" t="inlineStr">
        <is>
          <t>PRORRATEO</t>
        </is>
      </c>
      <c r="F3311" s="232" t="inlineStr">
        <is>
          <t>Asmara</t>
        </is>
      </c>
      <c r="G3311" s="232" t="inlineStr">
        <is>
          <t>w. murcott 4,9 ha</t>
        </is>
      </c>
      <c r="H3311" s="232" t="inlineStr">
        <is>
          <t>Mandarina</t>
        </is>
      </c>
      <c r="I3311" s="232" t="inlineStr">
        <is>
          <t>W. murcott</t>
        </is>
      </c>
      <c r="J3311" s="232" t="inlineStr">
        <is>
          <t>MANO DE OBRA CONTRATISTA</t>
        </is>
      </c>
      <c r="K3311" s="232" t="inlineStr">
        <is>
          <t>M.O. CONTRATISTA</t>
        </is>
      </c>
      <c r="L3311" s="232" t="inlineStr">
        <is>
          <t>[PRORRATEO 3.3% 4.9há/148.3há] O/001607 M.O. CONTR</t>
        </is>
      </c>
      <c r="M3311" s="232" t="inlineStr"/>
      <c r="N3311" s="232" t="inlineStr">
        <is>
          <t>.   .   -</t>
        </is>
      </c>
      <c r="O3311" s="232" t="inlineStr">
        <is>
          <t>ABRIL</t>
        </is>
      </c>
      <c r="P3311" s="232" t="n">
        <v>14</v>
      </c>
      <c r="Q3311" s="234" t="n">
        <v>248074</v>
      </c>
      <c r="R3311" s="232" t="inlineStr"/>
      <c r="S3311" s="234" t="n">
        <v>248074</v>
      </c>
      <c r="T3311" s="232" t="inlineStr">
        <is>
          <t>CLP</t>
        </is>
      </c>
      <c r="U3311" s="232" t="inlineStr">
        <is>
          <t>Prorrateo Ha PACKING</t>
        </is>
      </c>
      <c r="V3311" s="232" t="inlineStr">
        <is>
          <t>2026-06-18</t>
        </is>
      </c>
    </row>
    <row r="3312">
      <c r="A3312" s="232" t="inlineStr">
        <is>
          <t>CR-3309</t>
        </is>
      </c>
      <c r="B3312" s="232" t="inlineStr">
        <is>
          <t>2026/27</t>
        </is>
      </c>
      <c r="C3312" s="233" t="n">
        <v>46126</v>
      </c>
      <c r="D3312" s="232" t="inlineStr">
        <is>
          <t>371</t>
        </is>
      </c>
      <c r="E3312" s="232" t="inlineStr">
        <is>
          <t>PRORRATEO</t>
        </is>
      </c>
      <c r="F3312" s="232" t="inlineStr">
        <is>
          <t>El Molle</t>
        </is>
      </c>
      <c r="G3312" s="232" t="inlineStr">
        <is>
          <t>Wonderful 5,25 ha</t>
        </is>
      </c>
      <c r="H3312" s="232" t="inlineStr">
        <is>
          <t>Granados</t>
        </is>
      </c>
      <c r="I3312" s="232" t="inlineStr">
        <is>
          <t>Wonderfull</t>
        </is>
      </c>
      <c r="J3312" s="232" t="inlineStr">
        <is>
          <t>MANO DE OBRA CONTRATISTA</t>
        </is>
      </c>
      <c r="K3312" s="232" t="inlineStr">
        <is>
          <t>M.O. CONTRATISTA</t>
        </is>
      </c>
      <c r="L3312" s="232" t="inlineStr">
        <is>
          <t>[PRORRATEO 3.5% 5.24há/148.3há] O/001607 M.O. CONTR</t>
        </is>
      </c>
      <c r="M3312" s="232" t="inlineStr"/>
      <c r="N3312" s="232" t="inlineStr">
        <is>
          <t>.   .   -</t>
        </is>
      </c>
      <c r="O3312" s="232" t="inlineStr">
        <is>
          <t>ABRIL</t>
        </is>
      </c>
      <c r="P3312" s="232" t="n">
        <v>14</v>
      </c>
      <c r="Q3312" s="234" t="n">
        <v>265287</v>
      </c>
      <c r="R3312" s="232" t="inlineStr"/>
      <c r="S3312" s="234" t="n">
        <v>265287</v>
      </c>
      <c r="T3312" s="232" t="inlineStr">
        <is>
          <t>CLP</t>
        </is>
      </c>
      <c r="U3312" s="232" t="inlineStr">
        <is>
          <t>Prorrateo Ha PACKING</t>
        </is>
      </c>
      <c r="V3312" s="232" t="inlineStr">
        <is>
          <t>2026-06-18</t>
        </is>
      </c>
    </row>
    <row r="3313">
      <c r="A3313" s="232" t="inlineStr">
        <is>
          <t>CR-3310</t>
        </is>
      </c>
      <c r="B3313" s="232" t="inlineStr">
        <is>
          <t>2026/27</t>
        </is>
      </c>
      <c r="C3313" s="233" t="n">
        <v>46126</v>
      </c>
      <c r="D3313" s="232" t="inlineStr">
        <is>
          <t>371</t>
        </is>
      </c>
      <c r="E3313" s="232" t="inlineStr">
        <is>
          <t>PRORRATEO</t>
        </is>
      </c>
      <c r="F3313" s="232" t="inlineStr">
        <is>
          <t>El Molle</t>
        </is>
      </c>
      <c r="G3313" s="232" t="inlineStr">
        <is>
          <t>arrufatinas 5,74 ha</t>
        </is>
      </c>
      <c r="H3313" s="232" t="inlineStr">
        <is>
          <t>Clementinas</t>
        </is>
      </c>
      <c r="I3313" s="232" t="inlineStr">
        <is>
          <t>Arrufatinas</t>
        </is>
      </c>
      <c r="J3313" s="232" t="inlineStr">
        <is>
          <t>MANO DE OBRA CONTRATISTA</t>
        </is>
      </c>
      <c r="K3313" s="232" t="inlineStr">
        <is>
          <t>M.O. CONTRATISTA</t>
        </is>
      </c>
      <c r="L3313" s="232" t="inlineStr">
        <is>
          <t>[PRORRATEO 3.9% 5.74há/148.3há] O/001607 M.O. CONTR</t>
        </is>
      </c>
      <c r="M3313" s="232" t="inlineStr"/>
      <c r="N3313" s="232" t="inlineStr">
        <is>
          <t>.   .   -</t>
        </is>
      </c>
      <c r="O3313" s="232" t="inlineStr">
        <is>
          <t>ABRIL</t>
        </is>
      </c>
      <c r="P3313" s="232" t="n">
        <v>14</v>
      </c>
      <c r="Q3313" s="234" t="n">
        <v>290601</v>
      </c>
      <c r="R3313" s="232" t="inlineStr"/>
      <c r="S3313" s="234" t="n">
        <v>290601</v>
      </c>
      <c r="T3313" s="232" t="inlineStr">
        <is>
          <t>CLP</t>
        </is>
      </c>
      <c r="U3313" s="232" t="inlineStr">
        <is>
          <t>Prorrateo Ha PACKING</t>
        </is>
      </c>
      <c r="V3313" s="232" t="inlineStr">
        <is>
          <t>2026-06-18</t>
        </is>
      </c>
    </row>
    <row r="3314">
      <c r="A3314" s="232" t="inlineStr">
        <is>
          <t>CR-3311</t>
        </is>
      </c>
      <c r="B3314" s="232" t="inlineStr">
        <is>
          <t>2026/27</t>
        </is>
      </c>
      <c r="C3314" s="233" t="n">
        <v>46126</v>
      </c>
      <c r="D3314" s="232" t="inlineStr">
        <is>
          <t>371</t>
        </is>
      </c>
      <c r="E3314" s="232" t="inlineStr">
        <is>
          <t>PRORRATEO</t>
        </is>
      </c>
      <c r="F3314" s="232" t="inlineStr">
        <is>
          <t>El Molle</t>
        </is>
      </c>
      <c r="G3314" s="232" t="inlineStr">
        <is>
          <t>orogrande 8,11 ha</t>
        </is>
      </c>
      <c r="H3314" s="232" t="inlineStr">
        <is>
          <t>Clementinas</t>
        </is>
      </c>
      <c r="I3314" s="232" t="inlineStr">
        <is>
          <t>Orogrande</t>
        </is>
      </c>
      <c r="J3314" s="232" t="inlineStr">
        <is>
          <t>MANO DE OBRA CONTRATISTA</t>
        </is>
      </c>
      <c r="K3314" s="232" t="inlineStr">
        <is>
          <t>M.O. CONTRATISTA</t>
        </is>
      </c>
      <c r="L3314" s="232" t="inlineStr">
        <is>
          <t>[PRORRATEO 5.5% 8.11há/148.3há] O/001607 M.O. CONTR</t>
        </is>
      </c>
      <c r="M3314" s="232" t="inlineStr"/>
      <c r="N3314" s="232" t="inlineStr">
        <is>
          <t>.   .   -</t>
        </is>
      </c>
      <c r="O3314" s="232" t="inlineStr">
        <is>
          <t>ABRIL</t>
        </is>
      </c>
      <c r="P3314" s="232" t="n">
        <v>14</v>
      </c>
      <c r="Q3314" s="234" t="n">
        <v>410587</v>
      </c>
      <c r="R3314" s="232" t="inlineStr"/>
      <c r="S3314" s="234" t="n">
        <v>410587</v>
      </c>
      <c r="T3314" s="232" t="inlineStr">
        <is>
          <t>CLP</t>
        </is>
      </c>
      <c r="U3314" s="232" t="inlineStr">
        <is>
          <t>Prorrateo Ha PACKING</t>
        </is>
      </c>
      <c r="V3314" s="232" t="inlineStr">
        <is>
          <t>2026-06-18</t>
        </is>
      </c>
    </row>
    <row r="3315">
      <c r="A3315" s="232" t="inlineStr">
        <is>
          <t>CR-3312</t>
        </is>
      </c>
      <c r="B3315" s="232" t="inlineStr">
        <is>
          <t>2026/27</t>
        </is>
      </c>
      <c r="C3315" s="233" t="n">
        <v>46126</v>
      </c>
      <c r="D3315" s="232" t="inlineStr">
        <is>
          <t>371</t>
        </is>
      </c>
      <c r="E3315" s="232" t="inlineStr">
        <is>
          <t>PRORRATEO</t>
        </is>
      </c>
      <c r="F3315" s="232" t="inlineStr">
        <is>
          <t>El Molle</t>
        </is>
      </c>
      <c r="G3315" s="232" t="inlineStr">
        <is>
          <t>oronules 5,35 ha</t>
        </is>
      </c>
      <c r="H3315" s="232" t="inlineStr">
        <is>
          <t>Clementinas</t>
        </is>
      </c>
      <c r="I3315" s="232" t="inlineStr">
        <is>
          <t>Oronules</t>
        </is>
      </c>
      <c r="J3315" s="232" t="inlineStr">
        <is>
          <t>MANO DE OBRA CONTRATISTA</t>
        </is>
      </c>
      <c r="K3315" s="232" t="inlineStr">
        <is>
          <t>M.O. CONTRATISTA</t>
        </is>
      </c>
      <c r="L3315" s="232" t="inlineStr">
        <is>
          <t>[PRORRATEO 3.6% 5.35há/148.3há] O/001607 M.O. CONTR</t>
        </is>
      </c>
      <c r="M3315" s="232" t="inlineStr"/>
      <c r="N3315" s="232" t="inlineStr">
        <is>
          <t>.   .   -</t>
        </is>
      </c>
      <c r="O3315" s="232" t="inlineStr">
        <is>
          <t>ABRIL</t>
        </is>
      </c>
      <c r="P3315" s="232" t="n">
        <v>14</v>
      </c>
      <c r="Q3315" s="234" t="n">
        <v>270856</v>
      </c>
      <c r="R3315" s="232" t="inlineStr"/>
      <c r="S3315" s="234" t="n">
        <v>270856</v>
      </c>
      <c r="T3315" s="232" t="inlineStr">
        <is>
          <t>CLP</t>
        </is>
      </c>
      <c r="U3315" s="232" t="inlineStr">
        <is>
          <t>Prorrateo Ha PACKING</t>
        </is>
      </c>
      <c r="V3315" s="232" t="inlineStr">
        <is>
          <t>2026-06-18</t>
        </is>
      </c>
    </row>
    <row r="3316">
      <c r="A3316" s="232" t="inlineStr">
        <is>
          <t>CR-3313</t>
        </is>
      </c>
      <c r="B3316" s="232" t="inlineStr">
        <is>
          <t>2026/27</t>
        </is>
      </c>
      <c r="C3316" s="233" t="n">
        <v>46126</v>
      </c>
      <c r="D3316" s="232" t="inlineStr">
        <is>
          <t>371</t>
        </is>
      </c>
      <c r="E3316" s="232" t="inlineStr">
        <is>
          <t>PRORRATEO</t>
        </is>
      </c>
      <c r="F3316" s="232" t="inlineStr">
        <is>
          <t>Santa Catalina</t>
        </is>
      </c>
      <c r="G3316" s="232" t="inlineStr">
        <is>
          <t>Fino 49 7,7 ha</t>
        </is>
      </c>
      <c r="H3316" s="232" t="inlineStr">
        <is>
          <t>Limon</t>
        </is>
      </c>
      <c r="I3316" s="232" t="inlineStr">
        <is>
          <t>Fino 49</t>
        </is>
      </c>
      <c r="J3316" s="232" t="inlineStr">
        <is>
          <t>MANO DE OBRA CONTRATISTA</t>
        </is>
      </c>
      <c r="K3316" s="232" t="inlineStr">
        <is>
          <t>M.O. CONTRATISTA</t>
        </is>
      </c>
      <c r="L3316" s="232" t="inlineStr">
        <is>
          <t>[PRORRATEO 5.2% 7.7há/148.3há] O/001607 M.O. CONTR</t>
        </is>
      </c>
      <c r="M3316" s="232" t="inlineStr"/>
      <c r="N3316" s="232" t="inlineStr">
        <is>
          <t>.   .   -</t>
        </is>
      </c>
      <c r="O3316" s="232" t="inlineStr">
        <is>
          <t>ABRIL</t>
        </is>
      </c>
      <c r="P3316" s="232" t="n">
        <v>14</v>
      </c>
      <c r="Q3316" s="234" t="n">
        <v>389830</v>
      </c>
      <c r="R3316" s="232" t="inlineStr"/>
      <c r="S3316" s="234" t="n">
        <v>389830</v>
      </c>
      <c r="T3316" s="232" t="inlineStr">
        <is>
          <t>CLP</t>
        </is>
      </c>
      <c r="U3316" s="232" t="inlineStr">
        <is>
          <t>Prorrateo Ha PACKING</t>
        </is>
      </c>
      <c r="V3316" s="232" t="inlineStr">
        <is>
          <t>2026-06-18</t>
        </is>
      </c>
    </row>
    <row r="3317">
      <c r="A3317" s="232" t="inlineStr">
        <is>
          <t>CR-3314</t>
        </is>
      </c>
      <c r="B3317" s="232" t="inlineStr">
        <is>
          <t>2026/27</t>
        </is>
      </c>
      <c r="C3317" s="233" t="n">
        <v>46126</v>
      </c>
      <c r="D3317" s="232" t="inlineStr">
        <is>
          <t>371</t>
        </is>
      </c>
      <c r="E3317" s="232" t="inlineStr">
        <is>
          <t>PRORRATEO</t>
        </is>
      </c>
      <c r="F3317" s="232" t="inlineStr">
        <is>
          <t>Santa Catalina</t>
        </is>
      </c>
      <c r="G3317" s="232" t="inlineStr">
        <is>
          <t>W. murcott 21 ha</t>
        </is>
      </c>
      <c r="H3317" s="232" t="inlineStr">
        <is>
          <t>Mandarina</t>
        </is>
      </c>
      <c r="I3317" s="232" t="inlineStr">
        <is>
          <t>W. murcott</t>
        </is>
      </c>
      <c r="J3317" s="232" t="inlineStr">
        <is>
          <t>MANO DE OBRA CONTRATISTA</t>
        </is>
      </c>
      <c r="K3317" s="232" t="inlineStr">
        <is>
          <t>M.O. CONTRATISTA</t>
        </is>
      </c>
      <c r="L3317" s="232" t="inlineStr">
        <is>
          <t>[PRORRATEO 14.2% 21.0há/148.3há] O/001607 M.O. CONTR</t>
        </is>
      </c>
      <c r="M3317" s="232" t="inlineStr"/>
      <c r="N3317" s="232" t="inlineStr">
        <is>
          <t>.   .   -</t>
        </is>
      </c>
      <c r="O3317" s="232" t="inlineStr">
        <is>
          <t>ABRIL</t>
        </is>
      </c>
      <c r="P3317" s="232" t="n">
        <v>14</v>
      </c>
      <c r="Q3317" s="234" t="n">
        <v>1063173</v>
      </c>
      <c r="R3317" s="232" t="inlineStr"/>
      <c r="S3317" s="234" t="n">
        <v>1063173</v>
      </c>
      <c r="T3317" s="232" t="inlineStr">
        <is>
          <t>CLP</t>
        </is>
      </c>
      <c r="U3317" s="232" t="inlineStr">
        <is>
          <t>Prorrateo Ha PACKING</t>
        </is>
      </c>
      <c r="V3317" s="232" t="inlineStr">
        <is>
          <t>2026-06-18</t>
        </is>
      </c>
    </row>
    <row r="3318">
      <c r="A3318" s="232" t="inlineStr">
        <is>
          <t>CR-3315</t>
        </is>
      </c>
      <c r="B3318" s="232" t="inlineStr">
        <is>
          <t>2026/27</t>
        </is>
      </c>
      <c r="C3318" s="233" t="n">
        <v>46126</v>
      </c>
      <c r="D3318" s="232" t="inlineStr">
        <is>
          <t>371</t>
        </is>
      </c>
      <c r="E3318" s="232" t="inlineStr">
        <is>
          <t>PRORRATEO</t>
        </is>
      </c>
      <c r="F3318" s="232" t="inlineStr">
        <is>
          <t>Santa Catalina</t>
        </is>
      </c>
      <c r="G3318" s="232" t="inlineStr">
        <is>
          <t>cambria 4,2 ha</t>
        </is>
      </c>
      <c r="H3318" s="232" t="inlineStr">
        <is>
          <t>Naranjas</t>
        </is>
      </c>
      <c r="I3318" s="232" t="inlineStr">
        <is>
          <t>Cambria</t>
        </is>
      </c>
      <c r="J3318" s="232" t="inlineStr">
        <is>
          <t>MANO DE OBRA CONTRATISTA</t>
        </is>
      </c>
      <c r="K3318" s="232" t="inlineStr">
        <is>
          <t>M.O. CONTRATISTA</t>
        </is>
      </c>
      <c r="L3318" s="232" t="inlineStr">
        <is>
          <t>[PRORRATEO 2.8% 4.2há/148.3há] O/001607 M.O. CONTR</t>
        </is>
      </c>
      <c r="M3318" s="232" t="inlineStr"/>
      <c r="N3318" s="232" t="inlineStr">
        <is>
          <t>.   .   -</t>
        </is>
      </c>
      <c r="O3318" s="232" t="inlineStr">
        <is>
          <t>ABRIL</t>
        </is>
      </c>
      <c r="P3318" s="232" t="n">
        <v>14</v>
      </c>
      <c r="Q3318" s="234" t="n">
        <v>212635</v>
      </c>
      <c r="R3318" s="232" t="inlineStr"/>
      <c r="S3318" s="234" t="n">
        <v>212635</v>
      </c>
      <c r="T3318" s="232" t="inlineStr">
        <is>
          <t>CLP</t>
        </is>
      </c>
      <c r="U3318" s="232" t="inlineStr">
        <is>
          <t>Prorrateo Ha PACKING</t>
        </is>
      </c>
      <c r="V3318" s="232" t="inlineStr">
        <is>
          <t>2026-06-18</t>
        </is>
      </c>
    </row>
    <row r="3319">
      <c r="A3319" s="232" t="inlineStr">
        <is>
          <t>CR-3316</t>
        </is>
      </c>
      <c r="B3319" s="232" t="inlineStr">
        <is>
          <t>2026/27</t>
        </is>
      </c>
      <c r="C3319" s="233" t="n">
        <v>46126</v>
      </c>
      <c r="D3319" s="232" t="inlineStr">
        <is>
          <t>371</t>
        </is>
      </c>
      <c r="E3319" s="232" t="inlineStr">
        <is>
          <t>PRORRATEO</t>
        </is>
      </c>
      <c r="F3319" s="232" t="inlineStr">
        <is>
          <t>Santa Catalina</t>
        </is>
      </c>
      <c r="G3319" s="232" t="inlineStr">
        <is>
          <t>eureka 10,6 ha</t>
        </is>
      </c>
      <c r="H3319" s="232" t="inlineStr">
        <is>
          <t>Limon</t>
        </is>
      </c>
      <c r="I3319" s="232" t="inlineStr">
        <is>
          <t>Eureka</t>
        </is>
      </c>
      <c r="J3319" s="232" t="inlineStr">
        <is>
          <t>MANO DE OBRA CONTRATISTA</t>
        </is>
      </c>
      <c r="K3319" s="232" t="inlineStr">
        <is>
          <t>M.O. CONTRATISTA</t>
        </is>
      </c>
      <c r="L3319" s="232" t="inlineStr">
        <is>
          <t>[PRORRATEO 7.1% 10.6há/148.3há] O/001607 M.O. CONTR</t>
        </is>
      </c>
      <c r="M3319" s="232" t="inlineStr"/>
      <c r="N3319" s="232" t="inlineStr">
        <is>
          <t>.   .   -</t>
        </is>
      </c>
      <c r="O3319" s="232" t="inlineStr">
        <is>
          <t>ABRIL</t>
        </is>
      </c>
      <c r="P3319" s="232" t="n">
        <v>14</v>
      </c>
      <c r="Q3319" s="234" t="n">
        <v>536649</v>
      </c>
      <c r="R3319" s="232" t="inlineStr"/>
      <c r="S3319" s="234" t="n">
        <v>536649</v>
      </c>
      <c r="T3319" s="232" t="inlineStr">
        <is>
          <t>CLP</t>
        </is>
      </c>
      <c r="U3319" s="232" t="inlineStr">
        <is>
          <t>Prorrateo Ha PACKING</t>
        </is>
      </c>
      <c r="V3319" s="232" t="inlineStr">
        <is>
          <t>2026-06-18</t>
        </is>
      </c>
    </row>
    <row r="3320">
      <c r="A3320" s="232" t="inlineStr">
        <is>
          <t>CR-3317</t>
        </is>
      </c>
      <c r="B3320" s="232" t="inlineStr">
        <is>
          <t>2026/27</t>
        </is>
      </c>
      <c r="C3320" s="233" t="n">
        <v>46126</v>
      </c>
      <c r="D3320" s="232" t="inlineStr">
        <is>
          <t>371</t>
        </is>
      </c>
      <c r="E3320" s="232" t="inlineStr">
        <is>
          <t>PRORRATEO</t>
        </is>
      </c>
      <c r="F3320" s="232" t="inlineStr">
        <is>
          <t>Santa Catalina</t>
        </is>
      </c>
      <c r="G3320" s="232" t="inlineStr">
        <is>
          <t>eureka 14,4 ha</t>
        </is>
      </c>
      <c r="H3320" s="232" t="inlineStr">
        <is>
          <t>Limon</t>
        </is>
      </c>
      <c r="I3320" s="232" t="inlineStr">
        <is>
          <t>Eureka</t>
        </is>
      </c>
      <c r="J3320" s="232" t="inlineStr">
        <is>
          <t>MANO DE OBRA CONTRATISTA</t>
        </is>
      </c>
      <c r="K3320" s="232" t="inlineStr">
        <is>
          <t>M.O. CONTRATISTA</t>
        </is>
      </c>
      <c r="L3320" s="232" t="inlineStr">
        <is>
          <t>[PRORRATEO 9.7% 14.4há/148.3há] O/001607 M.O. CONTR</t>
        </is>
      </c>
      <c r="M3320" s="232" t="inlineStr"/>
      <c r="N3320" s="232" t="inlineStr">
        <is>
          <t>.   .   -</t>
        </is>
      </c>
      <c r="O3320" s="232" t="inlineStr">
        <is>
          <t>ABRIL</t>
        </is>
      </c>
      <c r="P3320" s="232" t="n">
        <v>14</v>
      </c>
      <c r="Q3320" s="234" t="n">
        <v>729033</v>
      </c>
      <c r="R3320" s="232" t="inlineStr"/>
      <c r="S3320" s="234" t="n">
        <v>729033</v>
      </c>
      <c r="T3320" s="232" t="inlineStr">
        <is>
          <t>CLP</t>
        </is>
      </c>
      <c r="U3320" s="232" t="inlineStr">
        <is>
          <t>Prorrateo Ha PACKING</t>
        </is>
      </c>
      <c r="V3320" s="232" t="inlineStr">
        <is>
          <t>2026-06-18</t>
        </is>
      </c>
    </row>
    <row r="3321">
      <c r="A3321" s="232" t="inlineStr">
        <is>
          <t>CR-3318</t>
        </is>
      </c>
      <c r="B3321" s="232" t="inlineStr">
        <is>
          <t>2026/27</t>
        </is>
      </c>
      <c r="C3321" s="233" t="n">
        <v>46126</v>
      </c>
      <c r="D3321" s="232" t="inlineStr">
        <is>
          <t>371</t>
        </is>
      </c>
      <c r="E3321" s="232" t="inlineStr">
        <is>
          <t>PRORRATEO</t>
        </is>
      </c>
      <c r="F3321" s="232" t="inlineStr">
        <is>
          <t>Santa Catalina</t>
        </is>
      </c>
      <c r="G3321" s="232" t="inlineStr">
        <is>
          <t>eureka 22,55</t>
        </is>
      </c>
      <c r="H3321" s="232" t="inlineStr">
        <is>
          <t>Limon</t>
        </is>
      </c>
      <c r="I3321" s="232" t="inlineStr">
        <is>
          <t>Eureka</t>
        </is>
      </c>
      <c r="J3321" s="232" t="inlineStr">
        <is>
          <t>MANO DE OBRA CONTRATISTA</t>
        </is>
      </c>
      <c r="K3321" s="232" t="inlineStr">
        <is>
          <t>M.O. CONTRATISTA</t>
        </is>
      </c>
      <c r="L3321" s="232" t="inlineStr">
        <is>
          <t>[PRORRATEO 15.2% 22.55há/148.3há] O/001607 M.O. CONTR</t>
        </is>
      </c>
      <c r="M3321" s="232" t="inlineStr"/>
      <c r="N3321" s="232" t="inlineStr">
        <is>
          <t>.   .   -</t>
        </is>
      </c>
      <c r="O3321" s="232" t="inlineStr">
        <is>
          <t>ABRIL</t>
        </is>
      </c>
      <c r="P3321" s="232" t="n">
        <v>14</v>
      </c>
      <c r="Q3321" s="234" t="n">
        <v>1141645</v>
      </c>
      <c r="R3321" s="232" t="inlineStr"/>
      <c r="S3321" s="234" t="n">
        <v>1141645</v>
      </c>
      <c r="T3321" s="232" t="inlineStr">
        <is>
          <t>CLP</t>
        </is>
      </c>
      <c r="U3321" s="232" t="inlineStr">
        <is>
          <t>Prorrateo Ha PACKING</t>
        </is>
      </c>
      <c r="V3321" s="232" t="inlineStr">
        <is>
          <t>2026-06-18</t>
        </is>
      </c>
    </row>
    <row r="3322">
      <c r="A3322" s="232" t="inlineStr">
        <is>
          <t>CR-3319</t>
        </is>
      </c>
      <c r="B3322" s="232" t="inlineStr">
        <is>
          <t>2026/27</t>
        </is>
      </c>
      <c r="C3322" s="233" t="n">
        <v>46126</v>
      </c>
      <c r="D3322" s="232" t="inlineStr">
        <is>
          <t>371</t>
        </is>
      </c>
      <c r="E3322" s="232" t="inlineStr">
        <is>
          <t>PRORRATEO</t>
        </is>
      </c>
      <c r="F3322" s="232" t="inlineStr">
        <is>
          <t>Santa Catalina</t>
        </is>
      </c>
      <c r="G3322" s="232" t="inlineStr">
        <is>
          <t>form benjamin 1,93 ha</t>
        </is>
      </c>
      <c r="H3322" s="232" t="inlineStr">
        <is>
          <t>Limon</t>
        </is>
      </c>
      <c r="I3322" s="232" t="inlineStr">
        <is>
          <t>Benjamin andes</t>
        </is>
      </c>
      <c r="J3322" s="232" t="inlineStr">
        <is>
          <t>MANO DE OBRA CONTRATISTA</t>
        </is>
      </c>
      <c r="K3322" s="232" t="inlineStr">
        <is>
          <t>M.O. CONTRATISTA</t>
        </is>
      </c>
      <c r="L3322" s="232" t="inlineStr">
        <is>
          <t>[PRORRATEO 1.3% 1.93há/148.3há] O/001607 M.O. CONTR</t>
        </is>
      </c>
      <c r="M3322" s="232" t="inlineStr"/>
      <c r="N3322" s="232" t="inlineStr">
        <is>
          <t>.   .   -</t>
        </is>
      </c>
      <c r="O3322" s="232" t="inlineStr">
        <is>
          <t>ABRIL</t>
        </is>
      </c>
      <c r="P3322" s="232" t="n">
        <v>14</v>
      </c>
      <c r="Q3322" s="234" t="n">
        <v>97711</v>
      </c>
      <c r="R3322" s="232" t="inlineStr"/>
      <c r="S3322" s="234" t="n">
        <v>97711</v>
      </c>
      <c r="T3322" s="232" t="inlineStr">
        <is>
          <t>CLP</t>
        </is>
      </c>
      <c r="U3322" s="232" t="inlineStr">
        <is>
          <t>Prorrateo Ha PACKING</t>
        </is>
      </c>
      <c r="V3322" s="232" t="inlineStr">
        <is>
          <t>2026-06-18</t>
        </is>
      </c>
    </row>
    <row r="3323">
      <c r="A3323" s="232" t="inlineStr">
        <is>
          <t>CR-3320</t>
        </is>
      </c>
      <c r="B3323" s="232" t="inlineStr">
        <is>
          <t>2026/27</t>
        </is>
      </c>
      <c r="C3323" s="233" t="n">
        <v>46126</v>
      </c>
      <c r="D3323" s="232" t="inlineStr">
        <is>
          <t>371</t>
        </is>
      </c>
      <c r="E3323" s="232" t="inlineStr">
        <is>
          <t>PRORRATEO</t>
        </is>
      </c>
      <c r="F3323" s="232" t="inlineStr">
        <is>
          <t>Santa Catalina</t>
        </is>
      </c>
      <c r="G3323" s="232" t="inlineStr">
        <is>
          <t>mant eureka 2,5 ha</t>
        </is>
      </c>
      <c r="H3323" s="232" t="inlineStr">
        <is>
          <t>Limon</t>
        </is>
      </c>
      <c r="I3323" s="232" t="inlineStr">
        <is>
          <t>Eureka</t>
        </is>
      </c>
      <c r="J3323" s="232" t="inlineStr">
        <is>
          <t>MANO DE OBRA CONTRATISTA</t>
        </is>
      </c>
      <c r="K3323" s="232" t="inlineStr">
        <is>
          <t>M.O. CONTRATISTA</t>
        </is>
      </c>
      <c r="L3323" s="232" t="inlineStr">
        <is>
          <t>[PRORRATEO 1.7% 2.5há/148.3há] O/001607 M.O. CONTR</t>
        </is>
      </c>
      <c r="M3323" s="232" t="inlineStr"/>
      <c r="N3323" s="232" t="inlineStr">
        <is>
          <t>.   .   -</t>
        </is>
      </c>
      <c r="O3323" s="232" t="inlineStr">
        <is>
          <t>ABRIL</t>
        </is>
      </c>
      <c r="P3323" s="232" t="n">
        <v>14</v>
      </c>
      <c r="Q3323" s="234" t="n">
        <v>126568</v>
      </c>
      <c r="R3323" s="232" t="inlineStr"/>
      <c r="S3323" s="234" t="n">
        <v>126568</v>
      </c>
      <c r="T3323" s="232" t="inlineStr">
        <is>
          <t>CLP</t>
        </is>
      </c>
      <c r="U3323" s="232" t="inlineStr">
        <is>
          <t>Prorrateo Ha PACKING</t>
        </is>
      </c>
      <c r="V3323" s="232" t="inlineStr">
        <is>
          <t>2026-06-18</t>
        </is>
      </c>
    </row>
    <row r="3324">
      <c r="A3324" s="232" t="inlineStr">
        <is>
          <t>CR-3321</t>
        </is>
      </c>
      <c r="B3324" s="232" t="inlineStr">
        <is>
          <t>2026/27</t>
        </is>
      </c>
      <c r="C3324" s="233" t="n">
        <v>46126</v>
      </c>
      <c r="D3324" s="232" t="inlineStr">
        <is>
          <t>371</t>
        </is>
      </c>
      <c r="E3324" s="232" t="inlineStr">
        <is>
          <t>PRORRATEO</t>
        </is>
      </c>
      <c r="F3324" s="232" t="inlineStr">
        <is>
          <t>Siberia</t>
        </is>
      </c>
      <c r="G3324" s="232" t="inlineStr">
        <is>
          <t>S. Celebration 7,14</t>
        </is>
      </c>
      <c r="H3324" s="232" t="inlineStr">
        <is>
          <t>Uvas</t>
        </is>
      </c>
      <c r="I3324" s="232" t="inlineStr">
        <is>
          <t>S. celebration</t>
        </is>
      </c>
      <c r="J3324" s="232" t="inlineStr">
        <is>
          <t>MANO DE OBRA CONTRATISTA</t>
        </is>
      </c>
      <c r="K3324" s="232" t="inlineStr">
        <is>
          <t>M.O. CONTRATISTA</t>
        </is>
      </c>
      <c r="L3324" s="232" t="inlineStr">
        <is>
          <t>[PRORRATEO 4.8% 7.14há/148.3há] O/001607 M.O. CONTR</t>
        </is>
      </c>
      <c r="M3324" s="232" t="inlineStr"/>
      <c r="N3324" s="232" t="inlineStr">
        <is>
          <t>.   .   -</t>
        </is>
      </c>
      <c r="O3324" s="232" t="inlineStr">
        <is>
          <t>ABRIL</t>
        </is>
      </c>
      <c r="P3324" s="232" t="n">
        <v>14</v>
      </c>
      <c r="Q3324" s="234" t="n">
        <v>361479</v>
      </c>
      <c r="R3324" s="232" t="inlineStr"/>
      <c r="S3324" s="234" t="n">
        <v>361479</v>
      </c>
      <c r="T3324" s="232" t="inlineStr">
        <is>
          <t>CLP</t>
        </is>
      </c>
      <c r="U3324" s="232" t="inlineStr">
        <is>
          <t>Prorrateo Ha PACKING</t>
        </is>
      </c>
      <c r="V3324" s="232" t="inlineStr">
        <is>
          <t>2026-06-18</t>
        </is>
      </c>
    </row>
    <row r="3325">
      <c r="A3325" s="232" t="inlineStr">
        <is>
          <t>CR-3322</t>
        </is>
      </c>
      <c r="B3325" s="232" t="inlineStr">
        <is>
          <t>2026/27</t>
        </is>
      </c>
      <c r="C3325" s="233" t="n">
        <v>46126</v>
      </c>
      <c r="D3325" s="232" t="inlineStr">
        <is>
          <t>371</t>
        </is>
      </c>
      <c r="E3325" s="232" t="inlineStr">
        <is>
          <t>PRORRATEO</t>
        </is>
      </c>
      <c r="F3325" s="232" t="inlineStr">
        <is>
          <t>Siberia</t>
        </is>
      </c>
      <c r="G3325" s="232" t="inlineStr">
        <is>
          <t>Timpson 7,1</t>
        </is>
      </c>
      <c r="H3325" s="232" t="inlineStr">
        <is>
          <t>Uvas</t>
        </is>
      </c>
      <c r="I3325" s="232" t="inlineStr">
        <is>
          <t>Timpson</t>
        </is>
      </c>
      <c r="J3325" s="232" t="inlineStr">
        <is>
          <t>MANO DE OBRA CONTRATISTA</t>
        </is>
      </c>
      <c r="K3325" s="232" t="inlineStr">
        <is>
          <t>M.O. CONTRATISTA</t>
        </is>
      </c>
      <c r="L3325" s="232" t="inlineStr">
        <is>
          <t>[PRORRATEO 4.8% 7.1há/148.3há] O/001607 M.O. CONTR</t>
        </is>
      </c>
      <c r="M3325" s="232" t="inlineStr"/>
      <c r="N3325" s="232" t="inlineStr">
        <is>
          <t>.   .   -</t>
        </is>
      </c>
      <c r="O3325" s="232" t="inlineStr">
        <is>
          <t>ABRIL</t>
        </is>
      </c>
      <c r="P3325" s="232" t="n">
        <v>14</v>
      </c>
      <c r="Q3325" s="234" t="n">
        <v>359454</v>
      </c>
      <c r="R3325" s="232" t="inlineStr"/>
      <c r="S3325" s="234" t="n">
        <v>359454</v>
      </c>
      <c r="T3325" s="232" t="inlineStr">
        <is>
          <t>CLP</t>
        </is>
      </c>
      <c r="U3325" s="232" t="inlineStr">
        <is>
          <t>Prorrateo Ha PACKING</t>
        </is>
      </c>
      <c r="V3325" s="232" t="inlineStr">
        <is>
          <t>2026-06-18</t>
        </is>
      </c>
    </row>
    <row r="3326">
      <c r="A3326" s="232" t="inlineStr">
        <is>
          <t>CR-3323</t>
        </is>
      </c>
      <c r="B3326" s="232" t="inlineStr">
        <is>
          <t>2026/27</t>
        </is>
      </c>
      <c r="C3326" s="233" t="n">
        <v>46126</v>
      </c>
      <c r="D3326" s="232" t="inlineStr">
        <is>
          <t>29</t>
        </is>
      </c>
      <c r="E3326" s="232" t="inlineStr">
        <is>
          <t>PRORRATEO</t>
        </is>
      </c>
      <c r="F3326" s="232" t="inlineStr">
        <is>
          <t>Asmara</t>
        </is>
      </c>
      <c r="G3326" s="232" t="inlineStr">
        <is>
          <t>w. murcott 19,8 ha</t>
        </is>
      </c>
      <c r="H3326" s="232" t="inlineStr">
        <is>
          <t>Mandarina</t>
        </is>
      </c>
      <c r="I3326" s="232" t="inlineStr">
        <is>
          <t>W. murcott</t>
        </is>
      </c>
      <c r="J3326" s="232" t="inlineStr">
        <is>
          <t>MANO DE OBRA CONTRATISTA</t>
        </is>
      </c>
      <c r="K3326" s="232" t="inlineStr">
        <is>
          <t>M.O. CONTRATISTA</t>
        </is>
      </c>
      <c r="L3326" s="232" t="inlineStr">
        <is>
          <t>[PRORRATEO 13.4% 19.8há/148.3há] O/001607 M.O. CONTR</t>
        </is>
      </c>
      <c r="M3326" s="232" t="inlineStr"/>
      <c r="N3326" s="232" t="inlineStr">
        <is>
          <t>.   .   -</t>
        </is>
      </c>
      <c r="O3326" s="232" t="inlineStr">
        <is>
          <t>ABRIL</t>
        </is>
      </c>
      <c r="P3326" s="232" t="n">
        <v>14</v>
      </c>
      <c r="Q3326" s="234" t="n">
        <v>1002420</v>
      </c>
      <c r="R3326" s="232" t="inlineStr"/>
      <c r="S3326" s="234" t="n">
        <v>1002420</v>
      </c>
      <c r="T3326" s="232" t="inlineStr">
        <is>
          <t>CLP</t>
        </is>
      </c>
      <c r="U3326" s="232" t="inlineStr">
        <is>
          <t>Prorrateo Ha PACKING</t>
        </is>
      </c>
      <c r="V3326" s="232" t="inlineStr">
        <is>
          <t>2026-06-18</t>
        </is>
      </c>
    </row>
    <row r="3327">
      <c r="A3327" s="232" t="inlineStr">
        <is>
          <t>CR-3324</t>
        </is>
      </c>
      <c r="B3327" s="232" t="inlineStr">
        <is>
          <t>2026/27</t>
        </is>
      </c>
      <c r="C3327" s="233" t="n">
        <v>46126</v>
      </c>
      <c r="D3327" s="232" t="inlineStr">
        <is>
          <t>29</t>
        </is>
      </c>
      <c r="E3327" s="232" t="inlineStr">
        <is>
          <t>PRORRATEO</t>
        </is>
      </c>
      <c r="F3327" s="232" t="inlineStr">
        <is>
          <t>Asmara</t>
        </is>
      </c>
      <c r="G3327" s="232" t="inlineStr">
        <is>
          <t>w. murcott 4,9 ha</t>
        </is>
      </c>
      <c r="H3327" s="232" t="inlineStr">
        <is>
          <t>Mandarina</t>
        </is>
      </c>
      <c r="I3327" s="232" t="inlineStr">
        <is>
          <t>W. murcott</t>
        </is>
      </c>
      <c r="J3327" s="232" t="inlineStr">
        <is>
          <t>MANO DE OBRA CONTRATISTA</t>
        </is>
      </c>
      <c r="K3327" s="232" t="inlineStr">
        <is>
          <t>M.O. CONTRATISTA</t>
        </is>
      </c>
      <c r="L3327" s="232" t="inlineStr">
        <is>
          <t>[PRORRATEO 3.3% 4.9há/148.3há] O/001607 M.O. CONTR</t>
        </is>
      </c>
      <c r="M3327" s="232" t="inlineStr"/>
      <c r="N3327" s="232" t="inlineStr">
        <is>
          <t>.   .   -</t>
        </is>
      </c>
      <c r="O3327" s="232" t="inlineStr">
        <is>
          <t>ABRIL</t>
        </is>
      </c>
      <c r="P3327" s="232" t="n">
        <v>14</v>
      </c>
      <c r="Q3327" s="234" t="n">
        <v>248074</v>
      </c>
      <c r="R3327" s="232" t="inlineStr"/>
      <c r="S3327" s="234" t="n">
        <v>248074</v>
      </c>
      <c r="T3327" s="232" t="inlineStr">
        <is>
          <t>CLP</t>
        </is>
      </c>
      <c r="U3327" s="232" t="inlineStr">
        <is>
          <t>Prorrateo Ha PACKING</t>
        </is>
      </c>
      <c r="V3327" s="232" t="inlineStr">
        <is>
          <t>2026-06-18</t>
        </is>
      </c>
    </row>
    <row r="3328">
      <c r="A3328" s="232" t="inlineStr">
        <is>
          <t>CR-3325</t>
        </is>
      </c>
      <c r="B3328" s="232" t="inlineStr">
        <is>
          <t>2026/27</t>
        </is>
      </c>
      <c r="C3328" s="233" t="n">
        <v>46126</v>
      </c>
      <c r="D3328" s="232" t="inlineStr">
        <is>
          <t>29</t>
        </is>
      </c>
      <c r="E3328" s="232" t="inlineStr">
        <is>
          <t>PRORRATEO</t>
        </is>
      </c>
      <c r="F3328" s="232" t="inlineStr">
        <is>
          <t>El Molle</t>
        </is>
      </c>
      <c r="G3328" s="232" t="inlineStr">
        <is>
          <t>Wonderful 5,25 ha</t>
        </is>
      </c>
      <c r="H3328" s="232" t="inlineStr">
        <is>
          <t>Granados</t>
        </is>
      </c>
      <c r="I3328" s="232" t="inlineStr">
        <is>
          <t>Wonderfull</t>
        </is>
      </c>
      <c r="J3328" s="232" t="inlineStr">
        <is>
          <t>MANO DE OBRA CONTRATISTA</t>
        </is>
      </c>
      <c r="K3328" s="232" t="inlineStr">
        <is>
          <t>M.O. CONTRATISTA</t>
        </is>
      </c>
      <c r="L3328" s="232" t="inlineStr">
        <is>
          <t>[PRORRATEO 3.5% 5.24há/148.3há] O/001607 M.O. CONTR</t>
        </is>
      </c>
      <c r="M3328" s="232" t="inlineStr"/>
      <c r="N3328" s="232" t="inlineStr">
        <is>
          <t>.   .   -</t>
        </is>
      </c>
      <c r="O3328" s="232" t="inlineStr">
        <is>
          <t>ABRIL</t>
        </is>
      </c>
      <c r="P3328" s="232" t="n">
        <v>14</v>
      </c>
      <c r="Q3328" s="234" t="n">
        <v>265287</v>
      </c>
      <c r="R3328" s="232" t="inlineStr"/>
      <c r="S3328" s="234" t="n">
        <v>265287</v>
      </c>
      <c r="T3328" s="232" t="inlineStr">
        <is>
          <t>CLP</t>
        </is>
      </c>
      <c r="U3328" s="232" t="inlineStr">
        <is>
          <t>Prorrateo Ha PACKING</t>
        </is>
      </c>
      <c r="V3328" s="232" t="inlineStr">
        <is>
          <t>2026-06-18</t>
        </is>
      </c>
    </row>
    <row r="3329">
      <c r="A3329" s="232" t="inlineStr">
        <is>
          <t>CR-3326</t>
        </is>
      </c>
      <c r="B3329" s="232" t="inlineStr">
        <is>
          <t>2026/27</t>
        </is>
      </c>
      <c r="C3329" s="233" t="n">
        <v>46126</v>
      </c>
      <c r="D3329" s="232" t="inlineStr">
        <is>
          <t>29</t>
        </is>
      </c>
      <c r="E3329" s="232" t="inlineStr">
        <is>
          <t>PRORRATEO</t>
        </is>
      </c>
      <c r="F3329" s="232" t="inlineStr">
        <is>
          <t>El Molle</t>
        </is>
      </c>
      <c r="G3329" s="232" t="inlineStr">
        <is>
          <t>arrufatinas 5,74 ha</t>
        </is>
      </c>
      <c r="H3329" s="232" t="inlineStr">
        <is>
          <t>Clementinas</t>
        </is>
      </c>
      <c r="I3329" s="232" t="inlineStr">
        <is>
          <t>Arrufatinas</t>
        </is>
      </c>
      <c r="J3329" s="232" t="inlineStr">
        <is>
          <t>MANO DE OBRA CONTRATISTA</t>
        </is>
      </c>
      <c r="K3329" s="232" t="inlineStr">
        <is>
          <t>M.O. CONTRATISTA</t>
        </is>
      </c>
      <c r="L3329" s="232" t="inlineStr">
        <is>
          <t>[PRORRATEO 3.9% 5.74há/148.3há] O/001607 M.O. CONTR</t>
        </is>
      </c>
      <c r="M3329" s="232" t="inlineStr"/>
      <c r="N3329" s="232" t="inlineStr">
        <is>
          <t>.   .   -</t>
        </is>
      </c>
      <c r="O3329" s="232" t="inlineStr">
        <is>
          <t>ABRIL</t>
        </is>
      </c>
      <c r="P3329" s="232" t="n">
        <v>14</v>
      </c>
      <c r="Q3329" s="234" t="n">
        <v>290601</v>
      </c>
      <c r="R3329" s="232" t="inlineStr"/>
      <c r="S3329" s="234" t="n">
        <v>290601</v>
      </c>
      <c r="T3329" s="232" t="inlineStr">
        <is>
          <t>CLP</t>
        </is>
      </c>
      <c r="U3329" s="232" t="inlineStr">
        <is>
          <t>Prorrateo Ha PACKING</t>
        </is>
      </c>
      <c r="V3329" s="232" t="inlineStr">
        <is>
          <t>2026-06-18</t>
        </is>
      </c>
    </row>
    <row r="3330">
      <c r="A3330" s="232" t="inlineStr">
        <is>
          <t>CR-3327</t>
        </is>
      </c>
      <c r="B3330" s="232" t="inlineStr">
        <is>
          <t>2026/27</t>
        </is>
      </c>
      <c r="C3330" s="233" t="n">
        <v>46126</v>
      </c>
      <c r="D3330" s="232" t="inlineStr">
        <is>
          <t>29</t>
        </is>
      </c>
      <c r="E3330" s="232" t="inlineStr">
        <is>
          <t>PRORRATEO</t>
        </is>
      </c>
      <c r="F3330" s="232" t="inlineStr">
        <is>
          <t>El Molle</t>
        </is>
      </c>
      <c r="G3330" s="232" t="inlineStr">
        <is>
          <t>orogrande 8,11 ha</t>
        </is>
      </c>
      <c r="H3330" s="232" t="inlineStr">
        <is>
          <t>Clementinas</t>
        </is>
      </c>
      <c r="I3330" s="232" t="inlineStr">
        <is>
          <t>Orogrande</t>
        </is>
      </c>
      <c r="J3330" s="232" t="inlineStr">
        <is>
          <t>MANO DE OBRA CONTRATISTA</t>
        </is>
      </c>
      <c r="K3330" s="232" t="inlineStr">
        <is>
          <t>M.O. CONTRATISTA</t>
        </is>
      </c>
      <c r="L3330" s="232" t="inlineStr">
        <is>
          <t>[PRORRATEO 5.5% 8.11há/148.3há] O/001607 M.O. CONTR</t>
        </is>
      </c>
      <c r="M3330" s="232" t="inlineStr"/>
      <c r="N3330" s="232" t="inlineStr">
        <is>
          <t>.   .   -</t>
        </is>
      </c>
      <c r="O3330" s="232" t="inlineStr">
        <is>
          <t>ABRIL</t>
        </is>
      </c>
      <c r="P3330" s="232" t="n">
        <v>14</v>
      </c>
      <c r="Q3330" s="234" t="n">
        <v>410587</v>
      </c>
      <c r="R3330" s="232" t="inlineStr"/>
      <c r="S3330" s="234" t="n">
        <v>410587</v>
      </c>
      <c r="T3330" s="232" t="inlineStr">
        <is>
          <t>CLP</t>
        </is>
      </c>
      <c r="U3330" s="232" t="inlineStr">
        <is>
          <t>Prorrateo Ha PACKING</t>
        </is>
      </c>
      <c r="V3330" s="232" t="inlineStr">
        <is>
          <t>2026-06-18</t>
        </is>
      </c>
    </row>
    <row r="3331">
      <c r="A3331" s="232" t="inlineStr">
        <is>
          <t>CR-3328</t>
        </is>
      </c>
      <c r="B3331" s="232" t="inlineStr">
        <is>
          <t>2026/27</t>
        </is>
      </c>
      <c r="C3331" s="233" t="n">
        <v>46126</v>
      </c>
      <c r="D3331" s="232" t="inlineStr">
        <is>
          <t>29</t>
        </is>
      </c>
      <c r="E3331" s="232" t="inlineStr">
        <is>
          <t>PRORRATEO</t>
        </is>
      </c>
      <c r="F3331" s="232" t="inlineStr">
        <is>
          <t>El Molle</t>
        </is>
      </c>
      <c r="G3331" s="232" t="inlineStr">
        <is>
          <t>oronules 5,35 ha</t>
        </is>
      </c>
      <c r="H3331" s="232" t="inlineStr">
        <is>
          <t>Clementinas</t>
        </is>
      </c>
      <c r="I3331" s="232" t="inlineStr">
        <is>
          <t>Oronules</t>
        </is>
      </c>
      <c r="J3331" s="232" t="inlineStr">
        <is>
          <t>MANO DE OBRA CONTRATISTA</t>
        </is>
      </c>
      <c r="K3331" s="232" t="inlineStr">
        <is>
          <t>M.O. CONTRATISTA</t>
        </is>
      </c>
      <c r="L3331" s="232" t="inlineStr">
        <is>
          <t>[PRORRATEO 3.6% 5.35há/148.3há] O/001607 M.O. CONTR</t>
        </is>
      </c>
      <c r="M3331" s="232" t="inlineStr"/>
      <c r="N3331" s="232" t="inlineStr">
        <is>
          <t>.   .   -</t>
        </is>
      </c>
      <c r="O3331" s="232" t="inlineStr">
        <is>
          <t>ABRIL</t>
        </is>
      </c>
      <c r="P3331" s="232" t="n">
        <v>14</v>
      </c>
      <c r="Q3331" s="234" t="n">
        <v>270856</v>
      </c>
      <c r="R3331" s="232" t="inlineStr"/>
      <c r="S3331" s="234" t="n">
        <v>270856</v>
      </c>
      <c r="T3331" s="232" t="inlineStr">
        <is>
          <t>CLP</t>
        </is>
      </c>
      <c r="U3331" s="232" t="inlineStr">
        <is>
          <t>Prorrateo Ha PACKING</t>
        </is>
      </c>
      <c r="V3331" s="232" t="inlineStr">
        <is>
          <t>2026-06-18</t>
        </is>
      </c>
    </row>
    <row r="3332">
      <c r="A3332" s="232" t="inlineStr">
        <is>
          <t>CR-3329</t>
        </is>
      </c>
      <c r="B3332" s="232" t="inlineStr">
        <is>
          <t>2026/27</t>
        </is>
      </c>
      <c r="C3332" s="233" t="n">
        <v>46126</v>
      </c>
      <c r="D3332" s="232" t="inlineStr">
        <is>
          <t>29</t>
        </is>
      </c>
      <c r="E3332" s="232" t="inlineStr">
        <is>
          <t>PRORRATEO</t>
        </is>
      </c>
      <c r="F3332" s="232" t="inlineStr">
        <is>
          <t>Santa Catalina</t>
        </is>
      </c>
      <c r="G3332" s="232" t="inlineStr">
        <is>
          <t>Fino 49 7,7 ha</t>
        </is>
      </c>
      <c r="H3332" s="232" t="inlineStr">
        <is>
          <t>Limon</t>
        </is>
      </c>
      <c r="I3332" s="232" t="inlineStr">
        <is>
          <t>Fino 49</t>
        </is>
      </c>
      <c r="J3332" s="232" t="inlineStr">
        <is>
          <t>MANO DE OBRA CONTRATISTA</t>
        </is>
      </c>
      <c r="K3332" s="232" t="inlineStr">
        <is>
          <t>M.O. CONTRATISTA</t>
        </is>
      </c>
      <c r="L3332" s="232" t="inlineStr">
        <is>
          <t>[PRORRATEO 5.2% 7.7há/148.3há] O/001607 M.O. CONTR</t>
        </is>
      </c>
      <c r="M3332" s="232" t="inlineStr"/>
      <c r="N3332" s="232" t="inlineStr">
        <is>
          <t>.   .   -</t>
        </is>
      </c>
      <c r="O3332" s="232" t="inlineStr">
        <is>
          <t>ABRIL</t>
        </is>
      </c>
      <c r="P3332" s="232" t="n">
        <v>14</v>
      </c>
      <c r="Q3332" s="234" t="n">
        <v>389830</v>
      </c>
      <c r="R3332" s="232" t="inlineStr"/>
      <c r="S3332" s="234" t="n">
        <v>389830</v>
      </c>
      <c r="T3332" s="232" t="inlineStr">
        <is>
          <t>CLP</t>
        </is>
      </c>
      <c r="U3332" s="232" t="inlineStr">
        <is>
          <t>Prorrateo Ha PACKING</t>
        </is>
      </c>
      <c r="V3332" s="232" t="inlineStr">
        <is>
          <t>2026-06-18</t>
        </is>
      </c>
    </row>
    <row r="3333">
      <c r="A3333" s="232" t="inlineStr">
        <is>
          <t>CR-3330</t>
        </is>
      </c>
      <c r="B3333" s="232" t="inlineStr">
        <is>
          <t>2026/27</t>
        </is>
      </c>
      <c r="C3333" s="233" t="n">
        <v>46126</v>
      </c>
      <c r="D3333" s="232" t="inlineStr">
        <is>
          <t>29</t>
        </is>
      </c>
      <c r="E3333" s="232" t="inlineStr">
        <is>
          <t>PRORRATEO</t>
        </is>
      </c>
      <c r="F3333" s="232" t="inlineStr">
        <is>
          <t>Santa Catalina</t>
        </is>
      </c>
      <c r="G3333" s="232" t="inlineStr">
        <is>
          <t>W. murcott 21 ha</t>
        </is>
      </c>
      <c r="H3333" s="232" t="inlineStr">
        <is>
          <t>Mandarina</t>
        </is>
      </c>
      <c r="I3333" s="232" t="inlineStr">
        <is>
          <t>W. murcott</t>
        </is>
      </c>
      <c r="J3333" s="232" t="inlineStr">
        <is>
          <t>MANO DE OBRA CONTRATISTA</t>
        </is>
      </c>
      <c r="K3333" s="232" t="inlineStr">
        <is>
          <t>M.O. CONTRATISTA</t>
        </is>
      </c>
      <c r="L3333" s="232" t="inlineStr">
        <is>
          <t>[PRORRATEO 14.2% 21.0há/148.3há] O/001607 M.O. CONTR</t>
        </is>
      </c>
      <c r="M3333" s="232" t="inlineStr"/>
      <c r="N3333" s="232" t="inlineStr">
        <is>
          <t>.   .   -</t>
        </is>
      </c>
      <c r="O3333" s="232" t="inlineStr">
        <is>
          <t>ABRIL</t>
        </is>
      </c>
      <c r="P3333" s="232" t="n">
        <v>14</v>
      </c>
      <c r="Q3333" s="234" t="n">
        <v>1063173</v>
      </c>
      <c r="R3333" s="232" t="inlineStr"/>
      <c r="S3333" s="234" t="n">
        <v>1063173</v>
      </c>
      <c r="T3333" s="232" t="inlineStr">
        <is>
          <t>CLP</t>
        </is>
      </c>
      <c r="U3333" s="232" t="inlineStr">
        <is>
          <t>Prorrateo Ha PACKING</t>
        </is>
      </c>
      <c r="V3333" s="232" t="inlineStr">
        <is>
          <t>2026-06-18</t>
        </is>
      </c>
    </row>
    <row r="3334">
      <c r="A3334" s="232" t="inlineStr">
        <is>
          <t>CR-3331</t>
        </is>
      </c>
      <c r="B3334" s="232" t="inlineStr">
        <is>
          <t>2026/27</t>
        </is>
      </c>
      <c r="C3334" s="233" t="n">
        <v>46126</v>
      </c>
      <c r="D3334" s="232" t="inlineStr">
        <is>
          <t>29</t>
        </is>
      </c>
      <c r="E3334" s="232" t="inlineStr">
        <is>
          <t>PRORRATEO</t>
        </is>
      </c>
      <c r="F3334" s="232" t="inlineStr">
        <is>
          <t>Santa Catalina</t>
        </is>
      </c>
      <c r="G3334" s="232" t="inlineStr">
        <is>
          <t>cambria 4,2 ha</t>
        </is>
      </c>
      <c r="H3334" s="232" t="inlineStr">
        <is>
          <t>Naranjas</t>
        </is>
      </c>
      <c r="I3334" s="232" t="inlineStr">
        <is>
          <t>Cambria</t>
        </is>
      </c>
      <c r="J3334" s="232" t="inlineStr">
        <is>
          <t>MANO DE OBRA CONTRATISTA</t>
        </is>
      </c>
      <c r="K3334" s="232" t="inlineStr">
        <is>
          <t>M.O. CONTRATISTA</t>
        </is>
      </c>
      <c r="L3334" s="232" t="inlineStr">
        <is>
          <t>[PRORRATEO 2.8% 4.2há/148.3há] O/001607 M.O. CONTR</t>
        </is>
      </c>
      <c r="M3334" s="232" t="inlineStr"/>
      <c r="N3334" s="232" t="inlineStr">
        <is>
          <t>.   .   -</t>
        </is>
      </c>
      <c r="O3334" s="232" t="inlineStr">
        <is>
          <t>ABRIL</t>
        </is>
      </c>
      <c r="P3334" s="232" t="n">
        <v>14</v>
      </c>
      <c r="Q3334" s="234" t="n">
        <v>212635</v>
      </c>
      <c r="R3334" s="232" t="inlineStr"/>
      <c r="S3334" s="234" t="n">
        <v>212635</v>
      </c>
      <c r="T3334" s="232" t="inlineStr">
        <is>
          <t>CLP</t>
        </is>
      </c>
      <c r="U3334" s="232" t="inlineStr">
        <is>
          <t>Prorrateo Ha PACKING</t>
        </is>
      </c>
      <c r="V3334" s="232" t="inlineStr">
        <is>
          <t>2026-06-18</t>
        </is>
      </c>
    </row>
    <row r="3335">
      <c r="A3335" s="232" t="inlineStr">
        <is>
          <t>CR-3332</t>
        </is>
      </c>
      <c r="B3335" s="232" t="inlineStr">
        <is>
          <t>2026/27</t>
        </is>
      </c>
      <c r="C3335" s="233" t="n">
        <v>46126</v>
      </c>
      <c r="D3335" s="232" t="inlineStr">
        <is>
          <t>29</t>
        </is>
      </c>
      <c r="E3335" s="232" t="inlineStr">
        <is>
          <t>PRORRATEO</t>
        </is>
      </c>
      <c r="F3335" s="232" t="inlineStr">
        <is>
          <t>Santa Catalina</t>
        </is>
      </c>
      <c r="G3335" s="232" t="inlineStr">
        <is>
          <t>eureka 10,6 ha</t>
        </is>
      </c>
      <c r="H3335" s="232" t="inlineStr">
        <is>
          <t>Limon</t>
        </is>
      </c>
      <c r="I3335" s="232" t="inlineStr">
        <is>
          <t>Eureka</t>
        </is>
      </c>
      <c r="J3335" s="232" t="inlineStr">
        <is>
          <t>MANO DE OBRA CONTRATISTA</t>
        </is>
      </c>
      <c r="K3335" s="232" t="inlineStr">
        <is>
          <t>M.O. CONTRATISTA</t>
        </is>
      </c>
      <c r="L3335" s="232" t="inlineStr">
        <is>
          <t>[PRORRATEO 7.1% 10.6há/148.3há] O/001607 M.O. CONTR</t>
        </is>
      </c>
      <c r="M3335" s="232" t="inlineStr"/>
      <c r="N3335" s="232" t="inlineStr">
        <is>
          <t>.   .   -</t>
        </is>
      </c>
      <c r="O3335" s="232" t="inlineStr">
        <is>
          <t>ABRIL</t>
        </is>
      </c>
      <c r="P3335" s="232" t="n">
        <v>14</v>
      </c>
      <c r="Q3335" s="234" t="n">
        <v>536649</v>
      </c>
      <c r="R3335" s="232" t="inlineStr"/>
      <c r="S3335" s="234" t="n">
        <v>536649</v>
      </c>
      <c r="T3335" s="232" t="inlineStr">
        <is>
          <t>CLP</t>
        </is>
      </c>
      <c r="U3335" s="232" t="inlineStr">
        <is>
          <t>Prorrateo Ha PACKING</t>
        </is>
      </c>
      <c r="V3335" s="232" t="inlineStr">
        <is>
          <t>2026-06-18</t>
        </is>
      </c>
    </row>
    <row r="3336">
      <c r="A3336" s="232" t="inlineStr">
        <is>
          <t>CR-3333</t>
        </is>
      </c>
      <c r="B3336" s="232" t="inlineStr">
        <is>
          <t>2026/27</t>
        </is>
      </c>
      <c r="C3336" s="233" t="n">
        <v>46126</v>
      </c>
      <c r="D3336" s="232" t="inlineStr">
        <is>
          <t>29</t>
        </is>
      </c>
      <c r="E3336" s="232" t="inlineStr">
        <is>
          <t>PRORRATEO</t>
        </is>
      </c>
      <c r="F3336" s="232" t="inlineStr">
        <is>
          <t>Santa Catalina</t>
        </is>
      </c>
      <c r="G3336" s="232" t="inlineStr">
        <is>
          <t>eureka 14,4 ha</t>
        </is>
      </c>
      <c r="H3336" s="232" t="inlineStr">
        <is>
          <t>Limon</t>
        </is>
      </c>
      <c r="I3336" s="232" t="inlineStr">
        <is>
          <t>Eureka</t>
        </is>
      </c>
      <c r="J3336" s="232" t="inlineStr">
        <is>
          <t>MANO DE OBRA CONTRATISTA</t>
        </is>
      </c>
      <c r="K3336" s="232" t="inlineStr">
        <is>
          <t>M.O. CONTRATISTA</t>
        </is>
      </c>
      <c r="L3336" s="232" t="inlineStr">
        <is>
          <t>[PRORRATEO 9.7% 14.4há/148.3há] O/001607 M.O. CONTR</t>
        </is>
      </c>
      <c r="M3336" s="232" t="inlineStr"/>
      <c r="N3336" s="232" t="inlineStr">
        <is>
          <t>.   .   -</t>
        </is>
      </c>
      <c r="O3336" s="232" t="inlineStr">
        <is>
          <t>ABRIL</t>
        </is>
      </c>
      <c r="P3336" s="232" t="n">
        <v>14</v>
      </c>
      <c r="Q3336" s="234" t="n">
        <v>729033</v>
      </c>
      <c r="R3336" s="232" t="inlineStr"/>
      <c r="S3336" s="234" t="n">
        <v>729033</v>
      </c>
      <c r="T3336" s="232" t="inlineStr">
        <is>
          <t>CLP</t>
        </is>
      </c>
      <c r="U3336" s="232" t="inlineStr">
        <is>
          <t>Prorrateo Ha PACKING</t>
        </is>
      </c>
      <c r="V3336" s="232" t="inlineStr">
        <is>
          <t>2026-06-18</t>
        </is>
      </c>
    </row>
    <row r="3337">
      <c r="A3337" s="232" t="inlineStr">
        <is>
          <t>CR-3334</t>
        </is>
      </c>
      <c r="B3337" s="232" t="inlineStr">
        <is>
          <t>2026/27</t>
        </is>
      </c>
      <c r="C3337" s="233" t="n">
        <v>46126</v>
      </c>
      <c r="D3337" s="232" t="inlineStr">
        <is>
          <t>29</t>
        </is>
      </c>
      <c r="E3337" s="232" t="inlineStr">
        <is>
          <t>PRORRATEO</t>
        </is>
      </c>
      <c r="F3337" s="232" t="inlineStr">
        <is>
          <t>Santa Catalina</t>
        </is>
      </c>
      <c r="G3337" s="232" t="inlineStr">
        <is>
          <t>eureka 22,55</t>
        </is>
      </c>
      <c r="H3337" s="232" t="inlineStr">
        <is>
          <t>Limon</t>
        </is>
      </c>
      <c r="I3337" s="232" t="inlineStr">
        <is>
          <t>Eureka</t>
        </is>
      </c>
      <c r="J3337" s="232" t="inlineStr">
        <is>
          <t>MANO DE OBRA CONTRATISTA</t>
        </is>
      </c>
      <c r="K3337" s="232" t="inlineStr">
        <is>
          <t>M.O. CONTRATISTA</t>
        </is>
      </c>
      <c r="L3337" s="232" t="inlineStr">
        <is>
          <t>[PRORRATEO 15.2% 22.55há/148.3há] O/001607 M.O. CONTR</t>
        </is>
      </c>
      <c r="M3337" s="232" t="inlineStr"/>
      <c r="N3337" s="232" t="inlineStr">
        <is>
          <t>.   .   -</t>
        </is>
      </c>
      <c r="O3337" s="232" t="inlineStr">
        <is>
          <t>ABRIL</t>
        </is>
      </c>
      <c r="P3337" s="232" t="n">
        <v>14</v>
      </c>
      <c r="Q3337" s="234" t="n">
        <v>1141645</v>
      </c>
      <c r="R3337" s="232" t="inlineStr"/>
      <c r="S3337" s="234" t="n">
        <v>1141645</v>
      </c>
      <c r="T3337" s="232" t="inlineStr">
        <is>
          <t>CLP</t>
        </is>
      </c>
      <c r="U3337" s="232" t="inlineStr">
        <is>
          <t>Prorrateo Ha PACKING</t>
        </is>
      </c>
      <c r="V3337" s="232" t="inlineStr">
        <is>
          <t>2026-06-18</t>
        </is>
      </c>
    </row>
    <row r="3338">
      <c r="A3338" s="232" t="inlineStr">
        <is>
          <t>CR-3335</t>
        </is>
      </c>
      <c r="B3338" s="232" t="inlineStr">
        <is>
          <t>2026/27</t>
        </is>
      </c>
      <c r="C3338" s="233" t="n">
        <v>46126</v>
      </c>
      <c r="D3338" s="232" t="inlineStr">
        <is>
          <t>29</t>
        </is>
      </c>
      <c r="E3338" s="232" t="inlineStr">
        <is>
          <t>PRORRATEO</t>
        </is>
      </c>
      <c r="F3338" s="232" t="inlineStr">
        <is>
          <t>Santa Catalina</t>
        </is>
      </c>
      <c r="G3338" s="232" t="inlineStr">
        <is>
          <t>form benjamin 1,93 ha</t>
        </is>
      </c>
      <c r="H3338" s="232" t="inlineStr">
        <is>
          <t>Limon</t>
        </is>
      </c>
      <c r="I3338" s="232" t="inlineStr">
        <is>
          <t>Benjamin andes</t>
        </is>
      </c>
      <c r="J3338" s="232" t="inlineStr">
        <is>
          <t>MANO DE OBRA CONTRATISTA</t>
        </is>
      </c>
      <c r="K3338" s="232" t="inlineStr">
        <is>
          <t>M.O. CONTRATISTA</t>
        </is>
      </c>
      <c r="L3338" s="232" t="inlineStr">
        <is>
          <t>[PRORRATEO 1.3% 1.93há/148.3há] O/001607 M.O. CONTR</t>
        </is>
      </c>
      <c r="M3338" s="232" t="inlineStr"/>
      <c r="N3338" s="232" t="inlineStr">
        <is>
          <t>.   .   -</t>
        </is>
      </c>
      <c r="O3338" s="232" t="inlineStr">
        <is>
          <t>ABRIL</t>
        </is>
      </c>
      <c r="P3338" s="232" t="n">
        <v>14</v>
      </c>
      <c r="Q3338" s="234" t="n">
        <v>97711</v>
      </c>
      <c r="R3338" s="232" t="inlineStr"/>
      <c r="S3338" s="234" t="n">
        <v>97711</v>
      </c>
      <c r="T3338" s="232" t="inlineStr">
        <is>
          <t>CLP</t>
        </is>
      </c>
      <c r="U3338" s="232" t="inlineStr">
        <is>
          <t>Prorrateo Ha PACKING</t>
        </is>
      </c>
      <c r="V3338" s="232" t="inlineStr">
        <is>
          <t>2026-06-18</t>
        </is>
      </c>
    </row>
    <row r="3339">
      <c r="A3339" s="232" t="inlineStr">
        <is>
          <t>CR-3336</t>
        </is>
      </c>
      <c r="B3339" s="232" t="inlineStr">
        <is>
          <t>2026/27</t>
        </is>
      </c>
      <c r="C3339" s="233" t="n">
        <v>46126</v>
      </c>
      <c r="D3339" s="232" t="inlineStr">
        <is>
          <t>29</t>
        </is>
      </c>
      <c r="E3339" s="232" t="inlineStr">
        <is>
          <t>PRORRATEO</t>
        </is>
      </c>
      <c r="F3339" s="232" t="inlineStr">
        <is>
          <t>Santa Catalina</t>
        </is>
      </c>
      <c r="G3339" s="232" t="inlineStr">
        <is>
          <t>mant eureka 2,5 ha</t>
        </is>
      </c>
      <c r="H3339" s="232" t="inlineStr">
        <is>
          <t>Limon</t>
        </is>
      </c>
      <c r="I3339" s="232" t="inlineStr">
        <is>
          <t>Eureka</t>
        </is>
      </c>
      <c r="J3339" s="232" t="inlineStr">
        <is>
          <t>MANO DE OBRA CONTRATISTA</t>
        </is>
      </c>
      <c r="K3339" s="232" t="inlineStr">
        <is>
          <t>M.O. CONTRATISTA</t>
        </is>
      </c>
      <c r="L3339" s="232" t="inlineStr">
        <is>
          <t>[PRORRATEO 1.7% 2.5há/148.3há] O/001607 M.O. CONTR</t>
        </is>
      </c>
      <c r="M3339" s="232" t="inlineStr"/>
      <c r="N3339" s="232" t="inlineStr">
        <is>
          <t>.   .   -</t>
        </is>
      </c>
      <c r="O3339" s="232" t="inlineStr">
        <is>
          <t>ABRIL</t>
        </is>
      </c>
      <c r="P3339" s="232" t="n">
        <v>14</v>
      </c>
      <c r="Q3339" s="234" t="n">
        <v>126568</v>
      </c>
      <c r="R3339" s="232" t="inlineStr"/>
      <c r="S3339" s="234" t="n">
        <v>126568</v>
      </c>
      <c r="T3339" s="232" t="inlineStr">
        <is>
          <t>CLP</t>
        </is>
      </c>
      <c r="U3339" s="232" t="inlineStr">
        <is>
          <t>Prorrateo Ha PACKING</t>
        </is>
      </c>
      <c r="V3339" s="232" t="inlineStr">
        <is>
          <t>2026-06-18</t>
        </is>
      </c>
    </row>
    <row r="3340">
      <c r="A3340" s="232" t="inlineStr">
        <is>
          <t>CR-3337</t>
        </is>
      </c>
      <c r="B3340" s="232" t="inlineStr">
        <is>
          <t>2026/27</t>
        </is>
      </c>
      <c r="C3340" s="233" t="n">
        <v>46126</v>
      </c>
      <c r="D3340" s="232" t="inlineStr">
        <is>
          <t>29</t>
        </is>
      </c>
      <c r="E3340" s="232" t="inlineStr">
        <is>
          <t>PRORRATEO</t>
        </is>
      </c>
      <c r="F3340" s="232" t="inlineStr">
        <is>
          <t>Siberia</t>
        </is>
      </c>
      <c r="G3340" s="232" t="inlineStr">
        <is>
          <t>S. Celebration 7,14</t>
        </is>
      </c>
      <c r="H3340" s="232" t="inlineStr">
        <is>
          <t>Uvas</t>
        </is>
      </c>
      <c r="I3340" s="232" t="inlineStr">
        <is>
          <t>S. celebration</t>
        </is>
      </c>
      <c r="J3340" s="232" t="inlineStr">
        <is>
          <t>MANO DE OBRA CONTRATISTA</t>
        </is>
      </c>
      <c r="K3340" s="232" t="inlineStr">
        <is>
          <t>M.O. CONTRATISTA</t>
        </is>
      </c>
      <c r="L3340" s="232" t="inlineStr">
        <is>
          <t>[PRORRATEO 4.8% 7.14há/148.3há] O/001607 M.O. CONTR</t>
        </is>
      </c>
      <c r="M3340" s="232" t="inlineStr"/>
      <c r="N3340" s="232" t="inlineStr">
        <is>
          <t>.   .   -</t>
        </is>
      </c>
      <c r="O3340" s="232" t="inlineStr">
        <is>
          <t>ABRIL</t>
        </is>
      </c>
      <c r="P3340" s="232" t="n">
        <v>14</v>
      </c>
      <c r="Q3340" s="234" t="n">
        <v>361479</v>
      </c>
      <c r="R3340" s="232" t="inlineStr"/>
      <c r="S3340" s="234" t="n">
        <v>361479</v>
      </c>
      <c r="T3340" s="232" t="inlineStr">
        <is>
          <t>CLP</t>
        </is>
      </c>
      <c r="U3340" s="232" t="inlineStr">
        <is>
          <t>Prorrateo Ha PACKING</t>
        </is>
      </c>
      <c r="V3340" s="232" t="inlineStr">
        <is>
          <t>2026-06-18</t>
        </is>
      </c>
    </row>
    <row r="3341">
      <c r="A3341" s="232" t="inlineStr">
        <is>
          <t>CR-3338</t>
        </is>
      </c>
      <c r="B3341" s="232" t="inlineStr">
        <is>
          <t>2026/27</t>
        </is>
      </c>
      <c r="C3341" s="233" t="n">
        <v>46126</v>
      </c>
      <c r="D3341" s="232" t="inlineStr">
        <is>
          <t>29</t>
        </is>
      </c>
      <c r="E3341" s="232" t="inlineStr">
        <is>
          <t>PRORRATEO</t>
        </is>
      </c>
      <c r="F3341" s="232" t="inlineStr">
        <is>
          <t>Siberia</t>
        </is>
      </c>
      <c r="G3341" s="232" t="inlineStr">
        <is>
          <t>Timpson 7,1</t>
        </is>
      </c>
      <c r="H3341" s="232" t="inlineStr">
        <is>
          <t>Uvas</t>
        </is>
      </c>
      <c r="I3341" s="232" t="inlineStr">
        <is>
          <t>Timpson</t>
        </is>
      </c>
      <c r="J3341" s="232" t="inlineStr">
        <is>
          <t>MANO DE OBRA CONTRATISTA</t>
        </is>
      </c>
      <c r="K3341" s="232" t="inlineStr">
        <is>
          <t>M.O. CONTRATISTA</t>
        </is>
      </c>
      <c r="L3341" s="232" t="inlineStr">
        <is>
          <t>[PRORRATEO 4.8% 7.1há/148.3há] O/001607 M.O. CONTR</t>
        </is>
      </c>
      <c r="M3341" s="232" t="inlineStr"/>
      <c r="N3341" s="232" t="inlineStr">
        <is>
          <t>.   .   -</t>
        </is>
      </c>
      <c r="O3341" s="232" t="inlineStr">
        <is>
          <t>ABRIL</t>
        </is>
      </c>
      <c r="P3341" s="232" t="n">
        <v>14</v>
      </c>
      <c r="Q3341" s="234" t="n">
        <v>359454</v>
      </c>
      <c r="R3341" s="232" t="inlineStr"/>
      <c r="S3341" s="234" t="n">
        <v>359454</v>
      </c>
      <c r="T3341" s="232" t="inlineStr">
        <is>
          <t>CLP</t>
        </is>
      </c>
      <c r="U3341" s="232" t="inlineStr">
        <is>
          <t>Prorrateo Ha PACKING</t>
        </is>
      </c>
      <c r="V3341" s="232" t="inlineStr">
        <is>
          <t>2026-06-18</t>
        </is>
      </c>
    </row>
    <row r="3342">
      <c r="A3342" s="232" t="inlineStr">
        <is>
          <t>CR-3339</t>
        </is>
      </c>
      <c r="B3342" s="232" t="inlineStr">
        <is>
          <t>2026/27</t>
        </is>
      </c>
      <c r="C3342" s="233" t="n">
        <v>46133</v>
      </c>
      <c r="D3342" s="232" t="inlineStr">
        <is>
          <t>285</t>
        </is>
      </c>
      <c r="E3342" s="232" t="inlineStr">
        <is>
          <t>PRORRATEO</t>
        </is>
      </c>
      <c r="F3342" s="232" t="inlineStr">
        <is>
          <t>Asmara</t>
        </is>
      </c>
      <c r="G3342" s="232" t="inlineStr">
        <is>
          <t>w. murcott 19,8 ha</t>
        </is>
      </c>
      <c r="H3342" s="232" t="inlineStr">
        <is>
          <t>Mandarina</t>
        </is>
      </c>
      <c r="I3342" s="232" t="inlineStr">
        <is>
          <t>W. murcott</t>
        </is>
      </c>
      <c r="J3342" s="232" t="inlineStr">
        <is>
          <t>FLETES</t>
        </is>
      </c>
      <c r="K3342" s="232" t="inlineStr">
        <is>
          <t>FLETE FRUTA</t>
        </is>
      </c>
      <c r="L3342" s="232" t="inlineStr">
        <is>
          <t>[PRORRATEO 13.4% 19.8há/148.3há] O/001594 FLETE</t>
        </is>
      </c>
      <c r="M3342" s="232" t="inlineStr"/>
      <c r="N3342" s="232" t="inlineStr">
        <is>
          <t>.   .   -</t>
        </is>
      </c>
      <c r="O3342" s="232" t="inlineStr">
        <is>
          <t>ABRIL</t>
        </is>
      </c>
      <c r="P3342" s="232" t="n">
        <v>15</v>
      </c>
      <c r="Q3342" s="234" t="n">
        <v>40065</v>
      </c>
      <c r="R3342" s="232" t="inlineStr"/>
      <c r="S3342" s="234" t="n">
        <v>40065</v>
      </c>
      <c r="T3342" s="232" t="inlineStr">
        <is>
          <t>CLP</t>
        </is>
      </c>
      <c r="U3342" s="232" t="inlineStr">
        <is>
          <t>Prorrateo Ha PACKING</t>
        </is>
      </c>
      <c r="V3342" s="232" t="inlineStr">
        <is>
          <t>2026-06-18</t>
        </is>
      </c>
    </row>
    <row r="3343">
      <c r="A3343" s="232" t="inlineStr">
        <is>
          <t>CR-3340</t>
        </is>
      </c>
      <c r="B3343" s="232" t="inlineStr">
        <is>
          <t>2026/27</t>
        </is>
      </c>
      <c r="C3343" s="233" t="n">
        <v>46133</v>
      </c>
      <c r="D3343" s="232" t="inlineStr">
        <is>
          <t>285</t>
        </is>
      </c>
      <c r="E3343" s="232" t="inlineStr">
        <is>
          <t>PRORRATEO</t>
        </is>
      </c>
      <c r="F3343" s="232" t="inlineStr">
        <is>
          <t>Asmara</t>
        </is>
      </c>
      <c r="G3343" s="232" t="inlineStr">
        <is>
          <t>w. murcott 4,9 ha</t>
        </is>
      </c>
      <c r="H3343" s="232" t="inlineStr">
        <is>
          <t>Mandarina</t>
        </is>
      </c>
      <c r="I3343" s="232" t="inlineStr">
        <is>
          <t>W. murcott</t>
        </is>
      </c>
      <c r="J3343" s="232" t="inlineStr">
        <is>
          <t>FLETES</t>
        </is>
      </c>
      <c r="K3343" s="232" t="inlineStr">
        <is>
          <t>FLETE FRUTA</t>
        </is>
      </c>
      <c r="L3343" s="232" t="inlineStr">
        <is>
          <t>[PRORRATEO 3.3% 4.9há/148.3há] O/001594 FLETE</t>
        </is>
      </c>
      <c r="M3343" s="232" t="inlineStr"/>
      <c r="N3343" s="232" t="inlineStr">
        <is>
          <t>.   .   -</t>
        </is>
      </c>
      <c r="O3343" s="232" t="inlineStr">
        <is>
          <t>ABRIL</t>
        </is>
      </c>
      <c r="P3343" s="232" t="n">
        <v>15</v>
      </c>
      <c r="Q3343" s="234" t="n">
        <v>9915</v>
      </c>
      <c r="R3343" s="232" t="inlineStr"/>
      <c r="S3343" s="234" t="n">
        <v>9915</v>
      </c>
      <c r="T3343" s="232" t="inlineStr">
        <is>
          <t>CLP</t>
        </is>
      </c>
      <c r="U3343" s="232" t="inlineStr">
        <is>
          <t>Prorrateo Ha PACKING</t>
        </is>
      </c>
      <c r="V3343" s="232" t="inlineStr">
        <is>
          <t>2026-06-18</t>
        </is>
      </c>
    </row>
    <row r="3344">
      <c r="A3344" s="232" t="inlineStr">
        <is>
          <t>CR-3341</t>
        </is>
      </c>
      <c r="B3344" s="232" t="inlineStr">
        <is>
          <t>2026/27</t>
        </is>
      </c>
      <c r="C3344" s="233" t="n">
        <v>46133</v>
      </c>
      <c r="D3344" s="232" t="inlineStr">
        <is>
          <t>285</t>
        </is>
      </c>
      <c r="E3344" s="232" t="inlineStr">
        <is>
          <t>PRORRATEO</t>
        </is>
      </c>
      <c r="F3344" s="232" t="inlineStr">
        <is>
          <t>El Molle</t>
        </is>
      </c>
      <c r="G3344" s="232" t="inlineStr">
        <is>
          <t>Wonderful 5,25 ha</t>
        </is>
      </c>
      <c r="H3344" s="232" t="inlineStr">
        <is>
          <t>Granados</t>
        </is>
      </c>
      <c r="I3344" s="232" t="inlineStr">
        <is>
          <t>Wonderfull</t>
        </is>
      </c>
      <c r="J3344" s="232" t="inlineStr">
        <is>
          <t>FLETES</t>
        </is>
      </c>
      <c r="K3344" s="232" t="inlineStr">
        <is>
          <t>FLETE FRUTA</t>
        </is>
      </c>
      <c r="L3344" s="232" t="inlineStr">
        <is>
          <t>[PRORRATEO 3.5% 5.24há/148.3há] O/001594 FLETE</t>
        </is>
      </c>
      <c r="M3344" s="232" t="inlineStr"/>
      <c r="N3344" s="232" t="inlineStr">
        <is>
          <t>.   .   -</t>
        </is>
      </c>
      <c r="O3344" s="232" t="inlineStr">
        <is>
          <t>ABRIL</t>
        </is>
      </c>
      <c r="P3344" s="232" t="n">
        <v>15</v>
      </c>
      <c r="Q3344" s="234" t="n">
        <v>10603</v>
      </c>
      <c r="R3344" s="232" t="inlineStr"/>
      <c r="S3344" s="234" t="n">
        <v>10603</v>
      </c>
      <c r="T3344" s="232" t="inlineStr">
        <is>
          <t>CLP</t>
        </is>
      </c>
      <c r="U3344" s="232" t="inlineStr">
        <is>
          <t>Prorrateo Ha PACKING</t>
        </is>
      </c>
      <c r="V3344" s="232" t="inlineStr">
        <is>
          <t>2026-06-18</t>
        </is>
      </c>
    </row>
    <row r="3345">
      <c r="A3345" s="232" t="inlineStr">
        <is>
          <t>CR-3342</t>
        </is>
      </c>
      <c r="B3345" s="232" t="inlineStr">
        <is>
          <t>2026/27</t>
        </is>
      </c>
      <c r="C3345" s="233" t="n">
        <v>46133</v>
      </c>
      <c r="D3345" s="232" t="inlineStr">
        <is>
          <t>285</t>
        </is>
      </c>
      <c r="E3345" s="232" t="inlineStr">
        <is>
          <t>PRORRATEO</t>
        </is>
      </c>
      <c r="F3345" s="232" t="inlineStr">
        <is>
          <t>El Molle</t>
        </is>
      </c>
      <c r="G3345" s="232" t="inlineStr">
        <is>
          <t>arrufatinas 5,74 ha</t>
        </is>
      </c>
      <c r="H3345" s="232" t="inlineStr">
        <is>
          <t>Clementinas</t>
        </is>
      </c>
      <c r="I3345" s="232" t="inlineStr">
        <is>
          <t>Arrufatinas</t>
        </is>
      </c>
      <c r="J3345" s="232" t="inlineStr">
        <is>
          <t>FLETES</t>
        </is>
      </c>
      <c r="K3345" s="232" t="inlineStr">
        <is>
          <t>FLETE FRUTA</t>
        </is>
      </c>
      <c r="L3345" s="232" t="inlineStr">
        <is>
          <t>[PRORRATEO 3.9% 5.74há/148.3há] O/001594 FLETE</t>
        </is>
      </c>
      <c r="M3345" s="232" t="inlineStr"/>
      <c r="N3345" s="232" t="inlineStr">
        <is>
          <t>.   .   -</t>
        </is>
      </c>
      <c r="O3345" s="232" t="inlineStr">
        <is>
          <t>ABRIL</t>
        </is>
      </c>
      <c r="P3345" s="232" t="n">
        <v>15</v>
      </c>
      <c r="Q3345" s="234" t="n">
        <v>11615</v>
      </c>
      <c r="R3345" s="232" t="inlineStr"/>
      <c r="S3345" s="234" t="n">
        <v>11615</v>
      </c>
      <c r="T3345" s="232" t="inlineStr">
        <is>
          <t>CLP</t>
        </is>
      </c>
      <c r="U3345" s="232" t="inlineStr">
        <is>
          <t>Prorrateo Ha PACKING</t>
        </is>
      </c>
      <c r="V3345" s="232" t="inlineStr">
        <is>
          <t>2026-06-18</t>
        </is>
      </c>
    </row>
    <row r="3346">
      <c r="A3346" s="232" t="inlineStr">
        <is>
          <t>CR-3343</t>
        </is>
      </c>
      <c r="B3346" s="232" t="inlineStr">
        <is>
          <t>2026/27</t>
        </is>
      </c>
      <c r="C3346" s="233" t="n">
        <v>46133</v>
      </c>
      <c r="D3346" s="232" t="inlineStr">
        <is>
          <t>285</t>
        </is>
      </c>
      <c r="E3346" s="232" t="inlineStr">
        <is>
          <t>PRORRATEO</t>
        </is>
      </c>
      <c r="F3346" s="232" t="inlineStr">
        <is>
          <t>El Molle</t>
        </is>
      </c>
      <c r="G3346" s="232" t="inlineStr">
        <is>
          <t>orogrande 8,11 ha</t>
        </is>
      </c>
      <c r="H3346" s="232" t="inlineStr">
        <is>
          <t>Clementinas</t>
        </is>
      </c>
      <c r="I3346" s="232" t="inlineStr">
        <is>
          <t>Orogrande</t>
        </is>
      </c>
      <c r="J3346" s="232" t="inlineStr">
        <is>
          <t>FLETES</t>
        </is>
      </c>
      <c r="K3346" s="232" t="inlineStr">
        <is>
          <t>FLETE FRUTA</t>
        </is>
      </c>
      <c r="L3346" s="232" t="inlineStr">
        <is>
          <t>[PRORRATEO 5.5% 8.11há/148.3há] O/001594 FLETE</t>
        </is>
      </c>
      <c r="M3346" s="232" t="inlineStr"/>
      <c r="N3346" s="232" t="inlineStr">
        <is>
          <t>.   .   -</t>
        </is>
      </c>
      <c r="O3346" s="232" t="inlineStr">
        <is>
          <t>ABRIL</t>
        </is>
      </c>
      <c r="P3346" s="232" t="n">
        <v>15</v>
      </c>
      <c r="Q3346" s="234" t="n">
        <v>16410</v>
      </c>
      <c r="R3346" s="232" t="inlineStr"/>
      <c r="S3346" s="234" t="n">
        <v>16410</v>
      </c>
      <c r="T3346" s="232" t="inlineStr">
        <is>
          <t>CLP</t>
        </is>
      </c>
      <c r="U3346" s="232" t="inlineStr">
        <is>
          <t>Prorrateo Ha PACKING</t>
        </is>
      </c>
      <c r="V3346" s="232" t="inlineStr">
        <is>
          <t>2026-06-18</t>
        </is>
      </c>
    </row>
    <row r="3347">
      <c r="A3347" s="232" t="inlineStr">
        <is>
          <t>CR-3344</t>
        </is>
      </c>
      <c r="B3347" s="232" t="inlineStr">
        <is>
          <t>2026/27</t>
        </is>
      </c>
      <c r="C3347" s="233" t="n">
        <v>46133</v>
      </c>
      <c r="D3347" s="232" t="inlineStr">
        <is>
          <t>285</t>
        </is>
      </c>
      <c r="E3347" s="232" t="inlineStr">
        <is>
          <t>PRORRATEO</t>
        </is>
      </c>
      <c r="F3347" s="232" t="inlineStr">
        <is>
          <t>El Molle</t>
        </is>
      </c>
      <c r="G3347" s="232" t="inlineStr">
        <is>
          <t>oronules 5,35 ha</t>
        </is>
      </c>
      <c r="H3347" s="232" t="inlineStr">
        <is>
          <t>Clementinas</t>
        </is>
      </c>
      <c r="I3347" s="232" t="inlineStr">
        <is>
          <t>Oronules</t>
        </is>
      </c>
      <c r="J3347" s="232" t="inlineStr">
        <is>
          <t>FLETES</t>
        </is>
      </c>
      <c r="K3347" s="232" t="inlineStr">
        <is>
          <t>FLETE FRUTA</t>
        </is>
      </c>
      <c r="L3347" s="232" t="inlineStr">
        <is>
          <t>[PRORRATEO 3.6% 5.35há/148.3há] O/001594 FLETE</t>
        </is>
      </c>
      <c r="M3347" s="232" t="inlineStr"/>
      <c r="N3347" s="232" t="inlineStr">
        <is>
          <t>.   .   -</t>
        </is>
      </c>
      <c r="O3347" s="232" t="inlineStr">
        <is>
          <t>ABRIL</t>
        </is>
      </c>
      <c r="P3347" s="232" t="n">
        <v>15</v>
      </c>
      <c r="Q3347" s="234" t="n">
        <v>10826</v>
      </c>
      <c r="R3347" s="232" t="inlineStr"/>
      <c r="S3347" s="234" t="n">
        <v>10826</v>
      </c>
      <c r="T3347" s="232" t="inlineStr">
        <is>
          <t>CLP</t>
        </is>
      </c>
      <c r="U3347" s="232" t="inlineStr">
        <is>
          <t>Prorrateo Ha PACKING</t>
        </is>
      </c>
      <c r="V3347" s="232" t="inlineStr">
        <is>
          <t>2026-06-18</t>
        </is>
      </c>
    </row>
    <row r="3348">
      <c r="A3348" s="232" t="inlineStr">
        <is>
          <t>CR-3345</t>
        </is>
      </c>
      <c r="B3348" s="232" t="inlineStr">
        <is>
          <t>2026/27</t>
        </is>
      </c>
      <c r="C3348" s="233" t="n">
        <v>46133</v>
      </c>
      <c r="D3348" s="232" t="inlineStr">
        <is>
          <t>285</t>
        </is>
      </c>
      <c r="E3348" s="232" t="inlineStr">
        <is>
          <t>PRORRATEO</t>
        </is>
      </c>
      <c r="F3348" s="232" t="inlineStr">
        <is>
          <t>Santa Catalina</t>
        </is>
      </c>
      <c r="G3348" s="232" t="inlineStr">
        <is>
          <t>Fino 49 7,7 ha</t>
        </is>
      </c>
      <c r="H3348" s="232" t="inlineStr">
        <is>
          <t>Limon</t>
        </is>
      </c>
      <c r="I3348" s="232" t="inlineStr">
        <is>
          <t>Fino 49</t>
        </is>
      </c>
      <c r="J3348" s="232" t="inlineStr">
        <is>
          <t>FLETES</t>
        </is>
      </c>
      <c r="K3348" s="232" t="inlineStr">
        <is>
          <t>FLETE FRUTA</t>
        </is>
      </c>
      <c r="L3348" s="232" t="inlineStr">
        <is>
          <t>[PRORRATEO 5.2% 7.7há/148.3há] O/001594 FLETE</t>
        </is>
      </c>
      <c r="M3348" s="232" t="inlineStr"/>
      <c r="N3348" s="232" t="inlineStr">
        <is>
          <t>.   .   -</t>
        </is>
      </c>
      <c r="O3348" s="232" t="inlineStr">
        <is>
          <t>ABRIL</t>
        </is>
      </c>
      <c r="P3348" s="232" t="n">
        <v>15</v>
      </c>
      <c r="Q3348" s="234" t="n">
        <v>15581</v>
      </c>
      <c r="R3348" s="232" t="inlineStr"/>
      <c r="S3348" s="234" t="n">
        <v>15581</v>
      </c>
      <c r="T3348" s="232" t="inlineStr">
        <is>
          <t>CLP</t>
        </is>
      </c>
      <c r="U3348" s="232" t="inlineStr">
        <is>
          <t>Prorrateo Ha PACKING</t>
        </is>
      </c>
      <c r="V3348" s="232" t="inlineStr">
        <is>
          <t>2026-06-18</t>
        </is>
      </c>
    </row>
    <row r="3349">
      <c r="A3349" s="232" t="inlineStr">
        <is>
          <t>CR-3346</t>
        </is>
      </c>
      <c r="B3349" s="232" t="inlineStr">
        <is>
          <t>2026/27</t>
        </is>
      </c>
      <c r="C3349" s="233" t="n">
        <v>46133</v>
      </c>
      <c r="D3349" s="232" t="inlineStr">
        <is>
          <t>285</t>
        </is>
      </c>
      <c r="E3349" s="232" t="inlineStr">
        <is>
          <t>PRORRATEO</t>
        </is>
      </c>
      <c r="F3349" s="232" t="inlineStr">
        <is>
          <t>Santa Catalina</t>
        </is>
      </c>
      <c r="G3349" s="232" t="inlineStr">
        <is>
          <t>W. murcott 21 ha</t>
        </is>
      </c>
      <c r="H3349" s="232" t="inlineStr">
        <is>
          <t>Mandarina</t>
        </is>
      </c>
      <c r="I3349" s="232" t="inlineStr">
        <is>
          <t>W. murcott</t>
        </is>
      </c>
      <c r="J3349" s="232" t="inlineStr">
        <is>
          <t>FLETES</t>
        </is>
      </c>
      <c r="K3349" s="232" t="inlineStr">
        <is>
          <t>FLETE FRUTA</t>
        </is>
      </c>
      <c r="L3349" s="232" t="inlineStr">
        <is>
          <t>[PRORRATEO 14.2% 21.0há/148.3há] O/001594 FLETE</t>
        </is>
      </c>
      <c r="M3349" s="232" t="inlineStr"/>
      <c r="N3349" s="232" t="inlineStr">
        <is>
          <t>.   .   -</t>
        </is>
      </c>
      <c r="O3349" s="232" t="inlineStr">
        <is>
          <t>ABRIL</t>
        </is>
      </c>
      <c r="P3349" s="232" t="n">
        <v>15</v>
      </c>
      <c r="Q3349" s="234" t="n">
        <v>42493</v>
      </c>
      <c r="R3349" s="232" t="inlineStr"/>
      <c r="S3349" s="234" t="n">
        <v>42493</v>
      </c>
      <c r="T3349" s="232" t="inlineStr">
        <is>
          <t>CLP</t>
        </is>
      </c>
      <c r="U3349" s="232" t="inlineStr">
        <is>
          <t>Prorrateo Ha PACKING</t>
        </is>
      </c>
      <c r="V3349" s="232" t="inlineStr">
        <is>
          <t>2026-06-18</t>
        </is>
      </c>
    </row>
    <row r="3350">
      <c r="A3350" s="232" t="inlineStr">
        <is>
          <t>CR-3347</t>
        </is>
      </c>
      <c r="B3350" s="232" t="inlineStr">
        <is>
          <t>2026/27</t>
        </is>
      </c>
      <c r="C3350" s="233" t="n">
        <v>46133</v>
      </c>
      <c r="D3350" s="232" t="inlineStr">
        <is>
          <t>285</t>
        </is>
      </c>
      <c r="E3350" s="232" t="inlineStr">
        <is>
          <t>PRORRATEO</t>
        </is>
      </c>
      <c r="F3350" s="232" t="inlineStr">
        <is>
          <t>Santa Catalina</t>
        </is>
      </c>
      <c r="G3350" s="232" t="inlineStr">
        <is>
          <t>cambria 4,2 ha</t>
        </is>
      </c>
      <c r="H3350" s="232" t="inlineStr">
        <is>
          <t>Naranjas</t>
        </is>
      </c>
      <c r="I3350" s="232" t="inlineStr">
        <is>
          <t>Cambria</t>
        </is>
      </c>
      <c r="J3350" s="232" t="inlineStr">
        <is>
          <t>FLETES</t>
        </is>
      </c>
      <c r="K3350" s="232" t="inlineStr">
        <is>
          <t>FLETE FRUTA</t>
        </is>
      </c>
      <c r="L3350" s="232" t="inlineStr">
        <is>
          <t>[PRORRATEO 2.8% 4.2há/148.3há] O/001594 FLETE</t>
        </is>
      </c>
      <c r="M3350" s="232" t="inlineStr"/>
      <c r="N3350" s="232" t="inlineStr">
        <is>
          <t>.   .   -</t>
        </is>
      </c>
      <c r="O3350" s="232" t="inlineStr">
        <is>
          <t>ABRIL</t>
        </is>
      </c>
      <c r="P3350" s="232" t="n">
        <v>15</v>
      </c>
      <c r="Q3350" s="234" t="n">
        <v>8499</v>
      </c>
      <c r="R3350" s="232" t="inlineStr"/>
      <c r="S3350" s="234" t="n">
        <v>8499</v>
      </c>
      <c r="T3350" s="232" t="inlineStr">
        <is>
          <t>CLP</t>
        </is>
      </c>
      <c r="U3350" s="232" t="inlineStr">
        <is>
          <t>Prorrateo Ha PACKING</t>
        </is>
      </c>
      <c r="V3350" s="232" t="inlineStr">
        <is>
          <t>2026-06-18</t>
        </is>
      </c>
    </row>
    <row r="3351">
      <c r="A3351" s="232" t="inlineStr">
        <is>
          <t>CR-3348</t>
        </is>
      </c>
      <c r="B3351" s="232" t="inlineStr">
        <is>
          <t>2026/27</t>
        </is>
      </c>
      <c r="C3351" s="233" t="n">
        <v>46133</v>
      </c>
      <c r="D3351" s="232" t="inlineStr">
        <is>
          <t>285</t>
        </is>
      </c>
      <c r="E3351" s="232" t="inlineStr">
        <is>
          <t>PRORRATEO</t>
        </is>
      </c>
      <c r="F3351" s="232" t="inlineStr">
        <is>
          <t>Santa Catalina</t>
        </is>
      </c>
      <c r="G3351" s="232" t="inlineStr">
        <is>
          <t>eureka 10,6 ha</t>
        </is>
      </c>
      <c r="H3351" s="232" t="inlineStr">
        <is>
          <t>Limon</t>
        </is>
      </c>
      <c r="I3351" s="232" t="inlineStr">
        <is>
          <t>Eureka</t>
        </is>
      </c>
      <c r="J3351" s="232" t="inlineStr">
        <is>
          <t>FLETES</t>
        </is>
      </c>
      <c r="K3351" s="232" t="inlineStr">
        <is>
          <t>FLETE FRUTA</t>
        </is>
      </c>
      <c r="L3351" s="232" t="inlineStr">
        <is>
          <t>[PRORRATEO 7.1% 10.6há/148.3há] O/001594 FLETE</t>
        </is>
      </c>
      <c r="M3351" s="232" t="inlineStr"/>
      <c r="N3351" s="232" t="inlineStr">
        <is>
          <t>.   .   -</t>
        </is>
      </c>
      <c r="O3351" s="232" t="inlineStr">
        <is>
          <t>ABRIL</t>
        </is>
      </c>
      <c r="P3351" s="232" t="n">
        <v>15</v>
      </c>
      <c r="Q3351" s="234" t="n">
        <v>21449</v>
      </c>
      <c r="R3351" s="232" t="inlineStr"/>
      <c r="S3351" s="234" t="n">
        <v>21449</v>
      </c>
      <c r="T3351" s="232" t="inlineStr">
        <is>
          <t>CLP</t>
        </is>
      </c>
      <c r="U3351" s="232" t="inlineStr">
        <is>
          <t>Prorrateo Ha PACKING</t>
        </is>
      </c>
      <c r="V3351" s="232" t="inlineStr">
        <is>
          <t>2026-06-18</t>
        </is>
      </c>
    </row>
    <row r="3352">
      <c r="A3352" s="232" t="inlineStr">
        <is>
          <t>CR-3349</t>
        </is>
      </c>
      <c r="B3352" s="232" t="inlineStr">
        <is>
          <t>2026/27</t>
        </is>
      </c>
      <c r="C3352" s="233" t="n">
        <v>46133</v>
      </c>
      <c r="D3352" s="232" t="inlineStr">
        <is>
          <t>285</t>
        </is>
      </c>
      <c r="E3352" s="232" t="inlineStr">
        <is>
          <t>PRORRATEO</t>
        </is>
      </c>
      <c r="F3352" s="232" t="inlineStr">
        <is>
          <t>Santa Catalina</t>
        </is>
      </c>
      <c r="G3352" s="232" t="inlineStr">
        <is>
          <t>eureka 14,4 ha</t>
        </is>
      </c>
      <c r="H3352" s="232" t="inlineStr">
        <is>
          <t>Limon</t>
        </is>
      </c>
      <c r="I3352" s="232" t="inlineStr">
        <is>
          <t>Eureka</t>
        </is>
      </c>
      <c r="J3352" s="232" t="inlineStr">
        <is>
          <t>FLETES</t>
        </is>
      </c>
      <c r="K3352" s="232" t="inlineStr">
        <is>
          <t>FLETE FRUTA</t>
        </is>
      </c>
      <c r="L3352" s="232" t="inlineStr">
        <is>
          <t>[PRORRATEO 9.7% 14.4há/148.3há] O/001594 FLETE</t>
        </is>
      </c>
      <c r="M3352" s="232" t="inlineStr"/>
      <c r="N3352" s="232" t="inlineStr">
        <is>
          <t>.   .   -</t>
        </is>
      </c>
      <c r="O3352" s="232" t="inlineStr">
        <is>
          <t>ABRIL</t>
        </is>
      </c>
      <c r="P3352" s="232" t="n">
        <v>15</v>
      </c>
      <c r="Q3352" s="234" t="n">
        <v>29138</v>
      </c>
      <c r="R3352" s="232" t="inlineStr"/>
      <c r="S3352" s="234" t="n">
        <v>29138</v>
      </c>
      <c r="T3352" s="232" t="inlineStr">
        <is>
          <t>CLP</t>
        </is>
      </c>
      <c r="U3352" s="232" t="inlineStr">
        <is>
          <t>Prorrateo Ha PACKING</t>
        </is>
      </c>
      <c r="V3352" s="232" t="inlineStr">
        <is>
          <t>2026-06-18</t>
        </is>
      </c>
    </row>
    <row r="3353">
      <c r="A3353" s="232" t="inlineStr">
        <is>
          <t>CR-3350</t>
        </is>
      </c>
      <c r="B3353" s="232" t="inlineStr">
        <is>
          <t>2026/27</t>
        </is>
      </c>
      <c r="C3353" s="233" t="n">
        <v>46133</v>
      </c>
      <c r="D3353" s="232" t="inlineStr">
        <is>
          <t>285</t>
        </is>
      </c>
      <c r="E3353" s="232" t="inlineStr">
        <is>
          <t>PRORRATEO</t>
        </is>
      </c>
      <c r="F3353" s="232" t="inlineStr">
        <is>
          <t>Santa Catalina</t>
        </is>
      </c>
      <c r="G3353" s="232" t="inlineStr">
        <is>
          <t>eureka 22,55</t>
        </is>
      </c>
      <c r="H3353" s="232" t="inlineStr">
        <is>
          <t>Limon</t>
        </is>
      </c>
      <c r="I3353" s="232" t="inlineStr">
        <is>
          <t>Eureka</t>
        </is>
      </c>
      <c r="J3353" s="232" t="inlineStr">
        <is>
          <t>FLETES</t>
        </is>
      </c>
      <c r="K3353" s="232" t="inlineStr">
        <is>
          <t>FLETE FRUTA</t>
        </is>
      </c>
      <c r="L3353" s="232" t="inlineStr">
        <is>
          <t>[PRORRATEO 15.2% 22.55há/148.3há] O/001594 FLETE</t>
        </is>
      </c>
      <c r="M3353" s="232" t="inlineStr"/>
      <c r="N3353" s="232" t="inlineStr">
        <is>
          <t>.   .   -</t>
        </is>
      </c>
      <c r="O3353" s="232" t="inlineStr">
        <is>
          <t>ABRIL</t>
        </is>
      </c>
      <c r="P3353" s="232" t="n">
        <v>15</v>
      </c>
      <c r="Q3353" s="234" t="n">
        <v>45629</v>
      </c>
      <c r="R3353" s="232" t="inlineStr"/>
      <c r="S3353" s="234" t="n">
        <v>45629</v>
      </c>
      <c r="T3353" s="232" t="inlineStr">
        <is>
          <t>CLP</t>
        </is>
      </c>
      <c r="U3353" s="232" t="inlineStr">
        <is>
          <t>Prorrateo Ha PACKING</t>
        </is>
      </c>
      <c r="V3353" s="232" t="inlineStr">
        <is>
          <t>2026-06-18</t>
        </is>
      </c>
    </row>
    <row r="3354">
      <c r="A3354" s="232" t="inlineStr">
        <is>
          <t>CR-3351</t>
        </is>
      </c>
      <c r="B3354" s="232" t="inlineStr">
        <is>
          <t>2026/27</t>
        </is>
      </c>
      <c r="C3354" s="233" t="n">
        <v>46133</v>
      </c>
      <c r="D3354" s="232" t="inlineStr">
        <is>
          <t>285</t>
        </is>
      </c>
      <c r="E3354" s="232" t="inlineStr">
        <is>
          <t>PRORRATEO</t>
        </is>
      </c>
      <c r="F3354" s="232" t="inlineStr">
        <is>
          <t>Santa Catalina</t>
        </is>
      </c>
      <c r="G3354" s="232" t="inlineStr">
        <is>
          <t>form benjamin 1,93 ha</t>
        </is>
      </c>
      <c r="H3354" s="232" t="inlineStr">
        <is>
          <t>Limon</t>
        </is>
      </c>
      <c r="I3354" s="232" t="inlineStr">
        <is>
          <t>Benjamin andes</t>
        </is>
      </c>
      <c r="J3354" s="232" t="inlineStr">
        <is>
          <t>FLETES</t>
        </is>
      </c>
      <c r="K3354" s="232" t="inlineStr">
        <is>
          <t>FLETE FRUTA</t>
        </is>
      </c>
      <c r="L3354" s="232" t="inlineStr">
        <is>
          <t>[PRORRATEO 1.3% 1.93há/148.3há] O/001594 FLETE</t>
        </is>
      </c>
      <c r="M3354" s="232" t="inlineStr"/>
      <c r="N3354" s="232" t="inlineStr">
        <is>
          <t>.   .   -</t>
        </is>
      </c>
      <c r="O3354" s="232" t="inlineStr">
        <is>
          <t>ABRIL</t>
        </is>
      </c>
      <c r="P3354" s="232" t="n">
        <v>15</v>
      </c>
      <c r="Q3354" s="234" t="n">
        <v>3905</v>
      </c>
      <c r="R3354" s="232" t="inlineStr"/>
      <c r="S3354" s="234" t="n">
        <v>3905</v>
      </c>
      <c r="T3354" s="232" t="inlineStr">
        <is>
          <t>CLP</t>
        </is>
      </c>
      <c r="U3354" s="232" t="inlineStr">
        <is>
          <t>Prorrateo Ha PACKING</t>
        </is>
      </c>
      <c r="V3354" s="232" t="inlineStr">
        <is>
          <t>2026-06-18</t>
        </is>
      </c>
    </row>
    <row r="3355">
      <c r="A3355" s="232" t="inlineStr">
        <is>
          <t>CR-3352</t>
        </is>
      </c>
      <c r="B3355" s="232" t="inlineStr">
        <is>
          <t>2026/27</t>
        </is>
      </c>
      <c r="C3355" s="233" t="n">
        <v>46133</v>
      </c>
      <c r="D3355" s="232" t="inlineStr">
        <is>
          <t>285</t>
        </is>
      </c>
      <c r="E3355" s="232" t="inlineStr">
        <is>
          <t>PRORRATEO</t>
        </is>
      </c>
      <c r="F3355" s="232" t="inlineStr">
        <is>
          <t>Santa Catalina</t>
        </is>
      </c>
      <c r="G3355" s="232" t="inlineStr">
        <is>
          <t>mant eureka 2,5 ha</t>
        </is>
      </c>
      <c r="H3355" s="232" t="inlineStr">
        <is>
          <t>Limon</t>
        </is>
      </c>
      <c r="I3355" s="232" t="inlineStr">
        <is>
          <t>Eureka</t>
        </is>
      </c>
      <c r="J3355" s="232" t="inlineStr">
        <is>
          <t>FLETES</t>
        </is>
      </c>
      <c r="K3355" s="232" t="inlineStr">
        <is>
          <t>FLETE FRUTA</t>
        </is>
      </c>
      <c r="L3355" s="232" t="inlineStr">
        <is>
          <t>[PRORRATEO 1.7% 2.5há/148.3há] O/001594 FLETE</t>
        </is>
      </c>
      <c r="M3355" s="232" t="inlineStr"/>
      <c r="N3355" s="232" t="inlineStr">
        <is>
          <t>.   .   -</t>
        </is>
      </c>
      <c r="O3355" s="232" t="inlineStr">
        <is>
          <t>ABRIL</t>
        </is>
      </c>
      <c r="P3355" s="232" t="n">
        <v>15</v>
      </c>
      <c r="Q3355" s="234" t="n">
        <v>5059</v>
      </c>
      <c r="R3355" s="232" t="inlineStr"/>
      <c r="S3355" s="234" t="n">
        <v>5059</v>
      </c>
      <c r="T3355" s="232" t="inlineStr">
        <is>
          <t>CLP</t>
        </is>
      </c>
      <c r="U3355" s="232" t="inlineStr">
        <is>
          <t>Prorrateo Ha PACKING</t>
        </is>
      </c>
      <c r="V3355" s="232" t="inlineStr">
        <is>
          <t>2026-06-18</t>
        </is>
      </c>
    </row>
    <row r="3356">
      <c r="A3356" s="232" t="inlineStr">
        <is>
          <t>CR-3353</t>
        </is>
      </c>
      <c r="B3356" s="232" t="inlineStr">
        <is>
          <t>2026/27</t>
        </is>
      </c>
      <c r="C3356" s="233" t="n">
        <v>46133</v>
      </c>
      <c r="D3356" s="232" t="inlineStr">
        <is>
          <t>285</t>
        </is>
      </c>
      <c r="E3356" s="232" t="inlineStr">
        <is>
          <t>PRORRATEO</t>
        </is>
      </c>
      <c r="F3356" s="232" t="inlineStr">
        <is>
          <t>Siberia</t>
        </is>
      </c>
      <c r="G3356" s="232" t="inlineStr">
        <is>
          <t>S. Celebration 7,14</t>
        </is>
      </c>
      <c r="H3356" s="232" t="inlineStr">
        <is>
          <t>Uvas</t>
        </is>
      </c>
      <c r="I3356" s="232" t="inlineStr">
        <is>
          <t>S. celebration</t>
        </is>
      </c>
      <c r="J3356" s="232" t="inlineStr">
        <is>
          <t>FLETES</t>
        </is>
      </c>
      <c r="K3356" s="232" t="inlineStr">
        <is>
          <t>FLETE FRUTA</t>
        </is>
      </c>
      <c r="L3356" s="232" t="inlineStr">
        <is>
          <t>[PRORRATEO 4.8% 7.14há/148.3há] O/001594 FLETE</t>
        </is>
      </c>
      <c r="M3356" s="232" t="inlineStr"/>
      <c r="N3356" s="232" t="inlineStr">
        <is>
          <t>.   .   -</t>
        </is>
      </c>
      <c r="O3356" s="232" t="inlineStr">
        <is>
          <t>ABRIL</t>
        </is>
      </c>
      <c r="P3356" s="232" t="n">
        <v>15</v>
      </c>
      <c r="Q3356" s="234" t="n">
        <v>14448</v>
      </c>
      <c r="R3356" s="232" t="inlineStr"/>
      <c r="S3356" s="234" t="n">
        <v>14448</v>
      </c>
      <c r="T3356" s="232" t="inlineStr">
        <is>
          <t>CLP</t>
        </is>
      </c>
      <c r="U3356" s="232" t="inlineStr">
        <is>
          <t>Prorrateo Ha PACKING</t>
        </is>
      </c>
      <c r="V3356" s="232" t="inlineStr">
        <is>
          <t>2026-06-18</t>
        </is>
      </c>
    </row>
    <row r="3357">
      <c r="A3357" s="232" t="inlineStr">
        <is>
          <t>CR-3354</t>
        </is>
      </c>
      <c r="B3357" s="232" t="inlineStr">
        <is>
          <t>2026/27</t>
        </is>
      </c>
      <c r="C3357" s="233" t="n">
        <v>46133</v>
      </c>
      <c r="D3357" s="232" t="inlineStr">
        <is>
          <t>285</t>
        </is>
      </c>
      <c r="E3357" s="232" t="inlineStr">
        <is>
          <t>PRORRATEO</t>
        </is>
      </c>
      <c r="F3357" s="232" t="inlineStr">
        <is>
          <t>Siberia</t>
        </is>
      </c>
      <c r="G3357" s="232" t="inlineStr">
        <is>
          <t>Timpson 7,1</t>
        </is>
      </c>
      <c r="H3357" s="232" t="inlineStr">
        <is>
          <t>Uvas</t>
        </is>
      </c>
      <c r="I3357" s="232" t="inlineStr">
        <is>
          <t>Timpson</t>
        </is>
      </c>
      <c r="J3357" s="232" t="inlineStr">
        <is>
          <t>FLETES</t>
        </is>
      </c>
      <c r="K3357" s="232" t="inlineStr">
        <is>
          <t>FLETE FRUTA</t>
        </is>
      </c>
      <c r="L3357" s="232" t="inlineStr">
        <is>
          <t>[PRORRATEO 4.8% 7.1há/148.3há] O/001594 FLETE</t>
        </is>
      </c>
      <c r="M3357" s="232" t="inlineStr"/>
      <c r="N3357" s="232" t="inlineStr">
        <is>
          <t>.   .   -</t>
        </is>
      </c>
      <c r="O3357" s="232" t="inlineStr">
        <is>
          <t>ABRIL</t>
        </is>
      </c>
      <c r="P3357" s="232" t="n">
        <v>15</v>
      </c>
      <c r="Q3357" s="234" t="n">
        <v>14367</v>
      </c>
      <c r="R3357" s="232" t="inlineStr"/>
      <c r="S3357" s="234" t="n">
        <v>14367</v>
      </c>
      <c r="T3357" s="232" t="inlineStr">
        <is>
          <t>CLP</t>
        </is>
      </c>
      <c r="U3357" s="232" t="inlineStr">
        <is>
          <t>Prorrateo Ha PACKING</t>
        </is>
      </c>
      <c r="V3357" s="232" t="inlineStr">
        <is>
          <t>2026-06-18</t>
        </is>
      </c>
    </row>
    <row r="3358">
      <c r="A3358" s="232" t="inlineStr">
        <is>
          <t>CR-3355</t>
        </is>
      </c>
      <c r="B3358" s="232" t="inlineStr">
        <is>
          <t>2026/27</t>
        </is>
      </c>
      <c r="C3358" s="233" t="n">
        <v>46136</v>
      </c>
      <c r="D3358" s="232" t="inlineStr">
        <is>
          <t>485859</t>
        </is>
      </c>
      <c r="E3358" s="232" t="inlineStr">
        <is>
          <t>PRORRATEO</t>
        </is>
      </c>
      <c r="F3358" s="232" t="inlineStr">
        <is>
          <t>Asmara</t>
        </is>
      </c>
      <c r="G3358" s="232" t="inlineStr">
        <is>
          <t>w. murcott 19,8 ha</t>
        </is>
      </c>
      <c r="H3358" s="232" t="inlineStr">
        <is>
          <t>Mandarina</t>
        </is>
      </c>
      <c r="I3358" s="232" t="inlineStr">
        <is>
          <t>W. murcott</t>
        </is>
      </c>
      <c r="J3358" s="232" t="inlineStr">
        <is>
          <t>COMBUSTIBLE</t>
        </is>
      </c>
      <c r="K3358" s="232" t="inlineStr">
        <is>
          <t>MOLLE GRUA HORQUILLA</t>
        </is>
      </c>
      <c r="L3358" s="232" t="inlineStr">
        <is>
          <t>[PRORRATEO 13.4% 19.8há/148.3há] O/001630 GAS ENV. 1</t>
        </is>
      </c>
      <c r="M3358" s="232" t="inlineStr"/>
      <c r="N3358" s="232" t="inlineStr">
        <is>
          <t>.   .   -</t>
        </is>
      </c>
      <c r="O3358" s="232" t="inlineStr">
        <is>
          <t>ABRIL</t>
        </is>
      </c>
      <c r="P3358" s="232" t="n">
        <v>16</v>
      </c>
      <c r="Q3358" s="234" t="n">
        <v>5996</v>
      </c>
      <c r="R3358" s="232" t="inlineStr"/>
      <c r="S3358" s="234" t="n">
        <v>5996</v>
      </c>
      <c r="T3358" s="232" t="inlineStr">
        <is>
          <t>CLP</t>
        </is>
      </c>
      <c r="U3358" s="232" t="inlineStr">
        <is>
          <t>Prorrateo Ha PACKING</t>
        </is>
      </c>
      <c r="V3358" s="232" t="inlineStr">
        <is>
          <t>2026-06-18</t>
        </is>
      </c>
    </row>
    <row r="3359">
      <c r="A3359" s="232" t="inlineStr">
        <is>
          <t>CR-3356</t>
        </is>
      </c>
      <c r="B3359" s="232" t="inlineStr">
        <is>
          <t>2026/27</t>
        </is>
      </c>
      <c r="C3359" s="233" t="n">
        <v>46136</v>
      </c>
      <c r="D3359" s="232" t="inlineStr">
        <is>
          <t>485859</t>
        </is>
      </c>
      <c r="E3359" s="232" t="inlineStr">
        <is>
          <t>PRORRATEO</t>
        </is>
      </c>
      <c r="F3359" s="232" t="inlineStr">
        <is>
          <t>Asmara</t>
        </is>
      </c>
      <c r="G3359" s="232" t="inlineStr">
        <is>
          <t>w. murcott 4,9 ha</t>
        </is>
      </c>
      <c r="H3359" s="232" t="inlineStr">
        <is>
          <t>Mandarina</t>
        </is>
      </c>
      <c r="I3359" s="232" t="inlineStr">
        <is>
          <t>W. murcott</t>
        </is>
      </c>
      <c r="J3359" s="232" t="inlineStr">
        <is>
          <t>COMBUSTIBLE</t>
        </is>
      </c>
      <c r="K3359" s="232" t="inlineStr">
        <is>
          <t>MOLLE GRUA HORQUILLA</t>
        </is>
      </c>
      <c r="L3359" s="232" t="inlineStr">
        <is>
          <t>[PRORRATEO 3.3% 4.9há/148.3há] O/001630 GAS ENV. 1</t>
        </is>
      </c>
      <c r="M3359" s="232" t="inlineStr"/>
      <c r="N3359" s="232" t="inlineStr">
        <is>
          <t>.   .   -</t>
        </is>
      </c>
      <c r="O3359" s="232" t="inlineStr">
        <is>
          <t>ABRIL</t>
        </is>
      </c>
      <c r="P3359" s="232" t="n">
        <v>16</v>
      </c>
      <c r="Q3359" s="234" t="n">
        <v>1484</v>
      </c>
      <c r="R3359" s="232" t="inlineStr"/>
      <c r="S3359" s="234" t="n">
        <v>1484</v>
      </c>
      <c r="T3359" s="232" t="inlineStr">
        <is>
          <t>CLP</t>
        </is>
      </c>
      <c r="U3359" s="232" t="inlineStr">
        <is>
          <t>Prorrateo Ha PACKING</t>
        </is>
      </c>
      <c r="V3359" s="232" t="inlineStr">
        <is>
          <t>2026-06-18</t>
        </is>
      </c>
    </row>
    <row r="3360">
      <c r="A3360" s="232" t="inlineStr">
        <is>
          <t>CR-3357</t>
        </is>
      </c>
      <c r="B3360" s="232" t="inlineStr">
        <is>
          <t>2026/27</t>
        </is>
      </c>
      <c r="C3360" s="233" t="n">
        <v>46136</v>
      </c>
      <c r="D3360" s="232" t="inlineStr">
        <is>
          <t>485859</t>
        </is>
      </c>
      <c r="E3360" s="232" t="inlineStr">
        <is>
          <t>PRORRATEO</t>
        </is>
      </c>
      <c r="F3360" s="232" t="inlineStr">
        <is>
          <t>El Molle</t>
        </is>
      </c>
      <c r="G3360" s="232" t="inlineStr">
        <is>
          <t>Wonderful 5,25 ha</t>
        </is>
      </c>
      <c r="H3360" s="232" t="inlineStr">
        <is>
          <t>Granados</t>
        </is>
      </c>
      <c r="I3360" s="232" t="inlineStr">
        <is>
          <t>Wonderfull</t>
        </is>
      </c>
      <c r="J3360" s="232" t="inlineStr">
        <is>
          <t>COMBUSTIBLE</t>
        </is>
      </c>
      <c r="K3360" s="232" t="inlineStr">
        <is>
          <t>MOLLE GRUA HORQUILLA</t>
        </is>
      </c>
      <c r="L3360" s="232" t="inlineStr">
        <is>
          <t>[PRORRATEO 3.5% 5.24há/148.3há] O/001630 GAS ENV. 1</t>
        </is>
      </c>
      <c r="M3360" s="232" t="inlineStr"/>
      <c r="N3360" s="232" t="inlineStr">
        <is>
          <t>.   .   -</t>
        </is>
      </c>
      <c r="O3360" s="232" t="inlineStr">
        <is>
          <t>ABRIL</t>
        </is>
      </c>
      <c r="P3360" s="232" t="n">
        <v>16</v>
      </c>
      <c r="Q3360" s="234" t="n">
        <v>1587</v>
      </c>
      <c r="R3360" s="232" t="inlineStr"/>
      <c r="S3360" s="234" t="n">
        <v>1587</v>
      </c>
      <c r="T3360" s="232" t="inlineStr">
        <is>
          <t>CLP</t>
        </is>
      </c>
      <c r="U3360" s="232" t="inlineStr">
        <is>
          <t>Prorrateo Ha PACKING</t>
        </is>
      </c>
      <c r="V3360" s="232" t="inlineStr">
        <is>
          <t>2026-06-18</t>
        </is>
      </c>
    </row>
    <row r="3361">
      <c r="A3361" s="232" t="inlineStr">
        <is>
          <t>CR-3358</t>
        </is>
      </c>
      <c r="B3361" s="232" t="inlineStr">
        <is>
          <t>2026/27</t>
        </is>
      </c>
      <c r="C3361" s="233" t="n">
        <v>46136</v>
      </c>
      <c r="D3361" s="232" t="inlineStr">
        <is>
          <t>485859</t>
        </is>
      </c>
      <c r="E3361" s="232" t="inlineStr">
        <is>
          <t>PRORRATEO</t>
        </is>
      </c>
      <c r="F3361" s="232" t="inlineStr">
        <is>
          <t>El Molle</t>
        </is>
      </c>
      <c r="G3361" s="232" t="inlineStr">
        <is>
          <t>arrufatinas 5,74 ha</t>
        </is>
      </c>
      <c r="H3361" s="232" t="inlineStr">
        <is>
          <t>Clementinas</t>
        </is>
      </c>
      <c r="I3361" s="232" t="inlineStr">
        <is>
          <t>Arrufatinas</t>
        </is>
      </c>
      <c r="J3361" s="232" t="inlineStr">
        <is>
          <t>COMBUSTIBLE</t>
        </is>
      </c>
      <c r="K3361" s="232" t="inlineStr">
        <is>
          <t>MOLLE GRUA HORQUILLA</t>
        </is>
      </c>
      <c r="L3361" s="232" t="inlineStr">
        <is>
          <t>[PRORRATEO 3.9% 5.74há/148.3há] O/001630 GAS ENV. 1</t>
        </is>
      </c>
      <c r="M3361" s="232" t="inlineStr"/>
      <c r="N3361" s="232" t="inlineStr">
        <is>
          <t>.   .   -</t>
        </is>
      </c>
      <c r="O3361" s="232" t="inlineStr">
        <is>
          <t>ABRIL</t>
        </is>
      </c>
      <c r="P3361" s="232" t="n">
        <v>16</v>
      </c>
      <c r="Q3361" s="234" t="n">
        <v>1738</v>
      </c>
      <c r="R3361" s="232" t="inlineStr"/>
      <c r="S3361" s="234" t="n">
        <v>1738</v>
      </c>
      <c r="T3361" s="232" t="inlineStr">
        <is>
          <t>CLP</t>
        </is>
      </c>
      <c r="U3361" s="232" t="inlineStr">
        <is>
          <t>Prorrateo Ha PACKING</t>
        </is>
      </c>
      <c r="V3361" s="232" t="inlineStr">
        <is>
          <t>2026-06-18</t>
        </is>
      </c>
    </row>
    <row r="3362">
      <c r="A3362" s="232" t="inlineStr">
        <is>
          <t>CR-3359</t>
        </is>
      </c>
      <c r="B3362" s="232" t="inlineStr">
        <is>
          <t>2026/27</t>
        </is>
      </c>
      <c r="C3362" s="233" t="n">
        <v>46136</v>
      </c>
      <c r="D3362" s="232" t="inlineStr">
        <is>
          <t>485859</t>
        </is>
      </c>
      <c r="E3362" s="232" t="inlineStr">
        <is>
          <t>PRORRATEO</t>
        </is>
      </c>
      <c r="F3362" s="232" t="inlineStr">
        <is>
          <t>El Molle</t>
        </is>
      </c>
      <c r="G3362" s="232" t="inlineStr">
        <is>
          <t>orogrande 8,11 ha</t>
        </is>
      </c>
      <c r="H3362" s="232" t="inlineStr">
        <is>
          <t>Clementinas</t>
        </is>
      </c>
      <c r="I3362" s="232" t="inlineStr">
        <is>
          <t>Orogrande</t>
        </is>
      </c>
      <c r="J3362" s="232" t="inlineStr">
        <is>
          <t>COMBUSTIBLE</t>
        </is>
      </c>
      <c r="K3362" s="232" t="inlineStr">
        <is>
          <t>MOLLE GRUA HORQUILLA</t>
        </is>
      </c>
      <c r="L3362" s="232" t="inlineStr">
        <is>
          <t>[PRORRATEO 5.5% 8.11há/148.3há] O/001630 GAS ENV. 1</t>
        </is>
      </c>
      <c r="M3362" s="232" t="inlineStr"/>
      <c r="N3362" s="232" t="inlineStr">
        <is>
          <t>.   .   -</t>
        </is>
      </c>
      <c r="O3362" s="232" t="inlineStr">
        <is>
          <t>ABRIL</t>
        </is>
      </c>
      <c r="P3362" s="232" t="n">
        <v>16</v>
      </c>
      <c r="Q3362" s="234" t="n">
        <v>2456</v>
      </c>
      <c r="R3362" s="232" t="inlineStr"/>
      <c r="S3362" s="234" t="n">
        <v>2456</v>
      </c>
      <c r="T3362" s="232" t="inlineStr">
        <is>
          <t>CLP</t>
        </is>
      </c>
      <c r="U3362" s="232" t="inlineStr">
        <is>
          <t>Prorrateo Ha PACKING</t>
        </is>
      </c>
      <c r="V3362" s="232" t="inlineStr">
        <is>
          <t>2026-06-18</t>
        </is>
      </c>
    </row>
    <row r="3363">
      <c r="A3363" s="232" t="inlineStr">
        <is>
          <t>CR-3360</t>
        </is>
      </c>
      <c r="B3363" s="232" t="inlineStr">
        <is>
          <t>2026/27</t>
        </is>
      </c>
      <c r="C3363" s="233" t="n">
        <v>46136</v>
      </c>
      <c r="D3363" s="232" t="inlineStr">
        <is>
          <t>485859</t>
        </is>
      </c>
      <c r="E3363" s="232" t="inlineStr">
        <is>
          <t>PRORRATEO</t>
        </is>
      </c>
      <c r="F3363" s="232" t="inlineStr">
        <is>
          <t>El Molle</t>
        </is>
      </c>
      <c r="G3363" s="232" t="inlineStr">
        <is>
          <t>oronules 5,35 ha</t>
        </is>
      </c>
      <c r="H3363" s="232" t="inlineStr">
        <is>
          <t>Clementinas</t>
        </is>
      </c>
      <c r="I3363" s="232" t="inlineStr">
        <is>
          <t>Oronules</t>
        </is>
      </c>
      <c r="J3363" s="232" t="inlineStr">
        <is>
          <t>COMBUSTIBLE</t>
        </is>
      </c>
      <c r="K3363" s="232" t="inlineStr">
        <is>
          <t>MOLLE GRUA HORQUILLA</t>
        </is>
      </c>
      <c r="L3363" s="232" t="inlineStr">
        <is>
          <t>[PRORRATEO 3.6% 5.35há/148.3há] O/001630 GAS ENV. 1</t>
        </is>
      </c>
      <c r="M3363" s="232" t="inlineStr"/>
      <c r="N3363" s="232" t="inlineStr">
        <is>
          <t>.   .   -</t>
        </is>
      </c>
      <c r="O3363" s="232" t="inlineStr">
        <is>
          <t>ABRIL</t>
        </is>
      </c>
      <c r="P3363" s="232" t="n">
        <v>16</v>
      </c>
      <c r="Q3363" s="234" t="n">
        <v>1620</v>
      </c>
      <c r="R3363" s="232" t="inlineStr"/>
      <c r="S3363" s="234" t="n">
        <v>1620</v>
      </c>
      <c r="T3363" s="232" t="inlineStr">
        <is>
          <t>CLP</t>
        </is>
      </c>
      <c r="U3363" s="232" t="inlineStr">
        <is>
          <t>Prorrateo Ha PACKING</t>
        </is>
      </c>
      <c r="V3363" s="232" t="inlineStr">
        <is>
          <t>2026-06-18</t>
        </is>
      </c>
    </row>
    <row r="3364">
      <c r="A3364" s="232" t="inlineStr">
        <is>
          <t>CR-3361</t>
        </is>
      </c>
      <c r="B3364" s="232" t="inlineStr">
        <is>
          <t>2026/27</t>
        </is>
      </c>
      <c r="C3364" s="233" t="n">
        <v>46136</v>
      </c>
      <c r="D3364" s="232" t="inlineStr">
        <is>
          <t>485859</t>
        </is>
      </c>
      <c r="E3364" s="232" t="inlineStr">
        <is>
          <t>PRORRATEO</t>
        </is>
      </c>
      <c r="F3364" s="232" t="inlineStr">
        <is>
          <t>Santa Catalina</t>
        </is>
      </c>
      <c r="G3364" s="232" t="inlineStr">
        <is>
          <t>Fino 49 7,7 ha</t>
        </is>
      </c>
      <c r="H3364" s="232" t="inlineStr">
        <is>
          <t>Limon</t>
        </is>
      </c>
      <c r="I3364" s="232" t="inlineStr">
        <is>
          <t>Fino 49</t>
        </is>
      </c>
      <c r="J3364" s="232" t="inlineStr">
        <is>
          <t>COMBUSTIBLE</t>
        </is>
      </c>
      <c r="K3364" s="232" t="inlineStr">
        <is>
          <t>MOLLE GRUA HORQUILLA</t>
        </is>
      </c>
      <c r="L3364" s="232" t="inlineStr">
        <is>
          <t>[PRORRATEO 5.2% 7.7há/148.3há] O/001630 GAS ENV. 1</t>
        </is>
      </c>
      <c r="M3364" s="232" t="inlineStr"/>
      <c r="N3364" s="232" t="inlineStr">
        <is>
          <t>.   .   -</t>
        </is>
      </c>
      <c r="O3364" s="232" t="inlineStr">
        <is>
          <t>ABRIL</t>
        </is>
      </c>
      <c r="P3364" s="232" t="n">
        <v>16</v>
      </c>
      <c r="Q3364" s="234" t="n">
        <v>2332</v>
      </c>
      <c r="R3364" s="232" t="inlineStr"/>
      <c r="S3364" s="234" t="n">
        <v>2332</v>
      </c>
      <c r="T3364" s="232" t="inlineStr">
        <is>
          <t>CLP</t>
        </is>
      </c>
      <c r="U3364" s="232" t="inlineStr">
        <is>
          <t>Prorrateo Ha PACKING</t>
        </is>
      </c>
      <c r="V3364" s="232" t="inlineStr">
        <is>
          <t>2026-06-18</t>
        </is>
      </c>
    </row>
    <row r="3365">
      <c r="A3365" s="232" t="inlineStr">
        <is>
          <t>CR-3362</t>
        </is>
      </c>
      <c r="B3365" s="232" t="inlineStr">
        <is>
          <t>2026/27</t>
        </is>
      </c>
      <c r="C3365" s="233" t="n">
        <v>46136</v>
      </c>
      <c r="D3365" s="232" t="inlineStr">
        <is>
          <t>485859</t>
        </is>
      </c>
      <c r="E3365" s="232" t="inlineStr">
        <is>
          <t>PRORRATEO</t>
        </is>
      </c>
      <c r="F3365" s="232" t="inlineStr">
        <is>
          <t>Santa Catalina</t>
        </is>
      </c>
      <c r="G3365" s="232" t="inlineStr">
        <is>
          <t>W. murcott 21 ha</t>
        </is>
      </c>
      <c r="H3365" s="232" t="inlineStr">
        <is>
          <t>Mandarina</t>
        </is>
      </c>
      <c r="I3365" s="232" t="inlineStr">
        <is>
          <t>W. murcott</t>
        </is>
      </c>
      <c r="J3365" s="232" t="inlineStr">
        <is>
          <t>COMBUSTIBLE</t>
        </is>
      </c>
      <c r="K3365" s="232" t="inlineStr">
        <is>
          <t>MOLLE GRUA HORQUILLA</t>
        </is>
      </c>
      <c r="L3365" s="232" t="inlineStr">
        <is>
          <t>[PRORRATEO 14.2% 21.0há/148.3há] O/001630 GAS ENV. 1</t>
        </is>
      </c>
      <c r="M3365" s="232" t="inlineStr"/>
      <c r="N3365" s="232" t="inlineStr">
        <is>
          <t>.   .   -</t>
        </is>
      </c>
      <c r="O3365" s="232" t="inlineStr">
        <is>
          <t>ABRIL</t>
        </is>
      </c>
      <c r="P3365" s="232" t="n">
        <v>16</v>
      </c>
      <c r="Q3365" s="234" t="n">
        <v>6359</v>
      </c>
      <c r="R3365" s="232" t="inlineStr"/>
      <c r="S3365" s="234" t="n">
        <v>6359</v>
      </c>
      <c r="T3365" s="232" t="inlineStr">
        <is>
          <t>CLP</t>
        </is>
      </c>
      <c r="U3365" s="232" t="inlineStr">
        <is>
          <t>Prorrateo Ha PACKING</t>
        </is>
      </c>
      <c r="V3365" s="232" t="inlineStr">
        <is>
          <t>2026-06-18</t>
        </is>
      </c>
    </row>
    <row r="3366">
      <c r="A3366" s="232" t="inlineStr">
        <is>
          <t>CR-3363</t>
        </is>
      </c>
      <c r="B3366" s="232" t="inlineStr">
        <is>
          <t>2026/27</t>
        </is>
      </c>
      <c r="C3366" s="233" t="n">
        <v>46136</v>
      </c>
      <c r="D3366" s="232" t="inlineStr">
        <is>
          <t>485859</t>
        </is>
      </c>
      <c r="E3366" s="232" t="inlineStr">
        <is>
          <t>PRORRATEO</t>
        </is>
      </c>
      <c r="F3366" s="232" t="inlineStr">
        <is>
          <t>Santa Catalina</t>
        </is>
      </c>
      <c r="G3366" s="232" t="inlineStr">
        <is>
          <t>cambria 4,2 ha</t>
        </is>
      </c>
      <c r="H3366" s="232" t="inlineStr">
        <is>
          <t>Naranjas</t>
        </is>
      </c>
      <c r="I3366" s="232" t="inlineStr">
        <is>
          <t>Cambria</t>
        </is>
      </c>
      <c r="J3366" s="232" t="inlineStr">
        <is>
          <t>COMBUSTIBLE</t>
        </is>
      </c>
      <c r="K3366" s="232" t="inlineStr">
        <is>
          <t>MOLLE GRUA HORQUILLA</t>
        </is>
      </c>
      <c r="L3366" s="232" t="inlineStr">
        <is>
          <t>[PRORRATEO 2.8% 4.2há/148.3há] O/001630 GAS ENV. 1</t>
        </is>
      </c>
      <c r="M3366" s="232" t="inlineStr"/>
      <c r="N3366" s="232" t="inlineStr">
        <is>
          <t>.   .   -</t>
        </is>
      </c>
      <c r="O3366" s="232" t="inlineStr">
        <is>
          <t>ABRIL</t>
        </is>
      </c>
      <c r="P3366" s="232" t="n">
        <v>16</v>
      </c>
      <c r="Q3366" s="234" t="n">
        <v>1272</v>
      </c>
      <c r="R3366" s="232" t="inlineStr"/>
      <c r="S3366" s="234" t="n">
        <v>1272</v>
      </c>
      <c r="T3366" s="232" t="inlineStr">
        <is>
          <t>CLP</t>
        </is>
      </c>
      <c r="U3366" s="232" t="inlineStr">
        <is>
          <t>Prorrateo Ha PACKING</t>
        </is>
      </c>
      <c r="V3366" s="232" t="inlineStr">
        <is>
          <t>2026-06-18</t>
        </is>
      </c>
    </row>
    <row r="3367">
      <c r="A3367" s="232" t="inlineStr">
        <is>
          <t>CR-3364</t>
        </is>
      </c>
      <c r="B3367" s="232" t="inlineStr">
        <is>
          <t>2026/27</t>
        </is>
      </c>
      <c r="C3367" s="233" t="n">
        <v>46136</v>
      </c>
      <c r="D3367" s="232" t="inlineStr">
        <is>
          <t>485859</t>
        </is>
      </c>
      <c r="E3367" s="232" t="inlineStr">
        <is>
          <t>PRORRATEO</t>
        </is>
      </c>
      <c r="F3367" s="232" t="inlineStr">
        <is>
          <t>Santa Catalina</t>
        </is>
      </c>
      <c r="G3367" s="232" t="inlineStr">
        <is>
          <t>eureka 10,6 ha</t>
        </is>
      </c>
      <c r="H3367" s="232" t="inlineStr">
        <is>
          <t>Limon</t>
        </is>
      </c>
      <c r="I3367" s="232" t="inlineStr">
        <is>
          <t>Eureka</t>
        </is>
      </c>
      <c r="J3367" s="232" t="inlineStr">
        <is>
          <t>COMBUSTIBLE</t>
        </is>
      </c>
      <c r="K3367" s="232" t="inlineStr">
        <is>
          <t>MOLLE GRUA HORQUILLA</t>
        </is>
      </c>
      <c r="L3367" s="232" t="inlineStr">
        <is>
          <t>[PRORRATEO 7.1% 10.6há/148.3há] O/001630 GAS ENV. 1</t>
        </is>
      </c>
      <c r="M3367" s="232" t="inlineStr"/>
      <c r="N3367" s="232" t="inlineStr">
        <is>
          <t>.   .   -</t>
        </is>
      </c>
      <c r="O3367" s="232" t="inlineStr">
        <is>
          <t>ABRIL</t>
        </is>
      </c>
      <c r="P3367" s="232" t="n">
        <v>16</v>
      </c>
      <c r="Q3367" s="234" t="n">
        <v>3210</v>
      </c>
      <c r="R3367" s="232" t="inlineStr"/>
      <c r="S3367" s="234" t="n">
        <v>3210</v>
      </c>
      <c r="T3367" s="232" t="inlineStr">
        <is>
          <t>CLP</t>
        </is>
      </c>
      <c r="U3367" s="232" t="inlineStr">
        <is>
          <t>Prorrateo Ha PACKING</t>
        </is>
      </c>
      <c r="V3367" s="232" t="inlineStr">
        <is>
          <t>2026-06-18</t>
        </is>
      </c>
    </row>
    <row r="3368">
      <c r="A3368" s="232" t="inlineStr">
        <is>
          <t>CR-3365</t>
        </is>
      </c>
      <c r="B3368" s="232" t="inlineStr">
        <is>
          <t>2026/27</t>
        </is>
      </c>
      <c r="C3368" s="233" t="n">
        <v>46136</v>
      </c>
      <c r="D3368" s="232" t="inlineStr">
        <is>
          <t>485859</t>
        </is>
      </c>
      <c r="E3368" s="232" t="inlineStr">
        <is>
          <t>PRORRATEO</t>
        </is>
      </c>
      <c r="F3368" s="232" t="inlineStr">
        <is>
          <t>Santa Catalina</t>
        </is>
      </c>
      <c r="G3368" s="232" t="inlineStr">
        <is>
          <t>eureka 14,4 ha</t>
        </is>
      </c>
      <c r="H3368" s="232" t="inlineStr">
        <is>
          <t>Limon</t>
        </is>
      </c>
      <c r="I3368" s="232" t="inlineStr">
        <is>
          <t>Eureka</t>
        </is>
      </c>
      <c r="J3368" s="232" t="inlineStr">
        <is>
          <t>COMBUSTIBLE</t>
        </is>
      </c>
      <c r="K3368" s="232" t="inlineStr">
        <is>
          <t>MOLLE GRUA HORQUILLA</t>
        </is>
      </c>
      <c r="L3368" s="232" t="inlineStr">
        <is>
          <t>[PRORRATEO 9.7% 14.4há/148.3há] O/001630 GAS ENV. 1</t>
        </is>
      </c>
      <c r="M3368" s="232" t="inlineStr"/>
      <c r="N3368" s="232" t="inlineStr">
        <is>
          <t>.   .   -</t>
        </is>
      </c>
      <c r="O3368" s="232" t="inlineStr">
        <is>
          <t>ABRIL</t>
        </is>
      </c>
      <c r="P3368" s="232" t="n">
        <v>16</v>
      </c>
      <c r="Q3368" s="234" t="n">
        <v>4360</v>
      </c>
      <c r="R3368" s="232" t="inlineStr"/>
      <c r="S3368" s="234" t="n">
        <v>4360</v>
      </c>
      <c r="T3368" s="232" t="inlineStr">
        <is>
          <t>CLP</t>
        </is>
      </c>
      <c r="U3368" s="232" t="inlineStr">
        <is>
          <t>Prorrateo Ha PACKING</t>
        </is>
      </c>
      <c r="V3368" s="232" t="inlineStr">
        <is>
          <t>2026-06-18</t>
        </is>
      </c>
    </row>
    <row r="3369">
      <c r="A3369" s="232" t="inlineStr">
        <is>
          <t>CR-3366</t>
        </is>
      </c>
      <c r="B3369" s="232" t="inlineStr">
        <is>
          <t>2026/27</t>
        </is>
      </c>
      <c r="C3369" s="233" t="n">
        <v>46136</v>
      </c>
      <c r="D3369" s="232" t="inlineStr">
        <is>
          <t>485859</t>
        </is>
      </c>
      <c r="E3369" s="232" t="inlineStr">
        <is>
          <t>PRORRATEO</t>
        </is>
      </c>
      <c r="F3369" s="232" t="inlineStr">
        <is>
          <t>Santa Catalina</t>
        </is>
      </c>
      <c r="G3369" s="232" t="inlineStr">
        <is>
          <t>eureka 22,55</t>
        </is>
      </c>
      <c r="H3369" s="232" t="inlineStr">
        <is>
          <t>Limon</t>
        </is>
      </c>
      <c r="I3369" s="232" t="inlineStr">
        <is>
          <t>Eureka</t>
        </is>
      </c>
      <c r="J3369" s="232" t="inlineStr">
        <is>
          <t>COMBUSTIBLE</t>
        </is>
      </c>
      <c r="K3369" s="232" t="inlineStr">
        <is>
          <t>MOLLE GRUA HORQUILLA</t>
        </is>
      </c>
      <c r="L3369" s="232" t="inlineStr">
        <is>
          <t>[PRORRATEO 15.2% 22.55há/148.3há] O/001630 GAS ENV. 1</t>
        </is>
      </c>
      <c r="M3369" s="232" t="inlineStr"/>
      <c r="N3369" s="232" t="inlineStr">
        <is>
          <t>.   .   -</t>
        </is>
      </c>
      <c r="O3369" s="232" t="inlineStr">
        <is>
          <t>ABRIL</t>
        </is>
      </c>
      <c r="P3369" s="232" t="n">
        <v>16</v>
      </c>
      <c r="Q3369" s="234" t="n">
        <v>6828</v>
      </c>
      <c r="R3369" s="232" t="inlineStr"/>
      <c r="S3369" s="234" t="n">
        <v>6828</v>
      </c>
      <c r="T3369" s="232" t="inlineStr">
        <is>
          <t>CLP</t>
        </is>
      </c>
      <c r="U3369" s="232" t="inlineStr">
        <is>
          <t>Prorrateo Ha PACKING</t>
        </is>
      </c>
      <c r="V3369" s="232" t="inlineStr">
        <is>
          <t>2026-06-18</t>
        </is>
      </c>
    </row>
    <row r="3370">
      <c r="A3370" s="232" t="inlineStr">
        <is>
          <t>CR-3367</t>
        </is>
      </c>
      <c r="B3370" s="232" t="inlineStr">
        <is>
          <t>2026/27</t>
        </is>
      </c>
      <c r="C3370" s="233" t="n">
        <v>46136</v>
      </c>
      <c r="D3370" s="232" t="inlineStr">
        <is>
          <t>485859</t>
        </is>
      </c>
      <c r="E3370" s="232" t="inlineStr">
        <is>
          <t>PRORRATEO</t>
        </is>
      </c>
      <c r="F3370" s="232" t="inlineStr">
        <is>
          <t>Santa Catalina</t>
        </is>
      </c>
      <c r="G3370" s="232" t="inlineStr">
        <is>
          <t>form benjamin 1,93 ha</t>
        </is>
      </c>
      <c r="H3370" s="232" t="inlineStr">
        <is>
          <t>Limon</t>
        </is>
      </c>
      <c r="I3370" s="232" t="inlineStr">
        <is>
          <t>Benjamin andes</t>
        </is>
      </c>
      <c r="J3370" s="232" t="inlineStr">
        <is>
          <t>COMBUSTIBLE</t>
        </is>
      </c>
      <c r="K3370" s="232" t="inlineStr">
        <is>
          <t>MOLLE GRUA HORQUILLA</t>
        </is>
      </c>
      <c r="L3370" s="232" t="inlineStr">
        <is>
          <t>[PRORRATEO 1.3% 1.93há/148.3há] O/001630 GAS ENV. 1</t>
        </is>
      </c>
      <c r="M3370" s="232" t="inlineStr"/>
      <c r="N3370" s="232" t="inlineStr">
        <is>
          <t>.   .   -</t>
        </is>
      </c>
      <c r="O3370" s="232" t="inlineStr">
        <is>
          <t>ABRIL</t>
        </is>
      </c>
      <c r="P3370" s="232" t="n">
        <v>16</v>
      </c>
      <c r="Q3370" s="234" t="n">
        <v>584</v>
      </c>
      <c r="R3370" s="232" t="inlineStr"/>
      <c r="S3370" s="234" t="n">
        <v>584</v>
      </c>
      <c r="T3370" s="232" t="inlineStr">
        <is>
          <t>CLP</t>
        </is>
      </c>
      <c r="U3370" s="232" t="inlineStr">
        <is>
          <t>Prorrateo Ha PACKING</t>
        </is>
      </c>
      <c r="V3370" s="232" t="inlineStr">
        <is>
          <t>2026-06-18</t>
        </is>
      </c>
    </row>
    <row r="3371">
      <c r="A3371" s="232" t="inlineStr">
        <is>
          <t>CR-3368</t>
        </is>
      </c>
      <c r="B3371" s="232" t="inlineStr">
        <is>
          <t>2026/27</t>
        </is>
      </c>
      <c r="C3371" s="233" t="n">
        <v>46136</v>
      </c>
      <c r="D3371" s="232" t="inlineStr">
        <is>
          <t>485859</t>
        </is>
      </c>
      <c r="E3371" s="232" t="inlineStr">
        <is>
          <t>PRORRATEO</t>
        </is>
      </c>
      <c r="F3371" s="232" t="inlineStr">
        <is>
          <t>Santa Catalina</t>
        </is>
      </c>
      <c r="G3371" s="232" t="inlineStr">
        <is>
          <t>mant eureka 2,5 ha</t>
        </is>
      </c>
      <c r="H3371" s="232" t="inlineStr">
        <is>
          <t>Limon</t>
        </is>
      </c>
      <c r="I3371" s="232" t="inlineStr">
        <is>
          <t>Eureka</t>
        </is>
      </c>
      <c r="J3371" s="232" t="inlineStr">
        <is>
          <t>COMBUSTIBLE</t>
        </is>
      </c>
      <c r="K3371" s="232" t="inlineStr">
        <is>
          <t>MOLLE GRUA HORQUILLA</t>
        </is>
      </c>
      <c r="L3371" s="232" t="inlineStr">
        <is>
          <t>[PRORRATEO 1.7% 2.5há/148.3há] O/001630 GAS ENV. 1</t>
        </is>
      </c>
      <c r="M3371" s="232" t="inlineStr"/>
      <c r="N3371" s="232" t="inlineStr">
        <is>
          <t>.   .   -</t>
        </is>
      </c>
      <c r="O3371" s="232" t="inlineStr">
        <is>
          <t>ABRIL</t>
        </is>
      </c>
      <c r="P3371" s="232" t="n">
        <v>16</v>
      </c>
      <c r="Q3371" s="234" t="n">
        <v>757</v>
      </c>
      <c r="R3371" s="232" t="inlineStr"/>
      <c r="S3371" s="234" t="n">
        <v>757</v>
      </c>
      <c r="T3371" s="232" t="inlineStr">
        <is>
          <t>CLP</t>
        </is>
      </c>
      <c r="U3371" s="232" t="inlineStr">
        <is>
          <t>Prorrateo Ha PACKING</t>
        </is>
      </c>
      <c r="V3371" s="232" t="inlineStr">
        <is>
          <t>2026-06-18</t>
        </is>
      </c>
    </row>
    <row r="3372">
      <c r="A3372" s="232" t="inlineStr">
        <is>
          <t>CR-3369</t>
        </is>
      </c>
      <c r="B3372" s="232" t="inlineStr">
        <is>
          <t>2026/27</t>
        </is>
      </c>
      <c r="C3372" s="233" t="n">
        <v>46136</v>
      </c>
      <c r="D3372" s="232" t="inlineStr">
        <is>
          <t>485859</t>
        </is>
      </c>
      <c r="E3372" s="232" t="inlineStr">
        <is>
          <t>PRORRATEO</t>
        </is>
      </c>
      <c r="F3372" s="232" t="inlineStr">
        <is>
          <t>Siberia</t>
        </is>
      </c>
      <c r="G3372" s="232" t="inlineStr">
        <is>
          <t>S. Celebration 7,14</t>
        </is>
      </c>
      <c r="H3372" s="232" t="inlineStr">
        <is>
          <t>Uvas</t>
        </is>
      </c>
      <c r="I3372" s="232" t="inlineStr">
        <is>
          <t>S. celebration</t>
        </is>
      </c>
      <c r="J3372" s="232" t="inlineStr">
        <is>
          <t>COMBUSTIBLE</t>
        </is>
      </c>
      <c r="K3372" s="232" t="inlineStr">
        <is>
          <t>MOLLE GRUA HORQUILLA</t>
        </is>
      </c>
      <c r="L3372" s="232" t="inlineStr">
        <is>
          <t>[PRORRATEO 4.8% 7.14há/148.3há] O/001630 GAS ENV. 1</t>
        </is>
      </c>
      <c r="M3372" s="232" t="inlineStr"/>
      <c r="N3372" s="232" t="inlineStr">
        <is>
          <t>.   .   -</t>
        </is>
      </c>
      <c r="O3372" s="232" t="inlineStr">
        <is>
          <t>ABRIL</t>
        </is>
      </c>
      <c r="P3372" s="232" t="n">
        <v>16</v>
      </c>
      <c r="Q3372" s="234" t="n">
        <v>2162</v>
      </c>
      <c r="R3372" s="232" t="inlineStr"/>
      <c r="S3372" s="234" t="n">
        <v>2162</v>
      </c>
      <c r="T3372" s="232" t="inlineStr">
        <is>
          <t>CLP</t>
        </is>
      </c>
      <c r="U3372" s="232" t="inlineStr">
        <is>
          <t>Prorrateo Ha PACKING</t>
        </is>
      </c>
      <c r="V3372" s="232" t="inlineStr">
        <is>
          <t>2026-06-18</t>
        </is>
      </c>
    </row>
    <row r="3373">
      <c r="A3373" s="232" t="inlineStr">
        <is>
          <t>CR-3370</t>
        </is>
      </c>
      <c r="B3373" s="232" t="inlineStr">
        <is>
          <t>2026/27</t>
        </is>
      </c>
      <c r="C3373" s="233" t="n">
        <v>46136</v>
      </c>
      <c r="D3373" s="232" t="inlineStr">
        <is>
          <t>485859</t>
        </is>
      </c>
      <c r="E3373" s="232" t="inlineStr">
        <is>
          <t>PRORRATEO</t>
        </is>
      </c>
      <c r="F3373" s="232" t="inlineStr">
        <is>
          <t>Siberia</t>
        </is>
      </c>
      <c r="G3373" s="232" t="inlineStr">
        <is>
          <t>Timpson 7,1</t>
        </is>
      </c>
      <c r="H3373" s="232" t="inlineStr">
        <is>
          <t>Uvas</t>
        </is>
      </c>
      <c r="I3373" s="232" t="inlineStr">
        <is>
          <t>Timpson</t>
        </is>
      </c>
      <c r="J3373" s="232" t="inlineStr">
        <is>
          <t>COMBUSTIBLE</t>
        </is>
      </c>
      <c r="K3373" s="232" t="inlineStr">
        <is>
          <t>MOLLE GRUA HORQUILLA</t>
        </is>
      </c>
      <c r="L3373" s="232" t="inlineStr">
        <is>
          <t>[PRORRATEO 4.8% 7.1há/148.3há] O/001630 GAS ENV. 1</t>
        </is>
      </c>
      <c r="M3373" s="232" t="inlineStr"/>
      <c r="N3373" s="232" t="inlineStr">
        <is>
          <t>.   .   -</t>
        </is>
      </c>
      <c r="O3373" s="232" t="inlineStr">
        <is>
          <t>ABRIL</t>
        </is>
      </c>
      <c r="P3373" s="232" t="n">
        <v>16</v>
      </c>
      <c r="Q3373" s="234" t="n">
        <v>2150</v>
      </c>
      <c r="R3373" s="232" t="inlineStr"/>
      <c r="S3373" s="234" t="n">
        <v>2150</v>
      </c>
      <c r="T3373" s="232" t="inlineStr">
        <is>
          <t>CLP</t>
        </is>
      </c>
      <c r="U3373" s="232" t="inlineStr">
        <is>
          <t>Prorrateo Ha PACKING</t>
        </is>
      </c>
      <c r="V3373" s="232" t="inlineStr">
        <is>
          <t>2026-06-18</t>
        </is>
      </c>
    </row>
    <row r="3374">
      <c r="A3374" s="232" t="inlineStr">
        <is>
          <t>CR-3371</t>
        </is>
      </c>
      <c r="B3374" s="232" t="inlineStr">
        <is>
          <t>2026/27</t>
        </is>
      </c>
      <c r="C3374" s="233" t="n">
        <v>46140</v>
      </c>
      <c r="D3374" s="232" t="inlineStr">
        <is>
          <t>375</t>
        </is>
      </c>
      <c r="E3374" s="232" t="inlineStr">
        <is>
          <t>PRORRATEO</t>
        </is>
      </c>
      <c r="F3374" s="232" t="inlineStr">
        <is>
          <t>Asmara</t>
        </is>
      </c>
      <c r="G3374" s="232" t="inlineStr">
        <is>
          <t>w. murcott 19,8 ha</t>
        </is>
      </c>
      <c r="H3374" s="232" t="inlineStr">
        <is>
          <t>Mandarina</t>
        </is>
      </c>
      <c r="I3374" s="232" t="inlineStr">
        <is>
          <t>W. murcott</t>
        </is>
      </c>
      <c r="J3374" s="232" t="inlineStr">
        <is>
          <t>LABORES OPERACIONALES</t>
        </is>
      </c>
      <c r="K3374" s="232" t="inlineStr">
        <is>
          <t>LAB. PACKING</t>
        </is>
      </c>
      <c r="L3374" s="232" t="inlineStr">
        <is>
          <t>[PRORRATEO 13.4% 19.8há/148.3há] SERV.CONTRATISTA</t>
        </is>
      </c>
      <c r="M3374" s="232" t="inlineStr"/>
      <c r="N3374" s="232" t="inlineStr">
        <is>
          <t>.   .   -</t>
        </is>
      </c>
      <c r="O3374" s="232" t="inlineStr">
        <is>
          <t>ABRIL</t>
        </is>
      </c>
      <c r="P3374" s="232" t="n">
        <v>16</v>
      </c>
      <c r="Q3374" s="234" t="n">
        <v>15445</v>
      </c>
      <c r="R3374" s="232" t="inlineStr"/>
      <c r="S3374" s="234" t="n">
        <v>15445</v>
      </c>
      <c r="T3374" s="232" t="inlineStr">
        <is>
          <t>CLP</t>
        </is>
      </c>
      <c r="U3374" s="232" t="inlineStr">
        <is>
          <t>Prorrateo Ha PACKING</t>
        </is>
      </c>
      <c r="V3374" s="232" t="inlineStr">
        <is>
          <t>2026-06-18</t>
        </is>
      </c>
    </row>
    <row r="3375">
      <c r="A3375" s="232" t="inlineStr">
        <is>
          <t>CR-3372</t>
        </is>
      </c>
      <c r="B3375" s="232" t="inlineStr">
        <is>
          <t>2026/27</t>
        </is>
      </c>
      <c r="C3375" s="233" t="n">
        <v>46140</v>
      </c>
      <c r="D3375" s="232" t="inlineStr">
        <is>
          <t>375</t>
        </is>
      </c>
      <c r="E3375" s="232" t="inlineStr">
        <is>
          <t>PRORRATEO</t>
        </is>
      </c>
      <c r="F3375" s="232" t="inlineStr">
        <is>
          <t>Asmara</t>
        </is>
      </c>
      <c r="G3375" s="232" t="inlineStr">
        <is>
          <t>w. murcott 4,9 ha</t>
        </is>
      </c>
      <c r="H3375" s="232" t="inlineStr">
        <is>
          <t>Mandarina</t>
        </is>
      </c>
      <c r="I3375" s="232" t="inlineStr">
        <is>
          <t>W. murcott</t>
        </is>
      </c>
      <c r="J3375" s="232" t="inlineStr">
        <is>
          <t>LABORES OPERACIONALES</t>
        </is>
      </c>
      <c r="K3375" s="232" t="inlineStr">
        <is>
          <t>LAB. PACKING</t>
        </is>
      </c>
      <c r="L3375" s="232" t="inlineStr">
        <is>
          <t>[PRORRATEO 3.3% 4.9há/148.3há] SERV.CONTRATISTA</t>
        </is>
      </c>
      <c r="M3375" s="232" t="inlineStr"/>
      <c r="N3375" s="232" t="inlineStr">
        <is>
          <t>.   .   -</t>
        </is>
      </c>
      <c r="O3375" s="232" t="inlineStr">
        <is>
          <t>ABRIL</t>
        </is>
      </c>
      <c r="P3375" s="232" t="n">
        <v>16</v>
      </c>
      <c r="Q3375" s="234" t="n">
        <v>3822</v>
      </c>
      <c r="R3375" s="232" t="inlineStr"/>
      <c r="S3375" s="234" t="n">
        <v>3822</v>
      </c>
      <c r="T3375" s="232" t="inlineStr">
        <is>
          <t>CLP</t>
        </is>
      </c>
      <c r="U3375" s="232" t="inlineStr">
        <is>
          <t>Prorrateo Ha PACKING</t>
        </is>
      </c>
      <c r="V3375" s="232" t="inlineStr">
        <is>
          <t>2026-06-18</t>
        </is>
      </c>
    </row>
    <row r="3376">
      <c r="A3376" s="232" t="inlineStr">
        <is>
          <t>CR-3373</t>
        </is>
      </c>
      <c r="B3376" s="232" t="inlineStr">
        <is>
          <t>2026/27</t>
        </is>
      </c>
      <c r="C3376" s="233" t="n">
        <v>46140</v>
      </c>
      <c r="D3376" s="232" t="inlineStr">
        <is>
          <t>375</t>
        </is>
      </c>
      <c r="E3376" s="232" t="inlineStr">
        <is>
          <t>PRORRATEO</t>
        </is>
      </c>
      <c r="F3376" s="232" t="inlineStr">
        <is>
          <t>El Molle</t>
        </is>
      </c>
      <c r="G3376" s="232" t="inlineStr">
        <is>
          <t>Wonderful 5,25 ha</t>
        </is>
      </c>
      <c r="H3376" s="232" t="inlineStr">
        <is>
          <t>Granados</t>
        </is>
      </c>
      <c r="I3376" s="232" t="inlineStr">
        <is>
          <t>Wonderfull</t>
        </is>
      </c>
      <c r="J3376" s="232" t="inlineStr">
        <is>
          <t>LABORES OPERACIONALES</t>
        </is>
      </c>
      <c r="K3376" s="232" t="inlineStr">
        <is>
          <t>LAB. PACKING</t>
        </is>
      </c>
      <c r="L3376" s="232" t="inlineStr">
        <is>
          <t>[PRORRATEO 3.5% 5.24há/148.3há] SERV.CONTRATISTA</t>
        </is>
      </c>
      <c r="M3376" s="232" t="inlineStr"/>
      <c r="N3376" s="232" t="inlineStr">
        <is>
          <t>.   .   -</t>
        </is>
      </c>
      <c r="O3376" s="232" t="inlineStr">
        <is>
          <t>ABRIL</t>
        </is>
      </c>
      <c r="P3376" s="232" t="n">
        <v>16</v>
      </c>
      <c r="Q3376" s="234" t="n">
        <v>4087</v>
      </c>
      <c r="R3376" s="232" t="inlineStr"/>
      <c r="S3376" s="234" t="n">
        <v>4087</v>
      </c>
      <c r="T3376" s="232" t="inlineStr">
        <is>
          <t>CLP</t>
        </is>
      </c>
      <c r="U3376" s="232" t="inlineStr">
        <is>
          <t>Prorrateo Ha PACKING</t>
        </is>
      </c>
      <c r="V3376" s="232" t="inlineStr">
        <is>
          <t>2026-06-18</t>
        </is>
      </c>
    </row>
    <row r="3377">
      <c r="A3377" s="232" t="inlineStr">
        <is>
          <t>CR-3374</t>
        </is>
      </c>
      <c r="B3377" s="232" t="inlineStr">
        <is>
          <t>2026/27</t>
        </is>
      </c>
      <c r="C3377" s="233" t="n">
        <v>46140</v>
      </c>
      <c r="D3377" s="232" t="inlineStr">
        <is>
          <t>375</t>
        </is>
      </c>
      <c r="E3377" s="232" t="inlineStr">
        <is>
          <t>PRORRATEO</t>
        </is>
      </c>
      <c r="F3377" s="232" t="inlineStr">
        <is>
          <t>El Molle</t>
        </is>
      </c>
      <c r="G3377" s="232" t="inlineStr">
        <is>
          <t>arrufatinas 5,74 ha</t>
        </is>
      </c>
      <c r="H3377" s="232" t="inlineStr">
        <is>
          <t>Clementinas</t>
        </is>
      </c>
      <c r="I3377" s="232" t="inlineStr">
        <is>
          <t>Arrufatinas</t>
        </is>
      </c>
      <c r="J3377" s="232" t="inlineStr">
        <is>
          <t>LABORES OPERACIONALES</t>
        </is>
      </c>
      <c r="K3377" s="232" t="inlineStr">
        <is>
          <t>LAB. PACKING</t>
        </is>
      </c>
      <c r="L3377" s="232" t="inlineStr">
        <is>
          <t>[PRORRATEO 3.9% 5.74há/148.3há] SERV.CONTRATISTA</t>
        </is>
      </c>
      <c r="M3377" s="232" t="inlineStr"/>
      <c r="N3377" s="232" t="inlineStr">
        <is>
          <t>.   .   -</t>
        </is>
      </c>
      <c r="O3377" s="232" t="inlineStr">
        <is>
          <t>ABRIL</t>
        </is>
      </c>
      <c r="P3377" s="232" t="n">
        <v>16</v>
      </c>
      <c r="Q3377" s="234" t="n">
        <v>4477</v>
      </c>
      <c r="R3377" s="232" t="inlineStr"/>
      <c r="S3377" s="234" t="n">
        <v>4477</v>
      </c>
      <c r="T3377" s="232" t="inlineStr">
        <is>
          <t>CLP</t>
        </is>
      </c>
      <c r="U3377" s="232" t="inlineStr">
        <is>
          <t>Prorrateo Ha PACKING</t>
        </is>
      </c>
      <c r="V3377" s="232" t="inlineStr">
        <is>
          <t>2026-06-18</t>
        </is>
      </c>
    </row>
    <row r="3378">
      <c r="A3378" s="232" t="inlineStr">
        <is>
          <t>CR-3375</t>
        </is>
      </c>
      <c r="B3378" s="232" t="inlineStr">
        <is>
          <t>2026/27</t>
        </is>
      </c>
      <c r="C3378" s="233" t="n">
        <v>46140</v>
      </c>
      <c r="D3378" s="232" t="inlineStr">
        <is>
          <t>375</t>
        </is>
      </c>
      <c r="E3378" s="232" t="inlineStr">
        <is>
          <t>PRORRATEO</t>
        </is>
      </c>
      <c r="F3378" s="232" t="inlineStr">
        <is>
          <t>El Molle</t>
        </is>
      </c>
      <c r="G3378" s="232" t="inlineStr">
        <is>
          <t>orogrande 8,11 ha</t>
        </is>
      </c>
      <c r="H3378" s="232" t="inlineStr">
        <is>
          <t>Clementinas</t>
        </is>
      </c>
      <c r="I3378" s="232" t="inlineStr">
        <is>
          <t>Orogrande</t>
        </is>
      </c>
      <c r="J3378" s="232" t="inlineStr">
        <is>
          <t>LABORES OPERACIONALES</t>
        </is>
      </c>
      <c r="K3378" s="232" t="inlineStr">
        <is>
          <t>LAB. PACKING</t>
        </is>
      </c>
      <c r="L3378" s="232" t="inlineStr">
        <is>
          <t>[PRORRATEO 5.5% 8.11há/148.3há] SERV.CONTRATISTA</t>
        </is>
      </c>
      <c r="M3378" s="232" t="inlineStr"/>
      <c r="N3378" s="232" t="inlineStr">
        <is>
          <t>.   .   -</t>
        </is>
      </c>
      <c r="O3378" s="232" t="inlineStr">
        <is>
          <t>ABRIL</t>
        </is>
      </c>
      <c r="P3378" s="232" t="n">
        <v>16</v>
      </c>
      <c r="Q3378" s="234" t="n">
        <v>6326</v>
      </c>
      <c r="R3378" s="232" t="inlineStr"/>
      <c r="S3378" s="234" t="n">
        <v>6326</v>
      </c>
      <c r="T3378" s="232" t="inlineStr">
        <is>
          <t>CLP</t>
        </is>
      </c>
      <c r="U3378" s="232" t="inlineStr">
        <is>
          <t>Prorrateo Ha PACKING</t>
        </is>
      </c>
      <c r="V3378" s="232" t="inlineStr">
        <is>
          <t>2026-06-18</t>
        </is>
      </c>
    </row>
    <row r="3379">
      <c r="A3379" s="232" t="inlineStr">
        <is>
          <t>CR-3376</t>
        </is>
      </c>
      <c r="B3379" s="232" t="inlineStr">
        <is>
          <t>2026/27</t>
        </is>
      </c>
      <c r="C3379" s="233" t="n">
        <v>46140</v>
      </c>
      <c r="D3379" s="232" t="inlineStr">
        <is>
          <t>375</t>
        </is>
      </c>
      <c r="E3379" s="232" t="inlineStr">
        <is>
          <t>PRORRATEO</t>
        </is>
      </c>
      <c r="F3379" s="232" t="inlineStr">
        <is>
          <t>El Molle</t>
        </is>
      </c>
      <c r="G3379" s="232" t="inlineStr">
        <is>
          <t>oronules 5,35 ha</t>
        </is>
      </c>
      <c r="H3379" s="232" t="inlineStr">
        <is>
          <t>Clementinas</t>
        </is>
      </c>
      <c r="I3379" s="232" t="inlineStr">
        <is>
          <t>Oronules</t>
        </is>
      </c>
      <c r="J3379" s="232" t="inlineStr">
        <is>
          <t>LABORES OPERACIONALES</t>
        </is>
      </c>
      <c r="K3379" s="232" t="inlineStr">
        <is>
          <t>LAB. PACKING</t>
        </is>
      </c>
      <c r="L3379" s="232" t="inlineStr">
        <is>
          <t>[PRORRATEO 3.6% 5.35há/148.3há] SERV.CONTRATISTA</t>
        </is>
      </c>
      <c r="M3379" s="232" t="inlineStr"/>
      <c r="N3379" s="232" t="inlineStr">
        <is>
          <t>.   .   -</t>
        </is>
      </c>
      <c r="O3379" s="232" t="inlineStr">
        <is>
          <t>ABRIL</t>
        </is>
      </c>
      <c r="P3379" s="232" t="n">
        <v>16</v>
      </c>
      <c r="Q3379" s="234" t="n">
        <v>4173</v>
      </c>
      <c r="R3379" s="232" t="inlineStr"/>
      <c r="S3379" s="234" t="n">
        <v>4173</v>
      </c>
      <c r="T3379" s="232" t="inlineStr">
        <is>
          <t>CLP</t>
        </is>
      </c>
      <c r="U3379" s="232" t="inlineStr">
        <is>
          <t>Prorrateo Ha PACKING</t>
        </is>
      </c>
      <c r="V3379" s="232" t="inlineStr">
        <is>
          <t>2026-06-18</t>
        </is>
      </c>
    </row>
    <row r="3380">
      <c r="A3380" s="232" t="inlineStr">
        <is>
          <t>CR-3377</t>
        </is>
      </c>
      <c r="B3380" s="232" t="inlineStr">
        <is>
          <t>2026/27</t>
        </is>
      </c>
      <c r="C3380" s="233" t="n">
        <v>46140</v>
      </c>
      <c r="D3380" s="232" t="inlineStr">
        <is>
          <t>375</t>
        </is>
      </c>
      <c r="E3380" s="232" t="inlineStr">
        <is>
          <t>PRORRATEO</t>
        </is>
      </c>
      <c r="F3380" s="232" t="inlineStr">
        <is>
          <t>Santa Catalina</t>
        </is>
      </c>
      <c r="G3380" s="232" t="inlineStr">
        <is>
          <t>Fino 49 7,7 ha</t>
        </is>
      </c>
      <c r="H3380" s="232" t="inlineStr">
        <is>
          <t>Limon</t>
        </is>
      </c>
      <c r="I3380" s="232" t="inlineStr">
        <is>
          <t>Fino 49</t>
        </is>
      </c>
      <c r="J3380" s="232" t="inlineStr">
        <is>
          <t>LABORES OPERACIONALES</t>
        </is>
      </c>
      <c r="K3380" s="232" t="inlineStr">
        <is>
          <t>LAB. PACKING</t>
        </is>
      </c>
      <c r="L3380" s="232" t="inlineStr">
        <is>
          <t>[PRORRATEO 5.2% 7.7há/148.3há] SERV.CONTRATISTA</t>
        </is>
      </c>
      <c r="M3380" s="232" t="inlineStr"/>
      <c r="N3380" s="232" t="inlineStr">
        <is>
          <t>.   .   -</t>
        </is>
      </c>
      <c r="O3380" s="232" t="inlineStr">
        <is>
          <t>ABRIL</t>
        </is>
      </c>
      <c r="P3380" s="232" t="n">
        <v>16</v>
      </c>
      <c r="Q3380" s="234" t="n">
        <v>6006</v>
      </c>
      <c r="R3380" s="232" t="inlineStr"/>
      <c r="S3380" s="234" t="n">
        <v>6006</v>
      </c>
      <c r="T3380" s="232" t="inlineStr">
        <is>
          <t>CLP</t>
        </is>
      </c>
      <c r="U3380" s="232" t="inlineStr">
        <is>
          <t>Prorrateo Ha PACKING</t>
        </is>
      </c>
      <c r="V3380" s="232" t="inlineStr">
        <is>
          <t>2026-06-18</t>
        </is>
      </c>
    </row>
    <row r="3381">
      <c r="A3381" s="232" t="inlineStr">
        <is>
          <t>CR-3378</t>
        </is>
      </c>
      <c r="B3381" s="232" t="inlineStr">
        <is>
          <t>2026/27</t>
        </is>
      </c>
      <c r="C3381" s="233" t="n">
        <v>46140</v>
      </c>
      <c r="D3381" s="232" t="inlineStr">
        <is>
          <t>375</t>
        </is>
      </c>
      <c r="E3381" s="232" t="inlineStr">
        <is>
          <t>PRORRATEO</t>
        </is>
      </c>
      <c r="F3381" s="232" t="inlineStr">
        <is>
          <t>Santa Catalina</t>
        </is>
      </c>
      <c r="G3381" s="232" t="inlineStr">
        <is>
          <t>W. murcott 21 ha</t>
        </is>
      </c>
      <c r="H3381" s="232" t="inlineStr">
        <is>
          <t>Mandarina</t>
        </is>
      </c>
      <c r="I3381" s="232" t="inlineStr">
        <is>
          <t>W. murcott</t>
        </is>
      </c>
      <c r="J3381" s="232" t="inlineStr">
        <is>
          <t>LABORES OPERACIONALES</t>
        </is>
      </c>
      <c r="K3381" s="232" t="inlineStr">
        <is>
          <t>LAB. PACKING</t>
        </is>
      </c>
      <c r="L3381" s="232" t="inlineStr">
        <is>
          <t>[PRORRATEO 14.2% 21.0há/148.3há] SERV.CONTRATISTA</t>
        </is>
      </c>
      <c r="M3381" s="232" t="inlineStr"/>
      <c r="N3381" s="232" t="inlineStr">
        <is>
          <t>.   .   -</t>
        </is>
      </c>
      <c r="O3381" s="232" t="inlineStr">
        <is>
          <t>ABRIL</t>
        </is>
      </c>
      <c r="P3381" s="232" t="n">
        <v>16</v>
      </c>
      <c r="Q3381" s="234" t="n">
        <v>16381</v>
      </c>
      <c r="R3381" s="232" t="inlineStr"/>
      <c r="S3381" s="234" t="n">
        <v>16381</v>
      </c>
      <c r="T3381" s="232" t="inlineStr">
        <is>
          <t>CLP</t>
        </is>
      </c>
      <c r="U3381" s="232" t="inlineStr">
        <is>
          <t>Prorrateo Ha PACKING</t>
        </is>
      </c>
      <c r="V3381" s="232" t="inlineStr">
        <is>
          <t>2026-06-18</t>
        </is>
      </c>
    </row>
    <row r="3382">
      <c r="A3382" s="232" t="inlineStr">
        <is>
          <t>CR-3379</t>
        </is>
      </c>
      <c r="B3382" s="232" t="inlineStr">
        <is>
          <t>2026/27</t>
        </is>
      </c>
      <c r="C3382" s="233" t="n">
        <v>46140</v>
      </c>
      <c r="D3382" s="232" t="inlineStr">
        <is>
          <t>375</t>
        </is>
      </c>
      <c r="E3382" s="232" t="inlineStr">
        <is>
          <t>PRORRATEO</t>
        </is>
      </c>
      <c r="F3382" s="232" t="inlineStr">
        <is>
          <t>Santa Catalina</t>
        </is>
      </c>
      <c r="G3382" s="232" t="inlineStr">
        <is>
          <t>cambria 4,2 ha</t>
        </is>
      </c>
      <c r="H3382" s="232" t="inlineStr">
        <is>
          <t>Naranjas</t>
        </is>
      </c>
      <c r="I3382" s="232" t="inlineStr">
        <is>
          <t>Cambria</t>
        </is>
      </c>
      <c r="J3382" s="232" t="inlineStr">
        <is>
          <t>LABORES OPERACIONALES</t>
        </is>
      </c>
      <c r="K3382" s="232" t="inlineStr">
        <is>
          <t>LAB. PACKING</t>
        </is>
      </c>
      <c r="L3382" s="232" t="inlineStr">
        <is>
          <t>[PRORRATEO 2.8% 4.2há/148.3há] SERV.CONTRATISTA</t>
        </is>
      </c>
      <c r="M3382" s="232" t="inlineStr"/>
      <c r="N3382" s="232" t="inlineStr">
        <is>
          <t>.   .   -</t>
        </is>
      </c>
      <c r="O3382" s="232" t="inlineStr">
        <is>
          <t>ABRIL</t>
        </is>
      </c>
      <c r="P3382" s="232" t="n">
        <v>16</v>
      </c>
      <c r="Q3382" s="234" t="n">
        <v>3276</v>
      </c>
      <c r="R3382" s="232" t="inlineStr"/>
      <c r="S3382" s="234" t="n">
        <v>3276</v>
      </c>
      <c r="T3382" s="232" t="inlineStr">
        <is>
          <t>CLP</t>
        </is>
      </c>
      <c r="U3382" s="232" t="inlineStr">
        <is>
          <t>Prorrateo Ha PACKING</t>
        </is>
      </c>
      <c r="V3382" s="232" t="inlineStr">
        <is>
          <t>2026-06-18</t>
        </is>
      </c>
    </row>
    <row r="3383">
      <c r="A3383" s="232" t="inlineStr">
        <is>
          <t>CR-3380</t>
        </is>
      </c>
      <c r="B3383" s="232" t="inlineStr">
        <is>
          <t>2026/27</t>
        </is>
      </c>
      <c r="C3383" s="233" t="n">
        <v>46140</v>
      </c>
      <c r="D3383" s="232" t="inlineStr">
        <is>
          <t>375</t>
        </is>
      </c>
      <c r="E3383" s="232" t="inlineStr">
        <is>
          <t>PRORRATEO</t>
        </is>
      </c>
      <c r="F3383" s="232" t="inlineStr">
        <is>
          <t>Santa Catalina</t>
        </is>
      </c>
      <c r="G3383" s="232" t="inlineStr">
        <is>
          <t>eureka 10,6 ha</t>
        </is>
      </c>
      <c r="H3383" s="232" t="inlineStr">
        <is>
          <t>Limon</t>
        </is>
      </c>
      <c r="I3383" s="232" t="inlineStr">
        <is>
          <t>Eureka</t>
        </is>
      </c>
      <c r="J3383" s="232" t="inlineStr">
        <is>
          <t>LABORES OPERACIONALES</t>
        </is>
      </c>
      <c r="K3383" s="232" t="inlineStr">
        <is>
          <t>LAB. PACKING</t>
        </is>
      </c>
      <c r="L3383" s="232" t="inlineStr">
        <is>
          <t>[PRORRATEO 7.1% 10.6há/148.3há] SERV.CONTRATISTA</t>
        </is>
      </c>
      <c r="M3383" s="232" t="inlineStr"/>
      <c r="N3383" s="232" t="inlineStr">
        <is>
          <t>.   .   -</t>
        </is>
      </c>
      <c r="O3383" s="232" t="inlineStr">
        <is>
          <t>ABRIL</t>
        </is>
      </c>
      <c r="P3383" s="232" t="n">
        <v>16</v>
      </c>
      <c r="Q3383" s="234" t="n">
        <v>8269</v>
      </c>
      <c r="R3383" s="232" t="inlineStr"/>
      <c r="S3383" s="234" t="n">
        <v>8269</v>
      </c>
      <c r="T3383" s="232" t="inlineStr">
        <is>
          <t>CLP</t>
        </is>
      </c>
      <c r="U3383" s="232" t="inlineStr">
        <is>
          <t>Prorrateo Ha PACKING</t>
        </is>
      </c>
      <c r="V3383" s="232" t="inlineStr">
        <is>
          <t>2026-06-18</t>
        </is>
      </c>
    </row>
    <row r="3384">
      <c r="A3384" s="232" t="inlineStr">
        <is>
          <t>CR-3381</t>
        </is>
      </c>
      <c r="B3384" s="232" t="inlineStr">
        <is>
          <t>2026/27</t>
        </is>
      </c>
      <c r="C3384" s="233" t="n">
        <v>46140</v>
      </c>
      <c r="D3384" s="232" t="inlineStr">
        <is>
          <t>375</t>
        </is>
      </c>
      <c r="E3384" s="232" t="inlineStr">
        <is>
          <t>PRORRATEO</t>
        </is>
      </c>
      <c r="F3384" s="232" t="inlineStr">
        <is>
          <t>Santa Catalina</t>
        </is>
      </c>
      <c r="G3384" s="232" t="inlineStr">
        <is>
          <t>eureka 14,4 ha</t>
        </is>
      </c>
      <c r="H3384" s="232" t="inlineStr">
        <is>
          <t>Limon</t>
        </is>
      </c>
      <c r="I3384" s="232" t="inlineStr">
        <is>
          <t>Eureka</t>
        </is>
      </c>
      <c r="J3384" s="232" t="inlineStr">
        <is>
          <t>LABORES OPERACIONALES</t>
        </is>
      </c>
      <c r="K3384" s="232" t="inlineStr">
        <is>
          <t>LAB. PACKING</t>
        </is>
      </c>
      <c r="L3384" s="232" t="inlineStr">
        <is>
          <t>[PRORRATEO 9.7% 14.4há/148.3há] SERV.CONTRATISTA</t>
        </is>
      </c>
      <c r="M3384" s="232" t="inlineStr"/>
      <c r="N3384" s="232" t="inlineStr">
        <is>
          <t>.   .   -</t>
        </is>
      </c>
      <c r="O3384" s="232" t="inlineStr">
        <is>
          <t>ABRIL</t>
        </is>
      </c>
      <c r="P3384" s="232" t="n">
        <v>16</v>
      </c>
      <c r="Q3384" s="234" t="n">
        <v>11233</v>
      </c>
      <c r="R3384" s="232" t="inlineStr"/>
      <c r="S3384" s="234" t="n">
        <v>11233</v>
      </c>
      <c r="T3384" s="232" t="inlineStr">
        <is>
          <t>CLP</t>
        </is>
      </c>
      <c r="U3384" s="232" t="inlineStr">
        <is>
          <t>Prorrateo Ha PACKING</t>
        </is>
      </c>
      <c r="V3384" s="232" t="inlineStr">
        <is>
          <t>2026-06-18</t>
        </is>
      </c>
    </row>
    <row r="3385">
      <c r="A3385" s="232" t="inlineStr">
        <is>
          <t>CR-3382</t>
        </is>
      </c>
      <c r="B3385" s="232" t="inlineStr">
        <is>
          <t>2026/27</t>
        </is>
      </c>
      <c r="C3385" s="233" t="n">
        <v>46140</v>
      </c>
      <c r="D3385" s="232" t="inlineStr">
        <is>
          <t>375</t>
        </is>
      </c>
      <c r="E3385" s="232" t="inlineStr">
        <is>
          <t>PRORRATEO</t>
        </is>
      </c>
      <c r="F3385" s="232" t="inlineStr">
        <is>
          <t>Santa Catalina</t>
        </is>
      </c>
      <c r="G3385" s="232" t="inlineStr">
        <is>
          <t>eureka 22,55</t>
        </is>
      </c>
      <c r="H3385" s="232" t="inlineStr">
        <is>
          <t>Limon</t>
        </is>
      </c>
      <c r="I3385" s="232" t="inlineStr">
        <is>
          <t>Eureka</t>
        </is>
      </c>
      <c r="J3385" s="232" t="inlineStr">
        <is>
          <t>LABORES OPERACIONALES</t>
        </is>
      </c>
      <c r="K3385" s="232" t="inlineStr">
        <is>
          <t>LAB. PACKING</t>
        </is>
      </c>
      <c r="L3385" s="232" t="inlineStr">
        <is>
          <t>[PRORRATEO 15.2% 22.55há/148.3há] SERV.CONTRATISTA</t>
        </is>
      </c>
      <c r="M3385" s="232" t="inlineStr"/>
      <c r="N3385" s="232" t="inlineStr">
        <is>
          <t>.   .   -</t>
        </is>
      </c>
      <c r="O3385" s="232" t="inlineStr">
        <is>
          <t>ABRIL</t>
        </is>
      </c>
      <c r="P3385" s="232" t="n">
        <v>16</v>
      </c>
      <c r="Q3385" s="234" t="n">
        <v>17590</v>
      </c>
      <c r="R3385" s="232" t="inlineStr"/>
      <c r="S3385" s="234" t="n">
        <v>17590</v>
      </c>
      <c r="T3385" s="232" t="inlineStr">
        <is>
          <t>CLP</t>
        </is>
      </c>
      <c r="U3385" s="232" t="inlineStr">
        <is>
          <t>Prorrateo Ha PACKING</t>
        </is>
      </c>
      <c r="V3385" s="232" t="inlineStr">
        <is>
          <t>2026-06-18</t>
        </is>
      </c>
    </row>
    <row r="3386">
      <c r="A3386" s="232" t="inlineStr">
        <is>
          <t>CR-3383</t>
        </is>
      </c>
      <c r="B3386" s="232" t="inlineStr">
        <is>
          <t>2026/27</t>
        </is>
      </c>
      <c r="C3386" s="233" t="n">
        <v>46140</v>
      </c>
      <c r="D3386" s="232" t="inlineStr">
        <is>
          <t>375</t>
        </is>
      </c>
      <c r="E3386" s="232" t="inlineStr">
        <is>
          <t>PRORRATEO</t>
        </is>
      </c>
      <c r="F3386" s="232" t="inlineStr">
        <is>
          <t>Santa Catalina</t>
        </is>
      </c>
      <c r="G3386" s="232" t="inlineStr">
        <is>
          <t>form benjamin 1,93 ha</t>
        </is>
      </c>
      <c r="H3386" s="232" t="inlineStr">
        <is>
          <t>Limon</t>
        </is>
      </c>
      <c r="I3386" s="232" t="inlineStr">
        <is>
          <t>Benjamin andes</t>
        </is>
      </c>
      <c r="J3386" s="232" t="inlineStr">
        <is>
          <t>LABORES OPERACIONALES</t>
        </is>
      </c>
      <c r="K3386" s="232" t="inlineStr">
        <is>
          <t>LAB. PACKING</t>
        </is>
      </c>
      <c r="L3386" s="232" t="inlineStr">
        <is>
          <t>[PRORRATEO 1.3% 1.93há/148.3há] SERV.CONTRATISTA</t>
        </is>
      </c>
      <c r="M3386" s="232" t="inlineStr"/>
      <c r="N3386" s="232" t="inlineStr">
        <is>
          <t>.   .   -</t>
        </is>
      </c>
      <c r="O3386" s="232" t="inlineStr">
        <is>
          <t>ABRIL</t>
        </is>
      </c>
      <c r="P3386" s="232" t="n">
        <v>16</v>
      </c>
      <c r="Q3386" s="234" t="n">
        <v>1505</v>
      </c>
      <c r="R3386" s="232" t="inlineStr"/>
      <c r="S3386" s="234" t="n">
        <v>1505</v>
      </c>
      <c r="T3386" s="232" t="inlineStr">
        <is>
          <t>CLP</t>
        </is>
      </c>
      <c r="U3386" s="232" t="inlineStr">
        <is>
          <t>Prorrateo Ha PACKING</t>
        </is>
      </c>
      <c r="V3386" s="232" t="inlineStr">
        <is>
          <t>2026-06-18</t>
        </is>
      </c>
    </row>
    <row r="3387">
      <c r="A3387" s="232" t="inlineStr">
        <is>
          <t>CR-3384</t>
        </is>
      </c>
      <c r="B3387" s="232" t="inlineStr">
        <is>
          <t>2026/27</t>
        </is>
      </c>
      <c r="C3387" s="233" t="n">
        <v>46140</v>
      </c>
      <c r="D3387" s="232" t="inlineStr">
        <is>
          <t>375</t>
        </is>
      </c>
      <c r="E3387" s="232" t="inlineStr">
        <is>
          <t>PRORRATEO</t>
        </is>
      </c>
      <c r="F3387" s="232" t="inlineStr">
        <is>
          <t>Santa Catalina</t>
        </is>
      </c>
      <c r="G3387" s="232" t="inlineStr">
        <is>
          <t>mant eureka 2,5 ha</t>
        </is>
      </c>
      <c r="H3387" s="232" t="inlineStr">
        <is>
          <t>Limon</t>
        </is>
      </c>
      <c r="I3387" s="232" t="inlineStr">
        <is>
          <t>Eureka</t>
        </is>
      </c>
      <c r="J3387" s="232" t="inlineStr">
        <is>
          <t>LABORES OPERACIONALES</t>
        </is>
      </c>
      <c r="K3387" s="232" t="inlineStr">
        <is>
          <t>LAB. PACKING</t>
        </is>
      </c>
      <c r="L3387" s="232" t="inlineStr">
        <is>
          <t>[PRORRATEO 1.7% 2.5há/148.3há] SERV.CONTRATISTA</t>
        </is>
      </c>
      <c r="M3387" s="232" t="inlineStr"/>
      <c r="N3387" s="232" t="inlineStr">
        <is>
          <t>.   .   -</t>
        </is>
      </c>
      <c r="O3387" s="232" t="inlineStr">
        <is>
          <t>ABRIL</t>
        </is>
      </c>
      <c r="P3387" s="232" t="n">
        <v>16</v>
      </c>
      <c r="Q3387" s="234" t="n">
        <v>1950</v>
      </c>
      <c r="R3387" s="232" t="inlineStr"/>
      <c r="S3387" s="234" t="n">
        <v>1950</v>
      </c>
      <c r="T3387" s="232" t="inlineStr">
        <is>
          <t>CLP</t>
        </is>
      </c>
      <c r="U3387" s="232" t="inlineStr">
        <is>
          <t>Prorrateo Ha PACKING</t>
        </is>
      </c>
      <c r="V3387" s="232" t="inlineStr">
        <is>
          <t>2026-06-18</t>
        </is>
      </c>
    </row>
    <row r="3388">
      <c r="A3388" s="232" t="inlineStr">
        <is>
          <t>CR-3385</t>
        </is>
      </c>
      <c r="B3388" s="232" t="inlineStr">
        <is>
          <t>2026/27</t>
        </is>
      </c>
      <c r="C3388" s="233" t="n">
        <v>46140</v>
      </c>
      <c r="D3388" s="232" t="inlineStr">
        <is>
          <t>375</t>
        </is>
      </c>
      <c r="E3388" s="232" t="inlineStr">
        <is>
          <t>PRORRATEO</t>
        </is>
      </c>
      <c r="F3388" s="232" t="inlineStr">
        <is>
          <t>Siberia</t>
        </is>
      </c>
      <c r="G3388" s="232" t="inlineStr">
        <is>
          <t>S. Celebration 7,14</t>
        </is>
      </c>
      <c r="H3388" s="232" t="inlineStr">
        <is>
          <t>Uvas</t>
        </is>
      </c>
      <c r="I3388" s="232" t="inlineStr">
        <is>
          <t>S. celebration</t>
        </is>
      </c>
      <c r="J3388" s="232" t="inlineStr">
        <is>
          <t>LABORES OPERACIONALES</t>
        </is>
      </c>
      <c r="K3388" s="232" t="inlineStr">
        <is>
          <t>LAB. PACKING</t>
        </is>
      </c>
      <c r="L3388" s="232" t="inlineStr">
        <is>
          <t>[PRORRATEO 4.8% 7.14há/148.3há] SERV.CONTRATISTA</t>
        </is>
      </c>
      <c r="M3388" s="232" t="inlineStr"/>
      <c r="N3388" s="232" t="inlineStr">
        <is>
          <t>.   .   -</t>
        </is>
      </c>
      <c r="O3388" s="232" t="inlineStr">
        <is>
          <t>ABRIL</t>
        </is>
      </c>
      <c r="P3388" s="232" t="n">
        <v>16</v>
      </c>
      <c r="Q3388" s="234" t="n">
        <v>5570</v>
      </c>
      <c r="R3388" s="232" t="inlineStr"/>
      <c r="S3388" s="234" t="n">
        <v>5570</v>
      </c>
      <c r="T3388" s="232" t="inlineStr">
        <is>
          <t>CLP</t>
        </is>
      </c>
      <c r="U3388" s="232" t="inlineStr">
        <is>
          <t>Prorrateo Ha PACKING</t>
        </is>
      </c>
      <c r="V3388" s="232" t="inlineStr">
        <is>
          <t>2026-06-18</t>
        </is>
      </c>
    </row>
    <row r="3389">
      <c r="A3389" s="232" t="inlineStr">
        <is>
          <t>CR-3386</t>
        </is>
      </c>
      <c r="B3389" s="232" t="inlineStr">
        <is>
          <t>2026/27</t>
        </is>
      </c>
      <c r="C3389" s="233" t="n">
        <v>46140</v>
      </c>
      <c r="D3389" s="232" t="inlineStr">
        <is>
          <t>375</t>
        </is>
      </c>
      <c r="E3389" s="232" t="inlineStr">
        <is>
          <t>PRORRATEO</t>
        </is>
      </c>
      <c r="F3389" s="232" t="inlineStr">
        <is>
          <t>Siberia</t>
        </is>
      </c>
      <c r="G3389" s="232" t="inlineStr">
        <is>
          <t>Timpson 7,1</t>
        </is>
      </c>
      <c r="H3389" s="232" t="inlineStr">
        <is>
          <t>Uvas</t>
        </is>
      </c>
      <c r="I3389" s="232" t="inlineStr">
        <is>
          <t>Timpson</t>
        </is>
      </c>
      <c r="J3389" s="232" t="inlineStr">
        <is>
          <t>LABORES OPERACIONALES</t>
        </is>
      </c>
      <c r="K3389" s="232" t="inlineStr">
        <is>
          <t>LAB. PACKING</t>
        </is>
      </c>
      <c r="L3389" s="232" t="inlineStr">
        <is>
          <t>[PRORRATEO 4.8% 7.1há/148.3há] SERV.CONTRATISTA</t>
        </is>
      </c>
      <c r="M3389" s="232" t="inlineStr"/>
      <c r="N3389" s="232" t="inlineStr">
        <is>
          <t>.   .   -</t>
        </is>
      </c>
      <c r="O3389" s="232" t="inlineStr">
        <is>
          <t>ABRIL</t>
        </is>
      </c>
      <c r="P3389" s="232" t="n">
        <v>16</v>
      </c>
      <c r="Q3389" s="234" t="n">
        <v>5538</v>
      </c>
      <c r="R3389" s="232" t="inlineStr"/>
      <c r="S3389" s="234" t="n">
        <v>5538</v>
      </c>
      <c r="T3389" s="232" t="inlineStr">
        <is>
          <t>CLP</t>
        </is>
      </c>
      <c r="U3389" s="232" t="inlineStr">
        <is>
          <t>Prorrateo Ha PACKING</t>
        </is>
      </c>
      <c r="V3389" s="232" t="inlineStr">
        <is>
          <t>2026-06-18</t>
        </is>
      </c>
    </row>
    <row r="3390">
      <c r="A3390" s="232" t="inlineStr">
        <is>
          <t>CR-3387</t>
        </is>
      </c>
      <c r="B3390" s="232" t="inlineStr">
        <is>
          <t>2026/27</t>
        </is>
      </c>
      <c r="C3390" s="233" t="n">
        <v>46141</v>
      </c>
      <c r="D3390" s="232" t="inlineStr">
        <is>
          <t>8510</t>
        </is>
      </c>
      <c r="E3390" s="232" t="inlineStr">
        <is>
          <t>PRORRATEO</t>
        </is>
      </c>
      <c r="F3390" s="232" t="inlineStr">
        <is>
          <t>Asmara</t>
        </is>
      </c>
      <c r="G3390" s="232" t="inlineStr">
        <is>
          <t>w. murcott 19,8 ha</t>
        </is>
      </c>
      <c r="H3390" s="232" t="inlineStr">
        <is>
          <t>Mandarina</t>
        </is>
      </c>
      <c r="I3390" s="232" t="inlineStr">
        <is>
          <t>W. murcott</t>
        </is>
      </c>
      <c r="J3390" s="232" t="inlineStr">
        <is>
          <t>FLETES</t>
        </is>
      </c>
      <c r="K3390" s="232" t="inlineStr">
        <is>
          <t>FLETE FRUTA</t>
        </is>
      </c>
      <c r="L3390" s="232" t="inlineStr">
        <is>
          <t>[PRORRATEO 13.4% 19.8há/148.3há] O/001645 FLETE</t>
        </is>
      </c>
      <c r="M3390" s="232" t="inlineStr"/>
      <c r="N3390" s="232" t="inlineStr">
        <is>
          <t>.   .   -</t>
        </is>
      </c>
      <c r="O3390" s="232" t="inlineStr">
        <is>
          <t>ABRIL</t>
        </is>
      </c>
      <c r="P3390" s="232" t="n">
        <v>17</v>
      </c>
      <c r="Q3390" s="234" t="n">
        <v>192311</v>
      </c>
      <c r="R3390" s="232" t="inlineStr"/>
      <c r="S3390" s="234" t="n">
        <v>192311</v>
      </c>
      <c r="T3390" s="232" t="inlineStr">
        <is>
          <t>CLP</t>
        </is>
      </c>
      <c r="U3390" s="232" t="inlineStr">
        <is>
          <t>Prorrateo Ha PACKING</t>
        </is>
      </c>
      <c r="V3390" s="232" t="inlineStr">
        <is>
          <t>2026-06-18</t>
        </is>
      </c>
    </row>
    <row r="3391">
      <c r="A3391" s="232" t="inlineStr">
        <is>
          <t>CR-3388</t>
        </is>
      </c>
      <c r="B3391" s="232" t="inlineStr">
        <is>
          <t>2026/27</t>
        </is>
      </c>
      <c r="C3391" s="233" t="n">
        <v>46141</v>
      </c>
      <c r="D3391" s="232" t="inlineStr">
        <is>
          <t>8510</t>
        </is>
      </c>
      <c r="E3391" s="232" t="inlineStr">
        <is>
          <t>PRORRATEO</t>
        </is>
      </c>
      <c r="F3391" s="232" t="inlineStr">
        <is>
          <t>Asmara</t>
        </is>
      </c>
      <c r="G3391" s="232" t="inlineStr">
        <is>
          <t>w. murcott 4,9 ha</t>
        </is>
      </c>
      <c r="H3391" s="232" t="inlineStr">
        <is>
          <t>Mandarina</t>
        </is>
      </c>
      <c r="I3391" s="232" t="inlineStr">
        <is>
          <t>W. murcott</t>
        </is>
      </c>
      <c r="J3391" s="232" t="inlineStr">
        <is>
          <t>FLETES</t>
        </is>
      </c>
      <c r="K3391" s="232" t="inlineStr">
        <is>
          <t>FLETE FRUTA</t>
        </is>
      </c>
      <c r="L3391" s="232" t="inlineStr">
        <is>
          <t>[PRORRATEO 3.3% 4.9há/148.3há] O/001645 FLETE</t>
        </is>
      </c>
      <c r="M3391" s="232" t="inlineStr"/>
      <c r="N3391" s="232" t="inlineStr">
        <is>
          <t>.   .   -</t>
        </is>
      </c>
      <c r="O3391" s="232" t="inlineStr">
        <is>
          <t>ABRIL</t>
        </is>
      </c>
      <c r="P3391" s="232" t="n">
        <v>17</v>
      </c>
      <c r="Q3391" s="234" t="n">
        <v>47592</v>
      </c>
      <c r="R3391" s="232" t="inlineStr"/>
      <c r="S3391" s="234" t="n">
        <v>47592</v>
      </c>
      <c r="T3391" s="232" t="inlineStr">
        <is>
          <t>CLP</t>
        </is>
      </c>
      <c r="U3391" s="232" t="inlineStr">
        <is>
          <t>Prorrateo Ha PACKING</t>
        </is>
      </c>
      <c r="V3391" s="232" t="inlineStr">
        <is>
          <t>2026-06-18</t>
        </is>
      </c>
    </row>
    <row r="3392">
      <c r="A3392" s="232" t="inlineStr">
        <is>
          <t>CR-3389</t>
        </is>
      </c>
      <c r="B3392" s="232" t="inlineStr">
        <is>
          <t>2026/27</t>
        </is>
      </c>
      <c r="C3392" s="233" t="n">
        <v>46141</v>
      </c>
      <c r="D3392" s="232" t="inlineStr">
        <is>
          <t>8510</t>
        </is>
      </c>
      <c r="E3392" s="232" t="inlineStr">
        <is>
          <t>PRORRATEO</t>
        </is>
      </c>
      <c r="F3392" s="232" t="inlineStr">
        <is>
          <t>El Molle</t>
        </is>
      </c>
      <c r="G3392" s="232" t="inlineStr">
        <is>
          <t>Wonderful 5,25 ha</t>
        </is>
      </c>
      <c r="H3392" s="232" t="inlineStr">
        <is>
          <t>Granados</t>
        </is>
      </c>
      <c r="I3392" s="232" t="inlineStr">
        <is>
          <t>Wonderfull</t>
        </is>
      </c>
      <c r="J3392" s="232" t="inlineStr">
        <is>
          <t>FLETES</t>
        </is>
      </c>
      <c r="K3392" s="232" t="inlineStr">
        <is>
          <t>FLETE FRUTA</t>
        </is>
      </c>
      <c r="L3392" s="232" t="inlineStr">
        <is>
          <t>[PRORRATEO 3.5% 5.24há/148.3há] O/001645 FLETE</t>
        </is>
      </c>
      <c r="M3392" s="232" t="inlineStr"/>
      <c r="N3392" s="232" t="inlineStr">
        <is>
          <t>.   .   -</t>
        </is>
      </c>
      <c r="O3392" s="232" t="inlineStr">
        <is>
          <t>ABRIL</t>
        </is>
      </c>
      <c r="P3392" s="232" t="n">
        <v>17</v>
      </c>
      <c r="Q3392" s="234" t="n">
        <v>50894</v>
      </c>
      <c r="R3392" s="232" t="inlineStr"/>
      <c r="S3392" s="234" t="n">
        <v>50894</v>
      </c>
      <c r="T3392" s="232" t="inlineStr">
        <is>
          <t>CLP</t>
        </is>
      </c>
      <c r="U3392" s="232" t="inlineStr">
        <is>
          <t>Prorrateo Ha PACKING</t>
        </is>
      </c>
      <c r="V3392" s="232" t="inlineStr">
        <is>
          <t>2026-06-18</t>
        </is>
      </c>
    </row>
    <row r="3393">
      <c r="A3393" s="232" t="inlineStr">
        <is>
          <t>CR-3390</t>
        </is>
      </c>
      <c r="B3393" s="232" t="inlineStr">
        <is>
          <t>2026/27</t>
        </is>
      </c>
      <c r="C3393" s="233" t="n">
        <v>46141</v>
      </c>
      <c r="D3393" s="232" t="inlineStr">
        <is>
          <t>8510</t>
        </is>
      </c>
      <c r="E3393" s="232" t="inlineStr">
        <is>
          <t>PRORRATEO</t>
        </is>
      </c>
      <c r="F3393" s="232" t="inlineStr">
        <is>
          <t>El Molle</t>
        </is>
      </c>
      <c r="G3393" s="232" t="inlineStr">
        <is>
          <t>arrufatinas 5,74 ha</t>
        </is>
      </c>
      <c r="H3393" s="232" t="inlineStr">
        <is>
          <t>Clementinas</t>
        </is>
      </c>
      <c r="I3393" s="232" t="inlineStr">
        <is>
          <t>Arrufatinas</t>
        </is>
      </c>
      <c r="J3393" s="232" t="inlineStr">
        <is>
          <t>FLETES</t>
        </is>
      </c>
      <c r="K3393" s="232" t="inlineStr">
        <is>
          <t>FLETE FRUTA</t>
        </is>
      </c>
      <c r="L3393" s="232" t="inlineStr">
        <is>
          <t>[PRORRATEO 3.9% 5.74há/148.3há] O/001645 FLETE</t>
        </is>
      </c>
      <c r="M3393" s="232" t="inlineStr"/>
      <c r="N3393" s="232" t="inlineStr">
        <is>
          <t>.   .   -</t>
        </is>
      </c>
      <c r="O3393" s="232" t="inlineStr">
        <is>
          <t>ABRIL</t>
        </is>
      </c>
      <c r="P3393" s="232" t="n">
        <v>17</v>
      </c>
      <c r="Q3393" s="234" t="n">
        <v>55751</v>
      </c>
      <c r="R3393" s="232" t="inlineStr"/>
      <c r="S3393" s="234" t="n">
        <v>55751</v>
      </c>
      <c r="T3393" s="232" t="inlineStr">
        <is>
          <t>CLP</t>
        </is>
      </c>
      <c r="U3393" s="232" t="inlineStr">
        <is>
          <t>Prorrateo Ha PACKING</t>
        </is>
      </c>
      <c r="V3393" s="232" t="inlineStr">
        <is>
          <t>2026-06-18</t>
        </is>
      </c>
    </row>
    <row r="3394">
      <c r="A3394" s="232" t="inlineStr">
        <is>
          <t>CR-3391</t>
        </is>
      </c>
      <c r="B3394" s="232" t="inlineStr">
        <is>
          <t>2026/27</t>
        </is>
      </c>
      <c r="C3394" s="233" t="n">
        <v>46141</v>
      </c>
      <c r="D3394" s="232" t="inlineStr">
        <is>
          <t>8510</t>
        </is>
      </c>
      <c r="E3394" s="232" t="inlineStr">
        <is>
          <t>PRORRATEO</t>
        </is>
      </c>
      <c r="F3394" s="232" t="inlineStr">
        <is>
          <t>El Molle</t>
        </is>
      </c>
      <c r="G3394" s="232" t="inlineStr">
        <is>
          <t>orogrande 8,11 ha</t>
        </is>
      </c>
      <c r="H3394" s="232" t="inlineStr">
        <is>
          <t>Clementinas</t>
        </is>
      </c>
      <c r="I3394" s="232" t="inlineStr">
        <is>
          <t>Orogrande</t>
        </is>
      </c>
      <c r="J3394" s="232" t="inlineStr">
        <is>
          <t>FLETES</t>
        </is>
      </c>
      <c r="K3394" s="232" t="inlineStr">
        <is>
          <t>FLETE FRUTA</t>
        </is>
      </c>
      <c r="L3394" s="232" t="inlineStr">
        <is>
          <t>[PRORRATEO 5.5% 8.11há/148.3há] O/001645 FLETE</t>
        </is>
      </c>
      <c r="M3394" s="232" t="inlineStr"/>
      <c r="N3394" s="232" t="inlineStr">
        <is>
          <t>.   .   -</t>
        </is>
      </c>
      <c r="O3394" s="232" t="inlineStr">
        <is>
          <t>ABRIL</t>
        </is>
      </c>
      <c r="P3394" s="232" t="n">
        <v>17</v>
      </c>
      <c r="Q3394" s="234" t="n">
        <v>78770</v>
      </c>
      <c r="R3394" s="232" t="inlineStr"/>
      <c r="S3394" s="234" t="n">
        <v>78770</v>
      </c>
      <c r="T3394" s="232" t="inlineStr">
        <is>
          <t>CLP</t>
        </is>
      </c>
      <c r="U3394" s="232" t="inlineStr">
        <is>
          <t>Prorrateo Ha PACKING</t>
        </is>
      </c>
      <c r="V3394" s="232" t="inlineStr">
        <is>
          <t>2026-06-18</t>
        </is>
      </c>
    </row>
    <row r="3395">
      <c r="A3395" s="232" t="inlineStr">
        <is>
          <t>CR-3392</t>
        </is>
      </c>
      <c r="B3395" s="232" t="inlineStr">
        <is>
          <t>2026/27</t>
        </is>
      </c>
      <c r="C3395" s="233" t="n">
        <v>46141</v>
      </c>
      <c r="D3395" s="232" t="inlineStr">
        <is>
          <t>8510</t>
        </is>
      </c>
      <c r="E3395" s="232" t="inlineStr">
        <is>
          <t>PRORRATEO</t>
        </is>
      </c>
      <c r="F3395" s="232" t="inlineStr">
        <is>
          <t>El Molle</t>
        </is>
      </c>
      <c r="G3395" s="232" t="inlineStr">
        <is>
          <t>oronules 5,35 ha</t>
        </is>
      </c>
      <c r="H3395" s="232" t="inlineStr">
        <is>
          <t>Clementinas</t>
        </is>
      </c>
      <c r="I3395" s="232" t="inlineStr">
        <is>
          <t>Oronules</t>
        </is>
      </c>
      <c r="J3395" s="232" t="inlineStr">
        <is>
          <t>FLETES</t>
        </is>
      </c>
      <c r="K3395" s="232" t="inlineStr">
        <is>
          <t>FLETE FRUTA</t>
        </is>
      </c>
      <c r="L3395" s="232" t="inlineStr">
        <is>
          <t>[PRORRATEO 3.6% 5.35há/148.3há] O/001645 FLETE</t>
        </is>
      </c>
      <c r="M3395" s="232" t="inlineStr"/>
      <c r="N3395" s="232" t="inlineStr">
        <is>
          <t>.   .   -</t>
        </is>
      </c>
      <c r="O3395" s="232" t="inlineStr">
        <is>
          <t>ABRIL</t>
        </is>
      </c>
      <c r="P3395" s="232" t="n">
        <v>17</v>
      </c>
      <c r="Q3395" s="234" t="n">
        <v>51963</v>
      </c>
      <c r="R3395" s="232" t="inlineStr"/>
      <c r="S3395" s="234" t="n">
        <v>51963</v>
      </c>
      <c r="T3395" s="232" t="inlineStr">
        <is>
          <t>CLP</t>
        </is>
      </c>
      <c r="U3395" s="232" t="inlineStr">
        <is>
          <t>Prorrateo Ha PACKING</t>
        </is>
      </c>
      <c r="V3395" s="232" t="inlineStr">
        <is>
          <t>2026-06-18</t>
        </is>
      </c>
    </row>
    <row r="3396">
      <c r="A3396" s="232" t="inlineStr">
        <is>
          <t>CR-3393</t>
        </is>
      </c>
      <c r="B3396" s="232" t="inlineStr">
        <is>
          <t>2026/27</t>
        </is>
      </c>
      <c r="C3396" s="233" t="n">
        <v>46141</v>
      </c>
      <c r="D3396" s="232" t="inlineStr">
        <is>
          <t>8510</t>
        </is>
      </c>
      <c r="E3396" s="232" t="inlineStr">
        <is>
          <t>PRORRATEO</t>
        </is>
      </c>
      <c r="F3396" s="232" t="inlineStr">
        <is>
          <t>Santa Catalina</t>
        </is>
      </c>
      <c r="G3396" s="232" t="inlineStr">
        <is>
          <t>Fino 49 7,7 ha</t>
        </is>
      </c>
      <c r="H3396" s="232" t="inlineStr">
        <is>
          <t>Limon</t>
        </is>
      </c>
      <c r="I3396" s="232" t="inlineStr">
        <is>
          <t>Fino 49</t>
        </is>
      </c>
      <c r="J3396" s="232" t="inlineStr">
        <is>
          <t>FLETES</t>
        </is>
      </c>
      <c r="K3396" s="232" t="inlineStr">
        <is>
          <t>FLETE FRUTA</t>
        </is>
      </c>
      <c r="L3396" s="232" t="inlineStr">
        <is>
          <t>[PRORRATEO 5.2% 7.7há/148.3há] O/001645 FLETE</t>
        </is>
      </c>
      <c r="M3396" s="232" t="inlineStr"/>
      <c r="N3396" s="232" t="inlineStr">
        <is>
          <t>.   .   -</t>
        </is>
      </c>
      <c r="O3396" s="232" t="inlineStr">
        <is>
          <t>ABRIL</t>
        </is>
      </c>
      <c r="P3396" s="232" t="n">
        <v>17</v>
      </c>
      <c r="Q3396" s="234" t="n">
        <v>74788</v>
      </c>
      <c r="R3396" s="232" t="inlineStr"/>
      <c r="S3396" s="234" t="n">
        <v>74788</v>
      </c>
      <c r="T3396" s="232" t="inlineStr">
        <is>
          <t>CLP</t>
        </is>
      </c>
      <c r="U3396" s="232" t="inlineStr">
        <is>
          <t>Prorrateo Ha PACKING</t>
        </is>
      </c>
      <c r="V3396" s="232" t="inlineStr">
        <is>
          <t>2026-06-18</t>
        </is>
      </c>
    </row>
    <row r="3397">
      <c r="A3397" s="232" t="inlineStr">
        <is>
          <t>CR-3394</t>
        </is>
      </c>
      <c r="B3397" s="232" t="inlineStr">
        <is>
          <t>2026/27</t>
        </is>
      </c>
      <c r="C3397" s="233" t="n">
        <v>46141</v>
      </c>
      <c r="D3397" s="232" t="inlineStr">
        <is>
          <t>8510</t>
        </is>
      </c>
      <c r="E3397" s="232" t="inlineStr">
        <is>
          <t>PRORRATEO</t>
        </is>
      </c>
      <c r="F3397" s="232" t="inlineStr">
        <is>
          <t>Santa Catalina</t>
        </is>
      </c>
      <c r="G3397" s="232" t="inlineStr">
        <is>
          <t>W. murcott 21 ha</t>
        </is>
      </c>
      <c r="H3397" s="232" t="inlineStr">
        <is>
          <t>Mandarina</t>
        </is>
      </c>
      <c r="I3397" s="232" t="inlineStr">
        <is>
          <t>W. murcott</t>
        </is>
      </c>
      <c r="J3397" s="232" t="inlineStr">
        <is>
          <t>FLETES</t>
        </is>
      </c>
      <c r="K3397" s="232" t="inlineStr">
        <is>
          <t>FLETE FRUTA</t>
        </is>
      </c>
      <c r="L3397" s="232" t="inlineStr">
        <is>
          <t>[PRORRATEO 14.2% 21.0há/148.3há] O/001645 FLETE</t>
        </is>
      </c>
      <c r="M3397" s="232" t="inlineStr"/>
      <c r="N3397" s="232" t="inlineStr">
        <is>
          <t>.   .   -</t>
        </is>
      </c>
      <c r="O3397" s="232" t="inlineStr">
        <is>
          <t>ABRIL</t>
        </is>
      </c>
      <c r="P3397" s="232" t="n">
        <v>17</v>
      </c>
      <c r="Q3397" s="234" t="n">
        <v>203966</v>
      </c>
      <c r="R3397" s="232" t="inlineStr"/>
      <c r="S3397" s="234" t="n">
        <v>203966</v>
      </c>
      <c r="T3397" s="232" t="inlineStr">
        <is>
          <t>CLP</t>
        </is>
      </c>
      <c r="U3397" s="232" t="inlineStr">
        <is>
          <t>Prorrateo Ha PACKING</t>
        </is>
      </c>
      <c r="V3397" s="232" t="inlineStr">
        <is>
          <t>2026-06-18</t>
        </is>
      </c>
    </row>
    <row r="3398">
      <c r="A3398" s="232" t="inlineStr">
        <is>
          <t>CR-3395</t>
        </is>
      </c>
      <c r="B3398" s="232" t="inlineStr">
        <is>
          <t>2026/27</t>
        </is>
      </c>
      <c r="C3398" s="233" t="n">
        <v>46141</v>
      </c>
      <c r="D3398" s="232" t="inlineStr">
        <is>
          <t>8510</t>
        </is>
      </c>
      <c r="E3398" s="232" t="inlineStr">
        <is>
          <t>PRORRATEO</t>
        </is>
      </c>
      <c r="F3398" s="232" t="inlineStr">
        <is>
          <t>Santa Catalina</t>
        </is>
      </c>
      <c r="G3398" s="232" t="inlineStr">
        <is>
          <t>cambria 4,2 ha</t>
        </is>
      </c>
      <c r="H3398" s="232" t="inlineStr">
        <is>
          <t>Naranjas</t>
        </is>
      </c>
      <c r="I3398" s="232" t="inlineStr">
        <is>
          <t>Cambria</t>
        </is>
      </c>
      <c r="J3398" s="232" t="inlineStr">
        <is>
          <t>FLETES</t>
        </is>
      </c>
      <c r="K3398" s="232" t="inlineStr">
        <is>
          <t>FLETE FRUTA</t>
        </is>
      </c>
      <c r="L3398" s="232" t="inlineStr">
        <is>
          <t>[PRORRATEO 2.8% 4.2há/148.3há] O/001645 FLETE</t>
        </is>
      </c>
      <c r="M3398" s="232" t="inlineStr"/>
      <c r="N3398" s="232" t="inlineStr">
        <is>
          <t>.   .   -</t>
        </is>
      </c>
      <c r="O3398" s="232" t="inlineStr">
        <is>
          <t>ABRIL</t>
        </is>
      </c>
      <c r="P3398" s="232" t="n">
        <v>17</v>
      </c>
      <c r="Q3398" s="234" t="n">
        <v>40793</v>
      </c>
      <c r="R3398" s="232" t="inlineStr"/>
      <c r="S3398" s="234" t="n">
        <v>40793</v>
      </c>
      <c r="T3398" s="232" t="inlineStr">
        <is>
          <t>CLP</t>
        </is>
      </c>
      <c r="U3398" s="232" t="inlineStr">
        <is>
          <t>Prorrateo Ha PACKING</t>
        </is>
      </c>
      <c r="V3398" s="232" t="inlineStr">
        <is>
          <t>2026-06-18</t>
        </is>
      </c>
    </row>
    <row r="3399">
      <c r="A3399" s="232" t="inlineStr">
        <is>
          <t>CR-3396</t>
        </is>
      </c>
      <c r="B3399" s="232" t="inlineStr">
        <is>
          <t>2026/27</t>
        </is>
      </c>
      <c r="C3399" s="233" t="n">
        <v>46141</v>
      </c>
      <c r="D3399" s="232" t="inlineStr">
        <is>
          <t>8510</t>
        </is>
      </c>
      <c r="E3399" s="232" t="inlineStr">
        <is>
          <t>PRORRATEO</t>
        </is>
      </c>
      <c r="F3399" s="232" t="inlineStr">
        <is>
          <t>Santa Catalina</t>
        </is>
      </c>
      <c r="G3399" s="232" t="inlineStr">
        <is>
          <t>eureka 10,6 ha</t>
        </is>
      </c>
      <c r="H3399" s="232" t="inlineStr">
        <is>
          <t>Limon</t>
        </is>
      </c>
      <c r="I3399" s="232" t="inlineStr">
        <is>
          <t>Eureka</t>
        </is>
      </c>
      <c r="J3399" s="232" t="inlineStr">
        <is>
          <t>FLETES</t>
        </is>
      </c>
      <c r="K3399" s="232" t="inlineStr">
        <is>
          <t>FLETE FRUTA</t>
        </is>
      </c>
      <c r="L3399" s="232" t="inlineStr">
        <is>
          <t>[PRORRATEO 7.1% 10.6há/148.3há] O/001645 FLETE</t>
        </is>
      </c>
      <c r="M3399" s="232" t="inlineStr"/>
      <c r="N3399" s="232" t="inlineStr">
        <is>
          <t>.   .   -</t>
        </is>
      </c>
      <c r="O3399" s="232" t="inlineStr">
        <is>
          <t>ABRIL</t>
        </is>
      </c>
      <c r="P3399" s="232" t="n">
        <v>17</v>
      </c>
      <c r="Q3399" s="234" t="n">
        <v>102954</v>
      </c>
      <c r="R3399" s="232" t="inlineStr"/>
      <c r="S3399" s="234" t="n">
        <v>102954</v>
      </c>
      <c r="T3399" s="232" t="inlineStr">
        <is>
          <t>CLP</t>
        </is>
      </c>
      <c r="U3399" s="232" t="inlineStr">
        <is>
          <t>Prorrateo Ha PACKING</t>
        </is>
      </c>
      <c r="V3399" s="232" t="inlineStr">
        <is>
          <t>2026-06-18</t>
        </is>
      </c>
    </row>
    <row r="3400">
      <c r="A3400" s="232" t="inlineStr">
        <is>
          <t>CR-3397</t>
        </is>
      </c>
      <c r="B3400" s="232" t="inlineStr">
        <is>
          <t>2026/27</t>
        </is>
      </c>
      <c r="C3400" s="233" t="n">
        <v>46141</v>
      </c>
      <c r="D3400" s="232" t="inlineStr">
        <is>
          <t>8510</t>
        </is>
      </c>
      <c r="E3400" s="232" t="inlineStr">
        <is>
          <t>PRORRATEO</t>
        </is>
      </c>
      <c r="F3400" s="232" t="inlineStr">
        <is>
          <t>Santa Catalina</t>
        </is>
      </c>
      <c r="G3400" s="232" t="inlineStr">
        <is>
          <t>eureka 14,4 ha</t>
        </is>
      </c>
      <c r="H3400" s="232" t="inlineStr">
        <is>
          <t>Limon</t>
        </is>
      </c>
      <c r="I3400" s="232" t="inlineStr">
        <is>
          <t>Eureka</t>
        </is>
      </c>
      <c r="J3400" s="232" t="inlineStr">
        <is>
          <t>FLETES</t>
        </is>
      </c>
      <c r="K3400" s="232" t="inlineStr">
        <is>
          <t>FLETE FRUTA</t>
        </is>
      </c>
      <c r="L3400" s="232" t="inlineStr">
        <is>
          <t>[PRORRATEO 9.7% 14.4há/148.3há] O/001645 FLETE</t>
        </is>
      </c>
      <c r="M3400" s="232" t="inlineStr"/>
      <c r="N3400" s="232" t="inlineStr">
        <is>
          <t>.   .   -</t>
        </is>
      </c>
      <c r="O3400" s="232" t="inlineStr">
        <is>
          <t>ABRIL</t>
        </is>
      </c>
      <c r="P3400" s="232" t="n">
        <v>17</v>
      </c>
      <c r="Q3400" s="234" t="n">
        <v>139862</v>
      </c>
      <c r="R3400" s="232" t="inlineStr"/>
      <c r="S3400" s="234" t="n">
        <v>139862</v>
      </c>
      <c r="T3400" s="232" t="inlineStr">
        <is>
          <t>CLP</t>
        </is>
      </c>
      <c r="U3400" s="232" t="inlineStr">
        <is>
          <t>Prorrateo Ha PACKING</t>
        </is>
      </c>
      <c r="V3400" s="232" t="inlineStr">
        <is>
          <t>2026-06-18</t>
        </is>
      </c>
    </row>
    <row r="3401">
      <c r="A3401" s="232" t="inlineStr">
        <is>
          <t>CR-3398</t>
        </is>
      </c>
      <c r="B3401" s="232" t="inlineStr">
        <is>
          <t>2026/27</t>
        </is>
      </c>
      <c r="C3401" s="233" t="n">
        <v>46141</v>
      </c>
      <c r="D3401" s="232" t="inlineStr">
        <is>
          <t>8510</t>
        </is>
      </c>
      <c r="E3401" s="232" t="inlineStr">
        <is>
          <t>PRORRATEO</t>
        </is>
      </c>
      <c r="F3401" s="232" t="inlineStr">
        <is>
          <t>Santa Catalina</t>
        </is>
      </c>
      <c r="G3401" s="232" t="inlineStr">
        <is>
          <t>eureka 22,55</t>
        </is>
      </c>
      <c r="H3401" s="232" t="inlineStr">
        <is>
          <t>Limon</t>
        </is>
      </c>
      <c r="I3401" s="232" t="inlineStr">
        <is>
          <t>Eureka</t>
        </is>
      </c>
      <c r="J3401" s="232" t="inlineStr">
        <is>
          <t>FLETES</t>
        </is>
      </c>
      <c r="K3401" s="232" t="inlineStr">
        <is>
          <t>FLETE FRUTA</t>
        </is>
      </c>
      <c r="L3401" s="232" t="inlineStr">
        <is>
          <t>[PRORRATEO 15.2% 22.55há/148.3há] O/001645 FLETE</t>
        </is>
      </c>
      <c r="M3401" s="232" t="inlineStr"/>
      <c r="N3401" s="232" t="inlineStr">
        <is>
          <t>.   .   -</t>
        </is>
      </c>
      <c r="O3401" s="232" t="inlineStr">
        <is>
          <t>ABRIL</t>
        </is>
      </c>
      <c r="P3401" s="232" t="n">
        <v>17</v>
      </c>
      <c r="Q3401" s="234" t="n">
        <v>219021</v>
      </c>
      <c r="R3401" s="232" t="inlineStr"/>
      <c r="S3401" s="234" t="n">
        <v>219021</v>
      </c>
      <c r="T3401" s="232" t="inlineStr">
        <is>
          <t>CLP</t>
        </is>
      </c>
      <c r="U3401" s="232" t="inlineStr">
        <is>
          <t>Prorrateo Ha PACKING</t>
        </is>
      </c>
      <c r="V3401" s="232" t="inlineStr">
        <is>
          <t>2026-06-18</t>
        </is>
      </c>
    </row>
    <row r="3402">
      <c r="A3402" s="232" t="inlineStr">
        <is>
          <t>CR-3399</t>
        </is>
      </c>
      <c r="B3402" s="232" t="inlineStr">
        <is>
          <t>2026/27</t>
        </is>
      </c>
      <c r="C3402" s="233" t="n">
        <v>46141</v>
      </c>
      <c r="D3402" s="232" t="inlineStr">
        <is>
          <t>8510</t>
        </is>
      </c>
      <c r="E3402" s="232" t="inlineStr">
        <is>
          <t>PRORRATEO</t>
        </is>
      </c>
      <c r="F3402" s="232" t="inlineStr">
        <is>
          <t>Santa Catalina</t>
        </is>
      </c>
      <c r="G3402" s="232" t="inlineStr">
        <is>
          <t>form benjamin 1,93 ha</t>
        </is>
      </c>
      <c r="H3402" s="232" t="inlineStr">
        <is>
          <t>Limon</t>
        </is>
      </c>
      <c r="I3402" s="232" t="inlineStr">
        <is>
          <t>Benjamin andes</t>
        </is>
      </c>
      <c r="J3402" s="232" t="inlineStr">
        <is>
          <t>FLETES</t>
        </is>
      </c>
      <c r="K3402" s="232" t="inlineStr">
        <is>
          <t>FLETE FRUTA</t>
        </is>
      </c>
      <c r="L3402" s="232" t="inlineStr">
        <is>
          <t>[PRORRATEO 1.3% 1.93há/148.3há] O/001645 FLETE</t>
        </is>
      </c>
      <c r="M3402" s="232" t="inlineStr"/>
      <c r="N3402" s="232" t="inlineStr">
        <is>
          <t>.   .   -</t>
        </is>
      </c>
      <c r="O3402" s="232" t="inlineStr">
        <is>
          <t>ABRIL</t>
        </is>
      </c>
      <c r="P3402" s="232" t="n">
        <v>17</v>
      </c>
      <c r="Q3402" s="234" t="n">
        <v>18745</v>
      </c>
      <c r="R3402" s="232" t="inlineStr"/>
      <c r="S3402" s="234" t="n">
        <v>18745</v>
      </c>
      <c r="T3402" s="232" t="inlineStr">
        <is>
          <t>CLP</t>
        </is>
      </c>
      <c r="U3402" s="232" t="inlineStr">
        <is>
          <t>Prorrateo Ha PACKING</t>
        </is>
      </c>
      <c r="V3402" s="232" t="inlineStr">
        <is>
          <t>2026-06-18</t>
        </is>
      </c>
    </row>
    <row r="3403">
      <c r="A3403" s="232" t="inlineStr">
        <is>
          <t>CR-3400</t>
        </is>
      </c>
      <c r="B3403" s="232" t="inlineStr">
        <is>
          <t>2026/27</t>
        </is>
      </c>
      <c r="C3403" s="233" t="n">
        <v>46141</v>
      </c>
      <c r="D3403" s="232" t="inlineStr">
        <is>
          <t>8510</t>
        </is>
      </c>
      <c r="E3403" s="232" t="inlineStr">
        <is>
          <t>PRORRATEO</t>
        </is>
      </c>
      <c r="F3403" s="232" t="inlineStr">
        <is>
          <t>Santa Catalina</t>
        </is>
      </c>
      <c r="G3403" s="232" t="inlineStr">
        <is>
          <t>mant eureka 2,5 ha</t>
        </is>
      </c>
      <c r="H3403" s="232" t="inlineStr">
        <is>
          <t>Limon</t>
        </is>
      </c>
      <c r="I3403" s="232" t="inlineStr">
        <is>
          <t>Eureka</t>
        </is>
      </c>
      <c r="J3403" s="232" t="inlineStr">
        <is>
          <t>FLETES</t>
        </is>
      </c>
      <c r="K3403" s="232" t="inlineStr">
        <is>
          <t>FLETE FRUTA</t>
        </is>
      </c>
      <c r="L3403" s="232" t="inlineStr">
        <is>
          <t>[PRORRATEO 1.7% 2.5há/148.3há] O/001645 FLETE</t>
        </is>
      </c>
      <c r="M3403" s="232" t="inlineStr"/>
      <c r="N3403" s="232" t="inlineStr">
        <is>
          <t>.   .   -</t>
        </is>
      </c>
      <c r="O3403" s="232" t="inlineStr">
        <is>
          <t>ABRIL</t>
        </is>
      </c>
      <c r="P3403" s="232" t="n">
        <v>17</v>
      </c>
      <c r="Q3403" s="234" t="n">
        <v>24282</v>
      </c>
      <c r="R3403" s="232" t="inlineStr"/>
      <c r="S3403" s="234" t="n">
        <v>24282</v>
      </c>
      <c r="T3403" s="232" t="inlineStr">
        <is>
          <t>CLP</t>
        </is>
      </c>
      <c r="U3403" s="232" t="inlineStr">
        <is>
          <t>Prorrateo Ha PACKING</t>
        </is>
      </c>
      <c r="V3403" s="232" t="inlineStr">
        <is>
          <t>2026-06-18</t>
        </is>
      </c>
    </row>
    <row r="3404">
      <c r="A3404" s="232" t="inlineStr">
        <is>
          <t>CR-3401</t>
        </is>
      </c>
      <c r="B3404" s="232" t="inlineStr">
        <is>
          <t>2026/27</t>
        </is>
      </c>
      <c r="C3404" s="233" t="n">
        <v>46141</v>
      </c>
      <c r="D3404" s="232" t="inlineStr">
        <is>
          <t>8510</t>
        </is>
      </c>
      <c r="E3404" s="232" t="inlineStr">
        <is>
          <t>PRORRATEO</t>
        </is>
      </c>
      <c r="F3404" s="232" t="inlineStr">
        <is>
          <t>Siberia</t>
        </is>
      </c>
      <c r="G3404" s="232" t="inlineStr">
        <is>
          <t>S. Celebration 7,14</t>
        </is>
      </c>
      <c r="H3404" s="232" t="inlineStr">
        <is>
          <t>Uvas</t>
        </is>
      </c>
      <c r="I3404" s="232" t="inlineStr">
        <is>
          <t>S. celebration</t>
        </is>
      </c>
      <c r="J3404" s="232" t="inlineStr">
        <is>
          <t>FLETES</t>
        </is>
      </c>
      <c r="K3404" s="232" t="inlineStr">
        <is>
          <t>FLETE FRUTA</t>
        </is>
      </c>
      <c r="L3404" s="232" t="inlineStr">
        <is>
          <t>[PRORRATEO 4.8% 7.14há/148.3há] O/001645 FLETE</t>
        </is>
      </c>
      <c r="M3404" s="232" t="inlineStr"/>
      <c r="N3404" s="232" t="inlineStr">
        <is>
          <t>.   .   -</t>
        </is>
      </c>
      <c r="O3404" s="232" t="inlineStr">
        <is>
          <t>ABRIL</t>
        </is>
      </c>
      <c r="P3404" s="232" t="n">
        <v>17</v>
      </c>
      <c r="Q3404" s="234" t="n">
        <v>69348</v>
      </c>
      <c r="R3404" s="232" t="inlineStr"/>
      <c r="S3404" s="234" t="n">
        <v>69348</v>
      </c>
      <c r="T3404" s="232" t="inlineStr">
        <is>
          <t>CLP</t>
        </is>
      </c>
      <c r="U3404" s="232" t="inlineStr">
        <is>
          <t>Prorrateo Ha PACKING</t>
        </is>
      </c>
      <c r="V3404" s="232" t="inlineStr">
        <is>
          <t>2026-06-18</t>
        </is>
      </c>
    </row>
    <row r="3405">
      <c r="A3405" s="232" t="inlineStr">
        <is>
          <t>CR-3402</t>
        </is>
      </c>
      <c r="B3405" s="232" t="inlineStr">
        <is>
          <t>2026/27</t>
        </is>
      </c>
      <c r="C3405" s="233" t="n">
        <v>46141</v>
      </c>
      <c r="D3405" s="232" t="inlineStr">
        <is>
          <t>8510</t>
        </is>
      </c>
      <c r="E3405" s="232" t="inlineStr">
        <is>
          <t>PRORRATEO</t>
        </is>
      </c>
      <c r="F3405" s="232" t="inlineStr">
        <is>
          <t>Siberia</t>
        </is>
      </c>
      <c r="G3405" s="232" t="inlineStr">
        <is>
          <t>Timpson 7,1</t>
        </is>
      </c>
      <c r="H3405" s="232" t="inlineStr">
        <is>
          <t>Uvas</t>
        </is>
      </c>
      <c r="I3405" s="232" t="inlineStr">
        <is>
          <t>Timpson</t>
        </is>
      </c>
      <c r="J3405" s="232" t="inlineStr">
        <is>
          <t>FLETES</t>
        </is>
      </c>
      <c r="K3405" s="232" t="inlineStr">
        <is>
          <t>FLETE FRUTA</t>
        </is>
      </c>
      <c r="L3405" s="232" t="inlineStr">
        <is>
          <t>[PRORRATEO 4.8% 7.1há/148.3há] O/001645 FLETE</t>
        </is>
      </c>
      <c r="M3405" s="232" t="inlineStr"/>
      <c r="N3405" s="232" t="inlineStr">
        <is>
          <t>.   .   -</t>
        </is>
      </c>
      <c r="O3405" s="232" t="inlineStr">
        <is>
          <t>ABRIL</t>
        </is>
      </c>
      <c r="P3405" s="232" t="n">
        <v>17</v>
      </c>
      <c r="Q3405" s="234" t="n">
        <v>68960</v>
      </c>
      <c r="R3405" s="232" t="inlineStr"/>
      <c r="S3405" s="234" t="n">
        <v>68960</v>
      </c>
      <c r="T3405" s="232" t="inlineStr">
        <is>
          <t>CLP</t>
        </is>
      </c>
      <c r="U3405" s="232" t="inlineStr">
        <is>
          <t>Prorrateo Ha PACKING</t>
        </is>
      </c>
      <c r="V3405" s="232" t="inlineStr">
        <is>
          <t>2026-06-18</t>
        </is>
      </c>
    </row>
    <row r="3406">
      <c r="A3406" s="232" t="inlineStr">
        <is>
          <t>CR-3403</t>
        </is>
      </c>
      <c r="B3406" s="232" t="inlineStr">
        <is>
          <t>2026/27</t>
        </is>
      </c>
      <c r="C3406" s="233" t="n">
        <v>46141</v>
      </c>
      <c r="D3406" s="232" t="inlineStr">
        <is>
          <t>8510</t>
        </is>
      </c>
      <c r="E3406" s="232" t="inlineStr">
        <is>
          <t>PRORRATEO</t>
        </is>
      </c>
      <c r="F3406" s="232" t="inlineStr">
        <is>
          <t>Asmara</t>
        </is>
      </c>
      <c r="G3406" s="232" t="inlineStr">
        <is>
          <t>w. murcott 19,8 ha</t>
        </is>
      </c>
      <c r="H3406" s="232" t="inlineStr">
        <is>
          <t>Mandarina</t>
        </is>
      </c>
      <c r="I3406" s="232" t="inlineStr">
        <is>
          <t>W. murcott</t>
        </is>
      </c>
      <c r="J3406" s="232" t="inlineStr">
        <is>
          <t>FLETES</t>
        </is>
      </c>
      <c r="K3406" s="232" t="inlineStr">
        <is>
          <t>FLETE FRUTA</t>
        </is>
      </c>
      <c r="L3406" s="232" t="inlineStr">
        <is>
          <t>[PRORRATEO 13.4% 19.8há/148.3há] O/001645 FLETE</t>
        </is>
      </c>
      <c r="M3406" s="232" t="inlineStr"/>
      <c r="N3406" s="232" t="inlineStr">
        <is>
          <t>.   .   -</t>
        </is>
      </c>
      <c r="O3406" s="232" t="inlineStr">
        <is>
          <t>ABRIL</t>
        </is>
      </c>
      <c r="P3406" s="232" t="n">
        <v>17</v>
      </c>
      <c r="Q3406" s="234" t="n">
        <v>125536</v>
      </c>
      <c r="R3406" s="232" t="inlineStr"/>
      <c r="S3406" s="234" t="n">
        <v>125536</v>
      </c>
      <c r="T3406" s="232" t="inlineStr">
        <is>
          <t>CLP</t>
        </is>
      </c>
      <c r="U3406" s="232" t="inlineStr">
        <is>
          <t>Prorrateo Ha PACKING</t>
        </is>
      </c>
      <c r="V3406" s="232" t="inlineStr">
        <is>
          <t>2026-06-18</t>
        </is>
      </c>
    </row>
    <row r="3407">
      <c r="A3407" s="232" t="inlineStr">
        <is>
          <t>CR-3404</t>
        </is>
      </c>
      <c r="B3407" s="232" t="inlineStr">
        <is>
          <t>2026/27</t>
        </is>
      </c>
      <c r="C3407" s="233" t="n">
        <v>46141</v>
      </c>
      <c r="D3407" s="232" t="inlineStr">
        <is>
          <t>8510</t>
        </is>
      </c>
      <c r="E3407" s="232" t="inlineStr">
        <is>
          <t>PRORRATEO</t>
        </is>
      </c>
      <c r="F3407" s="232" t="inlineStr">
        <is>
          <t>Asmara</t>
        </is>
      </c>
      <c r="G3407" s="232" t="inlineStr">
        <is>
          <t>w. murcott 4,9 ha</t>
        </is>
      </c>
      <c r="H3407" s="232" t="inlineStr">
        <is>
          <t>Mandarina</t>
        </is>
      </c>
      <c r="I3407" s="232" t="inlineStr">
        <is>
          <t>W. murcott</t>
        </is>
      </c>
      <c r="J3407" s="232" t="inlineStr">
        <is>
          <t>FLETES</t>
        </is>
      </c>
      <c r="K3407" s="232" t="inlineStr">
        <is>
          <t>FLETE FRUTA</t>
        </is>
      </c>
      <c r="L3407" s="232" t="inlineStr">
        <is>
          <t>[PRORRATEO 3.3% 4.9há/148.3há] O/001645 FLETE</t>
        </is>
      </c>
      <c r="M3407" s="232" t="inlineStr"/>
      <c r="N3407" s="232" t="inlineStr">
        <is>
          <t>.   .   -</t>
        </is>
      </c>
      <c r="O3407" s="232" t="inlineStr">
        <is>
          <t>ABRIL</t>
        </is>
      </c>
      <c r="P3407" s="232" t="n">
        <v>17</v>
      </c>
      <c r="Q3407" s="234" t="n">
        <v>31067</v>
      </c>
      <c r="R3407" s="232" t="inlineStr"/>
      <c r="S3407" s="234" t="n">
        <v>31067</v>
      </c>
      <c r="T3407" s="232" t="inlineStr">
        <is>
          <t>CLP</t>
        </is>
      </c>
      <c r="U3407" s="232" t="inlineStr">
        <is>
          <t>Prorrateo Ha PACKING</t>
        </is>
      </c>
      <c r="V3407" s="232" t="inlineStr">
        <is>
          <t>2026-06-18</t>
        </is>
      </c>
    </row>
    <row r="3408">
      <c r="A3408" s="232" t="inlineStr">
        <is>
          <t>CR-3405</t>
        </is>
      </c>
      <c r="B3408" s="232" t="inlineStr">
        <is>
          <t>2026/27</t>
        </is>
      </c>
      <c r="C3408" s="233" t="n">
        <v>46141</v>
      </c>
      <c r="D3408" s="232" t="inlineStr">
        <is>
          <t>8510</t>
        </is>
      </c>
      <c r="E3408" s="232" t="inlineStr">
        <is>
          <t>PRORRATEO</t>
        </is>
      </c>
      <c r="F3408" s="232" t="inlineStr">
        <is>
          <t>El Molle</t>
        </is>
      </c>
      <c r="G3408" s="232" t="inlineStr">
        <is>
          <t>Wonderful 5,25 ha</t>
        </is>
      </c>
      <c r="H3408" s="232" t="inlineStr">
        <is>
          <t>Granados</t>
        </is>
      </c>
      <c r="I3408" s="232" t="inlineStr">
        <is>
          <t>Wonderfull</t>
        </is>
      </c>
      <c r="J3408" s="232" t="inlineStr">
        <is>
          <t>FLETES</t>
        </is>
      </c>
      <c r="K3408" s="232" t="inlineStr">
        <is>
          <t>FLETE FRUTA</t>
        </is>
      </c>
      <c r="L3408" s="232" t="inlineStr">
        <is>
          <t>[PRORRATEO 3.5% 5.24há/148.3há] O/001645 FLETE</t>
        </is>
      </c>
      <c r="M3408" s="232" t="inlineStr"/>
      <c r="N3408" s="232" t="inlineStr">
        <is>
          <t>.   .   -</t>
        </is>
      </c>
      <c r="O3408" s="232" t="inlineStr">
        <is>
          <t>ABRIL</t>
        </is>
      </c>
      <c r="P3408" s="232" t="n">
        <v>17</v>
      </c>
      <c r="Q3408" s="234" t="n">
        <v>33223</v>
      </c>
      <c r="R3408" s="232" t="inlineStr"/>
      <c r="S3408" s="234" t="n">
        <v>33223</v>
      </c>
      <c r="T3408" s="232" t="inlineStr">
        <is>
          <t>CLP</t>
        </is>
      </c>
      <c r="U3408" s="232" t="inlineStr">
        <is>
          <t>Prorrateo Ha PACKING</t>
        </is>
      </c>
      <c r="V3408" s="232" t="inlineStr">
        <is>
          <t>2026-06-18</t>
        </is>
      </c>
    </row>
    <row r="3409">
      <c r="A3409" s="232" t="inlineStr">
        <is>
          <t>CR-3406</t>
        </is>
      </c>
      <c r="B3409" s="232" t="inlineStr">
        <is>
          <t>2026/27</t>
        </is>
      </c>
      <c r="C3409" s="233" t="n">
        <v>46141</v>
      </c>
      <c r="D3409" s="232" t="inlineStr">
        <is>
          <t>8510</t>
        </is>
      </c>
      <c r="E3409" s="232" t="inlineStr">
        <is>
          <t>PRORRATEO</t>
        </is>
      </c>
      <c r="F3409" s="232" t="inlineStr">
        <is>
          <t>El Molle</t>
        </is>
      </c>
      <c r="G3409" s="232" t="inlineStr">
        <is>
          <t>arrufatinas 5,74 ha</t>
        </is>
      </c>
      <c r="H3409" s="232" t="inlineStr">
        <is>
          <t>Clementinas</t>
        </is>
      </c>
      <c r="I3409" s="232" t="inlineStr">
        <is>
          <t>Arrufatinas</t>
        </is>
      </c>
      <c r="J3409" s="232" t="inlineStr">
        <is>
          <t>FLETES</t>
        </is>
      </c>
      <c r="K3409" s="232" t="inlineStr">
        <is>
          <t>FLETE FRUTA</t>
        </is>
      </c>
      <c r="L3409" s="232" t="inlineStr">
        <is>
          <t>[PRORRATEO 3.9% 5.74há/148.3há] O/001645 FLETE</t>
        </is>
      </c>
      <c r="M3409" s="232" t="inlineStr"/>
      <c r="N3409" s="232" t="inlineStr">
        <is>
          <t>.   .   -</t>
        </is>
      </c>
      <c r="O3409" s="232" t="inlineStr">
        <is>
          <t>ABRIL</t>
        </is>
      </c>
      <c r="P3409" s="232" t="n">
        <v>17</v>
      </c>
      <c r="Q3409" s="234" t="n">
        <v>36393</v>
      </c>
      <c r="R3409" s="232" t="inlineStr"/>
      <c r="S3409" s="234" t="n">
        <v>36393</v>
      </c>
      <c r="T3409" s="232" t="inlineStr">
        <is>
          <t>CLP</t>
        </is>
      </c>
      <c r="U3409" s="232" t="inlineStr">
        <is>
          <t>Prorrateo Ha PACKING</t>
        </is>
      </c>
      <c r="V3409" s="232" t="inlineStr">
        <is>
          <t>2026-06-18</t>
        </is>
      </c>
    </row>
    <row r="3410">
      <c r="A3410" s="232" t="inlineStr">
        <is>
          <t>CR-3407</t>
        </is>
      </c>
      <c r="B3410" s="232" t="inlineStr">
        <is>
          <t>2026/27</t>
        </is>
      </c>
      <c r="C3410" s="233" t="n">
        <v>46141</v>
      </c>
      <c r="D3410" s="232" t="inlineStr">
        <is>
          <t>8510</t>
        </is>
      </c>
      <c r="E3410" s="232" t="inlineStr">
        <is>
          <t>PRORRATEO</t>
        </is>
      </c>
      <c r="F3410" s="232" t="inlineStr">
        <is>
          <t>El Molle</t>
        </is>
      </c>
      <c r="G3410" s="232" t="inlineStr">
        <is>
          <t>orogrande 8,11 ha</t>
        </is>
      </c>
      <c r="H3410" s="232" t="inlineStr">
        <is>
          <t>Clementinas</t>
        </is>
      </c>
      <c r="I3410" s="232" t="inlineStr">
        <is>
          <t>Orogrande</t>
        </is>
      </c>
      <c r="J3410" s="232" t="inlineStr">
        <is>
          <t>FLETES</t>
        </is>
      </c>
      <c r="K3410" s="232" t="inlineStr">
        <is>
          <t>FLETE FRUTA</t>
        </is>
      </c>
      <c r="L3410" s="232" t="inlineStr">
        <is>
          <t>[PRORRATEO 5.5% 8.11há/148.3há] O/001645 FLETE</t>
        </is>
      </c>
      <c r="M3410" s="232" t="inlineStr"/>
      <c r="N3410" s="232" t="inlineStr">
        <is>
          <t>.   .   -</t>
        </is>
      </c>
      <c r="O3410" s="232" t="inlineStr">
        <is>
          <t>ABRIL</t>
        </is>
      </c>
      <c r="P3410" s="232" t="n">
        <v>17</v>
      </c>
      <c r="Q3410" s="234" t="n">
        <v>51419</v>
      </c>
      <c r="R3410" s="232" t="inlineStr"/>
      <c r="S3410" s="234" t="n">
        <v>51419</v>
      </c>
      <c r="T3410" s="232" t="inlineStr">
        <is>
          <t>CLP</t>
        </is>
      </c>
      <c r="U3410" s="232" t="inlineStr">
        <is>
          <t>Prorrateo Ha PACKING</t>
        </is>
      </c>
      <c r="V3410" s="232" t="inlineStr">
        <is>
          <t>2026-06-18</t>
        </is>
      </c>
    </row>
    <row r="3411">
      <c r="A3411" s="232" t="inlineStr">
        <is>
          <t>CR-3408</t>
        </is>
      </c>
      <c r="B3411" s="232" t="inlineStr">
        <is>
          <t>2026/27</t>
        </is>
      </c>
      <c r="C3411" s="233" t="n">
        <v>46141</v>
      </c>
      <c r="D3411" s="232" t="inlineStr">
        <is>
          <t>8510</t>
        </is>
      </c>
      <c r="E3411" s="232" t="inlineStr">
        <is>
          <t>PRORRATEO</t>
        </is>
      </c>
      <c r="F3411" s="232" t="inlineStr">
        <is>
          <t>El Molle</t>
        </is>
      </c>
      <c r="G3411" s="232" t="inlineStr">
        <is>
          <t>oronules 5,35 ha</t>
        </is>
      </c>
      <c r="H3411" s="232" t="inlineStr">
        <is>
          <t>Clementinas</t>
        </is>
      </c>
      <c r="I3411" s="232" t="inlineStr">
        <is>
          <t>Oronules</t>
        </is>
      </c>
      <c r="J3411" s="232" t="inlineStr">
        <is>
          <t>FLETES</t>
        </is>
      </c>
      <c r="K3411" s="232" t="inlineStr">
        <is>
          <t>FLETE FRUTA</t>
        </is>
      </c>
      <c r="L3411" s="232" t="inlineStr">
        <is>
          <t>[PRORRATEO 3.6% 5.35há/148.3há] O/001645 FLETE</t>
        </is>
      </c>
      <c r="M3411" s="232" t="inlineStr"/>
      <c r="N3411" s="232" t="inlineStr">
        <is>
          <t>.   .   -</t>
        </is>
      </c>
      <c r="O3411" s="232" t="inlineStr">
        <is>
          <t>ABRIL</t>
        </is>
      </c>
      <c r="P3411" s="232" t="n">
        <v>17</v>
      </c>
      <c r="Q3411" s="234" t="n">
        <v>33920</v>
      </c>
      <c r="R3411" s="232" t="inlineStr"/>
      <c r="S3411" s="234" t="n">
        <v>33920</v>
      </c>
      <c r="T3411" s="232" t="inlineStr">
        <is>
          <t>CLP</t>
        </is>
      </c>
      <c r="U3411" s="232" t="inlineStr">
        <is>
          <t>Prorrateo Ha PACKING</t>
        </is>
      </c>
      <c r="V3411" s="232" t="inlineStr">
        <is>
          <t>2026-06-18</t>
        </is>
      </c>
    </row>
    <row r="3412">
      <c r="A3412" s="232" t="inlineStr">
        <is>
          <t>CR-3409</t>
        </is>
      </c>
      <c r="B3412" s="232" t="inlineStr">
        <is>
          <t>2026/27</t>
        </is>
      </c>
      <c r="C3412" s="233" t="n">
        <v>46141</v>
      </c>
      <c r="D3412" s="232" t="inlineStr">
        <is>
          <t>8510</t>
        </is>
      </c>
      <c r="E3412" s="232" t="inlineStr">
        <is>
          <t>PRORRATEO</t>
        </is>
      </c>
      <c r="F3412" s="232" t="inlineStr">
        <is>
          <t>Santa Catalina</t>
        </is>
      </c>
      <c r="G3412" s="232" t="inlineStr">
        <is>
          <t>Fino 49 7,7 ha</t>
        </is>
      </c>
      <c r="H3412" s="232" t="inlineStr">
        <is>
          <t>Limon</t>
        </is>
      </c>
      <c r="I3412" s="232" t="inlineStr">
        <is>
          <t>Fino 49</t>
        </is>
      </c>
      <c r="J3412" s="232" t="inlineStr">
        <is>
          <t>FLETES</t>
        </is>
      </c>
      <c r="K3412" s="232" t="inlineStr">
        <is>
          <t>FLETE FRUTA</t>
        </is>
      </c>
      <c r="L3412" s="232" t="inlineStr">
        <is>
          <t>[PRORRATEO 5.2% 7.7há/148.3há] O/001645 FLETE</t>
        </is>
      </c>
      <c r="M3412" s="232" t="inlineStr"/>
      <c r="N3412" s="232" t="inlineStr">
        <is>
          <t>.   .   -</t>
        </is>
      </c>
      <c r="O3412" s="232" t="inlineStr">
        <is>
          <t>ABRIL</t>
        </is>
      </c>
      <c r="P3412" s="232" t="n">
        <v>17</v>
      </c>
      <c r="Q3412" s="234" t="n">
        <v>48820</v>
      </c>
      <c r="R3412" s="232" t="inlineStr"/>
      <c r="S3412" s="234" t="n">
        <v>48820</v>
      </c>
      <c r="T3412" s="232" t="inlineStr">
        <is>
          <t>CLP</t>
        </is>
      </c>
      <c r="U3412" s="232" t="inlineStr">
        <is>
          <t>Prorrateo Ha PACKING</t>
        </is>
      </c>
      <c r="V3412" s="232" t="inlineStr">
        <is>
          <t>2026-06-18</t>
        </is>
      </c>
    </row>
    <row r="3413">
      <c r="A3413" s="232" t="inlineStr">
        <is>
          <t>CR-3410</t>
        </is>
      </c>
      <c r="B3413" s="232" t="inlineStr">
        <is>
          <t>2026/27</t>
        </is>
      </c>
      <c r="C3413" s="233" t="n">
        <v>46141</v>
      </c>
      <c r="D3413" s="232" t="inlineStr">
        <is>
          <t>8510</t>
        </is>
      </c>
      <c r="E3413" s="232" t="inlineStr">
        <is>
          <t>PRORRATEO</t>
        </is>
      </c>
      <c r="F3413" s="232" t="inlineStr">
        <is>
          <t>Santa Catalina</t>
        </is>
      </c>
      <c r="G3413" s="232" t="inlineStr">
        <is>
          <t>W. murcott 21 ha</t>
        </is>
      </c>
      <c r="H3413" s="232" t="inlineStr">
        <is>
          <t>Mandarina</t>
        </is>
      </c>
      <c r="I3413" s="232" t="inlineStr">
        <is>
          <t>W. murcott</t>
        </is>
      </c>
      <c r="J3413" s="232" t="inlineStr">
        <is>
          <t>FLETES</t>
        </is>
      </c>
      <c r="K3413" s="232" t="inlineStr">
        <is>
          <t>FLETE FRUTA</t>
        </is>
      </c>
      <c r="L3413" s="232" t="inlineStr">
        <is>
          <t>[PRORRATEO 14.2% 21.0há/148.3há] O/001645 FLETE</t>
        </is>
      </c>
      <c r="M3413" s="232" t="inlineStr"/>
      <c r="N3413" s="232" t="inlineStr">
        <is>
          <t>.   .   -</t>
        </is>
      </c>
      <c r="O3413" s="232" t="inlineStr">
        <is>
          <t>ABRIL</t>
        </is>
      </c>
      <c r="P3413" s="232" t="n">
        <v>17</v>
      </c>
      <c r="Q3413" s="234" t="n">
        <v>133144</v>
      </c>
      <c r="R3413" s="232" t="inlineStr"/>
      <c r="S3413" s="234" t="n">
        <v>133144</v>
      </c>
      <c r="T3413" s="232" t="inlineStr">
        <is>
          <t>CLP</t>
        </is>
      </c>
      <c r="U3413" s="232" t="inlineStr">
        <is>
          <t>Prorrateo Ha PACKING</t>
        </is>
      </c>
      <c r="V3413" s="232" t="inlineStr">
        <is>
          <t>2026-06-18</t>
        </is>
      </c>
    </row>
    <row r="3414">
      <c r="A3414" s="232" t="inlineStr">
        <is>
          <t>CR-3411</t>
        </is>
      </c>
      <c r="B3414" s="232" t="inlineStr">
        <is>
          <t>2026/27</t>
        </is>
      </c>
      <c r="C3414" s="233" t="n">
        <v>46141</v>
      </c>
      <c r="D3414" s="232" t="inlineStr">
        <is>
          <t>8510</t>
        </is>
      </c>
      <c r="E3414" s="232" t="inlineStr">
        <is>
          <t>PRORRATEO</t>
        </is>
      </c>
      <c r="F3414" s="232" t="inlineStr">
        <is>
          <t>Santa Catalina</t>
        </is>
      </c>
      <c r="G3414" s="232" t="inlineStr">
        <is>
          <t>cambria 4,2 ha</t>
        </is>
      </c>
      <c r="H3414" s="232" t="inlineStr">
        <is>
          <t>Naranjas</t>
        </is>
      </c>
      <c r="I3414" s="232" t="inlineStr">
        <is>
          <t>Cambria</t>
        </is>
      </c>
      <c r="J3414" s="232" t="inlineStr">
        <is>
          <t>FLETES</t>
        </is>
      </c>
      <c r="K3414" s="232" t="inlineStr">
        <is>
          <t>FLETE FRUTA</t>
        </is>
      </c>
      <c r="L3414" s="232" t="inlineStr">
        <is>
          <t>[PRORRATEO 2.8% 4.2há/148.3há] O/001645 FLETE</t>
        </is>
      </c>
      <c r="M3414" s="232" t="inlineStr"/>
      <c r="N3414" s="232" t="inlineStr">
        <is>
          <t>.   .   -</t>
        </is>
      </c>
      <c r="O3414" s="232" t="inlineStr">
        <is>
          <t>ABRIL</t>
        </is>
      </c>
      <c r="P3414" s="232" t="n">
        <v>17</v>
      </c>
      <c r="Q3414" s="234" t="n">
        <v>26629</v>
      </c>
      <c r="R3414" s="232" t="inlineStr"/>
      <c r="S3414" s="234" t="n">
        <v>26629</v>
      </c>
      <c r="T3414" s="232" t="inlineStr">
        <is>
          <t>CLP</t>
        </is>
      </c>
      <c r="U3414" s="232" t="inlineStr">
        <is>
          <t>Prorrateo Ha PACKING</t>
        </is>
      </c>
      <c r="V3414" s="232" t="inlineStr">
        <is>
          <t>2026-06-18</t>
        </is>
      </c>
    </row>
    <row r="3415">
      <c r="A3415" s="232" t="inlineStr">
        <is>
          <t>CR-3412</t>
        </is>
      </c>
      <c r="B3415" s="232" t="inlineStr">
        <is>
          <t>2026/27</t>
        </is>
      </c>
      <c r="C3415" s="233" t="n">
        <v>46141</v>
      </c>
      <c r="D3415" s="232" t="inlineStr">
        <is>
          <t>8510</t>
        </is>
      </c>
      <c r="E3415" s="232" t="inlineStr">
        <is>
          <t>PRORRATEO</t>
        </is>
      </c>
      <c r="F3415" s="232" t="inlineStr">
        <is>
          <t>Santa Catalina</t>
        </is>
      </c>
      <c r="G3415" s="232" t="inlineStr">
        <is>
          <t>eureka 10,6 ha</t>
        </is>
      </c>
      <c r="H3415" s="232" t="inlineStr">
        <is>
          <t>Limon</t>
        </is>
      </c>
      <c r="I3415" s="232" t="inlineStr">
        <is>
          <t>Eureka</t>
        </is>
      </c>
      <c r="J3415" s="232" t="inlineStr">
        <is>
          <t>FLETES</t>
        </is>
      </c>
      <c r="K3415" s="232" t="inlineStr">
        <is>
          <t>FLETE FRUTA</t>
        </is>
      </c>
      <c r="L3415" s="232" t="inlineStr">
        <is>
          <t>[PRORRATEO 7.1% 10.6há/148.3há] O/001645 FLETE</t>
        </is>
      </c>
      <c r="M3415" s="232" t="inlineStr"/>
      <c r="N3415" s="232" t="inlineStr">
        <is>
          <t>.   .   -</t>
        </is>
      </c>
      <c r="O3415" s="232" t="inlineStr">
        <is>
          <t>ABRIL</t>
        </is>
      </c>
      <c r="P3415" s="232" t="n">
        <v>17</v>
      </c>
      <c r="Q3415" s="234" t="n">
        <v>67206</v>
      </c>
      <c r="R3415" s="232" t="inlineStr"/>
      <c r="S3415" s="234" t="n">
        <v>67206</v>
      </c>
      <c r="T3415" s="232" t="inlineStr">
        <is>
          <t>CLP</t>
        </is>
      </c>
      <c r="U3415" s="232" t="inlineStr">
        <is>
          <t>Prorrateo Ha PACKING</t>
        </is>
      </c>
      <c r="V3415" s="232" t="inlineStr">
        <is>
          <t>2026-06-18</t>
        </is>
      </c>
    </row>
    <row r="3416">
      <c r="A3416" s="232" t="inlineStr">
        <is>
          <t>CR-3413</t>
        </is>
      </c>
      <c r="B3416" s="232" t="inlineStr">
        <is>
          <t>2026/27</t>
        </is>
      </c>
      <c r="C3416" s="233" t="n">
        <v>46141</v>
      </c>
      <c r="D3416" s="232" t="inlineStr">
        <is>
          <t>8510</t>
        </is>
      </c>
      <c r="E3416" s="232" t="inlineStr">
        <is>
          <t>PRORRATEO</t>
        </is>
      </c>
      <c r="F3416" s="232" t="inlineStr">
        <is>
          <t>Santa Catalina</t>
        </is>
      </c>
      <c r="G3416" s="232" t="inlineStr">
        <is>
          <t>eureka 14,4 ha</t>
        </is>
      </c>
      <c r="H3416" s="232" t="inlineStr">
        <is>
          <t>Limon</t>
        </is>
      </c>
      <c r="I3416" s="232" t="inlineStr">
        <is>
          <t>Eureka</t>
        </is>
      </c>
      <c r="J3416" s="232" t="inlineStr">
        <is>
          <t>FLETES</t>
        </is>
      </c>
      <c r="K3416" s="232" t="inlineStr">
        <is>
          <t>FLETE FRUTA</t>
        </is>
      </c>
      <c r="L3416" s="232" t="inlineStr">
        <is>
          <t>[PRORRATEO 9.7% 14.4há/148.3há] O/001645 FLETE</t>
        </is>
      </c>
      <c r="M3416" s="232" t="inlineStr"/>
      <c r="N3416" s="232" t="inlineStr">
        <is>
          <t>.   .   -</t>
        </is>
      </c>
      <c r="O3416" s="232" t="inlineStr">
        <is>
          <t>ABRIL</t>
        </is>
      </c>
      <c r="P3416" s="232" t="n">
        <v>17</v>
      </c>
      <c r="Q3416" s="234" t="n">
        <v>91299</v>
      </c>
      <c r="R3416" s="232" t="inlineStr"/>
      <c r="S3416" s="234" t="n">
        <v>91299</v>
      </c>
      <c r="T3416" s="232" t="inlineStr">
        <is>
          <t>CLP</t>
        </is>
      </c>
      <c r="U3416" s="232" t="inlineStr">
        <is>
          <t>Prorrateo Ha PACKING</t>
        </is>
      </c>
      <c r="V3416" s="232" t="inlineStr">
        <is>
          <t>2026-06-18</t>
        </is>
      </c>
    </row>
    <row r="3417">
      <c r="A3417" s="232" t="inlineStr">
        <is>
          <t>CR-3414</t>
        </is>
      </c>
      <c r="B3417" s="232" t="inlineStr">
        <is>
          <t>2026/27</t>
        </is>
      </c>
      <c r="C3417" s="233" t="n">
        <v>46141</v>
      </c>
      <c r="D3417" s="232" t="inlineStr">
        <is>
          <t>8510</t>
        </is>
      </c>
      <c r="E3417" s="232" t="inlineStr">
        <is>
          <t>PRORRATEO</t>
        </is>
      </c>
      <c r="F3417" s="232" t="inlineStr">
        <is>
          <t>Santa Catalina</t>
        </is>
      </c>
      <c r="G3417" s="232" t="inlineStr">
        <is>
          <t>eureka 22,55</t>
        </is>
      </c>
      <c r="H3417" s="232" t="inlineStr">
        <is>
          <t>Limon</t>
        </is>
      </c>
      <c r="I3417" s="232" t="inlineStr">
        <is>
          <t>Eureka</t>
        </is>
      </c>
      <c r="J3417" s="232" t="inlineStr">
        <is>
          <t>FLETES</t>
        </is>
      </c>
      <c r="K3417" s="232" t="inlineStr">
        <is>
          <t>FLETE FRUTA</t>
        </is>
      </c>
      <c r="L3417" s="232" t="inlineStr">
        <is>
          <t>[PRORRATEO 15.2% 22.55há/148.3há] O/001645 FLETE</t>
        </is>
      </c>
      <c r="M3417" s="232" t="inlineStr"/>
      <c r="N3417" s="232" t="inlineStr">
        <is>
          <t>.   .   -</t>
        </is>
      </c>
      <c r="O3417" s="232" t="inlineStr">
        <is>
          <t>ABRIL</t>
        </is>
      </c>
      <c r="P3417" s="232" t="n">
        <v>17</v>
      </c>
      <c r="Q3417" s="234" t="n">
        <v>142972</v>
      </c>
      <c r="R3417" s="232" t="inlineStr"/>
      <c r="S3417" s="234" t="n">
        <v>142972</v>
      </c>
      <c r="T3417" s="232" t="inlineStr">
        <is>
          <t>CLP</t>
        </is>
      </c>
      <c r="U3417" s="232" t="inlineStr">
        <is>
          <t>Prorrateo Ha PACKING</t>
        </is>
      </c>
      <c r="V3417" s="232" t="inlineStr">
        <is>
          <t>2026-06-18</t>
        </is>
      </c>
    </row>
    <row r="3418">
      <c r="A3418" s="232" t="inlineStr">
        <is>
          <t>CR-3415</t>
        </is>
      </c>
      <c r="B3418" s="232" t="inlineStr">
        <is>
          <t>2026/27</t>
        </is>
      </c>
      <c r="C3418" s="233" t="n">
        <v>46141</v>
      </c>
      <c r="D3418" s="232" t="inlineStr">
        <is>
          <t>8510</t>
        </is>
      </c>
      <c r="E3418" s="232" t="inlineStr">
        <is>
          <t>PRORRATEO</t>
        </is>
      </c>
      <c r="F3418" s="232" t="inlineStr">
        <is>
          <t>Santa Catalina</t>
        </is>
      </c>
      <c r="G3418" s="232" t="inlineStr">
        <is>
          <t>form benjamin 1,93 ha</t>
        </is>
      </c>
      <c r="H3418" s="232" t="inlineStr">
        <is>
          <t>Limon</t>
        </is>
      </c>
      <c r="I3418" s="232" t="inlineStr">
        <is>
          <t>Benjamin andes</t>
        </is>
      </c>
      <c r="J3418" s="232" t="inlineStr">
        <is>
          <t>FLETES</t>
        </is>
      </c>
      <c r="K3418" s="232" t="inlineStr">
        <is>
          <t>FLETE FRUTA</t>
        </is>
      </c>
      <c r="L3418" s="232" t="inlineStr">
        <is>
          <t>[PRORRATEO 1.3% 1.93há/148.3há] O/001645 FLETE</t>
        </is>
      </c>
      <c r="M3418" s="232" t="inlineStr"/>
      <c r="N3418" s="232" t="inlineStr">
        <is>
          <t>.   .   -</t>
        </is>
      </c>
      <c r="O3418" s="232" t="inlineStr">
        <is>
          <t>ABRIL</t>
        </is>
      </c>
      <c r="P3418" s="232" t="n">
        <v>17</v>
      </c>
      <c r="Q3418" s="234" t="n">
        <v>12237</v>
      </c>
      <c r="R3418" s="232" t="inlineStr"/>
      <c r="S3418" s="234" t="n">
        <v>12237</v>
      </c>
      <c r="T3418" s="232" t="inlineStr">
        <is>
          <t>CLP</t>
        </is>
      </c>
      <c r="U3418" s="232" t="inlineStr">
        <is>
          <t>Prorrateo Ha PACKING</t>
        </is>
      </c>
      <c r="V3418" s="232" t="inlineStr">
        <is>
          <t>2026-06-18</t>
        </is>
      </c>
    </row>
    <row r="3419">
      <c r="A3419" s="232" t="inlineStr">
        <is>
          <t>CR-3416</t>
        </is>
      </c>
      <c r="B3419" s="232" t="inlineStr">
        <is>
          <t>2026/27</t>
        </is>
      </c>
      <c r="C3419" s="233" t="n">
        <v>46141</v>
      </c>
      <c r="D3419" s="232" t="inlineStr">
        <is>
          <t>8510</t>
        </is>
      </c>
      <c r="E3419" s="232" t="inlineStr">
        <is>
          <t>PRORRATEO</t>
        </is>
      </c>
      <c r="F3419" s="232" t="inlineStr">
        <is>
          <t>Santa Catalina</t>
        </is>
      </c>
      <c r="G3419" s="232" t="inlineStr">
        <is>
          <t>mant eureka 2,5 ha</t>
        </is>
      </c>
      <c r="H3419" s="232" t="inlineStr">
        <is>
          <t>Limon</t>
        </is>
      </c>
      <c r="I3419" s="232" t="inlineStr">
        <is>
          <t>Eureka</t>
        </is>
      </c>
      <c r="J3419" s="232" t="inlineStr">
        <is>
          <t>FLETES</t>
        </is>
      </c>
      <c r="K3419" s="232" t="inlineStr">
        <is>
          <t>FLETE FRUTA</t>
        </is>
      </c>
      <c r="L3419" s="232" t="inlineStr">
        <is>
          <t>[PRORRATEO 1.7% 2.5há/148.3há] O/001645 FLETE</t>
        </is>
      </c>
      <c r="M3419" s="232" t="inlineStr"/>
      <c r="N3419" s="232" t="inlineStr">
        <is>
          <t>.   .   -</t>
        </is>
      </c>
      <c r="O3419" s="232" t="inlineStr">
        <is>
          <t>ABRIL</t>
        </is>
      </c>
      <c r="P3419" s="232" t="n">
        <v>17</v>
      </c>
      <c r="Q3419" s="234" t="n">
        <v>15851</v>
      </c>
      <c r="R3419" s="232" t="inlineStr"/>
      <c r="S3419" s="234" t="n">
        <v>15851</v>
      </c>
      <c r="T3419" s="232" t="inlineStr">
        <is>
          <t>CLP</t>
        </is>
      </c>
      <c r="U3419" s="232" t="inlineStr">
        <is>
          <t>Prorrateo Ha PACKING</t>
        </is>
      </c>
      <c r="V3419" s="232" t="inlineStr">
        <is>
          <t>2026-06-18</t>
        </is>
      </c>
    </row>
    <row r="3420">
      <c r="A3420" s="232" t="inlineStr">
        <is>
          <t>CR-3417</t>
        </is>
      </c>
      <c r="B3420" s="232" t="inlineStr">
        <is>
          <t>2026/27</t>
        </is>
      </c>
      <c r="C3420" s="233" t="n">
        <v>46141</v>
      </c>
      <c r="D3420" s="232" t="inlineStr">
        <is>
          <t>8510</t>
        </is>
      </c>
      <c r="E3420" s="232" t="inlineStr">
        <is>
          <t>PRORRATEO</t>
        </is>
      </c>
      <c r="F3420" s="232" t="inlineStr">
        <is>
          <t>Siberia</t>
        </is>
      </c>
      <c r="G3420" s="232" t="inlineStr">
        <is>
          <t>S. Celebration 7,14</t>
        </is>
      </c>
      <c r="H3420" s="232" t="inlineStr">
        <is>
          <t>Uvas</t>
        </is>
      </c>
      <c r="I3420" s="232" t="inlineStr">
        <is>
          <t>S. celebration</t>
        </is>
      </c>
      <c r="J3420" s="232" t="inlineStr">
        <is>
          <t>FLETES</t>
        </is>
      </c>
      <c r="K3420" s="232" t="inlineStr">
        <is>
          <t>FLETE FRUTA</t>
        </is>
      </c>
      <c r="L3420" s="232" t="inlineStr">
        <is>
          <t>[PRORRATEO 4.8% 7.14há/148.3há] O/001645 FLETE</t>
        </is>
      </c>
      <c r="M3420" s="232" t="inlineStr"/>
      <c r="N3420" s="232" t="inlineStr">
        <is>
          <t>.   .   -</t>
        </is>
      </c>
      <c r="O3420" s="232" t="inlineStr">
        <is>
          <t>ABRIL</t>
        </is>
      </c>
      <c r="P3420" s="232" t="n">
        <v>17</v>
      </c>
      <c r="Q3420" s="234" t="n">
        <v>45269</v>
      </c>
      <c r="R3420" s="232" t="inlineStr"/>
      <c r="S3420" s="234" t="n">
        <v>45269</v>
      </c>
      <c r="T3420" s="232" t="inlineStr">
        <is>
          <t>CLP</t>
        </is>
      </c>
      <c r="U3420" s="232" t="inlineStr">
        <is>
          <t>Prorrateo Ha PACKING</t>
        </is>
      </c>
      <c r="V3420" s="232" t="inlineStr">
        <is>
          <t>2026-06-18</t>
        </is>
      </c>
    </row>
    <row r="3421">
      <c r="A3421" s="232" t="inlineStr">
        <is>
          <t>CR-3418</t>
        </is>
      </c>
      <c r="B3421" s="232" t="inlineStr">
        <is>
          <t>2026/27</t>
        </is>
      </c>
      <c r="C3421" s="233" t="n">
        <v>46141</v>
      </c>
      <c r="D3421" s="232" t="inlineStr">
        <is>
          <t>8510</t>
        </is>
      </c>
      <c r="E3421" s="232" t="inlineStr">
        <is>
          <t>PRORRATEO</t>
        </is>
      </c>
      <c r="F3421" s="232" t="inlineStr">
        <is>
          <t>Siberia</t>
        </is>
      </c>
      <c r="G3421" s="232" t="inlineStr">
        <is>
          <t>Timpson 7,1</t>
        </is>
      </c>
      <c r="H3421" s="232" t="inlineStr">
        <is>
          <t>Uvas</t>
        </is>
      </c>
      <c r="I3421" s="232" t="inlineStr">
        <is>
          <t>Timpson</t>
        </is>
      </c>
      <c r="J3421" s="232" t="inlineStr">
        <is>
          <t>FLETES</t>
        </is>
      </c>
      <c r="K3421" s="232" t="inlineStr">
        <is>
          <t>FLETE FRUTA</t>
        </is>
      </c>
      <c r="L3421" s="232" t="inlineStr">
        <is>
          <t>[PRORRATEO 4.8% 7.1há/148.3há] O/001645 FLETE</t>
        </is>
      </c>
      <c r="M3421" s="232" t="inlineStr"/>
      <c r="N3421" s="232" t="inlineStr">
        <is>
          <t>.   .   -</t>
        </is>
      </c>
      <c r="O3421" s="232" t="inlineStr">
        <is>
          <t>ABRIL</t>
        </is>
      </c>
      <c r="P3421" s="232" t="n">
        <v>17</v>
      </c>
      <c r="Q3421" s="234" t="n">
        <v>45016</v>
      </c>
      <c r="R3421" s="232" t="inlineStr"/>
      <c r="S3421" s="234" t="n">
        <v>45016</v>
      </c>
      <c r="T3421" s="232" t="inlineStr">
        <is>
          <t>CLP</t>
        </is>
      </c>
      <c r="U3421" s="232" t="inlineStr">
        <is>
          <t>Prorrateo Ha PACKING</t>
        </is>
      </c>
      <c r="V3421" s="232" t="inlineStr">
        <is>
          <t>2026-06-18</t>
        </is>
      </c>
    </row>
    <row r="3422">
      <c r="A3422" s="232" t="inlineStr">
        <is>
          <t>CR-3419</t>
        </is>
      </c>
      <c r="B3422" s="232" t="inlineStr">
        <is>
          <t>2026/27</t>
        </is>
      </c>
      <c r="C3422" s="233" t="n">
        <v>46141</v>
      </c>
      <c r="D3422" s="232" t="inlineStr">
        <is>
          <t>8510</t>
        </is>
      </c>
      <c r="E3422" s="232" t="inlineStr">
        <is>
          <t>PRORRATEO</t>
        </is>
      </c>
      <c r="F3422" s="232" t="inlineStr">
        <is>
          <t>Asmara</t>
        </is>
      </c>
      <c r="G3422" s="232" t="inlineStr">
        <is>
          <t>w. murcott 19,8 ha</t>
        </is>
      </c>
      <c r="H3422" s="232" t="inlineStr">
        <is>
          <t>Mandarina</t>
        </is>
      </c>
      <c r="I3422" s="232" t="inlineStr">
        <is>
          <t>W. murcott</t>
        </is>
      </c>
      <c r="J3422" s="232" t="inlineStr">
        <is>
          <t>FLETES</t>
        </is>
      </c>
      <c r="K3422" s="232" t="inlineStr">
        <is>
          <t>FLETE TRASLADO MATERIALES</t>
        </is>
      </c>
      <c r="L3422" s="232" t="inlineStr">
        <is>
          <t>[PRORRATEO 13.4% 19.8há/148.3há] O/001645 FLETE</t>
        </is>
      </c>
      <c r="M3422" s="232" t="inlineStr"/>
      <c r="N3422" s="232" t="inlineStr">
        <is>
          <t>.   .   -</t>
        </is>
      </c>
      <c r="O3422" s="232" t="inlineStr">
        <is>
          <t>ABRIL</t>
        </is>
      </c>
      <c r="P3422" s="232" t="n">
        <v>17</v>
      </c>
      <c r="Q3422" s="234" t="n">
        <v>64104</v>
      </c>
      <c r="R3422" s="232" t="inlineStr"/>
      <c r="S3422" s="234" t="n">
        <v>64104</v>
      </c>
      <c r="T3422" s="232" t="inlineStr">
        <is>
          <t>CLP</t>
        </is>
      </c>
      <c r="U3422" s="232" t="inlineStr">
        <is>
          <t>Prorrateo Ha PACKING</t>
        </is>
      </c>
      <c r="V3422" s="232" t="inlineStr">
        <is>
          <t>2026-06-18</t>
        </is>
      </c>
    </row>
    <row r="3423">
      <c r="A3423" s="232" t="inlineStr">
        <is>
          <t>CR-3420</t>
        </is>
      </c>
      <c r="B3423" s="232" t="inlineStr">
        <is>
          <t>2026/27</t>
        </is>
      </c>
      <c r="C3423" s="233" t="n">
        <v>46141</v>
      </c>
      <c r="D3423" s="232" t="inlineStr">
        <is>
          <t>8510</t>
        </is>
      </c>
      <c r="E3423" s="232" t="inlineStr">
        <is>
          <t>PRORRATEO</t>
        </is>
      </c>
      <c r="F3423" s="232" t="inlineStr">
        <is>
          <t>Asmara</t>
        </is>
      </c>
      <c r="G3423" s="232" t="inlineStr">
        <is>
          <t>w. murcott 4,9 ha</t>
        </is>
      </c>
      <c r="H3423" s="232" t="inlineStr">
        <is>
          <t>Mandarina</t>
        </is>
      </c>
      <c r="I3423" s="232" t="inlineStr">
        <is>
          <t>W. murcott</t>
        </is>
      </c>
      <c r="J3423" s="232" t="inlineStr">
        <is>
          <t>FLETES</t>
        </is>
      </c>
      <c r="K3423" s="232" t="inlineStr">
        <is>
          <t>FLETE TRASLADO MATERIALES</t>
        </is>
      </c>
      <c r="L3423" s="232" t="inlineStr">
        <is>
          <t>[PRORRATEO 3.3% 4.9há/148.3há] O/001645 FLETE</t>
        </is>
      </c>
      <c r="M3423" s="232" t="inlineStr"/>
      <c r="N3423" s="232" t="inlineStr">
        <is>
          <t>.   .   -</t>
        </is>
      </c>
      <c r="O3423" s="232" t="inlineStr">
        <is>
          <t>ABRIL</t>
        </is>
      </c>
      <c r="P3423" s="232" t="n">
        <v>17</v>
      </c>
      <c r="Q3423" s="234" t="n">
        <v>15864</v>
      </c>
      <c r="R3423" s="232" t="inlineStr"/>
      <c r="S3423" s="234" t="n">
        <v>15864</v>
      </c>
      <c r="T3423" s="232" t="inlineStr">
        <is>
          <t>CLP</t>
        </is>
      </c>
      <c r="U3423" s="232" t="inlineStr">
        <is>
          <t>Prorrateo Ha PACKING</t>
        </is>
      </c>
      <c r="V3423" s="232" t="inlineStr">
        <is>
          <t>2026-06-18</t>
        </is>
      </c>
    </row>
    <row r="3424">
      <c r="A3424" s="232" t="inlineStr">
        <is>
          <t>CR-3421</t>
        </is>
      </c>
      <c r="B3424" s="232" t="inlineStr">
        <is>
          <t>2026/27</t>
        </is>
      </c>
      <c r="C3424" s="233" t="n">
        <v>46141</v>
      </c>
      <c r="D3424" s="232" t="inlineStr">
        <is>
          <t>8510</t>
        </is>
      </c>
      <c r="E3424" s="232" t="inlineStr">
        <is>
          <t>PRORRATEO</t>
        </is>
      </c>
      <c r="F3424" s="232" t="inlineStr">
        <is>
          <t>El Molle</t>
        </is>
      </c>
      <c r="G3424" s="232" t="inlineStr">
        <is>
          <t>Wonderful 5,25 ha</t>
        </is>
      </c>
      <c r="H3424" s="232" t="inlineStr">
        <is>
          <t>Granados</t>
        </is>
      </c>
      <c r="I3424" s="232" t="inlineStr">
        <is>
          <t>Wonderfull</t>
        </is>
      </c>
      <c r="J3424" s="232" t="inlineStr">
        <is>
          <t>FLETES</t>
        </is>
      </c>
      <c r="K3424" s="232" t="inlineStr">
        <is>
          <t>FLETE TRASLADO MATERIALES</t>
        </is>
      </c>
      <c r="L3424" s="232" t="inlineStr">
        <is>
          <t>[PRORRATEO 3.5% 5.24há/148.3há] O/001645 FLETE</t>
        </is>
      </c>
      <c r="M3424" s="232" t="inlineStr"/>
      <c r="N3424" s="232" t="inlineStr">
        <is>
          <t>.   .   -</t>
        </is>
      </c>
      <c r="O3424" s="232" t="inlineStr">
        <is>
          <t>ABRIL</t>
        </is>
      </c>
      <c r="P3424" s="232" t="n">
        <v>17</v>
      </c>
      <c r="Q3424" s="234" t="n">
        <v>16965</v>
      </c>
      <c r="R3424" s="232" t="inlineStr"/>
      <c r="S3424" s="234" t="n">
        <v>16965</v>
      </c>
      <c r="T3424" s="232" t="inlineStr">
        <is>
          <t>CLP</t>
        </is>
      </c>
      <c r="U3424" s="232" t="inlineStr">
        <is>
          <t>Prorrateo Ha PACKING</t>
        </is>
      </c>
      <c r="V3424" s="232" t="inlineStr">
        <is>
          <t>2026-06-18</t>
        </is>
      </c>
    </row>
    <row r="3425">
      <c r="A3425" s="232" t="inlineStr">
        <is>
          <t>CR-3422</t>
        </is>
      </c>
      <c r="B3425" s="232" t="inlineStr">
        <is>
          <t>2026/27</t>
        </is>
      </c>
      <c r="C3425" s="233" t="n">
        <v>46141</v>
      </c>
      <c r="D3425" s="232" t="inlineStr">
        <is>
          <t>8510</t>
        </is>
      </c>
      <c r="E3425" s="232" t="inlineStr">
        <is>
          <t>PRORRATEO</t>
        </is>
      </c>
      <c r="F3425" s="232" t="inlineStr">
        <is>
          <t>El Molle</t>
        </is>
      </c>
      <c r="G3425" s="232" t="inlineStr">
        <is>
          <t>arrufatinas 5,74 ha</t>
        </is>
      </c>
      <c r="H3425" s="232" t="inlineStr">
        <is>
          <t>Clementinas</t>
        </is>
      </c>
      <c r="I3425" s="232" t="inlineStr">
        <is>
          <t>Arrufatinas</t>
        </is>
      </c>
      <c r="J3425" s="232" t="inlineStr">
        <is>
          <t>FLETES</t>
        </is>
      </c>
      <c r="K3425" s="232" t="inlineStr">
        <is>
          <t>FLETE TRASLADO MATERIALES</t>
        </is>
      </c>
      <c r="L3425" s="232" t="inlineStr">
        <is>
          <t>[PRORRATEO 3.9% 5.74há/148.3há] O/001645 FLETE</t>
        </is>
      </c>
      <c r="M3425" s="232" t="inlineStr"/>
      <c r="N3425" s="232" t="inlineStr">
        <is>
          <t>.   .   -</t>
        </is>
      </c>
      <c r="O3425" s="232" t="inlineStr">
        <is>
          <t>ABRIL</t>
        </is>
      </c>
      <c r="P3425" s="232" t="n">
        <v>17</v>
      </c>
      <c r="Q3425" s="234" t="n">
        <v>18584</v>
      </c>
      <c r="R3425" s="232" t="inlineStr"/>
      <c r="S3425" s="234" t="n">
        <v>18584</v>
      </c>
      <c r="T3425" s="232" t="inlineStr">
        <is>
          <t>CLP</t>
        </is>
      </c>
      <c r="U3425" s="232" t="inlineStr">
        <is>
          <t>Prorrateo Ha PACKING</t>
        </is>
      </c>
      <c r="V3425" s="232" t="inlineStr">
        <is>
          <t>2026-06-18</t>
        </is>
      </c>
    </row>
    <row r="3426">
      <c r="A3426" s="232" t="inlineStr">
        <is>
          <t>CR-3423</t>
        </is>
      </c>
      <c r="B3426" s="232" t="inlineStr">
        <is>
          <t>2026/27</t>
        </is>
      </c>
      <c r="C3426" s="233" t="n">
        <v>46141</v>
      </c>
      <c r="D3426" s="232" t="inlineStr">
        <is>
          <t>8510</t>
        </is>
      </c>
      <c r="E3426" s="232" t="inlineStr">
        <is>
          <t>PRORRATEO</t>
        </is>
      </c>
      <c r="F3426" s="232" t="inlineStr">
        <is>
          <t>El Molle</t>
        </is>
      </c>
      <c r="G3426" s="232" t="inlineStr">
        <is>
          <t>orogrande 8,11 ha</t>
        </is>
      </c>
      <c r="H3426" s="232" t="inlineStr">
        <is>
          <t>Clementinas</t>
        </is>
      </c>
      <c r="I3426" s="232" t="inlineStr">
        <is>
          <t>Orogrande</t>
        </is>
      </c>
      <c r="J3426" s="232" t="inlineStr">
        <is>
          <t>FLETES</t>
        </is>
      </c>
      <c r="K3426" s="232" t="inlineStr">
        <is>
          <t>FLETE TRASLADO MATERIALES</t>
        </is>
      </c>
      <c r="L3426" s="232" t="inlineStr">
        <is>
          <t>[PRORRATEO 5.5% 8.11há/148.3há] O/001645 FLETE</t>
        </is>
      </c>
      <c r="M3426" s="232" t="inlineStr"/>
      <c r="N3426" s="232" t="inlineStr">
        <is>
          <t>.   .   -</t>
        </is>
      </c>
      <c r="O3426" s="232" t="inlineStr">
        <is>
          <t>ABRIL</t>
        </is>
      </c>
      <c r="P3426" s="232" t="n">
        <v>17</v>
      </c>
      <c r="Q3426" s="234" t="n">
        <v>26257</v>
      </c>
      <c r="R3426" s="232" t="inlineStr"/>
      <c r="S3426" s="234" t="n">
        <v>26257</v>
      </c>
      <c r="T3426" s="232" t="inlineStr">
        <is>
          <t>CLP</t>
        </is>
      </c>
      <c r="U3426" s="232" t="inlineStr">
        <is>
          <t>Prorrateo Ha PACKING</t>
        </is>
      </c>
      <c r="V3426" s="232" t="inlineStr">
        <is>
          <t>2026-06-18</t>
        </is>
      </c>
    </row>
    <row r="3427">
      <c r="A3427" s="232" t="inlineStr">
        <is>
          <t>CR-3424</t>
        </is>
      </c>
      <c r="B3427" s="232" t="inlineStr">
        <is>
          <t>2026/27</t>
        </is>
      </c>
      <c r="C3427" s="233" t="n">
        <v>46141</v>
      </c>
      <c r="D3427" s="232" t="inlineStr">
        <is>
          <t>8510</t>
        </is>
      </c>
      <c r="E3427" s="232" t="inlineStr">
        <is>
          <t>PRORRATEO</t>
        </is>
      </c>
      <c r="F3427" s="232" t="inlineStr">
        <is>
          <t>El Molle</t>
        </is>
      </c>
      <c r="G3427" s="232" t="inlineStr">
        <is>
          <t>oronules 5,35 ha</t>
        </is>
      </c>
      <c r="H3427" s="232" t="inlineStr">
        <is>
          <t>Clementinas</t>
        </is>
      </c>
      <c r="I3427" s="232" t="inlineStr">
        <is>
          <t>Oronules</t>
        </is>
      </c>
      <c r="J3427" s="232" t="inlineStr">
        <is>
          <t>FLETES</t>
        </is>
      </c>
      <c r="K3427" s="232" t="inlineStr">
        <is>
          <t>FLETE TRASLADO MATERIALES</t>
        </is>
      </c>
      <c r="L3427" s="232" t="inlineStr">
        <is>
          <t>[PRORRATEO 3.6% 5.35há/148.3há] O/001645 FLETE</t>
        </is>
      </c>
      <c r="M3427" s="232" t="inlineStr"/>
      <c r="N3427" s="232" t="inlineStr">
        <is>
          <t>.   .   -</t>
        </is>
      </c>
      <c r="O3427" s="232" t="inlineStr">
        <is>
          <t>ABRIL</t>
        </is>
      </c>
      <c r="P3427" s="232" t="n">
        <v>17</v>
      </c>
      <c r="Q3427" s="234" t="n">
        <v>17321</v>
      </c>
      <c r="R3427" s="232" t="inlineStr"/>
      <c r="S3427" s="234" t="n">
        <v>17321</v>
      </c>
      <c r="T3427" s="232" t="inlineStr">
        <is>
          <t>CLP</t>
        </is>
      </c>
      <c r="U3427" s="232" t="inlineStr">
        <is>
          <t>Prorrateo Ha PACKING</t>
        </is>
      </c>
      <c r="V3427" s="232" t="inlineStr">
        <is>
          <t>2026-06-18</t>
        </is>
      </c>
    </row>
    <row r="3428">
      <c r="A3428" s="232" t="inlineStr">
        <is>
          <t>CR-3425</t>
        </is>
      </c>
      <c r="B3428" s="232" t="inlineStr">
        <is>
          <t>2026/27</t>
        </is>
      </c>
      <c r="C3428" s="233" t="n">
        <v>46141</v>
      </c>
      <c r="D3428" s="232" t="inlineStr">
        <is>
          <t>8510</t>
        </is>
      </c>
      <c r="E3428" s="232" t="inlineStr">
        <is>
          <t>PRORRATEO</t>
        </is>
      </c>
      <c r="F3428" s="232" t="inlineStr">
        <is>
          <t>Santa Catalina</t>
        </is>
      </c>
      <c r="G3428" s="232" t="inlineStr">
        <is>
          <t>Fino 49 7,7 ha</t>
        </is>
      </c>
      <c r="H3428" s="232" t="inlineStr">
        <is>
          <t>Limon</t>
        </is>
      </c>
      <c r="I3428" s="232" t="inlineStr">
        <is>
          <t>Fino 49</t>
        </is>
      </c>
      <c r="J3428" s="232" t="inlineStr">
        <is>
          <t>FLETES</t>
        </is>
      </c>
      <c r="K3428" s="232" t="inlineStr">
        <is>
          <t>FLETE TRASLADO MATERIALES</t>
        </is>
      </c>
      <c r="L3428" s="232" t="inlineStr">
        <is>
          <t>[PRORRATEO 5.2% 7.7há/148.3há] O/001645 FLETE</t>
        </is>
      </c>
      <c r="M3428" s="232" t="inlineStr"/>
      <c r="N3428" s="232" t="inlineStr">
        <is>
          <t>.   .   -</t>
        </is>
      </c>
      <c r="O3428" s="232" t="inlineStr">
        <is>
          <t>ABRIL</t>
        </is>
      </c>
      <c r="P3428" s="232" t="n">
        <v>17</v>
      </c>
      <c r="Q3428" s="234" t="n">
        <v>24929</v>
      </c>
      <c r="R3428" s="232" t="inlineStr"/>
      <c r="S3428" s="234" t="n">
        <v>24929</v>
      </c>
      <c r="T3428" s="232" t="inlineStr">
        <is>
          <t>CLP</t>
        </is>
      </c>
      <c r="U3428" s="232" t="inlineStr">
        <is>
          <t>Prorrateo Ha PACKING</t>
        </is>
      </c>
      <c r="V3428" s="232" t="inlineStr">
        <is>
          <t>2026-06-18</t>
        </is>
      </c>
    </row>
    <row r="3429">
      <c r="A3429" s="232" t="inlineStr">
        <is>
          <t>CR-3426</t>
        </is>
      </c>
      <c r="B3429" s="232" t="inlineStr">
        <is>
          <t>2026/27</t>
        </is>
      </c>
      <c r="C3429" s="233" t="n">
        <v>46141</v>
      </c>
      <c r="D3429" s="232" t="inlineStr">
        <is>
          <t>8510</t>
        </is>
      </c>
      <c r="E3429" s="232" t="inlineStr">
        <is>
          <t>PRORRATEO</t>
        </is>
      </c>
      <c r="F3429" s="232" t="inlineStr">
        <is>
          <t>Santa Catalina</t>
        </is>
      </c>
      <c r="G3429" s="232" t="inlineStr">
        <is>
          <t>W. murcott 21 ha</t>
        </is>
      </c>
      <c r="H3429" s="232" t="inlineStr">
        <is>
          <t>Mandarina</t>
        </is>
      </c>
      <c r="I3429" s="232" t="inlineStr">
        <is>
          <t>W. murcott</t>
        </is>
      </c>
      <c r="J3429" s="232" t="inlineStr">
        <is>
          <t>FLETES</t>
        </is>
      </c>
      <c r="K3429" s="232" t="inlineStr">
        <is>
          <t>FLETE TRASLADO MATERIALES</t>
        </is>
      </c>
      <c r="L3429" s="232" t="inlineStr">
        <is>
          <t>[PRORRATEO 14.2% 21.0há/148.3há] O/001645 FLETE</t>
        </is>
      </c>
      <c r="M3429" s="232" t="inlineStr"/>
      <c r="N3429" s="232" t="inlineStr">
        <is>
          <t>.   .   -</t>
        </is>
      </c>
      <c r="O3429" s="232" t="inlineStr">
        <is>
          <t>ABRIL</t>
        </is>
      </c>
      <c r="P3429" s="232" t="n">
        <v>17</v>
      </c>
      <c r="Q3429" s="234" t="n">
        <v>67989</v>
      </c>
      <c r="R3429" s="232" t="inlineStr"/>
      <c r="S3429" s="234" t="n">
        <v>67989</v>
      </c>
      <c r="T3429" s="232" t="inlineStr">
        <is>
          <t>CLP</t>
        </is>
      </c>
      <c r="U3429" s="232" t="inlineStr">
        <is>
          <t>Prorrateo Ha PACKING</t>
        </is>
      </c>
      <c r="V3429" s="232" t="inlineStr">
        <is>
          <t>2026-06-18</t>
        </is>
      </c>
    </row>
    <row r="3430">
      <c r="A3430" s="232" t="inlineStr">
        <is>
          <t>CR-3427</t>
        </is>
      </c>
      <c r="B3430" s="232" t="inlineStr">
        <is>
          <t>2026/27</t>
        </is>
      </c>
      <c r="C3430" s="233" t="n">
        <v>46141</v>
      </c>
      <c r="D3430" s="232" t="inlineStr">
        <is>
          <t>8510</t>
        </is>
      </c>
      <c r="E3430" s="232" t="inlineStr">
        <is>
          <t>PRORRATEO</t>
        </is>
      </c>
      <c r="F3430" s="232" t="inlineStr">
        <is>
          <t>Santa Catalina</t>
        </is>
      </c>
      <c r="G3430" s="232" t="inlineStr">
        <is>
          <t>cambria 4,2 ha</t>
        </is>
      </c>
      <c r="H3430" s="232" t="inlineStr">
        <is>
          <t>Naranjas</t>
        </is>
      </c>
      <c r="I3430" s="232" t="inlineStr">
        <is>
          <t>Cambria</t>
        </is>
      </c>
      <c r="J3430" s="232" t="inlineStr">
        <is>
          <t>FLETES</t>
        </is>
      </c>
      <c r="K3430" s="232" t="inlineStr">
        <is>
          <t>FLETE TRASLADO MATERIALES</t>
        </is>
      </c>
      <c r="L3430" s="232" t="inlineStr">
        <is>
          <t>[PRORRATEO 2.8% 4.2há/148.3há] O/001645 FLETE</t>
        </is>
      </c>
      <c r="M3430" s="232" t="inlineStr"/>
      <c r="N3430" s="232" t="inlineStr">
        <is>
          <t>.   .   -</t>
        </is>
      </c>
      <c r="O3430" s="232" t="inlineStr">
        <is>
          <t>ABRIL</t>
        </is>
      </c>
      <c r="P3430" s="232" t="n">
        <v>17</v>
      </c>
      <c r="Q3430" s="234" t="n">
        <v>13598</v>
      </c>
      <c r="R3430" s="232" t="inlineStr"/>
      <c r="S3430" s="234" t="n">
        <v>13598</v>
      </c>
      <c r="T3430" s="232" t="inlineStr">
        <is>
          <t>CLP</t>
        </is>
      </c>
      <c r="U3430" s="232" t="inlineStr">
        <is>
          <t>Prorrateo Ha PACKING</t>
        </is>
      </c>
      <c r="V3430" s="232" t="inlineStr">
        <is>
          <t>2026-06-18</t>
        </is>
      </c>
    </row>
    <row r="3431">
      <c r="A3431" s="232" t="inlineStr">
        <is>
          <t>CR-3428</t>
        </is>
      </c>
      <c r="B3431" s="232" t="inlineStr">
        <is>
          <t>2026/27</t>
        </is>
      </c>
      <c r="C3431" s="233" t="n">
        <v>46141</v>
      </c>
      <c r="D3431" s="232" t="inlineStr">
        <is>
          <t>8510</t>
        </is>
      </c>
      <c r="E3431" s="232" t="inlineStr">
        <is>
          <t>PRORRATEO</t>
        </is>
      </c>
      <c r="F3431" s="232" t="inlineStr">
        <is>
          <t>Santa Catalina</t>
        </is>
      </c>
      <c r="G3431" s="232" t="inlineStr">
        <is>
          <t>eureka 10,6 ha</t>
        </is>
      </c>
      <c r="H3431" s="232" t="inlineStr">
        <is>
          <t>Limon</t>
        </is>
      </c>
      <c r="I3431" s="232" t="inlineStr">
        <is>
          <t>Eureka</t>
        </is>
      </c>
      <c r="J3431" s="232" t="inlineStr">
        <is>
          <t>FLETES</t>
        </is>
      </c>
      <c r="K3431" s="232" t="inlineStr">
        <is>
          <t>FLETE TRASLADO MATERIALES</t>
        </is>
      </c>
      <c r="L3431" s="232" t="inlineStr">
        <is>
          <t>[PRORRATEO 7.1% 10.6há/148.3há] O/001645 FLETE</t>
        </is>
      </c>
      <c r="M3431" s="232" t="inlineStr"/>
      <c r="N3431" s="232" t="inlineStr">
        <is>
          <t>.   .   -</t>
        </is>
      </c>
      <c r="O3431" s="232" t="inlineStr">
        <is>
          <t>ABRIL</t>
        </is>
      </c>
      <c r="P3431" s="232" t="n">
        <v>17</v>
      </c>
      <c r="Q3431" s="234" t="n">
        <v>34318</v>
      </c>
      <c r="R3431" s="232" t="inlineStr"/>
      <c r="S3431" s="234" t="n">
        <v>34318</v>
      </c>
      <c r="T3431" s="232" t="inlineStr">
        <is>
          <t>CLP</t>
        </is>
      </c>
      <c r="U3431" s="232" t="inlineStr">
        <is>
          <t>Prorrateo Ha PACKING</t>
        </is>
      </c>
      <c r="V3431" s="232" t="inlineStr">
        <is>
          <t>2026-06-18</t>
        </is>
      </c>
    </row>
    <row r="3432">
      <c r="A3432" s="232" t="inlineStr">
        <is>
          <t>CR-3429</t>
        </is>
      </c>
      <c r="B3432" s="232" t="inlineStr">
        <is>
          <t>2026/27</t>
        </is>
      </c>
      <c r="C3432" s="233" t="n">
        <v>46141</v>
      </c>
      <c r="D3432" s="232" t="inlineStr">
        <is>
          <t>8510</t>
        </is>
      </c>
      <c r="E3432" s="232" t="inlineStr">
        <is>
          <t>PRORRATEO</t>
        </is>
      </c>
      <c r="F3432" s="232" t="inlineStr">
        <is>
          <t>Santa Catalina</t>
        </is>
      </c>
      <c r="G3432" s="232" t="inlineStr">
        <is>
          <t>eureka 14,4 ha</t>
        </is>
      </c>
      <c r="H3432" s="232" t="inlineStr">
        <is>
          <t>Limon</t>
        </is>
      </c>
      <c r="I3432" s="232" t="inlineStr">
        <is>
          <t>Eureka</t>
        </is>
      </c>
      <c r="J3432" s="232" t="inlineStr">
        <is>
          <t>FLETES</t>
        </is>
      </c>
      <c r="K3432" s="232" t="inlineStr">
        <is>
          <t>FLETE TRASLADO MATERIALES</t>
        </is>
      </c>
      <c r="L3432" s="232" t="inlineStr">
        <is>
          <t>[PRORRATEO 9.7% 14.4há/148.3há] O/001645 FLETE</t>
        </is>
      </c>
      <c r="M3432" s="232" t="inlineStr"/>
      <c r="N3432" s="232" t="inlineStr">
        <is>
          <t>.   .   -</t>
        </is>
      </c>
      <c r="O3432" s="232" t="inlineStr">
        <is>
          <t>ABRIL</t>
        </is>
      </c>
      <c r="P3432" s="232" t="n">
        <v>17</v>
      </c>
      <c r="Q3432" s="234" t="n">
        <v>46621</v>
      </c>
      <c r="R3432" s="232" t="inlineStr"/>
      <c r="S3432" s="234" t="n">
        <v>46621</v>
      </c>
      <c r="T3432" s="232" t="inlineStr">
        <is>
          <t>CLP</t>
        </is>
      </c>
      <c r="U3432" s="232" t="inlineStr">
        <is>
          <t>Prorrateo Ha PACKING</t>
        </is>
      </c>
      <c r="V3432" s="232" t="inlineStr">
        <is>
          <t>2026-06-18</t>
        </is>
      </c>
    </row>
    <row r="3433">
      <c r="A3433" s="232" t="inlineStr">
        <is>
          <t>CR-3430</t>
        </is>
      </c>
      <c r="B3433" s="232" t="inlineStr">
        <is>
          <t>2026/27</t>
        </is>
      </c>
      <c r="C3433" s="233" t="n">
        <v>46141</v>
      </c>
      <c r="D3433" s="232" t="inlineStr">
        <is>
          <t>8510</t>
        </is>
      </c>
      <c r="E3433" s="232" t="inlineStr">
        <is>
          <t>PRORRATEO</t>
        </is>
      </c>
      <c r="F3433" s="232" t="inlineStr">
        <is>
          <t>Santa Catalina</t>
        </is>
      </c>
      <c r="G3433" s="232" t="inlineStr">
        <is>
          <t>eureka 22,55</t>
        </is>
      </c>
      <c r="H3433" s="232" t="inlineStr">
        <is>
          <t>Limon</t>
        </is>
      </c>
      <c r="I3433" s="232" t="inlineStr">
        <is>
          <t>Eureka</t>
        </is>
      </c>
      <c r="J3433" s="232" t="inlineStr">
        <is>
          <t>FLETES</t>
        </is>
      </c>
      <c r="K3433" s="232" t="inlineStr">
        <is>
          <t>FLETE TRASLADO MATERIALES</t>
        </is>
      </c>
      <c r="L3433" s="232" t="inlineStr">
        <is>
          <t>[PRORRATEO 15.2% 22.55há/148.3há] O/001645 FLETE</t>
        </is>
      </c>
      <c r="M3433" s="232" t="inlineStr"/>
      <c r="N3433" s="232" t="inlineStr">
        <is>
          <t>.   .   -</t>
        </is>
      </c>
      <c r="O3433" s="232" t="inlineStr">
        <is>
          <t>ABRIL</t>
        </is>
      </c>
      <c r="P3433" s="232" t="n">
        <v>17</v>
      </c>
      <c r="Q3433" s="234" t="n">
        <v>73007</v>
      </c>
      <c r="R3433" s="232" t="inlineStr"/>
      <c r="S3433" s="234" t="n">
        <v>73007</v>
      </c>
      <c r="T3433" s="232" t="inlineStr">
        <is>
          <t>CLP</t>
        </is>
      </c>
      <c r="U3433" s="232" t="inlineStr">
        <is>
          <t>Prorrateo Ha PACKING</t>
        </is>
      </c>
      <c r="V3433" s="232" t="inlineStr">
        <is>
          <t>2026-06-18</t>
        </is>
      </c>
    </row>
    <row r="3434">
      <c r="A3434" s="232" t="inlineStr">
        <is>
          <t>CR-3431</t>
        </is>
      </c>
      <c r="B3434" s="232" t="inlineStr">
        <is>
          <t>2026/27</t>
        </is>
      </c>
      <c r="C3434" s="233" t="n">
        <v>46141</v>
      </c>
      <c r="D3434" s="232" t="inlineStr">
        <is>
          <t>8510</t>
        </is>
      </c>
      <c r="E3434" s="232" t="inlineStr">
        <is>
          <t>PRORRATEO</t>
        </is>
      </c>
      <c r="F3434" s="232" t="inlineStr">
        <is>
          <t>Santa Catalina</t>
        </is>
      </c>
      <c r="G3434" s="232" t="inlineStr">
        <is>
          <t>form benjamin 1,93 ha</t>
        </is>
      </c>
      <c r="H3434" s="232" t="inlineStr">
        <is>
          <t>Limon</t>
        </is>
      </c>
      <c r="I3434" s="232" t="inlineStr">
        <is>
          <t>Benjamin andes</t>
        </is>
      </c>
      <c r="J3434" s="232" t="inlineStr">
        <is>
          <t>FLETES</t>
        </is>
      </c>
      <c r="K3434" s="232" t="inlineStr">
        <is>
          <t>FLETE TRASLADO MATERIALES</t>
        </is>
      </c>
      <c r="L3434" s="232" t="inlineStr">
        <is>
          <t>[PRORRATEO 1.3% 1.93há/148.3há] O/001645 FLETE</t>
        </is>
      </c>
      <c r="M3434" s="232" t="inlineStr"/>
      <c r="N3434" s="232" t="inlineStr">
        <is>
          <t>.   .   -</t>
        </is>
      </c>
      <c r="O3434" s="232" t="inlineStr">
        <is>
          <t>ABRIL</t>
        </is>
      </c>
      <c r="P3434" s="232" t="n">
        <v>17</v>
      </c>
      <c r="Q3434" s="234" t="n">
        <v>6248</v>
      </c>
      <c r="R3434" s="232" t="inlineStr"/>
      <c r="S3434" s="234" t="n">
        <v>6248</v>
      </c>
      <c r="T3434" s="232" t="inlineStr">
        <is>
          <t>CLP</t>
        </is>
      </c>
      <c r="U3434" s="232" t="inlineStr">
        <is>
          <t>Prorrateo Ha PACKING</t>
        </is>
      </c>
      <c r="V3434" s="232" t="inlineStr">
        <is>
          <t>2026-06-18</t>
        </is>
      </c>
    </row>
    <row r="3435">
      <c r="A3435" s="232" t="inlineStr">
        <is>
          <t>CR-3432</t>
        </is>
      </c>
      <c r="B3435" s="232" t="inlineStr">
        <is>
          <t>2026/27</t>
        </is>
      </c>
      <c r="C3435" s="233" t="n">
        <v>46141</v>
      </c>
      <c r="D3435" s="232" t="inlineStr">
        <is>
          <t>8510</t>
        </is>
      </c>
      <c r="E3435" s="232" t="inlineStr">
        <is>
          <t>PRORRATEO</t>
        </is>
      </c>
      <c r="F3435" s="232" t="inlineStr">
        <is>
          <t>Santa Catalina</t>
        </is>
      </c>
      <c r="G3435" s="232" t="inlineStr">
        <is>
          <t>mant eureka 2,5 ha</t>
        </is>
      </c>
      <c r="H3435" s="232" t="inlineStr">
        <is>
          <t>Limon</t>
        </is>
      </c>
      <c r="I3435" s="232" t="inlineStr">
        <is>
          <t>Eureka</t>
        </is>
      </c>
      <c r="J3435" s="232" t="inlineStr">
        <is>
          <t>FLETES</t>
        </is>
      </c>
      <c r="K3435" s="232" t="inlineStr">
        <is>
          <t>FLETE TRASLADO MATERIALES</t>
        </is>
      </c>
      <c r="L3435" s="232" t="inlineStr">
        <is>
          <t>[PRORRATEO 1.7% 2.5há/148.3há] O/001645 FLETE</t>
        </is>
      </c>
      <c r="M3435" s="232" t="inlineStr"/>
      <c r="N3435" s="232" t="inlineStr">
        <is>
          <t>.   .   -</t>
        </is>
      </c>
      <c r="O3435" s="232" t="inlineStr">
        <is>
          <t>ABRIL</t>
        </is>
      </c>
      <c r="P3435" s="232" t="n">
        <v>17</v>
      </c>
      <c r="Q3435" s="234" t="n">
        <v>8094</v>
      </c>
      <c r="R3435" s="232" t="inlineStr"/>
      <c r="S3435" s="234" t="n">
        <v>8094</v>
      </c>
      <c r="T3435" s="232" t="inlineStr">
        <is>
          <t>CLP</t>
        </is>
      </c>
      <c r="U3435" s="232" t="inlineStr">
        <is>
          <t>Prorrateo Ha PACKING</t>
        </is>
      </c>
      <c r="V3435" s="232" t="inlineStr">
        <is>
          <t>2026-06-18</t>
        </is>
      </c>
    </row>
    <row r="3436">
      <c r="A3436" s="232" t="inlineStr">
        <is>
          <t>CR-3433</t>
        </is>
      </c>
      <c r="B3436" s="232" t="inlineStr">
        <is>
          <t>2026/27</t>
        </is>
      </c>
      <c r="C3436" s="233" t="n">
        <v>46141</v>
      </c>
      <c r="D3436" s="232" t="inlineStr">
        <is>
          <t>8510</t>
        </is>
      </c>
      <c r="E3436" s="232" t="inlineStr">
        <is>
          <t>PRORRATEO</t>
        </is>
      </c>
      <c r="F3436" s="232" t="inlineStr">
        <is>
          <t>Siberia</t>
        </is>
      </c>
      <c r="G3436" s="232" t="inlineStr">
        <is>
          <t>S. Celebration 7,14</t>
        </is>
      </c>
      <c r="H3436" s="232" t="inlineStr">
        <is>
          <t>Uvas</t>
        </is>
      </c>
      <c r="I3436" s="232" t="inlineStr">
        <is>
          <t>S. celebration</t>
        </is>
      </c>
      <c r="J3436" s="232" t="inlineStr">
        <is>
          <t>FLETES</t>
        </is>
      </c>
      <c r="K3436" s="232" t="inlineStr">
        <is>
          <t>FLETE TRASLADO MATERIALES</t>
        </is>
      </c>
      <c r="L3436" s="232" t="inlineStr">
        <is>
          <t>[PRORRATEO 4.8% 7.14há/148.3há] O/001645 FLETE</t>
        </is>
      </c>
      <c r="M3436" s="232" t="inlineStr"/>
      <c r="N3436" s="232" t="inlineStr">
        <is>
          <t>.   .   -</t>
        </is>
      </c>
      <c r="O3436" s="232" t="inlineStr">
        <is>
          <t>ABRIL</t>
        </is>
      </c>
      <c r="P3436" s="232" t="n">
        <v>17</v>
      </c>
      <c r="Q3436" s="234" t="n">
        <v>23116</v>
      </c>
      <c r="R3436" s="232" t="inlineStr"/>
      <c r="S3436" s="234" t="n">
        <v>23116</v>
      </c>
      <c r="T3436" s="232" t="inlineStr">
        <is>
          <t>CLP</t>
        </is>
      </c>
      <c r="U3436" s="232" t="inlineStr">
        <is>
          <t>Prorrateo Ha PACKING</t>
        </is>
      </c>
      <c r="V3436" s="232" t="inlineStr">
        <is>
          <t>2026-06-18</t>
        </is>
      </c>
    </row>
    <row r="3437">
      <c r="A3437" s="232" t="inlineStr">
        <is>
          <t>CR-3434</t>
        </is>
      </c>
      <c r="B3437" s="232" t="inlineStr">
        <is>
          <t>2026/27</t>
        </is>
      </c>
      <c r="C3437" s="233" t="n">
        <v>46141</v>
      </c>
      <c r="D3437" s="232" t="inlineStr">
        <is>
          <t>8510</t>
        </is>
      </c>
      <c r="E3437" s="232" t="inlineStr">
        <is>
          <t>PRORRATEO</t>
        </is>
      </c>
      <c r="F3437" s="232" t="inlineStr">
        <is>
          <t>Siberia</t>
        </is>
      </c>
      <c r="G3437" s="232" t="inlineStr">
        <is>
          <t>Timpson 7,1</t>
        </is>
      </c>
      <c r="H3437" s="232" t="inlineStr">
        <is>
          <t>Uvas</t>
        </is>
      </c>
      <c r="I3437" s="232" t="inlineStr">
        <is>
          <t>Timpson</t>
        </is>
      </c>
      <c r="J3437" s="232" t="inlineStr">
        <is>
          <t>FLETES</t>
        </is>
      </c>
      <c r="K3437" s="232" t="inlineStr">
        <is>
          <t>FLETE TRASLADO MATERIALES</t>
        </is>
      </c>
      <c r="L3437" s="232" t="inlineStr">
        <is>
          <t>[PRORRATEO 4.8% 7.1há/148.3há] O/001645 FLETE</t>
        </is>
      </c>
      <c r="M3437" s="232" t="inlineStr"/>
      <c r="N3437" s="232" t="inlineStr">
        <is>
          <t>.   .   -</t>
        </is>
      </c>
      <c r="O3437" s="232" t="inlineStr">
        <is>
          <t>ABRIL</t>
        </is>
      </c>
      <c r="P3437" s="232" t="n">
        <v>17</v>
      </c>
      <c r="Q3437" s="234" t="n">
        <v>22987</v>
      </c>
      <c r="R3437" s="232" t="inlineStr"/>
      <c r="S3437" s="234" t="n">
        <v>22987</v>
      </c>
      <c r="T3437" s="232" t="inlineStr">
        <is>
          <t>CLP</t>
        </is>
      </c>
      <c r="U3437" s="232" t="inlineStr">
        <is>
          <t>Prorrateo Ha PACKING</t>
        </is>
      </c>
      <c r="V3437" s="232" t="inlineStr">
        <is>
          <t>2026-06-18</t>
        </is>
      </c>
    </row>
    <row r="3438">
      <c r="A3438" s="232" t="inlineStr">
        <is>
          <t>CR-3435</t>
        </is>
      </c>
      <c r="B3438" s="232" t="inlineStr">
        <is>
          <t>2026/27</t>
        </is>
      </c>
      <c r="C3438" s="233" t="n">
        <v>46142</v>
      </c>
      <c r="D3438" s="232" t="inlineStr">
        <is>
          <t>4228</t>
        </is>
      </c>
      <c r="E3438" s="232" t="inlineStr">
        <is>
          <t>PRORRATEO</t>
        </is>
      </c>
      <c r="F3438" s="232" t="inlineStr">
        <is>
          <t>Asmara</t>
        </is>
      </c>
      <c r="G3438" s="232" t="inlineStr">
        <is>
          <t>w. murcott 19,8 ha</t>
        </is>
      </c>
      <c r="H3438" s="232" t="inlineStr">
        <is>
          <t>Mandarina</t>
        </is>
      </c>
      <c r="I3438" s="232" t="inlineStr">
        <is>
          <t>W. murcott</t>
        </is>
      </c>
      <c r="J3438" s="232" t="inlineStr">
        <is>
          <t>ARRIENDOS</t>
        </is>
      </c>
      <c r="K3438" s="232" t="inlineStr">
        <is>
          <t>ARRIENDO GRUA HORQUILLA</t>
        </is>
      </c>
      <c r="L3438" s="232" t="inlineStr">
        <is>
          <t>[PRORRATEO 13.4% 19.8há/148.3há] O/001649 ARRIENDO G</t>
        </is>
      </c>
      <c r="M3438" s="232" t="inlineStr"/>
      <c r="N3438" s="232" t="inlineStr">
        <is>
          <t>.   .   -</t>
        </is>
      </c>
      <c r="O3438" s="232" t="inlineStr">
        <is>
          <t>ABRIL</t>
        </is>
      </c>
      <c r="P3438" s="232" t="n">
        <v>17</v>
      </c>
      <c r="Q3438" s="234" t="n">
        <v>82801</v>
      </c>
      <c r="R3438" s="232" t="inlineStr"/>
      <c r="S3438" s="234" t="n">
        <v>82801</v>
      </c>
      <c r="T3438" s="232" t="inlineStr">
        <is>
          <t>CLP</t>
        </is>
      </c>
      <c r="U3438" s="232" t="inlineStr">
        <is>
          <t>Prorrateo Ha PACKING</t>
        </is>
      </c>
      <c r="V3438" s="232" t="inlineStr">
        <is>
          <t>2026-06-18</t>
        </is>
      </c>
    </row>
    <row r="3439">
      <c r="A3439" s="232" t="inlineStr">
        <is>
          <t>CR-3436</t>
        </is>
      </c>
      <c r="B3439" s="232" t="inlineStr">
        <is>
          <t>2026/27</t>
        </is>
      </c>
      <c r="C3439" s="233" t="n">
        <v>46142</v>
      </c>
      <c r="D3439" s="232" t="inlineStr">
        <is>
          <t>4228</t>
        </is>
      </c>
      <c r="E3439" s="232" t="inlineStr">
        <is>
          <t>PRORRATEO</t>
        </is>
      </c>
      <c r="F3439" s="232" t="inlineStr">
        <is>
          <t>Asmara</t>
        </is>
      </c>
      <c r="G3439" s="232" t="inlineStr">
        <is>
          <t>w. murcott 4,9 ha</t>
        </is>
      </c>
      <c r="H3439" s="232" t="inlineStr">
        <is>
          <t>Mandarina</t>
        </is>
      </c>
      <c r="I3439" s="232" t="inlineStr">
        <is>
          <t>W. murcott</t>
        </is>
      </c>
      <c r="J3439" s="232" t="inlineStr">
        <is>
          <t>ARRIENDOS</t>
        </is>
      </c>
      <c r="K3439" s="232" t="inlineStr">
        <is>
          <t>ARRIENDO GRUA HORQUILLA</t>
        </is>
      </c>
      <c r="L3439" s="232" t="inlineStr">
        <is>
          <t>[PRORRATEO 3.3% 4.9há/148.3há] O/001649 ARRIENDO G</t>
        </is>
      </c>
      <c r="M3439" s="232" t="inlineStr"/>
      <c r="N3439" s="232" t="inlineStr">
        <is>
          <t>.   .   -</t>
        </is>
      </c>
      <c r="O3439" s="232" t="inlineStr">
        <is>
          <t>ABRIL</t>
        </is>
      </c>
      <c r="P3439" s="232" t="n">
        <v>17</v>
      </c>
      <c r="Q3439" s="234" t="n">
        <v>20491</v>
      </c>
      <c r="R3439" s="232" t="inlineStr"/>
      <c r="S3439" s="234" t="n">
        <v>20491</v>
      </c>
      <c r="T3439" s="232" t="inlineStr">
        <is>
          <t>CLP</t>
        </is>
      </c>
      <c r="U3439" s="232" t="inlineStr">
        <is>
          <t>Prorrateo Ha PACKING</t>
        </is>
      </c>
      <c r="V3439" s="232" t="inlineStr">
        <is>
          <t>2026-06-18</t>
        </is>
      </c>
    </row>
    <row r="3440">
      <c r="A3440" s="232" t="inlineStr">
        <is>
          <t>CR-3437</t>
        </is>
      </c>
      <c r="B3440" s="232" t="inlineStr">
        <is>
          <t>2026/27</t>
        </is>
      </c>
      <c r="C3440" s="233" t="n">
        <v>46142</v>
      </c>
      <c r="D3440" s="232" t="inlineStr">
        <is>
          <t>4228</t>
        </is>
      </c>
      <c r="E3440" s="232" t="inlineStr">
        <is>
          <t>PRORRATEO</t>
        </is>
      </c>
      <c r="F3440" s="232" t="inlineStr">
        <is>
          <t>El Molle</t>
        </is>
      </c>
      <c r="G3440" s="232" t="inlineStr">
        <is>
          <t>Wonderful 5,25 ha</t>
        </is>
      </c>
      <c r="H3440" s="232" t="inlineStr">
        <is>
          <t>Granados</t>
        </is>
      </c>
      <c r="I3440" s="232" t="inlineStr">
        <is>
          <t>Wonderfull</t>
        </is>
      </c>
      <c r="J3440" s="232" t="inlineStr">
        <is>
          <t>ARRIENDOS</t>
        </is>
      </c>
      <c r="K3440" s="232" t="inlineStr">
        <is>
          <t>ARRIENDO GRUA HORQUILLA</t>
        </is>
      </c>
      <c r="L3440" s="232" t="inlineStr">
        <is>
          <t>[PRORRATEO 3.5% 5.24há/148.3há] O/001649 ARRIENDO G</t>
        </is>
      </c>
      <c r="M3440" s="232" t="inlineStr"/>
      <c r="N3440" s="232" t="inlineStr">
        <is>
          <t>.   .   -</t>
        </is>
      </c>
      <c r="O3440" s="232" t="inlineStr">
        <is>
          <t>ABRIL</t>
        </is>
      </c>
      <c r="P3440" s="232" t="n">
        <v>17</v>
      </c>
      <c r="Q3440" s="234" t="n">
        <v>21913</v>
      </c>
      <c r="R3440" s="232" t="inlineStr"/>
      <c r="S3440" s="234" t="n">
        <v>21913</v>
      </c>
      <c r="T3440" s="232" t="inlineStr">
        <is>
          <t>CLP</t>
        </is>
      </c>
      <c r="U3440" s="232" t="inlineStr">
        <is>
          <t>Prorrateo Ha PACKING</t>
        </is>
      </c>
      <c r="V3440" s="232" t="inlineStr">
        <is>
          <t>2026-06-18</t>
        </is>
      </c>
    </row>
    <row r="3441">
      <c r="A3441" s="232" t="inlineStr">
        <is>
          <t>CR-3438</t>
        </is>
      </c>
      <c r="B3441" s="232" t="inlineStr">
        <is>
          <t>2026/27</t>
        </is>
      </c>
      <c r="C3441" s="233" t="n">
        <v>46142</v>
      </c>
      <c r="D3441" s="232" t="inlineStr">
        <is>
          <t>4228</t>
        </is>
      </c>
      <c r="E3441" s="232" t="inlineStr">
        <is>
          <t>PRORRATEO</t>
        </is>
      </c>
      <c r="F3441" s="232" t="inlineStr">
        <is>
          <t>El Molle</t>
        </is>
      </c>
      <c r="G3441" s="232" t="inlineStr">
        <is>
          <t>arrufatinas 5,74 ha</t>
        </is>
      </c>
      <c r="H3441" s="232" t="inlineStr">
        <is>
          <t>Clementinas</t>
        </is>
      </c>
      <c r="I3441" s="232" t="inlineStr">
        <is>
          <t>Arrufatinas</t>
        </is>
      </c>
      <c r="J3441" s="232" t="inlineStr">
        <is>
          <t>ARRIENDOS</t>
        </is>
      </c>
      <c r="K3441" s="232" t="inlineStr">
        <is>
          <t>ARRIENDO GRUA HORQUILLA</t>
        </is>
      </c>
      <c r="L3441" s="232" t="inlineStr">
        <is>
          <t>[PRORRATEO 3.9% 5.74há/148.3há] O/001649 ARRIENDO G</t>
        </is>
      </c>
      <c r="M3441" s="232" t="inlineStr"/>
      <c r="N3441" s="232" t="inlineStr">
        <is>
          <t>.   .   -</t>
        </is>
      </c>
      <c r="O3441" s="232" t="inlineStr">
        <is>
          <t>ABRIL</t>
        </is>
      </c>
      <c r="P3441" s="232" t="n">
        <v>17</v>
      </c>
      <c r="Q3441" s="234" t="n">
        <v>24004</v>
      </c>
      <c r="R3441" s="232" t="inlineStr"/>
      <c r="S3441" s="234" t="n">
        <v>24004</v>
      </c>
      <c r="T3441" s="232" t="inlineStr">
        <is>
          <t>CLP</t>
        </is>
      </c>
      <c r="U3441" s="232" t="inlineStr">
        <is>
          <t>Prorrateo Ha PACKING</t>
        </is>
      </c>
      <c r="V3441" s="232" t="inlineStr">
        <is>
          <t>2026-06-18</t>
        </is>
      </c>
    </row>
    <row r="3442">
      <c r="A3442" s="232" t="inlineStr">
        <is>
          <t>CR-3439</t>
        </is>
      </c>
      <c r="B3442" s="232" t="inlineStr">
        <is>
          <t>2026/27</t>
        </is>
      </c>
      <c r="C3442" s="233" t="n">
        <v>46142</v>
      </c>
      <c r="D3442" s="232" t="inlineStr">
        <is>
          <t>4228</t>
        </is>
      </c>
      <c r="E3442" s="232" t="inlineStr">
        <is>
          <t>PRORRATEO</t>
        </is>
      </c>
      <c r="F3442" s="232" t="inlineStr">
        <is>
          <t>El Molle</t>
        </is>
      </c>
      <c r="G3442" s="232" t="inlineStr">
        <is>
          <t>orogrande 8,11 ha</t>
        </is>
      </c>
      <c r="H3442" s="232" t="inlineStr">
        <is>
          <t>Clementinas</t>
        </is>
      </c>
      <c r="I3442" s="232" t="inlineStr">
        <is>
          <t>Orogrande</t>
        </is>
      </c>
      <c r="J3442" s="232" t="inlineStr">
        <is>
          <t>ARRIENDOS</t>
        </is>
      </c>
      <c r="K3442" s="232" t="inlineStr">
        <is>
          <t>ARRIENDO GRUA HORQUILLA</t>
        </is>
      </c>
      <c r="L3442" s="232" t="inlineStr">
        <is>
          <t>[PRORRATEO 5.5% 8.11há/148.3há] O/001649 ARRIENDO G</t>
        </is>
      </c>
      <c r="M3442" s="232" t="inlineStr"/>
      <c r="N3442" s="232" t="inlineStr">
        <is>
          <t>.   .   -</t>
        </is>
      </c>
      <c r="O3442" s="232" t="inlineStr">
        <is>
          <t>ABRIL</t>
        </is>
      </c>
      <c r="P3442" s="232" t="n">
        <v>17</v>
      </c>
      <c r="Q3442" s="234" t="n">
        <v>33915</v>
      </c>
      <c r="R3442" s="232" t="inlineStr"/>
      <c r="S3442" s="234" t="n">
        <v>33915</v>
      </c>
      <c r="T3442" s="232" t="inlineStr">
        <is>
          <t>CLP</t>
        </is>
      </c>
      <c r="U3442" s="232" t="inlineStr">
        <is>
          <t>Prorrateo Ha PACKING</t>
        </is>
      </c>
      <c r="V3442" s="232" t="inlineStr">
        <is>
          <t>2026-06-18</t>
        </is>
      </c>
    </row>
    <row r="3443">
      <c r="A3443" s="232" t="inlineStr">
        <is>
          <t>CR-3440</t>
        </is>
      </c>
      <c r="B3443" s="232" t="inlineStr">
        <is>
          <t>2026/27</t>
        </is>
      </c>
      <c r="C3443" s="233" t="n">
        <v>46142</v>
      </c>
      <c r="D3443" s="232" t="inlineStr">
        <is>
          <t>4228</t>
        </is>
      </c>
      <c r="E3443" s="232" t="inlineStr">
        <is>
          <t>PRORRATEO</t>
        </is>
      </c>
      <c r="F3443" s="232" t="inlineStr">
        <is>
          <t>El Molle</t>
        </is>
      </c>
      <c r="G3443" s="232" t="inlineStr">
        <is>
          <t>oronules 5,35 ha</t>
        </is>
      </c>
      <c r="H3443" s="232" t="inlineStr">
        <is>
          <t>Clementinas</t>
        </is>
      </c>
      <c r="I3443" s="232" t="inlineStr">
        <is>
          <t>Oronules</t>
        </is>
      </c>
      <c r="J3443" s="232" t="inlineStr">
        <is>
          <t>ARRIENDOS</t>
        </is>
      </c>
      <c r="K3443" s="232" t="inlineStr">
        <is>
          <t>ARRIENDO GRUA HORQUILLA</t>
        </is>
      </c>
      <c r="L3443" s="232" t="inlineStr">
        <is>
          <t>[PRORRATEO 3.6% 5.35há/148.3há] O/001649 ARRIENDO G</t>
        </is>
      </c>
      <c r="M3443" s="232" t="inlineStr"/>
      <c r="N3443" s="232" t="inlineStr">
        <is>
          <t>.   .   -</t>
        </is>
      </c>
      <c r="O3443" s="232" t="inlineStr">
        <is>
          <t>ABRIL</t>
        </is>
      </c>
      <c r="P3443" s="232" t="n">
        <v>17</v>
      </c>
      <c r="Q3443" s="234" t="n">
        <v>22373</v>
      </c>
      <c r="R3443" s="232" t="inlineStr"/>
      <c r="S3443" s="234" t="n">
        <v>22373</v>
      </c>
      <c r="T3443" s="232" t="inlineStr">
        <is>
          <t>CLP</t>
        </is>
      </c>
      <c r="U3443" s="232" t="inlineStr">
        <is>
          <t>Prorrateo Ha PACKING</t>
        </is>
      </c>
      <c r="V3443" s="232" t="inlineStr">
        <is>
          <t>2026-06-18</t>
        </is>
      </c>
    </row>
    <row r="3444">
      <c r="A3444" s="232" t="inlineStr">
        <is>
          <t>CR-3441</t>
        </is>
      </c>
      <c r="B3444" s="232" t="inlineStr">
        <is>
          <t>2026/27</t>
        </is>
      </c>
      <c r="C3444" s="233" t="n">
        <v>46142</v>
      </c>
      <c r="D3444" s="232" t="inlineStr">
        <is>
          <t>4228</t>
        </is>
      </c>
      <c r="E3444" s="232" t="inlineStr">
        <is>
          <t>PRORRATEO</t>
        </is>
      </c>
      <c r="F3444" s="232" t="inlineStr">
        <is>
          <t>Santa Catalina</t>
        </is>
      </c>
      <c r="G3444" s="232" t="inlineStr">
        <is>
          <t>Fino 49 7,7 ha</t>
        </is>
      </c>
      <c r="H3444" s="232" t="inlineStr">
        <is>
          <t>Limon</t>
        </is>
      </c>
      <c r="I3444" s="232" t="inlineStr">
        <is>
          <t>Fino 49</t>
        </is>
      </c>
      <c r="J3444" s="232" t="inlineStr">
        <is>
          <t>ARRIENDOS</t>
        </is>
      </c>
      <c r="K3444" s="232" t="inlineStr">
        <is>
          <t>ARRIENDO GRUA HORQUILLA</t>
        </is>
      </c>
      <c r="L3444" s="232" t="inlineStr">
        <is>
          <t>[PRORRATEO 5.2% 7.7há/148.3há] O/001649 ARRIENDO G</t>
        </is>
      </c>
      <c r="M3444" s="232" t="inlineStr"/>
      <c r="N3444" s="232" t="inlineStr">
        <is>
          <t>.   .   -</t>
        </is>
      </c>
      <c r="O3444" s="232" t="inlineStr">
        <is>
          <t>ABRIL</t>
        </is>
      </c>
      <c r="P3444" s="232" t="n">
        <v>17</v>
      </c>
      <c r="Q3444" s="234" t="n">
        <v>32200</v>
      </c>
      <c r="R3444" s="232" t="inlineStr"/>
      <c r="S3444" s="234" t="n">
        <v>32200</v>
      </c>
      <c r="T3444" s="232" t="inlineStr">
        <is>
          <t>CLP</t>
        </is>
      </c>
      <c r="U3444" s="232" t="inlineStr">
        <is>
          <t>Prorrateo Ha PACKING</t>
        </is>
      </c>
      <c r="V3444" s="232" t="inlineStr">
        <is>
          <t>2026-06-18</t>
        </is>
      </c>
    </row>
    <row r="3445">
      <c r="A3445" s="232" t="inlineStr">
        <is>
          <t>CR-3442</t>
        </is>
      </c>
      <c r="B3445" s="232" t="inlineStr">
        <is>
          <t>2026/27</t>
        </is>
      </c>
      <c r="C3445" s="233" t="n">
        <v>46142</v>
      </c>
      <c r="D3445" s="232" t="inlineStr">
        <is>
          <t>4228</t>
        </is>
      </c>
      <c r="E3445" s="232" t="inlineStr">
        <is>
          <t>PRORRATEO</t>
        </is>
      </c>
      <c r="F3445" s="232" t="inlineStr">
        <is>
          <t>Santa Catalina</t>
        </is>
      </c>
      <c r="G3445" s="232" t="inlineStr">
        <is>
          <t>W. murcott 21 ha</t>
        </is>
      </c>
      <c r="H3445" s="232" t="inlineStr">
        <is>
          <t>Mandarina</t>
        </is>
      </c>
      <c r="I3445" s="232" t="inlineStr">
        <is>
          <t>W. murcott</t>
        </is>
      </c>
      <c r="J3445" s="232" t="inlineStr">
        <is>
          <t>ARRIENDOS</t>
        </is>
      </c>
      <c r="K3445" s="232" t="inlineStr">
        <is>
          <t>ARRIENDO GRUA HORQUILLA</t>
        </is>
      </c>
      <c r="L3445" s="232" t="inlineStr">
        <is>
          <t>[PRORRATEO 14.2% 21.0há/148.3há] O/001649 ARRIENDO G</t>
        </is>
      </c>
      <c r="M3445" s="232" t="inlineStr"/>
      <c r="N3445" s="232" t="inlineStr">
        <is>
          <t>.   .   -</t>
        </is>
      </c>
      <c r="O3445" s="232" t="inlineStr">
        <is>
          <t>ABRIL</t>
        </is>
      </c>
      <c r="P3445" s="232" t="n">
        <v>17</v>
      </c>
      <c r="Q3445" s="234" t="n">
        <v>87819</v>
      </c>
      <c r="R3445" s="232" t="inlineStr"/>
      <c r="S3445" s="234" t="n">
        <v>87819</v>
      </c>
      <c r="T3445" s="232" t="inlineStr">
        <is>
          <t>CLP</t>
        </is>
      </c>
      <c r="U3445" s="232" t="inlineStr">
        <is>
          <t>Prorrateo Ha PACKING</t>
        </is>
      </c>
      <c r="V3445" s="232" t="inlineStr">
        <is>
          <t>2026-06-18</t>
        </is>
      </c>
    </row>
    <row r="3446">
      <c r="A3446" s="232" t="inlineStr">
        <is>
          <t>CR-3443</t>
        </is>
      </c>
      <c r="B3446" s="232" t="inlineStr">
        <is>
          <t>2026/27</t>
        </is>
      </c>
      <c r="C3446" s="233" t="n">
        <v>46142</v>
      </c>
      <c r="D3446" s="232" t="inlineStr">
        <is>
          <t>4228</t>
        </is>
      </c>
      <c r="E3446" s="232" t="inlineStr">
        <is>
          <t>PRORRATEO</t>
        </is>
      </c>
      <c r="F3446" s="232" t="inlineStr">
        <is>
          <t>Santa Catalina</t>
        </is>
      </c>
      <c r="G3446" s="232" t="inlineStr">
        <is>
          <t>cambria 4,2 ha</t>
        </is>
      </c>
      <c r="H3446" s="232" t="inlineStr">
        <is>
          <t>Naranjas</t>
        </is>
      </c>
      <c r="I3446" s="232" t="inlineStr">
        <is>
          <t>Cambria</t>
        </is>
      </c>
      <c r="J3446" s="232" t="inlineStr">
        <is>
          <t>ARRIENDOS</t>
        </is>
      </c>
      <c r="K3446" s="232" t="inlineStr">
        <is>
          <t>ARRIENDO GRUA HORQUILLA</t>
        </is>
      </c>
      <c r="L3446" s="232" t="inlineStr">
        <is>
          <t>[PRORRATEO 2.8% 4.2há/148.3há] O/001649 ARRIENDO G</t>
        </is>
      </c>
      <c r="M3446" s="232" t="inlineStr"/>
      <c r="N3446" s="232" t="inlineStr">
        <is>
          <t>.   .   -</t>
        </is>
      </c>
      <c r="O3446" s="232" t="inlineStr">
        <is>
          <t>ABRIL</t>
        </is>
      </c>
      <c r="P3446" s="232" t="n">
        <v>17</v>
      </c>
      <c r="Q3446" s="234" t="n">
        <v>17564</v>
      </c>
      <c r="R3446" s="232" t="inlineStr"/>
      <c r="S3446" s="234" t="n">
        <v>17564</v>
      </c>
      <c r="T3446" s="232" t="inlineStr">
        <is>
          <t>CLP</t>
        </is>
      </c>
      <c r="U3446" s="232" t="inlineStr">
        <is>
          <t>Prorrateo Ha PACKING</t>
        </is>
      </c>
      <c r="V3446" s="232" t="inlineStr">
        <is>
          <t>2026-06-18</t>
        </is>
      </c>
    </row>
    <row r="3447">
      <c r="A3447" s="232" t="inlineStr">
        <is>
          <t>CR-3444</t>
        </is>
      </c>
      <c r="B3447" s="232" t="inlineStr">
        <is>
          <t>2026/27</t>
        </is>
      </c>
      <c r="C3447" s="233" t="n">
        <v>46142</v>
      </c>
      <c r="D3447" s="232" t="inlineStr">
        <is>
          <t>4228</t>
        </is>
      </c>
      <c r="E3447" s="232" t="inlineStr">
        <is>
          <t>PRORRATEO</t>
        </is>
      </c>
      <c r="F3447" s="232" t="inlineStr">
        <is>
          <t>Santa Catalina</t>
        </is>
      </c>
      <c r="G3447" s="232" t="inlineStr">
        <is>
          <t>eureka 10,6 ha</t>
        </is>
      </c>
      <c r="H3447" s="232" t="inlineStr">
        <is>
          <t>Limon</t>
        </is>
      </c>
      <c r="I3447" s="232" t="inlineStr">
        <is>
          <t>Eureka</t>
        </is>
      </c>
      <c r="J3447" s="232" t="inlineStr">
        <is>
          <t>ARRIENDOS</t>
        </is>
      </c>
      <c r="K3447" s="232" t="inlineStr">
        <is>
          <t>ARRIENDO GRUA HORQUILLA</t>
        </is>
      </c>
      <c r="L3447" s="232" t="inlineStr">
        <is>
          <t>[PRORRATEO 7.1% 10.6há/148.3há] O/001649 ARRIENDO G</t>
        </is>
      </c>
      <c r="M3447" s="232" t="inlineStr"/>
      <c r="N3447" s="232" t="inlineStr">
        <is>
          <t>.   .   -</t>
        </is>
      </c>
      <c r="O3447" s="232" t="inlineStr">
        <is>
          <t>ABRIL</t>
        </is>
      </c>
      <c r="P3447" s="232" t="n">
        <v>17</v>
      </c>
      <c r="Q3447" s="234" t="n">
        <v>44328</v>
      </c>
      <c r="R3447" s="232" t="inlineStr"/>
      <c r="S3447" s="234" t="n">
        <v>44328</v>
      </c>
      <c r="T3447" s="232" t="inlineStr">
        <is>
          <t>CLP</t>
        </is>
      </c>
      <c r="U3447" s="232" t="inlineStr">
        <is>
          <t>Prorrateo Ha PACKING</t>
        </is>
      </c>
      <c r="V3447" s="232" t="inlineStr">
        <is>
          <t>2026-06-18</t>
        </is>
      </c>
    </row>
    <row r="3448">
      <c r="A3448" s="232" t="inlineStr">
        <is>
          <t>CR-3445</t>
        </is>
      </c>
      <c r="B3448" s="232" t="inlineStr">
        <is>
          <t>2026/27</t>
        </is>
      </c>
      <c r="C3448" s="233" t="n">
        <v>46142</v>
      </c>
      <c r="D3448" s="232" t="inlineStr">
        <is>
          <t>4228</t>
        </is>
      </c>
      <c r="E3448" s="232" t="inlineStr">
        <is>
          <t>PRORRATEO</t>
        </is>
      </c>
      <c r="F3448" s="232" t="inlineStr">
        <is>
          <t>Santa Catalina</t>
        </is>
      </c>
      <c r="G3448" s="232" t="inlineStr">
        <is>
          <t>eureka 14,4 ha</t>
        </is>
      </c>
      <c r="H3448" s="232" t="inlineStr">
        <is>
          <t>Limon</t>
        </is>
      </c>
      <c r="I3448" s="232" t="inlineStr">
        <is>
          <t>Eureka</t>
        </is>
      </c>
      <c r="J3448" s="232" t="inlineStr">
        <is>
          <t>ARRIENDOS</t>
        </is>
      </c>
      <c r="K3448" s="232" t="inlineStr">
        <is>
          <t>ARRIENDO GRUA HORQUILLA</t>
        </is>
      </c>
      <c r="L3448" s="232" t="inlineStr">
        <is>
          <t>[PRORRATEO 9.7% 14.4há/148.3há] O/001649 ARRIENDO G</t>
        </is>
      </c>
      <c r="M3448" s="232" t="inlineStr"/>
      <c r="N3448" s="232" t="inlineStr">
        <is>
          <t>.   .   -</t>
        </is>
      </c>
      <c r="O3448" s="232" t="inlineStr">
        <is>
          <t>ABRIL</t>
        </is>
      </c>
      <c r="P3448" s="232" t="n">
        <v>17</v>
      </c>
      <c r="Q3448" s="234" t="n">
        <v>60219</v>
      </c>
      <c r="R3448" s="232" t="inlineStr"/>
      <c r="S3448" s="234" t="n">
        <v>60219</v>
      </c>
      <c r="T3448" s="232" t="inlineStr">
        <is>
          <t>CLP</t>
        </is>
      </c>
      <c r="U3448" s="232" t="inlineStr">
        <is>
          <t>Prorrateo Ha PACKING</t>
        </is>
      </c>
      <c r="V3448" s="232" t="inlineStr">
        <is>
          <t>2026-06-18</t>
        </is>
      </c>
    </row>
    <row r="3449">
      <c r="A3449" s="232" t="inlineStr">
        <is>
          <t>CR-3446</t>
        </is>
      </c>
      <c r="B3449" s="232" t="inlineStr">
        <is>
          <t>2026/27</t>
        </is>
      </c>
      <c r="C3449" s="233" t="n">
        <v>46142</v>
      </c>
      <c r="D3449" s="232" t="inlineStr">
        <is>
          <t>4228</t>
        </is>
      </c>
      <c r="E3449" s="232" t="inlineStr">
        <is>
          <t>PRORRATEO</t>
        </is>
      </c>
      <c r="F3449" s="232" t="inlineStr">
        <is>
          <t>Santa Catalina</t>
        </is>
      </c>
      <c r="G3449" s="232" t="inlineStr">
        <is>
          <t>eureka 22,55</t>
        </is>
      </c>
      <c r="H3449" s="232" t="inlineStr">
        <is>
          <t>Limon</t>
        </is>
      </c>
      <c r="I3449" s="232" t="inlineStr">
        <is>
          <t>Eureka</t>
        </is>
      </c>
      <c r="J3449" s="232" t="inlineStr">
        <is>
          <t>ARRIENDOS</t>
        </is>
      </c>
      <c r="K3449" s="232" t="inlineStr">
        <is>
          <t>ARRIENDO GRUA HORQUILLA</t>
        </is>
      </c>
      <c r="L3449" s="232" t="inlineStr">
        <is>
          <t>[PRORRATEO 15.2% 22.55há/148.3há] O/001649 ARRIENDO G</t>
        </is>
      </c>
      <c r="M3449" s="232" t="inlineStr"/>
      <c r="N3449" s="232" t="inlineStr">
        <is>
          <t>.   .   -</t>
        </is>
      </c>
      <c r="O3449" s="232" t="inlineStr">
        <is>
          <t>ABRIL</t>
        </is>
      </c>
      <c r="P3449" s="232" t="n">
        <v>17</v>
      </c>
      <c r="Q3449" s="234" t="n">
        <v>94301</v>
      </c>
      <c r="R3449" s="232" t="inlineStr"/>
      <c r="S3449" s="234" t="n">
        <v>94301</v>
      </c>
      <c r="T3449" s="232" t="inlineStr">
        <is>
          <t>CLP</t>
        </is>
      </c>
      <c r="U3449" s="232" t="inlineStr">
        <is>
          <t>Prorrateo Ha PACKING</t>
        </is>
      </c>
      <c r="V3449" s="232" t="inlineStr">
        <is>
          <t>2026-06-18</t>
        </is>
      </c>
    </row>
    <row r="3450">
      <c r="A3450" s="232" t="inlineStr">
        <is>
          <t>CR-3447</t>
        </is>
      </c>
      <c r="B3450" s="232" t="inlineStr">
        <is>
          <t>2026/27</t>
        </is>
      </c>
      <c r="C3450" s="233" t="n">
        <v>46142</v>
      </c>
      <c r="D3450" s="232" t="inlineStr">
        <is>
          <t>4228</t>
        </is>
      </c>
      <c r="E3450" s="232" t="inlineStr">
        <is>
          <t>PRORRATEO</t>
        </is>
      </c>
      <c r="F3450" s="232" t="inlineStr">
        <is>
          <t>Santa Catalina</t>
        </is>
      </c>
      <c r="G3450" s="232" t="inlineStr">
        <is>
          <t>form benjamin 1,93 ha</t>
        </is>
      </c>
      <c r="H3450" s="232" t="inlineStr">
        <is>
          <t>Limon</t>
        </is>
      </c>
      <c r="I3450" s="232" t="inlineStr">
        <is>
          <t>Benjamin andes</t>
        </is>
      </c>
      <c r="J3450" s="232" t="inlineStr">
        <is>
          <t>ARRIENDOS</t>
        </is>
      </c>
      <c r="K3450" s="232" t="inlineStr">
        <is>
          <t>ARRIENDO GRUA HORQUILLA</t>
        </is>
      </c>
      <c r="L3450" s="232" t="inlineStr">
        <is>
          <t>[PRORRATEO 1.3% 1.93há/148.3há] O/001649 ARRIENDO G</t>
        </is>
      </c>
      <c r="M3450" s="232" t="inlineStr"/>
      <c r="N3450" s="232" t="inlineStr">
        <is>
          <t>.   .   -</t>
        </is>
      </c>
      <c r="O3450" s="232" t="inlineStr">
        <is>
          <t>ABRIL</t>
        </is>
      </c>
      <c r="P3450" s="232" t="n">
        <v>17</v>
      </c>
      <c r="Q3450" s="234" t="n">
        <v>8071</v>
      </c>
      <c r="R3450" s="232" t="inlineStr"/>
      <c r="S3450" s="234" t="n">
        <v>8071</v>
      </c>
      <c r="T3450" s="232" t="inlineStr">
        <is>
          <t>CLP</t>
        </is>
      </c>
      <c r="U3450" s="232" t="inlineStr">
        <is>
          <t>Prorrateo Ha PACKING</t>
        </is>
      </c>
      <c r="V3450" s="232" t="inlineStr">
        <is>
          <t>2026-06-18</t>
        </is>
      </c>
    </row>
    <row r="3451">
      <c r="A3451" s="232" t="inlineStr">
        <is>
          <t>CR-3448</t>
        </is>
      </c>
      <c r="B3451" s="232" t="inlineStr">
        <is>
          <t>2026/27</t>
        </is>
      </c>
      <c r="C3451" s="233" t="n">
        <v>46142</v>
      </c>
      <c r="D3451" s="232" t="inlineStr">
        <is>
          <t>4228</t>
        </is>
      </c>
      <c r="E3451" s="232" t="inlineStr">
        <is>
          <t>PRORRATEO</t>
        </is>
      </c>
      <c r="F3451" s="232" t="inlineStr">
        <is>
          <t>Santa Catalina</t>
        </is>
      </c>
      <c r="G3451" s="232" t="inlineStr">
        <is>
          <t>mant eureka 2,5 ha</t>
        </is>
      </c>
      <c r="H3451" s="232" t="inlineStr">
        <is>
          <t>Limon</t>
        </is>
      </c>
      <c r="I3451" s="232" t="inlineStr">
        <is>
          <t>Eureka</t>
        </is>
      </c>
      <c r="J3451" s="232" t="inlineStr">
        <is>
          <t>ARRIENDOS</t>
        </is>
      </c>
      <c r="K3451" s="232" t="inlineStr">
        <is>
          <t>ARRIENDO GRUA HORQUILLA</t>
        </is>
      </c>
      <c r="L3451" s="232" t="inlineStr">
        <is>
          <t>[PRORRATEO 1.7% 2.5há/148.3há] O/001649 ARRIENDO G</t>
        </is>
      </c>
      <c r="M3451" s="232" t="inlineStr"/>
      <c r="N3451" s="232" t="inlineStr">
        <is>
          <t>.   .   -</t>
        </is>
      </c>
      <c r="O3451" s="232" t="inlineStr">
        <is>
          <t>ABRIL</t>
        </is>
      </c>
      <c r="P3451" s="232" t="n">
        <v>17</v>
      </c>
      <c r="Q3451" s="234" t="n">
        <v>10455</v>
      </c>
      <c r="R3451" s="232" t="inlineStr"/>
      <c r="S3451" s="234" t="n">
        <v>10455</v>
      </c>
      <c r="T3451" s="232" t="inlineStr">
        <is>
          <t>CLP</t>
        </is>
      </c>
      <c r="U3451" s="232" t="inlineStr">
        <is>
          <t>Prorrateo Ha PACKING</t>
        </is>
      </c>
      <c r="V3451" s="232" t="inlineStr">
        <is>
          <t>2026-06-18</t>
        </is>
      </c>
    </row>
    <row r="3452">
      <c r="A3452" s="232" t="inlineStr">
        <is>
          <t>CR-3449</t>
        </is>
      </c>
      <c r="B3452" s="232" t="inlineStr">
        <is>
          <t>2026/27</t>
        </is>
      </c>
      <c r="C3452" s="233" t="n">
        <v>46142</v>
      </c>
      <c r="D3452" s="232" t="inlineStr">
        <is>
          <t>4228</t>
        </is>
      </c>
      <c r="E3452" s="232" t="inlineStr">
        <is>
          <t>PRORRATEO</t>
        </is>
      </c>
      <c r="F3452" s="232" t="inlineStr">
        <is>
          <t>Siberia</t>
        </is>
      </c>
      <c r="G3452" s="232" t="inlineStr">
        <is>
          <t>S. Celebration 7,14</t>
        </is>
      </c>
      <c r="H3452" s="232" t="inlineStr">
        <is>
          <t>Uvas</t>
        </is>
      </c>
      <c r="I3452" s="232" t="inlineStr">
        <is>
          <t>S. celebration</t>
        </is>
      </c>
      <c r="J3452" s="232" t="inlineStr">
        <is>
          <t>ARRIENDOS</t>
        </is>
      </c>
      <c r="K3452" s="232" t="inlineStr">
        <is>
          <t>ARRIENDO GRUA HORQUILLA</t>
        </is>
      </c>
      <c r="L3452" s="232" t="inlineStr">
        <is>
          <t>[PRORRATEO 4.8% 7.14há/148.3há] O/001649 ARRIENDO G</t>
        </is>
      </c>
      <c r="M3452" s="232" t="inlineStr"/>
      <c r="N3452" s="232" t="inlineStr">
        <is>
          <t>.   .   -</t>
        </is>
      </c>
      <c r="O3452" s="232" t="inlineStr">
        <is>
          <t>ABRIL</t>
        </is>
      </c>
      <c r="P3452" s="232" t="n">
        <v>17</v>
      </c>
      <c r="Q3452" s="234" t="n">
        <v>29858</v>
      </c>
      <c r="R3452" s="232" t="inlineStr"/>
      <c r="S3452" s="234" t="n">
        <v>29858</v>
      </c>
      <c r="T3452" s="232" t="inlineStr">
        <is>
          <t>CLP</t>
        </is>
      </c>
      <c r="U3452" s="232" t="inlineStr">
        <is>
          <t>Prorrateo Ha PACKING</t>
        </is>
      </c>
      <c r="V3452" s="232" t="inlineStr">
        <is>
          <t>2026-06-18</t>
        </is>
      </c>
    </row>
    <row r="3453">
      <c r="A3453" s="232" t="inlineStr">
        <is>
          <t>CR-3450</t>
        </is>
      </c>
      <c r="B3453" s="232" t="inlineStr">
        <is>
          <t>2026/27</t>
        </is>
      </c>
      <c r="C3453" s="233" t="n">
        <v>46142</v>
      </c>
      <c r="D3453" s="232" t="inlineStr">
        <is>
          <t>4228</t>
        </is>
      </c>
      <c r="E3453" s="232" t="inlineStr">
        <is>
          <t>PRORRATEO</t>
        </is>
      </c>
      <c r="F3453" s="232" t="inlineStr">
        <is>
          <t>Siberia</t>
        </is>
      </c>
      <c r="G3453" s="232" t="inlineStr">
        <is>
          <t>Timpson 7,1</t>
        </is>
      </c>
      <c r="H3453" s="232" t="inlineStr">
        <is>
          <t>Uvas</t>
        </is>
      </c>
      <c r="I3453" s="232" t="inlineStr">
        <is>
          <t>Timpson</t>
        </is>
      </c>
      <c r="J3453" s="232" t="inlineStr">
        <is>
          <t>ARRIENDOS</t>
        </is>
      </c>
      <c r="K3453" s="232" t="inlineStr">
        <is>
          <t>ARRIENDO GRUA HORQUILLA</t>
        </is>
      </c>
      <c r="L3453" s="232" t="inlineStr">
        <is>
          <t>[PRORRATEO 4.8% 7.1há/148.3há] O/001649 ARRIENDO G</t>
        </is>
      </c>
      <c r="M3453" s="232" t="inlineStr"/>
      <c r="N3453" s="232" t="inlineStr">
        <is>
          <t>.   .   -</t>
        </is>
      </c>
      <c r="O3453" s="232" t="inlineStr">
        <is>
          <t>ABRIL</t>
        </is>
      </c>
      <c r="P3453" s="232" t="n">
        <v>17</v>
      </c>
      <c r="Q3453" s="234" t="n">
        <v>29691</v>
      </c>
      <c r="R3453" s="232" t="inlineStr"/>
      <c r="S3453" s="234" t="n">
        <v>29691</v>
      </c>
      <c r="T3453" s="232" t="inlineStr">
        <is>
          <t>CLP</t>
        </is>
      </c>
      <c r="U3453" s="232" t="inlineStr">
        <is>
          <t>Prorrateo Ha PACKING</t>
        </is>
      </c>
      <c r="V3453" s="232" t="inlineStr">
        <is>
          <t>2026-06-18</t>
        </is>
      </c>
    </row>
    <row r="3454">
      <c r="A3454" s="232" t="inlineStr">
        <is>
          <t>CR-3451</t>
        </is>
      </c>
      <c r="B3454" s="232" t="inlineStr">
        <is>
          <t>2026/27</t>
        </is>
      </c>
      <c r="C3454" s="233" t="n">
        <v>46142</v>
      </c>
      <c r="D3454" s="232" t="inlineStr">
        <is>
          <t>4228</t>
        </is>
      </c>
      <c r="E3454" s="232" t="inlineStr">
        <is>
          <t>PRORRATEO</t>
        </is>
      </c>
      <c r="F3454" s="232" t="inlineStr">
        <is>
          <t>Asmara</t>
        </is>
      </c>
      <c r="G3454" s="232" t="inlineStr">
        <is>
          <t>w. murcott 19,8 ha</t>
        </is>
      </c>
      <c r="H3454" s="232" t="inlineStr">
        <is>
          <t>Mandarina</t>
        </is>
      </c>
      <c r="I3454" s="232" t="inlineStr">
        <is>
          <t>W. murcott</t>
        </is>
      </c>
      <c r="J3454" s="232" t="inlineStr">
        <is>
          <t>ARRIENDOS</t>
        </is>
      </c>
      <c r="K3454" s="232" t="inlineStr">
        <is>
          <t>ARRIENDO GRUA HORQUILLA</t>
        </is>
      </c>
      <c r="L3454" s="232" t="inlineStr">
        <is>
          <t>[PRORRATEO 13.4% 19.8há/148.3há] O/001649 GAS ENV. 1</t>
        </is>
      </c>
      <c r="M3454" s="232" t="inlineStr"/>
      <c r="N3454" s="232" t="inlineStr">
        <is>
          <t>.   .   -</t>
        </is>
      </c>
      <c r="O3454" s="232" t="inlineStr">
        <is>
          <t>ABRIL</t>
        </is>
      </c>
      <c r="P3454" s="232" t="n">
        <v>17</v>
      </c>
      <c r="Q3454" s="234" t="n">
        <v>4354</v>
      </c>
      <c r="R3454" s="232" t="inlineStr"/>
      <c r="S3454" s="234" t="n">
        <v>4354</v>
      </c>
      <c r="T3454" s="232" t="inlineStr">
        <is>
          <t>CLP</t>
        </is>
      </c>
      <c r="U3454" s="232" t="inlineStr">
        <is>
          <t>Prorrateo Ha PACKING</t>
        </is>
      </c>
      <c r="V3454" s="232" t="inlineStr">
        <is>
          <t>2026-06-18</t>
        </is>
      </c>
    </row>
    <row r="3455">
      <c r="A3455" s="232" t="inlineStr">
        <is>
          <t>CR-3452</t>
        </is>
      </c>
      <c r="B3455" s="232" t="inlineStr">
        <is>
          <t>2026/27</t>
        </is>
      </c>
      <c r="C3455" s="233" t="n">
        <v>46142</v>
      </c>
      <c r="D3455" s="232" t="inlineStr">
        <is>
          <t>4228</t>
        </is>
      </c>
      <c r="E3455" s="232" t="inlineStr">
        <is>
          <t>PRORRATEO</t>
        </is>
      </c>
      <c r="F3455" s="232" t="inlineStr">
        <is>
          <t>Asmara</t>
        </is>
      </c>
      <c r="G3455" s="232" t="inlineStr">
        <is>
          <t>w. murcott 4,9 ha</t>
        </is>
      </c>
      <c r="H3455" s="232" t="inlineStr">
        <is>
          <t>Mandarina</t>
        </is>
      </c>
      <c r="I3455" s="232" t="inlineStr">
        <is>
          <t>W. murcott</t>
        </is>
      </c>
      <c r="J3455" s="232" t="inlineStr">
        <is>
          <t>ARRIENDOS</t>
        </is>
      </c>
      <c r="K3455" s="232" t="inlineStr">
        <is>
          <t>ARRIENDO GRUA HORQUILLA</t>
        </is>
      </c>
      <c r="L3455" s="232" t="inlineStr">
        <is>
          <t>[PRORRATEO 3.3% 4.9há/148.3há] O/001649 GAS ENV. 1</t>
        </is>
      </c>
      <c r="M3455" s="232" t="inlineStr"/>
      <c r="N3455" s="232" t="inlineStr">
        <is>
          <t>.   .   -</t>
        </is>
      </c>
      <c r="O3455" s="232" t="inlineStr">
        <is>
          <t>ABRIL</t>
        </is>
      </c>
      <c r="P3455" s="232" t="n">
        <v>17</v>
      </c>
      <c r="Q3455" s="234" t="n">
        <v>1077</v>
      </c>
      <c r="R3455" s="232" t="inlineStr"/>
      <c r="S3455" s="234" t="n">
        <v>1077</v>
      </c>
      <c r="T3455" s="232" t="inlineStr">
        <is>
          <t>CLP</t>
        </is>
      </c>
      <c r="U3455" s="232" t="inlineStr">
        <is>
          <t>Prorrateo Ha PACKING</t>
        </is>
      </c>
      <c r="V3455" s="232" t="inlineStr">
        <is>
          <t>2026-06-18</t>
        </is>
      </c>
    </row>
    <row r="3456">
      <c r="A3456" s="232" t="inlineStr">
        <is>
          <t>CR-3453</t>
        </is>
      </c>
      <c r="B3456" s="232" t="inlineStr">
        <is>
          <t>2026/27</t>
        </is>
      </c>
      <c r="C3456" s="233" t="n">
        <v>46142</v>
      </c>
      <c r="D3456" s="232" t="inlineStr">
        <is>
          <t>4228</t>
        </is>
      </c>
      <c r="E3456" s="232" t="inlineStr">
        <is>
          <t>PRORRATEO</t>
        </is>
      </c>
      <c r="F3456" s="232" t="inlineStr">
        <is>
          <t>El Molle</t>
        </is>
      </c>
      <c r="G3456" s="232" t="inlineStr">
        <is>
          <t>Wonderful 5,25 ha</t>
        </is>
      </c>
      <c r="H3456" s="232" t="inlineStr">
        <is>
          <t>Granados</t>
        </is>
      </c>
      <c r="I3456" s="232" t="inlineStr">
        <is>
          <t>Wonderfull</t>
        </is>
      </c>
      <c r="J3456" s="232" t="inlineStr">
        <is>
          <t>ARRIENDOS</t>
        </is>
      </c>
      <c r="K3456" s="232" t="inlineStr">
        <is>
          <t>ARRIENDO GRUA HORQUILLA</t>
        </is>
      </c>
      <c r="L3456" s="232" t="inlineStr">
        <is>
          <t>[PRORRATEO 3.5% 5.24há/148.3há] O/001649 GAS ENV. 1</t>
        </is>
      </c>
      <c r="M3456" s="232" t="inlineStr"/>
      <c r="N3456" s="232" t="inlineStr">
        <is>
          <t>.   .   -</t>
        </is>
      </c>
      <c r="O3456" s="232" t="inlineStr">
        <is>
          <t>ABRIL</t>
        </is>
      </c>
      <c r="P3456" s="232" t="n">
        <v>17</v>
      </c>
      <c r="Q3456" s="234" t="n">
        <v>1152</v>
      </c>
      <c r="R3456" s="232" t="inlineStr"/>
      <c r="S3456" s="234" t="n">
        <v>1152</v>
      </c>
      <c r="T3456" s="232" t="inlineStr">
        <is>
          <t>CLP</t>
        </is>
      </c>
      <c r="U3456" s="232" t="inlineStr">
        <is>
          <t>Prorrateo Ha PACKING</t>
        </is>
      </c>
      <c r="V3456" s="232" t="inlineStr">
        <is>
          <t>2026-06-18</t>
        </is>
      </c>
    </row>
    <row r="3457">
      <c r="A3457" s="232" t="inlineStr">
        <is>
          <t>CR-3454</t>
        </is>
      </c>
      <c r="B3457" s="232" t="inlineStr">
        <is>
          <t>2026/27</t>
        </is>
      </c>
      <c r="C3457" s="233" t="n">
        <v>46142</v>
      </c>
      <c r="D3457" s="232" t="inlineStr">
        <is>
          <t>4228</t>
        </is>
      </c>
      <c r="E3457" s="232" t="inlineStr">
        <is>
          <t>PRORRATEO</t>
        </is>
      </c>
      <c r="F3457" s="232" t="inlineStr">
        <is>
          <t>El Molle</t>
        </is>
      </c>
      <c r="G3457" s="232" t="inlineStr">
        <is>
          <t>arrufatinas 5,74 ha</t>
        </is>
      </c>
      <c r="H3457" s="232" t="inlineStr">
        <is>
          <t>Clementinas</t>
        </is>
      </c>
      <c r="I3457" s="232" t="inlineStr">
        <is>
          <t>Arrufatinas</t>
        </is>
      </c>
      <c r="J3457" s="232" t="inlineStr">
        <is>
          <t>ARRIENDOS</t>
        </is>
      </c>
      <c r="K3457" s="232" t="inlineStr">
        <is>
          <t>ARRIENDO GRUA HORQUILLA</t>
        </is>
      </c>
      <c r="L3457" s="232" t="inlineStr">
        <is>
          <t>[PRORRATEO 3.9% 5.74há/148.3há] O/001649 GAS ENV. 1</t>
        </is>
      </c>
      <c r="M3457" s="232" t="inlineStr"/>
      <c r="N3457" s="232" t="inlineStr">
        <is>
          <t>.   .   -</t>
        </is>
      </c>
      <c r="O3457" s="232" t="inlineStr">
        <is>
          <t>ABRIL</t>
        </is>
      </c>
      <c r="P3457" s="232" t="n">
        <v>17</v>
      </c>
      <c r="Q3457" s="234" t="n">
        <v>1262</v>
      </c>
      <c r="R3457" s="232" t="inlineStr"/>
      <c r="S3457" s="234" t="n">
        <v>1262</v>
      </c>
      <c r="T3457" s="232" t="inlineStr">
        <is>
          <t>CLP</t>
        </is>
      </c>
      <c r="U3457" s="232" t="inlineStr">
        <is>
          <t>Prorrateo Ha PACKING</t>
        </is>
      </c>
      <c r="V3457" s="232" t="inlineStr">
        <is>
          <t>2026-06-18</t>
        </is>
      </c>
    </row>
    <row r="3458">
      <c r="A3458" s="232" t="inlineStr">
        <is>
          <t>CR-3455</t>
        </is>
      </c>
      <c r="B3458" s="232" t="inlineStr">
        <is>
          <t>2026/27</t>
        </is>
      </c>
      <c r="C3458" s="233" t="n">
        <v>46142</v>
      </c>
      <c r="D3458" s="232" t="inlineStr">
        <is>
          <t>4228</t>
        </is>
      </c>
      <c r="E3458" s="232" t="inlineStr">
        <is>
          <t>PRORRATEO</t>
        </is>
      </c>
      <c r="F3458" s="232" t="inlineStr">
        <is>
          <t>El Molle</t>
        </is>
      </c>
      <c r="G3458" s="232" t="inlineStr">
        <is>
          <t>orogrande 8,11 ha</t>
        </is>
      </c>
      <c r="H3458" s="232" t="inlineStr">
        <is>
          <t>Clementinas</t>
        </is>
      </c>
      <c r="I3458" s="232" t="inlineStr">
        <is>
          <t>Orogrande</t>
        </is>
      </c>
      <c r="J3458" s="232" t="inlineStr">
        <is>
          <t>ARRIENDOS</t>
        </is>
      </c>
      <c r="K3458" s="232" t="inlineStr">
        <is>
          <t>ARRIENDO GRUA HORQUILLA</t>
        </is>
      </c>
      <c r="L3458" s="232" t="inlineStr">
        <is>
          <t>[PRORRATEO 5.5% 8.11há/148.3há] O/001649 GAS ENV. 1</t>
        </is>
      </c>
      <c r="M3458" s="232" t="inlineStr"/>
      <c r="N3458" s="232" t="inlineStr">
        <is>
          <t>.   .   -</t>
        </is>
      </c>
      <c r="O3458" s="232" t="inlineStr">
        <is>
          <t>ABRIL</t>
        </is>
      </c>
      <c r="P3458" s="232" t="n">
        <v>17</v>
      </c>
      <c r="Q3458" s="234" t="n">
        <v>1783</v>
      </c>
      <c r="R3458" s="232" t="inlineStr"/>
      <c r="S3458" s="234" t="n">
        <v>1783</v>
      </c>
      <c r="T3458" s="232" t="inlineStr">
        <is>
          <t>CLP</t>
        </is>
      </c>
      <c r="U3458" s="232" t="inlineStr">
        <is>
          <t>Prorrateo Ha PACKING</t>
        </is>
      </c>
      <c r="V3458" s="232" t="inlineStr">
        <is>
          <t>2026-06-18</t>
        </is>
      </c>
    </row>
    <row r="3459">
      <c r="A3459" s="232" t="inlineStr">
        <is>
          <t>CR-3456</t>
        </is>
      </c>
      <c r="B3459" s="232" t="inlineStr">
        <is>
          <t>2026/27</t>
        </is>
      </c>
      <c r="C3459" s="233" t="n">
        <v>46142</v>
      </c>
      <c r="D3459" s="232" t="inlineStr">
        <is>
          <t>4228</t>
        </is>
      </c>
      <c r="E3459" s="232" t="inlineStr">
        <is>
          <t>PRORRATEO</t>
        </is>
      </c>
      <c r="F3459" s="232" t="inlineStr">
        <is>
          <t>El Molle</t>
        </is>
      </c>
      <c r="G3459" s="232" t="inlineStr">
        <is>
          <t>oronules 5,35 ha</t>
        </is>
      </c>
      <c r="H3459" s="232" t="inlineStr">
        <is>
          <t>Clementinas</t>
        </is>
      </c>
      <c r="I3459" s="232" t="inlineStr">
        <is>
          <t>Oronules</t>
        </is>
      </c>
      <c r="J3459" s="232" t="inlineStr">
        <is>
          <t>ARRIENDOS</t>
        </is>
      </c>
      <c r="K3459" s="232" t="inlineStr">
        <is>
          <t>ARRIENDO GRUA HORQUILLA</t>
        </is>
      </c>
      <c r="L3459" s="232" t="inlineStr">
        <is>
          <t>[PRORRATEO 3.6% 5.35há/148.3há] O/001649 GAS ENV. 1</t>
        </is>
      </c>
      <c r="M3459" s="232" t="inlineStr"/>
      <c r="N3459" s="232" t="inlineStr">
        <is>
          <t>.   .   -</t>
        </is>
      </c>
      <c r="O3459" s="232" t="inlineStr">
        <is>
          <t>ABRIL</t>
        </is>
      </c>
      <c r="P3459" s="232" t="n">
        <v>17</v>
      </c>
      <c r="Q3459" s="234" t="n">
        <v>1176</v>
      </c>
      <c r="R3459" s="232" t="inlineStr"/>
      <c r="S3459" s="234" t="n">
        <v>1176</v>
      </c>
      <c r="T3459" s="232" t="inlineStr">
        <is>
          <t>CLP</t>
        </is>
      </c>
      <c r="U3459" s="232" t="inlineStr">
        <is>
          <t>Prorrateo Ha PACKING</t>
        </is>
      </c>
      <c r="V3459" s="232" t="inlineStr">
        <is>
          <t>2026-06-18</t>
        </is>
      </c>
    </row>
    <row r="3460">
      <c r="A3460" s="232" t="inlineStr">
        <is>
          <t>CR-3457</t>
        </is>
      </c>
      <c r="B3460" s="232" t="inlineStr">
        <is>
          <t>2026/27</t>
        </is>
      </c>
      <c r="C3460" s="233" t="n">
        <v>46142</v>
      </c>
      <c r="D3460" s="232" t="inlineStr">
        <is>
          <t>4228</t>
        </is>
      </c>
      <c r="E3460" s="232" t="inlineStr">
        <is>
          <t>PRORRATEO</t>
        </is>
      </c>
      <c r="F3460" s="232" t="inlineStr">
        <is>
          <t>Santa Catalina</t>
        </is>
      </c>
      <c r="G3460" s="232" t="inlineStr">
        <is>
          <t>Fino 49 7,7 ha</t>
        </is>
      </c>
      <c r="H3460" s="232" t="inlineStr">
        <is>
          <t>Limon</t>
        </is>
      </c>
      <c r="I3460" s="232" t="inlineStr">
        <is>
          <t>Fino 49</t>
        </is>
      </c>
      <c r="J3460" s="232" t="inlineStr">
        <is>
          <t>ARRIENDOS</t>
        </is>
      </c>
      <c r="K3460" s="232" t="inlineStr">
        <is>
          <t>ARRIENDO GRUA HORQUILLA</t>
        </is>
      </c>
      <c r="L3460" s="232" t="inlineStr">
        <is>
          <t>[PRORRATEO 5.2% 7.7há/148.3há] O/001649 GAS ENV. 1</t>
        </is>
      </c>
      <c r="M3460" s="232" t="inlineStr"/>
      <c r="N3460" s="232" t="inlineStr">
        <is>
          <t>.   .   -</t>
        </is>
      </c>
      <c r="O3460" s="232" t="inlineStr">
        <is>
          <t>ABRIL</t>
        </is>
      </c>
      <c r="P3460" s="232" t="n">
        <v>17</v>
      </c>
      <c r="Q3460" s="234" t="n">
        <v>1693</v>
      </c>
      <c r="R3460" s="232" t="inlineStr"/>
      <c r="S3460" s="234" t="n">
        <v>1693</v>
      </c>
      <c r="T3460" s="232" t="inlineStr">
        <is>
          <t>CLP</t>
        </is>
      </c>
      <c r="U3460" s="232" t="inlineStr">
        <is>
          <t>Prorrateo Ha PACKING</t>
        </is>
      </c>
      <c r="V3460" s="232" t="inlineStr">
        <is>
          <t>2026-06-18</t>
        </is>
      </c>
    </row>
    <row r="3461">
      <c r="A3461" s="232" t="inlineStr">
        <is>
          <t>CR-3458</t>
        </is>
      </c>
      <c r="B3461" s="232" t="inlineStr">
        <is>
          <t>2026/27</t>
        </is>
      </c>
      <c r="C3461" s="233" t="n">
        <v>46142</v>
      </c>
      <c r="D3461" s="232" t="inlineStr">
        <is>
          <t>4228</t>
        </is>
      </c>
      <c r="E3461" s="232" t="inlineStr">
        <is>
          <t>PRORRATEO</t>
        </is>
      </c>
      <c r="F3461" s="232" t="inlineStr">
        <is>
          <t>Santa Catalina</t>
        </is>
      </c>
      <c r="G3461" s="232" t="inlineStr">
        <is>
          <t>W. murcott 21 ha</t>
        </is>
      </c>
      <c r="H3461" s="232" t="inlineStr">
        <is>
          <t>Mandarina</t>
        </is>
      </c>
      <c r="I3461" s="232" t="inlineStr">
        <is>
          <t>W. murcott</t>
        </is>
      </c>
      <c r="J3461" s="232" t="inlineStr">
        <is>
          <t>ARRIENDOS</t>
        </is>
      </c>
      <c r="K3461" s="232" t="inlineStr">
        <is>
          <t>ARRIENDO GRUA HORQUILLA</t>
        </is>
      </c>
      <c r="L3461" s="232" t="inlineStr">
        <is>
          <t>[PRORRATEO 14.2% 21.0há/148.3há] O/001649 GAS ENV. 1</t>
        </is>
      </c>
      <c r="M3461" s="232" t="inlineStr"/>
      <c r="N3461" s="232" t="inlineStr">
        <is>
          <t>.   .   -</t>
        </is>
      </c>
      <c r="O3461" s="232" t="inlineStr">
        <is>
          <t>ABRIL</t>
        </is>
      </c>
      <c r="P3461" s="232" t="n">
        <v>17</v>
      </c>
      <c r="Q3461" s="234" t="n">
        <v>4618</v>
      </c>
      <c r="R3461" s="232" t="inlineStr"/>
      <c r="S3461" s="234" t="n">
        <v>4618</v>
      </c>
      <c r="T3461" s="232" t="inlineStr">
        <is>
          <t>CLP</t>
        </is>
      </c>
      <c r="U3461" s="232" t="inlineStr">
        <is>
          <t>Prorrateo Ha PACKING</t>
        </is>
      </c>
      <c r="V3461" s="232" t="inlineStr">
        <is>
          <t>2026-06-18</t>
        </is>
      </c>
    </row>
    <row r="3462">
      <c r="A3462" s="232" t="inlineStr">
        <is>
          <t>CR-3459</t>
        </is>
      </c>
      <c r="B3462" s="232" t="inlineStr">
        <is>
          <t>2026/27</t>
        </is>
      </c>
      <c r="C3462" s="233" t="n">
        <v>46142</v>
      </c>
      <c r="D3462" s="232" t="inlineStr">
        <is>
          <t>4228</t>
        </is>
      </c>
      <c r="E3462" s="232" t="inlineStr">
        <is>
          <t>PRORRATEO</t>
        </is>
      </c>
      <c r="F3462" s="232" t="inlineStr">
        <is>
          <t>Santa Catalina</t>
        </is>
      </c>
      <c r="G3462" s="232" t="inlineStr">
        <is>
          <t>cambria 4,2 ha</t>
        </is>
      </c>
      <c r="H3462" s="232" t="inlineStr">
        <is>
          <t>Naranjas</t>
        </is>
      </c>
      <c r="I3462" s="232" t="inlineStr">
        <is>
          <t>Cambria</t>
        </is>
      </c>
      <c r="J3462" s="232" t="inlineStr">
        <is>
          <t>ARRIENDOS</t>
        </is>
      </c>
      <c r="K3462" s="232" t="inlineStr">
        <is>
          <t>ARRIENDO GRUA HORQUILLA</t>
        </is>
      </c>
      <c r="L3462" s="232" t="inlineStr">
        <is>
          <t>[PRORRATEO 2.8% 4.2há/148.3há] O/001649 GAS ENV. 1</t>
        </is>
      </c>
      <c r="M3462" s="232" t="inlineStr"/>
      <c r="N3462" s="232" t="inlineStr">
        <is>
          <t>.   .   -</t>
        </is>
      </c>
      <c r="O3462" s="232" t="inlineStr">
        <is>
          <t>ABRIL</t>
        </is>
      </c>
      <c r="P3462" s="232" t="n">
        <v>17</v>
      </c>
      <c r="Q3462" s="234" t="n">
        <v>924</v>
      </c>
      <c r="R3462" s="232" t="inlineStr"/>
      <c r="S3462" s="234" t="n">
        <v>924</v>
      </c>
      <c r="T3462" s="232" t="inlineStr">
        <is>
          <t>CLP</t>
        </is>
      </c>
      <c r="U3462" s="232" t="inlineStr">
        <is>
          <t>Prorrateo Ha PACKING</t>
        </is>
      </c>
      <c r="V3462" s="232" t="inlineStr">
        <is>
          <t>2026-06-18</t>
        </is>
      </c>
    </row>
    <row r="3463">
      <c r="A3463" s="232" t="inlineStr">
        <is>
          <t>CR-3460</t>
        </is>
      </c>
      <c r="B3463" s="232" t="inlineStr">
        <is>
          <t>2026/27</t>
        </is>
      </c>
      <c r="C3463" s="233" t="n">
        <v>46142</v>
      </c>
      <c r="D3463" s="232" t="inlineStr">
        <is>
          <t>4228</t>
        </is>
      </c>
      <c r="E3463" s="232" t="inlineStr">
        <is>
          <t>PRORRATEO</t>
        </is>
      </c>
      <c r="F3463" s="232" t="inlineStr">
        <is>
          <t>Santa Catalina</t>
        </is>
      </c>
      <c r="G3463" s="232" t="inlineStr">
        <is>
          <t>eureka 10,6 ha</t>
        </is>
      </c>
      <c r="H3463" s="232" t="inlineStr">
        <is>
          <t>Limon</t>
        </is>
      </c>
      <c r="I3463" s="232" t="inlineStr">
        <is>
          <t>Eureka</t>
        </is>
      </c>
      <c r="J3463" s="232" t="inlineStr">
        <is>
          <t>ARRIENDOS</t>
        </is>
      </c>
      <c r="K3463" s="232" t="inlineStr">
        <is>
          <t>ARRIENDO GRUA HORQUILLA</t>
        </is>
      </c>
      <c r="L3463" s="232" t="inlineStr">
        <is>
          <t>[PRORRATEO 7.1% 10.6há/148.3há] O/001649 GAS ENV. 1</t>
        </is>
      </c>
      <c r="M3463" s="232" t="inlineStr"/>
      <c r="N3463" s="232" t="inlineStr">
        <is>
          <t>.   .   -</t>
        </is>
      </c>
      <c r="O3463" s="232" t="inlineStr">
        <is>
          <t>ABRIL</t>
        </is>
      </c>
      <c r="P3463" s="232" t="n">
        <v>17</v>
      </c>
      <c r="Q3463" s="234" t="n">
        <v>2331</v>
      </c>
      <c r="R3463" s="232" t="inlineStr"/>
      <c r="S3463" s="234" t="n">
        <v>2331</v>
      </c>
      <c r="T3463" s="232" t="inlineStr">
        <is>
          <t>CLP</t>
        </is>
      </c>
      <c r="U3463" s="232" t="inlineStr">
        <is>
          <t>Prorrateo Ha PACKING</t>
        </is>
      </c>
      <c r="V3463" s="232" t="inlineStr">
        <is>
          <t>2026-06-18</t>
        </is>
      </c>
    </row>
    <row r="3464">
      <c r="A3464" s="232" t="inlineStr">
        <is>
          <t>CR-3461</t>
        </is>
      </c>
      <c r="B3464" s="232" t="inlineStr">
        <is>
          <t>2026/27</t>
        </is>
      </c>
      <c r="C3464" s="233" t="n">
        <v>46142</v>
      </c>
      <c r="D3464" s="232" t="inlineStr">
        <is>
          <t>4228</t>
        </is>
      </c>
      <c r="E3464" s="232" t="inlineStr">
        <is>
          <t>PRORRATEO</t>
        </is>
      </c>
      <c r="F3464" s="232" t="inlineStr">
        <is>
          <t>Santa Catalina</t>
        </is>
      </c>
      <c r="G3464" s="232" t="inlineStr">
        <is>
          <t>eureka 14,4 ha</t>
        </is>
      </c>
      <c r="H3464" s="232" t="inlineStr">
        <is>
          <t>Limon</t>
        </is>
      </c>
      <c r="I3464" s="232" t="inlineStr">
        <is>
          <t>Eureka</t>
        </is>
      </c>
      <c r="J3464" s="232" t="inlineStr">
        <is>
          <t>ARRIENDOS</t>
        </is>
      </c>
      <c r="K3464" s="232" t="inlineStr">
        <is>
          <t>ARRIENDO GRUA HORQUILLA</t>
        </is>
      </c>
      <c r="L3464" s="232" t="inlineStr">
        <is>
          <t>[PRORRATEO 9.7% 14.4há/148.3há] O/001649 GAS ENV. 1</t>
        </is>
      </c>
      <c r="M3464" s="232" t="inlineStr"/>
      <c r="N3464" s="232" t="inlineStr">
        <is>
          <t>.   .   -</t>
        </is>
      </c>
      <c r="O3464" s="232" t="inlineStr">
        <is>
          <t>ABRIL</t>
        </is>
      </c>
      <c r="P3464" s="232" t="n">
        <v>17</v>
      </c>
      <c r="Q3464" s="234" t="n">
        <v>3166</v>
      </c>
      <c r="R3464" s="232" t="inlineStr"/>
      <c r="S3464" s="234" t="n">
        <v>3166</v>
      </c>
      <c r="T3464" s="232" t="inlineStr">
        <is>
          <t>CLP</t>
        </is>
      </c>
      <c r="U3464" s="232" t="inlineStr">
        <is>
          <t>Prorrateo Ha PACKING</t>
        </is>
      </c>
      <c r="V3464" s="232" t="inlineStr">
        <is>
          <t>2026-06-18</t>
        </is>
      </c>
    </row>
    <row r="3465">
      <c r="A3465" s="232" t="inlineStr">
        <is>
          <t>CR-3462</t>
        </is>
      </c>
      <c r="B3465" s="232" t="inlineStr">
        <is>
          <t>2026/27</t>
        </is>
      </c>
      <c r="C3465" s="233" t="n">
        <v>46142</v>
      </c>
      <c r="D3465" s="232" t="inlineStr">
        <is>
          <t>4228</t>
        </is>
      </c>
      <c r="E3465" s="232" t="inlineStr">
        <is>
          <t>PRORRATEO</t>
        </is>
      </c>
      <c r="F3465" s="232" t="inlineStr">
        <is>
          <t>Santa Catalina</t>
        </is>
      </c>
      <c r="G3465" s="232" t="inlineStr">
        <is>
          <t>eureka 22,55</t>
        </is>
      </c>
      <c r="H3465" s="232" t="inlineStr">
        <is>
          <t>Limon</t>
        </is>
      </c>
      <c r="I3465" s="232" t="inlineStr">
        <is>
          <t>Eureka</t>
        </is>
      </c>
      <c r="J3465" s="232" t="inlineStr">
        <is>
          <t>ARRIENDOS</t>
        </is>
      </c>
      <c r="K3465" s="232" t="inlineStr">
        <is>
          <t>ARRIENDO GRUA HORQUILLA</t>
        </is>
      </c>
      <c r="L3465" s="232" t="inlineStr">
        <is>
          <t>[PRORRATEO 15.2% 22.55há/148.3há] O/001649 GAS ENV. 1</t>
        </is>
      </c>
      <c r="M3465" s="232" t="inlineStr"/>
      <c r="N3465" s="232" t="inlineStr">
        <is>
          <t>.   .   -</t>
        </is>
      </c>
      <c r="O3465" s="232" t="inlineStr">
        <is>
          <t>ABRIL</t>
        </is>
      </c>
      <c r="P3465" s="232" t="n">
        <v>17</v>
      </c>
      <c r="Q3465" s="234" t="n">
        <v>4958</v>
      </c>
      <c r="R3465" s="232" t="inlineStr"/>
      <c r="S3465" s="234" t="n">
        <v>4958</v>
      </c>
      <c r="T3465" s="232" t="inlineStr">
        <is>
          <t>CLP</t>
        </is>
      </c>
      <c r="U3465" s="232" t="inlineStr">
        <is>
          <t>Prorrateo Ha PACKING</t>
        </is>
      </c>
      <c r="V3465" s="232" t="inlineStr">
        <is>
          <t>2026-06-18</t>
        </is>
      </c>
    </row>
    <row r="3466">
      <c r="A3466" s="232" t="inlineStr">
        <is>
          <t>CR-3463</t>
        </is>
      </c>
      <c r="B3466" s="232" t="inlineStr">
        <is>
          <t>2026/27</t>
        </is>
      </c>
      <c r="C3466" s="233" t="n">
        <v>46142</v>
      </c>
      <c r="D3466" s="232" t="inlineStr">
        <is>
          <t>4228</t>
        </is>
      </c>
      <c r="E3466" s="232" t="inlineStr">
        <is>
          <t>PRORRATEO</t>
        </is>
      </c>
      <c r="F3466" s="232" t="inlineStr">
        <is>
          <t>Santa Catalina</t>
        </is>
      </c>
      <c r="G3466" s="232" t="inlineStr">
        <is>
          <t>form benjamin 1,93 ha</t>
        </is>
      </c>
      <c r="H3466" s="232" t="inlineStr">
        <is>
          <t>Limon</t>
        </is>
      </c>
      <c r="I3466" s="232" t="inlineStr">
        <is>
          <t>Benjamin andes</t>
        </is>
      </c>
      <c r="J3466" s="232" t="inlineStr">
        <is>
          <t>ARRIENDOS</t>
        </is>
      </c>
      <c r="K3466" s="232" t="inlineStr">
        <is>
          <t>ARRIENDO GRUA HORQUILLA</t>
        </is>
      </c>
      <c r="L3466" s="232" t="inlineStr">
        <is>
          <t>[PRORRATEO 1.3% 1.93há/148.3há] O/001649 GAS ENV. 1</t>
        </is>
      </c>
      <c r="M3466" s="232" t="inlineStr"/>
      <c r="N3466" s="232" t="inlineStr">
        <is>
          <t>.   .   -</t>
        </is>
      </c>
      <c r="O3466" s="232" t="inlineStr">
        <is>
          <t>ABRIL</t>
        </is>
      </c>
      <c r="P3466" s="232" t="n">
        <v>17</v>
      </c>
      <c r="Q3466" s="234" t="n">
        <v>424</v>
      </c>
      <c r="R3466" s="232" t="inlineStr"/>
      <c r="S3466" s="234" t="n">
        <v>424</v>
      </c>
      <c r="T3466" s="232" t="inlineStr">
        <is>
          <t>CLP</t>
        </is>
      </c>
      <c r="U3466" s="232" t="inlineStr">
        <is>
          <t>Prorrateo Ha PACKING</t>
        </is>
      </c>
      <c r="V3466" s="232" t="inlineStr">
        <is>
          <t>2026-06-18</t>
        </is>
      </c>
    </row>
    <row r="3467">
      <c r="A3467" s="232" t="inlineStr">
        <is>
          <t>CR-3464</t>
        </is>
      </c>
      <c r="B3467" s="232" t="inlineStr">
        <is>
          <t>2026/27</t>
        </is>
      </c>
      <c r="C3467" s="233" t="n">
        <v>46142</v>
      </c>
      <c r="D3467" s="232" t="inlineStr">
        <is>
          <t>4228</t>
        </is>
      </c>
      <c r="E3467" s="232" t="inlineStr">
        <is>
          <t>PRORRATEO</t>
        </is>
      </c>
      <c r="F3467" s="232" t="inlineStr">
        <is>
          <t>Santa Catalina</t>
        </is>
      </c>
      <c r="G3467" s="232" t="inlineStr">
        <is>
          <t>mant eureka 2,5 ha</t>
        </is>
      </c>
      <c r="H3467" s="232" t="inlineStr">
        <is>
          <t>Limon</t>
        </is>
      </c>
      <c r="I3467" s="232" t="inlineStr">
        <is>
          <t>Eureka</t>
        </is>
      </c>
      <c r="J3467" s="232" t="inlineStr">
        <is>
          <t>ARRIENDOS</t>
        </is>
      </c>
      <c r="K3467" s="232" t="inlineStr">
        <is>
          <t>ARRIENDO GRUA HORQUILLA</t>
        </is>
      </c>
      <c r="L3467" s="232" t="inlineStr">
        <is>
          <t>[PRORRATEO 1.7% 2.5há/148.3há] O/001649 GAS ENV. 1</t>
        </is>
      </c>
      <c r="M3467" s="232" t="inlineStr"/>
      <c r="N3467" s="232" t="inlineStr">
        <is>
          <t>.   .   -</t>
        </is>
      </c>
      <c r="O3467" s="232" t="inlineStr">
        <is>
          <t>ABRIL</t>
        </is>
      </c>
      <c r="P3467" s="232" t="n">
        <v>17</v>
      </c>
      <c r="Q3467" s="234" t="n">
        <v>550</v>
      </c>
      <c r="R3467" s="232" t="inlineStr"/>
      <c r="S3467" s="234" t="n">
        <v>550</v>
      </c>
      <c r="T3467" s="232" t="inlineStr">
        <is>
          <t>CLP</t>
        </is>
      </c>
      <c r="U3467" s="232" t="inlineStr">
        <is>
          <t>Prorrateo Ha PACKING</t>
        </is>
      </c>
      <c r="V3467" s="232" t="inlineStr">
        <is>
          <t>2026-06-18</t>
        </is>
      </c>
    </row>
    <row r="3468">
      <c r="A3468" s="232" t="inlineStr">
        <is>
          <t>CR-3465</t>
        </is>
      </c>
      <c r="B3468" s="232" t="inlineStr">
        <is>
          <t>2026/27</t>
        </is>
      </c>
      <c r="C3468" s="233" t="n">
        <v>46142</v>
      </c>
      <c r="D3468" s="232" t="inlineStr">
        <is>
          <t>4228</t>
        </is>
      </c>
      <c r="E3468" s="232" t="inlineStr">
        <is>
          <t>PRORRATEO</t>
        </is>
      </c>
      <c r="F3468" s="232" t="inlineStr">
        <is>
          <t>Siberia</t>
        </is>
      </c>
      <c r="G3468" s="232" t="inlineStr">
        <is>
          <t>S. Celebration 7,14</t>
        </is>
      </c>
      <c r="H3468" s="232" t="inlineStr">
        <is>
          <t>Uvas</t>
        </is>
      </c>
      <c r="I3468" s="232" t="inlineStr">
        <is>
          <t>S. celebration</t>
        </is>
      </c>
      <c r="J3468" s="232" t="inlineStr">
        <is>
          <t>ARRIENDOS</t>
        </is>
      </c>
      <c r="K3468" s="232" t="inlineStr">
        <is>
          <t>ARRIENDO GRUA HORQUILLA</t>
        </is>
      </c>
      <c r="L3468" s="232" t="inlineStr">
        <is>
          <t>[PRORRATEO 4.8% 7.14há/148.3há] O/001649 GAS ENV. 1</t>
        </is>
      </c>
      <c r="M3468" s="232" t="inlineStr"/>
      <c r="N3468" s="232" t="inlineStr">
        <is>
          <t>.   .   -</t>
        </is>
      </c>
      <c r="O3468" s="232" t="inlineStr">
        <is>
          <t>ABRIL</t>
        </is>
      </c>
      <c r="P3468" s="232" t="n">
        <v>17</v>
      </c>
      <c r="Q3468" s="234" t="n">
        <v>1570</v>
      </c>
      <c r="R3468" s="232" t="inlineStr"/>
      <c r="S3468" s="234" t="n">
        <v>1570</v>
      </c>
      <c r="T3468" s="232" t="inlineStr">
        <is>
          <t>CLP</t>
        </is>
      </c>
      <c r="U3468" s="232" t="inlineStr">
        <is>
          <t>Prorrateo Ha PACKING</t>
        </is>
      </c>
      <c r="V3468" s="232" t="inlineStr">
        <is>
          <t>2026-06-18</t>
        </is>
      </c>
    </row>
    <row r="3469">
      <c r="A3469" s="232" t="inlineStr">
        <is>
          <t>CR-3466</t>
        </is>
      </c>
      <c r="B3469" s="232" t="inlineStr">
        <is>
          <t>2026/27</t>
        </is>
      </c>
      <c r="C3469" s="233" t="n">
        <v>46142</v>
      </c>
      <c r="D3469" s="232" t="inlineStr">
        <is>
          <t>4228</t>
        </is>
      </c>
      <c r="E3469" s="232" t="inlineStr">
        <is>
          <t>PRORRATEO</t>
        </is>
      </c>
      <c r="F3469" s="232" t="inlineStr">
        <is>
          <t>Siberia</t>
        </is>
      </c>
      <c r="G3469" s="232" t="inlineStr">
        <is>
          <t>Timpson 7,1</t>
        </is>
      </c>
      <c r="H3469" s="232" t="inlineStr">
        <is>
          <t>Uvas</t>
        </is>
      </c>
      <c r="I3469" s="232" t="inlineStr">
        <is>
          <t>Timpson</t>
        </is>
      </c>
      <c r="J3469" s="232" t="inlineStr">
        <is>
          <t>ARRIENDOS</t>
        </is>
      </c>
      <c r="K3469" s="232" t="inlineStr">
        <is>
          <t>ARRIENDO GRUA HORQUILLA</t>
        </is>
      </c>
      <c r="L3469" s="232" t="inlineStr">
        <is>
          <t>[PRORRATEO 4.8% 7.1há/148.3há] O/001649 GAS ENV. 1</t>
        </is>
      </c>
      <c r="M3469" s="232" t="inlineStr"/>
      <c r="N3469" s="232" t="inlineStr">
        <is>
          <t>.   .   -</t>
        </is>
      </c>
      <c r="O3469" s="232" t="inlineStr">
        <is>
          <t>ABRIL</t>
        </is>
      </c>
      <c r="P3469" s="232" t="n">
        <v>17</v>
      </c>
      <c r="Q3469" s="234" t="n">
        <v>1561</v>
      </c>
      <c r="R3469" s="232" t="inlineStr"/>
      <c r="S3469" s="234" t="n">
        <v>1561</v>
      </c>
      <c r="T3469" s="232" t="inlineStr">
        <is>
          <t>CLP</t>
        </is>
      </c>
      <c r="U3469" s="232" t="inlineStr">
        <is>
          <t>Prorrateo Ha PACKING</t>
        </is>
      </c>
      <c r="V3469" s="232" t="inlineStr">
        <is>
          <t>2026-06-18</t>
        </is>
      </c>
    </row>
    <row r="3470">
      <c r="A3470" s="232" t="inlineStr">
        <is>
          <t>CR-3467</t>
        </is>
      </c>
      <c r="B3470" s="232" t="inlineStr">
        <is>
          <t>2026/27</t>
        </is>
      </c>
      <c r="C3470" s="233" t="n">
        <v>46148</v>
      </c>
      <c r="D3470" s="232" t="inlineStr">
        <is>
          <t>1</t>
        </is>
      </c>
      <c r="E3470" s="232" t="inlineStr">
        <is>
          <t>PRORRATEO</t>
        </is>
      </c>
      <c r="F3470" s="232" t="inlineStr">
        <is>
          <t>Asmara</t>
        </is>
      </c>
      <c r="G3470" s="232" t="inlineStr">
        <is>
          <t>w. murcott 19,8 ha</t>
        </is>
      </c>
      <c r="H3470" s="232" t="inlineStr">
        <is>
          <t>Mandarina</t>
        </is>
      </c>
      <c r="I3470" s="232" t="inlineStr">
        <is>
          <t>W. murcott</t>
        </is>
      </c>
      <c r="J3470" s="232" t="inlineStr">
        <is>
          <t>LABORES OPERACIONALES</t>
        </is>
      </c>
      <c r="K3470" s="232" t="inlineStr">
        <is>
          <t>LAB. PACKING</t>
        </is>
      </c>
      <c r="L3470" s="232" t="inlineStr">
        <is>
          <t>[PRORRATEO 13.4% 19.8há/148.3há] SERV.CONTRATISTA</t>
        </is>
      </c>
      <c r="M3470" s="232" t="inlineStr"/>
      <c r="N3470" s="232" t="inlineStr">
        <is>
          <t>.   .   -</t>
        </is>
      </c>
      <c r="O3470" s="232" t="inlineStr">
        <is>
          <t>MAYO</t>
        </is>
      </c>
      <c r="P3470" s="232" t="n">
        <v>17</v>
      </c>
      <c r="Q3470" s="234" t="n">
        <v>526598</v>
      </c>
      <c r="R3470" s="232" t="inlineStr"/>
      <c r="S3470" s="234" t="n">
        <v>526598</v>
      </c>
      <c r="T3470" s="232" t="inlineStr">
        <is>
          <t>CLP</t>
        </is>
      </c>
      <c r="U3470" s="232" t="inlineStr">
        <is>
          <t>Prorrateo Ha PACKING</t>
        </is>
      </c>
      <c r="V3470" s="232" t="inlineStr">
        <is>
          <t>2026-06-18</t>
        </is>
      </c>
    </row>
    <row r="3471">
      <c r="A3471" s="232" t="inlineStr">
        <is>
          <t>CR-3468</t>
        </is>
      </c>
      <c r="B3471" s="232" t="inlineStr">
        <is>
          <t>2026/27</t>
        </is>
      </c>
      <c r="C3471" s="233" t="n">
        <v>46148</v>
      </c>
      <c r="D3471" s="232" t="inlineStr">
        <is>
          <t>1</t>
        </is>
      </c>
      <c r="E3471" s="232" t="inlineStr">
        <is>
          <t>PRORRATEO</t>
        </is>
      </c>
      <c r="F3471" s="232" t="inlineStr">
        <is>
          <t>Asmara</t>
        </is>
      </c>
      <c r="G3471" s="232" t="inlineStr">
        <is>
          <t>w. murcott 4,9 ha</t>
        </is>
      </c>
      <c r="H3471" s="232" t="inlineStr">
        <is>
          <t>Mandarina</t>
        </is>
      </c>
      <c r="I3471" s="232" t="inlineStr">
        <is>
          <t>W. murcott</t>
        </is>
      </c>
      <c r="J3471" s="232" t="inlineStr">
        <is>
          <t>LABORES OPERACIONALES</t>
        </is>
      </c>
      <c r="K3471" s="232" t="inlineStr">
        <is>
          <t>LAB. PACKING</t>
        </is>
      </c>
      <c r="L3471" s="232" t="inlineStr">
        <is>
          <t>[PRORRATEO 3.3% 4.9há/148.3há] SERV.CONTRATISTA</t>
        </is>
      </c>
      <c r="M3471" s="232" t="inlineStr"/>
      <c r="N3471" s="232" t="inlineStr">
        <is>
          <t>.   .   -</t>
        </is>
      </c>
      <c r="O3471" s="232" t="inlineStr">
        <is>
          <t>MAYO</t>
        </is>
      </c>
      <c r="P3471" s="232" t="n">
        <v>17</v>
      </c>
      <c r="Q3471" s="234" t="n">
        <v>130320</v>
      </c>
      <c r="R3471" s="232" t="inlineStr"/>
      <c r="S3471" s="234" t="n">
        <v>130320</v>
      </c>
      <c r="T3471" s="232" t="inlineStr">
        <is>
          <t>CLP</t>
        </is>
      </c>
      <c r="U3471" s="232" t="inlineStr">
        <is>
          <t>Prorrateo Ha PACKING</t>
        </is>
      </c>
      <c r="V3471" s="232" t="inlineStr">
        <is>
          <t>2026-06-18</t>
        </is>
      </c>
    </row>
    <row r="3472">
      <c r="A3472" s="232" t="inlineStr">
        <is>
          <t>CR-3469</t>
        </is>
      </c>
      <c r="B3472" s="232" t="inlineStr">
        <is>
          <t>2026/27</t>
        </is>
      </c>
      <c r="C3472" s="233" t="n">
        <v>46148</v>
      </c>
      <c r="D3472" s="232" t="inlineStr">
        <is>
          <t>1</t>
        </is>
      </c>
      <c r="E3472" s="232" t="inlineStr">
        <is>
          <t>PRORRATEO</t>
        </is>
      </c>
      <c r="F3472" s="232" t="inlineStr">
        <is>
          <t>El Molle</t>
        </is>
      </c>
      <c r="G3472" s="232" t="inlineStr">
        <is>
          <t>Wonderful 5,25 ha</t>
        </is>
      </c>
      <c r="H3472" s="232" t="inlineStr">
        <is>
          <t>Granados</t>
        </is>
      </c>
      <c r="I3472" s="232" t="inlineStr">
        <is>
          <t>Wonderfull</t>
        </is>
      </c>
      <c r="J3472" s="232" t="inlineStr">
        <is>
          <t>LABORES OPERACIONALES</t>
        </is>
      </c>
      <c r="K3472" s="232" t="inlineStr">
        <is>
          <t>LAB. PACKING</t>
        </is>
      </c>
      <c r="L3472" s="232" t="inlineStr">
        <is>
          <t>[PRORRATEO 3.5% 5.24há/148.3há] SERV.CONTRATISTA</t>
        </is>
      </c>
      <c r="M3472" s="232" t="inlineStr"/>
      <c r="N3472" s="232" t="inlineStr">
        <is>
          <t>.   .   -</t>
        </is>
      </c>
      <c r="O3472" s="232" t="inlineStr">
        <is>
          <t>MAYO</t>
        </is>
      </c>
      <c r="P3472" s="232" t="n">
        <v>17</v>
      </c>
      <c r="Q3472" s="234" t="n">
        <v>139362</v>
      </c>
      <c r="R3472" s="232" t="inlineStr"/>
      <c r="S3472" s="234" t="n">
        <v>139362</v>
      </c>
      <c r="T3472" s="232" t="inlineStr">
        <is>
          <t>CLP</t>
        </is>
      </c>
      <c r="U3472" s="232" t="inlineStr">
        <is>
          <t>Prorrateo Ha PACKING</t>
        </is>
      </c>
      <c r="V3472" s="232" t="inlineStr">
        <is>
          <t>2026-06-18</t>
        </is>
      </c>
    </row>
    <row r="3473">
      <c r="A3473" s="232" t="inlineStr">
        <is>
          <t>CR-3470</t>
        </is>
      </c>
      <c r="B3473" s="232" t="inlineStr">
        <is>
          <t>2026/27</t>
        </is>
      </c>
      <c r="C3473" s="233" t="n">
        <v>46148</v>
      </c>
      <c r="D3473" s="232" t="inlineStr">
        <is>
          <t>1</t>
        </is>
      </c>
      <c r="E3473" s="232" t="inlineStr">
        <is>
          <t>PRORRATEO</t>
        </is>
      </c>
      <c r="F3473" s="232" t="inlineStr">
        <is>
          <t>El Molle</t>
        </is>
      </c>
      <c r="G3473" s="232" t="inlineStr">
        <is>
          <t>arrufatinas 5,74 ha</t>
        </is>
      </c>
      <c r="H3473" s="232" t="inlineStr">
        <is>
          <t>Clementinas</t>
        </is>
      </c>
      <c r="I3473" s="232" t="inlineStr">
        <is>
          <t>Arrufatinas</t>
        </is>
      </c>
      <c r="J3473" s="232" t="inlineStr">
        <is>
          <t>LABORES OPERACIONALES</t>
        </is>
      </c>
      <c r="K3473" s="232" t="inlineStr">
        <is>
          <t>LAB. PACKING</t>
        </is>
      </c>
      <c r="L3473" s="232" t="inlineStr">
        <is>
          <t>[PRORRATEO 3.9% 5.74há/148.3há] SERV.CONTRATISTA</t>
        </is>
      </c>
      <c r="M3473" s="232" t="inlineStr"/>
      <c r="N3473" s="232" t="inlineStr">
        <is>
          <t>.   .   -</t>
        </is>
      </c>
      <c r="O3473" s="232" t="inlineStr">
        <is>
          <t>MAYO</t>
        </is>
      </c>
      <c r="P3473" s="232" t="n">
        <v>17</v>
      </c>
      <c r="Q3473" s="234" t="n">
        <v>152660</v>
      </c>
      <c r="R3473" s="232" t="inlineStr"/>
      <c r="S3473" s="234" t="n">
        <v>152660</v>
      </c>
      <c r="T3473" s="232" t="inlineStr">
        <is>
          <t>CLP</t>
        </is>
      </c>
      <c r="U3473" s="232" t="inlineStr">
        <is>
          <t>Prorrateo Ha PACKING</t>
        </is>
      </c>
      <c r="V3473" s="232" t="inlineStr">
        <is>
          <t>2026-06-18</t>
        </is>
      </c>
    </row>
    <row r="3474">
      <c r="A3474" s="232" t="inlineStr">
        <is>
          <t>CR-3471</t>
        </is>
      </c>
      <c r="B3474" s="232" t="inlineStr">
        <is>
          <t>2026/27</t>
        </is>
      </c>
      <c r="C3474" s="233" t="n">
        <v>46148</v>
      </c>
      <c r="D3474" s="232" t="inlineStr">
        <is>
          <t>1</t>
        </is>
      </c>
      <c r="E3474" s="232" t="inlineStr">
        <is>
          <t>PRORRATEO</t>
        </is>
      </c>
      <c r="F3474" s="232" t="inlineStr">
        <is>
          <t>El Molle</t>
        </is>
      </c>
      <c r="G3474" s="232" t="inlineStr">
        <is>
          <t>orogrande 8,11 ha</t>
        </is>
      </c>
      <c r="H3474" s="232" t="inlineStr">
        <is>
          <t>Clementinas</t>
        </is>
      </c>
      <c r="I3474" s="232" t="inlineStr">
        <is>
          <t>Orogrande</t>
        </is>
      </c>
      <c r="J3474" s="232" t="inlineStr">
        <is>
          <t>LABORES OPERACIONALES</t>
        </is>
      </c>
      <c r="K3474" s="232" t="inlineStr">
        <is>
          <t>LAB. PACKING</t>
        </is>
      </c>
      <c r="L3474" s="232" t="inlineStr">
        <is>
          <t>[PRORRATEO 5.5% 8.11há/148.3há] SERV.CONTRATISTA</t>
        </is>
      </c>
      <c r="M3474" s="232" t="inlineStr"/>
      <c r="N3474" s="232" t="inlineStr">
        <is>
          <t>.   .   -</t>
        </is>
      </c>
      <c r="O3474" s="232" t="inlineStr">
        <is>
          <t>MAYO</t>
        </is>
      </c>
      <c r="P3474" s="232" t="n">
        <v>17</v>
      </c>
      <c r="Q3474" s="234" t="n">
        <v>215692</v>
      </c>
      <c r="R3474" s="232" t="inlineStr"/>
      <c r="S3474" s="234" t="n">
        <v>215692</v>
      </c>
      <c r="T3474" s="232" t="inlineStr">
        <is>
          <t>CLP</t>
        </is>
      </c>
      <c r="U3474" s="232" t="inlineStr">
        <is>
          <t>Prorrateo Ha PACKING</t>
        </is>
      </c>
      <c r="V3474" s="232" t="inlineStr">
        <is>
          <t>2026-06-18</t>
        </is>
      </c>
    </row>
    <row r="3475">
      <c r="A3475" s="232" t="inlineStr">
        <is>
          <t>CR-3472</t>
        </is>
      </c>
      <c r="B3475" s="232" t="inlineStr">
        <is>
          <t>2026/27</t>
        </is>
      </c>
      <c r="C3475" s="233" t="n">
        <v>46148</v>
      </c>
      <c r="D3475" s="232" t="inlineStr">
        <is>
          <t>1</t>
        </is>
      </c>
      <c r="E3475" s="232" t="inlineStr">
        <is>
          <t>PRORRATEO</t>
        </is>
      </c>
      <c r="F3475" s="232" t="inlineStr">
        <is>
          <t>El Molle</t>
        </is>
      </c>
      <c r="G3475" s="232" t="inlineStr">
        <is>
          <t>oronules 5,35 ha</t>
        </is>
      </c>
      <c r="H3475" s="232" t="inlineStr">
        <is>
          <t>Clementinas</t>
        </is>
      </c>
      <c r="I3475" s="232" t="inlineStr">
        <is>
          <t>Oronules</t>
        </is>
      </c>
      <c r="J3475" s="232" t="inlineStr">
        <is>
          <t>LABORES OPERACIONALES</t>
        </is>
      </c>
      <c r="K3475" s="232" t="inlineStr">
        <is>
          <t>LAB. PACKING</t>
        </is>
      </c>
      <c r="L3475" s="232" t="inlineStr">
        <is>
          <t>[PRORRATEO 3.6% 5.35há/148.3há] SERV.CONTRATISTA</t>
        </is>
      </c>
      <c r="M3475" s="232" t="inlineStr"/>
      <c r="N3475" s="232" t="inlineStr">
        <is>
          <t>.   .   -</t>
        </is>
      </c>
      <c r="O3475" s="232" t="inlineStr">
        <is>
          <t>MAYO</t>
        </is>
      </c>
      <c r="P3475" s="232" t="n">
        <v>17</v>
      </c>
      <c r="Q3475" s="234" t="n">
        <v>142288</v>
      </c>
      <c r="R3475" s="232" t="inlineStr"/>
      <c r="S3475" s="234" t="n">
        <v>142288</v>
      </c>
      <c r="T3475" s="232" t="inlineStr">
        <is>
          <t>CLP</t>
        </is>
      </c>
      <c r="U3475" s="232" t="inlineStr">
        <is>
          <t>Prorrateo Ha PACKING</t>
        </is>
      </c>
      <c r="V3475" s="232" t="inlineStr">
        <is>
          <t>2026-06-18</t>
        </is>
      </c>
    </row>
    <row r="3476">
      <c r="A3476" s="232" t="inlineStr">
        <is>
          <t>CR-3473</t>
        </is>
      </c>
      <c r="B3476" s="232" t="inlineStr">
        <is>
          <t>2026/27</t>
        </is>
      </c>
      <c r="C3476" s="233" t="n">
        <v>46148</v>
      </c>
      <c r="D3476" s="232" t="inlineStr">
        <is>
          <t>1</t>
        </is>
      </c>
      <c r="E3476" s="232" t="inlineStr">
        <is>
          <t>PRORRATEO</t>
        </is>
      </c>
      <c r="F3476" s="232" t="inlineStr">
        <is>
          <t>Santa Catalina</t>
        </is>
      </c>
      <c r="G3476" s="232" t="inlineStr">
        <is>
          <t>Fino 49 7,7 ha</t>
        </is>
      </c>
      <c r="H3476" s="232" t="inlineStr">
        <is>
          <t>Limon</t>
        </is>
      </c>
      <c r="I3476" s="232" t="inlineStr">
        <is>
          <t>Fino 49</t>
        </is>
      </c>
      <c r="J3476" s="232" t="inlineStr">
        <is>
          <t>LABORES OPERACIONALES</t>
        </is>
      </c>
      <c r="K3476" s="232" t="inlineStr">
        <is>
          <t>LAB. PACKING</t>
        </is>
      </c>
      <c r="L3476" s="232" t="inlineStr">
        <is>
          <t>[PRORRATEO 5.2% 7.7há/148.3há] SERV.CONTRATISTA</t>
        </is>
      </c>
      <c r="M3476" s="232" t="inlineStr"/>
      <c r="N3476" s="232" t="inlineStr">
        <is>
          <t>.   .   -</t>
        </is>
      </c>
      <c r="O3476" s="232" t="inlineStr">
        <is>
          <t>MAYO</t>
        </is>
      </c>
      <c r="P3476" s="232" t="n">
        <v>17</v>
      </c>
      <c r="Q3476" s="234" t="n">
        <v>204788</v>
      </c>
      <c r="R3476" s="232" t="inlineStr"/>
      <c r="S3476" s="234" t="n">
        <v>204788</v>
      </c>
      <c r="T3476" s="232" t="inlineStr">
        <is>
          <t>CLP</t>
        </is>
      </c>
      <c r="U3476" s="232" t="inlineStr">
        <is>
          <t>Prorrateo Ha PACKING</t>
        </is>
      </c>
      <c r="V3476" s="232" t="inlineStr">
        <is>
          <t>2026-06-18</t>
        </is>
      </c>
    </row>
    <row r="3477">
      <c r="A3477" s="232" t="inlineStr">
        <is>
          <t>CR-3474</t>
        </is>
      </c>
      <c r="B3477" s="232" t="inlineStr">
        <is>
          <t>2026/27</t>
        </is>
      </c>
      <c r="C3477" s="233" t="n">
        <v>46148</v>
      </c>
      <c r="D3477" s="232" t="inlineStr">
        <is>
          <t>1</t>
        </is>
      </c>
      <c r="E3477" s="232" t="inlineStr">
        <is>
          <t>PRORRATEO</t>
        </is>
      </c>
      <c r="F3477" s="232" t="inlineStr">
        <is>
          <t>Santa Catalina</t>
        </is>
      </c>
      <c r="G3477" s="232" t="inlineStr">
        <is>
          <t>W. murcott 21 ha</t>
        </is>
      </c>
      <c r="H3477" s="232" t="inlineStr">
        <is>
          <t>Mandarina</t>
        </is>
      </c>
      <c r="I3477" s="232" t="inlineStr">
        <is>
          <t>W. murcott</t>
        </is>
      </c>
      <c r="J3477" s="232" t="inlineStr">
        <is>
          <t>LABORES OPERACIONALES</t>
        </is>
      </c>
      <c r="K3477" s="232" t="inlineStr">
        <is>
          <t>LAB. PACKING</t>
        </is>
      </c>
      <c r="L3477" s="232" t="inlineStr">
        <is>
          <t>[PRORRATEO 14.2% 21.0há/148.3há] SERV.CONTRATISTA</t>
        </is>
      </c>
      <c r="M3477" s="232" t="inlineStr"/>
      <c r="N3477" s="232" t="inlineStr">
        <is>
          <t>.   .   -</t>
        </is>
      </c>
      <c r="O3477" s="232" t="inlineStr">
        <is>
          <t>MAYO</t>
        </is>
      </c>
      <c r="P3477" s="232" t="n">
        <v>17</v>
      </c>
      <c r="Q3477" s="234" t="n">
        <v>558513</v>
      </c>
      <c r="R3477" s="232" t="inlineStr"/>
      <c r="S3477" s="234" t="n">
        <v>558513</v>
      </c>
      <c r="T3477" s="232" t="inlineStr">
        <is>
          <t>CLP</t>
        </is>
      </c>
      <c r="U3477" s="232" t="inlineStr">
        <is>
          <t>Prorrateo Ha PACKING</t>
        </is>
      </c>
      <c r="V3477" s="232" t="inlineStr">
        <is>
          <t>2026-06-18</t>
        </is>
      </c>
    </row>
    <row r="3478">
      <c r="A3478" s="232" t="inlineStr">
        <is>
          <t>CR-3475</t>
        </is>
      </c>
      <c r="B3478" s="232" t="inlineStr">
        <is>
          <t>2026/27</t>
        </is>
      </c>
      <c r="C3478" s="233" t="n">
        <v>46148</v>
      </c>
      <c r="D3478" s="232" t="inlineStr">
        <is>
          <t>1</t>
        </is>
      </c>
      <c r="E3478" s="232" t="inlineStr">
        <is>
          <t>PRORRATEO</t>
        </is>
      </c>
      <c r="F3478" s="232" t="inlineStr">
        <is>
          <t>Santa Catalina</t>
        </is>
      </c>
      <c r="G3478" s="232" t="inlineStr">
        <is>
          <t>cambria 4,2 ha</t>
        </is>
      </c>
      <c r="H3478" s="232" t="inlineStr">
        <is>
          <t>Naranjas</t>
        </is>
      </c>
      <c r="I3478" s="232" t="inlineStr">
        <is>
          <t>Cambria</t>
        </is>
      </c>
      <c r="J3478" s="232" t="inlineStr">
        <is>
          <t>LABORES OPERACIONALES</t>
        </is>
      </c>
      <c r="K3478" s="232" t="inlineStr">
        <is>
          <t>LAB. PACKING</t>
        </is>
      </c>
      <c r="L3478" s="232" t="inlineStr">
        <is>
          <t>[PRORRATEO 2.8% 4.2há/148.3há] SERV.CONTRATISTA</t>
        </is>
      </c>
      <c r="M3478" s="232" t="inlineStr"/>
      <c r="N3478" s="232" t="inlineStr">
        <is>
          <t>.   .   -</t>
        </is>
      </c>
      <c r="O3478" s="232" t="inlineStr">
        <is>
          <t>MAYO</t>
        </is>
      </c>
      <c r="P3478" s="232" t="n">
        <v>17</v>
      </c>
      <c r="Q3478" s="234" t="n">
        <v>111703</v>
      </c>
      <c r="R3478" s="232" t="inlineStr"/>
      <c r="S3478" s="234" t="n">
        <v>111703</v>
      </c>
      <c r="T3478" s="232" t="inlineStr">
        <is>
          <t>CLP</t>
        </is>
      </c>
      <c r="U3478" s="232" t="inlineStr">
        <is>
          <t>Prorrateo Ha PACKING</t>
        </is>
      </c>
      <c r="V3478" s="232" t="inlineStr">
        <is>
          <t>2026-06-18</t>
        </is>
      </c>
    </row>
    <row r="3479">
      <c r="A3479" s="232" t="inlineStr">
        <is>
          <t>CR-3476</t>
        </is>
      </c>
      <c r="B3479" s="232" t="inlineStr">
        <is>
          <t>2026/27</t>
        </is>
      </c>
      <c r="C3479" s="233" t="n">
        <v>46148</v>
      </c>
      <c r="D3479" s="232" t="inlineStr">
        <is>
          <t>1</t>
        </is>
      </c>
      <c r="E3479" s="232" t="inlineStr">
        <is>
          <t>PRORRATEO</t>
        </is>
      </c>
      <c r="F3479" s="232" t="inlineStr">
        <is>
          <t>Santa Catalina</t>
        </is>
      </c>
      <c r="G3479" s="232" t="inlineStr">
        <is>
          <t>eureka 10,6 ha</t>
        </is>
      </c>
      <c r="H3479" s="232" t="inlineStr">
        <is>
          <t>Limon</t>
        </is>
      </c>
      <c r="I3479" s="232" t="inlineStr">
        <is>
          <t>Eureka</t>
        </is>
      </c>
      <c r="J3479" s="232" t="inlineStr">
        <is>
          <t>LABORES OPERACIONALES</t>
        </is>
      </c>
      <c r="K3479" s="232" t="inlineStr">
        <is>
          <t>LAB. PACKING</t>
        </is>
      </c>
      <c r="L3479" s="232" t="inlineStr">
        <is>
          <t>[PRORRATEO 7.1% 10.6há/148.3há] SERV.CONTRATISTA</t>
        </is>
      </c>
      <c r="M3479" s="232" t="inlineStr"/>
      <c r="N3479" s="232" t="inlineStr">
        <is>
          <t>.   .   -</t>
        </is>
      </c>
      <c r="O3479" s="232" t="inlineStr">
        <is>
          <t>MAYO</t>
        </is>
      </c>
      <c r="P3479" s="232" t="n">
        <v>17</v>
      </c>
      <c r="Q3479" s="234" t="n">
        <v>281916</v>
      </c>
      <c r="R3479" s="232" t="inlineStr"/>
      <c r="S3479" s="234" t="n">
        <v>281916</v>
      </c>
      <c r="T3479" s="232" t="inlineStr">
        <is>
          <t>CLP</t>
        </is>
      </c>
      <c r="U3479" s="232" t="inlineStr">
        <is>
          <t>Prorrateo Ha PACKING</t>
        </is>
      </c>
      <c r="V3479" s="232" t="inlineStr">
        <is>
          <t>2026-06-18</t>
        </is>
      </c>
    </row>
    <row r="3480">
      <c r="A3480" s="232" t="inlineStr">
        <is>
          <t>CR-3477</t>
        </is>
      </c>
      <c r="B3480" s="232" t="inlineStr">
        <is>
          <t>2026/27</t>
        </is>
      </c>
      <c r="C3480" s="233" t="n">
        <v>46148</v>
      </c>
      <c r="D3480" s="232" t="inlineStr">
        <is>
          <t>1</t>
        </is>
      </c>
      <c r="E3480" s="232" t="inlineStr">
        <is>
          <t>PRORRATEO</t>
        </is>
      </c>
      <c r="F3480" s="232" t="inlineStr">
        <is>
          <t>Santa Catalina</t>
        </is>
      </c>
      <c r="G3480" s="232" t="inlineStr">
        <is>
          <t>eureka 14,4 ha</t>
        </is>
      </c>
      <c r="H3480" s="232" t="inlineStr">
        <is>
          <t>Limon</t>
        </is>
      </c>
      <c r="I3480" s="232" t="inlineStr">
        <is>
          <t>Eureka</t>
        </is>
      </c>
      <c r="J3480" s="232" t="inlineStr">
        <is>
          <t>LABORES OPERACIONALES</t>
        </is>
      </c>
      <c r="K3480" s="232" t="inlineStr">
        <is>
          <t>LAB. PACKING</t>
        </is>
      </c>
      <c r="L3480" s="232" t="inlineStr">
        <is>
          <t>[PRORRATEO 9.7% 14.4há/148.3há] SERV.CONTRATISTA</t>
        </is>
      </c>
      <c r="M3480" s="232" t="inlineStr"/>
      <c r="N3480" s="232" t="inlineStr">
        <is>
          <t>.   .   -</t>
        </is>
      </c>
      <c r="O3480" s="232" t="inlineStr">
        <is>
          <t>MAYO</t>
        </is>
      </c>
      <c r="P3480" s="232" t="n">
        <v>17</v>
      </c>
      <c r="Q3480" s="234" t="n">
        <v>382980</v>
      </c>
      <c r="R3480" s="232" t="inlineStr"/>
      <c r="S3480" s="234" t="n">
        <v>382980</v>
      </c>
      <c r="T3480" s="232" t="inlineStr">
        <is>
          <t>CLP</t>
        </is>
      </c>
      <c r="U3480" s="232" t="inlineStr">
        <is>
          <t>Prorrateo Ha PACKING</t>
        </is>
      </c>
      <c r="V3480" s="232" t="inlineStr">
        <is>
          <t>2026-06-18</t>
        </is>
      </c>
    </row>
    <row r="3481">
      <c r="A3481" s="232" t="inlineStr">
        <is>
          <t>CR-3478</t>
        </is>
      </c>
      <c r="B3481" s="232" t="inlineStr">
        <is>
          <t>2026/27</t>
        </is>
      </c>
      <c r="C3481" s="233" t="n">
        <v>46148</v>
      </c>
      <c r="D3481" s="232" t="inlineStr">
        <is>
          <t>1</t>
        </is>
      </c>
      <c r="E3481" s="232" t="inlineStr">
        <is>
          <t>PRORRATEO</t>
        </is>
      </c>
      <c r="F3481" s="232" t="inlineStr">
        <is>
          <t>Santa Catalina</t>
        </is>
      </c>
      <c r="G3481" s="232" t="inlineStr">
        <is>
          <t>eureka 22,55</t>
        </is>
      </c>
      <c r="H3481" s="232" t="inlineStr">
        <is>
          <t>Limon</t>
        </is>
      </c>
      <c r="I3481" s="232" t="inlineStr">
        <is>
          <t>Eureka</t>
        </is>
      </c>
      <c r="J3481" s="232" t="inlineStr">
        <is>
          <t>LABORES OPERACIONALES</t>
        </is>
      </c>
      <c r="K3481" s="232" t="inlineStr">
        <is>
          <t>LAB. PACKING</t>
        </is>
      </c>
      <c r="L3481" s="232" t="inlineStr">
        <is>
          <t>[PRORRATEO 15.2% 22.55há/148.3há] SERV.CONTRATISTA</t>
        </is>
      </c>
      <c r="M3481" s="232" t="inlineStr"/>
      <c r="N3481" s="232" t="inlineStr">
        <is>
          <t>.   .   -</t>
        </is>
      </c>
      <c r="O3481" s="232" t="inlineStr">
        <is>
          <t>MAYO</t>
        </is>
      </c>
      <c r="P3481" s="232" t="n">
        <v>17</v>
      </c>
      <c r="Q3481" s="234" t="n">
        <v>599736</v>
      </c>
      <c r="R3481" s="232" t="inlineStr"/>
      <c r="S3481" s="234" t="n">
        <v>599736</v>
      </c>
      <c r="T3481" s="232" t="inlineStr">
        <is>
          <t>CLP</t>
        </is>
      </c>
      <c r="U3481" s="232" t="inlineStr">
        <is>
          <t>Prorrateo Ha PACKING</t>
        </is>
      </c>
      <c r="V3481" s="232" t="inlineStr">
        <is>
          <t>2026-06-18</t>
        </is>
      </c>
    </row>
    <row r="3482">
      <c r="A3482" s="232" t="inlineStr">
        <is>
          <t>CR-3479</t>
        </is>
      </c>
      <c r="B3482" s="232" t="inlineStr">
        <is>
          <t>2026/27</t>
        </is>
      </c>
      <c r="C3482" s="233" t="n">
        <v>46148</v>
      </c>
      <c r="D3482" s="232" t="inlineStr">
        <is>
          <t>1</t>
        </is>
      </c>
      <c r="E3482" s="232" t="inlineStr">
        <is>
          <t>PRORRATEO</t>
        </is>
      </c>
      <c r="F3482" s="232" t="inlineStr">
        <is>
          <t>Santa Catalina</t>
        </is>
      </c>
      <c r="G3482" s="232" t="inlineStr">
        <is>
          <t>form benjamin 1,93 ha</t>
        </is>
      </c>
      <c r="H3482" s="232" t="inlineStr">
        <is>
          <t>Limon</t>
        </is>
      </c>
      <c r="I3482" s="232" t="inlineStr">
        <is>
          <t>Benjamin andes</t>
        </is>
      </c>
      <c r="J3482" s="232" t="inlineStr">
        <is>
          <t>LABORES OPERACIONALES</t>
        </is>
      </c>
      <c r="K3482" s="232" t="inlineStr">
        <is>
          <t>LAB. PACKING</t>
        </is>
      </c>
      <c r="L3482" s="232" t="inlineStr">
        <is>
          <t>[PRORRATEO 1.3% 1.93há/148.3há] SERV.CONTRATISTA</t>
        </is>
      </c>
      <c r="M3482" s="232" t="inlineStr"/>
      <c r="N3482" s="232" t="inlineStr">
        <is>
          <t>.   .   -</t>
        </is>
      </c>
      <c r="O3482" s="232" t="inlineStr">
        <is>
          <t>MAYO</t>
        </is>
      </c>
      <c r="P3482" s="232" t="n">
        <v>17</v>
      </c>
      <c r="Q3482" s="234" t="n">
        <v>51330</v>
      </c>
      <c r="R3482" s="232" t="inlineStr"/>
      <c r="S3482" s="234" t="n">
        <v>51330</v>
      </c>
      <c r="T3482" s="232" t="inlineStr">
        <is>
          <t>CLP</t>
        </is>
      </c>
      <c r="U3482" s="232" t="inlineStr">
        <is>
          <t>Prorrateo Ha PACKING</t>
        </is>
      </c>
      <c r="V3482" s="232" t="inlineStr">
        <is>
          <t>2026-06-18</t>
        </is>
      </c>
    </row>
    <row r="3483">
      <c r="A3483" s="232" t="inlineStr">
        <is>
          <t>CR-3480</t>
        </is>
      </c>
      <c r="B3483" s="232" t="inlineStr">
        <is>
          <t>2026/27</t>
        </is>
      </c>
      <c r="C3483" s="233" t="n">
        <v>46148</v>
      </c>
      <c r="D3483" s="232" t="inlineStr">
        <is>
          <t>1</t>
        </is>
      </c>
      <c r="E3483" s="232" t="inlineStr">
        <is>
          <t>PRORRATEO</t>
        </is>
      </c>
      <c r="F3483" s="232" t="inlineStr">
        <is>
          <t>Santa Catalina</t>
        </is>
      </c>
      <c r="G3483" s="232" t="inlineStr">
        <is>
          <t>mant eureka 2,5 ha</t>
        </is>
      </c>
      <c r="H3483" s="232" t="inlineStr">
        <is>
          <t>Limon</t>
        </is>
      </c>
      <c r="I3483" s="232" t="inlineStr">
        <is>
          <t>Eureka</t>
        </is>
      </c>
      <c r="J3483" s="232" t="inlineStr">
        <is>
          <t>LABORES OPERACIONALES</t>
        </is>
      </c>
      <c r="K3483" s="232" t="inlineStr">
        <is>
          <t>LAB. PACKING</t>
        </is>
      </c>
      <c r="L3483" s="232" t="inlineStr">
        <is>
          <t>[PRORRATEO 1.7% 2.5há/148.3há] SERV.CONTRATISTA</t>
        </is>
      </c>
      <c r="M3483" s="232" t="inlineStr"/>
      <c r="N3483" s="232" t="inlineStr">
        <is>
          <t>.   .   -</t>
        </is>
      </c>
      <c r="O3483" s="232" t="inlineStr">
        <is>
          <t>MAYO</t>
        </is>
      </c>
      <c r="P3483" s="232" t="n">
        <v>17</v>
      </c>
      <c r="Q3483" s="234" t="n">
        <v>66490</v>
      </c>
      <c r="R3483" s="232" t="inlineStr"/>
      <c r="S3483" s="234" t="n">
        <v>66490</v>
      </c>
      <c r="T3483" s="232" t="inlineStr">
        <is>
          <t>CLP</t>
        </is>
      </c>
      <c r="U3483" s="232" t="inlineStr">
        <is>
          <t>Prorrateo Ha PACKING</t>
        </is>
      </c>
      <c r="V3483" s="232" t="inlineStr">
        <is>
          <t>2026-06-18</t>
        </is>
      </c>
    </row>
    <row r="3484">
      <c r="A3484" s="232" t="inlineStr">
        <is>
          <t>CR-3481</t>
        </is>
      </c>
      <c r="B3484" s="232" t="inlineStr">
        <is>
          <t>2026/27</t>
        </is>
      </c>
      <c r="C3484" s="233" t="n">
        <v>46148</v>
      </c>
      <c r="D3484" s="232" t="inlineStr">
        <is>
          <t>1</t>
        </is>
      </c>
      <c r="E3484" s="232" t="inlineStr">
        <is>
          <t>PRORRATEO</t>
        </is>
      </c>
      <c r="F3484" s="232" t="inlineStr">
        <is>
          <t>Siberia</t>
        </is>
      </c>
      <c r="G3484" s="232" t="inlineStr">
        <is>
          <t>S. Celebration 7,14</t>
        </is>
      </c>
      <c r="H3484" s="232" t="inlineStr">
        <is>
          <t>Uvas</t>
        </is>
      </c>
      <c r="I3484" s="232" t="inlineStr">
        <is>
          <t>S. celebration</t>
        </is>
      </c>
      <c r="J3484" s="232" t="inlineStr">
        <is>
          <t>LABORES OPERACIONALES</t>
        </is>
      </c>
      <c r="K3484" s="232" t="inlineStr">
        <is>
          <t>LAB. PACKING</t>
        </is>
      </c>
      <c r="L3484" s="232" t="inlineStr">
        <is>
          <t>[PRORRATEO 4.8% 7.14há/148.3há] SERV.CONTRATISTA</t>
        </is>
      </c>
      <c r="M3484" s="232" t="inlineStr"/>
      <c r="N3484" s="232" t="inlineStr">
        <is>
          <t>.   .   -</t>
        </is>
      </c>
      <c r="O3484" s="232" t="inlineStr">
        <is>
          <t>MAYO</t>
        </is>
      </c>
      <c r="P3484" s="232" t="n">
        <v>17</v>
      </c>
      <c r="Q3484" s="234" t="n">
        <v>189894</v>
      </c>
      <c r="R3484" s="232" t="inlineStr"/>
      <c r="S3484" s="234" t="n">
        <v>189894</v>
      </c>
      <c r="T3484" s="232" t="inlineStr">
        <is>
          <t>CLP</t>
        </is>
      </c>
      <c r="U3484" s="232" t="inlineStr">
        <is>
          <t>Prorrateo Ha PACKING</t>
        </is>
      </c>
      <c r="V3484" s="232" t="inlineStr">
        <is>
          <t>2026-06-18</t>
        </is>
      </c>
    </row>
    <row r="3485">
      <c r="A3485" s="232" t="inlineStr">
        <is>
          <t>CR-3482</t>
        </is>
      </c>
      <c r="B3485" s="232" t="inlineStr">
        <is>
          <t>2026/27</t>
        </is>
      </c>
      <c r="C3485" s="233" t="n">
        <v>46148</v>
      </c>
      <c r="D3485" s="232" t="inlineStr">
        <is>
          <t>1</t>
        </is>
      </c>
      <c r="E3485" s="232" t="inlineStr">
        <is>
          <t>PRORRATEO</t>
        </is>
      </c>
      <c r="F3485" s="232" t="inlineStr">
        <is>
          <t>Siberia</t>
        </is>
      </c>
      <c r="G3485" s="232" t="inlineStr">
        <is>
          <t>Timpson 7,1</t>
        </is>
      </c>
      <c r="H3485" s="232" t="inlineStr">
        <is>
          <t>Uvas</t>
        </is>
      </c>
      <c r="I3485" s="232" t="inlineStr">
        <is>
          <t>Timpson</t>
        </is>
      </c>
      <c r="J3485" s="232" t="inlineStr">
        <is>
          <t>LABORES OPERACIONALES</t>
        </is>
      </c>
      <c r="K3485" s="232" t="inlineStr">
        <is>
          <t>LAB. PACKING</t>
        </is>
      </c>
      <c r="L3485" s="232" t="inlineStr">
        <is>
          <t>[PRORRATEO 4.8% 7.1há/148.3há] SERV.CONTRATISTA</t>
        </is>
      </c>
      <c r="M3485" s="232" t="inlineStr"/>
      <c r="N3485" s="232" t="inlineStr">
        <is>
          <t>.   .   -</t>
        </is>
      </c>
      <c r="O3485" s="232" t="inlineStr">
        <is>
          <t>MAYO</t>
        </is>
      </c>
      <c r="P3485" s="232" t="n">
        <v>17</v>
      </c>
      <c r="Q3485" s="234" t="n">
        <v>188831</v>
      </c>
      <c r="R3485" s="232" t="inlineStr"/>
      <c r="S3485" s="234" t="n">
        <v>188831</v>
      </c>
      <c r="T3485" s="232" t="inlineStr">
        <is>
          <t>CLP</t>
        </is>
      </c>
      <c r="U3485" s="232" t="inlineStr">
        <is>
          <t>Prorrateo Ha PACKING</t>
        </is>
      </c>
      <c r="V3485" s="232" t="inlineStr">
        <is>
          <t>2026-06-18</t>
        </is>
      </c>
    </row>
    <row r="3486">
      <c r="A3486" s="232" t="inlineStr">
        <is>
          <t>CR-3483</t>
        </is>
      </c>
      <c r="B3486" s="232" t="inlineStr">
        <is>
          <t>2026/27</t>
        </is>
      </c>
      <c r="C3486" s="233" t="n">
        <v>46148</v>
      </c>
      <c r="D3486" s="232" t="inlineStr">
        <is>
          <t>2</t>
        </is>
      </c>
      <c r="E3486" s="232" t="inlineStr">
        <is>
          <t>PRORRATEO</t>
        </is>
      </c>
      <c r="F3486" s="232" t="inlineStr">
        <is>
          <t>Asmara</t>
        </is>
      </c>
      <c r="G3486" s="232" t="inlineStr">
        <is>
          <t>w. murcott 19,8 ha</t>
        </is>
      </c>
      <c r="H3486" s="232" t="inlineStr">
        <is>
          <t>Mandarina</t>
        </is>
      </c>
      <c r="I3486" s="232" t="inlineStr">
        <is>
          <t>W. murcott</t>
        </is>
      </c>
      <c r="J3486" s="232" t="inlineStr">
        <is>
          <t>LABORES OPERACIONALES</t>
        </is>
      </c>
      <c r="K3486" s="232" t="inlineStr">
        <is>
          <t>LAB. PACKING</t>
        </is>
      </c>
      <c r="L3486" s="232" t="inlineStr">
        <is>
          <t>[PRORRATEO 13.4% 19.8há/148.3há] SERV.CONTRATISTA</t>
        </is>
      </c>
      <c r="M3486" s="232" t="inlineStr"/>
      <c r="N3486" s="232" t="inlineStr">
        <is>
          <t>.   .   -</t>
        </is>
      </c>
      <c r="O3486" s="232" t="inlineStr">
        <is>
          <t>MAYO</t>
        </is>
      </c>
      <c r="P3486" s="232" t="n">
        <v>17</v>
      </c>
      <c r="Q3486" s="234" t="n">
        <v>555297</v>
      </c>
      <c r="R3486" s="232" t="inlineStr"/>
      <c r="S3486" s="234" t="n">
        <v>555297</v>
      </c>
      <c r="T3486" s="232" t="inlineStr">
        <is>
          <t>CLP</t>
        </is>
      </c>
      <c r="U3486" s="232" t="inlineStr">
        <is>
          <t>Prorrateo Ha PACKING</t>
        </is>
      </c>
      <c r="V3486" s="232" t="inlineStr">
        <is>
          <t>2026-06-18</t>
        </is>
      </c>
    </row>
    <row r="3487">
      <c r="A3487" s="232" t="inlineStr">
        <is>
          <t>CR-3484</t>
        </is>
      </c>
      <c r="B3487" s="232" t="inlineStr">
        <is>
          <t>2026/27</t>
        </is>
      </c>
      <c r="C3487" s="233" t="n">
        <v>46148</v>
      </c>
      <c r="D3487" s="232" t="inlineStr">
        <is>
          <t>2</t>
        </is>
      </c>
      <c r="E3487" s="232" t="inlineStr">
        <is>
          <t>PRORRATEO</t>
        </is>
      </c>
      <c r="F3487" s="232" t="inlineStr">
        <is>
          <t>Asmara</t>
        </is>
      </c>
      <c r="G3487" s="232" t="inlineStr">
        <is>
          <t>w. murcott 4,9 ha</t>
        </is>
      </c>
      <c r="H3487" s="232" t="inlineStr">
        <is>
          <t>Mandarina</t>
        </is>
      </c>
      <c r="I3487" s="232" t="inlineStr">
        <is>
          <t>W. murcott</t>
        </is>
      </c>
      <c r="J3487" s="232" t="inlineStr">
        <is>
          <t>LABORES OPERACIONALES</t>
        </is>
      </c>
      <c r="K3487" s="232" t="inlineStr">
        <is>
          <t>LAB. PACKING</t>
        </is>
      </c>
      <c r="L3487" s="232" t="inlineStr">
        <is>
          <t>[PRORRATEO 3.3% 4.9há/148.3há] SERV.CONTRATISTA</t>
        </is>
      </c>
      <c r="M3487" s="232" t="inlineStr"/>
      <c r="N3487" s="232" t="inlineStr">
        <is>
          <t>.   .   -</t>
        </is>
      </c>
      <c r="O3487" s="232" t="inlineStr">
        <is>
          <t>MAYO</t>
        </is>
      </c>
      <c r="P3487" s="232" t="n">
        <v>17</v>
      </c>
      <c r="Q3487" s="234" t="n">
        <v>137422</v>
      </c>
      <c r="R3487" s="232" t="inlineStr"/>
      <c r="S3487" s="234" t="n">
        <v>137422</v>
      </c>
      <c r="T3487" s="232" t="inlineStr">
        <is>
          <t>CLP</t>
        </is>
      </c>
      <c r="U3487" s="232" t="inlineStr">
        <is>
          <t>Prorrateo Ha PACKING</t>
        </is>
      </c>
      <c r="V3487" s="232" t="inlineStr">
        <is>
          <t>2026-06-18</t>
        </is>
      </c>
    </row>
    <row r="3488">
      <c r="A3488" s="232" t="inlineStr">
        <is>
          <t>CR-3485</t>
        </is>
      </c>
      <c r="B3488" s="232" t="inlineStr">
        <is>
          <t>2026/27</t>
        </is>
      </c>
      <c r="C3488" s="233" t="n">
        <v>46148</v>
      </c>
      <c r="D3488" s="232" t="inlineStr">
        <is>
          <t>2</t>
        </is>
      </c>
      <c r="E3488" s="232" t="inlineStr">
        <is>
          <t>PRORRATEO</t>
        </is>
      </c>
      <c r="F3488" s="232" t="inlineStr">
        <is>
          <t>El Molle</t>
        </is>
      </c>
      <c r="G3488" s="232" t="inlineStr">
        <is>
          <t>Wonderful 5,25 ha</t>
        </is>
      </c>
      <c r="H3488" s="232" t="inlineStr">
        <is>
          <t>Granados</t>
        </is>
      </c>
      <c r="I3488" s="232" t="inlineStr">
        <is>
          <t>Wonderfull</t>
        </is>
      </c>
      <c r="J3488" s="232" t="inlineStr">
        <is>
          <t>LABORES OPERACIONALES</t>
        </is>
      </c>
      <c r="K3488" s="232" t="inlineStr">
        <is>
          <t>LAB. PACKING</t>
        </is>
      </c>
      <c r="L3488" s="232" t="inlineStr">
        <is>
          <t>[PRORRATEO 3.5% 5.24há/148.3há] SERV.CONTRATISTA</t>
        </is>
      </c>
      <c r="M3488" s="232" t="inlineStr"/>
      <c r="N3488" s="232" t="inlineStr">
        <is>
          <t>.   .   -</t>
        </is>
      </c>
      <c r="O3488" s="232" t="inlineStr">
        <is>
          <t>MAYO</t>
        </is>
      </c>
      <c r="P3488" s="232" t="n">
        <v>17</v>
      </c>
      <c r="Q3488" s="234" t="n">
        <v>146958</v>
      </c>
      <c r="R3488" s="232" t="inlineStr"/>
      <c r="S3488" s="234" t="n">
        <v>146958</v>
      </c>
      <c r="T3488" s="232" t="inlineStr">
        <is>
          <t>CLP</t>
        </is>
      </c>
      <c r="U3488" s="232" t="inlineStr">
        <is>
          <t>Prorrateo Ha PACKING</t>
        </is>
      </c>
      <c r="V3488" s="232" t="inlineStr">
        <is>
          <t>2026-06-18</t>
        </is>
      </c>
    </row>
    <row r="3489">
      <c r="A3489" s="232" t="inlineStr">
        <is>
          <t>CR-3486</t>
        </is>
      </c>
      <c r="B3489" s="232" t="inlineStr">
        <is>
          <t>2026/27</t>
        </is>
      </c>
      <c r="C3489" s="233" t="n">
        <v>46148</v>
      </c>
      <c r="D3489" s="232" t="inlineStr">
        <is>
          <t>2</t>
        </is>
      </c>
      <c r="E3489" s="232" t="inlineStr">
        <is>
          <t>PRORRATEO</t>
        </is>
      </c>
      <c r="F3489" s="232" t="inlineStr">
        <is>
          <t>El Molle</t>
        </is>
      </c>
      <c r="G3489" s="232" t="inlineStr">
        <is>
          <t>arrufatinas 5,74 ha</t>
        </is>
      </c>
      <c r="H3489" s="232" t="inlineStr">
        <is>
          <t>Clementinas</t>
        </is>
      </c>
      <c r="I3489" s="232" t="inlineStr">
        <is>
          <t>Arrufatinas</t>
        </is>
      </c>
      <c r="J3489" s="232" t="inlineStr">
        <is>
          <t>LABORES OPERACIONALES</t>
        </is>
      </c>
      <c r="K3489" s="232" t="inlineStr">
        <is>
          <t>LAB. PACKING</t>
        </is>
      </c>
      <c r="L3489" s="232" t="inlineStr">
        <is>
          <t>[PRORRATEO 3.9% 5.74há/148.3há] SERV.CONTRATISTA</t>
        </is>
      </c>
      <c r="M3489" s="232" t="inlineStr"/>
      <c r="N3489" s="232" t="inlineStr">
        <is>
          <t>.   .   -</t>
        </is>
      </c>
      <c r="O3489" s="232" t="inlineStr">
        <is>
          <t>MAYO</t>
        </is>
      </c>
      <c r="P3489" s="232" t="n">
        <v>17</v>
      </c>
      <c r="Q3489" s="234" t="n">
        <v>160980</v>
      </c>
      <c r="R3489" s="232" t="inlineStr"/>
      <c r="S3489" s="234" t="n">
        <v>160980</v>
      </c>
      <c r="T3489" s="232" t="inlineStr">
        <is>
          <t>CLP</t>
        </is>
      </c>
      <c r="U3489" s="232" t="inlineStr">
        <is>
          <t>Prorrateo Ha PACKING</t>
        </is>
      </c>
      <c r="V3489" s="232" t="inlineStr">
        <is>
          <t>2026-06-18</t>
        </is>
      </c>
    </row>
    <row r="3490">
      <c r="A3490" s="232" t="inlineStr">
        <is>
          <t>CR-3487</t>
        </is>
      </c>
      <c r="B3490" s="232" t="inlineStr">
        <is>
          <t>2026/27</t>
        </is>
      </c>
      <c r="C3490" s="233" t="n">
        <v>46148</v>
      </c>
      <c r="D3490" s="232" t="inlineStr">
        <is>
          <t>2</t>
        </is>
      </c>
      <c r="E3490" s="232" t="inlineStr">
        <is>
          <t>PRORRATEO</t>
        </is>
      </c>
      <c r="F3490" s="232" t="inlineStr">
        <is>
          <t>El Molle</t>
        </is>
      </c>
      <c r="G3490" s="232" t="inlineStr">
        <is>
          <t>orogrande 8,11 ha</t>
        </is>
      </c>
      <c r="H3490" s="232" t="inlineStr">
        <is>
          <t>Clementinas</t>
        </is>
      </c>
      <c r="I3490" s="232" t="inlineStr">
        <is>
          <t>Orogrande</t>
        </is>
      </c>
      <c r="J3490" s="232" t="inlineStr">
        <is>
          <t>LABORES OPERACIONALES</t>
        </is>
      </c>
      <c r="K3490" s="232" t="inlineStr">
        <is>
          <t>LAB. PACKING</t>
        </is>
      </c>
      <c r="L3490" s="232" t="inlineStr">
        <is>
          <t>[PRORRATEO 5.5% 8.11há/148.3há] SERV.CONTRATISTA</t>
        </is>
      </c>
      <c r="M3490" s="232" t="inlineStr"/>
      <c r="N3490" s="232" t="inlineStr">
        <is>
          <t>.   .   -</t>
        </is>
      </c>
      <c r="O3490" s="232" t="inlineStr">
        <is>
          <t>MAYO</t>
        </is>
      </c>
      <c r="P3490" s="232" t="n">
        <v>17</v>
      </c>
      <c r="Q3490" s="234" t="n">
        <v>227448</v>
      </c>
      <c r="R3490" s="232" t="inlineStr"/>
      <c r="S3490" s="234" t="n">
        <v>227448</v>
      </c>
      <c r="T3490" s="232" t="inlineStr">
        <is>
          <t>CLP</t>
        </is>
      </c>
      <c r="U3490" s="232" t="inlineStr">
        <is>
          <t>Prorrateo Ha PACKING</t>
        </is>
      </c>
      <c r="V3490" s="232" t="inlineStr">
        <is>
          <t>2026-06-18</t>
        </is>
      </c>
    </row>
    <row r="3491">
      <c r="A3491" s="232" t="inlineStr">
        <is>
          <t>CR-3488</t>
        </is>
      </c>
      <c r="B3491" s="232" t="inlineStr">
        <is>
          <t>2026/27</t>
        </is>
      </c>
      <c r="C3491" s="233" t="n">
        <v>46148</v>
      </c>
      <c r="D3491" s="232" t="inlineStr">
        <is>
          <t>2</t>
        </is>
      </c>
      <c r="E3491" s="232" t="inlineStr">
        <is>
          <t>PRORRATEO</t>
        </is>
      </c>
      <c r="F3491" s="232" t="inlineStr">
        <is>
          <t>El Molle</t>
        </is>
      </c>
      <c r="G3491" s="232" t="inlineStr">
        <is>
          <t>oronules 5,35 ha</t>
        </is>
      </c>
      <c r="H3491" s="232" t="inlineStr">
        <is>
          <t>Clementinas</t>
        </is>
      </c>
      <c r="I3491" s="232" t="inlineStr">
        <is>
          <t>Oronules</t>
        </is>
      </c>
      <c r="J3491" s="232" t="inlineStr">
        <is>
          <t>LABORES OPERACIONALES</t>
        </is>
      </c>
      <c r="K3491" s="232" t="inlineStr">
        <is>
          <t>LAB. PACKING</t>
        </is>
      </c>
      <c r="L3491" s="232" t="inlineStr">
        <is>
          <t>[PRORRATEO 3.6% 5.35há/148.3há] SERV.CONTRATISTA</t>
        </is>
      </c>
      <c r="M3491" s="232" t="inlineStr"/>
      <c r="N3491" s="232" t="inlineStr">
        <is>
          <t>.   .   -</t>
        </is>
      </c>
      <c r="O3491" s="232" t="inlineStr">
        <is>
          <t>MAYO</t>
        </is>
      </c>
      <c r="P3491" s="232" t="n">
        <v>17</v>
      </c>
      <c r="Q3491" s="234" t="n">
        <v>150042</v>
      </c>
      <c r="R3491" s="232" t="inlineStr"/>
      <c r="S3491" s="234" t="n">
        <v>150042</v>
      </c>
      <c r="T3491" s="232" t="inlineStr">
        <is>
          <t>CLP</t>
        </is>
      </c>
      <c r="U3491" s="232" t="inlineStr">
        <is>
          <t>Prorrateo Ha PACKING</t>
        </is>
      </c>
      <c r="V3491" s="232" t="inlineStr">
        <is>
          <t>2026-06-18</t>
        </is>
      </c>
    </row>
    <row r="3492">
      <c r="A3492" s="232" t="inlineStr">
        <is>
          <t>CR-3489</t>
        </is>
      </c>
      <c r="B3492" s="232" t="inlineStr">
        <is>
          <t>2026/27</t>
        </is>
      </c>
      <c r="C3492" s="233" t="n">
        <v>46148</v>
      </c>
      <c r="D3492" s="232" t="inlineStr">
        <is>
          <t>2</t>
        </is>
      </c>
      <c r="E3492" s="232" t="inlineStr">
        <is>
          <t>PRORRATEO</t>
        </is>
      </c>
      <c r="F3492" s="232" t="inlineStr">
        <is>
          <t>Santa Catalina</t>
        </is>
      </c>
      <c r="G3492" s="232" t="inlineStr">
        <is>
          <t>Fino 49 7,7 ha</t>
        </is>
      </c>
      <c r="H3492" s="232" t="inlineStr">
        <is>
          <t>Limon</t>
        </is>
      </c>
      <c r="I3492" s="232" t="inlineStr">
        <is>
          <t>Fino 49</t>
        </is>
      </c>
      <c r="J3492" s="232" t="inlineStr">
        <is>
          <t>LABORES OPERACIONALES</t>
        </is>
      </c>
      <c r="K3492" s="232" t="inlineStr">
        <is>
          <t>LAB. PACKING</t>
        </is>
      </c>
      <c r="L3492" s="232" t="inlineStr">
        <is>
          <t>[PRORRATEO 5.2% 7.7há/148.3há] SERV.CONTRATISTA</t>
        </is>
      </c>
      <c r="M3492" s="232" t="inlineStr"/>
      <c r="N3492" s="232" t="inlineStr">
        <is>
          <t>.   .   -</t>
        </is>
      </c>
      <c r="O3492" s="232" t="inlineStr">
        <is>
          <t>MAYO</t>
        </is>
      </c>
      <c r="P3492" s="232" t="n">
        <v>17</v>
      </c>
      <c r="Q3492" s="234" t="n">
        <v>215949</v>
      </c>
      <c r="R3492" s="232" t="inlineStr"/>
      <c r="S3492" s="234" t="n">
        <v>215949</v>
      </c>
      <c r="T3492" s="232" t="inlineStr">
        <is>
          <t>CLP</t>
        </is>
      </c>
      <c r="U3492" s="232" t="inlineStr">
        <is>
          <t>Prorrateo Ha PACKING</t>
        </is>
      </c>
      <c r="V3492" s="232" t="inlineStr">
        <is>
          <t>2026-06-18</t>
        </is>
      </c>
    </row>
    <row r="3493">
      <c r="A3493" s="232" t="inlineStr">
        <is>
          <t>CR-3490</t>
        </is>
      </c>
      <c r="B3493" s="232" t="inlineStr">
        <is>
          <t>2026/27</t>
        </is>
      </c>
      <c r="C3493" s="233" t="n">
        <v>46148</v>
      </c>
      <c r="D3493" s="232" t="inlineStr">
        <is>
          <t>2</t>
        </is>
      </c>
      <c r="E3493" s="232" t="inlineStr">
        <is>
          <t>PRORRATEO</t>
        </is>
      </c>
      <c r="F3493" s="232" t="inlineStr">
        <is>
          <t>Santa Catalina</t>
        </is>
      </c>
      <c r="G3493" s="232" t="inlineStr">
        <is>
          <t>W. murcott 21 ha</t>
        </is>
      </c>
      <c r="H3493" s="232" t="inlineStr">
        <is>
          <t>Mandarina</t>
        </is>
      </c>
      <c r="I3493" s="232" t="inlineStr">
        <is>
          <t>W. murcott</t>
        </is>
      </c>
      <c r="J3493" s="232" t="inlineStr">
        <is>
          <t>LABORES OPERACIONALES</t>
        </is>
      </c>
      <c r="K3493" s="232" t="inlineStr">
        <is>
          <t>LAB. PACKING</t>
        </is>
      </c>
      <c r="L3493" s="232" t="inlineStr">
        <is>
          <t>[PRORRATEO 14.2% 21.0há/148.3há] SERV.CONTRATISTA</t>
        </is>
      </c>
      <c r="M3493" s="232" t="inlineStr"/>
      <c r="N3493" s="232" t="inlineStr">
        <is>
          <t>.   .   -</t>
        </is>
      </c>
      <c r="O3493" s="232" t="inlineStr">
        <is>
          <t>MAYO</t>
        </is>
      </c>
      <c r="P3493" s="232" t="n">
        <v>17</v>
      </c>
      <c r="Q3493" s="234" t="n">
        <v>588952</v>
      </c>
      <c r="R3493" s="232" t="inlineStr"/>
      <c r="S3493" s="234" t="n">
        <v>588952</v>
      </c>
      <c r="T3493" s="232" t="inlineStr">
        <is>
          <t>CLP</t>
        </is>
      </c>
      <c r="U3493" s="232" t="inlineStr">
        <is>
          <t>Prorrateo Ha PACKING</t>
        </is>
      </c>
      <c r="V3493" s="232" t="inlineStr">
        <is>
          <t>2026-06-18</t>
        </is>
      </c>
    </row>
    <row r="3494">
      <c r="A3494" s="232" t="inlineStr">
        <is>
          <t>CR-3491</t>
        </is>
      </c>
      <c r="B3494" s="232" t="inlineStr">
        <is>
          <t>2026/27</t>
        </is>
      </c>
      <c r="C3494" s="233" t="n">
        <v>46148</v>
      </c>
      <c r="D3494" s="232" t="inlineStr">
        <is>
          <t>2</t>
        </is>
      </c>
      <c r="E3494" s="232" t="inlineStr">
        <is>
          <t>PRORRATEO</t>
        </is>
      </c>
      <c r="F3494" s="232" t="inlineStr">
        <is>
          <t>Santa Catalina</t>
        </is>
      </c>
      <c r="G3494" s="232" t="inlineStr">
        <is>
          <t>cambria 4,2 ha</t>
        </is>
      </c>
      <c r="H3494" s="232" t="inlineStr">
        <is>
          <t>Naranjas</t>
        </is>
      </c>
      <c r="I3494" s="232" t="inlineStr">
        <is>
          <t>Cambria</t>
        </is>
      </c>
      <c r="J3494" s="232" t="inlineStr">
        <is>
          <t>LABORES OPERACIONALES</t>
        </is>
      </c>
      <c r="K3494" s="232" t="inlineStr">
        <is>
          <t>LAB. PACKING</t>
        </is>
      </c>
      <c r="L3494" s="232" t="inlineStr">
        <is>
          <t>[PRORRATEO 2.8% 4.2há/148.3há] SERV.CONTRATISTA</t>
        </is>
      </c>
      <c r="M3494" s="232" t="inlineStr"/>
      <c r="N3494" s="232" t="inlineStr">
        <is>
          <t>.   .   -</t>
        </is>
      </c>
      <c r="O3494" s="232" t="inlineStr">
        <is>
          <t>MAYO</t>
        </is>
      </c>
      <c r="P3494" s="232" t="n">
        <v>17</v>
      </c>
      <c r="Q3494" s="234" t="n">
        <v>117790</v>
      </c>
      <c r="R3494" s="232" t="inlineStr"/>
      <c r="S3494" s="234" t="n">
        <v>117790</v>
      </c>
      <c r="T3494" s="232" t="inlineStr">
        <is>
          <t>CLP</t>
        </is>
      </c>
      <c r="U3494" s="232" t="inlineStr">
        <is>
          <t>Prorrateo Ha PACKING</t>
        </is>
      </c>
      <c r="V3494" s="232" t="inlineStr">
        <is>
          <t>2026-06-18</t>
        </is>
      </c>
    </row>
    <row r="3495">
      <c r="A3495" s="232" t="inlineStr">
        <is>
          <t>CR-3492</t>
        </is>
      </c>
      <c r="B3495" s="232" t="inlineStr">
        <is>
          <t>2026/27</t>
        </is>
      </c>
      <c r="C3495" s="233" t="n">
        <v>46148</v>
      </c>
      <c r="D3495" s="232" t="inlineStr">
        <is>
          <t>2</t>
        </is>
      </c>
      <c r="E3495" s="232" t="inlineStr">
        <is>
          <t>PRORRATEO</t>
        </is>
      </c>
      <c r="F3495" s="232" t="inlineStr">
        <is>
          <t>Santa Catalina</t>
        </is>
      </c>
      <c r="G3495" s="232" t="inlineStr">
        <is>
          <t>eureka 10,6 ha</t>
        </is>
      </c>
      <c r="H3495" s="232" t="inlineStr">
        <is>
          <t>Limon</t>
        </is>
      </c>
      <c r="I3495" s="232" t="inlineStr">
        <is>
          <t>Eureka</t>
        </is>
      </c>
      <c r="J3495" s="232" t="inlineStr">
        <is>
          <t>LABORES OPERACIONALES</t>
        </is>
      </c>
      <c r="K3495" s="232" t="inlineStr">
        <is>
          <t>LAB. PACKING</t>
        </is>
      </c>
      <c r="L3495" s="232" t="inlineStr">
        <is>
          <t>[PRORRATEO 7.1% 10.6há/148.3há] SERV.CONTRATISTA</t>
        </is>
      </c>
      <c r="M3495" s="232" t="inlineStr"/>
      <c r="N3495" s="232" t="inlineStr">
        <is>
          <t>.   .   -</t>
        </is>
      </c>
      <c r="O3495" s="232" t="inlineStr">
        <is>
          <t>MAYO</t>
        </is>
      </c>
      <c r="P3495" s="232" t="n">
        <v>17</v>
      </c>
      <c r="Q3495" s="234" t="n">
        <v>297280</v>
      </c>
      <c r="R3495" s="232" t="inlineStr"/>
      <c r="S3495" s="234" t="n">
        <v>297280</v>
      </c>
      <c r="T3495" s="232" t="inlineStr">
        <is>
          <t>CLP</t>
        </is>
      </c>
      <c r="U3495" s="232" t="inlineStr">
        <is>
          <t>Prorrateo Ha PACKING</t>
        </is>
      </c>
      <c r="V3495" s="232" t="inlineStr">
        <is>
          <t>2026-06-18</t>
        </is>
      </c>
    </row>
    <row r="3496">
      <c r="A3496" s="232" t="inlineStr">
        <is>
          <t>CR-3493</t>
        </is>
      </c>
      <c r="B3496" s="232" t="inlineStr">
        <is>
          <t>2026/27</t>
        </is>
      </c>
      <c r="C3496" s="233" t="n">
        <v>46148</v>
      </c>
      <c r="D3496" s="232" t="inlineStr">
        <is>
          <t>2</t>
        </is>
      </c>
      <c r="E3496" s="232" t="inlineStr">
        <is>
          <t>PRORRATEO</t>
        </is>
      </c>
      <c r="F3496" s="232" t="inlineStr">
        <is>
          <t>Santa Catalina</t>
        </is>
      </c>
      <c r="G3496" s="232" t="inlineStr">
        <is>
          <t>eureka 14,4 ha</t>
        </is>
      </c>
      <c r="H3496" s="232" t="inlineStr">
        <is>
          <t>Limon</t>
        </is>
      </c>
      <c r="I3496" s="232" t="inlineStr">
        <is>
          <t>Eureka</t>
        </is>
      </c>
      <c r="J3496" s="232" t="inlineStr">
        <is>
          <t>LABORES OPERACIONALES</t>
        </is>
      </c>
      <c r="K3496" s="232" t="inlineStr">
        <is>
          <t>LAB. PACKING</t>
        </is>
      </c>
      <c r="L3496" s="232" t="inlineStr">
        <is>
          <t>[PRORRATEO 9.7% 14.4há/148.3há] SERV.CONTRATISTA</t>
        </is>
      </c>
      <c r="M3496" s="232" t="inlineStr"/>
      <c r="N3496" s="232" t="inlineStr">
        <is>
          <t>.   .   -</t>
        </is>
      </c>
      <c r="O3496" s="232" t="inlineStr">
        <is>
          <t>MAYO</t>
        </is>
      </c>
      <c r="P3496" s="232" t="n">
        <v>17</v>
      </c>
      <c r="Q3496" s="234" t="n">
        <v>403853</v>
      </c>
      <c r="R3496" s="232" t="inlineStr"/>
      <c r="S3496" s="234" t="n">
        <v>403853</v>
      </c>
      <c r="T3496" s="232" t="inlineStr">
        <is>
          <t>CLP</t>
        </is>
      </c>
      <c r="U3496" s="232" t="inlineStr">
        <is>
          <t>Prorrateo Ha PACKING</t>
        </is>
      </c>
      <c r="V3496" s="232" t="inlineStr">
        <is>
          <t>2026-06-18</t>
        </is>
      </c>
    </row>
    <row r="3497">
      <c r="A3497" s="232" t="inlineStr">
        <is>
          <t>CR-3494</t>
        </is>
      </c>
      <c r="B3497" s="232" t="inlineStr">
        <is>
          <t>2026/27</t>
        </is>
      </c>
      <c r="C3497" s="233" t="n">
        <v>46148</v>
      </c>
      <c r="D3497" s="232" t="inlineStr">
        <is>
          <t>2</t>
        </is>
      </c>
      <c r="E3497" s="232" t="inlineStr">
        <is>
          <t>PRORRATEO</t>
        </is>
      </c>
      <c r="F3497" s="232" t="inlineStr">
        <is>
          <t>Santa Catalina</t>
        </is>
      </c>
      <c r="G3497" s="232" t="inlineStr">
        <is>
          <t>eureka 22,55</t>
        </is>
      </c>
      <c r="H3497" s="232" t="inlineStr">
        <is>
          <t>Limon</t>
        </is>
      </c>
      <c r="I3497" s="232" t="inlineStr">
        <is>
          <t>Eureka</t>
        </is>
      </c>
      <c r="J3497" s="232" t="inlineStr">
        <is>
          <t>LABORES OPERACIONALES</t>
        </is>
      </c>
      <c r="K3497" s="232" t="inlineStr">
        <is>
          <t>LAB. PACKING</t>
        </is>
      </c>
      <c r="L3497" s="232" t="inlineStr">
        <is>
          <t>[PRORRATEO 15.2% 22.55há/148.3há] SERV.CONTRATISTA</t>
        </is>
      </c>
      <c r="M3497" s="232" t="inlineStr"/>
      <c r="N3497" s="232" t="inlineStr">
        <is>
          <t>.   .   -</t>
        </is>
      </c>
      <c r="O3497" s="232" t="inlineStr">
        <is>
          <t>MAYO</t>
        </is>
      </c>
      <c r="P3497" s="232" t="n">
        <v>17</v>
      </c>
      <c r="Q3497" s="234" t="n">
        <v>632422</v>
      </c>
      <c r="R3497" s="232" t="inlineStr"/>
      <c r="S3497" s="234" t="n">
        <v>632422</v>
      </c>
      <c r="T3497" s="232" t="inlineStr">
        <is>
          <t>CLP</t>
        </is>
      </c>
      <c r="U3497" s="232" t="inlineStr">
        <is>
          <t>Prorrateo Ha PACKING</t>
        </is>
      </c>
      <c r="V3497" s="232" t="inlineStr">
        <is>
          <t>2026-06-18</t>
        </is>
      </c>
    </row>
    <row r="3498">
      <c r="A3498" s="232" t="inlineStr">
        <is>
          <t>CR-3495</t>
        </is>
      </c>
      <c r="B3498" s="232" t="inlineStr">
        <is>
          <t>2026/27</t>
        </is>
      </c>
      <c r="C3498" s="233" t="n">
        <v>46148</v>
      </c>
      <c r="D3498" s="232" t="inlineStr">
        <is>
          <t>2</t>
        </is>
      </c>
      <c r="E3498" s="232" t="inlineStr">
        <is>
          <t>PRORRATEO</t>
        </is>
      </c>
      <c r="F3498" s="232" t="inlineStr">
        <is>
          <t>Santa Catalina</t>
        </is>
      </c>
      <c r="G3498" s="232" t="inlineStr">
        <is>
          <t>form benjamin 1,93 ha</t>
        </is>
      </c>
      <c r="H3498" s="232" t="inlineStr">
        <is>
          <t>Limon</t>
        </is>
      </c>
      <c r="I3498" s="232" t="inlineStr">
        <is>
          <t>Benjamin andes</t>
        </is>
      </c>
      <c r="J3498" s="232" t="inlineStr">
        <is>
          <t>LABORES OPERACIONALES</t>
        </is>
      </c>
      <c r="K3498" s="232" t="inlineStr">
        <is>
          <t>LAB. PACKING</t>
        </is>
      </c>
      <c r="L3498" s="232" t="inlineStr">
        <is>
          <t>[PRORRATEO 1.3% 1.93há/148.3há] SERV.CONTRATISTA</t>
        </is>
      </c>
      <c r="M3498" s="232" t="inlineStr"/>
      <c r="N3498" s="232" t="inlineStr">
        <is>
          <t>.   .   -</t>
        </is>
      </c>
      <c r="O3498" s="232" t="inlineStr">
        <is>
          <t>MAYO</t>
        </is>
      </c>
      <c r="P3498" s="232" t="n">
        <v>17</v>
      </c>
      <c r="Q3498" s="234" t="n">
        <v>54127</v>
      </c>
      <c r="R3498" s="232" t="inlineStr"/>
      <c r="S3498" s="234" t="n">
        <v>54127</v>
      </c>
      <c r="T3498" s="232" t="inlineStr">
        <is>
          <t>CLP</t>
        </is>
      </c>
      <c r="U3498" s="232" t="inlineStr">
        <is>
          <t>Prorrateo Ha PACKING</t>
        </is>
      </c>
      <c r="V3498" s="232" t="inlineStr">
        <is>
          <t>2026-06-18</t>
        </is>
      </c>
    </row>
    <row r="3499">
      <c r="A3499" s="232" t="inlineStr">
        <is>
          <t>CR-3496</t>
        </is>
      </c>
      <c r="B3499" s="232" t="inlineStr">
        <is>
          <t>2026/27</t>
        </is>
      </c>
      <c r="C3499" s="233" t="n">
        <v>46148</v>
      </c>
      <c r="D3499" s="232" t="inlineStr">
        <is>
          <t>2</t>
        </is>
      </c>
      <c r="E3499" s="232" t="inlineStr">
        <is>
          <t>PRORRATEO</t>
        </is>
      </c>
      <c r="F3499" s="232" t="inlineStr">
        <is>
          <t>Santa Catalina</t>
        </is>
      </c>
      <c r="G3499" s="232" t="inlineStr">
        <is>
          <t>mant eureka 2,5 ha</t>
        </is>
      </c>
      <c r="H3499" s="232" t="inlineStr">
        <is>
          <t>Limon</t>
        </is>
      </c>
      <c r="I3499" s="232" t="inlineStr">
        <is>
          <t>Eureka</t>
        </is>
      </c>
      <c r="J3499" s="232" t="inlineStr">
        <is>
          <t>LABORES OPERACIONALES</t>
        </is>
      </c>
      <c r="K3499" s="232" t="inlineStr">
        <is>
          <t>LAB. PACKING</t>
        </is>
      </c>
      <c r="L3499" s="232" t="inlineStr">
        <is>
          <t>[PRORRATEO 1.7% 2.5há/148.3há] SERV.CONTRATISTA</t>
        </is>
      </c>
      <c r="M3499" s="232" t="inlineStr"/>
      <c r="N3499" s="232" t="inlineStr">
        <is>
          <t>.   .   -</t>
        </is>
      </c>
      <c r="O3499" s="232" t="inlineStr">
        <is>
          <t>MAYO</t>
        </is>
      </c>
      <c r="P3499" s="232" t="n">
        <v>17</v>
      </c>
      <c r="Q3499" s="234" t="n">
        <v>70113</v>
      </c>
      <c r="R3499" s="232" t="inlineStr"/>
      <c r="S3499" s="234" t="n">
        <v>70113</v>
      </c>
      <c r="T3499" s="232" t="inlineStr">
        <is>
          <t>CLP</t>
        </is>
      </c>
      <c r="U3499" s="232" t="inlineStr">
        <is>
          <t>Prorrateo Ha PACKING</t>
        </is>
      </c>
      <c r="V3499" s="232" t="inlineStr">
        <is>
          <t>2026-06-18</t>
        </is>
      </c>
    </row>
    <row r="3500">
      <c r="A3500" s="232" t="inlineStr">
        <is>
          <t>CR-3497</t>
        </is>
      </c>
      <c r="B3500" s="232" t="inlineStr">
        <is>
          <t>2026/27</t>
        </is>
      </c>
      <c r="C3500" s="233" t="n">
        <v>46148</v>
      </c>
      <c r="D3500" s="232" t="inlineStr">
        <is>
          <t>2</t>
        </is>
      </c>
      <c r="E3500" s="232" t="inlineStr">
        <is>
          <t>PRORRATEO</t>
        </is>
      </c>
      <c r="F3500" s="232" t="inlineStr">
        <is>
          <t>Siberia</t>
        </is>
      </c>
      <c r="G3500" s="232" t="inlineStr">
        <is>
          <t>S. Celebration 7,14</t>
        </is>
      </c>
      <c r="H3500" s="232" t="inlineStr">
        <is>
          <t>Uvas</t>
        </is>
      </c>
      <c r="I3500" s="232" t="inlineStr">
        <is>
          <t>S. celebration</t>
        </is>
      </c>
      <c r="J3500" s="232" t="inlineStr">
        <is>
          <t>LABORES OPERACIONALES</t>
        </is>
      </c>
      <c r="K3500" s="232" t="inlineStr">
        <is>
          <t>LAB. PACKING</t>
        </is>
      </c>
      <c r="L3500" s="232" t="inlineStr">
        <is>
          <t>[PRORRATEO 4.8% 7.14há/148.3há] SERV.CONTRATISTA</t>
        </is>
      </c>
      <c r="M3500" s="232" t="inlineStr"/>
      <c r="N3500" s="232" t="inlineStr">
        <is>
          <t>.   .   -</t>
        </is>
      </c>
      <c r="O3500" s="232" t="inlineStr">
        <is>
          <t>MAYO</t>
        </is>
      </c>
      <c r="P3500" s="232" t="n">
        <v>17</v>
      </c>
      <c r="Q3500" s="234" t="n">
        <v>200244</v>
      </c>
      <c r="R3500" s="232" t="inlineStr"/>
      <c r="S3500" s="234" t="n">
        <v>200244</v>
      </c>
      <c r="T3500" s="232" t="inlineStr">
        <is>
          <t>CLP</t>
        </is>
      </c>
      <c r="U3500" s="232" t="inlineStr">
        <is>
          <t>Prorrateo Ha PACKING</t>
        </is>
      </c>
      <c r="V3500" s="232" t="inlineStr">
        <is>
          <t>2026-06-18</t>
        </is>
      </c>
    </row>
    <row r="3501">
      <c r="A3501" s="232" t="inlineStr">
        <is>
          <t>CR-3498</t>
        </is>
      </c>
      <c r="B3501" s="232" t="inlineStr">
        <is>
          <t>2026/27</t>
        </is>
      </c>
      <c r="C3501" s="233" t="n">
        <v>46148</v>
      </c>
      <c r="D3501" s="232" t="inlineStr">
        <is>
          <t>2</t>
        </is>
      </c>
      <c r="E3501" s="232" t="inlineStr">
        <is>
          <t>PRORRATEO</t>
        </is>
      </c>
      <c r="F3501" s="232" t="inlineStr">
        <is>
          <t>Siberia</t>
        </is>
      </c>
      <c r="G3501" s="232" t="inlineStr">
        <is>
          <t>Timpson 7,1</t>
        </is>
      </c>
      <c r="H3501" s="232" t="inlineStr">
        <is>
          <t>Uvas</t>
        </is>
      </c>
      <c r="I3501" s="232" t="inlineStr">
        <is>
          <t>Timpson</t>
        </is>
      </c>
      <c r="J3501" s="232" t="inlineStr">
        <is>
          <t>LABORES OPERACIONALES</t>
        </is>
      </c>
      <c r="K3501" s="232" t="inlineStr">
        <is>
          <t>LAB. PACKING</t>
        </is>
      </c>
      <c r="L3501" s="232" t="inlineStr">
        <is>
          <t>[PRORRATEO 4.8% 7.1há/148.3há] SERV.CONTRATISTA</t>
        </is>
      </c>
      <c r="M3501" s="232" t="inlineStr"/>
      <c r="N3501" s="232" t="inlineStr">
        <is>
          <t>.   .   -</t>
        </is>
      </c>
      <c r="O3501" s="232" t="inlineStr">
        <is>
          <t>MAYO</t>
        </is>
      </c>
      <c r="P3501" s="232" t="n">
        <v>17</v>
      </c>
      <c r="Q3501" s="234" t="n">
        <v>199122</v>
      </c>
      <c r="R3501" s="232" t="inlineStr"/>
      <c r="S3501" s="234" t="n">
        <v>199122</v>
      </c>
      <c r="T3501" s="232" t="inlineStr">
        <is>
          <t>CLP</t>
        </is>
      </c>
      <c r="U3501" s="232" t="inlineStr">
        <is>
          <t>Prorrateo Ha PACKING</t>
        </is>
      </c>
      <c r="V3501" s="232" t="inlineStr">
        <is>
          <t>2026-06-18</t>
        </is>
      </c>
    </row>
    <row r="3502">
      <c r="A3502" s="232" t="inlineStr">
        <is>
          <t>CR-3499</t>
        </is>
      </c>
      <c r="B3502" s="232" t="inlineStr">
        <is>
          <t>2026/27</t>
        </is>
      </c>
      <c r="C3502" s="233" t="n">
        <v>46148</v>
      </c>
      <c r="D3502" s="232" t="inlineStr">
        <is>
          <t>8523</t>
        </is>
      </c>
      <c r="E3502" s="232" t="inlineStr">
        <is>
          <t>PRORRATEO</t>
        </is>
      </c>
      <c r="F3502" s="232" t="inlineStr">
        <is>
          <t>Asmara</t>
        </is>
      </c>
      <c r="G3502" s="232" t="inlineStr">
        <is>
          <t>w. murcott 19,8 ha</t>
        </is>
      </c>
      <c r="H3502" s="232" t="inlineStr">
        <is>
          <t>Mandarina</t>
        </is>
      </c>
      <c r="I3502" s="232" t="inlineStr">
        <is>
          <t>W. murcott</t>
        </is>
      </c>
      <c r="J3502" s="232" t="inlineStr">
        <is>
          <t>FLETES</t>
        </is>
      </c>
      <c r="K3502" s="232" t="inlineStr">
        <is>
          <t>FLETE FRUTA</t>
        </is>
      </c>
      <c r="L3502" s="232" t="inlineStr">
        <is>
          <t>[PRORRATEO 13.4% 19.8há/148.3há] O/001659 FLETE</t>
        </is>
      </c>
      <c r="M3502" s="232" t="inlineStr"/>
      <c r="N3502" s="232" t="inlineStr">
        <is>
          <t>.   .   -</t>
        </is>
      </c>
      <c r="O3502" s="232" t="inlineStr">
        <is>
          <t>MAYO</t>
        </is>
      </c>
      <c r="P3502" s="232" t="n">
        <v>17</v>
      </c>
      <c r="Q3502" s="234" t="n">
        <v>32052</v>
      </c>
      <c r="R3502" s="232" t="inlineStr"/>
      <c r="S3502" s="234" t="n">
        <v>32052</v>
      </c>
      <c r="T3502" s="232" t="inlineStr">
        <is>
          <t>CLP</t>
        </is>
      </c>
      <c r="U3502" s="232" t="inlineStr">
        <is>
          <t>Prorrateo Ha PACKING</t>
        </is>
      </c>
      <c r="V3502" s="232" t="inlineStr">
        <is>
          <t>2026-06-18</t>
        </is>
      </c>
    </row>
    <row r="3503">
      <c r="A3503" s="232" t="inlineStr">
        <is>
          <t>CR-3500</t>
        </is>
      </c>
      <c r="B3503" s="232" t="inlineStr">
        <is>
          <t>2026/27</t>
        </is>
      </c>
      <c r="C3503" s="233" t="n">
        <v>46148</v>
      </c>
      <c r="D3503" s="232" t="inlineStr">
        <is>
          <t>8523</t>
        </is>
      </c>
      <c r="E3503" s="232" t="inlineStr">
        <is>
          <t>PRORRATEO</t>
        </is>
      </c>
      <c r="F3503" s="232" t="inlineStr">
        <is>
          <t>Asmara</t>
        </is>
      </c>
      <c r="G3503" s="232" t="inlineStr">
        <is>
          <t>w. murcott 4,9 ha</t>
        </is>
      </c>
      <c r="H3503" s="232" t="inlineStr">
        <is>
          <t>Mandarina</t>
        </is>
      </c>
      <c r="I3503" s="232" t="inlineStr">
        <is>
          <t>W. murcott</t>
        </is>
      </c>
      <c r="J3503" s="232" t="inlineStr">
        <is>
          <t>FLETES</t>
        </is>
      </c>
      <c r="K3503" s="232" t="inlineStr">
        <is>
          <t>FLETE FRUTA</t>
        </is>
      </c>
      <c r="L3503" s="232" t="inlineStr">
        <is>
          <t>[PRORRATEO 3.3% 4.9há/148.3há] O/001659 FLETE</t>
        </is>
      </c>
      <c r="M3503" s="232" t="inlineStr"/>
      <c r="N3503" s="232" t="inlineStr">
        <is>
          <t>.   .   -</t>
        </is>
      </c>
      <c r="O3503" s="232" t="inlineStr">
        <is>
          <t>MAYO</t>
        </is>
      </c>
      <c r="P3503" s="232" t="n">
        <v>17</v>
      </c>
      <c r="Q3503" s="234" t="n">
        <v>7932</v>
      </c>
      <c r="R3503" s="232" t="inlineStr"/>
      <c r="S3503" s="234" t="n">
        <v>7932</v>
      </c>
      <c r="T3503" s="232" t="inlineStr">
        <is>
          <t>CLP</t>
        </is>
      </c>
      <c r="U3503" s="232" t="inlineStr">
        <is>
          <t>Prorrateo Ha PACKING</t>
        </is>
      </c>
      <c r="V3503" s="232" t="inlineStr">
        <is>
          <t>2026-06-18</t>
        </is>
      </c>
    </row>
    <row r="3504">
      <c r="A3504" s="232" t="inlineStr">
        <is>
          <t>CR-3501</t>
        </is>
      </c>
      <c r="B3504" s="232" t="inlineStr">
        <is>
          <t>2026/27</t>
        </is>
      </c>
      <c r="C3504" s="233" t="n">
        <v>46148</v>
      </c>
      <c r="D3504" s="232" t="inlineStr">
        <is>
          <t>8523</t>
        </is>
      </c>
      <c r="E3504" s="232" t="inlineStr">
        <is>
          <t>PRORRATEO</t>
        </is>
      </c>
      <c r="F3504" s="232" t="inlineStr">
        <is>
          <t>El Molle</t>
        </is>
      </c>
      <c r="G3504" s="232" t="inlineStr">
        <is>
          <t>Wonderful 5,25 ha</t>
        </is>
      </c>
      <c r="H3504" s="232" t="inlineStr">
        <is>
          <t>Granados</t>
        </is>
      </c>
      <c r="I3504" s="232" t="inlineStr">
        <is>
          <t>Wonderfull</t>
        </is>
      </c>
      <c r="J3504" s="232" t="inlineStr">
        <is>
          <t>FLETES</t>
        </is>
      </c>
      <c r="K3504" s="232" t="inlineStr">
        <is>
          <t>FLETE FRUTA</t>
        </is>
      </c>
      <c r="L3504" s="232" t="inlineStr">
        <is>
          <t>[PRORRATEO 3.5% 5.24há/148.3há] O/001659 FLETE</t>
        </is>
      </c>
      <c r="M3504" s="232" t="inlineStr"/>
      <c r="N3504" s="232" t="inlineStr">
        <is>
          <t>.   .   -</t>
        </is>
      </c>
      <c r="O3504" s="232" t="inlineStr">
        <is>
          <t>MAYO</t>
        </is>
      </c>
      <c r="P3504" s="232" t="n">
        <v>17</v>
      </c>
      <c r="Q3504" s="234" t="n">
        <v>8482</v>
      </c>
      <c r="R3504" s="232" t="inlineStr"/>
      <c r="S3504" s="234" t="n">
        <v>8482</v>
      </c>
      <c r="T3504" s="232" t="inlineStr">
        <is>
          <t>CLP</t>
        </is>
      </c>
      <c r="U3504" s="232" t="inlineStr">
        <is>
          <t>Prorrateo Ha PACKING</t>
        </is>
      </c>
      <c r="V3504" s="232" t="inlineStr">
        <is>
          <t>2026-06-18</t>
        </is>
      </c>
    </row>
    <row r="3505">
      <c r="A3505" s="232" t="inlineStr">
        <is>
          <t>CR-3502</t>
        </is>
      </c>
      <c r="B3505" s="232" t="inlineStr">
        <is>
          <t>2026/27</t>
        </is>
      </c>
      <c r="C3505" s="233" t="n">
        <v>46148</v>
      </c>
      <c r="D3505" s="232" t="inlineStr">
        <is>
          <t>8523</t>
        </is>
      </c>
      <c r="E3505" s="232" t="inlineStr">
        <is>
          <t>PRORRATEO</t>
        </is>
      </c>
      <c r="F3505" s="232" t="inlineStr">
        <is>
          <t>El Molle</t>
        </is>
      </c>
      <c r="G3505" s="232" t="inlineStr">
        <is>
          <t>arrufatinas 5,74 ha</t>
        </is>
      </c>
      <c r="H3505" s="232" t="inlineStr">
        <is>
          <t>Clementinas</t>
        </is>
      </c>
      <c r="I3505" s="232" t="inlineStr">
        <is>
          <t>Arrufatinas</t>
        </is>
      </c>
      <c r="J3505" s="232" t="inlineStr">
        <is>
          <t>FLETES</t>
        </is>
      </c>
      <c r="K3505" s="232" t="inlineStr">
        <is>
          <t>FLETE FRUTA</t>
        </is>
      </c>
      <c r="L3505" s="232" t="inlineStr">
        <is>
          <t>[PRORRATEO 3.9% 5.74há/148.3há] O/001659 FLETE</t>
        </is>
      </c>
      <c r="M3505" s="232" t="inlineStr"/>
      <c r="N3505" s="232" t="inlineStr">
        <is>
          <t>.   .   -</t>
        </is>
      </c>
      <c r="O3505" s="232" t="inlineStr">
        <is>
          <t>MAYO</t>
        </is>
      </c>
      <c r="P3505" s="232" t="n">
        <v>17</v>
      </c>
      <c r="Q3505" s="234" t="n">
        <v>9292</v>
      </c>
      <c r="R3505" s="232" t="inlineStr"/>
      <c r="S3505" s="234" t="n">
        <v>9292</v>
      </c>
      <c r="T3505" s="232" t="inlineStr">
        <is>
          <t>CLP</t>
        </is>
      </c>
      <c r="U3505" s="232" t="inlineStr">
        <is>
          <t>Prorrateo Ha PACKING</t>
        </is>
      </c>
      <c r="V3505" s="232" t="inlineStr">
        <is>
          <t>2026-06-18</t>
        </is>
      </c>
    </row>
    <row r="3506">
      <c r="A3506" s="232" t="inlineStr">
        <is>
          <t>CR-3503</t>
        </is>
      </c>
      <c r="B3506" s="232" t="inlineStr">
        <is>
          <t>2026/27</t>
        </is>
      </c>
      <c r="C3506" s="233" t="n">
        <v>46148</v>
      </c>
      <c r="D3506" s="232" t="inlineStr">
        <is>
          <t>8523</t>
        </is>
      </c>
      <c r="E3506" s="232" t="inlineStr">
        <is>
          <t>PRORRATEO</t>
        </is>
      </c>
      <c r="F3506" s="232" t="inlineStr">
        <is>
          <t>El Molle</t>
        </is>
      </c>
      <c r="G3506" s="232" t="inlineStr">
        <is>
          <t>orogrande 8,11 ha</t>
        </is>
      </c>
      <c r="H3506" s="232" t="inlineStr">
        <is>
          <t>Clementinas</t>
        </is>
      </c>
      <c r="I3506" s="232" t="inlineStr">
        <is>
          <t>Orogrande</t>
        </is>
      </c>
      <c r="J3506" s="232" t="inlineStr">
        <is>
          <t>FLETES</t>
        </is>
      </c>
      <c r="K3506" s="232" t="inlineStr">
        <is>
          <t>FLETE FRUTA</t>
        </is>
      </c>
      <c r="L3506" s="232" t="inlineStr">
        <is>
          <t>[PRORRATEO 5.5% 8.11há/148.3há] O/001659 FLETE</t>
        </is>
      </c>
      <c r="M3506" s="232" t="inlineStr"/>
      <c r="N3506" s="232" t="inlineStr">
        <is>
          <t>.   .   -</t>
        </is>
      </c>
      <c r="O3506" s="232" t="inlineStr">
        <is>
          <t>MAYO</t>
        </is>
      </c>
      <c r="P3506" s="232" t="n">
        <v>17</v>
      </c>
      <c r="Q3506" s="234" t="n">
        <v>13128</v>
      </c>
      <c r="R3506" s="232" t="inlineStr"/>
      <c r="S3506" s="234" t="n">
        <v>13128</v>
      </c>
      <c r="T3506" s="232" t="inlineStr">
        <is>
          <t>CLP</t>
        </is>
      </c>
      <c r="U3506" s="232" t="inlineStr">
        <is>
          <t>Prorrateo Ha PACKING</t>
        </is>
      </c>
      <c r="V3506" s="232" t="inlineStr">
        <is>
          <t>2026-06-18</t>
        </is>
      </c>
    </row>
    <row r="3507">
      <c r="A3507" s="232" t="inlineStr">
        <is>
          <t>CR-3504</t>
        </is>
      </c>
      <c r="B3507" s="232" t="inlineStr">
        <is>
          <t>2026/27</t>
        </is>
      </c>
      <c r="C3507" s="233" t="n">
        <v>46148</v>
      </c>
      <c r="D3507" s="232" t="inlineStr">
        <is>
          <t>8523</t>
        </is>
      </c>
      <c r="E3507" s="232" t="inlineStr">
        <is>
          <t>PRORRATEO</t>
        </is>
      </c>
      <c r="F3507" s="232" t="inlineStr">
        <is>
          <t>El Molle</t>
        </is>
      </c>
      <c r="G3507" s="232" t="inlineStr">
        <is>
          <t>oronules 5,35 ha</t>
        </is>
      </c>
      <c r="H3507" s="232" t="inlineStr">
        <is>
          <t>Clementinas</t>
        </is>
      </c>
      <c r="I3507" s="232" t="inlineStr">
        <is>
          <t>Oronules</t>
        </is>
      </c>
      <c r="J3507" s="232" t="inlineStr">
        <is>
          <t>FLETES</t>
        </is>
      </c>
      <c r="K3507" s="232" t="inlineStr">
        <is>
          <t>FLETE FRUTA</t>
        </is>
      </c>
      <c r="L3507" s="232" t="inlineStr">
        <is>
          <t>[PRORRATEO 3.6% 5.35há/148.3há] O/001659 FLETE</t>
        </is>
      </c>
      <c r="M3507" s="232" t="inlineStr"/>
      <c r="N3507" s="232" t="inlineStr">
        <is>
          <t>.   .   -</t>
        </is>
      </c>
      <c r="O3507" s="232" t="inlineStr">
        <is>
          <t>MAYO</t>
        </is>
      </c>
      <c r="P3507" s="232" t="n">
        <v>17</v>
      </c>
      <c r="Q3507" s="234" t="n">
        <v>8660</v>
      </c>
      <c r="R3507" s="232" t="inlineStr"/>
      <c r="S3507" s="234" t="n">
        <v>8660</v>
      </c>
      <c r="T3507" s="232" t="inlineStr">
        <is>
          <t>CLP</t>
        </is>
      </c>
      <c r="U3507" s="232" t="inlineStr">
        <is>
          <t>Prorrateo Ha PACKING</t>
        </is>
      </c>
      <c r="V3507" s="232" t="inlineStr">
        <is>
          <t>2026-06-18</t>
        </is>
      </c>
    </row>
    <row r="3508">
      <c r="A3508" s="232" t="inlineStr">
        <is>
          <t>CR-3505</t>
        </is>
      </c>
      <c r="B3508" s="232" t="inlineStr">
        <is>
          <t>2026/27</t>
        </is>
      </c>
      <c r="C3508" s="233" t="n">
        <v>46148</v>
      </c>
      <c r="D3508" s="232" t="inlineStr">
        <is>
          <t>8523</t>
        </is>
      </c>
      <c r="E3508" s="232" t="inlineStr">
        <is>
          <t>PRORRATEO</t>
        </is>
      </c>
      <c r="F3508" s="232" t="inlineStr">
        <is>
          <t>Santa Catalina</t>
        </is>
      </c>
      <c r="G3508" s="232" t="inlineStr">
        <is>
          <t>Fino 49 7,7 ha</t>
        </is>
      </c>
      <c r="H3508" s="232" t="inlineStr">
        <is>
          <t>Limon</t>
        </is>
      </c>
      <c r="I3508" s="232" t="inlineStr">
        <is>
          <t>Fino 49</t>
        </is>
      </c>
      <c r="J3508" s="232" t="inlineStr">
        <is>
          <t>FLETES</t>
        </is>
      </c>
      <c r="K3508" s="232" t="inlineStr">
        <is>
          <t>FLETE FRUTA</t>
        </is>
      </c>
      <c r="L3508" s="232" t="inlineStr">
        <is>
          <t>[PRORRATEO 5.2% 7.7há/148.3há] O/001659 FLETE</t>
        </is>
      </c>
      <c r="M3508" s="232" t="inlineStr"/>
      <c r="N3508" s="232" t="inlineStr">
        <is>
          <t>.   .   -</t>
        </is>
      </c>
      <c r="O3508" s="232" t="inlineStr">
        <is>
          <t>MAYO</t>
        </is>
      </c>
      <c r="P3508" s="232" t="n">
        <v>17</v>
      </c>
      <c r="Q3508" s="234" t="n">
        <v>12465</v>
      </c>
      <c r="R3508" s="232" t="inlineStr"/>
      <c r="S3508" s="234" t="n">
        <v>12465</v>
      </c>
      <c r="T3508" s="232" t="inlineStr">
        <is>
          <t>CLP</t>
        </is>
      </c>
      <c r="U3508" s="232" t="inlineStr">
        <is>
          <t>Prorrateo Ha PACKING</t>
        </is>
      </c>
      <c r="V3508" s="232" t="inlineStr">
        <is>
          <t>2026-06-18</t>
        </is>
      </c>
    </row>
    <row r="3509">
      <c r="A3509" s="232" t="inlineStr">
        <is>
          <t>CR-3506</t>
        </is>
      </c>
      <c r="B3509" s="232" t="inlineStr">
        <is>
          <t>2026/27</t>
        </is>
      </c>
      <c r="C3509" s="233" t="n">
        <v>46148</v>
      </c>
      <c r="D3509" s="232" t="inlineStr">
        <is>
          <t>8523</t>
        </is>
      </c>
      <c r="E3509" s="232" t="inlineStr">
        <is>
          <t>PRORRATEO</t>
        </is>
      </c>
      <c r="F3509" s="232" t="inlineStr">
        <is>
          <t>Santa Catalina</t>
        </is>
      </c>
      <c r="G3509" s="232" t="inlineStr">
        <is>
          <t>W. murcott 21 ha</t>
        </is>
      </c>
      <c r="H3509" s="232" t="inlineStr">
        <is>
          <t>Mandarina</t>
        </is>
      </c>
      <c r="I3509" s="232" t="inlineStr">
        <is>
          <t>W. murcott</t>
        </is>
      </c>
      <c r="J3509" s="232" t="inlineStr">
        <is>
          <t>FLETES</t>
        </is>
      </c>
      <c r="K3509" s="232" t="inlineStr">
        <is>
          <t>FLETE FRUTA</t>
        </is>
      </c>
      <c r="L3509" s="232" t="inlineStr">
        <is>
          <t>[PRORRATEO 14.2% 21.0há/148.3há] O/001659 FLETE</t>
        </is>
      </c>
      <c r="M3509" s="232" t="inlineStr"/>
      <c r="N3509" s="232" t="inlineStr">
        <is>
          <t>.   .   -</t>
        </is>
      </c>
      <c r="O3509" s="232" t="inlineStr">
        <is>
          <t>MAYO</t>
        </is>
      </c>
      <c r="P3509" s="232" t="n">
        <v>17</v>
      </c>
      <c r="Q3509" s="234" t="n">
        <v>33994</v>
      </c>
      <c r="R3509" s="232" t="inlineStr"/>
      <c r="S3509" s="234" t="n">
        <v>33994</v>
      </c>
      <c r="T3509" s="232" t="inlineStr">
        <is>
          <t>CLP</t>
        </is>
      </c>
      <c r="U3509" s="232" t="inlineStr">
        <is>
          <t>Prorrateo Ha PACKING</t>
        </is>
      </c>
      <c r="V3509" s="232" t="inlineStr">
        <is>
          <t>2026-06-18</t>
        </is>
      </c>
    </row>
    <row r="3510">
      <c r="A3510" s="232" t="inlineStr">
        <is>
          <t>CR-3507</t>
        </is>
      </c>
      <c r="B3510" s="232" t="inlineStr">
        <is>
          <t>2026/27</t>
        </is>
      </c>
      <c r="C3510" s="233" t="n">
        <v>46148</v>
      </c>
      <c r="D3510" s="232" t="inlineStr">
        <is>
          <t>8523</t>
        </is>
      </c>
      <c r="E3510" s="232" t="inlineStr">
        <is>
          <t>PRORRATEO</t>
        </is>
      </c>
      <c r="F3510" s="232" t="inlineStr">
        <is>
          <t>Santa Catalina</t>
        </is>
      </c>
      <c r="G3510" s="232" t="inlineStr">
        <is>
          <t>cambria 4,2 ha</t>
        </is>
      </c>
      <c r="H3510" s="232" t="inlineStr">
        <is>
          <t>Naranjas</t>
        </is>
      </c>
      <c r="I3510" s="232" t="inlineStr">
        <is>
          <t>Cambria</t>
        </is>
      </c>
      <c r="J3510" s="232" t="inlineStr">
        <is>
          <t>FLETES</t>
        </is>
      </c>
      <c r="K3510" s="232" t="inlineStr">
        <is>
          <t>FLETE FRUTA</t>
        </is>
      </c>
      <c r="L3510" s="232" t="inlineStr">
        <is>
          <t>[PRORRATEO 2.8% 4.2há/148.3há] O/001659 FLETE</t>
        </is>
      </c>
      <c r="M3510" s="232" t="inlineStr"/>
      <c r="N3510" s="232" t="inlineStr">
        <is>
          <t>.   .   -</t>
        </is>
      </c>
      <c r="O3510" s="232" t="inlineStr">
        <is>
          <t>MAYO</t>
        </is>
      </c>
      <c r="P3510" s="232" t="n">
        <v>17</v>
      </c>
      <c r="Q3510" s="234" t="n">
        <v>6799</v>
      </c>
      <c r="R3510" s="232" t="inlineStr"/>
      <c r="S3510" s="234" t="n">
        <v>6799</v>
      </c>
      <c r="T3510" s="232" t="inlineStr">
        <is>
          <t>CLP</t>
        </is>
      </c>
      <c r="U3510" s="232" t="inlineStr">
        <is>
          <t>Prorrateo Ha PACKING</t>
        </is>
      </c>
      <c r="V3510" s="232" t="inlineStr">
        <is>
          <t>2026-06-18</t>
        </is>
      </c>
    </row>
    <row r="3511">
      <c r="A3511" s="232" t="inlineStr">
        <is>
          <t>CR-3508</t>
        </is>
      </c>
      <c r="B3511" s="232" t="inlineStr">
        <is>
          <t>2026/27</t>
        </is>
      </c>
      <c r="C3511" s="233" t="n">
        <v>46148</v>
      </c>
      <c r="D3511" s="232" t="inlineStr">
        <is>
          <t>8523</t>
        </is>
      </c>
      <c r="E3511" s="232" t="inlineStr">
        <is>
          <t>PRORRATEO</t>
        </is>
      </c>
      <c r="F3511" s="232" t="inlineStr">
        <is>
          <t>Santa Catalina</t>
        </is>
      </c>
      <c r="G3511" s="232" t="inlineStr">
        <is>
          <t>eureka 10,6 ha</t>
        </is>
      </c>
      <c r="H3511" s="232" t="inlineStr">
        <is>
          <t>Limon</t>
        </is>
      </c>
      <c r="I3511" s="232" t="inlineStr">
        <is>
          <t>Eureka</t>
        </is>
      </c>
      <c r="J3511" s="232" t="inlineStr">
        <is>
          <t>FLETES</t>
        </is>
      </c>
      <c r="K3511" s="232" t="inlineStr">
        <is>
          <t>FLETE FRUTA</t>
        </is>
      </c>
      <c r="L3511" s="232" t="inlineStr">
        <is>
          <t>[PRORRATEO 7.1% 10.6há/148.3há] O/001659 FLETE</t>
        </is>
      </c>
      <c r="M3511" s="232" t="inlineStr"/>
      <c r="N3511" s="232" t="inlineStr">
        <is>
          <t>.   .   -</t>
        </is>
      </c>
      <c r="O3511" s="232" t="inlineStr">
        <is>
          <t>MAYO</t>
        </is>
      </c>
      <c r="P3511" s="232" t="n">
        <v>17</v>
      </c>
      <c r="Q3511" s="234" t="n">
        <v>17159</v>
      </c>
      <c r="R3511" s="232" t="inlineStr"/>
      <c r="S3511" s="234" t="n">
        <v>17159</v>
      </c>
      <c r="T3511" s="232" t="inlineStr">
        <is>
          <t>CLP</t>
        </is>
      </c>
      <c r="U3511" s="232" t="inlineStr">
        <is>
          <t>Prorrateo Ha PACKING</t>
        </is>
      </c>
      <c r="V3511" s="232" t="inlineStr">
        <is>
          <t>2026-06-18</t>
        </is>
      </c>
    </row>
    <row r="3512">
      <c r="A3512" s="232" t="inlineStr">
        <is>
          <t>CR-3509</t>
        </is>
      </c>
      <c r="B3512" s="232" t="inlineStr">
        <is>
          <t>2026/27</t>
        </is>
      </c>
      <c r="C3512" s="233" t="n">
        <v>46148</v>
      </c>
      <c r="D3512" s="232" t="inlineStr">
        <is>
          <t>8523</t>
        </is>
      </c>
      <c r="E3512" s="232" t="inlineStr">
        <is>
          <t>PRORRATEO</t>
        </is>
      </c>
      <c r="F3512" s="232" t="inlineStr">
        <is>
          <t>Santa Catalina</t>
        </is>
      </c>
      <c r="G3512" s="232" t="inlineStr">
        <is>
          <t>eureka 14,4 ha</t>
        </is>
      </c>
      <c r="H3512" s="232" t="inlineStr">
        <is>
          <t>Limon</t>
        </is>
      </c>
      <c r="I3512" s="232" t="inlineStr">
        <is>
          <t>Eureka</t>
        </is>
      </c>
      <c r="J3512" s="232" t="inlineStr">
        <is>
          <t>FLETES</t>
        </is>
      </c>
      <c r="K3512" s="232" t="inlineStr">
        <is>
          <t>FLETE FRUTA</t>
        </is>
      </c>
      <c r="L3512" s="232" t="inlineStr">
        <is>
          <t>[PRORRATEO 9.7% 14.4há/148.3há] O/001659 FLETE</t>
        </is>
      </c>
      <c r="M3512" s="232" t="inlineStr"/>
      <c r="N3512" s="232" t="inlineStr">
        <is>
          <t>.   .   -</t>
        </is>
      </c>
      <c r="O3512" s="232" t="inlineStr">
        <is>
          <t>MAYO</t>
        </is>
      </c>
      <c r="P3512" s="232" t="n">
        <v>17</v>
      </c>
      <c r="Q3512" s="234" t="n">
        <v>23310</v>
      </c>
      <c r="R3512" s="232" t="inlineStr"/>
      <c r="S3512" s="234" t="n">
        <v>23310</v>
      </c>
      <c r="T3512" s="232" t="inlineStr">
        <is>
          <t>CLP</t>
        </is>
      </c>
      <c r="U3512" s="232" t="inlineStr">
        <is>
          <t>Prorrateo Ha PACKING</t>
        </is>
      </c>
      <c r="V3512" s="232" t="inlineStr">
        <is>
          <t>2026-06-18</t>
        </is>
      </c>
    </row>
    <row r="3513">
      <c r="A3513" s="232" t="inlineStr">
        <is>
          <t>CR-3510</t>
        </is>
      </c>
      <c r="B3513" s="232" t="inlineStr">
        <is>
          <t>2026/27</t>
        </is>
      </c>
      <c r="C3513" s="233" t="n">
        <v>46148</v>
      </c>
      <c r="D3513" s="232" t="inlineStr">
        <is>
          <t>8523</t>
        </is>
      </c>
      <c r="E3513" s="232" t="inlineStr">
        <is>
          <t>PRORRATEO</t>
        </is>
      </c>
      <c r="F3513" s="232" t="inlineStr">
        <is>
          <t>Santa Catalina</t>
        </is>
      </c>
      <c r="G3513" s="232" t="inlineStr">
        <is>
          <t>eureka 22,55</t>
        </is>
      </c>
      <c r="H3513" s="232" t="inlineStr">
        <is>
          <t>Limon</t>
        </is>
      </c>
      <c r="I3513" s="232" t="inlineStr">
        <is>
          <t>Eureka</t>
        </is>
      </c>
      <c r="J3513" s="232" t="inlineStr">
        <is>
          <t>FLETES</t>
        </is>
      </c>
      <c r="K3513" s="232" t="inlineStr">
        <is>
          <t>FLETE FRUTA</t>
        </is>
      </c>
      <c r="L3513" s="232" t="inlineStr">
        <is>
          <t>[PRORRATEO 15.2% 22.55há/148.3há] O/001659 FLETE</t>
        </is>
      </c>
      <c r="M3513" s="232" t="inlineStr"/>
      <c r="N3513" s="232" t="inlineStr">
        <is>
          <t>.   .   -</t>
        </is>
      </c>
      <c r="O3513" s="232" t="inlineStr">
        <is>
          <t>MAYO</t>
        </is>
      </c>
      <c r="P3513" s="232" t="n">
        <v>17</v>
      </c>
      <c r="Q3513" s="234" t="n">
        <v>36503</v>
      </c>
      <c r="R3513" s="232" t="inlineStr"/>
      <c r="S3513" s="234" t="n">
        <v>36503</v>
      </c>
      <c r="T3513" s="232" t="inlineStr">
        <is>
          <t>CLP</t>
        </is>
      </c>
      <c r="U3513" s="232" t="inlineStr">
        <is>
          <t>Prorrateo Ha PACKING</t>
        </is>
      </c>
      <c r="V3513" s="232" t="inlineStr">
        <is>
          <t>2026-06-18</t>
        </is>
      </c>
    </row>
    <row r="3514">
      <c r="A3514" s="232" t="inlineStr">
        <is>
          <t>CR-3511</t>
        </is>
      </c>
      <c r="B3514" s="232" t="inlineStr">
        <is>
          <t>2026/27</t>
        </is>
      </c>
      <c r="C3514" s="233" t="n">
        <v>46148</v>
      </c>
      <c r="D3514" s="232" t="inlineStr">
        <is>
          <t>8523</t>
        </is>
      </c>
      <c r="E3514" s="232" t="inlineStr">
        <is>
          <t>PRORRATEO</t>
        </is>
      </c>
      <c r="F3514" s="232" t="inlineStr">
        <is>
          <t>Santa Catalina</t>
        </is>
      </c>
      <c r="G3514" s="232" t="inlineStr">
        <is>
          <t>form benjamin 1,93 ha</t>
        </is>
      </c>
      <c r="H3514" s="232" t="inlineStr">
        <is>
          <t>Limon</t>
        </is>
      </c>
      <c r="I3514" s="232" t="inlineStr">
        <is>
          <t>Benjamin andes</t>
        </is>
      </c>
      <c r="J3514" s="232" t="inlineStr">
        <is>
          <t>FLETES</t>
        </is>
      </c>
      <c r="K3514" s="232" t="inlineStr">
        <is>
          <t>FLETE FRUTA</t>
        </is>
      </c>
      <c r="L3514" s="232" t="inlineStr">
        <is>
          <t>[PRORRATEO 1.3% 1.93há/148.3há] O/001659 FLETE</t>
        </is>
      </c>
      <c r="M3514" s="232" t="inlineStr"/>
      <c r="N3514" s="232" t="inlineStr">
        <is>
          <t>.   .   -</t>
        </is>
      </c>
      <c r="O3514" s="232" t="inlineStr">
        <is>
          <t>MAYO</t>
        </is>
      </c>
      <c r="P3514" s="232" t="n">
        <v>17</v>
      </c>
      <c r="Q3514" s="234" t="n">
        <v>3124</v>
      </c>
      <c r="R3514" s="232" t="inlineStr"/>
      <c r="S3514" s="234" t="n">
        <v>3124</v>
      </c>
      <c r="T3514" s="232" t="inlineStr">
        <is>
          <t>CLP</t>
        </is>
      </c>
      <c r="U3514" s="232" t="inlineStr">
        <is>
          <t>Prorrateo Ha PACKING</t>
        </is>
      </c>
      <c r="V3514" s="232" t="inlineStr">
        <is>
          <t>2026-06-18</t>
        </is>
      </c>
    </row>
    <row r="3515">
      <c r="A3515" s="232" t="inlineStr">
        <is>
          <t>CR-3512</t>
        </is>
      </c>
      <c r="B3515" s="232" t="inlineStr">
        <is>
          <t>2026/27</t>
        </is>
      </c>
      <c r="C3515" s="233" t="n">
        <v>46148</v>
      </c>
      <c r="D3515" s="232" t="inlineStr">
        <is>
          <t>8523</t>
        </is>
      </c>
      <c r="E3515" s="232" t="inlineStr">
        <is>
          <t>PRORRATEO</t>
        </is>
      </c>
      <c r="F3515" s="232" t="inlineStr">
        <is>
          <t>Santa Catalina</t>
        </is>
      </c>
      <c r="G3515" s="232" t="inlineStr">
        <is>
          <t>mant eureka 2,5 ha</t>
        </is>
      </c>
      <c r="H3515" s="232" t="inlineStr">
        <is>
          <t>Limon</t>
        </is>
      </c>
      <c r="I3515" s="232" t="inlineStr">
        <is>
          <t>Eureka</t>
        </is>
      </c>
      <c r="J3515" s="232" t="inlineStr">
        <is>
          <t>FLETES</t>
        </is>
      </c>
      <c r="K3515" s="232" t="inlineStr">
        <is>
          <t>FLETE FRUTA</t>
        </is>
      </c>
      <c r="L3515" s="232" t="inlineStr">
        <is>
          <t>[PRORRATEO 1.7% 2.5há/148.3há] O/001659 FLETE</t>
        </is>
      </c>
      <c r="M3515" s="232" t="inlineStr"/>
      <c r="N3515" s="232" t="inlineStr">
        <is>
          <t>.   .   -</t>
        </is>
      </c>
      <c r="O3515" s="232" t="inlineStr">
        <is>
          <t>MAYO</t>
        </is>
      </c>
      <c r="P3515" s="232" t="n">
        <v>17</v>
      </c>
      <c r="Q3515" s="234" t="n">
        <v>4047</v>
      </c>
      <c r="R3515" s="232" t="inlineStr"/>
      <c r="S3515" s="234" t="n">
        <v>4047</v>
      </c>
      <c r="T3515" s="232" t="inlineStr">
        <is>
          <t>CLP</t>
        </is>
      </c>
      <c r="U3515" s="232" t="inlineStr">
        <is>
          <t>Prorrateo Ha PACKING</t>
        </is>
      </c>
      <c r="V3515" s="232" t="inlineStr">
        <is>
          <t>2026-06-18</t>
        </is>
      </c>
    </row>
    <row r="3516">
      <c r="A3516" s="232" t="inlineStr">
        <is>
          <t>CR-3513</t>
        </is>
      </c>
      <c r="B3516" s="232" t="inlineStr">
        <is>
          <t>2026/27</t>
        </is>
      </c>
      <c r="C3516" s="233" t="n">
        <v>46148</v>
      </c>
      <c r="D3516" s="232" t="inlineStr">
        <is>
          <t>8523</t>
        </is>
      </c>
      <c r="E3516" s="232" t="inlineStr">
        <is>
          <t>PRORRATEO</t>
        </is>
      </c>
      <c r="F3516" s="232" t="inlineStr">
        <is>
          <t>Siberia</t>
        </is>
      </c>
      <c r="G3516" s="232" t="inlineStr">
        <is>
          <t>S. Celebration 7,14</t>
        </is>
      </c>
      <c r="H3516" s="232" t="inlineStr">
        <is>
          <t>Uvas</t>
        </is>
      </c>
      <c r="I3516" s="232" t="inlineStr">
        <is>
          <t>S. celebration</t>
        </is>
      </c>
      <c r="J3516" s="232" t="inlineStr">
        <is>
          <t>FLETES</t>
        </is>
      </c>
      <c r="K3516" s="232" t="inlineStr">
        <is>
          <t>FLETE FRUTA</t>
        </is>
      </c>
      <c r="L3516" s="232" t="inlineStr">
        <is>
          <t>[PRORRATEO 4.8% 7.14há/148.3há] O/001659 FLETE</t>
        </is>
      </c>
      <c r="M3516" s="232" t="inlineStr"/>
      <c r="N3516" s="232" t="inlineStr">
        <is>
          <t>.   .   -</t>
        </is>
      </c>
      <c r="O3516" s="232" t="inlineStr">
        <is>
          <t>MAYO</t>
        </is>
      </c>
      <c r="P3516" s="232" t="n">
        <v>17</v>
      </c>
      <c r="Q3516" s="234" t="n">
        <v>11558</v>
      </c>
      <c r="R3516" s="232" t="inlineStr"/>
      <c r="S3516" s="234" t="n">
        <v>11558</v>
      </c>
      <c r="T3516" s="232" t="inlineStr">
        <is>
          <t>CLP</t>
        </is>
      </c>
      <c r="U3516" s="232" t="inlineStr">
        <is>
          <t>Prorrateo Ha PACKING</t>
        </is>
      </c>
      <c r="V3516" s="232" t="inlineStr">
        <is>
          <t>2026-06-18</t>
        </is>
      </c>
    </row>
    <row r="3517">
      <c r="A3517" s="232" t="inlineStr">
        <is>
          <t>CR-3514</t>
        </is>
      </c>
      <c r="B3517" s="232" t="inlineStr">
        <is>
          <t>2026/27</t>
        </is>
      </c>
      <c r="C3517" s="233" t="n">
        <v>46148</v>
      </c>
      <c r="D3517" s="232" t="inlineStr">
        <is>
          <t>8523</t>
        </is>
      </c>
      <c r="E3517" s="232" t="inlineStr">
        <is>
          <t>PRORRATEO</t>
        </is>
      </c>
      <c r="F3517" s="232" t="inlineStr">
        <is>
          <t>Siberia</t>
        </is>
      </c>
      <c r="G3517" s="232" t="inlineStr">
        <is>
          <t>Timpson 7,1</t>
        </is>
      </c>
      <c r="H3517" s="232" t="inlineStr">
        <is>
          <t>Uvas</t>
        </is>
      </c>
      <c r="I3517" s="232" t="inlineStr">
        <is>
          <t>Timpson</t>
        </is>
      </c>
      <c r="J3517" s="232" t="inlineStr">
        <is>
          <t>FLETES</t>
        </is>
      </c>
      <c r="K3517" s="232" t="inlineStr">
        <is>
          <t>FLETE FRUTA</t>
        </is>
      </c>
      <c r="L3517" s="232" t="inlineStr">
        <is>
          <t>[PRORRATEO 4.8% 7.1há/148.3há] O/001659 FLETE</t>
        </is>
      </c>
      <c r="M3517" s="232" t="inlineStr"/>
      <c r="N3517" s="232" t="inlineStr">
        <is>
          <t>.   .   -</t>
        </is>
      </c>
      <c r="O3517" s="232" t="inlineStr">
        <is>
          <t>MAYO</t>
        </is>
      </c>
      <c r="P3517" s="232" t="n">
        <v>17</v>
      </c>
      <c r="Q3517" s="234" t="n">
        <v>11493</v>
      </c>
      <c r="R3517" s="232" t="inlineStr"/>
      <c r="S3517" s="234" t="n">
        <v>11493</v>
      </c>
      <c r="T3517" s="232" t="inlineStr">
        <is>
          <t>CLP</t>
        </is>
      </c>
      <c r="U3517" s="232" t="inlineStr">
        <is>
          <t>Prorrateo Ha PACKING</t>
        </is>
      </c>
      <c r="V3517" s="232" t="inlineStr">
        <is>
          <t>2026-06-18</t>
        </is>
      </c>
    </row>
    <row r="3518">
      <c r="A3518" s="232" t="inlineStr">
        <is>
          <t>CR-3515</t>
        </is>
      </c>
      <c r="B3518" s="232" t="inlineStr">
        <is>
          <t>2026/27</t>
        </is>
      </c>
      <c r="C3518" s="233" t="n">
        <v>46169</v>
      </c>
      <c r="D3518" s="232" t="inlineStr">
        <is>
          <t>427069</t>
        </is>
      </c>
      <c r="E3518" s="232" t="inlineStr">
        <is>
          <t>PRORRATEO</t>
        </is>
      </c>
      <c r="F3518" s="232" t="inlineStr">
        <is>
          <t>Asmara</t>
        </is>
      </c>
      <c r="G3518" s="232" t="inlineStr">
        <is>
          <t>w. murcott 19,8 ha</t>
        </is>
      </c>
      <c r="H3518" s="232" t="inlineStr">
        <is>
          <t>Mandarina</t>
        </is>
      </c>
      <c r="I3518" s="232" t="inlineStr">
        <is>
          <t>W. murcott</t>
        </is>
      </c>
      <c r="J3518" s="232" t="inlineStr">
        <is>
          <t>GASTOS GENERALES</t>
        </is>
      </c>
      <c r="K3518" s="232" t="inlineStr">
        <is>
          <t>ALIMENTO MASCOTA</t>
        </is>
      </c>
      <c r="L3518" s="232" t="inlineStr">
        <is>
          <t>[PRORRATEO 13.4% 19.8há/148.3há] O/001709 CACHUPIN 2</t>
        </is>
      </c>
      <c r="M3518" s="232" t="inlineStr"/>
      <c r="N3518" s="232" t="inlineStr">
        <is>
          <t>.   .   -</t>
        </is>
      </c>
      <c r="O3518" s="232" t="inlineStr">
        <is>
          <t>MAYO</t>
        </is>
      </c>
      <c r="P3518" s="232" t="n">
        <v>20</v>
      </c>
      <c r="Q3518" s="234" t="n">
        <v>20700</v>
      </c>
      <c r="R3518" s="232" t="inlineStr"/>
      <c r="S3518" s="234" t="n">
        <v>20700</v>
      </c>
      <c r="T3518" s="232" t="inlineStr">
        <is>
          <t>CLP</t>
        </is>
      </c>
      <c r="U3518" s="232" t="inlineStr">
        <is>
          <t>Prorrateo Ha BODEGA</t>
        </is>
      </c>
      <c r="V3518" s="232" t="inlineStr">
        <is>
          <t>2026-06-18</t>
        </is>
      </c>
    </row>
    <row r="3519">
      <c r="A3519" s="232" t="inlineStr">
        <is>
          <t>CR-3516</t>
        </is>
      </c>
      <c r="B3519" s="232" t="inlineStr">
        <is>
          <t>2026/27</t>
        </is>
      </c>
      <c r="C3519" s="233" t="n">
        <v>46169</v>
      </c>
      <c r="D3519" s="232" t="inlineStr">
        <is>
          <t>427069</t>
        </is>
      </c>
      <c r="E3519" s="232" t="inlineStr">
        <is>
          <t>PRORRATEO</t>
        </is>
      </c>
      <c r="F3519" s="232" t="inlineStr">
        <is>
          <t>Asmara</t>
        </is>
      </c>
      <c r="G3519" s="232" t="inlineStr">
        <is>
          <t>w. murcott 4,9 ha</t>
        </is>
      </c>
      <c r="H3519" s="232" t="inlineStr">
        <is>
          <t>Mandarina</t>
        </is>
      </c>
      <c r="I3519" s="232" t="inlineStr">
        <is>
          <t>W. murcott</t>
        </is>
      </c>
      <c r="J3519" s="232" t="inlineStr">
        <is>
          <t>GASTOS GENERALES</t>
        </is>
      </c>
      <c r="K3519" s="232" t="inlineStr">
        <is>
          <t>ALIMENTO MASCOTA</t>
        </is>
      </c>
      <c r="L3519" s="232" t="inlineStr">
        <is>
          <t>[PRORRATEO 3.3% 4.9há/148.3há] O/001709 CACHUPIN 2</t>
        </is>
      </c>
      <c r="M3519" s="232" t="inlineStr"/>
      <c r="N3519" s="232" t="inlineStr">
        <is>
          <t>.   .   -</t>
        </is>
      </c>
      <c r="O3519" s="232" t="inlineStr">
        <is>
          <t>MAYO</t>
        </is>
      </c>
      <c r="P3519" s="232" t="n">
        <v>20</v>
      </c>
      <c r="Q3519" s="234" t="n">
        <v>5123</v>
      </c>
      <c r="R3519" s="232" t="inlineStr"/>
      <c r="S3519" s="234" t="n">
        <v>5123</v>
      </c>
      <c r="T3519" s="232" t="inlineStr">
        <is>
          <t>CLP</t>
        </is>
      </c>
      <c r="U3519" s="232" t="inlineStr">
        <is>
          <t>Prorrateo Ha BODEGA</t>
        </is>
      </c>
      <c r="V3519" s="232" t="inlineStr">
        <is>
          <t>2026-06-18</t>
        </is>
      </c>
    </row>
    <row r="3520">
      <c r="A3520" s="232" t="inlineStr">
        <is>
          <t>CR-3517</t>
        </is>
      </c>
      <c r="B3520" s="232" t="inlineStr">
        <is>
          <t>2026/27</t>
        </is>
      </c>
      <c r="C3520" s="233" t="n">
        <v>46169</v>
      </c>
      <c r="D3520" s="232" t="inlineStr">
        <is>
          <t>427069</t>
        </is>
      </c>
      <c r="E3520" s="232" t="inlineStr">
        <is>
          <t>PRORRATEO</t>
        </is>
      </c>
      <c r="F3520" s="232" t="inlineStr">
        <is>
          <t>El Molle</t>
        </is>
      </c>
      <c r="G3520" s="232" t="inlineStr">
        <is>
          <t>Wonderful 5,25 ha</t>
        </is>
      </c>
      <c r="H3520" s="232" t="inlineStr">
        <is>
          <t>Granados</t>
        </is>
      </c>
      <c r="I3520" s="232" t="inlineStr">
        <is>
          <t>Wonderfull</t>
        </is>
      </c>
      <c r="J3520" s="232" t="inlineStr">
        <is>
          <t>GASTOS GENERALES</t>
        </is>
      </c>
      <c r="K3520" s="232" t="inlineStr">
        <is>
          <t>ALIMENTO MASCOTA</t>
        </is>
      </c>
      <c r="L3520" s="232" t="inlineStr">
        <is>
          <t>[PRORRATEO 3.5% 5.24há/148.3há] O/001709 CACHUPIN 2</t>
        </is>
      </c>
      <c r="M3520" s="232" t="inlineStr"/>
      <c r="N3520" s="232" t="inlineStr">
        <is>
          <t>.   .   -</t>
        </is>
      </c>
      <c r="O3520" s="232" t="inlineStr">
        <is>
          <t>MAYO</t>
        </is>
      </c>
      <c r="P3520" s="232" t="n">
        <v>20</v>
      </c>
      <c r="Q3520" s="234" t="n">
        <v>5478</v>
      </c>
      <c r="R3520" s="232" t="inlineStr"/>
      <c r="S3520" s="234" t="n">
        <v>5478</v>
      </c>
      <c r="T3520" s="232" t="inlineStr">
        <is>
          <t>CLP</t>
        </is>
      </c>
      <c r="U3520" s="232" t="inlineStr">
        <is>
          <t>Prorrateo Ha BODEGA</t>
        </is>
      </c>
      <c r="V3520" s="232" t="inlineStr">
        <is>
          <t>2026-06-18</t>
        </is>
      </c>
    </row>
    <row r="3521">
      <c r="A3521" s="232" t="inlineStr">
        <is>
          <t>CR-3518</t>
        </is>
      </c>
      <c r="B3521" s="232" t="inlineStr">
        <is>
          <t>2026/27</t>
        </is>
      </c>
      <c r="C3521" s="233" t="n">
        <v>46169</v>
      </c>
      <c r="D3521" s="232" t="inlineStr">
        <is>
          <t>427069</t>
        </is>
      </c>
      <c r="E3521" s="232" t="inlineStr">
        <is>
          <t>PRORRATEO</t>
        </is>
      </c>
      <c r="F3521" s="232" t="inlineStr">
        <is>
          <t>El Molle</t>
        </is>
      </c>
      <c r="G3521" s="232" t="inlineStr">
        <is>
          <t>arrufatinas 5,74 ha</t>
        </is>
      </c>
      <c r="H3521" s="232" t="inlineStr">
        <is>
          <t>Clementinas</t>
        </is>
      </c>
      <c r="I3521" s="232" t="inlineStr">
        <is>
          <t>Arrufatinas</t>
        </is>
      </c>
      <c r="J3521" s="232" t="inlineStr">
        <is>
          <t>GASTOS GENERALES</t>
        </is>
      </c>
      <c r="K3521" s="232" t="inlineStr">
        <is>
          <t>ALIMENTO MASCOTA</t>
        </is>
      </c>
      <c r="L3521" s="232" t="inlineStr">
        <is>
          <t>[PRORRATEO 3.9% 5.74há/148.3há] O/001709 CACHUPIN 2</t>
        </is>
      </c>
      <c r="M3521" s="232" t="inlineStr"/>
      <c r="N3521" s="232" t="inlineStr">
        <is>
          <t>.   .   -</t>
        </is>
      </c>
      <c r="O3521" s="232" t="inlineStr">
        <is>
          <t>MAYO</t>
        </is>
      </c>
      <c r="P3521" s="232" t="n">
        <v>20</v>
      </c>
      <c r="Q3521" s="234" t="n">
        <v>6001</v>
      </c>
      <c r="R3521" s="232" t="inlineStr"/>
      <c r="S3521" s="234" t="n">
        <v>6001</v>
      </c>
      <c r="T3521" s="232" t="inlineStr">
        <is>
          <t>CLP</t>
        </is>
      </c>
      <c r="U3521" s="232" t="inlineStr">
        <is>
          <t>Prorrateo Ha BODEGA</t>
        </is>
      </c>
      <c r="V3521" s="232" t="inlineStr">
        <is>
          <t>2026-06-18</t>
        </is>
      </c>
    </row>
    <row r="3522">
      <c r="A3522" s="232" t="inlineStr">
        <is>
          <t>CR-3519</t>
        </is>
      </c>
      <c r="B3522" s="232" t="inlineStr">
        <is>
          <t>2026/27</t>
        </is>
      </c>
      <c r="C3522" s="233" t="n">
        <v>46169</v>
      </c>
      <c r="D3522" s="232" t="inlineStr">
        <is>
          <t>427069</t>
        </is>
      </c>
      <c r="E3522" s="232" t="inlineStr">
        <is>
          <t>PRORRATEO</t>
        </is>
      </c>
      <c r="F3522" s="232" t="inlineStr">
        <is>
          <t>El Molle</t>
        </is>
      </c>
      <c r="G3522" s="232" t="inlineStr">
        <is>
          <t>orogrande 8,11 ha</t>
        </is>
      </c>
      <c r="H3522" s="232" t="inlineStr">
        <is>
          <t>Clementinas</t>
        </is>
      </c>
      <c r="I3522" s="232" t="inlineStr">
        <is>
          <t>Orogrande</t>
        </is>
      </c>
      <c r="J3522" s="232" t="inlineStr">
        <is>
          <t>GASTOS GENERALES</t>
        </is>
      </c>
      <c r="K3522" s="232" t="inlineStr">
        <is>
          <t>ALIMENTO MASCOTA</t>
        </is>
      </c>
      <c r="L3522" s="232" t="inlineStr">
        <is>
          <t>[PRORRATEO 5.5% 8.11há/148.3há] O/001709 CACHUPIN 2</t>
        </is>
      </c>
      <c r="M3522" s="232" t="inlineStr"/>
      <c r="N3522" s="232" t="inlineStr">
        <is>
          <t>.   .   -</t>
        </is>
      </c>
      <c r="O3522" s="232" t="inlineStr">
        <is>
          <t>MAYO</t>
        </is>
      </c>
      <c r="P3522" s="232" t="n">
        <v>20</v>
      </c>
      <c r="Q3522" s="234" t="n">
        <v>8479</v>
      </c>
      <c r="R3522" s="232" t="inlineStr"/>
      <c r="S3522" s="234" t="n">
        <v>8479</v>
      </c>
      <c r="T3522" s="232" t="inlineStr">
        <is>
          <t>CLP</t>
        </is>
      </c>
      <c r="U3522" s="232" t="inlineStr">
        <is>
          <t>Prorrateo Ha BODEGA</t>
        </is>
      </c>
      <c r="V3522" s="232" t="inlineStr">
        <is>
          <t>2026-06-18</t>
        </is>
      </c>
    </row>
    <row r="3523">
      <c r="A3523" s="232" t="inlineStr">
        <is>
          <t>CR-3520</t>
        </is>
      </c>
      <c r="B3523" s="232" t="inlineStr">
        <is>
          <t>2026/27</t>
        </is>
      </c>
      <c r="C3523" s="233" t="n">
        <v>46169</v>
      </c>
      <c r="D3523" s="232" t="inlineStr">
        <is>
          <t>427069</t>
        </is>
      </c>
      <c r="E3523" s="232" t="inlineStr">
        <is>
          <t>PRORRATEO</t>
        </is>
      </c>
      <c r="F3523" s="232" t="inlineStr">
        <is>
          <t>El Molle</t>
        </is>
      </c>
      <c r="G3523" s="232" t="inlineStr">
        <is>
          <t>oronules 5,35 ha</t>
        </is>
      </c>
      <c r="H3523" s="232" t="inlineStr">
        <is>
          <t>Clementinas</t>
        </is>
      </c>
      <c r="I3523" s="232" t="inlineStr">
        <is>
          <t>Oronules</t>
        </is>
      </c>
      <c r="J3523" s="232" t="inlineStr">
        <is>
          <t>GASTOS GENERALES</t>
        </is>
      </c>
      <c r="K3523" s="232" t="inlineStr">
        <is>
          <t>ALIMENTO MASCOTA</t>
        </is>
      </c>
      <c r="L3523" s="232" t="inlineStr">
        <is>
          <t>[PRORRATEO 3.6% 5.35há/148.3há] O/001709 CACHUPIN 2</t>
        </is>
      </c>
      <c r="M3523" s="232" t="inlineStr"/>
      <c r="N3523" s="232" t="inlineStr">
        <is>
          <t>.   .   -</t>
        </is>
      </c>
      <c r="O3523" s="232" t="inlineStr">
        <is>
          <t>MAYO</t>
        </is>
      </c>
      <c r="P3523" s="232" t="n">
        <v>20</v>
      </c>
      <c r="Q3523" s="234" t="n">
        <v>5593</v>
      </c>
      <c r="R3523" s="232" t="inlineStr"/>
      <c r="S3523" s="234" t="n">
        <v>5593</v>
      </c>
      <c r="T3523" s="232" t="inlineStr">
        <is>
          <t>CLP</t>
        </is>
      </c>
      <c r="U3523" s="232" t="inlineStr">
        <is>
          <t>Prorrateo Ha BODEGA</t>
        </is>
      </c>
      <c r="V3523" s="232" t="inlineStr">
        <is>
          <t>2026-06-18</t>
        </is>
      </c>
    </row>
    <row r="3524">
      <c r="A3524" s="232" t="inlineStr">
        <is>
          <t>CR-3521</t>
        </is>
      </c>
      <c r="B3524" s="232" t="inlineStr">
        <is>
          <t>2026/27</t>
        </is>
      </c>
      <c r="C3524" s="233" t="n">
        <v>46169</v>
      </c>
      <c r="D3524" s="232" t="inlineStr">
        <is>
          <t>427069</t>
        </is>
      </c>
      <c r="E3524" s="232" t="inlineStr">
        <is>
          <t>PRORRATEO</t>
        </is>
      </c>
      <c r="F3524" s="232" t="inlineStr">
        <is>
          <t>Santa Catalina</t>
        </is>
      </c>
      <c r="G3524" s="232" t="inlineStr">
        <is>
          <t>Fino 49 7,7 ha</t>
        </is>
      </c>
      <c r="H3524" s="232" t="inlineStr">
        <is>
          <t>Limon</t>
        </is>
      </c>
      <c r="I3524" s="232" t="inlineStr">
        <is>
          <t>Fino 49</t>
        </is>
      </c>
      <c r="J3524" s="232" t="inlineStr">
        <is>
          <t>GASTOS GENERALES</t>
        </is>
      </c>
      <c r="K3524" s="232" t="inlineStr">
        <is>
          <t>ALIMENTO MASCOTA</t>
        </is>
      </c>
      <c r="L3524" s="232" t="inlineStr">
        <is>
          <t>[PRORRATEO 5.2% 7.7há/148.3há] O/001709 CACHUPIN 2</t>
        </is>
      </c>
      <c r="M3524" s="232" t="inlineStr"/>
      <c r="N3524" s="232" t="inlineStr">
        <is>
          <t>.   .   -</t>
        </is>
      </c>
      <c r="O3524" s="232" t="inlineStr">
        <is>
          <t>MAYO</t>
        </is>
      </c>
      <c r="P3524" s="232" t="n">
        <v>20</v>
      </c>
      <c r="Q3524" s="234" t="n">
        <v>8050</v>
      </c>
      <c r="R3524" s="232" t="inlineStr"/>
      <c r="S3524" s="234" t="n">
        <v>8050</v>
      </c>
      <c r="T3524" s="232" t="inlineStr">
        <is>
          <t>CLP</t>
        </is>
      </c>
      <c r="U3524" s="232" t="inlineStr">
        <is>
          <t>Prorrateo Ha BODEGA</t>
        </is>
      </c>
      <c r="V3524" s="232" t="inlineStr">
        <is>
          <t>2026-06-18</t>
        </is>
      </c>
    </row>
    <row r="3525">
      <c r="A3525" s="232" t="inlineStr">
        <is>
          <t>CR-3522</t>
        </is>
      </c>
      <c r="B3525" s="232" t="inlineStr">
        <is>
          <t>2026/27</t>
        </is>
      </c>
      <c r="C3525" s="233" t="n">
        <v>46169</v>
      </c>
      <c r="D3525" s="232" t="inlineStr">
        <is>
          <t>427069</t>
        </is>
      </c>
      <c r="E3525" s="232" t="inlineStr">
        <is>
          <t>PRORRATEO</t>
        </is>
      </c>
      <c r="F3525" s="232" t="inlineStr">
        <is>
          <t>Santa Catalina</t>
        </is>
      </c>
      <c r="G3525" s="232" t="inlineStr">
        <is>
          <t>W. murcott 21 ha</t>
        </is>
      </c>
      <c r="H3525" s="232" t="inlineStr">
        <is>
          <t>Mandarina</t>
        </is>
      </c>
      <c r="I3525" s="232" t="inlineStr">
        <is>
          <t>W. murcott</t>
        </is>
      </c>
      <c r="J3525" s="232" t="inlineStr">
        <is>
          <t>GASTOS GENERALES</t>
        </is>
      </c>
      <c r="K3525" s="232" t="inlineStr">
        <is>
          <t>ALIMENTO MASCOTA</t>
        </is>
      </c>
      <c r="L3525" s="232" t="inlineStr">
        <is>
          <t>[PRORRATEO 14.2% 21.0há/148.3há] O/001709 CACHUPIN 2</t>
        </is>
      </c>
      <c r="M3525" s="232" t="inlineStr"/>
      <c r="N3525" s="232" t="inlineStr">
        <is>
          <t>.   .   -</t>
        </is>
      </c>
      <c r="O3525" s="232" t="inlineStr">
        <is>
          <t>MAYO</t>
        </is>
      </c>
      <c r="P3525" s="232" t="n">
        <v>20</v>
      </c>
      <c r="Q3525" s="234" t="n">
        <v>21955</v>
      </c>
      <c r="R3525" s="232" t="inlineStr"/>
      <c r="S3525" s="234" t="n">
        <v>21955</v>
      </c>
      <c r="T3525" s="232" t="inlineStr">
        <is>
          <t>CLP</t>
        </is>
      </c>
      <c r="U3525" s="232" t="inlineStr">
        <is>
          <t>Prorrateo Ha BODEGA</t>
        </is>
      </c>
      <c r="V3525" s="232" t="inlineStr">
        <is>
          <t>2026-06-18</t>
        </is>
      </c>
    </row>
    <row r="3526">
      <c r="A3526" s="232" t="inlineStr">
        <is>
          <t>CR-3523</t>
        </is>
      </c>
      <c r="B3526" s="232" t="inlineStr">
        <is>
          <t>2026/27</t>
        </is>
      </c>
      <c r="C3526" s="233" t="n">
        <v>46169</v>
      </c>
      <c r="D3526" s="232" t="inlineStr">
        <is>
          <t>427069</t>
        </is>
      </c>
      <c r="E3526" s="232" t="inlineStr">
        <is>
          <t>PRORRATEO</t>
        </is>
      </c>
      <c r="F3526" s="232" t="inlineStr">
        <is>
          <t>Santa Catalina</t>
        </is>
      </c>
      <c r="G3526" s="232" t="inlineStr">
        <is>
          <t>cambria 4,2 ha</t>
        </is>
      </c>
      <c r="H3526" s="232" t="inlineStr">
        <is>
          <t>Naranjas</t>
        </is>
      </c>
      <c r="I3526" s="232" t="inlineStr">
        <is>
          <t>Cambria</t>
        </is>
      </c>
      <c r="J3526" s="232" t="inlineStr">
        <is>
          <t>GASTOS GENERALES</t>
        </is>
      </c>
      <c r="K3526" s="232" t="inlineStr">
        <is>
          <t>ALIMENTO MASCOTA</t>
        </is>
      </c>
      <c r="L3526" s="232" t="inlineStr">
        <is>
          <t>[PRORRATEO 2.8% 4.2há/148.3há] O/001709 CACHUPIN 2</t>
        </is>
      </c>
      <c r="M3526" s="232" t="inlineStr"/>
      <c r="N3526" s="232" t="inlineStr">
        <is>
          <t>.   .   -</t>
        </is>
      </c>
      <c r="O3526" s="232" t="inlineStr">
        <is>
          <t>MAYO</t>
        </is>
      </c>
      <c r="P3526" s="232" t="n">
        <v>20</v>
      </c>
      <c r="Q3526" s="234" t="n">
        <v>4391</v>
      </c>
      <c r="R3526" s="232" t="inlineStr"/>
      <c r="S3526" s="234" t="n">
        <v>4391</v>
      </c>
      <c r="T3526" s="232" t="inlineStr">
        <is>
          <t>CLP</t>
        </is>
      </c>
      <c r="U3526" s="232" t="inlineStr">
        <is>
          <t>Prorrateo Ha BODEGA</t>
        </is>
      </c>
      <c r="V3526" s="232" t="inlineStr">
        <is>
          <t>2026-06-18</t>
        </is>
      </c>
    </row>
    <row r="3527">
      <c r="A3527" s="232" t="inlineStr">
        <is>
          <t>CR-3524</t>
        </is>
      </c>
      <c r="B3527" s="232" t="inlineStr">
        <is>
          <t>2026/27</t>
        </is>
      </c>
      <c r="C3527" s="233" t="n">
        <v>46169</v>
      </c>
      <c r="D3527" s="232" t="inlineStr">
        <is>
          <t>427069</t>
        </is>
      </c>
      <c r="E3527" s="232" t="inlineStr">
        <is>
          <t>PRORRATEO</t>
        </is>
      </c>
      <c r="F3527" s="232" t="inlineStr">
        <is>
          <t>Santa Catalina</t>
        </is>
      </c>
      <c r="G3527" s="232" t="inlineStr">
        <is>
          <t>eureka 10,6 ha</t>
        </is>
      </c>
      <c r="H3527" s="232" t="inlineStr">
        <is>
          <t>Limon</t>
        </is>
      </c>
      <c r="I3527" s="232" t="inlineStr">
        <is>
          <t>Eureka</t>
        </is>
      </c>
      <c r="J3527" s="232" t="inlineStr">
        <is>
          <t>GASTOS GENERALES</t>
        </is>
      </c>
      <c r="K3527" s="232" t="inlineStr">
        <is>
          <t>ALIMENTO MASCOTA</t>
        </is>
      </c>
      <c r="L3527" s="232" t="inlineStr">
        <is>
          <t>[PRORRATEO 7.1% 10.6há/148.3há] O/001709 CACHUPIN 2</t>
        </is>
      </c>
      <c r="M3527" s="232" t="inlineStr"/>
      <c r="N3527" s="232" t="inlineStr">
        <is>
          <t>.   .   -</t>
        </is>
      </c>
      <c r="O3527" s="232" t="inlineStr">
        <is>
          <t>MAYO</t>
        </is>
      </c>
      <c r="P3527" s="232" t="n">
        <v>20</v>
      </c>
      <c r="Q3527" s="234" t="n">
        <v>11082</v>
      </c>
      <c r="R3527" s="232" t="inlineStr"/>
      <c r="S3527" s="234" t="n">
        <v>11082</v>
      </c>
      <c r="T3527" s="232" t="inlineStr">
        <is>
          <t>CLP</t>
        </is>
      </c>
      <c r="U3527" s="232" t="inlineStr">
        <is>
          <t>Prorrateo Ha BODEGA</t>
        </is>
      </c>
      <c r="V3527" s="232" t="inlineStr">
        <is>
          <t>2026-06-18</t>
        </is>
      </c>
    </row>
    <row r="3528">
      <c r="A3528" s="232" t="inlineStr">
        <is>
          <t>CR-3525</t>
        </is>
      </c>
      <c r="B3528" s="232" t="inlineStr">
        <is>
          <t>2026/27</t>
        </is>
      </c>
      <c r="C3528" s="233" t="n">
        <v>46169</v>
      </c>
      <c r="D3528" s="232" t="inlineStr">
        <is>
          <t>427069</t>
        </is>
      </c>
      <c r="E3528" s="232" t="inlineStr">
        <is>
          <t>PRORRATEO</t>
        </is>
      </c>
      <c r="F3528" s="232" t="inlineStr">
        <is>
          <t>Santa Catalina</t>
        </is>
      </c>
      <c r="G3528" s="232" t="inlineStr">
        <is>
          <t>eureka 14,4 ha</t>
        </is>
      </c>
      <c r="H3528" s="232" t="inlineStr">
        <is>
          <t>Limon</t>
        </is>
      </c>
      <c r="I3528" s="232" t="inlineStr">
        <is>
          <t>Eureka</t>
        </is>
      </c>
      <c r="J3528" s="232" t="inlineStr">
        <is>
          <t>GASTOS GENERALES</t>
        </is>
      </c>
      <c r="K3528" s="232" t="inlineStr">
        <is>
          <t>ALIMENTO MASCOTA</t>
        </is>
      </c>
      <c r="L3528" s="232" t="inlineStr">
        <is>
          <t>[PRORRATEO 9.7% 14.4há/148.3há] O/001709 CACHUPIN 2</t>
        </is>
      </c>
      <c r="M3528" s="232" t="inlineStr"/>
      <c r="N3528" s="232" t="inlineStr">
        <is>
          <t>.   .   -</t>
        </is>
      </c>
      <c r="O3528" s="232" t="inlineStr">
        <is>
          <t>MAYO</t>
        </is>
      </c>
      <c r="P3528" s="232" t="n">
        <v>20</v>
      </c>
      <c r="Q3528" s="234" t="n">
        <v>15055</v>
      </c>
      <c r="R3528" s="232" t="inlineStr"/>
      <c r="S3528" s="234" t="n">
        <v>15055</v>
      </c>
      <c r="T3528" s="232" t="inlineStr">
        <is>
          <t>CLP</t>
        </is>
      </c>
      <c r="U3528" s="232" t="inlineStr">
        <is>
          <t>Prorrateo Ha BODEGA</t>
        </is>
      </c>
      <c r="V3528" s="232" t="inlineStr">
        <is>
          <t>2026-06-18</t>
        </is>
      </c>
    </row>
    <row r="3529">
      <c r="A3529" s="232" t="inlineStr">
        <is>
          <t>CR-3526</t>
        </is>
      </c>
      <c r="B3529" s="232" t="inlineStr">
        <is>
          <t>2026/27</t>
        </is>
      </c>
      <c r="C3529" s="233" t="n">
        <v>46169</v>
      </c>
      <c r="D3529" s="232" t="inlineStr">
        <is>
          <t>427069</t>
        </is>
      </c>
      <c r="E3529" s="232" t="inlineStr">
        <is>
          <t>PRORRATEO</t>
        </is>
      </c>
      <c r="F3529" s="232" t="inlineStr">
        <is>
          <t>Santa Catalina</t>
        </is>
      </c>
      <c r="G3529" s="232" t="inlineStr">
        <is>
          <t>eureka 22,55</t>
        </is>
      </c>
      <c r="H3529" s="232" t="inlineStr">
        <is>
          <t>Limon</t>
        </is>
      </c>
      <c r="I3529" s="232" t="inlineStr">
        <is>
          <t>Eureka</t>
        </is>
      </c>
      <c r="J3529" s="232" t="inlineStr">
        <is>
          <t>GASTOS GENERALES</t>
        </is>
      </c>
      <c r="K3529" s="232" t="inlineStr">
        <is>
          <t>ALIMENTO MASCOTA</t>
        </is>
      </c>
      <c r="L3529" s="232" t="inlineStr">
        <is>
          <t>[PRORRATEO 15.2% 22.55há/148.3há] O/001709 CACHUPIN 2</t>
        </is>
      </c>
      <c r="M3529" s="232" t="inlineStr"/>
      <c r="N3529" s="232" t="inlineStr">
        <is>
          <t>.   .   -</t>
        </is>
      </c>
      <c r="O3529" s="232" t="inlineStr">
        <is>
          <t>MAYO</t>
        </is>
      </c>
      <c r="P3529" s="232" t="n">
        <v>20</v>
      </c>
      <c r="Q3529" s="234" t="n">
        <v>23575</v>
      </c>
      <c r="R3529" s="232" t="inlineStr"/>
      <c r="S3529" s="234" t="n">
        <v>23575</v>
      </c>
      <c r="T3529" s="232" t="inlineStr">
        <is>
          <t>CLP</t>
        </is>
      </c>
      <c r="U3529" s="232" t="inlineStr">
        <is>
          <t>Prorrateo Ha BODEGA</t>
        </is>
      </c>
      <c r="V3529" s="232" t="inlineStr">
        <is>
          <t>2026-06-18</t>
        </is>
      </c>
    </row>
    <row r="3530">
      <c r="A3530" s="232" t="inlineStr">
        <is>
          <t>CR-3527</t>
        </is>
      </c>
      <c r="B3530" s="232" t="inlineStr">
        <is>
          <t>2026/27</t>
        </is>
      </c>
      <c r="C3530" s="233" t="n">
        <v>46169</v>
      </c>
      <c r="D3530" s="232" t="inlineStr">
        <is>
          <t>427069</t>
        </is>
      </c>
      <c r="E3530" s="232" t="inlineStr">
        <is>
          <t>PRORRATEO</t>
        </is>
      </c>
      <c r="F3530" s="232" t="inlineStr">
        <is>
          <t>Santa Catalina</t>
        </is>
      </c>
      <c r="G3530" s="232" t="inlineStr">
        <is>
          <t>form benjamin 1,93 ha</t>
        </is>
      </c>
      <c r="H3530" s="232" t="inlineStr">
        <is>
          <t>Limon</t>
        </is>
      </c>
      <c r="I3530" s="232" t="inlineStr">
        <is>
          <t>Benjamin andes</t>
        </is>
      </c>
      <c r="J3530" s="232" t="inlineStr">
        <is>
          <t>GASTOS GENERALES</t>
        </is>
      </c>
      <c r="K3530" s="232" t="inlineStr">
        <is>
          <t>ALIMENTO MASCOTA</t>
        </is>
      </c>
      <c r="L3530" s="232" t="inlineStr">
        <is>
          <t>[PRORRATEO 1.3% 1.93há/148.3há] O/001709 CACHUPIN 2</t>
        </is>
      </c>
      <c r="M3530" s="232" t="inlineStr"/>
      <c r="N3530" s="232" t="inlineStr">
        <is>
          <t>.   .   -</t>
        </is>
      </c>
      <c r="O3530" s="232" t="inlineStr">
        <is>
          <t>MAYO</t>
        </is>
      </c>
      <c r="P3530" s="232" t="n">
        <v>20</v>
      </c>
      <c r="Q3530" s="234" t="n">
        <v>2018</v>
      </c>
      <c r="R3530" s="232" t="inlineStr"/>
      <c r="S3530" s="234" t="n">
        <v>2018</v>
      </c>
      <c r="T3530" s="232" t="inlineStr">
        <is>
          <t>CLP</t>
        </is>
      </c>
      <c r="U3530" s="232" t="inlineStr">
        <is>
          <t>Prorrateo Ha BODEGA</t>
        </is>
      </c>
      <c r="V3530" s="232" t="inlineStr">
        <is>
          <t>2026-06-18</t>
        </is>
      </c>
    </row>
    <row r="3531">
      <c r="A3531" s="232" t="inlineStr">
        <is>
          <t>CR-3528</t>
        </is>
      </c>
      <c r="B3531" s="232" t="inlineStr">
        <is>
          <t>2026/27</t>
        </is>
      </c>
      <c r="C3531" s="233" t="n">
        <v>46169</v>
      </c>
      <c r="D3531" s="232" t="inlineStr">
        <is>
          <t>427069</t>
        </is>
      </c>
      <c r="E3531" s="232" t="inlineStr">
        <is>
          <t>PRORRATEO</t>
        </is>
      </c>
      <c r="F3531" s="232" t="inlineStr">
        <is>
          <t>Santa Catalina</t>
        </is>
      </c>
      <c r="G3531" s="232" t="inlineStr">
        <is>
          <t>mant eureka 2,5 ha</t>
        </is>
      </c>
      <c r="H3531" s="232" t="inlineStr">
        <is>
          <t>Limon</t>
        </is>
      </c>
      <c r="I3531" s="232" t="inlineStr">
        <is>
          <t>Eureka</t>
        </is>
      </c>
      <c r="J3531" s="232" t="inlineStr">
        <is>
          <t>GASTOS GENERALES</t>
        </is>
      </c>
      <c r="K3531" s="232" t="inlineStr">
        <is>
          <t>ALIMENTO MASCOTA</t>
        </is>
      </c>
      <c r="L3531" s="232" t="inlineStr">
        <is>
          <t>[PRORRATEO 1.7% 2.5há/148.3há] O/001709 CACHUPIN 2</t>
        </is>
      </c>
      <c r="M3531" s="232" t="inlineStr"/>
      <c r="N3531" s="232" t="inlineStr">
        <is>
          <t>.   .   -</t>
        </is>
      </c>
      <c r="O3531" s="232" t="inlineStr">
        <is>
          <t>MAYO</t>
        </is>
      </c>
      <c r="P3531" s="232" t="n">
        <v>20</v>
      </c>
      <c r="Q3531" s="234" t="n">
        <v>2614</v>
      </c>
      <c r="R3531" s="232" t="inlineStr"/>
      <c r="S3531" s="234" t="n">
        <v>2614</v>
      </c>
      <c r="T3531" s="232" t="inlineStr">
        <is>
          <t>CLP</t>
        </is>
      </c>
      <c r="U3531" s="232" t="inlineStr">
        <is>
          <t>Prorrateo Ha BODEGA</t>
        </is>
      </c>
      <c r="V3531" s="232" t="inlineStr">
        <is>
          <t>2026-06-18</t>
        </is>
      </c>
    </row>
    <row r="3532">
      <c r="A3532" s="232" t="inlineStr">
        <is>
          <t>CR-3529</t>
        </is>
      </c>
      <c r="B3532" s="232" t="inlineStr">
        <is>
          <t>2026/27</t>
        </is>
      </c>
      <c r="C3532" s="233" t="n">
        <v>46169</v>
      </c>
      <c r="D3532" s="232" t="inlineStr">
        <is>
          <t>427069</t>
        </is>
      </c>
      <c r="E3532" s="232" t="inlineStr">
        <is>
          <t>PRORRATEO</t>
        </is>
      </c>
      <c r="F3532" s="232" t="inlineStr">
        <is>
          <t>Siberia</t>
        </is>
      </c>
      <c r="G3532" s="232" t="inlineStr">
        <is>
          <t>S. Celebration 7,14</t>
        </is>
      </c>
      <c r="H3532" s="232" t="inlineStr">
        <is>
          <t>Uvas</t>
        </is>
      </c>
      <c r="I3532" s="232" t="inlineStr">
        <is>
          <t>S. celebration</t>
        </is>
      </c>
      <c r="J3532" s="232" t="inlineStr">
        <is>
          <t>GASTOS GENERALES</t>
        </is>
      </c>
      <c r="K3532" s="232" t="inlineStr">
        <is>
          <t>ALIMENTO MASCOTA</t>
        </is>
      </c>
      <c r="L3532" s="232" t="inlineStr">
        <is>
          <t>[PRORRATEO 4.8% 7.14há/148.3há] O/001709 CACHUPIN 2</t>
        </is>
      </c>
      <c r="M3532" s="232" t="inlineStr"/>
      <c r="N3532" s="232" t="inlineStr">
        <is>
          <t>.   .   -</t>
        </is>
      </c>
      <c r="O3532" s="232" t="inlineStr">
        <is>
          <t>MAYO</t>
        </is>
      </c>
      <c r="P3532" s="232" t="n">
        <v>20</v>
      </c>
      <c r="Q3532" s="234" t="n">
        <v>7465</v>
      </c>
      <c r="R3532" s="232" t="inlineStr"/>
      <c r="S3532" s="234" t="n">
        <v>7465</v>
      </c>
      <c r="T3532" s="232" t="inlineStr">
        <is>
          <t>CLP</t>
        </is>
      </c>
      <c r="U3532" s="232" t="inlineStr">
        <is>
          <t>Prorrateo Ha BODEGA</t>
        </is>
      </c>
      <c r="V3532" s="232" t="inlineStr">
        <is>
          <t>2026-06-18</t>
        </is>
      </c>
    </row>
    <row r="3533">
      <c r="A3533" s="232" t="inlineStr">
        <is>
          <t>CR-3530</t>
        </is>
      </c>
      <c r="B3533" s="232" t="inlineStr">
        <is>
          <t>2026/27</t>
        </is>
      </c>
      <c r="C3533" s="233" t="n">
        <v>46169</v>
      </c>
      <c r="D3533" s="232" t="inlineStr">
        <is>
          <t>427069</t>
        </is>
      </c>
      <c r="E3533" s="232" t="inlineStr">
        <is>
          <t>PRORRATEO</t>
        </is>
      </c>
      <c r="F3533" s="232" t="inlineStr">
        <is>
          <t>Siberia</t>
        </is>
      </c>
      <c r="G3533" s="232" t="inlineStr">
        <is>
          <t>Timpson 7,1</t>
        </is>
      </c>
      <c r="H3533" s="232" t="inlineStr">
        <is>
          <t>Uvas</t>
        </is>
      </c>
      <c r="I3533" s="232" t="inlineStr">
        <is>
          <t>Timpson</t>
        </is>
      </c>
      <c r="J3533" s="232" t="inlineStr">
        <is>
          <t>GASTOS GENERALES</t>
        </is>
      </c>
      <c r="K3533" s="232" t="inlineStr">
        <is>
          <t>ALIMENTO MASCOTA</t>
        </is>
      </c>
      <c r="L3533" s="232" t="inlineStr">
        <is>
          <t>[PRORRATEO 4.8% 7.1há/148.3há] O/001709 CACHUPIN 2</t>
        </is>
      </c>
      <c r="M3533" s="232" t="inlineStr"/>
      <c r="N3533" s="232" t="inlineStr">
        <is>
          <t>.   .   -</t>
        </is>
      </c>
      <c r="O3533" s="232" t="inlineStr">
        <is>
          <t>MAYO</t>
        </is>
      </c>
      <c r="P3533" s="232" t="n">
        <v>20</v>
      </c>
      <c r="Q3533" s="234" t="n">
        <v>7423</v>
      </c>
      <c r="R3533" s="232" t="inlineStr"/>
      <c r="S3533" s="234" t="n">
        <v>7423</v>
      </c>
      <c r="T3533" s="232" t="inlineStr">
        <is>
          <t>CLP</t>
        </is>
      </c>
      <c r="U3533" s="232" t="inlineStr">
        <is>
          <t>Prorrateo Ha BODEGA</t>
        </is>
      </c>
      <c r="V3533" s="232" t="inlineStr">
        <is>
          <t>2026-06-18</t>
        </is>
      </c>
    </row>
    <row r="3534">
      <c r="A3534" s="232" t="inlineStr">
        <is>
          <t>CR-3531</t>
        </is>
      </c>
      <c r="B3534" s="232" t="inlineStr">
        <is>
          <t>2026/27</t>
        </is>
      </c>
      <c r="C3534" s="233" t="n">
        <v>46188</v>
      </c>
      <c r="D3534" s="232" t="inlineStr">
        <is>
          <t>      </t>
        </is>
      </c>
      <c r="E3534" s="232" t="inlineStr">
        <is>
          <t>PRORRATEO</t>
        </is>
      </c>
      <c r="F3534" s="232" t="inlineStr">
        <is>
          <t>Asmara</t>
        </is>
      </c>
      <c r="G3534" s="232" t="inlineStr">
        <is>
          <t>w. murcott 19,8 ha</t>
        </is>
      </c>
      <c r="H3534" s="232" t="inlineStr">
        <is>
          <t>Mandarina</t>
        </is>
      </c>
      <c r="I3534" s="232" t="inlineStr">
        <is>
          <t>W. murcott</t>
        </is>
      </c>
      <c r="J3534" s="232" t="inlineStr">
        <is>
          <t>MANTENCION MAQUINARIAS</t>
        </is>
      </c>
      <c r="K3534" s="232" t="inlineStr">
        <is>
          <t>SCAT. MOTOR EL ZANJON EL MOLINO (15023)</t>
        </is>
      </c>
      <c r="L3534" s="232" t="inlineStr">
        <is>
          <t>[PRORRATEO 13.4% 19.8há/148.3há] O/001734 CAMION PLU</t>
        </is>
      </c>
      <c r="M3534" s="232" t="inlineStr"/>
      <c r="N3534" s="232" t="inlineStr">
        <is>
          <t>.   .   -</t>
        </is>
      </c>
      <c r="O3534" s="232" t="inlineStr">
        <is>
          <t>JUNIO</t>
        </is>
      </c>
      <c r="P3534" s="232" t="n">
        <v>23</v>
      </c>
      <c r="Q3534" s="234" t="n">
        <v>805</v>
      </c>
      <c r="R3534" s="232" t="inlineStr"/>
      <c r="S3534" s="234" t="n">
        <v>805</v>
      </c>
      <c r="T3534" s="232" t="inlineStr">
        <is>
          <t>CLP</t>
        </is>
      </c>
      <c r="U3534" s="232" t="inlineStr">
        <is>
          <t>Prorrateo Ha EUREKA M-F 1999 (2,5 Ha.)</t>
        </is>
      </c>
      <c r="V3534" s="232" t="inlineStr">
        <is>
          <t>2026-06-18</t>
        </is>
      </c>
    </row>
    <row r="3535">
      <c r="A3535" s="232" t="inlineStr">
        <is>
          <t>CR-3532</t>
        </is>
      </c>
      <c r="B3535" s="232" t="inlineStr">
        <is>
          <t>2026/27</t>
        </is>
      </c>
      <c r="C3535" s="233" t="n">
        <v>46188</v>
      </c>
      <c r="D3535" s="232" t="inlineStr">
        <is>
          <t>      </t>
        </is>
      </c>
      <c r="E3535" s="232" t="inlineStr">
        <is>
          <t>PRORRATEO</t>
        </is>
      </c>
      <c r="F3535" s="232" t="inlineStr">
        <is>
          <t>Asmara</t>
        </is>
      </c>
      <c r="G3535" s="232" t="inlineStr">
        <is>
          <t>w. murcott 4,9 ha</t>
        </is>
      </c>
      <c r="H3535" s="232" t="inlineStr">
        <is>
          <t>Mandarina</t>
        </is>
      </c>
      <c r="I3535" s="232" t="inlineStr">
        <is>
          <t>W. murcott</t>
        </is>
      </c>
      <c r="J3535" s="232" t="inlineStr">
        <is>
          <t>MANTENCION MAQUINARIAS</t>
        </is>
      </c>
      <c r="K3535" s="232" t="inlineStr">
        <is>
          <t>SCAT. MOTOR EL ZANJON EL MOLINO (15023)</t>
        </is>
      </c>
      <c r="L3535" s="232" t="inlineStr">
        <is>
          <t>[PRORRATEO 3.3% 4.9há/148.3há] O/001734 CAMION PLU</t>
        </is>
      </c>
      <c r="M3535" s="232" t="inlineStr"/>
      <c r="N3535" s="232" t="inlineStr">
        <is>
          <t>.   .   -</t>
        </is>
      </c>
      <c r="O3535" s="232" t="inlineStr">
        <is>
          <t>JUNIO</t>
        </is>
      </c>
      <c r="P3535" s="232" t="n">
        <v>23</v>
      </c>
      <c r="Q3535" s="234" t="n">
        <v>199</v>
      </c>
      <c r="R3535" s="232" t="inlineStr"/>
      <c r="S3535" s="234" t="n">
        <v>199</v>
      </c>
      <c r="T3535" s="232" t="inlineStr">
        <is>
          <t>CLP</t>
        </is>
      </c>
      <c r="U3535" s="232" t="inlineStr">
        <is>
          <t>Prorrateo Ha EUREKA M-F 1999 (2,5 Ha.)</t>
        </is>
      </c>
      <c r="V3535" s="232" t="inlineStr">
        <is>
          <t>2026-06-18</t>
        </is>
      </c>
    </row>
    <row r="3536">
      <c r="A3536" s="232" t="inlineStr">
        <is>
          <t>CR-3533</t>
        </is>
      </c>
      <c r="B3536" s="232" t="inlineStr">
        <is>
          <t>2026/27</t>
        </is>
      </c>
      <c r="C3536" s="233" t="n">
        <v>46188</v>
      </c>
      <c r="D3536" s="232" t="inlineStr">
        <is>
          <t>      </t>
        </is>
      </c>
      <c r="E3536" s="232" t="inlineStr">
        <is>
          <t>PRORRATEO</t>
        </is>
      </c>
      <c r="F3536" s="232" t="inlineStr">
        <is>
          <t>El Molle</t>
        </is>
      </c>
      <c r="G3536" s="232" t="inlineStr">
        <is>
          <t>Wonderful 5,25 ha</t>
        </is>
      </c>
      <c r="H3536" s="232" t="inlineStr">
        <is>
          <t>Granados</t>
        </is>
      </c>
      <c r="I3536" s="232" t="inlineStr">
        <is>
          <t>Wonderfull</t>
        </is>
      </c>
      <c r="J3536" s="232" t="inlineStr">
        <is>
          <t>MANTENCION MAQUINARIAS</t>
        </is>
      </c>
      <c r="K3536" s="232" t="inlineStr">
        <is>
          <t>SCAT. MOTOR EL ZANJON EL MOLINO (15023)</t>
        </is>
      </c>
      <c r="L3536" s="232" t="inlineStr">
        <is>
          <t>[PRORRATEO 3.5% 5.24há/148.3há] O/001734 CAMION PLU</t>
        </is>
      </c>
      <c r="M3536" s="232" t="inlineStr"/>
      <c r="N3536" s="232" t="inlineStr">
        <is>
          <t>.   .   -</t>
        </is>
      </c>
      <c r="O3536" s="232" t="inlineStr">
        <is>
          <t>JUNIO</t>
        </is>
      </c>
      <c r="P3536" s="232" t="n">
        <v>23</v>
      </c>
      <c r="Q3536" s="234" t="n">
        <v>213</v>
      </c>
      <c r="R3536" s="232" t="inlineStr"/>
      <c r="S3536" s="234" t="n">
        <v>213</v>
      </c>
      <c r="T3536" s="232" t="inlineStr">
        <is>
          <t>CLP</t>
        </is>
      </c>
      <c r="U3536" s="232" t="inlineStr">
        <is>
          <t>Prorrateo Ha EUREKA M-F 1999 (2,5 Ha.)</t>
        </is>
      </c>
      <c r="V3536" s="232" t="inlineStr">
        <is>
          <t>2026-06-18</t>
        </is>
      </c>
    </row>
    <row r="3537">
      <c r="A3537" s="232" t="inlineStr">
        <is>
          <t>CR-3534</t>
        </is>
      </c>
      <c r="B3537" s="232" t="inlineStr">
        <is>
          <t>2026/27</t>
        </is>
      </c>
      <c r="C3537" s="233" t="n">
        <v>46188</v>
      </c>
      <c r="D3537" s="232" t="inlineStr">
        <is>
          <t>      </t>
        </is>
      </c>
      <c r="E3537" s="232" t="inlineStr">
        <is>
          <t>PRORRATEO</t>
        </is>
      </c>
      <c r="F3537" s="232" t="inlineStr">
        <is>
          <t>El Molle</t>
        </is>
      </c>
      <c r="G3537" s="232" t="inlineStr">
        <is>
          <t>arrufatinas 5,74 ha</t>
        </is>
      </c>
      <c r="H3537" s="232" t="inlineStr">
        <is>
          <t>Clementinas</t>
        </is>
      </c>
      <c r="I3537" s="232" t="inlineStr">
        <is>
          <t>Arrufatinas</t>
        </is>
      </c>
      <c r="J3537" s="232" t="inlineStr">
        <is>
          <t>MANTENCION MAQUINARIAS</t>
        </is>
      </c>
      <c r="K3537" s="232" t="inlineStr">
        <is>
          <t>SCAT. MOTOR EL ZANJON EL MOLINO (15023)</t>
        </is>
      </c>
      <c r="L3537" s="232" t="inlineStr">
        <is>
          <t>[PRORRATEO 3.9% 5.74há/148.3há] O/001734 CAMION PLU</t>
        </is>
      </c>
      <c r="M3537" s="232" t="inlineStr"/>
      <c r="N3537" s="232" t="inlineStr">
        <is>
          <t>.   .   -</t>
        </is>
      </c>
      <c r="O3537" s="232" t="inlineStr">
        <is>
          <t>JUNIO</t>
        </is>
      </c>
      <c r="P3537" s="232" t="n">
        <v>23</v>
      </c>
      <c r="Q3537" s="234" t="n">
        <v>233</v>
      </c>
      <c r="R3537" s="232" t="inlineStr"/>
      <c r="S3537" s="234" t="n">
        <v>233</v>
      </c>
      <c r="T3537" s="232" t="inlineStr">
        <is>
          <t>CLP</t>
        </is>
      </c>
      <c r="U3537" s="232" t="inlineStr">
        <is>
          <t>Prorrateo Ha EUREKA M-F 1999 (2,5 Ha.)</t>
        </is>
      </c>
      <c r="V3537" s="232" t="inlineStr">
        <is>
          <t>2026-06-18</t>
        </is>
      </c>
    </row>
    <row r="3538">
      <c r="A3538" s="232" t="inlineStr">
        <is>
          <t>CR-3535</t>
        </is>
      </c>
      <c r="B3538" s="232" t="inlineStr">
        <is>
          <t>2026/27</t>
        </is>
      </c>
      <c r="C3538" s="233" t="n">
        <v>46188</v>
      </c>
      <c r="D3538" s="232" t="inlineStr">
        <is>
          <t>      </t>
        </is>
      </c>
      <c r="E3538" s="232" t="inlineStr">
        <is>
          <t>PRORRATEO</t>
        </is>
      </c>
      <c r="F3538" s="232" t="inlineStr">
        <is>
          <t>El Molle</t>
        </is>
      </c>
      <c r="G3538" s="232" t="inlineStr">
        <is>
          <t>orogrande 8,11 ha</t>
        </is>
      </c>
      <c r="H3538" s="232" t="inlineStr">
        <is>
          <t>Clementinas</t>
        </is>
      </c>
      <c r="I3538" s="232" t="inlineStr">
        <is>
          <t>Orogrande</t>
        </is>
      </c>
      <c r="J3538" s="232" t="inlineStr">
        <is>
          <t>MANTENCION MAQUINARIAS</t>
        </is>
      </c>
      <c r="K3538" s="232" t="inlineStr">
        <is>
          <t>SCAT. MOTOR EL ZANJON EL MOLINO (15023)</t>
        </is>
      </c>
      <c r="L3538" s="232" t="inlineStr">
        <is>
          <t>[PRORRATEO 5.5% 8.11há/148.3há] O/001734 CAMION PLU</t>
        </is>
      </c>
      <c r="M3538" s="232" t="inlineStr"/>
      <c r="N3538" s="232" t="inlineStr">
        <is>
          <t>.   .   -</t>
        </is>
      </c>
      <c r="O3538" s="232" t="inlineStr">
        <is>
          <t>JUNIO</t>
        </is>
      </c>
      <c r="P3538" s="232" t="n">
        <v>23</v>
      </c>
      <c r="Q3538" s="234" t="n">
        <v>330</v>
      </c>
      <c r="R3538" s="232" t="inlineStr"/>
      <c r="S3538" s="234" t="n">
        <v>330</v>
      </c>
      <c r="T3538" s="232" t="inlineStr">
        <is>
          <t>CLP</t>
        </is>
      </c>
      <c r="U3538" s="232" t="inlineStr">
        <is>
          <t>Prorrateo Ha EUREKA M-F 1999 (2,5 Ha.)</t>
        </is>
      </c>
      <c r="V3538" s="232" t="inlineStr">
        <is>
          <t>2026-06-18</t>
        </is>
      </c>
    </row>
    <row r="3539">
      <c r="A3539" s="232" t="inlineStr">
        <is>
          <t>CR-3536</t>
        </is>
      </c>
      <c r="B3539" s="232" t="inlineStr">
        <is>
          <t>2026/27</t>
        </is>
      </c>
      <c r="C3539" s="233" t="n">
        <v>46188</v>
      </c>
      <c r="D3539" s="232" t="inlineStr">
        <is>
          <t>      </t>
        </is>
      </c>
      <c r="E3539" s="232" t="inlineStr">
        <is>
          <t>PRORRATEO</t>
        </is>
      </c>
      <c r="F3539" s="232" t="inlineStr">
        <is>
          <t>El Molle</t>
        </is>
      </c>
      <c r="G3539" s="232" t="inlineStr">
        <is>
          <t>oronules 5,35 ha</t>
        </is>
      </c>
      <c r="H3539" s="232" t="inlineStr">
        <is>
          <t>Clementinas</t>
        </is>
      </c>
      <c r="I3539" s="232" t="inlineStr">
        <is>
          <t>Oronules</t>
        </is>
      </c>
      <c r="J3539" s="232" t="inlineStr">
        <is>
          <t>MANTENCION MAQUINARIAS</t>
        </is>
      </c>
      <c r="K3539" s="232" t="inlineStr">
        <is>
          <t>SCAT. MOTOR EL ZANJON EL MOLINO (15023)</t>
        </is>
      </c>
      <c r="L3539" s="232" t="inlineStr">
        <is>
          <t>[PRORRATEO 3.6% 5.35há/148.3há] O/001734 CAMION PLU</t>
        </is>
      </c>
      <c r="M3539" s="232" t="inlineStr"/>
      <c r="N3539" s="232" t="inlineStr">
        <is>
          <t>.   .   -</t>
        </is>
      </c>
      <c r="O3539" s="232" t="inlineStr">
        <is>
          <t>JUNIO</t>
        </is>
      </c>
      <c r="P3539" s="232" t="n">
        <v>23</v>
      </c>
      <c r="Q3539" s="234" t="n">
        <v>218</v>
      </c>
      <c r="R3539" s="232" t="inlineStr"/>
      <c r="S3539" s="234" t="n">
        <v>218</v>
      </c>
      <c r="T3539" s="232" t="inlineStr">
        <is>
          <t>CLP</t>
        </is>
      </c>
      <c r="U3539" s="232" t="inlineStr">
        <is>
          <t>Prorrateo Ha EUREKA M-F 1999 (2,5 Ha.)</t>
        </is>
      </c>
      <c r="V3539" s="232" t="inlineStr">
        <is>
          <t>2026-06-18</t>
        </is>
      </c>
    </row>
    <row r="3540">
      <c r="A3540" s="232" t="inlineStr">
        <is>
          <t>CR-3537</t>
        </is>
      </c>
      <c r="B3540" s="232" t="inlineStr">
        <is>
          <t>2026/27</t>
        </is>
      </c>
      <c r="C3540" s="233" t="n">
        <v>46188</v>
      </c>
      <c r="D3540" s="232" t="inlineStr">
        <is>
          <t>      </t>
        </is>
      </c>
      <c r="E3540" s="232" t="inlineStr">
        <is>
          <t>PRORRATEO</t>
        </is>
      </c>
      <c r="F3540" s="232" t="inlineStr">
        <is>
          <t>Santa Catalina</t>
        </is>
      </c>
      <c r="G3540" s="232" t="inlineStr">
        <is>
          <t>Fino 49 7,7 ha</t>
        </is>
      </c>
      <c r="H3540" s="232" t="inlineStr">
        <is>
          <t>Limon</t>
        </is>
      </c>
      <c r="I3540" s="232" t="inlineStr">
        <is>
          <t>Fino 49</t>
        </is>
      </c>
      <c r="J3540" s="232" t="inlineStr">
        <is>
          <t>MANTENCION MAQUINARIAS</t>
        </is>
      </c>
      <c r="K3540" s="232" t="inlineStr">
        <is>
          <t>SCAT. MOTOR EL ZANJON EL MOLINO (15023)</t>
        </is>
      </c>
      <c r="L3540" s="232" t="inlineStr">
        <is>
          <t>[PRORRATEO 5.2% 7.7há/148.3há] O/001734 CAMION PLU</t>
        </is>
      </c>
      <c r="M3540" s="232" t="inlineStr"/>
      <c r="N3540" s="232" t="inlineStr">
        <is>
          <t>.   .   -</t>
        </is>
      </c>
      <c r="O3540" s="232" t="inlineStr">
        <is>
          <t>JUNIO</t>
        </is>
      </c>
      <c r="P3540" s="232" t="n">
        <v>23</v>
      </c>
      <c r="Q3540" s="234" t="n">
        <v>313</v>
      </c>
      <c r="R3540" s="232" t="inlineStr"/>
      <c r="S3540" s="234" t="n">
        <v>313</v>
      </c>
      <c r="T3540" s="232" t="inlineStr">
        <is>
          <t>CLP</t>
        </is>
      </c>
      <c r="U3540" s="232" t="inlineStr">
        <is>
          <t>Prorrateo Ha EUREKA M-F 1999 (2,5 Ha.)</t>
        </is>
      </c>
      <c r="V3540" s="232" t="inlineStr">
        <is>
          <t>2026-06-18</t>
        </is>
      </c>
    </row>
    <row r="3541">
      <c r="A3541" s="232" t="inlineStr">
        <is>
          <t>CR-3538</t>
        </is>
      </c>
      <c r="B3541" s="232" t="inlineStr">
        <is>
          <t>2026/27</t>
        </is>
      </c>
      <c r="C3541" s="233" t="n">
        <v>46188</v>
      </c>
      <c r="D3541" s="232" t="inlineStr">
        <is>
          <t>      </t>
        </is>
      </c>
      <c r="E3541" s="232" t="inlineStr">
        <is>
          <t>PRORRATEO</t>
        </is>
      </c>
      <c r="F3541" s="232" t="inlineStr">
        <is>
          <t>Santa Catalina</t>
        </is>
      </c>
      <c r="G3541" s="232" t="inlineStr">
        <is>
          <t>W. murcott 21 ha</t>
        </is>
      </c>
      <c r="H3541" s="232" t="inlineStr">
        <is>
          <t>Mandarina</t>
        </is>
      </c>
      <c r="I3541" s="232" t="inlineStr">
        <is>
          <t>W. murcott</t>
        </is>
      </c>
      <c r="J3541" s="232" t="inlineStr">
        <is>
          <t>MANTENCION MAQUINARIAS</t>
        </is>
      </c>
      <c r="K3541" s="232" t="inlineStr">
        <is>
          <t>SCAT. MOTOR EL ZANJON EL MOLINO (15023)</t>
        </is>
      </c>
      <c r="L3541" s="232" t="inlineStr">
        <is>
          <t>[PRORRATEO 14.2% 21.0há/148.3há] O/001734 CAMION PLU</t>
        </is>
      </c>
      <c r="M3541" s="232" t="inlineStr"/>
      <c r="N3541" s="232" t="inlineStr">
        <is>
          <t>.   .   -</t>
        </is>
      </c>
      <c r="O3541" s="232" t="inlineStr">
        <is>
          <t>JUNIO</t>
        </is>
      </c>
      <c r="P3541" s="232" t="n">
        <v>23</v>
      </c>
      <c r="Q3541" s="234" t="n">
        <v>854</v>
      </c>
      <c r="R3541" s="232" t="inlineStr"/>
      <c r="S3541" s="234" t="n">
        <v>854</v>
      </c>
      <c r="T3541" s="232" t="inlineStr">
        <is>
          <t>CLP</t>
        </is>
      </c>
      <c r="U3541" s="232" t="inlineStr">
        <is>
          <t>Prorrateo Ha EUREKA M-F 1999 (2,5 Ha.)</t>
        </is>
      </c>
      <c r="V3541" s="232" t="inlineStr">
        <is>
          <t>2026-06-18</t>
        </is>
      </c>
    </row>
    <row r="3542">
      <c r="A3542" s="232" t="inlineStr">
        <is>
          <t>CR-3539</t>
        </is>
      </c>
      <c r="B3542" s="232" t="inlineStr">
        <is>
          <t>2026/27</t>
        </is>
      </c>
      <c r="C3542" s="233" t="n">
        <v>46188</v>
      </c>
      <c r="D3542" s="232" t="inlineStr">
        <is>
          <t>      </t>
        </is>
      </c>
      <c r="E3542" s="232" t="inlineStr">
        <is>
          <t>PRORRATEO</t>
        </is>
      </c>
      <c r="F3542" s="232" t="inlineStr">
        <is>
          <t>Santa Catalina</t>
        </is>
      </c>
      <c r="G3542" s="232" t="inlineStr">
        <is>
          <t>cambria 4,2 ha</t>
        </is>
      </c>
      <c r="H3542" s="232" t="inlineStr">
        <is>
          <t>Naranjas</t>
        </is>
      </c>
      <c r="I3542" s="232" t="inlineStr">
        <is>
          <t>Cambria</t>
        </is>
      </c>
      <c r="J3542" s="232" t="inlineStr">
        <is>
          <t>MANTENCION MAQUINARIAS</t>
        </is>
      </c>
      <c r="K3542" s="232" t="inlineStr">
        <is>
          <t>SCAT. MOTOR EL ZANJON EL MOLINO (15023)</t>
        </is>
      </c>
      <c r="L3542" s="232" t="inlineStr">
        <is>
          <t>[PRORRATEO 2.8% 4.2há/148.3há] O/001734 CAMION PLU</t>
        </is>
      </c>
      <c r="M3542" s="232" t="inlineStr"/>
      <c r="N3542" s="232" t="inlineStr">
        <is>
          <t>.   .   -</t>
        </is>
      </c>
      <c r="O3542" s="232" t="inlineStr">
        <is>
          <t>JUNIO</t>
        </is>
      </c>
      <c r="P3542" s="232" t="n">
        <v>23</v>
      </c>
      <c r="Q3542" s="234" t="n">
        <v>171</v>
      </c>
      <c r="R3542" s="232" t="inlineStr"/>
      <c r="S3542" s="234" t="n">
        <v>171</v>
      </c>
      <c r="T3542" s="232" t="inlineStr">
        <is>
          <t>CLP</t>
        </is>
      </c>
      <c r="U3542" s="232" t="inlineStr">
        <is>
          <t>Prorrateo Ha EUREKA M-F 1999 (2,5 Ha.)</t>
        </is>
      </c>
      <c r="V3542" s="232" t="inlineStr">
        <is>
          <t>2026-06-18</t>
        </is>
      </c>
    </row>
    <row r="3543">
      <c r="A3543" s="232" t="inlineStr">
        <is>
          <t>CR-3540</t>
        </is>
      </c>
      <c r="B3543" s="232" t="inlineStr">
        <is>
          <t>2026/27</t>
        </is>
      </c>
      <c r="C3543" s="233" t="n">
        <v>46188</v>
      </c>
      <c r="D3543" s="232" t="inlineStr">
        <is>
          <t>      </t>
        </is>
      </c>
      <c r="E3543" s="232" t="inlineStr">
        <is>
          <t>PRORRATEO</t>
        </is>
      </c>
      <c r="F3543" s="232" t="inlineStr">
        <is>
          <t>Santa Catalina</t>
        </is>
      </c>
      <c r="G3543" s="232" t="inlineStr">
        <is>
          <t>eureka 10,6 ha</t>
        </is>
      </c>
      <c r="H3543" s="232" t="inlineStr">
        <is>
          <t>Limon</t>
        </is>
      </c>
      <c r="I3543" s="232" t="inlineStr">
        <is>
          <t>Eureka</t>
        </is>
      </c>
      <c r="J3543" s="232" t="inlineStr">
        <is>
          <t>MANTENCION MAQUINARIAS</t>
        </is>
      </c>
      <c r="K3543" s="232" t="inlineStr">
        <is>
          <t>SCAT. MOTOR EL ZANJON EL MOLINO (15023)</t>
        </is>
      </c>
      <c r="L3543" s="232" t="inlineStr">
        <is>
          <t>[PRORRATEO 7.1% 10.6há/148.3há] O/001734 CAMION PLU</t>
        </is>
      </c>
      <c r="M3543" s="232" t="inlineStr"/>
      <c r="N3543" s="232" t="inlineStr">
        <is>
          <t>.   .   -</t>
        </is>
      </c>
      <c r="O3543" s="232" t="inlineStr">
        <is>
          <t>JUNIO</t>
        </is>
      </c>
      <c r="P3543" s="232" t="n">
        <v>23</v>
      </c>
      <c r="Q3543" s="234" t="n">
        <v>431</v>
      </c>
      <c r="R3543" s="232" t="inlineStr"/>
      <c r="S3543" s="234" t="n">
        <v>431</v>
      </c>
      <c r="T3543" s="232" t="inlineStr">
        <is>
          <t>CLP</t>
        </is>
      </c>
      <c r="U3543" s="232" t="inlineStr">
        <is>
          <t>Prorrateo Ha EUREKA M-F 1999 (2,5 Ha.)</t>
        </is>
      </c>
      <c r="V3543" s="232" t="inlineStr">
        <is>
          <t>2026-06-18</t>
        </is>
      </c>
    </row>
    <row r="3544">
      <c r="A3544" s="232" t="inlineStr">
        <is>
          <t>CR-3541</t>
        </is>
      </c>
      <c r="B3544" s="232" t="inlineStr">
        <is>
          <t>2026/27</t>
        </is>
      </c>
      <c r="C3544" s="233" t="n">
        <v>46188</v>
      </c>
      <c r="D3544" s="232" t="inlineStr">
        <is>
          <t>      </t>
        </is>
      </c>
      <c r="E3544" s="232" t="inlineStr">
        <is>
          <t>PRORRATEO</t>
        </is>
      </c>
      <c r="F3544" s="232" t="inlineStr">
        <is>
          <t>Santa Catalina</t>
        </is>
      </c>
      <c r="G3544" s="232" t="inlineStr">
        <is>
          <t>eureka 14,4 ha</t>
        </is>
      </c>
      <c r="H3544" s="232" t="inlineStr">
        <is>
          <t>Limon</t>
        </is>
      </c>
      <c r="I3544" s="232" t="inlineStr">
        <is>
          <t>Eureka</t>
        </is>
      </c>
      <c r="J3544" s="232" t="inlineStr">
        <is>
          <t>MANTENCION MAQUINARIAS</t>
        </is>
      </c>
      <c r="K3544" s="232" t="inlineStr">
        <is>
          <t>SCAT. MOTOR EL ZANJON EL MOLINO (15023)</t>
        </is>
      </c>
      <c r="L3544" s="232" t="inlineStr">
        <is>
          <t>[PRORRATEO 9.7% 14.4há/148.3há] O/001734 CAMION PLU</t>
        </is>
      </c>
      <c r="M3544" s="232" t="inlineStr"/>
      <c r="N3544" s="232" t="inlineStr">
        <is>
          <t>.   .   -</t>
        </is>
      </c>
      <c r="O3544" s="232" t="inlineStr">
        <is>
          <t>JUNIO</t>
        </is>
      </c>
      <c r="P3544" s="232" t="n">
        <v>23</v>
      </c>
      <c r="Q3544" s="234" t="n">
        <v>586</v>
      </c>
      <c r="R3544" s="232" t="inlineStr"/>
      <c r="S3544" s="234" t="n">
        <v>586</v>
      </c>
      <c r="T3544" s="232" t="inlineStr">
        <is>
          <t>CLP</t>
        </is>
      </c>
      <c r="U3544" s="232" t="inlineStr">
        <is>
          <t>Prorrateo Ha EUREKA M-F 1999 (2,5 Ha.)</t>
        </is>
      </c>
      <c r="V3544" s="232" t="inlineStr">
        <is>
          <t>2026-06-18</t>
        </is>
      </c>
    </row>
    <row r="3545">
      <c r="A3545" s="232" t="inlineStr">
        <is>
          <t>CR-3542</t>
        </is>
      </c>
      <c r="B3545" s="232" t="inlineStr">
        <is>
          <t>2026/27</t>
        </is>
      </c>
      <c r="C3545" s="233" t="n">
        <v>46188</v>
      </c>
      <c r="D3545" s="232" t="inlineStr">
        <is>
          <t>      </t>
        </is>
      </c>
      <c r="E3545" s="232" t="inlineStr">
        <is>
          <t>PRORRATEO</t>
        </is>
      </c>
      <c r="F3545" s="232" t="inlineStr">
        <is>
          <t>Santa Catalina</t>
        </is>
      </c>
      <c r="G3545" s="232" t="inlineStr">
        <is>
          <t>eureka 22,55</t>
        </is>
      </c>
      <c r="H3545" s="232" t="inlineStr">
        <is>
          <t>Limon</t>
        </is>
      </c>
      <c r="I3545" s="232" t="inlineStr">
        <is>
          <t>Eureka</t>
        </is>
      </c>
      <c r="J3545" s="232" t="inlineStr">
        <is>
          <t>MANTENCION MAQUINARIAS</t>
        </is>
      </c>
      <c r="K3545" s="232" t="inlineStr">
        <is>
          <t>SCAT. MOTOR EL ZANJON EL MOLINO (15023)</t>
        </is>
      </c>
      <c r="L3545" s="232" t="inlineStr">
        <is>
          <t>[PRORRATEO 15.2% 22.55há/148.3há] O/001734 CAMION PLU</t>
        </is>
      </c>
      <c r="M3545" s="232" t="inlineStr"/>
      <c r="N3545" s="232" t="inlineStr">
        <is>
          <t>.   .   -</t>
        </is>
      </c>
      <c r="O3545" s="232" t="inlineStr">
        <is>
          <t>JUNIO</t>
        </is>
      </c>
      <c r="P3545" s="232" t="n">
        <v>23</v>
      </c>
      <c r="Q3545" s="234" t="n">
        <v>917</v>
      </c>
      <c r="R3545" s="232" t="inlineStr"/>
      <c r="S3545" s="234" t="n">
        <v>917</v>
      </c>
      <c r="T3545" s="232" t="inlineStr">
        <is>
          <t>CLP</t>
        </is>
      </c>
      <c r="U3545" s="232" t="inlineStr">
        <is>
          <t>Prorrateo Ha EUREKA M-F 1999 (2,5 Ha.)</t>
        </is>
      </c>
      <c r="V3545" s="232" t="inlineStr">
        <is>
          <t>2026-06-18</t>
        </is>
      </c>
    </row>
    <row r="3546">
      <c r="A3546" s="232" t="inlineStr">
        <is>
          <t>CR-3543</t>
        </is>
      </c>
      <c r="B3546" s="232" t="inlineStr">
        <is>
          <t>2026/27</t>
        </is>
      </c>
      <c r="C3546" s="233" t="n">
        <v>46188</v>
      </c>
      <c r="D3546" s="232" t="inlineStr">
        <is>
          <t>      </t>
        </is>
      </c>
      <c r="E3546" s="232" t="inlineStr">
        <is>
          <t>PRORRATEO</t>
        </is>
      </c>
      <c r="F3546" s="232" t="inlineStr">
        <is>
          <t>Santa Catalina</t>
        </is>
      </c>
      <c r="G3546" s="232" t="inlineStr">
        <is>
          <t>form benjamin 1,93 ha</t>
        </is>
      </c>
      <c r="H3546" s="232" t="inlineStr">
        <is>
          <t>Limon</t>
        </is>
      </c>
      <c r="I3546" s="232" t="inlineStr">
        <is>
          <t>Benjamin andes</t>
        </is>
      </c>
      <c r="J3546" s="232" t="inlineStr">
        <is>
          <t>MANTENCION MAQUINARIAS</t>
        </is>
      </c>
      <c r="K3546" s="232" t="inlineStr">
        <is>
          <t>SCAT. MOTOR EL ZANJON EL MOLINO (15023)</t>
        </is>
      </c>
      <c r="L3546" s="232" t="inlineStr">
        <is>
          <t>[PRORRATEO 1.3% 1.93há/148.3há] O/001734 CAMION PLU</t>
        </is>
      </c>
      <c r="M3546" s="232" t="inlineStr"/>
      <c r="N3546" s="232" t="inlineStr">
        <is>
          <t>.   .   -</t>
        </is>
      </c>
      <c r="O3546" s="232" t="inlineStr">
        <is>
          <t>JUNIO</t>
        </is>
      </c>
      <c r="P3546" s="232" t="n">
        <v>23</v>
      </c>
      <c r="Q3546" s="234" t="n">
        <v>79</v>
      </c>
      <c r="R3546" s="232" t="inlineStr"/>
      <c r="S3546" s="234" t="n">
        <v>79</v>
      </c>
      <c r="T3546" s="232" t="inlineStr">
        <is>
          <t>CLP</t>
        </is>
      </c>
      <c r="U3546" s="232" t="inlineStr">
        <is>
          <t>Prorrateo Ha EUREKA M-F 1999 (2,5 Ha.)</t>
        </is>
      </c>
      <c r="V3546" s="232" t="inlineStr">
        <is>
          <t>2026-06-18</t>
        </is>
      </c>
    </row>
    <row r="3547">
      <c r="A3547" s="232" t="inlineStr">
        <is>
          <t>CR-3544</t>
        </is>
      </c>
      <c r="B3547" s="232" t="inlineStr">
        <is>
          <t>2026/27</t>
        </is>
      </c>
      <c r="C3547" s="233" t="n">
        <v>46188</v>
      </c>
      <c r="D3547" s="232" t="inlineStr">
        <is>
          <t>      </t>
        </is>
      </c>
      <c r="E3547" s="232" t="inlineStr">
        <is>
          <t>PRORRATEO</t>
        </is>
      </c>
      <c r="F3547" s="232" t="inlineStr">
        <is>
          <t>Santa Catalina</t>
        </is>
      </c>
      <c r="G3547" s="232" t="inlineStr">
        <is>
          <t>mant eureka 2,5 ha</t>
        </is>
      </c>
      <c r="H3547" s="232" t="inlineStr">
        <is>
          <t>Limon</t>
        </is>
      </c>
      <c r="I3547" s="232" t="inlineStr">
        <is>
          <t>Eureka</t>
        </is>
      </c>
      <c r="J3547" s="232" t="inlineStr">
        <is>
          <t>MANTENCION MAQUINARIAS</t>
        </is>
      </c>
      <c r="K3547" s="232" t="inlineStr">
        <is>
          <t>SCAT. MOTOR EL ZANJON EL MOLINO (15023)</t>
        </is>
      </c>
      <c r="L3547" s="232" t="inlineStr">
        <is>
          <t>[PRORRATEO 1.7% 2.5há/148.3há] O/001734 CAMION PLU</t>
        </is>
      </c>
      <c r="M3547" s="232" t="inlineStr"/>
      <c r="N3547" s="232" t="inlineStr">
        <is>
          <t>.   .   -</t>
        </is>
      </c>
      <c r="O3547" s="232" t="inlineStr">
        <is>
          <t>JUNIO</t>
        </is>
      </c>
      <c r="P3547" s="232" t="n">
        <v>23</v>
      </c>
      <c r="Q3547" s="234" t="n">
        <v>102</v>
      </c>
      <c r="R3547" s="232" t="inlineStr"/>
      <c r="S3547" s="234" t="n">
        <v>102</v>
      </c>
      <c r="T3547" s="232" t="inlineStr">
        <is>
          <t>CLP</t>
        </is>
      </c>
      <c r="U3547" s="232" t="inlineStr">
        <is>
          <t>Prorrateo Ha EUREKA M-F 1999 (2,5 Ha.)</t>
        </is>
      </c>
      <c r="V3547" s="232" t="inlineStr">
        <is>
          <t>2026-06-18</t>
        </is>
      </c>
    </row>
    <row r="3548">
      <c r="A3548" s="232" t="inlineStr">
        <is>
          <t>CR-3545</t>
        </is>
      </c>
      <c r="B3548" s="232" t="inlineStr">
        <is>
          <t>2026/27</t>
        </is>
      </c>
      <c r="C3548" s="233" t="n">
        <v>46188</v>
      </c>
      <c r="D3548" s="232" t="inlineStr">
        <is>
          <t>      </t>
        </is>
      </c>
      <c r="E3548" s="232" t="inlineStr">
        <is>
          <t>PRORRATEO</t>
        </is>
      </c>
      <c r="F3548" s="232" t="inlineStr">
        <is>
          <t>Siberia</t>
        </is>
      </c>
      <c r="G3548" s="232" t="inlineStr">
        <is>
          <t>S. Celebration 7,14</t>
        </is>
      </c>
      <c r="H3548" s="232" t="inlineStr">
        <is>
          <t>Uvas</t>
        </is>
      </c>
      <c r="I3548" s="232" t="inlineStr">
        <is>
          <t>S. celebration</t>
        </is>
      </c>
      <c r="J3548" s="232" t="inlineStr">
        <is>
          <t>MANTENCION MAQUINARIAS</t>
        </is>
      </c>
      <c r="K3548" s="232" t="inlineStr">
        <is>
          <t>SCAT. MOTOR EL ZANJON EL MOLINO (15023)</t>
        </is>
      </c>
      <c r="L3548" s="232" t="inlineStr">
        <is>
          <t>[PRORRATEO 4.8% 7.14há/148.3há] O/001734 CAMION PLU</t>
        </is>
      </c>
      <c r="M3548" s="232" t="inlineStr"/>
      <c r="N3548" s="232" t="inlineStr">
        <is>
          <t>.   .   -</t>
        </is>
      </c>
      <c r="O3548" s="232" t="inlineStr">
        <is>
          <t>JUNIO</t>
        </is>
      </c>
      <c r="P3548" s="232" t="n">
        <v>23</v>
      </c>
      <c r="Q3548" s="234" t="n">
        <v>290</v>
      </c>
      <c r="R3548" s="232" t="inlineStr"/>
      <c r="S3548" s="234" t="n">
        <v>290</v>
      </c>
      <c r="T3548" s="232" t="inlineStr">
        <is>
          <t>CLP</t>
        </is>
      </c>
      <c r="U3548" s="232" t="inlineStr">
        <is>
          <t>Prorrateo Ha EUREKA M-F 1999 (2,5 Ha.)</t>
        </is>
      </c>
      <c r="V3548" s="232" t="inlineStr">
        <is>
          <t>2026-06-18</t>
        </is>
      </c>
    </row>
    <row r="3549">
      <c r="A3549" s="232" t="inlineStr">
        <is>
          <t>CR-3546</t>
        </is>
      </c>
      <c r="B3549" s="232" t="inlineStr">
        <is>
          <t>2026/27</t>
        </is>
      </c>
      <c r="C3549" s="233" t="n">
        <v>46188</v>
      </c>
      <c r="D3549" s="232" t="inlineStr">
        <is>
          <t>      </t>
        </is>
      </c>
      <c r="E3549" s="232" t="inlineStr">
        <is>
          <t>PRORRATEO</t>
        </is>
      </c>
      <c r="F3549" s="232" t="inlineStr">
        <is>
          <t>Siberia</t>
        </is>
      </c>
      <c r="G3549" s="232" t="inlineStr">
        <is>
          <t>Timpson 7,1</t>
        </is>
      </c>
      <c r="H3549" s="232" t="inlineStr">
        <is>
          <t>Uvas</t>
        </is>
      </c>
      <c r="I3549" s="232" t="inlineStr">
        <is>
          <t>Timpson</t>
        </is>
      </c>
      <c r="J3549" s="232" t="inlineStr">
        <is>
          <t>MANTENCION MAQUINARIAS</t>
        </is>
      </c>
      <c r="K3549" s="232" t="inlineStr">
        <is>
          <t>SCAT. MOTOR EL ZANJON EL MOLINO (15023)</t>
        </is>
      </c>
      <c r="L3549" s="232" t="inlineStr">
        <is>
          <t>[PRORRATEO 4.8% 7.1há/148.3há] O/001734 CAMION PLU</t>
        </is>
      </c>
      <c r="M3549" s="232" t="inlineStr"/>
      <c r="N3549" s="232" t="inlineStr">
        <is>
          <t>.   .   -</t>
        </is>
      </c>
      <c r="O3549" s="232" t="inlineStr">
        <is>
          <t>JUNIO</t>
        </is>
      </c>
      <c r="P3549" s="232" t="n">
        <v>23</v>
      </c>
      <c r="Q3549" s="234" t="n">
        <v>289</v>
      </c>
      <c r="R3549" s="232" t="inlineStr"/>
      <c r="S3549" s="234" t="n">
        <v>289</v>
      </c>
      <c r="T3549" s="232" t="inlineStr">
        <is>
          <t>CLP</t>
        </is>
      </c>
      <c r="U3549" s="232" t="inlineStr">
        <is>
          <t>Prorrateo Ha EUREKA M-F 1999 (2,5 Ha.)</t>
        </is>
      </c>
      <c r="V3549" s="232" t="inlineStr">
        <is>
          <t>2026-06-18</t>
        </is>
      </c>
    </row>
    <row r="3550">
      <c r="A3550" s="232" t="inlineStr">
        <is>
          <t>CR-3547</t>
        </is>
      </c>
      <c r="B3550" s="232" t="inlineStr">
        <is>
          <t>2026/27</t>
        </is>
      </c>
      <c r="C3550" s="233" t="n">
        <v>46188</v>
      </c>
      <c r="D3550" s="232" t="inlineStr">
        <is>
          <t>      </t>
        </is>
      </c>
      <c r="E3550" s="232" t="inlineStr">
        <is>
          <t>PRORRATEO</t>
        </is>
      </c>
      <c r="F3550" s="232" t="inlineStr">
        <is>
          <t>Asmara</t>
        </is>
      </c>
      <c r="G3550" s="232" t="inlineStr">
        <is>
          <t>w. murcott 19,8 ha</t>
        </is>
      </c>
      <c r="H3550" s="232" t="inlineStr">
        <is>
          <t>Mandarina</t>
        </is>
      </c>
      <c r="I3550" s="232" t="inlineStr">
        <is>
          <t>W. murcott</t>
        </is>
      </c>
      <c r="J3550" s="232" t="inlineStr">
        <is>
          <t>MANT. Y REP. PLANTACIONES</t>
        </is>
      </c>
      <c r="K3550" s="232" t="inlineStr">
        <is>
          <t>MANTENCION HUERTO</t>
        </is>
      </c>
      <c r="L3550" s="232" t="inlineStr">
        <is>
          <t>[PRORRATEO 13.4% 19.8há/148.3há] O/001733 MANTENCION</t>
        </is>
      </c>
      <c r="M3550" s="232" t="inlineStr"/>
      <c r="N3550" s="232" t="inlineStr">
        <is>
          <t>.   .   -</t>
        </is>
      </c>
      <c r="O3550" s="232" t="inlineStr">
        <is>
          <t>JUNIO</t>
        </is>
      </c>
      <c r="P3550" s="232" t="n">
        <v>23</v>
      </c>
      <c r="Q3550" s="234" t="n">
        <v>242</v>
      </c>
      <c r="R3550" s="232" t="inlineStr"/>
      <c r="S3550" s="234" t="n">
        <v>242</v>
      </c>
      <c r="T3550" s="232" t="inlineStr">
        <is>
          <t>CLP</t>
        </is>
      </c>
      <c r="U3550" s="232" t="inlineStr">
        <is>
          <t>Prorrateo Ha EUREKA M-F 1999 (2,5 Ha.)</t>
        </is>
      </c>
      <c r="V3550" s="232" t="inlineStr">
        <is>
          <t>2026-06-18</t>
        </is>
      </c>
    </row>
    <row r="3551">
      <c r="A3551" s="232" t="inlineStr">
        <is>
          <t>CR-3548</t>
        </is>
      </c>
      <c r="B3551" s="232" t="inlineStr">
        <is>
          <t>2026/27</t>
        </is>
      </c>
      <c r="C3551" s="233" t="n">
        <v>46188</v>
      </c>
      <c r="D3551" s="232" t="inlineStr">
        <is>
          <t>      </t>
        </is>
      </c>
      <c r="E3551" s="232" t="inlineStr">
        <is>
          <t>PRORRATEO</t>
        </is>
      </c>
      <c r="F3551" s="232" t="inlineStr">
        <is>
          <t>Asmara</t>
        </is>
      </c>
      <c r="G3551" s="232" t="inlineStr">
        <is>
          <t>w. murcott 4,9 ha</t>
        </is>
      </c>
      <c r="H3551" s="232" t="inlineStr">
        <is>
          <t>Mandarina</t>
        </is>
      </c>
      <c r="I3551" s="232" t="inlineStr">
        <is>
          <t>W. murcott</t>
        </is>
      </c>
      <c r="J3551" s="232" t="inlineStr">
        <is>
          <t>MANT. Y REP. PLANTACIONES</t>
        </is>
      </c>
      <c r="K3551" s="232" t="inlineStr">
        <is>
          <t>MANTENCION HUERTO</t>
        </is>
      </c>
      <c r="L3551" s="232" t="inlineStr">
        <is>
          <t>[PRORRATEO 3.3% 4.9há/148.3há] O/001733 MANTENCION</t>
        </is>
      </c>
      <c r="M3551" s="232" t="inlineStr"/>
      <c r="N3551" s="232" t="inlineStr">
        <is>
          <t>.   .   -</t>
        </is>
      </c>
      <c r="O3551" s="232" t="inlineStr">
        <is>
          <t>JUNIO</t>
        </is>
      </c>
      <c r="P3551" s="232" t="n">
        <v>23</v>
      </c>
      <c r="Q3551" s="234" t="n">
        <v>60</v>
      </c>
      <c r="R3551" s="232" t="inlineStr"/>
      <c r="S3551" s="234" t="n">
        <v>60</v>
      </c>
      <c r="T3551" s="232" t="inlineStr">
        <is>
          <t>CLP</t>
        </is>
      </c>
      <c r="U3551" s="232" t="inlineStr">
        <is>
          <t>Prorrateo Ha EUREKA M-F 1999 (2,5 Ha.)</t>
        </is>
      </c>
      <c r="V3551" s="232" t="inlineStr">
        <is>
          <t>2026-06-18</t>
        </is>
      </c>
    </row>
    <row r="3552">
      <c r="A3552" s="232" t="inlineStr">
        <is>
          <t>CR-3549</t>
        </is>
      </c>
      <c r="B3552" s="232" t="inlineStr">
        <is>
          <t>2026/27</t>
        </is>
      </c>
      <c r="C3552" s="233" t="n">
        <v>46188</v>
      </c>
      <c r="D3552" s="232" t="inlineStr">
        <is>
          <t>      </t>
        </is>
      </c>
      <c r="E3552" s="232" t="inlineStr">
        <is>
          <t>PRORRATEO</t>
        </is>
      </c>
      <c r="F3552" s="232" t="inlineStr">
        <is>
          <t>El Molle</t>
        </is>
      </c>
      <c r="G3552" s="232" t="inlineStr">
        <is>
          <t>Wonderful 5,25 ha</t>
        </is>
      </c>
      <c r="H3552" s="232" t="inlineStr">
        <is>
          <t>Granados</t>
        </is>
      </c>
      <c r="I3552" s="232" t="inlineStr">
        <is>
          <t>Wonderfull</t>
        </is>
      </c>
      <c r="J3552" s="232" t="inlineStr">
        <is>
          <t>MANT. Y REP. PLANTACIONES</t>
        </is>
      </c>
      <c r="K3552" s="232" t="inlineStr">
        <is>
          <t>MANTENCION HUERTO</t>
        </is>
      </c>
      <c r="L3552" s="232" t="inlineStr">
        <is>
          <t>[PRORRATEO 3.5% 5.24há/148.3há] O/001733 MANTENCION</t>
        </is>
      </c>
      <c r="M3552" s="232" t="inlineStr"/>
      <c r="N3552" s="232" t="inlineStr">
        <is>
          <t>.   .   -</t>
        </is>
      </c>
      <c r="O3552" s="232" t="inlineStr">
        <is>
          <t>JUNIO</t>
        </is>
      </c>
      <c r="P3552" s="232" t="n">
        <v>23</v>
      </c>
      <c r="Q3552" s="234" t="n">
        <v>64</v>
      </c>
      <c r="R3552" s="232" t="inlineStr"/>
      <c r="S3552" s="234" t="n">
        <v>64</v>
      </c>
      <c r="T3552" s="232" t="inlineStr">
        <is>
          <t>CLP</t>
        </is>
      </c>
      <c r="U3552" s="232" t="inlineStr">
        <is>
          <t>Prorrateo Ha EUREKA M-F 1999 (2,5 Ha.)</t>
        </is>
      </c>
      <c r="V3552" s="232" t="inlineStr">
        <is>
          <t>2026-06-18</t>
        </is>
      </c>
    </row>
    <row r="3553">
      <c r="A3553" s="232" t="inlineStr">
        <is>
          <t>CR-3550</t>
        </is>
      </c>
      <c r="B3553" s="232" t="inlineStr">
        <is>
          <t>2026/27</t>
        </is>
      </c>
      <c r="C3553" s="233" t="n">
        <v>46188</v>
      </c>
      <c r="D3553" s="232" t="inlineStr">
        <is>
          <t>      </t>
        </is>
      </c>
      <c r="E3553" s="232" t="inlineStr">
        <is>
          <t>PRORRATEO</t>
        </is>
      </c>
      <c r="F3553" s="232" t="inlineStr">
        <is>
          <t>El Molle</t>
        </is>
      </c>
      <c r="G3553" s="232" t="inlineStr">
        <is>
          <t>arrufatinas 5,74 ha</t>
        </is>
      </c>
      <c r="H3553" s="232" t="inlineStr">
        <is>
          <t>Clementinas</t>
        </is>
      </c>
      <c r="I3553" s="232" t="inlineStr">
        <is>
          <t>Arrufatinas</t>
        </is>
      </c>
      <c r="J3553" s="232" t="inlineStr">
        <is>
          <t>MANT. Y REP. PLANTACIONES</t>
        </is>
      </c>
      <c r="K3553" s="232" t="inlineStr">
        <is>
          <t>MANTENCION HUERTO</t>
        </is>
      </c>
      <c r="L3553" s="232" t="inlineStr">
        <is>
          <t>[PRORRATEO 3.9% 5.74há/148.3há] O/001733 MANTENCION</t>
        </is>
      </c>
      <c r="M3553" s="232" t="inlineStr"/>
      <c r="N3553" s="232" t="inlineStr">
        <is>
          <t>.   .   -</t>
        </is>
      </c>
      <c r="O3553" s="232" t="inlineStr">
        <is>
          <t>JUNIO</t>
        </is>
      </c>
      <c r="P3553" s="232" t="n">
        <v>23</v>
      </c>
      <c r="Q3553" s="234" t="n">
        <v>70</v>
      </c>
      <c r="R3553" s="232" t="inlineStr"/>
      <c r="S3553" s="234" t="n">
        <v>70</v>
      </c>
      <c r="T3553" s="232" t="inlineStr">
        <is>
          <t>CLP</t>
        </is>
      </c>
      <c r="U3553" s="232" t="inlineStr">
        <is>
          <t>Prorrateo Ha EUREKA M-F 1999 (2,5 Ha.)</t>
        </is>
      </c>
      <c r="V3553" s="232" t="inlineStr">
        <is>
          <t>2026-06-18</t>
        </is>
      </c>
    </row>
    <row r="3554">
      <c r="A3554" s="232" t="inlineStr">
        <is>
          <t>CR-3551</t>
        </is>
      </c>
      <c r="B3554" s="232" t="inlineStr">
        <is>
          <t>2026/27</t>
        </is>
      </c>
      <c r="C3554" s="233" t="n">
        <v>46188</v>
      </c>
      <c r="D3554" s="232" t="inlineStr">
        <is>
          <t>      </t>
        </is>
      </c>
      <c r="E3554" s="232" t="inlineStr">
        <is>
          <t>PRORRATEO</t>
        </is>
      </c>
      <c r="F3554" s="232" t="inlineStr">
        <is>
          <t>El Molle</t>
        </is>
      </c>
      <c r="G3554" s="232" t="inlineStr">
        <is>
          <t>orogrande 8,11 ha</t>
        </is>
      </c>
      <c r="H3554" s="232" t="inlineStr">
        <is>
          <t>Clementinas</t>
        </is>
      </c>
      <c r="I3554" s="232" t="inlineStr">
        <is>
          <t>Orogrande</t>
        </is>
      </c>
      <c r="J3554" s="232" t="inlineStr">
        <is>
          <t>MANT. Y REP. PLANTACIONES</t>
        </is>
      </c>
      <c r="K3554" s="232" t="inlineStr">
        <is>
          <t>MANTENCION HUERTO</t>
        </is>
      </c>
      <c r="L3554" s="232" t="inlineStr">
        <is>
          <t>[PRORRATEO 5.5% 8.11há/148.3há] O/001733 MANTENCION</t>
        </is>
      </c>
      <c r="M3554" s="232" t="inlineStr"/>
      <c r="N3554" s="232" t="inlineStr">
        <is>
          <t>.   .   -</t>
        </is>
      </c>
      <c r="O3554" s="232" t="inlineStr">
        <is>
          <t>JUNIO</t>
        </is>
      </c>
      <c r="P3554" s="232" t="n">
        <v>23</v>
      </c>
      <c r="Q3554" s="234" t="n">
        <v>99</v>
      </c>
      <c r="R3554" s="232" t="inlineStr"/>
      <c r="S3554" s="234" t="n">
        <v>99</v>
      </c>
      <c r="T3554" s="232" t="inlineStr">
        <is>
          <t>CLP</t>
        </is>
      </c>
      <c r="U3554" s="232" t="inlineStr">
        <is>
          <t>Prorrateo Ha EUREKA M-F 1999 (2,5 Ha.)</t>
        </is>
      </c>
      <c r="V3554" s="232" t="inlineStr">
        <is>
          <t>2026-06-18</t>
        </is>
      </c>
    </row>
    <row r="3555">
      <c r="A3555" s="232" t="inlineStr">
        <is>
          <t>CR-3552</t>
        </is>
      </c>
      <c r="B3555" s="232" t="inlineStr">
        <is>
          <t>2026/27</t>
        </is>
      </c>
      <c r="C3555" s="233" t="n">
        <v>46188</v>
      </c>
      <c r="D3555" s="232" t="inlineStr">
        <is>
          <t>      </t>
        </is>
      </c>
      <c r="E3555" s="232" t="inlineStr">
        <is>
          <t>PRORRATEO</t>
        </is>
      </c>
      <c r="F3555" s="232" t="inlineStr">
        <is>
          <t>El Molle</t>
        </is>
      </c>
      <c r="G3555" s="232" t="inlineStr">
        <is>
          <t>oronules 5,35 ha</t>
        </is>
      </c>
      <c r="H3555" s="232" t="inlineStr">
        <is>
          <t>Clementinas</t>
        </is>
      </c>
      <c r="I3555" s="232" t="inlineStr">
        <is>
          <t>Oronules</t>
        </is>
      </c>
      <c r="J3555" s="232" t="inlineStr">
        <is>
          <t>MANT. Y REP. PLANTACIONES</t>
        </is>
      </c>
      <c r="K3555" s="232" t="inlineStr">
        <is>
          <t>MANTENCION HUERTO</t>
        </is>
      </c>
      <c r="L3555" s="232" t="inlineStr">
        <is>
          <t>[PRORRATEO 3.6% 5.35há/148.3há] O/001733 MANTENCION</t>
        </is>
      </c>
      <c r="M3555" s="232" t="inlineStr"/>
      <c r="N3555" s="232" t="inlineStr">
        <is>
          <t>.   .   -</t>
        </is>
      </c>
      <c r="O3555" s="232" t="inlineStr">
        <is>
          <t>JUNIO</t>
        </is>
      </c>
      <c r="P3555" s="232" t="n">
        <v>23</v>
      </c>
      <c r="Q3555" s="234" t="n">
        <v>65</v>
      </c>
      <c r="R3555" s="232" t="inlineStr"/>
      <c r="S3555" s="234" t="n">
        <v>65</v>
      </c>
      <c r="T3555" s="232" t="inlineStr">
        <is>
          <t>CLP</t>
        </is>
      </c>
      <c r="U3555" s="232" t="inlineStr">
        <is>
          <t>Prorrateo Ha EUREKA M-F 1999 (2,5 Ha.)</t>
        </is>
      </c>
      <c r="V3555" s="232" t="inlineStr">
        <is>
          <t>2026-06-18</t>
        </is>
      </c>
    </row>
    <row r="3556">
      <c r="A3556" s="232" t="inlineStr">
        <is>
          <t>CR-3553</t>
        </is>
      </c>
      <c r="B3556" s="232" t="inlineStr">
        <is>
          <t>2026/27</t>
        </is>
      </c>
      <c r="C3556" s="233" t="n">
        <v>46188</v>
      </c>
      <c r="D3556" s="232" t="inlineStr">
        <is>
          <t>      </t>
        </is>
      </c>
      <c r="E3556" s="232" t="inlineStr">
        <is>
          <t>PRORRATEO</t>
        </is>
      </c>
      <c r="F3556" s="232" t="inlineStr">
        <is>
          <t>Santa Catalina</t>
        </is>
      </c>
      <c r="G3556" s="232" t="inlineStr">
        <is>
          <t>Fino 49 7,7 ha</t>
        </is>
      </c>
      <c r="H3556" s="232" t="inlineStr">
        <is>
          <t>Limon</t>
        </is>
      </c>
      <c r="I3556" s="232" t="inlineStr">
        <is>
          <t>Fino 49</t>
        </is>
      </c>
      <c r="J3556" s="232" t="inlineStr">
        <is>
          <t>MANT. Y REP. PLANTACIONES</t>
        </is>
      </c>
      <c r="K3556" s="232" t="inlineStr">
        <is>
          <t>MANTENCION HUERTO</t>
        </is>
      </c>
      <c r="L3556" s="232" t="inlineStr">
        <is>
          <t>[PRORRATEO 5.2% 7.7há/148.3há] O/001733 MANTENCION</t>
        </is>
      </c>
      <c r="M3556" s="232" t="inlineStr"/>
      <c r="N3556" s="232" t="inlineStr">
        <is>
          <t>.   .   -</t>
        </is>
      </c>
      <c r="O3556" s="232" t="inlineStr">
        <is>
          <t>JUNIO</t>
        </is>
      </c>
      <c r="P3556" s="232" t="n">
        <v>23</v>
      </c>
      <c r="Q3556" s="234" t="n">
        <v>94</v>
      </c>
      <c r="R3556" s="232" t="inlineStr"/>
      <c r="S3556" s="234" t="n">
        <v>94</v>
      </c>
      <c r="T3556" s="232" t="inlineStr">
        <is>
          <t>CLP</t>
        </is>
      </c>
      <c r="U3556" s="232" t="inlineStr">
        <is>
          <t>Prorrateo Ha EUREKA M-F 1999 (2,5 Ha.)</t>
        </is>
      </c>
      <c r="V3556" s="232" t="inlineStr">
        <is>
          <t>2026-06-18</t>
        </is>
      </c>
    </row>
    <row r="3557">
      <c r="A3557" s="232" t="inlineStr">
        <is>
          <t>CR-3554</t>
        </is>
      </c>
      <c r="B3557" s="232" t="inlineStr">
        <is>
          <t>2026/27</t>
        </is>
      </c>
      <c r="C3557" s="233" t="n">
        <v>46188</v>
      </c>
      <c r="D3557" s="232" t="inlineStr">
        <is>
          <t>      </t>
        </is>
      </c>
      <c r="E3557" s="232" t="inlineStr">
        <is>
          <t>PRORRATEO</t>
        </is>
      </c>
      <c r="F3557" s="232" t="inlineStr">
        <is>
          <t>Santa Catalina</t>
        </is>
      </c>
      <c r="G3557" s="232" t="inlineStr">
        <is>
          <t>W. murcott 21 ha</t>
        </is>
      </c>
      <c r="H3557" s="232" t="inlineStr">
        <is>
          <t>Mandarina</t>
        </is>
      </c>
      <c r="I3557" s="232" t="inlineStr">
        <is>
          <t>W. murcott</t>
        </is>
      </c>
      <c r="J3557" s="232" t="inlineStr">
        <is>
          <t>MANT. Y REP. PLANTACIONES</t>
        </is>
      </c>
      <c r="K3557" s="232" t="inlineStr">
        <is>
          <t>MANTENCION HUERTO</t>
        </is>
      </c>
      <c r="L3557" s="232" t="inlineStr">
        <is>
          <t>[PRORRATEO 14.2% 21.0há/148.3há] O/001733 MANTENCION</t>
        </is>
      </c>
      <c r="M3557" s="232" t="inlineStr"/>
      <c r="N3557" s="232" t="inlineStr">
        <is>
          <t>.   .   -</t>
        </is>
      </c>
      <c r="O3557" s="232" t="inlineStr">
        <is>
          <t>JUNIO</t>
        </is>
      </c>
      <c r="P3557" s="232" t="n">
        <v>23</v>
      </c>
      <c r="Q3557" s="234" t="n">
        <v>256</v>
      </c>
      <c r="R3557" s="232" t="inlineStr"/>
      <c r="S3557" s="234" t="n">
        <v>256</v>
      </c>
      <c r="T3557" s="232" t="inlineStr">
        <is>
          <t>CLP</t>
        </is>
      </c>
      <c r="U3557" s="232" t="inlineStr">
        <is>
          <t>Prorrateo Ha EUREKA M-F 1999 (2,5 Ha.)</t>
        </is>
      </c>
      <c r="V3557" s="232" t="inlineStr">
        <is>
          <t>2026-06-18</t>
        </is>
      </c>
    </row>
    <row r="3558">
      <c r="A3558" s="232" t="inlineStr">
        <is>
          <t>CR-3555</t>
        </is>
      </c>
      <c r="B3558" s="232" t="inlineStr">
        <is>
          <t>2026/27</t>
        </is>
      </c>
      <c r="C3558" s="233" t="n">
        <v>46188</v>
      </c>
      <c r="D3558" s="232" t="inlineStr">
        <is>
          <t>      </t>
        </is>
      </c>
      <c r="E3558" s="232" t="inlineStr">
        <is>
          <t>PRORRATEO</t>
        </is>
      </c>
      <c r="F3558" s="232" t="inlineStr">
        <is>
          <t>Santa Catalina</t>
        </is>
      </c>
      <c r="G3558" s="232" t="inlineStr">
        <is>
          <t>cambria 4,2 ha</t>
        </is>
      </c>
      <c r="H3558" s="232" t="inlineStr">
        <is>
          <t>Naranjas</t>
        </is>
      </c>
      <c r="I3558" s="232" t="inlineStr">
        <is>
          <t>Cambria</t>
        </is>
      </c>
      <c r="J3558" s="232" t="inlineStr">
        <is>
          <t>MANT. Y REP. PLANTACIONES</t>
        </is>
      </c>
      <c r="K3558" s="232" t="inlineStr">
        <is>
          <t>MANTENCION HUERTO</t>
        </is>
      </c>
      <c r="L3558" s="232" t="inlineStr">
        <is>
          <t>[PRORRATEO 2.8% 4.2há/148.3há] O/001733 MANTENCION</t>
        </is>
      </c>
      <c r="M3558" s="232" t="inlineStr"/>
      <c r="N3558" s="232" t="inlineStr">
        <is>
          <t>.   .   -</t>
        </is>
      </c>
      <c r="O3558" s="232" t="inlineStr">
        <is>
          <t>JUNIO</t>
        </is>
      </c>
      <c r="P3558" s="232" t="n">
        <v>23</v>
      </c>
      <c r="Q3558" s="234" t="n">
        <v>51</v>
      </c>
      <c r="R3558" s="232" t="inlineStr"/>
      <c r="S3558" s="234" t="n">
        <v>51</v>
      </c>
      <c r="T3558" s="232" t="inlineStr">
        <is>
          <t>CLP</t>
        </is>
      </c>
      <c r="U3558" s="232" t="inlineStr">
        <is>
          <t>Prorrateo Ha EUREKA M-F 1999 (2,5 Ha.)</t>
        </is>
      </c>
      <c r="V3558" s="232" t="inlineStr">
        <is>
          <t>2026-06-18</t>
        </is>
      </c>
    </row>
    <row r="3559">
      <c r="A3559" s="232" t="inlineStr">
        <is>
          <t>CR-3556</t>
        </is>
      </c>
      <c r="B3559" s="232" t="inlineStr">
        <is>
          <t>2026/27</t>
        </is>
      </c>
      <c r="C3559" s="233" t="n">
        <v>46188</v>
      </c>
      <c r="D3559" s="232" t="inlineStr">
        <is>
          <t>      </t>
        </is>
      </c>
      <c r="E3559" s="232" t="inlineStr">
        <is>
          <t>PRORRATEO</t>
        </is>
      </c>
      <c r="F3559" s="232" t="inlineStr">
        <is>
          <t>Santa Catalina</t>
        </is>
      </c>
      <c r="G3559" s="232" t="inlineStr">
        <is>
          <t>eureka 10,6 ha</t>
        </is>
      </c>
      <c r="H3559" s="232" t="inlineStr">
        <is>
          <t>Limon</t>
        </is>
      </c>
      <c r="I3559" s="232" t="inlineStr">
        <is>
          <t>Eureka</t>
        </is>
      </c>
      <c r="J3559" s="232" t="inlineStr">
        <is>
          <t>MANT. Y REP. PLANTACIONES</t>
        </is>
      </c>
      <c r="K3559" s="232" t="inlineStr">
        <is>
          <t>MANTENCION HUERTO</t>
        </is>
      </c>
      <c r="L3559" s="232" t="inlineStr">
        <is>
          <t>[PRORRATEO 7.1% 10.6há/148.3há] O/001733 MANTENCION</t>
        </is>
      </c>
      <c r="M3559" s="232" t="inlineStr"/>
      <c r="N3559" s="232" t="inlineStr">
        <is>
          <t>.   .   -</t>
        </is>
      </c>
      <c r="O3559" s="232" t="inlineStr">
        <is>
          <t>JUNIO</t>
        </is>
      </c>
      <c r="P3559" s="232" t="n">
        <v>23</v>
      </c>
      <c r="Q3559" s="234" t="n">
        <v>129</v>
      </c>
      <c r="R3559" s="232" t="inlineStr"/>
      <c r="S3559" s="234" t="n">
        <v>129</v>
      </c>
      <c r="T3559" s="232" t="inlineStr">
        <is>
          <t>CLP</t>
        </is>
      </c>
      <c r="U3559" s="232" t="inlineStr">
        <is>
          <t>Prorrateo Ha EUREKA M-F 1999 (2,5 Ha.)</t>
        </is>
      </c>
      <c r="V3559" s="232" t="inlineStr">
        <is>
          <t>2026-06-18</t>
        </is>
      </c>
    </row>
    <row r="3560">
      <c r="A3560" s="232" t="inlineStr">
        <is>
          <t>CR-3557</t>
        </is>
      </c>
      <c r="B3560" s="232" t="inlineStr">
        <is>
          <t>2026/27</t>
        </is>
      </c>
      <c r="C3560" s="233" t="n">
        <v>46188</v>
      </c>
      <c r="D3560" s="232" t="inlineStr">
        <is>
          <t>      </t>
        </is>
      </c>
      <c r="E3560" s="232" t="inlineStr">
        <is>
          <t>PRORRATEO</t>
        </is>
      </c>
      <c r="F3560" s="232" t="inlineStr">
        <is>
          <t>Santa Catalina</t>
        </is>
      </c>
      <c r="G3560" s="232" t="inlineStr">
        <is>
          <t>eureka 14,4 ha</t>
        </is>
      </c>
      <c r="H3560" s="232" t="inlineStr">
        <is>
          <t>Limon</t>
        </is>
      </c>
      <c r="I3560" s="232" t="inlineStr">
        <is>
          <t>Eureka</t>
        </is>
      </c>
      <c r="J3560" s="232" t="inlineStr">
        <is>
          <t>MANT. Y REP. PLANTACIONES</t>
        </is>
      </c>
      <c r="K3560" s="232" t="inlineStr">
        <is>
          <t>MANTENCION HUERTO</t>
        </is>
      </c>
      <c r="L3560" s="232" t="inlineStr">
        <is>
          <t>[PRORRATEO 9.7% 14.4há/148.3há] O/001733 MANTENCION</t>
        </is>
      </c>
      <c r="M3560" s="232" t="inlineStr"/>
      <c r="N3560" s="232" t="inlineStr">
        <is>
          <t>.   .   -</t>
        </is>
      </c>
      <c r="O3560" s="232" t="inlineStr">
        <is>
          <t>JUNIO</t>
        </is>
      </c>
      <c r="P3560" s="232" t="n">
        <v>23</v>
      </c>
      <c r="Q3560" s="234" t="n">
        <v>176</v>
      </c>
      <c r="R3560" s="232" t="inlineStr"/>
      <c r="S3560" s="234" t="n">
        <v>176</v>
      </c>
      <c r="T3560" s="232" t="inlineStr">
        <is>
          <t>CLP</t>
        </is>
      </c>
      <c r="U3560" s="232" t="inlineStr">
        <is>
          <t>Prorrateo Ha EUREKA M-F 1999 (2,5 Ha.)</t>
        </is>
      </c>
      <c r="V3560" s="232" t="inlineStr">
        <is>
          <t>2026-06-18</t>
        </is>
      </c>
    </row>
    <row r="3561">
      <c r="A3561" s="232" t="inlineStr">
        <is>
          <t>CR-3558</t>
        </is>
      </c>
      <c r="B3561" s="232" t="inlineStr">
        <is>
          <t>2026/27</t>
        </is>
      </c>
      <c r="C3561" s="233" t="n">
        <v>46188</v>
      </c>
      <c r="D3561" s="232" t="inlineStr">
        <is>
          <t>      </t>
        </is>
      </c>
      <c r="E3561" s="232" t="inlineStr">
        <is>
          <t>PRORRATEO</t>
        </is>
      </c>
      <c r="F3561" s="232" t="inlineStr">
        <is>
          <t>Santa Catalina</t>
        </is>
      </c>
      <c r="G3561" s="232" t="inlineStr">
        <is>
          <t>eureka 22,55</t>
        </is>
      </c>
      <c r="H3561" s="232" t="inlineStr">
        <is>
          <t>Limon</t>
        </is>
      </c>
      <c r="I3561" s="232" t="inlineStr">
        <is>
          <t>Eureka</t>
        </is>
      </c>
      <c r="J3561" s="232" t="inlineStr">
        <is>
          <t>MANT. Y REP. PLANTACIONES</t>
        </is>
      </c>
      <c r="K3561" s="232" t="inlineStr">
        <is>
          <t>MANTENCION HUERTO</t>
        </is>
      </c>
      <c r="L3561" s="232" t="inlineStr">
        <is>
          <t>[PRORRATEO 15.2% 22.55há/148.3há] O/001733 MANTENCION</t>
        </is>
      </c>
      <c r="M3561" s="232" t="inlineStr"/>
      <c r="N3561" s="232" t="inlineStr">
        <is>
          <t>.   .   -</t>
        </is>
      </c>
      <c r="O3561" s="232" t="inlineStr">
        <is>
          <t>JUNIO</t>
        </is>
      </c>
      <c r="P3561" s="232" t="n">
        <v>23</v>
      </c>
      <c r="Q3561" s="234" t="n">
        <v>275</v>
      </c>
      <c r="R3561" s="232" t="inlineStr"/>
      <c r="S3561" s="234" t="n">
        <v>275</v>
      </c>
      <c r="T3561" s="232" t="inlineStr">
        <is>
          <t>CLP</t>
        </is>
      </c>
      <c r="U3561" s="232" t="inlineStr">
        <is>
          <t>Prorrateo Ha EUREKA M-F 1999 (2,5 Ha.)</t>
        </is>
      </c>
      <c r="V3561" s="232" t="inlineStr">
        <is>
          <t>2026-06-18</t>
        </is>
      </c>
    </row>
    <row r="3562">
      <c r="A3562" s="232" t="inlineStr">
        <is>
          <t>CR-3559</t>
        </is>
      </c>
      <c r="B3562" s="232" t="inlineStr">
        <is>
          <t>2026/27</t>
        </is>
      </c>
      <c r="C3562" s="233" t="n">
        <v>46188</v>
      </c>
      <c r="D3562" s="232" t="inlineStr">
        <is>
          <t>      </t>
        </is>
      </c>
      <c r="E3562" s="232" t="inlineStr">
        <is>
          <t>PRORRATEO</t>
        </is>
      </c>
      <c r="F3562" s="232" t="inlineStr">
        <is>
          <t>Santa Catalina</t>
        </is>
      </c>
      <c r="G3562" s="232" t="inlineStr">
        <is>
          <t>form benjamin 1,93 ha</t>
        </is>
      </c>
      <c r="H3562" s="232" t="inlineStr">
        <is>
          <t>Limon</t>
        </is>
      </c>
      <c r="I3562" s="232" t="inlineStr">
        <is>
          <t>Benjamin andes</t>
        </is>
      </c>
      <c r="J3562" s="232" t="inlineStr">
        <is>
          <t>MANT. Y REP. PLANTACIONES</t>
        </is>
      </c>
      <c r="K3562" s="232" t="inlineStr">
        <is>
          <t>MANTENCION HUERTO</t>
        </is>
      </c>
      <c r="L3562" s="232" t="inlineStr">
        <is>
          <t>[PRORRATEO 1.3% 1.93há/148.3há] O/001733 MANTENCION</t>
        </is>
      </c>
      <c r="M3562" s="232" t="inlineStr"/>
      <c r="N3562" s="232" t="inlineStr">
        <is>
          <t>.   .   -</t>
        </is>
      </c>
      <c r="O3562" s="232" t="inlineStr">
        <is>
          <t>JUNIO</t>
        </is>
      </c>
      <c r="P3562" s="232" t="n">
        <v>23</v>
      </c>
      <c r="Q3562" s="234" t="n">
        <v>24</v>
      </c>
      <c r="R3562" s="232" t="inlineStr"/>
      <c r="S3562" s="234" t="n">
        <v>24</v>
      </c>
      <c r="T3562" s="232" t="inlineStr">
        <is>
          <t>CLP</t>
        </is>
      </c>
      <c r="U3562" s="232" t="inlineStr">
        <is>
          <t>Prorrateo Ha EUREKA M-F 1999 (2,5 Ha.)</t>
        </is>
      </c>
      <c r="V3562" s="232" t="inlineStr">
        <is>
          <t>2026-06-18</t>
        </is>
      </c>
    </row>
    <row r="3563">
      <c r="A3563" s="232" t="inlineStr">
        <is>
          <t>CR-3560</t>
        </is>
      </c>
      <c r="B3563" s="232" t="inlineStr">
        <is>
          <t>2026/27</t>
        </is>
      </c>
      <c r="C3563" s="233" t="n">
        <v>46188</v>
      </c>
      <c r="D3563" s="232" t="inlineStr">
        <is>
          <t>      </t>
        </is>
      </c>
      <c r="E3563" s="232" t="inlineStr">
        <is>
          <t>PRORRATEO</t>
        </is>
      </c>
      <c r="F3563" s="232" t="inlineStr">
        <is>
          <t>Santa Catalina</t>
        </is>
      </c>
      <c r="G3563" s="232" t="inlineStr">
        <is>
          <t>mant eureka 2,5 ha</t>
        </is>
      </c>
      <c r="H3563" s="232" t="inlineStr">
        <is>
          <t>Limon</t>
        </is>
      </c>
      <c r="I3563" s="232" t="inlineStr">
        <is>
          <t>Eureka</t>
        </is>
      </c>
      <c r="J3563" s="232" t="inlineStr">
        <is>
          <t>MANT. Y REP. PLANTACIONES</t>
        </is>
      </c>
      <c r="K3563" s="232" t="inlineStr">
        <is>
          <t>MANTENCION HUERTO</t>
        </is>
      </c>
      <c r="L3563" s="232" t="inlineStr">
        <is>
          <t>[PRORRATEO 1.7% 2.5há/148.3há] O/001733 MANTENCION</t>
        </is>
      </c>
      <c r="M3563" s="232" t="inlineStr"/>
      <c r="N3563" s="232" t="inlineStr">
        <is>
          <t>.   .   -</t>
        </is>
      </c>
      <c r="O3563" s="232" t="inlineStr">
        <is>
          <t>JUNIO</t>
        </is>
      </c>
      <c r="P3563" s="232" t="n">
        <v>23</v>
      </c>
      <c r="Q3563" s="234" t="n">
        <v>31</v>
      </c>
      <c r="R3563" s="232" t="inlineStr"/>
      <c r="S3563" s="234" t="n">
        <v>31</v>
      </c>
      <c r="T3563" s="232" t="inlineStr">
        <is>
          <t>CLP</t>
        </is>
      </c>
      <c r="U3563" s="232" t="inlineStr">
        <is>
          <t>Prorrateo Ha EUREKA M-F 1999 (2,5 Ha.)</t>
        </is>
      </c>
      <c r="V3563" s="232" t="inlineStr">
        <is>
          <t>2026-06-18</t>
        </is>
      </c>
    </row>
    <row r="3564">
      <c r="A3564" s="232" t="inlineStr">
        <is>
          <t>CR-3561</t>
        </is>
      </c>
      <c r="B3564" s="232" t="inlineStr">
        <is>
          <t>2026/27</t>
        </is>
      </c>
      <c r="C3564" s="233" t="n">
        <v>46188</v>
      </c>
      <c r="D3564" s="232" t="inlineStr">
        <is>
          <t>      </t>
        </is>
      </c>
      <c r="E3564" s="232" t="inlineStr">
        <is>
          <t>PRORRATEO</t>
        </is>
      </c>
      <c r="F3564" s="232" t="inlineStr">
        <is>
          <t>Siberia</t>
        </is>
      </c>
      <c r="G3564" s="232" t="inlineStr">
        <is>
          <t>S. Celebration 7,14</t>
        </is>
      </c>
      <c r="H3564" s="232" t="inlineStr">
        <is>
          <t>Uvas</t>
        </is>
      </c>
      <c r="I3564" s="232" t="inlineStr">
        <is>
          <t>S. celebration</t>
        </is>
      </c>
      <c r="J3564" s="232" t="inlineStr">
        <is>
          <t>MANT. Y REP. PLANTACIONES</t>
        </is>
      </c>
      <c r="K3564" s="232" t="inlineStr">
        <is>
          <t>MANTENCION HUERTO</t>
        </is>
      </c>
      <c r="L3564" s="232" t="inlineStr">
        <is>
          <t>[PRORRATEO 4.8% 7.14há/148.3há] O/001733 MANTENCION</t>
        </is>
      </c>
      <c r="M3564" s="232" t="inlineStr"/>
      <c r="N3564" s="232" t="inlineStr">
        <is>
          <t>.   .   -</t>
        </is>
      </c>
      <c r="O3564" s="232" t="inlineStr">
        <is>
          <t>JUNIO</t>
        </is>
      </c>
      <c r="P3564" s="232" t="n">
        <v>23</v>
      </c>
      <c r="Q3564" s="234" t="n">
        <v>87</v>
      </c>
      <c r="R3564" s="232" t="inlineStr"/>
      <c r="S3564" s="234" t="n">
        <v>87</v>
      </c>
      <c r="T3564" s="232" t="inlineStr">
        <is>
          <t>CLP</t>
        </is>
      </c>
      <c r="U3564" s="232" t="inlineStr">
        <is>
          <t>Prorrateo Ha EUREKA M-F 1999 (2,5 Ha.)</t>
        </is>
      </c>
      <c r="V3564" s="232" t="inlineStr">
        <is>
          <t>2026-06-18</t>
        </is>
      </c>
    </row>
    <row r="3565">
      <c r="A3565" s="232" t="inlineStr">
        <is>
          <t>CR-3562</t>
        </is>
      </c>
      <c r="B3565" s="232" t="inlineStr">
        <is>
          <t>2026/27</t>
        </is>
      </c>
      <c r="C3565" s="233" t="n">
        <v>46188</v>
      </c>
      <c r="D3565" s="232" t="inlineStr">
        <is>
          <t>      </t>
        </is>
      </c>
      <c r="E3565" s="232" t="inlineStr">
        <is>
          <t>PRORRATEO</t>
        </is>
      </c>
      <c r="F3565" s="232" t="inlineStr">
        <is>
          <t>Siberia</t>
        </is>
      </c>
      <c r="G3565" s="232" t="inlineStr">
        <is>
          <t>Timpson 7,1</t>
        </is>
      </c>
      <c r="H3565" s="232" t="inlineStr">
        <is>
          <t>Uvas</t>
        </is>
      </c>
      <c r="I3565" s="232" t="inlineStr">
        <is>
          <t>Timpson</t>
        </is>
      </c>
      <c r="J3565" s="232" t="inlineStr">
        <is>
          <t>MANT. Y REP. PLANTACIONES</t>
        </is>
      </c>
      <c r="K3565" s="232" t="inlineStr">
        <is>
          <t>MANTENCION HUERTO</t>
        </is>
      </c>
      <c r="L3565" s="232" t="inlineStr">
        <is>
          <t>[PRORRATEO 4.8% 7.1há/148.3há] O/001733 MANTENCION</t>
        </is>
      </c>
      <c r="M3565" s="232" t="inlineStr"/>
      <c r="N3565" s="232" t="inlineStr">
        <is>
          <t>.   .   -</t>
        </is>
      </c>
      <c r="O3565" s="232" t="inlineStr">
        <is>
          <t>JUNIO</t>
        </is>
      </c>
      <c r="P3565" s="232" t="n">
        <v>23</v>
      </c>
      <c r="Q3565" s="234" t="n">
        <v>87</v>
      </c>
      <c r="R3565" s="232" t="inlineStr"/>
      <c r="S3565" s="234" t="n">
        <v>87</v>
      </c>
      <c r="T3565" s="232" t="inlineStr">
        <is>
          <t>CLP</t>
        </is>
      </c>
      <c r="U3565" s="232" t="inlineStr">
        <is>
          <t>Prorrateo Ha EUREKA M-F 1999 (2,5 Ha.)</t>
        </is>
      </c>
      <c r="V3565" s="232" t="inlineStr">
        <is>
          <t>2026-06-18</t>
        </is>
      </c>
    </row>
  </sheetData>
  <mergeCells count="1">
    <mergeCell ref="A1:V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R21"/>
  <sheetViews>
    <sheetView showGridLines="0" tabSelected="1" zoomScale="174" workbookViewId="0">
      <pane xSplit="5" ySplit="4" topLeftCell="N14" activePane="bottomRight" state="frozen"/>
      <selection pane="topRight" activeCell="A1" sqref="A1"/>
      <selection pane="bottomLeft" activeCell="A1" sqref="A1"/>
      <selection pane="bottomRight" activeCell="E17" sqref="E17"/>
    </sheetView>
  </sheetViews>
  <sheetFormatPr baseColWidth="10" defaultColWidth="8.83203125" defaultRowHeight="15"/>
  <cols>
    <col width="16" customWidth="1" style="176" min="1" max="1"/>
    <col width="17.1640625" customWidth="1" style="176" min="2" max="2"/>
    <col width="12" customWidth="1" style="176" min="3" max="3"/>
    <col width="14" customWidth="1" style="176" min="4" max="4"/>
    <col width="11" customWidth="1" style="176" min="5" max="5"/>
    <col width="12" customWidth="1" style="176" min="6" max="7"/>
    <col width="10" customWidth="1" style="176" min="8" max="8"/>
    <col width="12" customWidth="1" style="176" min="9" max="10"/>
    <col width="10" customWidth="1" style="176" min="11" max="11"/>
    <col width="12" customWidth="1" style="176" min="12" max="13"/>
    <col width="10" customWidth="1" style="176" min="14" max="14"/>
    <col width="12" customWidth="1" style="176" min="15" max="16"/>
    <col width="10" customWidth="1" style="176" min="17" max="17"/>
    <col width="12" customWidth="1" style="176" min="18" max="19"/>
    <col width="10" customWidth="1" style="176" min="20" max="20"/>
    <col width="12" customWidth="1" style="176" min="21" max="22"/>
    <col width="10" customWidth="1" style="176" min="23" max="23"/>
    <col width="12" customWidth="1" style="176" min="24" max="25"/>
    <col width="10" customWidth="1" style="176" min="26" max="26"/>
    <col width="12" customWidth="1" style="176" min="27" max="28"/>
    <col width="10" customWidth="1" style="176" min="29" max="29"/>
    <col width="12" customWidth="1" style="176" min="30" max="31"/>
    <col width="10" customWidth="1" style="176" min="32" max="32"/>
    <col width="12" customWidth="1" style="176" min="33" max="34"/>
    <col width="10" customWidth="1" style="176" min="35" max="35"/>
    <col width="12" customWidth="1" style="176" min="36" max="37"/>
    <col width="10" customWidth="1" style="176" min="38" max="38"/>
    <col width="12" customWidth="1" style="176" min="39" max="40"/>
    <col width="10" customWidth="1" style="176" min="41" max="41"/>
    <col width="13" customWidth="1" style="176" min="42" max="43"/>
    <col width="9" customWidth="1" style="176" min="44" max="44"/>
  </cols>
  <sheetData>
    <row r="1" ht="30" customHeight="1" s="176">
      <c r="A1" s="194" t="inlineStr">
        <is>
          <t>📊  CONTROL PRESUPUESTARIO — COSTOS REALES vs PRESUPUESTO  •  Temporada 2026/27</t>
        </is>
      </c>
    </row>
    <row r="2" ht="6" customHeight="1" s="176"/>
    <row r="3" ht="18" customHeight="1" s="176">
      <c r="A3" s="55" t="n"/>
      <c r="B3" s="55" t="n"/>
      <c r="C3" s="55" t="n"/>
      <c r="D3" s="55" t="n"/>
      <c r="E3" s="55" t="n"/>
      <c r="F3" s="172" t="inlineStr">
        <is>
          <t>May-26</t>
        </is>
      </c>
      <c r="G3" s="184" t="n"/>
      <c r="H3" s="185" t="n"/>
      <c r="I3" s="172" t="inlineStr">
        <is>
          <t>Jun-26</t>
        </is>
      </c>
      <c r="J3" s="184" t="n"/>
      <c r="K3" s="185" t="n"/>
      <c r="L3" s="172" t="inlineStr">
        <is>
          <t>Jul-26</t>
        </is>
      </c>
      <c r="M3" s="184" t="n"/>
      <c r="N3" s="185" t="n"/>
      <c r="O3" s="172" t="inlineStr">
        <is>
          <t>Ago-26</t>
        </is>
      </c>
      <c r="P3" s="184" t="n"/>
      <c r="Q3" s="185" t="n"/>
      <c r="R3" s="172" t="inlineStr">
        <is>
          <t>Sep-26</t>
        </is>
      </c>
      <c r="S3" s="184" t="n"/>
      <c r="T3" s="185" t="n"/>
      <c r="U3" s="172" t="inlineStr">
        <is>
          <t>Oct-26</t>
        </is>
      </c>
      <c r="V3" s="184" t="n"/>
      <c r="W3" s="185" t="n"/>
      <c r="X3" s="172" t="inlineStr">
        <is>
          <t>Nov-26</t>
        </is>
      </c>
      <c r="Y3" s="184" t="n"/>
      <c r="Z3" s="185" t="n"/>
      <c r="AA3" s="172" t="inlineStr">
        <is>
          <t>Dic-26</t>
        </is>
      </c>
      <c r="AB3" s="184" t="n"/>
      <c r="AC3" s="185" t="n"/>
      <c r="AD3" s="172" t="inlineStr">
        <is>
          <t>Ene-27</t>
        </is>
      </c>
      <c r="AE3" s="184" t="n"/>
      <c r="AF3" s="185" t="n"/>
      <c r="AG3" s="172" t="inlineStr">
        <is>
          <t>Feb-27</t>
        </is>
      </c>
      <c r="AH3" s="184" t="n"/>
      <c r="AI3" s="185" t="n"/>
      <c r="AJ3" s="172" t="inlineStr">
        <is>
          <t>Mar-27</t>
        </is>
      </c>
      <c r="AK3" s="184" t="n"/>
      <c r="AL3" s="185" t="n"/>
      <c r="AM3" s="172" t="inlineStr">
        <is>
          <t>Abr-27</t>
        </is>
      </c>
      <c r="AN3" s="184" t="n"/>
      <c r="AO3" s="185" t="n"/>
      <c r="AP3" s="198" t="inlineStr">
        <is>
          <t>TOTAL TEMPORADA</t>
        </is>
      </c>
      <c r="AQ3" s="184" t="n"/>
      <c r="AR3" s="185" t="n"/>
    </row>
    <row r="4" ht="22" customHeight="1" s="176">
      <c r="A4" s="28" t="inlineStr">
        <is>
          <t>Campo</t>
        </is>
      </c>
      <c r="B4" s="28" t="inlineStr">
        <is>
          <t>Centro de Costo</t>
        </is>
      </c>
      <c r="C4" s="28" t="inlineStr">
        <is>
          <t>Especie</t>
        </is>
      </c>
      <c r="D4" s="28" t="inlineStr">
        <is>
          <t>Variedad</t>
        </is>
      </c>
      <c r="E4" s="28" t="inlineStr">
        <is>
          <t>Estado</t>
        </is>
      </c>
      <c r="F4" s="62" t="inlineStr">
        <is>
          <t>Ppto $</t>
        </is>
      </c>
      <c r="G4" s="63" t="inlineStr">
        <is>
          <t>Real $</t>
        </is>
      </c>
      <c r="H4" s="64" t="inlineStr">
        <is>
          <t>Desv $</t>
        </is>
      </c>
      <c r="I4" s="62" t="inlineStr">
        <is>
          <t>Ppto $</t>
        </is>
      </c>
      <c r="J4" s="63" t="inlineStr">
        <is>
          <t>Real $</t>
        </is>
      </c>
      <c r="K4" s="64" t="inlineStr">
        <is>
          <t>Desv $</t>
        </is>
      </c>
      <c r="L4" s="62" t="inlineStr">
        <is>
          <t>Ppto $</t>
        </is>
      </c>
      <c r="M4" s="63" t="inlineStr">
        <is>
          <t>Real $</t>
        </is>
      </c>
      <c r="N4" s="64" t="inlineStr">
        <is>
          <t>Desv $</t>
        </is>
      </c>
      <c r="O4" s="62" t="inlineStr">
        <is>
          <t>Ppto $</t>
        </is>
      </c>
      <c r="P4" s="63" t="inlineStr">
        <is>
          <t>Real $</t>
        </is>
      </c>
      <c r="Q4" s="64" t="inlineStr">
        <is>
          <t>Desv $</t>
        </is>
      </c>
      <c r="R4" s="62" t="inlineStr">
        <is>
          <t>Ppto $</t>
        </is>
      </c>
      <c r="S4" s="63" t="inlineStr">
        <is>
          <t>Real $</t>
        </is>
      </c>
      <c r="T4" s="64" t="inlineStr">
        <is>
          <t>Desv $</t>
        </is>
      </c>
      <c r="U4" s="62" t="inlineStr">
        <is>
          <t>Ppto $</t>
        </is>
      </c>
      <c r="V4" s="63" t="inlineStr">
        <is>
          <t>Real $</t>
        </is>
      </c>
      <c r="W4" s="64" t="inlineStr">
        <is>
          <t>Desv $</t>
        </is>
      </c>
      <c r="X4" s="62" t="inlineStr">
        <is>
          <t>Ppto $</t>
        </is>
      </c>
      <c r="Y4" s="63" t="inlineStr">
        <is>
          <t>Real $</t>
        </is>
      </c>
      <c r="Z4" s="64" t="inlineStr">
        <is>
          <t>Desv $</t>
        </is>
      </c>
      <c r="AA4" s="62" t="inlineStr">
        <is>
          <t>Ppto $</t>
        </is>
      </c>
      <c r="AB4" s="63" t="inlineStr">
        <is>
          <t>Real $</t>
        </is>
      </c>
      <c r="AC4" s="64" t="inlineStr">
        <is>
          <t>Desv $</t>
        </is>
      </c>
      <c r="AD4" s="62" t="inlineStr">
        <is>
          <t>Ppto $</t>
        </is>
      </c>
      <c r="AE4" s="63" t="inlineStr">
        <is>
          <t>Real $</t>
        </is>
      </c>
      <c r="AF4" s="64" t="inlineStr">
        <is>
          <t>Desv $</t>
        </is>
      </c>
      <c r="AG4" s="62" t="inlineStr">
        <is>
          <t>Ppto $</t>
        </is>
      </c>
      <c r="AH4" s="63" t="inlineStr">
        <is>
          <t>Real $</t>
        </is>
      </c>
      <c r="AI4" s="64" t="inlineStr">
        <is>
          <t>Desv $</t>
        </is>
      </c>
      <c r="AJ4" s="62" t="inlineStr">
        <is>
          <t>Ppto $</t>
        </is>
      </c>
      <c r="AK4" s="63" t="inlineStr">
        <is>
          <t>Real $</t>
        </is>
      </c>
      <c r="AL4" s="64" t="inlineStr">
        <is>
          <t>Desv $</t>
        </is>
      </c>
      <c r="AM4" s="62" t="inlineStr">
        <is>
          <t>Ppto $</t>
        </is>
      </c>
      <c r="AN4" s="63" t="inlineStr">
        <is>
          <t>Real $</t>
        </is>
      </c>
      <c r="AO4" s="64" t="inlineStr">
        <is>
          <t>Desv $</t>
        </is>
      </c>
      <c r="AP4" s="198" t="inlineStr">
        <is>
          <t>Ppto $</t>
        </is>
      </c>
      <c r="AQ4" s="172" t="inlineStr">
        <is>
          <t>Real $</t>
        </is>
      </c>
      <c r="AR4" s="65" t="inlineStr">
        <is>
          <t>% Ejec.</t>
        </is>
      </c>
    </row>
    <row r="5" ht="16" customHeight="1" s="176">
      <c r="A5" s="59" t="inlineStr">
        <is>
          <t>Asmara</t>
        </is>
      </c>
      <c r="B5" s="66" t="inlineStr">
        <is>
          <t>w. murcott 19,8 ha</t>
        </is>
      </c>
      <c r="C5" s="67" t="inlineStr">
        <is>
          <t>Mandarina</t>
        </is>
      </c>
      <c r="D5" s="67" t="inlineStr">
        <is>
          <t>W. murcott</t>
        </is>
      </c>
      <c r="E5" s="59" t="inlineStr">
        <is>
          <t>Producción</t>
        </is>
      </c>
      <c r="F5" s="235" t="n">
        <v>14992.83100784885</v>
      </c>
      <c r="G5" s="236" t="n"/>
      <c r="H5" s="237">
        <f>IF(G5="","",IF(G5=0,"",G5-F5))</f>
        <v/>
      </c>
      <c r="I5" s="235" t="n">
        <v>15575.28100784885</v>
      </c>
      <c r="J5" s="236" t="n"/>
      <c r="K5" s="237">
        <f>IF(J5="","",IF(J5=0,"",J5-I5))</f>
        <v/>
      </c>
      <c r="L5" s="235" t="n">
        <v>82938.80816340442</v>
      </c>
      <c r="M5" s="236" t="n"/>
      <c r="N5" s="237">
        <f>IF(M5="","",IF(M5=0,"",M5-L5))</f>
        <v/>
      </c>
      <c r="O5" s="235" t="n">
        <v>83895.80816340442</v>
      </c>
      <c r="P5" s="236" t="n"/>
      <c r="Q5" s="237">
        <f>IF(P5="","",IF(P5=0,"",P5-O5))</f>
        <v/>
      </c>
      <c r="R5" s="235" t="n">
        <v>22696.68100784886</v>
      </c>
      <c r="S5" s="236" t="n"/>
      <c r="T5" s="237">
        <f>IF(S5="","",IF(S5=0,"",S5-R5))</f>
        <v/>
      </c>
      <c r="U5" s="235" t="n">
        <v>23758.66434118219</v>
      </c>
      <c r="V5" s="236" t="n"/>
      <c r="W5" s="237">
        <f>IF(V5="","",IF(V5=0,"",V5-U5))</f>
        <v/>
      </c>
      <c r="X5" s="235" t="n">
        <v>16150.03100784885</v>
      </c>
      <c r="Y5" s="236" t="n"/>
      <c r="Z5" s="237">
        <f>IF(Y5="","",IF(Y5=0,"",Y5-X5))</f>
        <v/>
      </c>
      <c r="AA5" s="235" t="n">
        <v>16421.66434118219</v>
      </c>
      <c r="AB5" s="236" t="n"/>
      <c r="AC5" s="237">
        <f>IF(AB5="","",IF(AB5=0,"",AB5-AA5))</f>
        <v/>
      </c>
      <c r="AD5" s="235" t="n">
        <v>15636.44100784885</v>
      </c>
      <c r="AE5" s="236" t="n"/>
      <c r="AF5" s="237">
        <f>IF(AE5="","",IF(AE5=0,"",AE5-AD5))</f>
        <v/>
      </c>
      <c r="AG5" s="235" t="n">
        <v>16593.44100784885</v>
      </c>
      <c r="AH5" s="236" t="n"/>
      <c r="AI5" s="237">
        <f>IF(AH5="","",IF(AH5=0,"",AH5-AG5))</f>
        <v/>
      </c>
      <c r="AJ5" s="235" t="n">
        <v>23120.18100784885</v>
      </c>
      <c r="AK5" s="236" t="n"/>
      <c r="AL5" s="237">
        <f>IF(AK5="","",IF(AK5=0,"",AK5-AJ5))</f>
        <v/>
      </c>
      <c r="AM5" s="235" t="n">
        <v>16421.66434118219</v>
      </c>
      <c r="AN5" s="236" t="n"/>
      <c r="AO5" s="237">
        <f>IF(AN5="","",IF(AN5=0,"",AN5-AM5))</f>
        <v/>
      </c>
      <c r="AP5" s="238">
        <f>F5+I5+L5+O5+R5+U5+X5+AA5+AD5+AG5+AJ5+AM5</f>
        <v/>
      </c>
      <c r="AQ5" s="239">
        <f>IF(SUM(G5+J5+M5+P5+S5+V5+Y5+AB5+AE5+AH5+AK5+AN5)=0,"",SUM(G5+J5+M5+P5+S5+V5+Y5+AB5+AE5+AH5+AK5+AN5))</f>
        <v/>
      </c>
      <c r="AR5" s="240">
        <f>IF(OR(AQ5="",AP5=0),"",AQ5/AP5)</f>
        <v/>
      </c>
    </row>
    <row r="6" ht="16" customHeight="1" s="176">
      <c r="A6" s="56" t="inlineStr">
        <is>
          <t>Asmara</t>
        </is>
      </c>
      <c r="B6" s="74" t="inlineStr">
        <is>
          <t>w. murcott 4,9 ha</t>
        </is>
      </c>
      <c r="C6" s="75" t="inlineStr">
        <is>
          <t>Mandarina</t>
        </is>
      </c>
      <c r="D6" s="75" t="inlineStr">
        <is>
          <t>W. murcott</t>
        </is>
      </c>
      <c r="E6" s="56" t="inlineStr">
        <is>
          <t>Producción</t>
        </is>
      </c>
      <c r="F6" s="235" t="n">
        <v>4445.59409689189</v>
      </c>
      <c r="G6" s="236" t="n"/>
      <c r="H6" s="237">
        <f>IF(G6="","",IF(G6=0,"",G6-F6))</f>
        <v/>
      </c>
      <c r="I6" s="235" t="n">
        <v>4589.735763558558</v>
      </c>
      <c r="J6" s="236" t="n"/>
      <c r="K6" s="237">
        <f>IF(J6="","",IF(J6=0,"",J6-I6))</f>
        <v/>
      </c>
      <c r="L6" s="235" t="n">
        <v>21260.49211911417</v>
      </c>
      <c r="M6" s="236" t="n"/>
      <c r="N6" s="237">
        <f>IF(M6="","",IF(M6=0,"",M6-L6))</f>
        <v/>
      </c>
      <c r="O6" s="235" t="n">
        <v>21497.32545244751</v>
      </c>
      <c r="P6" s="236" t="n"/>
      <c r="Q6" s="237">
        <f>IF(P6="","",IF(P6=0,"",P6-O6))</f>
        <v/>
      </c>
      <c r="R6" s="235" t="n">
        <v>6352.102430225224</v>
      </c>
      <c r="S6" s="236" t="n"/>
      <c r="T6" s="237">
        <f>IF(S6="","",IF(S6=0,"",S6-R6))</f>
        <v/>
      </c>
      <c r="U6" s="235" t="n">
        <v>7304.948541336335</v>
      </c>
      <c r="V6" s="236" t="n"/>
      <c r="W6" s="237">
        <f>IF(V6="","",IF(V6=0,"",V6-U6))</f>
        <v/>
      </c>
      <c r="X6" s="235" t="n">
        <v>4731.971874669668</v>
      </c>
      <c r="Y6" s="236" t="n"/>
      <c r="Z6" s="237">
        <f>IF(Y6="","",IF(Y6=0,"",Y6-X6))</f>
        <v/>
      </c>
      <c r="AA6" s="235" t="n">
        <v>5489.226319114113</v>
      </c>
      <c r="AB6" s="236" t="n"/>
      <c r="AC6" s="237">
        <f>IF(AB6="","",IF(AB6=0,"",AB6-AA6))</f>
        <v/>
      </c>
      <c r="AD6" s="235" t="n">
        <v>4604.871319114114</v>
      </c>
      <c r="AE6" s="236" t="n"/>
      <c r="AF6" s="237">
        <f>IF(AE6="","",IF(AE6=0,"",AE6-AD6))</f>
        <v/>
      </c>
      <c r="AG6" s="235" t="n">
        <v>5495.364652447446</v>
      </c>
      <c r="AH6" s="236" t="n"/>
      <c r="AI6" s="237">
        <f>IF(AH6="","",IF(AH6=0,"",AH6-AG6))</f>
        <v/>
      </c>
      <c r="AJ6" s="235" t="n">
        <v>7110.567985780785</v>
      </c>
      <c r="AK6" s="236" t="n"/>
      <c r="AL6" s="237">
        <f>IF(AK6="","",IF(AK6=0,"",AK6-AJ6))</f>
        <v/>
      </c>
      <c r="AM6" s="235" t="n">
        <v>4835.566319114113</v>
      </c>
      <c r="AN6" s="236" t="n"/>
      <c r="AO6" s="237">
        <f>IF(AN6="","",IF(AN6=0,"",AN6-AM6))</f>
        <v/>
      </c>
      <c r="AP6" s="238">
        <f>F6+I6+L6+O6+R6+U6+X6+AA6+AD6+AG6+AJ6+AM6</f>
        <v/>
      </c>
      <c r="AQ6" s="239">
        <f>IF(SUM(G6+J6+M6+P6+S6+V6+Y6+AB6+AE6+AH6+AK6+AN6)=0,"",SUM(G6+J6+M6+P6+S6+V6+Y6+AB6+AE6+AH6+AK6+AN6))</f>
        <v/>
      </c>
      <c r="AR6" s="240">
        <f>IF(OR(AQ6="",AP6=0),"",AQ6/AP6)</f>
        <v/>
      </c>
    </row>
    <row r="7" ht="16" customHeight="1" s="176">
      <c r="A7" s="76" t="inlineStr">
        <is>
          <t>El Molle</t>
        </is>
      </c>
      <c r="B7" s="77" t="inlineStr">
        <is>
          <t>Wonderful 5,25 ha</t>
        </is>
      </c>
      <c r="C7" s="78" t="inlineStr">
        <is>
          <t>Granados</t>
        </is>
      </c>
      <c r="D7" s="78" t="inlineStr">
        <is>
          <t>Wonderfull</t>
        </is>
      </c>
      <c r="E7" s="76" t="inlineStr">
        <is>
          <t>Producción</t>
        </is>
      </c>
      <c r="F7" s="235" t="n">
        <v>3428.466359717183</v>
      </c>
      <c r="G7" s="236" t="n"/>
      <c r="H7" s="237">
        <f>IF(G7="","",IF(G7=0,"",G7-F7))</f>
        <v/>
      </c>
      <c r="I7" s="235" t="n">
        <v>3397.72502638385</v>
      </c>
      <c r="J7" s="236" t="n"/>
      <c r="K7" s="237">
        <f>IF(J7="","",IF(J7=0,"",J7-I7))</f>
        <v/>
      </c>
      <c r="L7" s="235" t="n">
        <v>6154.954804161626</v>
      </c>
      <c r="M7" s="236" t="n"/>
      <c r="N7" s="237">
        <f>IF(M7="","",IF(M7=0,"",M7-L7))</f>
        <v/>
      </c>
      <c r="O7" s="235" t="n">
        <v>4019.916804161628</v>
      </c>
      <c r="P7" s="236" t="n"/>
      <c r="Q7" s="237">
        <f>IF(P7="","",IF(P7=0,"",P7-O7))</f>
        <v/>
      </c>
      <c r="R7" s="235" t="n">
        <v>3630.730359717183</v>
      </c>
      <c r="S7" s="236" t="n"/>
      <c r="T7" s="237">
        <f>IF(S7="","",IF(S7=0,"",S7-R7))</f>
        <v/>
      </c>
      <c r="U7" s="235" t="n">
        <v>4704.589915272741</v>
      </c>
      <c r="V7" s="236" t="n"/>
      <c r="W7" s="237">
        <f>IF(V7="","",IF(V7=0,"",V7-U7))</f>
        <v/>
      </c>
      <c r="X7" s="235" t="n">
        <v>3936.979248606072</v>
      </c>
      <c r="Y7" s="236" t="n"/>
      <c r="Z7" s="237">
        <f>IF(Y7="","",IF(Y7=0,"",Y7-X7))</f>
        <v/>
      </c>
      <c r="AA7" s="235" t="n">
        <v>10110.31364860607</v>
      </c>
      <c r="AB7" s="236" t="n"/>
      <c r="AC7" s="237">
        <f>IF(AB7="","",IF(AB7=0,"",AB7-AA7))</f>
        <v/>
      </c>
      <c r="AD7" s="235" t="n">
        <v>3742.808137494961</v>
      </c>
      <c r="AE7" s="236" t="n"/>
      <c r="AF7" s="237">
        <f>IF(AE7="","",IF(AE7=0,"",AE7-AD7))</f>
        <v/>
      </c>
      <c r="AG7" s="235" t="n">
        <v>3763.069470828295</v>
      </c>
      <c r="AH7" s="236" t="n"/>
      <c r="AI7" s="237">
        <f>IF(AH7="","",IF(AH7=0,"",AH7-AG7))</f>
        <v/>
      </c>
      <c r="AJ7" s="235" t="n">
        <v>4752.49791527274</v>
      </c>
      <c r="AK7" s="236" t="n"/>
      <c r="AL7" s="237">
        <f>IF(AK7="","",IF(AK7=0,"",AK7-AJ7))</f>
        <v/>
      </c>
      <c r="AM7" s="235" t="n">
        <v>32138.26058193937</v>
      </c>
      <c r="AN7" s="236" t="n"/>
      <c r="AO7" s="237">
        <f>IF(AN7="","",IF(AN7=0,"",AN7-AM7))</f>
        <v/>
      </c>
      <c r="AP7" s="238">
        <f>F7+I7+L7+O7+R7+U7+X7+AA7+AD7+AG7+AJ7+AM7</f>
        <v/>
      </c>
      <c r="AQ7" s="239">
        <f>IF(SUM(G7+J7+M7+P7+S7+V7+Y7+AB7+AE7+AH7+AK7+AN7)=0,"",SUM(G7+J7+M7+P7+S7+V7+Y7+AB7+AE7+AH7+AK7+AN7))</f>
        <v/>
      </c>
      <c r="AR7" s="240">
        <f>IF(OR(AQ7="",AP7=0),"",AQ7/AP7)</f>
        <v/>
      </c>
    </row>
    <row r="8" ht="16" customHeight="1" s="176">
      <c r="A8" s="76" t="inlineStr">
        <is>
          <t>El Molle</t>
        </is>
      </c>
      <c r="B8" s="77" t="inlineStr">
        <is>
          <t>arrufatinas 5,74 ha</t>
        </is>
      </c>
      <c r="C8" s="78" t="inlineStr">
        <is>
          <t>Clementinas</t>
        </is>
      </c>
      <c r="D8" s="78" t="inlineStr">
        <is>
          <t>Arrufatinas</t>
        </is>
      </c>
      <c r="E8" s="76" t="inlineStr">
        <is>
          <t>Producción</t>
        </is>
      </c>
      <c r="F8" s="235" t="n">
        <v>29207.85859257726</v>
      </c>
      <c r="G8" s="236" t="n"/>
      <c r="H8" s="237">
        <f>IF(G8="","",IF(G8=0,"",G8-F8))</f>
        <v/>
      </c>
      <c r="I8" s="235" t="n">
        <v>5235.577703688332</v>
      </c>
      <c r="J8" s="236" t="n"/>
      <c r="K8" s="237">
        <f>IF(J8="","",IF(J8=0,"",J8-I8))</f>
        <v/>
      </c>
      <c r="L8" s="235" t="n">
        <v>7568.823925910553</v>
      </c>
      <c r="M8" s="236" t="n"/>
      <c r="N8" s="237">
        <f>IF(M8="","",IF(M8=0,"",M8-L8))</f>
        <v/>
      </c>
      <c r="O8" s="235" t="n">
        <v>5612.918925910554</v>
      </c>
      <c r="P8" s="236" t="n"/>
      <c r="Q8" s="237">
        <f>IF(P8="","",IF(P8=0,"",P8-O8))</f>
        <v/>
      </c>
      <c r="R8" s="235" t="n">
        <v>5314.215703688332</v>
      </c>
      <c r="S8" s="236" t="n"/>
      <c r="T8" s="237">
        <f>IF(S8="","",IF(S8=0,"",S8-R8))</f>
        <v/>
      </c>
      <c r="U8" s="235" t="n">
        <v>8028.78681479944</v>
      </c>
      <c r="V8" s="236" t="n"/>
      <c r="W8" s="237">
        <f>IF(V8="","",IF(V8=0,"",V8-U8))</f>
        <v/>
      </c>
      <c r="X8" s="235" t="n">
        <v>5522.06748146611</v>
      </c>
      <c r="Y8" s="236" t="n"/>
      <c r="Z8" s="237">
        <f>IF(Y8="","",IF(Y8=0,"",Y8-X8))</f>
        <v/>
      </c>
      <c r="AA8" s="235" t="n">
        <v>5635.135259243887</v>
      </c>
      <c r="AB8" s="236" t="n"/>
      <c r="AC8" s="237">
        <f>IF(AB8="","",IF(AB8=0,"",AB8-AA8))</f>
        <v/>
      </c>
      <c r="AD8" s="235" t="n">
        <v>7490.321259243884</v>
      </c>
      <c r="AE8" s="236" t="n"/>
      <c r="AF8" s="237">
        <f>IF(AE8="","",IF(AE8=0,"",AE8-AD8))</f>
        <v/>
      </c>
      <c r="AG8" s="235" t="n">
        <v>6777.915703688337</v>
      </c>
      <c r="AH8" s="236" t="n"/>
      <c r="AI8" s="237">
        <f>IF(AH8="","",IF(AH8=0,"",AH8-AG8))</f>
        <v/>
      </c>
      <c r="AJ8" s="235" t="n">
        <v>6925.880148132782</v>
      </c>
      <c r="AK8" s="236" t="n"/>
      <c r="AL8" s="237">
        <f>IF(AK8="","",IF(AK8=0,"",AK8-AJ8))</f>
        <v/>
      </c>
      <c r="AM8" s="235" t="n">
        <v>6698.629703688337</v>
      </c>
      <c r="AN8" s="236" t="n"/>
      <c r="AO8" s="237">
        <f>IF(AN8="","",IF(AN8=0,"",AN8-AM8))</f>
        <v/>
      </c>
      <c r="AP8" s="238">
        <f>F8+I8+L8+O8+R8+U8+X8+AA8+AD8+AG8+AJ8+AM8</f>
        <v/>
      </c>
      <c r="AQ8" s="239">
        <f>IF(SUM(G8+J8+M8+P8+S8+V8+Y8+AB8+AE8+AH8+AK8+AN8)=0,"",SUM(G8+J8+M8+P8+S8+V8+Y8+AB8+AE8+AH8+AK8+AN8))</f>
        <v/>
      </c>
      <c r="AR8" s="240">
        <f>IF(OR(AQ8="",AP8=0),"",AQ8/AP8)</f>
        <v/>
      </c>
    </row>
    <row r="9" ht="16" customHeight="1" s="176">
      <c r="A9" s="76" t="inlineStr">
        <is>
          <t>El Molle</t>
        </is>
      </c>
      <c r="B9" s="77" t="inlineStr">
        <is>
          <t>orogrande 8,11 ha</t>
        </is>
      </c>
      <c r="C9" s="78" t="inlineStr">
        <is>
          <t>Clementinas</t>
        </is>
      </c>
      <c r="D9" s="78" t="inlineStr">
        <is>
          <t>Orogrande</t>
        </is>
      </c>
      <c r="E9" s="76" t="inlineStr">
        <is>
          <t>Producción</t>
        </is>
      </c>
      <c r="F9" s="235" t="n">
        <v>7305.974063319707</v>
      </c>
      <c r="G9" s="236" t="n"/>
      <c r="H9" s="237">
        <f>IF(G9="","",IF(G9=0,"",G9-F9))</f>
        <v/>
      </c>
      <c r="I9" s="235" t="n">
        <v>44427.24628554197</v>
      </c>
      <c r="J9" s="236" t="n"/>
      <c r="K9" s="237">
        <f>IF(J9="","",IF(J9=0,"",J9-I9))</f>
        <v/>
      </c>
      <c r="L9" s="235" t="n">
        <v>13452.18261887526</v>
      </c>
      <c r="M9" s="236" t="n"/>
      <c r="N9" s="237">
        <f>IF(M9="","",IF(M9=0,"",M9-L9))</f>
        <v/>
      </c>
      <c r="O9" s="235" t="n">
        <v>7908.321785541929</v>
      </c>
      <c r="P9" s="236" t="n"/>
      <c r="Q9" s="237">
        <f>IF(P9="","",IF(P9=0,"",P9-O9))</f>
        <v/>
      </c>
      <c r="R9" s="235" t="n">
        <v>7486.28639665304</v>
      </c>
      <c r="S9" s="236" t="n"/>
      <c r="T9" s="237">
        <f>IF(S9="","",IF(S9=0,"",S9-R9))</f>
        <v/>
      </c>
      <c r="U9" s="235" t="n">
        <v>9091.784785541928</v>
      </c>
      <c r="V9" s="236" t="n"/>
      <c r="W9" s="237">
        <f>IF(V9="","",IF(V9=0,"",V9-U9))</f>
        <v/>
      </c>
      <c r="X9" s="235" t="n">
        <v>7606.494618875262</v>
      </c>
      <c r="Y9" s="236" t="n"/>
      <c r="Z9" s="237">
        <f>IF(Y9="","",IF(Y9=0,"",Y9-X9))</f>
        <v/>
      </c>
      <c r="AA9" s="235" t="n">
        <v>7919.754618875262</v>
      </c>
      <c r="AB9" s="236" t="n"/>
      <c r="AC9" s="237">
        <f>IF(AB9="","",IF(AB9=0,"",AB9-AA9))</f>
        <v/>
      </c>
      <c r="AD9" s="235" t="n">
        <v>8177.483674430818</v>
      </c>
      <c r="AE9" s="236" t="n"/>
      <c r="AF9" s="237">
        <f>IF(AE9="","",IF(AE9=0,"",AE9-AD9))</f>
        <v/>
      </c>
      <c r="AG9" s="235" t="n">
        <v>8051.733618875262</v>
      </c>
      <c r="AH9" s="236" t="n"/>
      <c r="AI9" s="237">
        <f>IF(AH9="","",IF(AH9=0,"",AH9-AG9))</f>
        <v/>
      </c>
      <c r="AJ9" s="235" t="n">
        <v>9589.93028554193</v>
      </c>
      <c r="AK9" s="236" t="n"/>
      <c r="AL9" s="237">
        <f>IF(AK9="","",IF(AK9=0,"",AK9-AJ9))</f>
        <v/>
      </c>
      <c r="AM9" s="235" t="n">
        <v>9422.357396653042</v>
      </c>
      <c r="AN9" s="236" t="n"/>
      <c r="AO9" s="237">
        <f>IF(AN9="","",IF(AN9=0,"",AN9-AM9))</f>
        <v/>
      </c>
      <c r="AP9" s="238">
        <f>F9+I9+L9+O9+R9+U9+X9+AA9+AD9+AG9+AJ9+AM9</f>
        <v/>
      </c>
      <c r="AQ9" s="239">
        <f>IF(SUM(G9+J9+M9+P9+S9+V9+Y9+AB9+AE9+AH9+AK9+AN9)=0,"",SUM(G9+J9+M9+P9+S9+V9+Y9+AB9+AE9+AH9+AK9+AN9))</f>
        <v/>
      </c>
      <c r="AR9" s="240">
        <f>IF(OR(AQ9="",AP9=0),"",AQ9/AP9)</f>
        <v/>
      </c>
    </row>
    <row r="10" ht="16" customHeight="1" s="176">
      <c r="A10" s="76" t="inlineStr">
        <is>
          <t>El Molle</t>
        </is>
      </c>
      <c r="B10" s="77" t="inlineStr">
        <is>
          <t>oronules 5,35 ha</t>
        </is>
      </c>
      <c r="C10" s="78" t="inlineStr">
        <is>
          <t>Clementinas</t>
        </is>
      </c>
      <c r="D10" s="78" t="inlineStr">
        <is>
          <t>Oronules</t>
        </is>
      </c>
      <c r="E10" s="76" t="inlineStr">
        <is>
          <t>Producción</t>
        </is>
      </c>
      <c r="F10" s="235" t="n">
        <v>25821.56092545336</v>
      </c>
      <c r="G10" s="236" t="n"/>
      <c r="H10" s="237">
        <f>IF(G10="","",IF(G10=0,"",G10-F10))</f>
        <v/>
      </c>
      <c r="I10" s="235" t="n">
        <v>4874.527592120067</v>
      </c>
      <c r="J10" s="236" t="n"/>
      <c r="K10" s="237">
        <f>IF(J10="","",IF(J10=0,"",J10-I10))</f>
        <v/>
      </c>
      <c r="L10" s="235" t="n">
        <v>7052.096481008957</v>
      </c>
      <c r="M10" s="236" t="n"/>
      <c r="N10" s="237">
        <f>IF(M10="","",IF(M10=0,"",M10-L10))</f>
        <v/>
      </c>
      <c r="O10" s="235" t="n">
        <v>5229.083981008956</v>
      </c>
      <c r="P10" s="236" t="n"/>
      <c r="Q10" s="237">
        <f>IF(P10="","",IF(P10=0,"",P10-O10))</f>
        <v/>
      </c>
      <c r="R10" s="235" t="n">
        <v>4950.675925453401</v>
      </c>
      <c r="S10" s="236" t="n"/>
      <c r="T10" s="237">
        <f>IF(S10="","",IF(S10=0,"",S10-R10))</f>
        <v/>
      </c>
      <c r="U10" s="235" t="n">
        <v>5570.270369897846</v>
      </c>
      <c r="V10" s="236" t="n"/>
      <c r="W10" s="237">
        <f>IF(V10="","",IF(V10=0,"",V10-U10))</f>
        <v/>
      </c>
      <c r="X10" s="235" t="n">
        <v>5144.405369897846</v>
      </c>
      <c r="Y10" s="236" t="n"/>
      <c r="Z10" s="237">
        <f>IF(Y10="","",IF(Y10=0,"",Y10-X10))</f>
        <v/>
      </c>
      <c r="AA10" s="235" t="n">
        <v>5253.07481434229</v>
      </c>
      <c r="AB10" s="236" t="n"/>
      <c r="AC10" s="237">
        <f>IF(AB10="","",IF(AB10=0,"",AB10-AA10))</f>
        <v/>
      </c>
      <c r="AD10" s="235" t="n">
        <v>5065.106481008957</v>
      </c>
      <c r="AE10" s="236" t="n"/>
      <c r="AF10" s="237">
        <f>IF(AE10="","",IF(AE10=0,"",AE10-AD10))</f>
        <v/>
      </c>
      <c r="AG10" s="235" t="n">
        <v>5323.68981434229</v>
      </c>
      <c r="AH10" s="236" t="n"/>
      <c r="AI10" s="237">
        <f>IF(AH10="","",IF(AH10=0,"",AH10-AG10))</f>
        <v/>
      </c>
      <c r="AJ10" s="235" t="n">
        <v>6452.837036564513</v>
      </c>
      <c r="AK10" s="236" t="n"/>
      <c r="AL10" s="237">
        <f>IF(AK10="","",IF(AK10=0,"",AK10-AJ10))</f>
        <v/>
      </c>
      <c r="AM10" s="235" t="n">
        <v>6244.310925453401</v>
      </c>
      <c r="AN10" s="236" t="n"/>
      <c r="AO10" s="237">
        <f>IF(AN10="","",IF(AN10=0,"",AN10-AM10))</f>
        <v/>
      </c>
      <c r="AP10" s="238">
        <f>F10+I10+L10+O10+R10+U10+X10+AA10+AD10+AG10+AJ10+AM10</f>
        <v/>
      </c>
      <c r="AQ10" s="239">
        <f>IF(SUM(G10+J10+M10+P10+S10+V10+Y10+AB10+AE10+AH10+AK10+AN10)=0,"",SUM(G10+J10+M10+P10+S10+V10+Y10+AB10+AE10+AH10+AK10+AN10))</f>
        <v/>
      </c>
      <c r="AR10" s="240">
        <f>IF(OR(AQ10="",AP10=0),"",AQ10/AP10)</f>
        <v/>
      </c>
    </row>
    <row r="11" ht="16" customHeight="1" s="176">
      <c r="A11" s="59" t="inlineStr">
        <is>
          <t>Santa Catalina</t>
        </is>
      </c>
      <c r="B11" s="66" t="inlineStr">
        <is>
          <t>Fino 49 7,7 ha</t>
        </is>
      </c>
      <c r="C11" s="67" t="inlineStr">
        <is>
          <t>Limon</t>
        </is>
      </c>
      <c r="D11" s="67" t="inlineStr">
        <is>
          <t>Fino 49</t>
        </is>
      </c>
      <c r="E11" s="59" t="inlineStr">
        <is>
          <t>Producción</t>
        </is>
      </c>
      <c r="F11" s="235" t="n">
        <v>15646.73449966679</v>
      </c>
      <c r="G11" s="236" t="n"/>
      <c r="H11" s="237">
        <f>IF(G11="","",IF(G11=0,"",G11-F11))</f>
        <v/>
      </c>
      <c r="I11" s="235" t="n">
        <v>21482.30783300012</v>
      </c>
      <c r="J11" s="236" t="n"/>
      <c r="K11" s="237">
        <f>IF(J11="","",IF(J11=0,"",J11-I11))</f>
        <v/>
      </c>
      <c r="L11" s="235" t="n">
        <v>19831.47061077789</v>
      </c>
      <c r="M11" s="236" t="n"/>
      <c r="N11" s="237">
        <f>IF(M11="","",IF(M11=0,"",M11-L11))</f>
        <v/>
      </c>
      <c r="O11" s="235" t="n">
        <v>16909.44894411124</v>
      </c>
      <c r="P11" s="236" t="n"/>
      <c r="Q11" s="237">
        <f>IF(P11="","",IF(P11=0,"",P11-O11))</f>
        <v/>
      </c>
      <c r="R11" s="235" t="n">
        <v>14855.85894411123</v>
      </c>
      <c r="S11" s="236" t="n"/>
      <c r="T11" s="237">
        <f>IF(S11="","",IF(S11=0,"",S11-R11))</f>
        <v/>
      </c>
      <c r="U11" s="235" t="n">
        <v>14766.64588855568</v>
      </c>
      <c r="V11" s="236" t="n"/>
      <c r="W11" s="237">
        <f>IF(V11="","",IF(V11=0,"",V11-U11))</f>
        <v/>
      </c>
      <c r="X11" s="235" t="n">
        <v>13685.28783300012</v>
      </c>
      <c r="Y11" s="236" t="n"/>
      <c r="Z11" s="237">
        <f>IF(Y11="","",IF(Y11=0,"",Y11-X11))</f>
        <v/>
      </c>
      <c r="AA11" s="235" t="n">
        <v>13866.75116633346</v>
      </c>
      <c r="AB11" s="236" t="n"/>
      <c r="AC11" s="237">
        <f>IF(AB11="","",IF(AB11=0,"",AB11-AA11))</f>
        <v/>
      </c>
      <c r="AD11" s="235" t="n">
        <v>13817.34283300012</v>
      </c>
      <c r="AE11" s="236" t="n"/>
      <c r="AF11" s="237">
        <f>IF(AE11="","",IF(AE11=0,"",AE11-AD11))</f>
        <v/>
      </c>
      <c r="AG11" s="235" t="n">
        <v>14386.97172188901</v>
      </c>
      <c r="AH11" s="236" t="n"/>
      <c r="AI11" s="237">
        <f>IF(AH11="","",IF(AH11=0,"",AH11-AG11))</f>
        <v/>
      </c>
      <c r="AJ11" s="235" t="n">
        <v>13745.49755522234</v>
      </c>
      <c r="AK11" s="236" t="n"/>
      <c r="AL11" s="237">
        <f>IF(AK11="","",IF(AK11=0,"",AK11-AJ11))</f>
        <v/>
      </c>
      <c r="AM11" s="235" t="n">
        <v>11587.38005522234</v>
      </c>
      <c r="AN11" s="236" t="n"/>
      <c r="AO11" s="237">
        <f>IF(AN11="","",IF(AN11=0,"",AN11-AM11))</f>
        <v/>
      </c>
      <c r="AP11" s="238">
        <f>F11+I11+L11+O11+R11+U11+X11+AA11+AD11+AG11+AJ11+AM11</f>
        <v/>
      </c>
      <c r="AQ11" s="239">
        <f>IF(SUM(G11+J11+M11+P11+S11+V11+Y11+AB11+AE11+AH11+AK11+AN11)=0,"",SUM(G11+J11+M11+P11+S11+V11+Y11+AB11+AE11+AH11+AK11+AN11))</f>
        <v/>
      </c>
      <c r="AR11" s="240">
        <f>IF(OR(AQ11="",AP11=0),"",AQ11/AP11)</f>
        <v/>
      </c>
    </row>
    <row r="12" ht="16" customHeight="1" s="176">
      <c r="A12" s="56" t="inlineStr">
        <is>
          <t>Santa Catalina</t>
        </is>
      </c>
      <c r="B12" s="74" t="inlineStr">
        <is>
          <t>W. murcott 21 ha</t>
        </is>
      </c>
      <c r="C12" s="75" t="inlineStr">
        <is>
          <t>Mandarina</t>
        </is>
      </c>
      <c r="D12" s="75" t="inlineStr">
        <is>
          <t>W. murcott</t>
        </is>
      </c>
      <c r="E12" s="56" t="inlineStr">
        <is>
          <t>Producción</t>
        </is>
      </c>
      <c r="F12" s="235" t="n">
        <v>25598.86227181851</v>
      </c>
      <c r="G12" s="236" t="n"/>
      <c r="H12" s="237">
        <f>IF(G12="","",IF(G12=0,"",G12-F12))</f>
        <v/>
      </c>
      <c r="I12" s="235" t="n">
        <v>25598.86227181851</v>
      </c>
      <c r="J12" s="236" t="n"/>
      <c r="K12" s="237">
        <f>IF(J12="","",IF(J12=0,"",J12-I12))</f>
        <v/>
      </c>
      <c r="L12" s="235" t="n">
        <v>87277.08727181851</v>
      </c>
      <c r="M12" s="236" t="n"/>
      <c r="N12" s="237">
        <f>IF(M12="","",IF(M12=0,"",M12-L12))</f>
        <v/>
      </c>
      <c r="O12" s="235" t="n">
        <v>88292.08727181851</v>
      </c>
      <c r="P12" s="236" t="n"/>
      <c r="Q12" s="237">
        <f>IF(P12="","",IF(P12=0,"",P12-O12))</f>
        <v/>
      </c>
      <c r="R12" s="235" t="n">
        <v>54069.26227181852</v>
      </c>
      <c r="S12" s="236" t="n"/>
      <c r="T12" s="237">
        <f>IF(S12="","",IF(S12=0,"",S12-R12))</f>
        <v/>
      </c>
      <c r="U12" s="235" t="n">
        <v>37694.42893848517</v>
      </c>
      <c r="V12" s="236" t="n"/>
      <c r="W12" s="237">
        <f>IF(V12="","",IF(V12=0,"",V12-U12))</f>
        <v/>
      </c>
      <c r="X12" s="235" t="n">
        <v>26826.19560515184</v>
      </c>
      <c r="Y12" s="236" t="n"/>
      <c r="Z12" s="237">
        <f>IF(Y12="","",IF(Y12=0,"",Y12-X12))</f>
        <v/>
      </c>
      <c r="AA12" s="235" t="n">
        <v>29445.86227181851</v>
      </c>
      <c r="AB12" s="236" t="n"/>
      <c r="AC12" s="237">
        <f>IF(AB12="","",IF(AB12=0,"",AB12-AA12))</f>
        <v/>
      </c>
      <c r="AD12" s="235" t="n">
        <v>26281.47893848518</v>
      </c>
      <c r="AE12" s="236" t="n"/>
      <c r="AF12" s="237">
        <f>IF(AE12="","",IF(AE12=0,"",AE12-AD12))</f>
        <v/>
      </c>
      <c r="AG12" s="235" t="n">
        <v>29630.97893848518</v>
      </c>
      <c r="AH12" s="236" t="n"/>
      <c r="AI12" s="237">
        <f>IF(AH12="","",IF(AH12=0,"",AH12-AG12))</f>
        <v/>
      </c>
      <c r="AJ12" s="235" t="n">
        <v>44179.3122718185</v>
      </c>
      <c r="AK12" s="236" t="n"/>
      <c r="AL12" s="237">
        <f>IF(AK12="","",IF(AK12=0,"",AK12-AJ12))</f>
        <v/>
      </c>
      <c r="AM12" s="235" t="n">
        <v>28045.16227181851</v>
      </c>
      <c r="AN12" s="236" t="n"/>
      <c r="AO12" s="237">
        <f>IF(AN12="","",IF(AN12=0,"",AN12-AM12))</f>
        <v/>
      </c>
      <c r="AP12" s="238">
        <f>F12+I12+L12+O12+R12+U12+X12+AA12+AD12+AG12+AJ12+AM12</f>
        <v/>
      </c>
      <c r="AQ12" s="239">
        <f>IF(SUM(G12+J12+M12+P12+S12+V12+Y12+AB12+AE12+AH12+AK12+AN12)=0,"",SUM(G12+J12+M12+P12+S12+V12+Y12+AB12+AE12+AH12+AK12+AN12))</f>
        <v/>
      </c>
      <c r="AR12" s="240">
        <f>IF(OR(AQ12="",AP12=0),"",AQ12/AP12)</f>
        <v/>
      </c>
    </row>
    <row r="13" ht="16" customHeight="1" s="176">
      <c r="A13" s="59" t="inlineStr">
        <is>
          <t>Santa Catalina</t>
        </is>
      </c>
      <c r="B13" s="66" t="inlineStr">
        <is>
          <t>cambria 4,2 ha</t>
        </is>
      </c>
      <c r="C13" s="67" t="inlineStr">
        <is>
          <t>Naranjas</t>
        </is>
      </c>
      <c r="D13" s="67" t="inlineStr">
        <is>
          <t>Cambria</t>
        </is>
      </c>
      <c r="E13" s="59" t="inlineStr">
        <is>
          <t>Mantención</t>
        </is>
      </c>
      <c r="F13" s="235" t="n">
        <v>3456.572497280501</v>
      </c>
      <c r="G13" s="236" t="n"/>
      <c r="H13" s="237">
        <f>IF(G13="","",IF(G13=0,"",G13-F13))</f>
        <v/>
      </c>
      <c r="I13" s="235" t="n">
        <v>3456.572497280501</v>
      </c>
      <c r="J13" s="236" t="n"/>
      <c r="K13" s="237">
        <f>IF(J13="","",IF(J13=0,"",J13-I13))</f>
        <v/>
      </c>
      <c r="L13" s="235" t="n">
        <v>3456.572497280501</v>
      </c>
      <c r="M13" s="236" t="n"/>
      <c r="N13" s="237">
        <f>IF(M13="","",IF(M13=0,"",M13-L13))</f>
        <v/>
      </c>
      <c r="O13" s="235" t="n">
        <v>3456.572497280501</v>
      </c>
      <c r="P13" s="236" t="n"/>
      <c r="Q13" s="237">
        <f>IF(P13="","",IF(P13=0,"",P13-O13))</f>
        <v/>
      </c>
      <c r="R13" s="235" t="n">
        <v>3456.572497280501</v>
      </c>
      <c r="S13" s="236" t="n"/>
      <c r="T13" s="237">
        <f>IF(S13="","",IF(S13=0,"",S13-R13))</f>
        <v/>
      </c>
      <c r="U13" s="235" t="n">
        <v>7228.289163947167</v>
      </c>
      <c r="V13" s="236" t="n"/>
      <c r="W13" s="237">
        <f>IF(V13="","",IF(V13=0,"",V13-U13))</f>
        <v/>
      </c>
      <c r="X13" s="235" t="n">
        <v>5977.459163947167</v>
      </c>
      <c r="Y13" s="236" t="n"/>
      <c r="Z13" s="237">
        <f>IF(Y13="","",IF(Y13=0,"",Y13-X13))</f>
        <v/>
      </c>
      <c r="AA13" s="235" t="n">
        <v>6117.072497280504</v>
      </c>
      <c r="AB13" s="236" t="n"/>
      <c r="AC13" s="237">
        <f>IF(AB13="","",IF(AB13=0,"",AB13-AA13))</f>
        <v/>
      </c>
      <c r="AD13" s="235" t="n">
        <v>3456.572497280501</v>
      </c>
      <c r="AE13" s="236" t="n"/>
      <c r="AF13" s="237">
        <f>IF(AE13="","",IF(AE13=0,"",AE13-AD13))</f>
        <v/>
      </c>
      <c r="AG13" s="235" t="n">
        <v>3647.905830613835</v>
      </c>
      <c r="AH13" s="236" t="n"/>
      <c r="AI13" s="237">
        <f>IF(AH13="","",IF(AH13=0,"",AH13-AG13))</f>
        <v/>
      </c>
      <c r="AJ13" s="235" t="n">
        <v>3546.405830613835</v>
      </c>
      <c r="AK13" s="236" t="n"/>
      <c r="AL13" s="237">
        <f>IF(AK13="","",IF(AK13=0,"",AK13-AJ13))</f>
        <v/>
      </c>
      <c r="AM13" s="235" t="n">
        <v>3606.405830613835</v>
      </c>
      <c r="AN13" s="236" t="n"/>
      <c r="AO13" s="237">
        <f>IF(AN13="","",IF(AN13=0,"",AN13-AM13))</f>
        <v/>
      </c>
      <c r="AP13" s="238">
        <f>F13+I13+L13+O13+R13+U13+X13+AA13+AD13+AG13+AJ13+AM13</f>
        <v/>
      </c>
      <c r="AQ13" s="239">
        <f>IF(SUM(G13+J13+M13+P13+S13+V13+Y13+AB13+AE13+AH13+AK13+AN13)=0,"",SUM(G13+J13+M13+P13+S13+V13+Y13+AB13+AE13+AH13+AK13+AN13))</f>
        <v/>
      </c>
      <c r="AR13" s="240">
        <f>IF(OR(AQ13="",AP13=0),"",AQ13/AP13)</f>
        <v/>
      </c>
    </row>
    <row r="14" ht="16" customHeight="1" s="176">
      <c r="A14" s="56" t="inlineStr">
        <is>
          <t>Santa Catalina</t>
        </is>
      </c>
      <c r="B14" s="74" t="inlineStr">
        <is>
          <t>eureka 10,6 ha</t>
        </is>
      </c>
      <c r="C14" s="75" t="inlineStr">
        <is>
          <t>Limon</t>
        </is>
      </c>
      <c r="D14" s="75" t="inlineStr">
        <is>
          <t>Eureka</t>
        </is>
      </c>
      <c r="E14" s="56" t="inlineStr">
        <is>
          <t>Producción</t>
        </is>
      </c>
      <c r="F14" s="235" t="n">
        <v>20558.57159117189</v>
      </c>
      <c r="G14" s="236" t="n"/>
      <c r="H14" s="237">
        <f>IF(G14="","",IF(G14=0,"",G14-F14))</f>
        <v/>
      </c>
      <c r="I14" s="235" t="n">
        <v>28591.95825783857</v>
      </c>
      <c r="J14" s="236" t="n"/>
      <c r="K14" s="237">
        <f>IF(J14="","",IF(J14=0,"",J14-I14))</f>
        <v/>
      </c>
      <c r="L14" s="235" t="n">
        <v>25877.062702283</v>
      </c>
      <c r="M14" s="236" t="n"/>
      <c r="N14" s="237">
        <f>IF(M14="","",IF(M14=0,"",M14-L14))</f>
        <v/>
      </c>
      <c r="O14" s="235" t="n">
        <v>22037.56603561634</v>
      </c>
      <c r="P14" s="236" t="n"/>
      <c r="Q14" s="237">
        <f>IF(P14="","",IF(P14=0,"",P14-O14))</f>
        <v/>
      </c>
      <c r="R14" s="235" t="n">
        <v>19469.83381339412</v>
      </c>
      <c r="S14" s="236" t="n"/>
      <c r="T14" s="237">
        <f>IF(S14="","",IF(S14=0,"",S14-R14))</f>
        <v/>
      </c>
      <c r="U14" s="235" t="n">
        <v>19859.35436894967</v>
      </c>
      <c r="V14" s="236" t="n"/>
      <c r="W14" s="237">
        <f>IF(V14="","",IF(V14=0,"",V14-U14))</f>
        <v/>
      </c>
      <c r="X14" s="235" t="n">
        <v>17858.39825783856</v>
      </c>
      <c r="Y14" s="236" t="n"/>
      <c r="Z14" s="237">
        <f>IF(Y14="","",IF(Y14=0,"",Y14-X14))</f>
        <v/>
      </c>
      <c r="AA14" s="235" t="n">
        <v>18620.53825783856</v>
      </c>
      <c r="AB14" s="236" t="n"/>
      <c r="AC14" s="237">
        <f>IF(AB14="","",IF(AB14=0,"",AB14-AA14))</f>
        <v/>
      </c>
      <c r="AD14" s="235" t="n">
        <v>18040.18825783856</v>
      </c>
      <c r="AE14" s="236" t="n"/>
      <c r="AF14" s="237">
        <f>IF(AE14="","",IF(AE14=0,"",AE14-AD14))</f>
        <v/>
      </c>
      <c r="AG14" s="235" t="n">
        <v>18824.35270228301</v>
      </c>
      <c r="AH14" s="236" t="n"/>
      <c r="AI14" s="237">
        <f>IF(AH14="","",IF(AH14=0,"",AH14-AG14))</f>
        <v/>
      </c>
      <c r="AJ14" s="235" t="n">
        <v>17941.28436894967</v>
      </c>
      <c r="AK14" s="236" t="n"/>
      <c r="AL14" s="237">
        <f>IF(AK14="","",IF(AK14=0,"",AK14-AJ14))</f>
        <v/>
      </c>
      <c r="AM14" s="235" t="n">
        <v>15482.702702283</v>
      </c>
      <c r="AN14" s="236" t="n"/>
      <c r="AO14" s="237">
        <f>IF(AN14="","",IF(AN14=0,"",AN14-AM14))</f>
        <v/>
      </c>
      <c r="AP14" s="238">
        <f>F14+I14+L14+O14+R14+U14+X14+AA14+AD14+AG14+AJ14+AM14</f>
        <v/>
      </c>
      <c r="AQ14" s="239">
        <f>IF(SUM(G14+J14+M14+P14+S14+V14+Y14+AB14+AE14+AH14+AK14+AN14)=0,"",SUM(G14+J14+M14+P14+S14+V14+Y14+AB14+AE14+AH14+AK14+AN14))</f>
        <v/>
      </c>
      <c r="AR14" s="240">
        <f>IF(OR(AQ14="",AP14=0),"",AQ14/AP14)</f>
        <v/>
      </c>
    </row>
    <row r="15" ht="16" customHeight="1" s="176">
      <c r="A15" s="59" t="inlineStr">
        <is>
          <t>Santa Catalina</t>
        </is>
      </c>
      <c r="B15" s="66" t="inlineStr">
        <is>
          <t>eureka 14,4 ha</t>
        </is>
      </c>
      <c r="C15" s="67" t="inlineStr">
        <is>
          <t>Limon</t>
        </is>
      </c>
      <c r="D15" s="67" t="inlineStr">
        <is>
          <t>Eureka</t>
        </is>
      </c>
      <c r="E15" s="59" t="inlineStr">
        <is>
          <t>Producción</t>
        </is>
      </c>
      <c r="F15" s="235" t="n">
        <v>27928.62555781841</v>
      </c>
      <c r="G15" s="236" t="n"/>
      <c r="H15" s="237">
        <f>IF(G15="","",IF(G15=0,"",G15-F15))</f>
        <v/>
      </c>
      <c r="I15" s="235" t="n">
        <v>38841.90555781841</v>
      </c>
      <c r="J15" s="236" t="n"/>
      <c r="K15" s="237">
        <f>IF(J15="","",IF(J15=0,"",J15-I15))</f>
        <v/>
      </c>
      <c r="L15" s="235" t="n">
        <v>35754.62555781841</v>
      </c>
      <c r="M15" s="236" t="n"/>
      <c r="N15" s="237">
        <f>IF(M15="","",IF(M15=0,"",M15-L15))</f>
        <v/>
      </c>
      <c r="O15" s="235" t="n">
        <v>30290.06555781841</v>
      </c>
      <c r="P15" s="236" t="n"/>
      <c r="Q15" s="237">
        <f>IF(P15="","",IF(P15=0,"",P15-O15))</f>
        <v/>
      </c>
      <c r="R15" s="235" t="n">
        <v>26449.58555781841</v>
      </c>
      <c r="S15" s="236" t="n"/>
      <c r="T15" s="237">
        <f>IF(S15="","",IF(S15=0,"",S15-R15))</f>
        <v/>
      </c>
      <c r="U15" s="235" t="n">
        <v>26978.74555781842</v>
      </c>
      <c r="V15" s="236" t="n"/>
      <c r="W15" s="237">
        <f>IF(V15="","",IF(V15=0,"",V15-U15))</f>
        <v/>
      </c>
      <c r="X15" s="235" t="n">
        <v>24260.46555781841</v>
      </c>
      <c r="Y15" s="236" t="n"/>
      <c r="Z15" s="237">
        <f>IF(Y15="","",IF(Y15=0,"",Y15-X15))</f>
        <v/>
      </c>
      <c r="AA15" s="235" t="n">
        <v>25295.82555781841</v>
      </c>
      <c r="AB15" s="236" t="n"/>
      <c r="AC15" s="237">
        <f>IF(AB15="","",IF(AB15=0,"",AB15-AA15))</f>
        <v/>
      </c>
      <c r="AD15" s="235" t="n">
        <v>24507.42555781841</v>
      </c>
      <c r="AE15" s="236" t="n"/>
      <c r="AF15" s="237">
        <f>IF(AE15="","",IF(AE15=0,"",AE15-AD15))</f>
        <v/>
      </c>
      <c r="AG15" s="235" t="n">
        <v>25572.70555781841</v>
      </c>
      <c r="AH15" s="236" t="n"/>
      <c r="AI15" s="237">
        <f>IF(AH15="","",IF(AH15=0,"",AH15-AG15))</f>
        <v/>
      </c>
      <c r="AJ15" s="235" t="n">
        <v>24373.06555781841</v>
      </c>
      <c r="AK15" s="236" t="n"/>
      <c r="AL15" s="237">
        <f>IF(AK15="","",IF(AK15=0,"",AK15-AJ15))</f>
        <v/>
      </c>
      <c r="AM15" s="235" t="n">
        <v>21033.10555781841</v>
      </c>
      <c r="AN15" s="236" t="n"/>
      <c r="AO15" s="237">
        <f>IF(AN15="","",IF(AN15=0,"",AN15-AM15))</f>
        <v/>
      </c>
      <c r="AP15" s="238">
        <f>F15+I15+L15+O15+R15+U15+X15+AA15+AD15+AG15+AJ15+AM15</f>
        <v/>
      </c>
      <c r="AQ15" s="239">
        <f>IF(SUM(G15+J15+M15+P15+S15+V15+Y15+AB15+AE15+AH15+AK15+AN15)=0,"",SUM(G15+J15+M15+P15+S15+V15+Y15+AB15+AE15+AH15+AK15+AN15))</f>
        <v/>
      </c>
      <c r="AR15" s="240">
        <f>IF(OR(AQ15="",AP15=0),"",AQ15/AP15)</f>
        <v/>
      </c>
    </row>
    <row r="16" ht="16" customHeight="1" s="176">
      <c r="A16" s="56" t="inlineStr">
        <is>
          <t>Santa Catalina</t>
        </is>
      </c>
      <c r="B16" s="74" t="inlineStr">
        <is>
          <t>eureka 22,55</t>
        </is>
      </c>
      <c r="C16" s="75" t="inlineStr">
        <is>
          <t>Limon</t>
        </is>
      </c>
      <c r="D16" s="75" t="inlineStr">
        <is>
          <t>Eureka</t>
        </is>
      </c>
      <c r="E16" s="56" t="inlineStr">
        <is>
          <t>Producción</t>
        </is>
      </c>
      <c r="F16" s="235" t="n">
        <v>43735.45182838925</v>
      </c>
      <c r="G16" s="236" t="n"/>
      <c r="H16" s="237">
        <f>IF(G16="","",IF(G16=0,"",G16-F16))</f>
        <v/>
      </c>
      <c r="I16" s="235" t="n">
        <v>60825.34516172255</v>
      </c>
      <c r="J16" s="236" t="n"/>
      <c r="K16" s="237">
        <f>IF(J16="","",IF(J16=0,"",J16-I16))</f>
        <v/>
      </c>
      <c r="L16" s="235" t="n">
        <v>55990.75043950033</v>
      </c>
      <c r="M16" s="236" t="n"/>
      <c r="N16" s="237">
        <f>IF(M16="","",IF(M16=0,"",M16-L16))</f>
        <v/>
      </c>
      <c r="O16" s="235" t="n">
        <v>47433.4012728337</v>
      </c>
      <c r="P16" s="236" t="n"/>
      <c r="Q16" s="237">
        <f>IF(P16="","",IF(P16=0,"",P16-O16))</f>
        <v/>
      </c>
      <c r="R16" s="235" t="n">
        <v>41419.31627283369</v>
      </c>
      <c r="S16" s="236" t="n"/>
      <c r="T16" s="237">
        <f>IF(S16="","",IF(S16=0,"",S16-R16))</f>
        <v/>
      </c>
      <c r="U16" s="235" t="n">
        <v>42247.96613394481</v>
      </c>
      <c r="V16" s="236" t="n"/>
      <c r="W16" s="237">
        <f>IF(V16="","",IF(V16=0,"",V16-U16))</f>
        <v/>
      </c>
      <c r="X16" s="235" t="n">
        <v>37991.21516172258</v>
      </c>
      <c r="Y16" s="236" t="n"/>
      <c r="Z16" s="237">
        <f>IF(Y16="","",IF(Y16=0,"",Y16-X16))</f>
        <v/>
      </c>
      <c r="AA16" s="235" t="n">
        <v>39612.56016172259</v>
      </c>
      <c r="AB16" s="236" t="n"/>
      <c r="AC16" s="237">
        <f>IF(AB16="","",IF(AB16=0,"",AB16-AA16))</f>
        <v/>
      </c>
      <c r="AD16" s="235" t="n">
        <v>38377.94766172257</v>
      </c>
      <c r="AE16" s="236" t="n"/>
      <c r="AF16" s="237">
        <f>IF(AE16="","",IF(AE16=0,"",AE16-AD16))</f>
        <v/>
      </c>
      <c r="AG16" s="235" t="n">
        <v>40046.14655061147</v>
      </c>
      <c r="AH16" s="236" t="n"/>
      <c r="AI16" s="237">
        <f>IF(AH16="","",IF(AH16=0,"",AH16-AG16))</f>
        <v/>
      </c>
      <c r="AJ16" s="235" t="n">
        <v>38167.54363394481</v>
      </c>
      <c r="AK16" s="236" t="n"/>
      <c r="AL16" s="237">
        <f>IF(AK16="","",IF(AK16=0,"",AK16-AJ16))</f>
        <v/>
      </c>
      <c r="AM16" s="235" t="n">
        <v>32937.25905061148</v>
      </c>
      <c r="AN16" s="236" t="n"/>
      <c r="AO16" s="237">
        <f>IF(AN16="","",IF(AN16=0,"",AN16-AM16))</f>
        <v/>
      </c>
      <c r="AP16" s="238">
        <f>F16+I16+L16+O16+R16+U16+X16+AA16+AD16+AG16+AJ16+AM16</f>
        <v/>
      </c>
      <c r="AQ16" s="239">
        <f>IF(SUM(G16+J16+M16+P16+S16+V16+Y16+AB16+AE16+AH16+AK16+AN16)=0,"",SUM(G16+J16+M16+P16+S16+V16+Y16+AB16+AE16+AH16+AK16+AN16))</f>
        <v/>
      </c>
      <c r="AR16" s="240">
        <f>IF(OR(AQ16="",AP16=0),"",AQ16/AP16)</f>
        <v/>
      </c>
    </row>
    <row r="17" ht="16" customHeight="1" s="176">
      <c r="A17" s="59" t="inlineStr">
        <is>
          <t>Santa Catalina</t>
        </is>
      </c>
      <c r="B17" s="66" t="inlineStr">
        <is>
          <t>form benjamin 1,93 ha</t>
        </is>
      </c>
      <c r="C17" s="67" t="inlineStr">
        <is>
          <t>Limon</t>
        </is>
      </c>
      <c r="D17" s="67" t="inlineStr">
        <is>
          <t>Benjamin andes</t>
        </is>
      </c>
      <c r="E17" s="59" t="inlineStr">
        <is>
          <t>Formación</t>
        </is>
      </c>
      <c r="F17" s="235" t="n">
        <v>1475.641582019887</v>
      </c>
      <c r="G17" s="236" t="n"/>
      <c r="H17" s="237">
        <f>IF(G17="","",IF(G17=0,"",G17-F17))</f>
        <v/>
      </c>
      <c r="I17" s="235" t="n">
        <v>1475.641582019887</v>
      </c>
      <c r="J17" s="236" t="n"/>
      <c r="K17" s="237">
        <f>IF(J17="","",IF(J17=0,"",J17-I17))</f>
        <v/>
      </c>
      <c r="L17" s="235" t="n">
        <v>1475.641582019887</v>
      </c>
      <c r="M17" s="236" t="n"/>
      <c r="N17" s="237">
        <f>IF(M17="","",IF(M17=0,"",M17-L17))</f>
        <v/>
      </c>
      <c r="O17" s="235" t="n">
        <v>1522.283248686554</v>
      </c>
      <c r="P17" s="236" t="n"/>
      <c r="Q17" s="237">
        <f>IF(P17="","",IF(P17=0,"",P17-O17))</f>
        <v/>
      </c>
      <c r="R17" s="235" t="n">
        <v>1636.603582019887</v>
      </c>
      <c r="S17" s="236" t="n"/>
      <c r="T17" s="237">
        <f>IF(S17="","",IF(S17=0,"",S17-R17))</f>
        <v/>
      </c>
      <c r="U17" s="235" t="n">
        <v>1748.50605424211</v>
      </c>
      <c r="V17" s="236" t="n"/>
      <c r="W17" s="237">
        <f>IF(V17="","",IF(V17=0,"",V17-U17))</f>
        <v/>
      </c>
      <c r="X17" s="235" t="n">
        <v>1561.63380424211</v>
      </c>
      <c r="Y17" s="236" t="n"/>
      <c r="Z17" s="237">
        <f>IF(Y17="","",IF(Y17=0,"",Y17-X17))</f>
        <v/>
      </c>
      <c r="AA17" s="235" t="n">
        <v>1656.847137575443</v>
      </c>
      <c r="AB17" s="236" t="n"/>
      <c r="AC17" s="237">
        <f>IF(AB17="","",IF(AB17=0,"",AB17-AA17))</f>
        <v/>
      </c>
      <c r="AD17" s="235" t="n">
        <v>1530.335637575443</v>
      </c>
      <c r="AE17" s="236" t="n"/>
      <c r="AF17" s="237">
        <f>IF(AE17="","",IF(AE17=0,"",AE17-AD17))</f>
        <v/>
      </c>
      <c r="AG17" s="235" t="n">
        <v>1711.11230424211</v>
      </c>
      <c r="AH17" s="236" t="n"/>
      <c r="AI17" s="237">
        <f>IF(AH17="","",IF(AH17=0,"",AH17-AG17))</f>
        <v/>
      </c>
      <c r="AJ17" s="235" t="n">
        <v>2176.419220908776</v>
      </c>
      <c r="AK17" s="236" t="n"/>
      <c r="AL17" s="237">
        <f>IF(AK17="","",IF(AK17=0,"",AK17-AJ17))</f>
        <v/>
      </c>
      <c r="AM17" s="235" t="n">
        <v>1656.847137575443</v>
      </c>
      <c r="AN17" s="236" t="n"/>
      <c r="AO17" s="237">
        <f>IF(AN17="","",IF(AN17=0,"",AN17-AM17))</f>
        <v/>
      </c>
      <c r="AP17" s="238">
        <f>F17+I17+L17+O17+R17+U17+X17+AA17+AD17+AG17+AJ17+AM17</f>
        <v/>
      </c>
      <c r="AQ17" s="239">
        <f>IF(SUM(G17+J17+M17+P17+S17+V17+Y17+AB17+AE17+AH17+AK17+AN17)=0,"",SUM(G17+J17+M17+P17+S17+V17+Y17+AB17+AE17+AH17+AK17+AN17))</f>
        <v/>
      </c>
      <c r="AR17" s="240">
        <f>IF(OR(AQ17="",AP17=0),"",AQ17/AP17)</f>
        <v/>
      </c>
    </row>
    <row r="18" ht="16" customHeight="1" s="176">
      <c r="A18" s="56" t="inlineStr">
        <is>
          <t>Santa Catalina</t>
        </is>
      </c>
      <c r="B18" s="74" t="inlineStr">
        <is>
          <t>mant eureka 2,5 ha</t>
        </is>
      </c>
      <c r="C18" s="75" t="inlineStr">
        <is>
          <t>Limon</t>
        </is>
      </c>
      <c r="D18" s="75" t="inlineStr">
        <is>
          <t>Eureka</t>
        </is>
      </c>
      <c r="E18" s="56" t="inlineStr">
        <is>
          <t>Mantención</t>
        </is>
      </c>
      <c r="F18" s="235" t="n">
        <v>1940.789020917548</v>
      </c>
      <c r="G18" s="236" t="n"/>
      <c r="H18" s="237">
        <f>IF(G18="","",IF(G18=0,"",G18-F18))</f>
        <v/>
      </c>
      <c r="I18" s="235" t="n">
        <v>1940.789020917548</v>
      </c>
      <c r="J18" s="236" t="n"/>
      <c r="K18" s="237">
        <f>IF(J18="","",IF(J18=0,"",J18-I18))</f>
        <v/>
      </c>
      <c r="L18" s="235" t="n">
        <v>1981.330687584215</v>
      </c>
      <c r="M18" s="236" t="n"/>
      <c r="N18" s="237">
        <f>IF(M18="","",IF(M18=0,"",M18-L18))</f>
        <v/>
      </c>
      <c r="O18" s="235" t="n">
        <v>2102.164020917548</v>
      </c>
      <c r="P18" s="236" t="n"/>
      <c r="Q18" s="237">
        <f>IF(P18="","",IF(P18=0,"",P18-O18))</f>
        <v/>
      </c>
      <c r="R18" s="235" t="n">
        <v>2114.539020917548</v>
      </c>
      <c r="S18" s="236" t="n"/>
      <c r="T18" s="237">
        <f>IF(S18="","",IF(S18=0,"",S18-R18))</f>
        <v/>
      </c>
      <c r="U18" s="235" t="n">
        <v>2145.601520917548</v>
      </c>
      <c r="V18" s="236" t="n"/>
      <c r="W18" s="237">
        <f>IF(V18="","",IF(V18=0,"",V18-U18))</f>
        <v/>
      </c>
      <c r="X18" s="235" t="n">
        <v>1998.705687584215</v>
      </c>
      <c r="Y18" s="236" t="n"/>
      <c r="Z18" s="237">
        <f>IF(Y18="","",IF(Y18=0,"",Y18-X18))</f>
        <v/>
      </c>
      <c r="AA18" s="235" t="n">
        <v>2061.622354250881</v>
      </c>
      <c r="AB18" s="236" t="n"/>
      <c r="AC18" s="237">
        <f>IF(AB18="","",IF(AB18=0,"",AB18-AA18))</f>
        <v/>
      </c>
      <c r="AD18" s="235" t="n">
        <v>1951.214020917549</v>
      </c>
      <c r="AE18" s="236" t="n"/>
      <c r="AF18" s="237">
        <f>IF(AE18="","",IF(AE18=0,"",AE18-AD18))</f>
        <v/>
      </c>
      <c r="AG18" s="235" t="n">
        <v>2245.797354250882</v>
      </c>
      <c r="AH18" s="236" t="n"/>
      <c r="AI18" s="237">
        <f>IF(AH18="","",IF(AH18=0,"",AH18-AG18))</f>
        <v/>
      </c>
      <c r="AJ18" s="235" t="n">
        <v>2788.109854250882</v>
      </c>
      <c r="AK18" s="236" t="n"/>
      <c r="AL18" s="237">
        <f>IF(AK18="","",IF(AK18=0,"",AK18-AJ18))</f>
        <v/>
      </c>
      <c r="AM18" s="235" t="n">
        <v>2061.622354250881</v>
      </c>
      <c r="AN18" s="236" t="n"/>
      <c r="AO18" s="237">
        <f>IF(AN18="","",IF(AN18=0,"",AN18-AM18))</f>
        <v/>
      </c>
      <c r="AP18" s="238">
        <f>F18+I18+L18+O18+R18+U18+X18+AA18+AD18+AG18+AJ18+AM18</f>
        <v/>
      </c>
      <c r="AQ18" s="239">
        <f>IF(SUM(G18+J18+M18+P18+S18+V18+Y18+AB18+AE18+AH18+AK18+AN18)=0,"",SUM(G18+J18+M18+P18+S18+V18+Y18+AB18+AE18+AH18+AK18+AN18))</f>
        <v/>
      </c>
      <c r="AR18" s="240">
        <f>IF(OR(AQ18="",AP18=0),"",AQ18/AP18)</f>
        <v/>
      </c>
    </row>
    <row r="19" ht="16" customHeight="1" s="176">
      <c r="A19" s="59" t="inlineStr">
        <is>
          <t>Siberia</t>
        </is>
      </c>
      <c r="B19" s="66" t="inlineStr">
        <is>
          <t>S. Celebration 7,14</t>
        </is>
      </c>
      <c r="C19" s="67" t="inlineStr">
        <is>
          <t>Uvas</t>
        </is>
      </c>
      <c r="D19" s="67" t="inlineStr">
        <is>
          <t>S. celebration</t>
        </is>
      </c>
      <c r="E19" s="59" t="inlineStr">
        <is>
          <t>Producción</t>
        </is>
      </c>
      <c r="F19" s="235" t="n">
        <v>7779.860614319849</v>
      </c>
      <c r="G19" s="236" t="n"/>
      <c r="H19" s="237">
        <f>IF(G19="","",IF(G19=0,"",G19-F19))</f>
        <v/>
      </c>
      <c r="I19" s="235" t="n">
        <v>7779.860614319849</v>
      </c>
      <c r="J19" s="236" t="n"/>
      <c r="K19" s="237">
        <f>IF(J19="","",IF(J19=0,"",J19-I19))</f>
        <v/>
      </c>
      <c r="L19" s="235" t="n">
        <v>15763.96728098652</v>
      </c>
      <c r="M19" s="236" t="n"/>
      <c r="N19" s="237">
        <f>IF(M19="","",IF(M19=0,"",M19-L19))</f>
        <v/>
      </c>
      <c r="O19" s="235" t="n">
        <v>10694.44728098652</v>
      </c>
      <c r="P19" s="236" t="n"/>
      <c r="Q19" s="237">
        <f>IF(P19="","",IF(P19=0,"",P19-O19))</f>
        <v/>
      </c>
      <c r="R19" s="235" t="n">
        <v>8124.960614319849</v>
      </c>
      <c r="S19" s="236" t="n"/>
      <c r="T19" s="237">
        <f>IF(S19="","",IF(S19=0,"",S19-R19))</f>
        <v/>
      </c>
      <c r="U19" s="235" t="n">
        <v>9455.556169875406</v>
      </c>
      <c r="V19" s="236" t="n"/>
      <c r="W19" s="237">
        <f>IF(V19="","",IF(V19=0,"",V19-U19))</f>
        <v/>
      </c>
      <c r="X19" s="235" t="n">
        <v>8958.016169875407</v>
      </c>
      <c r="Y19" s="236" t="n"/>
      <c r="Z19" s="237">
        <f>IF(Y19="","",IF(Y19=0,"",Y19-X19))</f>
        <v/>
      </c>
      <c r="AA19" s="235" t="n">
        <v>26572.64636613009</v>
      </c>
      <c r="AB19" s="236" t="n"/>
      <c r="AC19" s="237">
        <f>IF(AB19="","",IF(AB19=0,"",AB19-AA19))</f>
        <v/>
      </c>
      <c r="AD19" s="235" t="n">
        <v>9801.941705455927</v>
      </c>
      <c r="AE19" s="236" t="n"/>
      <c r="AF19" s="237">
        <f>IF(AE19="","",IF(AE19=0,"",AE19-AD19))</f>
        <v/>
      </c>
      <c r="AG19" s="235" t="n">
        <v>42771.22782530612</v>
      </c>
      <c r="AH19" s="236" t="n"/>
      <c r="AI19" s="237">
        <f>IF(AH19="","",IF(AH19=0,"",AH19-AG19))</f>
        <v/>
      </c>
      <c r="AJ19" s="235" t="n">
        <v>45514.47182530612</v>
      </c>
      <c r="AK19" s="236" t="n"/>
      <c r="AL19" s="237">
        <f>IF(AK19="","",IF(AK19=0,"",AK19-AJ19))</f>
        <v/>
      </c>
      <c r="AM19" s="235" t="n">
        <v>8050.500439538326</v>
      </c>
      <c r="AN19" s="236" t="n"/>
      <c r="AO19" s="237">
        <f>IF(AN19="","",IF(AN19=0,"",AN19-AM19))</f>
        <v/>
      </c>
      <c r="AP19" s="238">
        <f>F19+I19+L19+O19+R19+U19+X19+AA19+AD19+AG19+AJ19+AM19</f>
        <v/>
      </c>
      <c r="AQ19" s="239">
        <f>IF(SUM(G19+J19+M19+P19+S19+V19+Y19+AB19+AE19+AH19+AK19+AN19)=0,"",SUM(G19+J19+M19+P19+S19+V19+Y19+AB19+AE19+AH19+AK19+AN19))</f>
        <v/>
      </c>
      <c r="AR19" s="240">
        <f>IF(OR(AQ19="",AP19=0),"",AQ19/AP19)</f>
        <v/>
      </c>
    </row>
    <row r="20" ht="16" customHeight="1" s="176">
      <c r="A20" s="56" t="inlineStr">
        <is>
          <t>Siberia</t>
        </is>
      </c>
      <c r="B20" s="74" t="inlineStr">
        <is>
          <t>Timpson 7,1</t>
        </is>
      </c>
      <c r="C20" s="75" t="inlineStr">
        <is>
          <t>Uvas</t>
        </is>
      </c>
      <c r="D20" s="75" t="inlineStr">
        <is>
          <t>Timpson</t>
        </is>
      </c>
      <c r="E20" s="56" t="inlineStr">
        <is>
          <t>Producción</t>
        </is>
      </c>
      <c r="F20" s="235" t="n">
        <v>7503.523393324596</v>
      </c>
      <c r="G20" s="236" t="n"/>
      <c r="H20" s="237">
        <f>IF(G20="","",IF(G20=0,"",G20-F20))</f>
        <v/>
      </c>
      <c r="I20" s="235" t="n">
        <v>7503.523393324596</v>
      </c>
      <c r="J20" s="236" t="n"/>
      <c r="K20" s="237">
        <f>IF(J20="","",IF(J20=0,"",J20-I20))</f>
        <v/>
      </c>
      <c r="L20" s="235" t="n">
        <v>14953.39561554681</v>
      </c>
      <c r="M20" s="236" t="n"/>
      <c r="N20" s="237">
        <f>IF(M20="","",IF(M20=0,"",M20-L20))</f>
        <v/>
      </c>
      <c r="O20" s="235" t="n">
        <v>10229.55672665793</v>
      </c>
      <c r="P20" s="236" t="n"/>
      <c r="Q20" s="237">
        <f>IF(P20="","",IF(P20=0,"",P20-O20))</f>
        <v/>
      </c>
      <c r="R20" s="235" t="n">
        <v>7846.690059991263</v>
      </c>
      <c r="S20" s="236" t="n"/>
      <c r="T20" s="237">
        <f>IF(S20="","",IF(S20=0,"",S20-R20))</f>
        <v/>
      </c>
      <c r="U20" s="235" t="n">
        <v>9116.367837769039</v>
      </c>
      <c r="V20" s="236" t="n"/>
      <c r="W20" s="237">
        <f>IF(V20="","",IF(V20=0,"",V20-U20))</f>
        <v/>
      </c>
      <c r="X20" s="235" t="n">
        <v>8914.412282213485</v>
      </c>
      <c r="Y20" s="236" t="n"/>
      <c r="Z20" s="237">
        <f>IF(Y20="","",IF(Y20=0,"",Y20-X20))</f>
        <v/>
      </c>
      <c r="AA20" s="235" t="n">
        <v>27860.3718415144</v>
      </c>
      <c r="AB20" s="236" t="n"/>
      <c r="AC20" s="237">
        <f>IF(AB20="","",IF(AB20=0,"",AB20-AA20))</f>
        <v/>
      </c>
      <c r="AD20" s="235" t="n">
        <v>9691.158524410737</v>
      </c>
      <c r="AE20" s="236" t="n"/>
      <c r="AF20" s="237">
        <f>IF(AE20="","",IF(AE20=0,"",AE20-AD20))</f>
        <v/>
      </c>
      <c r="AG20" s="235" t="n">
        <v>42060.47773789388</v>
      </c>
      <c r="AH20" s="236" t="n"/>
      <c r="AI20" s="237">
        <f>IF(AH20="","",IF(AH20=0,"",AH20-AG20))</f>
        <v/>
      </c>
      <c r="AJ20" s="235" t="n">
        <v>35287.50996011611</v>
      </c>
      <c r="AK20" s="236" t="n"/>
      <c r="AL20" s="237">
        <f>IF(AK20="","",IF(AK20=0,"",AK20-AJ20))</f>
        <v/>
      </c>
      <c r="AM20" s="235" t="n">
        <v>7776.772456995007</v>
      </c>
      <c r="AN20" s="236" t="n"/>
      <c r="AO20" s="237">
        <f>IF(AN20="","",IF(AN20=0,"",AN20-AM20))</f>
        <v/>
      </c>
      <c r="AP20" s="238">
        <f>F20+I20+L20+O20+R20+U20+X20+AA20+AD20+AG20+AJ20+AM20</f>
        <v/>
      </c>
      <c r="AQ20" s="239">
        <f>IF(SUM(G20+J20+M20+P20+S20+V20+Y20+AB20+AE20+AH20+AK20+AN20)=0,"",SUM(G20+J20+M20+P20+S20+V20+Y20+AB20+AE20+AH20+AK20+AN20))</f>
        <v/>
      </c>
      <c r="AR20" s="240">
        <f>IF(OR(AQ20="",AP20=0),"",AQ20/AP20)</f>
        <v/>
      </c>
    </row>
    <row r="21" ht="20" customHeight="1" s="176">
      <c r="A21" s="197" t="inlineStr">
        <is>
          <t>TOTAL GENERAL</t>
        </is>
      </c>
      <c r="F21" s="241">
        <f>SUM(F5:F20)</f>
        <v/>
      </c>
      <c r="G21" s="241">
        <f>SUM(G5:G20)</f>
        <v/>
      </c>
      <c r="H21" s="242">
        <f>SUM(H5:H20)</f>
        <v/>
      </c>
      <c r="I21" s="241">
        <f>SUM(I5:I20)</f>
        <v/>
      </c>
      <c r="J21" s="241">
        <f>SUM(J5:J20)</f>
        <v/>
      </c>
      <c r="K21" s="242">
        <f>SUM(K5:K20)</f>
        <v/>
      </c>
      <c r="L21" s="241">
        <f>SUM(L5:L20)</f>
        <v/>
      </c>
      <c r="M21" s="241">
        <f>SUM(M5:M20)</f>
        <v/>
      </c>
      <c r="N21" s="242">
        <f>SUM(N5:N20)</f>
        <v/>
      </c>
      <c r="O21" s="241">
        <f>SUM(O5:O20)</f>
        <v/>
      </c>
      <c r="P21" s="241">
        <f>SUM(P5:P20)</f>
        <v/>
      </c>
      <c r="Q21" s="242">
        <f>SUM(Q5:Q20)</f>
        <v/>
      </c>
      <c r="R21" s="241">
        <f>SUM(R5:R20)</f>
        <v/>
      </c>
      <c r="S21" s="241">
        <f>SUM(S5:S20)</f>
        <v/>
      </c>
      <c r="T21" s="242">
        <f>SUM(T5:T20)</f>
        <v/>
      </c>
      <c r="U21" s="241">
        <f>SUM(U5:U20)</f>
        <v/>
      </c>
      <c r="V21" s="241">
        <f>SUM(V5:V20)</f>
        <v/>
      </c>
      <c r="W21" s="242">
        <f>SUM(W5:W20)</f>
        <v/>
      </c>
      <c r="X21" s="241">
        <f>SUM(X5:X20)</f>
        <v/>
      </c>
      <c r="Y21" s="241">
        <f>SUM(Y5:Y20)</f>
        <v/>
      </c>
      <c r="Z21" s="242">
        <f>SUM(Z5:Z20)</f>
        <v/>
      </c>
      <c r="AA21" s="241">
        <f>SUM(AA5:AA20)</f>
        <v/>
      </c>
      <c r="AB21" s="241">
        <f>SUM(AB5:AB20)</f>
        <v/>
      </c>
      <c r="AC21" s="242">
        <f>SUM(AC5:AC20)</f>
        <v/>
      </c>
      <c r="AD21" s="241">
        <f>SUM(AD5:AD20)</f>
        <v/>
      </c>
      <c r="AE21" s="241">
        <f>SUM(AE5:AE20)</f>
        <v/>
      </c>
      <c r="AF21" s="242">
        <f>SUM(AF5:AF20)</f>
        <v/>
      </c>
      <c r="AG21" s="241">
        <f>SUM(AG5:AG20)</f>
        <v/>
      </c>
      <c r="AH21" s="241">
        <f>SUM(AH5:AH20)</f>
        <v/>
      </c>
      <c r="AI21" s="242">
        <f>SUM(AI5:AI20)</f>
        <v/>
      </c>
      <c r="AJ21" s="241">
        <f>SUM(AJ5:AJ20)</f>
        <v/>
      </c>
      <c r="AK21" s="241">
        <f>SUM(AK5:AK20)</f>
        <v/>
      </c>
      <c r="AL21" s="242">
        <f>SUM(AL5:AL20)</f>
        <v/>
      </c>
      <c r="AM21" s="241">
        <f>SUM(AM5:AM20)</f>
        <v/>
      </c>
      <c r="AN21" s="241">
        <f>SUM(AN5:AN20)</f>
        <v/>
      </c>
      <c r="AO21" s="242">
        <f>SUM(AO5:AO20)</f>
        <v/>
      </c>
      <c r="AP21" s="241">
        <f>SUM(AP5:AP20)</f>
        <v/>
      </c>
      <c r="AQ21" s="241">
        <f>SUM(AQ5:AQ20)</f>
        <v/>
      </c>
      <c r="AR21" s="242">
        <f>SUM(AR5:AR20)</f>
        <v/>
      </c>
    </row>
  </sheetData>
  <mergeCells count="15">
    <mergeCell ref="A21:E21"/>
    <mergeCell ref="R3:T3"/>
    <mergeCell ref="U3:W3"/>
    <mergeCell ref="A1:AR1"/>
    <mergeCell ref="AD3:AF3"/>
    <mergeCell ref="AP3:AR3"/>
    <mergeCell ref="X3:Z3"/>
    <mergeCell ref="AG3:AI3"/>
    <mergeCell ref="AJ3:AL3"/>
    <mergeCell ref="I3:K3"/>
    <mergeCell ref="F3:H3"/>
    <mergeCell ref="L3:N3"/>
    <mergeCell ref="AA3:AC3"/>
    <mergeCell ref="O3:Q3"/>
    <mergeCell ref="AM3:AO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V103"/>
  <sheetViews>
    <sheetView showGridLines="0" topLeftCell="Y1" zoomScale="150" workbookViewId="0">
      <pane ySplit="3" topLeftCell="A4" activePane="bottomLeft" state="frozen"/>
      <selection pane="bottomLeft" activeCell="AJ5" sqref="AJ5"/>
    </sheetView>
  </sheetViews>
  <sheetFormatPr baseColWidth="10" defaultColWidth="8.83203125" defaultRowHeight="15"/>
  <cols>
    <col width="12" customWidth="1" style="176" min="1" max="5"/>
    <col width="16" customWidth="1" style="176" min="6" max="9"/>
    <col width="13" customWidth="1" style="176" min="10" max="12"/>
    <col width="3" customWidth="1" style="176" min="13" max="13"/>
    <col width="13" customWidth="1" style="176" min="14" max="20"/>
    <col width="3" customWidth="1" style="176" min="21" max="21"/>
    <col width="13" customWidth="1" style="176" min="22" max="25"/>
    <col width="3" customWidth="1" style="176" min="26" max="26"/>
    <col width="13" customWidth="1" style="176" min="27" max="30"/>
    <col width="3" customWidth="1" style="176" min="31" max="31"/>
    <col width="13" customWidth="1" style="176" min="32" max="35"/>
    <col width="3" customWidth="1" style="176" min="36" max="36"/>
    <col width="13" customWidth="1" style="176" min="37" max="42"/>
    <col width="3" customWidth="1" style="176" min="43" max="43"/>
    <col width="13" customWidth="1" style="176" min="44" max="48"/>
  </cols>
  <sheetData>
    <row r="1" ht="30" customHeight="1" s="176">
      <c r="A1" s="199" t="inlineStr">
        <is>
          <t>📦  BASE DE DATOS REMESAS — AGRÍCOLA MEGA  •  Temporada 2026/27</t>
        </is>
      </c>
    </row>
    <row r="2" ht="8" customHeight="1" s="176"/>
    <row r="3" ht="35" customHeight="1" s="176">
      <c r="A3" s="81" t="inlineStr">
        <is>
          <t>ID Remesa</t>
        </is>
      </c>
      <c r="B3" s="81" t="inlineStr">
        <is>
          <t>Semana Cosecha</t>
        </is>
      </c>
      <c r="C3" s="81" t="inlineStr">
        <is>
          <t>Semana Cobro C1</t>
        </is>
      </c>
      <c r="D3" s="81" t="inlineStr">
        <is>
          <t>Semana Cobro C2</t>
        </is>
      </c>
      <c r="E3" s="81" t="inlineStr">
        <is>
          <t>Semana Cobro C3</t>
        </is>
      </c>
      <c r="F3" s="81" t="inlineStr">
        <is>
          <t>Campo</t>
        </is>
      </c>
      <c r="G3" s="81" t="inlineStr">
        <is>
          <t>Centro de Costo</t>
        </is>
      </c>
      <c r="H3" s="81" t="inlineStr">
        <is>
          <t>Especie</t>
        </is>
      </c>
      <c r="I3" s="81" t="inlineStr">
        <is>
          <t>Variedad</t>
        </is>
      </c>
      <c r="J3" s="81" t="inlineStr">
        <is>
          <t>Canal</t>
        </is>
      </c>
      <c r="K3" s="81" t="inlineStr">
        <is>
          <t>Exportador</t>
        </is>
      </c>
      <c r="L3" s="81" t="inlineStr">
        <is>
          <t>Mercado</t>
        </is>
      </c>
      <c r="M3" s="82" t="inlineStr">
        <is>
          <t>── PRESUPUESTO ──</t>
        </is>
      </c>
      <c r="N3" s="62" t="inlineStr">
        <is>
          <t>Kg Ppto Mensual</t>
        </is>
      </c>
      <c r="O3" s="62" t="inlineStr">
        <is>
          <t>Kg Acum. Remesado</t>
        </is>
      </c>
      <c r="P3" s="62" t="inlineStr">
        <is>
          <t>Kg Esta Remesa</t>
        </is>
      </c>
      <c r="Q3" s="62" t="inlineStr">
        <is>
          <t>Saldo Ppto Kg</t>
        </is>
      </c>
      <c r="R3" s="62" t="inlineStr">
        <is>
          <t>Precio Ppto USD/kg</t>
        </is>
      </c>
      <c r="S3" s="62" t="inlineStr">
        <is>
          <t>TC Referencia</t>
        </is>
      </c>
      <c r="T3" s="62" t="inlineStr">
        <is>
          <t>Ingreso Ppto CLP</t>
        </is>
      </c>
      <c r="U3" s="82" t="inlineStr">
        <is>
          <t>── PROYECCIÓN ──</t>
        </is>
      </c>
      <c r="V3" s="63" t="inlineStr">
        <is>
          <t>Kg Proyectados</t>
        </is>
      </c>
      <c r="W3" s="63" t="inlineStr">
        <is>
          <t>Precio Est. USD/kg</t>
        </is>
      </c>
      <c r="X3" s="63" t="inlineStr">
        <is>
          <t>TC Semana</t>
        </is>
      </c>
      <c r="Y3" s="83" t="inlineStr">
        <is>
          <t>Ingreso Proyectado CLP</t>
        </is>
      </c>
      <c r="Z3" s="82" t="inlineStr">
        <is>
          <t>── C1 ANTICIPO 30% ──</t>
        </is>
      </c>
      <c r="AA3" s="83" t="inlineStr">
        <is>
          <t>Monto C1 Est.</t>
        </is>
      </c>
      <c r="AB3" s="83" t="inlineStr">
        <is>
          <t>Fecha Est. C1</t>
        </is>
      </c>
      <c r="AC3" s="83" t="inlineStr">
        <is>
          <t>Monto C1 Real</t>
        </is>
      </c>
      <c r="AD3" s="83" t="inlineStr">
        <is>
          <t>Fecha Real C1</t>
        </is>
      </c>
      <c r="AE3" s="82" t="inlineStr">
        <is>
          <t>── C2 SEGUNDO PAGO 30% ──</t>
        </is>
      </c>
      <c r="AF3" s="83" t="inlineStr">
        <is>
          <t>Monto C2 Est.</t>
        </is>
      </c>
      <c r="AG3" s="83" t="inlineStr">
        <is>
          <t>Fecha Est. C2</t>
        </is>
      </c>
      <c r="AH3" s="83" t="inlineStr">
        <is>
          <t>Monto C2 Real</t>
        </is>
      </c>
      <c r="AI3" s="83" t="inlineStr">
        <is>
          <t>Fecha Real C2</t>
        </is>
      </c>
      <c r="AJ3" s="82" t="inlineStr">
        <is>
          <t>── C3 LIQUIDACIÓN 40% ──</t>
        </is>
      </c>
      <c r="AK3" s="83" t="inlineStr">
        <is>
          <t>Monto C3 Est.</t>
        </is>
      </c>
      <c r="AL3" s="83" t="inlineStr">
        <is>
          <t>Fecha Est. C3</t>
        </is>
      </c>
      <c r="AM3" s="83" t="inlineStr">
        <is>
          <t>Precio Real USD/kg</t>
        </is>
      </c>
      <c r="AN3" s="83" t="inlineStr">
        <is>
          <t>TC Real</t>
        </is>
      </c>
      <c r="AO3" s="83" t="inlineStr">
        <is>
          <t>Monto C3 Real</t>
        </is>
      </c>
      <c r="AP3" s="83" t="inlineStr">
        <is>
          <t>Fecha Real C3</t>
        </is>
      </c>
      <c r="AQ3" s="82" t="inlineStr">
        <is>
          <t>── RESUMEN ──</t>
        </is>
      </c>
      <c r="AR3" s="83" t="inlineStr">
        <is>
          <t>Total Est. CLP</t>
        </is>
      </c>
      <c r="AS3" s="83" t="inlineStr">
        <is>
          <t>Total Real CLP</t>
        </is>
      </c>
      <c r="AT3" s="83" t="inlineStr">
        <is>
          <t>Desv. CLP</t>
        </is>
      </c>
      <c r="AU3" s="83" t="inlineStr">
        <is>
          <t>% Desv.</t>
        </is>
      </c>
      <c r="AV3" s="83" t="inlineStr">
        <is>
          <t>Estado</t>
        </is>
      </c>
    </row>
    <row r="4" ht="14" customHeight="1" s="176">
      <c r="A4" s="56" t="n"/>
      <c r="B4" s="56" t="n"/>
      <c r="C4" s="56" t="n"/>
      <c r="D4" s="56" t="n"/>
      <c r="E4" s="56" t="n"/>
      <c r="F4" s="56" t="n"/>
      <c r="G4" s="56" t="n"/>
      <c r="H4" s="56" t="n"/>
      <c r="I4" s="56" t="n"/>
      <c r="J4" s="56" t="n"/>
      <c r="K4" s="56" t="n"/>
      <c r="L4" s="56" t="n"/>
      <c r="M4" s="84" t="n"/>
      <c r="N4" s="85" t="n"/>
      <c r="O4" s="85" t="n"/>
      <c r="P4" s="85" t="n"/>
      <c r="Q4" s="85" t="n"/>
      <c r="R4" s="86" t="n"/>
      <c r="S4" s="87" t="n"/>
      <c r="T4" s="58" t="n"/>
      <c r="U4" s="84" t="n"/>
      <c r="V4" s="85" t="n"/>
      <c r="W4" s="86" t="n"/>
      <c r="X4" s="87" t="n"/>
      <c r="Y4" s="58" t="n"/>
      <c r="Z4" s="84" t="n"/>
      <c r="AA4" s="58" t="n"/>
      <c r="AB4" s="56" t="n"/>
      <c r="AC4" s="88" t="n"/>
      <c r="AD4" s="56" t="n"/>
      <c r="AE4" s="84" t="n"/>
      <c r="AF4" s="56" t="n"/>
      <c r="AG4" s="88" t="n"/>
      <c r="AH4" s="56" t="n"/>
      <c r="AI4" s="58" t="n"/>
      <c r="AJ4" s="84" t="n"/>
      <c r="AK4" s="89" t="n"/>
      <c r="AL4" s="88" t="n"/>
      <c r="AM4" s="88" t="n"/>
      <c r="AN4" s="56" t="n"/>
      <c r="AO4" s="90" t="n"/>
      <c r="AP4" s="90" t="n"/>
      <c r="AQ4" s="84" t="n"/>
      <c r="AR4" s="56" t="n"/>
      <c r="AS4" s="56" t="n"/>
      <c r="AT4" s="56" t="n"/>
      <c r="AU4" s="56" t="n"/>
      <c r="AV4" s="56" t="n"/>
    </row>
    <row r="5" ht="14" customHeight="1" s="176">
      <c r="A5" s="59" t="n"/>
      <c r="B5" s="59" t="n"/>
      <c r="C5" s="59" t="n"/>
      <c r="D5" s="59" t="n"/>
      <c r="E5" s="59" t="n"/>
      <c r="F5" s="59" t="n"/>
      <c r="G5" s="59" t="n"/>
      <c r="H5" s="59" t="n"/>
      <c r="I5" s="59" t="n"/>
      <c r="J5" s="59" t="n"/>
      <c r="K5" s="59" t="n"/>
      <c r="L5" s="59" t="n"/>
      <c r="M5" s="84" t="n"/>
      <c r="N5" s="85" t="n"/>
      <c r="O5" s="85" t="n"/>
      <c r="P5" s="85" t="n"/>
      <c r="Q5" s="85" t="n"/>
      <c r="R5" s="86" t="n"/>
      <c r="S5" s="87" t="n"/>
      <c r="T5" s="58" t="n"/>
      <c r="U5" s="84" t="n"/>
      <c r="V5" s="85" t="n"/>
      <c r="W5" s="86" t="n"/>
      <c r="X5" s="87" t="n"/>
      <c r="Y5" s="58" t="n"/>
      <c r="Z5" s="84" t="n"/>
      <c r="AA5" s="58" t="n"/>
      <c r="AB5" s="59" t="n"/>
      <c r="AC5" s="88" t="n"/>
      <c r="AD5" s="59" t="n"/>
      <c r="AE5" s="84" t="n"/>
      <c r="AF5" s="59" t="n"/>
      <c r="AG5" s="88" t="n"/>
      <c r="AH5" s="59" t="n"/>
      <c r="AI5" s="58" t="n"/>
      <c r="AJ5" s="84" t="n"/>
      <c r="AK5" s="89" t="n"/>
      <c r="AL5" s="88" t="n"/>
      <c r="AM5" s="88" t="n"/>
      <c r="AN5" s="59" t="n"/>
      <c r="AO5" s="90" t="n"/>
      <c r="AP5" s="90" t="n"/>
      <c r="AQ5" s="84" t="n"/>
      <c r="AR5" s="59" t="n"/>
      <c r="AS5" s="59" t="n"/>
      <c r="AT5" s="59" t="n"/>
      <c r="AU5" s="59" t="n"/>
      <c r="AV5" s="59" t="n"/>
    </row>
    <row r="6" ht="14" customHeight="1" s="176">
      <c r="A6" s="56" t="n"/>
      <c r="B6" s="56" t="n"/>
      <c r="C6" s="56" t="n"/>
      <c r="D6" s="56" t="n"/>
      <c r="E6" s="56" t="n"/>
      <c r="F6" s="56" t="n"/>
      <c r="G6" s="56" t="n"/>
      <c r="H6" s="56" t="n"/>
      <c r="I6" s="56" t="n"/>
      <c r="J6" s="56" t="n"/>
      <c r="K6" s="56" t="n"/>
      <c r="L6" s="56" t="n"/>
      <c r="M6" s="84" t="n"/>
      <c r="N6" s="85" t="n"/>
      <c r="O6" s="85" t="n"/>
      <c r="P6" s="85" t="n"/>
      <c r="Q6" s="85" t="n"/>
      <c r="R6" s="86" t="n"/>
      <c r="S6" s="87" t="n"/>
      <c r="T6" s="58" t="n"/>
      <c r="U6" s="84" t="n"/>
      <c r="V6" s="85" t="n"/>
      <c r="W6" s="86" t="n"/>
      <c r="X6" s="87" t="n"/>
      <c r="Y6" s="58" t="n"/>
      <c r="Z6" s="84" t="n"/>
      <c r="AA6" s="58" t="n"/>
      <c r="AB6" s="56" t="n"/>
      <c r="AC6" s="88" t="n"/>
      <c r="AD6" s="56" t="n"/>
      <c r="AE6" s="84" t="n"/>
      <c r="AF6" s="56" t="n"/>
      <c r="AG6" s="88" t="n"/>
      <c r="AH6" s="56" t="n"/>
      <c r="AI6" s="58" t="n"/>
      <c r="AJ6" s="84" t="n"/>
      <c r="AK6" s="89" t="n"/>
      <c r="AL6" s="88" t="n"/>
      <c r="AM6" s="88" t="n"/>
      <c r="AN6" s="56" t="n"/>
      <c r="AO6" s="90" t="n"/>
      <c r="AP6" s="90" t="n"/>
      <c r="AQ6" s="84" t="n"/>
      <c r="AR6" s="56" t="n"/>
      <c r="AS6" s="56" t="n"/>
      <c r="AT6" s="56" t="n"/>
      <c r="AU6" s="56" t="n"/>
      <c r="AV6" s="56" t="n"/>
    </row>
    <row r="7" ht="14" customHeight="1" s="176">
      <c r="A7" s="59" t="n"/>
      <c r="B7" s="59" t="n"/>
      <c r="C7" s="59" t="n"/>
      <c r="D7" s="59" t="n"/>
      <c r="E7" s="59" t="n"/>
      <c r="F7" s="59" t="n"/>
      <c r="G7" s="59" t="n"/>
      <c r="H7" s="59" t="n"/>
      <c r="I7" s="59" t="n"/>
      <c r="J7" s="59" t="n"/>
      <c r="K7" s="59" t="n"/>
      <c r="L7" s="59" t="n"/>
      <c r="M7" s="84" t="n"/>
      <c r="N7" s="85" t="n"/>
      <c r="O7" s="85" t="n"/>
      <c r="P7" s="85" t="n"/>
      <c r="Q7" s="85" t="n"/>
      <c r="R7" s="86" t="n"/>
      <c r="S7" s="87" t="n"/>
      <c r="T7" s="58" t="n"/>
      <c r="U7" s="84" t="n"/>
      <c r="V7" s="85" t="n"/>
      <c r="W7" s="86" t="n"/>
      <c r="X7" s="87" t="n"/>
      <c r="Y7" s="58" t="n"/>
      <c r="Z7" s="84" t="n"/>
      <c r="AA7" s="58" t="n"/>
      <c r="AB7" s="59" t="n"/>
      <c r="AC7" s="88" t="n"/>
      <c r="AD7" s="59" t="n"/>
      <c r="AE7" s="84" t="n"/>
      <c r="AF7" s="59" t="n"/>
      <c r="AG7" s="88" t="n"/>
      <c r="AH7" s="59" t="n"/>
      <c r="AI7" s="58" t="n"/>
      <c r="AJ7" s="84" t="n"/>
      <c r="AK7" s="89" t="n"/>
      <c r="AL7" s="88" t="n"/>
      <c r="AM7" s="88" t="n"/>
      <c r="AN7" s="59" t="n"/>
      <c r="AO7" s="90" t="n"/>
      <c r="AP7" s="90" t="n"/>
      <c r="AQ7" s="84" t="n"/>
      <c r="AR7" s="59" t="n"/>
      <c r="AS7" s="59" t="n"/>
      <c r="AT7" s="59" t="n"/>
      <c r="AU7" s="59" t="n"/>
      <c r="AV7" s="59" t="n"/>
    </row>
    <row r="8" ht="14" customHeight="1" s="176">
      <c r="A8" s="56" t="n"/>
      <c r="B8" s="56" t="n"/>
      <c r="C8" s="56" t="n"/>
      <c r="D8" s="56" t="n"/>
      <c r="E8" s="56" t="n"/>
      <c r="F8" s="56" t="n"/>
      <c r="G8" s="56" t="n"/>
      <c r="H8" s="56" t="n"/>
      <c r="I8" s="56" t="n"/>
      <c r="J8" s="56" t="n"/>
      <c r="K8" s="56" t="n"/>
      <c r="L8" s="56" t="n"/>
      <c r="M8" s="84" t="n"/>
      <c r="N8" s="85" t="n"/>
      <c r="O8" s="85" t="n"/>
      <c r="P8" s="85" t="n"/>
      <c r="Q8" s="85" t="n"/>
      <c r="R8" s="86" t="n"/>
      <c r="S8" s="87" t="n"/>
      <c r="T8" s="58" t="n"/>
      <c r="U8" s="84" t="n"/>
      <c r="V8" s="85" t="n"/>
      <c r="W8" s="86" t="n"/>
      <c r="X8" s="87" t="n"/>
      <c r="Y8" s="58" t="n"/>
      <c r="Z8" s="84" t="n"/>
      <c r="AA8" s="58" t="n"/>
      <c r="AB8" s="56" t="n"/>
      <c r="AC8" s="88" t="n"/>
      <c r="AD8" s="56" t="n"/>
      <c r="AE8" s="84" t="n"/>
      <c r="AF8" s="56" t="n"/>
      <c r="AG8" s="88" t="n"/>
      <c r="AH8" s="56" t="n"/>
      <c r="AI8" s="58" t="n"/>
      <c r="AJ8" s="84" t="n"/>
      <c r="AK8" s="89" t="n"/>
      <c r="AL8" s="88" t="n"/>
      <c r="AM8" s="88" t="n"/>
      <c r="AN8" s="56" t="n"/>
      <c r="AO8" s="90" t="n"/>
      <c r="AP8" s="90" t="n"/>
      <c r="AQ8" s="84" t="n"/>
      <c r="AR8" s="56" t="n"/>
      <c r="AS8" s="56" t="n"/>
      <c r="AT8" s="56" t="n"/>
      <c r="AU8" s="56" t="n"/>
      <c r="AV8" s="56" t="n"/>
    </row>
    <row r="9" ht="14" customHeight="1" s="176">
      <c r="A9" s="59" t="n"/>
      <c r="B9" s="59" t="n"/>
      <c r="C9" s="59" t="n"/>
      <c r="D9" s="59" t="n"/>
      <c r="E9" s="59" t="n"/>
      <c r="F9" s="59" t="n"/>
      <c r="G9" s="59" t="n"/>
      <c r="H9" s="59" t="n"/>
      <c r="I9" s="59" t="n"/>
      <c r="J9" s="59" t="n"/>
      <c r="K9" s="59" t="n"/>
      <c r="L9" s="59" t="n"/>
      <c r="M9" s="84" t="n"/>
      <c r="N9" s="85" t="n"/>
      <c r="O9" s="85" t="n"/>
      <c r="P9" s="85" t="n"/>
      <c r="Q9" s="85" t="n"/>
      <c r="R9" s="86" t="n"/>
      <c r="S9" s="87" t="n"/>
      <c r="T9" s="58" t="n"/>
      <c r="U9" s="84" t="n"/>
      <c r="V9" s="85" t="n"/>
      <c r="W9" s="86" t="n"/>
      <c r="X9" s="87" t="n"/>
      <c r="Y9" s="58" t="n"/>
      <c r="Z9" s="84" t="n"/>
      <c r="AA9" s="58" t="n"/>
      <c r="AB9" s="59" t="n"/>
      <c r="AC9" s="88" t="n"/>
      <c r="AD9" s="59" t="n"/>
      <c r="AE9" s="84" t="n"/>
      <c r="AF9" s="59" t="n"/>
      <c r="AG9" s="88" t="n"/>
      <c r="AH9" s="59" t="n"/>
      <c r="AI9" s="58" t="n"/>
      <c r="AJ9" s="84" t="n"/>
      <c r="AK9" s="89" t="n"/>
      <c r="AL9" s="88" t="n"/>
      <c r="AM9" s="88" t="n"/>
      <c r="AN9" s="59" t="n"/>
      <c r="AO9" s="90" t="n"/>
      <c r="AP9" s="90" t="n"/>
      <c r="AQ9" s="84" t="n"/>
      <c r="AR9" s="59" t="n"/>
      <c r="AS9" s="59" t="n"/>
      <c r="AT9" s="59" t="n"/>
      <c r="AU9" s="59" t="n"/>
      <c r="AV9" s="59" t="n"/>
    </row>
    <row r="10" ht="14" customHeight="1" s="176">
      <c r="A10" s="56" t="n"/>
      <c r="B10" s="56" t="n"/>
      <c r="C10" s="56" t="n"/>
      <c r="D10" s="56" t="n"/>
      <c r="E10" s="56" t="n"/>
      <c r="F10" s="56" t="n"/>
      <c r="G10" s="56" t="n"/>
      <c r="H10" s="56" t="n"/>
      <c r="I10" s="56" t="n"/>
      <c r="J10" s="56" t="n"/>
      <c r="K10" s="56" t="n"/>
      <c r="L10" s="56" t="n"/>
      <c r="M10" s="84" t="n"/>
      <c r="N10" s="85" t="n"/>
      <c r="O10" s="85" t="n"/>
      <c r="P10" s="85" t="n"/>
      <c r="Q10" s="85" t="n"/>
      <c r="R10" s="86" t="n"/>
      <c r="S10" s="87" t="n"/>
      <c r="T10" s="58" t="n"/>
      <c r="U10" s="84" t="n"/>
      <c r="V10" s="85" t="n"/>
      <c r="W10" s="86" t="n"/>
      <c r="X10" s="87" t="n"/>
      <c r="Y10" s="58" t="n"/>
      <c r="Z10" s="84" t="n"/>
      <c r="AA10" s="58" t="n"/>
      <c r="AB10" s="56" t="n"/>
      <c r="AC10" s="88" t="n"/>
      <c r="AD10" s="56" t="n"/>
      <c r="AE10" s="84" t="n"/>
      <c r="AF10" s="56" t="n"/>
      <c r="AG10" s="88" t="n"/>
      <c r="AH10" s="56" t="n"/>
      <c r="AI10" s="58" t="n"/>
      <c r="AJ10" s="84" t="n"/>
      <c r="AK10" s="89" t="n"/>
      <c r="AL10" s="88" t="n"/>
      <c r="AM10" s="88" t="n"/>
      <c r="AN10" s="56" t="n"/>
      <c r="AO10" s="90" t="n"/>
      <c r="AP10" s="90" t="n"/>
      <c r="AQ10" s="84" t="n"/>
      <c r="AR10" s="56" t="n"/>
      <c r="AS10" s="56" t="n"/>
      <c r="AT10" s="56" t="n"/>
      <c r="AU10" s="56" t="n"/>
      <c r="AV10" s="56" t="n"/>
    </row>
    <row r="11" ht="14" customHeight="1" s="176">
      <c r="A11" s="59" t="n"/>
      <c r="B11" s="59" t="n"/>
      <c r="C11" s="59" t="n"/>
      <c r="D11" s="59" t="n"/>
      <c r="E11" s="59" t="n"/>
      <c r="F11" s="59" t="n"/>
      <c r="G11" s="59" t="n"/>
      <c r="H11" s="59" t="n"/>
      <c r="I11" s="59" t="n"/>
      <c r="J11" s="59" t="n"/>
      <c r="K11" s="59" t="n"/>
      <c r="L11" s="59" t="n"/>
      <c r="M11" s="84" t="n"/>
      <c r="N11" s="85" t="n"/>
      <c r="O11" s="85" t="n"/>
      <c r="P11" s="85" t="n"/>
      <c r="Q11" s="85" t="n"/>
      <c r="R11" s="86" t="n"/>
      <c r="S11" s="87" t="n"/>
      <c r="T11" s="58" t="n"/>
      <c r="U11" s="84" t="n"/>
      <c r="V11" s="85" t="n"/>
      <c r="W11" s="86" t="n"/>
      <c r="X11" s="87" t="n"/>
      <c r="Y11" s="58" t="n"/>
      <c r="Z11" s="84" t="n"/>
      <c r="AA11" s="58" t="n"/>
      <c r="AB11" s="59" t="n"/>
      <c r="AC11" s="88" t="n"/>
      <c r="AD11" s="59" t="n"/>
      <c r="AE11" s="84" t="n"/>
      <c r="AF11" s="59" t="n"/>
      <c r="AG11" s="88" t="n"/>
      <c r="AH11" s="59" t="n"/>
      <c r="AI11" s="58" t="n"/>
      <c r="AJ11" s="84" t="n"/>
      <c r="AK11" s="89" t="n"/>
      <c r="AL11" s="88" t="n"/>
      <c r="AM11" s="88" t="n"/>
      <c r="AN11" s="59" t="n"/>
      <c r="AO11" s="90" t="n"/>
      <c r="AP11" s="90" t="n"/>
      <c r="AQ11" s="84" t="n"/>
      <c r="AR11" s="59" t="n"/>
      <c r="AS11" s="59" t="n"/>
      <c r="AT11" s="59" t="n"/>
      <c r="AU11" s="59" t="n"/>
      <c r="AV11" s="59" t="n"/>
    </row>
    <row r="12" ht="14" customHeight="1" s="176">
      <c r="A12" s="56" t="n"/>
      <c r="B12" s="56" t="n"/>
      <c r="C12" s="56" t="n"/>
      <c r="D12" s="56" t="n"/>
      <c r="E12" s="56" t="n"/>
      <c r="F12" s="56" t="n"/>
      <c r="G12" s="56" t="n"/>
      <c r="H12" s="56" t="n"/>
      <c r="I12" s="56" t="n"/>
      <c r="J12" s="56" t="n"/>
      <c r="K12" s="56" t="n"/>
      <c r="L12" s="56" t="n"/>
      <c r="M12" s="84" t="n"/>
      <c r="N12" s="85" t="n"/>
      <c r="O12" s="85" t="n"/>
      <c r="P12" s="85" t="n"/>
      <c r="Q12" s="85" t="n"/>
      <c r="R12" s="86" t="n"/>
      <c r="S12" s="87" t="n"/>
      <c r="T12" s="58" t="n"/>
      <c r="U12" s="84" t="n"/>
      <c r="V12" s="85" t="n"/>
      <c r="W12" s="86" t="n"/>
      <c r="X12" s="87" t="n"/>
      <c r="Y12" s="58" t="n"/>
      <c r="Z12" s="84" t="n"/>
      <c r="AA12" s="58" t="n"/>
      <c r="AB12" s="56" t="n"/>
      <c r="AC12" s="88" t="n"/>
      <c r="AD12" s="56" t="n"/>
      <c r="AE12" s="84" t="n"/>
      <c r="AF12" s="56" t="n"/>
      <c r="AG12" s="88" t="n"/>
      <c r="AH12" s="56" t="n"/>
      <c r="AI12" s="58" t="n"/>
      <c r="AJ12" s="84" t="n"/>
      <c r="AK12" s="89" t="n"/>
      <c r="AL12" s="88" t="n"/>
      <c r="AM12" s="88" t="n"/>
      <c r="AN12" s="56" t="n"/>
      <c r="AO12" s="90" t="n"/>
      <c r="AP12" s="90" t="n"/>
      <c r="AQ12" s="84" t="n"/>
      <c r="AR12" s="56" t="n"/>
      <c r="AS12" s="56" t="n"/>
      <c r="AT12" s="56" t="n"/>
      <c r="AU12" s="56" t="n"/>
      <c r="AV12" s="56" t="n"/>
    </row>
    <row r="13" ht="14" customHeight="1" s="176">
      <c r="A13" s="59" t="n"/>
      <c r="B13" s="59" t="n"/>
      <c r="C13" s="59" t="n"/>
      <c r="D13" s="59" t="n"/>
      <c r="E13" s="59" t="n"/>
      <c r="F13" s="59" t="n"/>
      <c r="G13" s="59" t="n"/>
      <c r="H13" s="59" t="n"/>
      <c r="I13" s="59" t="n"/>
      <c r="J13" s="59" t="n"/>
      <c r="K13" s="59" t="n"/>
      <c r="L13" s="59" t="n"/>
      <c r="M13" s="84" t="n"/>
      <c r="N13" s="85" t="n"/>
      <c r="O13" s="85" t="n"/>
      <c r="P13" s="85" t="n"/>
      <c r="Q13" s="85" t="n"/>
      <c r="R13" s="86" t="n"/>
      <c r="S13" s="87" t="n"/>
      <c r="T13" s="58" t="n"/>
      <c r="U13" s="84" t="n"/>
      <c r="V13" s="85" t="n"/>
      <c r="W13" s="86" t="n"/>
      <c r="X13" s="87" t="n"/>
      <c r="Y13" s="58" t="n"/>
      <c r="Z13" s="84" t="n"/>
      <c r="AA13" s="58" t="n"/>
      <c r="AB13" s="59" t="n"/>
      <c r="AC13" s="88" t="n"/>
      <c r="AD13" s="59" t="n"/>
      <c r="AE13" s="84" t="n"/>
      <c r="AF13" s="59" t="n"/>
      <c r="AG13" s="88" t="n"/>
      <c r="AH13" s="59" t="n"/>
      <c r="AI13" s="58" t="n"/>
      <c r="AJ13" s="84" t="n"/>
      <c r="AK13" s="89" t="n"/>
      <c r="AL13" s="88" t="n"/>
      <c r="AM13" s="88" t="n"/>
      <c r="AN13" s="59" t="n"/>
      <c r="AO13" s="90" t="n"/>
      <c r="AP13" s="90" t="n"/>
      <c r="AQ13" s="84" t="n"/>
      <c r="AR13" s="59" t="n"/>
      <c r="AS13" s="59" t="n"/>
      <c r="AT13" s="59" t="n"/>
      <c r="AU13" s="59" t="n"/>
      <c r="AV13" s="59" t="n"/>
    </row>
    <row r="14" ht="14" customHeight="1" s="176">
      <c r="A14" s="56" t="n"/>
      <c r="B14" s="56" t="n"/>
      <c r="C14" s="56" t="n"/>
      <c r="D14" s="56" t="n"/>
      <c r="E14" s="56" t="n"/>
      <c r="F14" s="56" t="n"/>
      <c r="G14" s="56" t="n"/>
      <c r="H14" s="56" t="n"/>
      <c r="I14" s="56" t="n"/>
      <c r="J14" s="56" t="n"/>
      <c r="K14" s="56" t="n"/>
      <c r="L14" s="56" t="n"/>
      <c r="M14" s="84" t="n"/>
      <c r="N14" s="85" t="n"/>
      <c r="O14" s="85" t="n"/>
      <c r="P14" s="85" t="n"/>
      <c r="Q14" s="85" t="n"/>
      <c r="R14" s="86" t="n"/>
      <c r="S14" s="87" t="n"/>
      <c r="T14" s="58" t="n"/>
      <c r="U14" s="84" t="n"/>
      <c r="V14" s="85" t="n"/>
      <c r="W14" s="86" t="n"/>
      <c r="X14" s="87" t="n"/>
      <c r="Y14" s="58" t="n"/>
      <c r="Z14" s="84" t="n"/>
      <c r="AA14" s="58" t="n"/>
      <c r="AB14" s="56" t="n"/>
      <c r="AC14" s="88" t="n"/>
      <c r="AD14" s="56" t="n"/>
      <c r="AE14" s="84" t="n"/>
      <c r="AF14" s="56" t="n"/>
      <c r="AG14" s="88" t="n"/>
      <c r="AH14" s="56" t="n"/>
      <c r="AI14" s="58" t="n"/>
      <c r="AJ14" s="84" t="n"/>
      <c r="AK14" s="89" t="n"/>
      <c r="AL14" s="88" t="n"/>
      <c r="AM14" s="88" t="n"/>
      <c r="AN14" s="56" t="n"/>
      <c r="AO14" s="90" t="n"/>
      <c r="AP14" s="90" t="n"/>
      <c r="AQ14" s="84" t="n"/>
      <c r="AR14" s="56" t="n"/>
      <c r="AS14" s="56" t="n"/>
      <c r="AT14" s="56" t="n"/>
      <c r="AU14" s="56" t="n"/>
      <c r="AV14" s="56" t="n"/>
    </row>
    <row r="15" ht="14" customHeight="1" s="176">
      <c r="A15" s="59" t="n"/>
      <c r="B15" s="59" t="n"/>
      <c r="C15" s="59" t="n"/>
      <c r="D15" s="59" t="n"/>
      <c r="E15" s="59" t="n"/>
      <c r="F15" s="59" t="n"/>
      <c r="G15" s="59" t="n"/>
      <c r="H15" s="59" t="n"/>
      <c r="I15" s="59" t="n"/>
      <c r="J15" s="59" t="n"/>
      <c r="K15" s="59" t="n"/>
      <c r="L15" s="59" t="n"/>
      <c r="M15" s="84" t="n"/>
      <c r="N15" s="85" t="n"/>
      <c r="O15" s="85" t="n"/>
      <c r="P15" s="85" t="n"/>
      <c r="Q15" s="85" t="n"/>
      <c r="R15" s="86" t="n"/>
      <c r="S15" s="87" t="n"/>
      <c r="T15" s="58" t="n"/>
      <c r="U15" s="84" t="n"/>
      <c r="V15" s="85" t="n"/>
      <c r="W15" s="86" t="n"/>
      <c r="X15" s="87" t="n"/>
      <c r="Y15" s="58" t="n"/>
      <c r="Z15" s="84" t="n"/>
      <c r="AA15" s="58" t="n"/>
      <c r="AB15" s="59" t="n"/>
      <c r="AC15" s="88" t="n"/>
      <c r="AD15" s="59" t="n"/>
      <c r="AE15" s="84" t="n"/>
      <c r="AF15" s="59" t="n"/>
      <c r="AG15" s="88" t="n"/>
      <c r="AH15" s="59" t="n"/>
      <c r="AI15" s="58" t="n"/>
      <c r="AJ15" s="84" t="n"/>
      <c r="AK15" s="89" t="n"/>
      <c r="AL15" s="88" t="n"/>
      <c r="AM15" s="88" t="n"/>
      <c r="AN15" s="59" t="n"/>
      <c r="AO15" s="90" t="n"/>
      <c r="AP15" s="90" t="n"/>
      <c r="AQ15" s="84" t="n"/>
      <c r="AR15" s="59" t="n"/>
      <c r="AS15" s="59" t="n"/>
      <c r="AT15" s="59" t="n"/>
      <c r="AU15" s="59" t="n"/>
      <c r="AV15" s="59" t="n"/>
    </row>
    <row r="16" ht="14" customHeight="1" s="176">
      <c r="A16" s="56" t="n"/>
      <c r="B16" s="56" t="n"/>
      <c r="C16" s="56" t="n"/>
      <c r="D16" s="56" t="n"/>
      <c r="E16" s="56" t="n"/>
      <c r="F16" s="56" t="n"/>
      <c r="G16" s="56" t="n"/>
      <c r="H16" s="56" t="n"/>
      <c r="I16" s="56" t="n"/>
      <c r="J16" s="56" t="n"/>
      <c r="K16" s="56" t="n"/>
      <c r="L16" s="56" t="n"/>
      <c r="M16" s="84" t="n"/>
      <c r="N16" s="85" t="n"/>
      <c r="O16" s="85" t="n"/>
      <c r="P16" s="85" t="n"/>
      <c r="Q16" s="85" t="n"/>
      <c r="R16" s="86" t="n"/>
      <c r="S16" s="87" t="n"/>
      <c r="T16" s="58" t="n"/>
      <c r="U16" s="84" t="n"/>
      <c r="V16" s="85" t="n"/>
      <c r="W16" s="86" t="n"/>
      <c r="X16" s="87" t="n"/>
      <c r="Y16" s="58" t="n"/>
      <c r="Z16" s="84" t="n"/>
      <c r="AA16" s="58" t="n"/>
      <c r="AB16" s="56" t="n"/>
      <c r="AC16" s="88" t="n"/>
      <c r="AD16" s="56" t="n"/>
      <c r="AE16" s="84" t="n"/>
      <c r="AF16" s="56" t="n"/>
      <c r="AG16" s="88" t="n"/>
      <c r="AH16" s="56" t="n"/>
      <c r="AI16" s="58" t="n"/>
      <c r="AJ16" s="84" t="n"/>
      <c r="AK16" s="89" t="n"/>
      <c r="AL16" s="88" t="n"/>
      <c r="AM16" s="88" t="n"/>
      <c r="AN16" s="56" t="n"/>
      <c r="AO16" s="90" t="n"/>
      <c r="AP16" s="90" t="n"/>
      <c r="AQ16" s="84" t="n"/>
      <c r="AR16" s="56" t="n"/>
      <c r="AS16" s="56" t="n"/>
      <c r="AT16" s="56" t="n"/>
      <c r="AU16" s="56" t="n"/>
      <c r="AV16" s="56" t="n"/>
    </row>
    <row r="17" ht="14" customHeight="1" s="176">
      <c r="A17" s="59" t="n"/>
      <c r="B17" s="59" t="n"/>
      <c r="C17" s="59" t="n"/>
      <c r="D17" s="59" t="n"/>
      <c r="E17" s="59" t="n"/>
      <c r="F17" s="59" t="n"/>
      <c r="G17" s="59" t="n"/>
      <c r="H17" s="59" t="n"/>
      <c r="I17" s="59" t="n"/>
      <c r="J17" s="59" t="n"/>
      <c r="K17" s="59" t="n"/>
      <c r="L17" s="59" t="n"/>
      <c r="M17" s="84" t="n"/>
      <c r="N17" s="85" t="n"/>
      <c r="O17" s="85" t="n"/>
      <c r="P17" s="85" t="n"/>
      <c r="Q17" s="85" t="n"/>
      <c r="R17" s="86" t="n"/>
      <c r="S17" s="87" t="n"/>
      <c r="T17" s="58" t="n"/>
      <c r="U17" s="84" t="n"/>
      <c r="V17" s="85" t="n"/>
      <c r="W17" s="86" t="n"/>
      <c r="X17" s="87" t="n"/>
      <c r="Y17" s="58" t="n"/>
      <c r="Z17" s="84" t="n"/>
      <c r="AA17" s="58" t="n"/>
      <c r="AB17" s="59" t="n"/>
      <c r="AC17" s="88" t="n"/>
      <c r="AD17" s="59" t="n"/>
      <c r="AE17" s="84" t="n"/>
      <c r="AF17" s="59" t="n"/>
      <c r="AG17" s="88" t="n"/>
      <c r="AH17" s="59" t="n"/>
      <c r="AI17" s="58" t="n"/>
      <c r="AJ17" s="84" t="n"/>
      <c r="AK17" s="89" t="n"/>
      <c r="AL17" s="88" t="n"/>
      <c r="AM17" s="88" t="n"/>
      <c r="AN17" s="59" t="n"/>
      <c r="AO17" s="90" t="n"/>
      <c r="AP17" s="90" t="n"/>
      <c r="AQ17" s="84" t="n"/>
      <c r="AR17" s="59" t="n"/>
      <c r="AS17" s="59" t="n"/>
      <c r="AT17" s="59" t="n"/>
      <c r="AU17" s="59" t="n"/>
      <c r="AV17" s="59" t="n"/>
    </row>
    <row r="18" ht="14" customHeight="1" s="176">
      <c r="A18" s="56" t="n"/>
      <c r="B18" s="56" t="n"/>
      <c r="C18" s="56" t="n"/>
      <c r="D18" s="56" t="n"/>
      <c r="E18" s="56" t="n"/>
      <c r="F18" s="56" t="n"/>
      <c r="G18" s="56" t="n"/>
      <c r="H18" s="56" t="n"/>
      <c r="I18" s="56" t="n"/>
      <c r="J18" s="56" t="n"/>
      <c r="K18" s="56" t="n"/>
      <c r="L18" s="56" t="n"/>
      <c r="M18" s="84" t="n"/>
      <c r="N18" s="85" t="n"/>
      <c r="O18" s="85" t="n"/>
      <c r="P18" s="85" t="n"/>
      <c r="Q18" s="85" t="n"/>
      <c r="R18" s="86" t="n"/>
      <c r="S18" s="87" t="n"/>
      <c r="T18" s="58" t="n"/>
      <c r="U18" s="84" t="n"/>
      <c r="V18" s="85" t="n"/>
      <c r="W18" s="86" t="n"/>
      <c r="X18" s="87" t="n"/>
      <c r="Y18" s="58" t="n"/>
      <c r="Z18" s="84" t="n"/>
      <c r="AA18" s="58" t="n"/>
      <c r="AB18" s="56" t="n"/>
      <c r="AC18" s="88" t="n"/>
      <c r="AD18" s="56" t="n"/>
      <c r="AE18" s="84" t="n"/>
      <c r="AF18" s="56" t="n"/>
      <c r="AG18" s="88" t="n"/>
      <c r="AH18" s="56" t="n"/>
      <c r="AI18" s="58" t="n"/>
      <c r="AJ18" s="84" t="n"/>
      <c r="AK18" s="89" t="n"/>
      <c r="AL18" s="88" t="n"/>
      <c r="AM18" s="88" t="n"/>
      <c r="AN18" s="56" t="n"/>
      <c r="AO18" s="90" t="n"/>
      <c r="AP18" s="90" t="n"/>
      <c r="AQ18" s="84" t="n"/>
      <c r="AR18" s="56" t="n"/>
      <c r="AS18" s="56" t="n"/>
      <c r="AT18" s="56" t="n"/>
      <c r="AU18" s="56" t="n"/>
      <c r="AV18" s="56" t="n"/>
    </row>
    <row r="19" ht="14" customHeight="1" s="176">
      <c r="A19" s="59" t="n"/>
      <c r="B19" s="59" t="n"/>
      <c r="C19" s="59" t="n"/>
      <c r="D19" s="59" t="n"/>
      <c r="E19" s="59" t="n"/>
      <c r="F19" s="59" t="n"/>
      <c r="G19" s="59" t="n"/>
      <c r="H19" s="59" t="n"/>
      <c r="I19" s="59" t="n"/>
      <c r="J19" s="59" t="n"/>
      <c r="K19" s="59" t="n"/>
      <c r="L19" s="59" t="n"/>
      <c r="M19" s="84" t="n"/>
      <c r="N19" s="85" t="n"/>
      <c r="O19" s="85" t="n"/>
      <c r="P19" s="85" t="n"/>
      <c r="Q19" s="85" t="n"/>
      <c r="R19" s="86" t="n"/>
      <c r="S19" s="87" t="n"/>
      <c r="T19" s="58" t="n"/>
      <c r="U19" s="84" t="n"/>
      <c r="V19" s="85" t="n"/>
      <c r="W19" s="86" t="n"/>
      <c r="X19" s="87" t="n"/>
      <c r="Y19" s="58" t="n"/>
      <c r="Z19" s="84" t="n"/>
      <c r="AA19" s="58" t="n"/>
      <c r="AB19" s="59" t="n"/>
      <c r="AC19" s="88" t="n"/>
      <c r="AD19" s="59" t="n"/>
      <c r="AE19" s="84" t="n"/>
      <c r="AF19" s="59" t="n"/>
      <c r="AG19" s="88" t="n"/>
      <c r="AH19" s="59" t="n"/>
      <c r="AI19" s="58" t="n"/>
      <c r="AJ19" s="84" t="n"/>
      <c r="AK19" s="89" t="n"/>
      <c r="AL19" s="88" t="n"/>
      <c r="AM19" s="88" t="n"/>
      <c r="AN19" s="59" t="n"/>
      <c r="AO19" s="90" t="n"/>
      <c r="AP19" s="90" t="n"/>
      <c r="AQ19" s="84" t="n"/>
      <c r="AR19" s="59" t="n"/>
      <c r="AS19" s="59" t="n"/>
      <c r="AT19" s="59" t="n"/>
      <c r="AU19" s="59" t="n"/>
      <c r="AV19" s="59" t="n"/>
    </row>
    <row r="20" ht="14" customHeight="1" s="176">
      <c r="A20" s="56" t="n"/>
      <c r="B20" s="56" t="n"/>
      <c r="C20" s="56" t="n"/>
      <c r="D20" s="56" t="n"/>
      <c r="E20" s="56" t="n"/>
      <c r="F20" s="56" t="n"/>
      <c r="G20" s="56" t="n"/>
      <c r="H20" s="56" t="n"/>
      <c r="I20" s="56" t="n"/>
      <c r="J20" s="56" t="n"/>
      <c r="K20" s="56" t="n"/>
      <c r="L20" s="56" t="n"/>
      <c r="M20" s="84" t="n"/>
      <c r="N20" s="85" t="n"/>
      <c r="O20" s="85" t="n"/>
      <c r="P20" s="85" t="n"/>
      <c r="Q20" s="85" t="n"/>
      <c r="R20" s="86" t="n"/>
      <c r="S20" s="87" t="n"/>
      <c r="T20" s="58" t="n"/>
      <c r="U20" s="84" t="n"/>
      <c r="V20" s="85" t="n"/>
      <c r="W20" s="86" t="n"/>
      <c r="X20" s="87" t="n"/>
      <c r="Y20" s="58" t="n"/>
      <c r="Z20" s="84" t="n"/>
      <c r="AA20" s="58" t="n"/>
      <c r="AB20" s="56" t="n"/>
      <c r="AC20" s="88" t="n"/>
      <c r="AD20" s="56" t="n"/>
      <c r="AE20" s="84" t="n"/>
      <c r="AF20" s="56" t="n"/>
      <c r="AG20" s="88" t="n"/>
      <c r="AH20" s="56" t="n"/>
      <c r="AI20" s="58" t="n"/>
      <c r="AJ20" s="84" t="n"/>
      <c r="AK20" s="89" t="n"/>
      <c r="AL20" s="88" t="n"/>
      <c r="AM20" s="88" t="n"/>
      <c r="AN20" s="56" t="n"/>
      <c r="AO20" s="90" t="n"/>
      <c r="AP20" s="90" t="n"/>
      <c r="AQ20" s="84" t="n"/>
      <c r="AR20" s="56" t="n"/>
      <c r="AS20" s="56" t="n"/>
      <c r="AT20" s="56" t="n"/>
      <c r="AU20" s="56" t="n"/>
      <c r="AV20" s="56" t="n"/>
    </row>
    <row r="21" ht="14" customHeight="1" s="176">
      <c r="A21" s="59" t="n"/>
      <c r="B21" s="59" t="n"/>
      <c r="C21" s="59" t="n"/>
      <c r="D21" s="59" t="n"/>
      <c r="E21" s="59" t="n"/>
      <c r="F21" s="59" t="n"/>
      <c r="G21" s="59" t="n"/>
      <c r="H21" s="59" t="n"/>
      <c r="I21" s="59" t="n"/>
      <c r="J21" s="59" t="n"/>
      <c r="K21" s="59" t="n"/>
      <c r="L21" s="59" t="n"/>
      <c r="M21" s="84" t="n"/>
      <c r="N21" s="85" t="n"/>
      <c r="O21" s="85" t="n"/>
      <c r="P21" s="85" t="n"/>
      <c r="Q21" s="85" t="n"/>
      <c r="R21" s="86" t="n"/>
      <c r="S21" s="87" t="n"/>
      <c r="T21" s="58" t="n"/>
      <c r="U21" s="84" t="n"/>
      <c r="V21" s="85" t="n"/>
      <c r="W21" s="86" t="n"/>
      <c r="X21" s="87" t="n"/>
      <c r="Y21" s="58" t="n"/>
      <c r="Z21" s="84" t="n"/>
      <c r="AA21" s="58" t="n"/>
      <c r="AB21" s="59" t="n"/>
      <c r="AC21" s="88" t="n"/>
      <c r="AD21" s="59" t="n"/>
      <c r="AE21" s="84" t="n"/>
      <c r="AF21" s="59" t="n"/>
      <c r="AG21" s="88" t="n"/>
      <c r="AH21" s="59" t="n"/>
      <c r="AI21" s="58" t="n"/>
      <c r="AJ21" s="84" t="n"/>
      <c r="AK21" s="89" t="n"/>
      <c r="AL21" s="88" t="n"/>
      <c r="AM21" s="88" t="n"/>
      <c r="AN21" s="59" t="n"/>
      <c r="AO21" s="90" t="n"/>
      <c r="AP21" s="90" t="n"/>
      <c r="AQ21" s="84" t="n"/>
      <c r="AR21" s="59" t="n"/>
      <c r="AS21" s="59" t="n"/>
      <c r="AT21" s="59" t="n"/>
      <c r="AU21" s="59" t="n"/>
      <c r="AV21" s="59" t="n"/>
    </row>
    <row r="22" ht="14" customHeight="1" s="176">
      <c r="A22" s="56" t="n"/>
      <c r="B22" s="56" t="n"/>
      <c r="C22" s="56" t="n"/>
      <c r="D22" s="56" t="n"/>
      <c r="E22" s="56" t="n"/>
      <c r="F22" s="56" t="n"/>
      <c r="G22" s="56" t="n"/>
      <c r="H22" s="56" t="n"/>
      <c r="I22" s="56" t="n"/>
      <c r="J22" s="56" t="n"/>
      <c r="K22" s="56" t="n"/>
      <c r="L22" s="56" t="n"/>
      <c r="M22" s="84" t="n"/>
      <c r="N22" s="85" t="n"/>
      <c r="O22" s="85" t="n"/>
      <c r="P22" s="85" t="n"/>
      <c r="Q22" s="85" t="n"/>
      <c r="R22" s="86" t="n"/>
      <c r="S22" s="87" t="n"/>
      <c r="T22" s="58" t="n"/>
      <c r="U22" s="84" t="n"/>
      <c r="V22" s="85" t="n"/>
      <c r="W22" s="86" t="n"/>
      <c r="X22" s="87" t="n"/>
      <c r="Y22" s="58" t="n"/>
      <c r="Z22" s="84" t="n"/>
      <c r="AA22" s="58" t="n"/>
      <c r="AB22" s="56" t="n"/>
      <c r="AC22" s="88" t="n"/>
      <c r="AD22" s="56" t="n"/>
      <c r="AE22" s="84" t="n"/>
      <c r="AF22" s="56" t="n"/>
      <c r="AG22" s="88" t="n"/>
      <c r="AH22" s="56" t="n"/>
      <c r="AI22" s="58" t="n"/>
      <c r="AJ22" s="84" t="n"/>
      <c r="AK22" s="89" t="n"/>
      <c r="AL22" s="88" t="n"/>
      <c r="AM22" s="88" t="n"/>
      <c r="AN22" s="56" t="n"/>
      <c r="AO22" s="90" t="n"/>
      <c r="AP22" s="90" t="n"/>
      <c r="AQ22" s="84" t="n"/>
      <c r="AR22" s="56" t="n"/>
      <c r="AS22" s="56" t="n"/>
      <c r="AT22" s="56" t="n"/>
      <c r="AU22" s="56" t="n"/>
      <c r="AV22" s="56" t="n"/>
    </row>
    <row r="23" ht="14" customHeight="1" s="176">
      <c r="A23" s="59" t="n"/>
      <c r="B23" s="59" t="n"/>
      <c r="C23" s="59" t="n"/>
      <c r="D23" s="59" t="n"/>
      <c r="E23" s="59" t="n"/>
      <c r="F23" s="59" t="n"/>
      <c r="G23" s="59" t="n"/>
      <c r="H23" s="59" t="n"/>
      <c r="I23" s="59" t="n"/>
      <c r="J23" s="59" t="n"/>
      <c r="K23" s="59" t="n"/>
      <c r="L23" s="59" t="n"/>
      <c r="M23" s="84" t="n"/>
      <c r="N23" s="85" t="n"/>
      <c r="O23" s="85" t="n"/>
      <c r="P23" s="85" t="n"/>
      <c r="Q23" s="85" t="n"/>
      <c r="R23" s="86" t="n"/>
      <c r="S23" s="87" t="n"/>
      <c r="T23" s="58" t="n"/>
      <c r="U23" s="84" t="n"/>
      <c r="V23" s="85" t="n"/>
      <c r="W23" s="86" t="n"/>
      <c r="X23" s="87" t="n"/>
      <c r="Y23" s="58" t="n"/>
      <c r="Z23" s="84" t="n"/>
      <c r="AA23" s="58" t="n"/>
      <c r="AB23" s="59" t="n"/>
      <c r="AC23" s="88" t="n"/>
      <c r="AD23" s="59" t="n"/>
      <c r="AE23" s="84" t="n"/>
      <c r="AF23" s="59" t="n"/>
      <c r="AG23" s="88" t="n"/>
      <c r="AH23" s="59" t="n"/>
      <c r="AI23" s="58" t="n"/>
      <c r="AJ23" s="84" t="n"/>
      <c r="AK23" s="89" t="n"/>
      <c r="AL23" s="88" t="n"/>
      <c r="AM23" s="88" t="n"/>
      <c r="AN23" s="59" t="n"/>
      <c r="AO23" s="90" t="n"/>
      <c r="AP23" s="90" t="n"/>
      <c r="AQ23" s="84" t="n"/>
      <c r="AR23" s="59" t="n"/>
      <c r="AS23" s="59" t="n"/>
      <c r="AT23" s="59" t="n"/>
      <c r="AU23" s="59" t="n"/>
      <c r="AV23" s="59" t="n"/>
    </row>
    <row r="24" ht="14" customHeight="1" s="176">
      <c r="A24" s="56" t="n"/>
      <c r="B24" s="56" t="n"/>
      <c r="C24" s="56" t="n"/>
      <c r="D24" s="56" t="n"/>
      <c r="E24" s="56" t="n"/>
      <c r="F24" s="56" t="n"/>
      <c r="G24" s="56" t="n"/>
      <c r="H24" s="56" t="n"/>
      <c r="I24" s="56" t="n"/>
      <c r="J24" s="56" t="n"/>
      <c r="K24" s="56" t="n"/>
      <c r="L24" s="56" t="n"/>
      <c r="M24" s="84" t="n"/>
      <c r="N24" s="85" t="n"/>
      <c r="O24" s="85" t="n"/>
      <c r="P24" s="85" t="n"/>
      <c r="Q24" s="85" t="n"/>
      <c r="R24" s="86" t="n"/>
      <c r="S24" s="87" t="n"/>
      <c r="T24" s="58" t="n"/>
      <c r="U24" s="84" t="n"/>
      <c r="V24" s="85" t="n"/>
      <c r="W24" s="86" t="n"/>
      <c r="X24" s="87" t="n"/>
      <c r="Y24" s="58" t="n"/>
      <c r="Z24" s="84" t="n"/>
      <c r="AA24" s="58" t="n"/>
      <c r="AB24" s="56" t="n"/>
      <c r="AC24" s="88" t="n"/>
      <c r="AD24" s="56" t="n"/>
      <c r="AE24" s="84" t="n"/>
      <c r="AF24" s="56" t="n"/>
      <c r="AG24" s="88" t="n"/>
      <c r="AH24" s="56" t="n"/>
      <c r="AI24" s="58" t="n"/>
      <c r="AJ24" s="84" t="n"/>
      <c r="AK24" s="89" t="n"/>
      <c r="AL24" s="88" t="n"/>
      <c r="AM24" s="88" t="n"/>
      <c r="AN24" s="56" t="n"/>
      <c r="AO24" s="90" t="n"/>
      <c r="AP24" s="90" t="n"/>
      <c r="AQ24" s="84" t="n"/>
      <c r="AR24" s="56" t="n"/>
      <c r="AS24" s="56" t="n"/>
      <c r="AT24" s="56" t="n"/>
      <c r="AU24" s="56" t="n"/>
      <c r="AV24" s="56" t="n"/>
    </row>
    <row r="25" ht="14" customHeight="1" s="176">
      <c r="A25" s="59" t="n"/>
      <c r="B25" s="59" t="n"/>
      <c r="C25" s="59" t="n"/>
      <c r="D25" s="59" t="n"/>
      <c r="E25" s="59" t="n"/>
      <c r="F25" s="59" t="n"/>
      <c r="G25" s="59" t="n"/>
      <c r="H25" s="59" t="n"/>
      <c r="I25" s="59" t="n"/>
      <c r="J25" s="59" t="n"/>
      <c r="K25" s="59" t="n"/>
      <c r="L25" s="59" t="n"/>
      <c r="M25" s="84" t="n"/>
      <c r="N25" s="85" t="n"/>
      <c r="O25" s="85" t="n"/>
      <c r="P25" s="85" t="n"/>
      <c r="Q25" s="85" t="n"/>
      <c r="R25" s="86" t="n"/>
      <c r="S25" s="87" t="n"/>
      <c r="T25" s="58" t="n"/>
      <c r="U25" s="84" t="n"/>
      <c r="V25" s="85" t="n"/>
      <c r="W25" s="86" t="n"/>
      <c r="X25" s="87" t="n"/>
      <c r="Y25" s="58" t="n"/>
      <c r="Z25" s="84" t="n"/>
      <c r="AA25" s="58" t="n"/>
      <c r="AB25" s="59" t="n"/>
      <c r="AC25" s="88" t="n"/>
      <c r="AD25" s="59" t="n"/>
      <c r="AE25" s="84" t="n"/>
      <c r="AF25" s="59" t="n"/>
      <c r="AG25" s="88" t="n"/>
      <c r="AH25" s="59" t="n"/>
      <c r="AI25" s="58" t="n"/>
      <c r="AJ25" s="84" t="n"/>
      <c r="AK25" s="89" t="n"/>
      <c r="AL25" s="88" t="n"/>
      <c r="AM25" s="88" t="n"/>
      <c r="AN25" s="59" t="n"/>
      <c r="AO25" s="90" t="n"/>
      <c r="AP25" s="90" t="n"/>
      <c r="AQ25" s="84" t="n"/>
      <c r="AR25" s="59" t="n"/>
      <c r="AS25" s="59" t="n"/>
      <c r="AT25" s="59" t="n"/>
      <c r="AU25" s="59" t="n"/>
      <c r="AV25" s="59" t="n"/>
    </row>
    <row r="26" ht="14" customHeight="1" s="176">
      <c r="A26" s="56" t="n"/>
      <c r="B26" s="56" t="n"/>
      <c r="C26" s="56" t="n"/>
      <c r="D26" s="56" t="n"/>
      <c r="E26" s="56" t="n"/>
      <c r="F26" s="56" t="n"/>
      <c r="G26" s="56" t="n"/>
      <c r="H26" s="56" t="n"/>
      <c r="I26" s="56" t="n"/>
      <c r="J26" s="56" t="n"/>
      <c r="K26" s="56" t="n"/>
      <c r="L26" s="56" t="n"/>
      <c r="M26" s="84" t="n"/>
      <c r="N26" s="85" t="n"/>
      <c r="O26" s="85" t="n"/>
      <c r="P26" s="85" t="n"/>
      <c r="Q26" s="85" t="n"/>
      <c r="R26" s="86" t="n"/>
      <c r="S26" s="87" t="n"/>
      <c r="T26" s="58" t="n"/>
      <c r="U26" s="84" t="n"/>
      <c r="V26" s="85" t="n"/>
      <c r="W26" s="86" t="n"/>
      <c r="X26" s="87" t="n"/>
      <c r="Y26" s="58" t="n"/>
      <c r="Z26" s="84" t="n"/>
      <c r="AA26" s="58" t="n"/>
      <c r="AB26" s="56" t="n"/>
      <c r="AC26" s="88" t="n"/>
      <c r="AD26" s="56" t="n"/>
      <c r="AE26" s="84" t="n"/>
      <c r="AF26" s="56" t="n"/>
      <c r="AG26" s="88" t="n"/>
      <c r="AH26" s="56" t="n"/>
      <c r="AI26" s="58" t="n"/>
      <c r="AJ26" s="84" t="n"/>
      <c r="AK26" s="89" t="n"/>
      <c r="AL26" s="88" t="n"/>
      <c r="AM26" s="88" t="n"/>
      <c r="AN26" s="56" t="n"/>
      <c r="AO26" s="90" t="n"/>
      <c r="AP26" s="90" t="n"/>
      <c r="AQ26" s="84" t="n"/>
      <c r="AR26" s="56" t="n"/>
      <c r="AS26" s="56" t="n"/>
      <c r="AT26" s="56" t="n"/>
      <c r="AU26" s="56" t="n"/>
      <c r="AV26" s="56" t="n"/>
    </row>
    <row r="27" ht="14" customHeight="1" s="176">
      <c r="A27" s="59" t="n"/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K27" s="59" t="n"/>
      <c r="L27" s="59" t="n"/>
      <c r="M27" s="84" t="n"/>
      <c r="N27" s="85" t="n"/>
      <c r="O27" s="85" t="n"/>
      <c r="P27" s="85" t="n"/>
      <c r="Q27" s="85" t="n"/>
      <c r="R27" s="86" t="n"/>
      <c r="S27" s="87" t="n"/>
      <c r="T27" s="58" t="n"/>
      <c r="U27" s="84" t="n"/>
      <c r="V27" s="85" t="n"/>
      <c r="W27" s="86" t="n"/>
      <c r="X27" s="87" t="n"/>
      <c r="Y27" s="58" t="n"/>
      <c r="Z27" s="84" t="n"/>
      <c r="AA27" s="58" t="n"/>
      <c r="AB27" s="59" t="n"/>
      <c r="AC27" s="88" t="n"/>
      <c r="AD27" s="59" t="n"/>
      <c r="AE27" s="84" t="n"/>
      <c r="AF27" s="59" t="n"/>
      <c r="AG27" s="88" t="n"/>
      <c r="AH27" s="59" t="n"/>
      <c r="AI27" s="58" t="n"/>
      <c r="AJ27" s="84" t="n"/>
      <c r="AK27" s="89" t="n"/>
      <c r="AL27" s="88" t="n"/>
      <c r="AM27" s="88" t="n"/>
      <c r="AN27" s="59" t="n"/>
      <c r="AO27" s="90" t="n"/>
      <c r="AP27" s="90" t="n"/>
      <c r="AQ27" s="84" t="n"/>
      <c r="AR27" s="59" t="n"/>
      <c r="AS27" s="59" t="n"/>
      <c r="AT27" s="59" t="n"/>
      <c r="AU27" s="59" t="n"/>
      <c r="AV27" s="59" t="n"/>
    </row>
    <row r="28" ht="14" customHeight="1" s="176">
      <c r="A28" s="56" t="n"/>
      <c r="B28" s="56" t="n"/>
      <c r="C28" s="56" t="n"/>
      <c r="D28" s="56" t="n"/>
      <c r="E28" s="56" t="n"/>
      <c r="F28" s="56" t="n"/>
      <c r="G28" s="56" t="n"/>
      <c r="H28" s="56" t="n"/>
      <c r="I28" s="56" t="n"/>
      <c r="J28" s="56" t="n"/>
      <c r="K28" s="56" t="n"/>
      <c r="L28" s="56" t="n"/>
      <c r="M28" s="84" t="n"/>
      <c r="N28" s="85" t="n"/>
      <c r="O28" s="85" t="n"/>
      <c r="P28" s="85" t="n"/>
      <c r="Q28" s="85" t="n"/>
      <c r="R28" s="86" t="n"/>
      <c r="S28" s="87" t="n"/>
      <c r="T28" s="58" t="n"/>
      <c r="U28" s="84" t="n"/>
      <c r="V28" s="85" t="n"/>
      <c r="W28" s="86" t="n"/>
      <c r="X28" s="87" t="n"/>
      <c r="Y28" s="58" t="n"/>
      <c r="Z28" s="84" t="n"/>
      <c r="AA28" s="58" t="n"/>
      <c r="AB28" s="56" t="n"/>
      <c r="AC28" s="88" t="n"/>
      <c r="AD28" s="56" t="n"/>
      <c r="AE28" s="84" t="n"/>
      <c r="AF28" s="56" t="n"/>
      <c r="AG28" s="88" t="n"/>
      <c r="AH28" s="56" t="n"/>
      <c r="AI28" s="58" t="n"/>
      <c r="AJ28" s="84" t="n"/>
      <c r="AK28" s="89" t="n"/>
      <c r="AL28" s="88" t="n"/>
      <c r="AM28" s="88" t="n"/>
      <c r="AN28" s="56" t="n"/>
      <c r="AO28" s="90" t="n"/>
      <c r="AP28" s="90" t="n"/>
      <c r="AQ28" s="84" t="n"/>
      <c r="AR28" s="56" t="n"/>
      <c r="AS28" s="56" t="n"/>
      <c r="AT28" s="56" t="n"/>
      <c r="AU28" s="56" t="n"/>
      <c r="AV28" s="56" t="n"/>
    </row>
    <row r="29" ht="14" customHeight="1" s="176">
      <c r="A29" s="59" t="n"/>
      <c r="B29" s="59" t="n"/>
      <c r="C29" s="59" t="n"/>
      <c r="D29" s="59" t="n"/>
      <c r="E29" s="59" t="n"/>
      <c r="F29" s="59" t="n"/>
      <c r="G29" s="59" t="n"/>
      <c r="H29" s="59" t="n"/>
      <c r="I29" s="59" t="n"/>
      <c r="J29" s="59" t="n"/>
      <c r="K29" s="59" t="n"/>
      <c r="L29" s="59" t="n"/>
      <c r="M29" s="84" t="n"/>
      <c r="N29" s="85" t="n"/>
      <c r="O29" s="85" t="n"/>
      <c r="P29" s="85" t="n"/>
      <c r="Q29" s="85" t="n"/>
      <c r="R29" s="86" t="n"/>
      <c r="S29" s="87" t="n"/>
      <c r="T29" s="58" t="n"/>
      <c r="U29" s="84" t="n"/>
      <c r="V29" s="85" t="n"/>
      <c r="W29" s="86" t="n"/>
      <c r="X29" s="87" t="n"/>
      <c r="Y29" s="58" t="n"/>
      <c r="Z29" s="84" t="n"/>
      <c r="AA29" s="58" t="n"/>
      <c r="AB29" s="59" t="n"/>
      <c r="AC29" s="88" t="n"/>
      <c r="AD29" s="59" t="n"/>
      <c r="AE29" s="84" t="n"/>
      <c r="AF29" s="59" t="n"/>
      <c r="AG29" s="88" t="n"/>
      <c r="AH29" s="59" t="n"/>
      <c r="AI29" s="58" t="n"/>
      <c r="AJ29" s="84" t="n"/>
      <c r="AK29" s="89" t="n"/>
      <c r="AL29" s="88" t="n"/>
      <c r="AM29" s="88" t="n"/>
      <c r="AN29" s="59" t="n"/>
      <c r="AO29" s="90" t="n"/>
      <c r="AP29" s="90" t="n"/>
      <c r="AQ29" s="84" t="n"/>
      <c r="AR29" s="59" t="n"/>
      <c r="AS29" s="59" t="n"/>
      <c r="AT29" s="59" t="n"/>
      <c r="AU29" s="59" t="n"/>
      <c r="AV29" s="59" t="n"/>
    </row>
    <row r="30" ht="14" customHeight="1" s="176">
      <c r="A30" s="56" t="n"/>
      <c r="B30" s="56" t="n"/>
      <c r="C30" s="56" t="n"/>
      <c r="D30" s="56" t="n"/>
      <c r="E30" s="56" t="n"/>
      <c r="F30" s="56" t="n"/>
      <c r="G30" s="56" t="n"/>
      <c r="H30" s="56" t="n"/>
      <c r="I30" s="56" t="n"/>
      <c r="J30" s="56" t="n"/>
      <c r="K30" s="56" t="n"/>
      <c r="L30" s="56" t="n"/>
      <c r="M30" s="84" t="n"/>
      <c r="N30" s="85" t="n"/>
      <c r="O30" s="85" t="n"/>
      <c r="P30" s="85" t="n"/>
      <c r="Q30" s="85" t="n"/>
      <c r="R30" s="86" t="n"/>
      <c r="S30" s="87" t="n"/>
      <c r="T30" s="58" t="n"/>
      <c r="U30" s="84" t="n"/>
      <c r="V30" s="85" t="n"/>
      <c r="W30" s="86" t="n"/>
      <c r="X30" s="87" t="n"/>
      <c r="Y30" s="58" t="n"/>
      <c r="Z30" s="84" t="n"/>
      <c r="AA30" s="58" t="n"/>
      <c r="AB30" s="56" t="n"/>
      <c r="AC30" s="88" t="n"/>
      <c r="AD30" s="56" t="n"/>
      <c r="AE30" s="84" t="n"/>
      <c r="AF30" s="56" t="n"/>
      <c r="AG30" s="88" t="n"/>
      <c r="AH30" s="56" t="n"/>
      <c r="AI30" s="58" t="n"/>
      <c r="AJ30" s="84" t="n"/>
      <c r="AK30" s="89" t="n"/>
      <c r="AL30" s="88" t="n"/>
      <c r="AM30" s="88" t="n"/>
      <c r="AN30" s="56" t="n"/>
      <c r="AO30" s="90" t="n"/>
      <c r="AP30" s="90" t="n"/>
      <c r="AQ30" s="84" t="n"/>
      <c r="AR30" s="56" t="n"/>
      <c r="AS30" s="56" t="n"/>
      <c r="AT30" s="56" t="n"/>
      <c r="AU30" s="56" t="n"/>
      <c r="AV30" s="56" t="n"/>
    </row>
    <row r="31" ht="14" customHeight="1" s="176">
      <c r="A31" s="59" t="n"/>
      <c r="B31" s="59" t="n"/>
      <c r="C31" s="59" t="n"/>
      <c r="D31" s="59" t="n"/>
      <c r="E31" s="59" t="n"/>
      <c r="F31" s="59" t="n"/>
      <c r="G31" s="59" t="n"/>
      <c r="H31" s="59" t="n"/>
      <c r="I31" s="59" t="n"/>
      <c r="J31" s="59" t="n"/>
      <c r="K31" s="59" t="n"/>
      <c r="L31" s="59" t="n"/>
      <c r="M31" s="84" t="n"/>
      <c r="N31" s="85" t="n"/>
      <c r="O31" s="85" t="n"/>
      <c r="P31" s="85" t="n"/>
      <c r="Q31" s="85" t="n"/>
      <c r="R31" s="86" t="n"/>
      <c r="S31" s="87" t="n"/>
      <c r="T31" s="58" t="n"/>
      <c r="U31" s="84" t="n"/>
      <c r="V31" s="85" t="n"/>
      <c r="W31" s="86" t="n"/>
      <c r="X31" s="87" t="n"/>
      <c r="Y31" s="58" t="n"/>
      <c r="Z31" s="84" t="n"/>
      <c r="AA31" s="58" t="n"/>
      <c r="AB31" s="59" t="n"/>
      <c r="AC31" s="88" t="n"/>
      <c r="AD31" s="59" t="n"/>
      <c r="AE31" s="84" t="n"/>
      <c r="AF31" s="59" t="n"/>
      <c r="AG31" s="88" t="n"/>
      <c r="AH31" s="59" t="n"/>
      <c r="AI31" s="58" t="n"/>
      <c r="AJ31" s="84" t="n"/>
      <c r="AK31" s="89" t="n"/>
      <c r="AL31" s="88" t="n"/>
      <c r="AM31" s="88" t="n"/>
      <c r="AN31" s="59" t="n"/>
      <c r="AO31" s="90" t="n"/>
      <c r="AP31" s="90" t="n"/>
      <c r="AQ31" s="84" t="n"/>
      <c r="AR31" s="59" t="n"/>
      <c r="AS31" s="59" t="n"/>
      <c r="AT31" s="59" t="n"/>
      <c r="AU31" s="59" t="n"/>
      <c r="AV31" s="59" t="n"/>
    </row>
    <row r="32" ht="14" customHeight="1" s="176">
      <c r="A32" s="56" t="n"/>
      <c r="B32" s="56" t="n"/>
      <c r="C32" s="56" t="n"/>
      <c r="D32" s="56" t="n"/>
      <c r="E32" s="56" t="n"/>
      <c r="F32" s="56" t="n"/>
      <c r="G32" s="56" t="n"/>
      <c r="H32" s="56" t="n"/>
      <c r="I32" s="56" t="n"/>
      <c r="J32" s="56" t="n"/>
      <c r="K32" s="56" t="n"/>
      <c r="L32" s="56" t="n"/>
      <c r="M32" s="84" t="n"/>
      <c r="N32" s="85" t="n"/>
      <c r="O32" s="85" t="n"/>
      <c r="P32" s="85" t="n"/>
      <c r="Q32" s="85" t="n"/>
      <c r="R32" s="86" t="n"/>
      <c r="S32" s="87" t="n"/>
      <c r="T32" s="58" t="n"/>
      <c r="U32" s="84" t="n"/>
      <c r="V32" s="85" t="n"/>
      <c r="W32" s="86" t="n"/>
      <c r="X32" s="87" t="n"/>
      <c r="Y32" s="58" t="n"/>
      <c r="Z32" s="84" t="n"/>
      <c r="AA32" s="58" t="n"/>
      <c r="AB32" s="56" t="n"/>
      <c r="AC32" s="88" t="n"/>
      <c r="AD32" s="56" t="n"/>
      <c r="AE32" s="84" t="n"/>
      <c r="AF32" s="56" t="n"/>
      <c r="AG32" s="88" t="n"/>
      <c r="AH32" s="56" t="n"/>
      <c r="AI32" s="58" t="n"/>
      <c r="AJ32" s="84" t="n"/>
      <c r="AK32" s="89" t="n"/>
      <c r="AL32" s="88" t="n"/>
      <c r="AM32" s="88" t="n"/>
      <c r="AN32" s="56" t="n"/>
      <c r="AO32" s="90" t="n"/>
      <c r="AP32" s="90" t="n"/>
      <c r="AQ32" s="84" t="n"/>
      <c r="AR32" s="56" t="n"/>
      <c r="AS32" s="56" t="n"/>
      <c r="AT32" s="56" t="n"/>
      <c r="AU32" s="56" t="n"/>
      <c r="AV32" s="56" t="n"/>
    </row>
    <row r="33" ht="14" customHeight="1" s="176">
      <c r="A33" s="59" t="n"/>
      <c r="B33" s="59" t="n"/>
      <c r="C33" s="59" t="n"/>
      <c r="D33" s="59" t="n"/>
      <c r="E33" s="59" t="n"/>
      <c r="F33" s="59" t="n"/>
      <c r="G33" s="59" t="n"/>
      <c r="H33" s="59" t="n"/>
      <c r="I33" s="59" t="n"/>
      <c r="J33" s="59" t="n"/>
      <c r="K33" s="59" t="n"/>
      <c r="L33" s="59" t="n"/>
      <c r="M33" s="84" t="n"/>
      <c r="N33" s="85" t="n"/>
      <c r="O33" s="85" t="n"/>
      <c r="P33" s="85" t="n"/>
      <c r="Q33" s="85" t="n"/>
      <c r="R33" s="86" t="n"/>
      <c r="S33" s="87" t="n"/>
      <c r="T33" s="58" t="n"/>
      <c r="U33" s="84" t="n"/>
      <c r="V33" s="85" t="n"/>
      <c r="W33" s="86" t="n"/>
      <c r="X33" s="87" t="n"/>
      <c r="Y33" s="58" t="n"/>
      <c r="Z33" s="84" t="n"/>
      <c r="AA33" s="58" t="n"/>
      <c r="AB33" s="59" t="n"/>
      <c r="AC33" s="88" t="n"/>
      <c r="AD33" s="59" t="n"/>
      <c r="AE33" s="84" t="n"/>
      <c r="AF33" s="59" t="n"/>
      <c r="AG33" s="88" t="n"/>
      <c r="AH33" s="59" t="n"/>
      <c r="AI33" s="58" t="n"/>
      <c r="AJ33" s="84" t="n"/>
      <c r="AK33" s="89" t="n"/>
      <c r="AL33" s="88" t="n"/>
      <c r="AM33" s="88" t="n"/>
      <c r="AN33" s="59" t="n"/>
      <c r="AO33" s="90" t="n"/>
      <c r="AP33" s="90" t="n"/>
      <c r="AQ33" s="84" t="n"/>
      <c r="AR33" s="59" t="n"/>
      <c r="AS33" s="59" t="n"/>
      <c r="AT33" s="59" t="n"/>
      <c r="AU33" s="59" t="n"/>
      <c r="AV33" s="59" t="n"/>
    </row>
    <row r="34" ht="14" customHeight="1" s="176">
      <c r="A34" s="56" t="n"/>
      <c r="B34" s="56" t="n"/>
      <c r="C34" s="56" t="n"/>
      <c r="D34" s="56" t="n"/>
      <c r="E34" s="56" t="n"/>
      <c r="F34" s="56" t="n"/>
      <c r="G34" s="56" t="n"/>
      <c r="H34" s="56" t="n"/>
      <c r="I34" s="56" t="n"/>
      <c r="J34" s="56" t="n"/>
      <c r="K34" s="56" t="n"/>
      <c r="L34" s="56" t="n"/>
      <c r="M34" s="84" t="n"/>
      <c r="N34" s="85" t="n"/>
      <c r="O34" s="85" t="n"/>
      <c r="P34" s="85" t="n"/>
      <c r="Q34" s="85" t="n"/>
      <c r="R34" s="86" t="n"/>
      <c r="S34" s="87" t="n"/>
      <c r="T34" s="58" t="n"/>
      <c r="U34" s="84" t="n"/>
      <c r="V34" s="85" t="n"/>
      <c r="W34" s="86" t="n"/>
      <c r="X34" s="87" t="n"/>
      <c r="Y34" s="58" t="n"/>
      <c r="Z34" s="84" t="n"/>
      <c r="AA34" s="58" t="n"/>
      <c r="AB34" s="56" t="n"/>
      <c r="AC34" s="88" t="n"/>
      <c r="AD34" s="56" t="n"/>
      <c r="AE34" s="84" t="n"/>
      <c r="AF34" s="56" t="n"/>
      <c r="AG34" s="88" t="n"/>
      <c r="AH34" s="56" t="n"/>
      <c r="AI34" s="58" t="n"/>
      <c r="AJ34" s="84" t="n"/>
      <c r="AK34" s="89" t="n"/>
      <c r="AL34" s="88" t="n"/>
      <c r="AM34" s="88" t="n"/>
      <c r="AN34" s="56" t="n"/>
      <c r="AO34" s="90" t="n"/>
      <c r="AP34" s="90" t="n"/>
      <c r="AQ34" s="84" t="n"/>
      <c r="AR34" s="56" t="n"/>
      <c r="AS34" s="56" t="n"/>
      <c r="AT34" s="56" t="n"/>
      <c r="AU34" s="56" t="n"/>
      <c r="AV34" s="56" t="n"/>
    </row>
    <row r="35" ht="14" customHeight="1" s="176">
      <c r="A35" s="59" t="n"/>
      <c r="B35" s="59" t="n"/>
      <c r="C35" s="59" t="n"/>
      <c r="D35" s="59" t="n"/>
      <c r="E35" s="59" t="n"/>
      <c r="F35" s="59" t="n"/>
      <c r="G35" s="59" t="n"/>
      <c r="H35" s="59" t="n"/>
      <c r="I35" s="59" t="n"/>
      <c r="J35" s="59" t="n"/>
      <c r="K35" s="59" t="n"/>
      <c r="L35" s="59" t="n"/>
      <c r="M35" s="84" t="n"/>
      <c r="N35" s="85" t="n"/>
      <c r="O35" s="85" t="n"/>
      <c r="P35" s="85" t="n"/>
      <c r="Q35" s="85" t="n"/>
      <c r="R35" s="86" t="n"/>
      <c r="S35" s="87" t="n"/>
      <c r="T35" s="58" t="n"/>
      <c r="U35" s="84" t="n"/>
      <c r="V35" s="85" t="n"/>
      <c r="W35" s="86" t="n"/>
      <c r="X35" s="87" t="n"/>
      <c r="Y35" s="58" t="n"/>
      <c r="Z35" s="84" t="n"/>
      <c r="AA35" s="58" t="n"/>
      <c r="AB35" s="59" t="n"/>
      <c r="AC35" s="88" t="n"/>
      <c r="AD35" s="59" t="n"/>
      <c r="AE35" s="84" t="n"/>
      <c r="AF35" s="59" t="n"/>
      <c r="AG35" s="88" t="n"/>
      <c r="AH35" s="59" t="n"/>
      <c r="AI35" s="58" t="n"/>
      <c r="AJ35" s="84" t="n"/>
      <c r="AK35" s="89" t="n"/>
      <c r="AL35" s="88" t="n"/>
      <c r="AM35" s="88" t="n"/>
      <c r="AN35" s="59" t="n"/>
      <c r="AO35" s="90" t="n"/>
      <c r="AP35" s="90" t="n"/>
      <c r="AQ35" s="84" t="n"/>
      <c r="AR35" s="59" t="n"/>
      <c r="AS35" s="59" t="n"/>
      <c r="AT35" s="59" t="n"/>
      <c r="AU35" s="59" t="n"/>
      <c r="AV35" s="59" t="n"/>
    </row>
    <row r="36" ht="14" customHeight="1" s="176">
      <c r="A36" s="56" t="n"/>
      <c r="B36" s="56" t="n"/>
      <c r="C36" s="56" t="n"/>
      <c r="D36" s="56" t="n"/>
      <c r="E36" s="56" t="n"/>
      <c r="F36" s="56" t="n"/>
      <c r="G36" s="56" t="n"/>
      <c r="H36" s="56" t="n"/>
      <c r="I36" s="56" t="n"/>
      <c r="J36" s="56" t="n"/>
      <c r="K36" s="56" t="n"/>
      <c r="L36" s="56" t="n"/>
      <c r="M36" s="84" t="n"/>
      <c r="N36" s="85" t="n"/>
      <c r="O36" s="85" t="n"/>
      <c r="P36" s="85" t="n"/>
      <c r="Q36" s="85" t="n"/>
      <c r="R36" s="86" t="n"/>
      <c r="S36" s="87" t="n"/>
      <c r="T36" s="58" t="n"/>
      <c r="U36" s="84" t="n"/>
      <c r="V36" s="85" t="n"/>
      <c r="W36" s="86" t="n"/>
      <c r="X36" s="87" t="n"/>
      <c r="Y36" s="58" t="n"/>
      <c r="Z36" s="84" t="n"/>
      <c r="AA36" s="58" t="n"/>
      <c r="AB36" s="56" t="n"/>
      <c r="AC36" s="88" t="n"/>
      <c r="AD36" s="56" t="n"/>
      <c r="AE36" s="84" t="n"/>
      <c r="AF36" s="56" t="n"/>
      <c r="AG36" s="88" t="n"/>
      <c r="AH36" s="56" t="n"/>
      <c r="AI36" s="58" t="n"/>
      <c r="AJ36" s="84" t="n"/>
      <c r="AK36" s="89" t="n"/>
      <c r="AL36" s="88" t="n"/>
      <c r="AM36" s="88" t="n"/>
      <c r="AN36" s="56" t="n"/>
      <c r="AO36" s="90" t="n"/>
      <c r="AP36" s="90" t="n"/>
      <c r="AQ36" s="84" t="n"/>
      <c r="AR36" s="56" t="n"/>
      <c r="AS36" s="56" t="n"/>
      <c r="AT36" s="56" t="n"/>
      <c r="AU36" s="56" t="n"/>
      <c r="AV36" s="56" t="n"/>
    </row>
    <row r="37" ht="14" customHeight="1" s="176">
      <c r="A37" s="59" t="n"/>
      <c r="B37" s="59" t="n"/>
      <c r="C37" s="59" t="n"/>
      <c r="D37" s="59" t="n"/>
      <c r="E37" s="59" t="n"/>
      <c r="F37" s="59" t="n"/>
      <c r="G37" s="59" t="n"/>
      <c r="H37" s="59" t="n"/>
      <c r="I37" s="59" t="n"/>
      <c r="J37" s="59" t="n"/>
      <c r="K37" s="59" t="n"/>
      <c r="L37" s="59" t="n"/>
      <c r="M37" s="84" t="n"/>
      <c r="N37" s="85" t="n"/>
      <c r="O37" s="85" t="n"/>
      <c r="P37" s="85" t="n"/>
      <c r="Q37" s="85" t="n"/>
      <c r="R37" s="86" t="n"/>
      <c r="S37" s="87" t="n"/>
      <c r="T37" s="58" t="n"/>
      <c r="U37" s="84" t="n"/>
      <c r="V37" s="85" t="n"/>
      <c r="W37" s="86" t="n"/>
      <c r="X37" s="87" t="n"/>
      <c r="Y37" s="58" t="n"/>
      <c r="Z37" s="84" t="n"/>
      <c r="AA37" s="58" t="n"/>
      <c r="AB37" s="59" t="n"/>
      <c r="AC37" s="88" t="n"/>
      <c r="AD37" s="59" t="n"/>
      <c r="AE37" s="84" t="n"/>
      <c r="AF37" s="59" t="n"/>
      <c r="AG37" s="88" t="n"/>
      <c r="AH37" s="59" t="n"/>
      <c r="AI37" s="58" t="n"/>
      <c r="AJ37" s="84" t="n"/>
      <c r="AK37" s="89" t="n"/>
      <c r="AL37" s="88" t="n"/>
      <c r="AM37" s="88" t="n"/>
      <c r="AN37" s="59" t="n"/>
      <c r="AO37" s="90" t="n"/>
      <c r="AP37" s="90" t="n"/>
      <c r="AQ37" s="84" t="n"/>
      <c r="AR37" s="59" t="n"/>
      <c r="AS37" s="59" t="n"/>
      <c r="AT37" s="59" t="n"/>
      <c r="AU37" s="59" t="n"/>
      <c r="AV37" s="59" t="n"/>
    </row>
    <row r="38" ht="14" customHeight="1" s="176">
      <c r="A38" s="56" t="n"/>
      <c r="B38" s="56" t="n"/>
      <c r="C38" s="56" t="n"/>
      <c r="D38" s="56" t="n"/>
      <c r="E38" s="56" t="n"/>
      <c r="F38" s="56" t="n"/>
      <c r="G38" s="56" t="n"/>
      <c r="H38" s="56" t="n"/>
      <c r="I38" s="56" t="n"/>
      <c r="J38" s="56" t="n"/>
      <c r="K38" s="56" t="n"/>
      <c r="L38" s="56" t="n"/>
      <c r="M38" s="84" t="n"/>
      <c r="N38" s="85" t="n"/>
      <c r="O38" s="85" t="n"/>
      <c r="P38" s="85" t="n"/>
      <c r="Q38" s="85" t="n"/>
      <c r="R38" s="86" t="n"/>
      <c r="S38" s="87" t="n"/>
      <c r="T38" s="58" t="n"/>
      <c r="U38" s="84" t="n"/>
      <c r="V38" s="85" t="n"/>
      <c r="W38" s="86" t="n"/>
      <c r="X38" s="87" t="n"/>
      <c r="Y38" s="58" t="n"/>
      <c r="Z38" s="84" t="n"/>
      <c r="AA38" s="58" t="n"/>
      <c r="AB38" s="56" t="n"/>
      <c r="AC38" s="88" t="n"/>
      <c r="AD38" s="56" t="n"/>
      <c r="AE38" s="84" t="n"/>
      <c r="AF38" s="56" t="n"/>
      <c r="AG38" s="88" t="n"/>
      <c r="AH38" s="56" t="n"/>
      <c r="AI38" s="58" t="n"/>
      <c r="AJ38" s="84" t="n"/>
      <c r="AK38" s="89" t="n"/>
      <c r="AL38" s="88" t="n"/>
      <c r="AM38" s="88" t="n"/>
      <c r="AN38" s="56" t="n"/>
      <c r="AO38" s="90" t="n"/>
      <c r="AP38" s="90" t="n"/>
      <c r="AQ38" s="84" t="n"/>
      <c r="AR38" s="56" t="n"/>
      <c r="AS38" s="56" t="n"/>
      <c r="AT38" s="56" t="n"/>
      <c r="AU38" s="56" t="n"/>
      <c r="AV38" s="56" t="n"/>
    </row>
    <row r="39" ht="14" customHeight="1" s="176">
      <c r="A39" s="59" t="n"/>
      <c r="B39" s="59" t="n"/>
      <c r="C39" s="59" t="n"/>
      <c r="D39" s="59" t="n"/>
      <c r="E39" s="59" t="n"/>
      <c r="F39" s="59" t="n"/>
      <c r="G39" s="59" t="n"/>
      <c r="H39" s="59" t="n"/>
      <c r="I39" s="59" t="n"/>
      <c r="J39" s="59" t="n"/>
      <c r="K39" s="59" t="n"/>
      <c r="L39" s="59" t="n"/>
      <c r="M39" s="84" t="n"/>
      <c r="N39" s="85" t="n"/>
      <c r="O39" s="85" t="n"/>
      <c r="P39" s="85" t="n"/>
      <c r="Q39" s="85" t="n"/>
      <c r="R39" s="86" t="n"/>
      <c r="S39" s="87" t="n"/>
      <c r="T39" s="58" t="n"/>
      <c r="U39" s="84" t="n"/>
      <c r="V39" s="85" t="n"/>
      <c r="W39" s="86" t="n"/>
      <c r="X39" s="87" t="n"/>
      <c r="Y39" s="58" t="n"/>
      <c r="Z39" s="84" t="n"/>
      <c r="AA39" s="58" t="n"/>
      <c r="AB39" s="59" t="n"/>
      <c r="AC39" s="88" t="n"/>
      <c r="AD39" s="59" t="n"/>
      <c r="AE39" s="84" t="n"/>
      <c r="AF39" s="59" t="n"/>
      <c r="AG39" s="88" t="n"/>
      <c r="AH39" s="59" t="n"/>
      <c r="AI39" s="58" t="n"/>
      <c r="AJ39" s="84" t="n"/>
      <c r="AK39" s="89" t="n"/>
      <c r="AL39" s="88" t="n"/>
      <c r="AM39" s="88" t="n"/>
      <c r="AN39" s="59" t="n"/>
      <c r="AO39" s="90" t="n"/>
      <c r="AP39" s="90" t="n"/>
      <c r="AQ39" s="84" t="n"/>
      <c r="AR39" s="59" t="n"/>
      <c r="AS39" s="59" t="n"/>
      <c r="AT39" s="59" t="n"/>
      <c r="AU39" s="59" t="n"/>
      <c r="AV39" s="59" t="n"/>
    </row>
    <row r="40" ht="14" customHeight="1" s="176">
      <c r="A40" s="56" t="n"/>
      <c r="B40" s="56" t="n"/>
      <c r="C40" s="56" t="n"/>
      <c r="D40" s="56" t="n"/>
      <c r="E40" s="56" t="n"/>
      <c r="F40" s="56" t="n"/>
      <c r="G40" s="56" t="n"/>
      <c r="H40" s="56" t="n"/>
      <c r="I40" s="56" t="n"/>
      <c r="J40" s="56" t="n"/>
      <c r="K40" s="56" t="n"/>
      <c r="L40" s="56" t="n"/>
      <c r="M40" s="84" t="n"/>
      <c r="N40" s="85" t="n"/>
      <c r="O40" s="85" t="n"/>
      <c r="P40" s="85" t="n"/>
      <c r="Q40" s="85" t="n"/>
      <c r="R40" s="86" t="n"/>
      <c r="S40" s="87" t="n"/>
      <c r="T40" s="58" t="n"/>
      <c r="U40" s="84" t="n"/>
      <c r="V40" s="85" t="n"/>
      <c r="W40" s="86" t="n"/>
      <c r="X40" s="87" t="n"/>
      <c r="Y40" s="58" t="n"/>
      <c r="Z40" s="84" t="n"/>
      <c r="AA40" s="58" t="n"/>
      <c r="AB40" s="56" t="n"/>
      <c r="AC40" s="88" t="n"/>
      <c r="AD40" s="56" t="n"/>
      <c r="AE40" s="84" t="n"/>
      <c r="AF40" s="56" t="n"/>
      <c r="AG40" s="88" t="n"/>
      <c r="AH40" s="56" t="n"/>
      <c r="AI40" s="58" t="n"/>
      <c r="AJ40" s="84" t="n"/>
      <c r="AK40" s="89" t="n"/>
      <c r="AL40" s="88" t="n"/>
      <c r="AM40" s="88" t="n"/>
      <c r="AN40" s="56" t="n"/>
      <c r="AO40" s="90" t="n"/>
      <c r="AP40" s="90" t="n"/>
      <c r="AQ40" s="84" t="n"/>
      <c r="AR40" s="56" t="n"/>
      <c r="AS40" s="56" t="n"/>
      <c r="AT40" s="56" t="n"/>
      <c r="AU40" s="56" t="n"/>
      <c r="AV40" s="56" t="n"/>
    </row>
    <row r="41" ht="14" customHeight="1" s="176">
      <c r="A41" s="59" t="n"/>
      <c r="B41" s="59" t="n"/>
      <c r="C41" s="59" t="n"/>
      <c r="D41" s="59" t="n"/>
      <c r="E41" s="59" t="n"/>
      <c r="F41" s="59" t="n"/>
      <c r="G41" s="59" t="n"/>
      <c r="H41" s="59" t="n"/>
      <c r="I41" s="59" t="n"/>
      <c r="J41" s="59" t="n"/>
      <c r="K41" s="59" t="n"/>
      <c r="L41" s="59" t="n"/>
      <c r="M41" s="84" t="n"/>
      <c r="N41" s="85" t="n"/>
      <c r="O41" s="85" t="n"/>
      <c r="P41" s="85" t="n"/>
      <c r="Q41" s="85" t="n"/>
      <c r="R41" s="86" t="n"/>
      <c r="S41" s="87" t="n"/>
      <c r="T41" s="58" t="n"/>
      <c r="U41" s="84" t="n"/>
      <c r="V41" s="85" t="n"/>
      <c r="W41" s="86" t="n"/>
      <c r="X41" s="87" t="n"/>
      <c r="Y41" s="58" t="n"/>
      <c r="Z41" s="84" t="n"/>
      <c r="AA41" s="58" t="n"/>
      <c r="AB41" s="59" t="n"/>
      <c r="AC41" s="88" t="n"/>
      <c r="AD41" s="59" t="n"/>
      <c r="AE41" s="84" t="n"/>
      <c r="AF41" s="59" t="n"/>
      <c r="AG41" s="88" t="n"/>
      <c r="AH41" s="59" t="n"/>
      <c r="AI41" s="58" t="n"/>
      <c r="AJ41" s="84" t="n"/>
      <c r="AK41" s="89" t="n"/>
      <c r="AL41" s="88" t="n"/>
      <c r="AM41" s="88" t="n"/>
      <c r="AN41" s="59" t="n"/>
      <c r="AO41" s="90" t="n"/>
      <c r="AP41" s="90" t="n"/>
      <c r="AQ41" s="84" t="n"/>
      <c r="AR41" s="59" t="n"/>
      <c r="AS41" s="59" t="n"/>
      <c r="AT41" s="59" t="n"/>
      <c r="AU41" s="59" t="n"/>
      <c r="AV41" s="59" t="n"/>
    </row>
    <row r="42" ht="14" customHeight="1" s="176">
      <c r="A42" s="56" t="n"/>
      <c r="B42" s="56" t="n"/>
      <c r="C42" s="56" t="n"/>
      <c r="D42" s="56" t="n"/>
      <c r="E42" s="56" t="n"/>
      <c r="F42" s="56" t="n"/>
      <c r="G42" s="56" t="n"/>
      <c r="H42" s="56" t="n"/>
      <c r="I42" s="56" t="n"/>
      <c r="J42" s="56" t="n"/>
      <c r="K42" s="56" t="n"/>
      <c r="L42" s="56" t="n"/>
      <c r="M42" s="84" t="n"/>
      <c r="N42" s="85" t="n"/>
      <c r="O42" s="85" t="n"/>
      <c r="P42" s="85" t="n"/>
      <c r="Q42" s="85" t="n"/>
      <c r="R42" s="86" t="n"/>
      <c r="S42" s="87" t="n"/>
      <c r="T42" s="58" t="n"/>
      <c r="U42" s="84" t="n"/>
      <c r="V42" s="85" t="n"/>
      <c r="W42" s="86" t="n"/>
      <c r="X42" s="87" t="n"/>
      <c r="Y42" s="58" t="n"/>
      <c r="Z42" s="84" t="n"/>
      <c r="AA42" s="58" t="n"/>
      <c r="AB42" s="56" t="n"/>
      <c r="AC42" s="88" t="n"/>
      <c r="AD42" s="56" t="n"/>
      <c r="AE42" s="84" t="n"/>
      <c r="AF42" s="56" t="n"/>
      <c r="AG42" s="88" t="n"/>
      <c r="AH42" s="56" t="n"/>
      <c r="AI42" s="58" t="n"/>
      <c r="AJ42" s="84" t="n"/>
      <c r="AK42" s="89" t="n"/>
      <c r="AL42" s="88" t="n"/>
      <c r="AM42" s="88" t="n"/>
      <c r="AN42" s="56" t="n"/>
      <c r="AO42" s="90" t="n"/>
      <c r="AP42" s="90" t="n"/>
      <c r="AQ42" s="84" t="n"/>
      <c r="AR42" s="56" t="n"/>
      <c r="AS42" s="56" t="n"/>
      <c r="AT42" s="56" t="n"/>
      <c r="AU42" s="56" t="n"/>
      <c r="AV42" s="56" t="n"/>
    </row>
    <row r="43" ht="14" customHeight="1" s="176">
      <c r="A43" s="59" t="n"/>
      <c r="B43" s="59" t="n"/>
      <c r="C43" s="59" t="n"/>
      <c r="D43" s="59" t="n"/>
      <c r="E43" s="59" t="n"/>
      <c r="F43" s="59" t="n"/>
      <c r="G43" s="59" t="n"/>
      <c r="H43" s="59" t="n"/>
      <c r="I43" s="59" t="n"/>
      <c r="J43" s="59" t="n"/>
      <c r="K43" s="59" t="n"/>
      <c r="L43" s="59" t="n"/>
      <c r="M43" s="84" t="n"/>
      <c r="N43" s="85" t="n"/>
      <c r="O43" s="85" t="n"/>
      <c r="P43" s="85" t="n"/>
      <c r="Q43" s="85" t="n"/>
      <c r="R43" s="86" t="n"/>
      <c r="S43" s="87" t="n"/>
      <c r="T43" s="58" t="n"/>
      <c r="U43" s="84" t="n"/>
      <c r="V43" s="85" t="n"/>
      <c r="W43" s="86" t="n"/>
      <c r="X43" s="87" t="n"/>
      <c r="Y43" s="58" t="n"/>
      <c r="Z43" s="84" t="n"/>
      <c r="AA43" s="58" t="n"/>
      <c r="AB43" s="59" t="n"/>
      <c r="AC43" s="88" t="n"/>
      <c r="AD43" s="59" t="n"/>
      <c r="AE43" s="84" t="n"/>
      <c r="AF43" s="59" t="n"/>
      <c r="AG43" s="88" t="n"/>
      <c r="AH43" s="59" t="n"/>
      <c r="AI43" s="58" t="n"/>
      <c r="AJ43" s="84" t="n"/>
      <c r="AK43" s="89" t="n"/>
      <c r="AL43" s="88" t="n"/>
      <c r="AM43" s="88" t="n"/>
      <c r="AN43" s="59" t="n"/>
      <c r="AO43" s="90" t="n"/>
      <c r="AP43" s="90" t="n"/>
      <c r="AQ43" s="84" t="n"/>
      <c r="AR43" s="59" t="n"/>
      <c r="AS43" s="59" t="n"/>
      <c r="AT43" s="59" t="n"/>
      <c r="AU43" s="59" t="n"/>
      <c r="AV43" s="59" t="n"/>
    </row>
    <row r="44" ht="14" customHeight="1" s="176">
      <c r="A44" s="56" t="n"/>
      <c r="B44" s="56" t="n"/>
      <c r="C44" s="56" t="n"/>
      <c r="D44" s="56" t="n"/>
      <c r="E44" s="56" t="n"/>
      <c r="F44" s="56" t="n"/>
      <c r="G44" s="56" t="n"/>
      <c r="H44" s="56" t="n"/>
      <c r="I44" s="56" t="n"/>
      <c r="J44" s="56" t="n"/>
      <c r="K44" s="56" t="n"/>
      <c r="L44" s="56" t="n"/>
      <c r="M44" s="84" t="n"/>
      <c r="N44" s="85" t="n"/>
      <c r="O44" s="85" t="n"/>
      <c r="P44" s="85" t="n"/>
      <c r="Q44" s="85" t="n"/>
      <c r="R44" s="86" t="n"/>
      <c r="S44" s="87" t="n"/>
      <c r="T44" s="58" t="n"/>
      <c r="U44" s="84" t="n"/>
      <c r="V44" s="85" t="n"/>
      <c r="W44" s="86" t="n"/>
      <c r="X44" s="87" t="n"/>
      <c r="Y44" s="58" t="n"/>
      <c r="Z44" s="84" t="n"/>
      <c r="AA44" s="58" t="n"/>
      <c r="AB44" s="56" t="n"/>
      <c r="AC44" s="88" t="n"/>
      <c r="AD44" s="56" t="n"/>
      <c r="AE44" s="84" t="n"/>
      <c r="AF44" s="56" t="n"/>
      <c r="AG44" s="88" t="n"/>
      <c r="AH44" s="56" t="n"/>
      <c r="AI44" s="58" t="n"/>
      <c r="AJ44" s="84" t="n"/>
      <c r="AK44" s="89" t="n"/>
      <c r="AL44" s="88" t="n"/>
      <c r="AM44" s="88" t="n"/>
      <c r="AN44" s="56" t="n"/>
      <c r="AO44" s="90" t="n"/>
      <c r="AP44" s="90" t="n"/>
      <c r="AQ44" s="84" t="n"/>
      <c r="AR44" s="56" t="n"/>
      <c r="AS44" s="56" t="n"/>
      <c r="AT44" s="56" t="n"/>
      <c r="AU44" s="56" t="n"/>
      <c r="AV44" s="56" t="n"/>
    </row>
    <row r="45" ht="14" customHeight="1" s="176">
      <c r="A45" s="59" t="n"/>
      <c r="B45" s="59" t="n"/>
      <c r="C45" s="59" t="n"/>
      <c r="D45" s="59" t="n"/>
      <c r="E45" s="59" t="n"/>
      <c r="F45" s="59" t="n"/>
      <c r="G45" s="59" t="n"/>
      <c r="H45" s="59" t="n"/>
      <c r="I45" s="59" t="n"/>
      <c r="J45" s="59" t="n"/>
      <c r="K45" s="59" t="n"/>
      <c r="L45" s="59" t="n"/>
      <c r="M45" s="84" t="n"/>
      <c r="N45" s="85" t="n"/>
      <c r="O45" s="85" t="n"/>
      <c r="P45" s="85" t="n"/>
      <c r="Q45" s="85" t="n"/>
      <c r="R45" s="86" t="n"/>
      <c r="S45" s="87" t="n"/>
      <c r="T45" s="58" t="n"/>
      <c r="U45" s="84" t="n"/>
      <c r="V45" s="85" t="n"/>
      <c r="W45" s="86" t="n"/>
      <c r="X45" s="87" t="n"/>
      <c r="Y45" s="58" t="n"/>
      <c r="Z45" s="84" t="n"/>
      <c r="AA45" s="58" t="n"/>
      <c r="AB45" s="59" t="n"/>
      <c r="AC45" s="88" t="n"/>
      <c r="AD45" s="59" t="n"/>
      <c r="AE45" s="84" t="n"/>
      <c r="AF45" s="59" t="n"/>
      <c r="AG45" s="88" t="n"/>
      <c r="AH45" s="59" t="n"/>
      <c r="AI45" s="58" t="n"/>
      <c r="AJ45" s="84" t="n"/>
      <c r="AK45" s="89" t="n"/>
      <c r="AL45" s="88" t="n"/>
      <c r="AM45" s="88" t="n"/>
      <c r="AN45" s="59" t="n"/>
      <c r="AO45" s="90" t="n"/>
      <c r="AP45" s="90" t="n"/>
      <c r="AQ45" s="84" t="n"/>
      <c r="AR45" s="59" t="n"/>
      <c r="AS45" s="59" t="n"/>
      <c r="AT45" s="59" t="n"/>
      <c r="AU45" s="59" t="n"/>
      <c r="AV45" s="59" t="n"/>
    </row>
    <row r="46" ht="14" customHeight="1" s="176">
      <c r="A46" s="56" t="n"/>
      <c r="B46" s="56" t="n"/>
      <c r="C46" s="56" t="n"/>
      <c r="D46" s="56" t="n"/>
      <c r="E46" s="56" t="n"/>
      <c r="F46" s="56" t="n"/>
      <c r="G46" s="56" t="n"/>
      <c r="H46" s="56" t="n"/>
      <c r="I46" s="56" t="n"/>
      <c r="J46" s="56" t="n"/>
      <c r="K46" s="56" t="n"/>
      <c r="L46" s="56" t="n"/>
      <c r="M46" s="84" t="n"/>
      <c r="N46" s="85" t="n"/>
      <c r="O46" s="85" t="n"/>
      <c r="P46" s="85" t="n"/>
      <c r="Q46" s="85" t="n"/>
      <c r="R46" s="86" t="n"/>
      <c r="S46" s="87" t="n"/>
      <c r="T46" s="58" t="n"/>
      <c r="U46" s="84" t="n"/>
      <c r="V46" s="85" t="n"/>
      <c r="W46" s="86" t="n"/>
      <c r="X46" s="87" t="n"/>
      <c r="Y46" s="58" t="n"/>
      <c r="Z46" s="84" t="n"/>
      <c r="AA46" s="58" t="n"/>
      <c r="AB46" s="56" t="n"/>
      <c r="AC46" s="88" t="n"/>
      <c r="AD46" s="56" t="n"/>
      <c r="AE46" s="84" t="n"/>
      <c r="AF46" s="56" t="n"/>
      <c r="AG46" s="88" t="n"/>
      <c r="AH46" s="56" t="n"/>
      <c r="AI46" s="58" t="n"/>
      <c r="AJ46" s="84" t="n"/>
      <c r="AK46" s="89" t="n"/>
      <c r="AL46" s="88" t="n"/>
      <c r="AM46" s="88" t="n"/>
      <c r="AN46" s="56" t="n"/>
      <c r="AO46" s="90" t="n"/>
      <c r="AP46" s="90" t="n"/>
      <c r="AQ46" s="84" t="n"/>
      <c r="AR46" s="56" t="n"/>
      <c r="AS46" s="56" t="n"/>
      <c r="AT46" s="56" t="n"/>
      <c r="AU46" s="56" t="n"/>
      <c r="AV46" s="56" t="n"/>
    </row>
    <row r="47" ht="14" customHeight="1" s="176">
      <c r="A47" s="59" t="n"/>
      <c r="B47" s="59" t="n"/>
      <c r="C47" s="59" t="n"/>
      <c r="D47" s="59" t="n"/>
      <c r="E47" s="59" t="n"/>
      <c r="F47" s="59" t="n"/>
      <c r="G47" s="59" t="n"/>
      <c r="H47" s="59" t="n"/>
      <c r="I47" s="59" t="n"/>
      <c r="J47" s="59" t="n"/>
      <c r="K47" s="59" t="n"/>
      <c r="L47" s="59" t="n"/>
      <c r="M47" s="84" t="n"/>
      <c r="N47" s="85" t="n"/>
      <c r="O47" s="85" t="n"/>
      <c r="P47" s="85" t="n"/>
      <c r="Q47" s="85" t="n"/>
      <c r="R47" s="86" t="n"/>
      <c r="S47" s="87" t="n"/>
      <c r="T47" s="58" t="n"/>
      <c r="U47" s="84" t="n"/>
      <c r="V47" s="85" t="n"/>
      <c r="W47" s="86" t="n"/>
      <c r="X47" s="87" t="n"/>
      <c r="Y47" s="58" t="n"/>
      <c r="Z47" s="84" t="n"/>
      <c r="AA47" s="58" t="n"/>
      <c r="AB47" s="59" t="n"/>
      <c r="AC47" s="88" t="n"/>
      <c r="AD47" s="59" t="n"/>
      <c r="AE47" s="84" t="n"/>
      <c r="AF47" s="59" t="n"/>
      <c r="AG47" s="88" t="n"/>
      <c r="AH47" s="59" t="n"/>
      <c r="AI47" s="58" t="n"/>
      <c r="AJ47" s="84" t="n"/>
      <c r="AK47" s="89" t="n"/>
      <c r="AL47" s="88" t="n"/>
      <c r="AM47" s="88" t="n"/>
      <c r="AN47" s="59" t="n"/>
      <c r="AO47" s="90" t="n"/>
      <c r="AP47" s="90" t="n"/>
      <c r="AQ47" s="84" t="n"/>
      <c r="AR47" s="59" t="n"/>
      <c r="AS47" s="59" t="n"/>
      <c r="AT47" s="59" t="n"/>
      <c r="AU47" s="59" t="n"/>
      <c r="AV47" s="59" t="n"/>
    </row>
    <row r="48" ht="14" customHeight="1" s="176">
      <c r="A48" s="56" t="n"/>
      <c r="B48" s="56" t="n"/>
      <c r="C48" s="56" t="n"/>
      <c r="D48" s="56" t="n"/>
      <c r="E48" s="56" t="n"/>
      <c r="F48" s="56" t="n"/>
      <c r="G48" s="56" t="n"/>
      <c r="H48" s="56" t="n"/>
      <c r="I48" s="56" t="n"/>
      <c r="J48" s="56" t="n"/>
      <c r="K48" s="56" t="n"/>
      <c r="L48" s="56" t="n"/>
      <c r="M48" s="84" t="n"/>
      <c r="N48" s="85" t="n"/>
      <c r="O48" s="85" t="n"/>
      <c r="P48" s="85" t="n"/>
      <c r="Q48" s="85" t="n"/>
      <c r="R48" s="86" t="n"/>
      <c r="S48" s="87" t="n"/>
      <c r="T48" s="58" t="n"/>
      <c r="U48" s="84" t="n"/>
      <c r="V48" s="85" t="n"/>
      <c r="W48" s="86" t="n"/>
      <c r="X48" s="87" t="n"/>
      <c r="Y48" s="58" t="n"/>
      <c r="Z48" s="84" t="n"/>
      <c r="AA48" s="58" t="n"/>
      <c r="AB48" s="56" t="n"/>
      <c r="AC48" s="88" t="n"/>
      <c r="AD48" s="56" t="n"/>
      <c r="AE48" s="84" t="n"/>
      <c r="AF48" s="56" t="n"/>
      <c r="AG48" s="88" t="n"/>
      <c r="AH48" s="56" t="n"/>
      <c r="AI48" s="58" t="n"/>
      <c r="AJ48" s="84" t="n"/>
      <c r="AK48" s="89" t="n"/>
      <c r="AL48" s="88" t="n"/>
      <c r="AM48" s="88" t="n"/>
      <c r="AN48" s="56" t="n"/>
      <c r="AO48" s="90" t="n"/>
      <c r="AP48" s="90" t="n"/>
      <c r="AQ48" s="84" t="n"/>
      <c r="AR48" s="56" t="n"/>
      <c r="AS48" s="56" t="n"/>
      <c r="AT48" s="56" t="n"/>
      <c r="AU48" s="56" t="n"/>
      <c r="AV48" s="56" t="n"/>
    </row>
    <row r="49" ht="14" customHeight="1" s="176">
      <c r="A49" s="59" t="n"/>
      <c r="B49" s="59" t="n"/>
      <c r="C49" s="59" t="n"/>
      <c r="D49" s="59" t="n"/>
      <c r="E49" s="59" t="n"/>
      <c r="F49" s="59" t="n"/>
      <c r="G49" s="59" t="n"/>
      <c r="H49" s="59" t="n"/>
      <c r="I49" s="59" t="n"/>
      <c r="J49" s="59" t="n"/>
      <c r="K49" s="59" t="n"/>
      <c r="L49" s="59" t="n"/>
      <c r="M49" s="84" t="n"/>
      <c r="N49" s="85" t="n"/>
      <c r="O49" s="85" t="n"/>
      <c r="P49" s="85" t="n"/>
      <c r="Q49" s="85" t="n"/>
      <c r="R49" s="86" t="n"/>
      <c r="S49" s="87" t="n"/>
      <c r="T49" s="58" t="n"/>
      <c r="U49" s="84" t="n"/>
      <c r="V49" s="85" t="n"/>
      <c r="W49" s="86" t="n"/>
      <c r="X49" s="87" t="n"/>
      <c r="Y49" s="58" t="n"/>
      <c r="Z49" s="84" t="n"/>
      <c r="AA49" s="58" t="n"/>
      <c r="AB49" s="59" t="n"/>
      <c r="AC49" s="88" t="n"/>
      <c r="AD49" s="59" t="n"/>
      <c r="AE49" s="84" t="n"/>
      <c r="AF49" s="59" t="n"/>
      <c r="AG49" s="88" t="n"/>
      <c r="AH49" s="59" t="n"/>
      <c r="AI49" s="58" t="n"/>
      <c r="AJ49" s="84" t="n"/>
      <c r="AK49" s="89" t="n"/>
      <c r="AL49" s="88" t="n"/>
      <c r="AM49" s="88" t="n"/>
      <c r="AN49" s="59" t="n"/>
      <c r="AO49" s="90" t="n"/>
      <c r="AP49" s="90" t="n"/>
      <c r="AQ49" s="84" t="n"/>
      <c r="AR49" s="59" t="n"/>
      <c r="AS49" s="59" t="n"/>
      <c r="AT49" s="59" t="n"/>
      <c r="AU49" s="59" t="n"/>
      <c r="AV49" s="59" t="n"/>
    </row>
    <row r="50" ht="14" customHeight="1" s="176">
      <c r="A50" s="56" t="n"/>
      <c r="B50" s="56" t="n"/>
      <c r="C50" s="56" t="n"/>
      <c r="D50" s="56" t="n"/>
      <c r="E50" s="56" t="n"/>
      <c r="F50" s="56" t="n"/>
      <c r="G50" s="56" t="n"/>
      <c r="H50" s="56" t="n"/>
      <c r="I50" s="56" t="n"/>
      <c r="J50" s="56" t="n"/>
      <c r="K50" s="56" t="n"/>
      <c r="L50" s="56" t="n"/>
      <c r="M50" s="84" t="n"/>
      <c r="N50" s="85" t="n"/>
      <c r="O50" s="85" t="n"/>
      <c r="P50" s="85" t="n"/>
      <c r="Q50" s="85" t="n"/>
      <c r="R50" s="86" t="n"/>
      <c r="S50" s="87" t="n"/>
      <c r="T50" s="58" t="n"/>
      <c r="U50" s="84" t="n"/>
      <c r="V50" s="85" t="n"/>
      <c r="W50" s="86" t="n"/>
      <c r="X50" s="87" t="n"/>
      <c r="Y50" s="58" t="n"/>
      <c r="Z50" s="84" t="n"/>
      <c r="AA50" s="58" t="n"/>
      <c r="AB50" s="56" t="n"/>
      <c r="AC50" s="88" t="n"/>
      <c r="AD50" s="56" t="n"/>
      <c r="AE50" s="84" t="n"/>
      <c r="AF50" s="56" t="n"/>
      <c r="AG50" s="88" t="n"/>
      <c r="AH50" s="56" t="n"/>
      <c r="AI50" s="58" t="n"/>
      <c r="AJ50" s="84" t="n"/>
      <c r="AK50" s="89" t="n"/>
      <c r="AL50" s="88" t="n"/>
      <c r="AM50" s="88" t="n"/>
      <c r="AN50" s="56" t="n"/>
      <c r="AO50" s="90" t="n"/>
      <c r="AP50" s="90" t="n"/>
      <c r="AQ50" s="84" t="n"/>
      <c r="AR50" s="56" t="n"/>
      <c r="AS50" s="56" t="n"/>
      <c r="AT50" s="56" t="n"/>
      <c r="AU50" s="56" t="n"/>
      <c r="AV50" s="56" t="n"/>
    </row>
    <row r="51" ht="14" customHeight="1" s="176">
      <c r="A51" s="59" t="n"/>
      <c r="B51" s="59" t="n"/>
      <c r="C51" s="59" t="n"/>
      <c r="D51" s="59" t="n"/>
      <c r="E51" s="59" t="n"/>
      <c r="F51" s="59" t="n"/>
      <c r="G51" s="59" t="n"/>
      <c r="H51" s="59" t="n"/>
      <c r="I51" s="59" t="n"/>
      <c r="J51" s="59" t="n"/>
      <c r="K51" s="59" t="n"/>
      <c r="L51" s="59" t="n"/>
      <c r="M51" s="84" t="n"/>
      <c r="N51" s="85" t="n"/>
      <c r="O51" s="85" t="n"/>
      <c r="P51" s="85" t="n"/>
      <c r="Q51" s="85" t="n"/>
      <c r="R51" s="86" t="n"/>
      <c r="S51" s="87" t="n"/>
      <c r="T51" s="58" t="n"/>
      <c r="U51" s="84" t="n"/>
      <c r="V51" s="85" t="n"/>
      <c r="W51" s="86" t="n"/>
      <c r="X51" s="87" t="n"/>
      <c r="Y51" s="58" t="n"/>
      <c r="Z51" s="84" t="n"/>
      <c r="AA51" s="58" t="n"/>
      <c r="AB51" s="59" t="n"/>
      <c r="AC51" s="88" t="n"/>
      <c r="AD51" s="59" t="n"/>
      <c r="AE51" s="84" t="n"/>
      <c r="AF51" s="59" t="n"/>
      <c r="AG51" s="88" t="n"/>
      <c r="AH51" s="59" t="n"/>
      <c r="AI51" s="58" t="n"/>
      <c r="AJ51" s="84" t="n"/>
      <c r="AK51" s="89" t="n"/>
      <c r="AL51" s="88" t="n"/>
      <c r="AM51" s="88" t="n"/>
      <c r="AN51" s="59" t="n"/>
      <c r="AO51" s="90" t="n"/>
      <c r="AP51" s="90" t="n"/>
      <c r="AQ51" s="84" t="n"/>
      <c r="AR51" s="59" t="n"/>
      <c r="AS51" s="59" t="n"/>
      <c r="AT51" s="59" t="n"/>
      <c r="AU51" s="59" t="n"/>
      <c r="AV51" s="59" t="n"/>
    </row>
    <row r="52" ht="14" customHeight="1" s="176">
      <c r="A52" s="56" t="n"/>
      <c r="B52" s="56" t="n"/>
      <c r="C52" s="56" t="n"/>
      <c r="D52" s="56" t="n"/>
      <c r="E52" s="56" t="n"/>
      <c r="F52" s="56" t="n"/>
      <c r="G52" s="56" t="n"/>
      <c r="H52" s="56" t="n"/>
      <c r="I52" s="56" t="n"/>
      <c r="J52" s="56" t="n"/>
      <c r="K52" s="56" t="n"/>
      <c r="L52" s="56" t="n"/>
      <c r="M52" s="84" t="n"/>
      <c r="N52" s="85" t="n"/>
      <c r="O52" s="85" t="n"/>
      <c r="P52" s="85" t="n"/>
      <c r="Q52" s="85" t="n"/>
      <c r="R52" s="86" t="n"/>
      <c r="S52" s="87" t="n"/>
      <c r="T52" s="58" t="n"/>
      <c r="U52" s="84" t="n"/>
      <c r="V52" s="85" t="n"/>
      <c r="W52" s="86" t="n"/>
      <c r="X52" s="87" t="n"/>
      <c r="Y52" s="58" t="n"/>
      <c r="Z52" s="84" t="n"/>
      <c r="AA52" s="58" t="n"/>
      <c r="AB52" s="56" t="n"/>
      <c r="AC52" s="88" t="n"/>
      <c r="AD52" s="56" t="n"/>
      <c r="AE52" s="84" t="n"/>
      <c r="AF52" s="56" t="n"/>
      <c r="AG52" s="88" t="n"/>
      <c r="AH52" s="56" t="n"/>
      <c r="AI52" s="58" t="n"/>
      <c r="AJ52" s="84" t="n"/>
      <c r="AK52" s="89" t="n"/>
      <c r="AL52" s="88" t="n"/>
      <c r="AM52" s="88" t="n"/>
      <c r="AN52" s="56" t="n"/>
      <c r="AO52" s="90" t="n"/>
      <c r="AP52" s="90" t="n"/>
      <c r="AQ52" s="84" t="n"/>
      <c r="AR52" s="56" t="n"/>
      <c r="AS52" s="56" t="n"/>
      <c r="AT52" s="56" t="n"/>
      <c r="AU52" s="56" t="n"/>
      <c r="AV52" s="56" t="n"/>
    </row>
    <row r="53" ht="14" customHeight="1" s="176">
      <c r="A53" s="59" t="n"/>
      <c r="B53" s="59" t="n"/>
      <c r="C53" s="59" t="n"/>
      <c r="D53" s="59" t="n"/>
      <c r="E53" s="59" t="n"/>
      <c r="F53" s="59" t="n"/>
      <c r="G53" s="59" t="n"/>
      <c r="H53" s="59" t="n"/>
      <c r="I53" s="59" t="n"/>
      <c r="J53" s="59" t="n"/>
      <c r="K53" s="59" t="n"/>
      <c r="L53" s="59" t="n"/>
      <c r="M53" s="84" t="n"/>
      <c r="N53" s="85" t="n"/>
      <c r="O53" s="85" t="n"/>
      <c r="P53" s="85" t="n"/>
      <c r="Q53" s="85" t="n"/>
      <c r="R53" s="86" t="n"/>
      <c r="S53" s="87" t="n"/>
      <c r="T53" s="58" t="n"/>
      <c r="U53" s="84" t="n"/>
      <c r="V53" s="85" t="n"/>
      <c r="W53" s="86" t="n"/>
      <c r="X53" s="87" t="n"/>
      <c r="Y53" s="58" t="n"/>
      <c r="Z53" s="84" t="n"/>
      <c r="AA53" s="58" t="n"/>
      <c r="AB53" s="59" t="n"/>
      <c r="AC53" s="88" t="n"/>
      <c r="AD53" s="59" t="n"/>
      <c r="AE53" s="84" t="n"/>
      <c r="AF53" s="59" t="n"/>
      <c r="AG53" s="88" t="n"/>
      <c r="AH53" s="59" t="n"/>
      <c r="AI53" s="58" t="n"/>
      <c r="AJ53" s="84" t="n"/>
      <c r="AK53" s="89" t="n"/>
      <c r="AL53" s="88" t="n"/>
      <c r="AM53" s="88" t="n"/>
      <c r="AN53" s="59" t="n"/>
      <c r="AO53" s="90" t="n"/>
      <c r="AP53" s="90" t="n"/>
      <c r="AQ53" s="84" t="n"/>
      <c r="AR53" s="59" t="n"/>
      <c r="AS53" s="59" t="n"/>
      <c r="AT53" s="59" t="n"/>
      <c r="AU53" s="59" t="n"/>
      <c r="AV53" s="59" t="n"/>
    </row>
    <row r="54" ht="14" customHeight="1" s="176">
      <c r="A54" s="56" t="n"/>
      <c r="B54" s="56" t="n"/>
      <c r="C54" s="56" t="n"/>
      <c r="D54" s="56" t="n"/>
      <c r="E54" s="56" t="n"/>
      <c r="F54" s="56" t="n"/>
      <c r="G54" s="56" t="n"/>
      <c r="H54" s="56" t="n"/>
      <c r="I54" s="56" t="n"/>
      <c r="J54" s="56" t="n"/>
      <c r="K54" s="56" t="n"/>
      <c r="L54" s="56" t="n"/>
      <c r="M54" s="84" t="n"/>
      <c r="N54" s="85" t="n"/>
      <c r="O54" s="85" t="n"/>
      <c r="P54" s="85" t="n"/>
      <c r="Q54" s="85" t="n"/>
      <c r="R54" s="86" t="n"/>
      <c r="S54" s="87" t="n"/>
      <c r="T54" s="58" t="n"/>
      <c r="U54" s="84" t="n"/>
      <c r="V54" s="85" t="n"/>
      <c r="W54" s="86" t="n"/>
      <c r="X54" s="87" t="n"/>
      <c r="Y54" s="58" t="n"/>
      <c r="Z54" s="84" t="n"/>
      <c r="AA54" s="58" t="n"/>
      <c r="AB54" s="56" t="n"/>
      <c r="AC54" s="88" t="n"/>
      <c r="AD54" s="56" t="n"/>
      <c r="AE54" s="84" t="n"/>
      <c r="AF54" s="56" t="n"/>
      <c r="AG54" s="88" t="n"/>
      <c r="AH54" s="56" t="n"/>
      <c r="AI54" s="58" t="n"/>
      <c r="AJ54" s="84" t="n"/>
      <c r="AK54" s="89" t="n"/>
      <c r="AL54" s="88" t="n"/>
      <c r="AM54" s="88" t="n"/>
      <c r="AN54" s="56" t="n"/>
      <c r="AO54" s="90" t="n"/>
      <c r="AP54" s="90" t="n"/>
      <c r="AQ54" s="84" t="n"/>
      <c r="AR54" s="56" t="n"/>
      <c r="AS54" s="56" t="n"/>
      <c r="AT54" s="56" t="n"/>
      <c r="AU54" s="56" t="n"/>
      <c r="AV54" s="56" t="n"/>
    </row>
    <row r="55" ht="14" customHeight="1" s="176">
      <c r="A55" s="59" t="n"/>
      <c r="B55" s="59" t="n"/>
      <c r="C55" s="59" t="n"/>
      <c r="D55" s="59" t="n"/>
      <c r="E55" s="59" t="n"/>
      <c r="F55" s="59" t="n"/>
      <c r="G55" s="59" t="n"/>
      <c r="H55" s="59" t="n"/>
      <c r="I55" s="59" t="n"/>
      <c r="J55" s="59" t="n"/>
      <c r="K55" s="59" t="n"/>
      <c r="L55" s="59" t="n"/>
      <c r="M55" s="84" t="n"/>
      <c r="N55" s="85" t="n"/>
      <c r="O55" s="85" t="n"/>
      <c r="P55" s="85" t="n"/>
      <c r="Q55" s="85" t="n"/>
      <c r="R55" s="86" t="n"/>
      <c r="S55" s="87" t="n"/>
      <c r="T55" s="58" t="n"/>
      <c r="U55" s="84" t="n"/>
      <c r="V55" s="85" t="n"/>
      <c r="W55" s="86" t="n"/>
      <c r="X55" s="87" t="n"/>
      <c r="Y55" s="58" t="n"/>
      <c r="Z55" s="84" t="n"/>
      <c r="AA55" s="58" t="n"/>
      <c r="AB55" s="59" t="n"/>
      <c r="AC55" s="88" t="n"/>
      <c r="AD55" s="59" t="n"/>
      <c r="AE55" s="84" t="n"/>
      <c r="AF55" s="59" t="n"/>
      <c r="AG55" s="88" t="n"/>
      <c r="AH55" s="59" t="n"/>
      <c r="AI55" s="58" t="n"/>
      <c r="AJ55" s="84" t="n"/>
      <c r="AK55" s="89" t="n"/>
      <c r="AL55" s="88" t="n"/>
      <c r="AM55" s="88" t="n"/>
      <c r="AN55" s="59" t="n"/>
      <c r="AO55" s="90" t="n"/>
      <c r="AP55" s="90" t="n"/>
      <c r="AQ55" s="84" t="n"/>
      <c r="AR55" s="59" t="n"/>
      <c r="AS55" s="59" t="n"/>
      <c r="AT55" s="59" t="n"/>
      <c r="AU55" s="59" t="n"/>
      <c r="AV55" s="59" t="n"/>
    </row>
    <row r="56" ht="14" customHeight="1" s="176">
      <c r="A56" s="56" t="n"/>
      <c r="B56" s="56" t="n"/>
      <c r="C56" s="56" t="n"/>
      <c r="D56" s="56" t="n"/>
      <c r="E56" s="56" t="n"/>
      <c r="F56" s="56" t="n"/>
      <c r="G56" s="56" t="n"/>
      <c r="H56" s="56" t="n"/>
      <c r="I56" s="56" t="n"/>
      <c r="J56" s="56" t="n"/>
      <c r="K56" s="56" t="n"/>
      <c r="L56" s="56" t="n"/>
      <c r="M56" s="84" t="n"/>
      <c r="N56" s="85" t="n"/>
      <c r="O56" s="85" t="n"/>
      <c r="P56" s="85" t="n"/>
      <c r="Q56" s="85" t="n"/>
      <c r="R56" s="86" t="n"/>
      <c r="S56" s="87" t="n"/>
      <c r="T56" s="58" t="n"/>
      <c r="U56" s="84" t="n"/>
      <c r="V56" s="85" t="n"/>
      <c r="W56" s="86" t="n"/>
      <c r="X56" s="87" t="n"/>
      <c r="Y56" s="58" t="n"/>
      <c r="Z56" s="84" t="n"/>
      <c r="AA56" s="58" t="n"/>
      <c r="AB56" s="56" t="n"/>
      <c r="AC56" s="88" t="n"/>
      <c r="AD56" s="56" t="n"/>
      <c r="AE56" s="84" t="n"/>
      <c r="AF56" s="56" t="n"/>
      <c r="AG56" s="88" t="n"/>
      <c r="AH56" s="56" t="n"/>
      <c r="AI56" s="58" t="n"/>
      <c r="AJ56" s="84" t="n"/>
      <c r="AK56" s="89" t="n"/>
      <c r="AL56" s="88" t="n"/>
      <c r="AM56" s="88" t="n"/>
      <c r="AN56" s="56" t="n"/>
      <c r="AO56" s="90" t="n"/>
      <c r="AP56" s="90" t="n"/>
      <c r="AQ56" s="84" t="n"/>
      <c r="AR56" s="56" t="n"/>
      <c r="AS56" s="56" t="n"/>
      <c r="AT56" s="56" t="n"/>
      <c r="AU56" s="56" t="n"/>
      <c r="AV56" s="56" t="n"/>
    </row>
    <row r="57" ht="14" customHeight="1" s="176">
      <c r="A57" s="59" t="n"/>
      <c r="B57" s="59" t="n"/>
      <c r="C57" s="59" t="n"/>
      <c r="D57" s="59" t="n"/>
      <c r="E57" s="59" t="n"/>
      <c r="F57" s="59" t="n"/>
      <c r="G57" s="59" t="n"/>
      <c r="H57" s="59" t="n"/>
      <c r="I57" s="59" t="n"/>
      <c r="J57" s="59" t="n"/>
      <c r="K57" s="59" t="n"/>
      <c r="L57" s="59" t="n"/>
      <c r="M57" s="84" t="n"/>
      <c r="N57" s="85" t="n"/>
      <c r="O57" s="85" t="n"/>
      <c r="P57" s="85" t="n"/>
      <c r="Q57" s="85" t="n"/>
      <c r="R57" s="86" t="n"/>
      <c r="S57" s="87" t="n"/>
      <c r="T57" s="58" t="n"/>
      <c r="U57" s="84" t="n"/>
      <c r="V57" s="85" t="n"/>
      <c r="W57" s="86" t="n"/>
      <c r="X57" s="87" t="n"/>
      <c r="Y57" s="58" t="n"/>
      <c r="Z57" s="84" t="n"/>
      <c r="AA57" s="58" t="n"/>
      <c r="AB57" s="59" t="n"/>
      <c r="AC57" s="88" t="n"/>
      <c r="AD57" s="59" t="n"/>
      <c r="AE57" s="84" t="n"/>
      <c r="AF57" s="59" t="n"/>
      <c r="AG57" s="88" t="n"/>
      <c r="AH57" s="59" t="n"/>
      <c r="AI57" s="58" t="n"/>
      <c r="AJ57" s="84" t="n"/>
      <c r="AK57" s="89" t="n"/>
      <c r="AL57" s="88" t="n"/>
      <c r="AM57" s="88" t="n"/>
      <c r="AN57" s="59" t="n"/>
      <c r="AO57" s="90" t="n"/>
      <c r="AP57" s="90" t="n"/>
      <c r="AQ57" s="84" t="n"/>
      <c r="AR57" s="59" t="n"/>
      <c r="AS57" s="59" t="n"/>
      <c r="AT57" s="59" t="n"/>
      <c r="AU57" s="59" t="n"/>
      <c r="AV57" s="59" t="n"/>
    </row>
    <row r="58" ht="14" customHeight="1" s="176">
      <c r="A58" s="56" t="n"/>
      <c r="B58" s="56" t="n"/>
      <c r="C58" s="56" t="n"/>
      <c r="D58" s="56" t="n"/>
      <c r="E58" s="56" t="n"/>
      <c r="F58" s="56" t="n"/>
      <c r="G58" s="56" t="n"/>
      <c r="H58" s="56" t="n"/>
      <c r="I58" s="56" t="n"/>
      <c r="J58" s="56" t="n"/>
      <c r="K58" s="56" t="n"/>
      <c r="L58" s="56" t="n"/>
      <c r="M58" s="84" t="n"/>
      <c r="N58" s="85" t="n"/>
      <c r="O58" s="85" t="n"/>
      <c r="P58" s="85" t="n"/>
      <c r="Q58" s="85" t="n"/>
      <c r="R58" s="86" t="n"/>
      <c r="S58" s="87" t="n"/>
      <c r="T58" s="58" t="n"/>
      <c r="U58" s="84" t="n"/>
      <c r="V58" s="85" t="n"/>
      <c r="W58" s="86" t="n"/>
      <c r="X58" s="87" t="n"/>
      <c r="Y58" s="58" t="n"/>
      <c r="Z58" s="84" t="n"/>
      <c r="AA58" s="58" t="n"/>
      <c r="AB58" s="56" t="n"/>
      <c r="AC58" s="88" t="n"/>
      <c r="AD58" s="56" t="n"/>
      <c r="AE58" s="84" t="n"/>
      <c r="AF58" s="56" t="n"/>
      <c r="AG58" s="88" t="n"/>
      <c r="AH58" s="56" t="n"/>
      <c r="AI58" s="58" t="n"/>
      <c r="AJ58" s="84" t="n"/>
      <c r="AK58" s="89" t="n"/>
      <c r="AL58" s="88" t="n"/>
      <c r="AM58" s="88" t="n"/>
      <c r="AN58" s="56" t="n"/>
      <c r="AO58" s="90" t="n"/>
      <c r="AP58" s="90" t="n"/>
      <c r="AQ58" s="84" t="n"/>
      <c r="AR58" s="56" t="n"/>
      <c r="AS58" s="56" t="n"/>
      <c r="AT58" s="56" t="n"/>
      <c r="AU58" s="56" t="n"/>
      <c r="AV58" s="56" t="n"/>
    </row>
    <row r="59" ht="14" customHeight="1" s="176">
      <c r="A59" s="59" t="n"/>
      <c r="B59" s="59" t="n"/>
      <c r="C59" s="59" t="n"/>
      <c r="D59" s="59" t="n"/>
      <c r="E59" s="59" t="n"/>
      <c r="F59" s="59" t="n"/>
      <c r="G59" s="59" t="n"/>
      <c r="H59" s="59" t="n"/>
      <c r="I59" s="59" t="n"/>
      <c r="J59" s="59" t="n"/>
      <c r="K59" s="59" t="n"/>
      <c r="L59" s="59" t="n"/>
      <c r="M59" s="84" t="n"/>
      <c r="N59" s="85" t="n"/>
      <c r="O59" s="85" t="n"/>
      <c r="P59" s="85" t="n"/>
      <c r="Q59" s="85" t="n"/>
      <c r="R59" s="86" t="n"/>
      <c r="S59" s="87" t="n"/>
      <c r="T59" s="58" t="n"/>
      <c r="U59" s="84" t="n"/>
      <c r="V59" s="85" t="n"/>
      <c r="W59" s="86" t="n"/>
      <c r="X59" s="87" t="n"/>
      <c r="Y59" s="58" t="n"/>
      <c r="Z59" s="84" t="n"/>
      <c r="AA59" s="58" t="n"/>
      <c r="AB59" s="59" t="n"/>
      <c r="AC59" s="88" t="n"/>
      <c r="AD59" s="59" t="n"/>
      <c r="AE59" s="84" t="n"/>
      <c r="AF59" s="59" t="n"/>
      <c r="AG59" s="88" t="n"/>
      <c r="AH59" s="59" t="n"/>
      <c r="AI59" s="58" t="n"/>
      <c r="AJ59" s="84" t="n"/>
      <c r="AK59" s="89" t="n"/>
      <c r="AL59" s="88" t="n"/>
      <c r="AM59" s="88" t="n"/>
      <c r="AN59" s="59" t="n"/>
      <c r="AO59" s="90" t="n"/>
      <c r="AP59" s="90" t="n"/>
      <c r="AQ59" s="84" t="n"/>
      <c r="AR59" s="59" t="n"/>
      <c r="AS59" s="59" t="n"/>
      <c r="AT59" s="59" t="n"/>
      <c r="AU59" s="59" t="n"/>
      <c r="AV59" s="59" t="n"/>
    </row>
    <row r="60" ht="14" customHeight="1" s="176">
      <c r="A60" s="56" t="n"/>
      <c r="B60" s="56" t="n"/>
      <c r="C60" s="56" t="n"/>
      <c r="D60" s="56" t="n"/>
      <c r="E60" s="56" t="n"/>
      <c r="F60" s="56" t="n"/>
      <c r="G60" s="56" t="n"/>
      <c r="H60" s="56" t="n"/>
      <c r="I60" s="56" t="n"/>
      <c r="J60" s="56" t="n"/>
      <c r="K60" s="56" t="n"/>
      <c r="L60" s="56" t="n"/>
      <c r="M60" s="84" t="n"/>
      <c r="N60" s="85" t="n"/>
      <c r="O60" s="85" t="n"/>
      <c r="P60" s="85" t="n"/>
      <c r="Q60" s="85" t="n"/>
      <c r="R60" s="86" t="n"/>
      <c r="S60" s="87" t="n"/>
      <c r="T60" s="58" t="n"/>
      <c r="U60" s="84" t="n"/>
      <c r="V60" s="85" t="n"/>
      <c r="W60" s="86" t="n"/>
      <c r="X60" s="87" t="n"/>
      <c r="Y60" s="58" t="n"/>
      <c r="Z60" s="84" t="n"/>
      <c r="AA60" s="58" t="n"/>
      <c r="AB60" s="56" t="n"/>
      <c r="AC60" s="88" t="n"/>
      <c r="AD60" s="56" t="n"/>
      <c r="AE60" s="84" t="n"/>
      <c r="AF60" s="56" t="n"/>
      <c r="AG60" s="88" t="n"/>
      <c r="AH60" s="56" t="n"/>
      <c r="AI60" s="58" t="n"/>
      <c r="AJ60" s="84" t="n"/>
      <c r="AK60" s="89" t="n"/>
      <c r="AL60" s="88" t="n"/>
      <c r="AM60" s="88" t="n"/>
      <c r="AN60" s="56" t="n"/>
      <c r="AO60" s="90" t="n"/>
      <c r="AP60" s="90" t="n"/>
      <c r="AQ60" s="84" t="n"/>
      <c r="AR60" s="56" t="n"/>
      <c r="AS60" s="56" t="n"/>
      <c r="AT60" s="56" t="n"/>
      <c r="AU60" s="56" t="n"/>
      <c r="AV60" s="56" t="n"/>
    </row>
    <row r="61" ht="14" customHeight="1" s="176">
      <c r="A61" s="59" t="n"/>
      <c r="B61" s="59" t="n"/>
      <c r="C61" s="59" t="n"/>
      <c r="D61" s="59" t="n"/>
      <c r="E61" s="59" t="n"/>
      <c r="F61" s="59" t="n"/>
      <c r="G61" s="59" t="n"/>
      <c r="H61" s="59" t="n"/>
      <c r="I61" s="59" t="n"/>
      <c r="J61" s="59" t="n"/>
      <c r="K61" s="59" t="n"/>
      <c r="L61" s="59" t="n"/>
      <c r="M61" s="84" t="n"/>
      <c r="N61" s="85" t="n"/>
      <c r="O61" s="85" t="n"/>
      <c r="P61" s="85" t="n"/>
      <c r="Q61" s="85" t="n"/>
      <c r="R61" s="86" t="n"/>
      <c r="S61" s="87" t="n"/>
      <c r="T61" s="58" t="n"/>
      <c r="U61" s="84" t="n"/>
      <c r="V61" s="85" t="n"/>
      <c r="W61" s="86" t="n"/>
      <c r="X61" s="87" t="n"/>
      <c r="Y61" s="58" t="n"/>
      <c r="Z61" s="84" t="n"/>
      <c r="AA61" s="58" t="n"/>
      <c r="AB61" s="59" t="n"/>
      <c r="AC61" s="88" t="n"/>
      <c r="AD61" s="59" t="n"/>
      <c r="AE61" s="84" t="n"/>
      <c r="AF61" s="59" t="n"/>
      <c r="AG61" s="88" t="n"/>
      <c r="AH61" s="59" t="n"/>
      <c r="AI61" s="58" t="n"/>
      <c r="AJ61" s="84" t="n"/>
      <c r="AK61" s="89" t="n"/>
      <c r="AL61" s="88" t="n"/>
      <c r="AM61" s="88" t="n"/>
      <c r="AN61" s="59" t="n"/>
      <c r="AO61" s="90" t="n"/>
      <c r="AP61" s="90" t="n"/>
      <c r="AQ61" s="84" t="n"/>
      <c r="AR61" s="59" t="n"/>
      <c r="AS61" s="59" t="n"/>
      <c r="AT61" s="59" t="n"/>
      <c r="AU61" s="59" t="n"/>
      <c r="AV61" s="59" t="n"/>
    </row>
    <row r="62" ht="14" customHeight="1" s="176">
      <c r="A62" s="56" t="n"/>
      <c r="B62" s="56" t="n"/>
      <c r="C62" s="56" t="n"/>
      <c r="D62" s="56" t="n"/>
      <c r="E62" s="56" t="n"/>
      <c r="F62" s="56" t="n"/>
      <c r="G62" s="56" t="n"/>
      <c r="H62" s="56" t="n"/>
      <c r="I62" s="56" t="n"/>
      <c r="J62" s="56" t="n"/>
      <c r="K62" s="56" t="n"/>
      <c r="L62" s="56" t="n"/>
      <c r="M62" s="84" t="n"/>
      <c r="N62" s="85" t="n"/>
      <c r="O62" s="85" t="n"/>
      <c r="P62" s="85" t="n"/>
      <c r="Q62" s="85" t="n"/>
      <c r="R62" s="86" t="n"/>
      <c r="S62" s="87" t="n"/>
      <c r="T62" s="58" t="n"/>
      <c r="U62" s="84" t="n"/>
      <c r="V62" s="85" t="n"/>
      <c r="W62" s="86" t="n"/>
      <c r="X62" s="87" t="n"/>
      <c r="Y62" s="58" t="n"/>
      <c r="Z62" s="84" t="n"/>
      <c r="AA62" s="58" t="n"/>
      <c r="AB62" s="56" t="n"/>
      <c r="AC62" s="88" t="n"/>
      <c r="AD62" s="56" t="n"/>
      <c r="AE62" s="84" t="n"/>
      <c r="AF62" s="56" t="n"/>
      <c r="AG62" s="88" t="n"/>
      <c r="AH62" s="56" t="n"/>
      <c r="AI62" s="58" t="n"/>
      <c r="AJ62" s="84" t="n"/>
      <c r="AK62" s="89" t="n"/>
      <c r="AL62" s="88" t="n"/>
      <c r="AM62" s="88" t="n"/>
      <c r="AN62" s="56" t="n"/>
      <c r="AO62" s="90" t="n"/>
      <c r="AP62" s="90" t="n"/>
      <c r="AQ62" s="84" t="n"/>
      <c r="AR62" s="56" t="n"/>
      <c r="AS62" s="56" t="n"/>
      <c r="AT62" s="56" t="n"/>
      <c r="AU62" s="56" t="n"/>
      <c r="AV62" s="56" t="n"/>
    </row>
    <row r="63" ht="14" customHeight="1" s="176">
      <c r="A63" s="59" t="n"/>
      <c r="B63" s="59" t="n"/>
      <c r="C63" s="59" t="n"/>
      <c r="D63" s="59" t="n"/>
      <c r="E63" s="59" t="n"/>
      <c r="F63" s="59" t="n"/>
      <c r="G63" s="59" t="n"/>
      <c r="H63" s="59" t="n"/>
      <c r="I63" s="59" t="n"/>
      <c r="J63" s="59" t="n"/>
      <c r="K63" s="59" t="n"/>
      <c r="L63" s="59" t="n"/>
      <c r="M63" s="84" t="n"/>
      <c r="N63" s="85" t="n"/>
      <c r="O63" s="85" t="n"/>
      <c r="P63" s="85" t="n"/>
      <c r="Q63" s="85" t="n"/>
      <c r="R63" s="86" t="n"/>
      <c r="S63" s="87" t="n"/>
      <c r="T63" s="58" t="n"/>
      <c r="U63" s="84" t="n"/>
      <c r="V63" s="85" t="n"/>
      <c r="W63" s="86" t="n"/>
      <c r="X63" s="87" t="n"/>
      <c r="Y63" s="58" t="n"/>
      <c r="Z63" s="84" t="n"/>
      <c r="AA63" s="58" t="n"/>
      <c r="AB63" s="59" t="n"/>
      <c r="AC63" s="88" t="n"/>
      <c r="AD63" s="59" t="n"/>
      <c r="AE63" s="84" t="n"/>
      <c r="AF63" s="59" t="n"/>
      <c r="AG63" s="88" t="n"/>
      <c r="AH63" s="59" t="n"/>
      <c r="AI63" s="58" t="n"/>
      <c r="AJ63" s="84" t="n"/>
      <c r="AK63" s="89" t="n"/>
      <c r="AL63" s="88" t="n"/>
      <c r="AM63" s="88" t="n"/>
      <c r="AN63" s="59" t="n"/>
      <c r="AO63" s="90" t="n"/>
      <c r="AP63" s="90" t="n"/>
      <c r="AQ63" s="84" t="n"/>
      <c r="AR63" s="59" t="n"/>
      <c r="AS63" s="59" t="n"/>
      <c r="AT63" s="59" t="n"/>
      <c r="AU63" s="59" t="n"/>
      <c r="AV63" s="59" t="n"/>
    </row>
    <row r="64" ht="14" customHeight="1" s="176">
      <c r="A64" s="56" t="n"/>
      <c r="B64" s="56" t="n"/>
      <c r="C64" s="56" t="n"/>
      <c r="D64" s="56" t="n"/>
      <c r="E64" s="56" t="n"/>
      <c r="F64" s="56" t="n"/>
      <c r="G64" s="56" t="n"/>
      <c r="H64" s="56" t="n"/>
      <c r="I64" s="56" t="n"/>
      <c r="J64" s="56" t="n"/>
      <c r="K64" s="56" t="n"/>
      <c r="L64" s="56" t="n"/>
      <c r="M64" s="84" t="n"/>
      <c r="N64" s="85" t="n"/>
      <c r="O64" s="85" t="n"/>
      <c r="P64" s="85" t="n"/>
      <c r="Q64" s="85" t="n"/>
      <c r="R64" s="86" t="n"/>
      <c r="S64" s="87" t="n"/>
      <c r="T64" s="58" t="n"/>
      <c r="U64" s="84" t="n"/>
      <c r="V64" s="85" t="n"/>
      <c r="W64" s="86" t="n"/>
      <c r="X64" s="87" t="n"/>
      <c r="Y64" s="58" t="n"/>
      <c r="Z64" s="84" t="n"/>
      <c r="AA64" s="58" t="n"/>
      <c r="AB64" s="56" t="n"/>
      <c r="AC64" s="88" t="n"/>
      <c r="AD64" s="56" t="n"/>
      <c r="AE64" s="84" t="n"/>
      <c r="AF64" s="56" t="n"/>
      <c r="AG64" s="88" t="n"/>
      <c r="AH64" s="56" t="n"/>
      <c r="AI64" s="58" t="n"/>
      <c r="AJ64" s="84" t="n"/>
      <c r="AK64" s="89" t="n"/>
      <c r="AL64" s="88" t="n"/>
      <c r="AM64" s="88" t="n"/>
      <c r="AN64" s="56" t="n"/>
      <c r="AO64" s="90" t="n"/>
      <c r="AP64" s="90" t="n"/>
      <c r="AQ64" s="84" t="n"/>
      <c r="AR64" s="56" t="n"/>
      <c r="AS64" s="56" t="n"/>
      <c r="AT64" s="56" t="n"/>
      <c r="AU64" s="56" t="n"/>
      <c r="AV64" s="56" t="n"/>
    </row>
    <row r="65" ht="14" customHeight="1" s="176">
      <c r="A65" s="59" t="n"/>
      <c r="B65" s="59" t="n"/>
      <c r="C65" s="59" t="n"/>
      <c r="D65" s="59" t="n"/>
      <c r="E65" s="59" t="n"/>
      <c r="F65" s="59" t="n"/>
      <c r="G65" s="59" t="n"/>
      <c r="H65" s="59" t="n"/>
      <c r="I65" s="59" t="n"/>
      <c r="J65" s="59" t="n"/>
      <c r="K65" s="59" t="n"/>
      <c r="L65" s="59" t="n"/>
      <c r="M65" s="84" t="n"/>
      <c r="N65" s="85" t="n"/>
      <c r="O65" s="85" t="n"/>
      <c r="P65" s="85" t="n"/>
      <c r="Q65" s="85" t="n"/>
      <c r="R65" s="86" t="n"/>
      <c r="S65" s="87" t="n"/>
      <c r="T65" s="58" t="n"/>
      <c r="U65" s="84" t="n"/>
      <c r="V65" s="85" t="n"/>
      <c r="W65" s="86" t="n"/>
      <c r="X65" s="87" t="n"/>
      <c r="Y65" s="58" t="n"/>
      <c r="Z65" s="84" t="n"/>
      <c r="AA65" s="58" t="n"/>
      <c r="AB65" s="59" t="n"/>
      <c r="AC65" s="88" t="n"/>
      <c r="AD65" s="59" t="n"/>
      <c r="AE65" s="84" t="n"/>
      <c r="AF65" s="59" t="n"/>
      <c r="AG65" s="88" t="n"/>
      <c r="AH65" s="59" t="n"/>
      <c r="AI65" s="58" t="n"/>
      <c r="AJ65" s="84" t="n"/>
      <c r="AK65" s="89" t="n"/>
      <c r="AL65" s="88" t="n"/>
      <c r="AM65" s="88" t="n"/>
      <c r="AN65" s="59" t="n"/>
      <c r="AO65" s="90" t="n"/>
      <c r="AP65" s="90" t="n"/>
      <c r="AQ65" s="84" t="n"/>
      <c r="AR65" s="59" t="n"/>
      <c r="AS65" s="59" t="n"/>
      <c r="AT65" s="59" t="n"/>
      <c r="AU65" s="59" t="n"/>
      <c r="AV65" s="59" t="n"/>
    </row>
    <row r="66" ht="14" customHeight="1" s="176">
      <c r="A66" s="56" t="n"/>
      <c r="B66" s="56" t="n"/>
      <c r="C66" s="56" t="n"/>
      <c r="D66" s="56" t="n"/>
      <c r="E66" s="56" t="n"/>
      <c r="F66" s="56" t="n"/>
      <c r="G66" s="56" t="n"/>
      <c r="H66" s="56" t="n"/>
      <c r="I66" s="56" t="n"/>
      <c r="J66" s="56" t="n"/>
      <c r="K66" s="56" t="n"/>
      <c r="L66" s="56" t="n"/>
      <c r="M66" s="84" t="n"/>
      <c r="N66" s="85" t="n"/>
      <c r="O66" s="85" t="n"/>
      <c r="P66" s="85" t="n"/>
      <c r="Q66" s="85" t="n"/>
      <c r="R66" s="86" t="n"/>
      <c r="S66" s="87" t="n"/>
      <c r="T66" s="58" t="n"/>
      <c r="U66" s="84" t="n"/>
      <c r="V66" s="85" t="n"/>
      <c r="W66" s="86" t="n"/>
      <c r="X66" s="87" t="n"/>
      <c r="Y66" s="58" t="n"/>
      <c r="Z66" s="84" t="n"/>
      <c r="AA66" s="58" t="n"/>
      <c r="AB66" s="56" t="n"/>
      <c r="AC66" s="88" t="n"/>
      <c r="AD66" s="56" t="n"/>
      <c r="AE66" s="84" t="n"/>
      <c r="AF66" s="56" t="n"/>
      <c r="AG66" s="88" t="n"/>
      <c r="AH66" s="56" t="n"/>
      <c r="AI66" s="58" t="n"/>
      <c r="AJ66" s="84" t="n"/>
      <c r="AK66" s="89" t="n"/>
      <c r="AL66" s="88" t="n"/>
      <c r="AM66" s="88" t="n"/>
      <c r="AN66" s="56" t="n"/>
      <c r="AO66" s="90" t="n"/>
      <c r="AP66" s="90" t="n"/>
      <c r="AQ66" s="84" t="n"/>
      <c r="AR66" s="56" t="n"/>
      <c r="AS66" s="56" t="n"/>
      <c r="AT66" s="56" t="n"/>
      <c r="AU66" s="56" t="n"/>
      <c r="AV66" s="56" t="n"/>
    </row>
    <row r="67" ht="14" customHeight="1" s="176">
      <c r="A67" s="59" t="n"/>
      <c r="B67" s="59" t="n"/>
      <c r="C67" s="59" t="n"/>
      <c r="D67" s="59" t="n"/>
      <c r="E67" s="59" t="n"/>
      <c r="F67" s="59" t="n"/>
      <c r="G67" s="59" t="n"/>
      <c r="H67" s="59" t="n"/>
      <c r="I67" s="59" t="n"/>
      <c r="J67" s="59" t="n"/>
      <c r="K67" s="59" t="n"/>
      <c r="L67" s="59" t="n"/>
      <c r="M67" s="84" t="n"/>
      <c r="N67" s="85" t="n"/>
      <c r="O67" s="85" t="n"/>
      <c r="P67" s="85" t="n"/>
      <c r="Q67" s="85" t="n"/>
      <c r="R67" s="86" t="n"/>
      <c r="S67" s="87" t="n"/>
      <c r="T67" s="58" t="n"/>
      <c r="U67" s="84" t="n"/>
      <c r="V67" s="85" t="n"/>
      <c r="W67" s="86" t="n"/>
      <c r="X67" s="87" t="n"/>
      <c r="Y67" s="58" t="n"/>
      <c r="Z67" s="84" t="n"/>
      <c r="AA67" s="58" t="n"/>
      <c r="AB67" s="59" t="n"/>
      <c r="AC67" s="88" t="n"/>
      <c r="AD67" s="59" t="n"/>
      <c r="AE67" s="84" t="n"/>
      <c r="AF67" s="59" t="n"/>
      <c r="AG67" s="88" t="n"/>
      <c r="AH67" s="59" t="n"/>
      <c r="AI67" s="58" t="n"/>
      <c r="AJ67" s="84" t="n"/>
      <c r="AK67" s="89" t="n"/>
      <c r="AL67" s="88" t="n"/>
      <c r="AM67" s="88" t="n"/>
      <c r="AN67" s="59" t="n"/>
      <c r="AO67" s="90" t="n"/>
      <c r="AP67" s="90" t="n"/>
      <c r="AQ67" s="84" t="n"/>
      <c r="AR67" s="59" t="n"/>
      <c r="AS67" s="59" t="n"/>
      <c r="AT67" s="59" t="n"/>
      <c r="AU67" s="59" t="n"/>
      <c r="AV67" s="59" t="n"/>
    </row>
    <row r="68" ht="14" customHeight="1" s="176">
      <c r="A68" s="56" t="n"/>
      <c r="B68" s="56" t="n"/>
      <c r="C68" s="56" t="n"/>
      <c r="D68" s="56" t="n"/>
      <c r="E68" s="56" t="n"/>
      <c r="F68" s="56" t="n"/>
      <c r="G68" s="56" t="n"/>
      <c r="H68" s="56" t="n"/>
      <c r="I68" s="56" t="n"/>
      <c r="J68" s="56" t="n"/>
      <c r="K68" s="56" t="n"/>
      <c r="L68" s="56" t="n"/>
      <c r="M68" s="84" t="n"/>
      <c r="N68" s="85" t="n"/>
      <c r="O68" s="85" t="n"/>
      <c r="P68" s="85" t="n"/>
      <c r="Q68" s="85" t="n"/>
      <c r="R68" s="86" t="n"/>
      <c r="S68" s="87" t="n"/>
      <c r="T68" s="58" t="n"/>
      <c r="U68" s="84" t="n"/>
      <c r="V68" s="85" t="n"/>
      <c r="W68" s="86" t="n"/>
      <c r="X68" s="87" t="n"/>
      <c r="Y68" s="58" t="n"/>
      <c r="Z68" s="84" t="n"/>
      <c r="AA68" s="58" t="n"/>
      <c r="AB68" s="56" t="n"/>
      <c r="AC68" s="88" t="n"/>
      <c r="AD68" s="56" t="n"/>
      <c r="AE68" s="84" t="n"/>
      <c r="AF68" s="56" t="n"/>
      <c r="AG68" s="88" t="n"/>
      <c r="AH68" s="56" t="n"/>
      <c r="AI68" s="58" t="n"/>
      <c r="AJ68" s="84" t="n"/>
      <c r="AK68" s="89" t="n"/>
      <c r="AL68" s="88" t="n"/>
      <c r="AM68" s="88" t="n"/>
      <c r="AN68" s="56" t="n"/>
      <c r="AO68" s="90" t="n"/>
      <c r="AP68" s="90" t="n"/>
      <c r="AQ68" s="84" t="n"/>
      <c r="AR68" s="56" t="n"/>
      <c r="AS68" s="56" t="n"/>
      <c r="AT68" s="56" t="n"/>
      <c r="AU68" s="56" t="n"/>
      <c r="AV68" s="56" t="n"/>
    </row>
    <row r="69" ht="14" customHeight="1" s="176">
      <c r="A69" s="59" t="n"/>
      <c r="B69" s="59" t="n"/>
      <c r="C69" s="59" t="n"/>
      <c r="D69" s="59" t="n"/>
      <c r="E69" s="59" t="n"/>
      <c r="F69" s="59" t="n"/>
      <c r="G69" s="59" t="n"/>
      <c r="H69" s="59" t="n"/>
      <c r="I69" s="59" t="n"/>
      <c r="J69" s="59" t="n"/>
      <c r="K69" s="59" t="n"/>
      <c r="L69" s="59" t="n"/>
      <c r="M69" s="84" t="n"/>
      <c r="N69" s="85" t="n"/>
      <c r="O69" s="85" t="n"/>
      <c r="P69" s="85" t="n"/>
      <c r="Q69" s="85" t="n"/>
      <c r="R69" s="86" t="n"/>
      <c r="S69" s="87" t="n"/>
      <c r="T69" s="58" t="n"/>
      <c r="U69" s="84" t="n"/>
      <c r="V69" s="85" t="n"/>
      <c r="W69" s="86" t="n"/>
      <c r="X69" s="87" t="n"/>
      <c r="Y69" s="58" t="n"/>
      <c r="Z69" s="84" t="n"/>
      <c r="AA69" s="58" t="n"/>
      <c r="AB69" s="59" t="n"/>
      <c r="AC69" s="88" t="n"/>
      <c r="AD69" s="59" t="n"/>
      <c r="AE69" s="84" t="n"/>
      <c r="AF69" s="59" t="n"/>
      <c r="AG69" s="88" t="n"/>
      <c r="AH69" s="59" t="n"/>
      <c r="AI69" s="58" t="n"/>
      <c r="AJ69" s="84" t="n"/>
      <c r="AK69" s="89" t="n"/>
      <c r="AL69" s="88" t="n"/>
      <c r="AM69" s="88" t="n"/>
      <c r="AN69" s="59" t="n"/>
      <c r="AO69" s="90" t="n"/>
      <c r="AP69" s="90" t="n"/>
      <c r="AQ69" s="84" t="n"/>
      <c r="AR69" s="59" t="n"/>
      <c r="AS69" s="59" t="n"/>
      <c r="AT69" s="59" t="n"/>
      <c r="AU69" s="59" t="n"/>
      <c r="AV69" s="59" t="n"/>
    </row>
    <row r="70" ht="14" customHeight="1" s="176">
      <c r="A70" s="56" t="n"/>
      <c r="B70" s="56" t="n"/>
      <c r="C70" s="56" t="n"/>
      <c r="D70" s="56" t="n"/>
      <c r="E70" s="56" t="n"/>
      <c r="F70" s="56" t="n"/>
      <c r="G70" s="56" t="n"/>
      <c r="H70" s="56" t="n"/>
      <c r="I70" s="56" t="n"/>
      <c r="J70" s="56" t="n"/>
      <c r="K70" s="56" t="n"/>
      <c r="L70" s="56" t="n"/>
      <c r="M70" s="84" t="n"/>
      <c r="N70" s="85" t="n"/>
      <c r="O70" s="85" t="n"/>
      <c r="P70" s="85" t="n"/>
      <c r="Q70" s="85" t="n"/>
      <c r="R70" s="86" t="n"/>
      <c r="S70" s="87" t="n"/>
      <c r="T70" s="58" t="n"/>
      <c r="U70" s="84" t="n"/>
      <c r="V70" s="85" t="n"/>
      <c r="W70" s="86" t="n"/>
      <c r="X70" s="87" t="n"/>
      <c r="Y70" s="58" t="n"/>
      <c r="Z70" s="84" t="n"/>
      <c r="AA70" s="58" t="n"/>
      <c r="AB70" s="56" t="n"/>
      <c r="AC70" s="88" t="n"/>
      <c r="AD70" s="56" t="n"/>
      <c r="AE70" s="84" t="n"/>
      <c r="AF70" s="56" t="n"/>
      <c r="AG70" s="88" t="n"/>
      <c r="AH70" s="56" t="n"/>
      <c r="AI70" s="58" t="n"/>
      <c r="AJ70" s="84" t="n"/>
      <c r="AK70" s="89" t="n"/>
      <c r="AL70" s="88" t="n"/>
      <c r="AM70" s="88" t="n"/>
      <c r="AN70" s="56" t="n"/>
      <c r="AO70" s="90" t="n"/>
      <c r="AP70" s="90" t="n"/>
      <c r="AQ70" s="84" t="n"/>
      <c r="AR70" s="56" t="n"/>
      <c r="AS70" s="56" t="n"/>
      <c r="AT70" s="56" t="n"/>
      <c r="AU70" s="56" t="n"/>
      <c r="AV70" s="56" t="n"/>
    </row>
    <row r="71" ht="14" customHeight="1" s="176">
      <c r="A71" s="59" t="n"/>
      <c r="B71" s="59" t="n"/>
      <c r="C71" s="59" t="n"/>
      <c r="D71" s="59" t="n"/>
      <c r="E71" s="59" t="n"/>
      <c r="F71" s="59" t="n"/>
      <c r="G71" s="59" t="n"/>
      <c r="H71" s="59" t="n"/>
      <c r="I71" s="59" t="n"/>
      <c r="J71" s="59" t="n"/>
      <c r="K71" s="59" t="n"/>
      <c r="L71" s="59" t="n"/>
      <c r="M71" s="84" t="n"/>
      <c r="N71" s="85" t="n"/>
      <c r="O71" s="85" t="n"/>
      <c r="P71" s="85" t="n"/>
      <c r="Q71" s="85" t="n"/>
      <c r="R71" s="86" t="n"/>
      <c r="S71" s="87" t="n"/>
      <c r="T71" s="58" t="n"/>
      <c r="U71" s="84" t="n"/>
      <c r="V71" s="85" t="n"/>
      <c r="W71" s="86" t="n"/>
      <c r="X71" s="87" t="n"/>
      <c r="Y71" s="58" t="n"/>
      <c r="Z71" s="84" t="n"/>
      <c r="AA71" s="58" t="n"/>
      <c r="AB71" s="59" t="n"/>
      <c r="AC71" s="88" t="n"/>
      <c r="AD71" s="59" t="n"/>
      <c r="AE71" s="84" t="n"/>
      <c r="AF71" s="59" t="n"/>
      <c r="AG71" s="88" t="n"/>
      <c r="AH71" s="59" t="n"/>
      <c r="AI71" s="58" t="n"/>
      <c r="AJ71" s="84" t="n"/>
      <c r="AK71" s="89" t="n"/>
      <c r="AL71" s="88" t="n"/>
      <c r="AM71" s="88" t="n"/>
      <c r="AN71" s="59" t="n"/>
      <c r="AO71" s="90" t="n"/>
      <c r="AP71" s="90" t="n"/>
      <c r="AQ71" s="84" t="n"/>
      <c r="AR71" s="59" t="n"/>
      <c r="AS71" s="59" t="n"/>
      <c r="AT71" s="59" t="n"/>
      <c r="AU71" s="59" t="n"/>
      <c r="AV71" s="59" t="n"/>
    </row>
    <row r="72" ht="14" customHeight="1" s="176">
      <c r="A72" s="56" t="n"/>
      <c r="B72" s="56" t="n"/>
      <c r="C72" s="56" t="n"/>
      <c r="D72" s="56" t="n"/>
      <c r="E72" s="56" t="n"/>
      <c r="F72" s="56" t="n"/>
      <c r="G72" s="56" t="n"/>
      <c r="H72" s="56" t="n"/>
      <c r="I72" s="56" t="n"/>
      <c r="J72" s="56" t="n"/>
      <c r="K72" s="56" t="n"/>
      <c r="L72" s="56" t="n"/>
      <c r="M72" s="84" t="n"/>
      <c r="N72" s="85" t="n"/>
      <c r="O72" s="85" t="n"/>
      <c r="P72" s="85" t="n"/>
      <c r="Q72" s="85" t="n"/>
      <c r="R72" s="86" t="n"/>
      <c r="S72" s="87" t="n"/>
      <c r="T72" s="58" t="n"/>
      <c r="U72" s="84" t="n"/>
      <c r="V72" s="85" t="n"/>
      <c r="W72" s="86" t="n"/>
      <c r="X72" s="87" t="n"/>
      <c r="Y72" s="58" t="n"/>
      <c r="Z72" s="84" t="n"/>
      <c r="AA72" s="58" t="n"/>
      <c r="AB72" s="56" t="n"/>
      <c r="AC72" s="88" t="n"/>
      <c r="AD72" s="56" t="n"/>
      <c r="AE72" s="84" t="n"/>
      <c r="AF72" s="56" t="n"/>
      <c r="AG72" s="88" t="n"/>
      <c r="AH72" s="56" t="n"/>
      <c r="AI72" s="58" t="n"/>
      <c r="AJ72" s="84" t="n"/>
      <c r="AK72" s="89" t="n"/>
      <c r="AL72" s="88" t="n"/>
      <c r="AM72" s="88" t="n"/>
      <c r="AN72" s="56" t="n"/>
      <c r="AO72" s="90" t="n"/>
      <c r="AP72" s="90" t="n"/>
      <c r="AQ72" s="84" t="n"/>
      <c r="AR72" s="56" t="n"/>
      <c r="AS72" s="56" t="n"/>
      <c r="AT72" s="56" t="n"/>
      <c r="AU72" s="56" t="n"/>
      <c r="AV72" s="56" t="n"/>
    </row>
    <row r="73" ht="14" customHeight="1" s="176">
      <c r="A73" s="59" t="n"/>
      <c r="B73" s="59" t="n"/>
      <c r="C73" s="59" t="n"/>
      <c r="D73" s="59" t="n"/>
      <c r="E73" s="59" t="n"/>
      <c r="F73" s="59" t="n"/>
      <c r="G73" s="59" t="n"/>
      <c r="H73" s="59" t="n"/>
      <c r="I73" s="59" t="n"/>
      <c r="J73" s="59" t="n"/>
      <c r="K73" s="59" t="n"/>
      <c r="L73" s="59" t="n"/>
      <c r="M73" s="84" t="n"/>
      <c r="N73" s="85" t="n"/>
      <c r="O73" s="85" t="n"/>
      <c r="P73" s="85" t="n"/>
      <c r="Q73" s="85" t="n"/>
      <c r="R73" s="86" t="n"/>
      <c r="S73" s="87" t="n"/>
      <c r="T73" s="58" t="n"/>
      <c r="U73" s="84" t="n"/>
      <c r="V73" s="85" t="n"/>
      <c r="W73" s="86" t="n"/>
      <c r="X73" s="87" t="n"/>
      <c r="Y73" s="58" t="n"/>
      <c r="Z73" s="84" t="n"/>
      <c r="AA73" s="58" t="n"/>
      <c r="AB73" s="59" t="n"/>
      <c r="AC73" s="88" t="n"/>
      <c r="AD73" s="59" t="n"/>
      <c r="AE73" s="84" t="n"/>
      <c r="AF73" s="59" t="n"/>
      <c r="AG73" s="88" t="n"/>
      <c r="AH73" s="59" t="n"/>
      <c r="AI73" s="58" t="n"/>
      <c r="AJ73" s="84" t="n"/>
      <c r="AK73" s="89" t="n"/>
      <c r="AL73" s="88" t="n"/>
      <c r="AM73" s="88" t="n"/>
      <c r="AN73" s="59" t="n"/>
      <c r="AO73" s="90" t="n"/>
      <c r="AP73" s="90" t="n"/>
      <c r="AQ73" s="84" t="n"/>
      <c r="AR73" s="59" t="n"/>
      <c r="AS73" s="59" t="n"/>
      <c r="AT73" s="59" t="n"/>
      <c r="AU73" s="59" t="n"/>
      <c r="AV73" s="59" t="n"/>
    </row>
    <row r="74" ht="14" customHeight="1" s="176">
      <c r="A74" s="56" t="n"/>
      <c r="B74" s="56" t="n"/>
      <c r="C74" s="56" t="n"/>
      <c r="D74" s="56" t="n"/>
      <c r="E74" s="56" t="n"/>
      <c r="F74" s="56" t="n"/>
      <c r="G74" s="56" t="n"/>
      <c r="H74" s="56" t="n"/>
      <c r="I74" s="56" t="n"/>
      <c r="J74" s="56" t="n"/>
      <c r="K74" s="56" t="n"/>
      <c r="L74" s="56" t="n"/>
      <c r="M74" s="84" t="n"/>
      <c r="N74" s="85" t="n"/>
      <c r="O74" s="85" t="n"/>
      <c r="P74" s="85" t="n"/>
      <c r="Q74" s="85" t="n"/>
      <c r="R74" s="86" t="n"/>
      <c r="S74" s="87" t="n"/>
      <c r="T74" s="58" t="n"/>
      <c r="U74" s="84" t="n"/>
      <c r="V74" s="85" t="n"/>
      <c r="W74" s="86" t="n"/>
      <c r="X74" s="87" t="n"/>
      <c r="Y74" s="58" t="n"/>
      <c r="Z74" s="84" t="n"/>
      <c r="AA74" s="58" t="n"/>
      <c r="AB74" s="56" t="n"/>
      <c r="AC74" s="88" t="n"/>
      <c r="AD74" s="56" t="n"/>
      <c r="AE74" s="84" t="n"/>
      <c r="AF74" s="56" t="n"/>
      <c r="AG74" s="88" t="n"/>
      <c r="AH74" s="56" t="n"/>
      <c r="AI74" s="58" t="n"/>
      <c r="AJ74" s="84" t="n"/>
      <c r="AK74" s="89" t="n"/>
      <c r="AL74" s="88" t="n"/>
      <c r="AM74" s="88" t="n"/>
      <c r="AN74" s="56" t="n"/>
      <c r="AO74" s="90" t="n"/>
      <c r="AP74" s="90" t="n"/>
      <c r="AQ74" s="84" t="n"/>
      <c r="AR74" s="56" t="n"/>
      <c r="AS74" s="56" t="n"/>
      <c r="AT74" s="56" t="n"/>
      <c r="AU74" s="56" t="n"/>
      <c r="AV74" s="56" t="n"/>
    </row>
    <row r="75" ht="14" customHeight="1" s="176">
      <c r="A75" s="59" t="n"/>
      <c r="B75" s="59" t="n"/>
      <c r="C75" s="59" t="n"/>
      <c r="D75" s="59" t="n"/>
      <c r="E75" s="59" t="n"/>
      <c r="F75" s="59" t="n"/>
      <c r="G75" s="59" t="n"/>
      <c r="H75" s="59" t="n"/>
      <c r="I75" s="59" t="n"/>
      <c r="J75" s="59" t="n"/>
      <c r="K75" s="59" t="n"/>
      <c r="L75" s="59" t="n"/>
      <c r="M75" s="84" t="n"/>
      <c r="N75" s="85" t="n"/>
      <c r="O75" s="85" t="n"/>
      <c r="P75" s="85" t="n"/>
      <c r="Q75" s="85" t="n"/>
      <c r="R75" s="86" t="n"/>
      <c r="S75" s="87" t="n"/>
      <c r="T75" s="58" t="n"/>
      <c r="U75" s="84" t="n"/>
      <c r="V75" s="85" t="n"/>
      <c r="W75" s="86" t="n"/>
      <c r="X75" s="87" t="n"/>
      <c r="Y75" s="58" t="n"/>
      <c r="Z75" s="84" t="n"/>
      <c r="AA75" s="58" t="n"/>
      <c r="AB75" s="59" t="n"/>
      <c r="AC75" s="88" t="n"/>
      <c r="AD75" s="59" t="n"/>
      <c r="AE75" s="84" t="n"/>
      <c r="AF75" s="59" t="n"/>
      <c r="AG75" s="88" t="n"/>
      <c r="AH75" s="59" t="n"/>
      <c r="AI75" s="58" t="n"/>
      <c r="AJ75" s="84" t="n"/>
      <c r="AK75" s="89" t="n"/>
      <c r="AL75" s="88" t="n"/>
      <c r="AM75" s="88" t="n"/>
      <c r="AN75" s="59" t="n"/>
      <c r="AO75" s="90" t="n"/>
      <c r="AP75" s="90" t="n"/>
      <c r="AQ75" s="84" t="n"/>
      <c r="AR75" s="59" t="n"/>
      <c r="AS75" s="59" t="n"/>
      <c r="AT75" s="59" t="n"/>
      <c r="AU75" s="59" t="n"/>
      <c r="AV75" s="59" t="n"/>
    </row>
    <row r="76" ht="14" customHeight="1" s="176">
      <c r="A76" s="56" t="n"/>
      <c r="B76" s="56" t="n"/>
      <c r="C76" s="56" t="n"/>
      <c r="D76" s="56" t="n"/>
      <c r="E76" s="56" t="n"/>
      <c r="F76" s="56" t="n"/>
      <c r="G76" s="56" t="n"/>
      <c r="H76" s="56" t="n"/>
      <c r="I76" s="56" t="n"/>
      <c r="J76" s="56" t="n"/>
      <c r="K76" s="56" t="n"/>
      <c r="L76" s="56" t="n"/>
      <c r="M76" s="84" t="n"/>
      <c r="N76" s="85" t="n"/>
      <c r="O76" s="85" t="n"/>
      <c r="P76" s="85" t="n"/>
      <c r="Q76" s="85" t="n"/>
      <c r="R76" s="86" t="n"/>
      <c r="S76" s="87" t="n"/>
      <c r="T76" s="58" t="n"/>
      <c r="U76" s="84" t="n"/>
      <c r="V76" s="85" t="n"/>
      <c r="W76" s="86" t="n"/>
      <c r="X76" s="87" t="n"/>
      <c r="Y76" s="58" t="n"/>
      <c r="Z76" s="84" t="n"/>
      <c r="AA76" s="58" t="n"/>
      <c r="AB76" s="56" t="n"/>
      <c r="AC76" s="88" t="n"/>
      <c r="AD76" s="56" t="n"/>
      <c r="AE76" s="84" t="n"/>
      <c r="AF76" s="56" t="n"/>
      <c r="AG76" s="88" t="n"/>
      <c r="AH76" s="56" t="n"/>
      <c r="AI76" s="58" t="n"/>
      <c r="AJ76" s="84" t="n"/>
      <c r="AK76" s="89" t="n"/>
      <c r="AL76" s="88" t="n"/>
      <c r="AM76" s="88" t="n"/>
      <c r="AN76" s="56" t="n"/>
      <c r="AO76" s="90" t="n"/>
      <c r="AP76" s="90" t="n"/>
      <c r="AQ76" s="84" t="n"/>
      <c r="AR76" s="56" t="n"/>
      <c r="AS76" s="56" t="n"/>
      <c r="AT76" s="56" t="n"/>
      <c r="AU76" s="56" t="n"/>
      <c r="AV76" s="56" t="n"/>
    </row>
    <row r="77" ht="14" customHeight="1" s="176">
      <c r="A77" s="59" t="n"/>
      <c r="B77" s="59" t="n"/>
      <c r="C77" s="59" t="n"/>
      <c r="D77" s="59" t="n"/>
      <c r="E77" s="59" t="n"/>
      <c r="F77" s="59" t="n"/>
      <c r="G77" s="59" t="n"/>
      <c r="H77" s="59" t="n"/>
      <c r="I77" s="59" t="n"/>
      <c r="J77" s="59" t="n"/>
      <c r="K77" s="59" t="n"/>
      <c r="L77" s="59" t="n"/>
      <c r="M77" s="84" t="n"/>
      <c r="N77" s="85" t="n"/>
      <c r="O77" s="85" t="n"/>
      <c r="P77" s="85" t="n"/>
      <c r="Q77" s="85" t="n"/>
      <c r="R77" s="86" t="n"/>
      <c r="S77" s="87" t="n"/>
      <c r="T77" s="58" t="n"/>
      <c r="U77" s="84" t="n"/>
      <c r="V77" s="85" t="n"/>
      <c r="W77" s="86" t="n"/>
      <c r="X77" s="87" t="n"/>
      <c r="Y77" s="58" t="n"/>
      <c r="Z77" s="84" t="n"/>
      <c r="AA77" s="58" t="n"/>
      <c r="AB77" s="59" t="n"/>
      <c r="AC77" s="88" t="n"/>
      <c r="AD77" s="59" t="n"/>
      <c r="AE77" s="84" t="n"/>
      <c r="AF77" s="59" t="n"/>
      <c r="AG77" s="88" t="n"/>
      <c r="AH77" s="59" t="n"/>
      <c r="AI77" s="58" t="n"/>
      <c r="AJ77" s="84" t="n"/>
      <c r="AK77" s="89" t="n"/>
      <c r="AL77" s="88" t="n"/>
      <c r="AM77" s="88" t="n"/>
      <c r="AN77" s="59" t="n"/>
      <c r="AO77" s="90" t="n"/>
      <c r="AP77" s="90" t="n"/>
      <c r="AQ77" s="84" t="n"/>
      <c r="AR77" s="59" t="n"/>
      <c r="AS77" s="59" t="n"/>
      <c r="AT77" s="59" t="n"/>
      <c r="AU77" s="59" t="n"/>
      <c r="AV77" s="59" t="n"/>
    </row>
    <row r="78" ht="14" customHeight="1" s="176">
      <c r="A78" s="56" t="n"/>
      <c r="B78" s="56" t="n"/>
      <c r="C78" s="56" t="n"/>
      <c r="D78" s="56" t="n"/>
      <c r="E78" s="56" t="n"/>
      <c r="F78" s="56" t="n"/>
      <c r="G78" s="56" t="n"/>
      <c r="H78" s="56" t="n"/>
      <c r="I78" s="56" t="n"/>
      <c r="J78" s="56" t="n"/>
      <c r="K78" s="56" t="n"/>
      <c r="L78" s="56" t="n"/>
      <c r="M78" s="84" t="n"/>
      <c r="N78" s="85" t="n"/>
      <c r="O78" s="85" t="n"/>
      <c r="P78" s="85" t="n"/>
      <c r="Q78" s="85" t="n"/>
      <c r="R78" s="86" t="n"/>
      <c r="S78" s="87" t="n"/>
      <c r="T78" s="58" t="n"/>
      <c r="U78" s="84" t="n"/>
      <c r="V78" s="85" t="n"/>
      <c r="W78" s="86" t="n"/>
      <c r="X78" s="87" t="n"/>
      <c r="Y78" s="58" t="n"/>
      <c r="Z78" s="84" t="n"/>
      <c r="AA78" s="58" t="n"/>
      <c r="AB78" s="56" t="n"/>
      <c r="AC78" s="88" t="n"/>
      <c r="AD78" s="56" t="n"/>
      <c r="AE78" s="84" t="n"/>
      <c r="AF78" s="56" t="n"/>
      <c r="AG78" s="88" t="n"/>
      <c r="AH78" s="56" t="n"/>
      <c r="AI78" s="58" t="n"/>
      <c r="AJ78" s="84" t="n"/>
      <c r="AK78" s="89" t="n"/>
      <c r="AL78" s="88" t="n"/>
      <c r="AM78" s="88" t="n"/>
      <c r="AN78" s="56" t="n"/>
      <c r="AO78" s="90" t="n"/>
      <c r="AP78" s="90" t="n"/>
      <c r="AQ78" s="84" t="n"/>
      <c r="AR78" s="56" t="n"/>
      <c r="AS78" s="56" t="n"/>
      <c r="AT78" s="56" t="n"/>
      <c r="AU78" s="56" t="n"/>
      <c r="AV78" s="56" t="n"/>
    </row>
    <row r="79" ht="14" customHeight="1" s="176">
      <c r="A79" s="59" t="n"/>
      <c r="B79" s="59" t="n"/>
      <c r="C79" s="59" t="n"/>
      <c r="D79" s="59" t="n"/>
      <c r="E79" s="59" t="n"/>
      <c r="F79" s="59" t="n"/>
      <c r="G79" s="59" t="n"/>
      <c r="H79" s="59" t="n"/>
      <c r="I79" s="59" t="n"/>
      <c r="J79" s="59" t="n"/>
      <c r="K79" s="59" t="n"/>
      <c r="L79" s="59" t="n"/>
      <c r="M79" s="84" t="n"/>
      <c r="N79" s="85" t="n"/>
      <c r="O79" s="85" t="n"/>
      <c r="P79" s="85" t="n"/>
      <c r="Q79" s="85" t="n"/>
      <c r="R79" s="86" t="n"/>
      <c r="S79" s="87" t="n"/>
      <c r="T79" s="58" t="n"/>
      <c r="U79" s="84" t="n"/>
      <c r="V79" s="85" t="n"/>
      <c r="W79" s="86" t="n"/>
      <c r="X79" s="87" t="n"/>
      <c r="Y79" s="58" t="n"/>
      <c r="Z79" s="84" t="n"/>
      <c r="AA79" s="58" t="n"/>
      <c r="AB79" s="59" t="n"/>
      <c r="AC79" s="88" t="n"/>
      <c r="AD79" s="59" t="n"/>
      <c r="AE79" s="84" t="n"/>
      <c r="AF79" s="59" t="n"/>
      <c r="AG79" s="88" t="n"/>
      <c r="AH79" s="59" t="n"/>
      <c r="AI79" s="58" t="n"/>
      <c r="AJ79" s="84" t="n"/>
      <c r="AK79" s="89" t="n"/>
      <c r="AL79" s="88" t="n"/>
      <c r="AM79" s="88" t="n"/>
      <c r="AN79" s="59" t="n"/>
      <c r="AO79" s="90" t="n"/>
      <c r="AP79" s="90" t="n"/>
      <c r="AQ79" s="84" t="n"/>
      <c r="AR79" s="59" t="n"/>
      <c r="AS79" s="59" t="n"/>
      <c r="AT79" s="59" t="n"/>
      <c r="AU79" s="59" t="n"/>
      <c r="AV79" s="59" t="n"/>
    </row>
    <row r="80" ht="14" customHeight="1" s="176">
      <c r="A80" s="56" t="n"/>
      <c r="B80" s="56" t="n"/>
      <c r="C80" s="56" t="n"/>
      <c r="D80" s="56" t="n"/>
      <c r="E80" s="56" t="n"/>
      <c r="F80" s="56" t="n"/>
      <c r="G80" s="56" t="n"/>
      <c r="H80" s="56" t="n"/>
      <c r="I80" s="56" t="n"/>
      <c r="J80" s="56" t="n"/>
      <c r="K80" s="56" t="n"/>
      <c r="L80" s="56" t="n"/>
      <c r="M80" s="84" t="n"/>
      <c r="N80" s="85" t="n"/>
      <c r="O80" s="85" t="n"/>
      <c r="P80" s="85" t="n"/>
      <c r="Q80" s="85" t="n"/>
      <c r="R80" s="86" t="n"/>
      <c r="S80" s="87" t="n"/>
      <c r="T80" s="58" t="n"/>
      <c r="U80" s="84" t="n"/>
      <c r="V80" s="85" t="n"/>
      <c r="W80" s="86" t="n"/>
      <c r="X80" s="87" t="n"/>
      <c r="Y80" s="58" t="n"/>
      <c r="Z80" s="84" t="n"/>
      <c r="AA80" s="58" t="n"/>
      <c r="AB80" s="56" t="n"/>
      <c r="AC80" s="88" t="n"/>
      <c r="AD80" s="56" t="n"/>
      <c r="AE80" s="84" t="n"/>
      <c r="AF80" s="56" t="n"/>
      <c r="AG80" s="88" t="n"/>
      <c r="AH80" s="56" t="n"/>
      <c r="AI80" s="58" t="n"/>
      <c r="AJ80" s="84" t="n"/>
      <c r="AK80" s="89" t="n"/>
      <c r="AL80" s="88" t="n"/>
      <c r="AM80" s="88" t="n"/>
      <c r="AN80" s="56" t="n"/>
      <c r="AO80" s="90" t="n"/>
      <c r="AP80" s="90" t="n"/>
      <c r="AQ80" s="84" t="n"/>
      <c r="AR80" s="56" t="n"/>
      <c r="AS80" s="56" t="n"/>
      <c r="AT80" s="56" t="n"/>
      <c r="AU80" s="56" t="n"/>
      <c r="AV80" s="56" t="n"/>
    </row>
    <row r="81" ht="14" customHeight="1" s="176">
      <c r="A81" s="59" t="n"/>
      <c r="B81" s="59" t="n"/>
      <c r="C81" s="59" t="n"/>
      <c r="D81" s="59" t="n"/>
      <c r="E81" s="59" t="n"/>
      <c r="F81" s="59" t="n"/>
      <c r="G81" s="59" t="n"/>
      <c r="H81" s="59" t="n"/>
      <c r="I81" s="59" t="n"/>
      <c r="J81" s="59" t="n"/>
      <c r="K81" s="59" t="n"/>
      <c r="L81" s="59" t="n"/>
      <c r="M81" s="84" t="n"/>
      <c r="N81" s="85" t="n"/>
      <c r="O81" s="85" t="n"/>
      <c r="P81" s="85" t="n"/>
      <c r="Q81" s="85" t="n"/>
      <c r="R81" s="86" t="n"/>
      <c r="S81" s="87" t="n"/>
      <c r="T81" s="58" t="n"/>
      <c r="U81" s="84" t="n"/>
      <c r="V81" s="85" t="n"/>
      <c r="W81" s="86" t="n"/>
      <c r="X81" s="87" t="n"/>
      <c r="Y81" s="58" t="n"/>
      <c r="Z81" s="84" t="n"/>
      <c r="AA81" s="58" t="n"/>
      <c r="AB81" s="59" t="n"/>
      <c r="AC81" s="88" t="n"/>
      <c r="AD81" s="59" t="n"/>
      <c r="AE81" s="84" t="n"/>
      <c r="AF81" s="59" t="n"/>
      <c r="AG81" s="88" t="n"/>
      <c r="AH81" s="59" t="n"/>
      <c r="AI81" s="58" t="n"/>
      <c r="AJ81" s="84" t="n"/>
      <c r="AK81" s="89" t="n"/>
      <c r="AL81" s="88" t="n"/>
      <c r="AM81" s="88" t="n"/>
      <c r="AN81" s="59" t="n"/>
      <c r="AO81" s="90" t="n"/>
      <c r="AP81" s="90" t="n"/>
      <c r="AQ81" s="84" t="n"/>
      <c r="AR81" s="59" t="n"/>
      <c r="AS81" s="59" t="n"/>
      <c r="AT81" s="59" t="n"/>
      <c r="AU81" s="59" t="n"/>
      <c r="AV81" s="59" t="n"/>
    </row>
    <row r="82" ht="14" customHeight="1" s="176">
      <c r="A82" s="56" t="n"/>
      <c r="B82" s="56" t="n"/>
      <c r="C82" s="56" t="n"/>
      <c r="D82" s="56" t="n"/>
      <c r="E82" s="56" t="n"/>
      <c r="F82" s="56" t="n"/>
      <c r="G82" s="56" t="n"/>
      <c r="H82" s="56" t="n"/>
      <c r="I82" s="56" t="n"/>
      <c r="J82" s="56" t="n"/>
      <c r="K82" s="56" t="n"/>
      <c r="L82" s="56" t="n"/>
      <c r="M82" s="84" t="n"/>
      <c r="N82" s="85" t="n"/>
      <c r="O82" s="85" t="n"/>
      <c r="P82" s="85" t="n"/>
      <c r="Q82" s="85" t="n"/>
      <c r="R82" s="86" t="n"/>
      <c r="S82" s="87" t="n"/>
      <c r="T82" s="58" t="n"/>
      <c r="U82" s="84" t="n"/>
      <c r="V82" s="85" t="n"/>
      <c r="W82" s="86" t="n"/>
      <c r="X82" s="87" t="n"/>
      <c r="Y82" s="58" t="n"/>
      <c r="Z82" s="84" t="n"/>
      <c r="AA82" s="58" t="n"/>
      <c r="AB82" s="56" t="n"/>
      <c r="AC82" s="88" t="n"/>
      <c r="AD82" s="56" t="n"/>
      <c r="AE82" s="84" t="n"/>
      <c r="AF82" s="56" t="n"/>
      <c r="AG82" s="88" t="n"/>
      <c r="AH82" s="56" t="n"/>
      <c r="AI82" s="58" t="n"/>
      <c r="AJ82" s="84" t="n"/>
      <c r="AK82" s="89" t="n"/>
      <c r="AL82" s="88" t="n"/>
      <c r="AM82" s="88" t="n"/>
      <c r="AN82" s="56" t="n"/>
      <c r="AO82" s="90" t="n"/>
      <c r="AP82" s="90" t="n"/>
      <c r="AQ82" s="84" t="n"/>
      <c r="AR82" s="56" t="n"/>
      <c r="AS82" s="56" t="n"/>
      <c r="AT82" s="56" t="n"/>
      <c r="AU82" s="56" t="n"/>
      <c r="AV82" s="56" t="n"/>
    </row>
    <row r="83" ht="14" customHeight="1" s="176">
      <c r="A83" s="59" t="n"/>
      <c r="B83" s="59" t="n"/>
      <c r="C83" s="59" t="n"/>
      <c r="D83" s="59" t="n"/>
      <c r="E83" s="59" t="n"/>
      <c r="F83" s="59" t="n"/>
      <c r="G83" s="59" t="n"/>
      <c r="H83" s="59" t="n"/>
      <c r="I83" s="59" t="n"/>
      <c r="J83" s="59" t="n"/>
      <c r="K83" s="59" t="n"/>
      <c r="L83" s="59" t="n"/>
      <c r="M83" s="84" t="n"/>
      <c r="N83" s="85" t="n"/>
      <c r="O83" s="85" t="n"/>
      <c r="P83" s="85" t="n"/>
      <c r="Q83" s="85" t="n"/>
      <c r="R83" s="86" t="n"/>
      <c r="S83" s="87" t="n"/>
      <c r="T83" s="58" t="n"/>
      <c r="U83" s="84" t="n"/>
      <c r="V83" s="85" t="n"/>
      <c r="W83" s="86" t="n"/>
      <c r="X83" s="87" t="n"/>
      <c r="Y83" s="58" t="n"/>
      <c r="Z83" s="84" t="n"/>
      <c r="AA83" s="58" t="n"/>
      <c r="AB83" s="59" t="n"/>
      <c r="AC83" s="88" t="n"/>
      <c r="AD83" s="59" t="n"/>
      <c r="AE83" s="84" t="n"/>
      <c r="AF83" s="59" t="n"/>
      <c r="AG83" s="88" t="n"/>
      <c r="AH83" s="59" t="n"/>
      <c r="AI83" s="58" t="n"/>
      <c r="AJ83" s="84" t="n"/>
      <c r="AK83" s="89" t="n"/>
      <c r="AL83" s="88" t="n"/>
      <c r="AM83" s="88" t="n"/>
      <c r="AN83" s="59" t="n"/>
      <c r="AO83" s="90" t="n"/>
      <c r="AP83" s="90" t="n"/>
      <c r="AQ83" s="84" t="n"/>
      <c r="AR83" s="59" t="n"/>
      <c r="AS83" s="59" t="n"/>
      <c r="AT83" s="59" t="n"/>
      <c r="AU83" s="59" t="n"/>
      <c r="AV83" s="59" t="n"/>
    </row>
    <row r="84" ht="14" customHeight="1" s="176">
      <c r="A84" s="56" t="n"/>
      <c r="B84" s="56" t="n"/>
      <c r="C84" s="56" t="n"/>
      <c r="D84" s="56" t="n"/>
      <c r="E84" s="56" t="n"/>
      <c r="F84" s="56" t="n"/>
      <c r="G84" s="56" t="n"/>
      <c r="H84" s="56" t="n"/>
      <c r="I84" s="56" t="n"/>
      <c r="J84" s="56" t="n"/>
      <c r="K84" s="56" t="n"/>
      <c r="L84" s="56" t="n"/>
      <c r="M84" s="84" t="n"/>
      <c r="N84" s="85" t="n"/>
      <c r="O84" s="85" t="n"/>
      <c r="P84" s="85" t="n"/>
      <c r="Q84" s="85" t="n"/>
      <c r="R84" s="86" t="n"/>
      <c r="S84" s="87" t="n"/>
      <c r="T84" s="58" t="n"/>
      <c r="U84" s="84" t="n"/>
      <c r="V84" s="85" t="n"/>
      <c r="W84" s="86" t="n"/>
      <c r="X84" s="87" t="n"/>
      <c r="Y84" s="58" t="n"/>
      <c r="Z84" s="84" t="n"/>
      <c r="AA84" s="58" t="n"/>
      <c r="AB84" s="56" t="n"/>
      <c r="AC84" s="88" t="n"/>
      <c r="AD84" s="56" t="n"/>
      <c r="AE84" s="84" t="n"/>
      <c r="AF84" s="56" t="n"/>
      <c r="AG84" s="88" t="n"/>
      <c r="AH84" s="56" t="n"/>
      <c r="AI84" s="58" t="n"/>
      <c r="AJ84" s="84" t="n"/>
      <c r="AK84" s="89" t="n"/>
      <c r="AL84" s="88" t="n"/>
      <c r="AM84" s="88" t="n"/>
      <c r="AN84" s="56" t="n"/>
      <c r="AO84" s="90" t="n"/>
      <c r="AP84" s="90" t="n"/>
      <c r="AQ84" s="84" t="n"/>
      <c r="AR84" s="56" t="n"/>
      <c r="AS84" s="56" t="n"/>
      <c r="AT84" s="56" t="n"/>
      <c r="AU84" s="56" t="n"/>
      <c r="AV84" s="56" t="n"/>
    </row>
    <row r="85" ht="14" customHeight="1" s="176">
      <c r="A85" s="59" t="n"/>
      <c r="B85" s="59" t="n"/>
      <c r="C85" s="59" t="n"/>
      <c r="D85" s="59" t="n"/>
      <c r="E85" s="59" t="n"/>
      <c r="F85" s="59" t="n"/>
      <c r="G85" s="59" t="n"/>
      <c r="H85" s="59" t="n"/>
      <c r="I85" s="59" t="n"/>
      <c r="J85" s="59" t="n"/>
      <c r="K85" s="59" t="n"/>
      <c r="L85" s="59" t="n"/>
      <c r="M85" s="84" t="n"/>
      <c r="N85" s="85" t="n"/>
      <c r="O85" s="85" t="n"/>
      <c r="P85" s="85" t="n"/>
      <c r="Q85" s="85" t="n"/>
      <c r="R85" s="86" t="n"/>
      <c r="S85" s="87" t="n"/>
      <c r="T85" s="58" t="n"/>
      <c r="U85" s="84" t="n"/>
      <c r="V85" s="85" t="n"/>
      <c r="W85" s="86" t="n"/>
      <c r="X85" s="87" t="n"/>
      <c r="Y85" s="58" t="n"/>
      <c r="Z85" s="84" t="n"/>
      <c r="AA85" s="58" t="n"/>
      <c r="AB85" s="59" t="n"/>
      <c r="AC85" s="88" t="n"/>
      <c r="AD85" s="59" t="n"/>
      <c r="AE85" s="84" t="n"/>
      <c r="AF85" s="59" t="n"/>
      <c r="AG85" s="88" t="n"/>
      <c r="AH85" s="59" t="n"/>
      <c r="AI85" s="58" t="n"/>
      <c r="AJ85" s="84" t="n"/>
      <c r="AK85" s="89" t="n"/>
      <c r="AL85" s="88" t="n"/>
      <c r="AM85" s="88" t="n"/>
      <c r="AN85" s="59" t="n"/>
      <c r="AO85" s="90" t="n"/>
      <c r="AP85" s="90" t="n"/>
      <c r="AQ85" s="84" t="n"/>
      <c r="AR85" s="59" t="n"/>
      <c r="AS85" s="59" t="n"/>
      <c r="AT85" s="59" t="n"/>
      <c r="AU85" s="59" t="n"/>
      <c r="AV85" s="59" t="n"/>
    </row>
    <row r="86" ht="14" customHeight="1" s="176">
      <c r="A86" s="56" t="n"/>
      <c r="B86" s="56" t="n"/>
      <c r="C86" s="56" t="n"/>
      <c r="D86" s="56" t="n"/>
      <c r="E86" s="56" t="n"/>
      <c r="F86" s="56" t="n"/>
      <c r="G86" s="56" t="n"/>
      <c r="H86" s="56" t="n"/>
      <c r="I86" s="56" t="n"/>
      <c r="J86" s="56" t="n"/>
      <c r="K86" s="56" t="n"/>
      <c r="L86" s="56" t="n"/>
      <c r="M86" s="84" t="n"/>
      <c r="N86" s="85" t="n"/>
      <c r="O86" s="85" t="n"/>
      <c r="P86" s="85" t="n"/>
      <c r="Q86" s="85" t="n"/>
      <c r="R86" s="86" t="n"/>
      <c r="S86" s="87" t="n"/>
      <c r="T86" s="58" t="n"/>
      <c r="U86" s="84" t="n"/>
      <c r="V86" s="85" t="n"/>
      <c r="W86" s="86" t="n"/>
      <c r="X86" s="87" t="n"/>
      <c r="Y86" s="58" t="n"/>
      <c r="Z86" s="84" t="n"/>
      <c r="AA86" s="58" t="n"/>
      <c r="AB86" s="56" t="n"/>
      <c r="AC86" s="88" t="n"/>
      <c r="AD86" s="56" t="n"/>
      <c r="AE86" s="84" t="n"/>
      <c r="AF86" s="56" t="n"/>
      <c r="AG86" s="88" t="n"/>
      <c r="AH86" s="56" t="n"/>
      <c r="AI86" s="58" t="n"/>
      <c r="AJ86" s="84" t="n"/>
      <c r="AK86" s="89" t="n"/>
      <c r="AL86" s="88" t="n"/>
      <c r="AM86" s="88" t="n"/>
      <c r="AN86" s="56" t="n"/>
      <c r="AO86" s="90" t="n"/>
      <c r="AP86" s="90" t="n"/>
      <c r="AQ86" s="84" t="n"/>
      <c r="AR86" s="56" t="n"/>
      <c r="AS86" s="56" t="n"/>
      <c r="AT86" s="56" t="n"/>
      <c r="AU86" s="56" t="n"/>
      <c r="AV86" s="56" t="n"/>
    </row>
    <row r="87" ht="14" customHeight="1" s="176">
      <c r="A87" s="59" t="n"/>
      <c r="B87" s="59" t="n"/>
      <c r="C87" s="59" t="n"/>
      <c r="D87" s="59" t="n"/>
      <c r="E87" s="59" t="n"/>
      <c r="F87" s="59" t="n"/>
      <c r="G87" s="59" t="n"/>
      <c r="H87" s="59" t="n"/>
      <c r="I87" s="59" t="n"/>
      <c r="J87" s="59" t="n"/>
      <c r="K87" s="59" t="n"/>
      <c r="L87" s="59" t="n"/>
      <c r="M87" s="84" t="n"/>
      <c r="N87" s="85" t="n"/>
      <c r="O87" s="85" t="n"/>
      <c r="P87" s="85" t="n"/>
      <c r="Q87" s="85" t="n"/>
      <c r="R87" s="86" t="n"/>
      <c r="S87" s="87" t="n"/>
      <c r="T87" s="58" t="n"/>
      <c r="U87" s="84" t="n"/>
      <c r="V87" s="85" t="n"/>
      <c r="W87" s="86" t="n"/>
      <c r="X87" s="87" t="n"/>
      <c r="Y87" s="58" t="n"/>
      <c r="Z87" s="84" t="n"/>
      <c r="AA87" s="58" t="n"/>
      <c r="AB87" s="59" t="n"/>
      <c r="AC87" s="88" t="n"/>
      <c r="AD87" s="59" t="n"/>
      <c r="AE87" s="84" t="n"/>
      <c r="AF87" s="59" t="n"/>
      <c r="AG87" s="88" t="n"/>
      <c r="AH87" s="59" t="n"/>
      <c r="AI87" s="58" t="n"/>
      <c r="AJ87" s="84" t="n"/>
      <c r="AK87" s="89" t="n"/>
      <c r="AL87" s="88" t="n"/>
      <c r="AM87" s="88" t="n"/>
      <c r="AN87" s="59" t="n"/>
      <c r="AO87" s="90" t="n"/>
      <c r="AP87" s="90" t="n"/>
      <c r="AQ87" s="84" t="n"/>
      <c r="AR87" s="59" t="n"/>
      <c r="AS87" s="59" t="n"/>
      <c r="AT87" s="59" t="n"/>
      <c r="AU87" s="59" t="n"/>
      <c r="AV87" s="59" t="n"/>
    </row>
    <row r="88" ht="14" customHeight="1" s="176">
      <c r="A88" s="56" t="n"/>
      <c r="B88" s="56" t="n"/>
      <c r="C88" s="56" t="n"/>
      <c r="D88" s="56" t="n"/>
      <c r="E88" s="56" t="n"/>
      <c r="F88" s="56" t="n"/>
      <c r="G88" s="56" t="n"/>
      <c r="H88" s="56" t="n"/>
      <c r="I88" s="56" t="n"/>
      <c r="J88" s="56" t="n"/>
      <c r="K88" s="56" t="n"/>
      <c r="L88" s="56" t="n"/>
      <c r="M88" s="84" t="n"/>
      <c r="N88" s="85" t="n"/>
      <c r="O88" s="85" t="n"/>
      <c r="P88" s="85" t="n"/>
      <c r="Q88" s="85" t="n"/>
      <c r="R88" s="86" t="n"/>
      <c r="S88" s="87" t="n"/>
      <c r="T88" s="58" t="n"/>
      <c r="U88" s="84" t="n"/>
      <c r="V88" s="85" t="n"/>
      <c r="W88" s="86" t="n"/>
      <c r="X88" s="87" t="n"/>
      <c r="Y88" s="58" t="n"/>
      <c r="Z88" s="84" t="n"/>
      <c r="AA88" s="58" t="n"/>
      <c r="AB88" s="56" t="n"/>
      <c r="AC88" s="88" t="n"/>
      <c r="AD88" s="56" t="n"/>
      <c r="AE88" s="84" t="n"/>
      <c r="AF88" s="56" t="n"/>
      <c r="AG88" s="88" t="n"/>
      <c r="AH88" s="56" t="n"/>
      <c r="AI88" s="58" t="n"/>
      <c r="AJ88" s="84" t="n"/>
      <c r="AK88" s="89" t="n"/>
      <c r="AL88" s="88" t="n"/>
      <c r="AM88" s="88" t="n"/>
      <c r="AN88" s="56" t="n"/>
      <c r="AO88" s="90" t="n"/>
      <c r="AP88" s="90" t="n"/>
      <c r="AQ88" s="84" t="n"/>
      <c r="AR88" s="56" t="n"/>
      <c r="AS88" s="56" t="n"/>
      <c r="AT88" s="56" t="n"/>
      <c r="AU88" s="56" t="n"/>
      <c r="AV88" s="56" t="n"/>
    </row>
    <row r="89" ht="14" customHeight="1" s="176">
      <c r="A89" s="59" t="n"/>
      <c r="B89" s="59" t="n"/>
      <c r="C89" s="59" t="n"/>
      <c r="D89" s="59" t="n"/>
      <c r="E89" s="59" t="n"/>
      <c r="F89" s="59" t="n"/>
      <c r="G89" s="59" t="n"/>
      <c r="H89" s="59" t="n"/>
      <c r="I89" s="59" t="n"/>
      <c r="J89" s="59" t="n"/>
      <c r="K89" s="59" t="n"/>
      <c r="L89" s="59" t="n"/>
      <c r="M89" s="84" t="n"/>
      <c r="N89" s="85" t="n"/>
      <c r="O89" s="85" t="n"/>
      <c r="P89" s="85" t="n"/>
      <c r="Q89" s="85" t="n"/>
      <c r="R89" s="86" t="n"/>
      <c r="S89" s="87" t="n"/>
      <c r="T89" s="58" t="n"/>
      <c r="U89" s="84" t="n"/>
      <c r="V89" s="85" t="n"/>
      <c r="W89" s="86" t="n"/>
      <c r="X89" s="87" t="n"/>
      <c r="Y89" s="58" t="n"/>
      <c r="Z89" s="84" t="n"/>
      <c r="AA89" s="58" t="n"/>
      <c r="AB89" s="59" t="n"/>
      <c r="AC89" s="88" t="n"/>
      <c r="AD89" s="59" t="n"/>
      <c r="AE89" s="84" t="n"/>
      <c r="AF89" s="59" t="n"/>
      <c r="AG89" s="88" t="n"/>
      <c r="AH89" s="59" t="n"/>
      <c r="AI89" s="58" t="n"/>
      <c r="AJ89" s="84" t="n"/>
      <c r="AK89" s="89" t="n"/>
      <c r="AL89" s="88" t="n"/>
      <c r="AM89" s="88" t="n"/>
      <c r="AN89" s="59" t="n"/>
      <c r="AO89" s="90" t="n"/>
      <c r="AP89" s="90" t="n"/>
      <c r="AQ89" s="84" t="n"/>
      <c r="AR89" s="59" t="n"/>
      <c r="AS89" s="59" t="n"/>
      <c r="AT89" s="59" t="n"/>
      <c r="AU89" s="59" t="n"/>
      <c r="AV89" s="59" t="n"/>
    </row>
    <row r="90" ht="14" customHeight="1" s="176">
      <c r="A90" s="56" t="n"/>
      <c r="B90" s="56" t="n"/>
      <c r="C90" s="56" t="n"/>
      <c r="D90" s="56" t="n"/>
      <c r="E90" s="56" t="n"/>
      <c r="F90" s="56" t="n"/>
      <c r="G90" s="56" t="n"/>
      <c r="H90" s="56" t="n"/>
      <c r="I90" s="56" t="n"/>
      <c r="J90" s="56" t="n"/>
      <c r="K90" s="56" t="n"/>
      <c r="L90" s="56" t="n"/>
      <c r="M90" s="84" t="n"/>
      <c r="N90" s="85" t="n"/>
      <c r="O90" s="85" t="n"/>
      <c r="P90" s="85" t="n"/>
      <c r="Q90" s="85" t="n"/>
      <c r="R90" s="86" t="n"/>
      <c r="S90" s="87" t="n"/>
      <c r="T90" s="58" t="n"/>
      <c r="U90" s="84" t="n"/>
      <c r="V90" s="85" t="n"/>
      <c r="W90" s="86" t="n"/>
      <c r="X90" s="87" t="n"/>
      <c r="Y90" s="58" t="n"/>
      <c r="Z90" s="84" t="n"/>
      <c r="AA90" s="58" t="n"/>
      <c r="AB90" s="56" t="n"/>
      <c r="AC90" s="88" t="n"/>
      <c r="AD90" s="56" t="n"/>
      <c r="AE90" s="84" t="n"/>
      <c r="AF90" s="56" t="n"/>
      <c r="AG90" s="88" t="n"/>
      <c r="AH90" s="56" t="n"/>
      <c r="AI90" s="58" t="n"/>
      <c r="AJ90" s="84" t="n"/>
      <c r="AK90" s="89" t="n"/>
      <c r="AL90" s="88" t="n"/>
      <c r="AM90" s="88" t="n"/>
      <c r="AN90" s="56" t="n"/>
      <c r="AO90" s="90" t="n"/>
      <c r="AP90" s="90" t="n"/>
      <c r="AQ90" s="84" t="n"/>
      <c r="AR90" s="56" t="n"/>
      <c r="AS90" s="56" t="n"/>
      <c r="AT90" s="56" t="n"/>
      <c r="AU90" s="56" t="n"/>
      <c r="AV90" s="56" t="n"/>
    </row>
    <row r="91" ht="14" customHeight="1" s="176">
      <c r="A91" s="59" t="n"/>
      <c r="B91" s="59" t="n"/>
      <c r="C91" s="59" t="n"/>
      <c r="D91" s="59" t="n"/>
      <c r="E91" s="59" t="n"/>
      <c r="F91" s="59" t="n"/>
      <c r="G91" s="59" t="n"/>
      <c r="H91" s="59" t="n"/>
      <c r="I91" s="59" t="n"/>
      <c r="J91" s="59" t="n"/>
      <c r="K91" s="59" t="n"/>
      <c r="L91" s="59" t="n"/>
      <c r="M91" s="84" t="n"/>
      <c r="N91" s="85" t="n"/>
      <c r="O91" s="85" t="n"/>
      <c r="P91" s="85" t="n"/>
      <c r="Q91" s="85" t="n"/>
      <c r="R91" s="86" t="n"/>
      <c r="S91" s="87" t="n"/>
      <c r="T91" s="58" t="n"/>
      <c r="U91" s="84" t="n"/>
      <c r="V91" s="85" t="n"/>
      <c r="W91" s="86" t="n"/>
      <c r="X91" s="87" t="n"/>
      <c r="Y91" s="58" t="n"/>
      <c r="Z91" s="84" t="n"/>
      <c r="AA91" s="58" t="n"/>
      <c r="AB91" s="59" t="n"/>
      <c r="AC91" s="88" t="n"/>
      <c r="AD91" s="59" t="n"/>
      <c r="AE91" s="84" t="n"/>
      <c r="AF91" s="59" t="n"/>
      <c r="AG91" s="88" t="n"/>
      <c r="AH91" s="59" t="n"/>
      <c r="AI91" s="58" t="n"/>
      <c r="AJ91" s="84" t="n"/>
      <c r="AK91" s="89" t="n"/>
      <c r="AL91" s="88" t="n"/>
      <c r="AM91" s="88" t="n"/>
      <c r="AN91" s="59" t="n"/>
      <c r="AO91" s="90" t="n"/>
      <c r="AP91" s="90" t="n"/>
      <c r="AQ91" s="84" t="n"/>
      <c r="AR91" s="59" t="n"/>
      <c r="AS91" s="59" t="n"/>
      <c r="AT91" s="59" t="n"/>
      <c r="AU91" s="59" t="n"/>
      <c r="AV91" s="59" t="n"/>
    </row>
    <row r="92" ht="14" customHeight="1" s="176">
      <c r="A92" s="56" t="n"/>
      <c r="B92" s="56" t="n"/>
      <c r="C92" s="56" t="n"/>
      <c r="D92" s="56" t="n"/>
      <c r="E92" s="56" t="n"/>
      <c r="F92" s="56" t="n"/>
      <c r="G92" s="56" t="n"/>
      <c r="H92" s="56" t="n"/>
      <c r="I92" s="56" t="n"/>
      <c r="J92" s="56" t="n"/>
      <c r="K92" s="56" t="n"/>
      <c r="L92" s="56" t="n"/>
      <c r="M92" s="84" t="n"/>
      <c r="N92" s="85" t="n"/>
      <c r="O92" s="85" t="n"/>
      <c r="P92" s="85" t="n"/>
      <c r="Q92" s="85" t="n"/>
      <c r="R92" s="86" t="n"/>
      <c r="S92" s="87" t="n"/>
      <c r="T92" s="58" t="n"/>
      <c r="U92" s="84" t="n"/>
      <c r="V92" s="85" t="n"/>
      <c r="W92" s="86" t="n"/>
      <c r="X92" s="87" t="n"/>
      <c r="Y92" s="58" t="n"/>
      <c r="Z92" s="84" t="n"/>
      <c r="AA92" s="58" t="n"/>
      <c r="AB92" s="56" t="n"/>
      <c r="AC92" s="88" t="n"/>
      <c r="AD92" s="56" t="n"/>
      <c r="AE92" s="84" t="n"/>
      <c r="AF92" s="56" t="n"/>
      <c r="AG92" s="88" t="n"/>
      <c r="AH92" s="56" t="n"/>
      <c r="AI92" s="58" t="n"/>
      <c r="AJ92" s="84" t="n"/>
      <c r="AK92" s="89" t="n"/>
      <c r="AL92" s="88" t="n"/>
      <c r="AM92" s="88" t="n"/>
      <c r="AN92" s="56" t="n"/>
      <c r="AO92" s="90" t="n"/>
      <c r="AP92" s="90" t="n"/>
      <c r="AQ92" s="84" t="n"/>
      <c r="AR92" s="56" t="n"/>
      <c r="AS92" s="56" t="n"/>
      <c r="AT92" s="56" t="n"/>
      <c r="AU92" s="56" t="n"/>
      <c r="AV92" s="56" t="n"/>
    </row>
    <row r="93" ht="14" customHeight="1" s="176">
      <c r="A93" s="59" t="n"/>
      <c r="B93" s="59" t="n"/>
      <c r="C93" s="59" t="n"/>
      <c r="D93" s="59" t="n"/>
      <c r="E93" s="59" t="n"/>
      <c r="F93" s="59" t="n"/>
      <c r="G93" s="59" t="n"/>
      <c r="H93" s="59" t="n"/>
      <c r="I93" s="59" t="n"/>
      <c r="J93" s="59" t="n"/>
      <c r="K93" s="59" t="n"/>
      <c r="L93" s="59" t="n"/>
      <c r="M93" s="84" t="n"/>
      <c r="N93" s="85" t="n"/>
      <c r="O93" s="85" t="n"/>
      <c r="P93" s="85" t="n"/>
      <c r="Q93" s="85" t="n"/>
      <c r="R93" s="86" t="n"/>
      <c r="S93" s="87" t="n"/>
      <c r="T93" s="58" t="n"/>
      <c r="U93" s="84" t="n"/>
      <c r="V93" s="85" t="n"/>
      <c r="W93" s="86" t="n"/>
      <c r="X93" s="87" t="n"/>
      <c r="Y93" s="58" t="n"/>
      <c r="Z93" s="84" t="n"/>
      <c r="AA93" s="58" t="n"/>
      <c r="AB93" s="59" t="n"/>
      <c r="AC93" s="88" t="n"/>
      <c r="AD93" s="59" t="n"/>
      <c r="AE93" s="84" t="n"/>
      <c r="AF93" s="59" t="n"/>
      <c r="AG93" s="88" t="n"/>
      <c r="AH93" s="59" t="n"/>
      <c r="AI93" s="58" t="n"/>
      <c r="AJ93" s="84" t="n"/>
      <c r="AK93" s="89" t="n"/>
      <c r="AL93" s="88" t="n"/>
      <c r="AM93" s="88" t="n"/>
      <c r="AN93" s="59" t="n"/>
      <c r="AO93" s="90" t="n"/>
      <c r="AP93" s="90" t="n"/>
      <c r="AQ93" s="84" t="n"/>
      <c r="AR93" s="59" t="n"/>
      <c r="AS93" s="59" t="n"/>
      <c r="AT93" s="59" t="n"/>
      <c r="AU93" s="59" t="n"/>
      <c r="AV93" s="59" t="n"/>
    </row>
    <row r="94" ht="14" customHeight="1" s="176">
      <c r="A94" s="56" t="n"/>
      <c r="B94" s="56" t="n"/>
      <c r="C94" s="56" t="n"/>
      <c r="D94" s="56" t="n"/>
      <c r="E94" s="56" t="n"/>
      <c r="F94" s="56" t="n"/>
      <c r="G94" s="56" t="n"/>
      <c r="H94" s="56" t="n"/>
      <c r="I94" s="56" t="n"/>
      <c r="J94" s="56" t="n"/>
      <c r="K94" s="56" t="n"/>
      <c r="L94" s="56" t="n"/>
      <c r="M94" s="84" t="n"/>
      <c r="N94" s="85" t="n"/>
      <c r="O94" s="85" t="n"/>
      <c r="P94" s="85" t="n"/>
      <c r="Q94" s="85" t="n"/>
      <c r="R94" s="86" t="n"/>
      <c r="S94" s="87" t="n"/>
      <c r="T94" s="58" t="n"/>
      <c r="U94" s="84" t="n"/>
      <c r="V94" s="85" t="n"/>
      <c r="W94" s="86" t="n"/>
      <c r="X94" s="87" t="n"/>
      <c r="Y94" s="58" t="n"/>
      <c r="Z94" s="84" t="n"/>
      <c r="AA94" s="58" t="n"/>
      <c r="AB94" s="56" t="n"/>
      <c r="AC94" s="88" t="n"/>
      <c r="AD94" s="56" t="n"/>
      <c r="AE94" s="84" t="n"/>
      <c r="AF94" s="56" t="n"/>
      <c r="AG94" s="88" t="n"/>
      <c r="AH94" s="56" t="n"/>
      <c r="AI94" s="58" t="n"/>
      <c r="AJ94" s="84" t="n"/>
      <c r="AK94" s="89" t="n"/>
      <c r="AL94" s="88" t="n"/>
      <c r="AM94" s="88" t="n"/>
      <c r="AN94" s="56" t="n"/>
      <c r="AO94" s="90" t="n"/>
      <c r="AP94" s="90" t="n"/>
      <c r="AQ94" s="84" t="n"/>
      <c r="AR94" s="56" t="n"/>
      <c r="AS94" s="56" t="n"/>
      <c r="AT94" s="56" t="n"/>
      <c r="AU94" s="56" t="n"/>
      <c r="AV94" s="56" t="n"/>
    </row>
    <row r="95" ht="14" customHeight="1" s="176">
      <c r="A95" s="59" t="n"/>
      <c r="B95" s="59" t="n"/>
      <c r="C95" s="59" t="n"/>
      <c r="D95" s="59" t="n"/>
      <c r="E95" s="59" t="n"/>
      <c r="F95" s="59" t="n"/>
      <c r="G95" s="59" t="n"/>
      <c r="H95" s="59" t="n"/>
      <c r="I95" s="59" t="n"/>
      <c r="J95" s="59" t="n"/>
      <c r="K95" s="59" t="n"/>
      <c r="L95" s="59" t="n"/>
      <c r="M95" s="84" t="n"/>
      <c r="N95" s="85" t="n"/>
      <c r="O95" s="85" t="n"/>
      <c r="P95" s="85" t="n"/>
      <c r="Q95" s="85" t="n"/>
      <c r="R95" s="86" t="n"/>
      <c r="S95" s="87" t="n"/>
      <c r="T95" s="58" t="n"/>
      <c r="U95" s="84" t="n"/>
      <c r="V95" s="85" t="n"/>
      <c r="W95" s="86" t="n"/>
      <c r="X95" s="87" t="n"/>
      <c r="Y95" s="58" t="n"/>
      <c r="Z95" s="84" t="n"/>
      <c r="AA95" s="58" t="n"/>
      <c r="AB95" s="59" t="n"/>
      <c r="AC95" s="88" t="n"/>
      <c r="AD95" s="59" t="n"/>
      <c r="AE95" s="84" t="n"/>
      <c r="AF95" s="59" t="n"/>
      <c r="AG95" s="88" t="n"/>
      <c r="AH95" s="59" t="n"/>
      <c r="AI95" s="58" t="n"/>
      <c r="AJ95" s="84" t="n"/>
      <c r="AK95" s="89" t="n"/>
      <c r="AL95" s="88" t="n"/>
      <c r="AM95" s="88" t="n"/>
      <c r="AN95" s="59" t="n"/>
      <c r="AO95" s="90" t="n"/>
      <c r="AP95" s="90" t="n"/>
      <c r="AQ95" s="84" t="n"/>
      <c r="AR95" s="59" t="n"/>
      <c r="AS95" s="59" t="n"/>
      <c r="AT95" s="59" t="n"/>
      <c r="AU95" s="59" t="n"/>
      <c r="AV95" s="59" t="n"/>
    </row>
    <row r="96" ht="14" customHeight="1" s="176">
      <c r="A96" s="56" t="n"/>
      <c r="B96" s="56" t="n"/>
      <c r="C96" s="56" t="n"/>
      <c r="D96" s="56" t="n"/>
      <c r="E96" s="56" t="n"/>
      <c r="F96" s="56" t="n"/>
      <c r="G96" s="56" t="n"/>
      <c r="H96" s="56" t="n"/>
      <c r="I96" s="56" t="n"/>
      <c r="J96" s="56" t="n"/>
      <c r="K96" s="56" t="n"/>
      <c r="L96" s="56" t="n"/>
      <c r="M96" s="84" t="n"/>
      <c r="N96" s="85" t="n"/>
      <c r="O96" s="85" t="n"/>
      <c r="P96" s="85" t="n"/>
      <c r="Q96" s="85" t="n"/>
      <c r="R96" s="86" t="n"/>
      <c r="S96" s="87" t="n"/>
      <c r="T96" s="58" t="n"/>
      <c r="U96" s="84" t="n"/>
      <c r="V96" s="85" t="n"/>
      <c r="W96" s="86" t="n"/>
      <c r="X96" s="87" t="n"/>
      <c r="Y96" s="58" t="n"/>
      <c r="Z96" s="84" t="n"/>
      <c r="AA96" s="58" t="n"/>
      <c r="AB96" s="56" t="n"/>
      <c r="AC96" s="88" t="n"/>
      <c r="AD96" s="56" t="n"/>
      <c r="AE96" s="84" t="n"/>
      <c r="AF96" s="56" t="n"/>
      <c r="AG96" s="88" t="n"/>
      <c r="AH96" s="56" t="n"/>
      <c r="AI96" s="58" t="n"/>
      <c r="AJ96" s="84" t="n"/>
      <c r="AK96" s="89" t="n"/>
      <c r="AL96" s="88" t="n"/>
      <c r="AM96" s="88" t="n"/>
      <c r="AN96" s="56" t="n"/>
      <c r="AO96" s="90" t="n"/>
      <c r="AP96" s="90" t="n"/>
      <c r="AQ96" s="84" t="n"/>
      <c r="AR96" s="56" t="n"/>
      <c r="AS96" s="56" t="n"/>
      <c r="AT96" s="56" t="n"/>
      <c r="AU96" s="56" t="n"/>
      <c r="AV96" s="56" t="n"/>
    </row>
    <row r="97" ht="14" customHeight="1" s="176">
      <c r="A97" s="59" t="n"/>
      <c r="B97" s="59" t="n"/>
      <c r="C97" s="59" t="n"/>
      <c r="D97" s="59" t="n"/>
      <c r="E97" s="59" t="n"/>
      <c r="F97" s="59" t="n"/>
      <c r="G97" s="59" t="n"/>
      <c r="H97" s="59" t="n"/>
      <c r="I97" s="59" t="n"/>
      <c r="J97" s="59" t="n"/>
      <c r="K97" s="59" t="n"/>
      <c r="L97" s="59" t="n"/>
      <c r="M97" s="84" t="n"/>
      <c r="N97" s="85" t="n"/>
      <c r="O97" s="85" t="n"/>
      <c r="P97" s="85" t="n"/>
      <c r="Q97" s="85" t="n"/>
      <c r="R97" s="86" t="n"/>
      <c r="S97" s="87" t="n"/>
      <c r="T97" s="58" t="n"/>
      <c r="U97" s="84" t="n"/>
      <c r="V97" s="85" t="n"/>
      <c r="W97" s="86" t="n"/>
      <c r="X97" s="87" t="n"/>
      <c r="Y97" s="58" t="n"/>
      <c r="Z97" s="84" t="n"/>
      <c r="AA97" s="58" t="n"/>
      <c r="AB97" s="59" t="n"/>
      <c r="AC97" s="88" t="n"/>
      <c r="AD97" s="59" t="n"/>
      <c r="AE97" s="84" t="n"/>
      <c r="AF97" s="59" t="n"/>
      <c r="AG97" s="88" t="n"/>
      <c r="AH97" s="59" t="n"/>
      <c r="AI97" s="58" t="n"/>
      <c r="AJ97" s="84" t="n"/>
      <c r="AK97" s="89" t="n"/>
      <c r="AL97" s="88" t="n"/>
      <c r="AM97" s="88" t="n"/>
      <c r="AN97" s="59" t="n"/>
      <c r="AO97" s="90" t="n"/>
      <c r="AP97" s="90" t="n"/>
      <c r="AQ97" s="84" t="n"/>
      <c r="AR97" s="59" t="n"/>
      <c r="AS97" s="59" t="n"/>
      <c r="AT97" s="59" t="n"/>
      <c r="AU97" s="59" t="n"/>
      <c r="AV97" s="59" t="n"/>
    </row>
    <row r="98" ht="14" customHeight="1" s="176">
      <c r="A98" s="56" t="n"/>
      <c r="B98" s="56" t="n"/>
      <c r="C98" s="56" t="n"/>
      <c r="D98" s="56" t="n"/>
      <c r="E98" s="56" t="n"/>
      <c r="F98" s="56" t="n"/>
      <c r="G98" s="56" t="n"/>
      <c r="H98" s="56" t="n"/>
      <c r="I98" s="56" t="n"/>
      <c r="J98" s="56" t="n"/>
      <c r="K98" s="56" t="n"/>
      <c r="L98" s="56" t="n"/>
      <c r="M98" s="84" t="n"/>
      <c r="N98" s="85" t="n"/>
      <c r="O98" s="85" t="n"/>
      <c r="P98" s="85" t="n"/>
      <c r="Q98" s="85" t="n"/>
      <c r="R98" s="86" t="n"/>
      <c r="S98" s="87" t="n"/>
      <c r="T98" s="58" t="n"/>
      <c r="U98" s="84" t="n"/>
      <c r="V98" s="85" t="n"/>
      <c r="W98" s="86" t="n"/>
      <c r="X98" s="87" t="n"/>
      <c r="Y98" s="58" t="n"/>
      <c r="Z98" s="84" t="n"/>
      <c r="AA98" s="58" t="n"/>
      <c r="AB98" s="56" t="n"/>
      <c r="AC98" s="88" t="n"/>
      <c r="AD98" s="56" t="n"/>
      <c r="AE98" s="84" t="n"/>
      <c r="AF98" s="56" t="n"/>
      <c r="AG98" s="88" t="n"/>
      <c r="AH98" s="56" t="n"/>
      <c r="AI98" s="58" t="n"/>
      <c r="AJ98" s="84" t="n"/>
      <c r="AK98" s="89" t="n"/>
      <c r="AL98" s="88" t="n"/>
      <c r="AM98" s="88" t="n"/>
      <c r="AN98" s="56" t="n"/>
      <c r="AO98" s="90" t="n"/>
      <c r="AP98" s="90" t="n"/>
      <c r="AQ98" s="84" t="n"/>
      <c r="AR98" s="56" t="n"/>
      <c r="AS98" s="56" t="n"/>
      <c r="AT98" s="56" t="n"/>
      <c r="AU98" s="56" t="n"/>
      <c r="AV98" s="56" t="n"/>
    </row>
    <row r="99" ht="14" customHeight="1" s="176">
      <c r="A99" s="59" t="n"/>
      <c r="B99" s="59" t="n"/>
      <c r="C99" s="59" t="n"/>
      <c r="D99" s="59" t="n"/>
      <c r="E99" s="59" t="n"/>
      <c r="F99" s="59" t="n"/>
      <c r="G99" s="59" t="n"/>
      <c r="H99" s="59" t="n"/>
      <c r="I99" s="59" t="n"/>
      <c r="J99" s="59" t="n"/>
      <c r="K99" s="59" t="n"/>
      <c r="L99" s="59" t="n"/>
      <c r="M99" s="84" t="n"/>
      <c r="N99" s="85" t="n"/>
      <c r="O99" s="85" t="n"/>
      <c r="P99" s="85" t="n"/>
      <c r="Q99" s="85" t="n"/>
      <c r="R99" s="86" t="n"/>
      <c r="S99" s="87" t="n"/>
      <c r="T99" s="58" t="n"/>
      <c r="U99" s="84" t="n"/>
      <c r="V99" s="85" t="n"/>
      <c r="W99" s="86" t="n"/>
      <c r="X99" s="87" t="n"/>
      <c r="Y99" s="58" t="n"/>
      <c r="Z99" s="84" t="n"/>
      <c r="AA99" s="58" t="n"/>
      <c r="AB99" s="59" t="n"/>
      <c r="AC99" s="88" t="n"/>
      <c r="AD99" s="59" t="n"/>
      <c r="AE99" s="84" t="n"/>
      <c r="AF99" s="59" t="n"/>
      <c r="AG99" s="88" t="n"/>
      <c r="AH99" s="59" t="n"/>
      <c r="AI99" s="58" t="n"/>
      <c r="AJ99" s="84" t="n"/>
      <c r="AK99" s="89" t="n"/>
      <c r="AL99" s="88" t="n"/>
      <c r="AM99" s="88" t="n"/>
      <c r="AN99" s="59" t="n"/>
      <c r="AO99" s="90" t="n"/>
      <c r="AP99" s="90" t="n"/>
      <c r="AQ99" s="84" t="n"/>
      <c r="AR99" s="59" t="n"/>
      <c r="AS99" s="59" t="n"/>
      <c r="AT99" s="59" t="n"/>
      <c r="AU99" s="59" t="n"/>
      <c r="AV99" s="59" t="n"/>
    </row>
    <row r="100" ht="14" customHeight="1" s="176">
      <c r="A100" s="56" t="n"/>
      <c r="B100" s="56" t="n"/>
      <c r="C100" s="56" t="n"/>
      <c r="D100" s="56" t="n"/>
      <c r="E100" s="56" t="n"/>
      <c r="F100" s="56" t="n"/>
      <c r="G100" s="56" t="n"/>
      <c r="H100" s="56" t="n"/>
      <c r="I100" s="56" t="n"/>
      <c r="J100" s="56" t="n"/>
      <c r="K100" s="56" t="n"/>
      <c r="L100" s="56" t="n"/>
      <c r="M100" s="84" t="n"/>
      <c r="N100" s="85" t="n"/>
      <c r="O100" s="85" t="n"/>
      <c r="P100" s="85" t="n"/>
      <c r="Q100" s="85" t="n"/>
      <c r="R100" s="86" t="n"/>
      <c r="S100" s="87" t="n"/>
      <c r="T100" s="58" t="n"/>
      <c r="U100" s="84" t="n"/>
      <c r="V100" s="85" t="n"/>
      <c r="W100" s="86" t="n"/>
      <c r="X100" s="87" t="n"/>
      <c r="Y100" s="58" t="n"/>
      <c r="Z100" s="84" t="n"/>
      <c r="AA100" s="58" t="n"/>
      <c r="AB100" s="56" t="n"/>
      <c r="AC100" s="88" t="n"/>
      <c r="AD100" s="56" t="n"/>
      <c r="AE100" s="84" t="n"/>
      <c r="AF100" s="56" t="n"/>
      <c r="AG100" s="88" t="n"/>
      <c r="AH100" s="56" t="n"/>
      <c r="AI100" s="58" t="n"/>
      <c r="AJ100" s="84" t="n"/>
      <c r="AK100" s="89" t="n"/>
      <c r="AL100" s="88" t="n"/>
      <c r="AM100" s="88" t="n"/>
      <c r="AN100" s="56" t="n"/>
      <c r="AO100" s="90" t="n"/>
      <c r="AP100" s="90" t="n"/>
      <c r="AQ100" s="84" t="n"/>
      <c r="AR100" s="56" t="n"/>
      <c r="AS100" s="56" t="n"/>
      <c r="AT100" s="56" t="n"/>
      <c r="AU100" s="56" t="n"/>
      <c r="AV100" s="56" t="n"/>
    </row>
    <row r="101" ht="14" customHeight="1" s="176">
      <c r="A101" s="59" t="n"/>
      <c r="B101" s="59" t="n"/>
      <c r="C101" s="59" t="n"/>
      <c r="D101" s="59" t="n"/>
      <c r="E101" s="59" t="n"/>
      <c r="F101" s="59" t="n"/>
      <c r="G101" s="59" t="n"/>
      <c r="H101" s="59" t="n"/>
      <c r="I101" s="59" t="n"/>
      <c r="J101" s="59" t="n"/>
      <c r="K101" s="59" t="n"/>
      <c r="L101" s="59" t="n"/>
      <c r="M101" s="84" t="n"/>
      <c r="N101" s="85" t="n"/>
      <c r="O101" s="85" t="n"/>
      <c r="P101" s="85" t="n"/>
      <c r="Q101" s="85" t="n"/>
      <c r="R101" s="86" t="n"/>
      <c r="S101" s="87" t="n"/>
      <c r="T101" s="58" t="n"/>
      <c r="U101" s="84" t="n"/>
      <c r="V101" s="85" t="n"/>
      <c r="W101" s="86" t="n"/>
      <c r="X101" s="87" t="n"/>
      <c r="Y101" s="58" t="n"/>
      <c r="Z101" s="84" t="n"/>
      <c r="AA101" s="58" t="n"/>
      <c r="AB101" s="59" t="n"/>
      <c r="AC101" s="88" t="n"/>
      <c r="AD101" s="59" t="n"/>
      <c r="AE101" s="84" t="n"/>
      <c r="AF101" s="59" t="n"/>
      <c r="AG101" s="88" t="n"/>
      <c r="AH101" s="59" t="n"/>
      <c r="AI101" s="58" t="n"/>
      <c r="AJ101" s="84" t="n"/>
      <c r="AK101" s="89" t="n"/>
      <c r="AL101" s="88" t="n"/>
      <c r="AM101" s="88" t="n"/>
      <c r="AN101" s="59" t="n"/>
      <c r="AO101" s="90" t="n"/>
      <c r="AP101" s="90" t="n"/>
      <c r="AQ101" s="84" t="n"/>
      <c r="AR101" s="59" t="n"/>
      <c r="AS101" s="59" t="n"/>
      <c r="AT101" s="59" t="n"/>
      <c r="AU101" s="59" t="n"/>
      <c r="AV101" s="59" t="n"/>
    </row>
    <row r="102" ht="14" customHeight="1" s="176">
      <c r="A102" s="56" t="n"/>
      <c r="B102" s="56" t="n"/>
      <c r="C102" s="56" t="n"/>
      <c r="D102" s="56" t="n"/>
      <c r="E102" s="56" t="n"/>
      <c r="F102" s="56" t="n"/>
      <c r="G102" s="56" t="n"/>
      <c r="H102" s="56" t="n"/>
      <c r="I102" s="56" t="n"/>
      <c r="J102" s="56" t="n"/>
      <c r="K102" s="56" t="n"/>
      <c r="L102" s="56" t="n"/>
      <c r="M102" s="84" t="n"/>
      <c r="N102" s="85" t="n"/>
      <c r="O102" s="85" t="n"/>
      <c r="P102" s="85" t="n"/>
      <c r="Q102" s="85" t="n"/>
      <c r="R102" s="86" t="n"/>
      <c r="S102" s="87" t="n"/>
      <c r="T102" s="58" t="n"/>
      <c r="U102" s="84" t="n"/>
      <c r="V102" s="85" t="n"/>
      <c r="W102" s="86" t="n"/>
      <c r="X102" s="87" t="n"/>
      <c r="Y102" s="58" t="n"/>
      <c r="Z102" s="84" t="n"/>
      <c r="AA102" s="58" t="n"/>
      <c r="AB102" s="56" t="n"/>
      <c r="AC102" s="88" t="n"/>
      <c r="AD102" s="56" t="n"/>
      <c r="AE102" s="84" t="n"/>
      <c r="AF102" s="56" t="n"/>
      <c r="AG102" s="88" t="n"/>
      <c r="AH102" s="56" t="n"/>
      <c r="AI102" s="58" t="n"/>
      <c r="AJ102" s="84" t="n"/>
      <c r="AK102" s="89" t="n"/>
      <c r="AL102" s="88" t="n"/>
      <c r="AM102" s="88" t="n"/>
      <c r="AN102" s="56" t="n"/>
      <c r="AO102" s="90" t="n"/>
      <c r="AP102" s="90" t="n"/>
      <c r="AQ102" s="84" t="n"/>
      <c r="AR102" s="56" t="n"/>
      <c r="AS102" s="56" t="n"/>
      <c r="AT102" s="56" t="n"/>
      <c r="AU102" s="56" t="n"/>
      <c r="AV102" s="56" t="n"/>
    </row>
    <row r="103" ht="14" customHeight="1" s="176">
      <c r="A103" s="59" t="n"/>
      <c r="B103" s="59" t="n"/>
      <c r="C103" s="59" t="n"/>
      <c r="D103" s="59" t="n"/>
      <c r="E103" s="59" t="n"/>
      <c r="F103" s="59" t="n"/>
      <c r="G103" s="59" t="n"/>
      <c r="H103" s="59" t="n"/>
      <c r="I103" s="59" t="n"/>
      <c r="J103" s="59" t="n"/>
      <c r="K103" s="59" t="n"/>
      <c r="L103" s="59" t="n"/>
      <c r="M103" s="84" t="n"/>
      <c r="N103" s="85" t="n"/>
      <c r="O103" s="85" t="n"/>
      <c r="P103" s="85" t="n"/>
      <c r="Q103" s="85" t="n"/>
      <c r="R103" s="86" t="n"/>
      <c r="S103" s="87" t="n"/>
      <c r="T103" s="58" t="n"/>
      <c r="U103" s="84" t="n"/>
      <c r="V103" s="85" t="n"/>
      <c r="W103" s="86" t="n"/>
      <c r="X103" s="87" t="n"/>
      <c r="Y103" s="58" t="n"/>
      <c r="Z103" s="84" t="n"/>
      <c r="AA103" s="58" t="n"/>
      <c r="AB103" s="59" t="n"/>
      <c r="AC103" s="88" t="n"/>
      <c r="AD103" s="59" t="n"/>
      <c r="AE103" s="84" t="n"/>
      <c r="AF103" s="59" t="n"/>
      <c r="AG103" s="88" t="n"/>
      <c r="AH103" s="59" t="n"/>
      <c r="AI103" s="58" t="n"/>
      <c r="AJ103" s="84" t="n"/>
      <c r="AK103" s="89" t="n"/>
      <c r="AL103" s="88" t="n"/>
      <c r="AM103" s="88" t="n"/>
      <c r="AN103" s="59" t="n"/>
      <c r="AO103" s="90" t="n"/>
      <c r="AP103" s="90" t="n"/>
      <c r="AQ103" s="84" t="n"/>
      <c r="AR103" s="59" t="n"/>
      <c r="AS103" s="59" t="n"/>
      <c r="AT103" s="59" t="n"/>
      <c r="AU103" s="59" t="n"/>
      <c r="AV103" s="59" t="n"/>
    </row>
  </sheetData>
  <mergeCells count="1">
    <mergeCell ref="A1:Z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L21"/>
  <sheetViews>
    <sheetView showGridLines="0" zoomScale="15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2" sqref="A2:C2"/>
    </sheetView>
  </sheetViews>
  <sheetFormatPr baseColWidth="10" defaultColWidth="8.83203125" defaultRowHeight="15"/>
  <cols>
    <col width="16" customWidth="1" style="176" min="1" max="1"/>
    <col width="24" customWidth="1" style="176" min="2" max="2"/>
    <col width="14" customWidth="1" style="176" min="3" max="3"/>
    <col width="11" customWidth="1" style="176" min="4" max="6"/>
    <col width="8" customWidth="1" style="176" min="7" max="7"/>
    <col width="14" customWidth="1" style="176" min="8" max="8"/>
    <col width="12" customWidth="1" style="176" min="9" max="9"/>
    <col width="10" customWidth="1" style="176" min="10" max="10"/>
    <col width="12" customWidth="1" style="176" min="11" max="11"/>
    <col width="2" customWidth="1" style="176" min="12" max="12"/>
    <col width="11" customWidth="1" style="176" min="13" max="15"/>
    <col width="8" customWidth="1" style="176" min="16" max="16"/>
    <col width="14" customWidth="1" style="176" min="17" max="17"/>
    <col width="12" customWidth="1" style="176" min="18" max="18"/>
    <col width="10" customWidth="1" style="176" min="19" max="19"/>
    <col width="12" customWidth="1" style="176" min="20" max="20"/>
    <col width="2" customWidth="1" style="176" min="21" max="21"/>
    <col width="11" customWidth="1" style="176" min="22" max="24"/>
    <col width="8" customWidth="1" style="176" min="25" max="25"/>
    <col width="14" customWidth="1" style="176" min="26" max="26"/>
    <col width="12" customWidth="1" style="176" min="27" max="27"/>
    <col width="10" customWidth="1" style="176" min="28" max="28"/>
    <col width="12" customWidth="1" style="176" min="29" max="29"/>
    <col width="2" customWidth="1" style="176" min="30" max="30"/>
    <col width="11" customWidth="1" style="176" min="31" max="33"/>
    <col width="8" customWidth="1" style="176" min="34" max="34"/>
    <col width="14" customWidth="1" style="176" min="35" max="35"/>
    <col width="12" customWidth="1" style="176" min="36" max="36"/>
    <col width="10" customWidth="1" style="176" min="37" max="37"/>
    <col width="12" customWidth="1" style="176" min="38" max="38"/>
    <col width="2" customWidth="1" style="176" min="39" max="39"/>
  </cols>
  <sheetData>
    <row r="1" ht="30" customHeight="1" s="176">
      <c r="A1" s="199" t="inlineStr">
        <is>
          <t>A1</t>
        </is>
      </c>
    </row>
    <row r="2" ht="25" customHeight="1" s="176">
      <c r="A2" s="204" t="inlineStr">
        <is>
          <t>SEMANA ACTUAL:</t>
        </is>
      </c>
      <c r="D2" s="91" t="n">
        <v>26</v>
      </c>
      <c r="E2" s="92" t="inlineStr">
        <is>
          <t>← Cambie este número para actualizar la proyección</t>
        </is>
      </c>
    </row>
    <row r="3" ht="8" customHeight="1" s="176"/>
    <row r="4" ht="22" customHeight="1" s="176">
      <c r="A4" s="174" t="inlineStr">
        <is>
          <t>IDENTIFICACIÓN</t>
        </is>
      </c>
      <c r="B4" s="184" t="n"/>
      <c r="C4" s="185" t="n"/>
      <c r="D4" s="203" t="inlineStr">
        <is>
          <t>SEMANA +3  (S-29 est.)</t>
        </is>
      </c>
      <c r="E4" s="184" t="n"/>
      <c r="F4" s="184" t="n"/>
      <c r="G4" s="184" t="n"/>
      <c r="H4" s="184" t="n"/>
      <c r="I4" s="184" t="n"/>
      <c r="J4" s="184" t="n"/>
      <c r="K4" s="185" t="n"/>
      <c r="L4" s="203" t="inlineStr">
        <is>
          <t>SEMANA +4  (S-30 est.)</t>
        </is>
      </c>
      <c r="M4" s="184" t="n"/>
      <c r="N4" s="184" t="n"/>
      <c r="O4" s="184" t="n"/>
      <c r="P4" s="184" t="n"/>
      <c r="Q4" s="184" t="n"/>
      <c r="R4" s="184" t="n"/>
      <c r="S4" s="185" t="n"/>
      <c r="T4" s="200" t="inlineStr">
        <is>
          <t>SEMANA +5  (S-31 est.)</t>
        </is>
      </c>
      <c r="U4" s="184" t="n"/>
      <c r="V4" s="184" t="n"/>
      <c r="W4" s="184" t="n"/>
      <c r="X4" s="184" t="n"/>
      <c r="Y4" s="184" t="n"/>
      <c r="Z4" s="184" t="n"/>
      <c r="AA4" s="185" t="n"/>
      <c r="AB4" s="200" t="inlineStr">
        <is>
          <t>SEMANA +6  (S-32 est.)</t>
        </is>
      </c>
      <c r="AC4" s="184" t="n"/>
      <c r="AD4" s="184" t="n"/>
      <c r="AE4" s="184" t="n"/>
      <c r="AF4" s="184" t="n"/>
      <c r="AG4" s="184" t="n"/>
      <c r="AH4" s="184" t="n"/>
      <c r="AI4" s="185" t="n"/>
    </row>
    <row r="5" ht="35" customHeight="1" s="176">
      <c r="A5" s="28" t="inlineStr">
        <is>
          <t>Campo</t>
        </is>
      </c>
      <c r="B5" s="28" t="inlineStr">
        <is>
          <t>Centro de Costo</t>
        </is>
      </c>
      <c r="C5" s="28" t="inlineStr">
        <is>
          <t>Variedad</t>
        </is>
      </c>
      <c r="D5" s="81" t="inlineStr">
        <is>
          <t>Kg Ppto</t>
        </is>
      </c>
      <c r="E5" s="81" t="inlineStr">
        <is>
          <t>Kg Proyect.</t>
        </is>
      </c>
      <c r="F5" s="81" t="inlineStr">
        <is>
          <t>Precio USD</t>
        </is>
      </c>
      <c r="G5" s="81" t="inlineStr">
        <is>
          <t>TC Ref.</t>
        </is>
      </c>
      <c r="H5" s="81" t="inlineStr">
        <is>
          <t>Ingreso Proy. CLP</t>
        </is>
      </c>
      <c r="I5" s="81" t="inlineStr">
        <is>
          <t>C1 30% CLP</t>
        </is>
      </c>
      <c r="J5" s="81" t="inlineStr">
        <is>
          <t>Fecha C1</t>
        </is>
      </c>
      <c r="K5" s="81" t="inlineStr">
        <is>
          <t>C2 30% CLP</t>
        </is>
      </c>
      <c r="M5" s="81" t="inlineStr">
        <is>
          <t>Kg Ppto</t>
        </is>
      </c>
      <c r="N5" s="81" t="inlineStr">
        <is>
          <t>Kg Proyect.</t>
        </is>
      </c>
      <c r="O5" s="81" t="inlineStr">
        <is>
          <t>Precio USD</t>
        </is>
      </c>
      <c r="P5" s="81" t="inlineStr">
        <is>
          <t>TC Ref.</t>
        </is>
      </c>
      <c r="Q5" s="81" t="inlineStr">
        <is>
          <t>Ingreso Proy. CLP</t>
        </is>
      </c>
      <c r="R5" s="81" t="inlineStr">
        <is>
          <t>C1 30% CLP</t>
        </is>
      </c>
      <c r="S5" s="81" t="inlineStr">
        <is>
          <t>Fecha C1</t>
        </is>
      </c>
      <c r="T5" s="81" t="inlineStr">
        <is>
          <t>C2 30% CLP</t>
        </is>
      </c>
      <c r="V5" s="63" t="inlineStr">
        <is>
          <t>Kg Ppto</t>
        </is>
      </c>
      <c r="W5" s="63" t="inlineStr">
        <is>
          <t>Kg Proyect.</t>
        </is>
      </c>
      <c r="X5" s="63" t="inlineStr">
        <is>
          <t>Precio USD</t>
        </is>
      </c>
      <c r="Y5" s="63" t="inlineStr">
        <is>
          <t>TC Ref.</t>
        </is>
      </c>
      <c r="Z5" s="63" t="inlineStr">
        <is>
          <t>Ingreso Proy. CLP</t>
        </is>
      </c>
      <c r="AA5" s="63" t="inlineStr">
        <is>
          <t>C1 30% CLP</t>
        </is>
      </c>
      <c r="AB5" s="63" t="inlineStr">
        <is>
          <t>Fecha C1</t>
        </is>
      </c>
      <c r="AC5" s="63" t="inlineStr">
        <is>
          <t>C2 30% CLP</t>
        </is>
      </c>
      <c r="AE5" s="63" t="inlineStr">
        <is>
          <t>Kg Ppto</t>
        </is>
      </c>
      <c r="AF5" s="63" t="inlineStr">
        <is>
          <t>Kg Proyect.</t>
        </is>
      </c>
      <c r="AG5" s="63" t="inlineStr">
        <is>
          <t>Precio USD</t>
        </is>
      </c>
      <c r="AH5" s="63" t="inlineStr">
        <is>
          <t>TC Ref.</t>
        </is>
      </c>
      <c r="AI5" s="63" t="inlineStr">
        <is>
          <t>Ingreso Proy. CLP</t>
        </is>
      </c>
      <c r="AJ5" s="63" t="inlineStr">
        <is>
          <t>C1 30% CLP</t>
        </is>
      </c>
      <c r="AK5" s="63" t="inlineStr">
        <is>
          <t>Fecha C1</t>
        </is>
      </c>
      <c r="AL5" s="63" t="inlineStr">
        <is>
          <t>C2 30% CLP</t>
        </is>
      </c>
    </row>
    <row r="6" ht="16" customHeight="1" s="176">
      <c r="A6" s="56" t="inlineStr">
        <is>
          <t>Asmara</t>
        </is>
      </c>
      <c r="B6" s="74" t="inlineStr">
        <is>
          <t>w. murcott 19,8 ha</t>
        </is>
      </c>
      <c r="C6" s="75" t="inlineStr">
        <is>
          <t>W. murcott</t>
        </is>
      </c>
      <c r="D6" s="93" t="n">
        <v>49500</v>
      </c>
      <c r="E6" s="94" t="n">
        <v>49500</v>
      </c>
      <c r="F6" s="95" t="n">
        <v>0.6</v>
      </c>
      <c r="G6" s="94" t="n">
        <v>900</v>
      </c>
      <c r="H6" s="96" t="n">
        <v>26730000</v>
      </c>
      <c r="I6" s="97" t="n">
        <v>8019000</v>
      </c>
      <c r="J6" s="98" t="inlineStr">
        <is>
          <t>S-29</t>
        </is>
      </c>
      <c r="K6" s="97" t="n">
        <v>8019000</v>
      </c>
      <c r="M6" s="93" t="n">
        <v>49500</v>
      </c>
      <c r="N6" s="94" t="n">
        <v>49500</v>
      </c>
      <c r="O6" s="95" t="n">
        <v>0.6</v>
      </c>
      <c r="P6" s="94" t="n">
        <v>900</v>
      </c>
      <c r="Q6" s="96" t="n">
        <v>26730000</v>
      </c>
      <c r="R6" s="97" t="n">
        <v>8019000</v>
      </c>
      <c r="S6" s="98" t="inlineStr">
        <is>
          <t>S-30</t>
        </is>
      </c>
      <c r="T6" s="97" t="n">
        <v>8019000</v>
      </c>
      <c r="V6" s="93" t="n">
        <v>49500</v>
      </c>
      <c r="W6" s="94" t="n">
        <v>49500</v>
      </c>
      <c r="X6" s="95" t="n">
        <v>0.6</v>
      </c>
      <c r="Y6" s="94" t="n">
        <v>900</v>
      </c>
      <c r="Z6" s="96" t="n">
        <v>26730000</v>
      </c>
      <c r="AA6" s="97" t="n">
        <v>8019000</v>
      </c>
      <c r="AB6" s="98" t="inlineStr">
        <is>
          <t>S-31</t>
        </is>
      </c>
      <c r="AC6" s="97" t="n">
        <v>8019000</v>
      </c>
      <c r="AE6" s="93" t="n">
        <v>49500</v>
      </c>
      <c r="AF6" s="94" t="n">
        <v>49500</v>
      </c>
      <c r="AG6" s="95" t="n">
        <v>0.6</v>
      </c>
      <c r="AH6" s="94" t="n">
        <v>900</v>
      </c>
      <c r="AI6" s="96" t="n">
        <v>26730000</v>
      </c>
      <c r="AJ6" s="97" t="n">
        <v>8019000</v>
      </c>
      <c r="AK6" s="98" t="inlineStr">
        <is>
          <t>S-32</t>
        </is>
      </c>
      <c r="AL6" s="97" t="n">
        <v>8019000</v>
      </c>
    </row>
    <row r="7" ht="16" customHeight="1" s="176">
      <c r="A7" s="59" t="inlineStr">
        <is>
          <t>Asmara</t>
        </is>
      </c>
      <c r="B7" s="66" t="inlineStr">
        <is>
          <t>w. murcott 4,9 ha</t>
        </is>
      </c>
      <c r="C7" s="67" t="inlineStr">
        <is>
          <t>W. murcott</t>
        </is>
      </c>
      <c r="D7" s="93" t="n">
        <v>12250</v>
      </c>
      <c r="E7" s="94" t="n">
        <v>12250</v>
      </c>
      <c r="F7" s="95" t="n">
        <v>0.6</v>
      </c>
      <c r="G7" s="94" t="n">
        <v>900</v>
      </c>
      <c r="H7" s="96" t="n">
        <v>6615000.000000001</v>
      </c>
      <c r="I7" s="97" t="n">
        <v>1984500</v>
      </c>
      <c r="J7" s="98" t="inlineStr">
        <is>
          <t>S-29</t>
        </is>
      </c>
      <c r="K7" s="97" t="n">
        <v>1984500</v>
      </c>
      <c r="M7" s="93" t="n">
        <v>12250</v>
      </c>
      <c r="N7" s="94" t="n">
        <v>12250</v>
      </c>
      <c r="O7" s="95" t="n">
        <v>0.6</v>
      </c>
      <c r="P7" s="94" t="n">
        <v>900</v>
      </c>
      <c r="Q7" s="96" t="n">
        <v>6615000.000000001</v>
      </c>
      <c r="R7" s="97" t="n">
        <v>1984500</v>
      </c>
      <c r="S7" s="98" t="inlineStr">
        <is>
          <t>S-30</t>
        </is>
      </c>
      <c r="T7" s="97" t="n">
        <v>1984500</v>
      </c>
      <c r="V7" s="93" t="n">
        <v>12250</v>
      </c>
      <c r="W7" s="94" t="n">
        <v>12250</v>
      </c>
      <c r="X7" s="95" t="n">
        <v>0.6</v>
      </c>
      <c r="Y7" s="94" t="n">
        <v>900</v>
      </c>
      <c r="Z7" s="96" t="n">
        <v>6615000.000000001</v>
      </c>
      <c r="AA7" s="97" t="n">
        <v>1984500</v>
      </c>
      <c r="AB7" s="98" t="inlineStr">
        <is>
          <t>S-31</t>
        </is>
      </c>
      <c r="AC7" s="97" t="n">
        <v>1984500</v>
      </c>
      <c r="AE7" s="93" t="n">
        <v>12250</v>
      </c>
      <c r="AF7" s="94" t="n">
        <v>12250</v>
      </c>
      <c r="AG7" s="95" t="n">
        <v>0.6</v>
      </c>
      <c r="AH7" s="94" t="n">
        <v>900</v>
      </c>
      <c r="AI7" s="96" t="n">
        <v>6615000.000000001</v>
      </c>
      <c r="AJ7" s="97" t="n">
        <v>1984500</v>
      </c>
      <c r="AK7" s="98" t="inlineStr">
        <is>
          <t>S-32</t>
        </is>
      </c>
      <c r="AL7" s="97" t="n">
        <v>1984500</v>
      </c>
    </row>
    <row r="8" ht="16" customHeight="1" s="176">
      <c r="A8" s="56" t="inlineStr">
        <is>
          <t>El Molle</t>
        </is>
      </c>
      <c r="B8" s="74" t="inlineStr">
        <is>
          <t>Wonderful 5,25 ha</t>
        </is>
      </c>
      <c r="C8" s="75" t="inlineStr">
        <is>
          <t>Wonderfull</t>
        </is>
      </c>
      <c r="D8" s="93" t="n">
        <v>5764</v>
      </c>
      <c r="E8" s="94" t="n">
        <v>5764</v>
      </c>
      <c r="F8" s="95" t="n">
        <v>0.77</v>
      </c>
      <c r="G8" s="94" t="n">
        <v>900</v>
      </c>
      <c r="H8" s="96" t="n">
        <v>3994452</v>
      </c>
      <c r="I8" s="97" t="n">
        <v>1198335.6</v>
      </c>
      <c r="J8" s="98" t="inlineStr">
        <is>
          <t>S-29</t>
        </is>
      </c>
      <c r="K8" s="97" t="n">
        <v>1198335.6</v>
      </c>
      <c r="M8" s="93" t="n">
        <v>5764</v>
      </c>
      <c r="N8" s="94" t="n">
        <v>5764</v>
      </c>
      <c r="O8" s="95" t="n">
        <v>0.77</v>
      </c>
      <c r="P8" s="94" t="n">
        <v>900</v>
      </c>
      <c r="Q8" s="96" t="n">
        <v>3994452</v>
      </c>
      <c r="R8" s="97" t="n">
        <v>1198335.6</v>
      </c>
      <c r="S8" s="98" t="inlineStr">
        <is>
          <t>S-30</t>
        </is>
      </c>
      <c r="T8" s="97" t="n">
        <v>1198335.6</v>
      </c>
      <c r="V8" s="93" t="n">
        <v>5764</v>
      </c>
      <c r="W8" s="94" t="n">
        <v>5764</v>
      </c>
      <c r="X8" s="95" t="n">
        <v>0.77</v>
      </c>
      <c r="Y8" s="94" t="n">
        <v>900</v>
      </c>
      <c r="Z8" s="96" t="n">
        <v>3994452</v>
      </c>
      <c r="AA8" s="97" t="n">
        <v>1198335.6</v>
      </c>
      <c r="AB8" s="98" t="inlineStr">
        <is>
          <t>S-31</t>
        </is>
      </c>
      <c r="AC8" s="97" t="n">
        <v>1198335.6</v>
      </c>
      <c r="AE8" s="93" t="n">
        <v>5764</v>
      </c>
      <c r="AF8" s="94" t="n">
        <v>5764</v>
      </c>
      <c r="AG8" s="95" t="n">
        <v>0.77</v>
      </c>
      <c r="AH8" s="94" t="n">
        <v>900</v>
      </c>
      <c r="AI8" s="96" t="n">
        <v>3994452</v>
      </c>
      <c r="AJ8" s="97" t="n">
        <v>1198335.6</v>
      </c>
      <c r="AK8" s="98" t="inlineStr">
        <is>
          <t>S-32</t>
        </is>
      </c>
      <c r="AL8" s="97" t="n">
        <v>1198335.6</v>
      </c>
    </row>
    <row r="9" ht="16" customHeight="1" s="176">
      <c r="A9" s="59" t="inlineStr">
        <is>
          <t>El Molle</t>
        </is>
      </c>
      <c r="B9" s="66" t="inlineStr">
        <is>
          <t>arrufatinas 5,74 ha</t>
        </is>
      </c>
      <c r="C9" s="67" t="inlineStr">
        <is>
          <t>Arrufatinas</t>
        </is>
      </c>
      <c r="D9" s="93" t="n">
        <v>9184</v>
      </c>
      <c r="E9" s="94" t="n">
        <v>9184</v>
      </c>
      <c r="F9" s="95" t="n">
        <v>0.77</v>
      </c>
      <c r="G9" s="94" t="n">
        <v>900</v>
      </c>
      <c r="H9" s="96" t="n">
        <v>6364512</v>
      </c>
      <c r="I9" s="97" t="n">
        <v>1909353.6</v>
      </c>
      <c r="J9" s="98" t="inlineStr">
        <is>
          <t>S-29</t>
        </is>
      </c>
      <c r="K9" s="97" t="n">
        <v>1909353.6</v>
      </c>
      <c r="M9" s="93" t="n">
        <v>9184</v>
      </c>
      <c r="N9" s="94" t="n">
        <v>9184</v>
      </c>
      <c r="O9" s="95" t="n">
        <v>0.77</v>
      </c>
      <c r="P9" s="94" t="n">
        <v>900</v>
      </c>
      <c r="Q9" s="96" t="n">
        <v>6364512</v>
      </c>
      <c r="R9" s="97" t="n">
        <v>1909353.6</v>
      </c>
      <c r="S9" s="98" t="inlineStr">
        <is>
          <t>S-30</t>
        </is>
      </c>
      <c r="T9" s="97" t="n">
        <v>1909353.6</v>
      </c>
      <c r="V9" s="93" t="n">
        <v>9184</v>
      </c>
      <c r="W9" s="94" t="n">
        <v>9184</v>
      </c>
      <c r="X9" s="95" t="n">
        <v>0.77</v>
      </c>
      <c r="Y9" s="94" t="n">
        <v>900</v>
      </c>
      <c r="Z9" s="96" t="n">
        <v>6364512</v>
      </c>
      <c r="AA9" s="97" t="n">
        <v>1909353.6</v>
      </c>
      <c r="AB9" s="98" t="inlineStr">
        <is>
          <t>S-31</t>
        </is>
      </c>
      <c r="AC9" s="97" t="n">
        <v>1909353.6</v>
      </c>
      <c r="AE9" s="93" t="n">
        <v>9184</v>
      </c>
      <c r="AF9" s="94" t="n">
        <v>9184</v>
      </c>
      <c r="AG9" s="95" t="n">
        <v>0.77</v>
      </c>
      <c r="AH9" s="94" t="n">
        <v>900</v>
      </c>
      <c r="AI9" s="96" t="n">
        <v>6364512</v>
      </c>
      <c r="AJ9" s="97" t="n">
        <v>1909353.6</v>
      </c>
      <c r="AK9" s="98" t="inlineStr">
        <is>
          <t>S-32</t>
        </is>
      </c>
      <c r="AL9" s="97" t="n">
        <v>1909353.6</v>
      </c>
    </row>
    <row r="10" ht="16" customHeight="1" s="176">
      <c r="A10" s="56" t="inlineStr">
        <is>
          <t>El Molle</t>
        </is>
      </c>
      <c r="B10" s="74" t="inlineStr">
        <is>
          <t>orogrande 8,11 ha</t>
        </is>
      </c>
      <c r="C10" s="75" t="inlineStr">
        <is>
          <t>Orogrande</t>
        </is>
      </c>
      <c r="D10" s="93" t="n">
        <v>14192</v>
      </c>
      <c r="E10" s="94" t="n">
        <v>14192</v>
      </c>
      <c r="F10" s="95" t="n">
        <v>0.77</v>
      </c>
      <c r="G10" s="94" t="n">
        <v>900</v>
      </c>
      <c r="H10" s="96" t="n">
        <v>9835402.5</v>
      </c>
      <c r="I10" s="97" t="n">
        <v>2950620.75</v>
      </c>
      <c r="J10" s="98" t="inlineStr">
        <is>
          <t>S-29</t>
        </is>
      </c>
      <c r="K10" s="97" t="n">
        <v>2950620.75</v>
      </c>
      <c r="M10" s="93" t="n">
        <v>14192</v>
      </c>
      <c r="N10" s="94" t="n">
        <v>14192</v>
      </c>
      <c r="O10" s="95" t="n">
        <v>0.77</v>
      </c>
      <c r="P10" s="94" t="n">
        <v>900</v>
      </c>
      <c r="Q10" s="96" t="n">
        <v>9835402.5</v>
      </c>
      <c r="R10" s="97" t="n">
        <v>2950620.75</v>
      </c>
      <c r="S10" s="98" t="inlineStr">
        <is>
          <t>S-30</t>
        </is>
      </c>
      <c r="T10" s="97" t="n">
        <v>2950620.75</v>
      </c>
      <c r="V10" s="93" t="n">
        <v>14192</v>
      </c>
      <c r="W10" s="94" t="n">
        <v>14192</v>
      </c>
      <c r="X10" s="95" t="n">
        <v>0.77</v>
      </c>
      <c r="Y10" s="94" t="n">
        <v>900</v>
      </c>
      <c r="Z10" s="96" t="n">
        <v>9835402.5</v>
      </c>
      <c r="AA10" s="97" t="n">
        <v>2950620.75</v>
      </c>
      <c r="AB10" s="98" t="inlineStr">
        <is>
          <t>S-31</t>
        </is>
      </c>
      <c r="AC10" s="97" t="n">
        <v>2950620.75</v>
      </c>
      <c r="AE10" s="93" t="n">
        <v>14192</v>
      </c>
      <c r="AF10" s="94" t="n">
        <v>14192</v>
      </c>
      <c r="AG10" s="95" t="n">
        <v>0.77</v>
      </c>
      <c r="AH10" s="94" t="n">
        <v>900</v>
      </c>
      <c r="AI10" s="96" t="n">
        <v>9835402.5</v>
      </c>
      <c r="AJ10" s="97" t="n">
        <v>2950620.75</v>
      </c>
      <c r="AK10" s="98" t="inlineStr">
        <is>
          <t>S-32</t>
        </is>
      </c>
      <c r="AL10" s="97" t="n">
        <v>2950620.75</v>
      </c>
    </row>
    <row r="11" ht="16" customHeight="1" s="176">
      <c r="A11" s="59" t="inlineStr">
        <is>
          <t>El Molle</t>
        </is>
      </c>
      <c r="B11" s="66" t="inlineStr">
        <is>
          <t>oronules 5,35 ha</t>
        </is>
      </c>
      <c r="C11" s="67" t="inlineStr">
        <is>
          <t>Oronules</t>
        </is>
      </c>
      <c r="D11" s="93" t="n">
        <v>8025</v>
      </c>
      <c r="E11" s="94" t="n">
        <v>8025</v>
      </c>
      <c r="F11" s="95" t="n">
        <v>0.77</v>
      </c>
      <c r="G11" s="94" t="n">
        <v>900</v>
      </c>
      <c r="H11" s="96" t="n">
        <v>5561325</v>
      </c>
      <c r="I11" s="97" t="n">
        <v>1668397.5</v>
      </c>
      <c r="J11" s="98" t="inlineStr">
        <is>
          <t>S-29</t>
        </is>
      </c>
      <c r="K11" s="97" t="n">
        <v>1668397.5</v>
      </c>
      <c r="M11" s="93" t="n">
        <v>8025</v>
      </c>
      <c r="N11" s="94" t="n">
        <v>8025</v>
      </c>
      <c r="O11" s="95" t="n">
        <v>0.77</v>
      </c>
      <c r="P11" s="94" t="n">
        <v>900</v>
      </c>
      <c r="Q11" s="96" t="n">
        <v>5561325</v>
      </c>
      <c r="R11" s="97" t="n">
        <v>1668397.5</v>
      </c>
      <c r="S11" s="98" t="inlineStr">
        <is>
          <t>S-30</t>
        </is>
      </c>
      <c r="T11" s="97" t="n">
        <v>1668397.5</v>
      </c>
      <c r="V11" s="93" t="n">
        <v>8025</v>
      </c>
      <c r="W11" s="94" t="n">
        <v>8025</v>
      </c>
      <c r="X11" s="95" t="n">
        <v>0.77</v>
      </c>
      <c r="Y11" s="94" t="n">
        <v>900</v>
      </c>
      <c r="Z11" s="96" t="n">
        <v>5561325</v>
      </c>
      <c r="AA11" s="97" t="n">
        <v>1668397.5</v>
      </c>
      <c r="AB11" s="98" t="inlineStr">
        <is>
          <t>S-31</t>
        </is>
      </c>
      <c r="AC11" s="97" t="n">
        <v>1668397.5</v>
      </c>
      <c r="AE11" s="93" t="n">
        <v>8025</v>
      </c>
      <c r="AF11" s="94" t="n">
        <v>8025</v>
      </c>
      <c r="AG11" s="95" t="n">
        <v>0.77</v>
      </c>
      <c r="AH11" s="94" t="n">
        <v>900</v>
      </c>
      <c r="AI11" s="96" t="n">
        <v>5561325</v>
      </c>
      <c r="AJ11" s="97" t="n">
        <v>1668397.5</v>
      </c>
      <c r="AK11" s="98" t="inlineStr">
        <is>
          <t>S-32</t>
        </is>
      </c>
      <c r="AL11" s="97" t="n">
        <v>1668397.5</v>
      </c>
    </row>
    <row r="12" ht="16" customHeight="1" s="176">
      <c r="A12" s="56" t="inlineStr">
        <is>
          <t>Santa Catalina</t>
        </is>
      </c>
      <c r="B12" s="74" t="inlineStr">
        <is>
          <t>Fino 49 7,7 ha</t>
        </is>
      </c>
      <c r="C12" s="75" t="inlineStr">
        <is>
          <t>Fino 49</t>
        </is>
      </c>
      <c r="D12" s="93" t="n">
        <v>26950</v>
      </c>
      <c r="E12" s="94" t="n">
        <v>26950</v>
      </c>
      <c r="F12" s="95" t="n">
        <v>0.35</v>
      </c>
      <c r="G12" s="94" t="n">
        <v>900</v>
      </c>
      <c r="H12" s="96" t="n">
        <v>8489250</v>
      </c>
      <c r="I12" s="97" t="n">
        <v>2546775</v>
      </c>
      <c r="J12" s="98" t="inlineStr">
        <is>
          <t>S-29</t>
        </is>
      </c>
      <c r="K12" s="97" t="n">
        <v>2546775</v>
      </c>
      <c r="M12" s="93" t="n">
        <v>26950</v>
      </c>
      <c r="N12" s="94" t="n">
        <v>26950</v>
      </c>
      <c r="O12" s="95" t="n">
        <v>0.35</v>
      </c>
      <c r="P12" s="94" t="n">
        <v>900</v>
      </c>
      <c r="Q12" s="96" t="n">
        <v>8489250</v>
      </c>
      <c r="R12" s="97" t="n">
        <v>2546775</v>
      </c>
      <c r="S12" s="98" t="inlineStr">
        <is>
          <t>S-30</t>
        </is>
      </c>
      <c r="T12" s="97" t="n">
        <v>2546775</v>
      </c>
      <c r="V12" s="93" t="n">
        <v>26950</v>
      </c>
      <c r="W12" s="94" t="n">
        <v>26950</v>
      </c>
      <c r="X12" s="95" t="n">
        <v>0.35</v>
      </c>
      <c r="Y12" s="94" t="n">
        <v>900</v>
      </c>
      <c r="Z12" s="96" t="n">
        <v>8489250</v>
      </c>
      <c r="AA12" s="97" t="n">
        <v>2546775</v>
      </c>
      <c r="AB12" s="98" t="inlineStr">
        <is>
          <t>S-31</t>
        </is>
      </c>
      <c r="AC12" s="97" t="n">
        <v>2546775</v>
      </c>
      <c r="AE12" s="93" t="n">
        <v>26950</v>
      </c>
      <c r="AF12" s="94" t="n">
        <v>26950</v>
      </c>
      <c r="AG12" s="95" t="n">
        <v>0.35</v>
      </c>
      <c r="AH12" s="94" t="n">
        <v>900</v>
      </c>
      <c r="AI12" s="96" t="n">
        <v>8489250</v>
      </c>
      <c r="AJ12" s="97" t="n">
        <v>2546775</v>
      </c>
      <c r="AK12" s="98" t="inlineStr">
        <is>
          <t>S-32</t>
        </is>
      </c>
      <c r="AL12" s="97" t="n">
        <v>2546775</v>
      </c>
    </row>
    <row r="13" ht="16" customHeight="1" s="176">
      <c r="A13" s="59" t="inlineStr">
        <is>
          <t>Santa Catalina</t>
        </is>
      </c>
      <c r="B13" s="66" t="inlineStr">
        <is>
          <t>W. murcott 21 ha</t>
        </is>
      </c>
      <c r="C13" s="67" t="inlineStr">
        <is>
          <t>W. murcott</t>
        </is>
      </c>
      <c r="D13" s="93" t="n">
        <v>52500</v>
      </c>
      <c r="E13" s="94" t="n">
        <v>52500</v>
      </c>
      <c r="F13" s="95" t="n">
        <v>0.6</v>
      </c>
      <c r="G13" s="94" t="n">
        <v>900</v>
      </c>
      <c r="H13" s="96" t="n">
        <v>28350000</v>
      </c>
      <c r="I13" s="97" t="n">
        <v>8505000</v>
      </c>
      <c r="J13" s="98" t="inlineStr">
        <is>
          <t>S-29</t>
        </is>
      </c>
      <c r="K13" s="97" t="n">
        <v>8505000</v>
      </c>
      <c r="M13" s="93" t="n">
        <v>52500</v>
      </c>
      <c r="N13" s="94" t="n">
        <v>52500</v>
      </c>
      <c r="O13" s="95" t="n">
        <v>0.6</v>
      </c>
      <c r="P13" s="94" t="n">
        <v>900</v>
      </c>
      <c r="Q13" s="96" t="n">
        <v>28350000</v>
      </c>
      <c r="R13" s="97" t="n">
        <v>8505000</v>
      </c>
      <c r="S13" s="98" t="inlineStr">
        <is>
          <t>S-30</t>
        </is>
      </c>
      <c r="T13" s="97" t="n">
        <v>8505000</v>
      </c>
      <c r="V13" s="93" t="n">
        <v>52500</v>
      </c>
      <c r="W13" s="94" t="n">
        <v>52500</v>
      </c>
      <c r="X13" s="95" t="n">
        <v>0.6</v>
      </c>
      <c r="Y13" s="94" t="n">
        <v>900</v>
      </c>
      <c r="Z13" s="96" t="n">
        <v>28350000</v>
      </c>
      <c r="AA13" s="97" t="n">
        <v>8505000</v>
      </c>
      <c r="AB13" s="98" t="inlineStr">
        <is>
          <t>S-31</t>
        </is>
      </c>
      <c r="AC13" s="97" t="n">
        <v>8505000</v>
      </c>
      <c r="AE13" s="93" t="n">
        <v>52500</v>
      </c>
      <c r="AF13" s="94" t="n">
        <v>52500</v>
      </c>
      <c r="AG13" s="95" t="n">
        <v>0.6</v>
      </c>
      <c r="AH13" s="94" t="n">
        <v>900</v>
      </c>
      <c r="AI13" s="96" t="n">
        <v>28350000</v>
      </c>
      <c r="AJ13" s="97" t="n">
        <v>8505000</v>
      </c>
      <c r="AK13" s="98" t="inlineStr">
        <is>
          <t>S-32</t>
        </is>
      </c>
      <c r="AL13" s="97" t="n">
        <v>8505000</v>
      </c>
    </row>
    <row r="14" ht="16" customHeight="1" s="176">
      <c r="A14" s="56" t="inlineStr">
        <is>
          <t>Santa Catalina</t>
        </is>
      </c>
      <c r="B14" s="74" t="inlineStr">
        <is>
          <t>eureka 10,6 ha</t>
        </is>
      </c>
      <c r="C14" s="75" t="inlineStr">
        <is>
          <t>Eureka</t>
        </is>
      </c>
      <c r="D14" s="93" t="n">
        <v>37100</v>
      </c>
      <c r="E14" s="94" t="n">
        <v>37100</v>
      </c>
      <c r="F14" s="95" t="n">
        <v>0.35</v>
      </c>
      <c r="G14" s="94" t="n">
        <v>900</v>
      </c>
      <c r="H14" s="96" t="n">
        <v>11686500</v>
      </c>
      <c r="I14" s="97" t="n">
        <v>3505950</v>
      </c>
      <c r="J14" s="98" t="inlineStr">
        <is>
          <t>S-29</t>
        </is>
      </c>
      <c r="K14" s="97" t="n">
        <v>3505950</v>
      </c>
      <c r="M14" s="93" t="n">
        <v>37100</v>
      </c>
      <c r="N14" s="94" t="n">
        <v>37100</v>
      </c>
      <c r="O14" s="95" t="n">
        <v>0.35</v>
      </c>
      <c r="P14" s="94" t="n">
        <v>900</v>
      </c>
      <c r="Q14" s="96" t="n">
        <v>11686500</v>
      </c>
      <c r="R14" s="97" t="n">
        <v>3505950</v>
      </c>
      <c r="S14" s="98" t="inlineStr">
        <is>
          <t>S-30</t>
        </is>
      </c>
      <c r="T14" s="97" t="n">
        <v>3505950</v>
      </c>
      <c r="V14" s="93" t="n">
        <v>37100</v>
      </c>
      <c r="W14" s="94" t="n">
        <v>37100</v>
      </c>
      <c r="X14" s="95" t="n">
        <v>0.35</v>
      </c>
      <c r="Y14" s="94" t="n">
        <v>900</v>
      </c>
      <c r="Z14" s="96" t="n">
        <v>11686500</v>
      </c>
      <c r="AA14" s="97" t="n">
        <v>3505950</v>
      </c>
      <c r="AB14" s="98" t="inlineStr">
        <is>
          <t>S-31</t>
        </is>
      </c>
      <c r="AC14" s="97" t="n">
        <v>3505950</v>
      </c>
      <c r="AE14" s="93" t="n">
        <v>37100</v>
      </c>
      <c r="AF14" s="94" t="n">
        <v>37100</v>
      </c>
      <c r="AG14" s="95" t="n">
        <v>0.35</v>
      </c>
      <c r="AH14" s="94" t="n">
        <v>900</v>
      </c>
      <c r="AI14" s="96" t="n">
        <v>11686500</v>
      </c>
      <c r="AJ14" s="97" t="n">
        <v>3505950</v>
      </c>
      <c r="AK14" s="98" t="inlineStr">
        <is>
          <t>S-32</t>
        </is>
      </c>
      <c r="AL14" s="97" t="n">
        <v>3505950</v>
      </c>
    </row>
    <row r="15" ht="16" customHeight="1" s="176">
      <c r="A15" s="59" t="inlineStr">
        <is>
          <t>Santa Catalina</t>
        </is>
      </c>
      <c r="B15" s="66" t="inlineStr">
        <is>
          <t>eureka 14,4 ha</t>
        </is>
      </c>
      <c r="C15" s="67" t="inlineStr">
        <is>
          <t>Eureka</t>
        </is>
      </c>
      <c r="D15" s="93" t="n">
        <v>50400</v>
      </c>
      <c r="E15" s="94" t="n">
        <v>50400</v>
      </c>
      <c r="F15" s="95" t="n">
        <v>0.35</v>
      </c>
      <c r="G15" s="94" t="n">
        <v>900</v>
      </c>
      <c r="H15" s="96" t="n">
        <v>15876000</v>
      </c>
      <c r="I15" s="97" t="n">
        <v>4762800</v>
      </c>
      <c r="J15" s="98" t="inlineStr">
        <is>
          <t>S-29</t>
        </is>
      </c>
      <c r="K15" s="97" t="n">
        <v>4762800</v>
      </c>
      <c r="M15" s="93" t="n">
        <v>50400</v>
      </c>
      <c r="N15" s="94" t="n">
        <v>50400</v>
      </c>
      <c r="O15" s="95" t="n">
        <v>0.35</v>
      </c>
      <c r="P15" s="94" t="n">
        <v>900</v>
      </c>
      <c r="Q15" s="96" t="n">
        <v>15876000</v>
      </c>
      <c r="R15" s="97" t="n">
        <v>4762800</v>
      </c>
      <c r="S15" s="98" t="inlineStr">
        <is>
          <t>S-30</t>
        </is>
      </c>
      <c r="T15" s="97" t="n">
        <v>4762800</v>
      </c>
      <c r="V15" s="93" t="n">
        <v>50400</v>
      </c>
      <c r="W15" s="94" t="n">
        <v>50400</v>
      </c>
      <c r="X15" s="95" t="n">
        <v>0.35</v>
      </c>
      <c r="Y15" s="94" t="n">
        <v>900</v>
      </c>
      <c r="Z15" s="96" t="n">
        <v>15876000</v>
      </c>
      <c r="AA15" s="97" t="n">
        <v>4762800</v>
      </c>
      <c r="AB15" s="98" t="inlineStr">
        <is>
          <t>S-31</t>
        </is>
      </c>
      <c r="AC15" s="97" t="n">
        <v>4762800</v>
      </c>
      <c r="AE15" s="93" t="n">
        <v>50400</v>
      </c>
      <c r="AF15" s="94" t="n">
        <v>50400</v>
      </c>
      <c r="AG15" s="95" t="n">
        <v>0.35</v>
      </c>
      <c r="AH15" s="94" t="n">
        <v>900</v>
      </c>
      <c r="AI15" s="96" t="n">
        <v>15876000</v>
      </c>
      <c r="AJ15" s="97" t="n">
        <v>4762800</v>
      </c>
      <c r="AK15" s="98" t="inlineStr">
        <is>
          <t>S-32</t>
        </is>
      </c>
      <c r="AL15" s="97" t="n">
        <v>4762800</v>
      </c>
    </row>
    <row r="16" ht="16" customHeight="1" s="176">
      <c r="A16" s="56" t="inlineStr">
        <is>
          <t>Santa Catalina</t>
        </is>
      </c>
      <c r="B16" s="74" t="inlineStr">
        <is>
          <t>eureka 22,55</t>
        </is>
      </c>
      <c r="C16" s="75" t="inlineStr">
        <is>
          <t>Eureka</t>
        </is>
      </c>
      <c r="D16" s="93" t="n">
        <v>78925</v>
      </c>
      <c r="E16" s="94" t="n">
        <v>78925</v>
      </c>
      <c r="F16" s="95" t="n">
        <v>0.35</v>
      </c>
      <c r="G16" s="94" t="n">
        <v>900</v>
      </c>
      <c r="H16" s="96" t="n">
        <v>24861375</v>
      </c>
      <c r="I16" s="97" t="n">
        <v>7458412.5</v>
      </c>
      <c r="J16" s="98" t="inlineStr">
        <is>
          <t>S-29</t>
        </is>
      </c>
      <c r="K16" s="97" t="n">
        <v>7458412.5</v>
      </c>
      <c r="M16" s="93" t="n">
        <v>78925</v>
      </c>
      <c r="N16" s="94" t="n">
        <v>78925</v>
      </c>
      <c r="O16" s="95" t="n">
        <v>0.35</v>
      </c>
      <c r="P16" s="94" t="n">
        <v>900</v>
      </c>
      <c r="Q16" s="96" t="n">
        <v>24861375</v>
      </c>
      <c r="R16" s="97" t="n">
        <v>7458412.5</v>
      </c>
      <c r="S16" s="98" t="inlineStr">
        <is>
          <t>S-30</t>
        </is>
      </c>
      <c r="T16" s="97" t="n">
        <v>7458412.5</v>
      </c>
      <c r="V16" s="93" t="n">
        <v>78925</v>
      </c>
      <c r="W16" s="94" t="n">
        <v>78925</v>
      </c>
      <c r="X16" s="95" t="n">
        <v>0.35</v>
      </c>
      <c r="Y16" s="94" t="n">
        <v>900</v>
      </c>
      <c r="Z16" s="96" t="n">
        <v>24861375</v>
      </c>
      <c r="AA16" s="97" t="n">
        <v>7458412.5</v>
      </c>
      <c r="AB16" s="98" t="inlineStr">
        <is>
          <t>S-31</t>
        </is>
      </c>
      <c r="AC16" s="97" t="n">
        <v>7458412.5</v>
      </c>
      <c r="AE16" s="93" t="n">
        <v>78925</v>
      </c>
      <c r="AF16" s="94" t="n">
        <v>78925</v>
      </c>
      <c r="AG16" s="95" t="n">
        <v>0.35</v>
      </c>
      <c r="AH16" s="94" t="n">
        <v>900</v>
      </c>
      <c r="AI16" s="96" t="n">
        <v>24861375</v>
      </c>
      <c r="AJ16" s="97" t="n">
        <v>7458412.5</v>
      </c>
      <c r="AK16" s="98" t="inlineStr">
        <is>
          <t>S-32</t>
        </is>
      </c>
      <c r="AL16" s="97" t="n">
        <v>7458412.5</v>
      </c>
    </row>
    <row r="17" ht="16" customHeight="1" s="176">
      <c r="A17" s="59" t="inlineStr">
        <is>
          <t>Siberia</t>
        </is>
      </c>
      <c r="B17" s="66" t="inlineStr">
        <is>
          <t>S. Celebration 7,14</t>
        </is>
      </c>
      <c r="C17" s="67" t="inlineStr">
        <is>
          <t>S. celebration</t>
        </is>
      </c>
      <c r="D17" s="93" t="n">
        <v>10831</v>
      </c>
      <c r="E17" s="94" t="n">
        <v>10831</v>
      </c>
      <c r="F17" s="95" t="n">
        <v>1.2</v>
      </c>
      <c r="G17" s="94" t="n">
        <v>900</v>
      </c>
      <c r="H17" s="96" t="n">
        <v>11697890.4</v>
      </c>
      <c r="I17" s="97" t="n">
        <v>3509367.12</v>
      </c>
      <c r="J17" s="98" t="inlineStr">
        <is>
          <t>S-29</t>
        </is>
      </c>
      <c r="K17" s="97" t="n">
        <v>3509367.12</v>
      </c>
      <c r="M17" s="93" t="n">
        <v>10831</v>
      </c>
      <c r="N17" s="94" t="n">
        <v>10831</v>
      </c>
      <c r="O17" s="95" t="n">
        <v>1.2</v>
      </c>
      <c r="P17" s="94" t="n">
        <v>900</v>
      </c>
      <c r="Q17" s="96" t="n">
        <v>11697890.4</v>
      </c>
      <c r="R17" s="97" t="n">
        <v>3509367.12</v>
      </c>
      <c r="S17" s="98" t="inlineStr">
        <is>
          <t>S-30</t>
        </is>
      </c>
      <c r="T17" s="97" t="n">
        <v>3509367.12</v>
      </c>
      <c r="V17" s="93" t="n">
        <v>10831</v>
      </c>
      <c r="W17" s="94" t="n">
        <v>10831</v>
      </c>
      <c r="X17" s="95" t="n">
        <v>1.2</v>
      </c>
      <c r="Y17" s="94" t="n">
        <v>900</v>
      </c>
      <c r="Z17" s="96" t="n">
        <v>11697890.4</v>
      </c>
      <c r="AA17" s="97" t="n">
        <v>3509367.12</v>
      </c>
      <c r="AB17" s="98" t="inlineStr">
        <is>
          <t>S-31</t>
        </is>
      </c>
      <c r="AC17" s="97" t="n">
        <v>3509367.12</v>
      </c>
      <c r="AE17" s="93" t="n">
        <v>10831</v>
      </c>
      <c r="AF17" s="94" t="n">
        <v>10831</v>
      </c>
      <c r="AG17" s="95" t="n">
        <v>1.2</v>
      </c>
      <c r="AH17" s="94" t="n">
        <v>900</v>
      </c>
      <c r="AI17" s="96" t="n">
        <v>11697890.4</v>
      </c>
      <c r="AJ17" s="97" t="n">
        <v>3509367.12</v>
      </c>
      <c r="AK17" s="98" t="inlineStr">
        <is>
          <t>S-32</t>
        </is>
      </c>
      <c r="AL17" s="97" t="n">
        <v>3509367.12</v>
      </c>
    </row>
    <row r="18" ht="16" customHeight="1" s="176">
      <c r="A18" s="56" t="inlineStr">
        <is>
          <t>Siberia</t>
        </is>
      </c>
      <c r="B18" s="74" t="inlineStr">
        <is>
          <t>Timpson 7,1</t>
        </is>
      </c>
      <c r="C18" s="75" t="inlineStr">
        <is>
          <t>Timpson</t>
        </is>
      </c>
      <c r="D18" s="93" t="n">
        <v>8733</v>
      </c>
      <c r="E18" s="94" t="n">
        <v>8733</v>
      </c>
      <c r="F18" s="95" t="n">
        <v>1.3</v>
      </c>
      <c r="G18" s="94" t="n">
        <v>900</v>
      </c>
      <c r="H18" s="96" t="n">
        <v>10217610</v>
      </c>
      <c r="I18" s="97" t="n">
        <v>3065283</v>
      </c>
      <c r="J18" s="98" t="inlineStr">
        <is>
          <t>S-29</t>
        </is>
      </c>
      <c r="K18" s="97" t="n">
        <v>3065283</v>
      </c>
      <c r="M18" s="93" t="n">
        <v>8733</v>
      </c>
      <c r="N18" s="94" t="n">
        <v>8733</v>
      </c>
      <c r="O18" s="95" t="n">
        <v>1.3</v>
      </c>
      <c r="P18" s="94" t="n">
        <v>900</v>
      </c>
      <c r="Q18" s="96" t="n">
        <v>10217610</v>
      </c>
      <c r="R18" s="97" t="n">
        <v>3065283</v>
      </c>
      <c r="S18" s="98" t="inlineStr">
        <is>
          <t>S-30</t>
        </is>
      </c>
      <c r="T18" s="97" t="n">
        <v>3065283</v>
      </c>
      <c r="V18" s="93" t="n">
        <v>8733</v>
      </c>
      <c r="W18" s="94" t="n">
        <v>8733</v>
      </c>
      <c r="X18" s="95" t="n">
        <v>1.3</v>
      </c>
      <c r="Y18" s="94" t="n">
        <v>900</v>
      </c>
      <c r="Z18" s="96" t="n">
        <v>10217610</v>
      </c>
      <c r="AA18" s="97" t="n">
        <v>3065283</v>
      </c>
      <c r="AB18" s="98" t="inlineStr">
        <is>
          <t>S-31</t>
        </is>
      </c>
      <c r="AC18" s="97" t="n">
        <v>3065283</v>
      </c>
      <c r="AE18" s="93" t="n">
        <v>8733</v>
      </c>
      <c r="AF18" s="94" t="n">
        <v>8733</v>
      </c>
      <c r="AG18" s="95" t="n">
        <v>1.3</v>
      </c>
      <c r="AH18" s="94" t="n">
        <v>900</v>
      </c>
      <c r="AI18" s="96" t="n">
        <v>10217610</v>
      </c>
      <c r="AJ18" s="97" t="n">
        <v>3065283</v>
      </c>
      <c r="AK18" s="98" t="inlineStr">
        <is>
          <t>S-32</t>
        </is>
      </c>
      <c r="AL18" s="97" t="n">
        <v>3065283</v>
      </c>
    </row>
    <row r="19" ht="20" customHeight="1" s="176">
      <c r="A19" s="202" t="inlineStr">
        <is>
          <t>TOTAL SEMANA</t>
        </is>
      </c>
      <c r="D19" s="99">
        <f>SUM(D6:D18)</f>
        <v/>
      </c>
      <c r="E19" s="99">
        <f>SUM(E6:E18)</f>
        <v/>
      </c>
      <c r="F19" s="100" t="n"/>
      <c r="G19" s="100" t="n"/>
      <c r="H19" s="101">
        <f>SUM(H6:H18)</f>
        <v/>
      </c>
      <c r="I19" s="101">
        <f>SUM(I6:I18)</f>
        <v/>
      </c>
      <c r="J19" s="100" t="n"/>
      <c r="K19" s="101">
        <f>SUM(K6:K18)</f>
        <v/>
      </c>
      <c r="M19" s="99">
        <f>SUM(M6:M18)</f>
        <v/>
      </c>
      <c r="N19" s="99">
        <f>SUM(N6:N18)</f>
        <v/>
      </c>
      <c r="O19" s="100" t="n"/>
      <c r="P19" s="100" t="n"/>
      <c r="Q19" s="101">
        <f>SUM(Q6:Q18)</f>
        <v/>
      </c>
      <c r="R19" s="101">
        <f>SUM(R6:R18)</f>
        <v/>
      </c>
      <c r="S19" s="100" t="n"/>
      <c r="T19" s="101">
        <f>SUM(T6:T18)</f>
        <v/>
      </c>
      <c r="V19" s="99">
        <f>SUM(V6:V18)</f>
        <v/>
      </c>
      <c r="W19" s="99">
        <f>SUM(W6:W18)</f>
        <v/>
      </c>
      <c r="X19" s="100" t="n"/>
      <c r="Y19" s="100" t="n"/>
      <c r="Z19" s="101">
        <f>SUM(Z6:Z18)</f>
        <v/>
      </c>
      <c r="AA19" s="101">
        <f>SUM(AA6:AA18)</f>
        <v/>
      </c>
      <c r="AB19" s="100" t="n"/>
      <c r="AC19" s="101">
        <f>SUM(AC6:AC18)</f>
        <v/>
      </c>
      <c r="AE19" s="99">
        <f>SUM(AE6:AE18)</f>
        <v/>
      </c>
      <c r="AF19" s="99">
        <f>SUM(AF6:AF18)</f>
        <v/>
      </c>
      <c r="AG19" s="100" t="n"/>
      <c r="AH19" s="100" t="n"/>
      <c r="AI19" s="101">
        <f>SUM(AI6:AI18)</f>
        <v/>
      </c>
      <c r="AJ19" s="101">
        <f>SUM(AJ6:AJ18)</f>
        <v/>
      </c>
      <c r="AK19" s="100" t="n"/>
      <c r="AL19" s="101">
        <f>SUM(AL6:AL18)</f>
        <v/>
      </c>
    </row>
    <row r="21" ht="30" customHeight="1" s="176">
      <c r="A21" s="201" t="inlineStr">
        <is>
          <t>📝  Los campos en AZUL son editables (Kg Proyectados, Precio USD, TC). El sistema calcula automáticamente los montos de cada cuota (C1=30%, C2=30%, C3=40%). Cambie el número de Semana Actual (celda D2) para desplazar la proyección.</t>
        </is>
      </c>
    </row>
  </sheetData>
  <mergeCells count="9">
    <mergeCell ref="T4:AA4"/>
    <mergeCell ref="A21:AH21"/>
    <mergeCell ref="AB4:AI4"/>
    <mergeCell ref="A19:C19"/>
    <mergeCell ref="L4:S4"/>
    <mergeCell ref="A1:AH1"/>
    <mergeCell ref="A4:C4"/>
    <mergeCell ref="D4:K4"/>
    <mergeCell ref="A2:C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454"/>
  <sheetViews>
    <sheetView showGridLines="0" zoomScale="200" workbookViewId="0">
      <pane xSplit="5" ySplit="4" topLeftCell="F5" activePane="bottomRight" state="frozen"/>
      <selection pane="topRight" activeCell="A1" sqref="A1"/>
      <selection pane="bottomLeft" activeCell="A1" sqref="A1"/>
      <selection pane="bottomRight" activeCell="F5" sqref="F5"/>
    </sheetView>
  </sheetViews>
  <sheetFormatPr baseColWidth="10" defaultColWidth="8.83203125" defaultRowHeight="15"/>
  <cols>
    <col width="16" customWidth="1" style="176" min="1" max="1"/>
    <col width="24" customWidth="1" style="176" min="2" max="2"/>
    <col width="16" customWidth="1" style="176" min="3" max="3"/>
    <col width="28" customWidth="1" style="176" min="4" max="4"/>
    <col width="12" customWidth="1" style="176" min="5" max="7"/>
    <col width="10" customWidth="1" style="176" min="8" max="8"/>
    <col width="12" customWidth="1" style="176" min="9" max="10"/>
    <col width="8" customWidth="1" style="176" min="11" max="11"/>
    <col width="7" customWidth="1" style="176" min="12" max="12"/>
    <col width="2" customWidth="1" style="176" min="13" max="13"/>
    <col width="12" customWidth="1" style="176" min="14" max="15"/>
    <col width="10" customWidth="1" style="176" min="16" max="16"/>
    <col width="12" customWidth="1" style="176" min="17" max="18"/>
    <col width="8" customWidth="1" style="176" min="19" max="19"/>
    <col width="7" customWidth="1" style="176" min="20" max="20"/>
    <col width="2" customWidth="1" style="176" min="21" max="21"/>
    <col width="12" customWidth="1" style="176" min="22" max="23"/>
    <col width="10" customWidth="1" style="176" min="24" max="24"/>
    <col width="12" customWidth="1" style="176" min="25" max="26"/>
    <col width="8" customWidth="1" style="176" min="27" max="27"/>
    <col width="7" customWidth="1" style="176" min="28" max="28"/>
    <col width="2" customWidth="1" style="176" min="29" max="29"/>
    <col width="12" customWidth="1" style="176" min="30" max="31"/>
    <col width="10" customWidth="1" style="176" min="32" max="32"/>
    <col width="12" customWidth="1" style="176" min="33" max="34"/>
    <col width="8" customWidth="1" style="176" min="35" max="35"/>
    <col width="7" customWidth="1" style="176" min="36" max="36"/>
    <col width="2" customWidth="1" style="176" min="37" max="37"/>
  </cols>
  <sheetData>
    <row r="1" ht="30" customHeight="1" s="176">
      <c r="A1" s="205" t="inlineStr">
        <is>
          <t>A1</t>
        </is>
      </c>
    </row>
    <row r="2" ht="8" customHeight="1" s="176"/>
    <row r="3" ht="20" customHeight="1" s="176">
      <c r="A3" s="174" t="inlineStr">
        <is>
          <t>IDENTIFICACIÓN</t>
        </is>
      </c>
      <c r="B3" s="184" t="n"/>
      <c r="C3" s="184" t="n"/>
      <c r="D3" s="184" t="n"/>
      <c r="E3" s="185" t="n"/>
      <c r="F3" s="203" t="inlineStr">
        <is>
          <t>SEMANA ACTUAL</t>
        </is>
      </c>
      <c r="G3" s="184" t="n"/>
      <c r="H3" s="184" t="n"/>
      <c r="I3" s="184" t="n"/>
      <c r="J3" s="184" t="n"/>
      <c r="K3" s="184" t="n"/>
      <c r="L3" s="185" t="n"/>
      <c r="N3" s="200" t="inlineStr">
        <is>
          <t>SEMANA +1</t>
        </is>
      </c>
      <c r="O3" s="184" t="n"/>
      <c r="P3" s="184" t="n"/>
      <c r="Q3" s="184" t="n"/>
      <c r="R3" s="184" t="n"/>
      <c r="S3" s="184" t="n"/>
      <c r="T3" s="185" t="n"/>
      <c r="V3" s="206" t="inlineStr">
        <is>
          <t>SEMANA +2</t>
        </is>
      </c>
      <c r="W3" s="184" t="n"/>
      <c r="X3" s="184" t="n"/>
      <c r="Y3" s="184" t="n"/>
      <c r="Z3" s="184" t="n"/>
      <c r="AA3" s="184" t="n"/>
      <c r="AB3" s="185" t="n"/>
      <c r="AD3" s="207" t="inlineStr">
        <is>
          <t>PRÓXIMAS SEMANAS</t>
        </is>
      </c>
      <c r="AE3" s="184" t="n"/>
      <c r="AF3" s="184" t="n"/>
      <c r="AG3" s="184" t="n"/>
      <c r="AH3" s="184" t="n"/>
      <c r="AI3" s="184" t="n"/>
      <c r="AJ3" s="185" t="n"/>
    </row>
    <row r="4" ht="35" customHeight="1" s="176">
      <c r="A4" s="28" t="inlineStr">
        <is>
          <t>Campo</t>
        </is>
      </c>
      <c r="B4" s="28" t="inlineStr">
        <is>
          <t>Centro de Costo</t>
        </is>
      </c>
      <c r="C4" s="28" t="inlineStr">
        <is>
          <t>Tipo Gasto</t>
        </is>
      </c>
      <c r="D4" s="28" t="inlineStr">
        <is>
          <t>Labor</t>
        </is>
      </c>
      <c r="E4" s="28" t="inlineStr">
        <is>
          <t>Condición</t>
        </is>
      </c>
      <c r="F4" s="81" t="inlineStr">
        <is>
          <t>Ppto $</t>
        </is>
      </c>
      <c r="G4" s="81" t="inlineStr">
        <is>
          <t>Tarifa Real $</t>
        </is>
      </c>
      <c r="H4" s="81" t="inlineStr">
        <is>
          <t>N° Jornales</t>
        </is>
      </c>
      <c r="I4" s="81" t="inlineStr">
        <is>
          <t>Costo Real $</t>
        </is>
      </c>
      <c r="J4" s="81" t="inlineStr">
        <is>
          <t>Saldo $</t>
        </is>
      </c>
      <c r="K4" s="81" t="inlineStr">
        <is>
          <t>% Ejec.</t>
        </is>
      </c>
      <c r="L4" s="81" t="inlineStr">
        <is>
          <t>Semáforo</t>
        </is>
      </c>
      <c r="N4" s="63" t="inlineStr">
        <is>
          <t>Ppto $</t>
        </is>
      </c>
      <c r="O4" s="63" t="inlineStr">
        <is>
          <t>Tarifa Real $</t>
        </is>
      </c>
      <c r="P4" s="63" t="inlineStr">
        <is>
          <t>N° Jornales</t>
        </is>
      </c>
      <c r="Q4" s="63" t="inlineStr">
        <is>
          <t>Costo Real $</t>
        </is>
      </c>
      <c r="R4" s="63" t="inlineStr">
        <is>
          <t>Saldo $</t>
        </is>
      </c>
      <c r="S4" s="63" t="inlineStr">
        <is>
          <t>% Ejec.</t>
        </is>
      </c>
      <c r="T4" s="63" t="inlineStr">
        <is>
          <t>Semáforo</t>
        </is>
      </c>
      <c r="V4" s="62" t="inlineStr">
        <is>
          <t>Ppto $</t>
        </is>
      </c>
      <c r="W4" s="62" t="inlineStr">
        <is>
          <t>Tarifa Real $</t>
        </is>
      </c>
      <c r="X4" s="62" t="inlineStr">
        <is>
          <t>N° Jornales</t>
        </is>
      </c>
      <c r="Y4" s="62" t="inlineStr">
        <is>
          <t>Costo Real $</t>
        </is>
      </c>
      <c r="Z4" s="62" t="inlineStr">
        <is>
          <t>Saldo $</t>
        </is>
      </c>
      <c r="AA4" s="62" t="inlineStr">
        <is>
          <t>% Ejec.</t>
        </is>
      </c>
      <c r="AB4" s="62" t="inlineStr">
        <is>
          <t>Semáforo</t>
        </is>
      </c>
      <c r="AD4" s="102" t="inlineStr">
        <is>
          <t>Ppto $</t>
        </is>
      </c>
      <c r="AE4" s="102" t="inlineStr">
        <is>
          <t>Tarifa Real $</t>
        </is>
      </c>
      <c r="AF4" s="102" t="inlineStr">
        <is>
          <t>N° Jornales</t>
        </is>
      </c>
      <c r="AG4" s="102" t="inlineStr">
        <is>
          <t>Costo Real $</t>
        </is>
      </c>
      <c r="AH4" s="102" t="inlineStr">
        <is>
          <t>Saldo $</t>
        </is>
      </c>
      <c r="AI4" s="102" t="inlineStr">
        <is>
          <t>% Ejec.</t>
        </is>
      </c>
      <c r="AJ4" s="102" t="inlineStr">
        <is>
          <t>Semáforo</t>
        </is>
      </c>
    </row>
    <row r="5" ht="14" customHeight="1" s="176">
      <c r="A5" s="103" t="inlineStr">
        <is>
          <t>Asmara</t>
        </is>
      </c>
      <c r="B5" s="104" t="inlineStr">
        <is>
          <t>w. murcott 19,8 ha</t>
        </is>
      </c>
      <c r="C5" s="104" t="inlineStr">
        <is>
          <t>1- M.O. directa</t>
        </is>
      </c>
      <c r="D5" s="104" t="inlineStr">
        <is>
          <t xml:space="preserve">1,4- Mantención caminos </t>
        </is>
      </c>
      <c r="E5" s="104" t="inlineStr">
        <is>
          <t>día</t>
        </is>
      </c>
      <c r="F5" s="105" t="n">
        <v>6525</v>
      </c>
      <c r="G5" s="106" t="n">
        <v>43500</v>
      </c>
      <c r="H5" s="107" t="n"/>
      <c r="I5" s="108">
        <f>IF(H5="","",G5*H5)</f>
        <v/>
      </c>
      <c r="J5" s="243">
        <f>IF(I5="","",F5-I5)</f>
        <v/>
      </c>
      <c r="K5" s="110">
        <f>IF(OR(I5="",F5=0),"",I5/F5)</f>
        <v/>
      </c>
      <c r="L5" s="111">
        <f>IF(K5="","⚪",IF(K5&gt;1.2,"🔴",IF(K5&gt;1.1,"🟡","🟢")))</f>
        <v/>
      </c>
      <c r="N5" s="105" t="n">
        <v>6525</v>
      </c>
      <c r="O5" s="106" t="n">
        <v>43500</v>
      </c>
      <c r="P5" s="107" t="n"/>
      <c r="Q5" s="108">
        <f>IF(P5="","",O5*P5)</f>
        <v/>
      </c>
      <c r="R5" s="243">
        <f>IF(Q5="","",N5-Q5)</f>
        <v/>
      </c>
      <c r="S5" s="110">
        <f>IF(OR(Q5="",N5=0),"",Q5/N5)</f>
        <v/>
      </c>
      <c r="T5" s="111">
        <f>IF(S5="","⚪",IF(S5&gt;1.2,"🔴",IF(S5&gt;1.1,"🟡","🟢")))</f>
        <v/>
      </c>
      <c r="V5" s="105" t="n">
        <v>6525</v>
      </c>
      <c r="W5" s="106" t="n">
        <v>43500</v>
      </c>
      <c r="X5" s="107" t="n"/>
      <c r="Y5" s="108">
        <f>IF(X5="","",W5*X5)</f>
        <v/>
      </c>
      <c r="Z5" s="243">
        <f>IF(Y5="","",V5-Y5)</f>
        <v/>
      </c>
      <c r="AA5" s="110">
        <f>IF(OR(Y5="",V5=0),"",Y5/V5)</f>
        <v/>
      </c>
      <c r="AB5" s="111">
        <f>IF(AA5="","⚪",IF(AA5&gt;1.2,"🔴",IF(AA5&gt;1.1,"🟡","🟢")))</f>
        <v/>
      </c>
      <c r="AD5" s="105" t="n">
        <v>6525</v>
      </c>
      <c r="AE5" s="106" t="n">
        <v>43500</v>
      </c>
      <c r="AF5" s="107" t="n"/>
      <c r="AG5" s="108">
        <f>IF(AF5="","",AE5*AF5)</f>
        <v/>
      </c>
      <c r="AH5" s="243">
        <f>IF(AG5="","",AD5-AG5)</f>
        <v/>
      </c>
      <c r="AI5" s="110">
        <f>IF(OR(AG5="",AD5=0),"",AG5/AD5)</f>
        <v/>
      </c>
      <c r="AJ5" s="111">
        <f>IF(AI5="","⚪",IF(AI5&gt;1.2,"🔴",IF(AI5&gt;1.1,"🟡","🟢")))</f>
        <v/>
      </c>
    </row>
    <row r="6" ht="14" customHeight="1" s="176">
      <c r="A6" s="112" t="inlineStr">
        <is>
          <t>Asmara</t>
        </is>
      </c>
      <c r="B6" s="113" t="inlineStr">
        <is>
          <t>w. murcott 19,8 ha</t>
        </is>
      </c>
      <c r="C6" s="113" t="inlineStr">
        <is>
          <t>1- M.O. directa</t>
        </is>
      </c>
      <c r="D6" s="113" t="inlineStr">
        <is>
          <t>1- Cosecha EXP</t>
        </is>
      </c>
      <c r="E6" s="113" t="inlineStr">
        <is>
          <t>trato</t>
        </is>
      </c>
      <c r="F6" s="105" t="n">
        <v>4207500</v>
      </c>
      <c r="G6" s="106" t="n">
        <v>85</v>
      </c>
      <c r="H6" s="107" t="n"/>
      <c r="I6" s="108">
        <f>IF(H6="","",G6*H6)</f>
        <v/>
      </c>
      <c r="J6" s="243">
        <f>IF(I6="","",F6-I6)</f>
        <v/>
      </c>
      <c r="K6" s="110">
        <f>IF(OR(I6="",F6=0),"",I6/F6)</f>
        <v/>
      </c>
      <c r="L6" s="111">
        <f>IF(K6="","⚪",IF(K6&gt;1.2,"🔴",IF(K6&gt;1.1,"🟡","🟢")))</f>
        <v/>
      </c>
      <c r="N6" s="105" t="n">
        <v>4207500</v>
      </c>
      <c r="O6" s="106" t="n">
        <v>85</v>
      </c>
      <c r="P6" s="107" t="n"/>
      <c r="Q6" s="108">
        <f>IF(P6="","",O6*P6)</f>
        <v/>
      </c>
      <c r="R6" s="243">
        <f>IF(Q6="","",N6-Q6)</f>
        <v/>
      </c>
      <c r="S6" s="110">
        <f>IF(OR(Q6="",N6=0),"",Q6/N6)</f>
        <v/>
      </c>
      <c r="T6" s="111">
        <f>IF(S6="","⚪",IF(S6&gt;1.2,"🔴",IF(S6&gt;1.1,"🟡","🟢")))</f>
        <v/>
      </c>
      <c r="V6" s="105" t="n">
        <v>4207500</v>
      </c>
      <c r="W6" s="106" t="n">
        <v>85</v>
      </c>
      <c r="X6" s="107" t="n"/>
      <c r="Y6" s="108">
        <f>IF(X6="","",W6*X6)</f>
        <v/>
      </c>
      <c r="Z6" s="243">
        <f>IF(Y6="","",V6-Y6)</f>
        <v/>
      </c>
      <c r="AA6" s="110">
        <f>IF(OR(Y6="",V6=0),"",Y6/V6)</f>
        <v/>
      </c>
      <c r="AB6" s="111">
        <f>IF(AA6="","⚪",IF(AA6&gt;1.2,"🔴",IF(AA6&gt;1.1,"🟡","🟢")))</f>
        <v/>
      </c>
      <c r="AD6" s="105" t="n">
        <v>4207500</v>
      </c>
      <c r="AE6" s="106" t="n">
        <v>85</v>
      </c>
      <c r="AF6" s="107" t="n"/>
      <c r="AG6" s="108">
        <f>IF(AF6="","",AE6*AF6)</f>
        <v/>
      </c>
      <c r="AH6" s="243">
        <f>IF(AG6="","",AD6-AG6)</f>
        <v/>
      </c>
      <c r="AI6" s="110">
        <f>IF(OR(AG6="",AD6=0),"",AG6/AD6)</f>
        <v/>
      </c>
      <c r="AJ6" s="111">
        <f>IF(AI6="","⚪",IF(AI6&gt;1.2,"🔴",IF(AI6&gt;1.1,"🟡","🟢")))</f>
        <v/>
      </c>
    </row>
    <row r="7" ht="14" customHeight="1" s="176">
      <c r="A7" s="103" t="inlineStr">
        <is>
          <t>Asmara</t>
        </is>
      </c>
      <c r="B7" s="104" t="inlineStr">
        <is>
          <t>w. murcott 19,8 ha</t>
        </is>
      </c>
      <c r="C7" s="104" t="inlineStr">
        <is>
          <t>1- M.O. directa</t>
        </is>
      </c>
      <c r="D7" s="104" t="inlineStr">
        <is>
          <t xml:space="preserve">11- mantención de cercos </t>
        </is>
      </c>
      <c r="E7" s="104" t="inlineStr">
        <is>
          <t>día</t>
        </is>
      </c>
      <c r="F7" s="105" t="n">
        <v>133402.5</v>
      </c>
      <c r="G7" s="106" t="n">
        <v>38500</v>
      </c>
      <c r="H7" s="107" t="n"/>
      <c r="I7" s="108">
        <f>IF(H7="","",G7*H7)</f>
        <v/>
      </c>
      <c r="J7" s="243">
        <f>IF(I7="","",F7-I7)</f>
        <v/>
      </c>
      <c r="K7" s="110">
        <f>IF(OR(I7="",F7=0),"",I7/F7)</f>
        <v/>
      </c>
      <c r="L7" s="111">
        <f>IF(K7="","⚪",IF(K7&gt;1.2,"🔴",IF(K7&gt;1.1,"🟡","🟢")))</f>
        <v/>
      </c>
      <c r="N7" s="105" t="n">
        <v>133402.5</v>
      </c>
      <c r="O7" s="106" t="n">
        <v>38500</v>
      </c>
      <c r="P7" s="107" t="n"/>
      <c r="Q7" s="108">
        <f>IF(P7="","",O7*P7)</f>
        <v/>
      </c>
      <c r="R7" s="243">
        <f>IF(Q7="","",N7-Q7)</f>
        <v/>
      </c>
      <c r="S7" s="110">
        <f>IF(OR(Q7="",N7=0),"",Q7/N7)</f>
        <v/>
      </c>
      <c r="T7" s="111">
        <f>IF(S7="","⚪",IF(S7&gt;1.2,"🔴",IF(S7&gt;1.1,"🟡","🟢")))</f>
        <v/>
      </c>
      <c r="V7" s="105" t="n">
        <v>133402.5</v>
      </c>
      <c r="W7" s="106" t="n">
        <v>38500</v>
      </c>
      <c r="X7" s="107" t="n"/>
      <c r="Y7" s="108">
        <f>IF(X7="","",W7*X7)</f>
        <v/>
      </c>
      <c r="Z7" s="243">
        <f>IF(Y7="","",V7-Y7)</f>
        <v/>
      </c>
      <c r="AA7" s="110">
        <f>IF(OR(Y7="",V7=0),"",Y7/V7)</f>
        <v/>
      </c>
      <c r="AB7" s="111">
        <f>IF(AA7="","⚪",IF(AA7&gt;1.2,"🔴",IF(AA7&gt;1.1,"🟡","🟢")))</f>
        <v/>
      </c>
      <c r="AD7" s="105" t="n">
        <v>133402.5</v>
      </c>
      <c r="AE7" s="106" t="n">
        <v>38500</v>
      </c>
      <c r="AF7" s="107" t="n"/>
      <c r="AG7" s="108">
        <f>IF(AF7="","",AE7*AF7)</f>
        <v/>
      </c>
      <c r="AH7" s="243">
        <f>IF(AG7="","",AD7-AG7)</f>
        <v/>
      </c>
      <c r="AI7" s="110">
        <f>IF(OR(AG7="",AD7=0),"",AG7/AD7)</f>
        <v/>
      </c>
      <c r="AJ7" s="111">
        <f>IF(AI7="","⚪",IF(AI7&gt;1.2,"🔴",IF(AI7&gt;1.1,"🟡","🟢")))</f>
        <v/>
      </c>
    </row>
    <row r="8" ht="14" customHeight="1" s="176">
      <c r="A8" s="112" t="inlineStr">
        <is>
          <t>Asmara</t>
        </is>
      </c>
      <c r="B8" s="113" t="inlineStr">
        <is>
          <t>w. murcott 19,8 ha</t>
        </is>
      </c>
      <c r="C8" s="113" t="inlineStr">
        <is>
          <t>1- M.O. directa</t>
        </is>
      </c>
      <c r="D8" s="113" t="inlineStr">
        <is>
          <t>12- Picar sarmiento</t>
        </is>
      </c>
      <c r="E8" s="113" t="inlineStr">
        <is>
          <t>trato</t>
        </is>
      </c>
      <c r="F8" s="105" t="n">
        <v>39619.8</v>
      </c>
      <c r="G8" s="106" t="n">
        <v>60</v>
      </c>
      <c r="H8" s="107" t="n"/>
      <c r="I8" s="108">
        <f>IF(H8="","",G8*H8)</f>
        <v/>
      </c>
      <c r="J8" s="243">
        <f>IF(I8="","",F8-I8)</f>
        <v/>
      </c>
      <c r="K8" s="110">
        <f>IF(OR(I8="",F8=0),"",I8/F8)</f>
        <v/>
      </c>
      <c r="L8" s="111">
        <f>IF(K8="","⚪",IF(K8&gt;1.2,"🔴",IF(K8&gt;1.1,"🟡","🟢")))</f>
        <v/>
      </c>
      <c r="N8" s="105" t="n">
        <v>39619.8</v>
      </c>
      <c r="O8" s="106" t="n">
        <v>60</v>
      </c>
      <c r="P8" s="107" t="n"/>
      <c r="Q8" s="108">
        <f>IF(P8="","",O8*P8)</f>
        <v/>
      </c>
      <c r="R8" s="243">
        <f>IF(Q8="","",N8-Q8)</f>
        <v/>
      </c>
      <c r="S8" s="110">
        <f>IF(OR(Q8="",N8=0),"",Q8/N8)</f>
        <v/>
      </c>
      <c r="T8" s="111">
        <f>IF(S8="","⚪",IF(S8&gt;1.2,"🔴",IF(S8&gt;1.1,"🟡","🟢")))</f>
        <v/>
      </c>
      <c r="V8" s="105" t="n">
        <v>39619.8</v>
      </c>
      <c r="W8" s="106" t="n">
        <v>60</v>
      </c>
      <c r="X8" s="107" t="n"/>
      <c r="Y8" s="108">
        <f>IF(X8="","",W8*X8)</f>
        <v/>
      </c>
      <c r="Z8" s="243">
        <f>IF(Y8="","",V8-Y8)</f>
        <v/>
      </c>
      <c r="AA8" s="110">
        <f>IF(OR(Y8="",V8=0),"",Y8/V8)</f>
        <v/>
      </c>
      <c r="AB8" s="111">
        <f>IF(AA8="","⚪",IF(AA8&gt;1.2,"🔴",IF(AA8&gt;1.1,"🟡","🟢")))</f>
        <v/>
      </c>
      <c r="AD8" s="105" t="n">
        <v>39619.8</v>
      </c>
      <c r="AE8" s="106" t="n">
        <v>60</v>
      </c>
      <c r="AF8" s="107" t="n"/>
      <c r="AG8" s="108">
        <f>IF(AF8="","",AE8*AF8)</f>
        <v/>
      </c>
      <c r="AH8" s="243">
        <f>IF(AG8="","",AD8-AG8)</f>
        <v/>
      </c>
      <c r="AI8" s="110">
        <f>IF(OR(AG8="",AD8=0),"",AG8/AD8)</f>
        <v/>
      </c>
      <c r="AJ8" s="111">
        <f>IF(AI8="","⚪",IF(AI8&gt;1.2,"🔴",IF(AI8&gt;1.1,"🟡","🟢")))</f>
        <v/>
      </c>
    </row>
    <row r="9" ht="14" customHeight="1" s="176">
      <c r="A9" s="103" t="inlineStr">
        <is>
          <t>Asmara</t>
        </is>
      </c>
      <c r="B9" s="104" t="inlineStr">
        <is>
          <t>w. murcott 19,8 ha</t>
        </is>
      </c>
      <c r="C9" s="104" t="inlineStr">
        <is>
          <t>1- M.O. directa</t>
        </is>
      </c>
      <c r="D9" s="104" t="inlineStr">
        <is>
          <t>13- Poda antenas</t>
        </is>
      </c>
      <c r="E9" s="104" t="inlineStr">
        <is>
          <t>trato</t>
        </is>
      </c>
      <c r="F9" s="105" t="n">
        <v>231115.5</v>
      </c>
      <c r="G9" s="106" t="n">
        <v>350</v>
      </c>
      <c r="H9" s="107" t="n"/>
      <c r="I9" s="108">
        <f>IF(H9="","",G9*H9)</f>
        <v/>
      </c>
      <c r="J9" s="243">
        <f>IF(I9="","",F9-I9)</f>
        <v/>
      </c>
      <c r="K9" s="110">
        <f>IF(OR(I9="",F9=0),"",I9/F9)</f>
        <v/>
      </c>
      <c r="L9" s="111">
        <f>IF(K9="","⚪",IF(K9&gt;1.2,"🔴",IF(K9&gt;1.1,"🟡","🟢")))</f>
        <v/>
      </c>
      <c r="N9" s="105" t="n">
        <v>231115.5</v>
      </c>
      <c r="O9" s="106" t="n">
        <v>350</v>
      </c>
      <c r="P9" s="107" t="n"/>
      <c r="Q9" s="108">
        <f>IF(P9="","",O9*P9)</f>
        <v/>
      </c>
      <c r="R9" s="243">
        <f>IF(Q9="","",N9-Q9)</f>
        <v/>
      </c>
      <c r="S9" s="110">
        <f>IF(OR(Q9="",N9=0),"",Q9/N9)</f>
        <v/>
      </c>
      <c r="T9" s="111">
        <f>IF(S9="","⚪",IF(S9&gt;1.2,"🔴",IF(S9&gt;1.1,"🟡","🟢")))</f>
        <v/>
      </c>
      <c r="V9" s="105" t="n">
        <v>231115.5</v>
      </c>
      <c r="W9" s="106" t="n">
        <v>350</v>
      </c>
      <c r="X9" s="107" t="n"/>
      <c r="Y9" s="108">
        <f>IF(X9="","",W9*X9)</f>
        <v/>
      </c>
      <c r="Z9" s="243">
        <f>IF(Y9="","",V9-Y9)</f>
        <v/>
      </c>
      <c r="AA9" s="110">
        <f>IF(OR(Y9="",V9=0),"",Y9/V9)</f>
        <v/>
      </c>
      <c r="AB9" s="111">
        <f>IF(AA9="","⚪",IF(AA9&gt;1.2,"🔴",IF(AA9&gt;1.1,"🟡","🟢")))</f>
        <v/>
      </c>
      <c r="AD9" s="105" t="n">
        <v>231115.5</v>
      </c>
      <c r="AE9" s="106" t="n">
        <v>350</v>
      </c>
      <c r="AF9" s="107" t="n"/>
      <c r="AG9" s="108">
        <f>IF(AF9="","",AE9*AF9)</f>
        <v/>
      </c>
      <c r="AH9" s="243">
        <f>IF(AG9="","",AD9-AG9)</f>
        <v/>
      </c>
      <c r="AI9" s="110">
        <f>IF(OR(AG9="",AD9=0),"",AG9/AD9)</f>
        <v/>
      </c>
      <c r="AJ9" s="111">
        <f>IF(AI9="","⚪",IF(AI9&gt;1.2,"🔴",IF(AI9&gt;1.1,"🟡","🟢")))</f>
        <v/>
      </c>
    </row>
    <row r="10" ht="14" customHeight="1" s="176">
      <c r="A10" s="112" t="inlineStr">
        <is>
          <t>Asmara</t>
        </is>
      </c>
      <c r="B10" s="113" t="inlineStr">
        <is>
          <t>w. murcott 19,8 ha</t>
        </is>
      </c>
      <c r="C10" s="113" t="inlineStr">
        <is>
          <t>1- M.O. directa</t>
        </is>
      </c>
      <c r="D10" s="113" t="inlineStr">
        <is>
          <t>14- Poda de sierrpes</t>
        </is>
      </c>
      <c r="E10" s="113" t="inlineStr">
        <is>
          <t>trato</t>
        </is>
      </c>
      <c r="F10" s="105" t="n">
        <v>29714.85</v>
      </c>
      <c r="G10" s="106" t="n">
        <v>30</v>
      </c>
      <c r="H10" s="107" t="n"/>
      <c r="I10" s="108">
        <f>IF(H10="","",G10*H10)</f>
        <v/>
      </c>
      <c r="J10" s="243">
        <f>IF(I10="","",F10-I10)</f>
        <v/>
      </c>
      <c r="K10" s="110">
        <f>IF(OR(I10="",F10=0),"",I10/F10)</f>
        <v/>
      </c>
      <c r="L10" s="111">
        <f>IF(K10="","⚪",IF(K10&gt;1.2,"🔴",IF(K10&gt;1.1,"🟡","🟢")))</f>
        <v/>
      </c>
      <c r="N10" s="105" t="n">
        <v>29714.85</v>
      </c>
      <c r="O10" s="106" t="n">
        <v>30</v>
      </c>
      <c r="P10" s="107" t="n"/>
      <c r="Q10" s="108">
        <f>IF(P10="","",O10*P10)</f>
        <v/>
      </c>
      <c r="R10" s="243">
        <f>IF(Q10="","",N10-Q10)</f>
        <v/>
      </c>
      <c r="S10" s="110">
        <f>IF(OR(Q10="",N10=0),"",Q10/N10)</f>
        <v/>
      </c>
      <c r="T10" s="111">
        <f>IF(S10="","⚪",IF(S10&gt;1.2,"🔴",IF(S10&gt;1.1,"🟡","🟢")))</f>
        <v/>
      </c>
      <c r="V10" s="105" t="n">
        <v>29714.85</v>
      </c>
      <c r="W10" s="106" t="n">
        <v>30</v>
      </c>
      <c r="X10" s="107" t="n"/>
      <c r="Y10" s="108">
        <f>IF(X10="","",W10*X10)</f>
        <v/>
      </c>
      <c r="Z10" s="243">
        <f>IF(Y10="","",V10-Y10)</f>
        <v/>
      </c>
      <c r="AA10" s="110">
        <f>IF(OR(Y10="",V10=0),"",Y10/V10)</f>
        <v/>
      </c>
      <c r="AB10" s="111">
        <f>IF(AA10="","⚪",IF(AA10&gt;1.2,"🔴",IF(AA10&gt;1.1,"🟡","🟢")))</f>
        <v/>
      </c>
      <c r="AD10" s="105" t="n">
        <v>29714.85</v>
      </c>
      <c r="AE10" s="106" t="n">
        <v>30</v>
      </c>
      <c r="AF10" s="107" t="n"/>
      <c r="AG10" s="108">
        <f>IF(AF10="","",AE10*AF10)</f>
        <v/>
      </c>
      <c r="AH10" s="243">
        <f>IF(AG10="","",AD10-AG10)</f>
        <v/>
      </c>
      <c r="AI10" s="110">
        <f>IF(OR(AG10="",AD10=0),"",AG10/AD10)</f>
        <v/>
      </c>
      <c r="AJ10" s="111">
        <f>IF(AI10="","⚪",IF(AI10&gt;1.2,"🔴",IF(AI10&gt;1.1,"🟡","🟢")))</f>
        <v/>
      </c>
    </row>
    <row r="11" ht="14" customHeight="1" s="176">
      <c r="A11" s="103" t="inlineStr">
        <is>
          <t>Asmara</t>
        </is>
      </c>
      <c r="B11" s="104" t="inlineStr">
        <is>
          <t>w. murcott 19,8 ha</t>
        </is>
      </c>
      <c r="C11" s="104" t="inlineStr">
        <is>
          <t>1- M.O. directa</t>
        </is>
      </c>
      <c r="D11" s="104" t="inlineStr">
        <is>
          <t>15- Poda primavera</t>
        </is>
      </c>
      <c r="E11" s="104" t="inlineStr">
        <is>
          <t>trato</t>
        </is>
      </c>
      <c r="F11" s="105" t="n">
        <v>594297</v>
      </c>
      <c r="G11" s="106" t="n">
        <v>900</v>
      </c>
      <c r="H11" s="107" t="n"/>
      <c r="I11" s="108">
        <f>IF(H11="","",G11*H11)</f>
        <v/>
      </c>
      <c r="J11" s="243">
        <f>IF(I11="","",F11-I11)</f>
        <v/>
      </c>
      <c r="K11" s="110">
        <f>IF(OR(I11="",F11=0),"",I11/F11)</f>
        <v/>
      </c>
      <c r="L11" s="111">
        <f>IF(K11="","⚪",IF(K11&gt;1.2,"🔴",IF(K11&gt;1.1,"🟡","🟢")))</f>
        <v/>
      </c>
      <c r="N11" s="105" t="n">
        <v>594297</v>
      </c>
      <c r="O11" s="106" t="n">
        <v>900</v>
      </c>
      <c r="P11" s="107" t="n"/>
      <c r="Q11" s="108">
        <f>IF(P11="","",O11*P11)</f>
        <v/>
      </c>
      <c r="R11" s="243">
        <f>IF(Q11="","",N11-Q11)</f>
        <v/>
      </c>
      <c r="S11" s="110">
        <f>IF(OR(Q11="",N11=0),"",Q11/N11)</f>
        <v/>
      </c>
      <c r="T11" s="111">
        <f>IF(S11="","⚪",IF(S11&gt;1.2,"🔴",IF(S11&gt;1.1,"🟡","🟢")))</f>
        <v/>
      </c>
      <c r="V11" s="105" t="n">
        <v>594297</v>
      </c>
      <c r="W11" s="106" t="n">
        <v>900</v>
      </c>
      <c r="X11" s="107" t="n"/>
      <c r="Y11" s="108">
        <f>IF(X11="","",W11*X11)</f>
        <v/>
      </c>
      <c r="Z11" s="243">
        <f>IF(Y11="","",V11-Y11)</f>
        <v/>
      </c>
      <c r="AA11" s="110">
        <f>IF(OR(Y11="",V11=0),"",Y11/V11)</f>
        <v/>
      </c>
      <c r="AB11" s="111">
        <f>IF(AA11="","⚪",IF(AA11&gt;1.2,"🔴",IF(AA11&gt;1.1,"🟡","🟢")))</f>
        <v/>
      </c>
      <c r="AD11" s="105" t="n">
        <v>594297</v>
      </c>
      <c r="AE11" s="106" t="n">
        <v>900</v>
      </c>
      <c r="AF11" s="107" t="n"/>
      <c r="AG11" s="108">
        <f>IF(AF11="","",AE11*AF11)</f>
        <v/>
      </c>
      <c r="AH11" s="243">
        <f>IF(AG11="","",AD11-AG11)</f>
        <v/>
      </c>
      <c r="AI11" s="110">
        <f>IF(OR(AG11="",AD11=0),"",AG11/AD11)</f>
        <v/>
      </c>
      <c r="AJ11" s="111">
        <f>IF(AI11="","⚪",IF(AI11&gt;1.2,"🔴",IF(AI11&gt;1.1,"🟡","🟢")))</f>
        <v/>
      </c>
    </row>
    <row r="12" ht="14" customHeight="1" s="176">
      <c r="A12" s="112" t="inlineStr">
        <is>
          <t>Asmara</t>
        </is>
      </c>
      <c r="B12" s="113" t="inlineStr">
        <is>
          <t>w. murcott 19,8 ha</t>
        </is>
      </c>
      <c r="C12" s="113" t="inlineStr">
        <is>
          <t>1- M.O. directa</t>
        </is>
      </c>
      <c r="D12" s="113" t="inlineStr">
        <is>
          <t>16- Supervisor poda</t>
        </is>
      </c>
      <c r="E12" s="113" t="inlineStr">
        <is>
          <t>día</t>
        </is>
      </c>
      <c r="F12" s="105" t="n">
        <v>49524.75</v>
      </c>
      <c r="G12" s="106" t="n">
        <v>75</v>
      </c>
      <c r="H12" s="107" t="n"/>
      <c r="I12" s="108">
        <f>IF(H12="","",G12*H12)</f>
        <v/>
      </c>
      <c r="J12" s="243">
        <f>IF(I12="","",F12-I12)</f>
        <v/>
      </c>
      <c r="K12" s="110">
        <f>IF(OR(I12="",F12=0),"",I12/F12)</f>
        <v/>
      </c>
      <c r="L12" s="111">
        <f>IF(K12="","⚪",IF(K12&gt;1.2,"🔴",IF(K12&gt;1.1,"🟡","🟢")))</f>
        <v/>
      </c>
      <c r="N12" s="105" t="n">
        <v>49524.75</v>
      </c>
      <c r="O12" s="106" t="n">
        <v>75</v>
      </c>
      <c r="P12" s="107" t="n"/>
      <c r="Q12" s="108">
        <f>IF(P12="","",O12*P12)</f>
        <v/>
      </c>
      <c r="R12" s="243">
        <f>IF(Q12="","",N12-Q12)</f>
        <v/>
      </c>
      <c r="S12" s="110">
        <f>IF(OR(Q12="",N12=0),"",Q12/N12)</f>
        <v/>
      </c>
      <c r="T12" s="111">
        <f>IF(S12="","⚪",IF(S12&gt;1.2,"🔴",IF(S12&gt;1.1,"🟡","🟢")))</f>
        <v/>
      </c>
      <c r="V12" s="105" t="n">
        <v>49524.75</v>
      </c>
      <c r="W12" s="106" t="n">
        <v>75</v>
      </c>
      <c r="X12" s="107" t="n"/>
      <c r="Y12" s="108">
        <f>IF(X12="","",W12*X12)</f>
        <v/>
      </c>
      <c r="Z12" s="243">
        <f>IF(Y12="","",V12-Y12)</f>
        <v/>
      </c>
      <c r="AA12" s="110">
        <f>IF(OR(Y12="",V12=0),"",Y12/V12)</f>
        <v/>
      </c>
      <c r="AB12" s="111">
        <f>IF(AA12="","⚪",IF(AA12&gt;1.2,"🔴",IF(AA12&gt;1.1,"🟡","🟢")))</f>
        <v/>
      </c>
      <c r="AD12" s="105" t="n">
        <v>49524.75</v>
      </c>
      <c r="AE12" s="106" t="n">
        <v>75</v>
      </c>
      <c r="AF12" s="107" t="n"/>
      <c r="AG12" s="108">
        <f>IF(AF12="","",AE12*AF12)</f>
        <v/>
      </c>
      <c r="AH12" s="243">
        <f>IF(AG12="","",AD12-AG12)</f>
        <v/>
      </c>
      <c r="AI12" s="110">
        <f>IF(OR(AG12="",AD12=0),"",AG12/AD12)</f>
        <v/>
      </c>
      <c r="AJ12" s="111">
        <f>IF(AI12="","⚪",IF(AI12&gt;1.2,"🔴",IF(AI12&gt;1.1,"🟡","🟢")))</f>
        <v/>
      </c>
    </row>
    <row r="13" ht="14" customHeight="1" s="176">
      <c r="A13" s="103" t="inlineStr">
        <is>
          <t>Asmara</t>
        </is>
      </c>
      <c r="B13" s="104" t="inlineStr">
        <is>
          <t>w. murcott 19,8 ha</t>
        </is>
      </c>
      <c r="C13" s="104" t="inlineStr">
        <is>
          <t>1- M.O. directa</t>
        </is>
      </c>
      <c r="D13" s="104" t="inlineStr">
        <is>
          <t>17- Recepción, pesaje y despacho</t>
        </is>
      </c>
      <c r="E13" s="104" t="inlineStr">
        <is>
          <t>día</t>
        </is>
      </c>
      <c r="F13" s="105" t="n">
        <v>59400</v>
      </c>
      <c r="G13" s="106" t="n">
        <v>1.2</v>
      </c>
      <c r="H13" s="107" t="n"/>
      <c r="I13" s="108">
        <f>IF(H13="","",G13*H13)</f>
        <v/>
      </c>
      <c r="J13" s="243">
        <f>IF(I13="","",F13-I13)</f>
        <v/>
      </c>
      <c r="K13" s="110">
        <f>IF(OR(I13="",F13=0),"",I13/F13)</f>
        <v/>
      </c>
      <c r="L13" s="111">
        <f>IF(K13="","⚪",IF(K13&gt;1.2,"🔴",IF(K13&gt;1.1,"🟡","🟢")))</f>
        <v/>
      </c>
      <c r="N13" s="105" t="n">
        <v>59400</v>
      </c>
      <c r="O13" s="106" t="n">
        <v>1.2</v>
      </c>
      <c r="P13" s="107" t="n"/>
      <c r="Q13" s="108">
        <f>IF(P13="","",O13*P13)</f>
        <v/>
      </c>
      <c r="R13" s="243">
        <f>IF(Q13="","",N13-Q13)</f>
        <v/>
      </c>
      <c r="S13" s="110">
        <f>IF(OR(Q13="",N13=0),"",Q13/N13)</f>
        <v/>
      </c>
      <c r="T13" s="111">
        <f>IF(S13="","⚪",IF(S13&gt;1.2,"🔴",IF(S13&gt;1.1,"🟡","🟢")))</f>
        <v/>
      </c>
      <c r="V13" s="105" t="n">
        <v>59400</v>
      </c>
      <c r="W13" s="106" t="n">
        <v>1.2</v>
      </c>
      <c r="X13" s="107" t="n"/>
      <c r="Y13" s="108">
        <f>IF(X13="","",W13*X13)</f>
        <v/>
      </c>
      <c r="Z13" s="243">
        <f>IF(Y13="","",V13-Y13)</f>
        <v/>
      </c>
      <c r="AA13" s="110">
        <f>IF(OR(Y13="",V13=0),"",Y13/V13)</f>
        <v/>
      </c>
      <c r="AB13" s="111">
        <f>IF(AA13="","⚪",IF(AA13&gt;1.2,"🔴",IF(AA13&gt;1.1,"🟡","🟢")))</f>
        <v/>
      </c>
      <c r="AD13" s="105" t="n">
        <v>59400</v>
      </c>
      <c r="AE13" s="106" t="n">
        <v>1.2</v>
      </c>
      <c r="AF13" s="107" t="n"/>
      <c r="AG13" s="108">
        <f>IF(AF13="","",AE13*AF13)</f>
        <v/>
      </c>
      <c r="AH13" s="243">
        <f>IF(AG13="","",AD13-AG13)</f>
        <v/>
      </c>
      <c r="AI13" s="110">
        <f>IF(OR(AG13="",AD13=0),"",AG13/AD13)</f>
        <v/>
      </c>
      <c r="AJ13" s="111">
        <f>IF(AI13="","⚪",IF(AI13&gt;1.2,"🔴",IF(AI13&gt;1.1,"🟡","🟢")))</f>
        <v/>
      </c>
    </row>
    <row r="14" ht="14" customHeight="1" s="176">
      <c r="A14" s="112" t="inlineStr">
        <is>
          <t>Asmara</t>
        </is>
      </c>
      <c r="B14" s="113" t="inlineStr">
        <is>
          <t>w. murcott 19,8 ha</t>
        </is>
      </c>
      <c r="C14" s="113" t="inlineStr">
        <is>
          <t>1- M.O. directa</t>
        </is>
      </c>
      <c r="D14" s="113" t="inlineStr">
        <is>
          <t>2- Supervisor cosecha</t>
        </is>
      </c>
      <c r="E14" s="113" t="inlineStr">
        <is>
          <t>día</t>
        </is>
      </c>
      <c r="F14" s="105" t="n">
        <v>346500</v>
      </c>
      <c r="G14" s="106" t="n">
        <v>7</v>
      </c>
      <c r="H14" s="107" t="n"/>
      <c r="I14" s="108">
        <f>IF(H14="","",G14*H14)</f>
        <v/>
      </c>
      <c r="J14" s="243">
        <f>IF(I14="","",F14-I14)</f>
        <v/>
      </c>
      <c r="K14" s="110">
        <f>IF(OR(I14="",F14=0),"",I14/F14)</f>
        <v/>
      </c>
      <c r="L14" s="111">
        <f>IF(K14="","⚪",IF(K14&gt;1.2,"🔴",IF(K14&gt;1.1,"🟡","🟢")))</f>
        <v/>
      </c>
      <c r="N14" s="105" t="n">
        <v>346500</v>
      </c>
      <c r="O14" s="106" t="n">
        <v>7</v>
      </c>
      <c r="P14" s="107" t="n"/>
      <c r="Q14" s="108">
        <f>IF(P14="","",O14*P14)</f>
        <v/>
      </c>
      <c r="R14" s="243">
        <f>IF(Q14="","",N14-Q14)</f>
        <v/>
      </c>
      <c r="S14" s="110">
        <f>IF(OR(Q14="",N14=0),"",Q14/N14)</f>
        <v/>
      </c>
      <c r="T14" s="111">
        <f>IF(S14="","⚪",IF(S14&gt;1.2,"🔴",IF(S14&gt;1.1,"🟡","🟢")))</f>
        <v/>
      </c>
      <c r="V14" s="105" t="n">
        <v>346500</v>
      </c>
      <c r="W14" s="106" t="n">
        <v>7</v>
      </c>
      <c r="X14" s="107" t="n"/>
      <c r="Y14" s="108">
        <f>IF(X14="","",W14*X14)</f>
        <v/>
      </c>
      <c r="Z14" s="243">
        <f>IF(Y14="","",V14-Y14)</f>
        <v/>
      </c>
      <c r="AA14" s="110">
        <f>IF(OR(Y14="",V14=0),"",Y14/V14)</f>
        <v/>
      </c>
      <c r="AB14" s="111">
        <f>IF(AA14="","⚪",IF(AA14&gt;1.2,"🔴",IF(AA14&gt;1.1,"🟡","🟢")))</f>
        <v/>
      </c>
      <c r="AD14" s="105" t="n">
        <v>346500</v>
      </c>
      <c r="AE14" s="106" t="n">
        <v>7</v>
      </c>
      <c r="AF14" s="107" t="n"/>
      <c r="AG14" s="108">
        <f>IF(AF14="","",AE14*AF14)</f>
        <v/>
      </c>
      <c r="AH14" s="243">
        <f>IF(AG14="","",AD14-AG14)</f>
        <v/>
      </c>
      <c r="AI14" s="110">
        <f>IF(OR(AG14="",AD14=0),"",AG14/AD14)</f>
        <v/>
      </c>
      <c r="AJ14" s="111">
        <f>IF(AI14="","⚪",IF(AI14&gt;1.2,"🔴",IF(AI14&gt;1.1,"🟡","🟢")))</f>
        <v/>
      </c>
    </row>
    <row r="15" ht="14" customHeight="1" s="176">
      <c r="A15" s="103" t="inlineStr">
        <is>
          <t>Asmara</t>
        </is>
      </c>
      <c r="B15" s="104" t="inlineStr">
        <is>
          <t>w. murcott 19,8 ha</t>
        </is>
      </c>
      <c r="C15" s="104" t="inlineStr">
        <is>
          <t>1- M.O. directa</t>
        </is>
      </c>
      <c r="D15" s="104" t="inlineStr">
        <is>
          <t>3,1- Tractorista cosecha</t>
        </is>
      </c>
      <c r="E15" s="104" t="inlineStr">
        <is>
          <t>día</t>
        </is>
      </c>
      <c r="F15" s="105" t="n">
        <v>198000</v>
      </c>
      <c r="G15" s="106" t="n">
        <v>4</v>
      </c>
      <c r="H15" s="107" t="n"/>
      <c r="I15" s="108">
        <f>IF(H15="","",G15*H15)</f>
        <v/>
      </c>
      <c r="J15" s="243">
        <f>IF(I15="","",F15-I15)</f>
        <v/>
      </c>
      <c r="K15" s="110">
        <f>IF(OR(I15="",F15=0),"",I15/F15)</f>
        <v/>
      </c>
      <c r="L15" s="111">
        <f>IF(K15="","⚪",IF(K15&gt;1.2,"🔴",IF(K15&gt;1.1,"🟡","🟢")))</f>
        <v/>
      </c>
      <c r="N15" s="105" t="n">
        <v>198000</v>
      </c>
      <c r="O15" s="106" t="n">
        <v>4</v>
      </c>
      <c r="P15" s="107" t="n"/>
      <c r="Q15" s="108">
        <f>IF(P15="","",O15*P15)</f>
        <v/>
      </c>
      <c r="R15" s="243">
        <f>IF(Q15="","",N15-Q15)</f>
        <v/>
      </c>
      <c r="S15" s="110">
        <f>IF(OR(Q15="",N15=0),"",Q15/N15)</f>
        <v/>
      </c>
      <c r="T15" s="111">
        <f>IF(S15="","⚪",IF(S15&gt;1.2,"🔴",IF(S15&gt;1.1,"🟡","🟢")))</f>
        <v/>
      </c>
      <c r="V15" s="105" t="n">
        <v>198000</v>
      </c>
      <c r="W15" s="106" t="n">
        <v>4</v>
      </c>
      <c r="X15" s="107" t="n"/>
      <c r="Y15" s="108">
        <f>IF(X15="","",W15*X15)</f>
        <v/>
      </c>
      <c r="Z15" s="243">
        <f>IF(Y15="","",V15-Y15)</f>
        <v/>
      </c>
      <c r="AA15" s="110">
        <f>IF(OR(Y15="",V15=0),"",Y15/V15)</f>
        <v/>
      </c>
      <c r="AB15" s="111">
        <f>IF(AA15="","⚪",IF(AA15&gt;1.2,"🔴",IF(AA15&gt;1.1,"🟡","🟢")))</f>
        <v/>
      </c>
      <c r="AD15" s="105" t="n">
        <v>198000</v>
      </c>
      <c r="AE15" s="106" t="n">
        <v>4</v>
      </c>
      <c r="AF15" s="107" t="n"/>
      <c r="AG15" s="108">
        <f>IF(AF15="","",AE15*AF15)</f>
        <v/>
      </c>
      <c r="AH15" s="243">
        <f>IF(AG15="","",AD15-AG15)</f>
        <v/>
      </c>
      <c r="AI15" s="110">
        <f>IF(OR(AG15="",AD15=0),"",AG15/AD15)</f>
        <v/>
      </c>
      <c r="AJ15" s="111">
        <f>IF(AI15="","⚪",IF(AI15&gt;1.2,"🔴",IF(AI15&gt;1.1,"🟡","🟢")))</f>
        <v/>
      </c>
    </row>
    <row r="16" ht="14" customHeight="1" s="176">
      <c r="A16" s="112" t="inlineStr">
        <is>
          <t>Asmara</t>
        </is>
      </c>
      <c r="B16" s="113" t="inlineStr">
        <is>
          <t>w. murcott 19,8 ha</t>
        </is>
      </c>
      <c r="C16" s="113" t="inlineStr">
        <is>
          <t>1- M.O. directa</t>
        </is>
      </c>
      <c r="D16" s="113" t="inlineStr">
        <is>
          <t>3- Selección</t>
        </is>
      </c>
      <c r="E16" s="113" t="inlineStr">
        <is>
          <t>trato</t>
        </is>
      </c>
      <c r="F16" s="105" t="n">
        <v>891000</v>
      </c>
      <c r="G16" s="106" t="n">
        <v>18</v>
      </c>
      <c r="H16" s="107" t="n"/>
      <c r="I16" s="108">
        <f>IF(H16="","",G16*H16)</f>
        <v/>
      </c>
      <c r="J16" s="243">
        <f>IF(I16="","",F16-I16)</f>
        <v/>
      </c>
      <c r="K16" s="110">
        <f>IF(OR(I16="",F16=0),"",I16/F16)</f>
        <v/>
      </c>
      <c r="L16" s="111">
        <f>IF(K16="","⚪",IF(K16&gt;1.2,"🔴",IF(K16&gt;1.1,"🟡","🟢")))</f>
        <v/>
      </c>
      <c r="N16" s="105" t="n">
        <v>891000</v>
      </c>
      <c r="O16" s="106" t="n">
        <v>18</v>
      </c>
      <c r="P16" s="107" t="n"/>
      <c r="Q16" s="108">
        <f>IF(P16="","",O16*P16)</f>
        <v/>
      </c>
      <c r="R16" s="243">
        <f>IF(Q16="","",N16-Q16)</f>
        <v/>
      </c>
      <c r="S16" s="110">
        <f>IF(OR(Q16="",N16=0),"",Q16/N16)</f>
        <v/>
      </c>
      <c r="T16" s="111">
        <f>IF(S16="","⚪",IF(S16&gt;1.2,"🔴",IF(S16&gt;1.1,"🟡","🟢")))</f>
        <v/>
      </c>
      <c r="V16" s="105" t="n">
        <v>891000</v>
      </c>
      <c r="W16" s="106" t="n">
        <v>18</v>
      </c>
      <c r="X16" s="107" t="n"/>
      <c r="Y16" s="108">
        <f>IF(X16="","",W16*X16)</f>
        <v/>
      </c>
      <c r="Z16" s="243">
        <f>IF(Y16="","",V16-Y16)</f>
        <v/>
      </c>
      <c r="AA16" s="110">
        <f>IF(OR(Y16="",V16=0),"",Y16/V16)</f>
        <v/>
      </c>
      <c r="AB16" s="111">
        <f>IF(AA16="","⚪",IF(AA16&gt;1.2,"🔴",IF(AA16&gt;1.1,"🟡","🟢")))</f>
        <v/>
      </c>
      <c r="AD16" s="105" t="n">
        <v>891000</v>
      </c>
      <c r="AE16" s="106" t="n">
        <v>18</v>
      </c>
      <c r="AF16" s="107" t="n"/>
      <c r="AG16" s="108">
        <f>IF(AF16="","",AE16*AF16)</f>
        <v/>
      </c>
      <c r="AH16" s="243">
        <f>IF(AG16="","",AD16-AG16)</f>
        <v/>
      </c>
      <c r="AI16" s="110">
        <f>IF(OR(AG16="",AD16=0),"",AG16/AD16)</f>
        <v/>
      </c>
      <c r="AJ16" s="111">
        <f>IF(AI16="","⚪",IF(AI16&gt;1.2,"🔴",IF(AI16&gt;1.1,"🟡","🟢")))</f>
        <v/>
      </c>
    </row>
    <row r="17" ht="14" customHeight="1" s="176">
      <c r="A17" s="103" t="inlineStr">
        <is>
          <t>Asmara</t>
        </is>
      </c>
      <c r="B17" s="104" t="inlineStr">
        <is>
          <t>w. murcott 19,8 ha</t>
        </is>
      </c>
      <c r="C17" s="104" t="inlineStr">
        <is>
          <t>1- M.O. directa</t>
        </is>
      </c>
      <c r="D17" s="104" t="inlineStr">
        <is>
          <t>4- Grua</t>
        </is>
      </c>
      <c r="E17" s="104" t="inlineStr">
        <is>
          <t>día</t>
        </is>
      </c>
      <c r="F17" s="105" t="n">
        <v>74250</v>
      </c>
      <c r="G17" s="106" t="n">
        <v>1.5</v>
      </c>
      <c r="H17" s="107" t="n"/>
      <c r="I17" s="108">
        <f>IF(H17="","",G17*H17)</f>
        <v/>
      </c>
      <c r="J17" s="243">
        <f>IF(I17="","",F17-I17)</f>
        <v/>
      </c>
      <c r="K17" s="110">
        <f>IF(OR(I17="",F17=0),"",I17/F17)</f>
        <v/>
      </c>
      <c r="L17" s="111">
        <f>IF(K17="","⚪",IF(K17&gt;1.2,"🔴",IF(K17&gt;1.1,"🟡","🟢")))</f>
        <v/>
      </c>
      <c r="N17" s="105" t="n">
        <v>74250</v>
      </c>
      <c r="O17" s="106" t="n">
        <v>1.5</v>
      </c>
      <c r="P17" s="107" t="n"/>
      <c r="Q17" s="108">
        <f>IF(P17="","",O17*P17)</f>
        <v/>
      </c>
      <c r="R17" s="243">
        <f>IF(Q17="","",N17-Q17)</f>
        <v/>
      </c>
      <c r="S17" s="110">
        <f>IF(OR(Q17="",N17=0),"",Q17/N17)</f>
        <v/>
      </c>
      <c r="T17" s="111">
        <f>IF(S17="","⚪",IF(S17&gt;1.2,"🔴",IF(S17&gt;1.1,"🟡","🟢")))</f>
        <v/>
      </c>
      <c r="V17" s="105" t="n">
        <v>74250</v>
      </c>
      <c r="W17" s="106" t="n">
        <v>1.5</v>
      </c>
      <c r="X17" s="107" t="n"/>
      <c r="Y17" s="108">
        <f>IF(X17="","",W17*X17)</f>
        <v/>
      </c>
      <c r="Z17" s="243">
        <f>IF(Y17="","",V17-Y17)</f>
        <v/>
      </c>
      <c r="AA17" s="110">
        <f>IF(OR(Y17="",V17=0),"",Y17/V17)</f>
        <v/>
      </c>
      <c r="AB17" s="111">
        <f>IF(AA17="","⚪",IF(AA17&gt;1.2,"🔴",IF(AA17&gt;1.1,"🟡","🟢")))</f>
        <v/>
      </c>
      <c r="AD17" s="105" t="n">
        <v>74250</v>
      </c>
      <c r="AE17" s="106" t="n">
        <v>1.5</v>
      </c>
      <c r="AF17" s="107" t="n"/>
      <c r="AG17" s="108">
        <f>IF(AF17="","",AE17*AF17)</f>
        <v/>
      </c>
      <c r="AH17" s="243">
        <f>IF(AG17="","",AD17-AG17)</f>
        <v/>
      </c>
      <c r="AI17" s="110">
        <f>IF(OR(AG17="",AD17=0),"",AG17/AD17)</f>
        <v/>
      </c>
      <c r="AJ17" s="111">
        <f>IF(AI17="","⚪",IF(AI17&gt;1.2,"🔴",IF(AI17&gt;1.1,"🟡","🟢")))</f>
        <v/>
      </c>
    </row>
    <row r="18" ht="14" customHeight="1" s="176">
      <c r="A18" s="112" t="inlineStr">
        <is>
          <t>Asmara</t>
        </is>
      </c>
      <c r="B18" s="113" t="inlineStr">
        <is>
          <t>w. murcott 19,8 ha</t>
        </is>
      </c>
      <c r="C18" s="113" t="inlineStr">
        <is>
          <t>1- M.O. directa</t>
        </is>
      </c>
      <c r="D18" s="113" t="inlineStr">
        <is>
          <t>5- Control de malezas mecánico</t>
        </is>
      </c>
      <c r="E18" s="113" t="inlineStr">
        <is>
          <t>trato</t>
        </is>
      </c>
      <c r="F18" s="105" t="n">
        <v>132066</v>
      </c>
      <c r="G18" s="106" t="n">
        <v>100</v>
      </c>
      <c r="H18" s="107" t="n"/>
      <c r="I18" s="108">
        <f>IF(H18="","",G18*H18)</f>
        <v/>
      </c>
      <c r="J18" s="243">
        <f>IF(I18="","",F18-I18)</f>
        <v/>
      </c>
      <c r="K18" s="110">
        <f>IF(OR(I18="",F18=0),"",I18/F18)</f>
        <v/>
      </c>
      <c r="L18" s="111">
        <f>IF(K18="","⚪",IF(K18&gt;1.2,"🔴",IF(K18&gt;1.1,"🟡","🟢")))</f>
        <v/>
      </c>
      <c r="N18" s="105" t="n">
        <v>132066</v>
      </c>
      <c r="O18" s="106" t="n">
        <v>100</v>
      </c>
      <c r="P18" s="107" t="n"/>
      <c r="Q18" s="108">
        <f>IF(P18="","",O18*P18)</f>
        <v/>
      </c>
      <c r="R18" s="243">
        <f>IF(Q18="","",N18-Q18)</f>
        <v/>
      </c>
      <c r="S18" s="110">
        <f>IF(OR(Q18="",N18=0),"",Q18/N18)</f>
        <v/>
      </c>
      <c r="T18" s="111">
        <f>IF(S18="","⚪",IF(S18&gt;1.2,"🔴",IF(S18&gt;1.1,"🟡","🟢")))</f>
        <v/>
      </c>
      <c r="V18" s="105" t="n">
        <v>132066</v>
      </c>
      <c r="W18" s="106" t="n">
        <v>100</v>
      </c>
      <c r="X18" s="107" t="n"/>
      <c r="Y18" s="108">
        <f>IF(X18="","",W18*X18)</f>
        <v/>
      </c>
      <c r="Z18" s="243">
        <f>IF(Y18="","",V18-Y18)</f>
        <v/>
      </c>
      <c r="AA18" s="110">
        <f>IF(OR(Y18="",V18=0),"",Y18/V18)</f>
        <v/>
      </c>
      <c r="AB18" s="111">
        <f>IF(AA18="","⚪",IF(AA18&gt;1.2,"🔴",IF(AA18&gt;1.1,"🟡","🟢")))</f>
        <v/>
      </c>
      <c r="AD18" s="105" t="n">
        <v>132066</v>
      </c>
      <c r="AE18" s="106" t="n">
        <v>100</v>
      </c>
      <c r="AF18" s="107" t="n"/>
      <c r="AG18" s="108">
        <f>IF(AF18="","",AE18*AF18)</f>
        <v/>
      </c>
      <c r="AH18" s="243">
        <f>IF(AG18="","",AD18-AG18)</f>
        <v/>
      </c>
      <c r="AI18" s="110">
        <f>IF(OR(AG18="",AD18=0),"",AG18/AD18)</f>
        <v/>
      </c>
      <c r="AJ18" s="111">
        <f>IF(AI18="","⚪",IF(AI18&gt;1.2,"🔴",IF(AI18&gt;1.1,"🟡","🟢")))</f>
        <v/>
      </c>
    </row>
    <row r="19" ht="14" customHeight="1" s="176">
      <c r="A19" s="103" t="inlineStr">
        <is>
          <t>Asmara</t>
        </is>
      </c>
      <c r="B19" s="104" t="inlineStr">
        <is>
          <t>w. murcott 19,8 ha</t>
        </is>
      </c>
      <c r="C19" s="104" t="inlineStr">
        <is>
          <t>1- M.O. directa</t>
        </is>
      </c>
      <c r="D19" s="104" t="inlineStr">
        <is>
          <t>6- Control de malezas químico</t>
        </is>
      </c>
      <c r="E19" s="104" t="inlineStr">
        <is>
          <t>día</t>
        </is>
      </c>
      <c r="F19" s="105" t="n">
        <v>215325</v>
      </c>
      <c r="G19" s="106" t="n">
        <v>43500</v>
      </c>
      <c r="H19" s="107" t="n"/>
      <c r="I19" s="108">
        <f>IF(H19="","",G19*H19)</f>
        <v/>
      </c>
      <c r="J19" s="243">
        <f>IF(I19="","",F19-I19)</f>
        <v/>
      </c>
      <c r="K19" s="110">
        <f>IF(OR(I19="",F19=0),"",I19/F19)</f>
        <v/>
      </c>
      <c r="L19" s="111">
        <f>IF(K19="","⚪",IF(K19&gt;1.2,"🔴",IF(K19&gt;1.1,"🟡","🟢")))</f>
        <v/>
      </c>
      <c r="N19" s="105" t="n">
        <v>215325</v>
      </c>
      <c r="O19" s="106" t="n">
        <v>43500</v>
      </c>
      <c r="P19" s="107" t="n"/>
      <c r="Q19" s="108">
        <f>IF(P19="","",O19*P19)</f>
        <v/>
      </c>
      <c r="R19" s="243">
        <f>IF(Q19="","",N19-Q19)</f>
        <v/>
      </c>
      <c r="S19" s="110">
        <f>IF(OR(Q19="",N19=0),"",Q19/N19)</f>
        <v/>
      </c>
      <c r="T19" s="111">
        <f>IF(S19="","⚪",IF(S19&gt;1.2,"🔴",IF(S19&gt;1.1,"🟡","🟢")))</f>
        <v/>
      </c>
      <c r="V19" s="105" t="n">
        <v>215325</v>
      </c>
      <c r="W19" s="106" t="n">
        <v>43500</v>
      </c>
      <c r="X19" s="107" t="n"/>
      <c r="Y19" s="108">
        <f>IF(X19="","",W19*X19)</f>
        <v/>
      </c>
      <c r="Z19" s="243">
        <f>IF(Y19="","",V19-Y19)</f>
        <v/>
      </c>
      <c r="AA19" s="110">
        <f>IF(OR(Y19="",V19=0),"",Y19/V19)</f>
        <v/>
      </c>
      <c r="AB19" s="111">
        <f>IF(AA19="","⚪",IF(AA19&gt;1.2,"🔴",IF(AA19&gt;1.1,"🟡","🟢")))</f>
        <v/>
      </c>
      <c r="AD19" s="105" t="n">
        <v>215325</v>
      </c>
      <c r="AE19" s="106" t="n">
        <v>43500</v>
      </c>
      <c r="AF19" s="107" t="n"/>
      <c r="AG19" s="108">
        <f>IF(AF19="","",AE19*AF19)</f>
        <v/>
      </c>
      <c r="AH19" s="243">
        <f>IF(AG19="","",AD19-AG19)</f>
        <v/>
      </c>
      <c r="AI19" s="110">
        <f>IF(OR(AG19="",AD19=0),"",AG19/AD19)</f>
        <v/>
      </c>
      <c r="AJ19" s="111">
        <f>IF(AI19="","⚪",IF(AI19&gt;1.2,"🔴",IF(AI19&gt;1.1,"🟡","🟢")))</f>
        <v/>
      </c>
    </row>
    <row r="20" ht="14" customHeight="1" s="176">
      <c r="A20" s="112" t="inlineStr">
        <is>
          <t>Asmara</t>
        </is>
      </c>
      <c r="B20" s="113" t="inlineStr">
        <is>
          <t>w. murcott 19,8 ha</t>
        </is>
      </c>
      <c r="C20" s="113" t="inlineStr">
        <is>
          <t>1- M.O. directa</t>
        </is>
      </c>
      <c r="D20" s="113" t="inlineStr">
        <is>
          <t>7,1- TRACTORISTA</t>
        </is>
      </c>
      <c r="E20" s="113" t="inlineStr">
        <is>
          <t>día</t>
        </is>
      </c>
      <c r="F20" s="105" t="n">
        <v>376049.52</v>
      </c>
      <c r="G20" s="106" t="n">
        <v>38000</v>
      </c>
      <c r="H20" s="107" t="n"/>
      <c r="I20" s="108">
        <f>IF(H20="","",G20*H20)</f>
        <v/>
      </c>
      <c r="J20" s="243">
        <f>IF(I20="","",F20-I20)</f>
        <v/>
      </c>
      <c r="K20" s="110">
        <f>IF(OR(I20="",F20=0),"",I20/F20)</f>
        <v/>
      </c>
      <c r="L20" s="111">
        <f>IF(K20="","⚪",IF(K20&gt;1.2,"🔴",IF(K20&gt;1.1,"🟡","🟢")))</f>
        <v/>
      </c>
      <c r="N20" s="105" t="n">
        <v>376049.52</v>
      </c>
      <c r="O20" s="106" t="n">
        <v>38000</v>
      </c>
      <c r="P20" s="107" t="n"/>
      <c r="Q20" s="108">
        <f>IF(P20="","",O20*P20)</f>
        <v/>
      </c>
      <c r="R20" s="243">
        <f>IF(Q20="","",N20-Q20)</f>
        <v/>
      </c>
      <c r="S20" s="110">
        <f>IF(OR(Q20="",N20=0),"",Q20/N20)</f>
        <v/>
      </c>
      <c r="T20" s="111">
        <f>IF(S20="","⚪",IF(S20&gt;1.2,"🔴",IF(S20&gt;1.1,"🟡","🟢")))</f>
        <v/>
      </c>
      <c r="V20" s="105" t="n">
        <v>376049.52</v>
      </c>
      <c r="W20" s="106" t="n">
        <v>38000</v>
      </c>
      <c r="X20" s="107" t="n"/>
      <c r="Y20" s="108">
        <f>IF(X20="","",W20*X20)</f>
        <v/>
      </c>
      <c r="Z20" s="243">
        <f>IF(Y20="","",V20-Y20)</f>
        <v/>
      </c>
      <c r="AA20" s="110">
        <f>IF(OR(Y20="",V20=0),"",Y20/V20)</f>
        <v/>
      </c>
      <c r="AB20" s="111">
        <f>IF(AA20="","⚪",IF(AA20&gt;1.2,"🔴",IF(AA20&gt;1.1,"🟡","🟢")))</f>
        <v/>
      </c>
      <c r="AD20" s="105" t="n">
        <v>376049.52</v>
      </c>
      <c r="AE20" s="106" t="n">
        <v>38000</v>
      </c>
      <c r="AF20" s="107" t="n"/>
      <c r="AG20" s="108">
        <f>IF(AF20="","",AE20*AF20)</f>
        <v/>
      </c>
      <c r="AH20" s="243">
        <f>IF(AG20="","",AD20-AG20)</f>
        <v/>
      </c>
      <c r="AI20" s="110">
        <f>IF(OR(AG20="",AD20=0),"",AG20/AD20)</f>
        <v/>
      </c>
      <c r="AJ20" s="111">
        <f>IF(AI20="","⚪",IF(AI20&gt;1.2,"🔴",IF(AI20&gt;1.1,"🟡","🟢")))</f>
        <v/>
      </c>
    </row>
    <row r="21" ht="14" customHeight="1" s="176">
      <c r="A21" s="103" t="inlineStr">
        <is>
          <t>Asmara</t>
        </is>
      </c>
      <c r="B21" s="104" t="inlineStr">
        <is>
          <t>w. murcott 19,8 ha</t>
        </is>
      </c>
      <c r="C21" s="104" t="inlineStr">
        <is>
          <t>1- M.O. directa</t>
        </is>
      </c>
      <c r="D21" s="104" t="inlineStr">
        <is>
          <t>7- Acordonar sarmiento</t>
        </is>
      </c>
      <c r="E21" s="104" t="inlineStr">
        <is>
          <t>trato</t>
        </is>
      </c>
      <c r="F21" s="105" t="n">
        <v>46224.5</v>
      </c>
      <c r="G21" s="106" t="n">
        <v>70</v>
      </c>
      <c r="H21" s="107" t="n"/>
      <c r="I21" s="108">
        <f>IF(H21="","",G21*H21)</f>
        <v/>
      </c>
      <c r="J21" s="243">
        <f>IF(I21="","",F21-I21)</f>
        <v/>
      </c>
      <c r="K21" s="110">
        <f>IF(OR(I21="",F21=0),"",I21/F21)</f>
        <v/>
      </c>
      <c r="L21" s="111">
        <f>IF(K21="","⚪",IF(K21&gt;1.2,"🔴",IF(K21&gt;1.1,"🟡","🟢")))</f>
        <v/>
      </c>
      <c r="N21" s="105" t="n">
        <v>46224.5</v>
      </c>
      <c r="O21" s="106" t="n">
        <v>70</v>
      </c>
      <c r="P21" s="107" t="n"/>
      <c r="Q21" s="108">
        <f>IF(P21="","",O21*P21)</f>
        <v/>
      </c>
      <c r="R21" s="243">
        <f>IF(Q21="","",N21-Q21)</f>
        <v/>
      </c>
      <c r="S21" s="110">
        <f>IF(OR(Q21="",N21=0),"",Q21/N21)</f>
        <v/>
      </c>
      <c r="T21" s="111">
        <f>IF(S21="","⚪",IF(S21&gt;1.2,"🔴",IF(S21&gt;1.1,"🟡","🟢")))</f>
        <v/>
      </c>
      <c r="V21" s="105" t="n">
        <v>46224.5</v>
      </c>
      <c r="W21" s="106" t="n">
        <v>70</v>
      </c>
      <c r="X21" s="107" t="n"/>
      <c r="Y21" s="108">
        <f>IF(X21="","",W21*X21)</f>
        <v/>
      </c>
      <c r="Z21" s="243">
        <f>IF(Y21="","",V21-Y21)</f>
        <v/>
      </c>
      <c r="AA21" s="110">
        <f>IF(OR(Y21="",V21=0),"",Y21/V21)</f>
        <v/>
      </c>
      <c r="AB21" s="111">
        <f>IF(AA21="","⚪",IF(AA21&gt;1.2,"🔴",IF(AA21&gt;1.1,"🟡","🟢")))</f>
        <v/>
      </c>
      <c r="AD21" s="105" t="n">
        <v>46224.5</v>
      </c>
      <c r="AE21" s="106" t="n">
        <v>70</v>
      </c>
      <c r="AF21" s="107" t="n"/>
      <c r="AG21" s="108">
        <f>IF(AF21="","",AE21*AF21)</f>
        <v/>
      </c>
      <c r="AH21" s="243">
        <f>IF(AG21="","",AD21-AG21)</f>
        <v/>
      </c>
      <c r="AI21" s="110">
        <f>IF(OR(AG21="",AD21=0),"",AG21/AD21)</f>
        <v/>
      </c>
      <c r="AJ21" s="111">
        <f>IF(AI21="","⚪",IF(AI21&gt;1.2,"🔴",IF(AI21&gt;1.1,"🟡","🟢")))</f>
        <v/>
      </c>
    </row>
    <row r="22" ht="14" customHeight="1" s="176">
      <c r="A22" s="112" t="inlineStr">
        <is>
          <t>Asmara</t>
        </is>
      </c>
      <c r="B22" s="113" t="inlineStr">
        <is>
          <t>w. murcott 19,8 ha</t>
        </is>
      </c>
      <c r="C22" s="113" t="inlineStr">
        <is>
          <t>1- M.O. directa</t>
        </is>
      </c>
      <c r="D22" s="113" t="inlineStr">
        <is>
          <t>9- Mantención malla</t>
        </is>
      </c>
      <c r="E22" s="113" t="inlineStr">
        <is>
          <t>día</t>
        </is>
      </c>
      <c r="F22" s="105" t="n">
        <v>65223.9</v>
      </c>
      <c r="G22" s="106" t="n">
        <v>43500</v>
      </c>
      <c r="H22" s="107" t="n"/>
      <c r="I22" s="108">
        <f>IF(H22="","",G22*H22)</f>
        <v/>
      </c>
      <c r="J22" s="243">
        <f>IF(I22="","",F22-I22)</f>
        <v/>
      </c>
      <c r="K22" s="110">
        <f>IF(OR(I22="",F22=0),"",I22/F22)</f>
        <v/>
      </c>
      <c r="L22" s="111">
        <f>IF(K22="","⚪",IF(K22&gt;1.2,"🔴",IF(K22&gt;1.1,"🟡","🟢")))</f>
        <v/>
      </c>
      <c r="N22" s="105" t="n">
        <v>65223.9</v>
      </c>
      <c r="O22" s="106" t="n">
        <v>43500</v>
      </c>
      <c r="P22" s="107" t="n"/>
      <c r="Q22" s="108">
        <f>IF(P22="","",O22*P22)</f>
        <v/>
      </c>
      <c r="R22" s="243">
        <f>IF(Q22="","",N22-Q22)</f>
        <v/>
      </c>
      <c r="S22" s="110">
        <f>IF(OR(Q22="",N22=0),"",Q22/N22)</f>
        <v/>
      </c>
      <c r="T22" s="111">
        <f>IF(S22="","⚪",IF(S22&gt;1.2,"🔴",IF(S22&gt;1.1,"🟡","🟢")))</f>
        <v/>
      </c>
      <c r="V22" s="105" t="n">
        <v>65223.9</v>
      </c>
      <c r="W22" s="106" t="n">
        <v>43500</v>
      </c>
      <c r="X22" s="107" t="n"/>
      <c r="Y22" s="108">
        <f>IF(X22="","",W22*X22)</f>
        <v/>
      </c>
      <c r="Z22" s="243">
        <f>IF(Y22="","",V22-Y22)</f>
        <v/>
      </c>
      <c r="AA22" s="110">
        <f>IF(OR(Y22="",V22=0),"",Y22/V22)</f>
        <v/>
      </c>
      <c r="AB22" s="111">
        <f>IF(AA22="","⚪",IF(AA22&gt;1.2,"🔴",IF(AA22&gt;1.1,"🟡","🟢")))</f>
        <v/>
      </c>
      <c r="AD22" s="105" t="n">
        <v>65223.9</v>
      </c>
      <c r="AE22" s="106" t="n">
        <v>43500</v>
      </c>
      <c r="AF22" s="107" t="n"/>
      <c r="AG22" s="108">
        <f>IF(AF22="","",AE22*AF22)</f>
        <v/>
      </c>
      <c r="AH22" s="243">
        <f>IF(AG22="","",AD22-AG22)</f>
        <v/>
      </c>
      <c r="AI22" s="110">
        <f>IF(OR(AG22="",AD22=0),"",AG22/AD22)</f>
        <v/>
      </c>
      <c r="AJ22" s="111">
        <f>IF(AI22="","⚪",IF(AI22&gt;1.2,"🔴",IF(AI22&gt;1.1,"🟡","🟢")))</f>
        <v/>
      </c>
    </row>
    <row r="23" ht="14" customHeight="1" s="176">
      <c r="A23" s="103" t="inlineStr">
        <is>
          <t>Asmara</t>
        </is>
      </c>
      <c r="B23" s="104" t="inlineStr">
        <is>
          <t>w. murcott 19,8 ha</t>
        </is>
      </c>
      <c r="C23" s="104" t="inlineStr">
        <is>
          <t>2- M.O. indirecta</t>
        </is>
      </c>
      <c r="D23" s="104" t="inlineStr">
        <is>
          <t>2,1- JEFE DE CAMPO</t>
        </is>
      </c>
      <c r="E23" s="104" t="inlineStr">
        <is>
          <t>día</t>
        </is>
      </c>
      <c r="F23" s="105" t="n">
        <v>425282.319</v>
      </c>
      <c r="G23" s="106" t="n">
        <v>42975</v>
      </c>
      <c r="H23" s="107" t="n"/>
      <c r="I23" s="108">
        <f>IF(H23="","",G23*H23)</f>
        <v/>
      </c>
      <c r="J23" s="243">
        <f>IF(I23="","",F23-I23)</f>
        <v/>
      </c>
      <c r="K23" s="110">
        <f>IF(OR(I23="",F23=0),"",I23/F23)</f>
        <v/>
      </c>
      <c r="L23" s="111">
        <f>IF(K23="","⚪",IF(K23&gt;1.2,"🔴",IF(K23&gt;1.1,"🟡","🟢")))</f>
        <v/>
      </c>
      <c r="N23" s="105" t="n">
        <v>425282.319</v>
      </c>
      <c r="O23" s="106" t="n">
        <v>42975</v>
      </c>
      <c r="P23" s="107" t="n"/>
      <c r="Q23" s="108">
        <f>IF(P23="","",O23*P23)</f>
        <v/>
      </c>
      <c r="R23" s="243">
        <f>IF(Q23="","",N23-Q23)</f>
        <v/>
      </c>
      <c r="S23" s="110">
        <f>IF(OR(Q23="",N23=0),"",Q23/N23)</f>
        <v/>
      </c>
      <c r="T23" s="111">
        <f>IF(S23="","⚪",IF(S23&gt;1.2,"🔴",IF(S23&gt;1.1,"🟡","🟢")))</f>
        <v/>
      </c>
      <c r="V23" s="105" t="n">
        <v>425282.319</v>
      </c>
      <c r="W23" s="106" t="n">
        <v>42975</v>
      </c>
      <c r="X23" s="107" t="n"/>
      <c r="Y23" s="108">
        <f>IF(X23="","",W23*X23)</f>
        <v/>
      </c>
      <c r="Z23" s="243">
        <f>IF(Y23="","",V23-Y23)</f>
        <v/>
      </c>
      <c r="AA23" s="110">
        <f>IF(OR(Y23="",V23=0),"",Y23/V23)</f>
        <v/>
      </c>
      <c r="AB23" s="111">
        <f>IF(AA23="","⚪",IF(AA23&gt;1.2,"🔴",IF(AA23&gt;1.1,"🟡","🟢")))</f>
        <v/>
      </c>
      <c r="AD23" s="105" t="n">
        <v>425282.319</v>
      </c>
      <c r="AE23" s="106" t="n">
        <v>42975</v>
      </c>
      <c r="AF23" s="107" t="n"/>
      <c r="AG23" s="108">
        <f>IF(AF23="","",AE23*AF23)</f>
        <v/>
      </c>
      <c r="AH23" s="243">
        <f>IF(AG23="","",AD23-AG23)</f>
        <v/>
      </c>
      <c r="AI23" s="110">
        <f>IF(OR(AG23="",AD23=0),"",AG23/AD23)</f>
        <v/>
      </c>
      <c r="AJ23" s="111">
        <f>IF(AI23="","⚪",IF(AI23&gt;1.2,"🔴",IF(AI23&gt;1.1,"🟡","🟢")))</f>
        <v/>
      </c>
    </row>
    <row r="24" ht="14" customHeight="1" s="176">
      <c r="A24" s="112" t="inlineStr">
        <is>
          <t>Asmara</t>
        </is>
      </c>
      <c r="B24" s="113" t="inlineStr">
        <is>
          <t>w. murcott 19,8 ha</t>
        </is>
      </c>
      <c r="C24" s="113" t="inlineStr">
        <is>
          <t>2- M.O. indirecta</t>
        </is>
      </c>
      <c r="D24" s="113" t="inlineStr">
        <is>
          <t>2- ADMINISTRACION</t>
        </is>
      </c>
      <c r="E24" s="113" t="inlineStr">
        <is>
          <t>día</t>
        </is>
      </c>
      <c r="F24" s="105" t="n">
        <v>80157.924</v>
      </c>
      <c r="G24" s="106" t="n">
        <v>8100</v>
      </c>
      <c r="H24" s="107" t="n"/>
      <c r="I24" s="108">
        <f>IF(H24="","",G24*H24)</f>
        <v/>
      </c>
      <c r="J24" s="243">
        <f>IF(I24="","",F24-I24)</f>
        <v/>
      </c>
      <c r="K24" s="110">
        <f>IF(OR(I24="",F24=0),"",I24/F24)</f>
        <v/>
      </c>
      <c r="L24" s="111">
        <f>IF(K24="","⚪",IF(K24&gt;1.2,"🔴",IF(K24&gt;1.1,"🟡","🟢")))</f>
        <v/>
      </c>
      <c r="N24" s="105" t="n">
        <v>80157.924</v>
      </c>
      <c r="O24" s="106" t="n">
        <v>8100</v>
      </c>
      <c r="P24" s="107" t="n"/>
      <c r="Q24" s="108">
        <f>IF(P24="","",O24*P24)</f>
        <v/>
      </c>
      <c r="R24" s="243">
        <f>IF(Q24="","",N24-Q24)</f>
        <v/>
      </c>
      <c r="S24" s="110">
        <f>IF(OR(Q24="",N24=0),"",Q24/N24)</f>
        <v/>
      </c>
      <c r="T24" s="111">
        <f>IF(S24="","⚪",IF(S24&gt;1.2,"🔴",IF(S24&gt;1.1,"🟡","🟢")))</f>
        <v/>
      </c>
      <c r="V24" s="105" t="n">
        <v>80157.924</v>
      </c>
      <c r="W24" s="106" t="n">
        <v>8100</v>
      </c>
      <c r="X24" s="107" t="n"/>
      <c r="Y24" s="108">
        <f>IF(X24="","",W24*X24)</f>
        <v/>
      </c>
      <c r="Z24" s="243">
        <f>IF(Y24="","",V24-Y24)</f>
        <v/>
      </c>
      <c r="AA24" s="110">
        <f>IF(OR(Y24="",V24=0),"",Y24/V24)</f>
        <v/>
      </c>
      <c r="AB24" s="111">
        <f>IF(AA24="","⚪",IF(AA24&gt;1.2,"🔴",IF(AA24&gt;1.1,"🟡","🟢")))</f>
        <v/>
      </c>
      <c r="AD24" s="105" t="n">
        <v>80157.924</v>
      </c>
      <c r="AE24" s="106" t="n">
        <v>8100</v>
      </c>
      <c r="AF24" s="107" t="n"/>
      <c r="AG24" s="108">
        <f>IF(AF24="","",AE24*AF24)</f>
        <v/>
      </c>
      <c r="AH24" s="243">
        <f>IF(AG24="","",AD24-AG24)</f>
        <v/>
      </c>
      <c r="AI24" s="110">
        <f>IF(OR(AG24="",AD24=0),"",AG24/AD24)</f>
        <v/>
      </c>
      <c r="AJ24" s="111">
        <f>IF(AI24="","⚪",IF(AI24&gt;1.2,"🔴",IF(AI24&gt;1.1,"🟡","🟢")))</f>
        <v/>
      </c>
    </row>
    <row r="25" ht="14" customHeight="1" s="176">
      <c r="A25" s="103" t="inlineStr">
        <is>
          <t>Asmara</t>
        </is>
      </c>
      <c r="B25" s="104" t="inlineStr">
        <is>
          <t>w. murcott 19,8 ha</t>
        </is>
      </c>
      <c r="C25" s="104" t="inlineStr">
        <is>
          <t>2- M.O. indirecta</t>
        </is>
      </c>
      <c r="D25" s="104" t="inlineStr">
        <is>
          <t>3,1-  ENCARGADO DE RIEGO</t>
        </is>
      </c>
      <c r="E25" s="104" t="inlineStr">
        <is>
          <t>día</t>
        </is>
      </c>
      <c r="F25" s="105" t="n">
        <v>435393.59787</v>
      </c>
      <c r="G25" s="106" t="n">
        <v>43996.75</v>
      </c>
      <c r="H25" s="107" t="n"/>
      <c r="I25" s="108">
        <f>IF(H25="","",G25*H25)</f>
        <v/>
      </c>
      <c r="J25" s="243">
        <f>IF(I25="","",F25-I25)</f>
        <v/>
      </c>
      <c r="K25" s="110">
        <f>IF(OR(I25="",F25=0),"",I25/F25)</f>
        <v/>
      </c>
      <c r="L25" s="111">
        <f>IF(K25="","⚪",IF(K25&gt;1.2,"🔴",IF(K25&gt;1.1,"🟡","🟢")))</f>
        <v/>
      </c>
      <c r="N25" s="105" t="n">
        <v>435393.59787</v>
      </c>
      <c r="O25" s="106" t="n">
        <v>43996.75</v>
      </c>
      <c r="P25" s="107" t="n"/>
      <c r="Q25" s="108">
        <f>IF(P25="","",O25*P25)</f>
        <v/>
      </c>
      <c r="R25" s="243">
        <f>IF(Q25="","",N25-Q25)</f>
        <v/>
      </c>
      <c r="S25" s="110">
        <f>IF(OR(Q25="",N25=0),"",Q25/N25)</f>
        <v/>
      </c>
      <c r="T25" s="111">
        <f>IF(S25="","⚪",IF(S25&gt;1.2,"🔴",IF(S25&gt;1.1,"🟡","🟢")))</f>
        <v/>
      </c>
      <c r="V25" s="105" t="n">
        <v>435393.59787</v>
      </c>
      <c r="W25" s="106" t="n">
        <v>43996.75</v>
      </c>
      <c r="X25" s="107" t="n"/>
      <c r="Y25" s="108">
        <f>IF(X25="","",W25*X25)</f>
        <v/>
      </c>
      <c r="Z25" s="243">
        <f>IF(Y25="","",V25-Y25)</f>
        <v/>
      </c>
      <c r="AA25" s="110">
        <f>IF(OR(Y25="",V25=0),"",Y25/V25)</f>
        <v/>
      </c>
      <c r="AB25" s="111">
        <f>IF(AA25="","⚪",IF(AA25&gt;1.2,"🔴",IF(AA25&gt;1.1,"🟡","🟢")))</f>
        <v/>
      </c>
      <c r="AD25" s="105" t="n">
        <v>435393.59787</v>
      </c>
      <c r="AE25" s="106" t="n">
        <v>43996.75</v>
      </c>
      <c r="AF25" s="107" t="n"/>
      <c r="AG25" s="108">
        <f>IF(AF25="","",AE25*AF25)</f>
        <v/>
      </c>
      <c r="AH25" s="243">
        <f>IF(AG25="","",AD25-AG25)</f>
        <v/>
      </c>
      <c r="AI25" s="110">
        <f>IF(OR(AG25="",AD25=0),"",AG25/AD25)</f>
        <v/>
      </c>
      <c r="AJ25" s="111">
        <f>IF(AI25="","⚪",IF(AI25&gt;1.2,"🔴",IF(AI25&gt;1.1,"🟡","🟢")))</f>
        <v/>
      </c>
    </row>
    <row r="26" ht="14" customHeight="1" s="176">
      <c r="A26" s="112" t="inlineStr">
        <is>
          <t>Asmara</t>
        </is>
      </c>
      <c r="B26" s="113" t="inlineStr">
        <is>
          <t>w. murcott 19,8 ha</t>
        </is>
      </c>
      <c r="C26" s="113" t="inlineStr">
        <is>
          <t>2- M.O. indirecta</t>
        </is>
      </c>
      <c r="D26" s="113" t="inlineStr">
        <is>
          <t>3- ADQUIS. Y BODEGA</t>
        </is>
      </c>
      <c r="E26" s="113" t="inlineStr">
        <is>
          <t>día</t>
        </is>
      </c>
      <c r="F26" s="105" t="n">
        <v>80157.924</v>
      </c>
      <c r="G26" s="106" t="n">
        <v>8100</v>
      </c>
      <c r="H26" s="107" t="n"/>
      <c r="I26" s="108">
        <f>IF(H26="","",G26*H26)</f>
        <v/>
      </c>
      <c r="J26" s="243">
        <f>IF(I26="","",F26-I26)</f>
        <v/>
      </c>
      <c r="K26" s="110">
        <f>IF(OR(I26="",F26=0),"",I26/F26)</f>
        <v/>
      </c>
      <c r="L26" s="111">
        <f>IF(K26="","⚪",IF(K26&gt;1.2,"🔴",IF(K26&gt;1.1,"🟡","🟢")))</f>
        <v/>
      </c>
      <c r="N26" s="105" t="n">
        <v>80157.924</v>
      </c>
      <c r="O26" s="106" t="n">
        <v>8100</v>
      </c>
      <c r="P26" s="107" t="n"/>
      <c r="Q26" s="108">
        <f>IF(P26="","",O26*P26)</f>
        <v/>
      </c>
      <c r="R26" s="243">
        <f>IF(Q26="","",N26-Q26)</f>
        <v/>
      </c>
      <c r="S26" s="110">
        <f>IF(OR(Q26="",N26=0),"",Q26/N26)</f>
        <v/>
      </c>
      <c r="T26" s="111">
        <f>IF(S26="","⚪",IF(S26&gt;1.2,"🔴",IF(S26&gt;1.1,"🟡","🟢")))</f>
        <v/>
      </c>
      <c r="V26" s="105" t="n">
        <v>80157.924</v>
      </c>
      <c r="W26" s="106" t="n">
        <v>8100</v>
      </c>
      <c r="X26" s="107" t="n"/>
      <c r="Y26" s="108">
        <f>IF(X26="","",W26*X26)</f>
        <v/>
      </c>
      <c r="Z26" s="243">
        <f>IF(Y26="","",V26-Y26)</f>
        <v/>
      </c>
      <c r="AA26" s="110">
        <f>IF(OR(Y26="",V26=0),"",Y26/V26)</f>
        <v/>
      </c>
      <c r="AB26" s="111">
        <f>IF(AA26="","⚪",IF(AA26&gt;1.2,"🔴",IF(AA26&gt;1.1,"🟡","🟢")))</f>
        <v/>
      </c>
      <c r="AD26" s="105" t="n">
        <v>80157.924</v>
      </c>
      <c r="AE26" s="106" t="n">
        <v>8100</v>
      </c>
      <c r="AF26" s="107" t="n"/>
      <c r="AG26" s="108">
        <f>IF(AF26="","",AE26*AF26)</f>
        <v/>
      </c>
      <c r="AH26" s="243">
        <f>IF(AG26="","",AD26-AG26)</f>
        <v/>
      </c>
      <c r="AI26" s="110">
        <f>IF(OR(AG26="",AD26=0),"",AG26/AD26)</f>
        <v/>
      </c>
      <c r="AJ26" s="111">
        <f>IF(AI26="","⚪",IF(AI26&gt;1.2,"🔴",IF(AI26&gt;1.1,"🟡","🟢")))</f>
        <v/>
      </c>
    </row>
    <row r="27" ht="14" customHeight="1" s="176">
      <c r="A27" s="103" t="inlineStr">
        <is>
          <t>Asmara</t>
        </is>
      </c>
      <c r="B27" s="104" t="inlineStr">
        <is>
          <t>w. murcott 19,8 ha</t>
        </is>
      </c>
      <c r="C27" s="104" t="inlineStr">
        <is>
          <t>2- M.O. indirecta</t>
        </is>
      </c>
      <c r="D27" s="104" t="inlineStr">
        <is>
          <t>4,1- ENCARGADO MANTENCIONES</t>
        </is>
      </c>
      <c r="E27" s="104" t="inlineStr">
        <is>
          <t>día</t>
        </is>
      </c>
      <c r="F27" s="105" t="n">
        <v>108856.44</v>
      </c>
      <c r="G27" s="106" t="n">
        <v>11000</v>
      </c>
      <c r="H27" s="107" t="n"/>
      <c r="I27" s="108">
        <f>IF(H27="","",G27*H27)</f>
        <v/>
      </c>
      <c r="J27" s="243">
        <f>IF(I27="","",F27-I27)</f>
        <v/>
      </c>
      <c r="K27" s="110">
        <f>IF(OR(I27="",F27=0),"",I27/F27)</f>
        <v/>
      </c>
      <c r="L27" s="111">
        <f>IF(K27="","⚪",IF(K27&gt;1.2,"🔴",IF(K27&gt;1.1,"🟡","🟢")))</f>
        <v/>
      </c>
      <c r="N27" s="105" t="n">
        <v>108856.44</v>
      </c>
      <c r="O27" s="106" t="n">
        <v>11000</v>
      </c>
      <c r="P27" s="107" t="n"/>
      <c r="Q27" s="108">
        <f>IF(P27="","",O27*P27)</f>
        <v/>
      </c>
      <c r="R27" s="243">
        <f>IF(Q27="","",N27-Q27)</f>
        <v/>
      </c>
      <c r="S27" s="110">
        <f>IF(OR(Q27="",N27=0),"",Q27/N27)</f>
        <v/>
      </c>
      <c r="T27" s="111">
        <f>IF(S27="","⚪",IF(S27&gt;1.2,"🔴",IF(S27&gt;1.1,"🟡","🟢")))</f>
        <v/>
      </c>
      <c r="V27" s="105" t="n">
        <v>108856.44</v>
      </c>
      <c r="W27" s="106" t="n">
        <v>11000</v>
      </c>
      <c r="X27" s="107" t="n"/>
      <c r="Y27" s="108">
        <f>IF(X27="","",W27*X27)</f>
        <v/>
      </c>
      <c r="Z27" s="243">
        <f>IF(Y27="","",V27-Y27)</f>
        <v/>
      </c>
      <c r="AA27" s="110">
        <f>IF(OR(Y27="",V27=0),"",Y27/V27)</f>
        <v/>
      </c>
      <c r="AB27" s="111">
        <f>IF(AA27="","⚪",IF(AA27&gt;1.2,"🔴",IF(AA27&gt;1.1,"🟡","🟢")))</f>
        <v/>
      </c>
      <c r="AD27" s="105" t="n">
        <v>108856.44</v>
      </c>
      <c r="AE27" s="106" t="n">
        <v>11000</v>
      </c>
      <c r="AF27" s="107" t="n"/>
      <c r="AG27" s="108">
        <f>IF(AF27="","",AE27*AF27)</f>
        <v/>
      </c>
      <c r="AH27" s="243">
        <f>IF(AG27="","",AD27-AG27)</f>
        <v/>
      </c>
      <c r="AI27" s="110">
        <f>IF(OR(AG27="",AD27=0),"",AG27/AD27)</f>
        <v/>
      </c>
      <c r="AJ27" s="111">
        <f>IF(AI27="","⚪",IF(AI27&gt;1.2,"🔴",IF(AI27&gt;1.1,"🟡","🟢")))</f>
        <v/>
      </c>
    </row>
    <row r="28" ht="14" customHeight="1" s="176">
      <c r="A28" s="112" t="inlineStr">
        <is>
          <t>Asmara</t>
        </is>
      </c>
      <c r="B28" s="113" t="inlineStr">
        <is>
          <t>w. murcott 19,8 ha</t>
        </is>
      </c>
      <c r="C28" s="113" t="inlineStr">
        <is>
          <t>2- M.O. indirecta</t>
        </is>
      </c>
      <c r="D28" s="113" t="inlineStr">
        <is>
          <t>4- CERTIFICACIONES</t>
        </is>
      </c>
      <c r="E28" s="113" t="inlineStr">
        <is>
          <t>día</t>
        </is>
      </c>
      <c r="F28" s="105" t="n">
        <v>63973.77524999999</v>
      </c>
      <c r="G28" s="106" t="n">
        <v>6464.58333333333</v>
      </c>
      <c r="H28" s="107" t="n"/>
      <c r="I28" s="108">
        <f>IF(H28="","",G28*H28)</f>
        <v/>
      </c>
      <c r="J28" s="243">
        <f>IF(I28="","",F28-I28)</f>
        <v/>
      </c>
      <c r="K28" s="110">
        <f>IF(OR(I28="",F28=0),"",I28/F28)</f>
        <v/>
      </c>
      <c r="L28" s="111">
        <f>IF(K28="","⚪",IF(K28&gt;1.2,"🔴",IF(K28&gt;1.1,"🟡","🟢")))</f>
        <v/>
      </c>
      <c r="N28" s="105" t="n">
        <v>63973.77524999999</v>
      </c>
      <c r="O28" s="106" t="n">
        <v>6464.58333333333</v>
      </c>
      <c r="P28" s="107" t="n"/>
      <c r="Q28" s="108">
        <f>IF(P28="","",O28*P28)</f>
        <v/>
      </c>
      <c r="R28" s="243">
        <f>IF(Q28="","",N28-Q28)</f>
        <v/>
      </c>
      <c r="S28" s="110">
        <f>IF(OR(Q28="",N28=0),"",Q28/N28)</f>
        <v/>
      </c>
      <c r="T28" s="111">
        <f>IF(S28="","⚪",IF(S28&gt;1.2,"🔴",IF(S28&gt;1.1,"🟡","🟢")))</f>
        <v/>
      </c>
      <c r="V28" s="105" t="n">
        <v>63973.77524999999</v>
      </c>
      <c r="W28" s="106" t="n">
        <v>6464.58333333333</v>
      </c>
      <c r="X28" s="107" t="n"/>
      <c r="Y28" s="108">
        <f>IF(X28="","",W28*X28)</f>
        <v/>
      </c>
      <c r="Z28" s="243">
        <f>IF(Y28="","",V28-Y28)</f>
        <v/>
      </c>
      <c r="AA28" s="110">
        <f>IF(OR(Y28="",V28=0),"",Y28/V28)</f>
        <v/>
      </c>
      <c r="AB28" s="111">
        <f>IF(AA28="","⚪",IF(AA28&gt;1.2,"🔴",IF(AA28&gt;1.1,"🟡","🟢")))</f>
        <v/>
      </c>
      <c r="AD28" s="105" t="n">
        <v>63973.77524999999</v>
      </c>
      <c r="AE28" s="106" t="n">
        <v>6464.58333333333</v>
      </c>
      <c r="AF28" s="107" t="n"/>
      <c r="AG28" s="108">
        <f>IF(AF28="","",AE28*AF28)</f>
        <v/>
      </c>
      <c r="AH28" s="243">
        <f>IF(AG28="","",AD28-AG28)</f>
        <v/>
      </c>
      <c r="AI28" s="110">
        <f>IF(OR(AG28="",AD28=0),"",AG28/AD28)</f>
        <v/>
      </c>
      <c r="AJ28" s="111">
        <f>IF(AI28="","⚪",IF(AI28&gt;1.2,"🔴",IF(AI28&gt;1.1,"🟡","🟢")))</f>
        <v/>
      </c>
    </row>
    <row r="29" ht="14" customHeight="1" s="176">
      <c r="A29" s="103" t="inlineStr">
        <is>
          <t>Asmara</t>
        </is>
      </c>
      <c r="B29" s="104" t="inlineStr">
        <is>
          <t>w. murcott 19,8 ha</t>
        </is>
      </c>
      <c r="C29" s="104" t="inlineStr">
        <is>
          <t>2- M.O. indirecta</t>
        </is>
      </c>
      <c r="D29" s="104" t="inlineStr">
        <is>
          <t>5- PREVEN. DE RIESGO</t>
        </is>
      </c>
      <c r="E29" s="104" t="inlineStr">
        <is>
          <t>día</t>
        </is>
      </c>
      <c r="F29" s="105" t="n">
        <v>15586.263</v>
      </c>
      <c r="G29" s="106" t="n">
        <v>1575</v>
      </c>
      <c r="H29" s="107" t="n"/>
      <c r="I29" s="108">
        <f>IF(H29="","",G29*H29)</f>
        <v/>
      </c>
      <c r="J29" s="243">
        <f>IF(I29="","",F29-I29)</f>
        <v/>
      </c>
      <c r="K29" s="110">
        <f>IF(OR(I29="",F29=0),"",I29/F29)</f>
        <v/>
      </c>
      <c r="L29" s="111">
        <f>IF(K29="","⚪",IF(K29&gt;1.2,"🔴",IF(K29&gt;1.1,"🟡","🟢")))</f>
        <v/>
      </c>
      <c r="N29" s="105" t="n">
        <v>15586.263</v>
      </c>
      <c r="O29" s="106" t="n">
        <v>1575</v>
      </c>
      <c r="P29" s="107" t="n"/>
      <c r="Q29" s="108">
        <f>IF(P29="","",O29*P29)</f>
        <v/>
      </c>
      <c r="R29" s="243">
        <f>IF(Q29="","",N29-Q29)</f>
        <v/>
      </c>
      <c r="S29" s="110">
        <f>IF(OR(Q29="",N29=0),"",Q29/N29)</f>
        <v/>
      </c>
      <c r="T29" s="111">
        <f>IF(S29="","⚪",IF(S29&gt;1.2,"🔴",IF(S29&gt;1.1,"🟡","🟢")))</f>
        <v/>
      </c>
      <c r="V29" s="105" t="n">
        <v>15586.263</v>
      </c>
      <c r="W29" s="106" t="n">
        <v>1575</v>
      </c>
      <c r="X29" s="107" t="n"/>
      <c r="Y29" s="108">
        <f>IF(X29="","",W29*X29)</f>
        <v/>
      </c>
      <c r="Z29" s="243">
        <f>IF(Y29="","",V29-Y29)</f>
        <v/>
      </c>
      <c r="AA29" s="110">
        <f>IF(OR(Y29="",V29=0),"",Y29/V29)</f>
        <v/>
      </c>
      <c r="AB29" s="111">
        <f>IF(AA29="","⚪",IF(AA29&gt;1.2,"🔴",IF(AA29&gt;1.1,"🟡","🟢")))</f>
        <v/>
      </c>
      <c r="AD29" s="105" t="n">
        <v>15586.263</v>
      </c>
      <c r="AE29" s="106" t="n">
        <v>1575</v>
      </c>
      <c r="AF29" s="107" t="n"/>
      <c r="AG29" s="108">
        <f>IF(AF29="","",AE29*AF29)</f>
        <v/>
      </c>
      <c r="AH29" s="243">
        <f>IF(AG29="","",AD29-AG29)</f>
        <v/>
      </c>
      <c r="AI29" s="110">
        <f>IF(OR(AG29="",AD29=0),"",AG29/AD29)</f>
        <v/>
      </c>
      <c r="AJ29" s="111">
        <f>IF(AI29="","⚪",IF(AI29&gt;1.2,"🔴",IF(AI29&gt;1.1,"🟡","🟢")))</f>
        <v/>
      </c>
    </row>
    <row r="30" ht="14" customHeight="1" s="176">
      <c r="A30" s="112" t="inlineStr">
        <is>
          <t>Asmara</t>
        </is>
      </c>
      <c r="B30" s="113" t="inlineStr">
        <is>
          <t>w. murcott 19,8 ha</t>
        </is>
      </c>
      <c r="C30" s="113" t="inlineStr">
        <is>
          <t>2- M.O. indirecta</t>
        </is>
      </c>
      <c r="D30" s="113" t="inlineStr">
        <is>
          <t>9,1- RONDIN FUNDO</t>
        </is>
      </c>
      <c r="E30" s="113" t="inlineStr">
        <is>
          <t>día</t>
        </is>
      </c>
      <c r="F30" s="105" t="n">
        <v>78630.75</v>
      </c>
      <c r="G30" s="106" t="n">
        <v>26475</v>
      </c>
      <c r="H30" s="107" t="n"/>
      <c r="I30" s="108">
        <f>IF(H30="","",G30*H30)</f>
        <v/>
      </c>
      <c r="J30" s="243">
        <f>IF(I30="","",F30-I30)</f>
        <v/>
      </c>
      <c r="K30" s="110">
        <f>IF(OR(I30="",F30=0),"",I30/F30)</f>
        <v/>
      </c>
      <c r="L30" s="111">
        <f>IF(K30="","⚪",IF(K30&gt;1.2,"🔴",IF(K30&gt;1.1,"🟡","🟢")))</f>
        <v/>
      </c>
      <c r="N30" s="105" t="n">
        <v>78630.75</v>
      </c>
      <c r="O30" s="106" t="n">
        <v>26475</v>
      </c>
      <c r="P30" s="107" t="n"/>
      <c r="Q30" s="108">
        <f>IF(P30="","",O30*P30)</f>
        <v/>
      </c>
      <c r="R30" s="243">
        <f>IF(Q30="","",N30-Q30)</f>
        <v/>
      </c>
      <c r="S30" s="110">
        <f>IF(OR(Q30="",N30=0),"",Q30/N30)</f>
        <v/>
      </c>
      <c r="T30" s="111">
        <f>IF(S30="","⚪",IF(S30&gt;1.2,"🔴",IF(S30&gt;1.1,"🟡","🟢")))</f>
        <v/>
      </c>
      <c r="V30" s="105" t="n">
        <v>78630.75</v>
      </c>
      <c r="W30" s="106" t="n">
        <v>26475</v>
      </c>
      <c r="X30" s="107" t="n"/>
      <c r="Y30" s="108">
        <f>IF(X30="","",W30*X30)</f>
        <v/>
      </c>
      <c r="Z30" s="243">
        <f>IF(Y30="","",V30-Y30)</f>
        <v/>
      </c>
      <c r="AA30" s="110">
        <f>IF(OR(Y30="",V30=0),"",Y30/V30)</f>
        <v/>
      </c>
      <c r="AB30" s="111">
        <f>IF(AA30="","⚪",IF(AA30&gt;1.2,"🔴",IF(AA30&gt;1.1,"🟡","🟢")))</f>
        <v/>
      </c>
      <c r="AD30" s="105" t="n">
        <v>78630.75</v>
      </c>
      <c r="AE30" s="106" t="n">
        <v>26475</v>
      </c>
      <c r="AF30" s="107" t="n"/>
      <c r="AG30" s="108">
        <f>IF(AF30="","",AE30*AF30)</f>
        <v/>
      </c>
      <c r="AH30" s="243">
        <f>IF(AG30="","",AD30-AG30)</f>
        <v/>
      </c>
      <c r="AI30" s="110">
        <f>IF(OR(AG30="",AD30=0),"",AG30/AD30)</f>
        <v/>
      </c>
      <c r="AJ30" s="111">
        <f>IF(AI30="","⚪",IF(AI30&gt;1.2,"🔴",IF(AI30&gt;1.1,"🟡","🟢")))</f>
        <v/>
      </c>
    </row>
    <row r="31" ht="14" customHeight="1" s="176">
      <c r="A31" s="103" t="inlineStr">
        <is>
          <t>Asmara</t>
        </is>
      </c>
      <c r="B31" s="104" t="inlineStr">
        <is>
          <t>w. murcott 4,9 ha</t>
        </is>
      </c>
      <c r="C31" s="104" t="inlineStr">
        <is>
          <t>1- M.O. directa</t>
        </is>
      </c>
      <c r="D31" s="104" t="inlineStr">
        <is>
          <t xml:space="preserve">1,4- Mantención caminos </t>
        </is>
      </c>
      <c r="E31" s="104" t="inlineStr">
        <is>
          <t>día</t>
        </is>
      </c>
      <c r="F31" s="105" t="n">
        <v>6525</v>
      </c>
      <c r="G31" s="106" t="n">
        <v>43500</v>
      </c>
      <c r="H31" s="107" t="n"/>
      <c r="I31" s="108">
        <f>IF(H31="","",G31*H31)</f>
        <v/>
      </c>
      <c r="J31" s="243">
        <f>IF(I31="","",F31-I31)</f>
        <v/>
      </c>
      <c r="K31" s="110">
        <f>IF(OR(I31="",F31=0),"",I31/F31)</f>
        <v/>
      </c>
      <c r="L31" s="111">
        <f>IF(K31="","⚪",IF(K31&gt;1.2,"🔴",IF(K31&gt;1.1,"🟡","🟢")))</f>
        <v/>
      </c>
      <c r="N31" s="105" t="n">
        <v>6525</v>
      </c>
      <c r="O31" s="106" t="n">
        <v>43500</v>
      </c>
      <c r="P31" s="107" t="n"/>
      <c r="Q31" s="108">
        <f>IF(P31="","",O31*P31)</f>
        <v/>
      </c>
      <c r="R31" s="243">
        <f>IF(Q31="","",N31-Q31)</f>
        <v/>
      </c>
      <c r="S31" s="110">
        <f>IF(OR(Q31="",N31=0),"",Q31/N31)</f>
        <v/>
      </c>
      <c r="T31" s="111">
        <f>IF(S31="","⚪",IF(S31&gt;1.2,"🔴",IF(S31&gt;1.1,"🟡","🟢")))</f>
        <v/>
      </c>
      <c r="V31" s="105" t="n">
        <v>6525</v>
      </c>
      <c r="W31" s="106" t="n">
        <v>43500</v>
      </c>
      <c r="X31" s="107" t="n"/>
      <c r="Y31" s="108">
        <f>IF(X31="","",W31*X31)</f>
        <v/>
      </c>
      <c r="Z31" s="243">
        <f>IF(Y31="","",V31-Y31)</f>
        <v/>
      </c>
      <c r="AA31" s="110">
        <f>IF(OR(Y31="",V31=0),"",Y31/V31)</f>
        <v/>
      </c>
      <c r="AB31" s="111">
        <f>IF(AA31="","⚪",IF(AA31&gt;1.2,"🔴",IF(AA31&gt;1.1,"🟡","🟢")))</f>
        <v/>
      </c>
      <c r="AD31" s="105" t="n">
        <v>6525</v>
      </c>
      <c r="AE31" s="106" t="n">
        <v>43500</v>
      </c>
      <c r="AF31" s="107" t="n"/>
      <c r="AG31" s="108">
        <f>IF(AF31="","",AE31*AF31)</f>
        <v/>
      </c>
      <c r="AH31" s="243">
        <f>IF(AG31="","",AD31-AG31)</f>
        <v/>
      </c>
      <c r="AI31" s="110">
        <f>IF(OR(AG31="",AD31=0),"",AG31/AD31)</f>
        <v/>
      </c>
      <c r="AJ31" s="111">
        <f>IF(AI31="","⚪",IF(AI31&gt;1.2,"🔴",IF(AI31&gt;1.1,"🟡","🟢")))</f>
        <v/>
      </c>
    </row>
    <row r="32" ht="14" customHeight="1" s="176">
      <c r="A32" s="112" t="inlineStr">
        <is>
          <t>Asmara</t>
        </is>
      </c>
      <c r="B32" s="113" t="inlineStr">
        <is>
          <t>w. murcott 4,9 ha</t>
        </is>
      </c>
      <c r="C32" s="113" t="inlineStr">
        <is>
          <t>1- M.O. directa</t>
        </is>
      </c>
      <c r="D32" s="113" t="inlineStr">
        <is>
          <t>1- Cosecha EXP</t>
        </is>
      </c>
      <c r="E32" s="113" t="inlineStr">
        <is>
          <t>trato</t>
        </is>
      </c>
      <c r="F32" s="105" t="n">
        <v>1041250</v>
      </c>
      <c r="G32" s="106" t="n">
        <v>85</v>
      </c>
      <c r="H32" s="107" t="n"/>
      <c r="I32" s="108">
        <f>IF(H32="","",G32*H32)</f>
        <v/>
      </c>
      <c r="J32" s="243">
        <f>IF(I32="","",F32-I32)</f>
        <v/>
      </c>
      <c r="K32" s="110">
        <f>IF(OR(I32="",F32=0),"",I32/F32)</f>
        <v/>
      </c>
      <c r="L32" s="111">
        <f>IF(K32="","⚪",IF(K32&gt;1.2,"🔴",IF(K32&gt;1.1,"🟡","🟢")))</f>
        <v/>
      </c>
      <c r="N32" s="105" t="n">
        <v>1041250</v>
      </c>
      <c r="O32" s="106" t="n">
        <v>85</v>
      </c>
      <c r="P32" s="107" t="n"/>
      <c r="Q32" s="108">
        <f>IF(P32="","",O32*P32)</f>
        <v/>
      </c>
      <c r="R32" s="243">
        <f>IF(Q32="","",N32-Q32)</f>
        <v/>
      </c>
      <c r="S32" s="110">
        <f>IF(OR(Q32="",N32=0),"",Q32/N32)</f>
        <v/>
      </c>
      <c r="T32" s="111">
        <f>IF(S32="","⚪",IF(S32&gt;1.2,"🔴",IF(S32&gt;1.1,"🟡","🟢")))</f>
        <v/>
      </c>
      <c r="V32" s="105" t="n">
        <v>1041250</v>
      </c>
      <c r="W32" s="106" t="n">
        <v>85</v>
      </c>
      <c r="X32" s="107" t="n"/>
      <c r="Y32" s="108">
        <f>IF(X32="","",W32*X32)</f>
        <v/>
      </c>
      <c r="Z32" s="243">
        <f>IF(Y32="","",V32-Y32)</f>
        <v/>
      </c>
      <c r="AA32" s="110">
        <f>IF(OR(Y32="",V32=0),"",Y32/V32)</f>
        <v/>
      </c>
      <c r="AB32" s="111">
        <f>IF(AA32="","⚪",IF(AA32&gt;1.2,"🔴",IF(AA32&gt;1.1,"🟡","🟢")))</f>
        <v/>
      </c>
      <c r="AD32" s="105" t="n">
        <v>1041250</v>
      </c>
      <c r="AE32" s="106" t="n">
        <v>85</v>
      </c>
      <c r="AF32" s="107" t="n"/>
      <c r="AG32" s="108">
        <f>IF(AF32="","",AE32*AF32)</f>
        <v/>
      </c>
      <c r="AH32" s="243">
        <f>IF(AG32="","",AD32-AG32)</f>
        <v/>
      </c>
      <c r="AI32" s="110">
        <f>IF(OR(AG32="",AD32=0),"",AG32/AD32)</f>
        <v/>
      </c>
      <c r="AJ32" s="111">
        <f>IF(AI32="","⚪",IF(AI32&gt;1.2,"🔴",IF(AI32&gt;1.1,"🟡","🟢")))</f>
        <v/>
      </c>
    </row>
    <row r="33" ht="14" customHeight="1" s="176">
      <c r="A33" s="103" t="inlineStr">
        <is>
          <t>Asmara</t>
        </is>
      </c>
      <c r="B33" s="104" t="inlineStr">
        <is>
          <t>w. murcott 4,9 ha</t>
        </is>
      </c>
      <c r="C33" s="104" t="inlineStr">
        <is>
          <t>1- M.O. directa</t>
        </is>
      </c>
      <c r="D33" s="104" t="inlineStr">
        <is>
          <t xml:space="preserve">11- mantención de cercos </t>
        </is>
      </c>
      <c r="E33" s="104" t="inlineStr">
        <is>
          <t>día</t>
        </is>
      </c>
      <c r="F33" s="105" t="n">
        <v>33013.75</v>
      </c>
      <c r="G33" s="106" t="n">
        <v>38500</v>
      </c>
      <c r="H33" s="107" t="n"/>
      <c r="I33" s="108">
        <f>IF(H33="","",G33*H33)</f>
        <v/>
      </c>
      <c r="J33" s="243">
        <f>IF(I33="","",F33-I33)</f>
        <v/>
      </c>
      <c r="K33" s="110">
        <f>IF(OR(I33="",F33=0),"",I33/F33)</f>
        <v/>
      </c>
      <c r="L33" s="111">
        <f>IF(K33="","⚪",IF(K33&gt;1.2,"🔴",IF(K33&gt;1.1,"🟡","🟢")))</f>
        <v/>
      </c>
      <c r="N33" s="105" t="n">
        <v>33013.75</v>
      </c>
      <c r="O33" s="106" t="n">
        <v>38500</v>
      </c>
      <c r="P33" s="107" t="n"/>
      <c r="Q33" s="108">
        <f>IF(P33="","",O33*P33)</f>
        <v/>
      </c>
      <c r="R33" s="243">
        <f>IF(Q33="","",N33-Q33)</f>
        <v/>
      </c>
      <c r="S33" s="110">
        <f>IF(OR(Q33="",N33=0),"",Q33/N33)</f>
        <v/>
      </c>
      <c r="T33" s="111">
        <f>IF(S33="","⚪",IF(S33&gt;1.2,"🔴",IF(S33&gt;1.1,"🟡","🟢")))</f>
        <v/>
      </c>
      <c r="V33" s="105" t="n">
        <v>33013.75</v>
      </c>
      <c r="W33" s="106" t="n">
        <v>38500</v>
      </c>
      <c r="X33" s="107" t="n"/>
      <c r="Y33" s="108">
        <f>IF(X33="","",W33*X33)</f>
        <v/>
      </c>
      <c r="Z33" s="243">
        <f>IF(Y33="","",V33-Y33)</f>
        <v/>
      </c>
      <c r="AA33" s="110">
        <f>IF(OR(Y33="",V33=0),"",Y33/V33)</f>
        <v/>
      </c>
      <c r="AB33" s="111">
        <f>IF(AA33="","⚪",IF(AA33&gt;1.2,"🔴",IF(AA33&gt;1.1,"🟡","🟢")))</f>
        <v/>
      </c>
      <c r="AD33" s="105" t="n">
        <v>33013.75</v>
      </c>
      <c r="AE33" s="106" t="n">
        <v>38500</v>
      </c>
      <c r="AF33" s="107" t="n"/>
      <c r="AG33" s="108">
        <f>IF(AF33="","",AE33*AF33)</f>
        <v/>
      </c>
      <c r="AH33" s="243">
        <f>IF(AG33="","",AD33-AG33)</f>
        <v/>
      </c>
      <c r="AI33" s="110">
        <f>IF(OR(AG33="",AD33=0),"",AG33/AD33)</f>
        <v/>
      </c>
      <c r="AJ33" s="111">
        <f>IF(AI33="","⚪",IF(AI33&gt;1.2,"🔴",IF(AI33&gt;1.1,"🟡","🟢")))</f>
        <v/>
      </c>
    </row>
    <row r="34" ht="14" customHeight="1" s="176">
      <c r="A34" s="112" t="inlineStr">
        <is>
          <t>Asmara</t>
        </is>
      </c>
      <c r="B34" s="113" t="inlineStr">
        <is>
          <t>w. murcott 4,9 ha</t>
        </is>
      </c>
      <c r="C34" s="113" t="inlineStr">
        <is>
          <t>1- M.O. directa</t>
        </is>
      </c>
      <c r="D34" s="113" t="inlineStr">
        <is>
          <t>12- Picar sarmiento</t>
        </is>
      </c>
      <c r="E34" s="113" t="inlineStr">
        <is>
          <t>trato</t>
        </is>
      </c>
      <c r="F34" s="105" t="n">
        <v>9804.9</v>
      </c>
      <c r="G34" s="106" t="n">
        <v>60</v>
      </c>
      <c r="H34" s="107" t="n"/>
      <c r="I34" s="108">
        <f>IF(H34="","",G34*H34)</f>
        <v/>
      </c>
      <c r="J34" s="243">
        <f>IF(I34="","",F34-I34)</f>
        <v/>
      </c>
      <c r="K34" s="110">
        <f>IF(OR(I34="",F34=0),"",I34/F34)</f>
        <v/>
      </c>
      <c r="L34" s="111">
        <f>IF(K34="","⚪",IF(K34&gt;1.2,"🔴",IF(K34&gt;1.1,"🟡","🟢")))</f>
        <v/>
      </c>
      <c r="N34" s="105" t="n">
        <v>9804.9</v>
      </c>
      <c r="O34" s="106" t="n">
        <v>60</v>
      </c>
      <c r="P34" s="107" t="n"/>
      <c r="Q34" s="108">
        <f>IF(P34="","",O34*P34)</f>
        <v/>
      </c>
      <c r="R34" s="243">
        <f>IF(Q34="","",N34-Q34)</f>
        <v/>
      </c>
      <c r="S34" s="110">
        <f>IF(OR(Q34="",N34=0),"",Q34/N34)</f>
        <v/>
      </c>
      <c r="T34" s="111">
        <f>IF(S34="","⚪",IF(S34&gt;1.2,"🔴",IF(S34&gt;1.1,"🟡","🟢")))</f>
        <v/>
      </c>
      <c r="V34" s="105" t="n">
        <v>9804.9</v>
      </c>
      <c r="W34" s="106" t="n">
        <v>60</v>
      </c>
      <c r="X34" s="107" t="n"/>
      <c r="Y34" s="108">
        <f>IF(X34="","",W34*X34)</f>
        <v/>
      </c>
      <c r="Z34" s="243">
        <f>IF(Y34="","",V34-Y34)</f>
        <v/>
      </c>
      <c r="AA34" s="110">
        <f>IF(OR(Y34="",V34=0),"",Y34/V34)</f>
        <v/>
      </c>
      <c r="AB34" s="111">
        <f>IF(AA34="","⚪",IF(AA34&gt;1.2,"🔴",IF(AA34&gt;1.1,"🟡","🟢")))</f>
        <v/>
      </c>
      <c r="AD34" s="105" t="n">
        <v>9804.9</v>
      </c>
      <c r="AE34" s="106" t="n">
        <v>60</v>
      </c>
      <c r="AF34" s="107" t="n"/>
      <c r="AG34" s="108">
        <f>IF(AF34="","",AE34*AF34)</f>
        <v/>
      </c>
      <c r="AH34" s="243">
        <f>IF(AG34="","",AD34-AG34)</f>
        <v/>
      </c>
      <c r="AI34" s="110">
        <f>IF(OR(AG34="",AD34=0),"",AG34/AD34)</f>
        <v/>
      </c>
      <c r="AJ34" s="111">
        <f>IF(AI34="","⚪",IF(AI34&gt;1.2,"🔴",IF(AI34&gt;1.1,"🟡","🟢")))</f>
        <v/>
      </c>
    </row>
    <row r="35" ht="14" customHeight="1" s="176">
      <c r="A35" s="103" t="inlineStr">
        <is>
          <t>Asmara</t>
        </is>
      </c>
      <c r="B35" s="104" t="inlineStr">
        <is>
          <t>w. murcott 4,9 ha</t>
        </is>
      </c>
      <c r="C35" s="104" t="inlineStr">
        <is>
          <t>1- M.O. directa</t>
        </is>
      </c>
      <c r="D35" s="104" t="inlineStr">
        <is>
          <t>13- Poda antenas</t>
        </is>
      </c>
      <c r="E35" s="104" t="inlineStr">
        <is>
          <t>trato</t>
        </is>
      </c>
      <c r="F35" s="105" t="n">
        <v>57195.25</v>
      </c>
      <c r="G35" s="106" t="n">
        <v>350</v>
      </c>
      <c r="H35" s="107" t="n"/>
      <c r="I35" s="108">
        <f>IF(H35="","",G35*H35)</f>
        <v/>
      </c>
      <c r="J35" s="243">
        <f>IF(I35="","",F35-I35)</f>
        <v/>
      </c>
      <c r="K35" s="110">
        <f>IF(OR(I35="",F35=0),"",I35/F35)</f>
        <v/>
      </c>
      <c r="L35" s="111">
        <f>IF(K35="","⚪",IF(K35&gt;1.2,"🔴",IF(K35&gt;1.1,"🟡","🟢")))</f>
        <v/>
      </c>
      <c r="N35" s="105" t="n">
        <v>57195.25</v>
      </c>
      <c r="O35" s="106" t="n">
        <v>350</v>
      </c>
      <c r="P35" s="107" t="n"/>
      <c r="Q35" s="108">
        <f>IF(P35="","",O35*P35)</f>
        <v/>
      </c>
      <c r="R35" s="243">
        <f>IF(Q35="","",N35-Q35)</f>
        <v/>
      </c>
      <c r="S35" s="110">
        <f>IF(OR(Q35="",N35=0),"",Q35/N35)</f>
        <v/>
      </c>
      <c r="T35" s="111">
        <f>IF(S35="","⚪",IF(S35&gt;1.2,"🔴",IF(S35&gt;1.1,"🟡","🟢")))</f>
        <v/>
      </c>
      <c r="V35" s="105" t="n">
        <v>57195.25</v>
      </c>
      <c r="W35" s="106" t="n">
        <v>350</v>
      </c>
      <c r="X35" s="107" t="n"/>
      <c r="Y35" s="108">
        <f>IF(X35="","",W35*X35)</f>
        <v/>
      </c>
      <c r="Z35" s="243">
        <f>IF(Y35="","",V35-Y35)</f>
        <v/>
      </c>
      <c r="AA35" s="110">
        <f>IF(OR(Y35="",V35=0),"",Y35/V35)</f>
        <v/>
      </c>
      <c r="AB35" s="111">
        <f>IF(AA35="","⚪",IF(AA35&gt;1.2,"🔴",IF(AA35&gt;1.1,"🟡","🟢")))</f>
        <v/>
      </c>
      <c r="AD35" s="105" t="n">
        <v>57195.25</v>
      </c>
      <c r="AE35" s="106" t="n">
        <v>350</v>
      </c>
      <c r="AF35" s="107" t="n"/>
      <c r="AG35" s="108">
        <f>IF(AF35="","",AE35*AF35)</f>
        <v/>
      </c>
      <c r="AH35" s="243">
        <f>IF(AG35="","",AD35-AG35)</f>
        <v/>
      </c>
      <c r="AI35" s="110">
        <f>IF(OR(AG35="",AD35=0),"",AG35/AD35)</f>
        <v/>
      </c>
      <c r="AJ35" s="111">
        <f>IF(AI35="","⚪",IF(AI35&gt;1.2,"🔴",IF(AI35&gt;1.1,"🟡","🟢")))</f>
        <v/>
      </c>
    </row>
    <row r="36" ht="14" customHeight="1" s="176">
      <c r="A36" s="112" t="inlineStr">
        <is>
          <t>Asmara</t>
        </is>
      </c>
      <c r="B36" s="113" t="inlineStr">
        <is>
          <t>w. murcott 4,9 ha</t>
        </is>
      </c>
      <c r="C36" s="113" t="inlineStr">
        <is>
          <t>1- M.O. directa</t>
        </is>
      </c>
      <c r="D36" s="113" t="inlineStr">
        <is>
          <t>14- Poda de sierrpes</t>
        </is>
      </c>
      <c r="E36" s="113" t="inlineStr">
        <is>
          <t>trato</t>
        </is>
      </c>
      <c r="F36" s="105" t="n">
        <v>7353.675</v>
      </c>
      <c r="G36" s="106" t="n">
        <v>30</v>
      </c>
      <c r="H36" s="107" t="n"/>
      <c r="I36" s="108">
        <f>IF(H36="","",G36*H36)</f>
        <v/>
      </c>
      <c r="J36" s="243">
        <f>IF(I36="","",F36-I36)</f>
        <v/>
      </c>
      <c r="K36" s="110">
        <f>IF(OR(I36="",F36=0),"",I36/F36)</f>
        <v/>
      </c>
      <c r="L36" s="111">
        <f>IF(K36="","⚪",IF(K36&gt;1.2,"🔴",IF(K36&gt;1.1,"🟡","🟢")))</f>
        <v/>
      </c>
      <c r="N36" s="105" t="n">
        <v>7353.675</v>
      </c>
      <c r="O36" s="106" t="n">
        <v>30</v>
      </c>
      <c r="P36" s="107" t="n"/>
      <c r="Q36" s="108">
        <f>IF(P36="","",O36*P36)</f>
        <v/>
      </c>
      <c r="R36" s="243">
        <f>IF(Q36="","",N36-Q36)</f>
        <v/>
      </c>
      <c r="S36" s="110">
        <f>IF(OR(Q36="",N36=0),"",Q36/N36)</f>
        <v/>
      </c>
      <c r="T36" s="111">
        <f>IF(S36="","⚪",IF(S36&gt;1.2,"🔴",IF(S36&gt;1.1,"🟡","🟢")))</f>
        <v/>
      </c>
      <c r="V36" s="105" t="n">
        <v>7353.675</v>
      </c>
      <c r="W36" s="106" t="n">
        <v>30</v>
      </c>
      <c r="X36" s="107" t="n"/>
      <c r="Y36" s="108">
        <f>IF(X36="","",W36*X36)</f>
        <v/>
      </c>
      <c r="Z36" s="243">
        <f>IF(Y36="","",V36-Y36)</f>
        <v/>
      </c>
      <c r="AA36" s="110">
        <f>IF(OR(Y36="",V36=0),"",Y36/V36)</f>
        <v/>
      </c>
      <c r="AB36" s="111">
        <f>IF(AA36="","⚪",IF(AA36&gt;1.2,"🔴",IF(AA36&gt;1.1,"🟡","🟢")))</f>
        <v/>
      </c>
      <c r="AD36" s="105" t="n">
        <v>7353.675</v>
      </c>
      <c r="AE36" s="106" t="n">
        <v>30</v>
      </c>
      <c r="AF36" s="107" t="n"/>
      <c r="AG36" s="108">
        <f>IF(AF36="","",AE36*AF36)</f>
        <v/>
      </c>
      <c r="AH36" s="243">
        <f>IF(AG36="","",AD36-AG36)</f>
        <v/>
      </c>
      <c r="AI36" s="110">
        <f>IF(OR(AG36="",AD36=0),"",AG36/AD36)</f>
        <v/>
      </c>
      <c r="AJ36" s="111">
        <f>IF(AI36="","⚪",IF(AI36&gt;1.2,"🔴",IF(AI36&gt;1.1,"🟡","🟢")))</f>
        <v/>
      </c>
    </row>
    <row r="37" ht="14" customHeight="1" s="176">
      <c r="A37" s="103" t="inlineStr">
        <is>
          <t>Asmara</t>
        </is>
      </c>
      <c r="B37" s="104" t="inlineStr">
        <is>
          <t>w. murcott 4,9 ha</t>
        </is>
      </c>
      <c r="C37" s="104" t="inlineStr">
        <is>
          <t>1- M.O. directa</t>
        </is>
      </c>
      <c r="D37" s="104" t="inlineStr">
        <is>
          <t>15- Poda primavera</t>
        </is>
      </c>
      <c r="E37" s="104" t="inlineStr">
        <is>
          <t>trato</t>
        </is>
      </c>
      <c r="F37" s="105" t="n">
        <v>147073.5</v>
      </c>
      <c r="G37" s="106" t="n">
        <v>900</v>
      </c>
      <c r="H37" s="107" t="n"/>
      <c r="I37" s="108">
        <f>IF(H37="","",G37*H37)</f>
        <v/>
      </c>
      <c r="J37" s="243">
        <f>IF(I37="","",F37-I37)</f>
        <v/>
      </c>
      <c r="K37" s="110">
        <f>IF(OR(I37="",F37=0),"",I37/F37)</f>
        <v/>
      </c>
      <c r="L37" s="111">
        <f>IF(K37="","⚪",IF(K37&gt;1.2,"🔴",IF(K37&gt;1.1,"🟡","🟢")))</f>
        <v/>
      </c>
      <c r="N37" s="105" t="n">
        <v>147073.5</v>
      </c>
      <c r="O37" s="106" t="n">
        <v>900</v>
      </c>
      <c r="P37" s="107" t="n"/>
      <c r="Q37" s="108">
        <f>IF(P37="","",O37*P37)</f>
        <v/>
      </c>
      <c r="R37" s="243">
        <f>IF(Q37="","",N37-Q37)</f>
        <v/>
      </c>
      <c r="S37" s="110">
        <f>IF(OR(Q37="",N37=0),"",Q37/N37)</f>
        <v/>
      </c>
      <c r="T37" s="111">
        <f>IF(S37="","⚪",IF(S37&gt;1.2,"🔴",IF(S37&gt;1.1,"🟡","🟢")))</f>
        <v/>
      </c>
      <c r="V37" s="105" t="n">
        <v>147073.5</v>
      </c>
      <c r="W37" s="106" t="n">
        <v>900</v>
      </c>
      <c r="X37" s="107" t="n"/>
      <c r="Y37" s="108">
        <f>IF(X37="","",W37*X37)</f>
        <v/>
      </c>
      <c r="Z37" s="243">
        <f>IF(Y37="","",V37-Y37)</f>
        <v/>
      </c>
      <c r="AA37" s="110">
        <f>IF(OR(Y37="",V37=0),"",Y37/V37)</f>
        <v/>
      </c>
      <c r="AB37" s="111">
        <f>IF(AA37="","⚪",IF(AA37&gt;1.2,"🔴",IF(AA37&gt;1.1,"🟡","🟢")))</f>
        <v/>
      </c>
      <c r="AD37" s="105" t="n">
        <v>147073.5</v>
      </c>
      <c r="AE37" s="106" t="n">
        <v>900</v>
      </c>
      <c r="AF37" s="107" t="n"/>
      <c r="AG37" s="108">
        <f>IF(AF37="","",AE37*AF37)</f>
        <v/>
      </c>
      <c r="AH37" s="243">
        <f>IF(AG37="","",AD37-AG37)</f>
        <v/>
      </c>
      <c r="AI37" s="110">
        <f>IF(OR(AG37="",AD37=0),"",AG37/AD37)</f>
        <v/>
      </c>
      <c r="AJ37" s="111">
        <f>IF(AI37="","⚪",IF(AI37&gt;1.2,"🔴",IF(AI37&gt;1.1,"🟡","🟢")))</f>
        <v/>
      </c>
    </row>
    <row r="38" ht="14" customHeight="1" s="176">
      <c r="A38" s="112" t="inlineStr">
        <is>
          <t>Asmara</t>
        </is>
      </c>
      <c r="B38" s="113" t="inlineStr">
        <is>
          <t>w. murcott 4,9 ha</t>
        </is>
      </c>
      <c r="C38" s="113" t="inlineStr">
        <is>
          <t>1- M.O. directa</t>
        </is>
      </c>
      <c r="D38" s="113" t="inlineStr">
        <is>
          <t>16- Supervisor poda</t>
        </is>
      </c>
      <c r="E38" s="113" t="inlineStr">
        <is>
          <t>día</t>
        </is>
      </c>
      <c r="F38" s="105" t="n">
        <v>12256.125</v>
      </c>
      <c r="G38" s="106" t="n">
        <v>75</v>
      </c>
      <c r="H38" s="107" t="n"/>
      <c r="I38" s="108">
        <f>IF(H38="","",G38*H38)</f>
        <v/>
      </c>
      <c r="J38" s="243">
        <f>IF(I38="","",F38-I38)</f>
        <v/>
      </c>
      <c r="K38" s="110">
        <f>IF(OR(I38="",F38=0),"",I38/F38)</f>
        <v/>
      </c>
      <c r="L38" s="111">
        <f>IF(K38="","⚪",IF(K38&gt;1.2,"🔴",IF(K38&gt;1.1,"🟡","🟢")))</f>
        <v/>
      </c>
      <c r="N38" s="105" t="n">
        <v>12256.125</v>
      </c>
      <c r="O38" s="106" t="n">
        <v>75</v>
      </c>
      <c r="P38" s="107" t="n"/>
      <c r="Q38" s="108">
        <f>IF(P38="","",O38*P38)</f>
        <v/>
      </c>
      <c r="R38" s="243">
        <f>IF(Q38="","",N38-Q38)</f>
        <v/>
      </c>
      <c r="S38" s="110">
        <f>IF(OR(Q38="",N38=0),"",Q38/N38)</f>
        <v/>
      </c>
      <c r="T38" s="111">
        <f>IF(S38="","⚪",IF(S38&gt;1.2,"🔴",IF(S38&gt;1.1,"🟡","🟢")))</f>
        <v/>
      </c>
      <c r="V38" s="105" t="n">
        <v>12256.125</v>
      </c>
      <c r="W38" s="106" t="n">
        <v>75</v>
      </c>
      <c r="X38" s="107" t="n"/>
      <c r="Y38" s="108">
        <f>IF(X38="","",W38*X38)</f>
        <v/>
      </c>
      <c r="Z38" s="243">
        <f>IF(Y38="","",V38-Y38)</f>
        <v/>
      </c>
      <c r="AA38" s="110">
        <f>IF(OR(Y38="",V38=0),"",Y38/V38)</f>
        <v/>
      </c>
      <c r="AB38" s="111">
        <f>IF(AA38="","⚪",IF(AA38&gt;1.2,"🔴",IF(AA38&gt;1.1,"🟡","🟢")))</f>
        <v/>
      </c>
      <c r="AD38" s="105" t="n">
        <v>12256.125</v>
      </c>
      <c r="AE38" s="106" t="n">
        <v>75</v>
      </c>
      <c r="AF38" s="107" t="n"/>
      <c r="AG38" s="108">
        <f>IF(AF38="","",AE38*AF38)</f>
        <v/>
      </c>
      <c r="AH38" s="243">
        <f>IF(AG38="","",AD38-AG38)</f>
        <v/>
      </c>
      <c r="AI38" s="110">
        <f>IF(OR(AG38="",AD38=0),"",AG38/AD38)</f>
        <v/>
      </c>
      <c r="AJ38" s="111">
        <f>IF(AI38="","⚪",IF(AI38&gt;1.2,"🔴",IF(AI38&gt;1.1,"🟡","🟢")))</f>
        <v/>
      </c>
    </row>
    <row r="39" ht="14" customHeight="1" s="176">
      <c r="A39" s="103" t="inlineStr">
        <is>
          <t>Asmara</t>
        </is>
      </c>
      <c r="B39" s="104" t="inlineStr">
        <is>
          <t>w. murcott 4,9 ha</t>
        </is>
      </c>
      <c r="C39" s="104" t="inlineStr">
        <is>
          <t>1- M.O. directa</t>
        </is>
      </c>
      <c r="D39" s="104" t="inlineStr">
        <is>
          <t>17- Recepción, pesaje y despacho</t>
        </is>
      </c>
      <c r="E39" s="104" t="inlineStr">
        <is>
          <t>día</t>
        </is>
      </c>
      <c r="F39" s="105" t="n">
        <v>14700</v>
      </c>
      <c r="G39" s="106" t="n">
        <v>1.2</v>
      </c>
      <c r="H39" s="107" t="n"/>
      <c r="I39" s="108">
        <f>IF(H39="","",G39*H39)</f>
        <v/>
      </c>
      <c r="J39" s="243">
        <f>IF(I39="","",F39-I39)</f>
        <v/>
      </c>
      <c r="K39" s="110">
        <f>IF(OR(I39="",F39=0),"",I39/F39)</f>
        <v/>
      </c>
      <c r="L39" s="111">
        <f>IF(K39="","⚪",IF(K39&gt;1.2,"🔴",IF(K39&gt;1.1,"🟡","🟢")))</f>
        <v/>
      </c>
      <c r="N39" s="105" t="n">
        <v>14700</v>
      </c>
      <c r="O39" s="106" t="n">
        <v>1.2</v>
      </c>
      <c r="P39" s="107" t="n"/>
      <c r="Q39" s="108">
        <f>IF(P39="","",O39*P39)</f>
        <v/>
      </c>
      <c r="R39" s="243">
        <f>IF(Q39="","",N39-Q39)</f>
        <v/>
      </c>
      <c r="S39" s="110">
        <f>IF(OR(Q39="",N39=0),"",Q39/N39)</f>
        <v/>
      </c>
      <c r="T39" s="111">
        <f>IF(S39="","⚪",IF(S39&gt;1.2,"🔴",IF(S39&gt;1.1,"🟡","🟢")))</f>
        <v/>
      </c>
      <c r="V39" s="105" t="n">
        <v>14700</v>
      </c>
      <c r="W39" s="106" t="n">
        <v>1.2</v>
      </c>
      <c r="X39" s="107" t="n"/>
      <c r="Y39" s="108">
        <f>IF(X39="","",W39*X39)</f>
        <v/>
      </c>
      <c r="Z39" s="243">
        <f>IF(Y39="","",V39-Y39)</f>
        <v/>
      </c>
      <c r="AA39" s="110">
        <f>IF(OR(Y39="",V39=0),"",Y39/V39)</f>
        <v/>
      </c>
      <c r="AB39" s="111">
        <f>IF(AA39="","⚪",IF(AA39&gt;1.2,"🔴",IF(AA39&gt;1.1,"🟡","🟢")))</f>
        <v/>
      </c>
      <c r="AD39" s="105" t="n">
        <v>14700</v>
      </c>
      <c r="AE39" s="106" t="n">
        <v>1.2</v>
      </c>
      <c r="AF39" s="107" t="n"/>
      <c r="AG39" s="108">
        <f>IF(AF39="","",AE39*AF39)</f>
        <v/>
      </c>
      <c r="AH39" s="243">
        <f>IF(AG39="","",AD39-AG39)</f>
        <v/>
      </c>
      <c r="AI39" s="110">
        <f>IF(OR(AG39="",AD39=0),"",AG39/AD39)</f>
        <v/>
      </c>
      <c r="AJ39" s="111">
        <f>IF(AI39="","⚪",IF(AI39&gt;1.2,"🔴",IF(AI39&gt;1.1,"🟡","🟢")))</f>
        <v/>
      </c>
    </row>
    <row r="40" ht="14" customHeight="1" s="176">
      <c r="A40" s="112" t="inlineStr">
        <is>
          <t>Asmara</t>
        </is>
      </c>
      <c r="B40" s="113" t="inlineStr">
        <is>
          <t>w. murcott 4,9 ha</t>
        </is>
      </c>
      <c r="C40" s="113" t="inlineStr">
        <is>
          <t>1- M.O. directa</t>
        </is>
      </c>
      <c r="D40" s="113" t="inlineStr">
        <is>
          <t>2- Supervisor cosecha</t>
        </is>
      </c>
      <c r="E40" s="113" t="inlineStr">
        <is>
          <t>día</t>
        </is>
      </c>
      <c r="F40" s="105" t="n">
        <v>85750</v>
      </c>
      <c r="G40" s="106" t="n">
        <v>7</v>
      </c>
      <c r="H40" s="107" t="n"/>
      <c r="I40" s="108">
        <f>IF(H40="","",G40*H40)</f>
        <v/>
      </c>
      <c r="J40" s="243">
        <f>IF(I40="","",F40-I40)</f>
        <v/>
      </c>
      <c r="K40" s="110">
        <f>IF(OR(I40="",F40=0),"",I40/F40)</f>
        <v/>
      </c>
      <c r="L40" s="111">
        <f>IF(K40="","⚪",IF(K40&gt;1.2,"🔴",IF(K40&gt;1.1,"🟡","🟢")))</f>
        <v/>
      </c>
      <c r="N40" s="105" t="n">
        <v>85750</v>
      </c>
      <c r="O40" s="106" t="n">
        <v>7</v>
      </c>
      <c r="P40" s="107" t="n"/>
      <c r="Q40" s="108">
        <f>IF(P40="","",O40*P40)</f>
        <v/>
      </c>
      <c r="R40" s="243">
        <f>IF(Q40="","",N40-Q40)</f>
        <v/>
      </c>
      <c r="S40" s="110">
        <f>IF(OR(Q40="",N40=0),"",Q40/N40)</f>
        <v/>
      </c>
      <c r="T40" s="111">
        <f>IF(S40="","⚪",IF(S40&gt;1.2,"🔴",IF(S40&gt;1.1,"🟡","🟢")))</f>
        <v/>
      </c>
      <c r="V40" s="105" t="n">
        <v>85750</v>
      </c>
      <c r="W40" s="106" t="n">
        <v>7</v>
      </c>
      <c r="X40" s="107" t="n"/>
      <c r="Y40" s="108">
        <f>IF(X40="","",W40*X40)</f>
        <v/>
      </c>
      <c r="Z40" s="243">
        <f>IF(Y40="","",V40-Y40)</f>
        <v/>
      </c>
      <c r="AA40" s="110">
        <f>IF(OR(Y40="",V40=0),"",Y40/V40)</f>
        <v/>
      </c>
      <c r="AB40" s="111">
        <f>IF(AA40="","⚪",IF(AA40&gt;1.2,"🔴",IF(AA40&gt;1.1,"🟡","🟢")))</f>
        <v/>
      </c>
      <c r="AD40" s="105" t="n">
        <v>85750</v>
      </c>
      <c r="AE40" s="106" t="n">
        <v>7</v>
      </c>
      <c r="AF40" s="107" t="n"/>
      <c r="AG40" s="108">
        <f>IF(AF40="","",AE40*AF40)</f>
        <v/>
      </c>
      <c r="AH40" s="243">
        <f>IF(AG40="","",AD40-AG40)</f>
        <v/>
      </c>
      <c r="AI40" s="110">
        <f>IF(OR(AG40="",AD40=0),"",AG40/AD40)</f>
        <v/>
      </c>
      <c r="AJ40" s="111">
        <f>IF(AI40="","⚪",IF(AI40&gt;1.2,"🔴",IF(AI40&gt;1.1,"🟡","🟢")))</f>
        <v/>
      </c>
    </row>
    <row r="41" ht="14" customHeight="1" s="176">
      <c r="A41" s="103" t="inlineStr">
        <is>
          <t>Asmara</t>
        </is>
      </c>
      <c r="B41" s="104" t="inlineStr">
        <is>
          <t>w. murcott 4,9 ha</t>
        </is>
      </c>
      <c r="C41" s="104" t="inlineStr">
        <is>
          <t>1- M.O. directa</t>
        </is>
      </c>
      <c r="D41" s="104" t="inlineStr">
        <is>
          <t>23- Guanteo de corona</t>
        </is>
      </c>
      <c r="E41" s="104" t="inlineStr">
        <is>
          <t>trato</t>
        </is>
      </c>
      <c r="F41" s="105" t="n">
        <v>117658.8</v>
      </c>
      <c r="G41" s="106" t="n">
        <v>180</v>
      </c>
      <c r="H41" s="107" t="n"/>
      <c r="I41" s="108">
        <f>IF(H41="","",G41*H41)</f>
        <v/>
      </c>
      <c r="J41" s="243">
        <f>IF(I41="","",F41-I41)</f>
        <v/>
      </c>
      <c r="K41" s="110">
        <f>IF(OR(I41="",F41=0),"",I41/F41)</f>
        <v/>
      </c>
      <c r="L41" s="111">
        <f>IF(K41="","⚪",IF(K41&gt;1.2,"🔴",IF(K41&gt;1.1,"🟡","🟢")))</f>
        <v/>
      </c>
      <c r="N41" s="105" t="n">
        <v>117658.8</v>
      </c>
      <c r="O41" s="106" t="n">
        <v>180</v>
      </c>
      <c r="P41" s="107" t="n"/>
      <c r="Q41" s="108">
        <f>IF(P41="","",O41*P41)</f>
        <v/>
      </c>
      <c r="R41" s="243">
        <f>IF(Q41="","",N41-Q41)</f>
        <v/>
      </c>
      <c r="S41" s="110">
        <f>IF(OR(Q41="",N41=0),"",Q41/N41)</f>
        <v/>
      </c>
      <c r="T41" s="111">
        <f>IF(S41="","⚪",IF(S41&gt;1.2,"🔴",IF(S41&gt;1.1,"🟡","🟢")))</f>
        <v/>
      </c>
      <c r="V41" s="105" t="n">
        <v>117658.8</v>
      </c>
      <c r="W41" s="106" t="n">
        <v>180</v>
      </c>
      <c r="X41" s="107" t="n"/>
      <c r="Y41" s="108">
        <f>IF(X41="","",W41*X41)</f>
        <v/>
      </c>
      <c r="Z41" s="243">
        <f>IF(Y41="","",V41-Y41)</f>
        <v/>
      </c>
      <c r="AA41" s="110">
        <f>IF(OR(Y41="",V41=0),"",Y41/V41)</f>
        <v/>
      </c>
      <c r="AB41" s="111">
        <f>IF(AA41="","⚪",IF(AA41&gt;1.2,"🔴",IF(AA41&gt;1.1,"🟡","🟢")))</f>
        <v/>
      </c>
      <c r="AD41" s="105" t="n">
        <v>117658.8</v>
      </c>
      <c r="AE41" s="106" t="n">
        <v>180</v>
      </c>
      <c r="AF41" s="107" t="n"/>
      <c r="AG41" s="108">
        <f>IF(AF41="","",AE41*AF41)</f>
        <v/>
      </c>
      <c r="AH41" s="243">
        <f>IF(AG41="","",AD41-AG41)</f>
        <v/>
      </c>
      <c r="AI41" s="110">
        <f>IF(OR(AG41="",AD41=0),"",AG41/AD41)</f>
        <v/>
      </c>
      <c r="AJ41" s="111">
        <f>IF(AI41="","⚪",IF(AI41&gt;1.2,"🔴",IF(AI41&gt;1.1,"🟡","🟢")))</f>
        <v/>
      </c>
    </row>
    <row r="42" ht="14" customHeight="1" s="176">
      <c r="A42" s="112" t="inlineStr">
        <is>
          <t>Asmara</t>
        </is>
      </c>
      <c r="B42" s="113" t="inlineStr">
        <is>
          <t>w. murcott 4,9 ha</t>
        </is>
      </c>
      <c r="C42" s="113" t="inlineStr">
        <is>
          <t>1- M.O. directa</t>
        </is>
      </c>
      <c r="D42" s="113" t="inlineStr">
        <is>
          <t>3,1- Tractorista cosecha</t>
        </is>
      </c>
      <c r="E42" s="113" t="inlineStr">
        <is>
          <t>día</t>
        </is>
      </c>
      <c r="F42" s="105" t="n">
        <v>49000</v>
      </c>
      <c r="G42" s="106" t="n">
        <v>4</v>
      </c>
      <c r="H42" s="107" t="n"/>
      <c r="I42" s="108">
        <f>IF(H42="","",G42*H42)</f>
        <v/>
      </c>
      <c r="J42" s="243">
        <f>IF(I42="","",F42-I42)</f>
        <v/>
      </c>
      <c r="K42" s="110">
        <f>IF(OR(I42="",F42=0),"",I42/F42)</f>
        <v/>
      </c>
      <c r="L42" s="111">
        <f>IF(K42="","⚪",IF(K42&gt;1.2,"🔴",IF(K42&gt;1.1,"🟡","🟢")))</f>
        <v/>
      </c>
      <c r="N42" s="105" t="n">
        <v>49000</v>
      </c>
      <c r="O42" s="106" t="n">
        <v>4</v>
      </c>
      <c r="P42" s="107" t="n"/>
      <c r="Q42" s="108">
        <f>IF(P42="","",O42*P42)</f>
        <v/>
      </c>
      <c r="R42" s="243">
        <f>IF(Q42="","",N42-Q42)</f>
        <v/>
      </c>
      <c r="S42" s="110">
        <f>IF(OR(Q42="",N42=0),"",Q42/N42)</f>
        <v/>
      </c>
      <c r="T42" s="111">
        <f>IF(S42="","⚪",IF(S42&gt;1.2,"🔴",IF(S42&gt;1.1,"🟡","🟢")))</f>
        <v/>
      </c>
      <c r="V42" s="105" t="n">
        <v>49000</v>
      </c>
      <c r="W42" s="106" t="n">
        <v>4</v>
      </c>
      <c r="X42" s="107" t="n"/>
      <c r="Y42" s="108">
        <f>IF(X42="","",W42*X42)</f>
        <v/>
      </c>
      <c r="Z42" s="243">
        <f>IF(Y42="","",V42-Y42)</f>
        <v/>
      </c>
      <c r="AA42" s="110">
        <f>IF(OR(Y42="",V42=0),"",Y42/V42)</f>
        <v/>
      </c>
      <c r="AB42" s="111">
        <f>IF(AA42="","⚪",IF(AA42&gt;1.2,"🔴",IF(AA42&gt;1.1,"🟡","🟢")))</f>
        <v/>
      </c>
      <c r="AD42" s="105" t="n">
        <v>49000</v>
      </c>
      <c r="AE42" s="106" t="n">
        <v>4</v>
      </c>
      <c r="AF42" s="107" t="n"/>
      <c r="AG42" s="108">
        <f>IF(AF42="","",AE42*AF42)</f>
        <v/>
      </c>
      <c r="AH42" s="243">
        <f>IF(AG42="","",AD42-AG42)</f>
        <v/>
      </c>
      <c r="AI42" s="110">
        <f>IF(OR(AG42="",AD42=0),"",AG42/AD42)</f>
        <v/>
      </c>
      <c r="AJ42" s="111">
        <f>IF(AI42="","⚪",IF(AI42&gt;1.2,"🔴",IF(AI42&gt;1.1,"🟡","🟢")))</f>
        <v/>
      </c>
    </row>
    <row r="43" ht="14" customHeight="1" s="176">
      <c r="A43" s="103" t="inlineStr">
        <is>
          <t>Asmara</t>
        </is>
      </c>
      <c r="B43" s="104" t="inlineStr">
        <is>
          <t>w. murcott 4,9 ha</t>
        </is>
      </c>
      <c r="C43" s="104" t="inlineStr">
        <is>
          <t>1- M.O. directa</t>
        </is>
      </c>
      <c r="D43" s="104" t="inlineStr">
        <is>
          <t>3- Selección</t>
        </is>
      </c>
      <c r="E43" s="104" t="inlineStr">
        <is>
          <t>trato</t>
        </is>
      </c>
      <c r="F43" s="105" t="n">
        <v>220500</v>
      </c>
      <c r="G43" s="106" t="n">
        <v>18</v>
      </c>
      <c r="H43" s="107" t="n"/>
      <c r="I43" s="108">
        <f>IF(H43="","",G43*H43)</f>
        <v/>
      </c>
      <c r="J43" s="243">
        <f>IF(I43="","",F43-I43)</f>
        <v/>
      </c>
      <c r="K43" s="110">
        <f>IF(OR(I43="",F43=0),"",I43/F43)</f>
        <v/>
      </c>
      <c r="L43" s="111">
        <f>IF(K43="","⚪",IF(K43&gt;1.2,"🔴",IF(K43&gt;1.1,"🟡","🟢")))</f>
        <v/>
      </c>
      <c r="N43" s="105" t="n">
        <v>220500</v>
      </c>
      <c r="O43" s="106" t="n">
        <v>18</v>
      </c>
      <c r="P43" s="107" t="n"/>
      <c r="Q43" s="108">
        <f>IF(P43="","",O43*P43)</f>
        <v/>
      </c>
      <c r="R43" s="243">
        <f>IF(Q43="","",N43-Q43)</f>
        <v/>
      </c>
      <c r="S43" s="110">
        <f>IF(OR(Q43="",N43=0),"",Q43/N43)</f>
        <v/>
      </c>
      <c r="T43" s="111">
        <f>IF(S43="","⚪",IF(S43&gt;1.2,"🔴",IF(S43&gt;1.1,"🟡","🟢")))</f>
        <v/>
      </c>
      <c r="V43" s="105" t="n">
        <v>220500</v>
      </c>
      <c r="W43" s="106" t="n">
        <v>18</v>
      </c>
      <c r="X43" s="107" t="n"/>
      <c r="Y43" s="108">
        <f>IF(X43="","",W43*X43)</f>
        <v/>
      </c>
      <c r="Z43" s="243">
        <f>IF(Y43="","",V43-Y43)</f>
        <v/>
      </c>
      <c r="AA43" s="110">
        <f>IF(OR(Y43="",V43=0),"",Y43/V43)</f>
        <v/>
      </c>
      <c r="AB43" s="111">
        <f>IF(AA43="","⚪",IF(AA43&gt;1.2,"🔴",IF(AA43&gt;1.1,"🟡","🟢")))</f>
        <v/>
      </c>
      <c r="AD43" s="105" t="n">
        <v>220500</v>
      </c>
      <c r="AE43" s="106" t="n">
        <v>18</v>
      </c>
      <c r="AF43" s="107" t="n"/>
      <c r="AG43" s="108">
        <f>IF(AF43="","",AE43*AF43)</f>
        <v/>
      </c>
      <c r="AH43" s="243">
        <f>IF(AG43="","",AD43-AG43)</f>
        <v/>
      </c>
      <c r="AI43" s="110">
        <f>IF(OR(AG43="",AD43=0),"",AG43/AD43)</f>
        <v/>
      </c>
      <c r="AJ43" s="111">
        <f>IF(AI43="","⚪",IF(AI43&gt;1.2,"🔴",IF(AI43&gt;1.1,"🟡","🟢")))</f>
        <v/>
      </c>
    </row>
    <row r="44" ht="14" customHeight="1" s="176">
      <c r="A44" s="112" t="inlineStr">
        <is>
          <t>Asmara</t>
        </is>
      </c>
      <c r="B44" s="113" t="inlineStr">
        <is>
          <t>w. murcott 4,9 ha</t>
        </is>
      </c>
      <c r="C44" s="113" t="inlineStr">
        <is>
          <t>1- M.O. directa</t>
        </is>
      </c>
      <c r="D44" s="113" t="inlineStr">
        <is>
          <t>4- Grua</t>
        </is>
      </c>
      <c r="E44" s="113" t="inlineStr">
        <is>
          <t>día</t>
        </is>
      </c>
      <c r="F44" s="105" t="n">
        <v>18375</v>
      </c>
      <c r="G44" s="106" t="n">
        <v>1.5</v>
      </c>
      <c r="H44" s="107" t="n"/>
      <c r="I44" s="108">
        <f>IF(H44="","",G44*H44)</f>
        <v/>
      </c>
      <c r="J44" s="243">
        <f>IF(I44="","",F44-I44)</f>
        <v/>
      </c>
      <c r="K44" s="110">
        <f>IF(OR(I44="",F44=0),"",I44/F44)</f>
        <v/>
      </c>
      <c r="L44" s="111">
        <f>IF(K44="","⚪",IF(K44&gt;1.2,"🔴",IF(K44&gt;1.1,"🟡","🟢")))</f>
        <v/>
      </c>
      <c r="N44" s="105" t="n">
        <v>18375</v>
      </c>
      <c r="O44" s="106" t="n">
        <v>1.5</v>
      </c>
      <c r="P44" s="107" t="n"/>
      <c r="Q44" s="108">
        <f>IF(P44="","",O44*P44)</f>
        <v/>
      </c>
      <c r="R44" s="243">
        <f>IF(Q44="","",N44-Q44)</f>
        <v/>
      </c>
      <c r="S44" s="110">
        <f>IF(OR(Q44="",N44=0),"",Q44/N44)</f>
        <v/>
      </c>
      <c r="T44" s="111">
        <f>IF(S44="","⚪",IF(S44&gt;1.2,"🔴",IF(S44&gt;1.1,"🟡","🟢")))</f>
        <v/>
      </c>
      <c r="V44" s="105" t="n">
        <v>18375</v>
      </c>
      <c r="W44" s="106" t="n">
        <v>1.5</v>
      </c>
      <c r="X44" s="107" t="n"/>
      <c r="Y44" s="108">
        <f>IF(X44="","",W44*X44)</f>
        <v/>
      </c>
      <c r="Z44" s="243">
        <f>IF(Y44="","",V44-Y44)</f>
        <v/>
      </c>
      <c r="AA44" s="110">
        <f>IF(OR(Y44="",V44=0),"",Y44/V44)</f>
        <v/>
      </c>
      <c r="AB44" s="111">
        <f>IF(AA44="","⚪",IF(AA44&gt;1.2,"🔴",IF(AA44&gt;1.1,"🟡","🟢")))</f>
        <v/>
      </c>
      <c r="AD44" s="105" t="n">
        <v>18375</v>
      </c>
      <c r="AE44" s="106" t="n">
        <v>1.5</v>
      </c>
      <c r="AF44" s="107" t="n"/>
      <c r="AG44" s="108">
        <f>IF(AF44="","",AE44*AF44)</f>
        <v/>
      </c>
      <c r="AH44" s="243">
        <f>IF(AG44="","",AD44-AG44)</f>
        <v/>
      </c>
      <c r="AI44" s="110">
        <f>IF(OR(AG44="",AD44=0),"",AG44/AD44)</f>
        <v/>
      </c>
      <c r="AJ44" s="111">
        <f>IF(AI44="","⚪",IF(AI44&gt;1.2,"🔴",IF(AI44&gt;1.1,"🟡","🟢")))</f>
        <v/>
      </c>
    </row>
    <row r="45" ht="14" customHeight="1" s="176">
      <c r="A45" s="103" t="inlineStr">
        <is>
          <t>Asmara</t>
        </is>
      </c>
      <c r="B45" s="104" t="inlineStr">
        <is>
          <t>w. murcott 4,9 ha</t>
        </is>
      </c>
      <c r="C45" s="104" t="inlineStr">
        <is>
          <t>1- M.O. directa</t>
        </is>
      </c>
      <c r="D45" s="104" t="inlineStr">
        <is>
          <t>5- Control de malezas mecánico</t>
        </is>
      </c>
      <c r="E45" s="104" t="inlineStr">
        <is>
          <t>trato</t>
        </is>
      </c>
      <c r="F45" s="105" t="n">
        <v>32683</v>
      </c>
      <c r="G45" s="106" t="n">
        <v>100</v>
      </c>
      <c r="H45" s="107" t="n"/>
      <c r="I45" s="108">
        <f>IF(H45="","",G45*H45)</f>
        <v/>
      </c>
      <c r="J45" s="243">
        <f>IF(I45="","",F45-I45)</f>
        <v/>
      </c>
      <c r="K45" s="110">
        <f>IF(OR(I45="",F45=0),"",I45/F45)</f>
        <v/>
      </c>
      <c r="L45" s="111">
        <f>IF(K45="","⚪",IF(K45&gt;1.2,"🔴",IF(K45&gt;1.1,"🟡","🟢")))</f>
        <v/>
      </c>
      <c r="N45" s="105" t="n">
        <v>32683</v>
      </c>
      <c r="O45" s="106" t="n">
        <v>100</v>
      </c>
      <c r="P45" s="107" t="n"/>
      <c r="Q45" s="108">
        <f>IF(P45="","",O45*P45)</f>
        <v/>
      </c>
      <c r="R45" s="243">
        <f>IF(Q45="","",N45-Q45)</f>
        <v/>
      </c>
      <c r="S45" s="110">
        <f>IF(OR(Q45="",N45=0),"",Q45/N45)</f>
        <v/>
      </c>
      <c r="T45" s="111">
        <f>IF(S45="","⚪",IF(S45&gt;1.2,"🔴",IF(S45&gt;1.1,"🟡","🟢")))</f>
        <v/>
      </c>
      <c r="V45" s="105" t="n">
        <v>32683</v>
      </c>
      <c r="W45" s="106" t="n">
        <v>100</v>
      </c>
      <c r="X45" s="107" t="n"/>
      <c r="Y45" s="108">
        <f>IF(X45="","",W45*X45)</f>
        <v/>
      </c>
      <c r="Z45" s="243">
        <f>IF(Y45="","",V45-Y45)</f>
        <v/>
      </c>
      <c r="AA45" s="110">
        <f>IF(OR(Y45="",V45=0),"",Y45/V45)</f>
        <v/>
      </c>
      <c r="AB45" s="111">
        <f>IF(AA45="","⚪",IF(AA45&gt;1.2,"🔴",IF(AA45&gt;1.1,"🟡","🟢")))</f>
        <v/>
      </c>
      <c r="AD45" s="105" t="n">
        <v>32683</v>
      </c>
      <c r="AE45" s="106" t="n">
        <v>100</v>
      </c>
      <c r="AF45" s="107" t="n"/>
      <c r="AG45" s="108">
        <f>IF(AF45="","",AE45*AF45)</f>
        <v/>
      </c>
      <c r="AH45" s="243">
        <f>IF(AG45="","",AD45-AG45)</f>
        <v/>
      </c>
      <c r="AI45" s="110">
        <f>IF(OR(AG45="",AD45=0),"",AG45/AD45)</f>
        <v/>
      </c>
      <c r="AJ45" s="111">
        <f>IF(AI45="","⚪",IF(AI45&gt;1.2,"🔴",IF(AI45&gt;1.1,"🟡","🟢")))</f>
        <v/>
      </c>
    </row>
    <row r="46" ht="14" customHeight="1" s="176">
      <c r="A46" s="112" t="inlineStr">
        <is>
          <t>Asmara</t>
        </is>
      </c>
      <c r="B46" s="113" t="inlineStr">
        <is>
          <t>w. murcott 4,9 ha</t>
        </is>
      </c>
      <c r="C46" s="113" t="inlineStr">
        <is>
          <t>1- M.O. directa</t>
        </is>
      </c>
      <c r="D46" s="113" t="inlineStr">
        <is>
          <t>6- Control de malezas químico</t>
        </is>
      </c>
      <c r="E46" s="113" t="inlineStr">
        <is>
          <t>día</t>
        </is>
      </c>
      <c r="F46" s="105" t="n">
        <v>53287.5</v>
      </c>
      <c r="G46" s="106" t="n">
        <v>43500</v>
      </c>
      <c r="H46" s="107" t="n"/>
      <c r="I46" s="108">
        <f>IF(H46="","",G46*H46)</f>
        <v/>
      </c>
      <c r="J46" s="243">
        <f>IF(I46="","",F46-I46)</f>
        <v/>
      </c>
      <c r="K46" s="110">
        <f>IF(OR(I46="",F46=0),"",I46/F46)</f>
        <v/>
      </c>
      <c r="L46" s="111">
        <f>IF(K46="","⚪",IF(K46&gt;1.2,"🔴",IF(K46&gt;1.1,"🟡","🟢")))</f>
        <v/>
      </c>
      <c r="N46" s="105" t="n">
        <v>53287.5</v>
      </c>
      <c r="O46" s="106" t="n">
        <v>43500</v>
      </c>
      <c r="P46" s="107" t="n"/>
      <c r="Q46" s="108">
        <f>IF(P46="","",O46*P46)</f>
        <v/>
      </c>
      <c r="R46" s="243">
        <f>IF(Q46="","",N46-Q46)</f>
        <v/>
      </c>
      <c r="S46" s="110">
        <f>IF(OR(Q46="",N46=0),"",Q46/N46)</f>
        <v/>
      </c>
      <c r="T46" s="111">
        <f>IF(S46="","⚪",IF(S46&gt;1.2,"🔴",IF(S46&gt;1.1,"🟡","🟢")))</f>
        <v/>
      </c>
      <c r="V46" s="105" t="n">
        <v>53287.5</v>
      </c>
      <c r="W46" s="106" t="n">
        <v>43500</v>
      </c>
      <c r="X46" s="107" t="n"/>
      <c r="Y46" s="108">
        <f>IF(X46="","",W46*X46)</f>
        <v/>
      </c>
      <c r="Z46" s="243">
        <f>IF(Y46="","",V46-Y46)</f>
        <v/>
      </c>
      <c r="AA46" s="110">
        <f>IF(OR(Y46="",V46=0),"",Y46/V46)</f>
        <v/>
      </c>
      <c r="AB46" s="111">
        <f>IF(AA46="","⚪",IF(AA46&gt;1.2,"🔴",IF(AA46&gt;1.1,"🟡","🟢")))</f>
        <v/>
      </c>
      <c r="AD46" s="105" t="n">
        <v>53287.5</v>
      </c>
      <c r="AE46" s="106" t="n">
        <v>43500</v>
      </c>
      <c r="AF46" s="107" t="n"/>
      <c r="AG46" s="108">
        <f>IF(AF46="","",AE46*AF46)</f>
        <v/>
      </c>
      <c r="AH46" s="243">
        <f>IF(AG46="","",AD46-AG46)</f>
        <v/>
      </c>
      <c r="AI46" s="110">
        <f>IF(OR(AG46="",AD46=0),"",AG46/AD46)</f>
        <v/>
      </c>
      <c r="AJ46" s="111">
        <f>IF(AI46="","⚪",IF(AI46&gt;1.2,"🔴",IF(AI46&gt;1.1,"🟡","🟢")))</f>
        <v/>
      </c>
    </row>
    <row r="47" ht="14" customHeight="1" s="176">
      <c r="A47" s="103" t="inlineStr">
        <is>
          <t>Asmara</t>
        </is>
      </c>
      <c r="B47" s="104" t="inlineStr">
        <is>
          <t>w. murcott 4,9 ha</t>
        </is>
      </c>
      <c r="C47" s="104" t="inlineStr">
        <is>
          <t>1- M.O. directa</t>
        </is>
      </c>
      <c r="D47" s="104" t="inlineStr">
        <is>
          <t>7,1- TRACTORISTA</t>
        </is>
      </c>
      <c r="E47" s="104" t="inlineStr">
        <is>
          <t>día</t>
        </is>
      </c>
      <c r="F47" s="105" t="n">
        <v>93062.75999999999</v>
      </c>
      <c r="G47" s="106" t="n">
        <v>38000</v>
      </c>
      <c r="H47" s="107" t="n"/>
      <c r="I47" s="108">
        <f>IF(H47="","",G47*H47)</f>
        <v/>
      </c>
      <c r="J47" s="243">
        <f>IF(I47="","",F47-I47)</f>
        <v/>
      </c>
      <c r="K47" s="110">
        <f>IF(OR(I47="",F47=0),"",I47/F47)</f>
        <v/>
      </c>
      <c r="L47" s="111">
        <f>IF(K47="","⚪",IF(K47&gt;1.2,"🔴",IF(K47&gt;1.1,"🟡","🟢")))</f>
        <v/>
      </c>
      <c r="N47" s="105" t="n">
        <v>93062.75999999999</v>
      </c>
      <c r="O47" s="106" t="n">
        <v>38000</v>
      </c>
      <c r="P47" s="107" t="n"/>
      <c r="Q47" s="108">
        <f>IF(P47="","",O47*P47)</f>
        <v/>
      </c>
      <c r="R47" s="243">
        <f>IF(Q47="","",N47-Q47)</f>
        <v/>
      </c>
      <c r="S47" s="110">
        <f>IF(OR(Q47="",N47=0),"",Q47/N47)</f>
        <v/>
      </c>
      <c r="T47" s="111">
        <f>IF(S47="","⚪",IF(S47&gt;1.2,"🔴",IF(S47&gt;1.1,"🟡","🟢")))</f>
        <v/>
      </c>
      <c r="V47" s="105" t="n">
        <v>93062.75999999999</v>
      </c>
      <c r="W47" s="106" t="n">
        <v>38000</v>
      </c>
      <c r="X47" s="107" t="n"/>
      <c r="Y47" s="108">
        <f>IF(X47="","",W47*X47)</f>
        <v/>
      </c>
      <c r="Z47" s="243">
        <f>IF(Y47="","",V47-Y47)</f>
        <v/>
      </c>
      <c r="AA47" s="110">
        <f>IF(OR(Y47="",V47=0),"",Y47/V47)</f>
        <v/>
      </c>
      <c r="AB47" s="111">
        <f>IF(AA47="","⚪",IF(AA47&gt;1.2,"🔴",IF(AA47&gt;1.1,"🟡","🟢")))</f>
        <v/>
      </c>
      <c r="AD47" s="105" t="n">
        <v>93062.75999999999</v>
      </c>
      <c r="AE47" s="106" t="n">
        <v>38000</v>
      </c>
      <c r="AF47" s="107" t="n"/>
      <c r="AG47" s="108">
        <f>IF(AF47="","",AE47*AF47)</f>
        <v/>
      </c>
      <c r="AH47" s="243">
        <f>IF(AG47="","",AD47-AG47)</f>
        <v/>
      </c>
      <c r="AI47" s="110">
        <f>IF(OR(AG47="",AD47=0),"",AG47/AD47)</f>
        <v/>
      </c>
      <c r="AJ47" s="111">
        <f>IF(AI47="","⚪",IF(AI47&gt;1.2,"🔴",IF(AI47&gt;1.1,"🟡","🟢")))</f>
        <v/>
      </c>
    </row>
    <row r="48" ht="14" customHeight="1" s="176">
      <c r="A48" s="112" t="inlineStr">
        <is>
          <t>Asmara</t>
        </is>
      </c>
      <c r="B48" s="113" t="inlineStr">
        <is>
          <t>w. murcott 4,9 ha</t>
        </is>
      </c>
      <c r="C48" s="113" t="inlineStr">
        <is>
          <t>1- M.O. directa</t>
        </is>
      </c>
      <c r="D48" s="113" t="inlineStr">
        <is>
          <t>7- Acordonar sarmiento</t>
        </is>
      </c>
      <c r="E48" s="113" t="inlineStr">
        <is>
          <t>trato</t>
        </is>
      </c>
      <c r="F48" s="105" t="n">
        <v>11438</v>
      </c>
      <c r="G48" s="106" t="n">
        <v>70</v>
      </c>
      <c r="H48" s="107" t="n"/>
      <c r="I48" s="108">
        <f>IF(H48="","",G48*H48)</f>
        <v/>
      </c>
      <c r="J48" s="243">
        <f>IF(I48="","",F48-I48)</f>
        <v/>
      </c>
      <c r="K48" s="110">
        <f>IF(OR(I48="",F48=0),"",I48/F48)</f>
        <v/>
      </c>
      <c r="L48" s="111">
        <f>IF(K48="","⚪",IF(K48&gt;1.2,"🔴",IF(K48&gt;1.1,"🟡","🟢")))</f>
        <v/>
      </c>
      <c r="N48" s="105" t="n">
        <v>11438</v>
      </c>
      <c r="O48" s="106" t="n">
        <v>70</v>
      </c>
      <c r="P48" s="107" t="n"/>
      <c r="Q48" s="108">
        <f>IF(P48="","",O48*P48)</f>
        <v/>
      </c>
      <c r="R48" s="243">
        <f>IF(Q48="","",N48-Q48)</f>
        <v/>
      </c>
      <c r="S48" s="110">
        <f>IF(OR(Q48="",N48=0),"",Q48/N48)</f>
        <v/>
      </c>
      <c r="T48" s="111">
        <f>IF(S48="","⚪",IF(S48&gt;1.2,"🔴",IF(S48&gt;1.1,"🟡","🟢")))</f>
        <v/>
      </c>
      <c r="V48" s="105" t="n">
        <v>11438</v>
      </c>
      <c r="W48" s="106" t="n">
        <v>70</v>
      </c>
      <c r="X48" s="107" t="n"/>
      <c r="Y48" s="108">
        <f>IF(X48="","",W48*X48)</f>
        <v/>
      </c>
      <c r="Z48" s="243">
        <f>IF(Y48="","",V48-Y48)</f>
        <v/>
      </c>
      <c r="AA48" s="110">
        <f>IF(OR(Y48="",V48=0),"",Y48/V48)</f>
        <v/>
      </c>
      <c r="AB48" s="111">
        <f>IF(AA48="","⚪",IF(AA48&gt;1.2,"🔴",IF(AA48&gt;1.1,"🟡","🟢")))</f>
        <v/>
      </c>
      <c r="AD48" s="105" t="n">
        <v>11438</v>
      </c>
      <c r="AE48" s="106" t="n">
        <v>70</v>
      </c>
      <c r="AF48" s="107" t="n"/>
      <c r="AG48" s="108">
        <f>IF(AF48="","",AE48*AF48)</f>
        <v/>
      </c>
      <c r="AH48" s="243">
        <f>IF(AG48="","",AD48-AG48)</f>
        <v/>
      </c>
      <c r="AI48" s="110">
        <f>IF(OR(AG48="",AD48=0),"",AG48/AD48)</f>
        <v/>
      </c>
      <c r="AJ48" s="111">
        <f>IF(AI48="","⚪",IF(AI48&gt;1.2,"🔴",IF(AI48&gt;1.1,"🟡","🟢")))</f>
        <v/>
      </c>
    </row>
    <row r="49" ht="14" customHeight="1" s="176">
      <c r="A49" s="103" t="inlineStr">
        <is>
          <t>Asmara</t>
        </is>
      </c>
      <c r="B49" s="104" t="inlineStr">
        <is>
          <t>w. murcott 4,9 ha</t>
        </is>
      </c>
      <c r="C49" s="104" t="inlineStr">
        <is>
          <t>1- M.O. directa</t>
        </is>
      </c>
      <c r="D49" s="104" t="inlineStr">
        <is>
          <t>8- Mantención techo</t>
        </is>
      </c>
      <c r="E49" s="104" t="inlineStr">
        <is>
          <t>día</t>
        </is>
      </c>
      <c r="F49" s="105" t="n">
        <v>86965.2</v>
      </c>
      <c r="G49" s="106" t="n">
        <v>43500</v>
      </c>
      <c r="H49" s="107" t="n"/>
      <c r="I49" s="108">
        <f>IF(H49="","",G49*H49)</f>
        <v/>
      </c>
      <c r="J49" s="243">
        <f>IF(I49="","",F49-I49)</f>
        <v/>
      </c>
      <c r="K49" s="110">
        <f>IF(OR(I49="",F49=0),"",I49/F49)</f>
        <v/>
      </c>
      <c r="L49" s="111">
        <f>IF(K49="","⚪",IF(K49&gt;1.2,"🔴",IF(K49&gt;1.1,"🟡","🟢")))</f>
        <v/>
      </c>
      <c r="N49" s="105" t="n">
        <v>86965.2</v>
      </c>
      <c r="O49" s="106" t="n">
        <v>43500</v>
      </c>
      <c r="P49" s="107" t="n"/>
      <c r="Q49" s="108">
        <f>IF(P49="","",O49*P49)</f>
        <v/>
      </c>
      <c r="R49" s="243">
        <f>IF(Q49="","",N49-Q49)</f>
        <v/>
      </c>
      <c r="S49" s="110">
        <f>IF(OR(Q49="",N49=0),"",Q49/N49)</f>
        <v/>
      </c>
      <c r="T49" s="111">
        <f>IF(S49="","⚪",IF(S49&gt;1.2,"🔴",IF(S49&gt;1.1,"🟡","🟢")))</f>
        <v/>
      </c>
      <c r="V49" s="105" t="n">
        <v>86965.2</v>
      </c>
      <c r="W49" s="106" t="n">
        <v>43500</v>
      </c>
      <c r="X49" s="107" t="n"/>
      <c r="Y49" s="108">
        <f>IF(X49="","",W49*X49)</f>
        <v/>
      </c>
      <c r="Z49" s="243">
        <f>IF(Y49="","",V49-Y49)</f>
        <v/>
      </c>
      <c r="AA49" s="110">
        <f>IF(OR(Y49="",V49=0),"",Y49/V49)</f>
        <v/>
      </c>
      <c r="AB49" s="111">
        <f>IF(AA49="","⚪",IF(AA49&gt;1.2,"🔴",IF(AA49&gt;1.1,"🟡","🟢")))</f>
        <v/>
      </c>
      <c r="AD49" s="105" t="n">
        <v>86965.2</v>
      </c>
      <c r="AE49" s="106" t="n">
        <v>43500</v>
      </c>
      <c r="AF49" s="107" t="n"/>
      <c r="AG49" s="108">
        <f>IF(AF49="","",AE49*AF49)</f>
        <v/>
      </c>
      <c r="AH49" s="243">
        <f>IF(AG49="","",AD49-AG49)</f>
        <v/>
      </c>
      <c r="AI49" s="110">
        <f>IF(OR(AG49="",AD49=0),"",AG49/AD49)</f>
        <v/>
      </c>
      <c r="AJ49" s="111">
        <f>IF(AI49="","⚪",IF(AI49&gt;1.2,"🔴",IF(AI49&gt;1.1,"🟡","🟢")))</f>
        <v/>
      </c>
    </row>
    <row r="50" ht="14" customHeight="1" s="176">
      <c r="A50" s="112" t="inlineStr">
        <is>
          <t>Asmara</t>
        </is>
      </c>
      <c r="B50" s="113" t="inlineStr">
        <is>
          <t>w. murcott 4,9 ha</t>
        </is>
      </c>
      <c r="C50" s="113" t="inlineStr">
        <is>
          <t>2- M.O. indirecta</t>
        </is>
      </c>
      <c r="D50" s="113" t="inlineStr">
        <is>
          <t xml:space="preserve">1- ADM. GENERAL </t>
        </is>
      </c>
      <c r="E50" s="113" t="inlineStr">
        <is>
          <t>día</t>
        </is>
      </c>
      <c r="F50" s="105" t="n">
        <v>326209.464</v>
      </c>
      <c r="G50" s="106" t="n">
        <v>66600</v>
      </c>
      <c r="H50" s="107" t="n"/>
      <c r="I50" s="108">
        <f>IF(H50="","",G50*H50)</f>
        <v/>
      </c>
      <c r="J50" s="243">
        <f>IF(I50="","",F50-I50)</f>
        <v/>
      </c>
      <c r="K50" s="110">
        <f>IF(OR(I50="",F50=0),"",I50/F50)</f>
        <v/>
      </c>
      <c r="L50" s="111">
        <f>IF(K50="","⚪",IF(K50&gt;1.2,"🔴",IF(K50&gt;1.1,"🟡","🟢")))</f>
        <v/>
      </c>
      <c r="N50" s="105" t="n">
        <v>326209.464</v>
      </c>
      <c r="O50" s="106" t="n">
        <v>66600</v>
      </c>
      <c r="P50" s="107" t="n"/>
      <c r="Q50" s="108">
        <f>IF(P50="","",O50*P50)</f>
        <v/>
      </c>
      <c r="R50" s="243">
        <f>IF(Q50="","",N50-Q50)</f>
        <v/>
      </c>
      <c r="S50" s="110">
        <f>IF(OR(Q50="",N50=0),"",Q50/N50)</f>
        <v/>
      </c>
      <c r="T50" s="111">
        <f>IF(S50="","⚪",IF(S50&gt;1.2,"🔴",IF(S50&gt;1.1,"🟡","🟢")))</f>
        <v/>
      </c>
      <c r="V50" s="105" t="n">
        <v>326209.464</v>
      </c>
      <c r="W50" s="106" t="n">
        <v>66600</v>
      </c>
      <c r="X50" s="107" t="n"/>
      <c r="Y50" s="108">
        <f>IF(X50="","",W50*X50)</f>
        <v/>
      </c>
      <c r="Z50" s="243">
        <f>IF(Y50="","",V50-Y50)</f>
        <v/>
      </c>
      <c r="AA50" s="110">
        <f>IF(OR(Y50="",V50=0),"",Y50/V50)</f>
        <v/>
      </c>
      <c r="AB50" s="111">
        <f>IF(AA50="","⚪",IF(AA50&gt;1.2,"🔴",IF(AA50&gt;1.1,"🟡","🟢")))</f>
        <v/>
      </c>
      <c r="AD50" s="105" t="n">
        <v>326209.464</v>
      </c>
      <c r="AE50" s="106" t="n">
        <v>66600</v>
      </c>
      <c r="AF50" s="107" t="n"/>
      <c r="AG50" s="108">
        <f>IF(AF50="","",AE50*AF50)</f>
        <v/>
      </c>
      <c r="AH50" s="243">
        <f>IF(AG50="","",AD50-AG50)</f>
        <v/>
      </c>
      <c r="AI50" s="110">
        <f>IF(OR(AG50="",AD50=0),"",AG50/AD50)</f>
        <v/>
      </c>
      <c r="AJ50" s="111">
        <f>IF(AI50="","⚪",IF(AI50&gt;1.2,"🔴",IF(AI50&gt;1.1,"🟡","🟢")))</f>
        <v/>
      </c>
    </row>
    <row r="51" ht="14" customHeight="1" s="176">
      <c r="A51" s="103" t="inlineStr">
        <is>
          <t>Asmara</t>
        </is>
      </c>
      <c r="B51" s="104" t="inlineStr">
        <is>
          <t>w. murcott 4,9 ha</t>
        </is>
      </c>
      <c r="C51" s="104" t="inlineStr">
        <is>
          <t>2- M.O. indirecta</t>
        </is>
      </c>
      <c r="D51" s="104" t="inlineStr">
        <is>
          <t>2,1- JEFE DE CAMPO</t>
        </is>
      </c>
      <c r="E51" s="104" t="inlineStr">
        <is>
          <t>día</t>
        </is>
      </c>
      <c r="F51" s="105" t="n">
        <v>105246.6345</v>
      </c>
      <c r="G51" s="106" t="n">
        <v>42975</v>
      </c>
      <c r="H51" s="107" t="n"/>
      <c r="I51" s="108">
        <f>IF(H51="","",G51*H51)</f>
        <v/>
      </c>
      <c r="J51" s="243">
        <f>IF(I51="","",F51-I51)</f>
        <v/>
      </c>
      <c r="K51" s="110">
        <f>IF(OR(I51="",F51=0),"",I51/F51)</f>
        <v/>
      </c>
      <c r="L51" s="111">
        <f>IF(K51="","⚪",IF(K51&gt;1.2,"🔴",IF(K51&gt;1.1,"🟡","🟢")))</f>
        <v/>
      </c>
      <c r="N51" s="105" t="n">
        <v>105246.6345</v>
      </c>
      <c r="O51" s="106" t="n">
        <v>42975</v>
      </c>
      <c r="P51" s="107" t="n"/>
      <c r="Q51" s="108">
        <f>IF(P51="","",O51*P51)</f>
        <v/>
      </c>
      <c r="R51" s="243">
        <f>IF(Q51="","",N51-Q51)</f>
        <v/>
      </c>
      <c r="S51" s="110">
        <f>IF(OR(Q51="",N51=0),"",Q51/N51)</f>
        <v/>
      </c>
      <c r="T51" s="111">
        <f>IF(S51="","⚪",IF(S51&gt;1.2,"🔴",IF(S51&gt;1.1,"🟡","🟢")))</f>
        <v/>
      </c>
      <c r="V51" s="105" t="n">
        <v>105246.6345</v>
      </c>
      <c r="W51" s="106" t="n">
        <v>42975</v>
      </c>
      <c r="X51" s="107" t="n"/>
      <c r="Y51" s="108">
        <f>IF(X51="","",W51*X51)</f>
        <v/>
      </c>
      <c r="Z51" s="243">
        <f>IF(Y51="","",V51-Y51)</f>
        <v/>
      </c>
      <c r="AA51" s="110">
        <f>IF(OR(Y51="",V51=0),"",Y51/V51)</f>
        <v/>
      </c>
      <c r="AB51" s="111">
        <f>IF(AA51="","⚪",IF(AA51&gt;1.2,"🔴",IF(AA51&gt;1.1,"🟡","🟢")))</f>
        <v/>
      </c>
      <c r="AD51" s="105" t="n">
        <v>105246.6345</v>
      </c>
      <c r="AE51" s="106" t="n">
        <v>42975</v>
      </c>
      <c r="AF51" s="107" t="n"/>
      <c r="AG51" s="108">
        <f>IF(AF51="","",AE51*AF51)</f>
        <v/>
      </c>
      <c r="AH51" s="243">
        <f>IF(AG51="","",AD51-AG51)</f>
        <v/>
      </c>
      <c r="AI51" s="110">
        <f>IF(OR(AG51="",AD51=0),"",AG51/AD51)</f>
        <v/>
      </c>
      <c r="AJ51" s="111">
        <f>IF(AI51="","⚪",IF(AI51&gt;1.2,"🔴",IF(AI51&gt;1.1,"🟡","🟢")))</f>
        <v/>
      </c>
    </row>
    <row r="52" ht="14" customHeight="1" s="176">
      <c r="A52" s="112" t="inlineStr">
        <is>
          <t>Asmara</t>
        </is>
      </c>
      <c r="B52" s="113" t="inlineStr">
        <is>
          <t>w. murcott 4,9 ha</t>
        </is>
      </c>
      <c r="C52" s="113" t="inlineStr">
        <is>
          <t>2- M.O. indirecta</t>
        </is>
      </c>
      <c r="D52" s="113" t="inlineStr">
        <is>
          <t>2- ADMINISTRACION</t>
        </is>
      </c>
      <c r="E52" s="113" t="inlineStr">
        <is>
          <t>día</t>
        </is>
      </c>
      <c r="F52" s="105" t="n">
        <v>19837.062</v>
      </c>
      <c r="G52" s="106" t="n">
        <v>8100</v>
      </c>
      <c r="H52" s="107" t="n"/>
      <c r="I52" s="108">
        <f>IF(H52="","",G52*H52)</f>
        <v/>
      </c>
      <c r="J52" s="243">
        <f>IF(I52="","",F52-I52)</f>
        <v/>
      </c>
      <c r="K52" s="110">
        <f>IF(OR(I52="",F52=0),"",I52/F52)</f>
        <v/>
      </c>
      <c r="L52" s="111">
        <f>IF(K52="","⚪",IF(K52&gt;1.2,"🔴",IF(K52&gt;1.1,"🟡","🟢")))</f>
        <v/>
      </c>
      <c r="N52" s="105" t="n">
        <v>19837.062</v>
      </c>
      <c r="O52" s="106" t="n">
        <v>8100</v>
      </c>
      <c r="P52" s="107" t="n"/>
      <c r="Q52" s="108">
        <f>IF(P52="","",O52*P52)</f>
        <v/>
      </c>
      <c r="R52" s="243">
        <f>IF(Q52="","",N52-Q52)</f>
        <v/>
      </c>
      <c r="S52" s="110">
        <f>IF(OR(Q52="",N52=0),"",Q52/N52)</f>
        <v/>
      </c>
      <c r="T52" s="111">
        <f>IF(S52="","⚪",IF(S52&gt;1.2,"🔴",IF(S52&gt;1.1,"🟡","🟢")))</f>
        <v/>
      </c>
      <c r="V52" s="105" t="n">
        <v>19837.062</v>
      </c>
      <c r="W52" s="106" t="n">
        <v>8100</v>
      </c>
      <c r="X52" s="107" t="n"/>
      <c r="Y52" s="108">
        <f>IF(X52="","",W52*X52)</f>
        <v/>
      </c>
      <c r="Z52" s="243">
        <f>IF(Y52="","",V52-Y52)</f>
        <v/>
      </c>
      <c r="AA52" s="110">
        <f>IF(OR(Y52="",V52=0),"",Y52/V52)</f>
        <v/>
      </c>
      <c r="AB52" s="111">
        <f>IF(AA52="","⚪",IF(AA52&gt;1.2,"🔴",IF(AA52&gt;1.1,"🟡","🟢")))</f>
        <v/>
      </c>
      <c r="AD52" s="105" t="n">
        <v>19837.062</v>
      </c>
      <c r="AE52" s="106" t="n">
        <v>8100</v>
      </c>
      <c r="AF52" s="107" t="n"/>
      <c r="AG52" s="108">
        <f>IF(AF52="","",AE52*AF52)</f>
        <v/>
      </c>
      <c r="AH52" s="243">
        <f>IF(AG52="","",AD52-AG52)</f>
        <v/>
      </c>
      <c r="AI52" s="110">
        <f>IF(OR(AG52="",AD52=0),"",AG52/AD52)</f>
        <v/>
      </c>
      <c r="AJ52" s="111">
        <f>IF(AI52="","⚪",IF(AI52&gt;1.2,"🔴",IF(AI52&gt;1.1,"🟡","🟢")))</f>
        <v/>
      </c>
    </row>
    <row r="53" ht="14" customHeight="1" s="176">
      <c r="A53" s="103" t="inlineStr">
        <is>
          <t>Asmara</t>
        </is>
      </c>
      <c r="B53" s="104" t="inlineStr">
        <is>
          <t>w. murcott 4,9 ha</t>
        </is>
      </c>
      <c r="C53" s="104" t="inlineStr">
        <is>
          <t>2- M.O. indirecta</t>
        </is>
      </c>
      <c r="D53" s="104" t="inlineStr">
        <is>
          <t>3,1-  ENCARGADO DE RIEGO</t>
        </is>
      </c>
      <c r="E53" s="104" t="inlineStr">
        <is>
          <t>día</t>
        </is>
      </c>
      <c r="F53" s="105" t="n">
        <v>107748.920685</v>
      </c>
      <c r="G53" s="106" t="n">
        <v>43996.75</v>
      </c>
      <c r="H53" s="107" t="n"/>
      <c r="I53" s="108">
        <f>IF(H53="","",G53*H53)</f>
        <v/>
      </c>
      <c r="J53" s="243">
        <f>IF(I53="","",F53-I53)</f>
        <v/>
      </c>
      <c r="K53" s="110">
        <f>IF(OR(I53="",F53=0),"",I53/F53)</f>
        <v/>
      </c>
      <c r="L53" s="111">
        <f>IF(K53="","⚪",IF(K53&gt;1.2,"🔴",IF(K53&gt;1.1,"🟡","🟢")))</f>
        <v/>
      </c>
      <c r="N53" s="105" t="n">
        <v>107748.920685</v>
      </c>
      <c r="O53" s="106" t="n">
        <v>43996.75</v>
      </c>
      <c r="P53" s="107" t="n"/>
      <c r="Q53" s="108">
        <f>IF(P53="","",O53*P53)</f>
        <v/>
      </c>
      <c r="R53" s="243">
        <f>IF(Q53="","",N53-Q53)</f>
        <v/>
      </c>
      <c r="S53" s="110">
        <f>IF(OR(Q53="",N53=0),"",Q53/N53)</f>
        <v/>
      </c>
      <c r="T53" s="111">
        <f>IF(S53="","⚪",IF(S53&gt;1.2,"🔴",IF(S53&gt;1.1,"🟡","🟢")))</f>
        <v/>
      </c>
      <c r="V53" s="105" t="n">
        <v>107748.920685</v>
      </c>
      <c r="W53" s="106" t="n">
        <v>43996.75</v>
      </c>
      <c r="X53" s="107" t="n"/>
      <c r="Y53" s="108">
        <f>IF(X53="","",W53*X53)</f>
        <v/>
      </c>
      <c r="Z53" s="243">
        <f>IF(Y53="","",V53-Y53)</f>
        <v/>
      </c>
      <c r="AA53" s="110">
        <f>IF(OR(Y53="",V53=0),"",Y53/V53)</f>
        <v/>
      </c>
      <c r="AB53" s="111">
        <f>IF(AA53="","⚪",IF(AA53&gt;1.2,"🔴",IF(AA53&gt;1.1,"🟡","🟢")))</f>
        <v/>
      </c>
      <c r="AD53" s="105" t="n">
        <v>107748.920685</v>
      </c>
      <c r="AE53" s="106" t="n">
        <v>43996.75</v>
      </c>
      <c r="AF53" s="107" t="n"/>
      <c r="AG53" s="108">
        <f>IF(AF53="","",AE53*AF53)</f>
        <v/>
      </c>
      <c r="AH53" s="243">
        <f>IF(AG53="","",AD53-AG53)</f>
        <v/>
      </c>
      <c r="AI53" s="110">
        <f>IF(OR(AG53="",AD53=0),"",AG53/AD53)</f>
        <v/>
      </c>
      <c r="AJ53" s="111">
        <f>IF(AI53="","⚪",IF(AI53&gt;1.2,"🔴",IF(AI53&gt;1.1,"🟡","🟢")))</f>
        <v/>
      </c>
    </row>
    <row r="54" ht="14" customHeight="1" s="176">
      <c r="A54" s="112" t="inlineStr">
        <is>
          <t>Asmara</t>
        </is>
      </c>
      <c r="B54" s="113" t="inlineStr">
        <is>
          <t>w. murcott 4,9 ha</t>
        </is>
      </c>
      <c r="C54" s="113" t="inlineStr">
        <is>
          <t>2- M.O. indirecta</t>
        </is>
      </c>
      <c r="D54" s="113" t="inlineStr">
        <is>
          <t>3- ADQUIS. Y BODEGA</t>
        </is>
      </c>
      <c r="E54" s="113" t="inlineStr">
        <is>
          <t>día</t>
        </is>
      </c>
      <c r="F54" s="105" t="n">
        <v>19837.062</v>
      </c>
      <c r="G54" s="106" t="n">
        <v>8100</v>
      </c>
      <c r="H54" s="107" t="n"/>
      <c r="I54" s="108">
        <f>IF(H54="","",G54*H54)</f>
        <v/>
      </c>
      <c r="J54" s="243">
        <f>IF(I54="","",F54-I54)</f>
        <v/>
      </c>
      <c r="K54" s="110">
        <f>IF(OR(I54="",F54=0),"",I54/F54)</f>
        <v/>
      </c>
      <c r="L54" s="111">
        <f>IF(K54="","⚪",IF(K54&gt;1.2,"🔴",IF(K54&gt;1.1,"🟡","🟢")))</f>
        <v/>
      </c>
      <c r="N54" s="105" t="n">
        <v>19837.062</v>
      </c>
      <c r="O54" s="106" t="n">
        <v>8100</v>
      </c>
      <c r="P54" s="107" t="n"/>
      <c r="Q54" s="108">
        <f>IF(P54="","",O54*P54)</f>
        <v/>
      </c>
      <c r="R54" s="243">
        <f>IF(Q54="","",N54-Q54)</f>
        <v/>
      </c>
      <c r="S54" s="110">
        <f>IF(OR(Q54="",N54=0),"",Q54/N54)</f>
        <v/>
      </c>
      <c r="T54" s="111">
        <f>IF(S54="","⚪",IF(S54&gt;1.2,"🔴",IF(S54&gt;1.1,"🟡","🟢")))</f>
        <v/>
      </c>
      <c r="V54" s="105" t="n">
        <v>19837.062</v>
      </c>
      <c r="W54" s="106" t="n">
        <v>8100</v>
      </c>
      <c r="X54" s="107" t="n"/>
      <c r="Y54" s="108">
        <f>IF(X54="","",W54*X54)</f>
        <v/>
      </c>
      <c r="Z54" s="243">
        <f>IF(Y54="","",V54-Y54)</f>
        <v/>
      </c>
      <c r="AA54" s="110">
        <f>IF(OR(Y54="",V54=0),"",Y54/V54)</f>
        <v/>
      </c>
      <c r="AB54" s="111">
        <f>IF(AA54="","⚪",IF(AA54&gt;1.2,"🔴",IF(AA54&gt;1.1,"🟡","🟢")))</f>
        <v/>
      </c>
      <c r="AD54" s="105" t="n">
        <v>19837.062</v>
      </c>
      <c r="AE54" s="106" t="n">
        <v>8100</v>
      </c>
      <c r="AF54" s="107" t="n"/>
      <c r="AG54" s="108">
        <f>IF(AF54="","",AE54*AF54)</f>
        <v/>
      </c>
      <c r="AH54" s="243">
        <f>IF(AG54="","",AD54-AG54)</f>
        <v/>
      </c>
      <c r="AI54" s="110">
        <f>IF(OR(AG54="",AD54=0),"",AG54/AD54)</f>
        <v/>
      </c>
      <c r="AJ54" s="111">
        <f>IF(AI54="","⚪",IF(AI54&gt;1.2,"🔴",IF(AI54&gt;1.1,"🟡","🟢")))</f>
        <v/>
      </c>
    </row>
    <row r="55" ht="14" customHeight="1" s="176">
      <c r="A55" s="103" t="inlineStr">
        <is>
          <t>Asmara</t>
        </is>
      </c>
      <c r="B55" s="104" t="inlineStr">
        <is>
          <t>w. murcott 4,9 ha</t>
        </is>
      </c>
      <c r="C55" s="104" t="inlineStr">
        <is>
          <t>2- M.O. indirecta</t>
        </is>
      </c>
      <c r="D55" s="104" t="inlineStr">
        <is>
          <t>4,1- ENCARGADO MANTENCIONES</t>
        </is>
      </c>
      <c r="E55" s="104" t="inlineStr">
        <is>
          <t>día</t>
        </is>
      </c>
      <c r="F55" s="105" t="n">
        <v>26939.22</v>
      </c>
      <c r="G55" s="106" t="n">
        <v>11000</v>
      </c>
      <c r="H55" s="107" t="n"/>
      <c r="I55" s="108">
        <f>IF(H55="","",G55*H55)</f>
        <v/>
      </c>
      <c r="J55" s="243">
        <f>IF(I55="","",F55-I55)</f>
        <v/>
      </c>
      <c r="K55" s="110">
        <f>IF(OR(I55="",F55=0),"",I55/F55)</f>
        <v/>
      </c>
      <c r="L55" s="111">
        <f>IF(K55="","⚪",IF(K55&gt;1.2,"🔴",IF(K55&gt;1.1,"🟡","🟢")))</f>
        <v/>
      </c>
      <c r="N55" s="105" t="n">
        <v>26939.22</v>
      </c>
      <c r="O55" s="106" t="n">
        <v>11000</v>
      </c>
      <c r="P55" s="107" t="n"/>
      <c r="Q55" s="108">
        <f>IF(P55="","",O55*P55)</f>
        <v/>
      </c>
      <c r="R55" s="243">
        <f>IF(Q55="","",N55-Q55)</f>
        <v/>
      </c>
      <c r="S55" s="110">
        <f>IF(OR(Q55="",N55=0),"",Q55/N55)</f>
        <v/>
      </c>
      <c r="T55" s="111">
        <f>IF(S55="","⚪",IF(S55&gt;1.2,"🔴",IF(S55&gt;1.1,"🟡","🟢")))</f>
        <v/>
      </c>
      <c r="V55" s="105" t="n">
        <v>26939.22</v>
      </c>
      <c r="W55" s="106" t="n">
        <v>11000</v>
      </c>
      <c r="X55" s="107" t="n"/>
      <c r="Y55" s="108">
        <f>IF(X55="","",W55*X55)</f>
        <v/>
      </c>
      <c r="Z55" s="243">
        <f>IF(Y55="","",V55-Y55)</f>
        <v/>
      </c>
      <c r="AA55" s="110">
        <f>IF(OR(Y55="",V55=0),"",Y55/V55)</f>
        <v/>
      </c>
      <c r="AB55" s="111">
        <f>IF(AA55="","⚪",IF(AA55&gt;1.2,"🔴",IF(AA55&gt;1.1,"🟡","🟢")))</f>
        <v/>
      </c>
      <c r="AD55" s="105" t="n">
        <v>26939.22</v>
      </c>
      <c r="AE55" s="106" t="n">
        <v>11000</v>
      </c>
      <c r="AF55" s="107" t="n"/>
      <c r="AG55" s="108">
        <f>IF(AF55="","",AE55*AF55)</f>
        <v/>
      </c>
      <c r="AH55" s="243">
        <f>IF(AG55="","",AD55-AG55)</f>
        <v/>
      </c>
      <c r="AI55" s="110">
        <f>IF(OR(AG55="",AD55=0),"",AG55/AD55)</f>
        <v/>
      </c>
      <c r="AJ55" s="111">
        <f>IF(AI55="","⚪",IF(AI55&gt;1.2,"🔴",IF(AI55&gt;1.1,"🟡","🟢")))</f>
        <v/>
      </c>
    </row>
    <row r="56" ht="14" customHeight="1" s="176">
      <c r="A56" s="112" t="inlineStr">
        <is>
          <t>Asmara</t>
        </is>
      </c>
      <c r="B56" s="113" t="inlineStr">
        <is>
          <t>w. murcott 4,9 ha</t>
        </is>
      </c>
      <c r="C56" s="113" t="inlineStr">
        <is>
          <t>2- M.O. indirecta</t>
        </is>
      </c>
      <c r="D56" s="113" t="inlineStr">
        <is>
          <t>4- CERTIFICACIONES</t>
        </is>
      </c>
      <c r="E56" s="113" t="inlineStr">
        <is>
          <t>día</t>
        </is>
      </c>
      <c r="F56" s="105" t="n">
        <v>15831.893875</v>
      </c>
      <c r="G56" s="106" t="n">
        <v>6464.58333333333</v>
      </c>
      <c r="H56" s="107" t="n"/>
      <c r="I56" s="108">
        <f>IF(H56="","",G56*H56)</f>
        <v/>
      </c>
      <c r="J56" s="243">
        <f>IF(I56="","",F56-I56)</f>
        <v/>
      </c>
      <c r="K56" s="110">
        <f>IF(OR(I56="",F56=0),"",I56/F56)</f>
        <v/>
      </c>
      <c r="L56" s="111">
        <f>IF(K56="","⚪",IF(K56&gt;1.2,"🔴",IF(K56&gt;1.1,"🟡","🟢")))</f>
        <v/>
      </c>
      <c r="N56" s="105" t="n">
        <v>15831.893875</v>
      </c>
      <c r="O56" s="106" t="n">
        <v>6464.58333333333</v>
      </c>
      <c r="P56" s="107" t="n"/>
      <c r="Q56" s="108">
        <f>IF(P56="","",O56*P56)</f>
        <v/>
      </c>
      <c r="R56" s="243">
        <f>IF(Q56="","",N56-Q56)</f>
        <v/>
      </c>
      <c r="S56" s="110">
        <f>IF(OR(Q56="",N56=0),"",Q56/N56)</f>
        <v/>
      </c>
      <c r="T56" s="111">
        <f>IF(S56="","⚪",IF(S56&gt;1.2,"🔴",IF(S56&gt;1.1,"🟡","🟢")))</f>
        <v/>
      </c>
      <c r="V56" s="105" t="n">
        <v>15831.893875</v>
      </c>
      <c r="W56" s="106" t="n">
        <v>6464.58333333333</v>
      </c>
      <c r="X56" s="107" t="n"/>
      <c r="Y56" s="108">
        <f>IF(X56="","",W56*X56)</f>
        <v/>
      </c>
      <c r="Z56" s="243">
        <f>IF(Y56="","",V56-Y56)</f>
        <v/>
      </c>
      <c r="AA56" s="110">
        <f>IF(OR(Y56="",V56=0),"",Y56/V56)</f>
        <v/>
      </c>
      <c r="AB56" s="111">
        <f>IF(AA56="","⚪",IF(AA56&gt;1.2,"🔴",IF(AA56&gt;1.1,"🟡","🟢")))</f>
        <v/>
      </c>
      <c r="AD56" s="105" t="n">
        <v>15831.893875</v>
      </c>
      <c r="AE56" s="106" t="n">
        <v>6464.58333333333</v>
      </c>
      <c r="AF56" s="107" t="n"/>
      <c r="AG56" s="108">
        <f>IF(AF56="","",AE56*AF56)</f>
        <v/>
      </c>
      <c r="AH56" s="243">
        <f>IF(AG56="","",AD56-AG56)</f>
        <v/>
      </c>
      <c r="AI56" s="110">
        <f>IF(OR(AG56="",AD56=0),"",AG56/AD56)</f>
        <v/>
      </c>
      <c r="AJ56" s="111">
        <f>IF(AI56="","⚪",IF(AI56&gt;1.2,"🔴",IF(AI56&gt;1.1,"🟡","🟢")))</f>
        <v/>
      </c>
    </row>
    <row r="57" ht="14" customHeight="1" s="176">
      <c r="A57" s="103" t="inlineStr">
        <is>
          <t>Asmara</t>
        </is>
      </c>
      <c r="B57" s="104" t="inlineStr">
        <is>
          <t>w. murcott 4,9 ha</t>
        </is>
      </c>
      <c r="C57" s="104" t="inlineStr">
        <is>
          <t>2- M.O. indirecta</t>
        </is>
      </c>
      <c r="D57" s="104" t="inlineStr">
        <is>
          <t>5- PREVEN. DE RIESGO</t>
        </is>
      </c>
      <c r="E57" s="104" t="inlineStr">
        <is>
          <t>día</t>
        </is>
      </c>
      <c r="F57" s="105" t="n">
        <v>3857.2065</v>
      </c>
      <c r="G57" s="106" t="n">
        <v>1575</v>
      </c>
      <c r="H57" s="107" t="n"/>
      <c r="I57" s="108">
        <f>IF(H57="","",G57*H57)</f>
        <v/>
      </c>
      <c r="J57" s="243">
        <f>IF(I57="","",F57-I57)</f>
        <v/>
      </c>
      <c r="K57" s="110">
        <f>IF(OR(I57="",F57=0),"",I57/F57)</f>
        <v/>
      </c>
      <c r="L57" s="111">
        <f>IF(K57="","⚪",IF(K57&gt;1.2,"🔴",IF(K57&gt;1.1,"🟡","🟢")))</f>
        <v/>
      </c>
      <c r="N57" s="105" t="n">
        <v>3857.2065</v>
      </c>
      <c r="O57" s="106" t="n">
        <v>1575</v>
      </c>
      <c r="P57" s="107" t="n"/>
      <c r="Q57" s="108">
        <f>IF(P57="","",O57*P57)</f>
        <v/>
      </c>
      <c r="R57" s="243">
        <f>IF(Q57="","",N57-Q57)</f>
        <v/>
      </c>
      <c r="S57" s="110">
        <f>IF(OR(Q57="",N57=0),"",Q57/N57)</f>
        <v/>
      </c>
      <c r="T57" s="111">
        <f>IF(S57="","⚪",IF(S57&gt;1.2,"🔴",IF(S57&gt;1.1,"🟡","🟢")))</f>
        <v/>
      </c>
      <c r="V57" s="105" t="n">
        <v>3857.2065</v>
      </c>
      <c r="W57" s="106" t="n">
        <v>1575</v>
      </c>
      <c r="X57" s="107" t="n"/>
      <c r="Y57" s="108">
        <f>IF(X57="","",W57*X57)</f>
        <v/>
      </c>
      <c r="Z57" s="243">
        <f>IF(Y57="","",V57-Y57)</f>
        <v/>
      </c>
      <c r="AA57" s="110">
        <f>IF(OR(Y57="",V57=0),"",Y57/V57)</f>
        <v/>
      </c>
      <c r="AB57" s="111">
        <f>IF(AA57="","⚪",IF(AA57&gt;1.2,"🔴",IF(AA57&gt;1.1,"🟡","🟢")))</f>
        <v/>
      </c>
      <c r="AD57" s="105" t="n">
        <v>3857.2065</v>
      </c>
      <c r="AE57" s="106" t="n">
        <v>1575</v>
      </c>
      <c r="AF57" s="107" t="n"/>
      <c r="AG57" s="108">
        <f>IF(AF57="","",AE57*AF57)</f>
        <v/>
      </c>
      <c r="AH57" s="243">
        <f>IF(AG57="","",AD57-AG57)</f>
        <v/>
      </c>
      <c r="AI57" s="110">
        <f>IF(OR(AG57="",AD57=0),"",AG57/AD57)</f>
        <v/>
      </c>
      <c r="AJ57" s="111">
        <f>IF(AI57="","⚪",IF(AI57&gt;1.2,"🔴",IF(AI57&gt;1.1,"🟡","🟢")))</f>
        <v/>
      </c>
    </row>
    <row r="58" ht="14" customHeight="1" s="176">
      <c r="A58" s="112" t="inlineStr">
        <is>
          <t>Asmara</t>
        </is>
      </c>
      <c r="B58" s="113" t="inlineStr">
        <is>
          <t>w. murcott 4,9 ha</t>
        </is>
      </c>
      <c r="C58" s="113" t="inlineStr">
        <is>
          <t>2- M.O. indirecta</t>
        </is>
      </c>
      <c r="D58" s="113" t="inlineStr">
        <is>
          <t>9,1- RONDIN FUNDO</t>
        </is>
      </c>
      <c r="E58" s="113" t="inlineStr">
        <is>
          <t>día</t>
        </is>
      </c>
      <c r="F58" s="105" t="n">
        <v>19459.125</v>
      </c>
      <c r="G58" s="106" t="n">
        <v>26475</v>
      </c>
      <c r="H58" s="107" t="n"/>
      <c r="I58" s="108">
        <f>IF(H58="","",G58*H58)</f>
        <v/>
      </c>
      <c r="J58" s="243">
        <f>IF(I58="","",F58-I58)</f>
        <v/>
      </c>
      <c r="K58" s="110">
        <f>IF(OR(I58="",F58=0),"",I58/F58)</f>
        <v/>
      </c>
      <c r="L58" s="111">
        <f>IF(K58="","⚪",IF(K58&gt;1.2,"🔴",IF(K58&gt;1.1,"🟡","🟢")))</f>
        <v/>
      </c>
      <c r="N58" s="105" t="n">
        <v>19459.125</v>
      </c>
      <c r="O58" s="106" t="n">
        <v>26475</v>
      </c>
      <c r="P58" s="107" t="n"/>
      <c r="Q58" s="108">
        <f>IF(P58="","",O58*P58)</f>
        <v/>
      </c>
      <c r="R58" s="243">
        <f>IF(Q58="","",N58-Q58)</f>
        <v/>
      </c>
      <c r="S58" s="110">
        <f>IF(OR(Q58="",N58=0),"",Q58/N58)</f>
        <v/>
      </c>
      <c r="T58" s="111">
        <f>IF(S58="","⚪",IF(S58&gt;1.2,"🔴",IF(S58&gt;1.1,"🟡","🟢")))</f>
        <v/>
      </c>
      <c r="V58" s="105" t="n">
        <v>19459.125</v>
      </c>
      <c r="W58" s="106" t="n">
        <v>26475</v>
      </c>
      <c r="X58" s="107" t="n"/>
      <c r="Y58" s="108">
        <f>IF(X58="","",W58*X58)</f>
        <v/>
      </c>
      <c r="Z58" s="243">
        <f>IF(Y58="","",V58-Y58)</f>
        <v/>
      </c>
      <c r="AA58" s="110">
        <f>IF(OR(Y58="",V58=0),"",Y58/V58)</f>
        <v/>
      </c>
      <c r="AB58" s="111">
        <f>IF(AA58="","⚪",IF(AA58&gt;1.2,"🔴",IF(AA58&gt;1.1,"🟡","🟢")))</f>
        <v/>
      </c>
      <c r="AD58" s="105" t="n">
        <v>19459.125</v>
      </c>
      <c r="AE58" s="106" t="n">
        <v>26475</v>
      </c>
      <c r="AF58" s="107" t="n"/>
      <c r="AG58" s="108">
        <f>IF(AF58="","",AE58*AF58)</f>
        <v/>
      </c>
      <c r="AH58" s="243">
        <f>IF(AG58="","",AD58-AG58)</f>
        <v/>
      </c>
      <c r="AI58" s="110">
        <f>IF(OR(AG58="",AD58=0),"",AG58/AD58)</f>
        <v/>
      </c>
      <c r="AJ58" s="111">
        <f>IF(AI58="","⚪",IF(AI58&gt;1.2,"🔴",IF(AI58&gt;1.1,"🟡","🟢")))</f>
        <v/>
      </c>
    </row>
    <row r="59" ht="14" customHeight="1" s="176">
      <c r="A59" s="103" t="inlineStr">
        <is>
          <t>El Molle</t>
        </is>
      </c>
      <c r="B59" s="104" t="inlineStr">
        <is>
          <t>Wonderful 5,25 ha</t>
        </is>
      </c>
      <c r="C59" s="104" t="inlineStr">
        <is>
          <t>1- M.O. directa</t>
        </is>
      </c>
      <c r="D59" s="104" t="inlineStr">
        <is>
          <t>1,1 - Corte de coroma,  sopleteo y schollar</t>
        </is>
      </c>
      <c r="E59" s="104" t="inlineStr">
        <is>
          <t>día</t>
        </is>
      </c>
      <c r="F59" s="105" t="n">
        <v>185600.8</v>
      </c>
      <c r="G59" s="106" t="n">
        <v>46</v>
      </c>
      <c r="H59" s="107" t="n"/>
      <c r="I59" s="108">
        <f>IF(H59="","",G59*H59)</f>
        <v/>
      </c>
      <c r="J59" s="243">
        <f>IF(I59="","",F59-I59)</f>
        <v/>
      </c>
      <c r="K59" s="110">
        <f>IF(OR(I59="",F59=0),"",I59/F59)</f>
        <v/>
      </c>
      <c r="L59" s="111">
        <f>IF(K59="","⚪",IF(K59&gt;1.2,"🔴",IF(K59&gt;1.1,"🟡","🟢")))</f>
        <v/>
      </c>
      <c r="N59" s="105" t="n">
        <v>185600.8</v>
      </c>
      <c r="O59" s="106" t="n">
        <v>46</v>
      </c>
      <c r="P59" s="107" t="n"/>
      <c r="Q59" s="108">
        <f>IF(P59="","",O59*P59)</f>
        <v/>
      </c>
      <c r="R59" s="243">
        <f>IF(Q59="","",N59-Q59)</f>
        <v/>
      </c>
      <c r="S59" s="110">
        <f>IF(OR(Q59="",N59=0),"",Q59/N59)</f>
        <v/>
      </c>
      <c r="T59" s="111">
        <f>IF(S59="","⚪",IF(S59&gt;1.2,"🔴",IF(S59&gt;1.1,"🟡","🟢")))</f>
        <v/>
      </c>
      <c r="V59" s="105" t="n">
        <v>185600.8</v>
      </c>
      <c r="W59" s="106" t="n">
        <v>46</v>
      </c>
      <c r="X59" s="107" t="n"/>
      <c r="Y59" s="108">
        <f>IF(X59="","",W59*X59)</f>
        <v/>
      </c>
      <c r="Z59" s="243">
        <f>IF(Y59="","",V59-Y59)</f>
        <v/>
      </c>
      <c r="AA59" s="110">
        <f>IF(OR(Y59="",V59=0),"",Y59/V59)</f>
        <v/>
      </c>
      <c r="AB59" s="111">
        <f>IF(AA59="","⚪",IF(AA59&gt;1.2,"🔴",IF(AA59&gt;1.1,"🟡","🟢")))</f>
        <v/>
      </c>
      <c r="AD59" s="105" t="n">
        <v>185600.8</v>
      </c>
      <c r="AE59" s="106" t="n">
        <v>46</v>
      </c>
      <c r="AF59" s="107" t="n"/>
      <c r="AG59" s="108">
        <f>IF(AF59="","",AE59*AF59)</f>
        <v/>
      </c>
      <c r="AH59" s="243">
        <f>IF(AG59="","",AD59-AG59)</f>
        <v/>
      </c>
      <c r="AI59" s="110">
        <f>IF(OR(AG59="",AD59=0),"",AG59/AD59)</f>
        <v/>
      </c>
      <c r="AJ59" s="111">
        <f>IF(AI59="","⚪",IF(AI59&gt;1.2,"🔴",IF(AI59&gt;1.1,"🟡","🟢")))</f>
        <v/>
      </c>
    </row>
    <row r="60" ht="14" customHeight="1" s="176">
      <c r="A60" s="112" t="inlineStr">
        <is>
          <t>El Molle</t>
        </is>
      </c>
      <c r="B60" s="113" t="inlineStr">
        <is>
          <t>Wonderful 5,25 ha</t>
        </is>
      </c>
      <c r="C60" s="113" t="inlineStr">
        <is>
          <t>1- M.O. directa</t>
        </is>
      </c>
      <c r="D60" s="113" t="inlineStr">
        <is>
          <t>1,2 - Packing</t>
        </is>
      </c>
      <c r="E60" s="113" t="inlineStr">
        <is>
          <t>Trato</t>
        </is>
      </c>
      <c r="F60" s="105" t="n">
        <v>122485</v>
      </c>
      <c r="G60" s="106" t="n">
        <v>170</v>
      </c>
      <c r="H60" s="107" t="n"/>
      <c r="I60" s="108">
        <f>IF(H60="","",G60*H60)</f>
        <v/>
      </c>
      <c r="J60" s="243">
        <f>IF(I60="","",F60-I60)</f>
        <v/>
      </c>
      <c r="K60" s="110">
        <f>IF(OR(I60="",F60=0),"",I60/F60)</f>
        <v/>
      </c>
      <c r="L60" s="111">
        <f>IF(K60="","⚪",IF(K60&gt;1.2,"🔴",IF(K60&gt;1.1,"🟡","🟢")))</f>
        <v/>
      </c>
      <c r="N60" s="105" t="n">
        <v>122485</v>
      </c>
      <c r="O60" s="106" t="n">
        <v>170</v>
      </c>
      <c r="P60" s="107" t="n"/>
      <c r="Q60" s="108">
        <f>IF(P60="","",O60*P60)</f>
        <v/>
      </c>
      <c r="R60" s="243">
        <f>IF(Q60="","",N60-Q60)</f>
        <v/>
      </c>
      <c r="S60" s="110">
        <f>IF(OR(Q60="",N60=0),"",Q60/N60)</f>
        <v/>
      </c>
      <c r="T60" s="111">
        <f>IF(S60="","⚪",IF(S60&gt;1.2,"🔴",IF(S60&gt;1.1,"🟡","🟢")))</f>
        <v/>
      </c>
      <c r="V60" s="105" t="n">
        <v>122485</v>
      </c>
      <c r="W60" s="106" t="n">
        <v>170</v>
      </c>
      <c r="X60" s="107" t="n"/>
      <c r="Y60" s="108">
        <f>IF(X60="","",W60*X60)</f>
        <v/>
      </c>
      <c r="Z60" s="243">
        <f>IF(Y60="","",V60-Y60)</f>
        <v/>
      </c>
      <c r="AA60" s="110">
        <f>IF(OR(Y60="",V60=0),"",Y60/V60)</f>
        <v/>
      </c>
      <c r="AB60" s="111">
        <f>IF(AA60="","⚪",IF(AA60&gt;1.2,"🔴",IF(AA60&gt;1.1,"🟡","🟢")))</f>
        <v/>
      </c>
      <c r="AD60" s="105" t="n">
        <v>122485</v>
      </c>
      <c r="AE60" s="106" t="n">
        <v>170</v>
      </c>
      <c r="AF60" s="107" t="n"/>
      <c r="AG60" s="108">
        <f>IF(AF60="","",AE60*AF60)</f>
        <v/>
      </c>
      <c r="AH60" s="243">
        <f>IF(AG60="","",AD60-AG60)</f>
        <v/>
      </c>
      <c r="AI60" s="110">
        <f>IF(OR(AG60="",AD60=0),"",AG60/AD60)</f>
        <v/>
      </c>
      <c r="AJ60" s="111">
        <f>IF(AI60="","⚪",IF(AI60&gt;1.2,"🔴",IF(AI60&gt;1.1,"🟡","🟢")))</f>
        <v/>
      </c>
    </row>
    <row r="61" ht="14" customHeight="1" s="176">
      <c r="A61" s="103" t="inlineStr">
        <is>
          <t>El Molle</t>
        </is>
      </c>
      <c r="B61" s="104" t="inlineStr">
        <is>
          <t>Wonderful 5,25 ha</t>
        </is>
      </c>
      <c r="C61" s="104" t="inlineStr">
        <is>
          <t>1- M.O. directa</t>
        </is>
      </c>
      <c r="D61" s="104" t="inlineStr">
        <is>
          <t xml:space="preserve">1,4- Mantención caminos </t>
        </is>
      </c>
      <c r="E61" s="104" t="inlineStr">
        <is>
          <t>día</t>
        </is>
      </c>
      <c r="F61" s="105" t="n">
        <v>6525</v>
      </c>
      <c r="G61" s="106" t="n">
        <v>43500</v>
      </c>
      <c r="H61" s="107" t="n"/>
      <c r="I61" s="108">
        <f>IF(H61="","",G61*H61)</f>
        <v/>
      </c>
      <c r="J61" s="243">
        <f>IF(I61="","",F61-I61)</f>
        <v/>
      </c>
      <c r="K61" s="110">
        <f>IF(OR(I61="",F61=0),"",I61/F61)</f>
        <v/>
      </c>
      <c r="L61" s="111">
        <f>IF(K61="","⚪",IF(K61&gt;1.2,"🔴",IF(K61&gt;1.1,"🟡","🟢")))</f>
        <v/>
      </c>
      <c r="N61" s="105" t="n">
        <v>6525</v>
      </c>
      <c r="O61" s="106" t="n">
        <v>43500</v>
      </c>
      <c r="P61" s="107" t="n"/>
      <c r="Q61" s="108">
        <f>IF(P61="","",O61*P61)</f>
        <v/>
      </c>
      <c r="R61" s="243">
        <f>IF(Q61="","",N61-Q61)</f>
        <v/>
      </c>
      <c r="S61" s="110">
        <f>IF(OR(Q61="",N61=0),"",Q61/N61)</f>
        <v/>
      </c>
      <c r="T61" s="111">
        <f>IF(S61="","⚪",IF(S61&gt;1.2,"🔴",IF(S61&gt;1.1,"🟡","🟢")))</f>
        <v/>
      </c>
      <c r="V61" s="105" t="n">
        <v>6525</v>
      </c>
      <c r="W61" s="106" t="n">
        <v>43500</v>
      </c>
      <c r="X61" s="107" t="n"/>
      <c r="Y61" s="108">
        <f>IF(X61="","",W61*X61)</f>
        <v/>
      </c>
      <c r="Z61" s="243">
        <f>IF(Y61="","",V61-Y61)</f>
        <v/>
      </c>
      <c r="AA61" s="110">
        <f>IF(OR(Y61="",V61=0),"",Y61/V61)</f>
        <v/>
      </c>
      <c r="AB61" s="111">
        <f>IF(AA61="","⚪",IF(AA61&gt;1.2,"🔴",IF(AA61&gt;1.1,"🟡","🟢")))</f>
        <v/>
      </c>
      <c r="AD61" s="105" t="n">
        <v>6525</v>
      </c>
      <c r="AE61" s="106" t="n">
        <v>43500</v>
      </c>
      <c r="AF61" s="107" t="n"/>
      <c r="AG61" s="108">
        <f>IF(AF61="","",AE61*AF61)</f>
        <v/>
      </c>
      <c r="AH61" s="243">
        <f>IF(AG61="","",AD61-AG61)</f>
        <v/>
      </c>
      <c r="AI61" s="110">
        <f>IF(OR(AG61="",AD61=0),"",AG61/AD61)</f>
        <v/>
      </c>
      <c r="AJ61" s="111">
        <f>IF(AI61="","⚪",IF(AI61&gt;1.2,"🔴",IF(AI61&gt;1.1,"🟡","🟢")))</f>
        <v/>
      </c>
    </row>
    <row r="62" ht="14" customHeight="1" s="176">
      <c r="A62" s="112" t="inlineStr">
        <is>
          <t>El Molle</t>
        </is>
      </c>
      <c r="B62" s="113" t="inlineStr">
        <is>
          <t>Wonderful 5,25 ha</t>
        </is>
      </c>
      <c r="C62" s="113" t="inlineStr">
        <is>
          <t>1- M.O. directa</t>
        </is>
      </c>
      <c r="D62" s="113" t="inlineStr">
        <is>
          <t>1- Cosecha EXP</t>
        </is>
      </c>
      <c r="E62" s="113" t="inlineStr">
        <is>
          <t>día</t>
        </is>
      </c>
      <c r="F62" s="105" t="n">
        <v>864600</v>
      </c>
      <c r="G62" s="106" t="n">
        <v>150</v>
      </c>
      <c r="H62" s="107" t="n"/>
      <c r="I62" s="108">
        <f>IF(H62="","",G62*H62)</f>
        <v/>
      </c>
      <c r="J62" s="243">
        <f>IF(I62="","",F62-I62)</f>
        <v/>
      </c>
      <c r="K62" s="110">
        <f>IF(OR(I62="",F62=0),"",I62/F62)</f>
        <v/>
      </c>
      <c r="L62" s="111">
        <f>IF(K62="","⚪",IF(K62&gt;1.2,"🔴",IF(K62&gt;1.1,"🟡","🟢")))</f>
        <v/>
      </c>
      <c r="N62" s="105" t="n">
        <v>864600</v>
      </c>
      <c r="O62" s="106" t="n">
        <v>150</v>
      </c>
      <c r="P62" s="107" t="n"/>
      <c r="Q62" s="108">
        <f>IF(P62="","",O62*P62)</f>
        <v/>
      </c>
      <c r="R62" s="243">
        <f>IF(Q62="","",N62-Q62)</f>
        <v/>
      </c>
      <c r="S62" s="110">
        <f>IF(OR(Q62="",N62=0),"",Q62/N62)</f>
        <v/>
      </c>
      <c r="T62" s="111">
        <f>IF(S62="","⚪",IF(S62&gt;1.2,"🔴",IF(S62&gt;1.1,"🟡","🟢")))</f>
        <v/>
      </c>
      <c r="V62" s="105" t="n">
        <v>864600</v>
      </c>
      <c r="W62" s="106" t="n">
        <v>150</v>
      </c>
      <c r="X62" s="107" t="n"/>
      <c r="Y62" s="108">
        <f>IF(X62="","",W62*X62)</f>
        <v/>
      </c>
      <c r="Z62" s="243">
        <f>IF(Y62="","",V62-Y62)</f>
        <v/>
      </c>
      <c r="AA62" s="110">
        <f>IF(OR(Y62="",V62=0),"",Y62/V62)</f>
        <v/>
      </c>
      <c r="AB62" s="111">
        <f>IF(AA62="","⚪",IF(AA62&gt;1.2,"🔴",IF(AA62&gt;1.1,"🟡","🟢")))</f>
        <v/>
      </c>
      <c r="AD62" s="105" t="n">
        <v>864600</v>
      </c>
      <c r="AE62" s="106" t="n">
        <v>150</v>
      </c>
      <c r="AF62" s="107" t="n"/>
      <c r="AG62" s="108">
        <f>IF(AF62="","",AE62*AF62)</f>
        <v/>
      </c>
      <c r="AH62" s="243">
        <f>IF(AG62="","",AD62-AG62)</f>
        <v/>
      </c>
      <c r="AI62" s="110">
        <f>IF(OR(AG62="",AD62=0),"",AG62/AD62)</f>
        <v/>
      </c>
      <c r="AJ62" s="111">
        <f>IF(AI62="","⚪",IF(AI62&gt;1.2,"🔴",IF(AI62&gt;1.1,"🟡","🟢")))</f>
        <v/>
      </c>
    </row>
    <row r="63" ht="14" customHeight="1" s="176">
      <c r="A63" s="103" t="inlineStr">
        <is>
          <t>El Molle</t>
        </is>
      </c>
      <c r="B63" s="104" t="inlineStr">
        <is>
          <t>Wonderful 5,25 ha</t>
        </is>
      </c>
      <c r="C63" s="104" t="inlineStr">
        <is>
          <t>1- M.O. directa</t>
        </is>
      </c>
      <c r="D63" s="104" t="inlineStr">
        <is>
          <t xml:space="preserve">11- mantención de cercos </t>
        </is>
      </c>
      <c r="E63" s="104" t="inlineStr">
        <is>
          <t>día</t>
        </is>
      </c>
      <c r="F63" s="105" t="n">
        <v>35304.5</v>
      </c>
      <c r="G63" s="106" t="n">
        <v>38500</v>
      </c>
      <c r="H63" s="107" t="n"/>
      <c r="I63" s="108">
        <f>IF(H63="","",G63*H63)</f>
        <v/>
      </c>
      <c r="J63" s="243">
        <f>IF(I63="","",F63-I63)</f>
        <v/>
      </c>
      <c r="K63" s="110">
        <f>IF(OR(I63="",F63=0),"",I63/F63)</f>
        <v/>
      </c>
      <c r="L63" s="111">
        <f>IF(K63="","⚪",IF(K63&gt;1.2,"🔴",IF(K63&gt;1.1,"🟡","🟢")))</f>
        <v/>
      </c>
      <c r="N63" s="105" t="n">
        <v>35304.5</v>
      </c>
      <c r="O63" s="106" t="n">
        <v>38500</v>
      </c>
      <c r="P63" s="107" t="n"/>
      <c r="Q63" s="108">
        <f>IF(P63="","",O63*P63)</f>
        <v/>
      </c>
      <c r="R63" s="243">
        <f>IF(Q63="","",N63-Q63)</f>
        <v/>
      </c>
      <c r="S63" s="110">
        <f>IF(OR(Q63="",N63=0),"",Q63/N63)</f>
        <v/>
      </c>
      <c r="T63" s="111">
        <f>IF(S63="","⚪",IF(S63&gt;1.2,"🔴",IF(S63&gt;1.1,"🟡","🟢")))</f>
        <v/>
      </c>
      <c r="V63" s="105" t="n">
        <v>35304.5</v>
      </c>
      <c r="W63" s="106" t="n">
        <v>38500</v>
      </c>
      <c r="X63" s="107" t="n"/>
      <c r="Y63" s="108">
        <f>IF(X63="","",W63*X63)</f>
        <v/>
      </c>
      <c r="Z63" s="243">
        <f>IF(Y63="","",V63-Y63)</f>
        <v/>
      </c>
      <c r="AA63" s="110">
        <f>IF(OR(Y63="",V63=0),"",Y63/V63)</f>
        <v/>
      </c>
      <c r="AB63" s="111">
        <f>IF(AA63="","⚪",IF(AA63&gt;1.2,"🔴",IF(AA63&gt;1.1,"🟡","🟢")))</f>
        <v/>
      </c>
      <c r="AD63" s="105" t="n">
        <v>35304.5</v>
      </c>
      <c r="AE63" s="106" t="n">
        <v>38500</v>
      </c>
      <c r="AF63" s="107" t="n"/>
      <c r="AG63" s="108">
        <f>IF(AF63="","",AE63*AF63)</f>
        <v/>
      </c>
      <c r="AH63" s="243">
        <f>IF(AG63="","",AD63-AG63)</f>
        <v/>
      </c>
      <c r="AI63" s="110">
        <f>IF(OR(AG63="",AD63=0),"",AG63/AD63)</f>
        <v/>
      </c>
      <c r="AJ63" s="111">
        <f>IF(AI63="","⚪",IF(AI63&gt;1.2,"🔴",IF(AI63&gt;1.1,"🟡","🟢")))</f>
        <v/>
      </c>
    </row>
    <row r="64" ht="14" customHeight="1" s="176">
      <c r="A64" s="112" t="inlineStr">
        <is>
          <t>El Molle</t>
        </is>
      </c>
      <c r="B64" s="113" t="inlineStr">
        <is>
          <t>Wonderful 5,25 ha</t>
        </is>
      </c>
      <c r="C64" s="113" t="inlineStr">
        <is>
          <t>1- M.O. directa</t>
        </is>
      </c>
      <c r="D64" s="113" t="inlineStr">
        <is>
          <t>12- Picar sarmiento</t>
        </is>
      </c>
      <c r="E64" s="113" t="inlineStr">
        <is>
          <t>trato</t>
        </is>
      </c>
      <c r="F64" s="105" t="n">
        <v>10485.24</v>
      </c>
      <c r="G64" s="106" t="n">
        <v>60</v>
      </c>
      <c r="H64" s="107" t="n"/>
      <c r="I64" s="108">
        <f>IF(H64="","",G64*H64)</f>
        <v/>
      </c>
      <c r="J64" s="243">
        <f>IF(I64="","",F64-I64)</f>
        <v/>
      </c>
      <c r="K64" s="110">
        <f>IF(OR(I64="",F64=0),"",I64/F64)</f>
        <v/>
      </c>
      <c r="L64" s="111">
        <f>IF(K64="","⚪",IF(K64&gt;1.2,"🔴",IF(K64&gt;1.1,"🟡","🟢")))</f>
        <v/>
      </c>
      <c r="N64" s="105" t="n">
        <v>10485.24</v>
      </c>
      <c r="O64" s="106" t="n">
        <v>60</v>
      </c>
      <c r="P64" s="107" t="n"/>
      <c r="Q64" s="108">
        <f>IF(P64="","",O64*P64)</f>
        <v/>
      </c>
      <c r="R64" s="243">
        <f>IF(Q64="","",N64-Q64)</f>
        <v/>
      </c>
      <c r="S64" s="110">
        <f>IF(OR(Q64="",N64=0),"",Q64/N64)</f>
        <v/>
      </c>
      <c r="T64" s="111">
        <f>IF(S64="","⚪",IF(S64&gt;1.2,"🔴",IF(S64&gt;1.1,"🟡","🟢")))</f>
        <v/>
      </c>
      <c r="V64" s="105" t="n">
        <v>10485.24</v>
      </c>
      <c r="W64" s="106" t="n">
        <v>60</v>
      </c>
      <c r="X64" s="107" t="n"/>
      <c r="Y64" s="108">
        <f>IF(X64="","",W64*X64)</f>
        <v/>
      </c>
      <c r="Z64" s="243">
        <f>IF(Y64="","",V64-Y64)</f>
        <v/>
      </c>
      <c r="AA64" s="110">
        <f>IF(OR(Y64="",V64=0),"",Y64/V64)</f>
        <v/>
      </c>
      <c r="AB64" s="111">
        <f>IF(AA64="","⚪",IF(AA64&gt;1.2,"🔴",IF(AA64&gt;1.1,"🟡","🟢")))</f>
        <v/>
      </c>
      <c r="AD64" s="105" t="n">
        <v>10485.24</v>
      </c>
      <c r="AE64" s="106" t="n">
        <v>60</v>
      </c>
      <c r="AF64" s="107" t="n"/>
      <c r="AG64" s="108">
        <f>IF(AF64="","",AE64*AF64)</f>
        <v/>
      </c>
      <c r="AH64" s="243">
        <f>IF(AG64="","",AD64-AG64)</f>
        <v/>
      </c>
      <c r="AI64" s="110">
        <f>IF(OR(AG64="",AD64=0),"",AG64/AD64)</f>
        <v/>
      </c>
      <c r="AJ64" s="111">
        <f>IF(AI64="","⚪",IF(AI64&gt;1.2,"🔴",IF(AI64&gt;1.1,"🟡","🟢")))</f>
        <v/>
      </c>
    </row>
    <row r="65" ht="14" customHeight="1" s="176">
      <c r="A65" s="103" t="inlineStr">
        <is>
          <t>El Molle</t>
        </is>
      </c>
      <c r="B65" s="104" t="inlineStr">
        <is>
          <t>Wonderful 5,25 ha</t>
        </is>
      </c>
      <c r="C65" s="104" t="inlineStr">
        <is>
          <t>1- M.O. directa</t>
        </is>
      </c>
      <c r="D65" s="104" t="inlineStr">
        <is>
          <t>13- Desbrote de corona</t>
        </is>
      </c>
      <c r="E65" s="104" t="inlineStr">
        <is>
          <t>trato</t>
        </is>
      </c>
      <c r="F65" s="105" t="n">
        <v>20970.48</v>
      </c>
      <c r="G65" s="106" t="n">
        <v>120</v>
      </c>
      <c r="H65" s="107" t="n"/>
      <c r="I65" s="108">
        <f>IF(H65="","",G65*H65)</f>
        <v/>
      </c>
      <c r="J65" s="243">
        <f>IF(I65="","",F65-I65)</f>
        <v/>
      </c>
      <c r="K65" s="110">
        <f>IF(OR(I65="",F65=0),"",I65/F65)</f>
        <v/>
      </c>
      <c r="L65" s="111">
        <f>IF(K65="","⚪",IF(K65&gt;1.2,"🔴",IF(K65&gt;1.1,"🟡","🟢")))</f>
        <v/>
      </c>
      <c r="N65" s="105" t="n">
        <v>20970.48</v>
      </c>
      <c r="O65" s="106" t="n">
        <v>120</v>
      </c>
      <c r="P65" s="107" t="n"/>
      <c r="Q65" s="108">
        <f>IF(P65="","",O65*P65)</f>
        <v/>
      </c>
      <c r="R65" s="243">
        <f>IF(Q65="","",N65-Q65)</f>
        <v/>
      </c>
      <c r="S65" s="110">
        <f>IF(OR(Q65="",N65=0),"",Q65/N65)</f>
        <v/>
      </c>
      <c r="T65" s="111">
        <f>IF(S65="","⚪",IF(S65&gt;1.2,"🔴",IF(S65&gt;1.1,"🟡","🟢")))</f>
        <v/>
      </c>
      <c r="V65" s="105" t="n">
        <v>20970.48</v>
      </c>
      <c r="W65" s="106" t="n">
        <v>120</v>
      </c>
      <c r="X65" s="107" t="n"/>
      <c r="Y65" s="108">
        <f>IF(X65="","",W65*X65)</f>
        <v/>
      </c>
      <c r="Z65" s="243">
        <f>IF(Y65="","",V65-Y65)</f>
        <v/>
      </c>
      <c r="AA65" s="110">
        <f>IF(OR(Y65="",V65=0),"",Y65/V65)</f>
        <v/>
      </c>
      <c r="AB65" s="111">
        <f>IF(AA65="","⚪",IF(AA65&gt;1.2,"🔴",IF(AA65&gt;1.1,"🟡","🟢")))</f>
        <v/>
      </c>
      <c r="AD65" s="105" t="n">
        <v>20970.48</v>
      </c>
      <c r="AE65" s="106" t="n">
        <v>120</v>
      </c>
      <c r="AF65" s="107" t="n"/>
      <c r="AG65" s="108">
        <f>IF(AF65="","",AE65*AF65)</f>
        <v/>
      </c>
      <c r="AH65" s="243">
        <f>IF(AG65="","",AD65-AG65)</f>
        <v/>
      </c>
      <c r="AI65" s="110">
        <f>IF(OR(AG65="",AD65=0),"",AG65/AD65)</f>
        <v/>
      </c>
      <c r="AJ65" s="111">
        <f>IF(AI65="","⚪",IF(AI65&gt;1.2,"🔴",IF(AI65&gt;1.1,"🟡","🟢")))</f>
        <v/>
      </c>
    </row>
    <row r="66" ht="14" customHeight="1" s="176">
      <c r="A66" s="112" t="inlineStr">
        <is>
          <t>El Molle</t>
        </is>
      </c>
      <c r="B66" s="113" t="inlineStr">
        <is>
          <t>Wonderful 5,25 ha</t>
        </is>
      </c>
      <c r="C66" s="113" t="inlineStr">
        <is>
          <t>1- M.O. directa</t>
        </is>
      </c>
      <c r="D66" s="113" t="inlineStr">
        <is>
          <t>14- Poda de sierrpes</t>
        </is>
      </c>
      <c r="E66" s="113" t="inlineStr">
        <is>
          <t>trato</t>
        </is>
      </c>
      <c r="F66" s="105" t="n">
        <v>52426.2</v>
      </c>
      <c r="G66" s="106" t="n">
        <v>60</v>
      </c>
      <c r="H66" s="107" t="n"/>
      <c r="I66" s="108">
        <f>IF(H66="","",G66*H66)</f>
        <v/>
      </c>
      <c r="J66" s="243">
        <f>IF(I66="","",F66-I66)</f>
        <v/>
      </c>
      <c r="K66" s="110">
        <f>IF(OR(I66="",F66=0),"",I66/F66)</f>
        <v/>
      </c>
      <c r="L66" s="111">
        <f>IF(K66="","⚪",IF(K66&gt;1.2,"🔴",IF(K66&gt;1.1,"🟡","🟢")))</f>
        <v/>
      </c>
      <c r="N66" s="105" t="n">
        <v>52426.2</v>
      </c>
      <c r="O66" s="106" t="n">
        <v>60</v>
      </c>
      <c r="P66" s="107" t="n"/>
      <c r="Q66" s="108">
        <f>IF(P66="","",O66*P66)</f>
        <v/>
      </c>
      <c r="R66" s="243">
        <f>IF(Q66="","",N66-Q66)</f>
        <v/>
      </c>
      <c r="S66" s="110">
        <f>IF(OR(Q66="",N66=0),"",Q66/N66)</f>
        <v/>
      </c>
      <c r="T66" s="111">
        <f>IF(S66="","⚪",IF(S66&gt;1.2,"🔴",IF(S66&gt;1.1,"🟡","🟢")))</f>
        <v/>
      </c>
      <c r="V66" s="105" t="n">
        <v>52426.2</v>
      </c>
      <c r="W66" s="106" t="n">
        <v>60</v>
      </c>
      <c r="X66" s="107" t="n"/>
      <c r="Y66" s="108">
        <f>IF(X66="","",W66*X66)</f>
        <v/>
      </c>
      <c r="Z66" s="243">
        <f>IF(Y66="","",V66-Y66)</f>
        <v/>
      </c>
      <c r="AA66" s="110">
        <f>IF(OR(Y66="",V66=0),"",Y66/V66)</f>
        <v/>
      </c>
      <c r="AB66" s="111">
        <f>IF(AA66="","⚪",IF(AA66&gt;1.2,"🔴",IF(AA66&gt;1.1,"🟡","🟢")))</f>
        <v/>
      </c>
      <c r="AD66" s="105" t="n">
        <v>52426.2</v>
      </c>
      <c r="AE66" s="106" t="n">
        <v>60</v>
      </c>
      <c r="AF66" s="107" t="n"/>
      <c r="AG66" s="108">
        <f>IF(AF66="","",AE66*AF66)</f>
        <v/>
      </c>
      <c r="AH66" s="243">
        <f>IF(AG66="","",AD66-AG66)</f>
        <v/>
      </c>
      <c r="AI66" s="110">
        <f>IF(OR(AG66="",AD66=0),"",AG66/AD66)</f>
        <v/>
      </c>
      <c r="AJ66" s="111">
        <f>IF(AI66="","⚪",IF(AI66&gt;1.2,"🔴",IF(AI66&gt;1.1,"🟡","🟢")))</f>
        <v/>
      </c>
    </row>
    <row r="67" ht="14" customHeight="1" s="176">
      <c r="A67" s="103" t="inlineStr">
        <is>
          <t>El Molle</t>
        </is>
      </c>
      <c r="B67" s="104" t="inlineStr">
        <is>
          <t>Wonderful 5,25 ha</t>
        </is>
      </c>
      <c r="C67" s="104" t="inlineStr">
        <is>
          <t>1- M.O. directa</t>
        </is>
      </c>
      <c r="D67" s="104" t="inlineStr">
        <is>
          <t>15- Poda</t>
        </is>
      </c>
      <c r="E67" s="104" t="inlineStr">
        <is>
          <t>trato</t>
        </is>
      </c>
      <c r="F67" s="105" t="n">
        <v>104852.4</v>
      </c>
      <c r="G67" s="106" t="n">
        <v>600</v>
      </c>
      <c r="H67" s="107" t="n"/>
      <c r="I67" s="108">
        <f>IF(H67="","",G67*H67)</f>
        <v/>
      </c>
      <c r="J67" s="243">
        <f>IF(I67="","",F67-I67)</f>
        <v/>
      </c>
      <c r="K67" s="110">
        <f>IF(OR(I67="",F67=0),"",I67/F67)</f>
        <v/>
      </c>
      <c r="L67" s="111">
        <f>IF(K67="","⚪",IF(K67&gt;1.2,"🔴",IF(K67&gt;1.1,"🟡","🟢")))</f>
        <v/>
      </c>
      <c r="N67" s="105" t="n">
        <v>104852.4</v>
      </c>
      <c r="O67" s="106" t="n">
        <v>600</v>
      </c>
      <c r="P67" s="107" t="n"/>
      <c r="Q67" s="108">
        <f>IF(P67="","",O67*P67)</f>
        <v/>
      </c>
      <c r="R67" s="243">
        <f>IF(Q67="","",N67-Q67)</f>
        <v/>
      </c>
      <c r="S67" s="110">
        <f>IF(OR(Q67="",N67=0),"",Q67/N67)</f>
        <v/>
      </c>
      <c r="T67" s="111">
        <f>IF(S67="","⚪",IF(S67&gt;1.2,"🔴",IF(S67&gt;1.1,"🟡","🟢")))</f>
        <v/>
      </c>
      <c r="V67" s="105" t="n">
        <v>104852.4</v>
      </c>
      <c r="W67" s="106" t="n">
        <v>600</v>
      </c>
      <c r="X67" s="107" t="n"/>
      <c r="Y67" s="108">
        <f>IF(X67="","",W67*X67)</f>
        <v/>
      </c>
      <c r="Z67" s="243">
        <f>IF(Y67="","",V67-Y67)</f>
        <v/>
      </c>
      <c r="AA67" s="110">
        <f>IF(OR(Y67="",V67=0),"",Y67/V67)</f>
        <v/>
      </c>
      <c r="AB67" s="111">
        <f>IF(AA67="","⚪",IF(AA67&gt;1.2,"🔴",IF(AA67&gt;1.1,"🟡","🟢")))</f>
        <v/>
      </c>
      <c r="AD67" s="105" t="n">
        <v>104852.4</v>
      </c>
      <c r="AE67" s="106" t="n">
        <v>600</v>
      </c>
      <c r="AF67" s="107" t="n"/>
      <c r="AG67" s="108">
        <f>IF(AF67="","",AE67*AF67)</f>
        <v/>
      </c>
      <c r="AH67" s="243">
        <f>IF(AG67="","",AD67-AG67)</f>
        <v/>
      </c>
      <c r="AI67" s="110">
        <f>IF(OR(AG67="",AD67=0),"",AG67/AD67)</f>
        <v/>
      </c>
      <c r="AJ67" s="111">
        <f>IF(AI67="","⚪",IF(AI67&gt;1.2,"🔴",IF(AI67&gt;1.1,"🟡","🟢")))</f>
        <v/>
      </c>
    </row>
    <row r="68" ht="14" customHeight="1" s="176">
      <c r="A68" s="112" t="inlineStr">
        <is>
          <t>El Molle</t>
        </is>
      </c>
      <c r="B68" s="113" t="inlineStr">
        <is>
          <t>Wonderful 5,25 ha</t>
        </is>
      </c>
      <c r="C68" s="113" t="inlineStr">
        <is>
          <t>1- M.O. directa</t>
        </is>
      </c>
      <c r="D68" s="113" t="inlineStr">
        <is>
          <t>16- Supervisor poda</t>
        </is>
      </c>
      <c r="E68" s="113" t="inlineStr">
        <is>
          <t>día</t>
        </is>
      </c>
      <c r="F68" s="105" t="n">
        <v>13106.55</v>
      </c>
      <c r="G68" s="106" t="n">
        <v>75</v>
      </c>
      <c r="H68" s="107" t="n"/>
      <c r="I68" s="108">
        <f>IF(H68="","",G68*H68)</f>
        <v/>
      </c>
      <c r="J68" s="243">
        <f>IF(I68="","",F68-I68)</f>
        <v/>
      </c>
      <c r="K68" s="110">
        <f>IF(OR(I68="",F68=0),"",I68/F68)</f>
        <v/>
      </c>
      <c r="L68" s="111">
        <f>IF(K68="","⚪",IF(K68&gt;1.2,"🔴",IF(K68&gt;1.1,"🟡","🟢")))</f>
        <v/>
      </c>
      <c r="N68" s="105" t="n">
        <v>13106.55</v>
      </c>
      <c r="O68" s="106" t="n">
        <v>75</v>
      </c>
      <c r="P68" s="107" t="n"/>
      <c r="Q68" s="108">
        <f>IF(P68="","",O68*P68)</f>
        <v/>
      </c>
      <c r="R68" s="243">
        <f>IF(Q68="","",N68-Q68)</f>
        <v/>
      </c>
      <c r="S68" s="110">
        <f>IF(OR(Q68="",N68=0),"",Q68/N68)</f>
        <v/>
      </c>
      <c r="T68" s="111">
        <f>IF(S68="","⚪",IF(S68&gt;1.2,"🔴",IF(S68&gt;1.1,"🟡","🟢")))</f>
        <v/>
      </c>
      <c r="V68" s="105" t="n">
        <v>13106.55</v>
      </c>
      <c r="W68" s="106" t="n">
        <v>75</v>
      </c>
      <c r="X68" s="107" t="n"/>
      <c r="Y68" s="108">
        <f>IF(X68="","",W68*X68)</f>
        <v/>
      </c>
      <c r="Z68" s="243">
        <f>IF(Y68="","",V68-Y68)</f>
        <v/>
      </c>
      <c r="AA68" s="110">
        <f>IF(OR(Y68="",V68=0),"",Y68/V68)</f>
        <v/>
      </c>
      <c r="AB68" s="111">
        <f>IF(AA68="","⚪",IF(AA68&gt;1.2,"🔴",IF(AA68&gt;1.1,"🟡","🟢")))</f>
        <v/>
      </c>
      <c r="AD68" s="105" t="n">
        <v>13106.55</v>
      </c>
      <c r="AE68" s="106" t="n">
        <v>75</v>
      </c>
      <c r="AF68" s="107" t="n"/>
      <c r="AG68" s="108">
        <f>IF(AF68="","",AE68*AF68)</f>
        <v/>
      </c>
      <c r="AH68" s="243">
        <f>IF(AG68="","",AD68-AG68)</f>
        <v/>
      </c>
      <c r="AI68" s="110">
        <f>IF(OR(AG68="",AD68=0),"",AG68/AD68)</f>
        <v/>
      </c>
      <c r="AJ68" s="111">
        <f>IF(AI68="","⚪",IF(AI68&gt;1.2,"🔴",IF(AI68&gt;1.1,"🟡","🟢")))</f>
        <v/>
      </c>
    </row>
    <row r="69" ht="14" customHeight="1" s="176">
      <c r="A69" s="103" t="inlineStr">
        <is>
          <t>El Molle</t>
        </is>
      </c>
      <c r="B69" s="104" t="inlineStr">
        <is>
          <t>Wonderful 5,25 ha</t>
        </is>
      </c>
      <c r="C69" s="104" t="inlineStr">
        <is>
          <t>1- M.O. directa</t>
        </is>
      </c>
      <c r="D69" s="104" t="inlineStr">
        <is>
          <t>17- Recepción, pesaje y despacho</t>
        </is>
      </c>
      <c r="E69" s="104" t="inlineStr">
        <is>
          <t>día</t>
        </is>
      </c>
      <c r="F69" s="105" t="n">
        <v>8300.16</v>
      </c>
      <c r="G69" s="106" t="n">
        <v>1.2</v>
      </c>
      <c r="H69" s="107" t="n"/>
      <c r="I69" s="108">
        <f>IF(H69="","",G69*H69)</f>
        <v/>
      </c>
      <c r="J69" s="243">
        <f>IF(I69="","",F69-I69)</f>
        <v/>
      </c>
      <c r="K69" s="110">
        <f>IF(OR(I69="",F69=0),"",I69/F69)</f>
        <v/>
      </c>
      <c r="L69" s="111">
        <f>IF(K69="","⚪",IF(K69&gt;1.2,"🔴",IF(K69&gt;1.1,"🟡","🟢")))</f>
        <v/>
      </c>
      <c r="N69" s="105" t="n">
        <v>8300.16</v>
      </c>
      <c r="O69" s="106" t="n">
        <v>1.2</v>
      </c>
      <c r="P69" s="107" t="n"/>
      <c r="Q69" s="108">
        <f>IF(P69="","",O69*P69)</f>
        <v/>
      </c>
      <c r="R69" s="243">
        <f>IF(Q69="","",N69-Q69)</f>
        <v/>
      </c>
      <c r="S69" s="110">
        <f>IF(OR(Q69="",N69=0),"",Q69/N69)</f>
        <v/>
      </c>
      <c r="T69" s="111">
        <f>IF(S69="","⚪",IF(S69&gt;1.2,"🔴",IF(S69&gt;1.1,"🟡","🟢")))</f>
        <v/>
      </c>
      <c r="V69" s="105" t="n">
        <v>8300.16</v>
      </c>
      <c r="W69" s="106" t="n">
        <v>1.2</v>
      </c>
      <c r="X69" s="107" t="n"/>
      <c r="Y69" s="108">
        <f>IF(X69="","",W69*X69)</f>
        <v/>
      </c>
      <c r="Z69" s="243">
        <f>IF(Y69="","",V69-Y69)</f>
        <v/>
      </c>
      <c r="AA69" s="110">
        <f>IF(OR(Y69="",V69=0),"",Y69/V69)</f>
        <v/>
      </c>
      <c r="AB69" s="111">
        <f>IF(AA69="","⚪",IF(AA69&gt;1.2,"🔴",IF(AA69&gt;1.1,"🟡","🟢")))</f>
        <v/>
      </c>
      <c r="AD69" s="105" t="n">
        <v>8300.16</v>
      </c>
      <c r="AE69" s="106" t="n">
        <v>1.2</v>
      </c>
      <c r="AF69" s="107" t="n"/>
      <c r="AG69" s="108">
        <f>IF(AF69="","",AE69*AF69)</f>
        <v/>
      </c>
      <c r="AH69" s="243">
        <f>IF(AG69="","",AD69-AG69)</f>
        <v/>
      </c>
      <c r="AI69" s="110">
        <f>IF(OR(AG69="",AD69=0),"",AG69/AD69)</f>
        <v/>
      </c>
      <c r="AJ69" s="111">
        <f>IF(AI69="","⚪",IF(AI69&gt;1.2,"🔴",IF(AI69&gt;1.1,"🟡","🟢")))</f>
        <v/>
      </c>
    </row>
    <row r="70" ht="14" customHeight="1" s="176">
      <c r="A70" s="112" t="inlineStr">
        <is>
          <t>El Molle</t>
        </is>
      </c>
      <c r="B70" s="113" t="inlineStr">
        <is>
          <t>Wonderful 5,25 ha</t>
        </is>
      </c>
      <c r="C70" s="113" t="inlineStr">
        <is>
          <t>1- M.O. directa</t>
        </is>
      </c>
      <c r="D70" s="113" t="inlineStr">
        <is>
          <t>19- Postura gorros</t>
        </is>
      </c>
      <c r="E70" s="113" t="inlineStr">
        <is>
          <t>día</t>
        </is>
      </c>
      <c r="F70" s="105" t="n">
        <v>80736.348</v>
      </c>
      <c r="G70" s="106" t="n">
        <v>462</v>
      </c>
      <c r="H70" s="107" t="n"/>
      <c r="I70" s="108">
        <f>IF(H70="","",G70*H70)</f>
        <v/>
      </c>
      <c r="J70" s="243">
        <f>IF(I70="","",F70-I70)</f>
        <v/>
      </c>
      <c r="K70" s="110">
        <f>IF(OR(I70="",F70=0),"",I70/F70)</f>
        <v/>
      </c>
      <c r="L70" s="111">
        <f>IF(K70="","⚪",IF(K70&gt;1.2,"🔴",IF(K70&gt;1.1,"🟡","🟢")))</f>
        <v/>
      </c>
      <c r="N70" s="105" t="n">
        <v>80736.348</v>
      </c>
      <c r="O70" s="106" t="n">
        <v>462</v>
      </c>
      <c r="P70" s="107" t="n"/>
      <c r="Q70" s="108">
        <f>IF(P70="","",O70*P70)</f>
        <v/>
      </c>
      <c r="R70" s="243">
        <f>IF(Q70="","",N70-Q70)</f>
        <v/>
      </c>
      <c r="S70" s="110">
        <f>IF(OR(Q70="",N70=0),"",Q70/N70)</f>
        <v/>
      </c>
      <c r="T70" s="111">
        <f>IF(S70="","⚪",IF(S70&gt;1.2,"🔴",IF(S70&gt;1.1,"🟡","🟢")))</f>
        <v/>
      </c>
      <c r="V70" s="105" t="n">
        <v>80736.348</v>
      </c>
      <c r="W70" s="106" t="n">
        <v>462</v>
      </c>
      <c r="X70" s="107" t="n"/>
      <c r="Y70" s="108">
        <f>IF(X70="","",W70*X70)</f>
        <v/>
      </c>
      <c r="Z70" s="243">
        <f>IF(Y70="","",V70-Y70)</f>
        <v/>
      </c>
      <c r="AA70" s="110">
        <f>IF(OR(Y70="",V70=0),"",Y70/V70)</f>
        <v/>
      </c>
      <c r="AB70" s="111">
        <f>IF(AA70="","⚪",IF(AA70&gt;1.2,"🔴",IF(AA70&gt;1.1,"🟡","🟢")))</f>
        <v/>
      </c>
      <c r="AD70" s="105" t="n">
        <v>80736.348</v>
      </c>
      <c r="AE70" s="106" t="n">
        <v>462</v>
      </c>
      <c r="AF70" s="107" t="n"/>
      <c r="AG70" s="108">
        <f>IF(AF70="","",AE70*AF70)</f>
        <v/>
      </c>
      <c r="AH70" s="243">
        <f>IF(AG70="","",AD70-AG70)</f>
        <v/>
      </c>
      <c r="AI70" s="110">
        <f>IF(OR(AG70="",AD70=0),"",AG70/AD70)</f>
        <v/>
      </c>
      <c r="AJ70" s="111">
        <f>IF(AI70="","⚪",IF(AI70&gt;1.2,"🔴",IF(AI70&gt;1.1,"🟡","🟢")))</f>
        <v/>
      </c>
    </row>
    <row r="71" ht="14" customHeight="1" s="176">
      <c r="A71" s="103" t="inlineStr">
        <is>
          <t>El Molle</t>
        </is>
      </c>
      <c r="B71" s="104" t="inlineStr">
        <is>
          <t>Wonderful 5,25 ha</t>
        </is>
      </c>
      <c r="C71" s="104" t="inlineStr">
        <is>
          <t>1- M.O. directa</t>
        </is>
      </c>
      <c r="D71" s="104" t="inlineStr">
        <is>
          <t>2- Supervisor cosecha</t>
        </is>
      </c>
      <c r="E71" s="104" t="inlineStr">
        <is>
          <t>día</t>
        </is>
      </c>
      <c r="F71" s="105" t="n">
        <v>40348</v>
      </c>
      <c r="G71" s="106" t="n">
        <v>7</v>
      </c>
      <c r="H71" s="107" t="n"/>
      <c r="I71" s="108">
        <f>IF(H71="","",G71*H71)</f>
        <v/>
      </c>
      <c r="J71" s="243">
        <f>IF(I71="","",F71-I71)</f>
        <v/>
      </c>
      <c r="K71" s="110">
        <f>IF(OR(I71="",F71=0),"",I71/F71)</f>
        <v/>
      </c>
      <c r="L71" s="111">
        <f>IF(K71="","⚪",IF(K71&gt;1.2,"🔴",IF(K71&gt;1.1,"🟡","🟢")))</f>
        <v/>
      </c>
      <c r="N71" s="105" t="n">
        <v>40348</v>
      </c>
      <c r="O71" s="106" t="n">
        <v>7</v>
      </c>
      <c r="P71" s="107" t="n"/>
      <c r="Q71" s="108">
        <f>IF(P71="","",O71*P71)</f>
        <v/>
      </c>
      <c r="R71" s="243">
        <f>IF(Q71="","",N71-Q71)</f>
        <v/>
      </c>
      <c r="S71" s="110">
        <f>IF(OR(Q71="",N71=0),"",Q71/N71)</f>
        <v/>
      </c>
      <c r="T71" s="111">
        <f>IF(S71="","⚪",IF(S71&gt;1.2,"🔴",IF(S71&gt;1.1,"🟡","🟢")))</f>
        <v/>
      </c>
      <c r="V71" s="105" t="n">
        <v>40348</v>
      </c>
      <c r="W71" s="106" t="n">
        <v>7</v>
      </c>
      <c r="X71" s="107" t="n"/>
      <c r="Y71" s="108">
        <f>IF(X71="","",W71*X71)</f>
        <v/>
      </c>
      <c r="Z71" s="243">
        <f>IF(Y71="","",V71-Y71)</f>
        <v/>
      </c>
      <c r="AA71" s="110">
        <f>IF(OR(Y71="",V71=0),"",Y71/V71)</f>
        <v/>
      </c>
      <c r="AB71" s="111">
        <f>IF(AA71="","⚪",IF(AA71&gt;1.2,"🔴",IF(AA71&gt;1.1,"🟡","🟢")))</f>
        <v/>
      </c>
      <c r="AD71" s="105" t="n">
        <v>40348</v>
      </c>
      <c r="AE71" s="106" t="n">
        <v>7</v>
      </c>
      <c r="AF71" s="107" t="n"/>
      <c r="AG71" s="108">
        <f>IF(AF71="","",AE71*AF71)</f>
        <v/>
      </c>
      <c r="AH71" s="243">
        <f>IF(AG71="","",AD71-AG71)</f>
        <v/>
      </c>
      <c r="AI71" s="110">
        <f>IF(OR(AG71="",AD71=0),"",AG71/AD71)</f>
        <v/>
      </c>
      <c r="AJ71" s="111">
        <f>IF(AI71="","⚪",IF(AI71&gt;1.2,"🔴",IF(AI71&gt;1.1,"🟡","🟢")))</f>
        <v/>
      </c>
    </row>
    <row r="72" ht="14" customHeight="1" s="176">
      <c r="A72" s="112" t="inlineStr">
        <is>
          <t>El Molle</t>
        </is>
      </c>
      <c r="B72" s="113" t="inlineStr">
        <is>
          <t>Wonderful 5,25 ha</t>
        </is>
      </c>
      <c r="C72" s="113" t="inlineStr">
        <is>
          <t>1- M.O. directa</t>
        </is>
      </c>
      <c r="D72" s="113" t="inlineStr">
        <is>
          <t>20- sacado gorros</t>
        </is>
      </c>
      <c r="E72" s="113" t="inlineStr">
        <is>
          <t>día</t>
        </is>
      </c>
      <c r="F72" s="105" t="n">
        <v>38445.88</v>
      </c>
      <c r="G72" s="106" t="n">
        <v>220</v>
      </c>
      <c r="H72" s="107" t="n"/>
      <c r="I72" s="108">
        <f>IF(H72="","",G72*H72)</f>
        <v/>
      </c>
      <c r="J72" s="243">
        <f>IF(I72="","",F72-I72)</f>
        <v/>
      </c>
      <c r="K72" s="110">
        <f>IF(OR(I72="",F72=0),"",I72/F72)</f>
        <v/>
      </c>
      <c r="L72" s="111">
        <f>IF(K72="","⚪",IF(K72&gt;1.2,"🔴",IF(K72&gt;1.1,"🟡","🟢")))</f>
        <v/>
      </c>
      <c r="N72" s="105" t="n">
        <v>38445.88</v>
      </c>
      <c r="O72" s="106" t="n">
        <v>220</v>
      </c>
      <c r="P72" s="107" t="n"/>
      <c r="Q72" s="108">
        <f>IF(P72="","",O72*P72)</f>
        <v/>
      </c>
      <c r="R72" s="243">
        <f>IF(Q72="","",N72-Q72)</f>
        <v/>
      </c>
      <c r="S72" s="110">
        <f>IF(OR(Q72="",N72=0),"",Q72/N72)</f>
        <v/>
      </c>
      <c r="T72" s="111">
        <f>IF(S72="","⚪",IF(S72&gt;1.2,"🔴",IF(S72&gt;1.1,"🟡","🟢")))</f>
        <v/>
      </c>
      <c r="V72" s="105" t="n">
        <v>38445.88</v>
      </c>
      <c r="W72" s="106" t="n">
        <v>220</v>
      </c>
      <c r="X72" s="107" t="n"/>
      <c r="Y72" s="108">
        <f>IF(X72="","",W72*X72)</f>
        <v/>
      </c>
      <c r="Z72" s="243">
        <f>IF(Y72="","",V72-Y72)</f>
        <v/>
      </c>
      <c r="AA72" s="110">
        <f>IF(OR(Y72="",V72=0),"",Y72/V72)</f>
        <v/>
      </c>
      <c r="AB72" s="111">
        <f>IF(AA72="","⚪",IF(AA72&gt;1.2,"🔴",IF(AA72&gt;1.1,"🟡","🟢")))</f>
        <v/>
      </c>
      <c r="AD72" s="105" t="n">
        <v>38445.88</v>
      </c>
      <c r="AE72" s="106" t="n">
        <v>220</v>
      </c>
      <c r="AF72" s="107" t="n"/>
      <c r="AG72" s="108">
        <f>IF(AF72="","",AE72*AF72)</f>
        <v/>
      </c>
      <c r="AH72" s="243">
        <f>IF(AG72="","",AD72-AG72)</f>
        <v/>
      </c>
      <c r="AI72" s="110">
        <f>IF(OR(AG72="",AD72=0),"",AG72/AD72)</f>
        <v/>
      </c>
      <c r="AJ72" s="111">
        <f>IF(AI72="","⚪",IF(AI72&gt;1.2,"🔴",IF(AI72&gt;1.1,"🟡","🟢")))</f>
        <v/>
      </c>
    </row>
    <row r="73" ht="14" customHeight="1" s="176">
      <c r="A73" s="103" t="inlineStr">
        <is>
          <t>El Molle</t>
        </is>
      </c>
      <c r="B73" s="104" t="inlineStr">
        <is>
          <t>Wonderful 5,25 ha</t>
        </is>
      </c>
      <c r="C73" s="104" t="inlineStr">
        <is>
          <t>1- M.O. directa</t>
        </is>
      </c>
      <c r="D73" s="104" t="inlineStr">
        <is>
          <t>3- Selección</t>
        </is>
      </c>
      <c r="E73" s="104" t="inlineStr">
        <is>
          <t>trato</t>
        </is>
      </c>
      <c r="F73" s="105" t="n">
        <v>28820</v>
      </c>
      <c r="G73" s="106" t="n">
        <v>5</v>
      </c>
      <c r="H73" s="107" t="n"/>
      <c r="I73" s="108">
        <f>IF(H73="","",G73*H73)</f>
        <v/>
      </c>
      <c r="J73" s="243">
        <f>IF(I73="","",F73-I73)</f>
        <v/>
      </c>
      <c r="K73" s="110">
        <f>IF(OR(I73="",F73=0),"",I73/F73)</f>
        <v/>
      </c>
      <c r="L73" s="111">
        <f>IF(K73="","⚪",IF(K73&gt;1.2,"🔴",IF(K73&gt;1.1,"🟡","🟢")))</f>
        <v/>
      </c>
      <c r="N73" s="105" t="n">
        <v>28820</v>
      </c>
      <c r="O73" s="106" t="n">
        <v>5</v>
      </c>
      <c r="P73" s="107" t="n"/>
      <c r="Q73" s="108">
        <f>IF(P73="","",O73*P73)</f>
        <v/>
      </c>
      <c r="R73" s="243">
        <f>IF(Q73="","",N73-Q73)</f>
        <v/>
      </c>
      <c r="S73" s="110">
        <f>IF(OR(Q73="",N73=0),"",Q73/N73)</f>
        <v/>
      </c>
      <c r="T73" s="111">
        <f>IF(S73="","⚪",IF(S73&gt;1.2,"🔴",IF(S73&gt;1.1,"🟡","🟢")))</f>
        <v/>
      </c>
      <c r="V73" s="105" t="n">
        <v>28820</v>
      </c>
      <c r="W73" s="106" t="n">
        <v>5</v>
      </c>
      <c r="X73" s="107" t="n"/>
      <c r="Y73" s="108">
        <f>IF(X73="","",W73*X73)</f>
        <v/>
      </c>
      <c r="Z73" s="243">
        <f>IF(Y73="","",V73-Y73)</f>
        <v/>
      </c>
      <c r="AA73" s="110">
        <f>IF(OR(Y73="",V73=0),"",Y73/V73)</f>
        <v/>
      </c>
      <c r="AB73" s="111">
        <f>IF(AA73="","⚪",IF(AA73&gt;1.2,"🔴",IF(AA73&gt;1.1,"🟡","🟢")))</f>
        <v/>
      </c>
      <c r="AD73" s="105" t="n">
        <v>28820</v>
      </c>
      <c r="AE73" s="106" t="n">
        <v>5</v>
      </c>
      <c r="AF73" s="107" t="n"/>
      <c r="AG73" s="108">
        <f>IF(AF73="","",AE73*AF73)</f>
        <v/>
      </c>
      <c r="AH73" s="243">
        <f>IF(AG73="","",AD73-AG73)</f>
        <v/>
      </c>
      <c r="AI73" s="110">
        <f>IF(OR(AG73="",AD73=0),"",AG73/AD73)</f>
        <v/>
      </c>
      <c r="AJ73" s="111">
        <f>IF(AI73="","⚪",IF(AI73&gt;1.2,"🔴",IF(AI73&gt;1.1,"🟡","🟢")))</f>
        <v/>
      </c>
    </row>
    <row r="74" ht="14" customHeight="1" s="176">
      <c r="A74" s="112" t="inlineStr">
        <is>
          <t>El Molle</t>
        </is>
      </c>
      <c r="B74" s="113" t="inlineStr">
        <is>
          <t>Wonderful 5,25 ha</t>
        </is>
      </c>
      <c r="C74" s="113" t="inlineStr">
        <is>
          <t>1- M.O. directa</t>
        </is>
      </c>
      <c r="D74" s="113" t="inlineStr">
        <is>
          <t>3- Tractorista cosecha</t>
        </is>
      </c>
      <c r="E74" s="113" t="inlineStr">
        <is>
          <t>día</t>
        </is>
      </c>
      <c r="F74" s="105" t="n">
        <v>17292</v>
      </c>
      <c r="G74" s="106" t="n">
        <v>3</v>
      </c>
      <c r="H74" s="107" t="n"/>
      <c r="I74" s="108">
        <f>IF(H74="","",G74*H74)</f>
        <v/>
      </c>
      <c r="J74" s="243">
        <f>IF(I74="","",F74-I74)</f>
        <v/>
      </c>
      <c r="K74" s="110">
        <f>IF(OR(I74="",F74=0),"",I74/F74)</f>
        <v/>
      </c>
      <c r="L74" s="111">
        <f>IF(K74="","⚪",IF(K74&gt;1.2,"🔴",IF(K74&gt;1.1,"🟡","🟢")))</f>
        <v/>
      </c>
      <c r="N74" s="105" t="n">
        <v>17292</v>
      </c>
      <c r="O74" s="106" t="n">
        <v>3</v>
      </c>
      <c r="P74" s="107" t="n"/>
      <c r="Q74" s="108">
        <f>IF(P74="","",O74*P74)</f>
        <v/>
      </c>
      <c r="R74" s="243">
        <f>IF(Q74="","",N74-Q74)</f>
        <v/>
      </c>
      <c r="S74" s="110">
        <f>IF(OR(Q74="",N74=0),"",Q74/N74)</f>
        <v/>
      </c>
      <c r="T74" s="111">
        <f>IF(S74="","⚪",IF(S74&gt;1.2,"🔴",IF(S74&gt;1.1,"🟡","🟢")))</f>
        <v/>
      </c>
      <c r="V74" s="105" t="n">
        <v>17292</v>
      </c>
      <c r="W74" s="106" t="n">
        <v>3</v>
      </c>
      <c r="X74" s="107" t="n"/>
      <c r="Y74" s="108">
        <f>IF(X74="","",W74*X74)</f>
        <v/>
      </c>
      <c r="Z74" s="243">
        <f>IF(Y74="","",V74-Y74)</f>
        <v/>
      </c>
      <c r="AA74" s="110">
        <f>IF(OR(Y74="",V74=0),"",Y74/V74)</f>
        <v/>
      </c>
      <c r="AB74" s="111">
        <f>IF(AA74="","⚪",IF(AA74&gt;1.2,"🔴",IF(AA74&gt;1.1,"🟡","🟢")))</f>
        <v/>
      </c>
      <c r="AD74" s="105" t="n">
        <v>17292</v>
      </c>
      <c r="AE74" s="106" t="n">
        <v>3</v>
      </c>
      <c r="AF74" s="107" t="n"/>
      <c r="AG74" s="108">
        <f>IF(AF74="","",AE74*AF74)</f>
        <v/>
      </c>
      <c r="AH74" s="243">
        <f>IF(AG74="","",AD74-AG74)</f>
        <v/>
      </c>
      <c r="AI74" s="110">
        <f>IF(OR(AG74="",AD74=0),"",AG74/AD74)</f>
        <v/>
      </c>
      <c r="AJ74" s="111">
        <f>IF(AI74="","⚪",IF(AI74&gt;1.2,"🔴",IF(AI74&gt;1.1,"🟡","🟢")))</f>
        <v/>
      </c>
    </row>
    <row r="75" ht="14" customHeight="1" s="176">
      <c r="A75" s="103" t="inlineStr">
        <is>
          <t>El Molle</t>
        </is>
      </c>
      <c r="B75" s="104" t="inlineStr">
        <is>
          <t>Wonderful 5,25 ha</t>
        </is>
      </c>
      <c r="C75" s="104" t="inlineStr">
        <is>
          <t>1- M.O. directa</t>
        </is>
      </c>
      <c r="D75" s="104" t="inlineStr">
        <is>
          <t>4- Grua</t>
        </is>
      </c>
      <c r="E75" s="104" t="inlineStr">
        <is>
          <t>día</t>
        </is>
      </c>
      <c r="F75" s="105" t="n">
        <v>8646</v>
      </c>
      <c r="G75" s="106" t="n">
        <v>1.5</v>
      </c>
      <c r="H75" s="107" t="n"/>
      <c r="I75" s="108">
        <f>IF(H75="","",G75*H75)</f>
        <v/>
      </c>
      <c r="J75" s="243">
        <f>IF(I75="","",F75-I75)</f>
        <v/>
      </c>
      <c r="K75" s="110">
        <f>IF(OR(I75="",F75=0),"",I75/F75)</f>
        <v/>
      </c>
      <c r="L75" s="111">
        <f>IF(K75="","⚪",IF(K75&gt;1.2,"🔴",IF(K75&gt;1.1,"🟡","🟢")))</f>
        <v/>
      </c>
      <c r="N75" s="105" t="n">
        <v>8646</v>
      </c>
      <c r="O75" s="106" t="n">
        <v>1.5</v>
      </c>
      <c r="P75" s="107" t="n"/>
      <c r="Q75" s="108">
        <f>IF(P75="","",O75*P75)</f>
        <v/>
      </c>
      <c r="R75" s="243">
        <f>IF(Q75="","",N75-Q75)</f>
        <v/>
      </c>
      <c r="S75" s="110">
        <f>IF(OR(Q75="",N75=0),"",Q75/N75)</f>
        <v/>
      </c>
      <c r="T75" s="111">
        <f>IF(S75="","⚪",IF(S75&gt;1.2,"🔴",IF(S75&gt;1.1,"🟡","🟢")))</f>
        <v/>
      </c>
      <c r="V75" s="105" t="n">
        <v>8646</v>
      </c>
      <c r="W75" s="106" t="n">
        <v>1.5</v>
      </c>
      <c r="X75" s="107" t="n"/>
      <c r="Y75" s="108">
        <f>IF(X75="","",W75*X75)</f>
        <v/>
      </c>
      <c r="Z75" s="243">
        <f>IF(Y75="","",V75-Y75)</f>
        <v/>
      </c>
      <c r="AA75" s="110">
        <f>IF(OR(Y75="",V75=0),"",Y75/V75)</f>
        <v/>
      </c>
      <c r="AB75" s="111">
        <f>IF(AA75="","⚪",IF(AA75&gt;1.2,"🔴",IF(AA75&gt;1.1,"🟡","🟢")))</f>
        <v/>
      </c>
      <c r="AD75" s="105" t="n">
        <v>8646</v>
      </c>
      <c r="AE75" s="106" t="n">
        <v>1.5</v>
      </c>
      <c r="AF75" s="107" t="n"/>
      <c r="AG75" s="108">
        <f>IF(AF75="","",AE75*AF75)</f>
        <v/>
      </c>
      <c r="AH75" s="243">
        <f>IF(AG75="","",AD75-AG75)</f>
        <v/>
      </c>
      <c r="AI75" s="110">
        <f>IF(OR(AG75="",AD75=0),"",AG75/AD75)</f>
        <v/>
      </c>
      <c r="AJ75" s="111">
        <f>IF(AI75="","⚪",IF(AI75&gt;1.2,"🔴",IF(AI75&gt;1.1,"🟡","🟢")))</f>
        <v/>
      </c>
    </row>
    <row r="76" ht="14" customHeight="1" s="176">
      <c r="A76" s="112" t="inlineStr">
        <is>
          <t>El Molle</t>
        </is>
      </c>
      <c r="B76" s="113" t="inlineStr">
        <is>
          <t>Wonderful 5,25 ha</t>
        </is>
      </c>
      <c r="C76" s="113" t="inlineStr">
        <is>
          <t>1- M.O. directa</t>
        </is>
      </c>
      <c r="D76" s="113" t="inlineStr">
        <is>
          <t>5- Control de malezas mecánico</t>
        </is>
      </c>
      <c r="E76" s="113" t="inlineStr">
        <is>
          <t>trato</t>
        </is>
      </c>
      <c r="F76" s="105" t="n">
        <v>34950.8</v>
      </c>
      <c r="G76" s="106" t="n">
        <v>100</v>
      </c>
      <c r="H76" s="107" t="n"/>
      <c r="I76" s="108">
        <f>IF(H76="","",G76*H76)</f>
        <v/>
      </c>
      <c r="J76" s="243">
        <f>IF(I76="","",F76-I76)</f>
        <v/>
      </c>
      <c r="K76" s="110">
        <f>IF(OR(I76="",F76=0),"",I76/F76)</f>
        <v/>
      </c>
      <c r="L76" s="111">
        <f>IF(K76="","⚪",IF(K76&gt;1.2,"🔴",IF(K76&gt;1.1,"🟡","🟢")))</f>
        <v/>
      </c>
      <c r="N76" s="105" t="n">
        <v>34950.8</v>
      </c>
      <c r="O76" s="106" t="n">
        <v>100</v>
      </c>
      <c r="P76" s="107" t="n"/>
      <c r="Q76" s="108">
        <f>IF(P76="","",O76*P76)</f>
        <v/>
      </c>
      <c r="R76" s="243">
        <f>IF(Q76="","",N76-Q76)</f>
        <v/>
      </c>
      <c r="S76" s="110">
        <f>IF(OR(Q76="",N76=0),"",Q76/N76)</f>
        <v/>
      </c>
      <c r="T76" s="111">
        <f>IF(S76="","⚪",IF(S76&gt;1.2,"🔴",IF(S76&gt;1.1,"🟡","🟢")))</f>
        <v/>
      </c>
      <c r="V76" s="105" t="n">
        <v>34950.8</v>
      </c>
      <c r="W76" s="106" t="n">
        <v>100</v>
      </c>
      <c r="X76" s="107" t="n"/>
      <c r="Y76" s="108">
        <f>IF(X76="","",W76*X76)</f>
        <v/>
      </c>
      <c r="Z76" s="243">
        <f>IF(Y76="","",V76-Y76)</f>
        <v/>
      </c>
      <c r="AA76" s="110">
        <f>IF(OR(Y76="",V76=0),"",Y76/V76)</f>
        <v/>
      </c>
      <c r="AB76" s="111">
        <f>IF(AA76="","⚪",IF(AA76&gt;1.2,"🔴",IF(AA76&gt;1.1,"🟡","🟢")))</f>
        <v/>
      </c>
      <c r="AD76" s="105" t="n">
        <v>34950.8</v>
      </c>
      <c r="AE76" s="106" t="n">
        <v>100</v>
      </c>
      <c r="AF76" s="107" t="n"/>
      <c r="AG76" s="108">
        <f>IF(AF76="","",AE76*AF76)</f>
        <v/>
      </c>
      <c r="AH76" s="243">
        <f>IF(AG76="","",AD76-AG76)</f>
        <v/>
      </c>
      <c r="AI76" s="110">
        <f>IF(OR(AG76="",AD76=0),"",AG76/AD76)</f>
        <v/>
      </c>
      <c r="AJ76" s="111">
        <f>IF(AI76="","⚪",IF(AI76&gt;1.2,"🔴",IF(AI76&gt;1.1,"🟡","🟢")))</f>
        <v/>
      </c>
    </row>
    <row r="77" ht="14" customHeight="1" s="176">
      <c r="A77" s="103" t="inlineStr">
        <is>
          <t>El Molle</t>
        </is>
      </c>
      <c r="B77" s="104" t="inlineStr">
        <is>
          <t>Wonderful 5,25 ha</t>
        </is>
      </c>
      <c r="C77" s="104" t="inlineStr">
        <is>
          <t>1- M.O. directa</t>
        </is>
      </c>
      <c r="D77" s="104" t="inlineStr">
        <is>
          <t>6- Control de malezas químico</t>
        </is>
      </c>
      <c r="E77" s="104" t="inlineStr">
        <is>
          <t>día</t>
        </is>
      </c>
      <c r="F77" s="105" t="n">
        <v>56985</v>
      </c>
      <c r="G77" s="106" t="n">
        <v>43500</v>
      </c>
      <c r="H77" s="107" t="n"/>
      <c r="I77" s="108">
        <f>IF(H77="","",G77*H77)</f>
        <v/>
      </c>
      <c r="J77" s="243">
        <f>IF(I77="","",F77-I77)</f>
        <v/>
      </c>
      <c r="K77" s="110">
        <f>IF(OR(I77="",F77=0),"",I77/F77)</f>
        <v/>
      </c>
      <c r="L77" s="111">
        <f>IF(K77="","⚪",IF(K77&gt;1.2,"🔴",IF(K77&gt;1.1,"🟡","🟢")))</f>
        <v/>
      </c>
      <c r="N77" s="105" t="n">
        <v>56985</v>
      </c>
      <c r="O77" s="106" t="n">
        <v>43500</v>
      </c>
      <c r="P77" s="107" t="n"/>
      <c r="Q77" s="108">
        <f>IF(P77="","",O77*P77)</f>
        <v/>
      </c>
      <c r="R77" s="243">
        <f>IF(Q77="","",N77-Q77)</f>
        <v/>
      </c>
      <c r="S77" s="110">
        <f>IF(OR(Q77="",N77=0),"",Q77/N77)</f>
        <v/>
      </c>
      <c r="T77" s="111">
        <f>IF(S77="","⚪",IF(S77&gt;1.2,"🔴",IF(S77&gt;1.1,"🟡","🟢")))</f>
        <v/>
      </c>
      <c r="V77" s="105" t="n">
        <v>56985</v>
      </c>
      <c r="W77" s="106" t="n">
        <v>43500</v>
      </c>
      <c r="X77" s="107" t="n"/>
      <c r="Y77" s="108">
        <f>IF(X77="","",W77*X77)</f>
        <v/>
      </c>
      <c r="Z77" s="243">
        <f>IF(Y77="","",V77-Y77)</f>
        <v/>
      </c>
      <c r="AA77" s="110">
        <f>IF(OR(Y77="",V77=0),"",Y77/V77)</f>
        <v/>
      </c>
      <c r="AB77" s="111">
        <f>IF(AA77="","⚪",IF(AA77&gt;1.2,"🔴",IF(AA77&gt;1.1,"🟡","🟢")))</f>
        <v/>
      </c>
      <c r="AD77" s="105" t="n">
        <v>56985</v>
      </c>
      <c r="AE77" s="106" t="n">
        <v>43500</v>
      </c>
      <c r="AF77" s="107" t="n"/>
      <c r="AG77" s="108">
        <f>IF(AF77="","",AE77*AF77)</f>
        <v/>
      </c>
      <c r="AH77" s="243">
        <f>IF(AG77="","",AD77-AG77)</f>
        <v/>
      </c>
      <c r="AI77" s="110">
        <f>IF(OR(AG77="",AD77=0),"",AG77/AD77)</f>
        <v/>
      </c>
      <c r="AJ77" s="111">
        <f>IF(AI77="","⚪",IF(AI77&gt;1.2,"🔴",IF(AI77&gt;1.1,"🟡","🟢")))</f>
        <v/>
      </c>
    </row>
    <row r="78" ht="14" customHeight="1" s="176">
      <c r="A78" s="112" t="inlineStr">
        <is>
          <t>El Molle</t>
        </is>
      </c>
      <c r="B78" s="113" t="inlineStr">
        <is>
          <t>Wonderful 5,25 ha</t>
        </is>
      </c>
      <c r="C78" s="113" t="inlineStr">
        <is>
          <t>1- M.O. directa</t>
        </is>
      </c>
      <c r="D78" s="113" t="inlineStr">
        <is>
          <t>7,1- TRACTORISTA</t>
        </is>
      </c>
      <c r="E78" s="113" t="inlineStr">
        <is>
          <t>día</t>
        </is>
      </c>
      <c r="F78" s="105" t="n">
        <v>100829.652</v>
      </c>
      <c r="G78" s="106" t="n">
        <v>38500</v>
      </c>
      <c r="H78" s="107" t="n"/>
      <c r="I78" s="108">
        <f>IF(H78="","",G78*H78)</f>
        <v/>
      </c>
      <c r="J78" s="243">
        <f>IF(I78="","",F78-I78)</f>
        <v/>
      </c>
      <c r="K78" s="110">
        <f>IF(OR(I78="",F78=0),"",I78/F78)</f>
        <v/>
      </c>
      <c r="L78" s="111">
        <f>IF(K78="","⚪",IF(K78&gt;1.2,"🔴",IF(K78&gt;1.1,"🟡","🟢")))</f>
        <v/>
      </c>
      <c r="N78" s="105" t="n">
        <v>100829.652</v>
      </c>
      <c r="O78" s="106" t="n">
        <v>38500</v>
      </c>
      <c r="P78" s="107" t="n"/>
      <c r="Q78" s="108">
        <f>IF(P78="","",O78*P78)</f>
        <v/>
      </c>
      <c r="R78" s="243">
        <f>IF(Q78="","",N78-Q78)</f>
        <v/>
      </c>
      <c r="S78" s="110">
        <f>IF(OR(Q78="",N78=0),"",Q78/N78)</f>
        <v/>
      </c>
      <c r="T78" s="111">
        <f>IF(S78="","⚪",IF(S78&gt;1.2,"🔴",IF(S78&gt;1.1,"🟡","🟢")))</f>
        <v/>
      </c>
      <c r="V78" s="105" t="n">
        <v>100829.652</v>
      </c>
      <c r="W78" s="106" t="n">
        <v>38500</v>
      </c>
      <c r="X78" s="107" t="n"/>
      <c r="Y78" s="108">
        <f>IF(X78="","",W78*X78)</f>
        <v/>
      </c>
      <c r="Z78" s="243">
        <f>IF(Y78="","",V78-Y78)</f>
        <v/>
      </c>
      <c r="AA78" s="110">
        <f>IF(OR(Y78="",V78=0),"",Y78/V78)</f>
        <v/>
      </c>
      <c r="AB78" s="111">
        <f>IF(AA78="","⚪",IF(AA78&gt;1.2,"🔴",IF(AA78&gt;1.1,"🟡","🟢")))</f>
        <v/>
      </c>
      <c r="AD78" s="105" t="n">
        <v>100829.652</v>
      </c>
      <c r="AE78" s="106" t="n">
        <v>38500</v>
      </c>
      <c r="AF78" s="107" t="n"/>
      <c r="AG78" s="108">
        <f>IF(AF78="","",AE78*AF78)</f>
        <v/>
      </c>
      <c r="AH78" s="243">
        <f>IF(AG78="","",AD78-AG78)</f>
        <v/>
      </c>
      <c r="AI78" s="110">
        <f>IF(OR(AG78="",AD78=0),"",AG78/AD78)</f>
        <v/>
      </c>
      <c r="AJ78" s="111">
        <f>IF(AI78="","⚪",IF(AI78&gt;1.2,"🔴",IF(AI78&gt;1.1,"🟡","🟢")))</f>
        <v/>
      </c>
    </row>
    <row r="79" ht="14" customHeight="1" s="176">
      <c r="A79" s="103" t="inlineStr">
        <is>
          <t>El Molle</t>
        </is>
      </c>
      <c r="B79" s="104" t="inlineStr">
        <is>
          <t>Wonderful 5,25 ha</t>
        </is>
      </c>
      <c r="C79" s="104" t="inlineStr">
        <is>
          <t>1- M.O. directa</t>
        </is>
      </c>
      <c r="D79" s="104" t="inlineStr">
        <is>
          <t>7- Acordonar sarmiento</t>
        </is>
      </c>
      <c r="E79" s="104" t="inlineStr">
        <is>
          <t>trato</t>
        </is>
      </c>
      <c r="F79" s="105" t="n">
        <v>12232.78</v>
      </c>
      <c r="G79" s="106" t="n">
        <v>70</v>
      </c>
      <c r="H79" s="107" t="n"/>
      <c r="I79" s="108">
        <f>IF(H79="","",G79*H79)</f>
        <v/>
      </c>
      <c r="J79" s="243">
        <f>IF(I79="","",F79-I79)</f>
        <v/>
      </c>
      <c r="K79" s="110">
        <f>IF(OR(I79="",F79=0),"",I79/F79)</f>
        <v/>
      </c>
      <c r="L79" s="111">
        <f>IF(K79="","⚪",IF(K79&gt;1.2,"🔴",IF(K79&gt;1.1,"🟡","🟢")))</f>
        <v/>
      </c>
      <c r="N79" s="105" t="n">
        <v>12232.78</v>
      </c>
      <c r="O79" s="106" t="n">
        <v>70</v>
      </c>
      <c r="P79" s="107" t="n"/>
      <c r="Q79" s="108">
        <f>IF(P79="","",O79*P79)</f>
        <v/>
      </c>
      <c r="R79" s="243">
        <f>IF(Q79="","",N79-Q79)</f>
        <v/>
      </c>
      <c r="S79" s="110">
        <f>IF(OR(Q79="",N79=0),"",Q79/N79)</f>
        <v/>
      </c>
      <c r="T79" s="111">
        <f>IF(S79="","⚪",IF(S79&gt;1.2,"🔴",IF(S79&gt;1.1,"🟡","🟢")))</f>
        <v/>
      </c>
      <c r="V79" s="105" t="n">
        <v>12232.78</v>
      </c>
      <c r="W79" s="106" t="n">
        <v>70</v>
      </c>
      <c r="X79" s="107" t="n"/>
      <c r="Y79" s="108">
        <f>IF(X79="","",W79*X79)</f>
        <v/>
      </c>
      <c r="Z79" s="243">
        <f>IF(Y79="","",V79-Y79)</f>
        <v/>
      </c>
      <c r="AA79" s="110">
        <f>IF(OR(Y79="",V79=0),"",Y79/V79)</f>
        <v/>
      </c>
      <c r="AB79" s="111">
        <f>IF(AA79="","⚪",IF(AA79&gt;1.2,"🔴",IF(AA79&gt;1.1,"🟡","🟢")))</f>
        <v/>
      </c>
      <c r="AD79" s="105" t="n">
        <v>12232.78</v>
      </c>
      <c r="AE79" s="106" t="n">
        <v>70</v>
      </c>
      <c r="AF79" s="107" t="n"/>
      <c r="AG79" s="108">
        <f>IF(AF79="","",AE79*AF79)</f>
        <v/>
      </c>
      <c r="AH79" s="243">
        <f>IF(AG79="","",AD79-AG79)</f>
        <v/>
      </c>
      <c r="AI79" s="110">
        <f>IF(OR(AG79="",AD79=0),"",AG79/AD79)</f>
        <v/>
      </c>
      <c r="AJ79" s="111">
        <f>IF(AI79="","⚪",IF(AI79&gt;1.2,"🔴",IF(AI79&gt;1.1,"🟡","🟢")))</f>
        <v/>
      </c>
    </row>
    <row r="80" ht="14" customHeight="1" s="176">
      <c r="A80" s="112" t="inlineStr">
        <is>
          <t>El Molle</t>
        </is>
      </c>
      <c r="B80" s="113" t="inlineStr">
        <is>
          <t>Wonderful 5,25 ha</t>
        </is>
      </c>
      <c r="C80" s="113" t="inlineStr">
        <is>
          <t>1- M.O. directa</t>
        </is>
      </c>
      <c r="D80" s="113" t="inlineStr">
        <is>
          <t>8- Raleo frutos, gorros y desbrote fruto</t>
        </is>
      </c>
      <c r="E80" s="113" t="inlineStr">
        <is>
          <t>día</t>
        </is>
      </c>
      <c r="F80" s="105" t="n">
        <v>192229.4</v>
      </c>
      <c r="G80" s="106" t="n">
        <v>1100</v>
      </c>
      <c r="H80" s="107" t="n"/>
      <c r="I80" s="108">
        <f>IF(H80="","",G80*H80)</f>
        <v/>
      </c>
      <c r="J80" s="243">
        <f>IF(I80="","",F80-I80)</f>
        <v/>
      </c>
      <c r="K80" s="110">
        <f>IF(OR(I80="",F80=0),"",I80/F80)</f>
        <v/>
      </c>
      <c r="L80" s="111">
        <f>IF(K80="","⚪",IF(K80&gt;1.2,"🔴",IF(K80&gt;1.1,"🟡","🟢")))</f>
        <v/>
      </c>
      <c r="N80" s="105" t="n">
        <v>192229.4</v>
      </c>
      <c r="O80" s="106" t="n">
        <v>1100</v>
      </c>
      <c r="P80" s="107" t="n"/>
      <c r="Q80" s="108">
        <f>IF(P80="","",O80*P80)</f>
        <v/>
      </c>
      <c r="R80" s="243">
        <f>IF(Q80="","",N80-Q80)</f>
        <v/>
      </c>
      <c r="S80" s="110">
        <f>IF(OR(Q80="",N80=0),"",Q80/N80)</f>
        <v/>
      </c>
      <c r="T80" s="111">
        <f>IF(S80="","⚪",IF(S80&gt;1.2,"🔴",IF(S80&gt;1.1,"🟡","🟢")))</f>
        <v/>
      </c>
      <c r="V80" s="105" t="n">
        <v>192229.4</v>
      </c>
      <c r="W80" s="106" t="n">
        <v>1100</v>
      </c>
      <c r="X80" s="107" t="n"/>
      <c r="Y80" s="108">
        <f>IF(X80="","",W80*X80)</f>
        <v/>
      </c>
      <c r="Z80" s="243">
        <f>IF(Y80="","",V80-Y80)</f>
        <v/>
      </c>
      <c r="AA80" s="110">
        <f>IF(OR(Y80="",V80=0),"",Y80/V80)</f>
        <v/>
      </c>
      <c r="AB80" s="111">
        <f>IF(AA80="","⚪",IF(AA80&gt;1.2,"🔴",IF(AA80&gt;1.1,"🟡","🟢")))</f>
        <v/>
      </c>
      <c r="AD80" s="105" t="n">
        <v>192229.4</v>
      </c>
      <c r="AE80" s="106" t="n">
        <v>1100</v>
      </c>
      <c r="AF80" s="107" t="n"/>
      <c r="AG80" s="108">
        <f>IF(AF80="","",AE80*AF80)</f>
        <v/>
      </c>
      <c r="AH80" s="243">
        <f>IF(AG80="","",AD80-AG80)</f>
        <v/>
      </c>
      <c r="AI80" s="110">
        <f>IF(OR(AG80="",AD80=0),"",AG80/AD80)</f>
        <v/>
      </c>
      <c r="AJ80" s="111">
        <f>IF(AI80="","⚪",IF(AI80&gt;1.2,"🔴",IF(AI80&gt;1.1,"🟡","🟢")))</f>
        <v/>
      </c>
    </row>
    <row r="81" ht="14" customHeight="1" s="176">
      <c r="A81" s="103" t="inlineStr">
        <is>
          <t>El Molle</t>
        </is>
      </c>
      <c r="B81" s="104" t="inlineStr">
        <is>
          <t>Wonderful 5,25 ha</t>
        </is>
      </c>
      <c r="C81" s="104" t="inlineStr">
        <is>
          <t>2- M.O. indirecta</t>
        </is>
      </c>
      <c r="D81" s="104" t="inlineStr">
        <is>
          <t xml:space="preserve">1- ADM. GENERAL </t>
        </is>
      </c>
      <c r="E81" s="104" t="inlineStr">
        <is>
          <t>día</t>
        </is>
      </c>
      <c r="F81" s="105" t="n">
        <v>174422.2032</v>
      </c>
      <c r="G81" s="106" t="n">
        <v>66600</v>
      </c>
      <c r="H81" s="107" t="n"/>
      <c r="I81" s="108">
        <f>IF(H81="","",G81*H81)</f>
        <v/>
      </c>
      <c r="J81" s="243">
        <f>IF(I81="","",F81-I81)</f>
        <v/>
      </c>
      <c r="K81" s="110">
        <f>IF(OR(I81="",F81=0),"",I81/F81)</f>
        <v/>
      </c>
      <c r="L81" s="111">
        <f>IF(K81="","⚪",IF(K81&gt;1.2,"🔴",IF(K81&gt;1.1,"🟡","🟢")))</f>
        <v/>
      </c>
      <c r="N81" s="105" t="n">
        <v>174422.2032</v>
      </c>
      <c r="O81" s="106" t="n">
        <v>66600</v>
      </c>
      <c r="P81" s="107" t="n"/>
      <c r="Q81" s="108">
        <f>IF(P81="","",O81*P81)</f>
        <v/>
      </c>
      <c r="R81" s="243">
        <f>IF(Q81="","",N81-Q81)</f>
        <v/>
      </c>
      <c r="S81" s="110">
        <f>IF(OR(Q81="",N81=0),"",Q81/N81)</f>
        <v/>
      </c>
      <c r="T81" s="111">
        <f>IF(S81="","⚪",IF(S81&gt;1.2,"🔴",IF(S81&gt;1.1,"🟡","🟢")))</f>
        <v/>
      </c>
      <c r="V81" s="105" t="n">
        <v>174422.2032</v>
      </c>
      <c r="W81" s="106" t="n">
        <v>66600</v>
      </c>
      <c r="X81" s="107" t="n"/>
      <c r="Y81" s="108">
        <f>IF(X81="","",W81*X81)</f>
        <v/>
      </c>
      <c r="Z81" s="243">
        <f>IF(Y81="","",V81-Y81)</f>
        <v/>
      </c>
      <c r="AA81" s="110">
        <f>IF(OR(Y81="",V81=0),"",Y81/V81)</f>
        <v/>
      </c>
      <c r="AB81" s="111">
        <f>IF(AA81="","⚪",IF(AA81&gt;1.2,"🔴",IF(AA81&gt;1.1,"🟡","🟢")))</f>
        <v/>
      </c>
      <c r="AD81" s="105" t="n">
        <v>174422.2032</v>
      </c>
      <c r="AE81" s="106" t="n">
        <v>66600</v>
      </c>
      <c r="AF81" s="107" t="n"/>
      <c r="AG81" s="108">
        <f>IF(AF81="","",AE81*AF81)</f>
        <v/>
      </c>
      <c r="AH81" s="243">
        <f>IF(AG81="","",AD81-AG81)</f>
        <v/>
      </c>
      <c r="AI81" s="110">
        <f>IF(OR(AG81="",AD81=0),"",AG81/AD81)</f>
        <v/>
      </c>
      <c r="AJ81" s="111">
        <f>IF(AI81="","⚪",IF(AI81&gt;1.2,"🔴",IF(AI81&gt;1.1,"🟡","🟢")))</f>
        <v/>
      </c>
    </row>
    <row r="82" ht="14" customHeight="1" s="176">
      <c r="A82" s="112" t="inlineStr">
        <is>
          <t>El Molle</t>
        </is>
      </c>
      <c r="B82" s="113" t="inlineStr">
        <is>
          <t>Wonderful 5,25 ha</t>
        </is>
      </c>
      <c r="C82" s="113" t="inlineStr">
        <is>
          <t>2- M.O. indirecta</t>
        </is>
      </c>
      <c r="D82" s="113" t="inlineStr">
        <is>
          <t>2,1- JEFE DE CAMPO</t>
        </is>
      </c>
      <c r="E82" s="113" t="inlineStr">
        <is>
          <t>día</t>
        </is>
      </c>
      <c r="F82" s="105" t="n">
        <v>136120.0302</v>
      </c>
      <c r="G82" s="106" t="n">
        <v>51975</v>
      </c>
      <c r="H82" s="107" t="n"/>
      <c r="I82" s="108">
        <f>IF(H82="","",G82*H82)</f>
        <v/>
      </c>
      <c r="J82" s="243">
        <f>IF(I82="","",F82-I82)</f>
        <v/>
      </c>
      <c r="K82" s="110">
        <f>IF(OR(I82="",F82=0),"",I82/F82)</f>
        <v/>
      </c>
      <c r="L82" s="111">
        <f>IF(K82="","⚪",IF(K82&gt;1.2,"🔴",IF(K82&gt;1.1,"🟡","🟢")))</f>
        <v/>
      </c>
      <c r="N82" s="105" t="n">
        <v>136120.0302</v>
      </c>
      <c r="O82" s="106" t="n">
        <v>51975</v>
      </c>
      <c r="P82" s="107" t="n"/>
      <c r="Q82" s="108">
        <f>IF(P82="","",O82*P82)</f>
        <v/>
      </c>
      <c r="R82" s="243">
        <f>IF(Q82="","",N82-Q82)</f>
        <v/>
      </c>
      <c r="S82" s="110">
        <f>IF(OR(Q82="",N82=0),"",Q82/N82)</f>
        <v/>
      </c>
      <c r="T82" s="111">
        <f>IF(S82="","⚪",IF(S82&gt;1.2,"🔴",IF(S82&gt;1.1,"🟡","🟢")))</f>
        <v/>
      </c>
      <c r="V82" s="105" t="n">
        <v>136120.0302</v>
      </c>
      <c r="W82" s="106" t="n">
        <v>51975</v>
      </c>
      <c r="X82" s="107" t="n"/>
      <c r="Y82" s="108">
        <f>IF(X82="","",W82*X82)</f>
        <v/>
      </c>
      <c r="Z82" s="243">
        <f>IF(Y82="","",V82-Y82)</f>
        <v/>
      </c>
      <c r="AA82" s="110">
        <f>IF(OR(Y82="",V82=0),"",Y82/V82)</f>
        <v/>
      </c>
      <c r="AB82" s="111">
        <f>IF(AA82="","⚪",IF(AA82&gt;1.2,"🔴",IF(AA82&gt;1.1,"🟡","🟢")))</f>
        <v/>
      </c>
      <c r="AD82" s="105" t="n">
        <v>136120.0302</v>
      </c>
      <c r="AE82" s="106" t="n">
        <v>51975</v>
      </c>
      <c r="AF82" s="107" t="n"/>
      <c r="AG82" s="108">
        <f>IF(AF82="","",AE82*AF82)</f>
        <v/>
      </c>
      <c r="AH82" s="243">
        <f>IF(AG82="","",AD82-AG82)</f>
        <v/>
      </c>
      <c r="AI82" s="110">
        <f>IF(OR(AG82="",AD82=0),"",AG82/AD82)</f>
        <v/>
      </c>
      <c r="AJ82" s="111">
        <f>IF(AI82="","⚪",IF(AI82&gt;1.2,"🔴",IF(AI82&gt;1.1,"🟡","🟢")))</f>
        <v/>
      </c>
    </row>
    <row r="83" ht="14" customHeight="1" s="176">
      <c r="A83" s="103" t="inlineStr">
        <is>
          <t>El Molle</t>
        </is>
      </c>
      <c r="B83" s="104" t="inlineStr">
        <is>
          <t>Wonderful 5,25 ha</t>
        </is>
      </c>
      <c r="C83" s="104" t="inlineStr">
        <is>
          <t>2- M.O. indirecta</t>
        </is>
      </c>
      <c r="D83" s="104" t="inlineStr">
        <is>
          <t>2- ADMINISTRACION</t>
        </is>
      </c>
      <c r="E83" s="104" t="inlineStr">
        <is>
          <t>día</t>
        </is>
      </c>
      <c r="F83" s="105" t="n">
        <v>21213.5112</v>
      </c>
      <c r="G83" s="106" t="n">
        <v>8100</v>
      </c>
      <c r="H83" s="107" t="n"/>
      <c r="I83" s="108">
        <f>IF(H83="","",G83*H83)</f>
        <v/>
      </c>
      <c r="J83" s="243">
        <f>IF(I83="","",F83-I83)</f>
        <v/>
      </c>
      <c r="K83" s="110">
        <f>IF(OR(I83="",F83=0),"",I83/F83)</f>
        <v/>
      </c>
      <c r="L83" s="111">
        <f>IF(K83="","⚪",IF(K83&gt;1.2,"🔴",IF(K83&gt;1.1,"🟡","🟢")))</f>
        <v/>
      </c>
      <c r="N83" s="105" t="n">
        <v>21213.5112</v>
      </c>
      <c r="O83" s="106" t="n">
        <v>8100</v>
      </c>
      <c r="P83" s="107" t="n"/>
      <c r="Q83" s="108">
        <f>IF(P83="","",O83*P83)</f>
        <v/>
      </c>
      <c r="R83" s="243">
        <f>IF(Q83="","",N83-Q83)</f>
        <v/>
      </c>
      <c r="S83" s="110">
        <f>IF(OR(Q83="",N83=0),"",Q83/N83)</f>
        <v/>
      </c>
      <c r="T83" s="111">
        <f>IF(S83="","⚪",IF(S83&gt;1.2,"🔴",IF(S83&gt;1.1,"🟡","🟢")))</f>
        <v/>
      </c>
      <c r="V83" s="105" t="n">
        <v>21213.5112</v>
      </c>
      <c r="W83" s="106" t="n">
        <v>8100</v>
      </c>
      <c r="X83" s="107" t="n"/>
      <c r="Y83" s="108">
        <f>IF(X83="","",W83*X83)</f>
        <v/>
      </c>
      <c r="Z83" s="243">
        <f>IF(Y83="","",V83-Y83)</f>
        <v/>
      </c>
      <c r="AA83" s="110">
        <f>IF(OR(Y83="",V83=0),"",Y83/V83)</f>
        <v/>
      </c>
      <c r="AB83" s="111">
        <f>IF(AA83="","⚪",IF(AA83&gt;1.2,"🔴",IF(AA83&gt;1.1,"🟡","🟢")))</f>
        <v/>
      </c>
      <c r="AD83" s="105" t="n">
        <v>21213.5112</v>
      </c>
      <c r="AE83" s="106" t="n">
        <v>8100</v>
      </c>
      <c r="AF83" s="107" t="n"/>
      <c r="AG83" s="108">
        <f>IF(AF83="","",AE83*AF83)</f>
        <v/>
      </c>
      <c r="AH83" s="243">
        <f>IF(AG83="","",AD83-AG83)</f>
        <v/>
      </c>
      <c r="AI83" s="110">
        <f>IF(OR(AG83="",AD83=0),"",AG83/AD83)</f>
        <v/>
      </c>
      <c r="AJ83" s="111">
        <f>IF(AI83="","⚪",IF(AI83&gt;1.2,"🔴",IF(AI83&gt;1.1,"🟡","🟢")))</f>
        <v/>
      </c>
    </row>
    <row r="84" ht="14" customHeight="1" s="176">
      <c r="A84" s="112" t="inlineStr">
        <is>
          <t>El Molle</t>
        </is>
      </c>
      <c r="B84" s="113" t="inlineStr">
        <is>
          <t>Wonderful 5,25 ha</t>
        </is>
      </c>
      <c r="C84" s="113" t="inlineStr">
        <is>
          <t>2- M.O. indirecta</t>
        </is>
      </c>
      <c r="D84" s="113" t="inlineStr">
        <is>
          <t>3,1-  ENCARGADO DE RIEGO</t>
        </is>
      </c>
      <c r="E84" s="113" t="inlineStr">
        <is>
          <t>día</t>
        </is>
      </c>
      <c r="F84" s="105" t="n">
        <v>134685.499242</v>
      </c>
      <c r="G84" s="106" t="n">
        <v>51427.25</v>
      </c>
      <c r="H84" s="107" t="n"/>
      <c r="I84" s="108">
        <f>IF(H84="","",G84*H84)</f>
        <v/>
      </c>
      <c r="J84" s="243">
        <f>IF(I84="","",F84-I84)</f>
        <v/>
      </c>
      <c r="K84" s="110">
        <f>IF(OR(I84="",F84=0),"",I84/F84)</f>
        <v/>
      </c>
      <c r="L84" s="111">
        <f>IF(K84="","⚪",IF(K84&gt;1.2,"🔴",IF(K84&gt;1.1,"🟡","🟢")))</f>
        <v/>
      </c>
      <c r="N84" s="105" t="n">
        <v>134685.499242</v>
      </c>
      <c r="O84" s="106" t="n">
        <v>51427.25</v>
      </c>
      <c r="P84" s="107" t="n"/>
      <c r="Q84" s="108">
        <f>IF(P84="","",O84*P84)</f>
        <v/>
      </c>
      <c r="R84" s="243">
        <f>IF(Q84="","",N84-Q84)</f>
        <v/>
      </c>
      <c r="S84" s="110">
        <f>IF(OR(Q84="",N84=0),"",Q84/N84)</f>
        <v/>
      </c>
      <c r="T84" s="111">
        <f>IF(S84="","⚪",IF(S84&gt;1.2,"🔴",IF(S84&gt;1.1,"🟡","🟢")))</f>
        <v/>
      </c>
      <c r="V84" s="105" t="n">
        <v>134685.499242</v>
      </c>
      <c r="W84" s="106" t="n">
        <v>51427.25</v>
      </c>
      <c r="X84" s="107" t="n"/>
      <c r="Y84" s="108">
        <f>IF(X84="","",W84*X84)</f>
        <v/>
      </c>
      <c r="Z84" s="243">
        <f>IF(Y84="","",V84-Y84)</f>
        <v/>
      </c>
      <c r="AA84" s="110">
        <f>IF(OR(Y84="",V84=0),"",Y84/V84)</f>
        <v/>
      </c>
      <c r="AB84" s="111">
        <f>IF(AA84="","⚪",IF(AA84&gt;1.2,"🔴",IF(AA84&gt;1.1,"🟡","🟢")))</f>
        <v/>
      </c>
      <c r="AD84" s="105" t="n">
        <v>134685.499242</v>
      </c>
      <c r="AE84" s="106" t="n">
        <v>51427.25</v>
      </c>
      <c r="AF84" s="107" t="n"/>
      <c r="AG84" s="108">
        <f>IF(AF84="","",AE84*AF84)</f>
        <v/>
      </c>
      <c r="AH84" s="243">
        <f>IF(AG84="","",AD84-AG84)</f>
        <v/>
      </c>
      <c r="AI84" s="110">
        <f>IF(OR(AG84="",AD84=0),"",AG84/AD84)</f>
        <v/>
      </c>
      <c r="AJ84" s="111">
        <f>IF(AI84="","⚪",IF(AI84&gt;1.2,"🔴",IF(AI84&gt;1.1,"🟡","🟢")))</f>
        <v/>
      </c>
    </row>
    <row r="85" ht="14" customHeight="1" s="176">
      <c r="A85" s="103" t="inlineStr">
        <is>
          <t>El Molle</t>
        </is>
      </c>
      <c r="B85" s="104" t="inlineStr">
        <is>
          <t>Wonderful 5,25 ha</t>
        </is>
      </c>
      <c r="C85" s="104" t="inlineStr">
        <is>
          <t>2- M.O. indirecta</t>
        </is>
      </c>
      <c r="D85" s="104" t="inlineStr">
        <is>
          <t>3- ADQUIS. Y BODEGA</t>
        </is>
      </c>
      <c r="E85" s="104" t="inlineStr">
        <is>
          <t>día</t>
        </is>
      </c>
      <c r="F85" s="105" t="n">
        <v>21213.5112</v>
      </c>
      <c r="G85" s="106" t="n">
        <v>8100</v>
      </c>
      <c r="H85" s="107" t="n"/>
      <c r="I85" s="108">
        <f>IF(H85="","",G85*H85)</f>
        <v/>
      </c>
      <c r="J85" s="243">
        <f>IF(I85="","",F85-I85)</f>
        <v/>
      </c>
      <c r="K85" s="110">
        <f>IF(OR(I85="",F85=0),"",I85/F85)</f>
        <v/>
      </c>
      <c r="L85" s="111">
        <f>IF(K85="","⚪",IF(K85&gt;1.2,"🔴",IF(K85&gt;1.1,"🟡","🟢")))</f>
        <v/>
      </c>
      <c r="N85" s="105" t="n">
        <v>21213.5112</v>
      </c>
      <c r="O85" s="106" t="n">
        <v>8100</v>
      </c>
      <c r="P85" s="107" t="n"/>
      <c r="Q85" s="108">
        <f>IF(P85="","",O85*P85)</f>
        <v/>
      </c>
      <c r="R85" s="243">
        <f>IF(Q85="","",N85-Q85)</f>
        <v/>
      </c>
      <c r="S85" s="110">
        <f>IF(OR(Q85="",N85=0),"",Q85/N85)</f>
        <v/>
      </c>
      <c r="T85" s="111">
        <f>IF(S85="","⚪",IF(S85&gt;1.2,"🔴",IF(S85&gt;1.1,"🟡","🟢")))</f>
        <v/>
      </c>
      <c r="V85" s="105" t="n">
        <v>21213.5112</v>
      </c>
      <c r="W85" s="106" t="n">
        <v>8100</v>
      </c>
      <c r="X85" s="107" t="n"/>
      <c r="Y85" s="108">
        <f>IF(X85="","",W85*X85)</f>
        <v/>
      </c>
      <c r="Z85" s="243">
        <f>IF(Y85="","",V85-Y85)</f>
        <v/>
      </c>
      <c r="AA85" s="110">
        <f>IF(OR(Y85="",V85=0),"",Y85/V85)</f>
        <v/>
      </c>
      <c r="AB85" s="111">
        <f>IF(AA85="","⚪",IF(AA85&gt;1.2,"🔴",IF(AA85&gt;1.1,"🟡","🟢")))</f>
        <v/>
      </c>
      <c r="AD85" s="105" t="n">
        <v>21213.5112</v>
      </c>
      <c r="AE85" s="106" t="n">
        <v>8100</v>
      </c>
      <c r="AF85" s="107" t="n"/>
      <c r="AG85" s="108">
        <f>IF(AF85="","",AE85*AF85)</f>
        <v/>
      </c>
      <c r="AH85" s="243">
        <f>IF(AG85="","",AD85-AG85)</f>
        <v/>
      </c>
      <c r="AI85" s="110">
        <f>IF(OR(AG85="",AD85=0),"",AG85/AD85)</f>
        <v/>
      </c>
      <c r="AJ85" s="111">
        <f>IF(AI85="","⚪",IF(AI85&gt;1.2,"🔴",IF(AI85&gt;1.1,"🟡","🟢")))</f>
        <v/>
      </c>
    </row>
    <row r="86" ht="14" customHeight="1" s="176">
      <c r="A86" s="112" t="inlineStr">
        <is>
          <t>El Molle</t>
        </is>
      </c>
      <c r="B86" s="113" t="inlineStr">
        <is>
          <t>Wonderful 5,25 ha</t>
        </is>
      </c>
      <c r="C86" s="113" t="inlineStr">
        <is>
          <t>2- M.O. indirecta</t>
        </is>
      </c>
      <c r="D86" s="113" t="inlineStr">
        <is>
          <t>4,1- ENCARGADO MANTENCIONES</t>
        </is>
      </c>
      <c r="E86" s="113" t="inlineStr">
        <is>
          <t>día</t>
        </is>
      </c>
      <c r="F86" s="105" t="n">
        <v>28808.472</v>
      </c>
      <c r="G86" s="106" t="n">
        <v>11000</v>
      </c>
      <c r="H86" s="107" t="n"/>
      <c r="I86" s="108">
        <f>IF(H86="","",G86*H86)</f>
        <v/>
      </c>
      <c r="J86" s="243">
        <f>IF(I86="","",F86-I86)</f>
        <v/>
      </c>
      <c r="K86" s="110">
        <f>IF(OR(I86="",F86=0),"",I86/F86)</f>
        <v/>
      </c>
      <c r="L86" s="111">
        <f>IF(K86="","⚪",IF(K86&gt;1.2,"🔴",IF(K86&gt;1.1,"🟡","🟢")))</f>
        <v/>
      </c>
      <c r="N86" s="105" t="n">
        <v>28808.472</v>
      </c>
      <c r="O86" s="106" t="n">
        <v>11000</v>
      </c>
      <c r="P86" s="107" t="n"/>
      <c r="Q86" s="108">
        <f>IF(P86="","",O86*P86)</f>
        <v/>
      </c>
      <c r="R86" s="243">
        <f>IF(Q86="","",N86-Q86)</f>
        <v/>
      </c>
      <c r="S86" s="110">
        <f>IF(OR(Q86="",N86=0),"",Q86/N86)</f>
        <v/>
      </c>
      <c r="T86" s="111">
        <f>IF(S86="","⚪",IF(S86&gt;1.2,"🔴",IF(S86&gt;1.1,"🟡","🟢")))</f>
        <v/>
      </c>
      <c r="V86" s="105" t="n">
        <v>28808.472</v>
      </c>
      <c r="W86" s="106" t="n">
        <v>11000</v>
      </c>
      <c r="X86" s="107" t="n"/>
      <c r="Y86" s="108">
        <f>IF(X86="","",W86*X86)</f>
        <v/>
      </c>
      <c r="Z86" s="243">
        <f>IF(Y86="","",V86-Y86)</f>
        <v/>
      </c>
      <c r="AA86" s="110">
        <f>IF(OR(Y86="",V86=0),"",Y86/V86)</f>
        <v/>
      </c>
      <c r="AB86" s="111">
        <f>IF(AA86="","⚪",IF(AA86&gt;1.2,"🔴",IF(AA86&gt;1.1,"🟡","🟢")))</f>
        <v/>
      </c>
      <c r="AD86" s="105" t="n">
        <v>28808.472</v>
      </c>
      <c r="AE86" s="106" t="n">
        <v>11000</v>
      </c>
      <c r="AF86" s="107" t="n"/>
      <c r="AG86" s="108">
        <f>IF(AF86="","",AE86*AF86)</f>
        <v/>
      </c>
      <c r="AH86" s="243">
        <f>IF(AG86="","",AD86-AG86)</f>
        <v/>
      </c>
      <c r="AI86" s="110">
        <f>IF(OR(AG86="",AD86=0),"",AG86/AD86)</f>
        <v/>
      </c>
      <c r="AJ86" s="111">
        <f>IF(AI86="","⚪",IF(AI86&gt;1.2,"🔴",IF(AI86&gt;1.1,"🟡","🟢")))</f>
        <v/>
      </c>
    </row>
    <row r="87" ht="14" customHeight="1" s="176">
      <c r="A87" s="103" t="inlineStr">
        <is>
          <t>El Molle</t>
        </is>
      </c>
      <c r="B87" s="104" t="inlineStr">
        <is>
          <t>Wonderful 5,25 ha</t>
        </is>
      </c>
      <c r="C87" s="104" t="inlineStr">
        <is>
          <t>2- M.O. indirecta</t>
        </is>
      </c>
      <c r="D87" s="104" t="inlineStr">
        <is>
          <t>4- CERTIFICACIONES</t>
        </is>
      </c>
      <c r="E87" s="104" t="inlineStr">
        <is>
          <t>día</t>
        </is>
      </c>
      <c r="F87" s="105" t="n">
        <v>16930.43345</v>
      </c>
      <c r="G87" s="106" t="n">
        <v>6464.58333333333</v>
      </c>
      <c r="H87" s="107" t="n"/>
      <c r="I87" s="108">
        <f>IF(H87="","",G87*H87)</f>
        <v/>
      </c>
      <c r="J87" s="243">
        <f>IF(I87="","",F87-I87)</f>
        <v/>
      </c>
      <c r="K87" s="110">
        <f>IF(OR(I87="",F87=0),"",I87/F87)</f>
        <v/>
      </c>
      <c r="L87" s="111">
        <f>IF(K87="","⚪",IF(K87&gt;1.2,"🔴",IF(K87&gt;1.1,"🟡","🟢")))</f>
        <v/>
      </c>
      <c r="N87" s="105" t="n">
        <v>16930.43345</v>
      </c>
      <c r="O87" s="106" t="n">
        <v>6464.58333333333</v>
      </c>
      <c r="P87" s="107" t="n"/>
      <c r="Q87" s="108">
        <f>IF(P87="","",O87*P87)</f>
        <v/>
      </c>
      <c r="R87" s="243">
        <f>IF(Q87="","",N87-Q87)</f>
        <v/>
      </c>
      <c r="S87" s="110">
        <f>IF(OR(Q87="",N87=0),"",Q87/N87)</f>
        <v/>
      </c>
      <c r="T87" s="111">
        <f>IF(S87="","⚪",IF(S87&gt;1.2,"🔴",IF(S87&gt;1.1,"🟡","🟢")))</f>
        <v/>
      </c>
      <c r="V87" s="105" t="n">
        <v>16930.43345</v>
      </c>
      <c r="W87" s="106" t="n">
        <v>6464.58333333333</v>
      </c>
      <c r="X87" s="107" t="n"/>
      <c r="Y87" s="108">
        <f>IF(X87="","",W87*X87)</f>
        <v/>
      </c>
      <c r="Z87" s="243">
        <f>IF(Y87="","",V87-Y87)</f>
        <v/>
      </c>
      <c r="AA87" s="110">
        <f>IF(OR(Y87="",V87=0),"",Y87/V87)</f>
        <v/>
      </c>
      <c r="AB87" s="111">
        <f>IF(AA87="","⚪",IF(AA87&gt;1.2,"🔴",IF(AA87&gt;1.1,"🟡","🟢")))</f>
        <v/>
      </c>
      <c r="AD87" s="105" t="n">
        <v>16930.43345</v>
      </c>
      <c r="AE87" s="106" t="n">
        <v>6464.58333333333</v>
      </c>
      <c r="AF87" s="107" t="n"/>
      <c r="AG87" s="108">
        <f>IF(AF87="","",AE87*AF87)</f>
        <v/>
      </c>
      <c r="AH87" s="243">
        <f>IF(AG87="","",AD87-AG87)</f>
        <v/>
      </c>
      <c r="AI87" s="110">
        <f>IF(OR(AG87="",AD87=0),"",AG87/AD87)</f>
        <v/>
      </c>
      <c r="AJ87" s="111">
        <f>IF(AI87="","⚪",IF(AI87&gt;1.2,"🔴",IF(AI87&gt;1.1,"🟡","🟢")))</f>
        <v/>
      </c>
    </row>
    <row r="88" ht="14" customHeight="1" s="176">
      <c r="A88" s="112" t="inlineStr">
        <is>
          <t>El Molle</t>
        </is>
      </c>
      <c r="B88" s="113" t="inlineStr">
        <is>
          <t>Wonderful 5,25 ha</t>
        </is>
      </c>
      <c r="C88" s="113" t="inlineStr">
        <is>
          <t>2- M.O. indirecta</t>
        </is>
      </c>
      <c r="D88" s="113" t="inlineStr">
        <is>
          <t>5,1- SUPERVISOR</t>
        </is>
      </c>
      <c r="E88" s="113" t="inlineStr">
        <is>
          <t>día</t>
        </is>
      </c>
      <c r="F88" s="105" t="n">
        <v>62133.3</v>
      </c>
      <c r="G88" s="106" t="n">
        <v>39525</v>
      </c>
      <c r="H88" s="107" t="n"/>
      <c r="I88" s="108">
        <f>IF(H88="","",G88*H88)</f>
        <v/>
      </c>
      <c r="J88" s="243">
        <f>IF(I88="","",F88-I88)</f>
        <v/>
      </c>
      <c r="K88" s="110">
        <f>IF(OR(I88="",F88=0),"",I88/F88)</f>
        <v/>
      </c>
      <c r="L88" s="111">
        <f>IF(K88="","⚪",IF(K88&gt;1.2,"🔴",IF(K88&gt;1.1,"🟡","🟢")))</f>
        <v/>
      </c>
      <c r="N88" s="105" t="n">
        <v>62133.3</v>
      </c>
      <c r="O88" s="106" t="n">
        <v>39525</v>
      </c>
      <c r="P88" s="107" t="n"/>
      <c r="Q88" s="108">
        <f>IF(P88="","",O88*P88)</f>
        <v/>
      </c>
      <c r="R88" s="243">
        <f>IF(Q88="","",N88-Q88)</f>
        <v/>
      </c>
      <c r="S88" s="110">
        <f>IF(OR(Q88="",N88=0),"",Q88/N88)</f>
        <v/>
      </c>
      <c r="T88" s="111">
        <f>IF(S88="","⚪",IF(S88&gt;1.2,"🔴",IF(S88&gt;1.1,"🟡","🟢")))</f>
        <v/>
      </c>
      <c r="V88" s="105" t="n">
        <v>62133.3</v>
      </c>
      <c r="W88" s="106" t="n">
        <v>39525</v>
      </c>
      <c r="X88" s="107" t="n"/>
      <c r="Y88" s="108">
        <f>IF(X88="","",W88*X88)</f>
        <v/>
      </c>
      <c r="Z88" s="243">
        <f>IF(Y88="","",V88-Y88)</f>
        <v/>
      </c>
      <c r="AA88" s="110">
        <f>IF(OR(Y88="",V88=0),"",Y88/V88)</f>
        <v/>
      </c>
      <c r="AB88" s="111">
        <f>IF(AA88="","⚪",IF(AA88&gt;1.2,"🔴",IF(AA88&gt;1.1,"🟡","🟢")))</f>
        <v/>
      </c>
      <c r="AD88" s="105" t="n">
        <v>62133.3</v>
      </c>
      <c r="AE88" s="106" t="n">
        <v>39525</v>
      </c>
      <c r="AF88" s="107" t="n"/>
      <c r="AG88" s="108">
        <f>IF(AF88="","",AE88*AF88)</f>
        <v/>
      </c>
      <c r="AH88" s="243">
        <f>IF(AG88="","",AD88-AG88)</f>
        <v/>
      </c>
      <c r="AI88" s="110">
        <f>IF(OR(AG88="",AD88=0),"",AG88/AD88)</f>
        <v/>
      </c>
      <c r="AJ88" s="111">
        <f>IF(AI88="","⚪",IF(AI88&gt;1.2,"🔴",IF(AI88&gt;1.1,"🟡","🟢")))</f>
        <v/>
      </c>
    </row>
    <row r="89" ht="14" customHeight="1" s="176">
      <c r="A89" s="103" t="inlineStr">
        <is>
          <t>El Molle</t>
        </is>
      </c>
      <c r="B89" s="104" t="inlineStr">
        <is>
          <t>Wonderful 5,25 ha</t>
        </is>
      </c>
      <c r="C89" s="104" t="inlineStr">
        <is>
          <t>2- M.O. indirecta</t>
        </is>
      </c>
      <c r="D89" s="104" t="inlineStr">
        <is>
          <t>5- PREVEN. DE RIESGO</t>
        </is>
      </c>
      <c r="E89" s="104" t="inlineStr">
        <is>
          <t>día</t>
        </is>
      </c>
      <c r="F89" s="105" t="n">
        <v>4124.8494</v>
      </c>
      <c r="G89" s="106" t="n">
        <v>1575</v>
      </c>
      <c r="H89" s="107" t="n"/>
      <c r="I89" s="108">
        <f>IF(H89="","",G89*H89)</f>
        <v/>
      </c>
      <c r="J89" s="243">
        <f>IF(I89="","",F89-I89)</f>
        <v/>
      </c>
      <c r="K89" s="110">
        <f>IF(OR(I89="",F89=0),"",I89/F89)</f>
        <v/>
      </c>
      <c r="L89" s="111">
        <f>IF(K89="","⚪",IF(K89&gt;1.2,"🔴",IF(K89&gt;1.1,"🟡","🟢")))</f>
        <v/>
      </c>
      <c r="N89" s="105" t="n">
        <v>4124.8494</v>
      </c>
      <c r="O89" s="106" t="n">
        <v>1575</v>
      </c>
      <c r="P89" s="107" t="n"/>
      <c r="Q89" s="108">
        <f>IF(P89="","",O89*P89)</f>
        <v/>
      </c>
      <c r="R89" s="243">
        <f>IF(Q89="","",N89-Q89)</f>
        <v/>
      </c>
      <c r="S89" s="110">
        <f>IF(OR(Q89="",N89=0),"",Q89/N89)</f>
        <v/>
      </c>
      <c r="T89" s="111">
        <f>IF(S89="","⚪",IF(S89&gt;1.2,"🔴",IF(S89&gt;1.1,"🟡","🟢")))</f>
        <v/>
      </c>
      <c r="V89" s="105" t="n">
        <v>4124.8494</v>
      </c>
      <c r="W89" s="106" t="n">
        <v>1575</v>
      </c>
      <c r="X89" s="107" t="n"/>
      <c r="Y89" s="108">
        <f>IF(X89="","",W89*X89)</f>
        <v/>
      </c>
      <c r="Z89" s="243">
        <f>IF(Y89="","",V89-Y89)</f>
        <v/>
      </c>
      <c r="AA89" s="110">
        <f>IF(OR(Y89="",V89=0),"",Y89/V89)</f>
        <v/>
      </c>
      <c r="AB89" s="111">
        <f>IF(AA89="","⚪",IF(AA89&gt;1.2,"🔴",IF(AA89&gt;1.1,"🟡","🟢")))</f>
        <v/>
      </c>
      <c r="AD89" s="105" t="n">
        <v>4124.8494</v>
      </c>
      <c r="AE89" s="106" t="n">
        <v>1575</v>
      </c>
      <c r="AF89" s="107" t="n"/>
      <c r="AG89" s="108">
        <f>IF(AF89="","",AE89*AF89)</f>
        <v/>
      </c>
      <c r="AH89" s="243">
        <f>IF(AG89="","",AD89-AG89)</f>
        <v/>
      </c>
      <c r="AI89" s="110">
        <f>IF(OR(AG89="",AD89=0),"",AG89/AD89)</f>
        <v/>
      </c>
      <c r="AJ89" s="111">
        <f>IF(AI89="","⚪",IF(AI89&gt;1.2,"🔴",IF(AI89&gt;1.1,"🟡","🟢")))</f>
        <v/>
      </c>
    </row>
    <row r="90" ht="14" customHeight="1" s="176">
      <c r="A90" s="112" t="inlineStr">
        <is>
          <t>El Molle</t>
        </is>
      </c>
      <c r="B90" s="113" t="inlineStr">
        <is>
          <t>Wonderful 5,25 ha</t>
        </is>
      </c>
      <c r="C90" s="113" t="inlineStr">
        <is>
          <t>2- M.O. indirecta</t>
        </is>
      </c>
      <c r="D90" s="113" t="inlineStr">
        <is>
          <t>9,1- RONDIN FUNDO</t>
        </is>
      </c>
      <c r="E90" s="113" t="inlineStr">
        <is>
          <t>día</t>
        </is>
      </c>
      <c r="F90" s="105" t="n">
        <v>19242.3</v>
      </c>
      <c r="G90" s="106" t="n">
        <v>38500</v>
      </c>
      <c r="H90" s="107" t="n"/>
      <c r="I90" s="108">
        <f>IF(H90="","",G90*H90)</f>
        <v/>
      </c>
      <c r="J90" s="243">
        <f>IF(I90="","",F90-I90)</f>
        <v/>
      </c>
      <c r="K90" s="110">
        <f>IF(OR(I90="",F90=0),"",I90/F90)</f>
        <v/>
      </c>
      <c r="L90" s="111">
        <f>IF(K90="","⚪",IF(K90&gt;1.2,"🔴",IF(K90&gt;1.1,"🟡","🟢")))</f>
        <v/>
      </c>
      <c r="N90" s="105" t="n">
        <v>19242.3</v>
      </c>
      <c r="O90" s="106" t="n">
        <v>38500</v>
      </c>
      <c r="P90" s="107" t="n"/>
      <c r="Q90" s="108">
        <f>IF(P90="","",O90*P90)</f>
        <v/>
      </c>
      <c r="R90" s="243">
        <f>IF(Q90="","",N90-Q90)</f>
        <v/>
      </c>
      <c r="S90" s="110">
        <f>IF(OR(Q90="",N90=0),"",Q90/N90)</f>
        <v/>
      </c>
      <c r="T90" s="111">
        <f>IF(S90="","⚪",IF(S90&gt;1.2,"🔴",IF(S90&gt;1.1,"🟡","🟢")))</f>
        <v/>
      </c>
      <c r="V90" s="105" t="n">
        <v>19242.3</v>
      </c>
      <c r="W90" s="106" t="n">
        <v>38500</v>
      </c>
      <c r="X90" s="107" t="n"/>
      <c r="Y90" s="108">
        <f>IF(X90="","",W90*X90)</f>
        <v/>
      </c>
      <c r="Z90" s="243">
        <f>IF(Y90="","",V90-Y90)</f>
        <v/>
      </c>
      <c r="AA90" s="110">
        <f>IF(OR(Y90="",V90=0),"",Y90/V90)</f>
        <v/>
      </c>
      <c r="AB90" s="111">
        <f>IF(AA90="","⚪",IF(AA90&gt;1.2,"🔴",IF(AA90&gt;1.1,"🟡","🟢")))</f>
        <v/>
      </c>
      <c r="AD90" s="105" t="n">
        <v>19242.3</v>
      </c>
      <c r="AE90" s="106" t="n">
        <v>38500</v>
      </c>
      <c r="AF90" s="107" t="n"/>
      <c r="AG90" s="108">
        <f>IF(AF90="","",AE90*AF90)</f>
        <v/>
      </c>
      <c r="AH90" s="243">
        <f>IF(AG90="","",AD90-AG90)</f>
        <v/>
      </c>
      <c r="AI90" s="110">
        <f>IF(OR(AG90="",AD90=0),"",AG90/AD90)</f>
        <v/>
      </c>
      <c r="AJ90" s="111">
        <f>IF(AI90="","⚪",IF(AI90&gt;1.2,"🔴",IF(AI90&gt;1.1,"🟡","🟢")))</f>
        <v/>
      </c>
    </row>
    <row r="91" ht="14" customHeight="1" s="176">
      <c r="A91" s="103" t="inlineStr">
        <is>
          <t>El Molle</t>
        </is>
      </c>
      <c r="B91" s="104" t="inlineStr">
        <is>
          <t>arrufatinas 5,74 ha</t>
        </is>
      </c>
      <c r="C91" s="104" t="inlineStr">
        <is>
          <t>1- M.O. directa</t>
        </is>
      </c>
      <c r="D91" s="104" t="inlineStr">
        <is>
          <t xml:space="preserve">1,4- Mantención caminos </t>
        </is>
      </c>
      <c r="E91" s="104" t="inlineStr">
        <is>
          <t>día</t>
        </is>
      </c>
      <c r="F91" s="105" t="n">
        <v>6525</v>
      </c>
      <c r="G91" s="106" t="n">
        <v>43500</v>
      </c>
      <c r="H91" s="107" t="n"/>
      <c r="I91" s="108">
        <f>IF(H91="","",G91*H91)</f>
        <v/>
      </c>
      <c r="J91" s="243">
        <f>IF(I91="","",F91-I91)</f>
        <v/>
      </c>
      <c r="K91" s="110">
        <f>IF(OR(I91="",F91=0),"",I91/F91)</f>
        <v/>
      </c>
      <c r="L91" s="111">
        <f>IF(K91="","⚪",IF(K91&gt;1.2,"🔴",IF(K91&gt;1.1,"🟡","🟢")))</f>
        <v/>
      </c>
      <c r="N91" s="105" t="n">
        <v>6525</v>
      </c>
      <c r="O91" s="106" t="n">
        <v>43500</v>
      </c>
      <c r="P91" s="107" t="n"/>
      <c r="Q91" s="108">
        <f>IF(P91="","",O91*P91)</f>
        <v/>
      </c>
      <c r="R91" s="243">
        <f>IF(Q91="","",N91-Q91)</f>
        <v/>
      </c>
      <c r="S91" s="110">
        <f>IF(OR(Q91="",N91=0),"",Q91/N91)</f>
        <v/>
      </c>
      <c r="T91" s="111">
        <f>IF(S91="","⚪",IF(S91&gt;1.2,"🔴",IF(S91&gt;1.1,"🟡","🟢")))</f>
        <v/>
      </c>
      <c r="V91" s="105" t="n">
        <v>6525</v>
      </c>
      <c r="W91" s="106" t="n">
        <v>43500</v>
      </c>
      <c r="X91" s="107" t="n"/>
      <c r="Y91" s="108">
        <f>IF(X91="","",W91*X91)</f>
        <v/>
      </c>
      <c r="Z91" s="243">
        <f>IF(Y91="","",V91-Y91)</f>
        <v/>
      </c>
      <c r="AA91" s="110">
        <f>IF(OR(Y91="",V91=0),"",Y91/V91)</f>
        <v/>
      </c>
      <c r="AB91" s="111">
        <f>IF(AA91="","⚪",IF(AA91&gt;1.2,"🔴",IF(AA91&gt;1.1,"🟡","🟢")))</f>
        <v/>
      </c>
      <c r="AD91" s="105" t="n">
        <v>6525</v>
      </c>
      <c r="AE91" s="106" t="n">
        <v>43500</v>
      </c>
      <c r="AF91" s="107" t="n"/>
      <c r="AG91" s="108">
        <f>IF(AF91="","",AE91*AF91)</f>
        <v/>
      </c>
      <c r="AH91" s="243">
        <f>IF(AG91="","",AD91-AG91)</f>
        <v/>
      </c>
      <c r="AI91" s="110">
        <f>IF(OR(AG91="",AD91=0),"",AG91/AD91)</f>
        <v/>
      </c>
      <c r="AJ91" s="111">
        <f>IF(AI91="","⚪",IF(AI91&gt;1.2,"🔴",IF(AI91&gt;1.1,"🟡","🟢")))</f>
        <v/>
      </c>
    </row>
    <row r="92" ht="14" customHeight="1" s="176">
      <c r="A92" s="112" t="inlineStr">
        <is>
          <t>El Molle</t>
        </is>
      </c>
      <c r="B92" s="113" t="inlineStr">
        <is>
          <t>arrufatinas 5,74 ha</t>
        </is>
      </c>
      <c r="C92" s="113" t="inlineStr">
        <is>
          <t>1- M.O. directa</t>
        </is>
      </c>
      <c r="D92" s="113" t="inlineStr">
        <is>
          <t>1- Cosecha EXP</t>
        </is>
      </c>
      <c r="E92" s="113" t="inlineStr">
        <is>
          <t>trato</t>
        </is>
      </c>
      <c r="F92" s="105" t="n">
        <v>780640</v>
      </c>
      <c r="G92" s="106" t="n">
        <v>85</v>
      </c>
      <c r="H92" s="107" t="n"/>
      <c r="I92" s="108">
        <f>IF(H92="","",G92*H92)</f>
        <v/>
      </c>
      <c r="J92" s="243">
        <f>IF(I92="","",F92-I92)</f>
        <v/>
      </c>
      <c r="K92" s="110">
        <f>IF(OR(I92="",F92=0),"",I92/F92)</f>
        <v/>
      </c>
      <c r="L92" s="111">
        <f>IF(K92="","⚪",IF(K92&gt;1.2,"🔴",IF(K92&gt;1.1,"🟡","🟢")))</f>
        <v/>
      </c>
      <c r="N92" s="105" t="n">
        <v>780640</v>
      </c>
      <c r="O92" s="106" t="n">
        <v>85</v>
      </c>
      <c r="P92" s="107" t="n"/>
      <c r="Q92" s="108">
        <f>IF(P92="","",O92*P92)</f>
        <v/>
      </c>
      <c r="R92" s="243">
        <f>IF(Q92="","",N92-Q92)</f>
        <v/>
      </c>
      <c r="S92" s="110">
        <f>IF(OR(Q92="",N92=0),"",Q92/N92)</f>
        <v/>
      </c>
      <c r="T92" s="111">
        <f>IF(S92="","⚪",IF(S92&gt;1.2,"🔴",IF(S92&gt;1.1,"🟡","🟢")))</f>
        <v/>
      </c>
      <c r="V92" s="105" t="n">
        <v>780640</v>
      </c>
      <c r="W92" s="106" t="n">
        <v>85</v>
      </c>
      <c r="X92" s="107" t="n"/>
      <c r="Y92" s="108">
        <f>IF(X92="","",W92*X92)</f>
        <v/>
      </c>
      <c r="Z92" s="243">
        <f>IF(Y92="","",V92-Y92)</f>
        <v/>
      </c>
      <c r="AA92" s="110">
        <f>IF(OR(Y92="",V92=0),"",Y92/V92)</f>
        <v/>
      </c>
      <c r="AB92" s="111">
        <f>IF(AA92="","⚪",IF(AA92&gt;1.2,"🔴",IF(AA92&gt;1.1,"🟡","🟢")))</f>
        <v/>
      </c>
      <c r="AD92" s="105" t="n">
        <v>780640</v>
      </c>
      <c r="AE92" s="106" t="n">
        <v>85</v>
      </c>
      <c r="AF92" s="107" t="n"/>
      <c r="AG92" s="108">
        <f>IF(AF92="","",AE92*AF92)</f>
        <v/>
      </c>
      <c r="AH92" s="243">
        <f>IF(AG92="","",AD92-AG92)</f>
        <v/>
      </c>
      <c r="AI92" s="110">
        <f>IF(OR(AG92="",AD92=0),"",AG92/AD92)</f>
        <v/>
      </c>
      <c r="AJ92" s="111">
        <f>IF(AI92="","⚪",IF(AI92&gt;1.2,"🔴",IF(AI92&gt;1.1,"🟡","🟢")))</f>
        <v/>
      </c>
    </row>
    <row r="93" ht="14" customHeight="1" s="176">
      <c r="A93" s="103" t="inlineStr">
        <is>
          <t>El Molle</t>
        </is>
      </c>
      <c r="B93" s="104" t="inlineStr">
        <is>
          <t>arrufatinas 5,74 ha</t>
        </is>
      </c>
      <c r="C93" s="104" t="inlineStr">
        <is>
          <t>1- M.O. directa</t>
        </is>
      </c>
      <c r="D93" s="104" t="inlineStr">
        <is>
          <t>10- Ortopedia y puntales</t>
        </is>
      </c>
      <c r="E93" s="104" t="inlineStr">
        <is>
          <t>día</t>
        </is>
      </c>
      <c r="F93" s="105" t="n">
        <v>143571.75</v>
      </c>
      <c r="G93" s="106" t="n">
        <v>500</v>
      </c>
      <c r="H93" s="107" t="n"/>
      <c r="I93" s="108">
        <f>IF(H93="","",G93*H93)</f>
        <v/>
      </c>
      <c r="J93" s="243">
        <f>IF(I93="","",F93-I93)</f>
        <v/>
      </c>
      <c r="K93" s="110">
        <f>IF(OR(I93="",F93=0),"",I93/F93)</f>
        <v/>
      </c>
      <c r="L93" s="111">
        <f>IF(K93="","⚪",IF(K93&gt;1.2,"🔴",IF(K93&gt;1.1,"🟡","🟢")))</f>
        <v/>
      </c>
      <c r="N93" s="105" t="n">
        <v>143571.75</v>
      </c>
      <c r="O93" s="106" t="n">
        <v>500</v>
      </c>
      <c r="P93" s="107" t="n"/>
      <c r="Q93" s="108">
        <f>IF(P93="","",O93*P93)</f>
        <v/>
      </c>
      <c r="R93" s="243">
        <f>IF(Q93="","",N93-Q93)</f>
        <v/>
      </c>
      <c r="S93" s="110">
        <f>IF(OR(Q93="",N93=0),"",Q93/N93)</f>
        <v/>
      </c>
      <c r="T93" s="111">
        <f>IF(S93="","⚪",IF(S93&gt;1.2,"🔴",IF(S93&gt;1.1,"🟡","🟢")))</f>
        <v/>
      </c>
      <c r="V93" s="105" t="n">
        <v>143571.75</v>
      </c>
      <c r="W93" s="106" t="n">
        <v>500</v>
      </c>
      <c r="X93" s="107" t="n"/>
      <c r="Y93" s="108">
        <f>IF(X93="","",W93*X93)</f>
        <v/>
      </c>
      <c r="Z93" s="243">
        <f>IF(Y93="","",V93-Y93)</f>
        <v/>
      </c>
      <c r="AA93" s="110">
        <f>IF(OR(Y93="",V93=0),"",Y93/V93)</f>
        <v/>
      </c>
      <c r="AB93" s="111">
        <f>IF(AA93="","⚪",IF(AA93&gt;1.2,"🔴",IF(AA93&gt;1.1,"🟡","🟢")))</f>
        <v/>
      </c>
      <c r="AD93" s="105" t="n">
        <v>143571.75</v>
      </c>
      <c r="AE93" s="106" t="n">
        <v>500</v>
      </c>
      <c r="AF93" s="107" t="n"/>
      <c r="AG93" s="108">
        <f>IF(AF93="","",AE93*AF93)</f>
        <v/>
      </c>
      <c r="AH93" s="243">
        <f>IF(AG93="","",AD93-AG93)</f>
        <v/>
      </c>
      <c r="AI93" s="110">
        <f>IF(OR(AG93="",AD93=0),"",AG93/AD93)</f>
        <v/>
      </c>
      <c r="AJ93" s="111">
        <f>IF(AI93="","⚪",IF(AI93&gt;1.2,"🔴",IF(AI93&gt;1.1,"🟡","🟢")))</f>
        <v/>
      </c>
    </row>
    <row r="94" ht="14" customHeight="1" s="176">
      <c r="A94" s="112" t="inlineStr">
        <is>
          <t>El Molle</t>
        </is>
      </c>
      <c r="B94" s="113" t="inlineStr">
        <is>
          <t>arrufatinas 5,74 ha</t>
        </is>
      </c>
      <c r="C94" s="113" t="inlineStr">
        <is>
          <t>1- M.O. directa</t>
        </is>
      </c>
      <c r="D94" s="113" t="inlineStr">
        <is>
          <t xml:space="preserve">11- mantención de cercos </t>
        </is>
      </c>
      <c r="E94" s="113" t="inlineStr">
        <is>
          <t>día</t>
        </is>
      </c>
      <c r="F94" s="105" t="n">
        <v>38673.25</v>
      </c>
      <c r="G94" s="106" t="n">
        <v>38500</v>
      </c>
      <c r="H94" s="107" t="n"/>
      <c r="I94" s="108">
        <f>IF(H94="","",G94*H94)</f>
        <v/>
      </c>
      <c r="J94" s="243">
        <f>IF(I94="","",F94-I94)</f>
        <v/>
      </c>
      <c r="K94" s="110">
        <f>IF(OR(I94="",F94=0),"",I94/F94)</f>
        <v/>
      </c>
      <c r="L94" s="111">
        <f>IF(K94="","⚪",IF(K94&gt;1.2,"🔴",IF(K94&gt;1.1,"🟡","🟢")))</f>
        <v/>
      </c>
      <c r="N94" s="105" t="n">
        <v>38673.25</v>
      </c>
      <c r="O94" s="106" t="n">
        <v>38500</v>
      </c>
      <c r="P94" s="107" t="n"/>
      <c r="Q94" s="108">
        <f>IF(P94="","",O94*P94)</f>
        <v/>
      </c>
      <c r="R94" s="243">
        <f>IF(Q94="","",N94-Q94)</f>
        <v/>
      </c>
      <c r="S94" s="110">
        <f>IF(OR(Q94="",N94=0),"",Q94/N94)</f>
        <v/>
      </c>
      <c r="T94" s="111">
        <f>IF(S94="","⚪",IF(S94&gt;1.2,"🔴",IF(S94&gt;1.1,"🟡","🟢")))</f>
        <v/>
      </c>
      <c r="V94" s="105" t="n">
        <v>38673.25</v>
      </c>
      <c r="W94" s="106" t="n">
        <v>38500</v>
      </c>
      <c r="X94" s="107" t="n"/>
      <c r="Y94" s="108">
        <f>IF(X94="","",W94*X94)</f>
        <v/>
      </c>
      <c r="Z94" s="243">
        <f>IF(Y94="","",V94-Y94)</f>
        <v/>
      </c>
      <c r="AA94" s="110">
        <f>IF(OR(Y94="",V94=0),"",Y94/V94)</f>
        <v/>
      </c>
      <c r="AB94" s="111">
        <f>IF(AA94="","⚪",IF(AA94&gt;1.2,"🔴",IF(AA94&gt;1.1,"🟡","🟢")))</f>
        <v/>
      </c>
      <c r="AD94" s="105" t="n">
        <v>38673.25</v>
      </c>
      <c r="AE94" s="106" t="n">
        <v>38500</v>
      </c>
      <c r="AF94" s="107" t="n"/>
      <c r="AG94" s="108">
        <f>IF(AF94="","",AE94*AF94)</f>
        <v/>
      </c>
      <c r="AH94" s="243">
        <f>IF(AG94="","",AD94-AG94)</f>
        <v/>
      </c>
      <c r="AI94" s="110">
        <f>IF(OR(AG94="",AD94=0),"",AG94/AD94)</f>
        <v/>
      </c>
      <c r="AJ94" s="111">
        <f>IF(AI94="","⚪",IF(AI94&gt;1.2,"🔴",IF(AI94&gt;1.1,"🟡","🟢")))</f>
        <v/>
      </c>
    </row>
    <row r="95" ht="14" customHeight="1" s="176">
      <c r="A95" s="103" t="inlineStr">
        <is>
          <t>El Molle</t>
        </is>
      </c>
      <c r="B95" s="104" t="inlineStr">
        <is>
          <t>arrufatinas 5,74 ha</t>
        </is>
      </c>
      <c r="C95" s="104" t="inlineStr">
        <is>
          <t>1- M.O. directa</t>
        </is>
      </c>
      <c r="D95" s="104" t="inlineStr">
        <is>
          <t>12- Picar sarmiento</t>
        </is>
      </c>
      <c r="E95" s="104" t="inlineStr">
        <is>
          <t>trato</t>
        </is>
      </c>
      <c r="F95" s="105" t="n">
        <v>11485.74</v>
      </c>
      <c r="G95" s="106" t="n">
        <v>60</v>
      </c>
      <c r="H95" s="107" t="n"/>
      <c r="I95" s="108">
        <f>IF(H95="","",G95*H95)</f>
        <v/>
      </c>
      <c r="J95" s="243">
        <f>IF(I95="","",F95-I95)</f>
        <v/>
      </c>
      <c r="K95" s="110">
        <f>IF(OR(I95="",F95=0),"",I95/F95)</f>
        <v/>
      </c>
      <c r="L95" s="111">
        <f>IF(K95="","⚪",IF(K95&gt;1.2,"🔴",IF(K95&gt;1.1,"🟡","🟢")))</f>
        <v/>
      </c>
      <c r="N95" s="105" t="n">
        <v>11485.74</v>
      </c>
      <c r="O95" s="106" t="n">
        <v>60</v>
      </c>
      <c r="P95" s="107" t="n"/>
      <c r="Q95" s="108">
        <f>IF(P95="","",O95*P95)</f>
        <v/>
      </c>
      <c r="R95" s="243">
        <f>IF(Q95="","",N95-Q95)</f>
        <v/>
      </c>
      <c r="S95" s="110">
        <f>IF(OR(Q95="",N95=0),"",Q95/N95)</f>
        <v/>
      </c>
      <c r="T95" s="111">
        <f>IF(S95="","⚪",IF(S95&gt;1.2,"🔴",IF(S95&gt;1.1,"🟡","🟢")))</f>
        <v/>
      </c>
      <c r="V95" s="105" t="n">
        <v>11485.74</v>
      </c>
      <c r="W95" s="106" t="n">
        <v>60</v>
      </c>
      <c r="X95" s="107" t="n"/>
      <c r="Y95" s="108">
        <f>IF(X95="","",W95*X95)</f>
        <v/>
      </c>
      <c r="Z95" s="243">
        <f>IF(Y95="","",V95-Y95)</f>
        <v/>
      </c>
      <c r="AA95" s="110">
        <f>IF(OR(Y95="",V95=0),"",Y95/V95)</f>
        <v/>
      </c>
      <c r="AB95" s="111">
        <f>IF(AA95="","⚪",IF(AA95&gt;1.2,"🔴",IF(AA95&gt;1.1,"🟡","🟢")))</f>
        <v/>
      </c>
      <c r="AD95" s="105" t="n">
        <v>11485.74</v>
      </c>
      <c r="AE95" s="106" t="n">
        <v>60</v>
      </c>
      <c r="AF95" s="107" t="n"/>
      <c r="AG95" s="108">
        <f>IF(AF95="","",AE95*AF95)</f>
        <v/>
      </c>
      <c r="AH95" s="243">
        <f>IF(AG95="","",AD95-AG95)</f>
        <v/>
      </c>
      <c r="AI95" s="110">
        <f>IF(OR(AG95="",AD95=0),"",AG95/AD95)</f>
        <v/>
      </c>
      <c r="AJ95" s="111">
        <f>IF(AI95="","⚪",IF(AI95&gt;1.2,"🔴",IF(AI95&gt;1.1,"🟡","🟢")))</f>
        <v/>
      </c>
    </row>
    <row r="96" ht="14" customHeight="1" s="176">
      <c r="A96" s="112" t="inlineStr">
        <is>
          <t>El Molle</t>
        </is>
      </c>
      <c r="B96" s="113" t="inlineStr">
        <is>
          <t>arrufatinas 5,74 ha</t>
        </is>
      </c>
      <c r="C96" s="113" t="inlineStr">
        <is>
          <t>1- M.O. directa</t>
        </is>
      </c>
      <c r="D96" s="113" t="inlineStr">
        <is>
          <t>14- Poda de sierrpes</t>
        </is>
      </c>
      <c r="E96" s="113" t="inlineStr">
        <is>
          <t>trato</t>
        </is>
      </c>
      <c r="F96" s="105" t="n">
        <v>17228.61</v>
      </c>
      <c r="G96" s="106" t="n">
        <v>60</v>
      </c>
      <c r="H96" s="107" t="n"/>
      <c r="I96" s="108">
        <f>IF(H96="","",G96*H96)</f>
        <v/>
      </c>
      <c r="J96" s="243">
        <f>IF(I96="","",F96-I96)</f>
        <v/>
      </c>
      <c r="K96" s="110">
        <f>IF(OR(I96="",F96=0),"",I96/F96)</f>
        <v/>
      </c>
      <c r="L96" s="111">
        <f>IF(K96="","⚪",IF(K96&gt;1.2,"🔴",IF(K96&gt;1.1,"🟡","🟢")))</f>
        <v/>
      </c>
      <c r="N96" s="105" t="n">
        <v>17228.61</v>
      </c>
      <c r="O96" s="106" t="n">
        <v>60</v>
      </c>
      <c r="P96" s="107" t="n"/>
      <c r="Q96" s="108">
        <f>IF(P96="","",O96*P96)</f>
        <v/>
      </c>
      <c r="R96" s="243">
        <f>IF(Q96="","",N96-Q96)</f>
        <v/>
      </c>
      <c r="S96" s="110">
        <f>IF(OR(Q96="",N96=0),"",Q96/N96)</f>
        <v/>
      </c>
      <c r="T96" s="111">
        <f>IF(S96="","⚪",IF(S96&gt;1.2,"🔴",IF(S96&gt;1.1,"🟡","🟢")))</f>
        <v/>
      </c>
      <c r="V96" s="105" t="n">
        <v>17228.61</v>
      </c>
      <c r="W96" s="106" t="n">
        <v>60</v>
      </c>
      <c r="X96" s="107" t="n"/>
      <c r="Y96" s="108">
        <f>IF(X96="","",W96*X96)</f>
        <v/>
      </c>
      <c r="Z96" s="243">
        <f>IF(Y96="","",V96-Y96)</f>
        <v/>
      </c>
      <c r="AA96" s="110">
        <f>IF(OR(Y96="",V96=0),"",Y96/V96)</f>
        <v/>
      </c>
      <c r="AB96" s="111">
        <f>IF(AA96="","⚪",IF(AA96&gt;1.2,"🔴",IF(AA96&gt;1.1,"🟡","🟢")))</f>
        <v/>
      </c>
      <c r="AD96" s="105" t="n">
        <v>17228.61</v>
      </c>
      <c r="AE96" s="106" t="n">
        <v>60</v>
      </c>
      <c r="AF96" s="107" t="n"/>
      <c r="AG96" s="108">
        <f>IF(AF96="","",AE96*AF96)</f>
        <v/>
      </c>
      <c r="AH96" s="243">
        <f>IF(AG96="","",AD96-AG96)</f>
        <v/>
      </c>
      <c r="AI96" s="110">
        <f>IF(OR(AG96="",AD96=0),"",AG96/AD96)</f>
        <v/>
      </c>
      <c r="AJ96" s="111">
        <f>IF(AI96="","⚪",IF(AI96&gt;1.2,"🔴",IF(AI96&gt;1.1,"🟡","🟢")))</f>
        <v/>
      </c>
    </row>
    <row r="97" ht="14" customHeight="1" s="176">
      <c r="A97" s="103" t="inlineStr">
        <is>
          <t>El Molle</t>
        </is>
      </c>
      <c r="B97" s="104" t="inlineStr">
        <is>
          <t>arrufatinas 5,74 ha</t>
        </is>
      </c>
      <c r="C97" s="104" t="inlineStr">
        <is>
          <t>1- M.O. directa</t>
        </is>
      </c>
      <c r="D97" s="104" t="inlineStr">
        <is>
          <t>15- Poda</t>
        </is>
      </c>
      <c r="E97" s="104" t="inlineStr">
        <is>
          <t>trato</t>
        </is>
      </c>
      <c r="F97" s="105" t="n">
        <v>86143.05</v>
      </c>
      <c r="G97" s="106" t="n">
        <v>450</v>
      </c>
      <c r="H97" s="107" t="n"/>
      <c r="I97" s="108">
        <f>IF(H97="","",G97*H97)</f>
        <v/>
      </c>
      <c r="J97" s="243">
        <f>IF(I97="","",F97-I97)</f>
        <v/>
      </c>
      <c r="K97" s="110">
        <f>IF(OR(I97="",F97=0),"",I97/F97)</f>
        <v/>
      </c>
      <c r="L97" s="111">
        <f>IF(K97="","⚪",IF(K97&gt;1.2,"🔴",IF(K97&gt;1.1,"🟡","🟢")))</f>
        <v/>
      </c>
      <c r="N97" s="105" t="n">
        <v>86143.05</v>
      </c>
      <c r="O97" s="106" t="n">
        <v>450</v>
      </c>
      <c r="P97" s="107" t="n"/>
      <c r="Q97" s="108">
        <f>IF(P97="","",O97*P97)</f>
        <v/>
      </c>
      <c r="R97" s="243">
        <f>IF(Q97="","",N97-Q97)</f>
        <v/>
      </c>
      <c r="S97" s="110">
        <f>IF(OR(Q97="",N97=0),"",Q97/N97)</f>
        <v/>
      </c>
      <c r="T97" s="111">
        <f>IF(S97="","⚪",IF(S97&gt;1.2,"🔴",IF(S97&gt;1.1,"🟡","🟢")))</f>
        <v/>
      </c>
      <c r="V97" s="105" t="n">
        <v>86143.05</v>
      </c>
      <c r="W97" s="106" t="n">
        <v>450</v>
      </c>
      <c r="X97" s="107" t="n"/>
      <c r="Y97" s="108">
        <f>IF(X97="","",W97*X97)</f>
        <v/>
      </c>
      <c r="Z97" s="243">
        <f>IF(Y97="","",V97-Y97)</f>
        <v/>
      </c>
      <c r="AA97" s="110">
        <f>IF(OR(Y97="",V97=0),"",Y97/V97)</f>
        <v/>
      </c>
      <c r="AB97" s="111">
        <f>IF(AA97="","⚪",IF(AA97&gt;1.2,"🔴",IF(AA97&gt;1.1,"🟡","🟢")))</f>
        <v/>
      </c>
      <c r="AD97" s="105" t="n">
        <v>86143.05</v>
      </c>
      <c r="AE97" s="106" t="n">
        <v>450</v>
      </c>
      <c r="AF97" s="107" t="n"/>
      <c r="AG97" s="108">
        <f>IF(AF97="","",AE97*AF97)</f>
        <v/>
      </c>
      <c r="AH97" s="243">
        <f>IF(AG97="","",AD97-AG97)</f>
        <v/>
      </c>
      <c r="AI97" s="110">
        <f>IF(OR(AG97="",AD97=0),"",AG97/AD97)</f>
        <v/>
      </c>
      <c r="AJ97" s="111">
        <f>IF(AI97="","⚪",IF(AI97&gt;1.2,"🔴",IF(AI97&gt;1.1,"🟡","🟢")))</f>
        <v/>
      </c>
    </row>
    <row r="98" ht="14" customHeight="1" s="176">
      <c r="A98" s="112" t="inlineStr">
        <is>
          <t>El Molle</t>
        </is>
      </c>
      <c r="B98" s="113" t="inlineStr">
        <is>
          <t>arrufatinas 5,74 ha</t>
        </is>
      </c>
      <c r="C98" s="113" t="inlineStr">
        <is>
          <t>1- M.O. directa</t>
        </is>
      </c>
      <c r="D98" s="113" t="inlineStr">
        <is>
          <t>16- Supervisor poda</t>
        </is>
      </c>
      <c r="E98" s="113" t="inlineStr">
        <is>
          <t>día</t>
        </is>
      </c>
      <c r="F98" s="105" t="n">
        <v>14357.175</v>
      </c>
      <c r="G98" s="106" t="n">
        <v>75</v>
      </c>
      <c r="H98" s="107" t="n"/>
      <c r="I98" s="108">
        <f>IF(H98="","",G98*H98)</f>
        <v/>
      </c>
      <c r="J98" s="243">
        <f>IF(I98="","",F98-I98)</f>
        <v/>
      </c>
      <c r="K98" s="110">
        <f>IF(OR(I98="",F98=0),"",I98/F98)</f>
        <v/>
      </c>
      <c r="L98" s="111">
        <f>IF(K98="","⚪",IF(K98&gt;1.2,"🔴",IF(K98&gt;1.1,"🟡","🟢")))</f>
        <v/>
      </c>
      <c r="N98" s="105" t="n">
        <v>14357.175</v>
      </c>
      <c r="O98" s="106" t="n">
        <v>75</v>
      </c>
      <c r="P98" s="107" t="n"/>
      <c r="Q98" s="108">
        <f>IF(P98="","",O98*P98)</f>
        <v/>
      </c>
      <c r="R98" s="243">
        <f>IF(Q98="","",N98-Q98)</f>
        <v/>
      </c>
      <c r="S98" s="110">
        <f>IF(OR(Q98="",N98=0),"",Q98/N98)</f>
        <v/>
      </c>
      <c r="T98" s="111">
        <f>IF(S98="","⚪",IF(S98&gt;1.2,"🔴",IF(S98&gt;1.1,"🟡","🟢")))</f>
        <v/>
      </c>
      <c r="V98" s="105" t="n">
        <v>14357.175</v>
      </c>
      <c r="W98" s="106" t="n">
        <v>75</v>
      </c>
      <c r="X98" s="107" t="n"/>
      <c r="Y98" s="108">
        <f>IF(X98="","",W98*X98)</f>
        <v/>
      </c>
      <c r="Z98" s="243">
        <f>IF(Y98="","",V98-Y98)</f>
        <v/>
      </c>
      <c r="AA98" s="110">
        <f>IF(OR(Y98="",V98=0),"",Y98/V98)</f>
        <v/>
      </c>
      <c r="AB98" s="111">
        <f>IF(AA98="","⚪",IF(AA98&gt;1.2,"🔴",IF(AA98&gt;1.1,"🟡","🟢")))</f>
        <v/>
      </c>
      <c r="AD98" s="105" t="n">
        <v>14357.175</v>
      </c>
      <c r="AE98" s="106" t="n">
        <v>75</v>
      </c>
      <c r="AF98" s="107" t="n"/>
      <c r="AG98" s="108">
        <f>IF(AF98="","",AE98*AF98)</f>
        <v/>
      </c>
      <c r="AH98" s="243">
        <f>IF(AG98="","",AD98-AG98)</f>
        <v/>
      </c>
      <c r="AI98" s="110">
        <f>IF(OR(AG98="",AD98=0),"",AG98/AD98)</f>
        <v/>
      </c>
      <c r="AJ98" s="111">
        <f>IF(AI98="","⚪",IF(AI98&gt;1.2,"🔴",IF(AI98&gt;1.1,"🟡","🟢")))</f>
        <v/>
      </c>
    </row>
    <row r="99" ht="14" customHeight="1" s="176">
      <c r="A99" s="103" t="inlineStr">
        <is>
          <t>El Molle</t>
        </is>
      </c>
      <c r="B99" s="104" t="inlineStr">
        <is>
          <t>arrufatinas 5,74 ha</t>
        </is>
      </c>
      <c r="C99" s="104" t="inlineStr">
        <is>
          <t>1- M.O. directa</t>
        </is>
      </c>
      <c r="D99" s="104" t="inlineStr">
        <is>
          <t>17- Recepción, pesaje y despacho</t>
        </is>
      </c>
      <c r="E99" s="104" t="inlineStr">
        <is>
          <t>día</t>
        </is>
      </c>
      <c r="F99" s="105" t="n">
        <v>13224.96</v>
      </c>
      <c r="G99" s="106" t="n">
        <v>1.2</v>
      </c>
      <c r="H99" s="107" t="n"/>
      <c r="I99" s="108">
        <f>IF(H99="","",G99*H99)</f>
        <v/>
      </c>
      <c r="J99" s="243">
        <f>IF(I99="","",F99-I99)</f>
        <v/>
      </c>
      <c r="K99" s="110">
        <f>IF(OR(I99="",F99=0),"",I99/F99)</f>
        <v/>
      </c>
      <c r="L99" s="111">
        <f>IF(K99="","⚪",IF(K99&gt;1.2,"🔴",IF(K99&gt;1.1,"🟡","🟢")))</f>
        <v/>
      </c>
      <c r="N99" s="105" t="n">
        <v>13224.96</v>
      </c>
      <c r="O99" s="106" t="n">
        <v>1.2</v>
      </c>
      <c r="P99" s="107" t="n"/>
      <c r="Q99" s="108">
        <f>IF(P99="","",O99*P99)</f>
        <v/>
      </c>
      <c r="R99" s="243">
        <f>IF(Q99="","",N99-Q99)</f>
        <v/>
      </c>
      <c r="S99" s="110">
        <f>IF(OR(Q99="",N99=0),"",Q99/N99)</f>
        <v/>
      </c>
      <c r="T99" s="111">
        <f>IF(S99="","⚪",IF(S99&gt;1.2,"🔴",IF(S99&gt;1.1,"🟡","🟢")))</f>
        <v/>
      </c>
      <c r="V99" s="105" t="n">
        <v>13224.96</v>
      </c>
      <c r="W99" s="106" t="n">
        <v>1.2</v>
      </c>
      <c r="X99" s="107" t="n"/>
      <c r="Y99" s="108">
        <f>IF(X99="","",W99*X99)</f>
        <v/>
      </c>
      <c r="Z99" s="243">
        <f>IF(Y99="","",V99-Y99)</f>
        <v/>
      </c>
      <c r="AA99" s="110">
        <f>IF(OR(Y99="",V99=0),"",Y99/V99)</f>
        <v/>
      </c>
      <c r="AB99" s="111">
        <f>IF(AA99="","⚪",IF(AA99&gt;1.2,"🔴",IF(AA99&gt;1.1,"🟡","🟢")))</f>
        <v/>
      </c>
      <c r="AD99" s="105" t="n">
        <v>13224.96</v>
      </c>
      <c r="AE99" s="106" t="n">
        <v>1.2</v>
      </c>
      <c r="AF99" s="107" t="n"/>
      <c r="AG99" s="108">
        <f>IF(AF99="","",AE99*AF99)</f>
        <v/>
      </c>
      <c r="AH99" s="243">
        <f>IF(AG99="","",AD99-AG99)</f>
        <v/>
      </c>
      <c r="AI99" s="110">
        <f>IF(OR(AG99="",AD99=0),"",AG99/AD99)</f>
        <v/>
      </c>
      <c r="AJ99" s="111">
        <f>IF(AI99="","⚪",IF(AI99&gt;1.2,"🔴",IF(AI99&gt;1.1,"🟡","🟢")))</f>
        <v/>
      </c>
    </row>
    <row r="100" ht="14" customHeight="1" s="176">
      <c r="A100" s="112" t="inlineStr">
        <is>
          <t>El Molle</t>
        </is>
      </c>
      <c r="B100" s="113" t="inlineStr">
        <is>
          <t>arrufatinas 5,74 ha</t>
        </is>
      </c>
      <c r="C100" s="113" t="inlineStr">
        <is>
          <t>1- M.O. directa</t>
        </is>
      </c>
      <c r="D100" s="113" t="inlineStr">
        <is>
          <t>2- Supervisor cosecha</t>
        </is>
      </c>
      <c r="E100" s="113" t="inlineStr">
        <is>
          <t>día</t>
        </is>
      </c>
      <c r="F100" s="105" t="n">
        <v>64288</v>
      </c>
      <c r="G100" s="106" t="n">
        <v>7</v>
      </c>
      <c r="H100" s="107" t="n"/>
      <c r="I100" s="108">
        <f>IF(H100="","",G100*H100)</f>
        <v/>
      </c>
      <c r="J100" s="243">
        <f>IF(I100="","",F100-I100)</f>
        <v/>
      </c>
      <c r="K100" s="110">
        <f>IF(OR(I100="",F100=0),"",I100/F100)</f>
        <v/>
      </c>
      <c r="L100" s="111">
        <f>IF(K100="","⚪",IF(K100&gt;1.2,"🔴",IF(K100&gt;1.1,"🟡","🟢")))</f>
        <v/>
      </c>
      <c r="N100" s="105" t="n">
        <v>64288</v>
      </c>
      <c r="O100" s="106" t="n">
        <v>7</v>
      </c>
      <c r="P100" s="107" t="n"/>
      <c r="Q100" s="108">
        <f>IF(P100="","",O100*P100)</f>
        <v/>
      </c>
      <c r="R100" s="243">
        <f>IF(Q100="","",N100-Q100)</f>
        <v/>
      </c>
      <c r="S100" s="110">
        <f>IF(OR(Q100="",N100=0),"",Q100/N100)</f>
        <v/>
      </c>
      <c r="T100" s="111">
        <f>IF(S100="","⚪",IF(S100&gt;1.2,"🔴",IF(S100&gt;1.1,"🟡","🟢")))</f>
        <v/>
      </c>
      <c r="V100" s="105" t="n">
        <v>64288</v>
      </c>
      <c r="W100" s="106" t="n">
        <v>7</v>
      </c>
      <c r="X100" s="107" t="n"/>
      <c r="Y100" s="108">
        <f>IF(X100="","",W100*X100)</f>
        <v/>
      </c>
      <c r="Z100" s="243">
        <f>IF(Y100="","",V100-Y100)</f>
        <v/>
      </c>
      <c r="AA100" s="110">
        <f>IF(OR(Y100="",V100=0),"",Y100/V100)</f>
        <v/>
      </c>
      <c r="AB100" s="111">
        <f>IF(AA100="","⚪",IF(AA100&gt;1.2,"🔴",IF(AA100&gt;1.1,"🟡","🟢")))</f>
        <v/>
      </c>
      <c r="AD100" s="105" t="n">
        <v>64288</v>
      </c>
      <c r="AE100" s="106" t="n">
        <v>7</v>
      </c>
      <c r="AF100" s="107" t="n"/>
      <c r="AG100" s="108">
        <f>IF(AF100="","",AE100*AF100)</f>
        <v/>
      </c>
      <c r="AH100" s="243">
        <f>IF(AG100="","",AD100-AG100)</f>
        <v/>
      </c>
      <c r="AI100" s="110">
        <f>IF(OR(AG100="",AD100=0),"",AG100/AD100)</f>
        <v/>
      </c>
      <c r="AJ100" s="111">
        <f>IF(AI100="","⚪",IF(AI100&gt;1.2,"🔴",IF(AI100&gt;1.1,"🟡","🟢")))</f>
        <v/>
      </c>
    </row>
    <row r="101" ht="14" customHeight="1" s="176">
      <c r="A101" s="103" t="inlineStr">
        <is>
          <t>El Molle</t>
        </is>
      </c>
      <c r="B101" s="104" t="inlineStr">
        <is>
          <t>arrufatinas 5,74 ha</t>
        </is>
      </c>
      <c r="C101" s="104" t="inlineStr">
        <is>
          <t>1- M.O. directa</t>
        </is>
      </c>
      <c r="D101" s="104" t="inlineStr">
        <is>
          <t>23- Guanteo de corona</t>
        </is>
      </c>
      <c r="E101" s="104" t="inlineStr">
        <is>
          <t>día</t>
        </is>
      </c>
      <c r="F101" s="105" t="n">
        <v>184800</v>
      </c>
      <c r="G101" s="106" t="n">
        <v>38500</v>
      </c>
      <c r="H101" s="107" t="n"/>
      <c r="I101" s="108">
        <f>IF(H101="","",G101*H101)</f>
        <v/>
      </c>
      <c r="J101" s="243">
        <f>IF(I101="","",F101-I101)</f>
        <v/>
      </c>
      <c r="K101" s="110">
        <f>IF(OR(I101="",F101=0),"",I101/F101)</f>
        <v/>
      </c>
      <c r="L101" s="111">
        <f>IF(K101="","⚪",IF(K101&gt;1.2,"🔴",IF(K101&gt;1.1,"🟡","🟢")))</f>
        <v/>
      </c>
      <c r="N101" s="105" t="n">
        <v>184800</v>
      </c>
      <c r="O101" s="106" t="n">
        <v>38500</v>
      </c>
      <c r="P101" s="107" t="n"/>
      <c r="Q101" s="108">
        <f>IF(P101="","",O101*P101)</f>
        <v/>
      </c>
      <c r="R101" s="243">
        <f>IF(Q101="","",N101-Q101)</f>
        <v/>
      </c>
      <c r="S101" s="110">
        <f>IF(OR(Q101="",N101=0),"",Q101/N101)</f>
        <v/>
      </c>
      <c r="T101" s="111">
        <f>IF(S101="","⚪",IF(S101&gt;1.2,"🔴",IF(S101&gt;1.1,"🟡","🟢")))</f>
        <v/>
      </c>
      <c r="V101" s="105" t="n">
        <v>184800</v>
      </c>
      <c r="W101" s="106" t="n">
        <v>38500</v>
      </c>
      <c r="X101" s="107" t="n"/>
      <c r="Y101" s="108">
        <f>IF(X101="","",W101*X101)</f>
        <v/>
      </c>
      <c r="Z101" s="243">
        <f>IF(Y101="","",V101-Y101)</f>
        <v/>
      </c>
      <c r="AA101" s="110">
        <f>IF(OR(Y101="",V101=0),"",Y101/V101)</f>
        <v/>
      </c>
      <c r="AB101" s="111">
        <f>IF(AA101="","⚪",IF(AA101&gt;1.2,"🔴",IF(AA101&gt;1.1,"🟡","🟢")))</f>
        <v/>
      </c>
      <c r="AD101" s="105" t="n">
        <v>184800</v>
      </c>
      <c r="AE101" s="106" t="n">
        <v>38500</v>
      </c>
      <c r="AF101" s="107" t="n"/>
      <c r="AG101" s="108">
        <f>IF(AF101="","",AE101*AF101)</f>
        <v/>
      </c>
      <c r="AH101" s="243">
        <f>IF(AG101="","",AD101-AG101)</f>
        <v/>
      </c>
      <c r="AI101" s="110">
        <f>IF(OR(AG101="",AD101=0),"",AG101/AD101)</f>
        <v/>
      </c>
      <c r="AJ101" s="111">
        <f>IF(AI101="","⚪",IF(AI101&gt;1.2,"🔴",IF(AI101&gt;1.1,"🟡","🟢")))</f>
        <v/>
      </c>
    </row>
    <row r="102" ht="14" customHeight="1" s="176">
      <c r="A102" s="112" t="inlineStr">
        <is>
          <t>El Molle</t>
        </is>
      </c>
      <c r="B102" s="113" t="inlineStr">
        <is>
          <t>arrufatinas 5,74 ha</t>
        </is>
      </c>
      <c r="C102" s="113" t="inlineStr">
        <is>
          <t>1- M.O. directa</t>
        </is>
      </c>
      <c r="D102" s="113" t="inlineStr">
        <is>
          <t>3- Selección</t>
        </is>
      </c>
      <c r="E102" s="113" t="inlineStr">
        <is>
          <t>trato</t>
        </is>
      </c>
      <c r="F102" s="105" t="n">
        <v>183680</v>
      </c>
      <c r="G102" s="106" t="n">
        <v>20</v>
      </c>
      <c r="H102" s="107" t="n"/>
      <c r="I102" s="108">
        <f>IF(H102="","",G102*H102)</f>
        <v/>
      </c>
      <c r="J102" s="243">
        <f>IF(I102="","",F102-I102)</f>
        <v/>
      </c>
      <c r="K102" s="110">
        <f>IF(OR(I102="",F102=0),"",I102/F102)</f>
        <v/>
      </c>
      <c r="L102" s="111">
        <f>IF(K102="","⚪",IF(K102&gt;1.2,"🔴",IF(K102&gt;1.1,"🟡","🟢")))</f>
        <v/>
      </c>
      <c r="N102" s="105" t="n">
        <v>183680</v>
      </c>
      <c r="O102" s="106" t="n">
        <v>20</v>
      </c>
      <c r="P102" s="107" t="n"/>
      <c r="Q102" s="108">
        <f>IF(P102="","",O102*P102)</f>
        <v/>
      </c>
      <c r="R102" s="243">
        <f>IF(Q102="","",N102-Q102)</f>
        <v/>
      </c>
      <c r="S102" s="110">
        <f>IF(OR(Q102="",N102=0),"",Q102/N102)</f>
        <v/>
      </c>
      <c r="T102" s="111">
        <f>IF(S102="","⚪",IF(S102&gt;1.2,"🔴",IF(S102&gt;1.1,"🟡","🟢")))</f>
        <v/>
      </c>
      <c r="V102" s="105" t="n">
        <v>183680</v>
      </c>
      <c r="W102" s="106" t="n">
        <v>20</v>
      </c>
      <c r="X102" s="107" t="n"/>
      <c r="Y102" s="108">
        <f>IF(X102="","",W102*X102)</f>
        <v/>
      </c>
      <c r="Z102" s="243">
        <f>IF(Y102="","",V102-Y102)</f>
        <v/>
      </c>
      <c r="AA102" s="110">
        <f>IF(OR(Y102="",V102=0),"",Y102/V102)</f>
        <v/>
      </c>
      <c r="AB102" s="111">
        <f>IF(AA102="","⚪",IF(AA102&gt;1.2,"🔴",IF(AA102&gt;1.1,"🟡","🟢")))</f>
        <v/>
      </c>
      <c r="AD102" s="105" t="n">
        <v>183680</v>
      </c>
      <c r="AE102" s="106" t="n">
        <v>20</v>
      </c>
      <c r="AF102" s="107" t="n"/>
      <c r="AG102" s="108">
        <f>IF(AF102="","",AE102*AF102)</f>
        <v/>
      </c>
      <c r="AH102" s="243">
        <f>IF(AG102="","",AD102-AG102)</f>
        <v/>
      </c>
      <c r="AI102" s="110">
        <f>IF(OR(AG102="",AD102=0),"",AG102/AD102)</f>
        <v/>
      </c>
      <c r="AJ102" s="111">
        <f>IF(AI102="","⚪",IF(AI102&gt;1.2,"🔴",IF(AI102&gt;1.1,"🟡","🟢")))</f>
        <v/>
      </c>
    </row>
    <row r="103" ht="14" customHeight="1" s="176">
      <c r="A103" s="103" t="inlineStr">
        <is>
          <t>El Molle</t>
        </is>
      </c>
      <c r="B103" s="104" t="inlineStr">
        <is>
          <t>arrufatinas 5,74 ha</t>
        </is>
      </c>
      <c r="C103" s="104" t="inlineStr">
        <is>
          <t>1- M.O. directa</t>
        </is>
      </c>
      <c r="D103" s="104" t="inlineStr">
        <is>
          <t>3- Tractorista cosecha</t>
        </is>
      </c>
      <c r="E103" s="104" t="inlineStr">
        <is>
          <t>día</t>
        </is>
      </c>
      <c r="F103" s="105" t="n">
        <v>27552</v>
      </c>
      <c r="G103" s="106" t="n">
        <v>3</v>
      </c>
      <c r="H103" s="107" t="n"/>
      <c r="I103" s="108">
        <f>IF(H103="","",G103*H103)</f>
        <v/>
      </c>
      <c r="J103" s="243">
        <f>IF(I103="","",F103-I103)</f>
        <v/>
      </c>
      <c r="K103" s="110">
        <f>IF(OR(I103="",F103=0),"",I103/F103)</f>
        <v/>
      </c>
      <c r="L103" s="111">
        <f>IF(K103="","⚪",IF(K103&gt;1.2,"🔴",IF(K103&gt;1.1,"🟡","🟢")))</f>
        <v/>
      </c>
      <c r="N103" s="105" t="n">
        <v>27552</v>
      </c>
      <c r="O103" s="106" t="n">
        <v>3</v>
      </c>
      <c r="P103" s="107" t="n"/>
      <c r="Q103" s="108">
        <f>IF(P103="","",O103*P103)</f>
        <v/>
      </c>
      <c r="R103" s="243">
        <f>IF(Q103="","",N103-Q103)</f>
        <v/>
      </c>
      <c r="S103" s="110">
        <f>IF(OR(Q103="",N103=0),"",Q103/N103)</f>
        <v/>
      </c>
      <c r="T103" s="111">
        <f>IF(S103="","⚪",IF(S103&gt;1.2,"🔴",IF(S103&gt;1.1,"🟡","🟢")))</f>
        <v/>
      </c>
      <c r="V103" s="105" t="n">
        <v>27552</v>
      </c>
      <c r="W103" s="106" t="n">
        <v>3</v>
      </c>
      <c r="X103" s="107" t="n"/>
      <c r="Y103" s="108">
        <f>IF(X103="","",W103*X103)</f>
        <v/>
      </c>
      <c r="Z103" s="243">
        <f>IF(Y103="","",V103-Y103)</f>
        <v/>
      </c>
      <c r="AA103" s="110">
        <f>IF(OR(Y103="",V103=0),"",Y103/V103)</f>
        <v/>
      </c>
      <c r="AB103" s="111">
        <f>IF(AA103="","⚪",IF(AA103&gt;1.2,"🔴",IF(AA103&gt;1.1,"🟡","🟢")))</f>
        <v/>
      </c>
      <c r="AD103" s="105" t="n">
        <v>27552</v>
      </c>
      <c r="AE103" s="106" t="n">
        <v>3</v>
      </c>
      <c r="AF103" s="107" t="n"/>
      <c r="AG103" s="108">
        <f>IF(AF103="","",AE103*AF103)</f>
        <v/>
      </c>
      <c r="AH103" s="243">
        <f>IF(AG103="","",AD103-AG103)</f>
        <v/>
      </c>
      <c r="AI103" s="110">
        <f>IF(OR(AG103="",AD103=0),"",AG103/AD103)</f>
        <v/>
      </c>
      <c r="AJ103" s="111">
        <f>IF(AI103="","⚪",IF(AI103&gt;1.2,"🔴",IF(AI103&gt;1.1,"🟡","🟢")))</f>
        <v/>
      </c>
    </row>
    <row r="104" ht="14" customHeight="1" s="176">
      <c r="A104" s="112" t="inlineStr">
        <is>
          <t>El Molle</t>
        </is>
      </c>
      <c r="B104" s="113" t="inlineStr">
        <is>
          <t>arrufatinas 5,74 ha</t>
        </is>
      </c>
      <c r="C104" s="113" t="inlineStr">
        <is>
          <t>1- M.O. directa</t>
        </is>
      </c>
      <c r="D104" s="113" t="inlineStr">
        <is>
          <t>4- Grua</t>
        </is>
      </c>
      <c r="E104" s="113" t="inlineStr">
        <is>
          <t>día</t>
        </is>
      </c>
      <c r="F104" s="105" t="n">
        <v>13776</v>
      </c>
      <c r="G104" s="106" t="n">
        <v>1.5</v>
      </c>
      <c r="H104" s="107" t="n"/>
      <c r="I104" s="108">
        <f>IF(H104="","",G104*H104)</f>
        <v/>
      </c>
      <c r="J104" s="243">
        <f>IF(I104="","",F104-I104)</f>
        <v/>
      </c>
      <c r="K104" s="110">
        <f>IF(OR(I104="",F104=0),"",I104/F104)</f>
        <v/>
      </c>
      <c r="L104" s="111">
        <f>IF(K104="","⚪",IF(K104&gt;1.2,"🔴",IF(K104&gt;1.1,"🟡","🟢")))</f>
        <v/>
      </c>
      <c r="N104" s="105" t="n">
        <v>13776</v>
      </c>
      <c r="O104" s="106" t="n">
        <v>1.5</v>
      </c>
      <c r="P104" s="107" t="n"/>
      <c r="Q104" s="108">
        <f>IF(P104="","",O104*P104)</f>
        <v/>
      </c>
      <c r="R104" s="243">
        <f>IF(Q104="","",N104-Q104)</f>
        <v/>
      </c>
      <c r="S104" s="110">
        <f>IF(OR(Q104="",N104=0),"",Q104/N104)</f>
        <v/>
      </c>
      <c r="T104" s="111">
        <f>IF(S104="","⚪",IF(S104&gt;1.2,"🔴",IF(S104&gt;1.1,"🟡","🟢")))</f>
        <v/>
      </c>
      <c r="V104" s="105" t="n">
        <v>13776</v>
      </c>
      <c r="W104" s="106" t="n">
        <v>1.5</v>
      </c>
      <c r="X104" s="107" t="n"/>
      <c r="Y104" s="108">
        <f>IF(X104="","",W104*X104)</f>
        <v/>
      </c>
      <c r="Z104" s="243">
        <f>IF(Y104="","",V104-Y104)</f>
        <v/>
      </c>
      <c r="AA104" s="110">
        <f>IF(OR(Y104="",V104=0),"",Y104/V104)</f>
        <v/>
      </c>
      <c r="AB104" s="111">
        <f>IF(AA104="","⚪",IF(AA104&gt;1.2,"🔴",IF(AA104&gt;1.1,"🟡","🟢")))</f>
        <v/>
      </c>
      <c r="AD104" s="105" t="n">
        <v>13776</v>
      </c>
      <c r="AE104" s="106" t="n">
        <v>1.5</v>
      </c>
      <c r="AF104" s="107" t="n"/>
      <c r="AG104" s="108">
        <f>IF(AF104="","",AE104*AF104)</f>
        <v/>
      </c>
      <c r="AH104" s="243">
        <f>IF(AG104="","",AD104-AG104)</f>
        <v/>
      </c>
      <c r="AI104" s="110">
        <f>IF(OR(AG104="",AD104=0),"",AG104/AD104)</f>
        <v/>
      </c>
      <c r="AJ104" s="111">
        <f>IF(AI104="","⚪",IF(AI104&gt;1.2,"🔴",IF(AI104&gt;1.1,"🟡","🟢")))</f>
        <v/>
      </c>
    </row>
    <row r="105" ht="14" customHeight="1" s="176">
      <c r="A105" s="103" t="inlineStr">
        <is>
          <t>El Molle</t>
        </is>
      </c>
      <c r="B105" s="104" t="inlineStr">
        <is>
          <t>arrufatinas 5,74 ha</t>
        </is>
      </c>
      <c r="C105" s="104" t="inlineStr">
        <is>
          <t>1- M.O. directa</t>
        </is>
      </c>
      <c r="D105" s="104" t="inlineStr">
        <is>
          <t>5- Control de malezas mecánico</t>
        </is>
      </c>
      <c r="E105" s="104" t="inlineStr">
        <is>
          <t>trato</t>
        </is>
      </c>
      <c r="F105" s="105" t="n">
        <v>38285.8</v>
      </c>
      <c r="G105" s="106" t="n">
        <v>100</v>
      </c>
      <c r="H105" s="107" t="n"/>
      <c r="I105" s="108">
        <f>IF(H105="","",G105*H105)</f>
        <v/>
      </c>
      <c r="J105" s="243">
        <f>IF(I105="","",F105-I105)</f>
        <v/>
      </c>
      <c r="K105" s="110">
        <f>IF(OR(I105="",F105=0),"",I105/F105)</f>
        <v/>
      </c>
      <c r="L105" s="111">
        <f>IF(K105="","⚪",IF(K105&gt;1.2,"🔴",IF(K105&gt;1.1,"🟡","🟢")))</f>
        <v/>
      </c>
      <c r="N105" s="105" t="n">
        <v>38285.8</v>
      </c>
      <c r="O105" s="106" t="n">
        <v>100</v>
      </c>
      <c r="P105" s="107" t="n"/>
      <c r="Q105" s="108">
        <f>IF(P105="","",O105*P105)</f>
        <v/>
      </c>
      <c r="R105" s="243">
        <f>IF(Q105="","",N105-Q105)</f>
        <v/>
      </c>
      <c r="S105" s="110">
        <f>IF(OR(Q105="",N105=0),"",Q105/N105)</f>
        <v/>
      </c>
      <c r="T105" s="111">
        <f>IF(S105="","⚪",IF(S105&gt;1.2,"🔴",IF(S105&gt;1.1,"🟡","🟢")))</f>
        <v/>
      </c>
      <c r="V105" s="105" t="n">
        <v>38285.8</v>
      </c>
      <c r="W105" s="106" t="n">
        <v>100</v>
      </c>
      <c r="X105" s="107" t="n"/>
      <c r="Y105" s="108">
        <f>IF(X105="","",W105*X105)</f>
        <v/>
      </c>
      <c r="Z105" s="243">
        <f>IF(Y105="","",V105-Y105)</f>
        <v/>
      </c>
      <c r="AA105" s="110">
        <f>IF(OR(Y105="",V105=0),"",Y105/V105)</f>
        <v/>
      </c>
      <c r="AB105" s="111">
        <f>IF(AA105="","⚪",IF(AA105&gt;1.2,"🔴",IF(AA105&gt;1.1,"🟡","🟢")))</f>
        <v/>
      </c>
      <c r="AD105" s="105" t="n">
        <v>38285.8</v>
      </c>
      <c r="AE105" s="106" t="n">
        <v>100</v>
      </c>
      <c r="AF105" s="107" t="n"/>
      <c r="AG105" s="108">
        <f>IF(AF105="","",AE105*AF105)</f>
        <v/>
      </c>
      <c r="AH105" s="243">
        <f>IF(AG105="","",AD105-AG105)</f>
        <v/>
      </c>
      <c r="AI105" s="110">
        <f>IF(OR(AG105="",AD105=0),"",AG105/AD105)</f>
        <v/>
      </c>
      <c r="AJ105" s="111">
        <f>IF(AI105="","⚪",IF(AI105&gt;1.2,"🔴",IF(AI105&gt;1.1,"🟡","🟢")))</f>
        <v/>
      </c>
    </row>
    <row r="106" ht="14" customHeight="1" s="176">
      <c r="A106" s="112" t="inlineStr">
        <is>
          <t>El Molle</t>
        </is>
      </c>
      <c r="B106" s="113" t="inlineStr">
        <is>
          <t>arrufatinas 5,74 ha</t>
        </is>
      </c>
      <c r="C106" s="113" t="inlineStr">
        <is>
          <t>1- M.O. directa</t>
        </is>
      </c>
      <c r="D106" s="113" t="inlineStr">
        <is>
          <t>6- Control de malezas químico</t>
        </is>
      </c>
      <c r="E106" s="113" t="inlineStr">
        <is>
          <t>día</t>
        </is>
      </c>
      <c r="F106" s="105" t="n">
        <v>62422.5</v>
      </c>
      <c r="G106" s="106" t="n">
        <v>43500</v>
      </c>
      <c r="H106" s="107" t="n"/>
      <c r="I106" s="108">
        <f>IF(H106="","",G106*H106)</f>
        <v/>
      </c>
      <c r="J106" s="243">
        <f>IF(I106="","",F106-I106)</f>
        <v/>
      </c>
      <c r="K106" s="110">
        <f>IF(OR(I106="",F106=0),"",I106/F106)</f>
        <v/>
      </c>
      <c r="L106" s="111">
        <f>IF(K106="","⚪",IF(K106&gt;1.2,"🔴",IF(K106&gt;1.1,"🟡","🟢")))</f>
        <v/>
      </c>
      <c r="N106" s="105" t="n">
        <v>62422.5</v>
      </c>
      <c r="O106" s="106" t="n">
        <v>43500</v>
      </c>
      <c r="P106" s="107" t="n"/>
      <c r="Q106" s="108">
        <f>IF(P106="","",O106*P106)</f>
        <v/>
      </c>
      <c r="R106" s="243">
        <f>IF(Q106="","",N106-Q106)</f>
        <v/>
      </c>
      <c r="S106" s="110">
        <f>IF(OR(Q106="",N106=0),"",Q106/N106)</f>
        <v/>
      </c>
      <c r="T106" s="111">
        <f>IF(S106="","⚪",IF(S106&gt;1.2,"🔴",IF(S106&gt;1.1,"🟡","🟢")))</f>
        <v/>
      </c>
      <c r="V106" s="105" t="n">
        <v>62422.5</v>
      </c>
      <c r="W106" s="106" t="n">
        <v>43500</v>
      </c>
      <c r="X106" s="107" t="n"/>
      <c r="Y106" s="108">
        <f>IF(X106="","",W106*X106)</f>
        <v/>
      </c>
      <c r="Z106" s="243">
        <f>IF(Y106="","",V106-Y106)</f>
        <v/>
      </c>
      <c r="AA106" s="110">
        <f>IF(OR(Y106="",V106=0),"",Y106/V106)</f>
        <v/>
      </c>
      <c r="AB106" s="111">
        <f>IF(AA106="","⚪",IF(AA106&gt;1.2,"🔴",IF(AA106&gt;1.1,"🟡","🟢")))</f>
        <v/>
      </c>
      <c r="AD106" s="105" t="n">
        <v>62422.5</v>
      </c>
      <c r="AE106" s="106" t="n">
        <v>43500</v>
      </c>
      <c r="AF106" s="107" t="n"/>
      <c r="AG106" s="108">
        <f>IF(AF106="","",AE106*AF106)</f>
        <v/>
      </c>
      <c r="AH106" s="243">
        <f>IF(AG106="","",AD106-AG106)</f>
        <v/>
      </c>
      <c r="AI106" s="110">
        <f>IF(OR(AG106="",AD106=0),"",AG106/AD106)</f>
        <v/>
      </c>
      <c r="AJ106" s="111">
        <f>IF(AI106="","⚪",IF(AI106&gt;1.2,"🔴",IF(AI106&gt;1.1,"🟡","🟢")))</f>
        <v/>
      </c>
    </row>
    <row r="107" ht="14" customHeight="1" s="176">
      <c r="A107" s="103" t="inlineStr">
        <is>
          <t>El Molle</t>
        </is>
      </c>
      <c r="B107" s="104" t="inlineStr">
        <is>
          <t>arrufatinas 5,74 ha</t>
        </is>
      </c>
      <c r="C107" s="104" t="inlineStr">
        <is>
          <t>1- M.O. directa</t>
        </is>
      </c>
      <c r="D107" s="104" t="inlineStr">
        <is>
          <t>7,1- TRACTORISTA</t>
        </is>
      </c>
      <c r="E107" s="104" t="inlineStr">
        <is>
          <t>día</t>
        </is>
      </c>
      <c r="F107" s="105" t="n">
        <v>110450.802</v>
      </c>
      <c r="G107" s="106" t="n">
        <v>38500</v>
      </c>
      <c r="H107" s="107" t="n"/>
      <c r="I107" s="108">
        <f>IF(H107="","",G107*H107)</f>
        <v/>
      </c>
      <c r="J107" s="243">
        <f>IF(I107="","",F107-I107)</f>
        <v/>
      </c>
      <c r="K107" s="110">
        <f>IF(OR(I107="",F107=0),"",I107/F107)</f>
        <v/>
      </c>
      <c r="L107" s="111">
        <f>IF(K107="","⚪",IF(K107&gt;1.2,"🔴",IF(K107&gt;1.1,"🟡","🟢")))</f>
        <v/>
      </c>
      <c r="N107" s="105" t="n">
        <v>110450.802</v>
      </c>
      <c r="O107" s="106" t="n">
        <v>38500</v>
      </c>
      <c r="P107" s="107" t="n"/>
      <c r="Q107" s="108">
        <f>IF(P107="","",O107*P107)</f>
        <v/>
      </c>
      <c r="R107" s="243">
        <f>IF(Q107="","",N107-Q107)</f>
        <v/>
      </c>
      <c r="S107" s="110">
        <f>IF(OR(Q107="",N107=0),"",Q107/N107)</f>
        <v/>
      </c>
      <c r="T107" s="111">
        <f>IF(S107="","⚪",IF(S107&gt;1.2,"🔴",IF(S107&gt;1.1,"🟡","🟢")))</f>
        <v/>
      </c>
      <c r="V107" s="105" t="n">
        <v>110450.802</v>
      </c>
      <c r="W107" s="106" t="n">
        <v>38500</v>
      </c>
      <c r="X107" s="107" t="n"/>
      <c r="Y107" s="108">
        <f>IF(X107="","",W107*X107)</f>
        <v/>
      </c>
      <c r="Z107" s="243">
        <f>IF(Y107="","",V107-Y107)</f>
        <v/>
      </c>
      <c r="AA107" s="110">
        <f>IF(OR(Y107="",V107=0),"",Y107/V107)</f>
        <v/>
      </c>
      <c r="AB107" s="111">
        <f>IF(AA107="","⚪",IF(AA107&gt;1.2,"🔴",IF(AA107&gt;1.1,"🟡","🟢")))</f>
        <v/>
      </c>
      <c r="AD107" s="105" t="n">
        <v>110450.802</v>
      </c>
      <c r="AE107" s="106" t="n">
        <v>38500</v>
      </c>
      <c r="AF107" s="107" t="n"/>
      <c r="AG107" s="108">
        <f>IF(AF107="","",AE107*AF107)</f>
        <v/>
      </c>
      <c r="AH107" s="243">
        <f>IF(AG107="","",AD107-AG107)</f>
        <v/>
      </c>
      <c r="AI107" s="110">
        <f>IF(OR(AG107="",AD107=0),"",AG107/AD107)</f>
        <v/>
      </c>
      <c r="AJ107" s="111">
        <f>IF(AI107="","⚪",IF(AI107&gt;1.2,"🔴",IF(AI107&gt;1.1,"🟡","🟢")))</f>
        <v/>
      </c>
    </row>
    <row r="108" ht="14" customHeight="1" s="176">
      <c r="A108" s="112" t="inlineStr">
        <is>
          <t>El Molle</t>
        </is>
      </c>
      <c r="B108" s="113" t="inlineStr">
        <is>
          <t>arrufatinas 5,74 ha</t>
        </is>
      </c>
      <c r="C108" s="113" t="inlineStr">
        <is>
          <t>1- M.O. directa</t>
        </is>
      </c>
      <c r="D108" s="113" t="inlineStr">
        <is>
          <t>7- Acordonar sarmiento</t>
        </is>
      </c>
      <c r="E108" s="113" t="inlineStr">
        <is>
          <t>trato</t>
        </is>
      </c>
      <c r="F108" s="105" t="n">
        <v>13400.03</v>
      </c>
      <c r="G108" s="106" t="n">
        <v>70</v>
      </c>
      <c r="H108" s="107" t="n"/>
      <c r="I108" s="108">
        <f>IF(H108="","",G108*H108)</f>
        <v/>
      </c>
      <c r="J108" s="243">
        <f>IF(I108="","",F108-I108)</f>
        <v/>
      </c>
      <c r="K108" s="110">
        <f>IF(OR(I108="",F108=0),"",I108/F108)</f>
        <v/>
      </c>
      <c r="L108" s="111">
        <f>IF(K108="","⚪",IF(K108&gt;1.2,"🔴",IF(K108&gt;1.1,"🟡","🟢")))</f>
        <v/>
      </c>
      <c r="N108" s="105" t="n">
        <v>13400.03</v>
      </c>
      <c r="O108" s="106" t="n">
        <v>70</v>
      </c>
      <c r="P108" s="107" t="n"/>
      <c r="Q108" s="108">
        <f>IF(P108="","",O108*P108)</f>
        <v/>
      </c>
      <c r="R108" s="243">
        <f>IF(Q108="","",N108-Q108)</f>
        <v/>
      </c>
      <c r="S108" s="110">
        <f>IF(OR(Q108="",N108=0),"",Q108/N108)</f>
        <v/>
      </c>
      <c r="T108" s="111">
        <f>IF(S108="","⚪",IF(S108&gt;1.2,"🔴",IF(S108&gt;1.1,"🟡","🟢")))</f>
        <v/>
      </c>
      <c r="V108" s="105" t="n">
        <v>13400.03</v>
      </c>
      <c r="W108" s="106" t="n">
        <v>70</v>
      </c>
      <c r="X108" s="107" t="n"/>
      <c r="Y108" s="108">
        <f>IF(X108="","",W108*X108)</f>
        <v/>
      </c>
      <c r="Z108" s="243">
        <f>IF(Y108="","",V108-Y108)</f>
        <v/>
      </c>
      <c r="AA108" s="110">
        <f>IF(OR(Y108="",V108=0),"",Y108/V108)</f>
        <v/>
      </c>
      <c r="AB108" s="111">
        <f>IF(AA108="","⚪",IF(AA108&gt;1.2,"🔴",IF(AA108&gt;1.1,"🟡","🟢")))</f>
        <v/>
      </c>
      <c r="AD108" s="105" t="n">
        <v>13400.03</v>
      </c>
      <c r="AE108" s="106" t="n">
        <v>70</v>
      </c>
      <c r="AF108" s="107" t="n"/>
      <c r="AG108" s="108">
        <f>IF(AF108="","",AE108*AF108)</f>
        <v/>
      </c>
      <c r="AH108" s="243">
        <f>IF(AG108="","",AD108-AG108)</f>
        <v/>
      </c>
      <c r="AI108" s="110">
        <f>IF(OR(AG108="",AD108=0),"",AG108/AD108)</f>
        <v/>
      </c>
      <c r="AJ108" s="111">
        <f>IF(AI108="","⚪",IF(AI108&gt;1.2,"🔴",IF(AI108&gt;1.1,"🟡","🟢")))</f>
        <v/>
      </c>
    </row>
    <row r="109" ht="14" customHeight="1" s="176">
      <c r="A109" s="103" t="inlineStr">
        <is>
          <t>El Molle</t>
        </is>
      </c>
      <c r="B109" s="104" t="inlineStr">
        <is>
          <t>arrufatinas 5,74 ha</t>
        </is>
      </c>
      <c r="C109" s="104" t="inlineStr">
        <is>
          <t>2- M.O. indirecta</t>
        </is>
      </c>
      <c r="D109" s="104" t="inlineStr">
        <is>
          <t xml:space="preserve">1- ADM. GENERAL </t>
        </is>
      </c>
      <c r="E109" s="104" t="inlineStr">
        <is>
          <t>día</t>
        </is>
      </c>
      <c r="F109" s="105" t="n">
        <v>191065.5432</v>
      </c>
      <c r="G109" s="106" t="n">
        <v>66600</v>
      </c>
      <c r="H109" s="107" t="n"/>
      <c r="I109" s="108">
        <f>IF(H109="","",G109*H109)</f>
        <v/>
      </c>
      <c r="J109" s="243">
        <f>IF(I109="","",F109-I109)</f>
        <v/>
      </c>
      <c r="K109" s="110">
        <f>IF(OR(I109="",F109=0),"",I109/F109)</f>
        <v/>
      </c>
      <c r="L109" s="111">
        <f>IF(K109="","⚪",IF(K109&gt;1.2,"🔴",IF(K109&gt;1.1,"🟡","🟢")))</f>
        <v/>
      </c>
      <c r="N109" s="105" t="n">
        <v>191065.5432</v>
      </c>
      <c r="O109" s="106" t="n">
        <v>66600</v>
      </c>
      <c r="P109" s="107" t="n"/>
      <c r="Q109" s="108">
        <f>IF(P109="","",O109*P109)</f>
        <v/>
      </c>
      <c r="R109" s="243">
        <f>IF(Q109="","",N109-Q109)</f>
        <v/>
      </c>
      <c r="S109" s="110">
        <f>IF(OR(Q109="",N109=0),"",Q109/N109)</f>
        <v/>
      </c>
      <c r="T109" s="111">
        <f>IF(S109="","⚪",IF(S109&gt;1.2,"🔴",IF(S109&gt;1.1,"🟡","🟢")))</f>
        <v/>
      </c>
      <c r="V109" s="105" t="n">
        <v>191065.5432</v>
      </c>
      <c r="W109" s="106" t="n">
        <v>66600</v>
      </c>
      <c r="X109" s="107" t="n"/>
      <c r="Y109" s="108">
        <f>IF(X109="","",W109*X109)</f>
        <v/>
      </c>
      <c r="Z109" s="243">
        <f>IF(Y109="","",V109-Y109)</f>
        <v/>
      </c>
      <c r="AA109" s="110">
        <f>IF(OR(Y109="",V109=0),"",Y109/V109)</f>
        <v/>
      </c>
      <c r="AB109" s="111">
        <f>IF(AA109="","⚪",IF(AA109&gt;1.2,"🔴",IF(AA109&gt;1.1,"🟡","🟢")))</f>
        <v/>
      </c>
      <c r="AD109" s="105" t="n">
        <v>191065.5432</v>
      </c>
      <c r="AE109" s="106" t="n">
        <v>66600</v>
      </c>
      <c r="AF109" s="107" t="n"/>
      <c r="AG109" s="108">
        <f>IF(AF109="","",AE109*AF109)</f>
        <v/>
      </c>
      <c r="AH109" s="243">
        <f>IF(AG109="","",AD109-AG109)</f>
        <v/>
      </c>
      <c r="AI109" s="110">
        <f>IF(OR(AG109="",AD109=0),"",AG109/AD109)</f>
        <v/>
      </c>
      <c r="AJ109" s="111">
        <f>IF(AI109="","⚪",IF(AI109&gt;1.2,"🔴",IF(AI109&gt;1.1,"🟡","🟢")))</f>
        <v/>
      </c>
    </row>
    <row r="110" ht="14" customHeight="1" s="176">
      <c r="A110" s="112" t="inlineStr">
        <is>
          <t>El Molle</t>
        </is>
      </c>
      <c r="B110" s="113" t="inlineStr">
        <is>
          <t>arrufatinas 5,74 ha</t>
        </is>
      </c>
      <c r="C110" s="113" t="inlineStr">
        <is>
          <t>2- M.O. indirecta</t>
        </is>
      </c>
      <c r="D110" s="113" t="inlineStr">
        <is>
          <t>2,1- JEFE DE CAMPO</t>
        </is>
      </c>
      <c r="E110" s="113" t="inlineStr">
        <is>
          <t>día</t>
        </is>
      </c>
      <c r="F110" s="105" t="n">
        <v>149108.5827</v>
      </c>
      <c r="G110" s="106" t="n">
        <v>51975</v>
      </c>
      <c r="H110" s="107" t="n"/>
      <c r="I110" s="108">
        <f>IF(H110="","",G110*H110)</f>
        <v/>
      </c>
      <c r="J110" s="243">
        <f>IF(I110="","",F110-I110)</f>
        <v/>
      </c>
      <c r="K110" s="110">
        <f>IF(OR(I110="",F110=0),"",I110/F110)</f>
        <v/>
      </c>
      <c r="L110" s="111">
        <f>IF(K110="","⚪",IF(K110&gt;1.2,"🔴",IF(K110&gt;1.1,"🟡","🟢")))</f>
        <v/>
      </c>
      <c r="N110" s="105" t="n">
        <v>149108.5827</v>
      </c>
      <c r="O110" s="106" t="n">
        <v>51975</v>
      </c>
      <c r="P110" s="107" t="n"/>
      <c r="Q110" s="108">
        <f>IF(P110="","",O110*P110)</f>
        <v/>
      </c>
      <c r="R110" s="243">
        <f>IF(Q110="","",N110-Q110)</f>
        <v/>
      </c>
      <c r="S110" s="110">
        <f>IF(OR(Q110="",N110=0),"",Q110/N110)</f>
        <v/>
      </c>
      <c r="T110" s="111">
        <f>IF(S110="","⚪",IF(S110&gt;1.2,"🔴",IF(S110&gt;1.1,"🟡","🟢")))</f>
        <v/>
      </c>
      <c r="V110" s="105" t="n">
        <v>149108.5827</v>
      </c>
      <c r="W110" s="106" t="n">
        <v>51975</v>
      </c>
      <c r="X110" s="107" t="n"/>
      <c r="Y110" s="108">
        <f>IF(X110="","",W110*X110)</f>
        <v/>
      </c>
      <c r="Z110" s="243">
        <f>IF(Y110="","",V110-Y110)</f>
        <v/>
      </c>
      <c r="AA110" s="110">
        <f>IF(OR(Y110="",V110=0),"",Y110/V110)</f>
        <v/>
      </c>
      <c r="AB110" s="111">
        <f>IF(AA110="","⚪",IF(AA110&gt;1.2,"🔴",IF(AA110&gt;1.1,"🟡","🟢")))</f>
        <v/>
      </c>
      <c r="AD110" s="105" t="n">
        <v>149108.5827</v>
      </c>
      <c r="AE110" s="106" t="n">
        <v>51975</v>
      </c>
      <c r="AF110" s="107" t="n"/>
      <c r="AG110" s="108">
        <f>IF(AF110="","",AE110*AF110)</f>
        <v/>
      </c>
      <c r="AH110" s="243">
        <f>IF(AG110="","",AD110-AG110)</f>
        <v/>
      </c>
      <c r="AI110" s="110">
        <f>IF(OR(AG110="",AD110=0),"",AG110/AD110)</f>
        <v/>
      </c>
      <c r="AJ110" s="111">
        <f>IF(AI110="","⚪",IF(AI110&gt;1.2,"🔴",IF(AI110&gt;1.1,"🟡","🟢")))</f>
        <v/>
      </c>
    </row>
    <row r="111" ht="14" customHeight="1" s="176">
      <c r="A111" s="103" t="inlineStr">
        <is>
          <t>El Molle</t>
        </is>
      </c>
      <c r="B111" s="104" t="inlineStr">
        <is>
          <t>arrufatinas 5,74 ha</t>
        </is>
      </c>
      <c r="C111" s="104" t="inlineStr">
        <is>
          <t>2- M.O. indirecta</t>
        </is>
      </c>
      <c r="D111" s="104" t="inlineStr">
        <is>
          <t>2- ADMINISTRACION</t>
        </is>
      </c>
      <c r="E111" s="104" t="inlineStr">
        <is>
          <t>día</t>
        </is>
      </c>
      <c r="F111" s="105" t="n">
        <v>23237.7012</v>
      </c>
      <c r="G111" s="106" t="n">
        <v>8100</v>
      </c>
      <c r="H111" s="107" t="n"/>
      <c r="I111" s="108">
        <f>IF(H111="","",G111*H111)</f>
        <v/>
      </c>
      <c r="J111" s="243">
        <f>IF(I111="","",F111-I111)</f>
        <v/>
      </c>
      <c r="K111" s="110">
        <f>IF(OR(I111="",F111=0),"",I111/F111)</f>
        <v/>
      </c>
      <c r="L111" s="111">
        <f>IF(K111="","⚪",IF(K111&gt;1.2,"🔴",IF(K111&gt;1.1,"🟡","🟢")))</f>
        <v/>
      </c>
      <c r="N111" s="105" t="n">
        <v>23237.7012</v>
      </c>
      <c r="O111" s="106" t="n">
        <v>8100</v>
      </c>
      <c r="P111" s="107" t="n"/>
      <c r="Q111" s="108">
        <f>IF(P111="","",O111*P111)</f>
        <v/>
      </c>
      <c r="R111" s="243">
        <f>IF(Q111="","",N111-Q111)</f>
        <v/>
      </c>
      <c r="S111" s="110">
        <f>IF(OR(Q111="",N111=0),"",Q111/N111)</f>
        <v/>
      </c>
      <c r="T111" s="111">
        <f>IF(S111="","⚪",IF(S111&gt;1.2,"🔴",IF(S111&gt;1.1,"🟡","🟢")))</f>
        <v/>
      </c>
      <c r="V111" s="105" t="n">
        <v>23237.7012</v>
      </c>
      <c r="W111" s="106" t="n">
        <v>8100</v>
      </c>
      <c r="X111" s="107" t="n"/>
      <c r="Y111" s="108">
        <f>IF(X111="","",W111*X111)</f>
        <v/>
      </c>
      <c r="Z111" s="243">
        <f>IF(Y111="","",V111-Y111)</f>
        <v/>
      </c>
      <c r="AA111" s="110">
        <f>IF(OR(Y111="",V111=0),"",Y111/V111)</f>
        <v/>
      </c>
      <c r="AB111" s="111">
        <f>IF(AA111="","⚪",IF(AA111&gt;1.2,"🔴",IF(AA111&gt;1.1,"🟡","🟢")))</f>
        <v/>
      </c>
      <c r="AD111" s="105" t="n">
        <v>23237.7012</v>
      </c>
      <c r="AE111" s="106" t="n">
        <v>8100</v>
      </c>
      <c r="AF111" s="107" t="n"/>
      <c r="AG111" s="108">
        <f>IF(AF111="","",AE111*AF111)</f>
        <v/>
      </c>
      <c r="AH111" s="243">
        <f>IF(AG111="","",AD111-AG111)</f>
        <v/>
      </c>
      <c r="AI111" s="110">
        <f>IF(OR(AG111="",AD111=0),"",AG111/AD111)</f>
        <v/>
      </c>
      <c r="AJ111" s="111">
        <f>IF(AI111="","⚪",IF(AI111&gt;1.2,"🔴",IF(AI111&gt;1.1,"🟡","🟢")))</f>
        <v/>
      </c>
    </row>
    <row r="112" ht="14" customHeight="1" s="176">
      <c r="A112" s="112" t="inlineStr">
        <is>
          <t>El Molle</t>
        </is>
      </c>
      <c r="B112" s="113" t="inlineStr">
        <is>
          <t>arrufatinas 5,74 ha</t>
        </is>
      </c>
      <c r="C112" s="113" t="inlineStr">
        <is>
          <t>2- M.O. indirecta</t>
        </is>
      </c>
      <c r="D112" s="113" t="inlineStr">
        <is>
          <t>3,1-  ENCARGADO DE RIEGO</t>
        </is>
      </c>
      <c r="E112" s="113" t="inlineStr">
        <is>
          <t>día</t>
        </is>
      </c>
      <c r="F112" s="105" t="n">
        <v>147537.169017</v>
      </c>
      <c r="G112" s="106" t="n">
        <v>51427.25</v>
      </c>
      <c r="H112" s="107" t="n"/>
      <c r="I112" s="108">
        <f>IF(H112="","",G112*H112)</f>
        <v/>
      </c>
      <c r="J112" s="243">
        <f>IF(I112="","",F112-I112)</f>
        <v/>
      </c>
      <c r="K112" s="110">
        <f>IF(OR(I112="",F112=0),"",I112/F112)</f>
        <v/>
      </c>
      <c r="L112" s="111">
        <f>IF(K112="","⚪",IF(K112&gt;1.2,"🔴",IF(K112&gt;1.1,"🟡","🟢")))</f>
        <v/>
      </c>
      <c r="N112" s="105" t="n">
        <v>147537.169017</v>
      </c>
      <c r="O112" s="106" t="n">
        <v>51427.25</v>
      </c>
      <c r="P112" s="107" t="n"/>
      <c r="Q112" s="108">
        <f>IF(P112="","",O112*P112)</f>
        <v/>
      </c>
      <c r="R112" s="243">
        <f>IF(Q112="","",N112-Q112)</f>
        <v/>
      </c>
      <c r="S112" s="110">
        <f>IF(OR(Q112="",N112=0),"",Q112/N112)</f>
        <v/>
      </c>
      <c r="T112" s="111">
        <f>IF(S112="","⚪",IF(S112&gt;1.2,"🔴",IF(S112&gt;1.1,"🟡","🟢")))</f>
        <v/>
      </c>
      <c r="V112" s="105" t="n">
        <v>147537.169017</v>
      </c>
      <c r="W112" s="106" t="n">
        <v>51427.25</v>
      </c>
      <c r="X112" s="107" t="n"/>
      <c r="Y112" s="108">
        <f>IF(X112="","",W112*X112)</f>
        <v/>
      </c>
      <c r="Z112" s="243">
        <f>IF(Y112="","",V112-Y112)</f>
        <v/>
      </c>
      <c r="AA112" s="110">
        <f>IF(OR(Y112="",V112=0),"",Y112/V112)</f>
        <v/>
      </c>
      <c r="AB112" s="111">
        <f>IF(AA112="","⚪",IF(AA112&gt;1.2,"🔴",IF(AA112&gt;1.1,"🟡","🟢")))</f>
        <v/>
      </c>
      <c r="AD112" s="105" t="n">
        <v>147537.169017</v>
      </c>
      <c r="AE112" s="106" t="n">
        <v>51427.25</v>
      </c>
      <c r="AF112" s="107" t="n"/>
      <c r="AG112" s="108">
        <f>IF(AF112="","",AE112*AF112)</f>
        <v/>
      </c>
      <c r="AH112" s="243">
        <f>IF(AG112="","",AD112-AG112)</f>
        <v/>
      </c>
      <c r="AI112" s="110">
        <f>IF(OR(AG112="",AD112=0),"",AG112/AD112)</f>
        <v/>
      </c>
      <c r="AJ112" s="111">
        <f>IF(AI112="","⚪",IF(AI112&gt;1.2,"🔴",IF(AI112&gt;1.1,"🟡","🟢")))</f>
        <v/>
      </c>
    </row>
    <row r="113" ht="14" customHeight="1" s="176">
      <c r="A113" s="103" t="inlineStr">
        <is>
          <t>El Molle</t>
        </is>
      </c>
      <c r="B113" s="104" t="inlineStr">
        <is>
          <t>arrufatinas 5,74 ha</t>
        </is>
      </c>
      <c r="C113" s="104" t="inlineStr">
        <is>
          <t>2- M.O. indirecta</t>
        </is>
      </c>
      <c r="D113" s="104" t="inlineStr">
        <is>
          <t>3- ADQUIS. Y BODEGA</t>
        </is>
      </c>
      <c r="E113" s="104" t="inlineStr">
        <is>
          <t>día</t>
        </is>
      </c>
      <c r="F113" s="105" t="n">
        <v>23237.7012</v>
      </c>
      <c r="G113" s="106" t="n">
        <v>8100</v>
      </c>
      <c r="H113" s="107" t="n"/>
      <c r="I113" s="108">
        <f>IF(H113="","",G113*H113)</f>
        <v/>
      </c>
      <c r="J113" s="243">
        <f>IF(I113="","",F113-I113)</f>
        <v/>
      </c>
      <c r="K113" s="110">
        <f>IF(OR(I113="",F113=0),"",I113/F113)</f>
        <v/>
      </c>
      <c r="L113" s="111">
        <f>IF(K113="","⚪",IF(K113&gt;1.2,"🔴",IF(K113&gt;1.1,"🟡","🟢")))</f>
        <v/>
      </c>
      <c r="N113" s="105" t="n">
        <v>23237.7012</v>
      </c>
      <c r="O113" s="106" t="n">
        <v>8100</v>
      </c>
      <c r="P113" s="107" t="n"/>
      <c r="Q113" s="108">
        <f>IF(P113="","",O113*P113)</f>
        <v/>
      </c>
      <c r="R113" s="243">
        <f>IF(Q113="","",N113-Q113)</f>
        <v/>
      </c>
      <c r="S113" s="110">
        <f>IF(OR(Q113="",N113=0),"",Q113/N113)</f>
        <v/>
      </c>
      <c r="T113" s="111">
        <f>IF(S113="","⚪",IF(S113&gt;1.2,"🔴",IF(S113&gt;1.1,"🟡","🟢")))</f>
        <v/>
      </c>
      <c r="V113" s="105" t="n">
        <v>23237.7012</v>
      </c>
      <c r="W113" s="106" t="n">
        <v>8100</v>
      </c>
      <c r="X113" s="107" t="n"/>
      <c r="Y113" s="108">
        <f>IF(X113="","",W113*X113)</f>
        <v/>
      </c>
      <c r="Z113" s="243">
        <f>IF(Y113="","",V113-Y113)</f>
        <v/>
      </c>
      <c r="AA113" s="110">
        <f>IF(OR(Y113="",V113=0),"",Y113/V113)</f>
        <v/>
      </c>
      <c r="AB113" s="111">
        <f>IF(AA113="","⚪",IF(AA113&gt;1.2,"🔴",IF(AA113&gt;1.1,"🟡","🟢")))</f>
        <v/>
      </c>
      <c r="AD113" s="105" t="n">
        <v>23237.7012</v>
      </c>
      <c r="AE113" s="106" t="n">
        <v>8100</v>
      </c>
      <c r="AF113" s="107" t="n"/>
      <c r="AG113" s="108">
        <f>IF(AF113="","",AE113*AF113)</f>
        <v/>
      </c>
      <c r="AH113" s="243">
        <f>IF(AG113="","",AD113-AG113)</f>
        <v/>
      </c>
      <c r="AI113" s="110">
        <f>IF(OR(AG113="",AD113=0),"",AG113/AD113)</f>
        <v/>
      </c>
      <c r="AJ113" s="111">
        <f>IF(AI113="","⚪",IF(AI113&gt;1.2,"🔴",IF(AI113&gt;1.1,"🟡","🟢")))</f>
        <v/>
      </c>
    </row>
    <row r="114" ht="14" customHeight="1" s="176">
      <c r="A114" s="112" t="inlineStr">
        <is>
          <t>El Molle</t>
        </is>
      </c>
      <c r="B114" s="113" t="inlineStr">
        <is>
          <t>arrufatinas 5,74 ha</t>
        </is>
      </c>
      <c r="C114" s="113" t="inlineStr">
        <is>
          <t>2- M.O. indirecta</t>
        </is>
      </c>
      <c r="D114" s="113" t="inlineStr">
        <is>
          <t>4,1- ENCARGADO MANTENCIONES</t>
        </is>
      </c>
      <c r="E114" s="113" t="inlineStr">
        <is>
          <t>día</t>
        </is>
      </c>
      <c r="F114" s="105" t="n">
        <v>31557.372</v>
      </c>
      <c r="G114" s="106" t="n">
        <v>11000</v>
      </c>
      <c r="H114" s="107" t="n"/>
      <c r="I114" s="108">
        <f>IF(H114="","",G114*H114)</f>
        <v/>
      </c>
      <c r="J114" s="243">
        <f>IF(I114="","",F114-I114)</f>
        <v/>
      </c>
      <c r="K114" s="110">
        <f>IF(OR(I114="",F114=0),"",I114/F114)</f>
        <v/>
      </c>
      <c r="L114" s="111">
        <f>IF(K114="","⚪",IF(K114&gt;1.2,"🔴",IF(K114&gt;1.1,"🟡","🟢")))</f>
        <v/>
      </c>
      <c r="N114" s="105" t="n">
        <v>31557.372</v>
      </c>
      <c r="O114" s="106" t="n">
        <v>11000</v>
      </c>
      <c r="P114" s="107" t="n"/>
      <c r="Q114" s="108">
        <f>IF(P114="","",O114*P114)</f>
        <v/>
      </c>
      <c r="R114" s="243">
        <f>IF(Q114="","",N114-Q114)</f>
        <v/>
      </c>
      <c r="S114" s="110">
        <f>IF(OR(Q114="",N114=0),"",Q114/N114)</f>
        <v/>
      </c>
      <c r="T114" s="111">
        <f>IF(S114="","⚪",IF(S114&gt;1.2,"🔴",IF(S114&gt;1.1,"🟡","🟢")))</f>
        <v/>
      </c>
      <c r="V114" s="105" t="n">
        <v>31557.372</v>
      </c>
      <c r="W114" s="106" t="n">
        <v>11000</v>
      </c>
      <c r="X114" s="107" t="n"/>
      <c r="Y114" s="108">
        <f>IF(X114="","",W114*X114)</f>
        <v/>
      </c>
      <c r="Z114" s="243">
        <f>IF(Y114="","",V114-Y114)</f>
        <v/>
      </c>
      <c r="AA114" s="110">
        <f>IF(OR(Y114="",V114=0),"",Y114/V114)</f>
        <v/>
      </c>
      <c r="AB114" s="111">
        <f>IF(AA114="","⚪",IF(AA114&gt;1.2,"🔴",IF(AA114&gt;1.1,"🟡","🟢")))</f>
        <v/>
      </c>
      <c r="AD114" s="105" t="n">
        <v>31557.372</v>
      </c>
      <c r="AE114" s="106" t="n">
        <v>11000</v>
      </c>
      <c r="AF114" s="107" t="n"/>
      <c r="AG114" s="108">
        <f>IF(AF114="","",AE114*AF114)</f>
        <v/>
      </c>
      <c r="AH114" s="243">
        <f>IF(AG114="","",AD114-AG114)</f>
        <v/>
      </c>
      <c r="AI114" s="110">
        <f>IF(OR(AG114="",AD114=0),"",AG114/AD114)</f>
        <v/>
      </c>
      <c r="AJ114" s="111">
        <f>IF(AI114="","⚪",IF(AI114&gt;1.2,"🔴",IF(AI114&gt;1.1,"🟡","🟢")))</f>
        <v/>
      </c>
    </row>
    <row r="115" ht="14" customHeight="1" s="176">
      <c r="A115" s="103" t="inlineStr">
        <is>
          <t>El Molle</t>
        </is>
      </c>
      <c r="B115" s="104" t="inlineStr">
        <is>
          <t>arrufatinas 5,74 ha</t>
        </is>
      </c>
      <c r="C115" s="104" t="inlineStr">
        <is>
          <t>2- M.O. indirecta</t>
        </is>
      </c>
      <c r="D115" s="104" t="inlineStr">
        <is>
          <t>4- CERTIFICACIONES</t>
        </is>
      </c>
      <c r="E115" s="104" t="inlineStr">
        <is>
          <t>día</t>
        </is>
      </c>
      <c r="F115" s="105" t="n">
        <v>18545.932825</v>
      </c>
      <c r="G115" s="106" t="n">
        <v>6464.58333333333</v>
      </c>
      <c r="H115" s="107" t="n"/>
      <c r="I115" s="108">
        <f>IF(H115="","",G115*H115)</f>
        <v/>
      </c>
      <c r="J115" s="243">
        <f>IF(I115="","",F115-I115)</f>
        <v/>
      </c>
      <c r="K115" s="110">
        <f>IF(OR(I115="",F115=0),"",I115/F115)</f>
        <v/>
      </c>
      <c r="L115" s="111">
        <f>IF(K115="","⚪",IF(K115&gt;1.2,"🔴",IF(K115&gt;1.1,"🟡","🟢")))</f>
        <v/>
      </c>
      <c r="N115" s="105" t="n">
        <v>18545.932825</v>
      </c>
      <c r="O115" s="106" t="n">
        <v>6464.58333333333</v>
      </c>
      <c r="P115" s="107" t="n"/>
      <c r="Q115" s="108">
        <f>IF(P115="","",O115*P115)</f>
        <v/>
      </c>
      <c r="R115" s="243">
        <f>IF(Q115="","",N115-Q115)</f>
        <v/>
      </c>
      <c r="S115" s="110">
        <f>IF(OR(Q115="",N115=0),"",Q115/N115)</f>
        <v/>
      </c>
      <c r="T115" s="111">
        <f>IF(S115="","⚪",IF(S115&gt;1.2,"🔴",IF(S115&gt;1.1,"🟡","🟢")))</f>
        <v/>
      </c>
      <c r="V115" s="105" t="n">
        <v>18545.932825</v>
      </c>
      <c r="W115" s="106" t="n">
        <v>6464.58333333333</v>
      </c>
      <c r="X115" s="107" t="n"/>
      <c r="Y115" s="108">
        <f>IF(X115="","",W115*X115)</f>
        <v/>
      </c>
      <c r="Z115" s="243">
        <f>IF(Y115="","",V115-Y115)</f>
        <v/>
      </c>
      <c r="AA115" s="110">
        <f>IF(OR(Y115="",V115=0),"",Y115/V115)</f>
        <v/>
      </c>
      <c r="AB115" s="111">
        <f>IF(AA115="","⚪",IF(AA115&gt;1.2,"🔴",IF(AA115&gt;1.1,"🟡","🟢")))</f>
        <v/>
      </c>
      <c r="AD115" s="105" t="n">
        <v>18545.932825</v>
      </c>
      <c r="AE115" s="106" t="n">
        <v>6464.58333333333</v>
      </c>
      <c r="AF115" s="107" t="n"/>
      <c r="AG115" s="108">
        <f>IF(AF115="","",AE115*AF115)</f>
        <v/>
      </c>
      <c r="AH115" s="243">
        <f>IF(AG115="","",AD115-AG115)</f>
        <v/>
      </c>
      <c r="AI115" s="110">
        <f>IF(OR(AG115="",AD115=0),"",AG115/AD115)</f>
        <v/>
      </c>
      <c r="AJ115" s="111">
        <f>IF(AI115="","⚪",IF(AI115&gt;1.2,"🔴",IF(AI115&gt;1.1,"🟡","🟢")))</f>
        <v/>
      </c>
    </row>
    <row r="116" ht="14" customHeight="1" s="176">
      <c r="A116" s="112" t="inlineStr">
        <is>
          <t>El Molle</t>
        </is>
      </c>
      <c r="B116" s="113" t="inlineStr">
        <is>
          <t>arrufatinas 5,74 ha</t>
        </is>
      </c>
      <c r="C116" s="113" t="inlineStr">
        <is>
          <t>2- M.O. indirecta</t>
        </is>
      </c>
      <c r="D116" s="113" t="inlineStr">
        <is>
          <t>5,1- SUPERVISOR</t>
        </is>
      </c>
      <c r="E116" s="113" t="inlineStr">
        <is>
          <t>día</t>
        </is>
      </c>
      <c r="F116" s="105" t="n">
        <v>113391.3753</v>
      </c>
      <c r="G116" s="106" t="n">
        <v>39525</v>
      </c>
      <c r="H116" s="107" t="n"/>
      <c r="I116" s="108">
        <f>IF(H116="","",G116*H116)</f>
        <v/>
      </c>
      <c r="J116" s="243">
        <f>IF(I116="","",F116-I116)</f>
        <v/>
      </c>
      <c r="K116" s="110">
        <f>IF(OR(I116="",F116=0),"",I116/F116)</f>
        <v/>
      </c>
      <c r="L116" s="111">
        <f>IF(K116="","⚪",IF(K116&gt;1.2,"🔴",IF(K116&gt;1.1,"🟡","🟢")))</f>
        <v/>
      </c>
      <c r="N116" s="105" t="n">
        <v>113391.3753</v>
      </c>
      <c r="O116" s="106" t="n">
        <v>39525</v>
      </c>
      <c r="P116" s="107" t="n"/>
      <c r="Q116" s="108">
        <f>IF(P116="","",O116*P116)</f>
        <v/>
      </c>
      <c r="R116" s="243">
        <f>IF(Q116="","",N116-Q116)</f>
        <v/>
      </c>
      <c r="S116" s="110">
        <f>IF(OR(Q116="",N116=0),"",Q116/N116)</f>
        <v/>
      </c>
      <c r="T116" s="111">
        <f>IF(S116="","⚪",IF(S116&gt;1.2,"🔴",IF(S116&gt;1.1,"🟡","🟢")))</f>
        <v/>
      </c>
      <c r="V116" s="105" t="n">
        <v>113391.3753</v>
      </c>
      <c r="W116" s="106" t="n">
        <v>39525</v>
      </c>
      <c r="X116" s="107" t="n"/>
      <c r="Y116" s="108">
        <f>IF(X116="","",W116*X116)</f>
        <v/>
      </c>
      <c r="Z116" s="243">
        <f>IF(Y116="","",V116-Y116)</f>
        <v/>
      </c>
      <c r="AA116" s="110">
        <f>IF(OR(Y116="",V116=0),"",Y116/V116)</f>
        <v/>
      </c>
      <c r="AB116" s="111">
        <f>IF(AA116="","⚪",IF(AA116&gt;1.2,"🔴",IF(AA116&gt;1.1,"🟡","🟢")))</f>
        <v/>
      </c>
      <c r="AD116" s="105" t="n">
        <v>113391.3753</v>
      </c>
      <c r="AE116" s="106" t="n">
        <v>39525</v>
      </c>
      <c r="AF116" s="107" t="n"/>
      <c r="AG116" s="108">
        <f>IF(AF116="","",AE116*AF116)</f>
        <v/>
      </c>
      <c r="AH116" s="243">
        <f>IF(AG116="","",AD116-AG116)</f>
        <v/>
      </c>
      <c r="AI116" s="110">
        <f>IF(OR(AG116="",AD116=0),"",AG116/AD116)</f>
        <v/>
      </c>
      <c r="AJ116" s="111">
        <f>IF(AI116="","⚪",IF(AI116&gt;1.2,"🔴",IF(AI116&gt;1.1,"🟡","🟢")))</f>
        <v/>
      </c>
    </row>
    <row r="117" ht="14" customHeight="1" s="176">
      <c r="A117" s="103" t="inlineStr">
        <is>
          <t>El Molle</t>
        </is>
      </c>
      <c r="B117" s="104" t="inlineStr">
        <is>
          <t>arrufatinas 5,74 ha</t>
        </is>
      </c>
      <c r="C117" s="104" t="inlineStr">
        <is>
          <t>2- M.O. indirecta</t>
        </is>
      </c>
      <c r="D117" s="104" t="inlineStr">
        <is>
          <t>5- PREVEN. DE RIESGO</t>
        </is>
      </c>
      <c r="E117" s="104" t="inlineStr">
        <is>
          <t>día</t>
        </is>
      </c>
      <c r="F117" s="105" t="n">
        <v>4518.4419</v>
      </c>
      <c r="G117" s="106" t="n">
        <v>1575</v>
      </c>
      <c r="H117" s="107" t="n"/>
      <c r="I117" s="108">
        <f>IF(H117="","",G117*H117)</f>
        <v/>
      </c>
      <c r="J117" s="243">
        <f>IF(I117="","",F117-I117)</f>
        <v/>
      </c>
      <c r="K117" s="110">
        <f>IF(OR(I117="",F117=0),"",I117/F117)</f>
        <v/>
      </c>
      <c r="L117" s="111">
        <f>IF(K117="","⚪",IF(K117&gt;1.2,"🔴",IF(K117&gt;1.1,"🟡","🟢")))</f>
        <v/>
      </c>
      <c r="N117" s="105" t="n">
        <v>4518.4419</v>
      </c>
      <c r="O117" s="106" t="n">
        <v>1575</v>
      </c>
      <c r="P117" s="107" t="n"/>
      <c r="Q117" s="108">
        <f>IF(P117="","",O117*P117)</f>
        <v/>
      </c>
      <c r="R117" s="243">
        <f>IF(Q117="","",N117-Q117)</f>
        <v/>
      </c>
      <c r="S117" s="110">
        <f>IF(OR(Q117="",N117=0),"",Q117/N117)</f>
        <v/>
      </c>
      <c r="T117" s="111">
        <f>IF(S117="","⚪",IF(S117&gt;1.2,"🔴",IF(S117&gt;1.1,"🟡","🟢")))</f>
        <v/>
      </c>
      <c r="V117" s="105" t="n">
        <v>4518.4419</v>
      </c>
      <c r="W117" s="106" t="n">
        <v>1575</v>
      </c>
      <c r="X117" s="107" t="n"/>
      <c r="Y117" s="108">
        <f>IF(X117="","",W117*X117)</f>
        <v/>
      </c>
      <c r="Z117" s="243">
        <f>IF(Y117="","",V117-Y117)</f>
        <v/>
      </c>
      <c r="AA117" s="110">
        <f>IF(OR(Y117="",V117=0),"",Y117/V117)</f>
        <v/>
      </c>
      <c r="AB117" s="111">
        <f>IF(AA117="","⚪",IF(AA117&gt;1.2,"🔴",IF(AA117&gt;1.1,"🟡","🟢")))</f>
        <v/>
      </c>
      <c r="AD117" s="105" t="n">
        <v>4518.4419</v>
      </c>
      <c r="AE117" s="106" t="n">
        <v>1575</v>
      </c>
      <c r="AF117" s="107" t="n"/>
      <c r="AG117" s="108">
        <f>IF(AF117="","",AE117*AF117)</f>
        <v/>
      </c>
      <c r="AH117" s="243">
        <f>IF(AG117="","",AD117-AG117)</f>
        <v/>
      </c>
      <c r="AI117" s="110">
        <f>IF(OR(AG117="",AD117=0),"",AG117/AD117)</f>
        <v/>
      </c>
      <c r="AJ117" s="111">
        <f>IF(AI117="","⚪",IF(AI117&gt;1.2,"🔴",IF(AI117&gt;1.1,"🟡","🟢")))</f>
        <v/>
      </c>
    </row>
    <row r="118" ht="14" customHeight="1" s="176">
      <c r="A118" s="112" t="inlineStr">
        <is>
          <t>El Molle</t>
        </is>
      </c>
      <c r="B118" s="113" t="inlineStr">
        <is>
          <t>arrufatinas 5,74 ha</t>
        </is>
      </c>
      <c r="C118" s="113" t="inlineStr">
        <is>
          <t>2- M.O. indirecta</t>
        </is>
      </c>
      <c r="D118" s="113" t="inlineStr">
        <is>
          <t>9,1- RONDIN FUNDO</t>
        </is>
      </c>
      <c r="E118" s="113" t="inlineStr">
        <is>
          <t>día</t>
        </is>
      </c>
      <c r="F118" s="105" t="n">
        <v>19242.3</v>
      </c>
      <c r="G118" s="106" t="n">
        <v>38500</v>
      </c>
      <c r="H118" s="107" t="n"/>
      <c r="I118" s="108">
        <f>IF(H118="","",G118*H118)</f>
        <v/>
      </c>
      <c r="J118" s="243">
        <f>IF(I118="","",F118-I118)</f>
        <v/>
      </c>
      <c r="K118" s="110">
        <f>IF(OR(I118="",F118=0),"",I118/F118)</f>
        <v/>
      </c>
      <c r="L118" s="111">
        <f>IF(K118="","⚪",IF(K118&gt;1.2,"🔴",IF(K118&gt;1.1,"🟡","🟢")))</f>
        <v/>
      </c>
      <c r="N118" s="105" t="n">
        <v>19242.3</v>
      </c>
      <c r="O118" s="106" t="n">
        <v>38500</v>
      </c>
      <c r="P118" s="107" t="n"/>
      <c r="Q118" s="108">
        <f>IF(P118="","",O118*P118)</f>
        <v/>
      </c>
      <c r="R118" s="243">
        <f>IF(Q118="","",N118-Q118)</f>
        <v/>
      </c>
      <c r="S118" s="110">
        <f>IF(OR(Q118="",N118=0),"",Q118/N118)</f>
        <v/>
      </c>
      <c r="T118" s="111">
        <f>IF(S118="","⚪",IF(S118&gt;1.2,"🔴",IF(S118&gt;1.1,"🟡","🟢")))</f>
        <v/>
      </c>
      <c r="V118" s="105" t="n">
        <v>19242.3</v>
      </c>
      <c r="W118" s="106" t="n">
        <v>38500</v>
      </c>
      <c r="X118" s="107" t="n"/>
      <c r="Y118" s="108">
        <f>IF(X118="","",W118*X118)</f>
        <v/>
      </c>
      <c r="Z118" s="243">
        <f>IF(Y118="","",V118-Y118)</f>
        <v/>
      </c>
      <c r="AA118" s="110">
        <f>IF(OR(Y118="",V118=0),"",Y118/V118)</f>
        <v/>
      </c>
      <c r="AB118" s="111">
        <f>IF(AA118="","⚪",IF(AA118&gt;1.2,"🔴",IF(AA118&gt;1.1,"🟡","🟢")))</f>
        <v/>
      </c>
      <c r="AD118" s="105" t="n">
        <v>19242.3</v>
      </c>
      <c r="AE118" s="106" t="n">
        <v>38500</v>
      </c>
      <c r="AF118" s="107" t="n"/>
      <c r="AG118" s="108">
        <f>IF(AF118="","",AE118*AF118)</f>
        <v/>
      </c>
      <c r="AH118" s="243">
        <f>IF(AG118="","",AD118-AG118)</f>
        <v/>
      </c>
      <c r="AI118" s="110">
        <f>IF(OR(AG118="",AD118=0),"",AG118/AD118)</f>
        <v/>
      </c>
      <c r="AJ118" s="111">
        <f>IF(AI118="","⚪",IF(AI118&gt;1.2,"🔴",IF(AI118&gt;1.1,"🟡","🟢")))</f>
        <v/>
      </c>
    </row>
    <row r="119" ht="14" customHeight="1" s="176">
      <c r="A119" s="103" t="inlineStr">
        <is>
          <t>El Molle</t>
        </is>
      </c>
      <c r="B119" s="104" t="inlineStr">
        <is>
          <t>orogrande 8,11 ha</t>
        </is>
      </c>
      <c r="C119" s="104" t="inlineStr">
        <is>
          <t>1- M.O. directa</t>
        </is>
      </c>
      <c r="D119" s="104" t="inlineStr">
        <is>
          <t xml:space="preserve">1,4- Mantención caminos </t>
        </is>
      </c>
      <c r="E119" s="104" t="inlineStr">
        <is>
          <t>día</t>
        </is>
      </c>
      <c r="F119" s="105" t="n">
        <v>6525</v>
      </c>
      <c r="G119" s="106" t="n">
        <v>43500</v>
      </c>
      <c r="H119" s="107" t="n"/>
      <c r="I119" s="108">
        <f>IF(H119="","",G119*H119)</f>
        <v/>
      </c>
      <c r="J119" s="243">
        <f>IF(I119="","",F119-I119)</f>
        <v/>
      </c>
      <c r="K119" s="110">
        <f>IF(OR(I119="",F119=0),"",I119/F119)</f>
        <v/>
      </c>
      <c r="L119" s="111">
        <f>IF(K119="","⚪",IF(K119&gt;1.2,"🔴",IF(K119&gt;1.1,"🟡","🟢")))</f>
        <v/>
      </c>
      <c r="N119" s="105" t="n">
        <v>6525</v>
      </c>
      <c r="O119" s="106" t="n">
        <v>43500</v>
      </c>
      <c r="P119" s="107" t="n"/>
      <c r="Q119" s="108">
        <f>IF(P119="","",O119*P119)</f>
        <v/>
      </c>
      <c r="R119" s="243">
        <f>IF(Q119="","",N119-Q119)</f>
        <v/>
      </c>
      <c r="S119" s="110">
        <f>IF(OR(Q119="",N119=0),"",Q119/N119)</f>
        <v/>
      </c>
      <c r="T119" s="111">
        <f>IF(S119="","⚪",IF(S119&gt;1.2,"🔴",IF(S119&gt;1.1,"🟡","🟢")))</f>
        <v/>
      </c>
      <c r="V119" s="105" t="n">
        <v>6525</v>
      </c>
      <c r="W119" s="106" t="n">
        <v>43500</v>
      </c>
      <c r="X119" s="107" t="n"/>
      <c r="Y119" s="108">
        <f>IF(X119="","",W119*X119)</f>
        <v/>
      </c>
      <c r="Z119" s="243">
        <f>IF(Y119="","",V119-Y119)</f>
        <v/>
      </c>
      <c r="AA119" s="110">
        <f>IF(OR(Y119="",V119=0),"",Y119/V119)</f>
        <v/>
      </c>
      <c r="AB119" s="111">
        <f>IF(AA119="","⚪",IF(AA119&gt;1.2,"🔴",IF(AA119&gt;1.1,"🟡","🟢")))</f>
        <v/>
      </c>
      <c r="AD119" s="105" t="n">
        <v>6525</v>
      </c>
      <c r="AE119" s="106" t="n">
        <v>43500</v>
      </c>
      <c r="AF119" s="107" t="n"/>
      <c r="AG119" s="108">
        <f>IF(AF119="","",AE119*AF119)</f>
        <v/>
      </c>
      <c r="AH119" s="243">
        <f>IF(AG119="","",AD119-AG119)</f>
        <v/>
      </c>
      <c r="AI119" s="110">
        <f>IF(OR(AG119="",AD119=0),"",AG119/AD119)</f>
        <v/>
      </c>
      <c r="AJ119" s="111">
        <f>IF(AI119="","⚪",IF(AI119&gt;1.2,"🔴",IF(AI119&gt;1.1,"🟡","🟢")))</f>
        <v/>
      </c>
    </row>
    <row r="120" ht="14" customHeight="1" s="176">
      <c r="A120" s="112" t="inlineStr">
        <is>
          <t>El Molle</t>
        </is>
      </c>
      <c r="B120" s="113" t="inlineStr">
        <is>
          <t>orogrande 8,11 ha</t>
        </is>
      </c>
      <c r="C120" s="113" t="inlineStr">
        <is>
          <t>1- M.O. directa</t>
        </is>
      </c>
      <c r="D120" s="113" t="inlineStr">
        <is>
          <t>1- Cosecha EXP</t>
        </is>
      </c>
      <c r="E120" s="113" t="inlineStr">
        <is>
          <t>trato</t>
        </is>
      </c>
      <c r="F120" s="105" t="n">
        <v>1206362.5</v>
      </c>
      <c r="G120" s="106" t="n">
        <v>85</v>
      </c>
      <c r="H120" s="107" t="n"/>
      <c r="I120" s="108">
        <f>IF(H120="","",G120*H120)</f>
        <v/>
      </c>
      <c r="J120" s="243">
        <f>IF(I120="","",F120-I120)</f>
        <v/>
      </c>
      <c r="K120" s="110">
        <f>IF(OR(I120="",F120=0),"",I120/F120)</f>
        <v/>
      </c>
      <c r="L120" s="111">
        <f>IF(K120="","⚪",IF(K120&gt;1.2,"🔴",IF(K120&gt;1.1,"🟡","🟢")))</f>
        <v/>
      </c>
      <c r="N120" s="105" t="n">
        <v>1206362.5</v>
      </c>
      <c r="O120" s="106" t="n">
        <v>85</v>
      </c>
      <c r="P120" s="107" t="n"/>
      <c r="Q120" s="108">
        <f>IF(P120="","",O120*P120)</f>
        <v/>
      </c>
      <c r="R120" s="243">
        <f>IF(Q120="","",N120-Q120)</f>
        <v/>
      </c>
      <c r="S120" s="110">
        <f>IF(OR(Q120="",N120=0),"",Q120/N120)</f>
        <v/>
      </c>
      <c r="T120" s="111">
        <f>IF(S120="","⚪",IF(S120&gt;1.2,"🔴",IF(S120&gt;1.1,"🟡","🟢")))</f>
        <v/>
      </c>
      <c r="V120" s="105" t="n">
        <v>1206362.5</v>
      </c>
      <c r="W120" s="106" t="n">
        <v>85</v>
      </c>
      <c r="X120" s="107" t="n"/>
      <c r="Y120" s="108">
        <f>IF(X120="","",W120*X120)</f>
        <v/>
      </c>
      <c r="Z120" s="243">
        <f>IF(Y120="","",V120-Y120)</f>
        <v/>
      </c>
      <c r="AA120" s="110">
        <f>IF(OR(Y120="",V120=0),"",Y120/V120)</f>
        <v/>
      </c>
      <c r="AB120" s="111">
        <f>IF(AA120="","⚪",IF(AA120&gt;1.2,"🔴",IF(AA120&gt;1.1,"🟡","🟢")))</f>
        <v/>
      </c>
      <c r="AD120" s="105" t="n">
        <v>1206362.5</v>
      </c>
      <c r="AE120" s="106" t="n">
        <v>85</v>
      </c>
      <c r="AF120" s="107" t="n"/>
      <c r="AG120" s="108">
        <f>IF(AF120="","",AE120*AF120)</f>
        <v/>
      </c>
      <c r="AH120" s="243">
        <f>IF(AG120="","",AD120-AG120)</f>
        <v/>
      </c>
      <c r="AI120" s="110">
        <f>IF(OR(AG120="",AD120=0),"",AG120/AD120)</f>
        <v/>
      </c>
      <c r="AJ120" s="111">
        <f>IF(AI120="","⚪",IF(AI120&gt;1.2,"🔴",IF(AI120&gt;1.1,"🟡","🟢")))</f>
        <v/>
      </c>
    </row>
    <row r="121" ht="14" customHeight="1" s="176">
      <c r="A121" s="103" t="inlineStr">
        <is>
          <t>El Molle</t>
        </is>
      </c>
      <c r="B121" s="104" t="inlineStr">
        <is>
          <t>orogrande 8,11 ha</t>
        </is>
      </c>
      <c r="C121" s="104" t="inlineStr">
        <is>
          <t>1- M.O. directa</t>
        </is>
      </c>
      <c r="D121" s="104" t="inlineStr">
        <is>
          <t>10- Ortopedia y puntales</t>
        </is>
      </c>
      <c r="E121" s="104" t="inlineStr">
        <is>
          <t>día</t>
        </is>
      </c>
      <c r="F121" s="105" t="n">
        <v>135234.25</v>
      </c>
      <c r="G121" s="106" t="n">
        <v>500</v>
      </c>
      <c r="H121" s="107" t="n"/>
      <c r="I121" s="108">
        <f>IF(H121="","",G121*H121)</f>
        <v/>
      </c>
      <c r="J121" s="243">
        <f>IF(I121="","",F121-I121)</f>
        <v/>
      </c>
      <c r="K121" s="110">
        <f>IF(OR(I121="",F121=0),"",I121/F121)</f>
        <v/>
      </c>
      <c r="L121" s="111">
        <f>IF(K121="","⚪",IF(K121&gt;1.2,"🔴",IF(K121&gt;1.1,"🟡","🟢")))</f>
        <v/>
      </c>
      <c r="N121" s="105" t="n">
        <v>135234.25</v>
      </c>
      <c r="O121" s="106" t="n">
        <v>500</v>
      </c>
      <c r="P121" s="107" t="n"/>
      <c r="Q121" s="108">
        <f>IF(P121="","",O121*P121)</f>
        <v/>
      </c>
      <c r="R121" s="243">
        <f>IF(Q121="","",N121-Q121)</f>
        <v/>
      </c>
      <c r="S121" s="110">
        <f>IF(OR(Q121="",N121=0),"",Q121/N121)</f>
        <v/>
      </c>
      <c r="T121" s="111">
        <f>IF(S121="","⚪",IF(S121&gt;1.2,"🔴",IF(S121&gt;1.1,"🟡","🟢")))</f>
        <v/>
      </c>
      <c r="V121" s="105" t="n">
        <v>135234.25</v>
      </c>
      <c r="W121" s="106" t="n">
        <v>500</v>
      </c>
      <c r="X121" s="107" t="n"/>
      <c r="Y121" s="108">
        <f>IF(X121="","",W121*X121)</f>
        <v/>
      </c>
      <c r="Z121" s="243">
        <f>IF(Y121="","",V121-Y121)</f>
        <v/>
      </c>
      <c r="AA121" s="110">
        <f>IF(OR(Y121="",V121=0),"",Y121/V121)</f>
        <v/>
      </c>
      <c r="AB121" s="111">
        <f>IF(AA121="","⚪",IF(AA121&gt;1.2,"🔴",IF(AA121&gt;1.1,"🟡","🟢")))</f>
        <v/>
      </c>
      <c r="AD121" s="105" t="n">
        <v>135234.25</v>
      </c>
      <c r="AE121" s="106" t="n">
        <v>500</v>
      </c>
      <c r="AF121" s="107" t="n"/>
      <c r="AG121" s="108">
        <f>IF(AF121="","",AE121*AF121)</f>
        <v/>
      </c>
      <c r="AH121" s="243">
        <f>IF(AG121="","",AD121-AG121)</f>
        <v/>
      </c>
      <c r="AI121" s="110">
        <f>IF(OR(AG121="",AD121=0),"",AG121/AD121)</f>
        <v/>
      </c>
      <c r="AJ121" s="111">
        <f>IF(AI121="","⚪",IF(AI121&gt;1.2,"🔴",IF(AI121&gt;1.1,"🟡","🟢")))</f>
        <v/>
      </c>
    </row>
    <row r="122" ht="14" customHeight="1" s="176">
      <c r="A122" s="112" t="inlineStr">
        <is>
          <t>El Molle</t>
        </is>
      </c>
      <c r="B122" s="113" t="inlineStr">
        <is>
          <t>orogrande 8,11 ha</t>
        </is>
      </c>
      <c r="C122" s="113" t="inlineStr">
        <is>
          <t>1- M.O. directa</t>
        </is>
      </c>
      <c r="D122" s="113" t="inlineStr">
        <is>
          <t xml:space="preserve">11- mantención de cercos </t>
        </is>
      </c>
      <c r="E122" s="113" t="inlineStr">
        <is>
          <t>día</t>
        </is>
      </c>
      <c r="F122" s="105" t="n">
        <v>31223.5</v>
      </c>
      <c r="G122" s="106" t="n">
        <v>38500</v>
      </c>
      <c r="H122" s="107" t="n"/>
      <c r="I122" s="108">
        <f>IF(H122="","",G122*H122)</f>
        <v/>
      </c>
      <c r="J122" s="243">
        <f>IF(I122="","",F122-I122)</f>
        <v/>
      </c>
      <c r="K122" s="110">
        <f>IF(OR(I122="",F122=0),"",I122/F122)</f>
        <v/>
      </c>
      <c r="L122" s="111">
        <f>IF(K122="","⚪",IF(K122&gt;1.2,"🔴",IF(K122&gt;1.1,"🟡","🟢")))</f>
        <v/>
      </c>
      <c r="N122" s="105" t="n">
        <v>31223.5</v>
      </c>
      <c r="O122" s="106" t="n">
        <v>38500</v>
      </c>
      <c r="P122" s="107" t="n"/>
      <c r="Q122" s="108">
        <f>IF(P122="","",O122*P122)</f>
        <v/>
      </c>
      <c r="R122" s="243">
        <f>IF(Q122="","",N122-Q122)</f>
        <v/>
      </c>
      <c r="S122" s="110">
        <f>IF(OR(Q122="",N122=0),"",Q122/N122)</f>
        <v/>
      </c>
      <c r="T122" s="111">
        <f>IF(S122="","⚪",IF(S122&gt;1.2,"🔴",IF(S122&gt;1.1,"🟡","🟢")))</f>
        <v/>
      </c>
      <c r="V122" s="105" t="n">
        <v>31223.5</v>
      </c>
      <c r="W122" s="106" t="n">
        <v>38500</v>
      </c>
      <c r="X122" s="107" t="n"/>
      <c r="Y122" s="108">
        <f>IF(X122="","",W122*X122)</f>
        <v/>
      </c>
      <c r="Z122" s="243">
        <f>IF(Y122="","",V122-Y122)</f>
        <v/>
      </c>
      <c r="AA122" s="110">
        <f>IF(OR(Y122="",V122=0),"",Y122/V122)</f>
        <v/>
      </c>
      <c r="AB122" s="111">
        <f>IF(AA122="","⚪",IF(AA122&gt;1.2,"🔴",IF(AA122&gt;1.1,"🟡","🟢")))</f>
        <v/>
      </c>
      <c r="AD122" s="105" t="n">
        <v>31223.5</v>
      </c>
      <c r="AE122" s="106" t="n">
        <v>38500</v>
      </c>
      <c r="AF122" s="107" t="n"/>
      <c r="AG122" s="108">
        <f>IF(AF122="","",AE122*AF122)</f>
        <v/>
      </c>
      <c r="AH122" s="243">
        <f>IF(AG122="","",AD122-AG122)</f>
        <v/>
      </c>
      <c r="AI122" s="110">
        <f>IF(OR(AG122="",AD122=0),"",AG122/AD122)</f>
        <v/>
      </c>
      <c r="AJ122" s="111">
        <f>IF(AI122="","⚪",IF(AI122&gt;1.2,"🔴",IF(AI122&gt;1.1,"🟡","🟢")))</f>
        <v/>
      </c>
    </row>
    <row r="123" ht="14" customHeight="1" s="176">
      <c r="A123" s="103" t="inlineStr">
        <is>
          <t>El Molle</t>
        </is>
      </c>
      <c r="B123" s="104" t="inlineStr">
        <is>
          <t>orogrande 8,11 ha</t>
        </is>
      </c>
      <c r="C123" s="104" t="inlineStr">
        <is>
          <t>1- M.O. directa</t>
        </is>
      </c>
      <c r="D123" s="104" t="inlineStr">
        <is>
          <t>12- Picar sarmiento</t>
        </is>
      </c>
      <c r="E123" s="104" t="inlineStr">
        <is>
          <t>trato</t>
        </is>
      </c>
      <c r="F123" s="105" t="n">
        <v>16228.11</v>
      </c>
      <c r="G123" s="106" t="n">
        <v>60</v>
      </c>
      <c r="H123" s="107" t="n"/>
      <c r="I123" s="108">
        <f>IF(H123="","",G123*H123)</f>
        <v/>
      </c>
      <c r="J123" s="243">
        <f>IF(I123="","",F123-I123)</f>
        <v/>
      </c>
      <c r="K123" s="110">
        <f>IF(OR(I123="",F123=0),"",I123/F123)</f>
        <v/>
      </c>
      <c r="L123" s="111">
        <f>IF(K123="","⚪",IF(K123&gt;1.2,"🔴",IF(K123&gt;1.1,"🟡","🟢")))</f>
        <v/>
      </c>
      <c r="N123" s="105" t="n">
        <v>16228.11</v>
      </c>
      <c r="O123" s="106" t="n">
        <v>60</v>
      </c>
      <c r="P123" s="107" t="n"/>
      <c r="Q123" s="108">
        <f>IF(P123="","",O123*P123)</f>
        <v/>
      </c>
      <c r="R123" s="243">
        <f>IF(Q123="","",N123-Q123)</f>
        <v/>
      </c>
      <c r="S123" s="110">
        <f>IF(OR(Q123="",N123=0),"",Q123/N123)</f>
        <v/>
      </c>
      <c r="T123" s="111">
        <f>IF(S123="","⚪",IF(S123&gt;1.2,"🔴",IF(S123&gt;1.1,"🟡","🟢")))</f>
        <v/>
      </c>
      <c r="V123" s="105" t="n">
        <v>16228.11</v>
      </c>
      <c r="W123" s="106" t="n">
        <v>60</v>
      </c>
      <c r="X123" s="107" t="n"/>
      <c r="Y123" s="108">
        <f>IF(X123="","",W123*X123)</f>
        <v/>
      </c>
      <c r="Z123" s="243">
        <f>IF(Y123="","",V123-Y123)</f>
        <v/>
      </c>
      <c r="AA123" s="110">
        <f>IF(OR(Y123="",V123=0),"",Y123/V123)</f>
        <v/>
      </c>
      <c r="AB123" s="111">
        <f>IF(AA123="","⚪",IF(AA123&gt;1.2,"🔴",IF(AA123&gt;1.1,"🟡","🟢")))</f>
        <v/>
      </c>
      <c r="AD123" s="105" t="n">
        <v>16228.11</v>
      </c>
      <c r="AE123" s="106" t="n">
        <v>60</v>
      </c>
      <c r="AF123" s="107" t="n"/>
      <c r="AG123" s="108">
        <f>IF(AF123="","",AE123*AF123)</f>
        <v/>
      </c>
      <c r="AH123" s="243">
        <f>IF(AG123="","",AD123-AG123)</f>
        <v/>
      </c>
      <c r="AI123" s="110">
        <f>IF(OR(AG123="",AD123=0),"",AG123/AD123)</f>
        <v/>
      </c>
      <c r="AJ123" s="111">
        <f>IF(AI123="","⚪",IF(AI123&gt;1.2,"🔴",IF(AI123&gt;1.1,"🟡","🟢")))</f>
        <v/>
      </c>
    </row>
    <row r="124" ht="14" customHeight="1" s="176">
      <c r="A124" s="112" t="inlineStr">
        <is>
          <t>El Molle</t>
        </is>
      </c>
      <c r="B124" s="113" t="inlineStr">
        <is>
          <t>orogrande 8,11 ha</t>
        </is>
      </c>
      <c r="C124" s="113" t="inlineStr">
        <is>
          <t>1- M.O. directa</t>
        </is>
      </c>
      <c r="D124" s="113" t="inlineStr">
        <is>
          <t>14- Poda de sierrpes</t>
        </is>
      </c>
      <c r="E124" s="113" t="inlineStr">
        <is>
          <t>trato</t>
        </is>
      </c>
      <c r="F124" s="105" t="n">
        <v>24342.165</v>
      </c>
      <c r="G124" s="106" t="n">
        <v>60</v>
      </c>
      <c r="H124" s="107" t="n"/>
      <c r="I124" s="108">
        <f>IF(H124="","",G124*H124)</f>
        <v/>
      </c>
      <c r="J124" s="243">
        <f>IF(I124="","",F124-I124)</f>
        <v/>
      </c>
      <c r="K124" s="110">
        <f>IF(OR(I124="",F124=0),"",I124/F124)</f>
        <v/>
      </c>
      <c r="L124" s="111">
        <f>IF(K124="","⚪",IF(K124&gt;1.2,"🔴",IF(K124&gt;1.1,"🟡","🟢")))</f>
        <v/>
      </c>
      <c r="N124" s="105" t="n">
        <v>24342.165</v>
      </c>
      <c r="O124" s="106" t="n">
        <v>60</v>
      </c>
      <c r="P124" s="107" t="n"/>
      <c r="Q124" s="108">
        <f>IF(P124="","",O124*P124)</f>
        <v/>
      </c>
      <c r="R124" s="243">
        <f>IF(Q124="","",N124-Q124)</f>
        <v/>
      </c>
      <c r="S124" s="110">
        <f>IF(OR(Q124="",N124=0),"",Q124/N124)</f>
        <v/>
      </c>
      <c r="T124" s="111">
        <f>IF(S124="","⚪",IF(S124&gt;1.2,"🔴",IF(S124&gt;1.1,"🟡","🟢")))</f>
        <v/>
      </c>
      <c r="V124" s="105" t="n">
        <v>24342.165</v>
      </c>
      <c r="W124" s="106" t="n">
        <v>60</v>
      </c>
      <c r="X124" s="107" t="n"/>
      <c r="Y124" s="108">
        <f>IF(X124="","",W124*X124)</f>
        <v/>
      </c>
      <c r="Z124" s="243">
        <f>IF(Y124="","",V124-Y124)</f>
        <v/>
      </c>
      <c r="AA124" s="110">
        <f>IF(OR(Y124="",V124=0),"",Y124/V124)</f>
        <v/>
      </c>
      <c r="AB124" s="111">
        <f>IF(AA124="","⚪",IF(AA124&gt;1.2,"🔴",IF(AA124&gt;1.1,"🟡","🟢")))</f>
        <v/>
      </c>
      <c r="AD124" s="105" t="n">
        <v>24342.165</v>
      </c>
      <c r="AE124" s="106" t="n">
        <v>60</v>
      </c>
      <c r="AF124" s="107" t="n"/>
      <c r="AG124" s="108">
        <f>IF(AF124="","",AE124*AF124)</f>
        <v/>
      </c>
      <c r="AH124" s="243">
        <f>IF(AG124="","",AD124-AG124)</f>
        <v/>
      </c>
      <c r="AI124" s="110">
        <f>IF(OR(AG124="",AD124=0),"",AG124/AD124)</f>
        <v/>
      </c>
      <c r="AJ124" s="111">
        <f>IF(AI124="","⚪",IF(AI124&gt;1.2,"🔴",IF(AI124&gt;1.1,"🟡","🟢")))</f>
        <v/>
      </c>
    </row>
    <row r="125" ht="14" customHeight="1" s="176">
      <c r="A125" s="103" t="inlineStr">
        <is>
          <t>El Molle</t>
        </is>
      </c>
      <c r="B125" s="104" t="inlineStr">
        <is>
          <t>orogrande 8,11 ha</t>
        </is>
      </c>
      <c r="C125" s="104" t="inlineStr">
        <is>
          <t>1- M.O. directa</t>
        </is>
      </c>
      <c r="D125" s="104" t="inlineStr">
        <is>
          <t>15- Poda</t>
        </is>
      </c>
      <c r="E125" s="104" t="inlineStr">
        <is>
          <t>trato</t>
        </is>
      </c>
      <c r="F125" s="105" t="n">
        <v>243421.65</v>
      </c>
      <c r="G125" s="106" t="n">
        <v>900</v>
      </c>
      <c r="H125" s="107" t="n"/>
      <c r="I125" s="108">
        <f>IF(H125="","",G125*H125)</f>
        <v/>
      </c>
      <c r="J125" s="243">
        <f>IF(I125="","",F125-I125)</f>
        <v/>
      </c>
      <c r="K125" s="110">
        <f>IF(OR(I125="",F125=0),"",I125/F125)</f>
        <v/>
      </c>
      <c r="L125" s="111">
        <f>IF(K125="","⚪",IF(K125&gt;1.2,"🔴",IF(K125&gt;1.1,"🟡","🟢")))</f>
        <v/>
      </c>
      <c r="N125" s="105" t="n">
        <v>243421.65</v>
      </c>
      <c r="O125" s="106" t="n">
        <v>900</v>
      </c>
      <c r="P125" s="107" t="n"/>
      <c r="Q125" s="108">
        <f>IF(P125="","",O125*P125)</f>
        <v/>
      </c>
      <c r="R125" s="243">
        <f>IF(Q125="","",N125-Q125)</f>
        <v/>
      </c>
      <c r="S125" s="110">
        <f>IF(OR(Q125="",N125=0),"",Q125/N125)</f>
        <v/>
      </c>
      <c r="T125" s="111">
        <f>IF(S125="","⚪",IF(S125&gt;1.2,"🔴",IF(S125&gt;1.1,"🟡","🟢")))</f>
        <v/>
      </c>
      <c r="V125" s="105" t="n">
        <v>243421.65</v>
      </c>
      <c r="W125" s="106" t="n">
        <v>900</v>
      </c>
      <c r="X125" s="107" t="n"/>
      <c r="Y125" s="108">
        <f>IF(X125="","",W125*X125)</f>
        <v/>
      </c>
      <c r="Z125" s="243">
        <f>IF(Y125="","",V125-Y125)</f>
        <v/>
      </c>
      <c r="AA125" s="110">
        <f>IF(OR(Y125="",V125=0),"",Y125/V125)</f>
        <v/>
      </c>
      <c r="AB125" s="111">
        <f>IF(AA125="","⚪",IF(AA125&gt;1.2,"🔴",IF(AA125&gt;1.1,"🟡","🟢")))</f>
        <v/>
      </c>
      <c r="AD125" s="105" t="n">
        <v>243421.65</v>
      </c>
      <c r="AE125" s="106" t="n">
        <v>900</v>
      </c>
      <c r="AF125" s="107" t="n"/>
      <c r="AG125" s="108">
        <f>IF(AF125="","",AE125*AF125)</f>
        <v/>
      </c>
      <c r="AH125" s="243">
        <f>IF(AG125="","",AD125-AG125)</f>
        <v/>
      </c>
      <c r="AI125" s="110">
        <f>IF(OR(AG125="",AD125=0),"",AG125/AD125)</f>
        <v/>
      </c>
      <c r="AJ125" s="111">
        <f>IF(AI125="","⚪",IF(AI125&gt;1.2,"🔴",IF(AI125&gt;1.1,"🟡","🟢")))</f>
        <v/>
      </c>
    </row>
    <row r="126" ht="14" customHeight="1" s="176">
      <c r="A126" s="112" t="inlineStr">
        <is>
          <t>El Molle</t>
        </is>
      </c>
      <c r="B126" s="113" t="inlineStr">
        <is>
          <t>orogrande 8,11 ha</t>
        </is>
      </c>
      <c r="C126" s="113" t="inlineStr">
        <is>
          <t>1- M.O. directa</t>
        </is>
      </c>
      <c r="D126" s="113" t="inlineStr">
        <is>
          <t>16- Supervisor poda</t>
        </is>
      </c>
      <c r="E126" s="113" t="inlineStr">
        <is>
          <t>día</t>
        </is>
      </c>
      <c r="F126" s="105" t="n">
        <v>20285.1375</v>
      </c>
      <c r="G126" s="106" t="n">
        <v>75</v>
      </c>
      <c r="H126" s="107" t="n"/>
      <c r="I126" s="108">
        <f>IF(H126="","",G126*H126)</f>
        <v/>
      </c>
      <c r="J126" s="243">
        <f>IF(I126="","",F126-I126)</f>
        <v/>
      </c>
      <c r="K126" s="110">
        <f>IF(OR(I126="",F126=0),"",I126/F126)</f>
        <v/>
      </c>
      <c r="L126" s="111">
        <f>IF(K126="","⚪",IF(K126&gt;1.2,"🔴",IF(K126&gt;1.1,"🟡","🟢")))</f>
        <v/>
      </c>
      <c r="N126" s="105" t="n">
        <v>20285.1375</v>
      </c>
      <c r="O126" s="106" t="n">
        <v>75</v>
      </c>
      <c r="P126" s="107" t="n"/>
      <c r="Q126" s="108">
        <f>IF(P126="","",O126*P126)</f>
        <v/>
      </c>
      <c r="R126" s="243">
        <f>IF(Q126="","",N126-Q126)</f>
        <v/>
      </c>
      <c r="S126" s="110">
        <f>IF(OR(Q126="",N126=0),"",Q126/N126)</f>
        <v/>
      </c>
      <c r="T126" s="111">
        <f>IF(S126="","⚪",IF(S126&gt;1.2,"🔴",IF(S126&gt;1.1,"🟡","🟢")))</f>
        <v/>
      </c>
      <c r="V126" s="105" t="n">
        <v>20285.1375</v>
      </c>
      <c r="W126" s="106" t="n">
        <v>75</v>
      </c>
      <c r="X126" s="107" t="n"/>
      <c r="Y126" s="108">
        <f>IF(X126="","",W126*X126)</f>
        <v/>
      </c>
      <c r="Z126" s="243">
        <f>IF(Y126="","",V126-Y126)</f>
        <v/>
      </c>
      <c r="AA126" s="110">
        <f>IF(OR(Y126="",V126=0),"",Y126/V126)</f>
        <v/>
      </c>
      <c r="AB126" s="111">
        <f>IF(AA126="","⚪",IF(AA126&gt;1.2,"🔴",IF(AA126&gt;1.1,"🟡","🟢")))</f>
        <v/>
      </c>
      <c r="AD126" s="105" t="n">
        <v>20285.1375</v>
      </c>
      <c r="AE126" s="106" t="n">
        <v>75</v>
      </c>
      <c r="AF126" s="107" t="n"/>
      <c r="AG126" s="108">
        <f>IF(AF126="","",AE126*AF126)</f>
        <v/>
      </c>
      <c r="AH126" s="243">
        <f>IF(AG126="","",AD126-AG126)</f>
        <v/>
      </c>
      <c r="AI126" s="110">
        <f>IF(OR(AG126="",AD126=0),"",AG126/AD126)</f>
        <v/>
      </c>
      <c r="AJ126" s="111">
        <f>IF(AI126="","⚪",IF(AI126&gt;1.2,"🔴",IF(AI126&gt;1.1,"🟡","🟢")))</f>
        <v/>
      </c>
    </row>
    <row r="127" ht="14" customHeight="1" s="176">
      <c r="A127" s="103" t="inlineStr">
        <is>
          <t>El Molle</t>
        </is>
      </c>
      <c r="B127" s="104" t="inlineStr">
        <is>
          <t>orogrande 8,11 ha</t>
        </is>
      </c>
      <c r="C127" s="104" t="inlineStr">
        <is>
          <t>1- M.O. directa</t>
        </is>
      </c>
      <c r="D127" s="104" t="inlineStr">
        <is>
          <t>17- Recepción, pesaje y despacho</t>
        </is>
      </c>
      <c r="E127" s="104" t="inlineStr">
        <is>
          <t>día</t>
        </is>
      </c>
      <c r="F127" s="105" t="n">
        <v>20437.2</v>
      </c>
      <c r="G127" s="106" t="n">
        <v>1.2</v>
      </c>
      <c r="H127" s="107" t="n"/>
      <c r="I127" s="108">
        <f>IF(H127="","",G127*H127)</f>
        <v/>
      </c>
      <c r="J127" s="243">
        <f>IF(I127="","",F127-I127)</f>
        <v/>
      </c>
      <c r="K127" s="110">
        <f>IF(OR(I127="",F127=0),"",I127/F127)</f>
        <v/>
      </c>
      <c r="L127" s="111">
        <f>IF(K127="","⚪",IF(K127&gt;1.2,"🔴",IF(K127&gt;1.1,"🟡","🟢")))</f>
        <v/>
      </c>
      <c r="N127" s="105" t="n">
        <v>20437.2</v>
      </c>
      <c r="O127" s="106" t="n">
        <v>1.2</v>
      </c>
      <c r="P127" s="107" t="n"/>
      <c r="Q127" s="108">
        <f>IF(P127="","",O127*P127)</f>
        <v/>
      </c>
      <c r="R127" s="243">
        <f>IF(Q127="","",N127-Q127)</f>
        <v/>
      </c>
      <c r="S127" s="110">
        <f>IF(OR(Q127="",N127=0),"",Q127/N127)</f>
        <v/>
      </c>
      <c r="T127" s="111">
        <f>IF(S127="","⚪",IF(S127&gt;1.2,"🔴",IF(S127&gt;1.1,"🟡","🟢")))</f>
        <v/>
      </c>
      <c r="V127" s="105" t="n">
        <v>20437.2</v>
      </c>
      <c r="W127" s="106" t="n">
        <v>1.2</v>
      </c>
      <c r="X127" s="107" t="n"/>
      <c r="Y127" s="108">
        <f>IF(X127="","",W127*X127)</f>
        <v/>
      </c>
      <c r="Z127" s="243">
        <f>IF(Y127="","",V127-Y127)</f>
        <v/>
      </c>
      <c r="AA127" s="110">
        <f>IF(OR(Y127="",V127=0),"",Y127/V127)</f>
        <v/>
      </c>
      <c r="AB127" s="111">
        <f>IF(AA127="","⚪",IF(AA127&gt;1.2,"🔴",IF(AA127&gt;1.1,"🟡","🟢")))</f>
        <v/>
      </c>
      <c r="AD127" s="105" t="n">
        <v>20437.2</v>
      </c>
      <c r="AE127" s="106" t="n">
        <v>1.2</v>
      </c>
      <c r="AF127" s="107" t="n"/>
      <c r="AG127" s="108">
        <f>IF(AF127="","",AE127*AF127)</f>
        <v/>
      </c>
      <c r="AH127" s="243">
        <f>IF(AG127="","",AD127-AG127)</f>
        <v/>
      </c>
      <c r="AI127" s="110">
        <f>IF(OR(AG127="",AD127=0),"",AG127/AD127)</f>
        <v/>
      </c>
      <c r="AJ127" s="111">
        <f>IF(AI127="","⚪",IF(AI127&gt;1.2,"🔴",IF(AI127&gt;1.1,"🟡","🟢")))</f>
        <v/>
      </c>
    </row>
    <row r="128" ht="14" customHeight="1" s="176">
      <c r="A128" s="112" t="inlineStr">
        <is>
          <t>El Molle</t>
        </is>
      </c>
      <c r="B128" s="113" t="inlineStr">
        <is>
          <t>orogrande 8,11 ha</t>
        </is>
      </c>
      <c r="C128" s="113" t="inlineStr">
        <is>
          <t>1- M.O. directa</t>
        </is>
      </c>
      <c r="D128" s="113" t="inlineStr">
        <is>
          <t>2- Supervisor cosecha</t>
        </is>
      </c>
      <c r="E128" s="113" t="inlineStr">
        <is>
          <t>día</t>
        </is>
      </c>
      <c r="F128" s="105" t="n">
        <v>99347.5</v>
      </c>
      <c r="G128" s="106" t="n">
        <v>7</v>
      </c>
      <c r="H128" s="107" t="n"/>
      <c r="I128" s="108">
        <f>IF(H128="","",G128*H128)</f>
        <v/>
      </c>
      <c r="J128" s="243">
        <f>IF(I128="","",F128-I128)</f>
        <v/>
      </c>
      <c r="K128" s="110">
        <f>IF(OR(I128="",F128=0),"",I128/F128)</f>
        <v/>
      </c>
      <c r="L128" s="111">
        <f>IF(K128="","⚪",IF(K128&gt;1.2,"🔴",IF(K128&gt;1.1,"🟡","🟢")))</f>
        <v/>
      </c>
      <c r="N128" s="105" t="n">
        <v>99347.5</v>
      </c>
      <c r="O128" s="106" t="n">
        <v>7</v>
      </c>
      <c r="P128" s="107" t="n"/>
      <c r="Q128" s="108">
        <f>IF(P128="","",O128*P128)</f>
        <v/>
      </c>
      <c r="R128" s="243">
        <f>IF(Q128="","",N128-Q128)</f>
        <v/>
      </c>
      <c r="S128" s="110">
        <f>IF(OR(Q128="",N128=0),"",Q128/N128)</f>
        <v/>
      </c>
      <c r="T128" s="111">
        <f>IF(S128="","⚪",IF(S128&gt;1.2,"🔴",IF(S128&gt;1.1,"🟡","🟢")))</f>
        <v/>
      </c>
      <c r="V128" s="105" t="n">
        <v>99347.5</v>
      </c>
      <c r="W128" s="106" t="n">
        <v>7</v>
      </c>
      <c r="X128" s="107" t="n"/>
      <c r="Y128" s="108">
        <f>IF(X128="","",W128*X128)</f>
        <v/>
      </c>
      <c r="Z128" s="243">
        <f>IF(Y128="","",V128-Y128)</f>
        <v/>
      </c>
      <c r="AA128" s="110">
        <f>IF(OR(Y128="",V128=0),"",Y128/V128)</f>
        <v/>
      </c>
      <c r="AB128" s="111">
        <f>IF(AA128="","⚪",IF(AA128&gt;1.2,"🔴",IF(AA128&gt;1.1,"🟡","🟢")))</f>
        <v/>
      </c>
      <c r="AD128" s="105" t="n">
        <v>99347.5</v>
      </c>
      <c r="AE128" s="106" t="n">
        <v>7</v>
      </c>
      <c r="AF128" s="107" t="n"/>
      <c r="AG128" s="108">
        <f>IF(AF128="","",AE128*AF128)</f>
        <v/>
      </c>
      <c r="AH128" s="243">
        <f>IF(AG128="","",AD128-AG128)</f>
        <v/>
      </c>
      <c r="AI128" s="110">
        <f>IF(OR(AG128="",AD128=0),"",AG128/AD128)</f>
        <v/>
      </c>
      <c r="AJ128" s="111">
        <f>IF(AI128="","⚪",IF(AI128&gt;1.2,"🔴",IF(AI128&gt;1.1,"🟡","🟢")))</f>
        <v/>
      </c>
    </row>
    <row r="129" ht="14" customHeight="1" s="176">
      <c r="A129" s="103" t="inlineStr">
        <is>
          <t>El Molle</t>
        </is>
      </c>
      <c r="B129" s="104" t="inlineStr">
        <is>
          <t>orogrande 8,11 ha</t>
        </is>
      </c>
      <c r="C129" s="104" t="inlineStr">
        <is>
          <t>1- M.O. directa</t>
        </is>
      </c>
      <c r="D129" s="104" t="inlineStr">
        <is>
          <t>23- Guanteo de corona</t>
        </is>
      </c>
      <c r="E129" s="104" t="inlineStr">
        <is>
          <t>trato</t>
        </is>
      </c>
      <c r="F129" s="105" t="n">
        <v>62207.755</v>
      </c>
      <c r="G129" s="106" t="n">
        <v>115</v>
      </c>
      <c r="H129" s="107" t="n"/>
      <c r="I129" s="108">
        <f>IF(H129="","",G129*H129)</f>
        <v/>
      </c>
      <c r="J129" s="243">
        <f>IF(I129="","",F129-I129)</f>
        <v/>
      </c>
      <c r="K129" s="110">
        <f>IF(OR(I129="",F129=0),"",I129/F129)</f>
        <v/>
      </c>
      <c r="L129" s="111">
        <f>IF(K129="","⚪",IF(K129&gt;1.2,"🔴",IF(K129&gt;1.1,"🟡","🟢")))</f>
        <v/>
      </c>
      <c r="N129" s="105" t="n">
        <v>62207.755</v>
      </c>
      <c r="O129" s="106" t="n">
        <v>115</v>
      </c>
      <c r="P129" s="107" t="n"/>
      <c r="Q129" s="108">
        <f>IF(P129="","",O129*P129)</f>
        <v/>
      </c>
      <c r="R129" s="243">
        <f>IF(Q129="","",N129-Q129)</f>
        <v/>
      </c>
      <c r="S129" s="110">
        <f>IF(OR(Q129="",N129=0),"",Q129/N129)</f>
        <v/>
      </c>
      <c r="T129" s="111">
        <f>IF(S129="","⚪",IF(S129&gt;1.2,"🔴",IF(S129&gt;1.1,"🟡","🟢")))</f>
        <v/>
      </c>
      <c r="V129" s="105" t="n">
        <v>62207.755</v>
      </c>
      <c r="W129" s="106" t="n">
        <v>115</v>
      </c>
      <c r="X129" s="107" t="n"/>
      <c r="Y129" s="108">
        <f>IF(X129="","",W129*X129)</f>
        <v/>
      </c>
      <c r="Z129" s="243">
        <f>IF(Y129="","",V129-Y129)</f>
        <v/>
      </c>
      <c r="AA129" s="110">
        <f>IF(OR(Y129="",V129=0),"",Y129/V129)</f>
        <v/>
      </c>
      <c r="AB129" s="111">
        <f>IF(AA129="","⚪",IF(AA129&gt;1.2,"🔴",IF(AA129&gt;1.1,"🟡","🟢")))</f>
        <v/>
      </c>
      <c r="AD129" s="105" t="n">
        <v>62207.755</v>
      </c>
      <c r="AE129" s="106" t="n">
        <v>115</v>
      </c>
      <c r="AF129" s="107" t="n"/>
      <c r="AG129" s="108">
        <f>IF(AF129="","",AE129*AF129)</f>
        <v/>
      </c>
      <c r="AH129" s="243">
        <f>IF(AG129="","",AD129-AG129)</f>
        <v/>
      </c>
      <c r="AI129" s="110">
        <f>IF(OR(AG129="",AD129=0),"",AG129/AD129)</f>
        <v/>
      </c>
      <c r="AJ129" s="111">
        <f>IF(AI129="","⚪",IF(AI129&gt;1.2,"🔴",IF(AI129&gt;1.1,"🟡","🟢")))</f>
        <v/>
      </c>
    </row>
    <row r="130" ht="14" customHeight="1" s="176">
      <c r="A130" s="112" t="inlineStr">
        <is>
          <t>El Molle</t>
        </is>
      </c>
      <c r="B130" s="113" t="inlineStr">
        <is>
          <t>orogrande 8,11 ha</t>
        </is>
      </c>
      <c r="C130" s="113" t="inlineStr">
        <is>
          <t>1- M.O. directa</t>
        </is>
      </c>
      <c r="D130" s="113" t="inlineStr">
        <is>
          <t>3- Selección</t>
        </is>
      </c>
      <c r="E130" s="113" t="inlineStr">
        <is>
          <t>trato</t>
        </is>
      </c>
      <c r="F130" s="105" t="n">
        <v>283850</v>
      </c>
      <c r="G130" s="106" t="n">
        <v>20</v>
      </c>
      <c r="H130" s="107" t="n"/>
      <c r="I130" s="108">
        <f>IF(H130="","",G130*H130)</f>
        <v/>
      </c>
      <c r="J130" s="243">
        <f>IF(I130="","",F130-I130)</f>
        <v/>
      </c>
      <c r="K130" s="110">
        <f>IF(OR(I130="",F130=0),"",I130/F130)</f>
        <v/>
      </c>
      <c r="L130" s="111">
        <f>IF(K130="","⚪",IF(K130&gt;1.2,"🔴",IF(K130&gt;1.1,"🟡","🟢")))</f>
        <v/>
      </c>
      <c r="N130" s="105" t="n">
        <v>283850</v>
      </c>
      <c r="O130" s="106" t="n">
        <v>20</v>
      </c>
      <c r="P130" s="107" t="n"/>
      <c r="Q130" s="108">
        <f>IF(P130="","",O130*P130)</f>
        <v/>
      </c>
      <c r="R130" s="243">
        <f>IF(Q130="","",N130-Q130)</f>
        <v/>
      </c>
      <c r="S130" s="110">
        <f>IF(OR(Q130="",N130=0),"",Q130/N130)</f>
        <v/>
      </c>
      <c r="T130" s="111">
        <f>IF(S130="","⚪",IF(S130&gt;1.2,"🔴",IF(S130&gt;1.1,"🟡","🟢")))</f>
        <v/>
      </c>
      <c r="V130" s="105" t="n">
        <v>283850</v>
      </c>
      <c r="W130" s="106" t="n">
        <v>20</v>
      </c>
      <c r="X130" s="107" t="n"/>
      <c r="Y130" s="108">
        <f>IF(X130="","",W130*X130)</f>
        <v/>
      </c>
      <c r="Z130" s="243">
        <f>IF(Y130="","",V130-Y130)</f>
        <v/>
      </c>
      <c r="AA130" s="110">
        <f>IF(OR(Y130="",V130=0),"",Y130/V130)</f>
        <v/>
      </c>
      <c r="AB130" s="111">
        <f>IF(AA130="","⚪",IF(AA130&gt;1.2,"🔴",IF(AA130&gt;1.1,"🟡","🟢")))</f>
        <v/>
      </c>
      <c r="AD130" s="105" t="n">
        <v>283850</v>
      </c>
      <c r="AE130" s="106" t="n">
        <v>20</v>
      </c>
      <c r="AF130" s="107" t="n"/>
      <c r="AG130" s="108">
        <f>IF(AF130="","",AE130*AF130)</f>
        <v/>
      </c>
      <c r="AH130" s="243">
        <f>IF(AG130="","",AD130-AG130)</f>
        <v/>
      </c>
      <c r="AI130" s="110">
        <f>IF(OR(AG130="",AD130=0),"",AG130/AD130)</f>
        <v/>
      </c>
      <c r="AJ130" s="111">
        <f>IF(AI130="","⚪",IF(AI130&gt;1.2,"🔴",IF(AI130&gt;1.1,"🟡","🟢")))</f>
        <v/>
      </c>
    </row>
    <row r="131" ht="14" customHeight="1" s="176">
      <c r="A131" s="103" t="inlineStr">
        <is>
          <t>El Molle</t>
        </is>
      </c>
      <c r="B131" s="104" t="inlineStr">
        <is>
          <t>orogrande 8,11 ha</t>
        </is>
      </c>
      <c r="C131" s="104" t="inlineStr">
        <is>
          <t>1- M.O. directa</t>
        </is>
      </c>
      <c r="D131" s="104" t="inlineStr">
        <is>
          <t>3- Tractorista cosecha</t>
        </is>
      </c>
      <c r="E131" s="104" t="inlineStr">
        <is>
          <t>día</t>
        </is>
      </c>
      <c r="F131" s="105" t="n">
        <v>42577.5</v>
      </c>
      <c r="G131" s="106" t="n">
        <v>3</v>
      </c>
      <c r="H131" s="107" t="n"/>
      <c r="I131" s="108">
        <f>IF(H131="","",G131*H131)</f>
        <v/>
      </c>
      <c r="J131" s="243">
        <f>IF(I131="","",F131-I131)</f>
        <v/>
      </c>
      <c r="K131" s="110">
        <f>IF(OR(I131="",F131=0),"",I131/F131)</f>
        <v/>
      </c>
      <c r="L131" s="111">
        <f>IF(K131="","⚪",IF(K131&gt;1.2,"🔴",IF(K131&gt;1.1,"🟡","🟢")))</f>
        <v/>
      </c>
      <c r="N131" s="105" t="n">
        <v>42577.5</v>
      </c>
      <c r="O131" s="106" t="n">
        <v>3</v>
      </c>
      <c r="P131" s="107" t="n"/>
      <c r="Q131" s="108">
        <f>IF(P131="","",O131*P131)</f>
        <v/>
      </c>
      <c r="R131" s="243">
        <f>IF(Q131="","",N131-Q131)</f>
        <v/>
      </c>
      <c r="S131" s="110">
        <f>IF(OR(Q131="",N131=0),"",Q131/N131)</f>
        <v/>
      </c>
      <c r="T131" s="111">
        <f>IF(S131="","⚪",IF(S131&gt;1.2,"🔴",IF(S131&gt;1.1,"🟡","🟢")))</f>
        <v/>
      </c>
      <c r="V131" s="105" t="n">
        <v>42577.5</v>
      </c>
      <c r="W131" s="106" t="n">
        <v>3</v>
      </c>
      <c r="X131" s="107" t="n"/>
      <c r="Y131" s="108">
        <f>IF(X131="","",W131*X131)</f>
        <v/>
      </c>
      <c r="Z131" s="243">
        <f>IF(Y131="","",V131-Y131)</f>
        <v/>
      </c>
      <c r="AA131" s="110">
        <f>IF(OR(Y131="",V131=0),"",Y131/V131)</f>
        <v/>
      </c>
      <c r="AB131" s="111">
        <f>IF(AA131="","⚪",IF(AA131&gt;1.2,"🔴",IF(AA131&gt;1.1,"🟡","🟢")))</f>
        <v/>
      </c>
      <c r="AD131" s="105" t="n">
        <v>42577.5</v>
      </c>
      <c r="AE131" s="106" t="n">
        <v>3</v>
      </c>
      <c r="AF131" s="107" t="n"/>
      <c r="AG131" s="108">
        <f>IF(AF131="","",AE131*AF131)</f>
        <v/>
      </c>
      <c r="AH131" s="243">
        <f>IF(AG131="","",AD131-AG131)</f>
        <v/>
      </c>
      <c r="AI131" s="110">
        <f>IF(OR(AG131="",AD131=0),"",AG131/AD131)</f>
        <v/>
      </c>
      <c r="AJ131" s="111">
        <f>IF(AI131="","⚪",IF(AI131&gt;1.2,"🔴",IF(AI131&gt;1.1,"🟡","🟢")))</f>
        <v/>
      </c>
    </row>
    <row r="132" ht="14" customHeight="1" s="176">
      <c r="A132" s="112" t="inlineStr">
        <is>
          <t>El Molle</t>
        </is>
      </c>
      <c r="B132" s="113" t="inlineStr">
        <is>
          <t>orogrande 8,11 ha</t>
        </is>
      </c>
      <c r="C132" s="113" t="inlineStr">
        <is>
          <t>1- M.O. directa</t>
        </is>
      </c>
      <c r="D132" s="113" t="inlineStr">
        <is>
          <t>4- Grua</t>
        </is>
      </c>
      <c r="E132" s="113" t="inlineStr">
        <is>
          <t>día</t>
        </is>
      </c>
      <c r="F132" s="105" t="n">
        <v>21288.75</v>
      </c>
      <c r="G132" s="106" t="n">
        <v>1.5</v>
      </c>
      <c r="H132" s="107" t="n"/>
      <c r="I132" s="108">
        <f>IF(H132="","",G132*H132)</f>
        <v/>
      </c>
      <c r="J132" s="243">
        <f>IF(I132="","",F132-I132)</f>
        <v/>
      </c>
      <c r="K132" s="110">
        <f>IF(OR(I132="",F132=0),"",I132/F132)</f>
        <v/>
      </c>
      <c r="L132" s="111">
        <f>IF(K132="","⚪",IF(K132&gt;1.2,"🔴",IF(K132&gt;1.1,"🟡","🟢")))</f>
        <v/>
      </c>
      <c r="N132" s="105" t="n">
        <v>21288.75</v>
      </c>
      <c r="O132" s="106" t="n">
        <v>1.5</v>
      </c>
      <c r="P132" s="107" t="n"/>
      <c r="Q132" s="108">
        <f>IF(P132="","",O132*P132)</f>
        <v/>
      </c>
      <c r="R132" s="243">
        <f>IF(Q132="","",N132-Q132)</f>
        <v/>
      </c>
      <c r="S132" s="110">
        <f>IF(OR(Q132="",N132=0),"",Q132/N132)</f>
        <v/>
      </c>
      <c r="T132" s="111">
        <f>IF(S132="","⚪",IF(S132&gt;1.2,"🔴",IF(S132&gt;1.1,"🟡","🟢")))</f>
        <v/>
      </c>
      <c r="V132" s="105" t="n">
        <v>21288.75</v>
      </c>
      <c r="W132" s="106" t="n">
        <v>1.5</v>
      </c>
      <c r="X132" s="107" t="n"/>
      <c r="Y132" s="108">
        <f>IF(X132="","",W132*X132)</f>
        <v/>
      </c>
      <c r="Z132" s="243">
        <f>IF(Y132="","",V132-Y132)</f>
        <v/>
      </c>
      <c r="AA132" s="110">
        <f>IF(OR(Y132="",V132=0),"",Y132/V132)</f>
        <v/>
      </c>
      <c r="AB132" s="111">
        <f>IF(AA132="","⚪",IF(AA132&gt;1.2,"🔴",IF(AA132&gt;1.1,"🟡","🟢")))</f>
        <v/>
      </c>
      <c r="AD132" s="105" t="n">
        <v>21288.75</v>
      </c>
      <c r="AE132" s="106" t="n">
        <v>1.5</v>
      </c>
      <c r="AF132" s="107" t="n"/>
      <c r="AG132" s="108">
        <f>IF(AF132="","",AE132*AF132)</f>
        <v/>
      </c>
      <c r="AH132" s="243">
        <f>IF(AG132="","",AD132-AG132)</f>
        <v/>
      </c>
      <c r="AI132" s="110">
        <f>IF(OR(AG132="",AD132=0),"",AG132/AD132)</f>
        <v/>
      </c>
      <c r="AJ132" s="111">
        <f>IF(AI132="","⚪",IF(AI132&gt;1.2,"🔴",IF(AI132&gt;1.1,"🟡","🟢")))</f>
        <v/>
      </c>
    </row>
    <row r="133" ht="14" customHeight="1" s="176">
      <c r="A133" s="103" t="inlineStr">
        <is>
          <t>El Molle</t>
        </is>
      </c>
      <c r="B133" s="104" t="inlineStr">
        <is>
          <t>orogrande 8,11 ha</t>
        </is>
      </c>
      <c r="C133" s="104" t="inlineStr">
        <is>
          <t>1- M.O. directa</t>
        </is>
      </c>
      <c r="D133" s="104" t="inlineStr">
        <is>
          <t>5- Control de malezas mecánico</t>
        </is>
      </c>
      <c r="E133" s="104" t="inlineStr">
        <is>
          <t>trato</t>
        </is>
      </c>
      <c r="F133" s="105" t="n">
        <v>54093.7</v>
      </c>
      <c r="G133" s="106" t="n">
        <v>100</v>
      </c>
      <c r="H133" s="107" t="n"/>
      <c r="I133" s="108">
        <f>IF(H133="","",G133*H133)</f>
        <v/>
      </c>
      <c r="J133" s="243">
        <f>IF(I133="","",F133-I133)</f>
        <v/>
      </c>
      <c r="K133" s="110">
        <f>IF(OR(I133="",F133=0),"",I133/F133)</f>
        <v/>
      </c>
      <c r="L133" s="111">
        <f>IF(K133="","⚪",IF(K133&gt;1.2,"🔴",IF(K133&gt;1.1,"🟡","🟢")))</f>
        <v/>
      </c>
      <c r="N133" s="105" t="n">
        <v>54093.7</v>
      </c>
      <c r="O133" s="106" t="n">
        <v>100</v>
      </c>
      <c r="P133" s="107" t="n"/>
      <c r="Q133" s="108">
        <f>IF(P133="","",O133*P133)</f>
        <v/>
      </c>
      <c r="R133" s="243">
        <f>IF(Q133="","",N133-Q133)</f>
        <v/>
      </c>
      <c r="S133" s="110">
        <f>IF(OR(Q133="",N133=0),"",Q133/N133)</f>
        <v/>
      </c>
      <c r="T133" s="111">
        <f>IF(S133="","⚪",IF(S133&gt;1.2,"🔴",IF(S133&gt;1.1,"🟡","🟢")))</f>
        <v/>
      </c>
      <c r="V133" s="105" t="n">
        <v>54093.7</v>
      </c>
      <c r="W133" s="106" t="n">
        <v>100</v>
      </c>
      <c r="X133" s="107" t="n"/>
      <c r="Y133" s="108">
        <f>IF(X133="","",W133*X133)</f>
        <v/>
      </c>
      <c r="Z133" s="243">
        <f>IF(Y133="","",V133-Y133)</f>
        <v/>
      </c>
      <c r="AA133" s="110">
        <f>IF(OR(Y133="",V133=0),"",Y133/V133)</f>
        <v/>
      </c>
      <c r="AB133" s="111">
        <f>IF(AA133="","⚪",IF(AA133&gt;1.2,"🔴",IF(AA133&gt;1.1,"🟡","🟢")))</f>
        <v/>
      </c>
      <c r="AD133" s="105" t="n">
        <v>54093.7</v>
      </c>
      <c r="AE133" s="106" t="n">
        <v>100</v>
      </c>
      <c r="AF133" s="107" t="n"/>
      <c r="AG133" s="108">
        <f>IF(AF133="","",AE133*AF133)</f>
        <v/>
      </c>
      <c r="AH133" s="243">
        <f>IF(AG133="","",AD133-AG133)</f>
        <v/>
      </c>
      <c r="AI133" s="110">
        <f>IF(OR(AG133="",AD133=0),"",AG133/AD133)</f>
        <v/>
      </c>
      <c r="AJ133" s="111">
        <f>IF(AI133="","⚪",IF(AI133&gt;1.2,"🔴",IF(AI133&gt;1.1,"🟡","🟢")))</f>
        <v/>
      </c>
    </row>
    <row r="134" ht="14" customHeight="1" s="176">
      <c r="A134" s="112" t="inlineStr">
        <is>
          <t>El Molle</t>
        </is>
      </c>
      <c r="B134" s="113" t="inlineStr">
        <is>
          <t>orogrande 8,11 ha</t>
        </is>
      </c>
      <c r="C134" s="113" t="inlineStr">
        <is>
          <t>1- M.O. directa</t>
        </is>
      </c>
      <c r="D134" s="113" t="inlineStr">
        <is>
          <t>6- Control de malezas químico</t>
        </is>
      </c>
      <c r="E134" s="113" t="inlineStr">
        <is>
          <t>día</t>
        </is>
      </c>
      <c r="F134" s="105" t="n">
        <v>88196.25</v>
      </c>
      <c r="G134" s="106" t="n">
        <v>43500</v>
      </c>
      <c r="H134" s="107" t="n"/>
      <c r="I134" s="108">
        <f>IF(H134="","",G134*H134)</f>
        <v/>
      </c>
      <c r="J134" s="243">
        <f>IF(I134="","",F134-I134)</f>
        <v/>
      </c>
      <c r="K134" s="110">
        <f>IF(OR(I134="",F134=0),"",I134/F134)</f>
        <v/>
      </c>
      <c r="L134" s="111">
        <f>IF(K134="","⚪",IF(K134&gt;1.2,"🔴",IF(K134&gt;1.1,"🟡","🟢")))</f>
        <v/>
      </c>
      <c r="N134" s="105" t="n">
        <v>88196.25</v>
      </c>
      <c r="O134" s="106" t="n">
        <v>43500</v>
      </c>
      <c r="P134" s="107" t="n"/>
      <c r="Q134" s="108">
        <f>IF(P134="","",O134*P134)</f>
        <v/>
      </c>
      <c r="R134" s="243">
        <f>IF(Q134="","",N134-Q134)</f>
        <v/>
      </c>
      <c r="S134" s="110">
        <f>IF(OR(Q134="",N134=0),"",Q134/N134)</f>
        <v/>
      </c>
      <c r="T134" s="111">
        <f>IF(S134="","⚪",IF(S134&gt;1.2,"🔴",IF(S134&gt;1.1,"🟡","🟢")))</f>
        <v/>
      </c>
      <c r="V134" s="105" t="n">
        <v>88196.25</v>
      </c>
      <c r="W134" s="106" t="n">
        <v>43500</v>
      </c>
      <c r="X134" s="107" t="n"/>
      <c r="Y134" s="108">
        <f>IF(X134="","",W134*X134)</f>
        <v/>
      </c>
      <c r="Z134" s="243">
        <f>IF(Y134="","",V134-Y134)</f>
        <v/>
      </c>
      <c r="AA134" s="110">
        <f>IF(OR(Y134="",V134=0),"",Y134/V134)</f>
        <v/>
      </c>
      <c r="AB134" s="111">
        <f>IF(AA134="","⚪",IF(AA134&gt;1.2,"🔴",IF(AA134&gt;1.1,"🟡","🟢")))</f>
        <v/>
      </c>
      <c r="AD134" s="105" t="n">
        <v>88196.25</v>
      </c>
      <c r="AE134" s="106" t="n">
        <v>43500</v>
      </c>
      <c r="AF134" s="107" t="n"/>
      <c r="AG134" s="108">
        <f>IF(AF134="","",AE134*AF134)</f>
        <v/>
      </c>
      <c r="AH134" s="243">
        <f>IF(AG134="","",AD134-AG134)</f>
        <v/>
      </c>
      <c r="AI134" s="110">
        <f>IF(OR(AG134="",AD134=0),"",AG134/AD134)</f>
        <v/>
      </c>
      <c r="AJ134" s="111">
        <f>IF(AI134="","⚪",IF(AI134&gt;1.2,"🔴",IF(AI134&gt;1.1,"🟡","🟢")))</f>
        <v/>
      </c>
    </row>
    <row r="135" ht="14" customHeight="1" s="176">
      <c r="A135" s="103" t="inlineStr">
        <is>
          <t>El Molle</t>
        </is>
      </c>
      <c r="B135" s="104" t="inlineStr">
        <is>
          <t>orogrande 8,11 ha</t>
        </is>
      </c>
      <c r="C135" s="104" t="inlineStr">
        <is>
          <t>1- M.O. directa</t>
        </is>
      </c>
      <c r="D135" s="104" t="inlineStr">
        <is>
          <t>7,1- TRACTORISTA</t>
        </is>
      </c>
      <c r="E135" s="104" t="inlineStr">
        <is>
          <t>día</t>
        </is>
      </c>
      <c r="F135" s="105" t="n">
        <v>156055.053</v>
      </c>
      <c r="G135" s="106" t="n">
        <v>38500</v>
      </c>
      <c r="H135" s="107" t="n"/>
      <c r="I135" s="108">
        <f>IF(H135="","",G135*H135)</f>
        <v/>
      </c>
      <c r="J135" s="243">
        <f>IF(I135="","",F135-I135)</f>
        <v/>
      </c>
      <c r="K135" s="110">
        <f>IF(OR(I135="",F135=0),"",I135/F135)</f>
        <v/>
      </c>
      <c r="L135" s="111">
        <f>IF(K135="","⚪",IF(K135&gt;1.2,"🔴",IF(K135&gt;1.1,"🟡","🟢")))</f>
        <v/>
      </c>
      <c r="N135" s="105" t="n">
        <v>156055.053</v>
      </c>
      <c r="O135" s="106" t="n">
        <v>38500</v>
      </c>
      <c r="P135" s="107" t="n"/>
      <c r="Q135" s="108">
        <f>IF(P135="","",O135*P135)</f>
        <v/>
      </c>
      <c r="R135" s="243">
        <f>IF(Q135="","",N135-Q135)</f>
        <v/>
      </c>
      <c r="S135" s="110">
        <f>IF(OR(Q135="",N135=0),"",Q135/N135)</f>
        <v/>
      </c>
      <c r="T135" s="111">
        <f>IF(S135="","⚪",IF(S135&gt;1.2,"🔴",IF(S135&gt;1.1,"🟡","🟢")))</f>
        <v/>
      </c>
      <c r="V135" s="105" t="n">
        <v>156055.053</v>
      </c>
      <c r="W135" s="106" t="n">
        <v>38500</v>
      </c>
      <c r="X135" s="107" t="n"/>
      <c r="Y135" s="108">
        <f>IF(X135="","",W135*X135)</f>
        <v/>
      </c>
      <c r="Z135" s="243">
        <f>IF(Y135="","",V135-Y135)</f>
        <v/>
      </c>
      <c r="AA135" s="110">
        <f>IF(OR(Y135="",V135=0),"",Y135/V135)</f>
        <v/>
      </c>
      <c r="AB135" s="111">
        <f>IF(AA135="","⚪",IF(AA135&gt;1.2,"🔴",IF(AA135&gt;1.1,"🟡","🟢")))</f>
        <v/>
      </c>
      <c r="AD135" s="105" t="n">
        <v>156055.053</v>
      </c>
      <c r="AE135" s="106" t="n">
        <v>38500</v>
      </c>
      <c r="AF135" s="107" t="n"/>
      <c r="AG135" s="108">
        <f>IF(AF135="","",AE135*AF135)</f>
        <v/>
      </c>
      <c r="AH135" s="243">
        <f>IF(AG135="","",AD135-AG135)</f>
        <v/>
      </c>
      <c r="AI135" s="110">
        <f>IF(OR(AG135="",AD135=0),"",AG135/AD135)</f>
        <v/>
      </c>
      <c r="AJ135" s="111">
        <f>IF(AI135="","⚪",IF(AI135&gt;1.2,"🔴",IF(AI135&gt;1.1,"🟡","🟢")))</f>
        <v/>
      </c>
    </row>
    <row r="136" ht="14" customHeight="1" s="176">
      <c r="A136" s="112" t="inlineStr">
        <is>
          <t>El Molle</t>
        </is>
      </c>
      <c r="B136" s="113" t="inlineStr">
        <is>
          <t>orogrande 8,11 ha</t>
        </is>
      </c>
      <c r="C136" s="113" t="inlineStr">
        <is>
          <t>1- M.O. directa</t>
        </is>
      </c>
      <c r="D136" s="113" t="inlineStr">
        <is>
          <t>7- Acordonar sarmiento</t>
        </is>
      </c>
      <c r="E136" s="113" t="inlineStr">
        <is>
          <t>trato</t>
        </is>
      </c>
      <c r="F136" s="105" t="n">
        <v>18932.795</v>
      </c>
      <c r="G136" s="106" t="n">
        <v>70</v>
      </c>
      <c r="H136" s="107" t="n"/>
      <c r="I136" s="108">
        <f>IF(H136="","",G136*H136)</f>
        <v/>
      </c>
      <c r="J136" s="243">
        <f>IF(I136="","",F136-I136)</f>
        <v/>
      </c>
      <c r="K136" s="110">
        <f>IF(OR(I136="",F136=0),"",I136/F136)</f>
        <v/>
      </c>
      <c r="L136" s="111">
        <f>IF(K136="","⚪",IF(K136&gt;1.2,"🔴",IF(K136&gt;1.1,"🟡","🟢")))</f>
        <v/>
      </c>
      <c r="N136" s="105" t="n">
        <v>18932.795</v>
      </c>
      <c r="O136" s="106" t="n">
        <v>70</v>
      </c>
      <c r="P136" s="107" t="n"/>
      <c r="Q136" s="108">
        <f>IF(P136="","",O136*P136)</f>
        <v/>
      </c>
      <c r="R136" s="243">
        <f>IF(Q136="","",N136-Q136)</f>
        <v/>
      </c>
      <c r="S136" s="110">
        <f>IF(OR(Q136="",N136=0),"",Q136/N136)</f>
        <v/>
      </c>
      <c r="T136" s="111">
        <f>IF(S136="","⚪",IF(S136&gt;1.2,"🔴",IF(S136&gt;1.1,"🟡","🟢")))</f>
        <v/>
      </c>
      <c r="V136" s="105" t="n">
        <v>18932.795</v>
      </c>
      <c r="W136" s="106" t="n">
        <v>70</v>
      </c>
      <c r="X136" s="107" t="n"/>
      <c r="Y136" s="108">
        <f>IF(X136="","",W136*X136)</f>
        <v/>
      </c>
      <c r="Z136" s="243">
        <f>IF(Y136="","",V136-Y136)</f>
        <v/>
      </c>
      <c r="AA136" s="110">
        <f>IF(OR(Y136="",V136=0),"",Y136/V136)</f>
        <v/>
      </c>
      <c r="AB136" s="111">
        <f>IF(AA136="","⚪",IF(AA136&gt;1.2,"🔴",IF(AA136&gt;1.1,"🟡","🟢")))</f>
        <v/>
      </c>
      <c r="AD136" s="105" t="n">
        <v>18932.795</v>
      </c>
      <c r="AE136" s="106" t="n">
        <v>70</v>
      </c>
      <c r="AF136" s="107" t="n"/>
      <c r="AG136" s="108">
        <f>IF(AF136="","",AE136*AF136)</f>
        <v/>
      </c>
      <c r="AH136" s="243">
        <f>IF(AG136="","",AD136-AG136)</f>
        <v/>
      </c>
      <c r="AI136" s="110">
        <f>IF(OR(AG136="",AD136=0),"",AG136/AD136)</f>
        <v/>
      </c>
      <c r="AJ136" s="111">
        <f>IF(AI136="","⚪",IF(AI136&gt;1.2,"🔴",IF(AI136&gt;1.1,"🟡","🟢")))</f>
        <v/>
      </c>
    </row>
    <row r="137" ht="14" customHeight="1" s="176">
      <c r="A137" s="103" t="inlineStr">
        <is>
          <t>El Molle</t>
        </is>
      </c>
      <c r="B137" s="104" t="inlineStr">
        <is>
          <t>orogrande 8,11 ha</t>
        </is>
      </c>
      <c r="C137" s="104" t="inlineStr">
        <is>
          <t>2- M.O. indirecta</t>
        </is>
      </c>
      <c r="D137" s="104" t="inlineStr">
        <is>
          <t xml:space="preserve">1- ADM. GENERAL </t>
        </is>
      </c>
      <c r="E137" s="104" t="inlineStr">
        <is>
          <t>día</t>
        </is>
      </c>
      <c r="F137" s="105" t="n">
        <v>269954.9748</v>
      </c>
      <c r="G137" s="106" t="n">
        <v>66600</v>
      </c>
      <c r="H137" s="107" t="n"/>
      <c r="I137" s="108">
        <f>IF(H137="","",G137*H137)</f>
        <v/>
      </c>
      <c r="J137" s="243">
        <f>IF(I137="","",F137-I137)</f>
        <v/>
      </c>
      <c r="K137" s="110">
        <f>IF(OR(I137="",F137=0),"",I137/F137)</f>
        <v/>
      </c>
      <c r="L137" s="111">
        <f>IF(K137="","⚪",IF(K137&gt;1.2,"🔴",IF(K137&gt;1.1,"🟡","🟢")))</f>
        <v/>
      </c>
      <c r="N137" s="105" t="n">
        <v>269954.9748</v>
      </c>
      <c r="O137" s="106" t="n">
        <v>66600</v>
      </c>
      <c r="P137" s="107" t="n"/>
      <c r="Q137" s="108">
        <f>IF(P137="","",O137*P137)</f>
        <v/>
      </c>
      <c r="R137" s="243">
        <f>IF(Q137="","",N137-Q137)</f>
        <v/>
      </c>
      <c r="S137" s="110">
        <f>IF(OR(Q137="",N137=0),"",Q137/N137)</f>
        <v/>
      </c>
      <c r="T137" s="111">
        <f>IF(S137="","⚪",IF(S137&gt;1.2,"🔴",IF(S137&gt;1.1,"🟡","🟢")))</f>
        <v/>
      </c>
      <c r="V137" s="105" t="n">
        <v>269954.9748</v>
      </c>
      <c r="W137" s="106" t="n">
        <v>66600</v>
      </c>
      <c r="X137" s="107" t="n"/>
      <c r="Y137" s="108">
        <f>IF(X137="","",W137*X137)</f>
        <v/>
      </c>
      <c r="Z137" s="243">
        <f>IF(Y137="","",V137-Y137)</f>
        <v/>
      </c>
      <c r="AA137" s="110">
        <f>IF(OR(Y137="",V137=0),"",Y137/V137)</f>
        <v/>
      </c>
      <c r="AB137" s="111">
        <f>IF(AA137="","⚪",IF(AA137&gt;1.2,"🔴",IF(AA137&gt;1.1,"🟡","🟢")))</f>
        <v/>
      </c>
      <c r="AD137" s="105" t="n">
        <v>269954.9748</v>
      </c>
      <c r="AE137" s="106" t="n">
        <v>66600</v>
      </c>
      <c r="AF137" s="107" t="n"/>
      <c r="AG137" s="108">
        <f>IF(AF137="","",AE137*AF137)</f>
        <v/>
      </c>
      <c r="AH137" s="243">
        <f>IF(AG137="","",AD137-AG137)</f>
        <v/>
      </c>
      <c r="AI137" s="110">
        <f>IF(OR(AG137="",AD137=0),"",AG137/AD137)</f>
        <v/>
      </c>
      <c r="AJ137" s="111">
        <f>IF(AI137="","⚪",IF(AI137&gt;1.2,"🔴",IF(AI137&gt;1.1,"🟡","🟢")))</f>
        <v/>
      </c>
    </row>
    <row r="138" ht="14" customHeight="1" s="176">
      <c r="A138" s="112" t="inlineStr">
        <is>
          <t>El Molle</t>
        </is>
      </c>
      <c r="B138" s="113" t="inlineStr">
        <is>
          <t>orogrande 8,11 ha</t>
        </is>
      </c>
      <c r="C138" s="113" t="inlineStr">
        <is>
          <t>2- M.O. indirecta</t>
        </is>
      </c>
      <c r="D138" s="113" t="inlineStr">
        <is>
          <t>2,1- JEFE DE CAMPO</t>
        </is>
      </c>
      <c r="E138" s="113" t="inlineStr">
        <is>
          <t>día</t>
        </is>
      </c>
      <c r="F138" s="105" t="n">
        <v>210674.32155</v>
      </c>
      <c r="G138" s="106" t="n">
        <v>51975</v>
      </c>
      <c r="H138" s="107" t="n"/>
      <c r="I138" s="108">
        <f>IF(H138="","",G138*H138)</f>
        <v/>
      </c>
      <c r="J138" s="243">
        <f>IF(I138="","",F138-I138)</f>
        <v/>
      </c>
      <c r="K138" s="110">
        <f>IF(OR(I138="",F138=0),"",I138/F138)</f>
        <v/>
      </c>
      <c r="L138" s="111">
        <f>IF(K138="","⚪",IF(K138&gt;1.2,"🔴",IF(K138&gt;1.1,"🟡","🟢")))</f>
        <v/>
      </c>
      <c r="N138" s="105" t="n">
        <v>210674.32155</v>
      </c>
      <c r="O138" s="106" t="n">
        <v>51975</v>
      </c>
      <c r="P138" s="107" t="n"/>
      <c r="Q138" s="108">
        <f>IF(P138="","",O138*P138)</f>
        <v/>
      </c>
      <c r="R138" s="243">
        <f>IF(Q138="","",N138-Q138)</f>
        <v/>
      </c>
      <c r="S138" s="110">
        <f>IF(OR(Q138="",N138=0),"",Q138/N138)</f>
        <v/>
      </c>
      <c r="T138" s="111">
        <f>IF(S138="","⚪",IF(S138&gt;1.2,"🔴",IF(S138&gt;1.1,"🟡","🟢")))</f>
        <v/>
      </c>
      <c r="V138" s="105" t="n">
        <v>210674.32155</v>
      </c>
      <c r="W138" s="106" t="n">
        <v>51975</v>
      </c>
      <c r="X138" s="107" t="n"/>
      <c r="Y138" s="108">
        <f>IF(X138="","",W138*X138)</f>
        <v/>
      </c>
      <c r="Z138" s="243">
        <f>IF(Y138="","",V138-Y138)</f>
        <v/>
      </c>
      <c r="AA138" s="110">
        <f>IF(OR(Y138="",V138=0),"",Y138/V138)</f>
        <v/>
      </c>
      <c r="AB138" s="111">
        <f>IF(AA138="","⚪",IF(AA138&gt;1.2,"🔴",IF(AA138&gt;1.1,"🟡","🟢")))</f>
        <v/>
      </c>
      <c r="AD138" s="105" t="n">
        <v>210674.32155</v>
      </c>
      <c r="AE138" s="106" t="n">
        <v>51975</v>
      </c>
      <c r="AF138" s="107" t="n"/>
      <c r="AG138" s="108">
        <f>IF(AF138="","",AE138*AF138)</f>
        <v/>
      </c>
      <c r="AH138" s="243">
        <f>IF(AG138="","",AD138-AG138)</f>
        <v/>
      </c>
      <c r="AI138" s="110">
        <f>IF(OR(AG138="",AD138=0),"",AG138/AD138)</f>
        <v/>
      </c>
      <c r="AJ138" s="111">
        <f>IF(AI138="","⚪",IF(AI138&gt;1.2,"🔴",IF(AI138&gt;1.1,"🟡","🟢")))</f>
        <v/>
      </c>
    </row>
    <row r="139" ht="14" customHeight="1" s="176">
      <c r="A139" s="103" t="inlineStr">
        <is>
          <t>El Molle</t>
        </is>
      </c>
      <c r="B139" s="104" t="inlineStr">
        <is>
          <t>orogrande 8,11 ha</t>
        </is>
      </c>
      <c r="C139" s="104" t="inlineStr">
        <is>
          <t>2- M.O. indirecta</t>
        </is>
      </c>
      <c r="D139" s="104" t="inlineStr">
        <is>
          <t>2- ADMINISTRACION</t>
        </is>
      </c>
      <c r="E139" s="104" t="inlineStr">
        <is>
          <t>día</t>
        </is>
      </c>
      <c r="F139" s="105" t="n">
        <v>32832.3618</v>
      </c>
      <c r="G139" s="106" t="n">
        <v>8100</v>
      </c>
      <c r="H139" s="107" t="n"/>
      <c r="I139" s="108">
        <f>IF(H139="","",G139*H139)</f>
        <v/>
      </c>
      <c r="J139" s="243">
        <f>IF(I139="","",F139-I139)</f>
        <v/>
      </c>
      <c r="K139" s="110">
        <f>IF(OR(I139="",F139=0),"",I139/F139)</f>
        <v/>
      </c>
      <c r="L139" s="111">
        <f>IF(K139="","⚪",IF(K139&gt;1.2,"🔴",IF(K139&gt;1.1,"🟡","🟢")))</f>
        <v/>
      </c>
      <c r="N139" s="105" t="n">
        <v>32832.3618</v>
      </c>
      <c r="O139" s="106" t="n">
        <v>8100</v>
      </c>
      <c r="P139" s="107" t="n"/>
      <c r="Q139" s="108">
        <f>IF(P139="","",O139*P139)</f>
        <v/>
      </c>
      <c r="R139" s="243">
        <f>IF(Q139="","",N139-Q139)</f>
        <v/>
      </c>
      <c r="S139" s="110">
        <f>IF(OR(Q139="",N139=0),"",Q139/N139)</f>
        <v/>
      </c>
      <c r="T139" s="111">
        <f>IF(S139="","⚪",IF(S139&gt;1.2,"🔴",IF(S139&gt;1.1,"🟡","🟢")))</f>
        <v/>
      </c>
      <c r="V139" s="105" t="n">
        <v>32832.3618</v>
      </c>
      <c r="W139" s="106" t="n">
        <v>8100</v>
      </c>
      <c r="X139" s="107" t="n"/>
      <c r="Y139" s="108">
        <f>IF(X139="","",W139*X139)</f>
        <v/>
      </c>
      <c r="Z139" s="243">
        <f>IF(Y139="","",V139-Y139)</f>
        <v/>
      </c>
      <c r="AA139" s="110">
        <f>IF(OR(Y139="",V139=0),"",Y139/V139)</f>
        <v/>
      </c>
      <c r="AB139" s="111">
        <f>IF(AA139="","⚪",IF(AA139&gt;1.2,"🔴",IF(AA139&gt;1.1,"🟡","🟢")))</f>
        <v/>
      </c>
      <c r="AD139" s="105" t="n">
        <v>32832.3618</v>
      </c>
      <c r="AE139" s="106" t="n">
        <v>8100</v>
      </c>
      <c r="AF139" s="107" t="n"/>
      <c r="AG139" s="108">
        <f>IF(AF139="","",AE139*AF139)</f>
        <v/>
      </c>
      <c r="AH139" s="243">
        <f>IF(AG139="","",AD139-AG139)</f>
        <v/>
      </c>
      <c r="AI139" s="110">
        <f>IF(OR(AG139="",AD139=0),"",AG139/AD139)</f>
        <v/>
      </c>
      <c r="AJ139" s="111">
        <f>IF(AI139="","⚪",IF(AI139&gt;1.2,"🔴",IF(AI139&gt;1.1,"🟡","🟢")))</f>
        <v/>
      </c>
    </row>
    <row r="140" ht="14" customHeight="1" s="176">
      <c r="A140" s="112" t="inlineStr">
        <is>
          <t>El Molle</t>
        </is>
      </c>
      <c r="B140" s="113" t="inlineStr">
        <is>
          <t>orogrande 8,11 ha</t>
        </is>
      </c>
      <c r="C140" s="113" t="inlineStr">
        <is>
          <t>2- M.O. indirecta</t>
        </is>
      </c>
      <c r="D140" s="113" t="inlineStr">
        <is>
          <t>3,1-  ENCARGADO DE RIEGO</t>
        </is>
      </c>
      <c r="E140" s="113" t="inlineStr">
        <is>
          <t>día</t>
        </is>
      </c>
      <c r="F140" s="105" t="n">
        <v>208454.0837505</v>
      </c>
      <c r="G140" s="106" t="n">
        <v>51427.25</v>
      </c>
      <c r="H140" s="107" t="n"/>
      <c r="I140" s="108">
        <f>IF(H140="","",G140*H140)</f>
        <v/>
      </c>
      <c r="J140" s="243">
        <f>IF(I140="","",F140-I140)</f>
        <v/>
      </c>
      <c r="K140" s="110">
        <f>IF(OR(I140="",F140=0),"",I140/F140)</f>
        <v/>
      </c>
      <c r="L140" s="111">
        <f>IF(K140="","⚪",IF(K140&gt;1.2,"🔴",IF(K140&gt;1.1,"🟡","🟢")))</f>
        <v/>
      </c>
      <c r="N140" s="105" t="n">
        <v>208454.0837505</v>
      </c>
      <c r="O140" s="106" t="n">
        <v>51427.25</v>
      </c>
      <c r="P140" s="107" t="n"/>
      <c r="Q140" s="108">
        <f>IF(P140="","",O140*P140)</f>
        <v/>
      </c>
      <c r="R140" s="243">
        <f>IF(Q140="","",N140-Q140)</f>
        <v/>
      </c>
      <c r="S140" s="110">
        <f>IF(OR(Q140="",N140=0),"",Q140/N140)</f>
        <v/>
      </c>
      <c r="T140" s="111">
        <f>IF(S140="","⚪",IF(S140&gt;1.2,"🔴",IF(S140&gt;1.1,"🟡","🟢")))</f>
        <v/>
      </c>
      <c r="V140" s="105" t="n">
        <v>208454.0837505</v>
      </c>
      <c r="W140" s="106" t="n">
        <v>51427.25</v>
      </c>
      <c r="X140" s="107" t="n"/>
      <c r="Y140" s="108">
        <f>IF(X140="","",W140*X140)</f>
        <v/>
      </c>
      <c r="Z140" s="243">
        <f>IF(Y140="","",V140-Y140)</f>
        <v/>
      </c>
      <c r="AA140" s="110">
        <f>IF(OR(Y140="",V140=0),"",Y140/V140)</f>
        <v/>
      </c>
      <c r="AB140" s="111">
        <f>IF(AA140="","⚪",IF(AA140&gt;1.2,"🔴",IF(AA140&gt;1.1,"🟡","🟢")))</f>
        <v/>
      </c>
      <c r="AD140" s="105" t="n">
        <v>208454.0837505</v>
      </c>
      <c r="AE140" s="106" t="n">
        <v>51427.25</v>
      </c>
      <c r="AF140" s="107" t="n"/>
      <c r="AG140" s="108">
        <f>IF(AF140="","",AE140*AF140)</f>
        <v/>
      </c>
      <c r="AH140" s="243">
        <f>IF(AG140="","",AD140-AG140)</f>
        <v/>
      </c>
      <c r="AI140" s="110">
        <f>IF(OR(AG140="",AD140=0),"",AG140/AD140)</f>
        <v/>
      </c>
      <c r="AJ140" s="111">
        <f>IF(AI140="","⚪",IF(AI140&gt;1.2,"🔴",IF(AI140&gt;1.1,"🟡","🟢")))</f>
        <v/>
      </c>
    </row>
    <row r="141" ht="14" customHeight="1" s="176">
      <c r="A141" s="103" t="inlineStr">
        <is>
          <t>El Molle</t>
        </is>
      </c>
      <c r="B141" s="104" t="inlineStr">
        <is>
          <t>orogrande 8,11 ha</t>
        </is>
      </c>
      <c r="C141" s="104" t="inlineStr">
        <is>
          <t>2- M.O. indirecta</t>
        </is>
      </c>
      <c r="D141" s="104" t="inlineStr">
        <is>
          <t>3- ADQUIS. Y BODEGA</t>
        </is>
      </c>
      <c r="E141" s="104" t="inlineStr">
        <is>
          <t>día</t>
        </is>
      </c>
      <c r="F141" s="105" t="n">
        <v>32832.3618</v>
      </c>
      <c r="G141" s="106" t="n">
        <v>8100</v>
      </c>
      <c r="H141" s="107" t="n"/>
      <c r="I141" s="108">
        <f>IF(H141="","",G141*H141)</f>
        <v/>
      </c>
      <c r="J141" s="243">
        <f>IF(I141="","",F141-I141)</f>
        <v/>
      </c>
      <c r="K141" s="110">
        <f>IF(OR(I141="",F141=0),"",I141/F141)</f>
        <v/>
      </c>
      <c r="L141" s="111">
        <f>IF(K141="","⚪",IF(K141&gt;1.2,"🔴",IF(K141&gt;1.1,"🟡","🟢")))</f>
        <v/>
      </c>
      <c r="N141" s="105" t="n">
        <v>32832.3618</v>
      </c>
      <c r="O141" s="106" t="n">
        <v>8100</v>
      </c>
      <c r="P141" s="107" t="n"/>
      <c r="Q141" s="108">
        <f>IF(P141="","",O141*P141)</f>
        <v/>
      </c>
      <c r="R141" s="243">
        <f>IF(Q141="","",N141-Q141)</f>
        <v/>
      </c>
      <c r="S141" s="110">
        <f>IF(OR(Q141="",N141=0),"",Q141/N141)</f>
        <v/>
      </c>
      <c r="T141" s="111">
        <f>IF(S141="","⚪",IF(S141&gt;1.2,"🔴",IF(S141&gt;1.1,"🟡","🟢")))</f>
        <v/>
      </c>
      <c r="V141" s="105" t="n">
        <v>32832.3618</v>
      </c>
      <c r="W141" s="106" t="n">
        <v>8100</v>
      </c>
      <c r="X141" s="107" t="n"/>
      <c r="Y141" s="108">
        <f>IF(X141="","",W141*X141)</f>
        <v/>
      </c>
      <c r="Z141" s="243">
        <f>IF(Y141="","",V141-Y141)</f>
        <v/>
      </c>
      <c r="AA141" s="110">
        <f>IF(OR(Y141="",V141=0),"",Y141/V141)</f>
        <v/>
      </c>
      <c r="AB141" s="111">
        <f>IF(AA141="","⚪",IF(AA141&gt;1.2,"🔴",IF(AA141&gt;1.1,"🟡","🟢")))</f>
        <v/>
      </c>
      <c r="AD141" s="105" t="n">
        <v>32832.3618</v>
      </c>
      <c r="AE141" s="106" t="n">
        <v>8100</v>
      </c>
      <c r="AF141" s="107" t="n"/>
      <c r="AG141" s="108">
        <f>IF(AF141="","",AE141*AF141)</f>
        <v/>
      </c>
      <c r="AH141" s="243">
        <f>IF(AG141="","",AD141-AG141)</f>
        <v/>
      </c>
      <c r="AI141" s="110">
        <f>IF(OR(AG141="",AD141=0),"",AG141/AD141)</f>
        <v/>
      </c>
      <c r="AJ141" s="111">
        <f>IF(AI141="","⚪",IF(AI141&gt;1.2,"🔴",IF(AI141&gt;1.1,"🟡","🟢")))</f>
        <v/>
      </c>
    </row>
    <row r="142" ht="14" customHeight="1" s="176">
      <c r="A142" s="112" t="inlineStr">
        <is>
          <t>El Molle</t>
        </is>
      </c>
      <c r="B142" s="113" t="inlineStr">
        <is>
          <t>orogrande 8,11 ha</t>
        </is>
      </c>
      <c r="C142" s="113" t="inlineStr">
        <is>
          <t>2- M.O. indirecta</t>
        </is>
      </c>
      <c r="D142" s="113" t="inlineStr">
        <is>
          <t>4,1- ENCARGADO MANTENCIONES</t>
        </is>
      </c>
      <c r="E142" s="113" t="inlineStr">
        <is>
          <t>día</t>
        </is>
      </c>
      <c r="F142" s="105" t="n">
        <v>44587.158</v>
      </c>
      <c r="G142" s="106" t="n">
        <v>11000</v>
      </c>
      <c r="H142" s="107" t="n"/>
      <c r="I142" s="108">
        <f>IF(H142="","",G142*H142)</f>
        <v/>
      </c>
      <c r="J142" s="243">
        <f>IF(I142="","",F142-I142)</f>
        <v/>
      </c>
      <c r="K142" s="110">
        <f>IF(OR(I142="",F142=0),"",I142/F142)</f>
        <v/>
      </c>
      <c r="L142" s="111">
        <f>IF(K142="","⚪",IF(K142&gt;1.2,"🔴",IF(K142&gt;1.1,"🟡","🟢")))</f>
        <v/>
      </c>
      <c r="N142" s="105" t="n">
        <v>44587.158</v>
      </c>
      <c r="O142" s="106" t="n">
        <v>11000</v>
      </c>
      <c r="P142" s="107" t="n"/>
      <c r="Q142" s="108">
        <f>IF(P142="","",O142*P142)</f>
        <v/>
      </c>
      <c r="R142" s="243">
        <f>IF(Q142="","",N142-Q142)</f>
        <v/>
      </c>
      <c r="S142" s="110">
        <f>IF(OR(Q142="",N142=0),"",Q142/N142)</f>
        <v/>
      </c>
      <c r="T142" s="111">
        <f>IF(S142="","⚪",IF(S142&gt;1.2,"🔴",IF(S142&gt;1.1,"🟡","🟢")))</f>
        <v/>
      </c>
      <c r="V142" s="105" t="n">
        <v>44587.158</v>
      </c>
      <c r="W142" s="106" t="n">
        <v>11000</v>
      </c>
      <c r="X142" s="107" t="n"/>
      <c r="Y142" s="108">
        <f>IF(X142="","",W142*X142)</f>
        <v/>
      </c>
      <c r="Z142" s="243">
        <f>IF(Y142="","",V142-Y142)</f>
        <v/>
      </c>
      <c r="AA142" s="110">
        <f>IF(OR(Y142="",V142=0),"",Y142/V142)</f>
        <v/>
      </c>
      <c r="AB142" s="111">
        <f>IF(AA142="","⚪",IF(AA142&gt;1.2,"🔴",IF(AA142&gt;1.1,"🟡","🟢")))</f>
        <v/>
      </c>
      <c r="AD142" s="105" t="n">
        <v>44587.158</v>
      </c>
      <c r="AE142" s="106" t="n">
        <v>11000</v>
      </c>
      <c r="AF142" s="107" t="n"/>
      <c r="AG142" s="108">
        <f>IF(AF142="","",AE142*AF142)</f>
        <v/>
      </c>
      <c r="AH142" s="243">
        <f>IF(AG142="","",AD142-AG142)</f>
        <v/>
      </c>
      <c r="AI142" s="110">
        <f>IF(OR(AG142="",AD142=0),"",AG142/AD142)</f>
        <v/>
      </c>
      <c r="AJ142" s="111">
        <f>IF(AI142="","⚪",IF(AI142&gt;1.2,"🔴",IF(AI142&gt;1.1,"🟡","🟢")))</f>
        <v/>
      </c>
    </row>
    <row r="143" ht="14" customHeight="1" s="176">
      <c r="A143" s="103" t="inlineStr">
        <is>
          <t>El Molle</t>
        </is>
      </c>
      <c r="B143" s="104" t="inlineStr">
        <is>
          <t>orogrande 8,11 ha</t>
        </is>
      </c>
      <c r="C143" s="104" t="inlineStr">
        <is>
          <t>2- M.O. indirecta</t>
        </is>
      </c>
      <c r="D143" s="104" t="inlineStr">
        <is>
          <t>4- CERTIFICACIONES</t>
        </is>
      </c>
      <c r="E143" s="104" t="inlineStr">
        <is>
          <t>día</t>
        </is>
      </c>
      <c r="F143" s="105" t="n">
        <v>26203.3998625</v>
      </c>
      <c r="G143" s="106" t="n">
        <v>6464.58333333333</v>
      </c>
      <c r="H143" s="107" t="n"/>
      <c r="I143" s="108">
        <f>IF(H143="","",G143*H143)</f>
        <v/>
      </c>
      <c r="J143" s="243">
        <f>IF(I143="","",F143-I143)</f>
        <v/>
      </c>
      <c r="K143" s="110">
        <f>IF(OR(I143="",F143=0),"",I143/F143)</f>
        <v/>
      </c>
      <c r="L143" s="111">
        <f>IF(K143="","⚪",IF(K143&gt;1.2,"🔴",IF(K143&gt;1.1,"🟡","🟢")))</f>
        <v/>
      </c>
      <c r="N143" s="105" t="n">
        <v>26203.3998625</v>
      </c>
      <c r="O143" s="106" t="n">
        <v>6464.58333333333</v>
      </c>
      <c r="P143" s="107" t="n"/>
      <c r="Q143" s="108">
        <f>IF(P143="","",O143*P143)</f>
        <v/>
      </c>
      <c r="R143" s="243">
        <f>IF(Q143="","",N143-Q143)</f>
        <v/>
      </c>
      <c r="S143" s="110">
        <f>IF(OR(Q143="",N143=0),"",Q143/N143)</f>
        <v/>
      </c>
      <c r="T143" s="111">
        <f>IF(S143="","⚪",IF(S143&gt;1.2,"🔴",IF(S143&gt;1.1,"🟡","🟢")))</f>
        <v/>
      </c>
      <c r="V143" s="105" t="n">
        <v>26203.3998625</v>
      </c>
      <c r="W143" s="106" t="n">
        <v>6464.58333333333</v>
      </c>
      <c r="X143" s="107" t="n"/>
      <c r="Y143" s="108">
        <f>IF(X143="","",W143*X143)</f>
        <v/>
      </c>
      <c r="Z143" s="243">
        <f>IF(Y143="","",V143-Y143)</f>
        <v/>
      </c>
      <c r="AA143" s="110">
        <f>IF(OR(Y143="",V143=0),"",Y143/V143)</f>
        <v/>
      </c>
      <c r="AB143" s="111">
        <f>IF(AA143="","⚪",IF(AA143&gt;1.2,"🔴",IF(AA143&gt;1.1,"🟡","🟢")))</f>
        <v/>
      </c>
      <c r="AD143" s="105" t="n">
        <v>26203.3998625</v>
      </c>
      <c r="AE143" s="106" t="n">
        <v>6464.58333333333</v>
      </c>
      <c r="AF143" s="107" t="n"/>
      <c r="AG143" s="108">
        <f>IF(AF143="","",AE143*AF143)</f>
        <v/>
      </c>
      <c r="AH143" s="243">
        <f>IF(AG143="","",AD143-AG143)</f>
        <v/>
      </c>
      <c r="AI143" s="110">
        <f>IF(OR(AG143="",AD143=0),"",AG143/AD143)</f>
        <v/>
      </c>
      <c r="AJ143" s="111">
        <f>IF(AI143="","⚪",IF(AI143&gt;1.2,"🔴",IF(AI143&gt;1.1,"🟡","🟢")))</f>
        <v/>
      </c>
    </row>
    <row r="144" ht="14" customHeight="1" s="176">
      <c r="A144" s="112" t="inlineStr">
        <is>
          <t>El Molle</t>
        </is>
      </c>
      <c r="B144" s="113" t="inlineStr">
        <is>
          <t>orogrande 8,11 ha</t>
        </is>
      </c>
      <c r="C144" s="113" t="inlineStr">
        <is>
          <t>2- M.O. indirecta</t>
        </is>
      </c>
      <c r="D144" s="113" t="inlineStr">
        <is>
          <t>5,1- SUPERVISOR</t>
        </is>
      </c>
      <c r="E144" s="113" t="inlineStr">
        <is>
          <t>día</t>
        </is>
      </c>
      <c r="F144" s="105" t="n">
        <v>160209.76545</v>
      </c>
      <c r="G144" s="106" t="n">
        <v>39525</v>
      </c>
      <c r="H144" s="107" t="n"/>
      <c r="I144" s="108">
        <f>IF(H144="","",G144*H144)</f>
        <v/>
      </c>
      <c r="J144" s="243">
        <f>IF(I144="","",F144-I144)</f>
        <v/>
      </c>
      <c r="K144" s="110">
        <f>IF(OR(I144="",F144=0),"",I144/F144)</f>
        <v/>
      </c>
      <c r="L144" s="111">
        <f>IF(K144="","⚪",IF(K144&gt;1.2,"🔴",IF(K144&gt;1.1,"🟡","🟢")))</f>
        <v/>
      </c>
      <c r="N144" s="105" t="n">
        <v>160209.76545</v>
      </c>
      <c r="O144" s="106" t="n">
        <v>39525</v>
      </c>
      <c r="P144" s="107" t="n"/>
      <c r="Q144" s="108">
        <f>IF(P144="","",O144*P144)</f>
        <v/>
      </c>
      <c r="R144" s="243">
        <f>IF(Q144="","",N144-Q144)</f>
        <v/>
      </c>
      <c r="S144" s="110">
        <f>IF(OR(Q144="",N144=0),"",Q144/N144)</f>
        <v/>
      </c>
      <c r="T144" s="111">
        <f>IF(S144="","⚪",IF(S144&gt;1.2,"🔴",IF(S144&gt;1.1,"🟡","🟢")))</f>
        <v/>
      </c>
      <c r="V144" s="105" t="n">
        <v>160209.76545</v>
      </c>
      <c r="W144" s="106" t="n">
        <v>39525</v>
      </c>
      <c r="X144" s="107" t="n"/>
      <c r="Y144" s="108">
        <f>IF(X144="","",W144*X144)</f>
        <v/>
      </c>
      <c r="Z144" s="243">
        <f>IF(Y144="","",V144-Y144)</f>
        <v/>
      </c>
      <c r="AA144" s="110">
        <f>IF(OR(Y144="",V144=0),"",Y144/V144)</f>
        <v/>
      </c>
      <c r="AB144" s="111">
        <f>IF(AA144="","⚪",IF(AA144&gt;1.2,"🔴",IF(AA144&gt;1.1,"🟡","🟢")))</f>
        <v/>
      </c>
      <c r="AD144" s="105" t="n">
        <v>160209.76545</v>
      </c>
      <c r="AE144" s="106" t="n">
        <v>39525</v>
      </c>
      <c r="AF144" s="107" t="n"/>
      <c r="AG144" s="108">
        <f>IF(AF144="","",AE144*AF144)</f>
        <v/>
      </c>
      <c r="AH144" s="243">
        <f>IF(AG144="","",AD144-AG144)</f>
        <v/>
      </c>
      <c r="AI144" s="110">
        <f>IF(OR(AG144="",AD144=0),"",AG144/AD144)</f>
        <v/>
      </c>
      <c r="AJ144" s="111">
        <f>IF(AI144="","⚪",IF(AI144&gt;1.2,"🔴",IF(AI144&gt;1.1,"🟡","🟢")))</f>
        <v/>
      </c>
    </row>
    <row r="145" ht="14" customHeight="1" s="176">
      <c r="A145" s="103" t="inlineStr">
        <is>
          <t>El Molle</t>
        </is>
      </c>
      <c r="B145" s="104" t="inlineStr">
        <is>
          <t>orogrande 8,11 ha</t>
        </is>
      </c>
      <c r="C145" s="104" t="inlineStr">
        <is>
          <t>2- M.O. indirecta</t>
        </is>
      </c>
      <c r="D145" s="104" t="inlineStr">
        <is>
          <t>5- PREVEN. DE RIESGO</t>
        </is>
      </c>
      <c r="E145" s="104" t="inlineStr">
        <is>
          <t>día</t>
        </is>
      </c>
      <c r="F145" s="105" t="n">
        <v>6384.07035</v>
      </c>
      <c r="G145" s="106" t="n">
        <v>1575</v>
      </c>
      <c r="H145" s="107" t="n"/>
      <c r="I145" s="108">
        <f>IF(H145="","",G145*H145)</f>
        <v/>
      </c>
      <c r="J145" s="243">
        <f>IF(I145="","",F145-I145)</f>
        <v/>
      </c>
      <c r="K145" s="110">
        <f>IF(OR(I145="",F145=0),"",I145/F145)</f>
        <v/>
      </c>
      <c r="L145" s="111">
        <f>IF(K145="","⚪",IF(K145&gt;1.2,"🔴",IF(K145&gt;1.1,"🟡","🟢")))</f>
        <v/>
      </c>
      <c r="N145" s="105" t="n">
        <v>6384.07035</v>
      </c>
      <c r="O145" s="106" t="n">
        <v>1575</v>
      </c>
      <c r="P145" s="107" t="n"/>
      <c r="Q145" s="108">
        <f>IF(P145="","",O145*P145)</f>
        <v/>
      </c>
      <c r="R145" s="243">
        <f>IF(Q145="","",N145-Q145)</f>
        <v/>
      </c>
      <c r="S145" s="110">
        <f>IF(OR(Q145="",N145=0),"",Q145/N145)</f>
        <v/>
      </c>
      <c r="T145" s="111">
        <f>IF(S145="","⚪",IF(S145&gt;1.2,"🔴",IF(S145&gt;1.1,"🟡","🟢")))</f>
        <v/>
      </c>
      <c r="V145" s="105" t="n">
        <v>6384.07035</v>
      </c>
      <c r="W145" s="106" t="n">
        <v>1575</v>
      </c>
      <c r="X145" s="107" t="n"/>
      <c r="Y145" s="108">
        <f>IF(X145="","",W145*X145)</f>
        <v/>
      </c>
      <c r="Z145" s="243">
        <f>IF(Y145="","",V145-Y145)</f>
        <v/>
      </c>
      <c r="AA145" s="110">
        <f>IF(OR(Y145="",V145=0),"",Y145/V145)</f>
        <v/>
      </c>
      <c r="AB145" s="111">
        <f>IF(AA145="","⚪",IF(AA145&gt;1.2,"🔴",IF(AA145&gt;1.1,"🟡","🟢")))</f>
        <v/>
      </c>
      <c r="AD145" s="105" t="n">
        <v>6384.07035</v>
      </c>
      <c r="AE145" s="106" t="n">
        <v>1575</v>
      </c>
      <c r="AF145" s="107" t="n"/>
      <c r="AG145" s="108">
        <f>IF(AF145="","",AE145*AF145)</f>
        <v/>
      </c>
      <c r="AH145" s="243">
        <f>IF(AG145="","",AD145-AG145)</f>
        <v/>
      </c>
      <c r="AI145" s="110">
        <f>IF(OR(AG145="",AD145=0),"",AG145/AD145)</f>
        <v/>
      </c>
      <c r="AJ145" s="111">
        <f>IF(AI145="","⚪",IF(AI145&gt;1.2,"🔴",IF(AI145&gt;1.1,"🟡","🟢")))</f>
        <v/>
      </c>
    </row>
    <row r="146" ht="14" customHeight="1" s="176">
      <c r="A146" s="112" t="inlineStr">
        <is>
          <t>El Molle</t>
        </is>
      </c>
      <c r="B146" s="113" t="inlineStr">
        <is>
          <t>orogrande 8,11 ha</t>
        </is>
      </c>
      <c r="C146" s="113" t="inlineStr">
        <is>
          <t>2- M.O. indirecta</t>
        </is>
      </c>
      <c r="D146" s="113" t="inlineStr">
        <is>
          <t>9,1- RONDIN FUNDO</t>
        </is>
      </c>
      <c r="E146" s="113" t="inlineStr">
        <is>
          <t>día</t>
        </is>
      </c>
      <c r="F146" s="105" t="n">
        <v>19242.3</v>
      </c>
      <c r="G146" s="106" t="n">
        <v>38500</v>
      </c>
      <c r="H146" s="107" t="n"/>
      <c r="I146" s="108">
        <f>IF(H146="","",G146*H146)</f>
        <v/>
      </c>
      <c r="J146" s="243">
        <f>IF(I146="","",F146-I146)</f>
        <v/>
      </c>
      <c r="K146" s="110">
        <f>IF(OR(I146="",F146=0),"",I146/F146)</f>
        <v/>
      </c>
      <c r="L146" s="111">
        <f>IF(K146="","⚪",IF(K146&gt;1.2,"🔴",IF(K146&gt;1.1,"🟡","🟢")))</f>
        <v/>
      </c>
      <c r="N146" s="105" t="n">
        <v>19242.3</v>
      </c>
      <c r="O146" s="106" t="n">
        <v>38500</v>
      </c>
      <c r="P146" s="107" t="n"/>
      <c r="Q146" s="108">
        <f>IF(P146="","",O146*P146)</f>
        <v/>
      </c>
      <c r="R146" s="243">
        <f>IF(Q146="","",N146-Q146)</f>
        <v/>
      </c>
      <c r="S146" s="110">
        <f>IF(OR(Q146="",N146=0),"",Q146/N146)</f>
        <v/>
      </c>
      <c r="T146" s="111">
        <f>IF(S146="","⚪",IF(S146&gt;1.2,"🔴",IF(S146&gt;1.1,"🟡","🟢")))</f>
        <v/>
      </c>
      <c r="V146" s="105" t="n">
        <v>19242.3</v>
      </c>
      <c r="W146" s="106" t="n">
        <v>38500</v>
      </c>
      <c r="X146" s="107" t="n"/>
      <c r="Y146" s="108">
        <f>IF(X146="","",W146*X146)</f>
        <v/>
      </c>
      <c r="Z146" s="243">
        <f>IF(Y146="","",V146-Y146)</f>
        <v/>
      </c>
      <c r="AA146" s="110">
        <f>IF(OR(Y146="",V146=0),"",Y146/V146)</f>
        <v/>
      </c>
      <c r="AB146" s="111">
        <f>IF(AA146="","⚪",IF(AA146&gt;1.2,"🔴",IF(AA146&gt;1.1,"🟡","🟢")))</f>
        <v/>
      </c>
      <c r="AD146" s="105" t="n">
        <v>19242.3</v>
      </c>
      <c r="AE146" s="106" t="n">
        <v>38500</v>
      </c>
      <c r="AF146" s="107" t="n"/>
      <c r="AG146" s="108">
        <f>IF(AF146="","",AE146*AF146)</f>
        <v/>
      </c>
      <c r="AH146" s="243">
        <f>IF(AG146="","",AD146-AG146)</f>
        <v/>
      </c>
      <c r="AI146" s="110">
        <f>IF(OR(AG146="",AD146=0),"",AG146/AD146)</f>
        <v/>
      </c>
      <c r="AJ146" s="111">
        <f>IF(AI146="","⚪",IF(AI146&gt;1.2,"🔴",IF(AI146&gt;1.1,"🟡","🟢")))</f>
        <v/>
      </c>
    </row>
    <row r="147" ht="14" customHeight="1" s="176">
      <c r="A147" s="103" t="inlineStr">
        <is>
          <t>El Molle</t>
        </is>
      </c>
      <c r="B147" s="104" t="inlineStr">
        <is>
          <t>oronules 5,35 ha</t>
        </is>
      </c>
      <c r="C147" s="104" t="inlineStr">
        <is>
          <t>1- M.O. directa</t>
        </is>
      </c>
      <c r="D147" s="104" t="inlineStr">
        <is>
          <t xml:space="preserve">1,4- Mantención caminos </t>
        </is>
      </c>
      <c r="E147" s="104" t="inlineStr">
        <is>
          <t>día</t>
        </is>
      </c>
      <c r="F147" s="105" t="n">
        <v>6525</v>
      </c>
      <c r="G147" s="106" t="n">
        <v>43500</v>
      </c>
      <c r="H147" s="107" t="n"/>
      <c r="I147" s="108">
        <f>IF(H147="","",G147*H147)</f>
        <v/>
      </c>
      <c r="J147" s="243">
        <f>IF(I147="","",F147-I147)</f>
        <v/>
      </c>
      <c r="K147" s="110">
        <f>IF(OR(I147="",F147=0),"",I147/F147)</f>
        <v/>
      </c>
      <c r="L147" s="111">
        <f>IF(K147="","⚪",IF(K147&gt;1.2,"🔴",IF(K147&gt;1.1,"🟡","🟢")))</f>
        <v/>
      </c>
      <c r="N147" s="105" t="n">
        <v>6525</v>
      </c>
      <c r="O147" s="106" t="n">
        <v>43500</v>
      </c>
      <c r="P147" s="107" t="n"/>
      <c r="Q147" s="108">
        <f>IF(P147="","",O147*P147)</f>
        <v/>
      </c>
      <c r="R147" s="243">
        <f>IF(Q147="","",N147-Q147)</f>
        <v/>
      </c>
      <c r="S147" s="110">
        <f>IF(OR(Q147="",N147=0),"",Q147/N147)</f>
        <v/>
      </c>
      <c r="T147" s="111">
        <f>IF(S147="","⚪",IF(S147&gt;1.2,"🔴",IF(S147&gt;1.1,"🟡","🟢")))</f>
        <v/>
      </c>
      <c r="V147" s="105" t="n">
        <v>6525</v>
      </c>
      <c r="W147" s="106" t="n">
        <v>43500</v>
      </c>
      <c r="X147" s="107" t="n"/>
      <c r="Y147" s="108">
        <f>IF(X147="","",W147*X147)</f>
        <v/>
      </c>
      <c r="Z147" s="243">
        <f>IF(Y147="","",V147-Y147)</f>
        <v/>
      </c>
      <c r="AA147" s="110">
        <f>IF(OR(Y147="",V147=0),"",Y147/V147)</f>
        <v/>
      </c>
      <c r="AB147" s="111">
        <f>IF(AA147="","⚪",IF(AA147&gt;1.2,"🔴",IF(AA147&gt;1.1,"🟡","🟢")))</f>
        <v/>
      </c>
      <c r="AD147" s="105" t="n">
        <v>6525</v>
      </c>
      <c r="AE147" s="106" t="n">
        <v>43500</v>
      </c>
      <c r="AF147" s="107" t="n"/>
      <c r="AG147" s="108">
        <f>IF(AF147="","",AE147*AF147)</f>
        <v/>
      </c>
      <c r="AH147" s="243">
        <f>IF(AG147="","",AD147-AG147)</f>
        <v/>
      </c>
      <c r="AI147" s="110">
        <f>IF(OR(AG147="",AD147=0),"",AG147/AD147)</f>
        <v/>
      </c>
      <c r="AJ147" s="111">
        <f>IF(AI147="","⚪",IF(AI147&gt;1.2,"🔴",IF(AI147&gt;1.1,"🟡","🟢")))</f>
        <v/>
      </c>
    </row>
    <row r="148" ht="14" customHeight="1" s="176">
      <c r="A148" s="112" t="inlineStr">
        <is>
          <t>El Molle</t>
        </is>
      </c>
      <c r="B148" s="113" t="inlineStr">
        <is>
          <t>oronules 5,35 ha</t>
        </is>
      </c>
      <c r="C148" s="113" t="inlineStr">
        <is>
          <t>1- M.O. directa</t>
        </is>
      </c>
      <c r="D148" s="113" t="inlineStr">
        <is>
          <t>1- Cosecha EXP</t>
        </is>
      </c>
      <c r="E148" s="113" t="inlineStr">
        <is>
          <t>trato</t>
        </is>
      </c>
      <c r="F148" s="105" t="n">
        <v>682125</v>
      </c>
      <c r="G148" s="106" t="n">
        <v>85</v>
      </c>
      <c r="H148" s="107" t="n"/>
      <c r="I148" s="108">
        <f>IF(H148="","",G148*H148)</f>
        <v/>
      </c>
      <c r="J148" s="243">
        <f>IF(I148="","",F148-I148)</f>
        <v/>
      </c>
      <c r="K148" s="110">
        <f>IF(OR(I148="",F148=0),"",I148/F148)</f>
        <v/>
      </c>
      <c r="L148" s="111">
        <f>IF(K148="","⚪",IF(K148&gt;1.2,"🔴",IF(K148&gt;1.1,"🟡","🟢")))</f>
        <v/>
      </c>
      <c r="N148" s="105" t="n">
        <v>682125</v>
      </c>
      <c r="O148" s="106" t="n">
        <v>85</v>
      </c>
      <c r="P148" s="107" t="n"/>
      <c r="Q148" s="108">
        <f>IF(P148="","",O148*P148)</f>
        <v/>
      </c>
      <c r="R148" s="243">
        <f>IF(Q148="","",N148-Q148)</f>
        <v/>
      </c>
      <c r="S148" s="110">
        <f>IF(OR(Q148="",N148=0),"",Q148/N148)</f>
        <v/>
      </c>
      <c r="T148" s="111">
        <f>IF(S148="","⚪",IF(S148&gt;1.2,"🔴",IF(S148&gt;1.1,"🟡","🟢")))</f>
        <v/>
      </c>
      <c r="V148" s="105" t="n">
        <v>682125</v>
      </c>
      <c r="W148" s="106" t="n">
        <v>85</v>
      </c>
      <c r="X148" s="107" t="n"/>
      <c r="Y148" s="108">
        <f>IF(X148="","",W148*X148)</f>
        <v/>
      </c>
      <c r="Z148" s="243">
        <f>IF(Y148="","",V148-Y148)</f>
        <v/>
      </c>
      <c r="AA148" s="110">
        <f>IF(OR(Y148="",V148=0),"",Y148/V148)</f>
        <v/>
      </c>
      <c r="AB148" s="111">
        <f>IF(AA148="","⚪",IF(AA148&gt;1.2,"🔴",IF(AA148&gt;1.1,"🟡","🟢")))</f>
        <v/>
      </c>
      <c r="AD148" s="105" t="n">
        <v>682125</v>
      </c>
      <c r="AE148" s="106" t="n">
        <v>85</v>
      </c>
      <c r="AF148" s="107" t="n"/>
      <c r="AG148" s="108">
        <f>IF(AF148="","",AE148*AF148)</f>
        <v/>
      </c>
      <c r="AH148" s="243">
        <f>IF(AG148="","",AD148-AG148)</f>
        <v/>
      </c>
      <c r="AI148" s="110">
        <f>IF(OR(AG148="",AD148=0),"",AG148/AD148)</f>
        <v/>
      </c>
      <c r="AJ148" s="111">
        <f>IF(AI148="","⚪",IF(AI148&gt;1.2,"🔴",IF(AI148&gt;1.1,"🟡","🟢")))</f>
        <v/>
      </c>
    </row>
    <row r="149" ht="14" customHeight="1" s="176">
      <c r="A149" s="103" t="inlineStr">
        <is>
          <t>El Molle</t>
        </is>
      </c>
      <c r="B149" s="104" t="inlineStr">
        <is>
          <t>oronules 5,35 ha</t>
        </is>
      </c>
      <c r="C149" s="104" t="inlineStr">
        <is>
          <t>1- M.O. directa</t>
        </is>
      </c>
      <c r="D149" s="104" t="inlineStr">
        <is>
          <t>10- Ortopedia y puntales</t>
        </is>
      </c>
      <c r="E149" s="104" t="inlineStr">
        <is>
          <t>día</t>
        </is>
      </c>
      <c r="F149" s="105" t="n">
        <v>89211.25</v>
      </c>
      <c r="G149" s="106" t="n">
        <v>500</v>
      </c>
      <c r="H149" s="107" t="n"/>
      <c r="I149" s="108">
        <f>IF(H149="","",G149*H149)</f>
        <v/>
      </c>
      <c r="J149" s="243">
        <f>IF(I149="","",F149-I149)</f>
        <v/>
      </c>
      <c r="K149" s="110">
        <f>IF(OR(I149="",F149=0),"",I149/F149)</f>
        <v/>
      </c>
      <c r="L149" s="111">
        <f>IF(K149="","⚪",IF(K149&gt;1.2,"🔴",IF(K149&gt;1.1,"🟡","🟢")))</f>
        <v/>
      </c>
      <c r="N149" s="105" t="n">
        <v>89211.25</v>
      </c>
      <c r="O149" s="106" t="n">
        <v>500</v>
      </c>
      <c r="P149" s="107" t="n"/>
      <c r="Q149" s="108">
        <f>IF(P149="","",O149*P149)</f>
        <v/>
      </c>
      <c r="R149" s="243">
        <f>IF(Q149="","",N149-Q149)</f>
        <v/>
      </c>
      <c r="S149" s="110">
        <f>IF(OR(Q149="",N149=0),"",Q149/N149)</f>
        <v/>
      </c>
      <c r="T149" s="111">
        <f>IF(S149="","⚪",IF(S149&gt;1.2,"🔴",IF(S149&gt;1.1,"🟡","🟢")))</f>
        <v/>
      </c>
      <c r="V149" s="105" t="n">
        <v>89211.25</v>
      </c>
      <c r="W149" s="106" t="n">
        <v>500</v>
      </c>
      <c r="X149" s="107" t="n"/>
      <c r="Y149" s="108">
        <f>IF(X149="","",W149*X149)</f>
        <v/>
      </c>
      <c r="Z149" s="243">
        <f>IF(Y149="","",V149-Y149)</f>
        <v/>
      </c>
      <c r="AA149" s="110">
        <f>IF(OR(Y149="",V149=0),"",Y149/V149)</f>
        <v/>
      </c>
      <c r="AB149" s="111">
        <f>IF(AA149="","⚪",IF(AA149&gt;1.2,"🔴",IF(AA149&gt;1.1,"🟡","🟢")))</f>
        <v/>
      </c>
      <c r="AD149" s="105" t="n">
        <v>89211.25</v>
      </c>
      <c r="AE149" s="106" t="n">
        <v>500</v>
      </c>
      <c r="AF149" s="107" t="n"/>
      <c r="AG149" s="108">
        <f>IF(AF149="","",AE149*AF149)</f>
        <v/>
      </c>
      <c r="AH149" s="243">
        <f>IF(AG149="","",AD149-AG149)</f>
        <v/>
      </c>
      <c r="AI149" s="110">
        <f>IF(OR(AG149="",AD149=0),"",AG149/AD149)</f>
        <v/>
      </c>
      <c r="AJ149" s="111">
        <f>IF(AI149="","⚪",IF(AI149&gt;1.2,"🔴",IF(AI149&gt;1.1,"🟡","🟢")))</f>
        <v/>
      </c>
    </row>
    <row r="150" ht="14" customHeight="1" s="176">
      <c r="A150" s="112" t="inlineStr">
        <is>
          <t>El Molle</t>
        </is>
      </c>
      <c r="B150" s="113" t="inlineStr">
        <is>
          <t>oronules 5,35 ha</t>
        </is>
      </c>
      <c r="C150" s="113" t="inlineStr">
        <is>
          <t>1- M.O. directa</t>
        </is>
      </c>
      <c r="D150" s="113" t="inlineStr">
        <is>
          <t xml:space="preserve">11- mantención de cercos </t>
        </is>
      </c>
      <c r="E150" s="113" t="inlineStr">
        <is>
          <t>día</t>
        </is>
      </c>
      <c r="F150" s="105" t="n">
        <v>36045.625</v>
      </c>
      <c r="G150" s="106" t="n">
        <v>38500</v>
      </c>
      <c r="H150" s="107" t="n"/>
      <c r="I150" s="108">
        <f>IF(H150="","",G150*H150)</f>
        <v/>
      </c>
      <c r="J150" s="243">
        <f>IF(I150="","",F150-I150)</f>
        <v/>
      </c>
      <c r="K150" s="110">
        <f>IF(OR(I150="",F150=0),"",I150/F150)</f>
        <v/>
      </c>
      <c r="L150" s="111">
        <f>IF(K150="","⚪",IF(K150&gt;1.2,"🔴",IF(K150&gt;1.1,"🟡","🟢")))</f>
        <v/>
      </c>
      <c r="N150" s="105" t="n">
        <v>36045.625</v>
      </c>
      <c r="O150" s="106" t="n">
        <v>38500</v>
      </c>
      <c r="P150" s="107" t="n"/>
      <c r="Q150" s="108">
        <f>IF(P150="","",O150*P150)</f>
        <v/>
      </c>
      <c r="R150" s="243">
        <f>IF(Q150="","",N150-Q150)</f>
        <v/>
      </c>
      <c r="S150" s="110">
        <f>IF(OR(Q150="",N150=0),"",Q150/N150)</f>
        <v/>
      </c>
      <c r="T150" s="111">
        <f>IF(S150="","⚪",IF(S150&gt;1.2,"🔴",IF(S150&gt;1.1,"🟡","🟢")))</f>
        <v/>
      </c>
      <c r="V150" s="105" t="n">
        <v>36045.625</v>
      </c>
      <c r="W150" s="106" t="n">
        <v>38500</v>
      </c>
      <c r="X150" s="107" t="n"/>
      <c r="Y150" s="108">
        <f>IF(X150="","",W150*X150)</f>
        <v/>
      </c>
      <c r="Z150" s="243">
        <f>IF(Y150="","",V150-Y150)</f>
        <v/>
      </c>
      <c r="AA150" s="110">
        <f>IF(OR(Y150="",V150=0),"",Y150/V150)</f>
        <v/>
      </c>
      <c r="AB150" s="111">
        <f>IF(AA150="","⚪",IF(AA150&gt;1.2,"🔴",IF(AA150&gt;1.1,"🟡","🟢")))</f>
        <v/>
      </c>
      <c r="AD150" s="105" t="n">
        <v>36045.625</v>
      </c>
      <c r="AE150" s="106" t="n">
        <v>38500</v>
      </c>
      <c r="AF150" s="107" t="n"/>
      <c r="AG150" s="108">
        <f>IF(AF150="","",AE150*AF150)</f>
        <v/>
      </c>
      <c r="AH150" s="243">
        <f>IF(AG150="","",AD150-AG150)</f>
        <v/>
      </c>
      <c r="AI150" s="110">
        <f>IF(OR(AG150="",AD150=0),"",AG150/AD150)</f>
        <v/>
      </c>
      <c r="AJ150" s="111">
        <f>IF(AI150="","⚪",IF(AI150&gt;1.2,"🔴",IF(AI150&gt;1.1,"🟡","🟢")))</f>
        <v/>
      </c>
    </row>
    <row r="151" ht="14" customHeight="1" s="176">
      <c r="A151" s="103" t="inlineStr">
        <is>
          <t>El Molle</t>
        </is>
      </c>
      <c r="B151" s="104" t="inlineStr">
        <is>
          <t>oronules 5,35 ha</t>
        </is>
      </c>
      <c r="C151" s="104" t="inlineStr">
        <is>
          <t>1- M.O. directa</t>
        </is>
      </c>
      <c r="D151" s="104" t="inlineStr">
        <is>
          <t>12- Picar sarmiento</t>
        </is>
      </c>
      <c r="E151" s="104" t="inlineStr">
        <is>
          <t>trato</t>
        </is>
      </c>
      <c r="F151" s="105" t="n">
        <v>10705.35</v>
      </c>
      <c r="G151" s="106" t="n">
        <v>60</v>
      </c>
      <c r="H151" s="107" t="n"/>
      <c r="I151" s="108">
        <f>IF(H151="","",G151*H151)</f>
        <v/>
      </c>
      <c r="J151" s="243">
        <f>IF(I151="","",F151-I151)</f>
        <v/>
      </c>
      <c r="K151" s="110">
        <f>IF(OR(I151="",F151=0),"",I151/F151)</f>
        <v/>
      </c>
      <c r="L151" s="111">
        <f>IF(K151="","⚪",IF(K151&gt;1.2,"🔴",IF(K151&gt;1.1,"🟡","🟢")))</f>
        <v/>
      </c>
      <c r="N151" s="105" t="n">
        <v>10705.35</v>
      </c>
      <c r="O151" s="106" t="n">
        <v>60</v>
      </c>
      <c r="P151" s="107" t="n"/>
      <c r="Q151" s="108">
        <f>IF(P151="","",O151*P151)</f>
        <v/>
      </c>
      <c r="R151" s="243">
        <f>IF(Q151="","",N151-Q151)</f>
        <v/>
      </c>
      <c r="S151" s="110">
        <f>IF(OR(Q151="",N151=0),"",Q151/N151)</f>
        <v/>
      </c>
      <c r="T151" s="111">
        <f>IF(S151="","⚪",IF(S151&gt;1.2,"🔴",IF(S151&gt;1.1,"🟡","🟢")))</f>
        <v/>
      </c>
      <c r="V151" s="105" t="n">
        <v>10705.35</v>
      </c>
      <c r="W151" s="106" t="n">
        <v>60</v>
      </c>
      <c r="X151" s="107" t="n"/>
      <c r="Y151" s="108">
        <f>IF(X151="","",W151*X151)</f>
        <v/>
      </c>
      <c r="Z151" s="243">
        <f>IF(Y151="","",V151-Y151)</f>
        <v/>
      </c>
      <c r="AA151" s="110">
        <f>IF(OR(Y151="",V151=0),"",Y151/V151)</f>
        <v/>
      </c>
      <c r="AB151" s="111">
        <f>IF(AA151="","⚪",IF(AA151&gt;1.2,"🔴",IF(AA151&gt;1.1,"🟡","🟢")))</f>
        <v/>
      </c>
      <c r="AD151" s="105" t="n">
        <v>10705.35</v>
      </c>
      <c r="AE151" s="106" t="n">
        <v>60</v>
      </c>
      <c r="AF151" s="107" t="n"/>
      <c r="AG151" s="108">
        <f>IF(AF151="","",AE151*AF151)</f>
        <v/>
      </c>
      <c r="AH151" s="243">
        <f>IF(AG151="","",AD151-AG151)</f>
        <v/>
      </c>
      <c r="AI151" s="110">
        <f>IF(OR(AG151="",AD151=0),"",AG151/AD151)</f>
        <v/>
      </c>
      <c r="AJ151" s="111">
        <f>IF(AI151="","⚪",IF(AI151&gt;1.2,"🔴",IF(AI151&gt;1.1,"🟡","🟢")))</f>
        <v/>
      </c>
    </row>
    <row r="152" ht="14" customHeight="1" s="176">
      <c r="A152" s="112" t="inlineStr">
        <is>
          <t>El Molle</t>
        </is>
      </c>
      <c r="B152" s="113" t="inlineStr">
        <is>
          <t>oronules 5,35 ha</t>
        </is>
      </c>
      <c r="C152" s="113" t="inlineStr">
        <is>
          <t>1- M.O. directa</t>
        </is>
      </c>
      <c r="D152" s="113" t="inlineStr">
        <is>
          <t>14- Poda de sierrpes</t>
        </is>
      </c>
      <c r="E152" s="113" t="inlineStr">
        <is>
          <t>trato</t>
        </is>
      </c>
      <c r="F152" s="105" t="n">
        <v>16058.025</v>
      </c>
      <c r="G152" s="106" t="n">
        <v>60</v>
      </c>
      <c r="H152" s="107" t="n"/>
      <c r="I152" s="108">
        <f>IF(H152="","",G152*H152)</f>
        <v/>
      </c>
      <c r="J152" s="243">
        <f>IF(I152="","",F152-I152)</f>
        <v/>
      </c>
      <c r="K152" s="110">
        <f>IF(OR(I152="",F152=0),"",I152/F152)</f>
        <v/>
      </c>
      <c r="L152" s="111">
        <f>IF(K152="","⚪",IF(K152&gt;1.2,"🔴",IF(K152&gt;1.1,"🟡","🟢")))</f>
        <v/>
      </c>
      <c r="N152" s="105" t="n">
        <v>16058.025</v>
      </c>
      <c r="O152" s="106" t="n">
        <v>60</v>
      </c>
      <c r="P152" s="107" t="n"/>
      <c r="Q152" s="108">
        <f>IF(P152="","",O152*P152)</f>
        <v/>
      </c>
      <c r="R152" s="243">
        <f>IF(Q152="","",N152-Q152)</f>
        <v/>
      </c>
      <c r="S152" s="110">
        <f>IF(OR(Q152="",N152=0),"",Q152/N152)</f>
        <v/>
      </c>
      <c r="T152" s="111">
        <f>IF(S152="","⚪",IF(S152&gt;1.2,"🔴",IF(S152&gt;1.1,"🟡","🟢")))</f>
        <v/>
      </c>
      <c r="V152" s="105" t="n">
        <v>16058.025</v>
      </c>
      <c r="W152" s="106" t="n">
        <v>60</v>
      </c>
      <c r="X152" s="107" t="n"/>
      <c r="Y152" s="108">
        <f>IF(X152="","",W152*X152)</f>
        <v/>
      </c>
      <c r="Z152" s="243">
        <f>IF(Y152="","",V152-Y152)</f>
        <v/>
      </c>
      <c r="AA152" s="110">
        <f>IF(OR(Y152="",V152=0),"",Y152/V152)</f>
        <v/>
      </c>
      <c r="AB152" s="111">
        <f>IF(AA152="","⚪",IF(AA152&gt;1.2,"🔴",IF(AA152&gt;1.1,"🟡","🟢")))</f>
        <v/>
      </c>
      <c r="AD152" s="105" t="n">
        <v>16058.025</v>
      </c>
      <c r="AE152" s="106" t="n">
        <v>60</v>
      </c>
      <c r="AF152" s="107" t="n"/>
      <c r="AG152" s="108">
        <f>IF(AF152="","",AE152*AF152)</f>
        <v/>
      </c>
      <c r="AH152" s="243">
        <f>IF(AG152="","",AD152-AG152)</f>
        <v/>
      </c>
      <c r="AI152" s="110">
        <f>IF(OR(AG152="",AD152=0),"",AG152/AD152)</f>
        <v/>
      </c>
      <c r="AJ152" s="111">
        <f>IF(AI152="","⚪",IF(AI152&gt;1.2,"🔴",IF(AI152&gt;1.1,"🟡","🟢")))</f>
        <v/>
      </c>
    </row>
    <row r="153" ht="14" customHeight="1" s="176">
      <c r="A153" s="103" t="inlineStr">
        <is>
          <t>El Molle</t>
        </is>
      </c>
      <c r="B153" s="104" t="inlineStr">
        <is>
          <t>oronules 5,35 ha</t>
        </is>
      </c>
      <c r="C153" s="104" t="inlineStr">
        <is>
          <t>1- M.O. directa</t>
        </is>
      </c>
      <c r="D153" s="104" t="inlineStr">
        <is>
          <t>15- Poda</t>
        </is>
      </c>
      <c r="E153" s="104" t="inlineStr">
        <is>
          <t>trato</t>
        </is>
      </c>
      <c r="F153" s="105" t="n">
        <v>80290.125</v>
      </c>
      <c r="G153" s="106" t="n">
        <v>450</v>
      </c>
      <c r="H153" s="107" t="n"/>
      <c r="I153" s="108">
        <f>IF(H153="","",G153*H153)</f>
        <v/>
      </c>
      <c r="J153" s="243">
        <f>IF(I153="","",F153-I153)</f>
        <v/>
      </c>
      <c r="K153" s="110">
        <f>IF(OR(I153="",F153=0),"",I153/F153)</f>
        <v/>
      </c>
      <c r="L153" s="111">
        <f>IF(K153="","⚪",IF(K153&gt;1.2,"🔴",IF(K153&gt;1.1,"🟡","🟢")))</f>
        <v/>
      </c>
      <c r="N153" s="105" t="n">
        <v>80290.125</v>
      </c>
      <c r="O153" s="106" t="n">
        <v>450</v>
      </c>
      <c r="P153" s="107" t="n"/>
      <c r="Q153" s="108">
        <f>IF(P153="","",O153*P153)</f>
        <v/>
      </c>
      <c r="R153" s="243">
        <f>IF(Q153="","",N153-Q153)</f>
        <v/>
      </c>
      <c r="S153" s="110">
        <f>IF(OR(Q153="",N153=0),"",Q153/N153)</f>
        <v/>
      </c>
      <c r="T153" s="111">
        <f>IF(S153="","⚪",IF(S153&gt;1.2,"🔴",IF(S153&gt;1.1,"🟡","🟢")))</f>
        <v/>
      </c>
      <c r="V153" s="105" t="n">
        <v>80290.125</v>
      </c>
      <c r="W153" s="106" t="n">
        <v>450</v>
      </c>
      <c r="X153" s="107" t="n"/>
      <c r="Y153" s="108">
        <f>IF(X153="","",W153*X153)</f>
        <v/>
      </c>
      <c r="Z153" s="243">
        <f>IF(Y153="","",V153-Y153)</f>
        <v/>
      </c>
      <c r="AA153" s="110">
        <f>IF(OR(Y153="",V153=0),"",Y153/V153)</f>
        <v/>
      </c>
      <c r="AB153" s="111">
        <f>IF(AA153="","⚪",IF(AA153&gt;1.2,"🔴",IF(AA153&gt;1.1,"🟡","🟢")))</f>
        <v/>
      </c>
      <c r="AD153" s="105" t="n">
        <v>80290.125</v>
      </c>
      <c r="AE153" s="106" t="n">
        <v>450</v>
      </c>
      <c r="AF153" s="107" t="n"/>
      <c r="AG153" s="108">
        <f>IF(AF153="","",AE153*AF153)</f>
        <v/>
      </c>
      <c r="AH153" s="243">
        <f>IF(AG153="","",AD153-AG153)</f>
        <v/>
      </c>
      <c r="AI153" s="110">
        <f>IF(OR(AG153="",AD153=0),"",AG153/AD153)</f>
        <v/>
      </c>
      <c r="AJ153" s="111">
        <f>IF(AI153="","⚪",IF(AI153&gt;1.2,"🔴",IF(AI153&gt;1.1,"🟡","🟢")))</f>
        <v/>
      </c>
    </row>
    <row r="154" ht="14" customHeight="1" s="176">
      <c r="A154" s="112" t="inlineStr">
        <is>
          <t>El Molle</t>
        </is>
      </c>
      <c r="B154" s="113" t="inlineStr">
        <is>
          <t>oronules 5,35 ha</t>
        </is>
      </c>
      <c r="C154" s="113" t="inlineStr">
        <is>
          <t>1- M.O. directa</t>
        </is>
      </c>
      <c r="D154" s="113" t="inlineStr">
        <is>
          <t>16- Supervisor poda</t>
        </is>
      </c>
      <c r="E154" s="113" t="inlineStr">
        <is>
          <t>día</t>
        </is>
      </c>
      <c r="F154" s="105" t="n">
        <v>13381.6875</v>
      </c>
      <c r="G154" s="106" t="n">
        <v>75</v>
      </c>
      <c r="H154" s="107" t="n"/>
      <c r="I154" s="108">
        <f>IF(H154="","",G154*H154)</f>
        <v/>
      </c>
      <c r="J154" s="243">
        <f>IF(I154="","",F154-I154)</f>
        <v/>
      </c>
      <c r="K154" s="110">
        <f>IF(OR(I154="",F154=0),"",I154/F154)</f>
        <v/>
      </c>
      <c r="L154" s="111">
        <f>IF(K154="","⚪",IF(K154&gt;1.2,"🔴",IF(K154&gt;1.1,"🟡","🟢")))</f>
        <v/>
      </c>
      <c r="N154" s="105" t="n">
        <v>13381.6875</v>
      </c>
      <c r="O154" s="106" t="n">
        <v>75</v>
      </c>
      <c r="P154" s="107" t="n"/>
      <c r="Q154" s="108">
        <f>IF(P154="","",O154*P154)</f>
        <v/>
      </c>
      <c r="R154" s="243">
        <f>IF(Q154="","",N154-Q154)</f>
        <v/>
      </c>
      <c r="S154" s="110">
        <f>IF(OR(Q154="",N154=0),"",Q154/N154)</f>
        <v/>
      </c>
      <c r="T154" s="111">
        <f>IF(S154="","⚪",IF(S154&gt;1.2,"🔴",IF(S154&gt;1.1,"🟡","🟢")))</f>
        <v/>
      </c>
      <c r="V154" s="105" t="n">
        <v>13381.6875</v>
      </c>
      <c r="W154" s="106" t="n">
        <v>75</v>
      </c>
      <c r="X154" s="107" t="n"/>
      <c r="Y154" s="108">
        <f>IF(X154="","",W154*X154)</f>
        <v/>
      </c>
      <c r="Z154" s="243">
        <f>IF(Y154="","",V154-Y154)</f>
        <v/>
      </c>
      <c r="AA154" s="110">
        <f>IF(OR(Y154="",V154=0),"",Y154/V154)</f>
        <v/>
      </c>
      <c r="AB154" s="111">
        <f>IF(AA154="","⚪",IF(AA154&gt;1.2,"🔴",IF(AA154&gt;1.1,"🟡","🟢")))</f>
        <v/>
      </c>
      <c r="AD154" s="105" t="n">
        <v>13381.6875</v>
      </c>
      <c r="AE154" s="106" t="n">
        <v>75</v>
      </c>
      <c r="AF154" s="107" t="n"/>
      <c r="AG154" s="108">
        <f>IF(AF154="","",AE154*AF154)</f>
        <v/>
      </c>
      <c r="AH154" s="243">
        <f>IF(AG154="","",AD154-AG154)</f>
        <v/>
      </c>
      <c r="AI154" s="110">
        <f>IF(OR(AG154="",AD154=0),"",AG154/AD154)</f>
        <v/>
      </c>
      <c r="AJ154" s="111">
        <f>IF(AI154="","⚪",IF(AI154&gt;1.2,"🔴",IF(AI154&gt;1.1,"🟡","🟢")))</f>
        <v/>
      </c>
    </row>
    <row r="155" ht="14" customHeight="1" s="176">
      <c r="A155" s="103" t="inlineStr">
        <is>
          <t>El Molle</t>
        </is>
      </c>
      <c r="B155" s="104" t="inlineStr">
        <is>
          <t>oronules 5,35 ha</t>
        </is>
      </c>
      <c r="C155" s="104" t="inlineStr">
        <is>
          <t>1- M.O. directa</t>
        </is>
      </c>
      <c r="D155" s="104" t="inlineStr">
        <is>
          <t>17- Recepción, pesaje y despacho</t>
        </is>
      </c>
      <c r="E155" s="104" t="inlineStr">
        <is>
          <t>día</t>
        </is>
      </c>
      <c r="F155" s="105" t="n">
        <v>11556</v>
      </c>
      <c r="G155" s="106" t="n">
        <v>1.2</v>
      </c>
      <c r="H155" s="107" t="n"/>
      <c r="I155" s="108">
        <f>IF(H155="","",G155*H155)</f>
        <v/>
      </c>
      <c r="J155" s="243">
        <f>IF(I155="","",F155-I155)</f>
        <v/>
      </c>
      <c r="K155" s="110">
        <f>IF(OR(I155="",F155=0),"",I155/F155)</f>
        <v/>
      </c>
      <c r="L155" s="111">
        <f>IF(K155="","⚪",IF(K155&gt;1.2,"🔴",IF(K155&gt;1.1,"🟡","🟢")))</f>
        <v/>
      </c>
      <c r="N155" s="105" t="n">
        <v>11556</v>
      </c>
      <c r="O155" s="106" t="n">
        <v>1.2</v>
      </c>
      <c r="P155" s="107" t="n"/>
      <c r="Q155" s="108">
        <f>IF(P155="","",O155*P155)</f>
        <v/>
      </c>
      <c r="R155" s="243">
        <f>IF(Q155="","",N155-Q155)</f>
        <v/>
      </c>
      <c r="S155" s="110">
        <f>IF(OR(Q155="",N155=0),"",Q155/N155)</f>
        <v/>
      </c>
      <c r="T155" s="111">
        <f>IF(S155="","⚪",IF(S155&gt;1.2,"🔴",IF(S155&gt;1.1,"🟡","🟢")))</f>
        <v/>
      </c>
      <c r="V155" s="105" t="n">
        <v>11556</v>
      </c>
      <c r="W155" s="106" t="n">
        <v>1.2</v>
      </c>
      <c r="X155" s="107" t="n"/>
      <c r="Y155" s="108">
        <f>IF(X155="","",W155*X155)</f>
        <v/>
      </c>
      <c r="Z155" s="243">
        <f>IF(Y155="","",V155-Y155)</f>
        <v/>
      </c>
      <c r="AA155" s="110">
        <f>IF(OR(Y155="",V155=0),"",Y155/V155)</f>
        <v/>
      </c>
      <c r="AB155" s="111">
        <f>IF(AA155="","⚪",IF(AA155&gt;1.2,"🔴",IF(AA155&gt;1.1,"🟡","🟢")))</f>
        <v/>
      </c>
      <c r="AD155" s="105" t="n">
        <v>11556</v>
      </c>
      <c r="AE155" s="106" t="n">
        <v>1.2</v>
      </c>
      <c r="AF155" s="107" t="n"/>
      <c r="AG155" s="108">
        <f>IF(AF155="","",AE155*AF155)</f>
        <v/>
      </c>
      <c r="AH155" s="243">
        <f>IF(AG155="","",AD155-AG155)</f>
        <v/>
      </c>
      <c r="AI155" s="110">
        <f>IF(OR(AG155="",AD155=0),"",AG155/AD155)</f>
        <v/>
      </c>
      <c r="AJ155" s="111">
        <f>IF(AI155="","⚪",IF(AI155&gt;1.2,"🔴",IF(AI155&gt;1.1,"🟡","🟢")))</f>
        <v/>
      </c>
    </row>
    <row r="156" ht="14" customHeight="1" s="176">
      <c r="A156" s="112" t="inlineStr">
        <is>
          <t>El Molle</t>
        </is>
      </c>
      <c r="B156" s="113" t="inlineStr">
        <is>
          <t>oronules 5,35 ha</t>
        </is>
      </c>
      <c r="C156" s="113" t="inlineStr">
        <is>
          <t>1- M.O. directa</t>
        </is>
      </c>
      <c r="D156" s="113" t="inlineStr">
        <is>
          <t>2- Supervisor cosecha</t>
        </is>
      </c>
      <c r="E156" s="113" t="inlineStr">
        <is>
          <t>día</t>
        </is>
      </c>
      <c r="F156" s="105" t="n">
        <v>56175</v>
      </c>
      <c r="G156" s="106" t="n">
        <v>7</v>
      </c>
      <c r="H156" s="107" t="n"/>
      <c r="I156" s="108">
        <f>IF(H156="","",G156*H156)</f>
        <v/>
      </c>
      <c r="J156" s="243">
        <f>IF(I156="","",F156-I156)</f>
        <v/>
      </c>
      <c r="K156" s="110">
        <f>IF(OR(I156="",F156=0),"",I156/F156)</f>
        <v/>
      </c>
      <c r="L156" s="111">
        <f>IF(K156="","⚪",IF(K156&gt;1.2,"🔴",IF(K156&gt;1.1,"🟡","🟢")))</f>
        <v/>
      </c>
      <c r="N156" s="105" t="n">
        <v>56175</v>
      </c>
      <c r="O156" s="106" t="n">
        <v>7</v>
      </c>
      <c r="P156" s="107" t="n"/>
      <c r="Q156" s="108">
        <f>IF(P156="","",O156*P156)</f>
        <v/>
      </c>
      <c r="R156" s="243">
        <f>IF(Q156="","",N156-Q156)</f>
        <v/>
      </c>
      <c r="S156" s="110">
        <f>IF(OR(Q156="",N156=0),"",Q156/N156)</f>
        <v/>
      </c>
      <c r="T156" s="111">
        <f>IF(S156="","⚪",IF(S156&gt;1.2,"🔴",IF(S156&gt;1.1,"🟡","🟢")))</f>
        <v/>
      </c>
      <c r="V156" s="105" t="n">
        <v>56175</v>
      </c>
      <c r="W156" s="106" t="n">
        <v>7</v>
      </c>
      <c r="X156" s="107" t="n"/>
      <c r="Y156" s="108">
        <f>IF(X156="","",W156*X156)</f>
        <v/>
      </c>
      <c r="Z156" s="243">
        <f>IF(Y156="","",V156-Y156)</f>
        <v/>
      </c>
      <c r="AA156" s="110">
        <f>IF(OR(Y156="",V156=0),"",Y156/V156)</f>
        <v/>
      </c>
      <c r="AB156" s="111">
        <f>IF(AA156="","⚪",IF(AA156&gt;1.2,"🔴",IF(AA156&gt;1.1,"🟡","🟢")))</f>
        <v/>
      </c>
      <c r="AD156" s="105" t="n">
        <v>56175</v>
      </c>
      <c r="AE156" s="106" t="n">
        <v>7</v>
      </c>
      <c r="AF156" s="107" t="n"/>
      <c r="AG156" s="108">
        <f>IF(AF156="","",AE156*AF156)</f>
        <v/>
      </c>
      <c r="AH156" s="243">
        <f>IF(AG156="","",AD156-AG156)</f>
        <v/>
      </c>
      <c r="AI156" s="110">
        <f>IF(OR(AG156="",AD156=0),"",AG156/AD156)</f>
        <v/>
      </c>
      <c r="AJ156" s="111">
        <f>IF(AI156="","⚪",IF(AI156&gt;1.2,"🔴",IF(AI156&gt;1.1,"🟡","🟢")))</f>
        <v/>
      </c>
    </row>
    <row r="157" ht="14" customHeight="1" s="176">
      <c r="A157" s="103" t="inlineStr">
        <is>
          <t>El Molle</t>
        </is>
      </c>
      <c r="B157" s="104" t="inlineStr">
        <is>
          <t>oronules 5,35 ha</t>
        </is>
      </c>
      <c r="C157" s="104" t="inlineStr">
        <is>
          <t>1- M.O. directa</t>
        </is>
      </c>
      <c r="D157" s="104" t="inlineStr">
        <is>
          <t>3- Selección</t>
        </is>
      </c>
      <c r="E157" s="104" t="inlineStr">
        <is>
          <t>trato</t>
        </is>
      </c>
      <c r="F157" s="105" t="n">
        <v>160500</v>
      </c>
      <c r="G157" s="106" t="n">
        <v>20</v>
      </c>
      <c r="H157" s="107" t="n"/>
      <c r="I157" s="108">
        <f>IF(H157="","",G157*H157)</f>
        <v/>
      </c>
      <c r="J157" s="243">
        <f>IF(I157="","",F157-I157)</f>
        <v/>
      </c>
      <c r="K157" s="110">
        <f>IF(OR(I157="",F157=0),"",I157/F157)</f>
        <v/>
      </c>
      <c r="L157" s="111">
        <f>IF(K157="","⚪",IF(K157&gt;1.2,"🔴",IF(K157&gt;1.1,"🟡","🟢")))</f>
        <v/>
      </c>
      <c r="N157" s="105" t="n">
        <v>160500</v>
      </c>
      <c r="O157" s="106" t="n">
        <v>20</v>
      </c>
      <c r="P157" s="107" t="n"/>
      <c r="Q157" s="108">
        <f>IF(P157="","",O157*P157)</f>
        <v/>
      </c>
      <c r="R157" s="243">
        <f>IF(Q157="","",N157-Q157)</f>
        <v/>
      </c>
      <c r="S157" s="110">
        <f>IF(OR(Q157="",N157=0),"",Q157/N157)</f>
        <v/>
      </c>
      <c r="T157" s="111">
        <f>IF(S157="","⚪",IF(S157&gt;1.2,"🔴",IF(S157&gt;1.1,"🟡","🟢")))</f>
        <v/>
      </c>
      <c r="V157" s="105" t="n">
        <v>160500</v>
      </c>
      <c r="W157" s="106" t="n">
        <v>20</v>
      </c>
      <c r="X157" s="107" t="n"/>
      <c r="Y157" s="108">
        <f>IF(X157="","",W157*X157)</f>
        <v/>
      </c>
      <c r="Z157" s="243">
        <f>IF(Y157="","",V157-Y157)</f>
        <v/>
      </c>
      <c r="AA157" s="110">
        <f>IF(OR(Y157="",V157=0),"",Y157/V157)</f>
        <v/>
      </c>
      <c r="AB157" s="111">
        <f>IF(AA157="","⚪",IF(AA157&gt;1.2,"🔴",IF(AA157&gt;1.1,"🟡","🟢")))</f>
        <v/>
      </c>
      <c r="AD157" s="105" t="n">
        <v>160500</v>
      </c>
      <c r="AE157" s="106" t="n">
        <v>20</v>
      </c>
      <c r="AF157" s="107" t="n"/>
      <c r="AG157" s="108">
        <f>IF(AF157="","",AE157*AF157)</f>
        <v/>
      </c>
      <c r="AH157" s="243">
        <f>IF(AG157="","",AD157-AG157)</f>
        <v/>
      </c>
      <c r="AI157" s="110">
        <f>IF(OR(AG157="",AD157=0),"",AG157/AD157)</f>
        <v/>
      </c>
      <c r="AJ157" s="111">
        <f>IF(AI157="","⚪",IF(AI157&gt;1.2,"🔴",IF(AI157&gt;1.1,"🟡","🟢")))</f>
        <v/>
      </c>
    </row>
    <row r="158" ht="14" customHeight="1" s="176">
      <c r="A158" s="112" t="inlineStr">
        <is>
          <t>El Molle</t>
        </is>
      </c>
      <c r="B158" s="113" t="inlineStr">
        <is>
          <t>oronules 5,35 ha</t>
        </is>
      </c>
      <c r="C158" s="113" t="inlineStr">
        <is>
          <t>1- M.O. directa</t>
        </is>
      </c>
      <c r="D158" s="113" t="inlineStr">
        <is>
          <t>3- Tractorista cosecha</t>
        </is>
      </c>
      <c r="E158" s="113" t="inlineStr">
        <is>
          <t>día</t>
        </is>
      </c>
      <c r="F158" s="105" t="n">
        <v>24075</v>
      </c>
      <c r="G158" s="106" t="n">
        <v>3</v>
      </c>
      <c r="H158" s="107" t="n"/>
      <c r="I158" s="108">
        <f>IF(H158="","",G158*H158)</f>
        <v/>
      </c>
      <c r="J158" s="243">
        <f>IF(I158="","",F158-I158)</f>
        <v/>
      </c>
      <c r="K158" s="110">
        <f>IF(OR(I158="",F158=0),"",I158/F158)</f>
        <v/>
      </c>
      <c r="L158" s="111">
        <f>IF(K158="","⚪",IF(K158&gt;1.2,"🔴",IF(K158&gt;1.1,"🟡","🟢")))</f>
        <v/>
      </c>
      <c r="N158" s="105" t="n">
        <v>24075</v>
      </c>
      <c r="O158" s="106" t="n">
        <v>3</v>
      </c>
      <c r="P158" s="107" t="n"/>
      <c r="Q158" s="108">
        <f>IF(P158="","",O158*P158)</f>
        <v/>
      </c>
      <c r="R158" s="243">
        <f>IF(Q158="","",N158-Q158)</f>
        <v/>
      </c>
      <c r="S158" s="110">
        <f>IF(OR(Q158="",N158=0),"",Q158/N158)</f>
        <v/>
      </c>
      <c r="T158" s="111">
        <f>IF(S158="","⚪",IF(S158&gt;1.2,"🔴",IF(S158&gt;1.1,"🟡","🟢")))</f>
        <v/>
      </c>
      <c r="V158" s="105" t="n">
        <v>24075</v>
      </c>
      <c r="W158" s="106" t="n">
        <v>3</v>
      </c>
      <c r="X158" s="107" t="n"/>
      <c r="Y158" s="108">
        <f>IF(X158="","",W158*X158)</f>
        <v/>
      </c>
      <c r="Z158" s="243">
        <f>IF(Y158="","",V158-Y158)</f>
        <v/>
      </c>
      <c r="AA158" s="110">
        <f>IF(OR(Y158="",V158=0),"",Y158/V158)</f>
        <v/>
      </c>
      <c r="AB158" s="111">
        <f>IF(AA158="","⚪",IF(AA158&gt;1.2,"🔴",IF(AA158&gt;1.1,"🟡","🟢")))</f>
        <v/>
      </c>
      <c r="AD158" s="105" t="n">
        <v>24075</v>
      </c>
      <c r="AE158" s="106" t="n">
        <v>3</v>
      </c>
      <c r="AF158" s="107" t="n"/>
      <c r="AG158" s="108">
        <f>IF(AF158="","",AE158*AF158)</f>
        <v/>
      </c>
      <c r="AH158" s="243">
        <f>IF(AG158="","",AD158-AG158)</f>
        <v/>
      </c>
      <c r="AI158" s="110">
        <f>IF(OR(AG158="",AD158=0),"",AG158/AD158)</f>
        <v/>
      </c>
      <c r="AJ158" s="111">
        <f>IF(AI158="","⚪",IF(AI158&gt;1.2,"🔴",IF(AI158&gt;1.1,"🟡","🟢")))</f>
        <v/>
      </c>
    </row>
    <row r="159" ht="14" customHeight="1" s="176">
      <c r="A159" s="103" t="inlineStr">
        <is>
          <t>El Molle</t>
        </is>
      </c>
      <c r="B159" s="104" t="inlineStr">
        <is>
          <t>oronules 5,35 ha</t>
        </is>
      </c>
      <c r="C159" s="104" t="inlineStr">
        <is>
          <t>1- M.O. directa</t>
        </is>
      </c>
      <c r="D159" s="104" t="inlineStr">
        <is>
          <t>4- Grua</t>
        </is>
      </c>
      <c r="E159" s="104" t="inlineStr">
        <is>
          <t>día</t>
        </is>
      </c>
      <c r="F159" s="105" t="n">
        <v>12037.5</v>
      </c>
      <c r="G159" s="106" t="n">
        <v>1.5</v>
      </c>
      <c r="H159" s="107" t="n"/>
      <c r="I159" s="108">
        <f>IF(H159="","",G159*H159)</f>
        <v/>
      </c>
      <c r="J159" s="243">
        <f>IF(I159="","",F159-I159)</f>
        <v/>
      </c>
      <c r="K159" s="110">
        <f>IF(OR(I159="",F159=0),"",I159/F159)</f>
        <v/>
      </c>
      <c r="L159" s="111">
        <f>IF(K159="","⚪",IF(K159&gt;1.2,"🔴",IF(K159&gt;1.1,"🟡","🟢")))</f>
        <v/>
      </c>
      <c r="N159" s="105" t="n">
        <v>12037.5</v>
      </c>
      <c r="O159" s="106" t="n">
        <v>1.5</v>
      </c>
      <c r="P159" s="107" t="n"/>
      <c r="Q159" s="108">
        <f>IF(P159="","",O159*P159)</f>
        <v/>
      </c>
      <c r="R159" s="243">
        <f>IF(Q159="","",N159-Q159)</f>
        <v/>
      </c>
      <c r="S159" s="110">
        <f>IF(OR(Q159="",N159=0),"",Q159/N159)</f>
        <v/>
      </c>
      <c r="T159" s="111">
        <f>IF(S159="","⚪",IF(S159&gt;1.2,"🔴",IF(S159&gt;1.1,"🟡","🟢")))</f>
        <v/>
      </c>
      <c r="V159" s="105" t="n">
        <v>12037.5</v>
      </c>
      <c r="W159" s="106" t="n">
        <v>1.5</v>
      </c>
      <c r="X159" s="107" t="n"/>
      <c r="Y159" s="108">
        <f>IF(X159="","",W159*X159)</f>
        <v/>
      </c>
      <c r="Z159" s="243">
        <f>IF(Y159="","",V159-Y159)</f>
        <v/>
      </c>
      <c r="AA159" s="110">
        <f>IF(OR(Y159="",V159=0),"",Y159/V159)</f>
        <v/>
      </c>
      <c r="AB159" s="111">
        <f>IF(AA159="","⚪",IF(AA159&gt;1.2,"🔴",IF(AA159&gt;1.1,"🟡","🟢")))</f>
        <v/>
      </c>
      <c r="AD159" s="105" t="n">
        <v>12037.5</v>
      </c>
      <c r="AE159" s="106" t="n">
        <v>1.5</v>
      </c>
      <c r="AF159" s="107" t="n"/>
      <c r="AG159" s="108">
        <f>IF(AF159="","",AE159*AF159)</f>
        <v/>
      </c>
      <c r="AH159" s="243">
        <f>IF(AG159="","",AD159-AG159)</f>
        <v/>
      </c>
      <c r="AI159" s="110">
        <f>IF(OR(AG159="",AD159=0),"",AG159/AD159)</f>
        <v/>
      </c>
      <c r="AJ159" s="111">
        <f>IF(AI159="","⚪",IF(AI159&gt;1.2,"🔴",IF(AI159&gt;1.1,"🟡","🟢")))</f>
        <v/>
      </c>
    </row>
    <row r="160" ht="14" customHeight="1" s="176">
      <c r="A160" s="112" t="inlineStr">
        <is>
          <t>El Molle</t>
        </is>
      </c>
      <c r="B160" s="113" t="inlineStr">
        <is>
          <t>oronules 5,35 ha</t>
        </is>
      </c>
      <c r="C160" s="113" t="inlineStr">
        <is>
          <t>1- M.O. directa</t>
        </is>
      </c>
      <c r="D160" s="113" t="inlineStr">
        <is>
          <t>5- Control de malezas mecánico</t>
        </is>
      </c>
      <c r="E160" s="113" t="inlineStr">
        <is>
          <t>trato</t>
        </is>
      </c>
      <c r="F160" s="105" t="n">
        <v>35684.5</v>
      </c>
      <c r="G160" s="106" t="n">
        <v>100</v>
      </c>
      <c r="H160" s="107" t="n"/>
      <c r="I160" s="108">
        <f>IF(H160="","",G160*H160)</f>
        <v/>
      </c>
      <c r="J160" s="243">
        <f>IF(I160="","",F160-I160)</f>
        <v/>
      </c>
      <c r="K160" s="110">
        <f>IF(OR(I160="",F160=0),"",I160/F160)</f>
        <v/>
      </c>
      <c r="L160" s="111">
        <f>IF(K160="","⚪",IF(K160&gt;1.2,"🔴",IF(K160&gt;1.1,"🟡","🟢")))</f>
        <v/>
      </c>
      <c r="N160" s="105" t="n">
        <v>35684.5</v>
      </c>
      <c r="O160" s="106" t="n">
        <v>100</v>
      </c>
      <c r="P160" s="107" t="n"/>
      <c r="Q160" s="108">
        <f>IF(P160="","",O160*P160)</f>
        <v/>
      </c>
      <c r="R160" s="243">
        <f>IF(Q160="","",N160-Q160)</f>
        <v/>
      </c>
      <c r="S160" s="110">
        <f>IF(OR(Q160="",N160=0),"",Q160/N160)</f>
        <v/>
      </c>
      <c r="T160" s="111">
        <f>IF(S160="","⚪",IF(S160&gt;1.2,"🔴",IF(S160&gt;1.1,"🟡","🟢")))</f>
        <v/>
      </c>
      <c r="V160" s="105" t="n">
        <v>35684.5</v>
      </c>
      <c r="W160" s="106" t="n">
        <v>100</v>
      </c>
      <c r="X160" s="107" t="n"/>
      <c r="Y160" s="108">
        <f>IF(X160="","",W160*X160)</f>
        <v/>
      </c>
      <c r="Z160" s="243">
        <f>IF(Y160="","",V160-Y160)</f>
        <v/>
      </c>
      <c r="AA160" s="110">
        <f>IF(OR(Y160="",V160=0),"",Y160/V160)</f>
        <v/>
      </c>
      <c r="AB160" s="111">
        <f>IF(AA160="","⚪",IF(AA160&gt;1.2,"🔴",IF(AA160&gt;1.1,"🟡","🟢")))</f>
        <v/>
      </c>
      <c r="AD160" s="105" t="n">
        <v>35684.5</v>
      </c>
      <c r="AE160" s="106" t="n">
        <v>100</v>
      </c>
      <c r="AF160" s="107" t="n"/>
      <c r="AG160" s="108">
        <f>IF(AF160="","",AE160*AF160)</f>
        <v/>
      </c>
      <c r="AH160" s="243">
        <f>IF(AG160="","",AD160-AG160)</f>
        <v/>
      </c>
      <c r="AI160" s="110">
        <f>IF(OR(AG160="",AD160=0),"",AG160/AD160)</f>
        <v/>
      </c>
      <c r="AJ160" s="111">
        <f>IF(AI160="","⚪",IF(AI160&gt;1.2,"🔴",IF(AI160&gt;1.1,"🟡","🟢")))</f>
        <v/>
      </c>
    </row>
    <row r="161" ht="14" customHeight="1" s="176">
      <c r="A161" s="103" t="inlineStr">
        <is>
          <t>El Molle</t>
        </is>
      </c>
      <c r="B161" s="104" t="inlineStr">
        <is>
          <t>oronules 5,35 ha</t>
        </is>
      </c>
      <c r="C161" s="104" t="inlineStr">
        <is>
          <t>1- M.O. directa</t>
        </is>
      </c>
      <c r="D161" s="104" t="inlineStr">
        <is>
          <t>6- Control de malezas químico</t>
        </is>
      </c>
      <c r="E161" s="104" t="inlineStr">
        <is>
          <t>día</t>
        </is>
      </c>
      <c r="F161" s="105" t="n">
        <v>58181.25</v>
      </c>
      <c r="G161" s="106" t="n">
        <v>43500</v>
      </c>
      <c r="H161" s="107" t="n"/>
      <c r="I161" s="108">
        <f>IF(H161="","",G161*H161)</f>
        <v/>
      </c>
      <c r="J161" s="243">
        <f>IF(I161="","",F161-I161)</f>
        <v/>
      </c>
      <c r="K161" s="110">
        <f>IF(OR(I161="",F161=0),"",I161/F161)</f>
        <v/>
      </c>
      <c r="L161" s="111">
        <f>IF(K161="","⚪",IF(K161&gt;1.2,"🔴",IF(K161&gt;1.1,"🟡","🟢")))</f>
        <v/>
      </c>
      <c r="N161" s="105" t="n">
        <v>58181.25</v>
      </c>
      <c r="O161" s="106" t="n">
        <v>43500</v>
      </c>
      <c r="P161" s="107" t="n"/>
      <c r="Q161" s="108">
        <f>IF(P161="","",O161*P161)</f>
        <v/>
      </c>
      <c r="R161" s="243">
        <f>IF(Q161="","",N161-Q161)</f>
        <v/>
      </c>
      <c r="S161" s="110">
        <f>IF(OR(Q161="",N161=0),"",Q161/N161)</f>
        <v/>
      </c>
      <c r="T161" s="111">
        <f>IF(S161="","⚪",IF(S161&gt;1.2,"🔴",IF(S161&gt;1.1,"🟡","🟢")))</f>
        <v/>
      </c>
      <c r="V161" s="105" t="n">
        <v>58181.25</v>
      </c>
      <c r="W161" s="106" t="n">
        <v>43500</v>
      </c>
      <c r="X161" s="107" t="n"/>
      <c r="Y161" s="108">
        <f>IF(X161="","",W161*X161)</f>
        <v/>
      </c>
      <c r="Z161" s="243">
        <f>IF(Y161="","",V161-Y161)</f>
        <v/>
      </c>
      <c r="AA161" s="110">
        <f>IF(OR(Y161="",V161=0),"",Y161/V161)</f>
        <v/>
      </c>
      <c r="AB161" s="111">
        <f>IF(AA161="","⚪",IF(AA161&gt;1.2,"🔴",IF(AA161&gt;1.1,"🟡","🟢")))</f>
        <v/>
      </c>
      <c r="AD161" s="105" t="n">
        <v>58181.25</v>
      </c>
      <c r="AE161" s="106" t="n">
        <v>43500</v>
      </c>
      <c r="AF161" s="107" t="n"/>
      <c r="AG161" s="108">
        <f>IF(AF161="","",AE161*AF161)</f>
        <v/>
      </c>
      <c r="AH161" s="243">
        <f>IF(AG161="","",AD161-AG161)</f>
        <v/>
      </c>
      <c r="AI161" s="110">
        <f>IF(OR(AG161="",AD161=0),"",AG161/AD161)</f>
        <v/>
      </c>
      <c r="AJ161" s="111">
        <f>IF(AI161="","⚪",IF(AI161&gt;1.2,"🔴",IF(AI161&gt;1.1,"🟡","🟢")))</f>
        <v/>
      </c>
    </row>
    <row r="162" ht="14" customHeight="1" s="176">
      <c r="A162" s="112" t="inlineStr">
        <is>
          <t>El Molle</t>
        </is>
      </c>
      <c r="B162" s="113" t="inlineStr">
        <is>
          <t>oronules 5,35 ha</t>
        </is>
      </c>
      <c r="C162" s="113" t="inlineStr">
        <is>
          <t>1- M.O. directa</t>
        </is>
      </c>
      <c r="D162" s="113" t="inlineStr">
        <is>
          <t>7,1- TRACTORISTA</t>
        </is>
      </c>
      <c r="E162" s="113" t="inlineStr">
        <is>
          <t>día</t>
        </is>
      </c>
      <c r="F162" s="105" t="n">
        <v>102946.305</v>
      </c>
      <c r="G162" s="106" t="n">
        <v>38500</v>
      </c>
      <c r="H162" s="107" t="n"/>
      <c r="I162" s="108">
        <f>IF(H162="","",G162*H162)</f>
        <v/>
      </c>
      <c r="J162" s="243">
        <f>IF(I162="","",F162-I162)</f>
        <v/>
      </c>
      <c r="K162" s="110">
        <f>IF(OR(I162="",F162=0),"",I162/F162)</f>
        <v/>
      </c>
      <c r="L162" s="111">
        <f>IF(K162="","⚪",IF(K162&gt;1.2,"🔴",IF(K162&gt;1.1,"🟡","🟢")))</f>
        <v/>
      </c>
      <c r="N162" s="105" t="n">
        <v>102946.305</v>
      </c>
      <c r="O162" s="106" t="n">
        <v>38500</v>
      </c>
      <c r="P162" s="107" t="n"/>
      <c r="Q162" s="108">
        <f>IF(P162="","",O162*P162)</f>
        <v/>
      </c>
      <c r="R162" s="243">
        <f>IF(Q162="","",N162-Q162)</f>
        <v/>
      </c>
      <c r="S162" s="110">
        <f>IF(OR(Q162="",N162=0),"",Q162/N162)</f>
        <v/>
      </c>
      <c r="T162" s="111">
        <f>IF(S162="","⚪",IF(S162&gt;1.2,"🔴",IF(S162&gt;1.1,"🟡","🟢")))</f>
        <v/>
      </c>
      <c r="V162" s="105" t="n">
        <v>102946.305</v>
      </c>
      <c r="W162" s="106" t="n">
        <v>38500</v>
      </c>
      <c r="X162" s="107" t="n"/>
      <c r="Y162" s="108">
        <f>IF(X162="","",W162*X162)</f>
        <v/>
      </c>
      <c r="Z162" s="243">
        <f>IF(Y162="","",V162-Y162)</f>
        <v/>
      </c>
      <c r="AA162" s="110">
        <f>IF(OR(Y162="",V162=0),"",Y162/V162)</f>
        <v/>
      </c>
      <c r="AB162" s="111">
        <f>IF(AA162="","⚪",IF(AA162&gt;1.2,"🔴",IF(AA162&gt;1.1,"🟡","🟢")))</f>
        <v/>
      </c>
      <c r="AD162" s="105" t="n">
        <v>102946.305</v>
      </c>
      <c r="AE162" s="106" t="n">
        <v>38500</v>
      </c>
      <c r="AF162" s="107" t="n"/>
      <c r="AG162" s="108">
        <f>IF(AF162="","",AE162*AF162)</f>
        <v/>
      </c>
      <c r="AH162" s="243">
        <f>IF(AG162="","",AD162-AG162)</f>
        <v/>
      </c>
      <c r="AI162" s="110">
        <f>IF(OR(AG162="",AD162=0),"",AG162/AD162)</f>
        <v/>
      </c>
      <c r="AJ162" s="111">
        <f>IF(AI162="","⚪",IF(AI162&gt;1.2,"🔴",IF(AI162&gt;1.1,"🟡","🟢")))</f>
        <v/>
      </c>
    </row>
    <row r="163" ht="14" customHeight="1" s="176">
      <c r="A163" s="103" t="inlineStr">
        <is>
          <t>El Molle</t>
        </is>
      </c>
      <c r="B163" s="104" t="inlineStr">
        <is>
          <t>oronules 5,35 ha</t>
        </is>
      </c>
      <c r="C163" s="104" t="inlineStr">
        <is>
          <t>1- M.O. directa</t>
        </is>
      </c>
      <c r="D163" s="104" t="inlineStr">
        <is>
          <t>7- Acordonar sarmiento</t>
        </is>
      </c>
      <c r="E163" s="104" t="inlineStr">
        <is>
          <t>trato</t>
        </is>
      </c>
      <c r="F163" s="105" t="n">
        <v>12489.575</v>
      </c>
      <c r="G163" s="106" t="n">
        <v>70</v>
      </c>
      <c r="H163" s="107" t="n"/>
      <c r="I163" s="108">
        <f>IF(H163="","",G163*H163)</f>
        <v/>
      </c>
      <c r="J163" s="243">
        <f>IF(I163="","",F163-I163)</f>
        <v/>
      </c>
      <c r="K163" s="110">
        <f>IF(OR(I163="",F163=0),"",I163/F163)</f>
        <v/>
      </c>
      <c r="L163" s="111">
        <f>IF(K163="","⚪",IF(K163&gt;1.2,"🔴",IF(K163&gt;1.1,"🟡","🟢")))</f>
        <v/>
      </c>
      <c r="N163" s="105" t="n">
        <v>12489.575</v>
      </c>
      <c r="O163" s="106" t="n">
        <v>70</v>
      </c>
      <c r="P163" s="107" t="n"/>
      <c r="Q163" s="108">
        <f>IF(P163="","",O163*P163)</f>
        <v/>
      </c>
      <c r="R163" s="243">
        <f>IF(Q163="","",N163-Q163)</f>
        <v/>
      </c>
      <c r="S163" s="110">
        <f>IF(OR(Q163="",N163=0),"",Q163/N163)</f>
        <v/>
      </c>
      <c r="T163" s="111">
        <f>IF(S163="","⚪",IF(S163&gt;1.2,"🔴",IF(S163&gt;1.1,"🟡","🟢")))</f>
        <v/>
      </c>
      <c r="V163" s="105" t="n">
        <v>12489.575</v>
      </c>
      <c r="W163" s="106" t="n">
        <v>70</v>
      </c>
      <c r="X163" s="107" t="n"/>
      <c r="Y163" s="108">
        <f>IF(X163="","",W163*X163)</f>
        <v/>
      </c>
      <c r="Z163" s="243">
        <f>IF(Y163="","",V163-Y163)</f>
        <v/>
      </c>
      <c r="AA163" s="110">
        <f>IF(OR(Y163="",V163=0),"",Y163/V163)</f>
        <v/>
      </c>
      <c r="AB163" s="111">
        <f>IF(AA163="","⚪",IF(AA163&gt;1.2,"🔴",IF(AA163&gt;1.1,"🟡","🟢")))</f>
        <v/>
      </c>
      <c r="AD163" s="105" t="n">
        <v>12489.575</v>
      </c>
      <c r="AE163" s="106" t="n">
        <v>70</v>
      </c>
      <c r="AF163" s="107" t="n"/>
      <c r="AG163" s="108">
        <f>IF(AF163="","",AE163*AF163)</f>
        <v/>
      </c>
      <c r="AH163" s="243">
        <f>IF(AG163="","",AD163-AG163)</f>
        <v/>
      </c>
      <c r="AI163" s="110">
        <f>IF(OR(AG163="",AD163=0),"",AG163/AD163)</f>
        <v/>
      </c>
      <c r="AJ163" s="111">
        <f>IF(AI163="","⚪",IF(AI163&gt;1.2,"🔴",IF(AI163&gt;1.1,"🟡","🟢")))</f>
        <v/>
      </c>
    </row>
    <row r="164" ht="14" customHeight="1" s="176">
      <c r="A164" s="112" t="inlineStr">
        <is>
          <t>El Molle</t>
        </is>
      </c>
      <c r="B164" s="113" t="inlineStr">
        <is>
          <t>oronules 5,35 ha</t>
        </is>
      </c>
      <c r="C164" s="113" t="inlineStr">
        <is>
          <t>2- M.O. indirecta</t>
        </is>
      </c>
      <c r="D164" s="113" t="inlineStr">
        <is>
          <t xml:space="preserve">1- ADM. GENERAL </t>
        </is>
      </c>
      <c r="E164" s="113" t="inlineStr">
        <is>
          <t>día</t>
        </is>
      </c>
      <c r="F164" s="105" t="n">
        <v>178083.738</v>
      </c>
      <c r="G164" s="106" t="n">
        <v>66600</v>
      </c>
      <c r="H164" s="107" t="n"/>
      <c r="I164" s="108">
        <f>IF(H164="","",G164*H164)</f>
        <v/>
      </c>
      <c r="J164" s="243">
        <f>IF(I164="","",F164-I164)</f>
        <v/>
      </c>
      <c r="K164" s="110">
        <f>IF(OR(I164="",F164=0),"",I164/F164)</f>
        <v/>
      </c>
      <c r="L164" s="111">
        <f>IF(K164="","⚪",IF(K164&gt;1.2,"🔴",IF(K164&gt;1.1,"🟡","🟢")))</f>
        <v/>
      </c>
      <c r="N164" s="105" t="n">
        <v>178083.738</v>
      </c>
      <c r="O164" s="106" t="n">
        <v>66600</v>
      </c>
      <c r="P164" s="107" t="n"/>
      <c r="Q164" s="108">
        <f>IF(P164="","",O164*P164)</f>
        <v/>
      </c>
      <c r="R164" s="243">
        <f>IF(Q164="","",N164-Q164)</f>
        <v/>
      </c>
      <c r="S164" s="110">
        <f>IF(OR(Q164="",N164=0),"",Q164/N164)</f>
        <v/>
      </c>
      <c r="T164" s="111">
        <f>IF(S164="","⚪",IF(S164&gt;1.2,"🔴",IF(S164&gt;1.1,"🟡","🟢")))</f>
        <v/>
      </c>
      <c r="V164" s="105" t="n">
        <v>178083.738</v>
      </c>
      <c r="W164" s="106" t="n">
        <v>66600</v>
      </c>
      <c r="X164" s="107" t="n"/>
      <c r="Y164" s="108">
        <f>IF(X164="","",W164*X164)</f>
        <v/>
      </c>
      <c r="Z164" s="243">
        <f>IF(Y164="","",V164-Y164)</f>
        <v/>
      </c>
      <c r="AA164" s="110">
        <f>IF(OR(Y164="",V164=0),"",Y164/V164)</f>
        <v/>
      </c>
      <c r="AB164" s="111">
        <f>IF(AA164="","⚪",IF(AA164&gt;1.2,"🔴",IF(AA164&gt;1.1,"🟡","🟢")))</f>
        <v/>
      </c>
      <c r="AD164" s="105" t="n">
        <v>178083.738</v>
      </c>
      <c r="AE164" s="106" t="n">
        <v>66600</v>
      </c>
      <c r="AF164" s="107" t="n"/>
      <c r="AG164" s="108">
        <f>IF(AF164="","",AE164*AF164)</f>
        <v/>
      </c>
      <c r="AH164" s="243">
        <f>IF(AG164="","",AD164-AG164)</f>
        <v/>
      </c>
      <c r="AI164" s="110">
        <f>IF(OR(AG164="",AD164=0),"",AG164/AD164)</f>
        <v/>
      </c>
      <c r="AJ164" s="111">
        <f>IF(AI164="","⚪",IF(AI164&gt;1.2,"🔴",IF(AI164&gt;1.1,"🟡","🟢")))</f>
        <v/>
      </c>
    </row>
    <row r="165" ht="14" customHeight="1" s="176">
      <c r="A165" s="103" t="inlineStr">
        <is>
          <t>El Molle</t>
        </is>
      </c>
      <c r="B165" s="104" t="inlineStr">
        <is>
          <t>oronules 5,35 ha</t>
        </is>
      </c>
      <c r="C165" s="104" t="inlineStr">
        <is>
          <t>2- M.O. indirecta</t>
        </is>
      </c>
      <c r="D165" s="104" t="inlineStr">
        <is>
          <t>2,1- JEFE DE CAMPO</t>
        </is>
      </c>
      <c r="E165" s="104" t="inlineStr">
        <is>
          <t>día</t>
        </is>
      </c>
      <c r="F165" s="105" t="n">
        <v>138977.51175</v>
      </c>
      <c r="G165" s="106" t="n">
        <v>51975</v>
      </c>
      <c r="H165" s="107" t="n"/>
      <c r="I165" s="108">
        <f>IF(H165="","",G165*H165)</f>
        <v/>
      </c>
      <c r="J165" s="243">
        <f>IF(I165="","",F165-I165)</f>
        <v/>
      </c>
      <c r="K165" s="110">
        <f>IF(OR(I165="",F165=0),"",I165/F165)</f>
        <v/>
      </c>
      <c r="L165" s="111">
        <f>IF(K165="","⚪",IF(K165&gt;1.2,"🔴",IF(K165&gt;1.1,"🟡","🟢")))</f>
        <v/>
      </c>
      <c r="N165" s="105" t="n">
        <v>138977.51175</v>
      </c>
      <c r="O165" s="106" t="n">
        <v>51975</v>
      </c>
      <c r="P165" s="107" t="n"/>
      <c r="Q165" s="108">
        <f>IF(P165="","",O165*P165)</f>
        <v/>
      </c>
      <c r="R165" s="243">
        <f>IF(Q165="","",N165-Q165)</f>
        <v/>
      </c>
      <c r="S165" s="110">
        <f>IF(OR(Q165="",N165=0),"",Q165/N165)</f>
        <v/>
      </c>
      <c r="T165" s="111">
        <f>IF(S165="","⚪",IF(S165&gt;1.2,"🔴",IF(S165&gt;1.1,"🟡","🟢")))</f>
        <v/>
      </c>
      <c r="V165" s="105" t="n">
        <v>138977.51175</v>
      </c>
      <c r="W165" s="106" t="n">
        <v>51975</v>
      </c>
      <c r="X165" s="107" t="n"/>
      <c r="Y165" s="108">
        <f>IF(X165="","",W165*X165)</f>
        <v/>
      </c>
      <c r="Z165" s="243">
        <f>IF(Y165="","",V165-Y165)</f>
        <v/>
      </c>
      <c r="AA165" s="110">
        <f>IF(OR(Y165="",V165=0),"",Y165/V165)</f>
        <v/>
      </c>
      <c r="AB165" s="111">
        <f>IF(AA165="","⚪",IF(AA165&gt;1.2,"🔴",IF(AA165&gt;1.1,"🟡","🟢")))</f>
        <v/>
      </c>
      <c r="AD165" s="105" t="n">
        <v>138977.51175</v>
      </c>
      <c r="AE165" s="106" t="n">
        <v>51975</v>
      </c>
      <c r="AF165" s="107" t="n"/>
      <c r="AG165" s="108">
        <f>IF(AF165="","",AE165*AF165)</f>
        <v/>
      </c>
      <c r="AH165" s="243">
        <f>IF(AG165="","",AD165-AG165)</f>
        <v/>
      </c>
      <c r="AI165" s="110">
        <f>IF(OR(AG165="",AD165=0),"",AG165/AD165)</f>
        <v/>
      </c>
      <c r="AJ165" s="111">
        <f>IF(AI165="","⚪",IF(AI165&gt;1.2,"🔴",IF(AI165&gt;1.1,"🟡","🟢")))</f>
        <v/>
      </c>
    </row>
    <row r="166" ht="14" customHeight="1" s="176">
      <c r="A166" s="112" t="inlineStr">
        <is>
          <t>El Molle</t>
        </is>
      </c>
      <c r="B166" s="113" t="inlineStr">
        <is>
          <t>oronules 5,35 ha</t>
        </is>
      </c>
      <c r="C166" s="113" t="inlineStr">
        <is>
          <t>2- M.O. indirecta</t>
        </is>
      </c>
      <c r="D166" s="113" t="inlineStr">
        <is>
          <t>2- ADMINISTRACION</t>
        </is>
      </c>
      <c r="E166" s="113" t="inlineStr">
        <is>
          <t>día</t>
        </is>
      </c>
      <c r="F166" s="105" t="n">
        <v>21658.833</v>
      </c>
      <c r="G166" s="106" t="n">
        <v>8100</v>
      </c>
      <c r="H166" s="107" t="n"/>
      <c r="I166" s="108">
        <f>IF(H166="","",G166*H166)</f>
        <v/>
      </c>
      <c r="J166" s="243">
        <f>IF(I166="","",F166-I166)</f>
        <v/>
      </c>
      <c r="K166" s="110">
        <f>IF(OR(I166="",F166=0),"",I166/F166)</f>
        <v/>
      </c>
      <c r="L166" s="111">
        <f>IF(K166="","⚪",IF(K166&gt;1.2,"🔴",IF(K166&gt;1.1,"🟡","🟢")))</f>
        <v/>
      </c>
      <c r="N166" s="105" t="n">
        <v>21658.833</v>
      </c>
      <c r="O166" s="106" t="n">
        <v>8100</v>
      </c>
      <c r="P166" s="107" t="n"/>
      <c r="Q166" s="108">
        <f>IF(P166="","",O166*P166)</f>
        <v/>
      </c>
      <c r="R166" s="243">
        <f>IF(Q166="","",N166-Q166)</f>
        <v/>
      </c>
      <c r="S166" s="110">
        <f>IF(OR(Q166="",N166=0),"",Q166/N166)</f>
        <v/>
      </c>
      <c r="T166" s="111">
        <f>IF(S166="","⚪",IF(S166&gt;1.2,"🔴",IF(S166&gt;1.1,"🟡","🟢")))</f>
        <v/>
      </c>
      <c r="V166" s="105" t="n">
        <v>21658.833</v>
      </c>
      <c r="W166" s="106" t="n">
        <v>8100</v>
      </c>
      <c r="X166" s="107" t="n"/>
      <c r="Y166" s="108">
        <f>IF(X166="","",W166*X166)</f>
        <v/>
      </c>
      <c r="Z166" s="243">
        <f>IF(Y166="","",V166-Y166)</f>
        <v/>
      </c>
      <c r="AA166" s="110">
        <f>IF(OR(Y166="",V166=0),"",Y166/V166)</f>
        <v/>
      </c>
      <c r="AB166" s="111">
        <f>IF(AA166="","⚪",IF(AA166&gt;1.2,"🔴",IF(AA166&gt;1.1,"🟡","🟢")))</f>
        <v/>
      </c>
      <c r="AD166" s="105" t="n">
        <v>21658.833</v>
      </c>
      <c r="AE166" s="106" t="n">
        <v>8100</v>
      </c>
      <c r="AF166" s="107" t="n"/>
      <c r="AG166" s="108">
        <f>IF(AF166="","",AE166*AF166)</f>
        <v/>
      </c>
      <c r="AH166" s="243">
        <f>IF(AG166="","",AD166-AG166)</f>
        <v/>
      </c>
      <c r="AI166" s="110">
        <f>IF(OR(AG166="",AD166=0),"",AG166/AD166)</f>
        <v/>
      </c>
      <c r="AJ166" s="111">
        <f>IF(AI166="","⚪",IF(AI166&gt;1.2,"🔴",IF(AI166&gt;1.1,"🟡","🟢")))</f>
        <v/>
      </c>
    </row>
    <row r="167" ht="14" customHeight="1" s="176">
      <c r="A167" s="103" t="inlineStr">
        <is>
          <t>El Molle</t>
        </is>
      </c>
      <c r="B167" s="104" t="inlineStr">
        <is>
          <t>oronules 5,35 ha</t>
        </is>
      </c>
      <c r="C167" s="104" t="inlineStr">
        <is>
          <t>2- M.O. indirecta</t>
        </is>
      </c>
      <c r="D167" s="104" t="inlineStr">
        <is>
          <t>3,1-  ENCARGADO DE RIEGO</t>
        </is>
      </c>
      <c r="E167" s="104" t="inlineStr">
        <is>
          <t>día</t>
        </is>
      </c>
      <c r="F167" s="105" t="n">
        <v>137512.8665925</v>
      </c>
      <c r="G167" s="106" t="n">
        <v>51427.25</v>
      </c>
      <c r="H167" s="107" t="n"/>
      <c r="I167" s="108">
        <f>IF(H167="","",G167*H167)</f>
        <v/>
      </c>
      <c r="J167" s="243">
        <f>IF(I167="","",F167-I167)</f>
        <v/>
      </c>
      <c r="K167" s="110">
        <f>IF(OR(I167="",F167=0),"",I167/F167)</f>
        <v/>
      </c>
      <c r="L167" s="111">
        <f>IF(K167="","⚪",IF(K167&gt;1.2,"🔴",IF(K167&gt;1.1,"🟡","🟢")))</f>
        <v/>
      </c>
      <c r="N167" s="105" t="n">
        <v>137512.8665925</v>
      </c>
      <c r="O167" s="106" t="n">
        <v>51427.25</v>
      </c>
      <c r="P167" s="107" t="n"/>
      <c r="Q167" s="108">
        <f>IF(P167="","",O167*P167)</f>
        <v/>
      </c>
      <c r="R167" s="243">
        <f>IF(Q167="","",N167-Q167)</f>
        <v/>
      </c>
      <c r="S167" s="110">
        <f>IF(OR(Q167="",N167=0),"",Q167/N167)</f>
        <v/>
      </c>
      <c r="T167" s="111">
        <f>IF(S167="","⚪",IF(S167&gt;1.2,"🔴",IF(S167&gt;1.1,"🟡","🟢")))</f>
        <v/>
      </c>
      <c r="V167" s="105" t="n">
        <v>137512.8665925</v>
      </c>
      <c r="W167" s="106" t="n">
        <v>51427.25</v>
      </c>
      <c r="X167" s="107" t="n"/>
      <c r="Y167" s="108">
        <f>IF(X167="","",W167*X167)</f>
        <v/>
      </c>
      <c r="Z167" s="243">
        <f>IF(Y167="","",V167-Y167)</f>
        <v/>
      </c>
      <c r="AA167" s="110">
        <f>IF(OR(Y167="",V167=0),"",Y167/V167)</f>
        <v/>
      </c>
      <c r="AB167" s="111">
        <f>IF(AA167="","⚪",IF(AA167&gt;1.2,"🔴",IF(AA167&gt;1.1,"🟡","🟢")))</f>
        <v/>
      </c>
      <c r="AD167" s="105" t="n">
        <v>137512.8665925</v>
      </c>
      <c r="AE167" s="106" t="n">
        <v>51427.25</v>
      </c>
      <c r="AF167" s="107" t="n"/>
      <c r="AG167" s="108">
        <f>IF(AF167="","",AE167*AF167)</f>
        <v/>
      </c>
      <c r="AH167" s="243">
        <f>IF(AG167="","",AD167-AG167)</f>
        <v/>
      </c>
      <c r="AI167" s="110">
        <f>IF(OR(AG167="",AD167=0),"",AG167/AD167)</f>
        <v/>
      </c>
      <c r="AJ167" s="111">
        <f>IF(AI167="","⚪",IF(AI167&gt;1.2,"🔴",IF(AI167&gt;1.1,"🟡","🟢")))</f>
        <v/>
      </c>
    </row>
    <row r="168" ht="14" customHeight="1" s="176">
      <c r="A168" s="112" t="inlineStr">
        <is>
          <t>El Molle</t>
        </is>
      </c>
      <c r="B168" s="113" t="inlineStr">
        <is>
          <t>oronules 5,35 ha</t>
        </is>
      </c>
      <c r="C168" s="113" t="inlineStr">
        <is>
          <t>2- M.O. indirecta</t>
        </is>
      </c>
      <c r="D168" s="113" t="inlineStr">
        <is>
          <t>3- ADQUIS. Y BODEGA</t>
        </is>
      </c>
      <c r="E168" s="113" t="inlineStr">
        <is>
          <t>día</t>
        </is>
      </c>
      <c r="F168" s="105" t="n">
        <v>21658.833</v>
      </c>
      <c r="G168" s="106" t="n">
        <v>8100</v>
      </c>
      <c r="H168" s="107" t="n"/>
      <c r="I168" s="108">
        <f>IF(H168="","",G168*H168)</f>
        <v/>
      </c>
      <c r="J168" s="243">
        <f>IF(I168="","",F168-I168)</f>
        <v/>
      </c>
      <c r="K168" s="110">
        <f>IF(OR(I168="",F168=0),"",I168/F168)</f>
        <v/>
      </c>
      <c r="L168" s="111">
        <f>IF(K168="","⚪",IF(K168&gt;1.2,"🔴",IF(K168&gt;1.1,"🟡","🟢")))</f>
        <v/>
      </c>
      <c r="N168" s="105" t="n">
        <v>21658.833</v>
      </c>
      <c r="O168" s="106" t="n">
        <v>8100</v>
      </c>
      <c r="P168" s="107" t="n"/>
      <c r="Q168" s="108">
        <f>IF(P168="","",O168*P168)</f>
        <v/>
      </c>
      <c r="R168" s="243">
        <f>IF(Q168="","",N168-Q168)</f>
        <v/>
      </c>
      <c r="S168" s="110">
        <f>IF(OR(Q168="",N168=0),"",Q168/N168)</f>
        <v/>
      </c>
      <c r="T168" s="111">
        <f>IF(S168="","⚪",IF(S168&gt;1.2,"🔴",IF(S168&gt;1.1,"🟡","🟢")))</f>
        <v/>
      </c>
      <c r="V168" s="105" t="n">
        <v>21658.833</v>
      </c>
      <c r="W168" s="106" t="n">
        <v>8100</v>
      </c>
      <c r="X168" s="107" t="n"/>
      <c r="Y168" s="108">
        <f>IF(X168="","",W168*X168)</f>
        <v/>
      </c>
      <c r="Z168" s="243">
        <f>IF(Y168="","",V168-Y168)</f>
        <v/>
      </c>
      <c r="AA168" s="110">
        <f>IF(OR(Y168="",V168=0),"",Y168/V168)</f>
        <v/>
      </c>
      <c r="AB168" s="111">
        <f>IF(AA168="","⚪",IF(AA168&gt;1.2,"🔴",IF(AA168&gt;1.1,"🟡","🟢")))</f>
        <v/>
      </c>
      <c r="AD168" s="105" t="n">
        <v>21658.833</v>
      </c>
      <c r="AE168" s="106" t="n">
        <v>8100</v>
      </c>
      <c r="AF168" s="107" t="n"/>
      <c r="AG168" s="108">
        <f>IF(AF168="","",AE168*AF168)</f>
        <v/>
      </c>
      <c r="AH168" s="243">
        <f>IF(AG168="","",AD168-AG168)</f>
        <v/>
      </c>
      <c r="AI168" s="110">
        <f>IF(OR(AG168="",AD168=0),"",AG168/AD168)</f>
        <v/>
      </c>
      <c r="AJ168" s="111">
        <f>IF(AI168="","⚪",IF(AI168&gt;1.2,"🔴",IF(AI168&gt;1.1,"🟡","🟢")))</f>
        <v/>
      </c>
    </row>
    <row r="169" ht="14" customHeight="1" s="176">
      <c r="A169" s="103" t="inlineStr">
        <is>
          <t>El Molle</t>
        </is>
      </c>
      <c r="B169" s="104" t="inlineStr">
        <is>
          <t>oronules 5,35 ha</t>
        </is>
      </c>
      <c r="C169" s="104" t="inlineStr">
        <is>
          <t>2- M.O. indirecta</t>
        </is>
      </c>
      <c r="D169" s="104" t="inlineStr">
        <is>
          <t>4,1- ENCARGADO MANTENCIONES</t>
        </is>
      </c>
      <c r="E169" s="104" t="inlineStr">
        <is>
          <t>día</t>
        </is>
      </c>
      <c r="F169" s="105" t="n">
        <v>29413.23</v>
      </c>
      <c r="G169" s="106" t="n">
        <v>11000</v>
      </c>
      <c r="H169" s="107" t="n"/>
      <c r="I169" s="108">
        <f>IF(H169="","",G169*H169)</f>
        <v/>
      </c>
      <c r="J169" s="243">
        <f>IF(I169="","",F169-I169)</f>
        <v/>
      </c>
      <c r="K169" s="110">
        <f>IF(OR(I169="",F169=0),"",I169/F169)</f>
        <v/>
      </c>
      <c r="L169" s="111">
        <f>IF(K169="","⚪",IF(K169&gt;1.2,"🔴",IF(K169&gt;1.1,"🟡","🟢")))</f>
        <v/>
      </c>
      <c r="N169" s="105" t="n">
        <v>29413.23</v>
      </c>
      <c r="O169" s="106" t="n">
        <v>11000</v>
      </c>
      <c r="P169" s="107" t="n"/>
      <c r="Q169" s="108">
        <f>IF(P169="","",O169*P169)</f>
        <v/>
      </c>
      <c r="R169" s="243">
        <f>IF(Q169="","",N169-Q169)</f>
        <v/>
      </c>
      <c r="S169" s="110">
        <f>IF(OR(Q169="",N169=0),"",Q169/N169)</f>
        <v/>
      </c>
      <c r="T169" s="111">
        <f>IF(S169="","⚪",IF(S169&gt;1.2,"🔴",IF(S169&gt;1.1,"🟡","🟢")))</f>
        <v/>
      </c>
      <c r="V169" s="105" t="n">
        <v>29413.23</v>
      </c>
      <c r="W169" s="106" t="n">
        <v>11000</v>
      </c>
      <c r="X169" s="107" t="n"/>
      <c r="Y169" s="108">
        <f>IF(X169="","",W169*X169)</f>
        <v/>
      </c>
      <c r="Z169" s="243">
        <f>IF(Y169="","",V169-Y169)</f>
        <v/>
      </c>
      <c r="AA169" s="110">
        <f>IF(OR(Y169="",V169=0),"",Y169/V169)</f>
        <v/>
      </c>
      <c r="AB169" s="111">
        <f>IF(AA169="","⚪",IF(AA169&gt;1.2,"🔴",IF(AA169&gt;1.1,"🟡","🟢")))</f>
        <v/>
      </c>
      <c r="AD169" s="105" t="n">
        <v>29413.23</v>
      </c>
      <c r="AE169" s="106" t="n">
        <v>11000</v>
      </c>
      <c r="AF169" s="107" t="n"/>
      <c r="AG169" s="108">
        <f>IF(AF169="","",AE169*AF169)</f>
        <v/>
      </c>
      <c r="AH169" s="243">
        <f>IF(AG169="","",AD169-AG169)</f>
        <v/>
      </c>
      <c r="AI169" s="110">
        <f>IF(OR(AG169="",AD169=0),"",AG169/AD169)</f>
        <v/>
      </c>
      <c r="AJ169" s="111">
        <f>IF(AI169="","⚪",IF(AI169&gt;1.2,"🔴",IF(AI169&gt;1.1,"🟡","🟢")))</f>
        <v/>
      </c>
    </row>
    <row r="170" ht="14" customHeight="1" s="176">
      <c r="A170" s="112" t="inlineStr">
        <is>
          <t>El Molle</t>
        </is>
      </c>
      <c r="B170" s="113" t="inlineStr">
        <is>
          <t>oronules 5,35 ha</t>
        </is>
      </c>
      <c r="C170" s="113" t="inlineStr">
        <is>
          <t>2- M.O. indirecta</t>
        </is>
      </c>
      <c r="D170" s="113" t="inlineStr">
        <is>
          <t>4- CERTIFICACIONES</t>
        </is>
      </c>
      <c r="E170" s="113" t="inlineStr">
        <is>
          <t>día</t>
        </is>
      </c>
      <c r="F170" s="105" t="n">
        <v>17285.8433125</v>
      </c>
      <c r="G170" s="106" t="n">
        <v>6464.58333333333</v>
      </c>
      <c r="H170" s="107" t="n"/>
      <c r="I170" s="108">
        <f>IF(H170="","",G170*H170)</f>
        <v/>
      </c>
      <c r="J170" s="243">
        <f>IF(I170="","",F170-I170)</f>
        <v/>
      </c>
      <c r="K170" s="110">
        <f>IF(OR(I170="",F170=0),"",I170/F170)</f>
        <v/>
      </c>
      <c r="L170" s="111">
        <f>IF(K170="","⚪",IF(K170&gt;1.2,"🔴",IF(K170&gt;1.1,"🟡","🟢")))</f>
        <v/>
      </c>
      <c r="N170" s="105" t="n">
        <v>17285.8433125</v>
      </c>
      <c r="O170" s="106" t="n">
        <v>6464.58333333333</v>
      </c>
      <c r="P170" s="107" t="n"/>
      <c r="Q170" s="108">
        <f>IF(P170="","",O170*P170)</f>
        <v/>
      </c>
      <c r="R170" s="243">
        <f>IF(Q170="","",N170-Q170)</f>
        <v/>
      </c>
      <c r="S170" s="110">
        <f>IF(OR(Q170="",N170=0),"",Q170/N170)</f>
        <v/>
      </c>
      <c r="T170" s="111">
        <f>IF(S170="","⚪",IF(S170&gt;1.2,"🔴",IF(S170&gt;1.1,"🟡","🟢")))</f>
        <v/>
      </c>
      <c r="V170" s="105" t="n">
        <v>17285.8433125</v>
      </c>
      <c r="W170" s="106" t="n">
        <v>6464.58333333333</v>
      </c>
      <c r="X170" s="107" t="n"/>
      <c r="Y170" s="108">
        <f>IF(X170="","",W170*X170)</f>
        <v/>
      </c>
      <c r="Z170" s="243">
        <f>IF(Y170="","",V170-Y170)</f>
        <v/>
      </c>
      <c r="AA170" s="110">
        <f>IF(OR(Y170="",V170=0),"",Y170/V170)</f>
        <v/>
      </c>
      <c r="AB170" s="111">
        <f>IF(AA170="","⚪",IF(AA170&gt;1.2,"🔴",IF(AA170&gt;1.1,"🟡","🟢")))</f>
        <v/>
      </c>
      <c r="AD170" s="105" t="n">
        <v>17285.8433125</v>
      </c>
      <c r="AE170" s="106" t="n">
        <v>6464.58333333333</v>
      </c>
      <c r="AF170" s="107" t="n"/>
      <c r="AG170" s="108">
        <f>IF(AF170="","",AE170*AF170)</f>
        <v/>
      </c>
      <c r="AH170" s="243">
        <f>IF(AG170="","",AD170-AG170)</f>
        <v/>
      </c>
      <c r="AI170" s="110">
        <f>IF(OR(AG170="",AD170=0),"",AG170/AD170)</f>
        <v/>
      </c>
      <c r="AJ170" s="111">
        <f>IF(AI170="","⚪",IF(AI170&gt;1.2,"🔴",IF(AI170&gt;1.1,"🟡","🟢")))</f>
        <v/>
      </c>
    </row>
    <row r="171" ht="14" customHeight="1" s="176">
      <c r="A171" s="103" t="inlineStr">
        <is>
          <t>El Molle</t>
        </is>
      </c>
      <c r="B171" s="104" t="inlineStr">
        <is>
          <t>oronules 5,35 ha</t>
        </is>
      </c>
      <c r="C171" s="104" t="inlineStr">
        <is>
          <t>2- M.O. indirecta</t>
        </is>
      </c>
      <c r="D171" s="104" t="inlineStr">
        <is>
          <t>5,1- SUPERVISOR</t>
        </is>
      </c>
      <c r="E171" s="104" t="inlineStr">
        <is>
          <t>día</t>
        </is>
      </c>
      <c r="F171" s="105" t="n">
        <v>105687.08325</v>
      </c>
      <c r="G171" s="106" t="n">
        <v>39525</v>
      </c>
      <c r="H171" s="107" t="n"/>
      <c r="I171" s="108">
        <f>IF(H171="","",G171*H171)</f>
        <v/>
      </c>
      <c r="J171" s="243">
        <f>IF(I171="","",F171-I171)</f>
        <v/>
      </c>
      <c r="K171" s="110">
        <f>IF(OR(I171="",F171=0),"",I171/F171)</f>
        <v/>
      </c>
      <c r="L171" s="111">
        <f>IF(K171="","⚪",IF(K171&gt;1.2,"🔴",IF(K171&gt;1.1,"🟡","🟢")))</f>
        <v/>
      </c>
      <c r="N171" s="105" t="n">
        <v>105687.08325</v>
      </c>
      <c r="O171" s="106" t="n">
        <v>39525</v>
      </c>
      <c r="P171" s="107" t="n"/>
      <c r="Q171" s="108">
        <f>IF(P171="","",O171*P171)</f>
        <v/>
      </c>
      <c r="R171" s="243">
        <f>IF(Q171="","",N171-Q171)</f>
        <v/>
      </c>
      <c r="S171" s="110">
        <f>IF(OR(Q171="",N171=0),"",Q171/N171)</f>
        <v/>
      </c>
      <c r="T171" s="111">
        <f>IF(S171="","⚪",IF(S171&gt;1.2,"🔴",IF(S171&gt;1.1,"🟡","🟢")))</f>
        <v/>
      </c>
      <c r="V171" s="105" t="n">
        <v>105687.08325</v>
      </c>
      <c r="W171" s="106" t="n">
        <v>39525</v>
      </c>
      <c r="X171" s="107" t="n"/>
      <c r="Y171" s="108">
        <f>IF(X171="","",W171*X171)</f>
        <v/>
      </c>
      <c r="Z171" s="243">
        <f>IF(Y171="","",V171-Y171)</f>
        <v/>
      </c>
      <c r="AA171" s="110">
        <f>IF(OR(Y171="",V171=0),"",Y171/V171)</f>
        <v/>
      </c>
      <c r="AB171" s="111">
        <f>IF(AA171="","⚪",IF(AA171&gt;1.2,"🔴",IF(AA171&gt;1.1,"🟡","🟢")))</f>
        <v/>
      </c>
      <c r="AD171" s="105" t="n">
        <v>105687.08325</v>
      </c>
      <c r="AE171" s="106" t="n">
        <v>39525</v>
      </c>
      <c r="AF171" s="107" t="n"/>
      <c r="AG171" s="108">
        <f>IF(AF171="","",AE171*AF171)</f>
        <v/>
      </c>
      <c r="AH171" s="243">
        <f>IF(AG171="","",AD171-AG171)</f>
        <v/>
      </c>
      <c r="AI171" s="110">
        <f>IF(OR(AG171="",AD171=0),"",AG171/AD171)</f>
        <v/>
      </c>
      <c r="AJ171" s="111">
        <f>IF(AI171="","⚪",IF(AI171&gt;1.2,"🔴",IF(AI171&gt;1.1,"🟡","🟢")))</f>
        <v/>
      </c>
    </row>
    <row r="172" ht="14" customHeight="1" s="176">
      <c r="A172" s="112" t="inlineStr">
        <is>
          <t>El Molle</t>
        </is>
      </c>
      <c r="B172" s="113" t="inlineStr">
        <is>
          <t>oronules 5,35 ha</t>
        </is>
      </c>
      <c r="C172" s="113" t="inlineStr">
        <is>
          <t>2- M.O. indirecta</t>
        </is>
      </c>
      <c r="D172" s="113" t="inlineStr">
        <is>
          <t>5- PREVEN. DE RIESGO</t>
        </is>
      </c>
      <c r="E172" s="113" t="inlineStr">
        <is>
          <t>día</t>
        </is>
      </c>
      <c r="F172" s="105" t="n">
        <v>4211.43975</v>
      </c>
      <c r="G172" s="106" t="n">
        <v>1575</v>
      </c>
      <c r="H172" s="107" t="n"/>
      <c r="I172" s="108">
        <f>IF(H172="","",G172*H172)</f>
        <v/>
      </c>
      <c r="J172" s="243">
        <f>IF(I172="","",F172-I172)</f>
        <v/>
      </c>
      <c r="K172" s="110">
        <f>IF(OR(I172="",F172=0),"",I172/F172)</f>
        <v/>
      </c>
      <c r="L172" s="111">
        <f>IF(K172="","⚪",IF(K172&gt;1.2,"🔴",IF(K172&gt;1.1,"🟡","🟢")))</f>
        <v/>
      </c>
      <c r="N172" s="105" t="n">
        <v>4211.43975</v>
      </c>
      <c r="O172" s="106" t="n">
        <v>1575</v>
      </c>
      <c r="P172" s="107" t="n"/>
      <c r="Q172" s="108">
        <f>IF(P172="","",O172*P172)</f>
        <v/>
      </c>
      <c r="R172" s="243">
        <f>IF(Q172="","",N172-Q172)</f>
        <v/>
      </c>
      <c r="S172" s="110">
        <f>IF(OR(Q172="",N172=0),"",Q172/N172)</f>
        <v/>
      </c>
      <c r="T172" s="111">
        <f>IF(S172="","⚪",IF(S172&gt;1.2,"🔴",IF(S172&gt;1.1,"🟡","🟢")))</f>
        <v/>
      </c>
      <c r="V172" s="105" t="n">
        <v>4211.43975</v>
      </c>
      <c r="W172" s="106" t="n">
        <v>1575</v>
      </c>
      <c r="X172" s="107" t="n"/>
      <c r="Y172" s="108">
        <f>IF(X172="","",W172*X172)</f>
        <v/>
      </c>
      <c r="Z172" s="243">
        <f>IF(Y172="","",V172-Y172)</f>
        <v/>
      </c>
      <c r="AA172" s="110">
        <f>IF(OR(Y172="",V172=0),"",Y172/V172)</f>
        <v/>
      </c>
      <c r="AB172" s="111">
        <f>IF(AA172="","⚪",IF(AA172&gt;1.2,"🔴",IF(AA172&gt;1.1,"🟡","🟢")))</f>
        <v/>
      </c>
      <c r="AD172" s="105" t="n">
        <v>4211.43975</v>
      </c>
      <c r="AE172" s="106" t="n">
        <v>1575</v>
      </c>
      <c r="AF172" s="107" t="n"/>
      <c r="AG172" s="108">
        <f>IF(AF172="","",AE172*AF172)</f>
        <v/>
      </c>
      <c r="AH172" s="243">
        <f>IF(AG172="","",AD172-AG172)</f>
        <v/>
      </c>
      <c r="AI172" s="110">
        <f>IF(OR(AG172="",AD172=0),"",AG172/AD172)</f>
        <v/>
      </c>
      <c r="AJ172" s="111">
        <f>IF(AI172="","⚪",IF(AI172&gt;1.2,"🔴",IF(AI172&gt;1.1,"🟡","🟢")))</f>
        <v/>
      </c>
    </row>
    <row r="173" ht="14" customHeight="1" s="176">
      <c r="A173" s="103" t="inlineStr">
        <is>
          <t>El Molle</t>
        </is>
      </c>
      <c r="B173" s="104" t="inlineStr">
        <is>
          <t>oronules 5,35 ha</t>
        </is>
      </c>
      <c r="C173" s="104" t="inlineStr">
        <is>
          <t>2- M.O. indirecta</t>
        </is>
      </c>
      <c r="D173" s="104" t="inlineStr">
        <is>
          <t>9,1- RONDIN FUNDO</t>
        </is>
      </c>
      <c r="E173" s="104" t="inlineStr">
        <is>
          <t>día</t>
        </is>
      </c>
      <c r="F173" s="105" t="n">
        <v>19242.3</v>
      </c>
      <c r="G173" s="106" t="n">
        <v>38500</v>
      </c>
      <c r="H173" s="107" t="n"/>
      <c r="I173" s="108">
        <f>IF(H173="","",G173*H173)</f>
        <v/>
      </c>
      <c r="J173" s="243">
        <f>IF(I173="","",F173-I173)</f>
        <v/>
      </c>
      <c r="K173" s="110">
        <f>IF(OR(I173="",F173=0),"",I173/F173)</f>
        <v/>
      </c>
      <c r="L173" s="111">
        <f>IF(K173="","⚪",IF(K173&gt;1.2,"🔴",IF(K173&gt;1.1,"🟡","🟢")))</f>
        <v/>
      </c>
      <c r="N173" s="105" t="n">
        <v>19242.3</v>
      </c>
      <c r="O173" s="106" t="n">
        <v>38500</v>
      </c>
      <c r="P173" s="107" t="n"/>
      <c r="Q173" s="108">
        <f>IF(P173="","",O173*P173)</f>
        <v/>
      </c>
      <c r="R173" s="243">
        <f>IF(Q173="","",N173-Q173)</f>
        <v/>
      </c>
      <c r="S173" s="110">
        <f>IF(OR(Q173="",N173=0),"",Q173/N173)</f>
        <v/>
      </c>
      <c r="T173" s="111">
        <f>IF(S173="","⚪",IF(S173&gt;1.2,"🔴",IF(S173&gt;1.1,"🟡","🟢")))</f>
        <v/>
      </c>
      <c r="V173" s="105" t="n">
        <v>19242.3</v>
      </c>
      <c r="W173" s="106" t="n">
        <v>38500</v>
      </c>
      <c r="X173" s="107" t="n"/>
      <c r="Y173" s="108">
        <f>IF(X173="","",W173*X173)</f>
        <v/>
      </c>
      <c r="Z173" s="243">
        <f>IF(Y173="","",V173-Y173)</f>
        <v/>
      </c>
      <c r="AA173" s="110">
        <f>IF(OR(Y173="",V173=0),"",Y173/V173)</f>
        <v/>
      </c>
      <c r="AB173" s="111">
        <f>IF(AA173="","⚪",IF(AA173&gt;1.2,"🔴",IF(AA173&gt;1.1,"🟡","🟢")))</f>
        <v/>
      </c>
      <c r="AD173" s="105" t="n">
        <v>19242.3</v>
      </c>
      <c r="AE173" s="106" t="n">
        <v>38500</v>
      </c>
      <c r="AF173" s="107" t="n"/>
      <c r="AG173" s="108">
        <f>IF(AF173="","",AE173*AF173)</f>
        <v/>
      </c>
      <c r="AH173" s="243">
        <f>IF(AG173="","",AD173-AG173)</f>
        <v/>
      </c>
      <c r="AI173" s="110">
        <f>IF(OR(AG173="",AD173=0),"",AG173/AD173)</f>
        <v/>
      </c>
      <c r="AJ173" s="111">
        <f>IF(AI173="","⚪",IF(AI173&gt;1.2,"🔴",IF(AI173&gt;1.1,"🟡","🟢")))</f>
        <v/>
      </c>
    </row>
    <row r="174" ht="14" customHeight="1" s="176">
      <c r="A174" s="112" t="inlineStr">
        <is>
          <t>Santa Catalina</t>
        </is>
      </c>
      <c r="B174" s="113" t="inlineStr">
        <is>
          <t>Fino 49 7,7 ha</t>
        </is>
      </c>
      <c r="C174" s="113" t="inlineStr">
        <is>
          <t>1- M.O. directa</t>
        </is>
      </c>
      <c r="D174" s="113" t="inlineStr">
        <is>
          <t xml:space="preserve">1,4- Mantención caminos </t>
        </is>
      </c>
      <c r="E174" s="113" t="inlineStr">
        <is>
          <t>día</t>
        </is>
      </c>
      <c r="F174" s="105" t="n">
        <v>50242.5</v>
      </c>
      <c r="G174" s="106" t="n">
        <v>43500</v>
      </c>
      <c r="H174" s="107" t="n"/>
      <c r="I174" s="108">
        <f>IF(H174="","",G174*H174)</f>
        <v/>
      </c>
      <c r="J174" s="243">
        <f>IF(I174="","",F174-I174)</f>
        <v/>
      </c>
      <c r="K174" s="110">
        <f>IF(OR(I174="",F174=0),"",I174/F174)</f>
        <v/>
      </c>
      <c r="L174" s="111">
        <f>IF(K174="","⚪",IF(K174&gt;1.2,"🔴",IF(K174&gt;1.1,"🟡","🟢")))</f>
        <v/>
      </c>
      <c r="N174" s="105" t="n">
        <v>50242.5</v>
      </c>
      <c r="O174" s="106" t="n">
        <v>43500</v>
      </c>
      <c r="P174" s="107" t="n"/>
      <c r="Q174" s="108">
        <f>IF(P174="","",O174*P174)</f>
        <v/>
      </c>
      <c r="R174" s="243">
        <f>IF(Q174="","",N174-Q174)</f>
        <v/>
      </c>
      <c r="S174" s="110">
        <f>IF(OR(Q174="",N174=0),"",Q174/N174)</f>
        <v/>
      </c>
      <c r="T174" s="111">
        <f>IF(S174="","⚪",IF(S174&gt;1.2,"🔴",IF(S174&gt;1.1,"🟡","🟢")))</f>
        <v/>
      </c>
      <c r="V174" s="105" t="n">
        <v>50242.5</v>
      </c>
      <c r="W174" s="106" t="n">
        <v>43500</v>
      </c>
      <c r="X174" s="107" t="n"/>
      <c r="Y174" s="108">
        <f>IF(X174="","",W174*X174)</f>
        <v/>
      </c>
      <c r="Z174" s="243">
        <f>IF(Y174="","",V174-Y174)</f>
        <v/>
      </c>
      <c r="AA174" s="110">
        <f>IF(OR(Y174="",V174=0),"",Y174/V174)</f>
        <v/>
      </c>
      <c r="AB174" s="111">
        <f>IF(AA174="","⚪",IF(AA174&gt;1.2,"🔴",IF(AA174&gt;1.1,"🟡","🟢")))</f>
        <v/>
      </c>
      <c r="AD174" s="105" t="n">
        <v>50242.5</v>
      </c>
      <c r="AE174" s="106" t="n">
        <v>43500</v>
      </c>
      <c r="AF174" s="107" t="n"/>
      <c r="AG174" s="108">
        <f>IF(AF174="","",AE174*AF174)</f>
        <v/>
      </c>
      <c r="AH174" s="243">
        <f>IF(AG174="","",AD174-AG174)</f>
        <v/>
      </c>
      <c r="AI174" s="110">
        <f>IF(OR(AG174="",AD174=0),"",AG174/AD174)</f>
        <v/>
      </c>
      <c r="AJ174" s="111">
        <f>IF(AI174="","⚪",IF(AI174&gt;1.2,"🔴",IF(AI174&gt;1.1,"🟡","🟢")))</f>
        <v/>
      </c>
    </row>
    <row r="175" ht="14" customHeight="1" s="176">
      <c r="A175" s="103" t="inlineStr">
        <is>
          <t>Santa Catalina</t>
        </is>
      </c>
      <c r="B175" s="104" t="inlineStr">
        <is>
          <t>Fino 49 7,7 ha</t>
        </is>
      </c>
      <c r="C175" s="104" t="inlineStr">
        <is>
          <t>1- M.O. directa</t>
        </is>
      </c>
      <c r="D175" s="104" t="inlineStr">
        <is>
          <t>1- Cosecha EXP</t>
        </is>
      </c>
      <c r="E175" s="104" t="inlineStr">
        <is>
          <t>trato</t>
        </is>
      </c>
      <c r="F175" s="105" t="n">
        <v>820654.45</v>
      </c>
      <c r="G175" s="106" t="n">
        <v>83</v>
      </c>
      <c r="H175" s="107" t="n"/>
      <c r="I175" s="108">
        <f>IF(H175="","",G175*H175)</f>
        <v/>
      </c>
      <c r="J175" s="243">
        <f>IF(I175="","",F175-I175)</f>
        <v/>
      </c>
      <c r="K175" s="110">
        <f>IF(OR(I175="",F175=0),"",I175/F175)</f>
        <v/>
      </c>
      <c r="L175" s="111">
        <f>IF(K175="","⚪",IF(K175&gt;1.2,"🔴",IF(K175&gt;1.1,"🟡","🟢")))</f>
        <v/>
      </c>
      <c r="N175" s="105" t="n">
        <v>820654.45</v>
      </c>
      <c r="O175" s="106" t="n">
        <v>83</v>
      </c>
      <c r="P175" s="107" t="n"/>
      <c r="Q175" s="108">
        <f>IF(P175="","",O175*P175)</f>
        <v/>
      </c>
      <c r="R175" s="243">
        <f>IF(Q175="","",N175-Q175)</f>
        <v/>
      </c>
      <c r="S175" s="110">
        <f>IF(OR(Q175="",N175=0),"",Q175/N175)</f>
        <v/>
      </c>
      <c r="T175" s="111">
        <f>IF(S175="","⚪",IF(S175&gt;1.2,"🔴",IF(S175&gt;1.1,"🟡","🟢")))</f>
        <v/>
      </c>
      <c r="V175" s="105" t="n">
        <v>820654.45</v>
      </c>
      <c r="W175" s="106" t="n">
        <v>83</v>
      </c>
      <c r="X175" s="107" t="n"/>
      <c r="Y175" s="108">
        <f>IF(X175="","",W175*X175)</f>
        <v/>
      </c>
      <c r="Z175" s="243">
        <f>IF(Y175="","",V175-Y175)</f>
        <v/>
      </c>
      <c r="AA175" s="110">
        <f>IF(OR(Y175="",V175=0),"",Y175/V175)</f>
        <v/>
      </c>
      <c r="AB175" s="111">
        <f>IF(AA175="","⚪",IF(AA175&gt;1.2,"🔴",IF(AA175&gt;1.1,"🟡","🟢")))</f>
        <v/>
      </c>
      <c r="AD175" s="105" t="n">
        <v>820654.45</v>
      </c>
      <c r="AE175" s="106" t="n">
        <v>83</v>
      </c>
      <c r="AF175" s="107" t="n"/>
      <c r="AG175" s="108">
        <f>IF(AF175="","",AE175*AF175)</f>
        <v/>
      </c>
      <c r="AH175" s="243">
        <f>IF(AG175="","",AD175-AG175)</f>
        <v/>
      </c>
      <c r="AI175" s="110">
        <f>IF(OR(AG175="",AD175=0),"",AG175/AD175)</f>
        <v/>
      </c>
      <c r="AJ175" s="111">
        <f>IF(AI175="","⚪",IF(AI175&gt;1.2,"🔴",IF(AI175&gt;1.1,"🟡","🟢")))</f>
        <v/>
      </c>
    </row>
    <row r="176" ht="14" customHeight="1" s="176">
      <c r="A176" s="112" t="inlineStr">
        <is>
          <t>Santa Catalina</t>
        </is>
      </c>
      <c r="B176" s="113" t="inlineStr">
        <is>
          <t>Fino 49 7,7 ha</t>
        </is>
      </c>
      <c r="C176" s="113" t="inlineStr">
        <is>
          <t>1- M.O. directa</t>
        </is>
      </c>
      <c r="D176" s="113" t="inlineStr">
        <is>
          <t>1- Cosecha M.I</t>
        </is>
      </c>
      <c r="E176" s="113" t="inlineStr">
        <is>
          <t>trato</t>
        </is>
      </c>
      <c r="F176" s="105" t="n">
        <v>1095962.175</v>
      </c>
      <c r="G176" s="106" t="n"/>
      <c r="H176" s="107" t="n"/>
      <c r="I176" s="108">
        <f>IF(H176="","",G176*H176)</f>
        <v/>
      </c>
      <c r="J176" s="243">
        <f>IF(I176="","",F176-I176)</f>
        <v/>
      </c>
      <c r="K176" s="110">
        <f>IF(OR(I176="",F176=0),"",I176/F176)</f>
        <v/>
      </c>
      <c r="L176" s="111">
        <f>IF(K176="","⚪",IF(K176&gt;1.2,"🔴",IF(K176&gt;1.1,"🟡","🟢")))</f>
        <v/>
      </c>
      <c r="N176" s="105" t="n">
        <v>1095962.175</v>
      </c>
      <c r="O176" s="106" t="n"/>
      <c r="P176" s="107" t="n"/>
      <c r="Q176" s="108">
        <f>IF(P176="","",O176*P176)</f>
        <v/>
      </c>
      <c r="R176" s="243">
        <f>IF(Q176="","",N176-Q176)</f>
        <v/>
      </c>
      <c r="S176" s="110">
        <f>IF(OR(Q176="",N176=0),"",Q176/N176)</f>
        <v/>
      </c>
      <c r="T176" s="111">
        <f>IF(S176="","⚪",IF(S176&gt;1.2,"🔴",IF(S176&gt;1.1,"🟡","🟢")))</f>
        <v/>
      </c>
      <c r="V176" s="105" t="n">
        <v>1095962.175</v>
      </c>
      <c r="W176" s="106" t="n"/>
      <c r="X176" s="107" t="n"/>
      <c r="Y176" s="108">
        <f>IF(X176="","",W176*X176)</f>
        <v/>
      </c>
      <c r="Z176" s="243">
        <f>IF(Y176="","",V176-Y176)</f>
        <v/>
      </c>
      <c r="AA176" s="110">
        <f>IF(OR(Y176="",V176=0),"",Y176/V176)</f>
        <v/>
      </c>
      <c r="AB176" s="111">
        <f>IF(AA176="","⚪",IF(AA176&gt;1.2,"🔴",IF(AA176&gt;1.1,"🟡","🟢")))</f>
        <v/>
      </c>
      <c r="AD176" s="105" t="n">
        <v>1095962.175</v>
      </c>
      <c r="AE176" s="106" t="n"/>
      <c r="AF176" s="107" t="n"/>
      <c r="AG176" s="108">
        <f>IF(AF176="","",AE176*AF176)</f>
        <v/>
      </c>
      <c r="AH176" s="243">
        <f>IF(AG176="","",AD176-AG176)</f>
        <v/>
      </c>
      <c r="AI176" s="110">
        <f>IF(OR(AG176="",AD176=0),"",AG176/AD176)</f>
        <v/>
      </c>
      <c r="AJ176" s="111">
        <f>IF(AI176="","⚪",IF(AI176&gt;1.2,"🔴",IF(AI176&gt;1.1,"🟡","🟢")))</f>
        <v/>
      </c>
    </row>
    <row r="177" ht="14" customHeight="1" s="176">
      <c r="A177" s="103" t="inlineStr">
        <is>
          <t>Santa Catalina</t>
        </is>
      </c>
      <c r="B177" s="104" t="inlineStr">
        <is>
          <t>Fino 49 7,7 ha</t>
        </is>
      </c>
      <c r="C177" s="104" t="inlineStr">
        <is>
          <t>1- M.O. directa</t>
        </is>
      </c>
      <c r="D177" s="104" t="inlineStr">
        <is>
          <t>12- Picar sarmiento</t>
        </is>
      </c>
      <c r="E177" s="104" t="inlineStr">
        <is>
          <t>trato</t>
        </is>
      </c>
      <c r="F177" s="105" t="n">
        <v>9632.700000000001</v>
      </c>
      <c r="G177" s="106" t="n">
        <v>60</v>
      </c>
      <c r="H177" s="107" t="n"/>
      <c r="I177" s="108">
        <f>IF(H177="","",G177*H177)</f>
        <v/>
      </c>
      <c r="J177" s="243">
        <f>IF(I177="","",F177-I177)</f>
        <v/>
      </c>
      <c r="K177" s="110">
        <f>IF(OR(I177="",F177=0),"",I177/F177)</f>
        <v/>
      </c>
      <c r="L177" s="111">
        <f>IF(K177="","⚪",IF(K177&gt;1.2,"🔴",IF(K177&gt;1.1,"🟡","🟢")))</f>
        <v/>
      </c>
      <c r="N177" s="105" t="n">
        <v>9632.700000000001</v>
      </c>
      <c r="O177" s="106" t="n">
        <v>60</v>
      </c>
      <c r="P177" s="107" t="n"/>
      <c r="Q177" s="108">
        <f>IF(P177="","",O177*P177)</f>
        <v/>
      </c>
      <c r="R177" s="243">
        <f>IF(Q177="","",N177-Q177)</f>
        <v/>
      </c>
      <c r="S177" s="110">
        <f>IF(OR(Q177="",N177=0),"",Q177/N177)</f>
        <v/>
      </c>
      <c r="T177" s="111">
        <f>IF(S177="","⚪",IF(S177&gt;1.2,"🔴",IF(S177&gt;1.1,"🟡","🟢")))</f>
        <v/>
      </c>
      <c r="V177" s="105" t="n">
        <v>9632.700000000001</v>
      </c>
      <c r="W177" s="106" t="n">
        <v>60</v>
      </c>
      <c r="X177" s="107" t="n"/>
      <c r="Y177" s="108">
        <f>IF(X177="","",W177*X177)</f>
        <v/>
      </c>
      <c r="Z177" s="243">
        <f>IF(Y177="","",V177-Y177)</f>
        <v/>
      </c>
      <c r="AA177" s="110">
        <f>IF(OR(Y177="",V177=0),"",Y177/V177)</f>
        <v/>
      </c>
      <c r="AB177" s="111">
        <f>IF(AA177="","⚪",IF(AA177&gt;1.2,"🔴",IF(AA177&gt;1.1,"🟡","🟢")))</f>
        <v/>
      </c>
      <c r="AD177" s="105" t="n">
        <v>9632.700000000001</v>
      </c>
      <c r="AE177" s="106" t="n">
        <v>60</v>
      </c>
      <c r="AF177" s="107" t="n"/>
      <c r="AG177" s="108">
        <f>IF(AF177="","",AE177*AF177)</f>
        <v/>
      </c>
      <c r="AH177" s="243">
        <f>IF(AG177="","",AD177-AG177)</f>
        <v/>
      </c>
      <c r="AI177" s="110">
        <f>IF(OR(AG177="",AD177=0),"",AG177/AD177)</f>
        <v/>
      </c>
      <c r="AJ177" s="111">
        <f>IF(AI177="","⚪",IF(AI177&gt;1.2,"🔴",IF(AI177&gt;1.1,"🟡","🟢")))</f>
        <v/>
      </c>
    </row>
    <row r="178" ht="14" customHeight="1" s="176">
      <c r="A178" s="112" t="inlineStr">
        <is>
          <t>Santa Catalina</t>
        </is>
      </c>
      <c r="B178" s="113" t="inlineStr">
        <is>
          <t>Fino 49 7,7 ha</t>
        </is>
      </c>
      <c r="C178" s="113" t="inlineStr">
        <is>
          <t>1- M.O. directa</t>
        </is>
      </c>
      <c r="D178" s="113" t="inlineStr">
        <is>
          <t>13- Poda antenas</t>
        </is>
      </c>
      <c r="E178" s="113" t="inlineStr">
        <is>
          <t>trato</t>
        </is>
      </c>
      <c r="F178" s="105" t="n">
        <v>96327</v>
      </c>
      <c r="G178" s="106" t="n">
        <v>600</v>
      </c>
      <c r="H178" s="107" t="n"/>
      <c r="I178" s="108">
        <f>IF(H178="","",G178*H178)</f>
        <v/>
      </c>
      <c r="J178" s="243">
        <f>IF(I178="","",F178-I178)</f>
        <v/>
      </c>
      <c r="K178" s="110">
        <f>IF(OR(I178="",F178=0),"",I178/F178)</f>
        <v/>
      </c>
      <c r="L178" s="111">
        <f>IF(K178="","⚪",IF(K178&gt;1.2,"🔴",IF(K178&gt;1.1,"🟡","🟢")))</f>
        <v/>
      </c>
      <c r="N178" s="105" t="n">
        <v>96327</v>
      </c>
      <c r="O178" s="106" t="n">
        <v>600</v>
      </c>
      <c r="P178" s="107" t="n"/>
      <c r="Q178" s="108">
        <f>IF(P178="","",O178*P178)</f>
        <v/>
      </c>
      <c r="R178" s="243">
        <f>IF(Q178="","",N178-Q178)</f>
        <v/>
      </c>
      <c r="S178" s="110">
        <f>IF(OR(Q178="",N178=0),"",Q178/N178)</f>
        <v/>
      </c>
      <c r="T178" s="111">
        <f>IF(S178="","⚪",IF(S178&gt;1.2,"🔴",IF(S178&gt;1.1,"🟡","🟢")))</f>
        <v/>
      </c>
      <c r="V178" s="105" t="n">
        <v>96327</v>
      </c>
      <c r="W178" s="106" t="n">
        <v>600</v>
      </c>
      <c r="X178" s="107" t="n"/>
      <c r="Y178" s="108">
        <f>IF(X178="","",W178*X178)</f>
        <v/>
      </c>
      <c r="Z178" s="243">
        <f>IF(Y178="","",V178-Y178)</f>
        <v/>
      </c>
      <c r="AA178" s="110">
        <f>IF(OR(Y178="",V178=0),"",Y178/V178)</f>
        <v/>
      </c>
      <c r="AB178" s="111">
        <f>IF(AA178="","⚪",IF(AA178&gt;1.2,"🔴",IF(AA178&gt;1.1,"🟡","🟢")))</f>
        <v/>
      </c>
      <c r="AD178" s="105" t="n">
        <v>96327</v>
      </c>
      <c r="AE178" s="106" t="n">
        <v>600</v>
      </c>
      <c r="AF178" s="107" t="n"/>
      <c r="AG178" s="108">
        <f>IF(AF178="","",AE178*AF178)</f>
        <v/>
      </c>
      <c r="AH178" s="243">
        <f>IF(AG178="","",AD178-AG178)</f>
        <v/>
      </c>
      <c r="AI178" s="110">
        <f>IF(OR(AG178="",AD178=0),"",AG178/AD178)</f>
        <v/>
      </c>
      <c r="AJ178" s="111">
        <f>IF(AI178="","⚪",IF(AI178&gt;1.2,"🔴",IF(AI178&gt;1.1,"🟡","🟢")))</f>
        <v/>
      </c>
    </row>
    <row r="179" ht="14" customHeight="1" s="176">
      <c r="A179" s="103" t="inlineStr">
        <is>
          <t>Santa Catalina</t>
        </is>
      </c>
      <c r="B179" s="104" t="inlineStr">
        <is>
          <t>Fino 49 7,7 ha</t>
        </is>
      </c>
      <c r="C179" s="104" t="inlineStr">
        <is>
          <t>1- M.O. directa</t>
        </is>
      </c>
      <c r="D179" s="104" t="inlineStr">
        <is>
          <t>14- Poda de sierrpes</t>
        </is>
      </c>
      <c r="E179" s="104" t="inlineStr">
        <is>
          <t>trato</t>
        </is>
      </c>
      <c r="F179" s="105" t="n">
        <v>7224.525</v>
      </c>
      <c r="G179" s="106" t="n">
        <v>30</v>
      </c>
      <c r="H179" s="107" t="n"/>
      <c r="I179" s="108">
        <f>IF(H179="","",G179*H179)</f>
        <v/>
      </c>
      <c r="J179" s="243">
        <f>IF(I179="","",F179-I179)</f>
        <v/>
      </c>
      <c r="K179" s="110">
        <f>IF(OR(I179="",F179=0),"",I179/F179)</f>
        <v/>
      </c>
      <c r="L179" s="111">
        <f>IF(K179="","⚪",IF(K179&gt;1.2,"🔴",IF(K179&gt;1.1,"🟡","🟢")))</f>
        <v/>
      </c>
      <c r="N179" s="105" t="n">
        <v>7224.525</v>
      </c>
      <c r="O179" s="106" t="n">
        <v>30</v>
      </c>
      <c r="P179" s="107" t="n"/>
      <c r="Q179" s="108">
        <f>IF(P179="","",O179*P179)</f>
        <v/>
      </c>
      <c r="R179" s="243">
        <f>IF(Q179="","",N179-Q179)</f>
        <v/>
      </c>
      <c r="S179" s="110">
        <f>IF(OR(Q179="",N179=0),"",Q179/N179)</f>
        <v/>
      </c>
      <c r="T179" s="111">
        <f>IF(S179="","⚪",IF(S179&gt;1.2,"🔴",IF(S179&gt;1.1,"🟡","🟢")))</f>
        <v/>
      </c>
      <c r="V179" s="105" t="n">
        <v>7224.525</v>
      </c>
      <c r="W179" s="106" t="n">
        <v>30</v>
      </c>
      <c r="X179" s="107" t="n"/>
      <c r="Y179" s="108">
        <f>IF(X179="","",W179*X179)</f>
        <v/>
      </c>
      <c r="Z179" s="243">
        <f>IF(Y179="","",V179-Y179)</f>
        <v/>
      </c>
      <c r="AA179" s="110">
        <f>IF(OR(Y179="",V179=0),"",Y179/V179)</f>
        <v/>
      </c>
      <c r="AB179" s="111">
        <f>IF(AA179="","⚪",IF(AA179&gt;1.2,"🔴",IF(AA179&gt;1.1,"🟡","🟢")))</f>
        <v/>
      </c>
      <c r="AD179" s="105" t="n">
        <v>7224.525</v>
      </c>
      <c r="AE179" s="106" t="n">
        <v>30</v>
      </c>
      <c r="AF179" s="107" t="n"/>
      <c r="AG179" s="108">
        <f>IF(AF179="","",AE179*AF179)</f>
        <v/>
      </c>
      <c r="AH179" s="243">
        <f>IF(AG179="","",AD179-AG179)</f>
        <v/>
      </c>
      <c r="AI179" s="110">
        <f>IF(OR(AG179="",AD179=0),"",AG179/AD179)</f>
        <v/>
      </c>
      <c r="AJ179" s="111">
        <f>IF(AI179="","⚪",IF(AI179&gt;1.2,"🔴",IF(AI179&gt;1.1,"🟡","🟢")))</f>
        <v/>
      </c>
    </row>
    <row r="180" ht="14" customHeight="1" s="176">
      <c r="A180" s="112" t="inlineStr">
        <is>
          <t>Santa Catalina</t>
        </is>
      </c>
      <c r="B180" s="113" t="inlineStr">
        <is>
          <t>Fino 49 7,7 ha</t>
        </is>
      </c>
      <c r="C180" s="113" t="inlineStr">
        <is>
          <t>1- M.O. directa</t>
        </is>
      </c>
      <c r="D180" s="113" t="inlineStr">
        <is>
          <t>15- Poda primavera</t>
        </is>
      </c>
      <c r="E180" s="113" t="inlineStr">
        <is>
          <t>trato</t>
        </is>
      </c>
      <c r="F180" s="105" t="n">
        <v>144490.5</v>
      </c>
      <c r="G180" s="106" t="n">
        <v>900</v>
      </c>
      <c r="H180" s="107" t="n"/>
      <c r="I180" s="108">
        <f>IF(H180="","",G180*H180)</f>
        <v/>
      </c>
      <c r="J180" s="243">
        <f>IF(I180="","",F180-I180)</f>
        <v/>
      </c>
      <c r="K180" s="110">
        <f>IF(OR(I180="",F180=0),"",I180/F180)</f>
        <v/>
      </c>
      <c r="L180" s="111">
        <f>IF(K180="","⚪",IF(K180&gt;1.2,"🔴",IF(K180&gt;1.1,"🟡","🟢")))</f>
        <v/>
      </c>
      <c r="N180" s="105" t="n">
        <v>144490.5</v>
      </c>
      <c r="O180" s="106" t="n">
        <v>900</v>
      </c>
      <c r="P180" s="107" t="n"/>
      <c r="Q180" s="108">
        <f>IF(P180="","",O180*P180)</f>
        <v/>
      </c>
      <c r="R180" s="243">
        <f>IF(Q180="","",N180-Q180)</f>
        <v/>
      </c>
      <c r="S180" s="110">
        <f>IF(OR(Q180="",N180=0),"",Q180/N180)</f>
        <v/>
      </c>
      <c r="T180" s="111">
        <f>IF(S180="","⚪",IF(S180&gt;1.2,"🔴",IF(S180&gt;1.1,"🟡","🟢")))</f>
        <v/>
      </c>
      <c r="V180" s="105" t="n">
        <v>144490.5</v>
      </c>
      <c r="W180" s="106" t="n">
        <v>900</v>
      </c>
      <c r="X180" s="107" t="n"/>
      <c r="Y180" s="108">
        <f>IF(X180="","",W180*X180)</f>
        <v/>
      </c>
      <c r="Z180" s="243">
        <f>IF(Y180="","",V180-Y180)</f>
        <v/>
      </c>
      <c r="AA180" s="110">
        <f>IF(OR(Y180="",V180=0),"",Y180/V180)</f>
        <v/>
      </c>
      <c r="AB180" s="111">
        <f>IF(AA180="","⚪",IF(AA180&gt;1.2,"🔴",IF(AA180&gt;1.1,"🟡","🟢")))</f>
        <v/>
      </c>
      <c r="AD180" s="105" t="n">
        <v>144490.5</v>
      </c>
      <c r="AE180" s="106" t="n">
        <v>900</v>
      </c>
      <c r="AF180" s="107" t="n"/>
      <c r="AG180" s="108">
        <f>IF(AF180="","",AE180*AF180)</f>
        <v/>
      </c>
      <c r="AH180" s="243">
        <f>IF(AG180="","",AD180-AG180)</f>
        <v/>
      </c>
      <c r="AI180" s="110">
        <f>IF(OR(AG180="",AD180=0),"",AG180/AD180)</f>
        <v/>
      </c>
      <c r="AJ180" s="111">
        <f>IF(AI180="","⚪",IF(AI180&gt;1.2,"🔴",IF(AI180&gt;1.1,"🟡","🟢")))</f>
        <v/>
      </c>
    </row>
    <row r="181" ht="14" customHeight="1" s="176">
      <c r="A181" s="103" t="inlineStr">
        <is>
          <t>Santa Catalina</t>
        </is>
      </c>
      <c r="B181" s="104" t="inlineStr">
        <is>
          <t>Fino 49 7,7 ha</t>
        </is>
      </c>
      <c r="C181" s="104" t="inlineStr">
        <is>
          <t>1- M.O. directa</t>
        </is>
      </c>
      <c r="D181" s="104" t="inlineStr">
        <is>
          <t>16- Supervisor poda</t>
        </is>
      </c>
      <c r="E181" s="104" t="inlineStr">
        <is>
          <t>día</t>
        </is>
      </c>
      <c r="F181" s="105" t="n">
        <v>7224.525</v>
      </c>
      <c r="G181" s="106" t="n">
        <v>45</v>
      </c>
      <c r="H181" s="107" t="n"/>
      <c r="I181" s="108">
        <f>IF(H181="","",G181*H181)</f>
        <v/>
      </c>
      <c r="J181" s="243">
        <f>IF(I181="","",F181-I181)</f>
        <v/>
      </c>
      <c r="K181" s="110">
        <f>IF(OR(I181="",F181=0),"",I181/F181)</f>
        <v/>
      </c>
      <c r="L181" s="111">
        <f>IF(K181="","⚪",IF(K181&gt;1.2,"🔴",IF(K181&gt;1.1,"🟡","🟢")))</f>
        <v/>
      </c>
      <c r="N181" s="105" t="n">
        <v>7224.525</v>
      </c>
      <c r="O181" s="106" t="n">
        <v>45</v>
      </c>
      <c r="P181" s="107" t="n"/>
      <c r="Q181" s="108">
        <f>IF(P181="","",O181*P181)</f>
        <v/>
      </c>
      <c r="R181" s="243">
        <f>IF(Q181="","",N181-Q181)</f>
        <v/>
      </c>
      <c r="S181" s="110">
        <f>IF(OR(Q181="",N181=0),"",Q181/N181)</f>
        <v/>
      </c>
      <c r="T181" s="111">
        <f>IF(S181="","⚪",IF(S181&gt;1.2,"🔴",IF(S181&gt;1.1,"🟡","🟢")))</f>
        <v/>
      </c>
      <c r="V181" s="105" t="n">
        <v>7224.525</v>
      </c>
      <c r="W181" s="106" t="n">
        <v>45</v>
      </c>
      <c r="X181" s="107" t="n"/>
      <c r="Y181" s="108">
        <f>IF(X181="","",W181*X181)</f>
        <v/>
      </c>
      <c r="Z181" s="243">
        <f>IF(Y181="","",V181-Y181)</f>
        <v/>
      </c>
      <c r="AA181" s="110">
        <f>IF(OR(Y181="",V181=0),"",Y181/V181)</f>
        <v/>
      </c>
      <c r="AB181" s="111">
        <f>IF(AA181="","⚪",IF(AA181&gt;1.2,"🔴",IF(AA181&gt;1.1,"🟡","🟢")))</f>
        <v/>
      </c>
      <c r="AD181" s="105" t="n">
        <v>7224.525</v>
      </c>
      <c r="AE181" s="106" t="n">
        <v>45</v>
      </c>
      <c r="AF181" s="107" t="n"/>
      <c r="AG181" s="108">
        <f>IF(AF181="","",AE181*AF181)</f>
        <v/>
      </c>
      <c r="AH181" s="243">
        <f>IF(AG181="","",AD181-AG181)</f>
        <v/>
      </c>
      <c r="AI181" s="110">
        <f>IF(OR(AG181="",AD181=0),"",AG181/AD181)</f>
        <v/>
      </c>
      <c r="AJ181" s="111">
        <f>IF(AI181="","⚪",IF(AI181&gt;1.2,"🔴",IF(AI181&gt;1.1,"🟡","🟢")))</f>
        <v/>
      </c>
    </row>
    <row r="182" ht="14" customHeight="1" s="176">
      <c r="A182" s="112" t="inlineStr">
        <is>
          <t>Santa Catalina</t>
        </is>
      </c>
      <c r="B182" s="113" t="inlineStr">
        <is>
          <t>Fino 49 7,7 ha</t>
        </is>
      </c>
      <c r="C182" s="113" t="inlineStr">
        <is>
          <t>1- M.O. directa</t>
        </is>
      </c>
      <c r="D182" s="113" t="inlineStr">
        <is>
          <t>17- Recepción, pesaje y despacho</t>
        </is>
      </c>
      <c r="E182" s="113" t="inlineStr">
        <is>
          <t>día</t>
        </is>
      </c>
      <c r="F182" s="105" t="n">
        <v>32340</v>
      </c>
      <c r="G182" s="106" t="n">
        <v>1.2</v>
      </c>
      <c r="H182" s="107" t="n"/>
      <c r="I182" s="108">
        <f>IF(H182="","",G182*H182)</f>
        <v/>
      </c>
      <c r="J182" s="243">
        <f>IF(I182="","",F182-I182)</f>
        <v/>
      </c>
      <c r="K182" s="110">
        <f>IF(OR(I182="",F182=0),"",I182/F182)</f>
        <v/>
      </c>
      <c r="L182" s="111">
        <f>IF(K182="","⚪",IF(K182&gt;1.2,"🔴",IF(K182&gt;1.1,"🟡","🟢")))</f>
        <v/>
      </c>
      <c r="N182" s="105" t="n">
        <v>32340</v>
      </c>
      <c r="O182" s="106" t="n">
        <v>1.2</v>
      </c>
      <c r="P182" s="107" t="n"/>
      <c r="Q182" s="108">
        <f>IF(P182="","",O182*P182)</f>
        <v/>
      </c>
      <c r="R182" s="243">
        <f>IF(Q182="","",N182-Q182)</f>
        <v/>
      </c>
      <c r="S182" s="110">
        <f>IF(OR(Q182="",N182=0),"",Q182/N182)</f>
        <v/>
      </c>
      <c r="T182" s="111">
        <f>IF(S182="","⚪",IF(S182&gt;1.2,"🔴",IF(S182&gt;1.1,"🟡","🟢")))</f>
        <v/>
      </c>
      <c r="V182" s="105" t="n">
        <v>32340</v>
      </c>
      <c r="W182" s="106" t="n">
        <v>1.2</v>
      </c>
      <c r="X182" s="107" t="n"/>
      <c r="Y182" s="108">
        <f>IF(X182="","",W182*X182)</f>
        <v/>
      </c>
      <c r="Z182" s="243">
        <f>IF(Y182="","",V182-Y182)</f>
        <v/>
      </c>
      <c r="AA182" s="110">
        <f>IF(OR(Y182="",V182=0),"",Y182/V182)</f>
        <v/>
      </c>
      <c r="AB182" s="111">
        <f>IF(AA182="","⚪",IF(AA182&gt;1.2,"🔴",IF(AA182&gt;1.1,"🟡","🟢")))</f>
        <v/>
      </c>
      <c r="AD182" s="105" t="n">
        <v>32340</v>
      </c>
      <c r="AE182" s="106" t="n">
        <v>1.2</v>
      </c>
      <c r="AF182" s="107" t="n"/>
      <c r="AG182" s="108">
        <f>IF(AF182="","",AE182*AF182)</f>
        <v/>
      </c>
      <c r="AH182" s="243">
        <f>IF(AG182="","",AD182-AG182)</f>
        <v/>
      </c>
      <c r="AI182" s="110">
        <f>IF(OR(AG182="",AD182=0),"",AG182/AD182)</f>
        <v/>
      </c>
      <c r="AJ182" s="111">
        <f>IF(AI182="","⚪",IF(AI182&gt;1.2,"🔴",IF(AI182&gt;1.1,"🟡","🟢")))</f>
        <v/>
      </c>
    </row>
    <row r="183" ht="14" customHeight="1" s="176">
      <c r="A183" s="103" t="inlineStr">
        <is>
          <t>Santa Catalina</t>
        </is>
      </c>
      <c r="B183" s="104" t="inlineStr">
        <is>
          <t>Fino 49 7,7 ha</t>
        </is>
      </c>
      <c r="C183" s="104" t="inlineStr">
        <is>
          <t>1- M.O. directa</t>
        </is>
      </c>
      <c r="D183" s="104" t="inlineStr">
        <is>
          <t>2- Supervisor cosecha</t>
        </is>
      </c>
      <c r="E183" s="104" t="inlineStr">
        <is>
          <t>día</t>
        </is>
      </c>
      <c r="F183" s="105" t="n">
        <v>188650</v>
      </c>
      <c r="G183" s="106" t="n">
        <v>7</v>
      </c>
      <c r="H183" s="107" t="n"/>
      <c r="I183" s="108">
        <f>IF(H183="","",G183*H183)</f>
        <v/>
      </c>
      <c r="J183" s="243">
        <f>IF(I183="","",F183-I183)</f>
        <v/>
      </c>
      <c r="K183" s="110">
        <f>IF(OR(I183="",F183=0),"",I183/F183)</f>
        <v/>
      </c>
      <c r="L183" s="111">
        <f>IF(K183="","⚪",IF(K183&gt;1.2,"🔴",IF(K183&gt;1.1,"🟡","🟢")))</f>
        <v/>
      </c>
      <c r="N183" s="105" t="n">
        <v>188650</v>
      </c>
      <c r="O183" s="106" t="n">
        <v>7</v>
      </c>
      <c r="P183" s="107" t="n"/>
      <c r="Q183" s="108">
        <f>IF(P183="","",O183*P183)</f>
        <v/>
      </c>
      <c r="R183" s="243">
        <f>IF(Q183="","",N183-Q183)</f>
        <v/>
      </c>
      <c r="S183" s="110">
        <f>IF(OR(Q183="",N183=0),"",Q183/N183)</f>
        <v/>
      </c>
      <c r="T183" s="111">
        <f>IF(S183="","⚪",IF(S183&gt;1.2,"🔴",IF(S183&gt;1.1,"🟡","🟢")))</f>
        <v/>
      </c>
      <c r="V183" s="105" t="n">
        <v>188650</v>
      </c>
      <c r="W183" s="106" t="n">
        <v>7</v>
      </c>
      <c r="X183" s="107" t="n"/>
      <c r="Y183" s="108">
        <f>IF(X183="","",W183*X183)</f>
        <v/>
      </c>
      <c r="Z183" s="243">
        <f>IF(Y183="","",V183-Y183)</f>
        <v/>
      </c>
      <c r="AA183" s="110">
        <f>IF(OR(Y183="",V183=0),"",Y183/V183)</f>
        <v/>
      </c>
      <c r="AB183" s="111">
        <f>IF(AA183="","⚪",IF(AA183&gt;1.2,"🔴",IF(AA183&gt;1.1,"🟡","🟢")))</f>
        <v/>
      </c>
      <c r="AD183" s="105" t="n">
        <v>188650</v>
      </c>
      <c r="AE183" s="106" t="n">
        <v>7</v>
      </c>
      <c r="AF183" s="107" t="n"/>
      <c r="AG183" s="108">
        <f>IF(AF183="","",AE183*AF183)</f>
        <v/>
      </c>
      <c r="AH183" s="243">
        <f>IF(AG183="","",AD183-AG183)</f>
        <v/>
      </c>
      <c r="AI183" s="110">
        <f>IF(OR(AG183="",AD183=0),"",AG183/AD183)</f>
        <v/>
      </c>
      <c r="AJ183" s="111">
        <f>IF(AI183="","⚪",IF(AI183&gt;1.2,"🔴",IF(AI183&gt;1.1,"🟡","🟢")))</f>
        <v/>
      </c>
    </row>
    <row r="184" ht="14" customHeight="1" s="176">
      <c r="A184" s="112" t="inlineStr">
        <is>
          <t>Santa Catalina</t>
        </is>
      </c>
      <c r="B184" s="113" t="inlineStr">
        <is>
          <t>Fino 49 7,7 ha</t>
        </is>
      </c>
      <c r="C184" s="113" t="inlineStr">
        <is>
          <t>1- M.O. directa</t>
        </is>
      </c>
      <c r="D184" s="113" t="inlineStr">
        <is>
          <t>3- Selección</t>
        </is>
      </c>
      <c r="E184" s="113" t="inlineStr">
        <is>
          <t>trato</t>
        </is>
      </c>
      <c r="F184" s="105" t="n">
        <v>485100</v>
      </c>
      <c r="G184" s="106" t="n">
        <v>18</v>
      </c>
      <c r="H184" s="107" t="n"/>
      <c r="I184" s="108">
        <f>IF(H184="","",G184*H184)</f>
        <v/>
      </c>
      <c r="J184" s="243">
        <f>IF(I184="","",F184-I184)</f>
        <v/>
      </c>
      <c r="K184" s="110">
        <f>IF(OR(I184="",F184=0),"",I184/F184)</f>
        <v/>
      </c>
      <c r="L184" s="111">
        <f>IF(K184="","⚪",IF(K184&gt;1.2,"🔴",IF(K184&gt;1.1,"🟡","🟢")))</f>
        <v/>
      </c>
      <c r="N184" s="105" t="n">
        <v>485100</v>
      </c>
      <c r="O184" s="106" t="n">
        <v>18</v>
      </c>
      <c r="P184" s="107" t="n"/>
      <c r="Q184" s="108">
        <f>IF(P184="","",O184*P184)</f>
        <v/>
      </c>
      <c r="R184" s="243">
        <f>IF(Q184="","",N184-Q184)</f>
        <v/>
      </c>
      <c r="S184" s="110">
        <f>IF(OR(Q184="",N184=0),"",Q184/N184)</f>
        <v/>
      </c>
      <c r="T184" s="111">
        <f>IF(S184="","⚪",IF(S184&gt;1.2,"🔴",IF(S184&gt;1.1,"🟡","🟢")))</f>
        <v/>
      </c>
      <c r="V184" s="105" t="n">
        <v>485100</v>
      </c>
      <c r="W184" s="106" t="n">
        <v>18</v>
      </c>
      <c r="X184" s="107" t="n"/>
      <c r="Y184" s="108">
        <f>IF(X184="","",W184*X184)</f>
        <v/>
      </c>
      <c r="Z184" s="243">
        <f>IF(Y184="","",V184-Y184)</f>
        <v/>
      </c>
      <c r="AA184" s="110">
        <f>IF(OR(Y184="",V184=0),"",Y184/V184)</f>
        <v/>
      </c>
      <c r="AB184" s="111">
        <f>IF(AA184="","⚪",IF(AA184&gt;1.2,"🔴",IF(AA184&gt;1.1,"🟡","🟢")))</f>
        <v/>
      </c>
      <c r="AD184" s="105" t="n">
        <v>485100</v>
      </c>
      <c r="AE184" s="106" t="n">
        <v>18</v>
      </c>
      <c r="AF184" s="107" t="n"/>
      <c r="AG184" s="108">
        <f>IF(AF184="","",AE184*AF184)</f>
        <v/>
      </c>
      <c r="AH184" s="243">
        <f>IF(AG184="","",AD184-AG184)</f>
        <v/>
      </c>
      <c r="AI184" s="110">
        <f>IF(OR(AG184="",AD184=0),"",AG184/AD184)</f>
        <v/>
      </c>
      <c r="AJ184" s="111">
        <f>IF(AI184="","⚪",IF(AI184&gt;1.2,"🔴",IF(AI184&gt;1.1,"🟡","🟢")))</f>
        <v/>
      </c>
    </row>
    <row r="185" ht="14" customHeight="1" s="176">
      <c r="A185" s="103" t="inlineStr">
        <is>
          <t>Santa Catalina</t>
        </is>
      </c>
      <c r="B185" s="104" t="inlineStr">
        <is>
          <t>Fino 49 7,7 ha</t>
        </is>
      </c>
      <c r="C185" s="104" t="inlineStr">
        <is>
          <t>1- M.O. directa</t>
        </is>
      </c>
      <c r="D185" s="104" t="inlineStr">
        <is>
          <t>3- Tractorista cosecha</t>
        </is>
      </c>
      <c r="E185" s="104" t="inlineStr">
        <is>
          <t>día</t>
        </is>
      </c>
      <c r="F185" s="105" t="n">
        <v>80526.60000000001</v>
      </c>
      <c r="G185" s="106" t="n">
        <v>3</v>
      </c>
      <c r="H185" s="107" t="n"/>
      <c r="I185" s="108">
        <f>IF(H185="","",G185*H185)</f>
        <v/>
      </c>
      <c r="J185" s="243">
        <f>IF(I185="","",F185-I185)</f>
        <v/>
      </c>
      <c r="K185" s="110">
        <f>IF(OR(I185="",F185=0),"",I185/F185)</f>
        <v/>
      </c>
      <c r="L185" s="111">
        <f>IF(K185="","⚪",IF(K185&gt;1.2,"🔴",IF(K185&gt;1.1,"🟡","🟢")))</f>
        <v/>
      </c>
      <c r="N185" s="105" t="n">
        <v>80526.60000000001</v>
      </c>
      <c r="O185" s="106" t="n">
        <v>3</v>
      </c>
      <c r="P185" s="107" t="n"/>
      <c r="Q185" s="108">
        <f>IF(P185="","",O185*P185)</f>
        <v/>
      </c>
      <c r="R185" s="243">
        <f>IF(Q185="","",N185-Q185)</f>
        <v/>
      </c>
      <c r="S185" s="110">
        <f>IF(OR(Q185="",N185=0),"",Q185/N185)</f>
        <v/>
      </c>
      <c r="T185" s="111">
        <f>IF(S185="","⚪",IF(S185&gt;1.2,"🔴",IF(S185&gt;1.1,"🟡","🟢")))</f>
        <v/>
      </c>
      <c r="V185" s="105" t="n">
        <v>80526.60000000001</v>
      </c>
      <c r="W185" s="106" t="n">
        <v>3</v>
      </c>
      <c r="X185" s="107" t="n"/>
      <c r="Y185" s="108">
        <f>IF(X185="","",W185*X185)</f>
        <v/>
      </c>
      <c r="Z185" s="243">
        <f>IF(Y185="","",V185-Y185)</f>
        <v/>
      </c>
      <c r="AA185" s="110">
        <f>IF(OR(Y185="",V185=0),"",Y185/V185)</f>
        <v/>
      </c>
      <c r="AB185" s="111">
        <f>IF(AA185="","⚪",IF(AA185&gt;1.2,"🔴",IF(AA185&gt;1.1,"🟡","🟢")))</f>
        <v/>
      </c>
      <c r="AD185" s="105" t="n">
        <v>80526.60000000001</v>
      </c>
      <c r="AE185" s="106" t="n">
        <v>3</v>
      </c>
      <c r="AF185" s="107" t="n"/>
      <c r="AG185" s="108">
        <f>IF(AF185="","",AE185*AF185)</f>
        <v/>
      </c>
      <c r="AH185" s="243">
        <f>IF(AG185="","",AD185-AG185)</f>
        <v/>
      </c>
      <c r="AI185" s="110">
        <f>IF(OR(AG185="",AD185=0),"",AG185/AD185)</f>
        <v/>
      </c>
      <c r="AJ185" s="111">
        <f>IF(AI185="","⚪",IF(AI185&gt;1.2,"🔴",IF(AI185&gt;1.1,"🟡","🟢")))</f>
        <v/>
      </c>
    </row>
    <row r="186" ht="14" customHeight="1" s="176">
      <c r="A186" s="112" t="inlineStr">
        <is>
          <t>Santa Catalina</t>
        </is>
      </c>
      <c r="B186" s="113" t="inlineStr">
        <is>
          <t>Fino 49 7,7 ha</t>
        </is>
      </c>
      <c r="C186" s="113" t="inlineStr">
        <is>
          <t>1- M.O. directa</t>
        </is>
      </c>
      <c r="D186" s="113" t="inlineStr">
        <is>
          <t>4- Grua</t>
        </is>
      </c>
      <c r="E186" s="113" t="inlineStr">
        <is>
          <t>día</t>
        </is>
      </c>
      <c r="F186" s="105" t="n">
        <v>40263.3</v>
      </c>
      <c r="G186" s="106" t="n">
        <v>1.5</v>
      </c>
      <c r="H186" s="107" t="n"/>
      <c r="I186" s="108">
        <f>IF(H186="","",G186*H186)</f>
        <v/>
      </c>
      <c r="J186" s="243">
        <f>IF(I186="","",F186-I186)</f>
        <v/>
      </c>
      <c r="K186" s="110">
        <f>IF(OR(I186="",F186=0),"",I186/F186)</f>
        <v/>
      </c>
      <c r="L186" s="111">
        <f>IF(K186="","⚪",IF(K186&gt;1.2,"🔴",IF(K186&gt;1.1,"🟡","🟢")))</f>
        <v/>
      </c>
      <c r="N186" s="105" t="n">
        <v>40263.3</v>
      </c>
      <c r="O186" s="106" t="n">
        <v>1.5</v>
      </c>
      <c r="P186" s="107" t="n"/>
      <c r="Q186" s="108">
        <f>IF(P186="","",O186*P186)</f>
        <v/>
      </c>
      <c r="R186" s="243">
        <f>IF(Q186="","",N186-Q186)</f>
        <v/>
      </c>
      <c r="S186" s="110">
        <f>IF(OR(Q186="",N186=0),"",Q186/N186)</f>
        <v/>
      </c>
      <c r="T186" s="111">
        <f>IF(S186="","⚪",IF(S186&gt;1.2,"🔴",IF(S186&gt;1.1,"🟡","🟢")))</f>
        <v/>
      </c>
      <c r="V186" s="105" t="n">
        <v>40263.3</v>
      </c>
      <c r="W186" s="106" t="n">
        <v>1.5</v>
      </c>
      <c r="X186" s="107" t="n"/>
      <c r="Y186" s="108">
        <f>IF(X186="","",W186*X186)</f>
        <v/>
      </c>
      <c r="Z186" s="243">
        <f>IF(Y186="","",V186-Y186)</f>
        <v/>
      </c>
      <c r="AA186" s="110">
        <f>IF(OR(Y186="",V186=0),"",Y186/V186)</f>
        <v/>
      </c>
      <c r="AB186" s="111">
        <f>IF(AA186="","⚪",IF(AA186&gt;1.2,"🔴",IF(AA186&gt;1.1,"🟡","🟢")))</f>
        <v/>
      </c>
      <c r="AD186" s="105" t="n">
        <v>40263.3</v>
      </c>
      <c r="AE186" s="106" t="n">
        <v>1.5</v>
      </c>
      <c r="AF186" s="107" t="n"/>
      <c r="AG186" s="108">
        <f>IF(AF186="","",AE186*AF186)</f>
        <v/>
      </c>
      <c r="AH186" s="243">
        <f>IF(AG186="","",AD186-AG186)</f>
        <v/>
      </c>
      <c r="AI186" s="110">
        <f>IF(OR(AG186="",AD186=0),"",AG186/AD186)</f>
        <v/>
      </c>
      <c r="AJ186" s="111">
        <f>IF(AI186="","⚪",IF(AI186&gt;1.2,"🔴",IF(AI186&gt;1.1,"🟡","🟢")))</f>
        <v/>
      </c>
    </row>
    <row r="187" ht="14" customHeight="1" s="176">
      <c r="A187" s="103" t="inlineStr">
        <is>
          <t>Santa Catalina</t>
        </is>
      </c>
      <c r="B187" s="104" t="inlineStr">
        <is>
          <t>Fino 49 7,7 ha</t>
        </is>
      </c>
      <c r="C187" s="104" t="inlineStr">
        <is>
          <t>1- M.O. directa</t>
        </is>
      </c>
      <c r="D187" s="104" t="inlineStr">
        <is>
          <t>5- Control de malezas mecánico</t>
        </is>
      </c>
      <c r="E187" s="104" t="inlineStr">
        <is>
          <t>trato</t>
        </is>
      </c>
      <c r="F187" s="105" t="n">
        <v>32109</v>
      </c>
      <c r="G187" s="106" t="n">
        <v>100</v>
      </c>
      <c r="H187" s="107" t="n"/>
      <c r="I187" s="108">
        <f>IF(H187="","",G187*H187)</f>
        <v/>
      </c>
      <c r="J187" s="243">
        <f>IF(I187="","",F187-I187)</f>
        <v/>
      </c>
      <c r="K187" s="110">
        <f>IF(OR(I187="",F187=0),"",I187/F187)</f>
        <v/>
      </c>
      <c r="L187" s="111">
        <f>IF(K187="","⚪",IF(K187&gt;1.2,"🔴",IF(K187&gt;1.1,"🟡","🟢")))</f>
        <v/>
      </c>
      <c r="N187" s="105" t="n">
        <v>32109</v>
      </c>
      <c r="O187" s="106" t="n">
        <v>100</v>
      </c>
      <c r="P187" s="107" t="n"/>
      <c r="Q187" s="108">
        <f>IF(P187="","",O187*P187)</f>
        <v/>
      </c>
      <c r="R187" s="243">
        <f>IF(Q187="","",N187-Q187)</f>
        <v/>
      </c>
      <c r="S187" s="110">
        <f>IF(OR(Q187="",N187=0),"",Q187/N187)</f>
        <v/>
      </c>
      <c r="T187" s="111">
        <f>IF(S187="","⚪",IF(S187&gt;1.2,"🔴",IF(S187&gt;1.1,"🟡","🟢")))</f>
        <v/>
      </c>
      <c r="V187" s="105" t="n">
        <v>32109</v>
      </c>
      <c r="W187" s="106" t="n">
        <v>100</v>
      </c>
      <c r="X187" s="107" t="n"/>
      <c r="Y187" s="108">
        <f>IF(X187="","",W187*X187)</f>
        <v/>
      </c>
      <c r="Z187" s="243">
        <f>IF(Y187="","",V187-Y187)</f>
        <v/>
      </c>
      <c r="AA187" s="110">
        <f>IF(OR(Y187="",V187=0),"",Y187/V187)</f>
        <v/>
      </c>
      <c r="AB187" s="111">
        <f>IF(AA187="","⚪",IF(AA187&gt;1.2,"🔴",IF(AA187&gt;1.1,"🟡","🟢")))</f>
        <v/>
      </c>
      <c r="AD187" s="105" t="n">
        <v>32109</v>
      </c>
      <c r="AE187" s="106" t="n">
        <v>100</v>
      </c>
      <c r="AF187" s="107" t="n"/>
      <c r="AG187" s="108">
        <f>IF(AF187="","",AE187*AF187)</f>
        <v/>
      </c>
      <c r="AH187" s="243">
        <f>IF(AG187="","",AD187-AG187)</f>
        <v/>
      </c>
      <c r="AI187" s="110">
        <f>IF(OR(AG187="",AD187=0),"",AG187/AD187)</f>
        <v/>
      </c>
      <c r="AJ187" s="111">
        <f>IF(AI187="","⚪",IF(AI187&gt;1.2,"🔴",IF(AI187&gt;1.1,"🟡","🟢")))</f>
        <v/>
      </c>
    </row>
    <row r="188" ht="14" customHeight="1" s="176">
      <c r="A188" s="112" t="inlineStr">
        <is>
          <t>Santa Catalina</t>
        </is>
      </c>
      <c r="B188" s="113" t="inlineStr">
        <is>
          <t>Fino 49 7,7 ha</t>
        </is>
      </c>
      <c r="C188" s="113" t="inlineStr">
        <is>
          <t>1- M.O. directa</t>
        </is>
      </c>
      <c r="D188" s="113" t="inlineStr">
        <is>
          <t>6- Control de malezas químico</t>
        </is>
      </c>
      <c r="E188" s="113" t="inlineStr">
        <is>
          <t>día</t>
        </is>
      </c>
      <c r="F188" s="105" t="n">
        <v>83737.5</v>
      </c>
      <c r="G188" s="106" t="n">
        <v>43500</v>
      </c>
      <c r="H188" s="107" t="n"/>
      <c r="I188" s="108">
        <f>IF(H188="","",G188*H188)</f>
        <v/>
      </c>
      <c r="J188" s="243">
        <f>IF(I188="","",F188-I188)</f>
        <v/>
      </c>
      <c r="K188" s="110">
        <f>IF(OR(I188="",F188=0),"",I188/F188)</f>
        <v/>
      </c>
      <c r="L188" s="111">
        <f>IF(K188="","⚪",IF(K188&gt;1.2,"🔴",IF(K188&gt;1.1,"🟡","🟢")))</f>
        <v/>
      </c>
      <c r="N188" s="105" t="n">
        <v>83737.5</v>
      </c>
      <c r="O188" s="106" t="n">
        <v>43500</v>
      </c>
      <c r="P188" s="107" t="n"/>
      <c r="Q188" s="108">
        <f>IF(P188="","",O188*P188)</f>
        <v/>
      </c>
      <c r="R188" s="243">
        <f>IF(Q188="","",N188-Q188)</f>
        <v/>
      </c>
      <c r="S188" s="110">
        <f>IF(OR(Q188="",N188=0),"",Q188/N188)</f>
        <v/>
      </c>
      <c r="T188" s="111">
        <f>IF(S188="","⚪",IF(S188&gt;1.2,"🔴",IF(S188&gt;1.1,"🟡","🟢")))</f>
        <v/>
      </c>
      <c r="V188" s="105" t="n">
        <v>83737.5</v>
      </c>
      <c r="W188" s="106" t="n">
        <v>43500</v>
      </c>
      <c r="X188" s="107" t="n"/>
      <c r="Y188" s="108">
        <f>IF(X188="","",W188*X188)</f>
        <v/>
      </c>
      <c r="Z188" s="243">
        <f>IF(Y188="","",V188-Y188)</f>
        <v/>
      </c>
      <c r="AA188" s="110">
        <f>IF(OR(Y188="",V188=0),"",Y188/V188)</f>
        <v/>
      </c>
      <c r="AB188" s="111">
        <f>IF(AA188="","⚪",IF(AA188&gt;1.2,"🔴",IF(AA188&gt;1.1,"🟡","🟢")))</f>
        <v/>
      </c>
      <c r="AD188" s="105" t="n">
        <v>83737.5</v>
      </c>
      <c r="AE188" s="106" t="n">
        <v>43500</v>
      </c>
      <c r="AF188" s="107" t="n"/>
      <c r="AG188" s="108">
        <f>IF(AF188="","",AE188*AF188)</f>
        <v/>
      </c>
      <c r="AH188" s="243">
        <f>IF(AG188="","",AD188-AG188)</f>
        <v/>
      </c>
      <c r="AI188" s="110">
        <f>IF(OR(AG188="",AD188=0),"",AG188/AD188)</f>
        <v/>
      </c>
      <c r="AJ188" s="111">
        <f>IF(AI188="","⚪",IF(AI188&gt;1.2,"🔴",IF(AI188&gt;1.1,"🟡","🟢")))</f>
        <v/>
      </c>
    </row>
    <row r="189" ht="14" customHeight="1" s="176">
      <c r="A189" s="103" t="inlineStr">
        <is>
          <t>Santa Catalina</t>
        </is>
      </c>
      <c r="B189" s="104" t="inlineStr">
        <is>
          <t>Fino 49 7,7 ha</t>
        </is>
      </c>
      <c r="C189" s="104" t="inlineStr">
        <is>
          <t>1- M.O. directa</t>
        </is>
      </c>
      <c r="D189" s="104" t="inlineStr">
        <is>
          <t>7,1- TRACTORISTA</t>
        </is>
      </c>
      <c r="E189" s="104" t="inlineStr">
        <is>
          <t>día</t>
        </is>
      </c>
      <c r="F189" s="105" t="n">
        <v>146241.48</v>
      </c>
      <c r="G189" s="106" t="n">
        <v>38000</v>
      </c>
      <c r="H189" s="107" t="n"/>
      <c r="I189" s="108">
        <f>IF(H189="","",G189*H189)</f>
        <v/>
      </c>
      <c r="J189" s="243">
        <f>IF(I189="","",F189-I189)</f>
        <v/>
      </c>
      <c r="K189" s="110">
        <f>IF(OR(I189="",F189=0),"",I189/F189)</f>
        <v/>
      </c>
      <c r="L189" s="111">
        <f>IF(K189="","⚪",IF(K189&gt;1.2,"🔴",IF(K189&gt;1.1,"🟡","🟢")))</f>
        <v/>
      </c>
      <c r="N189" s="105" t="n">
        <v>146241.48</v>
      </c>
      <c r="O189" s="106" t="n">
        <v>38000</v>
      </c>
      <c r="P189" s="107" t="n"/>
      <c r="Q189" s="108">
        <f>IF(P189="","",O189*P189)</f>
        <v/>
      </c>
      <c r="R189" s="243">
        <f>IF(Q189="","",N189-Q189)</f>
        <v/>
      </c>
      <c r="S189" s="110">
        <f>IF(OR(Q189="",N189=0),"",Q189/N189)</f>
        <v/>
      </c>
      <c r="T189" s="111">
        <f>IF(S189="","⚪",IF(S189&gt;1.2,"🔴",IF(S189&gt;1.1,"🟡","🟢")))</f>
        <v/>
      </c>
      <c r="V189" s="105" t="n">
        <v>146241.48</v>
      </c>
      <c r="W189" s="106" t="n">
        <v>38000</v>
      </c>
      <c r="X189" s="107" t="n"/>
      <c r="Y189" s="108">
        <f>IF(X189="","",W189*X189)</f>
        <v/>
      </c>
      <c r="Z189" s="243">
        <f>IF(Y189="","",V189-Y189)</f>
        <v/>
      </c>
      <c r="AA189" s="110">
        <f>IF(OR(Y189="",V189=0),"",Y189/V189)</f>
        <v/>
      </c>
      <c r="AB189" s="111">
        <f>IF(AA189="","⚪",IF(AA189&gt;1.2,"🔴",IF(AA189&gt;1.1,"🟡","🟢")))</f>
        <v/>
      </c>
      <c r="AD189" s="105" t="n">
        <v>146241.48</v>
      </c>
      <c r="AE189" s="106" t="n">
        <v>38000</v>
      </c>
      <c r="AF189" s="107" t="n"/>
      <c r="AG189" s="108">
        <f>IF(AF189="","",AE189*AF189)</f>
        <v/>
      </c>
      <c r="AH189" s="243">
        <f>IF(AG189="","",AD189-AG189)</f>
        <v/>
      </c>
      <c r="AI189" s="110">
        <f>IF(OR(AG189="",AD189=0),"",AG189/AD189)</f>
        <v/>
      </c>
      <c r="AJ189" s="111">
        <f>IF(AI189="","⚪",IF(AI189&gt;1.2,"🔴",IF(AI189&gt;1.1,"🟡","🟢")))</f>
        <v/>
      </c>
    </row>
    <row r="190" ht="14" customHeight="1" s="176">
      <c r="A190" s="112" t="inlineStr">
        <is>
          <t>Santa Catalina</t>
        </is>
      </c>
      <c r="B190" s="113" t="inlineStr">
        <is>
          <t>Fino 49 7,7 ha</t>
        </is>
      </c>
      <c r="C190" s="113" t="inlineStr">
        <is>
          <t>1- M.O. directa</t>
        </is>
      </c>
      <c r="D190" s="113" t="inlineStr">
        <is>
          <t>7- Acordonar sarmiento</t>
        </is>
      </c>
      <c r="E190" s="113" t="inlineStr">
        <is>
          <t>trato</t>
        </is>
      </c>
      <c r="F190" s="105" t="n">
        <v>11238.15</v>
      </c>
      <c r="G190" s="106" t="n">
        <v>70</v>
      </c>
      <c r="H190" s="107" t="n"/>
      <c r="I190" s="108">
        <f>IF(H190="","",G190*H190)</f>
        <v/>
      </c>
      <c r="J190" s="243">
        <f>IF(I190="","",F190-I190)</f>
        <v/>
      </c>
      <c r="K190" s="110">
        <f>IF(OR(I190="",F190=0),"",I190/F190)</f>
        <v/>
      </c>
      <c r="L190" s="111">
        <f>IF(K190="","⚪",IF(K190&gt;1.2,"🔴",IF(K190&gt;1.1,"🟡","🟢")))</f>
        <v/>
      </c>
      <c r="N190" s="105" t="n">
        <v>11238.15</v>
      </c>
      <c r="O190" s="106" t="n">
        <v>70</v>
      </c>
      <c r="P190" s="107" t="n"/>
      <c r="Q190" s="108">
        <f>IF(P190="","",O190*P190)</f>
        <v/>
      </c>
      <c r="R190" s="243">
        <f>IF(Q190="","",N190-Q190)</f>
        <v/>
      </c>
      <c r="S190" s="110">
        <f>IF(OR(Q190="",N190=0),"",Q190/N190)</f>
        <v/>
      </c>
      <c r="T190" s="111">
        <f>IF(S190="","⚪",IF(S190&gt;1.2,"🔴",IF(S190&gt;1.1,"🟡","🟢")))</f>
        <v/>
      </c>
      <c r="V190" s="105" t="n">
        <v>11238.15</v>
      </c>
      <c r="W190" s="106" t="n">
        <v>70</v>
      </c>
      <c r="X190" s="107" t="n"/>
      <c r="Y190" s="108">
        <f>IF(X190="","",W190*X190)</f>
        <v/>
      </c>
      <c r="Z190" s="243">
        <f>IF(Y190="","",V190-Y190)</f>
        <v/>
      </c>
      <c r="AA190" s="110">
        <f>IF(OR(Y190="",V190=0),"",Y190/V190)</f>
        <v/>
      </c>
      <c r="AB190" s="111">
        <f>IF(AA190="","⚪",IF(AA190&gt;1.2,"🔴",IF(AA190&gt;1.1,"🟡","🟢")))</f>
        <v/>
      </c>
      <c r="AD190" s="105" t="n">
        <v>11238.15</v>
      </c>
      <c r="AE190" s="106" t="n">
        <v>70</v>
      </c>
      <c r="AF190" s="107" t="n"/>
      <c r="AG190" s="108">
        <f>IF(AF190="","",AE190*AF190)</f>
        <v/>
      </c>
      <c r="AH190" s="243">
        <f>IF(AG190="","",AD190-AG190)</f>
        <v/>
      </c>
      <c r="AI190" s="110">
        <f>IF(OR(AG190="",AD190=0),"",AG190/AD190)</f>
        <v/>
      </c>
      <c r="AJ190" s="111">
        <f>IF(AI190="","⚪",IF(AI190&gt;1.2,"🔴",IF(AI190&gt;1.1,"🟡","🟢")))</f>
        <v/>
      </c>
    </row>
    <row r="191" ht="14" customHeight="1" s="176">
      <c r="A191" s="103" t="inlineStr">
        <is>
          <t>Santa Catalina</t>
        </is>
      </c>
      <c r="B191" s="104" t="inlineStr">
        <is>
          <t>Fino 49 7,7 ha</t>
        </is>
      </c>
      <c r="C191" s="104" t="inlineStr">
        <is>
          <t>2- M.O. indirecta</t>
        </is>
      </c>
      <c r="D191" s="104" t="inlineStr">
        <is>
          <t xml:space="preserve">1- ADM. GENERAL </t>
        </is>
      </c>
      <c r="E191" s="104" t="inlineStr">
        <is>
          <t>día</t>
        </is>
      </c>
      <c r="F191" s="105" t="n">
        <v>256307.436</v>
      </c>
      <c r="G191" s="106" t="n">
        <v>66600</v>
      </c>
      <c r="H191" s="107" t="n"/>
      <c r="I191" s="108">
        <f>IF(H191="","",G191*H191)</f>
        <v/>
      </c>
      <c r="J191" s="243">
        <f>IF(I191="","",F191-I191)</f>
        <v/>
      </c>
      <c r="K191" s="110">
        <f>IF(OR(I191="",F191=0),"",I191/F191)</f>
        <v/>
      </c>
      <c r="L191" s="111">
        <f>IF(K191="","⚪",IF(K191&gt;1.2,"🔴",IF(K191&gt;1.1,"🟡","🟢")))</f>
        <v/>
      </c>
      <c r="N191" s="105" t="n">
        <v>256307.436</v>
      </c>
      <c r="O191" s="106" t="n">
        <v>66600</v>
      </c>
      <c r="P191" s="107" t="n"/>
      <c r="Q191" s="108">
        <f>IF(P191="","",O191*P191)</f>
        <v/>
      </c>
      <c r="R191" s="243">
        <f>IF(Q191="","",N191-Q191)</f>
        <v/>
      </c>
      <c r="S191" s="110">
        <f>IF(OR(Q191="",N191=0),"",Q191/N191)</f>
        <v/>
      </c>
      <c r="T191" s="111">
        <f>IF(S191="","⚪",IF(S191&gt;1.2,"🔴",IF(S191&gt;1.1,"🟡","🟢")))</f>
        <v/>
      </c>
      <c r="V191" s="105" t="n">
        <v>256307.436</v>
      </c>
      <c r="W191" s="106" t="n">
        <v>66600</v>
      </c>
      <c r="X191" s="107" t="n"/>
      <c r="Y191" s="108">
        <f>IF(X191="","",W191*X191)</f>
        <v/>
      </c>
      <c r="Z191" s="243">
        <f>IF(Y191="","",V191-Y191)</f>
        <v/>
      </c>
      <c r="AA191" s="110">
        <f>IF(OR(Y191="",V191=0),"",Y191/V191)</f>
        <v/>
      </c>
      <c r="AB191" s="111">
        <f>IF(AA191="","⚪",IF(AA191&gt;1.2,"🔴",IF(AA191&gt;1.1,"🟡","🟢")))</f>
        <v/>
      </c>
      <c r="AD191" s="105" t="n">
        <v>256307.436</v>
      </c>
      <c r="AE191" s="106" t="n">
        <v>66600</v>
      </c>
      <c r="AF191" s="107" t="n"/>
      <c r="AG191" s="108">
        <f>IF(AF191="","",AE191*AF191)</f>
        <v/>
      </c>
      <c r="AH191" s="243">
        <f>IF(AG191="","",AD191-AG191)</f>
        <v/>
      </c>
      <c r="AI191" s="110">
        <f>IF(OR(AG191="",AD191=0),"",AG191/AD191)</f>
        <v/>
      </c>
      <c r="AJ191" s="111">
        <f>IF(AI191="","⚪",IF(AI191&gt;1.2,"🔴",IF(AI191&gt;1.1,"🟡","🟢")))</f>
        <v/>
      </c>
    </row>
    <row r="192" ht="14" customHeight="1" s="176">
      <c r="A192" s="112" t="inlineStr">
        <is>
          <t>Santa Catalina</t>
        </is>
      </c>
      <c r="B192" s="113" t="inlineStr">
        <is>
          <t>Fino 49 7,7 ha</t>
        </is>
      </c>
      <c r="C192" s="113" t="inlineStr">
        <is>
          <t>2- M.O. indirecta</t>
        </is>
      </c>
      <c r="D192" s="113" t="inlineStr">
        <is>
          <t>2,1- JEFE DE CAMPO</t>
        </is>
      </c>
      <c r="E192" s="113" t="inlineStr">
        <is>
          <t>día</t>
        </is>
      </c>
      <c r="F192" s="105" t="n">
        <v>113433.3585</v>
      </c>
      <c r="G192" s="106" t="n">
        <v>29475</v>
      </c>
      <c r="H192" s="107" t="n"/>
      <c r="I192" s="108">
        <f>IF(H192="","",G192*H192)</f>
        <v/>
      </c>
      <c r="J192" s="243">
        <f>IF(I192="","",F192-I192)</f>
        <v/>
      </c>
      <c r="K192" s="110">
        <f>IF(OR(I192="",F192=0),"",I192/F192)</f>
        <v/>
      </c>
      <c r="L192" s="111">
        <f>IF(K192="","⚪",IF(K192&gt;1.2,"🔴",IF(K192&gt;1.1,"🟡","🟢")))</f>
        <v/>
      </c>
      <c r="N192" s="105" t="n">
        <v>113433.3585</v>
      </c>
      <c r="O192" s="106" t="n">
        <v>29475</v>
      </c>
      <c r="P192" s="107" t="n"/>
      <c r="Q192" s="108">
        <f>IF(P192="","",O192*P192)</f>
        <v/>
      </c>
      <c r="R192" s="243">
        <f>IF(Q192="","",N192-Q192)</f>
        <v/>
      </c>
      <c r="S192" s="110">
        <f>IF(OR(Q192="",N192=0),"",Q192/N192)</f>
        <v/>
      </c>
      <c r="T192" s="111">
        <f>IF(S192="","⚪",IF(S192&gt;1.2,"🔴",IF(S192&gt;1.1,"🟡","🟢")))</f>
        <v/>
      </c>
      <c r="V192" s="105" t="n">
        <v>113433.3585</v>
      </c>
      <c r="W192" s="106" t="n">
        <v>29475</v>
      </c>
      <c r="X192" s="107" t="n"/>
      <c r="Y192" s="108">
        <f>IF(X192="","",W192*X192)</f>
        <v/>
      </c>
      <c r="Z192" s="243">
        <f>IF(Y192="","",V192-Y192)</f>
        <v/>
      </c>
      <c r="AA192" s="110">
        <f>IF(OR(Y192="",V192=0),"",Y192/V192)</f>
        <v/>
      </c>
      <c r="AB192" s="111">
        <f>IF(AA192="","⚪",IF(AA192&gt;1.2,"🔴",IF(AA192&gt;1.1,"🟡","🟢")))</f>
        <v/>
      </c>
      <c r="AD192" s="105" t="n">
        <v>113433.3585</v>
      </c>
      <c r="AE192" s="106" t="n">
        <v>29475</v>
      </c>
      <c r="AF192" s="107" t="n"/>
      <c r="AG192" s="108">
        <f>IF(AF192="","",AE192*AF192)</f>
        <v/>
      </c>
      <c r="AH192" s="243">
        <f>IF(AG192="","",AD192-AG192)</f>
        <v/>
      </c>
      <c r="AI192" s="110">
        <f>IF(OR(AG192="",AD192=0),"",AG192/AD192)</f>
        <v/>
      </c>
      <c r="AJ192" s="111">
        <f>IF(AI192="","⚪",IF(AI192&gt;1.2,"🔴",IF(AI192&gt;1.1,"🟡","🟢")))</f>
        <v/>
      </c>
    </row>
    <row r="193" ht="14" customHeight="1" s="176">
      <c r="A193" s="103" t="inlineStr">
        <is>
          <t>Santa Catalina</t>
        </is>
      </c>
      <c r="B193" s="104" t="inlineStr">
        <is>
          <t>Fino 49 7,7 ha</t>
        </is>
      </c>
      <c r="C193" s="104" t="inlineStr">
        <is>
          <t>2- M.O. indirecta</t>
        </is>
      </c>
      <c r="D193" s="104" t="inlineStr">
        <is>
          <t>2- ADMINISTRACION</t>
        </is>
      </c>
      <c r="E193" s="104" t="inlineStr">
        <is>
          <t>día</t>
        </is>
      </c>
      <c r="F193" s="105" t="n">
        <v>31172.526</v>
      </c>
      <c r="G193" s="106" t="n">
        <v>8100</v>
      </c>
      <c r="H193" s="107" t="n"/>
      <c r="I193" s="108">
        <f>IF(H193="","",G193*H193)</f>
        <v/>
      </c>
      <c r="J193" s="243">
        <f>IF(I193="","",F193-I193)</f>
        <v/>
      </c>
      <c r="K193" s="110">
        <f>IF(OR(I193="",F193=0),"",I193/F193)</f>
        <v/>
      </c>
      <c r="L193" s="111">
        <f>IF(K193="","⚪",IF(K193&gt;1.2,"🔴",IF(K193&gt;1.1,"🟡","🟢")))</f>
        <v/>
      </c>
      <c r="N193" s="105" t="n">
        <v>31172.526</v>
      </c>
      <c r="O193" s="106" t="n">
        <v>8100</v>
      </c>
      <c r="P193" s="107" t="n"/>
      <c r="Q193" s="108">
        <f>IF(P193="","",O193*P193)</f>
        <v/>
      </c>
      <c r="R193" s="243">
        <f>IF(Q193="","",N193-Q193)</f>
        <v/>
      </c>
      <c r="S193" s="110">
        <f>IF(OR(Q193="",N193=0),"",Q193/N193)</f>
        <v/>
      </c>
      <c r="T193" s="111">
        <f>IF(S193="","⚪",IF(S193&gt;1.2,"🔴",IF(S193&gt;1.1,"🟡","🟢")))</f>
        <v/>
      </c>
      <c r="V193" s="105" t="n">
        <v>31172.526</v>
      </c>
      <c r="W193" s="106" t="n">
        <v>8100</v>
      </c>
      <c r="X193" s="107" t="n"/>
      <c r="Y193" s="108">
        <f>IF(X193="","",W193*X193)</f>
        <v/>
      </c>
      <c r="Z193" s="243">
        <f>IF(Y193="","",V193-Y193)</f>
        <v/>
      </c>
      <c r="AA193" s="110">
        <f>IF(OR(Y193="",V193=0),"",Y193/V193)</f>
        <v/>
      </c>
      <c r="AB193" s="111">
        <f>IF(AA193="","⚪",IF(AA193&gt;1.2,"🔴",IF(AA193&gt;1.1,"🟡","🟢")))</f>
        <v/>
      </c>
      <c r="AD193" s="105" t="n">
        <v>31172.526</v>
      </c>
      <c r="AE193" s="106" t="n">
        <v>8100</v>
      </c>
      <c r="AF193" s="107" t="n"/>
      <c r="AG193" s="108">
        <f>IF(AF193="","",AE193*AF193)</f>
        <v/>
      </c>
      <c r="AH193" s="243">
        <f>IF(AG193="","",AD193-AG193)</f>
        <v/>
      </c>
      <c r="AI193" s="110">
        <f>IF(OR(AG193="",AD193=0),"",AG193/AD193)</f>
        <v/>
      </c>
      <c r="AJ193" s="111">
        <f>IF(AI193="","⚪",IF(AI193&gt;1.2,"🔴",IF(AI193&gt;1.1,"🟡","🟢")))</f>
        <v/>
      </c>
    </row>
    <row r="194" ht="14" customHeight="1" s="176">
      <c r="A194" s="112" t="inlineStr">
        <is>
          <t>Santa Catalina</t>
        </is>
      </c>
      <c r="B194" s="113" t="inlineStr">
        <is>
          <t>Fino 49 7,7 ha</t>
        </is>
      </c>
      <c r="C194" s="113" t="inlineStr">
        <is>
          <t>2- M.O. indirecta</t>
        </is>
      </c>
      <c r="D194" s="113" t="inlineStr">
        <is>
          <t>3,1-  ENCARGADO DE RIEGO</t>
        </is>
      </c>
      <c r="E194" s="113" t="inlineStr">
        <is>
          <t>día</t>
        </is>
      </c>
      <c r="F194" s="105" t="n">
        <v>171710.908985</v>
      </c>
      <c r="G194" s="106" t="n">
        <v>44618.0833333333</v>
      </c>
      <c r="H194" s="107" t="n"/>
      <c r="I194" s="108">
        <f>IF(H194="","",G194*H194)</f>
        <v/>
      </c>
      <c r="J194" s="243">
        <f>IF(I194="","",F194-I194)</f>
        <v/>
      </c>
      <c r="K194" s="110">
        <f>IF(OR(I194="",F194=0),"",I194/F194)</f>
        <v/>
      </c>
      <c r="L194" s="111">
        <f>IF(K194="","⚪",IF(K194&gt;1.2,"🔴",IF(K194&gt;1.1,"🟡","🟢")))</f>
        <v/>
      </c>
      <c r="N194" s="105" t="n">
        <v>171710.908985</v>
      </c>
      <c r="O194" s="106" t="n">
        <v>44618.0833333333</v>
      </c>
      <c r="P194" s="107" t="n"/>
      <c r="Q194" s="108">
        <f>IF(P194="","",O194*P194)</f>
        <v/>
      </c>
      <c r="R194" s="243">
        <f>IF(Q194="","",N194-Q194)</f>
        <v/>
      </c>
      <c r="S194" s="110">
        <f>IF(OR(Q194="",N194=0),"",Q194/N194)</f>
        <v/>
      </c>
      <c r="T194" s="111">
        <f>IF(S194="","⚪",IF(S194&gt;1.2,"🔴",IF(S194&gt;1.1,"🟡","🟢")))</f>
        <v/>
      </c>
      <c r="V194" s="105" t="n">
        <v>171710.908985</v>
      </c>
      <c r="W194" s="106" t="n">
        <v>44618.0833333333</v>
      </c>
      <c r="X194" s="107" t="n"/>
      <c r="Y194" s="108">
        <f>IF(X194="","",W194*X194)</f>
        <v/>
      </c>
      <c r="Z194" s="243">
        <f>IF(Y194="","",V194-Y194)</f>
        <v/>
      </c>
      <c r="AA194" s="110">
        <f>IF(OR(Y194="",V194=0),"",Y194/V194)</f>
        <v/>
      </c>
      <c r="AB194" s="111">
        <f>IF(AA194="","⚪",IF(AA194&gt;1.2,"🔴",IF(AA194&gt;1.1,"🟡","🟢")))</f>
        <v/>
      </c>
      <c r="AD194" s="105" t="n">
        <v>171710.908985</v>
      </c>
      <c r="AE194" s="106" t="n">
        <v>44618.0833333333</v>
      </c>
      <c r="AF194" s="107" t="n"/>
      <c r="AG194" s="108">
        <f>IF(AF194="","",AE194*AF194)</f>
        <v/>
      </c>
      <c r="AH194" s="243">
        <f>IF(AG194="","",AD194-AG194)</f>
        <v/>
      </c>
      <c r="AI194" s="110">
        <f>IF(OR(AG194="",AD194=0),"",AG194/AD194)</f>
        <v/>
      </c>
      <c r="AJ194" s="111">
        <f>IF(AI194="","⚪",IF(AI194&gt;1.2,"🔴",IF(AI194&gt;1.1,"🟡","🟢")))</f>
        <v/>
      </c>
    </row>
    <row r="195" ht="14" customHeight="1" s="176">
      <c r="A195" s="103" t="inlineStr">
        <is>
          <t>Santa Catalina</t>
        </is>
      </c>
      <c r="B195" s="104" t="inlineStr">
        <is>
          <t>Fino 49 7,7 ha</t>
        </is>
      </c>
      <c r="C195" s="104" t="inlineStr">
        <is>
          <t>2- M.O. indirecta</t>
        </is>
      </c>
      <c r="D195" s="104" t="inlineStr">
        <is>
          <t>3- ADQUIS. Y BODEGA</t>
        </is>
      </c>
      <c r="E195" s="104" t="inlineStr">
        <is>
          <t>día</t>
        </is>
      </c>
      <c r="F195" s="105" t="n">
        <v>31172.526</v>
      </c>
      <c r="G195" s="106" t="n">
        <v>8100</v>
      </c>
      <c r="H195" s="107" t="n"/>
      <c r="I195" s="108">
        <f>IF(H195="","",G195*H195)</f>
        <v/>
      </c>
      <c r="J195" s="243">
        <f>IF(I195="","",F195-I195)</f>
        <v/>
      </c>
      <c r="K195" s="110">
        <f>IF(OR(I195="",F195=0),"",I195/F195)</f>
        <v/>
      </c>
      <c r="L195" s="111">
        <f>IF(K195="","⚪",IF(K195&gt;1.2,"🔴",IF(K195&gt;1.1,"🟡","🟢")))</f>
        <v/>
      </c>
      <c r="N195" s="105" t="n">
        <v>31172.526</v>
      </c>
      <c r="O195" s="106" t="n">
        <v>8100</v>
      </c>
      <c r="P195" s="107" t="n"/>
      <c r="Q195" s="108">
        <f>IF(P195="","",O195*P195)</f>
        <v/>
      </c>
      <c r="R195" s="243">
        <f>IF(Q195="","",N195-Q195)</f>
        <v/>
      </c>
      <c r="S195" s="110">
        <f>IF(OR(Q195="",N195=0),"",Q195/N195)</f>
        <v/>
      </c>
      <c r="T195" s="111">
        <f>IF(S195="","⚪",IF(S195&gt;1.2,"🔴",IF(S195&gt;1.1,"🟡","🟢")))</f>
        <v/>
      </c>
      <c r="V195" s="105" t="n">
        <v>31172.526</v>
      </c>
      <c r="W195" s="106" t="n">
        <v>8100</v>
      </c>
      <c r="X195" s="107" t="n"/>
      <c r="Y195" s="108">
        <f>IF(X195="","",W195*X195)</f>
        <v/>
      </c>
      <c r="Z195" s="243">
        <f>IF(Y195="","",V195-Y195)</f>
        <v/>
      </c>
      <c r="AA195" s="110">
        <f>IF(OR(Y195="",V195=0),"",Y195/V195)</f>
        <v/>
      </c>
      <c r="AB195" s="111">
        <f>IF(AA195="","⚪",IF(AA195&gt;1.2,"🔴",IF(AA195&gt;1.1,"🟡","🟢")))</f>
        <v/>
      </c>
      <c r="AD195" s="105" t="n">
        <v>31172.526</v>
      </c>
      <c r="AE195" s="106" t="n">
        <v>8100</v>
      </c>
      <c r="AF195" s="107" t="n"/>
      <c r="AG195" s="108">
        <f>IF(AF195="","",AE195*AF195)</f>
        <v/>
      </c>
      <c r="AH195" s="243">
        <f>IF(AG195="","",AD195-AG195)</f>
        <v/>
      </c>
      <c r="AI195" s="110">
        <f>IF(OR(AG195="",AD195=0),"",AG195/AD195)</f>
        <v/>
      </c>
      <c r="AJ195" s="111">
        <f>IF(AI195="","⚪",IF(AI195&gt;1.2,"🔴",IF(AI195&gt;1.1,"🟡","🟢")))</f>
        <v/>
      </c>
    </row>
    <row r="196" ht="14" customHeight="1" s="176">
      <c r="A196" s="112" t="inlineStr">
        <is>
          <t>Santa Catalina</t>
        </is>
      </c>
      <c r="B196" s="113" t="inlineStr">
        <is>
          <t>Fino 49 7,7 ha</t>
        </is>
      </c>
      <c r="C196" s="113" t="inlineStr">
        <is>
          <t>2- M.O. indirecta</t>
        </is>
      </c>
      <c r="D196" s="113" t="inlineStr">
        <is>
          <t>4,1- ENCARGADO MANTENCIONES</t>
        </is>
      </c>
      <c r="E196" s="113" t="inlineStr">
        <is>
          <t>día</t>
        </is>
      </c>
      <c r="F196" s="105" t="n">
        <v>42333.06</v>
      </c>
      <c r="G196" s="106" t="n">
        <v>11000</v>
      </c>
      <c r="H196" s="107" t="n"/>
      <c r="I196" s="108">
        <f>IF(H196="","",G196*H196)</f>
        <v/>
      </c>
      <c r="J196" s="243">
        <f>IF(I196="","",F196-I196)</f>
        <v/>
      </c>
      <c r="K196" s="110">
        <f>IF(OR(I196="",F196=0),"",I196/F196)</f>
        <v/>
      </c>
      <c r="L196" s="111">
        <f>IF(K196="","⚪",IF(K196&gt;1.2,"🔴",IF(K196&gt;1.1,"🟡","🟢")))</f>
        <v/>
      </c>
      <c r="N196" s="105" t="n">
        <v>42333.06</v>
      </c>
      <c r="O196" s="106" t="n">
        <v>11000</v>
      </c>
      <c r="P196" s="107" t="n"/>
      <c r="Q196" s="108">
        <f>IF(P196="","",O196*P196)</f>
        <v/>
      </c>
      <c r="R196" s="243">
        <f>IF(Q196="","",N196-Q196)</f>
        <v/>
      </c>
      <c r="S196" s="110">
        <f>IF(OR(Q196="",N196=0),"",Q196/N196)</f>
        <v/>
      </c>
      <c r="T196" s="111">
        <f>IF(S196="","⚪",IF(S196&gt;1.2,"🔴",IF(S196&gt;1.1,"🟡","🟢")))</f>
        <v/>
      </c>
      <c r="V196" s="105" t="n">
        <v>42333.06</v>
      </c>
      <c r="W196" s="106" t="n">
        <v>11000</v>
      </c>
      <c r="X196" s="107" t="n"/>
      <c r="Y196" s="108">
        <f>IF(X196="","",W196*X196)</f>
        <v/>
      </c>
      <c r="Z196" s="243">
        <f>IF(Y196="","",V196-Y196)</f>
        <v/>
      </c>
      <c r="AA196" s="110">
        <f>IF(OR(Y196="",V196=0),"",Y196/V196)</f>
        <v/>
      </c>
      <c r="AB196" s="111">
        <f>IF(AA196="","⚪",IF(AA196&gt;1.2,"🔴",IF(AA196&gt;1.1,"🟡","🟢")))</f>
        <v/>
      </c>
      <c r="AD196" s="105" t="n">
        <v>42333.06</v>
      </c>
      <c r="AE196" s="106" t="n">
        <v>11000</v>
      </c>
      <c r="AF196" s="107" t="n"/>
      <c r="AG196" s="108">
        <f>IF(AF196="","",AE196*AF196)</f>
        <v/>
      </c>
      <c r="AH196" s="243">
        <f>IF(AG196="","",AD196-AG196)</f>
        <v/>
      </c>
      <c r="AI196" s="110">
        <f>IF(OR(AG196="",AD196=0),"",AG196/AD196)</f>
        <v/>
      </c>
      <c r="AJ196" s="111">
        <f>IF(AI196="","⚪",IF(AI196&gt;1.2,"🔴",IF(AI196&gt;1.1,"🟡","🟢")))</f>
        <v/>
      </c>
    </row>
    <row r="197" ht="14" customHeight="1" s="176">
      <c r="A197" s="103" t="inlineStr">
        <is>
          <t>Santa Catalina</t>
        </is>
      </c>
      <c r="B197" s="104" t="inlineStr">
        <is>
          <t>Fino 49 7,7 ha</t>
        </is>
      </c>
      <c r="C197" s="104" t="inlineStr">
        <is>
          <t>2- M.O. indirecta</t>
        </is>
      </c>
      <c r="D197" s="104" t="inlineStr">
        <is>
          <t>4- CERTIFICACIONES</t>
        </is>
      </c>
      <c r="E197" s="104" t="inlineStr">
        <is>
          <t>día</t>
        </is>
      </c>
      <c r="F197" s="105" t="n">
        <v>24878.690375</v>
      </c>
      <c r="G197" s="106" t="n">
        <v>6464.58333333333</v>
      </c>
      <c r="H197" s="107" t="n"/>
      <c r="I197" s="108">
        <f>IF(H197="","",G197*H197)</f>
        <v/>
      </c>
      <c r="J197" s="243">
        <f>IF(I197="","",F197-I197)</f>
        <v/>
      </c>
      <c r="K197" s="110">
        <f>IF(OR(I197="",F197=0),"",I197/F197)</f>
        <v/>
      </c>
      <c r="L197" s="111">
        <f>IF(K197="","⚪",IF(K197&gt;1.2,"🔴",IF(K197&gt;1.1,"🟡","🟢")))</f>
        <v/>
      </c>
      <c r="N197" s="105" t="n">
        <v>24878.690375</v>
      </c>
      <c r="O197" s="106" t="n">
        <v>6464.58333333333</v>
      </c>
      <c r="P197" s="107" t="n"/>
      <c r="Q197" s="108">
        <f>IF(P197="","",O197*P197)</f>
        <v/>
      </c>
      <c r="R197" s="243">
        <f>IF(Q197="","",N197-Q197)</f>
        <v/>
      </c>
      <c r="S197" s="110">
        <f>IF(OR(Q197="",N197=0),"",Q197/N197)</f>
        <v/>
      </c>
      <c r="T197" s="111">
        <f>IF(S197="","⚪",IF(S197&gt;1.2,"🔴",IF(S197&gt;1.1,"🟡","🟢")))</f>
        <v/>
      </c>
      <c r="V197" s="105" t="n">
        <v>24878.690375</v>
      </c>
      <c r="W197" s="106" t="n">
        <v>6464.58333333333</v>
      </c>
      <c r="X197" s="107" t="n"/>
      <c r="Y197" s="108">
        <f>IF(X197="","",W197*X197)</f>
        <v/>
      </c>
      <c r="Z197" s="243">
        <f>IF(Y197="","",V197-Y197)</f>
        <v/>
      </c>
      <c r="AA197" s="110">
        <f>IF(OR(Y197="",V197=0),"",Y197/V197)</f>
        <v/>
      </c>
      <c r="AB197" s="111">
        <f>IF(AA197="","⚪",IF(AA197&gt;1.2,"🔴",IF(AA197&gt;1.1,"🟡","🟢")))</f>
        <v/>
      </c>
      <c r="AD197" s="105" t="n">
        <v>24878.690375</v>
      </c>
      <c r="AE197" s="106" t="n">
        <v>6464.58333333333</v>
      </c>
      <c r="AF197" s="107" t="n"/>
      <c r="AG197" s="108">
        <f>IF(AF197="","",AE197*AF197)</f>
        <v/>
      </c>
      <c r="AH197" s="243">
        <f>IF(AG197="","",AD197-AG197)</f>
        <v/>
      </c>
      <c r="AI197" s="110">
        <f>IF(OR(AG197="",AD197=0),"",AG197/AD197)</f>
        <v/>
      </c>
      <c r="AJ197" s="111">
        <f>IF(AI197="","⚪",IF(AI197&gt;1.2,"🔴",IF(AI197&gt;1.1,"🟡","🟢")))</f>
        <v/>
      </c>
    </row>
    <row r="198" ht="14" customHeight="1" s="176">
      <c r="A198" s="112" t="inlineStr">
        <is>
          <t>Santa Catalina</t>
        </is>
      </c>
      <c r="B198" s="113" t="inlineStr">
        <is>
          <t>Fino 49 7,7 ha</t>
        </is>
      </c>
      <c r="C198" s="113" t="inlineStr">
        <is>
          <t>2- M.O. indirecta</t>
        </is>
      </c>
      <c r="D198" s="113" t="inlineStr">
        <is>
          <t>5- PREVEN. DE RIESGO</t>
        </is>
      </c>
      <c r="E198" s="113" t="inlineStr">
        <is>
          <t>día</t>
        </is>
      </c>
      <c r="F198" s="105" t="n">
        <v>6061.324500000001</v>
      </c>
      <c r="G198" s="106" t="n">
        <v>1575</v>
      </c>
      <c r="H198" s="107" t="n"/>
      <c r="I198" s="108">
        <f>IF(H198="","",G198*H198)</f>
        <v/>
      </c>
      <c r="J198" s="243">
        <f>IF(I198="","",F198-I198)</f>
        <v/>
      </c>
      <c r="K198" s="110">
        <f>IF(OR(I198="",F198=0),"",I198/F198)</f>
        <v/>
      </c>
      <c r="L198" s="111">
        <f>IF(K198="","⚪",IF(K198&gt;1.2,"🔴",IF(K198&gt;1.1,"🟡","🟢")))</f>
        <v/>
      </c>
      <c r="N198" s="105" t="n">
        <v>6061.324500000001</v>
      </c>
      <c r="O198" s="106" t="n">
        <v>1575</v>
      </c>
      <c r="P198" s="107" t="n"/>
      <c r="Q198" s="108">
        <f>IF(P198="","",O198*P198)</f>
        <v/>
      </c>
      <c r="R198" s="243">
        <f>IF(Q198="","",N198-Q198)</f>
        <v/>
      </c>
      <c r="S198" s="110">
        <f>IF(OR(Q198="",N198=0),"",Q198/N198)</f>
        <v/>
      </c>
      <c r="T198" s="111">
        <f>IF(S198="","⚪",IF(S198&gt;1.2,"🔴",IF(S198&gt;1.1,"🟡","🟢")))</f>
        <v/>
      </c>
      <c r="V198" s="105" t="n">
        <v>6061.324500000001</v>
      </c>
      <c r="W198" s="106" t="n">
        <v>1575</v>
      </c>
      <c r="X198" s="107" t="n"/>
      <c r="Y198" s="108">
        <f>IF(X198="","",W198*X198)</f>
        <v/>
      </c>
      <c r="Z198" s="243">
        <f>IF(Y198="","",V198-Y198)</f>
        <v/>
      </c>
      <c r="AA198" s="110">
        <f>IF(OR(Y198="",V198=0),"",Y198/V198)</f>
        <v/>
      </c>
      <c r="AB198" s="111">
        <f>IF(AA198="","⚪",IF(AA198&gt;1.2,"🔴",IF(AA198&gt;1.1,"🟡","🟢")))</f>
        <v/>
      </c>
      <c r="AD198" s="105" t="n">
        <v>6061.324500000001</v>
      </c>
      <c r="AE198" s="106" t="n">
        <v>1575</v>
      </c>
      <c r="AF198" s="107" t="n"/>
      <c r="AG198" s="108">
        <f>IF(AF198="","",AE198*AF198)</f>
        <v/>
      </c>
      <c r="AH198" s="243">
        <f>IF(AG198="","",AD198-AG198)</f>
        <v/>
      </c>
      <c r="AI198" s="110">
        <f>IF(OR(AG198="",AD198=0),"",AG198/AD198)</f>
        <v/>
      </c>
      <c r="AJ198" s="111">
        <f>IF(AI198="","⚪",IF(AI198&gt;1.2,"🔴",IF(AI198&gt;1.1,"🟡","🟢")))</f>
        <v/>
      </c>
    </row>
    <row r="199" ht="14" customHeight="1" s="176">
      <c r="A199" s="103" t="inlineStr">
        <is>
          <t>Santa Catalina</t>
        </is>
      </c>
      <c r="B199" s="104" t="inlineStr">
        <is>
          <t>Fino 49 7,7 ha</t>
        </is>
      </c>
      <c r="C199" s="104" t="inlineStr">
        <is>
          <t>2- M.O. indirecta</t>
        </is>
      </c>
      <c r="D199" s="104" t="inlineStr">
        <is>
          <t>9,1- RONDIN FUNDO</t>
        </is>
      </c>
      <c r="E199" s="104" t="inlineStr">
        <is>
          <t>día</t>
        </is>
      </c>
      <c r="F199" s="105" t="n">
        <v>153022.46652</v>
      </c>
      <c r="G199" s="106" t="n">
        <v>39762</v>
      </c>
      <c r="H199" s="107" t="n"/>
      <c r="I199" s="108">
        <f>IF(H199="","",G199*H199)</f>
        <v/>
      </c>
      <c r="J199" s="243">
        <f>IF(I199="","",F199-I199)</f>
        <v/>
      </c>
      <c r="K199" s="110">
        <f>IF(OR(I199="",F199=0),"",I199/F199)</f>
        <v/>
      </c>
      <c r="L199" s="111">
        <f>IF(K199="","⚪",IF(K199&gt;1.2,"🔴",IF(K199&gt;1.1,"🟡","🟢")))</f>
        <v/>
      </c>
      <c r="N199" s="105" t="n">
        <v>153022.46652</v>
      </c>
      <c r="O199" s="106" t="n">
        <v>39762</v>
      </c>
      <c r="P199" s="107" t="n"/>
      <c r="Q199" s="108">
        <f>IF(P199="","",O199*P199)</f>
        <v/>
      </c>
      <c r="R199" s="243">
        <f>IF(Q199="","",N199-Q199)</f>
        <v/>
      </c>
      <c r="S199" s="110">
        <f>IF(OR(Q199="",N199=0),"",Q199/N199)</f>
        <v/>
      </c>
      <c r="T199" s="111">
        <f>IF(S199="","⚪",IF(S199&gt;1.2,"🔴",IF(S199&gt;1.1,"🟡","🟢")))</f>
        <v/>
      </c>
      <c r="V199" s="105" t="n">
        <v>153022.46652</v>
      </c>
      <c r="W199" s="106" t="n">
        <v>39762</v>
      </c>
      <c r="X199" s="107" t="n"/>
      <c r="Y199" s="108">
        <f>IF(X199="","",W199*X199)</f>
        <v/>
      </c>
      <c r="Z199" s="243">
        <f>IF(Y199="","",V199-Y199)</f>
        <v/>
      </c>
      <c r="AA199" s="110">
        <f>IF(OR(Y199="",V199=0),"",Y199/V199)</f>
        <v/>
      </c>
      <c r="AB199" s="111">
        <f>IF(AA199="","⚪",IF(AA199&gt;1.2,"🔴",IF(AA199&gt;1.1,"🟡","🟢")))</f>
        <v/>
      </c>
      <c r="AD199" s="105" t="n">
        <v>153022.46652</v>
      </c>
      <c r="AE199" s="106" t="n">
        <v>39762</v>
      </c>
      <c r="AF199" s="107" t="n"/>
      <c r="AG199" s="108">
        <f>IF(AF199="","",AE199*AF199)</f>
        <v/>
      </c>
      <c r="AH199" s="243">
        <f>IF(AG199="","",AD199-AG199)</f>
        <v/>
      </c>
      <c r="AI199" s="110">
        <f>IF(OR(AG199="",AD199=0),"",AG199/AD199)</f>
        <v/>
      </c>
      <c r="AJ199" s="111">
        <f>IF(AI199="","⚪",IF(AI199&gt;1.2,"🔴",IF(AI199&gt;1.1,"🟡","🟢")))</f>
        <v/>
      </c>
    </row>
    <row r="200" ht="14" customHeight="1" s="176">
      <c r="A200" s="112" t="inlineStr">
        <is>
          <t>Santa Catalina</t>
        </is>
      </c>
      <c r="B200" s="113" t="inlineStr">
        <is>
          <t>Fino 49 7,7 ha</t>
        </is>
      </c>
      <c r="C200" s="113" t="inlineStr">
        <is>
          <t>2- M.O. indirecta</t>
        </is>
      </c>
      <c r="D200" s="113" t="inlineStr">
        <is>
          <t>9,1- RONDIN ZANJON</t>
        </is>
      </c>
      <c r="E200" s="113" t="inlineStr">
        <is>
          <t>día</t>
        </is>
      </c>
      <c r="F200" s="105" t="n">
        <v>272039.94048</v>
      </c>
      <c r="G200" s="106" t="n">
        <v>70688</v>
      </c>
      <c r="H200" s="107" t="n"/>
      <c r="I200" s="108">
        <f>IF(H200="","",G200*H200)</f>
        <v/>
      </c>
      <c r="J200" s="243">
        <f>IF(I200="","",F200-I200)</f>
        <v/>
      </c>
      <c r="K200" s="110">
        <f>IF(OR(I200="",F200=0),"",I200/F200)</f>
        <v/>
      </c>
      <c r="L200" s="111">
        <f>IF(K200="","⚪",IF(K200&gt;1.2,"🔴",IF(K200&gt;1.1,"🟡","🟢")))</f>
        <v/>
      </c>
      <c r="N200" s="105" t="n">
        <v>272039.94048</v>
      </c>
      <c r="O200" s="106" t="n">
        <v>70688</v>
      </c>
      <c r="P200" s="107" t="n"/>
      <c r="Q200" s="108">
        <f>IF(P200="","",O200*P200)</f>
        <v/>
      </c>
      <c r="R200" s="243">
        <f>IF(Q200="","",N200-Q200)</f>
        <v/>
      </c>
      <c r="S200" s="110">
        <f>IF(OR(Q200="",N200=0),"",Q200/N200)</f>
        <v/>
      </c>
      <c r="T200" s="111">
        <f>IF(S200="","⚪",IF(S200&gt;1.2,"🔴",IF(S200&gt;1.1,"🟡","🟢")))</f>
        <v/>
      </c>
      <c r="V200" s="105" t="n">
        <v>272039.94048</v>
      </c>
      <c r="W200" s="106" t="n">
        <v>70688</v>
      </c>
      <c r="X200" s="107" t="n"/>
      <c r="Y200" s="108">
        <f>IF(X200="","",W200*X200)</f>
        <v/>
      </c>
      <c r="Z200" s="243">
        <f>IF(Y200="","",V200-Y200)</f>
        <v/>
      </c>
      <c r="AA200" s="110">
        <f>IF(OR(Y200="",V200=0),"",Y200/V200)</f>
        <v/>
      </c>
      <c r="AB200" s="111">
        <f>IF(AA200="","⚪",IF(AA200&gt;1.2,"🔴",IF(AA200&gt;1.1,"🟡","🟢")))</f>
        <v/>
      </c>
      <c r="AD200" s="105" t="n">
        <v>272039.94048</v>
      </c>
      <c r="AE200" s="106" t="n">
        <v>70688</v>
      </c>
      <c r="AF200" s="107" t="n"/>
      <c r="AG200" s="108">
        <f>IF(AF200="","",AE200*AF200)</f>
        <v/>
      </c>
      <c r="AH200" s="243">
        <f>IF(AG200="","",AD200-AG200)</f>
        <v/>
      </c>
      <c r="AI200" s="110">
        <f>IF(OR(AG200="",AD200=0),"",AG200/AD200)</f>
        <v/>
      </c>
      <c r="AJ200" s="111">
        <f>IF(AI200="","⚪",IF(AI200&gt;1.2,"🔴",IF(AI200&gt;1.1,"🟡","🟢")))</f>
        <v/>
      </c>
    </row>
    <row r="201" ht="14" customHeight="1" s="176">
      <c r="A201" s="103" t="inlineStr">
        <is>
          <t>Santa Catalina</t>
        </is>
      </c>
      <c r="B201" s="104" t="inlineStr">
        <is>
          <t>W. murcott 21 ha</t>
        </is>
      </c>
      <c r="C201" s="104" t="inlineStr">
        <is>
          <t>1- M.O. directa</t>
        </is>
      </c>
      <c r="D201" s="104" t="inlineStr">
        <is>
          <t xml:space="preserve">1,4- Mantención caminos </t>
        </is>
      </c>
      <c r="E201" s="104" t="inlineStr">
        <is>
          <t>día</t>
        </is>
      </c>
      <c r="F201" s="105" t="n">
        <v>6525</v>
      </c>
      <c r="G201" s="106" t="n">
        <v>43500</v>
      </c>
      <c r="H201" s="107" t="n"/>
      <c r="I201" s="108">
        <f>IF(H201="","",G201*H201)</f>
        <v/>
      </c>
      <c r="J201" s="243">
        <f>IF(I201="","",F201-I201)</f>
        <v/>
      </c>
      <c r="K201" s="110">
        <f>IF(OR(I201="",F201=0),"",I201/F201)</f>
        <v/>
      </c>
      <c r="L201" s="111">
        <f>IF(K201="","⚪",IF(K201&gt;1.2,"🔴",IF(K201&gt;1.1,"🟡","🟢")))</f>
        <v/>
      </c>
      <c r="N201" s="105" t="n">
        <v>6525</v>
      </c>
      <c r="O201" s="106" t="n">
        <v>43500</v>
      </c>
      <c r="P201" s="107" t="n"/>
      <c r="Q201" s="108">
        <f>IF(P201="","",O201*P201)</f>
        <v/>
      </c>
      <c r="R201" s="243">
        <f>IF(Q201="","",N201-Q201)</f>
        <v/>
      </c>
      <c r="S201" s="110">
        <f>IF(OR(Q201="",N201=0),"",Q201/N201)</f>
        <v/>
      </c>
      <c r="T201" s="111">
        <f>IF(S201="","⚪",IF(S201&gt;1.2,"🔴",IF(S201&gt;1.1,"🟡","🟢")))</f>
        <v/>
      </c>
      <c r="V201" s="105" t="n">
        <v>6525</v>
      </c>
      <c r="W201" s="106" t="n">
        <v>43500</v>
      </c>
      <c r="X201" s="107" t="n"/>
      <c r="Y201" s="108">
        <f>IF(X201="","",W201*X201)</f>
        <v/>
      </c>
      <c r="Z201" s="243">
        <f>IF(Y201="","",V201-Y201)</f>
        <v/>
      </c>
      <c r="AA201" s="110">
        <f>IF(OR(Y201="",V201=0),"",Y201/V201)</f>
        <v/>
      </c>
      <c r="AB201" s="111">
        <f>IF(AA201="","⚪",IF(AA201&gt;1.2,"🔴",IF(AA201&gt;1.1,"🟡","🟢")))</f>
        <v/>
      </c>
      <c r="AD201" s="105" t="n">
        <v>6525</v>
      </c>
      <c r="AE201" s="106" t="n">
        <v>43500</v>
      </c>
      <c r="AF201" s="107" t="n"/>
      <c r="AG201" s="108">
        <f>IF(AF201="","",AE201*AF201)</f>
        <v/>
      </c>
      <c r="AH201" s="243">
        <f>IF(AG201="","",AD201-AG201)</f>
        <v/>
      </c>
      <c r="AI201" s="110">
        <f>IF(OR(AG201="",AD201=0),"",AG201/AD201)</f>
        <v/>
      </c>
      <c r="AJ201" s="111">
        <f>IF(AI201="","⚪",IF(AI201&gt;1.2,"🔴",IF(AI201&gt;1.1,"🟡","🟢")))</f>
        <v/>
      </c>
    </row>
    <row r="202" ht="14" customHeight="1" s="176">
      <c r="A202" s="112" t="inlineStr">
        <is>
          <t>Santa Catalina</t>
        </is>
      </c>
      <c r="B202" s="113" t="inlineStr">
        <is>
          <t>W. murcott 21 ha</t>
        </is>
      </c>
      <c r="C202" s="113" t="inlineStr">
        <is>
          <t>1- M.O. directa</t>
        </is>
      </c>
      <c r="D202" s="113" t="inlineStr">
        <is>
          <t>1- Cosecha EXP</t>
        </is>
      </c>
      <c r="E202" s="113" t="inlineStr">
        <is>
          <t>trato</t>
        </is>
      </c>
      <c r="F202" s="105" t="n">
        <v>4725000</v>
      </c>
      <c r="G202" s="106" t="n">
        <v>90</v>
      </c>
      <c r="H202" s="107" t="n"/>
      <c r="I202" s="108">
        <f>IF(H202="","",G202*H202)</f>
        <v/>
      </c>
      <c r="J202" s="243">
        <f>IF(I202="","",F202-I202)</f>
        <v/>
      </c>
      <c r="K202" s="110">
        <f>IF(OR(I202="",F202=0),"",I202/F202)</f>
        <v/>
      </c>
      <c r="L202" s="111">
        <f>IF(K202="","⚪",IF(K202&gt;1.2,"🔴",IF(K202&gt;1.1,"🟡","🟢")))</f>
        <v/>
      </c>
      <c r="N202" s="105" t="n">
        <v>4725000</v>
      </c>
      <c r="O202" s="106" t="n">
        <v>90</v>
      </c>
      <c r="P202" s="107" t="n"/>
      <c r="Q202" s="108">
        <f>IF(P202="","",O202*P202)</f>
        <v/>
      </c>
      <c r="R202" s="243">
        <f>IF(Q202="","",N202-Q202)</f>
        <v/>
      </c>
      <c r="S202" s="110">
        <f>IF(OR(Q202="",N202=0),"",Q202/N202)</f>
        <v/>
      </c>
      <c r="T202" s="111">
        <f>IF(S202="","⚪",IF(S202&gt;1.2,"🔴",IF(S202&gt;1.1,"🟡","🟢")))</f>
        <v/>
      </c>
      <c r="V202" s="105" t="n">
        <v>4725000</v>
      </c>
      <c r="W202" s="106" t="n">
        <v>90</v>
      </c>
      <c r="X202" s="107" t="n"/>
      <c r="Y202" s="108">
        <f>IF(X202="","",W202*X202)</f>
        <v/>
      </c>
      <c r="Z202" s="243">
        <f>IF(Y202="","",V202-Y202)</f>
        <v/>
      </c>
      <c r="AA202" s="110">
        <f>IF(OR(Y202="",V202=0),"",Y202/V202)</f>
        <v/>
      </c>
      <c r="AB202" s="111">
        <f>IF(AA202="","⚪",IF(AA202&gt;1.2,"🔴",IF(AA202&gt;1.1,"🟡","🟢")))</f>
        <v/>
      </c>
      <c r="AD202" s="105" t="n">
        <v>4725000</v>
      </c>
      <c r="AE202" s="106" t="n">
        <v>90</v>
      </c>
      <c r="AF202" s="107" t="n"/>
      <c r="AG202" s="108">
        <f>IF(AF202="","",AE202*AF202)</f>
        <v/>
      </c>
      <c r="AH202" s="243">
        <f>IF(AG202="","",AD202-AG202)</f>
        <v/>
      </c>
      <c r="AI202" s="110">
        <f>IF(OR(AG202="",AD202=0),"",AG202/AD202)</f>
        <v/>
      </c>
      <c r="AJ202" s="111">
        <f>IF(AI202="","⚪",IF(AI202&gt;1.2,"🔴",IF(AI202&gt;1.1,"🟡","🟢")))</f>
        <v/>
      </c>
    </row>
    <row r="203" ht="14" customHeight="1" s="176">
      <c r="A203" s="103" t="inlineStr">
        <is>
          <t>Santa Catalina</t>
        </is>
      </c>
      <c r="B203" s="104" t="inlineStr">
        <is>
          <t>W. murcott 21 ha</t>
        </is>
      </c>
      <c r="C203" s="104" t="inlineStr">
        <is>
          <t>1- M.O. directa</t>
        </is>
      </c>
      <c r="D203" s="104" t="inlineStr">
        <is>
          <t>12- Picar sarmiento</t>
        </is>
      </c>
      <c r="E203" s="104" t="inlineStr">
        <is>
          <t>trato</t>
        </is>
      </c>
      <c r="F203" s="105" t="n">
        <v>84042</v>
      </c>
      <c r="G203" s="106" t="n">
        <v>60</v>
      </c>
      <c r="H203" s="107" t="n"/>
      <c r="I203" s="108">
        <f>IF(H203="","",G203*H203)</f>
        <v/>
      </c>
      <c r="J203" s="243">
        <f>IF(I203="","",F203-I203)</f>
        <v/>
      </c>
      <c r="K203" s="110">
        <f>IF(OR(I203="",F203=0),"",I203/F203)</f>
        <v/>
      </c>
      <c r="L203" s="111">
        <f>IF(K203="","⚪",IF(K203&gt;1.2,"🔴",IF(K203&gt;1.1,"🟡","🟢")))</f>
        <v/>
      </c>
      <c r="N203" s="105" t="n">
        <v>84042</v>
      </c>
      <c r="O203" s="106" t="n">
        <v>60</v>
      </c>
      <c r="P203" s="107" t="n"/>
      <c r="Q203" s="108">
        <f>IF(P203="","",O203*P203)</f>
        <v/>
      </c>
      <c r="R203" s="243">
        <f>IF(Q203="","",N203-Q203)</f>
        <v/>
      </c>
      <c r="S203" s="110">
        <f>IF(OR(Q203="",N203=0),"",Q203/N203)</f>
        <v/>
      </c>
      <c r="T203" s="111">
        <f>IF(S203="","⚪",IF(S203&gt;1.2,"🔴",IF(S203&gt;1.1,"🟡","🟢")))</f>
        <v/>
      </c>
      <c r="V203" s="105" t="n">
        <v>84042</v>
      </c>
      <c r="W203" s="106" t="n">
        <v>60</v>
      </c>
      <c r="X203" s="107" t="n"/>
      <c r="Y203" s="108">
        <f>IF(X203="","",W203*X203)</f>
        <v/>
      </c>
      <c r="Z203" s="243">
        <f>IF(Y203="","",V203-Y203)</f>
        <v/>
      </c>
      <c r="AA203" s="110">
        <f>IF(OR(Y203="",V203=0),"",Y203/V203)</f>
        <v/>
      </c>
      <c r="AB203" s="111">
        <f>IF(AA203="","⚪",IF(AA203&gt;1.2,"🔴",IF(AA203&gt;1.1,"🟡","🟢")))</f>
        <v/>
      </c>
      <c r="AD203" s="105" t="n">
        <v>84042</v>
      </c>
      <c r="AE203" s="106" t="n">
        <v>60</v>
      </c>
      <c r="AF203" s="107" t="n"/>
      <c r="AG203" s="108">
        <f>IF(AF203="","",AE203*AF203)</f>
        <v/>
      </c>
      <c r="AH203" s="243">
        <f>IF(AG203="","",AD203-AG203)</f>
        <v/>
      </c>
      <c r="AI203" s="110">
        <f>IF(OR(AG203="",AD203=0),"",AG203/AD203)</f>
        <v/>
      </c>
      <c r="AJ203" s="111">
        <f>IF(AI203="","⚪",IF(AI203&gt;1.2,"🔴",IF(AI203&gt;1.1,"🟡","🟢")))</f>
        <v/>
      </c>
    </row>
    <row r="204" ht="14" customHeight="1" s="176">
      <c r="A204" s="112" t="inlineStr">
        <is>
          <t>Santa Catalina</t>
        </is>
      </c>
      <c r="B204" s="113" t="inlineStr">
        <is>
          <t>W. murcott 21 ha</t>
        </is>
      </c>
      <c r="C204" s="113" t="inlineStr">
        <is>
          <t>1- M.O. directa</t>
        </is>
      </c>
      <c r="D204" s="113" t="inlineStr">
        <is>
          <t>13- Poda antenas</t>
        </is>
      </c>
      <c r="E204" s="113" t="inlineStr">
        <is>
          <t>trato</t>
        </is>
      </c>
      <c r="F204" s="105" t="n">
        <v>630315</v>
      </c>
      <c r="G204" s="106" t="n">
        <v>900</v>
      </c>
      <c r="H204" s="107" t="n"/>
      <c r="I204" s="108">
        <f>IF(H204="","",G204*H204)</f>
        <v/>
      </c>
      <c r="J204" s="243">
        <f>IF(I204="","",F204-I204)</f>
        <v/>
      </c>
      <c r="K204" s="110">
        <f>IF(OR(I204="",F204=0),"",I204/F204)</f>
        <v/>
      </c>
      <c r="L204" s="111">
        <f>IF(K204="","⚪",IF(K204&gt;1.2,"🔴",IF(K204&gt;1.1,"🟡","🟢")))</f>
        <v/>
      </c>
      <c r="N204" s="105" t="n">
        <v>630315</v>
      </c>
      <c r="O204" s="106" t="n">
        <v>900</v>
      </c>
      <c r="P204" s="107" t="n"/>
      <c r="Q204" s="108">
        <f>IF(P204="","",O204*P204)</f>
        <v/>
      </c>
      <c r="R204" s="243">
        <f>IF(Q204="","",N204-Q204)</f>
        <v/>
      </c>
      <c r="S204" s="110">
        <f>IF(OR(Q204="",N204=0),"",Q204/N204)</f>
        <v/>
      </c>
      <c r="T204" s="111">
        <f>IF(S204="","⚪",IF(S204&gt;1.2,"🔴",IF(S204&gt;1.1,"🟡","🟢")))</f>
        <v/>
      </c>
      <c r="V204" s="105" t="n">
        <v>630315</v>
      </c>
      <c r="W204" s="106" t="n">
        <v>900</v>
      </c>
      <c r="X204" s="107" t="n"/>
      <c r="Y204" s="108">
        <f>IF(X204="","",W204*X204)</f>
        <v/>
      </c>
      <c r="Z204" s="243">
        <f>IF(Y204="","",V204-Y204)</f>
        <v/>
      </c>
      <c r="AA204" s="110">
        <f>IF(OR(Y204="",V204=0),"",Y204/V204)</f>
        <v/>
      </c>
      <c r="AB204" s="111">
        <f>IF(AA204="","⚪",IF(AA204&gt;1.2,"🔴",IF(AA204&gt;1.1,"🟡","🟢")))</f>
        <v/>
      </c>
      <c r="AD204" s="105" t="n">
        <v>630315</v>
      </c>
      <c r="AE204" s="106" t="n">
        <v>900</v>
      </c>
      <c r="AF204" s="107" t="n"/>
      <c r="AG204" s="108">
        <f>IF(AF204="","",AE204*AF204)</f>
        <v/>
      </c>
      <c r="AH204" s="243">
        <f>IF(AG204="","",AD204-AG204)</f>
        <v/>
      </c>
      <c r="AI204" s="110">
        <f>IF(OR(AG204="",AD204=0),"",AG204/AD204)</f>
        <v/>
      </c>
      <c r="AJ204" s="111">
        <f>IF(AI204="","⚪",IF(AI204&gt;1.2,"🔴",IF(AI204&gt;1.1,"🟡","🟢")))</f>
        <v/>
      </c>
    </row>
    <row r="205" ht="14" customHeight="1" s="176">
      <c r="A205" s="103" t="inlineStr">
        <is>
          <t>Santa Catalina</t>
        </is>
      </c>
      <c r="B205" s="104" t="inlineStr">
        <is>
          <t>W. murcott 21 ha</t>
        </is>
      </c>
      <c r="C205" s="104" t="inlineStr">
        <is>
          <t>1- M.O. directa</t>
        </is>
      </c>
      <c r="D205" s="104" t="inlineStr">
        <is>
          <t>14- Poda de sierrpes</t>
        </is>
      </c>
      <c r="E205" s="104" t="inlineStr">
        <is>
          <t>trato</t>
        </is>
      </c>
      <c r="F205" s="105" t="n">
        <v>31515.75</v>
      </c>
      <c r="G205" s="106" t="n">
        <v>30</v>
      </c>
      <c r="H205" s="107" t="n"/>
      <c r="I205" s="108">
        <f>IF(H205="","",G205*H205)</f>
        <v/>
      </c>
      <c r="J205" s="243">
        <f>IF(I205="","",F205-I205)</f>
        <v/>
      </c>
      <c r="K205" s="110">
        <f>IF(OR(I205="",F205=0),"",I205/F205)</f>
        <v/>
      </c>
      <c r="L205" s="111">
        <f>IF(K205="","⚪",IF(K205&gt;1.2,"🔴",IF(K205&gt;1.1,"🟡","🟢")))</f>
        <v/>
      </c>
      <c r="N205" s="105" t="n">
        <v>31515.75</v>
      </c>
      <c r="O205" s="106" t="n">
        <v>30</v>
      </c>
      <c r="P205" s="107" t="n"/>
      <c r="Q205" s="108">
        <f>IF(P205="","",O205*P205)</f>
        <v/>
      </c>
      <c r="R205" s="243">
        <f>IF(Q205="","",N205-Q205)</f>
        <v/>
      </c>
      <c r="S205" s="110">
        <f>IF(OR(Q205="",N205=0),"",Q205/N205)</f>
        <v/>
      </c>
      <c r="T205" s="111">
        <f>IF(S205="","⚪",IF(S205&gt;1.2,"🔴",IF(S205&gt;1.1,"🟡","🟢")))</f>
        <v/>
      </c>
      <c r="V205" s="105" t="n">
        <v>31515.75</v>
      </c>
      <c r="W205" s="106" t="n">
        <v>30</v>
      </c>
      <c r="X205" s="107" t="n"/>
      <c r="Y205" s="108">
        <f>IF(X205="","",W205*X205)</f>
        <v/>
      </c>
      <c r="Z205" s="243">
        <f>IF(Y205="","",V205-Y205)</f>
        <v/>
      </c>
      <c r="AA205" s="110">
        <f>IF(OR(Y205="",V205=0),"",Y205/V205)</f>
        <v/>
      </c>
      <c r="AB205" s="111">
        <f>IF(AA205="","⚪",IF(AA205&gt;1.2,"🔴",IF(AA205&gt;1.1,"🟡","🟢")))</f>
        <v/>
      </c>
      <c r="AD205" s="105" t="n">
        <v>31515.75</v>
      </c>
      <c r="AE205" s="106" t="n">
        <v>30</v>
      </c>
      <c r="AF205" s="107" t="n"/>
      <c r="AG205" s="108">
        <f>IF(AF205="","",AE205*AF205)</f>
        <v/>
      </c>
      <c r="AH205" s="243">
        <f>IF(AG205="","",AD205-AG205)</f>
        <v/>
      </c>
      <c r="AI205" s="110">
        <f>IF(OR(AG205="",AD205=0),"",AG205/AD205)</f>
        <v/>
      </c>
      <c r="AJ205" s="111">
        <f>IF(AI205="","⚪",IF(AI205&gt;1.2,"🔴",IF(AI205&gt;1.1,"🟡","🟢")))</f>
        <v/>
      </c>
    </row>
    <row r="206" ht="14" customHeight="1" s="176">
      <c r="A206" s="112" t="inlineStr">
        <is>
          <t>Santa Catalina</t>
        </is>
      </c>
      <c r="B206" s="113" t="inlineStr">
        <is>
          <t>W. murcott 21 ha</t>
        </is>
      </c>
      <c r="C206" s="113" t="inlineStr">
        <is>
          <t>1- M.O. directa</t>
        </is>
      </c>
      <c r="D206" s="113" t="inlineStr">
        <is>
          <t>15- Poda primavera</t>
        </is>
      </c>
      <c r="E206" s="113" t="inlineStr">
        <is>
          <t>trato</t>
        </is>
      </c>
      <c r="F206" s="105" t="n">
        <v>630315</v>
      </c>
      <c r="G206" s="106" t="n">
        <v>900</v>
      </c>
      <c r="H206" s="107" t="n"/>
      <c r="I206" s="108">
        <f>IF(H206="","",G206*H206)</f>
        <v/>
      </c>
      <c r="J206" s="243">
        <f>IF(I206="","",F206-I206)</f>
        <v/>
      </c>
      <c r="K206" s="110">
        <f>IF(OR(I206="",F206=0),"",I206/F206)</f>
        <v/>
      </c>
      <c r="L206" s="111">
        <f>IF(K206="","⚪",IF(K206&gt;1.2,"🔴",IF(K206&gt;1.1,"🟡","🟢")))</f>
        <v/>
      </c>
      <c r="N206" s="105" t="n">
        <v>630315</v>
      </c>
      <c r="O206" s="106" t="n">
        <v>900</v>
      </c>
      <c r="P206" s="107" t="n"/>
      <c r="Q206" s="108">
        <f>IF(P206="","",O206*P206)</f>
        <v/>
      </c>
      <c r="R206" s="243">
        <f>IF(Q206="","",N206-Q206)</f>
        <v/>
      </c>
      <c r="S206" s="110">
        <f>IF(OR(Q206="",N206=0),"",Q206/N206)</f>
        <v/>
      </c>
      <c r="T206" s="111">
        <f>IF(S206="","⚪",IF(S206&gt;1.2,"🔴",IF(S206&gt;1.1,"🟡","🟢")))</f>
        <v/>
      </c>
      <c r="V206" s="105" t="n">
        <v>630315</v>
      </c>
      <c r="W206" s="106" t="n">
        <v>900</v>
      </c>
      <c r="X206" s="107" t="n"/>
      <c r="Y206" s="108">
        <f>IF(X206="","",W206*X206)</f>
        <v/>
      </c>
      <c r="Z206" s="243">
        <f>IF(Y206="","",V206-Y206)</f>
        <v/>
      </c>
      <c r="AA206" s="110">
        <f>IF(OR(Y206="",V206=0),"",Y206/V206)</f>
        <v/>
      </c>
      <c r="AB206" s="111">
        <f>IF(AA206="","⚪",IF(AA206&gt;1.2,"🔴",IF(AA206&gt;1.1,"🟡","🟢")))</f>
        <v/>
      </c>
      <c r="AD206" s="105" t="n">
        <v>630315</v>
      </c>
      <c r="AE206" s="106" t="n">
        <v>900</v>
      </c>
      <c r="AF206" s="107" t="n"/>
      <c r="AG206" s="108">
        <f>IF(AF206="","",AE206*AF206)</f>
        <v/>
      </c>
      <c r="AH206" s="243">
        <f>IF(AG206="","",AD206-AG206)</f>
        <v/>
      </c>
      <c r="AI206" s="110">
        <f>IF(OR(AG206="",AD206=0),"",AG206/AD206)</f>
        <v/>
      </c>
      <c r="AJ206" s="111">
        <f>IF(AI206="","⚪",IF(AI206&gt;1.2,"🔴",IF(AI206&gt;1.1,"🟡","🟢")))</f>
        <v/>
      </c>
    </row>
    <row r="207" ht="14" customHeight="1" s="176">
      <c r="A207" s="103" t="inlineStr">
        <is>
          <t>Santa Catalina</t>
        </is>
      </c>
      <c r="B207" s="104" t="inlineStr">
        <is>
          <t>W. murcott 21 ha</t>
        </is>
      </c>
      <c r="C207" s="104" t="inlineStr">
        <is>
          <t>1- M.O. directa</t>
        </is>
      </c>
      <c r="D207" s="104" t="inlineStr">
        <is>
          <t>16- Supervisor poda</t>
        </is>
      </c>
      <c r="E207" s="104" t="inlineStr">
        <is>
          <t>día</t>
        </is>
      </c>
      <c r="F207" s="105" t="n">
        <v>31515.75</v>
      </c>
      <c r="G207" s="106" t="n">
        <v>45</v>
      </c>
      <c r="H207" s="107" t="n"/>
      <c r="I207" s="108">
        <f>IF(H207="","",G207*H207)</f>
        <v/>
      </c>
      <c r="J207" s="243">
        <f>IF(I207="","",F207-I207)</f>
        <v/>
      </c>
      <c r="K207" s="110">
        <f>IF(OR(I207="",F207=0),"",I207/F207)</f>
        <v/>
      </c>
      <c r="L207" s="111">
        <f>IF(K207="","⚪",IF(K207&gt;1.2,"🔴",IF(K207&gt;1.1,"🟡","🟢")))</f>
        <v/>
      </c>
      <c r="N207" s="105" t="n">
        <v>31515.75</v>
      </c>
      <c r="O207" s="106" t="n">
        <v>45</v>
      </c>
      <c r="P207" s="107" t="n"/>
      <c r="Q207" s="108">
        <f>IF(P207="","",O207*P207)</f>
        <v/>
      </c>
      <c r="R207" s="243">
        <f>IF(Q207="","",N207-Q207)</f>
        <v/>
      </c>
      <c r="S207" s="110">
        <f>IF(OR(Q207="",N207=0),"",Q207/N207)</f>
        <v/>
      </c>
      <c r="T207" s="111">
        <f>IF(S207="","⚪",IF(S207&gt;1.2,"🔴",IF(S207&gt;1.1,"🟡","🟢")))</f>
        <v/>
      </c>
      <c r="V207" s="105" t="n">
        <v>31515.75</v>
      </c>
      <c r="W207" s="106" t="n">
        <v>45</v>
      </c>
      <c r="X207" s="107" t="n"/>
      <c r="Y207" s="108">
        <f>IF(X207="","",W207*X207)</f>
        <v/>
      </c>
      <c r="Z207" s="243">
        <f>IF(Y207="","",V207-Y207)</f>
        <v/>
      </c>
      <c r="AA207" s="110">
        <f>IF(OR(Y207="",V207=0),"",Y207/V207)</f>
        <v/>
      </c>
      <c r="AB207" s="111">
        <f>IF(AA207="","⚪",IF(AA207&gt;1.2,"🔴",IF(AA207&gt;1.1,"🟡","🟢")))</f>
        <v/>
      </c>
      <c r="AD207" s="105" t="n">
        <v>31515.75</v>
      </c>
      <c r="AE207" s="106" t="n">
        <v>45</v>
      </c>
      <c r="AF207" s="107" t="n"/>
      <c r="AG207" s="108">
        <f>IF(AF207="","",AE207*AF207)</f>
        <v/>
      </c>
      <c r="AH207" s="243">
        <f>IF(AG207="","",AD207-AG207)</f>
        <v/>
      </c>
      <c r="AI207" s="110">
        <f>IF(OR(AG207="",AD207=0),"",AG207/AD207)</f>
        <v/>
      </c>
      <c r="AJ207" s="111">
        <f>IF(AI207="","⚪",IF(AI207&gt;1.2,"🔴",IF(AI207&gt;1.1,"🟡","🟢")))</f>
        <v/>
      </c>
    </row>
    <row r="208" ht="14" customHeight="1" s="176">
      <c r="A208" s="112" t="inlineStr">
        <is>
          <t>Santa Catalina</t>
        </is>
      </c>
      <c r="B208" s="113" t="inlineStr">
        <is>
          <t>W. murcott 21 ha</t>
        </is>
      </c>
      <c r="C208" s="113" t="inlineStr">
        <is>
          <t>1- M.O. directa</t>
        </is>
      </c>
      <c r="D208" s="113" t="inlineStr">
        <is>
          <t>17- Recepción, pesaje y despacho</t>
        </is>
      </c>
      <c r="E208" s="113" t="inlineStr">
        <is>
          <t>día</t>
        </is>
      </c>
      <c r="F208" s="105" t="n">
        <v>63000</v>
      </c>
      <c r="G208" s="106" t="n">
        <v>1.2</v>
      </c>
      <c r="H208" s="107" t="n"/>
      <c r="I208" s="108">
        <f>IF(H208="","",G208*H208)</f>
        <v/>
      </c>
      <c r="J208" s="243">
        <f>IF(I208="","",F208-I208)</f>
        <v/>
      </c>
      <c r="K208" s="110">
        <f>IF(OR(I208="",F208=0),"",I208/F208)</f>
        <v/>
      </c>
      <c r="L208" s="111">
        <f>IF(K208="","⚪",IF(K208&gt;1.2,"🔴",IF(K208&gt;1.1,"🟡","🟢")))</f>
        <v/>
      </c>
      <c r="N208" s="105" t="n">
        <v>63000</v>
      </c>
      <c r="O208" s="106" t="n">
        <v>1.2</v>
      </c>
      <c r="P208" s="107" t="n"/>
      <c r="Q208" s="108">
        <f>IF(P208="","",O208*P208)</f>
        <v/>
      </c>
      <c r="R208" s="243">
        <f>IF(Q208="","",N208-Q208)</f>
        <v/>
      </c>
      <c r="S208" s="110">
        <f>IF(OR(Q208="",N208=0),"",Q208/N208)</f>
        <v/>
      </c>
      <c r="T208" s="111">
        <f>IF(S208="","⚪",IF(S208&gt;1.2,"🔴",IF(S208&gt;1.1,"🟡","🟢")))</f>
        <v/>
      </c>
      <c r="V208" s="105" t="n">
        <v>63000</v>
      </c>
      <c r="W208" s="106" t="n">
        <v>1.2</v>
      </c>
      <c r="X208" s="107" t="n"/>
      <c r="Y208" s="108">
        <f>IF(X208="","",W208*X208)</f>
        <v/>
      </c>
      <c r="Z208" s="243">
        <f>IF(Y208="","",V208-Y208)</f>
        <v/>
      </c>
      <c r="AA208" s="110">
        <f>IF(OR(Y208="",V208=0),"",Y208/V208)</f>
        <v/>
      </c>
      <c r="AB208" s="111">
        <f>IF(AA208="","⚪",IF(AA208&gt;1.2,"🔴",IF(AA208&gt;1.1,"🟡","🟢")))</f>
        <v/>
      </c>
      <c r="AD208" s="105" t="n">
        <v>63000</v>
      </c>
      <c r="AE208" s="106" t="n">
        <v>1.2</v>
      </c>
      <c r="AF208" s="107" t="n"/>
      <c r="AG208" s="108">
        <f>IF(AF208="","",AE208*AF208)</f>
        <v/>
      </c>
      <c r="AH208" s="243">
        <f>IF(AG208="","",AD208-AG208)</f>
        <v/>
      </c>
      <c r="AI208" s="110">
        <f>IF(OR(AG208="",AD208=0),"",AG208/AD208)</f>
        <v/>
      </c>
      <c r="AJ208" s="111">
        <f>IF(AI208="","⚪",IF(AI208&gt;1.2,"🔴",IF(AI208&gt;1.1,"🟡","🟢")))</f>
        <v/>
      </c>
    </row>
    <row r="209" ht="14" customHeight="1" s="176">
      <c r="A209" s="103" t="inlineStr">
        <is>
          <t>Santa Catalina</t>
        </is>
      </c>
      <c r="B209" s="104" t="inlineStr">
        <is>
          <t>W. murcott 21 ha</t>
        </is>
      </c>
      <c r="C209" s="104" t="inlineStr">
        <is>
          <t>1- M.O. directa</t>
        </is>
      </c>
      <c r="D209" s="104" t="inlineStr">
        <is>
          <t>2- Supervisor cosecha</t>
        </is>
      </c>
      <c r="E209" s="104" t="inlineStr">
        <is>
          <t>día</t>
        </is>
      </c>
      <c r="F209" s="105" t="n">
        <v>367500</v>
      </c>
      <c r="G209" s="106" t="n">
        <v>7</v>
      </c>
      <c r="H209" s="107" t="n"/>
      <c r="I209" s="108">
        <f>IF(H209="","",G209*H209)</f>
        <v/>
      </c>
      <c r="J209" s="243">
        <f>IF(I209="","",F209-I209)</f>
        <v/>
      </c>
      <c r="K209" s="110">
        <f>IF(OR(I209="",F209=0),"",I209/F209)</f>
        <v/>
      </c>
      <c r="L209" s="111">
        <f>IF(K209="","⚪",IF(K209&gt;1.2,"🔴",IF(K209&gt;1.1,"🟡","🟢")))</f>
        <v/>
      </c>
      <c r="N209" s="105" t="n">
        <v>367500</v>
      </c>
      <c r="O209" s="106" t="n">
        <v>7</v>
      </c>
      <c r="P209" s="107" t="n"/>
      <c r="Q209" s="108">
        <f>IF(P209="","",O209*P209)</f>
        <v/>
      </c>
      <c r="R209" s="243">
        <f>IF(Q209="","",N209-Q209)</f>
        <v/>
      </c>
      <c r="S209" s="110">
        <f>IF(OR(Q209="",N209=0),"",Q209/N209)</f>
        <v/>
      </c>
      <c r="T209" s="111">
        <f>IF(S209="","⚪",IF(S209&gt;1.2,"🔴",IF(S209&gt;1.1,"🟡","🟢")))</f>
        <v/>
      </c>
      <c r="V209" s="105" t="n">
        <v>367500</v>
      </c>
      <c r="W209" s="106" t="n">
        <v>7</v>
      </c>
      <c r="X209" s="107" t="n"/>
      <c r="Y209" s="108">
        <f>IF(X209="","",W209*X209)</f>
        <v/>
      </c>
      <c r="Z209" s="243">
        <f>IF(Y209="","",V209-Y209)</f>
        <v/>
      </c>
      <c r="AA209" s="110">
        <f>IF(OR(Y209="",V209=0),"",Y209/V209)</f>
        <v/>
      </c>
      <c r="AB209" s="111">
        <f>IF(AA209="","⚪",IF(AA209&gt;1.2,"🔴",IF(AA209&gt;1.1,"🟡","🟢")))</f>
        <v/>
      </c>
      <c r="AD209" s="105" t="n">
        <v>367500</v>
      </c>
      <c r="AE209" s="106" t="n">
        <v>7</v>
      </c>
      <c r="AF209" s="107" t="n"/>
      <c r="AG209" s="108">
        <f>IF(AF209="","",AE209*AF209)</f>
        <v/>
      </c>
      <c r="AH209" s="243">
        <f>IF(AG209="","",AD209-AG209)</f>
        <v/>
      </c>
      <c r="AI209" s="110">
        <f>IF(OR(AG209="",AD209=0),"",AG209/AD209)</f>
        <v/>
      </c>
      <c r="AJ209" s="111">
        <f>IF(AI209="","⚪",IF(AI209&gt;1.2,"🔴",IF(AI209&gt;1.1,"🟡","🟢")))</f>
        <v/>
      </c>
    </row>
    <row r="210" ht="14" customHeight="1" s="176">
      <c r="A210" s="112" t="inlineStr">
        <is>
          <t>Santa Catalina</t>
        </is>
      </c>
      <c r="B210" s="113" t="inlineStr">
        <is>
          <t>W. murcott 21 ha</t>
        </is>
      </c>
      <c r="C210" s="113" t="inlineStr">
        <is>
          <t>1- M.O. directa</t>
        </is>
      </c>
      <c r="D210" s="113" t="inlineStr">
        <is>
          <t>23- Guanteo de corona</t>
        </is>
      </c>
      <c r="E210" s="113" t="inlineStr">
        <is>
          <t>trato</t>
        </is>
      </c>
      <c r="F210" s="105" t="n">
        <v>420210</v>
      </c>
      <c r="G210" s="106" t="n">
        <v>150</v>
      </c>
      <c r="H210" s="107" t="n"/>
      <c r="I210" s="108">
        <f>IF(H210="","",G210*H210)</f>
        <v/>
      </c>
      <c r="J210" s="243">
        <f>IF(I210="","",F210-I210)</f>
        <v/>
      </c>
      <c r="K210" s="110">
        <f>IF(OR(I210="",F210=0),"",I210/F210)</f>
        <v/>
      </c>
      <c r="L210" s="111">
        <f>IF(K210="","⚪",IF(K210&gt;1.2,"🔴",IF(K210&gt;1.1,"🟡","🟢")))</f>
        <v/>
      </c>
      <c r="N210" s="105" t="n">
        <v>420210</v>
      </c>
      <c r="O210" s="106" t="n">
        <v>150</v>
      </c>
      <c r="P210" s="107" t="n"/>
      <c r="Q210" s="108">
        <f>IF(P210="","",O210*P210)</f>
        <v/>
      </c>
      <c r="R210" s="243">
        <f>IF(Q210="","",N210-Q210)</f>
        <v/>
      </c>
      <c r="S210" s="110">
        <f>IF(OR(Q210="",N210=0),"",Q210/N210)</f>
        <v/>
      </c>
      <c r="T210" s="111">
        <f>IF(S210="","⚪",IF(S210&gt;1.2,"🔴",IF(S210&gt;1.1,"🟡","🟢")))</f>
        <v/>
      </c>
      <c r="V210" s="105" t="n">
        <v>420210</v>
      </c>
      <c r="W210" s="106" t="n">
        <v>150</v>
      </c>
      <c r="X210" s="107" t="n"/>
      <c r="Y210" s="108">
        <f>IF(X210="","",W210*X210)</f>
        <v/>
      </c>
      <c r="Z210" s="243">
        <f>IF(Y210="","",V210-Y210)</f>
        <v/>
      </c>
      <c r="AA210" s="110">
        <f>IF(OR(Y210="",V210=0),"",Y210/V210)</f>
        <v/>
      </c>
      <c r="AB210" s="111">
        <f>IF(AA210="","⚪",IF(AA210&gt;1.2,"🔴",IF(AA210&gt;1.1,"🟡","🟢")))</f>
        <v/>
      </c>
      <c r="AD210" s="105" t="n">
        <v>420210</v>
      </c>
      <c r="AE210" s="106" t="n">
        <v>150</v>
      </c>
      <c r="AF210" s="107" t="n"/>
      <c r="AG210" s="108">
        <f>IF(AF210="","",AE210*AF210)</f>
        <v/>
      </c>
      <c r="AH210" s="243">
        <f>IF(AG210="","",AD210-AG210)</f>
        <v/>
      </c>
      <c r="AI210" s="110">
        <f>IF(OR(AG210="",AD210=0),"",AG210/AD210)</f>
        <v/>
      </c>
      <c r="AJ210" s="111">
        <f>IF(AI210="","⚪",IF(AI210&gt;1.2,"🔴",IF(AI210&gt;1.1,"🟡","🟢")))</f>
        <v/>
      </c>
    </row>
    <row r="211" ht="14" customHeight="1" s="176">
      <c r="A211" s="103" t="inlineStr">
        <is>
          <t>Santa Catalina</t>
        </is>
      </c>
      <c r="B211" s="104" t="inlineStr">
        <is>
          <t>W. murcott 21 ha</t>
        </is>
      </c>
      <c r="C211" s="104" t="inlineStr">
        <is>
          <t>1- M.O. directa</t>
        </is>
      </c>
      <c r="D211" s="104" t="inlineStr">
        <is>
          <t>3- Selección</t>
        </is>
      </c>
      <c r="E211" s="104" t="inlineStr">
        <is>
          <t>trato</t>
        </is>
      </c>
      <c r="F211" s="105" t="n">
        <v>945000</v>
      </c>
      <c r="G211" s="106" t="n">
        <v>18</v>
      </c>
      <c r="H211" s="107" t="n"/>
      <c r="I211" s="108">
        <f>IF(H211="","",G211*H211)</f>
        <v/>
      </c>
      <c r="J211" s="243">
        <f>IF(I211="","",F211-I211)</f>
        <v/>
      </c>
      <c r="K211" s="110">
        <f>IF(OR(I211="",F211=0),"",I211/F211)</f>
        <v/>
      </c>
      <c r="L211" s="111">
        <f>IF(K211="","⚪",IF(K211&gt;1.2,"🔴",IF(K211&gt;1.1,"🟡","🟢")))</f>
        <v/>
      </c>
      <c r="N211" s="105" t="n">
        <v>945000</v>
      </c>
      <c r="O211" s="106" t="n">
        <v>18</v>
      </c>
      <c r="P211" s="107" t="n"/>
      <c r="Q211" s="108">
        <f>IF(P211="","",O211*P211)</f>
        <v/>
      </c>
      <c r="R211" s="243">
        <f>IF(Q211="","",N211-Q211)</f>
        <v/>
      </c>
      <c r="S211" s="110">
        <f>IF(OR(Q211="",N211=0),"",Q211/N211)</f>
        <v/>
      </c>
      <c r="T211" s="111">
        <f>IF(S211="","⚪",IF(S211&gt;1.2,"🔴",IF(S211&gt;1.1,"🟡","🟢")))</f>
        <v/>
      </c>
      <c r="V211" s="105" t="n">
        <v>945000</v>
      </c>
      <c r="W211" s="106" t="n">
        <v>18</v>
      </c>
      <c r="X211" s="107" t="n"/>
      <c r="Y211" s="108">
        <f>IF(X211="","",W211*X211)</f>
        <v/>
      </c>
      <c r="Z211" s="243">
        <f>IF(Y211="","",V211-Y211)</f>
        <v/>
      </c>
      <c r="AA211" s="110">
        <f>IF(OR(Y211="",V211=0),"",Y211/V211)</f>
        <v/>
      </c>
      <c r="AB211" s="111">
        <f>IF(AA211="","⚪",IF(AA211&gt;1.2,"🔴",IF(AA211&gt;1.1,"🟡","🟢")))</f>
        <v/>
      </c>
      <c r="AD211" s="105" t="n">
        <v>945000</v>
      </c>
      <c r="AE211" s="106" t="n">
        <v>18</v>
      </c>
      <c r="AF211" s="107" t="n"/>
      <c r="AG211" s="108">
        <f>IF(AF211="","",AE211*AF211)</f>
        <v/>
      </c>
      <c r="AH211" s="243">
        <f>IF(AG211="","",AD211-AG211)</f>
        <v/>
      </c>
      <c r="AI211" s="110">
        <f>IF(OR(AG211="",AD211=0),"",AG211/AD211)</f>
        <v/>
      </c>
      <c r="AJ211" s="111">
        <f>IF(AI211="","⚪",IF(AI211&gt;1.2,"🔴",IF(AI211&gt;1.1,"🟡","🟢")))</f>
        <v/>
      </c>
    </row>
    <row r="212" ht="14" customHeight="1" s="176">
      <c r="A212" s="112" t="inlineStr">
        <is>
          <t>Santa Catalina</t>
        </is>
      </c>
      <c r="B212" s="113" t="inlineStr">
        <is>
          <t>W. murcott 21 ha</t>
        </is>
      </c>
      <c r="C212" s="113" t="inlineStr">
        <is>
          <t>1- M.O. directa</t>
        </is>
      </c>
      <c r="D212" s="113" t="inlineStr">
        <is>
          <t>3- Tractorista cosecha</t>
        </is>
      </c>
      <c r="E212" s="113" t="inlineStr">
        <is>
          <t>día</t>
        </is>
      </c>
      <c r="F212" s="105" t="n">
        <v>157500</v>
      </c>
      <c r="G212" s="106" t="n">
        <v>3</v>
      </c>
      <c r="H212" s="107" t="n"/>
      <c r="I212" s="108">
        <f>IF(H212="","",G212*H212)</f>
        <v/>
      </c>
      <c r="J212" s="243">
        <f>IF(I212="","",F212-I212)</f>
        <v/>
      </c>
      <c r="K212" s="110">
        <f>IF(OR(I212="",F212=0),"",I212/F212)</f>
        <v/>
      </c>
      <c r="L212" s="111">
        <f>IF(K212="","⚪",IF(K212&gt;1.2,"🔴",IF(K212&gt;1.1,"🟡","🟢")))</f>
        <v/>
      </c>
      <c r="N212" s="105" t="n">
        <v>157500</v>
      </c>
      <c r="O212" s="106" t="n">
        <v>3</v>
      </c>
      <c r="P212" s="107" t="n"/>
      <c r="Q212" s="108">
        <f>IF(P212="","",O212*P212)</f>
        <v/>
      </c>
      <c r="R212" s="243">
        <f>IF(Q212="","",N212-Q212)</f>
        <v/>
      </c>
      <c r="S212" s="110">
        <f>IF(OR(Q212="",N212=0),"",Q212/N212)</f>
        <v/>
      </c>
      <c r="T212" s="111">
        <f>IF(S212="","⚪",IF(S212&gt;1.2,"🔴",IF(S212&gt;1.1,"🟡","🟢")))</f>
        <v/>
      </c>
      <c r="V212" s="105" t="n">
        <v>157500</v>
      </c>
      <c r="W212" s="106" t="n">
        <v>3</v>
      </c>
      <c r="X212" s="107" t="n"/>
      <c r="Y212" s="108">
        <f>IF(X212="","",W212*X212)</f>
        <v/>
      </c>
      <c r="Z212" s="243">
        <f>IF(Y212="","",V212-Y212)</f>
        <v/>
      </c>
      <c r="AA212" s="110">
        <f>IF(OR(Y212="",V212=0),"",Y212/V212)</f>
        <v/>
      </c>
      <c r="AB212" s="111">
        <f>IF(AA212="","⚪",IF(AA212&gt;1.2,"🔴",IF(AA212&gt;1.1,"🟡","🟢")))</f>
        <v/>
      </c>
      <c r="AD212" s="105" t="n">
        <v>157500</v>
      </c>
      <c r="AE212" s="106" t="n">
        <v>3</v>
      </c>
      <c r="AF212" s="107" t="n"/>
      <c r="AG212" s="108">
        <f>IF(AF212="","",AE212*AF212)</f>
        <v/>
      </c>
      <c r="AH212" s="243">
        <f>IF(AG212="","",AD212-AG212)</f>
        <v/>
      </c>
      <c r="AI212" s="110">
        <f>IF(OR(AG212="",AD212=0),"",AG212/AD212)</f>
        <v/>
      </c>
      <c r="AJ212" s="111">
        <f>IF(AI212="","⚪",IF(AI212&gt;1.2,"🔴",IF(AI212&gt;1.1,"🟡","🟢")))</f>
        <v/>
      </c>
    </row>
    <row r="213" ht="14" customHeight="1" s="176">
      <c r="A213" s="103" t="inlineStr">
        <is>
          <t>Santa Catalina</t>
        </is>
      </c>
      <c r="B213" s="104" t="inlineStr">
        <is>
          <t>W. murcott 21 ha</t>
        </is>
      </c>
      <c r="C213" s="104" t="inlineStr">
        <is>
          <t>1- M.O. directa</t>
        </is>
      </c>
      <c r="D213" s="104" t="inlineStr">
        <is>
          <t>4- Grua</t>
        </is>
      </c>
      <c r="E213" s="104" t="inlineStr">
        <is>
          <t>día</t>
        </is>
      </c>
      <c r="F213" s="105" t="n">
        <v>157500</v>
      </c>
      <c r="G213" s="106" t="n">
        <v>1.5</v>
      </c>
      <c r="H213" s="107" t="n"/>
      <c r="I213" s="108">
        <f>IF(H213="","",G213*H213)</f>
        <v/>
      </c>
      <c r="J213" s="243">
        <f>IF(I213="","",F213-I213)</f>
        <v/>
      </c>
      <c r="K213" s="110">
        <f>IF(OR(I213="",F213=0),"",I213/F213)</f>
        <v/>
      </c>
      <c r="L213" s="111">
        <f>IF(K213="","⚪",IF(K213&gt;1.2,"🔴",IF(K213&gt;1.1,"🟡","🟢")))</f>
        <v/>
      </c>
      <c r="N213" s="105" t="n">
        <v>157500</v>
      </c>
      <c r="O213" s="106" t="n">
        <v>1.5</v>
      </c>
      <c r="P213" s="107" t="n"/>
      <c r="Q213" s="108">
        <f>IF(P213="","",O213*P213)</f>
        <v/>
      </c>
      <c r="R213" s="243">
        <f>IF(Q213="","",N213-Q213)</f>
        <v/>
      </c>
      <c r="S213" s="110">
        <f>IF(OR(Q213="",N213=0),"",Q213/N213)</f>
        <v/>
      </c>
      <c r="T213" s="111">
        <f>IF(S213="","⚪",IF(S213&gt;1.2,"🔴",IF(S213&gt;1.1,"🟡","🟢")))</f>
        <v/>
      </c>
      <c r="V213" s="105" t="n">
        <v>157500</v>
      </c>
      <c r="W213" s="106" t="n">
        <v>1.5</v>
      </c>
      <c r="X213" s="107" t="n"/>
      <c r="Y213" s="108">
        <f>IF(X213="","",W213*X213)</f>
        <v/>
      </c>
      <c r="Z213" s="243">
        <f>IF(Y213="","",V213-Y213)</f>
        <v/>
      </c>
      <c r="AA213" s="110">
        <f>IF(OR(Y213="",V213=0),"",Y213/V213)</f>
        <v/>
      </c>
      <c r="AB213" s="111">
        <f>IF(AA213="","⚪",IF(AA213&gt;1.2,"🔴",IF(AA213&gt;1.1,"🟡","🟢")))</f>
        <v/>
      </c>
      <c r="AD213" s="105" t="n">
        <v>157500</v>
      </c>
      <c r="AE213" s="106" t="n">
        <v>1.5</v>
      </c>
      <c r="AF213" s="107" t="n"/>
      <c r="AG213" s="108">
        <f>IF(AF213="","",AE213*AF213)</f>
        <v/>
      </c>
      <c r="AH213" s="243">
        <f>IF(AG213="","",AD213-AG213)</f>
        <v/>
      </c>
      <c r="AI213" s="110">
        <f>IF(OR(AG213="",AD213=0),"",AG213/AD213)</f>
        <v/>
      </c>
      <c r="AJ213" s="111">
        <f>IF(AI213="","⚪",IF(AI213&gt;1.2,"🔴",IF(AI213&gt;1.1,"🟡","🟢")))</f>
        <v/>
      </c>
    </row>
    <row r="214" ht="14" customHeight="1" s="176">
      <c r="A214" s="112" t="inlineStr">
        <is>
          <t>Santa Catalina</t>
        </is>
      </c>
      <c r="B214" s="113" t="inlineStr">
        <is>
          <t>W. murcott 21 ha</t>
        </is>
      </c>
      <c r="C214" s="113" t="inlineStr">
        <is>
          <t>1- M.O. directa</t>
        </is>
      </c>
      <c r="D214" s="113" t="inlineStr">
        <is>
          <t>5- Control de malezas mecánico</t>
        </is>
      </c>
      <c r="E214" s="113" t="inlineStr">
        <is>
          <t>trato</t>
        </is>
      </c>
      <c r="F214" s="105" t="n">
        <v>140070</v>
      </c>
      <c r="G214" s="106" t="n">
        <v>100</v>
      </c>
      <c r="H214" s="107" t="n"/>
      <c r="I214" s="108">
        <f>IF(H214="","",G214*H214)</f>
        <v/>
      </c>
      <c r="J214" s="243">
        <f>IF(I214="","",F214-I214)</f>
        <v/>
      </c>
      <c r="K214" s="110">
        <f>IF(OR(I214="",F214=0),"",I214/F214)</f>
        <v/>
      </c>
      <c r="L214" s="111">
        <f>IF(K214="","⚪",IF(K214&gt;1.2,"🔴",IF(K214&gt;1.1,"🟡","🟢")))</f>
        <v/>
      </c>
      <c r="N214" s="105" t="n">
        <v>140070</v>
      </c>
      <c r="O214" s="106" t="n">
        <v>100</v>
      </c>
      <c r="P214" s="107" t="n"/>
      <c r="Q214" s="108">
        <f>IF(P214="","",O214*P214)</f>
        <v/>
      </c>
      <c r="R214" s="243">
        <f>IF(Q214="","",N214-Q214)</f>
        <v/>
      </c>
      <c r="S214" s="110">
        <f>IF(OR(Q214="",N214=0),"",Q214/N214)</f>
        <v/>
      </c>
      <c r="T214" s="111">
        <f>IF(S214="","⚪",IF(S214&gt;1.2,"🔴",IF(S214&gt;1.1,"🟡","🟢")))</f>
        <v/>
      </c>
      <c r="V214" s="105" t="n">
        <v>140070</v>
      </c>
      <c r="W214" s="106" t="n">
        <v>100</v>
      </c>
      <c r="X214" s="107" t="n"/>
      <c r="Y214" s="108">
        <f>IF(X214="","",W214*X214)</f>
        <v/>
      </c>
      <c r="Z214" s="243">
        <f>IF(Y214="","",V214-Y214)</f>
        <v/>
      </c>
      <c r="AA214" s="110">
        <f>IF(OR(Y214="",V214=0),"",Y214/V214)</f>
        <v/>
      </c>
      <c r="AB214" s="111">
        <f>IF(AA214="","⚪",IF(AA214&gt;1.2,"🔴",IF(AA214&gt;1.1,"🟡","🟢")))</f>
        <v/>
      </c>
      <c r="AD214" s="105" t="n">
        <v>140070</v>
      </c>
      <c r="AE214" s="106" t="n">
        <v>100</v>
      </c>
      <c r="AF214" s="107" t="n"/>
      <c r="AG214" s="108">
        <f>IF(AF214="","",AE214*AF214)</f>
        <v/>
      </c>
      <c r="AH214" s="243">
        <f>IF(AG214="","",AD214-AG214)</f>
        <v/>
      </c>
      <c r="AI214" s="110">
        <f>IF(OR(AG214="",AD214=0),"",AG214/AD214)</f>
        <v/>
      </c>
      <c r="AJ214" s="111">
        <f>IF(AI214="","⚪",IF(AI214&gt;1.2,"🔴",IF(AI214&gt;1.1,"🟡","🟢")))</f>
        <v/>
      </c>
    </row>
    <row r="215" ht="14" customHeight="1" s="176">
      <c r="A215" s="103" t="inlineStr">
        <is>
          <t>Santa Catalina</t>
        </is>
      </c>
      <c r="B215" s="104" t="inlineStr">
        <is>
          <t>W. murcott 21 ha</t>
        </is>
      </c>
      <c r="C215" s="104" t="inlineStr">
        <is>
          <t>1- M.O. directa</t>
        </is>
      </c>
      <c r="D215" s="104" t="inlineStr">
        <is>
          <t>6- Control de malezas químico</t>
        </is>
      </c>
      <c r="E215" s="104" t="inlineStr">
        <is>
          <t>día</t>
        </is>
      </c>
      <c r="F215" s="105" t="n">
        <v>228375</v>
      </c>
      <c r="G215" s="106" t="n">
        <v>43500</v>
      </c>
      <c r="H215" s="107" t="n"/>
      <c r="I215" s="108">
        <f>IF(H215="","",G215*H215)</f>
        <v/>
      </c>
      <c r="J215" s="243">
        <f>IF(I215="","",F215-I215)</f>
        <v/>
      </c>
      <c r="K215" s="110">
        <f>IF(OR(I215="",F215=0),"",I215/F215)</f>
        <v/>
      </c>
      <c r="L215" s="111">
        <f>IF(K215="","⚪",IF(K215&gt;1.2,"🔴",IF(K215&gt;1.1,"🟡","🟢")))</f>
        <v/>
      </c>
      <c r="N215" s="105" t="n">
        <v>228375</v>
      </c>
      <c r="O215" s="106" t="n">
        <v>43500</v>
      </c>
      <c r="P215" s="107" t="n"/>
      <c r="Q215" s="108">
        <f>IF(P215="","",O215*P215)</f>
        <v/>
      </c>
      <c r="R215" s="243">
        <f>IF(Q215="","",N215-Q215)</f>
        <v/>
      </c>
      <c r="S215" s="110">
        <f>IF(OR(Q215="",N215=0),"",Q215/N215)</f>
        <v/>
      </c>
      <c r="T215" s="111">
        <f>IF(S215="","⚪",IF(S215&gt;1.2,"🔴",IF(S215&gt;1.1,"🟡","🟢")))</f>
        <v/>
      </c>
      <c r="V215" s="105" t="n">
        <v>228375</v>
      </c>
      <c r="W215" s="106" t="n">
        <v>43500</v>
      </c>
      <c r="X215" s="107" t="n"/>
      <c r="Y215" s="108">
        <f>IF(X215="","",W215*X215)</f>
        <v/>
      </c>
      <c r="Z215" s="243">
        <f>IF(Y215="","",V215-Y215)</f>
        <v/>
      </c>
      <c r="AA215" s="110">
        <f>IF(OR(Y215="",V215=0),"",Y215/V215)</f>
        <v/>
      </c>
      <c r="AB215" s="111">
        <f>IF(AA215="","⚪",IF(AA215&gt;1.2,"🔴",IF(AA215&gt;1.1,"🟡","🟢")))</f>
        <v/>
      </c>
      <c r="AD215" s="105" t="n">
        <v>228375</v>
      </c>
      <c r="AE215" s="106" t="n">
        <v>43500</v>
      </c>
      <c r="AF215" s="107" t="n"/>
      <c r="AG215" s="108">
        <f>IF(AF215="","",AE215*AF215)</f>
        <v/>
      </c>
      <c r="AH215" s="243">
        <f>IF(AG215="","",AD215-AG215)</f>
        <v/>
      </c>
      <c r="AI215" s="110">
        <f>IF(OR(AG215="",AD215=0),"",AG215/AD215)</f>
        <v/>
      </c>
      <c r="AJ215" s="111">
        <f>IF(AI215="","⚪",IF(AI215&gt;1.2,"🔴",IF(AI215&gt;1.1,"🟡","🟢")))</f>
        <v/>
      </c>
    </row>
    <row r="216" ht="14" customHeight="1" s="176">
      <c r="A216" s="112" t="inlineStr">
        <is>
          <t>Santa Catalina</t>
        </is>
      </c>
      <c r="B216" s="113" t="inlineStr">
        <is>
          <t>W. murcott 21 ha</t>
        </is>
      </c>
      <c r="C216" s="113" t="inlineStr">
        <is>
          <t>1- M.O. directa</t>
        </is>
      </c>
      <c r="D216" s="113" t="inlineStr">
        <is>
          <t>7,1- TRACTORISTA</t>
        </is>
      </c>
      <c r="E216" s="113" t="inlineStr">
        <is>
          <t>día</t>
        </is>
      </c>
      <c r="F216" s="105" t="n">
        <v>398840.4</v>
      </c>
      <c r="G216" s="106" t="n">
        <v>38000</v>
      </c>
      <c r="H216" s="107" t="n"/>
      <c r="I216" s="108">
        <f>IF(H216="","",G216*H216)</f>
        <v/>
      </c>
      <c r="J216" s="243">
        <f>IF(I216="","",F216-I216)</f>
        <v/>
      </c>
      <c r="K216" s="110">
        <f>IF(OR(I216="",F216=0),"",I216/F216)</f>
        <v/>
      </c>
      <c r="L216" s="111">
        <f>IF(K216="","⚪",IF(K216&gt;1.2,"🔴",IF(K216&gt;1.1,"🟡","🟢")))</f>
        <v/>
      </c>
      <c r="N216" s="105" t="n">
        <v>398840.4</v>
      </c>
      <c r="O216" s="106" t="n">
        <v>38000</v>
      </c>
      <c r="P216" s="107" t="n"/>
      <c r="Q216" s="108">
        <f>IF(P216="","",O216*P216)</f>
        <v/>
      </c>
      <c r="R216" s="243">
        <f>IF(Q216="","",N216-Q216)</f>
        <v/>
      </c>
      <c r="S216" s="110">
        <f>IF(OR(Q216="",N216=0),"",Q216/N216)</f>
        <v/>
      </c>
      <c r="T216" s="111">
        <f>IF(S216="","⚪",IF(S216&gt;1.2,"🔴",IF(S216&gt;1.1,"🟡","🟢")))</f>
        <v/>
      </c>
      <c r="V216" s="105" t="n">
        <v>398840.4</v>
      </c>
      <c r="W216" s="106" t="n">
        <v>38000</v>
      </c>
      <c r="X216" s="107" t="n"/>
      <c r="Y216" s="108">
        <f>IF(X216="","",W216*X216)</f>
        <v/>
      </c>
      <c r="Z216" s="243">
        <f>IF(Y216="","",V216-Y216)</f>
        <v/>
      </c>
      <c r="AA216" s="110">
        <f>IF(OR(Y216="",V216=0),"",Y216/V216)</f>
        <v/>
      </c>
      <c r="AB216" s="111">
        <f>IF(AA216="","⚪",IF(AA216&gt;1.2,"🔴",IF(AA216&gt;1.1,"🟡","🟢")))</f>
        <v/>
      </c>
      <c r="AD216" s="105" t="n">
        <v>398840.4</v>
      </c>
      <c r="AE216" s="106" t="n">
        <v>38000</v>
      </c>
      <c r="AF216" s="107" t="n"/>
      <c r="AG216" s="108">
        <f>IF(AF216="","",AE216*AF216)</f>
        <v/>
      </c>
      <c r="AH216" s="243">
        <f>IF(AG216="","",AD216-AG216)</f>
        <v/>
      </c>
      <c r="AI216" s="110">
        <f>IF(OR(AG216="",AD216=0),"",AG216/AD216)</f>
        <v/>
      </c>
      <c r="AJ216" s="111">
        <f>IF(AI216="","⚪",IF(AI216&gt;1.2,"🔴",IF(AI216&gt;1.1,"🟡","🟢")))</f>
        <v/>
      </c>
    </row>
    <row r="217" ht="14" customHeight="1" s="176">
      <c r="A217" s="103" t="inlineStr">
        <is>
          <t>Santa Catalina</t>
        </is>
      </c>
      <c r="B217" s="104" t="inlineStr">
        <is>
          <t>W. murcott 21 ha</t>
        </is>
      </c>
      <c r="C217" s="104" t="inlineStr">
        <is>
          <t>1- M.O. directa</t>
        </is>
      </c>
      <c r="D217" s="104" t="inlineStr">
        <is>
          <t>7- Acordonar sarmiento</t>
        </is>
      </c>
      <c r="E217" s="104" t="inlineStr">
        <is>
          <t>trato</t>
        </is>
      </c>
      <c r="F217" s="105" t="n">
        <v>49024.5</v>
      </c>
      <c r="G217" s="106" t="n">
        <v>70</v>
      </c>
      <c r="H217" s="107" t="n"/>
      <c r="I217" s="108">
        <f>IF(H217="","",G217*H217)</f>
        <v/>
      </c>
      <c r="J217" s="243">
        <f>IF(I217="","",F217-I217)</f>
        <v/>
      </c>
      <c r="K217" s="110">
        <f>IF(OR(I217="",F217=0),"",I217/F217)</f>
        <v/>
      </c>
      <c r="L217" s="111">
        <f>IF(K217="","⚪",IF(K217&gt;1.2,"🔴",IF(K217&gt;1.1,"🟡","🟢")))</f>
        <v/>
      </c>
      <c r="N217" s="105" t="n">
        <v>49024.5</v>
      </c>
      <c r="O217" s="106" t="n">
        <v>70</v>
      </c>
      <c r="P217" s="107" t="n"/>
      <c r="Q217" s="108">
        <f>IF(P217="","",O217*P217)</f>
        <v/>
      </c>
      <c r="R217" s="243">
        <f>IF(Q217="","",N217-Q217)</f>
        <v/>
      </c>
      <c r="S217" s="110">
        <f>IF(OR(Q217="",N217=0),"",Q217/N217)</f>
        <v/>
      </c>
      <c r="T217" s="111">
        <f>IF(S217="","⚪",IF(S217&gt;1.2,"🔴",IF(S217&gt;1.1,"🟡","🟢")))</f>
        <v/>
      </c>
      <c r="V217" s="105" t="n">
        <v>49024.5</v>
      </c>
      <c r="W217" s="106" t="n">
        <v>70</v>
      </c>
      <c r="X217" s="107" t="n"/>
      <c r="Y217" s="108">
        <f>IF(X217="","",W217*X217)</f>
        <v/>
      </c>
      <c r="Z217" s="243">
        <f>IF(Y217="","",V217-Y217)</f>
        <v/>
      </c>
      <c r="AA217" s="110">
        <f>IF(OR(Y217="",V217=0),"",Y217/V217)</f>
        <v/>
      </c>
      <c r="AB217" s="111">
        <f>IF(AA217="","⚪",IF(AA217&gt;1.2,"🔴",IF(AA217&gt;1.1,"🟡","🟢")))</f>
        <v/>
      </c>
      <c r="AD217" s="105" t="n">
        <v>49024.5</v>
      </c>
      <c r="AE217" s="106" t="n">
        <v>70</v>
      </c>
      <c r="AF217" s="107" t="n"/>
      <c r="AG217" s="108">
        <f>IF(AF217="","",AE217*AF217)</f>
        <v/>
      </c>
      <c r="AH217" s="243">
        <f>IF(AG217="","",AD217-AG217)</f>
        <v/>
      </c>
      <c r="AI217" s="110">
        <f>IF(OR(AG217="",AD217=0),"",AG217/AD217)</f>
        <v/>
      </c>
      <c r="AJ217" s="111">
        <f>IF(AI217="","⚪",IF(AI217&gt;1.2,"🔴",IF(AI217&gt;1.1,"🟡","🟢")))</f>
        <v/>
      </c>
    </row>
    <row r="218" ht="14" customHeight="1" s="176">
      <c r="A218" s="112" t="inlineStr">
        <is>
          <t>Santa Catalina</t>
        </is>
      </c>
      <c r="B218" s="113" t="inlineStr">
        <is>
          <t>W. murcott 21 ha</t>
        </is>
      </c>
      <c r="C218" s="113" t="inlineStr">
        <is>
          <t>2- M.O. indirecta</t>
        </is>
      </c>
      <c r="D218" s="113" t="inlineStr">
        <is>
          <t xml:space="preserve">1- ADM. GENERAL </t>
        </is>
      </c>
      <c r="E218" s="113" t="inlineStr">
        <is>
          <t>día</t>
        </is>
      </c>
      <c r="F218" s="105" t="n">
        <v>699020.28</v>
      </c>
      <c r="G218" s="106" t="n">
        <v>66600</v>
      </c>
      <c r="H218" s="107" t="n"/>
      <c r="I218" s="108">
        <f>IF(H218="","",G218*H218)</f>
        <v/>
      </c>
      <c r="J218" s="243">
        <f>IF(I218="","",F218-I218)</f>
        <v/>
      </c>
      <c r="K218" s="110">
        <f>IF(OR(I218="",F218=0),"",I218/F218)</f>
        <v/>
      </c>
      <c r="L218" s="111">
        <f>IF(K218="","⚪",IF(K218&gt;1.2,"🔴",IF(K218&gt;1.1,"🟡","🟢")))</f>
        <v/>
      </c>
      <c r="N218" s="105" t="n">
        <v>699020.28</v>
      </c>
      <c r="O218" s="106" t="n">
        <v>66600</v>
      </c>
      <c r="P218" s="107" t="n"/>
      <c r="Q218" s="108">
        <f>IF(P218="","",O218*P218)</f>
        <v/>
      </c>
      <c r="R218" s="243">
        <f>IF(Q218="","",N218-Q218)</f>
        <v/>
      </c>
      <c r="S218" s="110">
        <f>IF(OR(Q218="",N218=0),"",Q218/N218)</f>
        <v/>
      </c>
      <c r="T218" s="111">
        <f>IF(S218="","⚪",IF(S218&gt;1.2,"🔴",IF(S218&gt;1.1,"🟡","🟢")))</f>
        <v/>
      </c>
      <c r="V218" s="105" t="n">
        <v>699020.28</v>
      </c>
      <c r="W218" s="106" t="n">
        <v>66600</v>
      </c>
      <c r="X218" s="107" t="n"/>
      <c r="Y218" s="108">
        <f>IF(X218="","",W218*X218)</f>
        <v/>
      </c>
      <c r="Z218" s="243">
        <f>IF(Y218="","",V218-Y218)</f>
        <v/>
      </c>
      <c r="AA218" s="110">
        <f>IF(OR(Y218="",V218=0),"",Y218/V218)</f>
        <v/>
      </c>
      <c r="AB218" s="111">
        <f>IF(AA218="","⚪",IF(AA218&gt;1.2,"🔴",IF(AA218&gt;1.1,"🟡","🟢")))</f>
        <v/>
      </c>
      <c r="AD218" s="105" t="n">
        <v>699020.28</v>
      </c>
      <c r="AE218" s="106" t="n">
        <v>66600</v>
      </c>
      <c r="AF218" s="107" t="n"/>
      <c r="AG218" s="108">
        <f>IF(AF218="","",AE218*AF218)</f>
        <v/>
      </c>
      <c r="AH218" s="243">
        <f>IF(AG218="","",AD218-AG218)</f>
        <v/>
      </c>
      <c r="AI218" s="110">
        <f>IF(OR(AG218="",AD218=0),"",AG218/AD218)</f>
        <v/>
      </c>
      <c r="AJ218" s="111">
        <f>IF(AI218="","⚪",IF(AI218&gt;1.2,"🔴",IF(AI218&gt;1.1,"🟡","🟢")))</f>
        <v/>
      </c>
    </row>
    <row r="219" ht="14" customHeight="1" s="176">
      <c r="A219" s="103" t="inlineStr">
        <is>
          <t>Santa Catalina</t>
        </is>
      </c>
      <c r="B219" s="104" t="inlineStr">
        <is>
          <t>W. murcott 21 ha</t>
        </is>
      </c>
      <c r="C219" s="104" t="inlineStr">
        <is>
          <t>2- M.O. indirecta</t>
        </is>
      </c>
      <c r="D219" s="104" t="inlineStr">
        <is>
          <t>2,1- JEFE DE CAMPO</t>
        </is>
      </c>
      <c r="E219" s="104" t="inlineStr">
        <is>
          <t>día</t>
        </is>
      </c>
      <c r="F219" s="105" t="n">
        <v>309363.705</v>
      </c>
      <c r="G219" s="106" t="n">
        <v>29475</v>
      </c>
      <c r="H219" s="107" t="n"/>
      <c r="I219" s="108">
        <f>IF(H219="","",G219*H219)</f>
        <v/>
      </c>
      <c r="J219" s="243">
        <f>IF(I219="","",F219-I219)</f>
        <v/>
      </c>
      <c r="K219" s="110">
        <f>IF(OR(I219="",F219=0),"",I219/F219)</f>
        <v/>
      </c>
      <c r="L219" s="111">
        <f>IF(K219="","⚪",IF(K219&gt;1.2,"🔴",IF(K219&gt;1.1,"🟡","🟢")))</f>
        <v/>
      </c>
      <c r="N219" s="105" t="n">
        <v>309363.705</v>
      </c>
      <c r="O219" s="106" t="n">
        <v>29475</v>
      </c>
      <c r="P219" s="107" t="n"/>
      <c r="Q219" s="108">
        <f>IF(P219="","",O219*P219)</f>
        <v/>
      </c>
      <c r="R219" s="243">
        <f>IF(Q219="","",N219-Q219)</f>
        <v/>
      </c>
      <c r="S219" s="110">
        <f>IF(OR(Q219="",N219=0),"",Q219/N219)</f>
        <v/>
      </c>
      <c r="T219" s="111">
        <f>IF(S219="","⚪",IF(S219&gt;1.2,"🔴",IF(S219&gt;1.1,"🟡","🟢")))</f>
        <v/>
      </c>
      <c r="V219" s="105" t="n">
        <v>309363.705</v>
      </c>
      <c r="W219" s="106" t="n">
        <v>29475</v>
      </c>
      <c r="X219" s="107" t="n"/>
      <c r="Y219" s="108">
        <f>IF(X219="","",W219*X219)</f>
        <v/>
      </c>
      <c r="Z219" s="243">
        <f>IF(Y219="","",V219-Y219)</f>
        <v/>
      </c>
      <c r="AA219" s="110">
        <f>IF(OR(Y219="",V219=0),"",Y219/V219)</f>
        <v/>
      </c>
      <c r="AB219" s="111">
        <f>IF(AA219="","⚪",IF(AA219&gt;1.2,"🔴",IF(AA219&gt;1.1,"🟡","🟢")))</f>
        <v/>
      </c>
      <c r="AD219" s="105" t="n">
        <v>309363.705</v>
      </c>
      <c r="AE219" s="106" t="n">
        <v>29475</v>
      </c>
      <c r="AF219" s="107" t="n"/>
      <c r="AG219" s="108">
        <f>IF(AF219="","",AE219*AF219)</f>
        <v/>
      </c>
      <c r="AH219" s="243">
        <f>IF(AG219="","",AD219-AG219)</f>
        <v/>
      </c>
      <c r="AI219" s="110">
        <f>IF(OR(AG219="",AD219=0),"",AG219/AD219)</f>
        <v/>
      </c>
      <c r="AJ219" s="111">
        <f>IF(AI219="","⚪",IF(AI219&gt;1.2,"🔴",IF(AI219&gt;1.1,"🟡","🟢")))</f>
        <v/>
      </c>
    </row>
    <row r="220" ht="14" customHeight="1" s="176">
      <c r="A220" s="112" t="inlineStr">
        <is>
          <t>Santa Catalina</t>
        </is>
      </c>
      <c r="B220" s="113" t="inlineStr">
        <is>
          <t>W. murcott 21 ha</t>
        </is>
      </c>
      <c r="C220" s="113" t="inlineStr">
        <is>
          <t>2- M.O. indirecta</t>
        </is>
      </c>
      <c r="D220" s="113" t="inlineStr">
        <is>
          <t>2- ADMINISTRACION</t>
        </is>
      </c>
      <c r="E220" s="113" t="inlineStr">
        <is>
          <t>día</t>
        </is>
      </c>
      <c r="F220" s="105" t="n">
        <v>85015.98000000001</v>
      </c>
      <c r="G220" s="106" t="n">
        <v>8100</v>
      </c>
      <c r="H220" s="107" t="n"/>
      <c r="I220" s="108">
        <f>IF(H220="","",G220*H220)</f>
        <v/>
      </c>
      <c r="J220" s="243">
        <f>IF(I220="","",F220-I220)</f>
        <v/>
      </c>
      <c r="K220" s="110">
        <f>IF(OR(I220="",F220=0),"",I220/F220)</f>
        <v/>
      </c>
      <c r="L220" s="111">
        <f>IF(K220="","⚪",IF(K220&gt;1.2,"🔴",IF(K220&gt;1.1,"🟡","🟢")))</f>
        <v/>
      </c>
      <c r="N220" s="105" t="n">
        <v>85015.98000000001</v>
      </c>
      <c r="O220" s="106" t="n">
        <v>8100</v>
      </c>
      <c r="P220" s="107" t="n"/>
      <c r="Q220" s="108">
        <f>IF(P220="","",O220*P220)</f>
        <v/>
      </c>
      <c r="R220" s="243">
        <f>IF(Q220="","",N220-Q220)</f>
        <v/>
      </c>
      <c r="S220" s="110">
        <f>IF(OR(Q220="",N220=0),"",Q220/N220)</f>
        <v/>
      </c>
      <c r="T220" s="111">
        <f>IF(S220="","⚪",IF(S220&gt;1.2,"🔴",IF(S220&gt;1.1,"🟡","🟢")))</f>
        <v/>
      </c>
      <c r="V220" s="105" t="n">
        <v>85015.98000000001</v>
      </c>
      <c r="W220" s="106" t="n">
        <v>8100</v>
      </c>
      <c r="X220" s="107" t="n"/>
      <c r="Y220" s="108">
        <f>IF(X220="","",W220*X220)</f>
        <v/>
      </c>
      <c r="Z220" s="243">
        <f>IF(Y220="","",V220-Y220)</f>
        <v/>
      </c>
      <c r="AA220" s="110">
        <f>IF(OR(Y220="",V220=0),"",Y220/V220)</f>
        <v/>
      </c>
      <c r="AB220" s="111">
        <f>IF(AA220="","⚪",IF(AA220&gt;1.2,"🔴",IF(AA220&gt;1.1,"🟡","🟢")))</f>
        <v/>
      </c>
      <c r="AD220" s="105" t="n">
        <v>85015.98000000001</v>
      </c>
      <c r="AE220" s="106" t="n">
        <v>8100</v>
      </c>
      <c r="AF220" s="107" t="n"/>
      <c r="AG220" s="108">
        <f>IF(AF220="","",AE220*AF220)</f>
        <v/>
      </c>
      <c r="AH220" s="243">
        <f>IF(AG220="","",AD220-AG220)</f>
        <v/>
      </c>
      <c r="AI220" s="110">
        <f>IF(OR(AG220="",AD220=0),"",AG220/AD220)</f>
        <v/>
      </c>
      <c r="AJ220" s="111">
        <f>IF(AI220="","⚪",IF(AI220&gt;1.2,"🔴",IF(AI220&gt;1.1,"🟡","🟢")))</f>
        <v/>
      </c>
    </row>
    <row r="221" ht="14" customHeight="1" s="176">
      <c r="A221" s="103" t="inlineStr">
        <is>
          <t>Santa Catalina</t>
        </is>
      </c>
      <c r="B221" s="104" t="inlineStr">
        <is>
          <t>W. murcott 21 ha</t>
        </is>
      </c>
      <c r="C221" s="104" t="inlineStr">
        <is>
          <t>2- M.O. indirecta</t>
        </is>
      </c>
      <c r="D221" s="104" t="inlineStr">
        <is>
          <t>3,1-  ENCARGADO DE RIEGO</t>
        </is>
      </c>
      <c r="E221" s="104" t="inlineStr">
        <is>
          <t>día</t>
        </is>
      </c>
      <c r="F221" s="105" t="n">
        <v>468302.47905</v>
      </c>
      <c r="G221" s="106" t="n">
        <v>44618.0833333333</v>
      </c>
      <c r="H221" s="107" t="n"/>
      <c r="I221" s="108">
        <f>IF(H221="","",G221*H221)</f>
        <v/>
      </c>
      <c r="J221" s="243">
        <f>IF(I221="","",F221-I221)</f>
        <v/>
      </c>
      <c r="K221" s="110">
        <f>IF(OR(I221="",F221=0),"",I221/F221)</f>
        <v/>
      </c>
      <c r="L221" s="111">
        <f>IF(K221="","⚪",IF(K221&gt;1.2,"🔴",IF(K221&gt;1.1,"🟡","🟢")))</f>
        <v/>
      </c>
      <c r="N221" s="105" t="n">
        <v>468302.47905</v>
      </c>
      <c r="O221" s="106" t="n">
        <v>44618.0833333333</v>
      </c>
      <c r="P221" s="107" t="n"/>
      <c r="Q221" s="108">
        <f>IF(P221="","",O221*P221)</f>
        <v/>
      </c>
      <c r="R221" s="243">
        <f>IF(Q221="","",N221-Q221)</f>
        <v/>
      </c>
      <c r="S221" s="110">
        <f>IF(OR(Q221="",N221=0),"",Q221/N221)</f>
        <v/>
      </c>
      <c r="T221" s="111">
        <f>IF(S221="","⚪",IF(S221&gt;1.2,"🔴",IF(S221&gt;1.1,"🟡","🟢")))</f>
        <v/>
      </c>
      <c r="V221" s="105" t="n">
        <v>468302.47905</v>
      </c>
      <c r="W221" s="106" t="n">
        <v>44618.0833333333</v>
      </c>
      <c r="X221" s="107" t="n"/>
      <c r="Y221" s="108">
        <f>IF(X221="","",W221*X221)</f>
        <v/>
      </c>
      <c r="Z221" s="243">
        <f>IF(Y221="","",V221-Y221)</f>
        <v/>
      </c>
      <c r="AA221" s="110">
        <f>IF(OR(Y221="",V221=0),"",Y221/V221)</f>
        <v/>
      </c>
      <c r="AB221" s="111">
        <f>IF(AA221="","⚪",IF(AA221&gt;1.2,"🔴",IF(AA221&gt;1.1,"🟡","🟢")))</f>
        <v/>
      </c>
      <c r="AD221" s="105" t="n">
        <v>468302.47905</v>
      </c>
      <c r="AE221" s="106" t="n">
        <v>44618.0833333333</v>
      </c>
      <c r="AF221" s="107" t="n"/>
      <c r="AG221" s="108">
        <f>IF(AF221="","",AE221*AF221)</f>
        <v/>
      </c>
      <c r="AH221" s="243">
        <f>IF(AG221="","",AD221-AG221)</f>
        <v/>
      </c>
      <c r="AI221" s="110">
        <f>IF(OR(AG221="",AD221=0),"",AG221/AD221)</f>
        <v/>
      </c>
      <c r="AJ221" s="111">
        <f>IF(AI221="","⚪",IF(AI221&gt;1.2,"🔴",IF(AI221&gt;1.1,"🟡","🟢")))</f>
        <v/>
      </c>
    </row>
    <row r="222" ht="14" customHeight="1" s="176">
      <c r="A222" s="112" t="inlineStr">
        <is>
          <t>Santa Catalina</t>
        </is>
      </c>
      <c r="B222" s="113" t="inlineStr">
        <is>
          <t>W. murcott 21 ha</t>
        </is>
      </c>
      <c r="C222" s="113" t="inlineStr">
        <is>
          <t>2- M.O. indirecta</t>
        </is>
      </c>
      <c r="D222" s="113" t="inlineStr">
        <is>
          <t>3- ADQUIS. Y BODEGA</t>
        </is>
      </c>
      <c r="E222" s="113" t="inlineStr">
        <is>
          <t>día</t>
        </is>
      </c>
      <c r="F222" s="105" t="n">
        <v>85015.98000000001</v>
      </c>
      <c r="G222" s="106" t="n">
        <v>8100</v>
      </c>
      <c r="H222" s="107" t="n"/>
      <c r="I222" s="108">
        <f>IF(H222="","",G222*H222)</f>
        <v/>
      </c>
      <c r="J222" s="243">
        <f>IF(I222="","",F222-I222)</f>
        <v/>
      </c>
      <c r="K222" s="110">
        <f>IF(OR(I222="",F222=0),"",I222/F222)</f>
        <v/>
      </c>
      <c r="L222" s="111">
        <f>IF(K222="","⚪",IF(K222&gt;1.2,"🔴",IF(K222&gt;1.1,"🟡","🟢")))</f>
        <v/>
      </c>
      <c r="N222" s="105" t="n">
        <v>85015.98000000001</v>
      </c>
      <c r="O222" s="106" t="n">
        <v>8100</v>
      </c>
      <c r="P222" s="107" t="n"/>
      <c r="Q222" s="108">
        <f>IF(P222="","",O222*P222)</f>
        <v/>
      </c>
      <c r="R222" s="243">
        <f>IF(Q222="","",N222-Q222)</f>
        <v/>
      </c>
      <c r="S222" s="110">
        <f>IF(OR(Q222="",N222=0),"",Q222/N222)</f>
        <v/>
      </c>
      <c r="T222" s="111">
        <f>IF(S222="","⚪",IF(S222&gt;1.2,"🔴",IF(S222&gt;1.1,"🟡","🟢")))</f>
        <v/>
      </c>
      <c r="V222" s="105" t="n">
        <v>85015.98000000001</v>
      </c>
      <c r="W222" s="106" t="n">
        <v>8100</v>
      </c>
      <c r="X222" s="107" t="n"/>
      <c r="Y222" s="108">
        <f>IF(X222="","",W222*X222)</f>
        <v/>
      </c>
      <c r="Z222" s="243">
        <f>IF(Y222="","",V222-Y222)</f>
        <v/>
      </c>
      <c r="AA222" s="110">
        <f>IF(OR(Y222="",V222=0),"",Y222/V222)</f>
        <v/>
      </c>
      <c r="AB222" s="111">
        <f>IF(AA222="","⚪",IF(AA222&gt;1.2,"🔴",IF(AA222&gt;1.1,"🟡","🟢")))</f>
        <v/>
      </c>
      <c r="AD222" s="105" t="n">
        <v>85015.98000000001</v>
      </c>
      <c r="AE222" s="106" t="n">
        <v>8100</v>
      </c>
      <c r="AF222" s="107" t="n"/>
      <c r="AG222" s="108">
        <f>IF(AF222="","",AE222*AF222)</f>
        <v/>
      </c>
      <c r="AH222" s="243">
        <f>IF(AG222="","",AD222-AG222)</f>
        <v/>
      </c>
      <c r="AI222" s="110">
        <f>IF(OR(AG222="",AD222=0),"",AG222/AD222)</f>
        <v/>
      </c>
      <c r="AJ222" s="111">
        <f>IF(AI222="","⚪",IF(AI222&gt;1.2,"🔴",IF(AI222&gt;1.1,"🟡","🟢")))</f>
        <v/>
      </c>
    </row>
    <row r="223" ht="14" customHeight="1" s="176">
      <c r="A223" s="103" t="inlineStr">
        <is>
          <t>Santa Catalina</t>
        </is>
      </c>
      <c r="B223" s="104" t="inlineStr">
        <is>
          <t>W. murcott 21 ha</t>
        </is>
      </c>
      <c r="C223" s="104" t="inlineStr">
        <is>
          <t>2- M.O. indirecta</t>
        </is>
      </c>
      <c r="D223" s="104" t="inlineStr">
        <is>
          <t>4,1- ENCARGADO MANTENCIONES</t>
        </is>
      </c>
      <c r="E223" s="104" t="inlineStr">
        <is>
          <t>día</t>
        </is>
      </c>
      <c r="F223" s="105" t="n">
        <v>115453.8</v>
      </c>
      <c r="G223" s="106" t="n">
        <v>11000</v>
      </c>
      <c r="H223" s="107" t="n"/>
      <c r="I223" s="108">
        <f>IF(H223="","",G223*H223)</f>
        <v/>
      </c>
      <c r="J223" s="243">
        <f>IF(I223="","",F223-I223)</f>
        <v/>
      </c>
      <c r="K223" s="110">
        <f>IF(OR(I223="",F223=0),"",I223/F223)</f>
        <v/>
      </c>
      <c r="L223" s="111">
        <f>IF(K223="","⚪",IF(K223&gt;1.2,"🔴",IF(K223&gt;1.1,"🟡","🟢")))</f>
        <v/>
      </c>
      <c r="N223" s="105" t="n">
        <v>115453.8</v>
      </c>
      <c r="O223" s="106" t="n">
        <v>11000</v>
      </c>
      <c r="P223" s="107" t="n"/>
      <c r="Q223" s="108">
        <f>IF(P223="","",O223*P223)</f>
        <v/>
      </c>
      <c r="R223" s="243">
        <f>IF(Q223="","",N223-Q223)</f>
        <v/>
      </c>
      <c r="S223" s="110">
        <f>IF(OR(Q223="",N223=0),"",Q223/N223)</f>
        <v/>
      </c>
      <c r="T223" s="111">
        <f>IF(S223="","⚪",IF(S223&gt;1.2,"🔴",IF(S223&gt;1.1,"🟡","🟢")))</f>
        <v/>
      </c>
      <c r="V223" s="105" t="n">
        <v>115453.8</v>
      </c>
      <c r="W223" s="106" t="n">
        <v>11000</v>
      </c>
      <c r="X223" s="107" t="n"/>
      <c r="Y223" s="108">
        <f>IF(X223="","",W223*X223)</f>
        <v/>
      </c>
      <c r="Z223" s="243">
        <f>IF(Y223="","",V223-Y223)</f>
        <v/>
      </c>
      <c r="AA223" s="110">
        <f>IF(OR(Y223="",V223=0),"",Y223/V223)</f>
        <v/>
      </c>
      <c r="AB223" s="111">
        <f>IF(AA223="","⚪",IF(AA223&gt;1.2,"🔴",IF(AA223&gt;1.1,"🟡","🟢")))</f>
        <v/>
      </c>
      <c r="AD223" s="105" t="n">
        <v>115453.8</v>
      </c>
      <c r="AE223" s="106" t="n">
        <v>11000</v>
      </c>
      <c r="AF223" s="107" t="n"/>
      <c r="AG223" s="108">
        <f>IF(AF223="","",AE223*AF223)</f>
        <v/>
      </c>
      <c r="AH223" s="243">
        <f>IF(AG223="","",AD223-AG223)</f>
        <v/>
      </c>
      <c r="AI223" s="110">
        <f>IF(OR(AG223="",AD223=0),"",AG223/AD223)</f>
        <v/>
      </c>
      <c r="AJ223" s="111">
        <f>IF(AI223="","⚪",IF(AI223&gt;1.2,"🔴",IF(AI223&gt;1.1,"🟡","🟢")))</f>
        <v/>
      </c>
    </row>
    <row r="224" ht="14" customHeight="1" s="176">
      <c r="A224" s="112" t="inlineStr">
        <is>
          <t>Santa Catalina</t>
        </is>
      </c>
      <c r="B224" s="113" t="inlineStr">
        <is>
          <t>W. murcott 21 ha</t>
        </is>
      </c>
      <c r="C224" s="113" t="inlineStr">
        <is>
          <t>2- M.O. indirecta</t>
        </is>
      </c>
      <c r="D224" s="113" t="inlineStr">
        <is>
          <t>4- CERTIFICACIONES</t>
        </is>
      </c>
      <c r="E224" s="113" t="inlineStr">
        <is>
          <t>día</t>
        </is>
      </c>
      <c r="F224" s="105" t="n">
        <v>67850.97375</v>
      </c>
      <c r="G224" s="106" t="n">
        <v>6464.58333333333</v>
      </c>
      <c r="H224" s="107" t="n"/>
      <c r="I224" s="108">
        <f>IF(H224="","",G224*H224)</f>
        <v/>
      </c>
      <c r="J224" s="243">
        <f>IF(I224="","",F224-I224)</f>
        <v/>
      </c>
      <c r="K224" s="110">
        <f>IF(OR(I224="",F224=0),"",I224/F224)</f>
        <v/>
      </c>
      <c r="L224" s="111">
        <f>IF(K224="","⚪",IF(K224&gt;1.2,"🔴",IF(K224&gt;1.1,"🟡","🟢")))</f>
        <v/>
      </c>
      <c r="N224" s="105" t="n">
        <v>67850.97375</v>
      </c>
      <c r="O224" s="106" t="n">
        <v>6464.58333333333</v>
      </c>
      <c r="P224" s="107" t="n"/>
      <c r="Q224" s="108">
        <f>IF(P224="","",O224*P224)</f>
        <v/>
      </c>
      <c r="R224" s="243">
        <f>IF(Q224="","",N224-Q224)</f>
        <v/>
      </c>
      <c r="S224" s="110">
        <f>IF(OR(Q224="",N224=0),"",Q224/N224)</f>
        <v/>
      </c>
      <c r="T224" s="111">
        <f>IF(S224="","⚪",IF(S224&gt;1.2,"🔴",IF(S224&gt;1.1,"🟡","🟢")))</f>
        <v/>
      </c>
      <c r="V224" s="105" t="n">
        <v>67850.97375</v>
      </c>
      <c r="W224" s="106" t="n">
        <v>6464.58333333333</v>
      </c>
      <c r="X224" s="107" t="n"/>
      <c r="Y224" s="108">
        <f>IF(X224="","",W224*X224)</f>
        <v/>
      </c>
      <c r="Z224" s="243">
        <f>IF(Y224="","",V224-Y224)</f>
        <v/>
      </c>
      <c r="AA224" s="110">
        <f>IF(OR(Y224="",V224=0),"",Y224/V224)</f>
        <v/>
      </c>
      <c r="AB224" s="111">
        <f>IF(AA224="","⚪",IF(AA224&gt;1.2,"🔴",IF(AA224&gt;1.1,"🟡","🟢")))</f>
        <v/>
      </c>
      <c r="AD224" s="105" t="n">
        <v>67850.97375</v>
      </c>
      <c r="AE224" s="106" t="n">
        <v>6464.58333333333</v>
      </c>
      <c r="AF224" s="107" t="n"/>
      <c r="AG224" s="108">
        <f>IF(AF224="","",AE224*AF224)</f>
        <v/>
      </c>
      <c r="AH224" s="243">
        <f>IF(AG224="","",AD224-AG224)</f>
        <v/>
      </c>
      <c r="AI224" s="110">
        <f>IF(OR(AG224="",AD224=0),"",AG224/AD224)</f>
        <v/>
      </c>
      <c r="AJ224" s="111">
        <f>IF(AI224="","⚪",IF(AI224&gt;1.2,"🔴",IF(AI224&gt;1.1,"🟡","🟢")))</f>
        <v/>
      </c>
    </row>
    <row r="225" ht="14" customHeight="1" s="176">
      <c r="A225" s="103" t="inlineStr">
        <is>
          <t>Santa Catalina</t>
        </is>
      </c>
      <c r="B225" s="104" t="inlineStr">
        <is>
          <t>W. murcott 21 ha</t>
        </is>
      </c>
      <c r="C225" s="104" t="inlineStr">
        <is>
          <t>2- M.O. indirecta</t>
        </is>
      </c>
      <c r="D225" s="104" t="inlineStr">
        <is>
          <t>5- PREVEN. DE RIESGO</t>
        </is>
      </c>
      <c r="E225" s="104" t="inlineStr">
        <is>
          <t>día</t>
        </is>
      </c>
      <c r="F225" s="105" t="n">
        <v>16530.885</v>
      </c>
      <c r="G225" s="106" t="n">
        <v>1575</v>
      </c>
      <c r="H225" s="107" t="n"/>
      <c r="I225" s="108">
        <f>IF(H225="","",G225*H225)</f>
        <v/>
      </c>
      <c r="J225" s="243">
        <f>IF(I225="","",F225-I225)</f>
        <v/>
      </c>
      <c r="K225" s="110">
        <f>IF(OR(I225="",F225=0),"",I225/F225)</f>
        <v/>
      </c>
      <c r="L225" s="111">
        <f>IF(K225="","⚪",IF(K225&gt;1.2,"🔴",IF(K225&gt;1.1,"🟡","🟢")))</f>
        <v/>
      </c>
      <c r="N225" s="105" t="n">
        <v>16530.885</v>
      </c>
      <c r="O225" s="106" t="n">
        <v>1575</v>
      </c>
      <c r="P225" s="107" t="n"/>
      <c r="Q225" s="108">
        <f>IF(P225="","",O225*P225)</f>
        <v/>
      </c>
      <c r="R225" s="243">
        <f>IF(Q225="","",N225-Q225)</f>
        <v/>
      </c>
      <c r="S225" s="110">
        <f>IF(OR(Q225="",N225=0),"",Q225/N225)</f>
        <v/>
      </c>
      <c r="T225" s="111">
        <f>IF(S225="","⚪",IF(S225&gt;1.2,"🔴",IF(S225&gt;1.1,"🟡","🟢")))</f>
        <v/>
      </c>
      <c r="V225" s="105" t="n">
        <v>16530.885</v>
      </c>
      <c r="W225" s="106" t="n">
        <v>1575</v>
      </c>
      <c r="X225" s="107" t="n"/>
      <c r="Y225" s="108">
        <f>IF(X225="","",W225*X225)</f>
        <v/>
      </c>
      <c r="Z225" s="243">
        <f>IF(Y225="","",V225-Y225)</f>
        <v/>
      </c>
      <c r="AA225" s="110">
        <f>IF(OR(Y225="",V225=0),"",Y225/V225)</f>
        <v/>
      </c>
      <c r="AB225" s="111">
        <f>IF(AA225="","⚪",IF(AA225&gt;1.2,"🔴",IF(AA225&gt;1.1,"🟡","🟢")))</f>
        <v/>
      </c>
      <c r="AD225" s="105" t="n">
        <v>16530.885</v>
      </c>
      <c r="AE225" s="106" t="n">
        <v>1575</v>
      </c>
      <c r="AF225" s="107" t="n"/>
      <c r="AG225" s="108">
        <f>IF(AF225="","",AE225*AF225)</f>
        <v/>
      </c>
      <c r="AH225" s="243">
        <f>IF(AG225="","",AD225-AG225)</f>
        <v/>
      </c>
      <c r="AI225" s="110">
        <f>IF(OR(AG225="",AD225=0),"",AG225/AD225)</f>
        <v/>
      </c>
      <c r="AJ225" s="111">
        <f>IF(AI225="","⚪",IF(AI225&gt;1.2,"🔴",IF(AI225&gt;1.1,"🟡","🟢")))</f>
        <v/>
      </c>
    </row>
    <row r="226" ht="14" customHeight="1" s="176">
      <c r="A226" s="112" t="inlineStr">
        <is>
          <t>Santa Catalina</t>
        </is>
      </c>
      <c r="B226" s="113" t="inlineStr">
        <is>
          <t>W. murcott 21 ha</t>
        </is>
      </c>
      <c r="C226" s="113" t="inlineStr">
        <is>
          <t>2- M.O. indirecta</t>
        </is>
      </c>
      <c r="D226" s="113" t="inlineStr">
        <is>
          <t>9,1- RONDIN FUNDO</t>
        </is>
      </c>
      <c r="E226" s="113" t="inlineStr">
        <is>
          <t>día</t>
        </is>
      </c>
      <c r="F226" s="105" t="n">
        <v>417333.9996</v>
      </c>
      <c r="G226" s="106" t="n">
        <v>39762</v>
      </c>
      <c r="H226" s="107" t="n"/>
      <c r="I226" s="108">
        <f>IF(H226="","",G226*H226)</f>
        <v/>
      </c>
      <c r="J226" s="243">
        <f>IF(I226="","",F226-I226)</f>
        <v/>
      </c>
      <c r="K226" s="110">
        <f>IF(OR(I226="",F226=0),"",I226/F226)</f>
        <v/>
      </c>
      <c r="L226" s="111">
        <f>IF(K226="","⚪",IF(K226&gt;1.2,"🔴",IF(K226&gt;1.1,"🟡","🟢")))</f>
        <v/>
      </c>
      <c r="N226" s="105" t="n">
        <v>417333.9996</v>
      </c>
      <c r="O226" s="106" t="n">
        <v>39762</v>
      </c>
      <c r="P226" s="107" t="n"/>
      <c r="Q226" s="108">
        <f>IF(P226="","",O226*P226)</f>
        <v/>
      </c>
      <c r="R226" s="243">
        <f>IF(Q226="","",N226-Q226)</f>
        <v/>
      </c>
      <c r="S226" s="110">
        <f>IF(OR(Q226="",N226=0),"",Q226/N226)</f>
        <v/>
      </c>
      <c r="T226" s="111">
        <f>IF(S226="","⚪",IF(S226&gt;1.2,"🔴",IF(S226&gt;1.1,"🟡","🟢")))</f>
        <v/>
      </c>
      <c r="V226" s="105" t="n">
        <v>417333.9996</v>
      </c>
      <c r="W226" s="106" t="n">
        <v>39762</v>
      </c>
      <c r="X226" s="107" t="n"/>
      <c r="Y226" s="108">
        <f>IF(X226="","",W226*X226)</f>
        <v/>
      </c>
      <c r="Z226" s="243">
        <f>IF(Y226="","",V226-Y226)</f>
        <v/>
      </c>
      <c r="AA226" s="110">
        <f>IF(OR(Y226="",V226=0),"",Y226/V226)</f>
        <v/>
      </c>
      <c r="AB226" s="111">
        <f>IF(AA226="","⚪",IF(AA226&gt;1.2,"🔴",IF(AA226&gt;1.1,"🟡","🟢")))</f>
        <v/>
      </c>
      <c r="AD226" s="105" t="n">
        <v>417333.9996</v>
      </c>
      <c r="AE226" s="106" t="n">
        <v>39762</v>
      </c>
      <c r="AF226" s="107" t="n"/>
      <c r="AG226" s="108">
        <f>IF(AF226="","",AE226*AF226)</f>
        <v/>
      </c>
      <c r="AH226" s="243">
        <f>IF(AG226="","",AD226-AG226)</f>
        <v/>
      </c>
      <c r="AI226" s="110">
        <f>IF(OR(AG226="",AD226=0),"",AG226/AD226)</f>
        <v/>
      </c>
      <c r="AJ226" s="111">
        <f>IF(AI226="","⚪",IF(AI226&gt;1.2,"🔴",IF(AI226&gt;1.1,"🟡","🟢")))</f>
        <v/>
      </c>
    </row>
    <row r="227" ht="14" customHeight="1" s="176">
      <c r="A227" s="103" t="inlineStr">
        <is>
          <t>Santa Catalina</t>
        </is>
      </c>
      <c r="B227" s="104" t="inlineStr">
        <is>
          <t>W. murcott 21 ha</t>
        </is>
      </c>
      <c r="C227" s="104" t="inlineStr">
        <is>
          <t>2- M.O. indirecta</t>
        </is>
      </c>
      <c r="D227" s="104" t="inlineStr">
        <is>
          <t>9,1- RONDIN ZANJON</t>
        </is>
      </c>
      <c r="E227" s="104" t="inlineStr">
        <is>
          <t>día</t>
        </is>
      </c>
      <c r="F227" s="105" t="n">
        <v>741927.1104</v>
      </c>
      <c r="G227" s="106" t="n">
        <v>70688</v>
      </c>
      <c r="H227" s="107" t="n"/>
      <c r="I227" s="108">
        <f>IF(H227="","",G227*H227)</f>
        <v/>
      </c>
      <c r="J227" s="243">
        <f>IF(I227="","",F227-I227)</f>
        <v/>
      </c>
      <c r="K227" s="110">
        <f>IF(OR(I227="",F227=0),"",I227/F227)</f>
        <v/>
      </c>
      <c r="L227" s="111">
        <f>IF(K227="","⚪",IF(K227&gt;1.2,"🔴",IF(K227&gt;1.1,"🟡","🟢")))</f>
        <v/>
      </c>
      <c r="N227" s="105" t="n">
        <v>741927.1104</v>
      </c>
      <c r="O227" s="106" t="n">
        <v>70688</v>
      </c>
      <c r="P227" s="107" t="n"/>
      <c r="Q227" s="108">
        <f>IF(P227="","",O227*P227)</f>
        <v/>
      </c>
      <c r="R227" s="243">
        <f>IF(Q227="","",N227-Q227)</f>
        <v/>
      </c>
      <c r="S227" s="110">
        <f>IF(OR(Q227="",N227=0),"",Q227/N227)</f>
        <v/>
      </c>
      <c r="T227" s="111">
        <f>IF(S227="","⚪",IF(S227&gt;1.2,"🔴",IF(S227&gt;1.1,"🟡","🟢")))</f>
        <v/>
      </c>
      <c r="V227" s="105" t="n">
        <v>741927.1104</v>
      </c>
      <c r="W227" s="106" t="n">
        <v>70688</v>
      </c>
      <c r="X227" s="107" t="n"/>
      <c r="Y227" s="108">
        <f>IF(X227="","",W227*X227)</f>
        <v/>
      </c>
      <c r="Z227" s="243">
        <f>IF(Y227="","",V227-Y227)</f>
        <v/>
      </c>
      <c r="AA227" s="110">
        <f>IF(OR(Y227="",V227=0),"",Y227/V227)</f>
        <v/>
      </c>
      <c r="AB227" s="111">
        <f>IF(AA227="","⚪",IF(AA227&gt;1.2,"🔴",IF(AA227&gt;1.1,"🟡","🟢")))</f>
        <v/>
      </c>
      <c r="AD227" s="105" t="n">
        <v>741927.1104</v>
      </c>
      <c r="AE227" s="106" t="n">
        <v>70688</v>
      </c>
      <c r="AF227" s="107" t="n"/>
      <c r="AG227" s="108">
        <f>IF(AF227="","",AE227*AF227)</f>
        <v/>
      </c>
      <c r="AH227" s="243">
        <f>IF(AG227="","",AD227-AG227)</f>
        <v/>
      </c>
      <c r="AI227" s="110">
        <f>IF(OR(AG227="",AD227=0),"",AG227/AD227)</f>
        <v/>
      </c>
      <c r="AJ227" s="111">
        <f>IF(AI227="","⚪",IF(AI227&gt;1.2,"🔴",IF(AI227&gt;1.1,"🟡","🟢")))</f>
        <v/>
      </c>
    </row>
    <row r="228" ht="14" customHeight="1" s="176">
      <c r="A228" s="112" t="inlineStr">
        <is>
          <t>Santa Catalina</t>
        </is>
      </c>
      <c r="B228" s="113" t="inlineStr">
        <is>
          <t>cambria 4,2 ha</t>
        </is>
      </c>
      <c r="C228" s="113" t="inlineStr">
        <is>
          <t>1- M.O. directa</t>
        </is>
      </c>
      <c r="D228" s="113" t="inlineStr">
        <is>
          <t xml:space="preserve">1,4- Mantención caminos </t>
        </is>
      </c>
      <c r="E228" s="113" t="inlineStr">
        <is>
          <t>día</t>
        </is>
      </c>
      <c r="F228" s="105" t="n">
        <v>4350</v>
      </c>
      <c r="G228" s="106" t="n">
        <v>43500</v>
      </c>
      <c r="H228" s="107" t="n"/>
      <c r="I228" s="108">
        <f>IF(H228="","",G228*H228)</f>
        <v/>
      </c>
      <c r="J228" s="243">
        <f>IF(I228="","",F228-I228)</f>
        <v/>
      </c>
      <c r="K228" s="110">
        <f>IF(OR(I228="",F228=0),"",I228/F228)</f>
        <v/>
      </c>
      <c r="L228" s="111">
        <f>IF(K228="","⚪",IF(K228&gt;1.2,"🔴",IF(K228&gt;1.1,"🟡","🟢")))</f>
        <v/>
      </c>
      <c r="N228" s="105" t="n">
        <v>4350</v>
      </c>
      <c r="O228" s="106" t="n">
        <v>43500</v>
      </c>
      <c r="P228" s="107" t="n"/>
      <c r="Q228" s="108">
        <f>IF(P228="","",O228*P228)</f>
        <v/>
      </c>
      <c r="R228" s="243">
        <f>IF(Q228="","",N228-Q228)</f>
        <v/>
      </c>
      <c r="S228" s="110">
        <f>IF(OR(Q228="",N228=0),"",Q228/N228)</f>
        <v/>
      </c>
      <c r="T228" s="111">
        <f>IF(S228="","⚪",IF(S228&gt;1.2,"🔴",IF(S228&gt;1.1,"🟡","🟢")))</f>
        <v/>
      </c>
      <c r="V228" s="105" t="n">
        <v>4350</v>
      </c>
      <c r="W228" s="106" t="n">
        <v>43500</v>
      </c>
      <c r="X228" s="107" t="n"/>
      <c r="Y228" s="108">
        <f>IF(X228="","",W228*X228)</f>
        <v/>
      </c>
      <c r="Z228" s="243">
        <f>IF(Y228="","",V228-Y228)</f>
        <v/>
      </c>
      <c r="AA228" s="110">
        <f>IF(OR(Y228="",V228=0),"",Y228/V228)</f>
        <v/>
      </c>
      <c r="AB228" s="111">
        <f>IF(AA228="","⚪",IF(AA228&gt;1.2,"🔴",IF(AA228&gt;1.1,"🟡","🟢")))</f>
        <v/>
      </c>
      <c r="AD228" s="105" t="n">
        <v>4350</v>
      </c>
      <c r="AE228" s="106" t="n">
        <v>43500</v>
      </c>
      <c r="AF228" s="107" t="n"/>
      <c r="AG228" s="108">
        <f>IF(AF228="","",AE228*AF228)</f>
        <v/>
      </c>
      <c r="AH228" s="243">
        <f>IF(AG228="","",AD228-AG228)</f>
        <v/>
      </c>
      <c r="AI228" s="110">
        <f>IF(OR(AG228="",AD228=0),"",AG228/AD228)</f>
        <v/>
      </c>
      <c r="AJ228" s="111">
        <f>IF(AI228="","⚪",IF(AI228&gt;1.2,"🔴",IF(AI228&gt;1.1,"🟡","🟢")))</f>
        <v/>
      </c>
    </row>
    <row r="229" ht="14" customHeight="1" s="176">
      <c r="A229" s="103" t="inlineStr">
        <is>
          <t>Santa Catalina</t>
        </is>
      </c>
      <c r="B229" s="104" t="inlineStr">
        <is>
          <t>cambria 4,2 ha</t>
        </is>
      </c>
      <c r="C229" s="104" t="inlineStr">
        <is>
          <t>1- M.O. directa</t>
        </is>
      </c>
      <c r="D229" s="104" t="inlineStr">
        <is>
          <t>1- Cosecha M.I</t>
        </is>
      </c>
      <c r="E229" s="104" t="inlineStr">
        <is>
          <t>trato</t>
        </is>
      </c>
      <c r="F229" s="105" t="n">
        <v>210000</v>
      </c>
      <c r="G229" s="106" t="n">
        <v>50</v>
      </c>
      <c r="H229" s="107" t="n"/>
      <c r="I229" s="108">
        <f>IF(H229="","",G229*H229)</f>
        <v/>
      </c>
      <c r="J229" s="243">
        <f>IF(I229="","",F229-I229)</f>
        <v/>
      </c>
      <c r="K229" s="110">
        <f>IF(OR(I229="",F229=0),"",I229/F229)</f>
        <v/>
      </c>
      <c r="L229" s="111">
        <f>IF(K229="","⚪",IF(K229&gt;1.2,"🔴",IF(K229&gt;1.1,"🟡","🟢")))</f>
        <v/>
      </c>
      <c r="N229" s="105" t="n">
        <v>210000</v>
      </c>
      <c r="O229" s="106" t="n">
        <v>50</v>
      </c>
      <c r="P229" s="107" t="n"/>
      <c r="Q229" s="108">
        <f>IF(P229="","",O229*P229)</f>
        <v/>
      </c>
      <c r="R229" s="243">
        <f>IF(Q229="","",N229-Q229)</f>
        <v/>
      </c>
      <c r="S229" s="110">
        <f>IF(OR(Q229="",N229=0),"",Q229/N229)</f>
        <v/>
      </c>
      <c r="T229" s="111">
        <f>IF(S229="","⚪",IF(S229&gt;1.2,"🔴",IF(S229&gt;1.1,"🟡","🟢")))</f>
        <v/>
      </c>
      <c r="V229" s="105" t="n">
        <v>210000</v>
      </c>
      <c r="W229" s="106" t="n">
        <v>50</v>
      </c>
      <c r="X229" s="107" t="n"/>
      <c r="Y229" s="108">
        <f>IF(X229="","",W229*X229)</f>
        <v/>
      </c>
      <c r="Z229" s="243">
        <f>IF(Y229="","",V229-Y229)</f>
        <v/>
      </c>
      <c r="AA229" s="110">
        <f>IF(OR(Y229="",V229=0),"",Y229/V229)</f>
        <v/>
      </c>
      <c r="AB229" s="111">
        <f>IF(AA229="","⚪",IF(AA229&gt;1.2,"🔴",IF(AA229&gt;1.1,"🟡","🟢")))</f>
        <v/>
      </c>
      <c r="AD229" s="105" t="n">
        <v>210000</v>
      </c>
      <c r="AE229" s="106" t="n">
        <v>50</v>
      </c>
      <c r="AF229" s="107" t="n"/>
      <c r="AG229" s="108">
        <f>IF(AF229="","",AE229*AF229)</f>
        <v/>
      </c>
      <c r="AH229" s="243">
        <f>IF(AG229="","",AD229-AG229)</f>
        <v/>
      </c>
      <c r="AI229" s="110">
        <f>IF(OR(AG229="",AD229=0),"",AG229/AD229)</f>
        <v/>
      </c>
      <c r="AJ229" s="111">
        <f>IF(AI229="","⚪",IF(AI229&gt;1.2,"🔴",IF(AI229&gt;1.1,"🟡","🟢")))</f>
        <v/>
      </c>
    </row>
    <row r="230" ht="14" customHeight="1" s="176">
      <c r="A230" s="112" t="inlineStr">
        <is>
          <t>Santa Catalina</t>
        </is>
      </c>
      <c r="B230" s="113" t="inlineStr">
        <is>
          <t>cambria 4,2 ha</t>
        </is>
      </c>
      <c r="C230" s="113" t="inlineStr">
        <is>
          <t>1- M.O. directa</t>
        </is>
      </c>
      <c r="D230" s="113" t="inlineStr">
        <is>
          <t xml:space="preserve">11- mantención de cercos </t>
        </is>
      </c>
      <c r="E230" s="113" t="inlineStr">
        <is>
          <t>día</t>
        </is>
      </c>
      <c r="F230" s="105" t="n">
        <v>8085</v>
      </c>
      <c r="G230" s="106" t="n">
        <v>38500</v>
      </c>
      <c r="H230" s="107" t="n"/>
      <c r="I230" s="108">
        <f>IF(H230="","",G230*H230)</f>
        <v/>
      </c>
      <c r="J230" s="243">
        <f>IF(I230="","",F230-I230)</f>
        <v/>
      </c>
      <c r="K230" s="110">
        <f>IF(OR(I230="",F230=0),"",I230/F230)</f>
        <v/>
      </c>
      <c r="L230" s="111">
        <f>IF(K230="","⚪",IF(K230&gt;1.2,"🔴",IF(K230&gt;1.1,"🟡","🟢")))</f>
        <v/>
      </c>
      <c r="N230" s="105" t="n">
        <v>8085</v>
      </c>
      <c r="O230" s="106" t="n">
        <v>38500</v>
      </c>
      <c r="P230" s="107" t="n"/>
      <c r="Q230" s="108">
        <f>IF(P230="","",O230*P230)</f>
        <v/>
      </c>
      <c r="R230" s="243">
        <f>IF(Q230="","",N230-Q230)</f>
        <v/>
      </c>
      <c r="S230" s="110">
        <f>IF(OR(Q230="",N230=0),"",Q230/N230)</f>
        <v/>
      </c>
      <c r="T230" s="111">
        <f>IF(S230="","⚪",IF(S230&gt;1.2,"🔴",IF(S230&gt;1.1,"🟡","🟢")))</f>
        <v/>
      </c>
      <c r="V230" s="105" t="n">
        <v>8085</v>
      </c>
      <c r="W230" s="106" t="n">
        <v>38500</v>
      </c>
      <c r="X230" s="107" t="n"/>
      <c r="Y230" s="108">
        <f>IF(X230="","",W230*X230)</f>
        <v/>
      </c>
      <c r="Z230" s="243">
        <f>IF(Y230="","",V230-Y230)</f>
        <v/>
      </c>
      <c r="AA230" s="110">
        <f>IF(OR(Y230="",V230=0),"",Y230/V230)</f>
        <v/>
      </c>
      <c r="AB230" s="111">
        <f>IF(AA230="","⚪",IF(AA230&gt;1.2,"🔴",IF(AA230&gt;1.1,"🟡","🟢")))</f>
        <v/>
      </c>
      <c r="AD230" s="105" t="n">
        <v>8085</v>
      </c>
      <c r="AE230" s="106" t="n">
        <v>38500</v>
      </c>
      <c r="AF230" s="107" t="n"/>
      <c r="AG230" s="108">
        <f>IF(AF230="","",AE230*AF230)</f>
        <v/>
      </c>
      <c r="AH230" s="243">
        <f>IF(AG230="","",AD230-AG230)</f>
        <v/>
      </c>
      <c r="AI230" s="110">
        <f>IF(OR(AG230="",AD230=0),"",AG230/AD230)</f>
        <v/>
      </c>
      <c r="AJ230" s="111">
        <f>IF(AI230="","⚪",IF(AI230&gt;1.2,"🔴",IF(AI230&gt;1.1,"🟡","🟢")))</f>
        <v/>
      </c>
    </row>
    <row r="231" ht="14" customHeight="1" s="176">
      <c r="A231" s="103" t="inlineStr">
        <is>
          <t>Santa Catalina</t>
        </is>
      </c>
      <c r="B231" s="104" t="inlineStr">
        <is>
          <t>cambria 4,2 ha</t>
        </is>
      </c>
      <c r="C231" s="104" t="inlineStr">
        <is>
          <t>1- M.O. directa</t>
        </is>
      </c>
      <c r="D231" s="104" t="inlineStr">
        <is>
          <t>12- Picar sarmiento</t>
        </is>
      </c>
      <c r="E231" s="104" t="inlineStr">
        <is>
          <t>trato</t>
        </is>
      </c>
      <c r="F231" s="105" t="n">
        <v>2627.1</v>
      </c>
      <c r="G231" s="106" t="n">
        <v>60</v>
      </c>
      <c r="H231" s="107" t="n"/>
      <c r="I231" s="108">
        <f>IF(H231="","",G231*H231)</f>
        <v/>
      </c>
      <c r="J231" s="243">
        <f>IF(I231="","",F231-I231)</f>
        <v/>
      </c>
      <c r="K231" s="110">
        <f>IF(OR(I231="",F231=0),"",I231/F231)</f>
        <v/>
      </c>
      <c r="L231" s="111">
        <f>IF(K231="","⚪",IF(K231&gt;1.2,"🔴",IF(K231&gt;1.1,"🟡","🟢")))</f>
        <v/>
      </c>
      <c r="N231" s="105" t="n">
        <v>2627.1</v>
      </c>
      <c r="O231" s="106" t="n">
        <v>60</v>
      </c>
      <c r="P231" s="107" t="n"/>
      <c r="Q231" s="108">
        <f>IF(P231="","",O231*P231)</f>
        <v/>
      </c>
      <c r="R231" s="243">
        <f>IF(Q231="","",N231-Q231)</f>
        <v/>
      </c>
      <c r="S231" s="110">
        <f>IF(OR(Q231="",N231=0),"",Q231/N231)</f>
        <v/>
      </c>
      <c r="T231" s="111">
        <f>IF(S231="","⚪",IF(S231&gt;1.2,"🔴",IF(S231&gt;1.1,"🟡","🟢")))</f>
        <v/>
      </c>
      <c r="V231" s="105" t="n">
        <v>2627.1</v>
      </c>
      <c r="W231" s="106" t="n">
        <v>60</v>
      </c>
      <c r="X231" s="107" t="n"/>
      <c r="Y231" s="108">
        <f>IF(X231="","",W231*X231)</f>
        <v/>
      </c>
      <c r="Z231" s="243">
        <f>IF(Y231="","",V231-Y231)</f>
        <v/>
      </c>
      <c r="AA231" s="110">
        <f>IF(OR(Y231="",V231=0),"",Y231/V231)</f>
        <v/>
      </c>
      <c r="AB231" s="111">
        <f>IF(AA231="","⚪",IF(AA231&gt;1.2,"🔴",IF(AA231&gt;1.1,"🟡","🟢")))</f>
        <v/>
      </c>
      <c r="AD231" s="105" t="n">
        <v>2627.1</v>
      </c>
      <c r="AE231" s="106" t="n">
        <v>60</v>
      </c>
      <c r="AF231" s="107" t="n"/>
      <c r="AG231" s="108">
        <f>IF(AF231="","",AE231*AF231)</f>
        <v/>
      </c>
      <c r="AH231" s="243">
        <f>IF(AG231="","",AD231-AG231)</f>
        <v/>
      </c>
      <c r="AI231" s="110">
        <f>IF(OR(AG231="",AD231=0),"",AG231/AD231)</f>
        <v/>
      </c>
      <c r="AJ231" s="111">
        <f>IF(AI231="","⚪",IF(AI231&gt;1.2,"🔴",IF(AI231&gt;1.1,"🟡","🟢")))</f>
        <v/>
      </c>
    </row>
    <row r="232" ht="14" customHeight="1" s="176">
      <c r="A232" s="112" t="inlineStr">
        <is>
          <t>Santa Catalina</t>
        </is>
      </c>
      <c r="B232" s="113" t="inlineStr">
        <is>
          <t>cambria 4,2 ha</t>
        </is>
      </c>
      <c r="C232" s="113" t="inlineStr">
        <is>
          <t>1- M.O. directa</t>
        </is>
      </c>
      <c r="D232" s="113" t="inlineStr">
        <is>
          <t>13- Poda antenas</t>
        </is>
      </c>
      <c r="E232" s="113" t="inlineStr">
        <is>
          <t>trato</t>
        </is>
      </c>
      <c r="F232" s="105" t="inlineStr">
        <is>
          <t>plt</t>
        </is>
      </c>
      <c r="G232" s="106" t="n"/>
      <c r="H232" s="107" t="n"/>
      <c r="I232" s="108">
        <f>IF(H232="","",G232*H232)</f>
        <v/>
      </c>
      <c r="J232" s="243">
        <f>IF(I232="","",F232-I232)</f>
        <v/>
      </c>
      <c r="K232" s="110">
        <f>IF(OR(I232="",F232=0),"",I232/F232)</f>
        <v/>
      </c>
      <c r="L232" s="111">
        <f>IF(K232="","⚪",IF(K232&gt;1.2,"🔴",IF(K232&gt;1.1,"🟡","🟢")))</f>
        <v/>
      </c>
      <c r="N232" s="105" t="n"/>
      <c r="O232" s="106" t="n"/>
      <c r="P232" s="107" t="n"/>
      <c r="Q232" s="108">
        <f>IF(P232="","",O232*P232)</f>
        <v/>
      </c>
      <c r="R232" s="243">
        <f>IF(Q232="","",N232-Q232)</f>
        <v/>
      </c>
      <c r="S232" s="110">
        <f>IF(OR(Q232="",N232=0),"",Q232/N232)</f>
        <v/>
      </c>
      <c r="T232" s="111">
        <f>IF(S232="","⚪",IF(S232&gt;1.2,"🔴",IF(S232&gt;1.1,"🟡","🟢")))</f>
        <v/>
      </c>
      <c r="V232" s="105" t="n"/>
      <c r="W232" s="106" t="n"/>
      <c r="X232" s="107" t="n"/>
      <c r="Y232" s="108">
        <f>IF(X232="","",W232*X232)</f>
        <v/>
      </c>
      <c r="Z232" s="243">
        <f>IF(Y232="","",V232-Y232)</f>
        <v/>
      </c>
      <c r="AA232" s="110">
        <f>IF(OR(Y232="",V232=0),"",Y232/V232)</f>
        <v/>
      </c>
      <c r="AB232" s="111">
        <f>IF(AA232="","⚪",IF(AA232&gt;1.2,"🔴",IF(AA232&gt;1.1,"🟡","🟢")))</f>
        <v/>
      </c>
      <c r="AD232" s="105" t="n"/>
      <c r="AE232" s="106" t="n"/>
      <c r="AF232" s="107" t="n"/>
      <c r="AG232" s="108">
        <f>IF(AF232="","",AE232*AF232)</f>
        <v/>
      </c>
      <c r="AH232" s="243">
        <f>IF(AG232="","",AD232-AG232)</f>
        <v/>
      </c>
      <c r="AI232" s="110">
        <f>IF(OR(AG232="",AD232=0),"",AG232/AD232)</f>
        <v/>
      </c>
      <c r="AJ232" s="111">
        <f>IF(AI232="","⚪",IF(AI232&gt;1.2,"🔴",IF(AI232&gt;1.1,"🟡","🟢")))</f>
        <v/>
      </c>
    </row>
    <row r="233" ht="14" customHeight="1" s="176">
      <c r="A233" s="103" t="inlineStr">
        <is>
          <t>Santa Catalina</t>
        </is>
      </c>
      <c r="B233" s="104" t="inlineStr">
        <is>
          <t>cambria 4,2 ha</t>
        </is>
      </c>
      <c r="C233" s="104" t="inlineStr">
        <is>
          <t>1- M.O. directa</t>
        </is>
      </c>
      <c r="D233" s="104" t="inlineStr">
        <is>
          <t>14- Poda de sierrpes</t>
        </is>
      </c>
      <c r="E233" s="104" t="inlineStr">
        <is>
          <t>trato</t>
        </is>
      </c>
      <c r="F233" s="105" t="inlineStr">
        <is>
          <t>plt</t>
        </is>
      </c>
      <c r="G233" s="106" t="n">
        <v>30</v>
      </c>
      <c r="H233" s="107" t="n"/>
      <c r="I233" s="108">
        <f>IF(H233="","",G233*H233)</f>
        <v/>
      </c>
      <c r="J233" s="243">
        <f>IF(I233="","",F233-I233)</f>
        <v/>
      </c>
      <c r="K233" s="110">
        <f>IF(OR(I233="",F233=0),"",I233/F233)</f>
        <v/>
      </c>
      <c r="L233" s="111">
        <f>IF(K233="","⚪",IF(K233&gt;1.2,"🔴",IF(K233&gt;1.1,"🟡","🟢")))</f>
        <v/>
      </c>
      <c r="N233" s="105" t="n"/>
      <c r="O233" s="106" t="n">
        <v>30</v>
      </c>
      <c r="P233" s="107" t="n"/>
      <c r="Q233" s="108">
        <f>IF(P233="","",O233*P233)</f>
        <v/>
      </c>
      <c r="R233" s="243">
        <f>IF(Q233="","",N233-Q233)</f>
        <v/>
      </c>
      <c r="S233" s="110">
        <f>IF(OR(Q233="",N233=0),"",Q233/N233)</f>
        <v/>
      </c>
      <c r="T233" s="111">
        <f>IF(S233="","⚪",IF(S233&gt;1.2,"🔴",IF(S233&gt;1.1,"🟡","🟢")))</f>
        <v/>
      </c>
      <c r="V233" s="105" t="n"/>
      <c r="W233" s="106" t="n">
        <v>30</v>
      </c>
      <c r="X233" s="107" t="n"/>
      <c r="Y233" s="108">
        <f>IF(X233="","",W233*X233)</f>
        <v/>
      </c>
      <c r="Z233" s="243">
        <f>IF(Y233="","",V233-Y233)</f>
        <v/>
      </c>
      <c r="AA233" s="110">
        <f>IF(OR(Y233="",V233=0),"",Y233/V233)</f>
        <v/>
      </c>
      <c r="AB233" s="111">
        <f>IF(AA233="","⚪",IF(AA233&gt;1.2,"🔴",IF(AA233&gt;1.1,"🟡","🟢")))</f>
        <v/>
      </c>
      <c r="AD233" s="105" t="n"/>
      <c r="AE233" s="106" t="n">
        <v>30</v>
      </c>
      <c r="AF233" s="107" t="n"/>
      <c r="AG233" s="108">
        <f>IF(AF233="","",AE233*AF233)</f>
        <v/>
      </c>
      <c r="AH233" s="243">
        <f>IF(AG233="","",AD233-AG233)</f>
        <v/>
      </c>
      <c r="AI233" s="110">
        <f>IF(OR(AG233="",AD233=0),"",AG233/AD233)</f>
        <v/>
      </c>
      <c r="AJ233" s="111">
        <f>IF(AI233="","⚪",IF(AI233&gt;1.2,"🔴",IF(AI233&gt;1.1,"🟡","🟢")))</f>
        <v/>
      </c>
    </row>
    <row r="234" ht="14" customHeight="1" s="176">
      <c r="A234" s="112" t="inlineStr">
        <is>
          <t>Santa Catalina</t>
        </is>
      </c>
      <c r="B234" s="113" t="inlineStr">
        <is>
          <t>cambria 4,2 ha</t>
        </is>
      </c>
      <c r="C234" s="113" t="inlineStr">
        <is>
          <t>1- M.O. directa</t>
        </is>
      </c>
      <c r="D234" s="113" t="inlineStr">
        <is>
          <t>15- Poda primavera</t>
        </is>
      </c>
      <c r="E234" s="113" t="inlineStr">
        <is>
          <t>trato</t>
        </is>
      </c>
      <c r="F234" s="105" t="n">
        <v>43785</v>
      </c>
      <c r="G234" s="106" t="n">
        <v>500</v>
      </c>
      <c r="H234" s="107" t="n"/>
      <c r="I234" s="108">
        <f>IF(H234="","",G234*H234)</f>
        <v/>
      </c>
      <c r="J234" s="243">
        <f>IF(I234="","",F234-I234)</f>
        <v/>
      </c>
      <c r="K234" s="110">
        <f>IF(OR(I234="",F234=0),"",I234/F234)</f>
        <v/>
      </c>
      <c r="L234" s="111">
        <f>IF(K234="","⚪",IF(K234&gt;1.2,"🔴",IF(K234&gt;1.1,"🟡","🟢")))</f>
        <v/>
      </c>
      <c r="N234" s="105" t="n">
        <v>43785</v>
      </c>
      <c r="O234" s="106" t="n">
        <v>500</v>
      </c>
      <c r="P234" s="107" t="n"/>
      <c r="Q234" s="108">
        <f>IF(P234="","",O234*P234)</f>
        <v/>
      </c>
      <c r="R234" s="243">
        <f>IF(Q234="","",N234-Q234)</f>
        <v/>
      </c>
      <c r="S234" s="110">
        <f>IF(OR(Q234="",N234=0),"",Q234/N234)</f>
        <v/>
      </c>
      <c r="T234" s="111">
        <f>IF(S234="","⚪",IF(S234&gt;1.2,"🔴",IF(S234&gt;1.1,"🟡","🟢")))</f>
        <v/>
      </c>
      <c r="V234" s="105" t="n">
        <v>43785</v>
      </c>
      <c r="W234" s="106" t="n">
        <v>500</v>
      </c>
      <c r="X234" s="107" t="n"/>
      <c r="Y234" s="108">
        <f>IF(X234="","",W234*X234)</f>
        <v/>
      </c>
      <c r="Z234" s="243">
        <f>IF(Y234="","",V234-Y234)</f>
        <v/>
      </c>
      <c r="AA234" s="110">
        <f>IF(OR(Y234="",V234=0),"",Y234/V234)</f>
        <v/>
      </c>
      <c r="AB234" s="111">
        <f>IF(AA234="","⚪",IF(AA234&gt;1.2,"🔴",IF(AA234&gt;1.1,"🟡","🟢")))</f>
        <v/>
      </c>
      <c r="AD234" s="105" t="n">
        <v>43785</v>
      </c>
      <c r="AE234" s="106" t="n">
        <v>500</v>
      </c>
      <c r="AF234" s="107" t="n"/>
      <c r="AG234" s="108">
        <f>IF(AF234="","",AE234*AF234)</f>
        <v/>
      </c>
      <c r="AH234" s="243">
        <f>IF(AG234="","",AD234-AG234)</f>
        <v/>
      </c>
      <c r="AI234" s="110">
        <f>IF(OR(AG234="",AD234=0),"",AG234/AD234)</f>
        <v/>
      </c>
      <c r="AJ234" s="111">
        <f>IF(AI234="","⚪",IF(AI234&gt;1.2,"🔴",IF(AI234&gt;1.1,"🟡","🟢")))</f>
        <v/>
      </c>
    </row>
    <row r="235" ht="14" customHeight="1" s="176">
      <c r="A235" s="103" t="inlineStr">
        <is>
          <t>Santa Catalina</t>
        </is>
      </c>
      <c r="B235" s="104" t="inlineStr">
        <is>
          <t>cambria 4,2 ha</t>
        </is>
      </c>
      <c r="C235" s="104" t="inlineStr">
        <is>
          <t>1- M.O. directa</t>
        </is>
      </c>
      <c r="D235" s="104" t="inlineStr">
        <is>
          <t>16- Supervisor poda</t>
        </is>
      </c>
      <c r="E235" s="104" t="inlineStr">
        <is>
          <t>día</t>
        </is>
      </c>
      <c r="F235" s="105" t="n">
        <v>3940.65</v>
      </c>
      <c r="G235" s="106" t="n">
        <v>45</v>
      </c>
      <c r="H235" s="107" t="n"/>
      <c r="I235" s="108">
        <f>IF(H235="","",G235*H235)</f>
        <v/>
      </c>
      <c r="J235" s="243">
        <f>IF(I235="","",F235-I235)</f>
        <v/>
      </c>
      <c r="K235" s="110">
        <f>IF(OR(I235="",F235=0),"",I235/F235)</f>
        <v/>
      </c>
      <c r="L235" s="111">
        <f>IF(K235="","⚪",IF(K235&gt;1.2,"🔴",IF(K235&gt;1.1,"🟡","🟢")))</f>
        <v/>
      </c>
      <c r="N235" s="105" t="n">
        <v>3940.65</v>
      </c>
      <c r="O235" s="106" t="n">
        <v>45</v>
      </c>
      <c r="P235" s="107" t="n"/>
      <c r="Q235" s="108">
        <f>IF(P235="","",O235*P235)</f>
        <v/>
      </c>
      <c r="R235" s="243">
        <f>IF(Q235="","",N235-Q235)</f>
        <v/>
      </c>
      <c r="S235" s="110">
        <f>IF(OR(Q235="",N235=0),"",Q235/N235)</f>
        <v/>
      </c>
      <c r="T235" s="111">
        <f>IF(S235="","⚪",IF(S235&gt;1.2,"🔴",IF(S235&gt;1.1,"🟡","🟢")))</f>
        <v/>
      </c>
      <c r="V235" s="105" t="n">
        <v>3940.65</v>
      </c>
      <c r="W235" s="106" t="n">
        <v>45</v>
      </c>
      <c r="X235" s="107" t="n"/>
      <c r="Y235" s="108">
        <f>IF(X235="","",W235*X235)</f>
        <v/>
      </c>
      <c r="Z235" s="243">
        <f>IF(Y235="","",V235-Y235)</f>
        <v/>
      </c>
      <c r="AA235" s="110">
        <f>IF(OR(Y235="",V235=0),"",Y235/V235)</f>
        <v/>
      </c>
      <c r="AB235" s="111">
        <f>IF(AA235="","⚪",IF(AA235&gt;1.2,"🔴",IF(AA235&gt;1.1,"🟡","🟢")))</f>
        <v/>
      </c>
      <c r="AD235" s="105" t="n">
        <v>3940.65</v>
      </c>
      <c r="AE235" s="106" t="n">
        <v>45</v>
      </c>
      <c r="AF235" s="107" t="n"/>
      <c r="AG235" s="108">
        <f>IF(AF235="","",AE235*AF235)</f>
        <v/>
      </c>
      <c r="AH235" s="243">
        <f>IF(AG235="","",AD235-AG235)</f>
        <v/>
      </c>
      <c r="AI235" s="110">
        <f>IF(OR(AG235="",AD235=0),"",AG235/AD235)</f>
        <v/>
      </c>
      <c r="AJ235" s="111">
        <f>IF(AI235="","⚪",IF(AI235&gt;1.2,"🔴",IF(AI235&gt;1.1,"🟡","🟢")))</f>
        <v/>
      </c>
    </row>
    <row r="236" ht="14" customHeight="1" s="176">
      <c r="A236" s="112" t="inlineStr">
        <is>
          <t>Santa Catalina</t>
        </is>
      </c>
      <c r="B236" s="113" t="inlineStr">
        <is>
          <t>cambria 4,2 ha</t>
        </is>
      </c>
      <c r="C236" s="113" t="inlineStr">
        <is>
          <t>1- M.O. directa</t>
        </is>
      </c>
      <c r="D236" s="113" t="inlineStr">
        <is>
          <t>17- Recepción, pesaje y despacho</t>
        </is>
      </c>
      <c r="E236" s="113" t="inlineStr">
        <is>
          <t>día</t>
        </is>
      </c>
      <c r="F236" s="105" t="n">
        <v>5040</v>
      </c>
      <c r="G236" s="106" t="n">
        <v>1.2</v>
      </c>
      <c r="H236" s="107" t="n"/>
      <c r="I236" s="108">
        <f>IF(H236="","",G236*H236)</f>
        <v/>
      </c>
      <c r="J236" s="243">
        <f>IF(I236="","",F236-I236)</f>
        <v/>
      </c>
      <c r="K236" s="110">
        <f>IF(OR(I236="",F236=0),"",I236/F236)</f>
        <v/>
      </c>
      <c r="L236" s="111">
        <f>IF(K236="","⚪",IF(K236&gt;1.2,"🔴",IF(K236&gt;1.1,"🟡","🟢")))</f>
        <v/>
      </c>
      <c r="N236" s="105" t="n">
        <v>5040</v>
      </c>
      <c r="O236" s="106" t="n">
        <v>1.2</v>
      </c>
      <c r="P236" s="107" t="n"/>
      <c r="Q236" s="108">
        <f>IF(P236="","",O236*P236)</f>
        <v/>
      </c>
      <c r="R236" s="243">
        <f>IF(Q236="","",N236-Q236)</f>
        <v/>
      </c>
      <c r="S236" s="110">
        <f>IF(OR(Q236="",N236=0),"",Q236/N236)</f>
        <v/>
      </c>
      <c r="T236" s="111">
        <f>IF(S236="","⚪",IF(S236&gt;1.2,"🔴",IF(S236&gt;1.1,"🟡","🟢")))</f>
        <v/>
      </c>
      <c r="V236" s="105" t="n">
        <v>5040</v>
      </c>
      <c r="W236" s="106" t="n">
        <v>1.2</v>
      </c>
      <c r="X236" s="107" t="n"/>
      <c r="Y236" s="108">
        <f>IF(X236="","",W236*X236)</f>
        <v/>
      </c>
      <c r="Z236" s="243">
        <f>IF(Y236="","",V236-Y236)</f>
        <v/>
      </c>
      <c r="AA236" s="110">
        <f>IF(OR(Y236="",V236=0),"",Y236/V236)</f>
        <v/>
      </c>
      <c r="AB236" s="111">
        <f>IF(AA236="","⚪",IF(AA236&gt;1.2,"🔴",IF(AA236&gt;1.1,"🟡","🟢")))</f>
        <v/>
      </c>
      <c r="AD236" s="105" t="n">
        <v>5040</v>
      </c>
      <c r="AE236" s="106" t="n">
        <v>1.2</v>
      </c>
      <c r="AF236" s="107" t="n"/>
      <c r="AG236" s="108">
        <f>IF(AF236="","",AE236*AF236)</f>
        <v/>
      </c>
      <c r="AH236" s="243">
        <f>IF(AG236="","",AD236-AG236)</f>
        <v/>
      </c>
      <c r="AI236" s="110">
        <f>IF(OR(AG236="",AD236=0),"",AG236/AD236)</f>
        <v/>
      </c>
      <c r="AJ236" s="111">
        <f>IF(AI236="","⚪",IF(AI236&gt;1.2,"🔴",IF(AI236&gt;1.1,"🟡","🟢")))</f>
        <v/>
      </c>
    </row>
    <row r="237" ht="14" customHeight="1" s="176">
      <c r="A237" s="103" t="inlineStr">
        <is>
          <t>Santa Catalina</t>
        </is>
      </c>
      <c r="B237" s="104" t="inlineStr">
        <is>
          <t>cambria 4,2 ha</t>
        </is>
      </c>
      <c r="C237" s="104" t="inlineStr">
        <is>
          <t>1- M.O. directa</t>
        </is>
      </c>
      <c r="D237" s="104" t="inlineStr">
        <is>
          <t>2- Supervisor cosecha</t>
        </is>
      </c>
      <c r="E237" s="104" t="inlineStr">
        <is>
          <t>día</t>
        </is>
      </c>
      <c r="F237" s="105" t="n">
        <v>29400</v>
      </c>
      <c r="G237" s="106" t="n">
        <v>7</v>
      </c>
      <c r="H237" s="107" t="n"/>
      <c r="I237" s="108">
        <f>IF(H237="","",G237*H237)</f>
        <v/>
      </c>
      <c r="J237" s="243">
        <f>IF(I237="","",F237-I237)</f>
        <v/>
      </c>
      <c r="K237" s="110">
        <f>IF(OR(I237="",F237=0),"",I237/F237)</f>
        <v/>
      </c>
      <c r="L237" s="111">
        <f>IF(K237="","⚪",IF(K237&gt;1.2,"🔴",IF(K237&gt;1.1,"🟡","🟢")))</f>
        <v/>
      </c>
      <c r="N237" s="105" t="n">
        <v>29400</v>
      </c>
      <c r="O237" s="106" t="n">
        <v>7</v>
      </c>
      <c r="P237" s="107" t="n"/>
      <c r="Q237" s="108">
        <f>IF(P237="","",O237*P237)</f>
        <v/>
      </c>
      <c r="R237" s="243">
        <f>IF(Q237="","",N237-Q237)</f>
        <v/>
      </c>
      <c r="S237" s="110">
        <f>IF(OR(Q237="",N237=0),"",Q237/N237)</f>
        <v/>
      </c>
      <c r="T237" s="111">
        <f>IF(S237="","⚪",IF(S237&gt;1.2,"🔴",IF(S237&gt;1.1,"🟡","🟢")))</f>
        <v/>
      </c>
      <c r="V237" s="105" t="n">
        <v>29400</v>
      </c>
      <c r="W237" s="106" t="n">
        <v>7</v>
      </c>
      <c r="X237" s="107" t="n"/>
      <c r="Y237" s="108">
        <f>IF(X237="","",W237*X237)</f>
        <v/>
      </c>
      <c r="Z237" s="243">
        <f>IF(Y237="","",V237-Y237)</f>
        <v/>
      </c>
      <c r="AA237" s="110">
        <f>IF(OR(Y237="",V237=0),"",Y237/V237)</f>
        <v/>
      </c>
      <c r="AB237" s="111">
        <f>IF(AA237="","⚪",IF(AA237&gt;1.2,"🔴",IF(AA237&gt;1.1,"🟡","🟢")))</f>
        <v/>
      </c>
      <c r="AD237" s="105" t="n">
        <v>29400</v>
      </c>
      <c r="AE237" s="106" t="n">
        <v>7</v>
      </c>
      <c r="AF237" s="107" t="n"/>
      <c r="AG237" s="108">
        <f>IF(AF237="","",AE237*AF237)</f>
        <v/>
      </c>
      <c r="AH237" s="243">
        <f>IF(AG237="","",AD237-AG237)</f>
        <v/>
      </c>
      <c r="AI237" s="110">
        <f>IF(OR(AG237="",AD237=0),"",AG237/AD237)</f>
        <v/>
      </c>
      <c r="AJ237" s="111">
        <f>IF(AI237="","⚪",IF(AI237&gt;1.2,"🔴",IF(AI237&gt;1.1,"🟡","🟢")))</f>
        <v/>
      </c>
    </row>
    <row r="238" ht="14" customHeight="1" s="176">
      <c r="A238" s="112" t="inlineStr">
        <is>
          <t>Santa Catalina</t>
        </is>
      </c>
      <c r="B238" s="113" t="inlineStr">
        <is>
          <t>cambria 4,2 ha</t>
        </is>
      </c>
      <c r="C238" s="113" t="inlineStr">
        <is>
          <t>1- M.O. directa</t>
        </is>
      </c>
      <c r="D238" s="113" t="inlineStr">
        <is>
          <t>3- Selección</t>
        </is>
      </c>
      <c r="E238" s="113" t="inlineStr">
        <is>
          <t>trato</t>
        </is>
      </c>
      <c r="F238" s="105" t="n">
        <v>63000</v>
      </c>
      <c r="G238" s="106" t="n">
        <v>15</v>
      </c>
      <c r="H238" s="107" t="n"/>
      <c r="I238" s="108">
        <f>IF(H238="","",G238*H238)</f>
        <v/>
      </c>
      <c r="J238" s="243">
        <f>IF(I238="","",F238-I238)</f>
        <v/>
      </c>
      <c r="K238" s="110">
        <f>IF(OR(I238="",F238=0),"",I238/F238)</f>
        <v/>
      </c>
      <c r="L238" s="111">
        <f>IF(K238="","⚪",IF(K238&gt;1.2,"🔴",IF(K238&gt;1.1,"🟡","🟢")))</f>
        <v/>
      </c>
      <c r="N238" s="105" t="n">
        <v>63000</v>
      </c>
      <c r="O238" s="106" t="n">
        <v>15</v>
      </c>
      <c r="P238" s="107" t="n"/>
      <c r="Q238" s="108">
        <f>IF(P238="","",O238*P238)</f>
        <v/>
      </c>
      <c r="R238" s="243">
        <f>IF(Q238="","",N238-Q238)</f>
        <v/>
      </c>
      <c r="S238" s="110">
        <f>IF(OR(Q238="",N238=0),"",Q238/N238)</f>
        <v/>
      </c>
      <c r="T238" s="111">
        <f>IF(S238="","⚪",IF(S238&gt;1.2,"🔴",IF(S238&gt;1.1,"🟡","🟢")))</f>
        <v/>
      </c>
      <c r="V238" s="105" t="n">
        <v>63000</v>
      </c>
      <c r="W238" s="106" t="n">
        <v>15</v>
      </c>
      <c r="X238" s="107" t="n"/>
      <c r="Y238" s="108">
        <f>IF(X238="","",W238*X238)</f>
        <v/>
      </c>
      <c r="Z238" s="243">
        <f>IF(Y238="","",V238-Y238)</f>
        <v/>
      </c>
      <c r="AA238" s="110">
        <f>IF(OR(Y238="",V238=0),"",Y238/V238)</f>
        <v/>
      </c>
      <c r="AB238" s="111">
        <f>IF(AA238="","⚪",IF(AA238&gt;1.2,"🔴",IF(AA238&gt;1.1,"🟡","🟢")))</f>
        <v/>
      </c>
      <c r="AD238" s="105" t="n">
        <v>63000</v>
      </c>
      <c r="AE238" s="106" t="n">
        <v>15</v>
      </c>
      <c r="AF238" s="107" t="n"/>
      <c r="AG238" s="108">
        <f>IF(AF238="","",AE238*AF238)</f>
        <v/>
      </c>
      <c r="AH238" s="243">
        <f>IF(AG238="","",AD238-AG238)</f>
        <v/>
      </c>
      <c r="AI238" s="110">
        <f>IF(OR(AG238="",AD238=0),"",AG238/AD238)</f>
        <v/>
      </c>
      <c r="AJ238" s="111">
        <f>IF(AI238="","⚪",IF(AI238&gt;1.2,"🔴",IF(AI238&gt;1.1,"🟡","🟢")))</f>
        <v/>
      </c>
    </row>
    <row r="239" ht="14" customHeight="1" s="176">
      <c r="A239" s="103" t="inlineStr">
        <is>
          <t>Santa Catalina</t>
        </is>
      </c>
      <c r="B239" s="104" t="inlineStr">
        <is>
          <t>cambria 4,2 ha</t>
        </is>
      </c>
      <c r="C239" s="104" t="inlineStr">
        <is>
          <t>1- M.O. directa</t>
        </is>
      </c>
      <c r="D239" s="104" t="inlineStr">
        <is>
          <t>3- Tractorista cosecha</t>
        </is>
      </c>
      <c r="E239" s="104" t="inlineStr">
        <is>
          <t>día</t>
        </is>
      </c>
      <c r="F239" s="105" t="n">
        <v>12600</v>
      </c>
      <c r="G239" s="106" t="n">
        <v>3</v>
      </c>
      <c r="H239" s="107" t="n"/>
      <c r="I239" s="108">
        <f>IF(H239="","",G239*H239)</f>
        <v/>
      </c>
      <c r="J239" s="243">
        <f>IF(I239="","",F239-I239)</f>
        <v/>
      </c>
      <c r="K239" s="110">
        <f>IF(OR(I239="",F239=0),"",I239/F239)</f>
        <v/>
      </c>
      <c r="L239" s="111">
        <f>IF(K239="","⚪",IF(K239&gt;1.2,"🔴",IF(K239&gt;1.1,"🟡","🟢")))</f>
        <v/>
      </c>
      <c r="N239" s="105" t="n">
        <v>12600</v>
      </c>
      <c r="O239" s="106" t="n">
        <v>3</v>
      </c>
      <c r="P239" s="107" t="n"/>
      <c r="Q239" s="108">
        <f>IF(P239="","",O239*P239)</f>
        <v/>
      </c>
      <c r="R239" s="243">
        <f>IF(Q239="","",N239-Q239)</f>
        <v/>
      </c>
      <c r="S239" s="110">
        <f>IF(OR(Q239="",N239=0),"",Q239/N239)</f>
        <v/>
      </c>
      <c r="T239" s="111">
        <f>IF(S239="","⚪",IF(S239&gt;1.2,"🔴",IF(S239&gt;1.1,"🟡","🟢")))</f>
        <v/>
      </c>
      <c r="V239" s="105" t="n">
        <v>12600</v>
      </c>
      <c r="W239" s="106" t="n">
        <v>3</v>
      </c>
      <c r="X239" s="107" t="n"/>
      <c r="Y239" s="108">
        <f>IF(X239="","",W239*X239)</f>
        <v/>
      </c>
      <c r="Z239" s="243">
        <f>IF(Y239="","",V239-Y239)</f>
        <v/>
      </c>
      <c r="AA239" s="110">
        <f>IF(OR(Y239="",V239=0),"",Y239/V239)</f>
        <v/>
      </c>
      <c r="AB239" s="111">
        <f>IF(AA239="","⚪",IF(AA239&gt;1.2,"🔴",IF(AA239&gt;1.1,"🟡","🟢")))</f>
        <v/>
      </c>
      <c r="AD239" s="105" t="n">
        <v>12600</v>
      </c>
      <c r="AE239" s="106" t="n">
        <v>3</v>
      </c>
      <c r="AF239" s="107" t="n"/>
      <c r="AG239" s="108">
        <f>IF(AF239="","",AE239*AF239)</f>
        <v/>
      </c>
      <c r="AH239" s="243">
        <f>IF(AG239="","",AD239-AG239)</f>
        <v/>
      </c>
      <c r="AI239" s="110">
        <f>IF(OR(AG239="",AD239=0),"",AG239/AD239)</f>
        <v/>
      </c>
      <c r="AJ239" s="111">
        <f>IF(AI239="","⚪",IF(AI239&gt;1.2,"🔴",IF(AI239&gt;1.1,"🟡","🟢")))</f>
        <v/>
      </c>
    </row>
    <row r="240" ht="14" customHeight="1" s="176">
      <c r="A240" s="112" t="inlineStr">
        <is>
          <t>Santa Catalina</t>
        </is>
      </c>
      <c r="B240" s="113" t="inlineStr">
        <is>
          <t>cambria 4,2 ha</t>
        </is>
      </c>
      <c r="C240" s="113" t="inlineStr">
        <is>
          <t>1- M.O. directa</t>
        </is>
      </c>
      <c r="D240" s="113" t="inlineStr">
        <is>
          <t>4- Grua</t>
        </is>
      </c>
      <c r="E240" s="113" t="inlineStr">
        <is>
          <t>día</t>
        </is>
      </c>
      <c r="F240" s="105" t="n">
        <v>6300</v>
      </c>
      <c r="G240" s="106" t="n">
        <v>1.5</v>
      </c>
      <c r="H240" s="107" t="n"/>
      <c r="I240" s="108">
        <f>IF(H240="","",G240*H240)</f>
        <v/>
      </c>
      <c r="J240" s="243">
        <f>IF(I240="","",F240-I240)</f>
        <v/>
      </c>
      <c r="K240" s="110">
        <f>IF(OR(I240="",F240=0),"",I240/F240)</f>
        <v/>
      </c>
      <c r="L240" s="111">
        <f>IF(K240="","⚪",IF(K240&gt;1.2,"🔴",IF(K240&gt;1.1,"🟡","🟢")))</f>
        <v/>
      </c>
      <c r="N240" s="105" t="n">
        <v>6300</v>
      </c>
      <c r="O240" s="106" t="n">
        <v>1.5</v>
      </c>
      <c r="P240" s="107" t="n"/>
      <c r="Q240" s="108">
        <f>IF(P240="","",O240*P240)</f>
        <v/>
      </c>
      <c r="R240" s="243">
        <f>IF(Q240="","",N240-Q240)</f>
        <v/>
      </c>
      <c r="S240" s="110">
        <f>IF(OR(Q240="",N240=0),"",Q240/N240)</f>
        <v/>
      </c>
      <c r="T240" s="111">
        <f>IF(S240="","⚪",IF(S240&gt;1.2,"🔴",IF(S240&gt;1.1,"🟡","🟢")))</f>
        <v/>
      </c>
      <c r="V240" s="105" t="n">
        <v>6300</v>
      </c>
      <c r="W240" s="106" t="n">
        <v>1.5</v>
      </c>
      <c r="X240" s="107" t="n"/>
      <c r="Y240" s="108">
        <f>IF(X240="","",W240*X240)</f>
        <v/>
      </c>
      <c r="Z240" s="243">
        <f>IF(Y240="","",V240-Y240)</f>
        <v/>
      </c>
      <c r="AA240" s="110">
        <f>IF(OR(Y240="",V240=0),"",Y240/V240)</f>
        <v/>
      </c>
      <c r="AB240" s="111">
        <f>IF(AA240="","⚪",IF(AA240&gt;1.2,"🔴",IF(AA240&gt;1.1,"🟡","🟢")))</f>
        <v/>
      </c>
      <c r="AD240" s="105" t="n">
        <v>6300</v>
      </c>
      <c r="AE240" s="106" t="n">
        <v>1.5</v>
      </c>
      <c r="AF240" s="107" t="n"/>
      <c r="AG240" s="108">
        <f>IF(AF240="","",AE240*AF240)</f>
        <v/>
      </c>
      <c r="AH240" s="243">
        <f>IF(AG240="","",AD240-AG240)</f>
        <v/>
      </c>
      <c r="AI240" s="110">
        <f>IF(OR(AG240="",AD240=0),"",AG240/AD240)</f>
        <v/>
      </c>
      <c r="AJ240" s="111">
        <f>IF(AI240="","⚪",IF(AI240&gt;1.2,"🔴",IF(AI240&gt;1.1,"🟡","🟢")))</f>
        <v/>
      </c>
    </row>
    <row r="241" ht="14" customHeight="1" s="176">
      <c r="A241" s="103" t="inlineStr">
        <is>
          <t>Santa Catalina</t>
        </is>
      </c>
      <c r="B241" s="104" t="inlineStr">
        <is>
          <t>cambria 4,2 ha</t>
        </is>
      </c>
      <c r="C241" s="104" t="inlineStr">
        <is>
          <t>1- M.O. directa</t>
        </is>
      </c>
      <c r="D241" s="104" t="inlineStr">
        <is>
          <t>5- Control de malezas mecánico</t>
        </is>
      </c>
      <c r="E241" s="104" t="inlineStr">
        <is>
          <t>trato</t>
        </is>
      </c>
      <c r="F241" s="105" t="n">
        <v>8757</v>
      </c>
      <c r="G241" s="106" t="n">
        <v>100</v>
      </c>
      <c r="H241" s="107" t="n"/>
      <c r="I241" s="108">
        <f>IF(H241="","",G241*H241)</f>
        <v/>
      </c>
      <c r="J241" s="243">
        <f>IF(I241="","",F241-I241)</f>
        <v/>
      </c>
      <c r="K241" s="110">
        <f>IF(OR(I241="",F241=0),"",I241/F241)</f>
        <v/>
      </c>
      <c r="L241" s="111">
        <f>IF(K241="","⚪",IF(K241&gt;1.2,"🔴",IF(K241&gt;1.1,"🟡","🟢")))</f>
        <v/>
      </c>
      <c r="N241" s="105" t="n">
        <v>8757</v>
      </c>
      <c r="O241" s="106" t="n">
        <v>100</v>
      </c>
      <c r="P241" s="107" t="n"/>
      <c r="Q241" s="108">
        <f>IF(P241="","",O241*P241)</f>
        <v/>
      </c>
      <c r="R241" s="243">
        <f>IF(Q241="","",N241-Q241)</f>
        <v/>
      </c>
      <c r="S241" s="110">
        <f>IF(OR(Q241="",N241=0),"",Q241/N241)</f>
        <v/>
      </c>
      <c r="T241" s="111">
        <f>IF(S241="","⚪",IF(S241&gt;1.2,"🔴",IF(S241&gt;1.1,"🟡","🟢")))</f>
        <v/>
      </c>
      <c r="V241" s="105" t="n">
        <v>8757</v>
      </c>
      <c r="W241" s="106" t="n">
        <v>100</v>
      </c>
      <c r="X241" s="107" t="n"/>
      <c r="Y241" s="108">
        <f>IF(X241="","",W241*X241)</f>
        <v/>
      </c>
      <c r="Z241" s="243">
        <f>IF(Y241="","",V241-Y241)</f>
        <v/>
      </c>
      <c r="AA241" s="110">
        <f>IF(OR(Y241="",V241=0),"",Y241/V241)</f>
        <v/>
      </c>
      <c r="AB241" s="111">
        <f>IF(AA241="","⚪",IF(AA241&gt;1.2,"🔴",IF(AA241&gt;1.1,"🟡","🟢")))</f>
        <v/>
      </c>
      <c r="AD241" s="105" t="n">
        <v>8757</v>
      </c>
      <c r="AE241" s="106" t="n">
        <v>100</v>
      </c>
      <c r="AF241" s="107" t="n"/>
      <c r="AG241" s="108">
        <f>IF(AF241="","",AE241*AF241)</f>
        <v/>
      </c>
      <c r="AH241" s="243">
        <f>IF(AG241="","",AD241-AG241)</f>
        <v/>
      </c>
      <c r="AI241" s="110">
        <f>IF(OR(AG241="",AD241=0),"",AG241/AD241)</f>
        <v/>
      </c>
      <c r="AJ241" s="111">
        <f>IF(AI241="","⚪",IF(AI241&gt;1.2,"🔴",IF(AI241&gt;1.1,"🟡","🟢")))</f>
        <v/>
      </c>
    </row>
    <row r="242" ht="14" customHeight="1" s="176">
      <c r="A242" s="112" t="inlineStr">
        <is>
          <t>Santa Catalina</t>
        </is>
      </c>
      <c r="B242" s="113" t="inlineStr">
        <is>
          <t>cambria 4,2 ha</t>
        </is>
      </c>
      <c r="C242" s="113" t="inlineStr">
        <is>
          <t>1- M.O. directa</t>
        </is>
      </c>
      <c r="D242" s="113" t="inlineStr">
        <is>
          <t>6- Control de malezas químico</t>
        </is>
      </c>
      <c r="E242" s="113" t="inlineStr">
        <is>
          <t>día</t>
        </is>
      </c>
      <c r="F242" s="105" t="n">
        <v>18270</v>
      </c>
      <c r="G242" s="106" t="n">
        <v>43500</v>
      </c>
      <c r="H242" s="107" t="n"/>
      <c r="I242" s="108">
        <f>IF(H242="","",G242*H242)</f>
        <v/>
      </c>
      <c r="J242" s="243">
        <f>IF(I242="","",F242-I242)</f>
        <v/>
      </c>
      <c r="K242" s="110">
        <f>IF(OR(I242="",F242=0),"",I242/F242)</f>
        <v/>
      </c>
      <c r="L242" s="111">
        <f>IF(K242="","⚪",IF(K242&gt;1.2,"🔴",IF(K242&gt;1.1,"🟡","🟢")))</f>
        <v/>
      </c>
      <c r="N242" s="105" t="n">
        <v>18270</v>
      </c>
      <c r="O242" s="106" t="n">
        <v>43500</v>
      </c>
      <c r="P242" s="107" t="n"/>
      <c r="Q242" s="108">
        <f>IF(P242="","",O242*P242)</f>
        <v/>
      </c>
      <c r="R242" s="243">
        <f>IF(Q242="","",N242-Q242)</f>
        <v/>
      </c>
      <c r="S242" s="110">
        <f>IF(OR(Q242="",N242=0),"",Q242/N242)</f>
        <v/>
      </c>
      <c r="T242" s="111">
        <f>IF(S242="","⚪",IF(S242&gt;1.2,"🔴",IF(S242&gt;1.1,"🟡","🟢")))</f>
        <v/>
      </c>
      <c r="V242" s="105" t="n">
        <v>18270</v>
      </c>
      <c r="W242" s="106" t="n">
        <v>43500</v>
      </c>
      <c r="X242" s="107" t="n"/>
      <c r="Y242" s="108">
        <f>IF(X242="","",W242*X242)</f>
        <v/>
      </c>
      <c r="Z242" s="243">
        <f>IF(Y242="","",V242-Y242)</f>
        <v/>
      </c>
      <c r="AA242" s="110">
        <f>IF(OR(Y242="",V242=0),"",Y242/V242)</f>
        <v/>
      </c>
      <c r="AB242" s="111">
        <f>IF(AA242="","⚪",IF(AA242&gt;1.2,"🔴",IF(AA242&gt;1.1,"🟡","🟢")))</f>
        <v/>
      </c>
      <c r="AD242" s="105" t="n">
        <v>18270</v>
      </c>
      <c r="AE242" s="106" t="n">
        <v>43500</v>
      </c>
      <c r="AF242" s="107" t="n"/>
      <c r="AG242" s="108">
        <f>IF(AF242="","",AE242*AF242)</f>
        <v/>
      </c>
      <c r="AH242" s="243">
        <f>IF(AG242="","",AD242-AG242)</f>
        <v/>
      </c>
      <c r="AI242" s="110">
        <f>IF(OR(AG242="",AD242=0),"",AG242/AD242)</f>
        <v/>
      </c>
      <c r="AJ242" s="111">
        <f>IF(AI242="","⚪",IF(AI242&gt;1.2,"🔴",IF(AI242&gt;1.1,"🟡","🟢")))</f>
        <v/>
      </c>
    </row>
    <row r="243" ht="14" customHeight="1" s="176">
      <c r="A243" s="103" t="inlineStr">
        <is>
          <t>Santa Catalina</t>
        </is>
      </c>
      <c r="B243" s="104" t="inlineStr">
        <is>
          <t>cambria 4,2 ha</t>
        </is>
      </c>
      <c r="C243" s="104" t="inlineStr">
        <is>
          <t>1- M.O. directa</t>
        </is>
      </c>
      <c r="D243" s="104" t="inlineStr">
        <is>
          <t>7,1- TRACTORISTA</t>
        </is>
      </c>
      <c r="E243" s="104" t="inlineStr">
        <is>
          <t>día</t>
        </is>
      </c>
      <c r="F243" s="105" t="n">
        <v>79768.08</v>
      </c>
      <c r="G243" s="106" t="n">
        <v>38000</v>
      </c>
      <c r="H243" s="107" t="n"/>
      <c r="I243" s="108">
        <f>IF(H243="","",G243*H243)</f>
        <v/>
      </c>
      <c r="J243" s="243">
        <f>IF(I243="","",F243-I243)</f>
        <v/>
      </c>
      <c r="K243" s="110">
        <f>IF(OR(I243="",F243=0),"",I243/F243)</f>
        <v/>
      </c>
      <c r="L243" s="111">
        <f>IF(K243="","⚪",IF(K243&gt;1.2,"🔴",IF(K243&gt;1.1,"🟡","🟢")))</f>
        <v/>
      </c>
      <c r="N243" s="105" t="n">
        <v>79768.08</v>
      </c>
      <c r="O243" s="106" t="n">
        <v>38000</v>
      </c>
      <c r="P243" s="107" t="n"/>
      <c r="Q243" s="108">
        <f>IF(P243="","",O243*P243)</f>
        <v/>
      </c>
      <c r="R243" s="243">
        <f>IF(Q243="","",N243-Q243)</f>
        <v/>
      </c>
      <c r="S243" s="110">
        <f>IF(OR(Q243="",N243=0),"",Q243/N243)</f>
        <v/>
      </c>
      <c r="T243" s="111">
        <f>IF(S243="","⚪",IF(S243&gt;1.2,"🔴",IF(S243&gt;1.1,"🟡","🟢")))</f>
        <v/>
      </c>
      <c r="V243" s="105" t="n">
        <v>79768.08</v>
      </c>
      <c r="W243" s="106" t="n">
        <v>38000</v>
      </c>
      <c r="X243" s="107" t="n"/>
      <c r="Y243" s="108">
        <f>IF(X243="","",W243*X243)</f>
        <v/>
      </c>
      <c r="Z243" s="243">
        <f>IF(Y243="","",V243-Y243)</f>
        <v/>
      </c>
      <c r="AA243" s="110">
        <f>IF(OR(Y243="",V243=0),"",Y243/V243)</f>
        <v/>
      </c>
      <c r="AB243" s="111">
        <f>IF(AA243="","⚪",IF(AA243&gt;1.2,"🔴",IF(AA243&gt;1.1,"🟡","🟢")))</f>
        <v/>
      </c>
      <c r="AD243" s="105" t="n">
        <v>79768.08</v>
      </c>
      <c r="AE243" s="106" t="n">
        <v>38000</v>
      </c>
      <c r="AF243" s="107" t="n"/>
      <c r="AG243" s="108">
        <f>IF(AF243="","",AE243*AF243)</f>
        <v/>
      </c>
      <c r="AH243" s="243">
        <f>IF(AG243="","",AD243-AG243)</f>
        <v/>
      </c>
      <c r="AI243" s="110">
        <f>IF(OR(AG243="",AD243=0),"",AG243/AD243)</f>
        <v/>
      </c>
      <c r="AJ243" s="111">
        <f>IF(AI243="","⚪",IF(AI243&gt;1.2,"🔴",IF(AI243&gt;1.1,"🟡","🟢")))</f>
        <v/>
      </c>
    </row>
    <row r="244" ht="14" customHeight="1" s="176">
      <c r="A244" s="112" t="inlineStr">
        <is>
          <t>Santa Catalina</t>
        </is>
      </c>
      <c r="B244" s="113" t="inlineStr">
        <is>
          <t>cambria 4,2 ha</t>
        </is>
      </c>
      <c r="C244" s="113" t="inlineStr">
        <is>
          <t>1- M.O. directa</t>
        </is>
      </c>
      <c r="D244" s="113" t="inlineStr">
        <is>
          <t>7- Acordonar sarmiento</t>
        </is>
      </c>
      <c r="E244" s="113" t="inlineStr">
        <is>
          <t>trato</t>
        </is>
      </c>
      <c r="F244" s="105" t="n">
        <v>6129.9</v>
      </c>
      <c r="G244" s="106" t="n">
        <v>70</v>
      </c>
      <c r="H244" s="107" t="n"/>
      <c r="I244" s="108">
        <f>IF(H244="","",G244*H244)</f>
        <v/>
      </c>
      <c r="J244" s="243">
        <f>IF(I244="","",F244-I244)</f>
        <v/>
      </c>
      <c r="K244" s="110">
        <f>IF(OR(I244="",F244=0),"",I244/F244)</f>
        <v/>
      </c>
      <c r="L244" s="111">
        <f>IF(K244="","⚪",IF(K244&gt;1.2,"🔴",IF(K244&gt;1.1,"🟡","🟢")))</f>
        <v/>
      </c>
      <c r="N244" s="105" t="n">
        <v>6129.9</v>
      </c>
      <c r="O244" s="106" t="n">
        <v>70</v>
      </c>
      <c r="P244" s="107" t="n"/>
      <c r="Q244" s="108">
        <f>IF(P244="","",O244*P244)</f>
        <v/>
      </c>
      <c r="R244" s="243">
        <f>IF(Q244="","",N244-Q244)</f>
        <v/>
      </c>
      <c r="S244" s="110">
        <f>IF(OR(Q244="",N244=0),"",Q244/N244)</f>
        <v/>
      </c>
      <c r="T244" s="111">
        <f>IF(S244="","⚪",IF(S244&gt;1.2,"🔴",IF(S244&gt;1.1,"🟡","🟢")))</f>
        <v/>
      </c>
      <c r="V244" s="105" t="n">
        <v>6129.9</v>
      </c>
      <c r="W244" s="106" t="n">
        <v>70</v>
      </c>
      <c r="X244" s="107" t="n"/>
      <c r="Y244" s="108">
        <f>IF(X244="","",W244*X244)</f>
        <v/>
      </c>
      <c r="Z244" s="243">
        <f>IF(Y244="","",V244-Y244)</f>
        <v/>
      </c>
      <c r="AA244" s="110">
        <f>IF(OR(Y244="",V244=0),"",Y244/V244)</f>
        <v/>
      </c>
      <c r="AB244" s="111">
        <f>IF(AA244="","⚪",IF(AA244&gt;1.2,"🔴",IF(AA244&gt;1.1,"🟡","🟢")))</f>
        <v/>
      </c>
      <c r="AD244" s="105" t="n">
        <v>6129.9</v>
      </c>
      <c r="AE244" s="106" t="n">
        <v>70</v>
      </c>
      <c r="AF244" s="107" t="n"/>
      <c r="AG244" s="108">
        <f>IF(AF244="","",AE244*AF244)</f>
        <v/>
      </c>
      <c r="AH244" s="243">
        <f>IF(AG244="","",AD244-AG244)</f>
        <v/>
      </c>
      <c r="AI244" s="110">
        <f>IF(OR(AG244="",AD244=0),"",AG244/AD244)</f>
        <v/>
      </c>
      <c r="AJ244" s="111">
        <f>IF(AI244="","⚪",IF(AI244&gt;1.2,"🔴",IF(AI244&gt;1.1,"🟡","🟢")))</f>
        <v/>
      </c>
    </row>
    <row r="245" ht="14" customHeight="1" s="176">
      <c r="A245" s="103" t="inlineStr">
        <is>
          <t>Santa Catalina</t>
        </is>
      </c>
      <c r="B245" s="104" t="inlineStr">
        <is>
          <t>cambria 4,2 ha</t>
        </is>
      </c>
      <c r="C245" s="104" t="inlineStr">
        <is>
          <t>2- M.O. indirecta</t>
        </is>
      </c>
      <c r="D245" s="104" t="inlineStr">
        <is>
          <t xml:space="preserve">1- ADM. GENERAL </t>
        </is>
      </c>
      <c r="E245" s="104" t="inlineStr">
        <is>
          <t>día</t>
        </is>
      </c>
      <c r="F245" s="105" t="n">
        <v>139804.056</v>
      </c>
      <c r="G245" s="106" t="n">
        <v>66600</v>
      </c>
      <c r="H245" s="107" t="n"/>
      <c r="I245" s="108">
        <f>IF(H245="","",G245*H245)</f>
        <v/>
      </c>
      <c r="J245" s="243">
        <f>IF(I245="","",F245-I245)</f>
        <v/>
      </c>
      <c r="K245" s="110">
        <f>IF(OR(I245="",F245=0),"",I245/F245)</f>
        <v/>
      </c>
      <c r="L245" s="111">
        <f>IF(K245="","⚪",IF(K245&gt;1.2,"🔴",IF(K245&gt;1.1,"🟡","🟢")))</f>
        <v/>
      </c>
      <c r="N245" s="105" t="n">
        <v>139804.056</v>
      </c>
      <c r="O245" s="106" t="n">
        <v>66600</v>
      </c>
      <c r="P245" s="107" t="n"/>
      <c r="Q245" s="108">
        <f>IF(P245="","",O245*P245)</f>
        <v/>
      </c>
      <c r="R245" s="243">
        <f>IF(Q245="","",N245-Q245)</f>
        <v/>
      </c>
      <c r="S245" s="110">
        <f>IF(OR(Q245="",N245=0),"",Q245/N245)</f>
        <v/>
      </c>
      <c r="T245" s="111">
        <f>IF(S245="","⚪",IF(S245&gt;1.2,"🔴",IF(S245&gt;1.1,"🟡","🟢")))</f>
        <v/>
      </c>
      <c r="V245" s="105" t="n">
        <v>139804.056</v>
      </c>
      <c r="W245" s="106" t="n">
        <v>66600</v>
      </c>
      <c r="X245" s="107" t="n"/>
      <c r="Y245" s="108">
        <f>IF(X245="","",W245*X245)</f>
        <v/>
      </c>
      <c r="Z245" s="243">
        <f>IF(Y245="","",V245-Y245)</f>
        <v/>
      </c>
      <c r="AA245" s="110">
        <f>IF(OR(Y245="",V245=0),"",Y245/V245)</f>
        <v/>
      </c>
      <c r="AB245" s="111">
        <f>IF(AA245="","⚪",IF(AA245&gt;1.2,"🔴",IF(AA245&gt;1.1,"🟡","🟢")))</f>
        <v/>
      </c>
      <c r="AD245" s="105" t="n">
        <v>139804.056</v>
      </c>
      <c r="AE245" s="106" t="n">
        <v>66600</v>
      </c>
      <c r="AF245" s="107" t="n"/>
      <c r="AG245" s="108">
        <f>IF(AF245="","",AE245*AF245)</f>
        <v/>
      </c>
      <c r="AH245" s="243">
        <f>IF(AG245="","",AD245-AG245)</f>
        <v/>
      </c>
      <c r="AI245" s="110">
        <f>IF(OR(AG245="",AD245=0),"",AG245/AD245)</f>
        <v/>
      </c>
      <c r="AJ245" s="111">
        <f>IF(AI245="","⚪",IF(AI245&gt;1.2,"🔴",IF(AI245&gt;1.1,"🟡","🟢")))</f>
        <v/>
      </c>
    </row>
    <row r="246" ht="14" customHeight="1" s="176">
      <c r="A246" s="112" t="inlineStr">
        <is>
          <t>Santa Catalina</t>
        </is>
      </c>
      <c r="B246" s="113" t="inlineStr">
        <is>
          <t>cambria 4,2 ha</t>
        </is>
      </c>
      <c r="C246" s="113" t="inlineStr">
        <is>
          <t>2- M.O. indirecta</t>
        </is>
      </c>
      <c r="D246" s="113" t="inlineStr">
        <is>
          <t>2,1- JEFE DE CAMPO</t>
        </is>
      </c>
      <c r="E246" s="113" t="inlineStr">
        <is>
          <t>día</t>
        </is>
      </c>
      <c r="F246" s="105" t="n">
        <v>37138.5</v>
      </c>
      <c r="G246" s="106" t="n">
        <v>29475</v>
      </c>
      <c r="H246" s="107" t="n"/>
      <c r="I246" s="108">
        <f>IF(H246="","",G246*H246)</f>
        <v/>
      </c>
      <c r="J246" s="243">
        <f>IF(I246="","",F246-I246)</f>
        <v/>
      </c>
      <c r="K246" s="110">
        <f>IF(OR(I246="",F246=0),"",I246/F246)</f>
        <v/>
      </c>
      <c r="L246" s="111">
        <f>IF(K246="","⚪",IF(K246&gt;1.2,"🔴",IF(K246&gt;1.1,"🟡","🟢")))</f>
        <v/>
      </c>
      <c r="N246" s="105" t="n">
        <v>37138.5</v>
      </c>
      <c r="O246" s="106" t="n">
        <v>29475</v>
      </c>
      <c r="P246" s="107" t="n"/>
      <c r="Q246" s="108">
        <f>IF(P246="","",O246*P246)</f>
        <v/>
      </c>
      <c r="R246" s="243">
        <f>IF(Q246="","",N246-Q246)</f>
        <v/>
      </c>
      <c r="S246" s="110">
        <f>IF(OR(Q246="",N246=0),"",Q246/N246)</f>
        <v/>
      </c>
      <c r="T246" s="111">
        <f>IF(S246="","⚪",IF(S246&gt;1.2,"🔴",IF(S246&gt;1.1,"🟡","🟢")))</f>
        <v/>
      </c>
      <c r="V246" s="105" t="n">
        <v>37138.5</v>
      </c>
      <c r="W246" s="106" t="n">
        <v>29475</v>
      </c>
      <c r="X246" s="107" t="n"/>
      <c r="Y246" s="108">
        <f>IF(X246="","",W246*X246)</f>
        <v/>
      </c>
      <c r="Z246" s="243">
        <f>IF(Y246="","",V246-Y246)</f>
        <v/>
      </c>
      <c r="AA246" s="110">
        <f>IF(OR(Y246="",V246=0),"",Y246/V246)</f>
        <v/>
      </c>
      <c r="AB246" s="111">
        <f>IF(AA246="","⚪",IF(AA246&gt;1.2,"🔴",IF(AA246&gt;1.1,"🟡","🟢")))</f>
        <v/>
      </c>
      <c r="AD246" s="105" t="n">
        <v>37138.5</v>
      </c>
      <c r="AE246" s="106" t="n">
        <v>29475</v>
      </c>
      <c r="AF246" s="107" t="n"/>
      <c r="AG246" s="108">
        <f>IF(AF246="","",AE246*AF246)</f>
        <v/>
      </c>
      <c r="AH246" s="243">
        <f>IF(AG246="","",AD246-AG246)</f>
        <v/>
      </c>
      <c r="AI246" s="110">
        <f>IF(OR(AG246="",AD246=0),"",AG246/AD246)</f>
        <v/>
      </c>
      <c r="AJ246" s="111">
        <f>IF(AI246="","⚪",IF(AI246&gt;1.2,"🔴",IF(AI246&gt;1.1,"🟡","🟢")))</f>
        <v/>
      </c>
    </row>
    <row r="247" ht="14" customHeight="1" s="176">
      <c r="A247" s="103" t="inlineStr">
        <is>
          <t>Santa Catalina</t>
        </is>
      </c>
      <c r="B247" s="104" t="inlineStr">
        <is>
          <t>cambria 4,2 ha</t>
        </is>
      </c>
      <c r="C247" s="104" t="inlineStr">
        <is>
          <t>2- M.O. indirecta</t>
        </is>
      </c>
      <c r="D247" s="104" t="inlineStr">
        <is>
          <t>2- ADMINISTRACION</t>
        </is>
      </c>
      <c r="E247" s="104" t="inlineStr">
        <is>
          <t>día</t>
        </is>
      </c>
      <c r="F247" s="105" t="n">
        <v>17003.196</v>
      </c>
      <c r="G247" s="106" t="n">
        <v>8100</v>
      </c>
      <c r="H247" s="107" t="n"/>
      <c r="I247" s="108">
        <f>IF(H247="","",G247*H247)</f>
        <v/>
      </c>
      <c r="J247" s="243">
        <f>IF(I247="","",F247-I247)</f>
        <v/>
      </c>
      <c r="K247" s="110">
        <f>IF(OR(I247="",F247=0),"",I247/F247)</f>
        <v/>
      </c>
      <c r="L247" s="111">
        <f>IF(K247="","⚪",IF(K247&gt;1.2,"🔴",IF(K247&gt;1.1,"🟡","🟢")))</f>
        <v/>
      </c>
      <c r="N247" s="105" t="n">
        <v>17003.196</v>
      </c>
      <c r="O247" s="106" t="n">
        <v>8100</v>
      </c>
      <c r="P247" s="107" t="n"/>
      <c r="Q247" s="108">
        <f>IF(P247="","",O247*P247)</f>
        <v/>
      </c>
      <c r="R247" s="243">
        <f>IF(Q247="","",N247-Q247)</f>
        <v/>
      </c>
      <c r="S247" s="110">
        <f>IF(OR(Q247="",N247=0),"",Q247/N247)</f>
        <v/>
      </c>
      <c r="T247" s="111">
        <f>IF(S247="","⚪",IF(S247&gt;1.2,"🔴",IF(S247&gt;1.1,"🟡","🟢")))</f>
        <v/>
      </c>
      <c r="V247" s="105" t="n">
        <v>17003.196</v>
      </c>
      <c r="W247" s="106" t="n">
        <v>8100</v>
      </c>
      <c r="X247" s="107" t="n"/>
      <c r="Y247" s="108">
        <f>IF(X247="","",W247*X247)</f>
        <v/>
      </c>
      <c r="Z247" s="243">
        <f>IF(Y247="","",V247-Y247)</f>
        <v/>
      </c>
      <c r="AA247" s="110">
        <f>IF(OR(Y247="",V247=0),"",Y247/V247)</f>
        <v/>
      </c>
      <c r="AB247" s="111">
        <f>IF(AA247="","⚪",IF(AA247&gt;1.2,"🔴",IF(AA247&gt;1.1,"🟡","🟢")))</f>
        <v/>
      </c>
      <c r="AD247" s="105" t="n">
        <v>17003.196</v>
      </c>
      <c r="AE247" s="106" t="n">
        <v>8100</v>
      </c>
      <c r="AF247" s="107" t="n"/>
      <c r="AG247" s="108">
        <f>IF(AF247="","",AE247*AF247)</f>
        <v/>
      </c>
      <c r="AH247" s="243">
        <f>IF(AG247="","",AD247-AG247)</f>
        <v/>
      </c>
      <c r="AI247" s="110">
        <f>IF(OR(AG247="",AD247=0),"",AG247/AD247)</f>
        <v/>
      </c>
      <c r="AJ247" s="111">
        <f>IF(AI247="","⚪",IF(AI247&gt;1.2,"🔴",IF(AI247&gt;1.1,"🟡","🟢")))</f>
        <v/>
      </c>
    </row>
    <row r="248" ht="14" customHeight="1" s="176">
      <c r="A248" s="112" t="inlineStr">
        <is>
          <t>Santa Catalina</t>
        </is>
      </c>
      <c r="B248" s="113" t="inlineStr">
        <is>
          <t>cambria 4,2 ha</t>
        </is>
      </c>
      <c r="C248" s="113" t="inlineStr">
        <is>
          <t>2- M.O. indirecta</t>
        </is>
      </c>
      <c r="D248" s="113" t="inlineStr">
        <is>
          <t>3,1-  ENCARGADO DE RIEGO</t>
        </is>
      </c>
      <c r="E248" s="113" t="inlineStr">
        <is>
          <t>día</t>
        </is>
      </c>
      <c r="F248" s="105" t="n">
        <v>93660.49581000001</v>
      </c>
      <c r="G248" s="106" t="n">
        <v>44618.0833333333</v>
      </c>
      <c r="H248" s="107" t="n"/>
      <c r="I248" s="108">
        <f>IF(H248="","",G248*H248)</f>
        <v/>
      </c>
      <c r="J248" s="243">
        <f>IF(I248="","",F248-I248)</f>
        <v/>
      </c>
      <c r="K248" s="110">
        <f>IF(OR(I248="",F248=0),"",I248/F248)</f>
        <v/>
      </c>
      <c r="L248" s="111">
        <f>IF(K248="","⚪",IF(K248&gt;1.2,"🔴",IF(K248&gt;1.1,"🟡","🟢")))</f>
        <v/>
      </c>
      <c r="N248" s="105" t="n">
        <v>93660.49581000001</v>
      </c>
      <c r="O248" s="106" t="n">
        <v>44618.0833333333</v>
      </c>
      <c r="P248" s="107" t="n"/>
      <c r="Q248" s="108">
        <f>IF(P248="","",O248*P248)</f>
        <v/>
      </c>
      <c r="R248" s="243">
        <f>IF(Q248="","",N248-Q248)</f>
        <v/>
      </c>
      <c r="S248" s="110">
        <f>IF(OR(Q248="",N248=0),"",Q248/N248)</f>
        <v/>
      </c>
      <c r="T248" s="111">
        <f>IF(S248="","⚪",IF(S248&gt;1.2,"🔴",IF(S248&gt;1.1,"🟡","🟢")))</f>
        <v/>
      </c>
      <c r="V248" s="105" t="n">
        <v>93660.49581000001</v>
      </c>
      <c r="W248" s="106" t="n">
        <v>44618.0833333333</v>
      </c>
      <c r="X248" s="107" t="n"/>
      <c r="Y248" s="108">
        <f>IF(X248="","",W248*X248)</f>
        <v/>
      </c>
      <c r="Z248" s="243">
        <f>IF(Y248="","",V248-Y248)</f>
        <v/>
      </c>
      <c r="AA248" s="110">
        <f>IF(OR(Y248="",V248=0),"",Y248/V248)</f>
        <v/>
      </c>
      <c r="AB248" s="111">
        <f>IF(AA248="","⚪",IF(AA248&gt;1.2,"🔴",IF(AA248&gt;1.1,"🟡","🟢")))</f>
        <v/>
      </c>
      <c r="AD248" s="105" t="n">
        <v>93660.49581000001</v>
      </c>
      <c r="AE248" s="106" t="n">
        <v>44618.0833333333</v>
      </c>
      <c r="AF248" s="107" t="n"/>
      <c r="AG248" s="108">
        <f>IF(AF248="","",AE248*AF248)</f>
        <v/>
      </c>
      <c r="AH248" s="243">
        <f>IF(AG248="","",AD248-AG248)</f>
        <v/>
      </c>
      <c r="AI248" s="110">
        <f>IF(OR(AG248="",AD248=0),"",AG248/AD248)</f>
        <v/>
      </c>
      <c r="AJ248" s="111">
        <f>IF(AI248="","⚪",IF(AI248&gt;1.2,"🔴",IF(AI248&gt;1.1,"🟡","🟢")))</f>
        <v/>
      </c>
    </row>
    <row r="249" ht="14" customHeight="1" s="176">
      <c r="A249" s="103" t="inlineStr">
        <is>
          <t>Santa Catalina</t>
        </is>
      </c>
      <c r="B249" s="104" t="inlineStr">
        <is>
          <t>cambria 4,2 ha</t>
        </is>
      </c>
      <c r="C249" s="104" t="inlineStr">
        <is>
          <t>2- M.O. indirecta</t>
        </is>
      </c>
      <c r="D249" s="104" t="inlineStr">
        <is>
          <t>3- ADQUIS. Y BODEGA</t>
        </is>
      </c>
      <c r="E249" s="104" t="inlineStr">
        <is>
          <t>día</t>
        </is>
      </c>
      <c r="F249" s="105" t="n">
        <v>17003.196</v>
      </c>
      <c r="G249" s="106" t="n">
        <v>8100</v>
      </c>
      <c r="H249" s="107" t="n"/>
      <c r="I249" s="108">
        <f>IF(H249="","",G249*H249)</f>
        <v/>
      </c>
      <c r="J249" s="243">
        <f>IF(I249="","",F249-I249)</f>
        <v/>
      </c>
      <c r="K249" s="110">
        <f>IF(OR(I249="",F249=0),"",I249/F249)</f>
        <v/>
      </c>
      <c r="L249" s="111">
        <f>IF(K249="","⚪",IF(K249&gt;1.2,"🔴",IF(K249&gt;1.1,"🟡","🟢")))</f>
        <v/>
      </c>
      <c r="N249" s="105" t="n">
        <v>17003.196</v>
      </c>
      <c r="O249" s="106" t="n">
        <v>8100</v>
      </c>
      <c r="P249" s="107" t="n"/>
      <c r="Q249" s="108">
        <f>IF(P249="","",O249*P249)</f>
        <v/>
      </c>
      <c r="R249" s="243">
        <f>IF(Q249="","",N249-Q249)</f>
        <v/>
      </c>
      <c r="S249" s="110">
        <f>IF(OR(Q249="",N249=0),"",Q249/N249)</f>
        <v/>
      </c>
      <c r="T249" s="111">
        <f>IF(S249="","⚪",IF(S249&gt;1.2,"🔴",IF(S249&gt;1.1,"🟡","🟢")))</f>
        <v/>
      </c>
      <c r="V249" s="105" t="n">
        <v>17003.196</v>
      </c>
      <c r="W249" s="106" t="n">
        <v>8100</v>
      </c>
      <c r="X249" s="107" t="n"/>
      <c r="Y249" s="108">
        <f>IF(X249="","",W249*X249)</f>
        <v/>
      </c>
      <c r="Z249" s="243">
        <f>IF(Y249="","",V249-Y249)</f>
        <v/>
      </c>
      <c r="AA249" s="110">
        <f>IF(OR(Y249="",V249=0),"",Y249/V249)</f>
        <v/>
      </c>
      <c r="AB249" s="111">
        <f>IF(AA249="","⚪",IF(AA249&gt;1.2,"🔴",IF(AA249&gt;1.1,"🟡","🟢")))</f>
        <v/>
      </c>
      <c r="AD249" s="105" t="n">
        <v>17003.196</v>
      </c>
      <c r="AE249" s="106" t="n">
        <v>8100</v>
      </c>
      <c r="AF249" s="107" t="n"/>
      <c r="AG249" s="108">
        <f>IF(AF249="","",AE249*AF249)</f>
        <v/>
      </c>
      <c r="AH249" s="243">
        <f>IF(AG249="","",AD249-AG249)</f>
        <v/>
      </c>
      <c r="AI249" s="110">
        <f>IF(OR(AG249="",AD249=0),"",AG249/AD249)</f>
        <v/>
      </c>
      <c r="AJ249" s="111">
        <f>IF(AI249="","⚪",IF(AI249&gt;1.2,"🔴",IF(AI249&gt;1.1,"🟡","🟢")))</f>
        <v/>
      </c>
    </row>
    <row r="250" ht="14" customHeight="1" s="176">
      <c r="A250" s="112" t="inlineStr">
        <is>
          <t>Santa Catalina</t>
        </is>
      </c>
      <c r="B250" s="113" t="inlineStr">
        <is>
          <t>cambria 4,2 ha</t>
        </is>
      </c>
      <c r="C250" s="113" t="inlineStr">
        <is>
          <t>2- M.O. indirecta</t>
        </is>
      </c>
      <c r="D250" s="113" t="inlineStr">
        <is>
          <t>4,1- ENCARGADO MANTENCIONES</t>
        </is>
      </c>
      <c r="E250" s="113" t="inlineStr">
        <is>
          <t>día</t>
        </is>
      </c>
      <c r="F250" s="105" t="n">
        <v>23090.76</v>
      </c>
      <c r="G250" s="106" t="n">
        <v>11000</v>
      </c>
      <c r="H250" s="107" t="n"/>
      <c r="I250" s="108">
        <f>IF(H250="","",G250*H250)</f>
        <v/>
      </c>
      <c r="J250" s="243">
        <f>IF(I250="","",F250-I250)</f>
        <v/>
      </c>
      <c r="K250" s="110">
        <f>IF(OR(I250="",F250=0),"",I250/F250)</f>
        <v/>
      </c>
      <c r="L250" s="111">
        <f>IF(K250="","⚪",IF(K250&gt;1.2,"🔴",IF(K250&gt;1.1,"🟡","🟢")))</f>
        <v/>
      </c>
      <c r="N250" s="105" t="n">
        <v>23090.76</v>
      </c>
      <c r="O250" s="106" t="n">
        <v>11000</v>
      </c>
      <c r="P250" s="107" t="n"/>
      <c r="Q250" s="108">
        <f>IF(P250="","",O250*P250)</f>
        <v/>
      </c>
      <c r="R250" s="243">
        <f>IF(Q250="","",N250-Q250)</f>
        <v/>
      </c>
      <c r="S250" s="110">
        <f>IF(OR(Q250="",N250=0),"",Q250/N250)</f>
        <v/>
      </c>
      <c r="T250" s="111">
        <f>IF(S250="","⚪",IF(S250&gt;1.2,"🔴",IF(S250&gt;1.1,"🟡","🟢")))</f>
        <v/>
      </c>
      <c r="V250" s="105" t="n">
        <v>23090.76</v>
      </c>
      <c r="W250" s="106" t="n">
        <v>11000</v>
      </c>
      <c r="X250" s="107" t="n"/>
      <c r="Y250" s="108">
        <f>IF(X250="","",W250*X250)</f>
        <v/>
      </c>
      <c r="Z250" s="243">
        <f>IF(Y250="","",V250-Y250)</f>
        <v/>
      </c>
      <c r="AA250" s="110">
        <f>IF(OR(Y250="",V250=0),"",Y250/V250)</f>
        <v/>
      </c>
      <c r="AB250" s="111">
        <f>IF(AA250="","⚪",IF(AA250&gt;1.2,"🔴",IF(AA250&gt;1.1,"🟡","🟢")))</f>
        <v/>
      </c>
      <c r="AD250" s="105" t="n">
        <v>23090.76</v>
      </c>
      <c r="AE250" s="106" t="n">
        <v>11000</v>
      </c>
      <c r="AF250" s="107" t="n"/>
      <c r="AG250" s="108">
        <f>IF(AF250="","",AE250*AF250)</f>
        <v/>
      </c>
      <c r="AH250" s="243">
        <f>IF(AG250="","",AD250-AG250)</f>
        <v/>
      </c>
      <c r="AI250" s="110">
        <f>IF(OR(AG250="",AD250=0),"",AG250/AD250)</f>
        <v/>
      </c>
      <c r="AJ250" s="111">
        <f>IF(AI250="","⚪",IF(AI250&gt;1.2,"🔴",IF(AI250&gt;1.1,"🟡","🟢")))</f>
        <v/>
      </c>
    </row>
    <row r="251" ht="14" customHeight="1" s="176">
      <c r="A251" s="103" t="inlineStr">
        <is>
          <t>Santa Catalina</t>
        </is>
      </c>
      <c r="B251" s="104" t="inlineStr">
        <is>
          <t>cambria 4,2 ha</t>
        </is>
      </c>
      <c r="C251" s="104" t="inlineStr">
        <is>
          <t>2- M.O. indirecta</t>
        </is>
      </c>
      <c r="D251" s="104" t="inlineStr">
        <is>
          <t>4- CERTIFICACIONES</t>
        </is>
      </c>
      <c r="E251" s="104" t="inlineStr">
        <is>
          <t>día</t>
        </is>
      </c>
      <c r="F251" s="105" t="n">
        <v>8145.375</v>
      </c>
      <c r="G251" s="106" t="n">
        <v>6464.58333333333</v>
      </c>
      <c r="H251" s="107" t="n"/>
      <c r="I251" s="108">
        <f>IF(H251="","",G251*H251)</f>
        <v/>
      </c>
      <c r="J251" s="243">
        <f>IF(I251="","",F251-I251)</f>
        <v/>
      </c>
      <c r="K251" s="110">
        <f>IF(OR(I251="",F251=0),"",I251/F251)</f>
        <v/>
      </c>
      <c r="L251" s="111">
        <f>IF(K251="","⚪",IF(K251&gt;1.2,"🔴",IF(K251&gt;1.1,"🟡","🟢")))</f>
        <v/>
      </c>
      <c r="N251" s="105" t="n">
        <v>8145.375</v>
      </c>
      <c r="O251" s="106" t="n">
        <v>6464.58333333333</v>
      </c>
      <c r="P251" s="107" t="n"/>
      <c r="Q251" s="108">
        <f>IF(P251="","",O251*P251)</f>
        <v/>
      </c>
      <c r="R251" s="243">
        <f>IF(Q251="","",N251-Q251)</f>
        <v/>
      </c>
      <c r="S251" s="110">
        <f>IF(OR(Q251="",N251=0),"",Q251/N251)</f>
        <v/>
      </c>
      <c r="T251" s="111">
        <f>IF(S251="","⚪",IF(S251&gt;1.2,"🔴",IF(S251&gt;1.1,"🟡","🟢")))</f>
        <v/>
      </c>
      <c r="V251" s="105" t="n">
        <v>8145.375</v>
      </c>
      <c r="W251" s="106" t="n">
        <v>6464.58333333333</v>
      </c>
      <c r="X251" s="107" t="n"/>
      <c r="Y251" s="108">
        <f>IF(X251="","",W251*X251)</f>
        <v/>
      </c>
      <c r="Z251" s="243">
        <f>IF(Y251="","",V251-Y251)</f>
        <v/>
      </c>
      <c r="AA251" s="110">
        <f>IF(OR(Y251="",V251=0),"",Y251/V251)</f>
        <v/>
      </c>
      <c r="AB251" s="111">
        <f>IF(AA251="","⚪",IF(AA251&gt;1.2,"🔴",IF(AA251&gt;1.1,"🟡","🟢")))</f>
        <v/>
      </c>
      <c r="AD251" s="105" t="n">
        <v>8145.375</v>
      </c>
      <c r="AE251" s="106" t="n">
        <v>6464.58333333333</v>
      </c>
      <c r="AF251" s="107" t="n"/>
      <c r="AG251" s="108">
        <f>IF(AF251="","",AE251*AF251)</f>
        <v/>
      </c>
      <c r="AH251" s="243">
        <f>IF(AG251="","",AD251-AG251)</f>
        <v/>
      </c>
      <c r="AI251" s="110">
        <f>IF(OR(AG251="",AD251=0),"",AG251/AD251)</f>
        <v/>
      </c>
      <c r="AJ251" s="111">
        <f>IF(AI251="","⚪",IF(AI251&gt;1.2,"🔴",IF(AI251&gt;1.1,"🟡","🟢")))</f>
        <v/>
      </c>
    </row>
    <row r="252" ht="14" customHeight="1" s="176">
      <c r="A252" s="112" t="inlineStr">
        <is>
          <t>Santa Catalina</t>
        </is>
      </c>
      <c r="B252" s="113" t="inlineStr">
        <is>
          <t>cambria 4,2 ha</t>
        </is>
      </c>
      <c r="C252" s="113" t="inlineStr">
        <is>
          <t>2- M.O. indirecta</t>
        </is>
      </c>
      <c r="D252" s="113" t="inlineStr">
        <is>
          <t>5- PREVEN. DE RIESGO</t>
        </is>
      </c>
      <c r="E252" s="113" t="inlineStr">
        <is>
          <t>día</t>
        </is>
      </c>
      <c r="F252" s="105" t="n">
        <v>3306.177</v>
      </c>
      <c r="G252" s="106" t="n">
        <v>1575</v>
      </c>
      <c r="H252" s="107" t="n"/>
      <c r="I252" s="108">
        <f>IF(H252="","",G252*H252)</f>
        <v/>
      </c>
      <c r="J252" s="243">
        <f>IF(I252="","",F252-I252)</f>
        <v/>
      </c>
      <c r="K252" s="110">
        <f>IF(OR(I252="",F252=0),"",I252/F252)</f>
        <v/>
      </c>
      <c r="L252" s="111">
        <f>IF(K252="","⚪",IF(K252&gt;1.2,"🔴",IF(K252&gt;1.1,"🟡","🟢")))</f>
        <v/>
      </c>
      <c r="N252" s="105" t="n">
        <v>3306.177</v>
      </c>
      <c r="O252" s="106" t="n">
        <v>1575</v>
      </c>
      <c r="P252" s="107" t="n"/>
      <c r="Q252" s="108">
        <f>IF(P252="","",O252*P252)</f>
        <v/>
      </c>
      <c r="R252" s="243">
        <f>IF(Q252="","",N252-Q252)</f>
        <v/>
      </c>
      <c r="S252" s="110">
        <f>IF(OR(Q252="",N252=0),"",Q252/N252)</f>
        <v/>
      </c>
      <c r="T252" s="111">
        <f>IF(S252="","⚪",IF(S252&gt;1.2,"🔴",IF(S252&gt;1.1,"🟡","🟢")))</f>
        <v/>
      </c>
      <c r="V252" s="105" t="n">
        <v>3306.177</v>
      </c>
      <c r="W252" s="106" t="n">
        <v>1575</v>
      </c>
      <c r="X252" s="107" t="n"/>
      <c r="Y252" s="108">
        <f>IF(X252="","",W252*X252)</f>
        <v/>
      </c>
      <c r="Z252" s="243">
        <f>IF(Y252="","",V252-Y252)</f>
        <v/>
      </c>
      <c r="AA252" s="110">
        <f>IF(OR(Y252="",V252=0),"",Y252/V252)</f>
        <v/>
      </c>
      <c r="AB252" s="111">
        <f>IF(AA252="","⚪",IF(AA252&gt;1.2,"🔴",IF(AA252&gt;1.1,"🟡","🟢")))</f>
        <v/>
      </c>
      <c r="AD252" s="105" t="n">
        <v>3306.177</v>
      </c>
      <c r="AE252" s="106" t="n">
        <v>1575</v>
      </c>
      <c r="AF252" s="107" t="n"/>
      <c r="AG252" s="108">
        <f>IF(AF252="","",AE252*AF252)</f>
        <v/>
      </c>
      <c r="AH252" s="243">
        <f>IF(AG252="","",AD252-AG252)</f>
        <v/>
      </c>
      <c r="AI252" s="110">
        <f>IF(OR(AG252="",AD252=0),"",AG252/AD252)</f>
        <v/>
      </c>
      <c r="AJ252" s="111">
        <f>IF(AI252="","⚪",IF(AI252&gt;1.2,"🔴",IF(AI252&gt;1.1,"🟡","🟢")))</f>
        <v/>
      </c>
    </row>
    <row r="253" ht="14" customHeight="1" s="176">
      <c r="A253" s="103" t="inlineStr">
        <is>
          <t>Santa Catalina</t>
        </is>
      </c>
      <c r="B253" s="104" t="inlineStr">
        <is>
          <t>cambria 4,2 ha</t>
        </is>
      </c>
      <c r="C253" s="104" t="inlineStr">
        <is>
          <t>2- M.O. indirecta</t>
        </is>
      </c>
      <c r="D253" s="104" t="inlineStr">
        <is>
          <t>9,1- RONDIN FUNDO</t>
        </is>
      </c>
      <c r="E253" s="104" t="inlineStr">
        <is>
          <t>día</t>
        </is>
      </c>
      <c r="F253" s="105" t="n">
        <v>47714.4</v>
      </c>
      <c r="G253" s="106" t="n">
        <v>39762</v>
      </c>
      <c r="H253" s="107" t="n"/>
      <c r="I253" s="108">
        <f>IF(H253="","",G253*H253)</f>
        <v/>
      </c>
      <c r="J253" s="243">
        <f>IF(I253="","",F253-I253)</f>
        <v/>
      </c>
      <c r="K253" s="110">
        <f>IF(OR(I253="",F253=0),"",I253/F253)</f>
        <v/>
      </c>
      <c r="L253" s="111">
        <f>IF(K253="","⚪",IF(K253&gt;1.2,"🔴",IF(K253&gt;1.1,"🟡","🟢")))</f>
        <v/>
      </c>
      <c r="N253" s="105" t="n">
        <v>47714.4</v>
      </c>
      <c r="O253" s="106" t="n">
        <v>39762</v>
      </c>
      <c r="P253" s="107" t="n"/>
      <c r="Q253" s="108">
        <f>IF(P253="","",O253*P253)</f>
        <v/>
      </c>
      <c r="R253" s="243">
        <f>IF(Q253="","",N253-Q253)</f>
        <v/>
      </c>
      <c r="S253" s="110">
        <f>IF(OR(Q253="",N253=0),"",Q253/N253)</f>
        <v/>
      </c>
      <c r="T253" s="111">
        <f>IF(S253="","⚪",IF(S253&gt;1.2,"🔴",IF(S253&gt;1.1,"🟡","🟢")))</f>
        <v/>
      </c>
      <c r="V253" s="105" t="n">
        <v>47714.4</v>
      </c>
      <c r="W253" s="106" t="n">
        <v>39762</v>
      </c>
      <c r="X253" s="107" t="n"/>
      <c r="Y253" s="108">
        <f>IF(X253="","",W253*X253)</f>
        <v/>
      </c>
      <c r="Z253" s="243">
        <f>IF(Y253="","",V253-Y253)</f>
        <v/>
      </c>
      <c r="AA253" s="110">
        <f>IF(OR(Y253="",V253=0),"",Y253/V253)</f>
        <v/>
      </c>
      <c r="AB253" s="111">
        <f>IF(AA253="","⚪",IF(AA253&gt;1.2,"🔴",IF(AA253&gt;1.1,"🟡","🟢")))</f>
        <v/>
      </c>
      <c r="AD253" s="105" t="n">
        <v>47714.4</v>
      </c>
      <c r="AE253" s="106" t="n">
        <v>39762</v>
      </c>
      <c r="AF253" s="107" t="n"/>
      <c r="AG253" s="108">
        <f>IF(AF253="","",AE253*AF253)</f>
        <v/>
      </c>
      <c r="AH253" s="243">
        <f>IF(AG253="","",AD253-AG253)</f>
        <v/>
      </c>
      <c r="AI253" s="110">
        <f>IF(OR(AG253="",AD253=0),"",AG253/AD253)</f>
        <v/>
      </c>
      <c r="AJ253" s="111">
        <f>IF(AI253="","⚪",IF(AI253&gt;1.2,"🔴",IF(AI253&gt;1.1,"🟡","🟢")))</f>
        <v/>
      </c>
    </row>
    <row r="254" ht="14" customHeight="1" s="176">
      <c r="A254" s="112" t="inlineStr">
        <is>
          <t>Santa Catalina</t>
        </is>
      </c>
      <c r="B254" s="113" t="inlineStr">
        <is>
          <t>cambria 4,2 ha</t>
        </is>
      </c>
      <c r="C254" s="113" t="inlineStr">
        <is>
          <t>2- M.O. indirecta</t>
        </is>
      </c>
      <c r="D254" s="113" t="inlineStr">
        <is>
          <t>9,1- RONDIN ZANJON</t>
        </is>
      </c>
      <c r="E254" s="113" t="inlineStr">
        <is>
          <t>día</t>
        </is>
      </c>
      <c r="F254" s="105" t="n">
        <v>148385.42208</v>
      </c>
      <c r="G254" s="106" t="n">
        <v>70688</v>
      </c>
      <c r="H254" s="107" t="n"/>
      <c r="I254" s="108">
        <f>IF(H254="","",G254*H254)</f>
        <v/>
      </c>
      <c r="J254" s="243">
        <f>IF(I254="","",F254-I254)</f>
        <v/>
      </c>
      <c r="K254" s="110">
        <f>IF(OR(I254="",F254=0),"",I254/F254)</f>
        <v/>
      </c>
      <c r="L254" s="111">
        <f>IF(K254="","⚪",IF(K254&gt;1.2,"🔴",IF(K254&gt;1.1,"🟡","🟢")))</f>
        <v/>
      </c>
      <c r="N254" s="105" t="n">
        <v>148385.42208</v>
      </c>
      <c r="O254" s="106" t="n">
        <v>70688</v>
      </c>
      <c r="P254" s="107" t="n"/>
      <c r="Q254" s="108">
        <f>IF(P254="","",O254*P254)</f>
        <v/>
      </c>
      <c r="R254" s="243">
        <f>IF(Q254="","",N254-Q254)</f>
        <v/>
      </c>
      <c r="S254" s="110">
        <f>IF(OR(Q254="",N254=0),"",Q254/N254)</f>
        <v/>
      </c>
      <c r="T254" s="111">
        <f>IF(S254="","⚪",IF(S254&gt;1.2,"🔴",IF(S254&gt;1.1,"🟡","🟢")))</f>
        <v/>
      </c>
      <c r="V254" s="105" t="n">
        <v>148385.42208</v>
      </c>
      <c r="W254" s="106" t="n">
        <v>70688</v>
      </c>
      <c r="X254" s="107" t="n"/>
      <c r="Y254" s="108">
        <f>IF(X254="","",W254*X254)</f>
        <v/>
      </c>
      <c r="Z254" s="243">
        <f>IF(Y254="","",V254-Y254)</f>
        <v/>
      </c>
      <c r="AA254" s="110">
        <f>IF(OR(Y254="",V254=0),"",Y254/V254)</f>
        <v/>
      </c>
      <c r="AB254" s="111">
        <f>IF(AA254="","⚪",IF(AA254&gt;1.2,"🔴",IF(AA254&gt;1.1,"🟡","🟢")))</f>
        <v/>
      </c>
      <c r="AD254" s="105" t="n">
        <v>148385.42208</v>
      </c>
      <c r="AE254" s="106" t="n">
        <v>70688</v>
      </c>
      <c r="AF254" s="107" t="n"/>
      <c r="AG254" s="108">
        <f>IF(AF254="","",AE254*AF254)</f>
        <v/>
      </c>
      <c r="AH254" s="243">
        <f>IF(AG254="","",AD254-AG254)</f>
        <v/>
      </c>
      <c r="AI254" s="110">
        <f>IF(OR(AG254="",AD254=0),"",AG254/AD254)</f>
        <v/>
      </c>
      <c r="AJ254" s="111">
        <f>IF(AI254="","⚪",IF(AI254&gt;1.2,"🔴",IF(AI254&gt;1.1,"🟡","🟢")))</f>
        <v/>
      </c>
    </row>
    <row r="255" ht="14" customHeight="1" s="176">
      <c r="A255" s="103" t="inlineStr">
        <is>
          <t>Santa Catalina</t>
        </is>
      </c>
      <c r="B255" s="104" t="inlineStr">
        <is>
          <t>eureka 10,6 ha</t>
        </is>
      </c>
      <c r="C255" s="104" t="inlineStr">
        <is>
          <t>1- M.O. directa</t>
        </is>
      </c>
      <c r="D255" s="104" t="inlineStr">
        <is>
          <t xml:space="preserve">1,4- Mantención caminos </t>
        </is>
      </c>
      <c r="E255" s="104" t="inlineStr">
        <is>
          <t>día</t>
        </is>
      </c>
      <c r="F255" s="105" t="n">
        <v>138330</v>
      </c>
      <c r="G255" s="106" t="n">
        <v>43500</v>
      </c>
      <c r="H255" s="107" t="n"/>
      <c r="I255" s="108">
        <f>IF(H255="","",G255*H255)</f>
        <v/>
      </c>
      <c r="J255" s="243">
        <f>IF(I255="","",F255-I255)</f>
        <v/>
      </c>
      <c r="K255" s="110">
        <f>IF(OR(I255="",F255=0),"",I255/F255)</f>
        <v/>
      </c>
      <c r="L255" s="111">
        <f>IF(K255="","⚪",IF(K255&gt;1.2,"🔴",IF(K255&gt;1.1,"🟡","🟢")))</f>
        <v/>
      </c>
      <c r="N255" s="105" t="n">
        <v>138330</v>
      </c>
      <c r="O255" s="106" t="n">
        <v>43500</v>
      </c>
      <c r="P255" s="107" t="n"/>
      <c r="Q255" s="108">
        <f>IF(P255="","",O255*P255)</f>
        <v/>
      </c>
      <c r="R255" s="243">
        <f>IF(Q255="","",N255-Q255)</f>
        <v/>
      </c>
      <c r="S255" s="110">
        <f>IF(OR(Q255="",N255=0),"",Q255/N255)</f>
        <v/>
      </c>
      <c r="T255" s="111">
        <f>IF(S255="","⚪",IF(S255&gt;1.2,"🔴",IF(S255&gt;1.1,"🟡","🟢")))</f>
        <v/>
      </c>
      <c r="V255" s="105" t="n">
        <v>138330</v>
      </c>
      <c r="W255" s="106" t="n">
        <v>43500</v>
      </c>
      <c r="X255" s="107" t="n"/>
      <c r="Y255" s="108">
        <f>IF(X255="","",W255*X255)</f>
        <v/>
      </c>
      <c r="Z255" s="243">
        <f>IF(Y255="","",V255-Y255)</f>
        <v/>
      </c>
      <c r="AA255" s="110">
        <f>IF(OR(Y255="",V255=0),"",Y255/V255)</f>
        <v/>
      </c>
      <c r="AB255" s="111">
        <f>IF(AA255="","⚪",IF(AA255&gt;1.2,"🔴",IF(AA255&gt;1.1,"🟡","🟢")))</f>
        <v/>
      </c>
      <c r="AD255" s="105" t="n">
        <v>138330</v>
      </c>
      <c r="AE255" s="106" t="n">
        <v>43500</v>
      </c>
      <c r="AF255" s="107" t="n"/>
      <c r="AG255" s="108">
        <f>IF(AF255="","",AE255*AF255)</f>
        <v/>
      </c>
      <c r="AH255" s="243">
        <f>IF(AG255="","",AD255-AG255)</f>
        <v/>
      </c>
      <c r="AI255" s="110">
        <f>IF(OR(AG255="",AD255=0),"",AG255/AD255)</f>
        <v/>
      </c>
      <c r="AJ255" s="111">
        <f>IF(AI255="","⚪",IF(AI255&gt;1.2,"🔴",IF(AI255&gt;1.1,"🟡","🟢")))</f>
        <v/>
      </c>
    </row>
    <row r="256" ht="14" customHeight="1" s="176">
      <c r="A256" s="112" t="inlineStr">
        <is>
          <t>Santa Catalina</t>
        </is>
      </c>
      <c r="B256" s="113" t="inlineStr">
        <is>
          <t>eureka 10,6 ha</t>
        </is>
      </c>
      <c r="C256" s="113" t="inlineStr">
        <is>
          <t>1- M.O. directa</t>
        </is>
      </c>
      <c r="D256" s="113" t="inlineStr">
        <is>
          <t>1- Cosecha EXP</t>
        </is>
      </c>
      <c r="E256" s="113" t="inlineStr">
        <is>
          <t>trato</t>
        </is>
      </c>
      <c r="F256" s="105" t="n">
        <v>1098160</v>
      </c>
      <c r="G256" s="106" t="n">
        <v>83</v>
      </c>
      <c r="H256" s="107" t="n"/>
      <c r="I256" s="108">
        <f>IF(H256="","",G256*H256)</f>
        <v/>
      </c>
      <c r="J256" s="243">
        <f>IF(I256="","",F256-I256)</f>
        <v/>
      </c>
      <c r="K256" s="110">
        <f>IF(OR(I256="",F256=0),"",I256/F256)</f>
        <v/>
      </c>
      <c r="L256" s="111">
        <f>IF(K256="","⚪",IF(K256&gt;1.2,"🔴",IF(K256&gt;1.1,"🟡","🟢")))</f>
        <v/>
      </c>
      <c r="N256" s="105" t="n">
        <v>1098160</v>
      </c>
      <c r="O256" s="106" t="n">
        <v>83</v>
      </c>
      <c r="P256" s="107" t="n"/>
      <c r="Q256" s="108">
        <f>IF(P256="","",O256*P256)</f>
        <v/>
      </c>
      <c r="R256" s="243">
        <f>IF(Q256="","",N256-Q256)</f>
        <v/>
      </c>
      <c r="S256" s="110">
        <f>IF(OR(Q256="",N256=0),"",Q256/N256)</f>
        <v/>
      </c>
      <c r="T256" s="111">
        <f>IF(S256="","⚪",IF(S256&gt;1.2,"🔴",IF(S256&gt;1.1,"🟡","🟢")))</f>
        <v/>
      </c>
      <c r="V256" s="105" t="n">
        <v>1098160</v>
      </c>
      <c r="W256" s="106" t="n">
        <v>83</v>
      </c>
      <c r="X256" s="107" t="n"/>
      <c r="Y256" s="108">
        <f>IF(X256="","",W256*X256)</f>
        <v/>
      </c>
      <c r="Z256" s="243">
        <f>IF(Y256="","",V256-Y256)</f>
        <v/>
      </c>
      <c r="AA256" s="110">
        <f>IF(OR(Y256="",V256=0),"",Y256/V256)</f>
        <v/>
      </c>
      <c r="AB256" s="111">
        <f>IF(AA256="","⚪",IF(AA256&gt;1.2,"🔴",IF(AA256&gt;1.1,"🟡","🟢")))</f>
        <v/>
      </c>
      <c r="AD256" s="105" t="n">
        <v>1098160</v>
      </c>
      <c r="AE256" s="106" t="n">
        <v>83</v>
      </c>
      <c r="AF256" s="107" t="n"/>
      <c r="AG256" s="108">
        <f>IF(AF256="","",AE256*AF256)</f>
        <v/>
      </c>
      <c r="AH256" s="243">
        <f>IF(AG256="","",AD256-AG256)</f>
        <v/>
      </c>
      <c r="AI256" s="110">
        <f>IF(OR(AG256="",AD256=0),"",AG256/AD256)</f>
        <v/>
      </c>
      <c r="AJ256" s="111">
        <f>IF(AI256="","⚪",IF(AI256&gt;1.2,"🔴",IF(AI256&gt;1.1,"🟡","🟢")))</f>
        <v/>
      </c>
    </row>
    <row r="257" ht="14" customHeight="1" s="176">
      <c r="A257" s="103" t="inlineStr">
        <is>
          <t>Santa Catalina</t>
        </is>
      </c>
      <c r="B257" s="104" t="inlineStr">
        <is>
          <t>eureka 10,6 ha</t>
        </is>
      </c>
      <c r="C257" s="104" t="inlineStr">
        <is>
          <t>1- M.O. directa</t>
        </is>
      </c>
      <c r="D257" s="104" t="inlineStr">
        <is>
          <t>1- Cosecha M.I</t>
        </is>
      </c>
      <c r="E257" s="104" t="inlineStr">
        <is>
          <t>trato</t>
        </is>
      </c>
      <c r="F257" s="105" t="n">
        <v>1508727.15</v>
      </c>
      <c r="G257" s="106" t="n"/>
      <c r="H257" s="107" t="n"/>
      <c r="I257" s="108">
        <f>IF(H257="","",G257*H257)</f>
        <v/>
      </c>
      <c r="J257" s="243">
        <f>IF(I257="","",F257-I257)</f>
        <v/>
      </c>
      <c r="K257" s="110">
        <f>IF(OR(I257="",F257=0),"",I257/F257)</f>
        <v/>
      </c>
      <c r="L257" s="111">
        <f>IF(K257="","⚪",IF(K257&gt;1.2,"🔴",IF(K257&gt;1.1,"🟡","🟢")))</f>
        <v/>
      </c>
      <c r="N257" s="105" t="n">
        <v>1508727.15</v>
      </c>
      <c r="O257" s="106" t="n"/>
      <c r="P257" s="107" t="n"/>
      <c r="Q257" s="108">
        <f>IF(P257="","",O257*P257)</f>
        <v/>
      </c>
      <c r="R257" s="243">
        <f>IF(Q257="","",N257-Q257)</f>
        <v/>
      </c>
      <c r="S257" s="110">
        <f>IF(OR(Q257="",N257=0),"",Q257/N257)</f>
        <v/>
      </c>
      <c r="T257" s="111">
        <f>IF(S257="","⚪",IF(S257&gt;1.2,"🔴",IF(S257&gt;1.1,"🟡","🟢")))</f>
        <v/>
      </c>
      <c r="V257" s="105" t="n">
        <v>1508727.15</v>
      </c>
      <c r="W257" s="106" t="n"/>
      <c r="X257" s="107" t="n"/>
      <c r="Y257" s="108">
        <f>IF(X257="","",W257*X257)</f>
        <v/>
      </c>
      <c r="Z257" s="243">
        <f>IF(Y257="","",V257-Y257)</f>
        <v/>
      </c>
      <c r="AA257" s="110">
        <f>IF(OR(Y257="",V257=0),"",Y257/V257)</f>
        <v/>
      </c>
      <c r="AB257" s="111">
        <f>IF(AA257="","⚪",IF(AA257&gt;1.2,"🔴",IF(AA257&gt;1.1,"🟡","🟢")))</f>
        <v/>
      </c>
      <c r="AD257" s="105" t="n">
        <v>1508727.15</v>
      </c>
      <c r="AE257" s="106" t="n"/>
      <c r="AF257" s="107" t="n"/>
      <c r="AG257" s="108">
        <f>IF(AF257="","",AE257*AF257)</f>
        <v/>
      </c>
      <c r="AH257" s="243">
        <f>IF(AG257="","",AD257-AG257)</f>
        <v/>
      </c>
      <c r="AI257" s="110">
        <f>IF(OR(AG257="",AD257=0),"",AG257/AD257)</f>
        <v/>
      </c>
      <c r="AJ257" s="111">
        <f>IF(AI257="","⚪",IF(AI257&gt;1.2,"🔴",IF(AI257&gt;1.1,"🟡","🟢")))</f>
        <v/>
      </c>
    </row>
    <row r="258" ht="14" customHeight="1" s="176">
      <c r="A258" s="112" t="inlineStr">
        <is>
          <t>Santa Catalina</t>
        </is>
      </c>
      <c r="B258" s="113" t="inlineStr">
        <is>
          <t>eureka 10,6 ha</t>
        </is>
      </c>
      <c r="C258" s="113" t="inlineStr">
        <is>
          <t>1- M.O. directa</t>
        </is>
      </c>
      <c r="D258" s="113" t="inlineStr">
        <is>
          <t>12- Picar sarmiento</t>
        </is>
      </c>
      <c r="E258" s="113" t="inlineStr">
        <is>
          <t>trato</t>
        </is>
      </c>
      <c r="F258" s="105" t="n">
        <v>13260.6</v>
      </c>
      <c r="G258" s="106" t="n">
        <v>60</v>
      </c>
      <c r="H258" s="107" t="n"/>
      <c r="I258" s="108">
        <f>IF(H258="","",G258*H258)</f>
        <v/>
      </c>
      <c r="J258" s="243">
        <f>IF(I258="","",F258-I258)</f>
        <v/>
      </c>
      <c r="K258" s="110">
        <f>IF(OR(I258="",F258=0),"",I258/F258)</f>
        <v/>
      </c>
      <c r="L258" s="111">
        <f>IF(K258="","⚪",IF(K258&gt;1.2,"🔴",IF(K258&gt;1.1,"🟡","🟢")))</f>
        <v/>
      </c>
      <c r="N258" s="105" t="n">
        <v>13260.6</v>
      </c>
      <c r="O258" s="106" t="n">
        <v>60</v>
      </c>
      <c r="P258" s="107" t="n"/>
      <c r="Q258" s="108">
        <f>IF(P258="","",O258*P258)</f>
        <v/>
      </c>
      <c r="R258" s="243">
        <f>IF(Q258="","",N258-Q258)</f>
        <v/>
      </c>
      <c r="S258" s="110">
        <f>IF(OR(Q258="",N258=0),"",Q258/N258)</f>
        <v/>
      </c>
      <c r="T258" s="111">
        <f>IF(S258="","⚪",IF(S258&gt;1.2,"🔴",IF(S258&gt;1.1,"🟡","🟢")))</f>
        <v/>
      </c>
      <c r="V258" s="105" t="n">
        <v>13260.6</v>
      </c>
      <c r="W258" s="106" t="n">
        <v>60</v>
      </c>
      <c r="X258" s="107" t="n"/>
      <c r="Y258" s="108">
        <f>IF(X258="","",W258*X258)</f>
        <v/>
      </c>
      <c r="Z258" s="243">
        <f>IF(Y258="","",V258-Y258)</f>
        <v/>
      </c>
      <c r="AA258" s="110">
        <f>IF(OR(Y258="",V258=0),"",Y258/V258)</f>
        <v/>
      </c>
      <c r="AB258" s="111">
        <f>IF(AA258="","⚪",IF(AA258&gt;1.2,"🔴",IF(AA258&gt;1.1,"🟡","🟢")))</f>
        <v/>
      </c>
      <c r="AD258" s="105" t="n">
        <v>13260.6</v>
      </c>
      <c r="AE258" s="106" t="n">
        <v>60</v>
      </c>
      <c r="AF258" s="107" t="n"/>
      <c r="AG258" s="108">
        <f>IF(AF258="","",AE258*AF258)</f>
        <v/>
      </c>
      <c r="AH258" s="243">
        <f>IF(AG258="","",AD258-AG258)</f>
        <v/>
      </c>
      <c r="AI258" s="110">
        <f>IF(OR(AG258="",AD258=0),"",AG258/AD258)</f>
        <v/>
      </c>
      <c r="AJ258" s="111">
        <f>IF(AI258="","⚪",IF(AI258&gt;1.2,"🔴",IF(AI258&gt;1.1,"🟡","🟢")))</f>
        <v/>
      </c>
    </row>
    <row r="259" ht="14" customHeight="1" s="176">
      <c r="A259" s="103" t="inlineStr">
        <is>
          <t>Santa Catalina</t>
        </is>
      </c>
      <c r="B259" s="104" t="inlineStr">
        <is>
          <t>eureka 10,6 ha</t>
        </is>
      </c>
      <c r="C259" s="104" t="inlineStr">
        <is>
          <t>1- M.O. directa</t>
        </is>
      </c>
      <c r="D259" s="104" t="inlineStr">
        <is>
          <t>13- Poda antenas</t>
        </is>
      </c>
      <c r="E259" s="104" t="inlineStr">
        <is>
          <t>trato</t>
        </is>
      </c>
      <c r="F259" s="105" t="n">
        <v>132606</v>
      </c>
      <c r="G259" s="106" t="n">
        <v>600</v>
      </c>
      <c r="H259" s="107" t="n"/>
      <c r="I259" s="108">
        <f>IF(H259="","",G259*H259)</f>
        <v/>
      </c>
      <c r="J259" s="243">
        <f>IF(I259="","",F259-I259)</f>
        <v/>
      </c>
      <c r="K259" s="110">
        <f>IF(OR(I259="",F259=0),"",I259/F259)</f>
        <v/>
      </c>
      <c r="L259" s="111">
        <f>IF(K259="","⚪",IF(K259&gt;1.2,"🔴",IF(K259&gt;1.1,"🟡","🟢")))</f>
        <v/>
      </c>
      <c r="N259" s="105" t="n">
        <v>132606</v>
      </c>
      <c r="O259" s="106" t="n">
        <v>600</v>
      </c>
      <c r="P259" s="107" t="n"/>
      <c r="Q259" s="108">
        <f>IF(P259="","",O259*P259)</f>
        <v/>
      </c>
      <c r="R259" s="243">
        <f>IF(Q259="","",N259-Q259)</f>
        <v/>
      </c>
      <c r="S259" s="110">
        <f>IF(OR(Q259="",N259=0),"",Q259/N259)</f>
        <v/>
      </c>
      <c r="T259" s="111">
        <f>IF(S259="","⚪",IF(S259&gt;1.2,"🔴",IF(S259&gt;1.1,"🟡","🟢")))</f>
        <v/>
      </c>
      <c r="V259" s="105" t="n">
        <v>132606</v>
      </c>
      <c r="W259" s="106" t="n">
        <v>600</v>
      </c>
      <c r="X259" s="107" t="n"/>
      <c r="Y259" s="108">
        <f>IF(X259="","",W259*X259)</f>
        <v/>
      </c>
      <c r="Z259" s="243">
        <f>IF(Y259="","",V259-Y259)</f>
        <v/>
      </c>
      <c r="AA259" s="110">
        <f>IF(OR(Y259="",V259=0),"",Y259/V259)</f>
        <v/>
      </c>
      <c r="AB259" s="111">
        <f>IF(AA259="","⚪",IF(AA259&gt;1.2,"🔴",IF(AA259&gt;1.1,"🟡","🟢")))</f>
        <v/>
      </c>
      <c r="AD259" s="105" t="n">
        <v>132606</v>
      </c>
      <c r="AE259" s="106" t="n">
        <v>600</v>
      </c>
      <c r="AF259" s="107" t="n"/>
      <c r="AG259" s="108">
        <f>IF(AF259="","",AE259*AF259)</f>
        <v/>
      </c>
      <c r="AH259" s="243">
        <f>IF(AG259="","",AD259-AG259)</f>
        <v/>
      </c>
      <c r="AI259" s="110">
        <f>IF(OR(AG259="",AD259=0),"",AG259/AD259)</f>
        <v/>
      </c>
      <c r="AJ259" s="111">
        <f>IF(AI259="","⚪",IF(AI259&gt;1.2,"🔴",IF(AI259&gt;1.1,"🟡","🟢")))</f>
        <v/>
      </c>
    </row>
    <row r="260" ht="14" customHeight="1" s="176">
      <c r="A260" s="112" t="inlineStr">
        <is>
          <t>Santa Catalina</t>
        </is>
      </c>
      <c r="B260" s="113" t="inlineStr">
        <is>
          <t>eureka 10,6 ha</t>
        </is>
      </c>
      <c r="C260" s="113" t="inlineStr">
        <is>
          <t>1- M.O. directa</t>
        </is>
      </c>
      <c r="D260" s="113" t="inlineStr">
        <is>
          <t>14- Poda de sierrpes</t>
        </is>
      </c>
      <c r="E260" s="113" t="inlineStr">
        <is>
          <t>trato</t>
        </is>
      </c>
      <c r="F260" s="105" t="n">
        <v>9945.450000000001</v>
      </c>
      <c r="G260" s="106" t="n">
        <v>30</v>
      </c>
      <c r="H260" s="107" t="n"/>
      <c r="I260" s="108">
        <f>IF(H260="","",G260*H260)</f>
        <v/>
      </c>
      <c r="J260" s="243">
        <f>IF(I260="","",F260-I260)</f>
        <v/>
      </c>
      <c r="K260" s="110">
        <f>IF(OR(I260="",F260=0),"",I260/F260)</f>
        <v/>
      </c>
      <c r="L260" s="111">
        <f>IF(K260="","⚪",IF(K260&gt;1.2,"🔴",IF(K260&gt;1.1,"🟡","🟢")))</f>
        <v/>
      </c>
      <c r="N260" s="105" t="n">
        <v>9945.450000000001</v>
      </c>
      <c r="O260" s="106" t="n">
        <v>30</v>
      </c>
      <c r="P260" s="107" t="n"/>
      <c r="Q260" s="108">
        <f>IF(P260="","",O260*P260)</f>
        <v/>
      </c>
      <c r="R260" s="243">
        <f>IF(Q260="","",N260-Q260)</f>
        <v/>
      </c>
      <c r="S260" s="110">
        <f>IF(OR(Q260="",N260=0),"",Q260/N260)</f>
        <v/>
      </c>
      <c r="T260" s="111">
        <f>IF(S260="","⚪",IF(S260&gt;1.2,"🔴",IF(S260&gt;1.1,"🟡","🟢")))</f>
        <v/>
      </c>
      <c r="V260" s="105" t="n">
        <v>9945.450000000001</v>
      </c>
      <c r="W260" s="106" t="n">
        <v>30</v>
      </c>
      <c r="X260" s="107" t="n"/>
      <c r="Y260" s="108">
        <f>IF(X260="","",W260*X260)</f>
        <v/>
      </c>
      <c r="Z260" s="243">
        <f>IF(Y260="","",V260-Y260)</f>
        <v/>
      </c>
      <c r="AA260" s="110">
        <f>IF(OR(Y260="",V260=0),"",Y260/V260)</f>
        <v/>
      </c>
      <c r="AB260" s="111">
        <f>IF(AA260="","⚪",IF(AA260&gt;1.2,"🔴",IF(AA260&gt;1.1,"🟡","🟢")))</f>
        <v/>
      </c>
      <c r="AD260" s="105" t="n">
        <v>9945.450000000001</v>
      </c>
      <c r="AE260" s="106" t="n">
        <v>30</v>
      </c>
      <c r="AF260" s="107" t="n"/>
      <c r="AG260" s="108">
        <f>IF(AF260="","",AE260*AF260)</f>
        <v/>
      </c>
      <c r="AH260" s="243">
        <f>IF(AG260="","",AD260-AG260)</f>
        <v/>
      </c>
      <c r="AI260" s="110">
        <f>IF(OR(AG260="",AD260=0),"",AG260/AD260)</f>
        <v/>
      </c>
      <c r="AJ260" s="111">
        <f>IF(AI260="","⚪",IF(AI260&gt;1.2,"🔴",IF(AI260&gt;1.1,"🟡","🟢")))</f>
        <v/>
      </c>
    </row>
    <row r="261" ht="14" customHeight="1" s="176">
      <c r="A261" s="103" t="inlineStr">
        <is>
          <t>Santa Catalina</t>
        </is>
      </c>
      <c r="B261" s="104" t="inlineStr">
        <is>
          <t>eureka 10,6 ha</t>
        </is>
      </c>
      <c r="C261" s="104" t="inlineStr">
        <is>
          <t>1- M.O. directa</t>
        </is>
      </c>
      <c r="D261" s="104" t="inlineStr">
        <is>
          <t>15- Poda primavera</t>
        </is>
      </c>
      <c r="E261" s="104" t="inlineStr">
        <is>
          <t>trato</t>
        </is>
      </c>
      <c r="F261" s="105" t="n">
        <v>198909</v>
      </c>
      <c r="G261" s="106" t="n">
        <v>900</v>
      </c>
      <c r="H261" s="107" t="n"/>
      <c r="I261" s="108">
        <f>IF(H261="","",G261*H261)</f>
        <v/>
      </c>
      <c r="J261" s="243">
        <f>IF(I261="","",F261-I261)</f>
        <v/>
      </c>
      <c r="K261" s="110">
        <f>IF(OR(I261="",F261=0),"",I261/F261)</f>
        <v/>
      </c>
      <c r="L261" s="111">
        <f>IF(K261="","⚪",IF(K261&gt;1.2,"🔴",IF(K261&gt;1.1,"🟡","🟢")))</f>
        <v/>
      </c>
      <c r="N261" s="105" t="n">
        <v>198909</v>
      </c>
      <c r="O261" s="106" t="n">
        <v>900</v>
      </c>
      <c r="P261" s="107" t="n"/>
      <c r="Q261" s="108">
        <f>IF(P261="","",O261*P261)</f>
        <v/>
      </c>
      <c r="R261" s="243">
        <f>IF(Q261="","",N261-Q261)</f>
        <v/>
      </c>
      <c r="S261" s="110">
        <f>IF(OR(Q261="",N261=0),"",Q261/N261)</f>
        <v/>
      </c>
      <c r="T261" s="111">
        <f>IF(S261="","⚪",IF(S261&gt;1.2,"🔴",IF(S261&gt;1.1,"🟡","🟢")))</f>
        <v/>
      </c>
      <c r="V261" s="105" t="n">
        <v>198909</v>
      </c>
      <c r="W261" s="106" t="n">
        <v>900</v>
      </c>
      <c r="X261" s="107" t="n"/>
      <c r="Y261" s="108">
        <f>IF(X261="","",W261*X261)</f>
        <v/>
      </c>
      <c r="Z261" s="243">
        <f>IF(Y261="","",V261-Y261)</f>
        <v/>
      </c>
      <c r="AA261" s="110">
        <f>IF(OR(Y261="",V261=0),"",Y261/V261)</f>
        <v/>
      </c>
      <c r="AB261" s="111">
        <f>IF(AA261="","⚪",IF(AA261&gt;1.2,"🔴",IF(AA261&gt;1.1,"🟡","🟢")))</f>
        <v/>
      </c>
      <c r="AD261" s="105" t="n">
        <v>198909</v>
      </c>
      <c r="AE261" s="106" t="n">
        <v>900</v>
      </c>
      <c r="AF261" s="107" t="n"/>
      <c r="AG261" s="108">
        <f>IF(AF261="","",AE261*AF261)</f>
        <v/>
      </c>
      <c r="AH261" s="243">
        <f>IF(AG261="","",AD261-AG261)</f>
        <v/>
      </c>
      <c r="AI261" s="110">
        <f>IF(OR(AG261="",AD261=0),"",AG261/AD261)</f>
        <v/>
      </c>
      <c r="AJ261" s="111">
        <f>IF(AI261="","⚪",IF(AI261&gt;1.2,"🔴",IF(AI261&gt;1.1,"🟡","🟢")))</f>
        <v/>
      </c>
    </row>
    <row r="262" ht="14" customHeight="1" s="176">
      <c r="A262" s="112" t="inlineStr">
        <is>
          <t>Santa Catalina</t>
        </is>
      </c>
      <c r="B262" s="113" t="inlineStr">
        <is>
          <t>eureka 10,6 ha</t>
        </is>
      </c>
      <c r="C262" s="113" t="inlineStr">
        <is>
          <t>1- M.O. directa</t>
        </is>
      </c>
      <c r="D262" s="113" t="inlineStr">
        <is>
          <t>16- Supervisor poda</t>
        </is>
      </c>
      <c r="E262" s="113" t="inlineStr">
        <is>
          <t>día</t>
        </is>
      </c>
      <c r="F262" s="105" t="n">
        <v>9945.450000000001</v>
      </c>
      <c r="G262" s="106" t="n">
        <v>45</v>
      </c>
      <c r="H262" s="107" t="n"/>
      <c r="I262" s="108">
        <f>IF(H262="","",G262*H262)</f>
        <v/>
      </c>
      <c r="J262" s="243">
        <f>IF(I262="","",F262-I262)</f>
        <v/>
      </c>
      <c r="K262" s="110">
        <f>IF(OR(I262="",F262=0),"",I262/F262)</f>
        <v/>
      </c>
      <c r="L262" s="111">
        <f>IF(K262="","⚪",IF(K262&gt;1.2,"🔴",IF(K262&gt;1.1,"🟡","🟢")))</f>
        <v/>
      </c>
      <c r="N262" s="105" t="n">
        <v>9945.450000000001</v>
      </c>
      <c r="O262" s="106" t="n">
        <v>45</v>
      </c>
      <c r="P262" s="107" t="n"/>
      <c r="Q262" s="108">
        <f>IF(P262="","",O262*P262)</f>
        <v/>
      </c>
      <c r="R262" s="243">
        <f>IF(Q262="","",N262-Q262)</f>
        <v/>
      </c>
      <c r="S262" s="110">
        <f>IF(OR(Q262="",N262=0),"",Q262/N262)</f>
        <v/>
      </c>
      <c r="T262" s="111">
        <f>IF(S262="","⚪",IF(S262&gt;1.2,"🔴",IF(S262&gt;1.1,"🟡","🟢")))</f>
        <v/>
      </c>
      <c r="V262" s="105" t="n">
        <v>9945.450000000001</v>
      </c>
      <c r="W262" s="106" t="n">
        <v>45</v>
      </c>
      <c r="X262" s="107" t="n"/>
      <c r="Y262" s="108">
        <f>IF(X262="","",W262*X262)</f>
        <v/>
      </c>
      <c r="Z262" s="243">
        <f>IF(Y262="","",V262-Y262)</f>
        <v/>
      </c>
      <c r="AA262" s="110">
        <f>IF(OR(Y262="",V262=0),"",Y262/V262)</f>
        <v/>
      </c>
      <c r="AB262" s="111">
        <f>IF(AA262="","⚪",IF(AA262&gt;1.2,"🔴",IF(AA262&gt;1.1,"🟡","🟢")))</f>
        <v/>
      </c>
      <c r="AD262" s="105" t="n">
        <v>9945.450000000001</v>
      </c>
      <c r="AE262" s="106" t="n">
        <v>45</v>
      </c>
      <c r="AF262" s="107" t="n"/>
      <c r="AG262" s="108">
        <f>IF(AF262="","",AE262*AF262)</f>
        <v/>
      </c>
      <c r="AH262" s="243">
        <f>IF(AG262="","",AD262-AG262)</f>
        <v/>
      </c>
      <c r="AI262" s="110">
        <f>IF(OR(AG262="",AD262=0),"",AG262/AD262)</f>
        <v/>
      </c>
      <c r="AJ262" s="111">
        <f>IF(AI262="","⚪",IF(AI262&gt;1.2,"🔴",IF(AI262&gt;1.1,"🟡","🟢")))</f>
        <v/>
      </c>
    </row>
    <row r="263" ht="14" customHeight="1" s="176">
      <c r="A263" s="103" t="inlineStr">
        <is>
          <t>Santa Catalina</t>
        </is>
      </c>
      <c r="B263" s="104" t="inlineStr">
        <is>
          <t>eureka 10,6 ha</t>
        </is>
      </c>
      <c r="C263" s="104" t="inlineStr">
        <is>
          <t>1- M.O. directa</t>
        </is>
      </c>
      <c r="D263" s="104" t="inlineStr">
        <is>
          <t>17- Recepción, pesaje y despacho</t>
        </is>
      </c>
      <c r="E263" s="104" t="inlineStr">
        <is>
          <t>día</t>
        </is>
      </c>
      <c r="F263" s="105" t="n">
        <v>44520</v>
      </c>
      <c r="G263" s="106" t="n">
        <v>1.2</v>
      </c>
      <c r="H263" s="107" t="n"/>
      <c r="I263" s="108">
        <f>IF(H263="","",G263*H263)</f>
        <v/>
      </c>
      <c r="J263" s="243">
        <f>IF(I263="","",F263-I263)</f>
        <v/>
      </c>
      <c r="K263" s="110">
        <f>IF(OR(I263="",F263=0),"",I263/F263)</f>
        <v/>
      </c>
      <c r="L263" s="111">
        <f>IF(K263="","⚪",IF(K263&gt;1.2,"🔴",IF(K263&gt;1.1,"🟡","🟢")))</f>
        <v/>
      </c>
      <c r="N263" s="105" t="n">
        <v>44520</v>
      </c>
      <c r="O263" s="106" t="n">
        <v>1.2</v>
      </c>
      <c r="P263" s="107" t="n"/>
      <c r="Q263" s="108">
        <f>IF(P263="","",O263*P263)</f>
        <v/>
      </c>
      <c r="R263" s="243">
        <f>IF(Q263="","",N263-Q263)</f>
        <v/>
      </c>
      <c r="S263" s="110">
        <f>IF(OR(Q263="",N263=0),"",Q263/N263)</f>
        <v/>
      </c>
      <c r="T263" s="111">
        <f>IF(S263="","⚪",IF(S263&gt;1.2,"🔴",IF(S263&gt;1.1,"🟡","🟢")))</f>
        <v/>
      </c>
      <c r="V263" s="105" t="n">
        <v>44520</v>
      </c>
      <c r="W263" s="106" t="n">
        <v>1.2</v>
      </c>
      <c r="X263" s="107" t="n"/>
      <c r="Y263" s="108">
        <f>IF(X263="","",W263*X263)</f>
        <v/>
      </c>
      <c r="Z263" s="243">
        <f>IF(Y263="","",V263-Y263)</f>
        <v/>
      </c>
      <c r="AA263" s="110">
        <f>IF(OR(Y263="",V263=0),"",Y263/V263)</f>
        <v/>
      </c>
      <c r="AB263" s="111">
        <f>IF(AA263="","⚪",IF(AA263&gt;1.2,"🔴",IF(AA263&gt;1.1,"🟡","🟢")))</f>
        <v/>
      </c>
      <c r="AD263" s="105" t="n">
        <v>44520</v>
      </c>
      <c r="AE263" s="106" t="n">
        <v>1.2</v>
      </c>
      <c r="AF263" s="107" t="n"/>
      <c r="AG263" s="108">
        <f>IF(AF263="","",AE263*AF263)</f>
        <v/>
      </c>
      <c r="AH263" s="243">
        <f>IF(AG263="","",AD263-AG263)</f>
        <v/>
      </c>
      <c r="AI263" s="110">
        <f>IF(OR(AG263="",AD263=0),"",AG263/AD263)</f>
        <v/>
      </c>
      <c r="AJ263" s="111">
        <f>IF(AI263="","⚪",IF(AI263&gt;1.2,"🔴",IF(AI263&gt;1.1,"🟡","🟢")))</f>
        <v/>
      </c>
    </row>
    <row r="264" ht="14" customHeight="1" s="176">
      <c r="A264" s="112" t="inlineStr">
        <is>
          <t>Santa Catalina</t>
        </is>
      </c>
      <c r="B264" s="113" t="inlineStr">
        <is>
          <t>eureka 10,6 ha</t>
        </is>
      </c>
      <c r="C264" s="113" t="inlineStr">
        <is>
          <t>1- M.O. directa</t>
        </is>
      </c>
      <c r="D264" s="113" t="inlineStr">
        <is>
          <t>2- Supervisor cosecha</t>
        </is>
      </c>
      <c r="E264" s="113" t="inlineStr">
        <is>
          <t>día</t>
        </is>
      </c>
      <c r="F264" s="105" t="n">
        <v>259700</v>
      </c>
      <c r="G264" s="106" t="n">
        <v>7</v>
      </c>
      <c r="H264" s="107" t="n"/>
      <c r="I264" s="108">
        <f>IF(H264="","",G264*H264)</f>
        <v/>
      </c>
      <c r="J264" s="243">
        <f>IF(I264="","",F264-I264)</f>
        <v/>
      </c>
      <c r="K264" s="110">
        <f>IF(OR(I264="",F264=0),"",I264/F264)</f>
        <v/>
      </c>
      <c r="L264" s="111">
        <f>IF(K264="","⚪",IF(K264&gt;1.2,"🔴",IF(K264&gt;1.1,"🟡","🟢")))</f>
        <v/>
      </c>
      <c r="N264" s="105" t="n">
        <v>259700</v>
      </c>
      <c r="O264" s="106" t="n">
        <v>7</v>
      </c>
      <c r="P264" s="107" t="n"/>
      <c r="Q264" s="108">
        <f>IF(P264="","",O264*P264)</f>
        <v/>
      </c>
      <c r="R264" s="243">
        <f>IF(Q264="","",N264-Q264)</f>
        <v/>
      </c>
      <c r="S264" s="110">
        <f>IF(OR(Q264="",N264=0),"",Q264/N264)</f>
        <v/>
      </c>
      <c r="T264" s="111">
        <f>IF(S264="","⚪",IF(S264&gt;1.2,"🔴",IF(S264&gt;1.1,"🟡","🟢")))</f>
        <v/>
      </c>
      <c r="V264" s="105" t="n">
        <v>259700</v>
      </c>
      <c r="W264" s="106" t="n">
        <v>7</v>
      </c>
      <c r="X264" s="107" t="n"/>
      <c r="Y264" s="108">
        <f>IF(X264="","",W264*X264)</f>
        <v/>
      </c>
      <c r="Z264" s="243">
        <f>IF(Y264="","",V264-Y264)</f>
        <v/>
      </c>
      <c r="AA264" s="110">
        <f>IF(OR(Y264="",V264=0),"",Y264/V264)</f>
        <v/>
      </c>
      <c r="AB264" s="111">
        <f>IF(AA264="","⚪",IF(AA264&gt;1.2,"🔴",IF(AA264&gt;1.1,"🟡","🟢")))</f>
        <v/>
      </c>
      <c r="AD264" s="105" t="n">
        <v>259700</v>
      </c>
      <c r="AE264" s="106" t="n">
        <v>7</v>
      </c>
      <c r="AF264" s="107" t="n"/>
      <c r="AG264" s="108">
        <f>IF(AF264="","",AE264*AF264)</f>
        <v/>
      </c>
      <c r="AH264" s="243">
        <f>IF(AG264="","",AD264-AG264)</f>
        <v/>
      </c>
      <c r="AI264" s="110">
        <f>IF(OR(AG264="",AD264=0),"",AG264/AD264)</f>
        <v/>
      </c>
      <c r="AJ264" s="111">
        <f>IF(AI264="","⚪",IF(AI264&gt;1.2,"🔴",IF(AI264&gt;1.1,"🟡","🟢")))</f>
        <v/>
      </c>
    </row>
    <row r="265" ht="14" customHeight="1" s="176">
      <c r="A265" s="103" t="inlineStr">
        <is>
          <t>Santa Catalina</t>
        </is>
      </c>
      <c r="B265" s="104" t="inlineStr">
        <is>
          <t>eureka 10,6 ha</t>
        </is>
      </c>
      <c r="C265" s="104" t="inlineStr">
        <is>
          <t>1- M.O. directa</t>
        </is>
      </c>
      <c r="D265" s="104" t="inlineStr">
        <is>
          <t>3- Selección</t>
        </is>
      </c>
      <c r="E265" s="104" t="inlineStr">
        <is>
          <t>trato</t>
        </is>
      </c>
      <c r="F265" s="105" t="n">
        <v>667800</v>
      </c>
      <c r="G265" s="106" t="n">
        <v>18</v>
      </c>
      <c r="H265" s="107" t="n"/>
      <c r="I265" s="108">
        <f>IF(H265="","",G265*H265)</f>
        <v/>
      </c>
      <c r="J265" s="243">
        <f>IF(I265="","",F265-I265)</f>
        <v/>
      </c>
      <c r="K265" s="110">
        <f>IF(OR(I265="",F265=0),"",I265/F265)</f>
        <v/>
      </c>
      <c r="L265" s="111">
        <f>IF(K265="","⚪",IF(K265&gt;1.2,"🔴",IF(K265&gt;1.1,"🟡","🟢")))</f>
        <v/>
      </c>
      <c r="N265" s="105" t="n">
        <v>667800</v>
      </c>
      <c r="O265" s="106" t="n">
        <v>18</v>
      </c>
      <c r="P265" s="107" t="n"/>
      <c r="Q265" s="108">
        <f>IF(P265="","",O265*P265)</f>
        <v/>
      </c>
      <c r="R265" s="243">
        <f>IF(Q265="","",N265-Q265)</f>
        <v/>
      </c>
      <c r="S265" s="110">
        <f>IF(OR(Q265="",N265=0),"",Q265/N265)</f>
        <v/>
      </c>
      <c r="T265" s="111">
        <f>IF(S265="","⚪",IF(S265&gt;1.2,"🔴",IF(S265&gt;1.1,"🟡","🟢")))</f>
        <v/>
      </c>
      <c r="V265" s="105" t="n">
        <v>667800</v>
      </c>
      <c r="W265" s="106" t="n">
        <v>18</v>
      </c>
      <c r="X265" s="107" t="n"/>
      <c r="Y265" s="108">
        <f>IF(X265="","",W265*X265)</f>
        <v/>
      </c>
      <c r="Z265" s="243">
        <f>IF(Y265="","",V265-Y265)</f>
        <v/>
      </c>
      <c r="AA265" s="110">
        <f>IF(OR(Y265="",V265=0),"",Y265/V265)</f>
        <v/>
      </c>
      <c r="AB265" s="111">
        <f>IF(AA265="","⚪",IF(AA265&gt;1.2,"🔴",IF(AA265&gt;1.1,"🟡","🟢")))</f>
        <v/>
      </c>
      <c r="AD265" s="105" t="n">
        <v>667800</v>
      </c>
      <c r="AE265" s="106" t="n">
        <v>18</v>
      </c>
      <c r="AF265" s="107" t="n"/>
      <c r="AG265" s="108">
        <f>IF(AF265="","",AE265*AF265)</f>
        <v/>
      </c>
      <c r="AH265" s="243">
        <f>IF(AG265="","",AD265-AG265)</f>
        <v/>
      </c>
      <c r="AI265" s="110">
        <f>IF(OR(AG265="",AD265=0),"",AG265/AD265)</f>
        <v/>
      </c>
      <c r="AJ265" s="111">
        <f>IF(AI265="","⚪",IF(AI265&gt;1.2,"🔴",IF(AI265&gt;1.1,"🟡","🟢")))</f>
        <v/>
      </c>
    </row>
    <row r="266" ht="14" customHeight="1" s="176">
      <c r="A266" s="112" t="inlineStr">
        <is>
          <t>Santa Catalina</t>
        </is>
      </c>
      <c r="B266" s="113" t="inlineStr">
        <is>
          <t>eureka 10,6 ha</t>
        </is>
      </c>
      <c r="C266" s="113" t="inlineStr">
        <is>
          <t>1- M.O. directa</t>
        </is>
      </c>
      <c r="D266" s="113" t="inlineStr">
        <is>
          <t>3- Tractorista cosecha</t>
        </is>
      </c>
      <c r="E266" s="113" t="inlineStr">
        <is>
          <t>día</t>
        </is>
      </c>
      <c r="F266" s="105" t="n">
        <v>110854.8</v>
      </c>
      <c r="G266" s="106" t="n">
        <v>3</v>
      </c>
      <c r="H266" s="107" t="n"/>
      <c r="I266" s="108">
        <f>IF(H266="","",G266*H266)</f>
        <v/>
      </c>
      <c r="J266" s="243">
        <f>IF(I266="","",F266-I266)</f>
        <v/>
      </c>
      <c r="K266" s="110">
        <f>IF(OR(I266="",F266=0),"",I266/F266)</f>
        <v/>
      </c>
      <c r="L266" s="111">
        <f>IF(K266="","⚪",IF(K266&gt;1.2,"🔴",IF(K266&gt;1.1,"🟡","🟢")))</f>
        <v/>
      </c>
      <c r="N266" s="105" t="n">
        <v>110854.8</v>
      </c>
      <c r="O266" s="106" t="n">
        <v>3</v>
      </c>
      <c r="P266" s="107" t="n"/>
      <c r="Q266" s="108">
        <f>IF(P266="","",O266*P266)</f>
        <v/>
      </c>
      <c r="R266" s="243">
        <f>IF(Q266="","",N266-Q266)</f>
        <v/>
      </c>
      <c r="S266" s="110">
        <f>IF(OR(Q266="",N266=0),"",Q266/N266)</f>
        <v/>
      </c>
      <c r="T266" s="111">
        <f>IF(S266="","⚪",IF(S266&gt;1.2,"🔴",IF(S266&gt;1.1,"🟡","🟢")))</f>
        <v/>
      </c>
      <c r="V266" s="105" t="n">
        <v>110854.8</v>
      </c>
      <c r="W266" s="106" t="n">
        <v>3</v>
      </c>
      <c r="X266" s="107" t="n"/>
      <c r="Y266" s="108">
        <f>IF(X266="","",W266*X266)</f>
        <v/>
      </c>
      <c r="Z266" s="243">
        <f>IF(Y266="","",V266-Y266)</f>
        <v/>
      </c>
      <c r="AA266" s="110">
        <f>IF(OR(Y266="",V266=0),"",Y266/V266)</f>
        <v/>
      </c>
      <c r="AB266" s="111">
        <f>IF(AA266="","⚪",IF(AA266&gt;1.2,"🔴",IF(AA266&gt;1.1,"🟡","🟢")))</f>
        <v/>
      </c>
      <c r="AD266" s="105" t="n">
        <v>110854.8</v>
      </c>
      <c r="AE266" s="106" t="n">
        <v>3</v>
      </c>
      <c r="AF266" s="107" t="n"/>
      <c r="AG266" s="108">
        <f>IF(AF266="","",AE266*AF266)</f>
        <v/>
      </c>
      <c r="AH266" s="243">
        <f>IF(AG266="","",AD266-AG266)</f>
        <v/>
      </c>
      <c r="AI266" s="110">
        <f>IF(OR(AG266="",AD266=0),"",AG266/AD266)</f>
        <v/>
      </c>
      <c r="AJ266" s="111">
        <f>IF(AI266="","⚪",IF(AI266&gt;1.2,"🔴",IF(AI266&gt;1.1,"🟡","🟢")))</f>
        <v/>
      </c>
    </row>
    <row r="267" ht="14" customHeight="1" s="176">
      <c r="A267" s="103" t="inlineStr">
        <is>
          <t>Santa Catalina</t>
        </is>
      </c>
      <c r="B267" s="104" t="inlineStr">
        <is>
          <t>eureka 10,6 ha</t>
        </is>
      </c>
      <c r="C267" s="104" t="inlineStr">
        <is>
          <t>1- M.O. directa</t>
        </is>
      </c>
      <c r="D267" s="104" t="inlineStr">
        <is>
          <t>4- Grua</t>
        </is>
      </c>
      <c r="E267" s="104" t="inlineStr">
        <is>
          <t>día</t>
        </is>
      </c>
      <c r="F267" s="105" t="n">
        <v>55427.4</v>
      </c>
      <c r="G267" s="106" t="n">
        <v>1.5</v>
      </c>
      <c r="H267" s="107" t="n"/>
      <c r="I267" s="108">
        <f>IF(H267="","",G267*H267)</f>
        <v/>
      </c>
      <c r="J267" s="243">
        <f>IF(I267="","",F267-I267)</f>
        <v/>
      </c>
      <c r="K267" s="110">
        <f>IF(OR(I267="",F267=0),"",I267/F267)</f>
        <v/>
      </c>
      <c r="L267" s="111">
        <f>IF(K267="","⚪",IF(K267&gt;1.2,"🔴",IF(K267&gt;1.1,"🟡","🟢")))</f>
        <v/>
      </c>
      <c r="N267" s="105" t="n">
        <v>55427.4</v>
      </c>
      <c r="O267" s="106" t="n">
        <v>1.5</v>
      </c>
      <c r="P267" s="107" t="n"/>
      <c r="Q267" s="108">
        <f>IF(P267="","",O267*P267)</f>
        <v/>
      </c>
      <c r="R267" s="243">
        <f>IF(Q267="","",N267-Q267)</f>
        <v/>
      </c>
      <c r="S267" s="110">
        <f>IF(OR(Q267="",N267=0),"",Q267/N267)</f>
        <v/>
      </c>
      <c r="T267" s="111">
        <f>IF(S267="","⚪",IF(S267&gt;1.2,"🔴",IF(S267&gt;1.1,"🟡","🟢")))</f>
        <v/>
      </c>
      <c r="V267" s="105" t="n">
        <v>55427.4</v>
      </c>
      <c r="W267" s="106" t="n">
        <v>1.5</v>
      </c>
      <c r="X267" s="107" t="n"/>
      <c r="Y267" s="108">
        <f>IF(X267="","",W267*X267)</f>
        <v/>
      </c>
      <c r="Z267" s="243">
        <f>IF(Y267="","",V267-Y267)</f>
        <v/>
      </c>
      <c r="AA267" s="110">
        <f>IF(OR(Y267="",V267=0),"",Y267/V267)</f>
        <v/>
      </c>
      <c r="AB267" s="111">
        <f>IF(AA267="","⚪",IF(AA267&gt;1.2,"🔴",IF(AA267&gt;1.1,"🟡","🟢")))</f>
        <v/>
      </c>
      <c r="AD267" s="105" t="n">
        <v>55427.4</v>
      </c>
      <c r="AE267" s="106" t="n">
        <v>1.5</v>
      </c>
      <c r="AF267" s="107" t="n"/>
      <c r="AG267" s="108">
        <f>IF(AF267="","",AE267*AF267)</f>
        <v/>
      </c>
      <c r="AH267" s="243">
        <f>IF(AG267="","",AD267-AG267)</f>
        <v/>
      </c>
      <c r="AI267" s="110">
        <f>IF(OR(AG267="",AD267=0),"",AG267/AD267)</f>
        <v/>
      </c>
      <c r="AJ267" s="111">
        <f>IF(AI267="","⚪",IF(AI267&gt;1.2,"🔴",IF(AI267&gt;1.1,"🟡","🟢")))</f>
        <v/>
      </c>
    </row>
    <row r="268" ht="14" customHeight="1" s="176">
      <c r="A268" s="112" t="inlineStr">
        <is>
          <t>Santa Catalina</t>
        </is>
      </c>
      <c r="B268" s="113" t="inlineStr">
        <is>
          <t>eureka 10,6 ha</t>
        </is>
      </c>
      <c r="C268" s="113" t="inlineStr">
        <is>
          <t>1- M.O. directa</t>
        </is>
      </c>
      <c r="D268" s="113" t="inlineStr">
        <is>
          <t>5- Control de malezas mecánico</t>
        </is>
      </c>
      <c r="E268" s="113" t="inlineStr">
        <is>
          <t>trato</t>
        </is>
      </c>
      <c r="F268" s="105" t="n">
        <v>44202</v>
      </c>
      <c r="G268" s="106" t="n">
        <v>100</v>
      </c>
      <c r="H268" s="107" t="n"/>
      <c r="I268" s="108">
        <f>IF(H268="","",G268*H268)</f>
        <v/>
      </c>
      <c r="J268" s="243">
        <f>IF(I268="","",F268-I268)</f>
        <v/>
      </c>
      <c r="K268" s="110">
        <f>IF(OR(I268="",F268=0),"",I268/F268)</f>
        <v/>
      </c>
      <c r="L268" s="111">
        <f>IF(K268="","⚪",IF(K268&gt;1.2,"🔴",IF(K268&gt;1.1,"🟡","🟢")))</f>
        <v/>
      </c>
      <c r="N268" s="105" t="n">
        <v>44202</v>
      </c>
      <c r="O268" s="106" t="n">
        <v>100</v>
      </c>
      <c r="P268" s="107" t="n"/>
      <c r="Q268" s="108">
        <f>IF(P268="","",O268*P268)</f>
        <v/>
      </c>
      <c r="R268" s="243">
        <f>IF(Q268="","",N268-Q268)</f>
        <v/>
      </c>
      <c r="S268" s="110">
        <f>IF(OR(Q268="",N268=0),"",Q268/N268)</f>
        <v/>
      </c>
      <c r="T268" s="111">
        <f>IF(S268="","⚪",IF(S268&gt;1.2,"🔴",IF(S268&gt;1.1,"🟡","🟢")))</f>
        <v/>
      </c>
      <c r="V268" s="105" t="n">
        <v>44202</v>
      </c>
      <c r="W268" s="106" t="n">
        <v>100</v>
      </c>
      <c r="X268" s="107" t="n"/>
      <c r="Y268" s="108">
        <f>IF(X268="","",W268*X268)</f>
        <v/>
      </c>
      <c r="Z268" s="243">
        <f>IF(Y268="","",V268-Y268)</f>
        <v/>
      </c>
      <c r="AA268" s="110">
        <f>IF(OR(Y268="",V268=0),"",Y268/V268)</f>
        <v/>
      </c>
      <c r="AB268" s="111">
        <f>IF(AA268="","⚪",IF(AA268&gt;1.2,"🔴",IF(AA268&gt;1.1,"🟡","🟢")))</f>
        <v/>
      </c>
      <c r="AD268" s="105" t="n">
        <v>44202</v>
      </c>
      <c r="AE268" s="106" t="n">
        <v>100</v>
      </c>
      <c r="AF268" s="107" t="n"/>
      <c r="AG268" s="108">
        <f>IF(AF268="","",AE268*AF268)</f>
        <v/>
      </c>
      <c r="AH268" s="243">
        <f>IF(AG268="","",AD268-AG268)</f>
        <v/>
      </c>
      <c r="AI268" s="110">
        <f>IF(OR(AG268="",AD268=0),"",AG268/AD268)</f>
        <v/>
      </c>
      <c r="AJ268" s="111">
        <f>IF(AI268="","⚪",IF(AI268&gt;1.2,"🔴",IF(AI268&gt;1.1,"🟡","🟢")))</f>
        <v/>
      </c>
    </row>
    <row r="269" ht="14" customHeight="1" s="176">
      <c r="A269" s="103" t="inlineStr">
        <is>
          <t>Santa Catalina</t>
        </is>
      </c>
      <c r="B269" s="104" t="inlineStr">
        <is>
          <t>eureka 10,6 ha</t>
        </is>
      </c>
      <c r="C269" s="104" t="inlineStr">
        <is>
          <t>1- M.O. directa</t>
        </is>
      </c>
      <c r="D269" s="104" t="inlineStr">
        <is>
          <t>6- Control de malezas químico</t>
        </is>
      </c>
      <c r="E269" s="104" t="inlineStr">
        <is>
          <t>día</t>
        </is>
      </c>
      <c r="F269" s="105" t="n">
        <v>115275</v>
      </c>
      <c r="G269" s="106" t="n">
        <v>43500</v>
      </c>
      <c r="H269" s="107" t="n"/>
      <c r="I269" s="108">
        <f>IF(H269="","",G269*H269)</f>
        <v/>
      </c>
      <c r="J269" s="243">
        <f>IF(I269="","",F269-I269)</f>
        <v/>
      </c>
      <c r="K269" s="110">
        <f>IF(OR(I269="",F269=0),"",I269/F269)</f>
        <v/>
      </c>
      <c r="L269" s="111">
        <f>IF(K269="","⚪",IF(K269&gt;1.2,"🔴",IF(K269&gt;1.1,"🟡","🟢")))</f>
        <v/>
      </c>
      <c r="N269" s="105" t="n">
        <v>115275</v>
      </c>
      <c r="O269" s="106" t="n">
        <v>43500</v>
      </c>
      <c r="P269" s="107" t="n"/>
      <c r="Q269" s="108">
        <f>IF(P269="","",O269*P269)</f>
        <v/>
      </c>
      <c r="R269" s="243">
        <f>IF(Q269="","",N269-Q269)</f>
        <v/>
      </c>
      <c r="S269" s="110">
        <f>IF(OR(Q269="",N269=0),"",Q269/N269)</f>
        <v/>
      </c>
      <c r="T269" s="111">
        <f>IF(S269="","⚪",IF(S269&gt;1.2,"🔴",IF(S269&gt;1.1,"🟡","🟢")))</f>
        <v/>
      </c>
      <c r="V269" s="105" t="n">
        <v>115275</v>
      </c>
      <c r="W269" s="106" t="n">
        <v>43500</v>
      </c>
      <c r="X269" s="107" t="n"/>
      <c r="Y269" s="108">
        <f>IF(X269="","",W269*X269)</f>
        <v/>
      </c>
      <c r="Z269" s="243">
        <f>IF(Y269="","",V269-Y269)</f>
        <v/>
      </c>
      <c r="AA269" s="110">
        <f>IF(OR(Y269="",V269=0),"",Y269/V269)</f>
        <v/>
      </c>
      <c r="AB269" s="111">
        <f>IF(AA269="","⚪",IF(AA269&gt;1.2,"🔴",IF(AA269&gt;1.1,"🟡","🟢")))</f>
        <v/>
      </c>
      <c r="AD269" s="105" t="n">
        <v>115275</v>
      </c>
      <c r="AE269" s="106" t="n">
        <v>43500</v>
      </c>
      <c r="AF269" s="107" t="n"/>
      <c r="AG269" s="108">
        <f>IF(AF269="","",AE269*AF269)</f>
        <v/>
      </c>
      <c r="AH269" s="243">
        <f>IF(AG269="","",AD269-AG269)</f>
        <v/>
      </c>
      <c r="AI269" s="110">
        <f>IF(OR(AG269="",AD269=0),"",AG269/AD269)</f>
        <v/>
      </c>
      <c r="AJ269" s="111">
        <f>IF(AI269="","⚪",IF(AI269&gt;1.2,"🔴",IF(AI269&gt;1.1,"🟡","🟢")))</f>
        <v/>
      </c>
    </row>
    <row r="270" ht="14" customHeight="1" s="176">
      <c r="A270" s="112" t="inlineStr">
        <is>
          <t>Santa Catalina</t>
        </is>
      </c>
      <c r="B270" s="113" t="inlineStr">
        <is>
          <t>eureka 10,6 ha</t>
        </is>
      </c>
      <c r="C270" s="113" t="inlineStr">
        <is>
          <t>1- M.O. directa</t>
        </is>
      </c>
      <c r="D270" s="113" t="inlineStr">
        <is>
          <t>7,1- TRACTORISTA</t>
        </is>
      </c>
      <c r="E270" s="113" t="inlineStr">
        <is>
          <t>día</t>
        </is>
      </c>
      <c r="F270" s="105" t="n">
        <v>201319.44</v>
      </c>
      <c r="G270" s="106" t="n">
        <v>38000</v>
      </c>
      <c r="H270" s="107" t="n"/>
      <c r="I270" s="108">
        <f>IF(H270="","",G270*H270)</f>
        <v/>
      </c>
      <c r="J270" s="243">
        <f>IF(I270="","",F270-I270)</f>
        <v/>
      </c>
      <c r="K270" s="110">
        <f>IF(OR(I270="",F270=0),"",I270/F270)</f>
        <v/>
      </c>
      <c r="L270" s="111">
        <f>IF(K270="","⚪",IF(K270&gt;1.2,"🔴",IF(K270&gt;1.1,"🟡","🟢")))</f>
        <v/>
      </c>
      <c r="N270" s="105" t="n">
        <v>201319.44</v>
      </c>
      <c r="O270" s="106" t="n">
        <v>38000</v>
      </c>
      <c r="P270" s="107" t="n"/>
      <c r="Q270" s="108">
        <f>IF(P270="","",O270*P270)</f>
        <v/>
      </c>
      <c r="R270" s="243">
        <f>IF(Q270="","",N270-Q270)</f>
        <v/>
      </c>
      <c r="S270" s="110">
        <f>IF(OR(Q270="",N270=0),"",Q270/N270)</f>
        <v/>
      </c>
      <c r="T270" s="111">
        <f>IF(S270="","⚪",IF(S270&gt;1.2,"🔴",IF(S270&gt;1.1,"🟡","🟢")))</f>
        <v/>
      </c>
      <c r="V270" s="105" t="n">
        <v>201319.44</v>
      </c>
      <c r="W270" s="106" t="n">
        <v>38000</v>
      </c>
      <c r="X270" s="107" t="n"/>
      <c r="Y270" s="108">
        <f>IF(X270="","",W270*X270)</f>
        <v/>
      </c>
      <c r="Z270" s="243">
        <f>IF(Y270="","",V270-Y270)</f>
        <v/>
      </c>
      <c r="AA270" s="110">
        <f>IF(OR(Y270="",V270=0),"",Y270/V270)</f>
        <v/>
      </c>
      <c r="AB270" s="111">
        <f>IF(AA270="","⚪",IF(AA270&gt;1.2,"🔴",IF(AA270&gt;1.1,"🟡","🟢")))</f>
        <v/>
      </c>
      <c r="AD270" s="105" t="n">
        <v>201319.44</v>
      </c>
      <c r="AE270" s="106" t="n">
        <v>38000</v>
      </c>
      <c r="AF270" s="107" t="n"/>
      <c r="AG270" s="108">
        <f>IF(AF270="","",AE270*AF270)</f>
        <v/>
      </c>
      <c r="AH270" s="243">
        <f>IF(AG270="","",AD270-AG270)</f>
        <v/>
      </c>
      <c r="AI270" s="110">
        <f>IF(OR(AG270="",AD270=0),"",AG270/AD270)</f>
        <v/>
      </c>
      <c r="AJ270" s="111">
        <f>IF(AI270="","⚪",IF(AI270&gt;1.2,"🔴",IF(AI270&gt;1.1,"🟡","🟢")))</f>
        <v/>
      </c>
    </row>
    <row r="271" ht="14" customHeight="1" s="176">
      <c r="A271" s="103" t="inlineStr">
        <is>
          <t>Santa Catalina</t>
        </is>
      </c>
      <c r="B271" s="104" t="inlineStr">
        <is>
          <t>eureka 10,6 ha</t>
        </is>
      </c>
      <c r="C271" s="104" t="inlineStr">
        <is>
          <t>1- M.O. directa</t>
        </is>
      </c>
      <c r="D271" s="104" t="inlineStr">
        <is>
          <t>7- Acordonar sarmiento</t>
        </is>
      </c>
      <c r="E271" s="104" t="inlineStr">
        <is>
          <t>trato</t>
        </is>
      </c>
      <c r="F271" s="105" t="n">
        <v>15470.7</v>
      </c>
      <c r="G271" s="106" t="n">
        <v>70</v>
      </c>
      <c r="H271" s="107" t="n"/>
      <c r="I271" s="108">
        <f>IF(H271="","",G271*H271)</f>
        <v/>
      </c>
      <c r="J271" s="243">
        <f>IF(I271="","",F271-I271)</f>
        <v/>
      </c>
      <c r="K271" s="110">
        <f>IF(OR(I271="",F271=0),"",I271/F271)</f>
        <v/>
      </c>
      <c r="L271" s="111">
        <f>IF(K271="","⚪",IF(K271&gt;1.2,"🔴",IF(K271&gt;1.1,"🟡","🟢")))</f>
        <v/>
      </c>
      <c r="N271" s="105" t="n">
        <v>15470.7</v>
      </c>
      <c r="O271" s="106" t="n">
        <v>70</v>
      </c>
      <c r="P271" s="107" t="n"/>
      <c r="Q271" s="108">
        <f>IF(P271="","",O271*P271)</f>
        <v/>
      </c>
      <c r="R271" s="243">
        <f>IF(Q271="","",N271-Q271)</f>
        <v/>
      </c>
      <c r="S271" s="110">
        <f>IF(OR(Q271="",N271=0),"",Q271/N271)</f>
        <v/>
      </c>
      <c r="T271" s="111">
        <f>IF(S271="","⚪",IF(S271&gt;1.2,"🔴",IF(S271&gt;1.1,"🟡","🟢")))</f>
        <v/>
      </c>
      <c r="V271" s="105" t="n">
        <v>15470.7</v>
      </c>
      <c r="W271" s="106" t="n">
        <v>70</v>
      </c>
      <c r="X271" s="107" t="n"/>
      <c r="Y271" s="108">
        <f>IF(X271="","",W271*X271)</f>
        <v/>
      </c>
      <c r="Z271" s="243">
        <f>IF(Y271="","",V271-Y271)</f>
        <v/>
      </c>
      <c r="AA271" s="110">
        <f>IF(OR(Y271="",V271=0),"",Y271/V271)</f>
        <v/>
      </c>
      <c r="AB271" s="111">
        <f>IF(AA271="","⚪",IF(AA271&gt;1.2,"🔴",IF(AA271&gt;1.1,"🟡","🟢")))</f>
        <v/>
      </c>
      <c r="AD271" s="105" t="n">
        <v>15470.7</v>
      </c>
      <c r="AE271" s="106" t="n">
        <v>70</v>
      </c>
      <c r="AF271" s="107" t="n"/>
      <c r="AG271" s="108">
        <f>IF(AF271="","",AE271*AF271)</f>
        <v/>
      </c>
      <c r="AH271" s="243">
        <f>IF(AG271="","",AD271-AG271)</f>
        <v/>
      </c>
      <c r="AI271" s="110">
        <f>IF(OR(AG271="",AD271=0),"",AG271/AD271)</f>
        <v/>
      </c>
      <c r="AJ271" s="111">
        <f>IF(AI271="","⚪",IF(AI271&gt;1.2,"🔴",IF(AI271&gt;1.1,"🟡","🟢")))</f>
        <v/>
      </c>
    </row>
    <row r="272" ht="14" customHeight="1" s="176">
      <c r="A272" s="112" t="inlineStr">
        <is>
          <t>Santa Catalina</t>
        </is>
      </c>
      <c r="B272" s="113" t="inlineStr">
        <is>
          <t>eureka 10,6 ha</t>
        </is>
      </c>
      <c r="C272" s="113" t="inlineStr">
        <is>
          <t>2- M.O. indirecta</t>
        </is>
      </c>
      <c r="D272" s="113" t="inlineStr">
        <is>
          <t xml:space="preserve">1- ADM. GENERAL </t>
        </is>
      </c>
      <c r="E272" s="113" t="inlineStr">
        <is>
          <t>día</t>
        </is>
      </c>
      <c r="F272" s="105" t="n">
        <v>352838.808</v>
      </c>
      <c r="G272" s="106" t="n">
        <v>66600</v>
      </c>
      <c r="H272" s="107" t="n"/>
      <c r="I272" s="108">
        <f>IF(H272="","",G272*H272)</f>
        <v/>
      </c>
      <c r="J272" s="243">
        <f>IF(I272="","",F272-I272)</f>
        <v/>
      </c>
      <c r="K272" s="110">
        <f>IF(OR(I272="",F272=0),"",I272/F272)</f>
        <v/>
      </c>
      <c r="L272" s="111">
        <f>IF(K272="","⚪",IF(K272&gt;1.2,"🔴",IF(K272&gt;1.1,"🟡","🟢")))</f>
        <v/>
      </c>
      <c r="N272" s="105" t="n">
        <v>352838.808</v>
      </c>
      <c r="O272" s="106" t="n">
        <v>66600</v>
      </c>
      <c r="P272" s="107" t="n"/>
      <c r="Q272" s="108">
        <f>IF(P272="","",O272*P272)</f>
        <v/>
      </c>
      <c r="R272" s="243">
        <f>IF(Q272="","",N272-Q272)</f>
        <v/>
      </c>
      <c r="S272" s="110">
        <f>IF(OR(Q272="",N272=0),"",Q272/N272)</f>
        <v/>
      </c>
      <c r="T272" s="111">
        <f>IF(S272="","⚪",IF(S272&gt;1.2,"🔴",IF(S272&gt;1.1,"🟡","🟢")))</f>
        <v/>
      </c>
      <c r="V272" s="105" t="n">
        <v>352838.808</v>
      </c>
      <c r="W272" s="106" t="n">
        <v>66600</v>
      </c>
      <c r="X272" s="107" t="n"/>
      <c r="Y272" s="108">
        <f>IF(X272="","",W272*X272)</f>
        <v/>
      </c>
      <c r="Z272" s="243">
        <f>IF(Y272="","",V272-Y272)</f>
        <v/>
      </c>
      <c r="AA272" s="110">
        <f>IF(OR(Y272="",V272=0),"",Y272/V272)</f>
        <v/>
      </c>
      <c r="AB272" s="111">
        <f>IF(AA272="","⚪",IF(AA272&gt;1.2,"🔴",IF(AA272&gt;1.1,"🟡","🟢")))</f>
        <v/>
      </c>
      <c r="AD272" s="105" t="n">
        <v>352838.808</v>
      </c>
      <c r="AE272" s="106" t="n">
        <v>66600</v>
      </c>
      <c r="AF272" s="107" t="n"/>
      <c r="AG272" s="108">
        <f>IF(AF272="","",AE272*AF272)</f>
        <v/>
      </c>
      <c r="AH272" s="243">
        <f>IF(AG272="","",AD272-AG272)</f>
        <v/>
      </c>
      <c r="AI272" s="110">
        <f>IF(OR(AG272="",AD272=0),"",AG272/AD272)</f>
        <v/>
      </c>
      <c r="AJ272" s="111">
        <f>IF(AI272="","⚪",IF(AI272&gt;1.2,"🔴",IF(AI272&gt;1.1,"🟡","🟢")))</f>
        <v/>
      </c>
    </row>
    <row r="273" ht="14" customHeight="1" s="176">
      <c r="A273" s="103" t="inlineStr">
        <is>
          <t>Santa Catalina</t>
        </is>
      </c>
      <c r="B273" s="104" t="inlineStr">
        <is>
          <t>eureka 10,6 ha</t>
        </is>
      </c>
      <c r="C273" s="104" t="inlineStr">
        <is>
          <t>2- M.O. indirecta</t>
        </is>
      </c>
      <c r="D273" s="104" t="inlineStr">
        <is>
          <t>2,1- JEFE DE CAMPO</t>
        </is>
      </c>
      <c r="E273" s="104" t="inlineStr">
        <is>
          <t>día</t>
        </is>
      </c>
      <c r="F273" s="105" t="n">
        <v>156155.013</v>
      </c>
      <c r="G273" s="106" t="n">
        <v>29475</v>
      </c>
      <c r="H273" s="107" t="n"/>
      <c r="I273" s="108">
        <f>IF(H273="","",G273*H273)</f>
        <v/>
      </c>
      <c r="J273" s="243">
        <f>IF(I273="","",F273-I273)</f>
        <v/>
      </c>
      <c r="K273" s="110">
        <f>IF(OR(I273="",F273=0),"",I273/F273)</f>
        <v/>
      </c>
      <c r="L273" s="111">
        <f>IF(K273="","⚪",IF(K273&gt;1.2,"🔴",IF(K273&gt;1.1,"🟡","🟢")))</f>
        <v/>
      </c>
      <c r="N273" s="105" t="n">
        <v>156155.013</v>
      </c>
      <c r="O273" s="106" t="n">
        <v>29475</v>
      </c>
      <c r="P273" s="107" t="n"/>
      <c r="Q273" s="108">
        <f>IF(P273="","",O273*P273)</f>
        <v/>
      </c>
      <c r="R273" s="243">
        <f>IF(Q273="","",N273-Q273)</f>
        <v/>
      </c>
      <c r="S273" s="110">
        <f>IF(OR(Q273="",N273=0),"",Q273/N273)</f>
        <v/>
      </c>
      <c r="T273" s="111">
        <f>IF(S273="","⚪",IF(S273&gt;1.2,"🔴",IF(S273&gt;1.1,"🟡","🟢")))</f>
        <v/>
      </c>
      <c r="V273" s="105" t="n">
        <v>156155.013</v>
      </c>
      <c r="W273" s="106" t="n">
        <v>29475</v>
      </c>
      <c r="X273" s="107" t="n"/>
      <c r="Y273" s="108">
        <f>IF(X273="","",W273*X273)</f>
        <v/>
      </c>
      <c r="Z273" s="243">
        <f>IF(Y273="","",V273-Y273)</f>
        <v/>
      </c>
      <c r="AA273" s="110">
        <f>IF(OR(Y273="",V273=0),"",Y273/V273)</f>
        <v/>
      </c>
      <c r="AB273" s="111">
        <f>IF(AA273="","⚪",IF(AA273&gt;1.2,"🔴",IF(AA273&gt;1.1,"🟡","🟢")))</f>
        <v/>
      </c>
      <c r="AD273" s="105" t="n">
        <v>156155.013</v>
      </c>
      <c r="AE273" s="106" t="n">
        <v>29475</v>
      </c>
      <c r="AF273" s="107" t="n"/>
      <c r="AG273" s="108">
        <f>IF(AF273="","",AE273*AF273)</f>
        <v/>
      </c>
      <c r="AH273" s="243">
        <f>IF(AG273="","",AD273-AG273)</f>
        <v/>
      </c>
      <c r="AI273" s="110">
        <f>IF(OR(AG273="",AD273=0),"",AG273/AD273)</f>
        <v/>
      </c>
      <c r="AJ273" s="111">
        <f>IF(AI273="","⚪",IF(AI273&gt;1.2,"🔴",IF(AI273&gt;1.1,"🟡","🟢")))</f>
        <v/>
      </c>
    </row>
    <row r="274" ht="14" customHeight="1" s="176">
      <c r="A274" s="112" t="inlineStr">
        <is>
          <t>Santa Catalina</t>
        </is>
      </c>
      <c r="B274" s="113" t="inlineStr">
        <is>
          <t>eureka 10,6 ha</t>
        </is>
      </c>
      <c r="C274" s="113" t="inlineStr">
        <is>
          <t>2- M.O. indirecta</t>
        </is>
      </c>
      <c r="D274" s="113" t="inlineStr">
        <is>
          <t>2- ADMINISTRACION</t>
        </is>
      </c>
      <c r="E274" s="113" t="inlineStr">
        <is>
          <t>día</t>
        </is>
      </c>
      <c r="F274" s="105" t="n">
        <v>42912.828</v>
      </c>
      <c r="G274" s="106" t="n">
        <v>8100</v>
      </c>
      <c r="H274" s="107" t="n"/>
      <c r="I274" s="108">
        <f>IF(H274="","",G274*H274)</f>
        <v/>
      </c>
      <c r="J274" s="243">
        <f>IF(I274="","",F274-I274)</f>
        <v/>
      </c>
      <c r="K274" s="110">
        <f>IF(OR(I274="",F274=0),"",I274/F274)</f>
        <v/>
      </c>
      <c r="L274" s="111">
        <f>IF(K274="","⚪",IF(K274&gt;1.2,"🔴",IF(K274&gt;1.1,"🟡","🟢")))</f>
        <v/>
      </c>
      <c r="N274" s="105" t="n">
        <v>42912.828</v>
      </c>
      <c r="O274" s="106" t="n">
        <v>8100</v>
      </c>
      <c r="P274" s="107" t="n"/>
      <c r="Q274" s="108">
        <f>IF(P274="","",O274*P274)</f>
        <v/>
      </c>
      <c r="R274" s="243">
        <f>IF(Q274="","",N274-Q274)</f>
        <v/>
      </c>
      <c r="S274" s="110">
        <f>IF(OR(Q274="",N274=0),"",Q274/N274)</f>
        <v/>
      </c>
      <c r="T274" s="111">
        <f>IF(S274="","⚪",IF(S274&gt;1.2,"🔴",IF(S274&gt;1.1,"🟡","🟢")))</f>
        <v/>
      </c>
      <c r="V274" s="105" t="n">
        <v>42912.828</v>
      </c>
      <c r="W274" s="106" t="n">
        <v>8100</v>
      </c>
      <c r="X274" s="107" t="n"/>
      <c r="Y274" s="108">
        <f>IF(X274="","",W274*X274)</f>
        <v/>
      </c>
      <c r="Z274" s="243">
        <f>IF(Y274="","",V274-Y274)</f>
        <v/>
      </c>
      <c r="AA274" s="110">
        <f>IF(OR(Y274="",V274=0),"",Y274/V274)</f>
        <v/>
      </c>
      <c r="AB274" s="111">
        <f>IF(AA274="","⚪",IF(AA274&gt;1.2,"🔴",IF(AA274&gt;1.1,"🟡","🟢")))</f>
        <v/>
      </c>
      <c r="AD274" s="105" t="n">
        <v>42912.828</v>
      </c>
      <c r="AE274" s="106" t="n">
        <v>8100</v>
      </c>
      <c r="AF274" s="107" t="n"/>
      <c r="AG274" s="108">
        <f>IF(AF274="","",AE274*AF274)</f>
        <v/>
      </c>
      <c r="AH274" s="243">
        <f>IF(AG274="","",AD274-AG274)</f>
        <v/>
      </c>
      <c r="AI274" s="110">
        <f>IF(OR(AG274="",AD274=0),"",AG274/AD274)</f>
        <v/>
      </c>
      <c r="AJ274" s="111">
        <f>IF(AI274="","⚪",IF(AI274&gt;1.2,"🔴",IF(AI274&gt;1.1,"🟡","🟢")))</f>
        <v/>
      </c>
    </row>
    <row r="275" ht="14" customHeight="1" s="176">
      <c r="A275" s="103" t="inlineStr">
        <is>
          <t>Santa Catalina</t>
        </is>
      </c>
      <c r="B275" s="104" t="inlineStr">
        <is>
          <t>eureka 10,6 ha</t>
        </is>
      </c>
      <c r="C275" s="104" t="inlineStr">
        <is>
          <t>2- M.O. indirecta</t>
        </is>
      </c>
      <c r="D275" s="104" t="inlineStr">
        <is>
          <t>3,1-  ENCARGADO DE RIEGO</t>
        </is>
      </c>
      <c r="E275" s="104" t="inlineStr">
        <is>
          <t>día</t>
        </is>
      </c>
      <c r="F275" s="105" t="n">
        <v>236381.25133</v>
      </c>
      <c r="G275" s="106" t="n">
        <v>44618.0833333333</v>
      </c>
      <c r="H275" s="107" t="n"/>
      <c r="I275" s="108">
        <f>IF(H275="","",G275*H275)</f>
        <v/>
      </c>
      <c r="J275" s="243">
        <f>IF(I275="","",F275-I275)</f>
        <v/>
      </c>
      <c r="K275" s="110">
        <f>IF(OR(I275="",F275=0),"",I275/F275)</f>
        <v/>
      </c>
      <c r="L275" s="111">
        <f>IF(K275="","⚪",IF(K275&gt;1.2,"🔴",IF(K275&gt;1.1,"🟡","🟢")))</f>
        <v/>
      </c>
      <c r="N275" s="105" t="n">
        <v>236381.25133</v>
      </c>
      <c r="O275" s="106" t="n">
        <v>44618.0833333333</v>
      </c>
      <c r="P275" s="107" t="n"/>
      <c r="Q275" s="108">
        <f>IF(P275="","",O275*P275)</f>
        <v/>
      </c>
      <c r="R275" s="243">
        <f>IF(Q275="","",N275-Q275)</f>
        <v/>
      </c>
      <c r="S275" s="110">
        <f>IF(OR(Q275="",N275=0),"",Q275/N275)</f>
        <v/>
      </c>
      <c r="T275" s="111">
        <f>IF(S275="","⚪",IF(S275&gt;1.2,"🔴",IF(S275&gt;1.1,"🟡","🟢")))</f>
        <v/>
      </c>
      <c r="V275" s="105" t="n">
        <v>236381.25133</v>
      </c>
      <c r="W275" s="106" t="n">
        <v>44618.0833333333</v>
      </c>
      <c r="X275" s="107" t="n"/>
      <c r="Y275" s="108">
        <f>IF(X275="","",W275*X275)</f>
        <v/>
      </c>
      <c r="Z275" s="243">
        <f>IF(Y275="","",V275-Y275)</f>
        <v/>
      </c>
      <c r="AA275" s="110">
        <f>IF(OR(Y275="",V275=0),"",Y275/V275)</f>
        <v/>
      </c>
      <c r="AB275" s="111">
        <f>IF(AA275="","⚪",IF(AA275&gt;1.2,"🔴",IF(AA275&gt;1.1,"🟡","🟢")))</f>
        <v/>
      </c>
      <c r="AD275" s="105" t="n">
        <v>236381.25133</v>
      </c>
      <c r="AE275" s="106" t="n">
        <v>44618.0833333333</v>
      </c>
      <c r="AF275" s="107" t="n"/>
      <c r="AG275" s="108">
        <f>IF(AF275="","",AE275*AF275)</f>
        <v/>
      </c>
      <c r="AH275" s="243">
        <f>IF(AG275="","",AD275-AG275)</f>
        <v/>
      </c>
      <c r="AI275" s="110">
        <f>IF(OR(AG275="",AD275=0),"",AG275/AD275)</f>
        <v/>
      </c>
      <c r="AJ275" s="111">
        <f>IF(AI275="","⚪",IF(AI275&gt;1.2,"🔴",IF(AI275&gt;1.1,"🟡","🟢")))</f>
        <v/>
      </c>
    </row>
    <row r="276" ht="14" customHeight="1" s="176">
      <c r="A276" s="112" t="inlineStr">
        <is>
          <t>Santa Catalina</t>
        </is>
      </c>
      <c r="B276" s="113" t="inlineStr">
        <is>
          <t>eureka 10,6 ha</t>
        </is>
      </c>
      <c r="C276" s="113" t="inlineStr">
        <is>
          <t>2- M.O. indirecta</t>
        </is>
      </c>
      <c r="D276" s="113" t="inlineStr">
        <is>
          <t>3- ADQUIS. Y BODEGA</t>
        </is>
      </c>
      <c r="E276" s="113" t="inlineStr">
        <is>
          <t>día</t>
        </is>
      </c>
      <c r="F276" s="105" t="n">
        <v>42912.828</v>
      </c>
      <c r="G276" s="106" t="n">
        <v>8100</v>
      </c>
      <c r="H276" s="107" t="n"/>
      <c r="I276" s="108">
        <f>IF(H276="","",G276*H276)</f>
        <v/>
      </c>
      <c r="J276" s="243">
        <f>IF(I276="","",F276-I276)</f>
        <v/>
      </c>
      <c r="K276" s="110">
        <f>IF(OR(I276="",F276=0),"",I276/F276)</f>
        <v/>
      </c>
      <c r="L276" s="111">
        <f>IF(K276="","⚪",IF(K276&gt;1.2,"🔴",IF(K276&gt;1.1,"🟡","🟢")))</f>
        <v/>
      </c>
      <c r="N276" s="105" t="n">
        <v>42912.828</v>
      </c>
      <c r="O276" s="106" t="n">
        <v>8100</v>
      </c>
      <c r="P276" s="107" t="n"/>
      <c r="Q276" s="108">
        <f>IF(P276="","",O276*P276)</f>
        <v/>
      </c>
      <c r="R276" s="243">
        <f>IF(Q276="","",N276-Q276)</f>
        <v/>
      </c>
      <c r="S276" s="110">
        <f>IF(OR(Q276="",N276=0),"",Q276/N276)</f>
        <v/>
      </c>
      <c r="T276" s="111">
        <f>IF(S276="","⚪",IF(S276&gt;1.2,"🔴",IF(S276&gt;1.1,"🟡","🟢")))</f>
        <v/>
      </c>
      <c r="V276" s="105" t="n">
        <v>42912.828</v>
      </c>
      <c r="W276" s="106" t="n">
        <v>8100</v>
      </c>
      <c r="X276" s="107" t="n"/>
      <c r="Y276" s="108">
        <f>IF(X276="","",W276*X276)</f>
        <v/>
      </c>
      <c r="Z276" s="243">
        <f>IF(Y276="","",V276-Y276)</f>
        <v/>
      </c>
      <c r="AA276" s="110">
        <f>IF(OR(Y276="",V276=0),"",Y276/V276)</f>
        <v/>
      </c>
      <c r="AB276" s="111">
        <f>IF(AA276="","⚪",IF(AA276&gt;1.2,"🔴",IF(AA276&gt;1.1,"🟡","🟢")))</f>
        <v/>
      </c>
      <c r="AD276" s="105" t="n">
        <v>42912.828</v>
      </c>
      <c r="AE276" s="106" t="n">
        <v>8100</v>
      </c>
      <c r="AF276" s="107" t="n"/>
      <c r="AG276" s="108">
        <f>IF(AF276="","",AE276*AF276)</f>
        <v/>
      </c>
      <c r="AH276" s="243">
        <f>IF(AG276="","",AD276-AG276)</f>
        <v/>
      </c>
      <c r="AI276" s="110">
        <f>IF(OR(AG276="",AD276=0),"",AG276/AD276)</f>
        <v/>
      </c>
      <c r="AJ276" s="111">
        <f>IF(AI276="","⚪",IF(AI276&gt;1.2,"🔴",IF(AI276&gt;1.1,"🟡","🟢")))</f>
        <v/>
      </c>
    </row>
    <row r="277" ht="14" customHeight="1" s="176">
      <c r="A277" s="103" t="inlineStr">
        <is>
          <t>Santa Catalina</t>
        </is>
      </c>
      <c r="B277" s="104" t="inlineStr">
        <is>
          <t>eureka 10,6 ha</t>
        </is>
      </c>
      <c r="C277" s="104" t="inlineStr">
        <is>
          <t>2- M.O. indirecta</t>
        </is>
      </c>
      <c r="D277" s="104" t="inlineStr">
        <is>
          <t>4,1- ENCARGADO MANTENCIONES</t>
        </is>
      </c>
      <c r="E277" s="104" t="inlineStr">
        <is>
          <t>día</t>
        </is>
      </c>
      <c r="F277" s="105" t="n">
        <v>58276.68000000001</v>
      </c>
      <c r="G277" s="106" t="n">
        <v>11000</v>
      </c>
      <c r="H277" s="107" t="n"/>
      <c r="I277" s="108">
        <f>IF(H277="","",G277*H277)</f>
        <v/>
      </c>
      <c r="J277" s="243">
        <f>IF(I277="","",F277-I277)</f>
        <v/>
      </c>
      <c r="K277" s="110">
        <f>IF(OR(I277="",F277=0),"",I277/F277)</f>
        <v/>
      </c>
      <c r="L277" s="111">
        <f>IF(K277="","⚪",IF(K277&gt;1.2,"🔴",IF(K277&gt;1.1,"🟡","🟢")))</f>
        <v/>
      </c>
      <c r="N277" s="105" t="n">
        <v>58276.68000000001</v>
      </c>
      <c r="O277" s="106" t="n">
        <v>11000</v>
      </c>
      <c r="P277" s="107" t="n"/>
      <c r="Q277" s="108">
        <f>IF(P277="","",O277*P277)</f>
        <v/>
      </c>
      <c r="R277" s="243">
        <f>IF(Q277="","",N277-Q277)</f>
        <v/>
      </c>
      <c r="S277" s="110">
        <f>IF(OR(Q277="",N277=0),"",Q277/N277)</f>
        <v/>
      </c>
      <c r="T277" s="111">
        <f>IF(S277="","⚪",IF(S277&gt;1.2,"🔴",IF(S277&gt;1.1,"🟡","🟢")))</f>
        <v/>
      </c>
      <c r="V277" s="105" t="n">
        <v>58276.68000000001</v>
      </c>
      <c r="W277" s="106" t="n">
        <v>11000</v>
      </c>
      <c r="X277" s="107" t="n"/>
      <c r="Y277" s="108">
        <f>IF(X277="","",W277*X277)</f>
        <v/>
      </c>
      <c r="Z277" s="243">
        <f>IF(Y277="","",V277-Y277)</f>
        <v/>
      </c>
      <c r="AA277" s="110">
        <f>IF(OR(Y277="",V277=0),"",Y277/V277)</f>
        <v/>
      </c>
      <c r="AB277" s="111">
        <f>IF(AA277="","⚪",IF(AA277&gt;1.2,"🔴",IF(AA277&gt;1.1,"🟡","🟢")))</f>
        <v/>
      </c>
      <c r="AD277" s="105" t="n">
        <v>58276.68000000001</v>
      </c>
      <c r="AE277" s="106" t="n">
        <v>11000</v>
      </c>
      <c r="AF277" s="107" t="n"/>
      <c r="AG277" s="108">
        <f>IF(AF277="","",AE277*AF277)</f>
        <v/>
      </c>
      <c r="AH277" s="243">
        <f>IF(AG277="","",AD277-AG277)</f>
        <v/>
      </c>
      <c r="AI277" s="110">
        <f>IF(OR(AG277="",AD277=0),"",AG277/AD277)</f>
        <v/>
      </c>
      <c r="AJ277" s="111">
        <f>IF(AI277="","⚪",IF(AI277&gt;1.2,"🔴",IF(AI277&gt;1.1,"🟡","🟢")))</f>
        <v/>
      </c>
    </row>
    <row r="278" ht="14" customHeight="1" s="176">
      <c r="A278" s="112" t="inlineStr">
        <is>
          <t>Santa Catalina</t>
        </is>
      </c>
      <c r="B278" s="113" t="inlineStr">
        <is>
          <t>eureka 10,6 ha</t>
        </is>
      </c>
      <c r="C278" s="113" t="inlineStr">
        <is>
          <t>2- M.O. indirecta</t>
        </is>
      </c>
      <c r="D278" s="113" t="inlineStr">
        <is>
          <t>4- CERTIFICACIONES</t>
        </is>
      </c>
      <c r="E278" s="113" t="inlineStr">
        <is>
          <t>día</t>
        </is>
      </c>
      <c r="F278" s="105" t="n">
        <v>34248.58675</v>
      </c>
      <c r="G278" s="106" t="n">
        <v>6464.58333333333</v>
      </c>
      <c r="H278" s="107" t="n"/>
      <c r="I278" s="108">
        <f>IF(H278="","",G278*H278)</f>
        <v/>
      </c>
      <c r="J278" s="243">
        <f>IF(I278="","",F278-I278)</f>
        <v/>
      </c>
      <c r="K278" s="110">
        <f>IF(OR(I278="",F278=0),"",I278/F278)</f>
        <v/>
      </c>
      <c r="L278" s="111">
        <f>IF(K278="","⚪",IF(K278&gt;1.2,"🔴",IF(K278&gt;1.1,"🟡","🟢")))</f>
        <v/>
      </c>
      <c r="N278" s="105" t="n">
        <v>34248.58675</v>
      </c>
      <c r="O278" s="106" t="n">
        <v>6464.58333333333</v>
      </c>
      <c r="P278" s="107" t="n"/>
      <c r="Q278" s="108">
        <f>IF(P278="","",O278*P278)</f>
        <v/>
      </c>
      <c r="R278" s="243">
        <f>IF(Q278="","",N278-Q278)</f>
        <v/>
      </c>
      <c r="S278" s="110">
        <f>IF(OR(Q278="",N278=0),"",Q278/N278)</f>
        <v/>
      </c>
      <c r="T278" s="111">
        <f>IF(S278="","⚪",IF(S278&gt;1.2,"🔴",IF(S278&gt;1.1,"🟡","🟢")))</f>
        <v/>
      </c>
      <c r="V278" s="105" t="n">
        <v>34248.58675</v>
      </c>
      <c r="W278" s="106" t="n">
        <v>6464.58333333333</v>
      </c>
      <c r="X278" s="107" t="n"/>
      <c r="Y278" s="108">
        <f>IF(X278="","",W278*X278)</f>
        <v/>
      </c>
      <c r="Z278" s="243">
        <f>IF(Y278="","",V278-Y278)</f>
        <v/>
      </c>
      <c r="AA278" s="110">
        <f>IF(OR(Y278="",V278=0),"",Y278/V278)</f>
        <v/>
      </c>
      <c r="AB278" s="111">
        <f>IF(AA278="","⚪",IF(AA278&gt;1.2,"🔴",IF(AA278&gt;1.1,"🟡","🟢")))</f>
        <v/>
      </c>
      <c r="AD278" s="105" t="n">
        <v>34248.58675</v>
      </c>
      <c r="AE278" s="106" t="n">
        <v>6464.58333333333</v>
      </c>
      <c r="AF278" s="107" t="n"/>
      <c r="AG278" s="108">
        <f>IF(AF278="","",AE278*AF278)</f>
        <v/>
      </c>
      <c r="AH278" s="243">
        <f>IF(AG278="","",AD278-AG278)</f>
        <v/>
      </c>
      <c r="AI278" s="110">
        <f>IF(OR(AG278="",AD278=0),"",AG278/AD278)</f>
        <v/>
      </c>
      <c r="AJ278" s="111">
        <f>IF(AI278="","⚪",IF(AI278&gt;1.2,"🔴",IF(AI278&gt;1.1,"🟡","🟢")))</f>
        <v/>
      </c>
    </row>
    <row r="279" ht="14" customHeight="1" s="176">
      <c r="A279" s="103" t="inlineStr">
        <is>
          <t>Santa Catalina</t>
        </is>
      </c>
      <c r="B279" s="104" t="inlineStr">
        <is>
          <t>eureka 10,6 ha</t>
        </is>
      </c>
      <c r="C279" s="104" t="inlineStr">
        <is>
          <t>2- M.O. indirecta</t>
        </is>
      </c>
      <c r="D279" s="104" t="inlineStr">
        <is>
          <t>5- PREVEN. DE RIESGO</t>
        </is>
      </c>
      <c r="E279" s="104" t="inlineStr">
        <is>
          <t>día</t>
        </is>
      </c>
      <c r="F279" s="105" t="n">
        <v>8344.161</v>
      </c>
      <c r="G279" s="106" t="n">
        <v>1575</v>
      </c>
      <c r="H279" s="107" t="n"/>
      <c r="I279" s="108">
        <f>IF(H279="","",G279*H279)</f>
        <v/>
      </c>
      <c r="J279" s="243">
        <f>IF(I279="","",F279-I279)</f>
        <v/>
      </c>
      <c r="K279" s="110">
        <f>IF(OR(I279="",F279=0),"",I279/F279)</f>
        <v/>
      </c>
      <c r="L279" s="111">
        <f>IF(K279="","⚪",IF(K279&gt;1.2,"🔴",IF(K279&gt;1.1,"🟡","🟢")))</f>
        <v/>
      </c>
      <c r="N279" s="105" t="n">
        <v>8344.161</v>
      </c>
      <c r="O279" s="106" t="n">
        <v>1575</v>
      </c>
      <c r="P279" s="107" t="n"/>
      <c r="Q279" s="108">
        <f>IF(P279="","",O279*P279)</f>
        <v/>
      </c>
      <c r="R279" s="243">
        <f>IF(Q279="","",N279-Q279)</f>
        <v/>
      </c>
      <c r="S279" s="110">
        <f>IF(OR(Q279="",N279=0),"",Q279/N279)</f>
        <v/>
      </c>
      <c r="T279" s="111">
        <f>IF(S279="","⚪",IF(S279&gt;1.2,"🔴",IF(S279&gt;1.1,"🟡","🟢")))</f>
        <v/>
      </c>
      <c r="V279" s="105" t="n">
        <v>8344.161</v>
      </c>
      <c r="W279" s="106" t="n">
        <v>1575</v>
      </c>
      <c r="X279" s="107" t="n"/>
      <c r="Y279" s="108">
        <f>IF(X279="","",W279*X279)</f>
        <v/>
      </c>
      <c r="Z279" s="243">
        <f>IF(Y279="","",V279-Y279)</f>
        <v/>
      </c>
      <c r="AA279" s="110">
        <f>IF(OR(Y279="",V279=0),"",Y279/V279)</f>
        <v/>
      </c>
      <c r="AB279" s="111">
        <f>IF(AA279="","⚪",IF(AA279&gt;1.2,"🔴",IF(AA279&gt;1.1,"🟡","🟢")))</f>
        <v/>
      </c>
      <c r="AD279" s="105" t="n">
        <v>8344.161</v>
      </c>
      <c r="AE279" s="106" t="n">
        <v>1575</v>
      </c>
      <c r="AF279" s="107" t="n"/>
      <c r="AG279" s="108">
        <f>IF(AF279="","",AE279*AF279)</f>
        <v/>
      </c>
      <c r="AH279" s="243">
        <f>IF(AG279="","",AD279-AG279)</f>
        <v/>
      </c>
      <c r="AI279" s="110">
        <f>IF(OR(AG279="",AD279=0),"",AG279/AD279)</f>
        <v/>
      </c>
      <c r="AJ279" s="111">
        <f>IF(AI279="","⚪",IF(AI279&gt;1.2,"🔴",IF(AI279&gt;1.1,"🟡","🟢")))</f>
        <v/>
      </c>
    </row>
    <row r="280" ht="14" customHeight="1" s="176">
      <c r="A280" s="112" t="inlineStr">
        <is>
          <t>Santa Catalina</t>
        </is>
      </c>
      <c r="B280" s="113" t="inlineStr">
        <is>
          <t>eureka 10,6 ha</t>
        </is>
      </c>
      <c r="C280" s="113" t="inlineStr">
        <is>
          <t>2- M.O. indirecta</t>
        </is>
      </c>
      <c r="D280" s="113" t="inlineStr">
        <is>
          <t>9,1- RONDIN FUNDO</t>
        </is>
      </c>
      <c r="E280" s="113" t="inlineStr">
        <is>
          <t>día</t>
        </is>
      </c>
      <c r="F280" s="105" t="n">
        <v>210654.30456</v>
      </c>
      <c r="G280" s="106" t="n">
        <v>39762</v>
      </c>
      <c r="H280" s="107" t="n"/>
      <c r="I280" s="108">
        <f>IF(H280="","",G280*H280)</f>
        <v/>
      </c>
      <c r="J280" s="243">
        <f>IF(I280="","",F280-I280)</f>
        <v/>
      </c>
      <c r="K280" s="110">
        <f>IF(OR(I280="",F280=0),"",I280/F280)</f>
        <v/>
      </c>
      <c r="L280" s="111">
        <f>IF(K280="","⚪",IF(K280&gt;1.2,"🔴",IF(K280&gt;1.1,"🟡","🟢")))</f>
        <v/>
      </c>
      <c r="N280" s="105" t="n">
        <v>210654.30456</v>
      </c>
      <c r="O280" s="106" t="n">
        <v>39762</v>
      </c>
      <c r="P280" s="107" t="n"/>
      <c r="Q280" s="108">
        <f>IF(P280="","",O280*P280)</f>
        <v/>
      </c>
      <c r="R280" s="243">
        <f>IF(Q280="","",N280-Q280)</f>
        <v/>
      </c>
      <c r="S280" s="110">
        <f>IF(OR(Q280="",N280=0),"",Q280/N280)</f>
        <v/>
      </c>
      <c r="T280" s="111">
        <f>IF(S280="","⚪",IF(S280&gt;1.2,"🔴",IF(S280&gt;1.1,"🟡","🟢")))</f>
        <v/>
      </c>
      <c r="V280" s="105" t="n">
        <v>210654.30456</v>
      </c>
      <c r="W280" s="106" t="n">
        <v>39762</v>
      </c>
      <c r="X280" s="107" t="n"/>
      <c r="Y280" s="108">
        <f>IF(X280="","",W280*X280)</f>
        <v/>
      </c>
      <c r="Z280" s="243">
        <f>IF(Y280="","",V280-Y280)</f>
        <v/>
      </c>
      <c r="AA280" s="110">
        <f>IF(OR(Y280="",V280=0),"",Y280/V280)</f>
        <v/>
      </c>
      <c r="AB280" s="111">
        <f>IF(AA280="","⚪",IF(AA280&gt;1.2,"🔴",IF(AA280&gt;1.1,"🟡","🟢")))</f>
        <v/>
      </c>
      <c r="AD280" s="105" t="n">
        <v>210654.30456</v>
      </c>
      <c r="AE280" s="106" t="n">
        <v>39762</v>
      </c>
      <c r="AF280" s="107" t="n"/>
      <c r="AG280" s="108">
        <f>IF(AF280="","",AE280*AF280)</f>
        <v/>
      </c>
      <c r="AH280" s="243">
        <f>IF(AG280="","",AD280-AG280)</f>
        <v/>
      </c>
      <c r="AI280" s="110">
        <f>IF(OR(AG280="",AD280=0),"",AG280/AD280)</f>
        <v/>
      </c>
      <c r="AJ280" s="111">
        <f>IF(AI280="","⚪",IF(AI280&gt;1.2,"🔴",IF(AI280&gt;1.1,"🟡","🟢")))</f>
        <v/>
      </c>
    </row>
    <row r="281" ht="14" customHeight="1" s="176">
      <c r="A281" s="103" t="inlineStr">
        <is>
          <t>Santa Catalina</t>
        </is>
      </c>
      <c r="B281" s="104" t="inlineStr">
        <is>
          <t>eureka 10,6 ha</t>
        </is>
      </c>
      <c r="C281" s="104" t="inlineStr">
        <is>
          <t>2- M.O. indirecta</t>
        </is>
      </c>
      <c r="D281" s="104" t="inlineStr">
        <is>
          <t>9,1- RONDIN ZANJON</t>
        </is>
      </c>
      <c r="E281" s="104" t="inlineStr">
        <is>
          <t>día</t>
        </is>
      </c>
      <c r="F281" s="105" t="n">
        <v>374496.54144</v>
      </c>
      <c r="G281" s="106" t="n">
        <v>70688</v>
      </c>
      <c r="H281" s="107" t="n"/>
      <c r="I281" s="108">
        <f>IF(H281="","",G281*H281)</f>
        <v/>
      </c>
      <c r="J281" s="243">
        <f>IF(I281="","",F281-I281)</f>
        <v/>
      </c>
      <c r="K281" s="110">
        <f>IF(OR(I281="",F281=0),"",I281/F281)</f>
        <v/>
      </c>
      <c r="L281" s="111">
        <f>IF(K281="","⚪",IF(K281&gt;1.2,"🔴",IF(K281&gt;1.1,"🟡","🟢")))</f>
        <v/>
      </c>
      <c r="N281" s="105" t="n">
        <v>374496.54144</v>
      </c>
      <c r="O281" s="106" t="n">
        <v>70688</v>
      </c>
      <c r="P281" s="107" t="n"/>
      <c r="Q281" s="108">
        <f>IF(P281="","",O281*P281)</f>
        <v/>
      </c>
      <c r="R281" s="243">
        <f>IF(Q281="","",N281-Q281)</f>
        <v/>
      </c>
      <c r="S281" s="110">
        <f>IF(OR(Q281="",N281=0),"",Q281/N281)</f>
        <v/>
      </c>
      <c r="T281" s="111">
        <f>IF(S281="","⚪",IF(S281&gt;1.2,"🔴",IF(S281&gt;1.1,"🟡","🟢")))</f>
        <v/>
      </c>
      <c r="V281" s="105" t="n">
        <v>374496.54144</v>
      </c>
      <c r="W281" s="106" t="n">
        <v>70688</v>
      </c>
      <c r="X281" s="107" t="n"/>
      <c r="Y281" s="108">
        <f>IF(X281="","",W281*X281)</f>
        <v/>
      </c>
      <c r="Z281" s="243">
        <f>IF(Y281="","",V281-Y281)</f>
        <v/>
      </c>
      <c r="AA281" s="110">
        <f>IF(OR(Y281="",V281=0),"",Y281/V281)</f>
        <v/>
      </c>
      <c r="AB281" s="111">
        <f>IF(AA281="","⚪",IF(AA281&gt;1.2,"🔴",IF(AA281&gt;1.1,"🟡","🟢")))</f>
        <v/>
      </c>
      <c r="AD281" s="105" t="n">
        <v>374496.54144</v>
      </c>
      <c r="AE281" s="106" t="n">
        <v>70688</v>
      </c>
      <c r="AF281" s="107" t="n"/>
      <c r="AG281" s="108">
        <f>IF(AF281="","",AE281*AF281)</f>
        <v/>
      </c>
      <c r="AH281" s="243">
        <f>IF(AG281="","",AD281-AG281)</f>
        <v/>
      </c>
      <c r="AI281" s="110">
        <f>IF(OR(AG281="",AD281=0),"",AG281/AD281)</f>
        <v/>
      </c>
      <c r="AJ281" s="111">
        <f>IF(AI281="","⚪",IF(AI281&gt;1.2,"🔴",IF(AI281&gt;1.1,"🟡","🟢")))</f>
        <v/>
      </c>
    </row>
    <row r="282" ht="14" customHeight="1" s="176">
      <c r="A282" s="112" t="inlineStr">
        <is>
          <t>Santa Catalina</t>
        </is>
      </c>
      <c r="B282" s="113" t="inlineStr">
        <is>
          <t>eureka 14,4 ha</t>
        </is>
      </c>
      <c r="C282" s="113" t="inlineStr">
        <is>
          <t>1- M.O. directa</t>
        </is>
      </c>
      <c r="D282" s="113" t="inlineStr">
        <is>
          <t xml:space="preserve">1,4- Mantención caminos </t>
        </is>
      </c>
      <c r="E282" s="113" t="inlineStr">
        <is>
          <t>día</t>
        </is>
      </c>
      <c r="F282" s="105" t="n">
        <v>187920</v>
      </c>
      <c r="G282" s="106" t="n">
        <v>43500</v>
      </c>
      <c r="H282" s="107" t="n"/>
      <c r="I282" s="108">
        <f>IF(H282="","",G282*H282)</f>
        <v/>
      </c>
      <c r="J282" s="243">
        <f>IF(I282="","",F282-I282)</f>
        <v/>
      </c>
      <c r="K282" s="110">
        <f>IF(OR(I282="",F282=0),"",I282/F282)</f>
        <v/>
      </c>
      <c r="L282" s="111">
        <f>IF(K282="","⚪",IF(K282&gt;1.2,"🔴",IF(K282&gt;1.1,"🟡","🟢")))</f>
        <v/>
      </c>
      <c r="N282" s="105" t="n">
        <v>187920</v>
      </c>
      <c r="O282" s="106" t="n">
        <v>43500</v>
      </c>
      <c r="P282" s="107" t="n"/>
      <c r="Q282" s="108">
        <f>IF(P282="","",O282*P282)</f>
        <v/>
      </c>
      <c r="R282" s="243">
        <f>IF(Q282="","",N282-Q282)</f>
        <v/>
      </c>
      <c r="S282" s="110">
        <f>IF(OR(Q282="",N282=0),"",Q282/N282)</f>
        <v/>
      </c>
      <c r="T282" s="111">
        <f>IF(S282="","⚪",IF(S282&gt;1.2,"🔴",IF(S282&gt;1.1,"🟡","🟢")))</f>
        <v/>
      </c>
      <c r="V282" s="105" t="n">
        <v>187920</v>
      </c>
      <c r="W282" s="106" t="n">
        <v>43500</v>
      </c>
      <c r="X282" s="107" t="n"/>
      <c r="Y282" s="108">
        <f>IF(X282="","",W282*X282)</f>
        <v/>
      </c>
      <c r="Z282" s="243">
        <f>IF(Y282="","",V282-Y282)</f>
        <v/>
      </c>
      <c r="AA282" s="110">
        <f>IF(OR(Y282="",V282=0),"",Y282/V282)</f>
        <v/>
      </c>
      <c r="AB282" s="111">
        <f>IF(AA282="","⚪",IF(AA282&gt;1.2,"🔴",IF(AA282&gt;1.1,"🟡","🟢")))</f>
        <v/>
      </c>
      <c r="AD282" s="105" t="n">
        <v>187920</v>
      </c>
      <c r="AE282" s="106" t="n">
        <v>43500</v>
      </c>
      <c r="AF282" s="107" t="n"/>
      <c r="AG282" s="108">
        <f>IF(AF282="","",AE282*AF282)</f>
        <v/>
      </c>
      <c r="AH282" s="243">
        <f>IF(AG282="","",AD282-AG282)</f>
        <v/>
      </c>
      <c r="AI282" s="110">
        <f>IF(OR(AG282="",AD282=0),"",AG282/AD282)</f>
        <v/>
      </c>
      <c r="AJ282" s="111">
        <f>IF(AI282="","⚪",IF(AI282&gt;1.2,"🔴",IF(AI282&gt;1.1,"🟡","🟢")))</f>
        <v/>
      </c>
    </row>
    <row r="283" ht="14" customHeight="1" s="176">
      <c r="A283" s="103" t="inlineStr">
        <is>
          <t>Santa Catalina</t>
        </is>
      </c>
      <c r="B283" s="104" t="inlineStr">
        <is>
          <t>eureka 14,4 ha</t>
        </is>
      </c>
      <c r="C283" s="104" t="inlineStr">
        <is>
          <t>1- M.O. directa</t>
        </is>
      </c>
      <c r="D283" s="104" t="inlineStr">
        <is>
          <t>1- Cosecha EXP</t>
        </is>
      </c>
      <c r="E283" s="104" t="inlineStr">
        <is>
          <t>trato</t>
        </is>
      </c>
      <c r="F283" s="105" t="n">
        <v>1534730.4</v>
      </c>
      <c r="G283" s="106" t="n">
        <v>83</v>
      </c>
      <c r="H283" s="107" t="n"/>
      <c r="I283" s="108">
        <f>IF(H283="","",G283*H283)</f>
        <v/>
      </c>
      <c r="J283" s="243">
        <f>IF(I283="","",F283-I283)</f>
        <v/>
      </c>
      <c r="K283" s="110">
        <f>IF(OR(I283="",F283=0),"",I283/F283)</f>
        <v/>
      </c>
      <c r="L283" s="111">
        <f>IF(K283="","⚪",IF(K283&gt;1.2,"🔴",IF(K283&gt;1.1,"🟡","🟢")))</f>
        <v/>
      </c>
      <c r="N283" s="105" t="n">
        <v>1534730.4</v>
      </c>
      <c r="O283" s="106" t="n">
        <v>83</v>
      </c>
      <c r="P283" s="107" t="n"/>
      <c r="Q283" s="108">
        <f>IF(P283="","",O283*P283)</f>
        <v/>
      </c>
      <c r="R283" s="243">
        <f>IF(Q283="","",N283-Q283)</f>
        <v/>
      </c>
      <c r="S283" s="110">
        <f>IF(OR(Q283="",N283=0),"",Q283/N283)</f>
        <v/>
      </c>
      <c r="T283" s="111">
        <f>IF(S283="","⚪",IF(S283&gt;1.2,"🔴",IF(S283&gt;1.1,"🟡","🟢")))</f>
        <v/>
      </c>
      <c r="V283" s="105" t="n">
        <v>1534730.4</v>
      </c>
      <c r="W283" s="106" t="n">
        <v>83</v>
      </c>
      <c r="X283" s="107" t="n"/>
      <c r="Y283" s="108">
        <f>IF(X283="","",W283*X283)</f>
        <v/>
      </c>
      <c r="Z283" s="243">
        <f>IF(Y283="","",V283-Y283)</f>
        <v/>
      </c>
      <c r="AA283" s="110">
        <f>IF(OR(Y283="",V283=0),"",Y283/V283)</f>
        <v/>
      </c>
      <c r="AB283" s="111">
        <f>IF(AA283="","⚪",IF(AA283&gt;1.2,"🔴",IF(AA283&gt;1.1,"🟡","🟢")))</f>
        <v/>
      </c>
      <c r="AD283" s="105" t="n">
        <v>1534730.4</v>
      </c>
      <c r="AE283" s="106" t="n">
        <v>83</v>
      </c>
      <c r="AF283" s="107" t="n"/>
      <c r="AG283" s="108">
        <f>IF(AF283="","",AE283*AF283)</f>
        <v/>
      </c>
      <c r="AH283" s="243">
        <f>IF(AG283="","",AD283-AG283)</f>
        <v/>
      </c>
      <c r="AI283" s="110">
        <f>IF(OR(AG283="",AD283=0),"",AG283/AD283)</f>
        <v/>
      </c>
      <c r="AJ283" s="111">
        <f>IF(AI283="","⚪",IF(AI283&gt;1.2,"🔴",IF(AI283&gt;1.1,"🟡","🟢")))</f>
        <v/>
      </c>
    </row>
    <row r="284" ht="14" customHeight="1" s="176">
      <c r="A284" s="112" t="inlineStr">
        <is>
          <t>Santa Catalina</t>
        </is>
      </c>
      <c r="B284" s="113" t="inlineStr">
        <is>
          <t>eureka 14,4 ha</t>
        </is>
      </c>
      <c r="C284" s="113" t="inlineStr">
        <is>
          <t>1- M.O. directa</t>
        </is>
      </c>
      <c r="D284" s="113" t="inlineStr">
        <is>
          <t>1- Cosecha M.I</t>
        </is>
      </c>
      <c r="E284" s="113" t="inlineStr">
        <is>
          <t>trato</t>
        </is>
      </c>
      <c r="F284" s="105" t="n">
        <v>2049591.6</v>
      </c>
      <c r="G284" s="106" t="n"/>
      <c r="H284" s="107" t="n"/>
      <c r="I284" s="108">
        <f>IF(H284="","",G284*H284)</f>
        <v/>
      </c>
      <c r="J284" s="243">
        <f>IF(I284="","",F284-I284)</f>
        <v/>
      </c>
      <c r="K284" s="110">
        <f>IF(OR(I284="",F284=0),"",I284/F284)</f>
        <v/>
      </c>
      <c r="L284" s="111">
        <f>IF(K284="","⚪",IF(K284&gt;1.2,"🔴",IF(K284&gt;1.1,"🟡","🟢")))</f>
        <v/>
      </c>
      <c r="N284" s="105" t="n">
        <v>2049591.6</v>
      </c>
      <c r="O284" s="106" t="n"/>
      <c r="P284" s="107" t="n"/>
      <c r="Q284" s="108">
        <f>IF(P284="","",O284*P284)</f>
        <v/>
      </c>
      <c r="R284" s="243">
        <f>IF(Q284="","",N284-Q284)</f>
        <v/>
      </c>
      <c r="S284" s="110">
        <f>IF(OR(Q284="",N284=0),"",Q284/N284)</f>
        <v/>
      </c>
      <c r="T284" s="111">
        <f>IF(S284="","⚪",IF(S284&gt;1.2,"🔴",IF(S284&gt;1.1,"🟡","🟢")))</f>
        <v/>
      </c>
      <c r="V284" s="105" t="n">
        <v>2049591.6</v>
      </c>
      <c r="W284" s="106" t="n"/>
      <c r="X284" s="107" t="n"/>
      <c r="Y284" s="108">
        <f>IF(X284="","",W284*X284)</f>
        <v/>
      </c>
      <c r="Z284" s="243">
        <f>IF(Y284="","",V284-Y284)</f>
        <v/>
      </c>
      <c r="AA284" s="110">
        <f>IF(OR(Y284="",V284=0),"",Y284/V284)</f>
        <v/>
      </c>
      <c r="AB284" s="111">
        <f>IF(AA284="","⚪",IF(AA284&gt;1.2,"🔴",IF(AA284&gt;1.1,"🟡","🟢")))</f>
        <v/>
      </c>
      <c r="AD284" s="105" t="n">
        <v>2049591.6</v>
      </c>
      <c r="AE284" s="106" t="n"/>
      <c r="AF284" s="107" t="n"/>
      <c r="AG284" s="108">
        <f>IF(AF284="","",AE284*AF284)</f>
        <v/>
      </c>
      <c r="AH284" s="243">
        <f>IF(AG284="","",AD284-AG284)</f>
        <v/>
      </c>
      <c r="AI284" s="110">
        <f>IF(OR(AG284="",AD284=0),"",AG284/AD284)</f>
        <v/>
      </c>
      <c r="AJ284" s="111">
        <f>IF(AI284="","⚪",IF(AI284&gt;1.2,"🔴",IF(AI284&gt;1.1,"🟡","🟢")))</f>
        <v/>
      </c>
    </row>
    <row r="285" ht="14" customHeight="1" s="176">
      <c r="A285" s="103" t="inlineStr">
        <is>
          <t>Santa Catalina</t>
        </is>
      </c>
      <c r="B285" s="104" t="inlineStr">
        <is>
          <t>eureka 14,4 ha</t>
        </is>
      </c>
      <c r="C285" s="104" t="inlineStr">
        <is>
          <t>1- M.O. directa</t>
        </is>
      </c>
      <c r="D285" s="104" t="inlineStr">
        <is>
          <t>12- Picar sarmiento</t>
        </is>
      </c>
      <c r="E285" s="104" t="inlineStr">
        <is>
          <t>trato</t>
        </is>
      </c>
      <c r="F285" s="105" t="n">
        <v>18014.4</v>
      </c>
      <c r="G285" s="106" t="n">
        <v>60</v>
      </c>
      <c r="H285" s="107" t="n"/>
      <c r="I285" s="108">
        <f>IF(H285="","",G285*H285)</f>
        <v/>
      </c>
      <c r="J285" s="243">
        <f>IF(I285="","",F285-I285)</f>
        <v/>
      </c>
      <c r="K285" s="110">
        <f>IF(OR(I285="",F285=0),"",I285/F285)</f>
        <v/>
      </c>
      <c r="L285" s="111">
        <f>IF(K285="","⚪",IF(K285&gt;1.2,"🔴",IF(K285&gt;1.1,"🟡","🟢")))</f>
        <v/>
      </c>
      <c r="N285" s="105" t="n">
        <v>18014.4</v>
      </c>
      <c r="O285" s="106" t="n">
        <v>60</v>
      </c>
      <c r="P285" s="107" t="n"/>
      <c r="Q285" s="108">
        <f>IF(P285="","",O285*P285)</f>
        <v/>
      </c>
      <c r="R285" s="243">
        <f>IF(Q285="","",N285-Q285)</f>
        <v/>
      </c>
      <c r="S285" s="110">
        <f>IF(OR(Q285="",N285=0),"",Q285/N285)</f>
        <v/>
      </c>
      <c r="T285" s="111">
        <f>IF(S285="","⚪",IF(S285&gt;1.2,"🔴",IF(S285&gt;1.1,"🟡","🟢")))</f>
        <v/>
      </c>
      <c r="V285" s="105" t="n">
        <v>18014.4</v>
      </c>
      <c r="W285" s="106" t="n">
        <v>60</v>
      </c>
      <c r="X285" s="107" t="n"/>
      <c r="Y285" s="108">
        <f>IF(X285="","",W285*X285)</f>
        <v/>
      </c>
      <c r="Z285" s="243">
        <f>IF(Y285="","",V285-Y285)</f>
        <v/>
      </c>
      <c r="AA285" s="110">
        <f>IF(OR(Y285="",V285=0),"",Y285/V285)</f>
        <v/>
      </c>
      <c r="AB285" s="111">
        <f>IF(AA285="","⚪",IF(AA285&gt;1.2,"🔴",IF(AA285&gt;1.1,"🟡","🟢")))</f>
        <v/>
      </c>
      <c r="AD285" s="105" t="n">
        <v>18014.4</v>
      </c>
      <c r="AE285" s="106" t="n">
        <v>60</v>
      </c>
      <c r="AF285" s="107" t="n"/>
      <c r="AG285" s="108">
        <f>IF(AF285="","",AE285*AF285)</f>
        <v/>
      </c>
      <c r="AH285" s="243">
        <f>IF(AG285="","",AD285-AG285)</f>
        <v/>
      </c>
      <c r="AI285" s="110">
        <f>IF(OR(AG285="",AD285=0),"",AG285/AD285)</f>
        <v/>
      </c>
      <c r="AJ285" s="111">
        <f>IF(AI285="","⚪",IF(AI285&gt;1.2,"🔴",IF(AI285&gt;1.1,"🟡","🟢")))</f>
        <v/>
      </c>
    </row>
    <row r="286" ht="14" customHeight="1" s="176">
      <c r="A286" s="112" t="inlineStr">
        <is>
          <t>Santa Catalina</t>
        </is>
      </c>
      <c r="B286" s="113" t="inlineStr">
        <is>
          <t>eureka 14,4 ha</t>
        </is>
      </c>
      <c r="C286" s="113" t="inlineStr">
        <is>
          <t>1- M.O. directa</t>
        </is>
      </c>
      <c r="D286" s="113" t="inlineStr">
        <is>
          <t>13- Poda antenas</t>
        </is>
      </c>
      <c r="E286" s="113" t="inlineStr">
        <is>
          <t>trato</t>
        </is>
      </c>
      <c r="F286" s="105" t="n">
        <v>180144</v>
      </c>
      <c r="G286" s="106" t="n">
        <v>600</v>
      </c>
      <c r="H286" s="107" t="n"/>
      <c r="I286" s="108">
        <f>IF(H286="","",G286*H286)</f>
        <v/>
      </c>
      <c r="J286" s="243">
        <f>IF(I286="","",F286-I286)</f>
        <v/>
      </c>
      <c r="K286" s="110">
        <f>IF(OR(I286="",F286=0),"",I286/F286)</f>
        <v/>
      </c>
      <c r="L286" s="111">
        <f>IF(K286="","⚪",IF(K286&gt;1.2,"🔴",IF(K286&gt;1.1,"🟡","🟢")))</f>
        <v/>
      </c>
      <c r="N286" s="105" t="n">
        <v>180144</v>
      </c>
      <c r="O286" s="106" t="n">
        <v>600</v>
      </c>
      <c r="P286" s="107" t="n"/>
      <c r="Q286" s="108">
        <f>IF(P286="","",O286*P286)</f>
        <v/>
      </c>
      <c r="R286" s="243">
        <f>IF(Q286="","",N286-Q286)</f>
        <v/>
      </c>
      <c r="S286" s="110">
        <f>IF(OR(Q286="",N286=0),"",Q286/N286)</f>
        <v/>
      </c>
      <c r="T286" s="111">
        <f>IF(S286="","⚪",IF(S286&gt;1.2,"🔴",IF(S286&gt;1.1,"🟡","🟢")))</f>
        <v/>
      </c>
      <c r="V286" s="105" t="n">
        <v>180144</v>
      </c>
      <c r="W286" s="106" t="n">
        <v>600</v>
      </c>
      <c r="X286" s="107" t="n"/>
      <c r="Y286" s="108">
        <f>IF(X286="","",W286*X286)</f>
        <v/>
      </c>
      <c r="Z286" s="243">
        <f>IF(Y286="","",V286-Y286)</f>
        <v/>
      </c>
      <c r="AA286" s="110">
        <f>IF(OR(Y286="",V286=0),"",Y286/V286)</f>
        <v/>
      </c>
      <c r="AB286" s="111">
        <f>IF(AA286="","⚪",IF(AA286&gt;1.2,"🔴",IF(AA286&gt;1.1,"🟡","🟢")))</f>
        <v/>
      </c>
      <c r="AD286" s="105" t="n">
        <v>180144</v>
      </c>
      <c r="AE286" s="106" t="n">
        <v>600</v>
      </c>
      <c r="AF286" s="107" t="n"/>
      <c r="AG286" s="108">
        <f>IF(AF286="","",AE286*AF286)</f>
        <v/>
      </c>
      <c r="AH286" s="243">
        <f>IF(AG286="","",AD286-AG286)</f>
        <v/>
      </c>
      <c r="AI286" s="110">
        <f>IF(OR(AG286="",AD286=0),"",AG286/AD286)</f>
        <v/>
      </c>
      <c r="AJ286" s="111">
        <f>IF(AI286="","⚪",IF(AI286&gt;1.2,"🔴",IF(AI286&gt;1.1,"🟡","🟢")))</f>
        <v/>
      </c>
    </row>
    <row r="287" ht="14" customHeight="1" s="176">
      <c r="A287" s="103" t="inlineStr">
        <is>
          <t>Santa Catalina</t>
        </is>
      </c>
      <c r="B287" s="104" t="inlineStr">
        <is>
          <t>eureka 14,4 ha</t>
        </is>
      </c>
      <c r="C287" s="104" t="inlineStr">
        <is>
          <t>1- M.O. directa</t>
        </is>
      </c>
      <c r="D287" s="104" t="inlineStr">
        <is>
          <t>14- Poda de sierrpes</t>
        </is>
      </c>
      <c r="E287" s="104" t="inlineStr">
        <is>
          <t>trato</t>
        </is>
      </c>
      <c r="F287" s="105" t="n">
        <v>13510.8</v>
      </c>
      <c r="G287" s="106" t="n">
        <v>30</v>
      </c>
      <c r="H287" s="107" t="n"/>
      <c r="I287" s="108">
        <f>IF(H287="","",G287*H287)</f>
        <v/>
      </c>
      <c r="J287" s="243">
        <f>IF(I287="","",F287-I287)</f>
        <v/>
      </c>
      <c r="K287" s="110">
        <f>IF(OR(I287="",F287=0),"",I287/F287)</f>
        <v/>
      </c>
      <c r="L287" s="111">
        <f>IF(K287="","⚪",IF(K287&gt;1.2,"🔴",IF(K287&gt;1.1,"🟡","🟢")))</f>
        <v/>
      </c>
      <c r="N287" s="105" t="n">
        <v>13510.8</v>
      </c>
      <c r="O287" s="106" t="n">
        <v>30</v>
      </c>
      <c r="P287" s="107" t="n"/>
      <c r="Q287" s="108">
        <f>IF(P287="","",O287*P287)</f>
        <v/>
      </c>
      <c r="R287" s="243">
        <f>IF(Q287="","",N287-Q287)</f>
        <v/>
      </c>
      <c r="S287" s="110">
        <f>IF(OR(Q287="",N287=0),"",Q287/N287)</f>
        <v/>
      </c>
      <c r="T287" s="111">
        <f>IF(S287="","⚪",IF(S287&gt;1.2,"🔴",IF(S287&gt;1.1,"🟡","🟢")))</f>
        <v/>
      </c>
      <c r="V287" s="105" t="n">
        <v>13510.8</v>
      </c>
      <c r="W287" s="106" t="n">
        <v>30</v>
      </c>
      <c r="X287" s="107" t="n"/>
      <c r="Y287" s="108">
        <f>IF(X287="","",W287*X287)</f>
        <v/>
      </c>
      <c r="Z287" s="243">
        <f>IF(Y287="","",V287-Y287)</f>
        <v/>
      </c>
      <c r="AA287" s="110">
        <f>IF(OR(Y287="",V287=0),"",Y287/V287)</f>
        <v/>
      </c>
      <c r="AB287" s="111">
        <f>IF(AA287="","⚪",IF(AA287&gt;1.2,"🔴",IF(AA287&gt;1.1,"🟡","🟢")))</f>
        <v/>
      </c>
      <c r="AD287" s="105" t="n">
        <v>13510.8</v>
      </c>
      <c r="AE287" s="106" t="n">
        <v>30</v>
      </c>
      <c r="AF287" s="107" t="n"/>
      <c r="AG287" s="108">
        <f>IF(AF287="","",AE287*AF287)</f>
        <v/>
      </c>
      <c r="AH287" s="243">
        <f>IF(AG287="","",AD287-AG287)</f>
        <v/>
      </c>
      <c r="AI287" s="110">
        <f>IF(OR(AG287="",AD287=0),"",AG287/AD287)</f>
        <v/>
      </c>
      <c r="AJ287" s="111">
        <f>IF(AI287="","⚪",IF(AI287&gt;1.2,"🔴",IF(AI287&gt;1.1,"🟡","🟢")))</f>
        <v/>
      </c>
    </row>
    <row r="288" ht="14" customHeight="1" s="176">
      <c r="A288" s="112" t="inlineStr">
        <is>
          <t>Santa Catalina</t>
        </is>
      </c>
      <c r="B288" s="113" t="inlineStr">
        <is>
          <t>eureka 14,4 ha</t>
        </is>
      </c>
      <c r="C288" s="113" t="inlineStr">
        <is>
          <t>1- M.O. directa</t>
        </is>
      </c>
      <c r="D288" s="113" t="inlineStr">
        <is>
          <t>15- Poda primavera</t>
        </is>
      </c>
      <c r="E288" s="113" t="inlineStr">
        <is>
          <t>trato</t>
        </is>
      </c>
      <c r="F288" s="105" t="n">
        <v>270216</v>
      </c>
      <c r="G288" s="106" t="n">
        <v>900</v>
      </c>
      <c r="H288" s="107" t="n"/>
      <c r="I288" s="108">
        <f>IF(H288="","",G288*H288)</f>
        <v/>
      </c>
      <c r="J288" s="243">
        <f>IF(I288="","",F288-I288)</f>
        <v/>
      </c>
      <c r="K288" s="110">
        <f>IF(OR(I288="",F288=0),"",I288/F288)</f>
        <v/>
      </c>
      <c r="L288" s="111">
        <f>IF(K288="","⚪",IF(K288&gt;1.2,"🔴",IF(K288&gt;1.1,"🟡","🟢")))</f>
        <v/>
      </c>
      <c r="N288" s="105" t="n">
        <v>270216</v>
      </c>
      <c r="O288" s="106" t="n">
        <v>900</v>
      </c>
      <c r="P288" s="107" t="n"/>
      <c r="Q288" s="108">
        <f>IF(P288="","",O288*P288)</f>
        <v/>
      </c>
      <c r="R288" s="243">
        <f>IF(Q288="","",N288-Q288)</f>
        <v/>
      </c>
      <c r="S288" s="110">
        <f>IF(OR(Q288="",N288=0),"",Q288/N288)</f>
        <v/>
      </c>
      <c r="T288" s="111">
        <f>IF(S288="","⚪",IF(S288&gt;1.2,"🔴",IF(S288&gt;1.1,"🟡","🟢")))</f>
        <v/>
      </c>
      <c r="V288" s="105" t="n">
        <v>270216</v>
      </c>
      <c r="W288" s="106" t="n">
        <v>900</v>
      </c>
      <c r="X288" s="107" t="n"/>
      <c r="Y288" s="108">
        <f>IF(X288="","",W288*X288)</f>
        <v/>
      </c>
      <c r="Z288" s="243">
        <f>IF(Y288="","",V288-Y288)</f>
        <v/>
      </c>
      <c r="AA288" s="110">
        <f>IF(OR(Y288="",V288=0),"",Y288/V288)</f>
        <v/>
      </c>
      <c r="AB288" s="111">
        <f>IF(AA288="","⚪",IF(AA288&gt;1.2,"🔴",IF(AA288&gt;1.1,"🟡","🟢")))</f>
        <v/>
      </c>
      <c r="AD288" s="105" t="n">
        <v>270216</v>
      </c>
      <c r="AE288" s="106" t="n">
        <v>900</v>
      </c>
      <c r="AF288" s="107" t="n"/>
      <c r="AG288" s="108">
        <f>IF(AF288="","",AE288*AF288)</f>
        <v/>
      </c>
      <c r="AH288" s="243">
        <f>IF(AG288="","",AD288-AG288)</f>
        <v/>
      </c>
      <c r="AI288" s="110">
        <f>IF(OR(AG288="",AD288=0),"",AG288/AD288)</f>
        <v/>
      </c>
      <c r="AJ288" s="111">
        <f>IF(AI288="","⚪",IF(AI288&gt;1.2,"🔴",IF(AI288&gt;1.1,"🟡","🟢")))</f>
        <v/>
      </c>
    </row>
    <row r="289" ht="14" customHeight="1" s="176">
      <c r="A289" s="103" t="inlineStr">
        <is>
          <t>Santa Catalina</t>
        </is>
      </c>
      <c r="B289" s="104" t="inlineStr">
        <is>
          <t>eureka 14,4 ha</t>
        </is>
      </c>
      <c r="C289" s="104" t="inlineStr">
        <is>
          <t>1- M.O. directa</t>
        </is>
      </c>
      <c r="D289" s="104" t="inlineStr">
        <is>
          <t>16- Supervisor poda</t>
        </is>
      </c>
      <c r="E289" s="104" t="inlineStr">
        <is>
          <t>día</t>
        </is>
      </c>
      <c r="F289" s="105" t="n">
        <v>13510.8</v>
      </c>
      <c r="G289" s="106" t="n">
        <v>45</v>
      </c>
      <c r="H289" s="107" t="n"/>
      <c r="I289" s="108">
        <f>IF(H289="","",G289*H289)</f>
        <v/>
      </c>
      <c r="J289" s="243">
        <f>IF(I289="","",F289-I289)</f>
        <v/>
      </c>
      <c r="K289" s="110">
        <f>IF(OR(I289="",F289=0),"",I289/F289)</f>
        <v/>
      </c>
      <c r="L289" s="111">
        <f>IF(K289="","⚪",IF(K289&gt;1.2,"🔴",IF(K289&gt;1.1,"🟡","🟢")))</f>
        <v/>
      </c>
      <c r="N289" s="105" t="n">
        <v>13510.8</v>
      </c>
      <c r="O289" s="106" t="n">
        <v>45</v>
      </c>
      <c r="P289" s="107" t="n"/>
      <c r="Q289" s="108">
        <f>IF(P289="","",O289*P289)</f>
        <v/>
      </c>
      <c r="R289" s="243">
        <f>IF(Q289="","",N289-Q289)</f>
        <v/>
      </c>
      <c r="S289" s="110">
        <f>IF(OR(Q289="",N289=0),"",Q289/N289)</f>
        <v/>
      </c>
      <c r="T289" s="111">
        <f>IF(S289="","⚪",IF(S289&gt;1.2,"🔴",IF(S289&gt;1.1,"🟡","🟢")))</f>
        <v/>
      </c>
      <c r="V289" s="105" t="n">
        <v>13510.8</v>
      </c>
      <c r="W289" s="106" t="n">
        <v>45</v>
      </c>
      <c r="X289" s="107" t="n"/>
      <c r="Y289" s="108">
        <f>IF(X289="","",W289*X289)</f>
        <v/>
      </c>
      <c r="Z289" s="243">
        <f>IF(Y289="","",V289-Y289)</f>
        <v/>
      </c>
      <c r="AA289" s="110">
        <f>IF(OR(Y289="",V289=0),"",Y289/V289)</f>
        <v/>
      </c>
      <c r="AB289" s="111">
        <f>IF(AA289="","⚪",IF(AA289&gt;1.2,"🔴",IF(AA289&gt;1.1,"🟡","🟢")))</f>
        <v/>
      </c>
      <c r="AD289" s="105" t="n">
        <v>13510.8</v>
      </c>
      <c r="AE289" s="106" t="n">
        <v>45</v>
      </c>
      <c r="AF289" s="107" t="n"/>
      <c r="AG289" s="108">
        <f>IF(AF289="","",AE289*AF289)</f>
        <v/>
      </c>
      <c r="AH289" s="243">
        <f>IF(AG289="","",AD289-AG289)</f>
        <v/>
      </c>
      <c r="AI289" s="110">
        <f>IF(OR(AG289="",AD289=0),"",AG289/AD289)</f>
        <v/>
      </c>
      <c r="AJ289" s="111">
        <f>IF(AI289="","⚪",IF(AI289&gt;1.2,"🔴",IF(AI289&gt;1.1,"🟡","🟢")))</f>
        <v/>
      </c>
    </row>
    <row r="290" ht="14" customHeight="1" s="176">
      <c r="A290" s="112" t="inlineStr">
        <is>
          <t>Santa Catalina</t>
        </is>
      </c>
      <c r="B290" s="113" t="inlineStr">
        <is>
          <t>eureka 14,4 ha</t>
        </is>
      </c>
      <c r="C290" s="113" t="inlineStr">
        <is>
          <t>1- M.O. directa</t>
        </is>
      </c>
      <c r="D290" s="113" t="inlineStr">
        <is>
          <t>17- Recepción, pesaje y despacho</t>
        </is>
      </c>
      <c r="E290" s="113" t="inlineStr">
        <is>
          <t>día</t>
        </is>
      </c>
      <c r="F290" s="105" t="n">
        <v>60480</v>
      </c>
      <c r="G290" s="106" t="n">
        <v>1.2</v>
      </c>
      <c r="H290" s="107" t="n"/>
      <c r="I290" s="108">
        <f>IF(H290="","",G290*H290)</f>
        <v/>
      </c>
      <c r="J290" s="243">
        <f>IF(I290="","",F290-I290)</f>
        <v/>
      </c>
      <c r="K290" s="110">
        <f>IF(OR(I290="",F290=0),"",I290/F290)</f>
        <v/>
      </c>
      <c r="L290" s="111">
        <f>IF(K290="","⚪",IF(K290&gt;1.2,"🔴",IF(K290&gt;1.1,"🟡","🟢")))</f>
        <v/>
      </c>
      <c r="N290" s="105" t="n">
        <v>60480</v>
      </c>
      <c r="O290" s="106" t="n">
        <v>1.2</v>
      </c>
      <c r="P290" s="107" t="n"/>
      <c r="Q290" s="108">
        <f>IF(P290="","",O290*P290)</f>
        <v/>
      </c>
      <c r="R290" s="243">
        <f>IF(Q290="","",N290-Q290)</f>
        <v/>
      </c>
      <c r="S290" s="110">
        <f>IF(OR(Q290="",N290=0),"",Q290/N290)</f>
        <v/>
      </c>
      <c r="T290" s="111">
        <f>IF(S290="","⚪",IF(S290&gt;1.2,"🔴",IF(S290&gt;1.1,"🟡","🟢")))</f>
        <v/>
      </c>
      <c r="V290" s="105" t="n">
        <v>60480</v>
      </c>
      <c r="W290" s="106" t="n">
        <v>1.2</v>
      </c>
      <c r="X290" s="107" t="n"/>
      <c r="Y290" s="108">
        <f>IF(X290="","",W290*X290)</f>
        <v/>
      </c>
      <c r="Z290" s="243">
        <f>IF(Y290="","",V290-Y290)</f>
        <v/>
      </c>
      <c r="AA290" s="110">
        <f>IF(OR(Y290="",V290=0),"",Y290/V290)</f>
        <v/>
      </c>
      <c r="AB290" s="111">
        <f>IF(AA290="","⚪",IF(AA290&gt;1.2,"🔴",IF(AA290&gt;1.1,"🟡","🟢")))</f>
        <v/>
      </c>
      <c r="AD290" s="105" t="n">
        <v>60480</v>
      </c>
      <c r="AE290" s="106" t="n">
        <v>1.2</v>
      </c>
      <c r="AF290" s="107" t="n"/>
      <c r="AG290" s="108">
        <f>IF(AF290="","",AE290*AF290)</f>
        <v/>
      </c>
      <c r="AH290" s="243">
        <f>IF(AG290="","",AD290-AG290)</f>
        <v/>
      </c>
      <c r="AI290" s="110">
        <f>IF(OR(AG290="",AD290=0),"",AG290/AD290)</f>
        <v/>
      </c>
      <c r="AJ290" s="111">
        <f>IF(AI290="","⚪",IF(AI290&gt;1.2,"🔴",IF(AI290&gt;1.1,"🟡","🟢")))</f>
        <v/>
      </c>
    </row>
    <row r="291" ht="14" customHeight="1" s="176">
      <c r="A291" s="103" t="inlineStr">
        <is>
          <t>Santa Catalina</t>
        </is>
      </c>
      <c r="B291" s="104" t="inlineStr">
        <is>
          <t>eureka 14,4 ha</t>
        </is>
      </c>
      <c r="C291" s="104" t="inlineStr">
        <is>
          <t>1- M.O. directa</t>
        </is>
      </c>
      <c r="D291" s="104" t="inlineStr">
        <is>
          <t>2- Supervisor cosecha</t>
        </is>
      </c>
      <c r="E291" s="104" t="inlineStr">
        <is>
          <t>día</t>
        </is>
      </c>
      <c r="F291" s="105" t="n">
        <v>352800</v>
      </c>
      <c r="G291" s="106" t="n">
        <v>7</v>
      </c>
      <c r="H291" s="107" t="n"/>
      <c r="I291" s="108">
        <f>IF(H291="","",G291*H291)</f>
        <v/>
      </c>
      <c r="J291" s="243">
        <f>IF(I291="","",F291-I291)</f>
        <v/>
      </c>
      <c r="K291" s="110">
        <f>IF(OR(I291="",F291=0),"",I291/F291)</f>
        <v/>
      </c>
      <c r="L291" s="111">
        <f>IF(K291="","⚪",IF(K291&gt;1.2,"🔴",IF(K291&gt;1.1,"🟡","🟢")))</f>
        <v/>
      </c>
      <c r="N291" s="105" t="n">
        <v>352800</v>
      </c>
      <c r="O291" s="106" t="n">
        <v>7</v>
      </c>
      <c r="P291" s="107" t="n"/>
      <c r="Q291" s="108">
        <f>IF(P291="","",O291*P291)</f>
        <v/>
      </c>
      <c r="R291" s="243">
        <f>IF(Q291="","",N291-Q291)</f>
        <v/>
      </c>
      <c r="S291" s="110">
        <f>IF(OR(Q291="",N291=0),"",Q291/N291)</f>
        <v/>
      </c>
      <c r="T291" s="111">
        <f>IF(S291="","⚪",IF(S291&gt;1.2,"🔴",IF(S291&gt;1.1,"🟡","🟢")))</f>
        <v/>
      </c>
      <c r="V291" s="105" t="n">
        <v>352800</v>
      </c>
      <c r="W291" s="106" t="n">
        <v>7</v>
      </c>
      <c r="X291" s="107" t="n"/>
      <c r="Y291" s="108">
        <f>IF(X291="","",W291*X291)</f>
        <v/>
      </c>
      <c r="Z291" s="243">
        <f>IF(Y291="","",V291-Y291)</f>
        <v/>
      </c>
      <c r="AA291" s="110">
        <f>IF(OR(Y291="",V291=0),"",Y291/V291)</f>
        <v/>
      </c>
      <c r="AB291" s="111">
        <f>IF(AA291="","⚪",IF(AA291&gt;1.2,"🔴",IF(AA291&gt;1.1,"🟡","🟢")))</f>
        <v/>
      </c>
      <c r="AD291" s="105" t="n">
        <v>352800</v>
      </c>
      <c r="AE291" s="106" t="n">
        <v>7</v>
      </c>
      <c r="AF291" s="107" t="n"/>
      <c r="AG291" s="108">
        <f>IF(AF291="","",AE291*AF291)</f>
        <v/>
      </c>
      <c r="AH291" s="243">
        <f>IF(AG291="","",AD291-AG291)</f>
        <v/>
      </c>
      <c r="AI291" s="110">
        <f>IF(OR(AG291="",AD291=0),"",AG291/AD291)</f>
        <v/>
      </c>
      <c r="AJ291" s="111">
        <f>IF(AI291="","⚪",IF(AI291&gt;1.2,"🔴",IF(AI291&gt;1.1,"🟡","🟢")))</f>
        <v/>
      </c>
    </row>
    <row r="292" ht="14" customHeight="1" s="176">
      <c r="A292" s="112" t="inlineStr">
        <is>
          <t>Santa Catalina</t>
        </is>
      </c>
      <c r="B292" s="113" t="inlineStr">
        <is>
          <t>eureka 14,4 ha</t>
        </is>
      </c>
      <c r="C292" s="113" t="inlineStr">
        <is>
          <t>1- M.O. directa</t>
        </is>
      </c>
      <c r="D292" s="113" t="inlineStr">
        <is>
          <t>3- Selección</t>
        </is>
      </c>
      <c r="E292" s="113" t="inlineStr">
        <is>
          <t>trato</t>
        </is>
      </c>
      <c r="F292" s="105" t="n">
        <v>907200</v>
      </c>
      <c r="G292" s="106" t="n">
        <v>18</v>
      </c>
      <c r="H292" s="107" t="n"/>
      <c r="I292" s="108">
        <f>IF(H292="","",G292*H292)</f>
        <v/>
      </c>
      <c r="J292" s="243">
        <f>IF(I292="","",F292-I292)</f>
        <v/>
      </c>
      <c r="K292" s="110">
        <f>IF(OR(I292="",F292=0),"",I292/F292)</f>
        <v/>
      </c>
      <c r="L292" s="111">
        <f>IF(K292="","⚪",IF(K292&gt;1.2,"🔴",IF(K292&gt;1.1,"🟡","🟢")))</f>
        <v/>
      </c>
      <c r="N292" s="105" t="n">
        <v>907200</v>
      </c>
      <c r="O292" s="106" t="n">
        <v>18</v>
      </c>
      <c r="P292" s="107" t="n"/>
      <c r="Q292" s="108">
        <f>IF(P292="","",O292*P292)</f>
        <v/>
      </c>
      <c r="R292" s="243">
        <f>IF(Q292="","",N292-Q292)</f>
        <v/>
      </c>
      <c r="S292" s="110">
        <f>IF(OR(Q292="",N292=0),"",Q292/N292)</f>
        <v/>
      </c>
      <c r="T292" s="111">
        <f>IF(S292="","⚪",IF(S292&gt;1.2,"🔴",IF(S292&gt;1.1,"🟡","🟢")))</f>
        <v/>
      </c>
      <c r="V292" s="105" t="n">
        <v>907200</v>
      </c>
      <c r="W292" s="106" t="n">
        <v>18</v>
      </c>
      <c r="X292" s="107" t="n"/>
      <c r="Y292" s="108">
        <f>IF(X292="","",W292*X292)</f>
        <v/>
      </c>
      <c r="Z292" s="243">
        <f>IF(Y292="","",V292-Y292)</f>
        <v/>
      </c>
      <c r="AA292" s="110">
        <f>IF(OR(Y292="",V292=0),"",Y292/V292)</f>
        <v/>
      </c>
      <c r="AB292" s="111">
        <f>IF(AA292="","⚪",IF(AA292&gt;1.2,"🔴",IF(AA292&gt;1.1,"🟡","🟢")))</f>
        <v/>
      </c>
      <c r="AD292" s="105" t="n">
        <v>907200</v>
      </c>
      <c r="AE292" s="106" t="n">
        <v>18</v>
      </c>
      <c r="AF292" s="107" t="n"/>
      <c r="AG292" s="108">
        <f>IF(AF292="","",AE292*AF292)</f>
        <v/>
      </c>
      <c r="AH292" s="243">
        <f>IF(AG292="","",AD292-AG292)</f>
        <v/>
      </c>
      <c r="AI292" s="110">
        <f>IF(OR(AG292="",AD292=0),"",AG292/AD292)</f>
        <v/>
      </c>
      <c r="AJ292" s="111">
        <f>IF(AI292="","⚪",IF(AI292&gt;1.2,"🔴",IF(AI292&gt;1.1,"🟡","🟢")))</f>
        <v/>
      </c>
    </row>
    <row r="293" ht="14" customHeight="1" s="176">
      <c r="A293" s="103" t="inlineStr">
        <is>
          <t>Santa Catalina</t>
        </is>
      </c>
      <c r="B293" s="104" t="inlineStr">
        <is>
          <t>eureka 14,4 ha</t>
        </is>
      </c>
      <c r="C293" s="104" t="inlineStr">
        <is>
          <t>1- M.O. directa</t>
        </is>
      </c>
      <c r="D293" s="104" t="inlineStr">
        <is>
          <t>3- Tractorista cosecha</t>
        </is>
      </c>
      <c r="E293" s="104" t="inlineStr">
        <is>
          <t>día</t>
        </is>
      </c>
      <c r="F293" s="105" t="n">
        <v>150595.2</v>
      </c>
      <c r="G293" s="106" t="n">
        <v>3</v>
      </c>
      <c r="H293" s="107" t="n"/>
      <c r="I293" s="108">
        <f>IF(H293="","",G293*H293)</f>
        <v/>
      </c>
      <c r="J293" s="243">
        <f>IF(I293="","",F293-I293)</f>
        <v/>
      </c>
      <c r="K293" s="110">
        <f>IF(OR(I293="",F293=0),"",I293/F293)</f>
        <v/>
      </c>
      <c r="L293" s="111">
        <f>IF(K293="","⚪",IF(K293&gt;1.2,"🔴",IF(K293&gt;1.1,"🟡","🟢")))</f>
        <v/>
      </c>
      <c r="N293" s="105" t="n">
        <v>150595.2</v>
      </c>
      <c r="O293" s="106" t="n">
        <v>3</v>
      </c>
      <c r="P293" s="107" t="n"/>
      <c r="Q293" s="108">
        <f>IF(P293="","",O293*P293)</f>
        <v/>
      </c>
      <c r="R293" s="243">
        <f>IF(Q293="","",N293-Q293)</f>
        <v/>
      </c>
      <c r="S293" s="110">
        <f>IF(OR(Q293="",N293=0),"",Q293/N293)</f>
        <v/>
      </c>
      <c r="T293" s="111">
        <f>IF(S293="","⚪",IF(S293&gt;1.2,"🔴",IF(S293&gt;1.1,"🟡","🟢")))</f>
        <v/>
      </c>
      <c r="V293" s="105" t="n">
        <v>150595.2</v>
      </c>
      <c r="W293" s="106" t="n">
        <v>3</v>
      </c>
      <c r="X293" s="107" t="n"/>
      <c r="Y293" s="108">
        <f>IF(X293="","",W293*X293)</f>
        <v/>
      </c>
      <c r="Z293" s="243">
        <f>IF(Y293="","",V293-Y293)</f>
        <v/>
      </c>
      <c r="AA293" s="110">
        <f>IF(OR(Y293="",V293=0),"",Y293/V293)</f>
        <v/>
      </c>
      <c r="AB293" s="111">
        <f>IF(AA293="","⚪",IF(AA293&gt;1.2,"🔴",IF(AA293&gt;1.1,"🟡","🟢")))</f>
        <v/>
      </c>
      <c r="AD293" s="105" t="n">
        <v>150595.2</v>
      </c>
      <c r="AE293" s="106" t="n">
        <v>3</v>
      </c>
      <c r="AF293" s="107" t="n"/>
      <c r="AG293" s="108">
        <f>IF(AF293="","",AE293*AF293)</f>
        <v/>
      </c>
      <c r="AH293" s="243">
        <f>IF(AG293="","",AD293-AG293)</f>
        <v/>
      </c>
      <c r="AI293" s="110">
        <f>IF(OR(AG293="",AD293=0),"",AG293/AD293)</f>
        <v/>
      </c>
      <c r="AJ293" s="111">
        <f>IF(AI293="","⚪",IF(AI293&gt;1.2,"🔴",IF(AI293&gt;1.1,"🟡","🟢")))</f>
        <v/>
      </c>
    </row>
    <row r="294" ht="14" customHeight="1" s="176">
      <c r="A294" s="112" t="inlineStr">
        <is>
          <t>Santa Catalina</t>
        </is>
      </c>
      <c r="B294" s="113" t="inlineStr">
        <is>
          <t>eureka 14,4 ha</t>
        </is>
      </c>
      <c r="C294" s="113" t="inlineStr">
        <is>
          <t>1- M.O. directa</t>
        </is>
      </c>
      <c r="D294" s="113" t="inlineStr">
        <is>
          <t>4- Grua</t>
        </is>
      </c>
      <c r="E294" s="113" t="inlineStr">
        <is>
          <t>día</t>
        </is>
      </c>
      <c r="F294" s="105" t="n">
        <v>75297.60000000001</v>
      </c>
      <c r="G294" s="106" t="n">
        <v>1.5</v>
      </c>
      <c r="H294" s="107" t="n"/>
      <c r="I294" s="108">
        <f>IF(H294="","",G294*H294)</f>
        <v/>
      </c>
      <c r="J294" s="243">
        <f>IF(I294="","",F294-I294)</f>
        <v/>
      </c>
      <c r="K294" s="110">
        <f>IF(OR(I294="",F294=0),"",I294/F294)</f>
        <v/>
      </c>
      <c r="L294" s="111">
        <f>IF(K294="","⚪",IF(K294&gt;1.2,"🔴",IF(K294&gt;1.1,"🟡","🟢")))</f>
        <v/>
      </c>
      <c r="N294" s="105" t="n">
        <v>75297.60000000001</v>
      </c>
      <c r="O294" s="106" t="n">
        <v>1.5</v>
      </c>
      <c r="P294" s="107" t="n"/>
      <c r="Q294" s="108">
        <f>IF(P294="","",O294*P294)</f>
        <v/>
      </c>
      <c r="R294" s="243">
        <f>IF(Q294="","",N294-Q294)</f>
        <v/>
      </c>
      <c r="S294" s="110">
        <f>IF(OR(Q294="",N294=0),"",Q294/N294)</f>
        <v/>
      </c>
      <c r="T294" s="111">
        <f>IF(S294="","⚪",IF(S294&gt;1.2,"🔴",IF(S294&gt;1.1,"🟡","🟢")))</f>
        <v/>
      </c>
      <c r="V294" s="105" t="n">
        <v>75297.60000000001</v>
      </c>
      <c r="W294" s="106" t="n">
        <v>1.5</v>
      </c>
      <c r="X294" s="107" t="n"/>
      <c r="Y294" s="108">
        <f>IF(X294="","",W294*X294)</f>
        <v/>
      </c>
      <c r="Z294" s="243">
        <f>IF(Y294="","",V294-Y294)</f>
        <v/>
      </c>
      <c r="AA294" s="110">
        <f>IF(OR(Y294="",V294=0),"",Y294/V294)</f>
        <v/>
      </c>
      <c r="AB294" s="111">
        <f>IF(AA294="","⚪",IF(AA294&gt;1.2,"🔴",IF(AA294&gt;1.1,"🟡","🟢")))</f>
        <v/>
      </c>
      <c r="AD294" s="105" t="n">
        <v>75297.60000000001</v>
      </c>
      <c r="AE294" s="106" t="n">
        <v>1.5</v>
      </c>
      <c r="AF294" s="107" t="n"/>
      <c r="AG294" s="108">
        <f>IF(AF294="","",AE294*AF294)</f>
        <v/>
      </c>
      <c r="AH294" s="243">
        <f>IF(AG294="","",AD294-AG294)</f>
        <v/>
      </c>
      <c r="AI294" s="110">
        <f>IF(OR(AG294="",AD294=0),"",AG294/AD294)</f>
        <v/>
      </c>
      <c r="AJ294" s="111">
        <f>IF(AI294="","⚪",IF(AI294&gt;1.2,"🔴",IF(AI294&gt;1.1,"🟡","🟢")))</f>
        <v/>
      </c>
    </row>
    <row r="295" ht="14" customHeight="1" s="176">
      <c r="A295" s="103" t="inlineStr">
        <is>
          <t>Santa Catalina</t>
        </is>
      </c>
      <c r="B295" s="104" t="inlineStr">
        <is>
          <t>eureka 14,4 ha</t>
        </is>
      </c>
      <c r="C295" s="104" t="inlineStr">
        <is>
          <t>1- M.O. directa</t>
        </is>
      </c>
      <c r="D295" s="104" t="inlineStr">
        <is>
          <t>5- Control de malezas mecánico</t>
        </is>
      </c>
      <c r="E295" s="104" t="inlineStr">
        <is>
          <t>trato</t>
        </is>
      </c>
      <c r="F295" s="105" t="n">
        <v>60048</v>
      </c>
      <c r="G295" s="106" t="n">
        <v>100</v>
      </c>
      <c r="H295" s="107" t="n"/>
      <c r="I295" s="108">
        <f>IF(H295="","",G295*H295)</f>
        <v/>
      </c>
      <c r="J295" s="243">
        <f>IF(I295="","",F295-I295)</f>
        <v/>
      </c>
      <c r="K295" s="110">
        <f>IF(OR(I295="",F295=0),"",I295/F295)</f>
        <v/>
      </c>
      <c r="L295" s="111">
        <f>IF(K295="","⚪",IF(K295&gt;1.2,"🔴",IF(K295&gt;1.1,"🟡","🟢")))</f>
        <v/>
      </c>
      <c r="N295" s="105" t="n">
        <v>60048</v>
      </c>
      <c r="O295" s="106" t="n">
        <v>100</v>
      </c>
      <c r="P295" s="107" t="n"/>
      <c r="Q295" s="108">
        <f>IF(P295="","",O295*P295)</f>
        <v/>
      </c>
      <c r="R295" s="243">
        <f>IF(Q295="","",N295-Q295)</f>
        <v/>
      </c>
      <c r="S295" s="110">
        <f>IF(OR(Q295="",N295=0),"",Q295/N295)</f>
        <v/>
      </c>
      <c r="T295" s="111">
        <f>IF(S295="","⚪",IF(S295&gt;1.2,"🔴",IF(S295&gt;1.1,"🟡","🟢")))</f>
        <v/>
      </c>
      <c r="V295" s="105" t="n">
        <v>60048</v>
      </c>
      <c r="W295" s="106" t="n">
        <v>100</v>
      </c>
      <c r="X295" s="107" t="n"/>
      <c r="Y295" s="108">
        <f>IF(X295="","",W295*X295)</f>
        <v/>
      </c>
      <c r="Z295" s="243">
        <f>IF(Y295="","",V295-Y295)</f>
        <v/>
      </c>
      <c r="AA295" s="110">
        <f>IF(OR(Y295="",V295=0),"",Y295/V295)</f>
        <v/>
      </c>
      <c r="AB295" s="111">
        <f>IF(AA295="","⚪",IF(AA295&gt;1.2,"🔴",IF(AA295&gt;1.1,"🟡","🟢")))</f>
        <v/>
      </c>
      <c r="AD295" s="105" t="n">
        <v>60048</v>
      </c>
      <c r="AE295" s="106" t="n">
        <v>100</v>
      </c>
      <c r="AF295" s="107" t="n"/>
      <c r="AG295" s="108">
        <f>IF(AF295="","",AE295*AF295)</f>
        <v/>
      </c>
      <c r="AH295" s="243">
        <f>IF(AG295="","",AD295-AG295)</f>
        <v/>
      </c>
      <c r="AI295" s="110">
        <f>IF(OR(AG295="",AD295=0),"",AG295/AD295)</f>
        <v/>
      </c>
      <c r="AJ295" s="111">
        <f>IF(AI295="","⚪",IF(AI295&gt;1.2,"🔴",IF(AI295&gt;1.1,"🟡","🟢")))</f>
        <v/>
      </c>
    </row>
    <row r="296" ht="14" customHeight="1" s="176">
      <c r="A296" s="112" t="inlineStr">
        <is>
          <t>Santa Catalina</t>
        </is>
      </c>
      <c r="B296" s="113" t="inlineStr">
        <is>
          <t>eureka 14,4 ha</t>
        </is>
      </c>
      <c r="C296" s="113" t="inlineStr">
        <is>
          <t>1- M.O. directa</t>
        </is>
      </c>
      <c r="D296" s="113" t="inlineStr">
        <is>
          <t>6- Control de malezas químico</t>
        </is>
      </c>
      <c r="E296" s="113" t="inlineStr">
        <is>
          <t>día</t>
        </is>
      </c>
      <c r="F296" s="105" t="n">
        <v>156600</v>
      </c>
      <c r="G296" s="106" t="n">
        <v>43500</v>
      </c>
      <c r="H296" s="107" t="n"/>
      <c r="I296" s="108">
        <f>IF(H296="","",G296*H296)</f>
        <v/>
      </c>
      <c r="J296" s="243">
        <f>IF(I296="","",F296-I296)</f>
        <v/>
      </c>
      <c r="K296" s="110">
        <f>IF(OR(I296="",F296=0),"",I296/F296)</f>
        <v/>
      </c>
      <c r="L296" s="111">
        <f>IF(K296="","⚪",IF(K296&gt;1.2,"🔴",IF(K296&gt;1.1,"🟡","🟢")))</f>
        <v/>
      </c>
      <c r="N296" s="105" t="n">
        <v>156600</v>
      </c>
      <c r="O296" s="106" t="n">
        <v>43500</v>
      </c>
      <c r="P296" s="107" t="n"/>
      <c r="Q296" s="108">
        <f>IF(P296="","",O296*P296)</f>
        <v/>
      </c>
      <c r="R296" s="243">
        <f>IF(Q296="","",N296-Q296)</f>
        <v/>
      </c>
      <c r="S296" s="110">
        <f>IF(OR(Q296="",N296=0),"",Q296/N296)</f>
        <v/>
      </c>
      <c r="T296" s="111">
        <f>IF(S296="","⚪",IF(S296&gt;1.2,"🔴",IF(S296&gt;1.1,"🟡","🟢")))</f>
        <v/>
      </c>
      <c r="V296" s="105" t="n">
        <v>156600</v>
      </c>
      <c r="W296" s="106" t="n">
        <v>43500</v>
      </c>
      <c r="X296" s="107" t="n"/>
      <c r="Y296" s="108">
        <f>IF(X296="","",W296*X296)</f>
        <v/>
      </c>
      <c r="Z296" s="243">
        <f>IF(Y296="","",V296-Y296)</f>
        <v/>
      </c>
      <c r="AA296" s="110">
        <f>IF(OR(Y296="",V296=0),"",Y296/V296)</f>
        <v/>
      </c>
      <c r="AB296" s="111">
        <f>IF(AA296="","⚪",IF(AA296&gt;1.2,"🔴",IF(AA296&gt;1.1,"🟡","🟢")))</f>
        <v/>
      </c>
      <c r="AD296" s="105" t="n">
        <v>156600</v>
      </c>
      <c r="AE296" s="106" t="n">
        <v>43500</v>
      </c>
      <c r="AF296" s="107" t="n"/>
      <c r="AG296" s="108">
        <f>IF(AF296="","",AE296*AF296)</f>
        <v/>
      </c>
      <c r="AH296" s="243">
        <f>IF(AG296="","",AD296-AG296)</f>
        <v/>
      </c>
      <c r="AI296" s="110">
        <f>IF(OR(AG296="",AD296=0),"",AG296/AD296)</f>
        <v/>
      </c>
      <c r="AJ296" s="111">
        <f>IF(AI296="","⚪",IF(AI296&gt;1.2,"🔴",IF(AI296&gt;1.1,"🟡","🟢")))</f>
        <v/>
      </c>
    </row>
    <row r="297" ht="14" customHeight="1" s="176">
      <c r="A297" s="103" t="inlineStr">
        <is>
          <t>Santa Catalina</t>
        </is>
      </c>
      <c r="B297" s="104" t="inlineStr">
        <is>
          <t>eureka 14,4 ha</t>
        </is>
      </c>
      <c r="C297" s="104" t="inlineStr">
        <is>
          <t>1- M.O. directa</t>
        </is>
      </c>
      <c r="D297" s="104" t="inlineStr">
        <is>
          <t>7,1- TRACTORISTA</t>
        </is>
      </c>
      <c r="E297" s="104" t="inlineStr">
        <is>
          <t>día</t>
        </is>
      </c>
      <c r="F297" s="105" t="n">
        <v>273490.56</v>
      </c>
      <c r="G297" s="106" t="n">
        <v>38000</v>
      </c>
      <c r="H297" s="107" t="n"/>
      <c r="I297" s="108">
        <f>IF(H297="","",G297*H297)</f>
        <v/>
      </c>
      <c r="J297" s="243">
        <f>IF(I297="","",F297-I297)</f>
        <v/>
      </c>
      <c r="K297" s="110">
        <f>IF(OR(I297="",F297=0),"",I297/F297)</f>
        <v/>
      </c>
      <c r="L297" s="111">
        <f>IF(K297="","⚪",IF(K297&gt;1.2,"🔴",IF(K297&gt;1.1,"🟡","🟢")))</f>
        <v/>
      </c>
      <c r="N297" s="105" t="n">
        <v>273490.56</v>
      </c>
      <c r="O297" s="106" t="n">
        <v>38000</v>
      </c>
      <c r="P297" s="107" t="n"/>
      <c r="Q297" s="108">
        <f>IF(P297="","",O297*P297)</f>
        <v/>
      </c>
      <c r="R297" s="243">
        <f>IF(Q297="","",N297-Q297)</f>
        <v/>
      </c>
      <c r="S297" s="110">
        <f>IF(OR(Q297="",N297=0),"",Q297/N297)</f>
        <v/>
      </c>
      <c r="T297" s="111">
        <f>IF(S297="","⚪",IF(S297&gt;1.2,"🔴",IF(S297&gt;1.1,"🟡","🟢")))</f>
        <v/>
      </c>
      <c r="V297" s="105" t="n">
        <v>273490.56</v>
      </c>
      <c r="W297" s="106" t="n">
        <v>38000</v>
      </c>
      <c r="X297" s="107" t="n"/>
      <c r="Y297" s="108">
        <f>IF(X297="","",W297*X297)</f>
        <v/>
      </c>
      <c r="Z297" s="243">
        <f>IF(Y297="","",V297-Y297)</f>
        <v/>
      </c>
      <c r="AA297" s="110">
        <f>IF(OR(Y297="",V297=0),"",Y297/V297)</f>
        <v/>
      </c>
      <c r="AB297" s="111">
        <f>IF(AA297="","⚪",IF(AA297&gt;1.2,"🔴",IF(AA297&gt;1.1,"🟡","🟢")))</f>
        <v/>
      </c>
      <c r="AD297" s="105" t="n">
        <v>273490.56</v>
      </c>
      <c r="AE297" s="106" t="n">
        <v>38000</v>
      </c>
      <c r="AF297" s="107" t="n"/>
      <c r="AG297" s="108">
        <f>IF(AF297="","",AE297*AF297)</f>
        <v/>
      </c>
      <c r="AH297" s="243">
        <f>IF(AG297="","",AD297-AG297)</f>
        <v/>
      </c>
      <c r="AI297" s="110">
        <f>IF(OR(AG297="",AD297=0),"",AG297/AD297)</f>
        <v/>
      </c>
      <c r="AJ297" s="111">
        <f>IF(AI297="","⚪",IF(AI297&gt;1.2,"🔴",IF(AI297&gt;1.1,"🟡","🟢")))</f>
        <v/>
      </c>
    </row>
    <row r="298" ht="14" customHeight="1" s="176">
      <c r="A298" s="112" t="inlineStr">
        <is>
          <t>Santa Catalina</t>
        </is>
      </c>
      <c r="B298" s="113" t="inlineStr">
        <is>
          <t>eureka 14,4 ha</t>
        </is>
      </c>
      <c r="C298" s="113" t="inlineStr">
        <is>
          <t>1- M.O. directa</t>
        </is>
      </c>
      <c r="D298" s="113" t="inlineStr">
        <is>
          <t>7- Acordonar sarmiento</t>
        </is>
      </c>
      <c r="E298" s="113" t="inlineStr">
        <is>
          <t>trato</t>
        </is>
      </c>
      <c r="F298" s="105" t="n">
        <v>21016.8</v>
      </c>
      <c r="G298" s="106" t="n">
        <v>70</v>
      </c>
      <c r="H298" s="107" t="n"/>
      <c r="I298" s="108">
        <f>IF(H298="","",G298*H298)</f>
        <v/>
      </c>
      <c r="J298" s="243">
        <f>IF(I298="","",F298-I298)</f>
        <v/>
      </c>
      <c r="K298" s="110">
        <f>IF(OR(I298="",F298=0),"",I298/F298)</f>
        <v/>
      </c>
      <c r="L298" s="111">
        <f>IF(K298="","⚪",IF(K298&gt;1.2,"🔴",IF(K298&gt;1.1,"🟡","🟢")))</f>
        <v/>
      </c>
      <c r="N298" s="105" t="n">
        <v>21016.8</v>
      </c>
      <c r="O298" s="106" t="n">
        <v>70</v>
      </c>
      <c r="P298" s="107" t="n"/>
      <c r="Q298" s="108">
        <f>IF(P298="","",O298*P298)</f>
        <v/>
      </c>
      <c r="R298" s="243">
        <f>IF(Q298="","",N298-Q298)</f>
        <v/>
      </c>
      <c r="S298" s="110">
        <f>IF(OR(Q298="",N298=0),"",Q298/N298)</f>
        <v/>
      </c>
      <c r="T298" s="111">
        <f>IF(S298="","⚪",IF(S298&gt;1.2,"🔴",IF(S298&gt;1.1,"🟡","🟢")))</f>
        <v/>
      </c>
      <c r="V298" s="105" t="n">
        <v>21016.8</v>
      </c>
      <c r="W298" s="106" t="n">
        <v>70</v>
      </c>
      <c r="X298" s="107" t="n"/>
      <c r="Y298" s="108">
        <f>IF(X298="","",W298*X298)</f>
        <v/>
      </c>
      <c r="Z298" s="243">
        <f>IF(Y298="","",V298-Y298)</f>
        <v/>
      </c>
      <c r="AA298" s="110">
        <f>IF(OR(Y298="",V298=0),"",Y298/V298)</f>
        <v/>
      </c>
      <c r="AB298" s="111">
        <f>IF(AA298="","⚪",IF(AA298&gt;1.2,"🔴",IF(AA298&gt;1.1,"🟡","🟢")))</f>
        <v/>
      </c>
      <c r="AD298" s="105" t="n">
        <v>21016.8</v>
      </c>
      <c r="AE298" s="106" t="n">
        <v>70</v>
      </c>
      <c r="AF298" s="107" t="n"/>
      <c r="AG298" s="108">
        <f>IF(AF298="","",AE298*AF298)</f>
        <v/>
      </c>
      <c r="AH298" s="243">
        <f>IF(AG298="","",AD298-AG298)</f>
        <v/>
      </c>
      <c r="AI298" s="110">
        <f>IF(OR(AG298="",AD298=0),"",AG298/AD298)</f>
        <v/>
      </c>
      <c r="AJ298" s="111">
        <f>IF(AI298="","⚪",IF(AI298&gt;1.2,"🔴",IF(AI298&gt;1.1,"🟡","🟢")))</f>
        <v/>
      </c>
    </row>
    <row r="299" ht="14" customHeight="1" s="176">
      <c r="A299" s="103" t="inlineStr">
        <is>
          <t>Santa Catalina</t>
        </is>
      </c>
      <c r="B299" s="104" t="inlineStr">
        <is>
          <t>eureka 14,4 ha</t>
        </is>
      </c>
      <c r="C299" s="104" t="inlineStr">
        <is>
          <t>2- M.O. indirecta</t>
        </is>
      </c>
      <c r="D299" s="104" t="inlineStr">
        <is>
          <t xml:space="preserve">1- ADM. GENERAL </t>
        </is>
      </c>
      <c r="E299" s="104" t="inlineStr">
        <is>
          <t>día</t>
        </is>
      </c>
      <c r="F299" s="105" t="n">
        <v>479328.192</v>
      </c>
      <c r="G299" s="106" t="n">
        <v>66600</v>
      </c>
      <c r="H299" s="107" t="n"/>
      <c r="I299" s="108">
        <f>IF(H299="","",G299*H299)</f>
        <v/>
      </c>
      <c r="J299" s="243">
        <f>IF(I299="","",F299-I299)</f>
        <v/>
      </c>
      <c r="K299" s="110">
        <f>IF(OR(I299="",F299=0),"",I299/F299)</f>
        <v/>
      </c>
      <c r="L299" s="111">
        <f>IF(K299="","⚪",IF(K299&gt;1.2,"🔴",IF(K299&gt;1.1,"🟡","🟢")))</f>
        <v/>
      </c>
      <c r="N299" s="105" t="n">
        <v>479328.192</v>
      </c>
      <c r="O299" s="106" t="n">
        <v>66600</v>
      </c>
      <c r="P299" s="107" t="n"/>
      <c r="Q299" s="108">
        <f>IF(P299="","",O299*P299)</f>
        <v/>
      </c>
      <c r="R299" s="243">
        <f>IF(Q299="","",N299-Q299)</f>
        <v/>
      </c>
      <c r="S299" s="110">
        <f>IF(OR(Q299="",N299=0),"",Q299/N299)</f>
        <v/>
      </c>
      <c r="T299" s="111">
        <f>IF(S299="","⚪",IF(S299&gt;1.2,"🔴",IF(S299&gt;1.1,"🟡","🟢")))</f>
        <v/>
      </c>
      <c r="V299" s="105" t="n">
        <v>479328.192</v>
      </c>
      <c r="W299" s="106" t="n">
        <v>66600</v>
      </c>
      <c r="X299" s="107" t="n"/>
      <c r="Y299" s="108">
        <f>IF(X299="","",W299*X299)</f>
        <v/>
      </c>
      <c r="Z299" s="243">
        <f>IF(Y299="","",V299-Y299)</f>
        <v/>
      </c>
      <c r="AA299" s="110">
        <f>IF(OR(Y299="",V299=0),"",Y299/V299)</f>
        <v/>
      </c>
      <c r="AB299" s="111">
        <f>IF(AA299="","⚪",IF(AA299&gt;1.2,"🔴",IF(AA299&gt;1.1,"🟡","🟢")))</f>
        <v/>
      </c>
      <c r="AD299" s="105" t="n">
        <v>479328.192</v>
      </c>
      <c r="AE299" s="106" t="n">
        <v>66600</v>
      </c>
      <c r="AF299" s="107" t="n"/>
      <c r="AG299" s="108">
        <f>IF(AF299="","",AE299*AF299)</f>
        <v/>
      </c>
      <c r="AH299" s="243">
        <f>IF(AG299="","",AD299-AG299)</f>
        <v/>
      </c>
      <c r="AI299" s="110">
        <f>IF(OR(AG299="",AD299=0),"",AG299/AD299)</f>
        <v/>
      </c>
      <c r="AJ299" s="111">
        <f>IF(AI299="","⚪",IF(AI299&gt;1.2,"🔴",IF(AI299&gt;1.1,"🟡","🟢")))</f>
        <v/>
      </c>
    </row>
    <row r="300" ht="14" customHeight="1" s="176">
      <c r="A300" s="112" t="inlineStr">
        <is>
          <t>Santa Catalina</t>
        </is>
      </c>
      <c r="B300" s="113" t="inlineStr">
        <is>
          <t>eureka 14,4 ha</t>
        </is>
      </c>
      <c r="C300" s="113" t="inlineStr">
        <is>
          <t>2- M.O. indirecta</t>
        </is>
      </c>
      <c r="D300" s="113" t="inlineStr">
        <is>
          <t>2,1- JEFE DE CAMPO</t>
        </is>
      </c>
      <c r="E300" s="113" t="inlineStr">
        <is>
          <t>día</t>
        </is>
      </c>
      <c r="F300" s="105" t="n">
        <v>212135.112</v>
      </c>
      <c r="G300" s="106" t="n">
        <v>29475</v>
      </c>
      <c r="H300" s="107" t="n"/>
      <c r="I300" s="108">
        <f>IF(H300="","",G300*H300)</f>
        <v/>
      </c>
      <c r="J300" s="243">
        <f>IF(I300="","",F300-I300)</f>
        <v/>
      </c>
      <c r="K300" s="110">
        <f>IF(OR(I300="",F300=0),"",I300/F300)</f>
        <v/>
      </c>
      <c r="L300" s="111">
        <f>IF(K300="","⚪",IF(K300&gt;1.2,"🔴",IF(K300&gt;1.1,"🟡","🟢")))</f>
        <v/>
      </c>
      <c r="N300" s="105" t="n">
        <v>212135.112</v>
      </c>
      <c r="O300" s="106" t="n">
        <v>29475</v>
      </c>
      <c r="P300" s="107" t="n"/>
      <c r="Q300" s="108">
        <f>IF(P300="","",O300*P300)</f>
        <v/>
      </c>
      <c r="R300" s="243">
        <f>IF(Q300="","",N300-Q300)</f>
        <v/>
      </c>
      <c r="S300" s="110">
        <f>IF(OR(Q300="",N300=0),"",Q300/N300)</f>
        <v/>
      </c>
      <c r="T300" s="111">
        <f>IF(S300="","⚪",IF(S300&gt;1.2,"🔴",IF(S300&gt;1.1,"🟡","🟢")))</f>
        <v/>
      </c>
      <c r="V300" s="105" t="n">
        <v>212135.112</v>
      </c>
      <c r="W300" s="106" t="n">
        <v>29475</v>
      </c>
      <c r="X300" s="107" t="n"/>
      <c r="Y300" s="108">
        <f>IF(X300="","",W300*X300)</f>
        <v/>
      </c>
      <c r="Z300" s="243">
        <f>IF(Y300="","",V300-Y300)</f>
        <v/>
      </c>
      <c r="AA300" s="110">
        <f>IF(OR(Y300="",V300=0),"",Y300/V300)</f>
        <v/>
      </c>
      <c r="AB300" s="111">
        <f>IF(AA300="","⚪",IF(AA300&gt;1.2,"🔴",IF(AA300&gt;1.1,"🟡","🟢")))</f>
        <v/>
      </c>
      <c r="AD300" s="105" t="n">
        <v>212135.112</v>
      </c>
      <c r="AE300" s="106" t="n">
        <v>29475</v>
      </c>
      <c r="AF300" s="107" t="n"/>
      <c r="AG300" s="108">
        <f>IF(AF300="","",AE300*AF300)</f>
        <v/>
      </c>
      <c r="AH300" s="243">
        <f>IF(AG300="","",AD300-AG300)</f>
        <v/>
      </c>
      <c r="AI300" s="110">
        <f>IF(OR(AG300="",AD300=0),"",AG300/AD300)</f>
        <v/>
      </c>
      <c r="AJ300" s="111">
        <f>IF(AI300="","⚪",IF(AI300&gt;1.2,"🔴",IF(AI300&gt;1.1,"🟡","🟢")))</f>
        <v/>
      </c>
    </row>
    <row r="301" ht="14" customHeight="1" s="176">
      <c r="A301" s="103" t="inlineStr">
        <is>
          <t>Santa Catalina</t>
        </is>
      </c>
      <c r="B301" s="104" t="inlineStr">
        <is>
          <t>eureka 14,4 ha</t>
        </is>
      </c>
      <c r="C301" s="104" t="inlineStr">
        <is>
          <t>2- M.O. indirecta</t>
        </is>
      </c>
      <c r="D301" s="104" t="inlineStr">
        <is>
          <t>2- ADMINISTRACION</t>
        </is>
      </c>
      <c r="E301" s="104" t="inlineStr">
        <is>
          <t>día</t>
        </is>
      </c>
      <c r="F301" s="105" t="n">
        <v>58296.672</v>
      </c>
      <c r="G301" s="106" t="n">
        <v>8100</v>
      </c>
      <c r="H301" s="107" t="n"/>
      <c r="I301" s="108">
        <f>IF(H301="","",G301*H301)</f>
        <v/>
      </c>
      <c r="J301" s="243">
        <f>IF(I301="","",F301-I301)</f>
        <v/>
      </c>
      <c r="K301" s="110">
        <f>IF(OR(I301="",F301=0),"",I301/F301)</f>
        <v/>
      </c>
      <c r="L301" s="111">
        <f>IF(K301="","⚪",IF(K301&gt;1.2,"🔴",IF(K301&gt;1.1,"🟡","🟢")))</f>
        <v/>
      </c>
      <c r="N301" s="105" t="n">
        <v>58296.672</v>
      </c>
      <c r="O301" s="106" t="n">
        <v>8100</v>
      </c>
      <c r="P301" s="107" t="n"/>
      <c r="Q301" s="108">
        <f>IF(P301="","",O301*P301)</f>
        <v/>
      </c>
      <c r="R301" s="243">
        <f>IF(Q301="","",N301-Q301)</f>
        <v/>
      </c>
      <c r="S301" s="110">
        <f>IF(OR(Q301="",N301=0),"",Q301/N301)</f>
        <v/>
      </c>
      <c r="T301" s="111">
        <f>IF(S301="","⚪",IF(S301&gt;1.2,"🔴",IF(S301&gt;1.1,"🟡","🟢")))</f>
        <v/>
      </c>
      <c r="V301" s="105" t="n">
        <v>58296.672</v>
      </c>
      <c r="W301" s="106" t="n">
        <v>8100</v>
      </c>
      <c r="X301" s="107" t="n"/>
      <c r="Y301" s="108">
        <f>IF(X301="","",W301*X301)</f>
        <v/>
      </c>
      <c r="Z301" s="243">
        <f>IF(Y301="","",V301-Y301)</f>
        <v/>
      </c>
      <c r="AA301" s="110">
        <f>IF(OR(Y301="",V301=0),"",Y301/V301)</f>
        <v/>
      </c>
      <c r="AB301" s="111">
        <f>IF(AA301="","⚪",IF(AA301&gt;1.2,"🔴",IF(AA301&gt;1.1,"🟡","🟢")))</f>
        <v/>
      </c>
      <c r="AD301" s="105" t="n">
        <v>58296.672</v>
      </c>
      <c r="AE301" s="106" t="n">
        <v>8100</v>
      </c>
      <c r="AF301" s="107" t="n"/>
      <c r="AG301" s="108">
        <f>IF(AF301="","",AE301*AF301)</f>
        <v/>
      </c>
      <c r="AH301" s="243">
        <f>IF(AG301="","",AD301-AG301)</f>
        <v/>
      </c>
      <c r="AI301" s="110">
        <f>IF(OR(AG301="",AD301=0),"",AG301/AD301)</f>
        <v/>
      </c>
      <c r="AJ301" s="111">
        <f>IF(AI301="","⚪",IF(AI301&gt;1.2,"🔴",IF(AI301&gt;1.1,"🟡","🟢")))</f>
        <v/>
      </c>
    </row>
    <row r="302" ht="14" customHeight="1" s="176">
      <c r="A302" s="112" t="inlineStr">
        <is>
          <t>Santa Catalina</t>
        </is>
      </c>
      <c r="B302" s="113" t="inlineStr">
        <is>
          <t>eureka 14,4 ha</t>
        </is>
      </c>
      <c r="C302" s="113" t="inlineStr">
        <is>
          <t>2- M.O. indirecta</t>
        </is>
      </c>
      <c r="D302" s="113" t="inlineStr">
        <is>
          <t>3,1-  ENCARGADO DE RIEGO</t>
        </is>
      </c>
      <c r="E302" s="113" t="inlineStr">
        <is>
          <t>día</t>
        </is>
      </c>
      <c r="F302" s="105" t="n">
        <v>321121.69992</v>
      </c>
      <c r="G302" s="106" t="n">
        <v>44618.0833333333</v>
      </c>
      <c r="H302" s="107" t="n"/>
      <c r="I302" s="108">
        <f>IF(H302="","",G302*H302)</f>
        <v/>
      </c>
      <c r="J302" s="243">
        <f>IF(I302="","",F302-I302)</f>
        <v/>
      </c>
      <c r="K302" s="110">
        <f>IF(OR(I302="",F302=0),"",I302/F302)</f>
        <v/>
      </c>
      <c r="L302" s="111">
        <f>IF(K302="","⚪",IF(K302&gt;1.2,"🔴",IF(K302&gt;1.1,"🟡","🟢")))</f>
        <v/>
      </c>
      <c r="N302" s="105" t="n">
        <v>321121.69992</v>
      </c>
      <c r="O302" s="106" t="n">
        <v>44618.0833333333</v>
      </c>
      <c r="P302" s="107" t="n"/>
      <c r="Q302" s="108">
        <f>IF(P302="","",O302*P302)</f>
        <v/>
      </c>
      <c r="R302" s="243">
        <f>IF(Q302="","",N302-Q302)</f>
        <v/>
      </c>
      <c r="S302" s="110">
        <f>IF(OR(Q302="",N302=0),"",Q302/N302)</f>
        <v/>
      </c>
      <c r="T302" s="111">
        <f>IF(S302="","⚪",IF(S302&gt;1.2,"🔴",IF(S302&gt;1.1,"🟡","🟢")))</f>
        <v/>
      </c>
      <c r="V302" s="105" t="n">
        <v>321121.69992</v>
      </c>
      <c r="W302" s="106" t="n">
        <v>44618.0833333333</v>
      </c>
      <c r="X302" s="107" t="n"/>
      <c r="Y302" s="108">
        <f>IF(X302="","",W302*X302)</f>
        <v/>
      </c>
      <c r="Z302" s="243">
        <f>IF(Y302="","",V302-Y302)</f>
        <v/>
      </c>
      <c r="AA302" s="110">
        <f>IF(OR(Y302="",V302=0),"",Y302/V302)</f>
        <v/>
      </c>
      <c r="AB302" s="111">
        <f>IF(AA302="","⚪",IF(AA302&gt;1.2,"🔴",IF(AA302&gt;1.1,"🟡","🟢")))</f>
        <v/>
      </c>
      <c r="AD302" s="105" t="n">
        <v>321121.69992</v>
      </c>
      <c r="AE302" s="106" t="n">
        <v>44618.0833333333</v>
      </c>
      <c r="AF302" s="107" t="n"/>
      <c r="AG302" s="108">
        <f>IF(AF302="","",AE302*AF302)</f>
        <v/>
      </c>
      <c r="AH302" s="243">
        <f>IF(AG302="","",AD302-AG302)</f>
        <v/>
      </c>
      <c r="AI302" s="110">
        <f>IF(OR(AG302="",AD302=0),"",AG302/AD302)</f>
        <v/>
      </c>
      <c r="AJ302" s="111">
        <f>IF(AI302="","⚪",IF(AI302&gt;1.2,"🔴",IF(AI302&gt;1.1,"🟡","🟢")))</f>
        <v/>
      </c>
    </row>
    <row r="303" ht="14" customHeight="1" s="176">
      <c r="A303" s="103" t="inlineStr">
        <is>
          <t>Santa Catalina</t>
        </is>
      </c>
      <c r="B303" s="104" t="inlineStr">
        <is>
          <t>eureka 14,4 ha</t>
        </is>
      </c>
      <c r="C303" s="104" t="inlineStr">
        <is>
          <t>2- M.O. indirecta</t>
        </is>
      </c>
      <c r="D303" s="104" t="inlineStr">
        <is>
          <t>3- ADQUIS. Y BODEGA</t>
        </is>
      </c>
      <c r="E303" s="104" t="inlineStr">
        <is>
          <t>día</t>
        </is>
      </c>
      <c r="F303" s="105" t="n">
        <v>58296.672</v>
      </c>
      <c r="G303" s="106" t="n">
        <v>8100</v>
      </c>
      <c r="H303" s="107" t="n"/>
      <c r="I303" s="108">
        <f>IF(H303="","",G303*H303)</f>
        <v/>
      </c>
      <c r="J303" s="243">
        <f>IF(I303="","",F303-I303)</f>
        <v/>
      </c>
      <c r="K303" s="110">
        <f>IF(OR(I303="",F303=0),"",I303/F303)</f>
        <v/>
      </c>
      <c r="L303" s="111">
        <f>IF(K303="","⚪",IF(K303&gt;1.2,"🔴",IF(K303&gt;1.1,"🟡","🟢")))</f>
        <v/>
      </c>
      <c r="N303" s="105" t="n">
        <v>58296.672</v>
      </c>
      <c r="O303" s="106" t="n">
        <v>8100</v>
      </c>
      <c r="P303" s="107" t="n"/>
      <c r="Q303" s="108">
        <f>IF(P303="","",O303*P303)</f>
        <v/>
      </c>
      <c r="R303" s="243">
        <f>IF(Q303="","",N303-Q303)</f>
        <v/>
      </c>
      <c r="S303" s="110">
        <f>IF(OR(Q303="",N303=0),"",Q303/N303)</f>
        <v/>
      </c>
      <c r="T303" s="111">
        <f>IF(S303="","⚪",IF(S303&gt;1.2,"🔴",IF(S303&gt;1.1,"🟡","🟢")))</f>
        <v/>
      </c>
      <c r="V303" s="105" t="n">
        <v>58296.672</v>
      </c>
      <c r="W303" s="106" t="n">
        <v>8100</v>
      </c>
      <c r="X303" s="107" t="n"/>
      <c r="Y303" s="108">
        <f>IF(X303="","",W303*X303)</f>
        <v/>
      </c>
      <c r="Z303" s="243">
        <f>IF(Y303="","",V303-Y303)</f>
        <v/>
      </c>
      <c r="AA303" s="110">
        <f>IF(OR(Y303="",V303=0),"",Y303/V303)</f>
        <v/>
      </c>
      <c r="AB303" s="111">
        <f>IF(AA303="","⚪",IF(AA303&gt;1.2,"🔴",IF(AA303&gt;1.1,"🟡","🟢")))</f>
        <v/>
      </c>
      <c r="AD303" s="105" t="n">
        <v>58296.672</v>
      </c>
      <c r="AE303" s="106" t="n">
        <v>8100</v>
      </c>
      <c r="AF303" s="107" t="n"/>
      <c r="AG303" s="108">
        <f>IF(AF303="","",AE303*AF303)</f>
        <v/>
      </c>
      <c r="AH303" s="243">
        <f>IF(AG303="","",AD303-AG303)</f>
        <v/>
      </c>
      <c r="AI303" s="110">
        <f>IF(OR(AG303="",AD303=0),"",AG303/AD303)</f>
        <v/>
      </c>
      <c r="AJ303" s="111">
        <f>IF(AI303="","⚪",IF(AI303&gt;1.2,"🔴",IF(AI303&gt;1.1,"🟡","🟢")))</f>
        <v/>
      </c>
    </row>
    <row r="304" ht="14" customHeight="1" s="176">
      <c r="A304" s="112" t="inlineStr">
        <is>
          <t>Santa Catalina</t>
        </is>
      </c>
      <c r="B304" s="113" t="inlineStr">
        <is>
          <t>eureka 14,4 ha</t>
        </is>
      </c>
      <c r="C304" s="113" t="inlineStr">
        <is>
          <t>2- M.O. indirecta</t>
        </is>
      </c>
      <c r="D304" s="113" t="inlineStr">
        <is>
          <t>4,1- ENCARGADO MANTENCIONES</t>
        </is>
      </c>
      <c r="E304" s="113" t="inlineStr">
        <is>
          <t>día</t>
        </is>
      </c>
      <c r="F304" s="105" t="n">
        <v>79168.31999999999</v>
      </c>
      <c r="G304" s="106" t="n">
        <v>11000</v>
      </c>
      <c r="H304" s="107" t="n"/>
      <c r="I304" s="108">
        <f>IF(H304="","",G304*H304)</f>
        <v/>
      </c>
      <c r="J304" s="243">
        <f>IF(I304="","",F304-I304)</f>
        <v/>
      </c>
      <c r="K304" s="110">
        <f>IF(OR(I304="",F304=0),"",I304/F304)</f>
        <v/>
      </c>
      <c r="L304" s="111">
        <f>IF(K304="","⚪",IF(K304&gt;1.2,"🔴",IF(K304&gt;1.1,"🟡","🟢")))</f>
        <v/>
      </c>
      <c r="N304" s="105" t="n">
        <v>79168.31999999999</v>
      </c>
      <c r="O304" s="106" t="n">
        <v>11000</v>
      </c>
      <c r="P304" s="107" t="n"/>
      <c r="Q304" s="108">
        <f>IF(P304="","",O304*P304)</f>
        <v/>
      </c>
      <c r="R304" s="243">
        <f>IF(Q304="","",N304-Q304)</f>
        <v/>
      </c>
      <c r="S304" s="110">
        <f>IF(OR(Q304="",N304=0),"",Q304/N304)</f>
        <v/>
      </c>
      <c r="T304" s="111">
        <f>IF(S304="","⚪",IF(S304&gt;1.2,"🔴",IF(S304&gt;1.1,"🟡","🟢")))</f>
        <v/>
      </c>
      <c r="V304" s="105" t="n">
        <v>79168.31999999999</v>
      </c>
      <c r="W304" s="106" t="n">
        <v>11000</v>
      </c>
      <c r="X304" s="107" t="n"/>
      <c r="Y304" s="108">
        <f>IF(X304="","",W304*X304)</f>
        <v/>
      </c>
      <c r="Z304" s="243">
        <f>IF(Y304="","",V304-Y304)</f>
        <v/>
      </c>
      <c r="AA304" s="110">
        <f>IF(OR(Y304="",V304=0),"",Y304/V304)</f>
        <v/>
      </c>
      <c r="AB304" s="111">
        <f>IF(AA304="","⚪",IF(AA304&gt;1.2,"🔴",IF(AA304&gt;1.1,"🟡","🟢")))</f>
        <v/>
      </c>
      <c r="AD304" s="105" t="n">
        <v>79168.31999999999</v>
      </c>
      <c r="AE304" s="106" t="n">
        <v>11000</v>
      </c>
      <c r="AF304" s="107" t="n"/>
      <c r="AG304" s="108">
        <f>IF(AF304="","",AE304*AF304)</f>
        <v/>
      </c>
      <c r="AH304" s="243">
        <f>IF(AG304="","",AD304-AG304)</f>
        <v/>
      </c>
      <c r="AI304" s="110">
        <f>IF(OR(AG304="",AD304=0),"",AG304/AD304)</f>
        <v/>
      </c>
      <c r="AJ304" s="111">
        <f>IF(AI304="","⚪",IF(AI304&gt;1.2,"🔴",IF(AI304&gt;1.1,"🟡","🟢")))</f>
        <v/>
      </c>
    </row>
    <row r="305" ht="14" customHeight="1" s="176">
      <c r="A305" s="103" t="inlineStr">
        <is>
          <t>Santa Catalina</t>
        </is>
      </c>
      <c r="B305" s="104" t="inlineStr">
        <is>
          <t>eureka 14,4 ha</t>
        </is>
      </c>
      <c r="C305" s="104" t="inlineStr">
        <is>
          <t>2- M.O. indirecta</t>
        </is>
      </c>
      <c r="D305" s="104" t="inlineStr">
        <is>
          <t>4- CERTIFICACIONES</t>
        </is>
      </c>
      <c r="E305" s="104" t="inlineStr">
        <is>
          <t>día</t>
        </is>
      </c>
      <c r="F305" s="105" t="n">
        <v>46526.382</v>
      </c>
      <c r="G305" s="106" t="n">
        <v>6464.58333333333</v>
      </c>
      <c r="H305" s="107" t="n"/>
      <c r="I305" s="108">
        <f>IF(H305="","",G305*H305)</f>
        <v/>
      </c>
      <c r="J305" s="243">
        <f>IF(I305="","",F305-I305)</f>
        <v/>
      </c>
      <c r="K305" s="110">
        <f>IF(OR(I305="",F305=0),"",I305/F305)</f>
        <v/>
      </c>
      <c r="L305" s="111">
        <f>IF(K305="","⚪",IF(K305&gt;1.2,"🔴",IF(K305&gt;1.1,"🟡","🟢")))</f>
        <v/>
      </c>
      <c r="N305" s="105" t="n">
        <v>46526.382</v>
      </c>
      <c r="O305" s="106" t="n">
        <v>6464.58333333333</v>
      </c>
      <c r="P305" s="107" t="n"/>
      <c r="Q305" s="108">
        <f>IF(P305="","",O305*P305)</f>
        <v/>
      </c>
      <c r="R305" s="243">
        <f>IF(Q305="","",N305-Q305)</f>
        <v/>
      </c>
      <c r="S305" s="110">
        <f>IF(OR(Q305="",N305=0),"",Q305/N305)</f>
        <v/>
      </c>
      <c r="T305" s="111">
        <f>IF(S305="","⚪",IF(S305&gt;1.2,"🔴",IF(S305&gt;1.1,"🟡","🟢")))</f>
        <v/>
      </c>
      <c r="V305" s="105" t="n">
        <v>46526.382</v>
      </c>
      <c r="W305" s="106" t="n">
        <v>6464.58333333333</v>
      </c>
      <c r="X305" s="107" t="n"/>
      <c r="Y305" s="108">
        <f>IF(X305="","",W305*X305)</f>
        <v/>
      </c>
      <c r="Z305" s="243">
        <f>IF(Y305="","",V305-Y305)</f>
        <v/>
      </c>
      <c r="AA305" s="110">
        <f>IF(OR(Y305="",V305=0),"",Y305/V305)</f>
        <v/>
      </c>
      <c r="AB305" s="111">
        <f>IF(AA305="","⚪",IF(AA305&gt;1.2,"🔴",IF(AA305&gt;1.1,"🟡","🟢")))</f>
        <v/>
      </c>
      <c r="AD305" s="105" t="n">
        <v>46526.382</v>
      </c>
      <c r="AE305" s="106" t="n">
        <v>6464.58333333333</v>
      </c>
      <c r="AF305" s="107" t="n"/>
      <c r="AG305" s="108">
        <f>IF(AF305="","",AE305*AF305)</f>
        <v/>
      </c>
      <c r="AH305" s="243">
        <f>IF(AG305="","",AD305-AG305)</f>
        <v/>
      </c>
      <c r="AI305" s="110">
        <f>IF(OR(AG305="",AD305=0),"",AG305/AD305)</f>
        <v/>
      </c>
      <c r="AJ305" s="111">
        <f>IF(AI305="","⚪",IF(AI305&gt;1.2,"🔴",IF(AI305&gt;1.1,"🟡","🟢")))</f>
        <v/>
      </c>
    </row>
    <row r="306" ht="14" customHeight="1" s="176">
      <c r="A306" s="112" t="inlineStr">
        <is>
          <t>Santa Catalina</t>
        </is>
      </c>
      <c r="B306" s="113" t="inlineStr">
        <is>
          <t>eureka 14,4 ha</t>
        </is>
      </c>
      <c r="C306" s="113" t="inlineStr">
        <is>
          <t>2- M.O. indirecta</t>
        </is>
      </c>
      <c r="D306" s="113" t="inlineStr">
        <is>
          <t>5- PREVEN. DE RIESGO</t>
        </is>
      </c>
      <c r="E306" s="113" t="inlineStr">
        <is>
          <t>día</t>
        </is>
      </c>
      <c r="F306" s="105" t="n">
        <v>11335.464</v>
      </c>
      <c r="G306" s="106" t="n">
        <v>1575</v>
      </c>
      <c r="H306" s="107" t="n"/>
      <c r="I306" s="108">
        <f>IF(H306="","",G306*H306)</f>
        <v/>
      </c>
      <c r="J306" s="243">
        <f>IF(I306="","",F306-I306)</f>
        <v/>
      </c>
      <c r="K306" s="110">
        <f>IF(OR(I306="",F306=0),"",I306/F306)</f>
        <v/>
      </c>
      <c r="L306" s="111">
        <f>IF(K306="","⚪",IF(K306&gt;1.2,"🔴",IF(K306&gt;1.1,"🟡","🟢")))</f>
        <v/>
      </c>
      <c r="N306" s="105" t="n">
        <v>11335.464</v>
      </c>
      <c r="O306" s="106" t="n">
        <v>1575</v>
      </c>
      <c r="P306" s="107" t="n"/>
      <c r="Q306" s="108">
        <f>IF(P306="","",O306*P306)</f>
        <v/>
      </c>
      <c r="R306" s="243">
        <f>IF(Q306="","",N306-Q306)</f>
        <v/>
      </c>
      <c r="S306" s="110">
        <f>IF(OR(Q306="",N306=0),"",Q306/N306)</f>
        <v/>
      </c>
      <c r="T306" s="111">
        <f>IF(S306="","⚪",IF(S306&gt;1.2,"🔴",IF(S306&gt;1.1,"🟡","🟢")))</f>
        <v/>
      </c>
      <c r="V306" s="105" t="n">
        <v>11335.464</v>
      </c>
      <c r="W306" s="106" t="n">
        <v>1575</v>
      </c>
      <c r="X306" s="107" t="n"/>
      <c r="Y306" s="108">
        <f>IF(X306="","",W306*X306)</f>
        <v/>
      </c>
      <c r="Z306" s="243">
        <f>IF(Y306="","",V306-Y306)</f>
        <v/>
      </c>
      <c r="AA306" s="110">
        <f>IF(OR(Y306="",V306=0),"",Y306/V306)</f>
        <v/>
      </c>
      <c r="AB306" s="111">
        <f>IF(AA306="","⚪",IF(AA306&gt;1.2,"🔴",IF(AA306&gt;1.1,"🟡","🟢")))</f>
        <v/>
      </c>
      <c r="AD306" s="105" t="n">
        <v>11335.464</v>
      </c>
      <c r="AE306" s="106" t="n">
        <v>1575</v>
      </c>
      <c r="AF306" s="107" t="n"/>
      <c r="AG306" s="108">
        <f>IF(AF306="","",AE306*AF306)</f>
        <v/>
      </c>
      <c r="AH306" s="243">
        <f>IF(AG306="","",AD306-AG306)</f>
        <v/>
      </c>
      <c r="AI306" s="110">
        <f>IF(OR(AG306="",AD306=0),"",AG306/AD306)</f>
        <v/>
      </c>
      <c r="AJ306" s="111">
        <f>IF(AI306="","⚪",IF(AI306&gt;1.2,"🔴",IF(AI306&gt;1.1,"🟡","🟢")))</f>
        <v/>
      </c>
    </row>
    <row r="307" ht="14" customHeight="1" s="176">
      <c r="A307" s="103" t="inlineStr">
        <is>
          <t>Santa Catalina</t>
        </is>
      </c>
      <c r="B307" s="104" t="inlineStr">
        <is>
          <t>eureka 14,4 ha</t>
        </is>
      </c>
      <c r="C307" s="104" t="inlineStr">
        <is>
          <t>2- M.O. indirecta</t>
        </is>
      </c>
      <c r="D307" s="104" t="inlineStr">
        <is>
          <t>9,1- RONDIN FUNDO</t>
        </is>
      </c>
      <c r="E307" s="104" t="inlineStr">
        <is>
          <t>día</t>
        </is>
      </c>
      <c r="F307" s="105" t="n">
        <v>286171.88544</v>
      </c>
      <c r="G307" s="106" t="n">
        <v>39762</v>
      </c>
      <c r="H307" s="107" t="n"/>
      <c r="I307" s="108">
        <f>IF(H307="","",G307*H307)</f>
        <v/>
      </c>
      <c r="J307" s="243">
        <f>IF(I307="","",F307-I307)</f>
        <v/>
      </c>
      <c r="K307" s="110">
        <f>IF(OR(I307="",F307=0),"",I307/F307)</f>
        <v/>
      </c>
      <c r="L307" s="111">
        <f>IF(K307="","⚪",IF(K307&gt;1.2,"🔴",IF(K307&gt;1.1,"🟡","🟢")))</f>
        <v/>
      </c>
      <c r="N307" s="105" t="n">
        <v>286171.88544</v>
      </c>
      <c r="O307" s="106" t="n">
        <v>39762</v>
      </c>
      <c r="P307" s="107" t="n"/>
      <c r="Q307" s="108">
        <f>IF(P307="","",O307*P307)</f>
        <v/>
      </c>
      <c r="R307" s="243">
        <f>IF(Q307="","",N307-Q307)</f>
        <v/>
      </c>
      <c r="S307" s="110">
        <f>IF(OR(Q307="",N307=0),"",Q307/N307)</f>
        <v/>
      </c>
      <c r="T307" s="111">
        <f>IF(S307="","⚪",IF(S307&gt;1.2,"🔴",IF(S307&gt;1.1,"🟡","🟢")))</f>
        <v/>
      </c>
      <c r="V307" s="105" t="n">
        <v>286171.88544</v>
      </c>
      <c r="W307" s="106" t="n">
        <v>39762</v>
      </c>
      <c r="X307" s="107" t="n"/>
      <c r="Y307" s="108">
        <f>IF(X307="","",W307*X307)</f>
        <v/>
      </c>
      <c r="Z307" s="243">
        <f>IF(Y307="","",V307-Y307)</f>
        <v/>
      </c>
      <c r="AA307" s="110">
        <f>IF(OR(Y307="",V307=0),"",Y307/V307)</f>
        <v/>
      </c>
      <c r="AB307" s="111">
        <f>IF(AA307="","⚪",IF(AA307&gt;1.2,"🔴",IF(AA307&gt;1.1,"🟡","🟢")))</f>
        <v/>
      </c>
      <c r="AD307" s="105" t="n">
        <v>286171.88544</v>
      </c>
      <c r="AE307" s="106" t="n">
        <v>39762</v>
      </c>
      <c r="AF307" s="107" t="n"/>
      <c r="AG307" s="108">
        <f>IF(AF307="","",AE307*AF307)</f>
        <v/>
      </c>
      <c r="AH307" s="243">
        <f>IF(AG307="","",AD307-AG307)</f>
        <v/>
      </c>
      <c r="AI307" s="110">
        <f>IF(OR(AG307="",AD307=0),"",AG307/AD307)</f>
        <v/>
      </c>
      <c r="AJ307" s="111">
        <f>IF(AI307="","⚪",IF(AI307&gt;1.2,"🔴",IF(AI307&gt;1.1,"🟡","🟢")))</f>
        <v/>
      </c>
    </row>
    <row r="308" ht="14" customHeight="1" s="176">
      <c r="A308" s="112" t="inlineStr">
        <is>
          <t>Santa Catalina</t>
        </is>
      </c>
      <c r="B308" s="113" t="inlineStr">
        <is>
          <t>eureka 14,4 ha</t>
        </is>
      </c>
      <c r="C308" s="113" t="inlineStr">
        <is>
          <t>2- M.O. indirecta</t>
        </is>
      </c>
      <c r="D308" s="113" t="inlineStr">
        <is>
          <t>9,1- RONDIN ZANJON</t>
        </is>
      </c>
      <c r="E308" s="113" t="inlineStr">
        <is>
          <t>día</t>
        </is>
      </c>
      <c r="F308" s="105" t="n">
        <v>508750.0185600001</v>
      </c>
      <c r="G308" s="106" t="n">
        <v>70688</v>
      </c>
      <c r="H308" s="107" t="n"/>
      <c r="I308" s="108">
        <f>IF(H308="","",G308*H308)</f>
        <v/>
      </c>
      <c r="J308" s="243">
        <f>IF(I308="","",F308-I308)</f>
        <v/>
      </c>
      <c r="K308" s="110">
        <f>IF(OR(I308="",F308=0),"",I308/F308)</f>
        <v/>
      </c>
      <c r="L308" s="111">
        <f>IF(K308="","⚪",IF(K308&gt;1.2,"🔴",IF(K308&gt;1.1,"🟡","🟢")))</f>
        <v/>
      </c>
      <c r="N308" s="105" t="n">
        <v>508750.0185600001</v>
      </c>
      <c r="O308" s="106" t="n">
        <v>70688</v>
      </c>
      <c r="P308" s="107" t="n"/>
      <c r="Q308" s="108">
        <f>IF(P308="","",O308*P308)</f>
        <v/>
      </c>
      <c r="R308" s="243">
        <f>IF(Q308="","",N308-Q308)</f>
        <v/>
      </c>
      <c r="S308" s="110">
        <f>IF(OR(Q308="",N308=0),"",Q308/N308)</f>
        <v/>
      </c>
      <c r="T308" s="111">
        <f>IF(S308="","⚪",IF(S308&gt;1.2,"🔴",IF(S308&gt;1.1,"🟡","🟢")))</f>
        <v/>
      </c>
      <c r="V308" s="105" t="n">
        <v>508750.0185600001</v>
      </c>
      <c r="W308" s="106" t="n">
        <v>70688</v>
      </c>
      <c r="X308" s="107" t="n"/>
      <c r="Y308" s="108">
        <f>IF(X308="","",W308*X308)</f>
        <v/>
      </c>
      <c r="Z308" s="243">
        <f>IF(Y308="","",V308-Y308)</f>
        <v/>
      </c>
      <c r="AA308" s="110">
        <f>IF(OR(Y308="",V308=0),"",Y308/V308)</f>
        <v/>
      </c>
      <c r="AB308" s="111">
        <f>IF(AA308="","⚪",IF(AA308&gt;1.2,"🔴",IF(AA308&gt;1.1,"🟡","🟢")))</f>
        <v/>
      </c>
      <c r="AD308" s="105" t="n">
        <v>508750.0185600001</v>
      </c>
      <c r="AE308" s="106" t="n">
        <v>70688</v>
      </c>
      <c r="AF308" s="107" t="n"/>
      <c r="AG308" s="108">
        <f>IF(AF308="","",AE308*AF308)</f>
        <v/>
      </c>
      <c r="AH308" s="243">
        <f>IF(AG308="","",AD308-AG308)</f>
        <v/>
      </c>
      <c r="AI308" s="110">
        <f>IF(OR(AG308="",AD308=0),"",AG308/AD308)</f>
        <v/>
      </c>
      <c r="AJ308" s="111">
        <f>IF(AI308="","⚪",IF(AI308&gt;1.2,"🔴",IF(AI308&gt;1.1,"🟡","🟢")))</f>
        <v/>
      </c>
    </row>
    <row r="309" ht="14" customHeight="1" s="176">
      <c r="A309" s="103" t="inlineStr">
        <is>
          <t>Santa Catalina</t>
        </is>
      </c>
      <c r="B309" s="104" t="inlineStr">
        <is>
          <t>eureka 22,55</t>
        </is>
      </c>
      <c r="C309" s="104" t="inlineStr">
        <is>
          <t>1- M.O. directa</t>
        </is>
      </c>
      <c r="D309" s="104" t="inlineStr">
        <is>
          <t xml:space="preserve">1,4- Mantención caminos </t>
        </is>
      </c>
      <c r="E309" s="104" t="inlineStr">
        <is>
          <t>día</t>
        </is>
      </c>
      <c r="F309" s="105" t="n">
        <v>294277.5</v>
      </c>
      <c r="G309" s="106" t="n">
        <v>43500</v>
      </c>
      <c r="H309" s="107" t="n"/>
      <c r="I309" s="108">
        <f>IF(H309="","",G309*H309)</f>
        <v/>
      </c>
      <c r="J309" s="243">
        <f>IF(I309="","",F309-I309)</f>
        <v/>
      </c>
      <c r="K309" s="110">
        <f>IF(OR(I309="",F309=0),"",I309/F309)</f>
        <v/>
      </c>
      <c r="L309" s="111">
        <f>IF(K309="","⚪",IF(K309&gt;1.2,"🔴",IF(K309&gt;1.1,"🟡","🟢")))</f>
        <v/>
      </c>
      <c r="N309" s="105" t="n">
        <v>294277.5</v>
      </c>
      <c r="O309" s="106" t="n">
        <v>43500</v>
      </c>
      <c r="P309" s="107" t="n"/>
      <c r="Q309" s="108">
        <f>IF(P309="","",O309*P309)</f>
        <v/>
      </c>
      <c r="R309" s="243">
        <f>IF(Q309="","",N309-Q309)</f>
        <v/>
      </c>
      <c r="S309" s="110">
        <f>IF(OR(Q309="",N309=0),"",Q309/N309)</f>
        <v/>
      </c>
      <c r="T309" s="111">
        <f>IF(S309="","⚪",IF(S309&gt;1.2,"🔴",IF(S309&gt;1.1,"🟡","🟢")))</f>
        <v/>
      </c>
      <c r="V309" s="105" t="n">
        <v>294277.5</v>
      </c>
      <c r="W309" s="106" t="n">
        <v>43500</v>
      </c>
      <c r="X309" s="107" t="n"/>
      <c r="Y309" s="108">
        <f>IF(X309="","",W309*X309)</f>
        <v/>
      </c>
      <c r="Z309" s="243">
        <f>IF(Y309="","",V309-Y309)</f>
        <v/>
      </c>
      <c r="AA309" s="110">
        <f>IF(OR(Y309="",V309=0),"",Y309/V309)</f>
        <v/>
      </c>
      <c r="AB309" s="111">
        <f>IF(AA309="","⚪",IF(AA309&gt;1.2,"🔴",IF(AA309&gt;1.1,"🟡","🟢")))</f>
        <v/>
      </c>
      <c r="AD309" s="105" t="n">
        <v>294277.5</v>
      </c>
      <c r="AE309" s="106" t="n">
        <v>43500</v>
      </c>
      <c r="AF309" s="107" t="n"/>
      <c r="AG309" s="108">
        <f>IF(AF309="","",AE309*AF309)</f>
        <v/>
      </c>
      <c r="AH309" s="243">
        <f>IF(AG309="","",AD309-AG309)</f>
        <v/>
      </c>
      <c r="AI309" s="110">
        <f>IF(OR(AG309="",AD309=0),"",AG309/AD309)</f>
        <v/>
      </c>
      <c r="AJ309" s="111">
        <f>IF(AI309="","⚪",IF(AI309&gt;1.2,"🔴",IF(AI309&gt;1.1,"🟡","🟢")))</f>
        <v/>
      </c>
    </row>
    <row r="310" ht="14" customHeight="1" s="176">
      <c r="A310" s="112" t="inlineStr">
        <is>
          <t>Santa Catalina</t>
        </is>
      </c>
      <c r="B310" s="113" t="inlineStr">
        <is>
          <t>eureka 22,55</t>
        </is>
      </c>
      <c r="C310" s="113" t="inlineStr">
        <is>
          <t>1- M.O. directa</t>
        </is>
      </c>
      <c r="D310" s="113" t="inlineStr">
        <is>
          <t>1- Cosecha EXP</t>
        </is>
      </c>
      <c r="E310" s="113" t="inlineStr">
        <is>
          <t>trato</t>
        </is>
      </c>
      <c r="F310" s="105" t="n">
        <v>2403345.175</v>
      </c>
      <c r="G310" s="106" t="n">
        <v>83</v>
      </c>
      <c r="H310" s="107" t="n"/>
      <c r="I310" s="108">
        <f>IF(H310="","",G310*H310)</f>
        <v/>
      </c>
      <c r="J310" s="243">
        <f>IF(I310="","",F310-I310)</f>
        <v/>
      </c>
      <c r="K310" s="110">
        <f>IF(OR(I310="",F310=0),"",I310/F310)</f>
        <v/>
      </c>
      <c r="L310" s="111">
        <f>IF(K310="","⚪",IF(K310&gt;1.2,"🔴",IF(K310&gt;1.1,"🟡","🟢")))</f>
        <v/>
      </c>
      <c r="N310" s="105" t="n">
        <v>2403345.175</v>
      </c>
      <c r="O310" s="106" t="n">
        <v>83</v>
      </c>
      <c r="P310" s="107" t="n"/>
      <c r="Q310" s="108">
        <f>IF(P310="","",O310*P310)</f>
        <v/>
      </c>
      <c r="R310" s="243">
        <f>IF(Q310="","",N310-Q310)</f>
        <v/>
      </c>
      <c r="S310" s="110">
        <f>IF(OR(Q310="",N310=0),"",Q310/N310)</f>
        <v/>
      </c>
      <c r="T310" s="111">
        <f>IF(S310="","⚪",IF(S310&gt;1.2,"🔴",IF(S310&gt;1.1,"🟡","🟢")))</f>
        <v/>
      </c>
      <c r="V310" s="105" t="n">
        <v>2403345.175</v>
      </c>
      <c r="W310" s="106" t="n">
        <v>83</v>
      </c>
      <c r="X310" s="107" t="n"/>
      <c r="Y310" s="108">
        <f>IF(X310="","",W310*X310)</f>
        <v/>
      </c>
      <c r="Z310" s="243">
        <f>IF(Y310="","",V310-Y310)</f>
        <v/>
      </c>
      <c r="AA310" s="110">
        <f>IF(OR(Y310="",V310=0),"",Y310/V310)</f>
        <v/>
      </c>
      <c r="AB310" s="111">
        <f>IF(AA310="","⚪",IF(AA310&gt;1.2,"🔴",IF(AA310&gt;1.1,"🟡","🟢")))</f>
        <v/>
      </c>
      <c r="AD310" s="105" t="n">
        <v>2403345.175</v>
      </c>
      <c r="AE310" s="106" t="n">
        <v>83</v>
      </c>
      <c r="AF310" s="107" t="n"/>
      <c r="AG310" s="108">
        <f>IF(AF310="","",AE310*AF310)</f>
        <v/>
      </c>
      <c r="AH310" s="243">
        <f>IF(AG310="","",AD310-AG310)</f>
        <v/>
      </c>
      <c r="AI310" s="110">
        <f>IF(OR(AG310="",AD310=0),"",AG310/AD310)</f>
        <v/>
      </c>
      <c r="AJ310" s="111">
        <f>IF(AI310="","⚪",IF(AI310&gt;1.2,"🔴",IF(AI310&gt;1.1,"🟡","🟢")))</f>
        <v/>
      </c>
    </row>
    <row r="311" ht="14" customHeight="1" s="176">
      <c r="A311" s="103" t="inlineStr">
        <is>
          <t>Santa Catalina</t>
        </is>
      </c>
      <c r="B311" s="104" t="inlineStr">
        <is>
          <t>eureka 22,55</t>
        </is>
      </c>
      <c r="C311" s="104" t="inlineStr">
        <is>
          <t>1- M.O. directa</t>
        </is>
      </c>
      <c r="D311" s="104" t="inlineStr">
        <is>
          <t>1- Cosecha M.I</t>
        </is>
      </c>
      <c r="E311" s="104" t="inlineStr">
        <is>
          <t>trato</t>
        </is>
      </c>
      <c r="F311" s="105" t="n">
        <v>3209603.5125</v>
      </c>
      <c r="G311" s="106" t="n"/>
      <c r="H311" s="107" t="n"/>
      <c r="I311" s="108">
        <f>IF(H311="","",G311*H311)</f>
        <v/>
      </c>
      <c r="J311" s="243">
        <f>IF(I311="","",F311-I311)</f>
        <v/>
      </c>
      <c r="K311" s="110">
        <f>IF(OR(I311="",F311=0),"",I311/F311)</f>
        <v/>
      </c>
      <c r="L311" s="111">
        <f>IF(K311="","⚪",IF(K311&gt;1.2,"🔴",IF(K311&gt;1.1,"🟡","🟢")))</f>
        <v/>
      </c>
      <c r="N311" s="105" t="n">
        <v>3209603.5125</v>
      </c>
      <c r="O311" s="106" t="n"/>
      <c r="P311" s="107" t="n"/>
      <c r="Q311" s="108">
        <f>IF(P311="","",O311*P311)</f>
        <v/>
      </c>
      <c r="R311" s="243">
        <f>IF(Q311="","",N311-Q311)</f>
        <v/>
      </c>
      <c r="S311" s="110">
        <f>IF(OR(Q311="",N311=0),"",Q311/N311)</f>
        <v/>
      </c>
      <c r="T311" s="111">
        <f>IF(S311="","⚪",IF(S311&gt;1.2,"🔴",IF(S311&gt;1.1,"🟡","🟢")))</f>
        <v/>
      </c>
      <c r="V311" s="105" t="n">
        <v>3209603.5125</v>
      </c>
      <c r="W311" s="106" t="n"/>
      <c r="X311" s="107" t="n"/>
      <c r="Y311" s="108">
        <f>IF(X311="","",W311*X311)</f>
        <v/>
      </c>
      <c r="Z311" s="243">
        <f>IF(Y311="","",V311-Y311)</f>
        <v/>
      </c>
      <c r="AA311" s="110">
        <f>IF(OR(Y311="",V311=0),"",Y311/V311)</f>
        <v/>
      </c>
      <c r="AB311" s="111">
        <f>IF(AA311="","⚪",IF(AA311&gt;1.2,"🔴",IF(AA311&gt;1.1,"🟡","🟢")))</f>
        <v/>
      </c>
      <c r="AD311" s="105" t="n">
        <v>3209603.5125</v>
      </c>
      <c r="AE311" s="106" t="n"/>
      <c r="AF311" s="107" t="n"/>
      <c r="AG311" s="108">
        <f>IF(AF311="","",AE311*AF311)</f>
        <v/>
      </c>
      <c r="AH311" s="243">
        <f>IF(AG311="","",AD311-AG311)</f>
        <v/>
      </c>
      <c r="AI311" s="110">
        <f>IF(OR(AG311="",AD311=0),"",AG311/AD311)</f>
        <v/>
      </c>
      <c r="AJ311" s="111">
        <f>IF(AI311="","⚪",IF(AI311&gt;1.2,"🔴",IF(AI311&gt;1.1,"🟡","🟢")))</f>
        <v/>
      </c>
    </row>
    <row r="312" ht="14" customHeight="1" s="176">
      <c r="A312" s="112" t="inlineStr">
        <is>
          <t>Santa Catalina</t>
        </is>
      </c>
      <c r="B312" s="113" t="inlineStr">
        <is>
          <t>eureka 22,55</t>
        </is>
      </c>
      <c r="C312" s="113" t="inlineStr">
        <is>
          <t>1- M.O. directa</t>
        </is>
      </c>
      <c r="D312" s="113" t="inlineStr">
        <is>
          <t>12- Picar sarmiento</t>
        </is>
      </c>
      <c r="E312" s="113" t="inlineStr">
        <is>
          <t>trato</t>
        </is>
      </c>
      <c r="F312" s="105" t="n">
        <v>28210.05</v>
      </c>
      <c r="G312" s="106" t="n">
        <v>60</v>
      </c>
      <c r="H312" s="107" t="n"/>
      <c r="I312" s="108">
        <f>IF(H312="","",G312*H312)</f>
        <v/>
      </c>
      <c r="J312" s="243">
        <f>IF(I312="","",F312-I312)</f>
        <v/>
      </c>
      <c r="K312" s="110">
        <f>IF(OR(I312="",F312=0),"",I312/F312)</f>
        <v/>
      </c>
      <c r="L312" s="111">
        <f>IF(K312="","⚪",IF(K312&gt;1.2,"🔴",IF(K312&gt;1.1,"🟡","🟢")))</f>
        <v/>
      </c>
      <c r="N312" s="105" t="n">
        <v>28210.05</v>
      </c>
      <c r="O312" s="106" t="n">
        <v>60</v>
      </c>
      <c r="P312" s="107" t="n"/>
      <c r="Q312" s="108">
        <f>IF(P312="","",O312*P312)</f>
        <v/>
      </c>
      <c r="R312" s="243">
        <f>IF(Q312="","",N312-Q312)</f>
        <v/>
      </c>
      <c r="S312" s="110">
        <f>IF(OR(Q312="",N312=0),"",Q312/N312)</f>
        <v/>
      </c>
      <c r="T312" s="111">
        <f>IF(S312="","⚪",IF(S312&gt;1.2,"🔴",IF(S312&gt;1.1,"🟡","🟢")))</f>
        <v/>
      </c>
      <c r="V312" s="105" t="n">
        <v>28210.05</v>
      </c>
      <c r="W312" s="106" t="n">
        <v>60</v>
      </c>
      <c r="X312" s="107" t="n"/>
      <c r="Y312" s="108">
        <f>IF(X312="","",W312*X312)</f>
        <v/>
      </c>
      <c r="Z312" s="243">
        <f>IF(Y312="","",V312-Y312)</f>
        <v/>
      </c>
      <c r="AA312" s="110">
        <f>IF(OR(Y312="",V312=0),"",Y312/V312)</f>
        <v/>
      </c>
      <c r="AB312" s="111">
        <f>IF(AA312="","⚪",IF(AA312&gt;1.2,"🔴",IF(AA312&gt;1.1,"🟡","🟢")))</f>
        <v/>
      </c>
      <c r="AD312" s="105" t="n">
        <v>28210.05</v>
      </c>
      <c r="AE312" s="106" t="n">
        <v>60</v>
      </c>
      <c r="AF312" s="107" t="n"/>
      <c r="AG312" s="108">
        <f>IF(AF312="","",AE312*AF312)</f>
        <v/>
      </c>
      <c r="AH312" s="243">
        <f>IF(AG312="","",AD312-AG312)</f>
        <v/>
      </c>
      <c r="AI312" s="110">
        <f>IF(OR(AG312="",AD312=0),"",AG312/AD312)</f>
        <v/>
      </c>
      <c r="AJ312" s="111">
        <f>IF(AI312="","⚪",IF(AI312&gt;1.2,"🔴",IF(AI312&gt;1.1,"🟡","🟢")))</f>
        <v/>
      </c>
    </row>
    <row r="313" ht="14" customHeight="1" s="176">
      <c r="A313" s="103" t="inlineStr">
        <is>
          <t>Santa Catalina</t>
        </is>
      </c>
      <c r="B313" s="104" t="inlineStr">
        <is>
          <t>eureka 22,55</t>
        </is>
      </c>
      <c r="C313" s="104" t="inlineStr">
        <is>
          <t>1- M.O. directa</t>
        </is>
      </c>
      <c r="D313" s="104" t="inlineStr">
        <is>
          <t>13- Poda antenas</t>
        </is>
      </c>
      <c r="E313" s="104" t="inlineStr">
        <is>
          <t>trato</t>
        </is>
      </c>
      <c r="F313" s="105" t="n">
        <v>282100.5</v>
      </c>
      <c r="G313" s="106" t="n">
        <v>600</v>
      </c>
      <c r="H313" s="107" t="n"/>
      <c r="I313" s="108">
        <f>IF(H313="","",G313*H313)</f>
        <v/>
      </c>
      <c r="J313" s="243">
        <f>IF(I313="","",F313-I313)</f>
        <v/>
      </c>
      <c r="K313" s="110">
        <f>IF(OR(I313="",F313=0),"",I313/F313)</f>
        <v/>
      </c>
      <c r="L313" s="111">
        <f>IF(K313="","⚪",IF(K313&gt;1.2,"🔴",IF(K313&gt;1.1,"🟡","🟢")))</f>
        <v/>
      </c>
      <c r="N313" s="105" t="n">
        <v>282100.5</v>
      </c>
      <c r="O313" s="106" t="n">
        <v>600</v>
      </c>
      <c r="P313" s="107" t="n"/>
      <c r="Q313" s="108">
        <f>IF(P313="","",O313*P313)</f>
        <v/>
      </c>
      <c r="R313" s="243">
        <f>IF(Q313="","",N313-Q313)</f>
        <v/>
      </c>
      <c r="S313" s="110">
        <f>IF(OR(Q313="",N313=0),"",Q313/N313)</f>
        <v/>
      </c>
      <c r="T313" s="111">
        <f>IF(S313="","⚪",IF(S313&gt;1.2,"🔴",IF(S313&gt;1.1,"🟡","🟢")))</f>
        <v/>
      </c>
      <c r="V313" s="105" t="n">
        <v>282100.5</v>
      </c>
      <c r="W313" s="106" t="n">
        <v>600</v>
      </c>
      <c r="X313" s="107" t="n"/>
      <c r="Y313" s="108">
        <f>IF(X313="","",W313*X313)</f>
        <v/>
      </c>
      <c r="Z313" s="243">
        <f>IF(Y313="","",V313-Y313)</f>
        <v/>
      </c>
      <c r="AA313" s="110">
        <f>IF(OR(Y313="",V313=0),"",Y313/V313)</f>
        <v/>
      </c>
      <c r="AB313" s="111">
        <f>IF(AA313="","⚪",IF(AA313&gt;1.2,"🔴",IF(AA313&gt;1.1,"🟡","🟢")))</f>
        <v/>
      </c>
      <c r="AD313" s="105" t="n">
        <v>282100.5</v>
      </c>
      <c r="AE313" s="106" t="n">
        <v>600</v>
      </c>
      <c r="AF313" s="107" t="n"/>
      <c r="AG313" s="108">
        <f>IF(AF313="","",AE313*AF313)</f>
        <v/>
      </c>
      <c r="AH313" s="243">
        <f>IF(AG313="","",AD313-AG313)</f>
        <v/>
      </c>
      <c r="AI313" s="110">
        <f>IF(OR(AG313="",AD313=0),"",AG313/AD313)</f>
        <v/>
      </c>
      <c r="AJ313" s="111">
        <f>IF(AI313="","⚪",IF(AI313&gt;1.2,"🔴",IF(AI313&gt;1.1,"🟡","🟢")))</f>
        <v/>
      </c>
    </row>
    <row r="314" ht="14" customHeight="1" s="176">
      <c r="A314" s="112" t="inlineStr">
        <is>
          <t>Santa Catalina</t>
        </is>
      </c>
      <c r="B314" s="113" t="inlineStr">
        <is>
          <t>eureka 22,55</t>
        </is>
      </c>
      <c r="C314" s="113" t="inlineStr">
        <is>
          <t>1- M.O. directa</t>
        </is>
      </c>
      <c r="D314" s="113" t="inlineStr">
        <is>
          <t>14- Poda de sierrpes</t>
        </is>
      </c>
      <c r="E314" s="113" t="inlineStr">
        <is>
          <t>trato</t>
        </is>
      </c>
      <c r="F314" s="105" t="n">
        <v>21157.5375</v>
      </c>
      <c r="G314" s="106" t="n">
        <v>30</v>
      </c>
      <c r="H314" s="107" t="n"/>
      <c r="I314" s="108">
        <f>IF(H314="","",G314*H314)</f>
        <v/>
      </c>
      <c r="J314" s="243">
        <f>IF(I314="","",F314-I314)</f>
        <v/>
      </c>
      <c r="K314" s="110">
        <f>IF(OR(I314="",F314=0),"",I314/F314)</f>
        <v/>
      </c>
      <c r="L314" s="111">
        <f>IF(K314="","⚪",IF(K314&gt;1.2,"🔴",IF(K314&gt;1.1,"🟡","🟢")))</f>
        <v/>
      </c>
      <c r="N314" s="105" t="n">
        <v>21157.5375</v>
      </c>
      <c r="O314" s="106" t="n">
        <v>30</v>
      </c>
      <c r="P314" s="107" t="n"/>
      <c r="Q314" s="108">
        <f>IF(P314="","",O314*P314)</f>
        <v/>
      </c>
      <c r="R314" s="243">
        <f>IF(Q314="","",N314-Q314)</f>
        <v/>
      </c>
      <c r="S314" s="110">
        <f>IF(OR(Q314="",N314=0),"",Q314/N314)</f>
        <v/>
      </c>
      <c r="T314" s="111">
        <f>IF(S314="","⚪",IF(S314&gt;1.2,"🔴",IF(S314&gt;1.1,"🟡","🟢")))</f>
        <v/>
      </c>
      <c r="V314" s="105" t="n">
        <v>21157.5375</v>
      </c>
      <c r="W314" s="106" t="n">
        <v>30</v>
      </c>
      <c r="X314" s="107" t="n"/>
      <c r="Y314" s="108">
        <f>IF(X314="","",W314*X314)</f>
        <v/>
      </c>
      <c r="Z314" s="243">
        <f>IF(Y314="","",V314-Y314)</f>
        <v/>
      </c>
      <c r="AA314" s="110">
        <f>IF(OR(Y314="",V314=0),"",Y314/V314)</f>
        <v/>
      </c>
      <c r="AB314" s="111">
        <f>IF(AA314="","⚪",IF(AA314&gt;1.2,"🔴",IF(AA314&gt;1.1,"🟡","🟢")))</f>
        <v/>
      </c>
      <c r="AD314" s="105" t="n">
        <v>21157.5375</v>
      </c>
      <c r="AE314" s="106" t="n">
        <v>30</v>
      </c>
      <c r="AF314" s="107" t="n"/>
      <c r="AG314" s="108">
        <f>IF(AF314="","",AE314*AF314)</f>
        <v/>
      </c>
      <c r="AH314" s="243">
        <f>IF(AG314="","",AD314-AG314)</f>
        <v/>
      </c>
      <c r="AI314" s="110">
        <f>IF(OR(AG314="",AD314=0),"",AG314/AD314)</f>
        <v/>
      </c>
      <c r="AJ314" s="111">
        <f>IF(AI314="","⚪",IF(AI314&gt;1.2,"🔴",IF(AI314&gt;1.1,"🟡","🟢")))</f>
        <v/>
      </c>
    </row>
    <row r="315" ht="14" customHeight="1" s="176">
      <c r="A315" s="103" t="inlineStr">
        <is>
          <t>Santa Catalina</t>
        </is>
      </c>
      <c r="B315" s="104" t="inlineStr">
        <is>
          <t>eureka 22,55</t>
        </is>
      </c>
      <c r="C315" s="104" t="inlineStr">
        <is>
          <t>1- M.O. directa</t>
        </is>
      </c>
      <c r="D315" s="104" t="inlineStr">
        <is>
          <t>15- Poda primavera</t>
        </is>
      </c>
      <c r="E315" s="104" t="inlineStr">
        <is>
          <t>trato</t>
        </is>
      </c>
      <c r="F315" s="105" t="n">
        <v>423150.75</v>
      </c>
      <c r="G315" s="106" t="n">
        <v>900</v>
      </c>
      <c r="H315" s="107" t="n"/>
      <c r="I315" s="108">
        <f>IF(H315="","",G315*H315)</f>
        <v/>
      </c>
      <c r="J315" s="243">
        <f>IF(I315="","",F315-I315)</f>
        <v/>
      </c>
      <c r="K315" s="110">
        <f>IF(OR(I315="",F315=0),"",I315/F315)</f>
        <v/>
      </c>
      <c r="L315" s="111">
        <f>IF(K315="","⚪",IF(K315&gt;1.2,"🔴",IF(K315&gt;1.1,"🟡","🟢")))</f>
        <v/>
      </c>
      <c r="N315" s="105" t="n">
        <v>423150.75</v>
      </c>
      <c r="O315" s="106" t="n">
        <v>900</v>
      </c>
      <c r="P315" s="107" t="n"/>
      <c r="Q315" s="108">
        <f>IF(P315="","",O315*P315)</f>
        <v/>
      </c>
      <c r="R315" s="243">
        <f>IF(Q315="","",N315-Q315)</f>
        <v/>
      </c>
      <c r="S315" s="110">
        <f>IF(OR(Q315="",N315=0),"",Q315/N315)</f>
        <v/>
      </c>
      <c r="T315" s="111">
        <f>IF(S315="","⚪",IF(S315&gt;1.2,"🔴",IF(S315&gt;1.1,"🟡","🟢")))</f>
        <v/>
      </c>
      <c r="V315" s="105" t="n">
        <v>423150.75</v>
      </c>
      <c r="W315" s="106" t="n">
        <v>900</v>
      </c>
      <c r="X315" s="107" t="n"/>
      <c r="Y315" s="108">
        <f>IF(X315="","",W315*X315)</f>
        <v/>
      </c>
      <c r="Z315" s="243">
        <f>IF(Y315="","",V315-Y315)</f>
        <v/>
      </c>
      <c r="AA315" s="110">
        <f>IF(OR(Y315="",V315=0),"",Y315/V315)</f>
        <v/>
      </c>
      <c r="AB315" s="111">
        <f>IF(AA315="","⚪",IF(AA315&gt;1.2,"🔴",IF(AA315&gt;1.1,"🟡","🟢")))</f>
        <v/>
      </c>
      <c r="AD315" s="105" t="n">
        <v>423150.75</v>
      </c>
      <c r="AE315" s="106" t="n">
        <v>900</v>
      </c>
      <c r="AF315" s="107" t="n"/>
      <c r="AG315" s="108">
        <f>IF(AF315="","",AE315*AF315)</f>
        <v/>
      </c>
      <c r="AH315" s="243">
        <f>IF(AG315="","",AD315-AG315)</f>
        <v/>
      </c>
      <c r="AI315" s="110">
        <f>IF(OR(AG315="",AD315=0),"",AG315/AD315)</f>
        <v/>
      </c>
      <c r="AJ315" s="111">
        <f>IF(AI315="","⚪",IF(AI315&gt;1.2,"🔴",IF(AI315&gt;1.1,"🟡","🟢")))</f>
        <v/>
      </c>
    </row>
    <row r="316" ht="14" customHeight="1" s="176">
      <c r="A316" s="112" t="inlineStr">
        <is>
          <t>Santa Catalina</t>
        </is>
      </c>
      <c r="B316" s="113" t="inlineStr">
        <is>
          <t>eureka 22,55</t>
        </is>
      </c>
      <c r="C316" s="113" t="inlineStr">
        <is>
          <t>1- M.O. directa</t>
        </is>
      </c>
      <c r="D316" s="113" t="inlineStr">
        <is>
          <t>16- Supervisor poda</t>
        </is>
      </c>
      <c r="E316" s="113" t="inlineStr">
        <is>
          <t>día</t>
        </is>
      </c>
      <c r="F316" s="105" t="n">
        <v>21157.5375</v>
      </c>
      <c r="G316" s="106" t="n">
        <v>45</v>
      </c>
      <c r="H316" s="107" t="n"/>
      <c r="I316" s="108">
        <f>IF(H316="","",G316*H316)</f>
        <v/>
      </c>
      <c r="J316" s="243">
        <f>IF(I316="","",F316-I316)</f>
        <v/>
      </c>
      <c r="K316" s="110">
        <f>IF(OR(I316="",F316=0),"",I316/F316)</f>
        <v/>
      </c>
      <c r="L316" s="111">
        <f>IF(K316="","⚪",IF(K316&gt;1.2,"🔴",IF(K316&gt;1.1,"🟡","🟢")))</f>
        <v/>
      </c>
      <c r="N316" s="105" t="n">
        <v>21157.5375</v>
      </c>
      <c r="O316" s="106" t="n">
        <v>45</v>
      </c>
      <c r="P316" s="107" t="n"/>
      <c r="Q316" s="108">
        <f>IF(P316="","",O316*P316)</f>
        <v/>
      </c>
      <c r="R316" s="243">
        <f>IF(Q316="","",N316-Q316)</f>
        <v/>
      </c>
      <c r="S316" s="110">
        <f>IF(OR(Q316="",N316=0),"",Q316/N316)</f>
        <v/>
      </c>
      <c r="T316" s="111">
        <f>IF(S316="","⚪",IF(S316&gt;1.2,"🔴",IF(S316&gt;1.1,"🟡","🟢")))</f>
        <v/>
      </c>
      <c r="V316" s="105" t="n">
        <v>21157.5375</v>
      </c>
      <c r="W316" s="106" t="n">
        <v>45</v>
      </c>
      <c r="X316" s="107" t="n"/>
      <c r="Y316" s="108">
        <f>IF(X316="","",W316*X316)</f>
        <v/>
      </c>
      <c r="Z316" s="243">
        <f>IF(Y316="","",V316-Y316)</f>
        <v/>
      </c>
      <c r="AA316" s="110">
        <f>IF(OR(Y316="",V316=0),"",Y316/V316)</f>
        <v/>
      </c>
      <c r="AB316" s="111">
        <f>IF(AA316="","⚪",IF(AA316&gt;1.2,"🔴",IF(AA316&gt;1.1,"🟡","🟢")))</f>
        <v/>
      </c>
      <c r="AD316" s="105" t="n">
        <v>21157.5375</v>
      </c>
      <c r="AE316" s="106" t="n">
        <v>45</v>
      </c>
      <c r="AF316" s="107" t="n"/>
      <c r="AG316" s="108">
        <f>IF(AF316="","",AE316*AF316)</f>
        <v/>
      </c>
      <c r="AH316" s="243">
        <f>IF(AG316="","",AD316-AG316)</f>
        <v/>
      </c>
      <c r="AI316" s="110">
        <f>IF(OR(AG316="",AD316=0),"",AG316/AD316)</f>
        <v/>
      </c>
      <c r="AJ316" s="111">
        <f>IF(AI316="","⚪",IF(AI316&gt;1.2,"🔴",IF(AI316&gt;1.1,"🟡","🟢")))</f>
        <v/>
      </c>
    </row>
    <row r="317" ht="14" customHeight="1" s="176">
      <c r="A317" s="103" t="inlineStr">
        <is>
          <t>Santa Catalina</t>
        </is>
      </c>
      <c r="B317" s="104" t="inlineStr">
        <is>
          <t>eureka 22,55</t>
        </is>
      </c>
      <c r="C317" s="104" t="inlineStr">
        <is>
          <t>1- M.O. directa</t>
        </is>
      </c>
      <c r="D317" s="104" t="inlineStr">
        <is>
          <t>17- Recepción, pesaje y despacho</t>
        </is>
      </c>
      <c r="E317" s="104" t="inlineStr">
        <is>
          <t>día</t>
        </is>
      </c>
      <c r="F317" s="105" t="n">
        <v>94710</v>
      </c>
      <c r="G317" s="106" t="n">
        <v>1.2</v>
      </c>
      <c r="H317" s="107" t="n"/>
      <c r="I317" s="108">
        <f>IF(H317="","",G317*H317)</f>
        <v/>
      </c>
      <c r="J317" s="243">
        <f>IF(I317="","",F317-I317)</f>
        <v/>
      </c>
      <c r="K317" s="110">
        <f>IF(OR(I317="",F317=0),"",I317/F317)</f>
        <v/>
      </c>
      <c r="L317" s="111">
        <f>IF(K317="","⚪",IF(K317&gt;1.2,"🔴",IF(K317&gt;1.1,"🟡","🟢")))</f>
        <v/>
      </c>
      <c r="N317" s="105" t="n">
        <v>94710</v>
      </c>
      <c r="O317" s="106" t="n">
        <v>1.2</v>
      </c>
      <c r="P317" s="107" t="n"/>
      <c r="Q317" s="108">
        <f>IF(P317="","",O317*P317)</f>
        <v/>
      </c>
      <c r="R317" s="243">
        <f>IF(Q317="","",N317-Q317)</f>
        <v/>
      </c>
      <c r="S317" s="110">
        <f>IF(OR(Q317="",N317=0),"",Q317/N317)</f>
        <v/>
      </c>
      <c r="T317" s="111">
        <f>IF(S317="","⚪",IF(S317&gt;1.2,"🔴",IF(S317&gt;1.1,"🟡","🟢")))</f>
        <v/>
      </c>
      <c r="V317" s="105" t="n">
        <v>94710</v>
      </c>
      <c r="W317" s="106" t="n">
        <v>1.2</v>
      </c>
      <c r="X317" s="107" t="n"/>
      <c r="Y317" s="108">
        <f>IF(X317="","",W317*X317)</f>
        <v/>
      </c>
      <c r="Z317" s="243">
        <f>IF(Y317="","",V317-Y317)</f>
        <v/>
      </c>
      <c r="AA317" s="110">
        <f>IF(OR(Y317="",V317=0),"",Y317/V317)</f>
        <v/>
      </c>
      <c r="AB317" s="111">
        <f>IF(AA317="","⚪",IF(AA317&gt;1.2,"🔴",IF(AA317&gt;1.1,"🟡","🟢")))</f>
        <v/>
      </c>
      <c r="AD317" s="105" t="n">
        <v>94710</v>
      </c>
      <c r="AE317" s="106" t="n">
        <v>1.2</v>
      </c>
      <c r="AF317" s="107" t="n"/>
      <c r="AG317" s="108">
        <f>IF(AF317="","",AE317*AF317)</f>
        <v/>
      </c>
      <c r="AH317" s="243">
        <f>IF(AG317="","",AD317-AG317)</f>
        <v/>
      </c>
      <c r="AI317" s="110">
        <f>IF(OR(AG317="",AD317=0),"",AG317/AD317)</f>
        <v/>
      </c>
      <c r="AJ317" s="111">
        <f>IF(AI317="","⚪",IF(AI317&gt;1.2,"🔴",IF(AI317&gt;1.1,"🟡","🟢")))</f>
        <v/>
      </c>
    </row>
    <row r="318" ht="14" customHeight="1" s="176">
      <c r="A318" s="112" t="inlineStr">
        <is>
          <t>Santa Catalina</t>
        </is>
      </c>
      <c r="B318" s="113" t="inlineStr">
        <is>
          <t>eureka 22,55</t>
        </is>
      </c>
      <c r="C318" s="113" t="inlineStr">
        <is>
          <t>1- M.O. directa</t>
        </is>
      </c>
      <c r="D318" s="113" t="inlineStr">
        <is>
          <t>2- Supervisor cosecha</t>
        </is>
      </c>
      <c r="E318" s="113" t="inlineStr">
        <is>
          <t>día</t>
        </is>
      </c>
      <c r="F318" s="105" t="n">
        <v>552475</v>
      </c>
      <c r="G318" s="106" t="n">
        <v>7</v>
      </c>
      <c r="H318" s="107" t="n"/>
      <c r="I318" s="108">
        <f>IF(H318="","",G318*H318)</f>
        <v/>
      </c>
      <c r="J318" s="243">
        <f>IF(I318="","",F318-I318)</f>
        <v/>
      </c>
      <c r="K318" s="110">
        <f>IF(OR(I318="",F318=0),"",I318/F318)</f>
        <v/>
      </c>
      <c r="L318" s="111">
        <f>IF(K318="","⚪",IF(K318&gt;1.2,"🔴",IF(K318&gt;1.1,"🟡","🟢")))</f>
        <v/>
      </c>
      <c r="N318" s="105" t="n">
        <v>552475</v>
      </c>
      <c r="O318" s="106" t="n">
        <v>7</v>
      </c>
      <c r="P318" s="107" t="n"/>
      <c r="Q318" s="108">
        <f>IF(P318="","",O318*P318)</f>
        <v/>
      </c>
      <c r="R318" s="243">
        <f>IF(Q318="","",N318-Q318)</f>
        <v/>
      </c>
      <c r="S318" s="110">
        <f>IF(OR(Q318="",N318=0),"",Q318/N318)</f>
        <v/>
      </c>
      <c r="T318" s="111">
        <f>IF(S318="","⚪",IF(S318&gt;1.2,"🔴",IF(S318&gt;1.1,"🟡","🟢")))</f>
        <v/>
      </c>
      <c r="V318" s="105" t="n">
        <v>552475</v>
      </c>
      <c r="W318" s="106" t="n">
        <v>7</v>
      </c>
      <c r="X318" s="107" t="n"/>
      <c r="Y318" s="108">
        <f>IF(X318="","",W318*X318)</f>
        <v/>
      </c>
      <c r="Z318" s="243">
        <f>IF(Y318="","",V318-Y318)</f>
        <v/>
      </c>
      <c r="AA318" s="110">
        <f>IF(OR(Y318="",V318=0),"",Y318/V318)</f>
        <v/>
      </c>
      <c r="AB318" s="111">
        <f>IF(AA318="","⚪",IF(AA318&gt;1.2,"🔴",IF(AA318&gt;1.1,"🟡","🟢")))</f>
        <v/>
      </c>
      <c r="AD318" s="105" t="n">
        <v>552475</v>
      </c>
      <c r="AE318" s="106" t="n">
        <v>7</v>
      </c>
      <c r="AF318" s="107" t="n"/>
      <c r="AG318" s="108">
        <f>IF(AF318="","",AE318*AF318)</f>
        <v/>
      </c>
      <c r="AH318" s="243">
        <f>IF(AG318="","",AD318-AG318)</f>
        <v/>
      </c>
      <c r="AI318" s="110">
        <f>IF(OR(AG318="",AD318=0),"",AG318/AD318)</f>
        <v/>
      </c>
      <c r="AJ318" s="111">
        <f>IF(AI318="","⚪",IF(AI318&gt;1.2,"🔴",IF(AI318&gt;1.1,"🟡","🟢")))</f>
        <v/>
      </c>
    </row>
    <row r="319" ht="14" customHeight="1" s="176">
      <c r="A319" s="103" t="inlineStr">
        <is>
          <t>Santa Catalina</t>
        </is>
      </c>
      <c r="B319" s="104" t="inlineStr">
        <is>
          <t>eureka 22,55</t>
        </is>
      </c>
      <c r="C319" s="104" t="inlineStr">
        <is>
          <t>1- M.O. directa</t>
        </is>
      </c>
      <c r="D319" s="104" t="inlineStr">
        <is>
          <t>3- Selección</t>
        </is>
      </c>
      <c r="E319" s="104" t="inlineStr">
        <is>
          <t>trato</t>
        </is>
      </c>
      <c r="F319" s="105" t="n">
        <v>1420650</v>
      </c>
      <c r="G319" s="106" t="n">
        <v>18</v>
      </c>
      <c r="H319" s="107" t="n"/>
      <c r="I319" s="108">
        <f>IF(H319="","",G319*H319)</f>
        <v/>
      </c>
      <c r="J319" s="243">
        <f>IF(I319="","",F319-I319)</f>
        <v/>
      </c>
      <c r="K319" s="110">
        <f>IF(OR(I319="",F319=0),"",I319/F319)</f>
        <v/>
      </c>
      <c r="L319" s="111">
        <f>IF(K319="","⚪",IF(K319&gt;1.2,"🔴",IF(K319&gt;1.1,"🟡","🟢")))</f>
        <v/>
      </c>
      <c r="N319" s="105" t="n">
        <v>1420650</v>
      </c>
      <c r="O319" s="106" t="n">
        <v>18</v>
      </c>
      <c r="P319" s="107" t="n"/>
      <c r="Q319" s="108">
        <f>IF(P319="","",O319*P319)</f>
        <v/>
      </c>
      <c r="R319" s="243">
        <f>IF(Q319="","",N319-Q319)</f>
        <v/>
      </c>
      <c r="S319" s="110">
        <f>IF(OR(Q319="",N319=0),"",Q319/N319)</f>
        <v/>
      </c>
      <c r="T319" s="111">
        <f>IF(S319="","⚪",IF(S319&gt;1.2,"🔴",IF(S319&gt;1.1,"🟡","🟢")))</f>
        <v/>
      </c>
      <c r="V319" s="105" t="n">
        <v>1420650</v>
      </c>
      <c r="W319" s="106" t="n">
        <v>18</v>
      </c>
      <c r="X319" s="107" t="n"/>
      <c r="Y319" s="108">
        <f>IF(X319="","",W319*X319)</f>
        <v/>
      </c>
      <c r="Z319" s="243">
        <f>IF(Y319="","",V319-Y319)</f>
        <v/>
      </c>
      <c r="AA319" s="110">
        <f>IF(OR(Y319="",V319=0),"",Y319/V319)</f>
        <v/>
      </c>
      <c r="AB319" s="111">
        <f>IF(AA319="","⚪",IF(AA319&gt;1.2,"🔴",IF(AA319&gt;1.1,"🟡","🟢")))</f>
        <v/>
      </c>
      <c r="AD319" s="105" t="n">
        <v>1420650</v>
      </c>
      <c r="AE319" s="106" t="n">
        <v>18</v>
      </c>
      <c r="AF319" s="107" t="n"/>
      <c r="AG319" s="108">
        <f>IF(AF319="","",AE319*AF319)</f>
        <v/>
      </c>
      <c r="AH319" s="243">
        <f>IF(AG319="","",AD319-AG319)</f>
        <v/>
      </c>
      <c r="AI319" s="110">
        <f>IF(OR(AG319="",AD319=0),"",AG319/AD319)</f>
        <v/>
      </c>
      <c r="AJ319" s="111">
        <f>IF(AI319="","⚪",IF(AI319&gt;1.2,"🔴",IF(AI319&gt;1.1,"🟡","🟢")))</f>
        <v/>
      </c>
    </row>
    <row r="320" ht="14" customHeight="1" s="176">
      <c r="A320" s="112" t="inlineStr">
        <is>
          <t>Santa Catalina</t>
        </is>
      </c>
      <c r="B320" s="113" t="inlineStr">
        <is>
          <t>eureka 22,55</t>
        </is>
      </c>
      <c r="C320" s="113" t="inlineStr">
        <is>
          <t>1- M.O. directa</t>
        </is>
      </c>
      <c r="D320" s="113" t="inlineStr">
        <is>
          <t>3- Tractorista cosecha</t>
        </is>
      </c>
      <c r="E320" s="113" t="inlineStr">
        <is>
          <t>día</t>
        </is>
      </c>
      <c r="F320" s="105" t="n">
        <v>235827.9</v>
      </c>
      <c r="G320" s="106" t="n">
        <v>3</v>
      </c>
      <c r="H320" s="107" t="n"/>
      <c r="I320" s="108">
        <f>IF(H320="","",G320*H320)</f>
        <v/>
      </c>
      <c r="J320" s="243">
        <f>IF(I320="","",F320-I320)</f>
        <v/>
      </c>
      <c r="K320" s="110">
        <f>IF(OR(I320="",F320=0),"",I320/F320)</f>
        <v/>
      </c>
      <c r="L320" s="111">
        <f>IF(K320="","⚪",IF(K320&gt;1.2,"🔴",IF(K320&gt;1.1,"🟡","🟢")))</f>
        <v/>
      </c>
      <c r="N320" s="105" t="n">
        <v>235827.9</v>
      </c>
      <c r="O320" s="106" t="n">
        <v>3</v>
      </c>
      <c r="P320" s="107" t="n"/>
      <c r="Q320" s="108">
        <f>IF(P320="","",O320*P320)</f>
        <v/>
      </c>
      <c r="R320" s="243">
        <f>IF(Q320="","",N320-Q320)</f>
        <v/>
      </c>
      <c r="S320" s="110">
        <f>IF(OR(Q320="",N320=0),"",Q320/N320)</f>
        <v/>
      </c>
      <c r="T320" s="111">
        <f>IF(S320="","⚪",IF(S320&gt;1.2,"🔴",IF(S320&gt;1.1,"🟡","🟢")))</f>
        <v/>
      </c>
      <c r="V320" s="105" t="n">
        <v>235827.9</v>
      </c>
      <c r="W320" s="106" t="n">
        <v>3</v>
      </c>
      <c r="X320" s="107" t="n"/>
      <c r="Y320" s="108">
        <f>IF(X320="","",W320*X320)</f>
        <v/>
      </c>
      <c r="Z320" s="243">
        <f>IF(Y320="","",V320-Y320)</f>
        <v/>
      </c>
      <c r="AA320" s="110">
        <f>IF(OR(Y320="",V320=0),"",Y320/V320)</f>
        <v/>
      </c>
      <c r="AB320" s="111">
        <f>IF(AA320="","⚪",IF(AA320&gt;1.2,"🔴",IF(AA320&gt;1.1,"🟡","🟢")))</f>
        <v/>
      </c>
      <c r="AD320" s="105" t="n">
        <v>235827.9</v>
      </c>
      <c r="AE320" s="106" t="n">
        <v>3</v>
      </c>
      <c r="AF320" s="107" t="n"/>
      <c r="AG320" s="108">
        <f>IF(AF320="","",AE320*AF320)</f>
        <v/>
      </c>
      <c r="AH320" s="243">
        <f>IF(AG320="","",AD320-AG320)</f>
        <v/>
      </c>
      <c r="AI320" s="110">
        <f>IF(OR(AG320="",AD320=0),"",AG320/AD320)</f>
        <v/>
      </c>
      <c r="AJ320" s="111">
        <f>IF(AI320="","⚪",IF(AI320&gt;1.2,"🔴",IF(AI320&gt;1.1,"🟡","🟢")))</f>
        <v/>
      </c>
    </row>
    <row r="321" ht="14" customHeight="1" s="176">
      <c r="A321" s="103" t="inlineStr">
        <is>
          <t>Santa Catalina</t>
        </is>
      </c>
      <c r="B321" s="104" t="inlineStr">
        <is>
          <t>eureka 22,55</t>
        </is>
      </c>
      <c r="C321" s="104" t="inlineStr">
        <is>
          <t>1- M.O. directa</t>
        </is>
      </c>
      <c r="D321" s="104" t="inlineStr">
        <is>
          <t>4- Grua</t>
        </is>
      </c>
      <c r="E321" s="104" t="inlineStr">
        <is>
          <t>día</t>
        </is>
      </c>
      <c r="F321" s="105" t="n">
        <v>117913.95</v>
      </c>
      <c r="G321" s="106" t="n">
        <v>1.5</v>
      </c>
      <c r="H321" s="107" t="n"/>
      <c r="I321" s="108">
        <f>IF(H321="","",G321*H321)</f>
        <v/>
      </c>
      <c r="J321" s="243">
        <f>IF(I321="","",F321-I321)</f>
        <v/>
      </c>
      <c r="K321" s="110">
        <f>IF(OR(I321="",F321=0),"",I321/F321)</f>
        <v/>
      </c>
      <c r="L321" s="111">
        <f>IF(K321="","⚪",IF(K321&gt;1.2,"🔴",IF(K321&gt;1.1,"🟡","🟢")))</f>
        <v/>
      </c>
      <c r="N321" s="105" t="n">
        <v>117913.95</v>
      </c>
      <c r="O321" s="106" t="n">
        <v>1.5</v>
      </c>
      <c r="P321" s="107" t="n"/>
      <c r="Q321" s="108">
        <f>IF(P321="","",O321*P321)</f>
        <v/>
      </c>
      <c r="R321" s="243">
        <f>IF(Q321="","",N321-Q321)</f>
        <v/>
      </c>
      <c r="S321" s="110">
        <f>IF(OR(Q321="",N321=0),"",Q321/N321)</f>
        <v/>
      </c>
      <c r="T321" s="111">
        <f>IF(S321="","⚪",IF(S321&gt;1.2,"🔴",IF(S321&gt;1.1,"🟡","🟢")))</f>
        <v/>
      </c>
      <c r="V321" s="105" t="n">
        <v>117913.95</v>
      </c>
      <c r="W321" s="106" t="n">
        <v>1.5</v>
      </c>
      <c r="X321" s="107" t="n"/>
      <c r="Y321" s="108">
        <f>IF(X321="","",W321*X321)</f>
        <v/>
      </c>
      <c r="Z321" s="243">
        <f>IF(Y321="","",V321-Y321)</f>
        <v/>
      </c>
      <c r="AA321" s="110">
        <f>IF(OR(Y321="",V321=0),"",Y321/V321)</f>
        <v/>
      </c>
      <c r="AB321" s="111">
        <f>IF(AA321="","⚪",IF(AA321&gt;1.2,"🔴",IF(AA321&gt;1.1,"🟡","🟢")))</f>
        <v/>
      </c>
      <c r="AD321" s="105" t="n">
        <v>117913.95</v>
      </c>
      <c r="AE321" s="106" t="n">
        <v>1.5</v>
      </c>
      <c r="AF321" s="107" t="n"/>
      <c r="AG321" s="108">
        <f>IF(AF321="","",AE321*AF321)</f>
        <v/>
      </c>
      <c r="AH321" s="243">
        <f>IF(AG321="","",AD321-AG321)</f>
        <v/>
      </c>
      <c r="AI321" s="110">
        <f>IF(OR(AG321="",AD321=0),"",AG321/AD321)</f>
        <v/>
      </c>
      <c r="AJ321" s="111">
        <f>IF(AI321="","⚪",IF(AI321&gt;1.2,"🔴",IF(AI321&gt;1.1,"🟡","🟢")))</f>
        <v/>
      </c>
    </row>
    <row r="322" ht="14" customHeight="1" s="176">
      <c r="A322" s="112" t="inlineStr">
        <is>
          <t>Santa Catalina</t>
        </is>
      </c>
      <c r="B322" s="113" t="inlineStr">
        <is>
          <t>eureka 22,55</t>
        </is>
      </c>
      <c r="C322" s="113" t="inlineStr">
        <is>
          <t>1- M.O. directa</t>
        </is>
      </c>
      <c r="D322" s="113" t="inlineStr">
        <is>
          <t>5- Control de malezas mecánico</t>
        </is>
      </c>
      <c r="E322" s="113" t="inlineStr">
        <is>
          <t>trato</t>
        </is>
      </c>
      <c r="F322" s="105" t="n">
        <v>94033.5</v>
      </c>
      <c r="G322" s="106" t="n">
        <v>100</v>
      </c>
      <c r="H322" s="107" t="n"/>
      <c r="I322" s="108">
        <f>IF(H322="","",G322*H322)</f>
        <v/>
      </c>
      <c r="J322" s="243">
        <f>IF(I322="","",F322-I322)</f>
        <v/>
      </c>
      <c r="K322" s="110">
        <f>IF(OR(I322="",F322=0),"",I322/F322)</f>
        <v/>
      </c>
      <c r="L322" s="111">
        <f>IF(K322="","⚪",IF(K322&gt;1.2,"🔴",IF(K322&gt;1.1,"🟡","🟢")))</f>
        <v/>
      </c>
      <c r="N322" s="105" t="n">
        <v>94033.5</v>
      </c>
      <c r="O322" s="106" t="n">
        <v>100</v>
      </c>
      <c r="P322" s="107" t="n"/>
      <c r="Q322" s="108">
        <f>IF(P322="","",O322*P322)</f>
        <v/>
      </c>
      <c r="R322" s="243">
        <f>IF(Q322="","",N322-Q322)</f>
        <v/>
      </c>
      <c r="S322" s="110">
        <f>IF(OR(Q322="",N322=0),"",Q322/N322)</f>
        <v/>
      </c>
      <c r="T322" s="111">
        <f>IF(S322="","⚪",IF(S322&gt;1.2,"🔴",IF(S322&gt;1.1,"🟡","🟢")))</f>
        <v/>
      </c>
      <c r="V322" s="105" t="n">
        <v>94033.5</v>
      </c>
      <c r="W322" s="106" t="n">
        <v>100</v>
      </c>
      <c r="X322" s="107" t="n"/>
      <c r="Y322" s="108">
        <f>IF(X322="","",W322*X322)</f>
        <v/>
      </c>
      <c r="Z322" s="243">
        <f>IF(Y322="","",V322-Y322)</f>
        <v/>
      </c>
      <c r="AA322" s="110">
        <f>IF(OR(Y322="",V322=0),"",Y322/V322)</f>
        <v/>
      </c>
      <c r="AB322" s="111">
        <f>IF(AA322="","⚪",IF(AA322&gt;1.2,"🔴",IF(AA322&gt;1.1,"🟡","🟢")))</f>
        <v/>
      </c>
      <c r="AD322" s="105" t="n">
        <v>94033.5</v>
      </c>
      <c r="AE322" s="106" t="n">
        <v>100</v>
      </c>
      <c r="AF322" s="107" t="n"/>
      <c r="AG322" s="108">
        <f>IF(AF322="","",AE322*AF322)</f>
        <v/>
      </c>
      <c r="AH322" s="243">
        <f>IF(AG322="","",AD322-AG322)</f>
        <v/>
      </c>
      <c r="AI322" s="110">
        <f>IF(OR(AG322="",AD322=0),"",AG322/AD322)</f>
        <v/>
      </c>
      <c r="AJ322" s="111">
        <f>IF(AI322="","⚪",IF(AI322&gt;1.2,"🔴",IF(AI322&gt;1.1,"🟡","🟢")))</f>
        <v/>
      </c>
    </row>
    <row r="323" ht="14" customHeight="1" s="176">
      <c r="A323" s="103" t="inlineStr">
        <is>
          <t>Santa Catalina</t>
        </is>
      </c>
      <c r="B323" s="104" t="inlineStr">
        <is>
          <t>eureka 22,55</t>
        </is>
      </c>
      <c r="C323" s="104" t="inlineStr">
        <is>
          <t>1- M.O. directa</t>
        </is>
      </c>
      <c r="D323" s="104" t="inlineStr">
        <is>
          <t>6- Control de malezas químico</t>
        </is>
      </c>
      <c r="E323" s="104" t="inlineStr">
        <is>
          <t>día</t>
        </is>
      </c>
      <c r="F323" s="105" t="n">
        <v>245231.25</v>
      </c>
      <c r="G323" s="106" t="n">
        <v>43500</v>
      </c>
      <c r="H323" s="107" t="n"/>
      <c r="I323" s="108">
        <f>IF(H323="","",G323*H323)</f>
        <v/>
      </c>
      <c r="J323" s="243">
        <f>IF(I323="","",F323-I323)</f>
        <v/>
      </c>
      <c r="K323" s="110">
        <f>IF(OR(I323="",F323=0),"",I323/F323)</f>
        <v/>
      </c>
      <c r="L323" s="111">
        <f>IF(K323="","⚪",IF(K323&gt;1.2,"🔴",IF(K323&gt;1.1,"🟡","🟢")))</f>
        <v/>
      </c>
      <c r="N323" s="105" t="n">
        <v>245231.25</v>
      </c>
      <c r="O323" s="106" t="n">
        <v>43500</v>
      </c>
      <c r="P323" s="107" t="n"/>
      <c r="Q323" s="108">
        <f>IF(P323="","",O323*P323)</f>
        <v/>
      </c>
      <c r="R323" s="243">
        <f>IF(Q323="","",N323-Q323)</f>
        <v/>
      </c>
      <c r="S323" s="110">
        <f>IF(OR(Q323="",N323=0),"",Q323/N323)</f>
        <v/>
      </c>
      <c r="T323" s="111">
        <f>IF(S323="","⚪",IF(S323&gt;1.2,"🔴",IF(S323&gt;1.1,"🟡","🟢")))</f>
        <v/>
      </c>
      <c r="V323" s="105" t="n">
        <v>245231.25</v>
      </c>
      <c r="W323" s="106" t="n">
        <v>43500</v>
      </c>
      <c r="X323" s="107" t="n"/>
      <c r="Y323" s="108">
        <f>IF(X323="","",W323*X323)</f>
        <v/>
      </c>
      <c r="Z323" s="243">
        <f>IF(Y323="","",V323-Y323)</f>
        <v/>
      </c>
      <c r="AA323" s="110">
        <f>IF(OR(Y323="",V323=0),"",Y323/V323)</f>
        <v/>
      </c>
      <c r="AB323" s="111">
        <f>IF(AA323="","⚪",IF(AA323&gt;1.2,"🔴",IF(AA323&gt;1.1,"🟡","🟢")))</f>
        <v/>
      </c>
      <c r="AD323" s="105" t="n">
        <v>245231.25</v>
      </c>
      <c r="AE323" s="106" t="n">
        <v>43500</v>
      </c>
      <c r="AF323" s="107" t="n"/>
      <c r="AG323" s="108">
        <f>IF(AF323="","",AE323*AF323)</f>
        <v/>
      </c>
      <c r="AH323" s="243">
        <f>IF(AG323="","",AD323-AG323)</f>
        <v/>
      </c>
      <c r="AI323" s="110">
        <f>IF(OR(AG323="",AD323=0),"",AG323/AD323)</f>
        <v/>
      </c>
      <c r="AJ323" s="111">
        <f>IF(AI323="","⚪",IF(AI323&gt;1.2,"🔴",IF(AI323&gt;1.1,"🟡","🟢")))</f>
        <v/>
      </c>
    </row>
    <row r="324" ht="14" customHeight="1" s="176">
      <c r="A324" s="112" t="inlineStr">
        <is>
          <t>Santa Catalina</t>
        </is>
      </c>
      <c r="B324" s="113" t="inlineStr">
        <is>
          <t>eureka 22,55</t>
        </is>
      </c>
      <c r="C324" s="113" t="inlineStr">
        <is>
          <t>1- M.O. directa</t>
        </is>
      </c>
      <c r="D324" s="113" t="inlineStr">
        <is>
          <t>7,1- TRACTORISTA</t>
        </is>
      </c>
      <c r="E324" s="113" t="inlineStr">
        <is>
          <t>día</t>
        </is>
      </c>
      <c r="F324" s="105" t="n">
        <v>428278.62</v>
      </c>
      <c r="G324" s="106" t="n">
        <v>38000</v>
      </c>
      <c r="H324" s="107" t="n"/>
      <c r="I324" s="108">
        <f>IF(H324="","",G324*H324)</f>
        <v/>
      </c>
      <c r="J324" s="243">
        <f>IF(I324="","",F324-I324)</f>
        <v/>
      </c>
      <c r="K324" s="110">
        <f>IF(OR(I324="",F324=0),"",I324/F324)</f>
        <v/>
      </c>
      <c r="L324" s="111">
        <f>IF(K324="","⚪",IF(K324&gt;1.2,"🔴",IF(K324&gt;1.1,"🟡","🟢")))</f>
        <v/>
      </c>
      <c r="N324" s="105" t="n">
        <v>428278.62</v>
      </c>
      <c r="O324" s="106" t="n">
        <v>38000</v>
      </c>
      <c r="P324" s="107" t="n"/>
      <c r="Q324" s="108">
        <f>IF(P324="","",O324*P324)</f>
        <v/>
      </c>
      <c r="R324" s="243">
        <f>IF(Q324="","",N324-Q324)</f>
        <v/>
      </c>
      <c r="S324" s="110">
        <f>IF(OR(Q324="",N324=0),"",Q324/N324)</f>
        <v/>
      </c>
      <c r="T324" s="111">
        <f>IF(S324="","⚪",IF(S324&gt;1.2,"🔴",IF(S324&gt;1.1,"🟡","🟢")))</f>
        <v/>
      </c>
      <c r="V324" s="105" t="n">
        <v>428278.62</v>
      </c>
      <c r="W324" s="106" t="n">
        <v>38000</v>
      </c>
      <c r="X324" s="107" t="n"/>
      <c r="Y324" s="108">
        <f>IF(X324="","",W324*X324)</f>
        <v/>
      </c>
      <c r="Z324" s="243">
        <f>IF(Y324="","",V324-Y324)</f>
        <v/>
      </c>
      <c r="AA324" s="110">
        <f>IF(OR(Y324="",V324=0),"",Y324/V324)</f>
        <v/>
      </c>
      <c r="AB324" s="111">
        <f>IF(AA324="","⚪",IF(AA324&gt;1.2,"🔴",IF(AA324&gt;1.1,"🟡","🟢")))</f>
        <v/>
      </c>
      <c r="AD324" s="105" t="n">
        <v>428278.62</v>
      </c>
      <c r="AE324" s="106" t="n">
        <v>38000</v>
      </c>
      <c r="AF324" s="107" t="n"/>
      <c r="AG324" s="108">
        <f>IF(AF324="","",AE324*AF324)</f>
        <v/>
      </c>
      <c r="AH324" s="243">
        <f>IF(AG324="","",AD324-AG324)</f>
        <v/>
      </c>
      <c r="AI324" s="110">
        <f>IF(OR(AG324="",AD324=0),"",AG324/AD324)</f>
        <v/>
      </c>
      <c r="AJ324" s="111">
        <f>IF(AI324="","⚪",IF(AI324&gt;1.2,"🔴",IF(AI324&gt;1.1,"🟡","🟢")))</f>
        <v/>
      </c>
    </row>
    <row r="325" ht="14" customHeight="1" s="176">
      <c r="A325" s="103" t="inlineStr">
        <is>
          <t>Santa Catalina</t>
        </is>
      </c>
      <c r="B325" s="104" t="inlineStr">
        <is>
          <t>eureka 22,55</t>
        </is>
      </c>
      <c r="C325" s="104" t="inlineStr">
        <is>
          <t>1- M.O. directa</t>
        </is>
      </c>
      <c r="D325" s="104" t="inlineStr">
        <is>
          <t>7- Acordonar sarmiento</t>
        </is>
      </c>
      <c r="E325" s="104" t="inlineStr">
        <is>
          <t>trato</t>
        </is>
      </c>
      <c r="F325" s="105" t="n">
        <v>32911.725</v>
      </c>
      <c r="G325" s="106" t="n">
        <v>70</v>
      </c>
      <c r="H325" s="107" t="n"/>
      <c r="I325" s="108">
        <f>IF(H325="","",G325*H325)</f>
        <v/>
      </c>
      <c r="J325" s="243">
        <f>IF(I325="","",F325-I325)</f>
        <v/>
      </c>
      <c r="K325" s="110">
        <f>IF(OR(I325="",F325=0),"",I325/F325)</f>
        <v/>
      </c>
      <c r="L325" s="111">
        <f>IF(K325="","⚪",IF(K325&gt;1.2,"🔴",IF(K325&gt;1.1,"🟡","🟢")))</f>
        <v/>
      </c>
      <c r="N325" s="105" t="n">
        <v>32911.725</v>
      </c>
      <c r="O325" s="106" t="n">
        <v>70</v>
      </c>
      <c r="P325" s="107" t="n"/>
      <c r="Q325" s="108">
        <f>IF(P325="","",O325*P325)</f>
        <v/>
      </c>
      <c r="R325" s="243">
        <f>IF(Q325="","",N325-Q325)</f>
        <v/>
      </c>
      <c r="S325" s="110">
        <f>IF(OR(Q325="",N325=0),"",Q325/N325)</f>
        <v/>
      </c>
      <c r="T325" s="111">
        <f>IF(S325="","⚪",IF(S325&gt;1.2,"🔴",IF(S325&gt;1.1,"🟡","🟢")))</f>
        <v/>
      </c>
      <c r="V325" s="105" t="n">
        <v>32911.725</v>
      </c>
      <c r="W325" s="106" t="n">
        <v>70</v>
      </c>
      <c r="X325" s="107" t="n"/>
      <c r="Y325" s="108">
        <f>IF(X325="","",W325*X325)</f>
        <v/>
      </c>
      <c r="Z325" s="243">
        <f>IF(Y325="","",V325-Y325)</f>
        <v/>
      </c>
      <c r="AA325" s="110">
        <f>IF(OR(Y325="",V325=0),"",Y325/V325)</f>
        <v/>
      </c>
      <c r="AB325" s="111">
        <f>IF(AA325="","⚪",IF(AA325&gt;1.2,"🔴",IF(AA325&gt;1.1,"🟡","🟢")))</f>
        <v/>
      </c>
      <c r="AD325" s="105" t="n">
        <v>32911.725</v>
      </c>
      <c r="AE325" s="106" t="n">
        <v>70</v>
      </c>
      <c r="AF325" s="107" t="n"/>
      <c r="AG325" s="108">
        <f>IF(AF325="","",AE325*AF325)</f>
        <v/>
      </c>
      <c r="AH325" s="243">
        <f>IF(AG325="","",AD325-AG325)</f>
        <v/>
      </c>
      <c r="AI325" s="110">
        <f>IF(OR(AG325="",AD325=0),"",AG325/AD325)</f>
        <v/>
      </c>
      <c r="AJ325" s="111">
        <f>IF(AI325="","⚪",IF(AI325&gt;1.2,"🔴",IF(AI325&gt;1.1,"🟡","🟢")))</f>
        <v/>
      </c>
    </row>
    <row r="326" ht="14" customHeight="1" s="176">
      <c r="A326" s="112" t="inlineStr">
        <is>
          <t>Santa Catalina</t>
        </is>
      </c>
      <c r="B326" s="113" t="inlineStr">
        <is>
          <t>eureka 22,55</t>
        </is>
      </c>
      <c r="C326" s="113" t="inlineStr">
        <is>
          <t>2- M.O. indirecta</t>
        </is>
      </c>
      <c r="D326" s="113" t="inlineStr">
        <is>
          <t xml:space="preserve">1- ADM. GENERAL </t>
        </is>
      </c>
      <c r="E326" s="113" t="inlineStr">
        <is>
          <t>día</t>
        </is>
      </c>
      <c r="F326" s="105" t="n">
        <v>750614.634</v>
      </c>
      <c r="G326" s="106" t="n">
        <v>66600</v>
      </c>
      <c r="H326" s="107" t="n"/>
      <c r="I326" s="108">
        <f>IF(H326="","",G326*H326)</f>
        <v/>
      </c>
      <c r="J326" s="243">
        <f>IF(I326="","",F326-I326)</f>
        <v/>
      </c>
      <c r="K326" s="110">
        <f>IF(OR(I326="",F326=0),"",I326/F326)</f>
        <v/>
      </c>
      <c r="L326" s="111">
        <f>IF(K326="","⚪",IF(K326&gt;1.2,"🔴",IF(K326&gt;1.1,"🟡","🟢")))</f>
        <v/>
      </c>
      <c r="N326" s="105" t="n">
        <v>750614.634</v>
      </c>
      <c r="O326" s="106" t="n">
        <v>66600</v>
      </c>
      <c r="P326" s="107" t="n"/>
      <c r="Q326" s="108">
        <f>IF(P326="","",O326*P326)</f>
        <v/>
      </c>
      <c r="R326" s="243">
        <f>IF(Q326="","",N326-Q326)</f>
        <v/>
      </c>
      <c r="S326" s="110">
        <f>IF(OR(Q326="",N326=0),"",Q326/N326)</f>
        <v/>
      </c>
      <c r="T326" s="111">
        <f>IF(S326="","⚪",IF(S326&gt;1.2,"🔴",IF(S326&gt;1.1,"🟡","🟢")))</f>
        <v/>
      </c>
      <c r="V326" s="105" t="n">
        <v>750614.634</v>
      </c>
      <c r="W326" s="106" t="n">
        <v>66600</v>
      </c>
      <c r="X326" s="107" t="n"/>
      <c r="Y326" s="108">
        <f>IF(X326="","",W326*X326)</f>
        <v/>
      </c>
      <c r="Z326" s="243">
        <f>IF(Y326="","",V326-Y326)</f>
        <v/>
      </c>
      <c r="AA326" s="110">
        <f>IF(OR(Y326="",V326=0),"",Y326/V326)</f>
        <v/>
      </c>
      <c r="AB326" s="111">
        <f>IF(AA326="","⚪",IF(AA326&gt;1.2,"🔴",IF(AA326&gt;1.1,"🟡","🟢")))</f>
        <v/>
      </c>
      <c r="AD326" s="105" t="n">
        <v>750614.634</v>
      </c>
      <c r="AE326" s="106" t="n">
        <v>66600</v>
      </c>
      <c r="AF326" s="107" t="n"/>
      <c r="AG326" s="108">
        <f>IF(AF326="","",AE326*AF326)</f>
        <v/>
      </c>
      <c r="AH326" s="243">
        <f>IF(AG326="","",AD326-AG326)</f>
        <v/>
      </c>
      <c r="AI326" s="110">
        <f>IF(OR(AG326="",AD326=0),"",AG326/AD326)</f>
        <v/>
      </c>
      <c r="AJ326" s="111">
        <f>IF(AI326="","⚪",IF(AI326&gt;1.2,"🔴",IF(AI326&gt;1.1,"🟡","🟢")))</f>
        <v/>
      </c>
    </row>
    <row r="327" ht="14" customHeight="1" s="176">
      <c r="A327" s="103" t="inlineStr">
        <is>
          <t>Santa Catalina</t>
        </is>
      </c>
      <c r="B327" s="104" t="inlineStr">
        <is>
          <t>eureka 22,55</t>
        </is>
      </c>
      <c r="C327" s="104" t="inlineStr">
        <is>
          <t>2- M.O. indirecta</t>
        </is>
      </c>
      <c r="D327" s="104" t="inlineStr">
        <is>
          <t>2,1- JEFE DE CAMPO</t>
        </is>
      </c>
      <c r="E327" s="104" t="inlineStr">
        <is>
          <t>día</t>
        </is>
      </c>
      <c r="F327" s="105" t="n">
        <v>332197.69275</v>
      </c>
      <c r="G327" s="106" t="n">
        <v>29475</v>
      </c>
      <c r="H327" s="107" t="n"/>
      <c r="I327" s="108">
        <f>IF(H327="","",G327*H327)</f>
        <v/>
      </c>
      <c r="J327" s="243">
        <f>IF(I327="","",F327-I327)</f>
        <v/>
      </c>
      <c r="K327" s="110">
        <f>IF(OR(I327="",F327=0),"",I327/F327)</f>
        <v/>
      </c>
      <c r="L327" s="111">
        <f>IF(K327="","⚪",IF(K327&gt;1.2,"🔴",IF(K327&gt;1.1,"🟡","🟢")))</f>
        <v/>
      </c>
      <c r="N327" s="105" t="n">
        <v>332197.69275</v>
      </c>
      <c r="O327" s="106" t="n">
        <v>29475</v>
      </c>
      <c r="P327" s="107" t="n"/>
      <c r="Q327" s="108">
        <f>IF(P327="","",O327*P327)</f>
        <v/>
      </c>
      <c r="R327" s="243">
        <f>IF(Q327="","",N327-Q327)</f>
        <v/>
      </c>
      <c r="S327" s="110">
        <f>IF(OR(Q327="",N327=0),"",Q327/N327)</f>
        <v/>
      </c>
      <c r="T327" s="111">
        <f>IF(S327="","⚪",IF(S327&gt;1.2,"🔴",IF(S327&gt;1.1,"🟡","🟢")))</f>
        <v/>
      </c>
      <c r="V327" s="105" t="n">
        <v>332197.69275</v>
      </c>
      <c r="W327" s="106" t="n">
        <v>29475</v>
      </c>
      <c r="X327" s="107" t="n"/>
      <c r="Y327" s="108">
        <f>IF(X327="","",W327*X327)</f>
        <v/>
      </c>
      <c r="Z327" s="243">
        <f>IF(Y327="","",V327-Y327)</f>
        <v/>
      </c>
      <c r="AA327" s="110">
        <f>IF(OR(Y327="",V327=0),"",Y327/V327)</f>
        <v/>
      </c>
      <c r="AB327" s="111">
        <f>IF(AA327="","⚪",IF(AA327&gt;1.2,"🔴",IF(AA327&gt;1.1,"🟡","🟢")))</f>
        <v/>
      </c>
      <c r="AD327" s="105" t="n">
        <v>332197.69275</v>
      </c>
      <c r="AE327" s="106" t="n">
        <v>29475</v>
      </c>
      <c r="AF327" s="107" t="n"/>
      <c r="AG327" s="108">
        <f>IF(AF327="","",AE327*AF327)</f>
        <v/>
      </c>
      <c r="AH327" s="243">
        <f>IF(AG327="","",AD327-AG327)</f>
        <v/>
      </c>
      <c r="AI327" s="110">
        <f>IF(OR(AG327="",AD327=0),"",AG327/AD327)</f>
        <v/>
      </c>
      <c r="AJ327" s="111">
        <f>IF(AI327="","⚪",IF(AI327&gt;1.2,"🔴",IF(AI327&gt;1.1,"🟡","🟢")))</f>
        <v/>
      </c>
    </row>
    <row r="328" ht="14" customHeight="1" s="176">
      <c r="A328" s="112" t="inlineStr">
        <is>
          <t>Santa Catalina</t>
        </is>
      </c>
      <c r="B328" s="113" t="inlineStr">
        <is>
          <t>eureka 22,55</t>
        </is>
      </c>
      <c r="C328" s="113" t="inlineStr">
        <is>
          <t>2- M.O. indirecta</t>
        </is>
      </c>
      <c r="D328" s="113" t="inlineStr">
        <is>
          <t>2- ADMINISTRACION</t>
        </is>
      </c>
      <c r="E328" s="113" t="inlineStr">
        <is>
          <t>día</t>
        </is>
      </c>
      <c r="F328" s="105" t="n">
        <v>91290.969</v>
      </c>
      <c r="G328" s="106" t="n">
        <v>8100</v>
      </c>
      <c r="H328" s="107" t="n"/>
      <c r="I328" s="108">
        <f>IF(H328="","",G328*H328)</f>
        <v/>
      </c>
      <c r="J328" s="243">
        <f>IF(I328="","",F328-I328)</f>
        <v/>
      </c>
      <c r="K328" s="110">
        <f>IF(OR(I328="",F328=0),"",I328/F328)</f>
        <v/>
      </c>
      <c r="L328" s="111">
        <f>IF(K328="","⚪",IF(K328&gt;1.2,"🔴",IF(K328&gt;1.1,"🟡","🟢")))</f>
        <v/>
      </c>
      <c r="N328" s="105" t="n">
        <v>91290.969</v>
      </c>
      <c r="O328" s="106" t="n">
        <v>8100</v>
      </c>
      <c r="P328" s="107" t="n"/>
      <c r="Q328" s="108">
        <f>IF(P328="","",O328*P328)</f>
        <v/>
      </c>
      <c r="R328" s="243">
        <f>IF(Q328="","",N328-Q328)</f>
        <v/>
      </c>
      <c r="S328" s="110">
        <f>IF(OR(Q328="",N328=0),"",Q328/N328)</f>
        <v/>
      </c>
      <c r="T328" s="111">
        <f>IF(S328="","⚪",IF(S328&gt;1.2,"🔴",IF(S328&gt;1.1,"🟡","🟢")))</f>
        <v/>
      </c>
      <c r="V328" s="105" t="n">
        <v>91290.969</v>
      </c>
      <c r="W328" s="106" t="n">
        <v>8100</v>
      </c>
      <c r="X328" s="107" t="n"/>
      <c r="Y328" s="108">
        <f>IF(X328="","",W328*X328)</f>
        <v/>
      </c>
      <c r="Z328" s="243">
        <f>IF(Y328="","",V328-Y328)</f>
        <v/>
      </c>
      <c r="AA328" s="110">
        <f>IF(OR(Y328="",V328=0),"",Y328/V328)</f>
        <v/>
      </c>
      <c r="AB328" s="111">
        <f>IF(AA328="","⚪",IF(AA328&gt;1.2,"🔴",IF(AA328&gt;1.1,"🟡","🟢")))</f>
        <v/>
      </c>
      <c r="AD328" s="105" t="n">
        <v>91290.969</v>
      </c>
      <c r="AE328" s="106" t="n">
        <v>8100</v>
      </c>
      <c r="AF328" s="107" t="n"/>
      <c r="AG328" s="108">
        <f>IF(AF328="","",AE328*AF328)</f>
        <v/>
      </c>
      <c r="AH328" s="243">
        <f>IF(AG328="","",AD328-AG328)</f>
        <v/>
      </c>
      <c r="AI328" s="110">
        <f>IF(OR(AG328="",AD328=0),"",AG328/AD328)</f>
        <v/>
      </c>
      <c r="AJ328" s="111">
        <f>IF(AI328="","⚪",IF(AI328&gt;1.2,"🔴",IF(AI328&gt;1.1,"🟡","🟢")))</f>
        <v/>
      </c>
    </row>
    <row r="329" ht="14" customHeight="1" s="176">
      <c r="A329" s="103" t="inlineStr">
        <is>
          <t>Santa Catalina</t>
        </is>
      </c>
      <c r="B329" s="104" t="inlineStr">
        <is>
          <t>eureka 22,55</t>
        </is>
      </c>
      <c r="C329" s="104" t="inlineStr">
        <is>
          <t>2- M.O. indirecta</t>
        </is>
      </c>
      <c r="D329" s="104" t="inlineStr">
        <is>
          <t>3,1-  ENCARGADO DE RIEGO</t>
        </is>
      </c>
      <c r="E329" s="104" t="inlineStr">
        <is>
          <t>día</t>
        </is>
      </c>
      <c r="F329" s="105" t="n">
        <v>502867.6620275</v>
      </c>
      <c r="G329" s="106" t="n">
        <v>44618.0833333333</v>
      </c>
      <c r="H329" s="107" t="n"/>
      <c r="I329" s="108">
        <f>IF(H329="","",G329*H329)</f>
        <v/>
      </c>
      <c r="J329" s="243">
        <f>IF(I329="","",F329-I329)</f>
        <v/>
      </c>
      <c r="K329" s="110">
        <f>IF(OR(I329="",F329=0),"",I329/F329)</f>
        <v/>
      </c>
      <c r="L329" s="111">
        <f>IF(K329="","⚪",IF(K329&gt;1.2,"🔴",IF(K329&gt;1.1,"🟡","🟢")))</f>
        <v/>
      </c>
      <c r="N329" s="105" t="n">
        <v>502867.6620275</v>
      </c>
      <c r="O329" s="106" t="n">
        <v>44618.0833333333</v>
      </c>
      <c r="P329" s="107" t="n"/>
      <c r="Q329" s="108">
        <f>IF(P329="","",O329*P329)</f>
        <v/>
      </c>
      <c r="R329" s="243">
        <f>IF(Q329="","",N329-Q329)</f>
        <v/>
      </c>
      <c r="S329" s="110">
        <f>IF(OR(Q329="",N329=0),"",Q329/N329)</f>
        <v/>
      </c>
      <c r="T329" s="111">
        <f>IF(S329="","⚪",IF(S329&gt;1.2,"🔴",IF(S329&gt;1.1,"🟡","🟢")))</f>
        <v/>
      </c>
      <c r="V329" s="105" t="n">
        <v>502867.6620275</v>
      </c>
      <c r="W329" s="106" t="n">
        <v>44618.0833333333</v>
      </c>
      <c r="X329" s="107" t="n"/>
      <c r="Y329" s="108">
        <f>IF(X329="","",W329*X329)</f>
        <v/>
      </c>
      <c r="Z329" s="243">
        <f>IF(Y329="","",V329-Y329)</f>
        <v/>
      </c>
      <c r="AA329" s="110">
        <f>IF(OR(Y329="",V329=0),"",Y329/V329)</f>
        <v/>
      </c>
      <c r="AB329" s="111">
        <f>IF(AA329="","⚪",IF(AA329&gt;1.2,"🔴",IF(AA329&gt;1.1,"🟡","🟢")))</f>
        <v/>
      </c>
      <c r="AD329" s="105" t="n">
        <v>502867.6620275</v>
      </c>
      <c r="AE329" s="106" t="n">
        <v>44618.0833333333</v>
      </c>
      <c r="AF329" s="107" t="n"/>
      <c r="AG329" s="108">
        <f>IF(AF329="","",AE329*AF329)</f>
        <v/>
      </c>
      <c r="AH329" s="243">
        <f>IF(AG329="","",AD329-AG329)</f>
        <v/>
      </c>
      <c r="AI329" s="110">
        <f>IF(OR(AG329="",AD329=0),"",AG329/AD329)</f>
        <v/>
      </c>
      <c r="AJ329" s="111">
        <f>IF(AI329="","⚪",IF(AI329&gt;1.2,"🔴",IF(AI329&gt;1.1,"🟡","🟢")))</f>
        <v/>
      </c>
    </row>
    <row r="330" ht="14" customHeight="1" s="176">
      <c r="A330" s="112" t="inlineStr">
        <is>
          <t>Santa Catalina</t>
        </is>
      </c>
      <c r="B330" s="113" t="inlineStr">
        <is>
          <t>eureka 22,55</t>
        </is>
      </c>
      <c r="C330" s="113" t="inlineStr">
        <is>
          <t>2- M.O. indirecta</t>
        </is>
      </c>
      <c r="D330" s="113" t="inlineStr">
        <is>
          <t>3- ADQUIS. Y BODEGA</t>
        </is>
      </c>
      <c r="E330" s="113" t="inlineStr">
        <is>
          <t>día</t>
        </is>
      </c>
      <c r="F330" s="105" t="n">
        <v>91290.969</v>
      </c>
      <c r="G330" s="106" t="n">
        <v>8100</v>
      </c>
      <c r="H330" s="107" t="n"/>
      <c r="I330" s="108">
        <f>IF(H330="","",G330*H330)</f>
        <v/>
      </c>
      <c r="J330" s="243">
        <f>IF(I330="","",F330-I330)</f>
        <v/>
      </c>
      <c r="K330" s="110">
        <f>IF(OR(I330="",F330=0),"",I330/F330)</f>
        <v/>
      </c>
      <c r="L330" s="111">
        <f>IF(K330="","⚪",IF(K330&gt;1.2,"🔴",IF(K330&gt;1.1,"🟡","🟢")))</f>
        <v/>
      </c>
      <c r="N330" s="105" t="n">
        <v>91290.969</v>
      </c>
      <c r="O330" s="106" t="n">
        <v>8100</v>
      </c>
      <c r="P330" s="107" t="n"/>
      <c r="Q330" s="108">
        <f>IF(P330="","",O330*P330)</f>
        <v/>
      </c>
      <c r="R330" s="243">
        <f>IF(Q330="","",N330-Q330)</f>
        <v/>
      </c>
      <c r="S330" s="110">
        <f>IF(OR(Q330="",N330=0),"",Q330/N330)</f>
        <v/>
      </c>
      <c r="T330" s="111">
        <f>IF(S330="","⚪",IF(S330&gt;1.2,"🔴",IF(S330&gt;1.1,"🟡","🟢")))</f>
        <v/>
      </c>
      <c r="V330" s="105" t="n">
        <v>91290.969</v>
      </c>
      <c r="W330" s="106" t="n">
        <v>8100</v>
      </c>
      <c r="X330" s="107" t="n"/>
      <c r="Y330" s="108">
        <f>IF(X330="","",W330*X330)</f>
        <v/>
      </c>
      <c r="Z330" s="243">
        <f>IF(Y330="","",V330-Y330)</f>
        <v/>
      </c>
      <c r="AA330" s="110">
        <f>IF(OR(Y330="",V330=0),"",Y330/V330)</f>
        <v/>
      </c>
      <c r="AB330" s="111">
        <f>IF(AA330="","⚪",IF(AA330&gt;1.2,"🔴",IF(AA330&gt;1.1,"🟡","🟢")))</f>
        <v/>
      </c>
      <c r="AD330" s="105" t="n">
        <v>91290.969</v>
      </c>
      <c r="AE330" s="106" t="n">
        <v>8100</v>
      </c>
      <c r="AF330" s="107" t="n"/>
      <c r="AG330" s="108">
        <f>IF(AF330="","",AE330*AF330)</f>
        <v/>
      </c>
      <c r="AH330" s="243">
        <f>IF(AG330="","",AD330-AG330)</f>
        <v/>
      </c>
      <c r="AI330" s="110">
        <f>IF(OR(AG330="",AD330=0),"",AG330/AD330)</f>
        <v/>
      </c>
      <c r="AJ330" s="111">
        <f>IF(AI330="","⚪",IF(AI330&gt;1.2,"🔴",IF(AI330&gt;1.1,"🟡","🟢")))</f>
        <v/>
      </c>
    </row>
    <row r="331" ht="14" customHeight="1" s="176">
      <c r="A331" s="103" t="inlineStr">
        <is>
          <t>Santa Catalina</t>
        </is>
      </c>
      <c r="B331" s="104" t="inlineStr">
        <is>
          <t>eureka 22,55</t>
        </is>
      </c>
      <c r="C331" s="104" t="inlineStr">
        <is>
          <t>2- M.O. indirecta</t>
        </is>
      </c>
      <c r="D331" s="104" t="inlineStr">
        <is>
          <t>4,1- ENCARGADO MANTENCIONES</t>
        </is>
      </c>
      <c r="E331" s="104" t="inlineStr">
        <is>
          <t>día</t>
        </is>
      </c>
      <c r="F331" s="105" t="n">
        <v>123975.39</v>
      </c>
      <c r="G331" s="106" t="n">
        <v>11000</v>
      </c>
      <c r="H331" s="107" t="n"/>
      <c r="I331" s="108">
        <f>IF(H331="","",G331*H331)</f>
        <v/>
      </c>
      <c r="J331" s="243">
        <f>IF(I331="","",F331-I331)</f>
        <v/>
      </c>
      <c r="K331" s="110">
        <f>IF(OR(I331="",F331=0),"",I331/F331)</f>
        <v/>
      </c>
      <c r="L331" s="111">
        <f>IF(K331="","⚪",IF(K331&gt;1.2,"🔴",IF(K331&gt;1.1,"🟡","🟢")))</f>
        <v/>
      </c>
      <c r="N331" s="105" t="n">
        <v>123975.39</v>
      </c>
      <c r="O331" s="106" t="n">
        <v>11000</v>
      </c>
      <c r="P331" s="107" t="n"/>
      <c r="Q331" s="108">
        <f>IF(P331="","",O331*P331)</f>
        <v/>
      </c>
      <c r="R331" s="243">
        <f>IF(Q331="","",N331-Q331)</f>
        <v/>
      </c>
      <c r="S331" s="110">
        <f>IF(OR(Q331="",N331=0),"",Q331/N331)</f>
        <v/>
      </c>
      <c r="T331" s="111">
        <f>IF(S331="","⚪",IF(S331&gt;1.2,"🔴",IF(S331&gt;1.1,"🟡","🟢")))</f>
        <v/>
      </c>
      <c r="V331" s="105" t="n">
        <v>123975.39</v>
      </c>
      <c r="W331" s="106" t="n">
        <v>11000</v>
      </c>
      <c r="X331" s="107" t="n"/>
      <c r="Y331" s="108">
        <f>IF(X331="","",W331*X331)</f>
        <v/>
      </c>
      <c r="Z331" s="243">
        <f>IF(Y331="","",V331-Y331)</f>
        <v/>
      </c>
      <c r="AA331" s="110">
        <f>IF(OR(Y331="",V331=0),"",Y331/V331)</f>
        <v/>
      </c>
      <c r="AB331" s="111">
        <f>IF(AA331="","⚪",IF(AA331&gt;1.2,"🔴",IF(AA331&gt;1.1,"🟡","🟢")))</f>
        <v/>
      </c>
      <c r="AD331" s="105" t="n">
        <v>123975.39</v>
      </c>
      <c r="AE331" s="106" t="n">
        <v>11000</v>
      </c>
      <c r="AF331" s="107" t="n"/>
      <c r="AG331" s="108">
        <f>IF(AF331="","",AE331*AF331)</f>
        <v/>
      </c>
      <c r="AH331" s="243">
        <f>IF(AG331="","",AD331-AG331)</f>
        <v/>
      </c>
      <c r="AI331" s="110">
        <f>IF(OR(AG331="",AD331=0),"",AG331/AD331)</f>
        <v/>
      </c>
      <c r="AJ331" s="111">
        <f>IF(AI331="","⚪",IF(AI331&gt;1.2,"🔴",IF(AI331&gt;1.1,"🟡","🟢")))</f>
        <v/>
      </c>
    </row>
    <row r="332" ht="14" customHeight="1" s="176">
      <c r="A332" s="112" t="inlineStr">
        <is>
          <t>Santa Catalina</t>
        </is>
      </c>
      <c r="B332" s="113" t="inlineStr">
        <is>
          <t>eureka 22,55</t>
        </is>
      </c>
      <c r="C332" s="113" t="inlineStr">
        <is>
          <t>2- M.O. indirecta</t>
        </is>
      </c>
      <c r="D332" s="113" t="inlineStr">
        <is>
          <t>4- CERTIFICACIONES</t>
        </is>
      </c>
      <c r="E332" s="113" t="inlineStr">
        <is>
          <t>día</t>
        </is>
      </c>
      <c r="F332" s="105" t="n">
        <v>72859.0218125</v>
      </c>
      <c r="G332" s="106" t="n">
        <v>6464.58333333333</v>
      </c>
      <c r="H332" s="107" t="n"/>
      <c r="I332" s="108">
        <f>IF(H332="","",G332*H332)</f>
        <v/>
      </c>
      <c r="J332" s="243">
        <f>IF(I332="","",F332-I332)</f>
        <v/>
      </c>
      <c r="K332" s="110">
        <f>IF(OR(I332="",F332=0),"",I332/F332)</f>
        <v/>
      </c>
      <c r="L332" s="111">
        <f>IF(K332="","⚪",IF(K332&gt;1.2,"🔴",IF(K332&gt;1.1,"🟡","🟢")))</f>
        <v/>
      </c>
      <c r="N332" s="105" t="n">
        <v>72859.0218125</v>
      </c>
      <c r="O332" s="106" t="n">
        <v>6464.58333333333</v>
      </c>
      <c r="P332" s="107" t="n"/>
      <c r="Q332" s="108">
        <f>IF(P332="","",O332*P332)</f>
        <v/>
      </c>
      <c r="R332" s="243">
        <f>IF(Q332="","",N332-Q332)</f>
        <v/>
      </c>
      <c r="S332" s="110">
        <f>IF(OR(Q332="",N332=0),"",Q332/N332)</f>
        <v/>
      </c>
      <c r="T332" s="111">
        <f>IF(S332="","⚪",IF(S332&gt;1.2,"🔴",IF(S332&gt;1.1,"🟡","🟢")))</f>
        <v/>
      </c>
      <c r="V332" s="105" t="n">
        <v>72859.0218125</v>
      </c>
      <c r="W332" s="106" t="n">
        <v>6464.58333333333</v>
      </c>
      <c r="X332" s="107" t="n"/>
      <c r="Y332" s="108">
        <f>IF(X332="","",W332*X332)</f>
        <v/>
      </c>
      <c r="Z332" s="243">
        <f>IF(Y332="","",V332-Y332)</f>
        <v/>
      </c>
      <c r="AA332" s="110">
        <f>IF(OR(Y332="",V332=0),"",Y332/V332)</f>
        <v/>
      </c>
      <c r="AB332" s="111">
        <f>IF(AA332="","⚪",IF(AA332&gt;1.2,"🔴",IF(AA332&gt;1.1,"🟡","🟢")))</f>
        <v/>
      </c>
      <c r="AD332" s="105" t="n">
        <v>72859.0218125</v>
      </c>
      <c r="AE332" s="106" t="n">
        <v>6464.58333333333</v>
      </c>
      <c r="AF332" s="107" t="n"/>
      <c r="AG332" s="108">
        <f>IF(AF332="","",AE332*AF332)</f>
        <v/>
      </c>
      <c r="AH332" s="243">
        <f>IF(AG332="","",AD332-AG332)</f>
        <v/>
      </c>
      <c r="AI332" s="110">
        <f>IF(OR(AG332="",AD332=0),"",AG332/AD332)</f>
        <v/>
      </c>
      <c r="AJ332" s="111">
        <f>IF(AI332="","⚪",IF(AI332&gt;1.2,"🔴",IF(AI332&gt;1.1,"🟡","🟢")))</f>
        <v/>
      </c>
    </row>
    <row r="333" ht="14" customHeight="1" s="176">
      <c r="A333" s="103" t="inlineStr">
        <is>
          <t>Santa Catalina</t>
        </is>
      </c>
      <c r="B333" s="104" t="inlineStr">
        <is>
          <t>eureka 22,55</t>
        </is>
      </c>
      <c r="C333" s="104" t="inlineStr">
        <is>
          <t>2- M.O. indirecta</t>
        </is>
      </c>
      <c r="D333" s="104" t="inlineStr">
        <is>
          <t>5- PREVEN. DE RIESGO</t>
        </is>
      </c>
      <c r="E333" s="104" t="inlineStr">
        <is>
          <t>día</t>
        </is>
      </c>
      <c r="F333" s="105" t="n">
        <v>17751.02175</v>
      </c>
      <c r="G333" s="106" t="n">
        <v>1575</v>
      </c>
      <c r="H333" s="107" t="n"/>
      <c r="I333" s="108">
        <f>IF(H333="","",G333*H333)</f>
        <v/>
      </c>
      <c r="J333" s="243">
        <f>IF(I333="","",F333-I333)</f>
        <v/>
      </c>
      <c r="K333" s="110">
        <f>IF(OR(I333="",F333=0),"",I333/F333)</f>
        <v/>
      </c>
      <c r="L333" s="111">
        <f>IF(K333="","⚪",IF(K333&gt;1.2,"🔴",IF(K333&gt;1.1,"🟡","🟢")))</f>
        <v/>
      </c>
      <c r="N333" s="105" t="n">
        <v>17751.02175</v>
      </c>
      <c r="O333" s="106" t="n">
        <v>1575</v>
      </c>
      <c r="P333" s="107" t="n"/>
      <c r="Q333" s="108">
        <f>IF(P333="","",O333*P333)</f>
        <v/>
      </c>
      <c r="R333" s="243">
        <f>IF(Q333="","",N333-Q333)</f>
        <v/>
      </c>
      <c r="S333" s="110">
        <f>IF(OR(Q333="",N333=0),"",Q333/N333)</f>
        <v/>
      </c>
      <c r="T333" s="111">
        <f>IF(S333="","⚪",IF(S333&gt;1.2,"🔴",IF(S333&gt;1.1,"🟡","🟢")))</f>
        <v/>
      </c>
      <c r="V333" s="105" t="n">
        <v>17751.02175</v>
      </c>
      <c r="W333" s="106" t="n">
        <v>1575</v>
      </c>
      <c r="X333" s="107" t="n"/>
      <c r="Y333" s="108">
        <f>IF(X333="","",W333*X333)</f>
        <v/>
      </c>
      <c r="Z333" s="243">
        <f>IF(Y333="","",V333-Y333)</f>
        <v/>
      </c>
      <c r="AA333" s="110">
        <f>IF(OR(Y333="",V333=0),"",Y333/V333)</f>
        <v/>
      </c>
      <c r="AB333" s="111">
        <f>IF(AA333="","⚪",IF(AA333&gt;1.2,"🔴",IF(AA333&gt;1.1,"🟡","🟢")))</f>
        <v/>
      </c>
      <c r="AD333" s="105" t="n">
        <v>17751.02175</v>
      </c>
      <c r="AE333" s="106" t="n">
        <v>1575</v>
      </c>
      <c r="AF333" s="107" t="n"/>
      <c r="AG333" s="108">
        <f>IF(AF333="","",AE333*AF333)</f>
        <v/>
      </c>
      <c r="AH333" s="243">
        <f>IF(AG333="","",AD333-AG333)</f>
        <v/>
      </c>
      <c r="AI333" s="110">
        <f>IF(OR(AG333="",AD333=0),"",AG333/AD333)</f>
        <v/>
      </c>
      <c r="AJ333" s="111">
        <f>IF(AI333="","⚪",IF(AI333&gt;1.2,"🔴",IF(AI333&gt;1.1,"🟡","🟢")))</f>
        <v/>
      </c>
    </row>
    <row r="334" ht="14" customHeight="1" s="176">
      <c r="A334" s="112" t="inlineStr">
        <is>
          <t>Santa Catalina</t>
        </is>
      </c>
      <c r="B334" s="113" t="inlineStr">
        <is>
          <t>eureka 22,55</t>
        </is>
      </c>
      <c r="C334" s="113" t="inlineStr">
        <is>
          <t>2- M.O. indirecta</t>
        </is>
      </c>
      <c r="D334" s="113" t="inlineStr">
        <is>
          <t>9,1- RONDIN FUNDO</t>
        </is>
      </c>
      <c r="E334" s="113" t="inlineStr">
        <is>
          <t>día</t>
        </is>
      </c>
      <c r="F334" s="105" t="n">
        <v>448137.22338</v>
      </c>
      <c r="G334" s="106" t="n">
        <v>39762</v>
      </c>
      <c r="H334" s="107" t="n"/>
      <c r="I334" s="108">
        <f>IF(H334="","",G334*H334)</f>
        <v/>
      </c>
      <c r="J334" s="243">
        <f>IF(I334="","",F334-I334)</f>
        <v/>
      </c>
      <c r="K334" s="110">
        <f>IF(OR(I334="",F334=0),"",I334/F334)</f>
        <v/>
      </c>
      <c r="L334" s="111">
        <f>IF(K334="","⚪",IF(K334&gt;1.2,"🔴",IF(K334&gt;1.1,"🟡","🟢")))</f>
        <v/>
      </c>
      <c r="N334" s="105" t="n">
        <v>448137.22338</v>
      </c>
      <c r="O334" s="106" t="n">
        <v>39762</v>
      </c>
      <c r="P334" s="107" t="n"/>
      <c r="Q334" s="108">
        <f>IF(P334="","",O334*P334)</f>
        <v/>
      </c>
      <c r="R334" s="243">
        <f>IF(Q334="","",N334-Q334)</f>
        <v/>
      </c>
      <c r="S334" s="110">
        <f>IF(OR(Q334="",N334=0),"",Q334/N334)</f>
        <v/>
      </c>
      <c r="T334" s="111">
        <f>IF(S334="","⚪",IF(S334&gt;1.2,"🔴",IF(S334&gt;1.1,"🟡","🟢")))</f>
        <v/>
      </c>
      <c r="V334" s="105" t="n">
        <v>448137.22338</v>
      </c>
      <c r="W334" s="106" t="n">
        <v>39762</v>
      </c>
      <c r="X334" s="107" t="n"/>
      <c r="Y334" s="108">
        <f>IF(X334="","",W334*X334)</f>
        <v/>
      </c>
      <c r="Z334" s="243">
        <f>IF(Y334="","",V334-Y334)</f>
        <v/>
      </c>
      <c r="AA334" s="110">
        <f>IF(OR(Y334="",V334=0),"",Y334/V334)</f>
        <v/>
      </c>
      <c r="AB334" s="111">
        <f>IF(AA334="","⚪",IF(AA334&gt;1.2,"🔴",IF(AA334&gt;1.1,"🟡","🟢")))</f>
        <v/>
      </c>
      <c r="AD334" s="105" t="n">
        <v>448137.22338</v>
      </c>
      <c r="AE334" s="106" t="n">
        <v>39762</v>
      </c>
      <c r="AF334" s="107" t="n"/>
      <c r="AG334" s="108">
        <f>IF(AF334="","",AE334*AF334)</f>
        <v/>
      </c>
      <c r="AH334" s="243">
        <f>IF(AG334="","",AD334-AG334)</f>
        <v/>
      </c>
      <c r="AI334" s="110">
        <f>IF(OR(AG334="",AD334=0),"",AG334/AD334)</f>
        <v/>
      </c>
      <c r="AJ334" s="111">
        <f>IF(AI334="","⚪",IF(AI334&gt;1.2,"🔴",IF(AI334&gt;1.1,"🟡","🟢")))</f>
        <v/>
      </c>
    </row>
    <row r="335" ht="14" customHeight="1" s="176">
      <c r="A335" s="103" t="inlineStr">
        <is>
          <t>Santa Catalina</t>
        </is>
      </c>
      <c r="B335" s="104" t="inlineStr">
        <is>
          <t>eureka 22,55</t>
        </is>
      </c>
      <c r="C335" s="104" t="inlineStr">
        <is>
          <t>2- M.O. indirecta</t>
        </is>
      </c>
      <c r="D335" s="104" t="inlineStr">
        <is>
          <t>9,1- RONDIN ZANJON</t>
        </is>
      </c>
      <c r="E335" s="104" t="inlineStr">
        <is>
          <t>día</t>
        </is>
      </c>
      <c r="F335" s="105" t="n">
        <v>796688.39712</v>
      </c>
      <c r="G335" s="106" t="n">
        <v>70688</v>
      </c>
      <c r="H335" s="107" t="n"/>
      <c r="I335" s="108">
        <f>IF(H335="","",G335*H335)</f>
        <v/>
      </c>
      <c r="J335" s="243">
        <f>IF(I335="","",F335-I335)</f>
        <v/>
      </c>
      <c r="K335" s="110">
        <f>IF(OR(I335="",F335=0),"",I335/F335)</f>
        <v/>
      </c>
      <c r="L335" s="111">
        <f>IF(K335="","⚪",IF(K335&gt;1.2,"🔴",IF(K335&gt;1.1,"🟡","🟢")))</f>
        <v/>
      </c>
      <c r="N335" s="105" t="n">
        <v>796688.39712</v>
      </c>
      <c r="O335" s="106" t="n">
        <v>70688</v>
      </c>
      <c r="P335" s="107" t="n"/>
      <c r="Q335" s="108">
        <f>IF(P335="","",O335*P335)</f>
        <v/>
      </c>
      <c r="R335" s="243">
        <f>IF(Q335="","",N335-Q335)</f>
        <v/>
      </c>
      <c r="S335" s="110">
        <f>IF(OR(Q335="",N335=0),"",Q335/N335)</f>
        <v/>
      </c>
      <c r="T335" s="111">
        <f>IF(S335="","⚪",IF(S335&gt;1.2,"🔴",IF(S335&gt;1.1,"🟡","🟢")))</f>
        <v/>
      </c>
      <c r="V335" s="105" t="n">
        <v>796688.39712</v>
      </c>
      <c r="W335" s="106" t="n">
        <v>70688</v>
      </c>
      <c r="X335" s="107" t="n"/>
      <c r="Y335" s="108">
        <f>IF(X335="","",W335*X335)</f>
        <v/>
      </c>
      <c r="Z335" s="243">
        <f>IF(Y335="","",V335-Y335)</f>
        <v/>
      </c>
      <c r="AA335" s="110">
        <f>IF(OR(Y335="",V335=0),"",Y335/V335)</f>
        <v/>
      </c>
      <c r="AB335" s="111">
        <f>IF(AA335="","⚪",IF(AA335&gt;1.2,"🔴",IF(AA335&gt;1.1,"🟡","🟢")))</f>
        <v/>
      </c>
      <c r="AD335" s="105" t="n">
        <v>796688.39712</v>
      </c>
      <c r="AE335" s="106" t="n">
        <v>70688</v>
      </c>
      <c r="AF335" s="107" t="n"/>
      <c r="AG335" s="108">
        <f>IF(AF335="","",AE335*AF335)</f>
        <v/>
      </c>
      <c r="AH335" s="243">
        <f>IF(AG335="","",AD335-AG335)</f>
        <v/>
      </c>
      <c r="AI335" s="110">
        <f>IF(OR(AG335="",AD335=0),"",AG335/AD335)</f>
        <v/>
      </c>
      <c r="AJ335" s="111">
        <f>IF(AI335="","⚪",IF(AI335&gt;1.2,"🔴",IF(AI335&gt;1.1,"🟡","🟢")))</f>
        <v/>
      </c>
    </row>
    <row r="336" ht="14" customHeight="1" s="176">
      <c r="A336" s="112" t="inlineStr">
        <is>
          <t>Santa Catalina</t>
        </is>
      </c>
      <c r="B336" s="113" t="inlineStr">
        <is>
          <t>form benjamin 1,93 ha</t>
        </is>
      </c>
      <c r="C336" s="113" t="inlineStr">
        <is>
          <t>1- M.O. directa</t>
        </is>
      </c>
      <c r="D336" s="113" t="inlineStr">
        <is>
          <t xml:space="preserve">1,4- Mantención caminos </t>
        </is>
      </c>
      <c r="E336" s="113" t="inlineStr">
        <is>
          <t>día</t>
        </is>
      </c>
      <c r="F336" s="105" t="n">
        <v>12593.25</v>
      </c>
      <c r="G336" s="106" t="n">
        <v>43500</v>
      </c>
      <c r="H336" s="107" t="n"/>
      <c r="I336" s="108">
        <f>IF(H336="","",G336*H336)</f>
        <v/>
      </c>
      <c r="J336" s="243">
        <f>IF(I336="","",F336-I336)</f>
        <v/>
      </c>
      <c r="K336" s="110">
        <f>IF(OR(I336="",F336=0),"",I336/F336)</f>
        <v/>
      </c>
      <c r="L336" s="111">
        <f>IF(K336="","⚪",IF(K336&gt;1.2,"🔴",IF(K336&gt;1.1,"🟡","🟢")))</f>
        <v/>
      </c>
      <c r="N336" s="105" t="n">
        <v>12593.25</v>
      </c>
      <c r="O336" s="106" t="n">
        <v>43500</v>
      </c>
      <c r="P336" s="107" t="n"/>
      <c r="Q336" s="108">
        <f>IF(P336="","",O336*P336)</f>
        <v/>
      </c>
      <c r="R336" s="243">
        <f>IF(Q336="","",N336-Q336)</f>
        <v/>
      </c>
      <c r="S336" s="110">
        <f>IF(OR(Q336="",N336=0),"",Q336/N336)</f>
        <v/>
      </c>
      <c r="T336" s="111">
        <f>IF(S336="","⚪",IF(S336&gt;1.2,"🔴",IF(S336&gt;1.1,"🟡","🟢")))</f>
        <v/>
      </c>
      <c r="V336" s="105" t="n">
        <v>12593.25</v>
      </c>
      <c r="W336" s="106" t="n">
        <v>43500</v>
      </c>
      <c r="X336" s="107" t="n"/>
      <c r="Y336" s="108">
        <f>IF(X336="","",W336*X336)</f>
        <v/>
      </c>
      <c r="Z336" s="243">
        <f>IF(Y336="","",V336-Y336)</f>
        <v/>
      </c>
      <c r="AA336" s="110">
        <f>IF(OR(Y336="",V336=0),"",Y336/V336)</f>
        <v/>
      </c>
      <c r="AB336" s="111">
        <f>IF(AA336="","⚪",IF(AA336&gt;1.2,"🔴",IF(AA336&gt;1.1,"🟡","🟢")))</f>
        <v/>
      </c>
      <c r="AD336" s="105" t="n">
        <v>12593.25</v>
      </c>
      <c r="AE336" s="106" t="n">
        <v>43500</v>
      </c>
      <c r="AF336" s="107" t="n"/>
      <c r="AG336" s="108">
        <f>IF(AF336="","",AE336*AF336)</f>
        <v/>
      </c>
      <c r="AH336" s="243">
        <f>IF(AG336="","",AD336-AG336)</f>
        <v/>
      </c>
      <c r="AI336" s="110">
        <f>IF(OR(AG336="",AD336=0),"",AG336/AD336)</f>
        <v/>
      </c>
      <c r="AJ336" s="111">
        <f>IF(AI336="","⚪",IF(AI336&gt;1.2,"🔴",IF(AI336&gt;1.1,"🟡","🟢")))</f>
        <v/>
      </c>
    </row>
    <row r="337" ht="14" customHeight="1" s="176">
      <c r="A337" s="103" t="inlineStr">
        <is>
          <t>Santa Catalina</t>
        </is>
      </c>
      <c r="B337" s="104" t="inlineStr">
        <is>
          <t>form benjamin 1,93 ha</t>
        </is>
      </c>
      <c r="C337" s="104" t="inlineStr">
        <is>
          <t>1- M.O. directa</t>
        </is>
      </c>
      <c r="D337" s="104" t="inlineStr">
        <is>
          <t>1- Cosecha EXP</t>
        </is>
      </c>
      <c r="E337" s="104" t="inlineStr">
        <is>
          <t>trato</t>
        </is>
      </c>
      <c r="F337" s="105" t="inlineStr">
        <is>
          <t>kg</t>
        </is>
      </c>
      <c r="G337" s="106" t="n">
        <v>83</v>
      </c>
      <c r="H337" s="107" t="n"/>
      <c r="I337" s="108">
        <f>IF(H337="","",G337*H337)</f>
        <v/>
      </c>
      <c r="J337" s="243">
        <f>IF(I337="","",F337-I337)</f>
        <v/>
      </c>
      <c r="K337" s="110">
        <f>IF(OR(I337="",F337=0),"",I337/F337)</f>
        <v/>
      </c>
      <c r="L337" s="111">
        <f>IF(K337="","⚪",IF(K337&gt;1.2,"🔴",IF(K337&gt;1.1,"🟡","🟢")))</f>
        <v/>
      </c>
      <c r="N337" s="105" t="n"/>
      <c r="O337" s="106" t="n">
        <v>83</v>
      </c>
      <c r="P337" s="107" t="n"/>
      <c r="Q337" s="108">
        <f>IF(P337="","",O337*P337)</f>
        <v/>
      </c>
      <c r="R337" s="243">
        <f>IF(Q337="","",N337-Q337)</f>
        <v/>
      </c>
      <c r="S337" s="110">
        <f>IF(OR(Q337="",N337=0),"",Q337/N337)</f>
        <v/>
      </c>
      <c r="T337" s="111">
        <f>IF(S337="","⚪",IF(S337&gt;1.2,"🔴",IF(S337&gt;1.1,"🟡","🟢")))</f>
        <v/>
      </c>
      <c r="V337" s="105" t="n"/>
      <c r="W337" s="106" t="n">
        <v>83</v>
      </c>
      <c r="X337" s="107" t="n"/>
      <c r="Y337" s="108">
        <f>IF(X337="","",W337*X337)</f>
        <v/>
      </c>
      <c r="Z337" s="243">
        <f>IF(Y337="","",V337-Y337)</f>
        <v/>
      </c>
      <c r="AA337" s="110">
        <f>IF(OR(Y337="",V337=0),"",Y337/V337)</f>
        <v/>
      </c>
      <c r="AB337" s="111">
        <f>IF(AA337="","⚪",IF(AA337&gt;1.2,"🔴",IF(AA337&gt;1.1,"🟡","🟢")))</f>
        <v/>
      </c>
      <c r="AD337" s="105" t="n"/>
      <c r="AE337" s="106" t="n">
        <v>83</v>
      </c>
      <c r="AF337" s="107" t="n"/>
      <c r="AG337" s="108">
        <f>IF(AF337="","",AE337*AF337)</f>
        <v/>
      </c>
      <c r="AH337" s="243">
        <f>IF(AG337="","",AD337-AG337)</f>
        <v/>
      </c>
      <c r="AI337" s="110">
        <f>IF(OR(AG337="",AD337=0),"",AG337/AD337)</f>
        <v/>
      </c>
      <c r="AJ337" s="111">
        <f>IF(AI337="","⚪",IF(AI337&gt;1.2,"🔴",IF(AI337&gt;1.1,"🟡","🟢")))</f>
        <v/>
      </c>
    </row>
    <row r="338" ht="14" customHeight="1" s="176">
      <c r="A338" s="112" t="inlineStr">
        <is>
          <t>Santa Catalina</t>
        </is>
      </c>
      <c r="B338" s="113" t="inlineStr">
        <is>
          <t>form benjamin 1,93 ha</t>
        </is>
      </c>
      <c r="C338" s="113" t="inlineStr">
        <is>
          <t>1- M.O. directa</t>
        </is>
      </c>
      <c r="D338" s="113" t="inlineStr">
        <is>
          <t>1- Cosecha M.I</t>
        </is>
      </c>
      <c r="E338" s="113" t="inlineStr">
        <is>
          <t>trato</t>
        </is>
      </c>
      <c r="F338" s="105" t="inlineStr">
        <is>
          <t>kg</t>
        </is>
      </c>
      <c r="G338" s="106" t="n">
        <v>65</v>
      </c>
      <c r="H338" s="107" t="n"/>
      <c r="I338" s="108">
        <f>IF(H338="","",G338*H338)</f>
        <v/>
      </c>
      <c r="J338" s="243">
        <f>IF(I338="","",F338-I338)</f>
        <v/>
      </c>
      <c r="K338" s="110">
        <f>IF(OR(I338="",F338=0),"",I338/F338)</f>
        <v/>
      </c>
      <c r="L338" s="111">
        <f>IF(K338="","⚪",IF(K338&gt;1.2,"🔴",IF(K338&gt;1.1,"🟡","🟢")))</f>
        <v/>
      </c>
      <c r="N338" s="105" t="n"/>
      <c r="O338" s="106" t="n">
        <v>65</v>
      </c>
      <c r="P338" s="107" t="n"/>
      <c r="Q338" s="108">
        <f>IF(P338="","",O338*P338)</f>
        <v/>
      </c>
      <c r="R338" s="243">
        <f>IF(Q338="","",N338-Q338)</f>
        <v/>
      </c>
      <c r="S338" s="110">
        <f>IF(OR(Q338="",N338=0),"",Q338/N338)</f>
        <v/>
      </c>
      <c r="T338" s="111">
        <f>IF(S338="","⚪",IF(S338&gt;1.2,"🔴",IF(S338&gt;1.1,"🟡","🟢")))</f>
        <v/>
      </c>
      <c r="V338" s="105" t="n"/>
      <c r="W338" s="106" t="n">
        <v>65</v>
      </c>
      <c r="X338" s="107" t="n"/>
      <c r="Y338" s="108">
        <f>IF(X338="","",W338*X338)</f>
        <v/>
      </c>
      <c r="Z338" s="243">
        <f>IF(Y338="","",V338-Y338)</f>
        <v/>
      </c>
      <c r="AA338" s="110">
        <f>IF(OR(Y338="",V338=0),"",Y338/V338)</f>
        <v/>
      </c>
      <c r="AB338" s="111">
        <f>IF(AA338="","⚪",IF(AA338&gt;1.2,"🔴",IF(AA338&gt;1.1,"🟡","🟢")))</f>
        <v/>
      </c>
      <c r="AD338" s="105" t="n"/>
      <c r="AE338" s="106" t="n">
        <v>65</v>
      </c>
      <c r="AF338" s="107" t="n"/>
      <c r="AG338" s="108">
        <f>IF(AF338="","",AE338*AF338)</f>
        <v/>
      </c>
      <c r="AH338" s="243">
        <f>IF(AG338="","",AD338-AG338)</f>
        <v/>
      </c>
      <c r="AI338" s="110">
        <f>IF(OR(AG338="",AD338=0),"",AG338/AD338)</f>
        <v/>
      </c>
      <c r="AJ338" s="111">
        <f>IF(AI338="","⚪",IF(AI338&gt;1.2,"🔴",IF(AI338&gt;1.1,"🟡","🟢")))</f>
        <v/>
      </c>
    </row>
    <row r="339" ht="14" customHeight="1" s="176">
      <c r="A339" s="103" t="inlineStr">
        <is>
          <t>Santa Catalina</t>
        </is>
      </c>
      <c r="B339" s="104" t="inlineStr">
        <is>
          <t>form benjamin 1,93 ha</t>
        </is>
      </c>
      <c r="C339" s="104" t="inlineStr">
        <is>
          <t>1- M.O. directa</t>
        </is>
      </c>
      <c r="D339" s="104" t="inlineStr">
        <is>
          <t>12- Picar sarmiento</t>
        </is>
      </c>
      <c r="E339" s="104" t="inlineStr">
        <is>
          <t>trato</t>
        </is>
      </c>
      <c r="F339" s="105" t="n">
        <v>2414.43</v>
      </c>
      <c r="G339" s="106" t="n">
        <v>60</v>
      </c>
      <c r="H339" s="107" t="n"/>
      <c r="I339" s="108">
        <f>IF(H339="","",G339*H339)</f>
        <v/>
      </c>
      <c r="J339" s="243">
        <f>IF(I339="","",F339-I339)</f>
        <v/>
      </c>
      <c r="K339" s="110">
        <f>IF(OR(I339="",F339=0),"",I339/F339)</f>
        <v/>
      </c>
      <c r="L339" s="111">
        <f>IF(K339="","⚪",IF(K339&gt;1.2,"🔴",IF(K339&gt;1.1,"🟡","🟢")))</f>
        <v/>
      </c>
      <c r="N339" s="105" t="n">
        <v>2414.43</v>
      </c>
      <c r="O339" s="106" t="n">
        <v>60</v>
      </c>
      <c r="P339" s="107" t="n"/>
      <c r="Q339" s="108">
        <f>IF(P339="","",O339*P339)</f>
        <v/>
      </c>
      <c r="R339" s="243">
        <f>IF(Q339="","",N339-Q339)</f>
        <v/>
      </c>
      <c r="S339" s="110">
        <f>IF(OR(Q339="",N339=0),"",Q339/N339)</f>
        <v/>
      </c>
      <c r="T339" s="111">
        <f>IF(S339="","⚪",IF(S339&gt;1.2,"🔴",IF(S339&gt;1.1,"🟡","🟢")))</f>
        <v/>
      </c>
      <c r="V339" s="105" t="n">
        <v>2414.43</v>
      </c>
      <c r="W339" s="106" t="n">
        <v>60</v>
      </c>
      <c r="X339" s="107" t="n"/>
      <c r="Y339" s="108">
        <f>IF(X339="","",W339*X339)</f>
        <v/>
      </c>
      <c r="Z339" s="243">
        <f>IF(Y339="","",V339-Y339)</f>
        <v/>
      </c>
      <c r="AA339" s="110">
        <f>IF(OR(Y339="",V339=0),"",Y339/V339)</f>
        <v/>
      </c>
      <c r="AB339" s="111">
        <f>IF(AA339="","⚪",IF(AA339&gt;1.2,"🔴",IF(AA339&gt;1.1,"🟡","🟢")))</f>
        <v/>
      </c>
      <c r="AD339" s="105" t="n">
        <v>2414.43</v>
      </c>
      <c r="AE339" s="106" t="n">
        <v>60</v>
      </c>
      <c r="AF339" s="107" t="n"/>
      <c r="AG339" s="108">
        <f>IF(AF339="","",AE339*AF339)</f>
        <v/>
      </c>
      <c r="AH339" s="243">
        <f>IF(AG339="","",AD339-AG339)</f>
        <v/>
      </c>
      <c r="AI339" s="110">
        <f>IF(OR(AG339="",AD339=0),"",AG339/AD339)</f>
        <v/>
      </c>
      <c r="AJ339" s="111">
        <f>IF(AI339="","⚪",IF(AI339&gt;1.2,"🔴",IF(AI339&gt;1.1,"🟡","🟢")))</f>
        <v/>
      </c>
    </row>
    <row r="340" ht="14" customHeight="1" s="176">
      <c r="A340" s="112" t="inlineStr">
        <is>
          <t>Santa Catalina</t>
        </is>
      </c>
      <c r="B340" s="113" t="inlineStr">
        <is>
          <t>form benjamin 1,93 ha</t>
        </is>
      </c>
      <c r="C340" s="113" t="inlineStr">
        <is>
          <t>1- M.O. directa</t>
        </is>
      </c>
      <c r="D340" s="113" t="inlineStr">
        <is>
          <t>13- Poda antenas</t>
        </is>
      </c>
      <c r="E340" s="113" t="inlineStr">
        <is>
          <t>trato</t>
        </is>
      </c>
      <c r="F340" s="105" t="n">
        <v>24144.3</v>
      </c>
      <c r="G340" s="106" t="n">
        <v>600</v>
      </c>
      <c r="H340" s="107" t="n"/>
      <c r="I340" s="108">
        <f>IF(H340="","",G340*H340)</f>
        <v/>
      </c>
      <c r="J340" s="243">
        <f>IF(I340="","",F340-I340)</f>
        <v/>
      </c>
      <c r="K340" s="110">
        <f>IF(OR(I340="",F340=0),"",I340/F340)</f>
        <v/>
      </c>
      <c r="L340" s="111">
        <f>IF(K340="","⚪",IF(K340&gt;1.2,"🔴",IF(K340&gt;1.1,"🟡","🟢")))</f>
        <v/>
      </c>
      <c r="N340" s="105" t="n">
        <v>24144.3</v>
      </c>
      <c r="O340" s="106" t="n">
        <v>600</v>
      </c>
      <c r="P340" s="107" t="n"/>
      <c r="Q340" s="108">
        <f>IF(P340="","",O340*P340)</f>
        <v/>
      </c>
      <c r="R340" s="243">
        <f>IF(Q340="","",N340-Q340)</f>
        <v/>
      </c>
      <c r="S340" s="110">
        <f>IF(OR(Q340="",N340=0),"",Q340/N340)</f>
        <v/>
      </c>
      <c r="T340" s="111">
        <f>IF(S340="","⚪",IF(S340&gt;1.2,"🔴",IF(S340&gt;1.1,"🟡","🟢")))</f>
        <v/>
      </c>
      <c r="V340" s="105" t="n">
        <v>24144.3</v>
      </c>
      <c r="W340" s="106" t="n">
        <v>600</v>
      </c>
      <c r="X340" s="107" t="n"/>
      <c r="Y340" s="108">
        <f>IF(X340="","",W340*X340)</f>
        <v/>
      </c>
      <c r="Z340" s="243">
        <f>IF(Y340="","",V340-Y340)</f>
        <v/>
      </c>
      <c r="AA340" s="110">
        <f>IF(OR(Y340="",V340=0),"",Y340/V340)</f>
        <v/>
      </c>
      <c r="AB340" s="111">
        <f>IF(AA340="","⚪",IF(AA340&gt;1.2,"🔴",IF(AA340&gt;1.1,"🟡","🟢")))</f>
        <v/>
      </c>
      <c r="AD340" s="105" t="n">
        <v>24144.3</v>
      </c>
      <c r="AE340" s="106" t="n">
        <v>600</v>
      </c>
      <c r="AF340" s="107" t="n"/>
      <c r="AG340" s="108">
        <f>IF(AF340="","",AE340*AF340)</f>
        <v/>
      </c>
      <c r="AH340" s="243">
        <f>IF(AG340="","",AD340-AG340)</f>
        <v/>
      </c>
      <c r="AI340" s="110">
        <f>IF(OR(AG340="",AD340=0),"",AG340/AD340)</f>
        <v/>
      </c>
      <c r="AJ340" s="111">
        <f>IF(AI340="","⚪",IF(AI340&gt;1.2,"🔴",IF(AI340&gt;1.1,"🟡","🟢")))</f>
        <v/>
      </c>
    </row>
    <row r="341" ht="14" customHeight="1" s="176">
      <c r="A341" s="103" t="inlineStr">
        <is>
          <t>Santa Catalina</t>
        </is>
      </c>
      <c r="B341" s="104" t="inlineStr">
        <is>
          <t>form benjamin 1,93 ha</t>
        </is>
      </c>
      <c r="C341" s="104" t="inlineStr">
        <is>
          <t>1- M.O. directa</t>
        </is>
      </c>
      <c r="D341" s="104" t="inlineStr">
        <is>
          <t>14- Poda de sierrpes</t>
        </is>
      </c>
      <c r="E341" s="104" t="inlineStr">
        <is>
          <t>trato</t>
        </is>
      </c>
      <c r="F341" s="105" t="n">
        <v>1810.8225</v>
      </c>
      <c r="G341" s="106" t="n">
        <v>30</v>
      </c>
      <c r="H341" s="107" t="n"/>
      <c r="I341" s="108">
        <f>IF(H341="","",G341*H341)</f>
        <v/>
      </c>
      <c r="J341" s="243">
        <f>IF(I341="","",F341-I341)</f>
        <v/>
      </c>
      <c r="K341" s="110">
        <f>IF(OR(I341="",F341=0),"",I341/F341)</f>
        <v/>
      </c>
      <c r="L341" s="111">
        <f>IF(K341="","⚪",IF(K341&gt;1.2,"🔴",IF(K341&gt;1.1,"🟡","🟢")))</f>
        <v/>
      </c>
      <c r="N341" s="105" t="n">
        <v>1810.8225</v>
      </c>
      <c r="O341" s="106" t="n">
        <v>30</v>
      </c>
      <c r="P341" s="107" t="n"/>
      <c r="Q341" s="108">
        <f>IF(P341="","",O341*P341)</f>
        <v/>
      </c>
      <c r="R341" s="243">
        <f>IF(Q341="","",N341-Q341)</f>
        <v/>
      </c>
      <c r="S341" s="110">
        <f>IF(OR(Q341="",N341=0),"",Q341/N341)</f>
        <v/>
      </c>
      <c r="T341" s="111">
        <f>IF(S341="","⚪",IF(S341&gt;1.2,"🔴",IF(S341&gt;1.1,"🟡","🟢")))</f>
        <v/>
      </c>
      <c r="V341" s="105" t="n">
        <v>1810.8225</v>
      </c>
      <c r="W341" s="106" t="n">
        <v>30</v>
      </c>
      <c r="X341" s="107" t="n"/>
      <c r="Y341" s="108">
        <f>IF(X341="","",W341*X341)</f>
        <v/>
      </c>
      <c r="Z341" s="243">
        <f>IF(Y341="","",V341-Y341)</f>
        <v/>
      </c>
      <c r="AA341" s="110">
        <f>IF(OR(Y341="",V341=0),"",Y341/V341)</f>
        <v/>
      </c>
      <c r="AB341" s="111">
        <f>IF(AA341="","⚪",IF(AA341&gt;1.2,"🔴",IF(AA341&gt;1.1,"🟡","🟢")))</f>
        <v/>
      </c>
      <c r="AD341" s="105" t="n">
        <v>1810.8225</v>
      </c>
      <c r="AE341" s="106" t="n">
        <v>30</v>
      </c>
      <c r="AF341" s="107" t="n"/>
      <c r="AG341" s="108">
        <f>IF(AF341="","",AE341*AF341)</f>
        <v/>
      </c>
      <c r="AH341" s="243">
        <f>IF(AG341="","",AD341-AG341)</f>
        <v/>
      </c>
      <c r="AI341" s="110">
        <f>IF(OR(AG341="",AD341=0),"",AG341/AD341)</f>
        <v/>
      </c>
      <c r="AJ341" s="111">
        <f>IF(AI341="","⚪",IF(AI341&gt;1.2,"🔴",IF(AI341&gt;1.1,"🟡","🟢")))</f>
        <v/>
      </c>
    </row>
    <row r="342" ht="14" customHeight="1" s="176">
      <c r="A342" s="112" t="inlineStr">
        <is>
          <t>Santa Catalina</t>
        </is>
      </c>
      <c r="B342" s="113" t="inlineStr">
        <is>
          <t>form benjamin 1,93 ha</t>
        </is>
      </c>
      <c r="C342" s="113" t="inlineStr">
        <is>
          <t>1- M.O. directa</t>
        </is>
      </c>
      <c r="D342" s="113" t="inlineStr">
        <is>
          <t>15- Poda primavera</t>
        </is>
      </c>
      <c r="E342" s="113" t="inlineStr">
        <is>
          <t>trato</t>
        </is>
      </c>
      <c r="F342" s="105" t="n">
        <v>12072.15</v>
      </c>
      <c r="G342" s="106" t="n">
        <v>300</v>
      </c>
      <c r="H342" s="107" t="n"/>
      <c r="I342" s="108">
        <f>IF(H342="","",G342*H342)</f>
        <v/>
      </c>
      <c r="J342" s="243">
        <f>IF(I342="","",F342-I342)</f>
        <v/>
      </c>
      <c r="K342" s="110">
        <f>IF(OR(I342="",F342=0),"",I342/F342)</f>
        <v/>
      </c>
      <c r="L342" s="111">
        <f>IF(K342="","⚪",IF(K342&gt;1.2,"🔴",IF(K342&gt;1.1,"🟡","🟢")))</f>
        <v/>
      </c>
      <c r="N342" s="105" t="n">
        <v>12072.15</v>
      </c>
      <c r="O342" s="106" t="n">
        <v>300</v>
      </c>
      <c r="P342" s="107" t="n"/>
      <c r="Q342" s="108">
        <f>IF(P342="","",O342*P342)</f>
        <v/>
      </c>
      <c r="R342" s="243">
        <f>IF(Q342="","",N342-Q342)</f>
        <v/>
      </c>
      <c r="S342" s="110">
        <f>IF(OR(Q342="",N342=0),"",Q342/N342)</f>
        <v/>
      </c>
      <c r="T342" s="111">
        <f>IF(S342="","⚪",IF(S342&gt;1.2,"🔴",IF(S342&gt;1.1,"🟡","🟢")))</f>
        <v/>
      </c>
      <c r="V342" s="105" t="n">
        <v>12072.15</v>
      </c>
      <c r="W342" s="106" t="n">
        <v>300</v>
      </c>
      <c r="X342" s="107" t="n"/>
      <c r="Y342" s="108">
        <f>IF(X342="","",W342*X342)</f>
        <v/>
      </c>
      <c r="Z342" s="243">
        <f>IF(Y342="","",V342-Y342)</f>
        <v/>
      </c>
      <c r="AA342" s="110">
        <f>IF(OR(Y342="",V342=0),"",Y342/V342)</f>
        <v/>
      </c>
      <c r="AB342" s="111">
        <f>IF(AA342="","⚪",IF(AA342&gt;1.2,"🔴",IF(AA342&gt;1.1,"🟡","🟢")))</f>
        <v/>
      </c>
      <c r="AD342" s="105" t="n">
        <v>12072.15</v>
      </c>
      <c r="AE342" s="106" t="n">
        <v>300</v>
      </c>
      <c r="AF342" s="107" t="n"/>
      <c r="AG342" s="108">
        <f>IF(AF342="","",AE342*AF342)</f>
        <v/>
      </c>
      <c r="AH342" s="243">
        <f>IF(AG342="","",AD342-AG342)</f>
        <v/>
      </c>
      <c r="AI342" s="110">
        <f>IF(OR(AG342="",AD342=0),"",AG342/AD342)</f>
        <v/>
      </c>
      <c r="AJ342" s="111">
        <f>IF(AI342="","⚪",IF(AI342&gt;1.2,"🔴",IF(AI342&gt;1.1,"🟡","🟢")))</f>
        <v/>
      </c>
    </row>
    <row r="343" ht="14" customHeight="1" s="176">
      <c r="A343" s="103" t="inlineStr">
        <is>
          <t>Santa Catalina</t>
        </is>
      </c>
      <c r="B343" s="104" t="inlineStr">
        <is>
          <t>form benjamin 1,93 ha</t>
        </is>
      </c>
      <c r="C343" s="104" t="inlineStr">
        <is>
          <t>1- M.O. directa</t>
        </is>
      </c>
      <c r="D343" s="104" t="inlineStr">
        <is>
          <t>16- Supervisor poda</t>
        </is>
      </c>
      <c r="E343" s="104" t="inlineStr">
        <is>
          <t>día</t>
        </is>
      </c>
      <c r="F343" s="105" t="n">
        <v>1810.8225</v>
      </c>
      <c r="G343" s="106" t="n">
        <v>45</v>
      </c>
      <c r="H343" s="107" t="n"/>
      <c r="I343" s="108">
        <f>IF(H343="","",G343*H343)</f>
        <v/>
      </c>
      <c r="J343" s="243">
        <f>IF(I343="","",F343-I343)</f>
        <v/>
      </c>
      <c r="K343" s="110">
        <f>IF(OR(I343="",F343=0),"",I343/F343)</f>
        <v/>
      </c>
      <c r="L343" s="111">
        <f>IF(K343="","⚪",IF(K343&gt;1.2,"🔴",IF(K343&gt;1.1,"🟡","🟢")))</f>
        <v/>
      </c>
      <c r="N343" s="105" t="n">
        <v>1810.8225</v>
      </c>
      <c r="O343" s="106" t="n">
        <v>45</v>
      </c>
      <c r="P343" s="107" t="n"/>
      <c r="Q343" s="108">
        <f>IF(P343="","",O343*P343)</f>
        <v/>
      </c>
      <c r="R343" s="243">
        <f>IF(Q343="","",N343-Q343)</f>
        <v/>
      </c>
      <c r="S343" s="110">
        <f>IF(OR(Q343="",N343=0),"",Q343/N343)</f>
        <v/>
      </c>
      <c r="T343" s="111">
        <f>IF(S343="","⚪",IF(S343&gt;1.2,"🔴",IF(S343&gt;1.1,"🟡","🟢")))</f>
        <v/>
      </c>
      <c r="V343" s="105" t="n">
        <v>1810.8225</v>
      </c>
      <c r="W343" s="106" t="n">
        <v>45</v>
      </c>
      <c r="X343" s="107" t="n"/>
      <c r="Y343" s="108">
        <f>IF(X343="","",W343*X343)</f>
        <v/>
      </c>
      <c r="Z343" s="243">
        <f>IF(Y343="","",V343-Y343)</f>
        <v/>
      </c>
      <c r="AA343" s="110">
        <f>IF(OR(Y343="",V343=0),"",Y343/V343)</f>
        <v/>
      </c>
      <c r="AB343" s="111">
        <f>IF(AA343="","⚪",IF(AA343&gt;1.2,"🔴",IF(AA343&gt;1.1,"🟡","🟢")))</f>
        <v/>
      </c>
      <c r="AD343" s="105" t="n">
        <v>1810.8225</v>
      </c>
      <c r="AE343" s="106" t="n">
        <v>45</v>
      </c>
      <c r="AF343" s="107" t="n"/>
      <c r="AG343" s="108">
        <f>IF(AF343="","",AE343*AF343)</f>
        <v/>
      </c>
      <c r="AH343" s="243">
        <f>IF(AG343="","",AD343-AG343)</f>
        <v/>
      </c>
      <c r="AI343" s="110">
        <f>IF(OR(AG343="",AD343=0),"",AG343/AD343)</f>
        <v/>
      </c>
      <c r="AJ343" s="111">
        <f>IF(AI343="","⚪",IF(AI343&gt;1.2,"🔴",IF(AI343&gt;1.1,"🟡","🟢")))</f>
        <v/>
      </c>
    </row>
    <row r="344" ht="14" customHeight="1" s="176">
      <c r="A344" s="112" t="inlineStr">
        <is>
          <t>Santa Catalina</t>
        </is>
      </c>
      <c r="B344" s="113" t="inlineStr">
        <is>
          <t>form benjamin 1,93 ha</t>
        </is>
      </c>
      <c r="C344" s="113" t="inlineStr">
        <is>
          <t>1- M.O. directa</t>
        </is>
      </c>
      <c r="D344" s="113" t="inlineStr">
        <is>
          <t>17- Recepción, pesaje y despacho</t>
        </is>
      </c>
      <c r="E344" s="113" t="inlineStr">
        <is>
          <t>día</t>
        </is>
      </c>
      <c r="F344" s="105" t="inlineStr">
        <is>
          <t>kg</t>
        </is>
      </c>
      <c r="G344" s="106" t="n">
        <v>1.2</v>
      </c>
      <c r="H344" s="107" t="n"/>
      <c r="I344" s="108">
        <f>IF(H344="","",G344*H344)</f>
        <v/>
      </c>
      <c r="J344" s="243">
        <f>IF(I344="","",F344-I344)</f>
        <v/>
      </c>
      <c r="K344" s="110">
        <f>IF(OR(I344="",F344=0),"",I344/F344)</f>
        <v/>
      </c>
      <c r="L344" s="111">
        <f>IF(K344="","⚪",IF(K344&gt;1.2,"🔴",IF(K344&gt;1.1,"🟡","🟢")))</f>
        <v/>
      </c>
      <c r="N344" s="105" t="n"/>
      <c r="O344" s="106" t="n">
        <v>1.2</v>
      </c>
      <c r="P344" s="107" t="n"/>
      <c r="Q344" s="108">
        <f>IF(P344="","",O344*P344)</f>
        <v/>
      </c>
      <c r="R344" s="243">
        <f>IF(Q344="","",N344-Q344)</f>
        <v/>
      </c>
      <c r="S344" s="110">
        <f>IF(OR(Q344="",N344=0),"",Q344/N344)</f>
        <v/>
      </c>
      <c r="T344" s="111">
        <f>IF(S344="","⚪",IF(S344&gt;1.2,"🔴",IF(S344&gt;1.1,"🟡","🟢")))</f>
        <v/>
      </c>
      <c r="V344" s="105" t="n"/>
      <c r="W344" s="106" t="n">
        <v>1.2</v>
      </c>
      <c r="X344" s="107" t="n"/>
      <c r="Y344" s="108">
        <f>IF(X344="","",W344*X344)</f>
        <v/>
      </c>
      <c r="Z344" s="243">
        <f>IF(Y344="","",V344-Y344)</f>
        <v/>
      </c>
      <c r="AA344" s="110">
        <f>IF(OR(Y344="",V344=0),"",Y344/V344)</f>
        <v/>
      </c>
      <c r="AB344" s="111">
        <f>IF(AA344="","⚪",IF(AA344&gt;1.2,"🔴",IF(AA344&gt;1.1,"🟡","🟢")))</f>
        <v/>
      </c>
      <c r="AD344" s="105" t="n"/>
      <c r="AE344" s="106" t="n">
        <v>1.2</v>
      </c>
      <c r="AF344" s="107" t="n"/>
      <c r="AG344" s="108">
        <f>IF(AF344="","",AE344*AF344)</f>
        <v/>
      </c>
      <c r="AH344" s="243">
        <f>IF(AG344="","",AD344-AG344)</f>
        <v/>
      </c>
      <c r="AI344" s="110">
        <f>IF(OR(AG344="",AD344=0),"",AG344/AD344)</f>
        <v/>
      </c>
      <c r="AJ344" s="111">
        <f>IF(AI344="","⚪",IF(AI344&gt;1.2,"🔴",IF(AI344&gt;1.1,"🟡","🟢")))</f>
        <v/>
      </c>
    </row>
    <row r="345" ht="14" customHeight="1" s="176">
      <c r="A345" s="103" t="inlineStr">
        <is>
          <t>Santa Catalina</t>
        </is>
      </c>
      <c r="B345" s="104" t="inlineStr">
        <is>
          <t>form benjamin 1,93 ha</t>
        </is>
      </c>
      <c r="C345" s="104" t="inlineStr">
        <is>
          <t>1- M.O. directa</t>
        </is>
      </c>
      <c r="D345" s="104" t="inlineStr">
        <is>
          <t>2- Supervisor cosecha</t>
        </is>
      </c>
      <c r="E345" s="104" t="inlineStr">
        <is>
          <t>día</t>
        </is>
      </c>
      <c r="F345" s="105" t="inlineStr">
        <is>
          <t>kg</t>
        </is>
      </c>
      <c r="G345" s="106" t="n">
        <v>7</v>
      </c>
      <c r="H345" s="107" t="n"/>
      <c r="I345" s="108">
        <f>IF(H345="","",G345*H345)</f>
        <v/>
      </c>
      <c r="J345" s="243">
        <f>IF(I345="","",F345-I345)</f>
        <v/>
      </c>
      <c r="K345" s="110">
        <f>IF(OR(I345="",F345=0),"",I345/F345)</f>
        <v/>
      </c>
      <c r="L345" s="111">
        <f>IF(K345="","⚪",IF(K345&gt;1.2,"🔴",IF(K345&gt;1.1,"🟡","🟢")))</f>
        <v/>
      </c>
      <c r="N345" s="105" t="n"/>
      <c r="O345" s="106" t="n">
        <v>7</v>
      </c>
      <c r="P345" s="107" t="n"/>
      <c r="Q345" s="108">
        <f>IF(P345="","",O345*P345)</f>
        <v/>
      </c>
      <c r="R345" s="243">
        <f>IF(Q345="","",N345-Q345)</f>
        <v/>
      </c>
      <c r="S345" s="110">
        <f>IF(OR(Q345="",N345=0),"",Q345/N345)</f>
        <v/>
      </c>
      <c r="T345" s="111">
        <f>IF(S345="","⚪",IF(S345&gt;1.2,"🔴",IF(S345&gt;1.1,"🟡","🟢")))</f>
        <v/>
      </c>
      <c r="V345" s="105" t="n"/>
      <c r="W345" s="106" t="n">
        <v>7</v>
      </c>
      <c r="X345" s="107" t="n"/>
      <c r="Y345" s="108">
        <f>IF(X345="","",W345*X345)</f>
        <v/>
      </c>
      <c r="Z345" s="243">
        <f>IF(Y345="","",V345-Y345)</f>
        <v/>
      </c>
      <c r="AA345" s="110">
        <f>IF(OR(Y345="",V345=0),"",Y345/V345)</f>
        <v/>
      </c>
      <c r="AB345" s="111">
        <f>IF(AA345="","⚪",IF(AA345&gt;1.2,"🔴",IF(AA345&gt;1.1,"🟡","🟢")))</f>
        <v/>
      </c>
      <c r="AD345" s="105" t="n"/>
      <c r="AE345" s="106" t="n">
        <v>7</v>
      </c>
      <c r="AF345" s="107" t="n"/>
      <c r="AG345" s="108">
        <f>IF(AF345="","",AE345*AF345)</f>
        <v/>
      </c>
      <c r="AH345" s="243">
        <f>IF(AG345="","",AD345-AG345)</f>
        <v/>
      </c>
      <c r="AI345" s="110">
        <f>IF(OR(AG345="",AD345=0),"",AG345/AD345)</f>
        <v/>
      </c>
      <c r="AJ345" s="111">
        <f>IF(AI345="","⚪",IF(AI345&gt;1.2,"🔴",IF(AI345&gt;1.1,"🟡","🟢")))</f>
        <v/>
      </c>
    </row>
    <row r="346" ht="14" customHeight="1" s="176">
      <c r="A346" s="112" t="inlineStr">
        <is>
          <t>Santa Catalina</t>
        </is>
      </c>
      <c r="B346" s="113" t="inlineStr">
        <is>
          <t>form benjamin 1,93 ha</t>
        </is>
      </c>
      <c r="C346" s="113" t="inlineStr">
        <is>
          <t>1- M.O. directa</t>
        </is>
      </c>
      <c r="D346" s="113" t="inlineStr">
        <is>
          <t>3- Selección</t>
        </is>
      </c>
      <c r="E346" s="113" t="inlineStr">
        <is>
          <t>trato</t>
        </is>
      </c>
      <c r="F346" s="105" t="inlineStr">
        <is>
          <t>kg</t>
        </is>
      </c>
      <c r="G346" s="106" t="n">
        <v>18</v>
      </c>
      <c r="H346" s="107" t="n"/>
      <c r="I346" s="108">
        <f>IF(H346="","",G346*H346)</f>
        <v/>
      </c>
      <c r="J346" s="243">
        <f>IF(I346="","",F346-I346)</f>
        <v/>
      </c>
      <c r="K346" s="110">
        <f>IF(OR(I346="",F346=0),"",I346/F346)</f>
        <v/>
      </c>
      <c r="L346" s="111">
        <f>IF(K346="","⚪",IF(K346&gt;1.2,"🔴",IF(K346&gt;1.1,"🟡","🟢")))</f>
        <v/>
      </c>
      <c r="N346" s="105" t="n"/>
      <c r="O346" s="106" t="n">
        <v>18</v>
      </c>
      <c r="P346" s="107" t="n"/>
      <c r="Q346" s="108">
        <f>IF(P346="","",O346*P346)</f>
        <v/>
      </c>
      <c r="R346" s="243">
        <f>IF(Q346="","",N346-Q346)</f>
        <v/>
      </c>
      <c r="S346" s="110">
        <f>IF(OR(Q346="",N346=0),"",Q346/N346)</f>
        <v/>
      </c>
      <c r="T346" s="111">
        <f>IF(S346="","⚪",IF(S346&gt;1.2,"🔴",IF(S346&gt;1.1,"🟡","🟢")))</f>
        <v/>
      </c>
      <c r="V346" s="105" t="n"/>
      <c r="W346" s="106" t="n">
        <v>18</v>
      </c>
      <c r="X346" s="107" t="n"/>
      <c r="Y346" s="108">
        <f>IF(X346="","",W346*X346)</f>
        <v/>
      </c>
      <c r="Z346" s="243">
        <f>IF(Y346="","",V346-Y346)</f>
        <v/>
      </c>
      <c r="AA346" s="110">
        <f>IF(OR(Y346="",V346=0),"",Y346/V346)</f>
        <v/>
      </c>
      <c r="AB346" s="111">
        <f>IF(AA346="","⚪",IF(AA346&gt;1.2,"🔴",IF(AA346&gt;1.1,"🟡","🟢")))</f>
        <v/>
      </c>
      <c r="AD346" s="105" t="n"/>
      <c r="AE346" s="106" t="n">
        <v>18</v>
      </c>
      <c r="AF346" s="107" t="n"/>
      <c r="AG346" s="108">
        <f>IF(AF346="","",AE346*AF346)</f>
        <v/>
      </c>
      <c r="AH346" s="243">
        <f>IF(AG346="","",AD346-AG346)</f>
        <v/>
      </c>
      <c r="AI346" s="110">
        <f>IF(OR(AG346="",AD346=0),"",AG346/AD346)</f>
        <v/>
      </c>
      <c r="AJ346" s="111">
        <f>IF(AI346="","⚪",IF(AI346&gt;1.2,"🔴",IF(AI346&gt;1.1,"🟡","🟢")))</f>
        <v/>
      </c>
    </row>
    <row r="347" ht="14" customHeight="1" s="176">
      <c r="A347" s="103" t="inlineStr">
        <is>
          <t>Santa Catalina</t>
        </is>
      </c>
      <c r="B347" s="104" t="inlineStr">
        <is>
          <t>form benjamin 1,93 ha</t>
        </is>
      </c>
      <c r="C347" s="104" t="inlineStr">
        <is>
          <t>1- M.O. directa</t>
        </is>
      </c>
      <c r="D347" s="104" t="inlineStr">
        <is>
          <t>3- Tractorista cosecha</t>
        </is>
      </c>
      <c r="E347" s="104" t="inlineStr">
        <is>
          <t>día</t>
        </is>
      </c>
      <c r="F347" s="105" t="inlineStr">
        <is>
          <t>kg</t>
        </is>
      </c>
      <c r="G347" s="106" t="n">
        <v>3</v>
      </c>
      <c r="H347" s="107" t="n"/>
      <c r="I347" s="108">
        <f>IF(H347="","",G347*H347)</f>
        <v/>
      </c>
      <c r="J347" s="243">
        <f>IF(I347="","",F347-I347)</f>
        <v/>
      </c>
      <c r="K347" s="110">
        <f>IF(OR(I347="",F347=0),"",I347/F347)</f>
        <v/>
      </c>
      <c r="L347" s="111">
        <f>IF(K347="","⚪",IF(K347&gt;1.2,"🔴",IF(K347&gt;1.1,"🟡","🟢")))</f>
        <v/>
      </c>
      <c r="N347" s="105" t="n"/>
      <c r="O347" s="106" t="n">
        <v>3</v>
      </c>
      <c r="P347" s="107" t="n"/>
      <c r="Q347" s="108">
        <f>IF(P347="","",O347*P347)</f>
        <v/>
      </c>
      <c r="R347" s="243">
        <f>IF(Q347="","",N347-Q347)</f>
        <v/>
      </c>
      <c r="S347" s="110">
        <f>IF(OR(Q347="",N347=0),"",Q347/N347)</f>
        <v/>
      </c>
      <c r="T347" s="111">
        <f>IF(S347="","⚪",IF(S347&gt;1.2,"🔴",IF(S347&gt;1.1,"🟡","🟢")))</f>
        <v/>
      </c>
      <c r="V347" s="105" t="n"/>
      <c r="W347" s="106" t="n">
        <v>3</v>
      </c>
      <c r="X347" s="107" t="n"/>
      <c r="Y347" s="108">
        <f>IF(X347="","",W347*X347)</f>
        <v/>
      </c>
      <c r="Z347" s="243">
        <f>IF(Y347="","",V347-Y347)</f>
        <v/>
      </c>
      <c r="AA347" s="110">
        <f>IF(OR(Y347="",V347=0),"",Y347/V347)</f>
        <v/>
      </c>
      <c r="AB347" s="111">
        <f>IF(AA347="","⚪",IF(AA347&gt;1.2,"🔴",IF(AA347&gt;1.1,"🟡","🟢")))</f>
        <v/>
      </c>
      <c r="AD347" s="105" t="n"/>
      <c r="AE347" s="106" t="n">
        <v>3</v>
      </c>
      <c r="AF347" s="107" t="n"/>
      <c r="AG347" s="108">
        <f>IF(AF347="","",AE347*AF347)</f>
        <v/>
      </c>
      <c r="AH347" s="243">
        <f>IF(AG347="","",AD347-AG347)</f>
        <v/>
      </c>
      <c r="AI347" s="110">
        <f>IF(OR(AG347="",AD347=0),"",AG347/AD347)</f>
        <v/>
      </c>
      <c r="AJ347" s="111">
        <f>IF(AI347="","⚪",IF(AI347&gt;1.2,"🔴",IF(AI347&gt;1.1,"🟡","🟢")))</f>
        <v/>
      </c>
    </row>
    <row r="348" ht="14" customHeight="1" s="176">
      <c r="A348" s="112" t="inlineStr">
        <is>
          <t>Santa Catalina</t>
        </is>
      </c>
      <c r="B348" s="113" t="inlineStr">
        <is>
          <t>form benjamin 1,93 ha</t>
        </is>
      </c>
      <c r="C348" s="113" t="inlineStr">
        <is>
          <t>1- M.O. directa</t>
        </is>
      </c>
      <c r="D348" s="113" t="inlineStr">
        <is>
          <t>4- Grua</t>
        </is>
      </c>
      <c r="E348" s="113" t="inlineStr">
        <is>
          <t>día</t>
        </is>
      </c>
      <c r="F348" s="105" t="inlineStr">
        <is>
          <t>kg</t>
        </is>
      </c>
      <c r="G348" s="106" t="n">
        <v>1.5</v>
      </c>
      <c r="H348" s="107" t="n"/>
      <c r="I348" s="108">
        <f>IF(H348="","",G348*H348)</f>
        <v/>
      </c>
      <c r="J348" s="243">
        <f>IF(I348="","",F348-I348)</f>
        <v/>
      </c>
      <c r="K348" s="110">
        <f>IF(OR(I348="",F348=0),"",I348/F348)</f>
        <v/>
      </c>
      <c r="L348" s="111">
        <f>IF(K348="","⚪",IF(K348&gt;1.2,"🔴",IF(K348&gt;1.1,"🟡","🟢")))</f>
        <v/>
      </c>
      <c r="N348" s="105" t="n"/>
      <c r="O348" s="106" t="n">
        <v>1.5</v>
      </c>
      <c r="P348" s="107" t="n"/>
      <c r="Q348" s="108">
        <f>IF(P348="","",O348*P348)</f>
        <v/>
      </c>
      <c r="R348" s="243">
        <f>IF(Q348="","",N348-Q348)</f>
        <v/>
      </c>
      <c r="S348" s="110">
        <f>IF(OR(Q348="",N348=0),"",Q348/N348)</f>
        <v/>
      </c>
      <c r="T348" s="111">
        <f>IF(S348="","⚪",IF(S348&gt;1.2,"🔴",IF(S348&gt;1.1,"🟡","🟢")))</f>
        <v/>
      </c>
      <c r="V348" s="105" t="n"/>
      <c r="W348" s="106" t="n">
        <v>1.5</v>
      </c>
      <c r="X348" s="107" t="n"/>
      <c r="Y348" s="108">
        <f>IF(X348="","",W348*X348)</f>
        <v/>
      </c>
      <c r="Z348" s="243">
        <f>IF(Y348="","",V348-Y348)</f>
        <v/>
      </c>
      <c r="AA348" s="110">
        <f>IF(OR(Y348="",V348=0),"",Y348/V348)</f>
        <v/>
      </c>
      <c r="AB348" s="111">
        <f>IF(AA348="","⚪",IF(AA348&gt;1.2,"🔴",IF(AA348&gt;1.1,"🟡","🟢")))</f>
        <v/>
      </c>
      <c r="AD348" s="105" t="n"/>
      <c r="AE348" s="106" t="n">
        <v>1.5</v>
      </c>
      <c r="AF348" s="107" t="n"/>
      <c r="AG348" s="108">
        <f>IF(AF348="","",AE348*AF348)</f>
        <v/>
      </c>
      <c r="AH348" s="243">
        <f>IF(AG348="","",AD348-AG348)</f>
        <v/>
      </c>
      <c r="AI348" s="110">
        <f>IF(OR(AG348="",AD348=0),"",AG348/AD348)</f>
        <v/>
      </c>
      <c r="AJ348" s="111">
        <f>IF(AI348="","⚪",IF(AI348&gt;1.2,"🔴",IF(AI348&gt;1.1,"🟡","🟢")))</f>
        <v/>
      </c>
    </row>
    <row r="349" ht="14" customHeight="1" s="176">
      <c r="A349" s="103" t="inlineStr">
        <is>
          <t>Santa Catalina</t>
        </is>
      </c>
      <c r="B349" s="104" t="inlineStr">
        <is>
          <t>form benjamin 1,93 ha</t>
        </is>
      </c>
      <c r="C349" s="104" t="inlineStr">
        <is>
          <t>1- M.O. directa</t>
        </is>
      </c>
      <c r="D349" s="104" t="inlineStr">
        <is>
          <t>5- Control de malezas mecánico</t>
        </is>
      </c>
      <c r="E349" s="104" t="inlineStr">
        <is>
          <t>trato</t>
        </is>
      </c>
      <c r="F349" s="105" t="n">
        <v>8048.1</v>
      </c>
      <c r="G349" s="106" t="n">
        <v>100</v>
      </c>
      <c r="H349" s="107" t="n"/>
      <c r="I349" s="108">
        <f>IF(H349="","",G349*H349)</f>
        <v/>
      </c>
      <c r="J349" s="243">
        <f>IF(I349="","",F349-I349)</f>
        <v/>
      </c>
      <c r="K349" s="110">
        <f>IF(OR(I349="",F349=0),"",I349/F349)</f>
        <v/>
      </c>
      <c r="L349" s="111">
        <f>IF(K349="","⚪",IF(K349&gt;1.2,"🔴",IF(K349&gt;1.1,"🟡","🟢")))</f>
        <v/>
      </c>
      <c r="N349" s="105" t="n">
        <v>8048.1</v>
      </c>
      <c r="O349" s="106" t="n">
        <v>100</v>
      </c>
      <c r="P349" s="107" t="n"/>
      <c r="Q349" s="108">
        <f>IF(P349="","",O349*P349)</f>
        <v/>
      </c>
      <c r="R349" s="243">
        <f>IF(Q349="","",N349-Q349)</f>
        <v/>
      </c>
      <c r="S349" s="110">
        <f>IF(OR(Q349="",N349=0),"",Q349/N349)</f>
        <v/>
      </c>
      <c r="T349" s="111">
        <f>IF(S349="","⚪",IF(S349&gt;1.2,"🔴",IF(S349&gt;1.1,"🟡","🟢")))</f>
        <v/>
      </c>
      <c r="V349" s="105" t="n">
        <v>8048.1</v>
      </c>
      <c r="W349" s="106" t="n">
        <v>100</v>
      </c>
      <c r="X349" s="107" t="n"/>
      <c r="Y349" s="108">
        <f>IF(X349="","",W349*X349)</f>
        <v/>
      </c>
      <c r="Z349" s="243">
        <f>IF(Y349="","",V349-Y349)</f>
        <v/>
      </c>
      <c r="AA349" s="110">
        <f>IF(OR(Y349="",V349=0),"",Y349/V349)</f>
        <v/>
      </c>
      <c r="AB349" s="111">
        <f>IF(AA349="","⚪",IF(AA349&gt;1.2,"🔴",IF(AA349&gt;1.1,"🟡","🟢")))</f>
        <v/>
      </c>
      <c r="AD349" s="105" t="n">
        <v>8048.1</v>
      </c>
      <c r="AE349" s="106" t="n">
        <v>100</v>
      </c>
      <c r="AF349" s="107" t="n"/>
      <c r="AG349" s="108">
        <f>IF(AF349="","",AE349*AF349)</f>
        <v/>
      </c>
      <c r="AH349" s="243">
        <f>IF(AG349="","",AD349-AG349)</f>
        <v/>
      </c>
      <c r="AI349" s="110">
        <f>IF(OR(AG349="",AD349=0),"",AG349/AD349)</f>
        <v/>
      </c>
      <c r="AJ349" s="111">
        <f>IF(AI349="","⚪",IF(AI349&gt;1.2,"🔴",IF(AI349&gt;1.1,"🟡","🟢")))</f>
        <v/>
      </c>
    </row>
    <row r="350" ht="14" customHeight="1" s="176">
      <c r="A350" s="112" t="inlineStr">
        <is>
          <t>Santa Catalina</t>
        </is>
      </c>
      <c r="B350" s="113" t="inlineStr">
        <is>
          <t>form benjamin 1,93 ha</t>
        </is>
      </c>
      <c r="C350" s="113" t="inlineStr">
        <is>
          <t>1- M.O. directa</t>
        </is>
      </c>
      <c r="D350" s="113" t="inlineStr">
        <is>
          <t>6- Control de malezas químico</t>
        </is>
      </c>
      <c r="E350" s="113" t="inlineStr">
        <is>
          <t>día</t>
        </is>
      </c>
      <c r="F350" s="105" t="n">
        <v>10494.375</v>
      </c>
      <c r="G350" s="106" t="n">
        <v>43500</v>
      </c>
      <c r="H350" s="107" t="n"/>
      <c r="I350" s="108">
        <f>IF(H350="","",G350*H350)</f>
        <v/>
      </c>
      <c r="J350" s="243">
        <f>IF(I350="","",F350-I350)</f>
        <v/>
      </c>
      <c r="K350" s="110">
        <f>IF(OR(I350="",F350=0),"",I350/F350)</f>
        <v/>
      </c>
      <c r="L350" s="111">
        <f>IF(K350="","⚪",IF(K350&gt;1.2,"🔴",IF(K350&gt;1.1,"🟡","🟢")))</f>
        <v/>
      </c>
      <c r="N350" s="105" t="n">
        <v>10494.375</v>
      </c>
      <c r="O350" s="106" t="n">
        <v>43500</v>
      </c>
      <c r="P350" s="107" t="n"/>
      <c r="Q350" s="108">
        <f>IF(P350="","",O350*P350)</f>
        <v/>
      </c>
      <c r="R350" s="243">
        <f>IF(Q350="","",N350-Q350)</f>
        <v/>
      </c>
      <c r="S350" s="110">
        <f>IF(OR(Q350="",N350=0),"",Q350/N350)</f>
        <v/>
      </c>
      <c r="T350" s="111">
        <f>IF(S350="","⚪",IF(S350&gt;1.2,"🔴",IF(S350&gt;1.1,"🟡","🟢")))</f>
        <v/>
      </c>
      <c r="V350" s="105" t="n">
        <v>10494.375</v>
      </c>
      <c r="W350" s="106" t="n">
        <v>43500</v>
      </c>
      <c r="X350" s="107" t="n"/>
      <c r="Y350" s="108">
        <f>IF(X350="","",W350*X350)</f>
        <v/>
      </c>
      <c r="Z350" s="243">
        <f>IF(Y350="","",V350-Y350)</f>
        <v/>
      </c>
      <c r="AA350" s="110">
        <f>IF(OR(Y350="",V350=0),"",Y350/V350)</f>
        <v/>
      </c>
      <c r="AB350" s="111">
        <f>IF(AA350="","⚪",IF(AA350&gt;1.2,"🔴",IF(AA350&gt;1.1,"🟡","🟢")))</f>
        <v/>
      </c>
      <c r="AD350" s="105" t="n">
        <v>10494.375</v>
      </c>
      <c r="AE350" s="106" t="n">
        <v>43500</v>
      </c>
      <c r="AF350" s="107" t="n"/>
      <c r="AG350" s="108">
        <f>IF(AF350="","",AE350*AF350)</f>
        <v/>
      </c>
      <c r="AH350" s="243">
        <f>IF(AG350="","",AD350-AG350)</f>
        <v/>
      </c>
      <c r="AI350" s="110">
        <f>IF(OR(AG350="",AD350=0),"",AG350/AD350)</f>
        <v/>
      </c>
      <c r="AJ350" s="111">
        <f>IF(AI350="","⚪",IF(AI350&gt;1.2,"🔴",IF(AI350&gt;1.1,"🟡","🟢")))</f>
        <v/>
      </c>
    </row>
    <row r="351" ht="14" customHeight="1" s="176">
      <c r="A351" s="103" t="inlineStr">
        <is>
          <t>Santa Catalina</t>
        </is>
      </c>
      <c r="B351" s="104" t="inlineStr">
        <is>
          <t>form benjamin 1,93 ha</t>
        </is>
      </c>
      <c r="C351" s="104" t="inlineStr">
        <is>
          <t>1- M.O. directa</t>
        </is>
      </c>
      <c r="D351" s="104" t="inlineStr">
        <is>
          <t>7,1- TRACTORISTA</t>
        </is>
      </c>
      <c r="E351" s="104" t="inlineStr">
        <is>
          <t>día</t>
        </is>
      </c>
      <c r="F351" s="105" t="n">
        <v>36655.332</v>
      </c>
      <c r="G351" s="106" t="n">
        <v>38000</v>
      </c>
      <c r="H351" s="107" t="n"/>
      <c r="I351" s="108">
        <f>IF(H351="","",G351*H351)</f>
        <v/>
      </c>
      <c r="J351" s="243">
        <f>IF(I351="","",F351-I351)</f>
        <v/>
      </c>
      <c r="K351" s="110">
        <f>IF(OR(I351="",F351=0),"",I351/F351)</f>
        <v/>
      </c>
      <c r="L351" s="111">
        <f>IF(K351="","⚪",IF(K351&gt;1.2,"🔴",IF(K351&gt;1.1,"🟡","🟢")))</f>
        <v/>
      </c>
      <c r="N351" s="105" t="n">
        <v>36655.332</v>
      </c>
      <c r="O351" s="106" t="n">
        <v>38000</v>
      </c>
      <c r="P351" s="107" t="n"/>
      <c r="Q351" s="108">
        <f>IF(P351="","",O351*P351)</f>
        <v/>
      </c>
      <c r="R351" s="243">
        <f>IF(Q351="","",N351-Q351)</f>
        <v/>
      </c>
      <c r="S351" s="110">
        <f>IF(OR(Q351="",N351=0),"",Q351/N351)</f>
        <v/>
      </c>
      <c r="T351" s="111">
        <f>IF(S351="","⚪",IF(S351&gt;1.2,"🔴",IF(S351&gt;1.1,"🟡","🟢")))</f>
        <v/>
      </c>
      <c r="V351" s="105" t="n">
        <v>36655.332</v>
      </c>
      <c r="W351" s="106" t="n">
        <v>38000</v>
      </c>
      <c r="X351" s="107" t="n"/>
      <c r="Y351" s="108">
        <f>IF(X351="","",W351*X351)</f>
        <v/>
      </c>
      <c r="Z351" s="243">
        <f>IF(Y351="","",V351-Y351)</f>
        <v/>
      </c>
      <c r="AA351" s="110">
        <f>IF(OR(Y351="",V351=0),"",Y351/V351)</f>
        <v/>
      </c>
      <c r="AB351" s="111">
        <f>IF(AA351="","⚪",IF(AA351&gt;1.2,"🔴",IF(AA351&gt;1.1,"🟡","🟢")))</f>
        <v/>
      </c>
      <c r="AD351" s="105" t="n">
        <v>36655.332</v>
      </c>
      <c r="AE351" s="106" t="n">
        <v>38000</v>
      </c>
      <c r="AF351" s="107" t="n"/>
      <c r="AG351" s="108">
        <f>IF(AF351="","",AE351*AF351)</f>
        <v/>
      </c>
      <c r="AH351" s="243">
        <f>IF(AG351="","",AD351-AG351)</f>
        <v/>
      </c>
      <c r="AI351" s="110">
        <f>IF(OR(AG351="",AD351=0),"",AG351/AD351)</f>
        <v/>
      </c>
      <c r="AJ351" s="111">
        <f>IF(AI351="","⚪",IF(AI351&gt;1.2,"🔴",IF(AI351&gt;1.1,"🟡","🟢")))</f>
        <v/>
      </c>
    </row>
    <row r="352" ht="14" customHeight="1" s="176">
      <c r="A352" s="112" t="inlineStr">
        <is>
          <t>Santa Catalina</t>
        </is>
      </c>
      <c r="B352" s="113" t="inlineStr">
        <is>
          <t>form benjamin 1,93 ha</t>
        </is>
      </c>
      <c r="C352" s="113" t="inlineStr">
        <is>
          <t>1- M.O. directa</t>
        </is>
      </c>
      <c r="D352" s="113" t="inlineStr">
        <is>
          <t>7- Acordonar sarmiento</t>
        </is>
      </c>
      <c r="E352" s="113" t="inlineStr">
        <is>
          <t>trato</t>
        </is>
      </c>
      <c r="F352" s="105" t="inlineStr">
        <is>
          <t>plt</t>
        </is>
      </c>
      <c r="G352" s="106" t="n">
        <v>70</v>
      </c>
      <c r="H352" s="107" t="n"/>
      <c r="I352" s="108">
        <f>IF(H352="","",G352*H352)</f>
        <v/>
      </c>
      <c r="J352" s="243">
        <f>IF(I352="","",F352-I352)</f>
        <v/>
      </c>
      <c r="K352" s="110">
        <f>IF(OR(I352="",F352=0),"",I352/F352)</f>
        <v/>
      </c>
      <c r="L352" s="111">
        <f>IF(K352="","⚪",IF(K352&gt;1.2,"🔴",IF(K352&gt;1.1,"🟡","🟢")))</f>
        <v/>
      </c>
      <c r="N352" s="105" t="n"/>
      <c r="O352" s="106" t="n">
        <v>70</v>
      </c>
      <c r="P352" s="107" t="n"/>
      <c r="Q352" s="108">
        <f>IF(P352="","",O352*P352)</f>
        <v/>
      </c>
      <c r="R352" s="243">
        <f>IF(Q352="","",N352-Q352)</f>
        <v/>
      </c>
      <c r="S352" s="110">
        <f>IF(OR(Q352="",N352=0),"",Q352/N352)</f>
        <v/>
      </c>
      <c r="T352" s="111">
        <f>IF(S352="","⚪",IF(S352&gt;1.2,"🔴",IF(S352&gt;1.1,"🟡","🟢")))</f>
        <v/>
      </c>
      <c r="V352" s="105" t="n"/>
      <c r="W352" s="106" t="n">
        <v>70</v>
      </c>
      <c r="X352" s="107" t="n"/>
      <c r="Y352" s="108">
        <f>IF(X352="","",W352*X352)</f>
        <v/>
      </c>
      <c r="Z352" s="243">
        <f>IF(Y352="","",V352-Y352)</f>
        <v/>
      </c>
      <c r="AA352" s="110">
        <f>IF(OR(Y352="",V352=0),"",Y352/V352)</f>
        <v/>
      </c>
      <c r="AB352" s="111">
        <f>IF(AA352="","⚪",IF(AA352&gt;1.2,"🔴",IF(AA352&gt;1.1,"🟡","🟢")))</f>
        <v/>
      </c>
      <c r="AD352" s="105" t="n"/>
      <c r="AE352" s="106" t="n">
        <v>70</v>
      </c>
      <c r="AF352" s="107" t="n"/>
      <c r="AG352" s="108">
        <f>IF(AF352="","",AE352*AF352)</f>
        <v/>
      </c>
      <c r="AH352" s="243">
        <f>IF(AG352="","",AD352-AG352)</f>
        <v/>
      </c>
      <c r="AI352" s="110">
        <f>IF(OR(AG352="",AD352=0),"",AG352/AD352)</f>
        <v/>
      </c>
      <c r="AJ352" s="111">
        <f>IF(AI352="","⚪",IF(AI352&gt;1.2,"🔴",IF(AI352&gt;1.1,"🟡","🟢")))</f>
        <v/>
      </c>
    </row>
    <row r="353" ht="14" customHeight="1" s="176">
      <c r="A353" s="103" t="inlineStr">
        <is>
          <t>Santa Catalina</t>
        </is>
      </c>
      <c r="B353" s="104" t="inlineStr">
        <is>
          <t>form benjamin 1,93 ha</t>
        </is>
      </c>
      <c r="C353" s="104" t="inlineStr">
        <is>
          <t>2- M.O. indirecta</t>
        </is>
      </c>
      <c r="D353" s="104" t="inlineStr">
        <is>
          <t xml:space="preserve">1- ADM. GENERAL </t>
        </is>
      </c>
      <c r="E353" s="104" t="inlineStr">
        <is>
          <t>día</t>
        </is>
      </c>
      <c r="F353" s="105" t="n">
        <v>64243.2924</v>
      </c>
      <c r="G353" s="106" t="n">
        <v>66600</v>
      </c>
      <c r="H353" s="107" t="n"/>
      <c r="I353" s="108">
        <f>IF(H353="","",G353*H353)</f>
        <v/>
      </c>
      <c r="J353" s="243">
        <f>IF(I353="","",F353-I353)</f>
        <v/>
      </c>
      <c r="K353" s="110">
        <f>IF(OR(I353="",F353=0),"",I353/F353)</f>
        <v/>
      </c>
      <c r="L353" s="111">
        <f>IF(K353="","⚪",IF(K353&gt;1.2,"🔴",IF(K353&gt;1.1,"🟡","🟢")))</f>
        <v/>
      </c>
      <c r="N353" s="105" t="n">
        <v>64243.2924</v>
      </c>
      <c r="O353" s="106" t="n">
        <v>66600</v>
      </c>
      <c r="P353" s="107" t="n"/>
      <c r="Q353" s="108">
        <f>IF(P353="","",O353*P353)</f>
        <v/>
      </c>
      <c r="R353" s="243">
        <f>IF(Q353="","",N353-Q353)</f>
        <v/>
      </c>
      <c r="S353" s="110">
        <f>IF(OR(Q353="",N353=0),"",Q353/N353)</f>
        <v/>
      </c>
      <c r="T353" s="111">
        <f>IF(S353="","⚪",IF(S353&gt;1.2,"🔴",IF(S353&gt;1.1,"🟡","🟢")))</f>
        <v/>
      </c>
      <c r="V353" s="105" t="n">
        <v>64243.2924</v>
      </c>
      <c r="W353" s="106" t="n">
        <v>66600</v>
      </c>
      <c r="X353" s="107" t="n"/>
      <c r="Y353" s="108">
        <f>IF(X353="","",W353*X353)</f>
        <v/>
      </c>
      <c r="Z353" s="243">
        <f>IF(Y353="","",V353-Y353)</f>
        <v/>
      </c>
      <c r="AA353" s="110">
        <f>IF(OR(Y353="",V353=0),"",Y353/V353)</f>
        <v/>
      </c>
      <c r="AB353" s="111">
        <f>IF(AA353="","⚪",IF(AA353&gt;1.2,"🔴",IF(AA353&gt;1.1,"🟡","🟢")))</f>
        <v/>
      </c>
      <c r="AD353" s="105" t="n">
        <v>64243.2924</v>
      </c>
      <c r="AE353" s="106" t="n">
        <v>66600</v>
      </c>
      <c r="AF353" s="107" t="n"/>
      <c r="AG353" s="108">
        <f>IF(AF353="","",AE353*AF353)</f>
        <v/>
      </c>
      <c r="AH353" s="243">
        <f>IF(AG353="","",AD353-AG353)</f>
        <v/>
      </c>
      <c r="AI353" s="110">
        <f>IF(OR(AG353="",AD353=0),"",AG353/AD353)</f>
        <v/>
      </c>
      <c r="AJ353" s="111">
        <f>IF(AI353="","⚪",IF(AI353&gt;1.2,"🔴",IF(AI353&gt;1.1,"🟡","🟢")))</f>
        <v/>
      </c>
    </row>
    <row r="354" ht="14" customHeight="1" s="176">
      <c r="A354" s="112" t="inlineStr">
        <is>
          <t>Santa Catalina</t>
        </is>
      </c>
      <c r="B354" s="113" t="inlineStr">
        <is>
          <t>form benjamin 1,93 ha</t>
        </is>
      </c>
      <c r="C354" s="113" t="inlineStr">
        <is>
          <t>2- M.O. indirecta</t>
        </is>
      </c>
      <c r="D354" s="113" t="inlineStr">
        <is>
          <t>2,1- JEFE DE CAMPO</t>
        </is>
      </c>
      <c r="E354" s="113" t="inlineStr">
        <is>
          <t>día</t>
        </is>
      </c>
      <c r="F354" s="105" t="n">
        <v>10239.615</v>
      </c>
      <c r="G354" s="106" t="n">
        <v>29475</v>
      </c>
      <c r="H354" s="107" t="n"/>
      <c r="I354" s="108">
        <f>IF(H354="","",G354*H354)</f>
        <v/>
      </c>
      <c r="J354" s="243">
        <f>IF(I354="","",F354-I354)</f>
        <v/>
      </c>
      <c r="K354" s="110">
        <f>IF(OR(I354="",F354=0),"",I354/F354)</f>
        <v/>
      </c>
      <c r="L354" s="111">
        <f>IF(K354="","⚪",IF(K354&gt;1.2,"🔴",IF(K354&gt;1.1,"🟡","🟢")))</f>
        <v/>
      </c>
      <c r="N354" s="105" t="n">
        <v>10239.615</v>
      </c>
      <c r="O354" s="106" t="n">
        <v>29475</v>
      </c>
      <c r="P354" s="107" t="n"/>
      <c r="Q354" s="108">
        <f>IF(P354="","",O354*P354)</f>
        <v/>
      </c>
      <c r="R354" s="243">
        <f>IF(Q354="","",N354-Q354)</f>
        <v/>
      </c>
      <c r="S354" s="110">
        <f>IF(OR(Q354="",N354=0),"",Q354/N354)</f>
        <v/>
      </c>
      <c r="T354" s="111">
        <f>IF(S354="","⚪",IF(S354&gt;1.2,"🔴",IF(S354&gt;1.1,"🟡","🟢")))</f>
        <v/>
      </c>
      <c r="V354" s="105" t="n">
        <v>10239.615</v>
      </c>
      <c r="W354" s="106" t="n">
        <v>29475</v>
      </c>
      <c r="X354" s="107" t="n"/>
      <c r="Y354" s="108">
        <f>IF(X354="","",W354*X354)</f>
        <v/>
      </c>
      <c r="Z354" s="243">
        <f>IF(Y354="","",V354-Y354)</f>
        <v/>
      </c>
      <c r="AA354" s="110">
        <f>IF(OR(Y354="",V354=0),"",Y354/V354)</f>
        <v/>
      </c>
      <c r="AB354" s="111">
        <f>IF(AA354="","⚪",IF(AA354&gt;1.2,"🔴",IF(AA354&gt;1.1,"🟡","🟢")))</f>
        <v/>
      </c>
      <c r="AD354" s="105" t="n">
        <v>10239.615</v>
      </c>
      <c r="AE354" s="106" t="n">
        <v>29475</v>
      </c>
      <c r="AF354" s="107" t="n"/>
      <c r="AG354" s="108">
        <f>IF(AF354="","",AE354*AF354)</f>
        <v/>
      </c>
      <c r="AH354" s="243">
        <f>IF(AG354="","",AD354-AG354)</f>
        <v/>
      </c>
      <c r="AI354" s="110">
        <f>IF(OR(AG354="",AD354=0),"",AG354/AD354)</f>
        <v/>
      </c>
      <c r="AJ354" s="111">
        <f>IF(AI354="","⚪",IF(AI354&gt;1.2,"🔴",IF(AI354&gt;1.1,"🟡","🟢")))</f>
        <v/>
      </c>
    </row>
    <row r="355" ht="14" customHeight="1" s="176">
      <c r="A355" s="103" t="inlineStr">
        <is>
          <t>Santa Catalina</t>
        </is>
      </c>
      <c r="B355" s="104" t="inlineStr">
        <is>
          <t>form benjamin 1,93 ha</t>
        </is>
      </c>
      <c r="C355" s="104" t="inlineStr">
        <is>
          <t>2- M.O. indirecta</t>
        </is>
      </c>
      <c r="D355" s="104" t="inlineStr">
        <is>
          <t>2- ADMINISTRACION</t>
        </is>
      </c>
      <c r="E355" s="104" t="inlineStr">
        <is>
          <t>día</t>
        </is>
      </c>
      <c r="F355" s="105" t="n">
        <v>7813.373399999999</v>
      </c>
      <c r="G355" s="106" t="n">
        <v>8100</v>
      </c>
      <c r="H355" s="107" t="n"/>
      <c r="I355" s="108">
        <f>IF(H355="","",G355*H355)</f>
        <v/>
      </c>
      <c r="J355" s="243">
        <f>IF(I355="","",F355-I355)</f>
        <v/>
      </c>
      <c r="K355" s="110">
        <f>IF(OR(I355="",F355=0),"",I355/F355)</f>
        <v/>
      </c>
      <c r="L355" s="111">
        <f>IF(K355="","⚪",IF(K355&gt;1.2,"🔴",IF(K355&gt;1.1,"🟡","🟢")))</f>
        <v/>
      </c>
      <c r="N355" s="105" t="n">
        <v>7813.373399999999</v>
      </c>
      <c r="O355" s="106" t="n">
        <v>8100</v>
      </c>
      <c r="P355" s="107" t="n"/>
      <c r="Q355" s="108">
        <f>IF(P355="","",O355*P355)</f>
        <v/>
      </c>
      <c r="R355" s="243">
        <f>IF(Q355="","",N355-Q355)</f>
        <v/>
      </c>
      <c r="S355" s="110">
        <f>IF(OR(Q355="",N355=0),"",Q355/N355)</f>
        <v/>
      </c>
      <c r="T355" s="111">
        <f>IF(S355="","⚪",IF(S355&gt;1.2,"🔴",IF(S355&gt;1.1,"🟡","🟢")))</f>
        <v/>
      </c>
      <c r="V355" s="105" t="n">
        <v>7813.373399999999</v>
      </c>
      <c r="W355" s="106" t="n">
        <v>8100</v>
      </c>
      <c r="X355" s="107" t="n"/>
      <c r="Y355" s="108">
        <f>IF(X355="","",W355*X355)</f>
        <v/>
      </c>
      <c r="Z355" s="243">
        <f>IF(Y355="","",V355-Y355)</f>
        <v/>
      </c>
      <c r="AA355" s="110">
        <f>IF(OR(Y355="",V355=0),"",Y355/V355)</f>
        <v/>
      </c>
      <c r="AB355" s="111">
        <f>IF(AA355="","⚪",IF(AA355&gt;1.2,"🔴",IF(AA355&gt;1.1,"🟡","🟢")))</f>
        <v/>
      </c>
      <c r="AD355" s="105" t="n">
        <v>7813.373399999999</v>
      </c>
      <c r="AE355" s="106" t="n">
        <v>8100</v>
      </c>
      <c r="AF355" s="107" t="n"/>
      <c r="AG355" s="108">
        <f>IF(AF355="","",AE355*AF355)</f>
        <v/>
      </c>
      <c r="AH355" s="243">
        <f>IF(AG355="","",AD355-AG355)</f>
        <v/>
      </c>
      <c r="AI355" s="110">
        <f>IF(OR(AG355="",AD355=0),"",AG355/AD355)</f>
        <v/>
      </c>
      <c r="AJ355" s="111">
        <f>IF(AI355="","⚪",IF(AI355&gt;1.2,"🔴",IF(AI355&gt;1.1,"🟡","🟢")))</f>
        <v/>
      </c>
    </row>
    <row r="356" ht="14" customHeight="1" s="176">
      <c r="A356" s="112" t="inlineStr">
        <is>
          <t>Santa Catalina</t>
        </is>
      </c>
      <c r="B356" s="113" t="inlineStr">
        <is>
          <t>form benjamin 1,93 ha</t>
        </is>
      </c>
      <c r="C356" s="113" t="inlineStr">
        <is>
          <t>2- M.O. indirecta</t>
        </is>
      </c>
      <c r="D356" s="113" t="inlineStr">
        <is>
          <t>3,1-  ENCARGADO DE RIEGO</t>
        </is>
      </c>
      <c r="E356" s="113" t="inlineStr">
        <is>
          <t>día</t>
        </is>
      </c>
      <c r="F356" s="105" t="n">
        <v>43039.22783649999</v>
      </c>
      <c r="G356" s="106" t="n">
        <v>44618.0833333333</v>
      </c>
      <c r="H356" s="107" t="n"/>
      <c r="I356" s="108">
        <f>IF(H356="","",G356*H356)</f>
        <v/>
      </c>
      <c r="J356" s="243">
        <f>IF(I356="","",F356-I356)</f>
        <v/>
      </c>
      <c r="K356" s="110">
        <f>IF(OR(I356="",F356=0),"",I356/F356)</f>
        <v/>
      </c>
      <c r="L356" s="111">
        <f>IF(K356="","⚪",IF(K356&gt;1.2,"🔴",IF(K356&gt;1.1,"🟡","🟢")))</f>
        <v/>
      </c>
      <c r="N356" s="105" t="n">
        <v>43039.22783649999</v>
      </c>
      <c r="O356" s="106" t="n">
        <v>44618.0833333333</v>
      </c>
      <c r="P356" s="107" t="n"/>
      <c r="Q356" s="108">
        <f>IF(P356="","",O356*P356)</f>
        <v/>
      </c>
      <c r="R356" s="243">
        <f>IF(Q356="","",N356-Q356)</f>
        <v/>
      </c>
      <c r="S356" s="110">
        <f>IF(OR(Q356="",N356=0),"",Q356/N356)</f>
        <v/>
      </c>
      <c r="T356" s="111">
        <f>IF(S356="","⚪",IF(S356&gt;1.2,"🔴",IF(S356&gt;1.1,"🟡","🟢")))</f>
        <v/>
      </c>
      <c r="V356" s="105" t="n">
        <v>43039.22783649999</v>
      </c>
      <c r="W356" s="106" t="n">
        <v>44618.0833333333</v>
      </c>
      <c r="X356" s="107" t="n"/>
      <c r="Y356" s="108">
        <f>IF(X356="","",W356*X356)</f>
        <v/>
      </c>
      <c r="Z356" s="243">
        <f>IF(Y356="","",V356-Y356)</f>
        <v/>
      </c>
      <c r="AA356" s="110">
        <f>IF(OR(Y356="",V356=0),"",Y356/V356)</f>
        <v/>
      </c>
      <c r="AB356" s="111">
        <f>IF(AA356="","⚪",IF(AA356&gt;1.2,"🔴",IF(AA356&gt;1.1,"🟡","🟢")))</f>
        <v/>
      </c>
      <c r="AD356" s="105" t="n">
        <v>43039.22783649999</v>
      </c>
      <c r="AE356" s="106" t="n">
        <v>44618.0833333333</v>
      </c>
      <c r="AF356" s="107" t="n"/>
      <c r="AG356" s="108">
        <f>IF(AF356="","",AE356*AF356)</f>
        <v/>
      </c>
      <c r="AH356" s="243">
        <f>IF(AG356="","",AD356-AG356)</f>
        <v/>
      </c>
      <c r="AI356" s="110">
        <f>IF(OR(AG356="",AD356=0),"",AG356/AD356)</f>
        <v/>
      </c>
      <c r="AJ356" s="111">
        <f>IF(AI356="","⚪",IF(AI356&gt;1.2,"🔴",IF(AI356&gt;1.1,"🟡","🟢")))</f>
        <v/>
      </c>
    </row>
    <row r="357" ht="14" customHeight="1" s="176">
      <c r="A357" s="103" t="inlineStr">
        <is>
          <t>Santa Catalina</t>
        </is>
      </c>
      <c r="B357" s="104" t="inlineStr">
        <is>
          <t>form benjamin 1,93 ha</t>
        </is>
      </c>
      <c r="C357" s="104" t="inlineStr">
        <is>
          <t>2- M.O. indirecta</t>
        </is>
      </c>
      <c r="D357" s="104" t="inlineStr">
        <is>
          <t>3- ADQUIS. Y BODEGA</t>
        </is>
      </c>
      <c r="E357" s="104" t="inlineStr">
        <is>
          <t>día</t>
        </is>
      </c>
      <c r="F357" s="105" t="n">
        <v>7813.373399999999</v>
      </c>
      <c r="G357" s="106" t="n">
        <v>8100</v>
      </c>
      <c r="H357" s="107" t="n"/>
      <c r="I357" s="108">
        <f>IF(H357="","",G357*H357)</f>
        <v/>
      </c>
      <c r="J357" s="243">
        <f>IF(I357="","",F357-I357)</f>
        <v/>
      </c>
      <c r="K357" s="110">
        <f>IF(OR(I357="",F357=0),"",I357/F357)</f>
        <v/>
      </c>
      <c r="L357" s="111">
        <f>IF(K357="","⚪",IF(K357&gt;1.2,"🔴",IF(K357&gt;1.1,"🟡","🟢")))</f>
        <v/>
      </c>
      <c r="N357" s="105" t="n">
        <v>7813.373399999999</v>
      </c>
      <c r="O357" s="106" t="n">
        <v>8100</v>
      </c>
      <c r="P357" s="107" t="n"/>
      <c r="Q357" s="108">
        <f>IF(P357="","",O357*P357)</f>
        <v/>
      </c>
      <c r="R357" s="243">
        <f>IF(Q357="","",N357-Q357)</f>
        <v/>
      </c>
      <c r="S357" s="110">
        <f>IF(OR(Q357="",N357=0),"",Q357/N357)</f>
        <v/>
      </c>
      <c r="T357" s="111">
        <f>IF(S357="","⚪",IF(S357&gt;1.2,"🔴",IF(S357&gt;1.1,"🟡","🟢")))</f>
        <v/>
      </c>
      <c r="V357" s="105" t="n">
        <v>7813.373399999999</v>
      </c>
      <c r="W357" s="106" t="n">
        <v>8100</v>
      </c>
      <c r="X357" s="107" t="n"/>
      <c r="Y357" s="108">
        <f>IF(X357="","",W357*X357)</f>
        <v/>
      </c>
      <c r="Z357" s="243">
        <f>IF(Y357="","",V357-Y357)</f>
        <v/>
      </c>
      <c r="AA357" s="110">
        <f>IF(OR(Y357="",V357=0),"",Y357/V357)</f>
        <v/>
      </c>
      <c r="AB357" s="111">
        <f>IF(AA357="","⚪",IF(AA357&gt;1.2,"🔴",IF(AA357&gt;1.1,"🟡","🟢")))</f>
        <v/>
      </c>
      <c r="AD357" s="105" t="n">
        <v>7813.373399999999</v>
      </c>
      <c r="AE357" s="106" t="n">
        <v>8100</v>
      </c>
      <c r="AF357" s="107" t="n"/>
      <c r="AG357" s="108">
        <f>IF(AF357="","",AE357*AF357)</f>
        <v/>
      </c>
      <c r="AH357" s="243">
        <f>IF(AG357="","",AD357-AG357)</f>
        <v/>
      </c>
      <c r="AI357" s="110">
        <f>IF(OR(AG357="",AD357=0),"",AG357/AD357)</f>
        <v/>
      </c>
      <c r="AJ357" s="111">
        <f>IF(AI357="","⚪",IF(AI357&gt;1.2,"🔴",IF(AI357&gt;1.1,"🟡","🟢")))</f>
        <v/>
      </c>
    </row>
    <row r="358" ht="14" customHeight="1" s="176">
      <c r="A358" s="112" t="inlineStr">
        <is>
          <t>Santa Catalina</t>
        </is>
      </c>
      <c r="B358" s="113" t="inlineStr">
        <is>
          <t>form benjamin 1,93 ha</t>
        </is>
      </c>
      <c r="C358" s="113" t="inlineStr">
        <is>
          <t>2- M.O. indirecta</t>
        </is>
      </c>
      <c r="D358" s="113" t="inlineStr">
        <is>
          <t>4,1- ENCARGADO MANTENCIONES</t>
        </is>
      </c>
      <c r="E358" s="113" t="inlineStr">
        <is>
          <t>día</t>
        </is>
      </c>
      <c r="F358" s="105" t="n">
        <v>10610.754</v>
      </c>
      <c r="G358" s="106" t="n">
        <v>11000</v>
      </c>
      <c r="H358" s="107" t="n"/>
      <c r="I358" s="108">
        <f>IF(H358="","",G358*H358)</f>
        <v/>
      </c>
      <c r="J358" s="243">
        <f>IF(I358="","",F358-I358)</f>
        <v/>
      </c>
      <c r="K358" s="110">
        <f>IF(OR(I358="",F358=0),"",I358/F358)</f>
        <v/>
      </c>
      <c r="L358" s="111">
        <f>IF(K358="","⚪",IF(K358&gt;1.2,"🔴",IF(K358&gt;1.1,"🟡","🟢")))</f>
        <v/>
      </c>
      <c r="N358" s="105" t="n">
        <v>10610.754</v>
      </c>
      <c r="O358" s="106" t="n">
        <v>11000</v>
      </c>
      <c r="P358" s="107" t="n"/>
      <c r="Q358" s="108">
        <f>IF(P358="","",O358*P358)</f>
        <v/>
      </c>
      <c r="R358" s="243">
        <f>IF(Q358="","",N358-Q358)</f>
        <v/>
      </c>
      <c r="S358" s="110">
        <f>IF(OR(Q358="",N358=0),"",Q358/N358)</f>
        <v/>
      </c>
      <c r="T358" s="111">
        <f>IF(S358="","⚪",IF(S358&gt;1.2,"🔴",IF(S358&gt;1.1,"🟡","🟢")))</f>
        <v/>
      </c>
      <c r="V358" s="105" t="n">
        <v>10610.754</v>
      </c>
      <c r="W358" s="106" t="n">
        <v>11000</v>
      </c>
      <c r="X358" s="107" t="n"/>
      <c r="Y358" s="108">
        <f>IF(X358="","",W358*X358)</f>
        <v/>
      </c>
      <c r="Z358" s="243">
        <f>IF(Y358="","",V358-Y358)</f>
        <v/>
      </c>
      <c r="AA358" s="110">
        <f>IF(OR(Y358="",V358=0),"",Y358/V358)</f>
        <v/>
      </c>
      <c r="AB358" s="111">
        <f>IF(AA358="","⚪",IF(AA358&gt;1.2,"🔴",IF(AA358&gt;1.1,"🟡","🟢")))</f>
        <v/>
      </c>
      <c r="AD358" s="105" t="n">
        <v>10610.754</v>
      </c>
      <c r="AE358" s="106" t="n">
        <v>11000</v>
      </c>
      <c r="AF358" s="107" t="n"/>
      <c r="AG358" s="108">
        <f>IF(AF358="","",AE358*AF358)</f>
        <v/>
      </c>
      <c r="AH358" s="243">
        <f>IF(AG358="","",AD358-AG358)</f>
        <v/>
      </c>
      <c r="AI358" s="110">
        <f>IF(OR(AG358="",AD358=0),"",AG358/AD358)</f>
        <v/>
      </c>
      <c r="AJ358" s="111">
        <f>IF(AI358="","⚪",IF(AI358&gt;1.2,"🔴",IF(AI358&gt;1.1,"🟡","🟢")))</f>
        <v/>
      </c>
    </row>
    <row r="359" ht="14" customHeight="1" s="176">
      <c r="A359" s="103" t="inlineStr">
        <is>
          <t>Santa Catalina</t>
        </is>
      </c>
      <c r="B359" s="104" t="inlineStr">
        <is>
          <t>form benjamin 1,93 ha</t>
        </is>
      </c>
      <c r="C359" s="104" t="inlineStr">
        <is>
          <t>2- M.O. indirecta</t>
        </is>
      </c>
      <c r="D359" s="104" t="inlineStr">
        <is>
          <t>4- CERTIFICACIONES</t>
        </is>
      </c>
      <c r="E359" s="104" t="inlineStr">
        <is>
          <t>día</t>
        </is>
      </c>
      <c r="F359" s="105" t="n">
        <v>2245.79625</v>
      </c>
      <c r="G359" s="106" t="n">
        <v>6464.58333333333</v>
      </c>
      <c r="H359" s="107" t="n"/>
      <c r="I359" s="108">
        <f>IF(H359="","",G359*H359)</f>
        <v/>
      </c>
      <c r="J359" s="243">
        <f>IF(I359="","",F359-I359)</f>
        <v/>
      </c>
      <c r="K359" s="110">
        <f>IF(OR(I359="",F359=0),"",I359/F359)</f>
        <v/>
      </c>
      <c r="L359" s="111">
        <f>IF(K359="","⚪",IF(K359&gt;1.2,"🔴",IF(K359&gt;1.1,"🟡","🟢")))</f>
        <v/>
      </c>
      <c r="N359" s="105" t="n">
        <v>2245.79625</v>
      </c>
      <c r="O359" s="106" t="n">
        <v>6464.58333333333</v>
      </c>
      <c r="P359" s="107" t="n"/>
      <c r="Q359" s="108">
        <f>IF(P359="","",O359*P359)</f>
        <v/>
      </c>
      <c r="R359" s="243">
        <f>IF(Q359="","",N359-Q359)</f>
        <v/>
      </c>
      <c r="S359" s="110">
        <f>IF(OR(Q359="",N359=0),"",Q359/N359)</f>
        <v/>
      </c>
      <c r="T359" s="111">
        <f>IF(S359="","⚪",IF(S359&gt;1.2,"🔴",IF(S359&gt;1.1,"🟡","🟢")))</f>
        <v/>
      </c>
      <c r="V359" s="105" t="n">
        <v>2245.79625</v>
      </c>
      <c r="W359" s="106" t="n">
        <v>6464.58333333333</v>
      </c>
      <c r="X359" s="107" t="n"/>
      <c r="Y359" s="108">
        <f>IF(X359="","",W359*X359)</f>
        <v/>
      </c>
      <c r="Z359" s="243">
        <f>IF(Y359="","",V359-Y359)</f>
        <v/>
      </c>
      <c r="AA359" s="110">
        <f>IF(OR(Y359="",V359=0),"",Y359/V359)</f>
        <v/>
      </c>
      <c r="AB359" s="111">
        <f>IF(AA359="","⚪",IF(AA359&gt;1.2,"🔴",IF(AA359&gt;1.1,"🟡","🟢")))</f>
        <v/>
      </c>
      <c r="AD359" s="105" t="n">
        <v>2245.79625</v>
      </c>
      <c r="AE359" s="106" t="n">
        <v>6464.58333333333</v>
      </c>
      <c r="AF359" s="107" t="n"/>
      <c r="AG359" s="108">
        <f>IF(AF359="","",AE359*AF359)</f>
        <v/>
      </c>
      <c r="AH359" s="243">
        <f>IF(AG359="","",AD359-AG359)</f>
        <v/>
      </c>
      <c r="AI359" s="110">
        <f>IF(OR(AG359="",AD359=0),"",AG359/AD359)</f>
        <v/>
      </c>
      <c r="AJ359" s="111">
        <f>IF(AI359="","⚪",IF(AI359&gt;1.2,"🔴",IF(AI359&gt;1.1,"🟡","🟢")))</f>
        <v/>
      </c>
    </row>
    <row r="360" ht="14" customHeight="1" s="176">
      <c r="A360" s="112" t="inlineStr">
        <is>
          <t>Santa Catalina</t>
        </is>
      </c>
      <c r="B360" s="113" t="inlineStr">
        <is>
          <t>form benjamin 1,93 ha</t>
        </is>
      </c>
      <c r="C360" s="113" t="inlineStr">
        <is>
          <t>2- M.O. indirecta</t>
        </is>
      </c>
      <c r="D360" s="113" t="inlineStr">
        <is>
          <t>5- PREVEN. DE RIESGO</t>
        </is>
      </c>
      <c r="E360" s="113" t="inlineStr">
        <is>
          <t>día</t>
        </is>
      </c>
      <c r="F360" s="105" t="n">
        <v>1519.26705</v>
      </c>
      <c r="G360" s="106" t="n">
        <v>1575</v>
      </c>
      <c r="H360" s="107" t="n"/>
      <c r="I360" s="108">
        <f>IF(H360="","",G360*H360)</f>
        <v/>
      </c>
      <c r="J360" s="243">
        <f>IF(I360="","",F360-I360)</f>
        <v/>
      </c>
      <c r="K360" s="110">
        <f>IF(OR(I360="",F360=0),"",I360/F360)</f>
        <v/>
      </c>
      <c r="L360" s="111">
        <f>IF(K360="","⚪",IF(K360&gt;1.2,"🔴",IF(K360&gt;1.1,"🟡","🟢")))</f>
        <v/>
      </c>
      <c r="N360" s="105" t="n">
        <v>1519.26705</v>
      </c>
      <c r="O360" s="106" t="n">
        <v>1575</v>
      </c>
      <c r="P360" s="107" t="n"/>
      <c r="Q360" s="108">
        <f>IF(P360="","",O360*P360)</f>
        <v/>
      </c>
      <c r="R360" s="243">
        <f>IF(Q360="","",N360-Q360)</f>
        <v/>
      </c>
      <c r="S360" s="110">
        <f>IF(OR(Q360="",N360=0),"",Q360/N360)</f>
        <v/>
      </c>
      <c r="T360" s="111">
        <f>IF(S360="","⚪",IF(S360&gt;1.2,"🔴",IF(S360&gt;1.1,"🟡","🟢")))</f>
        <v/>
      </c>
      <c r="V360" s="105" t="n">
        <v>1519.26705</v>
      </c>
      <c r="W360" s="106" t="n">
        <v>1575</v>
      </c>
      <c r="X360" s="107" t="n"/>
      <c r="Y360" s="108">
        <f>IF(X360="","",W360*X360)</f>
        <v/>
      </c>
      <c r="Z360" s="243">
        <f>IF(Y360="","",V360-Y360)</f>
        <v/>
      </c>
      <c r="AA360" s="110">
        <f>IF(OR(Y360="",V360=0),"",Y360/V360)</f>
        <v/>
      </c>
      <c r="AB360" s="111">
        <f>IF(AA360="","⚪",IF(AA360&gt;1.2,"🔴",IF(AA360&gt;1.1,"🟡","🟢")))</f>
        <v/>
      </c>
      <c r="AD360" s="105" t="n">
        <v>1519.26705</v>
      </c>
      <c r="AE360" s="106" t="n">
        <v>1575</v>
      </c>
      <c r="AF360" s="107" t="n"/>
      <c r="AG360" s="108">
        <f>IF(AF360="","",AE360*AF360)</f>
        <v/>
      </c>
      <c r="AH360" s="243">
        <f>IF(AG360="","",AD360-AG360)</f>
        <v/>
      </c>
      <c r="AI360" s="110">
        <f>IF(OR(AG360="",AD360=0),"",AG360/AD360)</f>
        <v/>
      </c>
      <c r="AJ360" s="111">
        <f>IF(AI360="","⚪",IF(AI360&gt;1.2,"🔴",IF(AI360&gt;1.1,"🟡","🟢")))</f>
        <v/>
      </c>
    </row>
    <row r="361" ht="14" customHeight="1" s="176">
      <c r="A361" s="103" t="inlineStr">
        <is>
          <t>Santa Catalina</t>
        </is>
      </c>
      <c r="B361" s="104" t="inlineStr">
        <is>
          <t>form benjamin 1,93 ha</t>
        </is>
      </c>
      <c r="C361" s="104" t="inlineStr">
        <is>
          <t>2- M.O. indirecta</t>
        </is>
      </c>
      <c r="D361" s="104" t="inlineStr">
        <is>
          <t>9,1- RONDIN FUNDO</t>
        </is>
      </c>
      <c r="E361" s="104" t="inlineStr">
        <is>
          <t>día</t>
        </is>
      </c>
      <c r="F361" s="105" t="n">
        <v>38354.981868</v>
      </c>
      <c r="G361" s="106" t="n">
        <v>39762</v>
      </c>
      <c r="H361" s="107" t="n"/>
      <c r="I361" s="108">
        <f>IF(H361="","",G361*H361)</f>
        <v/>
      </c>
      <c r="J361" s="243">
        <f>IF(I361="","",F361-I361)</f>
        <v/>
      </c>
      <c r="K361" s="110">
        <f>IF(OR(I361="",F361=0),"",I361/F361)</f>
        <v/>
      </c>
      <c r="L361" s="111">
        <f>IF(K361="","⚪",IF(K361&gt;1.2,"🔴",IF(K361&gt;1.1,"🟡","🟢")))</f>
        <v/>
      </c>
      <c r="N361" s="105" t="n">
        <v>38354.981868</v>
      </c>
      <c r="O361" s="106" t="n">
        <v>39762</v>
      </c>
      <c r="P361" s="107" t="n"/>
      <c r="Q361" s="108">
        <f>IF(P361="","",O361*P361)</f>
        <v/>
      </c>
      <c r="R361" s="243">
        <f>IF(Q361="","",N361-Q361)</f>
        <v/>
      </c>
      <c r="S361" s="110">
        <f>IF(OR(Q361="",N361=0),"",Q361/N361)</f>
        <v/>
      </c>
      <c r="T361" s="111">
        <f>IF(S361="","⚪",IF(S361&gt;1.2,"🔴",IF(S361&gt;1.1,"🟡","🟢")))</f>
        <v/>
      </c>
      <c r="V361" s="105" t="n">
        <v>38354.981868</v>
      </c>
      <c r="W361" s="106" t="n">
        <v>39762</v>
      </c>
      <c r="X361" s="107" t="n"/>
      <c r="Y361" s="108">
        <f>IF(X361="","",W361*X361)</f>
        <v/>
      </c>
      <c r="Z361" s="243">
        <f>IF(Y361="","",V361-Y361)</f>
        <v/>
      </c>
      <c r="AA361" s="110">
        <f>IF(OR(Y361="",V361=0),"",Y361/V361)</f>
        <v/>
      </c>
      <c r="AB361" s="111">
        <f>IF(AA361="","⚪",IF(AA361&gt;1.2,"🔴",IF(AA361&gt;1.1,"🟡","🟢")))</f>
        <v/>
      </c>
      <c r="AD361" s="105" t="n">
        <v>38354.981868</v>
      </c>
      <c r="AE361" s="106" t="n">
        <v>39762</v>
      </c>
      <c r="AF361" s="107" t="n"/>
      <c r="AG361" s="108">
        <f>IF(AF361="","",AE361*AF361)</f>
        <v/>
      </c>
      <c r="AH361" s="243">
        <f>IF(AG361="","",AD361-AG361)</f>
        <v/>
      </c>
      <c r="AI361" s="110">
        <f>IF(OR(AG361="",AD361=0),"",AG361/AD361)</f>
        <v/>
      </c>
      <c r="AJ361" s="111">
        <f>IF(AI361="","⚪",IF(AI361&gt;1.2,"🔴",IF(AI361&gt;1.1,"🟡","🟢")))</f>
        <v/>
      </c>
    </row>
    <row r="362" ht="14" customHeight="1" s="176">
      <c r="A362" s="112" t="inlineStr">
        <is>
          <t>Santa Catalina</t>
        </is>
      </c>
      <c r="B362" s="113" t="inlineStr">
        <is>
          <t>form benjamin 1,93 ha</t>
        </is>
      </c>
      <c r="C362" s="113" t="inlineStr">
        <is>
          <t>2- M.O. indirecta</t>
        </is>
      </c>
      <c r="D362" s="113" t="inlineStr">
        <is>
          <t>9,1- RONDIN ZANJON</t>
        </is>
      </c>
      <c r="E362" s="113" t="inlineStr">
        <is>
          <t>día</t>
        </is>
      </c>
      <c r="F362" s="105" t="n">
        <v>68186.63443200001</v>
      </c>
      <c r="G362" s="106" t="n">
        <v>70688</v>
      </c>
      <c r="H362" s="107" t="n"/>
      <c r="I362" s="108">
        <f>IF(H362="","",G362*H362)</f>
        <v/>
      </c>
      <c r="J362" s="243">
        <f>IF(I362="","",F362-I362)</f>
        <v/>
      </c>
      <c r="K362" s="110">
        <f>IF(OR(I362="",F362=0),"",I362/F362)</f>
        <v/>
      </c>
      <c r="L362" s="111">
        <f>IF(K362="","⚪",IF(K362&gt;1.2,"🔴",IF(K362&gt;1.1,"🟡","🟢")))</f>
        <v/>
      </c>
      <c r="N362" s="105" t="n">
        <v>68186.63443200001</v>
      </c>
      <c r="O362" s="106" t="n">
        <v>70688</v>
      </c>
      <c r="P362" s="107" t="n"/>
      <c r="Q362" s="108">
        <f>IF(P362="","",O362*P362)</f>
        <v/>
      </c>
      <c r="R362" s="243">
        <f>IF(Q362="","",N362-Q362)</f>
        <v/>
      </c>
      <c r="S362" s="110">
        <f>IF(OR(Q362="",N362=0),"",Q362/N362)</f>
        <v/>
      </c>
      <c r="T362" s="111">
        <f>IF(S362="","⚪",IF(S362&gt;1.2,"🔴",IF(S362&gt;1.1,"🟡","🟢")))</f>
        <v/>
      </c>
      <c r="V362" s="105" t="n">
        <v>68186.63443200001</v>
      </c>
      <c r="W362" s="106" t="n">
        <v>70688</v>
      </c>
      <c r="X362" s="107" t="n"/>
      <c r="Y362" s="108">
        <f>IF(X362="","",W362*X362)</f>
        <v/>
      </c>
      <c r="Z362" s="243">
        <f>IF(Y362="","",V362-Y362)</f>
        <v/>
      </c>
      <c r="AA362" s="110">
        <f>IF(OR(Y362="",V362=0),"",Y362/V362)</f>
        <v/>
      </c>
      <c r="AB362" s="111">
        <f>IF(AA362="","⚪",IF(AA362&gt;1.2,"🔴",IF(AA362&gt;1.1,"🟡","🟢")))</f>
        <v/>
      </c>
      <c r="AD362" s="105" t="n">
        <v>68186.63443200001</v>
      </c>
      <c r="AE362" s="106" t="n">
        <v>70688</v>
      </c>
      <c r="AF362" s="107" t="n"/>
      <c r="AG362" s="108">
        <f>IF(AF362="","",AE362*AF362)</f>
        <v/>
      </c>
      <c r="AH362" s="243">
        <f>IF(AG362="","",AD362-AG362)</f>
        <v/>
      </c>
      <c r="AI362" s="110">
        <f>IF(OR(AG362="",AD362=0),"",AG362/AD362)</f>
        <v/>
      </c>
      <c r="AJ362" s="111">
        <f>IF(AI362="","⚪",IF(AI362&gt;1.2,"🔴",IF(AI362&gt;1.1,"🟡","🟢")))</f>
        <v/>
      </c>
    </row>
    <row r="363" ht="14" customHeight="1" s="176">
      <c r="A363" s="103" t="inlineStr">
        <is>
          <t>Santa Catalina</t>
        </is>
      </c>
      <c r="B363" s="104" t="inlineStr">
        <is>
          <t>mant eureka 2,5 ha</t>
        </is>
      </c>
      <c r="C363" s="104" t="inlineStr">
        <is>
          <t>1- M.O. directa</t>
        </is>
      </c>
      <c r="D363" s="104" t="inlineStr">
        <is>
          <t>1- Cosecha EXP</t>
        </is>
      </c>
      <c r="E363" s="104" t="inlineStr">
        <is>
          <t>trato</t>
        </is>
      </c>
      <c r="F363" s="105" t="inlineStr">
        <is>
          <t>kg</t>
        </is>
      </c>
      <c r="G363" s="106" t="n">
        <v>83</v>
      </c>
      <c r="H363" s="107" t="n"/>
      <c r="I363" s="108">
        <f>IF(H363="","",G363*H363)</f>
        <v/>
      </c>
      <c r="J363" s="243">
        <f>IF(I363="","",F363-I363)</f>
        <v/>
      </c>
      <c r="K363" s="110">
        <f>IF(OR(I363="",F363=0),"",I363/F363)</f>
        <v/>
      </c>
      <c r="L363" s="111">
        <f>IF(K363="","⚪",IF(K363&gt;1.2,"🔴",IF(K363&gt;1.1,"🟡","🟢")))</f>
        <v/>
      </c>
      <c r="N363" s="105" t="n"/>
      <c r="O363" s="106" t="n">
        <v>83</v>
      </c>
      <c r="P363" s="107" t="n"/>
      <c r="Q363" s="108">
        <f>IF(P363="","",O363*P363)</f>
        <v/>
      </c>
      <c r="R363" s="243">
        <f>IF(Q363="","",N363-Q363)</f>
        <v/>
      </c>
      <c r="S363" s="110">
        <f>IF(OR(Q363="",N363=0),"",Q363/N363)</f>
        <v/>
      </c>
      <c r="T363" s="111">
        <f>IF(S363="","⚪",IF(S363&gt;1.2,"🔴",IF(S363&gt;1.1,"🟡","🟢")))</f>
        <v/>
      </c>
      <c r="V363" s="105" t="n"/>
      <c r="W363" s="106" t="n">
        <v>83</v>
      </c>
      <c r="X363" s="107" t="n"/>
      <c r="Y363" s="108">
        <f>IF(X363="","",W363*X363)</f>
        <v/>
      </c>
      <c r="Z363" s="243">
        <f>IF(Y363="","",V363-Y363)</f>
        <v/>
      </c>
      <c r="AA363" s="110">
        <f>IF(OR(Y363="",V363=0),"",Y363/V363)</f>
        <v/>
      </c>
      <c r="AB363" s="111">
        <f>IF(AA363="","⚪",IF(AA363&gt;1.2,"🔴",IF(AA363&gt;1.1,"🟡","🟢")))</f>
        <v/>
      </c>
      <c r="AD363" s="105" t="n"/>
      <c r="AE363" s="106" t="n">
        <v>83</v>
      </c>
      <c r="AF363" s="107" t="n"/>
      <c r="AG363" s="108">
        <f>IF(AF363="","",AE363*AF363)</f>
        <v/>
      </c>
      <c r="AH363" s="243">
        <f>IF(AG363="","",AD363-AG363)</f>
        <v/>
      </c>
      <c r="AI363" s="110">
        <f>IF(OR(AG363="",AD363=0),"",AG363/AD363)</f>
        <v/>
      </c>
      <c r="AJ363" s="111">
        <f>IF(AI363="","⚪",IF(AI363&gt;1.2,"🔴",IF(AI363&gt;1.1,"🟡","🟢")))</f>
        <v/>
      </c>
    </row>
    <row r="364" ht="14" customHeight="1" s="176">
      <c r="A364" s="112" t="inlineStr">
        <is>
          <t>Santa Catalina</t>
        </is>
      </c>
      <c r="B364" s="113" t="inlineStr">
        <is>
          <t>mant eureka 2,5 ha</t>
        </is>
      </c>
      <c r="C364" s="113" t="inlineStr">
        <is>
          <t>1- M.O. directa</t>
        </is>
      </c>
      <c r="D364" s="113" t="inlineStr">
        <is>
          <t>1- Cosecha M.I</t>
        </is>
      </c>
      <c r="E364" s="113" t="inlineStr">
        <is>
          <t>trato</t>
        </is>
      </c>
      <c r="F364" s="105" t="inlineStr">
        <is>
          <t>kg</t>
        </is>
      </c>
      <c r="G364" s="106" t="n">
        <v>65</v>
      </c>
      <c r="H364" s="107" t="n"/>
      <c r="I364" s="108">
        <f>IF(H364="","",G364*H364)</f>
        <v/>
      </c>
      <c r="J364" s="243">
        <f>IF(I364="","",F364-I364)</f>
        <v/>
      </c>
      <c r="K364" s="110">
        <f>IF(OR(I364="",F364=0),"",I364/F364)</f>
        <v/>
      </c>
      <c r="L364" s="111">
        <f>IF(K364="","⚪",IF(K364&gt;1.2,"🔴",IF(K364&gt;1.1,"🟡","🟢")))</f>
        <v/>
      </c>
      <c r="N364" s="105" t="n"/>
      <c r="O364" s="106" t="n">
        <v>65</v>
      </c>
      <c r="P364" s="107" t="n"/>
      <c r="Q364" s="108">
        <f>IF(P364="","",O364*P364)</f>
        <v/>
      </c>
      <c r="R364" s="243">
        <f>IF(Q364="","",N364-Q364)</f>
        <v/>
      </c>
      <c r="S364" s="110">
        <f>IF(OR(Q364="",N364=0),"",Q364/N364)</f>
        <v/>
      </c>
      <c r="T364" s="111">
        <f>IF(S364="","⚪",IF(S364&gt;1.2,"🔴",IF(S364&gt;1.1,"🟡","🟢")))</f>
        <v/>
      </c>
      <c r="V364" s="105" t="n"/>
      <c r="W364" s="106" t="n">
        <v>65</v>
      </c>
      <c r="X364" s="107" t="n"/>
      <c r="Y364" s="108">
        <f>IF(X364="","",W364*X364)</f>
        <v/>
      </c>
      <c r="Z364" s="243">
        <f>IF(Y364="","",V364-Y364)</f>
        <v/>
      </c>
      <c r="AA364" s="110">
        <f>IF(OR(Y364="",V364=0),"",Y364/V364)</f>
        <v/>
      </c>
      <c r="AB364" s="111">
        <f>IF(AA364="","⚪",IF(AA364&gt;1.2,"🔴",IF(AA364&gt;1.1,"🟡","🟢")))</f>
        <v/>
      </c>
      <c r="AD364" s="105" t="n"/>
      <c r="AE364" s="106" t="n">
        <v>65</v>
      </c>
      <c r="AF364" s="107" t="n"/>
      <c r="AG364" s="108">
        <f>IF(AF364="","",AE364*AF364)</f>
        <v/>
      </c>
      <c r="AH364" s="243">
        <f>IF(AG364="","",AD364-AG364)</f>
        <v/>
      </c>
      <c r="AI364" s="110">
        <f>IF(OR(AG364="",AD364=0),"",AG364/AD364)</f>
        <v/>
      </c>
      <c r="AJ364" s="111">
        <f>IF(AI364="","⚪",IF(AI364&gt;1.2,"🔴",IF(AI364&gt;1.1,"🟡","🟢")))</f>
        <v/>
      </c>
    </row>
    <row r="365" ht="14" customHeight="1" s="176">
      <c r="A365" s="103" t="inlineStr">
        <is>
          <t>Santa Catalina</t>
        </is>
      </c>
      <c r="B365" s="104" t="inlineStr">
        <is>
          <t>mant eureka 2,5 ha</t>
        </is>
      </c>
      <c r="C365" s="104" t="inlineStr">
        <is>
          <t>1- M.O. directa</t>
        </is>
      </c>
      <c r="D365" s="104" t="inlineStr">
        <is>
          <t>12- Picar sarmiento</t>
        </is>
      </c>
      <c r="E365" s="104" t="inlineStr">
        <is>
          <t>trato</t>
        </is>
      </c>
      <c r="F365" s="105" t="inlineStr">
        <is>
          <t>plt</t>
        </is>
      </c>
      <c r="G365" s="106" t="n">
        <v>60</v>
      </c>
      <c r="H365" s="107" t="n"/>
      <c r="I365" s="108">
        <f>IF(H365="","",G365*H365)</f>
        <v/>
      </c>
      <c r="J365" s="243">
        <f>IF(I365="","",F365-I365)</f>
        <v/>
      </c>
      <c r="K365" s="110">
        <f>IF(OR(I365="",F365=0),"",I365/F365)</f>
        <v/>
      </c>
      <c r="L365" s="111">
        <f>IF(K365="","⚪",IF(K365&gt;1.2,"🔴",IF(K365&gt;1.1,"🟡","🟢")))</f>
        <v/>
      </c>
      <c r="N365" s="105" t="n"/>
      <c r="O365" s="106" t="n">
        <v>60</v>
      </c>
      <c r="P365" s="107" t="n"/>
      <c r="Q365" s="108">
        <f>IF(P365="","",O365*P365)</f>
        <v/>
      </c>
      <c r="R365" s="243">
        <f>IF(Q365="","",N365-Q365)</f>
        <v/>
      </c>
      <c r="S365" s="110">
        <f>IF(OR(Q365="",N365=0),"",Q365/N365)</f>
        <v/>
      </c>
      <c r="T365" s="111">
        <f>IF(S365="","⚪",IF(S365&gt;1.2,"🔴",IF(S365&gt;1.1,"🟡","🟢")))</f>
        <v/>
      </c>
      <c r="V365" s="105" t="n"/>
      <c r="W365" s="106" t="n">
        <v>60</v>
      </c>
      <c r="X365" s="107" t="n"/>
      <c r="Y365" s="108">
        <f>IF(X365="","",W365*X365)</f>
        <v/>
      </c>
      <c r="Z365" s="243">
        <f>IF(Y365="","",V365-Y365)</f>
        <v/>
      </c>
      <c r="AA365" s="110">
        <f>IF(OR(Y365="",V365=0),"",Y365/V365)</f>
        <v/>
      </c>
      <c r="AB365" s="111">
        <f>IF(AA365="","⚪",IF(AA365&gt;1.2,"🔴",IF(AA365&gt;1.1,"🟡","🟢")))</f>
        <v/>
      </c>
      <c r="AD365" s="105" t="n"/>
      <c r="AE365" s="106" t="n">
        <v>60</v>
      </c>
      <c r="AF365" s="107" t="n"/>
      <c r="AG365" s="108">
        <f>IF(AF365="","",AE365*AF365)</f>
        <v/>
      </c>
      <c r="AH365" s="243">
        <f>IF(AG365="","",AD365-AG365)</f>
        <v/>
      </c>
      <c r="AI365" s="110">
        <f>IF(OR(AG365="",AD365=0),"",AG365/AD365)</f>
        <v/>
      </c>
      <c r="AJ365" s="111">
        <f>IF(AI365="","⚪",IF(AI365&gt;1.2,"🔴",IF(AI365&gt;1.1,"🟡","🟢")))</f>
        <v/>
      </c>
    </row>
    <row r="366" ht="14" customHeight="1" s="176">
      <c r="A366" s="112" t="inlineStr">
        <is>
          <t>Santa Catalina</t>
        </is>
      </c>
      <c r="B366" s="113" t="inlineStr">
        <is>
          <t>mant eureka 2,5 ha</t>
        </is>
      </c>
      <c r="C366" s="113" t="inlineStr">
        <is>
          <t>1- M.O. directa</t>
        </is>
      </c>
      <c r="D366" s="113" t="inlineStr">
        <is>
          <t>13- Poda antenas</t>
        </is>
      </c>
      <c r="E366" s="113" t="inlineStr">
        <is>
          <t>trato</t>
        </is>
      </c>
      <c r="F366" s="105" t="n">
        <v>31275</v>
      </c>
      <c r="G366" s="106" t="n">
        <v>600</v>
      </c>
      <c r="H366" s="107" t="n"/>
      <c r="I366" s="108">
        <f>IF(H366="","",G366*H366)</f>
        <v/>
      </c>
      <c r="J366" s="243">
        <f>IF(I366="","",F366-I366)</f>
        <v/>
      </c>
      <c r="K366" s="110">
        <f>IF(OR(I366="",F366=0),"",I366/F366)</f>
        <v/>
      </c>
      <c r="L366" s="111">
        <f>IF(K366="","⚪",IF(K366&gt;1.2,"🔴",IF(K366&gt;1.1,"🟡","🟢")))</f>
        <v/>
      </c>
      <c r="N366" s="105" t="n">
        <v>31275</v>
      </c>
      <c r="O366" s="106" t="n">
        <v>600</v>
      </c>
      <c r="P366" s="107" t="n"/>
      <c r="Q366" s="108">
        <f>IF(P366="","",O366*P366)</f>
        <v/>
      </c>
      <c r="R366" s="243">
        <f>IF(Q366="","",N366-Q366)</f>
        <v/>
      </c>
      <c r="S366" s="110">
        <f>IF(OR(Q366="",N366=0),"",Q366/N366)</f>
        <v/>
      </c>
      <c r="T366" s="111">
        <f>IF(S366="","⚪",IF(S366&gt;1.2,"🔴",IF(S366&gt;1.1,"🟡","🟢")))</f>
        <v/>
      </c>
      <c r="V366" s="105" t="n">
        <v>31275</v>
      </c>
      <c r="W366" s="106" t="n">
        <v>600</v>
      </c>
      <c r="X366" s="107" t="n"/>
      <c r="Y366" s="108">
        <f>IF(X366="","",W366*X366)</f>
        <v/>
      </c>
      <c r="Z366" s="243">
        <f>IF(Y366="","",V366-Y366)</f>
        <v/>
      </c>
      <c r="AA366" s="110">
        <f>IF(OR(Y366="",V366=0),"",Y366/V366)</f>
        <v/>
      </c>
      <c r="AB366" s="111">
        <f>IF(AA366="","⚪",IF(AA366&gt;1.2,"🔴",IF(AA366&gt;1.1,"🟡","🟢")))</f>
        <v/>
      </c>
      <c r="AD366" s="105" t="n">
        <v>31275</v>
      </c>
      <c r="AE366" s="106" t="n">
        <v>600</v>
      </c>
      <c r="AF366" s="107" t="n"/>
      <c r="AG366" s="108">
        <f>IF(AF366="","",AE366*AF366)</f>
        <v/>
      </c>
      <c r="AH366" s="243">
        <f>IF(AG366="","",AD366-AG366)</f>
        <v/>
      </c>
      <c r="AI366" s="110">
        <f>IF(OR(AG366="",AD366=0),"",AG366/AD366)</f>
        <v/>
      </c>
      <c r="AJ366" s="111">
        <f>IF(AI366="","⚪",IF(AI366&gt;1.2,"🔴",IF(AI366&gt;1.1,"🟡","🟢")))</f>
        <v/>
      </c>
    </row>
    <row r="367" ht="14" customHeight="1" s="176">
      <c r="A367" s="103" t="inlineStr">
        <is>
          <t>Santa Catalina</t>
        </is>
      </c>
      <c r="B367" s="104" t="inlineStr">
        <is>
          <t>mant eureka 2,5 ha</t>
        </is>
      </c>
      <c r="C367" s="104" t="inlineStr">
        <is>
          <t>1- M.O. directa</t>
        </is>
      </c>
      <c r="D367" s="104" t="inlineStr">
        <is>
          <t>14- Poda de sierrpes</t>
        </is>
      </c>
      <c r="E367" s="104" t="inlineStr">
        <is>
          <t>trato</t>
        </is>
      </c>
      <c r="F367" s="105" t="n">
        <v>1407.375</v>
      </c>
      <c r="G367" s="106" t="n">
        <v>30</v>
      </c>
      <c r="H367" s="107" t="n"/>
      <c r="I367" s="108">
        <f>IF(H367="","",G367*H367)</f>
        <v/>
      </c>
      <c r="J367" s="243">
        <f>IF(I367="","",F367-I367)</f>
        <v/>
      </c>
      <c r="K367" s="110">
        <f>IF(OR(I367="",F367=0),"",I367/F367)</f>
        <v/>
      </c>
      <c r="L367" s="111">
        <f>IF(K367="","⚪",IF(K367&gt;1.2,"🔴",IF(K367&gt;1.1,"🟡","🟢")))</f>
        <v/>
      </c>
      <c r="N367" s="105" t="n">
        <v>1407.375</v>
      </c>
      <c r="O367" s="106" t="n">
        <v>30</v>
      </c>
      <c r="P367" s="107" t="n"/>
      <c r="Q367" s="108">
        <f>IF(P367="","",O367*P367)</f>
        <v/>
      </c>
      <c r="R367" s="243">
        <f>IF(Q367="","",N367-Q367)</f>
        <v/>
      </c>
      <c r="S367" s="110">
        <f>IF(OR(Q367="",N367=0),"",Q367/N367)</f>
        <v/>
      </c>
      <c r="T367" s="111">
        <f>IF(S367="","⚪",IF(S367&gt;1.2,"🔴",IF(S367&gt;1.1,"🟡","🟢")))</f>
        <v/>
      </c>
      <c r="V367" s="105" t="n">
        <v>1407.375</v>
      </c>
      <c r="W367" s="106" t="n">
        <v>30</v>
      </c>
      <c r="X367" s="107" t="n"/>
      <c r="Y367" s="108">
        <f>IF(X367="","",W367*X367)</f>
        <v/>
      </c>
      <c r="Z367" s="243">
        <f>IF(Y367="","",V367-Y367)</f>
        <v/>
      </c>
      <c r="AA367" s="110">
        <f>IF(OR(Y367="",V367=0),"",Y367/V367)</f>
        <v/>
      </c>
      <c r="AB367" s="111">
        <f>IF(AA367="","⚪",IF(AA367&gt;1.2,"🔴",IF(AA367&gt;1.1,"🟡","🟢")))</f>
        <v/>
      </c>
      <c r="AD367" s="105" t="n">
        <v>1407.375</v>
      </c>
      <c r="AE367" s="106" t="n">
        <v>30</v>
      </c>
      <c r="AF367" s="107" t="n"/>
      <c r="AG367" s="108">
        <f>IF(AF367="","",AE367*AF367)</f>
        <v/>
      </c>
      <c r="AH367" s="243">
        <f>IF(AG367="","",AD367-AG367)</f>
        <v/>
      </c>
      <c r="AI367" s="110">
        <f>IF(OR(AG367="",AD367=0),"",AG367/AD367)</f>
        <v/>
      </c>
      <c r="AJ367" s="111">
        <f>IF(AI367="","⚪",IF(AI367&gt;1.2,"🔴",IF(AI367&gt;1.1,"🟡","🟢")))</f>
        <v/>
      </c>
    </row>
    <row r="368" ht="14" customHeight="1" s="176">
      <c r="A368" s="112" t="inlineStr">
        <is>
          <t>Santa Catalina</t>
        </is>
      </c>
      <c r="B368" s="113" t="inlineStr">
        <is>
          <t>mant eureka 2,5 ha</t>
        </is>
      </c>
      <c r="C368" s="113" t="inlineStr">
        <is>
          <t>1- M.O. directa</t>
        </is>
      </c>
      <c r="D368" s="113" t="inlineStr">
        <is>
          <t>15- Poda primavera</t>
        </is>
      </c>
      <c r="E368" s="113" t="inlineStr">
        <is>
          <t>trato</t>
        </is>
      </c>
      <c r="F368" s="105" t="n">
        <v>15637.5</v>
      </c>
      <c r="G368" s="106" t="n">
        <v>300</v>
      </c>
      <c r="H368" s="107" t="n"/>
      <c r="I368" s="108">
        <f>IF(H368="","",G368*H368)</f>
        <v/>
      </c>
      <c r="J368" s="243">
        <f>IF(I368="","",F368-I368)</f>
        <v/>
      </c>
      <c r="K368" s="110">
        <f>IF(OR(I368="",F368=0),"",I368/F368)</f>
        <v/>
      </c>
      <c r="L368" s="111">
        <f>IF(K368="","⚪",IF(K368&gt;1.2,"🔴",IF(K368&gt;1.1,"🟡","🟢")))</f>
        <v/>
      </c>
      <c r="N368" s="105" t="n">
        <v>15637.5</v>
      </c>
      <c r="O368" s="106" t="n">
        <v>300</v>
      </c>
      <c r="P368" s="107" t="n"/>
      <c r="Q368" s="108">
        <f>IF(P368="","",O368*P368)</f>
        <v/>
      </c>
      <c r="R368" s="243">
        <f>IF(Q368="","",N368-Q368)</f>
        <v/>
      </c>
      <c r="S368" s="110">
        <f>IF(OR(Q368="",N368=0),"",Q368/N368)</f>
        <v/>
      </c>
      <c r="T368" s="111">
        <f>IF(S368="","⚪",IF(S368&gt;1.2,"🔴",IF(S368&gt;1.1,"🟡","🟢")))</f>
        <v/>
      </c>
      <c r="V368" s="105" t="n">
        <v>15637.5</v>
      </c>
      <c r="W368" s="106" t="n">
        <v>300</v>
      </c>
      <c r="X368" s="107" t="n"/>
      <c r="Y368" s="108">
        <f>IF(X368="","",W368*X368)</f>
        <v/>
      </c>
      <c r="Z368" s="243">
        <f>IF(Y368="","",V368-Y368)</f>
        <v/>
      </c>
      <c r="AA368" s="110">
        <f>IF(OR(Y368="",V368=0),"",Y368/V368)</f>
        <v/>
      </c>
      <c r="AB368" s="111">
        <f>IF(AA368="","⚪",IF(AA368&gt;1.2,"🔴",IF(AA368&gt;1.1,"🟡","🟢")))</f>
        <v/>
      </c>
      <c r="AD368" s="105" t="n">
        <v>15637.5</v>
      </c>
      <c r="AE368" s="106" t="n">
        <v>300</v>
      </c>
      <c r="AF368" s="107" t="n"/>
      <c r="AG368" s="108">
        <f>IF(AF368="","",AE368*AF368)</f>
        <v/>
      </c>
      <c r="AH368" s="243">
        <f>IF(AG368="","",AD368-AG368)</f>
        <v/>
      </c>
      <c r="AI368" s="110">
        <f>IF(OR(AG368="",AD368=0),"",AG368/AD368)</f>
        <v/>
      </c>
      <c r="AJ368" s="111">
        <f>IF(AI368="","⚪",IF(AI368&gt;1.2,"🔴",IF(AI368&gt;1.1,"🟡","🟢")))</f>
        <v/>
      </c>
    </row>
    <row r="369" ht="14" customHeight="1" s="176">
      <c r="A369" s="103" t="inlineStr">
        <is>
          <t>Santa Catalina</t>
        </is>
      </c>
      <c r="B369" s="104" t="inlineStr">
        <is>
          <t>mant eureka 2,5 ha</t>
        </is>
      </c>
      <c r="C369" s="104" t="inlineStr">
        <is>
          <t>1- M.O. directa</t>
        </is>
      </c>
      <c r="D369" s="104" t="inlineStr">
        <is>
          <t>16- Supervisor poda</t>
        </is>
      </c>
      <c r="E369" s="104" t="inlineStr">
        <is>
          <t>día</t>
        </is>
      </c>
      <c r="F369" s="105" t="n">
        <v>2345.625</v>
      </c>
      <c r="G369" s="106" t="n">
        <v>45</v>
      </c>
      <c r="H369" s="107" t="n"/>
      <c r="I369" s="108">
        <f>IF(H369="","",G369*H369)</f>
        <v/>
      </c>
      <c r="J369" s="243">
        <f>IF(I369="","",F369-I369)</f>
        <v/>
      </c>
      <c r="K369" s="110">
        <f>IF(OR(I369="",F369=0),"",I369/F369)</f>
        <v/>
      </c>
      <c r="L369" s="111">
        <f>IF(K369="","⚪",IF(K369&gt;1.2,"🔴",IF(K369&gt;1.1,"🟡","🟢")))</f>
        <v/>
      </c>
      <c r="N369" s="105" t="n">
        <v>2345.625</v>
      </c>
      <c r="O369" s="106" t="n">
        <v>45</v>
      </c>
      <c r="P369" s="107" t="n"/>
      <c r="Q369" s="108">
        <f>IF(P369="","",O369*P369)</f>
        <v/>
      </c>
      <c r="R369" s="243">
        <f>IF(Q369="","",N369-Q369)</f>
        <v/>
      </c>
      <c r="S369" s="110">
        <f>IF(OR(Q369="",N369=0),"",Q369/N369)</f>
        <v/>
      </c>
      <c r="T369" s="111">
        <f>IF(S369="","⚪",IF(S369&gt;1.2,"🔴",IF(S369&gt;1.1,"🟡","🟢")))</f>
        <v/>
      </c>
      <c r="V369" s="105" t="n">
        <v>2345.625</v>
      </c>
      <c r="W369" s="106" t="n">
        <v>45</v>
      </c>
      <c r="X369" s="107" t="n"/>
      <c r="Y369" s="108">
        <f>IF(X369="","",W369*X369)</f>
        <v/>
      </c>
      <c r="Z369" s="243">
        <f>IF(Y369="","",V369-Y369)</f>
        <v/>
      </c>
      <c r="AA369" s="110">
        <f>IF(OR(Y369="",V369=0),"",Y369/V369)</f>
        <v/>
      </c>
      <c r="AB369" s="111">
        <f>IF(AA369="","⚪",IF(AA369&gt;1.2,"🔴",IF(AA369&gt;1.1,"🟡","🟢")))</f>
        <v/>
      </c>
      <c r="AD369" s="105" t="n">
        <v>2345.625</v>
      </c>
      <c r="AE369" s="106" t="n">
        <v>45</v>
      </c>
      <c r="AF369" s="107" t="n"/>
      <c r="AG369" s="108">
        <f>IF(AF369="","",AE369*AF369)</f>
        <v/>
      </c>
      <c r="AH369" s="243">
        <f>IF(AG369="","",AD369-AG369)</f>
        <v/>
      </c>
      <c r="AI369" s="110">
        <f>IF(OR(AG369="",AD369=0),"",AG369/AD369)</f>
        <v/>
      </c>
      <c r="AJ369" s="111">
        <f>IF(AI369="","⚪",IF(AI369&gt;1.2,"🔴",IF(AI369&gt;1.1,"🟡","🟢")))</f>
        <v/>
      </c>
    </row>
    <row r="370" ht="14" customHeight="1" s="176">
      <c r="A370" s="112" t="inlineStr">
        <is>
          <t>Santa Catalina</t>
        </is>
      </c>
      <c r="B370" s="113" t="inlineStr">
        <is>
          <t>mant eureka 2,5 ha</t>
        </is>
      </c>
      <c r="C370" s="113" t="inlineStr">
        <is>
          <t>1- M.O. directa</t>
        </is>
      </c>
      <c r="D370" s="113" t="inlineStr">
        <is>
          <t>17- Recepción, pesaje y despacho</t>
        </is>
      </c>
      <c r="E370" s="113" t="inlineStr">
        <is>
          <t>día</t>
        </is>
      </c>
      <c r="F370" s="105" t="inlineStr">
        <is>
          <t>kg</t>
        </is>
      </c>
      <c r="G370" s="106" t="n">
        <v>1.2</v>
      </c>
      <c r="H370" s="107" t="n"/>
      <c r="I370" s="108">
        <f>IF(H370="","",G370*H370)</f>
        <v/>
      </c>
      <c r="J370" s="243">
        <f>IF(I370="","",F370-I370)</f>
        <v/>
      </c>
      <c r="K370" s="110">
        <f>IF(OR(I370="",F370=0),"",I370/F370)</f>
        <v/>
      </c>
      <c r="L370" s="111">
        <f>IF(K370="","⚪",IF(K370&gt;1.2,"🔴",IF(K370&gt;1.1,"🟡","🟢")))</f>
        <v/>
      </c>
      <c r="N370" s="105" t="n"/>
      <c r="O370" s="106" t="n">
        <v>1.2</v>
      </c>
      <c r="P370" s="107" t="n"/>
      <c r="Q370" s="108">
        <f>IF(P370="","",O370*P370)</f>
        <v/>
      </c>
      <c r="R370" s="243">
        <f>IF(Q370="","",N370-Q370)</f>
        <v/>
      </c>
      <c r="S370" s="110">
        <f>IF(OR(Q370="",N370=0),"",Q370/N370)</f>
        <v/>
      </c>
      <c r="T370" s="111">
        <f>IF(S370="","⚪",IF(S370&gt;1.2,"🔴",IF(S370&gt;1.1,"🟡","🟢")))</f>
        <v/>
      </c>
      <c r="V370" s="105" t="n"/>
      <c r="W370" s="106" t="n">
        <v>1.2</v>
      </c>
      <c r="X370" s="107" t="n"/>
      <c r="Y370" s="108">
        <f>IF(X370="","",W370*X370)</f>
        <v/>
      </c>
      <c r="Z370" s="243">
        <f>IF(Y370="","",V370-Y370)</f>
        <v/>
      </c>
      <c r="AA370" s="110">
        <f>IF(OR(Y370="",V370=0),"",Y370/V370)</f>
        <v/>
      </c>
      <c r="AB370" s="111">
        <f>IF(AA370="","⚪",IF(AA370&gt;1.2,"🔴",IF(AA370&gt;1.1,"🟡","🟢")))</f>
        <v/>
      </c>
      <c r="AD370" s="105" t="n"/>
      <c r="AE370" s="106" t="n">
        <v>1.2</v>
      </c>
      <c r="AF370" s="107" t="n"/>
      <c r="AG370" s="108">
        <f>IF(AF370="","",AE370*AF370)</f>
        <v/>
      </c>
      <c r="AH370" s="243">
        <f>IF(AG370="","",AD370-AG370)</f>
        <v/>
      </c>
      <c r="AI370" s="110">
        <f>IF(OR(AG370="",AD370=0),"",AG370/AD370)</f>
        <v/>
      </c>
      <c r="AJ370" s="111">
        <f>IF(AI370="","⚪",IF(AI370&gt;1.2,"🔴",IF(AI370&gt;1.1,"🟡","🟢")))</f>
        <v/>
      </c>
    </row>
    <row r="371" ht="14" customHeight="1" s="176">
      <c r="A371" s="103" t="inlineStr">
        <is>
          <t>Santa Catalina</t>
        </is>
      </c>
      <c r="B371" s="104" t="inlineStr">
        <is>
          <t>mant eureka 2,5 ha</t>
        </is>
      </c>
      <c r="C371" s="104" t="inlineStr">
        <is>
          <t>1- M.O. directa</t>
        </is>
      </c>
      <c r="D371" s="104" t="inlineStr">
        <is>
          <t>2- Supervisor cosecha</t>
        </is>
      </c>
      <c r="E371" s="104" t="inlineStr">
        <is>
          <t>día</t>
        </is>
      </c>
      <c r="F371" s="105" t="inlineStr">
        <is>
          <t>kg</t>
        </is>
      </c>
      <c r="G371" s="106" t="n">
        <v>7</v>
      </c>
      <c r="H371" s="107" t="n"/>
      <c r="I371" s="108">
        <f>IF(H371="","",G371*H371)</f>
        <v/>
      </c>
      <c r="J371" s="243">
        <f>IF(I371="","",F371-I371)</f>
        <v/>
      </c>
      <c r="K371" s="110">
        <f>IF(OR(I371="",F371=0),"",I371/F371)</f>
        <v/>
      </c>
      <c r="L371" s="111">
        <f>IF(K371="","⚪",IF(K371&gt;1.2,"🔴",IF(K371&gt;1.1,"🟡","🟢")))</f>
        <v/>
      </c>
      <c r="N371" s="105" t="n"/>
      <c r="O371" s="106" t="n">
        <v>7</v>
      </c>
      <c r="P371" s="107" t="n"/>
      <c r="Q371" s="108">
        <f>IF(P371="","",O371*P371)</f>
        <v/>
      </c>
      <c r="R371" s="243">
        <f>IF(Q371="","",N371-Q371)</f>
        <v/>
      </c>
      <c r="S371" s="110">
        <f>IF(OR(Q371="",N371=0),"",Q371/N371)</f>
        <v/>
      </c>
      <c r="T371" s="111">
        <f>IF(S371="","⚪",IF(S371&gt;1.2,"🔴",IF(S371&gt;1.1,"🟡","🟢")))</f>
        <v/>
      </c>
      <c r="V371" s="105" t="n"/>
      <c r="W371" s="106" t="n">
        <v>7</v>
      </c>
      <c r="X371" s="107" t="n"/>
      <c r="Y371" s="108">
        <f>IF(X371="","",W371*X371)</f>
        <v/>
      </c>
      <c r="Z371" s="243">
        <f>IF(Y371="","",V371-Y371)</f>
        <v/>
      </c>
      <c r="AA371" s="110">
        <f>IF(OR(Y371="",V371=0),"",Y371/V371)</f>
        <v/>
      </c>
      <c r="AB371" s="111">
        <f>IF(AA371="","⚪",IF(AA371&gt;1.2,"🔴",IF(AA371&gt;1.1,"🟡","🟢")))</f>
        <v/>
      </c>
      <c r="AD371" s="105" t="n"/>
      <c r="AE371" s="106" t="n">
        <v>7</v>
      </c>
      <c r="AF371" s="107" t="n"/>
      <c r="AG371" s="108">
        <f>IF(AF371="","",AE371*AF371)</f>
        <v/>
      </c>
      <c r="AH371" s="243">
        <f>IF(AG371="","",AD371-AG371)</f>
        <v/>
      </c>
      <c r="AI371" s="110">
        <f>IF(OR(AG371="",AD371=0),"",AG371/AD371)</f>
        <v/>
      </c>
      <c r="AJ371" s="111">
        <f>IF(AI371="","⚪",IF(AI371&gt;1.2,"🔴",IF(AI371&gt;1.1,"🟡","🟢")))</f>
        <v/>
      </c>
    </row>
    <row r="372" ht="14" customHeight="1" s="176">
      <c r="A372" s="112" t="inlineStr">
        <is>
          <t>Santa Catalina</t>
        </is>
      </c>
      <c r="B372" s="113" t="inlineStr">
        <is>
          <t>mant eureka 2,5 ha</t>
        </is>
      </c>
      <c r="C372" s="113" t="inlineStr">
        <is>
          <t>1- M.O. directa</t>
        </is>
      </c>
      <c r="D372" s="113" t="inlineStr">
        <is>
          <t>3- Selección</t>
        </is>
      </c>
      <c r="E372" s="113" t="inlineStr">
        <is>
          <t>trato</t>
        </is>
      </c>
      <c r="F372" s="105" t="inlineStr">
        <is>
          <t>kg</t>
        </is>
      </c>
      <c r="G372" s="106" t="n">
        <v>18</v>
      </c>
      <c r="H372" s="107" t="n"/>
      <c r="I372" s="108">
        <f>IF(H372="","",G372*H372)</f>
        <v/>
      </c>
      <c r="J372" s="243">
        <f>IF(I372="","",F372-I372)</f>
        <v/>
      </c>
      <c r="K372" s="110">
        <f>IF(OR(I372="",F372=0),"",I372/F372)</f>
        <v/>
      </c>
      <c r="L372" s="111">
        <f>IF(K372="","⚪",IF(K372&gt;1.2,"🔴",IF(K372&gt;1.1,"🟡","🟢")))</f>
        <v/>
      </c>
      <c r="N372" s="105" t="n"/>
      <c r="O372" s="106" t="n">
        <v>18</v>
      </c>
      <c r="P372" s="107" t="n"/>
      <c r="Q372" s="108">
        <f>IF(P372="","",O372*P372)</f>
        <v/>
      </c>
      <c r="R372" s="243">
        <f>IF(Q372="","",N372-Q372)</f>
        <v/>
      </c>
      <c r="S372" s="110">
        <f>IF(OR(Q372="",N372=0),"",Q372/N372)</f>
        <v/>
      </c>
      <c r="T372" s="111">
        <f>IF(S372="","⚪",IF(S372&gt;1.2,"🔴",IF(S372&gt;1.1,"🟡","🟢")))</f>
        <v/>
      </c>
      <c r="V372" s="105" t="n"/>
      <c r="W372" s="106" t="n">
        <v>18</v>
      </c>
      <c r="X372" s="107" t="n"/>
      <c r="Y372" s="108">
        <f>IF(X372="","",W372*X372)</f>
        <v/>
      </c>
      <c r="Z372" s="243">
        <f>IF(Y372="","",V372-Y372)</f>
        <v/>
      </c>
      <c r="AA372" s="110">
        <f>IF(OR(Y372="",V372=0),"",Y372/V372)</f>
        <v/>
      </c>
      <c r="AB372" s="111">
        <f>IF(AA372="","⚪",IF(AA372&gt;1.2,"🔴",IF(AA372&gt;1.1,"🟡","🟢")))</f>
        <v/>
      </c>
      <c r="AD372" s="105" t="n"/>
      <c r="AE372" s="106" t="n">
        <v>18</v>
      </c>
      <c r="AF372" s="107" t="n"/>
      <c r="AG372" s="108">
        <f>IF(AF372="","",AE372*AF372)</f>
        <v/>
      </c>
      <c r="AH372" s="243">
        <f>IF(AG372="","",AD372-AG372)</f>
        <v/>
      </c>
      <c r="AI372" s="110">
        <f>IF(OR(AG372="",AD372=0),"",AG372/AD372)</f>
        <v/>
      </c>
      <c r="AJ372" s="111">
        <f>IF(AI372="","⚪",IF(AI372&gt;1.2,"🔴",IF(AI372&gt;1.1,"🟡","🟢")))</f>
        <v/>
      </c>
    </row>
    <row r="373" ht="14" customHeight="1" s="176">
      <c r="A373" s="103" t="inlineStr">
        <is>
          <t>Santa Catalina</t>
        </is>
      </c>
      <c r="B373" s="104" t="inlineStr">
        <is>
          <t>mant eureka 2,5 ha</t>
        </is>
      </c>
      <c r="C373" s="104" t="inlineStr">
        <is>
          <t>1- M.O. directa</t>
        </is>
      </c>
      <c r="D373" s="104" t="inlineStr">
        <is>
          <t>3- Tractorista cosecha</t>
        </is>
      </c>
      <c r="E373" s="104" t="inlineStr">
        <is>
          <t>día</t>
        </is>
      </c>
      <c r="F373" s="105" t="inlineStr">
        <is>
          <t>kg</t>
        </is>
      </c>
      <c r="G373" s="106" t="n">
        <v>3</v>
      </c>
      <c r="H373" s="107" t="n"/>
      <c r="I373" s="108">
        <f>IF(H373="","",G373*H373)</f>
        <v/>
      </c>
      <c r="J373" s="243">
        <f>IF(I373="","",F373-I373)</f>
        <v/>
      </c>
      <c r="K373" s="110">
        <f>IF(OR(I373="",F373=0),"",I373/F373)</f>
        <v/>
      </c>
      <c r="L373" s="111">
        <f>IF(K373="","⚪",IF(K373&gt;1.2,"🔴",IF(K373&gt;1.1,"🟡","🟢")))</f>
        <v/>
      </c>
      <c r="N373" s="105" t="n"/>
      <c r="O373" s="106" t="n">
        <v>3</v>
      </c>
      <c r="P373" s="107" t="n"/>
      <c r="Q373" s="108">
        <f>IF(P373="","",O373*P373)</f>
        <v/>
      </c>
      <c r="R373" s="243">
        <f>IF(Q373="","",N373-Q373)</f>
        <v/>
      </c>
      <c r="S373" s="110">
        <f>IF(OR(Q373="",N373=0),"",Q373/N373)</f>
        <v/>
      </c>
      <c r="T373" s="111">
        <f>IF(S373="","⚪",IF(S373&gt;1.2,"🔴",IF(S373&gt;1.1,"🟡","🟢")))</f>
        <v/>
      </c>
      <c r="V373" s="105" t="n"/>
      <c r="W373" s="106" t="n">
        <v>3</v>
      </c>
      <c r="X373" s="107" t="n"/>
      <c r="Y373" s="108">
        <f>IF(X373="","",W373*X373)</f>
        <v/>
      </c>
      <c r="Z373" s="243">
        <f>IF(Y373="","",V373-Y373)</f>
        <v/>
      </c>
      <c r="AA373" s="110">
        <f>IF(OR(Y373="",V373=0),"",Y373/V373)</f>
        <v/>
      </c>
      <c r="AB373" s="111">
        <f>IF(AA373="","⚪",IF(AA373&gt;1.2,"🔴",IF(AA373&gt;1.1,"🟡","🟢")))</f>
        <v/>
      </c>
      <c r="AD373" s="105" t="n"/>
      <c r="AE373" s="106" t="n">
        <v>3</v>
      </c>
      <c r="AF373" s="107" t="n"/>
      <c r="AG373" s="108">
        <f>IF(AF373="","",AE373*AF373)</f>
        <v/>
      </c>
      <c r="AH373" s="243">
        <f>IF(AG373="","",AD373-AG373)</f>
        <v/>
      </c>
      <c r="AI373" s="110">
        <f>IF(OR(AG373="",AD373=0),"",AG373/AD373)</f>
        <v/>
      </c>
      <c r="AJ373" s="111">
        <f>IF(AI373="","⚪",IF(AI373&gt;1.2,"🔴",IF(AI373&gt;1.1,"🟡","🟢")))</f>
        <v/>
      </c>
    </row>
    <row r="374" ht="14" customHeight="1" s="176">
      <c r="A374" s="112" t="inlineStr">
        <is>
          <t>Santa Catalina</t>
        </is>
      </c>
      <c r="B374" s="113" t="inlineStr">
        <is>
          <t>mant eureka 2,5 ha</t>
        </is>
      </c>
      <c r="C374" s="113" t="inlineStr">
        <is>
          <t>1- M.O. directa</t>
        </is>
      </c>
      <c r="D374" s="113" t="inlineStr">
        <is>
          <t>4- Grua</t>
        </is>
      </c>
      <c r="E374" s="113" t="inlineStr">
        <is>
          <t>día</t>
        </is>
      </c>
      <c r="F374" s="105" t="inlineStr">
        <is>
          <t>kg</t>
        </is>
      </c>
      <c r="G374" s="106" t="n">
        <v>1.5</v>
      </c>
      <c r="H374" s="107" t="n"/>
      <c r="I374" s="108">
        <f>IF(H374="","",G374*H374)</f>
        <v/>
      </c>
      <c r="J374" s="243">
        <f>IF(I374="","",F374-I374)</f>
        <v/>
      </c>
      <c r="K374" s="110">
        <f>IF(OR(I374="",F374=0),"",I374/F374)</f>
        <v/>
      </c>
      <c r="L374" s="111">
        <f>IF(K374="","⚪",IF(K374&gt;1.2,"🔴",IF(K374&gt;1.1,"🟡","🟢")))</f>
        <v/>
      </c>
      <c r="N374" s="105" t="n"/>
      <c r="O374" s="106" t="n">
        <v>1.5</v>
      </c>
      <c r="P374" s="107" t="n"/>
      <c r="Q374" s="108">
        <f>IF(P374="","",O374*P374)</f>
        <v/>
      </c>
      <c r="R374" s="243">
        <f>IF(Q374="","",N374-Q374)</f>
        <v/>
      </c>
      <c r="S374" s="110">
        <f>IF(OR(Q374="",N374=0),"",Q374/N374)</f>
        <v/>
      </c>
      <c r="T374" s="111">
        <f>IF(S374="","⚪",IF(S374&gt;1.2,"🔴",IF(S374&gt;1.1,"🟡","🟢")))</f>
        <v/>
      </c>
      <c r="V374" s="105" t="n"/>
      <c r="W374" s="106" t="n">
        <v>1.5</v>
      </c>
      <c r="X374" s="107" t="n"/>
      <c r="Y374" s="108">
        <f>IF(X374="","",W374*X374)</f>
        <v/>
      </c>
      <c r="Z374" s="243">
        <f>IF(Y374="","",V374-Y374)</f>
        <v/>
      </c>
      <c r="AA374" s="110">
        <f>IF(OR(Y374="",V374=0),"",Y374/V374)</f>
        <v/>
      </c>
      <c r="AB374" s="111">
        <f>IF(AA374="","⚪",IF(AA374&gt;1.2,"🔴",IF(AA374&gt;1.1,"🟡","🟢")))</f>
        <v/>
      </c>
      <c r="AD374" s="105" t="n"/>
      <c r="AE374" s="106" t="n">
        <v>1.5</v>
      </c>
      <c r="AF374" s="107" t="n"/>
      <c r="AG374" s="108">
        <f>IF(AF374="","",AE374*AF374)</f>
        <v/>
      </c>
      <c r="AH374" s="243">
        <f>IF(AG374="","",AD374-AG374)</f>
        <v/>
      </c>
      <c r="AI374" s="110">
        <f>IF(OR(AG374="",AD374=0),"",AG374/AD374)</f>
        <v/>
      </c>
      <c r="AJ374" s="111">
        <f>IF(AI374="","⚪",IF(AI374&gt;1.2,"🔴",IF(AI374&gt;1.1,"🟡","🟢")))</f>
        <v/>
      </c>
    </row>
    <row r="375" ht="14" customHeight="1" s="176">
      <c r="A375" s="103" t="inlineStr">
        <is>
          <t>Santa Catalina</t>
        </is>
      </c>
      <c r="B375" s="104" t="inlineStr">
        <is>
          <t>mant eureka 2,5 ha</t>
        </is>
      </c>
      <c r="C375" s="104" t="inlineStr">
        <is>
          <t>1- M.O. directa</t>
        </is>
      </c>
      <c r="D375" s="104" t="inlineStr">
        <is>
          <t>5- Control de malezas mecánico</t>
        </is>
      </c>
      <c r="E375" s="104" t="inlineStr">
        <is>
          <t>trato</t>
        </is>
      </c>
      <c r="F375" s="105" t="n">
        <v>10425</v>
      </c>
      <c r="G375" s="106" t="n">
        <v>100</v>
      </c>
      <c r="H375" s="107" t="n"/>
      <c r="I375" s="108">
        <f>IF(H375="","",G375*H375)</f>
        <v/>
      </c>
      <c r="J375" s="243">
        <f>IF(I375="","",F375-I375)</f>
        <v/>
      </c>
      <c r="K375" s="110">
        <f>IF(OR(I375="",F375=0),"",I375/F375)</f>
        <v/>
      </c>
      <c r="L375" s="111">
        <f>IF(K375="","⚪",IF(K375&gt;1.2,"🔴",IF(K375&gt;1.1,"🟡","🟢")))</f>
        <v/>
      </c>
      <c r="N375" s="105" t="n">
        <v>10425</v>
      </c>
      <c r="O375" s="106" t="n">
        <v>100</v>
      </c>
      <c r="P375" s="107" t="n"/>
      <c r="Q375" s="108">
        <f>IF(P375="","",O375*P375)</f>
        <v/>
      </c>
      <c r="R375" s="243">
        <f>IF(Q375="","",N375-Q375)</f>
        <v/>
      </c>
      <c r="S375" s="110">
        <f>IF(OR(Q375="",N375=0),"",Q375/N375)</f>
        <v/>
      </c>
      <c r="T375" s="111">
        <f>IF(S375="","⚪",IF(S375&gt;1.2,"🔴",IF(S375&gt;1.1,"🟡","🟢")))</f>
        <v/>
      </c>
      <c r="V375" s="105" t="n">
        <v>10425</v>
      </c>
      <c r="W375" s="106" t="n">
        <v>100</v>
      </c>
      <c r="X375" s="107" t="n"/>
      <c r="Y375" s="108">
        <f>IF(X375="","",W375*X375)</f>
        <v/>
      </c>
      <c r="Z375" s="243">
        <f>IF(Y375="","",V375-Y375)</f>
        <v/>
      </c>
      <c r="AA375" s="110">
        <f>IF(OR(Y375="",V375=0),"",Y375/V375)</f>
        <v/>
      </c>
      <c r="AB375" s="111">
        <f>IF(AA375="","⚪",IF(AA375&gt;1.2,"🔴",IF(AA375&gt;1.1,"🟡","🟢")))</f>
        <v/>
      </c>
      <c r="AD375" s="105" t="n">
        <v>10425</v>
      </c>
      <c r="AE375" s="106" t="n">
        <v>100</v>
      </c>
      <c r="AF375" s="107" t="n"/>
      <c r="AG375" s="108">
        <f>IF(AF375="","",AE375*AF375)</f>
        <v/>
      </c>
      <c r="AH375" s="243">
        <f>IF(AG375="","",AD375-AG375)</f>
        <v/>
      </c>
      <c r="AI375" s="110">
        <f>IF(OR(AG375="",AD375=0),"",AG375/AD375)</f>
        <v/>
      </c>
      <c r="AJ375" s="111">
        <f>IF(AI375="","⚪",IF(AI375&gt;1.2,"🔴",IF(AI375&gt;1.1,"🟡","🟢")))</f>
        <v/>
      </c>
    </row>
    <row r="376" ht="14" customHeight="1" s="176">
      <c r="A376" s="112" t="inlineStr">
        <is>
          <t>Santa Catalina</t>
        </is>
      </c>
      <c r="B376" s="113" t="inlineStr">
        <is>
          <t>mant eureka 2,5 ha</t>
        </is>
      </c>
      <c r="C376" s="113" t="inlineStr">
        <is>
          <t>1- M.O. directa</t>
        </is>
      </c>
      <c r="D376" s="113" t="inlineStr">
        <is>
          <t>6- Control de malezas químico</t>
        </is>
      </c>
      <c r="E376" s="113" t="inlineStr">
        <is>
          <t>día</t>
        </is>
      </c>
      <c r="F376" s="105" t="n">
        <v>27187.5</v>
      </c>
      <c r="G376" s="106" t="n">
        <v>43500</v>
      </c>
      <c r="H376" s="107" t="n"/>
      <c r="I376" s="108">
        <f>IF(H376="","",G376*H376)</f>
        <v/>
      </c>
      <c r="J376" s="243">
        <f>IF(I376="","",F376-I376)</f>
        <v/>
      </c>
      <c r="K376" s="110">
        <f>IF(OR(I376="",F376=0),"",I376/F376)</f>
        <v/>
      </c>
      <c r="L376" s="111">
        <f>IF(K376="","⚪",IF(K376&gt;1.2,"🔴",IF(K376&gt;1.1,"🟡","🟢")))</f>
        <v/>
      </c>
      <c r="N376" s="105" t="n">
        <v>27187.5</v>
      </c>
      <c r="O376" s="106" t="n">
        <v>43500</v>
      </c>
      <c r="P376" s="107" t="n"/>
      <c r="Q376" s="108">
        <f>IF(P376="","",O376*P376)</f>
        <v/>
      </c>
      <c r="R376" s="243">
        <f>IF(Q376="","",N376-Q376)</f>
        <v/>
      </c>
      <c r="S376" s="110">
        <f>IF(OR(Q376="",N376=0),"",Q376/N376)</f>
        <v/>
      </c>
      <c r="T376" s="111">
        <f>IF(S376="","⚪",IF(S376&gt;1.2,"🔴",IF(S376&gt;1.1,"🟡","🟢")))</f>
        <v/>
      </c>
      <c r="V376" s="105" t="n">
        <v>27187.5</v>
      </c>
      <c r="W376" s="106" t="n">
        <v>43500</v>
      </c>
      <c r="X376" s="107" t="n"/>
      <c r="Y376" s="108">
        <f>IF(X376="","",W376*X376)</f>
        <v/>
      </c>
      <c r="Z376" s="243">
        <f>IF(Y376="","",V376-Y376)</f>
        <v/>
      </c>
      <c r="AA376" s="110">
        <f>IF(OR(Y376="",V376=0),"",Y376/V376)</f>
        <v/>
      </c>
      <c r="AB376" s="111">
        <f>IF(AA376="","⚪",IF(AA376&gt;1.2,"🔴",IF(AA376&gt;1.1,"🟡","🟢")))</f>
        <v/>
      </c>
      <c r="AD376" s="105" t="n">
        <v>27187.5</v>
      </c>
      <c r="AE376" s="106" t="n">
        <v>43500</v>
      </c>
      <c r="AF376" s="107" t="n"/>
      <c r="AG376" s="108">
        <f>IF(AF376="","",AE376*AF376)</f>
        <v/>
      </c>
      <c r="AH376" s="243">
        <f>IF(AG376="","",AD376-AG376)</f>
        <v/>
      </c>
      <c r="AI376" s="110">
        <f>IF(OR(AG376="",AD376=0),"",AG376/AD376)</f>
        <v/>
      </c>
      <c r="AJ376" s="111">
        <f>IF(AI376="","⚪",IF(AI376&gt;1.2,"🔴",IF(AI376&gt;1.1,"🟡","🟢")))</f>
        <v/>
      </c>
    </row>
    <row r="377" ht="14" customHeight="1" s="176">
      <c r="A377" s="103" t="inlineStr">
        <is>
          <t>Santa Catalina</t>
        </is>
      </c>
      <c r="B377" s="104" t="inlineStr">
        <is>
          <t>mant eureka 2,5 ha</t>
        </is>
      </c>
      <c r="C377" s="104" t="inlineStr">
        <is>
          <t>1- M.O. directa</t>
        </is>
      </c>
      <c r="D377" s="104" t="inlineStr">
        <is>
          <t>7,1- TRACTORISTA</t>
        </is>
      </c>
      <c r="E377" s="104" t="inlineStr">
        <is>
          <t>día</t>
        </is>
      </c>
      <c r="F377" s="105" t="n">
        <v>47481</v>
      </c>
      <c r="G377" s="106" t="n">
        <v>38000</v>
      </c>
      <c r="H377" s="107" t="n"/>
      <c r="I377" s="108">
        <f>IF(H377="","",G377*H377)</f>
        <v/>
      </c>
      <c r="J377" s="243">
        <f>IF(I377="","",F377-I377)</f>
        <v/>
      </c>
      <c r="K377" s="110">
        <f>IF(OR(I377="",F377=0),"",I377/F377)</f>
        <v/>
      </c>
      <c r="L377" s="111">
        <f>IF(K377="","⚪",IF(K377&gt;1.2,"🔴",IF(K377&gt;1.1,"🟡","🟢")))</f>
        <v/>
      </c>
      <c r="N377" s="105" t="n">
        <v>47481</v>
      </c>
      <c r="O377" s="106" t="n">
        <v>38000</v>
      </c>
      <c r="P377" s="107" t="n"/>
      <c r="Q377" s="108">
        <f>IF(P377="","",O377*P377)</f>
        <v/>
      </c>
      <c r="R377" s="243">
        <f>IF(Q377="","",N377-Q377)</f>
        <v/>
      </c>
      <c r="S377" s="110">
        <f>IF(OR(Q377="",N377=0),"",Q377/N377)</f>
        <v/>
      </c>
      <c r="T377" s="111">
        <f>IF(S377="","⚪",IF(S377&gt;1.2,"🔴",IF(S377&gt;1.1,"🟡","🟢")))</f>
        <v/>
      </c>
      <c r="V377" s="105" t="n">
        <v>47481</v>
      </c>
      <c r="W377" s="106" t="n">
        <v>38000</v>
      </c>
      <c r="X377" s="107" t="n"/>
      <c r="Y377" s="108">
        <f>IF(X377="","",W377*X377)</f>
        <v/>
      </c>
      <c r="Z377" s="243">
        <f>IF(Y377="","",V377-Y377)</f>
        <v/>
      </c>
      <c r="AA377" s="110">
        <f>IF(OR(Y377="",V377=0),"",Y377/V377)</f>
        <v/>
      </c>
      <c r="AB377" s="111">
        <f>IF(AA377="","⚪",IF(AA377&gt;1.2,"🔴",IF(AA377&gt;1.1,"🟡","🟢")))</f>
        <v/>
      </c>
      <c r="AD377" s="105" t="n">
        <v>47481</v>
      </c>
      <c r="AE377" s="106" t="n">
        <v>38000</v>
      </c>
      <c r="AF377" s="107" t="n"/>
      <c r="AG377" s="108">
        <f>IF(AF377="","",AE377*AF377)</f>
        <v/>
      </c>
      <c r="AH377" s="243">
        <f>IF(AG377="","",AD377-AG377)</f>
        <v/>
      </c>
      <c r="AI377" s="110">
        <f>IF(OR(AG377="",AD377=0),"",AG377/AD377)</f>
        <v/>
      </c>
      <c r="AJ377" s="111">
        <f>IF(AI377="","⚪",IF(AI377&gt;1.2,"🔴",IF(AI377&gt;1.1,"🟡","🟢")))</f>
        <v/>
      </c>
    </row>
    <row r="378" ht="14" customHeight="1" s="176">
      <c r="A378" s="112" t="inlineStr">
        <is>
          <t>Santa Catalina</t>
        </is>
      </c>
      <c r="B378" s="113" t="inlineStr">
        <is>
          <t>mant eureka 2,5 ha</t>
        </is>
      </c>
      <c r="C378" s="113" t="inlineStr">
        <is>
          <t>1- M.O. directa</t>
        </is>
      </c>
      <c r="D378" s="113" t="inlineStr">
        <is>
          <t>7- Acordonar sarmiento</t>
        </is>
      </c>
      <c r="E378" s="113" t="inlineStr">
        <is>
          <t>trato</t>
        </is>
      </c>
      <c r="F378" s="105" t="n">
        <v>3648.75</v>
      </c>
      <c r="G378" s="106" t="n">
        <v>70</v>
      </c>
      <c r="H378" s="107" t="n"/>
      <c r="I378" s="108">
        <f>IF(H378="","",G378*H378)</f>
        <v/>
      </c>
      <c r="J378" s="243">
        <f>IF(I378="","",F378-I378)</f>
        <v/>
      </c>
      <c r="K378" s="110">
        <f>IF(OR(I378="",F378=0),"",I378/F378)</f>
        <v/>
      </c>
      <c r="L378" s="111">
        <f>IF(K378="","⚪",IF(K378&gt;1.2,"🔴",IF(K378&gt;1.1,"🟡","🟢")))</f>
        <v/>
      </c>
      <c r="N378" s="105" t="n">
        <v>3648.75</v>
      </c>
      <c r="O378" s="106" t="n">
        <v>70</v>
      </c>
      <c r="P378" s="107" t="n"/>
      <c r="Q378" s="108">
        <f>IF(P378="","",O378*P378)</f>
        <v/>
      </c>
      <c r="R378" s="243">
        <f>IF(Q378="","",N378-Q378)</f>
        <v/>
      </c>
      <c r="S378" s="110">
        <f>IF(OR(Q378="",N378=0),"",Q378/N378)</f>
        <v/>
      </c>
      <c r="T378" s="111">
        <f>IF(S378="","⚪",IF(S378&gt;1.2,"🔴",IF(S378&gt;1.1,"🟡","🟢")))</f>
        <v/>
      </c>
      <c r="V378" s="105" t="n">
        <v>3648.75</v>
      </c>
      <c r="W378" s="106" t="n">
        <v>70</v>
      </c>
      <c r="X378" s="107" t="n"/>
      <c r="Y378" s="108">
        <f>IF(X378="","",W378*X378)</f>
        <v/>
      </c>
      <c r="Z378" s="243">
        <f>IF(Y378="","",V378-Y378)</f>
        <v/>
      </c>
      <c r="AA378" s="110">
        <f>IF(OR(Y378="",V378=0),"",Y378/V378)</f>
        <v/>
      </c>
      <c r="AB378" s="111">
        <f>IF(AA378="","⚪",IF(AA378&gt;1.2,"🔴",IF(AA378&gt;1.1,"🟡","🟢")))</f>
        <v/>
      </c>
      <c r="AD378" s="105" t="n">
        <v>3648.75</v>
      </c>
      <c r="AE378" s="106" t="n">
        <v>70</v>
      </c>
      <c r="AF378" s="107" t="n"/>
      <c r="AG378" s="108">
        <f>IF(AF378="","",AE378*AF378)</f>
        <v/>
      </c>
      <c r="AH378" s="243">
        <f>IF(AG378="","",AD378-AG378)</f>
        <v/>
      </c>
      <c r="AI378" s="110">
        <f>IF(OR(AG378="",AD378=0),"",AG378/AD378)</f>
        <v/>
      </c>
      <c r="AJ378" s="111">
        <f>IF(AI378="","⚪",IF(AI378&gt;1.2,"🔴",IF(AI378&gt;1.1,"🟡","🟢")))</f>
        <v/>
      </c>
    </row>
    <row r="379" ht="14" customHeight="1" s="176">
      <c r="A379" s="103" t="inlineStr">
        <is>
          <t>Santa Catalina</t>
        </is>
      </c>
      <c r="B379" s="104" t="inlineStr">
        <is>
          <t>mant eureka 2,5 ha</t>
        </is>
      </c>
      <c r="C379" s="104" t="inlineStr">
        <is>
          <t>2- M.O. indirecta</t>
        </is>
      </c>
      <c r="D379" s="104" t="inlineStr">
        <is>
          <t xml:space="preserve">1- ADM. GENERAL </t>
        </is>
      </c>
      <c r="E379" s="104" t="inlineStr">
        <is>
          <t>día</t>
        </is>
      </c>
      <c r="F379" s="105" t="n">
        <v>83216.7</v>
      </c>
      <c r="G379" s="106" t="n">
        <v>66600</v>
      </c>
      <c r="H379" s="107" t="n"/>
      <c r="I379" s="108">
        <f>IF(H379="","",G379*H379)</f>
        <v/>
      </c>
      <c r="J379" s="243">
        <f>IF(I379="","",F379-I379)</f>
        <v/>
      </c>
      <c r="K379" s="110">
        <f>IF(OR(I379="",F379=0),"",I379/F379)</f>
        <v/>
      </c>
      <c r="L379" s="111">
        <f>IF(K379="","⚪",IF(K379&gt;1.2,"🔴",IF(K379&gt;1.1,"🟡","🟢")))</f>
        <v/>
      </c>
      <c r="N379" s="105" t="n">
        <v>83216.7</v>
      </c>
      <c r="O379" s="106" t="n">
        <v>66600</v>
      </c>
      <c r="P379" s="107" t="n"/>
      <c r="Q379" s="108">
        <f>IF(P379="","",O379*P379)</f>
        <v/>
      </c>
      <c r="R379" s="243">
        <f>IF(Q379="","",N379-Q379)</f>
        <v/>
      </c>
      <c r="S379" s="110">
        <f>IF(OR(Q379="",N379=0),"",Q379/N379)</f>
        <v/>
      </c>
      <c r="T379" s="111">
        <f>IF(S379="","⚪",IF(S379&gt;1.2,"🔴",IF(S379&gt;1.1,"🟡","🟢")))</f>
        <v/>
      </c>
      <c r="V379" s="105" t="n">
        <v>83216.7</v>
      </c>
      <c r="W379" s="106" t="n">
        <v>66600</v>
      </c>
      <c r="X379" s="107" t="n"/>
      <c r="Y379" s="108">
        <f>IF(X379="","",W379*X379)</f>
        <v/>
      </c>
      <c r="Z379" s="243">
        <f>IF(Y379="","",V379-Y379)</f>
        <v/>
      </c>
      <c r="AA379" s="110">
        <f>IF(OR(Y379="",V379=0),"",Y379/V379)</f>
        <v/>
      </c>
      <c r="AB379" s="111">
        <f>IF(AA379="","⚪",IF(AA379&gt;1.2,"🔴",IF(AA379&gt;1.1,"🟡","🟢")))</f>
        <v/>
      </c>
      <c r="AD379" s="105" t="n">
        <v>83216.7</v>
      </c>
      <c r="AE379" s="106" t="n">
        <v>66600</v>
      </c>
      <c r="AF379" s="107" t="n"/>
      <c r="AG379" s="108">
        <f>IF(AF379="","",AE379*AF379)</f>
        <v/>
      </c>
      <c r="AH379" s="243">
        <f>IF(AG379="","",AD379-AG379)</f>
        <v/>
      </c>
      <c r="AI379" s="110">
        <f>IF(OR(AG379="",AD379=0),"",AG379/AD379)</f>
        <v/>
      </c>
      <c r="AJ379" s="111">
        <f>IF(AI379="","⚪",IF(AI379&gt;1.2,"🔴",IF(AI379&gt;1.1,"🟡","🟢")))</f>
        <v/>
      </c>
    </row>
    <row r="380" ht="14" customHeight="1" s="176">
      <c r="A380" s="112" t="inlineStr">
        <is>
          <t>Santa Catalina</t>
        </is>
      </c>
      <c r="B380" s="113" t="inlineStr">
        <is>
          <t>mant eureka 2,5 ha</t>
        </is>
      </c>
      <c r="C380" s="113" t="inlineStr">
        <is>
          <t>2- M.O. indirecta</t>
        </is>
      </c>
      <c r="D380" s="113" t="inlineStr">
        <is>
          <t>2,1- JEFE DE CAMPO</t>
        </is>
      </c>
      <c r="E380" s="113" t="inlineStr">
        <is>
          <t>día</t>
        </is>
      </c>
      <c r="F380" s="105" t="n">
        <v>36829.0125</v>
      </c>
      <c r="G380" s="106" t="n">
        <v>29475</v>
      </c>
      <c r="H380" s="107" t="n"/>
      <c r="I380" s="108">
        <f>IF(H380="","",G380*H380)</f>
        <v/>
      </c>
      <c r="J380" s="243">
        <f>IF(I380="","",F380-I380)</f>
        <v/>
      </c>
      <c r="K380" s="110">
        <f>IF(OR(I380="",F380=0),"",I380/F380)</f>
        <v/>
      </c>
      <c r="L380" s="111">
        <f>IF(K380="","⚪",IF(K380&gt;1.2,"🔴",IF(K380&gt;1.1,"🟡","🟢")))</f>
        <v/>
      </c>
      <c r="N380" s="105" t="n">
        <v>36829.0125</v>
      </c>
      <c r="O380" s="106" t="n">
        <v>29475</v>
      </c>
      <c r="P380" s="107" t="n"/>
      <c r="Q380" s="108">
        <f>IF(P380="","",O380*P380)</f>
        <v/>
      </c>
      <c r="R380" s="243">
        <f>IF(Q380="","",N380-Q380)</f>
        <v/>
      </c>
      <c r="S380" s="110">
        <f>IF(OR(Q380="",N380=0),"",Q380/N380)</f>
        <v/>
      </c>
      <c r="T380" s="111">
        <f>IF(S380="","⚪",IF(S380&gt;1.2,"🔴",IF(S380&gt;1.1,"🟡","🟢")))</f>
        <v/>
      </c>
      <c r="V380" s="105" t="n">
        <v>36829.0125</v>
      </c>
      <c r="W380" s="106" t="n">
        <v>29475</v>
      </c>
      <c r="X380" s="107" t="n"/>
      <c r="Y380" s="108">
        <f>IF(X380="","",W380*X380)</f>
        <v/>
      </c>
      <c r="Z380" s="243">
        <f>IF(Y380="","",V380-Y380)</f>
        <v/>
      </c>
      <c r="AA380" s="110">
        <f>IF(OR(Y380="",V380=0),"",Y380/V380)</f>
        <v/>
      </c>
      <c r="AB380" s="111">
        <f>IF(AA380="","⚪",IF(AA380&gt;1.2,"🔴",IF(AA380&gt;1.1,"🟡","🟢")))</f>
        <v/>
      </c>
      <c r="AD380" s="105" t="n">
        <v>36829.0125</v>
      </c>
      <c r="AE380" s="106" t="n">
        <v>29475</v>
      </c>
      <c r="AF380" s="107" t="n"/>
      <c r="AG380" s="108">
        <f>IF(AF380="","",AE380*AF380)</f>
        <v/>
      </c>
      <c r="AH380" s="243">
        <f>IF(AG380="","",AD380-AG380)</f>
        <v/>
      </c>
      <c r="AI380" s="110">
        <f>IF(OR(AG380="",AD380=0),"",AG380/AD380)</f>
        <v/>
      </c>
      <c r="AJ380" s="111">
        <f>IF(AI380="","⚪",IF(AI380&gt;1.2,"🔴",IF(AI380&gt;1.1,"🟡","🟢")))</f>
        <v/>
      </c>
    </row>
    <row r="381" ht="14" customHeight="1" s="176">
      <c r="A381" s="103" t="inlineStr">
        <is>
          <t>Santa Catalina</t>
        </is>
      </c>
      <c r="B381" s="104" t="inlineStr">
        <is>
          <t>mant eureka 2,5 ha</t>
        </is>
      </c>
      <c r="C381" s="104" t="inlineStr">
        <is>
          <t>2- M.O. indirecta</t>
        </is>
      </c>
      <c r="D381" s="104" t="inlineStr">
        <is>
          <t>2- ADMINISTRACION</t>
        </is>
      </c>
      <c r="E381" s="104" t="inlineStr">
        <is>
          <t>día</t>
        </is>
      </c>
      <c r="F381" s="105" t="n">
        <v>10120.95</v>
      </c>
      <c r="G381" s="106" t="n">
        <v>8100</v>
      </c>
      <c r="H381" s="107" t="n"/>
      <c r="I381" s="108">
        <f>IF(H381="","",G381*H381)</f>
        <v/>
      </c>
      <c r="J381" s="243">
        <f>IF(I381="","",F381-I381)</f>
        <v/>
      </c>
      <c r="K381" s="110">
        <f>IF(OR(I381="",F381=0),"",I381/F381)</f>
        <v/>
      </c>
      <c r="L381" s="111">
        <f>IF(K381="","⚪",IF(K381&gt;1.2,"🔴",IF(K381&gt;1.1,"🟡","🟢")))</f>
        <v/>
      </c>
      <c r="N381" s="105" t="n">
        <v>10120.95</v>
      </c>
      <c r="O381" s="106" t="n">
        <v>8100</v>
      </c>
      <c r="P381" s="107" t="n"/>
      <c r="Q381" s="108">
        <f>IF(P381="","",O381*P381)</f>
        <v/>
      </c>
      <c r="R381" s="243">
        <f>IF(Q381="","",N381-Q381)</f>
        <v/>
      </c>
      <c r="S381" s="110">
        <f>IF(OR(Q381="",N381=0),"",Q381/N381)</f>
        <v/>
      </c>
      <c r="T381" s="111">
        <f>IF(S381="","⚪",IF(S381&gt;1.2,"🔴",IF(S381&gt;1.1,"🟡","🟢")))</f>
        <v/>
      </c>
      <c r="V381" s="105" t="n">
        <v>10120.95</v>
      </c>
      <c r="W381" s="106" t="n">
        <v>8100</v>
      </c>
      <c r="X381" s="107" t="n"/>
      <c r="Y381" s="108">
        <f>IF(X381="","",W381*X381)</f>
        <v/>
      </c>
      <c r="Z381" s="243">
        <f>IF(Y381="","",V381-Y381)</f>
        <v/>
      </c>
      <c r="AA381" s="110">
        <f>IF(OR(Y381="",V381=0),"",Y381/V381)</f>
        <v/>
      </c>
      <c r="AB381" s="111">
        <f>IF(AA381="","⚪",IF(AA381&gt;1.2,"🔴",IF(AA381&gt;1.1,"🟡","🟢")))</f>
        <v/>
      </c>
      <c r="AD381" s="105" t="n">
        <v>10120.95</v>
      </c>
      <c r="AE381" s="106" t="n">
        <v>8100</v>
      </c>
      <c r="AF381" s="107" t="n"/>
      <c r="AG381" s="108">
        <f>IF(AF381="","",AE381*AF381)</f>
        <v/>
      </c>
      <c r="AH381" s="243">
        <f>IF(AG381="","",AD381-AG381)</f>
        <v/>
      </c>
      <c r="AI381" s="110">
        <f>IF(OR(AG381="",AD381=0),"",AG381/AD381)</f>
        <v/>
      </c>
      <c r="AJ381" s="111">
        <f>IF(AI381="","⚪",IF(AI381&gt;1.2,"🔴",IF(AI381&gt;1.1,"🟡","🟢")))</f>
        <v/>
      </c>
    </row>
    <row r="382" ht="14" customHeight="1" s="176">
      <c r="A382" s="112" t="inlineStr">
        <is>
          <t>Santa Catalina</t>
        </is>
      </c>
      <c r="B382" s="113" t="inlineStr">
        <is>
          <t>mant eureka 2,5 ha</t>
        </is>
      </c>
      <c r="C382" s="113" t="inlineStr">
        <is>
          <t>2- M.O. indirecta</t>
        </is>
      </c>
      <c r="D382" s="113" t="inlineStr">
        <is>
          <t>3,1-  ENCARGADO DE RIEGO</t>
        </is>
      </c>
      <c r="E382" s="113" t="inlineStr">
        <is>
          <t>día</t>
        </is>
      </c>
      <c r="F382" s="105" t="n">
        <v>55750.295125</v>
      </c>
      <c r="G382" s="106" t="n">
        <v>44618.0833333333</v>
      </c>
      <c r="H382" s="107" t="n"/>
      <c r="I382" s="108">
        <f>IF(H382="","",G382*H382)</f>
        <v/>
      </c>
      <c r="J382" s="243">
        <f>IF(I382="","",F382-I382)</f>
        <v/>
      </c>
      <c r="K382" s="110">
        <f>IF(OR(I382="",F382=0),"",I382/F382)</f>
        <v/>
      </c>
      <c r="L382" s="111">
        <f>IF(K382="","⚪",IF(K382&gt;1.2,"🔴",IF(K382&gt;1.1,"🟡","🟢")))</f>
        <v/>
      </c>
      <c r="N382" s="105" t="n">
        <v>55750.295125</v>
      </c>
      <c r="O382" s="106" t="n">
        <v>44618.0833333333</v>
      </c>
      <c r="P382" s="107" t="n"/>
      <c r="Q382" s="108">
        <f>IF(P382="","",O382*P382)</f>
        <v/>
      </c>
      <c r="R382" s="243">
        <f>IF(Q382="","",N382-Q382)</f>
        <v/>
      </c>
      <c r="S382" s="110">
        <f>IF(OR(Q382="",N382=0),"",Q382/N382)</f>
        <v/>
      </c>
      <c r="T382" s="111">
        <f>IF(S382="","⚪",IF(S382&gt;1.2,"🔴",IF(S382&gt;1.1,"🟡","🟢")))</f>
        <v/>
      </c>
      <c r="V382" s="105" t="n">
        <v>55750.295125</v>
      </c>
      <c r="W382" s="106" t="n">
        <v>44618.0833333333</v>
      </c>
      <c r="X382" s="107" t="n"/>
      <c r="Y382" s="108">
        <f>IF(X382="","",W382*X382)</f>
        <v/>
      </c>
      <c r="Z382" s="243">
        <f>IF(Y382="","",V382-Y382)</f>
        <v/>
      </c>
      <c r="AA382" s="110">
        <f>IF(OR(Y382="",V382=0),"",Y382/V382)</f>
        <v/>
      </c>
      <c r="AB382" s="111">
        <f>IF(AA382="","⚪",IF(AA382&gt;1.2,"🔴",IF(AA382&gt;1.1,"🟡","🟢")))</f>
        <v/>
      </c>
      <c r="AD382" s="105" t="n">
        <v>55750.295125</v>
      </c>
      <c r="AE382" s="106" t="n">
        <v>44618.0833333333</v>
      </c>
      <c r="AF382" s="107" t="n"/>
      <c r="AG382" s="108">
        <f>IF(AF382="","",AE382*AF382)</f>
        <v/>
      </c>
      <c r="AH382" s="243">
        <f>IF(AG382="","",AD382-AG382)</f>
        <v/>
      </c>
      <c r="AI382" s="110">
        <f>IF(OR(AG382="",AD382=0),"",AG382/AD382)</f>
        <v/>
      </c>
      <c r="AJ382" s="111">
        <f>IF(AI382="","⚪",IF(AI382&gt;1.2,"🔴",IF(AI382&gt;1.1,"🟡","🟢")))</f>
        <v/>
      </c>
    </row>
    <row r="383" ht="14" customHeight="1" s="176">
      <c r="A383" s="103" t="inlineStr">
        <is>
          <t>Santa Catalina</t>
        </is>
      </c>
      <c r="B383" s="104" t="inlineStr">
        <is>
          <t>mant eureka 2,5 ha</t>
        </is>
      </c>
      <c r="C383" s="104" t="inlineStr">
        <is>
          <t>2- M.O. indirecta</t>
        </is>
      </c>
      <c r="D383" s="104" t="inlineStr">
        <is>
          <t>3- ADQUIS. Y BODEGA</t>
        </is>
      </c>
      <c r="E383" s="104" t="inlineStr">
        <is>
          <t>día</t>
        </is>
      </c>
      <c r="F383" s="105" t="n">
        <v>10120.95</v>
      </c>
      <c r="G383" s="106" t="n">
        <v>8100</v>
      </c>
      <c r="H383" s="107" t="n"/>
      <c r="I383" s="108">
        <f>IF(H383="","",G383*H383)</f>
        <v/>
      </c>
      <c r="J383" s="243">
        <f>IF(I383="","",F383-I383)</f>
        <v/>
      </c>
      <c r="K383" s="110">
        <f>IF(OR(I383="",F383=0),"",I383/F383)</f>
        <v/>
      </c>
      <c r="L383" s="111">
        <f>IF(K383="","⚪",IF(K383&gt;1.2,"🔴",IF(K383&gt;1.1,"🟡","🟢")))</f>
        <v/>
      </c>
      <c r="N383" s="105" t="n">
        <v>10120.95</v>
      </c>
      <c r="O383" s="106" t="n">
        <v>8100</v>
      </c>
      <c r="P383" s="107" t="n"/>
      <c r="Q383" s="108">
        <f>IF(P383="","",O383*P383)</f>
        <v/>
      </c>
      <c r="R383" s="243">
        <f>IF(Q383="","",N383-Q383)</f>
        <v/>
      </c>
      <c r="S383" s="110">
        <f>IF(OR(Q383="",N383=0),"",Q383/N383)</f>
        <v/>
      </c>
      <c r="T383" s="111">
        <f>IF(S383="","⚪",IF(S383&gt;1.2,"🔴",IF(S383&gt;1.1,"🟡","🟢")))</f>
        <v/>
      </c>
      <c r="V383" s="105" t="n">
        <v>10120.95</v>
      </c>
      <c r="W383" s="106" t="n">
        <v>8100</v>
      </c>
      <c r="X383" s="107" t="n"/>
      <c r="Y383" s="108">
        <f>IF(X383="","",W383*X383)</f>
        <v/>
      </c>
      <c r="Z383" s="243">
        <f>IF(Y383="","",V383-Y383)</f>
        <v/>
      </c>
      <c r="AA383" s="110">
        <f>IF(OR(Y383="",V383=0),"",Y383/V383)</f>
        <v/>
      </c>
      <c r="AB383" s="111">
        <f>IF(AA383="","⚪",IF(AA383&gt;1.2,"🔴",IF(AA383&gt;1.1,"🟡","🟢")))</f>
        <v/>
      </c>
      <c r="AD383" s="105" t="n">
        <v>10120.95</v>
      </c>
      <c r="AE383" s="106" t="n">
        <v>8100</v>
      </c>
      <c r="AF383" s="107" t="n"/>
      <c r="AG383" s="108">
        <f>IF(AF383="","",AE383*AF383)</f>
        <v/>
      </c>
      <c r="AH383" s="243">
        <f>IF(AG383="","",AD383-AG383)</f>
        <v/>
      </c>
      <c r="AI383" s="110">
        <f>IF(OR(AG383="",AD383=0),"",AG383/AD383)</f>
        <v/>
      </c>
      <c r="AJ383" s="111">
        <f>IF(AI383="","⚪",IF(AI383&gt;1.2,"🔴",IF(AI383&gt;1.1,"🟡","🟢")))</f>
        <v/>
      </c>
    </row>
    <row r="384" ht="14" customHeight="1" s="176">
      <c r="A384" s="112" t="inlineStr">
        <is>
          <t>Santa Catalina</t>
        </is>
      </c>
      <c r="B384" s="113" t="inlineStr">
        <is>
          <t>mant eureka 2,5 ha</t>
        </is>
      </c>
      <c r="C384" s="113" t="inlineStr">
        <is>
          <t>2- M.O. indirecta</t>
        </is>
      </c>
      <c r="D384" s="113" t="inlineStr">
        <is>
          <t>4,1- ENCARGADO MANTENCIONES</t>
        </is>
      </c>
      <c r="E384" s="113" t="inlineStr">
        <is>
          <t>día</t>
        </is>
      </c>
      <c r="F384" s="105" t="n">
        <v>13744.5</v>
      </c>
      <c r="G384" s="106" t="n">
        <v>11000</v>
      </c>
      <c r="H384" s="107" t="n"/>
      <c r="I384" s="108">
        <f>IF(H384="","",G384*H384)</f>
        <v/>
      </c>
      <c r="J384" s="243">
        <f>IF(I384="","",F384-I384)</f>
        <v/>
      </c>
      <c r="K384" s="110">
        <f>IF(OR(I384="",F384=0),"",I384/F384)</f>
        <v/>
      </c>
      <c r="L384" s="111">
        <f>IF(K384="","⚪",IF(K384&gt;1.2,"🔴",IF(K384&gt;1.1,"🟡","🟢")))</f>
        <v/>
      </c>
      <c r="N384" s="105" t="n">
        <v>13744.5</v>
      </c>
      <c r="O384" s="106" t="n">
        <v>11000</v>
      </c>
      <c r="P384" s="107" t="n"/>
      <c r="Q384" s="108">
        <f>IF(P384="","",O384*P384)</f>
        <v/>
      </c>
      <c r="R384" s="243">
        <f>IF(Q384="","",N384-Q384)</f>
        <v/>
      </c>
      <c r="S384" s="110">
        <f>IF(OR(Q384="",N384=0),"",Q384/N384)</f>
        <v/>
      </c>
      <c r="T384" s="111">
        <f>IF(S384="","⚪",IF(S384&gt;1.2,"🔴",IF(S384&gt;1.1,"🟡","🟢")))</f>
        <v/>
      </c>
      <c r="V384" s="105" t="n">
        <v>13744.5</v>
      </c>
      <c r="W384" s="106" t="n">
        <v>11000</v>
      </c>
      <c r="X384" s="107" t="n"/>
      <c r="Y384" s="108">
        <f>IF(X384="","",W384*X384)</f>
        <v/>
      </c>
      <c r="Z384" s="243">
        <f>IF(Y384="","",V384-Y384)</f>
        <v/>
      </c>
      <c r="AA384" s="110">
        <f>IF(OR(Y384="",V384=0),"",Y384/V384)</f>
        <v/>
      </c>
      <c r="AB384" s="111">
        <f>IF(AA384="","⚪",IF(AA384&gt;1.2,"🔴",IF(AA384&gt;1.1,"🟡","🟢")))</f>
        <v/>
      </c>
      <c r="AD384" s="105" t="n">
        <v>13744.5</v>
      </c>
      <c r="AE384" s="106" t="n">
        <v>11000</v>
      </c>
      <c r="AF384" s="107" t="n"/>
      <c r="AG384" s="108">
        <f>IF(AF384="","",AE384*AF384)</f>
        <v/>
      </c>
      <c r="AH384" s="243">
        <f>IF(AG384="","",AD384-AG384)</f>
        <v/>
      </c>
      <c r="AI384" s="110">
        <f>IF(OR(AG384="",AD384=0),"",AG384/AD384)</f>
        <v/>
      </c>
      <c r="AJ384" s="111">
        <f>IF(AI384="","⚪",IF(AI384&gt;1.2,"🔴",IF(AI384&gt;1.1,"🟡","🟢")))</f>
        <v/>
      </c>
    </row>
    <row r="385" ht="14" customHeight="1" s="176">
      <c r="A385" s="103" t="inlineStr">
        <is>
          <t>Santa Catalina</t>
        </is>
      </c>
      <c r="B385" s="104" t="inlineStr">
        <is>
          <t>mant eureka 2,5 ha</t>
        </is>
      </c>
      <c r="C385" s="104" t="inlineStr">
        <is>
          <t>2- M.O. indirecta</t>
        </is>
      </c>
      <c r="D385" s="104" t="inlineStr">
        <is>
          <t>4- CERTIFICACIONES</t>
        </is>
      </c>
      <c r="E385" s="104" t="inlineStr">
        <is>
          <t>día</t>
        </is>
      </c>
      <c r="F385" s="105" t="n">
        <v>8077.496875</v>
      </c>
      <c r="G385" s="106" t="n">
        <v>6464.58333333333</v>
      </c>
      <c r="H385" s="107" t="n"/>
      <c r="I385" s="108">
        <f>IF(H385="","",G385*H385)</f>
        <v/>
      </c>
      <c r="J385" s="243">
        <f>IF(I385="","",F385-I385)</f>
        <v/>
      </c>
      <c r="K385" s="110">
        <f>IF(OR(I385="",F385=0),"",I385/F385)</f>
        <v/>
      </c>
      <c r="L385" s="111">
        <f>IF(K385="","⚪",IF(K385&gt;1.2,"🔴",IF(K385&gt;1.1,"🟡","🟢")))</f>
        <v/>
      </c>
      <c r="N385" s="105" t="n">
        <v>8077.496875</v>
      </c>
      <c r="O385" s="106" t="n">
        <v>6464.58333333333</v>
      </c>
      <c r="P385" s="107" t="n"/>
      <c r="Q385" s="108">
        <f>IF(P385="","",O385*P385)</f>
        <v/>
      </c>
      <c r="R385" s="243">
        <f>IF(Q385="","",N385-Q385)</f>
        <v/>
      </c>
      <c r="S385" s="110">
        <f>IF(OR(Q385="",N385=0),"",Q385/N385)</f>
        <v/>
      </c>
      <c r="T385" s="111">
        <f>IF(S385="","⚪",IF(S385&gt;1.2,"🔴",IF(S385&gt;1.1,"🟡","🟢")))</f>
        <v/>
      </c>
      <c r="V385" s="105" t="n">
        <v>8077.496875</v>
      </c>
      <c r="W385" s="106" t="n">
        <v>6464.58333333333</v>
      </c>
      <c r="X385" s="107" t="n"/>
      <c r="Y385" s="108">
        <f>IF(X385="","",W385*X385)</f>
        <v/>
      </c>
      <c r="Z385" s="243">
        <f>IF(Y385="","",V385-Y385)</f>
        <v/>
      </c>
      <c r="AA385" s="110">
        <f>IF(OR(Y385="",V385=0),"",Y385/V385)</f>
        <v/>
      </c>
      <c r="AB385" s="111">
        <f>IF(AA385="","⚪",IF(AA385&gt;1.2,"🔴",IF(AA385&gt;1.1,"🟡","🟢")))</f>
        <v/>
      </c>
      <c r="AD385" s="105" t="n">
        <v>8077.496875</v>
      </c>
      <c r="AE385" s="106" t="n">
        <v>6464.58333333333</v>
      </c>
      <c r="AF385" s="107" t="n"/>
      <c r="AG385" s="108">
        <f>IF(AF385="","",AE385*AF385)</f>
        <v/>
      </c>
      <c r="AH385" s="243">
        <f>IF(AG385="","",AD385-AG385)</f>
        <v/>
      </c>
      <c r="AI385" s="110">
        <f>IF(OR(AG385="",AD385=0),"",AG385/AD385)</f>
        <v/>
      </c>
      <c r="AJ385" s="111">
        <f>IF(AI385="","⚪",IF(AI385&gt;1.2,"🔴",IF(AI385&gt;1.1,"🟡","🟢")))</f>
        <v/>
      </c>
    </row>
    <row r="386" ht="14" customHeight="1" s="176">
      <c r="A386" s="112" t="inlineStr">
        <is>
          <t>Santa Catalina</t>
        </is>
      </c>
      <c r="B386" s="113" t="inlineStr">
        <is>
          <t>mant eureka 2,5 ha</t>
        </is>
      </c>
      <c r="C386" s="113" t="inlineStr">
        <is>
          <t>2- M.O. indirecta</t>
        </is>
      </c>
      <c r="D386" s="113" t="inlineStr">
        <is>
          <t>5- PREVEN. DE RIESGO</t>
        </is>
      </c>
      <c r="E386" s="113" t="inlineStr">
        <is>
          <t>día</t>
        </is>
      </c>
      <c r="F386" s="105" t="n">
        <v>1967.9625</v>
      </c>
      <c r="G386" s="106" t="n">
        <v>1575</v>
      </c>
      <c r="H386" s="107" t="n"/>
      <c r="I386" s="108">
        <f>IF(H386="","",G386*H386)</f>
        <v/>
      </c>
      <c r="J386" s="243">
        <f>IF(I386="","",F386-I386)</f>
        <v/>
      </c>
      <c r="K386" s="110">
        <f>IF(OR(I386="",F386=0),"",I386/F386)</f>
        <v/>
      </c>
      <c r="L386" s="111">
        <f>IF(K386="","⚪",IF(K386&gt;1.2,"🔴",IF(K386&gt;1.1,"🟡","🟢")))</f>
        <v/>
      </c>
      <c r="N386" s="105" t="n">
        <v>1967.9625</v>
      </c>
      <c r="O386" s="106" t="n">
        <v>1575</v>
      </c>
      <c r="P386" s="107" t="n"/>
      <c r="Q386" s="108">
        <f>IF(P386="","",O386*P386)</f>
        <v/>
      </c>
      <c r="R386" s="243">
        <f>IF(Q386="","",N386-Q386)</f>
        <v/>
      </c>
      <c r="S386" s="110">
        <f>IF(OR(Q386="",N386=0),"",Q386/N386)</f>
        <v/>
      </c>
      <c r="T386" s="111">
        <f>IF(S386="","⚪",IF(S386&gt;1.2,"🔴",IF(S386&gt;1.1,"🟡","🟢")))</f>
        <v/>
      </c>
      <c r="V386" s="105" t="n">
        <v>1967.9625</v>
      </c>
      <c r="W386" s="106" t="n">
        <v>1575</v>
      </c>
      <c r="X386" s="107" t="n"/>
      <c r="Y386" s="108">
        <f>IF(X386="","",W386*X386)</f>
        <v/>
      </c>
      <c r="Z386" s="243">
        <f>IF(Y386="","",V386-Y386)</f>
        <v/>
      </c>
      <c r="AA386" s="110">
        <f>IF(OR(Y386="",V386=0),"",Y386/V386)</f>
        <v/>
      </c>
      <c r="AB386" s="111">
        <f>IF(AA386="","⚪",IF(AA386&gt;1.2,"🔴",IF(AA386&gt;1.1,"🟡","🟢")))</f>
        <v/>
      </c>
      <c r="AD386" s="105" t="n">
        <v>1967.9625</v>
      </c>
      <c r="AE386" s="106" t="n">
        <v>1575</v>
      </c>
      <c r="AF386" s="107" t="n"/>
      <c r="AG386" s="108">
        <f>IF(AF386="","",AE386*AF386)</f>
        <v/>
      </c>
      <c r="AH386" s="243">
        <f>IF(AG386="","",AD386-AG386)</f>
        <v/>
      </c>
      <c r="AI386" s="110">
        <f>IF(OR(AG386="",AD386=0),"",AG386/AD386)</f>
        <v/>
      </c>
      <c r="AJ386" s="111">
        <f>IF(AI386="","⚪",IF(AI386&gt;1.2,"🔴",IF(AI386&gt;1.1,"🟡","🟢")))</f>
        <v/>
      </c>
    </row>
    <row r="387" ht="14" customHeight="1" s="176">
      <c r="A387" s="103" t="inlineStr">
        <is>
          <t>Santa Catalina</t>
        </is>
      </c>
      <c r="B387" s="104" t="inlineStr">
        <is>
          <t>mant eureka 2,5 ha</t>
        </is>
      </c>
      <c r="C387" s="104" t="inlineStr">
        <is>
          <t>2- M.O. indirecta</t>
        </is>
      </c>
      <c r="D387" s="104" t="inlineStr">
        <is>
          <t>9,1- RONDIN FUNDO</t>
        </is>
      </c>
      <c r="E387" s="104" t="inlineStr">
        <is>
          <t>día</t>
        </is>
      </c>
      <c r="F387" s="105" t="n">
        <v>49682.619</v>
      </c>
      <c r="G387" s="106" t="n">
        <v>39762</v>
      </c>
      <c r="H387" s="107" t="n"/>
      <c r="I387" s="108">
        <f>IF(H387="","",G387*H387)</f>
        <v/>
      </c>
      <c r="J387" s="243">
        <f>IF(I387="","",F387-I387)</f>
        <v/>
      </c>
      <c r="K387" s="110">
        <f>IF(OR(I387="",F387=0),"",I387/F387)</f>
        <v/>
      </c>
      <c r="L387" s="111">
        <f>IF(K387="","⚪",IF(K387&gt;1.2,"🔴",IF(K387&gt;1.1,"🟡","🟢")))</f>
        <v/>
      </c>
      <c r="N387" s="105" t="n">
        <v>49682.619</v>
      </c>
      <c r="O387" s="106" t="n">
        <v>39762</v>
      </c>
      <c r="P387" s="107" t="n"/>
      <c r="Q387" s="108">
        <f>IF(P387="","",O387*P387)</f>
        <v/>
      </c>
      <c r="R387" s="243">
        <f>IF(Q387="","",N387-Q387)</f>
        <v/>
      </c>
      <c r="S387" s="110">
        <f>IF(OR(Q387="",N387=0),"",Q387/N387)</f>
        <v/>
      </c>
      <c r="T387" s="111">
        <f>IF(S387="","⚪",IF(S387&gt;1.2,"🔴",IF(S387&gt;1.1,"🟡","🟢")))</f>
        <v/>
      </c>
      <c r="V387" s="105" t="n">
        <v>49682.619</v>
      </c>
      <c r="W387" s="106" t="n">
        <v>39762</v>
      </c>
      <c r="X387" s="107" t="n"/>
      <c r="Y387" s="108">
        <f>IF(X387="","",W387*X387)</f>
        <v/>
      </c>
      <c r="Z387" s="243">
        <f>IF(Y387="","",V387-Y387)</f>
        <v/>
      </c>
      <c r="AA387" s="110">
        <f>IF(OR(Y387="",V387=0),"",Y387/V387)</f>
        <v/>
      </c>
      <c r="AB387" s="111">
        <f>IF(AA387="","⚪",IF(AA387&gt;1.2,"🔴",IF(AA387&gt;1.1,"🟡","🟢")))</f>
        <v/>
      </c>
      <c r="AD387" s="105" t="n">
        <v>49682.619</v>
      </c>
      <c r="AE387" s="106" t="n">
        <v>39762</v>
      </c>
      <c r="AF387" s="107" t="n"/>
      <c r="AG387" s="108">
        <f>IF(AF387="","",AE387*AF387)</f>
        <v/>
      </c>
      <c r="AH387" s="243">
        <f>IF(AG387="","",AD387-AG387)</f>
        <v/>
      </c>
      <c r="AI387" s="110">
        <f>IF(OR(AG387="",AD387=0),"",AG387/AD387)</f>
        <v/>
      </c>
      <c r="AJ387" s="111">
        <f>IF(AI387="","⚪",IF(AI387&gt;1.2,"🔴",IF(AI387&gt;1.1,"🟡","🟢")))</f>
        <v/>
      </c>
    </row>
    <row r="388" ht="14" customHeight="1" s="176">
      <c r="A388" s="112" t="inlineStr">
        <is>
          <t>Santa Catalina</t>
        </is>
      </c>
      <c r="B388" s="113" t="inlineStr">
        <is>
          <t>mant eureka 2,5 ha</t>
        </is>
      </c>
      <c r="C388" s="113" t="inlineStr">
        <is>
          <t>2- M.O. indirecta</t>
        </is>
      </c>
      <c r="D388" s="113" t="inlineStr">
        <is>
          <t>9,1- RONDIN ZANJON</t>
        </is>
      </c>
      <c r="E388" s="113" t="inlineStr">
        <is>
          <t>día</t>
        </is>
      </c>
      <c r="F388" s="105" t="n">
        <v>88324.656</v>
      </c>
      <c r="G388" s="106" t="n">
        <v>70688</v>
      </c>
      <c r="H388" s="107" t="n"/>
      <c r="I388" s="108">
        <f>IF(H388="","",G388*H388)</f>
        <v/>
      </c>
      <c r="J388" s="243">
        <f>IF(I388="","",F388-I388)</f>
        <v/>
      </c>
      <c r="K388" s="110">
        <f>IF(OR(I388="",F388=0),"",I388/F388)</f>
        <v/>
      </c>
      <c r="L388" s="111">
        <f>IF(K388="","⚪",IF(K388&gt;1.2,"🔴",IF(K388&gt;1.1,"🟡","🟢")))</f>
        <v/>
      </c>
      <c r="N388" s="105" t="n">
        <v>88324.656</v>
      </c>
      <c r="O388" s="106" t="n">
        <v>70688</v>
      </c>
      <c r="P388" s="107" t="n"/>
      <c r="Q388" s="108">
        <f>IF(P388="","",O388*P388)</f>
        <v/>
      </c>
      <c r="R388" s="243">
        <f>IF(Q388="","",N388-Q388)</f>
        <v/>
      </c>
      <c r="S388" s="110">
        <f>IF(OR(Q388="",N388=0),"",Q388/N388)</f>
        <v/>
      </c>
      <c r="T388" s="111">
        <f>IF(S388="","⚪",IF(S388&gt;1.2,"🔴",IF(S388&gt;1.1,"🟡","🟢")))</f>
        <v/>
      </c>
      <c r="V388" s="105" t="n">
        <v>88324.656</v>
      </c>
      <c r="W388" s="106" t="n">
        <v>70688</v>
      </c>
      <c r="X388" s="107" t="n"/>
      <c r="Y388" s="108">
        <f>IF(X388="","",W388*X388)</f>
        <v/>
      </c>
      <c r="Z388" s="243">
        <f>IF(Y388="","",V388-Y388)</f>
        <v/>
      </c>
      <c r="AA388" s="110">
        <f>IF(OR(Y388="",V388=0),"",Y388/V388)</f>
        <v/>
      </c>
      <c r="AB388" s="111">
        <f>IF(AA388="","⚪",IF(AA388&gt;1.2,"🔴",IF(AA388&gt;1.1,"🟡","🟢")))</f>
        <v/>
      </c>
      <c r="AD388" s="105" t="n">
        <v>88324.656</v>
      </c>
      <c r="AE388" s="106" t="n">
        <v>70688</v>
      </c>
      <c r="AF388" s="107" t="n"/>
      <c r="AG388" s="108">
        <f>IF(AF388="","",AE388*AF388)</f>
        <v/>
      </c>
      <c r="AH388" s="243">
        <f>IF(AG388="","",AD388-AG388)</f>
        <v/>
      </c>
      <c r="AI388" s="110">
        <f>IF(OR(AG388="",AD388=0),"",AG388/AD388)</f>
        <v/>
      </c>
      <c r="AJ388" s="111">
        <f>IF(AI388="","⚪",IF(AI388&gt;1.2,"🔴",IF(AI388&gt;1.1,"🟡","🟢")))</f>
        <v/>
      </c>
    </row>
    <row r="389" ht="14" customHeight="1" s="176">
      <c r="A389" s="103" t="inlineStr">
        <is>
          <t>Siberia</t>
        </is>
      </c>
      <c r="B389" s="104" t="inlineStr">
        <is>
          <t>S. Celebration 7,14</t>
        </is>
      </c>
      <c r="C389" s="104" t="inlineStr">
        <is>
          <t>1- M.O. directa</t>
        </is>
      </c>
      <c r="D389" s="104" t="inlineStr">
        <is>
          <t>1,2 - Packing</t>
        </is>
      </c>
      <c r="E389" s="104" t="inlineStr">
        <is>
          <t>Trato</t>
        </is>
      </c>
      <c r="F389" s="105" t="n">
        <v>1462236.3</v>
      </c>
      <c r="G389" s="106" t="n">
        <v>1080</v>
      </c>
      <c r="H389" s="107" t="n"/>
      <c r="I389" s="108">
        <f>IF(H389="","",G389*H389)</f>
        <v/>
      </c>
      <c r="J389" s="243">
        <f>IF(I389="","",F389-I389)</f>
        <v/>
      </c>
      <c r="K389" s="110">
        <f>IF(OR(I389="",F389=0),"",I389/F389)</f>
        <v/>
      </c>
      <c r="L389" s="111">
        <f>IF(K389="","⚪",IF(K389&gt;1.2,"🔴",IF(K389&gt;1.1,"🟡","🟢")))</f>
        <v/>
      </c>
      <c r="N389" s="105" t="n">
        <v>1462236.3</v>
      </c>
      <c r="O389" s="106" t="n">
        <v>1080</v>
      </c>
      <c r="P389" s="107" t="n"/>
      <c r="Q389" s="108">
        <f>IF(P389="","",O389*P389)</f>
        <v/>
      </c>
      <c r="R389" s="243">
        <f>IF(Q389="","",N389-Q389)</f>
        <v/>
      </c>
      <c r="S389" s="110">
        <f>IF(OR(Q389="",N389=0),"",Q389/N389)</f>
        <v/>
      </c>
      <c r="T389" s="111">
        <f>IF(S389="","⚪",IF(S389&gt;1.2,"🔴",IF(S389&gt;1.1,"🟡","🟢")))</f>
        <v/>
      </c>
      <c r="V389" s="105" t="n">
        <v>1462236.3</v>
      </c>
      <c r="W389" s="106" t="n">
        <v>1080</v>
      </c>
      <c r="X389" s="107" t="n"/>
      <c r="Y389" s="108">
        <f>IF(X389="","",W389*X389)</f>
        <v/>
      </c>
      <c r="Z389" s="243">
        <f>IF(Y389="","",V389-Y389)</f>
        <v/>
      </c>
      <c r="AA389" s="110">
        <f>IF(OR(Y389="",V389=0),"",Y389/V389)</f>
        <v/>
      </c>
      <c r="AB389" s="111">
        <f>IF(AA389="","⚪",IF(AA389&gt;1.2,"🔴",IF(AA389&gt;1.1,"🟡","🟢")))</f>
        <v/>
      </c>
      <c r="AD389" s="105" t="n">
        <v>1462236.3</v>
      </c>
      <c r="AE389" s="106" t="n">
        <v>1080</v>
      </c>
      <c r="AF389" s="107" t="n"/>
      <c r="AG389" s="108">
        <f>IF(AF389="","",AE389*AF389)</f>
        <v/>
      </c>
      <c r="AH389" s="243">
        <f>IF(AG389="","",AD389-AG389)</f>
        <v/>
      </c>
      <c r="AI389" s="110">
        <f>IF(OR(AG389="",AD389=0),"",AG389/AD389)</f>
        <v/>
      </c>
      <c r="AJ389" s="111">
        <f>IF(AI389="","⚪",IF(AI389&gt;1.2,"🔴",IF(AI389&gt;1.1,"🟡","🟢")))</f>
        <v/>
      </c>
    </row>
    <row r="390" ht="14" customHeight="1" s="176">
      <c r="A390" s="112" t="inlineStr">
        <is>
          <t>Siberia</t>
        </is>
      </c>
      <c r="B390" s="113" t="inlineStr">
        <is>
          <t>S. Celebration 7,14</t>
        </is>
      </c>
      <c r="C390" s="113" t="inlineStr">
        <is>
          <t>1- M.O. directa</t>
        </is>
      </c>
      <c r="D390" s="113" t="inlineStr">
        <is>
          <t>1,2- amarra</t>
        </is>
      </c>
      <c r="E390" s="113" t="inlineStr">
        <is>
          <t>trato</t>
        </is>
      </c>
      <c r="F390" s="105" t="n">
        <v>76083.84</v>
      </c>
      <c r="G390" s="106" t="n">
        <v>180</v>
      </c>
      <c r="H390" s="107" t="n"/>
      <c r="I390" s="108">
        <f>IF(H390="","",G390*H390)</f>
        <v/>
      </c>
      <c r="J390" s="243">
        <f>IF(I390="","",F390-I390)</f>
        <v/>
      </c>
      <c r="K390" s="110">
        <f>IF(OR(I390="",F390=0),"",I390/F390)</f>
        <v/>
      </c>
      <c r="L390" s="111">
        <f>IF(K390="","⚪",IF(K390&gt;1.2,"🔴",IF(K390&gt;1.1,"🟡","🟢")))</f>
        <v/>
      </c>
      <c r="N390" s="105" t="n">
        <v>76083.84</v>
      </c>
      <c r="O390" s="106" t="n">
        <v>180</v>
      </c>
      <c r="P390" s="107" t="n"/>
      <c r="Q390" s="108">
        <f>IF(P390="","",O390*P390)</f>
        <v/>
      </c>
      <c r="R390" s="243">
        <f>IF(Q390="","",N390-Q390)</f>
        <v/>
      </c>
      <c r="S390" s="110">
        <f>IF(OR(Q390="",N390=0),"",Q390/N390)</f>
        <v/>
      </c>
      <c r="T390" s="111">
        <f>IF(S390="","⚪",IF(S390&gt;1.2,"🔴",IF(S390&gt;1.1,"🟡","🟢")))</f>
        <v/>
      </c>
      <c r="V390" s="105" t="n">
        <v>76083.84</v>
      </c>
      <c r="W390" s="106" t="n">
        <v>180</v>
      </c>
      <c r="X390" s="107" t="n"/>
      <c r="Y390" s="108">
        <f>IF(X390="","",W390*X390)</f>
        <v/>
      </c>
      <c r="Z390" s="243">
        <f>IF(Y390="","",V390-Y390)</f>
        <v/>
      </c>
      <c r="AA390" s="110">
        <f>IF(OR(Y390="",V390=0),"",Y390/V390)</f>
        <v/>
      </c>
      <c r="AB390" s="111">
        <f>IF(AA390="","⚪",IF(AA390&gt;1.2,"🔴",IF(AA390&gt;1.1,"🟡","🟢")))</f>
        <v/>
      </c>
      <c r="AD390" s="105" t="n">
        <v>76083.84</v>
      </c>
      <c r="AE390" s="106" t="n">
        <v>180</v>
      </c>
      <c r="AF390" s="107" t="n"/>
      <c r="AG390" s="108">
        <f>IF(AF390="","",AE390*AF390)</f>
        <v/>
      </c>
      <c r="AH390" s="243">
        <f>IF(AG390="","",AD390-AG390)</f>
        <v/>
      </c>
      <c r="AI390" s="110">
        <f>IF(OR(AG390="",AD390=0),"",AG390/AD390)</f>
        <v/>
      </c>
      <c r="AJ390" s="111">
        <f>IF(AI390="","⚪",IF(AI390&gt;1.2,"🔴",IF(AI390&gt;1.1,"🟡","🟢")))</f>
        <v/>
      </c>
    </row>
    <row r="391" ht="14" customHeight="1" s="176">
      <c r="A391" s="103" t="inlineStr">
        <is>
          <t>Siberia</t>
        </is>
      </c>
      <c r="B391" s="104" t="inlineStr">
        <is>
          <t>S. Celebration 7,14</t>
        </is>
      </c>
      <c r="C391" s="104" t="inlineStr">
        <is>
          <t>1- M.O. directa</t>
        </is>
      </c>
      <c r="D391" s="104" t="inlineStr">
        <is>
          <t>1,3-  Acordonar sarmiento</t>
        </is>
      </c>
      <c r="E391" s="104" t="inlineStr">
        <is>
          <t>trato</t>
        </is>
      </c>
      <c r="F391" s="105" t="n">
        <v>29588.16</v>
      </c>
      <c r="G391" s="106" t="n">
        <v>70</v>
      </c>
      <c r="H391" s="107" t="n"/>
      <c r="I391" s="108">
        <f>IF(H391="","",G391*H391)</f>
        <v/>
      </c>
      <c r="J391" s="243">
        <f>IF(I391="","",F391-I391)</f>
        <v/>
      </c>
      <c r="K391" s="110">
        <f>IF(OR(I391="",F391=0),"",I391/F391)</f>
        <v/>
      </c>
      <c r="L391" s="111">
        <f>IF(K391="","⚪",IF(K391&gt;1.2,"🔴",IF(K391&gt;1.1,"🟡","🟢")))</f>
        <v/>
      </c>
      <c r="N391" s="105" t="n">
        <v>29588.16</v>
      </c>
      <c r="O391" s="106" t="n">
        <v>70</v>
      </c>
      <c r="P391" s="107" t="n"/>
      <c r="Q391" s="108">
        <f>IF(P391="","",O391*P391)</f>
        <v/>
      </c>
      <c r="R391" s="243">
        <f>IF(Q391="","",N391-Q391)</f>
        <v/>
      </c>
      <c r="S391" s="110">
        <f>IF(OR(Q391="",N391=0),"",Q391/N391)</f>
        <v/>
      </c>
      <c r="T391" s="111">
        <f>IF(S391="","⚪",IF(S391&gt;1.2,"🔴",IF(S391&gt;1.1,"🟡","🟢")))</f>
        <v/>
      </c>
      <c r="V391" s="105" t="n">
        <v>29588.16</v>
      </c>
      <c r="W391" s="106" t="n">
        <v>70</v>
      </c>
      <c r="X391" s="107" t="n"/>
      <c r="Y391" s="108">
        <f>IF(X391="","",W391*X391)</f>
        <v/>
      </c>
      <c r="Z391" s="243">
        <f>IF(Y391="","",V391-Y391)</f>
        <v/>
      </c>
      <c r="AA391" s="110">
        <f>IF(OR(Y391="",V391=0),"",Y391/V391)</f>
        <v/>
      </c>
      <c r="AB391" s="111">
        <f>IF(AA391="","⚪",IF(AA391&gt;1.2,"🔴",IF(AA391&gt;1.1,"🟡","🟢")))</f>
        <v/>
      </c>
      <c r="AD391" s="105" t="n">
        <v>29588.16</v>
      </c>
      <c r="AE391" s="106" t="n">
        <v>70</v>
      </c>
      <c r="AF391" s="107" t="n"/>
      <c r="AG391" s="108">
        <f>IF(AF391="","",AE391*AF391)</f>
        <v/>
      </c>
      <c r="AH391" s="243">
        <f>IF(AG391="","",AD391-AG391)</f>
        <v/>
      </c>
      <c r="AI391" s="110">
        <f>IF(OR(AG391="",AD391=0),"",AG391/AD391)</f>
        <v/>
      </c>
      <c r="AJ391" s="111">
        <f>IF(AI391="","⚪",IF(AI391&gt;1.2,"🔴",IF(AI391&gt;1.1,"🟡","🟢")))</f>
        <v/>
      </c>
    </row>
    <row r="392" ht="14" customHeight="1" s="176">
      <c r="A392" s="112" t="inlineStr">
        <is>
          <t>Siberia</t>
        </is>
      </c>
      <c r="B392" s="113" t="inlineStr">
        <is>
          <t>S. Celebration 7,14</t>
        </is>
      </c>
      <c r="C392" s="113" t="inlineStr">
        <is>
          <t>1- M.O. directa</t>
        </is>
      </c>
      <c r="D392" s="113" t="inlineStr">
        <is>
          <t xml:space="preserve">1,4- Mantención caminos </t>
        </is>
      </c>
      <c r="E392" s="113" t="inlineStr">
        <is>
          <t>día</t>
        </is>
      </c>
      <c r="F392" s="105" t="n">
        <v>8700</v>
      </c>
      <c r="G392" s="106" t="n">
        <v>43500</v>
      </c>
      <c r="H392" s="107" t="n"/>
      <c r="I392" s="108">
        <f>IF(H392="","",G392*H392)</f>
        <v/>
      </c>
      <c r="J392" s="243">
        <f>IF(I392="","",F392-I392)</f>
        <v/>
      </c>
      <c r="K392" s="110">
        <f>IF(OR(I392="",F392=0),"",I392/F392)</f>
        <v/>
      </c>
      <c r="L392" s="111">
        <f>IF(K392="","⚪",IF(K392&gt;1.2,"🔴",IF(K392&gt;1.1,"🟡","🟢")))</f>
        <v/>
      </c>
      <c r="N392" s="105" t="n">
        <v>8700</v>
      </c>
      <c r="O392" s="106" t="n">
        <v>43500</v>
      </c>
      <c r="P392" s="107" t="n"/>
      <c r="Q392" s="108">
        <f>IF(P392="","",O392*P392)</f>
        <v/>
      </c>
      <c r="R392" s="243">
        <f>IF(Q392="","",N392-Q392)</f>
        <v/>
      </c>
      <c r="S392" s="110">
        <f>IF(OR(Q392="",N392=0),"",Q392/N392)</f>
        <v/>
      </c>
      <c r="T392" s="111">
        <f>IF(S392="","⚪",IF(S392&gt;1.2,"🔴",IF(S392&gt;1.1,"🟡","🟢")))</f>
        <v/>
      </c>
      <c r="V392" s="105" t="n">
        <v>8700</v>
      </c>
      <c r="W392" s="106" t="n">
        <v>43500</v>
      </c>
      <c r="X392" s="107" t="n"/>
      <c r="Y392" s="108">
        <f>IF(X392="","",W392*X392)</f>
        <v/>
      </c>
      <c r="Z392" s="243">
        <f>IF(Y392="","",V392-Y392)</f>
        <v/>
      </c>
      <c r="AA392" s="110">
        <f>IF(OR(Y392="",V392=0),"",Y392/V392)</f>
        <v/>
      </c>
      <c r="AB392" s="111">
        <f>IF(AA392="","⚪",IF(AA392&gt;1.2,"🔴",IF(AA392&gt;1.1,"🟡","🟢")))</f>
        <v/>
      </c>
      <c r="AD392" s="105" t="n">
        <v>8700</v>
      </c>
      <c r="AE392" s="106" t="n">
        <v>43500</v>
      </c>
      <c r="AF392" s="107" t="n"/>
      <c r="AG392" s="108">
        <f>IF(AF392="","",AE392*AF392)</f>
        <v/>
      </c>
      <c r="AH392" s="243">
        <f>IF(AG392="","",AD392-AG392)</f>
        <v/>
      </c>
      <c r="AI392" s="110">
        <f>IF(OR(AG392="",AD392=0),"",AG392/AD392)</f>
        <v/>
      </c>
      <c r="AJ392" s="111">
        <f>IF(AI392="","⚪",IF(AI392&gt;1.2,"🔴",IF(AI392&gt;1.1,"🟡","🟢")))</f>
        <v/>
      </c>
    </row>
    <row r="393" ht="14" customHeight="1" s="176">
      <c r="A393" s="103" t="inlineStr">
        <is>
          <t>Siberia</t>
        </is>
      </c>
      <c r="B393" s="104" t="inlineStr">
        <is>
          <t>S. Celebration 7,14</t>
        </is>
      </c>
      <c r="C393" s="104" t="inlineStr">
        <is>
          <t>1- M.O. directa</t>
        </is>
      </c>
      <c r="D393" s="104" t="inlineStr">
        <is>
          <t>1- Poda</t>
        </is>
      </c>
      <c r="E393" s="104" t="inlineStr">
        <is>
          <t>trato</t>
        </is>
      </c>
      <c r="F393" s="105" t="n">
        <v>253612.8</v>
      </c>
      <c r="G393" s="106" t="n">
        <v>600</v>
      </c>
      <c r="H393" s="107" t="n"/>
      <c r="I393" s="108">
        <f>IF(H393="","",G393*H393)</f>
        <v/>
      </c>
      <c r="J393" s="243">
        <f>IF(I393="","",F393-I393)</f>
        <v/>
      </c>
      <c r="K393" s="110">
        <f>IF(OR(I393="",F393=0),"",I393/F393)</f>
        <v/>
      </c>
      <c r="L393" s="111">
        <f>IF(K393="","⚪",IF(K393&gt;1.2,"🔴",IF(K393&gt;1.1,"🟡","🟢")))</f>
        <v/>
      </c>
      <c r="N393" s="105" t="n">
        <v>253612.8</v>
      </c>
      <c r="O393" s="106" t="n">
        <v>600</v>
      </c>
      <c r="P393" s="107" t="n"/>
      <c r="Q393" s="108">
        <f>IF(P393="","",O393*P393)</f>
        <v/>
      </c>
      <c r="R393" s="243">
        <f>IF(Q393="","",N393-Q393)</f>
        <v/>
      </c>
      <c r="S393" s="110">
        <f>IF(OR(Q393="",N393=0),"",Q393/N393)</f>
        <v/>
      </c>
      <c r="T393" s="111">
        <f>IF(S393="","⚪",IF(S393&gt;1.2,"🔴",IF(S393&gt;1.1,"🟡","🟢")))</f>
        <v/>
      </c>
      <c r="V393" s="105" t="n">
        <v>253612.8</v>
      </c>
      <c r="W393" s="106" t="n">
        <v>600</v>
      </c>
      <c r="X393" s="107" t="n"/>
      <c r="Y393" s="108">
        <f>IF(X393="","",W393*X393)</f>
        <v/>
      </c>
      <c r="Z393" s="243">
        <f>IF(Y393="","",V393-Y393)</f>
        <v/>
      </c>
      <c r="AA393" s="110">
        <f>IF(OR(Y393="",V393=0),"",Y393/V393)</f>
        <v/>
      </c>
      <c r="AB393" s="111">
        <f>IF(AA393="","⚪",IF(AA393&gt;1.2,"🔴",IF(AA393&gt;1.1,"🟡","🟢")))</f>
        <v/>
      </c>
      <c r="AD393" s="105" t="n">
        <v>253612.8</v>
      </c>
      <c r="AE393" s="106" t="n">
        <v>600</v>
      </c>
      <c r="AF393" s="107" t="n"/>
      <c r="AG393" s="108">
        <f>IF(AF393="","",AE393*AF393)</f>
        <v/>
      </c>
      <c r="AH393" s="243">
        <f>IF(AG393="","",AD393-AG393)</f>
        <v/>
      </c>
      <c r="AI393" s="110">
        <f>IF(OR(AG393="",AD393=0),"",AG393/AD393)</f>
        <v/>
      </c>
      <c r="AJ393" s="111">
        <f>IF(AI393="","⚪",IF(AI393&gt;1.2,"🔴",IF(AI393&gt;1.1,"🟡","🟢")))</f>
        <v/>
      </c>
    </row>
    <row r="394" ht="14" customHeight="1" s="176">
      <c r="A394" s="112" t="inlineStr">
        <is>
          <t>Siberia</t>
        </is>
      </c>
      <c r="B394" s="113" t="inlineStr">
        <is>
          <t>S. Celebration 7,14</t>
        </is>
      </c>
      <c r="C394" s="113" t="inlineStr">
        <is>
          <t>1- M.O. directa</t>
        </is>
      </c>
      <c r="D394" s="113" t="inlineStr">
        <is>
          <t>2- Aseo y Mantenciòn Campo</t>
        </is>
      </c>
      <c r="E394" s="113" t="inlineStr">
        <is>
          <t>trato</t>
        </is>
      </c>
      <c r="F394" s="105" t="n">
        <v>60637.5</v>
      </c>
      <c r="G394" s="106" t="n">
        <v>38500</v>
      </c>
      <c r="H394" s="107" t="n"/>
      <c r="I394" s="108">
        <f>IF(H394="","",G394*H394)</f>
        <v/>
      </c>
      <c r="J394" s="243">
        <f>IF(I394="","",F394-I394)</f>
        <v/>
      </c>
      <c r="K394" s="110">
        <f>IF(OR(I394="",F394=0),"",I394/F394)</f>
        <v/>
      </c>
      <c r="L394" s="111">
        <f>IF(K394="","⚪",IF(K394&gt;1.2,"🔴",IF(K394&gt;1.1,"🟡","🟢")))</f>
        <v/>
      </c>
      <c r="N394" s="105" t="n">
        <v>60637.5</v>
      </c>
      <c r="O394" s="106" t="n">
        <v>38500</v>
      </c>
      <c r="P394" s="107" t="n"/>
      <c r="Q394" s="108">
        <f>IF(P394="","",O394*P394)</f>
        <v/>
      </c>
      <c r="R394" s="243">
        <f>IF(Q394="","",N394-Q394)</f>
        <v/>
      </c>
      <c r="S394" s="110">
        <f>IF(OR(Q394="",N394=0),"",Q394/N394)</f>
        <v/>
      </c>
      <c r="T394" s="111">
        <f>IF(S394="","⚪",IF(S394&gt;1.2,"🔴",IF(S394&gt;1.1,"🟡","🟢")))</f>
        <v/>
      </c>
      <c r="V394" s="105" t="n">
        <v>60637.5</v>
      </c>
      <c r="W394" s="106" t="n">
        <v>38500</v>
      </c>
      <c r="X394" s="107" t="n"/>
      <c r="Y394" s="108">
        <f>IF(X394="","",W394*X394)</f>
        <v/>
      </c>
      <c r="Z394" s="243">
        <f>IF(Y394="","",V394-Y394)</f>
        <v/>
      </c>
      <c r="AA394" s="110">
        <f>IF(OR(Y394="",V394=0),"",Y394/V394)</f>
        <v/>
      </c>
      <c r="AB394" s="111">
        <f>IF(AA394="","⚪",IF(AA394&gt;1.2,"🔴",IF(AA394&gt;1.1,"🟡","🟢")))</f>
        <v/>
      </c>
      <c r="AD394" s="105" t="n">
        <v>60637.5</v>
      </c>
      <c r="AE394" s="106" t="n">
        <v>38500</v>
      </c>
      <c r="AF394" s="107" t="n"/>
      <c r="AG394" s="108">
        <f>IF(AF394="","",AE394*AF394)</f>
        <v/>
      </c>
      <c r="AH394" s="243">
        <f>IF(AG394="","",AD394-AG394)</f>
        <v/>
      </c>
      <c r="AI394" s="110">
        <f>IF(OR(AG394="",AD394=0),"",AG394/AD394)</f>
        <v/>
      </c>
      <c r="AJ394" s="111">
        <f>IF(AI394="","⚪",IF(AI394&gt;1.2,"🔴",IF(AI394&gt;1.1,"🟡","🟢")))</f>
        <v/>
      </c>
    </row>
    <row r="395" ht="14" customHeight="1" s="176">
      <c r="A395" s="103" t="inlineStr">
        <is>
          <t>Siberia</t>
        </is>
      </c>
      <c r="B395" s="104" t="inlineStr">
        <is>
          <t>S. Celebration 7,14</t>
        </is>
      </c>
      <c r="C395" s="104" t="inlineStr">
        <is>
          <t>1- M.O. directa</t>
        </is>
      </c>
      <c r="D395" s="104" t="inlineStr">
        <is>
          <t>3-  Control de malezas químico</t>
        </is>
      </c>
      <c r="E395" s="104" t="inlineStr">
        <is>
          <t>trato</t>
        </is>
      </c>
      <c r="F395" s="105" t="n">
        <v>46588.5</v>
      </c>
      <c r="G395" s="106" t="n">
        <v>43500</v>
      </c>
      <c r="H395" s="107" t="n"/>
      <c r="I395" s="108">
        <f>IF(H395="","",G395*H395)</f>
        <v/>
      </c>
      <c r="J395" s="243">
        <f>IF(I395="","",F395-I395)</f>
        <v/>
      </c>
      <c r="K395" s="110">
        <f>IF(OR(I395="",F395=0),"",I395/F395)</f>
        <v/>
      </c>
      <c r="L395" s="111">
        <f>IF(K395="","⚪",IF(K395&gt;1.2,"🔴",IF(K395&gt;1.1,"🟡","🟢")))</f>
        <v/>
      </c>
      <c r="N395" s="105" t="n">
        <v>46588.5</v>
      </c>
      <c r="O395" s="106" t="n">
        <v>43500</v>
      </c>
      <c r="P395" s="107" t="n"/>
      <c r="Q395" s="108">
        <f>IF(P395="","",O395*P395)</f>
        <v/>
      </c>
      <c r="R395" s="243">
        <f>IF(Q395="","",N395-Q395)</f>
        <v/>
      </c>
      <c r="S395" s="110">
        <f>IF(OR(Q395="",N395=0),"",Q395/N395)</f>
        <v/>
      </c>
      <c r="T395" s="111">
        <f>IF(S395="","⚪",IF(S395&gt;1.2,"🔴",IF(S395&gt;1.1,"🟡","🟢")))</f>
        <v/>
      </c>
      <c r="V395" s="105" t="n">
        <v>46588.5</v>
      </c>
      <c r="W395" s="106" t="n">
        <v>43500</v>
      </c>
      <c r="X395" s="107" t="n"/>
      <c r="Y395" s="108">
        <f>IF(X395="","",W395*X395)</f>
        <v/>
      </c>
      <c r="Z395" s="243">
        <f>IF(Y395="","",V395-Y395)</f>
        <v/>
      </c>
      <c r="AA395" s="110">
        <f>IF(OR(Y395="",V395=0),"",Y395/V395)</f>
        <v/>
      </c>
      <c r="AB395" s="111">
        <f>IF(AA395="","⚪",IF(AA395&gt;1.2,"🔴",IF(AA395&gt;1.1,"🟡","🟢")))</f>
        <v/>
      </c>
      <c r="AD395" s="105" t="n">
        <v>46588.5</v>
      </c>
      <c r="AE395" s="106" t="n">
        <v>43500</v>
      </c>
      <c r="AF395" s="107" t="n"/>
      <c r="AG395" s="108">
        <f>IF(AF395="","",AE395*AF395)</f>
        <v/>
      </c>
      <c r="AH395" s="243">
        <f>IF(AG395="","",AD395-AG395)</f>
        <v/>
      </c>
      <c r="AI395" s="110">
        <f>IF(OR(AG395="",AD395=0),"",AG395/AD395)</f>
        <v/>
      </c>
      <c r="AJ395" s="111">
        <f>IF(AI395="","⚪",IF(AI395&gt;1.2,"🔴",IF(AI395&gt;1.1,"🟡","🟢")))</f>
        <v/>
      </c>
    </row>
    <row r="396" ht="14" customHeight="1" s="176">
      <c r="A396" s="112" t="inlineStr">
        <is>
          <t>Siberia</t>
        </is>
      </c>
      <c r="B396" s="113" t="inlineStr">
        <is>
          <t>S. Celebration 7,14</t>
        </is>
      </c>
      <c r="C396" s="113" t="inlineStr">
        <is>
          <t>1- M.O. directa</t>
        </is>
      </c>
      <c r="D396" s="113" t="inlineStr">
        <is>
          <t>3- Reparaciòn estructura</t>
        </is>
      </c>
      <c r="E396" s="113" t="inlineStr">
        <is>
          <t>trato</t>
        </is>
      </c>
      <c r="F396" s="105" t="n">
        <v>126806.4</v>
      </c>
      <c r="G396" s="106" t="n">
        <v>300</v>
      </c>
      <c r="H396" s="107" t="n"/>
      <c r="I396" s="108">
        <f>IF(H396="","",G396*H396)</f>
        <v/>
      </c>
      <c r="J396" s="243">
        <f>IF(I396="","",F396-I396)</f>
        <v/>
      </c>
      <c r="K396" s="110">
        <f>IF(OR(I396="",F396=0),"",I396/F396)</f>
        <v/>
      </c>
      <c r="L396" s="111">
        <f>IF(K396="","⚪",IF(K396&gt;1.2,"🔴",IF(K396&gt;1.1,"🟡","🟢")))</f>
        <v/>
      </c>
      <c r="N396" s="105" t="n">
        <v>126806.4</v>
      </c>
      <c r="O396" s="106" t="n">
        <v>300</v>
      </c>
      <c r="P396" s="107" t="n"/>
      <c r="Q396" s="108">
        <f>IF(P396="","",O396*P396)</f>
        <v/>
      </c>
      <c r="R396" s="243">
        <f>IF(Q396="","",N396-Q396)</f>
        <v/>
      </c>
      <c r="S396" s="110">
        <f>IF(OR(Q396="",N396=0),"",Q396/N396)</f>
        <v/>
      </c>
      <c r="T396" s="111">
        <f>IF(S396="","⚪",IF(S396&gt;1.2,"🔴",IF(S396&gt;1.1,"🟡","🟢")))</f>
        <v/>
      </c>
      <c r="V396" s="105" t="n">
        <v>126806.4</v>
      </c>
      <c r="W396" s="106" t="n">
        <v>300</v>
      </c>
      <c r="X396" s="107" t="n"/>
      <c r="Y396" s="108">
        <f>IF(X396="","",W396*X396)</f>
        <v/>
      </c>
      <c r="Z396" s="243">
        <f>IF(Y396="","",V396-Y396)</f>
        <v/>
      </c>
      <c r="AA396" s="110">
        <f>IF(OR(Y396="",V396=0),"",Y396/V396)</f>
        <v/>
      </c>
      <c r="AB396" s="111">
        <f>IF(AA396="","⚪",IF(AA396&gt;1.2,"🔴",IF(AA396&gt;1.1,"🟡","🟢")))</f>
        <v/>
      </c>
      <c r="AD396" s="105" t="n">
        <v>126806.4</v>
      </c>
      <c r="AE396" s="106" t="n">
        <v>300</v>
      </c>
      <c r="AF396" s="107" t="n"/>
      <c r="AG396" s="108">
        <f>IF(AF396="","",AE396*AF396)</f>
        <v/>
      </c>
      <c r="AH396" s="243">
        <f>IF(AG396="","",AD396-AG396)</f>
        <v/>
      </c>
      <c r="AI396" s="110">
        <f>IF(OR(AG396="",AD396=0),"",AG396/AD396)</f>
        <v/>
      </c>
      <c r="AJ396" s="111">
        <f>IF(AI396="","⚪",IF(AI396&gt;1.2,"🔴",IF(AI396&gt;1.1,"🟡","🟢")))</f>
        <v/>
      </c>
    </row>
    <row r="397" ht="14" customHeight="1" s="176">
      <c r="A397" s="103" t="inlineStr">
        <is>
          <t>Siberia</t>
        </is>
      </c>
      <c r="B397" s="104" t="inlineStr">
        <is>
          <t>S. Celebration 7,14</t>
        </is>
      </c>
      <c r="C397" s="104" t="inlineStr">
        <is>
          <t>1- M.O. directa</t>
        </is>
      </c>
      <c r="D397" s="104" t="inlineStr">
        <is>
          <t>3- Tractorista cosecha</t>
        </is>
      </c>
      <c r="E397" s="104" t="inlineStr">
        <is>
          <t>trato</t>
        </is>
      </c>
      <c r="F397" s="105" t="n">
        <v>39627</v>
      </c>
      <c r="G397" s="106" t="n">
        <v>30</v>
      </c>
      <c r="H397" s="107" t="n"/>
      <c r="I397" s="108">
        <f>IF(H397="","",G397*H397)</f>
        <v/>
      </c>
      <c r="J397" s="243">
        <f>IF(I397="","",F397-I397)</f>
        <v/>
      </c>
      <c r="K397" s="110">
        <f>IF(OR(I397="",F397=0),"",I397/F397)</f>
        <v/>
      </c>
      <c r="L397" s="111">
        <f>IF(K397="","⚪",IF(K397&gt;1.2,"🔴",IF(K397&gt;1.1,"🟡","🟢")))</f>
        <v/>
      </c>
      <c r="N397" s="105" t="n">
        <v>39627</v>
      </c>
      <c r="O397" s="106" t="n">
        <v>30</v>
      </c>
      <c r="P397" s="107" t="n"/>
      <c r="Q397" s="108">
        <f>IF(P397="","",O397*P397)</f>
        <v/>
      </c>
      <c r="R397" s="243">
        <f>IF(Q397="","",N397-Q397)</f>
        <v/>
      </c>
      <c r="S397" s="110">
        <f>IF(OR(Q397="",N397=0),"",Q397/N397)</f>
        <v/>
      </c>
      <c r="T397" s="111">
        <f>IF(S397="","⚪",IF(S397&gt;1.2,"🔴",IF(S397&gt;1.1,"🟡","🟢")))</f>
        <v/>
      </c>
      <c r="V397" s="105" t="n">
        <v>39627</v>
      </c>
      <c r="W397" s="106" t="n">
        <v>30</v>
      </c>
      <c r="X397" s="107" t="n"/>
      <c r="Y397" s="108">
        <f>IF(X397="","",W397*X397)</f>
        <v/>
      </c>
      <c r="Z397" s="243">
        <f>IF(Y397="","",V397-Y397)</f>
        <v/>
      </c>
      <c r="AA397" s="110">
        <f>IF(OR(Y397="",V397=0),"",Y397/V397)</f>
        <v/>
      </c>
      <c r="AB397" s="111">
        <f>IF(AA397="","⚪",IF(AA397&gt;1.2,"🔴",IF(AA397&gt;1.1,"🟡","🟢")))</f>
        <v/>
      </c>
      <c r="AD397" s="105" t="n">
        <v>39627</v>
      </c>
      <c r="AE397" s="106" t="n">
        <v>30</v>
      </c>
      <c r="AF397" s="107" t="n"/>
      <c r="AG397" s="108">
        <f>IF(AF397="","",AE397*AF397)</f>
        <v/>
      </c>
      <c r="AH397" s="243">
        <f>IF(AG397="","",AD397-AG397)</f>
        <v/>
      </c>
      <c r="AI397" s="110">
        <f>IF(OR(AG397="",AD397=0),"",AG397/AD397)</f>
        <v/>
      </c>
      <c r="AJ397" s="111">
        <f>IF(AI397="","⚪",IF(AI397&gt;1.2,"🔴",IF(AI397&gt;1.1,"🟡","🟢")))</f>
        <v/>
      </c>
    </row>
    <row r="398" ht="14" customHeight="1" s="176">
      <c r="A398" s="112" t="inlineStr">
        <is>
          <t>Siberia</t>
        </is>
      </c>
      <c r="B398" s="113" t="inlineStr">
        <is>
          <t>S. Celebration 7,14</t>
        </is>
      </c>
      <c r="C398" s="113" t="inlineStr">
        <is>
          <t>1- M.O. directa</t>
        </is>
      </c>
      <c r="D398" s="113" t="inlineStr">
        <is>
          <t>4- Control de malezas mecánico</t>
        </is>
      </c>
      <c r="E398" s="113" t="inlineStr">
        <is>
          <t>día</t>
        </is>
      </c>
      <c r="F398" s="105" t="n">
        <v>42268.8</v>
      </c>
      <c r="G398" s="106" t="n">
        <v>100</v>
      </c>
      <c r="H398" s="107" t="n"/>
      <c r="I398" s="108">
        <f>IF(H398="","",G398*H398)</f>
        <v/>
      </c>
      <c r="J398" s="243">
        <f>IF(I398="","",F398-I398)</f>
        <v/>
      </c>
      <c r="K398" s="110">
        <f>IF(OR(I398="",F398=0),"",I398/F398)</f>
        <v/>
      </c>
      <c r="L398" s="111">
        <f>IF(K398="","⚪",IF(K398&gt;1.2,"🔴",IF(K398&gt;1.1,"🟡","🟢")))</f>
        <v/>
      </c>
      <c r="N398" s="105" t="n">
        <v>42268.8</v>
      </c>
      <c r="O398" s="106" t="n">
        <v>100</v>
      </c>
      <c r="P398" s="107" t="n"/>
      <c r="Q398" s="108">
        <f>IF(P398="","",O398*P398)</f>
        <v/>
      </c>
      <c r="R398" s="243">
        <f>IF(Q398="","",N398-Q398)</f>
        <v/>
      </c>
      <c r="S398" s="110">
        <f>IF(OR(Q398="",N398=0),"",Q398/N398)</f>
        <v/>
      </c>
      <c r="T398" s="111">
        <f>IF(S398="","⚪",IF(S398&gt;1.2,"🔴",IF(S398&gt;1.1,"🟡","🟢")))</f>
        <v/>
      </c>
      <c r="V398" s="105" t="n">
        <v>42268.8</v>
      </c>
      <c r="W398" s="106" t="n">
        <v>100</v>
      </c>
      <c r="X398" s="107" t="n"/>
      <c r="Y398" s="108">
        <f>IF(X398="","",W398*X398)</f>
        <v/>
      </c>
      <c r="Z398" s="243">
        <f>IF(Y398="","",V398-Y398)</f>
        <v/>
      </c>
      <c r="AA398" s="110">
        <f>IF(OR(Y398="",V398=0),"",Y398/V398)</f>
        <v/>
      </c>
      <c r="AB398" s="111">
        <f>IF(AA398="","⚪",IF(AA398&gt;1.2,"🔴",IF(AA398&gt;1.1,"🟡","🟢")))</f>
        <v/>
      </c>
      <c r="AD398" s="105" t="n">
        <v>42268.8</v>
      </c>
      <c r="AE398" s="106" t="n">
        <v>100</v>
      </c>
      <c r="AF398" s="107" t="n"/>
      <c r="AG398" s="108">
        <f>IF(AF398="","",AE398*AF398)</f>
        <v/>
      </c>
      <c r="AH398" s="243">
        <f>IF(AG398="","",AD398-AG398)</f>
        <v/>
      </c>
      <c r="AI398" s="110">
        <f>IF(OR(AG398="",AD398=0),"",AG398/AD398)</f>
        <v/>
      </c>
      <c r="AJ398" s="111">
        <f>IF(AI398="","⚪",IF(AI398&gt;1.2,"🔴",IF(AI398&gt;1.1,"🟡","🟢")))</f>
        <v/>
      </c>
    </row>
    <row r="399" ht="14" customHeight="1" s="176">
      <c r="A399" s="103" t="inlineStr">
        <is>
          <t>Siberia</t>
        </is>
      </c>
      <c r="B399" s="104" t="inlineStr">
        <is>
          <t>S. Celebration 7,14</t>
        </is>
      </c>
      <c r="C399" s="104" t="inlineStr">
        <is>
          <t>1- M.O. directa</t>
        </is>
      </c>
      <c r="D399" s="104" t="inlineStr">
        <is>
          <t>5,1- Descuelgue de racimos pre raleo</t>
        </is>
      </c>
      <c r="E399" s="104" t="inlineStr">
        <is>
          <t>trato</t>
        </is>
      </c>
      <c r="F399" s="105" t="n">
        <v>105672</v>
      </c>
      <c r="G399" s="106" t="n">
        <v>250</v>
      </c>
      <c r="H399" s="107" t="n"/>
      <c r="I399" s="108">
        <f>IF(H399="","",G399*H399)</f>
        <v/>
      </c>
      <c r="J399" s="243">
        <f>IF(I399="","",F399-I399)</f>
        <v/>
      </c>
      <c r="K399" s="110">
        <f>IF(OR(I399="",F399=0),"",I399/F399)</f>
        <v/>
      </c>
      <c r="L399" s="111">
        <f>IF(K399="","⚪",IF(K399&gt;1.2,"🔴",IF(K399&gt;1.1,"🟡","🟢")))</f>
        <v/>
      </c>
      <c r="N399" s="105" t="n">
        <v>105672</v>
      </c>
      <c r="O399" s="106" t="n">
        <v>250</v>
      </c>
      <c r="P399" s="107" t="n"/>
      <c r="Q399" s="108">
        <f>IF(P399="","",O399*P399)</f>
        <v/>
      </c>
      <c r="R399" s="243">
        <f>IF(Q399="","",N399-Q399)</f>
        <v/>
      </c>
      <c r="S399" s="110">
        <f>IF(OR(Q399="",N399=0),"",Q399/N399)</f>
        <v/>
      </c>
      <c r="T399" s="111">
        <f>IF(S399="","⚪",IF(S399&gt;1.2,"🔴",IF(S399&gt;1.1,"🟡","🟢")))</f>
        <v/>
      </c>
      <c r="V399" s="105" t="n">
        <v>105672</v>
      </c>
      <c r="W399" s="106" t="n">
        <v>250</v>
      </c>
      <c r="X399" s="107" t="n"/>
      <c r="Y399" s="108">
        <f>IF(X399="","",W399*X399)</f>
        <v/>
      </c>
      <c r="Z399" s="243">
        <f>IF(Y399="","",V399-Y399)</f>
        <v/>
      </c>
      <c r="AA399" s="110">
        <f>IF(OR(Y399="",V399=0),"",Y399/V399)</f>
        <v/>
      </c>
      <c r="AB399" s="111">
        <f>IF(AA399="","⚪",IF(AA399&gt;1.2,"🔴",IF(AA399&gt;1.1,"🟡","🟢")))</f>
        <v/>
      </c>
      <c r="AD399" s="105" t="n">
        <v>105672</v>
      </c>
      <c r="AE399" s="106" t="n">
        <v>250</v>
      </c>
      <c r="AF399" s="107" t="n"/>
      <c r="AG399" s="108">
        <f>IF(AF399="","",AE399*AF399)</f>
        <v/>
      </c>
      <c r="AH399" s="243">
        <f>IF(AG399="","",AD399-AG399)</f>
        <v/>
      </c>
      <c r="AI399" s="110">
        <f>IF(OR(AG399="",AD399=0),"",AG399/AD399)</f>
        <v/>
      </c>
      <c r="AJ399" s="111">
        <f>IF(AI399="","⚪",IF(AI399&gt;1.2,"🔴",IF(AI399&gt;1.1,"🟡","🟢")))</f>
        <v/>
      </c>
    </row>
    <row r="400" ht="14" customHeight="1" s="176">
      <c r="A400" s="112" t="inlineStr">
        <is>
          <t>Siberia</t>
        </is>
      </c>
      <c r="B400" s="113" t="inlineStr">
        <is>
          <t>S. Celebration 7,14</t>
        </is>
      </c>
      <c r="C400" s="113" t="inlineStr">
        <is>
          <t>1- M.O. directa</t>
        </is>
      </c>
      <c r="D400" s="113" t="inlineStr">
        <is>
          <t>5,2- arreglo de racimos y descole</t>
        </is>
      </c>
      <c r="E400" s="113" t="inlineStr">
        <is>
          <t>trato</t>
        </is>
      </c>
      <c r="F400" s="105" t="n">
        <v>426069.504</v>
      </c>
      <c r="G400" s="106" t="n">
        <v>21</v>
      </c>
      <c r="H400" s="107" t="n"/>
      <c r="I400" s="108">
        <f>IF(H400="","",G400*H400)</f>
        <v/>
      </c>
      <c r="J400" s="243">
        <f>IF(I400="","",F400-I400)</f>
        <v/>
      </c>
      <c r="K400" s="110">
        <f>IF(OR(I400="",F400=0),"",I400/F400)</f>
        <v/>
      </c>
      <c r="L400" s="111">
        <f>IF(K400="","⚪",IF(K400&gt;1.2,"🔴",IF(K400&gt;1.1,"🟡","🟢")))</f>
        <v/>
      </c>
      <c r="N400" s="105" t="n">
        <v>426069.504</v>
      </c>
      <c r="O400" s="106" t="n">
        <v>21</v>
      </c>
      <c r="P400" s="107" t="n"/>
      <c r="Q400" s="108">
        <f>IF(P400="","",O400*P400)</f>
        <v/>
      </c>
      <c r="R400" s="243">
        <f>IF(Q400="","",N400-Q400)</f>
        <v/>
      </c>
      <c r="S400" s="110">
        <f>IF(OR(Q400="",N400=0),"",Q400/N400)</f>
        <v/>
      </c>
      <c r="T400" s="111">
        <f>IF(S400="","⚪",IF(S400&gt;1.2,"🔴",IF(S400&gt;1.1,"🟡","🟢")))</f>
        <v/>
      </c>
      <c r="V400" s="105" t="n">
        <v>426069.504</v>
      </c>
      <c r="W400" s="106" t="n">
        <v>21</v>
      </c>
      <c r="X400" s="107" t="n"/>
      <c r="Y400" s="108">
        <f>IF(X400="","",W400*X400)</f>
        <v/>
      </c>
      <c r="Z400" s="243">
        <f>IF(Y400="","",V400-Y400)</f>
        <v/>
      </c>
      <c r="AA400" s="110">
        <f>IF(OR(Y400="",V400=0),"",Y400/V400)</f>
        <v/>
      </c>
      <c r="AB400" s="111">
        <f>IF(AA400="","⚪",IF(AA400&gt;1.2,"🔴",IF(AA400&gt;1.1,"🟡","🟢")))</f>
        <v/>
      </c>
      <c r="AD400" s="105" t="n">
        <v>426069.504</v>
      </c>
      <c r="AE400" s="106" t="n">
        <v>21</v>
      </c>
      <c r="AF400" s="107" t="n"/>
      <c r="AG400" s="108">
        <f>IF(AF400="","",AE400*AF400)</f>
        <v/>
      </c>
      <c r="AH400" s="243">
        <f>IF(AG400="","",AD400-AG400)</f>
        <v/>
      </c>
      <c r="AI400" s="110">
        <f>IF(OR(AG400="",AD400=0),"",AG400/AD400)</f>
        <v/>
      </c>
      <c r="AJ400" s="111">
        <f>IF(AI400="","⚪",IF(AI400&gt;1.2,"🔴",IF(AI400&gt;1.1,"🟡","🟢")))</f>
        <v/>
      </c>
    </row>
    <row r="401" ht="14" customHeight="1" s="176">
      <c r="A401" s="103" t="inlineStr">
        <is>
          <t>Siberia</t>
        </is>
      </c>
      <c r="B401" s="104" t="inlineStr">
        <is>
          <t>S. Celebration 7,14</t>
        </is>
      </c>
      <c r="C401" s="104" t="inlineStr">
        <is>
          <t>1- M.O. directa</t>
        </is>
      </c>
      <c r="D401" s="104" t="inlineStr">
        <is>
          <t>5,3- ajuste de carga</t>
        </is>
      </c>
      <c r="E401" s="104" t="inlineStr">
        <is>
          <t>trato</t>
        </is>
      </c>
      <c r="F401" s="105" t="n">
        <v>63403.2</v>
      </c>
      <c r="G401" s="106" t="n">
        <v>150</v>
      </c>
      <c r="H401" s="107" t="n"/>
      <c r="I401" s="108">
        <f>IF(H401="","",G401*H401)</f>
        <v/>
      </c>
      <c r="J401" s="243">
        <f>IF(I401="","",F401-I401)</f>
        <v/>
      </c>
      <c r="K401" s="110">
        <f>IF(OR(I401="",F401=0),"",I401/F401)</f>
        <v/>
      </c>
      <c r="L401" s="111">
        <f>IF(K401="","⚪",IF(K401&gt;1.2,"🔴",IF(K401&gt;1.1,"🟡","🟢")))</f>
        <v/>
      </c>
      <c r="N401" s="105" t="n">
        <v>63403.2</v>
      </c>
      <c r="O401" s="106" t="n">
        <v>150</v>
      </c>
      <c r="P401" s="107" t="n"/>
      <c r="Q401" s="108">
        <f>IF(P401="","",O401*P401)</f>
        <v/>
      </c>
      <c r="R401" s="243">
        <f>IF(Q401="","",N401-Q401)</f>
        <v/>
      </c>
      <c r="S401" s="110">
        <f>IF(OR(Q401="",N401=0),"",Q401/N401)</f>
        <v/>
      </c>
      <c r="T401" s="111">
        <f>IF(S401="","⚪",IF(S401&gt;1.2,"🔴",IF(S401&gt;1.1,"🟡","🟢")))</f>
        <v/>
      </c>
      <c r="V401" s="105" t="n">
        <v>63403.2</v>
      </c>
      <c r="W401" s="106" t="n">
        <v>150</v>
      </c>
      <c r="X401" s="107" t="n"/>
      <c r="Y401" s="108">
        <f>IF(X401="","",W401*X401)</f>
        <v/>
      </c>
      <c r="Z401" s="243">
        <f>IF(Y401="","",V401-Y401)</f>
        <v/>
      </c>
      <c r="AA401" s="110">
        <f>IF(OR(Y401="",V401=0),"",Y401/V401)</f>
        <v/>
      </c>
      <c r="AB401" s="111">
        <f>IF(AA401="","⚪",IF(AA401&gt;1.2,"🔴",IF(AA401&gt;1.1,"🟡","🟢")))</f>
        <v/>
      </c>
      <c r="AD401" s="105" t="n">
        <v>63403.2</v>
      </c>
      <c r="AE401" s="106" t="n">
        <v>150</v>
      </c>
      <c r="AF401" s="107" t="n"/>
      <c r="AG401" s="108">
        <f>IF(AF401="","",AE401*AF401)</f>
        <v/>
      </c>
      <c r="AH401" s="243">
        <f>IF(AG401="","",AD401-AG401)</f>
        <v/>
      </c>
      <c r="AI401" s="110">
        <f>IF(OR(AG401="",AD401=0),"",AG401/AD401)</f>
        <v/>
      </c>
      <c r="AJ401" s="111">
        <f>IF(AI401="","⚪",IF(AI401&gt;1.2,"🔴",IF(AI401&gt;1.1,"🟡","🟢")))</f>
        <v/>
      </c>
    </row>
    <row r="402" ht="14" customHeight="1" s="176">
      <c r="A402" s="112" t="inlineStr">
        <is>
          <t>Siberia</t>
        </is>
      </c>
      <c r="B402" s="113" t="inlineStr">
        <is>
          <t>S. Celebration 7,14</t>
        </is>
      </c>
      <c r="C402" s="113" t="inlineStr">
        <is>
          <t>1- M.O. directa</t>
        </is>
      </c>
      <c r="D402" s="113" t="inlineStr">
        <is>
          <t>5,4- Subir y amarrar brotes</t>
        </is>
      </c>
      <c r="E402" s="113" t="inlineStr">
        <is>
          <t>día</t>
        </is>
      </c>
      <c r="F402" s="105" t="n">
        <v>23100</v>
      </c>
      <c r="G402" s="106" t="n">
        <v>38500</v>
      </c>
      <c r="H402" s="107" t="n"/>
      <c r="I402" s="108">
        <f>IF(H402="","",G402*H402)</f>
        <v/>
      </c>
      <c r="J402" s="243">
        <f>IF(I402="","",F402-I402)</f>
        <v/>
      </c>
      <c r="K402" s="110">
        <f>IF(OR(I402="",F402=0),"",I402/F402)</f>
        <v/>
      </c>
      <c r="L402" s="111">
        <f>IF(K402="","⚪",IF(K402&gt;1.2,"🔴",IF(K402&gt;1.1,"🟡","🟢")))</f>
        <v/>
      </c>
      <c r="N402" s="105" t="n">
        <v>23100</v>
      </c>
      <c r="O402" s="106" t="n">
        <v>38500</v>
      </c>
      <c r="P402" s="107" t="n"/>
      <c r="Q402" s="108">
        <f>IF(P402="","",O402*P402)</f>
        <v/>
      </c>
      <c r="R402" s="243">
        <f>IF(Q402="","",N402-Q402)</f>
        <v/>
      </c>
      <c r="S402" s="110">
        <f>IF(OR(Q402="",N402=0),"",Q402/N402)</f>
        <v/>
      </c>
      <c r="T402" s="111">
        <f>IF(S402="","⚪",IF(S402&gt;1.2,"🔴",IF(S402&gt;1.1,"🟡","🟢")))</f>
        <v/>
      </c>
      <c r="V402" s="105" t="n">
        <v>23100</v>
      </c>
      <c r="W402" s="106" t="n">
        <v>38500</v>
      </c>
      <c r="X402" s="107" t="n"/>
      <c r="Y402" s="108">
        <f>IF(X402="","",W402*X402)</f>
        <v/>
      </c>
      <c r="Z402" s="243">
        <f>IF(Y402="","",V402-Y402)</f>
        <v/>
      </c>
      <c r="AA402" s="110">
        <f>IF(OR(Y402="",V402=0),"",Y402/V402)</f>
        <v/>
      </c>
      <c r="AB402" s="111">
        <f>IF(AA402="","⚪",IF(AA402&gt;1.2,"🔴",IF(AA402&gt;1.1,"🟡","🟢")))</f>
        <v/>
      </c>
      <c r="AD402" s="105" t="n">
        <v>23100</v>
      </c>
      <c r="AE402" s="106" t="n">
        <v>38500</v>
      </c>
      <c r="AF402" s="107" t="n"/>
      <c r="AG402" s="108">
        <f>IF(AF402="","",AE402*AF402)</f>
        <v/>
      </c>
      <c r="AH402" s="243">
        <f>IF(AG402="","",AD402-AG402)</f>
        <v/>
      </c>
      <c r="AI402" s="110">
        <f>IF(OR(AG402="",AD402=0),"",AG402/AD402)</f>
        <v/>
      </c>
      <c r="AJ402" s="111">
        <f>IF(AI402="","⚪",IF(AI402&gt;1.2,"🔴",IF(AI402&gt;1.1,"🟡","🟢")))</f>
        <v/>
      </c>
    </row>
    <row r="403" ht="14" customHeight="1" s="176">
      <c r="A403" s="103" t="inlineStr">
        <is>
          <t>Siberia</t>
        </is>
      </c>
      <c r="B403" s="104" t="inlineStr">
        <is>
          <t>S. Celebration 7,14</t>
        </is>
      </c>
      <c r="C403" s="104" t="inlineStr">
        <is>
          <t>1- M.O. directa</t>
        </is>
      </c>
      <c r="D403" s="104" t="inlineStr">
        <is>
          <t>5,5- Deshoje de corona y pasillo</t>
        </is>
      </c>
      <c r="E403" s="104" t="inlineStr">
        <is>
          <t>trato</t>
        </is>
      </c>
      <c r="F403" s="105" t="n">
        <v>92991.36</v>
      </c>
      <c r="G403" s="106" t="n">
        <v>220</v>
      </c>
      <c r="H403" s="107" t="n"/>
      <c r="I403" s="108">
        <f>IF(H403="","",G403*H403)</f>
        <v/>
      </c>
      <c r="J403" s="243">
        <f>IF(I403="","",F403-I403)</f>
        <v/>
      </c>
      <c r="K403" s="110">
        <f>IF(OR(I403="",F403=0),"",I403/F403)</f>
        <v/>
      </c>
      <c r="L403" s="111">
        <f>IF(K403="","⚪",IF(K403&gt;1.2,"🔴",IF(K403&gt;1.1,"🟡","🟢")))</f>
        <v/>
      </c>
      <c r="N403" s="105" t="n">
        <v>92991.36</v>
      </c>
      <c r="O403" s="106" t="n">
        <v>220</v>
      </c>
      <c r="P403" s="107" t="n"/>
      <c r="Q403" s="108">
        <f>IF(P403="","",O403*P403)</f>
        <v/>
      </c>
      <c r="R403" s="243">
        <f>IF(Q403="","",N403-Q403)</f>
        <v/>
      </c>
      <c r="S403" s="110">
        <f>IF(OR(Q403="",N403=0),"",Q403/N403)</f>
        <v/>
      </c>
      <c r="T403" s="111">
        <f>IF(S403="","⚪",IF(S403&gt;1.2,"🔴",IF(S403&gt;1.1,"🟡","🟢")))</f>
        <v/>
      </c>
      <c r="V403" s="105" t="n">
        <v>92991.36</v>
      </c>
      <c r="W403" s="106" t="n">
        <v>220</v>
      </c>
      <c r="X403" s="107" t="n"/>
      <c r="Y403" s="108">
        <f>IF(X403="","",W403*X403)</f>
        <v/>
      </c>
      <c r="Z403" s="243">
        <f>IF(Y403="","",V403-Y403)</f>
        <v/>
      </c>
      <c r="AA403" s="110">
        <f>IF(OR(Y403="",V403=0),"",Y403/V403)</f>
        <v/>
      </c>
      <c r="AB403" s="111">
        <f>IF(AA403="","⚪",IF(AA403&gt;1.2,"🔴",IF(AA403&gt;1.1,"🟡","🟢")))</f>
        <v/>
      </c>
      <c r="AD403" s="105" t="n">
        <v>92991.36</v>
      </c>
      <c r="AE403" s="106" t="n">
        <v>220</v>
      </c>
      <c r="AF403" s="107" t="n"/>
      <c r="AG403" s="108">
        <f>IF(AF403="","",AE403*AF403)</f>
        <v/>
      </c>
      <c r="AH403" s="243">
        <f>IF(AG403="","",AD403-AG403)</f>
        <v/>
      </c>
      <c r="AI403" s="110">
        <f>IF(OR(AG403="",AD403=0),"",AG403/AD403)</f>
        <v/>
      </c>
      <c r="AJ403" s="111">
        <f>IF(AI403="","⚪",IF(AI403&gt;1.2,"🔴",IF(AI403&gt;1.1,"🟡","🟢")))</f>
        <v/>
      </c>
    </row>
    <row r="404" ht="14" customHeight="1" s="176">
      <c r="A404" s="112" t="inlineStr">
        <is>
          <t>Siberia</t>
        </is>
      </c>
      <c r="B404" s="113" t="inlineStr">
        <is>
          <t>S. Celebration 7,14</t>
        </is>
      </c>
      <c r="C404" s="113" t="inlineStr">
        <is>
          <t>1- M.O. directa</t>
        </is>
      </c>
      <c r="D404" s="113" t="inlineStr">
        <is>
          <t>5- desbrote y preajuste de carga</t>
        </is>
      </c>
      <c r="E404" s="113" t="inlineStr">
        <is>
          <t>trato</t>
        </is>
      </c>
      <c r="F404" s="105" t="n">
        <v>158508</v>
      </c>
      <c r="G404" s="106" t="n">
        <v>375</v>
      </c>
      <c r="H404" s="107" t="n"/>
      <c r="I404" s="108">
        <f>IF(H404="","",G404*H404)</f>
        <v/>
      </c>
      <c r="J404" s="243">
        <f>IF(I404="","",F404-I404)</f>
        <v/>
      </c>
      <c r="K404" s="110">
        <f>IF(OR(I404="",F404=0),"",I404/F404)</f>
        <v/>
      </c>
      <c r="L404" s="111">
        <f>IF(K404="","⚪",IF(K404&gt;1.2,"🔴",IF(K404&gt;1.1,"🟡","🟢")))</f>
        <v/>
      </c>
      <c r="N404" s="105" t="n">
        <v>158508</v>
      </c>
      <c r="O404" s="106" t="n">
        <v>375</v>
      </c>
      <c r="P404" s="107" t="n"/>
      <c r="Q404" s="108">
        <f>IF(P404="","",O404*P404)</f>
        <v/>
      </c>
      <c r="R404" s="243">
        <f>IF(Q404="","",N404-Q404)</f>
        <v/>
      </c>
      <c r="S404" s="110">
        <f>IF(OR(Q404="",N404=0),"",Q404/N404)</f>
        <v/>
      </c>
      <c r="T404" s="111">
        <f>IF(S404="","⚪",IF(S404&gt;1.2,"🔴",IF(S404&gt;1.1,"🟡","🟢")))</f>
        <v/>
      </c>
      <c r="V404" s="105" t="n">
        <v>158508</v>
      </c>
      <c r="W404" s="106" t="n">
        <v>375</v>
      </c>
      <c r="X404" s="107" t="n"/>
      <c r="Y404" s="108">
        <f>IF(X404="","",W404*X404)</f>
        <v/>
      </c>
      <c r="Z404" s="243">
        <f>IF(Y404="","",V404-Y404)</f>
        <v/>
      </c>
      <c r="AA404" s="110">
        <f>IF(OR(Y404="",V404=0),"",Y404/V404)</f>
        <v/>
      </c>
      <c r="AB404" s="111">
        <f>IF(AA404="","⚪",IF(AA404&gt;1.2,"🔴",IF(AA404&gt;1.1,"🟡","🟢")))</f>
        <v/>
      </c>
      <c r="AD404" s="105" t="n">
        <v>158508</v>
      </c>
      <c r="AE404" s="106" t="n">
        <v>375</v>
      </c>
      <c r="AF404" s="107" t="n"/>
      <c r="AG404" s="108">
        <f>IF(AF404="","",AE404*AF404)</f>
        <v/>
      </c>
      <c r="AH404" s="243">
        <f>IF(AG404="","",AD404-AG404)</f>
        <v/>
      </c>
      <c r="AI404" s="110">
        <f>IF(OR(AG404="",AD404=0),"",AG404/AD404)</f>
        <v/>
      </c>
      <c r="AJ404" s="111">
        <f>IF(AI404="","⚪",IF(AI404&gt;1.2,"🔴",IF(AI404&gt;1.1,"🟡","🟢")))</f>
        <v/>
      </c>
    </row>
    <row r="405" ht="14" customHeight="1" s="176">
      <c r="A405" s="103" t="inlineStr">
        <is>
          <t>Siberia</t>
        </is>
      </c>
      <c r="B405" s="104" t="inlineStr">
        <is>
          <t>S. Celebration 7,14</t>
        </is>
      </c>
      <c r="C405" s="104" t="inlineStr">
        <is>
          <t>1- M.O. directa</t>
        </is>
      </c>
      <c r="D405" s="104" t="inlineStr">
        <is>
          <t>6,1- Supervisor cosecha</t>
        </is>
      </c>
      <c r="E405" s="104" t="inlineStr">
        <is>
          <t>trato</t>
        </is>
      </c>
      <c r="F405" s="105" t="n">
        <v>66045</v>
      </c>
      <c r="G405" s="106" t="n">
        <v>50</v>
      </c>
      <c r="H405" s="107" t="n"/>
      <c r="I405" s="108">
        <f>IF(H405="","",G405*H405)</f>
        <v/>
      </c>
      <c r="J405" s="243">
        <f>IF(I405="","",F405-I405)</f>
        <v/>
      </c>
      <c r="K405" s="110">
        <f>IF(OR(I405="",F405=0),"",I405/F405)</f>
        <v/>
      </c>
      <c r="L405" s="111">
        <f>IF(K405="","⚪",IF(K405&gt;1.2,"🔴",IF(K405&gt;1.1,"🟡","🟢")))</f>
        <v/>
      </c>
      <c r="N405" s="105" t="n">
        <v>66045</v>
      </c>
      <c r="O405" s="106" t="n">
        <v>50</v>
      </c>
      <c r="P405" s="107" t="n"/>
      <c r="Q405" s="108">
        <f>IF(P405="","",O405*P405)</f>
        <v/>
      </c>
      <c r="R405" s="243">
        <f>IF(Q405="","",N405-Q405)</f>
        <v/>
      </c>
      <c r="S405" s="110">
        <f>IF(OR(Q405="",N405=0),"",Q405/N405)</f>
        <v/>
      </c>
      <c r="T405" s="111">
        <f>IF(S405="","⚪",IF(S405&gt;1.2,"🔴",IF(S405&gt;1.1,"🟡","🟢")))</f>
        <v/>
      </c>
      <c r="V405" s="105" t="n">
        <v>66045</v>
      </c>
      <c r="W405" s="106" t="n">
        <v>50</v>
      </c>
      <c r="X405" s="107" t="n"/>
      <c r="Y405" s="108">
        <f>IF(X405="","",W405*X405)</f>
        <v/>
      </c>
      <c r="Z405" s="243">
        <f>IF(Y405="","",V405-Y405)</f>
        <v/>
      </c>
      <c r="AA405" s="110">
        <f>IF(OR(Y405="",V405=0),"",Y405/V405)</f>
        <v/>
      </c>
      <c r="AB405" s="111">
        <f>IF(AA405="","⚪",IF(AA405&gt;1.2,"🔴",IF(AA405&gt;1.1,"🟡","🟢")))</f>
        <v/>
      </c>
      <c r="AD405" s="105" t="n">
        <v>66045</v>
      </c>
      <c r="AE405" s="106" t="n">
        <v>50</v>
      </c>
      <c r="AF405" s="107" t="n"/>
      <c r="AG405" s="108">
        <f>IF(AF405="","",AE405*AF405)</f>
        <v/>
      </c>
      <c r="AH405" s="243">
        <f>IF(AG405="","",AD405-AG405)</f>
        <v/>
      </c>
      <c r="AI405" s="110">
        <f>IF(OR(AG405="",AD405=0),"",AG405/AD405)</f>
        <v/>
      </c>
      <c r="AJ405" s="111">
        <f>IF(AI405="","⚪",IF(AI405&gt;1.2,"🔴",IF(AI405&gt;1.1,"🟡","🟢")))</f>
        <v/>
      </c>
    </row>
    <row r="406" ht="14" customHeight="1" s="176">
      <c r="A406" s="112" t="inlineStr">
        <is>
          <t>Siberia</t>
        </is>
      </c>
      <c r="B406" s="113" t="inlineStr">
        <is>
          <t>S. Celebration 7,14</t>
        </is>
      </c>
      <c r="C406" s="113" t="inlineStr">
        <is>
          <t>1- M.O. directa</t>
        </is>
      </c>
      <c r="D406" s="113" t="inlineStr">
        <is>
          <t>6,3- Colosero  cosecha</t>
        </is>
      </c>
      <c r="E406" s="113" t="inlineStr">
        <is>
          <t>trato</t>
        </is>
      </c>
      <c r="F406" s="105" t="n">
        <v>106992.9</v>
      </c>
      <c r="G406" s="106" t="n">
        <v>81</v>
      </c>
      <c r="H406" s="107" t="n"/>
      <c r="I406" s="108">
        <f>IF(H406="","",G406*H406)</f>
        <v/>
      </c>
      <c r="J406" s="243">
        <f>IF(I406="","",F406-I406)</f>
        <v/>
      </c>
      <c r="K406" s="110">
        <f>IF(OR(I406="",F406=0),"",I406/F406)</f>
        <v/>
      </c>
      <c r="L406" s="111">
        <f>IF(K406="","⚪",IF(K406&gt;1.2,"🔴",IF(K406&gt;1.1,"🟡","🟢")))</f>
        <v/>
      </c>
      <c r="N406" s="105" t="n">
        <v>106992.9</v>
      </c>
      <c r="O406" s="106" t="n">
        <v>81</v>
      </c>
      <c r="P406" s="107" t="n"/>
      <c r="Q406" s="108">
        <f>IF(P406="","",O406*P406)</f>
        <v/>
      </c>
      <c r="R406" s="243">
        <f>IF(Q406="","",N406-Q406)</f>
        <v/>
      </c>
      <c r="S406" s="110">
        <f>IF(OR(Q406="",N406=0),"",Q406/N406)</f>
        <v/>
      </c>
      <c r="T406" s="111">
        <f>IF(S406="","⚪",IF(S406&gt;1.2,"🔴",IF(S406&gt;1.1,"🟡","🟢")))</f>
        <v/>
      </c>
      <c r="V406" s="105" t="n">
        <v>106992.9</v>
      </c>
      <c r="W406" s="106" t="n">
        <v>81</v>
      </c>
      <c r="X406" s="107" t="n"/>
      <c r="Y406" s="108">
        <f>IF(X406="","",W406*X406)</f>
        <v/>
      </c>
      <c r="Z406" s="243">
        <f>IF(Y406="","",V406-Y406)</f>
        <v/>
      </c>
      <c r="AA406" s="110">
        <f>IF(OR(Y406="",V406=0),"",Y406/V406)</f>
        <v/>
      </c>
      <c r="AB406" s="111">
        <f>IF(AA406="","⚪",IF(AA406&gt;1.2,"🔴",IF(AA406&gt;1.1,"🟡","🟢")))</f>
        <v/>
      </c>
      <c r="AD406" s="105" t="n">
        <v>106992.9</v>
      </c>
      <c r="AE406" s="106" t="n">
        <v>81</v>
      </c>
      <c r="AF406" s="107" t="n"/>
      <c r="AG406" s="108">
        <f>IF(AF406="","",AE406*AF406)</f>
        <v/>
      </c>
      <c r="AH406" s="243">
        <f>IF(AG406="","",AD406-AG406)</f>
        <v/>
      </c>
      <c r="AI406" s="110">
        <f>IF(OR(AG406="",AD406=0),"",AG406/AD406)</f>
        <v/>
      </c>
      <c r="AJ406" s="111">
        <f>IF(AI406="","⚪",IF(AI406&gt;1.2,"🔴",IF(AI406&gt;1.1,"🟡","🟢")))</f>
        <v/>
      </c>
    </row>
    <row r="407" ht="14" customHeight="1" s="176">
      <c r="A407" s="103" t="inlineStr">
        <is>
          <t>Siberia</t>
        </is>
      </c>
      <c r="B407" s="104" t="inlineStr">
        <is>
          <t>S. Celebration 7,14</t>
        </is>
      </c>
      <c r="C407" s="104" t="inlineStr">
        <is>
          <t>1- M.O. directa</t>
        </is>
      </c>
      <c r="D407" s="104" t="inlineStr">
        <is>
          <t xml:space="preserve">6- cosecha </t>
        </is>
      </c>
      <c r="E407" s="104" t="inlineStr">
        <is>
          <t>trato</t>
        </is>
      </c>
      <c r="F407" s="105" t="n">
        <v>330225</v>
      </c>
      <c r="G407" s="106" t="n">
        <v>250</v>
      </c>
      <c r="H407" s="107" t="n"/>
      <c r="I407" s="108">
        <f>IF(H407="","",G407*H407)</f>
        <v/>
      </c>
      <c r="J407" s="243">
        <f>IF(I407="","",F407-I407)</f>
        <v/>
      </c>
      <c r="K407" s="110">
        <f>IF(OR(I407="",F407=0),"",I407/F407)</f>
        <v/>
      </c>
      <c r="L407" s="111">
        <f>IF(K407="","⚪",IF(K407&gt;1.2,"🔴",IF(K407&gt;1.1,"🟡","🟢")))</f>
        <v/>
      </c>
      <c r="N407" s="105" t="n">
        <v>330225</v>
      </c>
      <c r="O407" s="106" t="n">
        <v>250</v>
      </c>
      <c r="P407" s="107" t="n"/>
      <c r="Q407" s="108">
        <f>IF(P407="","",O407*P407)</f>
        <v/>
      </c>
      <c r="R407" s="243">
        <f>IF(Q407="","",N407-Q407)</f>
        <v/>
      </c>
      <c r="S407" s="110">
        <f>IF(OR(Q407="",N407=0),"",Q407/N407)</f>
        <v/>
      </c>
      <c r="T407" s="111">
        <f>IF(S407="","⚪",IF(S407&gt;1.2,"🔴",IF(S407&gt;1.1,"🟡","🟢")))</f>
        <v/>
      </c>
      <c r="V407" s="105" t="n">
        <v>330225</v>
      </c>
      <c r="W407" s="106" t="n">
        <v>250</v>
      </c>
      <c r="X407" s="107" t="n"/>
      <c r="Y407" s="108">
        <f>IF(X407="","",W407*X407)</f>
        <v/>
      </c>
      <c r="Z407" s="243">
        <f>IF(Y407="","",V407-Y407)</f>
        <v/>
      </c>
      <c r="AA407" s="110">
        <f>IF(OR(Y407="",V407=0),"",Y407/V407)</f>
        <v/>
      </c>
      <c r="AB407" s="111">
        <f>IF(AA407="","⚪",IF(AA407&gt;1.2,"🔴",IF(AA407&gt;1.1,"🟡","🟢")))</f>
        <v/>
      </c>
      <c r="AD407" s="105" t="n">
        <v>330225</v>
      </c>
      <c r="AE407" s="106" t="n">
        <v>250</v>
      </c>
      <c r="AF407" s="107" t="n"/>
      <c r="AG407" s="108">
        <f>IF(AF407="","",AE407*AF407)</f>
        <v/>
      </c>
      <c r="AH407" s="243">
        <f>IF(AG407="","",AD407-AG407)</f>
        <v/>
      </c>
      <c r="AI407" s="110">
        <f>IF(OR(AG407="",AD407=0),"",AG407/AD407)</f>
        <v/>
      </c>
      <c r="AJ407" s="111">
        <f>IF(AI407="","⚪",IF(AI407&gt;1.2,"🔴",IF(AI407&gt;1.1,"🟡","🟢")))</f>
        <v/>
      </c>
    </row>
    <row r="408" ht="14" customHeight="1" s="176">
      <c r="A408" s="112" t="inlineStr">
        <is>
          <t>Siberia</t>
        </is>
      </c>
      <c r="B408" s="113" t="inlineStr">
        <is>
          <t>S. Celebration 7,14</t>
        </is>
      </c>
      <c r="C408" s="113" t="inlineStr">
        <is>
          <t>1- M.O. directa</t>
        </is>
      </c>
      <c r="D408" s="113" t="inlineStr">
        <is>
          <t>7,1- Supervisor limpia</t>
        </is>
      </c>
      <c r="E408" s="113" t="inlineStr">
        <is>
          <t>día</t>
        </is>
      </c>
      <c r="F408" s="105" t="n">
        <v>132090</v>
      </c>
      <c r="G408" s="106" t="n">
        <v>100</v>
      </c>
      <c r="H408" s="107" t="n"/>
      <c r="I408" s="108">
        <f>IF(H408="","",G408*H408)</f>
        <v/>
      </c>
      <c r="J408" s="243">
        <f>IF(I408="","",F408-I408)</f>
        <v/>
      </c>
      <c r="K408" s="110">
        <f>IF(OR(I408="",F408=0),"",I408/F408)</f>
        <v/>
      </c>
      <c r="L408" s="111">
        <f>IF(K408="","⚪",IF(K408&gt;1.2,"🔴",IF(K408&gt;1.1,"🟡","🟢")))</f>
        <v/>
      </c>
      <c r="N408" s="105" t="n">
        <v>132090</v>
      </c>
      <c r="O408" s="106" t="n">
        <v>100</v>
      </c>
      <c r="P408" s="107" t="n"/>
      <c r="Q408" s="108">
        <f>IF(P408="","",O408*P408)</f>
        <v/>
      </c>
      <c r="R408" s="243">
        <f>IF(Q408="","",N408-Q408)</f>
        <v/>
      </c>
      <c r="S408" s="110">
        <f>IF(OR(Q408="",N408=0),"",Q408/N408)</f>
        <v/>
      </c>
      <c r="T408" s="111">
        <f>IF(S408="","⚪",IF(S408&gt;1.2,"🔴",IF(S408&gt;1.1,"🟡","🟢")))</f>
        <v/>
      </c>
      <c r="V408" s="105" t="n">
        <v>132090</v>
      </c>
      <c r="W408" s="106" t="n">
        <v>100</v>
      </c>
      <c r="X408" s="107" t="n"/>
      <c r="Y408" s="108">
        <f>IF(X408="","",W408*X408)</f>
        <v/>
      </c>
      <c r="Z408" s="243">
        <f>IF(Y408="","",V408-Y408)</f>
        <v/>
      </c>
      <c r="AA408" s="110">
        <f>IF(OR(Y408="",V408=0),"",Y408/V408)</f>
        <v/>
      </c>
      <c r="AB408" s="111">
        <f>IF(AA408="","⚪",IF(AA408&gt;1.2,"🔴",IF(AA408&gt;1.1,"🟡","🟢")))</f>
        <v/>
      </c>
      <c r="AD408" s="105" t="n">
        <v>132090</v>
      </c>
      <c r="AE408" s="106" t="n">
        <v>100</v>
      </c>
      <c r="AF408" s="107" t="n"/>
      <c r="AG408" s="108">
        <f>IF(AF408="","",AE408*AF408)</f>
        <v/>
      </c>
      <c r="AH408" s="243">
        <f>IF(AG408="","",AD408-AG408)</f>
        <v/>
      </c>
      <c r="AI408" s="110">
        <f>IF(OR(AG408="",AD408=0),"",AG408/AD408)</f>
        <v/>
      </c>
      <c r="AJ408" s="111">
        <f>IF(AI408="","⚪",IF(AI408&gt;1.2,"🔴",IF(AI408&gt;1.1,"🟡","🟢")))</f>
        <v/>
      </c>
    </row>
    <row r="409" ht="14" customHeight="1" s="176">
      <c r="A409" s="103" t="inlineStr">
        <is>
          <t>Siberia</t>
        </is>
      </c>
      <c r="B409" s="104" t="inlineStr">
        <is>
          <t>S. Celebration 7,14</t>
        </is>
      </c>
      <c r="C409" s="104" t="inlineStr">
        <is>
          <t>1- M.O. directa</t>
        </is>
      </c>
      <c r="D409" s="104" t="inlineStr">
        <is>
          <t>7,1- TRACTORISTA</t>
        </is>
      </c>
      <c r="E409" s="104" t="inlineStr">
        <is>
          <t>día</t>
        </is>
      </c>
      <c r="F409" s="105" t="n">
        <v>135605.736</v>
      </c>
      <c r="G409" s="106" t="n">
        <v>38000</v>
      </c>
      <c r="H409" s="107" t="n"/>
      <c r="I409" s="108">
        <f>IF(H409="","",G409*H409)</f>
        <v/>
      </c>
      <c r="J409" s="243">
        <f>IF(I409="","",F409-I409)</f>
        <v/>
      </c>
      <c r="K409" s="110">
        <f>IF(OR(I409="",F409=0),"",I409/F409)</f>
        <v/>
      </c>
      <c r="L409" s="111">
        <f>IF(K409="","⚪",IF(K409&gt;1.2,"🔴",IF(K409&gt;1.1,"🟡","🟢")))</f>
        <v/>
      </c>
      <c r="N409" s="105" t="n">
        <v>135605.736</v>
      </c>
      <c r="O409" s="106" t="n">
        <v>38000</v>
      </c>
      <c r="P409" s="107" t="n"/>
      <c r="Q409" s="108">
        <f>IF(P409="","",O409*P409)</f>
        <v/>
      </c>
      <c r="R409" s="243">
        <f>IF(Q409="","",N409-Q409)</f>
        <v/>
      </c>
      <c r="S409" s="110">
        <f>IF(OR(Q409="",N409=0),"",Q409/N409)</f>
        <v/>
      </c>
      <c r="T409" s="111">
        <f>IF(S409="","⚪",IF(S409&gt;1.2,"🔴",IF(S409&gt;1.1,"🟡","🟢")))</f>
        <v/>
      </c>
      <c r="V409" s="105" t="n">
        <v>135605.736</v>
      </c>
      <c r="W409" s="106" t="n">
        <v>38000</v>
      </c>
      <c r="X409" s="107" t="n"/>
      <c r="Y409" s="108">
        <f>IF(X409="","",W409*X409)</f>
        <v/>
      </c>
      <c r="Z409" s="243">
        <f>IF(Y409="","",V409-Y409)</f>
        <v/>
      </c>
      <c r="AA409" s="110">
        <f>IF(OR(Y409="",V409=0),"",Y409/V409)</f>
        <v/>
      </c>
      <c r="AB409" s="111">
        <f>IF(AA409="","⚪",IF(AA409&gt;1.2,"🔴",IF(AA409&gt;1.1,"🟡","🟢")))</f>
        <v/>
      </c>
      <c r="AD409" s="105" t="n">
        <v>135605.736</v>
      </c>
      <c r="AE409" s="106" t="n">
        <v>38000</v>
      </c>
      <c r="AF409" s="107" t="n"/>
      <c r="AG409" s="108">
        <f>IF(AF409="","",AE409*AF409)</f>
        <v/>
      </c>
      <c r="AH409" s="243">
        <f>IF(AG409="","",AD409-AG409)</f>
        <v/>
      </c>
      <c r="AI409" s="110">
        <f>IF(OR(AG409="",AD409=0),"",AG409/AD409)</f>
        <v/>
      </c>
      <c r="AJ409" s="111">
        <f>IF(AI409="","⚪",IF(AI409&gt;1.2,"🔴",IF(AI409&gt;1.1,"🟡","🟢")))</f>
        <v/>
      </c>
    </row>
    <row r="410" ht="14" customHeight="1" s="176">
      <c r="A410" s="112" t="inlineStr">
        <is>
          <t>Siberia</t>
        </is>
      </c>
      <c r="B410" s="113" t="inlineStr">
        <is>
          <t>S. Celebration 7,14</t>
        </is>
      </c>
      <c r="C410" s="113" t="inlineStr">
        <is>
          <t>1- M.O. directa</t>
        </is>
      </c>
      <c r="D410" s="113" t="inlineStr">
        <is>
          <t>7,2- Mozo  limpia</t>
        </is>
      </c>
      <c r="E410" s="113" t="inlineStr">
        <is>
          <t>día</t>
        </is>
      </c>
      <c r="F410" s="105" t="n">
        <v>81895.8</v>
      </c>
      <c r="G410" s="106" t="n">
        <v>62</v>
      </c>
      <c r="H410" s="107" t="n"/>
      <c r="I410" s="108">
        <f>IF(H410="","",G410*H410)</f>
        <v/>
      </c>
      <c r="J410" s="243">
        <f>IF(I410="","",F410-I410)</f>
        <v/>
      </c>
      <c r="K410" s="110">
        <f>IF(OR(I410="",F410=0),"",I410/F410)</f>
        <v/>
      </c>
      <c r="L410" s="111">
        <f>IF(K410="","⚪",IF(K410&gt;1.2,"🔴",IF(K410&gt;1.1,"🟡","🟢")))</f>
        <v/>
      </c>
      <c r="N410" s="105" t="n">
        <v>81895.8</v>
      </c>
      <c r="O410" s="106" t="n">
        <v>62</v>
      </c>
      <c r="P410" s="107" t="n"/>
      <c r="Q410" s="108">
        <f>IF(P410="","",O410*P410)</f>
        <v/>
      </c>
      <c r="R410" s="243">
        <f>IF(Q410="","",N410-Q410)</f>
        <v/>
      </c>
      <c r="S410" s="110">
        <f>IF(OR(Q410="",N410=0),"",Q410/N410)</f>
        <v/>
      </c>
      <c r="T410" s="111">
        <f>IF(S410="","⚪",IF(S410&gt;1.2,"🔴",IF(S410&gt;1.1,"🟡","🟢")))</f>
        <v/>
      </c>
      <c r="V410" s="105" t="n">
        <v>81895.8</v>
      </c>
      <c r="W410" s="106" t="n">
        <v>62</v>
      </c>
      <c r="X410" s="107" t="n"/>
      <c r="Y410" s="108">
        <f>IF(X410="","",W410*X410)</f>
        <v/>
      </c>
      <c r="Z410" s="243">
        <f>IF(Y410="","",V410-Y410)</f>
        <v/>
      </c>
      <c r="AA410" s="110">
        <f>IF(OR(Y410="",V410=0),"",Y410/V410)</f>
        <v/>
      </c>
      <c r="AB410" s="111">
        <f>IF(AA410="","⚪",IF(AA410&gt;1.2,"🔴",IF(AA410&gt;1.1,"🟡","🟢")))</f>
        <v/>
      </c>
      <c r="AD410" s="105" t="n">
        <v>81895.8</v>
      </c>
      <c r="AE410" s="106" t="n">
        <v>62</v>
      </c>
      <c r="AF410" s="107" t="n"/>
      <c r="AG410" s="108">
        <f>IF(AF410="","",AE410*AF410)</f>
        <v/>
      </c>
      <c r="AH410" s="243">
        <f>IF(AG410="","",AD410-AG410)</f>
        <v/>
      </c>
      <c r="AI410" s="110">
        <f>IF(OR(AG410="",AD410=0),"",AG410/AD410)</f>
        <v/>
      </c>
      <c r="AJ410" s="111">
        <f>IF(AI410="","⚪",IF(AI410&gt;1.2,"🔴",IF(AI410&gt;1.1,"🟡","🟢")))</f>
        <v/>
      </c>
    </row>
    <row r="411" ht="14" customHeight="1" s="176">
      <c r="A411" s="103" t="inlineStr">
        <is>
          <t>Siberia</t>
        </is>
      </c>
      <c r="B411" s="104" t="inlineStr">
        <is>
          <t>S. Celebration 7,14</t>
        </is>
      </c>
      <c r="C411" s="104" t="inlineStr">
        <is>
          <t>1- M.O. directa</t>
        </is>
      </c>
      <c r="D411" s="104" t="inlineStr">
        <is>
          <t xml:space="preserve">7- limpia racimos </t>
        </is>
      </c>
      <c r="E411" s="104" t="inlineStr">
        <is>
          <t>día</t>
        </is>
      </c>
      <c r="F411" s="105" t="n">
        <v>693472.5</v>
      </c>
      <c r="G411" s="106" t="n">
        <v>525</v>
      </c>
      <c r="H411" s="107" t="n"/>
      <c r="I411" s="108">
        <f>IF(H411="","",G411*H411)</f>
        <v/>
      </c>
      <c r="J411" s="243">
        <f>IF(I411="","",F411-I411)</f>
        <v/>
      </c>
      <c r="K411" s="110">
        <f>IF(OR(I411="",F411=0),"",I411/F411)</f>
        <v/>
      </c>
      <c r="L411" s="111">
        <f>IF(K411="","⚪",IF(K411&gt;1.2,"🔴",IF(K411&gt;1.1,"🟡","🟢")))</f>
        <v/>
      </c>
      <c r="N411" s="105" t="n">
        <v>693472.5</v>
      </c>
      <c r="O411" s="106" t="n">
        <v>525</v>
      </c>
      <c r="P411" s="107" t="n"/>
      <c r="Q411" s="108">
        <f>IF(P411="","",O411*P411)</f>
        <v/>
      </c>
      <c r="R411" s="243">
        <f>IF(Q411="","",N411-Q411)</f>
        <v/>
      </c>
      <c r="S411" s="110">
        <f>IF(OR(Q411="",N411=0),"",Q411/N411)</f>
        <v/>
      </c>
      <c r="T411" s="111">
        <f>IF(S411="","⚪",IF(S411&gt;1.2,"🔴",IF(S411&gt;1.1,"🟡","🟢")))</f>
        <v/>
      </c>
      <c r="V411" s="105" t="n">
        <v>693472.5</v>
      </c>
      <c r="W411" s="106" t="n">
        <v>525</v>
      </c>
      <c r="X411" s="107" t="n"/>
      <c r="Y411" s="108">
        <f>IF(X411="","",W411*X411)</f>
        <v/>
      </c>
      <c r="Z411" s="243">
        <f>IF(Y411="","",V411-Y411)</f>
        <v/>
      </c>
      <c r="AA411" s="110">
        <f>IF(OR(Y411="",V411=0),"",Y411/V411)</f>
        <v/>
      </c>
      <c r="AB411" s="111">
        <f>IF(AA411="","⚪",IF(AA411&gt;1.2,"🔴",IF(AA411&gt;1.1,"🟡","🟢")))</f>
        <v/>
      </c>
      <c r="AD411" s="105" t="n">
        <v>693472.5</v>
      </c>
      <c r="AE411" s="106" t="n">
        <v>525</v>
      </c>
      <c r="AF411" s="107" t="n"/>
      <c r="AG411" s="108">
        <f>IF(AF411="","",AE411*AF411)</f>
        <v/>
      </c>
      <c r="AH411" s="243">
        <f>IF(AG411="","",AD411-AG411)</f>
        <v/>
      </c>
      <c r="AI411" s="110">
        <f>IF(OR(AG411="",AD411=0),"",AG411/AD411)</f>
        <v/>
      </c>
      <c r="AJ411" s="111">
        <f>IF(AI411="","⚪",IF(AI411&gt;1.2,"🔴",IF(AI411&gt;1.1,"🟡","🟢")))</f>
        <v/>
      </c>
    </row>
    <row r="412" ht="14" customHeight="1" s="176">
      <c r="A412" s="112" t="inlineStr">
        <is>
          <t>Siberia</t>
        </is>
      </c>
      <c r="B412" s="113" t="inlineStr">
        <is>
          <t>S. Celebration 7,14</t>
        </is>
      </c>
      <c r="C412" s="113" t="inlineStr">
        <is>
          <t>1- M.O. directa</t>
        </is>
      </c>
      <c r="D412" s="113" t="inlineStr">
        <is>
          <t xml:space="preserve">8- Control de faenas </t>
        </is>
      </c>
      <c r="E412" s="113" t="inlineStr">
        <is>
          <t>día</t>
        </is>
      </c>
      <c r="F412" s="105" t="n">
        <v>26100</v>
      </c>
      <c r="G412" s="106" t="n">
        <v>43500</v>
      </c>
      <c r="H412" s="107" t="n"/>
      <c r="I412" s="108">
        <f>IF(H412="","",G412*H412)</f>
        <v/>
      </c>
      <c r="J412" s="243">
        <f>IF(I412="","",F412-I412)</f>
        <v/>
      </c>
      <c r="K412" s="110">
        <f>IF(OR(I412="",F412=0),"",I412/F412)</f>
        <v/>
      </c>
      <c r="L412" s="111">
        <f>IF(K412="","⚪",IF(K412&gt;1.2,"🔴",IF(K412&gt;1.1,"🟡","🟢")))</f>
        <v/>
      </c>
      <c r="N412" s="105" t="n">
        <v>26100</v>
      </c>
      <c r="O412" s="106" t="n">
        <v>43500</v>
      </c>
      <c r="P412" s="107" t="n"/>
      <c r="Q412" s="108">
        <f>IF(P412="","",O412*P412)</f>
        <v/>
      </c>
      <c r="R412" s="243">
        <f>IF(Q412="","",N412-Q412)</f>
        <v/>
      </c>
      <c r="S412" s="110">
        <f>IF(OR(Q412="",N412=0),"",Q412/N412)</f>
        <v/>
      </c>
      <c r="T412" s="111">
        <f>IF(S412="","⚪",IF(S412&gt;1.2,"🔴",IF(S412&gt;1.1,"🟡","🟢")))</f>
        <v/>
      </c>
      <c r="V412" s="105" t="n">
        <v>26100</v>
      </c>
      <c r="W412" s="106" t="n">
        <v>43500</v>
      </c>
      <c r="X412" s="107" t="n"/>
      <c r="Y412" s="108">
        <f>IF(X412="","",W412*X412)</f>
        <v/>
      </c>
      <c r="Z412" s="243">
        <f>IF(Y412="","",V412-Y412)</f>
        <v/>
      </c>
      <c r="AA412" s="110">
        <f>IF(OR(Y412="",V412=0),"",Y412/V412)</f>
        <v/>
      </c>
      <c r="AB412" s="111">
        <f>IF(AA412="","⚪",IF(AA412&gt;1.2,"🔴",IF(AA412&gt;1.1,"🟡","🟢")))</f>
        <v/>
      </c>
      <c r="AD412" s="105" t="n">
        <v>26100</v>
      </c>
      <c r="AE412" s="106" t="n">
        <v>43500</v>
      </c>
      <c r="AF412" s="107" t="n"/>
      <c r="AG412" s="108">
        <f>IF(AF412="","",AE412*AF412)</f>
        <v/>
      </c>
      <c r="AH412" s="243">
        <f>IF(AG412="","",AD412-AG412)</f>
        <v/>
      </c>
      <c r="AI412" s="110">
        <f>IF(OR(AG412="",AD412=0),"",AG412/AD412)</f>
        <v/>
      </c>
      <c r="AJ412" s="111">
        <f>IF(AI412="","⚪",IF(AI412&gt;1.2,"🔴",IF(AI412&gt;1.1,"🟡","🟢")))</f>
        <v/>
      </c>
    </row>
    <row r="413" ht="14" customHeight="1" s="176">
      <c r="A413" s="103" t="inlineStr">
        <is>
          <t>Siberia</t>
        </is>
      </c>
      <c r="B413" s="104" t="inlineStr">
        <is>
          <t>S. Celebration 7,14</t>
        </is>
      </c>
      <c r="C413" s="104" t="inlineStr">
        <is>
          <t>1- M.O. directa</t>
        </is>
      </c>
      <c r="D413" s="104" t="inlineStr">
        <is>
          <t>9,1- Riegos</t>
        </is>
      </c>
      <c r="E413" s="104" t="inlineStr">
        <is>
          <t>día</t>
        </is>
      </c>
      <c r="F413" s="105" t="n">
        <v>171325</v>
      </c>
      <c r="G413" s="106" t="n">
        <v>44500</v>
      </c>
      <c r="H413" s="107" t="n"/>
      <c r="I413" s="108">
        <f>IF(H413="","",G413*H413)</f>
        <v/>
      </c>
      <c r="J413" s="243">
        <f>IF(I413="","",F413-I413)</f>
        <v/>
      </c>
      <c r="K413" s="110">
        <f>IF(OR(I413="",F413=0),"",I413/F413)</f>
        <v/>
      </c>
      <c r="L413" s="111">
        <f>IF(K413="","⚪",IF(K413&gt;1.2,"🔴",IF(K413&gt;1.1,"🟡","🟢")))</f>
        <v/>
      </c>
      <c r="N413" s="105" t="n">
        <v>171325</v>
      </c>
      <c r="O413" s="106" t="n">
        <v>44500</v>
      </c>
      <c r="P413" s="107" t="n"/>
      <c r="Q413" s="108">
        <f>IF(P413="","",O413*P413)</f>
        <v/>
      </c>
      <c r="R413" s="243">
        <f>IF(Q413="","",N413-Q413)</f>
        <v/>
      </c>
      <c r="S413" s="110">
        <f>IF(OR(Q413="",N413=0),"",Q413/N413)</f>
        <v/>
      </c>
      <c r="T413" s="111">
        <f>IF(S413="","⚪",IF(S413&gt;1.2,"🔴",IF(S413&gt;1.1,"🟡","🟢")))</f>
        <v/>
      </c>
      <c r="V413" s="105" t="n">
        <v>171325</v>
      </c>
      <c r="W413" s="106" t="n">
        <v>44500</v>
      </c>
      <c r="X413" s="107" t="n"/>
      <c r="Y413" s="108">
        <f>IF(X413="","",W413*X413)</f>
        <v/>
      </c>
      <c r="Z413" s="243">
        <f>IF(Y413="","",V413-Y413)</f>
        <v/>
      </c>
      <c r="AA413" s="110">
        <f>IF(OR(Y413="",V413=0),"",Y413/V413)</f>
        <v/>
      </c>
      <c r="AB413" s="111">
        <f>IF(AA413="","⚪",IF(AA413&gt;1.2,"🔴",IF(AA413&gt;1.1,"🟡","🟢")))</f>
        <v/>
      </c>
      <c r="AD413" s="105" t="n">
        <v>171325</v>
      </c>
      <c r="AE413" s="106" t="n">
        <v>44500</v>
      </c>
      <c r="AF413" s="107" t="n"/>
      <c r="AG413" s="108">
        <f>IF(AF413="","",AE413*AF413)</f>
        <v/>
      </c>
      <c r="AH413" s="243">
        <f>IF(AG413="","",AD413-AG413)</f>
        <v/>
      </c>
      <c r="AI413" s="110">
        <f>IF(OR(AG413="",AD413=0),"",AG413/AD413)</f>
        <v/>
      </c>
      <c r="AJ413" s="111">
        <f>IF(AI413="","⚪",IF(AI413&gt;1.2,"🔴",IF(AI413&gt;1.1,"🟡","🟢")))</f>
        <v/>
      </c>
    </row>
    <row r="414" ht="14" customHeight="1" s="176">
      <c r="A414" s="112" t="inlineStr">
        <is>
          <t>Siberia</t>
        </is>
      </c>
      <c r="B414" s="113" t="inlineStr">
        <is>
          <t>S. Celebration 7,14</t>
        </is>
      </c>
      <c r="C414" s="113" t="inlineStr">
        <is>
          <t>2- M.O. indirecta</t>
        </is>
      </c>
      <c r="D414" s="113" t="inlineStr">
        <is>
          <t xml:space="preserve">1- ADM. GENERAL </t>
        </is>
      </c>
      <c r="E414" s="113" t="inlineStr">
        <is>
          <t>día</t>
        </is>
      </c>
      <c r="F414" s="105" t="n">
        <v>285314.4</v>
      </c>
      <c r="G414" s="106" t="n">
        <v>66600</v>
      </c>
      <c r="H414" s="107" t="n"/>
      <c r="I414" s="108">
        <f>IF(H414="","",G414*H414)</f>
        <v/>
      </c>
      <c r="J414" s="243">
        <f>IF(I414="","",F414-I414)</f>
        <v/>
      </c>
      <c r="K414" s="110">
        <f>IF(OR(I414="",F414=0),"",I414/F414)</f>
        <v/>
      </c>
      <c r="L414" s="111">
        <f>IF(K414="","⚪",IF(K414&gt;1.2,"🔴",IF(K414&gt;1.1,"🟡","🟢")))</f>
        <v/>
      </c>
      <c r="N414" s="105" t="n">
        <v>285314.4</v>
      </c>
      <c r="O414" s="106" t="n">
        <v>66600</v>
      </c>
      <c r="P414" s="107" t="n"/>
      <c r="Q414" s="108">
        <f>IF(P414="","",O414*P414)</f>
        <v/>
      </c>
      <c r="R414" s="243">
        <f>IF(Q414="","",N414-Q414)</f>
        <v/>
      </c>
      <c r="S414" s="110">
        <f>IF(OR(Q414="",N414=0),"",Q414/N414)</f>
        <v/>
      </c>
      <c r="T414" s="111">
        <f>IF(S414="","⚪",IF(S414&gt;1.2,"🔴",IF(S414&gt;1.1,"🟡","🟢")))</f>
        <v/>
      </c>
      <c r="V414" s="105" t="n">
        <v>285314.4</v>
      </c>
      <c r="W414" s="106" t="n">
        <v>66600</v>
      </c>
      <c r="X414" s="107" t="n"/>
      <c r="Y414" s="108">
        <f>IF(X414="","",W414*X414)</f>
        <v/>
      </c>
      <c r="Z414" s="243">
        <f>IF(Y414="","",V414-Y414)</f>
        <v/>
      </c>
      <c r="AA414" s="110">
        <f>IF(OR(Y414="",V414=0),"",Y414/V414)</f>
        <v/>
      </c>
      <c r="AB414" s="111">
        <f>IF(AA414="","⚪",IF(AA414&gt;1.2,"🔴",IF(AA414&gt;1.1,"🟡","🟢")))</f>
        <v/>
      </c>
      <c r="AD414" s="105" t="n">
        <v>285314.4</v>
      </c>
      <c r="AE414" s="106" t="n">
        <v>66600</v>
      </c>
      <c r="AF414" s="107" t="n"/>
      <c r="AG414" s="108">
        <f>IF(AF414="","",AE414*AF414)</f>
        <v/>
      </c>
      <c r="AH414" s="243">
        <f>IF(AG414="","",AD414-AG414)</f>
        <v/>
      </c>
      <c r="AI414" s="110">
        <f>IF(OR(AG414="",AD414=0),"",AG414/AD414)</f>
        <v/>
      </c>
      <c r="AJ414" s="111">
        <f>IF(AI414="","⚪",IF(AI414&gt;1.2,"🔴",IF(AI414&gt;1.1,"🟡","🟢")))</f>
        <v/>
      </c>
    </row>
    <row r="415" ht="14" customHeight="1" s="176">
      <c r="A415" s="103" t="inlineStr">
        <is>
          <t>Siberia</t>
        </is>
      </c>
      <c r="B415" s="104" t="inlineStr">
        <is>
          <t>S. Celebration 7,14</t>
        </is>
      </c>
      <c r="C415" s="104" t="inlineStr">
        <is>
          <t>2- M.O. indirecta</t>
        </is>
      </c>
      <c r="D415" s="104" t="inlineStr">
        <is>
          <t>2,1- JEFE DE CAMPO</t>
        </is>
      </c>
      <c r="E415" s="104" t="inlineStr">
        <is>
          <t>día</t>
        </is>
      </c>
      <c r="F415" s="105" t="n">
        <v>396066.51</v>
      </c>
      <c r="G415" s="106" t="n">
        <v>88050</v>
      </c>
      <c r="H415" s="107" t="n"/>
      <c r="I415" s="108">
        <f>IF(H415="","",G415*H415)</f>
        <v/>
      </c>
      <c r="J415" s="243">
        <f>IF(I415="","",F415-I415)</f>
        <v/>
      </c>
      <c r="K415" s="110">
        <f>IF(OR(I415="",F415=0),"",I415/F415)</f>
        <v/>
      </c>
      <c r="L415" s="111">
        <f>IF(K415="","⚪",IF(K415&gt;1.2,"🔴",IF(K415&gt;1.1,"🟡","🟢")))</f>
        <v/>
      </c>
      <c r="N415" s="105" t="n">
        <v>396066.51</v>
      </c>
      <c r="O415" s="106" t="n">
        <v>88050</v>
      </c>
      <c r="P415" s="107" t="n"/>
      <c r="Q415" s="108">
        <f>IF(P415="","",O415*P415)</f>
        <v/>
      </c>
      <c r="R415" s="243">
        <f>IF(Q415="","",N415-Q415)</f>
        <v/>
      </c>
      <c r="S415" s="110">
        <f>IF(OR(Q415="",N415=0),"",Q415/N415)</f>
        <v/>
      </c>
      <c r="T415" s="111">
        <f>IF(S415="","⚪",IF(S415&gt;1.2,"🔴",IF(S415&gt;1.1,"🟡","🟢")))</f>
        <v/>
      </c>
      <c r="V415" s="105" t="n">
        <v>396066.51</v>
      </c>
      <c r="W415" s="106" t="n">
        <v>88050</v>
      </c>
      <c r="X415" s="107" t="n"/>
      <c r="Y415" s="108">
        <f>IF(X415="","",W415*X415)</f>
        <v/>
      </c>
      <c r="Z415" s="243">
        <f>IF(Y415="","",V415-Y415)</f>
        <v/>
      </c>
      <c r="AA415" s="110">
        <f>IF(OR(Y415="",V415=0),"",Y415/V415)</f>
        <v/>
      </c>
      <c r="AB415" s="111">
        <f>IF(AA415="","⚪",IF(AA415&gt;1.2,"🔴",IF(AA415&gt;1.1,"🟡","🟢")))</f>
        <v/>
      </c>
      <c r="AD415" s="105" t="n">
        <v>396066.51</v>
      </c>
      <c r="AE415" s="106" t="n">
        <v>88050</v>
      </c>
      <c r="AF415" s="107" t="n"/>
      <c r="AG415" s="108">
        <f>IF(AF415="","",AE415*AF415)</f>
        <v/>
      </c>
      <c r="AH415" s="243">
        <f>IF(AG415="","",AD415-AG415)</f>
        <v/>
      </c>
      <c r="AI415" s="110">
        <f>IF(OR(AG415="",AD415=0),"",AG415/AD415)</f>
        <v/>
      </c>
      <c r="AJ415" s="111">
        <f>IF(AI415="","⚪",IF(AI415&gt;1.2,"🔴",IF(AI415&gt;1.1,"🟡","🟢")))</f>
        <v/>
      </c>
    </row>
    <row r="416" ht="14" customHeight="1" s="176">
      <c r="A416" s="112" t="inlineStr">
        <is>
          <t>Siberia</t>
        </is>
      </c>
      <c r="B416" s="113" t="inlineStr">
        <is>
          <t>S. Celebration 7,14</t>
        </is>
      </c>
      <c r="C416" s="113" t="inlineStr">
        <is>
          <t>2- M.O. indirecta</t>
        </is>
      </c>
      <c r="D416" s="113" t="inlineStr">
        <is>
          <t>2- ADMINISTRACION</t>
        </is>
      </c>
      <c r="E416" s="113" t="inlineStr">
        <is>
          <t>día</t>
        </is>
      </c>
      <c r="F416" s="105" t="n">
        <v>34700.4</v>
      </c>
      <c r="G416" s="106" t="n">
        <v>8100</v>
      </c>
      <c r="H416" s="107" t="n"/>
      <c r="I416" s="108">
        <f>IF(H416="","",G416*H416)</f>
        <v/>
      </c>
      <c r="J416" s="243">
        <f>IF(I416="","",F416-I416)</f>
        <v/>
      </c>
      <c r="K416" s="110">
        <f>IF(OR(I416="",F416=0),"",I416/F416)</f>
        <v/>
      </c>
      <c r="L416" s="111">
        <f>IF(K416="","⚪",IF(K416&gt;1.2,"🔴",IF(K416&gt;1.1,"🟡","🟢")))</f>
        <v/>
      </c>
      <c r="N416" s="105" t="n">
        <v>34700.4</v>
      </c>
      <c r="O416" s="106" t="n">
        <v>8100</v>
      </c>
      <c r="P416" s="107" t="n"/>
      <c r="Q416" s="108">
        <f>IF(P416="","",O416*P416)</f>
        <v/>
      </c>
      <c r="R416" s="243">
        <f>IF(Q416="","",N416-Q416)</f>
        <v/>
      </c>
      <c r="S416" s="110">
        <f>IF(OR(Q416="",N416=0),"",Q416/N416)</f>
        <v/>
      </c>
      <c r="T416" s="111">
        <f>IF(S416="","⚪",IF(S416&gt;1.2,"🔴",IF(S416&gt;1.1,"🟡","🟢")))</f>
        <v/>
      </c>
      <c r="V416" s="105" t="n">
        <v>34700.4</v>
      </c>
      <c r="W416" s="106" t="n">
        <v>8100</v>
      </c>
      <c r="X416" s="107" t="n"/>
      <c r="Y416" s="108">
        <f>IF(X416="","",W416*X416)</f>
        <v/>
      </c>
      <c r="Z416" s="243">
        <f>IF(Y416="","",V416-Y416)</f>
        <v/>
      </c>
      <c r="AA416" s="110">
        <f>IF(OR(Y416="",V416=0),"",Y416/V416)</f>
        <v/>
      </c>
      <c r="AB416" s="111">
        <f>IF(AA416="","⚪",IF(AA416&gt;1.2,"🔴",IF(AA416&gt;1.1,"🟡","🟢")))</f>
        <v/>
      </c>
      <c r="AD416" s="105" t="n">
        <v>34700.4</v>
      </c>
      <c r="AE416" s="106" t="n">
        <v>8100</v>
      </c>
      <c r="AF416" s="107" t="n"/>
      <c r="AG416" s="108">
        <f>IF(AF416="","",AE416*AF416)</f>
        <v/>
      </c>
      <c r="AH416" s="243">
        <f>IF(AG416="","",AD416-AG416)</f>
        <v/>
      </c>
      <c r="AI416" s="110">
        <f>IF(OR(AG416="",AD416=0),"",AG416/AD416)</f>
        <v/>
      </c>
      <c r="AJ416" s="111">
        <f>IF(AI416="","⚪",IF(AI416&gt;1.2,"🔴",IF(AI416&gt;1.1,"🟡","🟢")))</f>
        <v/>
      </c>
    </row>
    <row r="417" ht="14" customHeight="1" s="176">
      <c r="A417" s="103" t="inlineStr">
        <is>
          <t>Siberia</t>
        </is>
      </c>
      <c r="B417" s="104" t="inlineStr">
        <is>
          <t>S. Celebration 7,14</t>
        </is>
      </c>
      <c r="C417" s="104" t="inlineStr">
        <is>
          <t>2- M.O. indirecta</t>
        </is>
      </c>
      <c r="D417" s="104" t="inlineStr">
        <is>
          <t>3,1-  ENCARGADO DE RIEGO</t>
        </is>
      </c>
      <c r="E417" s="104" t="inlineStr">
        <is>
          <t>día</t>
        </is>
      </c>
      <c r="F417" s="105" t="n">
        <v>241329.736977</v>
      </c>
      <c r="G417" s="106" t="n">
        <v>67626.4166666667</v>
      </c>
      <c r="H417" s="107" t="n"/>
      <c r="I417" s="108">
        <f>IF(H417="","",G417*H417)</f>
        <v/>
      </c>
      <c r="J417" s="243">
        <f>IF(I417="","",F417-I417)</f>
        <v/>
      </c>
      <c r="K417" s="110">
        <f>IF(OR(I417="",F417=0),"",I417/F417)</f>
        <v/>
      </c>
      <c r="L417" s="111">
        <f>IF(K417="","⚪",IF(K417&gt;1.2,"🔴",IF(K417&gt;1.1,"🟡","🟢")))</f>
        <v/>
      </c>
      <c r="N417" s="105" t="n">
        <v>241329.736977</v>
      </c>
      <c r="O417" s="106" t="n">
        <v>67626.4166666667</v>
      </c>
      <c r="P417" s="107" t="n"/>
      <c r="Q417" s="108">
        <f>IF(P417="","",O417*P417)</f>
        <v/>
      </c>
      <c r="R417" s="243">
        <f>IF(Q417="","",N417-Q417)</f>
        <v/>
      </c>
      <c r="S417" s="110">
        <f>IF(OR(Q417="",N417=0),"",Q417/N417)</f>
        <v/>
      </c>
      <c r="T417" s="111">
        <f>IF(S417="","⚪",IF(S417&gt;1.2,"🔴",IF(S417&gt;1.1,"🟡","🟢")))</f>
        <v/>
      </c>
      <c r="V417" s="105" t="n">
        <v>241329.736977</v>
      </c>
      <c r="W417" s="106" t="n">
        <v>67626.4166666667</v>
      </c>
      <c r="X417" s="107" t="n"/>
      <c r="Y417" s="108">
        <f>IF(X417="","",W417*X417)</f>
        <v/>
      </c>
      <c r="Z417" s="243">
        <f>IF(Y417="","",V417-Y417)</f>
        <v/>
      </c>
      <c r="AA417" s="110">
        <f>IF(OR(Y417="",V417=0),"",Y417/V417)</f>
        <v/>
      </c>
      <c r="AB417" s="111">
        <f>IF(AA417="","⚪",IF(AA417&gt;1.2,"🔴",IF(AA417&gt;1.1,"🟡","🟢")))</f>
        <v/>
      </c>
      <c r="AD417" s="105" t="n">
        <v>241329.736977</v>
      </c>
      <c r="AE417" s="106" t="n">
        <v>67626.4166666667</v>
      </c>
      <c r="AF417" s="107" t="n"/>
      <c r="AG417" s="108">
        <f>IF(AF417="","",AE417*AF417)</f>
        <v/>
      </c>
      <c r="AH417" s="243">
        <f>IF(AG417="","",AD417-AG417)</f>
        <v/>
      </c>
      <c r="AI417" s="110">
        <f>IF(OR(AG417="",AD417=0),"",AG417/AD417)</f>
        <v/>
      </c>
      <c r="AJ417" s="111">
        <f>IF(AI417="","⚪",IF(AI417&gt;1.2,"🔴",IF(AI417&gt;1.1,"🟡","🟢")))</f>
        <v/>
      </c>
    </row>
    <row r="418" ht="14" customHeight="1" s="176">
      <c r="A418" s="112" t="inlineStr">
        <is>
          <t>Siberia</t>
        </is>
      </c>
      <c r="B418" s="113" t="inlineStr">
        <is>
          <t>S. Celebration 7,14</t>
        </is>
      </c>
      <c r="C418" s="113" t="inlineStr">
        <is>
          <t>2- M.O. indirecta</t>
        </is>
      </c>
      <c r="D418" s="113" t="inlineStr">
        <is>
          <t>3- ADQUIS. Y BODEGA</t>
        </is>
      </c>
      <c r="E418" s="113" t="inlineStr">
        <is>
          <t>día</t>
        </is>
      </c>
      <c r="F418" s="105" t="n">
        <v>28905.4332</v>
      </c>
      <c r="G418" s="106" t="n">
        <v>8100</v>
      </c>
      <c r="H418" s="107" t="n"/>
      <c r="I418" s="108">
        <f>IF(H418="","",G418*H418)</f>
        <v/>
      </c>
      <c r="J418" s="243">
        <f>IF(I418="","",F418-I418)</f>
        <v/>
      </c>
      <c r="K418" s="110">
        <f>IF(OR(I418="",F418=0),"",I418/F418)</f>
        <v/>
      </c>
      <c r="L418" s="111">
        <f>IF(K418="","⚪",IF(K418&gt;1.2,"🔴",IF(K418&gt;1.1,"🟡","🟢")))</f>
        <v/>
      </c>
      <c r="N418" s="105" t="n">
        <v>28905.4332</v>
      </c>
      <c r="O418" s="106" t="n">
        <v>8100</v>
      </c>
      <c r="P418" s="107" t="n"/>
      <c r="Q418" s="108">
        <f>IF(P418="","",O418*P418)</f>
        <v/>
      </c>
      <c r="R418" s="243">
        <f>IF(Q418="","",N418-Q418)</f>
        <v/>
      </c>
      <c r="S418" s="110">
        <f>IF(OR(Q418="",N418=0),"",Q418/N418)</f>
        <v/>
      </c>
      <c r="T418" s="111">
        <f>IF(S418="","⚪",IF(S418&gt;1.2,"🔴",IF(S418&gt;1.1,"🟡","🟢")))</f>
        <v/>
      </c>
      <c r="V418" s="105" t="n">
        <v>28905.4332</v>
      </c>
      <c r="W418" s="106" t="n">
        <v>8100</v>
      </c>
      <c r="X418" s="107" t="n"/>
      <c r="Y418" s="108">
        <f>IF(X418="","",W418*X418)</f>
        <v/>
      </c>
      <c r="Z418" s="243">
        <f>IF(Y418="","",V418-Y418)</f>
        <v/>
      </c>
      <c r="AA418" s="110">
        <f>IF(OR(Y418="",V418=0),"",Y418/V418)</f>
        <v/>
      </c>
      <c r="AB418" s="111">
        <f>IF(AA418="","⚪",IF(AA418&gt;1.2,"🔴",IF(AA418&gt;1.1,"🟡","🟢")))</f>
        <v/>
      </c>
      <c r="AD418" s="105" t="n">
        <v>28905.4332</v>
      </c>
      <c r="AE418" s="106" t="n">
        <v>8100</v>
      </c>
      <c r="AF418" s="107" t="n"/>
      <c r="AG418" s="108">
        <f>IF(AF418="","",AE418*AF418)</f>
        <v/>
      </c>
      <c r="AH418" s="243">
        <f>IF(AG418="","",AD418-AG418)</f>
        <v/>
      </c>
      <c r="AI418" s="110">
        <f>IF(OR(AG418="",AD418=0),"",AG418/AD418)</f>
        <v/>
      </c>
      <c r="AJ418" s="111">
        <f>IF(AI418="","⚪",IF(AI418&gt;1.2,"🔴",IF(AI418&gt;1.1,"🟡","🟢")))</f>
        <v/>
      </c>
    </row>
    <row r="419" ht="14" customHeight="1" s="176">
      <c r="A419" s="103" t="inlineStr">
        <is>
          <t>Siberia</t>
        </is>
      </c>
      <c r="B419" s="104" t="inlineStr">
        <is>
          <t>S. Celebration 7,14</t>
        </is>
      </c>
      <c r="C419" s="104" t="inlineStr">
        <is>
          <t>2- M.O. indirecta</t>
        </is>
      </c>
      <c r="D419" s="104" t="inlineStr">
        <is>
          <t>4,1- ENCARGADO MANTENCIONES</t>
        </is>
      </c>
      <c r="E419" s="104" t="inlineStr">
        <is>
          <t>día</t>
        </is>
      </c>
      <c r="F419" s="105" t="n">
        <v>39254.292</v>
      </c>
      <c r="G419" s="106" t="n">
        <v>11000</v>
      </c>
      <c r="H419" s="107" t="n"/>
      <c r="I419" s="108">
        <f>IF(H419="","",G419*H419)</f>
        <v/>
      </c>
      <c r="J419" s="243">
        <f>IF(I419="","",F419-I419)</f>
        <v/>
      </c>
      <c r="K419" s="110">
        <f>IF(OR(I419="",F419=0),"",I419/F419)</f>
        <v/>
      </c>
      <c r="L419" s="111">
        <f>IF(K419="","⚪",IF(K419&gt;1.2,"🔴",IF(K419&gt;1.1,"🟡","🟢")))</f>
        <v/>
      </c>
      <c r="N419" s="105" t="n">
        <v>39254.292</v>
      </c>
      <c r="O419" s="106" t="n">
        <v>11000</v>
      </c>
      <c r="P419" s="107" t="n"/>
      <c r="Q419" s="108">
        <f>IF(P419="","",O419*P419)</f>
        <v/>
      </c>
      <c r="R419" s="243">
        <f>IF(Q419="","",N419-Q419)</f>
        <v/>
      </c>
      <c r="S419" s="110">
        <f>IF(OR(Q419="",N419=0),"",Q419/N419)</f>
        <v/>
      </c>
      <c r="T419" s="111">
        <f>IF(S419="","⚪",IF(S419&gt;1.2,"🔴",IF(S419&gt;1.1,"🟡","🟢")))</f>
        <v/>
      </c>
      <c r="V419" s="105" t="n">
        <v>39254.292</v>
      </c>
      <c r="W419" s="106" t="n">
        <v>11000</v>
      </c>
      <c r="X419" s="107" t="n"/>
      <c r="Y419" s="108">
        <f>IF(X419="","",W419*X419)</f>
        <v/>
      </c>
      <c r="Z419" s="243">
        <f>IF(Y419="","",V419-Y419)</f>
        <v/>
      </c>
      <c r="AA419" s="110">
        <f>IF(OR(Y419="",V419=0),"",Y419/V419)</f>
        <v/>
      </c>
      <c r="AB419" s="111">
        <f>IF(AA419="","⚪",IF(AA419&gt;1.2,"🔴",IF(AA419&gt;1.1,"🟡","🟢")))</f>
        <v/>
      </c>
      <c r="AD419" s="105" t="n">
        <v>39254.292</v>
      </c>
      <c r="AE419" s="106" t="n">
        <v>11000</v>
      </c>
      <c r="AF419" s="107" t="n"/>
      <c r="AG419" s="108">
        <f>IF(AF419="","",AE419*AF419)</f>
        <v/>
      </c>
      <c r="AH419" s="243">
        <f>IF(AG419="","",AD419-AG419)</f>
        <v/>
      </c>
      <c r="AI419" s="110">
        <f>IF(OR(AG419="",AD419=0),"",AG419/AD419)</f>
        <v/>
      </c>
      <c r="AJ419" s="111">
        <f>IF(AI419="","⚪",IF(AI419&gt;1.2,"🔴",IF(AI419&gt;1.1,"🟡","🟢")))</f>
        <v/>
      </c>
    </row>
    <row r="420" ht="14" customHeight="1" s="176">
      <c r="A420" s="112" t="inlineStr">
        <is>
          <t>Siberia</t>
        </is>
      </c>
      <c r="B420" s="113" t="inlineStr">
        <is>
          <t>S. Celebration 7,14</t>
        </is>
      </c>
      <c r="C420" s="113" t="inlineStr">
        <is>
          <t>2- M.O. indirecta</t>
        </is>
      </c>
      <c r="D420" s="113" t="inlineStr">
        <is>
          <t>4- CERTIFICACIONES</t>
        </is>
      </c>
      <c r="E420" s="113" t="inlineStr">
        <is>
          <t>día</t>
        </is>
      </c>
      <c r="F420" s="105" t="n">
        <v>23069.331075</v>
      </c>
      <c r="G420" s="106" t="n">
        <v>6464.58333333333</v>
      </c>
      <c r="H420" s="107" t="n"/>
      <c r="I420" s="108">
        <f>IF(H420="","",G420*H420)</f>
        <v/>
      </c>
      <c r="J420" s="243">
        <f>IF(I420="","",F420-I420)</f>
        <v/>
      </c>
      <c r="K420" s="110">
        <f>IF(OR(I420="",F420=0),"",I420/F420)</f>
        <v/>
      </c>
      <c r="L420" s="111">
        <f>IF(K420="","⚪",IF(K420&gt;1.2,"🔴",IF(K420&gt;1.1,"🟡","🟢")))</f>
        <v/>
      </c>
      <c r="N420" s="105" t="n">
        <v>23069.331075</v>
      </c>
      <c r="O420" s="106" t="n">
        <v>6464.58333333333</v>
      </c>
      <c r="P420" s="107" t="n"/>
      <c r="Q420" s="108">
        <f>IF(P420="","",O420*P420)</f>
        <v/>
      </c>
      <c r="R420" s="243">
        <f>IF(Q420="","",N420-Q420)</f>
        <v/>
      </c>
      <c r="S420" s="110">
        <f>IF(OR(Q420="",N420=0),"",Q420/N420)</f>
        <v/>
      </c>
      <c r="T420" s="111">
        <f>IF(S420="","⚪",IF(S420&gt;1.2,"🔴",IF(S420&gt;1.1,"🟡","🟢")))</f>
        <v/>
      </c>
      <c r="V420" s="105" t="n">
        <v>23069.331075</v>
      </c>
      <c r="W420" s="106" t="n">
        <v>6464.58333333333</v>
      </c>
      <c r="X420" s="107" t="n"/>
      <c r="Y420" s="108">
        <f>IF(X420="","",W420*X420)</f>
        <v/>
      </c>
      <c r="Z420" s="243">
        <f>IF(Y420="","",V420-Y420)</f>
        <v/>
      </c>
      <c r="AA420" s="110">
        <f>IF(OR(Y420="",V420=0),"",Y420/V420)</f>
        <v/>
      </c>
      <c r="AB420" s="111">
        <f>IF(AA420="","⚪",IF(AA420&gt;1.2,"🔴",IF(AA420&gt;1.1,"🟡","🟢")))</f>
        <v/>
      </c>
      <c r="AD420" s="105" t="n">
        <v>23069.331075</v>
      </c>
      <c r="AE420" s="106" t="n">
        <v>6464.58333333333</v>
      </c>
      <c r="AF420" s="107" t="n"/>
      <c r="AG420" s="108">
        <f>IF(AF420="","",AE420*AF420)</f>
        <v/>
      </c>
      <c r="AH420" s="243">
        <f>IF(AG420="","",AD420-AG420)</f>
        <v/>
      </c>
      <c r="AI420" s="110">
        <f>IF(OR(AG420="",AD420=0),"",AG420/AD420)</f>
        <v/>
      </c>
      <c r="AJ420" s="111">
        <f>IF(AI420="","⚪",IF(AI420&gt;1.2,"🔴",IF(AI420&gt;1.1,"🟡","🟢")))</f>
        <v/>
      </c>
    </row>
    <row r="421" ht="14" customHeight="1" s="176">
      <c r="A421" s="103" t="inlineStr">
        <is>
          <t>Siberia</t>
        </is>
      </c>
      <c r="B421" s="104" t="inlineStr">
        <is>
          <t>S. Celebration 7,14</t>
        </is>
      </c>
      <c r="C421" s="104" t="inlineStr">
        <is>
          <t>2- M.O. indirecta</t>
        </is>
      </c>
      <c r="D421" s="104" t="inlineStr">
        <is>
          <t>5- PREVEN. DE RIESGO</t>
        </is>
      </c>
      <c r="E421" s="104" t="inlineStr">
        <is>
          <t>día</t>
        </is>
      </c>
      <c r="F421" s="105" t="n">
        <v>5620.5009</v>
      </c>
      <c r="G421" s="106" t="n">
        <v>1575</v>
      </c>
      <c r="H421" s="107" t="n"/>
      <c r="I421" s="108">
        <f>IF(H421="","",G421*H421)</f>
        <v/>
      </c>
      <c r="J421" s="243">
        <f>IF(I421="","",F421-I421)</f>
        <v/>
      </c>
      <c r="K421" s="110">
        <f>IF(OR(I421="",F421=0),"",I421/F421)</f>
        <v/>
      </c>
      <c r="L421" s="111">
        <f>IF(K421="","⚪",IF(K421&gt;1.2,"🔴",IF(K421&gt;1.1,"🟡","🟢")))</f>
        <v/>
      </c>
      <c r="N421" s="105" t="n">
        <v>5620.5009</v>
      </c>
      <c r="O421" s="106" t="n">
        <v>1575</v>
      </c>
      <c r="P421" s="107" t="n"/>
      <c r="Q421" s="108">
        <f>IF(P421="","",O421*P421)</f>
        <v/>
      </c>
      <c r="R421" s="243">
        <f>IF(Q421="","",N421-Q421)</f>
        <v/>
      </c>
      <c r="S421" s="110">
        <f>IF(OR(Q421="",N421=0),"",Q421/N421)</f>
        <v/>
      </c>
      <c r="T421" s="111">
        <f>IF(S421="","⚪",IF(S421&gt;1.2,"🔴",IF(S421&gt;1.1,"🟡","🟢")))</f>
        <v/>
      </c>
      <c r="V421" s="105" t="n">
        <v>5620.5009</v>
      </c>
      <c r="W421" s="106" t="n">
        <v>1575</v>
      </c>
      <c r="X421" s="107" t="n"/>
      <c r="Y421" s="108">
        <f>IF(X421="","",W421*X421)</f>
        <v/>
      </c>
      <c r="Z421" s="243">
        <f>IF(Y421="","",V421-Y421)</f>
        <v/>
      </c>
      <c r="AA421" s="110">
        <f>IF(OR(Y421="",V421=0),"",Y421/V421)</f>
        <v/>
      </c>
      <c r="AB421" s="111">
        <f>IF(AA421="","⚪",IF(AA421&gt;1.2,"🔴",IF(AA421&gt;1.1,"🟡","🟢")))</f>
        <v/>
      </c>
      <c r="AD421" s="105" t="n">
        <v>5620.5009</v>
      </c>
      <c r="AE421" s="106" t="n">
        <v>1575</v>
      </c>
      <c r="AF421" s="107" t="n"/>
      <c r="AG421" s="108">
        <f>IF(AF421="","",AE421*AF421)</f>
        <v/>
      </c>
      <c r="AH421" s="243">
        <f>IF(AG421="","",AD421-AG421)</f>
        <v/>
      </c>
      <c r="AI421" s="110">
        <f>IF(OR(AG421="",AD421=0),"",AG421/AD421)</f>
        <v/>
      </c>
      <c r="AJ421" s="111">
        <f>IF(AI421="","⚪",IF(AI421&gt;1.2,"🔴",IF(AI421&gt;1.1,"🟡","🟢")))</f>
        <v/>
      </c>
    </row>
    <row r="422" ht="14" customHeight="1" s="176">
      <c r="A422" s="112" t="inlineStr">
        <is>
          <t>Siberia</t>
        </is>
      </c>
      <c r="B422" s="113" t="inlineStr">
        <is>
          <t>Timpson 7,1</t>
        </is>
      </c>
      <c r="C422" s="113" t="inlineStr">
        <is>
          <t>1- M.O. directa</t>
        </is>
      </c>
      <c r="D422" s="113" t="inlineStr">
        <is>
          <t>1,2 - Packing</t>
        </is>
      </c>
      <c r="E422" s="113" t="inlineStr">
        <is>
          <t>Trato</t>
        </is>
      </c>
      <c r="F422" s="105" t="n">
        <v>1178955</v>
      </c>
      <c r="G422" s="106" t="n">
        <v>1080</v>
      </c>
      <c r="H422" s="107" t="n"/>
      <c r="I422" s="108">
        <f>IF(H422="","",G422*H422)</f>
        <v/>
      </c>
      <c r="J422" s="243">
        <f>IF(I422="","",F422-I422)</f>
        <v/>
      </c>
      <c r="K422" s="110">
        <f>IF(OR(I422="",F422=0),"",I422/F422)</f>
        <v/>
      </c>
      <c r="L422" s="111">
        <f>IF(K422="","⚪",IF(K422&gt;1.2,"🔴",IF(K422&gt;1.1,"🟡","🟢")))</f>
        <v/>
      </c>
      <c r="N422" s="105" t="n">
        <v>1178955</v>
      </c>
      <c r="O422" s="106" t="n">
        <v>1080</v>
      </c>
      <c r="P422" s="107" t="n"/>
      <c r="Q422" s="108">
        <f>IF(P422="","",O422*P422)</f>
        <v/>
      </c>
      <c r="R422" s="243">
        <f>IF(Q422="","",N422-Q422)</f>
        <v/>
      </c>
      <c r="S422" s="110">
        <f>IF(OR(Q422="",N422=0),"",Q422/N422)</f>
        <v/>
      </c>
      <c r="T422" s="111">
        <f>IF(S422="","⚪",IF(S422&gt;1.2,"🔴",IF(S422&gt;1.1,"🟡","🟢")))</f>
        <v/>
      </c>
      <c r="V422" s="105" t="n">
        <v>1178955</v>
      </c>
      <c r="W422" s="106" t="n">
        <v>1080</v>
      </c>
      <c r="X422" s="107" t="n"/>
      <c r="Y422" s="108">
        <f>IF(X422="","",W422*X422)</f>
        <v/>
      </c>
      <c r="Z422" s="243">
        <f>IF(Y422="","",V422-Y422)</f>
        <v/>
      </c>
      <c r="AA422" s="110">
        <f>IF(OR(Y422="",V422=0),"",Y422/V422)</f>
        <v/>
      </c>
      <c r="AB422" s="111">
        <f>IF(AA422="","⚪",IF(AA422&gt;1.2,"🔴",IF(AA422&gt;1.1,"🟡","🟢")))</f>
        <v/>
      </c>
      <c r="AD422" s="105" t="n">
        <v>1178955</v>
      </c>
      <c r="AE422" s="106" t="n">
        <v>1080</v>
      </c>
      <c r="AF422" s="107" t="n"/>
      <c r="AG422" s="108">
        <f>IF(AF422="","",AE422*AF422)</f>
        <v/>
      </c>
      <c r="AH422" s="243">
        <f>IF(AG422="","",AD422-AG422)</f>
        <v/>
      </c>
      <c r="AI422" s="110">
        <f>IF(OR(AG422="",AD422=0),"",AG422/AD422)</f>
        <v/>
      </c>
      <c r="AJ422" s="111">
        <f>IF(AI422="","⚪",IF(AI422&gt;1.2,"🔴",IF(AI422&gt;1.1,"🟡","🟢")))</f>
        <v/>
      </c>
    </row>
    <row r="423" ht="14" customHeight="1" s="176">
      <c r="A423" s="103" t="inlineStr">
        <is>
          <t>Siberia</t>
        </is>
      </c>
      <c r="B423" s="104" t="inlineStr">
        <is>
          <t>Timpson 7,1</t>
        </is>
      </c>
      <c r="C423" s="104" t="inlineStr">
        <is>
          <t>1- M.O. directa</t>
        </is>
      </c>
      <c r="D423" s="104" t="inlineStr">
        <is>
          <t>1,2- amarra</t>
        </is>
      </c>
      <c r="E423" s="104" t="inlineStr">
        <is>
          <t>trato</t>
        </is>
      </c>
      <c r="F423" s="105" t="n">
        <v>70992.89999999999</v>
      </c>
      <c r="G423" s="106" t="n">
        <v>180</v>
      </c>
      <c r="H423" s="107" t="n"/>
      <c r="I423" s="108">
        <f>IF(H423="","",G423*H423)</f>
        <v/>
      </c>
      <c r="J423" s="243">
        <f>IF(I423="","",F423-I423)</f>
        <v/>
      </c>
      <c r="K423" s="110">
        <f>IF(OR(I423="",F423=0),"",I423/F423)</f>
        <v/>
      </c>
      <c r="L423" s="111">
        <f>IF(K423="","⚪",IF(K423&gt;1.2,"🔴",IF(K423&gt;1.1,"🟡","🟢")))</f>
        <v/>
      </c>
      <c r="N423" s="105" t="n">
        <v>70992.89999999999</v>
      </c>
      <c r="O423" s="106" t="n">
        <v>180</v>
      </c>
      <c r="P423" s="107" t="n"/>
      <c r="Q423" s="108">
        <f>IF(P423="","",O423*P423)</f>
        <v/>
      </c>
      <c r="R423" s="243">
        <f>IF(Q423="","",N423-Q423)</f>
        <v/>
      </c>
      <c r="S423" s="110">
        <f>IF(OR(Q423="",N423=0),"",Q423/N423)</f>
        <v/>
      </c>
      <c r="T423" s="111">
        <f>IF(S423="","⚪",IF(S423&gt;1.2,"🔴",IF(S423&gt;1.1,"🟡","🟢")))</f>
        <v/>
      </c>
      <c r="V423" s="105" t="n">
        <v>70992.89999999999</v>
      </c>
      <c r="W423" s="106" t="n">
        <v>180</v>
      </c>
      <c r="X423" s="107" t="n"/>
      <c r="Y423" s="108">
        <f>IF(X423="","",W423*X423)</f>
        <v/>
      </c>
      <c r="Z423" s="243">
        <f>IF(Y423="","",V423-Y423)</f>
        <v/>
      </c>
      <c r="AA423" s="110">
        <f>IF(OR(Y423="",V423=0),"",Y423/V423)</f>
        <v/>
      </c>
      <c r="AB423" s="111">
        <f>IF(AA423="","⚪",IF(AA423&gt;1.2,"🔴",IF(AA423&gt;1.1,"🟡","🟢")))</f>
        <v/>
      </c>
      <c r="AD423" s="105" t="n">
        <v>70992.89999999999</v>
      </c>
      <c r="AE423" s="106" t="n">
        <v>180</v>
      </c>
      <c r="AF423" s="107" t="n"/>
      <c r="AG423" s="108">
        <f>IF(AF423="","",AE423*AF423)</f>
        <v/>
      </c>
      <c r="AH423" s="243">
        <f>IF(AG423="","",AD423-AG423)</f>
        <v/>
      </c>
      <c r="AI423" s="110">
        <f>IF(OR(AG423="",AD423=0),"",AG423/AD423)</f>
        <v/>
      </c>
      <c r="AJ423" s="111">
        <f>IF(AI423="","⚪",IF(AI423&gt;1.2,"🔴",IF(AI423&gt;1.1,"🟡","🟢")))</f>
        <v/>
      </c>
    </row>
    <row r="424" ht="14" customHeight="1" s="176">
      <c r="A424" s="112" t="inlineStr">
        <is>
          <t>Siberia</t>
        </is>
      </c>
      <c r="B424" s="113" t="inlineStr">
        <is>
          <t>Timpson 7,1</t>
        </is>
      </c>
      <c r="C424" s="113" t="inlineStr">
        <is>
          <t>1- M.O. directa</t>
        </is>
      </c>
      <c r="D424" s="113" t="inlineStr">
        <is>
          <t>1,3-  Acordonar sarmiento</t>
        </is>
      </c>
      <c r="E424" s="113" t="inlineStr">
        <is>
          <t>trato</t>
        </is>
      </c>
      <c r="F424" s="105" t="n">
        <v>27608.35</v>
      </c>
      <c r="G424" s="106" t="n">
        <v>70</v>
      </c>
      <c r="H424" s="107" t="n"/>
      <c r="I424" s="108">
        <f>IF(H424="","",G424*H424)</f>
        <v/>
      </c>
      <c r="J424" s="243">
        <f>IF(I424="","",F424-I424)</f>
        <v/>
      </c>
      <c r="K424" s="110">
        <f>IF(OR(I424="",F424=0),"",I424/F424)</f>
        <v/>
      </c>
      <c r="L424" s="111">
        <f>IF(K424="","⚪",IF(K424&gt;1.2,"🔴",IF(K424&gt;1.1,"🟡","🟢")))</f>
        <v/>
      </c>
      <c r="N424" s="105" t="n">
        <v>27608.35</v>
      </c>
      <c r="O424" s="106" t="n">
        <v>70</v>
      </c>
      <c r="P424" s="107" t="n"/>
      <c r="Q424" s="108">
        <f>IF(P424="","",O424*P424)</f>
        <v/>
      </c>
      <c r="R424" s="243">
        <f>IF(Q424="","",N424-Q424)</f>
        <v/>
      </c>
      <c r="S424" s="110">
        <f>IF(OR(Q424="",N424=0),"",Q424/N424)</f>
        <v/>
      </c>
      <c r="T424" s="111">
        <f>IF(S424="","⚪",IF(S424&gt;1.2,"🔴",IF(S424&gt;1.1,"🟡","🟢")))</f>
        <v/>
      </c>
      <c r="V424" s="105" t="n">
        <v>27608.35</v>
      </c>
      <c r="W424" s="106" t="n">
        <v>70</v>
      </c>
      <c r="X424" s="107" t="n"/>
      <c r="Y424" s="108">
        <f>IF(X424="","",W424*X424)</f>
        <v/>
      </c>
      <c r="Z424" s="243">
        <f>IF(Y424="","",V424-Y424)</f>
        <v/>
      </c>
      <c r="AA424" s="110">
        <f>IF(OR(Y424="",V424=0),"",Y424/V424)</f>
        <v/>
      </c>
      <c r="AB424" s="111">
        <f>IF(AA424="","⚪",IF(AA424&gt;1.2,"🔴",IF(AA424&gt;1.1,"🟡","🟢")))</f>
        <v/>
      </c>
      <c r="AD424" s="105" t="n">
        <v>27608.35</v>
      </c>
      <c r="AE424" s="106" t="n">
        <v>70</v>
      </c>
      <c r="AF424" s="107" t="n"/>
      <c r="AG424" s="108">
        <f>IF(AF424="","",AE424*AF424)</f>
        <v/>
      </c>
      <c r="AH424" s="243">
        <f>IF(AG424="","",AD424-AG424)</f>
        <v/>
      </c>
      <c r="AI424" s="110">
        <f>IF(OR(AG424="",AD424=0),"",AG424/AD424)</f>
        <v/>
      </c>
      <c r="AJ424" s="111">
        <f>IF(AI424="","⚪",IF(AI424&gt;1.2,"🔴",IF(AI424&gt;1.1,"🟡","🟢")))</f>
        <v/>
      </c>
    </row>
    <row r="425" ht="14" customHeight="1" s="176">
      <c r="A425" s="103" t="inlineStr">
        <is>
          <t>Siberia</t>
        </is>
      </c>
      <c r="B425" s="104" t="inlineStr">
        <is>
          <t>Timpson 7,1</t>
        </is>
      </c>
      <c r="C425" s="104" t="inlineStr">
        <is>
          <t>1- M.O. directa</t>
        </is>
      </c>
      <c r="D425" s="104" t="inlineStr">
        <is>
          <t xml:space="preserve">1,4- Mantención caminos </t>
        </is>
      </c>
      <c r="E425" s="104" t="inlineStr">
        <is>
          <t>día</t>
        </is>
      </c>
      <c r="F425" s="105" t="n">
        <v>8700</v>
      </c>
      <c r="G425" s="106" t="n">
        <v>43500</v>
      </c>
      <c r="H425" s="107" t="n"/>
      <c r="I425" s="108">
        <f>IF(H425="","",G425*H425)</f>
        <v/>
      </c>
      <c r="J425" s="243">
        <f>IF(I425="","",F425-I425)</f>
        <v/>
      </c>
      <c r="K425" s="110">
        <f>IF(OR(I425="",F425=0),"",I425/F425)</f>
        <v/>
      </c>
      <c r="L425" s="111">
        <f>IF(K425="","⚪",IF(K425&gt;1.2,"🔴",IF(K425&gt;1.1,"🟡","🟢")))</f>
        <v/>
      </c>
      <c r="N425" s="105" t="n">
        <v>8700</v>
      </c>
      <c r="O425" s="106" t="n">
        <v>43500</v>
      </c>
      <c r="P425" s="107" t="n"/>
      <c r="Q425" s="108">
        <f>IF(P425="","",O425*P425)</f>
        <v/>
      </c>
      <c r="R425" s="243">
        <f>IF(Q425="","",N425-Q425)</f>
        <v/>
      </c>
      <c r="S425" s="110">
        <f>IF(OR(Q425="",N425=0),"",Q425/N425)</f>
        <v/>
      </c>
      <c r="T425" s="111">
        <f>IF(S425="","⚪",IF(S425&gt;1.2,"🔴",IF(S425&gt;1.1,"🟡","🟢")))</f>
        <v/>
      </c>
      <c r="V425" s="105" t="n">
        <v>8700</v>
      </c>
      <c r="W425" s="106" t="n">
        <v>43500</v>
      </c>
      <c r="X425" s="107" t="n"/>
      <c r="Y425" s="108">
        <f>IF(X425="","",W425*X425)</f>
        <v/>
      </c>
      <c r="Z425" s="243">
        <f>IF(Y425="","",V425-Y425)</f>
        <v/>
      </c>
      <c r="AA425" s="110">
        <f>IF(OR(Y425="",V425=0),"",Y425/V425)</f>
        <v/>
      </c>
      <c r="AB425" s="111">
        <f>IF(AA425="","⚪",IF(AA425&gt;1.2,"🔴",IF(AA425&gt;1.1,"🟡","🟢")))</f>
        <v/>
      </c>
      <c r="AD425" s="105" t="n">
        <v>8700</v>
      </c>
      <c r="AE425" s="106" t="n">
        <v>43500</v>
      </c>
      <c r="AF425" s="107" t="n"/>
      <c r="AG425" s="108">
        <f>IF(AF425="","",AE425*AF425)</f>
        <v/>
      </c>
      <c r="AH425" s="243">
        <f>IF(AG425="","",AD425-AG425)</f>
        <v/>
      </c>
      <c r="AI425" s="110">
        <f>IF(OR(AG425="",AD425=0),"",AG425/AD425)</f>
        <v/>
      </c>
      <c r="AJ425" s="111">
        <f>IF(AI425="","⚪",IF(AI425&gt;1.2,"🔴",IF(AI425&gt;1.1,"🟡","🟢")))</f>
        <v/>
      </c>
    </row>
    <row r="426" ht="14" customHeight="1" s="176">
      <c r="A426" s="112" t="inlineStr">
        <is>
          <t>Siberia</t>
        </is>
      </c>
      <c r="B426" s="113" t="inlineStr">
        <is>
          <t>Timpson 7,1</t>
        </is>
      </c>
      <c r="C426" s="113" t="inlineStr">
        <is>
          <t>1- M.O. directa</t>
        </is>
      </c>
      <c r="D426" s="113" t="inlineStr">
        <is>
          <t>1- Poda</t>
        </is>
      </c>
      <c r="E426" s="113" t="inlineStr">
        <is>
          <t>trato</t>
        </is>
      </c>
      <c r="F426" s="105" t="n">
        <v>236643</v>
      </c>
      <c r="G426" s="106" t="n">
        <v>600</v>
      </c>
      <c r="H426" s="107" t="n"/>
      <c r="I426" s="108">
        <f>IF(H426="","",G426*H426)</f>
        <v/>
      </c>
      <c r="J426" s="243">
        <f>IF(I426="","",F426-I426)</f>
        <v/>
      </c>
      <c r="K426" s="110">
        <f>IF(OR(I426="",F426=0),"",I426/F426)</f>
        <v/>
      </c>
      <c r="L426" s="111">
        <f>IF(K426="","⚪",IF(K426&gt;1.2,"🔴",IF(K426&gt;1.1,"🟡","🟢")))</f>
        <v/>
      </c>
      <c r="N426" s="105" t="n">
        <v>236643</v>
      </c>
      <c r="O426" s="106" t="n">
        <v>600</v>
      </c>
      <c r="P426" s="107" t="n"/>
      <c r="Q426" s="108">
        <f>IF(P426="","",O426*P426)</f>
        <v/>
      </c>
      <c r="R426" s="243">
        <f>IF(Q426="","",N426-Q426)</f>
        <v/>
      </c>
      <c r="S426" s="110">
        <f>IF(OR(Q426="",N426=0),"",Q426/N426)</f>
        <v/>
      </c>
      <c r="T426" s="111">
        <f>IF(S426="","⚪",IF(S426&gt;1.2,"🔴",IF(S426&gt;1.1,"🟡","🟢")))</f>
        <v/>
      </c>
      <c r="V426" s="105" t="n">
        <v>236643</v>
      </c>
      <c r="W426" s="106" t="n">
        <v>600</v>
      </c>
      <c r="X426" s="107" t="n"/>
      <c r="Y426" s="108">
        <f>IF(X426="","",W426*X426)</f>
        <v/>
      </c>
      <c r="Z426" s="243">
        <f>IF(Y426="","",V426-Y426)</f>
        <v/>
      </c>
      <c r="AA426" s="110">
        <f>IF(OR(Y426="",V426=0),"",Y426/V426)</f>
        <v/>
      </c>
      <c r="AB426" s="111">
        <f>IF(AA426="","⚪",IF(AA426&gt;1.2,"🔴",IF(AA426&gt;1.1,"🟡","🟢")))</f>
        <v/>
      </c>
      <c r="AD426" s="105" t="n">
        <v>236643</v>
      </c>
      <c r="AE426" s="106" t="n">
        <v>600</v>
      </c>
      <c r="AF426" s="107" t="n"/>
      <c r="AG426" s="108">
        <f>IF(AF426="","",AE426*AF426)</f>
        <v/>
      </c>
      <c r="AH426" s="243">
        <f>IF(AG426="","",AD426-AG426)</f>
        <v/>
      </c>
      <c r="AI426" s="110">
        <f>IF(OR(AG426="",AD426=0),"",AG426/AD426)</f>
        <v/>
      </c>
      <c r="AJ426" s="111">
        <f>IF(AI426="","⚪",IF(AI426&gt;1.2,"🔴",IF(AI426&gt;1.1,"🟡","🟢")))</f>
        <v/>
      </c>
    </row>
    <row r="427" ht="14" customHeight="1" s="176">
      <c r="A427" s="103" t="inlineStr">
        <is>
          <t>Siberia</t>
        </is>
      </c>
      <c r="B427" s="104" t="inlineStr">
        <is>
          <t>Timpson 7,1</t>
        </is>
      </c>
      <c r="C427" s="104" t="inlineStr">
        <is>
          <t>1- M.O. directa</t>
        </is>
      </c>
      <c r="D427" s="104" t="inlineStr">
        <is>
          <t>2- Aseo y Mantenciòn Campo</t>
        </is>
      </c>
      <c r="E427" s="104" t="inlineStr">
        <is>
          <t>trato</t>
        </is>
      </c>
      <c r="F427" s="105" t="n">
        <v>60637.5</v>
      </c>
      <c r="G427" s="106" t="n">
        <v>38500</v>
      </c>
      <c r="H427" s="107" t="n"/>
      <c r="I427" s="108">
        <f>IF(H427="","",G427*H427)</f>
        <v/>
      </c>
      <c r="J427" s="243">
        <f>IF(I427="","",F427-I427)</f>
        <v/>
      </c>
      <c r="K427" s="110">
        <f>IF(OR(I427="",F427=0),"",I427/F427)</f>
        <v/>
      </c>
      <c r="L427" s="111">
        <f>IF(K427="","⚪",IF(K427&gt;1.2,"🔴",IF(K427&gt;1.1,"🟡","🟢")))</f>
        <v/>
      </c>
      <c r="N427" s="105" t="n">
        <v>60637.5</v>
      </c>
      <c r="O427" s="106" t="n">
        <v>38500</v>
      </c>
      <c r="P427" s="107" t="n"/>
      <c r="Q427" s="108">
        <f>IF(P427="","",O427*P427)</f>
        <v/>
      </c>
      <c r="R427" s="243">
        <f>IF(Q427="","",N427-Q427)</f>
        <v/>
      </c>
      <c r="S427" s="110">
        <f>IF(OR(Q427="",N427=0),"",Q427/N427)</f>
        <v/>
      </c>
      <c r="T427" s="111">
        <f>IF(S427="","⚪",IF(S427&gt;1.2,"🔴",IF(S427&gt;1.1,"🟡","🟢")))</f>
        <v/>
      </c>
      <c r="V427" s="105" t="n">
        <v>60637.5</v>
      </c>
      <c r="W427" s="106" t="n">
        <v>38500</v>
      </c>
      <c r="X427" s="107" t="n"/>
      <c r="Y427" s="108">
        <f>IF(X427="","",W427*X427)</f>
        <v/>
      </c>
      <c r="Z427" s="243">
        <f>IF(Y427="","",V427-Y427)</f>
        <v/>
      </c>
      <c r="AA427" s="110">
        <f>IF(OR(Y427="",V427=0),"",Y427/V427)</f>
        <v/>
      </c>
      <c r="AB427" s="111">
        <f>IF(AA427="","⚪",IF(AA427&gt;1.2,"🔴",IF(AA427&gt;1.1,"🟡","🟢")))</f>
        <v/>
      </c>
      <c r="AD427" s="105" t="n">
        <v>60637.5</v>
      </c>
      <c r="AE427" s="106" t="n">
        <v>38500</v>
      </c>
      <c r="AF427" s="107" t="n"/>
      <c r="AG427" s="108">
        <f>IF(AF427="","",AE427*AF427)</f>
        <v/>
      </c>
      <c r="AH427" s="243">
        <f>IF(AG427="","",AD427-AG427)</f>
        <v/>
      </c>
      <c r="AI427" s="110">
        <f>IF(OR(AG427="",AD427=0),"",AG427/AD427)</f>
        <v/>
      </c>
      <c r="AJ427" s="111">
        <f>IF(AI427="","⚪",IF(AI427&gt;1.2,"🔴",IF(AI427&gt;1.1,"🟡","🟢")))</f>
        <v/>
      </c>
    </row>
    <row r="428" ht="14" customHeight="1" s="176">
      <c r="A428" s="112" t="inlineStr">
        <is>
          <t>Siberia</t>
        </is>
      </c>
      <c r="B428" s="113" t="inlineStr">
        <is>
          <t>Timpson 7,1</t>
        </is>
      </c>
      <c r="C428" s="113" t="inlineStr">
        <is>
          <t>1- M.O. directa</t>
        </is>
      </c>
      <c r="D428" s="113" t="inlineStr">
        <is>
          <t>3-  Control de malezas químico</t>
        </is>
      </c>
      <c r="E428" s="113" t="inlineStr">
        <is>
          <t>trato</t>
        </is>
      </c>
      <c r="F428" s="105" t="n">
        <v>46327.5</v>
      </c>
      <c r="G428" s="106" t="n">
        <v>43500</v>
      </c>
      <c r="H428" s="107" t="n"/>
      <c r="I428" s="108">
        <f>IF(H428="","",G428*H428)</f>
        <v/>
      </c>
      <c r="J428" s="243">
        <f>IF(I428="","",F428-I428)</f>
        <v/>
      </c>
      <c r="K428" s="110">
        <f>IF(OR(I428="",F428=0),"",I428/F428)</f>
        <v/>
      </c>
      <c r="L428" s="111">
        <f>IF(K428="","⚪",IF(K428&gt;1.2,"🔴",IF(K428&gt;1.1,"🟡","🟢")))</f>
        <v/>
      </c>
      <c r="N428" s="105" t="n">
        <v>46327.5</v>
      </c>
      <c r="O428" s="106" t="n">
        <v>43500</v>
      </c>
      <c r="P428" s="107" t="n"/>
      <c r="Q428" s="108">
        <f>IF(P428="","",O428*P428)</f>
        <v/>
      </c>
      <c r="R428" s="243">
        <f>IF(Q428="","",N428-Q428)</f>
        <v/>
      </c>
      <c r="S428" s="110">
        <f>IF(OR(Q428="",N428=0),"",Q428/N428)</f>
        <v/>
      </c>
      <c r="T428" s="111">
        <f>IF(S428="","⚪",IF(S428&gt;1.2,"🔴",IF(S428&gt;1.1,"🟡","🟢")))</f>
        <v/>
      </c>
      <c r="V428" s="105" t="n">
        <v>46327.5</v>
      </c>
      <c r="W428" s="106" t="n">
        <v>43500</v>
      </c>
      <c r="X428" s="107" t="n"/>
      <c r="Y428" s="108">
        <f>IF(X428="","",W428*X428)</f>
        <v/>
      </c>
      <c r="Z428" s="243">
        <f>IF(Y428="","",V428-Y428)</f>
        <v/>
      </c>
      <c r="AA428" s="110">
        <f>IF(OR(Y428="",V428=0),"",Y428/V428)</f>
        <v/>
      </c>
      <c r="AB428" s="111">
        <f>IF(AA428="","⚪",IF(AA428&gt;1.2,"🔴",IF(AA428&gt;1.1,"🟡","🟢")))</f>
        <v/>
      </c>
      <c r="AD428" s="105" t="n">
        <v>46327.5</v>
      </c>
      <c r="AE428" s="106" t="n">
        <v>43500</v>
      </c>
      <c r="AF428" s="107" t="n"/>
      <c r="AG428" s="108">
        <f>IF(AF428="","",AE428*AF428)</f>
        <v/>
      </c>
      <c r="AH428" s="243">
        <f>IF(AG428="","",AD428-AG428)</f>
        <v/>
      </c>
      <c r="AI428" s="110">
        <f>IF(OR(AG428="",AD428=0),"",AG428/AD428)</f>
        <v/>
      </c>
      <c r="AJ428" s="111">
        <f>IF(AI428="","⚪",IF(AI428&gt;1.2,"🔴",IF(AI428&gt;1.1,"🟡","🟢")))</f>
        <v/>
      </c>
    </row>
    <row r="429" ht="14" customHeight="1" s="176">
      <c r="A429" s="103" t="inlineStr">
        <is>
          <t>Siberia</t>
        </is>
      </c>
      <c r="B429" s="104" t="inlineStr">
        <is>
          <t>Timpson 7,1</t>
        </is>
      </c>
      <c r="C429" s="104" t="inlineStr">
        <is>
          <t>1- M.O. directa</t>
        </is>
      </c>
      <c r="D429" s="104" t="inlineStr">
        <is>
          <t>3- Reparaciòn estructura</t>
        </is>
      </c>
      <c r="E429" s="104" t="inlineStr">
        <is>
          <t>trato</t>
        </is>
      </c>
      <c r="F429" s="105" t="n">
        <v>118321.5</v>
      </c>
      <c r="G429" s="106" t="n">
        <v>300</v>
      </c>
      <c r="H429" s="107" t="n"/>
      <c r="I429" s="108">
        <f>IF(H429="","",G429*H429)</f>
        <v/>
      </c>
      <c r="J429" s="243">
        <f>IF(I429="","",F429-I429)</f>
        <v/>
      </c>
      <c r="K429" s="110">
        <f>IF(OR(I429="",F429=0),"",I429/F429)</f>
        <v/>
      </c>
      <c r="L429" s="111">
        <f>IF(K429="","⚪",IF(K429&gt;1.2,"🔴",IF(K429&gt;1.1,"🟡","🟢")))</f>
        <v/>
      </c>
      <c r="N429" s="105" t="n">
        <v>118321.5</v>
      </c>
      <c r="O429" s="106" t="n">
        <v>300</v>
      </c>
      <c r="P429" s="107" t="n"/>
      <c r="Q429" s="108">
        <f>IF(P429="","",O429*P429)</f>
        <v/>
      </c>
      <c r="R429" s="243">
        <f>IF(Q429="","",N429-Q429)</f>
        <v/>
      </c>
      <c r="S429" s="110">
        <f>IF(OR(Q429="",N429=0),"",Q429/N429)</f>
        <v/>
      </c>
      <c r="T429" s="111">
        <f>IF(S429="","⚪",IF(S429&gt;1.2,"🔴",IF(S429&gt;1.1,"🟡","🟢")))</f>
        <v/>
      </c>
      <c r="V429" s="105" t="n">
        <v>118321.5</v>
      </c>
      <c r="W429" s="106" t="n">
        <v>300</v>
      </c>
      <c r="X429" s="107" t="n"/>
      <c r="Y429" s="108">
        <f>IF(X429="","",W429*X429)</f>
        <v/>
      </c>
      <c r="Z429" s="243">
        <f>IF(Y429="","",V429-Y429)</f>
        <v/>
      </c>
      <c r="AA429" s="110">
        <f>IF(OR(Y429="",V429=0),"",Y429/V429)</f>
        <v/>
      </c>
      <c r="AB429" s="111">
        <f>IF(AA429="","⚪",IF(AA429&gt;1.2,"🔴",IF(AA429&gt;1.1,"🟡","🟢")))</f>
        <v/>
      </c>
      <c r="AD429" s="105" t="n">
        <v>118321.5</v>
      </c>
      <c r="AE429" s="106" t="n">
        <v>300</v>
      </c>
      <c r="AF429" s="107" t="n"/>
      <c r="AG429" s="108">
        <f>IF(AF429="","",AE429*AF429)</f>
        <v/>
      </c>
      <c r="AH429" s="243">
        <f>IF(AG429="","",AD429-AG429)</f>
        <v/>
      </c>
      <c r="AI429" s="110">
        <f>IF(OR(AG429="",AD429=0),"",AG429/AD429)</f>
        <v/>
      </c>
      <c r="AJ429" s="111">
        <f>IF(AI429="","⚪",IF(AI429&gt;1.2,"🔴",IF(AI429&gt;1.1,"🟡","🟢")))</f>
        <v/>
      </c>
    </row>
    <row r="430" ht="14" customHeight="1" s="176">
      <c r="A430" s="112" t="inlineStr">
        <is>
          <t>Siberia</t>
        </is>
      </c>
      <c r="B430" s="113" t="inlineStr">
        <is>
          <t>Timpson 7,1</t>
        </is>
      </c>
      <c r="C430" s="113" t="inlineStr">
        <is>
          <t>1- M.O. directa</t>
        </is>
      </c>
      <c r="D430" s="113" t="inlineStr">
        <is>
          <t>3- Tractorista cosecha</t>
        </is>
      </c>
      <c r="E430" s="113" t="inlineStr">
        <is>
          <t>trato</t>
        </is>
      </c>
      <c r="F430" s="105" t="n">
        <v>31950</v>
      </c>
      <c r="G430" s="106" t="n">
        <v>30</v>
      </c>
      <c r="H430" s="107" t="n"/>
      <c r="I430" s="108">
        <f>IF(H430="","",G430*H430)</f>
        <v/>
      </c>
      <c r="J430" s="243">
        <f>IF(I430="","",F430-I430)</f>
        <v/>
      </c>
      <c r="K430" s="110">
        <f>IF(OR(I430="",F430=0),"",I430/F430)</f>
        <v/>
      </c>
      <c r="L430" s="111">
        <f>IF(K430="","⚪",IF(K430&gt;1.2,"🔴",IF(K430&gt;1.1,"🟡","🟢")))</f>
        <v/>
      </c>
      <c r="N430" s="105" t="n">
        <v>31950</v>
      </c>
      <c r="O430" s="106" t="n">
        <v>30</v>
      </c>
      <c r="P430" s="107" t="n"/>
      <c r="Q430" s="108">
        <f>IF(P430="","",O430*P430)</f>
        <v/>
      </c>
      <c r="R430" s="243">
        <f>IF(Q430="","",N430-Q430)</f>
        <v/>
      </c>
      <c r="S430" s="110">
        <f>IF(OR(Q430="",N430=0),"",Q430/N430)</f>
        <v/>
      </c>
      <c r="T430" s="111">
        <f>IF(S430="","⚪",IF(S430&gt;1.2,"🔴",IF(S430&gt;1.1,"🟡","🟢")))</f>
        <v/>
      </c>
      <c r="V430" s="105" t="n">
        <v>31950</v>
      </c>
      <c r="W430" s="106" t="n">
        <v>30</v>
      </c>
      <c r="X430" s="107" t="n"/>
      <c r="Y430" s="108">
        <f>IF(X430="","",W430*X430)</f>
        <v/>
      </c>
      <c r="Z430" s="243">
        <f>IF(Y430="","",V430-Y430)</f>
        <v/>
      </c>
      <c r="AA430" s="110">
        <f>IF(OR(Y430="",V430=0),"",Y430/V430)</f>
        <v/>
      </c>
      <c r="AB430" s="111">
        <f>IF(AA430="","⚪",IF(AA430&gt;1.2,"🔴",IF(AA430&gt;1.1,"🟡","🟢")))</f>
        <v/>
      </c>
      <c r="AD430" s="105" t="n">
        <v>31950</v>
      </c>
      <c r="AE430" s="106" t="n">
        <v>30</v>
      </c>
      <c r="AF430" s="107" t="n"/>
      <c r="AG430" s="108">
        <f>IF(AF430="","",AE430*AF430)</f>
        <v/>
      </c>
      <c r="AH430" s="243">
        <f>IF(AG430="","",AD430-AG430)</f>
        <v/>
      </c>
      <c r="AI430" s="110">
        <f>IF(OR(AG430="",AD430=0),"",AG430/AD430)</f>
        <v/>
      </c>
      <c r="AJ430" s="111">
        <f>IF(AI430="","⚪",IF(AI430&gt;1.2,"🔴",IF(AI430&gt;1.1,"🟡","🟢")))</f>
        <v/>
      </c>
    </row>
    <row r="431" ht="14" customHeight="1" s="176">
      <c r="A431" s="103" t="inlineStr">
        <is>
          <t>Siberia</t>
        </is>
      </c>
      <c r="B431" s="104" t="inlineStr">
        <is>
          <t>Timpson 7,1</t>
        </is>
      </c>
      <c r="C431" s="104" t="inlineStr">
        <is>
          <t>1- M.O. directa</t>
        </is>
      </c>
      <c r="D431" s="104" t="inlineStr">
        <is>
          <t>4- Control de malezas mecánico</t>
        </is>
      </c>
      <c r="E431" s="104" t="inlineStr">
        <is>
          <t>día</t>
        </is>
      </c>
      <c r="F431" s="105" t="n">
        <v>39440.5</v>
      </c>
      <c r="G431" s="106" t="n">
        <v>100</v>
      </c>
      <c r="H431" s="107" t="n"/>
      <c r="I431" s="108">
        <f>IF(H431="","",G431*H431)</f>
        <v/>
      </c>
      <c r="J431" s="243">
        <f>IF(I431="","",F431-I431)</f>
        <v/>
      </c>
      <c r="K431" s="110">
        <f>IF(OR(I431="",F431=0),"",I431/F431)</f>
        <v/>
      </c>
      <c r="L431" s="111">
        <f>IF(K431="","⚪",IF(K431&gt;1.2,"🔴",IF(K431&gt;1.1,"🟡","🟢")))</f>
        <v/>
      </c>
      <c r="N431" s="105" t="n">
        <v>39440.5</v>
      </c>
      <c r="O431" s="106" t="n">
        <v>100</v>
      </c>
      <c r="P431" s="107" t="n"/>
      <c r="Q431" s="108">
        <f>IF(P431="","",O431*P431)</f>
        <v/>
      </c>
      <c r="R431" s="243">
        <f>IF(Q431="","",N431-Q431)</f>
        <v/>
      </c>
      <c r="S431" s="110">
        <f>IF(OR(Q431="",N431=0),"",Q431/N431)</f>
        <v/>
      </c>
      <c r="T431" s="111">
        <f>IF(S431="","⚪",IF(S431&gt;1.2,"🔴",IF(S431&gt;1.1,"🟡","🟢")))</f>
        <v/>
      </c>
      <c r="V431" s="105" t="n">
        <v>39440.5</v>
      </c>
      <c r="W431" s="106" t="n">
        <v>100</v>
      </c>
      <c r="X431" s="107" t="n"/>
      <c r="Y431" s="108">
        <f>IF(X431="","",W431*X431)</f>
        <v/>
      </c>
      <c r="Z431" s="243">
        <f>IF(Y431="","",V431-Y431)</f>
        <v/>
      </c>
      <c r="AA431" s="110">
        <f>IF(OR(Y431="",V431=0),"",Y431/V431)</f>
        <v/>
      </c>
      <c r="AB431" s="111">
        <f>IF(AA431="","⚪",IF(AA431&gt;1.2,"🔴",IF(AA431&gt;1.1,"🟡","🟢")))</f>
        <v/>
      </c>
      <c r="AD431" s="105" t="n">
        <v>39440.5</v>
      </c>
      <c r="AE431" s="106" t="n">
        <v>100</v>
      </c>
      <c r="AF431" s="107" t="n"/>
      <c r="AG431" s="108">
        <f>IF(AF431="","",AE431*AF431)</f>
        <v/>
      </c>
      <c r="AH431" s="243">
        <f>IF(AG431="","",AD431-AG431)</f>
        <v/>
      </c>
      <c r="AI431" s="110">
        <f>IF(OR(AG431="",AD431=0),"",AG431/AD431)</f>
        <v/>
      </c>
      <c r="AJ431" s="111">
        <f>IF(AI431="","⚪",IF(AI431&gt;1.2,"🔴",IF(AI431&gt;1.1,"🟡","🟢")))</f>
        <v/>
      </c>
    </row>
    <row r="432" ht="14" customHeight="1" s="176">
      <c r="A432" s="112" t="inlineStr">
        <is>
          <t>Siberia</t>
        </is>
      </c>
      <c r="B432" s="113" t="inlineStr">
        <is>
          <t>Timpson 7,1</t>
        </is>
      </c>
      <c r="C432" s="113" t="inlineStr">
        <is>
          <t>1- M.O. directa</t>
        </is>
      </c>
      <c r="D432" s="113" t="inlineStr">
        <is>
          <t>5,1- Descuelgue de racimos pre raleo</t>
        </is>
      </c>
      <c r="E432" s="113" t="inlineStr">
        <is>
          <t>trato</t>
        </is>
      </c>
      <c r="F432" s="105" t="n">
        <v>98601.25</v>
      </c>
      <c r="G432" s="106" t="n">
        <v>250</v>
      </c>
      <c r="H432" s="107" t="n"/>
      <c r="I432" s="108">
        <f>IF(H432="","",G432*H432)</f>
        <v/>
      </c>
      <c r="J432" s="243">
        <f>IF(I432="","",F432-I432)</f>
        <v/>
      </c>
      <c r="K432" s="110">
        <f>IF(OR(I432="",F432=0),"",I432/F432)</f>
        <v/>
      </c>
      <c r="L432" s="111">
        <f>IF(K432="","⚪",IF(K432&gt;1.2,"🔴",IF(K432&gt;1.1,"🟡","🟢")))</f>
        <v/>
      </c>
      <c r="N432" s="105" t="n">
        <v>98601.25</v>
      </c>
      <c r="O432" s="106" t="n">
        <v>250</v>
      </c>
      <c r="P432" s="107" t="n"/>
      <c r="Q432" s="108">
        <f>IF(P432="","",O432*P432)</f>
        <v/>
      </c>
      <c r="R432" s="243">
        <f>IF(Q432="","",N432-Q432)</f>
        <v/>
      </c>
      <c r="S432" s="110">
        <f>IF(OR(Q432="",N432=0),"",Q432/N432)</f>
        <v/>
      </c>
      <c r="T432" s="111">
        <f>IF(S432="","⚪",IF(S432&gt;1.2,"🔴",IF(S432&gt;1.1,"🟡","🟢")))</f>
        <v/>
      </c>
      <c r="V432" s="105" t="n">
        <v>98601.25</v>
      </c>
      <c r="W432" s="106" t="n">
        <v>250</v>
      </c>
      <c r="X432" s="107" t="n"/>
      <c r="Y432" s="108">
        <f>IF(X432="","",W432*X432)</f>
        <v/>
      </c>
      <c r="Z432" s="243">
        <f>IF(Y432="","",V432-Y432)</f>
        <v/>
      </c>
      <c r="AA432" s="110">
        <f>IF(OR(Y432="",V432=0),"",Y432/V432)</f>
        <v/>
      </c>
      <c r="AB432" s="111">
        <f>IF(AA432="","⚪",IF(AA432&gt;1.2,"🔴",IF(AA432&gt;1.1,"🟡","🟢")))</f>
        <v/>
      </c>
      <c r="AD432" s="105" t="n">
        <v>98601.25</v>
      </c>
      <c r="AE432" s="106" t="n">
        <v>250</v>
      </c>
      <c r="AF432" s="107" t="n"/>
      <c r="AG432" s="108">
        <f>IF(AF432="","",AE432*AF432)</f>
        <v/>
      </c>
      <c r="AH432" s="243">
        <f>IF(AG432="","",AD432-AG432)</f>
        <v/>
      </c>
      <c r="AI432" s="110">
        <f>IF(OR(AG432="",AD432=0),"",AG432/AD432)</f>
        <v/>
      </c>
      <c r="AJ432" s="111">
        <f>IF(AI432="","⚪",IF(AI432&gt;1.2,"🔴",IF(AI432&gt;1.1,"🟡","🟢")))</f>
        <v/>
      </c>
    </row>
    <row r="433" ht="14" customHeight="1" s="176">
      <c r="A433" s="103" t="inlineStr">
        <is>
          <t>Siberia</t>
        </is>
      </c>
      <c r="B433" s="104" t="inlineStr">
        <is>
          <t>Timpson 7,1</t>
        </is>
      </c>
      <c r="C433" s="104" t="inlineStr">
        <is>
          <t>1- M.O. directa</t>
        </is>
      </c>
      <c r="D433" s="104" t="inlineStr">
        <is>
          <t>5,2- arreglo de racimos y descole</t>
        </is>
      </c>
      <c r="E433" s="104" t="inlineStr">
        <is>
          <t>trato</t>
        </is>
      </c>
      <c r="F433" s="105" t="n">
        <v>507993.64</v>
      </c>
      <c r="G433" s="106" t="n">
        <v>23</v>
      </c>
      <c r="H433" s="107" t="n"/>
      <c r="I433" s="108">
        <f>IF(H433="","",G433*H433)</f>
        <v/>
      </c>
      <c r="J433" s="243">
        <f>IF(I433="","",F433-I433)</f>
        <v/>
      </c>
      <c r="K433" s="110">
        <f>IF(OR(I433="",F433=0),"",I433/F433)</f>
        <v/>
      </c>
      <c r="L433" s="111">
        <f>IF(K433="","⚪",IF(K433&gt;1.2,"🔴",IF(K433&gt;1.1,"🟡","🟢")))</f>
        <v/>
      </c>
      <c r="N433" s="105" t="n">
        <v>507993.64</v>
      </c>
      <c r="O433" s="106" t="n">
        <v>23</v>
      </c>
      <c r="P433" s="107" t="n"/>
      <c r="Q433" s="108">
        <f>IF(P433="","",O433*P433)</f>
        <v/>
      </c>
      <c r="R433" s="243">
        <f>IF(Q433="","",N433-Q433)</f>
        <v/>
      </c>
      <c r="S433" s="110">
        <f>IF(OR(Q433="",N433=0),"",Q433/N433)</f>
        <v/>
      </c>
      <c r="T433" s="111">
        <f>IF(S433="","⚪",IF(S433&gt;1.2,"🔴",IF(S433&gt;1.1,"🟡","🟢")))</f>
        <v/>
      </c>
      <c r="V433" s="105" t="n">
        <v>507993.64</v>
      </c>
      <c r="W433" s="106" t="n">
        <v>23</v>
      </c>
      <c r="X433" s="107" t="n"/>
      <c r="Y433" s="108">
        <f>IF(X433="","",W433*X433)</f>
        <v/>
      </c>
      <c r="Z433" s="243">
        <f>IF(Y433="","",V433-Y433)</f>
        <v/>
      </c>
      <c r="AA433" s="110">
        <f>IF(OR(Y433="",V433=0),"",Y433/V433)</f>
        <v/>
      </c>
      <c r="AB433" s="111">
        <f>IF(AA433="","⚪",IF(AA433&gt;1.2,"🔴",IF(AA433&gt;1.1,"🟡","🟢")))</f>
        <v/>
      </c>
      <c r="AD433" s="105" t="n">
        <v>507993.64</v>
      </c>
      <c r="AE433" s="106" t="n">
        <v>23</v>
      </c>
      <c r="AF433" s="107" t="n"/>
      <c r="AG433" s="108">
        <f>IF(AF433="","",AE433*AF433)</f>
        <v/>
      </c>
      <c r="AH433" s="243">
        <f>IF(AG433="","",AD433-AG433)</f>
        <v/>
      </c>
      <c r="AI433" s="110">
        <f>IF(OR(AG433="",AD433=0),"",AG433/AD433)</f>
        <v/>
      </c>
      <c r="AJ433" s="111">
        <f>IF(AI433="","⚪",IF(AI433&gt;1.2,"🔴",IF(AI433&gt;1.1,"🟡","🟢")))</f>
        <v/>
      </c>
    </row>
    <row r="434" ht="14" customHeight="1" s="176">
      <c r="A434" s="112" t="inlineStr">
        <is>
          <t>Siberia</t>
        </is>
      </c>
      <c r="B434" s="113" t="inlineStr">
        <is>
          <t>Timpson 7,1</t>
        </is>
      </c>
      <c r="C434" s="113" t="inlineStr">
        <is>
          <t>1- M.O. directa</t>
        </is>
      </c>
      <c r="D434" s="113" t="inlineStr">
        <is>
          <t>5,3- ajuste de carga</t>
        </is>
      </c>
      <c r="E434" s="113" t="inlineStr">
        <is>
          <t>trato</t>
        </is>
      </c>
      <c r="F434" s="105" t="n">
        <v>59160.75</v>
      </c>
      <c r="G434" s="106" t="n">
        <v>150</v>
      </c>
      <c r="H434" s="107" t="n"/>
      <c r="I434" s="108">
        <f>IF(H434="","",G434*H434)</f>
        <v/>
      </c>
      <c r="J434" s="243">
        <f>IF(I434="","",F434-I434)</f>
        <v/>
      </c>
      <c r="K434" s="110">
        <f>IF(OR(I434="",F434=0),"",I434/F434)</f>
        <v/>
      </c>
      <c r="L434" s="111">
        <f>IF(K434="","⚪",IF(K434&gt;1.2,"🔴",IF(K434&gt;1.1,"🟡","🟢")))</f>
        <v/>
      </c>
      <c r="N434" s="105" t="n">
        <v>59160.75</v>
      </c>
      <c r="O434" s="106" t="n">
        <v>150</v>
      </c>
      <c r="P434" s="107" t="n"/>
      <c r="Q434" s="108">
        <f>IF(P434="","",O434*P434)</f>
        <v/>
      </c>
      <c r="R434" s="243">
        <f>IF(Q434="","",N434-Q434)</f>
        <v/>
      </c>
      <c r="S434" s="110">
        <f>IF(OR(Q434="",N434=0),"",Q434/N434)</f>
        <v/>
      </c>
      <c r="T434" s="111">
        <f>IF(S434="","⚪",IF(S434&gt;1.2,"🔴",IF(S434&gt;1.1,"🟡","🟢")))</f>
        <v/>
      </c>
      <c r="V434" s="105" t="n">
        <v>59160.75</v>
      </c>
      <c r="W434" s="106" t="n">
        <v>150</v>
      </c>
      <c r="X434" s="107" t="n"/>
      <c r="Y434" s="108">
        <f>IF(X434="","",W434*X434)</f>
        <v/>
      </c>
      <c r="Z434" s="243">
        <f>IF(Y434="","",V434-Y434)</f>
        <v/>
      </c>
      <c r="AA434" s="110">
        <f>IF(OR(Y434="",V434=0),"",Y434/V434)</f>
        <v/>
      </c>
      <c r="AB434" s="111">
        <f>IF(AA434="","⚪",IF(AA434&gt;1.2,"🔴",IF(AA434&gt;1.1,"🟡","🟢")))</f>
        <v/>
      </c>
      <c r="AD434" s="105" t="n">
        <v>59160.75</v>
      </c>
      <c r="AE434" s="106" t="n">
        <v>150</v>
      </c>
      <c r="AF434" s="107" t="n"/>
      <c r="AG434" s="108">
        <f>IF(AF434="","",AE434*AF434)</f>
        <v/>
      </c>
      <c r="AH434" s="243">
        <f>IF(AG434="","",AD434-AG434)</f>
        <v/>
      </c>
      <c r="AI434" s="110">
        <f>IF(OR(AG434="",AD434=0),"",AG434/AD434)</f>
        <v/>
      </c>
      <c r="AJ434" s="111">
        <f>IF(AI434="","⚪",IF(AI434&gt;1.2,"🔴",IF(AI434&gt;1.1,"🟡","🟢")))</f>
        <v/>
      </c>
    </row>
    <row r="435" ht="14" customHeight="1" s="176">
      <c r="A435" s="103" t="inlineStr">
        <is>
          <t>Siberia</t>
        </is>
      </c>
      <c r="B435" s="104" t="inlineStr">
        <is>
          <t>Timpson 7,1</t>
        </is>
      </c>
      <c r="C435" s="104" t="inlineStr">
        <is>
          <t>1- M.O. directa</t>
        </is>
      </c>
      <c r="D435" s="104" t="inlineStr">
        <is>
          <t>5,4- Subir y amarrar brotes</t>
        </is>
      </c>
      <c r="E435" s="104" t="inlineStr">
        <is>
          <t>día</t>
        </is>
      </c>
      <c r="F435" s="105" t="n">
        <v>23100</v>
      </c>
      <c r="G435" s="106" t="n">
        <v>38500</v>
      </c>
      <c r="H435" s="107" t="n"/>
      <c r="I435" s="108">
        <f>IF(H435="","",G435*H435)</f>
        <v/>
      </c>
      <c r="J435" s="243">
        <f>IF(I435="","",F435-I435)</f>
        <v/>
      </c>
      <c r="K435" s="110">
        <f>IF(OR(I435="",F435=0),"",I435/F435)</f>
        <v/>
      </c>
      <c r="L435" s="111">
        <f>IF(K435="","⚪",IF(K435&gt;1.2,"🔴",IF(K435&gt;1.1,"🟡","🟢")))</f>
        <v/>
      </c>
      <c r="N435" s="105" t="n">
        <v>23100</v>
      </c>
      <c r="O435" s="106" t="n">
        <v>38500</v>
      </c>
      <c r="P435" s="107" t="n"/>
      <c r="Q435" s="108">
        <f>IF(P435="","",O435*P435)</f>
        <v/>
      </c>
      <c r="R435" s="243">
        <f>IF(Q435="","",N435-Q435)</f>
        <v/>
      </c>
      <c r="S435" s="110">
        <f>IF(OR(Q435="",N435=0),"",Q435/N435)</f>
        <v/>
      </c>
      <c r="T435" s="111">
        <f>IF(S435="","⚪",IF(S435&gt;1.2,"🔴",IF(S435&gt;1.1,"🟡","🟢")))</f>
        <v/>
      </c>
      <c r="V435" s="105" t="n">
        <v>23100</v>
      </c>
      <c r="W435" s="106" t="n">
        <v>38500</v>
      </c>
      <c r="X435" s="107" t="n"/>
      <c r="Y435" s="108">
        <f>IF(X435="","",W435*X435)</f>
        <v/>
      </c>
      <c r="Z435" s="243">
        <f>IF(Y435="","",V435-Y435)</f>
        <v/>
      </c>
      <c r="AA435" s="110">
        <f>IF(OR(Y435="",V435=0),"",Y435/V435)</f>
        <v/>
      </c>
      <c r="AB435" s="111">
        <f>IF(AA435="","⚪",IF(AA435&gt;1.2,"🔴",IF(AA435&gt;1.1,"🟡","🟢")))</f>
        <v/>
      </c>
      <c r="AD435" s="105" t="n">
        <v>23100</v>
      </c>
      <c r="AE435" s="106" t="n">
        <v>38500</v>
      </c>
      <c r="AF435" s="107" t="n"/>
      <c r="AG435" s="108">
        <f>IF(AF435="","",AE435*AF435)</f>
        <v/>
      </c>
      <c r="AH435" s="243">
        <f>IF(AG435="","",AD435-AG435)</f>
        <v/>
      </c>
      <c r="AI435" s="110">
        <f>IF(OR(AG435="",AD435=0),"",AG435/AD435)</f>
        <v/>
      </c>
      <c r="AJ435" s="111">
        <f>IF(AI435="","⚪",IF(AI435&gt;1.2,"🔴",IF(AI435&gt;1.1,"🟡","🟢")))</f>
        <v/>
      </c>
    </row>
    <row r="436" ht="14" customHeight="1" s="176">
      <c r="A436" s="112" t="inlineStr">
        <is>
          <t>Siberia</t>
        </is>
      </c>
      <c r="B436" s="113" t="inlineStr">
        <is>
          <t>Timpson 7,1</t>
        </is>
      </c>
      <c r="C436" s="113" t="inlineStr">
        <is>
          <t>1- M.O. directa</t>
        </is>
      </c>
      <c r="D436" s="113" t="inlineStr">
        <is>
          <t>5,5- Deshoje de corona y pasillo</t>
        </is>
      </c>
      <c r="E436" s="113" t="inlineStr">
        <is>
          <t>trato</t>
        </is>
      </c>
      <c r="F436" s="105" t="n">
        <v>86769.10000000001</v>
      </c>
      <c r="G436" s="106" t="n">
        <v>220</v>
      </c>
      <c r="H436" s="107" t="n"/>
      <c r="I436" s="108">
        <f>IF(H436="","",G436*H436)</f>
        <v/>
      </c>
      <c r="J436" s="243">
        <f>IF(I436="","",F436-I436)</f>
        <v/>
      </c>
      <c r="K436" s="110">
        <f>IF(OR(I436="",F436=0),"",I436/F436)</f>
        <v/>
      </c>
      <c r="L436" s="111">
        <f>IF(K436="","⚪",IF(K436&gt;1.2,"🔴",IF(K436&gt;1.1,"🟡","🟢")))</f>
        <v/>
      </c>
      <c r="N436" s="105" t="n">
        <v>86769.10000000001</v>
      </c>
      <c r="O436" s="106" t="n">
        <v>220</v>
      </c>
      <c r="P436" s="107" t="n"/>
      <c r="Q436" s="108">
        <f>IF(P436="","",O436*P436)</f>
        <v/>
      </c>
      <c r="R436" s="243">
        <f>IF(Q436="","",N436-Q436)</f>
        <v/>
      </c>
      <c r="S436" s="110">
        <f>IF(OR(Q436="",N436=0),"",Q436/N436)</f>
        <v/>
      </c>
      <c r="T436" s="111">
        <f>IF(S436="","⚪",IF(S436&gt;1.2,"🔴",IF(S436&gt;1.1,"🟡","🟢")))</f>
        <v/>
      </c>
      <c r="V436" s="105" t="n">
        <v>86769.10000000001</v>
      </c>
      <c r="W436" s="106" t="n">
        <v>220</v>
      </c>
      <c r="X436" s="107" t="n"/>
      <c r="Y436" s="108">
        <f>IF(X436="","",W436*X436)</f>
        <v/>
      </c>
      <c r="Z436" s="243">
        <f>IF(Y436="","",V436-Y436)</f>
        <v/>
      </c>
      <c r="AA436" s="110">
        <f>IF(OR(Y436="",V436=0),"",Y436/V436)</f>
        <v/>
      </c>
      <c r="AB436" s="111">
        <f>IF(AA436="","⚪",IF(AA436&gt;1.2,"🔴",IF(AA436&gt;1.1,"🟡","🟢")))</f>
        <v/>
      </c>
      <c r="AD436" s="105" t="n">
        <v>86769.10000000001</v>
      </c>
      <c r="AE436" s="106" t="n">
        <v>220</v>
      </c>
      <c r="AF436" s="107" t="n"/>
      <c r="AG436" s="108">
        <f>IF(AF436="","",AE436*AF436)</f>
        <v/>
      </c>
      <c r="AH436" s="243">
        <f>IF(AG436="","",AD436-AG436)</f>
        <v/>
      </c>
      <c r="AI436" s="110">
        <f>IF(OR(AG436="",AD436=0),"",AG436/AD436)</f>
        <v/>
      </c>
      <c r="AJ436" s="111">
        <f>IF(AI436="","⚪",IF(AI436&gt;1.2,"🔴",IF(AI436&gt;1.1,"🟡","🟢")))</f>
        <v/>
      </c>
    </row>
    <row r="437" ht="14" customHeight="1" s="176">
      <c r="A437" s="103" t="inlineStr">
        <is>
          <t>Siberia</t>
        </is>
      </c>
      <c r="B437" s="104" t="inlineStr">
        <is>
          <t>Timpson 7,1</t>
        </is>
      </c>
      <c r="C437" s="104" t="inlineStr">
        <is>
          <t>1- M.O. directa</t>
        </is>
      </c>
      <c r="D437" s="104" t="inlineStr">
        <is>
          <t>5- desbrote y preajuste de carga</t>
        </is>
      </c>
      <c r="E437" s="104" t="inlineStr">
        <is>
          <t>trato</t>
        </is>
      </c>
      <c r="F437" s="105" t="n">
        <v>147901.875</v>
      </c>
      <c r="G437" s="106" t="n">
        <v>375</v>
      </c>
      <c r="H437" s="107" t="n"/>
      <c r="I437" s="108">
        <f>IF(H437="","",G437*H437)</f>
        <v/>
      </c>
      <c r="J437" s="243">
        <f>IF(I437="","",F437-I437)</f>
        <v/>
      </c>
      <c r="K437" s="110">
        <f>IF(OR(I437="",F437=0),"",I437/F437)</f>
        <v/>
      </c>
      <c r="L437" s="111">
        <f>IF(K437="","⚪",IF(K437&gt;1.2,"🔴",IF(K437&gt;1.1,"🟡","🟢")))</f>
        <v/>
      </c>
      <c r="N437" s="105" t="n">
        <v>147901.875</v>
      </c>
      <c r="O437" s="106" t="n">
        <v>375</v>
      </c>
      <c r="P437" s="107" t="n"/>
      <c r="Q437" s="108">
        <f>IF(P437="","",O437*P437)</f>
        <v/>
      </c>
      <c r="R437" s="243">
        <f>IF(Q437="","",N437-Q437)</f>
        <v/>
      </c>
      <c r="S437" s="110">
        <f>IF(OR(Q437="",N437=0),"",Q437/N437)</f>
        <v/>
      </c>
      <c r="T437" s="111">
        <f>IF(S437="","⚪",IF(S437&gt;1.2,"🔴",IF(S437&gt;1.1,"🟡","🟢")))</f>
        <v/>
      </c>
      <c r="V437" s="105" t="n">
        <v>147901.875</v>
      </c>
      <c r="W437" s="106" t="n">
        <v>375</v>
      </c>
      <c r="X437" s="107" t="n"/>
      <c r="Y437" s="108">
        <f>IF(X437="","",W437*X437)</f>
        <v/>
      </c>
      <c r="Z437" s="243">
        <f>IF(Y437="","",V437-Y437)</f>
        <v/>
      </c>
      <c r="AA437" s="110">
        <f>IF(OR(Y437="",V437=0),"",Y437/V437)</f>
        <v/>
      </c>
      <c r="AB437" s="111">
        <f>IF(AA437="","⚪",IF(AA437&gt;1.2,"🔴",IF(AA437&gt;1.1,"🟡","🟢")))</f>
        <v/>
      </c>
      <c r="AD437" s="105" t="n">
        <v>147901.875</v>
      </c>
      <c r="AE437" s="106" t="n">
        <v>375</v>
      </c>
      <c r="AF437" s="107" t="n"/>
      <c r="AG437" s="108">
        <f>IF(AF437="","",AE437*AF437)</f>
        <v/>
      </c>
      <c r="AH437" s="243">
        <f>IF(AG437="","",AD437-AG437)</f>
        <v/>
      </c>
      <c r="AI437" s="110">
        <f>IF(OR(AG437="",AD437=0),"",AG437/AD437)</f>
        <v/>
      </c>
      <c r="AJ437" s="111">
        <f>IF(AI437="","⚪",IF(AI437&gt;1.2,"🔴",IF(AI437&gt;1.1,"🟡","🟢")))</f>
        <v/>
      </c>
    </row>
    <row r="438" ht="14" customHeight="1" s="176">
      <c r="A438" s="112" t="inlineStr">
        <is>
          <t>Siberia</t>
        </is>
      </c>
      <c r="B438" s="113" t="inlineStr">
        <is>
          <t>Timpson 7,1</t>
        </is>
      </c>
      <c r="C438" s="113" t="inlineStr">
        <is>
          <t>1- M.O. directa</t>
        </is>
      </c>
      <c r="D438" s="113" t="inlineStr">
        <is>
          <t>6,1- Supervisor cosecha</t>
        </is>
      </c>
      <c r="E438" s="113" t="inlineStr">
        <is>
          <t>trato</t>
        </is>
      </c>
      <c r="F438" s="105" t="n">
        <v>53250</v>
      </c>
      <c r="G438" s="106" t="n">
        <v>50</v>
      </c>
      <c r="H438" s="107" t="n"/>
      <c r="I438" s="108">
        <f>IF(H438="","",G438*H438)</f>
        <v/>
      </c>
      <c r="J438" s="243">
        <f>IF(I438="","",F438-I438)</f>
        <v/>
      </c>
      <c r="K438" s="110">
        <f>IF(OR(I438="",F438=0),"",I438/F438)</f>
        <v/>
      </c>
      <c r="L438" s="111">
        <f>IF(K438="","⚪",IF(K438&gt;1.2,"🔴",IF(K438&gt;1.1,"🟡","🟢")))</f>
        <v/>
      </c>
      <c r="N438" s="105" t="n">
        <v>53250</v>
      </c>
      <c r="O438" s="106" t="n">
        <v>50</v>
      </c>
      <c r="P438" s="107" t="n"/>
      <c r="Q438" s="108">
        <f>IF(P438="","",O438*P438)</f>
        <v/>
      </c>
      <c r="R438" s="243">
        <f>IF(Q438="","",N438-Q438)</f>
        <v/>
      </c>
      <c r="S438" s="110">
        <f>IF(OR(Q438="",N438=0),"",Q438/N438)</f>
        <v/>
      </c>
      <c r="T438" s="111">
        <f>IF(S438="","⚪",IF(S438&gt;1.2,"🔴",IF(S438&gt;1.1,"🟡","🟢")))</f>
        <v/>
      </c>
      <c r="V438" s="105" t="n">
        <v>53250</v>
      </c>
      <c r="W438" s="106" t="n">
        <v>50</v>
      </c>
      <c r="X438" s="107" t="n"/>
      <c r="Y438" s="108">
        <f>IF(X438="","",W438*X438)</f>
        <v/>
      </c>
      <c r="Z438" s="243">
        <f>IF(Y438="","",V438-Y438)</f>
        <v/>
      </c>
      <c r="AA438" s="110">
        <f>IF(OR(Y438="",V438=0),"",Y438/V438)</f>
        <v/>
      </c>
      <c r="AB438" s="111">
        <f>IF(AA438="","⚪",IF(AA438&gt;1.2,"🔴",IF(AA438&gt;1.1,"🟡","🟢")))</f>
        <v/>
      </c>
      <c r="AD438" s="105" t="n">
        <v>53250</v>
      </c>
      <c r="AE438" s="106" t="n">
        <v>50</v>
      </c>
      <c r="AF438" s="107" t="n"/>
      <c r="AG438" s="108">
        <f>IF(AF438="","",AE438*AF438)</f>
        <v/>
      </c>
      <c r="AH438" s="243">
        <f>IF(AG438="","",AD438-AG438)</f>
        <v/>
      </c>
      <c r="AI438" s="110">
        <f>IF(OR(AG438="",AD438=0),"",AG438/AD438)</f>
        <v/>
      </c>
      <c r="AJ438" s="111">
        <f>IF(AI438="","⚪",IF(AI438&gt;1.2,"🔴",IF(AI438&gt;1.1,"🟡","🟢")))</f>
        <v/>
      </c>
    </row>
    <row r="439" ht="14" customHeight="1" s="176">
      <c r="A439" s="103" t="inlineStr">
        <is>
          <t>Siberia</t>
        </is>
      </c>
      <c r="B439" s="104" t="inlineStr">
        <is>
          <t>Timpson 7,1</t>
        </is>
      </c>
      <c r="C439" s="104" t="inlineStr">
        <is>
          <t>1- M.O. directa</t>
        </is>
      </c>
      <c r="D439" s="104" t="inlineStr">
        <is>
          <t>6,3- Colosero  cosecha</t>
        </is>
      </c>
      <c r="E439" s="104" t="inlineStr">
        <is>
          <t>trato</t>
        </is>
      </c>
      <c r="F439" s="105" t="n">
        <v>86265</v>
      </c>
      <c r="G439" s="106" t="n">
        <v>81</v>
      </c>
      <c r="H439" s="107" t="n"/>
      <c r="I439" s="108">
        <f>IF(H439="","",G439*H439)</f>
        <v/>
      </c>
      <c r="J439" s="243">
        <f>IF(I439="","",F439-I439)</f>
        <v/>
      </c>
      <c r="K439" s="110">
        <f>IF(OR(I439="",F439=0),"",I439/F439)</f>
        <v/>
      </c>
      <c r="L439" s="111">
        <f>IF(K439="","⚪",IF(K439&gt;1.2,"🔴",IF(K439&gt;1.1,"🟡","🟢")))</f>
        <v/>
      </c>
      <c r="N439" s="105" t="n">
        <v>86265</v>
      </c>
      <c r="O439" s="106" t="n">
        <v>81</v>
      </c>
      <c r="P439" s="107" t="n"/>
      <c r="Q439" s="108">
        <f>IF(P439="","",O439*P439)</f>
        <v/>
      </c>
      <c r="R439" s="243">
        <f>IF(Q439="","",N439-Q439)</f>
        <v/>
      </c>
      <c r="S439" s="110">
        <f>IF(OR(Q439="",N439=0),"",Q439/N439)</f>
        <v/>
      </c>
      <c r="T439" s="111">
        <f>IF(S439="","⚪",IF(S439&gt;1.2,"🔴",IF(S439&gt;1.1,"🟡","🟢")))</f>
        <v/>
      </c>
      <c r="V439" s="105" t="n">
        <v>86265</v>
      </c>
      <c r="W439" s="106" t="n">
        <v>81</v>
      </c>
      <c r="X439" s="107" t="n"/>
      <c r="Y439" s="108">
        <f>IF(X439="","",W439*X439)</f>
        <v/>
      </c>
      <c r="Z439" s="243">
        <f>IF(Y439="","",V439-Y439)</f>
        <v/>
      </c>
      <c r="AA439" s="110">
        <f>IF(OR(Y439="",V439=0),"",Y439/V439)</f>
        <v/>
      </c>
      <c r="AB439" s="111">
        <f>IF(AA439="","⚪",IF(AA439&gt;1.2,"🔴",IF(AA439&gt;1.1,"🟡","🟢")))</f>
        <v/>
      </c>
      <c r="AD439" s="105" t="n">
        <v>86265</v>
      </c>
      <c r="AE439" s="106" t="n">
        <v>81</v>
      </c>
      <c r="AF439" s="107" t="n"/>
      <c r="AG439" s="108">
        <f>IF(AF439="","",AE439*AF439)</f>
        <v/>
      </c>
      <c r="AH439" s="243">
        <f>IF(AG439="","",AD439-AG439)</f>
        <v/>
      </c>
      <c r="AI439" s="110">
        <f>IF(OR(AG439="",AD439=0),"",AG439/AD439)</f>
        <v/>
      </c>
      <c r="AJ439" s="111">
        <f>IF(AI439="","⚪",IF(AI439&gt;1.2,"🔴",IF(AI439&gt;1.1,"🟡","🟢")))</f>
        <v/>
      </c>
    </row>
    <row r="440" ht="14" customHeight="1" s="176">
      <c r="A440" s="112" t="inlineStr">
        <is>
          <t>Siberia</t>
        </is>
      </c>
      <c r="B440" s="113" t="inlineStr">
        <is>
          <t>Timpson 7,1</t>
        </is>
      </c>
      <c r="C440" s="113" t="inlineStr">
        <is>
          <t>1- M.O. directa</t>
        </is>
      </c>
      <c r="D440" s="113" t="inlineStr">
        <is>
          <t xml:space="preserve">6- cosecha </t>
        </is>
      </c>
      <c r="E440" s="113" t="inlineStr">
        <is>
          <t>día</t>
        </is>
      </c>
      <c r="F440" s="105" t="n">
        <v>266250</v>
      </c>
      <c r="G440" s="106" t="n">
        <v>250</v>
      </c>
      <c r="H440" s="107" t="n"/>
      <c r="I440" s="108">
        <f>IF(H440="","",G440*H440)</f>
        <v/>
      </c>
      <c r="J440" s="243">
        <f>IF(I440="","",F440-I440)</f>
        <v/>
      </c>
      <c r="K440" s="110">
        <f>IF(OR(I440="",F440=0),"",I440/F440)</f>
        <v/>
      </c>
      <c r="L440" s="111">
        <f>IF(K440="","⚪",IF(K440&gt;1.2,"🔴",IF(K440&gt;1.1,"🟡","🟢")))</f>
        <v/>
      </c>
      <c r="N440" s="105" t="n">
        <v>266250</v>
      </c>
      <c r="O440" s="106" t="n">
        <v>250</v>
      </c>
      <c r="P440" s="107" t="n"/>
      <c r="Q440" s="108">
        <f>IF(P440="","",O440*P440)</f>
        <v/>
      </c>
      <c r="R440" s="243">
        <f>IF(Q440="","",N440-Q440)</f>
        <v/>
      </c>
      <c r="S440" s="110">
        <f>IF(OR(Q440="",N440=0),"",Q440/N440)</f>
        <v/>
      </c>
      <c r="T440" s="111">
        <f>IF(S440="","⚪",IF(S440&gt;1.2,"🔴",IF(S440&gt;1.1,"🟡","🟢")))</f>
        <v/>
      </c>
      <c r="V440" s="105" t="n">
        <v>266250</v>
      </c>
      <c r="W440" s="106" t="n">
        <v>250</v>
      </c>
      <c r="X440" s="107" t="n"/>
      <c r="Y440" s="108">
        <f>IF(X440="","",W440*X440)</f>
        <v/>
      </c>
      <c r="Z440" s="243">
        <f>IF(Y440="","",V440-Y440)</f>
        <v/>
      </c>
      <c r="AA440" s="110">
        <f>IF(OR(Y440="",V440=0),"",Y440/V440)</f>
        <v/>
      </c>
      <c r="AB440" s="111">
        <f>IF(AA440="","⚪",IF(AA440&gt;1.2,"🔴",IF(AA440&gt;1.1,"🟡","🟢")))</f>
        <v/>
      </c>
      <c r="AD440" s="105" t="n">
        <v>266250</v>
      </c>
      <c r="AE440" s="106" t="n">
        <v>250</v>
      </c>
      <c r="AF440" s="107" t="n"/>
      <c r="AG440" s="108">
        <f>IF(AF440="","",AE440*AF440)</f>
        <v/>
      </c>
      <c r="AH440" s="243">
        <f>IF(AG440="","",AD440-AG440)</f>
        <v/>
      </c>
      <c r="AI440" s="110">
        <f>IF(OR(AG440="",AD440=0),"",AG440/AD440)</f>
        <v/>
      </c>
      <c r="AJ440" s="111">
        <f>IF(AI440="","⚪",IF(AI440&gt;1.2,"🔴",IF(AI440&gt;1.1,"🟡","🟢")))</f>
        <v/>
      </c>
    </row>
    <row r="441" ht="14" customHeight="1" s="176">
      <c r="A441" s="103" t="inlineStr">
        <is>
          <t>Siberia</t>
        </is>
      </c>
      <c r="B441" s="104" t="inlineStr">
        <is>
          <t>Timpson 7,1</t>
        </is>
      </c>
      <c r="C441" s="104" t="inlineStr">
        <is>
          <t>1- M.O. directa</t>
        </is>
      </c>
      <c r="D441" s="104" t="inlineStr">
        <is>
          <t>7,1- Supervisor limpia</t>
        </is>
      </c>
      <c r="E441" s="104" t="inlineStr">
        <is>
          <t>día</t>
        </is>
      </c>
      <c r="F441" s="105" t="n">
        <v>106500</v>
      </c>
      <c r="G441" s="106" t="n">
        <v>100</v>
      </c>
      <c r="H441" s="107" t="n"/>
      <c r="I441" s="108">
        <f>IF(H441="","",G441*H441)</f>
        <v/>
      </c>
      <c r="J441" s="243">
        <f>IF(I441="","",F441-I441)</f>
        <v/>
      </c>
      <c r="K441" s="110">
        <f>IF(OR(I441="",F441=0),"",I441/F441)</f>
        <v/>
      </c>
      <c r="L441" s="111">
        <f>IF(K441="","⚪",IF(K441&gt;1.2,"🔴",IF(K441&gt;1.1,"🟡","🟢")))</f>
        <v/>
      </c>
      <c r="N441" s="105" t="n">
        <v>106500</v>
      </c>
      <c r="O441" s="106" t="n">
        <v>100</v>
      </c>
      <c r="P441" s="107" t="n"/>
      <c r="Q441" s="108">
        <f>IF(P441="","",O441*P441)</f>
        <v/>
      </c>
      <c r="R441" s="243">
        <f>IF(Q441="","",N441-Q441)</f>
        <v/>
      </c>
      <c r="S441" s="110">
        <f>IF(OR(Q441="",N441=0),"",Q441/N441)</f>
        <v/>
      </c>
      <c r="T441" s="111">
        <f>IF(S441="","⚪",IF(S441&gt;1.2,"🔴",IF(S441&gt;1.1,"🟡","🟢")))</f>
        <v/>
      </c>
      <c r="V441" s="105" t="n">
        <v>106500</v>
      </c>
      <c r="W441" s="106" t="n">
        <v>100</v>
      </c>
      <c r="X441" s="107" t="n"/>
      <c r="Y441" s="108">
        <f>IF(X441="","",W441*X441)</f>
        <v/>
      </c>
      <c r="Z441" s="243">
        <f>IF(Y441="","",V441-Y441)</f>
        <v/>
      </c>
      <c r="AA441" s="110">
        <f>IF(OR(Y441="",V441=0),"",Y441/V441)</f>
        <v/>
      </c>
      <c r="AB441" s="111">
        <f>IF(AA441="","⚪",IF(AA441&gt;1.2,"🔴",IF(AA441&gt;1.1,"🟡","🟢")))</f>
        <v/>
      </c>
      <c r="AD441" s="105" t="n">
        <v>106500</v>
      </c>
      <c r="AE441" s="106" t="n">
        <v>100</v>
      </c>
      <c r="AF441" s="107" t="n"/>
      <c r="AG441" s="108">
        <f>IF(AF441="","",AE441*AF441)</f>
        <v/>
      </c>
      <c r="AH441" s="243">
        <f>IF(AG441="","",AD441-AG441)</f>
        <v/>
      </c>
      <c r="AI441" s="110">
        <f>IF(OR(AG441="",AD441=0),"",AG441/AD441)</f>
        <v/>
      </c>
      <c r="AJ441" s="111">
        <f>IF(AI441="","⚪",IF(AI441&gt;1.2,"🔴",IF(AI441&gt;1.1,"🟡","🟢")))</f>
        <v/>
      </c>
    </row>
    <row r="442" ht="14" customHeight="1" s="176">
      <c r="A442" s="112" t="inlineStr">
        <is>
          <t>Siberia</t>
        </is>
      </c>
      <c r="B442" s="113" t="inlineStr">
        <is>
          <t>Timpson 7,1</t>
        </is>
      </c>
      <c r="C442" s="113" t="inlineStr">
        <is>
          <t>1- M.O. directa</t>
        </is>
      </c>
      <c r="D442" s="113" t="inlineStr">
        <is>
          <t>7,1- TRACTORISTA</t>
        </is>
      </c>
      <c r="E442" s="113" t="inlineStr">
        <is>
          <t>día</t>
        </is>
      </c>
      <c r="F442" s="105" t="n">
        <v>134846.04</v>
      </c>
      <c r="G442" s="106" t="n">
        <v>38000</v>
      </c>
      <c r="H442" s="107" t="n"/>
      <c r="I442" s="108">
        <f>IF(H442="","",G442*H442)</f>
        <v/>
      </c>
      <c r="J442" s="243">
        <f>IF(I442="","",F442-I442)</f>
        <v/>
      </c>
      <c r="K442" s="110">
        <f>IF(OR(I442="",F442=0),"",I442/F442)</f>
        <v/>
      </c>
      <c r="L442" s="111">
        <f>IF(K442="","⚪",IF(K442&gt;1.2,"🔴",IF(K442&gt;1.1,"🟡","🟢")))</f>
        <v/>
      </c>
      <c r="N442" s="105" t="n">
        <v>134846.04</v>
      </c>
      <c r="O442" s="106" t="n">
        <v>38000</v>
      </c>
      <c r="P442" s="107" t="n"/>
      <c r="Q442" s="108">
        <f>IF(P442="","",O442*P442)</f>
        <v/>
      </c>
      <c r="R442" s="243">
        <f>IF(Q442="","",N442-Q442)</f>
        <v/>
      </c>
      <c r="S442" s="110">
        <f>IF(OR(Q442="",N442=0),"",Q442/N442)</f>
        <v/>
      </c>
      <c r="T442" s="111">
        <f>IF(S442="","⚪",IF(S442&gt;1.2,"🔴",IF(S442&gt;1.1,"🟡","🟢")))</f>
        <v/>
      </c>
      <c r="V442" s="105" t="n">
        <v>134846.04</v>
      </c>
      <c r="W442" s="106" t="n">
        <v>38000</v>
      </c>
      <c r="X442" s="107" t="n"/>
      <c r="Y442" s="108">
        <f>IF(X442="","",W442*X442)</f>
        <v/>
      </c>
      <c r="Z442" s="243">
        <f>IF(Y442="","",V442-Y442)</f>
        <v/>
      </c>
      <c r="AA442" s="110">
        <f>IF(OR(Y442="",V442=0),"",Y442/V442)</f>
        <v/>
      </c>
      <c r="AB442" s="111">
        <f>IF(AA442="","⚪",IF(AA442&gt;1.2,"🔴",IF(AA442&gt;1.1,"🟡","🟢")))</f>
        <v/>
      </c>
      <c r="AD442" s="105" t="n">
        <v>134846.04</v>
      </c>
      <c r="AE442" s="106" t="n">
        <v>38000</v>
      </c>
      <c r="AF442" s="107" t="n"/>
      <c r="AG442" s="108">
        <f>IF(AF442="","",AE442*AF442)</f>
        <v/>
      </c>
      <c r="AH442" s="243">
        <f>IF(AG442="","",AD442-AG442)</f>
        <v/>
      </c>
      <c r="AI442" s="110">
        <f>IF(OR(AG442="",AD442=0),"",AG442/AD442)</f>
        <v/>
      </c>
      <c r="AJ442" s="111">
        <f>IF(AI442="","⚪",IF(AI442&gt;1.2,"🔴",IF(AI442&gt;1.1,"🟡","🟢")))</f>
        <v/>
      </c>
    </row>
    <row r="443" ht="14" customHeight="1" s="176">
      <c r="A443" s="103" t="inlineStr">
        <is>
          <t>Siberia</t>
        </is>
      </c>
      <c r="B443" s="104" t="inlineStr">
        <is>
          <t>Timpson 7,1</t>
        </is>
      </c>
      <c r="C443" s="104" t="inlineStr">
        <is>
          <t>1- M.O. directa</t>
        </is>
      </c>
      <c r="D443" s="104" t="inlineStr">
        <is>
          <t>7,2- Mozo  limpia</t>
        </is>
      </c>
      <c r="E443" s="104" t="inlineStr">
        <is>
          <t>día</t>
        </is>
      </c>
      <c r="F443" s="105" t="n">
        <v>66030</v>
      </c>
      <c r="G443" s="106" t="n">
        <v>62</v>
      </c>
      <c r="H443" s="107" t="n"/>
      <c r="I443" s="108">
        <f>IF(H443="","",G443*H443)</f>
        <v/>
      </c>
      <c r="J443" s="243">
        <f>IF(I443="","",F443-I443)</f>
        <v/>
      </c>
      <c r="K443" s="110">
        <f>IF(OR(I443="",F443=0),"",I443/F443)</f>
        <v/>
      </c>
      <c r="L443" s="111">
        <f>IF(K443="","⚪",IF(K443&gt;1.2,"🔴",IF(K443&gt;1.1,"🟡","🟢")))</f>
        <v/>
      </c>
      <c r="N443" s="105" t="n">
        <v>66030</v>
      </c>
      <c r="O443" s="106" t="n">
        <v>62</v>
      </c>
      <c r="P443" s="107" t="n"/>
      <c r="Q443" s="108">
        <f>IF(P443="","",O443*P443)</f>
        <v/>
      </c>
      <c r="R443" s="243">
        <f>IF(Q443="","",N443-Q443)</f>
        <v/>
      </c>
      <c r="S443" s="110">
        <f>IF(OR(Q443="",N443=0),"",Q443/N443)</f>
        <v/>
      </c>
      <c r="T443" s="111">
        <f>IF(S443="","⚪",IF(S443&gt;1.2,"🔴",IF(S443&gt;1.1,"🟡","🟢")))</f>
        <v/>
      </c>
      <c r="V443" s="105" t="n">
        <v>66030</v>
      </c>
      <c r="W443" s="106" t="n">
        <v>62</v>
      </c>
      <c r="X443" s="107" t="n"/>
      <c r="Y443" s="108">
        <f>IF(X443="","",W443*X443)</f>
        <v/>
      </c>
      <c r="Z443" s="243">
        <f>IF(Y443="","",V443-Y443)</f>
        <v/>
      </c>
      <c r="AA443" s="110">
        <f>IF(OR(Y443="",V443=0),"",Y443/V443)</f>
        <v/>
      </c>
      <c r="AB443" s="111">
        <f>IF(AA443="","⚪",IF(AA443&gt;1.2,"🔴",IF(AA443&gt;1.1,"🟡","🟢")))</f>
        <v/>
      </c>
      <c r="AD443" s="105" t="n">
        <v>66030</v>
      </c>
      <c r="AE443" s="106" t="n">
        <v>62</v>
      </c>
      <c r="AF443" s="107" t="n"/>
      <c r="AG443" s="108">
        <f>IF(AF443="","",AE443*AF443)</f>
        <v/>
      </c>
      <c r="AH443" s="243">
        <f>IF(AG443="","",AD443-AG443)</f>
        <v/>
      </c>
      <c r="AI443" s="110">
        <f>IF(OR(AG443="",AD443=0),"",AG443/AD443)</f>
        <v/>
      </c>
      <c r="AJ443" s="111">
        <f>IF(AI443="","⚪",IF(AI443&gt;1.2,"🔴",IF(AI443&gt;1.1,"🟡","🟢")))</f>
        <v/>
      </c>
    </row>
    <row r="444" ht="14" customHeight="1" s="176">
      <c r="A444" s="112" t="inlineStr">
        <is>
          <t>Siberia</t>
        </is>
      </c>
      <c r="B444" s="113" t="inlineStr">
        <is>
          <t>Timpson 7,1</t>
        </is>
      </c>
      <c r="C444" s="113" t="inlineStr">
        <is>
          <t>1- M.O. directa</t>
        </is>
      </c>
      <c r="D444" s="113" t="inlineStr">
        <is>
          <t xml:space="preserve">7- limpia racimos </t>
        </is>
      </c>
      <c r="E444" s="113" t="inlineStr">
        <is>
          <t>día</t>
        </is>
      </c>
      <c r="F444" s="105" t="n">
        <v>639000</v>
      </c>
      <c r="G444" s="106" t="n">
        <v>600</v>
      </c>
      <c r="H444" s="107" t="n"/>
      <c r="I444" s="108">
        <f>IF(H444="","",G444*H444)</f>
        <v/>
      </c>
      <c r="J444" s="243">
        <f>IF(I444="","",F444-I444)</f>
        <v/>
      </c>
      <c r="K444" s="110">
        <f>IF(OR(I444="",F444=0),"",I444/F444)</f>
        <v/>
      </c>
      <c r="L444" s="111">
        <f>IF(K444="","⚪",IF(K444&gt;1.2,"🔴",IF(K444&gt;1.1,"🟡","🟢")))</f>
        <v/>
      </c>
      <c r="N444" s="105" t="n">
        <v>639000</v>
      </c>
      <c r="O444" s="106" t="n">
        <v>600</v>
      </c>
      <c r="P444" s="107" t="n"/>
      <c r="Q444" s="108">
        <f>IF(P444="","",O444*P444)</f>
        <v/>
      </c>
      <c r="R444" s="243">
        <f>IF(Q444="","",N444-Q444)</f>
        <v/>
      </c>
      <c r="S444" s="110">
        <f>IF(OR(Q444="",N444=0),"",Q444/N444)</f>
        <v/>
      </c>
      <c r="T444" s="111">
        <f>IF(S444="","⚪",IF(S444&gt;1.2,"🔴",IF(S444&gt;1.1,"🟡","🟢")))</f>
        <v/>
      </c>
      <c r="V444" s="105" t="n">
        <v>639000</v>
      </c>
      <c r="W444" s="106" t="n">
        <v>600</v>
      </c>
      <c r="X444" s="107" t="n"/>
      <c r="Y444" s="108">
        <f>IF(X444="","",W444*X444)</f>
        <v/>
      </c>
      <c r="Z444" s="243">
        <f>IF(Y444="","",V444-Y444)</f>
        <v/>
      </c>
      <c r="AA444" s="110">
        <f>IF(OR(Y444="",V444=0),"",Y444/V444)</f>
        <v/>
      </c>
      <c r="AB444" s="111">
        <f>IF(AA444="","⚪",IF(AA444&gt;1.2,"🔴",IF(AA444&gt;1.1,"🟡","🟢")))</f>
        <v/>
      </c>
      <c r="AD444" s="105" t="n">
        <v>639000</v>
      </c>
      <c r="AE444" s="106" t="n">
        <v>600</v>
      </c>
      <c r="AF444" s="107" t="n"/>
      <c r="AG444" s="108">
        <f>IF(AF444="","",AE444*AF444)</f>
        <v/>
      </c>
      <c r="AH444" s="243">
        <f>IF(AG444="","",AD444-AG444)</f>
        <v/>
      </c>
      <c r="AI444" s="110">
        <f>IF(OR(AG444="",AD444=0),"",AG444/AD444)</f>
        <v/>
      </c>
      <c r="AJ444" s="111">
        <f>IF(AI444="","⚪",IF(AI444&gt;1.2,"🔴",IF(AI444&gt;1.1,"🟡","🟢")))</f>
        <v/>
      </c>
    </row>
    <row r="445" ht="14" customHeight="1" s="176">
      <c r="A445" s="103" t="inlineStr">
        <is>
          <t>Siberia</t>
        </is>
      </c>
      <c r="B445" s="104" t="inlineStr">
        <is>
          <t>Timpson 7,1</t>
        </is>
      </c>
      <c r="C445" s="104" t="inlineStr">
        <is>
          <t>1- M.O. directa</t>
        </is>
      </c>
      <c r="D445" s="104" t="inlineStr">
        <is>
          <t xml:space="preserve">8- Control de faenas </t>
        </is>
      </c>
      <c r="E445" s="104" t="inlineStr">
        <is>
          <t>día</t>
        </is>
      </c>
      <c r="F445" s="105" t="n">
        <v>26100</v>
      </c>
      <c r="G445" s="106" t="n">
        <v>43500</v>
      </c>
      <c r="H445" s="107" t="n"/>
      <c r="I445" s="108">
        <f>IF(H445="","",G445*H445)</f>
        <v/>
      </c>
      <c r="J445" s="243">
        <f>IF(I445="","",F445-I445)</f>
        <v/>
      </c>
      <c r="K445" s="110">
        <f>IF(OR(I445="",F445=0),"",I445/F445)</f>
        <v/>
      </c>
      <c r="L445" s="111">
        <f>IF(K445="","⚪",IF(K445&gt;1.2,"🔴",IF(K445&gt;1.1,"🟡","🟢")))</f>
        <v/>
      </c>
      <c r="N445" s="105" t="n">
        <v>26100</v>
      </c>
      <c r="O445" s="106" t="n">
        <v>43500</v>
      </c>
      <c r="P445" s="107" t="n"/>
      <c r="Q445" s="108">
        <f>IF(P445="","",O445*P445)</f>
        <v/>
      </c>
      <c r="R445" s="243">
        <f>IF(Q445="","",N445-Q445)</f>
        <v/>
      </c>
      <c r="S445" s="110">
        <f>IF(OR(Q445="",N445=0),"",Q445/N445)</f>
        <v/>
      </c>
      <c r="T445" s="111">
        <f>IF(S445="","⚪",IF(S445&gt;1.2,"🔴",IF(S445&gt;1.1,"🟡","🟢")))</f>
        <v/>
      </c>
      <c r="V445" s="105" t="n">
        <v>26100</v>
      </c>
      <c r="W445" s="106" t="n">
        <v>43500</v>
      </c>
      <c r="X445" s="107" t="n"/>
      <c r="Y445" s="108">
        <f>IF(X445="","",W445*X445)</f>
        <v/>
      </c>
      <c r="Z445" s="243">
        <f>IF(Y445="","",V445-Y445)</f>
        <v/>
      </c>
      <c r="AA445" s="110">
        <f>IF(OR(Y445="",V445=0),"",Y445/V445)</f>
        <v/>
      </c>
      <c r="AB445" s="111">
        <f>IF(AA445="","⚪",IF(AA445&gt;1.2,"🔴",IF(AA445&gt;1.1,"🟡","🟢")))</f>
        <v/>
      </c>
      <c r="AD445" s="105" t="n">
        <v>26100</v>
      </c>
      <c r="AE445" s="106" t="n">
        <v>43500</v>
      </c>
      <c r="AF445" s="107" t="n"/>
      <c r="AG445" s="108">
        <f>IF(AF445="","",AE445*AF445)</f>
        <v/>
      </c>
      <c r="AH445" s="243">
        <f>IF(AG445="","",AD445-AG445)</f>
        <v/>
      </c>
      <c r="AI445" s="110">
        <f>IF(OR(AG445="",AD445=0),"",AG445/AD445)</f>
        <v/>
      </c>
      <c r="AJ445" s="111">
        <f>IF(AI445="","⚪",IF(AI445&gt;1.2,"🔴",IF(AI445&gt;1.1,"🟡","🟢")))</f>
        <v/>
      </c>
    </row>
    <row r="446" ht="14" customHeight="1" s="176">
      <c r="A446" s="112" t="inlineStr">
        <is>
          <t>Siberia</t>
        </is>
      </c>
      <c r="B446" s="113" t="inlineStr">
        <is>
          <t>Timpson 7,1</t>
        </is>
      </c>
      <c r="C446" s="113" t="inlineStr">
        <is>
          <t>1- M.O. directa</t>
        </is>
      </c>
      <c r="D446" s="113" t="inlineStr">
        <is>
          <t>9,1- Riegos</t>
        </is>
      </c>
      <c r="E446" s="113" t="inlineStr">
        <is>
          <t>día</t>
        </is>
      </c>
      <c r="F446" s="105" t="n">
        <v>171325</v>
      </c>
      <c r="G446" s="106" t="n">
        <v>44500</v>
      </c>
      <c r="H446" s="107" t="n"/>
      <c r="I446" s="108">
        <f>IF(H446="","",G446*H446)</f>
        <v/>
      </c>
      <c r="J446" s="243">
        <f>IF(I446="","",F446-I446)</f>
        <v/>
      </c>
      <c r="K446" s="110">
        <f>IF(OR(I446="",F446=0),"",I446/F446)</f>
        <v/>
      </c>
      <c r="L446" s="111">
        <f>IF(K446="","⚪",IF(K446&gt;1.2,"🔴",IF(K446&gt;1.1,"🟡","🟢")))</f>
        <v/>
      </c>
      <c r="N446" s="105" t="n">
        <v>171325</v>
      </c>
      <c r="O446" s="106" t="n">
        <v>44500</v>
      </c>
      <c r="P446" s="107" t="n"/>
      <c r="Q446" s="108">
        <f>IF(P446="","",O446*P446)</f>
        <v/>
      </c>
      <c r="R446" s="243">
        <f>IF(Q446="","",N446-Q446)</f>
        <v/>
      </c>
      <c r="S446" s="110">
        <f>IF(OR(Q446="",N446=0),"",Q446/N446)</f>
        <v/>
      </c>
      <c r="T446" s="111">
        <f>IF(S446="","⚪",IF(S446&gt;1.2,"🔴",IF(S446&gt;1.1,"🟡","🟢")))</f>
        <v/>
      </c>
      <c r="V446" s="105" t="n">
        <v>171325</v>
      </c>
      <c r="W446" s="106" t="n">
        <v>44500</v>
      </c>
      <c r="X446" s="107" t="n"/>
      <c r="Y446" s="108">
        <f>IF(X446="","",W446*X446)</f>
        <v/>
      </c>
      <c r="Z446" s="243">
        <f>IF(Y446="","",V446-Y446)</f>
        <v/>
      </c>
      <c r="AA446" s="110">
        <f>IF(OR(Y446="",V446=0),"",Y446/V446)</f>
        <v/>
      </c>
      <c r="AB446" s="111">
        <f>IF(AA446="","⚪",IF(AA446&gt;1.2,"🔴",IF(AA446&gt;1.1,"🟡","🟢")))</f>
        <v/>
      </c>
      <c r="AD446" s="105" t="n">
        <v>171325</v>
      </c>
      <c r="AE446" s="106" t="n">
        <v>44500</v>
      </c>
      <c r="AF446" s="107" t="n"/>
      <c r="AG446" s="108">
        <f>IF(AF446="","",AE446*AF446)</f>
        <v/>
      </c>
      <c r="AH446" s="243">
        <f>IF(AG446="","",AD446-AG446)</f>
        <v/>
      </c>
      <c r="AI446" s="110">
        <f>IF(OR(AG446="",AD446=0),"",AG446/AD446)</f>
        <v/>
      </c>
      <c r="AJ446" s="111">
        <f>IF(AI446="","⚪",IF(AI446&gt;1.2,"🔴",IF(AI446&gt;1.1,"🟡","🟢")))</f>
        <v/>
      </c>
    </row>
    <row r="447" ht="14" customHeight="1" s="176">
      <c r="A447" s="103" t="inlineStr">
        <is>
          <t>Siberia</t>
        </is>
      </c>
      <c r="B447" s="104" t="inlineStr">
        <is>
          <t>Timpson 7,1</t>
        </is>
      </c>
      <c r="C447" s="104" t="inlineStr">
        <is>
          <t>2- M.O. indirecta</t>
        </is>
      </c>
      <c r="D447" s="104" t="inlineStr">
        <is>
          <t xml:space="preserve">1- ADM. GENERAL </t>
        </is>
      </c>
      <c r="E447" s="104" t="inlineStr">
        <is>
          <t>día</t>
        </is>
      </c>
      <c r="F447" s="105" t="n">
        <v>283716</v>
      </c>
      <c r="G447" s="106" t="n">
        <v>66600</v>
      </c>
      <c r="H447" s="107" t="n"/>
      <c r="I447" s="108">
        <f>IF(H447="","",G447*H447)</f>
        <v/>
      </c>
      <c r="J447" s="243">
        <f>IF(I447="","",F447-I447)</f>
        <v/>
      </c>
      <c r="K447" s="110">
        <f>IF(OR(I447="",F447=0),"",I447/F447)</f>
        <v/>
      </c>
      <c r="L447" s="111">
        <f>IF(K447="","⚪",IF(K447&gt;1.2,"🔴",IF(K447&gt;1.1,"🟡","🟢")))</f>
        <v/>
      </c>
      <c r="N447" s="105" t="n">
        <v>283716</v>
      </c>
      <c r="O447" s="106" t="n">
        <v>66600</v>
      </c>
      <c r="P447" s="107" t="n"/>
      <c r="Q447" s="108">
        <f>IF(P447="","",O447*P447)</f>
        <v/>
      </c>
      <c r="R447" s="243">
        <f>IF(Q447="","",N447-Q447)</f>
        <v/>
      </c>
      <c r="S447" s="110">
        <f>IF(OR(Q447="",N447=0),"",Q447/N447)</f>
        <v/>
      </c>
      <c r="T447" s="111">
        <f>IF(S447="","⚪",IF(S447&gt;1.2,"🔴",IF(S447&gt;1.1,"🟡","🟢")))</f>
        <v/>
      </c>
      <c r="V447" s="105" t="n">
        <v>283716</v>
      </c>
      <c r="W447" s="106" t="n">
        <v>66600</v>
      </c>
      <c r="X447" s="107" t="n"/>
      <c r="Y447" s="108">
        <f>IF(X447="","",W447*X447)</f>
        <v/>
      </c>
      <c r="Z447" s="243">
        <f>IF(Y447="","",V447-Y447)</f>
        <v/>
      </c>
      <c r="AA447" s="110">
        <f>IF(OR(Y447="",V447=0),"",Y447/V447)</f>
        <v/>
      </c>
      <c r="AB447" s="111">
        <f>IF(AA447="","⚪",IF(AA447&gt;1.2,"🔴",IF(AA447&gt;1.1,"🟡","🟢")))</f>
        <v/>
      </c>
      <c r="AD447" s="105" t="n">
        <v>283716</v>
      </c>
      <c r="AE447" s="106" t="n">
        <v>66600</v>
      </c>
      <c r="AF447" s="107" t="n"/>
      <c r="AG447" s="108">
        <f>IF(AF447="","",AE447*AF447)</f>
        <v/>
      </c>
      <c r="AH447" s="243">
        <f>IF(AG447="","",AD447-AG447)</f>
        <v/>
      </c>
      <c r="AI447" s="110">
        <f>IF(OR(AG447="",AD447=0),"",AG447/AD447)</f>
        <v/>
      </c>
      <c r="AJ447" s="111">
        <f>IF(AI447="","⚪",IF(AI447&gt;1.2,"🔴",IF(AI447&gt;1.1,"🟡","🟢")))</f>
        <v/>
      </c>
    </row>
    <row r="448" ht="14" customHeight="1" s="176">
      <c r="A448" s="112" t="inlineStr">
        <is>
          <t>Siberia</t>
        </is>
      </c>
      <c r="B448" s="113" t="inlineStr">
        <is>
          <t>Timpson 7,1</t>
        </is>
      </c>
      <c r="C448" s="113" t="inlineStr">
        <is>
          <t>2- M.O. indirecta</t>
        </is>
      </c>
      <c r="D448" s="113" t="inlineStr">
        <is>
          <t>2,1- JEFE DE CAMPO</t>
        </is>
      </c>
      <c r="E448" s="113" t="inlineStr">
        <is>
          <t>día</t>
        </is>
      </c>
      <c r="F448" s="105" t="n">
        <v>393847.65</v>
      </c>
      <c r="G448" s="106" t="n">
        <v>88050</v>
      </c>
      <c r="H448" s="107" t="n"/>
      <c r="I448" s="108">
        <f>IF(H448="","",G448*H448)</f>
        <v/>
      </c>
      <c r="J448" s="243">
        <f>IF(I448="","",F448-I448)</f>
        <v/>
      </c>
      <c r="K448" s="110">
        <f>IF(OR(I448="",F448=0),"",I448/F448)</f>
        <v/>
      </c>
      <c r="L448" s="111">
        <f>IF(K448="","⚪",IF(K448&gt;1.2,"🔴",IF(K448&gt;1.1,"🟡","🟢")))</f>
        <v/>
      </c>
      <c r="N448" s="105" t="n">
        <v>393847.65</v>
      </c>
      <c r="O448" s="106" t="n">
        <v>88050</v>
      </c>
      <c r="P448" s="107" t="n"/>
      <c r="Q448" s="108">
        <f>IF(P448="","",O448*P448)</f>
        <v/>
      </c>
      <c r="R448" s="243">
        <f>IF(Q448="","",N448-Q448)</f>
        <v/>
      </c>
      <c r="S448" s="110">
        <f>IF(OR(Q448="",N448=0),"",Q448/N448)</f>
        <v/>
      </c>
      <c r="T448" s="111">
        <f>IF(S448="","⚪",IF(S448&gt;1.2,"🔴",IF(S448&gt;1.1,"🟡","🟢")))</f>
        <v/>
      </c>
      <c r="V448" s="105" t="n">
        <v>393847.65</v>
      </c>
      <c r="W448" s="106" t="n">
        <v>88050</v>
      </c>
      <c r="X448" s="107" t="n"/>
      <c r="Y448" s="108">
        <f>IF(X448="","",W448*X448)</f>
        <v/>
      </c>
      <c r="Z448" s="243">
        <f>IF(Y448="","",V448-Y448)</f>
        <v/>
      </c>
      <c r="AA448" s="110">
        <f>IF(OR(Y448="",V448=0),"",Y448/V448)</f>
        <v/>
      </c>
      <c r="AB448" s="111">
        <f>IF(AA448="","⚪",IF(AA448&gt;1.2,"🔴",IF(AA448&gt;1.1,"🟡","🟢")))</f>
        <v/>
      </c>
      <c r="AD448" s="105" t="n">
        <v>393847.65</v>
      </c>
      <c r="AE448" s="106" t="n">
        <v>88050</v>
      </c>
      <c r="AF448" s="107" t="n"/>
      <c r="AG448" s="108">
        <f>IF(AF448="","",AE448*AF448)</f>
        <v/>
      </c>
      <c r="AH448" s="243">
        <f>IF(AG448="","",AD448-AG448)</f>
        <v/>
      </c>
      <c r="AI448" s="110">
        <f>IF(OR(AG448="",AD448=0),"",AG448/AD448)</f>
        <v/>
      </c>
      <c r="AJ448" s="111">
        <f>IF(AI448="","⚪",IF(AI448&gt;1.2,"🔴",IF(AI448&gt;1.1,"🟡","🟢")))</f>
        <v/>
      </c>
    </row>
    <row r="449" ht="14" customHeight="1" s="176">
      <c r="A449" s="103" t="inlineStr">
        <is>
          <t>Siberia</t>
        </is>
      </c>
      <c r="B449" s="104" t="inlineStr">
        <is>
          <t>Timpson 7,1</t>
        </is>
      </c>
      <c r="C449" s="104" t="inlineStr">
        <is>
          <t>2- M.O. indirecta</t>
        </is>
      </c>
      <c r="D449" s="104" t="inlineStr">
        <is>
          <t>2- ADMINISTRACION</t>
        </is>
      </c>
      <c r="E449" s="104" t="inlineStr">
        <is>
          <t>día</t>
        </is>
      </c>
      <c r="F449" s="105" t="n">
        <v>34506</v>
      </c>
      <c r="G449" s="106" t="n">
        <v>8100</v>
      </c>
      <c r="H449" s="107" t="n"/>
      <c r="I449" s="108">
        <f>IF(H449="","",G449*H449)</f>
        <v/>
      </c>
      <c r="J449" s="243">
        <f>IF(I449="","",F449-I449)</f>
        <v/>
      </c>
      <c r="K449" s="110">
        <f>IF(OR(I449="",F449=0),"",I449/F449)</f>
        <v/>
      </c>
      <c r="L449" s="111">
        <f>IF(K449="","⚪",IF(K449&gt;1.2,"🔴",IF(K449&gt;1.1,"🟡","🟢")))</f>
        <v/>
      </c>
      <c r="N449" s="105" t="n">
        <v>34506</v>
      </c>
      <c r="O449" s="106" t="n">
        <v>8100</v>
      </c>
      <c r="P449" s="107" t="n"/>
      <c r="Q449" s="108">
        <f>IF(P449="","",O449*P449)</f>
        <v/>
      </c>
      <c r="R449" s="243">
        <f>IF(Q449="","",N449-Q449)</f>
        <v/>
      </c>
      <c r="S449" s="110">
        <f>IF(OR(Q449="",N449=0),"",Q449/N449)</f>
        <v/>
      </c>
      <c r="T449" s="111">
        <f>IF(S449="","⚪",IF(S449&gt;1.2,"🔴",IF(S449&gt;1.1,"🟡","🟢")))</f>
        <v/>
      </c>
      <c r="V449" s="105" t="n">
        <v>34506</v>
      </c>
      <c r="W449" s="106" t="n">
        <v>8100</v>
      </c>
      <c r="X449" s="107" t="n"/>
      <c r="Y449" s="108">
        <f>IF(X449="","",W449*X449)</f>
        <v/>
      </c>
      <c r="Z449" s="243">
        <f>IF(Y449="","",V449-Y449)</f>
        <v/>
      </c>
      <c r="AA449" s="110">
        <f>IF(OR(Y449="",V449=0),"",Y449/V449)</f>
        <v/>
      </c>
      <c r="AB449" s="111">
        <f>IF(AA449="","⚪",IF(AA449&gt;1.2,"🔴",IF(AA449&gt;1.1,"🟡","🟢")))</f>
        <v/>
      </c>
      <c r="AD449" s="105" t="n">
        <v>34506</v>
      </c>
      <c r="AE449" s="106" t="n">
        <v>8100</v>
      </c>
      <c r="AF449" s="107" t="n"/>
      <c r="AG449" s="108">
        <f>IF(AF449="","",AE449*AF449)</f>
        <v/>
      </c>
      <c r="AH449" s="243">
        <f>IF(AG449="","",AD449-AG449)</f>
        <v/>
      </c>
      <c r="AI449" s="110">
        <f>IF(OR(AG449="",AD449=0),"",AG449/AD449)</f>
        <v/>
      </c>
      <c r="AJ449" s="111">
        <f>IF(AI449="","⚪",IF(AI449&gt;1.2,"🔴",IF(AI449&gt;1.1,"🟡","🟢")))</f>
        <v/>
      </c>
    </row>
    <row r="450" ht="14" customHeight="1" s="176">
      <c r="A450" s="112" t="inlineStr">
        <is>
          <t>Siberia</t>
        </is>
      </c>
      <c r="B450" s="113" t="inlineStr">
        <is>
          <t>Timpson 7,1</t>
        </is>
      </c>
      <c r="C450" s="113" t="inlineStr">
        <is>
          <t>2- M.O. indirecta</t>
        </is>
      </c>
      <c r="D450" s="113" t="inlineStr">
        <is>
          <t>3,1-  ENCARGADO DE RIEGO</t>
        </is>
      </c>
      <c r="E450" s="113" t="inlineStr">
        <is>
          <t>día</t>
        </is>
      </c>
      <c r="F450" s="105" t="n">
        <v>239977.749655</v>
      </c>
      <c r="G450" s="106" t="n">
        <v>67626.4166666667</v>
      </c>
      <c r="H450" s="107" t="n"/>
      <c r="I450" s="108">
        <f>IF(H450="","",G450*H450)</f>
        <v/>
      </c>
      <c r="J450" s="243">
        <f>IF(I450="","",F450-I450)</f>
        <v/>
      </c>
      <c r="K450" s="110">
        <f>IF(OR(I450="",F450=0),"",I450/F450)</f>
        <v/>
      </c>
      <c r="L450" s="111">
        <f>IF(K450="","⚪",IF(K450&gt;1.2,"🔴",IF(K450&gt;1.1,"🟡","🟢")))</f>
        <v/>
      </c>
      <c r="N450" s="105" t="n">
        <v>239977.749655</v>
      </c>
      <c r="O450" s="106" t="n">
        <v>67626.4166666667</v>
      </c>
      <c r="P450" s="107" t="n"/>
      <c r="Q450" s="108">
        <f>IF(P450="","",O450*P450)</f>
        <v/>
      </c>
      <c r="R450" s="243">
        <f>IF(Q450="","",N450-Q450)</f>
        <v/>
      </c>
      <c r="S450" s="110">
        <f>IF(OR(Q450="",N450=0),"",Q450/N450)</f>
        <v/>
      </c>
      <c r="T450" s="111">
        <f>IF(S450="","⚪",IF(S450&gt;1.2,"🔴",IF(S450&gt;1.1,"🟡","🟢")))</f>
        <v/>
      </c>
      <c r="V450" s="105" t="n">
        <v>239977.749655</v>
      </c>
      <c r="W450" s="106" t="n">
        <v>67626.4166666667</v>
      </c>
      <c r="X450" s="107" t="n"/>
      <c r="Y450" s="108">
        <f>IF(X450="","",W450*X450)</f>
        <v/>
      </c>
      <c r="Z450" s="243">
        <f>IF(Y450="","",V450-Y450)</f>
        <v/>
      </c>
      <c r="AA450" s="110">
        <f>IF(OR(Y450="",V450=0),"",Y450/V450)</f>
        <v/>
      </c>
      <c r="AB450" s="111">
        <f>IF(AA450="","⚪",IF(AA450&gt;1.2,"🔴",IF(AA450&gt;1.1,"🟡","🟢")))</f>
        <v/>
      </c>
      <c r="AD450" s="105" t="n">
        <v>239977.749655</v>
      </c>
      <c r="AE450" s="106" t="n">
        <v>67626.4166666667</v>
      </c>
      <c r="AF450" s="107" t="n"/>
      <c r="AG450" s="108">
        <f>IF(AF450="","",AE450*AF450)</f>
        <v/>
      </c>
      <c r="AH450" s="243">
        <f>IF(AG450="","",AD450-AG450)</f>
        <v/>
      </c>
      <c r="AI450" s="110">
        <f>IF(OR(AG450="",AD450=0),"",AG450/AD450)</f>
        <v/>
      </c>
      <c r="AJ450" s="111">
        <f>IF(AI450="","⚪",IF(AI450&gt;1.2,"🔴",IF(AI450&gt;1.1,"🟡","🟢")))</f>
        <v/>
      </c>
    </row>
    <row r="451" ht="14" customHeight="1" s="176">
      <c r="A451" s="103" t="inlineStr">
        <is>
          <t>Siberia</t>
        </is>
      </c>
      <c r="B451" s="104" t="inlineStr">
        <is>
          <t>Timpson 7,1</t>
        </is>
      </c>
      <c r="C451" s="104" t="inlineStr">
        <is>
          <t>2- M.O. indirecta</t>
        </is>
      </c>
      <c r="D451" s="104" t="inlineStr">
        <is>
          <t>3- ADQUIS. Y BODEGA</t>
        </is>
      </c>
      <c r="E451" s="104" t="inlineStr">
        <is>
          <t>día</t>
        </is>
      </c>
      <c r="F451" s="105" t="n">
        <v>28743.498</v>
      </c>
      <c r="G451" s="106" t="n">
        <v>8100</v>
      </c>
      <c r="H451" s="107" t="n"/>
      <c r="I451" s="108">
        <f>IF(H451="","",G451*H451)</f>
        <v/>
      </c>
      <c r="J451" s="243">
        <f>IF(I451="","",F451-I451)</f>
        <v/>
      </c>
      <c r="K451" s="110">
        <f>IF(OR(I451="",F451=0),"",I451/F451)</f>
        <v/>
      </c>
      <c r="L451" s="111">
        <f>IF(K451="","⚪",IF(K451&gt;1.2,"🔴",IF(K451&gt;1.1,"🟡","🟢")))</f>
        <v/>
      </c>
      <c r="N451" s="105" t="n">
        <v>28743.498</v>
      </c>
      <c r="O451" s="106" t="n">
        <v>8100</v>
      </c>
      <c r="P451" s="107" t="n"/>
      <c r="Q451" s="108">
        <f>IF(P451="","",O451*P451)</f>
        <v/>
      </c>
      <c r="R451" s="243">
        <f>IF(Q451="","",N451-Q451)</f>
        <v/>
      </c>
      <c r="S451" s="110">
        <f>IF(OR(Q451="",N451=0),"",Q451/N451)</f>
        <v/>
      </c>
      <c r="T451" s="111">
        <f>IF(S451="","⚪",IF(S451&gt;1.2,"🔴",IF(S451&gt;1.1,"🟡","🟢")))</f>
        <v/>
      </c>
      <c r="V451" s="105" t="n">
        <v>28743.498</v>
      </c>
      <c r="W451" s="106" t="n">
        <v>8100</v>
      </c>
      <c r="X451" s="107" t="n"/>
      <c r="Y451" s="108">
        <f>IF(X451="","",W451*X451)</f>
        <v/>
      </c>
      <c r="Z451" s="243">
        <f>IF(Y451="","",V451-Y451)</f>
        <v/>
      </c>
      <c r="AA451" s="110">
        <f>IF(OR(Y451="",V451=0),"",Y451/V451)</f>
        <v/>
      </c>
      <c r="AB451" s="111">
        <f>IF(AA451="","⚪",IF(AA451&gt;1.2,"🔴",IF(AA451&gt;1.1,"🟡","🟢")))</f>
        <v/>
      </c>
      <c r="AD451" s="105" t="n">
        <v>28743.498</v>
      </c>
      <c r="AE451" s="106" t="n">
        <v>8100</v>
      </c>
      <c r="AF451" s="107" t="n"/>
      <c r="AG451" s="108">
        <f>IF(AF451="","",AE451*AF451)</f>
        <v/>
      </c>
      <c r="AH451" s="243">
        <f>IF(AG451="","",AD451-AG451)</f>
        <v/>
      </c>
      <c r="AI451" s="110">
        <f>IF(OR(AG451="",AD451=0),"",AG451/AD451)</f>
        <v/>
      </c>
      <c r="AJ451" s="111">
        <f>IF(AI451="","⚪",IF(AI451&gt;1.2,"🔴",IF(AI451&gt;1.1,"🟡","🟢")))</f>
        <v/>
      </c>
    </row>
    <row r="452" ht="14" customHeight="1" s="176">
      <c r="A452" s="112" t="inlineStr">
        <is>
          <t>Siberia</t>
        </is>
      </c>
      <c r="B452" s="113" t="inlineStr">
        <is>
          <t>Timpson 7,1</t>
        </is>
      </c>
      <c r="C452" s="113" t="inlineStr">
        <is>
          <t>2- M.O. indirecta</t>
        </is>
      </c>
      <c r="D452" s="113" t="inlineStr">
        <is>
          <t>4,1- ENCARGADO MANTENCIONES</t>
        </is>
      </c>
      <c r="E452" s="113" t="inlineStr">
        <is>
          <t>día</t>
        </is>
      </c>
      <c r="F452" s="105" t="n">
        <v>39034.38</v>
      </c>
      <c r="G452" s="106" t="n">
        <v>11000</v>
      </c>
      <c r="H452" s="107" t="n"/>
      <c r="I452" s="108">
        <f>IF(H452="","",G452*H452)</f>
        <v/>
      </c>
      <c r="J452" s="243">
        <f>IF(I452="","",F452-I452)</f>
        <v/>
      </c>
      <c r="K452" s="110">
        <f>IF(OR(I452="",F452=0),"",I452/F452)</f>
        <v/>
      </c>
      <c r="L452" s="111">
        <f>IF(K452="","⚪",IF(K452&gt;1.2,"🔴",IF(K452&gt;1.1,"🟡","🟢")))</f>
        <v/>
      </c>
      <c r="N452" s="105" t="n">
        <v>39034.38</v>
      </c>
      <c r="O452" s="106" t="n">
        <v>11000</v>
      </c>
      <c r="P452" s="107" t="n"/>
      <c r="Q452" s="108">
        <f>IF(P452="","",O452*P452)</f>
        <v/>
      </c>
      <c r="R452" s="243">
        <f>IF(Q452="","",N452-Q452)</f>
        <v/>
      </c>
      <c r="S452" s="110">
        <f>IF(OR(Q452="",N452=0),"",Q452/N452)</f>
        <v/>
      </c>
      <c r="T452" s="111">
        <f>IF(S452="","⚪",IF(S452&gt;1.2,"🔴",IF(S452&gt;1.1,"🟡","🟢")))</f>
        <v/>
      </c>
      <c r="V452" s="105" t="n">
        <v>39034.38</v>
      </c>
      <c r="W452" s="106" t="n">
        <v>11000</v>
      </c>
      <c r="X452" s="107" t="n"/>
      <c r="Y452" s="108">
        <f>IF(X452="","",W452*X452)</f>
        <v/>
      </c>
      <c r="Z452" s="243">
        <f>IF(Y452="","",V452-Y452)</f>
        <v/>
      </c>
      <c r="AA452" s="110">
        <f>IF(OR(Y452="",V452=0),"",Y452/V452)</f>
        <v/>
      </c>
      <c r="AB452" s="111">
        <f>IF(AA452="","⚪",IF(AA452&gt;1.2,"🔴",IF(AA452&gt;1.1,"🟡","🟢")))</f>
        <v/>
      </c>
      <c r="AD452" s="105" t="n">
        <v>39034.38</v>
      </c>
      <c r="AE452" s="106" t="n">
        <v>11000</v>
      </c>
      <c r="AF452" s="107" t="n"/>
      <c r="AG452" s="108">
        <f>IF(AF452="","",AE452*AF452)</f>
        <v/>
      </c>
      <c r="AH452" s="243">
        <f>IF(AG452="","",AD452-AG452)</f>
        <v/>
      </c>
      <c r="AI452" s="110">
        <f>IF(OR(AG452="",AD452=0),"",AG452/AD452)</f>
        <v/>
      </c>
      <c r="AJ452" s="111">
        <f>IF(AI452="","⚪",IF(AI452&gt;1.2,"🔴",IF(AI452&gt;1.1,"🟡","🟢")))</f>
        <v/>
      </c>
    </row>
    <row r="453" ht="14" customHeight="1" s="176">
      <c r="A453" s="103" t="inlineStr">
        <is>
          <t>Siberia</t>
        </is>
      </c>
      <c r="B453" s="104" t="inlineStr">
        <is>
          <t>Timpson 7,1</t>
        </is>
      </c>
      <c r="C453" s="104" t="inlineStr">
        <is>
          <t>2- M.O. indirecta</t>
        </is>
      </c>
      <c r="D453" s="104" t="inlineStr">
        <is>
          <t>4- CERTIFICACIONES</t>
        </is>
      </c>
      <c r="E453" s="104" t="inlineStr">
        <is>
          <t>día</t>
        </is>
      </c>
      <c r="F453" s="105" t="n">
        <v>22940.091125</v>
      </c>
      <c r="G453" s="106" t="n">
        <v>6464.58333333333</v>
      </c>
      <c r="H453" s="107" t="n"/>
      <c r="I453" s="108">
        <f>IF(H453="","",G453*H453)</f>
        <v/>
      </c>
      <c r="J453" s="243">
        <f>IF(I453="","",F453-I453)</f>
        <v/>
      </c>
      <c r="K453" s="110">
        <f>IF(OR(I453="",F453=0),"",I453/F453)</f>
        <v/>
      </c>
      <c r="L453" s="111">
        <f>IF(K453="","⚪",IF(K453&gt;1.2,"🔴",IF(K453&gt;1.1,"🟡","🟢")))</f>
        <v/>
      </c>
      <c r="N453" s="105" t="n">
        <v>22940.091125</v>
      </c>
      <c r="O453" s="106" t="n">
        <v>6464.58333333333</v>
      </c>
      <c r="P453" s="107" t="n"/>
      <c r="Q453" s="108">
        <f>IF(P453="","",O453*P453)</f>
        <v/>
      </c>
      <c r="R453" s="243">
        <f>IF(Q453="","",N453-Q453)</f>
        <v/>
      </c>
      <c r="S453" s="110">
        <f>IF(OR(Q453="",N453=0),"",Q453/N453)</f>
        <v/>
      </c>
      <c r="T453" s="111">
        <f>IF(S453="","⚪",IF(S453&gt;1.2,"🔴",IF(S453&gt;1.1,"🟡","🟢")))</f>
        <v/>
      </c>
      <c r="V453" s="105" t="n">
        <v>22940.091125</v>
      </c>
      <c r="W453" s="106" t="n">
        <v>6464.58333333333</v>
      </c>
      <c r="X453" s="107" t="n"/>
      <c r="Y453" s="108">
        <f>IF(X453="","",W453*X453)</f>
        <v/>
      </c>
      <c r="Z453" s="243">
        <f>IF(Y453="","",V453-Y453)</f>
        <v/>
      </c>
      <c r="AA453" s="110">
        <f>IF(OR(Y453="",V453=0),"",Y453/V453)</f>
        <v/>
      </c>
      <c r="AB453" s="111">
        <f>IF(AA453="","⚪",IF(AA453&gt;1.2,"🔴",IF(AA453&gt;1.1,"🟡","🟢")))</f>
        <v/>
      </c>
      <c r="AD453" s="105" t="n">
        <v>22940.091125</v>
      </c>
      <c r="AE453" s="106" t="n">
        <v>6464.58333333333</v>
      </c>
      <c r="AF453" s="107" t="n"/>
      <c r="AG453" s="108">
        <f>IF(AF453="","",AE453*AF453)</f>
        <v/>
      </c>
      <c r="AH453" s="243">
        <f>IF(AG453="","",AD453-AG453)</f>
        <v/>
      </c>
      <c r="AI453" s="110">
        <f>IF(OR(AG453="",AD453=0),"",AG453/AD453)</f>
        <v/>
      </c>
      <c r="AJ453" s="111">
        <f>IF(AI453="","⚪",IF(AI453&gt;1.2,"🔴",IF(AI453&gt;1.1,"🟡","🟢")))</f>
        <v/>
      </c>
    </row>
    <row r="454" ht="14" customHeight="1" s="176">
      <c r="A454" s="112" t="inlineStr">
        <is>
          <t>Siberia</t>
        </is>
      </c>
      <c r="B454" s="113" t="inlineStr">
        <is>
          <t>Timpson 7,1</t>
        </is>
      </c>
      <c r="C454" s="113" t="inlineStr">
        <is>
          <t>2- M.O. indirecta</t>
        </is>
      </c>
      <c r="D454" s="113" t="inlineStr">
        <is>
          <t>5- PREVEN. DE RIESGO</t>
        </is>
      </c>
      <c r="E454" s="113" t="inlineStr">
        <is>
          <t>día</t>
        </is>
      </c>
      <c r="F454" s="105" t="n">
        <v>5589.0135</v>
      </c>
      <c r="G454" s="106" t="n">
        <v>1575</v>
      </c>
      <c r="H454" s="107" t="n"/>
      <c r="I454" s="108">
        <f>IF(H454="","",G454*H454)</f>
        <v/>
      </c>
      <c r="J454" s="243">
        <f>IF(I454="","",F454-I454)</f>
        <v/>
      </c>
      <c r="K454" s="110">
        <f>IF(OR(I454="",F454=0),"",I454/F454)</f>
        <v/>
      </c>
      <c r="L454" s="111">
        <f>IF(K454="","⚪",IF(K454&gt;1.2,"🔴",IF(K454&gt;1.1,"🟡","🟢")))</f>
        <v/>
      </c>
      <c r="N454" s="105" t="n">
        <v>5589.0135</v>
      </c>
      <c r="O454" s="106" t="n">
        <v>1575</v>
      </c>
      <c r="P454" s="107" t="n"/>
      <c r="Q454" s="108">
        <f>IF(P454="","",O454*P454)</f>
        <v/>
      </c>
      <c r="R454" s="243">
        <f>IF(Q454="","",N454-Q454)</f>
        <v/>
      </c>
      <c r="S454" s="110">
        <f>IF(OR(Q454="",N454=0),"",Q454/N454)</f>
        <v/>
      </c>
      <c r="T454" s="111">
        <f>IF(S454="","⚪",IF(S454&gt;1.2,"🔴",IF(S454&gt;1.1,"🟡","🟢")))</f>
        <v/>
      </c>
      <c r="V454" s="105" t="n">
        <v>5589.0135</v>
      </c>
      <c r="W454" s="106" t="n">
        <v>1575</v>
      </c>
      <c r="X454" s="107" t="n"/>
      <c r="Y454" s="108">
        <f>IF(X454="","",W454*X454)</f>
        <v/>
      </c>
      <c r="Z454" s="243">
        <f>IF(Y454="","",V454-Y454)</f>
        <v/>
      </c>
      <c r="AA454" s="110">
        <f>IF(OR(Y454="",V454=0),"",Y454/V454)</f>
        <v/>
      </c>
      <c r="AB454" s="111">
        <f>IF(AA454="","⚪",IF(AA454&gt;1.2,"🔴",IF(AA454&gt;1.1,"🟡","🟢")))</f>
        <v/>
      </c>
      <c r="AD454" s="105" t="n">
        <v>5589.0135</v>
      </c>
      <c r="AE454" s="106" t="n">
        <v>1575</v>
      </c>
      <c r="AF454" s="107" t="n"/>
      <c r="AG454" s="108">
        <f>IF(AF454="","",AE454*AF454)</f>
        <v/>
      </c>
      <c r="AH454" s="243">
        <f>IF(AG454="","",AD454-AG454)</f>
        <v/>
      </c>
      <c r="AI454" s="110">
        <f>IF(OR(AG454="",AD454=0),"",AG454/AD454)</f>
        <v/>
      </c>
      <c r="AJ454" s="111">
        <f>IF(AI454="","⚪",IF(AI454&gt;1.2,"🔴",IF(AI454&gt;1.1,"🟡","🟢")))</f>
        <v/>
      </c>
    </row>
  </sheetData>
  <mergeCells count="6">
    <mergeCell ref="A1:AJ1"/>
    <mergeCell ref="V3:AB3"/>
    <mergeCell ref="F3:L3"/>
    <mergeCell ref="AD3:AJ3"/>
    <mergeCell ref="N3:T3"/>
    <mergeCell ref="A3:E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2"/>
  <sheetViews>
    <sheetView showGridLines="0" topLeftCell="A8" zoomScale="150" workbookViewId="0">
      <selection activeCell="A1" sqref="A1:N1"/>
    </sheetView>
  </sheetViews>
  <sheetFormatPr baseColWidth="10" defaultColWidth="8.83203125" defaultRowHeight="15"/>
  <cols>
    <col width="16" customWidth="1" style="176" min="1" max="1"/>
    <col width="24" customWidth="1" style="176" min="2" max="2"/>
    <col width="14" customWidth="1" style="176" min="3" max="3"/>
    <col width="10.5" bestFit="1" customWidth="1" style="176" min="4" max="4"/>
    <col width="9" customWidth="1" style="176" min="5" max="5"/>
    <col width="12" customWidth="1" style="176" min="6" max="6"/>
    <col width="11" customWidth="1" style="176" min="7" max="7"/>
    <col width="13" customWidth="1" style="176" min="8" max="10"/>
    <col width="11" customWidth="1" style="176" min="11" max="12"/>
    <col width="13" customWidth="1" style="176" min="13" max="13"/>
    <col width="6" customWidth="1" style="176" min="14" max="14"/>
  </cols>
  <sheetData>
    <row r="1" ht="35" customHeight="1" s="176">
      <c r="A1" s="214" t="inlineStr">
        <is>
          <t>🌿  AGRÍCOLA MEGA — DASHBOARD GERENCIAL  •  Control de Gestión Temporada 2026/27</t>
        </is>
      </c>
    </row>
    <row r="2" ht="18" customHeight="1" s="176">
      <c r="A2" s="217" t="inlineStr">
        <is>
          <t>Actualizado: [fecha automática]  |  Semana: [N° semana]  |  Temporada: 2026/27</t>
        </is>
      </c>
    </row>
    <row r="3" ht="10" customHeight="1" s="176"/>
    <row r="4" ht="22" customHeight="1" s="176">
      <c r="A4" s="221" t="inlineStr">
        <is>
          <t>💰 COSTO ACUMULADO</t>
        </is>
      </c>
      <c r="B4" s="185" t="n"/>
      <c r="C4" s="215" t="inlineStr">
        <is>
          <t>📊 % PPTO EJECUTADO</t>
        </is>
      </c>
      <c r="D4" s="185" t="n"/>
      <c r="E4" s="216" t="inlineStr">
        <is>
          <t>⚠️ DESVIACIÓN</t>
        </is>
      </c>
      <c r="F4" s="185" t="n"/>
      <c r="G4" s="222" t="inlineStr">
        <is>
          <t>🌾 PRODUCCIÓN KG</t>
        </is>
      </c>
      <c r="H4" s="185" t="n"/>
      <c r="I4" s="224" t="inlineStr">
        <is>
          <t>💵 REMESAS PROYECT.</t>
        </is>
      </c>
      <c r="J4" s="185" t="n"/>
      <c r="K4" s="213" t="inlineStr">
        <is>
          <t>📈 MARGEN ESTIMADO</t>
        </is>
      </c>
      <c r="L4" s="185" t="n"/>
    </row>
    <row r="5" ht="40" customHeight="1" s="176">
      <c r="A5" s="218" t="inlineStr">
        <is>
          <t>[pendiente datos reales]</t>
        </is>
      </c>
      <c r="B5" s="185" t="n"/>
      <c r="C5" s="209" t="inlineStr">
        <is>
          <t>[pendiente datos reales]</t>
        </is>
      </c>
      <c r="D5" s="185" t="n"/>
      <c r="E5" s="211" t="inlineStr">
        <is>
          <t>[pendiente datos reales]</t>
        </is>
      </c>
      <c r="F5" s="185" t="n"/>
      <c r="G5" s="219" t="inlineStr">
        <is>
          <t>[pendiente datos reales]</t>
        </is>
      </c>
      <c r="H5" s="185" t="n"/>
      <c r="I5" s="220" t="inlineStr">
        <is>
          <t>[pendiente datos reales]</t>
        </is>
      </c>
      <c r="J5" s="185" t="n"/>
      <c r="K5" s="212" t="inlineStr">
        <is>
          <t>[pendiente datos reales]</t>
        </is>
      </c>
      <c r="L5" s="185" t="n"/>
    </row>
    <row r="6" ht="16" customHeight="1" s="176">
      <c r="A6" s="208" t="inlineStr">
        <is>
          <t>vs Ppto</t>
        </is>
      </c>
      <c r="B6" s="185" t="n"/>
      <c r="C6" s="208" t="inlineStr">
        <is>
          <t>costos</t>
        </is>
      </c>
      <c r="D6" s="185" t="n"/>
      <c r="E6" s="208" t="inlineStr">
        <is>
          <t>acumulada</t>
        </is>
      </c>
      <c r="F6" s="185" t="n"/>
      <c r="G6" s="208" t="inlineStr">
        <is>
          <t>acumulados</t>
        </is>
      </c>
      <c r="H6" s="185" t="n"/>
      <c r="I6" s="208" t="inlineStr">
        <is>
          <t>próx 4 sem</t>
        </is>
      </c>
      <c r="J6" s="185" t="n"/>
      <c r="K6" s="208" t="inlineStr">
        <is>
          <t>temporada</t>
        </is>
      </c>
      <c r="L6" s="185" t="n"/>
    </row>
    <row r="7" ht="12" customHeight="1" s="176"/>
    <row r="8" ht="22" customHeight="1" s="176">
      <c r="A8" s="223" t="inlineStr">
        <is>
          <t>📊  MARGEN POR CAMPO  •  Presupuesto Temporada 2026/27</t>
        </is>
      </c>
    </row>
    <row r="9" ht="22" customHeight="1" s="176">
      <c r="A9" s="28" t="inlineStr">
        <is>
          <t>Campo</t>
        </is>
      </c>
      <c r="B9" s="28" t="inlineStr">
        <is>
          <t>Costo Ppto</t>
        </is>
      </c>
      <c r="C9" s="28" t="inlineStr">
        <is>
          <t>Ingreso Ppto</t>
        </is>
      </c>
      <c r="D9" s="28" t="inlineStr">
        <is>
          <t>Margen Ppto</t>
        </is>
      </c>
      <c r="E9" s="28" t="inlineStr">
        <is>
          <t>% Margen</t>
        </is>
      </c>
      <c r="F9" s="28" t="inlineStr">
        <is>
          <t>Costo Real</t>
        </is>
      </c>
      <c r="G9" s="28" t="inlineStr">
        <is>
          <t>Ingreso Real</t>
        </is>
      </c>
      <c r="H9" s="28" t="inlineStr">
        <is>
          <t>Margen Real</t>
        </is>
      </c>
      <c r="I9" s="28" t="inlineStr">
        <is>
          <t>Desv. $</t>
        </is>
      </c>
      <c r="J9" s="28" t="inlineStr">
        <is>
          <t>Semáforo</t>
        </is>
      </c>
    </row>
    <row r="10" ht="18" customHeight="1" s="176">
      <c r="A10" s="114" t="inlineStr">
        <is>
          <t>Asmara</t>
        </is>
      </c>
      <c r="B10" s="8" t="n">
        <v>401327336.9512</v>
      </c>
      <c r="C10" s="8" t="n">
        <v>546364000</v>
      </c>
      <c r="D10" s="8" t="n">
        <v>145036663.0488</v>
      </c>
      <c r="E10" s="244" t="n">
        <v>0.2654579420474262</v>
      </c>
      <c r="F10" s="8" t="n"/>
      <c r="G10" s="8" t="n"/>
      <c r="H10" s="8" t="n"/>
      <c r="I10" s="8" t="n"/>
      <c r="J10" s="2" t="inlineStr">
        <is>
          <t>🟢</t>
        </is>
      </c>
    </row>
    <row r="11" ht="18" customHeight="1" s="176">
      <c r="A11" s="116" t="inlineStr">
        <is>
          <t>El Molle</t>
        </is>
      </c>
      <c r="B11" s="17" t="n">
        <v>370097670.0235291</v>
      </c>
      <c r="C11" s="17" t="n">
        <v>303430203.45</v>
      </c>
      <c r="D11" s="17" t="n">
        <v>-66667466.57352906</v>
      </c>
      <c r="E11" s="245" t="n">
        <v>-0.2197126911412255</v>
      </c>
      <c r="F11" s="17" t="n"/>
      <c r="G11" s="17" t="n"/>
      <c r="H11" s="17" t="n"/>
      <c r="I11" s="17" t="n"/>
      <c r="J11" s="13" t="inlineStr">
        <is>
          <t>🔴</t>
        </is>
      </c>
    </row>
    <row r="12" ht="18" customHeight="1" s="176">
      <c r="A12" s="114" t="inlineStr">
        <is>
          <t>Santa Catalina</t>
        </is>
      </c>
      <c r="B12" s="8" t="n">
        <v>1688919219.820094</v>
      </c>
      <c r="C12" s="8" t="n">
        <v>1743995091.93</v>
      </c>
      <c r="D12" s="8" t="n">
        <v>55075872.10990572</v>
      </c>
      <c r="E12" s="244" t="n">
        <v>0.03158029077304098</v>
      </c>
      <c r="F12" s="8" t="n"/>
      <c r="G12" s="8" t="n"/>
      <c r="H12" s="8" t="n"/>
      <c r="I12" s="8" t="n"/>
      <c r="J12" s="2" t="inlineStr">
        <is>
          <t>🟢</t>
        </is>
      </c>
    </row>
    <row r="13" ht="18" customHeight="1" s="176">
      <c r="A13" s="118" t="inlineStr">
        <is>
          <t>Siberia</t>
        </is>
      </c>
      <c r="B13" s="12" t="n">
        <v>351010095.06256</v>
      </c>
      <c r="C13" s="12" t="n">
        <v>448545822</v>
      </c>
      <c r="D13" s="12" t="n">
        <v>97535726.93743998</v>
      </c>
      <c r="E13" s="246" t="n">
        <v>0.2174487469363609</v>
      </c>
      <c r="F13" s="12" t="n"/>
      <c r="G13" s="12" t="n"/>
      <c r="H13" s="12" t="n"/>
      <c r="I13" s="12" t="n"/>
      <c r="J13" s="3" t="inlineStr">
        <is>
          <t>🟢</t>
        </is>
      </c>
    </row>
    <row r="14" ht="12" customHeight="1" s="176"/>
    <row r="15" ht="22" customHeight="1" s="176">
      <c r="A15" s="210" t="inlineStr">
        <is>
          <t>📊  MARGEN POR CENTRO DE COSTO  •  Presupuesto Temporada 2026/27</t>
        </is>
      </c>
    </row>
    <row r="16" ht="22" customHeight="1" s="176">
      <c r="A16" s="198" t="inlineStr">
        <is>
          <t>Campo</t>
        </is>
      </c>
      <c r="B16" s="198" t="inlineStr">
        <is>
          <t>Centro de Costo</t>
        </is>
      </c>
      <c r="C16" s="198" t="inlineStr">
        <is>
          <t>Variedad</t>
        </is>
      </c>
      <c r="D16" s="198" t="inlineStr">
        <is>
          <t>Há</t>
        </is>
      </c>
      <c r="E16" s="198" t="inlineStr">
        <is>
          <t>kg/há</t>
        </is>
      </c>
      <c r="F16" s="198" t="inlineStr">
        <is>
          <t>Total kg</t>
        </is>
      </c>
      <c r="G16" s="198" t="inlineStr">
        <is>
          <t>Precio USD</t>
        </is>
      </c>
      <c r="H16" s="198" t="inlineStr">
        <is>
          <t>Costo Ppto</t>
        </is>
      </c>
      <c r="I16" s="198" t="inlineStr">
        <is>
          <t>Ingreso Ppto</t>
        </is>
      </c>
      <c r="J16" s="198" t="inlineStr">
        <is>
          <t>Margen Ppto</t>
        </is>
      </c>
      <c r="K16" s="198" t="inlineStr">
        <is>
          <t>$/kg costo</t>
        </is>
      </c>
      <c r="L16" s="198" t="inlineStr">
        <is>
          <t>$/kg ingreso</t>
        </is>
      </c>
      <c r="M16" s="198" t="inlineStr">
        <is>
          <t>Margen/há</t>
        </is>
      </c>
      <c r="N16" s="198" t="inlineStr">
        <is>
          <t>🚦</t>
        </is>
      </c>
    </row>
    <row r="17" ht="16" customHeight="1" s="176">
      <c r="A17" s="66" t="inlineStr">
        <is>
          <t>Asmara</t>
        </is>
      </c>
      <c r="B17" s="66" t="inlineStr">
        <is>
          <t>w. murcott 19,8 ha</t>
        </is>
      </c>
      <c r="C17" s="67" t="inlineStr">
        <is>
          <t>W. murcott</t>
        </is>
      </c>
      <c r="D17" s="247" t="n">
        <v>19.8</v>
      </c>
      <c r="E17" s="121" t="n">
        <v>50000</v>
      </c>
      <c r="F17" s="121" t="n">
        <v>990000</v>
      </c>
      <c r="G17" s="122" t="n">
        <v>0.6</v>
      </c>
      <c r="H17" s="60" t="n">
        <v>313381346.7647676</v>
      </c>
      <c r="I17" s="60" t="n">
        <v>437976000</v>
      </c>
      <c r="J17" s="248" t="n">
        <v>124594653.2352324</v>
      </c>
      <c r="K17" s="60" t="n">
        <v>316.5468149139066</v>
      </c>
      <c r="L17" s="60" t="n">
        <v>442.4</v>
      </c>
      <c r="M17" s="248" t="n">
        <v>6292659.254304667</v>
      </c>
      <c r="N17" s="59" t="inlineStr">
        <is>
          <t>🟢</t>
        </is>
      </c>
    </row>
    <row r="18" ht="16" customHeight="1" s="176">
      <c r="A18" s="74" t="inlineStr">
        <is>
          <t>Asmara</t>
        </is>
      </c>
      <c r="B18" s="74" t="inlineStr">
        <is>
          <t>w. murcott 4,9 ha</t>
        </is>
      </c>
      <c r="C18" s="75" t="inlineStr">
        <is>
          <t>W. murcott</t>
        </is>
      </c>
      <c r="D18" s="249" t="n">
        <v>4.9</v>
      </c>
      <c r="E18" s="125" t="n">
        <v>50000</v>
      </c>
      <c r="F18" s="125" t="n">
        <v>245000</v>
      </c>
      <c r="G18" s="126" t="n">
        <v>0.6</v>
      </c>
      <c r="H18" s="58" t="n">
        <v>87945990.18643239</v>
      </c>
      <c r="I18" s="58" t="n">
        <v>108388000</v>
      </c>
      <c r="J18" s="250" t="n">
        <v>20442009.81356761</v>
      </c>
      <c r="K18" s="58" t="n">
        <v>358.9632252507444</v>
      </c>
      <c r="L18" s="58" t="n">
        <v>442.3999999999999</v>
      </c>
      <c r="M18" s="250" t="n">
        <v>4171838.737462777</v>
      </c>
      <c r="N18" s="56" t="inlineStr">
        <is>
          <t>🟢</t>
        </is>
      </c>
    </row>
    <row r="19" ht="16" customHeight="1" s="176">
      <c r="A19" s="77" t="inlineStr">
        <is>
          <t>El Molle</t>
        </is>
      </c>
      <c r="B19" s="77" t="inlineStr">
        <is>
          <t>Wonderful 5,25 ha</t>
        </is>
      </c>
      <c r="C19" s="78" t="inlineStr">
        <is>
          <t>Wonderfull</t>
        </is>
      </c>
      <c r="D19" s="251" t="n">
        <v>5.24</v>
      </c>
      <c r="E19" s="129" t="n">
        <v>22000</v>
      </c>
      <c r="F19" s="129" t="n">
        <v>115280</v>
      </c>
      <c r="G19" s="130" t="n">
        <v>0.77</v>
      </c>
      <c r="H19" s="131" t="n">
        <v>75402281.04494557</v>
      </c>
      <c r="I19" s="131" t="n">
        <v>63338290.4</v>
      </c>
      <c r="J19" s="252" t="n">
        <v>-12063990.64494557</v>
      </c>
      <c r="K19" s="131" t="n">
        <v>654.079467773643</v>
      </c>
      <c r="L19" s="131" t="n">
        <v>549.4299999999999</v>
      </c>
      <c r="M19" s="252" t="n">
        <v>-2302288.291020147</v>
      </c>
      <c r="N19" s="76" t="inlineStr">
        <is>
          <t>🔴</t>
        </is>
      </c>
    </row>
    <row r="20" ht="16" customHeight="1" s="176">
      <c r="A20" s="77" t="inlineStr">
        <is>
          <t>El Molle</t>
        </is>
      </c>
      <c r="B20" s="77" t="inlineStr">
        <is>
          <t>arrufatinas 5,74 ha</t>
        </is>
      </c>
      <c r="C20" s="78" t="inlineStr">
        <is>
          <t>Arrufatinas</t>
        </is>
      </c>
      <c r="D20" s="251" t="n">
        <v>5.74</v>
      </c>
      <c r="E20" s="129" t="n">
        <v>32000</v>
      </c>
      <c r="F20" s="129" t="n">
        <v>183680</v>
      </c>
      <c r="G20" s="130" t="n">
        <v>0.77</v>
      </c>
      <c r="H20" s="131" t="n">
        <v>90016318.09983401</v>
      </c>
      <c r="I20" s="131" t="n">
        <v>68303244.8</v>
      </c>
      <c r="J20" s="252" t="n">
        <v>-21713073.29983401</v>
      </c>
      <c r="K20" s="131" t="n">
        <v>490.0714182264482</v>
      </c>
      <c r="L20" s="131" t="n">
        <v>371.86</v>
      </c>
      <c r="M20" s="252" t="n">
        <v>-3782765.383246344</v>
      </c>
      <c r="N20" s="76" t="inlineStr">
        <is>
          <t>🔴</t>
        </is>
      </c>
    </row>
    <row r="21" ht="16" customHeight="1" s="176">
      <c r="A21" s="77" t="inlineStr">
        <is>
          <t>El Molle</t>
        </is>
      </c>
      <c r="B21" s="77" t="inlineStr">
        <is>
          <t>orogrande 8,11 ha</t>
        </is>
      </c>
      <c r="C21" s="78" t="inlineStr">
        <is>
          <t>Orogrande</t>
        </is>
      </c>
      <c r="D21" s="251" t="n">
        <v>8.109999999999999</v>
      </c>
      <c r="E21" s="129" t="n">
        <v>35000</v>
      </c>
      <c r="F21" s="129" t="n">
        <v>283850</v>
      </c>
      <c r="G21" s="130" t="n">
        <v>0.77</v>
      </c>
      <c r="H21" s="131" t="n">
        <v>126395595.1338528</v>
      </c>
      <c r="I21" s="131" t="n">
        <v>112105138.25</v>
      </c>
      <c r="J21" s="252" t="n">
        <v>-14290456.88385276</v>
      </c>
      <c r="K21" s="131" t="n">
        <v>445.2901008767052</v>
      </c>
      <c r="L21" s="131" t="n">
        <v>394.945</v>
      </c>
      <c r="M21" s="252" t="n">
        <v>-1762078.530684681</v>
      </c>
      <c r="N21" s="76" t="inlineStr">
        <is>
          <t>🔴</t>
        </is>
      </c>
    </row>
    <row r="22" ht="16" customHeight="1" s="176">
      <c r="A22" s="77" t="inlineStr">
        <is>
          <t>El Molle</t>
        </is>
      </c>
      <c r="B22" s="77" t="inlineStr">
        <is>
          <t>oronules 5,35 ha</t>
        </is>
      </c>
      <c r="C22" s="78" t="inlineStr">
        <is>
          <t>Oronules</t>
        </is>
      </c>
      <c r="D22" s="251" t="n">
        <v>5.35</v>
      </c>
      <c r="E22" s="129" t="n">
        <v>30000</v>
      </c>
      <c r="F22" s="129" t="n">
        <v>160500</v>
      </c>
      <c r="G22" s="130" t="n">
        <v>0.77</v>
      </c>
      <c r="H22" s="131" t="n">
        <v>78283475.74489674</v>
      </c>
      <c r="I22" s="131" t="n">
        <v>59683530</v>
      </c>
      <c r="J22" s="252" t="n">
        <v>-18599945.74489674</v>
      </c>
      <c r="K22" s="131" t="n">
        <v>487.7475124292632</v>
      </c>
      <c r="L22" s="131" t="n">
        <v>371.86</v>
      </c>
      <c r="M22" s="252" t="n">
        <v>-3476625.372877895</v>
      </c>
      <c r="N22" s="76" t="inlineStr">
        <is>
          <t>🔴</t>
        </is>
      </c>
    </row>
    <row r="23" ht="16" customHeight="1" s="176">
      <c r="A23" s="66" t="inlineStr">
        <is>
          <t>Santa Catalina</t>
        </is>
      </c>
      <c r="B23" s="66" t="inlineStr">
        <is>
          <t>Fino 49 7,7 ha</t>
        </is>
      </c>
      <c r="C23" s="67" t="inlineStr">
        <is>
          <t>Fino 49</t>
        </is>
      </c>
      <c r="D23" s="247" t="n">
        <v>7.7</v>
      </c>
      <c r="E23" s="121" t="n">
        <v>70000</v>
      </c>
      <c r="F23" s="121" t="n">
        <v>539000</v>
      </c>
      <c r="G23" s="122" t="n">
        <v>0.35</v>
      </c>
      <c r="H23" s="60" t="n">
        <v>166123528.0964013</v>
      </c>
      <c r="I23" s="60" t="n">
        <v>173047931.3639995</v>
      </c>
      <c r="J23" s="248" t="n">
        <v>6924403.267598212</v>
      </c>
      <c r="K23" s="60" t="n">
        <v>308.2069166909114</v>
      </c>
      <c r="L23" s="60" t="n">
        <v>321.053675999999</v>
      </c>
      <c r="M23" s="248" t="n">
        <v>899273.1516361313</v>
      </c>
      <c r="N23" s="59" t="inlineStr">
        <is>
          <t>🟢</t>
        </is>
      </c>
    </row>
    <row r="24" ht="16" customHeight="1" s="176">
      <c r="A24" s="74" t="inlineStr">
        <is>
          <t>Santa Catalina</t>
        </is>
      </c>
      <c r="B24" s="74" t="inlineStr">
        <is>
          <t>W. murcott 21 ha</t>
        </is>
      </c>
      <c r="C24" s="75" t="inlineStr">
        <is>
          <t>W. murcott</t>
        </is>
      </c>
      <c r="D24" s="249" t="n">
        <v>21</v>
      </c>
      <c r="E24" s="125" t="n">
        <v>50000</v>
      </c>
      <c r="F24" s="125" t="n">
        <v>1050000</v>
      </c>
      <c r="G24" s="126" t="n">
        <v>0.6</v>
      </c>
      <c r="H24" s="58" t="n">
        <v>452645622.53564</v>
      </c>
      <c r="I24" s="58" t="n">
        <v>464520000</v>
      </c>
      <c r="J24" s="250" t="n">
        <v>11874377.46436</v>
      </c>
      <c r="K24" s="58" t="n">
        <v>431.0910690815619</v>
      </c>
      <c r="L24" s="58" t="n">
        <v>442.4</v>
      </c>
      <c r="M24" s="250" t="n">
        <v>565446.5459219047</v>
      </c>
      <c r="N24" s="56" t="inlineStr">
        <is>
          <t>🟢</t>
        </is>
      </c>
    </row>
    <row r="25" ht="16" customHeight="1" s="176">
      <c r="A25" s="133" t="inlineStr">
        <is>
          <t>Santa Catalina</t>
        </is>
      </c>
      <c r="B25" s="133" t="inlineStr">
        <is>
          <t>cambria 4,2 ha</t>
        </is>
      </c>
      <c r="C25" s="134" t="inlineStr">
        <is>
          <t>Cambria</t>
        </is>
      </c>
      <c r="D25" s="253" t="n">
        <v>0</v>
      </c>
      <c r="E25" s="136" t="n">
        <v>20000</v>
      </c>
      <c r="F25" s="136" t="n">
        <v>0</v>
      </c>
      <c r="G25" s="89" t="n">
        <v>0</v>
      </c>
      <c r="H25" s="88" t="n">
        <v>45776675.97062941</v>
      </c>
      <c r="I25" s="88" t="n">
        <v>37800000</v>
      </c>
      <c r="J25" s="254" t="n">
        <v>-7976675.970629409</v>
      </c>
      <c r="K25" s="88" t="n">
        <v>0</v>
      </c>
      <c r="L25" s="88" t="n">
        <v>0</v>
      </c>
      <c r="M25" s="254" t="n">
        <v>0</v>
      </c>
      <c r="N25" s="138" t="inlineStr">
        <is>
          <t>🔵</t>
        </is>
      </c>
    </row>
    <row r="26" ht="16" customHeight="1" s="176">
      <c r="A26" s="74" t="inlineStr">
        <is>
          <t>Santa Catalina</t>
        </is>
      </c>
      <c r="B26" s="74" t="inlineStr">
        <is>
          <t>eureka 10,6 ha</t>
        </is>
      </c>
      <c r="C26" s="75" t="inlineStr">
        <is>
          <t>Eureka</t>
        </is>
      </c>
      <c r="D26" s="249" t="n">
        <v>10.6</v>
      </c>
      <c r="E26" s="125" t="n">
        <v>70000</v>
      </c>
      <c r="F26" s="125" t="n">
        <v>742000</v>
      </c>
      <c r="G26" s="126" t="n">
        <v>0.35</v>
      </c>
      <c r="H26" s="58" t="n">
        <v>218845630.1846563</v>
      </c>
      <c r="I26" s="58" t="n">
        <v>238221827.592</v>
      </c>
      <c r="J26" s="250" t="n">
        <v>19376197.40734369</v>
      </c>
      <c r="K26" s="58" t="n">
        <v>294.9402024051972</v>
      </c>
      <c r="L26" s="58" t="n">
        <v>321.053676</v>
      </c>
      <c r="M26" s="250" t="n">
        <v>1827943.151636197</v>
      </c>
      <c r="N26" s="56" t="inlineStr">
        <is>
          <t>🟢</t>
        </is>
      </c>
    </row>
    <row r="27" ht="16" customHeight="1" s="176">
      <c r="A27" s="66" t="inlineStr">
        <is>
          <t>Santa Catalina</t>
        </is>
      </c>
      <c r="B27" s="66" t="inlineStr">
        <is>
          <t>eureka 14,4 ha</t>
        </is>
      </c>
      <c r="C27" s="67" t="inlineStr">
        <is>
          <t>Eureka</t>
        </is>
      </c>
      <c r="D27" s="247" t="n">
        <v>14.4</v>
      </c>
      <c r="E27" s="121" t="n">
        <v>70000</v>
      </c>
      <c r="F27" s="121" t="n">
        <v>1008000</v>
      </c>
      <c r="G27" s="122" t="n">
        <v>0.35</v>
      </c>
      <c r="H27" s="60" t="n">
        <v>298157532.0244389</v>
      </c>
      <c r="I27" s="60" t="n">
        <v>323622105.408</v>
      </c>
      <c r="J27" s="248" t="n">
        <v>25464573.38356113</v>
      </c>
      <c r="K27" s="60" t="n">
        <v>295.7912024051973</v>
      </c>
      <c r="L27" s="60" t="n">
        <v>321.053676</v>
      </c>
      <c r="M27" s="248" t="n">
        <v>1768373.15163619</v>
      </c>
      <c r="N27" s="59" t="inlineStr">
        <is>
          <t>🟢</t>
        </is>
      </c>
    </row>
    <row r="28" ht="16" customHeight="1" s="176">
      <c r="A28" s="74" t="inlineStr">
        <is>
          <t>Santa Catalina</t>
        </is>
      </c>
      <c r="B28" s="74" t="inlineStr">
        <is>
          <t>eureka 22,55</t>
        </is>
      </c>
      <c r="C28" s="75" t="inlineStr">
        <is>
          <t>Eureka</t>
        </is>
      </c>
      <c r="D28" s="249" t="n">
        <v>22.55</v>
      </c>
      <c r="E28" s="125" t="n">
        <v>70000</v>
      </c>
      <c r="F28" s="125" t="n">
        <v>1578500</v>
      </c>
      <c r="G28" s="126" t="n">
        <v>0.35</v>
      </c>
      <c r="H28" s="58" t="n">
        <v>466906412.9966039</v>
      </c>
      <c r="I28" s="58" t="n">
        <v>506783227.566</v>
      </c>
      <c r="J28" s="250" t="n">
        <v>39876814.56939608</v>
      </c>
      <c r="K28" s="58" t="n">
        <v>295.7912024051973</v>
      </c>
      <c r="L28" s="58" t="n">
        <v>321.053676</v>
      </c>
      <c r="M28" s="250" t="n">
        <v>1768373.15163619</v>
      </c>
      <c r="N28" s="56" t="inlineStr">
        <is>
          <t>🟢</t>
        </is>
      </c>
    </row>
    <row r="29" ht="16" customHeight="1" s="176">
      <c r="A29" s="133" t="inlineStr">
        <is>
          <t>Santa Catalina</t>
        </is>
      </c>
      <c r="B29" s="133" t="inlineStr">
        <is>
          <t>form benjamin 1,93 ha</t>
        </is>
      </c>
      <c r="C29" s="134" t="inlineStr">
        <is>
          <t>Benjamin andes</t>
        </is>
      </c>
      <c r="D29" s="253" t="n">
        <v>0</v>
      </c>
      <c r="E29" s="136" t="n">
        <v>0</v>
      </c>
      <c r="F29" s="136" t="n">
        <v>0</v>
      </c>
      <c r="G29" s="89" t="n">
        <v>0.35</v>
      </c>
      <c r="H29" s="88" t="n">
        <v>17664761.58581479</v>
      </c>
      <c r="I29" s="88" t="n">
        <v>0</v>
      </c>
      <c r="J29" s="254" t="n">
        <v>-17664761.58581479</v>
      </c>
      <c r="K29" s="88" t="n">
        <v>0</v>
      </c>
      <c r="L29" s="88" t="n">
        <v>0</v>
      </c>
      <c r="M29" s="254" t="n">
        <v>0</v>
      </c>
      <c r="N29" s="138" t="inlineStr">
        <is>
          <t>🔵</t>
        </is>
      </c>
    </row>
    <row r="30" ht="16" customHeight="1" s="176">
      <c r="A30" s="133" t="inlineStr">
        <is>
          <t>Santa Catalina</t>
        </is>
      </c>
      <c r="B30" s="133" t="inlineStr">
        <is>
          <t>mant eureka 2,5 ha</t>
        </is>
      </c>
      <c r="C30" s="134" t="inlineStr">
        <is>
          <t>Eureka</t>
        </is>
      </c>
      <c r="D30" s="253" t="n">
        <v>0</v>
      </c>
      <c r="E30" s="136" t="n">
        <v>0</v>
      </c>
      <c r="F30" s="136" t="n">
        <v>0</v>
      </c>
      <c r="G30" s="89" t="n">
        <v>0.35</v>
      </c>
      <c r="H30" s="88" t="n">
        <v>22799056.42590952</v>
      </c>
      <c r="I30" s="88" t="n">
        <v>0</v>
      </c>
      <c r="J30" s="254" t="n">
        <v>-22799056.42590952</v>
      </c>
      <c r="K30" s="88" t="n">
        <v>0</v>
      </c>
      <c r="L30" s="88" t="n">
        <v>0</v>
      </c>
      <c r="M30" s="254" t="n">
        <v>0</v>
      </c>
      <c r="N30" s="138" t="inlineStr">
        <is>
          <t>🔵</t>
        </is>
      </c>
    </row>
    <row r="31" ht="16" customHeight="1" s="176">
      <c r="A31" s="66" t="inlineStr">
        <is>
          <t>Siberia</t>
        </is>
      </c>
      <c r="B31" s="66" t="inlineStr">
        <is>
          <t>S. Celebration 7,14</t>
        </is>
      </c>
      <c r="C31" s="67" t="inlineStr">
        <is>
          <t>S. celebration</t>
        </is>
      </c>
      <c r="D31" s="247" t="n">
        <v>7.14</v>
      </c>
      <c r="E31" s="121" t="n">
        <v>30340</v>
      </c>
      <c r="F31" s="121" t="n">
        <v>216627.6</v>
      </c>
      <c r="G31" s="122" t="n">
        <v>1.2</v>
      </c>
      <c r="H31" s="60" t="n">
        <v>181140711.215778</v>
      </c>
      <c r="I31" s="60" t="n">
        <v>237207222</v>
      </c>
      <c r="J31" s="248" t="n">
        <v>56066510.78422201</v>
      </c>
      <c r="K31" s="60" t="n">
        <v>836.1848223207846</v>
      </c>
      <c r="L31" s="60" t="n">
        <v>1095</v>
      </c>
      <c r="M31" s="248" t="n">
        <v>7852452.490787396</v>
      </c>
      <c r="N31" s="59" t="inlineStr">
        <is>
          <t>🟢</t>
        </is>
      </c>
    </row>
    <row r="32" ht="16" customHeight="1" s="176">
      <c r="A32" s="74" t="inlineStr">
        <is>
          <t>Siberia</t>
        </is>
      </c>
      <c r="B32" s="74" t="inlineStr">
        <is>
          <t>Timpson 7,1</t>
        </is>
      </c>
      <c r="C32" s="75" t="inlineStr">
        <is>
          <t>Timpson</t>
        </is>
      </c>
      <c r="D32" s="249" t="n">
        <v>7.1</v>
      </c>
      <c r="E32" s="125" t="n">
        <v>24600</v>
      </c>
      <c r="F32" s="125" t="n">
        <v>174660</v>
      </c>
      <c r="G32" s="126" t="n">
        <v>1.3</v>
      </c>
      <c r="H32" s="58" t="n">
        <v>169869383.846782</v>
      </c>
      <c r="I32" s="58" t="n">
        <v>211338600</v>
      </c>
      <c r="J32" s="250" t="n">
        <v>41469216.15321797</v>
      </c>
      <c r="K32" s="58" t="n">
        <v>972.5717614037675</v>
      </c>
      <c r="L32" s="58" t="n">
        <v>1210</v>
      </c>
      <c r="M32" s="250" t="n">
        <v>5840734.66946732</v>
      </c>
      <c r="N32" s="56" t="inlineStr">
        <is>
          <t>🟢</t>
        </is>
      </c>
    </row>
  </sheetData>
  <mergeCells count="22">
    <mergeCell ref="C6:D6"/>
    <mergeCell ref="I6:J6"/>
    <mergeCell ref="C5:D5"/>
    <mergeCell ref="A15:N15"/>
    <mergeCell ref="E5:F5"/>
    <mergeCell ref="K5:L5"/>
    <mergeCell ref="A6:B6"/>
    <mergeCell ref="C4:D4"/>
    <mergeCell ref="A1:N1"/>
    <mergeCell ref="E4:F4"/>
    <mergeCell ref="G6:H6"/>
    <mergeCell ref="E6:F6"/>
    <mergeCell ref="A2:N2"/>
    <mergeCell ref="A5:B5"/>
    <mergeCell ref="G5:H5"/>
    <mergeCell ref="K6:L6"/>
    <mergeCell ref="I5:J5"/>
    <mergeCell ref="A4:B4"/>
    <mergeCell ref="G4:H4"/>
    <mergeCell ref="A8:N8"/>
    <mergeCell ref="I4:J4"/>
    <mergeCell ref="K4:L4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64"/>
  <sheetViews>
    <sheetView showGridLines="0" zoomScale="200" workbookViewId="0">
      <pane ySplit="3" topLeftCell="A5" activePane="bottomLeft" state="frozen"/>
      <selection pane="bottomLeft" activeCell="D8" sqref="D8"/>
    </sheetView>
  </sheetViews>
  <sheetFormatPr baseColWidth="10" defaultColWidth="8.83203125" defaultRowHeight="15"/>
  <cols>
    <col width="6" customWidth="1" style="176" min="1" max="1"/>
    <col width="18" customWidth="1" style="176" min="2" max="2"/>
    <col width="16" customWidth="1" style="176" min="3" max="3"/>
    <col width="24" customWidth="1" style="176" min="4" max="4"/>
    <col width="14" customWidth="1" style="176" min="5" max="5"/>
    <col width="18" customWidth="1" style="176" min="6" max="6"/>
    <col width="13" customWidth="1" style="176" min="7" max="8"/>
    <col width="16" customWidth="1" style="176" min="9" max="9"/>
    <col width="30" customWidth="1" style="176" min="10" max="10"/>
  </cols>
  <sheetData>
    <row r="1" ht="30" customHeight="1" s="176">
      <c r="A1" s="225" t="inlineStr">
        <is>
          <t>⚠️  SISTEMA DE ALERTAS — AGRÍCOLA MEGA  •  Temporada 2026/27</t>
        </is>
      </c>
    </row>
    <row r="2" ht="8" customHeight="1" s="176"/>
    <row r="3" ht="20" customHeight="1" s="176">
      <c r="A3" s="227" t="inlineStr">
        <is>
          <t>📋  REGLAS DEL SISTEMA  |  🔴 Crítico: desviación &gt;20%  |  🟡 Alerta: desviación &gt;10%  |  🟢 Normal: desviación ≤10%  |  🔵 Info: sin datos reales aún</t>
        </is>
      </c>
    </row>
    <row r="4" ht="22" customHeight="1" s="176">
      <c r="A4" s="65" t="inlineStr">
        <is>
          <t>Semáforo</t>
        </is>
      </c>
      <c r="B4" s="65" t="inlineStr">
        <is>
          <t>Tipo Alerta</t>
        </is>
      </c>
      <c r="C4" s="65" t="inlineStr">
        <is>
          <t>Campo</t>
        </is>
      </c>
      <c r="D4" s="65" t="inlineStr">
        <is>
          <t>Centro de Costo</t>
        </is>
      </c>
      <c r="E4" s="65" t="inlineStr">
        <is>
          <t>Variedad</t>
        </is>
      </c>
      <c r="F4" s="65" t="inlineStr">
        <is>
          <t>Indicador</t>
        </is>
      </c>
      <c r="G4" s="65" t="inlineStr">
        <is>
          <t>Valor Ppto</t>
        </is>
      </c>
      <c r="H4" s="65" t="inlineStr">
        <is>
          <t>Valor Real</t>
        </is>
      </c>
      <c r="I4" s="65" t="inlineStr">
        <is>
          <t>Desviación $/%</t>
        </is>
      </c>
      <c r="J4" s="65" t="inlineStr">
        <is>
          <t>Acción Recomendada</t>
        </is>
      </c>
    </row>
    <row r="5" ht="35" customHeight="1" s="176">
      <c r="A5" s="139" t="inlineStr">
        <is>
          <t>🔴</t>
        </is>
      </c>
      <c r="B5" s="139" t="inlineStr">
        <is>
          <t>MARGEN NEGATIVO</t>
        </is>
      </c>
      <c r="C5" s="76" t="inlineStr">
        <is>
          <t>El Molle</t>
        </is>
      </c>
      <c r="D5" s="78" t="inlineStr">
        <is>
          <t>arrufatinas 5,74 ha</t>
        </is>
      </c>
      <c r="E5" s="78" t="inlineStr">
        <is>
          <t>Arrufatinas</t>
        </is>
      </c>
      <c r="F5" s="78" t="inlineStr">
        <is>
          <t>Margen temporada</t>
        </is>
      </c>
      <c r="G5" s="78" t="inlineStr">
        <is>
          <t>$90.016.318</t>
        </is>
      </c>
      <c r="H5" s="76" t="inlineStr">
        <is>
          <t>$68.303.245</t>
        </is>
      </c>
      <c r="I5" s="76" t="inlineStr">
        <is>
          <t>($21.713.073) -24%</t>
        </is>
      </c>
      <c r="J5" s="140" t="inlineStr">
        <is>
          <t>Revisar precio USD 0,77 y % descarte 10%. Evaluar reducción de costos.</t>
        </is>
      </c>
    </row>
    <row r="6" ht="35" customHeight="1" s="176">
      <c r="A6" s="139" t="inlineStr">
        <is>
          <t>🔴</t>
        </is>
      </c>
      <c r="B6" s="139" t="inlineStr">
        <is>
          <t>MARGEN NEGATIVO</t>
        </is>
      </c>
      <c r="C6" s="76" t="inlineStr">
        <is>
          <t>El Molle</t>
        </is>
      </c>
      <c r="D6" s="78" t="inlineStr">
        <is>
          <t>oronules 5,35 ha</t>
        </is>
      </c>
      <c r="E6" s="78" t="inlineStr">
        <is>
          <t>Oronules</t>
        </is>
      </c>
      <c r="F6" s="78" t="inlineStr">
        <is>
          <t>Margen temporada</t>
        </is>
      </c>
      <c r="G6" s="78" t="inlineStr">
        <is>
          <t>$78.283.476</t>
        </is>
      </c>
      <c r="H6" s="76" t="inlineStr">
        <is>
          <t>$59.683.530</t>
        </is>
      </c>
      <c r="I6" s="76" t="inlineStr">
        <is>
          <t>($18.599.946) -24%</t>
        </is>
      </c>
      <c r="J6" s="140" t="inlineStr">
        <is>
          <t>Revisar precio y % descarte. Campo en pérdida confirmada.</t>
        </is>
      </c>
    </row>
    <row r="7" ht="35" customHeight="1" s="176">
      <c r="A7" s="139" t="inlineStr">
        <is>
          <t>🔴</t>
        </is>
      </c>
      <c r="B7" s="139" t="inlineStr">
        <is>
          <t>MARGEN NEGATIVO</t>
        </is>
      </c>
      <c r="C7" s="76" t="inlineStr">
        <is>
          <t>El Molle</t>
        </is>
      </c>
      <c r="D7" s="78" t="inlineStr">
        <is>
          <t>orogrande 8,11 ha</t>
        </is>
      </c>
      <c r="E7" s="78" t="inlineStr">
        <is>
          <t>Orogrande</t>
        </is>
      </c>
      <c r="F7" s="78" t="inlineStr">
        <is>
          <t>Margen temporada</t>
        </is>
      </c>
      <c r="G7" s="78" t="inlineStr">
        <is>
          <t>$126.395.595</t>
        </is>
      </c>
      <c r="H7" s="76" t="inlineStr">
        <is>
          <t>$112.105.138</t>
        </is>
      </c>
      <c r="I7" s="76" t="inlineStr">
        <is>
          <t>($14.290.457) -11%</t>
        </is>
      </c>
      <c r="J7" s="140" t="inlineStr">
        <is>
          <t>Monitorear costos. Es el CDC de El Molle con menor pérdida.</t>
        </is>
      </c>
    </row>
    <row r="8" ht="35" customHeight="1" s="176">
      <c r="A8" s="139" t="inlineStr">
        <is>
          <t>🔴</t>
        </is>
      </c>
      <c r="B8" s="139" t="inlineStr">
        <is>
          <t>MARGEN NEGATIVO</t>
        </is>
      </c>
      <c r="C8" s="76" t="inlineStr">
        <is>
          <t>El Molle</t>
        </is>
      </c>
      <c r="D8" s="78" t="inlineStr">
        <is>
          <t>Wonderful 5,25 ha</t>
        </is>
      </c>
      <c r="E8" s="78" t="inlineStr">
        <is>
          <t>Wonderful</t>
        </is>
      </c>
      <c r="F8" s="78" t="inlineStr">
        <is>
          <t>Margen temporada</t>
        </is>
      </c>
      <c r="G8" s="78" t="inlineStr">
        <is>
          <t>$75.402.281</t>
        </is>
      </c>
      <c r="H8" s="76" t="inlineStr">
        <is>
          <t>$63.338.290</t>
        </is>
      </c>
      <c r="I8" s="76" t="inlineStr">
        <is>
          <t>($12.063.991) -16%</t>
        </is>
      </c>
      <c r="J8" s="140" t="inlineStr">
        <is>
          <t>Revisar % descarte 49%. Evaluar precio mercado granados.</t>
        </is>
      </c>
    </row>
    <row r="9" ht="35" customHeight="1" s="176">
      <c r="A9" s="141" t="inlineStr">
        <is>
          <t>🟡</t>
        </is>
      </c>
      <c r="B9" s="141" t="inlineStr">
        <is>
          <t>SIN PRODUCCIÓN</t>
        </is>
      </c>
      <c r="C9" s="138" t="inlineStr">
        <is>
          <t>Santa Catalina</t>
        </is>
      </c>
      <c r="D9" s="134" t="inlineStr">
        <is>
          <t>cambria 4,2 ha</t>
        </is>
      </c>
      <c r="E9" s="134" t="inlineStr">
        <is>
          <t>Cambria</t>
        </is>
      </c>
      <c r="F9" s="134" t="inlineStr">
        <is>
          <t>Estado operacional</t>
        </is>
      </c>
      <c r="G9" s="134" t="inlineStr">
        <is>
          <t>Mantención</t>
        </is>
      </c>
      <c r="H9" s="138" t="inlineStr">
        <is>
          <t>Sin producción</t>
        </is>
      </c>
      <c r="I9" s="138" t="inlineStr">
        <is>
          <t>$0 ingreso / $45,8MM costo</t>
        </is>
      </c>
      <c r="J9" s="142" t="inlineStr">
        <is>
          <t>Confirmar plan de recuperación hídrica. Evaluar fecha reactivación.</t>
        </is>
      </c>
    </row>
    <row r="10" ht="35" customHeight="1" s="176">
      <c r="A10" s="141" t="inlineStr">
        <is>
          <t>🟡</t>
        </is>
      </c>
      <c r="B10" s="141" t="inlineStr">
        <is>
          <t>RIESGO TC</t>
        </is>
      </c>
      <c r="C10" s="138" t="inlineStr">
        <is>
          <t>Todos los campos</t>
        </is>
      </c>
      <c r="D10" s="134" t="inlineStr">
        <is>
          <t>Todos</t>
        </is>
      </c>
      <c r="E10" s="134" t="inlineStr">
        <is>
          <t>Todas</t>
        </is>
      </c>
      <c r="F10" s="134" t="inlineStr">
        <is>
          <t>Tipo de cambio</t>
        </is>
      </c>
      <c r="G10" s="134" t="inlineStr">
        <is>
          <t>$900 CLP/USD (fijo)</t>
        </is>
      </c>
      <c r="H10" s="138" t="inlineStr">
        <is>
          <t>Variable</t>
        </is>
      </c>
      <c r="I10" s="138" t="inlineStr">
        <is>
          <t>±5% = ±$152MM ingreso</t>
        </is>
      </c>
      <c r="J10" s="142" t="inlineStr">
        <is>
          <t>Actualizar TC referencia semana a semana en MAESTRO_TC.</t>
        </is>
      </c>
    </row>
    <row r="11" ht="35" customHeight="1" s="176">
      <c r="A11" s="143" t="inlineStr">
        <is>
          <t>🔵</t>
        </is>
      </c>
      <c r="B11" s="143" t="inlineStr">
        <is>
          <t>DUPLICADOS BD</t>
        </is>
      </c>
      <c r="C11" s="57" t="inlineStr">
        <is>
          <t>Todos los campos</t>
        </is>
      </c>
      <c r="D11" s="144" t="inlineStr">
        <is>
          <t>Gastos General</t>
        </is>
      </c>
      <c r="E11" s="144" t="inlineStr">
        <is>
          <t>Todos</t>
        </is>
      </c>
      <c r="F11" s="144" t="inlineStr">
        <is>
          <t>Calidad de datos</t>
        </is>
      </c>
      <c r="G11" s="144" t="inlineStr">
        <is>
          <t>30 grupos duplicados</t>
        </is>
      </c>
      <c r="H11" s="57" t="inlineStr">
        <is>
          <t>99 filas</t>
        </is>
      </c>
      <c r="I11" s="57" t="inlineStr">
        <is>
          <t>Costos potencialmente inflados</t>
        </is>
      </c>
      <c r="J11" s="145" t="inlineStr">
        <is>
          <t>Revisar y consolidar filas duplicadas en BD_PRESUPUESTO antes de procesar.</t>
        </is>
      </c>
    </row>
    <row r="12" ht="12" customHeight="1" s="176"/>
    <row r="13" ht="20" customHeight="1" s="176">
      <c r="A13" s="226" t="inlineStr">
        <is>
          <t>📊  ALERTAS EN TIEMPO REAL (se actualizan con datos de CONTROL_PPTO_REAL y BD_COSTOS_REALES)</t>
        </is>
      </c>
    </row>
    <row r="14" ht="22" customHeight="1" s="176">
      <c r="A14" s="146" t="inlineStr">
        <is>
          <t>Semáforo</t>
        </is>
      </c>
      <c r="B14" s="146" t="inlineStr">
        <is>
          <t>Tipo Alerta</t>
        </is>
      </c>
      <c r="C14" s="146" t="inlineStr">
        <is>
          <t>Campo</t>
        </is>
      </c>
      <c r="D14" s="146" t="inlineStr">
        <is>
          <t>Centro de Costo</t>
        </is>
      </c>
      <c r="E14" s="146" t="inlineStr">
        <is>
          <t>Variedad</t>
        </is>
      </c>
      <c r="F14" s="146" t="inlineStr">
        <is>
          <t>Indicador</t>
        </is>
      </c>
      <c r="G14" s="146" t="inlineStr">
        <is>
          <t>Valor Ppto</t>
        </is>
      </c>
      <c r="H14" s="146" t="inlineStr">
        <is>
          <t>Valor Real</t>
        </is>
      </c>
      <c r="I14" s="146" t="inlineStr">
        <is>
          <t>Desviación $/%</t>
        </is>
      </c>
      <c r="J14" s="146" t="inlineStr">
        <is>
          <t>Acción Recomendada</t>
        </is>
      </c>
    </row>
    <row r="15" ht="18" customHeight="1" s="176">
      <c r="A15" s="59" t="n"/>
      <c r="B15" s="59" t="n"/>
      <c r="C15" s="59" t="n"/>
      <c r="D15" s="59" t="n"/>
      <c r="E15" s="59" t="n"/>
      <c r="F15" s="59" t="n"/>
      <c r="G15" s="59" t="n"/>
      <c r="H15" s="59" t="n"/>
      <c r="I15" s="59" t="n"/>
      <c r="J15" s="147" t="n"/>
    </row>
    <row r="16" ht="18" customHeight="1" s="176">
      <c r="A16" s="56" t="n"/>
      <c r="B16" s="56" t="n"/>
      <c r="C16" s="56" t="n"/>
      <c r="D16" s="56" t="n"/>
      <c r="E16" s="56" t="n"/>
      <c r="F16" s="56" t="n"/>
      <c r="G16" s="56" t="n"/>
      <c r="H16" s="56" t="n"/>
      <c r="I16" s="56" t="n"/>
      <c r="J16" s="148" t="n"/>
    </row>
    <row r="17" ht="18" customHeight="1" s="176">
      <c r="A17" s="59" t="n"/>
      <c r="B17" s="59" t="n"/>
      <c r="C17" s="59" t="n"/>
      <c r="D17" s="59" t="n"/>
      <c r="E17" s="59" t="n"/>
      <c r="F17" s="59" t="n"/>
      <c r="G17" s="59" t="n"/>
      <c r="H17" s="59" t="n"/>
      <c r="I17" s="59" t="n"/>
      <c r="J17" s="147" t="n"/>
    </row>
    <row r="18" ht="18" customHeight="1" s="176">
      <c r="A18" s="56" t="n"/>
      <c r="B18" s="56" t="n"/>
      <c r="C18" s="56" t="n"/>
      <c r="D18" s="56" t="n"/>
      <c r="E18" s="56" t="n"/>
      <c r="F18" s="56" t="n"/>
      <c r="G18" s="56" t="n"/>
      <c r="H18" s="56" t="n"/>
      <c r="I18" s="56" t="n"/>
      <c r="J18" s="148" t="n"/>
    </row>
    <row r="19" ht="18" customHeight="1" s="176">
      <c r="A19" s="59" t="n"/>
      <c r="B19" s="59" t="n"/>
      <c r="C19" s="59" t="n"/>
      <c r="D19" s="59" t="n"/>
      <c r="E19" s="59" t="n"/>
      <c r="F19" s="59" t="n"/>
      <c r="G19" s="59" t="n"/>
      <c r="H19" s="59" t="n"/>
      <c r="I19" s="59" t="n"/>
      <c r="J19" s="147" t="n"/>
    </row>
    <row r="20" ht="18" customHeight="1" s="176">
      <c r="A20" s="56" t="n"/>
      <c r="B20" s="56" t="n"/>
      <c r="C20" s="56" t="n"/>
      <c r="D20" s="56" t="n"/>
      <c r="E20" s="56" t="n"/>
      <c r="F20" s="56" t="n"/>
      <c r="G20" s="56" t="n"/>
      <c r="H20" s="56" t="n"/>
      <c r="I20" s="56" t="n"/>
      <c r="J20" s="148" t="n"/>
    </row>
    <row r="21" ht="18" customHeight="1" s="176">
      <c r="A21" s="59" t="n"/>
      <c r="B21" s="59" t="n"/>
      <c r="C21" s="59" t="n"/>
      <c r="D21" s="59" t="n"/>
      <c r="E21" s="59" t="n"/>
      <c r="F21" s="59" t="n"/>
      <c r="G21" s="59" t="n"/>
      <c r="H21" s="59" t="n"/>
      <c r="I21" s="59" t="n"/>
      <c r="J21" s="147" t="n"/>
    </row>
    <row r="22" ht="18" customHeight="1" s="176">
      <c r="A22" s="56" t="n"/>
      <c r="B22" s="56" t="n"/>
      <c r="C22" s="56" t="n"/>
      <c r="D22" s="56" t="n"/>
      <c r="E22" s="56" t="n"/>
      <c r="F22" s="56" t="n"/>
      <c r="G22" s="56" t="n"/>
      <c r="H22" s="56" t="n"/>
      <c r="I22" s="56" t="n"/>
      <c r="J22" s="148" t="n"/>
    </row>
    <row r="23" ht="18" customHeight="1" s="176">
      <c r="A23" s="59" t="n"/>
      <c r="B23" s="59" t="n"/>
      <c r="C23" s="59" t="n"/>
      <c r="D23" s="59" t="n"/>
      <c r="E23" s="59" t="n"/>
      <c r="F23" s="59" t="n"/>
      <c r="G23" s="59" t="n"/>
      <c r="H23" s="59" t="n"/>
      <c r="I23" s="59" t="n"/>
      <c r="J23" s="147" t="n"/>
    </row>
    <row r="24" ht="18" customHeight="1" s="176">
      <c r="A24" s="56" t="n"/>
      <c r="B24" s="56" t="n"/>
      <c r="C24" s="56" t="n"/>
      <c r="D24" s="56" t="n"/>
      <c r="E24" s="56" t="n"/>
      <c r="F24" s="56" t="n"/>
      <c r="G24" s="56" t="n"/>
      <c r="H24" s="56" t="n"/>
      <c r="I24" s="56" t="n"/>
      <c r="J24" s="148" t="n"/>
    </row>
    <row r="25" ht="18" customHeight="1" s="176">
      <c r="A25" s="59" t="n"/>
      <c r="B25" s="59" t="n"/>
      <c r="C25" s="59" t="n"/>
      <c r="D25" s="59" t="n"/>
      <c r="E25" s="59" t="n"/>
      <c r="F25" s="59" t="n"/>
      <c r="G25" s="59" t="n"/>
      <c r="H25" s="59" t="n"/>
      <c r="I25" s="59" t="n"/>
      <c r="J25" s="147" t="n"/>
    </row>
    <row r="26" ht="18" customHeight="1" s="176">
      <c r="A26" s="56" t="n"/>
      <c r="B26" s="56" t="n"/>
      <c r="C26" s="56" t="n"/>
      <c r="D26" s="56" t="n"/>
      <c r="E26" s="56" t="n"/>
      <c r="F26" s="56" t="n"/>
      <c r="G26" s="56" t="n"/>
      <c r="H26" s="56" t="n"/>
      <c r="I26" s="56" t="n"/>
      <c r="J26" s="148" t="n"/>
    </row>
    <row r="27" ht="18" customHeight="1" s="176">
      <c r="A27" s="59" t="n"/>
      <c r="B27" s="59" t="n"/>
      <c r="C27" s="59" t="n"/>
      <c r="D27" s="59" t="n"/>
      <c r="E27" s="59" t="n"/>
      <c r="F27" s="59" t="n"/>
      <c r="G27" s="59" t="n"/>
      <c r="H27" s="59" t="n"/>
      <c r="I27" s="59" t="n"/>
      <c r="J27" s="147" t="n"/>
    </row>
    <row r="28" ht="18" customHeight="1" s="176">
      <c r="A28" s="56" t="n"/>
      <c r="B28" s="56" t="n"/>
      <c r="C28" s="56" t="n"/>
      <c r="D28" s="56" t="n"/>
      <c r="E28" s="56" t="n"/>
      <c r="F28" s="56" t="n"/>
      <c r="G28" s="56" t="n"/>
      <c r="H28" s="56" t="n"/>
      <c r="I28" s="56" t="n"/>
      <c r="J28" s="148" t="n"/>
    </row>
    <row r="29" ht="18" customHeight="1" s="176">
      <c r="A29" s="59" t="n"/>
      <c r="B29" s="59" t="n"/>
      <c r="C29" s="59" t="n"/>
      <c r="D29" s="59" t="n"/>
      <c r="E29" s="59" t="n"/>
      <c r="F29" s="59" t="n"/>
      <c r="G29" s="59" t="n"/>
      <c r="H29" s="59" t="n"/>
      <c r="I29" s="59" t="n"/>
      <c r="J29" s="147" t="n"/>
    </row>
    <row r="30" ht="18" customHeight="1" s="176">
      <c r="A30" s="56" t="n"/>
      <c r="B30" s="56" t="n"/>
      <c r="C30" s="56" t="n"/>
      <c r="D30" s="56" t="n"/>
      <c r="E30" s="56" t="n"/>
      <c r="F30" s="56" t="n"/>
      <c r="G30" s="56" t="n"/>
      <c r="H30" s="56" t="n"/>
      <c r="I30" s="56" t="n"/>
      <c r="J30" s="148" t="n"/>
    </row>
    <row r="31" ht="18" customHeight="1" s="176">
      <c r="A31" s="59" t="n"/>
      <c r="B31" s="59" t="n"/>
      <c r="C31" s="59" t="n"/>
      <c r="D31" s="59" t="n"/>
      <c r="E31" s="59" t="n"/>
      <c r="F31" s="59" t="n"/>
      <c r="G31" s="59" t="n"/>
      <c r="H31" s="59" t="n"/>
      <c r="I31" s="59" t="n"/>
      <c r="J31" s="147" t="n"/>
    </row>
    <row r="32" ht="18" customHeight="1" s="176">
      <c r="A32" s="56" t="n"/>
      <c r="B32" s="56" t="n"/>
      <c r="C32" s="56" t="n"/>
      <c r="D32" s="56" t="n"/>
      <c r="E32" s="56" t="n"/>
      <c r="F32" s="56" t="n"/>
      <c r="G32" s="56" t="n"/>
      <c r="H32" s="56" t="n"/>
      <c r="I32" s="56" t="n"/>
      <c r="J32" s="148" t="n"/>
    </row>
    <row r="33" ht="18" customHeight="1" s="176">
      <c r="A33" s="59" t="n"/>
      <c r="B33" s="59" t="n"/>
      <c r="C33" s="59" t="n"/>
      <c r="D33" s="59" t="n"/>
      <c r="E33" s="59" t="n"/>
      <c r="F33" s="59" t="n"/>
      <c r="G33" s="59" t="n"/>
      <c r="H33" s="59" t="n"/>
      <c r="I33" s="59" t="n"/>
      <c r="J33" s="147" t="n"/>
    </row>
    <row r="34" ht="18" customHeight="1" s="176">
      <c r="A34" s="56" t="n"/>
      <c r="B34" s="56" t="n"/>
      <c r="C34" s="56" t="n"/>
      <c r="D34" s="56" t="n"/>
      <c r="E34" s="56" t="n"/>
      <c r="F34" s="56" t="n"/>
      <c r="G34" s="56" t="n"/>
      <c r="H34" s="56" t="n"/>
      <c r="I34" s="56" t="n"/>
      <c r="J34" s="148" t="n"/>
    </row>
    <row r="35" ht="18" customHeight="1" s="176">
      <c r="A35" s="59" t="n"/>
      <c r="B35" s="59" t="n"/>
      <c r="C35" s="59" t="n"/>
      <c r="D35" s="59" t="n"/>
      <c r="E35" s="59" t="n"/>
      <c r="F35" s="59" t="n"/>
      <c r="G35" s="59" t="n"/>
      <c r="H35" s="59" t="n"/>
      <c r="I35" s="59" t="n"/>
      <c r="J35" s="147" t="n"/>
    </row>
    <row r="36" ht="18" customHeight="1" s="176">
      <c r="A36" s="56" t="n"/>
      <c r="B36" s="56" t="n"/>
      <c r="C36" s="56" t="n"/>
      <c r="D36" s="56" t="n"/>
      <c r="E36" s="56" t="n"/>
      <c r="F36" s="56" t="n"/>
      <c r="G36" s="56" t="n"/>
      <c r="H36" s="56" t="n"/>
      <c r="I36" s="56" t="n"/>
      <c r="J36" s="148" t="n"/>
    </row>
    <row r="37" ht="18" customHeight="1" s="176">
      <c r="A37" s="59" t="n"/>
      <c r="B37" s="59" t="n"/>
      <c r="C37" s="59" t="n"/>
      <c r="D37" s="59" t="n"/>
      <c r="E37" s="59" t="n"/>
      <c r="F37" s="59" t="n"/>
      <c r="G37" s="59" t="n"/>
      <c r="H37" s="59" t="n"/>
      <c r="I37" s="59" t="n"/>
      <c r="J37" s="147" t="n"/>
    </row>
    <row r="38" ht="18" customHeight="1" s="176">
      <c r="A38" s="56" t="n"/>
      <c r="B38" s="56" t="n"/>
      <c r="C38" s="56" t="n"/>
      <c r="D38" s="56" t="n"/>
      <c r="E38" s="56" t="n"/>
      <c r="F38" s="56" t="n"/>
      <c r="G38" s="56" t="n"/>
      <c r="H38" s="56" t="n"/>
      <c r="I38" s="56" t="n"/>
      <c r="J38" s="148" t="n"/>
    </row>
    <row r="39" ht="18" customHeight="1" s="176">
      <c r="A39" s="59" t="n"/>
      <c r="B39" s="59" t="n"/>
      <c r="C39" s="59" t="n"/>
      <c r="D39" s="59" t="n"/>
      <c r="E39" s="59" t="n"/>
      <c r="F39" s="59" t="n"/>
      <c r="G39" s="59" t="n"/>
      <c r="H39" s="59" t="n"/>
      <c r="I39" s="59" t="n"/>
      <c r="J39" s="147" t="n"/>
    </row>
    <row r="40" ht="18" customHeight="1" s="176">
      <c r="A40" s="56" t="n"/>
      <c r="B40" s="56" t="n"/>
      <c r="C40" s="56" t="n"/>
      <c r="D40" s="56" t="n"/>
      <c r="E40" s="56" t="n"/>
      <c r="F40" s="56" t="n"/>
      <c r="G40" s="56" t="n"/>
      <c r="H40" s="56" t="n"/>
      <c r="I40" s="56" t="n"/>
      <c r="J40" s="148" t="n"/>
    </row>
    <row r="41" ht="18" customHeight="1" s="176">
      <c r="A41" s="59" t="n"/>
      <c r="B41" s="59" t="n"/>
      <c r="C41" s="59" t="n"/>
      <c r="D41" s="59" t="n"/>
      <c r="E41" s="59" t="n"/>
      <c r="F41" s="59" t="n"/>
      <c r="G41" s="59" t="n"/>
      <c r="H41" s="59" t="n"/>
      <c r="I41" s="59" t="n"/>
      <c r="J41" s="147" t="n"/>
    </row>
    <row r="42" ht="18" customHeight="1" s="176">
      <c r="A42" s="56" t="n"/>
      <c r="B42" s="56" t="n"/>
      <c r="C42" s="56" t="n"/>
      <c r="D42" s="56" t="n"/>
      <c r="E42" s="56" t="n"/>
      <c r="F42" s="56" t="n"/>
      <c r="G42" s="56" t="n"/>
      <c r="H42" s="56" t="n"/>
      <c r="I42" s="56" t="n"/>
      <c r="J42" s="148" t="n"/>
    </row>
    <row r="43" ht="18" customHeight="1" s="176">
      <c r="A43" s="59" t="n"/>
      <c r="B43" s="59" t="n"/>
      <c r="C43" s="59" t="n"/>
      <c r="D43" s="59" t="n"/>
      <c r="E43" s="59" t="n"/>
      <c r="F43" s="59" t="n"/>
      <c r="G43" s="59" t="n"/>
      <c r="H43" s="59" t="n"/>
      <c r="I43" s="59" t="n"/>
      <c r="J43" s="147" t="n"/>
    </row>
    <row r="44" ht="18" customHeight="1" s="176">
      <c r="A44" s="56" t="n"/>
      <c r="B44" s="56" t="n"/>
      <c r="C44" s="56" t="n"/>
      <c r="D44" s="56" t="n"/>
      <c r="E44" s="56" t="n"/>
      <c r="F44" s="56" t="n"/>
      <c r="G44" s="56" t="n"/>
      <c r="H44" s="56" t="n"/>
      <c r="I44" s="56" t="n"/>
      <c r="J44" s="148" t="n"/>
    </row>
    <row r="45" ht="18" customHeight="1" s="176">
      <c r="A45" s="59" t="n"/>
      <c r="B45" s="59" t="n"/>
      <c r="C45" s="59" t="n"/>
      <c r="D45" s="59" t="n"/>
      <c r="E45" s="59" t="n"/>
      <c r="F45" s="59" t="n"/>
      <c r="G45" s="59" t="n"/>
      <c r="H45" s="59" t="n"/>
      <c r="I45" s="59" t="n"/>
      <c r="J45" s="147" t="n"/>
    </row>
    <row r="46" ht="18" customHeight="1" s="176">
      <c r="A46" s="56" t="n"/>
      <c r="B46" s="56" t="n"/>
      <c r="C46" s="56" t="n"/>
      <c r="D46" s="56" t="n"/>
      <c r="E46" s="56" t="n"/>
      <c r="F46" s="56" t="n"/>
      <c r="G46" s="56" t="n"/>
      <c r="H46" s="56" t="n"/>
      <c r="I46" s="56" t="n"/>
      <c r="J46" s="148" t="n"/>
    </row>
    <row r="47" ht="18" customHeight="1" s="176">
      <c r="A47" s="59" t="n"/>
      <c r="B47" s="59" t="n"/>
      <c r="C47" s="59" t="n"/>
      <c r="D47" s="59" t="n"/>
      <c r="E47" s="59" t="n"/>
      <c r="F47" s="59" t="n"/>
      <c r="G47" s="59" t="n"/>
      <c r="H47" s="59" t="n"/>
      <c r="I47" s="59" t="n"/>
      <c r="J47" s="147" t="n"/>
    </row>
    <row r="48" ht="18" customHeight="1" s="176">
      <c r="A48" s="56" t="n"/>
      <c r="B48" s="56" t="n"/>
      <c r="C48" s="56" t="n"/>
      <c r="D48" s="56" t="n"/>
      <c r="E48" s="56" t="n"/>
      <c r="F48" s="56" t="n"/>
      <c r="G48" s="56" t="n"/>
      <c r="H48" s="56" t="n"/>
      <c r="I48" s="56" t="n"/>
      <c r="J48" s="148" t="n"/>
    </row>
    <row r="49" ht="18" customHeight="1" s="176">
      <c r="A49" s="59" t="n"/>
      <c r="B49" s="59" t="n"/>
      <c r="C49" s="59" t="n"/>
      <c r="D49" s="59" t="n"/>
      <c r="E49" s="59" t="n"/>
      <c r="F49" s="59" t="n"/>
      <c r="G49" s="59" t="n"/>
      <c r="H49" s="59" t="n"/>
      <c r="I49" s="59" t="n"/>
      <c r="J49" s="147" t="n"/>
    </row>
    <row r="50" ht="18" customHeight="1" s="176">
      <c r="A50" s="56" t="n"/>
      <c r="B50" s="56" t="n"/>
      <c r="C50" s="56" t="n"/>
      <c r="D50" s="56" t="n"/>
      <c r="E50" s="56" t="n"/>
      <c r="F50" s="56" t="n"/>
      <c r="G50" s="56" t="n"/>
      <c r="H50" s="56" t="n"/>
      <c r="I50" s="56" t="n"/>
      <c r="J50" s="148" t="n"/>
    </row>
    <row r="51" ht="18" customHeight="1" s="176">
      <c r="A51" s="59" t="n"/>
      <c r="B51" s="59" t="n"/>
      <c r="C51" s="59" t="n"/>
      <c r="D51" s="59" t="n"/>
      <c r="E51" s="59" t="n"/>
      <c r="F51" s="59" t="n"/>
      <c r="G51" s="59" t="n"/>
      <c r="H51" s="59" t="n"/>
      <c r="I51" s="59" t="n"/>
      <c r="J51" s="147" t="n"/>
    </row>
    <row r="52" ht="18" customHeight="1" s="176">
      <c r="A52" s="56" t="n"/>
      <c r="B52" s="56" t="n"/>
      <c r="C52" s="56" t="n"/>
      <c r="D52" s="56" t="n"/>
      <c r="E52" s="56" t="n"/>
      <c r="F52" s="56" t="n"/>
      <c r="G52" s="56" t="n"/>
      <c r="H52" s="56" t="n"/>
      <c r="I52" s="56" t="n"/>
      <c r="J52" s="148" t="n"/>
    </row>
    <row r="53" ht="18" customHeight="1" s="176">
      <c r="A53" s="59" t="n"/>
      <c r="B53" s="59" t="n"/>
      <c r="C53" s="59" t="n"/>
      <c r="D53" s="59" t="n"/>
      <c r="E53" s="59" t="n"/>
      <c r="F53" s="59" t="n"/>
      <c r="G53" s="59" t="n"/>
      <c r="H53" s="59" t="n"/>
      <c r="I53" s="59" t="n"/>
      <c r="J53" s="147" t="n"/>
    </row>
    <row r="54" ht="18" customHeight="1" s="176">
      <c r="A54" s="56" t="n"/>
      <c r="B54" s="56" t="n"/>
      <c r="C54" s="56" t="n"/>
      <c r="D54" s="56" t="n"/>
      <c r="E54" s="56" t="n"/>
      <c r="F54" s="56" t="n"/>
      <c r="G54" s="56" t="n"/>
      <c r="H54" s="56" t="n"/>
      <c r="I54" s="56" t="n"/>
      <c r="J54" s="148" t="n"/>
    </row>
    <row r="55" ht="18" customHeight="1" s="176">
      <c r="A55" s="59" t="n"/>
      <c r="B55" s="59" t="n"/>
      <c r="C55" s="59" t="n"/>
      <c r="D55" s="59" t="n"/>
      <c r="E55" s="59" t="n"/>
      <c r="F55" s="59" t="n"/>
      <c r="G55" s="59" t="n"/>
      <c r="H55" s="59" t="n"/>
      <c r="I55" s="59" t="n"/>
      <c r="J55" s="147" t="n"/>
    </row>
    <row r="56" ht="18" customHeight="1" s="176">
      <c r="A56" s="56" t="n"/>
      <c r="B56" s="56" t="n"/>
      <c r="C56" s="56" t="n"/>
      <c r="D56" s="56" t="n"/>
      <c r="E56" s="56" t="n"/>
      <c r="F56" s="56" t="n"/>
      <c r="G56" s="56" t="n"/>
      <c r="H56" s="56" t="n"/>
      <c r="I56" s="56" t="n"/>
      <c r="J56" s="148" t="n"/>
    </row>
    <row r="57" ht="18" customHeight="1" s="176">
      <c r="A57" s="59" t="n"/>
      <c r="B57" s="59" t="n"/>
      <c r="C57" s="59" t="n"/>
      <c r="D57" s="59" t="n"/>
      <c r="E57" s="59" t="n"/>
      <c r="F57" s="59" t="n"/>
      <c r="G57" s="59" t="n"/>
      <c r="H57" s="59" t="n"/>
      <c r="I57" s="59" t="n"/>
      <c r="J57" s="147" t="n"/>
    </row>
    <row r="58" ht="18" customHeight="1" s="176">
      <c r="A58" s="56" t="n"/>
      <c r="B58" s="56" t="n"/>
      <c r="C58" s="56" t="n"/>
      <c r="D58" s="56" t="n"/>
      <c r="E58" s="56" t="n"/>
      <c r="F58" s="56" t="n"/>
      <c r="G58" s="56" t="n"/>
      <c r="H58" s="56" t="n"/>
      <c r="I58" s="56" t="n"/>
      <c r="J58" s="148" t="n"/>
    </row>
    <row r="59" ht="18" customHeight="1" s="176">
      <c r="A59" s="59" t="n"/>
      <c r="B59" s="59" t="n"/>
      <c r="C59" s="59" t="n"/>
      <c r="D59" s="59" t="n"/>
      <c r="E59" s="59" t="n"/>
      <c r="F59" s="59" t="n"/>
      <c r="G59" s="59" t="n"/>
      <c r="H59" s="59" t="n"/>
      <c r="I59" s="59" t="n"/>
      <c r="J59" s="147" t="n"/>
    </row>
    <row r="60" ht="18" customHeight="1" s="176">
      <c r="A60" s="56" t="n"/>
      <c r="B60" s="56" t="n"/>
      <c r="C60" s="56" t="n"/>
      <c r="D60" s="56" t="n"/>
      <c r="E60" s="56" t="n"/>
      <c r="F60" s="56" t="n"/>
      <c r="G60" s="56" t="n"/>
      <c r="H60" s="56" t="n"/>
      <c r="I60" s="56" t="n"/>
      <c r="J60" s="148" t="n"/>
    </row>
    <row r="61" ht="18" customHeight="1" s="176">
      <c r="A61" s="59" t="n"/>
      <c r="B61" s="59" t="n"/>
      <c r="C61" s="59" t="n"/>
      <c r="D61" s="59" t="n"/>
      <c r="E61" s="59" t="n"/>
      <c r="F61" s="59" t="n"/>
      <c r="G61" s="59" t="n"/>
      <c r="H61" s="59" t="n"/>
      <c r="I61" s="59" t="n"/>
      <c r="J61" s="147" t="n"/>
    </row>
    <row r="62" ht="18" customHeight="1" s="176">
      <c r="A62" s="56" t="n"/>
      <c r="B62" s="56" t="n"/>
      <c r="C62" s="56" t="n"/>
      <c r="D62" s="56" t="n"/>
      <c r="E62" s="56" t="n"/>
      <c r="F62" s="56" t="n"/>
      <c r="G62" s="56" t="n"/>
      <c r="H62" s="56" t="n"/>
      <c r="I62" s="56" t="n"/>
      <c r="J62" s="148" t="n"/>
    </row>
    <row r="63" ht="18" customHeight="1" s="176">
      <c r="A63" s="59" t="n"/>
      <c r="B63" s="59" t="n"/>
      <c r="C63" s="59" t="n"/>
      <c r="D63" s="59" t="n"/>
      <c r="E63" s="59" t="n"/>
      <c r="F63" s="59" t="n"/>
      <c r="G63" s="59" t="n"/>
      <c r="H63" s="59" t="n"/>
      <c r="I63" s="59" t="n"/>
      <c r="J63" s="147" t="n"/>
    </row>
    <row r="64" ht="18" customHeight="1" s="176">
      <c r="A64" s="56" t="n"/>
      <c r="B64" s="56" t="n"/>
      <c r="C64" s="56" t="n"/>
      <c r="D64" s="56" t="n"/>
      <c r="E64" s="56" t="n"/>
      <c r="F64" s="56" t="n"/>
      <c r="G64" s="56" t="n"/>
      <c r="H64" s="56" t="n"/>
      <c r="I64" s="56" t="n"/>
      <c r="J64" s="148" t="n"/>
    </row>
  </sheetData>
  <mergeCells count="3">
    <mergeCell ref="A1:J1"/>
    <mergeCell ref="A13:J13"/>
    <mergeCell ref="A3:J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25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:O1"/>
    </sheetView>
  </sheetViews>
  <sheetFormatPr baseColWidth="10" defaultColWidth="8.83203125" defaultRowHeight="15"/>
  <cols>
    <col width="28" customWidth="1" style="176" min="1" max="1"/>
    <col width="13" customWidth="1" style="176" min="2" max="14"/>
  </cols>
  <sheetData>
    <row r="1" ht="30" customHeight="1" s="176">
      <c r="A1" s="180" t="inlineStr">
        <is>
          <t>💵  FLUJO DE CAJA — PROYECCIÓN POR SEMANA  •  Agrícola MEGA  •  Temporada 2026/27</t>
        </is>
      </c>
    </row>
    <row r="2" ht="8" customHeight="1" s="176"/>
    <row r="3" ht="18" customHeight="1" s="176">
      <c r="A3" s="174" t="inlineStr">
        <is>
          <t>CONCEPTO</t>
        </is>
      </c>
      <c r="B3" s="172" t="inlineStr">
        <is>
          <t>May-26</t>
        </is>
      </c>
      <c r="C3" s="172" t="inlineStr">
        <is>
          <t>Jun-26</t>
        </is>
      </c>
      <c r="D3" s="172" t="inlineStr">
        <is>
          <t>Jul-26</t>
        </is>
      </c>
      <c r="E3" s="172" t="inlineStr">
        <is>
          <t>Ago-26</t>
        </is>
      </c>
      <c r="F3" s="172" t="inlineStr">
        <is>
          <t>Sep-26</t>
        </is>
      </c>
      <c r="G3" s="172" t="inlineStr">
        <is>
          <t>Oct-26</t>
        </is>
      </c>
      <c r="H3" s="172" t="inlineStr">
        <is>
          <t>Nov-26</t>
        </is>
      </c>
      <c r="I3" s="172" t="inlineStr">
        <is>
          <t>Dic-26</t>
        </is>
      </c>
      <c r="J3" s="172" t="inlineStr">
        <is>
          <t>Ene-27</t>
        </is>
      </c>
      <c r="K3" s="172" t="inlineStr">
        <is>
          <t>Feb-27</t>
        </is>
      </c>
      <c r="L3" s="172" t="inlineStr">
        <is>
          <t>Mar-27</t>
        </is>
      </c>
      <c r="M3" s="172" t="inlineStr">
        <is>
          <t>Abr-27</t>
        </is>
      </c>
      <c r="N3" s="174" t="inlineStr">
        <is>
          <t>TOTAL ANUAL</t>
        </is>
      </c>
    </row>
    <row r="4" ht="18" customHeight="1" s="176">
      <c r="A4" s="173" t="n"/>
      <c r="B4" s="173" t="n"/>
      <c r="C4" s="173" t="n"/>
      <c r="D4" s="173" t="n"/>
      <c r="E4" s="173" t="n"/>
      <c r="F4" s="173" t="n"/>
      <c r="G4" s="173" t="n"/>
      <c r="H4" s="173" t="n"/>
      <c r="I4" s="173" t="n"/>
      <c r="J4" s="173" t="n"/>
      <c r="K4" s="173" t="n"/>
      <c r="L4" s="173" t="n"/>
      <c r="M4" s="173" t="n"/>
      <c r="N4" s="173" t="n"/>
    </row>
    <row r="5" ht="20" customHeight="1" s="176">
      <c r="A5" s="178" t="inlineStr">
        <is>
          <t>▶  INGRESOS (Remesas proyectadas por mes)</t>
        </is>
      </c>
    </row>
    <row r="6" ht="16" customHeight="1" s="176">
      <c r="A6" s="75" t="inlineStr">
        <is>
          <t xml:space="preserve">  Ing. Asmara</t>
        </is>
      </c>
      <c r="B6" s="149" t="n"/>
      <c r="C6" s="149" t="n"/>
      <c r="D6" s="149" t="n">
        <v>206006976</v>
      </c>
      <c r="E6" s="149" t="n">
        <v>206006976</v>
      </c>
      <c r="F6" s="149" t="n">
        <v>103003488</v>
      </c>
      <c r="G6" s="149" t="n"/>
      <c r="H6" s="149" t="n"/>
      <c r="I6" s="149" t="n"/>
      <c r="J6" s="149" t="n"/>
      <c r="K6" s="149" t="n"/>
      <c r="L6" s="149" t="n"/>
      <c r="M6" s="149" t="n"/>
      <c r="N6" s="149" t="n">
        <v>515017440</v>
      </c>
    </row>
    <row r="7" ht="16" customHeight="1" s="176">
      <c r="A7" s="78" t="inlineStr">
        <is>
          <t xml:space="preserve">  Ing. El Molle</t>
        </is>
      </c>
      <c r="B7" s="150" t="n"/>
      <c r="C7" s="150" t="n"/>
      <c r="D7" s="150" t="n"/>
      <c r="E7" s="150" t="n"/>
      <c r="F7" s="150" t="n"/>
      <c r="G7" s="150" t="n"/>
      <c r="H7" s="150" t="n"/>
      <c r="I7" s="150" t="n"/>
      <c r="J7" s="150" t="n"/>
      <c r="K7" s="150" t="n"/>
      <c r="L7" s="150" t="n"/>
      <c r="M7" s="150" t="n"/>
      <c r="N7" s="150" t="n"/>
    </row>
    <row r="8" ht="16" customHeight="1" s="176">
      <c r="A8" s="75" t="inlineStr">
        <is>
          <t xml:space="preserve">  Ing. Santa Catalina</t>
        </is>
      </c>
      <c r="B8" s="149" t="n"/>
      <c r="C8" s="149" t="n"/>
      <c r="D8" s="149" t="n"/>
      <c r="E8" s="149" t="n"/>
      <c r="F8" s="149" t="n"/>
      <c r="G8" s="149" t="n"/>
      <c r="H8" s="149" t="n"/>
      <c r="I8" s="149" t="n"/>
      <c r="J8" s="149" t="n"/>
      <c r="K8" s="149" t="n"/>
      <c r="L8" s="149" t="n"/>
      <c r="M8" s="149" t="n"/>
      <c r="N8" s="149" t="n"/>
    </row>
    <row r="9" ht="16" customHeight="1" s="176">
      <c r="A9" s="67" t="inlineStr">
        <is>
          <t xml:space="preserve">  Ing. Siberia</t>
        </is>
      </c>
      <c r="B9" s="151" t="n"/>
      <c r="C9" s="151" t="n"/>
      <c r="D9" s="151" t="n"/>
      <c r="E9" s="151" t="n"/>
      <c r="F9" s="151" t="n"/>
      <c r="G9" s="151" t="n"/>
      <c r="H9" s="151" t="n"/>
      <c r="I9" s="151" t="n"/>
      <c r="J9" s="151" t="n"/>
      <c r="K9" s="151" t="n"/>
      <c r="L9" s="151" t="n"/>
      <c r="M9" s="151" t="n"/>
      <c r="N9" s="151" t="n"/>
    </row>
    <row r="10" ht="16" customHeight="1" s="176">
      <c r="A10" s="152" t="inlineStr">
        <is>
          <t>TOTAL INGRESOS</t>
        </is>
      </c>
      <c r="B10" s="153" t="n"/>
      <c r="C10" s="153" t="n"/>
      <c r="D10" s="153" t="n"/>
      <c r="E10" s="153" t="n"/>
      <c r="F10" s="153" t="n"/>
      <c r="G10" s="153" t="n"/>
      <c r="H10" s="153" t="n"/>
      <c r="I10" s="153" t="n"/>
      <c r="J10" s="153" t="n"/>
      <c r="K10" s="153" t="n"/>
      <c r="L10" s="153" t="n"/>
      <c r="M10" s="153" t="n"/>
      <c r="N10" s="153" t="n"/>
    </row>
    <row r="12" ht="20" customHeight="1" s="176">
      <c r="A12" s="177" t="inlineStr">
        <is>
          <t>▶  EGRESOS (Costos presupuestados por mes)</t>
        </is>
      </c>
    </row>
    <row r="13" ht="16" customHeight="1" s="176">
      <c r="A13" s="67" t="inlineStr">
        <is>
          <t xml:space="preserve">  Cost. Asmara</t>
        </is>
      </c>
      <c r="B13" s="151" t="n">
        <v>19438.42510474074</v>
      </c>
      <c r="C13" s="151" t="n">
        <v>20165.01677140741</v>
      </c>
      <c r="D13" s="151" t="n">
        <v>104199.3002825186</v>
      </c>
      <c r="E13" s="151" t="n">
        <v>105393.1336158519</v>
      </c>
      <c r="F13" s="151" t="n">
        <v>29048.78343807407</v>
      </c>
      <c r="G13" s="151" t="n">
        <v>31063.61288251852</v>
      </c>
      <c r="H13" s="151" t="n">
        <v>20882.00288251852</v>
      </c>
      <c r="I13" s="151" t="n">
        <v>21910.8906602963</v>
      </c>
      <c r="J13" s="151" t="n">
        <v>20241.31232696297</v>
      </c>
      <c r="K13" s="151" t="n">
        <v>22088.8056602963</v>
      </c>
      <c r="L13" s="151" t="n">
        <v>30230.74899362963</v>
      </c>
      <c r="M13" s="151" t="n">
        <v>21257.2306602963</v>
      </c>
      <c r="N13" s="151" t="n">
        <v>445919.2632791112</v>
      </c>
    </row>
    <row r="14" ht="16" customHeight="1" s="176">
      <c r="A14" s="78" t="inlineStr">
        <is>
          <t xml:space="preserve">  Cost. El Molle</t>
        </is>
      </c>
      <c r="B14" s="150" t="n">
        <v>65763.85994106752</v>
      </c>
      <c r="C14" s="150" t="n">
        <v>57935.07660773422</v>
      </c>
      <c r="D14" s="150" t="n">
        <v>34228.0578299564</v>
      </c>
      <c r="E14" s="150" t="n">
        <v>22770.24149662306</v>
      </c>
      <c r="F14" s="150" t="n">
        <v>21381.90838551196</v>
      </c>
      <c r="G14" s="150" t="n">
        <v>27395.43188551195</v>
      </c>
      <c r="H14" s="150" t="n">
        <v>22209.94671884529</v>
      </c>
      <c r="I14" s="150" t="n">
        <v>28918.27834106751</v>
      </c>
      <c r="J14" s="150" t="n">
        <v>24475.71955217862</v>
      </c>
      <c r="K14" s="150" t="n">
        <v>23916.40860773418</v>
      </c>
      <c r="L14" s="150" t="n">
        <v>27721.14538551196</v>
      </c>
      <c r="M14" s="150" t="n">
        <v>54503.55860773415</v>
      </c>
      <c r="N14" s="150" t="n">
        <v>411219.6333594769</v>
      </c>
    </row>
    <row r="15" ht="16" customHeight="1" s="176">
      <c r="A15" s="67" t="inlineStr">
        <is>
          <t xml:space="preserve">  Cost. Santa Catalina</t>
        </is>
      </c>
      <c r="B15" s="151" t="n">
        <v>140341.2488490828</v>
      </c>
      <c r="C15" s="151" t="n">
        <v>182213.3821824161</v>
      </c>
      <c r="D15" s="151" t="n">
        <v>231644.5413490828</v>
      </c>
      <c r="E15" s="151" t="n">
        <v>212043.5888490828</v>
      </c>
      <c r="F15" s="151" t="n">
        <v>163471.5719601939</v>
      </c>
      <c r="G15" s="151" t="n">
        <v>152669.5376268606</v>
      </c>
      <c r="H15" s="151" t="n">
        <v>130159.361071305</v>
      </c>
      <c r="I15" s="151" t="n">
        <v>136677.0794046384</v>
      </c>
      <c r="J15" s="151" t="n">
        <v>127962.5054046383</v>
      </c>
      <c r="K15" s="151" t="n">
        <v>136065.9709601939</v>
      </c>
      <c r="L15" s="151" t="n">
        <v>146917.6382935272</v>
      </c>
      <c r="M15" s="151" t="n">
        <v>116410.4849601939</v>
      </c>
      <c r="N15" s="151" t="n">
        <v>1876576.910911216</v>
      </c>
    </row>
    <row r="16" ht="16" customHeight="1" s="176">
      <c r="A16" s="75" t="inlineStr">
        <is>
          <t xml:space="preserve">  Cost. Siberia</t>
        </is>
      </c>
      <c r="B16" s="149" t="n">
        <v>15283.38400764444</v>
      </c>
      <c r="C16" s="149" t="n">
        <v>15283.38400764444</v>
      </c>
      <c r="D16" s="149" t="n">
        <v>30717.36289653333</v>
      </c>
      <c r="E16" s="149" t="n">
        <v>20924.00400764445</v>
      </c>
      <c r="F16" s="149" t="n">
        <v>15971.65067431111</v>
      </c>
      <c r="G16" s="149" t="n">
        <v>18571.92400764445</v>
      </c>
      <c r="H16" s="149" t="n">
        <v>17872.42845208889</v>
      </c>
      <c r="I16" s="149" t="n">
        <v>54433.01820764448</v>
      </c>
      <c r="J16" s="149" t="n">
        <v>19493.10022986667</v>
      </c>
      <c r="K16" s="149" t="n">
        <v>84831.7055632</v>
      </c>
      <c r="L16" s="149" t="n">
        <v>80801.98178542223</v>
      </c>
      <c r="M16" s="149" t="n">
        <v>15827.27289653333</v>
      </c>
      <c r="N16" s="149" t="n">
        <v>390011.2167361779</v>
      </c>
    </row>
    <row r="17" ht="16" customHeight="1" s="176">
      <c r="A17" s="77" t="inlineStr">
        <is>
          <t>TOTAL EGRESOS</t>
        </is>
      </c>
      <c r="B17" s="154" t="n"/>
      <c r="C17" s="154" t="n"/>
      <c r="D17" s="154" t="n"/>
      <c r="E17" s="154" t="n"/>
      <c r="F17" s="154" t="n"/>
      <c r="G17" s="154" t="n"/>
      <c r="H17" s="154" t="n"/>
      <c r="I17" s="154" t="n"/>
      <c r="J17" s="154" t="n"/>
      <c r="K17" s="154" t="n"/>
      <c r="L17" s="154" t="n"/>
      <c r="M17" s="154" t="n"/>
      <c r="N17" s="154" t="n"/>
    </row>
    <row r="19" ht="20" customHeight="1" s="176">
      <c r="A19" s="181" t="inlineStr">
        <is>
          <t>▶  FLUJO NETO MENSUAL</t>
        </is>
      </c>
    </row>
    <row r="20" ht="16" customHeight="1" s="176">
      <c r="A20" s="133" t="inlineStr">
        <is>
          <t>FLUJO NETO = Ingresos - Egresos</t>
        </is>
      </c>
      <c r="B20" s="155" t="n"/>
      <c r="C20" s="155" t="n"/>
      <c r="D20" s="155" t="n"/>
      <c r="E20" s="155" t="n"/>
      <c r="F20" s="155" t="n"/>
      <c r="G20" s="155" t="n"/>
      <c r="H20" s="155" t="n"/>
      <c r="I20" s="155" t="n"/>
      <c r="J20" s="155" t="n"/>
      <c r="K20" s="155" t="n"/>
      <c r="L20" s="155" t="n"/>
      <c r="M20" s="155" t="n"/>
      <c r="N20" s="155" t="n"/>
    </row>
    <row r="22" ht="20" customHeight="1" s="176">
      <c r="A22" s="179" t="inlineStr">
        <is>
          <t>▶  FLUJO ACUMULADO</t>
        </is>
      </c>
    </row>
    <row r="23" ht="16" customHeight="1" s="176">
      <c r="A23" s="156" t="inlineStr">
        <is>
          <t>Flujo Acumulado</t>
        </is>
      </c>
      <c r="B23" s="157" t="n"/>
      <c r="C23" s="157" t="n"/>
      <c r="D23" s="157" t="n"/>
      <c r="E23" s="157" t="n"/>
      <c r="F23" s="157" t="n"/>
      <c r="G23" s="157" t="n"/>
      <c r="H23" s="157" t="n"/>
      <c r="I23" s="157" t="n"/>
      <c r="J23" s="157" t="n"/>
      <c r="K23" s="157" t="n"/>
      <c r="L23" s="157" t="n"/>
      <c r="M23" s="157" t="n"/>
      <c r="N23" s="157" t="n"/>
    </row>
    <row r="25" ht="35" customHeight="1" s="176">
      <c r="A25" s="175" t="inlineStr">
        <is>
          <t>📝  Los ingresos son proyecciones basadas en el presupuesto. Los egresos se actualizan automáticamente desde CONTROL_PPTO_REAL. El flujo neto considera: Ingresos devengados por mes (C1+C2+C3 de remesas). Para flujo de caja efectivo, ajustar según fechas reales de cobro de cada cuota.</t>
        </is>
      </c>
    </row>
  </sheetData>
  <mergeCells count="20">
    <mergeCell ref="L3:L4"/>
    <mergeCell ref="B3:B4"/>
    <mergeCell ref="N3:N4"/>
    <mergeCell ref="F3:F4"/>
    <mergeCell ref="A3:A4"/>
    <mergeCell ref="G3:G4"/>
    <mergeCell ref="M3:M4"/>
    <mergeCell ref="I3:I4"/>
    <mergeCell ref="A25:N25"/>
    <mergeCell ref="D3:D4"/>
    <mergeCell ref="A12:N12"/>
    <mergeCell ref="H3:H4"/>
    <mergeCell ref="J3:J4"/>
    <mergeCell ref="A5:N5"/>
    <mergeCell ref="A22:N22"/>
    <mergeCell ref="K3:K4"/>
    <mergeCell ref="C3:C4"/>
    <mergeCell ref="E3:E4"/>
    <mergeCell ref="A1:O1"/>
    <mergeCell ref="A19:N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2026-06-18T14:12:46Z</dcterms:created>
  <dcterms:modified xsi:type="dcterms:W3CDTF">2026-06-19T01:18:53Z</dcterms:modified>
  <cp:lastModifiedBy>Francisco Varela</cp:lastModifiedBy>
</cp:coreProperties>
</file>